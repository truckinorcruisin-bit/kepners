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eanMullins\Downloads\"/>
    </mc:Choice>
  </mc:AlternateContent>
  <xr:revisionPtr revIDLastSave="0" documentId="13_ncr:1_{DC26BEED-9811-4C57-A832-FA875138CAEF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2026 Miami" sheetId="1" r:id="rId1"/>
    <sheet name="SeanRanks26" sheetId="2" r:id="rId2"/>
    <sheet name="26 ADP Data" sheetId="3" r:id="rId3"/>
    <sheet name="2026 Big Board" sheetId="4" r:id="rId4"/>
    <sheet name="Kepners Team" sheetId="5" r:id="rId5"/>
    <sheet name="2025 Miami" sheetId="6" r:id="rId6"/>
    <sheet name="Miami Team" sheetId="7" r:id="rId7"/>
    <sheet name="2025 Zimmer" sheetId="8" r:id="rId8"/>
    <sheet name="2024 Zimmer" sheetId="9" r:id="rId9"/>
    <sheet name="2025 Big Board" sheetId="10" r:id="rId10"/>
    <sheet name="SeanRanks" sheetId="11" r:id="rId11"/>
    <sheet name="ADP Data" sheetId="12" r:id="rId12"/>
    <sheet name="2024 Kepners" sheetId="13" r:id="rId13"/>
    <sheet name="2024 Miami" sheetId="14" r:id="rId14"/>
    <sheet name="2023 Zimmer" sheetId="15" r:id="rId15"/>
    <sheet name="2022 Zimmer" sheetId="16" r:id="rId16"/>
    <sheet name="2021 Zimmer" sheetId="17" r:id="rId17"/>
    <sheet name="2020 Zimmer" sheetId="18" r:id="rId18"/>
  </sheets>
  <definedNames>
    <definedName name="_xlnm._FilterDatabase" localSheetId="17" hidden="1">'2020 Zimmer'!$A$13:$S$336</definedName>
    <definedName name="_xlnm._FilterDatabase" localSheetId="16" hidden="1">'2021 Zimmer'!$A$5:$V$282</definedName>
    <definedName name="_xlnm._FilterDatabase" localSheetId="15" hidden="1">'2022 Zimmer'!$A$6:$X$302</definedName>
    <definedName name="_xlnm._FilterDatabase" localSheetId="14" hidden="1">'2023 Zimmer'!$A$6:$X$307</definedName>
    <definedName name="_xlnm._FilterDatabase" localSheetId="12" hidden="1">'2024 Kepners'!$A$6:$Z$306</definedName>
    <definedName name="_xlnm._FilterDatabase" localSheetId="13" hidden="1">'2024 Miami'!$A$6:$Z$306</definedName>
    <definedName name="_xlnm._FilterDatabase" localSheetId="8" hidden="1">'2024 Zimmer'!$A$6:$X$305</definedName>
    <definedName name="_xlnm._FilterDatabase" localSheetId="9" hidden="1">'2025 Big Board'!$A$6:$Y$306</definedName>
    <definedName name="_xlnm._FilterDatabase" localSheetId="5" hidden="1">'2025 Miami'!$A$6:$Z$306</definedName>
    <definedName name="_xlnm._FilterDatabase" localSheetId="7" hidden="1">'2025 Zimmer'!$A$6:$X$306</definedName>
    <definedName name="_xlnm._FilterDatabase" localSheetId="3" hidden="1">'2026 Big Board'!$A$6:$Y$306</definedName>
    <definedName name="_xlnm._FilterDatabase" localSheetId="0" hidden="1">'2026 Miami'!$A$6:$Z$306</definedName>
    <definedName name="_xlnm._FilterDatabase" localSheetId="2" hidden="1">'26 ADP Data'!$A$4:$R$299</definedName>
    <definedName name="_xlnm._FilterDatabase" localSheetId="11" hidden="1">'ADP Data'!$A$4:$R$302</definedName>
    <definedName name="_xlnm._FilterDatabase" localSheetId="10" hidden="1">SeanRanks!$A$2:$J$303</definedName>
    <definedName name="_xlnm._FilterDatabase" localSheetId="1" hidden="1">SeanRanks26!$A$2:$L$303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Gm4qJ6heTaBA/ZqLA194xoJHAP4LKNYLCg2fEVyMZAc="/>
    </ext>
  </extLst>
</workbook>
</file>

<file path=xl/calcChain.xml><?xml version="1.0" encoding="utf-8"?>
<calcChain xmlns="http://schemas.openxmlformats.org/spreadsheetml/2006/main">
  <c r="R336" i="18" l="1"/>
  <c r="K336" i="18"/>
  <c r="B336" i="18"/>
  <c r="R335" i="18"/>
  <c r="K335" i="18"/>
  <c r="B335" i="18"/>
  <c r="R334" i="18"/>
  <c r="K334" i="18"/>
  <c r="B334" i="18"/>
  <c r="R333" i="18"/>
  <c r="K333" i="18"/>
  <c r="B333" i="18"/>
  <c r="R332" i="18"/>
  <c r="K332" i="18"/>
  <c r="B332" i="18"/>
  <c r="R331" i="18"/>
  <c r="K331" i="18"/>
  <c r="B331" i="18"/>
  <c r="R330" i="18"/>
  <c r="K330" i="18"/>
  <c r="B330" i="18"/>
  <c r="R329" i="18"/>
  <c r="K329" i="18"/>
  <c r="B329" i="18"/>
  <c r="R328" i="18"/>
  <c r="K328" i="18"/>
  <c r="B328" i="18"/>
  <c r="R327" i="18"/>
  <c r="K327" i="18"/>
  <c r="B327" i="18"/>
  <c r="R326" i="18"/>
  <c r="K326" i="18"/>
  <c r="B326" i="18"/>
  <c r="R325" i="18"/>
  <c r="K325" i="18"/>
  <c r="B325" i="18"/>
  <c r="R324" i="18"/>
  <c r="K324" i="18"/>
  <c r="B324" i="18"/>
  <c r="R323" i="18"/>
  <c r="K323" i="18"/>
  <c r="B323" i="18"/>
  <c r="R322" i="18"/>
  <c r="K322" i="18"/>
  <c r="B322" i="18"/>
  <c r="R321" i="18"/>
  <c r="K321" i="18"/>
  <c r="B321" i="18"/>
  <c r="R320" i="18"/>
  <c r="K320" i="18"/>
  <c r="B320" i="18"/>
  <c r="R319" i="18"/>
  <c r="K319" i="18"/>
  <c r="B319" i="18"/>
  <c r="R318" i="18"/>
  <c r="K318" i="18"/>
  <c r="B318" i="18"/>
  <c r="R317" i="18"/>
  <c r="K317" i="18"/>
  <c r="B317" i="18"/>
  <c r="R316" i="18"/>
  <c r="K316" i="18"/>
  <c r="B316" i="18"/>
  <c r="R315" i="18"/>
  <c r="K315" i="18"/>
  <c r="B315" i="18"/>
  <c r="R314" i="18"/>
  <c r="K314" i="18"/>
  <c r="B314" i="18"/>
  <c r="R313" i="18"/>
  <c r="K313" i="18"/>
  <c r="B313" i="18"/>
  <c r="R312" i="18"/>
  <c r="K312" i="18"/>
  <c r="B312" i="18"/>
  <c r="R311" i="18"/>
  <c r="K311" i="18"/>
  <c r="B311" i="18"/>
  <c r="R310" i="18"/>
  <c r="K310" i="18"/>
  <c r="B310" i="18"/>
  <c r="R309" i="18"/>
  <c r="K309" i="18"/>
  <c r="B309" i="18"/>
  <c r="R308" i="18"/>
  <c r="K308" i="18"/>
  <c r="B308" i="18"/>
  <c r="R307" i="18"/>
  <c r="K307" i="18"/>
  <c r="B307" i="18"/>
  <c r="R306" i="18"/>
  <c r="K306" i="18"/>
  <c r="B306" i="18"/>
  <c r="R305" i="18"/>
  <c r="K305" i="18"/>
  <c r="B305" i="18"/>
  <c r="R304" i="18"/>
  <c r="K304" i="18"/>
  <c r="B304" i="18"/>
  <c r="R303" i="18"/>
  <c r="K303" i="18"/>
  <c r="B303" i="18"/>
  <c r="R302" i="18"/>
  <c r="K302" i="18"/>
  <c r="B302" i="18"/>
  <c r="R301" i="18"/>
  <c r="K301" i="18"/>
  <c r="B301" i="18"/>
  <c r="R300" i="18"/>
  <c r="K300" i="18"/>
  <c r="B300" i="18"/>
  <c r="R299" i="18"/>
  <c r="K299" i="18"/>
  <c r="B299" i="18"/>
  <c r="R298" i="18"/>
  <c r="K298" i="18"/>
  <c r="B298" i="18"/>
  <c r="R297" i="18"/>
  <c r="K297" i="18"/>
  <c r="B297" i="18"/>
  <c r="R296" i="18"/>
  <c r="K296" i="18"/>
  <c r="B296" i="18"/>
  <c r="R295" i="18"/>
  <c r="K295" i="18"/>
  <c r="B295" i="18"/>
  <c r="R294" i="18"/>
  <c r="K294" i="18"/>
  <c r="B294" i="18"/>
  <c r="R293" i="18"/>
  <c r="K293" i="18"/>
  <c r="B293" i="18"/>
  <c r="R292" i="18"/>
  <c r="K292" i="18"/>
  <c r="B292" i="18"/>
  <c r="R291" i="18"/>
  <c r="K291" i="18"/>
  <c r="B291" i="18"/>
  <c r="R290" i="18"/>
  <c r="K290" i="18"/>
  <c r="B290" i="18"/>
  <c r="R289" i="18"/>
  <c r="K289" i="18"/>
  <c r="B289" i="18"/>
  <c r="R288" i="18"/>
  <c r="K288" i="18"/>
  <c r="B288" i="18"/>
  <c r="R287" i="18"/>
  <c r="K287" i="18"/>
  <c r="B287" i="18"/>
  <c r="R286" i="18"/>
  <c r="K286" i="18"/>
  <c r="B286" i="18"/>
  <c r="R285" i="18"/>
  <c r="K285" i="18"/>
  <c r="B285" i="18"/>
  <c r="R284" i="18"/>
  <c r="K284" i="18"/>
  <c r="B284" i="18"/>
  <c r="R283" i="18"/>
  <c r="K283" i="18"/>
  <c r="B283" i="18"/>
  <c r="R282" i="18"/>
  <c r="K282" i="18"/>
  <c r="B282" i="18"/>
  <c r="R281" i="18"/>
  <c r="K281" i="18"/>
  <c r="B281" i="18"/>
  <c r="R280" i="18"/>
  <c r="K280" i="18"/>
  <c r="B280" i="18"/>
  <c r="R279" i="18"/>
  <c r="K279" i="18"/>
  <c r="B279" i="18"/>
  <c r="R278" i="18"/>
  <c r="K278" i="18"/>
  <c r="B278" i="18"/>
  <c r="R277" i="18"/>
  <c r="K277" i="18"/>
  <c r="B277" i="18"/>
  <c r="R276" i="18"/>
  <c r="K276" i="18"/>
  <c r="B276" i="18"/>
  <c r="R275" i="18"/>
  <c r="K275" i="18"/>
  <c r="B275" i="18"/>
  <c r="R274" i="18"/>
  <c r="K274" i="18"/>
  <c r="B274" i="18"/>
  <c r="R273" i="18"/>
  <c r="K273" i="18"/>
  <c r="B273" i="18"/>
  <c r="R272" i="18"/>
  <c r="K272" i="18"/>
  <c r="B272" i="18"/>
  <c r="R271" i="18"/>
  <c r="K271" i="18"/>
  <c r="B271" i="18"/>
  <c r="R270" i="18"/>
  <c r="K270" i="18"/>
  <c r="B270" i="18"/>
  <c r="R269" i="18"/>
  <c r="K269" i="18"/>
  <c r="B269" i="18"/>
  <c r="R268" i="18"/>
  <c r="K268" i="18"/>
  <c r="B268" i="18"/>
  <c r="R267" i="18"/>
  <c r="K267" i="18"/>
  <c r="B267" i="18"/>
  <c r="R266" i="18"/>
  <c r="K266" i="18"/>
  <c r="B266" i="18"/>
  <c r="R265" i="18"/>
  <c r="K265" i="18"/>
  <c r="B265" i="18"/>
  <c r="R264" i="18"/>
  <c r="K264" i="18"/>
  <c r="B264" i="18"/>
  <c r="R263" i="18"/>
  <c r="K263" i="18"/>
  <c r="B263" i="18"/>
  <c r="R262" i="18"/>
  <c r="K262" i="18"/>
  <c r="B262" i="18"/>
  <c r="R261" i="18"/>
  <c r="K261" i="18"/>
  <c r="B261" i="18"/>
  <c r="R260" i="18"/>
  <c r="K260" i="18"/>
  <c r="B260" i="18"/>
  <c r="R259" i="18"/>
  <c r="K259" i="18"/>
  <c r="B259" i="18"/>
  <c r="R258" i="18"/>
  <c r="K258" i="18"/>
  <c r="B258" i="18"/>
  <c r="R257" i="18"/>
  <c r="K257" i="18"/>
  <c r="B257" i="18"/>
  <c r="R256" i="18"/>
  <c r="K256" i="18"/>
  <c r="B256" i="18"/>
  <c r="R255" i="18"/>
  <c r="K255" i="18"/>
  <c r="B255" i="18"/>
  <c r="R254" i="18"/>
  <c r="K254" i="18"/>
  <c r="B254" i="18"/>
  <c r="R253" i="18"/>
  <c r="K253" i="18"/>
  <c r="B253" i="18"/>
  <c r="R252" i="18"/>
  <c r="K252" i="18"/>
  <c r="B252" i="18"/>
  <c r="R251" i="18"/>
  <c r="K251" i="18"/>
  <c r="B251" i="18"/>
  <c r="R250" i="18"/>
  <c r="K250" i="18"/>
  <c r="B250" i="18"/>
  <c r="R249" i="18"/>
  <c r="K249" i="18"/>
  <c r="B249" i="18"/>
  <c r="R248" i="18"/>
  <c r="K248" i="18"/>
  <c r="B248" i="18"/>
  <c r="R247" i="18"/>
  <c r="K247" i="18"/>
  <c r="B247" i="18"/>
  <c r="R246" i="18"/>
  <c r="K246" i="18"/>
  <c r="B246" i="18"/>
  <c r="R245" i="18"/>
  <c r="K245" i="18"/>
  <c r="B245" i="18"/>
  <c r="R244" i="18"/>
  <c r="K244" i="18"/>
  <c r="B244" i="18"/>
  <c r="R243" i="18"/>
  <c r="K243" i="18"/>
  <c r="B243" i="18"/>
  <c r="R242" i="18"/>
  <c r="K242" i="18"/>
  <c r="B242" i="18"/>
  <c r="R241" i="18"/>
  <c r="K241" i="18"/>
  <c r="B241" i="18"/>
  <c r="R240" i="18"/>
  <c r="K240" i="18"/>
  <c r="B240" i="18"/>
  <c r="R239" i="18"/>
  <c r="K239" i="18"/>
  <c r="B239" i="18"/>
  <c r="R238" i="18"/>
  <c r="K238" i="18"/>
  <c r="B238" i="18"/>
  <c r="R237" i="18"/>
  <c r="K237" i="18"/>
  <c r="B237" i="18"/>
  <c r="R236" i="18"/>
  <c r="K236" i="18"/>
  <c r="B236" i="18"/>
  <c r="R235" i="18"/>
  <c r="K235" i="18"/>
  <c r="B235" i="18"/>
  <c r="R234" i="18"/>
  <c r="K234" i="18"/>
  <c r="B234" i="18"/>
  <c r="R233" i="18"/>
  <c r="K233" i="18"/>
  <c r="B233" i="18"/>
  <c r="R232" i="18"/>
  <c r="K232" i="18"/>
  <c r="B232" i="18"/>
  <c r="R231" i="18"/>
  <c r="K231" i="18"/>
  <c r="B231" i="18"/>
  <c r="R230" i="18"/>
  <c r="K230" i="18"/>
  <c r="B230" i="18"/>
  <c r="R229" i="18"/>
  <c r="K229" i="18"/>
  <c r="B229" i="18"/>
  <c r="R228" i="18"/>
  <c r="K228" i="18"/>
  <c r="B228" i="18"/>
  <c r="R227" i="18"/>
  <c r="K227" i="18"/>
  <c r="B227" i="18"/>
  <c r="R226" i="18"/>
  <c r="K226" i="18"/>
  <c r="B226" i="18"/>
  <c r="R225" i="18"/>
  <c r="K225" i="18"/>
  <c r="B225" i="18"/>
  <c r="R224" i="18"/>
  <c r="K224" i="18"/>
  <c r="B224" i="18"/>
  <c r="R223" i="18"/>
  <c r="K223" i="18"/>
  <c r="B223" i="18"/>
  <c r="R222" i="18"/>
  <c r="K222" i="18"/>
  <c r="B222" i="18"/>
  <c r="R221" i="18"/>
  <c r="K221" i="18"/>
  <c r="B221" i="18"/>
  <c r="R220" i="18"/>
  <c r="K220" i="18"/>
  <c r="B220" i="18"/>
  <c r="R219" i="18"/>
  <c r="K219" i="18"/>
  <c r="B219" i="18"/>
  <c r="R218" i="18"/>
  <c r="K218" i="18"/>
  <c r="B218" i="18"/>
  <c r="R217" i="18"/>
  <c r="K217" i="18"/>
  <c r="B217" i="18"/>
  <c r="R216" i="18"/>
  <c r="K216" i="18"/>
  <c r="B216" i="18"/>
  <c r="R215" i="18"/>
  <c r="K215" i="18"/>
  <c r="B215" i="18"/>
  <c r="R214" i="18"/>
  <c r="K214" i="18"/>
  <c r="B214" i="18"/>
  <c r="R213" i="18"/>
  <c r="K213" i="18"/>
  <c r="B213" i="18"/>
  <c r="R212" i="18"/>
  <c r="K212" i="18"/>
  <c r="B212" i="18"/>
  <c r="R211" i="18"/>
  <c r="K211" i="18"/>
  <c r="B211" i="18"/>
  <c r="R210" i="18"/>
  <c r="K210" i="18"/>
  <c r="B210" i="18"/>
  <c r="R209" i="18"/>
  <c r="K209" i="18"/>
  <c r="B209" i="18"/>
  <c r="R208" i="18"/>
  <c r="K208" i="18"/>
  <c r="B208" i="18"/>
  <c r="R207" i="18"/>
  <c r="K207" i="18"/>
  <c r="B207" i="18"/>
  <c r="R206" i="18"/>
  <c r="K206" i="18"/>
  <c r="B206" i="18"/>
  <c r="R205" i="18"/>
  <c r="K205" i="18"/>
  <c r="B205" i="18"/>
  <c r="R204" i="18"/>
  <c r="K204" i="18"/>
  <c r="B204" i="18"/>
  <c r="R203" i="18"/>
  <c r="K203" i="18"/>
  <c r="B203" i="18"/>
  <c r="R202" i="18"/>
  <c r="K202" i="18"/>
  <c r="B202" i="18"/>
  <c r="R201" i="18"/>
  <c r="K201" i="18"/>
  <c r="B201" i="18"/>
  <c r="R200" i="18"/>
  <c r="K200" i="18"/>
  <c r="B200" i="18"/>
  <c r="R199" i="18"/>
  <c r="K199" i="18"/>
  <c r="B199" i="18"/>
  <c r="R198" i="18"/>
  <c r="K198" i="18"/>
  <c r="B198" i="18"/>
  <c r="R197" i="18"/>
  <c r="K197" i="18"/>
  <c r="B197" i="18"/>
  <c r="R196" i="18"/>
  <c r="K196" i="18"/>
  <c r="B196" i="18"/>
  <c r="R195" i="18"/>
  <c r="K195" i="18"/>
  <c r="B195" i="18"/>
  <c r="R194" i="18"/>
  <c r="K194" i="18"/>
  <c r="B194" i="18"/>
  <c r="R193" i="18"/>
  <c r="K193" i="18"/>
  <c r="B193" i="18"/>
  <c r="R192" i="18"/>
  <c r="K192" i="18"/>
  <c r="B192" i="18"/>
  <c r="R191" i="18"/>
  <c r="K191" i="18"/>
  <c r="B191" i="18"/>
  <c r="R190" i="18"/>
  <c r="K190" i="18"/>
  <c r="B190" i="18"/>
  <c r="R189" i="18"/>
  <c r="K189" i="18"/>
  <c r="B189" i="18"/>
  <c r="R188" i="18"/>
  <c r="K188" i="18"/>
  <c r="B188" i="18"/>
  <c r="R187" i="18"/>
  <c r="K187" i="18"/>
  <c r="B187" i="18"/>
  <c r="R186" i="18"/>
  <c r="K186" i="18"/>
  <c r="B186" i="18"/>
  <c r="R185" i="18"/>
  <c r="K185" i="18"/>
  <c r="B185" i="18"/>
  <c r="R184" i="18"/>
  <c r="K184" i="18"/>
  <c r="B184" i="18"/>
  <c r="R183" i="18"/>
  <c r="K183" i="18"/>
  <c r="B183" i="18"/>
  <c r="R182" i="18"/>
  <c r="K182" i="18"/>
  <c r="B182" i="18"/>
  <c r="R181" i="18"/>
  <c r="K181" i="18"/>
  <c r="B181" i="18"/>
  <c r="R180" i="18"/>
  <c r="K180" i="18"/>
  <c r="B180" i="18"/>
  <c r="R179" i="18"/>
  <c r="K179" i="18"/>
  <c r="B179" i="18"/>
  <c r="R178" i="18"/>
  <c r="K178" i="18"/>
  <c r="B178" i="18"/>
  <c r="R177" i="18"/>
  <c r="K177" i="18"/>
  <c r="B177" i="18"/>
  <c r="R176" i="18"/>
  <c r="K176" i="18"/>
  <c r="B176" i="18"/>
  <c r="R175" i="18"/>
  <c r="K175" i="18"/>
  <c r="B175" i="18"/>
  <c r="R174" i="18"/>
  <c r="K174" i="18"/>
  <c r="B174" i="18"/>
  <c r="R173" i="18"/>
  <c r="K173" i="18"/>
  <c r="B173" i="18"/>
  <c r="R172" i="18"/>
  <c r="K172" i="18"/>
  <c r="B172" i="18"/>
  <c r="R171" i="18"/>
  <c r="K171" i="18"/>
  <c r="B171" i="18"/>
  <c r="R170" i="18"/>
  <c r="K170" i="18"/>
  <c r="B170" i="18"/>
  <c r="R169" i="18"/>
  <c r="K169" i="18"/>
  <c r="B169" i="18"/>
  <c r="R168" i="18"/>
  <c r="K168" i="18"/>
  <c r="B168" i="18"/>
  <c r="R167" i="18"/>
  <c r="K167" i="18"/>
  <c r="B167" i="18"/>
  <c r="R166" i="18"/>
  <c r="K166" i="18"/>
  <c r="B166" i="18"/>
  <c r="R165" i="18"/>
  <c r="K165" i="18"/>
  <c r="B165" i="18"/>
  <c r="R164" i="18"/>
  <c r="K164" i="18"/>
  <c r="B164" i="18"/>
  <c r="R163" i="18"/>
  <c r="K163" i="18"/>
  <c r="B163" i="18"/>
  <c r="R162" i="18"/>
  <c r="K162" i="18"/>
  <c r="B162" i="18"/>
  <c r="R161" i="18"/>
  <c r="K161" i="18"/>
  <c r="B161" i="18"/>
  <c r="R160" i="18"/>
  <c r="K160" i="18"/>
  <c r="B160" i="18"/>
  <c r="R159" i="18"/>
  <c r="K159" i="18"/>
  <c r="B159" i="18"/>
  <c r="R158" i="18"/>
  <c r="K158" i="18"/>
  <c r="B158" i="18"/>
  <c r="R157" i="18"/>
  <c r="K157" i="18"/>
  <c r="B157" i="18"/>
  <c r="R156" i="18"/>
  <c r="K156" i="18"/>
  <c r="B156" i="18"/>
  <c r="R155" i="18"/>
  <c r="K155" i="18"/>
  <c r="B155" i="18"/>
  <c r="R154" i="18"/>
  <c r="K154" i="18"/>
  <c r="B154" i="18"/>
  <c r="R153" i="18"/>
  <c r="K153" i="18"/>
  <c r="B153" i="18"/>
  <c r="R152" i="18"/>
  <c r="K152" i="18"/>
  <c r="B152" i="18"/>
  <c r="R151" i="18"/>
  <c r="K151" i="18"/>
  <c r="B151" i="18"/>
  <c r="R150" i="18"/>
  <c r="K150" i="18"/>
  <c r="B150" i="18"/>
  <c r="R149" i="18"/>
  <c r="K149" i="18"/>
  <c r="B149" i="18"/>
  <c r="R148" i="18"/>
  <c r="K148" i="18"/>
  <c r="B148" i="18"/>
  <c r="R147" i="18"/>
  <c r="K147" i="18"/>
  <c r="B147" i="18"/>
  <c r="R146" i="18"/>
  <c r="K146" i="18"/>
  <c r="B146" i="18"/>
  <c r="R145" i="18"/>
  <c r="K145" i="18"/>
  <c r="B145" i="18"/>
  <c r="R144" i="18"/>
  <c r="K144" i="18"/>
  <c r="B144" i="18"/>
  <c r="R143" i="18"/>
  <c r="K143" i="18"/>
  <c r="B143" i="18"/>
  <c r="R142" i="18"/>
  <c r="K142" i="18"/>
  <c r="B142" i="18"/>
  <c r="R141" i="18"/>
  <c r="K141" i="18"/>
  <c r="B141" i="18"/>
  <c r="R140" i="18"/>
  <c r="K140" i="18"/>
  <c r="B140" i="18"/>
  <c r="R139" i="18"/>
  <c r="K139" i="18"/>
  <c r="B139" i="18"/>
  <c r="R138" i="18"/>
  <c r="K138" i="18"/>
  <c r="B138" i="18"/>
  <c r="R137" i="18"/>
  <c r="K137" i="18"/>
  <c r="B137" i="18"/>
  <c r="R136" i="18"/>
  <c r="K136" i="18"/>
  <c r="B136" i="18"/>
  <c r="R135" i="18"/>
  <c r="K135" i="18"/>
  <c r="B135" i="18"/>
  <c r="R134" i="18"/>
  <c r="K134" i="18"/>
  <c r="B134" i="18"/>
  <c r="R133" i="18"/>
  <c r="K133" i="18"/>
  <c r="B133" i="18"/>
  <c r="R132" i="18"/>
  <c r="K132" i="18"/>
  <c r="B132" i="18"/>
  <c r="R131" i="18"/>
  <c r="K131" i="18"/>
  <c r="B131" i="18"/>
  <c r="R130" i="18"/>
  <c r="K130" i="18"/>
  <c r="B130" i="18"/>
  <c r="R129" i="18"/>
  <c r="K129" i="18"/>
  <c r="B129" i="18"/>
  <c r="R128" i="18"/>
  <c r="K128" i="18"/>
  <c r="B128" i="18"/>
  <c r="R127" i="18"/>
  <c r="K127" i="18"/>
  <c r="B127" i="18"/>
  <c r="R126" i="18"/>
  <c r="K126" i="18"/>
  <c r="B126" i="18"/>
  <c r="R125" i="18"/>
  <c r="K125" i="18"/>
  <c r="B125" i="18"/>
  <c r="R124" i="18"/>
  <c r="K124" i="18"/>
  <c r="B124" i="18"/>
  <c r="R123" i="18"/>
  <c r="K123" i="18"/>
  <c r="B123" i="18"/>
  <c r="R122" i="18"/>
  <c r="K122" i="18"/>
  <c r="B122" i="18"/>
  <c r="R121" i="18"/>
  <c r="K121" i="18"/>
  <c r="B121" i="18"/>
  <c r="R120" i="18"/>
  <c r="K120" i="18"/>
  <c r="B120" i="18"/>
  <c r="R119" i="18"/>
  <c r="K119" i="18"/>
  <c r="B119" i="18"/>
  <c r="R118" i="18"/>
  <c r="K118" i="18"/>
  <c r="B118" i="18"/>
  <c r="R117" i="18"/>
  <c r="K117" i="18"/>
  <c r="B117" i="18"/>
  <c r="R116" i="18"/>
  <c r="K116" i="18"/>
  <c r="B116" i="18"/>
  <c r="R115" i="18"/>
  <c r="K115" i="18"/>
  <c r="B115" i="18"/>
  <c r="R114" i="18"/>
  <c r="K114" i="18"/>
  <c r="B114" i="18"/>
  <c r="R113" i="18"/>
  <c r="K113" i="18"/>
  <c r="B113" i="18"/>
  <c r="R112" i="18"/>
  <c r="K112" i="18"/>
  <c r="B112" i="18"/>
  <c r="R111" i="18"/>
  <c r="K111" i="18"/>
  <c r="B111" i="18"/>
  <c r="R110" i="18"/>
  <c r="K110" i="18"/>
  <c r="B110" i="18"/>
  <c r="R109" i="18"/>
  <c r="K109" i="18"/>
  <c r="B109" i="18"/>
  <c r="R108" i="18"/>
  <c r="K108" i="18"/>
  <c r="B108" i="18"/>
  <c r="R107" i="18"/>
  <c r="K107" i="18"/>
  <c r="B107" i="18"/>
  <c r="R106" i="18"/>
  <c r="K106" i="18"/>
  <c r="B106" i="18"/>
  <c r="R105" i="18"/>
  <c r="K105" i="18"/>
  <c r="B105" i="18"/>
  <c r="R104" i="18"/>
  <c r="K104" i="18"/>
  <c r="B104" i="18"/>
  <c r="R103" i="18"/>
  <c r="K103" i="18"/>
  <c r="B103" i="18"/>
  <c r="R102" i="18"/>
  <c r="K102" i="18"/>
  <c r="B102" i="18"/>
  <c r="R101" i="18"/>
  <c r="K101" i="18"/>
  <c r="B101" i="18"/>
  <c r="R100" i="18"/>
  <c r="K100" i="18"/>
  <c r="B100" i="18"/>
  <c r="R99" i="18"/>
  <c r="K99" i="18"/>
  <c r="B99" i="18"/>
  <c r="R98" i="18"/>
  <c r="K98" i="18"/>
  <c r="B98" i="18"/>
  <c r="R97" i="18"/>
  <c r="K97" i="18"/>
  <c r="B97" i="18"/>
  <c r="R96" i="18"/>
  <c r="K96" i="18"/>
  <c r="B96" i="18"/>
  <c r="R95" i="18"/>
  <c r="K95" i="18"/>
  <c r="B95" i="18"/>
  <c r="R94" i="18"/>
  <c r="K94" i="18"/>
  <c r="B94" i="18"/>
  <c r="R93" i="18"/>
  <c r="K93" i="18"/>
  <c r="B93" i="18"/>
  <c r="R92" i="18"/>
  <c r="K92" i="18"/>
  <c r="B92" i="18"/>
  <c r="R91" i="18"/>
  <c r="K91" i="18"/>
  <c r="B91" i="18"/>
  <c r="R90" i="18"/>
  <c r="K90" i="18"/>
  <c r="B90" i="18"/>
  <c r="R89" i="18"/>
  <c r="K89" i="18"/>
  <c r="B89" i="18"/>
  <c r="R88" i="18"/>
  <c r="K88" i="18"/>
  <c r="B88" i="18"/>
  <c r="R87" i="18"/>
  <c r="K87" i="18"/>
  <c r="B87" i="18"/>
  <c r="R86" i="18"/>
  <c r="K86" i="18"/>
  <c r="B86" i="18"/>
  <c r="R85" i="18"/>
  <c r="K85" i="18"/>
  <c r="B85" i="18"/>
  <c r="R84" i="18"/>
  <c r="K84" i="18"/>
  <c r="B84" i="18"/>
  <c r="R83" i="18"/>
  <c r="K83" i="18"/>
  <c r="B83" i="18"/>
  <c r="R82" i="18"/>
  <c r="K82" i="18"/>
  <c r="B82" i="18"/>
  <c r="R81" i="18"/>
  <c r="K81" i="18"/>
  <c r="B81" i="18"/>
  <c r="R80" i="18"/>
  <c r="K80" i="18"/>
  <c r="B80" i="18"/>
  <c r="R79" i="18"/>
  <c r="K79" i="18"/>
  <c r="B79" i="18"/>
  <c r="R78" i="18"/>
  <c r="K78" i="18"/>
  <c r="B78" i="18"/>
  <c r="R77" i="18"/>
  <c r="K77" i="18"/>
  <c r="B77" i="18"/>
  <c r="R76" i="18"/>
  <c r="K76" i="18"/>
  <c r="B76" i="18"/>
  <c r="R75" i="18"/>
  <c r="K75" i="18"/>
  <c r="B75" i="18"/>
  <c r="R74" i="18"/>
  <c r="K74" i="18"/>
  <c r="B74" i="18"/>
  <c r="R73" i="18"/>
  <c r="K73" i="18"/>
  <c r="B73" i="18"/>
  <c r="R72" i="18"/>
  <c r="K72" i="18"/>
  <c r="B72" i="18"/>
  <c r="R71" i="18"/>
  <c r="K71" i="18"/>
  <c r="B71" i="18"/>
  <c r="R70" i="18"/>
  <c r="K70" i="18"/>
  <c r="B70" i="18"/>
  <c r="R69" i="18"/>
  <c r="K69" i="18"/>
  <c r="B69" i="18"/>
  <c r="R68" i="18"/>
  <c r="K68" i="18"/>
  <c r="B68" i="18"/>
  <c r="R67" i="18"/>
  <c r="K67" i="18"/>
  <c r="B67" i="18"/>
  <c r="R66" i="18"/>
  <c r="K66" i="18"/>
  <c r="B66" i="18"/>
  <c r="R65" i="18"/>
  <c r="K65" i="18"/>
  <c r="B65" i="18"/>
  <c r="R64" i="18"/>
  <c r="K64" i="18"/>
  <c r="B64" i="18"/>
  <c r="R63" i="18"/>
  <c r="K63" i="18"/>
  <c r="B63" i="18"/>
  <c r="R62" i="18"/>
  <c r="K62" i="18"/>
  <c r="B62" i="18"/>
  <c r="R61" i="18"/>
  <c r="K61" i="18"/>
  <c r="B61" i="18"/>
  <c r="R60" i="18"/>
  <c r="K60" i="18"/>
  <c r="B60" i="18"/>
  <c r="R59" i="18"/>
  <c r="K59" i="18"/>
  <c r="B59" i="18"/>
  <c r="R58" i="18"/>
  <c r="K58" i="18"/>
  <c r="B58" i="18"/>
  <c r="R57" i="18"/>
  <c r="K57" i="18"/>
  <c r="B57" i="18"/>
  <c r="R56" i="18"/>
  <c r="K56" i="18"/>
  <c r="B56" i="18"/>
  <c r="R55" i="18"/>
  <c r="K55" i="18"/>
  <c r="B55" i="18"/>
  <c r="R54" i="18"/>
  <c r="K54" i="18"/>
  <c r="B54" i="18"/>
  <c r="R53" i="18"/>
  <c r="K53" i="18"/>
  <c r="B53" i="18"/>
  <c r="R52" i="18"/>
  <c r="K52" i="18"/>
  <c r="B52" i="18"/>
  <c r="R51" i="18"/>
  <c r="K51" i="18"/>
  <c r="B51" i="18"/>
  <c r="R50" i="18"/>
  <c r="K50" i="18"/>
  <c r="B50" i="18"/>
  <c r="R49" i="18"/>
  <c r="K49" i="18"/>
  <c r="B49" i="18"/>
  <c r="R48" i="18"/>
  <c r="K48" i="18"/>
  <c r="B48" i="18"/>
  <c r="R47" i="18"/>
  <c r="K47" i="18"/>
  <c r="B47" i="18"/>
  <c r="R46" i="18"/>
  <c r="K46" i="18"/>
  <c r="B46" i="18"/>
  <c r="R45" i="18"/>
  <c r="K45" i="18"/>
  <c r="B45" i="18"/>
  <c r="R44" i="18"/>
  <c r="K44" i="18"/>
  <c r="B44" i="18"/>
  <c r="R43" i="18"/>
  <c r="K43" i="18"/>
  <c r="B43" i="18"/>
  <c r="R42" i="18"/>
  <c r="K42" i="18"/>
  <c r="B42" i="18"/>
  <c r="R41" i="18"/>
  <c r="K41" i="18"/>
  <c r="B41" i="18"/>
  <c r="R40" i="18"/>
  <c r="K40" i="18"/>
  <c r="B40" i="18"/>
  <c r="R39" i="18"/>
  <c r="K39" i="18"/>
  <c r="B39" i="18"/>
  <c r="R38" i="18"/>
  <c r="K38" i="18"/>
  <c r="B38" i="18"/>
  <c r="R37" i="18"/>
  <c r="K37" i="18"/>
  <c r="B37" i="18"/>
  <c r="R36" i="18"/>
  <c r="K36" i="18"/>
  <c r="B36" i="18"/>
  <c r="R35" i="18"/>
  <c r="K35" i="18"/>
  <c r="B35" i="18"/>
  <c r="R34" i="18"/>
  <c r="K34" i="18"/>
  <c r="B34" i="18"/>
  <c r="R33" i="18"/>
  <c r="K33" i="18"/>
  <c r="B33" i="18"/>
  <c r="R32" i="18"/>
  <c r="K32" i="18"/>
  <c r="B32" i="18"/>
  <c r="R31" i="18"/>
  <c r="K31" i="18"/>
  <c r="B31" i="18"/>
  <c r="R30" i="18"/>
  <c r="K30" i="18"/>
  <c r="B30" i="18"/>
  <c r="R29" i="18"/>
  <c r="K29" i="18"/>
  <c r="B29" i="18"/>
  <c r="R28" i="18"/>
  <c r="K28" i="18"/>
  <c r="B28" i="18"/>
  <c r="R27" i="18"/>
  <c r="K27" i="18"/>
  <c r="B27" i="18"/>
  <c r="R26" i="18"/>
  <c r="K26" i="18"/>
  <c r="B26" i="18"/>
  <c r="R25" i="18"/>
  <c r="K25" i="18"/>
  <c r="B25" i="18"/>
  <c r="R24" i="18"/>
  <c r="K24" i="18"/>
  <c r="B24" i="18"/>
  <c r="R23" i="18"/>
  <c r="K23" i="18"/>
  <c r="B23" i="18"/>
  <c r="R22" i="18"/>
  <c r="K22" i="18"/>
  <c r="B22" i="18"/>
  <c r="R21" i="18"/>
  <c r="K21" i="18"/>
  <c r="B21" i="18"/>
  <c r="R20" i="18"/>
  <c r="K20" i="18"/>
  <c r="B20" i="18"/>
  <c r="R19" i="18"/>
  <c r="K19" i="18"/>
  <c r="B19" i="18"/>
  <c r="R18" i="18"/>
  <c r="K18" i="18"/>
  <c r="B18" i="18"/>
  <c r="R17" i="18"/>
  <c r="K17" i="18"/>
  <c r="B17" i="18"/>
  <c r="R16" i="18"/>
  <c r="K16" i="18"/>
  <c r="B16" i="18"/>
  <c r="R15" i="18"/>
  <c r="K15" i="18"/>
  <c r="B15" i="18"/>
  <c r="R14" i="18"/>
  <c r="K14" i="18"/>
  <c r="B14" i="18"/>
  <c r="H3" i="18"/>
  <c r="U282" i="17"/>
  <c r="T282" i="17"/>
  <c r="S282" i="17"/>
  <c r="R282" i="17"/>
  <c r="Q282" i="17"/>
  <c r="P282" i="17"/>
  <c r="O282" i="17"/>
  <c r="N282" i="17"/>
  <c r="M282" i="17" s="1"/>
  <c r="B282" i="17"/>
  <c r="T281" i="17"/>
  <c r="S281" i="17"/>
  <c r="R281" i="17"/>
  <c r="Q281" i="17"/>
  <c r="P281" i="17"/>
  <c r="O281" i="17"/>
  <c r="U281" i="17" s="1"/>
  <c r="N281" i="17"/>
  <c r="M281" i="17" s="1"/>
  <c r="B281" i="17"/>
  <c r="T280" i="17"/>
  <c r="S280" i="17"/>
  <c r="R280" i="17"/>
  <c r="Q280" i="17"/>
  <c r="P280" i="17"/>
  <c r="O280" i="17"/>
  <c r="U280" i="17" s="1"/>
  <c r="N280" i="17"/>
  <c r="M280" i="17" s="1"/>
  <c r="B280" i="17"/>
  <c r="T279" i="17"/>
  <c r="S279" i="17"/>
  <c r="R279" i="17"/>
  <c r="Q279" i="17"/>
  <c r="P279" i="17"/>
  <c r="O279" i="17"/>
  <c r="U279" i="17" s="1"/>
  <c r="N279" i="17"/>
  <c r="M279" i="17" s="1"/>
  <c r="B279" i="17"/>
  <c r="U278" i="17"/>
  <c r="T278" i="17"/>
  <c r="S278" i="17"/>
  <c r="R278" i="17"/>
  <c r="Q278" i="17"/>
  <c r="P278" i="17"/>
  <c r="O278" i="17"/>
  <c r="N278" i="17"/>
  <c r="M278" i="17" s="1"/>
  <c r="B278" i="17"/>
  <c r="T277" i="17"/>
  <c r="S277" i="17"/>
  <c r="R277" i="17"/>
  <c r="Q277" i="17"/>
  <c r="P277" i="17"/>
  <c r="O277" i="17"/>
  <c r="U277" i="17" s="1"/>
  <c r="N277" i="17"/>
  <c r="M277" i="17" s="1"/>
  <c r="B277" i="17"/>
  <c r="T276" i="17"/>
  <c r="S276" i="17"/>
  <c r="R276" i="17"/>
  <c r="Q276" i="17"/>
  <c r="P276" i="17"/>
  <c r="O276" i="17"/>
  <c r="U276" i="17" s="1"/>
  <c r="N276" i="17"/>
  <c r="M276" i="17" s="1"/>
  <c r="B276" i="17"/>
  <c r="T275" i="17"/>
  <c r="S275" i="17"/>
  <c r="R275" i="17"/>
  <c r="Q275" i="17"/>
  <c r="P275" i="17"/>
  <c r="O275" i="17"/>
  <c r="U275" i="17" s="1"/>
  <c r="N275" i="17"/>
  <c r="M275" i="17" s="1"/>
  <c r="B275" i="17"/>
  <c r="U274" i="17"/>
  <c r="T274" i="17"/>
  <c r="S274" i="17"/>
  <c r="R274" i="17"/>
  <c r="Q274" i="17"/>
  <c r="P274" i="17"/>
  <c r="O274" i="17"/>
  <c r="N274" i="17"/>
  <c r="M274" i="17" s="1"/>
  <c r="B274" i="17"/>
  <c r="T273" i="17"/>
  <c r="S273" i="17"/>
  <c r="R273" i="17"/>
  <c r="Q273" i="17"/>
  <c r="P273" i="17"/>
  <c r="O273" i="17"/>
  <c r="U273" i="17" s="1"/>
  <c r="N273" i="17"/>
  <c r="M273" i="17" s="1"/>
  <c r="U272" i="17"/>
  <c r="T272" i="17"/>
  <c r="S272" i="17"/>
  <c r="R272" i="17"/>
  <c r="Q272" i="17"/>
  <c r="P272" i="17"/>
  <c r="O272" i="17"/>
  <c r="B272" i="17" s="1"/>
  <c r="N272" i="17"/>
  <c r="M272" i="17"/>
  <c r="T271" i="17"/>
  <c r="S271" i="17"/>
  <c r="R271" i="17"/>
  <c r="Q271" i="17"/>
  <c r="P271" i="17"/>
  <c r="O271" i="17"/>
  <c r="B271" i="17" s="1"/>
  <c r="N271" i="17"/>
  <c r="M271" i="17"/>
  <c r="U270" i="17"/>
  <c r="T270" i="17"/>
  <c r="S270" i="17"/>
  <c r="R270" i="17"/>
  <c r="Q270" i="17"/>
  <c r="P270" i="17"/>
  <c r="O270" i="17"/>
  <c r="N270" i="17"/>
  <c r="M270" i="17"/>
  <c r="B270" i="17"/>
  <c r="T269" i="17"/>
  <c r="S269" i="17"/>
  <c r="R269" i="17"/>
  <c r="Q269" i="17"/>
  <c r="P269" i="17"/>
  <c r="O269" i="17"/>
  <c r="N269" i="17"/>
  <c r="M269" i="17" s="1"/>
  <c r="U268" i="17"/>
  <c r="T268" i="17"/>
  <c r="S268" i="17"/>
  <c r="R268" i="17"/>
  <c r="Q268" i="17"/>
  <c r="P268" i="17"/>
  <c r="O268" i="17"/>
  <c r="B268" i="17" s="1"/>
  <c r="N268" i="17"/>
  <c r="M268" i="17"/>
  <c r="T267" i="17"/>
  <c r="S267" i="17"/>
  <c r="R267" i="17"/>
  <c r="Q267" i="17"/>
  <c r="P267" i="17"/>
  <c r="O267" i="17"/>
  <c r="B267" i="17" s="1"/>
  <c r="N267" i="17"/>
  <c r="M267" i="17"/>
  <c r="U266" i="17"/>
  <c r="T266" i="17"/>
  <c r="S266" i="17"/>
  <c r="R266" i="17"/>
  <c r="Q266" i="17"/>
  <c r="P266" i="17"/>
  <c r="O266" i="17"/>
  <c r="N266" i="17"/>
  <c r="M266" i="17"/>
  <c r="B266" i="17"/>
  <c r="T265" i="17"/>
  <c r="S265" i="17"/>
  <c r="R265" i="17"/>
  <c r="Q265" i="17"/>
  <c r="P265" i="17"/>
  <c r="O265" i="17"/>
  <c r="N265" i="17"/>
  <c r="M265" i="17" s="1"/>
  <c r="U264" i="17"/>
  <c r="T264" i="17"/>
  <c r="S264" i="17"/>
  <c r="R264" i="17"/>
  <c r="Q264" i="17"/>
  <c r="P264" i="17"/>
  <c r="O264" i="17"/>
  <c r="N264" i="17"/>
  <c r="M264" i="17"/>
  <c r="B264" i="17"/>
  <c r="T263" i="17"/>
  <c r="S263" i="17"/>
  <c r="R263" i="17"/>
  <c r="Q263" i="17"/>
  <c r="P263" i="17"/>
  <c r="O263" i="17"/>
  <c r="B263" i="17" s="1"/>
  <c r="N263" i="17"/>
  <c r="M263" i="17" s="1"/>
  <c r="U262" i="17"/>
  <c r="T262" i="17"/>
  <c r="S262" i="17"/>
  <c r="R262" i="17"/>
  <c r="Q262" i="17"/>
  <c r="P262" i="17"/>
  <c r="O262" i="17"/>
  <c r="N262" i="17"/>
  <c r="M262" i="17"/>
  <c r="B262" i="17"/>
  <c r="T261" i="17"/>
  <c r="S261" i="17"/>
  <c r="R261" i="17"/>
  <c r="Q261" i="17"/>
  <c r="P261" i="17"/>
  <c r="O261" i="17"/>
  <c r="N261" i="17"/>
  <c r="M261" i="17" s="1"/>
  <c r="U260" i="17"/>
  <c r="T260" i="17"/>
  <c r="S260" i="17"/>
  <c r="R260" i="17"/>
  <c r="Q260" i="17"/>
  <c r="P260" i="17"/>
  <c r="O260" i="17"/>
  <c r="N260" i="17"/>
  <c r="M260" i="17"/>
  <c r="B260" i="17"/>
  <c r="T259" i="17"/>
  <c r="S259" i="17"/>
  <c r="R259" i="17"/>
  <c r="Q259" i="17"/>
  <c r="P259" i="17"/>
  <c r="O259" i="17"/>
  <c r="B259" i="17" s="1"/>
  <c r="N259" i="17"/>
  <c r="M259" i="17" s="1"/>
  <c r="U258" i="17"/>
  <c r="T258" i="17"/>
  <c r="S258" i="17"/>
  <c r="R258" i="17"/>
  <c r="Q258" i="17"/>
  <c r="P258" i="17"/>
  <c r="O258" i="17"/>
  <c r="N258" i="17"/>
  <c r="M258" i="17"/>
  <c r="B258" i="17"/>
  <c r="T257" i="17"/>
  <c r="S257" i="17"/>
  <c r="R257" i="17"/>
  <c r="Q257" i="17"/>
  <c r="P257" i="17"/>
  <c r="O257" i="17"/>
  <c r="N257" i="17"/>
  <c r="M257" i="17" s="1"/>
  <c r="U256" i="17"/>
  <c r="T256" i="17"/>
  <c r="S256" i="17"/>
  <c r="R256" i="17"/>
  <c r="Q256" i="17"/>
  <c r="P256" i="17"/>
  <c r="O256" i="17"/>
  <c r="N256" i="17"/>
  <c r="M256" i="17"/>
  <c r="B256" i="17"/>
  <c r="T255" i="17"/>
  <c r="S255" i="17"/>
  <c r="R255" i="17"/>
  <c r="Q255" i="17"/>
  <c r="P255" i="17"/>
  <c r="O255" i="17"/>
  <c r="B255" i="17" s="1"/>
  <c r="N255" i="17"/>
  <c r="M255" i="17" s="1"/>
  <c r="U254" i="17"/>
  <c r="T254" i="17"/>
  <c r="S254" i="17"/>
  <c r="R254" i="17"/>
  <c r="Q254" i="17"/>
  <c r="P254" i="17"/>
  <c r="O254" i="17"/>
  <c r="N254" i="17"/>
  <c r="M254" i="17"/>
  <c r="B254" i="17"/>
  <c r="T253" i="17"/>
  <c r="S253" i="17"/>
  <c r="R253" i="17"/>
  <c r="Q253" i="17"/>
  <c r="P253" i="17"/>
  <c r="O253" i="17"/>
  <c r="N253" i="17"/>
  <c r="M253" i="17" s="1"/>
  <c r="U252" i="17"/>
  <c r="T252" i="17"/>
  <c r="S252" i="17"/>
  <c r="R252" i="17"/>
  <c r="Q252" i="17"/>
  <c r="P252" i="17"/>
  <c r="O252" i="17"/>
  <c r="N252" i="17"/>
  <c r="M252" i="17"/>
  <c r="B252" i="17"/>
  <c r="T251" i="17"/>
  <c r="S251" i="17"/>
  <c r="R251" i="17"/>
  <c r="Q251" i="17"/>
  <c r="P251" i="17"/>
  <c r="O251" i="17"/>
  <c r="B251" i="17" s="1"/>
  <c r="N251" i="17"/>
  <c r="M251" i="17" s="1"/>
  <c r="U250" i="17"/>
  <c r="T250" i="17"/>
  <c r="S250" i="17"/>
  <c r="R250" i="17"/>
  <c r="Q250" i="17"/>
  <c r="P250" i="17"/>
  <c r="O250" i="17"/>
  <c r="N250" i="17"/>
  <c r="M250" i="17"/>
  <c r="B250" i="17"/>
  <c r="T249" i="17"/>
  <c r="S249" i="17"/>
  <c r="R249" i="17"/>
  <c r="Q249" i="17"/>
  <c r="P249" i="17"/>
  <c r="O249" i="17"/>
  <c r="N249" i="17"/>
  <c r="M249" i="17" s="1"/>
  <c r="U248" i="17"/>
  <c r="T248" i="17"/>
  <c r="S248" i="17"/>
  <c r="R248" i="17"/>
  <c r="Q248" i="17"/>
  <c r="P248" i="17"/>
  <c r="O248" i="17"/>
  <c r="N248" i="17"/>
  <c r="M248" i="17"/>
  <c r="B248" i="17"/>
  <c r="T247" i="17"/>
  <c r="S247" i="17"/>
  <c r="R247" i="17"/>
  <c r="Q247" i="17"/>
  <c r="P247" i="17"/>
  <c r="O247" i="17"/>
  <c r="B247" i="17" s="1"/>
  <c r="N247" i="17"/>
  <c r="M247" i="17" s="1"/>
  <c r="U246" i="17"/>
  <c r="T246" i="17"/>
  <c r="S246" i="17"/>
  <c r="R246" i="17"/>
  <c r="Q246" i="17"/>
  <c r="P246" i="17"/>
  <c r="O246" i="17"/>
  <c r="N246" i="17"/>
  <c r="M246" i="17"/>
  <c r="B246" i="17"/>
  <c r="T245" i="17"/>
  <c r="S245" i="17"/>
  <c r="R245" i="17"/>
  <c r="Q245" i="17"/>
  <c r="P245" i="17"/>
  <c r="O245" i="17"/>
  <c r="N245" i="17"/>
  <c r="M245" i="17" s="1"/>
  <c r="U244" i="17"/>
  <c r="T244" i="17"/>
  <c r="S244" i="17"/>
  <c r="R244" i="17"/>
  <c r="Q244" i="17"/>
  <c r="P244" i="17"/>
  <c r="O244" i="17"/>
  <c r="N244" i="17"/>
  <c r="M244" i="17"/>
  <c r="B244" i="17"/>
  <c r="T243" i="17"/>
  <c r="S243" i="17"/>
  <c r="R243" i="17"/>
  <c r="Q243" i="17"/>
  <c r="P243" i="17"/>
  <c r="O243" i="17"/>
  <c r="B243" i="17" s="1"/>
  <c r="N243" i="17"/>
  <c r="M243" i="17" s="1"/>
  <c r="U242" i="17"/>
  <c r="T242" i="17"/>
  <c r="S242" i="17"/>
  <c r="R242" i="17"/>
  <c r="Q242" i="17"/>
  <c r="P242" i="17"/>
  <c r="O242" i="17"/>
  <c r="N242" i="17"/>
  <c r="M242" i="17"/>
  <c r="B242" i="17"/>
  <c r="T241" i="17"/>
  <c r="S241" i="17"/>
  <c r="R241" i="17"/>
  <c r="Q241" i="17"/>
  <c r="P241" i="17"/>
  <c r="O241" i="17"/>
  <c r="N241" i="17"/>
  <c r="M241" i="17" s="1"/>
  <c r="U240" i="17"/>
  <c r="T240" i="17"/>
  <c r="S240" i="17"/>
  <c r="R240" i="17"/>
  <c r="Q240" i="17"/>
  <c r="P240" i="17"/>
  <c r="O240" i="17"/>
  <c r="N240" i="17"/>
  <c r="M240" i="17"/>
  <c r="B240" i="17"/>
  <c r="T239" i="17"/>
  <c r="S239" i="17"/>
  <c r="R239" i="17"/>
  <c r="Q239" i="17"/>
  <c r="P239" i="17"/>
  <c r="O239" i="17"/>
  <c r="B239" i="17" s="1"/>
  <c r="N239" i="17"/>
  <c r="M239" i="17" s="1"/>
  <c r="U238" i="17"/>
  <c r="T238" i="17"/>
  <c r="S238" i="17"/>
  <c r="R238" i="17"/>
  <c r="Q238" i="17"/>
  <c r="P238" i="17"/>
  <c r="O238" i="17"/>
  <c r="N238" i="17"/>
  <c r="M238" i="17"/>
  <c r="B238" i="17"/>
  <c r="T237" i="17"/>
  <c r="S237" i="17"/>
  <c r="R237" i="17"/>
  <c r="Q237" i="17"/>
  <c r="P237" i="17"/>
  <c r="O237" i="17"/>
  <c r="N237" i="17"/>
  <c r="M237" i="17" s="1"/>
  <c r="U236" i="17"/>
  <c r="T236" i="17"/>
  <c r="S236" i="17"/>
  <c r="R236" i="17"/>
  <c r="Q236" i="17"/>
  <c r="P236" i="17"/>
  <c r="O236" i="17"/>
  <c r="N236" i="17"/>
  <c r="M236" i="17"/>
  <c r="B236" i="17"/>
  <c r="T235" i="17"/>
  <c r="S235" i="17"/>
  <c r="R235" i="17"/>
  <c r="Q235" i="17"/>
  <c r="P235" i="17"/>
  <c r="O235" i="17"/>
  <c r="B235" i="17" s="1"/>
  <c r="N235" i="17"/>
  <c r="M235" i="17" s="1"/>
  <c r="U234" i="17"/>
  <c r="T234" i="17"/>
  <c r="S234" i="17"/>
  <c r="R234" i="17"/>
  <c r="Q234" i="17"/>
  <c r="P234" i="17"/>
  <c r="O234" i="17"/>
  <c r="B234" i="17" s="1"/>
  <c r="N234" i="17"/>
  <c r="M234" i="17"/>
  <c r="T233" i="17"/>
  <c r="S233" i="17"/>
  <c r="R233" i="17"/>
  <c r="Q233" i="17"/>
  <c r="P233" i="17"/>
  <c r="O233" i="17"/>
  <c r="N233" i="17"/>
  <c r="M233" i="17" s="1"/>
  <c r="U232" i="17"/>
  <c r="T232" i="17"/>
  <c r="S232" i="17"/>
  <c r="R232" i="17"/>
  <c r="Q232" i="17"/>
  <c r="P232" i="17"/>
  <c r="O232" i="17"/>
  <c r="N232" i="17"/>
  <c r="M232" i="17"/>
  <c r="B232" i="17"/>
  <c r="T231" i="17"/>
  <c r="S231" i="17"/>
  <c r="R231" i="17"/>
  <c r="Q231" i="17"/>
  <c r="P231" i="17"/>
  <c r="O231" i="17"/>
  <c r="B231" i="17" s="1"/>
  <c r="N231" i="17"/>
  <c r="M231" i="17" s="1"/>
  <c r="U230" i="17"/>
  <c r="T230" i="17"/>
  <c r="S230" i="17"/>
  <c r="R230" i="17"/>
  <c r="Q230" i="17"/>
  <c r="P230" i="17"/>
  <c r="O230" i="17"/>
  <c r="B230" i="17" s="1"/>
  <c r="N230" i="17"/>
  <c r="M230" i="17"/>
  <c r="T229" i="17"/>
  <c r="S229" i="17"/>
  <c r="R229" i="17"/>
  <c r="Q229" i="17"/>
  <c r="P229" i="17"/>
  <c r="O229" i="17"/>
  <c r="N229" i="17"/>
  <c r="M229" i="17" s="1"/>
  <c r="U228" i="17"/>
  <c r="T228" i="17"/>
  <c r="S228" i="17"/>
  <c r="R228" i="17"/>
  <c r="Q228" i="17"/>
  <c r="P228" i="17"/>
  <c r="O228" i="17"/>
  <c r="N228" i="17"/>
  <c r="M228" i="17"/>
  <c r="B228" i="17"/>
  <c r="T227" i="17"/>
  <c r="S227" i="17"/>
  <c r="R227" i="17"/>
  <c r="Q227" i="17"/>
  <c r="P227" i="17"/>
  <c r="O227" i="17"/>
  <c r="B227" i="17" s="1"/>
  <c r="N227" i="17"/>
  <c r="M227" i="17" s="1"/>
  <c r="U226" i="17"/>
  <c r="T226" i="17"/>
  <c r="S226" i="17"/>
  <c r="R226" i="17"/>
  <c r="Q226" i="17"/>
  <c r="P226" i="17"/>
  <c r="O226" i="17"/>
  <c r="B226" i="17" s="1"/>
  <c r="N226" i="17"/>
  <c r="M226" i="17"/>
  <c r="T225" i="17"/>
  <c r="S225" i="17"/>
  <c r="R225" i="17"/>
  <c r="Q225" i="17"/>
  <c r="P225" i="17"/>
  <c r="O225" i="17"/>
  <c r="N225" i="17"/>
  <c r="M225" i="17" s="1"/>
  <c r="U224" i="17"/>
  <c r="T224" i="17"/>
  <c r="S224" i="17"/>
  <c r="R224" i="17"/>
  <c r="Q224" i="17"/>
  <c r="P224" i="17"/>
  <c r="O224" i="17"/>
  <c r="N224" i="17"/>
  <c r="M224" i="17"/>
  <c r="B224" i="17"/>
  <c r="T223" i="17"/>
  <c r="S223" i="17"/>
  <c r="R223" i="17"/>
  <c r="Q223" i="17"/>
  <c r="P223" i="17"/>
  <c r="O223" i="17"/>
  <c r="B223" i="17" s="1"/>
  <c r="N223" i="17"/>
  <c r="M223" i="17" s="1"/>
  <c r="U222" i="17"/>
  <c r="T222" i="17"/>
  <c r="S222" i="17"/>
  <c r="R222" i="17"/>
  <c r="Q222" i="17"/>
  <c r="P222" i="17"/>
  <c r="O222" i="17"/>
  <c r="B222" i="17" s="1"/>
  <c r="N222" i="17"/>
  <c r="M222" i="17"/>
  <c r="T221" i="17"/>
  <c r="S221" i="17"/>
  <c r="R221" i="17"/>
  <c r="Q221" i="17"/>
  <c r="P221" i="17"/>
  <c r="O221" i="17"/>
  <c r="N221" i="17"/>
  <c r="M221" i="17" s="1"/>
  <c r="U220" i="17"/>
  <c r="T220" i="17"/>
  <c r="S220" i="17"/>
  <c r="R220" i="17"/>
  <c r="Q220" i="17"/>
  <c r="P220" i="17"/>
  <c r="O220" i="17"/>
  <c r="N220" i="17"/>
  <c r="M220" i="17"/>
  <c r="B220" i="17"/>
  <c r="T219" i="17"/>
  <c r="S219" i="17"/>
  <c r="R219" i="17"/>
  <c r="Q219" i="17"/>
  <c r="P219" i="17"/>
  <c r="O219" i="17"/>
  <c r="B219" i="17" s="1"/>
  <c r="N219" i="17"/>
  <c r="M219" i="17" s="1"/>
  <c r="U218" i="17"/>
  <c r="T218" i="17"/>
  <c r="S218" i="17"/>
  <c r="R218" i="17"/>
  <c r="Q218" i="17"/>
  <c r="P218" i="17"/>
  <c r="O218" i="17"/>
  <c r="B218" i="17" s="1"/>
  <c r="N218" i="17"/>
  <c r="M218" i="17"/>
  <c r="T217" i="17"/>
  <c r="S217" i="17"/>
  <c r="R217" i="17"/>
  <c r="Q217" i="17"/>
  <c r="P217" i="17"/>
  <c r="O217" i="17"/>
  <c r="N217" i="17"/>
  <c r="M217" i="17" s="1"/>
  <c r="U216" i="17"/>
  <c r="T216" i="17"/>
  <c r="S216" i="17"/>
  <c r="R216" i="17"/>
  <c r="Q216" i="17"/>
  <c r="P216" i="17"/>
  <c r="O216" i="17"/>
  <c r="N216" i="17"/>
  <c r="M216" i="17"/>
  <c r="B216" i="17"/>
  <c r="T215" i="17"/>
  <c r="S215" i="17"/>
  <c r="R215" i="17"/>
  <c r="Q215" i="17"/>
  <c r="P215" i="17"/>
  <c r="O215" i="17"/>
  <c r="B215" i="17" s="1"/>
  <c r="N215" i="17"/>
  <c r="M215" i="17" s="1"/>
  <c r="U214" i="17"/>
  <c r="T214" i="17"/>
  <c r="S214" i="17"/>
  <c r="R214" i="17"/>
  <c r="Q214" i="17"/>
  <c r="P214" i="17"/>
  <c r="O214" i="17"/>
  <c r="B214" i="17" s="1"/>
  <c r="N214" i="17"/>
  <c r="M214" i="17"/>
  <c r="T213" i="17"/>
  <c r="S213" i="17"/>
  <c r="R213" i="17"/>
  <c r="Q213" i="17"/>
  <c r="P213" i="17"/>
  <c r="O213" i="17"/>
  <c r="N213" i="17"/>
  <c r="M213" i="17" s="1"/>
  <c r="U212" i="17"/>
  <c r="T212" i="17"/>
  <c r="S212" i="17"/>
  <c r="R212" i="17"/>
  <c r="Q212" i="17"/>
  <c r="P212" i="17"/>
  <c r="O212" i="17"/>
  <c r="N212" i="17"/>
  <c r="M212" i="17"/>
  <c r="B212" i="17"/>
  <c r="T211" i="17"/>
  <c r="S211" i="17"/>
  <c r="R211" i="17"/>
  <c r="Q211" i="17"/>
  <c r="P211" i="17"/>
  <c r="O211" i="17"/>
  <c r="B211" i="17" s="1"/>
  <c r="N211" i="17"/>
  <c r="M211" i="17" s="1"/>
  <c r="U210" i="17"/>
  <c r="T210" i="17"/>
  <c r="S210" i="17"/>
  <c r="R210" i="17"/>
  <c r="Q210" i="17"/>
  <c r="P210" i="17"/>
  <c r="O210" i="17"/>
  <c r="B210" i="17" s="1"/>
  <c r="N210" i="17"/>
  <c r="M210" i="17"/>
  <c r="T209" i="17"/>
  <c r="S209" i="17"/>
  <c r="R209" i="17"/>
  <c r="Q209" i="17"/>
  <c r="P209" i="17"/>
  <c r="O209" i="17"/>
  <c r="N209" i="17"/>
  <c r="M209" i="17" s="1"/>
  <c r="U208" i="17"/>
  <c r="T208" i="17"/>
  <c r="S208" i="17"/>
  <c r="R208" i="17"/>
  <c r="Q208" i="17"/>
  <c r="P208" i="17"/>
  <c r="O208" i="17"/>
  <c r="N208" i="17"/>
  <c r="M208" i="17"/>
  <c r="B208" i="17"/>
  <c r="T207" i="17"/>
  <c r="S207" i="17"/>
  <c r="R207" i="17"/>
  <c r="Q207" i="17"/>
  <c r="P207" i="17"/>
  <c r="O207" i="17"/>
  <c r="N207" i="17"/>
  <c r="M207" i="17" s="1"/>
  <c r="U206" i="17"/>
  <c r="T206" i="17"/>
  <c r="S206" i="17"/>
  <c r="R206" i="17"/>
  <c r="Q206" i="17"/>
  <c r="P206" i="17"/>
  <c r="O206" i="17"/>
  <c r="B206" i="17" s="1"/>
  <c r="N206" i="17"/>
  <c r="M206" i="17"/>
  <c r="T205" i="17"/>
  <c r="S205" i="17"/>
  <c r="R205" i="17"/>
  <c r="Q205" i="17"/>
  <c r="P205" i="17"/>
  <c r="O205" i="17"/>
  <c r="N205" i="17"/>
  <c r="M205" i="17" s="1"/>
  <c r="U204" i="17"/>
  <c r="T204" i="17"/>
  <c r="S204" i="17"/>
  <c r="R204" i="17"/>
  <c r="Q204" i="17"/>
  <c r="P204" i="17"/>
  <c r="O204" i="17"/>
  <c r="N204" i="17"/>
  <c r="M204" i="17"/>
  <c r="B204" i="17"/>
  <c r="T203" i="17"/>
  <c r="S203" i="17"/>
  <c r="R203" i="17"/>
  <c r="Q203" i="17"/>
  <c r="P203" i="17"/>
  <c r="O203" i="17"/>
  <c r="N203" i="17"/>
  <c r="M203" i="17" s="1"/>
  <c r="U202" i="17"/>
  <c r="T202" i="17"/>
  <c r="S202" i="17"/>
  <c r="R202" i="17"/>
  <c r="Q202" i="17"/>
  <c r="P202" i="17"/>
  <c r="O202" i="17"/>
  <c r="B202" i="17" s="1"/>
  <c r="N202" i="17"/>
  <c r="M202" i="17"/>
  <c r="T201" i="17"/>
  <c r="S201" i="17"/>
  <c r="R201" i="17"/>
  <c r="Q201" i="17"/>
  <c r="P201" i="17"/>
  <c r="O201" i="17"/>
  <c r="N201" i="17"/>
  <c r="M201" i="17" s="1"/>
  <c r="U200" i="17"/>
  <c r="T200" i="17"/>
  <c r="S200" i="17"/>
  <c r="R200" i="17"/>
  <c r="Q200" i="17"/>
  <c r="P200" i="17"/>
  <c r="O200" i="17"/>
  <c r="N200" i="17"/>
  <c r="M200" i="17"/>
  <c r="B200" i="17"/>
  <c r="T199" i="17"/>
  <c r="S199" i="17"/>
  <c r="R199" i="17"/>
  <c r="Q199" i="17"/>
  <c r="P199" i="17"/>
  <c r="O199" i="17"/>
  <c r="N199" i="17"/>
  <c r="M199" i="17" s="1"/>
  <c r="U198" i="17"/>
  <c r="T198" i="17"/>
  <c r="S198" i="17"/>
  <c r="R198" i="17"/>
  <c r="Q198" i="17"/>
  <c r="P198" i="17"/>
  <c r="O198" i="17"/>
  <c r="B198" i="17" s="1"/>
  <c r="N198" i="17"/>
  <c r="M198" i="17"/>
  <c r="T197" i="17"/>
  <c r="S197" i="17"/>
  <c r="R197" i="17"/>
  <c r="Q197" i="17"/>
  <c r="P197" i="17"/>
  <c r="O197" i="17"/>
  <c r="N197" i="17"/>
  <c r="M197" i="17" s="1"/>
  <c r="O196" i="17"/>
  <c r="B196" i="17" s="1"/>
  <c r="M196" i="17"/>
  <c r="T195" i="17"/>
  <c r="S195" i="17"/>
  <c r="R195" i="17"/>
  <c r="Q195" i="17"/>
  <c r="P195" i="17"/>
  <c r="O195" i="17"/>
  <c r="U195" i="17" s="1"/>
  <c r="N195" i="17"/>
  <c r="M195" i="17" s="1"/>
  <c r="B195" i="17"/>
  <c r="U194" i="17"/>
  <c r="T194" i="17"/>
  <c r="S194" i="17"/>
  <c r="R194" i="17"/>
  <c r="Q194" i="17"/>
  <c r="P194" i="17"/>
  <c r="O194" i="17"/>
  <c r="N194" i="17"/>
  <c r="M194" i="17" s="1"/>
  <c r="B194" i="17"/>
  <c r="U193" i="17"/>
  <c r="T193" i="17"/>
  <c r="S193" i="17"/>
  <c r="R193" i="17"/>
  <c r="Q193" i="17"/>
  <c r="P193" i="17"/>
  <c r="O193" i="17"/>
  <c r="N193" i="17"/>
  <c r="M193" i="17"/>
  <c r="B193" i="17"/>
  <c r="U192" i="17"/>
  <c r="T192" i="17"/>
  <c r="S192" i="17"/>
  <c r="R192" i="17"/>
  <c r="Q192" i="17"/>
  <c r="P192" i="17"/>
  <c r="O192" i="17"/>
  <c r="B192" i="17" s="1"/>
  <c r="N192" i="17"/>
  <c r="M192" i="17" s="1"/>
  <c r="P191" i="17"/>
  <c r="O191" i="17"/>
  <c r="U191" i="17" s="1"/>
  <c r="M191" i="17"/>
  <c r="B191" i="17"/>
  <c r="U190" i="17"/>
  <c r="T190" i="17"/>
  <c r="S190" i="17"/>
  <c r="R190" i="17"/>
  <c r="Q190" i="17"/>
  <c r="P190" i="17"/>
  <c r="O190" i="17"/>
  <c r="N190" i="17"/>
  <c r="M190" i="17" s="1"/>
  <c r="B190" i="17"/>
  <c r="T189" i="17"/>
  <c r="S189" i="17"/>
  <c r="R189" i="17"/>
  <c r="Q189" i="17"/>
  <c r="P189" i="17"/>
  <c r="O189" i="17"/>
  <c r="N189" i="17"/>
  <c r="M189" i="17" s="1"/>
  <c r="U188" i="17"/>
  <c r="T188" i="17"/>
  <c r="S188" i="17"/>
  <c r="R188" i="17"/>
  <c r="Q188" i="17"/>
  <c r="P188" i="17"/>
  <c r="O188" i="17"/>
  <c r="B188" i="17" s="1"/>
  <c r="N188" i="17"/>
  <c r="M188" i="17"/>
  <c r="T187" i="17"/>
  <c r="S187" i="17"/>
  <c r="R187" i="17"/>
  <c r="Q187" i="17"/>
  <c r="P187" i="17"/>
  <c r="O187" i="17"/>
  <c r="U187" i="17" s="1"/>
  <c r="N187" i="17"/>
  <c r="M187" i="17" s="1"/>
  <c r="U186" i="17"/>
  <c r="T186" i="17"/>
  <c r="S186" i="17"/>
  <c r="R186" i="17"/>
  <c r="Q186" i="17"/>
  <c r="P186" i="17"/>
  <c r="O186" i="17"/>
  <c r="N186" i="17"/>
  <c r="M186" i="17" s="1"/>
  <c r="B186" i="17"/>
  <c r="T185" i="17"/>
  <c r="S185" i="17"/>
  <c r="R185" i="17"/>
  <c r="Q185" i="17"/>
  <c r="P185" i="17"/>
  <c r="O185" i="17"/>
  <c r="N185" i="17"/>
  <c r="M185" i="17" s="1"/>
  <c r="U184" i="17"/>
  <c r="T184" i="17"/>
  <c r="S184" i="17"/>
  <c r="R184" i="17"/>
  <c r="Q184" i="17"/>
  <c r="P184" i="17"/>
  <c r="O184" i="17"/>
  <c r="B184" i="17" s="1"/>
  <c r="N184" i="17"/>
  <c r="M184" i="17"/>
  <c r="T183" i="17"/>
  <c r="S183" i="17"/>
  <c r="R183" i="17"/>
  <c r="Q183" i="17"/>
  <c r="P183" i="17"/>
  <c r="O183" i="17"/>
  <c r="U183" i="17" s="1"/>
  <c r="N183" i="17"/>
  <c r="M183" i="17" s="1"/>
  <c r="U182" i="17"/>
  <c r="T182" i="17"/>
  <c r="S182" i="17"/>
  <c r="R182" i="17"/>
  <c r="Q182" i="17"/>
  <c r="P182" i="17"/>
  <c r="O182" i="17"/>
  <c r="N182" i="17"/>
  <c r="M182" i="17"/>
  <c r="B182" i="17"/>
  <c r="T181" i="17"/>
  <c r="S181" i="17"/>
  <c r="R181" i="17"/>
  <c r="Q181" i="17"/>
  <c r="P181" i="17"/>
  <c r="O181" i="17"/>
  <c r="N181" i="17"/>
  <c r="M181" i="17" s="1"/>
  <c r="U180" i="17"/>
  <c r="T180" i="17"/>
  <c r="S180" i="17"/>
  <c r="R180" i="17"/>
  <c r="Q180" i="17"/>
  <c r="P180" i="17"/>
  <c r="O180" i="17"/>
  <c r="B180" i="17" s="1"/>
  <c r="N180" i="17"/>
  <c r="M180" i="17"/>
  <c r="T179" i="17"/>
  <c r="S179" i="17"/>
  <c r="R179" i="17"/>
  <c r="Q179" i="17"/>
  <c r="P179" i="17"/>
  <c r="O179" i="17"/>
  <c r="U179" i="17" s="1"/>
  <c r="N179" i="17"/>
  <c r="M179" i="17" s="1"/>
  <c r="U178" i="17"/>
  <c r="T178" i="17"/>
  <c r="S178" i="17"/>
  <c r="R178" i="17"/>
  <c r="Q178" i="17"/>
  <c r="P178" i="17"/>
  <c r="O178" i="17"/>
  <c r="N178" i="17"/>
  <c r="M178" i="17"/>
  <c r="B178" i="17"/>
  <c r="T177" i="17"/>
  <c r="S177" i="17"/>
  <c r="R177" i="17"/>
  <c r="Q177" i="17"/>
  <c r="P177" i="17"/>
  <c r="O177" i="17"/>
  <c r="N177" i="17"/>
  <c r="M177" i="17" s="1"/>
  <c r="U176" i="17"/>
  <c r="T176" i="17"/>
  <c r="S176" i="17"/>
  <c r="R176" i="17"/>
  <c r="Q176" i="17"/>
  <c r="P176" i="17"/>
  <c r="O176" i="17"/>
  <c r="B176" i="17" s="1"/>
  <c r="N176" i="17"/>
  <c r="M176" i="17"/>
  <c r="T175" i="17"/>
  <c r="S175" i="17"/>
  <c r="R175" i="17"/>
  <c r="Q175" i="17"/>
  <c r="P175" i="17"/>
  <c r="O175" i="17"/>
  <c r="U175" i="17" s="1"/>
  <c r="N175" i="17"/>
  <c r="M175" i="17" s="1"/>
  <c r="B175" i="17"/>
  <c r="U174" i="17"/>
  <c r="T174" i="17"/>
  <c r="S174" i="17"/>
  <c r="R174" i="17"/>
  <c r="Q174" i="17"/>
  <c r="P174" i="17"/>
  <c r="O174" i="17"/>
  <c r="N174" i="17"/>
  <c r="M174" i="17" s="1"/>
  <c r="B174" i="17"/>
  <c r="U173" i="17"/>
  <c r="T173" i="17"/>
  <c r="S173" i="17"/>
  <c r="R173" i="17"/>
  <c r="Q173" i="17"/>
  <c r="P173" i="17"/>
  <c r="O173" i="17"/>
  <c r="B173" i="17" s="1"/>
  <c r="N173" i="17"/>
  <c r="M173" i="17" s="1"/>
  <c r="T172" i="17"/>
  <c r="S172" i="17"/>
  <c r="R172" i="17"/>
  <c r="Q172" i="17"/>
  <c r="P172" i="17"/>
  <c r="O172" i="17"/>
  <c r="B172" i="17" s="1"/>
  <c r="N172" i="17"/>
  <c r="M172" i="17"/>
  <c r="T171" i="17"/>
  <c r="S171" i="17"/>
  <c r="R171" i="17"/>
  <c r="Q171" i="17"/>
  <c r="P171" i="17"/>
  <c r="O171" i="17"/>
  <c r="U171" i="17" s="1"/>
  <c r="N171" i="17"/>
  <c r="M171" i="17" s="1"/>
  <c r="U170" i="17"/>
  <c r="T170" i="17"/>
  <c r="S170" i="17"/>
  <c r="R170" i="17"/>
  <c r="Q170" i="17"/>
  <c r="P170" i="17"/>
  <c r="O170" i="17"/>
  <c r="N170" i="17"/>
  <c r="M170" i="17"/>
  <c r="B170" i="17"/>
  <c r="T169" i="17"/>
  <c r="S169" i="17"/>
  <c r="R169" i="17"/>
  <c r="Q169" i="17"/>
  <c r="P169" i="17"/>
  <c r="O169" i="17"/>
  <c r="B169" i="17" s="1"/>
  <c r="N169" i="17"/>
  <c r="M169" i="17"/>
  <c r="U168" i="17"/>
  <c r="T168" i="17"/>
  <c r="S168" i="17"/>
  <c r="R168" i="17"/>
  <c r="Q168" i="17"/>
  <c r="P168" i="17"/>
  <c r="O168" i="17"/>
  <c r="B168" i="17" s="1"/>
  <c r="N168" i="17"/>
  <c r="M168" i="17"/>
  <c r="T167" i="17"/>
  <c r="S167" i="17"/>
  <c r="R167" i="17"/>
  <c r="Q167" i="17"/>
  <c r="P167" i="17"/>
  <c r="O167" i="17"/>
  <c r="U167" i="17" s="1"/>
  <c r="N167" i="17"/>
  <c r="M167" i="17" s="1"/>
  <c r="B167" i="17"/>
  <c r="U166" i="17"/>
  <c r="T166" i="17"/>
  <c r="S166" i="17"/>
  <c r="R166" i="17"/>
  <c r="Q166" i="17"/>
  <c r="P166" i="17"/>
  <c r="O166" i="17"/>
  <c r="N166" i="17"/>
  <c r="M166" i="17" s="1"/>
  <c r="B166" i="17"/>
  <c r="U165" i="17"/>
  <c r="T165" i="17"/>
  <c r="S165" i="17"/>
  <c r="R165" i="17"/>
  <c r="Q165" i="17"/>
  <c r="P165" i="17"/>
  <c r="O165" i="17"/>
  <c r="B165" i="17" s="1"/>
  <c r="N165" i="17"/>
  <c r="M165" i="17" s="1"/>
  <c r="T164" i="17"/>
  <c r="S164" i="17"/>
  <c r="R164" i="17"/>
  <c r="Q164" i="17"/>
  <c r="P164" i="17"/>
  <c r="O164" i="17"/>
  <c r="B164" i="17" s="1"/>
  <c r="N164" i="17"/>
  <c r="M164" i="17"/>
  <c r="T163" i="17"/>
  <c r="S163" i="17"/>
  <c r="R163" i="17"/>
  <c r="Q163" i="17"/>
  <c r="P163" i="17"/>
  <c r="O163" i="17"/>
  <c r="U163" i="17" s="1"/>
  <c r="N163" i="17"/>
  <c r="M163" i="17" s="1"/>
  <c r="U162" i="17"/>
  <c r="T162" i="17"/>
  <c r="S162" i="17"/>
  <c r="R162" i="17"/>
  <c r="Q162" i="17"/>
  <c r="P162" i="17"/>
  <c r="O162" i="17"/>
  <c r="N162" i="17"/>
  <c r="M162" i="17"/>
  <c r="B162" i="17"/>
  <c r="T161" i="17"/>
  <c r="S161" i="17"/>
  <c r="R161" i="17"/>
  <c r="Q161" i="17"/>
  <c r="P161" i="17"/>
  <c r="O161" i="17"/>
  <c r="B161" i="17" s="1"/>
  <c r="N161" i="17"/>
  <c r="M161" i="17"/>
  <c r="U160" i="17"/>
  <c r="T160" i="17"/>
  <c r="S160" i="17"/>
  <c r="R160" i="17"/>
  <c r="Q160" i="17"/>
  <c r="P160" i="17"/>
  <c r="O160" i="17"/>
  <c r="B160" i="17" s="1"/>
  <c r="N160" i="17"/>
  <c r="M160" i="17"/>
  <c r="T159" i="17"/>
  <c r="S159" i="17"/>
  <c r="R159" i="17"/>
  <c r="Q159" i="17"/>
  <c r="P159" i="17"/>
  <c r="O159" i="17"/>
  <c r="U159" i="17" s="1"/>
  <c r="N159" i="17"/>
  <c r="M159" i="17" s="1"/>
  <c r="B159" i="17"/>
  <c r="U158" i="17"/>
  <c r="T158" i="17"/>
  <c r="S158" i="17"/>
  <c r="R158" i="17"/>
  <c r="Q158" i="17"/>
  <c r="P158" i="17"/>
  <c r="O158" i="17"/>
  <c r="N158" i="17"/>
  <c r="M158" i="17" s="1"/>
  <c r="B158" i="17"/>
  <c r="U157" i="17"/>
  <c r="T157" i="17"/>
  <c r="S157" i="17"/>
  <c r="R157" i="17"/>
  <c r="Q157" i="17"/>
  <c r="P157" i="17"/>
  <c r="O157" i="17"/>
  <c r="B157" i="17" s="1"/>
  <c r="N157" i="17"/>
  <c r="M157" i="17" s="1"/>
  <c r="T156" i="17"/>
  <c r="S156" i="17"/>
  <c r="R156" i="17"/>
  <c r="Q156" i="17"/>
  <c r="P156" i="17"/>
  <c r="O156" i="17"/>
  <c r="B156" i="17" s="1"/>
  <c r="N156" i="17"/>
  <c r="M156" i="17"/>
  <c r="T155" i="17"/>
  <c r="S155" i="17"/>
  <c r="R155" i="17"/>
  <c r="Q155" i="17"/>
  <c r="P155" i="17"/>
  <c r="O155" i="17"/>
  <c r="U155" i="17" s="1"/>
  <c r="N155" i="17"/>
  <c r="M155" i="17" s="1"/>
  <c r="U154" i="17"/>
  <c r="T154" i="17"/>
  <c r="S154" i="17"/>
  <c r="R154" i="17"/>
  <c r="Q154" i="17"/>
  <c r="P154" i="17"/>
  <c r="O154" i="17"/>
  <c r="N154" i="17"/>
  <c r="M154" i="17"/>
  <c r="B154" i="17"/>
  <c r="T153" i="17"/>
  <c r="S153" i="17"/>
  <c r="R153" i="17"/>
  <c r="Q153" i="17"/>
  <c r="P153" i="17"/>
  <c r="O153" i="17"/>
  <c r="B153" i="17" s="1"/>
  <c r="N153" i="17"/>
  <c r="M153" i="17" s="1"/>
  <c r="U152" i="17"/>
  <c r="T152" i="17"/>
  <c r="S152" i="17"/>
  <c r="R152" i="17"/>
  <c r="Q152" i="17"/>
  <c r="P152" i="17"/>
  <c r="O152" i="17"/>
  <c r="N152" i="17"/>
  <c r="M152" i="17"/>
  <c r="B152" i="17"/>
  <c r="T151" i="17"/>
  <c r="S151" i="17"/>
  <c r="R151" i="17"/>
  <c r="Q151" i="17"/>
  <c r="P151" i="17"/>
  <c r="O151" i="17"/>
  <c r="U151" i="17" s="1"/>
  <c r="N151" i="17"/>
  <c r="M151" i="17" s="1"/>
  <c r="B151" i="17"/>
  <c r="U150" i="17"/>
  <c r="T150" i="17"/>
  <c r="S150" i="17"/>
  <c r="R150" i="17"/>
  <c r="Q150" i="17"/>
  <c r="P150" i="17"/>
  <c r="O150" i="17"/>
  <c r="N150" i="17"/>
  <c r="M150" i="17"/>
  <c r="B150" i="17"/>
  <c r="T149" i="17"/>
  <c r="S149" i="17"/>
  <c r="R149" i="17"/>
  <c r="Q149" i="17"/>
  <c r="P149" i="17"/>
  <c r="O149" i="17"/>
  <c r="B149" i="17" s="1"/>
  <c r="N149" i="17"/>
  <c r="M149" i="17"/>
  <c r="U148" i="17"/>
  <c r="T148" i="17"/>
  <c r="S148" i="17"/>
  <c r="R148" i="17"/>
  <c r="Q148" i="17"/>
  <c r="P148" i="17"/>
  <c r="O148" i="17"/>
  <c r="B148" i="17" s="1"/>
  <c r="N148" i="17"/>
  <c r="M148" i="17"/>
  <c r="T147" i="17"/>
  <c r="S147" i="17"/>
  <c r="R147" i="17"/>
  <c r="Q147" i="17"/>
  <c r="P147" i="17"/>
  <c r="O147" i="17"/>
  <c r="U147" i="17" s="1"/>
  <c r="N147" i="17"/>
  <c r="M147" i="17" s="1"/>
  <c r="U146" i="17"/>
  <c r="T146" i="17"/>
  <c r="S146" i="17"/>
  <c r="R146" i="17"/>
  <c r="Q146" i="17"/>
  <c r="P146" i="17"/>
  <c r="O146" i="17"/>
  <c r="N146" i="17"/>
  <c r="M146" i="17" s="1"/>
  <c r="B146" i="17"/>
  <c r="U145" i="17"/>
  <c r="T145" i="17"/>
  <c r="S145" i="17"/>
  <c r="R145" i="17"/>
  <c r="Q145" i="17"/>
  <c r="P145" i="17"/>
  <c r="O145" i="17"/>
  <c r="B145" i="17" s="1"/>
  <c r="N145" i="17"/>
  <c r="M145" i="17" s="1"/>
  <c r="U144" i="17"/>
  <c r="T144" i="17"/>
  <c r="S144" i="17"/>
  <c r="R144" i="17"/>
  <c r="Q144" i="17"/>
  <c r="P144" i="17"/>
  <c r="O144" i="17"/>
  <c r="N144" i="17"/>
  <c r="M144" i="17"/>
  <c r="B144" i="17"/>
  <c r="T143" i="17"/>
  <c r="S143" i="17"/>
  <c r="R143" i="17"/>
  <c r="Q143" i="17"/>
  <c r="P143" i="17"/>
  <c r="O143" i="17"/>
  <c r="U143" i="17" s="1"/>
  <c r="N143" i="17"/>
  <c r="M143" i="17" s="1"/>
  <c r="B143" i="17"/>
  <c r="U142" i="17"/>
  <c r="T142" i="17"/>
  <c r="S142" i="17"/>
  <c r="R142" i="17"/>
  <c r="Q142" i="17"/>
  <c r="P142" i="17"/>
  <c r="O142" i="17"/>
  <c r="N142" i="17"/>
  <c r="M142" i="17"/>
  <c r="B142" i="17"/>
  <c r="T141" i="17"/>
  <c r="S141" i="17"/>
  <c r="R141" i="17"/>
  <c r="Q141" i="17"/>
  <c r="P141" i="17"/>
  <c r="O141" i="17"/>
  <c r="B141" i="17" s="1"/>
  <c r="N141" i="17"/>
  <c r="M141" i="17" s="1"/>
  <c r="T140" i="17"/>
  <c r="S140" i="17"/>
  <c r="R140" i="17"/>
  <c r="Q140" i="17"/>
  <c r="P140" i="17"/>
  <c r="O140" i="17"/>
  <c r="U140" i="17" s="1"/>
  <c r="N140" i="17"/>
  <c r="M140" i="17"/>
  <c r="T139" i="17"/>
  <c r="S139" i="17"/>
  <c r="R139" i="17"/>
  <c r="Q139" i="17"/>
  <c r="P139" i="17"/>
  <c r="O139" i="17"/>
  <c r="U139" i="17" s="1"/>
  <c r="N139" i="17"/>
  <c r="M139" i="17" s="1"/>
  <c r="B139" i="17"/>
  <c r="U138" i="17"/>
  <c r="T138" i="17"/>
  <c r="S138" i="17"/>
  <c r="R138" i="17"/>
  <c r="Q138" i="17"/>
  <c r="P138" i="17"/>
  <c r="O138" i="17"/>
  <c r="N138" i="17"/>
  <c r="M138" i="17" s="1"/>
  <c r="B138" i="17"/>
  <c r="U137" i="17"/>
  <c r="T137" i="17"/>
  <c r="S137" i="17"/>
  <c r="R137" i="17"/>
  <c r="Q137" i="17"/>
  <c r="P137" i="17"/>
  <c r="O137" i="17"/>
  <c r="B137" i="17" s="1"/>
  <c r="N137" i="17"/>
  <c r="M137" i="17" s="1"/>
  <c r="T136" i="17"/>
  <c r="S136" i="17"/>
  <c r="R136" i="17"/>
  <c r="Q136" i="17"/>
  <c r="P136" i="17"/>
  <c r="O136" i="17"/>
  <c r="U136" i="17" s="1"/>
  <c r="N136" i="17"/>
  <c r="M136" i="17"/>
  <c r="T135" i="17"/>
  <c r="S135" i="17"/>
  <c r="R135" i="17"/>
  <c r="Q135" i="17"/>
  <c r="P135" i="17"/>
  <c r="O135" i="17"/>
  <c r="U135" i="17" s="1"/>
  <c r="N135" i="17"/>
  <c r="M135" i="17" s="1"/>
  <c r="B135" i="17"/>
  <c r="U134" i="17"/>
  <c r="T134" i="17"/>
  <c r="S134" i="17"/>
  <c r="R134" i="17"/>
  <c r="Q134" i="17"/>
  <c r="P134" i="17"/>
  <c r="O134" i="17"/>
  <c r="N134" i="17"/>
  <c r="M134" i="17" s="1"/>
  <c r="B134" i="17"/>
  <c r="U133" i="17"/>
  <c r="T133" i="17"/>
  <c r="S133" i="17"/>
  <c r="R133" i="17"/>
  <c r="Q133" i="17"/>
  <c r="P133" i="17"/>
  <c r="O133" i="17"/>
  <c r="B133" i="17" s="1"/>
  <c r="N133" i="17"/>
  <c r="M133" i="17"/>
  <c r="U132" i="17"/>
  <c r="T132" i="17"/>
  <c r="S132" i="17"/>
  <c r="R132" i="17"/>
  <c r="Q132" i="17"/>
  <c r="P132" i="17"/>
  <c r="O132" i="17"/>
  <c r="N132" i="17"/>
  <c r="M132" i="17"/>
  <c r="B132" i="17"/>
  <c r="T131" i="17"/>
  <c r="S131" i="17"/>
  <c r="R131" i="17"/>
  <c r="Q131" i="17"/>
  <c r="P131" i="17"/>
  <c r="O131" i="17"/>
  <c r="U131" i="17" s="1"/>
  <c r="N131" i="17"/>
  <c r="M131" i="17" s="1"/>
  <c r="B131" i="17"/>
  <c r="U130" i="17"/>
  <c r="T130" i="17"/>
  <c r="S130" i="17"/>
  <c r="R130" i="17"/>
  <c r="Q130" i="17"/>
  <c r="P130" i="17"/>
  <c r="O130" i="17"/>
  <c r="N130" i="17"/>
  <c r="M130" i="17" s="1"/>
  <c r="B130" i="17"/>
  <c r="U129" i="17"/>
  <c r="T129" i="17"/>
  <c r="S129" i="17"/>
  <c r="R129" i="17"/>
  <c r="Q129" i="17"/>
  <c r="P129" i="17"/>
  <c r="O129" i="17"/>
  <c r="B129" i="17" s="1"/>
  <c r="N129" i="17"/>
  <c r="M129" i="17"/>
  <c r="T128" i="17"/>
  <c r="S128" i="17"/>
  <c r="R128" i="17"/>
  <c r="Q128" i="17"/>
  <c r="P128" i="17"/>
  <c r="O128" i="17"/>
  <c r="B128" i="17" s="1"/>
  <c r="N128" i="17"/>
  <c r="M128" i="17"/>
  <c r="T127" i="17"/>
  <c r="S127" i="17"/>
  <c r="R127" i="17"/>
  <c r="Q127" i="17"/>
  <c r="P127" i="17"/>
  <c r="O127" i="17"/>
  <c r="U127" i="17" s="1"/>
  <c r="N127" i="17"/>
  <c r="M127" i="17" s="1"/>
  <c r="U126" i="17"/>
  <c r="T126" i="17"/>
  <c r="S126" i="17"/>
  <c r="R126" i="17"/>
  <c r="Q126" i="17"/>
  <c r="P126" i="17"/>
  <c r="O126" i="17"/>
  <c r="N126" i="17"/>
  <c r="M126" i="17"/>
  <c r="B126" i="17"/>
  <c r="U125" i="17"/>
  <c r="T125" i="17"/>
  <c r="S125" i="17"/>
  <c r="R125" i="17"/>
  <c r="Q125" i="17"/>
  <c r="P125" i="17"/>
  <c r="O125" i="17"/>
  <c r="B125" i="17" s="1"/>
  <c r="N125" i="17"/>
  <c r="M125" i="17"/>
  <c r="U124" i="17"/>
  <c r="T124" i="17"/>
  <c r="S124" i="17"/>
  <c r="R124" i="17"/>
  <c r="Q124" i="17"/>
  <c r="P124" i="17"/>
  <c r="O124" i="17"/>
  <c r="N124" i="17"/>
  <c r="M124" i="17"/>
  <c r="B124" i="17"/>
  <c r="T123" i="17"/>
  <c r="S123" i="17"/>
  <c r="R123" i="17"/>
  <c r="Q123" i="17"/>
  <c r="P123" i="17"/>
  <c r="O123" i="17"/>
  <c r="U123" i="17" s="1"/>
  <c r="N123" i="17"/>
  <c r="M123" i="17" s="1"/>
  <c r="U122" i="17"/>
  <c r="T122" i="17"/>
  <c r="S122" i="17"/>
  <c r="R122" i="17"/>
  <c r="Q122" i="17"/>
  <c r="P122" i="17"/>
  <c r="O122" i="17"/>
  <c r="N122" i="17"/>
  <c r="M122" i="17"/>
  <c r="B122" i="17"/>
  <c r="T121" i="17"/>
  <c r="S121" i="17"/>
  <c r="R121" i="17"/>
  <c r="Q121" i="17"/>
  <c r="P121" i="17"/>
  <c r="O121" i="17"/>
  <c r="B121" i="17" s="1"/>
  <c r="N121" i="17"/>
  <c r="M121" i="17" s="1"/>
  <c r="U120" i="17"/>
  <c r="T120" i="17"/>
  <c r="S120" i="17"/>
  <c r="R120" i="17"/>
  <c r="Q120" i="17"/>
  <c r="P120" i="17"/>
  <c r="O120" i="17"/>
  <c r="B120" i="17" s="1"/>
  <c r="N120" i="17"/>
  <c r="M120" i="17"/>
  <c r="T119" i="17"/>
  <c r="S119" i="17"/>
  <c r="R119" i="17"/>
  <c r="Q119" i="17"/>
  <c r="P119" i="17"/>
  <c r="O119" i="17"/>
  <c r="U119" i="17" s="1"/>
  <c r="N119" i="17"/>
  <c r="M119" i="17" s="1"/>
  <c r="B119" i="17"/>
  <c r="U118" i="17"/>
  <c r="T118" i="17"/>
  <c r="S118" i="17"/>
  <c r="R118" i="17"/>
  <c r="Q118" i="17"/>
  <c r="P118" i="17"/>
  <c r="O118" i="17"/>
  <c r="N118" i="17"/>
  <c r="M118" i="17"/>
  <c r="B118" i="17"/>
  <c r="T117" i="17"/>
  <c r="S117" i="17"/>
  <c r="R117" i="17"/>
  <c r="Q117" i="17"/>
  <c r="P117" i="17"/>
  <c r="O117" i="17"/>
  <c r="B117" i="17" s="1"/>
  <c r="N117" i="17"/>
  <c r="M117" i="17"/>
  <c r="U116" i="17"/>
  <c r="T116" i="17"/>
  <c r="S116" i="17"/>
  <c r="R116" i="17"/>
  <c r="Q116" i="17"/>
  <c r="P116" i="17"/>
  <c r="O116" i="17"/>
  <c r="B116" i="17" s="1"/>
  <c r="N116" i="17"/>
  <c r="M116" i="17"/>
  <c r="T115" i="17"/>
  <c r="S115" i="17"/>
  <c r="R115" i="17"/>
  <c r="Q115" i="17"/>
  <c r="P115" i="17"/>
  <c r="O115" i="17"/>
  <c r="U115" i="17" s="1"/>
  <c r="N115" i="17"/>
  <c r="M115" i="17" s="1"/>
  <c r="U114" i="17"/>
  <c r="T114" i="17"/>
  <c r="S114" i="17"/>
  <c r="R114" i="17"/>
  <c r="Q114" i="17"/>
  <c r="P114" i="17"/>
  <c r="O114" i="17"/>
  <c r="N114" i="17"/>
  <c r="M114" i="17" s="1"/>
  <c r="B114" i="17"/>
  <c r="U113" i="17"/>
  <c r="T113" i="17"/>
  <c r="S113" i="17"/>
  <c r="R113" i="17"/>
  <c r="Q113" i="17"/>
  <c r="P113" i="17"/>
  <c r="O113" i="17"/>
  <c r="B113" i="17" s="1"/>
  <c r="N113" i="17"/>
  <c r="M113" i="17" s="1"/>
  <c r="U112" i="17"/>
  <c r="T112" i="17"/>
  <c r="S112" i="17"/>
  <c r="R112" i="17"/>
  <c r="Q112" i="17"/>
  <c r="P112" i="17"/>
  <c r="O112" i="17"/>
  <c r="N112" i="17"/>
  <c r="M112" i="17"/>
  <c r="B112" i="17"/>
  <c r="T111" i="17"/>
  <c r="S111" i="17"/>
  <c r="R111" i="17"/>
  <c r="Q111" i="17"/>
  <c r="P111" i="17"/>
  <c r="O111" i="17"/>
  <c r="U111" i="17" s="1"/>
  <c r="N111" i="17"/>
  <c r="M111" i="17" s="1"/>
  <c r="B111" i="17"/>
  <c r="U110" i="17"/>
  <c r="T110" i="17"/>
  <c r="S110" i="17"/>
  <c r="R110" i="17"/>
  <c r="Q110" i="17"/>
  <c r="P110" i="17"/>
  <c r="O110" i="17"/>
  <c r="N110" i="17"/>
  <c r="M110" i="17"/>
  <c r="B110" i="17"/>
  <c r="T109" i="17"/>
  <c r="S109" i="17"/>
  <c r="R109" i="17"/>
  <c r="Q109" i="17"/>
  <c r="P109" i="17"/>
  <c r="O109" i="17"/>
  <c r="B109" i="17" s="1"/>
  <c r="N109" i="17"/>
  <c r="M109" i="17" s="1"/>
  <c r="U108" i="17"/>
  <c r="T108" i="17"/>
  <c r="S108" i="17"/>
  <c r="R108" i="17"/>
  <c r="Q108" i="17"/>
  <c r="P108" i="17"/>
  <c r="O108" i="17"/>
  <c r="B108" i="17" s="1"/>
  <c r="N108" i="17"/>
  <c r="M108" i="17"/>
  <c r="T107" i="17"/>
  <c r="S107" i="17"/>
  <c r="R107" i="17"/>
  <c r="Q107" i="17"/>
  <c r="P107" i="17"/>
  <c r="O107" i="17"/>
  <c r="U107" i="17" s="1"/>
  <c r="N107" i="17"/>
  <c r="M107" i="17" s="1"/>
  <c r="B107" i="17"/>
  <c r="U106" i="17"/>
  <c r="T106" i="17"/>
  <c r="S106" i="17"/>
  <c r="R106" i="17"/>
  <c r="Q106" i="17"/>
  <c r="P106" i="17"/>
  <c r="O106" i="17"/>
  <c r="N106" i="17"/>
  <c r="M106" i="17"/>
  <c r="B106" i="17"/>
  <c r="T105" i="17"/>
  <c r="S105" i="17"/>
  <c r="R105" i="17"/>
  <c r="Q105" i="17"/>
  <c r="P105" i="17"/>
  <c r="O105" i="17"/>
  <c r="U105" i="17" s="1"/>
  <c r="N105" i="17"/>
  <c r="M105" i="17"/>
  <c r="B105" i="17"/>
  <c r="T104" i="17"/>
  <c r="S104" i="17"/>
  <c r="R104" i="17"/>
  <c r="Q104" i="17"/>
  <c r="P104" i="17"/>
  <c r="O104" i="17"/>
  <c r="B104" i="17" s="1"/>
  <c r="N104" i="17"/>
  <c r="M104" i="17" s="1"/>
  <c r="T103" i="17"/>
  <c r="S103" i="17"/>
  <c r="R103" i="17"/>
  <c r="Q103" i="17"/>
  <c r="P103" i="17"/>
  <c r="O103" i="17"/>
  <c r="U103" i="17" s="1"/>
  <c r="N103" i="17"/>
  <c r="M103" i="17" s="1"/>
  <c r="U102" i="17"/>
  <c r="T102" i="17"/>
  <c r="S102" i="17"/>
  <c r="R102" i="17"/>
  <c r="Q102" i="17"/>
  <c r="P102" i="17"/>
  <c r="O102" i="17"/>
  <c r="N102" i="17"/>
  <c r="M102" i="17"/>
  <c r="B102" i="17"/>
  <c r="U101" i="17"/>
  <c r="T101" i="17"/>
  <c r="S101" i="17"/>
  <c r="R101" i="17"/>
  <c r="Q101" i="17"/>
  <c r="P101" i="17"/>
  <c r="O101" i="17"/>
  <c r="N101" i="17"/>
  <c r="M101" i="17"/>
  <c r="B101" i="17"/>
  <c r="T100" i="17"/>
  <c r="S100" i="17"/>
  <c r="R100" i="17"/>
  <c r="Q100" i="17"/>
  <c r="P100" i="17"/>
  <c r="O100" i="17"/>
  <c r="U100" i="17" s="1"/>
  <c r="N100" i="17"/>
  <c r="M100" i="17" s="1"/>
  <c r="B100" i="17"/>
  <c r="T99" i="17"/>
  <c r="S99" i="17"/>
  <c r="R99" i="17"/>
  <c r="Q99" i="17"/>
  <c r="P99" i="17"/>
  <c r="O99" i="17"/>
  <c r="U99" i="17" s="1"/>
  <c r="N99" i="17"/>
  <c r="M99" i="17" s="1"/>
  <c r="B99" i="17"/>
  <c r="U98" i="17"/>
  <c r="T98" i="17"/>
  <c r="S98" i="17"/>
  <c r="R98" i="17"/>
  <c r="Q98" i="17"/>
  <c r="P98" i="17"/>
  <c r="O98" i="17"/>
  <c r="N98" i="17"/>
  <c r="M98" i="17" s="1"/>
  <c r="B98" i="17"/>
  <c r="U97" i="17"/>
  <c r="T97" i="17"/>
  <c r="S97" i="17"/>
  <c r="R97" i="17"/>
  <c r="Q97" i="17"/>
  <c r="P97" i="17"/>
  <c r="O97" i="17"/>
  <c r="N97" i="17"/>
  <c r="M97" i="17"/>
  <c r="B97" i="17"/>
  <c r="U96" i="17"/>
  <c r="T96" i="17"/>
  <c r="S96" i="17"/>
  <c r="R96" i="17"/>
  <c r="Q96" i="17"/>
  <c r="P96" i="17"/>
  <c r="O96" i="17"/>
  <c r="N96" i="17"/>
  <c r="M96" i="17"/>
  <c r="B96" i="17"/>
  <c r="T95" i="17"/>
  <c r="S95" i="17"/>
  <c r="R95" i="17"/>
  <c r="Q95" i="17"/>
  <c r="P95" i="17"/>
  <c r="O95" i="17"/>
  <c r="U95" i="17" s="1"/>
  <c r="N95" i="17"/>
  <c r="M95" i="17" s="1"/>
  <c r="B95" i="17"/>
  <c r="U94" i="17"/>
  <c r="T94" i="17"/>
  <c r="S94" i="17"/>
  <c r="R94" i="17"/>
  <c r="Q94" i="17"/>
  <c r="P94" i="17"/>
  <c r="O94" i="17"/>
  <c r="B94" i="17" s="1"/>
  <c r="N94" i="17"/>
  <c r="M94" i="17"/>
  <c r="T93" i="17"/>
  <c r="S93" i="17"/>
  <c r="R93" i="17"/>
  <c r="Q93" i="17"/>
  <c r="P93" i="17"/>
  <c r="O93" i="17"/>
  <c r="U93" i="17" s="1"/>
  <c r="N93" i="17"/>
  <c r="M93" i="17" s="1"/>
  <c r="U92" i="17"/>
  <c r="T92" i="17"/>
  <c r="S92" i="17"/>
  <c r="R92" i="17"/>
  <c r="Q92" i="17"/>
  <c r="P92" i="17"/>
  <c r="O92" i="17"/>
  <c r="N92" i="17"/>
  <c r="M92" i="17" s="1"/>
  <c r="B92" i="17"/>
  <c r="U91" i="17"/>
  <c r="T91" i="17"/>
  <c r="S91" i="17"/>
  <c r="R91" i="17"/>
  <c r="Q91" i="17"/>
  <c r="P91" i="17"/>
  <c r="O91" i="17"/>
  <c r="N91" i="17"/>
  <c r="M91" i="17" s="1"/>
  <c r="B91" i="17"/>
  <c r="U90" i="17"/>
  <c r="T90" i="17"/>
  <c r="S90" i="17"/>
  <c r="R90" i="17"/>
  <c r="Q90" i="17"/>
  <c r="P90" i="17"/>
  <c r="O90" i="17"/>
  <c r="B90" i="17" s="1"/>
  <c r="N90" i="17"/>
  <c r="M90" i="17"/>
  <c r="T89" i="17"/>
  <c r="S89" i="17"/>
  <c r="R89" i="17"/>
  <c r="Q89" i="17"/>
  <c r="P89" i="17"/>
  <c r="O89" i="17"/>
  <c r="U89" i="17" s="1"/>
  <c r="N89" i="17"/>
  <c r="M89" i="17" s="1"/>
  <c r="U88" i="17"/>
  <c r="T88" i="17"/>
  <c r="S88" i="17"/>
  <c r="R88" i="17"/>
  <c r="Q88" i="17"/>
  <c r="P88" i="17"/>
  <c r="O88" i="17"/>
  <c r="N88" i="17"/>
  <c r="M88" i="17" s="1"/>
  <c r="B88" i="17"/>
  <c r="U87" i="17"/>
  <c r="T87" i="17"/>
  <c r="S87" i="17"/>
  <c r="R87" i="17"/>
  <c r="Q87" i="17"/>
  <c r="P87" i="17"/>
  <c r="O87" i="17"/>
  <c r="N87" i="17"/>
  <c r="M87" i="17" s="1"/>
  <c r="B87" i="17"/>
  <c r="U86" i="17"/>
  <c r="T86" i="17"/>
  <c r="S86" i="17"/>
  <c r="R86" i="17"/>
  <c r="Q86" i="17"/>
  <c r="P86" i="17"/>
  <c r="O86" i="17"/>
  <c r="B86" i="17" s="1"/>
  <c r="N86" i="17"/>
  <c r="M86" i="17"/>
  <c r="T85" i="17"/>
  <c r="S85" i="17"/>
  <c r="R85" i="17"/>
  <c r="Q85" i="17"/>
  <c r="P85" i="17"/>
  <c r="O85" i="17"/>
  <c r="U85" i="17" s="1"/>
  <c r="N85" i="17"/>
  <c r="M85" i="17" s="1"/>
  <c r="U84" i="17"/>
  <c r="T84" i="17"/>
  <c r="S84" i="17"/>
  <c r="R84" i="17"/>
  <c r="Q84" i="17"/>
  <c r="P84" i="17"/>
  <c r="O84" i="17"/>
  <c r="N84" i="17"/>
  <c r="M84" i="17" s="1"/>
  <c r="B84" i="17"/>
  <c r="U83" i="17"/>
  <c r="T83" i="17"/>
  <c r="S83" i="17"/>
  <c r="R83" i="17"/>
  <c r="Q83" i="17"/>
  <c r="P83" i="17"/>
  <c r="O83" i="17"/>
  <c r="N83" i="17"/>
  <c r="M83" i="17" s="1"/>
  <c r="B83" i="17"/>
  <c r="U82" i="17"/>
  <c r="T82" i="17"/>
  <c r="S82" i="17"/>
  <c r="R82" i="17"/>
  <c r="Q82" i="17"/>
  <c r="P82" i="17"/>
  <c r="O82" i="17"/>
  <c r="B82" i="17" s="1"/>
  <c r="N82" i="17"/>
  <c r="M82" i="17"/>
  <c r="T81" i="17"/>
  <c r="S81" i="17"/>
  <c r="R81" i="17"/>
  <c r="Q81" i="17"/>
  <c r="P81" i="17"/>
  <c r="O81" i="17"/>
  <c r="U81" i="17" s="1"/>
  <c r="N81" i="17"/>
  <c r="M81" i="17" s="1"/>
  <c r="U80" i="17"/>
  <c r="T80" i="17"/>
  <c r="S80" i="17"/>
  <c r="R80" i="17"/>
  <c r="Q80" i="17"/>
  <c r="P80" i="17"/>
  <c r="O80" i="17"/>
  <c r="N80" i="17"/>
  <c r="M80" i="17" s="1"/>
  <c r="B80" i="17"/>
  <c r="U79" i="17"/>
  <c r="T79" i="17"/>
  <c r="S79" i="17"/>
  <c r="R79" i="17"/>
  <c r="Q79" i="17"/>
  <c r="P79" i="17"/>
  <c r="O79" i="17"/>
  <c r="N79" i="17"/>
  <c r="M79" i="17" s="1"/>
  <c r="B79" i="17"/>
  <c r="U78" i="17"/>
  <c r="T78" i="17"/>
  <c r="S78" i="17"/>
  <c r="R78" i="17"/>
  <c r="Q78" i="17"/>
  <c r="P78" i="17"/>
  <c r="O78" i="17"/>
  <c r="B78" i="17" s="1"/>
  <c r="N78" i="17"/>
  <c r="M78" i="17"/>
  <c r="T77" i="17"/>
  <c r="S77" i="17"/>
  <c r="R77" i="17"/>
  <c r="Q77" i="17"/>
  <c r="P77" i="17"/>
  <c r="O77" i="17"/>
  <c r="U77" i="17" s="1"/>
  <c r="N77" i="17"/>
  <c r="M77" i="17" s="1"/>
  <c r="U76" i="17"/>
  <c r="T76" i="17"/>
  <c r="S76" i="17"/>
  <c r="R76" i="17"/>
  <c r="Q76" i="17"/>
  <c r="P76" i="17"/>
  <c r="O76" i="17"/>
  <c r="N76" i="17"/>
  <c r="M76" i="17" s="1"/>
  <c r="B76" i="17"/>
  <c r="U75" i="17"/>
  <c r="T75" i="17"/>
  <c r="S75" i="17"/>
  <c r="R75" i="17"/>
  <c r="Q75" i="17"/>
  <c r="P75" i="17"/>
  <c r="O75" i="17"/>
  <c r="N75" i="17"/>
  <c r="M75" i="17" s="1"/>
  <c r="B75" i="17"/>
  <c r="U74" i="17"/>
  <c r="T74" i="17"/>
  <c r="S74" i="17"/>
  <c r="R74" i="17"/>
  <c r="Q74" i="17"/>
  <c r="P74" i="17"/>
  <c r="O74" i="17"/>
  <c r="B74" i="17" s="1"/>
  <c r="N74" i="17"/>
  <c r="M74" i="17"/>
  <c r="T73" i="17"/>
  <c r="S73" i="17"/>
  <c r="R73" i="17"/>
  <c r="Q73" i="17"/>
  <c r="P73" i="17"/>
  <c r="O73" i="17"/>
  <c r="U73" i="17" s="1"/>
  <c r="N73" i="17"/>
  <c r="M73" i="17" s="1"/>
  <c r="U72" i="17"/>
  <c r="T72" i="17"/>
  <c r="S72" i="17"/>
  <c r="R72" i="17"/>
  <c r="Q72" i="17"/>
  <c r="P72" i="17"/>
  <c r="O72" i="17"/>
  <c r="N72" i="17"/>
  <c r="M72" i="17" s="1"/>
  <c r="B72" i="17"/>
  <c r="U71" i="17"/>
  <c r="T71" i="17"/>
  <c r="S71" i="17"/>
  <c r="R71" i="17"/>
  <c r="Q71" i="17"/>
  <c r="P71" i="17"/>
  <c r="O71" i="17"/>
  <c r="N71" i="17"/>
  <c r="M71" i="17" s="1"/>
  <c r="B71" i="17"/>
  <c r="U70" i="17"/>
  <c r="T70" i="17"/>
  <c r="S70" i="17"/>
  <c r="R70" i="17"/>
  <c r="Q70" i="17"/>
  <c r="P70" i="17"/>
  <c r="O70" i="17"/>
  <c r="B70" i="17" s="1"/>
  <c r="N70" i="17"/>
  <c r="M70" i="17"/>
  <c r="T69" i="17"/>
  <c r="S69" i="17"/>
  <c r="R69" i="17"/>
  <c r="Q69" i="17"/>
  <c r="P69" i="17"/>
  <c r="O69" i="17"/>
  <c r="U69" i="17" s="1"/>
  <c r="N69" i="17"/>
  <c r="M69" i="17" s="1"/>
  <c r="U68" i="17"/>
  <c r="T68" i="17"/>
  <c r="S68" i="17"/>
  <c r="R68" i="17"/>
  <c r="Q68" i="17"/>
  <c r="P68" i="17"/>
  <c r="O68" i="17"/>
  <c r="N68" i="17"/>
  <c r="M68" i="17" s="1"/>
  <c r="B68" i="17"/>
  <c r="U67" i="17"/>
  <c r="T67" i="17"/>
  <c r="S67" i="17"/>
  <c r="R67" i="17"/>
  <c r="Q67" i="17"/>
  <c r="P67" i="17"/>
  <c r="O67" i="17"/>
  <c r="N67" i="17"/>
  <c r="M67" i="17" s="1"/>
  <c r="B67" i="17"/>
  <c r="U66" i="17"/>
  <c r="T66" i="17"/>
  <c r="S66" i="17"/>
  <c r="R66" i="17"/>
  <c r="Q66" i="17"/>
  <c r="P66" i="17"/>
  <c r="O66" i="17"/>
  <c r="B66" i="17" s="1"/>
  <c r="N66" i="17"/>
  <c r="M66" i="17"/>
  <c r="T65" i="17"/>
  <c r="S65" i="17"/>
  <c r="R65" i="17"/>
  <c r="Q65" i="17"/>
  <c r="P65" i="17"/>
  <c r="O65" i="17"/>
  <c r="U65" i="17" s="1"/>
  <c r="N65" i="17"/>
  <c r="M65" i="17" s="1"/>
  <c r="U64" i="17"/>
  <c r="T64" i="17"/>
  <c r="S64" i="17"/>
  <c r="R64" i="17"/>
  <c r="Q64" i="17"/>
  <c r="P64" i="17"/>
  <c r="O64" i="17"/>
  <c r="N64" i="17"/>
  <c r="M64" i="17" s="1"/>
  <c r="B64" i="17"/>
  <c r="U63" i="17"/>
  <c r="T63" i="17"/>
  <c r="S63" i="17"/>
  <c r="R63" i="17"/>
  <c r="Q63" i="17"/>
  <c r="P63" i="17"/>
  <c r="O63" i="17"/>
  <c r="N63" i="17"/>
  <c r="M63" i="17" s="1"/>
  <c r="B63" i="17"/>
  <c r="U62" i="17"/>
  <c r="T62" i="17"/>
  <c r="S62" i="17"/>
  <c r="R62" i="17"/>
  <c r="Q62" i="17"/>
  <c r="P62" i="17"/>
  <c r="O62" i="17"/>
  <c r="B62" i="17" s="1"/>
  <c r="N62" i="17"/>
  <c r="M62" i="17" s="1"/>
  <c r="T61" i="17"/>
  <c r="S61" i="17"/>
  <c r="R61" i="17"/>
  <c r="Q61" i="17"/>
  <c r="P61" i="17"/>
  <c r="O61" i="17"/>
  <c r="U61" i="17" s="1"/>
  <c r="N61" i="17"/>
  <c r="M61" i="17" s="1"/>
  <c r="U60" i="17"/>
  <c r="T60" i="17"/>
  <c r="S60" i="17"/>
  <c r="R60" i="17"/>
  <c r="Q60" i="17"/>
  <c r="P60" i="17"/>
  <c r="O60" i="17"/>
  <c r="N60" i="17"/>
  <c r="M60" i="17" s="1"/>
  <c r="B60" i="17"/>
  <c r="U59" i="17"/>
  <c r="T59" i="17"/>
  <c r="S59" i="17"/>
  <c r="R59" i="17"/>
  <c r="Q59" i="17"/>
  <c r="P59" i="17"/>
  <c r="O59" i="17"/>
  <c r="N59" i="17"/>
  <c r="M59" i="17" s="1"/>
  <c r="B59" i="17"/>
  <c r="U58" i="17"/>
  <c r="T58" i="17"/>
  <c r="S58" i="17"/>
  <c r="R58" i="17"/>
  <c r="Q58" i="17"/>
  <c r="P58" i="17"/>
  <c r="O58" i="17"/>
  <c r="B58" i="17" s="1"/>
  <c r="N58" i="17"/>
  <c r="M58" i="17" s="1"/>
  <c r="T57" i="17"/>
  <c r="S57" i="17"/>
  <c r="R57" i="17"/>
  <c r="Q57" i="17"/>
  <c r="P57" i="17"/>
  <c r="O57" i="17"/>
  <c r="U57" i="17" s="1"/>
  <c r="N57" i="17"/>
  <c r="M57" i="17" s="1"/>
  <c r="U56" i="17"/>
  <c r="T56" i="17"/>
  <c r="S56" i="17"/>
  <c r="R56" i="17"/>
  <c r="Q56" i="17"/>
  <c r="P56" i="17"/>
  <c r="O56" i="17"/>
  <c r="N56" i="17"/>
  <c r="M56" i="17" s="1"/>
  <c r="B56" i="17"/>
  <c r="U55" i="17"/>
  <c r="T55" i="17"/>
  <c r="S55" i="17"/>
  <c r="R55" i="17"/>
  <c r="Q55" i="17"/>
  <c r="P55" i="17"/>
  <c r="O55" i="17"/>
  <c r="N55" i="17"/>
  <c r="M55" i="17" s="1"/>
  <c r="B55" i="17"/>
  <c r="U54" i="17"/>
  <c r="T54" i="17"/>
  <c r="S54" i="17"/>
  <c r="R54" i="17"/>
  <c r="Q54" i="17"/>
  <c r="P54" i="17"/>
  <c r="O54" i="17"/>
  <c r="B54" i="17" s="1"/>
  <c r="N54" i="17"/>
  <c r="M54" i="17" s="1"/>
  <c r="T53" i="17"/>
  <c r="S53" i="17"/>
  <c r="R53" i="17"/>
  <c r="Q53" i="17"/>
  <c r="P53" i="17"/>
  <c r="O53" i="17"/>
  <c r="N53" i="17"/>
  <c r="M53" i="17" s="1"/>
  <c r="U52" i="17"/>
  <c r="T52" i="17"/>
  <c r="S52" i="17"/>
  <c r="R52" i="17"/>
  <c r="Q52" i="17"/>
  <c r="P52" i="17"/>
  <c r="O52" i="17"/>
  <c r="N52" i="17"/>
  <c r="M52" i="17" s="1"/>
  <c r="B52" i="17"/>
  <c r="U51" i="17"/>
  <c r="T51" i="17"/>
  <c r="S51" i="17"/>
  <c r="R51" i="17"/>
  <c r="Q51" i="17"/>
  <c r="P51" i="17"/>
  <c r="O51" i="17"/>
  <c r="N51" i="17"/>
  <c r="M51" i="17" s="1"/>
  <c r="B51" i="17"/>
  <c r="U50" i="17"/>
  <c r="T50" i="17"/>
  <c r="S50" i="17"/>
  <c r="R50" i="17"/>
  <c r="Q50" i="17"/>
  <c r="P50" i="17"/>
  <c r="O50" i="17"/>
  <c r="B50" i="17" s="1"/>
  <c r="N50" i="17"/>
  <c r="M50" i="17" s="1"/>
  <c r="T49" i="17"/>
  <c r="S49" i="17"/>
  <c r="R49" i="17"/>
  <c r="Q49" i="17"/>
  <c r="P49" i="17"/>
  <c r="O49" i="17"/>
  <c r="N49" i="17"/>
  <c r="M49" i="17" s="1"/>
  <c r="U48" i="17"/>
  <c r="T48" i="17"/>
  <c r="S48" i="17"/>
  <c r="R48" i="17"/>
  <c r="Q48" i="17"/>
  <c r="P48" i="17"/>
  <c r="O48" i="17"/>
  <c r="N48" i="17"/>
  <c r="M48" i="17" s="1"/>
  <c r="B48" i="17"/>
  <c r="U47" i="17"/>
  <c r="T47" i="17"/>
  <c r="S47" i="17"/>
  <c r="R47" i="17"/>
  <c r="Q47" i="17"/>
  <c r="P47" i="17"/>
  <c r="O47" i="17"/>
  <c r="N47" i="17"/>
  <c r="M47" i="17"/>
  <c r="B47" i="17"/>
  <c r="T46" i="17"/>
  <c r="S46" i="17"/>
  <c r="R46" i="17"/>
  <c r="Q46" i="17"/>
  <c r="P46" i="17"/>
  <c r="O46" i="17"/>
  <c r="B46" i="17" s="1"/>
  <c r="N46" i="17"/>
  <c r="M46" i="17" s="1"/>
  <c r="T45" i="17"/>
  <c r="S45" i="17"/>
  <c r="R45" i="17"/>
  <c r="Q45" i="17"/>
  <c r="P45" i="17"/>
  <c r="O45" i="17"/>
  <c r="N45" i="17"/>
  <c r="M45" i="17" s="1"/>
  <c r="U44" i="17"/>
  <c r="T44" i="17"/>
  <c r="S44" i="17"/>
  <c r="R44" i="17"/>
  <c r="Q44" i="17"/>
  <c r="P44" i="17"/>
  <c r="O44" i="17"/>
  <c r="N44" i="17"/>
  <c r="M44" i="17" s="1"/>
  <c r="B44" i="17"/>
  <c r="U43" i="17"/>
  <c r="T43" i="17"/>
  <c r="S43" i="17"/>
  <c r="R43" i="17"/>
  <c r="Q43" i="17"/>
  <c r="P43" i="17"/>
  <c r="O43" i="17"/>
  <c r="N43" i="17"/>
  <c r="M43" i="17" s="1"/>
  <c r="B43" i="17"/>
  <c r="T42" i="17"/>
  <c r="S42" i="17"/>
  <c r="R42" i="17"/>
  <c r="Q42" i="17"/>
  <c r="P42" i="17"/>
  <c r="O42" i="17"/>
  <c r="B42" i="17" s="1"/>
  <c r="N42" i="17"/>
  <c r="M42" i="17" s="1"/>
  <c r="T41" i="17"/>
  <c r="S41" i="17"/>
  <c r="R41" i="17"/>
  <c r="Q41" i="17"/>
  <c r="P41" i="17"/>
  <c r="O41" i="17"/>
  <c r="N41" i="17"/>
  <c r="M41" i="17" s="1"/>
  <c r="U40" i="17"/>
  <c r="T40" i="17"/>
  <c r="S40" i="17"/>
  <c r="R40" i="17"/>
  <c r="Q40" i="17"/>
  <c r="P40" i="17"/>
  <c r="O40" i="17"/>
  <c r="N40" i="17"/>
  <c r="M40" i="17" s="1"/>
  <c r="B40" i="17"/>
  <c r="U39" i="17"/>
  <c r="T39" i="17"/>
  <c r="S39" i="17"/>
  <c r="R39" i="17"/>
  <c r="Q39" i="17"/>
  <c r="P39" i="17"/>
  <c r="O39" i="17"/>
  <c r="N39" i="17"/>
  <c r="M39" i="17"/>
  <c r="B39" i="17"/>
  <c r="U38" i="17"/>
  <c r="T38" i="17"/>
  <c r="S38" i="17"/>
  <c r="R38" i="17"/>
  <c r="Q38" i="17"/>
  <c r="P38" i="17"/>
  <c r="O38" i="17"/>
  <c r="B38" i="17" s="1"/>
  <c r="N38" i="17"/>
  <c r="M38" i="17"/>
  <c r="T37" i="17"/>
  <c r="S37" i="17"/>
  <c r="R37" i="17"/>
  <c r="Q37" i="17"/>
  <c r="P37" i="17"/>
  <c r="O37" i="17"/>
  <c r="N37" i="17"/>
  <c r="M37" i="17" s="1"/>
  <c r="U36" i="17"/>
  <c r="T36" i="17"/>
  <c r="S36" i="17"/>
  <c r="R36" i="17"/>
  <c r="Q36" i="17"/>
  <c r="P36" i="17"/>
  <c r="O36" i="17"/>
  <c r="N36" i="17"/>
  <c r="M36" i="17" s="1"/>
  <c r="B36" i="17"/>
  <c r="U35" i="17"/>
  <c r="T35" i="17"/>
  <c r="S35" i="17"/>
  <c r="R35" i="17"/>
  <c r="Q35" i="17"/>
  <c r="P35" i="17"/>
  <c r="O35" i="17"/>
  <c r="N35" i="17"/>
  <c r="M35" i="17" s="1"/>
  <c r="B35" i="17"/>
  <c r="T34" i="17"/>
  <c r="S34" i="17"/>
  <c r="R34" i="17"/>
  <c r="Q34" i="17"/>
  <c r="P34" i="17"/>
  <c r="O34" i="17"/>
  <c r="B34" i="17" s="1"/>
  <c r="N34" i="17"/>
  <c r="M34" i="17" s="1"/>
  <c r="T33" i="17"/>
  <c r="S33" i="17"/>
  <c r="R33" i="17"/>
  <c r="Q33" i="17"/>
  <c r="P33" i="17"/>
  <c r="O33" i="17"/>
  <c r="N33" i="17"/>
  <c r="M33" i="17" s="1"/>
  <c r="U32" i="17"/>
  <c r="T32" i="17"/>
  <c r="S32" i="17"/>
  <c r="R32" i="17"/>
  <c r="Q32" i="17"/>
  <c r="P32" i="17"/>
  <c r="O32" i="17"/>
  <c r="N32" i="17"/>
  <c r="M32" i="17" s="1"/>
  <c r="B32" i="17"/>
  <c r="U31" i="17"/>
  <c r="T31" i="17"/>
  <c r="S31" i="17"/>
  <c r="R31" i="17"/>
  <c r="Q31" i="17"/>
  <c r="P31" i="17"/>
  <c r="O31" i="17"/>
  <c r="N31" i="17"/>
  <c r="M31" i="17" s="1"/>
  <c r="B31" i="17"/>
  <c r="U30" i="17"/>
  <c r="T30" i="17"/>
  <c r="S30" i="17"/>
  <c r="R30" i="17"/>
  <c r="Q30" i="17"/>
  <c r="P30" i="17"/>
  <c r="O30" i="17"/>
  <c r="B30" i="17" s="1"/>
  <c r="N30" i="17"/>
  <c r="M30" i="17"/>
  <c r="T29" i="17"/>
  <c r="S29" i="17"/>
  <c r="R29" i="17"/>
  <c r="Q29" i="17"/>
  <c r="P29" i="17"/>
  <c r="O29" i="17"/>
  <c r="N29" i="17"/>
  <c r="M29" i="17" s="1"/>
  <c r="U28" i="17"/>
  <c r="T28" i="17"/>
  <c r="S28" i="17"/>
  <c r="R28" i="17"/>
  <c r="Q28" i="17"/>
  <c r="P28" i="17"/>
  <c r="O28" i="17"/>
  <c r="N28" i="17"/>
  <c r="M28" i="17" s="1"/>
  <c r="B28" i="17"/>
  <c r="U27" i="17"/>
  <c r="T27" i="17"/>
  <c r="S27" i="17"/>
  <c r="R27" i="17"/>
  <c r="Q27" i="17"/>
  <c r="P27" i="17"/>
  <c r="O27" i="17"/>
  <c r="N27" i="17"/>
  <c r="M27" i="17" s="1"/>
  <c r="B27" i="17"/>
  <c r="U26" i="17"/>
  <c r="T26" i="17"/>
  <c r="S26" i="17"/>
  <c r="R26" i="17"/>
  <c r="Q26" i="17"/>
  <c r="P26" i="17"/>
  <c r="O26" i="17"/>
  <c r="B26" i="17" s="1"/>
  <c r="N26" i="17"/>
  <c r="M26" i="17" s="1"/>
  <c r="T25" i="17"/>
  <c r="S25" i="17"/>
  <c r="R25" i="17"/>
  <c r="Q25" i="17"/>
  <c r="P25" i="17"/>
  <c r="O25" i="17"/>
  <c r="N25" i="17"/>
  <c r="M25" i="17" s="1"/>
  <c r="U24" i="17"/>
  <c r="T24" i="17"/>
  <c r="S24" i="17"/>
  <c r="R24" i="17"/>
  <c r="Q24" i="17"/>
  <c r="P24" i="17"/>
  <c r="O24" i="17"/>
  <c r="N24" i="17"/>
  <c r="M24" i="17" s="1"/>
  <c r="B24" i="17"/>
  <c r="U23" i="17"/>
  <c r="T23" i="17"/>
  <c r="S23" i="17"/>
  <c r="R23" i="17"/>
  <c r="Q23" i="17"/>
  <c r="P23" i="17"/>
  <c r="O23" i="17"/>
  <c r="N23" i="17"/>
  <c r="M23" i="17" s="1"/>
  <c r="B23" i="17"/>
  <c r="T22" i="17"/>
  <c r="S22" i="17"/>
  <c r="R22" i="17"/>
  <c r="Q22" i="17"/>
  <c r="P22" i="17"/>
  <c r="O22" i="17"/>
  <c r="B22" i="17" s="1"/>
  <c r="N22" i="17"/>
  <c r="M22" i="17" s="1"/>
  <c r="T21" i="17"/>
  <c r="S21" i="17"/>
  <c r="R21" i="17"/>
  <c r="Q21" i="17"/>
  <c r="P21" i="17"/>
  <c r="O21" i="17"/>
  <c r="N21" i="17"/>
  <c r="M21" i="17" s="1"/>
  <c r="U20" i="17"/>
  <c r="T20" i="17"/>
  <c r="S20" i="17"/>
  <c r="R20" i="17"/>
  <c r="Q20" i="17"/>
  <c r="P20" i="17"/>
  <c r="O20" i="17"/>
  <c r="N20" i="17"/>
  <c r="M20" i="17" s="1"/>
  <c r="B20" i="17"/>
  <c r="U19" i="17"/>
  <c r="T19" i="17"/>
  <c r="S19" i="17"/>
  <c r="R19" i="17"/>
  <c r="Q19" i="17"/>
  <c r="P19" i="17"/>
  <c r="O19" i="17"/>
  <c r="N19" i="17"/>
  <c r="M19" i="17" s="1"/>
  <c r="B19" i="17"/>
  <c r="U18" i="17"/>
  <c r="T18" i="17"/>
  <c r="S18" i="17"/>
  <c r="R18" i="17"/>
  <c r="Q18" i="17"/>
  <c r="P18" i="17"/>
  <c r="O18" i="17"/>
  <c r="B18" i="17" s="1"/>
  <c r="N18" i="17"/>
  <c r="M18" i="17" s="1"/>
  <c r="T17" i="17"/>
  <c r="S17" i="17"/>
  <c r="R17" i="17"/>
  <c r="Q17" i="17"/>
  <c r="P17" i="17"/>
  <c r="O17" i="17"/>
  <c r="N17" i="17"/>
  <c r="M17" i="17" s="1"/>
  <c r="U16" i="17"/>
  <c r="T16" i="17"/>
  <c r="S16" i="17"/>
  <c r="R16" i="17"/>
  <c r="Q16" i="17"/>
  <c r="P16" i="17"/>
  <c r="O16" i="17"/>
  <c r="N16" i="17"/>
  <c r="M16" i="17" s="1"/>
  <c r="B16" i="17"/>
  <c r="U15" i="17"/>
  <c r="T15" i="17"/>
  <c r="S15" i="17"/>
  <c r="R15" i="17"/>
  <c r="Q15" i="17"/>
  <c r="P15" i="17"/>
  <c r="O15" i="17"/>
  <c r="N15" i="17"/>
  <c r="M15" i="17"/>
  <c r="B15" i="17"/>
  <c r="T14" i="17"/>
  <c r="S14" i="17"/>
  <c r="R14" i="17"/>
  <c r="Q14" i="17"/>
  <c r="P14" i="17"/>
  <c r="O14" i="17"/>
  <c r="B14" i="17" s="1"/>
  <c r="N14" i="17"/>
  <c r="M14" i="17" s="1"/>
  <c r="T13" i="17"/>
  <c r="S13" i="17"/>
  <c r="R13" i="17"/>
  <c r="Q13" i="17"/>
  <c r="P13" i="17"/>
  <c r="O13" i="17"/>
  <c r="N13" i="17"/>
  <c r="M13" i="17" s="1"/>
  <c r="U12" i="17"/>
  <c r="T12" i="17"/>
  <c r="S12" i="17"/>
  <c r="R12" i="17"/>
  <c r="Q12" i="17"/>
  <c r="P12" i="17"/>
  <c r="O12" i="17"/>
  <c r="N12" i="17"/>
  <c r="M12" i="17" s="1"/>
  <c r="B12" i="17"/>
  <c r="U11" i="17"/>
  <c r="T11" i="17"/>
  <c r="S11" i="17"/>
  <c r="R11" i="17"/>
  <c r="Q11" i="17"/>
  <c r="P11" i="17"/>
  <c r="O11" i="17"/>
  <c r="N11" i="17"/>
  <c r="M11" i="17" s="1"/>
  <c r="B11" i="17"/>
  <c r="U10" i="17"/>
  <c r="T10" i="17"/>
  <c r="S10" i="17"/>
  <c r="R10" i="17"/>
  <c r="Q10" i="17"/>
  <c r="P10" i="17"/>
  <c r="O10" i="17"/>
  <c r="B10" i="17" s="1"/>
  <c r="N10" i="17"/>
  <c r="M10" i="17" s="1"/>
  <c r="T9" i="17"/>
  <c r="S9" i="17"/>
  <c r="R9" i="17"/>
  <c r="Q9" i="17"/>
  <c r="P9" i="17"/>
  <c r="O9" i="17"/>
  <c r="N9" i="17"/>
  <c r="M9" i="17" s="1"/>
  <c r="U8" i="17"/>
  <c r="T8" i="17"/>
  <c r="S8" i="17"/>
  <c r="R8" i="17"/>
  <c r="Q8" i="17"/>
  <c r="P8" i="17"/>
  <c r="O8" i="17"/>
  <c r="N8" i="17"/>
  <c r="M8" i="17" s="1"/>
  <c r="B8" i="17"/>
  <c r="U7" i="17"/>
  <c r="T7" i="17"/>
  <c r="S7" i="17"/>
  <c r="R7" i="17"/>
  <c r="Q7" i="17"/>
  <c r="P7" i="17"/>
  <c r="O7" i="17"/>
  <c r="N7" i="17"/>
  <c r="M7" i="17"/>
  <c r="B7" i="17"/>
  <c r="U6" i="17"/>
  <c r="T6" i="17"/>
  <c r="S6" i="17"/>
  <c r="R6" i="17"/>
  <c r="Q6" i="17"/>
  <c r="P6" i="17"/>
  <c r="O6" i="17"/>
  <c r="B6" i="17" s="1"/>
  <c r="N6" i="17"/>
  <c r="M6" i="17"/>
  <c r="K3" i="17"/>
  <c r="U302" i="16"/>
  <c r="T302" i="16"/>
  <c r="S302" i="16"/>
  <c r="R302" i="16"/>
  <c r="Q302" i="16"/>
  <c r="O302" i="16"/>
  <c r="N302" i="16"/>
  <c r="P302" i="16" s="1"/>
  <c r="M302" i="16"/>
  <c r="L302" i="16"/>
  <c r="K302" i="16"/>
  <c r="J302" i="16"/>
  <c r="I302" i="16"/>
  <c r="F302" i="16"/>
  <c r="B302" i="16"/>
  <c r="V301" i="16"/>
  <c r="W301" i="16" s="1"/>
  <c r="U301" i="16"/>
  <c r="T301" i="16"/>
  <c r="S301" i="16"/>
  <c r="R301" i="16"/>
  <c r="Q301" i="16"/>
  <c r="O301" i="16"/>
  <c r="N301" i="16"/>
  <c r="M301" i="16"/>
  <c r="L301" i="16"/>
  <c r="K301" i="16"/>
  <c r="J301" i="16"/>
  <c r="I301" i="16"/>
  <c r="F301" i="16"/>
  <c r="U300" i="16"/>
  <c r="T300" i="16"/>
  <c r="S300" i="16"/>
  <c r="R300" i="16"/>
  <c r="Q300" i="16"/>
  <c r="O300" i="16"/>
  <c r="N300" i="16"/>
  <c r="P300" i="16" s="1"/>
  <c r="L300" i="16"/>
  <c r="K300" i="16"/>
  <c r="J300" i="16"/>
  <c r="I300" i="16"/>
  <c r="F300" i="16"/>
  <c r="U299" i="16"/>
  <c r="T299" i="16"/>
  <c r="S299" i="16"/>
  <c r="R299" i="16"/>
  <c r="Q299" i="16"/>
  <c r="O299" i="16"/>
  <c r="N299" i="16"/>
  <c r="P299" i="16" s="1"/>
  <c r="M299" i="16"/>
  <c r="L299" i="16"/>
  <c r="K299" i="16"/>
  <c r="J299" i="16"/>
  <c r="I299" i="16"/>
  <c r="F299" i="16"/>
  <c r="B299" i="16"/>
  <c r="U298" i="16"/>
  <c r="T298" i="16"/>
  <c r="S298" i="16"/>
  <c r="R298" i="16"/>
  <c r="Q298" i="16"/>
  <c r="O298" i="16"/>
  <c r="N298" i="16"/>
  <c r="M298" i="16" s="1"/>
  <c r="L298" i="16"/>
  <c r="K298" i="16"/>
  <c r="J298" i="16"/>
  <c r="I298" i="16"/>
  <c r="F298" i="16"/>
  <c r="U297" i="16"/>
  <c r="T297" i="16"/>
  <c r="S297" i="16"/>
  <c r="R297" i="16"/>
  <c r="Q297" i="16"/>
  <c r="O297" i="16"/>
  <c r="P297" i="16" s="1"/>
  <c r="N297" i="16"/>
  <c r="M297" i="16" s="1"/>
  <c r="L297" i="16"/>
  <c r="K297" i="16"/>
  <c r="J297" i="16"/>
  <c r="I297" i="16"/>
  <c r="F297" i="16"/>
  <c r="B297" i="16"/>
  <c r="U296" i="16"/>
  <c r="T296" i="16"/>
  <c r="S296" i="16"/>
  <c r="R296" i="16"/>
  <c r="Q296" i="16"/>
  <c r="B296" i="16" s="1"/>
  <c r="P296" i="16"/>
  <c r="O296" i="16"/>
  <c r="N296" i="16"/>
  <c r="V296" i="16" s="1"/>
  <c r="W296" i="16" s="1"/>
  <c r="M296" i="16"/>
  <c r="L296" i="16"/>
  <c r="K296" i="16"/>
  <c r="J296" i="16"/>
  <c r="I296" i="16"/>
  <c r="F296" i="16"/>
  <c r="U295" i="16"/>
  <c r="T295" i="16"/>
  <c r="S295" i="16"/>
  <c r="R295" i="16"/>
  <c r="Q295" i="16"/>
  <c r="B295" i="16" s="1"/>
  <c r="O295" i="16"/>
  <c r="N295" i="16"/>
  <c r="V295" i="16" s="1"/>
  <c r="W295" i="16" s="1"/>
  <c r="L295" i="16"/>
  <c r="K295" i="16"/>
  <c r="J295" i="16"/>
  <c r="I295" i="16"/>
  <c r="F295" i="16"/>
  <c r="U294" i="16"/>
  <c r="T294" i="16"/>
  <c r="S294" i="16"/>
  <c r="R294" i="16"/>
  <c r="Q294" i="16"/>
  <c r="O294" i="16"/>
  <c r="N294" i="16"/>
  <c r="P294" i="16" s="1"/>
  <c r="M294" i="16"/>
  <c r="L294" i="16"/>
  <c r="K294" i="16"/>
  <c r="J294" i="16"/>
  <c r="I294" i="16"/>
  <c r="F294" i="16"/>
  <c r="B294" i="16"/>
  <c r="V293" i="16"/>
  <c r="W293" i="16" s="1"/>
  <c r="U293" i="16"/>
  <c r="T293" i="16"/>
  <c r="S293" i="16"/>
  <c r="R293" i="16"/>
  <c r="Q293" i="16"/>
  <c r="O293" i="16"/>
  <c r="N293" i="16"/>
  <c r="M293" i="16"/>
  <c r="L293" i="16"/>
  <c r="K293" i="16"/>
  <c r="J293" i="16"/>
  <c r="I293" i="16"/>
  <c r="F293" i="16"/>
  <c r="V292" i="16"/>
  <c r="W292" i="16" s="1"/>
  <c r="U292" i="16"/>
  <c r="T292" i="16"/>
  <c r="S292" i="16"/>
  <c r="R292" i="16"/>
  <c r="Q292" i="16"/>
  <c r="O292" i="16"/>
  <c r="N292" i="16"/>
  <c r="M292" i="16"/>
  <c r="L292" i="16"/>
  <c r="K292" i="16"/>
  <c r="J292" i="16"/>
  <c r="I292" i="16"/>
  <c r="F292" i="16"/>
  <c r="B292" i="16"/>
  <c r="U291" i="16"/>
  <c r="T291" i="16"/>
  <c r="S291" i="16"/>
  <c r="R291" i="16"/>
  <c r="Q291" i="16"/>
  <c r="O291" i="16"/>
  <c r="N291" i="16"/>
  <c r="P291" i="16" s="1"/>
  <c r="M291" i="16"/>
  <c r="L291" i="16"/>
  <c r="K291" i="16"/>
  <c r="J291" i="16"/>
  <c r="I291" i="16"/>
  <c r="F291" i="16"/>
  <c r="U290" i="16"/>
  <c r="T290" i="16"/>
  <c r="S290" i="16"/>
  <c r="R290" i="16"/>
  <c r="Q290" i="16"/>
  <c r="B290" i="16" s="1"/>
  <c r="O290" i="16"/>
  <c r="N290" i="16"/>
  <c r="M290" i="16" s="1"/>
  <c r="L290" i="16"/>
  <c r="K290" i="16"/>
  <c r="J290" i="16"/>
  <c r="I290" i="16"/>
  <c r="F290" i="16"/>
  <c r="U289" i="16"/>
  <c r="T289" i="16"/>
  <c r="S289" i="16"/>
  <c r="R289" i="16"/>
  <c r="Q289" i="16"/>
  <c r="B289" i="16" s="1"/>
  <c r="P289" i="16"/>
  <c r="O289" i="16"/>
  <c r="N289" i="16"/>
  <c r="M289" i="16" s="1"/>
  <c r="L289" i="16"/>
  <c r="K289" i="16"/>
  <c r="J289" i="16"/>
  <c r="I289" i="16"/>
  <c r="F289" i="16"/>
  <c r="U288" i="16"/>
  <c r="T288" i="16"/>
  <c r="S288" i="16"/>
  <c r="R288" i="16"/>
  <c r="Q288" i="16"/>
  <c r="B288" i="16" s="1"/>
  <c r="P288" i="16"/>
  <c r="O288" i="16"/>
  <c r="N288" i="16"/>
  <c r="V288" i="16" s="1"/>
  <c r="W288" i="16" s="1"/>
  <c r="M288" i="16"/>
  <c r="L288" i="16"/>
  <c r="K288" i="16"/>
  <c r="J288" i="16"/>
  <c r="I288" i="16"/>
  <c r="F288" i="16"/>
  <c r="U287" i="16"/>
  <c r="T287" i="16"/>
  <c r="S287" i="16"/>
  <c r="R287" i="16"/>
  <c r="Q287" i="16"/>
  <c r="B287" i="16" s="1"/>
  <c r="O287" i="16"/>
  <c r="N287" i="16"/>
  <c r="V287" i="16" s="1"/>
  <c r="W287" i="16" s="1"/>
  <c r="L287" i="16"/>
  <c r="K287" i="16"/>
  <c r="J287" i="16"/>
  <c r="I287" i="16"/>
  <c r="F287" i="16"/>
  <c r="U286" i="16"/>
  <c r="T286" i="16"/>
  <c r="S286" i="16"/>
  <c r="R286" i="16"/>
  <c r="Q286" i="16"/>
  <c r="O286" i="16"/>
  <c r="N286" i="16"/>
  <c r="P286" i="16" s="1"/>
  <c r="M286" i="16"/>
  <c r="L286" i="16"/>
  <c r="K286" i="16"/>
  <c r="J286" i="16"/>
  <c r="I286" i="16"/>
  <c r="F286" i="16"/>
  <c r="B286" i="16"/>
  <c r="U285" i="16"/>
  <c r="T285" i="16"/>
  <c r="S285" i="16"/>
  <c r="R285" i="16"/>
  <c r="Q285" i="16"/>
  <c r="O285" i="16"/>
  <c r="N285" i="16"/>
  <c r="V285" i="16" s="1"/>
  <c r="W285" i="16" s="1"/>
  <c r="L285" i="16"/>
  <c r="K285" i="16"/>
  <c r="J285" i="16"/>
  <c r="I285" i="16"/>
  <c r="F285" i="16"/>
  <c r="U284" i="16"/>
  <c r="T284" i="16"/>
  <c r="S284" i="16"/>
  <c r="R284" i="16"/>
  <c r="Q284" i="16"/>
  <c r="B284" i="16" s="1"/>
  <c r="O284" i="16"/>
  <c r="N284" i="16"/>
  <c r="L284" i="16"/>
  <c r="J284" i="16"/>
  <c r="I284" i="16"/>
  <c r="F284" i="16"/>
  <c r="U283" i="16"/>
  <c r="T283" i="16"/>
  <c r="S283" i="16"/>
  <c r="R283" i="16"/>
  <c r="Q283" i="16"/>
  <c r="O283" i="16"/>
  <c r="N283" i="16"/>
  <c r="P283" i="16" s="1"/>
  <c r="L283" i="16"/>
  <c r="J283" i="16"/>
  <c r="I283" i="16"/>
  <c r="F283" i="16"/>
  <c r="U282" i="16"/>
  <c r="T282" i="16"/>
  <c r="S282" i="16"/>
  <c r="R282" i="16"/>
  <c r="Q282" i="16"/>
  <c r="O282" i="16"/>
  <c r="N282" i="16"/>
  <c r="P282" i="16" s="1"/>
  <c r="L282" i="16"/>
  <c r="K282" i="16"/>
  <c r="J282" i="16"/>
  <c r="I282" i="16"/>
  <c r="F282" i="16"/>
  <c r="U281" i="16"/>
  <c r="T281" i="16"/>
  <c r="S281" i="16"/>
  <c r="R281" i="16"/>
  <c r="Q281" i="16"/>
  <c r="O281" i="16"/>
  <c r="N281" i="16"/>
  <c r="P281" i="16" s="1"/>
  <c r="M281" i="16"/>
  <c r="L281" i="16"/>
  <c r="K281" i="16"/>
  <c r="J281" i="16"/>
  <c r="I281" i="16"/>
  <c r="F281" i="16"/>
  <c r="B281" i="16"/>
  <c r="U280" i="16"/>
  <c r="T280" i="16"/>
  <c r="S280" i="16"/>
  <c r="R280" i="16"/>
  <c r="Q280" i="16"/>
  <c r="O280" i="16"/>
  <c r="N280" i="16"/>
  <c r="P280" i="16" s="1"/>
  <c r="L280" i="16"/>
  <c r="K280" i="16"/>
  <c r="J280" i="16"/>
  <c r="I280" i="16"/>
  <c r="F280" i="16"/>
  <c r="U279" i="16"/>
  <c r="T279" i="16"/>
  <c r="S279" i="16"/>
  <c r="R279" i="16"/>
  <c r="Q279" i="16"/>
  <c r="B279" i="16" s="1"/>
  <c r="O279" i="16"/>
  <c r="N279" i="16"/>
  <c r="M279" i="16" s="1"/>
  <c r="L279" i="16"/>
  <c r="K279" i="16"/>
  <c r="J279" i="16"/>
  <c r="I279" i="16"/>
  <c r="F279" i="16"/>
  <c r="U278" i="16"/>
  <c r="T278" i="16"/>
  <c r="S278" i="16"/>
  <c r="R278" i="16"/>
  <c r="Q278" i="16"/>
  <c r="P278" i="16"/>
  <c r="O278" i="16"/>
  <c r="N278" i="16"/>
  <c r="V278" i="16" s="1"/>
  <c r="W278" i="16" s="1"/>
  <c r="M278" i="16"/>
  <c r="L278" i="16"/>
  <c r="K278" i="16"/>
  <c r="J278" i="16"/>
  <c r="I278" i="16"/>
  <c r="F278" i="16"/>
  <c r="B278" i="16"/>
  <c r="U277" i="16"/>
  <c r="T277" i="16"/>
  <c r="S277" i="16"/>
  <c r="R277" i="16"/>
  <c r="Q277" i="16"/>
  <c r="O277" i="16"/>
  <c r="N277" i="16"/>
  <c r="M277" i="16" s="1"/>
  <c r="L277" i="16"/>
  <c r="K277" i="16"/>
  <c r="J277" i="16"/>
  <c r="I277" i="16"/>
  <c r="F277" i="16"/>
  <c r="U276" i="16"/>
  <c r="T276" i="16"/>
  <c r="S276" i="16"/>
  <c r="R276" i="16"/>
  <c r="Q276" i="16"/>
  <c r="B276" i="16" s="1"/>
  <c r="O276" i="16"/>
  <c r="N276" i="16"/>
  <c r="P276" i="16" s="1"/>
  <c r="M276" i="16"/>
  <c r="L276" i="16"/>
  <c r="K276" i="16"/>
  <c r="J276" i="16"/>
  <c r="I276" i="16"/>
  <c r="F276" i="16"/>
  <c r="U275" i="16"/>
  <c r="T275" i="16"/>
  <c r="S275" i="16"/>
  <c r="R275" i="16"/>
  <c r="Q275" i="16"/>
  <c r="O275" i="16"/>
  <c r="N275" i="16"/>
  <c r="B275" i="16" s="1"/>
  <c r="M275" i="16"/>
  <c r="L275" i="16"/>
  <c r="K275" i="16"/>
  <c r="J275" i="16"/>
  <c r="I275" i="16"/>
  <c r="F275" i="16"/>
  <c r="V274" i="16"/>
  <c r="W274" i="16" s="1"/>
  <c r="U274" i="16"/>
  <c r="T274" i="16"/>
  <c r="S274" i="16"/>
  <c r="R274" i="16"/>
  <c r="Q274" i="16"/>
  <c r="B274" i="16" s="1"/>
  <c r="O274" i="16"/>
  <c r="N274" i="16"/>
  <c r="M274" i="16"/>
  <c r="L274" i="16"/>
  <c r="K274" i="16"/>
  <c r="J274" i="16"/>
  <c r="I274" i="16"/>
  <c r="F274" i="16"/>
  <c r="U273" i="16"/>
  <c r="T273" i="16"/>
  <c r="S273" i="16"/>
  <c r="R273" i="16"/>
  <c r="Q273" i="16"/>
  <c r="O273" i="16"/>
  <c r="N273" i="16"/>
  <c r="P273" i="16" s="1"/>
  <c r="M273" i="16"/>
  <c r="L273" i="16"/>
  <c r="K273" i="16"/>
  <c r="J273" i="16"/>
  <c r="I273" i="16"/>
  <c r="F273" i="16"/>
  <c r="U272" i="16"/>
  <c r="T272" i="16"/>
  <c r="S272" i="16"/>
  <c r="R272" i="16"/>
  <c r="Q272" i="16"/>
  <c r="O272" i="16"/>
  <c r="N272" i="16"/>
  <c r="P272" i="16" s="1"/>
  <c r="M272" i="16"/>
  <c r="L272" i="16"/>
  <c r="K272" i="16"/>
  <c r="J272" i="16"/>
  <c r="I272" i="16"/>
  <c r="F272" i="16"/>
  <c r="U271" i="16"/>
  <c r="T271" i="16"/>
  <c r="S271" i="16"/>
  <c r="R271" i="16"/>
  <c r="Q271" i="16"/>
  <c r="O271" i="16"/>
  <c r="N271" i="16"/>
  <c r="M271" i="16" s="1"/>
  <c r="L271" i="16"/>
  <c r="K271" i="16"/>
  <c r="J271" i="16"/>
  <c r="I271" i="16"/>
  <c r="F271" i="16"/>
  <c r="U270" i="16"/>
  <c r="T270" i="16"/>
  <c r="S270" i="16"/>
  <c r="R270" i="16"/>
  <c r="Q270" i="16"/>
  <c r="O270" i="16"/>
  <c r="P270" i="16" s="1"/>
  <c r="N270" i="16"/>
  <c r="V270" i="16" s="1"/>
  <c r="W270" i="16" s="1"/>
  <c r="M270" i="16"/>
  <c r="L270" i="16"/>
  <c r="K270" i="16"/>
  <c r="J270" i="16"/>
  <c r="I270" i="16"/>
  <c r="F270" i="16"/>
  <c r="B270" i="16"/>
  <c r="U269" i="16"/>
  <c r="T269" i="16"/>
  <c r="S269" i="16"/>
  <c r="R269" i="16"/>
  <c r="Q269" i="16"/>
  <c r="O269" i="16"/>
  <c r="N269" i="16"/>
  <c r="M269" i="16" s="1"/>
  <c r="L269" i="16"/>
  <c r="K269" i="16"/>
  <c r="J269" i="16"/>
  <c r="I269" i="16"/>
  <c r="F269" i="16"/>
  <c r="U268" i="16"/>
  <c r="T268" i="16"/>
  <c r="S268" i="16"/>
  <c r="R268" i="16"/>
  <c r="Q268" i="16"/>
  <c r="B268" i="16" s="1"/>
  <c r="O268" i="16"/>
  <c r="N268" i="16"/>
  <c r="M268" i="16"/>
  <c r="L268" i="16"/>
  <c r="K268" i="16"/>
  <c r="J268" i="16"/>
  <c r="I268" i="16"/>
  <c r="F268" i="16"/>
  <c r="U267" i="16"/>
  <c r="T267" i="16"/>
  <c r="S267" i="16"/>
  <c r="R267" i="16"/>
  <c r="Q267" i="16"/>
  <c r="P267" i="16"/>
  <c r="O267" i="16"/>
  <c r="N267" i="16"/>
  <c r="B267" i="16" s="1"/>
  <c r="L267" i="16"/>
  <c r="K267" i="16"/>
  <c r="J267" i="16"/>
  <c r="I267" i="16"/>
  <c r="F267" i="16"/>
  <c r="U266" i="16"/>
  <c r="T266" i="16"/>
  <c r="S266" i="16"/>
  <c r="R266" i="16"/>
  <c r="Q266" i="16"/>
  <c r="O266" i="16"/>
  <c r="N266" i="16"/>
  <c r="L266" i="16"/>
  <c r="K266" i="16"/>
  <c r="J266" i="16"/>
  <c r="I266" i="16"/>
  <c r="F266" i="16"/>
  <c r="B266" i="16"/>
  <c r="U265" i="16"/>
  <c r="T265" i="16"/>
  <c r="S265" i="16"/>
  <c r="R265" i="16"/>
  <c r="Q265" i="16"/>
  <c r="P265" i="16"/>
  <c r="O265" i="16"/>
  <c r="N265" i="16"/>
  <c r="V265" i="16" s="1"/>
  <c r="W265" i="16" s="1"/>
  <c r="L265" i="16"/>
  <c r="K265" i="16"/>
  <c r="J265" i="16"/>
  <c r="I265" i="16"/>
  <c r="F265" i="16"/>
  <c r="B265" i="16"/>
  <c r="U264" i="16"/>
  <c r="T264" i="16"/>
  <c r="S264" i="16"/>
  <c r="R264" i="16"/>
  <c r="Q264" i="16"/>
  <c r="B264" i="16" s="1"/>
  <c r="P264" i="16"/>
  <c r="O264" i="16"/>
  <c r="N264" i="16"/>
  <c r="V264" i="16" s="1"/>
  <c r="W264" i="16" s="1"/>
  <c r="M264" i="16"/>
  <c r="L264" i="16"/>
  <c r="K264" i="16"/>
  <c r="J264" i="16"/>
  <c r="I264" i="16"/>
  <c r="F264" i="16"/>
  <c r="U263" i="16"/>
  <c r="T263" i="16"/>
  <c r="S263" i="16"/>
  <c r="R263" i="16"/>
  <c r="Q263" i="16"/>
  <c r="B263" i="16" s="1"/>
  <c r="O263" i="16"/>
  <c r="N263" i="16"/>
  <c r="M263" i="16" s="1"/>
  <c r="L263" i="16"/>
  <c r="K263" i="16"/>
  <c r="J263" i="16"/>
  <c r="I263" i="16"/>
  <c r="F263" i="16"/>
  <c r="U262" i="16"/>
  <c r="T262" i="16"/>
  <c r="S262" i="16"/>
  <c r="R262" i="16"/>
  <c r="Q262" i="16"/>
  <c r="B262" i="16" s="1"/>
  <c r="P262" i="16"/>
  <c r="O262" i="16"/>
  <c r="N262" i="16"/>
  <c r="V262" i="16" s="1"/>
  <c r="W262" i="16" s="1"/>
  <c r="M262" i="16"/>
  <c r="L262" i="16"/>
  <c r="K262" i="16"/>
  <c r="J262" i="16"/>
  <c r="I262" i="16"/>
  <c r="F262" i="16"/>
  <c r="U261" i="16"/>
  <c r="T261" i="16"/>
  <c r="S261" i="16"/>
  <c r="R261" i="16"/>
  <c r="Q261" i="16"/>
  <c r="B261" i="16" s="1"/>
  <c r="P261" i="16"/>
  <c r="O261" i="16"/>
  <c r="N261" i="16"/>
  <c r="V261" i="16" s="1"/>
  <c r="W261" i="16" s="1"/>
  <c r="M261" i="16"/>
  <c r="L261" i="16"/>
  <c r="K261" i="16"/>
  <c r="J261" i="16"/>
  <c r="I261" i="16"/>
  <c r="F261" i="16"/>
  <c r="U260" i="16"/>
  <c r="T260" i="16"/>
  <c r="S260" i="16"/>
  <c r="R260" i="16"/>
  <c r="Q260" i="16"/>
  <c r="B260" i="16" s="1"/>
  <c r="O260" i="16"/>
  <c r="N260" i="16"/>
  <c r="V260" i="16" s="1"/>
  <c r="W260" i="16" s="1"/>
  <c r="J260" i="16"/>
  <c r="I260" i="16"/>
  <c r="F260" i="16"/>
  <c r="U259" i="16"/>
  <c r="T259" i="16"/>
  <c r="S259" i="16"/>
  <c r="R259" i="16"/>
  <c r="Q259" i="16"/>
  <c r="O259" i="16"/>
  <c r="P259" i="16" s="1"/>
  <c r="N259" i="16"/>
  <c r="M259" i="16" s="1"/>
  <c r="L259" i="16"/>
  <c r="K259" i="16"/>
  <c r="J259" i="16"/>
  <c r="I259" i="16"/>
  <c r="F259" i="16"/>
  <c r="B259" i="16"/>
  <c r="U258" i="16"/>
  <c r="T258" i="16"/>
  <c r="S258" i="16"/>
  <c r="R258" i="16"/>
  <c r="Q258" i="16"/>
  <c r="P258" i="16"/>
  <c r="O258" i="16"/>
  <c r="N258" i="16"/>
  <c r="V258" i="16" s="1"/>
  <c r="W258" i="16" s="1"/>
  <c r="K258" i="16"/>
  <c r="F258" i="16"/>
  <c r="U257" i="16"/>
  <c r="T257" i="16"/>
  <c r="S257" i="16"/>
  <c r="R257" i="16"/>
  <c r="Q257" i="16"/>
  <c r="O257" i="16"/>
  <c r="N257" i="16"/>
  <c r="B257" i="16" s="1"/>
  <c r="M257" i="16"/>
  <c r="J257" i="16"/>
  <c r="I257" i="16"/>
  <c r="F257" i="16"/>
  <c r="U256" i="16"/>
  <c r="T256" i="16"/>
  <c r="S256" i="16"/>
  <c r="R256" i="16"/>
  <c r="Q256" i="16"/>
  <c r="O256" i="16"/>
  <c r="N256" i="16"/>
  <c r="B256" i="16" s="1"/>
  <c r="J256" i="16"/>
  <c r="I256" i="16"/>
  <c r="F256" i="16"/>
  <c r="U255" i="16"/>
  <c r="T255" i="16"/>
  <c r="S255" i="16"/>
  <c r="R255" i="16"/>
  <c r="Q255" i="16"/>
  <c r="O255" i="16"/>
  <c r="N255" i="16"/>
  <c r="P255" i="16" s="1"/>
  <c r="M255" i="16"/>
  <c r="L255" i="16"/>
  <c r="K255" i="16"/>
  <c r="J255" i="16"/>
  <c r="I255" i="16"/>
  <c r="F255" i="16"/>
  <c r="U254" i="16"/>
  <c r="T254" i="16"/>
  <c r="S254" i="16"/>
  <c r="R254" i="16"/>
  <c r="Q254" i="16"/>
  <c r="O254" i="16"/>
  <c r="N254" i="16"/>
  <c r="P254" i="16" s="1"/>
  <c r="L254" i="16"/>
  <c r="K254" i="16"/>
  <c r="J254" i="16"/>
  <c r="I254" i="16"/>
  <c r="F254" i="16"/>
  <c r="U253" i="16"/>
  <c r="T253" i="16"/>
  <c r="S253" i="16"/>
  <c r="R253" i="16"/>
  <c r="Q253" i="16"/>
  <c r="O253" i="16"/>
  <c r="N253" i="16"/>
  <c r="P253" i="16" s="1"/>
  <c r="M253" i="16"/>
  <c r="L253" i="16"/>
  <c r="K253" i="16"/>
  <c r="J253" i="16"/>
  <c r="I253" i="16"/>
  <c r="F253" i="16"/>
  <c r="B253" i="16"/>
  <c r="U252" i="16"/>
  <c r="T252" i="16"/>
  <c r="S252" i="16"/>
  <c r="R252" i="16"/>
  <c r="Q252" i="16"/>
  <c r="O252" i="16"/>
  <c r="N252" i="16"/>
  <c r="P252" i="16" s="1"/>
  <c r="L252" i="16"/>
  <c r="K252" i="16"/>
  <c r="J252" i="16"/>
  <c r="I252" i="16"/>
  <c r="F252" i="16"/>
  <c r="U251" i="16"/>
  <c r="T251" i="16"/>
  <c r="S251" i="16"/>
  <c r="R251" i="16"/>
  <c r="Q251" i="16"/>
  <c r="O251" i="16"/>
  <c r="P251" i="16" s="1"/>
  <c r="N251" i="16"/>
  <c r="M251" i="16" s="1"/>
  <c r="L251" i="16"/>
  <c r="K251" i="16"/>
  <c r="J251" i="16"/>
  <c r="I251" i="16"/>
  <c r="F251" i="16"/>
  <c r="B251" i="16"/>
  <c r="U250" i="16"/>
  <c r="T250" i="16"/>
  <c r="S250" i="16"/>
  <c r="R250" i="16"/>
  <c r="Q250" i="16"/>
  <c r="B250" i="16" s="1"/>
  <c r="P250" i="16"/>
  <c r="O250" i="16"/>
  <c r="N250" i="16"/>
  <c r="V250" i="16" s="1"/>
  <c r="W250" i="16" s="1"/>
  <c r="L250" i="16"/>
  <c r="K250" i="16"/>
  <c r="J250" i="16"/>
  <c r="I250" i="16"/>
  <c r="F250" i="16"/>
  <c r="U249" i="16"/>
  <c r="T249" i="16"/>
  <c r="S249" i="16"/>
  <c r="R249" i="16"/>
  <c r="Q249" i="16"/>
  <c r="B249" i="16" s="1"/>
  <c r="P249" i="16"/>
  <c r="O249" i="16"/>
  <c r="N249" i="16"/>
  <c r="V249" i="16" s="1"/>
  <c r="W249" i="16" s="1"/>
  <c r="M249" i="16"/>
  <c r="L249" i="16"/>
  <c r="K249" i="16"/>
  <c r="J249" i="16"/>
  <c r="I249" i="16"/>
  <c r="F249" i="16"/>
  <c r="U248" i="16"/>
  <c r="T248" i="16"/>
  <c r="S248" i="16"/>
  <c r="R248" i="16"/>
  <c r="Q248" i="16"/>
  <c r="B248" i="16" s="1"/>
  <c r="O248" i="16"/>
  <c r="N248" i="16"/>
  <c r="P248" i="16" s="1"/>
  <c r="M248" i="16"/>
  <c r="L248" i="16"/>
  <c r="K248" i="16"/>
  <c r="J248" i="16"/>
  <c r="I248" i="16"/>
  <c r="F248" i="16"/>
  <c r="U247" i="16"/>
  <c r="T247" i="16"/>
  <c r="S247" i="16"/>
  <c r="R247" i="16"/>
  <c r="Q247" i="16"/>
  <c r="O247" i="16"/>
  <c r="N247" i="16"/>
  <c r="P247" i="16" s="1"/>
  <c r="M247" i="16"/>
  <c r="L247" i="16"/>
  <c r="K247" i="16"/>
  <c r="J247" i="16"/>
  <c r="I247" i="16"/>
  <c r="F247" i="16"/>
  <c r="U246" i="16"/>
  <c r="T246" i="16"/>
  <c r="S246" i="16"/>
  <c r="R246" i="16"/>
  <c r="Q246" i="16"/>
  <c r="O246" i="16"/>
  <c r="N246" i="16"/>
  <c r="P246" i="16" s="1"/>
  <c r="L246" i="16"/>
  <c r="K246" i="16"/>
  <c r="J246" i="16"/>
  <c r="I246" i="16"/>
  <c r="F246" i="16"/>
  <c r="U245" i="16"/>
  <c r="T245" i="16"/>
  <c r="S245" i="16"/>
  <c r="R245" i="16"/>
  <c r="Q245" i="16"/>
  <c r="O245" i="16"/>
  <c r="N245" i="16"/>
  <c r="P245" i="16" s="1"/>
  <c r="M245" i="16"/>
  <c r="L245" i="16"/>
  <c r="K245" i="16"/>
  <c r="J245" i="16"/>
  <c r="I245" i="16"/>
  <c r="F245" i="16"/>
  <c r="B245" i="16"/>
  <c r="U244" i="16"/>
  <c r="T244" i="16"/>
  <c r="S244" i="16"/>
  <c r="R244" i="16"/>
  <c r="Q244" i="16"/>
  <c r="O244" i="16"/>
  <c r="N244" i="16"/>
  <c r="P244" i="16" s="1"/>
  <c r="L244" i="16"/>
  <c r="J244" i="16"/>
  <c r="I244" i="16"/>
  <c r="F244" i="16"/>
  <c r="U243" i="16"/>
  <c r="T243" i="16"/>
  <c r="S243" i="16"/>
  <c r="R243" i="16"/>
  <c r="Q243" i="16"/>
  <c r="O243" i="16"/>
  <c r="N243" i="16"/>
  <c r="P243" i="16" s="1"/>
  <c r="L243" i="16"/>
  <c r="K243" i="16"/>
  <c r="J243" i="16"/>
  <c r="I243" i="16"/>
  <c r="F243" i="16"/>
  <c r="U242" i="16"/>
  <c r="T242" i="16"/>
  <c r="S242" i="16"/>
  <c r="R242" i="16"/>
  <c r="Q242" i="16"/>
  <c r="B242" i="16" s="1"/>
  <c r="O242" i="16"/>
  <c r="P242" i="16" s="1"/>
  <c r="N242" i="16"/>
  <c r="M242" i="16" s="1"/>
  <c r="L242" i="16"/>
  <c r="J242" i="16"/>
  <c r="I242" i="16"/>
  <c r="F242" i="16"/>
  <c r="U241" i="16"/>
  <c r="T241" i="16"/>
  <c r="S241" i="16"/>
  <c r="R241" i="16"/>
  <c r="Q241" i="16"/>
  <c r="O241" i="16"/>
  <c r="P241" i="16" s="1"/>
  <c r="N241" i="16"/>
  <c r="M241" i="16" s="1"/>
  <c r="L241" i="16"/>
  <c r="K241" i="16"/>
  <c r="J241" i="16"/>
  <c r="I241" i="16"/>
  <c r="F241" i="16"/>
  <c r="B241" i="16"/>
  <c r="U240" i="16"/>
  <c r="T240" i="16"/>
  <c r="S240" i="16"/>
  <c r="R240" i="16"/>
  <c r="Q240" i="16"/>
  <c r="B240" i="16" s="1"/>
  <c r="P240" i="16"/>
  <c r="O240" i="16"/>
  <c r="N240" i="16"/>
  <c r="V240" i="16" s="1"/>
  <c r="W240" i="16" s="1"/>
  <c r="L240" i="16"/>
  <c r="K240" i="16"/>
  <c r="J240" i="16"/>
  <c r="I240" i="16"/>
  <c r="F240" i="16"/>
  <c r="U239" i="16"/>
  <c r="T239" i="16"/>
  <c r="S239" i="16"/>
  <c r="R239" i="16"/>
  <c r="Q239" i="16"/>
  <c r="B239" i="16" s="1"/>
  <c r="P239" i="16"/>
  <c r="O239" i="16"/>
  <c r="N239" i="16"/>
  <c r="V239" i="16" s="1"/>
  <c r="W239" i="16" s="1"/>
  <c r="M239" i="16"/>
  <c r="L239" i="16"/>
  <c r="K239" i="16"/>
  <c r="J239" i="16"/>
  <c r="I239" i="16"/>
  <c r="F239" i="16"/>
  <c r="U238" i="16"/>
  <c r="T238" i="16"/>
  <c r="S238" i="16"/>
  <c r="R238" i="16"/>
  <c r="Q238" i="16"/>
  <c r="B238" i="16" s="1"/>
  <c r="O238" i="16"/>
  <c r="N238" i="16"/>
  <c r="P238" i="16" s="1"/>
  <c r="M238" i="16"/>
  <c r="L238" i="16"/>
  <c r="J238" i="16"/>
  <c r="I238" i="16"/>
  <c r="F238" i="16"/>
  <c r="U237" i="16"/>
  <c r="T237" i="16"/>
  <c r="S237" i="16"/>
  <c r="R237" i="16"/>
  <c r="Q237" i="16"/>
  <c r="O237" i="16"/>
  <c r="N237" i="16"/>
  <c r="P237" i="16" s="1"/>
  <c r="M237" i="16"/>
  <c r="J237" i="16"/>
  <c r="I237" i="16"/>
  <c r="F237" i="16"/>
  <c r="B237" i="16"/>
  <c r="U236" i="16"/>
  <c r="T236" i="16"/>
  <c r="S236" i="16"/>
  <c r="R236" i="16"/>
  <c r="Q236" i="16"/>
  <c r="B236" i="16" s="1"/>
  <c r="P236" i="16"/>
  <c r="O236" i="16"/>
  <c r="N236" i="16"/>
  <c r="V236" i="16" s="1"/>
  <c r="W236" i="16" s="1"/>
  <c r="M236" i="16"/>
  <c r="L236" i="16"/>
  <c r="J236" i="16"/>
  <c r="I236" i="16"/>
  <c r="F236" i="16"/>
  <c r="U235" i="16"/>
  <c r="T235" i="16"/>
  <c r="S235" i="16"/>
  <c r="R235" i="16"/>
  <c r="Q235" i="16"/>
  <c r="B235" i="16" s="1"/>
  <c r="P235" i="16"/>
  <c r="O235" i="16"/>
  <c r="N235" i="16"/>
  <c r="V235" i="16" s="1"/>
  <c r="W235" i="16" s="1"/>
  <c r="M235" i="16"/>
  <c r="L235" i="16"/>
  <c r="J235" i="16"/>
  <c r="I235" i="16"/>
  <c r="F235" i="16"/>
  <c r="U234" i="16"/>
  <c r="T234" i="16"/>
  <c r="S234" i="16"/>
  <c r="R234" i="16"/>
  <c r="Q234" i="16"/>
  <c r="B234" i="16" s="1"/>
  <c r="P234" i="16"/>
  <c r="O234" i="16"/>
  <c r="N234" i="16"/>
  <c r="V234" i="16" s="1"/>
  <c r="W234" i="16" s="1"/>
  <c r="M234" i="16"/>
  <c r="L234" i="16"/>
  <c r="K234" i="16"/>
  <c r="J234" i="16"/>
  <c r="I234" i="16"/>
  <c r="F234" i="16"/>
  <c r="U233" i="16"/>
  <c r="T233" i="16"/>
  <c r="S233" i="16"/>
  <c r="R233" i="16"/>
  <c r="Q233" i="16"/>
  <c r="O233" i="16"/>
  <c r="N233" i="16"/>
  <c r="P233" i="16" s="1"/>
  <c r="M233" i="16"/>
  <c r="J233" i="16"/>
  <c r="I233" i="16"/>
  <c r="F233" i="16"/>
  <c r="U232" i="16"/>
  <c r="T232" i="16"/>
  <c r="S232" i="16"/>
  <c r="R232" i="16"/>
  <c r="Q232" i="16"/>
  <c r="B232" i="16" s="1"/>
  <c r="P232" i="16"/>
  <c r="O232" i="16"/>
  <c r="N232" i="16"/>
  <c r="V232" i="16" s="1"/>
  <c r="W232" i="16" s="1"/>
  <c r="M232" i="16"/>
  <c r="L232" i="16"/>
  <c r="K232" i="16"/>
  <c r="J232" i="16"/>
  <c r="I232" i="16"/>
  <c r="F232" i="16"/>
  <c r="U231" i="16"/>
  <c r="T231" i="16"/>
  <c r="S231" i="16"/>
  <c r="R231" i="16"/>
  <c r="Q231" i="16"/>
  <c r="B231" i="16" s="1"/>
  <c r="O231" i="16"/>
  <c r="N231" i="16"/>
  <c r="P231" i="16" s="1"/>
  <c r="M231" i="16"/>
  <c r="L231" i="16"/>
  <c r="K231" i="16"/>
  <c r="J231" i="16"/>
  <c r="I231" i="16"/>
  <c r="F231" i="16"/>
  <c r="U230" i="16"/>
  <c r="T230" i="16"/>
  <c r="S230" i="16"/>
  <c r="R230" i="16"/>
  <c r="Q230" i="16"/>
  <c r="O230" i="16"/>
  <c r="N230" i="16"/>
  <c r="P230" i="16" s="1"/>
  <c r="M230" i="16"/>
  <c r="L230" i="16"/>
  <c r="K230" i="16"/>
  <c r="J230" i="16"/>
  <c r="I230" i="16"/>
  <c r="F230" i="16"/>
  <c r="U229" i="16"/>
  <c r="T229" i="16"/>
  <c r="S229" i="16"/>
  <c r="R229" i="16"/>
  <c r="Q229" i="16"/>
  <c r="O229" i="16"/>
  <c r="N229" i="16"/>
  <c r="P229" i="16" s="1"/>
  <c r="L229" i="16"/>
  <c r="K229" i="16"/>
  <c r="J229" i="16"/>
  <c r="I229" i="16"/>
  <c r="F229" i="16"/>
  <c r="U228" i="16"/>
  <c r="T228" i="16"/>
  <c r="S228" i="16"/>
  <c r="R228" i="16"/>
  <c r="Q228" i="16"/>
  <c r="O228" i="16"/>
  <c r="P228" i="16" s="1"/>
  <c r="N228" i="16"/>
  <c r="V228" i="16" s="1"/>
  <c r="W228" i="16" s="1"/>
  <c r="M228" i="16"/>
  <c r="L228" i="16"/>
  <c r="K228" i="16"/>
  <c r="J228" i="16"/>
  <c r="I228" i="16"/>
  <c r="F228" i="16"/>
  <c r="B228" i="16"/>
  <c r="U227" i="16"/>
  <c r="T227" i="16"/>
  <c r="S227" i="16"/>
  <c r="R227" i="16"/>
  <c r="Q227" i="16"/>
  <c r="B227" i="16" s="1"/>
  <c r="P227" i="16"/>
  <c r="O227" i="16"/>
  <c r="N227" i="16"/>
  <c r="M227" i="16" s="1"/>
  <c r="J227" i="16"/>
  <c r="I227" i="16"/>
  <c r="F227" i="16"/>
  <c r="U226" i="16"/>
  <c r="T226" i="16"/>
  <c r="S226" i="16"/>
  <c r="R226" i="16"/>
  <c r="Q226" i="16"/>
  <c r="O226" i="16"/>
  <c r="N226" i="16"/>
  <c r="P226" i="16" s="1"/>
  <c r="L226" i="16"/>
  <c r="K226" i="16"/>
  <c r="J226" i="16"/>
  <c r="I226" i="16"/>
  <c r="F226" i="16"/>
  <c r="U225" i="16"/>
  <c r="T225" i="16"/>
  <c r="S225" i="16"/>
  <c r="R225" i="16"/>
  <c r="Q225" i="16"/>
  <c r="O225" i="16"/>
  <c r="P225" i="16" s="1"/>
  <c r="N225" i="16"/>
  <c r="M225" i="16" s="1"/>
  <c r="L225" i="16"/>
  <c r="J225" i="16"/>
  <c r="I225" i="16"/>
  <c r="F225" i="16"/>
  <c r="B225" i="16"/>
  <c r="U224" i="16"/>
  <c r="T224" i="16"/>
  <c r="S224" i="16"/>
  <c r="R224" i="16"/>
  <c r="Q224" i="16"/>
  <c r="B224" i="16" s="1"/>
  <c r="O224" i="16"/>
  <c r="N224" i="16"/>
  <c r="M224" i="16" s="1"/>
  <c r="L224" i="16"/>
  <c r="K224" i="16"/>
  <c r="J224" i="16"/>
  <c r="I224" i="16"/>
  <c r="F224" i="16"/>
  <c r="U223" i="16"/>
  <c r="T223" i="16"/>
  <c r="S223" i="16"/>
  <c r="R223" i="16"/>
  <c r="Q223" i="16"/>
  <c r="P223" i="16"/>
  <c r="O223" i="16"/>
  <c r="N223" i="16"/>
  <c r="M223" i="16" s="1"/>
  <c r="L223" i="16"/>
  <c r="K223" i="16"/>
  <c r="J223" i="16"/>
  <c r="I223" i="16"/>
  <c r="F223" i="16"/>
  <c r="B223" i="16"/>
  <c r="U222" i="16"/>
  <c r="T222" i="16"/>
  <c r="S222" i="16"/>
  <c r="R222" i="16"/>
  <c r="Q222" i="16"/>
  <c r="P222" i="16"/>
  <c r="O222" i="16"/>
  <c r="N222" i="16"/>
  <c r="V222" i="16" s="1"/>
  <c r="W222" i="16" s="1"/>
  <c r="M222" i="16"/>
  <c r="J222" i="16"/>
  <c r="I222" i="16"/>
  <c r="F222" i="16"/>
  <c r="B222" i="16"/>
  <c r="U221" i="16"/>
  <c r="T221" i="16"/>
  <c r="S221" i="16"/>
  <c r="R221" i="16"/>
  <c r="Q221" i="16"/>
  <c r="O221" i="16"/>
  <c r="P221" i="16" s="1"/>
  <c r="N221" i="16"/>
  <c r="M221" i="16" s="1"/>
  <c r="L221" i="16"/>
  <c r="J221" i="16"/>
  <c r="I221" i="16"/>
  <c r="F221" i="16"/>
  <c r="B221" i="16"/>
  <c r="U220" i="16"/>
  <c r="T220" i="16"/>
  <c r="S220" i="16"/>
  <c r="R220" i="16"/>
  <c r="Q220" i="16"/>
  <c r="O220" i="16"/>
  <c r="P220" i="16" s="1"/>
  <c r="N220" i="16"/>
  <c r="M220" i="16" s="1"/>
  <c r="L220" i="16"/>
  <c r="J220" i="16"/>
  <c r="I220" i="16"/>
  <c r="F220" i="16"/>
  <c r="B220" i="16"/>
  <c r="U219" i="16"/>
  <c r="T219" i="16"/>
  <c r="S219" i="16"/>
  <c r="R219" i="16"/>
  <c r="Q219" i="16"/>
  <c r="B219" i="16" s="1"/>
  <c r="P219" i="16"/>
  <c r="O219" i="16"/>
  <c r="N219" i="16"/>
  <c r="M219" i="16" s="1"/>
  <c r="J219" i="16"/>
  <c r="I219" i="16"/>
  <c r="F219" i="16"/>
  <c r="U218" i="16"/>
  <c r="T218" i="16"/>
  <c r="S218" i="16"/>
  <c r="R218" i="16"/>
  <c r="Q218" i="16"/>
  <c r="B218" i="16" s="1"/>
  <c r="O218" i="16"/>
  <c r="N218" i="16"/>
  <c r="M218" i="16" s="1"/>
  <c r="L218" i="16"/>
  <c r="K218" i="16"/>
  <c r="J218" i="16"/>
  <c r="I218" i="16"/>
  <c r="F218" i="16"/>
  <c r="U217" i="16"/>
  <c r="T217" i="16"/>
  <c r="S217" i="16"/>
  <c r="R217" i="16"/>
  <c r="Q217" i="16"/>
  <c r="B217" i="16" s="1"/>
  <c r="P217" i="16"/>
  <c r="O217" i="16"/>
  <c r="N217" i="16"/>
  <c r="M217" i="16" s="1"/>
  <c r="F217" i="16"/>
  <c r="V216" i="16"/>
  <c r="W216" i="16" s="1"/>
  <c r="U216" i="16"/>
  <c r="T216" i="16"/>
  <c r="S216" i="16"/>
  <c r="R216" i="16"/>
  <c r="Q216" i="16"/>
  <c r="O216" i="16"/>
  <c r="N216" i="16"/>
  <c r="M216" i="16"/>
  <c r="F216" i="16"/>
  <c r="U215" i="16"/>
  <c r="T215" i="16"/>
  <c r="S215" i="16"/>
  <c r="R215" i="16"/>
  <c r="Q215" i="16"/>
  <c r="P215" i="16"/>
  <c r="O215" i="16"/>
  <c r="N215" i="16"/>
  <c r="V215" i="16" s="1"/>
  <c r="W215" i="16" s="1"/>
  <c r="M215" i="16"/>
  <c r="J215" i="16"/>
  <c r="I215" i="16"/>
  <c r="F215" i="16"/>
  <c r="B215" i="16"/>
  <c r="U214" i="16"/>
  <c r="T214" i="16"/>
  <c r="S214" i="16"/>
  <c r="R214" i="16"/>
  <c r="Q214" i="16"/>
  <c r="P214" i="16"/>
  <c r="O214" i="16"/>
  <c r="N214" i="16"/>
  <c r="V214" i="16" s="1"/>
  <c r="W214" i="16" s="1"/>
  <c r="M214" i="16"/>
  <c r="J214" i="16"/>
  <c r="I214" i="16"/>
  <c r="F214" i="16"/>
  <c r="B214" i="16"/>
  <c r="U213" i="16"/>
  <c r="T213" i="16"/>
  <c r="S213" i="16"/>
  <c r="R213" i="16"/>
  <c r="Q213" i="16"/>
  <c r="B213" i="16" s="1"/>
  <c r="O213" i="16"/>
  <c r="P213" i="16" s="1"/>
  <c r="N213" i="16"/>
  <c r="M213" i="16" s="1"/>
  <c r="J213" i="16"/>
  <c r="I213" i="16"/>
  <c r="F213" i="16"/>
  <c r="U212" i="16"/>
  <c r="T212" i="16"/>
  <c r="S212" i="16"/>
  <c r="R212" i="16"/>
  <c r="Q212" i="16"/>
  <c r="O212" i="16"/>
  <c r="P212" i="16" s="1"/>
  <c r="N212" i="16"/>
  <c r="M212" i="16" s="1"/>
  <c r="J212" i="16"/>
  <c r="I212" i="16"/>
  <c r="F212" i="16"/>
  <c r="B212" i="16"/>
  <c r="U211" i="16"/>
  <c r="T211" i="16"/>
  <c r="S211" i="16"/>
  <c r="R211" i="16"/>
  <c r="Q211" i="16"/>
  <c r="P211" i="16"/>
  <c r="O211" i="16"/>
  <c r="N211" i="16"/>
  <c r="B211" i="16" s="1"/>
  <c r="M211" i="16"/>
  <c r="J211" i="16"/>
  <c r="I211" i="16"/>
  <c r="F211" i="16"/>
  <c r="V210" i="16"/>
  <c r="W210" i="16" s="1"/>
  <c r="U210" i="16"/>
  <c r="T210" i="16"/>
  <c r="S210" i="16"/>
  <c r="R210" i="16"/>
  <c r="Q210" i="16"/>
  <c r="O210" i="16"/>
  <c r="N210" i="16"/>
  <c r="M210" i="16"/>
  <c r="J210" i="16"/>
  <c r="I210" i="16"/>
  <c r="F210" i="16"/>
  <c r="U209" i="16"/>
  <c r="T209" i="16"/>
  <c r="S209" i="16"/>
  <c r="R209" i="16"/>
  <c r="Q209" i="16"/>
  <c r="O209" i="16"/>
  <c r="N209" i="16"/>
  <c r="V209" i="16" s="1"/>
  <c r="W209" i="16" s="1"/>
  <c r="J209" i="16"/>
  <c r="I209" i="16"/>
  <c r="F209" i="16"/>
  <c r="U208" i="16"/>
  <c r="T208" i="16"/>
  <c r="S208" i="16"/>
  <c r="R208" i="16"/>
  <c r="Q208" i="16"/>
  <c r="O208" i="16"/>
  <c r="N208" i="16"/>
  <c r="P208" i="16" s="1"/>
  <c r="M208" i="16"/>
  <c r="J208" i="16"/>
  <c r="I208" i="16"/>
  <c r="F208" i="16"/>
  <c r="U207" i="16"/>
  <c r="T207" i="16"/>
  <c r="S207" i="16"/>
  <c r="R207" i="16"/>
  <c r="Q207" i="16"/>
  <c r="P207" i="16"/>
  <c r="O207" i="16"/>
  <c r="N207" i="16"/>
  <c r="V207" i="16" s="1"/>
  <c r="W207" i="16" s="1"/>
  <c r="M207" i="16"/>
  <c r="J207" i="16"/>
  <c r="I207" i="16"/>
  <c r="F207" i="16"/>
  <c r="B207" i="16"/>
  <c r="U206" i="16"/>
  <c r="T206" i="16"/>
  <c r="S206" i="16"/>
  <c r="R206" i="16"/>
  <c r="Q206" i="16"/>
  <c r="P206" i="16"/>
  <c r="O206" i="16"/>
  <c r="N206" i="16"/>
  <c r="V206" i="16" s="1"/>
  <c r="W206" i="16" s="1"/>
  <c r="M206" i="16"/>
  <c r="J206" i="16"/>
  <c r="I206" i="16"/>
  <c r="F206" i="16"/>
  <c r="B206" i="16"/>
  <c r="U205" i="16"/>
  <c r="T205" i="16"/>
  <c r="S205" i="16"/>
  <c r="R205" i="16"/>
  <c r="Q205" i="16"/>
  <c r="B205" i="16" s="1"/>
  <c r="P205" i="16"/>
  <c r="O205" i="16"/>
  <c r="N205" i="16"/>
  <c r="M205" i="16" s="1"/>
  <c r="J205" i="16"/>
  <c r="I205" i="16"/>
  <c r="F205" i="16"/>
  <c r="U204" i="16"/>
  <c r="T204" i="16"/>
  <c r="S204" i="16"/>
  <c r="R204" i="16"/>
  <c r="Q204" i="16"/>
  <c r="B204" i="16" s="1"/>
  <c r="O204" i="16"/>
  <c r="N204" i="16"/>
  <c r="M204" i="16" s="1"/>
  <c r="J204" i="16"/>
  <c r="I204" i="16"/>
  <c r="F204" i="16"/>
  <c r="U203" i="16"/>
  <c r="T203" i="16"/>
  <c r="S203" i="16"/>
  <c r="R203" i="16"/>
  <c r="Q203" i="16"/>
  <c r="O203" i="16"/>
  <c r="N203" i="16"/>
  <c r="B203" i="16" s="1"/>
  <c r="M203" i="16"/>
  <c r="J203" i="16"/>
  <c r="I203" i="16"/>
  <c r="F203" i="16"/>
  <c r="V202" i="16"/>
  <c r="W202" i="16" s="1"/>
  <c r="U202" i="16"/>
  <c r="T202" i="16"/>
  <c r="S202" i="16"/>
  <c r="R202" i="16"/>
  <c r="Q202" i="16"/>
  <c r="O202" i="16"/>
  <c r="N202" i="16"/>
  <c r="M202" i="16"/>
  <c r="J202" i="16"/>
  <c r="I202" i="16"/>
  <c r="F202" i="16"/>
  <c r="V201" i="16"/>
  <c r="W201" i="16" s="1"/>
  <c r="U201" i="16"/>
  <c r="T201" i="16"/>
  <c r="S201" i="16"/>
  <c r="R201" i="16"/>
  <c r="Q201" i="16"/>
  <c r="O201" i="16"/>
  <c r="N201" i="16"/>
  <c r="M201" i="16"/>
  <c r="J201" i="16"/>
  <c r="I201" i="16"/>
  <c r="F201" i="16"/>
  <c r="U200" i="16"/>
  <c r="T200" i="16"/>
  <c r="S200" i="16"/>
  <c r="R200" i="16"/>
  <c r="Q200" i="16"/>
  <c r="O200" i="16"/>
  <c r="N200" i="16"/>
  <c r="P200" i="16" s="1"/>
  <c r="M200" i="16"/>
  <c r="J200" i="16"/>
  <c r="I200" i="16"/>
  <c r="F200" i="16"/>
  <c r="U199" i="16"/>
  <c r="T199" i="16"/>
  <c r="S199" i="16"/>
  <c r="R199" i="16"/>
  <c r="Q199" i="16"/>
  <c r="P199" i="16"/>
  <c r="O199" i="16"/>
  <c r="N199" i="16"/>
  <c r="V199" i="16" s="1"/>
  <c r="W199" i="16" s="1"/>
  <c r="M199" i="16"/>
  <c r="J199" i="16"/>
  <c r="I199" i="16"/>
  <c r="F199" i="16"/>
  <c r="B199" i="16"/>
  <c r="U198" i="16"/>
  <c r="T198" i="16"/>
  <c r="S198" i="16"/>
  <c r="R198" i="16"/>
  <c r="Q198" i="16"/>
  <c r="P198" i="16"/>
  <c r="O198" i="16"/>
  <c r="N198" i="16"/>
  <c r="V198" i="16" s="1"/>
  <c r="W198" i="16" s="1"/>
  <c r="M198" i="16"/>
  <c r="J198" i="16"/>
  <c r="I198" i="16"/>
  <c r="F198" i="16"/>
  <c r="B198" i="16"/>
  <c r="U197" i="16"/>
  <c r="T197" i="16"/>
  <c r="S197" i="16"/>
  <c r="R197" i="16"/>
  <c r="Q197" i="16"/>
  <c r="O197" i="16"/>
  <c r="P197" i="16" s="1"/>
  <c r="N197" i="16"/>
  <c r="M197" i="16" s="1"/>
  <c r="J197" i="16"/>
  <c r="I197" i="16"/>
  <c r="F197" i="16"/>
  <c r="B197" i="16"/>
  <c r="U196" i="16"/>
  <c r="T196" i="16"/>
  <c r="S196" i="16"/>
  <c r="R196" i="16"/>
  <c r="Q196" i="16"/>
  <c r="B196" i="16" s="1"/>
  <c r="P196" i="16"/>
  <c r="O196" i="16"/>
  <c r="N196" i="16"/>
  <c r="M196" i="16" s="1"/>
  <c r="J196" i="16"/>
  <c r="I196" i="16"/>
  <c r="F196" i="16"/>
  <c r="U195" i="16"/>
  <c r="T195" i="16"/>
  <c r="S195" i="16"/>
  <c r="R195" i="16"/>
  <c r="Q195" i="16"/>
  <c r="O195" i="16"/>
  <c r="N195" i="16"/>
  <c r="B195" i="16" s="1"/>
  <c r="J195" i="16"/>
  <c r="I195" i="16"/>
  <c r="F195" i="16"/>
  <c r="U194" i="16"/>
  <c r="T194" i="16"/>
  <c r="S194" i="16"/>
  <c r="R194" i="16"/>
  <c r="Q194" i="16"/>
  <c r="O194" i="16"/>
  <c r="N194" i="16"/>
  <c r="V194" i="16" s="1"/>
  <c r="W194" i="16" s="1"/>
  <c r="J194" i="16"/>
  <c r="I194" i="16"/>
  <c r="F194" i="16"/>
  <c r="U193" i="16"/>
  <c r="T193" i="16"/>
  <c r="S193" i="16"/>
  <c r="R193" i="16"/>
  <c r="Q193" i="16"/>
  <c r="O193" i="16"/>
  <c r="N193" i="16"/>
  <c r="V193" i="16" s="1"/>
  <c r="W193" i="16" s="1"/>
  <c r="J193" i="16"/>
  <c r="I193" i="16"/>
  <c r="F193" i="16"/>
  <c r="U192" i="16"/>
  <c r="T192" i="16"/>
  <c r="S192" i="16"/>
  <c r="R192" i="16"/>
  <c r="Q192" i="16"/>
  <c r="O192" i="16"/>
  <c r="N192" i="16"/>
  <c r="P192" i="16" s="1"/>
  <c r="M192" i="16"/>
  <c r="J192" i="16"/>
  <c r="I192" i="16"/>
  <c r="F192" i="16"/>
  <c r="U191" i="16"/>
  <c r="T191" i="16"/>
  <c r="S191" i="16"/>
  <c r="R191" i="16"/>
  <c r="Q191" i="16"/>
  <c r="P191" i="16"/>
  <c r="O191" i="16"/>
  <c r="N191" i="16"/>
  <c r="V191" i="16" s="1"/>
  <c r="W191" i="16" s="1"/>
  <c r="M191" i="16"/>
  <c r="J191" i="16"/>
  <c r="I191" i="16"/>
  <c r="F191" i="16"/>
  <c r="B191" i="16"/>
  <c r="U190" i="16"/>
  <c r="T190" i="16"/>
  <c r="S190" i="16"/>
  <c r="R190" i="16"/>
  <c r="Q190" i="16"/>
  <c r="P190" i="16"/>
  <c r="O190" i="16"/>
  <c r="N190" i="16"/>
  <c r="V190" i="16" s="1"/>
  <c r="W190" i="16" s="1"/>
  <c r="M190" i="16"/>
  <c r="J190" i="16"/>
  <c r="I190" i="16"/>
  <c r="F190" i="16"/>
  <c r="B190" i="16"/>
  <c r="U189" i="16"/>
  <c r="T189" i="16"/>
  <c r="S189" i="16"/>
  <c r="R189" i="16"/>
  <c r="Q189" i="16"/>
  <c r="B189" i="16" s="1"/>
  <c r="P189" i="16"/>
  <c r="O189" i="16"/>
  <c r="N189" i="16"/>
  <c r="M189" i="16" s="1"/>
  <c r="J189" i="16"/>
  <c r="I189" i="16"/>
  <c r="F189" i="16"/>
  <c r="U188" i="16"/>
  <c r="T188" i="16"/>
  <c r="S188" i="16"/>
  <c r="R188" i="16"/>
  <c r="Q188" i="16"/>
  <c r="O188" i="16"/>
  <c r="N188" i="16"/>
  <c r="M188" i="16" s="1"/>
  <c r="J188" i="16"/>
  <c r="I188" i="16"/>
  <c r="F188" i="16"/>
  <c r="U187" i="16"/>
  <c r="T187" i="16"/>
  <c r="S187" i="16"/>
  <c r="R187" i="16"/>
  <c r="Q187" i="16"/>
  <c r="O187" i="16"/>
  <c r="N187" i="16"/>
  <c r="B187" i="16" s="1"/>
  <c r="M187" i="16"/>
  <c r="J187" i="16"/>
  <c r="I187" i="16"/>
  <c r="F187" i="16"/>
  <c r="V186" i="16"/>
  <c r="W186" i="16" s="1"/>
  <c r="U186" i="16"/>
  <c r="T186" i="16"/>
  <c r="S186" i="16"/>
  <c r="R186" i="16"/>
  <c r="Q186" i="16"/>
  <c r="O186" i="16"/>
  <c r="N186" i="16"/>
  <c r="M186" i="16"/>
  <c r="J186" i="16"/>
  <c r="I186" i="16"/>
  <c r="F186" i="16"/>
  <c r="U185" i="16"/>
  <c r="T185" i="16"/>
  <c r="S185" i="16"/>
  <c r="R185" i="16"/>
  <c r="Q185" i="16"/>
  <c r="O185" i="16"/>
  <c r="N185" i="16"/>
  <c r="V185" i="16" s="1"/>
  <c r="W185" i="16" s="1"/>
  <c r="J185" i="16"/>
  <c r="I185" i="16"/>
  <c r="F185" i="16"/>
  <c r="U184" i="16"/>
  <c r="T184" i="16"/>
  <c r="S184" i="16"/>
  <c r="R184" i="16"/>
  <c r="Q184" i="16"/>
  <c r="O184" i="16"/>
  <c r="N184" i="16"/>
  <c r="P184" i="16" s="1"/>
  <c r="M184" i="16"/>
  <c r="J184" i="16"/>
  <c r="I184" i="16"/>
  <c r="F184" i="16"/>
  <c r="U183" i="16"/>
  <c r="T183" i="16"/>
  <c r="S183" i="16"/>
  <c r="R183" i="16"/>
  <c r="Q183" i="16"/>
  <c r="P183" i="16"/>
  <c r="O183" i="16"/>
  <c r="N183" i="16"/>
  <c r="V183" i="16" s="1"/>
  <c r="W183" i="16" s="1"/>
  <c r="M183" i="16"/>
  <c r="J183" i="16"/>
  <c r="I183" i="16"/>
  <c r="F183" i="16"/>
  <c r="B183" i="16"/>
  <c r="U182" i="16"/>
  <c r="T182" i="16"/>
  <c r="S182" i="16"/>
  <c r="R182" i="16"/>
  <c r="Q182" i="16"/>
  <c r="P182" i="16"/>
  <c r="O182" i="16"/>
  <c r="N182" i="16"/>
  <c r="V182" i="16" s="1"/>
  <c r="W182" i="16" s="1"/>
  <c r="M182" i="16"/>
  <c r="J182" i="16"/>
  <c r="I182" i="16"/>
  <c r="F182" i="16"/>
  <c r="B182" i="16"/>
  <c r="U181" i="16"/>
  <c r="T181" i="16"/>
  <c r="S181" i="16"/>
  <c r="R181" i="16"/>
  <c r="Q181" i="16"/>
  <c r="B181" i="16" s="1"/>
  <c r="P181" i="16"/>
  <c r="O181" i="16"/>
  <c r="N181" i="16"/>
  <c r="M181" i="16" s="1"/>
  <c r="J181" i="16"/>
  <c r="I181" i="16"/>
  <c r="F181" i="16"/>
  <c r="U180" i="16"/>
  <c r="T180" i="16"/>
  <c r="S180" i="16"/>
  <c r="R180" i="16"/>
  <c r="Q180" i="16"/>
  <c r="B180" i="16" s="1"/>
  <c r="O180" i="16"/>
  <c r="N180" i="16"/>
  <c r="M180" i="16" s="1"/>
  <c r="J180" i="16"/>
  <c r="I180" i="16"/>
  <c r="F180" i="16"/>
  <c r="U179" i="16"/>
  <c r="T179" i="16"/>
  <c r="S179" i="16"/>
  <c r="R179" i="16"/>
  <c r="Q179" i="16"/>
  <c r="O179" i="16"/>
  <c r="N179" i="16"/>
  <c r="B179" i="16" s="1"/>
  <c r="M179" i="16"/>
  <c r="J179" i="16"/>
  <c r="I179" i="16"/>
  <c r="F179" i="16"/>
  <c r="U178" i="16"/>
  <c r="T178" i="16"/>
  <c r="S178" i="16"/>
  <c r="R178" i="16"/>
  <c r="Q178" i="16"/>
  <c r="O178" i="16"/>
  <c r="N178" i="16"/>
  <c r="V178" i="16" s="1"/>
  <c r="W178" i="16" s="1"/>
  <c r="J178" i="16"/>
  <c r="I178" i="16"/>
  <c r="F178" i="16"/>
  <c r="V177" i="16"/>
  <c r="W177" i="16" s="1"/>
  <c r="U177" i="16"/>
  <c r="T177" i="16"/>
  <c r="S177" i="16"/>
  <c r="R177" i="16"/>
  <c r="Q177" i="16"/>
  <c r="O177" i="16"/>
  <c r="N177" i="16"/>
  <c r="M177" i="16"/>
  <c r="J177" i="16"/>
  <c r="I177" i="16"/>
  <c r="F177" i="16"/>
  <c r="U176" i="16"/>
  <c r="T176" i="16"/>
  <c r="S176" i="16"/>
  <c r="R176" i="16"/>
  <c r="Q176" i="16"/>
  <c r="O176" i="16"/>
  <c r="N176" i="16"/>
  <c r="P176" i="16" s="1"/>
  <c r="M176" i="16"/>
  <c r="J176" i="16"/>
  <c r="I176" i="16"/>
  <c r="F176" i="16"/>
  <c r="U175" i="16"/>
  <c r="T175" i="16"/>
  <c r="S175" i="16"/>
  <c r="R175" i="16"/>
  <c r="Q175" i="16"/>
  <c r="P175" i="16"/>
  <c r="O175" i="16"/>
  <c r="N175" i="16"/>
  <c r="V175" i="16" s="1"/>
  <c r="W175" i="16" s="1"/>
  <c r="M175" i="16"/>
  <c r="J175" i="16"/>
  <c r="I175" i="16"/>
  <c r="F175" i="16"/>
  <c r="B175" i="16"/>
  <c r="U174" i="16"/>
  <c r="T174" i="16"/>
  <c r="S174" i="16"/>
  <c r="R174" i="16"/>
  <c r="Q174" i="16"/>
  <c r="P174" i="16"/>
  <c r="O174" i="16"/>
  <c r="N174" i="16"/>
  <c r="V174" i="16" s="1"/>
  <c r="W174" i="16" s="1"/>
  <c r="M174" i="16"/>
  <c r="J174" i="16"/>
  <c r="I174" i="16"/>
  <c r="F174" i="16"/>
  <c r="B174" i="16"/>
  <c r="U173" i="16"/>
  <c r="T173" i="16"/>
  <c r="S173" i="16"/>
  <c r="R173" i="16"/>
  <c r="Q173" i="16"/>
  <c r="O173" i="16"/>
  <c r="P173" i="16" s="1"/>
  <c r="N173" i="16"/>
  <c r="M173" i="16" s="1"/>
  <c r="J173" i="16"/>
  <c r="I173" i="16"/>
  <c r="F173" i="16"/>
  <c r="B173" i="16"/>
  <c r="U172" i="16"/>
  <c r="T172" i="16"/>
  <c r="S172" i="16"/>
  <c r="R172" i="16"/>
  <c r="Q172" i="16"/>
  <c r="O172" i="16"/>
  <c r="N172" i="16"/>
  <c r="M172" i="16" s="1"/>
  <c r="J172" i="16"/>
  <c r="I172" i="16"/>
  <c r="F172" i="16"/>
  <c r="B172" i="16"/>
  <c r="U171" i="16"/>
  <c r="T171" i="16"/>
  <c r="S171" i="16"/>
  <c r="R171" i="16"/>
  <c r="Q171" i="16"/>
  <c r="P171" i="16"/>
  <c r="O171" i="16"/>
  <c r="N171" i="16"/>
  <c r="B171" i="16" s="1"/>
  <c r="J171" i="16"/>
  <c r="I171" i="16"/>
  <c r="F171" i="16"/>
  <c r="V170" i="16"/>
  <c r="W170" i="16" s="1"/>
  <c r="U170" i="16"/>
  <c r="T170" i="16"/>
  <c r="S170" i="16"/>
  <c r="R170" i="16"/>
  <c r="Q170" i="16"/>
  <c r="O170" i="16"/>
  <c r="N170" i="16"/>
  <c r="M170" i="16"/>
  <c r="J170" i="16"/>
  <c r="I170" i="16"/>
  <c r="F170" i="16"/>
  <c r="V169" i="16"/>
  <c r="W169" i="16" s="1"/>
  <c r="U169" i="16"/>
  <c r="T169" i="16"/>
  <c r="S169" i="16"/>
  <c r="R169" i="16"/>
  <c r="Q169" i="16"/>
  <c r="O169" i="16"/>
  <c r="N169" i="16"/>
  <c r="M169" i="16"/>
  <c r="J169" i="16"/>
  <c r="I169" i="16"/>
  <c r="F169" i="16"/>
  <c r="U168" i="16"/>
  <c r="T168" i="16"/>
  <c r="S168" i="16"/>
  <c r="R168" i="16"/>
  <c r="Q168" i="16"/>
  <c r="O168" i="16"/>
  <c r="N168" i="16"/>
  <c r="P168" i="16" s="1"/>
  <c r="M168" i="16"/>
  <c r="J168" i="16"/>
  <c r="I168" i="16"/>
  <c r="F168" i="16"/>
  <c r="U167" i="16"/>
  <c r="T167" i="16"/>
  <c r="S167" i="16"/>
  <c r="R167" i="16"/>
  <c r="Q167" i="16"/>
  <c r="P167" i="16"/>
  <c r="O167" i="16"/>
  <c r="N167" i="16"/>
  <c r="V167" i="16" s="1"/>
  <c r="W167" i="16" s="1"/>
  <c r="M167" i="16"/>
  <c r="J167" i="16"/>
  <c r="I167" i="16"/>
  <c r="F167" i="16"/>
  <c r="B167" i="16"/>
  <c r="U166" i="16"/>
  <c r="T166" i="16"/>
  <c r="S166" i="16"/>
  <c r="R166" i="16"/>
  <c r="Q166" i="16"/>
  <c r="P166" i="16"/>
  <c r="O166" i="16"/>
  <c r="N166" i="16"/>
  <c r="V166" i="16" s="1"/>
  <c r="W166" i="16" s="1"/>
  <c r="M166" i="16"/>
  <c r="J166" i="16"/>
  <c r="I166" i="16"/>
  <c r="F166" i="16"/>
  <c r="B166" i="16"/>
  <c r="U165" i="16"/>
  <c r="T165" i="16"/>
  <c r="S165" i="16"/>
  <c r="R165" i="16"/>
  <c r="Q165" i="16"/>
  <c r="B165" i="16" s="1"/>
  <c r="O165" i="16"/>
  <c r="P165" i="16" s="1"/>
  <c r="N165" i="16"/>
  <c r="M165" i="16" s="1"/>
  <c r="J165" i="16"/>
  <c r="I165" i="16"/>
  <c r="F165" i="16"/>
  <c r="U164" i="16"/>
  <c r="T164" i="16"/>
  <c r="S164" i="16"/>
  <c r="R164" i="16"/>
  <c r="Q164" i="16"/>
  <c r="B164" i="16" s="1"/>
  <c r="O164" i="16"/>
  <c r="N164" i="16"/>
  <c r="M164" i="16" s="1"/>
  <c r="J164" i="16"/>
  <c r="I164" i="16"/>
  <c r="F164" i="16"/>
  <c r="U163" i="16"/>
  <c r="T163" i="16"/>
  <c r="S163" i="16"/>
  <c r="R163" i="16"/>
  <c r="Q163" i="16"/>
  <c r="O163" i="16"/>
  <c r="P163" i="16" s="1"/>
  <c r="N163" i="16"/>
  <c r="B163" i="16" s="1"/>
  <c r="M163" i="16"/>
  <c r="J163" i="16"/>
  <c r="I163" i="16"/>
  <c r="F163" i="16"/>
  <c r="U162" i="16"/>
  <c r="T162" i="16"/>
  <c r="S162" i="16"/>
  <c r="R162" i="16"/>
  <c r="Q162" i="16"/>
  <c r="O162" i="16"/>
  <c r="N162" i="16"/>
  <c r="V162" i="16" s="1"/>
  <c r="W162" i="16" s="1"/>
  <c r="J162" i="16"/>
  <c r="I162" i="16"/>
  <c r="F162" i="16"/>
  <c r="U161" i="16"/>
  <c r="T161" i="16"/>
  <c r="S161" i="16"/>
  <c r="R161" i="16"/>
  <c r="Q161" i="16"/>
  <c r="O161" i="16"/>
  <c r="N161" i="16"/>
  <c r="V161" i="16" s="1"/>
  <c r="W161" i="16" s="1"/>
  <c r="J161" i="16"/>
  <c r="I161" i="16"/>
  <c r="F161" i="16"/>
  <c r="U160" i="16"/>
  <c r="T160" i="16"/>
  <c r="S160" i="16"/>
  <c r="R160" i="16"/>
  <c r="Q160" i="16"/>
  <c r="O160" i="16"/>
  <c r="N160" i="16"/>
  <c r="P160" i="16" s="1"/>
  <c r="M160" i="16"/>
  <c r="J160" i="16"/>
  <c r="I160" i="16"/>
  <c r="F160" i="16"/>
  <c r="U159" i="16"/>
  <c r="T159" i="16"/>
  <c r="S159" i="16"/>
  <c r="R159" i="16"/>
  <c r="Q159" i="16"/>
  <c r="P159" i="16"/>
  <c r="O159" i="16"/>
  <c r="N159" i="16"/>
  <c r="V159" i="16" s="1"/>
  <c r="W159" i="16" s="1"/>
  <c r="M159" i="16"/>
  <c r="J159" i="16"/>
  <c r="I159" i="16"/>
  <c r="F159" i="16"/>
  <c r="B159" i="16"/>
  <c r="U158" i="16"/>
  <c r="T158" i="16"/>
  <c r="S158" i="16"/>
  <c r="R158" i="16"/>
  <c r="Q158" i="16"/>
  <c r="P158" i="16"/>
  <c r="O158" i="16"/>
  <c r="N158" i="16"/>
  <c r="V158" i="16" s="1"/>
  <c r="W158" i="16" s="1"/>
  <c r="M158" i="16"/>
  <c r="K158" i="16"/>
  <c r="J158" i="16"/>
  <c r="I158" i="16"/>
  <c r="F158" i="16"/>
  <c r="B158" i="16"/>
  <c r="U157" i="16"/>
  <c r="T157" i="16"/>
  <c r="S157" i="16"/>
  <c r="R157" i="16"/>
  <c r="Q157" i="16"/>
  <c r="P157" i="16"/>
  <c r="O157" i="16"/>
  <c r="N157" i="16"/>
  <c r="V157" i="16" s="1"/>
  <c r="W157" i="16" s="1"/>
  <c r="M157" i="16"/>
  <c r="J157" i="16"/>
  <c r="I157" i="16"/>
  <c r="F157" i="16"/>
  <c r="B157" i="16"/>
  <c r="U156" i="16"/>
  <c r="T156" i="16"/>
  <c r="S156" i="16"/>
  <c r="R156" i="16"/>
  <c r="Q156" i="16"/>
  <c r="P156" i="16"/>
  <c r="O156" i="16"/>
  <c r="N156" i="16"/>
  <c r="M156" i="16" s="1"/>
  <c r="J156" i="16"/>
  <c r="I156" i="16"/>
  <c r="F156" i="16"/>
  <c r="B156" i="16"/>
  <c r="U155" i="16"/>
  <c r="T155" i="16"/>
  <c r="S155" i="16"/>
  <c r="R155" i="16"/>
  <c r="Q155" i="16"/>
  <c r="B155" i="16" s="1"/>
  <c r="O155" i="16"/>
  <c r="N155" i="16"/>
  <c r="M155" i="16" s="1"/>
  <c r="J155" i="16"/>
  <c r="I155" i="16"/>
  <c r="F155" i="16"/>
  <c r="U154" i="16"/>
  <c r="T154" i="16"/>
  <c r="S154" i="16"/>
  <c r="R154" i="16"/>
  <c r="Q154" i="16"/>
  <c r="O154" i="16"/>
  <c r="N154" i="16"/>
  <c r="B154" i="16" s="1"/>
  <c r="J154" i="16"/>
  <c r="I154" i="16"/>
  <c r="F154" i="16"/>
  <c r="U153" i="16"/>
  <c r="T153" i="16"/>
  <c r="S153" i="16"/>
  <c r="R153" i="16"/>
  <c r="Q153" i="16"/>
  <c r="O153" i="16"/>
  <c r="N153" i="16"/>
  <c r="B153" i="16" s="1"/>
  <c r="J153" i="16"/>
  <c r="I153" i="16"/>
  <c r="F153" i="16"/>
  <c r="U152" i="16"/>
  <c r="T152" i="16"/>
  <c r="S152" i="16"/>
  <c r="R152" i="16"/>
  <c r="Q152" i="16"/>
  <c r="O152" i="16"/>
  <c r="N152" i="16"/>
  <c r="V152" i="16" s="1"/>
  <c r="W152" i="16" s="1"/>
  <c r="K152" i="16"/>
  <c r="J152" i="16"/>
  <c r="I152" i="16"/>
  <c r="F152" i="16"/>
  <c r="U151" i="16"/>
  <c r="T151" i="16"/>
  <c r="S151" i="16"/>
  <c r="R151" i="16"/>
  <c r="Q151" i="16"/>
  <c r="O151" i="16"/>
  <c r="N151" i="16"/>
  <c r="V151" i="16" s="1"/>
  <c r="W151" i="16" s="1"/>
  <c r="J151" i="16"/>
  <c r="I151" i="16"/>
  <c r="F151" i="16"/>
  <c r="V150" i="16"/>
  <c r="W150" i="16" s="1"/>
  <c r="U150" i="16"/>
  <c r="T150" i="16"/>
  <c r="S150" i="16"/>
  <c r="R150" i="16"/>
  <c r="Q150" i="16"/>
  <c r="O150" i="16"/>
  <c r="N150" i="16"/>
  <c r="M150" i="16"/>
  <c r="J150" i="16"/>
  <c r="I150" i="16"/>
  <c r="F150" i="16"/>
  <c r="U149" i="16"/>
  <c r="T149" i="16"/>
  <c r="S149" i="16"/>
  <c r="R149" i="16"/>
  <c r="Q149" i="16"/>
  <c r="P149" i="16"/>
  <c r="O149" i="16"/>
  <c r="N149" i="16"/>
  <c r="V149" i="16" s="1"/>
  <c r="W149" i="16" s="1"/>
  <c r="M149" i="16"/>
  <c r="J149" i="16"/>
  <c r="I149" i="16"/>
  <c r="F149" i="16"/>
  <c r="B149" i="16"/>
  <c r="U148" i="16"/>
  <c r="T148" i="16"/>
  <c r="S148" i="16"/>
  <c r="R148" i="16"/>
  <c r="Q148" i="16"/>
  <c r="B148" i="16" s="1"/>
  <c r="P148" i="16"/>
  <c r="O148" i="16"/>
  <c r="N148" i="16"/>
  <c r="V148" i="16" s="1"/>
  <c r="W148" i="16" s="1"/>
  <c r="J148" i="16"/>
  <c r="I148" i="16"/>
  <c r="F148" i="16"/>
  <c r="U147" i="16"/>
  <c r="T147" i="16"/>
  <c r="S147" i="16"/>
  <c r="R147" i="16"/>
  <c r="Q147" i="16"/>
  <c r="P147" i="16"/>
  <c r="O147" i="16"/>
  <c r="N147" i="16"/>
  <c r="M147" i="16" s="1"/>
  <c r="J147" i="16"/>
  <c r="I147" i="16"/>
  <c r="F147" i="16"/>
  <c r="B147" i="16"/>
  <c r="U146" i="16"/>
  <c r="T146" i="16"/>
  <c r="S146" i="16"/>
  <c r="R146" i="16"/>
  <c r="Q146" i="16"/>
  <c r="B146" i="16" s="1"/>
  <c r="O146" i="16"/>
  <c r="N146" i="16"/>
  <c r="M146" i="16" s="1"/>
  <c r="J146" i="16"/>
  <c r="I146" i="16"/>
  <c r="F146" i="16"/>
  <c r="U145" i="16"/>
  <c r="T145" i="16"/>
  <c r="S145" i="16"/>
  <c r="R145" i="16"/>
  <c r="Q145" i="16"/>
  <c r="O145" i="16"/>
  <c r="N145" i="16"/>
  <c r="B145" i="16" s="1"/>
  <c r="J145" i="16"/>
  <c r="I145" i="16"/>
  <c r="F145" i="16"/>
  <c r="U144" i="16"/>
  <c r="T144" i="16"/>
  <c r="S144" i="16"/>
  <c r="R144" i="16"/>
  <c r="Q144" i="16"/>
  <c r="O144" i="16"/>
  <c r="N144" i="16"/>
  <c r="P144" i="16" s="1"/>
  <c r="K144" i="16"/>
  <c r="J144" i="16"/>
  <c r="I144" i="16"/>
  <c r="F144" i="16"/>
  <c r="U143" i="16"/>
  <c r="T143" i="16"/>
  <c r="S143" i="16"/>
  <c r="R143" i="16"/>
  <c r="Q143" i="16"/>
  <c r="O143" i="16"/>
  <c r="N143" i="16"/>
  <c r="B143" i="16" s="1"/>
  <c r="J143" i="16"/>
  <c r="I143" i="16"/>
  <c r="F143" i="16"/>
  <c r="U142" i="16"/>
  <c r="T142" i="16"/>
  <c r="S142" i="16"/>
  <c r="R142" i="16"/>
  <c r="Q142" i="16"/>
  <c r="O142" i="16"/>
  <c r="N142" i="16"/>
  <c r="V142" i="16" s="1"/>
  <c r="W142" i="16" s="1"/>
  <c r="M142" i="16"/>
  <c r="J142" i="16"/>
  <c r="I142" i="16"/>
  <c r="F142" i="16"/>
  <c r="B142" i="16"/>
  <c r="U141" i="16"/>
  <c r="T141" i="16"/>
  <c r="S141" i="16"/>
  <c r="R141" i="16"/>
  <c r="Q141" i="16"/>
  <c r="P141" i="16"/>
  <c r="O141" i="16"/>
  <c r="N141" i="16"/>
  <c r="V141" i="16" s="1"/>
  <c r="W141" i="16" s="1"/>
  <c r="J141" i="16"/>
  <c r="I141" i="16"/>
  <c r="F141" i="16"/>
  <c r="B141" i="16"/>
  <c r="U140" i="16"/>
  <c r="T140" i="16"/>
  <c r="S140" i="16"/>
  <c r="R140" i="16"/>
  <c r="Q140" i="16"/>
  <c r="O140" i="16"/>
  <c r="P140" i="16" s="1"/>
  <c r="N140" i="16"/>
  <c r="V140" i="16" s="1"/>
  <c r="W140" i="16" s="1"/>
  <c r="M140" i="16"/>
  <c r="J140" i="16"/>
  <c r="I140" i="16"/>
  <c r="F140" i="16"/>
  <c r="B140" i="16"/>
  <c r="U139" i="16"/>
  <c r="T139" i="16"/>
  <c r="S139" i="16"/>
  <c r="R139" i="16"/>
  <c r="Q139" i="16"/>
  <c r="O139" i="16"/>
  <c r="N139" i="16"/>
  <c r="P139" i="16" s="1"/>
  <c r="J139" i="16"/>
  <c r="I139" i="16"/>
  <c r="F139" i="16"/>
  <c r="B139" i="16"/>
  <c r="U138" i="16"/>
  <c r="T138" i="16"/>
  <c r="S138" i="16"/>
  <c r="R138" i="16"/>
  <c r="Q138" i="16"/>
  <c r="P138" i="16"/>
  <c r="O138" i="16"/>
  <c r="N138" i="16"/>
  <c r="B138" i="16" s="1"/>
  <c r="M138" i="16"/>
  <c r="J138" i="16"/>
  <c r="I138" i="16"/>
  <c r="F138" i="16"/>
  <c r="U137" i="16"/>
  <c r="T137" i="16"/>
  <c r="S137" i="16"/>
  <c r="R137" i="16"/>
  <c r="Q137" i="16"/>
  <c r="O137" i="16"/>
  <c r="N137" i="16"/>
  <c r="B137" i="16" s="1"/>
  <c r="M137" i="16"/>
  <c r="J137" i="16"/>
  <c r="I137" i="16"/>
  <c r="F137" i="16"/>
  <c r="V136" i="16"/>
  <c r="W136" i="16" s="1"/>
  <c r="U136" i="16"/>
  <c r="T136" i="16"/>
  <c r="S136" i="16"/>
  <c r="R136" i="16"/>
  <c r="Q136" i="16"/>
  <c r="O136" i="16"/>
  <c r="N136" i="16"/>
  <c r="J136" i="16"/>
  <c r="I136" i="16"/>
  <c r="F136" i="16"/>
  <c r="U135" i="16"/>
  <c r="T135" i="16"/>
  <c r="S135" i="16"/>
  <c r="R135" i="16"/>
  <c r="Q135" i="16"/>
  <c r="O135" i="16"/>
  <c r="N135" i="16"/>
  <c r="P135" i="16" s="1"/>
  <c r="M135" i="16"/>
  <c r="J135" i="16"/>
  <c r="I135" i="16"/>
  <c r="F135" i="16"/>
  <c r="U134" i="16"/>
  <c r="T134" i="16"/>
  <c r="S134" i="16"/>
  <c r="R134" i="16"/>
  <c r="Q134" i="16"/>
  <c r="B134" i="16" s="1"/>
  <c r="O134" i="16"/>
  <c r="N134" i="16"/>
  <c r="V134" i="16" s="1"/>
  <c r="W134" i="16" s="1"/>
  <c r="M134" i="16"/>
  <c r="J134" i="16"/>
  <c r="I134" i="16"/>
  <c r="F134" i="16"/>
  <c r="U133" i="16"/>
  <c r="T133" i="16"/>
  <c r="S133" i="16"/>
  <c r="R133" i="16"/>
  <c r="Q133" i="16"/>
  <c r="P133" i="16"/>
  <c r="O133" i="16"/>
  <c r="N133" i="16"/>
  <c r="V133" i="16" s="1"/>
  <c r="W133" i="16" s="1"/>
  <c r="J133" i="16"/>
  <c r="I133" i="16"/>
  <c r="F133" i="16"/>
  <c r="B133" i="16"/>
  <c r="U132" i="16"/>
  <c r="T132" i="16"/>
  <c r="S132" i="16"/>
  <c r="R132" i="16"/>
  <c r="Q132" i="16"/>
  <c r="O132" i="16"/>
  <c r="P132" i="16" s="1"/>
  <c r="N132" i="16"/>
  <c r="V132" i="16" s="1"/>
  <c r="W132" i="16" s="1"/>
  <c r="M132" i="16"/>
  <c r="J132" i="16"/>
  <c r="I132" i="16"/>
  <c r="F132" i="16"/>
  <c r="B132" i="16"/>
  <c r="U131" i="16"/>
  <c r="T131" i="16"/>
  <c r="S131" i="16"/>
  <c r="R131" i="16"/>
  <c r="Q131" i="16"/>
  <c r="B131" i="16" s="1"/>
  <c r="O131" i="16"/>
  <c r="N131" i="16"/>
  <c r="V131" i="16" s="1"/>
  <c r="W131" i="16" s="1"/>
  <c r="J131" i="16"/>
  <c r="I131" i="16"/>
  <c r="F131" i="16"/>
  <c r="U130" i="16"/>
  <c r="T130" i="16"/>
  <c r="S130" i="16"/>
  <c r="R130" i="16"/>
  <c r="Q130" i="16"/>
  <c r="P130" i="16"/>
  <c r="O130" i="16"/>
  <c r="N130" i="16"/>
  <c r="B130" i="16" s="1"/>
  <c r="M130" i="16"/>
  <c r="J130" i="16"/>
  <c r="I130" i="16"/>
  <c r="F130" i="16"/>
  <c r="V129" i="16"/>
  <c r="W129" i="16" s="1"/>
  <c r="U129" i="16"/>
  <c r="T129" i="16"/>
  <c r="S129" i="16"/>
  <c r="R129" i="16"/>
  <c r="Q129" i="16"/>
  <c r="O129" i="16"/>
  <c r="N129" i="16"/>
  <c r="M129" i="16"/>
  <c r="J129" i="16"/>
  <c r="I129" i="16"/>
  <c r="F129" i="16"/>
  <c r="U128" i="16"/>
  <c r="T128" i="16"/>
  <c r="S128" i="16"/>
  <c r="R128" i="16"/>
  <c r="Q128" i="16"/>
  <c r="O128" i="16"/>
  <c r="N128" i="16"/>
  <c r="V128" i="16" s="1"/>
  <c r="W128" i="16" s="1"/>
  <c r="J128" i="16"/>
  <c r="I128" i="16"/>
  <c r="F128" i="16"/>
  <c r="U127" i="16"/>
  <c r="T127" i="16"/>
  <c r="S127" i="16"/>
  <c r="R127" i="16"/>
  <c r="Q127" i="16"/>
  <c r="O127" i="16"/>
  <c r="N127" i="16"/>
  <c r="P127" i="16" s="1"/>
  <c r="M127" i="16"/>
  <c r="J127" i="16"/>
  <c r="I127" i="16"/>
  <c r="F127" i="16"/>
  <c r="U126" i="16"/>
  <c r="T126" i="16"/>
  <c r="S126" i="16"/>
  <c r="R126" i="16"/>
  <c r="Q126" i="16"/>
  <c r="O126" i="16"/>
  <c r="N126" i="16"/>
  <c r="V126" i="16" s="1"/>
  <c r="W126" i="16" s="1"/>
  <c r="M126" i="16"/>
  <c r="J126" i="16"/>
  <c r="I126" i="16"/>
  <c r="F126" i="16"/>
  <c r="B126" i="16"/>
  <c r="U125" i="16"/>
  <c r="T125" i="16"/>
  <c r="S125" i="16"/>
  <c r="R125" i="16"/>
  <c r="Q125" i="16"/>
  <c r="B125" i="16" s="1"/>
  <c r="P125" i="16"/>
  <c r="O125" i="16"/>
  <c r="N125" i="16"/>
  <c r="V125" i="16" s="1"/>
  <c r="W125" i="16" s="1"/>
  <c r="J125" i="16"/>
  <c r="I125" i="16"/>
  <c r="F125" i="16"/>
  <c r="U124" i="16"/>
  <c r="T124" i="16"/>
  <c r="S124" i="16"/>
  <c r="R124" i="16"/>
  <c r="Q124" i="16"/>
  <c r="O124" i="16"/>
  <c r="P124" i="16" s="1"/>
  <c r="N124" i="16"/>
  <c r="V124" i="16" s="1"/>
  <c r="W124" i="16" s="1"/>
  <c r="M124" i="16"/>
  <c r="J124" i="16"/>
  <c r="I124" i="16"/>
  <c r="F124" i="16"/>
  <c r="B124" i="16"/>
  <c r="U123" i="16"/>
  <c r="T123" i="16"/>
  <c r="S123" i="16"/>
  <c r="R123" i="16"/>
  <c r="Q123" i="16"/>
  <c r="P123" i="16"/>
  <c r="O123" i="16"/>
  <c r="N123" i="16"/>
  <c r="M123" i="16" s="1"/>
  <c r="J123" i="16"/>
  <c r="I123" i="16"/>
  <c r="F123" i="16"/>
  <c r="B123" i="16"/>
  <c r="U122" i="16"/>
  <c r="T122" i="16"/>
  <c r="S122" i="16"/>
  <c r="R122" i="16"/>
  <c r="Q122" i="16"/>
  <c r="O122" i="16"/>
  <c r="N122" i="16"/>
  <c r="B122" i="16" s="1"/>
  <c r="J122" i="16"/>
  <c r="I122" i="16"/>
  <c r="F122" i="16"/>
  <c r="U121" i="16"/>
  <c r="T121" i="16"/>
  <c r="S121" i="16"/>
  <c r="R121" i="16"/>
  <c r="Q121" i="16"/>
  <c r="O121" i="16"/>
  <c r="N121" i="16"/>
  <c r="V121" i="16" s="1"/>
  <c r="W121" i="16" s="1"/>
  <c r="J121" i="16"/>
  <c r="I121" i="16"/>
  <c r="F121" i="16"/>
  <c r="U120" i="16"/>
  <c r="T120" i="16"/>
  <c r="S120" i="16"/>
  <c r="R120" i="16"/>
  <c r="Q120" i="16"/>
  <c r="O120" i="16"/>
  <c r="N120" i="16"/>
  <c r="J120" i="16"/>
  <c r="I120" i="16"/>
  <c r="F120" i="16"/>
  <c r="U119" i="16"/>
  <c r="T119" i="16"/>
  <c r="S119" i="16"/>
  <c r="R119" i="16"/>
  <c r="Q119" i="16"/>
  <c r="O119" i="16"/>
  <c r="N119" i="16"/>
  <c r="P119" i="16" s="1"/>
  <c r="M119" i="16"/>
  <c r="J119" i="16"/>
  <c r="I119" i="16"/>
  <c r="F119" i="16"/>
  <c r="U118" i="16"/>
  <c r="T118" i="16"/>
  <c r="S118" i="16"/>
  <c r="R118" i="16"/>
  <c r="Q118" i="16"/>
  <c r="B118" i="16" s="1"/>
  <c r="O118" i="16"/>
  <c r="N118" i="16"/>
  <c r="V118" i="16" s="1"/>
  <c r="W118" i="16" s="1"/>
  <c r="M118" i="16"/>
  <c r="J118" i="16"/>
  <c r="I118" i="16"/>
  <c r="F118" i="16"/>
  <c r="U117" i="16"/>
  <c r="T117" i="16"/>
  <c r="S117" i="16"/>
  <c r="R117" i="16"/>
  <c r="Q117" i="16"/>
  <c r="P117" i="16"/>
  <c r="O117" i="16"/>
  <c r="N117" i="16"/>
  <c r="V117" i="16" s="1"/>
  <c r="W117" i="16" s="1"/>
  <c r="J117" i="16"/>
  <c r="I117" i="16"/>
  <c r="F117" i="16"/>
  <c r="B117" i="16"/>
  <c r="U116" i="16"/>
  <c r="T116" i="16"/>
  <c r="S116" i="16"/>
  <c r="R116" i="16"/>
  <c r="Q116" i="16"/>
  <c r="P116" i="16"/>
  <c r="O116" i="16"/>
  <c r="N116" i="16"/>
  <c r="V116" i="16" s="1"/>
  <c r="W116" i="16" s="1"/>
  <c r="M116" i="16"/>
  <c r="J116" i="16"/>
  <c r="I116" i="16"/>
  <c r="F116" i="16"/>
  <c r="B116" i="16"/>
  <c r="U115" i="16"/>
  <c r="T115" i="16"/>
  <c r="S115" i="16"/>
  <c r="R115" i="16"/>
  <c r="Q115" i="16"/>
  <c r="B115" i="16" s="1"/>
  <c r="O115" i="16"/>
  <c r="N115" i="16"/>
  <c r="M115" i="16" s="1"/>
  <c r="J115" i="16"/>
  <c r="I115" i="16"/>
  <c r="F115" i="16"/>
  <c r="U114" i="16"/>
  <c r="T114" i="16"/>
  <c r="S114" i="16"/>
  <c r="R114" i="16"/>
  <c r="Q114" i="16"/>
  <c r="O114" i="16"/>
  <c r="N114" i="16"/>
  <c r="B114" i="16" s="1"/>
  <c r="M114" i="16"/>
  <c r="J114" i="16"/>
  <c r="I114" i="16"/>
  <c r="F114" i="16"/>
  <c r="U113" i="16"/>
  <c r="T113" i="16"/>
  <c r="S113" i="16"/>
  <c r="R113" i="16"/>
  <c r="Q113" i="16"/>
  <c r="O113" i="16"/>
  <c r="N113" i="16"/>
  <c r="V113" i="16" s="1"/>
  <c r="W113" i="16" s="1"/>
  <c r="J113" i="16"/>
  <c r="I113" i="16"/>
  <c r="F113" i="16"/>
  <c r="U112" i="16"/>
  <c r="T112" i="16"/>
  <c r="S112" i="16"/>
  <c r="R112" i="16"/>
  <c r="Q112" i="16"/>
  <c r="O112" i="16"/>
  <c r="N112" i="16"/>
  <c r="V112" i="16" s="1"/>
  <c r="W112" i="16" s="1"/>
  <c r="J112" i="16"/>
  <c r="I112" i="16"/>
  <c r="F112" i="16"/>
  <c r="U111" i="16"/>
  <c r="T111" i="16"/>
  <c r="S111" i="16"/>
  <c r="R111" i="16"/>
  <c r="Q111" i="16"/>
  <c r="O111" i="16"/>
  <c r="N111" i="16"/>
  <c r="P111" i="16" s="1"/>
  <c r="M111" i="16"/>
  <c r="J111" i="16"/>
  <c r="I111" i="16"/>
  <c r="F111" i="16"/>
  <c r="U110" i="16"/>
  <c r="T110" i="16"/>
  <c r="S110" i="16"/>
  <c r="R110" i="16"/>
  <c r="Q110" i="16"/>
  <c r="O110" i="16"/>
  <c r="N110" i="16"/>
  <c r="V110" i="16" s="1"/>
  <c r="W110" i="16" s="1"/>
  <c r="M110" i="16"/>
  <c r="J110" i="16"/>
  <c r="I110" i="16"/>
  <c r="F110" i="16"/>
  <c r="B110" i="16"/>
  <c r="U109" i="16"/>
  <c r="T109" i="16"/>
  <c r="S109" i="16"/>
  <c r="R109" i="16"/>
  <c r="Q109" i="16"/>
  <c r="B109" i="16" s="1"/>
  <c r="P109" i="16"/>
  <c r="O109" i="16"/>
  <c r="N109" i="16"/>
  <c r="V109" i="16" s="1"/>
  <c r="W109" i="16" s="1"/>
  <c r="J109" i="16"/>
  <c r="I109" i="16"/>
  <c r="F109" i="16"/>
  <c r="U108" i="16"/>
  <c r="T108" i="16"/>
  <c r="S108" i="16"/>
  <c r="R108" i="16"/>
  <c r="Q108" i="16"/>
  <c r="P108" i="16"/>
  <c r="O108" i="16"/>
  <c r="N108" i="16"/>
  <c r="V108" i="16" s="1"/>
  <c r="W108" i="16" s="1"/>
  <c r="M108" i="16"/>
  <c r="J108" i="16"/>
  <c r="I108" i="16"/>
  <c r="F108" i="16"/>
  <c r="B108" i="16"/>
  <c r="U107" i="16"/>
  <c r="T107" i="16"/>
  <c r="S107" i="16"/>
  <c r="R107" i="16"/>
  <c r="Q107" i="16"/>
  <c r="O107" i="16"/>
  <c r="N107" i="16"/>
  <c r="M107" i="16" s="1"/>
  <c r="J107" i="16"/>
  <c r="I107" i="16"/>
  <c r="F107" i="16"/>
  <c r="U106" i="16"/>
  <c r="T106" i="16"/>
  <c r="S106" i="16"/>
  <c r="R106" i="16"/>
  <c r="Q106" i="16"/>
  <c r="O106" i="16"/>
  <c r="P106" i="16" s="1"/>
  <c r="N106" i="16"/>
  <c r="B106" i="16" s="1"/>
  <c r="M106" i="16"/>
  <c r="J106" i="16"/>
  <c r="I106" i="16"/>
  <c r="F106" i="16"/>
  <c r="U105" i="16"/>
  <c r="T105" i="16"/>
  <c r="S105" i="16"/>
  <c r="R105" i="16"/>
  <c r="Q105" i="16"/>
  <c r="O105" i="16"/>
  <c r="N105" i="16"/>
  <c r="J105" i="16"/>
  <c r="I105" i="16"/>
  <c r="F105" i="16"/>
  <c r="U104" i="16"/>
  <c r="T104" i="16"/>
  <c r="S104" i="16"/>
  <c r="R104" i="16"/>
  <c r="Q104" i="16"/>
  <c r="O104" i="16"/>
  <c r="N104" i="16"/>
  <c r="V104" i="16" s="1"/>
  <c r="W104" i="16" s="1"/>
  <c r="J104" i="16"/>
  <c r="I104" i="16"/>
  <c r="F104" i="16"/>
  <c r="U103" i="16"/>
  <c r="T103" i="16"/>
  <c r="S103" i="16"/>
  <c r="R103" i="16"/>
  <c r="Q103" i="16"/>
  <c r="O103" i="16"/>
  <c r="N103" i="16"/>
  <c r="P103" i="16" s="1"/>
  <c r="M103" i="16"/>
  <c r="J103" i="16"/>
  <c r="I103" i="16"/>
  <c r="F103" i="16"/>
  <c r="U102" i="16"/>
  <c r="T102" i="16"/>
  <c r="S102" i="16"/>
  <c r="R102" i="16"/>
  <c r="Q102" i="16"/>
  <c r="O102" i="16"/>
  <c r="N102" i="16"/>
  <c r="V102" i="16" s="1"/>
  <c r="W102" i="16" s="1"/>
  <c r="M102" i="16"/>
  <c r="J102" i="16"/>
  <c r="I102" i="16"/>
  <c r="F102" i="16"/>
  <c r="B102" i="16"/>
  <c r="U101" i="16"/>
  <c r="T101" i="16"/>
  <c r="S101" i="16"/>
  <c r="R101" i="16"/>
  <c r="Q101" i="16"/>
  <c r="B101" i="16" s="1"/>
  <c r="P101" i="16"/>
  <c r="O101" i="16"/>
  <c r="N101" i="16"/>
  <c r="V101" i="16" s="1"/>
  <c r="W101" i="16" s="1"/>
  <c r="J101" i="16"/>
  <c r="I101" i="16"/>
  <c r="F101" i="16"/>
  <c r="U100" i="16"/>
  <c r="T100" i="16"/>
  <c r="S100" i="16"/>
  <c r="R100" i="16"/>
  <c r="Q100" i="16"/>
  <c r="P100" i="16"/>
  <c r="O100" i="16"/>
  <c r="N100" i="16"/>
  <c r="V100" i="16" s="1"/>
  <c r="W100" i="16" s="1"/>
  <c r="M100" i="16"/>
  <c r="J100" i="16"/>
  <c r="I100" i="16"/>
  <c r="F100" i="16"/>
  <c r="B100" i="16"/>
  <c r="U99" i="16"/>
  <c r="T99" i="16"/>
  <c r="S99" i="16"/>
  <c r="R99" i="16"/>
  <c r="Q99" i="16"/>
  <c r="O99" i="16"/>
  <c r="P99" i="16" s="1"/>
  <c r="N99" i="16"/>
  <c r="M99" i="16" s="1"/>
  <c r="J99" i="16"/>
  <c r="I99" i="16"/>
  <c r="F99" i="16"/>
  <c r="B99" i="16"/>
  <c r="U98" i="16"/>
  <c r="T98" i="16"/>
  <c r="S98" i="16"/>
  <c r="R98" i="16"/>
  <c r="Q98" i="16"/>
  <c r="P98" i="16"/>
  <c r="O98" i="16"/>
  <c r="N98" i="16"/>
  <c r="B98" i="16" s="1"/>
  <c r="M98" i="16"/>
  <c r="J98" i="16"/>
  <c r="I98" i="16"/>
  <c r="F98" i="16"/>
  <c r="U97" i="16"/>
  <c r="T97" i="16"/>
  <c r="S97" i="16"/>
  <c r="R97" i="16"/>
  <c r="Q97" i="16"/>
  <c r="O97" i="16"/>
  <c r="N97" i="16"/>
  <c r="V97" i="16" s="1"/>
  <c r="W97" i="16" s="1"/>
  <c r="J97" i="16"/>
  <c r="I97" i="16"/>
  <c r="F97" i="16"/>
  <c r="U96" i="16"/>
  <c r="T96" i="16"/>
  <c r="S96" i="16"/>
  <c r="R96" i="16"/>
  <c r="Q96" i="16"/>
  <c r="O96" i="16"/>
  <c r="N96" i="16"/>
  <c r="V96" i="16" s="1"/>
  <c r="W96" i="16" s="1"/>
  <c r="J96" i="16"/>
  <c r="I96" i="16"/>
  <c r="F96" i="16"/>
  <c r="U95" i="16"/>
  <c r="T95" i="16"/>
  <c r="S95" i="16"/>
  <c r="R95" i="16"/>
  <c r="Q95" i="16"/>
  <c r="O95" i="16"/>
  <c r="N95" i="16"/>
  <c r="P95" i="16" s="1"/>
  <c r="M95" i="16"/>
  <c r="J95" i="16"/>
  <c r="I95" i="16"/>
  <c r="F95" i="16"/>
  <c r="U94" i="16"/>
  <c r="T94" i="16"/>
  <c r="S94" i="16"/>
  <c r="R94" i="16"/>
  <c r="Q94" i="16"/>
  <c r="B94" i="16" s="1"/>
  <c r="O94" i="16"/>
  <c r="N94" i="16"/>
  <c r="V94" i="16" s="1"/>
  <c r="W94" i="16" s="1"/>
  <c r="M94" i="16"/>
  <c r="J94" i="16"/>
  <c r="I94" i="16"/>
  <c r="F94" i="16"/>
  <c r="U93" i="16"/>
  <c r="T93" i="16"/>
  <c r="S93" i="16"/>
  <c r="R93" i="16"/>
  <c r="Q93" i="16"/>
  <c r="B93" i="16" s="1"/>
  <c r="P93" i="16"/>
  <c r="O93" i="16"/>
  <c r="N93" i="16"/>
  <c r="V93" i="16" s="1"/>
  <c r="W93" i="16" s="1"/>
  <c r="J93" i="16"/>
  <c r="I93" i="16"/>
  <c r="F93" i="16"/>
  <c r="U92" i="16"/>
  <c r="T92" i="16"/>
  <c r="S92" i="16"/>
  <c r="R92" i="16"/>
  <c r="Q92" i="16"/>
  <c r="P92" i="16"/>
  <c r="O92" i="16"/>
  <c r="N92" i="16"/>
  <c r="V92" i="16" s="1"/>
  <c r="W92" i="16" s="1"/>
  <c r="M92" i="16"/>
  <c r="J92" i="16"/>
  <c r="I92" i="16"/>
  <c r="F92" i="16"/>
  <c r="B92" i="16"/>
  <c r="U91" i="16"/>
  <c r="T91" i="16"/>
  <c r="S91" i="16"/>
  <c r="R91" i="16"/>
  <c r="Q91" i="16"/>
  <c r="B91" i="16" s="1"/>
  <c r="P91" i="16"/>
  <c r="O91" i="16"/>
  <c r="N91" i="16"/>
  <c r="M91" i="16" s="1"/>
  <c r="J91" i="16"/>
  <c r="I91" i="16"/>
  <c r="F91" i="16"/>
  <c r="U90" i="16"/>
  <c r="T90" i="16"/>
  <c r="S90" i="16"/>
  <c r="R90" i="16"/>
  <c r="Q90" i="16"/>
  <c r="O90" i="16"/>
  <c r="N90" i="16"/>
  <c r="B90" i="16" s="1"/>
  <c r="J90" i="16"/>
  <c r="I90" i="16"/>
  <c r="F90" i="16"/>
  <c r="U89" i="16"/>
  <c r="T89" i="16"/>
  <c r="S89" i="16"/>
  <c r="R89" i="16"/>
  <c r="Q89" i="16"/>
  <c r="O89" i="16"/>
  <c r="N89" i="16"/>
  <c r="V89" i="16" s="1"/>
  <c r="W89" i="16" s="1"/>
  <c r="J89" i="16"/>
  <c r="I89" i="16"/>
  <c r="F89" i="16"/>
  <c r="U88" i="16"/>
  <c r="T88" i="16"/>
  <c r="S88" i="16"/>
  <c r="R88" i="16"/>
  <c r="Q88" i="16"/>
  <c r="B88" i="16" s="1"/>
  <c r="O88" i="16"/>
  <c r="N88" i="16"/>
  <c r="P88" i="16" s="1"/>
  <c r="I88" i="16"/>
  <c r="F88" i="16"/>
  <c r="U87" i="16"/>
  <c r="T87" i="16"/>
  <c r="S87" i="16"/>
  <c r="R87" i="16"/>
  <c r="Q87" i="16"/>
  <c r="O87" i="16"/>
  <c r="N87" i="16"/>
  <c r="V87" i="16" s="1"/>
  <c r="W87" i="16" s="1"/>
  <c r="M87" i="16"/>
  <c r="J87" i="16"/>
  <c r="I87" i="16"/>
  <c r="F87" i="16"/>
  <c r="B87" i="16"/>
  <c r="U86" i="16"/>
  <c r="T86" i="16"/>
  <c r="S86" i="16"/>
  <c r="R86" i="16"/>
  <c r="Q86" i="16"/>
  <c r="B86" i="16" s="1"/>
  <c r="P86" i="16"/>
  <c r="O86" i="16"/>
  <c r="N86" i="16"/>
  <c r="V86" i="16" s="1"/>
  <c r="W86" i="16" s="1"/>
  <c r="L86" i="16"/>
  <c r="K86" i="16"/>
  <c r="J86" i="16"/>
  <c r="I86" i="16"/>
  <c r="F86" i="16"/>
  <c r="U85" i="16"/>
  <c r="T85" i="16"/>
  <c r="S85" i="16"/>
  <c r="R85" i="16"/>
  <c r="Q85" i="16"/>
  <c r="B85" i="16" s="1"/>
  <c r="O85" i="16"/>
  <c r="N85" i="16"/>
  <c r="V85" i="16" s="1"/>
  <c r="W85" i="16" s="1"/>
  <c r="M85" i="16"/>
  <c r="L85" i="16"/>
  <c r="K85" i="16"/>
  <c r="J85" i="16"/>
  <c r="I85" i="16"/>
  <c r="F85" i="16"/>
  <c r="U84" i="16"/>
  <c r="T84" i="16"/>
  <c r="S84" i="16"/>
  <c r="R84" i="16"/>
  <c r="Q84" i="16"/>
  <c r="O84" i="16"/>
  <c r="N84" i="16"/>
  <c r="P84" i="16" s="1"/>
  <c r="M84" i="16"/>
  <c r="L84" i="16"/>
  <c r="K84" i="16"/>
  <c r="J84" i="16"/>
  <c r="I84" i="16"/>
  <c r="F84" i="16"/>
  <c r="U83" i="16"/>
  <c r="T83" i="16"/>
  <c r="S83" i="16"/>
  <c r="R83" i="16"/>
  <c r="Q83" i="16"/>
  <c r="O83" i="16"/>
  <c r="N83" i="16"/>
  <c r="V83" i="16" s="1"/>
  <c r="W83" i="16" s="1"/>
  <c r="L83" i="16"/>
  <c r="K83" i="16"/>
  <c r="J83" i="16"/>
  <c r="I83" i="16"/>
  <c r="F83" i="16"/>
  <c r="V82" i="16"/>
  <c r="W82" i="16" s="1"/>
  <c r="U82" i="16"/>
  <c r="T82" i="16"/>
  <c r="S82" i="16"/>
  <c r="R82" i="16"/>
  <c r="Q82" i="16"/>
  <c r="O82" i="16"/>
  <c r="N82" i="16"/>
  <c r="M82" i="16"/>
  <c r="L82" i="16"/>
  <c r="K82" i="16"/>
  <c r="J82" i="16"/>
  <c r="I82" i="16"/>
  <c r="F82" i="16"/>
  <c r="B82" i="16"/>
  <c r="U81" i="16"/>
  <c r="T81" i="16"/>
  <c r="S81" i="16"/>
  <c r="R81" i="16"/>
  <c r="Q81" i="16"/>
  <c r="P81" i="16"/>
  <c r="O81" i="16"/>
  <c r="N81" i="16"/>
  <c r="B81" i="16" s="1"/>
  <c r="M81" i="16"/>
  <c r="L81" i="16"/>
  <c r="K81" i="16"/>
  <c r="J81" i="16"/>
  <c r="I81" i="16"/>
  <c r="F81" i="16"/>
  <c r="U80" i="16"/>
  <c r="T80" i="16"/>
  <c r="S80" i="16"/>
  <c r="R80" i="16"/>
  <c r="Q80" i="16"/>
  <c r="O80" i="16"/>
  <c r="N80" i="16"/>
  <c r="M80" i="16" s="1"/>
  <c r="L80" i="16"/>
  <c r="J80" i="16"/>
  <c r="I80" i="16"/>
  <c r="F80" i="16"/>
  <c r="B80" i="16"/>
  <c r="U79" i="16"/>
  <c r="T79" i="16"/>
  <c r="S79" i="16"/>
  <c r="R79" i="16"/>
  <c r="Q79" i="16"/>
  <c r="P79" i="16"/>
  <c r="O79" i="16"/>
  <c r="N79" i="16"/>
  <c r="M79" i="16" s="1"/>
  <c r="L79" i="16"/>
  <c r="K79" i="16"/>
  <c r="J79" i="16"/>
  <c r="I79" i="16"/>
  <c r="F79" i="16"/>
  <c r="B79" i="16"/>
  <c r="U78" i="16"/>
  <c r="T78" i="16"/>
  <c r="S78" i="16"/>
  <c r="R78" i="16"/>
  <c r="Q78" i="16"/>
  <c r="O78" i="16"/>
  <c r="P78" i="16" s="1"/>
  <c r="N78" i="16"/>
  <c r="V78" i="16" s="1"/>
  <c r="W78" i="16" s="1"/>
  <c r="M78" i="16"/>
  <c r="L78" i="16"/>
  <c r="K78" i="16"/>
  <c r="J78" i="16"/>
  <c r="I78" i="16"/>
  <c r="F78" i="16"/>
  <c r="B78" i="16"/>
  <c r="U77" i="16"/>
  <c r="T77" i="16"/>
  <c r="S77" i="16"/>
  <c r="R77" i="16"/>
  <c r="Q77" i="16"/>
  <c r="B77" i="16" s="1"/>
  <c r="P77" i="16"/>
  <c r="O77" i="16"/>
  <c r="N77" i="16"/>
  <c r="V77" i="16" s="1"/>
  <c r="W77" i="16" s="1"/>
  <c r="L77" i="16"/>
  <c r="K77" i="16"/>
  <c r="J77" i="16"/>
  <c r="I77" i="16"/>
  <c r="F77" i="16"/>
  <c r="U76" i="16"/>
  <c r="T76" i="16"/>
  <c r="S76" i="16"/>
  <c r="R76" i="16"/>
  <c r="Q76" i="16"/>
  <c r="B76" i="16" s="1"/>
  <c r="O76" i="16"/>
  <c r="N76" i="16"/>
  <c r="V76" i="16" s="1"/>
  <c r="W76" i="16" s="1"/>
  <c r="M76" i="16"/>
  <c r="L76" i="16"/>
  <c r="K76" i="16"/>
  <c r="J76" i="16"/>
  <c r="I76" i="16"/>
  <c r="F76" i="16"/>
  <c r="U75" i="16"/>
  <c r="T75" i="16"/>
  <c r="S75" i="16"/>
  <c r="R75" i="16"/>
  <c r="Q75" i="16"/>
  <c r="O75" i="16"/>
  <c r="N75" i="16"/>
  <c r="P75" i="16" s="1"/>
  <c r="M75" i="16"/>
  <c r="L75" i="16"/>
  <c r="K75" i="16"/>
  <c r="J75" i="16"/>
  <c r="I75" i="16"/>
  <c r="F75" i="16"/>
  <c r="V74" i="16"/>
  <c r="W74" i="16" s="1"/>
  <c r="U74" i="16"/>
  <c r="T74" i="16"/>
  <c r="S74" i="16"/>
  <c r="R74" i="16"/>
  <c r="Q74" i="16"/>
  <c r="O74" i="16"/>
  <c r="N74" i="16"/>
  <c r="M74" i="16"/>
  <c r="L74" i="16"/>
  <c r="K74" i="16"/>
  <c r="J74" i="16"/>
  <c r="I74" i="16"/>
  <c r="F74" i="16"/>
  <c r="U73" i="16"/>
  <c r="T73" i="16"/>
  <c r="S73" i="16"/>
  <c r="R73" i="16"/>
  <c r="Q73" i="16"/>
  <c r="O73" i="16"/>
  <c r="N73" i="16"/>
  <c r="P73" i="16" s="1"/>
  <c r="L73" i="16"/>
  <c r="K73" i="16"/>
  <c r="J73" i="16"/>
  <c r="I73" i="16"/>
  <c r="F73" i="16"/>
  <c r="U72" i="16"/>
  <c r="T72" i="16"/>
  <c r="S72" i="16"/>
  <c r="R72" i="16"/>
  <c r="Q72" i="16"/>
  <c r="O72" i="16"/>
  <c r="P72" i="16" s="1"/>
  <c r="N72" i="16"/>
  <c r="V72" i="16" s="1"/>
  <c r="W72" i="16" s="1"/>
  <c r="M72" i="16"/>
  <c r="L72" i="16"/>
  <c r="K72" i="16"/>
  <c r="J72" i="16"/>
  <c r="I72" i="16"/>
  <c r="F72" i="16"/>
  <c r="B72" i="16"/>
  <c r="U71" i="16"/>
  <c r="T71" i="16"/>
  <c r="S71" i="16"/>
  <c r="R71" i="16"/>
  <c r="Q71" i="16"/>
  <c r="O71" i="16"/>
  <c r="N71" i="16"/>
  <c r="M71" i="16" s="1"/>
  <c r="L71" i="16"/>
  <c r="K71" i="16"/>
  <c r="J71" i="16"/>
  <c r="I71" i="16"/>
  <c r="F71" i="16"/>
  <c r="U70" i="16"/>
  <c r="T70" i="16"/>
  <c r="S70" i="16"/>
  <c r="R70" i="16"/>
  <c r="Q70" i="16"/>
  <c r="B70" i="16" s="1"/>
  <c r="O70" i="16"/>
  <c r="P70" i="16" s="1"/>
  <c r="N70" i="16"/>
  <c r="V70" i="16" s="1"/>
  <c r="W70" i="16" s="1"/>
  <c r="M70" i="16"/>
  <c r="L70" i="16"/>
  <c r="K70" i="16"/>
  <c r="J70" i="16"/>
  <c r="I70" i="16"/>
  <c r="F70" i="16"/>
  <c r="U69" i="16"/>
  <c r="T69" i="16"/>
  <c r="S69" i="16"/>
  <c r="R69" i="16"/>
  <c r="Q69" i="16"/>
  <c r="B69" i="16" s="1"/>
  <c r="P69" i="16"/>
  <c r="O69" i="16"/>
  <c r="N69" i="16"/>
  <c r="V69" i="16" s="1"/>
  <c r="W69" i="16" s="1"/>
  <c r="L69" i="16"/>
  <c r="K69" i="16"/>
  <c r="J69" i="16"/>
  <c r="I69" i="16"/>
  <c r="F69" i="16"/>
  <c r="U68" i="16"/>
  <c r="T68" i="16"/>
  <c r="S68" i="16"/>
  <c r="R68" i="16"/>
  <c r="Q68" i="16"/>
  <c r="B68" i="16" s="1"/>
  <c r="O68" i="16"/>
  <c r="N68" i="16"/>
  <c r="V68" i="16" s="1"/>
  <c r="W68" i="16" s="1"/>
  <c r="M68" i="16"/>
  <c r="L68" i="16"/>
  <c r="K68" i="16"/>
  <c r="J68" i="16"/>
  <c r="I68" i="16"/>
  <c r="F68" i="16"/>
  <c r="U67" i="16"/>
  <c r="T67" i="16"/>
  <c r="S67" i="16"/>
  <c r="R67" i="16"/>
  <c r="Q67" i="16"/>
  <c r="O67" i="16"/>
  <c r="N67" i="16"/>
  <c r="V67" i="16" s="1"/>
  <c r="W67" i="16" s="1"/>
  <c r="J67" i="16"/>
  <c r="I67" i="16"/>
  <c r="F67" i="16"/>
  <c r="U66" i="16"/>
  <c r="T66" i="16"/>
  <c r="S66" i="16"/>
  <c r="R66" i="16"/>
  <c r="Q66" i="16"/>
  <c r="B66" i="16" s="1"/>
  <c r="O66" i="16"/>
  <c r="N66" i="16"/>
  <c r="V66" i="16" s="1"/>
  <c r="W66" i="16" s="1"/>
  <c r="M66" i="16"/>
  <c r="L66" i="16"/>
  <c r="K66" i="16"/>
  <c r="J66" i="16"/>
  <c r="I66" i="16"/>
  <c r="F66" i="16"/>
  <c r="V65" i="16"/>
  <c r="W65" i="16" s="1"/>
  <c r="U65" i="16"/>
  <c r="T65" i="16"/>
  <c r="S65" i="16"/>
  <c r="R65" i="16"/>
  <c r="Q65" i="16"/>
  <c r="O65" i="16"/>
  <c r="N65" i="16"/>
  <c r="M65" i="16"/>
  <c r="J65" i="16"/>
  <c r="I65" i="16"/>
  <c r="F65" i="16"/>
  <c r="U64" i="16"/>
  <c r="T64" i="16"/>
  <c r="S64" i="16"/>
  <c r="R64" i="16"/>
  <c r="Q64" i="16"/>
  <c r="B64" i="16" s="1"/>
  <c r="O64" i="16"/>
  <c r="N64" i="16"/>
  <c r="V64" i="16" s="1"/>
  <c r="W64" i="16" s="1"/>
  <c r="M64" i="16"/>
  <c r="L64" i="16"/>
  <c r="K64" i="16"/>
  <c r="J64" i="16"/>
  <c r="I64" i="16"/>
  <c r="F64" i="16"/>
  <c r="U63" i="16"/>
  <c r="T63" i="16"/>
  <c r="S63" i="16"/>
  <c r="R63" i="16"/>
  <c r="Q63" i="16"/>
  <c r="O63" i="16"/>
  <c r="N63" i="16"/>
  <c r="V63" i="16" s="1"/>
  <c r="W63" i="16" s="1"/>
  <c r="J63" i="16"/>
  <c r="I63" i="16"/>
  <c r="F63" i="16"/>
  <c r="U62" i="16"/>
  <c r="T62" i="16"/>
  <c r="S62" i="16"/>
  <c r="R62" i="16"/>
  <c r="Q62" i="16"/>
  <c r="O62" i="16"/>
  <c r="N62" i="16"/>
  <c r="V62" i="16" s="1"/>
  <c r="W62" i="16" s="1"/>
  <c r="M62" i="16"/>
  <c r="J62" i="16"/>
  <c r="I62" i="16"/>
  <c r="F62" i="16"/>
  <c r="B62" i="16"/>
  <c r="U61" i="16"/>
  <c r="T61" i="16"/>
  <c r="S61" i="16"/>
  <c r="R61" i="16"/>
  <c r="Q61" i="16"/>
  <c r="P61" i="16"/>
  <c r="O61" i="16"/>
  <c r="N61" i="16"/>
  <c r="M61" i="16" s="1"/>
  <c r="J61" i="16"/>
  <c r="I61" i="16"/>
  <c r="F61" i="16"/>
  <c r="B61" i="16"/>
  <c r="U60" i="16"/>
  <c r="T60" i="16"/>
  <c r="S60" i="16"/>
  <c r="R60" i="16"/>
  <c r="Q60" i="16"/>
  <c r="P60" i="16"/>
  <c r="O60" i="16"/>
  <c r="N60" i="16"/>
  <c r="V60" i="16" s="1"/>
  <c r="W60" i="16" s="1"/>
  <c r="M60" i="16"/>
  <c r="J60" i="16"/>
  <c r="I60" i="16"/>
  <c r="F60" i="16"/>
  <c r="B60" i="16"/>
  <c r="U59" i="16"/>
  <c r="T59" i="16"/>
  <c r="S59" i="16"/>
  <c r="R59" i="16"/>
  <c r="Q59" i="16"/>
  <c r="O59" i="16"/>
  <c r="N59" i="16"/>
  <c r="M59" i="16" s="1"/>
  <c r="L59" i="16"/>
  <c r="J59" i="16"/>
  <c r="I59" i="16"/>
  <c r="F59" i="16"/>
  <c r="U58" i="16"/>
  <c r="T58" i="16"/>
  <c r="S58" i="16"/>
  <c r="R58" i="16"/>
  <c r="Q58" i="16"/>
  <c r="O58" i="16"/>
  <c r="N58" i="16"/>
  <c r="M58" i="16" s="1"/>
  <c r="J58" i="16"/>
  <c r="I58" i="16"/>
  <c r="F58" i="16"/>
  <c r="U57" i="16"/>
  <c r="T57" i="16"/>
  <c r="S57" i="16"/>
  <c r="R57" i="16"/>
  <c r="Q57" i="16"/>
  <c r="B57" i="16" s="1"/>
  <c r="P57" i="16"/>
  <c r="O57" i="16"/>
  <c r="N57" i="16"/>
  <c r="V57" i="16" s="1"/>
  <c r="W57" i="16" s="1"/>
  <c r="L57" i="16"/>
  <c r="J57" i="16"/>
  <c r="I57" i="16"/>
  <c r="F57" i="16"/>
  <c r="U56" i="16"/>
  <c r="T56" i="16"/>
  <c r="S56" i="16"/>
  <c r="R56" i="16"/>
  <c r="Q56" i="16"/>
  <c r="P56" i="16"/>
  <c r="O56" i="16"/>
  <c r="N56" i="16"/>
  <c r="V56" i="16" s="1"/>
  <c r="W56" i="16" s="1"/>
  <c r="J56" i="16"/>
  <c r="I56" i="16"/>
  <c r="F56" i="16"/>
  <c r="B56" i="16"/>
  <c r="U55" i="16"/>
  <c r="T55" i="16"/>
  <c r="S55" i="16"/>
  <c r="R55" i="16"/>
  <c r="Q55" i="16"/>
  <c r="B55" i="16" s="1"/>
  <c r="P55" i="16"/>
  <c r="O55" i="16"/>
  <c r="N55" i="16"/>
  <c r="V55" i="16" s="1"/>
  <c r="W55" i="16" s="1"/>
  <c r="M55" i="16"/>
  <c r="L55" i="16"/>
  <c r="K55" i="16"/>
  <c r="J55" i="16"/>
  <c r="I55" i="16"/>
  <c r="F55" i="16"/>
  <c r="U54" i="16"/>
  <c r="T54" i="16"/>
  <c r="S54" i="16"/>
  <c r="R54" i="16"/>
  <c r="Q54" i="16"/>
  <c r="B54" i="16" s="1"/>
  <c r="P54" i="16"/>
  <c r="O54" i="16"/>
  <c r="N54" i="16"/>
  <c r="V54" i="16" s="1"/>
  <c r="W54" i="16" s="1"/>
  <c r="L54" i="16"/>
  <c r="K54" i="16"/>
  <c r="J54" i="16"/>
  <c r="I54" i="16"/>
  <c r="F54" i="16"/>
  <c r="U53" i="16"/>
  <c r="T53" i="16"/>
  <c r="S53" i="16"/>
  <c r="R53" i="16"/>
  <c r="Q53" i="16"/>
  <c r="B53" i="16" s="1"/>
  <c r="O53" i="16"/>
  <c r="P53" i="16" s="1"/>
  <c r="N53" i="16"/>
  <c r="V53" i="16" s="1"/>
  <c r="W53" i="16" s="1"/>
  <c r="M53" i="16"/>
  <c r="L53" i="16"/>
  <c r="J53" i="16"/>
  <c r="I53" i="16"/>
  <c r="F53" i="16"/>
  <c r="U52" i="16"/>
  <c r="T52" i="16"/>
  <c r="S52" i="16"/>
  <c r="R52" i="16"/>
  <c r="Q52" i="16"/>
  <c r="O52" i="16"/>
  <c r="P52" i="16" s="1"/>
  <c r="N52" i="16"/>
  <c r="V52" i="16" s="1"/>
  <c r="W52" i="16" s="1"/>
  <c r="M52" i="16"/>
  <c r="J52" i="16"/>
  <c r="I52" i="16"/>
  <c r="F52" i="16"/>
  <c r="B52" i="16"/>
  <c r="U51" i="16"/>
  <c r="T51" i="16"/>
  <c r="S51" i="16"/>
  <c r="R51" i="16"/>
  <c r="Q51" i="16"/>
  <c r="B51" i="16" s="1"/>
  <c r="P51" i="16"/>
  <c r="O51" i="16"/>
  <c r="N51" i="16"/>
  <c r="V51" i="16" s="1"/>
  <c r="W51" i="16" s="1"/>
  <c r="L51" i="16"/>
  <c r="J51" i="16"/>
  <c r="I51" i="16"/>
  <c r="F51" i="16"/>
  <c r="U50" i="16"/>
  <c r="T50" i="16"/>
  <c r="S50" i="16"/>
  <c r="R50" i="16"/>
  <c r="Q50" i="16"/>
  <c r="B50" i="16" s="1"/>
  <c r="P50" i="16"/>
  <c r="O50" i="16"/>
  <c r="N50" i="16"/>
  <c r="V50" i="16" s="1"/>
  <c r="W50" i="16" s="1"/>
  <c r="L50" i="16"/>
  <c r="J50" i="16"/>
  <c r="I50" i="16"/>
  <c r="F50" i="16"/>
  <c r="U49" i="16"/>
  <c r="T49" i="16"/>
  <c r="S49" i="16"/>
  <c r="R49" i="16"/>
  <c r="Q49" i="16"/>
  <c r="B49" i="16" s="1"/>
  <c r="P49" i="16"/>
  <c r="O49" i="16"/>
  <c r="N49" i="16"/>
  <c r="V49" i="16" s="1"/>
  <c r="W49" i="16" s="1"/>
  <c r="L49" i="16"/>
  <c r="J49" i="16"/>
  <c r="I49" i="16"/>
  <c r="F49" i="16"/>
  <c r="U48" i="16"/>
  <c r="T48" i="16"/>
  <c r="S48" i="16"/>
  <c r="R48" i="16"/>
  <c r="Q48" i="16"/>
  <c r="B48" i="16" s="1"/>
  <c r="P48" i="16"/>
  <c r="O48" i="16"/>
  <c r="N48" i="16"/>
  <c r="V48" i="16" s="1"/>
  <c r="W48" i="16" s="1"/>
  <c r="L48" i="16"/>
  <c r="J48" i="16"/>
  <c r="I48" i="16"/>
  <c r="F48" i="16"/>
  <c r="U47" i="16"/>
  <c r="T47" i="16"/>
  <c r="S47" i="16"/>
  <c r="R47" i="16"/>
  <c r="Q47" i="16"/>
  <c r="P47" i="16"/>
  <c r="O47" i="16"/>
  <c r="N47" i="16"/>
  <c r="V47" i="16" s="1"/>
  <c r="W47" i="16" s="1"/>
  <c r="J47" i="16"/>
  <c r="I47" i="16"/>
  <c r="F47" i="16"/>
  <c r="B47" i="16"/>
  <c r="U46" i="16"/>
  <c r="T46" i="16"/>
  <c r="S46" i="16"/>
  <c r="R46" i="16"/>
  <c r="Q46" i="16"/>
  <c r="P46" i="16"/>
  <c r="O46" i="16"/>
  <c r="N46" i="16"/>
  <c r="V46" i="16" s="1"/>
  <c r="W46" i="16" s="1"/>
  <c r="M46" i="16"/>
  <c r="J46" i="16"/>
  <c r="I46" i="16"/>
  <c r="F46" i="16"/>
  <c r="B46" i="16"/>
  <c r="U45" i="16"/>
  <c r="T45" i="16"/>
  <c r="S45" i="16"/>
  <c r="R45" i="16"/>
  <c r="Q45" i="16"/>
  <c r="P45" i="16"/>
  <c r="O45" i="16"/>
  <c r="N45" i="16"/>
  <c r="M45" i="16" s="1"/>
  <c r="J45" i="16"/>
  <c r="I45" i="16"/>
  <c r="F45" i="16"/>
  <c r="B45" i="16"/>
  <c r="U44" i="16"/>
  <c r="T44" i="16"/>
  <c r="S44" i="16"/>
  <c r="R44" i="16"/>
  <c r="Q44" i="16"/>
  <c r="O44" i="16"/>
  <c r="P44" i="16" s="1"/>
  <c r="N44" i="16"/>
  <c r="V44" i="16" s="1"/>
  <c r="W44" i="16" s="1"/>
  <c r="J44" i="16"/>
  <c r="I44" i="16"/>
  <c r="F44" i="16"/>
  <c r="B44" i="16"/>
  <c r="U43" i="16"/>
  <c r="T43" i="16"/>
  <c r="S43" i="16"/>
  <c r="R43" i="16"/>
  <c r="Q43" i="16"/>
  <c r="P43" i="16"/>
  <c r="O43" i="16"/>
  <c r="N43" i="16"/>
  <c r="B43" i="16" s="1"/>
  <c r="J43" i="16"/>
  <c r="I43" i="16"/>
  <c r="F43" i="16"/>
  <c r="U42" i="16"/>
  <c r="T42" i="16"/>
  <c r="S42" i="16"/>
  <c r="R42" i="16"/>
  <c r="Q42" i="16"/>
  <c r="O42" i="16"/>
  <c r="N42" i="16"/>
  <c r="B42" i="16" s="1"/>
  <c r="M42" i="16"/>
  <c r="J42" i="16"/>
  <c r="I42" i="16"/>
  <c r="F42" i="16"/>
  <c r="V41" i="16"/>
  <c r="W41" i="16" s="1"/>
  <c r="U41" i="16"/>
  <c r="T41" i="16"/>
  <c r="S41" i="16"/>
  <c r="R41" i="16"/>
  <c r="Q41" i="16"/>
  <c r="O41" i="16"/>
  <c r="N41" i="16"/>
  <c r="J41" i="16"/>
  <c r="I41" i="16"/>
  <c r="F41" i="16"/>
  <c r="U40" i="16"/>
  <c r="T40" i="16"/>
  <c r="S40" i="16"/>
  <c r="R40" i="16"/>
  <c r="Q40" i="16"/>
  <c r="B40" i="16" s="1"/>
  <c r="O40" i="16"/>
  <c r="P40" i="16" s="1"/>
  <c r="N40" i="16"/>
  <c r="V40" i="16" s="1"/>
  <c r="W40" i="16" s="1"/>
  <c r="M40" i="16"/>
  <c r="L40" i="16"/>
  <c r="J40" i="16"/>
  <c r="I40" i="16"/>
  <c r="F40" i="16"/>
  <c r="U39" i="16"/>
  <c r="T39" i="16"/>
  <c r="S39" i="16"/>
  <c r="R39" i="16"/>
  <c r="Q39" i="16"/>
  <c r="B39" i="16" s="1"/>
  <c r="O39" i="16"/>
  <c r="P39" i="16" s="1"/>
  <c r="N39" i="16"/>
  <c r="V39" i="16" s="1"/>
  <c r="W39" i="16" s="1"/>
  <c r="M39" i="16"/>
  <c r="L39" i="16"/>
  <c r="K39" i="16"/>
  <c r="J39" i="16"/>
  <c r="I39" i="16"/>
  <c r="F39" i="16"/>
  <c r="U38" i="16"/>
  <c r="T38" i="16"/>
  <c r="S38" i="16"/>
  <c r="R38" i="16"/>
  <c r="Q38" i="16"/>
  <c r="O38" i="16"/>
  <c r="N38" i="16"/>
  <c r="V38" i="16" s="1"/>
  <c r="W38" i="16" s="1"/>
  <c r="L38" i="16"/>
  <c r="K38" i="16"/>
  <c r="J38" i="16"/>
  <c r="I38" i="16"/>
  <c r="F38" i="16"/>
  <c r="U37" i="16"/>
  <c r="T37" i="16"/>
  <c r="S37" i="16"/>
  <c r="R37" i="16"/>
  <c r="Q37" i="16"/>
  <c r="O37" i="16"/>
  <c r="N37" i="16"/>
  <c r="P37" i="16" s="1"/>
  <c r="M37" i="16"/>
  <c r="L37" i="16"/>
  <c r="K37" i="16"/>
  <c r="J37" i="16"/>
  <c r="I37" i="16"/>
  <c r="F37" i="16"/>
  <c r="B37" i="16"/>
  <c r="U36" i="16"/>
  <c r="T36" i="16"/>
  <c r="S36" i="16"/>
  <c r="R36" i="16"/>
  <c r="Q36" i="16"/>
  <c r="O36" i="16"/>
  <c r="N36" i="16"/>
  <c r="L36" i="16"/>
  <c r="K36" i="16"/>
  <c r="J36" i="16"/>
  <c r="I36" i="16"/>
  <c r="F36" i="16"/>
  <c r="U35" i="16"/>
  <c r="T35" i="16"/>
  <c r="S35" i="16"/>
  <c r="R35" i="16"/>
  <c r="Q35" i="16"/>
  <c r="O35" i="16"/>
  <c r="N35" i="16"/>
  <c r="L35" i="16"/>
  <c r="K35" i="16"/>
  <c r="J35" i="16"/>
  <c r="I35" i="16"/>
  <c r="F35" i="16"/>
  <c r="B35" i="16"/>
  <c r="U34" i="16"/>
  <c r="T34" i="16"/>
  <c r="S34" i="16"/>
  <c r="R34" i="16"/>
  <c r="Q34" i="16"/>
  <c r="P34" i="16"/>
  <c r="O34" i="16"/>
  <c r="N34" i="16"/>
  <c r="M34" i="16" s="1"/>
  <c r="L34" i="16"/>
  <c r="K34" i="16"/>
  <c r="J34" i="16"/>
  <c r="I34" i="16"/>
  <c r="F34" i="16"/>
  <c r="B34" i="16"/>
  <c r="U33" i="16"/>
  <c r="T33" i="16"/>
  <c r="S33" i="16"/>
  <c r="R33" i="16"/>
  <c r="Q33" i="16"/>
  <c r="B33" i="16" s="1"/>
  <c r="P33" i="16"/>
  <c r="O33" i="16"/>
  <c r="N33" i="16"/>
  <c r="V33" i="16" s="1"/>
  <c r="W33" i="16" s="1"/>
  <c r="M33" i="16"/>
  <c r="L33" i="16"/>
  <c r="K33" i="16"/>
  <c r="J33" i="16"/>
  <c r="I33" i="16"/>
  <c r="F33" i="16"/>
  <c r="U32" i="16"/>
  <c r="T32" i="16"/>
  <c r="S32" i="16"/>
  <c r="R32" i="16"/>
  <c r="Q32" i="16"/>
  <c r="P32" i="16"/>
  <c r="O32" i="16"/>
  <c r="N32" i="16"/>
  <c r="V32" i="16" s="1"/>
  <c r="W32" i="16" s="1"/>
  <c r="J32" i="16"/>
  <c r="I32" i="16"/>
  <c r="F32" i="16"/>
  <c r="B32" i="16"/>
  <c r="U31" i="16"/>
  <c r="T31" i="16"/>
  <c r="S31" i="16"/>
  <c r="R31" i="16"/>
  <c r="Q31" i="16"/>
  <c r="P31" i="16"/>
  <c r="O31" i="16"/>
  <c r="N31" i="16"/>
  <c r="V31" i="16" s="1"/>
  <c r="W31" i="16" s="1"/>
  <c r="M31" i="16"/>
  <c r="J31" i="16"/>
  <c r="I31" i="16"/>
  <c r="F31" i="16"/>
  <c r="B31" i="16"/>
  <c r="U30" i="16"/>
  <c r="T30" i="16"/>
  <c r="S30" i="16"/>
  <c r="R30" i="16"/>
  <c r="Q30" i="16"/>
  <c r="B30" i="16" s="1"/>
  <c r="P30" i="16"/>
  <c r="O30" i="16"/>
  <c r="N30" i="16"/>
  <c r="M30" i="16" s="1"/>
  <c r="L30" i="16"/>
  <c r="K30" i="16"/>
  <c r="J30" i="16"/>
  <c r="I30" i="16"/>
  <c r="F30" i="16"/>
  <c r="U29" i="16"/>
  <c r="T29" i="16"/>
  <c r="S29" i="16"/>
  <c r="R29" i="16"/>
  <c r="Q29" i="16"/>
  <c r="P29" i="16"/>
  <c r="O29" i="16"/>
  <c r="N29" i="16"/>
  <c r="V29" i="16" s="1"/>
  <c r="W29" i="16" s="1"/>
  <c r="M29" i="16"/>
  <c r="J29" i="16"/>
  <c r="I29" i="16"/>
  <c r="F29" i="16"/>
  <c r="B29" i="16"/>
  <c r="U28" i="16"/>
  <c r="T28" i="16"/>
  <c r="S28" i="16"/>
  <c r="R28" i="16"/>
  <c r="Q28" i="16"/>
  <c r="B28" i="16" s="1"/>
  <c r="P28" i="16"/>
  <c r="O28" i="16"/>
  <c r="N28" i="16"/>
  <c r="M28" i="16" s="1"/>
  <c r="J28" i="16"/>
  <c r="I28" i="16"/>
  <c r="F28" i="16"/>
  <c r="U27" i="16"/>
  <c r="T27" i="16"/>
  <c r="S27" i="16"/>
  <c r="R27" i="16"/>
  <c r="Q27" i="16"/>
  <c r="O27" i="16"/>
  <c r="N27" i="16"/>
  <c r="M27" i="16" s="1"/>
  <c r="J27" i="16"/>
  <c r="I27" i="16"/>
  <c r="F27" i="16"/>
  <c r="U26" i="16"/>
  <c r="T26" i="16"/>
  <c r="S26" i="16"/>
  <c r="R26" i="16"/>
  <c r="Q26" i="16"/>
  <c r="O26" i="16"/>
  <c r="N26" i="16"/>
  <c r="V26" i="16" s="1"/>
  <c r="W26" i="16" s="1"/>
  <c r="M26" i="16"/>
  <c r="L26" i="16"/>
  <c r="J26" i="16"/>
  <c r="I26" i="16"/>
  <c r="F26" i="16"/>
  <c r="B26" i="16"/>
  <c r="U25" i="16"/>
  <c r="T25" i="16"/>
  <c r="S25" i="16"/>
  <c r="R25" i="16"/>
  <c r="Q25" i="16"/>
  <c r="O25" i="16"/>
  <c r="N25" i="16"/>
  <c r="V25" i="16" s="1"/>
  <c r="W25" i="16" s="1"/>
  <c r="M25" i="16"/>
  <c r="L25" i="16"/>
  <c r="K25" i="16"/>
  <c r="J25" i="16"/>
  <c r="I25" i="16"/>
  <c r="F25" i="16"/>
  <c r="B25" i="16"/>
  <c r="U24" i="16"/>
  <c r="T24" i="16"/>
  <c r="S24" i="16"/>
  <c r="R24" i="16"/>
  <c r="Q24" i="16"/>
  <c r="O24" i="16"/>
  <c r="N24" i="16"/>
  <c r="M24" i="16" s="1"/>
  <c r="L24" i="16"/>
  <c r="K24" i="16"/>
  <c r="J24" i="16"/>
  <c r="I24" i="16"/>
  <c r="F24" i="16"/>
  <c r="U23" i="16"/>
  <c r="T23" i="16"/>
  <c r="S23" i="16"/>
  <c r="R23" i="16"/>
  <c r="Q23" i="16"/>
  <c r="B23" i="16" s="1"/>
  <c r="O23" i="16"/>
  <c r="P23" i="16" s="1"/>
  <c r="N23" i="16"/>
  <c r="M23" i="16" s="1"/>
  <c r="L23" i="16"/>
  <c r="K23" i="16"/>
  <c r="J23" i="16"/>
  <c r="I23" i="16"/>
  <c r="F23" i="16"/>
  <c r="U22" i="16"/>
  <c r="T22" i="16"/>
  <c r="S22" i="16"/>
  <c r="R22" i="16"/>
  <c r="Q22" i="16"/>
  <c r="B22" i="16" s="1"/>
  <c r="P22" i="16"/>
  <c r="O22" i="16"/>
  <c r="N22" i="16"/>
  <c r="V22" i="16" s="1"/>
  <c r="W22" i="16" s="1"/>
  <c r="M22" i="16"/>
  <c r="L22" i="16"/>
  <c r="K22" i="16"/>
  <c r="J22" i="16"/>
  <c r="I22" i="16"/>
  <c r="F22" i="16"/>
  <c r="U21" i="16"/>
  <c r="T21" i="16"/>
  <c r="S21" i="16"/>
  <c r="R21" i="16"/>
  <c r="Q21" i="16"/>
  <c r="B21" i="16" s="1"/>
  <c r="P21" i="16"/>
  <c r="O21" i="16"/>
  <c r="N21" i="16"/>
  <c r="V21" i="16" s="1"/>
  <c r="W21" i="16" s="1"/>
  <c r="L21" i="16"/>
  <c r="K21" i="16"/>
  <c r="J21" i="16"/>
  <c r="I21" i="16"/>
  <c r="F21" i="16"/>
  <c r="U20" i="16"/>
  <c r="T20" i="16"/>
  <c r="S20" i="16"/>
  <c r="R20" i="16"/>
  <c r="Q20" i="16"/>
  <c r="B20" i="16" s="1"/>
  <c r="O20" i="16"/>
  <c r="N20" i="16"/>
  <c r="P20" i="16" s="1"/>
  <c r="M20" i="16"/>
  <c r="L20" i="16"/>
  <c r="K20" i="16"/>
  <c r="J20" i="16"/>
  <c r="I20" i="16"/>
  <c r="F20" i="16"/>
  <c r="U19" i="16"/>
  <c r="T19" i="16"/>
  <c r="S19" i="16"/>
  <c r="R19" i="16"/>
  <c r="Q19" i="16"/>
  <c r="O19" i="16"/>
  <c r="N19" i="16"/>
  <c r="L19" i="16"/>
  <c r="J19" i="16"/>
  <c r="I19" i="16"/>
  <c r="F19" i="16"/>
  <c r="V18" i="16"/>
  <c r="W18" i="16" s="1"/>
  <c r="U18" i="16"/>
  <c r="T18" i="16"/>
  <c r="S18" i="16"/>
  <c r="R18" i="16"/>
  <c r="Q18" i="16"/>
  <c r="O18" i="16"/>
  <c r="N18" i="16"/>
  <c r="M18" i="16"/>
  <c r="J18" i="16"/>
  <c r="I18" i="16"/>
  <c r="F18" i="16"/>
  <c r="U17" i="16"/>
  <c r="T17" i="16"/>
  <c r="S17" i="16"/>
  <c r="R17" i="16"/>
  <c r="Q17" i="16"/>
  <c r="B17" i="16" s="1"/>
  <c r="O17" i="16"/>
  <c r="N17" i="16"/>
  <c r="P17" i="16" s="1"/>
  <c r="M17" i="16"/>
  <c r="L17" i="16"/>
  <c r="K17" i="16"/>
  <c r="J17" i="16"/>
  <c r="I17" i="16"/>
  <c r="F17" i="16"/>
  <c r="U16" i="16"/>
  <c r="T16" i="16"/>
  <c r="S16" i="16"/>
  <c r="R16" i="16"/>
  <c r="Q16" i="16"/>
  <c r="O16" i="16"/>
  <c r="N16" i="16"/>
  <c r="V16" i="16" s="1"/>
  <c r="W16" i="16" s="1"/>
  <c r="M16" i="16"/>
  <c r="J16" i="16"/>
  <c r="I16" i="16"/>
  <c r="F16" i="16"/>
  <c r="U15" i="16"/>
  <c r="T15" i="16"/>
  <c r="S15" i="16"/>
  <c r="R15" i="16"/>
  <c r="Q15" i="16"/>
  <c r="B15" i="16" s="1"/>
  <c r="O15" i="16"/>
  <c r="N15" i="16"/>
  <c r="P15" i="16" s="1"/>
  <c r="M15" i="16"/>
  <c r="L15" i="16"/>
  <c r="K15" i="16"/>
  <c r="J15" i="16"/>
  <c r="I15" i="16"/>
  <c r="F15" i="16"/>
  <c r="U14" i="16"/>
  <c r="T14" i="16"/>
  <c r="S14" i="16"/>
  <c r="R14" i="16"/>
  <c r="Q14" i="16"/>
  <c r="O14" i="16"/>
  <c r="N14" i="16"/>
  <c r="V14" i="16" s="1"/>
  <c r="W14" i="16" s="1"/>
  <c r="K14" i="16"/>
  <c r="J14" i="16"/>
  <c r="I14" i="16"/>
  <c r="F14" i="16"/>
  <c r="U13" i="16"/>
  <c r="T13" i="16"/>
  <c r="S13" i="16"/>
  <c r="R13" i="16"/>
  <c r="Q13" i="16"/>
  <c r="O13" i="16"/>
  <c r="N13" i="16"/>
  <c r="V13" i="16" s="1"/>
  <c r="W13" i="16" s="1"/>
  <c r="J13" i="16"/>
  <c r="I13" i="16"/>
  <c r="F13" i="16"/>
  <c r="U12" i="16"/>
  <c r="T12" i="16"/>
  <c r="S12" i="16"/>
  <c r="R12" i="16"/>
  <c r="Q12" i="16"/>
  <c r="B12" i="16" s="1"/>
  <c r="O12" i="16"/>
  <c r="N12" i="16"/>
  <c r="P12" i="16" s="1"/>
  <c r="M12" i="16"/>
  <c r="K12" i="16"/>
  <c r="J12" i="16"/>
  <c r="I12" i="16"/>
  <c r="F12" i="16"/>
  <c r="U11" i="16"/>
  <c r="T11" i="16"/>
  <c r="S11" i="16"/>
  <c r="R11" i="16"/>
  <c r="Q11" i="16"/>
  <c r="O11" i="16"/>
  <c r="N11" i="16"/>
  <c r="P11" i="16" s="1"/>
  <c r="M11" i="16"/>
  <c r="J11" i="16"/>
  <c r="I11" i="16"/>
  <c r="F11" i="16"/>
  <c r="B11" i="16"/>
  <c r="U10" i="16"/>
  <c r="T10" i="16"/>
  <c r="S10" i="16"/>
  <c r="R10" i="16"/>
  <c r="Q10" i="16"/>
  <c r="B10" i="16" s="1"/>
  <c r="P10" i="16"/>
  <c r="O10" i="16"/>
  <c r="N10" i="16"/>
  <c r="V10" i="16" s="1"/>
  <c r="W10" i="16" s="1"/>
  <c r="L10" i="16"/>
  <c r="K10" i="16"/>
  <c r="J10" i="16"/>
  <c r="I10" i="16"/>
  <c r="F10" i="16"/>
  <c r="U9" i="16"/>
  <c r="T9" i="16"/>
  <c r="S9" i="16"/>
  <c r="R9" i="16"/>
  <c r="Q9" i="16"/>
  <c r="B9" i="16" s="1"/>
  <c r="O9" i="16"/>
  <c r="N9" i="16"/>
  <c r="P9" i="16" s="1"/>
  <c r="M9" i="16"/>
  <c r="L9" i="16"/>
  <c r="K9" i="16"/>
  <c r="J9" i="16"/>
  <c r="I9" i="16"/>
  <c r="F9" i="16"/>
  <c r="V8" i="16"/>
  <c r="W8" i="16" s="1"/>
  <c r="U8" i="16"/>
  <c r="T8" i="16"/>
  <c r="S8" i="16"/>
  <c r="R8" i="16"/>
  <c r="Q8" i="16"/>
  <c r="O8" i="16"/>
  <c r="N8" i="16"/>
  <c r="M8" i="16"/>
  <c r="J8" i="16"/>
  <c r="I8" i="16"/>
  <c r="F8" i="16"/>
  <c r="U7" i="16"/>
  <c r="T7" i="16"/>
  <c r="S7" i="16"/>
  <c r="R7" i="16"/>
  <c r="Q7" i="16"/>
  <c r="B7" i="16" s="1"/>
  <c r="O7" i="16"/>
  <c r="N7" i="16"/>
  <c r="P7" i="16" s="1"/>
  <c r="M7" i="16"/>
  <c r="L7" i="16"/>
  <c r="K7" i="16"/>
  <c r="J7" i="16"/>
  <c r="I7" i="16"/>
  <c r="F7" i="16"/>
  <c r="K3" i="16"/>
  <c r="X307" i="15"/>
  <c r="U307" i="15"/>
  <c r="T307" i="15"/>
  <c r="S307" i="15"/>
  <c r="R307" i="15"/>
  <c r="Q307" i="15"/>
  <c r="O307" i="15"/>
  <c r="N307" i="15"/>
  <c r="P307" i="15" s="1"/>
  <c r="L307" i="15"/>
  <c r="K307" i="15"/>
  <c r="J307" i="15"/>
  <c r="I307" i="15"/>
  <c r="F307" i="15"/>
  <c r="X306" i="15"/>
  <c r="U306" i="15"/>
  <c r="T306" i="15"/>
  <c r="S306" i="15"/>
  <c r="R306" i="15"/>
  <c r="Q306" i="15"/>
  <c r="O306" i="15"/>
  <c r="P306" i="15" s="1"/>
  <c r="N306" i="15"/>
  <c r="M306" i="15" s="1"/>
  <c r="L306" i="15"/>
  <c r="K306" i="15"/>
  <c r="J306" i="15"/>
  <c r="I306" i="15"/>
  <c r="F306" i="15"/>
  <c r="B306" i="15"/>
  <c r="X305" i="15"/>
  <c r="U305" i="15"/>
  <c r="T305" i="15"/>
  <c r="S305" i="15"/>
  <c r="R305" i="15"/>
  <c r="Q305" i="15"/>
  <c r="B305" i="15" s="1"/>
  <c r="P305" i="15"/>
  <c r="O305" i="15"/>
  <c r="N305" i="15"/>
  <c r="V305" i="15" s="1"/>
  <c r="L305" i="15"/>
  <c r="K305" i="15"/>
  <c r="J305" i="15"/>
  <c r="I305" i="15"/>
  <c r="F305" i="15"/>
  <c r="X304" i="15"/>
  <c r="V304" i="15"/>
  <c r="U304" i="15"/>
  <c r="T304" i="15"/>
  <c r="S304" i="15"/>
  <c r="R304" i="15"/>
  <c r="Q304" i="15"/>
  <c r="O304" i="15"/>
  <c r="N304" i="15"/>
  <c r="M304" i="15"/>
  <c r="L304" i="15"/>
  <c r="K304" i="15"/>
  <c r="F304" i="15"/>
  <c r="X303" i="15"/>
  <c r="V303" i="15"/>
  <c r="U303" i="15"/>
  <c r="T303" i="15"/>
  <c r="S303" i="15"/>
  <c r="R303" i="15"/>
  <c r="W303" i="15" s="1"/>
  <c r="Q303" i="15"/>
  <c r="O303" i="15"/>
  <c r="N303" i="15"/>
  <c r="M303" i="15"/>
  <c r="L303" i="15"/>
  <c r="K303" i="15"/>
  <c r="F303" i="15"/>
  <c r="X302" i="15"/>
  <c r="U302" i="15"/>
  <c r="T302" i="15"/>
  <c r="S302" i="15"/>
  <c r="R302" i="15"/>
  <c r="Q302" i="15"/>
  <c r="O302" i="15"/>
  <c r="N302" i="15"/>
  <c r="V302" i="15" s="1"/>
  <c r="L302" i="15"/>
  <c r="K302" i="15"/>
  <c r="J302" i="15"/>
  <c r="I302" i="15"/>
  <c r="F302" i="15"/>
  <c r="X301" i="15"/>
  <c r="U301" i="15"/>
  <c r="T301" i="15"/>
  <c r="S301" i="15"/>
  <c r="R301" i="15"/>
  <c r="Q301" i="15"/>
  <c r="O301" i="15"/>
  <c r="P301" i="15" s="1"/>
  <c r="N301" i="15"/>
  <c r="M301" i="15" s="1"/>
  <c r="L301" i="15"/>
  <c r="K301" i="15"/>
  <c r="J301" i="15"/>
  <c r="I301" i="15"/>
  <c r="F301" i="15"/>
  <c r="B301" i="15"/>
  <c r="X300" i="15"/>
  <c r="U300" i="15"/>
  <c r="T300" i="15"/>
  <c r="S300" i="15"/>
  <c r="R300" i="15"/>
  <c r="Q300" i="15"/>
  <c r="P300" i="15"/>
  <c r="O300" i="15"/>
  <c r="N300" i="15"/>
  <c r="M300" i="15" s="1"/>
  <c r="L300" i="15"/>
  <c r="K300" i="15"/>
  <c r="J300" i="15"/>
  <c r="I300" i="15"/>
  <c r="F300" i="15"/>
  <c r="B300" i="15"/>
  <c r="X299" i="15"/>
  <c r="U299" i="15"/>
  <c r="T299" i="15"/>
  <c r="S299" i="15"/>
  <c r="R299" i="15"/>
  <c r="W299" i="15" s="1"/>
  <c r="Q299" i="15"/>
  <c r="B299" i="15" s="1"/>
  <c r="P299" i="15"/>
  <c r="O299" i="15"/>
  <c r="N299" i="15"/>
  <c r="V299" i="15" s="1"/>
  <c r="L299" i="15"/>
  <c r="K299" i="15"/>
  <c r="J299" i="15"/>
  <c r="I299" i="15"/>
  <c r="F299" i="15"/>
  <c r="X298" i="15"/>
  <c r="V298" i="15"/>
  <c r="U298" i="15"/>
  <c r="T298" i="15"/>
  <c r="S298" i="15"/>
  <c r="R298" i="15"/>
  <c r="Q298" i="15"/>
  <c r="O298" i="15"/>
  <c r="N298" i="15"/>
  <c r="M298" i="15"/>
  <c r="L298" i="15"/>
  <c r="K298" i="15"/>
  <c r="J298" i="15"/>
  <c r="I298" i="15"/>
  <c r="F298" i="15"/>
  <c r="X297" i="15"/>
  <c r="U297" i="15"/>
  <c r="T297" i="15"/>
  <c r="S297" i="15"/>
  <c r="R297" i="15"/>
  <c r="Q297" i="15"/>
  <c r="O297" i="15"/>
  <c r="N297" i="15"/>
  <c r="P297" i="15" s="1"/>
  <c r="L297" i="15"/>
  <c r="K297" i="15"/>
  <c r="J297" i="15"/>
  <c r="I297" i="15"/>
  <c r="F297" i="15"/>
  <c r="X296" i="15"/>
  <c r="U296" i="15"/>
  <c r="T296" i="15"/>
  <c r="S296" i="15"/>
  <c r="R296" i="15"/>
  <c r="Q296" i="15"/>
  <c r="B296" i="15" s="1"/>
  <c r="O296" i="15"/>
  <c r="P296" i="15" s="1"/>
  <c r="N296" i="15"/>
  <c r="M296" i="15" s="1"/>
  <c r="L296" i="15"/>
  <c r="K296" i="15"/>
  <c r="J296" i="15"/>
  <c r="I296" i="15"/>
  <c r="F296" i="15"/>
  <c r="X295" i="15"/>
  <c r="U295" i="15"/>
  <c r="T295" i="15"/>
  <c r="S295" i="15"/>
  <c r="R295" i="15"/>
  <c r="Q295" i="15"/>
  <c r="B295" i="15" s="1"/>
  <c r="P295" i="15"/>
  <c r="O295" i="15"/>
  <c r="N295" i="15"/>
  <c r="V295" i="15" s="1"/>
  <c r="L295" i="15"/>
  <c r="K295" i="15"/>
  <c r="J295" i="15"/>
  <c r="I295" i="15"/>
  <c r="F295" i="15"/>
  <c r="X294" i="15"/>
  <c r="U294" i="15"/>
  <c r="T294" i="15"/>
  <c r="S294" i="15"/>
  <c r="R294" i="15"/>
  <c r="Q294" i="15"/>
  <c r="O294" i="15"/>
  <c r="N294" i="15"/>
  <c r="V294" i="15" s="1"/>
  <c r="L294" i="15"/>
  <c r="K294" i="15"/>
  <c r="J294" i="15"/>
  <c r="I294" i="15"/>
  <c r="F294" i="15"/>
  <c r="X293" i="15"/>
  <c r="U293" i="15"/>
  <c r="T293" i="15"/>
  <c r="S293" i="15"/>
  <c r="R293" i="15"/>
  <c r="Q293" i="15"/>
  <c r="P293" i="15"/>
  <c r="O293" i="15"/>
  <c r="N293" i="15"/>
  <c r="V293" i="15" s="1"/>
  <c r="W293" i="15" s="1"/>
  <c r="M293" i="15"/>
  <c r="L293" i="15"/>
  <c r="K293" i="15"/>
  <c r="J293" i="15"/>
  <c r="I293" i="15"/>
  <c r="F293" i="15"/>
  <c r="B293" i="15"/>
  <c r="X292" i="15"/>
  <c r="U292" i="15"/>
  <c r="T292" i="15"/>
  <c r="S292" i="15"/>
  <c r="R292" i="15"/>
  <c r="Q292" i="15"/>
  <c r="B292" i="15" s="1"/>
  <c r="O292" i="15"/>
  <c r="P292" i="15" s="1"/>
  <c r="N292" i="15"/>
  <c r="M292" i="15" s="1"/>
  <c r="L292" i="15"/>
  <c r="K292" i="15"/>
  <c r="J292" i="15"/>
  <c r="I292" i="15"/>
  <c r="F292" i="15"/>
  <c r="X291" i="15"/>
  <c r="U291" i="15"/>
  <c r="T291" i="15"/>
  <c r="S291" i="15"/>
  <c r="R291" i="15"/>
  <c r="Q291" i="15"/>
  <c r="B291" i="15" s="1"/>
  <c r="P291" i="15"/>
  <c r="O291" i="15"/>
  <c r="N291" i="15"/>
  <c r="V291" i="15" s="1"/>
  <c r="L291" i="15"/>
  <c r="K291" i="15"/>
  <c r="J291" i="15"/>
  <c r="I291" i="15"/>
  <c r="F291" i="15"/>
  <c r="X290" i="15"/>
  <c r="U290" i="15"/>
  <c r="T290" i="15"/>
  <c r="S290" i="15"/>
  <c r="R290" i="15"/>
  <c r="Q290" i="15"/>
  <c r="O290" i="15"/>
  <c r="N290" i="15"/>
  <c r="V290" i="15" s="1"/>
  <c r="L290" i="15"/>
  <c r="K290" i="15"/>
  <c r="J290" i="15"/>
  <c r="I290" i="15"/>
  <c r="F290" i="15"/>
  <c r="X289" i="15"/>
  <c r="U289" i="15"/>
  <c r="T289" i="15"/>
  <c r="S289" i="15"/>
  <c r="R289" i="15"/>
  <c r="Q289" i="15"/>
  <c r="O289" i="15"/>
  <c r="N289" i="15"/>
  <c r="P289" i="15" s="1"/>
  <c r="M289" i="15"/>
  <c r="L289" i="15"/>
  <c r="K289" i="15"/>
  <c r="J289" i="15"/>
  <c r="I289" i="15"/>
  <c r="F289" i="15"/>
  <c r="B289" i="15"/>
  <c r="X288" i="15"/>
  <c r="U288" i="15"/>
  <c r="T288" i="15"/>
  <c r="S288" i="15"/>
  <c r="R288" i="15"/>
  <c r="Q288" i="15"/>
  <c r="P288" i="15"/>
  <c r="O288" i="15"/>
  <c r="N288" i="15"/>
  <c r="M288" i="15" s="1"/>
  <c r="L288" i="15"/>
  <c r="K288" i="15"/>
  <c r="J288" i="15"/>
  <c r="I288" i="15"/>
  <c r="F288" i="15"/>
  <c r="B288" i="15"/>
  <c r="X287" i="15"/>
  <c r="U287" i="15"/>
  <c r="T287" i="15"/>
  <c r="S287" i="15"/>
  <c r="R287" i="15"/>
  <c r="Q287" i="15"/>
  <c r="B287" i="15" s="1"/>
  <c r="P287" i="15"/>
  <c r="O287" i="15"/>
  <c r="N287" i="15"/>
  <c r="V287" i="15" s="1"/>
  <c r="L287" i="15"/>
  <c r="K287" i="15"/>
  <c r="J287" i="15"/>
  <c r="I287" i="15"/>
  <c r="F287" i="15"/>
  <c r="X286" i="15"/>
  <c r="V286" i="15"/>
  <c r="U286" i="15"/>
  <c r="T286" i="15"/>
  <c r="S286" i="15"/>
  <c r="R286" i="15"/>
  <c r="Q286" i="15"/>
  <c r="O286" i="15"/>
  <c r="N286" i="15"/>
  <c r="M286" i="15"/>
  <c r="L286" i="15"/>
  <c r="K286" i="15"/>
  <c r="J286" i="15"/>
  <c r="I286" i="15"/>
  <c r="F286" i="15"/>
  <c r="X285" i="15"/>
  <c r="U285" i="15"/>
  <c r="T285" i="15"/>
  <c r="S285" i="15"/>
  <c r="R285" i="15"/>
  <c r="Q285" i="15"/>
  <c r="O285" i="15"/>
  <c r="N285" i="15"/>
  <c r="P285" i="15" s="1"/>
  <c r="M285" i="15"/>
  <c r="L285" i="15"/>
  <c r="K285" i="15"/>
  <c r="J285" i="15"/>
  <c r="I285" i="15"/>
  <c r="F285" i="15"/>
  <c r="X284" i="15"/>
  <c r="U284" i="15"/>
  <c r="T284" i="15"/>
  <c r="S284" i="15"/>
  <c r="R284" i="15"/>
  <c r="Q284" i="15"/>
  <c r="O284" i="15"/>
  <c r="N284" i="15"/>
  <c r="M284" i="15" s="1"/>
  <c r="L284" i="15"/>
  <c r="K284" i="15"/>
  <c r="J284" i="15"/>
  <c r="I284" i="15"/>
  <c r="F284" i="15"/>
  <c r="X283" i="15"/>
  <c r="U283" i="15"/>
  <c r="T283" i="15"/>
  <c r="S283" i="15"/>
  <c r="R283" i="15"/>
  <c r="Q283" i="15"/>
  <c r="P283" i="15"/>
  <c r="O283" i="15"/>
  <c r="N283" i="15"/>
  <c r="V283" i="15" s="1"/>
  <c r="L283" i="15"/>
  <c r="K283" i="15"/>
  <c r="I283" i="15"/>
  <c r="F283" i="15"/>
  <c r="B283" i="15"/>
  <c r="X282" i="15"/>
  <c r="U282" i="15"/>
  <c r="T282" i="15"/>
  <c r="S282" i="15"/>
  <c r="R282" i="15"/>
  <c r="Q282" i="15"/>
  <c r="B282" i="15" s="1"/>
  <c r="O282" i="15"/>
  <c r="N282" i="15"/>
  <c r="P282" i="15" s="1"/>
  <c r="M282" i="15"/>
  <c r="L282" i="15"/>
  <c r="K282" i="15"/>
  <c r="I282" i="15"/>
  <c r="F282" i="15"/>
  <c r="X281" i="15"/>
  <c r="U281" i="15"/>
  <c r="T281" i="15"/>
  <c r="S281" i="15"/>
  <c r="R281" i="15"/>
  <c r="Q281" i="15"/>
  <c r="O281" i="15"/>
  <c r="N281" i="15"/>
  <c r="L281" i="15"/>
  <c r="K281" i="15"/>
  <c r="I281" i="15"/>
  <c r="F281" i="15"/>
  <c r="X280" i="15"/>
  <c r="U280" i="15"/>
  <c r="T280" i="15"/>
  <c r="S280" i="15"/>
  <c r="R280" i="15"/>
  <c r="Q280" i="15"/>
  <c r="O280" i="15"/>
  <c r="N280" i="15"/>
  <c r="P280" i="15" s="1"/>
  <c r="L280" i="15"/>
  <c r="K280" i="15"/>
  <c r="I280" i="15"/>
  <c r="F280" i="15"/>
  <c r="X279" i="15"/>
  <c r="U279" i="15"/>
  <c r="T279" i="15"/>
  <c r="S279" i="15"/>
  <c r="R279" i="15"/>
  <c r="Q279" i="15"/>
  <c r="O279" i="15"/>
  <c r="N279" i="15"/>
  <c r="P279" i="15" s="1"/>
  <c r="L279" i="15"/>
  <c r="K279" i="15"/>
  <c r="I279" i="15"/>
  <c r="F279" i="15"/>
  <c r="X278" i="15"/>
  <c r="U278" i="15"/>
  <c r="T278" i="15"/>
  <c r="S278" i="15"/>
  <c r="R278" i="15"/>
  <c r="Q278" i="15"/>
  <c r="O278" i="15"/>
  <c r="P278" i="15" s="1"/>
  <c r="N278" i="15"/>
  <c r="M278" i="15" s="1"/>
  <c r="L278" i="15"/>
  <c r="K278" i="15"/>
  <c r="I278" i="15"/>
  <c r="F278" i="15"/>
  <c r="B278" i="15"/>
  <c r="X277" i="15"/>
  <c r="U277" i="15"/>
  <c r="T277" i="15"/>
  <c r="S277" i="15"/>
  <c r="R277" i="15"/>
  <c r="Q277" i="15"/>
  <c r="P277" i="15"/>
  <c r="O277" i="15"/>
  <c r="N277" i="15"/>
  <c r="M277" i="15" s="1"/>
  <c r="L277" i="15"/>
  <c r="K277" i="15"/>
  <c r="I277" i="15"/>
  <c r="F277" i="15"/>
  <c r="B277" i="15"/>
  <c r="X276" i="15"/>
  <c r="U276" i="15"/>
  <c r="T276" i="15"/>
  <c r="S276" i="15"/>
  <c r="R276" i="15"/>
  <c r="W276" i="15" s="1"/>
  <c r="Q276" i="15"/>
  <c r="B276" i="15" s="1"/>
  <c r="O276" i="15"/>
  <c r="P276" i="15" s="1"/>
  <c r="N276" i="15"/>
  <c r="V276" i="15" s="1"/>
  <c r="M276" i="15"/>
  <c r="L276" i="15"/>
  <c r="K276" i="15"/>
  <c r="I276" i="15"/>
  <c r="F276" i="15"/>
  <c r="X275" i="15"/>
  <c r="U275" i="15"/>
  <c r="T275" i="15"/>
  <c r="S275" i="15"/>
  <c r="R275" i="15"/>
  <c r="Q275" i="15"/>
  <c r="P275" i="15"/>
  <c r="O275" i="15"/>
  <c r="N275" i="15"/>
  <c r="M275" i="15" s="1"/>
  <c r="L275" i="15"/>
  <c r="K275" i="15"/>
  <c r="I275" i="15"/>
  <c r="F275" i="15"/>
  <c r="B275" i="15"/>
  <c r="X274" i="15"/>
  <c r="U274" i="15"/>
  <c r="T274" i="15"/>
  <c r="S274" i="15"/>
  <c r="R274" i="15"/>
  <c r="Q274" i="15"/>
  <c r="B274" i="15" s="1"/>
  <c r="O274" i="15"/>
  <c r="N274" i="15"/>
  <c r="M274" i="15"/>
  <c r="L274" i="15"/>
  <c r="K274" i="15"/>
  <c r="I274" i="15"/>
  <c r="F274" i="15"/>
  <c r="X273" i="15"/>
  <c r="U273" i="15"/>
  <c r="T273" i="15"/>
  <c r="S273" i="15"/>
  <c r="R273" i="15"/>
  <c r="Q273" i="15"/>
  <c r="O273" i="15"/>
  <c r="N273" i="15"/>
  <c r="P273" i="15" s="1"/>
  <c r="L273" i="15"/>
  <c r="K273" i="15"/>
  <c r="I273" i="15"/>
  <c r="F273" i="15"/>
  <c r="X272" i="15"/>
  <c r="U272" i="15"/>
  <c r="T272" i="15"/>
  <c r="S272" i="15"/>
  <c r="R272" i="15"/>
  <c r="Q272" i="15"/>
  <c r="O272" i="15"/>
  <c r="N272" i="15"/>
  <c r="P272" i="15" s="1"/>
  <c r="L272" i="15"/>
  <c r="K272" i="15"/>
  <c r="I272" i="15"/>
  <c r="F272" i="15"/>
  <c r="X271" i="15"/>
  <c r="U271" i="15"/>
  <c r="T271" i="15"/>
  <c r="S271" i="15"/>
  <c r="R271" i="15"/>
  <c r="Q271" i="15"/>
  <c r="O271" i="15"/>
  <c r="N271" i="15"/>
  <c r="P271" i="15" s="1"/>
  <c r="L271" i="15"/>
  <c r="K271" i="15"/>
  <c r="I271" i="15"/>
  <c r="F271" i="15"/>
  <c r="X270" i="15"/>
  <c r="U270" i="15"/>
  <c r="T270" i="15"/>
  <c r="S270" i="15"/>
  <c r="R270" i="15"/>
  <c r="Q270" i="15"/>
  <c r="O270" i="15"/>
  <c r="P270" i="15" s="1"/>
  <c r="N270" i="15"/>
  <c r="V270" i="15" s="1"/>
  <c r="W270" i="15" s="1"/>
  <c r="M270" i="15"/>
  <c r="L270" i="15"/>
  <c r="K270" i="15"/>
  <c r="I270" i="15"/>
  <c r="F270" i="15"/>
  <c r="B270" i="15"/>
  <c r="X269" i="15"/>
  <c r="U269" i="15"/>
  <c r="T269" i="15"/>
  <c r="S269" i="15"/>
  <c r="R269" i="15"/>
  <c r="Q269" i="15"/>
  <c r="O269" i="15"/>
  <c r="N269" i="15"/>
  <c r="M269" i="15" s="1"/>
  <c r="L269" i="15"/>
  <c r="K269" i="15"/>
  <c r="I269" i="15"/>
  <c r="F269" i="15"/>
  <c r="X268" i="15"/>
  <c r="U268" i="15"/>
  <c r="T268" i="15"/>
  <c r="S268" i="15"/>
  <c r="R268" i="15"/>
  <c r="Q268" i="15"/>
  <c r="O268" i="15"/>
  <c r="P268" i="15" s="1"/>
  <c r="N268" i="15"/>
  <c r="V268" i="15" s="1"/>
  <c r="W268" i="15" s="1"/>
  <c r="M268" i="15"/>
  <c r="L268" i="15"/>
  <c r="K268" i="15"/>
  <c r="I268" i="15"/>
  <c r="F268" i="15"/>
  <c r="B268" i="15"/>
  <c r="X267" i="15"/>
  <c r="U267" i="15"/>
  <c r="T267" i="15"/>
  <c r="S267" i="15"/>
  <c r="R267" i="15"/>
  <c r="Q267" i="15"/>
  <c r="P267" i="15"/>
  <c r="O267" i="15"/>
  <c r="N267" i="15"/>
  <c r="M267" i="15" s="1"/>
  <c r="L267" i="15"/>
  <c r="K267" i="15"/>
  <c r="I267" i="15"/>
  <c r="F267" i="15"/>
  <c r="X266" i="15"/>
  <c r="U266" i="15"/>
  <c r="T266" i="15"/>
  <c r="S266" i="15"/>
  <c r="R266" i="15"/>
  <c r="Q266" i="15"/>
  <c r="O266" i="15"/>
  <c r="N266" i="15"/>
  <c r="P266" i="15" s="1"/>
  <c r="L266" i="15"/>
  <c r="K266" i="15"/>
  <c r="I266" i="15"/>
  <c r="F266" i="15"/>
  <c r="X265" i="15"/>
  <c r="U265" i="15"/>
  <c r="T265" i="15"/>
  <c r="S265" i="15"/>
  <c r="R265" i="15"/>
  <c r="Q265" i="15"/>
  <c r="O265" i="15"/>
  <c r="N265" i="15"/>
  <c r="P265" i="15" s="1"/>
  <c r="L265" i="15"/>
  <c r="K265" i="15"/>
  <c r="I265" i="15"/>
  <c r="F265" i="15"/>
  <c r="X264" i="15"/>
  <c r="U264" i="15"/>
  <c r="T264" i="15"/>
  <c r="S264" i="15"/>
  <c r="R264" i="15"/>
  <c r="Q264" i="15"/>
  <c r="O264" i="15"/>
  <c r="P264" i="15" s="1"/>
  <c r="N264" i="15"/>
  <c r="V264" i="15" s="1"/>
  <c r="W264" i="15" s="1"/>
  <c r="M264" i="15"/>
  <c r="L264" i="15"/>
  <c r="K264" i="15"/>
  <c r="I264" i="15"/>
  <c r="F264" i="15"/>
  <c r="B264" i="15"/>
  <c r="X263" i="15"/>
  <c r="U263" i="15"/>
  <c r="T263" i="15"/>
  <c r="S263" i="15"/>
  <c r="R263" i="15"/>
  <c r="Q263" i="15"/>
  <c r="O263" i="15"/>
  <c r="N263" i="15"/>
  <c r="P263" i="15" s="1"/>
  <c r="L263" i="15"/>
  <c r="K263" i="15"/>
  <c r="I263" i="15"/>
  <c r="F263" i="15"/>
  <c r="X262" i="15"/>
  <c r="U262" i="15"/>
  <c r="T262" i="15"/>
  <c r="S262" i="15"/>
  <c r="R262" i="15"/>
  <c r="Q262" i="15"/>
  <c r="B262" i="15" s="1"/>
  <c r="O262" i="15"/>
  <c r="P262" i="15" s="1"/>
  <c r="N262" i="15"/>
  <c r="M262" i="15" s="1"/>
  <c r="L262" i="15"/>
  <c r="K262" i="15"/>
  <c r="I262" i="15"/>
  <c r="F262" i="15"/>
  <c r="X261" i="15"/>
  <c r="U261" i="15"/>
  <c r="T261" i="15"/>
  <c r="S261" i="15"/>
  <c r="R261" i="15"/>
  <c r="W261" i="15" s="1"/>
  <c r="Q261" i="15"/>
  <c r="P261" i="15"/>
  <c r="O261" i="15"/>
  <c r="N261" i="15"/>
  <c r="V261" i="15" s="1"/>
  <c r="L261" i="15"/>
  <c r="K261" i="15"/>
  <c r="I261" i="15"/>
  <c r="F261" i="15"/>
  <c r="B261" i="15"/>
  <c r="X260" i="15"/>
  <c r="U260" i="15"/>
  <c r="T260" i="15"/>
  <c r="S260" i="15"/>
  <c r="R260" i="15"/>
  <c r="W260" i="15" s="1"/>
  <c r="Q260" i="15"/>
  <c r="B260" i="15" s="1"/>
  <c r="P260" i="15"/>
  <c r="O260" i="15"/>
  <c r="N260" i="15"/>
  <c r="V260" i="15" s="1"/>
  <c r="M260" i="15"/>
  <c r="L260" i="15"/>
  <c r="K260" i="15"/>
  <c r="I260" i="15"/>
  <c r="F260" i="15"/>
  <c r="X259" i="15"/>
  <c r="U259" i="15"/>
  <c r="T259" i="15"/>
  <c r="S259" i="15"/>
  <c r="R259" i="15"/>
  <c r="Q259" i="15"/>
  <c r="B259" i="15" s="1"/>
  <c r="O259" i="15"/>
  <c r="N259" i="15"/>
  <c r="P259" i="15" s="1"/>
  <c r="M259" i="15"/>
  <c r="L259" i="15"/>
  <c r="K259" i="15"/>
  <c r="I259" i="15"/>
  <c r="F259" i="15"/>
  <c r="X258" i="15"/>
  <c r="U258" i="15"/>
  <c r="T258" i="15"/>
  <c r="S258" i="15"/>
  <c r="R258" i="15"/>
  <c r="Q258" i="15"/>
  <c r="O258" i="15"/>
  <c r="N258" i="15"/>
  <c r="P258" i="15" s="1"/>
  <c r="M258" i="15"/>
  <c r="L258" i="15"/>
  <c r="K258" i="15"/>
  <c r="I258" i="15"/>
  <c r="F258" i="15"/>
  <c r="X257" i="15"/>
  <c r="U257" i="15"/>
  <c r="T257" i="15"/>
  <c r="S257" i="15"/>
  <c r="R257" i="15"/>
  <c r="Q257" i="15"/>
  <c r="O257" i="15"/>
  <c r="N257" i="15"/>
  <c r="P257" i="15" s="1"/>
  <c r="L257" i="15"/>
  <c r="K257" i="15"/>
  <c r="I257" i="15"/>
  <c r="F257" i="15"/>
  <c r="X256" i="15"/>
  <c r="U256" i="15"/>
  <c r="T256" i="15"/>
  <c r="S256" i="15"/>
  <c r="R256" i="15"/>
  <c r="Q256" i="15"/>
  <c r="O256" i="15"/>
  <c r="P256" i="15" s="1"/>
  <c r="N256" i="15"/>
  <c r="V256" i="15" s="1"/>
  <c r="W256" i="15" s="1"/>
  <c r="M256" i="15"/>
  <c r="L256" i="15"/>
  <c r="K256" i="15"/>
  <c r="I256" i="15"/>
  <c r="F256" i="15"/>
  <c r="B256" i="15"/>
  <c r="X255" i="15"/>
  <c r="U255" i="15"/>
  <c r="T255" i="15"/>
  <c r="S255" i="15"/>
  <c r="R255" i="15"/>
  <c r="Q255" i="15"/>
  <c r="O255" i="15"/>
  <c r="N255" i="15"/>
  <c r="P255" i="15" s="1"/>
  <c r="L255" i="15"/>
  <c r="K255" i="15"/>
  <c r="I255" i="15"/>
  <c r="F255" i="15"/>
  <c r="X254" i="15"/>
  <c r="U254" i="15"/>
  <c r="T254" i="15"/>
  <c r="S254" i="15"/>
  <c r="R254" i="15"/>
  <c r="Q254" i="15"/>
  <c r="B254" i="15" s="1"/>
  <c r="O254" i="15"/>
  <c r="P254" i="15" s="1"/>
  <c r="N254" i="15"/>
  <c r="V254" i="15" s="1"/>
  <c r="W254" i="15" s="1"/>
  <c r="M254" i="15"/>
  <c r="L254" i="15"/>
  <c r="K254" i="15"/>
  <c r="I254" i="15"/>
  <c r="F254" i="15"/>
  <c r="X253" i="15"/>
  <c r="U253" i="15"/>
  <c r="T253" i="15"/>
  <c r="S253" i="15"/>
  <c r="R253" i="15"/>
  <c r="Q253" i="15"/>
  <c r="P253" i="15"/>
  <c r="O253" i="15"/>
  <c r="N253" i="15"/>
  <c r="V253" i="15" s="1"/>
  <c r="L253" i="15"/>
  <c r="K253" i="15"/>
  <c r="I253" i="15"/>
  <c r="F253" i="15"/>
  <c r="B253" i="15"/>
  <c r="X252" i="15"/>
  <c r="U252" i="15"/>
  <c r="T252" i="15"/>
  <c r="S252" i="15"/>
  <c r="R252" i="15"/>
  <c r="W252" i="15" s="1"/>
  <c r="Q252" i="15"/>
  <c r="B252" i="15" s="1"/>
  <c r="P252" i="15"/>
  <c r="O252" i="15"/>
  <c r="N252" i="15"/>
  <c r="V252" i="15" s="1"/>
  <c r="M252" i="15"/>
  <c r="L252" i="15"/>
  <c r="K252" i="15"/>
  <c r="I252" i="15"/>
  <c r="F252" i="15"/>
  <c r="X251" i="15"/>
  <c r="U251" i="15"/>
  <c r="T251" i="15"/>
  <c r="S251" i="15"/>
  <c r="R251" i="15"/>
  <c r="Q251" i="15"/>
  <c r="O251" i="15"/>
  <c r="N251" i="15"/>
  <c r="P251" i="15" s="1"/>
  <c r="M251" i="15"/>
  <c r="L251" i="15"/>
  <c r="K251" i="15"/>
  <c r="I251" i="15"/>
  <c r="F251" i="15"/>
  <c r="X250" i="15"/>
  <c r="U250" i="15"/>
  <c r="T250" i="15"/>
  <c r="S250" i="15"/>
  <c r="R250" i="15"/>
  <c r="Q250" i="15"/>
  <c r="O250" i="15"/>
  <c r="N250" i="15"/>
  <c r="P250" i="15" s="1"/>
  <c r="M250" i="15"/>
  <c r="L250" i="15"/>
  <c r="K250" i="15"/>
  <c r="I250" i="15"/>
  <c r="F250" i="15"/>
  <c r="X249" i="15"/>
  <c r="U249" i="15"/>
  <c r="T249" i="15"/>
  <c r="S249" i="15"/>
  <c r="R249" i="15"/>
  <c r="Q249" i="15"/>
  <c r="O249" i="15"/>
  <c r="N249" i="15"/>
  <c r="P249" i="15" s="1"/>
  <c r="L249" i="15"/>
  <c r="K249" i="15"/>
  <c r="I249" i="15"/>
  <c r="F249" i="15"/>
  <c r="X248" i="15"/>
  <c r="U248" i="15"/>
  <c r="T248" i="15"/>
  <c r="S248" i="15"/>
  <c r="R248" i="15"/>
  <c r="Q248" i="15"/>
  <c r="O248" i="15"/>
  <c r="P248" i="15" s="1"/>
  <c r="N248" i="15"/>
  <c r="V248" i="15" s="1"/>
  <c r="W248" i="15" s="1"/>
  <c r="M248" i="15"/>
  <c r="L248" i="15"/>
  <c r="K248" i="15"/>
  <c r="I248" i="15"/>
  <c r="F248" i="15"/>
  <c r="B248" i="15"/>
  <c r="X247" i="15"/>
  <c r="U247" i="15"/>
  <c r="T247" i="15"/>
  <c r="S247" i="15"/>
  <c r="R247" i="15"/>
  <c r="Q247" i="15"/>
  <c r="O247" i="15"/>
  <c r="N247" i="15"/>
  <c r="P247" i="15" s="1"/>
  <c r="L247" i="15"/>
  <c r="K247" i="15"/>
  <c r="I247" i="15"/>
  <c r="F247" i="15"/>
  <c r="X246" i="15"/>
  <c r="U246" i="15"/>
  <c r="T246" i="15"/>
  <c r="S246" i="15"/>
  <c r="R246" i="15"/>
  <c r="Q246" i="15"/>
  <c r="B246" i="15" s="1"/>
  <c r="O246" i="15"/>
  <c r="P246" i="15" s="1"/>
  <c r="N246" i="15"/>
  <c r="M246" i="15" s="1"/>
  <c r="L246" i="15"/>
  <c r="K246" i="15"/>
  <c r="I246" i="15"/>
  <c r="F246" i="15"/>
  <c r="X245" i="15"/>
  <c r="U245" i="15"/>
  <c r="T245" i="15"/>
  <c r="S245" i="15"/>
  <c r="R245" i="15"/>
  <c r="Q245" i="15"/>
  <c r="P245" i="15"/>
  <c r="O245" i="15"/>
  <c r="N245" i="15"/>
  <c r="V245" i="15" s="1"/>
  <c r="M245" i="15"/>
  <c r="L245" i="15"/>
  <c r="K245" i="15"/>
  <c r="I245" i="15"/>
  <c r="F245" i="15"/>
  <c r="B245" i="15"/>
  <c r="X244" i="15"/>
  <c r="U244" i="15"/>
  <c r="T244" i="15"/>
  <c r="S244" i="15"/>
  <c r="R244" i="15"/>
  <c r="W244" i="15" s="1"/>
  <c r="Q244" i="15"/>
  <c r="B244" i="15" s="1"/>
  <c r="O244" i="15"/>
  <c r="N244" i="15"/>
  <c r="V244" i="15" s="1"/>
  <c r="M244" i="15"/>
  <c r="L244" i="15"/>
  <c r="K244" i="15"/>
  <c r="I244" i="15"/>
  <c r="F244" i="15"/>
  <c r="X243" i="15"/>
  <c r="U243" i="15"/>
  <c r="T243" i="15"/>
  <c r="S243" i="15"/>
  <c r="R243" i="15"/>
  <c r="Q243" i="15"/>
  <c r="B243" i="15" s="1"/>
  <c r="O243" i="15"/>
  <c r="N243" i="15"/>
  <c r="P243" i="15" s="1"/>
  <c r="M243" i="15"/>
  <c r="L243" i="15"/>
  <c r="K243" i="15"/>
  <c r="I243" i="15"/>
  <c r="F243" i="15"/>
  <c r="X242" i="15"/>
  <c r="U242" i="15"/>
  <c r="T242" i="15"/>
  <c r="S242" i="15"/>
  <c r="R242" i="15"/>
  <c r="Q242" i="15"/>
  <c r="O242" i="15"/>
  <c r="N242" i="15"/>
  <c r="P242" i="15" s="1"/>
  <c r="M242" i="15"/>
  <c r="L242" i="15"/>
  <c r="K242" i="15"/>
  <c r="I242" i="15"/>
  <c r="F242" i="15"/>
  <c r="X241" i="15"/>
  <c r="U241" i="15"/>
  <c r="T241" i="15"/>
  <c r="S241" i="15"/>
  <c r="R241" i="15"/>
  <c r="Q241" i="15"/>
  <c r="O241" i="15"/>
  <c r="N241" i="15"/>
  <c r="P241" i="15" s="1"/>
  <c r="L241" i="15"/>
  <c r="K241" i="15"/>
  <c r="I241" i="15"/>
  <c r="F241" i="15"/>
  <c r="X240" i="15"/>
  <c r="U240" i="15"/>
  <c r="T240" i="15"/>
  <c r="S240" i="15"/>
  <c r="R240" i="15"/>
  <c r="Q240" i="15"/>
  <c r="O240" i="15"/>
  <c r="P240" i="15" s="1"/>
  <c r="N240" i="15"/>
  <c r="V240" i="15" s="1"/>
  <c r="W240" i="15" s="1"/>
  <c r="M240" i="15"/>
  <c r="L240" i="15"/>
  <c r="K240" i="15"/>
  <c r="I240" i="15"/>
  <c r="F240" i="15"/>
  <c r="B240" i="15"/>
  <c r="X239" i="15"/>
  <c r="U239" i="15"/>
  <c r="T239" i="15"/>
  <c r="S239" i="15"/>
  <c r="R239" i="15"/>
  <c r="Q239" i="15"/>
  <c r="O239" i="15"/>
  <c r="N239" i="15"/>
  <c r="P239" i="15" s="1"/>
  <c r="L239" i="15"/>
  <c r="K239" i="15"/>
  <c r="I239" i="15"/>
  <c r="F239" i="15"/>
  <c r="X238" i="15"/>
  <c r="U238" i="15"/>
  <c r="T238" i="15"/>
  <c r="S238" i="15"/>
  <c r="R238" i="15"/>
  <c r="Q238" i="15"/>
  <c r="B238" i="15" s="1"/>
  <c r="O238" i="15"/>
  <c r="P238" i="15" s="1"/>
  <c r="N238" i="15"/>
  <c r="M238" i="15" s="1"/>
  <c r="L238" i="15"/>
  <c r="K238" i="15"/>
  <c r="I238" i="15"/>
  <c r="F238" i="15"/>
  <c r="X237" i="15"/>
  <c r="U237" i="15"/>
  <c r="T237" i="15"/>
  <c r="S237" i="15"/>
  <c r="R237" i="15"/>
  <c r="Q237" i="15"/>
  <c r="P237" i="15"/>
  <c r="O237" i="15"/>
  <c r="N237" i="15"/>
  <c r="V237" i="15" s="1"/>
  <c r="M237" i="15"/>
  <c r="L237" i="15"/>
  <c r="K237" i="15"/>
  <c r="I237" i="15"/>
  <c r="F237" i="15"/>
  <c r="B237" i="15"/>
  <c r="X236" i="15"/>
  <c r="U236" i="15"/>
  <c r="T236" i="15"/>
  <c r="S236" i="15"/>
  <c r="R236" i="15"/>
  <c r="W236" i="15" s="1"/>
  <c r="Q236" i="15"/>
  <c r="B236" i="15" s="1"/>
  <c r="O236" i="15"/>
  <c r="N236" i="15"/>
  <c r="V236" i="15" s="1"/>
  <c r="M236" i="15"/>
  <c r="L236" i="15"/>
  <c r="K236" i="15"/>
  <c r="I236" i="15"/>
  <c r="F236" i="15"/>
  <c r="X235" i="15"/>
  <c r="U235" i="15"/>
  <c r="T235" i="15"/>
  <c r="S235" i="15"/>
  <c r="R235" i="15"/>
  <c r="Q235" i="15"/>
  <c r="B235" i="15" s="1"/>
  <c r="O235" i="15"/>
  <c r="N235" i="15"/>
  <c r="P235" i="15" s="1"/>
  <c r="M235" i="15"/>
  <c r="L235" i="15"/>
  <c r="K235" i="15"/>
  <c r="I235" i="15"/>
  <c r="F235" i="15"/>
  <c r="X234" i="15"/>
  <c r="U234" i="15"/>
  <c r="T234" i="15"/>
  <c r="S234" i="15"/>
  <c r="R234" i="15"/>
  <c r="Q234" i="15"/>
  <c r="O234" i="15"/>
  <c r="N234" i="15"/>
  <c r="P234" i="15" s="1"/>
  <c r="L234" i="15"/>
  <c r="K234" i="15"/>
  <c r="I234" i="15"/>
  <c r="F234" i="15"/>
  <c r="X233" i="15"/>
  <c r="U233" i="15"/>
  <c r="T233" i="15"/>
  <c r="S233" i="15"/>
  <c r="R233" i="15"/>
  <c r="Q233" i="15"/>
  <c r="O233" i="15"/>
  <c r="N233" i="15"/>
  <c r="P233" i="15" s="1"/>
  <c r="L233" i="15"/>
  <c r="K233" i="15"/>
  <c r="I233" i="15"/>
  <c r="F233" i="15"/>
  <c r="X232" i="15"/>
  <c r="U232" i="15"/>
  <c r="T232" i="15"/>
  <c r="S232" i="15"/>
  <c r="R232" i="15"/>
  <c r="Q232" i="15"/>
  <c r="P232" i="15"/>
  <c r="O232" i="15"/>
  <c r="N232" i="15"/>
  <c r="V232" i="15" s="1"/>
  <c r="W232" i="15" s="1"/>
  <c r="M232" i="15"/>
  <c r="L232" i="15"/>
  <c r="K232" i="15"/>
  <c r="I232" i="15"/>
  <c r="F232" i="15"/>
  <c r="B232" i="15"/>
  <c r="X231" i="15"/>
  <c r="U231" i="15"/>
  <c r="T231" i="15"/>
  <c r="S231" i="15"/>
  <c r="R231" i="15"/>
  <c r="Q231" i="15"/>
  <c r="B231" i="15" s="1"/>
  <c r="O231" i="15"/>
  <c r="N231" i="15"/>
  <c r="P231" i="15" s="1"/>
  <c r="L231" i="15"/>
  <c r="K231" i="15"/>
  <c r="I231" i="15"/>
  <c r="F231" i="15"/>
  <c r="X230" i="15"/>
  <c r="U230" i="15"/>
  <c r="T230" i="15"/>
  <c r="S230" i="15"/>
  <c r="R230" i="15"/>
  <c r="Q230" i="15"/>
  <c r="B230" i="15" s="1"/>
  <c r="O230" i="15"/>
  <c r="P230" i="15" s="1"/>
  <c r="N230" i="15"/>
  <c r="M230" i="15" s="1"/>
  <c r="L230" i="15"/>
  <c r="K230" i="15"/>
  <c r="I230" i="15"/>
  <c r="F230" i="15"/>
  <c r="X229" i="15"/>
  <c r="U229" i="15"/>
  <c r="T229" i="15"/>
  <c r="S229" i="15"/>
  <c r="R229" i="15"/>
  <c r="Q229" i="15"/>
  <c r="P229" i="15"/>
  <c r="O229" i="15"/>
  <c r="N229" i="15"/>
  <c r="V229" i="15" s="1"/>
  <c r="M229" i="15"/>
  <c r="L229" i="15"/>
  <c r="K229" i="15"/>
  <c r="I229" i="15"/>
  <c r="F229" i="15"/>
  <c r="B229" i="15"/>
  <c r="X228" i="15"/>
  <c r="U228" i="15"/>
  <c r="T228" i="15"/>
  <c r="S228" i="15"/>
  <c r="R228" i="15"/>
  <c r="W228" i="15" s="1"/>
  <c r="Q228" i="15"/>
  <c r="B228" i="15" s="1"/>
  <c r="O228" i="15"/>
  <c r="N228" i="15"/>
  <c r="V228" i="15" s="1"/>
  <c r="L228" i="15"/>
  <c r="K228" i="15"/>
  <c r="I228" i="15"/>
  <c r="F228" i="15"/>
  <c r="X227" i="15"/>
  <c r="U227" i="15"/>
  <c r="T227" i="15"/>
  <c r="S227" i="15"/>
  <c r="R227" i="15"/>
  <c r="Q227" i="15"/>
  <c r="B227" i="15" s="1"/>
  <c r="O227" i="15"/>
  <c r="N227" i="15"/>
  <c r="P227" i="15" s="1"/>
  <c r="M227" i="15"/>
  <c r="L227" i="15"/>
  <c r="K227" i="15"/>
  <c r="I227" i="15"/>
  <c r="F227" i="15"/>
  <c r="X226" i="15"/>
  <c r="U226" i="15"/>
  <c r="T226" i="15"/>
  <c r="S226" i="15"/>
  <c r="R226" i="15"/>
  <c r="Q226" i="15"/>
  <c r="O226" i="15"/>
  <c r="N226" i="15"/>
  <c r="P226" i="15" s="1"/>
  <c r="L226" i="15"/>
  <c r="K226" i="15"/>
  <c r="I226" i="15"/>
  <c r="F226" i="15"/>
  <c r="X225" i="15"/>
  <c r="U225" i="15"/>
  <c r="T225" i="15"/>
  <c r="S225" i="15"/>
  <c r="R225" i="15"/>
  <c r="Q225" i="15"/>
  <c r="B225" i="15" s="1"/>
  <c r="O225" i="15"/>
  <c r="N225" i="15"/>
  <c r="P225" i="15" s="1"/>
  <c r="L225" i="15"/>
  <c r="K225" i="15"/>
  <c r="I225" i="15"/>
  <c r="F225" i="15"/>
  <c r="X224" i="15"/>
  <c r="U224" i="15"/>
  <c r="T224" i="15"/>
  <c r="S224" i="15"/>
  <c r="R224" i="15"/>
  <c r="Q224" i="15"/>
  <c r="P224" i="15"/>
  <c r="O224" i="15"/>
  <c r="N224" i="15"/>
  <c r="V224" i="15" s="1"/>
  <c r="W224" i="15" s="1"/>
  <c r="M224" i="15"/>
  <c r="L224" i="15"/>
  <c r="K224" i="15"/>
  <c r="I224" i="15"/>
  <c r="F224" i="15"/>
  <c r="B224" i="15"/>
  <c r="X223" i="15"/>
  <c r="U223" i="15"/>
  <c r="T223" i="15"/>
  <c r="S223" i="15"/>
  <c r="R223" i="15"/>
  <c r="Q223" i="15"/>
  <c r="B223" i="15" s="1"/>
  <c r="O223" i="15"/>
  <c r="N223" i="15"/>
  <c r="P223" i="15" s="1"/>
  <c r="L223" i="15"/>
  <c r="K223" i="15"/>
  <c r="I223" i="15"/>
  <c r="F223" i="15"/>
  <c r="X222" i="15"/>
  <c r="U222" i="15"/>
  <c r="T222" i="15"/>
  <c r="S222" i="15"/>
  <c r="R222" i="15"/>
  <c r="Q222" i="15"/>
  <c r="B222" i="15" s="1"/>
  <c r="O222" i="15"/>
  <c r="P222" i="15" s="1"/>
  <c r="N222" i="15"/>
  <c r="M222" i="15" s="1"/>
  <c r="L222" i="15"/>
  <c r="K222" i="15"/>
  <c r="I222" i="15"/>
  <c r="F222" i="15"/>
  <c r="X221" i="15"/>
  <c r="U221" i="15"/>
  <c r="T221" i="15"/>
  <c r="S221" i="15"/>
  <c r="R221" i="15"/>
  <c r="W221" i="15" s="1"/>
  <c r="Q221" i="15"/>
  <c r="P221" i="15"/>
  <c r="O221" i="15"/>
  <c r="N221" i="15"/>
  <c r="V221" i="15" s="1"/>
  <c r="M221" i="15"/>
  <c r="L221" i="15"/>
  <c r="K221" i="15"/>
  <c r="I221" i="15"/>
  <c r="F221" i="15"/>
  <c r="B221" i="15"/>
  <c r="X220" i="15"/>
  <c r="U220" i="15"/>
  <c r="T220" i="15"/>
  <c r="S220" i="15"/>
  <c r="R220" i="15"/>
  <c r="W220" i="15" s="1"/>
  <c r="Q220" i="15"/>
  <c r="B220" i="15" s="1"/>
  <c r="O220" i="15"/>
  <c r="N220" i="15"/>
  <c r="V220" i="15" s="1"/>
  <c r="L220" i="15"/>
  <c r="K220" i="15"/>
  <c r="I220" i="15"/>
  <c r="F220" i="15"/>
  <c r="X219" i="15"/>
  <c r="U219" i="15"/>
  <c r="T219" i="15"/>
  <c r="S219" i="15"/>
  <c r="R219" i="15"/>
  <c r="Q219" i="15"/>
  <c r="O219" i="15"/>
  <c r="N219" i="15"/>
  <c r="P219" i="15" s="1"/>
  <c r="M219" i="15"/>
  <c r="L219" i="15"/>
  <c r="K219" i="15"/>
  <c r="I219" i="15"/>
  <c r="F219" i="15"/>
  <c r="X218" i="15"/>
  <c r="U218" i="15"/>
  <c r="T218" i="15"/>
  <c r="S218" i="15"/>
  <c r="R218" i="15"/>
  <c r="Q218" i="15"/>
  <c r="O218" i="15"/>
  <c r="N218" i="15"/>
  <c r="P218" i="15" s="1"/>
  <c r="L218" i="15"/>
  <c r="K218" i="15"/>
  <c r="I218" i="15"/>
  <c r="F218" i="15"/>
  <c r="X217" i="15"/>
  <c r="U217" i="15"/>
  <c r="T217" i="15"/>
  <c r="S217" i="15"/>
  <c r="R217" i="15"/>
  <c r="Q217" i="15"/>
  <c r="B217" i="15" s="1"/>
  <c r="O217" i="15"/>
  <c r="N217" i="15"/>
  <c r="P217" i="15" s="1"/>
  <c r="L217" i="15"/>
  <c r="K217" i="15"/>
  <c r="I217" i="15"/>
  <c r="F217" i="15"/>
  <c r="X216" i="15"/>
  <c r="U216" i="15"/>
  <c r="T216" i="15"/>
  <c r="S216" i="15"/>
  <c r="R216" i="15"/>
  <c r="Q216" i="15"/>
  <c r="P216" i="15"/>
  <c r="O216" i="15"/>
  <c r="N216" i="15"/>
  <c r="V216" i="15" s="1"/>
  <c r="W216" i="15" s="1"/>
  <c r="M216" i="15"/>
  <c r="L216" i="15"/>
  <c r="K216" i="15"/>
  <c r="I216" i="15"/>
  <c r="F216" i="15"/>
  <c r="B216" i="15"/>
  <c r="X215" i="15"/>
  <c r="U215" i="15"/>
  <c r="T215" i="15"/>
  <c r="S215" i="15"/>
  <c r="R215" i="15"/>
  <c r="Q215" i="15"/>
  <c r="B215" i="15" s="1"/>
  <c r="O215" i="15"/>
  <c r="N215" i="15"/>
  <c r="P215" i="15" s="1"/>
  <c r="L215" i="15"/>
  <c r="K215" i="15"/>
  <c r="I215" i="15"/>
  <c r="F215" i="15"/>
  <c r="X214" i="15"/>
  <c r="U214" i="15"/>
  <c r="T214" i="15"/>
  <c r="S214" i="15"/>
  <c r="R214" i="15"/>
  <c r="Q214" i="15"/>
  <c r="B214" i="15" s="1"/>
  <c r="O214" i="15"/>
  <c r="P214" i="15" s="1"/>
  <c r="N214" i="15"/>
  <c r="V214" i="15" s="1"/>
  <c r="W214" i="15" s="1"/>
  <c r="M214" i="15"/>
  <c r="L214" i="15"/>
  <c r="K214" i="15"/>
  <c r="I214" i="15"/>
  <c r="F214" i="15"/>
  <c r="X213" i="15"/>
  <c r="U213" i="15"/>
  <c r="T213" i="15"/>
  <c r="S213" i="15"/>
  <c r="R213" i="15"/>
  <c r="W213" i="15" s="1"/>
  <c r="Q213" i="15"/>
  <c r="P213" i="15"/>
  <c r="O213" i="15"/>
  <c r="N213" i="15"/>
  <c r="V213" i="15" s="1"/>
  <c r="M213" i="15"/>
  <c r="L213" i="15"/>
  <c r="K213" i="15"/>
  <c r="I213" i="15"/>
  <c r="F213" i="15"/>
  <c r="B213" i="15"/>
  <c r="X212" i="15"/>
  <c r="U212" i="15"/>
  <c r="T212" i="15"/>
  <c r="S212" i="15"/>
  <c r="R212" i="15"/>
  <c r="W212" i="15" s="1"/>
  <c r="Q212" i="15"/>
  <c r="B212" i="15" s="1"/>
  <c r="O212" i="15"/>
  <c r="N212" i="15"/>
  <c r="V212" i="15" s="1"/>
  <c r="L212" i="15"/>
  <c r="K212" i="15"/>
  <c r="I212" i="15"/>
  <c r="F212" i="15"/>
  <c r="X211" i="15"/>
  <c r="U211" i="15"/>
  <c r="T211" i="15"/>
  <c r="S211" i="15"/>
  <c r="R211" i="15"/>
  <c r="Q211" i="15"/>
  <c r="O211" i="15"/>
  <c r="N211" i="15"/>
  <c r="P211" i="15" s="1"/>
  <c r="M211" i="15"/>
  <c r="L211" i="15"/>
  <c r="K211" i="15"/>
  <c r="I211" i="15"/>
  <c r="F211" i="15"/>
  <c r="X210" i="15"/>
  <c r="U210" i="15"/>
  <c r="T210" i="15"/>
  <c r="S210" i="15"/>
  <c r="R210" i="15"/>
  <c r="Q210" i="15"/>
  <c r="O210" i="15"/>
  <c r="N210" i="15"/>
  <c r="P210" i="15" s="1"/>
  <c r="L210" i="15"/>
  <c r="K210" i="15"/>
  <c r="I210" i="15"/>
  <c r="F210" i="15"/>
  <c r="X209" i="15"/>
  <c r="U209" i="15"/>
  <c r="T209" i="15"/>
  <c r="S209" i="15"/>
  <c r="R209" i="15"/>
  <c r="Q209" i="15"/>
  <c r="B209" i="15" s="1"/>
  <c r="O209" i="15"/>
  <c r="N209" i="15"/>
  <c r="P209" i="15" s="1"/>
  <c r="L209" i="15"/>
  <c r="K209" i="15"/>
  <c r="I209" i="15"/>
  <c r="F209" i="15"/>
  <c r="X208" i="15"/>
  <c r="U208" i="15"/>
  <c r="T208" i="15"/>
  <c r="S208" i="15"/>
  <c r="R208" i="15"/>
  <c r="Q208" i="15"/>
  <c r="P208" i="15"/>
  <c r="O208" i="15"/>
  <c r="N208" i="15"/>
  <c r="V208" i="15" s="1"/>
  <c r="W208" i="15" s="1"/>
  <c r="M208" i="15"/>
  <c r="L208" i="15"/>
  <c r="K208" i="15"/>
  <c r="I208" i="15"/>
  <c r="F208" i="15"/>
  <c r="B208" i="15"/>
  <c r="X207" i="15"/>
  <c r="U207" i="15"/>
  <c r="T207" i="15"/>
  <c r="S207" i="15"/>
  <c r="R207" i="15"/>
  <c r="Q207" i="15"/>
  <c r="B207" i="15" s="1"/>
  <c r="O207" i="15"/>
  <c r="N207" i="15"/>
  <c r="P207" i="15" s="1"/>
  <c r="L207" i="15"/>
  <c r="K207" i="15"/>
  <c r="I207" i="15"/>
  <c r="F207" i="15"/>
  <c r="X206" i="15"/>
  <c r="U206" i="15"/>
  <c r="T206" i="15"/>
  <c r="S206" i="15"/>
  <c r="R206" i="15"/>
  <c r="Q206" i="15"/>
  <c r="B206" i="15" s="1"/>
  <c r="O206" i="15"/>
  <c r="P206" i="15" s="1"/>
  <c r="N206" i="15"/>
  <c r="V206" i="15" s="1"/>
  <c r="W206" i="15" s="1"/>
  <c r="M206" i="15"/>
  <c r="L206" i="15"/>
  <c r="K206" i="15"/>
  <c r="I206" i="15"/>
  <c r="F206" i="15"/>
  <c r="X205" i="15"/>
  <c r="U205" i="15"/>
  <c r="T205" i="15"/>
  <c r="S205" i="15"/>
  <c r="R205" i="15"/>
  <c r="W205" i="15" s="1"/>
  <c r="Q205" i="15"/>
  <c r="P205" i="15"/>
  <c r="O205" i="15"/>
  <c r="N205" i="15"/>
  <c r="V205" i="15" s="1"/>
  <c r="M205" i="15"/>
  <c r="L205" i="15"/>
  <c r="K205" i="15"/>
  <c r="I205" i="15"/>
  <c r="F205" i="15"/>
  <c r="B205" i="15"/>
  <c r="X204" i="15"/>
  <c r="U204" i="15"/>
  <c r="T204" i="15"/>
  <c r="S204" i="15"/>
  <c r="R204" i="15"/>
  <c r="W204" i="15" s="1"/>
  <c r="Q204" i="15"/>
  <c r="B204" i="15" s="1"/>
  <c r="O204" i="15"/>
  <c r="N204" i="15"/>
  <c r="V204" i="15" s="1"/>
  <c r="L204" i="15"/>
  <c r="K204" i="15"/>
  <c r="I204" i="15"/>
  <c r="F204" i="15"/>
  <c r="X203" i="15"/>
  <c r="U203" i="15"/>
  <c r="T203" i="15"/>
  <c r="S203" i="15"/>
  <c r="R203" i="15"/>
  <c r="Q203" i="15"/>
  <c r="O203" i="15"/>
  <c r="N203" i="15"/>
  <c r="P203" i="15" s="1"/>
  <c r="M203" i="15"/>
  <c r="L203" i="15"/>
  <c r="K203" i="15"/>
  <c r="I203" i="15"/>
  <c r="F203" i="15"/>
  <c r="X202" i="15"/>
  <c r="U202" i="15"/>
  <c r="T202" i="15"/>
  <c r="S202" i="15"/>
  <c r="R202" i="15"/>
  <c r="Q202" i="15"/>
  <c r="O202" i="15"/>
  <c r="N202" i="15"/>
  <c r="P202" i="15" s="1"/>
  <c r="L202" i="15"/>
  <c r="K202" i="15"/>
  <c r="I202" i="15"/>
  <c r="F202" i="15"/>
  <c r="X201" i="15"/>
  <c r="U201" i="15"/>
  <c r="T201" i="15"/>
  <c r="S201" i="15"/>
  <c r="R201" i="15"/>
  <c r="Q201" i="15"/>
  <c r="B201" i="15" s="1"/>
  <c r="O201" i="15"/>
  <c r="N201" i="15"/>
  <c r="P201" i="15" s="1"/>
  <c r="L201" i="15"/>
  <c r="K201" i="15"/>
  <c r="I201" i="15"/>
  <c r="F201" i="15"/>
  <c r="X200" i="15"/>
  <c r="U200" i="15"/>
  <c r="T200" i="15"/>
  <c r="S200" i="15"/>
  <c r="R200" i="15"/>
  <c r="Q200" i="15"/>
  <c r="P200" i="15"/>
  <c r="O200" i="15"/>
  <c r="N200" i="15"/>
  <c r="V200" i="15" s="1"/>
  <c r="W200" i="15" s="1"/>
  <c r="M200" i="15"/>
  <c r="L200" i="15"/>
  <c r="K200" i="15"/>
  <c r="I200" i="15"/>
  <c r="F200" i="15"/>
  <c r="B200" i="15"/>
  <c r="X199" i="15"/>
  <c r="U199" i="15"/>
  <c r="T199" i="15"/>
  <c r="S199" i="15"/>
  <c r="R199" i="15"/>
  <c r="Q199" i="15"/>
  <c r="B199" i="15" s="1"/>
  <c r="O199" i="15"/>
  <c r="N199" i="15"/>
  <c r="P199" i="15" s="1"/>
  <c r="L199" i="15"/>
  <c r="K199" i="15"/>
  <c r="I199" i="15"/>
  <c r="F199" i="15"/>
  <c r="X198" i="15"/>
  <c r="U198" i="15"/>
  <c r="T198" i="15"/>
  <c r="S198" i="15"/>
  <c r="R198" i="15"/>
  <c r="Q198" i="15"/>
  <c r="B198" i="15" s="1"/>
  <c r="O198" i="15"/>
  <c r="P198" i="15" s="1"/>
  <c r="N198" i="15"/>
  <c r="V198" i="15" s="1"/>
  <c r="W198" i="15" s="1"/>
  <c r="M198" i="15"/>
  <c r="L198" i="15"/>
  <c r="K198" i="15"/>
  <c r="I198" i="15"/>
  <c r="F198" i="15"/>
  <c r="X197" i="15"/>
  <c r="U197" i="15"/>
  <c r="T197" i="15"/>
  <c r="S197" i="15"/>
  <c r="R197" i="15"/>
  <c r="W197" i="15" s="1"/>
  <c r="Q197" i="15"/>
  <c r="P197" i="15"/>
  <c r="O197" i="15"/>
  <c r="N197" i="15"/>
  <c r="V197" i="15" s="1"/>
  <c r="M197" i="15"/>
  <c r="L197" i="15"/>
  <c r="K197" i="15"/>
  <c r="I197" i="15"/>
  <c r="F197" i="15"/>
  <c r="B197" i="15"/>
  <c r="X196" i="15"/>
  <c r="U196" i="15"/>
  <c r="T196" i="15"/>
  <c r="S196" i="15"/>
  <c r="R196" i="15"/>
  <c r="W196" i="15" s="1"/>
  <c r="Q196" i="15"/>
  <c r="B196" i="15" s="1"/>
  <c r="O196" i="15"/>
  <c r="N196" i="15"/>
  <c r="V196" i="15" s="1"/>
  <c r="L196" i="15"/>
  <c r="K196" i="15"/>
  <c r="I196" i="15"/>
  <c r="F196" i="15"/>
  <c r="X195" i="15"/>
  <c r="U195" i="15"/>
  <c r="T195" i="15"/>
  <c r="S195" i="15"/>
  <c r="R195" i="15"/>
  <c r="Q195" i="15"/>
  <c r="O195" i="15"/>
  <c r="N195" i="15"/>
  <c r="P195" i="15" s="1"/>
  <c r="M195" i="15"/>
  <c r="L195" i="15"/>
  <c r="K195" i="15"/>
  <c r="I195" i="15"/>
  <c r="F195" i="15"/>
  <c r="X194" i="15"/>
  <c r="U194" i="15"/>
  <c r="T194" i="15"/>
  <c r="S194" i="15"/>
  <c r="R194" i="15"/>
  <c r="Q194" i="15"/>
  <c r="O194" i="15"/>
  <c r="N194" i="15"/>
  <c r="P194" i="15" s="1"/>
  <c r="L194" i="15"/>
  <c r="K194" i="15"/>
  <c r="I194" i="15"/>
  <c r="F194" i="15"/>
  <c r="X193" i="15"/>
  <c r="U193" i="15"/>
  <c r="T193" i="15"/>
  <c r="S193" i="15"/>
  <c r="R193" i="15"/>
  <c r="Q193" i="15"/>
  <c r="B193" i="15" s="1"/>
  <c r="O193" i="15"/>
  <c r="N193" i="15"/>
  <c r="P193" i="15" s="1"/>
  <c r="L193" i="15"/>
  <c r="K193" i="15"/>
  <c r="I193" i="15"/>
  <c r="F193" i="15"/>
  <c r="X192" i="15"/>
  <c r="U192" i="15"/>
  <c r="T192" i="15"/>
  <c r="S192" i="15"/>
  <c r="R192" i="15"/>
  <c r="Q192" i="15"/>
  <c r="P192" i="15"/>
  <c r="O192" i="15"/>
  <c r="N192" i="15"/>
  <c r="V192" i="15" s="1"/>
  <c r="W192" i="15" s="1"/>
  <c r="M192" i="15"/>
  <c r="L192" i="15"/>
  <c r="K192" i="15"/>
  <c r="I192" i="15"/>
  <c r="F192" i="15"/>
  <c r="B192" i="15"/>
  <c r="X191" i="15"/>
  <c r="U191" i="15"/>
  <c r="T191" i="15"/>
  <c r="S191" i="15"/>
  <c r="R191" i="15"/>
  <c r="Q191" i="15"/>
  <c r="B191" i="15" s="1"/>
  <c r="O191" i="15"/>
  <c r="N191" i="15"/>
  <c r="P191" i="15" s="1"/>
  <c r="L191" i="15"/>
  <c r="K191" i="15"/>
  <c r="I191" i="15"/>
  <c r="F191" i="15"/>
  <c r="X190" i="15"/>
  <c r="U190" i="15"/>
  <c r="T190" i="15"/>
  <c r="S190" i="15"/>
  <c r="R190" i="15"/>
  <c r="Q190" i="15"/>
  <c r="O190" i="15"/>
  <c r="P190" i="15" s="1"/>
  <c r="N190" i="15"/>
  <c r="V190" i="15" s="1"/>
  <c r="W190" i="15" s="1"/>
  <c r="M190" i="15"/>
  <c r="L190" i="15"/>
  <c r="K190" i="15"/>
  <c r="I190" i="15"/>
  <c r="F190" i="15"/>
  <c r="B190" i="15"/>
  <c r="X189" i="15"/>
  <c r="U189" i="15"/>
  <c r="T189" i="15"/>
  <c r="S189" i="15"/>
  <c r="R189" i="15"/>
  <c r="Q189" i="15"/>
  <c r="P189" i="15"/>
  <c r="O189" i="15"/>
  <c r="N189" i="15"/>
  <c r="V189" i="15" s="1"/>
  <c r="M189" i="15"/>
  <c r="L189" i="15"/>
  <c r="K189" i="15"/>
  <c r="I189" i="15"/>
  <c r="F189" i="15"/>
  <c r="B189" i="15"/>
  <c r="X188" i="15"/>
  <c r="U188" i="15"/>
  <c r="T188" i="15"/>
  <c r="S188" i="15"/>
  <c r="R188" i="15"/>
  <c r="W188" i="15" s="1"/>
  <c r="Q188" i="15"/>
  <c r="B188" i="15" s="1"/>
  <c r="O188" i="15"/>
  <c r="N188" i="15"/>
  <c r="V188" i="15" s="1"/>
  <c r="L188" i="15"/>
  <c r="K188" i="15"/>
  <c r="I188" i="15"/>
  <c r="F188" i="15"/>
  <c r="X187" i="15"/>
  <c r="U187" i="15"/>
  <c r="T187" i="15"/>
  <c r="S187" i="15"/>
  <c r="R187" i="15"/>
  <c r="Q187" i="15"/>
  <c r="O187" i="15"/>
  <c r="N187" i="15"/>
  <c r="P187" i="15" s="1"/>
  <c r="M187" i="15"/>
  <c r="L187" i="15"/>
  <c r="K187" i="15"/>
  <c r="I187" i="15"/>
  <c r="F187" i="15"/>
  <c r="X186" i="15"/>
  <c r="U186" i="15"/>
  <c r="T186" i="15"/>
  <c r="S186" i="15"/>
  <c r="R186" i="15"/>
  <c r="Q186" i="15"/>
  <c r="O186" i="15"/>
  <c r="N186" i="15"/>
  <c r="P186" i="15" s="1"/>
  <c r="L186" i="15"/>
  <c r="K186" i="15"/>
  <c r="I186" i="15"/>
  <c r="F186" i="15"/>
  <c r="X185" i="15"/>
  <c r="U185" i="15"/>
  <c r="T185" i="15"/>
  <c r="S185" i="15"/>
  <c r="R185" i="15"/>
  <c r="Q185" i="15"/>
  <c r="B185" i="15" s="1"/>
  <c r="O185" i="15"/>
  <c r="N185" i="15"/>
  <c r="P185" i="15" s="1"/>
  <c r="M185" i="15"/>
  <c r="L185" i="15"/>
  <c r="K185" i="15"/>
  <c r="I185" i="15"/>
  <c r="F185" i="15"/>
  <c r="X184" i="15"/>
  <c r="U184" i="15"/>
  <c r="T184" i="15"/>
  <c r="S184" i="15"/>
  <c r="R184" i="15"/>
  <c r="Q184" i="15"/>
  <c r="P184" i="15"/>
  <c r="O184" i="15"/>
  <c r="N184" i="15"/>
  <c r="V184" i="15" s="1"/>
  <c r="W184" i="15" s="1"/>
  <c r="M184" i="15"/>
  <c r="L184" i="15"/>
  <c r="K184" i="15"/>
  <c r="I184" i="15"/>
  <c r="F184" i="15"/>
  <c r="B184" i="15"/>
  <c r="X183" i="15"/>
  <c r="U183" i="15"/>
  <c r="T183" i="15"/>
  <c r="S183" i="15"/>
  <c r="R183" i="15"/>
  <c r="Q183" i="15"/>
  <c r="B183" i="15" s="1"/>
  <c r="O183" i="15"/>
  <c r="N183" i="15"/>
  <c r="P183" i="15" s="1"/>
  <c r="L183" i="15"/>
  <c r="K183" i="15"/>
  <c r="I183" i="15"/>
  <c r="F183" i="15"/>
  <c r="X182" i="15"/>
  <c r="U182" i="15"/>
  <c r="T182" i="15"/>
  <c r="S182" i="15"/>
  <c r="R182" i="15"/>
  <c r="W182" i="15" s="1"/>
  <c r="Q182" i="15"/>
  <c r="O182" i="15"/>
  <c r="P182" i="15" s="1"/>
  <c r="N182" i="15"/>
  <c r="V182" i="15" s="1"/>
  <c r="M182" i="15"/>
  <c r="L182" i="15"/>
  <c r="K182" i="15"/>
  <c r="I182" i="15"/>
  <c r="F182" i="15"/>
  <c r="B182" i="15"/>
  <c r="X181" i="15"/>
  <c r="U181" i="15"/>
  <c r="T181" i="15"/>
  <c r="S181" i="15"/>
  <c r="R181" i="15"/>
  <c r="Q181" i="15"/>
  <c r="P181" i="15"/>
  <c r="O181" i="15"/>
  <c r="N181" i="15"/>
  <c r="V181" i="15" s="1"/>
  <c r="M181" i="15"/>
  <c r="L181" i="15"/>
  <c r="K181" i="15"/>
  <c r="I181" i="15"/>
  <c r="F181" i="15"/>
  <c r="B181" i="15"/>
  <c r="X180" i="15"/>
  <c r="U180" i="15"/>
  <c r="T180" i="15"/>
  <c r="S180" i="15"/>
  <c r="R180" i="15"/>
  <c r="Q180" i="15"/>
  <c r="B180" i="15" s="1"/>
  <c r="O180" i="15"/>
  <c r="N180" i="15"/>
  <c r="V180" i="15" s="1"/>
  <c r="L180" i="15"/>
  <c r="K180" i="15"/>
  <c r="I180" i="15"/>
  <c r="F180" i="15"/>
  <c r="X179" i="15"/>
  <c r="U179" i="15"/>
  <c r="T179" i="15"/>
  <c r="S179" i="15"/>
  <c r="R179" i="15"/>
  <c r="Q179" i="15"/>
  <c r="O179" i="15"/>
  <c r="N179" i="15"/>
  <c r="P179" i="15" s="1"/>
  <c r="M179" i="15"/>
  <c r="L179" i="15"/>
  <c r="K179" i="15"/>
  <c r="I179" i="15"/>
  <c r="F179" i="15"/>
  <c r="X178" i="15"/>
  <c r="U178" i="15"/>
  <c r="T178" i="15"/>
  <c r="S178" i="15"/>
  <c r="R178" i="15"/>
  <c r="Q178" i="15"/>
  <c r="O178" i="15"/>
  <c r="N178" i="15"/>
  <c r="V178" i="15" s="1"/>
  <c r="W178" i="15" s="1"/>
  <c r="L178" i="15"/>
  <c r="K178" i="15"/>
  <c r="I178" i="15"/>
  <c r="F178" i="15"/>
  <c r="X177" i="15"/>
  <c r="U177" i="15"/>
  <c r="T177" i="15"/>
  <c r="S177" i="15"/>
  <c r="R177" i="15"/>
  <c r="Q177" i="15"/>
  <c r="B177" i="15" s="1"/>
  <c r="O177" i="15"/>
  <c r="N177" i="15"/>
  <c r="M177" i="15"/>
  <c r="L177" i="15"/>
  <c r="K177" i="15"/>
  <c r="I177" i="15"/>
  <c r="F177" i="15"/>
  <c r="X176" i="15"/>
  <c r="U176" i="15"/>
  <c r="T176" i="15"/>
  <c r="S176" i="15"/>
  <c r="R176" i="15"/>
  <c r="Q176" i="15"/>
  <c r="P176" i="15"/>
  <c r="O176" i="15"/>
  <c r="N176" i="15"/>
  <c r="V176" i="15" s="1"/>
  <c r="W176" i="15" s="1"/>
  <c r="M176" i="15"/>
  <c r="L176" i="15"/>
  <c r="K176" i="15"/>
  <c r="I176" i="15"/>
  <c r="F176" i="15"/>
  <c r="B176" i="15"/>
  <c r="X175" i="15"/>
  <c r="U175" i="15"/>
  <c r="T175" i="15"/>
  <c r="S175" i="15"/>
  <c r="R175" i="15"/>
  <c r="Q175" i="15"/>
  <c r="B175" i="15" s="1"/>
  <c r="O175" i="15"/>
  <c r="N175" i="15"/>
  <c r="L175" i="15"/>
  <c r="K175" i="15"/>
  <c r="I175" i="15"/>
  <c r="F175" i="15"/>
  <c r="X174" i="15"/>
  <c r="U174" i="15"/>
  <c r="T174" i="15"/>
  <c r="S174" i="15"/>
  <c r="R174" i="15"/>
  <c r="Q174" i="15"/>
  <c r="O174" i="15"/>
  <c r="P174" i="15" s="1"/>
  <c r="N174" i="15"/>
  <c r="V174" i="15" s="1"/>
  <c r="W174" i="15" s="1"/>
  <c r="M174" i="15"/>
  <c r="L174" i="15"/>
  <c r="K174" i="15"/>
  <c r="I174" i="15"/>
  <c r="F174" i="15"/>
  <c r="B174" i="15"/>
  <c r="X173" i="15"/>
  <c r="U173" i="15"/>
  <c r="T173" i="15"/>
  <c r="S173" i="15"/>
  <c r="R173" i="15"/>
  <c r="Q173" i="15"/>
  <c r="P173" i="15"/>
  <c r="O173" i="15"/>
  <c r="N173" i="15"/>
  <c r="V173" i="15" s="1"/>
  <c r="M173" i="15"/>
  <c r="L173" i="15"/>
  <c r="K173" i="15"/>
  <c r="I173" i="15"/>
  <c r="F173" i="15"/>
  <c r="B173" i="15"/>
  <c r="X172" i="15"/>
  <c r="U172" i="15"/>
  <c r="T172" i="15"/>
  <c r="S172" i="15"/>
  <c r="R172" i="15"/>
  <c r="W172" i="15" s="1"/>
  <c r="Q172" i="15"/>
  <c r="B172" i="15" s="1"/>
  <c r="O172" i="15"/>
  <c r="N172" i="15"/>
  <c r="V172" i="15" s="1"/>
  <c r="L172" i="15"/>
  <c r="K172" i="15"/>
  <c r="I172" i="15"/>
  <c r="F172" i="15"/>
  <c r="X171" i="15"/>
  <c r="U171" i="15"/>
  <c r="T171" i="15"/>
  <c r="S171" i="15"/>
  <c r="R171" i="15"/>
  <c r="Q171" i="15"/>
  <c r="O171" i="15"/>
  <c r="N171" i="15"/>
  <c r="P171" i="15" s="1"/>
  <c r="M171" i="15"/>
  <c r="L171" i="15"/>
  <c r="K171" i="15"/>
  <c r="I171" i="15"/>
  <c r="F171" i="15"/>
  <c r="X170" i="15"/>
  <c r="V170" i="15"/>
  <c r="W170" i="15" s="1"/>
  <c r="U170" i="15"/>
  <c r="T170" i="15"/>
  <c r="S170" i="15"/>
  <c r="R170" i="15"/>
  <c r="Q170" i="15"/>
  <c r="O170" i="15"/>
  <c r="N170" i="15"/>
  <c r="M170" i="15"/>
  <c r="L170" i="15"/>
  <c r="K170" i="15"/>
  <c r="I170" i="15"/>
  <c r="F170" i="15"/>
  <c r="X169" i="15"/>
  <c r="V169" i="15"/>
  <c r="W169" i="15" s="1"/>
  <c r="U169" i="15"/>
  <c r="T169" i="15"/>
  <c r="S169" i="15"/>
  <c r="R169" i="15"/>
  <c r="Q169" i="15"/>
  <c r="B169" i="15" s="1"/>
  <c r="O169" i="15"/>
  <c r="N169" i="15"/>
  <c r="M169" i="15"/>
  <c r="L169" i="15"/>
  <c r="K169" i="15"/>
  <c r="I169" i="15"/>
  <c r="F169" i="15"/>
  <c r="X168" i="15"/>
  <c r="U168" i="15"/>
  <c r="T168" i="15"/>
  <c r="S168" i="15"/>
  <c r="R168" i="15"/>
  <c r="Q168" i="15"/>
  <c r="P168" i="15"/>
  <c r="O168" i="15"/>
  <c r="N168" i="15"/>
  <c r="V168" i="15" s="1"/>
  <c r="W168" i="15" s="1"/>
  <c r="M168" i="15"/>
  <c r="L168" i="15"/>
  <c r="K168" i="15"/>
  <c r="I168" i="15"/>
  <c r="F168" i="15"/>
  <c r="B168" i="15"/>
  <c r="X167" i="15"/>
  <c r="U167" i="15"/>
  <c r="T167" i="15"/>
  <c r="S167" i="15"/>
  <c r="R167" i="15"/>
  <c r="Q167" i="15"/>
  <c r="O167" i="15"/>
  <c r="N167" i="15"/>
  <c r="M167" i="15" s="1"/>
  <c r="L167" i="15"/>
  <c r="K167" i="15"/>
  <c r="I167" i="15"/>
  <c r="F167" i="15"/>
  <c r="X166" i="15"/>
  <c r="U166" i="15"/>
  <c r="T166" i="15"/>
  <c r="S166" i="15"/>
  <c r="R166" i="15"/>
  <c r="W166" i="15" s="1"/>
  <c r="Q166" i="15"/>
  <c r="B166" i="15" s="1"/>
  <c r="O166" i="15"/>
  <c r="P166" i="15" s="1"/>
  <c r="N166" i="15"/>
  <c r="V166" i="15" s="1"/>
  <c r="M166" i="15"/>
  <c r="L166" i="15"/>
  <c r="K166" i="15"/>
  <c r="I166" i="15"/>
  <c r="F166" i="15"/>
  <c r="X165" i="15"/>
  <c r="U165" i="15"/>
  <c r="T165" i="15"/>
  <c r="S165" i="15"/>
  <c r="R165" i="15"/>
  <c r="W165" i="15" s="1"/>
  <c r="Q165" i="15"/>
  <c r="B165" i="15" s="1"/>
  <c r="P165" i="15"/>
  <c r="O165" i="15"/>
  <c r="N165" i="15"/>
  <c r="V165" i="15" s="1"/>
  <c r="M165" i="15"/>
  <c r="L165" i="15"/>
  <c r="K165" i="15"/>
  <c r="I165" i="15"/>
  <c r="F165" i="15"/>
  <c r="X164" i="15"/>
  <c r="U164" i="15"/>
  <c r="T164" i="15"/>
  <c r="S164" i="15"/>
  <c r="R164" i="15"/>
  <c r="W164" i="15" s="1"/>
  <c r="Q164" i="15"/>
  <c r="B164" i="15" s="1"/>
  <c r="O164" i="15"/>
  <c r="N164" i="15"/>
  <c r="V164" i="15" s="1"/>
  <c r="L164" i="15"/>
  <c r="K164" i="15"/>
  <c r="I164" i="15"/>
  <c r="F164" i="15"/>
  <c r="X163" i="15"/>
  <c r="U163" i="15"/>
  <c r="T163" i="15"/>
  <c r="S163" i="15"/>
  <c r="R163" i="15"/>
  <c r="Q163" i="15"/>
  <c r="O163" i="15"/>
  <c r="N163" i="15"/>
  <c r="P163" i="15" s="1"/>
  <c r="M163" i="15"/>
  <c r="L163" i="15"/>
  <c r="K163" i="15"/>
  <c r="I163" i="15"/>
  <c r="F163" i="15"/>
  <c r="X162" i="15"/>
  <c r="U162" i="15"/>
  <c r="T162" i="15"/>
  <c r="S162" i="15"/>
  <c r="R162" i="15"/>
  <c r="Q162" i="15"/>
  <c r="O162" i="15"/>
  <c r="N162" i="15"/>
  <c r="V162" i="15" s="1"/>
  <c r="W162" i="15" s="1"/>
  <c r="L162" i="15"/>
  <c r="K162" i="15"/>
  <c r="I162" i="15"/>
  <c r="F162" i="15"/>
  <c r="X161" i="15"/>
  <c r="V161" i="15"/>
  <c r="W161" i="15" s="1"/>
  <c r="U161" i="15"/>
  <c r="T161" i="15"/>
  <c r="S161" i="15"/>
  <c r="R161" i="15"/>
  <c r="Q161" i="15"/>
  <c r="B161" i="15" s="1"/>
  <c r="O161" i="15"/>
  <c r="N161" i="15"/>
  <c r="M161" i="15"/>
  <c r="L161" i="15"/>
  <c r="K161" i="15"/>
  <c r="I161" i="15"/>
  <c r="F161" i="15"/>
  <c r="X160" i="15"/>
  <c r="U160" i="15"/>
  <c r="T160" i="15"/>
  <c r="S160" i="15"/>
  <c r="R160" i="15"/>
  <c r="Q160" i="15"/>
  <c r="P160" i="15"/>
  <c r="O160" i="15"/>
  <c r="N160" i="15"/>
  <c r="V160" i="15" s="1"/>
  <c r="W160" i="15" s="1"/>
  <c r="M160" i="15"/>
  <c r="L160" i="15"/>
  <c r="K160" i="15"/>
  <c r="I160" i="15"/>
  <c r="F160" i="15"/>
  <c r="B160" i="15"/>
  <c r="X159" i="15"/>
  <c r="U159" i="15"/>
  <c r="T159" i="15"/>
  <c r="S159" i="15"/>
  <c r="R159" i="15"/>
  <c r="Q159" i="15"/>
  <c r="O159" i="15"/>
  <c r="N159" i="15"/>
  <c r="M159" i="15" s="1"/>
  <c r="L159" i="15"/>
  <c r="K159" i="15"/>
  <c r="I159" i="15"/>
  <c r="F159" i="15"/>
  <c r="B159" i="15"/>
  <c r="X158" i="15"/>
  <c r="U158" i="15"/>
  <c r="T158" i="15"/>
  <c r="S158" i="15"/>
  <c r="R158" i="15"/>
  <c r="W158" i="15" s="1"/>
  <c r="Q158" i="15"/>
  <c r="P158" i="15"/>
  <c r="O158" i="15"/>
  <c r="N158" i="15"/>
  <c r="V158" i="15" s="1"/>
  <c r="M158" i="15"/>
  <c r="L158" i="15"/>
  <c r="K158" i="15"/>
  <c r="I158" i="15"/>
  <c r="F158" i="15"/>
  <c r="B158" i="15"/>
  <c r="X157" i="15"/>
  <c r="U157" i="15"/>
  <c r="T157" i="15"/>
  <c r="S157" i="15"/>
  <c r="R157" i="15"/>
  <c r="W157" i="15" s="1"/>
  <c r="Q157" i="15"/>
  <c r="B157" i="15" s="1"/>
  <c r="P157" i="15"/>
  <c r="O157" i="15"/>
  <c r="N157" i="15"/>
  <c r="V157" i="15" s="1"/>
  <c r="M157" i="15"/>
  <c r="L157" i="15"/>
  <c r="K157" i="15"/>
  <c r="I157" i="15"/>
  <c r="F157" i="15"/>
  <c r="X156" i="15"/>
  <c r="U156" i="15"/>
  <c r="T156" i="15"/>
  <c r="S156" i="15"/>
  <c r="R156" i="15"/>
  <c r="Q156" i="15"/>
  <c r="B156" i="15" s="1"/>
  <c r="O156" i="15"/>
  <c r="N156" i="15"/>
  <c r="V156" i="15" s="1"/>
  <c r="L156" i="15"/>
  <c r="K156" i="15"/>
  <c r="I156" i="15"/>
  <c r="F156" i="15"/>
  <c r="X155" i="15"/>
  <c r="U155" i="15"/>
  <c r="T155" i="15"/>
  <c r="S155" i="15"/>
  <c r="R155" i="15"/>
  <c r="Q155" i="15"/>
  <c r="O155" i="15"/>
  <c r="N155" i="15"/>
  <c r="P155" i="15" s="1"/>
  <c r="M155" i="15"/>
  <c r="L155" i="15"/>
  <c r="K155" i="15"/>
  <c r="I155" i="15"/>
  <c r="F155" i="15"/>
  <c r="X154" i="15"/>
  <c r="U154" i="15"/>
  <c r="T154" i="15"/>
  <c r="S154" i="15"/>
  <c r="R154" i="15"/>
  <c r="Q154" i="15"/>
  <c r="O154" i="15"/>
  <c r="N154" i="15"/>
  <c r="L154" i="15"/>
  <c r="K154" i="15"/>
  <c r="I154" i="15"/>
  <c r="F154" i="15"/>
  <c r="X153" i="15"/>
  <c r="U153" i="15"/>
  <c r="T153" i="15"/>
  <c r="S153" i="15"/>
  <c r="R153" i="15"/>
  <c r="Q153" i="15"/>
  <c r="B153" i="15" s="1"/>
  <c r="O153" i="15"/>
  <c r="N153" i="15"/>
  <c r="P153" i="15" s="1"/>
  <c r="L153" i="15"/>
  <c r="K153" i="15"/>
  <c r="I153" i="15"/>
  <c r="F153" i="15"/>
  <c r="X152" i="15"/>
  <c r="U152" i="15"/>
  <c r="T152" i="15"/>
  <c r="S152" i="15"/>
  <c r="R152" i="15"/>
  <c r="Q152" i="15"/>
  <c r="P152" i="15"/>
  <c r="O152" i="15"/>
  <c r="N152" i="15"/>
  <c r="V152" i="15" s="1"/>
  <c r="W152" i="15" s="1"/>
  <c r="L152" i="15"/>
  <c r="K152" i="15"/>
  <c r="I152" i="15"/>
  <c r="F152" i="15"/>
  <c r="B152" i="15"/>
  <c r="X151" i="15"/>
  <c r="U151" i="15"/>
  <c r="T151" i="15"/>
  <c r="S151" i="15"/>
  <c r="R151" i="15"/>
  <c r="Q151" i="15"/>
  <c r="O151" i="15"/>
  <c r="P151" i="15" s="1"/>
  <c r="N151" i="15"/>
  <c r="M151" i="15" s="1"/>
  <c r="L151" i="15"/>
  <c r="K151" i="15"/>
  <c r="I151" i="15"/>
  <c r="F151" i="15"/>
  <c r="B151" i="15"/>
  <c r="X150" i="15"/>
  <c r="U150" i="15"/>
  <c r="T150" i="15"/>
  <c r="S150" i="15"/>
  <c r="R150" i="15"/>
  <c r="Q150" i="15"/>
  <c r="O150" i="15"/>
  <c r="P150" i="15" s="1"/>
  <c r="N150" i="15"/>
  <c r="V150" i="15" s="1"/>
  <c r="W150" i="15" s="1"/>
  <c r="M150" i="15"/>
  <c r="L150" i="15"/>
  <c r="K150" i="15"/>
  <c r="I150" i="15"/>
  <c r="F150" i="15"/>
  <c r="B150" i="15"/>
  <c r="X149" i="15"/>
  <c r="U149" i="15"/>
  <c r="T149" i="15"/>
  <c r="S149" i="15"/>
  <c r="R149" i="15"/>
  <c r="Q149" i="15"/>
  <c r="P149" i="15"/>
  <c r="O149" i="15"/>
  <c r="N149" i="15"/>
  <c r="V149" i="15" s="1"/>
  <c r="M149" i="15"/>
  <c r="L149" i="15"/>
  <c r="K149" i="15"/>
  <c r="I149" i="15"/>
  <c r="F149" i="15"/>
  <c r="B149" i="15"/>
  <c r="X148" i="15"/>
  <c r="U148" i="15"/>
  <c r="T148" i="15"/>
  <c r="S148" i="15"/>
  <c r="R148" i="15"/>
  <c r="Q148" i="15"/>
  <c r="B148" i="15" s="1"/>
  <c r="O148" i="15"/>
  <c r="N148" i="15"/>
  <c r="V148" i="15" s="1"/>
  <c r="L148" i="15"/>
  <c r="K148" i="15"/>
  <c r="I148" i="15"/>
  <c r="F148" i="15"/>
  <c r="X147" i="15"/>
  <c r="U147" i="15"/>
  <c r="T147" i="15"/>
  <c r="S147" i="15"/>
  <c r="R147" i="15"/>
  <c r="Q147" i="15"/>
  <c r="O147" i="15"/>
  <c r="N147" i="15"/>
  <c r="P147" i="15" s="1"/>
  <c r="M147" i="15"/>
  <c r="L147" i="15"/>
  <c r="K147" i="15"/>
  <c r="I147" i="15"/>
  <c r="F147" i="15"/>
  <c r="X146" i="15"/>
  <c r="U146" i="15"/>
  <c r="T146" i="15"/>
  <c r="S146" i="15"/>
  <c r="R146" i="15"/>
  <c r="Q146" i="15"/>
  <c r="O146" i="15"/>
  <c r="N146" i="15"/>
  <c r="V146" i="15" s="1"/>
  <c r="W146" i="15" s="1"/>
  <c r="L146" i="15"/>
  <c r="K146" i="15"/>
  <c r="I146" i="15"/>
  <c r="F146" i="15"/>
  <c r="X145" i="15"/>
  <c r="V145" i="15"/>
  <c r="W145" i="15" s="1"/>
  <c r="U145" i="15"/>
  <c r="T145" i="15"/>
  <c r="S145" i="15"/>
  <c r="R145" i="15"/>
  <c r="Q145" i="15"/>
  <c r="O145" i="15"/>
  <c r="N145" i="15"/>
  <c r="P145" i="15" s="1"/>
  <c r="M145" i="15"/>
  <c r="L145" i="15"/>
  <c r="K145" i="15"/>
  <c r="I145" i="15"/>
  <c r="F145" i="15"/>
  <c r="X144" i="15"/>
  <c r="U144" i="15"/>
  <c r="T144" i="15"/>
  <c r="S144" i="15"/>
  <c r="R144" i="15"/>
  <c r="Q144" i="15"/>
  <c r="O144" i="15"/>
  <c r="N144" i="15"/>
  <c r="P144" i="15" s="1"/>
  <c r="M144" i="15"/>
  <c r="L144" i="15"/>
  <c r="K144" i="15"/>
  <c r="I144" i="15"/>
  <c r="F144" i="15"/>
  <c r="X143" i="15"/>
  <c r="U143" i="15"/>
  <c r="T143" i="15"/>
  <c r="S143" i="15"/>
  <c r="R143" i="15"/>
  <c r="Q143" i="15"/>
  <c r="O143" i="15"/>
  <c r="N143" i="15"/>
  <c r="M143" i="15" s="1"/>
  <c r="L143" i="15"/>
  <c r="K143" i="15"/>
  <c r="I143" i="15"/>
  <c r="F143" i="15"/>
  <c r="X142" i="15"/>
  <c r="U142" i="15"/>
  <c r="T142" i="15"/>
  <c r="S142" i="15"/>
  <c r="R142" i="15"/>
  <c r="Q142" i="15"/>
  <c r="B142" i="15" s="1"/>
  <c r="O142" i="15"/>
  <c r="P142" i="15" s="1"/>
  <c r="N142" i="15"/>
  <c r="V142" i="15" s="1"/>
  <c r="W142" i="15" s="1"/>
  <c r="M142" i="15"/>
  <c r="L142" i="15"/>
  <c r="K142" i="15"/>
  <c r="I142" i="15"/>
  <c r="F142" i="15"/>
  <c r="X141" i="15"/>
  <c r="U141" i="15"/>
  <c r="T141" i="15"/>
  <c r="S141" i="15"/>
  <c r="R141" i="15"/>
  <c r="Q141" i="15"/>
  <c r="P141" i="15"/>
  <c r="O141" i="15"/>
  <c r="N141" i="15"/>
  <c r="V141" i="15" s="1"/>
  <c r="M141" i="15"/>
  <c r="L141" i="15"/>
  <c r="K141" i="15"/>
  <c r="I141" i="15"/>
  <c r="F141" i="15"/>
  <c r="B141" i="15"/>
  <c r="X140" i="15"/>
  <c r="U140" i="15"/>
  <c r="T140" i="15"/>
  <c r="S140" i="15"/>
  <c r="R140" i="15"/>
  <c r="W140" i="15" s="1"/>
  <c r="Q140" i="15"/>
  <c r="B140" i="15" s="1"/>
  <c r="O140" i="15"/>
  <c r="N140" i="15"/>
  <c r="V140" i="15" s="1"/>
  <c r="L140" i="15"/>
  <c r="K140" i="15"/>
  <c r="I140" i="15"/>
  <c r="F140" i="15"/>
  <c r="X139" i="15"/>
  <c r="U139" i="15"/>
  <c r="T139" i="15"/>
  <c r="S139" i="15"/>
  <c r="R139" i="15"/>
  <c r="Q139" i="15"/>
  <c r="O139" i="15"/>
  <c r="N139" i="15"/>
  <c r="P139" i="15" s="1"/>
  <c r="M139" i="15"/>
  <c r="L139" i="15"/>
  <c r="K139" i="15"/>
  <c r="I139" i="15"/>
  <c r="F139" i="15"/>
  <c r="X138" i="15"/>
  <c r="V138" i="15"/>
  <c r="W138" i="15" s="1"/>
  <c r="U138" i="15"/>
  <c r="T138" i="15"/>
  <c r="S138" i="15"/>
  <c r="R138" i="15"/>
  <c r="Q138" i="15"/>
  <c r="O138" i="15"/>
  <c r="N138" i="15"/>
  <c r="M138" i="15"/>
  <c r="L138" i="15"/>
  <c r="K138" i="15"/>
  <c r="I138" i="15"/>
  <c r="F138" i="15"/>
  <c r="X137" i="15"/>
  <c r="V137" i="15"/>
  <c r="W137" i="15" s="1"/>
  <c r="U137" i="15"/>
  <c r="T137" i="15"/>
  <c r="S137" i="15"/>
  <c r="R137" i="15"/>
  <c r="Q137" i="15"/>
  <c r="B137" i="15" s="1"/>
  <c r="O137" i="15"/>
  <c r="N137" i="15"/>
  <c r="M137" i="15"/>
  <c r="L137" i="15"/>
  <c r="K137" i="15"/>
  <c r="I137" i="15"/>
  <c r="F137" i="15"/>
  <c r="X136" i="15"/>
  <c r="U136" i="15"/>
  <c r="T136" i="15"/>
  <c r="S136" i="15"/>
  <c r="R136" i="15"/>
  <c r="Q136" i="15"/>
  <c r="O136" i="15"/>
  <c r="P136" i="15" s="1"/>
  <c r="N136" i="15"/>
  <c r="V136" i="15" s="1"/>
  <c r="W136" i="15" s="1"/>
  <c r="M136" i="15"/>
  <c r="L136" i="15"/>
  <c r="K136" i="15"/>
  <c r="I136" i="15"/>
  <c r="F136" i="15"/>
  <c r="B136" i="15"/>
  <c r="X135" i="15"/>
  <c r="U135" i="15"/>
  <c r="T135" i="15"/>
  <c r="S135" i="15"/>
  <c r="R135" i="15"/>
  <c r="Q135" i="15"/>
  <c r="O135" i="15"/>
  <c r="N135" i="15"/>
  <c r="M135" i="15" s="1"/>
  <c r="L135" i="15"/>
  <c r="K135" i="15"/>
  <c r="I135" i="15"/>
  <c r="F135" i="15"/>
  <c r="X134" i="15"/>
  <c r="U134" i="15"/>
  <c r="T134" i="15"/>
  <c r="S134" i="15"/>
  <c r="R134" i="15"/>
  <c r="W134" i="15" s="1"/>
  <c r="Q134" i="15"/>
  <c r="B134" i="15" s="1"/>
  <c r="O134" i="15"/>
  <c r="P134" i="15" s="1"/>
  <c r="N134" i="15"/>
  <c r="V134" i="15" s="1"/>
  <c r="M134" i="15"/>
  <c r="L134" i="15"/>
  <c r="K134" i="15"/>
  <c r="I134" i="15"/>
  <c r="F134" i="15"/>
  <c r="X133" i="15"/>
  <c r="U133" i="15"/>
  <c r="T133" i="15"/>
  <c r="S133" i="15"/>
  <c r="R133" i="15"/>
  <c r="W133" i="15" s="1"/>
  <c r="Q133" i="15"/>
  <c r="B133" i="15" s="1"/>
  <c r="P133" i="15"/>
  <c r="O133" i="15"/>
  <c r="N133" i="15"/>
  <c r="V133" i="15" s="1"/>
  <c r="M133" i="15"/>
  <c r="L133" i="15"/>
  <c r="K133" i="15"/>
  <c r="I133" i="15"/>
  <c r="F133" i="15"/>
  <c r="X132" i="15"/>
  <c r="U132" i="15"/>
  <c r="T132" i="15"/>
  <c r="S132" i="15"/>
  <c r="R132" i="15"/>
  <c r="W132" i="15" s="1"/>
  <c r="Q132" i="15"/>
  <c r="B132" i="15" s="1"/>
  <c r="O132" i="15"/>
  <c r="N132" i="15"/>
  <c r="V132" i="15" s="1"/>
  <c r="L132" i="15"/>
  <c r="K132" i="15"/>
  <c r="I132" i="15"/>
  <c r="F132" i="15"/>
  <c r="X131" i="15"/>
  <c r="U131" i="15"/>
  <c r="T131" i="15"/>
  <c r="S131" i="15"/>
  <c r="R131" i="15"/>
  <c r="Q131" i="15"/>
  <c r="O131" i="15"/>
  <c r="P131" i="15" s="1"/>
  <c r="N131" i="15"/>
  <c r="V131" i="15" s="1"/>
  <c r="M131" i="15"/>
  <c r="L131" i="15"/>
  <c r="K131" i="15"/>
  <c r="I131" i="15"/>
  <c r="F131" i="15"/>
  <c r="B131" i="15"/>
  <c r="X130" i="15"/>
  <c r="V130" i="15"/>
  <c r="W130" i="15" s="1"/>
  <c r="U130" i="15"/>
  <c r="T130" i="15"/>
  <c r="S130" i="15"/>
  <c r="R130" i="15"/>
  <c r="Q130" i="15"/>
  <c r="O130" i="15"/>
  <c r="N130" i="15"/>
  <c r="M130" i="15"/>
  <c r="L130" i="15"/>
  <c r="K130" i="15"/>
  <c r="I130" i="15"/>
  <c r="F130" i="15"/>
  <c r="X129" i="15"/>
  <c r="U129" i="15"/>
  <c r="T129" i="15"/>
  <c r="S129" i="15"/>
  <c r="R129" i="15"/>
  <c r="Q129" i="15"/>
  <c r="B129" i="15" s="1"/>
  <c r="O129" i="15"/>
  <c r="N129" i="15"/>
  <c r="P129" i="15" s="1"/>
  <c r="L129" i="15"/>
  <c r="K129" i="15"/>
  <c r="I129" i="15"/>
  <c r="F129" i="15"/>
  <c r="X128" i="15"/>
  <c r="U128" i="15"/>
  <c r="T128" i="15"/>
  <c r="S128" i="15"/>
  <c r="R128" i="15"/>
  <c r="Q128" i="15"/>
  <c r="O128" i="15"/>
  <c r="N128" i="15"/>
  <c r="V128" i="15" s="1"/>
  <c r="W128" i="15" s="1"/>
  <c r="L128" i="15"/>
  <c r="K128" i="15"/>
  <c r="I128" i="15"/>
  <c r="F128" i="15"/>
  <c r="B128" i="15"/>
  <c r="X127" i="15"/>
  <c r="U127" i="15"/>
  <c r="T127" i="15"/>
  <c r="S127" i="15"/>
  <c r="R127" i="15"/>
  <c r="Q127" i="15"/>
  <c r="O127" i="15"/>
  <c r="P127" i="15" s="1"/>
  <c r="N127" i="15"/>
  <c r="M127" i="15" s="1"/>
  <c r="L127" i="15"/>
  <c r="K127" i="15"/>
  <c r="I127" i="15"/>
  <c r="F127" i="15"/>
  <c r="B127" i="15"/>
  <c r="X126" i="15"/>
  <c r="U126" i="15"/>
  <c r="T126" i="15"/>
  <c r="S126" i="15"/>
  <c r="R126" i="15"/>
  <c r="W126" i="15" s="1"/>
  <c r="Q126" i="15"/>
  <c r="B126" i="15" s="1"/>
  <c r="P126" i="15"/>
  <c r="O126" i="15"/>
  <c r="N126" i="15"/>
  <c r="V126" i="15" s="1"/>
  <c r="M126" i="15"/>
  <c r="L126" i="15"/>
  <c r="K126" i="15"/>
  <c r="I126" i="15"/>
  <c r="F126" i="15"/>
  <c r="X125" i="15"/>
  <c r="U125" i="15"/>
  <c r="T125" i="15"/>
  <c r="S125" i="15"/>
  <c r="R125" i="15"/>
  <c r="W125" i="15" s="1"/>
  <c r="Q125" i="15"/>
  <c r="B125" i="15" s="1"/>
  <c r="P125" i="15"/>
  <c r="O125" i="15"/>
  <c r="N125" i="15"/>
  <c r="V125" i="15" s="1"/>
  <c r="M125" i="15"/>
  <c r="L125" i="15"/>
  <c r="K125" i="15"/>
  <c r="I125" i="15"/>
  <c r="F125" i="15"/>
  <c r="X124" i="15"/>
  <c r="U124" i="15"/>
  <c r="T124" i="15"/>
  <c r="S124" i="15"/>
  <c r="R124" i="15"/>
  <c r="W124" i="15" s="1"/>
  <c r="Q124" i="15"/>
  <c r="B124" i="15" s="1"/>
  <c r="O124" i="15"/>
  <c r="N124" i="15"/>
  <c r="V124" i="15" s="1"/>
  <c r="L124" i="15"/>
  <c r="K124" i="15"/>
  <c r="I124" i="15"/>
  <c r="F124" i="15"/>
  <c r="X123" i="15"/>
  <c r="U123" i="15"/>
  <c r="T123" i="15"/>
  <c r="S123" i="15"/>
  <c r="R123" i="15"/>
  <c r="W123" i="15" s="1"/>
  <c r="Q123" i="15"/>
  <c r="O123" i="15"/>
  <c r="P123" i="15" s="1"/>
  <c r="N123" i="15"/>
  <c r="V123" i="15" s="1"/>
  <c r="M123" i="15"/>
  <c r="L123" i="15"/>
  <c r="K123" i="15"/>
  <c r="I123" i="15"/>
  <c r="F123" i="15"/>
  <c r="B123" i="15"/>
  <c r="X122" i="15"/>
  <c r="U122" i="15"/>
  <c r="T122" i="15"/>
  <c r="S122" i="15"/>
  <c r="R122" i="15"/>
  <c r="Q122" i="15"/>
  <c r="O122" i="15"/>
  <c r="N122" i="15"/>
  <c r="V122" i="15" s="1"/>
  <c r="W122" i="15" s="1"/>
  <c r="L122" i="15"/>
  <c r="K122" i="15"/>
  <c r="I122" i="15"/>
  <c r="F122" i="15"/>
  <c r="X121" i="15"/>
  <c r="V121" i="15"/>
  <c r="W121" i="15" s="1"/>
  <c r="U121" i="15"/>
  <c r="T121" i="15"/>
  <c r="S121" i="15"/>
  <c r="R121" i="15"/>
  <c r="Q121" i="15"/>
  <c r="B121" i="15" s="1"/>
  <c r="O121" i="15"/>
  <c r="N121" i="15"/>
  <c r="M121" i="15"/>
  <c r="L121" i="15"/>
  <c r="K121" i="15"/>
  <c r="I121" i="15"/>
  <c r="F121" i="15"/>
  <c r="X120" i="15"/>
  <c r="U120" i="15"/>
  <c r="T120" i="15"/>
  <c r="S120" i="15"/>
  <c r="R120" i="15"/>
  <c r="Q120" i="15"/>
  <c r="P120" i="15"/>
  <c r="O120" i="15"/>
  <c r="N120" i="15"/>
  <c r="V120" i="15" s="1"/>
  <c r="W120" i="15" s="1"/>
  <c r="M120" i="15"/>
  <c r="L120" i="15"/>
  <c r="K120" i="15"/>
  <c r="I120" i="15"/>
  <c r="F120" i="15"/>
  <c r="B120" i="15"/>
  <c r="X119" i="15"/>
  <c r="U119" i="15"/>
  <c r="T119" i="15"/>
  <c r="S119" i="15"/>
  <c r="R119" i="15"/>
  <c r="Q119" i="15"/>
  <c r="P119" i="15"/>
  <c r="O119" i="15"/>
  <c r="N119" i="15"/>
  <c r="M119" i="15" s="1"/>
  <c r="L119" i="15"/>
  <c r="K119" i="15"/>
  <c r="I119" i="15"/>
  <c r="F119" i="15"/>
  <c r="B119" i="15"/>
  <c r="X118" i="15"/>
  <c r="U118" i="15"/>
  <c r="T118" i="15"/>
  <c r="S118" i="15"/>
  <c r="R118" i="15"/>
  <c r="W118" i="15" s="1"/>
  <c r="Q118" i="15"/>
  <c r="B118" i="15" s="1"/>
  <c r="P118" i="15"/>
  <c r="O118" i="15"/>
  <c r="N118" i="15"/>
  <c r="V118" i="15" s="1"/>
  <c r="M118" i="15"/>
  <c r="L118" i="15"/>
  <c r="K118" i="15"/>
  <c r="I118" i="15"/>
  <c r="F118" i="15"/>
  <c r="X117" i="15"/>
  <c r="U117" i="15"/>
  <c r="T117" i="15"/>
  <c r="S117" i="15"/>
  <c r="R117" i="15"/>
  <c r="W117" i="15" s="1"/>
  <c r="Q117" i="15"/>
  <c r="B117" i="15" s="1"/>
  <c r="P117" i="15"/>
  <c r="O117" i="15"/>
  <c r="N117" i="15"/>
  <c r="V117" i="15" s="1"/>
  <c r="M117" i="15"/>
  <c r="L117" i="15"/>
  <c r="K117" i="15"/>
  <c r="I117" i="15"/>
  <c r="F117" i="15"/>
  <c r="X116" i="15"/>
  <c r="U116" i="15"/>
  <c r="T116" i="15"/>
  <c r="S116" i="15"/>
  <c r="R116" i="15"/>
  <c r="Q116" i="15"/>
  <c r="B116" i="15" s="1"/>
  <c r="O116" i="15"/>
  <c r="N116" i="15"/>
  <c r="V116" i="15" s="1"/>
  <c r="L116" i="15"/>
  <c r="K116" i="15"/>
  <c r="I116" i="15"/>
  <c r="F116" i="15"/>
  <c r="X115" i="15"/>
  <c r="U115" i="15"/>
  <c r="T115" i="15"/>
  <c r="S115" i="15"/>
  <c r="R115" i="15"/>
  <c r="W115" i="15" s="1"/>
  <c r="Q115" i="15"/>
  <c r="O115" i="15"/>
  <c r="P115" i="15" s="1"/>
  <c r="N115" i="15"/>
  <c r="V115" i="15" s="1"/>
  <c r="M115" i="15"/>
  <c r="L115" i="15"/>
  <c r="K115" i="15"/>
  <c r="I115" i="15"/>
  <c r="F115" i="15"/>
  <c r="B115" i="15"/>
  <c r="X114" i="15"/>
  <c r="V114" i="15"/>
  <c r="W114" i="15" s="1"/>
  <c r="U114" i="15"/>
  <c r="T114" i="15"/>
  <c r="S114" i="15"/>
  <c r="R114" i="15"/>
  <c r="Q114" i="15"/>
  <c r="O114" i="15"/>
  <c r="N114" i="15"/>
  <c r="M114" i="15"/>
  <c r="L114" i="15"/>
  <c r="K114" i="15"/>
  <c r="I114" i="15"/>
  <c r="F114" i="15"/>
  <c r="X113" i="15"/>
  <c r="U113" i="15"/>
  <c r="T113" i="15"/>
  <c r="S113" i="15"/>
  <c r="R113" i="15"/>
  <c r="Q113" i="15"/>
  <c r="B113" i="15" s="1"/>
  <c r="O113" i="15"/>
  <c r="N113" i="15"/>
  <c r="L113" i="15"/>
  <c r="K113" i="15"/>
  <c r="I113" i="15"/>
  <c r="F113" i="15"/>
  <c r="X112" i="15"/>
  <c r="U112" i="15"/>
  <c r="T112" i="15"/>
  <c r="S112" i="15"/>
  <c r="R112" i="15"/>
  <c r="Q112" i="15"/>
  <c r="P112" i="15"/>
  <c r="O112" i="15"/>
  <c r="N112" i="15"/>
  <c r="M112" i="15" s="1"/>
  <c r="L112" i="15"/>
  <c r="K112" i="15"/>
  <c r="I112" i="15"/>
  <c r="F112" i="15"/>
  <c r="B112" i="15"/>
  <c r="X111" i="15"/>
  <c r="U111" i="15"/>
  <c r="T111" i="15"/>
  <c r="S111" i="15"/>
  <c r="R111" i="15"/>
  <c r="Q111" i="15"/>
  <c r="P111" i="15"/>
  <c r="O111" i="15"/>
  <c r="N111" i="15"/>
  <c r="M111" i="15" s="1"/>
  <c r="L111" i="15"/>
  <c r="K111" i="15"/>
  <c r="I111" i="15"/>
  <c r="F111" i="15"/>
  <c r="B111" i="15"/>
  <c r="X110" i="15"/>
  <c r="U110" i="15"/>
  <c r="T110" i="15"/>
  <c r="S110" i="15"/>
  <c r="R110" i="15"/>
  <c r="W110" i="15" s="1"/>
  <c r="Q110" i="15"/>
  <c r="P110" i="15"/>
  <c r="O110" i="15"/>
  <c r="N110" i="15"/>
  <c r="V110" i="15" s="1"/>
  <c r="M110" i="15"/>
  <c r="L110" i="15"/>
  <c r="K110" i="15"/>
  <c r="I110" i="15"/>
  <c r="F110" i="15"/>
  <c r="X109" i="15"/>
  <c r="U109" i="15"/>
  <c r="T109" i="15"/>
  <c r="S109" i="15"/>
  <c r="R109" i="15"/>
  <c r="Q109" i="15"/>
  <c r="P109" i="15"/>
  <c r="O109" i="15"/>
  <c r="N109" i="15"/>
  <c r="V109" i="15" s="1"/>
  <c r="W109" i="15" s="1"/>
  <c r="M109" i="15"/>
  <c r="L109" i="15"/>
  <c r="K109" i="15"/>
  <c r="I109" i="15"/>
  <c r="F109" i="15"/>
  <c r="B109" i="15"/>
  <c r="X108" i="15"/>
  <c r="U108" i="15"/>
  <c r="T108" i="15"/>
  <c r="S108" i="15"/>
  <c r="R108" i="15"/>
  <c r="Q108" i="15"/>
  <c r="P108" i="15"/>
  <c r="O108" i="15"/>
  <c r="N108" i="15"/>
  <c r="V108" i="15" s="1"/>
  <c r="M108" i="15"/>
  <c r="L108" i="15"/>
  <c r="K108" i="15"/>
  <c r="I108" i="15"/>
  <c r="F108" i="15"/>
  <c r="B108" i="15"/>
  <c r="X107" i="15"/>
  <c r="U107" i="15"/>
  <c r="T107" i="15"/>
  <c r="S107" i="15"/>
  <c r="R107" i="15"/>
  <c r="Q107" i="15"/>
  <c r="B107" i="15" s="1"/>
  <c r="O107" i="15"/>
  <c r="N107" i="15"/>
  <c r="V107" i="15" s="1"/>
  <c r="L107" i="15"/>
  <c r="K107" i="15"/>
  <c r="I107" i="15"/>
  <c r="F107" i="15"/>
  <c r="X106" i="15"/>
  <c r="U106" i="15"/>
  <c r="T106" i="15"/>
  <c r="S106" i="15"/>
  <c r="R106" i="15"/>
  <c r="W106" i="15" s="1"/>
  <c r="Q106" i="15"/>
  <c r="O106" i="15"/>
  <c r="P106" i="15" s="1"/>
  <c r="N106" i="15"/>
  <c r="V106" i="15" s="1"/>
  <c r="M106" i="15"/>
  <c r="L106" i="15"/>
  <c r="K106" i="15"/>
  <c r="I106" i="15"/>
  <c r="F106" i="15"/>
  <c r="B106" i="15"/>
  <c r="X105" i="15"/>
  <c r="U105" i="15"/>
  <c r="T105" i="15"/>
  <c r="S105" i="15"/>
  <c r="R105" i="15"/>
  <c r="Q105" i="15"/>
  <c r="O105" i="15"/>
  <c r="N105" i="15"/>
  <c r="V105" i="15" s="1"/>
  <c r="W105" i="15" s="1"/>
  <c r="L105" i="15"/>
  <c r="K105" i="15"/>
  <c r="I105" i="15"/>
  <c r="F105" i="15"/>
  <c r="X104" i="15"/>
  <c r="U104" i="15"/>
  <c r="T104" i="15"/>
  <c r="S104" i="15"/>
  <c r="R104" i="15"/>
  <c r="Q104" i="15"/>
  <c r="O104" i="15"/>
  <c r="N104" i="15"/>
  <c r="V104" i="15" s="1"/>
  <c r="W104" i="15" s="1"/>
  <c r="L104" i="15"/>
  <c r="K104" i="15"/>
  <c r="I104" i="15"/>
  <c r="F104" i="15"/>
  <c r="X103" i="15"/>
  <c r="U103" i="15"/>
  <c r="T103" i="15"/>
  <c r="S103" i="15"/>
  <c r="R103" i="15"/>
  <c r="Q103" i="15"/>
  <c r="O103" i="15"/>
  <c r="N103" i="15"/>
  <c r="P103" i="15" s="1"/>
  <c r="L103" i="15"/>
  <c r="K103" i="15"/>
  <c r="I103" i="15"/>
  <c r="F103" i="15"/>
  <c r="X102" i="15"/>
  <c r="U102" i="15"/>
  <c r="T102" i="15"/>
  <c r="S102" i="15"/>
  <c r="R102" i="15"/>
  <c r="Q102" i="15"/>
  <c r="P102" i="15"/>
  <c r="O102" i="15"/>
  <c r="N102" i="15"/>
  <c r="M102" i="15" s="1"/>
  <c r="L102" i="15"/>
  <c r="K102" i="15"/>
  <c r="I102" i="15"/>
  <c r="F102" i="15"/>
  <c r="B102" i="15"/>
  <c r="X101" i="15"/>
  <c r="U101" i="15"/>
  <c r="T101" i="15"/>
  <c r="S101" i="15"/>
  <c r="R101" i="15"/>
  <c r="Q101" i="15"/>
  <c r="O101" i="15"/>
  <c r="P101" i="15" s="1"/>
  <c r="N101" i="15"/>
  <c r="V101" i="15" s="1"/>
  <c r="W101" i="15" s="1"/>
  <c r="M101" i="15"/>
  <c r="L101" i="15"/>
  <c r="K101" i="15"/>
  <c r="I101" i="15"/>
  <c r="F101" i="15"/>
  <c r="B101" i="15"/>
  <c r="X100" i="15"/>
  <c r="U100" i="15"/>
  <c r="T100" i="15"/>
  <c r="S100" i="15"/>
  <c r="R100" i="15"/>
  <c r="Q100" i="15"/>
  <c r="B100" i="15" s="1"/>
  <c r="P100" i="15"/>
  <c r="O100" i="15"/>
  <c r="N100" i="15"/>
  <c r="V100" i="15" s="1"/>
  <c r="M100" i="15"/>
  <c r="L100" i="15"/>
  <c r="K100" i="15"/>
  <c r="I100" i="15"/>
  <c r="F100" i="15"/>
  <c r="X99" i="15"/>
  <c r="U99" i="15"/>
  <c r="T99" i="15"/>
  <c r="S99" i="15"/>
  <c r="R99" i="15"/>
  <c r="W99" i="15" s="1"/>
  <c r="Q99" i="15"/>
  <c r="B99" i="15" s="1"/>
  <c r="O99" i="15"/>
  <c r="N99" i="15"/>
  <c r="V99" i="15" s="1"/>
  <c r="L99" i="15"/>
  <c r="K99" i="15"/>
  <c r="I99" i="15"/>
  <c r="F99" i="15"/>
  <c r="X98" i="15"/>
  <c r="U98" i="15"/>
  <c r="T98" i="15"/>
  <c r="S98" i="15"/>
  <c r="R98" i="15"/>
  <c r="W98" i="15" s="1"/>
  <c r="Q98" i="15"/>
  <c r="O98" i="15"/>
  <c r="P98" i="15" s="1"/>
  <c r="N98" i="15"/>
  <c r="V98" i="15" s="1"/>
  <c r="M98" i="15"/>
  <c r="L98" i="15"/>
  <c r="K98" i="15"/>
  <c r="I98" i="15"/>
  <c r="F98" i="15"/>
  <c r="B98" i="15"/>
  <c r="X97" i="15"/>
  <c r="U97" i="15"/>
  <c r="T97" i="15"/>
  <c r="S97" i="15"/>
  <c r="R97" i="15"/>
  <c r="Q97" i="15"/>
  <c r="O97" i="15"/>
  <c r="N97" i="15"/>
  <c r="V97" i="15" s="1"/>
  <c r="W97" i="15" s="1"/>
  <c r="L97" i="15"/>
  <c r="K97" i="15"/>
  <c r="I97" i="15"/>
  <c r="F97" i="15"/>
  <c r="X96" i="15"/>
  <c r="U96" i="15"/>
  <c r="T96" i="15"/>
  <c r="S96" i="15"/>
  <c r="R96" i="15"/>
  <c r="Q96" i="15"/>
  <c r="O96" i="15"/>
  <c r="N96" i="15"/>
  <c r="P96" i="15" s="1"/>
  <c r="L96" i="15"/>
  <c r="K96" i="15"/>
  <c r="I96" i="15"/>
  <c r="F96" i="15"/>
  <c r="X95" i="15"/>
  <c r="U95" i="15"/>
  <c r="T95" i="15"/>
  <c r="S95" i="15"/>
  <c r="R95" i="15"/>
  <c r="Q95" i="15"/>
  <c r="O95" i="15"/>
  <c r="N95" i="15"/>
  <c r="P95" i="15" s="1"/>
  <c r="L95" i="15"/>
  <c r="K95" i="15"/>
  <c r="I95" i="15"/>
  <c r="F95" i="15"/>
  <c r="X94" i="15"/>
  <c r="U94" i="15"/>
  <c r="T94" i="15"/>
  <c r="S94" i="15"/>
  <c r="R94" i="15"/>
  <c r="Q94" i="15"/>
  <c r="O94" i="15"/>
  <c r="N94" i="15"/>
  <c r="M94" i="15" s="1"/>
  <c r="L94" i="15"/>
  <c r="K94" i="15"/>
  <c r="I94" i="15"/>
  <c r="F94" i="15"/>
  <c r="X93" i="15"/>
  <c r="U93" i="15"/>
  <c r="T93" i="15"/>
  <c r="S93" i="15"/>
  <c r="R93" i="15"/>
  <c r="Q93" i="15"/>
  <c r="B93" i="15" s="1"/>
  <c r="O93" i="15"/>
  <c r="P93" i="15" s="1"/>
  <c r="N93" i="15"/>
  <c r="V93" i="15" s="1"/>
  <c r="W93" i="15" s="1"/>
  <c r="M93" i="15"/>
  <c r="L93" i="15"/>
  <c r="K93" i="15"/>
  <c r="I93" i="15"/>
  <c r="F93" i="15"/>
  <c r="X92" i="15"/>
  <c r="U92" i="15"/>
  <c r="T92" i="15"/>
  <c r="S92" i="15"/>
  <c r="R92" i="15"/>
  <c r="Q92" i="15"/>
  <c r="B92" i="15" s="1"/>
  <c r="P92" i="15"/>
  <c r="O92" i="15"/>
  <c r="N92" i="15"/>
  <c r="V92" i="15" s="1"/>
  <c r="M92" i="15"/>
  <c r="L92" i="15"/>
  <c r="K92" i="15"/>
  <c r="I92" i="15"/>
  <c r="F92" i="15"/>
  <c r="X91" i="15"/>
  <c r="U91" i="15"/>
  <c r="T91" i="15"/>
  <c r="S91" i="15"/>
  <c r="R91" i="15"/>
  <c r="W91" i="15" s="1"/>
  <c r="Q91" i="15"/>
  <c r="B91" i="15" s="1"/>
  <c r="O91" i="15"/>
  <c r="N91" i="15"/>
  <c r="V91" i="15" s="1"/>
  <c r="L91" i="15"/>
  <c r="K91" i="15"/>
  <c r="I91" i="15"/>
  <c r="F91" i="15"/>
  <c r="X90" i="15"/>
  <c r="U90" i="15"/>
  <c r="T90" i="15"/>
  <c r="S90" i="15"/>
  <c r="R90" i="15"/>
  <c r="Q90" i="15"/>
  <c r="O90" i="15"/>
  <c r="P90" i="15" s="1"/>
  <c r="N90" i="15"/>
  <c r="V90" i="15" s="1"/>
  <c r="M90" i="15"/>
  <c r="L90" i="15"/>
  <c r="K90" i="15"/>
  <c r="I90" i="15"/>
  <c r="F90" i="15"/>
  <c r="B90" i="15"/>
  <c r="X89" i="15"/>
  <c r="U89" i="15"/>
  <c r="T89" i="15"/>
  <c r="S89" i="15"/>
  <c r="R89" i="15"/>
  <c r="Q89" i="15"/>
  <c r="O89" i="15"/>
  <c r="N89" i="15"/>
  <c r="V89" i="15" s="1"/>
  <c r="W89" i="15" s="1"/>
  <c r="L89" i="15"/>
  <c r="K89" i="15"/>
  <c r="I89" i="15"/>
  <c r="F89" i="15"/>
  <c r="X88" i="15"/>
  <c r="V88" i="15"/>
  <c r="W88" i="15" s="1"/>
  <c r="U88" i="15"/>
  <c r="T88" i="15"/>
  <c r="S88" i="15"/>
  <c r="R88" i="15"/>
  <c r="Q88" i="15"/>
  <c r="O88" i="15"/>
  <c r="N88" i="15"/>
  <c r="P88" i="15" s="1"/>
  <c r="M88" i="15"/>
  <c r="L88" i="15"/>
  <c r="K88" i="15"/>
  <c r="I88" i="15"/>
  <c r="F88" i="15"/>
  <c r="X87" i="15"/>
  <c r="U87" i="15"/>
  <c r="T87" i="15"/>
  <c r="S87" i="15"/>
  <c r="R87" i="15"/>
  <c r="Q87" i="15"/>
  <c r="O87" i="15"/>
  <c r="N87" i="15"/>
  <c r="P87" i="15" s="1"/>
  <c r="M87" i="15"/>
  <c r="L87" i="15"/>
  <c r="K87" i="15"/>
  <c r="I87" i="15"/>
  <c r="F87" i="15"/>
  <c r="X86" i="15"/>
  <c r="U86" i="15"/>
  <c r="T86" i="15"/>
  <c r="S86" i="15"/>
  <c r="R86" i="15"/>
  <c r="Q86" i="15"/>
  <c r="O86" i="15"/>
  <c r="N86" i="15"/>
  <c r="M86" i="15" s="1"/>
  <c r="L86" i="15"/>
  <c r="K86" i="15"/>
  <c r="I86" i="15"/>
  <c r="F86" i="15"/>
  <c r="X85" i="15"/>
  <c r="U85" i="15"/>
  <c r="T85" i="15"/>
  <c r="S85" i="15"/>
  <c r="R85" i="15"/>
  <c r="Q85" i="15"/>
  <c r="B85" i="15" s="1"/>
  <c r="P85" i="15"/>
  <c r="O85" i="15"/>
  <c r="N85" i="15"/>
  <c r="V85" i="15" s="1"/>
  <c r="W85" i="15" s="1"/>
  <c r="M85" i="15"/>
  <c r="L85" i="15"/>
  <c r="K85" i="15"/>
  <c r="I85" i="15"/>
  <c r="F85" i="15"/>
  <c r="X84" i="15"/>
  <c r="U84" i="15"/>
  <c r="T84" i="15"/>
  <c r="S84" i="15"/>
  <c r="R84" i="15"/>
  <c r="W84" i="15" s="1"/>
  <c r="Q84" i="15"/>
  <c r="B84" i="15" s="1"/>
  <c r="P84" i="15"/>
  <c r="O84" i="15"/>
  <c r="N84" i="15"/>
  <c r="V84" i="15" s="1"/>
  <c r="M84" i="15"/>
  <c r="L84" i="15"/>
  <c r="K84" i="15"/>
  <c r="I84" i="15"/>
  <c r="F84" i="15"/>
  <c r="X83" i="15"/>
  <c r="U83" i="15"/>
  <c r="T83" i="15"/>
  <c r="S83" i="15"/>
  <c r="R83" i="15"/>
  <c r="W83" i="15" s="1"/>
  <c r="Q83" i="15"/>
  <c r="B83" i="15" s="1"/>
  <c r="O83" i="15"/>
  <c r="N83" i="15"/>
  <c r="V83" i="15" s="1"/>
  <c r="L83" i="15"/>
  <c r="K83" i="15"/>
  <c r="I83" i="15"/>
  <c r="F83" i="15"/>
  <c r="X82" i="15"/>
  <c r="U82" i="15"/>
  <c r="T82" i="15"/>
  <c r="S82" i="15"/>
  <c r="R82" i="15"/>
  <c r="Q82" i="15"/>
  <c r="O82" i="15"/>
  <c r="P82" i="15" s="1"/>
  <c r="N82" i="15"/>
  <c r="V82" i="15" s="1"/>
  <c r="W82" i="15" s="1"/>
  <c r="M82" i="15"/>
  <c r="L82" i="15"/>
  <c r="K82" i="15"/>
  <c r="I82" i="15"/>
  <c r="F82" i="15"/>
  <c r="B82" i="15"/>
  <c r="X81" i="15"/>
  <c r="U81" i="15"/>
  <c r="T81" i="15"/>
  <c r="S81" i="15"/>
  <c r="R81" i="15"/>
  <c r="Q81" i="15"/>
  <c r="P81" i="15"/>
  <c r="O81" i="15"/>
  <c r="N81" i="15"/>
  <c r="V81" i="15" s="1"/>
  <c r="W81" i="15" s="1"/>
  <c r="L81" i="15"/>
  <c r="K81" i="15"/>
  <c r="I81" i="15"/>
  <c r="F81" i="15"/>
  <c r="B81" i="15"/>
  <c r="X80" i="15"/>
  <c r="U80" i="15"/>
  <c r="T80" i="15"/>
  <c r="S80" i="15"/>
  <c r="R80" i="15"/>
  <c r="Q80" i="15"/>
  <c r="B80" i="15" s="1"/>
  <c r="O80" i="15"/>
  <c r="N80" i="15"/>
  <c r="V80" i="15" s="1"/>
  <c r="W80" i="15" s="1"/>
  <c r="L80" i="15"/>
  <c r="K80" i="15"/>
  <c r="I80" i="15"/>
  <c r="F80" i="15"/>
  <c r="X79" i="15"/>
  <c r="U79" i="15"/>
  <c r="T79" i="15"/>
  <c r="S79" i="15"/>
  <c r="R79" i="15"/>
  <c r="Q79" i="15"/>
  <c r="O79" i="15"/>
  <c r="P79" i="15" s="1"/>
  <c r="N79" i="15"/>
  <c r="V79" i="15" s="1"/>
  <c r="W79" i="15" s="1"/>
  <c r="L79" i="15"/>
  <c r="K79" i="15"/>
  <c r="I79" i="15"/>
  <c r="F79" i="15"/>
  <c r="B79" i="15"/>
  <c r="X78" i="15"/>
  <c r="U78" i="15"/>
  <c r="T78" i="15"/>
  <c r="S78" i="15"/>
  <c r="R78" i="15"/>
  <c r="Q78" i="15"/>
  <c r="P78" i="15"/>
  <c r="O78" i="15"/>
  <c r="N78" i="15"/>
  <c r="M78" i="15" s="1"/>
  <c r="L78" i="15"/>
  <c r="K78" i="15"/>
  <c r="I78" i="15"/>
  <c r="F78" i="15"/>
  <c r="B78" i="15"/>
  <c r="X77" i="15"/>
  <c r="U77" i="15"/>
  <c r="T77" i="15"/>
  <c r="S77" i="15"/>
  <c r="R77" i="15"/>
  <c r="Q77" i="15"/>
  <c r="O77" i="15"/>
  <c r="P77" i="15" s="1"/>
  <c r="N77" i="15"/>
  <c r="V77" i="15" s="1"/>
  <c r="W77" i="15" s="1"/>
  <c r="M77" i="15"/>
  <c r="L77" i="15"/>
  <c r="K77" i="15"/>
  <c r="I77" i="15"/>
  <c r="F77" i="15"/>
  <c r="B77" i="15"/>
  <c r="X76" i="15"/>
  <c r="U76" i="15"/>
  <c r="T76" i="15"/>
  <c r="S76" i="15"/>
  <c r="R76" i="15"/>
  <c r="Q76" i="15"/>
  <c r="B76" i="15" s="1"/>
  <c r="P76" i="15"/>
  <c r="O76" i="15"/>
  <c r="N76" i="15"/>
  <c r="V76" i="15" s="1"/>
  <c r="M76" i="15"/>
  <c r="L76" i="15"/>
  <c r="K76" i="15"/>
  <c r="I76" i="15"/>
  <c r="F76" i="15"/>
  <c r="X75" i="15"/>
  <c r="V75" i="15"/>
  <c r="U75" i="15"/>
  <c r="T75" i="15"/>
  <c r="S75" i="15"/>
  <c r="R75" i="15"/>
  <c r="Q75" i="15"/>
  <c r="O75" i="15"/>
  <c r="N75" i="15"/>
  <c r="L75" i="15"/>
  <c r="K75" i="15"/>
  <c r="I75" i="15"/>
  <c r="F75" i="15"/>
  <c r="X74" i="15"/>
  <c r="U74" i="15"/>
  <c r="T74" i="15"/>
  <c r="S74" i="15"/>
  <c r="R74" i="15"/>
  <c r="W74" i="15" s="1"/>
  <c r="Q74" i="15"/>
  <c r="O74" i="15"/>
  <c r="P74" i="15" s="1"/>
  <c r="N74" i="15"/>
  <c r="V74" i="15" s="1"/>
  <c r="M74" i="15"/>
  <c r="L74" i="15"/>
  <c r="K74" i="15"/>
  <c r="I74" i="15"/>
  <c r="F74" i="15"/>
  <c r="B74" i="15"/>
  <c r="X73" i="15"/>
  <c r="U73" i="15"/>
  <c r="T73" i="15"/>
  <c r="S73" i="15"/>
  <c r="R73" i="15"/>
  <c r="Q73" i="15"/>
  <c r="P73" i="15"/>
  <c r="O73" i="15"/>
  <c r="N73" i="15"/>
  <c r="V73" i="15" s="1"/>
  <c r="W73" i="15" s="1"/>
  <c r="M73" i="15"/>
  <c r="L73" i="15"/>
  <c r="K73" i="15"/>
  <c r="I73" i="15"/>
  <c r="F73" i="15"/>
  <c r="B73" i="15"/>
  <c r="X72" i="15"/>
  <c r="V72" i="15"/>
  <c r="W72" i="15" s="1"/>
  <c r="U72" i="15"/>
  <c r="T72" i="15"/>
  <c r="S72" i="15"/>
  <c r="R72" i="15"/>
  <c r="Q72" i="15"/>
  <c r="B72" i="15" s="1"/>
  <c r="O72" i="15"/>
  <c r="N72" i="15"/>
  <c r="M72" i="15"/>
  <c r="L72" i="15"/>
  <c r="K72" i="15"/>
  <c r="I72" i="15"/>
  <c r="F72" i="15"/>
  <c r="X71" i="15"/>
  <c r="U71" i="15"/>
  <c r="T71" i="15"/>
  <c r="S71" i="15"/>
  <c r="R71" i="15"/>
  <c r="Q71" i="15"/>
  <c r="P71" i="15"/>
  <c r="O71" i="15"/>
  <c r="N71" i="15"/>
  <c r="V71" i="15" s="1"/>
  <c r="M71" i="15"/>
  <c r="L71" i="15"/>
  <c r="K71" i="15"/>
  <c r="I71" i="15"/>
  <c r="F71" i="15"/>
  <c r="B71" i="15"/>
  <c r="X70" i="15"/>
  <c r="U70" i="15"/>
  <c r="T70" i="15"/>
  <c r="S70" i="15"/>
  <c r="R70" i="15"/>
  <c r="Q70" i="15"/>
  <c r="P70" i="15"/>
  <c r="O70" i="15"/>
  <c r="N70" i="15"/>
  <c r="M70" i="15" s="1"/>
  <c r="L70" i="15"/>
  <c r="K70" i="15"/>
  <c r="I70" i="15"/>
  <c r="F70" i="15"/>
  <c r="B70" i="15"/>
  <c r="X69" i="15"/>
  <c r="U69" i="15"/>
  <c r="T69" i="15"/>
  <c r="S69" i="15"/>
  <c r="R69" i="15"/>
  <c r="W69" i="15" s="1"/>
  <c r="Q69" i="15"/>
  <c r="P69" i="15"/>
  <c r="O69" i="15"/>
  <c r="N69" i="15"/>
  <c r="V69" i="15" s="1"/>
  <c r="M69" i="15"/>
  <c r="L69" i="15"/>
  <c r="K69" i="15"/>
  <c r="I69" i="15"/>
  <c r="F69" i="15"/>
  <c r="B69" i="15"/>
  <c r="X68" i="15"/>
  <c r="U68" i="15"/>
  <c r="T68" i="15"/>
  <c r="S68" i="15"/>
  <c r="R68" i="15"/>
  <c r="Q68" i="15"/>
  <c r="P68" i="15"/>
  <c r="O68" i="15"/>
  <c r="N68" i="15"/>
  <c r="V68" i="15" s="1"/>
  <c r="M68" i="15"/>
  <c r="L68" i="15"/>
  <c r="K68" i="15"/>
  <c r="I68" i="15"/>
  <c r="F68" i="15"/>
  <c r="B68" i="15"/>
  <c r="X67" i="15"/>
  <c r="U67" i="15"/>
  <c r="T67" i="15"/>
  <c r="S67" i="15"/>
  <c r="R67" i="15"/>
  <c r="W67" i="15" s="1"/>
  <c r="Q67" i="15"/>
  <c r="B67" i="15" s="1"/>
  <c r="O67" i="15"/>
  <c r="N67" i="15"/>
  <c r="V67" i="15" s="1"/>
  <c r="L67" i="15"/>
  <c r="K67" i="15"/>
  <c r="I67" i="15"/>
  <c r="F67" i="15"/>
  <c r="X66" i="15"/>
  <c r="U66" i="15"/>
  <c r="T66" i="15"/>
  <c r="S66" i="15"/>
  <c r="R66" i="15"/>
  <c r="Q66" i="15"/>
  <c r="P66" i="15"/>
  <c r="O66" i="15"/>
  <c r="N66" i="15"/>
  <c r="V66" i="15" s="1"/>
  <c r="W66" i="15" s="1"/>
  <c r="M66" i="15"/>
  <c r="L66" i="15"/>
  <c r="K66" i="15"/>
  <c r="I66" i="15"/>
  <c r="F66" i="15"/>
  <c r="B66" i="15"/>
  <c r="X65" i="15"/>
  <c r="U65" i="15"/>
  <c r="T65" i="15"/>
  <c r="S65" i="15"/>
  <c r="R65" i="15"/>
  <c r="Q65" i="15"/>
  <c r="P65" i="15"/>
  <c r="O65" i="15"/>
  <c r="N65" i="15"/>
  <c r="V65" i="15" s="1"/>
  <c r="W65" i="15" s="1"/>
  <c r="L65" i="15"/>
  <c r="K65" i="15"/>
  <c r="I65" i="15"/>
  <c r="F65" i="15"/>
  <c r="B65" i="15"/>
  <c r="X64" i="15"/>
  <c r="U64" i="15"/>
  <c r="T64" i="15"/>
  <c r="S64" i="15"/>
  <c r="R64" i="15"/>
  <c r="Q64" i="15"/>
  <c r="B64" i="15" s="1"/>
  <c r="O64" i="15"/>
  <c r="P64" i="15" s="1"/>
  <c r="N64" i="15"/>
  <c r="M64" i="15" s="1"/>
  <c r="L64" i="15"/>
  <c r="K64" i="15"/>
  <c r="I64" i="15"/>
  <c r="F64" i="15"/>
  <c r="X63" i="15"/>
  <c r="U63" i="15"/>
  <c r="T63" i="15"/>
  <c r="S63" i="15"/>
  <c r="R63" i="15"/>
  <c r="Q63" i="15"/>
  <c r="P63" i="15"/>
  <c r="O63" i="15"/>
  <c r="N63" i="15"/>
  <c r="V63" i="15" s="1"/>
  <c r="M63" i="15"/>
  <c r="L63" i="15"/>
  <c r="K63" i="15"/>
  <c r="I63" i="15"/>
  <c r="F63" i="15"/>
  <c r="B63" i="15"/>
  <c r="X62" i="15"/>
  <c r="U62" i="15"/>
  <c r="T62" i="15"/>
  <c r="S62" i="15"/>
  <c r="R62" i="15"/>
  <c r="Q62" i="15"/>
  <c r="B62" i="15" s="1"/>
  <c r="P62" i="15"/>
  <c r="O62" i="15"/>
  <c r="N62" i="15"/>
  <c r="V62" i="15" s="1"/>
  <c r="L62" i="15"/>
  <c r="K62" i="15"/>
  <c r="I62" i="15"/>
  <c r="F62" i="15"/>
  <c r="X61" i="15"/>
  <c r="U61" i="15"/>
  <c r="T61" i="15"/>
  <c r="S61" i="15"/>
  <c r="R61" i="15"/>
  <c r="W61" i="15" s="1"/>
  <c r="Q61" i="15"/>
  <c r="B61" i="15" s="1"/>
  <c r="O61" i="15"/>
  <c r="P61" i="15" s="1"/>
  <c r="N61" i="15"/>
  <c r="V61" i="15" s="1"/>
  <c r="M61" i="15"/>
  <c r="L61" i="15"/>
  <c r="K61" i="15"/>
  <c r="I61" i="15"/>
  <c r="F61" i="15"/>
  <c r="X60" i="15"/>
  <c r="U60" i="15"/>
  <c r="T60" i="15"/>
  <c r="S60" i="15"/>
  <c r="R60" i="15"/>
  <c r="Q60" i="15"/>
  <c r="O60" i="15"/>
  <c r="N60" i="15"/>
  <c r="P60" i="15" s="1"/>
  <c r="M60" i="15"/>
  <c r="L60" i="15"/>
  <c r="K60" i="15"/>
  <c r="I60" i="15"/>
  <c r="F60" i="15"/>
  <c r="X59" i="15"/>
  <c r="U59" i="15"/>
  <c r="T59" i="15"/>
  <c r="S59" i="15"/>
  <c r="R59" i="15"/>
  <c r="Q59" i="15"/>
  <c r="B59" i="15" s="1"/>
  <c r="O59" i="15"/>
  <c r="N59" i="15"/>
  <c r="P59" i="15" s="1"/>
  <c r="L59" i="15"/>
  <c r="K59" i="15"/>
  <c r="I59" i="15"/>
  <c r="F59" i="15"/>
  <c r="X58" i="15"/>
  <c r="U58" i="15"/>
  <c r="T58" i="15"/>
  <c r="S58" i="15"/>
  <c r="R58" i="15"/>
  <c r="Q58" i="15"/>
  <c r="O58" i="15"/>
  <c r="P58" i="15" s="1"/>
  <c r="N58" i="15"/>
  <c r="V58" i="15" s="1"/>
  <c r="W58" i="15" s="1"/>
  <c r="M58" i="15"/>
  <c r="L58" i="15"/>
  <c r="K58" i="15"/>
  <c r="I58" i="15"/>
  <c r="F58" i="15"/>
  <c r="B58" i="15"/>
  <c r="X57" i="15"/>
  <c r="U57" i="15"/>
  <c r="T57" i="15"/>
  <c r="S57" i="15"/>
  <c r="R57" i="15"/>
  <c r="Q57" i="15"/>
  <c r="P57" i="15"/>
  <c r="O57" i="15"/>
  <c r="N57" i="15"/>
  <c r="V57" i="15" s="1"/>
  <c r="W57" i="15" s="1"/>
  <c r="L57" i="15"/>
  <c r="K57" i="15"/>
  <c r="I57" i="15"/>
  <c r="F57" i="15"/>
  <c r="B57" i="15"/>
  <c r="X56" i="15"/>
  <c r="U56" i="15"/>
  <c r="T56" i="15"/>
  <c r="S56" i="15"/>
  <c r="R56" i="15"/>
  <c r="Q56" i="15"/>
  <c r="B56" i="15" s="1"/>
  <c r="O56" i="15"/>
  <c r="P56" i="15" s="1"/>
  <c r="N56" i="15"/>
  <c r="M56" i="15" s="1"/>
  <c r="L56" i="15"/>
  <c r="K56" i="15"/>
  <c r="I56" i="15"/>
  <c r="F56" i="15"/>
  <c r="X55" i="15"/>
  <c r="U55" i="15"/>
  <c r="T55" i="15"/>
  <c r="S55" i="15"/>
  <c r="R55" i="15"/>
  <c r="Q55" i="15"/>
  <c r="P55" i="15"/>
  <c r="O55" i="15"/>
  <c r="N55" i="15"/>
  <c r="V55" i="15" s="1"/>
  <c r="L55" i="15"/>
  <c r="K55" i="15"/>
  <c r="I55" i="15"/>
  <c r="F55" i="15"/>
  <c r="B55" i="15"/>
  <c r="X54" i="15"/>
  <c r="U54" i="15"/>
  <c r="T54" i="15"/>
  <c r="S54" i="15"/>
  <c r="R54" i="15"/>
  <c r="Q54" i="15"/>
  <c r="B54" i="15" s="1"/>
  <c r="P54" i="15"/>
  <c r="O54" i="15"/>
  <c r="N54" i="15"/>
  <c r="V54" i="15" s="1"/>
  <c r="L54" i="15"/>
  <c r="K54" i="15"/>
  <c r="I54" i="15"/>
  <c r="F54" i="15"/>
  <c r="X53" i="15"/>
  <c r="U53" i="15"/>
  <c r="T53" i="15"/>
  <c r="S53" i="15"/>
  <c r="R53" i="15"/>
  <c r="W53" i="15" s="1"/>
  <c r="Q53" i="15"/>
  <c r="B53" i="15" s="1"/>
  <c r="P53" i="15"/>
  <c r="O53" i="15"/>
  <c r="N53" i="15"/>
  <c r="V53" i="15" s="1"/>
  <c r="M53" i="15"/>
  <c r="L53" i="15"/>
  <c r="K53" i="15"/>
  <c r="I53" i="15"/>
  <c r="F53" i="15"/>
  <c r="X52" i="15"/>
  <c r="U52" i="15"/>
  <c r="T52" i="15"/>
  <c r="S52" i="15"/>
  <c r="R52" i="15"/>
  <c r="Q52" i="15"/>
  <c r="B52" i="15" s="1"/>
  <c r="O52" i="15"/>
  <c r="N52" i="15"/>
  <c r="P52" i="15" s="1"/>
  <c r="M52" i="15"/>
  <c r="L52" i="15"/>
  <c r="K52" i="15"/>
  <c r="I52" i="15"/>
  <c r="F52" i="15"/>
  <c r="X51" i="15"/>
  <c r="U51" i="15"/>
  <c r="T51" i="15"/>
  <c r="S51" i="15"/>
  <c r="R51" i="15"/>
  <c r="Q51" i="15"/>
  <c r="B51" i="15" s="1"/>
  <c r="O51" i="15"/>
  <c r="N51" i="15"/>
  <c r="P51" i="15" s="1"/>
  <c r="L51" i="15"/>
  <c r="K51" i="15"/>
  <c r="I51" i="15"/>
  <c r="F51" i="15"/>
  <c r="X50" i="15"/>
  <c r="U50" i="15"/>
  <c r="T50" i="15"/>
  <c r="S50" i="15"/>
  <c r="R50" i="15"/>
  <c r="Q50" i="15"/>
  <c r="O50" i="15"/>
  <c r="P50" i="15" s="1"/>
  <c r="N50" i="15"/>
  <c r="V50" i="15" s="1"/>
  <c r="W50" i="15" s="1"/>
  <c r="M50" i="15"/>
  <c r="L50" i="15"/>
  <c r="K50" i="15"/>
  <c r="I50" i="15"/>
  <c r="F50" i="15"/>
  <c r="B50" i="15"/>
  <c r="X49" i="15"/>
  <c r="U49" i="15"/>
  <c r="T49" i="15"/>
  <c r="S49" i="15"/>
  <c r="R49" i="15"/>
  <c r="Q49" i="15"/>
  <c r="P49" i="15"/>
  <c r="O49" i="15"/>
  <c r="N49" i="15"/>
  <c r="V49" i="15" s="1"/>
  <c r="W49" i="15" s="1"/>
  <c r="L49" i="15"/>
  <c r="K49" i="15"/>
  <c r="I49" i="15"/>
  <c r="F49" i="15"/>
  <c r="B49" i="15"/>
  <c r="X48" i="15"/>
  <c r="U48" i="15"/>
  <c r="T48" i="15"/>
  <c r="S48" i="15"/>
  <c r="R48" i="15"/>
  <c r="Q48" i="15"/>
  <c r="B48" i="15" s="1"/>
  <c r="O48" i="15"/>
  <c r="P48" i="15" s="1"/>
  <c r="N48" i="15"/>
  <c r="M48" i="15" s="1"/>
  <c r="L48" i="15"/>
  <c r="K48" i="15"/>
  <c r="I48" i="15"/>
  <c r="F48" i="15"/>
  <c r="X47" i="15"/>
  <c r="U47" i="15"/>
  <c r="T47" i="15"/>
  <c r="S47" i="15"/>
  <c r="R47" i="15"/>
  <c r="W47" i="15" s="1"/>
  <c r="Q47" i="15"/>
  <c r="P47" i="15"/>
  <c r="O47" i="15"/>
  <c r="N47" i="15"/>
  <c r="V47" i="15" s="1"/>
  <c r="L47" i="15"/>
  <c r="K47" i="15"/>
  <c r="I47" i="15"/>
  <c r="F47" i="15"/>
  <c r="B47" i="15"/>
  <c r="X46" i="15"/>
  <c r="U46" i="15"/>
  <c r="T46" i="15"/>
  <c r="S46" i="15"/>
  <c r="R46" i="15"/>
  <c r="Q46" i="15"/>
  <c r="B46" i="15" s="1"/>
  <c r="P46" i="15"/>
  <c r="O46" i="15"/>
  <c r="N46" i="15"/>
  <c r="V46" i="15" s="1"/>
  <c r="L46" i="15"/>
  <c r="K46" i="15"/>
  <c r="I46" i="15"/>
  <c r="F46" i="15"/>
  <c r="X45" i="15"/>
  <c r="U45" i="15"/>
  <c r="T45" i="15"/>
  <c r="S45" i="15"/>
  <c r="R45" i="15"/>
  <c r="Q45" i="15"/>
  <c r="B45" i="15" s="1"/>
  <c r="P45" i="15"/>
  <c r="O45" i="15"/>
  <c r="N45" i="15"/>
  <c r="V45" i="15" s="1"/>
  <c r="M45" i="15"/>
  <c r="L45" i="15"/>
  <c r="K45" i="15"/>
  <c r="I45" i="15"/>
  <c r="F45" i="15"/>
  <c r="X44" i="15"/>
  <c r="U44" i="15"/>
  <c r="T44" i="15"/>
  <c r="S44" i="15"/>
  <c r="R44" i="15"/>
  <c r="Q44" i="15"/>
  <c r="B44" i="15" s="1"/>
  <c r="O44" i="15"/>
  <c r="N44" i="15"/>
  <c r="P44" i="15" s="1"/>
  <c r="M44" i="15"/>
  <c r="L44" i="15"/>
  <c r="K44" i="15"/>
  <c r="I44" i="15"/>
  <c r="F44" i="15"/>
  <c r="X43" i="15"/>
  <c r="U43" i="15"/>
  <c r="T43" i="15"/>
  <c r="S43" i="15"/>
  <c r="R43" i="15"/>
  <c r="Q43" i="15"/>
  <c r="B43" i="15" s="1"/>
  <c r="O43" i="15"/>
  <c r="N43" i="15"/>
  <c r="P43" i="15" s="1"/>
  <c r="L43" i="15"/>
  <c r="K43" i="15"/>
  <c r="I43" i="15"/>
  <c r="F43" i="15"/>
  <c r="X42" i="15"/>
  <c r="U42" i="15"/>
  <c r="T42" i="15"/>
  <c r="S42" i="15"/>
  <c r="R42" i="15"/>
  <c r="Q42" i="15"/>
  <c r="O42" i="15"/>
  <c r="P42" i="15" s="1"/>
  <c r="N42" i="15"/>
  <c r="V42" i="15" s="1"/>
  <c r="W42" i="15" s="1"/>
  <c r="M42" i="15"/>
  <c r="L42" i="15"/>
  <c r="K42" i="15"/>
  <c r="I42" i="15"/>
  <c r="F42" i="15"/>
  <c r="B42" i="15"/>
  <c r="X41" i="15"/>
  <c r="U41" i="15"/>
  <c r="T41" i="15"/>
  <c r="S41" i="15"/>
  <c r="R41" i="15"/>
  <c r="Q41" i="15"/>
  <c r="P41" i="15"/>
  <c r="O41" i="15"/>
  <c r="N41" i="15"/>
  <c r="V41" i="15" s="1"/>
  <c r="W41" i="15" s="1"/>
  <c r="L41" i="15"/>
  <c r="K41" i="15"/>
  <c r="I41" i="15"/>
  <c r="F41" i="15"/>
  <c r="B41" i="15"/>
  <c r="X40" i="15"/>
  <c r="U40" i="15"/>
  <c r="T40" i="15"/>
  <c r="S40" i="15"/>
  <c r="R40" i="15"/>
  <c r="Q40" i="15"/>
  <c r="B40" i="15" s="1"/>
  <c r="O40" i="15"/>
  <c r="P40" i="15" s="1"/>
  <c r="N40" i="15"/>
  <c r="M40" i="15" s="1"/>
  <c r="L40" i="15"/>
  <c r="K40" i="15"/>
  <c r="I40" i="15"/>
  <c r="F40" i="15"/>
  <c r="X39" i="15"/>
  <c r="U39" i="15"/>
  <c r="T39" i="15"/>
  <c r="S39" i="15"/>
  <c r="R39" i="15"/>
  <c r="W39" i="15" s="1"/>
  <c r="Q39" i="15"/>
  <c r="P39" i="15"/>
  <c r="O39" i="15"/>
  <c r="N39" i="15"/>
  <c r="V39" i="15" s="1"/>
  <c r="L39" i="15"/>
  <c r="K39" i="15"/>
  <c r="I39" i="15"/>
  <c r="F39" i="15"/>
  <c r="B39" i="15"/>
  <c r="X38" i="15"/>
  <c r="U38" i="15"/>
  <c r="T38" i="15"/>
  <c r="S38" i="15"/>
  <c r="R38" i="15"/>
  <c r="W38" i="15" s="1"/>
  <c r="Q38" i="15"/>
  <c r="B38" i="15" s="1"/>
  <c r="P38" i="15"/>
  <c r="O38" i="15"/>
  <c r="N38" i="15"/>
  <c r="V38" i="15" s="1"/>
  <c r="L38" i="15"/>
  <c r="K38" i="15"/>
  <c r="I38" i="15"/>
  <c r="F38" i="15"/>
  <c r="X37" i="15"/>
  <c r="U37" i="15"/>
  <c r="T37" i="15"/>
  <c r="S37" i="15"/>
  <c r="R37" i="15"/>
  <c r="Q37" i="15"/>
  <c r="B37" i="15" s="1"/>
  <c r="P37" i="15"/>
  <c r="O37" i="15"/>
  <c r="N37" i="15"/>
  <c r="V37" i="15" s="1"/>
  <c r="M37" i="15"/>
  <c r="L37" i="15"/>
  <c r="K37" i="15"/>
  <c r="I37" i="15"/>
  <c r="F37" i="15"/>
  <c r="X36" i="15"/>
  <c r="U36" i="15"/>
  <c r="T36" i="15"/>
  <c r="S36" i="15"/>
  <c r="R36" i="15"/>
  <c r="Q36" i="15"/>
  <c r="B36" i="15" s="1"/>
  <c r="O36" i="15"/>
  <c r="N36" i="15"/>
  <c r="P36" i="15" s="1"/>
  <c r="M36" i="15"/>
  <c r="L36" i="15"/>
  <c r="K36" i="15"/>
  <c r="I36" i="15"/>
  <c r="F36" i="15"/>
  <c r="X35" i="15"/>
  <c r="U35" i="15"/>
  <c r="T35" i="15"/>
  <c r="S35" i="15"/>
  <c r="R35" i="15"/>
  <c r="Q35" i="15"/>
  <c r="B35" i="15" s="1"/>
  <c r="O35" i="15"/>
  <c r="N35" i="15"/>
  <c r="P35" i="15" s="1"/>
  <c r="L35" i="15"/>
  <c r="K35" i="15"/>
  <c r="I35" i="15"/>
  <c r="F35" i="15"/>
  <c r="X34" i="15"/>
  <c r="U34" i="15"/>
  <c r="T34" i="15"/>
  <c r="S34" i="15"/>
  <c r="R34" i="15"/>
  <c r="Q34" i="15"/>
  <c r="O34" i="15"/>
  <c r="P34" i="15" s="1"/>
  <c r="N34" i="15"/>
  <c r="V34" i="15" s="1"/>
  <c r="W34" i="15" s="1"/>
  <c r="M34" i="15"/>
  <c r="L34" i="15"/>
  <c r="K34" i="15"/>
  <c r="I34" i="15"/>
  <c r="F34" i="15"/>
  <c r="B34" i="15"/>
  <c r="X33" i="15"/>
  <c r="U33" i="15"/>
  <c r="T33" i="15"/>
  <c r="S33" i="15"/>
  <c r="R33" i="15"/>
  <c r="Q33" i="15"/>
  <c r="P33" i="15"/>
  <c r="O33" i="15"/>
  <c r="N33" i="15"/>
  <c r="V33" i="15" s="1"/>
  <c r="W33" i="15" s="1"/>
  <c r="L33" i="15"/>
  <c r="K33" i="15"/>
  <c r="I33" i="15"/>
  <c r="F33" i="15"/>
  <c r="B33" i="15"/>
  <c r="X32" i="15"/>
  <c r="U32" i="15"/>
  <c r="T32" i="15"/>
  <c r="S32" i="15"/>
  <c r="R32" i="15"/>
  <c r="Q32" i="15"/>
  <c r="B32" i="15" s="1"/>
  <c r="O32" i="15"/>
  <c r="P32" i="15" s="1"/>
  <c r="N32" i="15"/>
  <c r="M32" i="15" s="1"/>
  <c r="L32" i="15"/>
  <c r="K32" i="15"/>
  <c r="I32" i="15"/>
  <c r="F32" i="15"/>
  <c r="X31" i="15"/>
  <c r="U31" i="15"/>
  <c r="T31" i="15"/>
  <c r="S31" i="15"/>
  <c r="R31" i="15"/>
  <c r="Q31" i="15"/>
  <c r="P31" i="15"/>
  <c r="O31" i="15"/>
  <c r="N31" i="15"/>
  <c r="V31" i="15" s="1"/>
  <c r="L31" i="15"/>
  <c r="K31" i="15"/>
  <c r="I31" i="15"/>
  <c r="F31" i="15"/>
  <c r="B31" i="15"/>
  <c r="X30" i="15"/>
  <c r="U30" i="15"/>
  <c r="T30" i="15"/>
  <c r="S30" i="15"/>
  <c r="R30" i="15"/>
  <c r="W30" i="15" s="1"/>
  <c r="Q30" i="15"/>
  <c r="B30" i="15" s="1"/>
  <c r="P30" i="15"/>
  <c r="O30" i="15"/>
  <c r="N30" i="15"/>
  <c r="V30" i="15" s="1"/>
  <c r="L30" i="15"/>
  <c r="K30" i="15"/>
  <c r="I30" i="15"/>
  <c r="F30" i="15"/>
  <c r="X29" i="15"/>
  <c r="U29" i="15"/>
  <c r="T29" i="15"/>
  <c r="S29" i="15"/>
  <c r="R29" i="15"/>
  <c r="Q29" i="15"/>
  <c r="B29" i="15" s="1"/>
  <c r="O29" i="15"/>
  <c r="P29" i="15" s="1"/>
  <c r="N29" i="15"/>
  <c r="V29" i="15" s="1"/>
  <c r="M29" i="15"/>
  <c r="L29" i="15"/>
  <c r="K29" i="15"/>
  <c r="I29" i="15"/>
  <c r="F29" i="15"/>
  <c r="X28" i="15"/>
  <c r="U28" i="15"/>
  <c r="T28" i="15"/>
  <c r="S28" i="15"/>
  <c r="R28" i="15"/>
  <c r="Q28" i="15"/>
  <c r="O28" i="15"/>
  <c r="N28" i="15"/>
  <c r="P28" i="15" s="1"/>
  <c r="M28" i="15"/>
  <c r="L28" i="15"/>
  <c r="K28" i="15"/>
  <c r="I28" i="15"/>
  <c r="F28" i="15"/>
  <c r="X27" i="15"/>
  <c r="U27" i="15"/>
  <c r="T27" i="15"/>
  <c r="S27" i="15"/>
  <c r="R27" i="15"/>
  <c r="Q27" i="15"/>
  <c r="B27" i="15" s="1"/>
  <c r="O27" i="15"/>
  <c r="N27" i="15"/>
  <c r="P27" i="15" s="1"/>
  <c r="L27" i="15"/>
  <c r="K27" i="15"/>
  <c r="I27" i="15"/>
  <c r="F27" i="15"/>
  <c r="X26" i="15"/>
  <c r="U26" i="15"/>
  <c r="T26" i="15"/>
  <c r="S26" i="15"/>
  <c r="R26" i="15"/>
  <c r="Q26" i="15"/>
  <c r="O26" i="15"/>
  <c r="P26" i="15" s="1"/>
  <c r="N26" i="15"/>
  <c r="V26" i="15" s="1"/>
  <c r="W26" i="15" s="1"/>
  <c r="M26" i="15"/>
  <c r="L26" i="15"/>
  <c r="K26" i="15"/>
  <c r="I26" i="15"/>
  <c r="F26" i="15"/>
  <c r="B26" i="15"/>
  <c r="X25" i="15"/>
  <c r="U25" i="15"/>
  <c r="T25" i="15"/>
  <c r="S25" i="15"/>
  <c r="R25" i="15"/>
  <c r="Q25" i="15"/>
  <c r="P25" i="15"/>
  <c r="O25" i="15"/>
  <c r="N25" i="15"/>
  <c r="V25" i="15" s="1"/>
  <c r="W25" i="15" s="1"/>
  <c r="L25" i="15"/>
  <c r="K25" i="15"/>
  <c r="I25" i="15"/>
  <c r="F25" i="15"/>
  <c r="B25" i="15"/>
  <c r="X24" i="15"/>
  <c r="U24" i="15"/>
  <c r="T24" i="15"/>
  <c r="S24" i="15"/>
  <c r="R24" i="15"/>
  <c r="Q24" i="15"/>
  <c r="B24" i="15" s="1"/>
  <c r="O24" i="15"/>
  <c r="P24" i="15" s="1"/>
  <c r="N24" i="15"/>
  <c r="M24" i="15" s="1"/>
  <c r="L24" i="15"/>
  <c r="K24" i="15"/>
  <c r="I24" i="15"/>
  <c r="F24" i="15"/>
  <c r="X23" i="15"/>
  <c r="U23" i="15"/>
  <c r="T23" i="15"/>
  <c r="S23" i="15"/>
  <c r="R23" i="15"/>
  <c r="Q23" i="15"/>
  <c r="P23" i="15"/>
  <c r="O23" i="15"/>
  <c r="N23" i="15"/>
  <c r="V23" i="15" s="1"/>
  <c r="L23" i="15"/>
  <c r="K23" i="15"/>
  <c r="I23" i="15"/>
  <c r="F23" i="15"/>
  <c r="B23" i="15"/>
  <c r="X22" i="15"/>
  <c r="U22" i="15"/>
  <c r="T22" i="15"/>
  <c r="S22" i="15"/>
  <c r="R22" i="15"/>
  <c r="Q22" i="15"/>
  <c r="B22" i="15" s="1"/>
  <c r="P22" i="15"/>
  <c r="O22" i="15"/>
  <c r="N22" i="15"/>
  <c r="V22" i="15" s="1"/>
  <c r="L22" i="15"/>
  <c r="K22" i="15"/>
  <c r="I22" i="15"/>
  <c r="F22" i="15"/>
  <c r="X21" i="15"/>
  <c r="U21" i="15"/>
  <c r="T21" i="15"/>
  <c r="S21" i="15"/>
  <c r="R21" i="15"/>
  <c r="W21" i="15" s="1"/>
  <c r="Q21" i="15"/>
  <c r="B21" i="15" s="1"/>
  <c r="O21" i="15"/>
  <c r="P21" i="15" s="1"/>
  <c r="N21" i="15"/>
  <c r="V21" i="15" s="1"/>
  <c r="M21" i="15"/>
  <c r="L21" i="15"/>
  <c r="K21" i="15"/>
  <c r="I21" i="15"/>
  <c r="F21" i="15"/>
  <c r="X20" i="15"/>
  <c r="U20" i="15"/>
  <c r="T20" i="15"/>
  <c r="S20" i="15"/>
  <c r="R20" i="15"/>
  <c r="Q20" i="15"/>
  <c r="B20" i="15" s="1"/>
  <c r="O20" i="15"/>
  <c r="N20" i="15"/>
  <c r="P20" i="15" s="1"/>
  <c r="M20" i="15"/>
  <c r="L20" i="15"/>
  <c r="K20" i="15"/>
  <c r="I20" i="15"/>
  <c r="F20" i="15"/>
  <c r="X19" i="15"/>
  <c r="U19" i="15"/>
  <c r="T19" i="15"/>
  <c r="S19" i="15"/>
  <c r="R19" i="15"/>
  <c r="Q19" i="15"/>
  <c r="B19" i="15" s="1"/>
  <c r="O19" i="15"/>
  <c r="N19" i="15"/>
  <c r="P19" i="15" s="1"/>
  <c r="L19" i="15"/>
  <c r="K19" i="15"/>
  <c r="I19" i="15"/>
  <c r="F19" i="15"/>
  <c r="X18" i="15"/>
  <c r="U18" i="15"/>
  <c r="T18" i="15"/>
  <c r="S18" i="15"/>
  <c r="R18" i="15"/>
  <c r="Q18" i="15"/>
  <c r="O18" i="15"/>
  <c r="P18" i="15" s="1"/>
  <c r="N18" i="15"/>
  <c r="V18" i="15" s="1"/>
  <c r="W18" i="15" s="1"/>
  <c r="M18" i="15"/>
  <c r="L18" i="15"/>
  <c r="K18" i="15"/>
  <c r="I18" i="15"/>
  <c r="F18" i="15"/>
  <c r="B18" i="15"/>
  <c r="X17" i="15"/>
  <c r="U17" i="15"/>
  <c r="T17" i="15"/>
  <c r="S17" i="15"/>
  <c r="R17" i="15"/>
  <c r="Q17" i="15"/>
  <c r="P17" i="15"/>
  <c r="O17" i="15"/>
  <c r="N17" i="15"/>
  <c r="V17" i="15" s="1"/>
  <c r="W17" i="15" s="1"/>
  <c r="L17" i="15"/>
  <c r="K17" i="15"/>
  <c r="I17" i="15"/>
  <c r="F17" i="15"/>
  <c r="B17" i="15"/>
  <c r="X16" i="15"/>
  <c r="U16" i="15"/>
  <c r="T16" i="15"/>
  <c r="S16" i="15"/>
  <c r="R16" i="15"/>
  <c r="Q16" i="15"/>
  <c r="B16" i="15" s="1"/>
  <c r="O16" i="15"/>
  <c r="P16" i="15" s="1"/>
  <c r="N16" i="15"/>
  <c r="M16" i="15" s="1"/>
  <c r="L16" i="15"/>
  <c r="K16" i="15"/>
  <c r="I16" i="15"/>
  <c r="F16" i="15"/>
  <c r="X15" i="15"/>
  <c r="U15" i="15"/>
  <c r="T15" i="15"/>
  <c r="S15" i="15"/>
  <c r="R15" i="15"/>
  <c r="Q15" i="15"/>
  <c r="P15" i="15"/>
  <c r="O15" i="15"/>
  <c r="N15" i="15"/>
  <c r="V15" i="15" s="1"/>
  <c r="L15" i="15"/>
  <c r="K15" i="15"/>
  <c r="I15" i="15"/>
  <c r="F15" i="15"/>
  <c r="B15" i="15"/>
  <c r="X14" i="15"/>
  <c r="U14" i="15"/>
  <c r="T14" i="15"/>
  <c r="S14" i="15"/>
  <c r="R14" i="15"/>
  <c r="Q14" i="15"/>
  <c r="B14" i="15" s="1"/>
  <c r="P14" i="15"/>
  <c r="O14" i="15"/>
  <c r="N14" i="15"/>
  <c r="V14" i="15" s="1"/>
  <c r="L14" i="15"/>
  <c r="K14" i="15"/>
  <c r="I14" i="15"/>
  <c r="F14" i="15"/>
  <c r="X13" i="15"/>
  <c r="U13" i="15"/>
  <c r="T13" i="15"/>
  <c r="S13" i="15"/>
  <c r="R13" i="15"/>
  <c r="W13" i="15" s="1"/>
  <c r="Q13" i="15"/>
  <c r="B13" i="15" s="1"/>
  <c r="P13" i="15"/>
  <c r="O13" i="15"/>
  <c r="N13" i="15"/>
  <c r="V13" i="15" s="1"/>
  <c r="M13" i="15"/>
  <c r="L13" i="15"/>
  <c r="K13" i="15"/>
  <c r="I13" i="15"/>
  <c r="F13" i="15"/>
  <c r="X12" i="15"/>
  <c r="U12" i="15"/>
  <c r="T12" i="15"/>
  <c r="S12" i="15"/>
  <c r="R12" i="15"/>
  <c r="Q12" i="15"/>
  <c r="B12" i="15" s="1"/>
  <c r="O12" i="15"/>
  <c r="N12" i="15"/>
  <c r="P12" i="15" s="1"/>
  <c r="M12" i="15"/>
  <c r="L12" i="15"/>
  <c r="K12" i="15"/>
  <c r="I12" i="15"/>
  <c r="F12" i="15"/>
  <c r="X11" i="15"/>
  <c r="U11" i="15"/>
  <c r="T11" i="15"/>
  <c r="S11" i="15"/>
  <c r="R11" i="15"/>
  <c r="Q11" i="15"/>
  <c r="B11" i="15" s="1"/>
  <c r="O11" i="15"/>
  <c r="N11" i="15"/>
  <c r="P11" i="15" s="1"/>
  <c r="L11" i="15"/>
  <c r="K11" i="15"/>
  <c r="I11" i="15"/>
  <c r="F11" i="15"/>
  <c r="X10" i="15"/>
  <c r="U10" i="15"/>
  <c r="T10" i="15"/>
  <c r="S10" i="15"/>
  <c r="R10" i="15"/>
  <c r="Q10" i="15"/>
  <c r="O10" i="15"/>
  <c r="P10" i="15" s="1"/>
  <c r="N10" i="15"/>
  <c r="V10" i="15" s="1"/>
  <c r="W10" i="15" s="1"/>
  <c r="M10" i="15"/>
  <c r="L10" i="15"/>
  <c r="K10" i="15"/>
  <c r="I10" i="15"/>
  <c r="F10" i="15"/>
  <c r="B10" i="15"/>
  <c r="X9" i="15"/>
  <c r="U9" i="15"/>
  <c r="T9" i="15"/>
  <c r="S9" i="15"/>
  <c r="R9" i="15"/>
  <c r="Q9" i="15"/>
  <c r="P9" i="15"/>
  <c r="O9" i="15"/>
  <c r="N9" i="15"/>
  <c r="V9" i="15" s="1"/>
  <c r="W9" i="15" s="1"/>
  <c r="L9" i="15"/>
  <c r="K9" i="15"/>
  <c r="I9" i="15"/>
  <c r="F9" i="15"/>
  <c r="B9" i="15"/>
  <c r="X8" i="15"/>
  <c r="U8" i="15"/>
  <c r="T8" i="15"/>
  <c r="S8" i="15"/>
  <c r="R8" i="15"/>
  <c r="Q8" i="15"/>
  <c r="B8" i="15" s="1"/>
  <c r="O8" i="15"/>
  <c r="P8" i="15" s="1"/>
  <c r="N8" i="15"/>
  <c r="M8" i="15" s="1"/>
  <c r="L8" i="15"/>
  <c r="K8" i="15"/>
  <c r="I8" i="15"/>
  <c r="F8" i="15"/>
  <c r="X7" i="15"/>
  <c r="U7" i="15"/>
  <c r="T7" i="15"/>
  <c r="S7" i="15"/>
  <c r="R7" i="15"/>
  <c r="W7" i="15" s="1"/>
  <c r="Q7" i="15"/>
  <c r="P7" i="15"/>
  <c r="O7" i="15"/>
  <c r="N7" i="15"/>
  <c r="V7" i="15" s="1"/>
  <c r="L7" i="15"/>
  <c r="K7" i="15"/>
  <c r="I7" i="15"/>
  <c r="F7" i="15"/>
  <c r="B7" i="15"/>
  <c r="K3" i="15"/>
  <c r="Z306" i="14"/>
  <c r="V306" i="14"/>
  <c r="Y306" i="14" s="1"/>
  <c r="U306" i="14"/>
  <c r="T306" i="14"/>
  <c r="S306" i="14"/>
  <c r="R306" i="14"/>
  <c r="Q306" i="14"/>
  <c r="O306" i="14"/>
  <c r="N306" i="14"/>
  <c r="M306" i="14"/>
  <c r="P306" i="14" s="1"/>
  <c r="L306" i="14"/>
  <c r="K306" i="14"/>
  <c r="J306" i="14"/>
  <c r="I306" i="14"/>
  <c r="H306" i="14"/>
  <c r="F306" i="14"/>
  <c r="B306" i="14"/>
  <c r="Z305" i="14"/>
  <c r="Y305" i="14"/>
  <c r="X305" i="14"/>
  <c r="W305" i="14"/>
  <c r="V305" i="14"/>
  <c r="U305" i="14"/>
  <c r="T305" i="14"/>
  <c r="S305" i="14"/>
  <c r="R305" i="14"/>
  <c r="Q305" i="14"/>
  <c r="B305" i="14" s="1"/>
  <c r="P305" i="14"/>
  <c r="O305" i="14"/>
  <c r="N305" i="14"/>
  <c r="M305" i="14"/>
  <c r="L305" i="14"/>
  <c r="K305" i="14"/>
  <c r="J305" i="14"/>
  <c r="I305" i="14"/>
  <c r="H305" i="14"/>
  <c r="F305" i="14"/>
  <c r="Z304" i="14"/>
  <c r="U304" i="14"/>
  <c r="T304" i="14"/>
  <c r="S304" i="14"/>
  <c r="R304" i="14"/>
  <c r="Q304" i="14"/>
  <c r="V304" i="14" s="1"/>
  <c r="P304" i="14"/>
  <c r="O304" i="14"/>
  <c r="M304" i="14"/>
  <c r="L304" i="14" s="1"/>
  <c r="K304" i="14"/>
  <c r="J304" i="14"/>
  <c r="I304" i="14"/>
  <c r="H304" i="14"/>
  <c r="F304" i="14"/>
  <c r="Z303" i="14"/>
  <c r="U303" i="14"/>
  <c r="T303" i="14"/>
  <c r="S303" i="14"/>
  <c r="R303" i="14"/>
  <c r="Q303" i="14"/>
  <c r="O303" i="14"/>
  <c r="M303" i="14"/>
  <c r="K303" i="14"/>
  <c r="J303" i="14"/>
  <c r="I303" i="14"/>
  <c r="H303" i="14"/>
  <c r="F303" i="14"/>
  <c r="Z302" i="14"/>
  <c r="Y302" i="14"/>
  <c r="X302" i="14"/>
  <c r="W302" i="14"/>
  <c r="V302" i="14"/>
  <c r="U302" i="14"/>
  <c r="T302" i="14"/>
  <c r="S302" i="14"/>
  <c r="R302" i="14"/>
  <c r="Q302" i="14"/>
  <c r="P302" i="14"/>
  <c r="O302" i="14"/>
  <c r="N302" i="14"/>
  <c r="M302" i="14"/>
  <c r="L302" i="14" s="1"/>
  <c r="K302" i="14"/>
  <c r="J302" i="14"/>
  <c r="I302" i="14"/>
  <c r="H302" i="14"/>
  <c r="F302" i="14"/>
  <c r="Z301" i="14"/>
  <c r="V301" i="14"/>
  <c r="U301" i="14"/>
  <c r="T301" i="14"/>
  <c r="S301" i="14"/>
  <c r="R301" i="14"/>
  <c r="Q301" i="14"/>
  <c r="O301" i="14"/>
  <c r="M301" i="14"/>
  <c r="P301" i="14" s="1"/>
  <c r="K301" i="14"/>
  <c r="J301" i="14"/>
  <c r="I301" i="14"/>
  <c r="H301" i="14"/>
  <c r="F301" i="14"/>
  <c r="B301" i="14"/>
  <c r="Z300" i="14"/>
  <c r="Y300" i="14"/>
  <c r="X300" i="14"/>
  <c r="W300" i="14"/>
  <c r="V300" i="14"/>
  <c r="U300" i="14"/>
  <c r="T300" i="14"/>
  <c r="S300" i="14"/>
  <c r="R300" i="14"/>
  <c r="Q300" i="14"/>
  <c r="B300" i="14" s="1"/>
  <c r="P300" i="14"/>
  <c r="O300" i="14"/>
  <c r="N300" i="14"/>
  <c r="M300" i="14"/>
  <c r="L300" i="14"/>
  <c r="K300" i="14"/>
  <c r="J300" i="14"/>
  <c r="I300" i="14"/>
  <c r="H300" i="14"/>
  <c r="F300" i="14"/>
  <c r="Z299" i="14"/>
  <c r="U299" i="14"/>
  <c r="T299" i="14"/>
  <c r="S299" i="14"/>
  <c r="R299" i="14"/>
  <c r="Q299" i="14"/>
  <c r="B299" i="14" s="1"/>
  <c r="P299" i="14"/>
  <c r="O299" i="14"/>
  <c r="M299" i="14"/>
  <c r="L299" i="14" s="1"/>
  <c r="K299" i="14"/>
  <c r="J299" i="14"/>
  <c r="I299" i="14"/>
  <c r="H299" i="14"/>
  <c r="F299" i="14"/>
  <c r="Z298" i="14"/>
  <c r="U298" i="14"/>
  <c r="T298" i="14"/>
  <c r="S298" i="14"/>
  <c r="R298" i="14"/>
  <c r="Q298" i="14"/>
  <c r="O298" i="14"/>
  <c r="M298" i="14"/>
  <c r="P298" i="14" s="1"/>
  <c r="K298" i="14"/>
  <c r="J298" i="14"/>
  <c r="I298" i="14"/>
  <c r="H298" i="14"/>
  <c r="F298" i="14"/>
  <c r="Z297" i="14"/>
  <c r="U297" i="14"/>
  <c r="T297" i="14"/>
  <c r="S297" i="14"/>
  <c r="R297" i="14"/>
  <c r="Q297" i="14"/>
  <c r="B297" i="14" s="1"/>
  <c r="O297" i="14"/>
  <c r="P297" i="14" s="1"/>
  <c r="M297" i="14"/>
  <c r="L297" i="14" s="1"/>
  <c r="K297" i="14"/>
  <c r="J297" i="14"/>
  <c r="I297" i="14"/>
  <c r="H297" i="14"/>
  <c r="F297" i="14"/>
  <c r="Z296" i="14"/>
  <c r="U296" i="14"/>
  <c r="T296" i="14"/>
  <c r="S296" i="14"/>
  <c r="R296" i="14"/>
  <c r="Q296" i="14"/>
  <c r="O296" i="14"/>
  <c r="M296" i="14"/>
  <c r="L296" i="14" s="1"/>
  <c r="K296" i="14"/>
  <c r="J296" i="14"/>
  <c r="I296" i="14"/>
  <c r="H296" i="14"/>
  <c r="F296" i="14"/>
  <c r="Z295" i="14"/>
  <c r="Y295" i="14"/>
  <c r="X295" i="14"/>
  <c r="W295" i="14"/>
  <c r="V295" i="14"/>
  <c r="U295" i="14"/>
  <c r="T295" i="14"/>
  <c r="S295" i="14"/>
  <c r="R295" i="14"/>
  <c r="Q295" i="14"/>
  <c r="B295" i="14" s="1"/>
  <c r="P295" i="14"/>
  <c r="O295" i="14"/>
  <c r="N295" i="14"/>
  <c r="M295" i="14"/>
  <c r="L295" i="14" s="1"/>
  <c r="K295" i="14"/>
  <c r="J295" i="14"/>
  <c r="I295" i="14"/>
  <c r="H295" i="14"/>
  <c r="F295" i="14"/>
  <c r="Z294" i="14"/>
  <c r="V294" i="14"/>
  <c r="P294" i="14"/>
  <c r="O294" i="14"/>
  <c r="M294" i="14"/>
  <c r="L294" i="14" s="1"/>
  <c r="K294" i="14"/>
  <c r="J294" i="14"/>
  <c r="I294" i="14"/>
  <c r="H294" i="14"/>
  <c r="F294" i="14"/>
  <c r="B294" i="14"/>
  <c r="Z293" i="14"/>
  <c r="V293" i="14"/>
  <c r="Y293" i="14" s="1"/>
  <c r="P293" i="14"/>
  <c r="O293" i="14"/>
  <c r="M293" i="14"/>
  <c r="N293" i="14" s="1"/>
  <c r="K293" i="14"/>
  <c r="J293" i="14"/>
  <c r="I293" i="14"/>
  <c r="H293" i="14"/>
  <c r="F293" i="14"/>
  <c r="Z292" i="14"/>
  <c r="W292" i="14"/>
  <c r="X292" i="14" s="1"/>
  <c r="V292" i="14"/>
  <c r="Y292" i="14" s="1"/>
  <c r="P292" i="14"/>
  <c r="O292" i="14"/>
  <c r="M292" i="14"/>
  <c r="K292" i="14"/>
  <c r="J292" i="14"/>
  <c r="I292" i="14"/>
  <c r="H292" i="14"/>
  <c r="F292" i="14"/>
  <c r="Z291" i="14"/>
  <c r="V291" i="14"/>
  <c r="Y291" i="14" s="1"/>
  <c r="P291" i="14"/>
  <c r="O291" i="14"/>
  <c r="M291" i="14"/>
  <c r="N291" i="14" s="1"/>
  <c r="K291" i="14"/>
  <c r="J291" i="14"/>
  <c r="I291" i="14"/>
  <c r="H291" i="14"/>
  <c r="F291" i="14"/>
  <c r="Z290" i="14"/>
  <c r="W290" i="14"/>
  <c r="X290" i="14" s="1"/>
  <c r="V290" i="14"/>
  <c r="P290" i="14"/>
  <c r="O290" i="14"/>
  <c r="M290" i="14"/>
  <c r="K290" i="14"/>
  <c r="J290" i="14"/>
  <c r="I290" i="14"/>
  <c r="H290" i="14"/>
  <c r="F290" i="14"/>
  <c r="Z289" i="14"/>
  <c r="V289" i="14"/>
  <c r="Y289" i="14" s="1"/>
  <c r="U289" i="14"/>
  <c r="T289" i="14"/>
  <c r="S289" i="14"/>
  <c r="R289" i="14"/>
  <c r="Q289" i="14"/>
  <c r="O289" i="14"/>
  <c r="N289" i="14"/>
  <c r="M289" i="14"/>
  <c r="L289" i="14" s="1"/>
  <c r="K289" i="14"/>
  <c r="J289" i="14"/>
  <c r="I289" i="14"/>
  <c r="H289" i="14"/>
  <c r="F289" i="14"/>
  <c r="Z288" i="14"/>
  <c r="U288" i="14"/>
  <c r="T288" i="14"/>
  <c r="S288" i="14"/>
  <c r="R288" i="14"/>
  <c r="Q288" i="14"/>
  <c r="B288" i="14" s="1"/>
  <c r="O288" i="14"/>
  <c r="M288" i="14"/>
  <c r="L288" i="14"/>
  <c r="K288" i="14"/>
  <c r="J288" i="14"/>
  <c r="I288" i="14"/>
  <c r="H288" i="14"/>
  <c r="F288" i="14"/>
  <c r="Z287" i="14"/>
  <c r="Y287" i="14"/>
  <c r="X287" i="14"/>
  <c r="W287" i="14"/>
  <c r="V287" i="14"/>
  <c r="U287" i="14"/>
  <c r="T287" i="14"/>
  <c r="S287" i="14"/>
  <c r="R287" i="14"/>
  <c r="Q287" i="14"/>
  <c r="B287" i="14" s="1"/>
  <c r="P287" i="14"/>
  <c r="O287" i="14"/>
  <c r="N287" i="14"/>
  <c r="M287" i="14"/>
  <c r="L287" i="14"/>
  <c r="K287" i="14"/>
  <c r="J287" i="14"/>
  <c r="I287" i="14"/>
  <c r="H287" i="14"/>
  <c r="F287" i="14"/>
  <c r="Z286" i="14"/>
  <c r="U286" i="14"/>
  <c r="T286" i="14"/>
  <c r="S286" i="14"/>
  <c r="R286" i="14"/>
  <c r="Q286" i="14"/>
  <c r="O286" i="14"/>
  <c r="M286" i="14"/>
  <c r="K286" i="14"/>
  <c r="J286" i="14"/>
  <c r="I286" i="14"/>
  <c r="H286" i="14"/>
  <c r="F286" i="14"/>
  <c r="B286" i="14"/>
  <c r="Z285" i="14"/>
  <c r="O285" i="14"/>
  <c r="M285" i="14"/>
  <c r="L285" i="14" s="1"/>
  <c r="K285" i="14"/>
  <c r="J285" i="14"/>
  <c r="I285" i="14"/>
  <c r="H285" i="14"/>
  <c r="F285" i="14"/>
  <c r="Z284" i="14"/>
  <c r="Y284" i="14"/>
  <c r="V284" i="14"/>
  <c r="W284" i="14" s="1"/>
  <c r="X284" i="14" s="1"/>
  <c r="U284" i="14"/>
  <c r="T284" i="14"/>
  <c r="S284" i="14"/>
  <c r="R284" i="14"/>
  <c r="Q284" i="14"/>
  <c r="B284" i="14" s="1"/>
  <c r="P284" i="14"/>
  <c r="O284" i="14"/>
  <c r="N284" i="14"/>
  <c r="M284" i="14"/>
  <c r="L284" i="14"/>
  <c r="K284" i="14"/>
  <c r="J284" i="14"/>
  <c r="I284" i="14"/>
  <c r="H284" i="14"/>
  <c r="F284" i="14"/>
  <c r="Z283" i="14"/>
  <c r="Y283" i="14"/>
  <c r="V283" i="14"/>
  <c r="W283" i="14" s="1"/>
  <c r="X283" i="14" s="1"/>
  <c r="U283" i="14"/>
  <c r="T283" i="14"/>
  <c r="S283" i="14"/>
  <c r="R283" i="14"/>
  <c r="Q283" i="14"/>
  <c r="B283" i="14" s="1"/>
  <c r="P283" i="14"/>
  <c r="O283" i="14"/>
  <c r="N283" i="14"/>
  <c r="M283" i="14"/>
  <c r="L283" i="14" s="1"/>
  <c r="K283" i="14"/>
  <c r="J283" i="14"/>
  <c r="I283" i="14"/>
  <c r="H283" i="14"/>
  <c r="F283" i="14"/>
  <c r="Z282" i="14"/>
  <c r="U282" i="14"/>
  <c r="T282" i="14"/>
  <c r="S282" i="14"/>
  <c r="R282" i="14"/>
  <c r="Q282" i="14"/>
  <c r="O282" i="14"/>
  <c r="M282" i="14"/>
  <c r="P282" i="14" s="1"/>
  <c r="L282" i="14"/>
  <c r="K282" i="14"/>
  <c r="J282" i="14"/>
  <c r="I282" i="14"/>
  <c r="H282" i="14"/>
  <c r="F282" i="14"/>
  <c r="B282" i="14"/>
  <c r="Z281" i="14"/>
  <c r="U281" i="14"/>
  <c r="T281" i="14"/>
  <c r="S281" i="14"/>
  <c r="R281" i="14"/>
  <c r="Q281" i="14"/>
  <c r="P281" i="14"/>
  <c r="O281" i="14"/>
  <c r="M281" i="14"/>
  <c r="V281" i="14" s="1"/>
  <c r="W281" i="14" s="1"/>
  <c r="X281" i="14" s="1"/>
  <c r="K281" i="14"/>
  <c r="J281" i="14"/>
  <c r="I281" i="14"/>
  <c r="H281" i="14"/>
  <c r="F281" i="14"/>
  <c r="Z280" i="14"/>
  <c r="U280" i="14"/>
  <c r="T280" i="14"/>
  <c r="S280" i="14"/>
  <c r="R280" i="14"/>
  <c r="Q280" i="14"/>
  <c r="P280" i="14"/>
  <c r="O280" i="14"/>
  <c r="M280" i="14"/>
  <c r="L280" i="14" s="1"/>
  <c r="K280" i="14"/>
  <c r="J280" i="14"/>
  <c r="I280" i="14"/>
  <c r="H280" i="14"/>
  <c r="F280" i="14"/>
  <c r="B280" i="14"/>
  <c r="Z279" i="14"/>
  <c r="U279" i="14"/>
  <c r="T279" i="14"/>
  <c r="S279" i="14"/>
  <c r="R279" i="14"/>
  <c r="Q279" i="14"/>
  <c r="O279" i="14"/>
  <c r="M279" i="14"/>
  <c r="L279" i="14" s="1"/>
  <c r="K279" i="14"/>
  <c r="J279" i="14"/>
  <c r="I279" i="14"/>
  <c r="H279" i="14"/>
  <c r="F279" i="14"/>
  <c r="Z278" i="14"/>
  <c r="Y278" i="14"/>
  <c r="W278" i="14"/>
  <c r="X278" i="14" s="1"/>
  <c r="V278" i="14"/>
  <c r="U278" i="14"/>
  <c r="T278" i="14"/>
  <c r="S278" i="14"/>
  <c r="R278" i="14"/>
  <c r="Q278" i="14"/>
  <c r="B278" i="14" s="1"/>
  <c r="O278" i="14"/>
  <c r="P278" i="14" s="1"/>
  <c r="N278" i="14"/>
  <c r="M278" i="14"/>
  <c r="L278" i="14"/>
  <c r="K278" i="14"/>
  <c r="J278" i="14"/>
  <c r="I278" i="14"/>
  <c r="H278" i="14"/>
  <c r="F278" i="14"/>
  <c r="Z277" i="14"/>
  <c r="U277" i="14"/>
  <c r="T277" i="14"/>
  <c r="B277" i="14" s="1"/>
  <c r="S277" i="14"/>
  <c r="R277" i="14"/>
  <c r="Q277" i="14"/>
  <c r="O277" i="14"/>
  <c r="M277" i="14"/>
  <c r="L277" i="14" s="1"/>
  <c r="K277" i="14"/>
  <c r="J277" i="14"/>
  <c r="I277" i="14"/>
  <c r="H277" i="14"/>
  <c r="F277" i="14"/>
  <c r="Z276" i="14"/>
  <c r="Y276" i="14"/>
  <c r="V276" i="14"/>
  <c r="W276" i="14" s="1"/>
  <c r="X276" i="14" s="1"/>
  <c r="U276" i="14"/>
  <c r="T276" i="14"/>
  <c r="S276" i="14"/>
  <c r="R276" i="14"/>
  <c r="Q276" i="14"/>
  <c r="B276" i="14" s="1"/>
  <c r="P276" i="14"/>
  <c r="O276" i="14"/>
  <c r="N276" i="14"/>
  <c r="M276" i="14"/>
  <c r="L276" i="14"/>
  <c r="K276" i="14"/>
  <c r="J276" i="14"/>
  <c r="I276" i="14"/>
  <c r="H276" i="14"/>
  <c r="F276" i="14"/>
  <c r="Z275" i="14"/>
  <c r="Y275" i="14"/>
  <c r="W275" i="14"/>
  <c r="X275" i="14" s="1"/>
  <c r="V275" i="14"/>
  <c r="U275" i="14"/>
  <c r="T275" i="14"/>
  <c r="S275" i="14"/>
  <c r="R275" i="14"/>
  <c r="Q275" i="14"/>
  <c r="O275" i="14"/>
  <c r="P275" i="14" s="1"/>
  <c r="N275" i="14"/>
  <c r="M275" i="14"/>
  <c r="L275" i="14" s="1"/>
  <c r="K275" i="14"/>
  <c r="J275" i="14"/>
  <c r="I275" i="14"/>
  <c r="H275" i="14"/>
  <c r="F275" i="14"/>
  <c r="B275" i="14"/>
  <c r="Z274" i="14"/>
  <c r="U274" i="14"/>
  <c r="T274" i="14"/>
  <c r="S274" i="14"/>
  <c r="R274" i="14"/>
  <c r="Q274" i="14"/>
  <c r="O274" i="14"/>
  <c r="M274" i="14"/>
  <c r="P274" i="14" s="1"/>
  <c r="L274" i="14"/>
  <c r="K274" i="14"/>
  <c r="J274" i="14"/>
  <c r="I274" i="14"/>
  <c r="H274" i="14"/>
  <c r="F274" i="14"/>
  <c r="B274" i="14"/>
  <c r="Z273" i="14"/>
  <c r="U273" i="14"/>
  <c r="T273" i="14"/>
  <c r="S273" i="14"/>
  <c r="R273" i="14"/>
  <c r="Q273" i="14"/>
  <c r="B273" i="14" s="1"/>
  <c r="P273" i="14"/>
  <c r="O273" i="14"/>
  <c r="M273" i="14"/>
  <c r="V273" i="14" s="1"/>
  <c r="W273" i="14" s="1"/>
  <c r="X273" i="14" s="1"/>
  <c r="K273" i="14"/>
  <c r="J273" i="14"/>
  <c r="I273" i="14"/>
  <c r="H273" i="14"/>
  <c r="F273" i="14"/>
  <c r="Z272" i="14"/>
  <c r="U272" i="14"/>
  <c r="T272" i="14"/>
  <c r="S272" i="14"/>
  <c r="R272" i="14"/>
  <c r="Q272" i="14"/>
  <c r="O272" i="14"/>
  <c r="M272" i="14"/>
  <c r="L272" i="14" s="1"/>
  <c r="K272" i="14"/>
  <c r="J272" i="14"/>
  <c r="I272" i="14"/>
  <c r="H272" i="14"/>
  <c r="F272" i="14"/>
  <c r="Z271" i="14"/>
  <c r="U271" i="14"/>
  <c r="T271" i="14"/>
  <c r="S271" i="14"/>
  <c r="R271" i="14"/>
  <c r="Q271" i="14"/>
  <c r="O271" i="14"/>
  <c r="M271" i="14"/>
  <c r="L271" i="14"/>
  <c r="K271" i="14"/>
  <c r="J271" i="14"/>
  <c r="I271" i="14"/>
  <c r="H271" i="14"/>
  <c r="F271" i="14"/>
  <c r="Z270" i="14"/>
  <c r="Y270" i="14"/>
  <c r="W270" i="14"/>
  <c r="X270" i="14" s="1"/>
  <c r="V270" i="14"/>
  <c r="U270" i="14"/>
  <c r="T270" i="14"/>
  <c r="S270" i="14"/>
  <c r="R270" i="14"/>
  <c r="Q270" i="14"/>
  <c r="B270" i="14" s="1"/>
  <c r="O270" i="14"/>
  <c r="P270" i="14" s="1"/>
  <c r="N270" i="14"/>
  <c r="M270" i="14"/>
  <c r="L270" i="14"/>
  <c r="K270" i="14"/>
  <c r="J270" i="14"/>
  <c r="I270" i="14"/>
  <c r="H270" i="14"/>
  <c r="F270" i="14"/>
  <c r="Z269" i="14"/>
  <c r="U269" i="14"/>
  <c r="T269" i="14"/>
  <c r="S269" i="14"/>
  <c r="R269" i="14"/>
  <c r="Q269" i="14"/>
  <c r="O269" i="14"/>
  <c r="M269" i="14"/>
  <c r="K269" i="14"/>
  <c r="J269" i="14"/>
  <c r="I269" i="14"/>
  <c r="H269" i="14"/>
  <c r="F269" i="14"/>
  <c r="B269" i="14"/>
  <c r="Z268" i="14"/>
  <c r="Y268" i="14"/>
  <c r="V268" i="14"/>
  <c r="W268" i="14" s="1"/>
  <c r="X268" i="14" s="1"/>
  <c r="U268" i="14"/>
  <c r="T268" i="14"/>
  <c r="S268" i="14"/>
  <c r="R268" i="14"/>
  <c r="Q268" i="14"/>
  <c r="B268" i="14" s="1"/>
  <c r="P268" i="14"/>
  <c r="O268" i="14"/>
  <c r="N268" i="14"/>
  <c r="M268" i="14"/>
  <c r="L268" i="14"/>
  <c r="K268" i="14"/>
  <c r="J268" i="14"/>
  <c r="I268" i="14"/>
  <c r="H268" i="14"/>
  <c r="F268" i="14"/>
  <c r="Z267" i="14"/>
  <c r="U267" i="14"/>
  <c r="T267" i="14"/>
  <c r="S267" i="14"/>
  <c r="R267" i="14"/>
  <c r="Q267" i="14"/>
  <c r="O267" i="14"/>
  <c r="P267" i="14" s="1"/>
  <c r="M267" i="14"/>
  <c r="L267" i="14" s="1"/>
  <c r="K267" i="14"/>
  <c r="J267" i="14"/>
  <c r="I267" i="14"/>
  <c r="H267" i="14"/>
  <c r="F267" i="14"/>
  <c r="B267" i="14"/>
  <c r="Z266" i="14"/>
  <c r="U266" i="14"/>
  <c r="T266" i="14"/>
  <c r="S266" i="14"/>
  <c r="R266" i="14"/>
  <c r="Q266" i="14"/>
  <c r="O266" i="14"/>
  <c r="M266" i="14"/>
  <c r="P266" i="14" s="1"/>
  <c r="K266" i="14"/>
  <c r="J266" i="14"/>
  <c r="I266" i="14"/>
  <c r="H266" i="14"/>
  <c r="F266" i="14"/>
  <c r="Z265" i="14"/>
  <c r="U265" i="14"/>
  <c r="T265" i="14"/>
  <c r="S265" i="14"/>
  <c r="R265" i="14"/>
  <c r="Q265" i="14"/>
  <c r="P265" i="14"/>
  <c r="O265" i="14"/>
  <c r="M265" i="14"/>
  <c r="K265" i="14"/>
  <c r="J265" i="14"/>
  <c r="I265" i="14"/>
  <c r="H265" i="14"/>
  <c r="F265" i="14"/>
  <c r="Z264" i="14"/>
  <c r="V264" i="14"/>
  <c r="Y264" i="14" s="1"/>
  <c r="U264" i="14"/>
  <c r="T264" i="14"/>
  <c r="S264" i="14"/>
  <c r="R264" i="14"/>
  <c r="Q264" i="14"/>
  <c r="P264" i="14"/>
  <c r="O264" i="14"/>
  <c r="N264" i="14"/>
  <c r="M264" i="14"/>
  <c r="L264" i="14" s="1"/>
  <c r="K264" i="14"/>
  <c r="J264" i="14"/>
  <c r="I264" i="14"/>
  <c r="H264" i="14"/>
  <c r="F264" i="14"/>
  <c r="B264" i="14"/>
  <c r="Z263" i="14"/>
  <c r="U263" i="14"/>
  <c r="T263" i="14"/>
  <c r="S263" i="14"/>
  <c r="R263" i="14"/>
  <c r="Q263" i="14"/>
  <c r="O263" i="14"/>
  <c r="M263" i="14"/>
  <c r="L263" i="14"/>
  <c r="K263" i="14"/>
  <c r="J263" i="14"/>
  <c r="I263" i="14"/>
  <c r="H263" i="14"/>
  <c r="F263" i="14"/>
  <c r="Z262" i="14"/>
  <c r="V262" i="14"/>
  <c r="U262" i="14"/>
  <c r="T262" i="14"/>
  <c r="S262" i="14"/>
  <c r="R262" i="14"/>
  <c r="Q262" i="14"/>
  <c r="B262" i="14" s="1"/>
  <c r="P262" i="14"/>
  <c r="O262" i="14"/>
  <c r="N262" i="14"/>
  <c r="M262" i="14"/>
  <c r="L262" i="14" s="1"/>
  <c r="K262" i="14"/>
  <c r="J262" i="14"/>
  <c r="I262" i="14"/>
  <c r="H262" i="14"/>
  <c r="F262" i="14"/>
  <c r="Z261" i="14"/>
  <c r="U261" i="14"/>
  <c r="T261" i="14"/>
  <c r="B261" i="14" s="1"/>
  <c r="S261" i="14"/>
  <c r="R261" i="14"/>
  <c r="Q261" i="14"/>
  <c r="O261" i="14"/>
  <c r="M261" i="14"/>
  <c r="P261" i="14" s="1"/>
  <c r="K261" i="14"/>
  <c r="J261" i="14"/>
  <c r="I261" i="14"/>
  <c r="H261" i="14"/>
  <c r="F261" i="14"/>
  <c r="Z260" i="14"/>
  <c r="U260" i="14"/>
  <c r="T260" i="14"/>
  <c r="S260" i="14"/>
  <c r="R260" i="14"/>
  <c r="Q260" i="14"/>
  <c r="B260" i="14" s="1"/>
  <c r="P260" i="14"/>
  <c r="O260" i="14"/>
  <c r="M260" i="14"/>
  <c r="V260" i="14" s="1"/>
  <c r="W260" i="14" s="1"/>
  <c r="X260" i="14" s="1"/>
  <c r="K260" i="14"/>
  <c r="J260" i="14"/>
  <c r="I260" i="14"/>
  <c r="H260" i="14"/>
  <c r="F260" i="14"/>
  <c r="Z259" i="14"/>
  <c r="U259" i="14"/>
  <c r="T259" i="14"/>
  <c r="S259" i="14"/>
  <c r="R259" i="14"/>
  <c r="Q259" i="14"/>
  <c r="O259" i="14"/>
  <c r="P259" i="14" s="1"/>
  <c r="M259" i="14"/>
  <c r="L259" i="14" s="1"/>
  <c r="K259" i="14"/>
  <c r="J259" i="14"/>
  <c r="I259" i="14"/>
  <c r="H259" i="14"/>
  <c r="F259" i="14"/>
  <c r="B259" i="14"/>
  <c r="Z258" i="14"/>
  <c r="U258" i="14"/>
  <c r="T258" i="14"/>
  <c r="S258" i="14"/>
  <c r="R258" i="14"/>
  <c r="Q258" i="14"/>
  <c r="B258" i="14" s="1"/>
  <c r="O258" i="14"/>
  <c r="M258" i="14"/>
  <c r="L258" i="14" s="1"/>
  <c r="K258" i="14"/>
  <c r="J258" i="14"/>
  <c r="I258" i="14"/>
  <c r="H258" i="14"/>
  <c r="F258" i="14"/>
  <c r="Z257" i="14"/>
  <c r="Y257" i="14"/>
  <c r="X257" i="14"/>
  <c r="W257" i="14"/>
  <c r="V257" i="14"/>
  <c r="U257" i="14"/>
  <c r="T257" i="14"/>
  <c r="S257" i="14"/>
  <c r="R257" i="14"/>
  <c r="Q257" i="14"/>
  <c r="B257" i="14" s="1"/>
  <c r="P257" i="14"/>
  <c r="O257" i="14"/>
  <c r="N257" i="14"/>
  <c r="M257" i="14"/>
  <c r="L257" i="14"/>
  <c r="K257" i="14"/>
  <c r="J257" i="14"/>
  <c r="I257" i="14"/>
  <c r="H257" i="14"/>
  <c r="F257" i="14"/>
  <c r="Z256" i="14"/>
  <c r="U256" i="14"/>
  <c r="T256" i="14"/>
  <c r="S256" i="14"/>
  <c r="R256" i="14"/>
  <c r="Q256" i="14"/>
  <c r="O256" i="14"/>
  <c r="M256" i="14"/>
  <c r="P256" i="14" s="1"/>
  <c r="L256" i="14"/>
  <c r="K256" i="14"/>
  <c r="J256" i="14"/>
  <c r="I256" i="14"/>
  <c r="H256" i="14"/>
  <c r="F256" i="14"/>
  <c r="Z255" i="14"/>
  <c r="O255" i="14"/>
  <c r="M255" i="14"/>
  <c r="K255" i="14"/>
  <c r="J255" i="14"/>
  <c r="I255" i="14"/>
  <c r="H255" i="14"/>
  <c r="F255" i="14"/>
  <c r="B255" i="14"/>
  <c r="Z254" i="14"/>
  <c r="O254" i="14"/>
  <c r="M254" i="14"/>
  <c r="L254" i="14"/>
  <c r="K254" i="14"/>
  <c r="J254" i="14"/>
  <c r="I254" i="14"/>
  <c r="H254" i="14"/>
  <c r="F254" i="14"/>
  <c r="Z253" i="14"/>
  <c r="U253" i="14"/>
  <c r="T253" i="14"/>
  <c r="S253" i="14"/>
  <c r="R253" i="14"/>
  <c r="Q253" i="14"/>
  <c r="P253" i="14"/>
  <c r="O253" i="14"/>
  <c r="M253" i="14"/>
  <c r="L253" i="14"/>
  <c r="K253" i="14"/>
  <c r="J253" i="14"/>
  <c r="I253" i="14"/>
  <c r="H253" i="14"/>
  <c r="F253" i="14"/>
  <c r="Z252" i="14"/>
  <c r="Y252" i="14"/>
  <c r="W252" i="14"/>
  <c r="X252" i="14" s="1"/>
  <c r="V252" i="14"/>
  <c r="U252" i="14"/>
  <c r="T252" i="14"/>
  <c r="S252" i="14"/>
  <c r="R252" i="14"/>
  <c r="Q252" i="14"/>
  <c r="B252" i="14" s="1"/>
  <c r="O252" i="14"/>
  <c r="P252" i="14" s="1"/>
  <c r="N252" i="14"/>
  <c r="M252" i="14"/>
  <c r="L252" i="14" s="1"/>
  <c r="K252" i="14"/>
  <c r="J252" i="14"/>
  <c r="I252" i="14"/>
  <c r="H252" i="14"/>
  <c r="F252" i="14"/>
  <c r="Z251" i="14"/>
  <c r="U251" i="14"/>
  <c r="T251" i="14"/>
  <c r="S251" i="14"/>
  <c r="B251" i="14" s="1"/>
  <c r="R251" i="14"/>
  <c r="Q251" i="14"/>
  <c r="O251" i="14"/>
  <c r="M251" i="14"/>
  <c r="P251" i="14" s="1"/>
  <c r="L251" i="14"/>
  <c r="K251" i="14"/>
  <c r="J251" i="14"/>
  <c r="I251" i="14"/>
  <c r="H251" i="14"/>
  <c r="F251" i="14"/>
  <c r="Z250" i="14"/>
  <c r="O250" i="14"/>
  <c r="M250" i="14"/>
  <c r="L250" i="14"/>
  <c r="K250" i="14"/>
  <c r="J250" i="14"/>
  <c r="I250" i="14"/>
  <c r="H250" i="14"/>
  <c r="F250" i="14"/>
  <c r="B250" i="14"/>
  <c r="Z249" i="14"/>
  <c r="U249" i="14"/>
  <c r="T249" i="14"/>
  <c r="S249" i="14"/>
  <c r="R249" i="14"/>
  <c r="Q249" i="14"/>
  <c r="B249" i="14" s="1"/>
  <c r="P249" i="14"/>
  <c r="O249" i="14"/>
  <c r="M249" i="14"/>
  <c r="K249" i="14"/>
  <c r="J249" i="14"/>
  <c r="I249" i="14"/>
  <c r="H249" i="14"/>
  <c r="F249" i="14"/>
  <c r="Z248" i="14"/>
  <c r="U248" i="14"/>
  <c r="B248" i="14" s="1"/>
  <c r="T248" i="14"/>
  <c r="S248" i="14"/>
  <c r="R248" i="14"/>
  <c r="Q248" i="14"/>
  <c r="P248" i="14"/>
  <c r="O248" i="14"/>
  <c r="M248" i="14"/>
  <c r="L248" i="14" s="1"/>
  <c r="K248" i="14"/>
  <c r="J248" i="14"/>
  <c r="I248" i="14"/>
  <c r="H248" i="14"/>
  <c r="F248" i="14"/>
  <c r="Z247" i="14"/>
  <c r="U247" i="14"/>
  <c r="T247" i="14"/>
  <c r="S247" i="14"/>
  <c r="R247" i="14"/>
  <c r="Q247" i="14"/>
  <c r="B247" i="14" s="1"/>
  <c r="O247" i="14"/>
  <c r="M247" i="14"/>
  <c r="K247" i="14"/>
  <c r="J247" i="14"/>
  <c r="I247" i="14"/>
  <c r="H247" i="14"/>
  <c r="F247" i="14"/>
  <c r="Z246" i="14"/>
  <c r="Y246" i="14"/>
  <c r="W246" i="14"/>
  <c r="X246" i="14" s="1"/>
  <c r="V246" i="14"/>
  <c r="U246" i="14"/>
  <c r="T246" i="14"/>
  <c r="S246" i="14"/>
  <c r="R246" i="14"/>
  <c r="Q246" i="14"/>
  <c r="B246" i="14" s="1"/>
  <c r="O246" i="14"/>
  <c r="P246" i="14" s="1"/>
  <c r="N246" i="14"/>
  <c r="M246" i="14"/>
  <c r="L246" i="14"/>
  <c r="K246" i="14"/>
  <c r="J246" i="14"/>
  <c r="I246" i="14"/>
  <c r="H246" i="14"/>
  <c r="F246" i="14"/>
  <c r="Z245" i="14"/>
  <c r="U245" i="14"/>
  <c r="T245" i="14"/>
  <c r="S245" i="14"/>
  <c r="R245" i="14"/>
  <c r="Q245" i="14"/>
  <c r="O245" i="14"/>
  <c r="M245" i="14"/>
  <c r="P245" i="14" s="1"/>
  <c r="K245" i="14"/>
  <c r="J245" i="14"/>
  <c r="I245" i="14"/>
  <c r="H245" i="14"/>
  <c r="F245" i="14"/>
  <c r="Z244" i="14"/>
  <c r="Y244" i="14"/>
  <c r="V244" i="14"/>
  <c r="W244" i="14" s="1"/>
  <c r="X244" i="14" s="1"/>
  <c r="U244" i="14"/>
  <c r="T244" i="14"/>
  <c r="S244" i="14"/>
  <c r="R244" i="14"/>
  <c r="Q244" i="14"/>
  <c r="B244" i="14" s="1"/>
  <c r="P244" i="14"/>
  <c r="O244" i="14"/>
  <c r="N244" i="14"/>
  <c r="M244" i="14"/>
  <c r="L244" i="14"/>
  <c r="K244" i="14"/>
  <c r="J244" i="14"/>
  <c r="I244" i="14"/>
  <c r="H244" i="14"/>
  <c r="F244" i="14"/>
  <c r="Z243" i="14"/>
  <c r="U243" i="14"/>
  <c r="T243" i="14"/>
  <c r="S243" i="14"/>
  <c r="R243" i="14"/>
  <c r="Q243" i="14"/>
  <c r="O243" i="14"/>
  <c r="M243" i="14"/>
  <c r="L243" i="14" s="1"/>
  <c r="K243" i="14"/>
  <c r="J243" i="14"/>
  <c r="I243" i="14"/>
  <c r="H243" i="14"/>
  <c r="F243" i="14"/>
  <c r="Z242" i="14"/>
  <c r="V242" i="14"/>
  <c r="P242" i="14"/>
  <c r="O242" i="14"/>
  <c r="N242" i="14"/>
  <c r="M242" i="14"/>
  <c r="L242" i="14" s="1"/>
  <c r="K242" i="14"/>
  <c r="J242" i="14"/>
  <c r="I242" i="14"/>
  <c r="H242" i="14"/>
  <c r="F242" i="14"/>
  <c r="B242" i="14"/>
  <c r="Z241" i="14"/>
  <c r="O241" i="14"/>
  <c r="M241" i="14"/>
  <c r="L241" i="14" s="1"/>
  <c r="K241" i="14"/>
  <c r="J241" i="14"/>
  <c r="I241" i="14"/>
  <c r="H241" i="14"/>
  <c r="F241" i="14"/>
  <c r="Z240" i="14"/>
  <c r="U240" i="14"/>
  <c r="T240" i="14"/>
  <c r="S240" i="14"/>
  <c r="R240" i="14"/>
  <c r="Q240" i="14"/>
  <c r="O240" i="14"/>
  <c r="M240" i="14"/>
  <c r="P240" i="14" s="1"/>
  <c r="L240" i="14"/>
  <c r="K240" i="14"/>
  <c r="J240" i="14"/>
  <c r="I240" i="14"/>
  <c r="H240" i="14"/>
  <c r="F240" i="14"/>
  <c r="Z239" i="14"/>
  <c r="U239" i="14"/>
  <c r="T239" i="14"/>
  <c r="S239" i="14"/>
  <c r="R239" i="14"/>
  <c r="Q239" i="14"/>
  <c r="B239" i="14" s="1"/>
  <c r="P239" i="14"/>
  <c r="O239" i="14"/>
  <c r="M239" i="14"/>
  <c r="V239" i="14" s="1"/>
  <c r="Y239" i="14" s="1"/>
  <c r="K239" i="14"/>
  <c r="J239" i="14"/>
  <c r="I239" i="14"/>
  <c r="H239" i="14"/>
  <c r="F239" i="14"/>
  <c r="Z238" i="14"/>
  <c r="W238" i="14"/>
  <c r="X238" i="14" s="1"/>
  <c r="V238" i="14"/>
  <c r="Y238" i="14" s="1"/>
  <c r="U238" i="14"/>
  <c r="T238" i="14"/>
  <c r="S238" i="14"/>
  <c r="R238" i="14"/>
  <c r="Q238" i="14"/>
  <c r="O238" i="14"/>
  <c r="P238" i="14" s="1"/>
  <c r="N238" i="14"/>
  <c r="M238" i="14"/>
  <c r="L238" i="14"/>
  <c r="K238" i="14"/>
  <c r="J238" i="14"/>
  <c r="I238" i="14"/>
  <c r="H238" i="14"/>
  <c r="F238" i="14"/>
  <c r="B238" i="14"/>
  <c r="Z237" i="14"/>
  <c r="U237" i="14"/>
  <c r="T237" i="14"/>
  <c r="S237" i="14"/>
  <c r="R237" i="14"/>
  <c r="Q237" i="14"/>
  <c r="B237" i="14" s="1"/>
  <c r="O237" i="14"/>
  <c r="M237" i="14"/>
  <c r="L237" i="14"/>
  <c r="K237" i="14"/>
  <c r="J237" i="14"/>
  <c r="I237" i="14"/>
  <c r="H237" i="14"/>
  <c r="F237" i="14"/>
  <c r="Z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F236" i="14"/>
  <c r="B236" i="14"/>
  <c r="Z235" i="14"/>
  <c r="U235" i="14"/>
  <c r="T235" i="14"/>
  <c r="S235" i="14"/>
  <c r="R235" i="14"/>
  <c r="Q235" i="14"/>
  <c r="O235" i="14"/>
  <c r="M235" i="14"/>
  <c r="P235" i="14" s="1"/>
  <c r="K235" i="14"/>
  <c r="J235" i="14"/>
  <c r="I235" i="14"/>
  <c r="H235" i="14"/>
  <c r="F235" i="14"/>
  <c r="B235" i="14"/>
  <c r="Z234" i="14"/>
  <c r="Y234" i="14"/>
  <c r="V234" i="14"/>
  <c r="W234" i="14" s="1"/>
  <c r="X234" i="14" s="1"/>
  <c r="U234" i="14"/>
  <c r="T234" i="14"/>
  <c r="S234" i="14"/>
  <c r="R234" i="14"/>
  <c r="Q234" i="14"/>
  <c r="B234" i="14" s="1"/>
  <c r="P234" i="14"/>
  <c r="O234" i="14"/>
  <c r="N234" i="14"/>
  <c r="M234" i="14"/>
  <c r="L234" i="14"/>
  <c r="K234" i="14"/>
  <c r="J234" i="14"/>
  <c r="I234" i="14"/>
  <c r="H234" i="14"/>
  <c r="F234" i="14"/>
  <c r="Z233" i="14"/>
  <c r="U233" i="14"/>
  <c r="B233" i="14" s="1"/>
  <c r="T233" i="14"/>
  <c r="S233" i="14"/>
  <c r="R233" i="14"/>
  <c r="Q233" i="14"/>
  <c r="O233" i="14"/>
  <c r="M233" i="14"/>
  <c r="L233" i="14" s="1"/>
  <c r="K233" i="14"/>
  <c r="J233" i="14"/>
  <c r="I233" i="14"/>
  <c r="H233" i="14"/>
  <c r="F233" i="14"/>
  <c r="Z232" i="14"/>
  <c r="U232" i="14"/>
  <c r="T232" i="14"/>
  <c r="S232" i="14"/>
  <c r="R232" i="14"/>
  <c r="Q232" i="14"/>
  <c r="O232" i="14"/>
  <c r="M232" i="14"/>
  <c r="P232" i="14" s="1"/>
  <c r="K232" i="14"/>
  <c r="J232" i="14"/>
  <c r="I232" i="14"/>
  <c r="H232" i="14"/>
  <c r="F232" i="14"/>
  <c r="B232" i="14"/>
  <c r="Z231" i="14"/>
  <c r="O231" i="14"/>
  <c r="N231" i="14"/>
  <c r="M231" i="14"/>
  <c r="V231" i="14" s="1"/>
  <c r="W231" i="14" s="1"/>
  <c r="X231" i="14" s="1"/>
  <c r="L231" i="14"/>
  <c r="K231" i="14"/>
  <c r="J231" i="14"/>
  <c r="I231" i="14"/>
  <c r="H231" i="14"/>
  <c r="F231" i="14"/>
  <c r="B231" i="14"/>
  <c r="Z230" i="14"/>
  <c r="U230" i="14"/>
  <c r="T230" i="14"/>
  <c r="S230" i="14"/>
  <c r="R230" i="14"/>
  <c r="Q230" i="14"/>
  <c r="P230" i="14"/>
  <c r="O230" i="14"/>
  <c r="M230" i="14"/>
  <c r="K230" i="14"/>
  <c r="J230" i="14"/>
  <c r="I230" i="14"/>
  <c r="H230" i="14"/>
  <c r="F230" i="14"/>
  <c r="Z229" i="14"/>
  <c r="U229" i="14"/>
  <c r="T229" i="14"/>
  <c r="S229" i="14"/>
  <c r="R229" i="14"/>
  <c r="V229" i="14" s="1"/>
  <c r="Q229" i="14"/>
  <c r="P229" i="14"/>
  <c r="O229" i="14"/>
  <c r="M229" i="14"/>
  <c r="L229" i="14"/>
  <c r="K229" i="14"/>
  <c r="J229" i="14"/>
  <c r="I229" i="14"/>
  <c r="H229" i="14"/>
  <c r="F229" i="14"/>
  <c r="Z228" i="14"/>
  <c r="O228" i="14"/>
  <c r="P228" i="14" s="1"/>
  <c r="M228" i="14"/>
  <c r="L228" i="14"/>
  <c r="K228" i="14"/>
  <c r="J228" i="14"/>
  <c r="I228" i="14"/>
  <c r="H228" i="14"/>
  <c r="F228" i="14"/>
  <c r="B228" i="14"/>
  <c r="Z227" i="14"/>
  <c r="U227" i="14"/>
  <c r="T227" i="14"/>
  <c r="S227" i="14"/>
  <c r="R227" i="14"/>
  <c r="Q227" i="14"/>
  <c r="O227" i="14"/>
  <c r="M227" i="14"/>
  <c r="L227" i="14" s="1"/>
  <c r="K227" i="14"/>
  <c r="J227" i="14"/>
  <c r="I227" i="14"/>
  <c r="H227" i="14"/>
  <c r="F227" i="14"/>
  <c r="Z226" i="14"/>
  <c r="U226" i="14"/>
  <c r="T226" i="14"/>
  <c r="B226" i="14" s="1"/>
  <c r="S226" i="14"/>
  <c r="R226" i="14"/>
  <c r="Q226" i="14"/>
  <c r="O226" i="14"/>
  <c r="M226" i="14"/>
  <c r="P226" i="14" s="1"/>
  <c r="L226" i="14"/>
  <c r="K226" i="14"/>
  <c r="J226" i="14"/>
  <c r="I226" i="14"/>
  <c r="H226" i="14"/>
  <c r="F226" i="14"/>
  <c r="Z225" i="14"/>
  <c r="U225" i="14"/>
  <c r="T225" i="14"/>
  <c r="S225" i="14"/>
  <c r="R225" i="14"/>
  <c r="Q225" i="14"/>
  <c r="B225" i="14" s="1"/>
  <c r="O225" i="14"/>
  <c r="M225" i="14"/>
  <c r="L225" i="14"/>
  <c r="K225" i="14"/>
  <c r="J225" i="14"/>
  <c r="I225" i="14"/>
  <c r="H225" i="14"/>
  <c r="F225" i="14"/>
  <c r="Z224" i="14"/>
  <c r="U224" i="14"/>
  <c r="T224" i="14"/>
  <c r="B224" i="14" s="1"/>
  <c r="S224" i="14"/>
  <c r="R224" i="14"/>
  <c r="Q224" i="14"/>
  <c r="O224" i="14"/>
  <c r="P224" i="14" s="1"/>
  <c r="M224" i="14"/>
  <c r="L224" i="14"/>
  <c r="K224" i="14"/>
  <c r="J224" i="14"/>
  <c r="I224" i="14"/>
  <c r="H224" i="14"/>
  <c r="F224" i="14"/>
  <c r="Z223" i="14"/>
  <c r="U223" i="14"/>
  <c r="T223" i="14"/>
  <c r="S223" i="14"/>
  <c r="R223" i="14"/>
  <c r="Q223" i="14"/>
  <c r="V223" i="14" s="1"/>
  <c r="P223" i="14"/>
  <c r="O223" i="14"/>
  <c r="M223" i="14"/>
  <c r="L223" i="14"/>
  <c r="K223" i="14"/>
  <c r="J223" i="14"/>
  <c r="I223" i="14"/>
  <c r="H223" i="14"/>
  <c r="F223" i="14"/>
  <c r="Z222" i="14"/>
  <c r="U222" i="14"/>
  <c r="B222" i="14" s="1"/>
  <c r="T222" i="14"/>
  <c r="S222" i="14"/>
  <c r="R222" i="14"/>
  <c r="Q222" i="14"/>
  <c r="O222" i="14"/>
  <c r="M222" i="14"/>
  <c r="P222" i="14" s="1"/>
  <c r="K222" i="14"/>
  <c r="J222" i="14"/>
  <c r="I222" i="14"/>
  <c r="H222" i="14"/>
  <c r="F222" i="14"/>
  <c r="Z221" i="14"/>
  <c r="U221" i="14"/>
  <c r="T221" i="14"/>
  <c r="S221" i="14"/>
  <c r="R221" i="14"/>
  <c r="B221" i="14" s="1"/>
  <c r="Q221" i="14"/>
  <c r="O221" i="14"/>
  <c r="M221" i="14"/>
  <c r="L221" i="14" s="1"/>
  <c r="K221" i="14"/>
  <c r="J221" i="14"/>
  <c r="I221" i="14"/>
  <c r="H221" i="14"/>
  <c r="F221" i="14"/>
  <c r="Z220" i="14"/>
  <c r="U220" i="14"/>
  <c r="B220" i="14" s="1"/>
  <c r="T220" i="14"/>
  <c r="S220" i="14"/>
  <c r="R220" i="14"/>
  <c r="Q220" i="14"/>
  <c r="O220" i="14"/>
  <c r="M220" i="14"/>
  <c r="P220" i="14" s="1"/>
  <c r="K220" i="14"/>
  <c r="J220" i="14"/>
  <c r="I220" i="14"/>
  <c r="H220" i="14"/>
  <c r="F220" i="14"/>
  <c r="Z219" i="14"/>
  <c r="U219" i="14"/>
  <c r="T219" i="14"/>
  <c r="S219" i="14"/>
  <c r="R219" i="14"/>
  <c r="Q219" i="14"/>
  <c r="B219" i="14" s="1"/>
  <c r="O219" i="14"/>
  <c r="M219" i="14"/>
  <c r="L219" i="14" s="1"/>
  <c r="K219" i="14"/>
  <c r="J219" i="14"/>
  <c r="I219" i="14"/>
  <c r="H219" i="14"/>
  <c r="F219" i="14"/>
  <c r="Z218" i="14"/>
  <c r="U218" i="14"/>
  <c r="T218" i="14"/>
  <c r="B218" i="14" s="1"/>
  <c r="S218" i="14"/>
  <c r="R218" i="14"/>
  <c r="Q218" i="14"/>
  <c r="O218" i="14"/>
  <c r="M218" i="14"/>
  <c r="P218" i="14" s="1"/>
  <c r="L218" i="14"/>
  <c r="K218" i="14"/>
  <c r="J218" i="14"/>
  <c r="I218" i="14"/>
  <c r="H218" i="14"/>
  <c r="F218" i="14"/>
  <c r="Z217" i="14"/>
  <c r="U217" i="14"/>
  <c r="T217" i="14"/>
  <c r="S217" i="14"/>
  <c r="R217" i="14"/>
  <c r="Q217" i="14"/>
  <c r="B217" i="14" s="1"/>
  <c r="P217" i="14"/>
  <c r="O217" i="14"/>
  <c r="M217" i="14"/>
  <c r="V217" i="14" s="1"/>
  <c r="K217" i="14"/>
  <c r="J217" i="14"/>
  <c r="I217" i="14"/>
  <c r="H217" i="14"/>
  <c r="F217" i="14"/>
  <c r="Z216" i="14"/>
  <c r="U216" i="14"/>
  <c r="B216" i="14" s="1"/>
  <c r="T216" i="14"/>
  <c r="S216" i="14"/>
  <c r="R216" i="14"/>
  <c r="Q216" i="14"/>
  <c r="O216" i="14"/>
  <c r="M216" i="14"/>
  <c r="P216" i="14" s="1"/>
  <c r="K216" i="14"/>
  <c r="J216" i="14"/>
  <c r="I216" i="14"/>
  <c r="H216" i="14"/>
  <c r="F216" i="14"/>
  <c r="Z215" i="14"/>
  <c r="U215" i="14"/>
  <c r="T215" i="14"/>
  <c r="S215" i="14"/>
  <c r="R215" i="14"/>
  <c r="Q215" i="14"/>
  <c r="B215" i="14" s="1"/>
  <c r="O215" i="14"/>
  <c r="M215" i="14"/>
  <c r="P215" i="14" s="1"/>
  <c r="K215" i="14"/>
  <c r="J215" i="14"/>
  <c r="I215" i="14"/>
  <c r="H215" i="14"/>
  <c r="F215" i="14"/>
  <c r="Z214" i="14"/>
  <c r="U214" i="14"/>
  <c r="T214" i="14"/>
  <c r="S214" i="14"/>
  <c r="R214" i="14"/>
  <c r="Q214" i="14"/>
  <c r="B214" i="14" s="1"/>
  <c r="O214" i="14"/>
  <c r="P214" i="14" s="1"/>
  <c r="M214" i="14"/>
  <c r="V214" i="14" s="1"/>
  <c r="L214" i="14"/>
  <c r="K214" i="14"/>
  <c r="J214" i="14"/>
  <c r="I214" i="14"/>
  <c r="H214" i="14"/>
  <c r="F214" i="14"/>
  <c r="Z213" i="14"/>
  <c r="U213" i="14"/>
  <c r="T213" i="14"/>
  <c r="B213" i="14" s="1"/>
  <c r="S213" i="14"/>
  <c r="R213" i="14"/>
  <c r="Q213" i="14"/>
  <c r="O213" i="14"/>
  <c r="M213" i="14"/>
  <c r="P213" i="14" s="1"/>
  <c r="L213" i="14"/>
  <c r="K213" i="14"/>
  <c r="J213" i="14"/>
  <c r="I213" i="14"/>
  <c r="H213" i="14"/>
  <c r="F213" i="14"/>
  <c r="Z212" i="14"/>
  <c r="Y212" i="14"/>
  <c r="V212" i="14"/>
  <c r="W212" i="14" s="1"/>
  <c r="X212" i="14" s="1"/>
  <c r="U212" i="14"/>
  <c r="T212" i="14"/>
  <c r="S212" i="14"/>
  <c r="R212" i="14"/>
  <c r="Q212" i="14"/>
  <c r="B212" i="14" s="1"/>
  <c r="O212" i="14"/>
  <c r="P212" i="14" s="1"/>
  <c r="N212" i="14"/>
  <c r="M212" i="14"/>
  <c r="L212" i="14"/>
  <c r="K212" i="14"/>
  <c r="J212" i="14"/>
  <c r="I212" i="14"/>
  <c r="H212" i="14"/>
  <c r="F212" i="14"/>
  <c r="Z211" i="14"/>
  <c r="V211" i="14"/>
  <c r="U211" i="14"/>
  <c r="T211" i="14"/>
  <c r="S211" i="14"/>
  <c r="R211" i="14"/>
  <c r="Q211" i="14"/>
  <c r="O211" i="14"/>
  <c r="P211" i="14" s="1"/>
  <c r="N211" i="14"/>
  <c r="M211" i="14"/>
  <c r="L211" i="14"/>
  <c r="K211" i="14"/>
  <c r="J211" i="14"/>
  <c r="I211" i="14"/>
  <c r="H211" i="14"/>
  <c r="F211" i="14"/>
  <c r="B211" i="14"/>
  <c r="Z210" i="14"/>
  <c r="U210" i="14"/>
  <c r="T210" i="14"/>
  <c r="S210" i="14"/>
  <c r="V210" i="14" s="1"/>
  <c r="R210" i="14"/>
  <c r="Q210" i="14"/>
  <c r="O210" i="14"/>
  <c r="M210" i="14"/>
  <c r="P210" i="14" s="1"/>
  <c r="L210" i="14"/>
  <c r="K210" i="14"/>
  <c r="J210" i="14"/>
  <c r="I210" i="14"/>
  <c r="H210" i="14"/>
  <c r="F210" i="14"/>
  <c r="Z209" i="14"/>
  <c r="U209" i="14"/>
  <c r="T209" i="14"/>
  <c r="S209" i="14"/>
  <c r="R209" i="14"/>
  <c r="Q209" i="14"/>
  <c r="B209" i="14" s="1"/>
  <c r="P209" i="14"/>
  <c r="O209" i="14"/>
  <c r="M209" i="14"/>
  <c r="V209" i="14" s="1"/>
  <c r="K209" i="14"/>
  <c r="J209" i="14"/>
  <c r="I209" i="14"/>
  <c r="H209" i="14"/>
  <c r="F209" i="14"/>
  <c r="Z208" i="14"/>
  <c r="U208" i="14"/>
  <c r="T208" i="14"/>
  <c r="S208" i="14"/>
  <c r="R208" i="14"/>
  <c r="Q208" i="14"/>
  <c r="O208" i="14"/>
  <c r="M208" i="14"/>
  <c r="P208" i="14" s="1"/>
  <c r="K208" i="14"/>
  <c r="J208" i="14"/>
  <c r="I208" i="14"/>
  <c r="H208" i="14"/>
  <c r="F208" i="14"/>
  <c r="Z207" i="14"/>
  <c r="U207" i="14"/>
  <c r="T207" i="14"/>
  <c r="S207" i="14"/>
  <c r="R207" i="14"/>
  <c r="Q207" i="14"/>
  <c r="B207" i="14" s="1"/>
  <c r="O207" i="14"/>
  <c r="M207" i="14"/>
  <c r="P207" i="14" s="1"/>
  <c r="K207" i="14"/>
  <c r="J207" i="14"/>
  <c r="I207" i="14"/>
  <c r="H207" i="14"/>
  <c r="F207" i="14"/>
  <c r="Z206" i="14"/>
  <c r="U206" i="14"/>
  <c r="T206" i="14"/>
  <c r="S206" i="14"/>
  <c r="R206" i="14"/>
  <c r="Q206" i="14"/>
  <c r="B206" i="14" s="1"/>
  <c r="O206" i="14"/>
  <c r="P206" i="14" s="1"/>
  <c r="M206" i="14"/>
  <c r="V206" i="14" s="1"/>
  <c r="L206" i="14"/>
  <c r="K206" i="14"/>
  <c r="J206" i="14"/>
  <c r="I206" i="14"/>
  <c r="H206" i="14"/>
  <c r="F206" i="14"/>
  <c r="Z205" i="14"/>
  <c r="U205" i="14"/>
  <c r="T205" i="14"/>
  <c r="S205" i="14"/>
  <c r="R205" i="14"/>
  <c r="Q205" i="14"/>
  <c r="O205" i="14"/>
  <c r="M205" i="14"/>
  <c r="P205" i="14" s="1"/>
  <c r="L205" i="14"/>
  <c r="K205" i="14"/>
  <c r="J205" i="14"/>
  <c r="I205" i="14"/>
  <c r="H205" i="14"/>
  <c r="F205" i="14"/>
  <c r="Z204" i="14"/>
  <c r="U204" i="14"/>
  <c r="T204" i="14"/>
  <c r="S204" i="14"/>
  <c r="R204" i="14"/>
  <c r="Q204" i="14"/>
  <c r="V204" i="14" s="1"/>
  <c r="O204" i="14"/>
  <c r="P204" i="14" s="1"/>
  <c r="M204" i="14"/>
  <c r="L204" i="14"/>
  <c r="K204" i="14"/>
  <c r="J204" i="14"/>
  <c r="I204" i="14"/>
  <c r="H204" i="14"/>
  <c r="F204" i="14"/>
  <c r="Z203" i="14"/>
  <c r="V203" i="14"/>
  <c r="U203" i="14"/>
  <c r="T203" i="14"/>
  <c r="S203" i="14"/>
  <c r="R203" i="14"/>
  <c r="Q203" i="14"/>
  <c r="O203" i="14"/>
  <c r="P203" i="14" s="1"/>
  <c r="N203" i="14"/>
  <c r="M203" i="14"/>
  <c r="L203" i="14"/>
  <c r="K203" i="14"/>
  <c r="J203" i="14"/>
  <c r="I203" i="14"/>
  <c r="H203" i="14"/>
  <c r="F203" i="14"/>
  <c r="B203" i="14"/>
  <c r="Z202" i="14"/>
  <c r="V202" i="14"/>
  <c r="Y202" i="14" s="1"/>
  <c r="U202" i="14"/>
  <c r="T202" i="14"/>
  <c r="S202" i="14"/>
  <c r="R202" i="14"/>
  <c r="Q202" i="14"/>
  <c r="O202" i="14"/>
  <c r="N202" i="14"/>
  <c r="M202" i="14"/>
  <c r="P202" i="14" s="1"/>
  <c r="L202" i="14"/>
  <c r="K202" i="14"/>
  <c r="J202" i="14"/>
  <c r="I202" i="14"/>
  <c r="H202" i="14"/>
  <c r="F202" i="14"/>
  <c r="B202" i="14"/>
  <c r="Z201" i="14"/>
  <c r="U201" i="14"/>
  <c r="T201" i="14"/>
  <c r="S201" i="14"/>
  <c r="R201" i="14"/>
  <c r="Q201" i="14"/>
  <c r="B201" i="14" s="1"/>
  <c r="P201" i="14"/>
  <c r="O201" i="14"/>
  <c r="M201" i="14"/>
  <c r="V201" i="14" s="1"/>
  <c r="K201" i="14"/>
  <c r="J201" i="14"/>
  <c r="I201" i="14"/>
  <c r="H201" i="14"/>
  <c r="F201" i="14"/>
  <c r="Z200" i="14"/>
  <c r="U200" i="14"/>
  <c r="B200" i="14" s="1"/>
  <c r="T200" i="14"/>
  <c r="S200" i="14"/>
  <c r="R200" i="14"/>
  <c r="Q200" i="14"/>
  <c r="O200" i="14"/>
  <c r="M200" i="14"/>
  <c r="P200" i="14" s="1"/>
  <c r="K200" i="14"/>
  <c r="J200" i="14"/>
  <c r="I200" i="14"/>
  <c r="H200" i="14"/>
  <c r="F200" i="14"/>
  <c r="Z199" i="14"/>
  <c r="U199" i="14"/>
  <c r="T199" i="14"/>
  <c r="S199" i="14"/>
  <c r="R199" i="14"/>
  <c r="Q199" i="14"/>
  <c r="B199" i="14" s="1"/>
  <c r="O199" i="14"/>
  <c r="M199" i="14"/>
  <c r="P199" i="14" s="1"/>
  <c r="K199" i="14"/>
  <c r="J199" i="14"/>
  <c r="I199" i="14"/>
  <c r="H199" i="14"/>
  <c r="F199" i="14"/>
  <c r="Z198" i="14"/>
  <c r="U198" i="14"/>
  <c r="T198" i="14"/>
  <c r="S198" i="14"/>
  <c r="R198" i="14"/>
  <c r="Q198" i="14"/>
  <c r="B198" i="14" s="1"/>
  <c r="O198" i="14"/>
  <c r="P198" i="14" s="1"/>
  <c r="M198" i="14"/>
  <c r="V198" i="14" s="1"/>
  <c r="L198" i="14"/>
  <c r="K198" i="14"/>
  <c r="J198" i="14"/>
  <c r="I198" i="14"/>
  <c r="H198" i="14"/>
  <c r="F198" i="14"/>
  <c r="Z197" i="14"/>
  <c r="U197" i="14"/>
  <c r="T197" i="14"/>
  <c r="B197" i="14" s="1"/>
  <c r="S197" i="14"/>
  <c r="R197" i="14"/>
  <c r="Q197" i="14"/>
  <c r="O197" i="14"/>
  <c r="M197" i="14"/>
  <c r="P197" i="14" s="1"/>
  <c r="L197" i="14"/>
  <c r="K197" i="14"/>
  <c r="J197" i="14"/>
  <c r="I197" i="14"/>
  <c r="H197" i="14"/>
  <c r="F197" i="14"/>
  <c r="Z196" i="14"/>
  <c r="U196" i="14"/>
  <c r="T196" i="14"/>
  <c r="S196" i="14"/>
  <c r="R196" i="14"/>
  <c r="Q196" i="14"/>
  <c r="V196" i="14" s="1"/>
  <c r="O196" i="14"/>
  <c r="P196" i="14" s="1"/>
  <c r="M196" i="14"/>
  <c r="L196" i="14"/>
  <c r="K196" i="14"/>
  <c r="J196" i="14"/>
  <c r="I196" i="14"/>
  <c r="H196" i="14"/>
  <c r="F196" i="14"/>
  <c r="Z195" i="14"/>
  <c r="V195" i="14"/>
  <c r="Y195" i="14" s="1"/>
  <c r="U195" i="14"/>
  <c r="T195" i="14"/>
  <c r="S195" i="14"/>
  <c r="R195" i="14"/>
  <c r="Q195" i="14"/>
  <c r="O195" i="14"/>
  <c r="P195" i="14" s="1"/>
  <c r="N195" i="14"/>
  <c r="M195" i="14"/>
  <c r="L195" i="14"/>
  <c r="K195" i="14"/>
  <c r="J195" i="14"/>
  <c r="I195" i="14"/>
  <c r="H195" i="14"/>
  <c r="F195" i="14"/>
  <c r="B195" i="14"/>
  <c r="Z194" i="14"/>
  <c r="U194" i="14"/>
  <c r="T194" i="14"/>
  <c r="S194" i="14"/>
  <c r="V194" i="14" s="1"/>
  <c r="R194" i="14"/>
  <c r="Q194" i="14"/>
  <c r="O194" i="14"/>
  <c r="M194" i="14"/>
  <c r="P194" i="14" s="1"/>
  <c r="L194" i="14"/>
  <c r="K194" i="14"/>
  <c r="J194" i="14"/>
  <c r="I194" i="14"/>
  <c r="H194" i="14"/>
  <c r="F194" i="14"/>
  <c r="Z193" i="14"/>
  <c r="U193" i="14"/>
  <c r="T193" i="14"/>
  <c r="S193" i="14"/>
  <c r="R193" i="14"/>
  <c r="Q193" i="14"/>
  <c r="B193" i="14" s="1"/>
  <c r="P193" i="14"/>
  <c r="O193" i="14"/>
  <c r="M193" i="14"/>
  <c r="V193" i="14" s="1"/>
  <c r="K193" i="14"/>
  <c r="J193" i="14"/>
  <c r="I193" i="14"/>
  <c r="H193" i="14"/>
  <c r="F193" i="14"/>
  <c r="Z192" i="14"/>
  <c r="U192" i="14"/>
  <c r="B192" i="14" s="1"/>
  <c r="T192" i="14"/>
  <c r="S192" i="14"/>
  <c r="R192" i="14"/>
  <c r="Q192" i="14"/>
  <c r="O192" i="14"/>
  <c r="M192" i="14"/>
  <c r="P192" i="14" s="1"/>
  <c r="K192" i="14"/>
  <c r="J192" i="14"/>
  <c r="I192" i="14"/>
  <c r="H192" i="14"/>
  <c r="F192" i="14"/>
  <c r="Z191" i="14"/>
  <c r="U191" i="14"/>
  <c r="T191" i="14"/>
  <c r="S191" i="14"/>
  <c r="R191" i="14"/>
  <c r="Q191" i="14"/>
  <c r="B191" i="14" s="1"/>
  <c r="O191" i="14"/>
  <c r="M191" i="14"/>
  <c r="P191" i="14" s="1"/>
  <c r="K191" i="14"/>
  <c r="J191" i="14"/>
  <c r="I191" i="14"/>
  <c r="H191" i="14"/>
  <c r="F191" i="14"/>
  <c r="Z190" i="14"/>
  <c r="U190" i="14"/>
  <c r="T190" i="14"/>
  <c r="S190" i="14"/>
  <c r="R190" i="14"/>
  <c r="Q190" i="14"/>
  <c r="B190" i="14" s="1"/>
  <c r="O190" i="14"/>
  <c r="P190" i="14" s="1"/>
  <c r="M190" i="14"/>
  <c r="V190" i="14" s="1"/>
  <c r="L190" i="14"/>
  <c r="K190" i="14"/>
  <c r="J190" i="14"/>
  <c r="I190" i="14"/>
  <c r="H190" i="14"/>
  <c r="F190" i="14"/>
  <c r="Z189" i="14"/>
  <c r="O189" i="14"/>
  <c r="V189" i="14" s="1"/>
  <c r="M189" i="14"/>
  <c r="N189" i="14" s="1"/>
  <c r="L189" i="14"/>
  <c r="K189" i="14"/>
  <c r="J189" i="14"/>
  <c r="I189" i="14"/>
  <c r="H189" i="14"/>
  <c r="F189" i="14"/>
  <c r="Z188" i="14"/>
  <c r="U188" i="14"/>
  <c r="T188" i="14"/>
  <c r="B188" i="14" s="1"/>
  <c r="S188" i="14"/>
  <c r="R188" i="14"/>
  <c r="Q188" i="14"/>
  <c r="O188" i="14"/>
  <c r="M188" i="14"/>
  <c r="P188" i="14" s="1"/>
  <c r="L188" i="14"/>
  <c r="K188" i="14"/>
  <c r="J188" i="14"/>
  <c r="I188" i="14"/>
  <c r="H188" i="14"/>
  <c r="F188" i="14"/>
  <c r="Z187" i="14"/>
  <c r="U187" i="14"/>
  <c r="T187" i="14"/>
  <c r="S187" i="14"/>
  <c r="R187" i="14"/>
  <c r="Q187" i="14"/>
  <c r="V187" i="14" s="1"/>
  <c r="O187" i="14"/>
  <c r="P187" i="14" s="1"/>
  <c r="M187" i="14"/>
  <c r="L187" i="14"/>
  <c r="K187" i="14"/>
  <c r="J187" i="14"/>
  <c r="I187" i="14"/>
  <c r="H187" i="14"/>
  <c r="F187" i="14"/>
  <c r="Z186" i="14"/>
  <c r="V186" i="14"/>
  <c r="U186" i="14"/>
  <c r="T186" i="14"/>
  <c r="S186" i="14"/>
  <c r="R186" i="14"/>
  <c r="Q186" i="14"/>
  <c r="O186" i="14"/>
  <c r="P186" i="14" s="1"/>
  <c r="N186" i="14"/>
  <c r="M186" i="14"/>
  <c r="L186" i="14"/>
  <c r="K186" i="14"/>
  <c r="J186" i="14"/>
  <c r="I186" i="14"/>
  <c r="H186" i="14"/>
  <c r="F186" i="14"/>
  <c r="B186" i="14"/>
  <c r="Z185" i="14"/>
  <c r="V185" i="14"/>
  <c r="Y185" i="14" s="1"/>
  <c r="U185" i="14"/>
  <c r="T185" i="14"/>
  <c r="S185" i="14"/>
  <c r="R185" i="14"/>
  <c r="Q185" i="14"/>
  <c r="O185" i="14"/>
  <c r="N185" i="14"/>
  <c r="M185" i="14"/>
  <c r="P185" i="14" s="1"/>
  <c r="L185" i="14"/>
  <c r="K185" i="14"/>
  <c r="J185" i="14"/>
  <c r="I185" i="14"/>
  <c r="H185" i="14"/>
  <c r="F185" i="14"/>
  <c r="B185" i="14"/>
  <c r="Z184" i="14"/>
  <c r="U184" i="14"/>
  <c r="T184" i="14"/>
  <c r="S184" i="14"/>
  <c r="R184" i="14"/>
  <c r="Q184" i="14"/>
  <c r="B184" i="14" s="1"/>
  <c r="P184" i="14"/>
  <c r="O184" i="14"/>
  <c r="M184" i="14"/>
  <c r="V184" i="14" s="1"/>
  <c r="K184" i="14"/>
  <c r="J184" i="14"/>
  <c r="I184" i="14"/>
  <c r="H184" i="14"/>
  <c r="F184" i="14"/>
  <c r="Z183" i="14"/>
  <c r="U183" i="14"/>
  <c r="B183" i="14" s="1"/>
  <c r="T183" i="14"/>
  <c r="S183" i="14"/>
  <c r="R183" i="14"/>
  <c r="Q183" i="14"/>
  <c r="O183" i="14"/>
  <c r="M183" i="14"/>
  <c r="K183" i="14"/>
  <c r="J183" i="14"/>
  <c r="I183" i="14"/>
  <c r="H183" i="14"/>
  <c r="F183" i="14"/>
  <c r="Z182" i="14"/>
  <c r="U182" i="14"/>
  <c r="T182" i="14"/>
  <c r="S182" i="14"/>
  <c r="R182" i="14"/>
  <c r="Q182" i="14"/>
  <c r="O182" i="14"/>
  <c r="M182" i="14"/>
  <c r="P182" i="14" s="1"/>
  <c r="K182" i="14"/>
  <c r="J182" i="14"/>
  <c r="I182" i="14"/>
  <c r="H182" i="14"/>
  <c r="F182" i="14"/>
  <c r="Z181" i="14"/>
  <c r="U181" i="14"/>
  <c r="T181" i="14"/>
  <c r="S181" i="14"/>
  <c r="R181" i="14"/>
  <c r="Q181" i="14"/>
  <c r="B181" i="14" s="1"/>
  <c r="O181" i="14"/>
  <c r="P181" i="14" s="1"/>
  <c r="M181" i="14"/>
  <c r="L181" i="14"/>
  <c r="K181" i="14"/>
  <c r="J181" i="14"/>
  <c r="I181" i="14"/>
  <c r="H181" i="14"/>
  <c r="F181" i="14"/>
  <c r="Z180" i="14"/>
  <c r="O180" i="14"/>
  <c r="M180" i="14"/>
  <c r="L180" i="14" s="1"/>
  <c r="K180" i="14"/>
  <c r="J180" i="14"/>
  <c r="I180" i="14"/>
  <c r="H180" i="14"/>
  <c r="F180" i="14"/>
  <c r="Z179" i="14"/>
  <c r="U179" i="14"/>
  <c r="T179" i="14"/>
  <c r="B179" i="14" s="1"/>
  <c r="S179" i="14"/>
  <c r="R179" i="14"/>
  <c r="Q179" i="14"/>
  <c r="O179" i="14"/>
  <c r="M179" i="14"/>
  <c r="P179" i="14" s="1"/>
  <c r="L179" i="14"/>
  <c r="K179" i="14"/>
  <c r="J179" i="14"/>
  <c r="I179" i="14"/>
  <c r="H179" i="14"/>
  <c r="F179" i="14"/>
  <c r="Z178" i="14"/>
  <c r="U178" i="14"/>
  <c r="T178" i="14"/>
  <c r="S178" i="14"/>
  <c r="R178" i="14"/>
  <c r="Q178" i="14"/>
  <c r="B178" i="14" s="1"/>
  <c r="O178" i="14"/>
  <c r="V178" i="14" s="1"/>
  <c r="M178" i="14"/>
  <c r="L178" i="14"/>
  <c r="K178" i="14"/>
  <c r="J178" i="14"/>
  <c r="I178" i="14"/>
  <c r="H178" i="14"/>
  <c r="F178" i="14"/>
  <c r="Z177" i="14"/>
  <c r="V177" i="14"/>
  <c r="U177" i="14"/>
  <c r="T177" i="14"/>
  <c r="S177" i="14"/>
  <c r="R177" i="14"/>
  <c r="Q177" i="14"/>
  <c r="O177" i="14"/>
  <c r="P177" i="14" s="1"/>
  <c r="N177" i="14"/>
  <c r="M177" i="14"/>
  <c r="L177" i="14"/>
  <c r="K177" i="14"/>
  <c r="J177" i="14"/>
  <c r="I177" i="14"/>
  <c r="H177" i="14"/>
  <c r="F177" i="14"/>
  <c r="B177" i="14"/>
  <c r="Z176" i="14"/>
  <c r="V176" i="14"/>
  <c r="Y176" i="14" s="1"/>
  <c r="U176" i="14"/>
  <c r="T176" i="14"/>
  <c r="S176" i="14"/>
  <c r="R176" i="14"/>
  <c r="Q176" i="14"/>
  <c r="O176" i="14"/>
  <c r="N176" i="14"/>
  <c r="M176" i="14"/>
  <c r="P176" i="14" s="1"/>
  <c r="L176" i="14"/>
  <c r="K176" i="14"/>
  <c r="J176" i="14"/>
  <c r="I176" i="14"/>
  <c r="H176" i="14"/>
  <c r="F176" i="14"/>
  <c r="B176" i="14"/>
  <c r="Z175" i="14"/>
  <c r="U175" i="14"/>
  <c r="T175" i="14"/>
  <c r="S175" i="14"/>
  <c r="R175" i="14"/>
  <c r="Q175" i="14"/>
  <c r="P175" i="14"/>
  <c r="O175" i="14"/>
  <c r="M175" i="14"/>
  <c r="L175" i="14" s="1"/>
  <c r="K175" i="14"/>
  <c r="J175" i="14"/>
  <c r="I175" i="14"/>
  <c r="H175" i="14"/>
  <c r="F175" i="14"/>
  <c r="Z174" i="14"/>
  <c r="V174" i="14"/>
  <c r="P174" i="14"/>
  <c r="O174" i="14"/>
  <c r="M174" i="14"/>
  <c r="K174" i="14"/>
  <c r="J174" i="14"/>
  <c r="I174" i="14"/>
  <c r="H174" i="14"/>
  <c r="F174" i="14"/>
  <c r="Z173" i="14"/>
  <c r="U173" i="14"/>
  <c r="B173" i="14" s="1"/>
  <c r="T173" i="14"/>
  <c r="S173" i="14"/>
  <c r="R173" i="14"/>
  <c r="Q173" i="14"/>
  <c r="O173" i="14"/>
  <c r="M173" i="14"/>
  <c r="L173" i="14" s="1"/>
  <c r="K173" i="14"/>
  <c r="J173" i="14"/>
  <c r="I173" i="14"/>
  <c r="H173" i="14"/>
  <c r="F173" i="14"/>
  <c r="Z172" i="14"/>
  <c r="U172" i="14"/>
  <c r="T172" i="14"/>
  <c r="S172" i="14"/>
  <c r="R172" i="14"/>
  <c r="Q172" i="14"/>
  <c r="O172" i="14"/>
  <c r="M172" i="14"/>
  <c r="K172" i="14"/>
  <c r="J172" i="14"/>
  <c r="I172" i="14"/>
  <c r="H172" i="14"/>
  <c r="F172" i="14"/>
  <c r="Z171" i="14"/>
  <c r="U171" i="14"/>
  <c r="T171" i="14"/>
  <c r="S171" i="14"/>
  <c r="R171" i="14"/>
  <c r="Q171" i="14"/>
  <c r="B171" i="14" s="1"/>
  <c r="P171" i="14"/>
  <c r="O171" i="14"/>
  <c r="M171" i="14"/>
  <c r="V171" i="14" s="1"/>
  <c r="Y171" i="14" s="1"/>
  <c r="L171" i="14"/>
  <c r="K171" i="14"/>
  <c r="J171" i="14"/>
  <c r="I171" i="14"/>
  <c r="H171" i="14"/>
  <c r="F171" i="14"/>
  <c r="Z170" i="14"/>
  <c r="U170" i="14"/>
  <c r="T170" i="14"/>
  <c r="S170" i="14"/>
  <c r="R170" i="14"/>
  <c r="Q170" i="14"/>
  <c r="O170" i="14"/>
  <c r="M170" i="14"/>
  <c r="L170" i="14"/>
  <c r="K170" i="14"/>
  <c r="J170" i="14"/>
  <c r="I170" i="14"/>
  <c r="H170" i="14"/>
  <c r="F170" i="14"/>
  <c r="Z169" i="14"/>
  <c r="U169" i="14"/>
  <c r="T169" i="14"/>
  <c r="S169" i="14"/>
  <c r="R169" i="14"/>
  <c r="Q169" i="14"/>
  <c r="O169" i="14"/>
  <c r="M169" i="14"/>
  <c r="L169" i="14"/>
  <c r="K169" i="14"/>
  <c r="J169" i="14"/>
  <c r="I169" i="14"/>
  <c r="H169" i="14"/>
  <c r="F169" i="14"/>
  <c r="Z168" i="14"/>
  <c r="V168" i="14"/>
  <c r="U168" i="14"/>
  <c r="T168" i="14"/>
  <c r="S168" i="14"/>
  <c r="R168" i="14"/>
  <c r="Q168" i="14"/>
  <c r="O168" i="14"/>
  <c r="P168" i="14" s="1"/>
  <c r="N168" i="14"/>
  <c r="M168" i="14"/>
  <c r="L168" i="14"/>
  <c r="K168" i="14"/>
  <c r="J168" i="14"/>
  <c r="I168" i="14"/>
  <c r="H168" i="14"/>
  <c r="F168" i="14"/>
  <c r="B168" i="14"/>
  <c r="Z167" i="14"/>
  <c r="U167" i="14"/>
  <c r="T167" i="14"/>
  <c r="S167" i="14"/>
  <c r="R167" i="14"/>
  <c r="Q167" i="14"/>
  <c r="O167" i="14"/>
  <c r="M167" i="14"/>
  <c r="P167" i="14" s="1"/>
  <c r="K167" i="14"/>
  <c r="J167" i="14"/>
  <c r="I167" i="14"/>
  <c r="H167" i="14"/>
  <c r="F167" i="14"/>
  <c r="B167" i="14"/>
  <c r="Z166" i="14"/>
  <c r="Y166" i="14"/>
  <c r="U166" i="14"/>
  <c r="T166" i="14"/>
  <c r="S166" i="14"/>
  <c r="R166" i="14"/>
  <c r="Q166" i="14"/>
  <c r="B166" i="14" s="1"/>
  <c r="P166" i="14"/>
  <c r="O166" i="14"/>
  <c r="M166" i="14"/>
  <c r="V166" i="14" s="1"/>
  <c r="W166" i="14" s="1"/>
  <c r="X166" i="14" s="1"/>
  <c r="K166" i="14"/>
  <c r="J166" i="14"/>
  <c r="I166" i="14"/>
  <c r="H166" i="14"/>
  <c r="F166" i="14"/>
  <c r="Z165" i="14"/>
  <c r="U165" i="14"/>
  <c r="B165" i="14" s="1"/>
  <c r="T165" i="14"/>
  <c r="S165" i="14"/>
  <c r="R165" i="14"/>
  <c r="Q165" i="14"/>
  <c r="O165" i="14"/>
  <c r="M165" i="14"/>
  <c r="L165" i="14" s="1"/>
  <c r="K165" i="14"/>
  <c r="J165" i="14"/>
  <c r="I165" i="14"/>
  <c r="H165" i="14"/>
  <c r="F165" i="14"/>
  <c r="Z164" i="14"/>
  <c r="U164" i="14"/>
  <c r="T164" i="14"/>
  <c r="S164" i="14"/>
  <c r="R164" i="14"/>
  <c r="Q164" i="14"/>
  <c r="O164" i="14"/>
  <c r="M164" i="14"/>
  <c r="L164" i="14"/>
  <c r="K164" i="14"/>
  <c r="J164" i="14"/>
  <c r="I164" i="14"/>
  <c r="H164" i="14"/>
  <c r="F164" i="14"/>
  <c r="Z163" i="14"/>
  <c r="U163" i="14"/>
  <c r="T163" i="14"/>
  <c r="S163" i="14"/>
  <c r="R163" i="14"/>
  <c r="Q163" i="14"/>
  <c r="B163" i="14" s="1"/>
  <c r="O163" i="14"/>
  <c r="P163" i="14" s="1"/>
  <c r="M163" i="14"/>
  <c r="V163" i="14" s="1"/>
  <c r="L163" i="14"/>
  <c r="K163" i="14"/>
  <c r="J163" i="14"/>
  <c r="I163" i="14"/>
  <c r="H163" i="14"/>
  <c r="F163" i="14"/>
  <c r="Z162" i="14"/>
  <c r="U162" i="14"/>
  <c r="T162" i="14"/>
  <c r="B162" i="14" s="1"/>
  <c r="S162" i="14"/>
  <c r="R162" i="14"/>
  <c r="Q162" i="14"/>
  <c r="O162" i="14"/>
  <c r="M162" i="14"/>
  <c r="P162" i="14" s="1"/>
  <c r="L162" i="14"/>
  <c r="K162" i="14"/>
  <c r="J162" i="14"/>
  <c r="I162" i="14"/>
  <c r="H162" i="14"/>
  <c r="F162" i="14"/>
  <c r="Z161" i="14"/>
  <c r="U161" i="14"/>
  <c r="T161" i="14"/>
  <c r="S161" i="14"/>
  <c r="R161" i="14"/>
  <c r="Q161" i="14"/>
  <c r="B161" i="14" s="1"/>
  <c r="O161" i="14"/>
  <c r="V161" i="14" s="1"/>
  <c r="M161" i="14"/>
  <c r="L161" i="14"/>
  <c r="K161" i="14"/>
  <c r="J161" i="14"/>
  <c r="I161" i="14"/>
  <c r="H161" i="14"/>
  <c r="F161" i="14"/>
  <c r="Z160" i="14"/>
  <c r="Y160" i="14"/>
  <c r="W160" i="14"/>
  <c r="X160" i="14" s="1"/>
  <c r="V160" i="14"/>
  <c r="U160" i="14"/>
  <c r="T160" i="14"/>
  <c r="S160" i="14"/>
  <c r="R160" i="14"/>
  <c r="Q160" i="14"/>
  <c r="B160" i="14" s="1"/>
  <c r="O160" i="14"/>
  <c r="P160" i="14" s="1"/>
  <c r="N160" i="14"/>
  <c r="M160" i="14"/>
  <c r="L160" i="14"/>
  <c r="K160" i="14"/>
  <c r="J160" i="14"/>
  <c r="I160" i="14"/>
  <c r="H160" i="14"/>
  <c r="F160" i="14"/>
  <c r="Z159" i="14"/>
  <c r="U159" i="14"/>
  <c r="T159" i="14"/>
  <c r="S159" i="14"/>
  <c r="B159" i="14" s="1"/>
  <c r="R159" i="14"/>
  <c r="Q159" i="14"/>
  <c r="O159" i="14"/>
  <c r="M159" i="14"/>
  <c r="P159" i="14" s="1"/>
  <c r="L159" i="14"/>
  <c r="K159" i="14"/>
  <c r="J159" i="14"/>
  <c r="I159" i="14"/>
  <c r="H159" i="14"/>
  <c r="F159" i="14"/>
  <c r="Z158" i="14"/>
  <c r="U158" i="14"/>
  <c r="T158" i="14"/>
  <c r="S158" i="14"/>
  <c r="R158" i="14"/>
  <c r="Q158" i="14"/>
  <c r="P158" i="14"/>
  <c r="O158" i="14"/>
  <c r="M158" i="14"/>
  <c r="K158" i="14"/>
  <c r="J158" i="14"/>
  <c r="I158" i="14"/>
  <c r="H158" i="14"/>
  <c r="F158" i="14"/>
  <c r="Z157" i="14"/>
  <c r="V157" i="14"/>
  <c r="U157" i="14"/>
  <c r="B157" i="14" s="1"/>
  <c r="T157" i="14"/>
  <c r="S157" i="14"/>
  <c r="R157" i="14"/>
  <c r="Q157" i="14"/>
  <c r="O157" i="14"/>
  <c r="N157" i="14"/>
  <c r="M157" i="14"/>
  <c r="L157" i="14" s="1"/>
  <c r="K157" i="14"/>
  <c r="J157" i="14"/>
  <c r="I157" i="14"/>
  <c r="H157" i="14"/>
  <c r="F157" i="14"/>
  <c r="Z156" i="14"/>
  <c r="U156" i="14"/>
  <c r="T156" i="14"/>
  <c r="S156" i="14"/>
  <c r="R156" i="14"/>
  <c r="Q156" i="14"/>
  <c r="O156" i="14"/>
  <c r="M156" i="14"/>
  <c r="L156" i="14"/>
  <c r="K156" i="14"/>
  <c r="J156" i="14"/>
  <c r="I156" i="14"/>
  <c r="H156" i="14"/>
  <c r="F156" i="14"/>
  <c r="Z155" i="14"/>
  <c r="U155" i="14"/>
  <c r="T155" i="14"/>
  <c r="S155" i="14"/>
  <c r="R155" i="14"/>
  <c r="Q155" i="14"/>
  <c r="B155" i="14" s="1"/>
  <c r="O155" i="14"/>
  <c r="P155" i="14" s="1"/>
  <c r="M155" i="14"/>
  <c r="V155" i="14" s="1"/>
  <c r="L155" i="14"/>
  <c r="K155" i="14"/>
  <c r="J155" i="14"/>
  <c r="I155" i="14"/>
  <c r="H155" i="14"/>
  <c r="F155" i="14"/>
  <c r="Z154" i="14"/>
  <c r="U154" i="14"/>
  <c r="T154" i="14"/>
  <c r="S154" i="14"/>
  <c r="R154" i="14"/>
  <c r="Q154" i="14"/>
  <c r="O154" i="14"/>
  <c r="M154" i="14"/>
  <c r="P154" i="14" s="1"/>
  <c r="K154" i="14"/>
  <c r="J154" i="14"/>
  <c r="I154" i="14"/>
  <c r="H154" i="14"/>
  <c r="F154" i="14"/>
  <c r="Z153" i="14"/>
  <c r="U153" i="14"/>
  <c r="T153" i="14"/>
  <c r="S153" i="14"/>
  <c r="R153" i="14"/>
  <c r="Q153" i="14"/>
  <c r="B153" i="14" s="1"/>
  <c r="O153" i="14"/>
  <c r="M153" i="14"/>
  <c r="L153" i="14"/>
  <c r="K153" i="14"/>
  <c r="J153" i="14"/>
  <c r="I153" i="14"/>
  <c r="H153" i="14"/>
  <c r="F153" i="14"/>
  <c r="Z152" i="14"/>
  <c r="U152" i="14"/>
  <c r="T152" i="14"/>
  <c r="S152" i="14"/>
  <c r="R152" i="14"/>
  <c r="Q152" i="14"/>
  <c r="B152" i="14" s="1"/>
  <c r="O152" i="14"/>
  <c r="V152" i="14" s="1"/>
  <c r="M152" i="14"/>
  <c r="L152" i="14"/>
  <c r="K152" i="14"/>
  <c r="J152" i="14"/>
  <c r="I152" i="14"/>
  <c r="H152" i="14"/>
  <c r="F152" i="14"/>
  <c r="Z151" i="14"/>
  <c r="U151" i="14"/>
  <c r="T151" i="14"/>
  <c r="S151" i="14"/>
  <c r="R151" i="14"/>
  <c r="Q151" i="14"/>
  <c r="O151" i="14"/>
  <c r="M151" i="14"/>
  <c r="P151" i="14" s="1"/>
  <c r="L151" i="14"/>
  <c r="K151" i="14"/>
  <c r="J151" i="14"/>
  <c r="I151" i="14"/>
  <c r="H151" i="14"/>
  <c r="F151" i="14"/>
  <c r="Z150" i="14"/>
  <c r="Y150" i="14"/>
  <c r="U150" i="14"/>
  <c r="T150" i="14"/>
  <c r="S150" i="14"/>
  <c r="R150" i="14"/>
  <c r="Q150" i="14"/>
  <c r="B150" i="14" s="1"/>
  <c r="P150" i="14"/>
  <c r="O150" i="14"/>
  <c r="M150" i="14"/>
  <c r="V150" i="14" s="1"/>
  <c r="W150" i="14" s="1"/>
  <c r="X150" i="14" s="1"/>
  <c r="K150" i="14"/>
  <c r="J150" i="14"/>
  <c r="I150" i="14"/>
  <c r="H150" i="14"/>
  <c r="F150" i="14"/>
  <c r="Z149" i="14"/>
  <c r="V149" i="14"/>
  <c r="U149" i="14"/>
  <c r="T149" i="14"/>
  <c r="S149" i="14"/>
  <c r="R149" i="14"/>
  <c r="Q149" i="14"/>
  <c r="P149" i="14"/>
  <c r="O149" i="14"/>
  <c r="N149" i="14"/>
  <c r="M149" i="14"/>
  <c r="L149" i="14" s="1"/>
  <c r="K149" i="14"/>
  <c r="J149" i="14"/>
  <c r="I149" i="14"/>
  <c r="H149" i="14"/>
  <c r="F149" i="14"/>
  <c r="B149" i="14"/>
  <c r="Z148" i="14"/>
  <c r="U148" i="14"/>
  <c r="T148" i="14"/>
  <c r="S148" i="14"/>
  <c r="R148" i="14"/>
  <c r="Q148" i="14"/>
  <c r="B148" i="14" s="1"/>
  <c r="O148" i="14"/>
  <c r="M148" i="14"/>
  <c r="L148" i="14"/>
  <c r="K148" i="14"/>
  <c r="J148" i="14"/>
  <c r="I148" i="14"/>
  <c r="H148" i="14"/>
  <c r="F148" i="14"/>
  <c r="Z147" i="14"/>
  <c r="U147" i="14"/>
  <c r="T147" i="14"/>
  <c r="S147" i="14"/>
  <c r="R147" i="14"/>
  <c r="Q147" i="14"/>
  <c r="B147" i="14" s="1"/>
  <c r="O147" i="14"/>
  <c r="P147" i="14" s="1"/>
  <c r="M147" i="14"/>
  <c r="L147" i="14" s="1"/>
  <c r="K147" i="14"/>
  <c r="J147" i="14"/>
  <c r="I147" i="14"/>
  <c r="H147" i="14"/>
  <c r="F147" i="14"/>
  <c r="Z146" i="14"/>
  <c r="U146" i="14"/>
  <c r="T146" i="14"/>
  <c r="S146" i="14"/>
  <c r="R146" i="14"/>
  <c r="Q146" i="14"/>
  <c r="O146" i="14"/>
  <c r="M146" i="14"/>
  <c r="L146" i="14"/>
  <c r="K146" i="14"/>
  <c r="J146" i="14"/>
  <c r="I146" i="14"/>
  <c r="H146" i="14"/>
  <c r="F146" i="14"/>
  <c r="B146" i="14"/>
  <c r="Z145" i="14"/>
  <c r="Y145" i="14"/>
  <c r="W145" i="14"/>
  <c r="X145" i="14" s="1"/>
  <c r="V145" i="14"/>
  <c r="U145" i="14"/>
  <c r="T145" i="14"/>
  <c r="S145" i="14"/>
  <c r="R145" i="14"/>
  <c r="Q145" i="14"/>
  <c r="B145" i="14" s="1"/>
  <c r="O145" i="14"/>
  <c r="P145" i="14" s="1"/>
  <c r="N145" i="14"/>
  <c r="M145" i="14"/>
  <c r="L145" i="14"/>
  <c r="K145" i="14"/>
  <c r="J145" i="14"/>
  <c r="I145" i="14"/>
  <c r="H145" i="14"/>
  <c r="F145" i="14"/>
  <c r="Z144" i="14"/>
  <c r="U144" i="14"/>
  <c r="T144" i="14"/>
  <c r="S144" i="14"/>
  <c r="R144" i="14"/>
  <c r="Q144" i="14"/>
  <c r="O144" i="14"/>
  <c r="P144" i="14" s="1"/>
  <c r="M144" i="14"/>
  <c r="L144" i="14"/>
  <c r="K144" i="14"/>
  <c r="J144" i="14"/>
  <c r="I144" i="14"/>
  <c r="H144" i="14"/>
  <c r="F144" i="14"/>
  <c r="B144" i="14"/>
  <c r="Z143" i="14"/>
  <c r="U143" i="14"/>
  <c r="T143" i="14"/>
  <c r="S143" i="14"/>
  <c r="R143" i="14"/>
  <c r="Q143" i="14"/>
  <c r="O143" i="14"/>
  <c r="M143" i="14"/>
  <c r="P143" i="14" s="1"/>
  <c r="L143" i="14"/>
  <c r="K143" i="14"/>
  <c r="J143" i="14"/>
  <c r="I143" i="14"/>
  <c r="H143" i="14"/>
  <c r="F143" i="14"/>
  <c r="B143" i="14"/>
  <c r="Z142" i="14"/>
  <c r="U142" i="14"/>
  <c r="T142" i="14"/>
  <c r="S142" i="14"/>
  <c r="R142" i="14"/>
  <c r="Q142" i="14"/>
  <c r="P142" i="14"/>
  <c r="O142" i="14"/>
  <c r="M142" i="14"/>
  <c r="L142" i="14" s="1"/>
  <c r="K142" i="14"/>
  <c r="J142" i="14"/>
  <c r="I142" i="14"/>
  <c r="H142" i="14"/>
  <c r="F142" i="14"/>
  <c r="Z141" i="14"/>
  <c r="U141" i="14"/>
  <c r="B141" i="14" s="1"/>
  <c r="T141" i="14"/>
  <c r="S141" i="14"/>
  <c r="R141" i="14"/>
  <c r="Q141" i="14"/>
  <c r="O141" i="14"/>
  <c r="M141" i="14"/>
  <c r="L141" i="14" s="1"/>
  <c r="K141" i="14"/>
  <c r="J141" i="14"/>
  <c r="I141" i="14"/>
  <c r="H141" i="14"/>
  <c r="F141" i="14"/>
  <c r="Z140" i="14"/>
  <c r="U140" i="14"/>
  <c r="T140" i="14"/>
  <c r="S140" i="14"/>
  <c r="R140" i="14"/>
  <c r="Q140" i="14"/>
  <c r="O140" i="14"/>
  <c r="M140" i="14"/>
  <c r="L140" i="14"/>
  <c r="K140" i="14"/>
  <c r="J140" i="14"/>
  <c r="I140" i="14"/>
  <c r="H140" i="14"/>
  <c r="F140" i="14"/>
  <c r="Z139" i="14"/>
  <c r="U139" i="14"/>
  <c r="T139" i="14"/>
  <c r="S139" i="14"/>
  <c r="R139" i="14"/>
  <c r="Q139" i="14"/>
  <c r="B139" i="14" s="1"/>
  <c r="O139" i="14"/>
  <c r="P139" i="14" s="1"/>
  <c r="M139" i="14"/>
  <c r="L139" i="14" s="1"/>
  <c r="K139" i="14"/>
  <c r="J139" i="14"/>
  <c r="I139" i="14"/>
  <c r="H139" i="14"/>
  <c r="F139" i="14"/>
  <c r="Z138" i="14"/>
  <c r="U138" i="14"/>
  <c r="T138" i="14"/>
  <c r="B138" i="14" s="1"/>
  <c r="S138" i="14"/>
  <c r="R138" i="14"/>
  <c r="Q138" i="14"/>
  <c r="O138" i="14"/>
  <c r="M138" i="14"/>
  <c r="P138" i="14" s="1"/>
  <c r="L138" i="14"/>
  <c r="K138" i="14"/>
  <c r="J138" i="14"/>
  <c r="I138" i="14"/>
  <c r="H138" i="14"/>
  <c r="F138" i="14"/>
  <c r="Z137" i="14"/>
  <c r="U137" i="14"/>
  <c r="T137" i="14"/>
  <c r="S137" i="14"/>
  <c r="R137" i="14"/>
  <c r="Q137" i="14"/>
  <c r="O137" i="14"/>
  <c r="M137" i="14"/>
  <c r="L137" i="14"/>
  <c r="K137" i="14"/>
  <c r="J137" i="14"/>
  <c r="I137" i="14"/>
  <c r="H137" i="14"/>
  <c r="F137" i="14"/>
  <c r="Z136" i="14"/>
  <c r="V136" i="14"/>
  <c r="U136" i="14"/>
  <c r="T136" i="14"/>
  <c r="S136" i="14"/>
  <c r="R136" i="14"/>
  <c r="Q136" i="14"/>
  <c r="P136" i="14"/>
  <c r="O136" i="14"/>
  <c r="N136" i="14"/>
  <c r="M136" i="14"/>
  <c r="L136" i="14"/>
  <c r="K136" i="14"/>
  <c r="J136" i="14"/>
  <c r="I136" i="14"/>
  <c r="H136" i="14"/>
  <c r="F136" i="14"/>
  <c r="B136" i="14"/>
  <c r="Z135" i="14"/>
  <c r="U135" i="14"/>
  <c r="T135" i="14"/>
  <c r="S135" i="14"/>
  <c r="B135" i="14" s="1"/>
  <c r="R135" i="14"/>
  <c r="Q135" i="14"/>
  <c r="O135" i="14"/>
  <c r="M135" i="14"/>
  <c r="P135" i="14" s="1"/>
  <c r="K135" i="14"/>
  <c r="J135" i="14"/>
  <c r="I135" i="14"/>
  <c r="H135" i="14"/>
  <c r="F135" i="14"/>
  <c r="Z134" i="14"/>
  <c r="U134" i="14"/>
  <c r="T134" i="14"/>
  <c r="S134" i="14"/>
  <c r="R134" i="14"/>
  <c r="Q134" i="14"/>
  <c r="P134" i="14"/>
  <c r="O134" i="14"/>
  <c r="M134" i="14"/>
  <c r="L134" i="14" s="1"/>
  <c r="K134" i="14"/>
  <c r="J134" i="14"/>
  <c r="I134" i="14"/>
  <c r="H134" i="14"/>
  <c r="F134" i="14"/>
  <c r="Z133" i="14"/>
  <c r="U133" i="14"/>
  <c r="T133" i="14"/>
  <c r="S133" i="14"/>
  <c r="R133" i="14"/>
  <c r="Q133" i="14"/>
  <c r="O133" i="14"/>
  <c r="M133" i="14"/>
  <c r="L133" i="14" s="1"/>
  <c r="K133" i="14"/>
  <c r="J133" i="14"/>
  <c r="I133" i="14"/>
  <c r="H133" i="14"/>
  <c r="F133" i="14"/>
  <c r="Z132" i="14"/>
  <c r="U132" i="14"/>
  <c r="T132" i="14"/>
  <c r="S132" i="14"/>
  <c r="R132" i="14"/>
  <c r="Q132" i="14"/>
  <c r="O132" i="14"/>
  <c r="M132" i="14"/>
  <c r="L132" i="14"/>
  <c r="K132" i="14"/>
  <c r="J132" i="14"/>
  <c r="I132" i="14"/>
  <c r="H132" i="14"/>
  <c r="F132" i="14"/>
  <c r="Z131" i="14"/>
  <c r="U131" i="14"/>
  <c r="T131" i="14"/>
  <c r="S131" i="14"/>
  <c r="R131" i="14"/>
  <c r="Q131" i="14"/>
  <c r="O131" i="14"/>
  <c r="P131" i="14" s="1"/>
  <c r="M131" i="14"/>
  <c r="L131" i="14" s="1"/>
  <c r="K131" i="14"/>
  <c r="J131" i="14"/>
  <c r="I131" i="14"/>
  <c r="H131" i="14"/>
  <c r="F131" i="14"/>
  <c r="Z130" i="14"/>
  <c r="U130" i="14"/>
  <c r="T130" i="14"/>
  <c r="B130" i="14" s="1"/>
  <c r="S130" i="14"/>
  <c r="R130" i="14"/>
  <c r="Q130" i="14"/>
  <c r="O130" i="14"/>
  <c r="M130" i="14"/>
  <c r="P130" i="14" s="1"/>
  <c r="K130" i="14"/>
  <c r="J130" i="14"/>
  <c r="I130" i="14"/>
  <c r="H130" i="14"/>
  <c r="F130" i="14"/>
  <c r="Z129" i="14"/>
  <c r="U129" i="14"/>
  <c r="T129" i="14"/>
  <c r="S129" i="14"/>
  <c r="R129" i="14"/>
  <c r="Q129" i="14"/>
  <c r="O129" i="14"/>
  <c r="V129" i="14" s="1"/>
  <c r="M129" i="14"/>
  <c r="L129" i="14"/>
  <c r="K129" i="14"/>
  <c r="J129" i="14"/>
  <c r="I129" i="14"/>
  <c r="H129" i="14"/>
  <c r="F129" i="14"/>
  <c r="Z128" i="14"/>
  <c r="U128" i="14"/>
  <c r="T128" i="14"/>
  <c r="S128" i="14"/>
  <c r="R128" i="14"/>
  <c r="Q128" i="14"/>
  <c r="B128" i="14" s="1"/>
  <c r="O128" i="14"/>
  <c r="P128" i="14" s="1"/>
  <c r="M128" i="14"/>
  <c r="L128" i="14"/>
  <c r="K128" i="14"/>
  <c r="J128" i="14"/>
  <c r="I128" i="14"/>
  <c r="H128" i="14"/>
  <c r="F128" i="14"/>
  <c r="Z127" i="14"/>
  <c r="U127" i="14"/>
  <c r="T127" i="14"/>
  <c r="S127" i="14"/>
  <c r="B127" i="14" s="1"/>
  <c r="R127" i="14"/>
  <c r="Q127" i="14"/>
  <c r="O127" i="14"/>
  <c r="M127" i="14"/>
  <c r="P127" i="14" s="1"/>
  <c r="L127" i="14"/>
  <c r="K127" i="14"/>
  <c r="J127" i="14"/>
  <c r="I127" i="14"/>
  <c r="H127" i="14"/>
  <c r="F127" i="14"/>
  <c r="Z126" i="14"/>
  <c r="U126" i="14"/>
  <c r="T126" i="14"/>
  <c r="S126" i="14"/>
  <c r="R126" i="14"/>
  <c r="Q126" i="14"/>
  <c r="P126" i="14"/>
  <c r="O126" i="14"/>
  <c r="M126" i="14"/>
  <c r="L126" i="14" s="1"/>
  <c r="K126" i="14"/>
  <c r="J126" i="14"/>
  <c r="I126" i="14"/>
  <c r="H126" i="14"/>
  <c r="F126" i="14"/>
  <c r="Z125" i="14"/>
  <c r="V125" i="14"/>
  <c r="U125" i="14"/>
  <c r="B125" i="14" s="1"/>
  <c r="T125" i="14"/>
  <c r="S125" i="14"/>
  <c r="R125" i="14"/>
  <c r="Q125" i="14"/>
  <c r="O125" i="14"/>
  <c r="N125" i="14"/>
  <c r="M125" i="14"/>
  <c r="L125" i="14" s="1"/>
  <c r="K125" i="14"/>
  <c r="J125" i="14"/>
  <c r="I125" i="14"/>
  <c r="H125" i="14"/>
  <c r="F125" i="14"/>
  <c r="Z124" i="14"/>
  <c r="U124" i="14"/>
  <c r="T124" i="14"/>
  <c r="S124" i="14"/>
  <c r="R124" i="14"/>
  <c r="Q124" i="14"/>
  <c r="O124" i="14"/>
  <c r="M124" i="14"/>
  <c r="L124" i="14"/>
  <c r="K124" i="14"/>
  <c r="J124" i="14"/>
  <c r="I124" i="14"/>
  <c r="H124" i="14"/>
  <c r="F124" i="14"/>
  <c r="Z123" i="14"/>
  <c r="U123" i="14"/>
  <c r="T123" i="14"/>
  <c r="S123" i="14"/>
  <c r="R123" i="14"/>
  <c r="Q123" i="14"/>
  <c r="B123" i="14" s="1"/>
  <c r="O123" i="14"/>
  <c r="P123" i="14" s="1"/>
  <c r="M123" i="14"/>
  <c r="L123" i="14" s="1"/>
  <c r="K123" i="14"/>
  <c r="J123" i="14"/>
  <c r="I123" i="14"/>
  <c r="H123" i="14"/>
  <c r="F123" i="14"/>
  <c r="Z122" i="14"/>
  <c r="U122" i="14"/>
  <c r="B122" i="14" s="1"/>
  <c r="T122" i="14"/>
  <c r="S122" i="14"/>
  <c r="R122" i="14"/>
  <c r="Q122" i="14"/>
  <c r="O122" i="14"/>
  <c r="M122" i="14"/>
  <c r="P122" i="14" s="1"/>
  <c r="L122" i="14"/>
  <c r="K122" i="14"/>
  <c r="J122" i="14"/>
  <c r="I122" i="14"/>
  <c r="H122" i="14"/>
  <c r="F122" i="14"/>
  <c r="Z121" i="14"/>
  <c r="Y121" i="14"/>
  <c r="W121" i="14"/>
  <c r="X121" i="14" s="1"/>
  <c r="V121" i="14"/>
  <c r="U121" i="14"/>
  <c r="T121" i="14"/>
  <c r="S121" i="14"/>
  <c r="R121" i="14"/>
  <c r="Q121" i="14"/>
  <c r="B121" i="14" s="1"/>
  <c r="O121" i="14"/>
  <c r="P121" i="14" s="1"/>
  <c r="N121" i="14"/>
  <c r="M121" i="14"/>
  <c r="L121" i="14"/>
  <c r="K121" i="14"/>
  <c r="J121" i="14"/>
  <c r="I121" i="14"/>
  <c r="H121" i="14"/>
  <c r="F121" i="14"/>
  <c r="Z120" i="14"/>
  <c r="V120" i="14"/>
  <c r="U120" i="14"/>
  <c r="T120" i="14"/>
  <c r="S120" i="14"/>
  <c r="R120" i="14"/>
  <c r="Q120" i="14"/>
  <c r="O120" i="14"/>
  <c r="P120" i="14" s="1"/>
  <c r="N120" i="14"/>
  <c r="M120" i="14"/>
  <c r="L120" i="14"/>
  <c r="K120" i="14"/>
  <c r="J120" i="14"/>
  <c r="I120" i="14"/>
  <c r="H120" i="14"/>
  <c r="F120" i="14"/>
  <c r="B120" i="14"/>
  <c r="Z119" i="14"/>
  <c r="U119" i="14"/>
  <c r="T119" i="14"/>
  <c r="S119" i="14"/>
  <c r="R119" i="14"/>
  <c r="Q119" i="14"/>
  <c r="O119" i="14"/>
  <c r="M119" i="14"/>
  <c r="P119" i="14" s="1"/>
  <c r="L119" i="14"/>
  <c r="K119" i="14"/>
  <c r="J119" i="14"/>
  <c r="I119" i="14"/>
  <c r="H119" i="14"/>
  <c r="F119" i="14"/>
  <c r="B119" i="14"/>
  <c r="Z118" i="14"/>
  <c r="U118" i="14"/>
  <c r="T118" i="14"/>
  <c r="S118" i="14"/>
  <c r="R118" i="14"/>
  <c r="Q118" i="14"/>
  <c r="P118" i="14"/>
  <c r="O118" i="14"/>
  <c r="M118" i="14"/>
  <c r="L118" i="14" s="1"/>
  <c r="K118" i="14"/>
  <c r="J118" i="14"/>
  <c r="I118" i="14"/>
  <c r="H118" i="14"/>
  <c r="F118" i="14"/>
  <c r="Z117" i="14"/>
  <c r="V117" i="14"/>
  <c r="W117" i="14" s="1"/>
  <c r="X117" i="14" s="1"/>
  <c r="U117" i="14"/>
  <c r="T117" i="14"/>
  <c r="S117" i="14"/>
  <c r="R117" i="14"/>
  <c r="Q117" i="14"/>
  <c r="P117" i="14"/>
  <c r="O117" i="14"/>
  <c r="N117" i="14"/>
  <c r="M117" i="14"/>
  <c r="L117" i="14" s="1"/>
  <c r="K117" i="14"/>
  <c r="J117" i="14"/>
  <c r="I117" i="14"/>
  <c r="H117" i="14"/>
  <c r="F117" i="14"/>
  <c r="B117" i="14"/>
  <c r="Z116" i="14"/>
  <c r="U116" i="14"/>
  <c r="T116" i="14"/>
  <c r="S116" i="14"/>
  <c r="R116" i="14"/>
  <c r="Q116" i="14"/>
  <c r="O116" i="14"/>
  <c r="M116" i="14"/>
  <c r="L116" i="14"/>
  <c r="K116" i="14"/>
  <c r="J116" i="14"/>
  <c r="I116" i="14"/>
  <c r="H116" i="14"/>
  <c r="F116" i="14"/>
  <c r="Z115" i="14"/>
  <c r="U115" i="14"/>
  <c r="T115" i="14"/>
  <c r="S115" i="14"/>
  <c r="R115" i="14"/>
  <c r="Q115" i="14"/>
  <c r="B115" i="14" s="1"/>
  <c r="O115" i="14"/>
  <c r="P115" i="14" s="1"/>
  <c r="M115" i="14"/>
  <c r="L115" i="14" s="1"/>
  <c r="K115" i="14"/>
  <c r="J115" i="14"/>
  <c r="I115" i="14"/>
  <c r="H115" i="14"/>
  <c r="F115" i="14"/>
  <c r="Z114" i="14"/>
  <c r="U114" i="14"/>
  <c r="T114" i="14"/>
  <c r="B114" i="14" s="1"/>
  <c r="S114" i="14"/>
  <c r="R114" i="14"/>
  <c r="Q114" i="14"/>
  <c r="O114" i="14"/>
  <c r="M114" i="14"/>
  <c r="L114" i="14"/>
  <c r="K114" i="14"/>
  <c r="J114" i="14"/>
  <c r="I114" i="14"/>
  <c r="H114" i="14"/>
  <c r="F114" i="14"/>
  <c r="Z113" i="14"/>
  <c r="U113" i="14"/>
  <c r="T113" i="14"/>
  <c r="S113" i="14"/>
  <c r="R113" i="14"/>
  <c r="Q113" i="14"/>
  <c r="O113" i="14"/>
  <c r="M113" i="14"/>
  <c r="L113" i="14"/>
  <c r="K113" i="14"/>
  <c r="J113" i="14"/>
  <c r="I113" i="14"/>
  <c r="H113" i="14"/>
  <c r="F113" i="14"/>
  <c r="Z112" i="14"/>
  <c r="V112" i="14"/>
  <c r="U112" i="14"/>
  <c r="T112" i="14"/>
  <c r="S112" i="14"/>
  <c r="R112" i="14"/>
  <c r="Q112" i="14"/>
  <c r="O112" i="14"/>
  <c r="P112" i="14" s="1"/>
  <c r="N112" i="14"/>
  <c r="M112" i="14"/>
  <c r="L112" i="14"/>
  <c r="K112" i="14"/>
  <c r="J112" i="14"/>
  <c r="I112" i="14"/>
  <c r="H112" i="14"/>
  <c r="F112" i="14"/>
  <c r="B112" i="14"/>
  <c r="Z111" i="14"/>
  <c r="U111" i="14"/>
  <c r="T111" i="14"/>
  <c r="S111" i="14"/>
  <c r="R111" i="14"/>
  <c r="Q111" i="14"/>
  <c r="O111" i="14"/>
  <c r="M111" i="14"/>
  <c r="P111" i="14" s="1"/>
  <c r="K111" i="14"/>
  <c r="J111" i="14"/>
  <c r="I111" i="14"/>
  <c r="H111" i="14"/>
  <c r="F111" i="14"/>
  <c r="B111" i="14"/>
  <c r="Z110" i="14"/>
  <c r="U110" i="14"/>
  <c r="T110" i="14"/>
  <c r="S110" i="14"/>
  <c r="R110" i="14"/>
  <c r="Q110" i="14"/>
  <c r="P110" i="14"/>
  <c r="O110" i="14"/>
  <c r="M110" i="14"/>
  <c r="L110" i="14" s="1"/>
  <c r="K110" i="14"/>
  <c r="J110" i="14"/>
  <c r="I110" i="14"/>
  <c r="H110" i="14"/>
  <c r="F110" i="14"/>
  <c r="Z109" i="14"/>
  <c r="U109" i="14"/>
  <c r="T109" i="14"/>
  <c r="S109" i="14"/>
  <c r="R109" i="14"/>
  <c r="Q109" i="14"/>
  <c r="O109" i="14"/>
  <c r="M109" i="14"/>
  <c r="L109" i="14" s="1"/>
  <c r="K109" i="14"/>
  <c r="J109" i="14"/>
  <c r="I109" i="14"/>
  <c r="H109" i="14"/>
  <c r="F109" i="14"/>
  <c r="B109" i="14"/>
  <c r="Z108" i="14"/>
  <c r="U108" i="14"/>
  <c r="T108" i="14"/>
  <c r="S108" i="14"/>
  <c r="R108" i="14"/>
  <c r="Q108" i="14"/>
  <c r="B108" i="14" s="1"/>
  <c r="O108" i="14"/>
  <c r="M108" i="14"/>
  <c r="L108" i="14" s="1"/>
  <c r="K108" i="14"/>
  <c r="J108" i="14"/>
  <c r="I108" i="14"/>
  <c r="H108" i="14"/>
  <c r="F108" i="14"/>
  <c r="Z107" i="14"/>
  <c r="U107" i="14"/>
  <c r="T107" i="14"/>
  <c r="S107" i="14"/>
  <c r="R107" i="14"/>
  <c r="Q107" i="14"/>
  <c r="P107" i="14"/>
  <c r="O107" i="14"/>
  <c r="M107" i="14"/>
  <c r="L107" i="14" s="1"/>
  <c r="K107" i="14"/>
  <c r="J107" i="14"/>
  <c r="I107" i="14"/>
  <c r="H107" i="14"/>
  <c r="F107" i="14"/>
  <c r="Z106" i="14"/>
  <c r="U106" i="14"/>
  <c r="T106" i="14"/>
  <c r="B106" i="14" s="1"/>
  <c r="S106" i="14"/>
  <c r="R106" i="14"/>
  <c r="Q106" i="14"/>
  <c r="O106" i="14"/>
  <c r="M106" i="14"/>
  <c r="L106" i="14"/>
  <c r="K106" i="14"/>
  <c r="J106" i="14"/>
  <c r="I106" i="14"/>
  <c r="H106" i="14"/>
  <c r="F106" i="14"/>
  <c r="Z105" i="14"/>
  <c r="U105" i="14"/>
  <c r="T105" i="14"/>
  <c r="S105" i="14"/>
  <c r="R105" i="14"/>
  <c r="Q105" i="14"/>
  <c r="O105" i="14"/>
  <c r="M105" i="14"/>
  <c r="L105" i="14"/>
  <c r="K105" i="14"/>
  <c r="J105" i="14"/>
  <c r="I105" i="14"/>
  <c r="H105" i="14"/>
  <c r="F105" i="14"/>
  <c r="Z104" i="14"/>
  <c r="W104" i="14"/>
  <c r="X104" i="14" s="1"/>
  <c r="V104" i="14"/>
  <c r="Y104" i="14" s="1"/>
  <c r="U104" i="14"/>
  <c r="T104" i="14"/>
  <c r="S104" i="14"/>
  <c r="R104" i="14"/>
  <c r="Q104" i="14"/>
  <c r="O104" i="14"/>
  <c r="P104" i="14" s="1"/>
  <c r="N104" i="14"/>
  <c r="M104" i="14"/>
  <c r="L104" i="14"/>
  <c r="K104" i="14"/>
  <c r="J104" i="14"/>
  <c r="I104" i="14"/>
  <c r="H104" i="14"/>
  <c r="F104" i="14"/>
  <c r="B104" i="14"/>
  <c r="Z103" i="14"/>
  <c r="U103" i="14"/>
  <c r="T103" i="14"/>
  <c r="S103" i="14"/>
  <c r="R103" i="14"/>
  <c r="Q103" i="14"/>
  <c r="O103" i="14"/>
  <c r="M103" i="14"/>
  <c r="P103" i="14" s="1"/>
  <c r="L103" i="14"/>
  <c r="K103" i="14"/>
  <c r="J103" i="14"/>
  <c r="I103" i="14"/>
  <c r="H103" i="14"/>
  <c r="F103" i="14"/>
  <c r="B103" i="14"/>
  <c r="Z102" i="14"/>
  <c r="U102" i="14"/>
  <c r="T102" i="14"/>
  <c r="S102" i="14"/>
  <c r="R102" i="14"/>
  <c r="Q102" i="14"/>
  <c r="P102" i="14"/>
  <c r="O102" i="14"/>
  <c r="M102" i="14"/>
  <c r="L102" i="14" s="1"/>
  <c r="K102" i="14"/>
  <c r="J102" i="14"/>
  <c r="I102" i="14"/>
  <c r="H102" i="14"/>
  <c r="F102" i="14"/>
  <c r="Z101" i="14"/>
  <c r="U101" i="14"/>
  <c r="T101" i="14"/>
  <c r="S101" i="14"/>
  <c r="R101" i="14"/>
  <c r="Q101" i="14"/>
  <c r="O101" i="14"/>
  <c r="M101" i="14"/>
  <c r="L101" i="14" s="1"/>
  <c r="K101" i="14"/>
  <c r="J101" i="14"/>
  <c r="I101" i="14"/>
  <c r="H101" i="14"/>
  <c r="F101" i="14"/>
  <c r="Z100" i="14"/>
  <c r="U100" i="14"/>
  <c r="T100" i="14"/>
  <c r="S100" i="14"/>
  <c r="R100" i="14"/>
  <c r="Q100" i="14"/>
  <c r="O100" i="14"/>
  <c r="M100" i="14"/>
  <c r="L100" i="14" s="1"/>
  <c r="K100" i="14"/>
  <c r="J100" i="14"/>
  <c r="I100" i="14"/>
  <c r="H100" i="14"/>
  <c r="F100" i="14"/>
  <c r="Z99" i="14"/>
  <c r="U99" i="14"/>
  <c r="T99" i="14"/>
  <c r="S99" i="14"/>
  <c r="R99" i="14"/>
  <c r="Q99" i="14"/>
  <c r="B99" i="14" s="1"/>
  <c r="O99" i="14"/>
  <c r="M99" i="14"/>
  <c r="L99" i="14" s="1"/>
  <c r="K99" i="14"/>
  <c r="J99" i="14"/>
  <c r="I99" i="14"/>
  <c r="H99" i="14"/>
  <c r="F99" i="14"/>
  <c r="Z98" i="14"/>
  <c r="U98" i="14"/>
  <c r="T98" i="14"/>
  <c r="S98" i="14"/>
  <c r="R98" i="14"/>
  <c r="Q98" i="14"/>
  <c r="B98" i="14" s="1"/>
  <c r="O98" i="14"/>
  <c r="M98" i="14"/>
  <c r="L98" i="14" s="1"/>
  <c r="K98" i="14"/>
  <c r="J98" i="14"/>
  <c r="I98" i="14"/>
  <c r="H98" i="14"/>
  <c r="F98" i="14"/>
  <c r="Z97" i="14"/>
  <c r="U97" i="14"/>
  <c r="T97" i="14"/>
  <c r="S97" i="14"/>
  <c r="B97" i="14" s="1"/>
  <c r="R97" i="14"/>
  <c r="Q97" i="14"/>
  <c r="O97" i="14"/>
  <c r="P97" i="14" s="1"/>
  <c r="M97" i="14"/>
  <c r="L97" i="14"/>
  <c r="K97" i="14"/>
  <c r="J97" i="14"/>
  <c r="I97" i="14"/>
  <c r="H97" i="14"/>
  <c r="F97" i="14"/>
  <c r="Z96" i="14"/>
  <c r="U96" i="14"/>
  <c r="T96" i="14"/>
  <c r="S96" i="14"/>
  <c r="R96" i="14"/>
  <c r="Q96" i="14"/>
  <c r="B96" i="14" s="1"/>
  <c r="O96" i="14"/>
  <c r="P96" i="14" s="1"/>
  <c r="M96" i="14"/>
  <c r="L96" i="14" s="1"/>
  <c r="K96" i="14"/>
  <c r="J96" i="14"/>
  <c r="I96" i="14"/>
  <c r="H96" i="14"/>
  <c r="F96" i="14"/>
  <c r="Z95" i="14"/>
  <c r="U95" i="14"/>
  <c r="T95" i="14"/>
  <c r="S95" i="14"/>
  <c r="R95" i="14"/>
  <c r="Q95" i="14"/>
  <c r="O95" i="14"/>
  <c r="M95" i="14"/>
  <c r="P95" i="14" s="1"/>
  <c r="K95" i="14"/>
  <c r="J95" i="14"/>
  <c r="I95" i="14"/>
  <c r="H95" i="14"/>
  <c r="F95" i="14"/>
  <c r="Z94" i="14"/>
  <c r="U94" i="14"/>
  <c r="T94" i="14"/>
  <c r="S94" i="14"/>
  <c r="R94" i="14"/>
  <c r="Q94" i="14"/>
  <c r="V94" i="14" s="1"/>
  <c r="P94" i="14"/>
  <c r="O94" i="14"/>
  <c r="M94" i="14"/>
  <c r="L94" i="14" s="1"/>
  <c r="K94" i="14"/>
  <c r="J94" i="14"/>
  <c r="I94" i="14"/>
  <c r="H94" i="14"/>
  <c r="F94" i="14"/>
  <c r="Z93" i="14"/>
  <c r="U93" i="14"/>
  <c r="T93" i="14"/>
  <c r="S93" i="14"/>
  <c r="B93" i="14" s="1"/>
  <c r="R93" i="14"/>
  <c r="Q93" i="14"/>
  <c r="O93" i="14"/>
  <c r="M93" i="14"/>
  <c r="P93" i="14" s="1"/>
  <c r="K93" i="14"/>
  <c r="J93" i="14"/>
  <c r="I93" i="14"/>
  <c r="H93" i="14"/>
  <c r="F93" i="14"/>
  <c r="Z92" i="14"/>
  <c r="U92" i="14"/>
  <c r="T92" i="14"/>
  <c r="S92" i="14"/>
  <c r="R92" i="14"/>
  <c r="Q92" i="14"/>
  <c r="B92" i="14" s="1"/>
  <c r="O92" i="14"/>
  <c r="P92" i="14" s="1"/>
  <c r="M92" i="14"/>
  <c r="L92" i="14"/>
  <c r="K92" i="14"/>
  <c r="J92" i="14"/>
  <c r="I92" i="14"/>
  <c r="H92" i="14"/>
  <c r="F92" i="14"/>
  <c r="Z91" i="14"/>
  <c r="U91" i="14"/>
  <c r="T91" i="14"/>
  <c r="S91" i="14"/>
  <c r="R91" i="14"/>
  <c r="B91" i="14" s="1"/>
  <c r="Q91" i="14"/>
  <c r="O91" i="14"/>
  <c r="M91" i="14"/>
  <c r="P91" i="14" s="1"/>
  <c r="L91" i="14"/>
  <c r="K91" i="14"/>
  <c r="J91" i="14"/>
  <c r="I91" i="14"/>
  <c r="H91" i="14"/>
  <c r="F91" i="14"/>
  <c r="Z90" i="14"/>
  <c r="U90" i="14"/>
  <c r="T90" i="14"/>
  <c r="S90" i="14"/>
  <c r="R90" i="14"/>
  <c r="Q90" i="14"/>
  <c r="B90" i="14" s="1"/>
  <c r="O90" i="14"/>
  <c r="P90" i="14" s="1"/>
  <c r="M90" i="14"/>
  <c r="L90" i="14" s="1"/>
  <c r="K90" i="14"/>
  <c r="J90" i="14"/>
  <c r="I90" i="14"/>
  <c r="H90" i="14"/>
  <c r="F90" i="14"/>
  <c r="Z89" i="14"/>
  <c r="U89" i="14"/>
  <c r="T89" i="14"/>
  <c r="V89" i="14" s="1"/>
  <c r="S89" i="14"/>
  <c r="R89" i="14"/>
  <c r="Q89" i="14"/>
  <c r="O89" i="14"/>
  <c r="M89" i="14"/>
  <c r="P89" i="14" s="1"/>
  <c r="L89" i="14"/>
  <c r="K89" i="14"/>
  <c r="J89" i="14"/>
  <c r="I89" i="14"/>
  <c r="H89" i="14"/>
  <c r="F89" i="14"/>
  <c r="Z88" i="14"/>
  <c r="U88" i="14"/>
  <c r="T88" i="14"/>
  <c r="S88" i="14"/>
  <c r="R88" i="14"/>
  <c r="Q88" i="14"/>
  <c r="B88" i="14" s="1"/>
  <c r="O88" i="14"/>
  <c r="M88" i="14"/>
  <c r="V88" i="14" s="1"/>
  <c r="L88" i="14"/>
  <c r="K88" i="14"/>
  <c r="J88" i="14"/>
  <c r="I88" i="14"/>
  <c r="H88" i="14"/>
  <c r="F88" i="14"/>
  <c r="Z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F87" i="14"/>
  <c r="B87" i="14"/>
  <c r="Z86" i="14"/>
  <c r="U86" i="14"/>
  <c r="T86" i="14"/>
  <c r="S86" i="14"/>
  <c r="R86" i="14"/>
  <c r="Q86" i="14"/>
  <c r="O86" i="14"/>
  <c r="M86" i="14"/>
  <c r="P86" i="14" s="1"/>
  <c r="K86" i="14"/>
  <c r="J86" i="14"/>
  <c r="I86" i="14"/>
  <c r="H86" i="14"/>
  <c r="F86" i="14"/>
  <c r="Z85" i="14"/>
  <c r="U85" i="14"/>
  <c r="T85" i="14"/>
  <c r="S85" i="14"/>
  <c r="R85" i="14"/>
  <c r="Q85" i="14"/>
  <c r="V85" i="14" s="1"/>
  <c r="P85" i="14"/>
  <c r="O85" i="14"/>
  <c r="M85" i="14"/>
  <c r="L85" i="14"/>
  <c r="K85" i="14"/>
  <c r="J85" i="14"/>
  <c r="I85" i="14"/>
  <c r="H85" i="14"/>
  <c r="F85" i="14"/>
  <c r="Z84" i="14"/>
  <c r="U84" i="14"/>
  <c r="B84" i="14" s="1"/>
  <c r="T84" i="14"/>
  <c r="S84" i="14"/>
  <c r="R84" i="14"/>
  <c r="Q84" i="14"/>
  <c r="O84" i="14"/>
  <c r="M84" i="14"/>
  <c r="P84" i="14" s="1"/>
  <c r="K84" i="14"/>
  <c r="J84" i="14"/>
  <c r="I84" i="14"/>
  <c r="H84" i="14"/>
  <c r="F84" i="14"/>
  <c r="Z83" i="14"/>
  <c r="U83" i="14"/>
  <c r="T83" i="14"/>
  <c r="S83" i="14"/>
  <c r="R83" i="14"/>
  <c r="B83" i="14" s="1"/>
  <c r="Q83" i="14"/>
  <c r="P83" i="14"/>
  <c r="O83" i="14"/>
  <c r="M83" i="14"/>
  <c r="V83" i="14" s="1"/>
  <c r="L83" i="14"/>
  <c r="K83" i="14"/>
  <c r="J83" i="14"/>
  <c r="I83" i="14"/>
  <c r="H83" i="14"/>
  <c r="F83" i="14"/>
  <c r="Z82" i="14"/>
  <c r="V82" i="14"/>
  <c r="U82" i="14"/>
  <c r="T82" i="14"/>
  <c r="S82" i="14"/>
  <c r="R82" i="14"/>
  <c r="Q82" i="14"/>
  <c r="O82" i="14"/>
  <c r="P82" i="14" s="1"/>
  <c r="M82" i="14"/>
  <c r="L82" i="14" s="1"/>
  <c r="K82" i="14"/>
  <c r="J82" i="14"/>
  <c r="I82" i="14"/>
  <c r="H82" i="14"/>
  <c r="F82" i="14"/>
  <c r="B82" i="14"/>
  <c r="Z81" i="14"/>
  <c r="U81" i="14"/>
  <c r="T81" i="14"/>
  <c r="S81" i="14"/>
  <c r="R81" i="14"/>
  <c r="Q81" i="14"/>
  <c r="O81" i="14"/>
  <c r="M81" i="14"/>
  <c r="P81" i="14" s="1"/>
  <c r="L81" i="14"/>
  <c r="K81" i="14"/>
  <c r="J81" i="14"/>
  <c r="I81" i="14"/>
  <c r="H81" i="14"/>
  <c r="F81" i="14"/>
  <c r="Z80" i="14"/>
  <c r="U80" i="14"/>
  <c r="T80" i="14"/>
  <c r="S80" i="14"/>
  <c r="R80" i="14"/>
  <c r="Q80" i="14"/>
  <c r="B80" i="14" s="1"/>
  <c r="P80" i="14"/>
  <c r="O80" i="14"/>
  <c r="M80" i="14"/>
  <c r="V80" i="14" s="1"/>
  <c r="L80" i="14"/>
  <c r="K80" i="14"/>
  <c r="J80" i="14"/>
  <c r="I80" i="14"/>
  <c r="H80" i="14"/>
  <c r="F80" i="14"/>
  <c r="Z79" i="14"/>
  <c r="U79" i="14"/>
  <c r="B79" i="14" s="1"/>
  <c r="T79" i="14"/>
  <c r="S79" i="14"/>
  <c r="R79" i="14"/>
  <c r="Q79" i="14"/>
  <c r="O79" i="14"/>
  <c r="M79" i="14"/>
  <c r="K79" i="14"/>
  <c r="J79" i="14"/>
  <c r="I79" i="14"/>
  <c r="H79" i="14"/>
  <c r="F79" i="14"/>
  <c r="Z78" i="14"/>
  <c r="U78" i="14"/>
  <c r="T78" i="14"/>
  <c r="S78" i="14"/>
  <c r="R78" i="14"/>
  <c r="Q78" i="14"/>
  <c r="B78" i="14" s="1"/>
  <c r="P78" i="14"/>
  <c r="O78" i="14"/>
  <c r="M78" i="14"/>
  <c r="V78" i="14" s="1"/>
  <c r="K78" i="14"/>
  <c r="J78" i="14"/>
  <c r="I78" i="14"/>
  <c r="H78" i="14"/>
  <c r="F78" i="14"/>
  <c r="Z77" i="14"/>
  <c r="U77" i="14"/>
  <c r="T77" i="14"/>
  <c r="S77" i="14"/>
  <c r="R77" i="14"/>
  <c r="Q77" i="14"/>
  <c r="O77" i="14"/>
  <c r="M77" i="14"/>
  <c r="K77" i="14"/>
  <c r="J77" i="14"/>
  <c r="I77" i="14"/>
  <c r="H77" i="14"/>
  <c r="F77" i="14"/>
  <c r="Z76" i="14"/>
  <c r="U76" i="14"/>
  <c r="T76" i="14"/>
  <c r="S76" i="14"/>
  <c r="R76" i="14"/>
  <c r="B76" i="14" s="1"/>
  <c r="Q76" i="14"/>
  <c r="O76" i="14"/>
  <c r="M76" i="14"/>
  <c r="P76" i="14" s="1"/>
  <c r="L76" i="14"/>
  <c r="K76" i="14"/>
  <c r="J76" i="14"/>
  <c r="I76" i="14"/>
  <c r="H76" i="14"/>
  <c r="F76" i="14"/>
  <c r="Z75" i="14"/>
  <c r="U75" i="14"/>
  <c r="T75" i="14"/>
  <c r="S75" i="14"/>
  <c r="R75" i="14"/>
  <c r="Q75" i="14"/>
  <c r="B75" i="14" s="1"/>
  <c r="O75" i="14"/>
  <c r="P75" i="14" s="1"/>
  <c r="M75" i="14"/>
  <c r="L75" i="14"/>
  <c r="K75" i="14"/>
  <c r="J75" i="14"/>
  <c r="I75" i="14"/>
  <c r="H75" i="14"/>
  <c r="F75" i="14"/>
  <c r="Z74" i="14"/>
  <c r="U74" i="14"/>
  <c r="T74" i="14"/>
  <c r="V74" i="14" s="1"/>
  <c r="S74" i="14"/>
  <c r="R74" i="14"/>
  <c r="Q74" i="14"/>
  <c r="O74" i="14"/>
  <c r="P74" i="14" s="1"/>
  <c r="N74" i="14"/>
  <c r="M74" i="14"/>
  <c r="L74" i="14"/>
  <c r="K74" i="14"/>
  <c r="J74" i="14"/>
  <c r="I74" i="14"/>
  <c r="H74" i="14"/>
  <c r="F74" i="14"/>
  <c r="B74" i="14"/>
  <c r="Z73" i="14"/>
  <c r="U73" i="14"/>
  <c r="T73" i="14"/>
  <c r="S73" i="14"/>
  <c r="R73" i="14"/>
  <c r="Q73" i="14"/>
  <c r="O73" i="14"/>
  <c r="M73" i="14"/>
  <c r="P73" i="14" s="1"/>
  <c r="L73" i="14"/>
  <c r="K73" i="14"/>
  <c r="J73" i="14"/>
  <c r="I73" i="14"/>
  <c r="H73" i="14"/>
  <c r="F73" i="14"/>
  <c r="Z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F72" i="14"/>
  <c r="B72" i="14"/>
  <c r="Z71" i="14"/>
  <c r="U71" i="14"/>
  <c r="T71" i="14"/>
  <c r="S71" i="14"/>
  <c r="B71" i="14" s="1"/>
  <c r="R71" i="14"/>
  <c r="Q71" i="14"/>
  <c r="O71" i="14"/>
  <c r="M71" i="14"/>
  <c r="K71" i="14"/>
  <c r="J71" i="14"/>
  <c r="I71" i="14"/>
  <c r="H71" i="14"/>
  <c r="F71" i="14"/>
  <c r="Z70" i="14"/>
  <c r="U70" i="14"/>
  <c r="T70" i="14"/>
  <c r="S70" i="14"/>
  <c r="R70" i="14"/>
  <c r="Q70" i="14"/>
  <c r="B70" i="14" s="1"/>
  <c r="P70" i="14"/>
  <c r="O70" i="14"/>
  <c r="M70" i="14"/>
  <c r="K70" i="14"/>
  <c r="J70" i="14"/>
  <c r="I70" i="14"/>
  <c r="H70" i="14"/>
  <c r="F70" i="14"/>
  <c r="Z69" i="14"/>
  <c r="U69" i="14"/>
  <c r="T69" i="14"/>
  <c r="S69" i="14"/>
  <c r="R69" i="14"/>
  <c r="Q69" i="14"/>
  <c r="B69" i="14" s="1"/>
  <c r="O69" i="14"/>
  <c r="M69" i="14"/>
  <c r="K69" i="14"/>
  <c r="J69" i="14"/>
  <c r="I69" i="14"/>
  <c r="H69" i="14"/>
  <c r="F69" i="14"/>
  <c r="Z68" i="14"/>
  <c r="U68" i="14"/>
  <c r="T68" i="14"/>
  <c r="S68" i="14"/>
  <c r="R68" i="14"/>
  <c r="Q68" i="14"/>
  <c r="O68" i="14"/>
  <c r="M68" i="14"/>
  <c r="P68" i="14" s="1"/>
  <c r="L68" i="14"/>
  <c r="K68" i="14"/>
  <c r="J68" i="14"/>
  <c r="I68" i="14"/>
  <c r="H68" i="14"/>
  <c r="F68" i="14"/>
  <c r="Z67" i="14"/>
  <c r="U67" i="14"/>
  <c r="T67" i="14"/>
  <c r="S67" i="14"/>
  <c r="R67" i="14"/>
  <c r="Q67" i="14"/>
  <c r="B67" i="14" s="1"/>
  <c r="O67" i="14"/>
  <c r="P67" i="14" s="1"/>
  <c r="M67" i="14"/>
  <c r="L67" i="14"/>
  <c r="K67" i="14"/>
  <c r="J67" i="14"/>
  <c r="I67" i="14"/>
  <c r="H67" i="14"/>
  <c r="F67" i="14"/>
  <c r="Z66" i="14"/>
  <c r="U66" i="14"/>
  <c r="T66" i="14"/>
  <c r="V66" i="14" s="1"/>
  <c r="S66" i="14"/>
  <c r="R66" i="14"/>
  <c r="Q66" i="14"/>
  <c r="O66" i="14"/>
  <c r="P66" i="14" s="1"/>
  <c r="M66" i="14"/>
  <c r="L66" i="14"/>
  <c r="K66" i="14"/>
  <c r="J66" i="14"/>
  <c r="I66" i="14"/>
  <c r="H66" i="14"/>
  <c r="F66" i="14"/>
  <c r="B66" i="14"/>
  <c r="Z65" i="14"/>
  <c r="U65" i="14"/>
  <c r="T65" i="14"/>
  <c r="S65" i="14"/>
  <c r="R65" i="14"/>
  <c r="Q65" i="14"/>
  <c r="O65" i="14"/>
  <c r="M65" i="14"/>
  <c r="P65" i="14" s="1"/>
  <c r="L65" i="14"/>
  <c r="K65" i="14"/>
  <c r="J65" i="14"/>
  <c r="I65" i="14"/>
  <c r="H65" i="14"/>
  <c r="F65" i="14"/>
  <c r="Z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F64" i="14"/>
  <c r="B64" i="14"/>
  <c r="Z63" i="14"/>
  <c r="U63" i="14"/>
  <c r="T63" i="14"/>
  <c r="S63" i="14"/>
  <c r="R63" i="14"/>
  <c r="Q63" i="14"/>
  <c r="O63" i="14"/>
  <c r="M63" i="14"/>
  <c r="K63" i="14"/>
  <c r="J63" i="14"/>
  <c r="I63" i="14"/>
  <c r="H63" i="14"/>
  <c r="F63" i="14"/>
  <c r="Z62" i="14"/>
  <c r="U62" i="14"/>
  <c r="T62" i="14"/>
  <c r="S62" i="14"/>
  <c r="R62" i="14"/>
  <c r="B62" i="14" s="1"/>
  <c r="Q62" i="14"/>
  <c r="P62" i="14"/>
  <c r="O62" i="14"/>
  <c r="M62" i="14"/>
  <c r="K62" i="14"/>
  <c r="J62" i="14"/>
  <c r="I62" i="14"/>
  <c r="H62" i="14"/>
  <c r="F62" i="14"/>
  <c r="Z61" i="14"/>
  <c r="U61" i="14"/>
  <c r="T61" i="14"/>
  <c r="S61" i="14"/>
  <c r="R61" i="14"/>
  <c r="Q61" i="14"/>
  <c r="B61" i="14" s="1"/>
  <c r="O61" i="14"/>
  <c r="M61" i="14"/>
  <c r="K61" i="14"/>
  <c r="J61" i="14"/>
  <c r="I61" i="14"/>
  <c r="H61" i="14"/>
  <c r="F61" i="14"/>
  <c r="Z60" i="14"/>
  <c r="U60" i="14"/>
  <c r="T60" i="14"/>
  <c r="S60" i="14"/>
  <c r="R60" i="14"/>
  <c r="Q60" i="14"/>
  <c r="O60" i="14"/>
  <c r="M60" i="14"/>
  <c r="P60" i="14" s="1"/>
  <c r="L60" i="14"/>
  <c r="K60" i="14"/>
  <c r="J60" i="14"/>
  <c r="I60" i="14"/>
  <c r="H60" i="14"/>
  <c r="F60" i="14"/>
  <c r="Z59" i="14"/>
  <c r="U59" i="14"/>
  <c r="T59" i="14"/>
  <c r="S59" i="14"/>
  <c r="R59" i="14"/>
  <c r="Q59" i="14"/>
  <c r="B59" i="14" s="1"/>
  <c r="O59" i="14"/>
  <c r="M59" i="14"/>
  <c r="P59" i="14" s="1"/>
  <c r="L59" i="14"/>
  <c r="K59" i="14"/>
  <c r="J59" i="14"/>
  <c r="I59" i="14"/>
  <c r="H59" i="14"/>
  <c r="F59" i="14"/>
  <c r="Z58" i="14"/>
  <c r="V58" i="14"/>
  <c r="U58" i="14"/>
  <c r="T58" i="14"/>
  <c r="S58" i="14"/>
  <c r="R58" i="14"/>
  <c r="Q58" i="14"/>
  <c r="O58" i="14"/>
  <c r="P58" i="14" s="1"/>
  <c r="M58" i="14"/>
  <c r="L58" i="14"/>
  <c r="K58" i="14"/>
  <c r="J58" i="14"/>
  <c r="I58" i="14"/>
  <c r="H58" i="14"/>
  <c r="F58" i="14"/>
  <c r="B58" i="14"/>
  <c r="Z57" i="14"/>
  <c r="U57" i="14"/>
  <c r="T57" i="14"/>
  <c r="S57" i="14"/>
  <c r="R57" i="14"/>
  <c r="Q57" i="14"/>
  <c r="O57" i="14"/>
  <c r="M57" i="14"/>
  <c r="P57" i="14" s="1"/>
  <c r="L57" i="14"/>
  <c r="K57" i="14"/>
  <c r="J57" i="14"/>
  <c r="I57" i="14"/>
  <c r="H57" i="14"/>
  <c r="F57" i="14"/>
  <c r="Z56" i="14"/>
  <c r="U56" i="14"/>
  <c r="T56" i="14"/>
  <c r="S56" i="14"/>
  <c r="R56" i="14"/>
  <c r="Q56" i="14"/>
  <c r="V56" i="14" s="1"/>
  <c r="P56" i="14"/>
  <c r="O56" i="14"/>
  <c r="M56" i="14"/>
  <c r="L56" i="14"/>
  <c r="K56" i="14"/>
  <c r="J56" i="14"/>
  <c r="I56" i="14"/>
  <c r="H56" i="14"/>
  <c r="F56" i="14"/>
  <c r="Z55" i="14"/>
  <c r="U55" i="14"/>
  <c r="T55" i="14"/>
  <c r="S55" i="14"/>
  <c r="B55" i="14" s="1"/>
  <c r="R55" i="14"/>
  <c r="Q55" i="14"/>
  <c r="O55" i="14"/>
  <c r="M55" i="14"/>
  <c r="K55" i="14"/>
  <c r="J55" i="14"/>
  <c r="I55" i="14"/>
  <c r="H55" i="14"/>
  <c r="F55" i="14"/>
  <c r="Z54" i="14"/>
  <c r="U54" i="14"/>
  <c r="T54" i="14"/>
  <c r="S54" i="14"/>
  <c r="R54" i="14"/>
  <c r="B54" i="14" s="1"/>
  <c r="Q54" i="14"/>
  <c r="P54" i="14"/>
  <c r="O54" i="14"/>
  <c r="M54" i="14"/>
  <c r="K54" i="14"/>
  <c r="J54" i="14"/>
  <c r="I54" i="14"/>
  <c r="H54" i="14"/>
  <c r="F54" i="14"/>
  <c r="Z53" i="14"/>
  <c r="U53" i="14"/>
  <c r="T53" i="14"/>
  <c r="S53" i="14"/>
  <c r="R53" i="14"/>
  <c r="Q53" i="14"/>
  <c r="B53" i="14" s="1"/>
  <c r="O53" i="14"/>
  <c r="M53" i="14"/>
  <c r="K53" i="14"/>
  <c r="J53" i="14"/>
  <c r="I53" i="14"/>
  <c r="H53" i="14"/>
  <c r="F53" i="14"/>
  <c r="Z52" i="14"/>
  <c r="U52" i="14"/>
  <c r="T52" i="14"/>
  <c r="S52" i="14"/>
  <c r="R52" i="14"/>
  <c r="Q52" i="14"/>
  <c r="O52" i="14"/>
  <c r="M52" i="14"/>
  <c r="K52" i="14"/>
  <c r="J52" i="14"/>
  <c r="I52" i="14"/>
  <c r="H52" i="14"/>
  <c r="F52" i="14"/>
  <c r="Z51" i="14"/>
  <c r="U51" i="14"/>
  <c r="T51" i="14"/>
  <c r="S51" i="14"/>
  <c r="R51" i="14"/>
  <c r="Q51" i="14"/>
  <c r="B51" i="14" s="1"/>
  <c r="O51" i="14"/>
  <c r="M51" i="14"/>
  <c r="L51" i="14"/>
  <c r="K51" i="14"/>
  <c r="J51" i="14"/>
  <c r="I51" i="14"/>
  <c r="H51" i="14"/>
  <c r="F51" i="14"/>
  <c r="Z50" i="14"/>
  <c r="U50" i="14"/>
  <c r="T50" i="14"/>
  <c r="S50" i="14"/>
  <c r="R50" i="14"/>
  <c r="Q50" i="14"/>
  <c r="O50" i="14"/>
  <c r="V50" i="14" s="1"/>
  <c r="N50" i="14" s="1"/>
  <c r="M50" i="14"/>
  <c r="L50" i="14"/>
  <c r="K50" i="14"/>
  <c r="J50" i="14"/>
  <c r="I50" i="14"/>
  <c r="H50" i="14"/>
  <c r="F50" i="14"/>
  <c r="B50" i="14"/>
  <c r="Z49" i="14"/>
  <c r="U49" i="14"/>
  <c r="T49" i="14"/>
  <c r="S49" i="14"/>
  <c r="R49" i="14"/>
  <c r="Q49" i="14"/>
  <c r="O49" i="14"/>
  <c r="M49" i="14"/>
  <c r="P49" i="14" s="1"/>
  <c r="L49" i="14"/>
  <c r="K49" i="14"/>
  <c r="J49" i="14"/>
  <c r="I49" i="14"/>
  <c r="H49" i="14"/>
  <c r="F49" i="14"/>
  <c r="Z48" i="14"/>
  <c r="U48" i="14"/>
  <c r="T48" i="14"/>
  <c r="S48" i="14"/>
  <c r="R48" i="14"/>
  <c r="Q48" i="14"/>
  <c r="P48" i="14"/>
  <c r="O48" i="14"/>
  <c r="M48" i="14"/>
  <c r="L48" i="14"/>
  <c r="K48" i="14"/>
  <c r="J48" i="14"/>
  <c r="I48" i="14"/>
  <c r="H48" i="14"/>
  <c r="F48" i="14"/>
  <c r="Z47" i="14"/>
  <c r="U47" i="14"/>
  <c r="T47" i="14"/>
  <c r="S47" i="14"/>
  <c r="B47" i="14" s="1"/>
  <c r="R47" i="14"/>
  <c r="Q47" i="14"/>
  <c r="O47" i="14"/>
  <c r="M47" i="14"/>
  <c r="K47" i="14"/>
  <c r="J47" i="14"/>
  <c r="I47" i="14"/>
  <c r="H47" i="14"/>
  <c r="F47" i="14"/>
  <c r="Z46" i="14"/>
  <c r="U46" i="14"/>
  <c r="T46" i="14"/>
  <c r="S46" i="14"/>
  <c r="R46" i="14"/>
  <c r="Q46" i="14"/>
  <c r="P46" i="14"/>
  <c r="O46" i="14"/>
  <c r="M46" i="14"/>
  <c r="K46" i="14"/>
  <c r="J46" i="14"/>
  <c r="I46" i="14"/>
  <c r="H46" i="14"/>
  <c r="F46" i="14"/>
  <c r="Z45" i="14"/>
  <c r="U45" i="14"/>
  <c r="T45" i="14"/>
  <c r="S45" i="14"/>
  <c r="R45" i="14"/>
  <c r="Q45" i="14"/>
  <c r="P45" i="14"/>
  <c r="O45" i="14"/>
  <c r="M45" i="14"/>
  <c r="K45" i="14"/>
  <c r="J45" i="14"/>
  <c r="I45" i="14"/>
  <c r="H45" i="14"/>
  <c r="F45" i="14"/>
  <c r="Z44" i="14"/>
  <c r="U44" i="14"/>
  <c r="T44" i="14"/>
  <c r="S44" i="14"/>
  <c r="R44" i="14"/>
  <c r="B44" i="14" s="1"/>
  <c r="Q44" i="14"/>
  <c r="O44" i="14"/>
  <c r="M44" i="14"/>
  <c r="L44" i="14"/>
  <c r="K44" i="14"/>
  <c r="J44" i="14"/>
  <c r="I44" i="14"/>
  <c r="H44" i="14"/>
  <c r="F44" i="14"/>
  <c r="Z43" i="14"/>
  <c r="U43" i="14"/>
  <c r="T43" i="14"/>
  <c r="S43" i="14"/>
  <c r="R43" i="14"/>
  <c r="Q43" i="14"/>
  <c r="O43" i="14"/>
  <c r="P43" i="14" s="1"/>
  <c r="M43" i="14"/>
  <c r="L43" i="14"/>
  <c r="K43" i="14"/>
  <c r="J43" i="14"/>
  <c r="I43" i="14"/>
  <c r="H43" i="14"/>
  <c r="F43" i="14"/>
  <c r="Z42" i="14"/>
  <c r="V42" i="14"/>
  <c r="U42" i="14"/>
  <c r="T42" i="14"/>
  <c r="B42" i="14" s="1"/>
  <c r="S42" i="14"/>
  <c r="R42" i="14"/>
  <c r="Q42" i="14"/>
  <c r="O42" i="14"/>
  <c r="M42" i="14"/>
  <c r="P42" i="14" s="1"/>
  <c r="L42" i="14"/>
  <c r="K42" i="14"/>
  <c r="J42" i="14"/>
  <c r="I42" i="14"/>
  <c r="H42" i="14"/>
  <c r="F42" i="14"/>
  <c r="Z41" i="14"/>
  <c r="U41" i="14"/>
  <c r="T41" i="14"/>
  <c r="S41" i="14"/>
  <c r="R41" i="14"/>
  <c r="Q41" i="14"/>
  <c r="O41" i="14"/>
  <c r="M41" i="14"/>
  <c r="P41" i="14" s="1"/>
  <c r="L41" i="14"/>
  <c r="K41" i="14"/>
  <c r="J41" i="14"/>
  <c r="I41" i="14"/>
  <c r="H41" i="14"/>
  <c r="F41" i="14"/>
  <c r="Z40" i="14"/>
  <c r="V40" i="14"/>
  <c r="W40" i="14" s="1"/>
  <c r="X40" i="14" s="1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F40" i="14"/>
  <c r="B40" i="14"/>
  <c r="Z39" i="14"/>
  <c r="V39" i="14"/>
  <c r="U39" i="14"/>
  <c r="B39" i="14" s="1"/>
  <c r="T39" i="14"/>
  <c r="S39" i="14"/>
  <c r="R39" i="14"/>
  <c r="Q39" i="14"/>
  <c r="O39" i="14"/>
  <c r="M39" i="14"/>
  <c r="K39" i="14"/>
  <c r="J39" i="14"/>
  <c r="I39" i="14"/>
  <c r="H39" i="14"/>
  <c r="F39" i="14"/>
  <c r="Z38" i="14"/>
  <c r="U38" i="14"/>
  <c r="T38" i="14"/>
  <c r="S38" i="14"/>
  <c r="R38" i="14"/>
  <c r="Q38" i="14"/>
  <c r="P38" i="14"/>
  <c r="O38" i="14"/>
  <c r="M38" i="14"/>
  <c r="V38" i="14" s="1"/>
  <c r="K38" i="14"/>
  <c r="J38" i="14"/>
  <c r="I38" i="14"/>
  <c r="H38" i="14"/>
  <c r="F38" i="14"/>
  <c r="Z37" i="14"/>
  <c r="U37" i="14"/>
  <c r="T37" i="14"/>
  <c r="S37" i="14"/>
  <c r="R37" i="14"/>
  <c r="Q37" i="14"/>
  <c r="O37" i="14"/>
  <c r="M37" i="14"/>
  <c r="K37" i="14"/>
  <c r="J37" i="14"/>
  <c r="I37" i="14"/>
  <c r="H37" i="14"/>
  <c r="F37" i="14"/>
  <c r="Z36" i="14"/>
  <c r="U36" i="14"/>
  <c r="T36" i="14"/>
  <c r="S36" i="14"/>
  <c r="R36" i="14"/>
  <c r="Q36" i="14"/>
  <c r="O36" i="14"/>
  <c r="M36" i="14"/>
  <c r="L36" i="14"/>
  <c r="K36" i="14"/>
  <c r="J36" i="14"/>
  <c r="I36" i="14"/>
  <c r="H36" i="14"/>
  <c r="F36" i="14"/>
  <c r="Z35" i="14"/>
  <c r="U35" i="14"/>
  <c r="T35" i="14"/>
  <c r="S35" i="14"/>
  <c r="R35" i="14"/>
  <c r="Q35" i="14"/>
  <c r="B35" i="14" s="1"/>
  <c r="O35" i="14"/>
  <c r="P35" i="14" s="1"/>
  <c r="M35" i="14"/>
  <c r="L35" i="14"/>
  <c r="K35" i="14"/>
  <c r="J35" i="14"/>
  <c r="I35" i="14"/>
  <c r="H35" i="14"/>
  <c r="F35" i="14"/>
  <c r="Z34" i="14"/>
  <c r="U34" i="14"/>
  <c r="T34" i="14"/>
  <c r="B34" i="14" s="1"/>
  <c r="S34" i="14"/>
  <c r="R34" i="14"/>
  <c r="Q34" i="14"/>
  <c r="O34" i="14"/>
  <c r="V34" i="14" s="1"/>
  <c r="M34" i="14"/>
  <c r="L34" i="14"/>
  <c r="K34" i="14"/>
  <c r="J34" i="14"/>
  <c r="I34" i="14"/>
  <c r="H34" i="14"/>
  <c r="F34" i="14"/>
  <c r="Z33" i="14"/>
  <c r="U33" i="14"/>
  <c r="T33" i="14"/>
  <c r="S33" i="14"/>
  <c r="R33" i="14"/>
  <c r="Q33" i="14"/>
  <c r="O33" i="14"/>
  <c r="M33" i="14"/>
  <c r="P33" i="14" s="1"/>
  <c r="L33" i="14"/>
  <c r="K33" i="14"/>
  <c r="J33" i="14"/>
  <c r="I33" i="14"/>
  <c r="H33" i="14"/>
  <c r="F33" i="14"/>
  <c r="Z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F32" i="14"/>
  <c r="B32" i="14"/>
  <c r="Z31" i="14"/>
  <c r="U31" i="14"/>
  <c r="T31" i="14"/>
  <c r="S31" i="14"/>
  <c r="R31" i="14"/>
  <c r="Q31" i="14"/>
  <c r="O31" i="14"/>
  <c r="M31" i="14"/>
  <c r="K31" i="14"/>
  <c r="J31" i="14"/>
  <c r="I31" i="14"/>
  <c r="H31" i="14"/>
  <c r="F31" i="14"/>
  <c r="B31" i="14"/>
  <c r="Z30" i="14"/>
  <c r="U30" i="14"/>
  <c r="T30" i="14"/>
  <c r="S30" i="14"/>
  <c r="R30" i="14"/>
  <c r="Q30" i="14"/>
  <c r="B30" i="14" s="1"/>
  <c r="P30" i="14"/>
  <c r="O30" i="14"/>
  <c r="M30" i="14"/>
  <c r="K30" i="14"/>
  <c r="J30" i="14"/>
  <c r="I30" i="14"/>
  <c r="H30" i="14"/>
  <c r="F30" i="14"/>
  <c r="Z29" i="14"/>
  <c r="U29" i="14"/>
  <c r="T29" i="14"/>
  <c r="S29" i="14"/>
  <c r="R29" i="14"/>
  <c r="B29" i="14" s="1"/>
  <c r="Q29" i="14"/>
  <c r="P29" i="14"/>
  <c r="O29" i="14"/>
  <c r="M29" i="14"/>
  <c r="K29" i="14"/>
  <c r="J29" i="14"/>
  <c r="I29" i="14"/>
  <c r="H29" i="14"/>
  <c r="F29" i="14"/>
  <c r="Z28" i="14"/>
  <c r="U28" i="14"/>
  <c r="T28" i="14"/>
  <c r="S28" i="14"/>
  <c r="R28" i="14"/>
  <c r="Q28" i="14"/>
  <c r="O28" i="14"/>
  <c r="M28" i="14"/>
  <c r="L28" i="14"/>
  <c r="K28" i="14"/>
  <c r="J28" i="14"/>
  <c r="I28" i="14"/>
  <c r="H28" i="14"/>
  <c r="F28" i="14"/>
  <c r="Z27" i="14"/>
  <c r="U27" i="14"/>
  <c r="T27" i="14"/>
  <c r="S27" i="14"/>
  <c r="R27" i="14"/>
  <c r="Q27" i="14"/>
  <c r="O27" i="14"/>
  <c r="P27" i="14" s="1"/>
  <c r="M27" i="14"/>
  <c r="L27" i="14"/>
  <c r="K27" i="14"/>
  <c r="J27" i="14"/>
  <c r="I27" i="14"/>
  <c r="H27" i="14"/>
  <c r="F27" i="14"/>
  <c r="Z26" i="14"/>
  <c r="V26" i="14"/>
  <c r="U26" i="14"/>
  <c r="T26" i="14"/>
  <c r="S26" i="14"/>
  <c r="R26" i="14"/>
  <c r="Q26" i="14"/>
  <c r="O26" i="14"/>
  <c r="M26" i="14"/>
  <c r="P26" i="14" s="1"/>
  <c r="L26" i="14"/>
  <c r="K26" i="14"/>
  <c r="J26" i="14"/>
  <c r="I26" i="14"/>
  <c r="H26" i="14"/>
  <c r="F26" i="14"/>
  <c r="B26" i="14"/>
  <c r="Z25" i="14"/>
  <c r="U25" i="14"/>
  <c r="T25" i="14"/>
  <c r="S25" i="14"/>
  <c r="R25" i="14"/>
  <c r="Q25" i="14"/>
  <c r="O25" i="14"/>
  <c r="M25" i="14"/>
  <c r="P25" i="14" s="1"/>
  <c r="L25" i="14"/>
  <c r="K25" i="14"/>
  <c r="J25" i="14"/>
  <c r="I25" i="14"/>
  <c r="H25" i="14"/>
  <c r="F25" i="14"/>
  <c r="Z24" i="14"/>
  <c r="U24" i="14"/>
  <c r="T24" i="14"/>
  <c r="S24" i="14"/>
  <c r="R24" i="14"/>
  <c r="Q24" i="14"/>
  <c r="V24" i="14" s="1"/>
  <c r="P24" i="14"/>
  <c r="O24" i="14"/>
  <c r="M24" i="14"/>
  <c r="L24" i="14"/>
  <c r="K24" i="14"/>
  <c r="J24" i="14"/>
  <c r="I24" i="14"/>
  <c r="H24" i="14"/>
  <c r="F24" i="14"/>
  <c r="Z23" i="14"/>
  <c r="U23" i="14"/>
  <c r="T23" i="14"/>
  <c r="S23" i="14"/>
  <c r="B23" i="14" s="1"/>
  <c r="R23" i="14"/>
  <c r="Q23" i="14"/>
  <c r="O23" i="14"/>
  <c r="M23" i="14"/>
  <c r="K23" i="14"/>
  <c r="J23" i="14"/>
  <c r="I23" i="14"/>
  <c r="H23" i="14"/>
  <c r="F23" i="14"/>
  <c r="Z22" i="14"/>
  <c r="U22" i="14"/>
  <c r="T22" i="14"/>
  <c r="S22" i="14"/>
  <c r="R22" i="14"/>
  <c r="Q22" i="14"/>
  <c r="P22" i="14"/>
  <c r="O22" i="14"/>
  <c r="M22" i="14"/>
  <c r="K22" i="14"/>
  <c r="J22" i="14"/>
  <c r="I22" i="14"/>
  <c r="H22" i="14"/>
  <c r="F22" i="14"/>
  <c r="Z21" i="14"/>
  <c r="U21" i="14"/>
  <c r="T21" i="14"/>
  <c r="S21" i="14"/>
  <c r="R21" i="14"/>
  <c r="B21" i="14" s="1"/>
  <c r="Q21" i="14"/>
  <c r="O21" i="14"/>
  <c r="M21" i="14"/>
  <c r="K21" i="14"/>
  <c r="J21" i="14"/>
  <c r="I21" i="14"/>
  <c r="H21" i="14"/>
  <c r="F21" i="14"/>
  <c r="Z20" i="14"/>
  <c r="U20" i="14"/>
  <c r="T20" i="14"/>
  <c r="S20" i="14"/>
  <c r="R20" i="14"/>
  <c r="Q20" i="14"/>
  <c r="O20" i="14"/>
  <c r="M20" i="14"/>
  <c r="K20" i="14"/>
  <c r="J20" i="14"/>
  <c r="I20" i="14"/>
  <c r="H20" i="14"/>
  <c r="F20" i="14"/>
  <c r="Z19" i="14"/>
  <c r="U19" i="14"/>
  <c r="T19" i="14"/>
  <c r="S19" i="14"/>
  <c r="R19" i="14"/>
  <c r="Q19" i="14"/>
  <c r="O19" i="14"/>
  <c r="P19" i="14" s="1"/>
  <c r="M19" i="14"/>
  <c r="V19" i="14" s="1"/>
  <c r="W19" i="14" s="1"/>
  <c r="X19" i="14" s="1"/>
  <c r="L19" i="14"/>
  <c r="K19" i="14"/>
  <c r="J19" i="14"/>
  <c r="I19" i="14"/>
  <c r="H19" i="14"/>
  <c r="F19" i="14"/>
  <c r="Z18" i="14"/>
  <c r="U18" i="14"/>
  <c r="T18" i="14"/>
  <c r="S18" i="14"/>
  <c r="R18" i="14"/>
  <c r="Q18" i="14"/>
  <c r="B18" i="14" s="1"/>
  <c r="O18" i="14"/>
  <c r="V18" i="14" s="1"/>
  <c r="M18" i="14"/>
  <c r="L18" i="14"/>
  <c r="K18" i="14"/>
  <c r="J18" i="14"/>
  <c r="I18" i="14"/>
  <c r="H18" i="14"/>
  <c r="F18" i="14"/>
  <c r="Z17" i="14"/>
  <c r="U17" i="14"/>
  <c r="T17" i="14"/>
  <c r="S17" i="14"/>
  <c r="R17" i="14"/>
  <c r="Q17" i="14"/>
  <c r="O17" i="14"/>
  <c r="M17" i="14"/>
  <c r="P17" i="14" s="1"/>
  <c r="L17" i="14"/>
  <c r="K17" i="14"/>
  <c r="J17" i="14"/>
  <c r="I17" i="14"/>
  <c r="H17" i="14"/>
  <c r="F17" i="14"/>
  <c r="Z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F16" i="14"/>
  <c r="B16" i="14"/>
  <c r="Z15" i="14"/>
  <c r="U15" i="14"/>
  <c r="T15" i="14"/>
  <c r="S15" i="14"/>
  <c r="B15" i="14" s="1"/>
  <c r="R15" i="14"/>
  <c r="Q15" i="14"/>
  <c r="P15" i="14"/>
  <c r="O15" i="14"/>
  <c r="M15" i="14"/>
  <c r="L15" i="14" s="1"/>
  <c r="K15" i="14"/>
  <c r="J15" i="14"/>
  <c r="I15" i="14"/>
  <c r="H15" i="14"/>
  <c r="F15" i="14"/>
  <c r="Z14" i="14"/>
  <c r="U14" i="14"/>
  <c r="T14" i="14"/>
  <c r="S14" i="14"/>
  <c r="R14" i="14"/>
  <c r="Q14" i="14"/>
  <c r="O14" i="14"/>
  <c r="M14" i="14"/>
  <c r="K14" i="14"/>
  <c r="J14" i="14"/>
  <c r="I14" i="14"/>
  <c r="H14" i="14"/>
  <c r="F14" i="14"/>
  <c r="Z13" i="14"/>
  <c r="U13" i="14"/>
  <c r="T13" i="14"/>
  <c r="S13" i="14"/>
  <c r="R13" i="14"/>
  <c r="B13" i="14" s="1"/>
  <c r="Q13" i="14"/>
  <c r="O13" i="14"/>
  <c r="M13" i="14"/>
  <c r="K13" i="14"/>
  <c r="J13" i="14"/>
  <c r="I13" i="14"/>
  <c r="H13" i="14"/>
  <c r="F13" i="14"/>
  <c r="Z12" i="14"/>
  <c r="U12" i="14"/>
  <c r="T12" i="14"/>
  <c r="S12" i="14"/>
  <c r="R12" i="14"/>
  <c r="Q12" i="14"/>
  <c r="O12" i="14"/>
  <c r="M12" i="14"/>
  <c r="L12" i="14"/>
  <c r="K12" i="14"/>
  <c r="J12" i="14"/>
  <c r="I12" i="14"/>
  <c r="H12" i="14"/>
  <c r="F12" i="14"/>
  <c r="Z11" i="14"/>
  <c r="U11" i="14"/>
  <c r="T11" i="14"/>
  <c r="S11" i="14"/>
  <c r="R11" i="14"/>
  <c r="Q11" i="14"/>
  <c r="B11" i="14" s="1"/>
  <c r="O11" i="14"/>
  <c r="P11" i="14" s="1"/>
  <c r="M11" i="14"/>
  <c r="L11" i="14"/>
  <c r="K11" i="14"/>
  <c r="J11" i="14"/>
  <c r="I11" i="14"/>
  <c r="H11" i="14"/>
  <c r="F11" i="14"/>
  <c r="Z10" i="14"/>
  <c r="U10" i="14"/>
  <c r="T10" i="14"/>
  <c r="S10" i="14"/>
  <c r="R10" i="14"/>
  <c r="Q10" i="14"/>
  <c r="O10" i="14"/>
  <c r="M10" i="14"/>
  <c r="P10" i="14" s="1"/>
  <c r="L10" i="14"/>
  <c r="K10" i="14"/>
  <c r="J10" i="14"/>
  <c r="I10" i="14"/>
  <c r="H10" i="14"/>
  <c r="F10" i="14"/>
  <c r="Z9" i="14"/>
  <c r="U9" i="14"/>
  <c r="T9" i="14"/>
  <c r="S9" i="14"/>
  <c r="R9" i="14"/>
  <c r="Q9" i="14"/>
  <c r="O9" i="14"/>
  <c r="M9" i="14"/>
  <c r="P9" i="14" s="1"/>
  <c r="L9" i="14"/>
  <c r="K9" i="14"/>
  <c r="J9" i="14"/>
  <c r="I9" i="14"/>
  <c r="H9" i="14"/>
  <c r="F9" i="14"/>
  <c r="Z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F8" i="14"/>
  <c r="B8" i="14"/>
  <c r="Z7" i="14"/>
  <c r="V7" i="14"/>
  <c r="U7" i="14"/>
  <c r="T7" i="14"/>
  <c r="S7" i="14"/>
  <c r="B7" i="14" s="1"/>
  <c r="R7" i="14"/>
  <c r="Q7" i="14"/>
  <c r="O7" i="14"/>
  <c r="N7" i="14"/>
  <c r="M7" i="14"/>
  <c r="L7" i="14" s="1"/>
  <c r="K7" i="14"/>
  <c r="J7" i="14"/>
  <c r="I7" i="14"/>
  <c r="H7" i="14"/>
  <c r="F7" i="14"/>
  <c r="R4" i="14"/>
  <c r="S4" i="14" s="1"/>
  <c r="T4" i="14" s="1"/>
  <c r="U4" i="14" s="1"/>
  <c r="V4" i="14" s="1"/>
  <c r="W4" i="14" s="1"/>
  <c r="X4" i="14" s="1"/>
  <c r="Y4" i="14" s="1"/>
  <c r="Z4" i="14" s="1"/>
  <c r="P4" i="14"/>
  <c r="Q4" i="14" s="1"/>
  <c r="K4" i="14"/>
  <c r="I3" i="14"/>
  <c r="L4" i="14" s="1"/>
  <c r="M4" i="14" s="1"/>
  <c r="N4" i="14" s="1"/>
  <c r="O4" i="14" s="1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K3" i="14" s="1"/>
  <c r="Z306" i="13"/>
  <c r="Y306" i="13"/>
  <c r="V306" i="13"/>
  <c r="W306" i="13" s="1"/>
  <c r="X306" i="13" s="1"/>
  <c r="U306" i="13"/>
  <c r="T306" i="13"/>
  <c r="S306" i="13"/>
  <c r="R306" i="13"/>
  <c r="Q306" i="13"/>
  <c r="O306" i="13"/>
  <c r="N306" i="13"/>
  <c r="M306" i="13"/>
  <c r="P306" i="13" s="1"/>
  <c r="L306" i="13"/>
  <c r="K306" i="13"/>
  <c r="J306" i="13"/>
  <c r="I306" i="13"/>
  <c r="H306" i="13"/>
  <c r="F306" i="13"/>
  <c r="B306" i="13"/>
  <c r="Z305" i="13"/>
  <c r="Y305" i="13"/>
  <c r="X305" i="13"/>
  <c r="V305" i="13"/>
  <c r="W305" i="13" s="1"/>
  <c r="U305" i="13"/>
  <c r="T305" i="13"/>
  <c r="S305" i="13"/>
  <c r="R305" i="13"/>
  <c r="Q305" i="13"/>
  <c r="B305" i="13" s="1"/>
  <c r="P305" i="13"/>
  <c r="O305" i="13"/>
  <c r="N305" i="13"/>
  <c r="M305" i="13"/>
  <c r="L305" i="13"/>
  <c r="K305" i="13"/>
  <c r="J305" i="13"/>
  <c r="I305" i="13"/>
  <c r="H305" i="13"/>
  <c r="F305" i="13"/>
  <c r="Z304" i="13"/>
  <c r="U304" i="13"/>
  <c r="T304" i="13"/>
  <c r="S304" i="13"/>
  <c r="R304" i="13"/>
  <c r="Q304" i="13"/>
  <c r="O304" i="13"/>
  <c r="M304" i="13"/>
  <c r="L304" i="13" s="1"/>
  <c r="K304" i="13"/>
  <c r="J304" i="13"/>
  <c r="I304" i="13"/>
  <c r="H304" i="13"/>
  <c r="F304" i="13"/>
  <c r="Z303" i="13"/>
  <c r="U303" i="13"/>
  <c r="T303" i="13"/>
  <c r="S303" i="13"/>
  <c r="R303" i="13"/>
  <c r="Q303" i="13"/>
  <c r="O303" i="13"/>
  <c r="M303" i="13"/>
  <c r="K303" i="13"/>
  <c r="J303" i="13"/>
  <c r="I303" i="13"/>
  <c r="H303" i="13"/>
  <c r="F303" i="13"/>
  <c r="Z302" i="13"/>
  <c r="U302" i="13"/>
  <c r="T302" i="13"/>
  <c r="S302" i="13"/>
  <c r="R302" i="13"/>
  <c r="Q302" i="13"/>
  <c r="O302" i="13"/>
  <c r="M302" i="13"/>
  <c r="K302" i="13"/>
  <c r="J302" i="13"/>
  <c r="I302" i="13"/>
  <c r="H302" i="13"/>
  <c r="F302" i="13"/>
  <c r="Z301" i="13"/>
  <c r="U301" i="13"/>
  <c r="T301" i="13"/>
  <c r="S301" i="13"/>
  <c r="R301" i="13"/>
  <c r="Q301" i="13"/>
  <c r="O301" i="13"/>
  <c r="M301" i="13"/>
  <c r="L301" i="13" s="1"/>
  <c r="K301" i="13"/>
  <c r="J301" i="13"/>
  <c r="I301" i="13"/>
  <c r="H301" i="13"/>
  <c r="F301" i="13"/>
  <c r="Z300" i="13"/>
  <c r="U300" i="13"/>
  <c r="T300" i="13"/>
  <c r="S300" i="13"/>
  <c r="R300" i="13"/>
  <c r="Q300" i="13"/>
  <c r="P300" i="13"/>
  <c r="O300" i="13"/>
  <c r="M300" i="13"/>
  <c r="L300" i="13"/>
  <c r="K300" i="13"/>
  <c r="J300" i="13"/>
  <c r="I300" i="13"/>
  <c r="H300" i="13"/>
  <c r="F300" i="13"/>
  <c r="Z299" i="13"/>
  <c r="U299" i="13"/>
  <c r="T299" i="13"/>
  <c r="S299" i="13"/>
  <c r="R299" i="13"/>
  <c r="Q299" i="13"/>
  <c r="P299" i="13"/>
  <c r="O299" i="13"/>
  <c r="M299" i="13"/>
  <c r="L299" i="13" s="1"/>
  <c r="K299" i="13"/>
  <c r="J299" i="13"/>
  <c r="I299" i="13"/>
  <c r="H299" i="13"/>
  <c r="F299" i="13"/>
  <c r="B299" i="13"/>
  <c r="Z298" i="13"/>
  <c r="U298" i="13"/>
  <c r="T298" i="13"/>
  <c r="S298" i="13"/>
  <c r="R298" i="13"/>
  <c r="Q298" i="13"/>
  <c r="O298" i="13"/>
  <c r="M298" i="13"/>
  <c r="P298" i="13" s="1"/>
  <c r="L298" i="13"/>
  <c r="K298" i="13"/>
  <c r="J298" i="13"/>
  <c r="I298" i="13"/>
  <c r="H298" i="13"/>
  <c r="F298" i="13"/>
  <c r="Z297" i="13"/>
  <c r="W297" i="13"/>
  <c r="X297" i="13" s="1"/>
  <c r="V297" i="13"/>
  <c r="Y297" i="13" s="1"/>
  <c r="U297" i="13"/>
  <c r="T297" i="13"/>
  <c r="S297" i="13"/>
  <c r="R297" i="13"/>
  <c r="Q297" i="13"/>
  <c r="O297" i="13"/>
  <c r="P297" i="13" s="1"/>
  <c r="N297" i="13"/>
  <c r="M297" i="13"/>
  <c r="L297" i="13" s="1"/>
  <c r="K297" i="13"/>
  <c r="J297" i="13"/>
  <c r="I297" i="13"/>
  <c r="H297" i="13"/>
  <c r="F297" i="13"/>
  <c r="Z296" i="13"/>
  <c r="U296" i="13"/>
  <c r="T296" i="13"/>
  <c r="S296" i="13"/>
  <c r="R296" i="13"/>
  <c r="Q296" i="13"/>
  <c r="B296" i="13" s="1"/>
  <c r="O296" i="13"/>
  <c r="M296" i="13"/>
  <c r="L296" i="13"/>
  <c r="K296" i="13"/>
  <c r="J296" i="13"/>
  <c r="I296" i="13"/>
  <c r="H296" i="13"/>
  <c r="F296" i="13"/>
  <c r="Z295" i="13"/>
  <c r="Y295" i="13"/>
  <c r="W295" i="13"/>
  <c r="X295" i="13" s="1"/>
  <c r="V295" i="13"/>
  <c r="U295" i="13"/>
  <c r="T295" i="13"/>
  <c r="S295" i="13"/>
  <c r="R295" i="13"/>
  <c r="Q295" i="13"/>
  <c r="O295" i="13"/>
  <c r="P295" i="13" s="1"/>
  <c r="N295" i="13"/>
  <c r="M295" i="13"/>
  <c r="L295" i="13"/>
  <c r="K295" i="13"/>
  <c r="J295" i="13"/>
  <c r="I295" i="13"/>
  <c r="H295" i="13"/>
  <c r="F295" i="13"/>
  <c r="Z294" i="13"/>
  <c r="U294" i="13"/>
  <c r="T294" i="13"/>
  <c r="S294" i="13"/>
  <c r="R294" i="13"/>
  <c r="Q294" i="13"/>
  <c r="P294" i="13"/>
  <c r="O294" i="13"/>
  <c r="M294" i="13"/>
  <c r="V294" i="13" s="1"/>
  <c r="Y294" i="13" s="1"/>
  <c r="L294" i="13"/>
  <c r="K294" i="13"/>
  <c r="J294" i="13"/>
  <c r="I294" i="13"/>
  <c r="H294" i="13"/>
  <c r="F294" i="13"/>
  <c r="Z293" i="13"/>
  <c r="Y293" i="13"/>
  <c r="W293" i="13"/>
  <c r="X293" i="13" s="1"/>
  <c r="O293" i="13"/>
  <c r="P293" i="13" s="1"/>
  <c r="N293" i="13"/>
  <c r="M293" i="13"/>
  <c r="V293" i="13" s="1"/>
  <c r="L293" i="13"/>
  <c r="K293" i="13"/>
  <c r="J293" i="13"/>
  <c r="I293" i="13"/>
  <c r="H293" i="13"/>
  <c r="F293" i="13"/>
  <c r="B293" i="13"/>
  <c r="Z292" i="13"/>
  <c r="O292" i="13"/>
  <c r="M292" i="13"/>
  <c r="K292" i="13"/>
  <c r="J292" i="13"/>
  <c r="I292" i="13"/>
  <c r="H292" i="13"/>
  <c r="F292" i="13"/>
  <c r="Z291" i="13"/>
  <c r="O291" i="13"/>
  <c r="M291" i="13"/>
  <c r="L291" i="13" s="1"/>
  <c r="K291" i="13"/>
  <c r="J291" i="13"/>
  <c r="I291" i="13"/>
  <c r="H291" i="13"/>
  <c r="F291" i="13"/>
  <c r="Z290" i="13"/>
  <c r="Y290" i="13"/>
  <c r="P290" i="13"/>
  <c r="O290" i="13"/>
  <c r="N290" i="13"/>
  <c r="M290" i="13"/>
  <c r="V290" i="13" s="1"/>
  <c r="W290" i="13" s="1"/>
  <c r="X290" i="13" s="1"/>
  <c r="L290" i="13"/>
  <c r="K290" i="13"/>
  <c r="J290" i="13"/>
  <c r="I290" i="13"/>
  <c r="H290" i="13"/>
  <c r="F290" i="13"/>
  <c r="B290" i="13"/>
  <c r="Z289" i="13"/>
  <c r="O289" i="13"/>
  <c r="M289" i="13"/>
  <c r="V289" i="13" s="1"/>
  <c r="W289" i="13" s="1"/>
  <c r="X289" i="13" s="1"/>
  <c r="K289" i="13"/>
  <c r="J289" i="13"/>
  <c r="I289" i="13"/>
  <c r="H289" i="13"/>
  <c r="F289" i="13"/>
  <c r="Z288" i="13"/>
  <c r="U288" i="13"/>
  <c r="T288" i="13"/>
  <c r="S288" i="13"/>
  <c r="R288" i="13"/>
  <c r="Q288" i="13"/>
  <c r="O288" i="13"/>
  <c r="M288" i="13"/>
  <c r="K288" i="13"/>
  <c r="J288" i="13"/>
  <c r="I288" i="13"/>
  <c r="H288" i="13"/>
  <c r="F288" i="13"/>
  <c r="Z287" i="13"/>
  <c r="Y287" i="13"/>
  <c r="V287" i="13"/>
  <c r="W287" i="13" s="1"/>
  <c r="X287" i="13" s="1"/>
  <c r="U287" i="13"/>
  <c r="T287" i="13"/>
  <c r="S287" i="13"/>
  <c r="R287" i="13"/>
  <c r="Q287" i="13"/>
  <c r="B287" i="13" s="1"/>
  <c r="O287" i="13"/>
  <c r="N287" i="13"/>
  <c r="M287" i="13"/>
  <c r="P287" i="13" s="1"/>
  <c r="L287" i="13"/>
  <c r="K287" i="13"/>
  <c r="J287" i="13"/>
  <c r="I287" i="13"/>
  <c r="H287" i="13"/>
  <c r="F287" i="13"/>
  <c r="Z286" i="13"/>
  <c r="U286" i="13"/>
  <c r="T286" i="13"/>
  <c r="S286" i="13"/>
  <c r="R286" i="13"/>
  <c r="Q286" i="13"/>
  <c r="O286" i="13"/>
  <c r="M286" i="13"/>
  <c r="V286" i="13" s="1"/>
  <c r="K286" i="13"/>
  <c r="J286" i="13"/>
  <c r="I286" i="13"/>
  <c r="H286" i="13"/>
  <c r="F286" i="13"/>
  <c r="Z285" i="13"/>
  <c r="Y285" i="13"/>
  <c r="V285" i="13"/>
  <c r="W285" i="13" s="1"/>
  <c r="X285" i="13" s="1"/>
  <c r="U285" i="13"/>
  <c r="T285" i="13"/>
  <c r="S285" i="13"/>
  <c r="R285" i="13"/>
  <c r="Q285" i="13"/>
  <c r="B285" i="13" s="1"/>
  <c r="O285" i="13"/>
  <c r="P285" i="13" s="1"/>
  <c r="N285" i="13"/>
  <c r="M285" i="13"/>
  <c r="L285" i="13"/>
  <c r="K285" i="13"/>
  <c r="J285" i="13"/>
  <c r="I285" i="13"/>
  <c r="H285" i="13"/>
  <c r="F285" i="13"/>
  <c r="Z284" i="13"/>
  <c r="V284" i="13"/>
  <c r="Y284" i="13" s="1"/>
  <c r="U284" i="13"/>
  <c r="T284" i="13"/>
  <c r="S284" i="13"/>
  <c r="R284" i="13"/>
  <c r="Q284" i="13"/>
  <c r="O284" i="13"/>
  <c r="P284" i="13" s="1"/>
  <c r="M284" i="13"/>
  <c r="L284" i="13"/>
  <c r="K284" i="13"/>
  <c r="J284" i="13"/>
  <c r="I284" i="13"/>
  <c r="H284" i="13"/>
  <c r="F284" i="13"/>
  <c r="B284" i="13"/>
  <c r="Z283" i="13"/>
  <c r="U283" i="13"/>
  <c r="T283" i="13"/>
  <c r="S283" i="13"/>
  <c r="R283" i="13"/>
  <c r="Q283" i="13"/>
  <c r="O283" i="13"/>
  <c r="M283" i="13"/>
  <c r="P283" i="13" s="1"/>
  <c r="K283" i="13"/>
  <c r="J283" i="13"/>
  <c r="I283" i="13"/>
  <c r="H283" i="13"/>
  <c r="F283" i="13"/>
  <c r="Z282" i="13"/>
  <c r="U282" i="13"/>
  <c r="T282" i="13"/>
  <c r="S282" i="13"/>
  <c r="R282" i="13"/>
  <c r="Q282" i="13"/>
  <c r="O282" i="13"/>
  <c r="P282" i="13" s="1"/>
  <c r="M282" i="13"/>
  <c r="L282" i="13" s="1"/>
  <c r="K282" i="13"/>
  <c r="J282" i="13"/>
  <c r="I282" i="13"/>
  <c r="H282" i="13"/>
  <c r="F282" i="13"/>
  <c r="B282" i="13"/>
  <c r="Z281" i="13"/>
  <c r="U281" i="13"/>
  <c r="T281" i="13"/>
  <c r="S281" i="13"/>
  <c r="R281" i="13"/>
  <c r="Q281" i="13"/>
  <c r="O281" i="13"/>
  <c r="M281" i="13"/>
  <c r="P281" i="13" s="1"/>
  <c r="L281" i="13"/>
  <c r="K281" i="13"/>
  <c r="J281" i="13"/>
  <c r="I281" i="13"/>
  <c r="H281" i="13"/>
  <c r="F281" i="13"/>
  <c r="Z280" i="13"/>
  <c r="U280" i="13"/>
  <c r="T280" i="13"/>
  <c r="S280" i="13"/>
  <c r="R280" i="13"/>
  <c r="Q280" i="13"/>
  <c r="B280" i="13" s="1"/>
  <c r="O280" i="13"/>
  <c r="M280" i="13"/>
  <c r="K280" i="13"/>
  <c r="J280" i="13"/>
  <c r="I280" i="13"/>
  <c r="H280" i="13"/>
  <c r="F280" i="13"/>
  <c r="Z279" i="13"/>
  <c r="V279" i="13"/>
  <c r="W279" i="13" s="1"/>
  <c r="X279" i="13" s="1"/>
  <c r="U279" i="13"/>
  <c r="T279" i="13"/>
  <c r="S279" i="13"/>
  <c r="R279" i="13"/>
  <c r="Q279" i="13"/>
  <c r="B279" i="13" s="1"/>
  <c r="O279" i="13"/>
  <c r="N279" i="13"/>
  <c r="M279" i="13"/>
  <c r="P279" i="13" s="1"/>
  <c r="L279" i="13"/>
  <c r="K279" i="13"/>
  <c r="J279" i="13"/>
  <c r="I279" i="13"/>
  <c r="H279" i="13"/>
  <c r="F279" i="13"/>
  <c r="Z278" i="13"/>
  <c r="U278" i="13"/>
  <c r="B278" i="13" s="1"/>
  <c r="T278" i="13"/>
  <c r="S278" i="13"/>
  <c r="R278" i="13"/>
  <c r="Q278" i="13"/>
  <c r="O278" i="13"/>
  <c r="M278" i="13"/>
  <c r="V278" i="13" s="1"/>
  <c r="K278" i="13"/>
  <c r="J278" i="13"/>
  <c r="I278" i="13"/>
  <c r="H278" i="13"/>
  <c r="F278" i="13"/>
  <c r="Z277" i="13"/>
  <c r="U277" i="13"/>
  <c r="T277" i="13"/>
  <c r="S277" i="13"/>
  <c r="R277" i="13"/>
  <c r="Q277" i="13"/>
  <c r="O277" i="13"/>
  <c r="P277" i="13" s="1"/>
  <c r="M277" i="13"/>
  <c r="L277" i="13"/>
  <c r="K277" i="13"/>
  <c r="J277" i="13"/>
  <c r="I277" i="13"/>
  <c r="H277" i="13"/>
  <c r="F277" i="13"/>
  <c r="Z276" i="13"/>
  <c r="V276" i="13"/>
  <c r="U276" i="13"/>
  <c r="T276" i="13"/>
  <c r="S276" i="13"/>
  <c r="R276" i="13"/>
  <c r="Q276" i="13"/>
  <c r="O276" i="13"/>
  <c r="P276" i="13" s="1"/>
  <c r="M276" i="13"/>
  <c r="L276" i="13"/>
  <c r="K276" i="13"/>
  <c r="J276" i="13"/>
  <c r="I276" i="13"/>
  <c r="H276" i="13"/>
  <c r="F276" i="13"/>
  <c r="B276" i="13"/>
  <c r="Z275" i="13"/>
  <c r="U275" i="13"/>
  <c r="T275" i="13"/>
  <c r="S275" i="13"/>
  <c r="R275" i="13"/>
  <c r="B275" i="13" s="1"/>
  <c r="Q275" i="13"/>
  <c r="O275" i="13"/>
  <c r="M275" i="13"/>
  <c r="P275" i="13" s="1"/>
  <c r="L275" i="13"/>
  <c r="K275" i="13"/>
  <c r="J275" i="13"/>
  <c r="I275" i="13"/>
  <c r="H275" i="13"/>
  <c r="F275" i="13"/>
  <c r="Z274" i="13"/>
  <c r="U274" i="13"/>
  <c r="T274" i="13"/>
  <c r="S274" i="13"/>
  <c r="R274" i="13"/>
  <c r="Q274" i="13"/>
  <c r="B274" i="13" s="1"/>
  <c r="P274" i="13"/>
  <c r="O274" i="13"/>
  <c r="M274" i="13"/>
  <c r="L274" i="13"/>
  <c r="K274" i="13"/>
  <c r="J274" i="13"/>
  <c r="I274" i="13"/>
  <c r="H274" i="13"/>
  <c r="F274" i="13"/>
  <c r="Z273" i="13"/>
  <c r="U273" i="13"/>
  <c r="T273" i="13"/>
  <c r="S273" i="13"/>
  <c r="R273" i="13"/>
  <c r="Q273" i="13"/>
  <c r="O273" i="13"/>
  <c r="M273" i="13"/>
  <c r="L273" i="13" s="1"/>
  <c r="K273" i="13"/>
  <c r="J273" i="13"/>
  <c r="I273" i="13"/>
  <c r="H273" i="13"/>
  <c r="F273" i="13"/>
  <c r="Z272" i="13"/>
  <c r="Y272" i="13"/>
  <c r="V272" i="13"/>
  <c r="W272" i="13" s="1"/>
  <c r="X272" i="13" s="1"/>
  <c r="U272" i="13"/>
  <c r="T272" i="13"/>
  <c r="S272" i="13"/>
  <c r="R272" i="13"/>
  <c r="Q272" i="13"/>
  <c r="B272" i="13" s="1"/>
  <c r="O272" i="13"/>
  <c r="N272" i="13"/>
  <c r="M272" i="13"/>
  <c r="P272" i="13" s="1"/>
  <c r="L272" i="13"/>
  <c r="K272" i="13"/>
  <c r="J272" i="13"/>
  <c r="I272" i="13"/>
  <c r="H272" i="13"/>
  <c r="F272" i="13"/>
  <c r="Z271" i="13"/>
  <c r="V271" i="13"/>
  <c r="Y271" i="13" s="1"/>
  <c r="U271" i="13"/>
  <c r="T271" i="13"/>
  <c r="S271" i="13"/>
  <c r="R271" i="13"/>
  <c r="Q271" i="13"/>
  <c r="O271" i="13"/>
  <c r="P271" i="13" s="1"/>
  <c r="M271" i="13"/>
  <c r="L271" i="13"/>
  <c r="K271" i="13"/>
  <c r="J271" i="13"/>
  <c r="I271" i="13"/>
  <c r="H271" i="13"/>
  <c r="F271" i="13"/>
  <c r="B271" i="13"/>
  <c r="Z270" i="13"/>
  <c r="U270" i="13"/>
  <c r="T270" i="13"/>
  <c r="S270" i="13"/>
  <c r="R270" i="13"/>
  <c r="Q270" i="13"/>
  <c r="O270" i="13"/>
  <c r="M270" i="13"/>
  <c r="P270" i="13" s="1"/>
  <c r="L270" i="13"/>
  <c r="K270" i="13"/>
  <c r="J270" i="13"/>
  <c r="I270" i="13"/>
  <c r="H270" i="13"/>
  <c r="F270" i="13"/>
  <c r="Z269" i="13"/>
  <c r="U269" i="13"/>
  <c r="T269" i="13"/>
  <c r="S269" i="13"/>
  <c r="R269" i="13"/>
  <c r="Q269" i="13"/>
  <c r="B269" i="13" s="1"/>
  <c r="P269" i="13"/>
  <c r="O269" i="13"/>
  <c r="M269" i="13"/>
  <c r="V269" i="13" s="1"/>
  <c r="W269" i="13" s="1"/>
  <c r="X269" i="13" s="1"/>
  <c r="K269" i="13"/>
  <c r="J269" i="13"/>
  <c r="I269" i="13"/>
  <c r="H269" i="13"/>
  <c r="F269" i="13"/>
  <c r="Z268" i="13"/>
  <c r="U268" i="13"/>
  <c r="T268" i="13"/>
  <c r="S268" i="13"/>
  <c r="R268" i="13"/>
  <c r="Q268" i="13"/>
  <c r="O268" i="13"/>
  <c r="M268" i="13"/>
  <c r="K268" i="13"/>
  <c r="J268" i="13"/>
  <c r="I268" i="13"/>
  <c r="H268" i="13"/>
  <c r="F268" i="13"/>
  <c r="B268" i="13"/>
  <c r="Z267" i="13"/>
  <c r="U267" i="13"/>
  <c r="T267" i="13"/>
  <c r="S267" i="13"/>
  <c r="R267" i="13"/>
  <c r="Q267" i="13"/>
  <c r="O267" i="13"/>
  <c r="M267" i="13"/>
  <c r="P267" i="13" s="1"/>
  <c r="L267" i="13"/>
  <c r="K267" i="13"/>
  <c r="J267" i="13"/>
  <c r="I267" i="13"/>
  <c r="H267" i="13"/>
  <c r="F267" i="13"/>
  <c r="Z266" i="13"/>
  <c r="U266" i="13"/>
  <c r="T266" i="13"/>
  <c r="S266" i="13"/>
  <c r="R266" i="13"/>
  <c r="Q266" i="13"/>
  <c r="O266" i="13"/>
  <c r="M266" i="13"/>
  <c r="L266" i="13"/>
  <c r="K266" i="13"/>
  <c r="J266" i="13"/>
  <c r="I266" i="13"/>
  <c r="H266" i="13"/>
  <c r="F266" i="13"/>
  <c r="B266" i="13"/>
  <c r="Z265" i="13"/>
  <c r="U265" i="13"/>
  <c r="T265" i="13"/>
  <c r="S265" i="13"/>
  <c r="R265" i="13"/>
  <c r="Q265" i="13"/>
  <c r="O265" i="13"/>
  <c r="M265" i="13"/>
  <c r="P265" i="13" s="1"/>
  <c r="L265" i="13"/>
  <c r="K265" i="13"/>
  <c r="J265" i="13"/>
  <c r="I265" i="13"/>
  <c r="H265" i="13"/>
  <c r="F265" i="13"/>
  <c r="Z264" i="13"/>
  <c r="U264" i="13"/>
  <c r="T264" i="13"/>
  <c r="S264" i="13"/>
  <c r="R264" i="13"/>
  <c r="Q264" i="13"/>
  <c r="B264" i="13" s="1"/>
  <c r="P264" i="13"/>
  <c r="O264" i="13"/>
  <c r="M264" i="13"/>
  <c r="V264" i="13" s="1"/>
  <c r="W264" i="13" s="1"/>
  <c r="X264" i="13" s="1"/>
  <c r="K264" i="13"/>
  <c r="J264" i="13"/>
  <c r="I264" i="13"/>
  <c r="H264" i="13"/>
  <c r="F264" i="13"/>
  <c r="Z263" i="13"/>
  <c r="V263" i="13"/>
  <c r="P263" i="13"/>
  <c r="O263" i="13"/>
  <c r="M263" i="13"/>
  <c r="K263" i="13"/>
  <c r="J263" i="13"/>
  <c r="I263" i="13"/>
  <c r="H263" i="13"/>
  <c r="F263" i="13"/>
  <c r="Z262" i="13"/>
  <c r="U262" i="13"/>
  <c r="T262" i="13"/>
  <c r="S262" i="13"/>
  <c r="R262" i="13"/>
  <c r="Q262" i="13"/>
  <c r="O262" i="13"/>
  <c r="M262" i="13"/>
  <c r="K262" i="13"/>
  <c r="J262" i="13"/>
  <c r="I262" i="13"/>
  <c r="H262" i="13"/>
  <c r="F262" i="13"/>
  <c r="B262" i="13"/>
  <c r="Z261" i="13"/>
  <c r="U261" i="13"/>
  <c r="T261" i="13"/>
  <c r="S261" i="13"/>
  <c r="R261" i="13"/>
  <c r="Q261" i="13"/>
  <c r="O261" i="13"/>
  <c r="M261" i="13"/>
  <c r="P261" i="13" s="1"/>
  <c r="L261" i="13"/>
  <c r="K261" i="13"/>
  <c r="J261" i="13"/>
  <c r="I261" i="13"/>
  <c r="H261" i="13"/>
  <c r="F261" i="13"/>
  <c r="Z260" i="13"/>
  <c r="U260" i="13"/>
  <c r="T260" i="13"/>
  <c r="S260" i="13"/>
  <c r="R260" i="13"/>
  <c r="Q260" i="13"/>
  <c r="B260" i="13" s="1"/>
  <c r="P260" i="13"/>
  <c r="O260" i="13"/>
  <c r="M260" i="13"/>
  <c r="L260" i="13"/>
  <c r="K260" i="13"/>
  <c r="J260" i="13"/>
  <c r="I260" i="13"/>
  <c r="H260" i="13"/>
  <c r="F260" i="13"/>
  <c r="Z259" i="13"/>
  <c r="V259" i="13"/>
  <c r="Y259" i="13" s="1"/>
  <c r="O259" i="13"/>
  <c r="P259" i="13" s="1"/>
  <c r="M259" i="13"/>
  <c r="N259" i="13" s="1"/>
  <c r="L259" i="13"/>
  <c r="K259" i="13"/>
  <c r="J259" i="13"/>
  <c r="I259" i="13"/>
  <c r="H259" i="13"/>
  <c r="F259" i="13"/>
  <c r="Z258" i="13"/>
  <c r="U258" i="13"/>
  <c r="T258" i="13"/>
  <c r="B258" i="13" s="1"/>
  <c r="S258" i="13"/>
  <c r="R258" i="13"/>
  <c r="Q258" i="13"/>
  <c r="O258" i="13"/>
  <c r="M258" i="13"/>
  <c r="L258" i="13"/>
  <c r="K258" i="13"/>
  <c r="J258" i="13"/>
  <c r="I258" i="13"/>
  <c r="H258" i="13"/>
  <c r="F258" i="13"/>
  <c r="Z257" i="13"/>
  <c r="O257" i="13"/>
  <c r="M257" i="13"/>
  <c r="L257" i="13"/>
  <c r="K257" i="13"/>
  <c r="J257" i="13"/>
  <c r="I257" i="13"/>
  <c r="H257" i="13"/>
  <c r="F257" i="13"/>
  <c r="Z256" i="13"/>
  <c r="Y256" i="13"/>
  <c r="V256" i="13"/>
  <c r="W256" i="13" s="1"/>
  <c r="X256" i="13" s="1"/>
  <c r="U256" i="13"/>
  <c r="T256" i="13"/>
  <c r="S256" i="13"/>
  <c r="R256" i="13"/>
  <c r="Q256" i="13"/>
  <c r="B256" i="13" s="1"/>
  <c r="O256" i="13"/>
  <c r="N256" i="13"/>
  <c r="M256" i="13"/>
  <c r="P256" i="13" s="1"/>
  <c r="L256" i="13"/>
  <c r="K256" i="13"/>
  <c r="J256" i="13"/>
  <c r="I256" i="13"/>
  <c r="H256" i="13"/>
  <c r="F256" i="13"/>
  <c r="Z255" i="13"/>
  <c r="W255" i="13"/>
  <c r="X255" i="13" s="1"/>
  <c r="V255" i="13"/>
  <c r="O255" i="13"/>
  <c r="M255" i="13"/>
  <c r="P255" i="13" s="1"/>
  <c r="L255" i="13"/>
  <c r="K255" i="13"/>
  <c r="J255" i="13"/>
  <c r="I255" i="13"/>
  <c r="H255" i="13"/>
  <c r="F255" i="13"/>
  <c r="B255" i="13"/>
  <c r="Z254" i="13"/>
  <c r="U254" i="13"/>
  <c r="T254" i="13"/>
  <c r="S254" i="13"/>
  <c r="R254" i="13"/>
  <c r="Q254" i="13"/>
  <c r="O254" i="13"/>
  <c r="P254" i="13" s="1"/>
  <c r="M254" i="13"/>
  <c r="L254" i="13"/>
  <c r="K254" i="13"/>
  <c r="J254" i="13"/>
  <c r="I254" i="13"/>
  <c r="H254" i="13"/>
  <c r="F254" i="13"/>
  <c r="B254" i="13"/>
  <c r="Z253" i="13"/>
  <c r="U253" i="13"/>
  <c r="T253" i="13"/>
  <c r="S253" i="13"/>
  <c r="R253" i="13"/>
  <c r="Q253" i="13"/>
  <c r="O253" i="13"/>
  <c r="M253" i="13"/>
  <c r="P253" i="13" s="1"/>
  <c r="L253" i="13"/>
  <c r="K253" i="13"/>
  <c r="J253" i="13"/>
  <c r="I253" i="13"/>
  <c r="H253" i="13"/>
  <c r="F253" i="13"/>
  <c r="Z252" i="13"/>
  <c r="U252" i="13"/>
  <c r="T252" i="13"/>
  <c r="S252" i="13"/>
  <c r="R252" i="13"/>
  <c r="Q252" i="13"/>
  <c r="B252" i="13" s="1"/>
  <c r="P252" i="13"/>
  <c r="O252" i="13"/>
  <c r="M252" i="13"/>
  <c r="K252" i="13"/>
  <c r="J252" i="13"/>
  <c r="I252" i="13"/>
  <c r="H252" i="13"/>
  <c r="F252" i="13"/>
  <c r="Z251" i="13"/>
  <c r="U251" i="13"/>
  <c r="T251" i="13"/>
  <c r="S251" i="13"/>
  <c r="R251" i="13"/>
  <c r="Q251" i="13"/>
  <c r="O251" i="13"/>
  <c r="M251" i="13"/>
  <c r="K251" i="13"/>
  <c r="J251" i="13"/>
  <c r="I251" i="13"/>
  <c r="H251" i="13"/>
  <c r="F251" i="13"/>
  <c r="B251" i="13"/>
  <c r="Z250" i="13"/>
  <c r="U250" i="13"/>
  <c r="T250" i="13"/>
  <c r="S250" i="13"/>
  <c r="R250" i="13"/>
  <c r="Q250" i="13"/>
  <c r="O250" i="13"/>
  <c r="M250" i="13"/>
  <c r="P250" i="13" s="1"/>
  <c r="L250" i="13"/>
  <c r="K250" i="13"/>
  <c r="J250" i="13"/>
  <c r="I250" i="13"/>
  <c r="H250" i="13"/>
  <c r="F250" i="13"/>
  <c r="Z249" i="13"/>
  <c r="U249" i="13"/>
  <c r="T249" i="13"/>
  <c r="S249" i="13"/>
  <c r="R249" i="13"/>
  <c r="Q249" i="13"/>
  <c r="B249" i="13" s="1"/>
  <c r="O249" i="13"/>
  <c r="P249" i="13" s="1"/>
  <c r="M249" i="13"/>
  <c r="V249" i="13" s="1"/>
  <c r="Y249" i="13" s="1"/>
  <c r="L249" i="13"/>
  <c r="K249" i="13"/>
  <c r="J249" i="13"/>
  <c r="I249" i="13"/>
  <c r="H249" i="13"/>
  <c r="F249" i="13"/>
  <c r="Z248" i="13"/>
  <c r="U248" i="13"/>
  <c r="T248" i="13"/>
  <c r="S248" i="13"/>
  <c r="R248" i="13"/>
  <c r="Q248" i="13"/>
  <c r="O248" i="13"/>
  <c r="M248" i="13"/>
  <c r="L248" i="13"/>
  <c r="K248" i="13"/>
  <c r="J248" i="13"/>
  <c r="I248" i="13"/>
  <c r="H248" i="13"/>
  <c r="F248" i="13"/>
  <c r="Z247" i="13"/>
  <c r="Y247" i="13"/>
  <c r="V247" i="13"/>
  <c r="W247" i="13" s="1"/>
  <c r="X247" i="13" s="1"/>
  <c r="U247" i="13"/>
  <c r="T247" i="13"/>
  <c r="S247" i="13"/>
  <c r="R247" i="13"/>
  <c r="Q247" i="13"/>
  <c r="B247" i="13" s="1"/>
  <c r="O247" i="13"/>
  <c r="N247" i="13"/>
  <c r="M247" i="13"/>
  <c r="P247" i="13" s="1"/>
  <c r="L247" i="13"/>
  <c r="K247" i="13"/>
  <c r="J247" i="13"/>
  <c r="I247" i="13"/>
  <c r="H247" i="13"/>
  <c r="F247" i="13"/>
  <c r="Z246" i="13"/>
  <c r="W246" i="13"/>
  <c r="X246" i="13" s="1"/>
  <c r="V246" i="13"/>
  <c r="Y246" i="13" s="1"/>
  <c r="U246" i="13"/>
  <c r="T246" i="13"/>
  <c r="S246" i="13"/>
  <c r="R246" i="13"/>
  <c r="Q246" i="13"/>
  <c r="O246" i="13"/>
  <c r="P246" i="13" s="1"/>
  <c r="N246" i="13"/>
  <c r="M246" i="13"/>
  <c r="L246" i="13"/>
  <c r="K246" i="13"/>
  <c r="J246" i="13"/>
  <c r="I246" i="13"/>
  <c r="H246" i="13"/>
  <c r="F246" i="13"/>
  <c r="B246" i="13"/>
  <c r="Z245" i="13"/>
  <c r="O245" i="13"/>
  <c r="M245" i="13"/>
  <c r="L245" i="13"/>
  <c r="K245" i="13"/>
  <c r="J245" i="13"/>
  <c r="I245" i="13"/>
  <c r="H245" i="13"/>
  <c r="F245" i="13"/>
  <c r="B245" i="13"/>
  <c r="Z244" i="13"/>
  <c r="U244" i="13"/>
  <c r="T244" i="13"/>
  <c r="S244" i="13"/>
  <c r="R244" i="13"/>
  <c r="Q244" i="13"/>
  <c r="O244" i="13"/>
  <c r="M244" i="13"/>
  <c r="P244" i="13" s="1"/>
  <c r="L244" i="13"/>
  <c r="K244" i="13"/>
  <c r="J244" i="13"/>
  <c r="I244" i="13"/>
  <c r="H244" i="13"/>
  <c r="F244" i="13"/>
  <c r="Z243" i="13"/>
  <c r="U243" i="13"/>
  <c r="T243" i="13"/>
  <c r="S243" i="13"/>
  <c r="R243" i="13"/>
  <c r="Q243" i="13"/>
  <c r="B243" i="13" s="1"/>
  <c r="P243" i="13"/>
  <c r="O243" i="13"/>
  <c r="M243" i="13"/>
  <c r="K243" i="13"/>
  <c r="J243" i="13"/>
  <c r="I243" i="13"/>
  <c r="H243" i="13"/>
  <c r="F243" i="13"/>
  <c r="Z242" i="13"/>
  <c r="U242" i="13"/>
  <c r="T242" i="13"/>
  <c r="S242" i="13"/>
  <c r="R242" i="13"/>
  <c r="Q242" i="13"/>
  <c r="O242" i="13"/>
  <c r="M242" i="13"/>
  <c r="K242" i="13"/>
  <c r="J242" i="13"/>
  <c r="I242" i="13"/>
  <c r="H242" i="13"/>
  <c r="F242" i="13"/>
  <c r="B242" i="13"/>
  <c r="Z241" i="13"/>
  <c r="U241" i="13"/>
  <c r="T241" i="13"/>
  <c r="S241" i="13"/>
  <c r="R241" i="13"/>
  <c r="B241" i="13" s="1"/>
  <c r="Q241" i="13"/>
  <c r="O241" i="13"/>
  <c r="M241" i="13"/>
  <c r="P241" i="13" s="1"/>
  <c r="L241" i="13"/>
  <c r="K241" i="13"/>
  <c r="J241" i="13"/>
  <c r="I241" i="13"/>
  <c r="H241" i="13"/>
  <c r="F241" i="13"/>
  <c r="Z240" i="13"/>
  <c r="U240" i="13"/>
  <c r="T240" i="13"/>
  <c r="S240" i="13"/>
  <c r="R240" i="13"/>
  <c r="Q240" i="13"/>
  <c r="B240" i="13" s="1"/>
  <c r="P240" i="13"/>
  <c r="O240" i="13"/>
  <c r="M240" i="13"/>
  <c r="L240" i="13"/>
  <c r="K240" i="13"/>
  <c r="J240" i="13"/>
  <c r="I240" i="13"/>
  <c r="H240" i="13"/>
  <c r="F240" i="13"/>
  <c r="Z239" i="13"/>
  <c r="U239" i="13"/>
  <c r="T239" i="13"/>
  <c r="S239" i="13"/>
  <c r="R239" i="13"/>
  <c r="Q239" i="13"/>
  <c r="O239" i="13"/>
  <c r="M239" i="13"/>
  <c r="K239" i="13"/>
  <c r="J239" i="13"/>
  <c r="I239" i="13"/>
  <c r="H239" i="13"/>
  <c r="F239" i="13"/>
  <c r="Z238" i="13"/>
  <c r="Y238" i="13"/>
  <c r="V238" i="13"/>
  <c r="W238" i="13" s="1"/>
  <c r="X238" i="13" s="1"/>
  <c r="U238" i="13"/>
  <c r="T238" i="13"/>
  <c r="S238" i="13"/>
  <c r="R238" i="13"/>
  <c r="Q238" i="13"/>
  <c r="B238" i="13" s="1"/>
  <c r="O238" i="13"/>
  <c r="N238" i="13"/>
  <c r="M238" i="13"/>
  <c r="P238" i="13" s="1"/>
  <c r="L238" i="13"/>
  <c r="K238" i="13"/>
  <c r="J238" i="13"/>
  <c r="I238" i="13"/>
  <c r="H238" i="13"/>
  <c r="F238" i="13"/>
  <c r="Z237" i="13"/>
  <c r="U237" i="13"/>
  <c r="T237" i="13"/>
  <c r="S237" i="13"/>
  <c r="R237" i="13"/>
  <c r="Q237" i="13"/>
  <c r="O237" i="13"/>
  <c r="M237" i="13"/>
  <c r="L237" i="13"/>
  <c r="K237" i="13"/>
  <c r="J237" i="13"/>
  <c r="I237" i="13"/>
  <c r="H237" i="13"/>
  <c r="F237" i="13"/>
  <c r="B237" i="13"/>
  <c r="Z236" i="13"/>
  <c r="O236" i="13"/>
  <c r="M236" i="13"/>
  <c r="L236" i="13"/>
  <c r="K236" i="13"/>
  <c r="J236" i="13"/>
  <c r="I236" i="13"/>
  <c r="H236" i="13"/>
  <c r="F236" i="13"/>
  <c r="B236" i="13"/>
  <c r="Z235" i="13"/>
  <c r="U235" i="13"/>
  <c r="T235" i="13"/>
  <c r="S235" i="13"/>
  <c r="B235" i="13" s="1"/>
  <c r="R235" i="13"/>
  <c r="Q235" i="13"/>
  <c r="O235" i="13"/>
  <c r="M235" i="13"/>
  <c r="P235" i="13" s="1"/>
  <c r="L235" i="13"/>
  <c r="K235" i="13"/>
  <c r="J235" i="13"/>
  <c r="I235" i="13"/>
  <c r="H235" i="13"/>
  <c r="F235" i="13"/>
  <c r="Z234" i="13"/>
  <c r="Y234" i="13"/>
  <c r="U234" i="13"/>
  <c r="T234" i="13"/>
  <c r="S234" i="13"/>
  <c r="R234" i="13"/>
  <c r="Q234" i="13"/>
  <c r="B234" i="13" s="1"/>
  <c r="P234" i="13"/>
  <c r="O234" i="13"/>
  <c r="M234" i="13"/>
  <c r="V234" i="13" s="1"/>
  <c r="W234" i="13" s="1"/>
  <c r="X234" i="13" s="1"/>
  <c r="K234" i="13"/>
  <c r="J234" i="13"/>
  <c r="I234" i="13"/>
  <c r="H234" i="13"/>
  <c r="F234" i="13"/>
  <c r="Z233" i="13"/>
  <c r="U233" i="13"/>
  <c r="T233" i="13"/>
  <c r="S233" i="13"/>
  <c r="R233" i="13"/>
  <c r="Q233" i="13"/>
  <c r="O233" i="13"/>
  <c r="M233" i="13"/>
  <c r="K233" i="13"/>
  <c r="J233" i="13"/>
  <c r="I233" i="13"/>
  <c r="H233" i="13"/>
  <c r="F233" i="13"/>
  <c r="B233" i="13"/>
  <c r="Z232" i="13"/>
  <c r="O232" i="13"/>
  <c r="M232" i="13"/>
  <c r="K232" i="13"/>
  <c r="J232" i="13"/>
  <c r="I232" i="13"/>
  <c r="H232" i="13"/>
  <c r="F232" i="13"/>
  <c r="Z231" i="13"/>
  <c r="U231" i="13"/>
  <c r="T231" i="13"/>
  <c r="S231" i="13"/>
  <c r="R231" i="13"/>
  <c r="Q231" i="13"/>
  <c r="O231" i="13"/>
  <c r="M231" i="13"/>
  <c r="P231" i="13" s="1"/>
  <c r="L231" i="13"/>
  <c r="K231" i="13"/>
  <c r="J231" i="13"/>
  <c r="I231" i="13"/>
  <c r="H231" i="13"/>
  <c r="F231" i="13"/>
  <c r="Z230" i="13"/>
  <c r="U230" i="13"/>
  <c r="T230" i="13"/>
  <c r="S230" i="13"/>
  <c r="R230" i="13"/>
  <c r="Q230" i="13"/>
  <c r="B230" i="13" s="1"/>
  <c r="O230" i="13"/>
  <c r="P230" i="13" s="1"/>
  <c r="M230" i="13"/>
  <c r="L230" i="13"/>
  <c r="K230" i="13"/>
  <c r="J230" i="13"/>
  <c r="I230" i="13"/>
  <c r="H230" i="13"/>
  <c r="F230" i="13"/>
  <c r="Z229" i="13"/>
  <c r="O229" i="13"/>
  <c r="V229" i="13" s="1"/>
  <c r="M229" i="13"/>
  <c r="L229" i="13"/>
  <c r="K229" i="13"/>
  <c r="J229" i="13"/>
  <c r="I229" i="13"/>
  <c r="H229" i="13"/>
  <c r="F229" i="13"/>
  <c r="Z228" i="13"/>
  <c r="U228" i="13"/>
  <c r="T228" i="13"/>
  <c r="B228" i="13" s="1"/>
  <c r="S228" i="13"/>
  <c r="R228" i="13"/>
  <c r="Q228" i="13"/>
  <c r="O228" i="13"/>
  <c r="M228" i="13"/>
  <c r="L228" i="13"/>
  <c r="K228" i="13"/>
  <c r="J228" i="13"/>
  <c r="I228" i="13"/>
  <c r="H228" i="13"/>
  <c r="F228" i="13"/>
  <c r="Z227" i="13"/>
  <c r="U227" i="13"/>
  <c r="T227" i="13"/>
  <c r="S227" i="13"/>
  <c r="R227" i="13"/>
  <c r="Q227" i="13"/>
  <c r="O227" i="13"/>
  <c r="M227" i="13"/>
  <c r="P227" i="13" s="1"/>
  <c r="L227" i="13"/>
  <c r="K227" i="13"/>
  <c r="J227" i="13"/>
  <c r="I227" i="13"/>
  <c r="H227" i="13"/>
  <c r="F227" i="13"/>
  <c r="Z226" i="13"/>
  <c r="U226" i="13"/>
  <c r="T226" i="13"/>
  <c r="S226" i="13"/>
  <c r="R226" i="13"/>
  <c r="Q226" i="13"/>
  <c r="O226" i="13"/>
  <c r="P226" i="13" s="1"/>
  <c r="M226" i="13"/>
  <c r="L226" i="13"/>
  <c r="K226" i="13"/>
  <c r="J226" i="13"/>
  <c r="I226" i="13"/>
  <c r="H226" i="13"/>
  <c r="F226" i="13"/>
  <c r="B226" i="13"/>
  <c r="Z225" i="13"/>
  <c r="U225" i="13"/>
  <c r="T225" i="13"/>
  <c r="S225" i="13"/>
  <c r="B225" i="13" s="1"/>
  <c r="R225" i="13"/>
  <c r="Q225" i="13"/>
  <c r="O225" i="13"/>
  <c r="M225" i="13"/>
  <c r="P225" i="13" s="1"/>
  <c r="L225" i="13"/>
  <c r="K225" i="13"/>
  <c r="J225" i="13"/>
  <c r="I225" i="13"/>
  <c r="H225" i="13"/>
  <c r="F225" i="13"/>
  <c r="Z224" i="13"/>
  <c r="U224" i="13"/>
  <c r="T224" i="13"/>
  <c r="S224" i="13"/>
  <c r="R224" i="13"/>
  <c r="Q224" i="13"/>
  <c r="B224" i="13" s="1"/>
  <c r="P224" i="13"/>
  <c r="O224" i="13"/>
  <c r="M224" i="13"/>
  <c r="K224" i="13"/>
  <c r="J224" i="13"/>
  <c r="I224" i="13"/>
  <c r="H224" i="13"/>
  <c r="F224" i="13"/>
  <c r="Z223" i="13"/>
  <c r="U223" i="13"/>
  <c r="T223" i="13"/>
  <c r="S223" i="13"/>
  <c r="R223" i="13"/>
  <c r="Q223" i="13"/>
  <c r="O223" i="13"/>
  <c r="M223" i="13"/>
  <c r="K223" i="13"/>
  <c r="J223" i="13"/>
  <c r="I223" i="13"/>
  <c r="H223" i="13"/>
  <c r="F223" i="13"/>
  <c r="B223" i="13"/>
  <c r="Z222" i="13"/>
  <c r="U222" i="13"/>
  <c r="T222" i="13"/>
  <c r="S222" i="13"/>
  <c r="R222" i="13"/>
  <c r="Q222" i="13"/>
  <c r="O222" i="13"/>
  <c r="M222" i="13"/>
  <c r="P222" i="13" s="1"/>
  <c r="L222" i="13"/>
  <c r="K222" i="13"/>
  <c r="J222" i="13"/>
  <c r="I222" i="13"/>
  <c r="H222" i="13"/>
  <c r="F222" i="13"/>
  <c r="Z221" i="13"/>
  <c r="U221" i="13"/>
  <c r="T221" i="13"/>
  <c r="S221" i="13"/>
  <c r="R221" i="13"/>
  <c r="Q221" i="13"/>
  <c r="B221" i="13" s="1"/>
  <c r="P221" i="13"/>
  <c r="O221" i="13"/>
  <c r="V221" i="13" s="1"/>
  <c r="W221" i="13" s="1"/>
  <c r="X221" i="13" s="1"/>
  <c r="M221" i="13"/>
  <c r="L221" i="13"/>
  <c r="K221" i="13"/>
  <c r="J221" i="13"/>
  <c r="I221" i="13"/>
  <c r="H221" i="13"/>
  <c r="F221" i="13"/>
  <c r="Z220" i="13"/>
  <c r="U220" i="13"/>
  <c r="T220" i="13"/>
  <c r="S220" i="13"/>
  <c r="R220" i="13"/>
  <c r="Q220" i="13"/>
  <c r="O220" i="13"/>
  <c r="M220" i="13"/>
  <c r="K220" i="13"/>
  <c r="J220" i="13"/>
  <c r="I220" i="13"/>
  <c r="H220" i="13"/>
  <c r="F220" i="13"/>
  <c r="Z219" i="13"/>
  <c r="U219" i="13"/>
  <c r="T219" i="13"/>
  <c r="S219" i="13"/>
  <c r="R219" i="13"/>
  <c r="Q219" i="13"/>
  <c r="O219" i="13"/>
  <c r="M219" i="13"/>
  <c r="P219" i="13" s="1"/>
  <c r="L219" i="13"/>
  <c r="K219" i="13"/>
  <c r="J219" i="13"/>
  <c r="I219" i="13"/>
  <c r="H219" i="13"/>
  <c r="F219" i="13"/>
  <c r="Z218" i="13"/>
  <c r="V218" i="13"/>
  <c r="U218" i="13"/>
  <c r="T218" i="13"/>
  <c r="S218" i="13"/>
  <c r="R218" i="13"/>
  <c r="Q218" i="13"/>
  <c r="O218" i="13"/>
  <c r="P218" i="13" s="1"/>
  <c r="M218" i="13"/>
  <c r="L218" i="13" s="1"/>
  <c r="K218" i="13"/>
  <c r="J218" i="13"/>
  <c r="I218" i="13"/>
  <c r="H218" i="13"/>
  <c r="F218" i="13"/>
  <c r="B218" i="13"/>
  <c r="Z217" i="13"/>
  <c r="U217" i="13"/>
  <c r="T217" i="13"/>
  <c r="S217" i="13"/>
  <c r="R217" i="13"/>
  <c r="Q217" i="13"/>
  <c r="O217" i="13"/>
  <c r="M217" i="13"/>
  <c r="P217" i="13" s="1"/>
  <c r="L217" i="13"/>
  <c r="K217" i="13"/>
  <c r="J217" i="13"/>
  <c r="I217" i="13"/>
  <c r="H217" i="13"/>
  <c r="F217" i="13"/>
  <c r="Z216" i="13"/>
  <c r="U216" i="13"/>
  <c r="T216" i="13"/>
  <c r="S216" i="13"/>
  <c r="R216" i="13"/>
  <c r="Q216" i="13"/>
  <c r="B216" i="13" s="1"/>
  <c r="P216" i="13"/>
  <c r="O216" i="13"/>
  <c r="M216" i="13"/>
  <c r="V216" i="13" s="1"/>
  <c r="K216" i="13"/>
  <c r="J216" i="13"/>
  <c r="I216" i="13"/>
  <c r="H216" i="13"/>
  <c r="F216" i="13"/>
  <c r="Z215" i="13"/>
  <c r="U215" i="13"/>
  <c r="B215" i="13" s="1"/>
  <c r="T215" i="13"/>
  <c r="S215" i="13"/>
  <c r="R215" i="13"/>
  <c r="Q215" i="13"/>
  <c r="O215" i="13"/>
  <c r="M215" i="13"/>
  <c r="K215" i="13"/>
  <c r="J215" i="13"/>
  <c r="I215" i="13"/>
  <c r="H215" i="13"/>
  <c r="F215" i="13"/>
  <c r="Z214" i="13"/>
  <c r="U214" i="13"/>
  <c r="T214" i="13"/>
  <c r="S214" i="13"/>
  <c r="R214" i="13"/>
  <c r="Q214" i="13"/>
  <c r="O214" i="13"/>
  <c r="M214" i="13"/>
  <c r="P214" i="13" s="1"/>
  <c r="L214" i="13"/>
  <c r="K214" i="13"/>
  <c r="J214" i="13"/>
  <c r="I214" i="13"/>
  <c r="H214" i="13"/>
  <c r="F214" i="13"/>
  <c r="Z213" i="13"/>
  <c r="Y213" i="13"/>
  <c r="X213" i="13"/>
  <c r="W213" i="13"/>
  <c r="V213" i="13"/>
  <c r="U213" i="13"/>
  <c r="T213" i="13"/>
  <c r="S213" i="13"/>
  <c r="R213" i="13"/>
  <c r="Q213" i="13"/>
  <c r="B213" i="13" s="1"/>
  <c r="P213" i="13"/>
  <c r="O213" i="13"/>
  <c r="N213" i="13"/>
  <c r="M213" i="13"/>
  <c r="L213" i="13"/>
  <c r="K213" i="13"/>
  <c r="J213" i="13"/>
  <c r="I213" i="13"/>
  <c r="H213" i="13"/>
  <c r="F213" i="13"/>
  <c r="Z212" i="13"/>
  <c r="U212" i="13"/>
  <c r="T212" i="13"/>
  <c r="S212" i="13"/>
  <c r="R212" i="13"/>
  <c r="Q212" i="13"/>
  <c r="O212" i="13"/>
  <c r="M212" i="13"/>
  <c r="L212" i="13"/>
  <c r="K212" i="13"/>
  <c r="J212" i="13"/>
  <c r="I212" i="13"/>
  <c r="H212" i="13"/>
  <c r="F212" i="13"/>
  <c r="Z211" i="13"/>
  <c r="U211" i="13"/>
  <c r="T211" i="13"/>
  <c r="S211" i="13"/>
  <c r="R211" i="13"/>
  <c r="Q211" i="13"/>
  <c r="O211" i="13"/>
  <c r="M211" i="13"/>
  <c r="P211" i="13" s="1"/>
  <c r="L211" i="13"/>
  <c r="K211" i="13"/>
  <c r="J211" i="13"/>
  <c r="I211" i="13"/>
  <c r="H211" i="13"/>
  <c r="F211" i="13"/>
  <c r="Z210" i="13"/>
  <c r="V210" i="13"/>
  <c r="U210" i="13"/>
  <c r="T210" i="13"/>
  <c r="S210" i="13"/>
  <c r="R210" i="13"/>
  <c r="Q210" i="13"/>
  <c r="P210" i="13"/>
  <c r="O210" i="13"/>
  <c r="N210" i="13"/>
  <c r="M210" i="13"/>
  <c r="L210" i="13" s="1"/>
  <c r="K210" i="13"/>
  <c r="J210" i="13"/>
  <c r="I210" i="13"/>
  <c r="H210" i="13"/>
  <c r="F210" i="13"/>
  <c r="B210" i="13"/>
  <c r="Z209" i="13"/>
  <c r="U209" i="13"/>
  <c r="T209" i="13"/>
  <c r="S209" i="13"/>
  <c r="R209" i="13"/>
  <c r="Q209" i="13"/>
  <c r="O209" i="13"/>
  <c r="M209" i="13"/>
  <c r="K209" i="13"/>
  <c r="J209" i="13"/>
  <c r="I209" i="13"/>
  <c r="H209" i="13"/>
  <c r="F209" i="13"/>
  <c r="B209" i="13"/>
  <c r="Z208" i="13"/>
  <c r="U208" i="13"/>
  <c r="T208" i="13"/>
  <c r="S208" i="13"/>
  <c r="R208" i="13"/>
  <c r="Q208" i="13"/>
  <c r="B208" i="13" s="1"/>
  <c r="P208" i="13"/>
  <c r="O208" i="13"/>
  <c r="M208" i="13"/>
  <c r="K208" i="13"/>
  <c r="J208" i="13"/>
  <c r="I208" i="13"/>
  <c r="H208" i="13"/>
  <c r="F208" i="13"/>
  <c r="Z207" i="13"/>
  <c r="V207" i="13"/>
  <c r="Y207" i="13" s="1"/>
  <c r="U207" i="13"/>
  <c r="T207" i="13"/>
  <c r="S207" i="13"/>
  <c r="R207" i="13"/>
  <c r="Q207" i="13"/>
  <c r="P207" i="13"/>
  <c r="O207" i="13"/>
  <c r="N207" i="13"/>
  <c r="M207" i="13"/>
  <c r="L207" i="13" s="1"/>
  <c r="K207" i="13"/>
  <c r="J207" i="13"/>
  <c r="I207" i="13"/>
  <c r="H207" i="13"/>
  <c r="F207" i="13"/>
  <c r="B207" i="13"/>
  <c r="Z206" i="13"/>
  <c r="U206" i="13"/>
  <c r="T206" i="13"/>
  <c r="S206" i="13"/>
  <c r="R206" i="13"/>
  <c r="B206" i="13" s="1"/>
  <c r="Q206" i="13"/>
  <c r="O206" i="13"/>
  <c r="M206" i="13"/>
  <c r="L206" i="13"/>
  <c r="K206" i="13"/>
  <c r="J206" i="13"/>
  <c r="I206" i="13"/>
  <c r="H206" i="13"/>
  <c r="F206" i="13"/>
  <c r="Z205" i="13"/>
  <c r="U205" i="13"/>
  <c r="T205" i="13"/>
  <c r="S205" i="13"/>
  <c r="R205" i="13"/>
  <c r="Q205" i="13"/>
  <c r="O205" i="13"/>
  <c r="M205" i="13"/>
  <c r="L205" i="13"/>
  <c r="K205" i="13"/>
  <c r="J205" i="13"/>
  <c r="I205" i="13"/>
  <c r="H205" i="13"/>
  <c r="F205" i="13"/>
  <c r="Z204" i="13"/>
  <c r="U204" i="13"/>
  <c r="T204" i="13"/>
  <c r="S204" i="13"/>
  <c r="R204" i="13"/>
  <c r="Q204" i="13"/>
  <c r="O204" i="13"/>
  <c r="M204" i="13"/>
  <c r="P204" i="13" s="1"/>
  <c r="L204" i="13"/>
  <c r="K204" i="13"/>
  <c r="J204" i="13"/>
  <c r="I204" i="13"/>
  <c r="H204" i="13"/>
  <c r="F204" i="13"/>
  <c r="B204" i="13"/>
  <c r="Z203" i="13"/>
  <c r="V203" i="13"/>
  <c r="W203" i="13" s="1"/>
  <c r="X203" i="13" s="1"/>
  <c r="U203" i="13"/>
  <c r="T203" i="13"/>
  <c r="S203" i="13"/>
  <c r="R203" i="13"/>
  <c r="Q203" i="13"/>
  <c r="P203" i="13"/>
  <c r="O203" i="13"/>
  <c r="N203" i="13"/>
  <c r="M203" i="13"/>
  <c r="L203" i="13"/>
  <c r="K203" i="13"/>
  <c r="J203" i="13"/>
  <c r="I203" i="13"/>
  <c r="H203" i="13"/>
  <c r="F203" i="13"/>
  <c r="B203" i="13"/>
  <c r="Z202" i="13"/>
  <c r="V202" i="13"/>
  <c r="Y202" i="13" s="1"/>
  <c r="U202" i="13"/>
  <c r="T202" i="13"/>
  <c r="S202" i="13"/>
  <c r="R202" i="13"/>
  <c r="Q202" i="13"/>
  <c r="B202" i="13" s="1"/>
  <c r="P202" i="13"/>
  <c r="O202" i="13"/>
  <c r="N202" i="13"/>
  <c r="M202" i="13"/>
  <c r="L202" i="13" s="1"/>
  <c r="K202" i="13"/>
  <c r="J202" i="13"/>
  <c r="I202" i="13"/>
  <c r="H202" i="13"/>
  <c r="F202" i="13"/>
  <c r="Z201" i="13"/>
  <c r="U201" i="13"/>
  <c r="B201" i="13" s="1"/>
  <c r="T201" i="13"/>
  <c r="S201" i="13"/>
  <c r="R201" i="13"/>
  <c r="Q201" i="13"/>
  <c r="O201" i="13"/>
  <c r="M201" i="13"/>
  <c r="K201" i="13"/>
  <c r="J201" i="13"/>
  <c r="I201" i="13"/>
  <c r="H201" i="13"/>
  <c r="F201" i="13"/>
  <c r="Z200" i="13"/>
  <c r="U200" i="13"/>
  <c r="T200" i="13"/>
  <c r="S200" i="13"/>
  <c r="R200" i="13"/>
  <c r="Q200" i="13"/>
  <c r="B200" i="13" s="1"/>
  <c r="P200" i="13"/>
  <c r="O200" i="13"/>
  <c r="M200" i="13"/>
  <c r="K200" i="13"/>
  <c r="J200" i="13"/>
  <c r="I200" i="13"/>
  <c r="H200" i="13"/>
  <c r="F200" i="13"/>
  <c r="Z199" i="13"/>
  <c r="U199" i="13"/>
  <c r="T199" i="13"/>
  <c r="S199" i="13"/>
  <c r="R199" i="13"/>
  <c r="B199" i="13" s="1"/>
  <c r="Q199" i="13"/>
  <c r="O199" i="13"/>
  <c r="P199" i="13" s="1"/>
  <c r="M199" i="13"/>
  <c r="L199" i="13" s="1"/>
  <c r="K199" i="13"/>
  <c r="J199" i="13"/>
  <c r="I199" i="13"/>
  <c r="H199" i="13"/>
  <c r="F199" i="13"/>
  <c r="Z198" i="13"/>
  <c r="U198" i="13"/>
  <c r="T198" i="13"/>
  <c r="S198" i="13"/>
  <c r="R198" i="13"/>
  <c r="Q198" i="13"/>
  <c r="O198" i="13"/>
  <c r="M198" i="13"/>
  <c r="L198" i="13" s="1"/>
  <c r="K198" i="13"/>
  <c r="J198" i="13"/>
  <c r="I198" i="13"/>
  <c r="H198" i="13"/>
  <c r="F198" i="13"/>
  <c r="Z197" i="13"/>
  <c r="Y197" i="13"/>
  <c r="W197" i="13"/>
  <c r="X197" i="13" s="1"/>
  <c r="V197" i="13"/>
  <c r="U197" i="13"/>
  <c r="T197" i="13"/>
  <c r="S197" i="13"/>
  <c r="R197" i="13"/>
  <c r="Q197" i="13"/>
  <c r="B197" i="13" s="1"/>
  <c r="O197" i="13"/>
  <c r="P197" i="13" s="1"/>
  <c r="N197" i="13"/>
  <c r="M197" i="13"/>
  <c r="L197" i="13"/>
  <c r="K197" i="13"/>
  <c r="J197" i="13"/>
  <c r="I197" i="13"/>
  <c r="H197" i="13"/>
  <c r="F197" i="13"/>
  <c r="Z196" i="13"/>
  <c r="U196" i="13"/>
  <c r="T196" i="13"/>
  <c r="S196" i="13"/>
  <c r="R196" i="13"/>
  <c r="Q196" i="13"/>
  <c r="O196" i="13"/>
  <c r="M196" i="13"/>
  <c r="L196" i="13"/>
  <c r="K196" i="13"/>
  <c r="J196" i="13"/>
  <c r="I196" i="13"/>
  <c r="H196" i="13"/>
  <c r="F196" i="13"/>
  <c r="B196" i="13"/>
  <c r="Z195" i="13"/>
  <c r="U195" i="13"/>
  <c r="T195" i="13"/>
  <c r="S195" i="13"/>
  <c r="R195" i="13"/>
  <c r="Q195" i="13"/>
  <c r="P195" i="13"/>
  <c r="O195" i="13"/>
  <c r="M195" i="13"/>
  <c r="L195" i="13"/>
  <c r="K195" i="13"/>
  <c r="J195" i="13"/>
  <c r="I195" i="13"/>
  <c r="H195" i="13"/>
  <c r="F195" i="13"/>
  <c r="Z194" i="13"/>
  <c r="U194" i="13"/>
  <c r="T194" i="13"/>
  <c r="S194" i="13"/>
  <c r="R194" i="13"/>
  <c r="Q194" i="13"/>
  <c r="O194" i="13"/>
  <c r="M194" i="13"/>
  <c r="L194" i="13" s="1"/>
  <c r="K194" i="13"/>
  <c r="J194" i="13"/>
  <c r="I194" i="13"/>
  <c r="H194" i="13"/>
  <c r="F194" i="13"/>
  <c r="B194" i="13"/>
  <c r="Z193" i="13"/>
  <c r="U193" i="13"/>
  <c r="T193" i="13"/>
  <c r="S193" i="13"/>
  <c r="B193" i="13" s="1"/>
  <c r="R193" i="13"/>
  <c r="Q193" i="13"/>
  <c r="P193" i="13"/>
  <c r="O193" i="13"/>
  <c r="M193" i="13"/>
  <c r="V193" i="13" s="1"/>
  <c r="K193" i="13"/>
  <c r="J193" i="13"/>
  <c r="I193" i="13"/>
  <c r="H193" i="13"/>
  <c r="F193" i="13"/>
  <c r="Z192" i="13"/>
  <c r="U192" i="13"/>
  <c r="T192" i="13"/>
  <c r="S192" i="13"/>
  <c r="R192" i="13"/>
  <c r="Q192" i="13"/>
  <c r="O192" i="13"/>
  <c r="M192" i="13"/>
  <c r="K192" i="13"/>
  <c r="J192" i="13"/>
  <c r="I192" i="13"/>
  <c r="H192" i="13"/>
  <c r="F192" i="13"/>
  <c r="Z191" i="13"/>
  <c r="U191" i="13"/>
  <c r="B191" i="13" s="1"/>
  <c r="T191" i="13"/>
  <c r="S191" i="13"/>
  <c r="R191" i="13"/>
  <c r="Q191" i="13"/>
  <c r="O191" i="13"/>
  <c r="M191" i="13"/>
  <c r="K191" i="13"/>
  <c r="J191" i="13"/>
  <c r="I191" i="13"/>
  <c r="H191" i="13"/>
  <c r="F191" i="13"/>
  <c r="Z190" i="13"/>
  <c r="U190" i="13"/>
  <c r="T190" i="13"/>
  <c r="S190" i="13"/>
  <c r="R190" i="13"/>
  <c r="Q190" i="13"/>
  <c r="O190" i="13"/>
  <c r="M190" i="13"/>
  <c r="L190" i="13"/>
  <c r="K190" i="13"/>
  <c r="J190" i="13"/>
  <c r="I190" i="13"/>
  <c r="H190" i="13"/>
  <c r="F190" i="13"/>
  <c r="Z189" i="13"/>
  <c r="U189" i="13"/>
  <c r="T189" i="13"/>
  <c r="S189" i="13"/>
  <c r="R189" i="13"/>
  <c r="Q189" i="13"/>
  <c r="B189" i="13" s="1"/>
  <c r="O189" i="13"/>
  <c r="M189" i="13"/>
  <c r="L189" i="13"/>
  <c r="K189" i="13"/>
  <c r="J189" i="13"/>
  <c r="I189" i="13"/>
  <c r="H189" i="13"/>
  <c r="F189" i="13"/>
  <c r="Z188" i="13"/>
  <c r="U188" i="13"/>
  <c r="T188" i="13"/>
  <c r="S188" i="13"/>
  <c r="R188" i="13"/>
  <c r="Q188" i="13"/>
  <c r="B188" i="13" s="1"/>
  <c r="O188" i="13"/>
  <c r="M188" i="13"/>
  <c r="L188" i="13"/>
  <c r="K188" i="13"/>
  <c r="J188" i="13"/>
  <c r="I188" i="13"/>
  <c r="H188" i="13"/>
  <c r="F188" i="13"/>
  <c r="Z187" i="13"/>
  <c r="U187" i="13"/>
  <c r="T187" i="13"/>
  <c r="S187" i="13"/>
  <c r="R187" i="13"/>
  <c r="Q187" i="13"/>
  <c r="P187" i="13"/>
  <c r="O187" i="13"/>
  <c r="M187" i="13"/>
  <c r="L187" i="13"/>
  <c r="K187" i="13"/>
  <c r="J187" i="13"/>
  <c r="I187" i="13"/>
  <c r="H187" i="13"/>
  <c r="F187" i="13"/>
  <c r="Z186" i="13"/>
  <c r="W186" i="13"/>
  <c r="X186" i="13" s="1"/>
  <c r="V186" i="13"/>
  <c r="N186" i="13" s="1"/>
  <c r="P186" i="13"/>
  <c r="O186" i="13"/>
  <c r="M186" i="13"/>
  <c r="L186" i="13"/>
  <c r="K186" i="13"/>
  <c r="J186" i="13"/>
  <c r="I186" i="13"/>
  <c r="H186" i="13"/>
  <c r="F186" i="13"/>
  <c r="B186" i="13"/>
  <c r="Z185" i="13"/>
  <c r="W185" i="13"/>
  <c r="X185" i="13" s="1"/>
  <c r="U185" i="13"/>
  <c r="T185" i="13"/>
  <c r="S185" i="13"/>
  <c r="R185" i="13"/>
  <c r="Q185" i="13"/>
  <c r="P185" i="13"/>
  <c r="O185" i="13"/>
  <c r="V185" i="13" s="1"/>
  <c r="M185" i="13"/>
  <c r="L185" i="13" s="1"/>
  <c r="K185" i="13"/>
  <c r="J185" i="13"/>
  <c r="I185" i="13"/>
  <c r="H185" i="13"/>
  <c r="F185" i="13"/>
  <c r="B185" i="13"/>
  <c r="Z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F184" i="13"/>
  <c r="B184" i="13"/>
  <c r="Z183" i="13"/>
  <c r="U183" i="13"/>
  <c r="T183" i="13"/>
  <c r="S183" i="13"/>
  <c r="R183" i="13"/>
  <c r="Q183" i="13"/>
  <c r="B183" i="13" s="1"/>
  <c r="O183" i="13"/>
  <c r="M183" i="13"/>
  <c r="K183" i="13"/>
  <c r="J183" i="13"/>
  <c r="I183" i="13"/>
  <c r="H183" i="13"/>
  <c r="F183" i="13"/>
  <c r="Z182" i="13"/>
  <c r="U182" i="13"/>
  <c r="T182" i="13"/>
  <c r="S182" i="13"/>
  <c r="R182" i="13"/>
  <c r="Q182" i="13"/>
  <c r="O182" i="13"/>
  <c r="M182" i="13"/>
  <c r="K182" i="13"/>
  <c r="J182" i="13"/>
  <c r="I182" i="13"/>
  <c r="H182" i="13"/>
  <c r="F182" i="13"/>
  <c r="Z181" i="13"/>
  <c r="U181" i="13"/>
  <c r="T181" i="13"/>
  <c r="S181" i="13"/>
  <c r="R181" i="13"/>
  <c r="Q181" i="13"/>
  <c r="O181" i="13"/>
  <c r="M181" i="13"/>
  <c r="L181" i="13" s="1"/>
  <c r="K181" i="13"/>
  <c r="J181" i="13"/>
  <c r="I181" i="13"/>
  <c r="H181" i="13"/>
  <c r="F181" i="13"/>
  <c r="Z180" i="13"/>
  <c r="U180" i="13"/>
  <c r="T180" i="13"/>
  <c r="S180" i="13"/>
  <c r="R180" i="13"/>
  <c r="Q180" i="13"/>
  <c r="O180" i="13"/>
  <c r="V180" i="13" s="1"/>
  <c r="M180" i="13"/>
  <c r="L180" i="13"/>
  <c r="K180" i="13"/>
  <c r="J180" i="13"/>
  <c r="I180" i="13"/>
  <c r="H180" i="13"/>
  <c r="F180" i="13"/>
  <c r="Z179" i="13"/>
  <c r="U179" i="13"/>
  <c r="T179" i="13"/>
  <c r="S179" i="13"/>
  <c r="R179" i="13"/>
  <c r="Q179" i="13"/>
  <c r="B179" i="13" s="1"/>
  <c r="O179" i="13"/>
  <c r="M179" i="13"/>
  <c r="P179" i="13" s="1"/>
  <c r="K179" i="13"/>
  <c r="J179" i="13"/>
  <c r="I179" i="13"/>
  <c r="H179" i="13"/>
  <c r="F179" i="13"/>
  <c r="Z178" i="13"/>
  <c r="O178" i="13"/>
  <c r="M178" i="13"/>
  <c r="K178" i="13"/>
  <c r="J178" i="13"/>
  <c r="I178" i="13"/>
  <c r="H178" i="13"/>
  <c r="F178" i="13"/>
  <c r="B178" i="13"/>
  <c r="Z177" i="13"/>
  <c r="U177" i="13"/>
  <c r="T177" i="13"/>
  <c r="S177" i="13"/>
  <c r="R177" i="13"/>
  <c r="Q177" i="13"/>
  <c r="P177" i="13"/>
  <c r="O177" i="13"/>
  <c r="M177" i="13"/>
  <c r="L177" i="13"/>
  <c r="K177" i="13"/>
  <c r="J177" i="13"/>
  <c r="I177" i="13"/>
  <c r="H177" i="13"/>
  <c r="F177" i="13"/>
  <c r="Z176" i="13"/>
  <c r="V176" i="13"/>
  <c r="U176" i="13"/>
  <c r="T176" i="13"/>
  <c r="S176" i="13"/>
  <c r="R176" i="13"/>
  <c r="Q176" i="13"/>
  <c r="P176" i="13"/>
  <c r="O176" i="13"/>
  <c r="N176" i="13"/>
  <c r="M176" i="13"/>
  <c r="L176" i="13" s="1"/>
  <c r="K176" i="13"/>
  <c r="J176" i="13"/>
  <c r="I176" i="13"/>
  <c r="H176" i="13"/>
  <c r="F176" i="13"/>
  <c r="B176" i="13"/>
  <c r="Z175" i="13"/>
  <c r="U175" i="13"/>
  <c r="T175" i="13"/>
  <c r="B175" i="13" s="1"/>
  <c r="S175" i="13"/>
  <c r="R175" i="13"/>
  <c r="Q175" i="13"/>
  <c r="P175" i="13"/>
  <c r="O175" i="13"/>
  <c r="M175" i="13"/>
  <c r="V175" i="13" s="1"/>
  <c r="L175" i="13"/>
  <c r="K175" i="13"/>
  <c r="J175" i="13"/>
  <c r="I175" i="13"/>
  <c r="H175" i="13"/>
  <c r="F175" i="13"/>
  <c r="Z174" i="13"/>
  <c r="U174" i="13"/>
  <c r="T174" i="13"/>
  <c r="S174" i="13"/>
  <c r="R174" i="13"/>
  <c r="Q174" i="13"/>
  <c r="P174" i="13"/>
  <c r="O174" i="13"/>
  <c r="M174" i="13"/>
  <c r="K174" i="13"/>
  <c r="J174" i="13"/>
  <c r="I174" i="13"/>
  <c r="H174" i="13"/>
  <c r="F174" i="13"/>
  <c r="Z173" i="13"/>
  <c r="U173" i="13"/>
  <c r="T173" i="13"/>
  <c r="S173" i="13"/>
  <c r="R173" i="13"/>
  <c r="Q173" i="13"/>
  <c r="P173" i="13"/>
  <c r="O173" i="13"/>
  <c r="M173" i="13"/>
  <c r="L173" i="13"/>
  <c r="K173" i="13"/>
  <c r="J173" i="13"/>
  <c r="I173" i="13"/>
  <c r="H173" i="13"/>
  <c r="F173" i="13"/>
  <c r="Z172" i="13"/>
  <c r="Y172" i="13"/>
  <c r="W172" i="13"/>
  <c r="X172" i="13" s="1"/>
  <c r="P172" i="13"/>
  <c r="O172" i="13"/>
  <c r="N172" i="13"/>
  <c r="M172" i="13"/>
  <c r="V172" i="13" s="1"/>
  <c r="L172" i="13"/>
  <c r="K172" i="13"/>
  <c r="J172" i="13"/>
  <c r="I172" i="13"/>
  <c r="H172" i="13"/>
  <c r="F172" i="13"/>
  <c r="B172" i="13"/>
  <c r="Z171" i="13"/>
  <c r="U171" i="13"/>
  <c r="T171" i="13"/>
  <c r="S171" i="13"/>
  <c r="R171" i="13"/>
  <c r="Q171" i="13"/>
  <c r="O171" i="13"/>
  <c r="M171" i="13"/>
  <c r="L171" i="13" s="1"/>
  <c r="K171" i="13"/>
  <c r="J171" i="13"/>
  <c r="I171" i="13"/>
  <c r="H171" i="13"/>
  <c r="F171" i="13"/>
  <c r="Z170" i="13"/>
  <c r="U170" i="13"/>
  <c r="T170" i="13"/>
  <c r="S170" i="13"/>
  <c r="R170" i="13"/>
  <c r="Q170" i="13"/>
  <c r="O170" i="13"/>
  <c r="P170" i="13" s="1"/>
  <c r="M170" i="13"/>
  <c r="L170" i="13"/>
  <c r="K170" i="13"/>
  <c r="J170" i="13"/>
  <c r="I170" i="13"/>
  <c r="H170" i="13"/>
  <c r="F170" i="13"/>
  <c r="B170" i="13"/>
  <c r="Z169" i="13"/>
  <c r="U169" i="13"/>
  <c r="T169" i="13"/>
  <c r="S169" i="13"/>
  <c r="B169" i="13" s="1"/>
  <c r="R169" i="13"/>
  <c r="Q169" i="13"/>
  <c r="O169" i="13"/>
  <c r="M169" i="13"/>
  <c r="L169" i="13"/>
  <c r="K169" i="13"/>
  <c r="J169" i="13"/>
  <c r="I169" i="13"/>
  <c r="H169" i="13"/>
  <c r="F169" i="13"/>
  <c r="Z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F168" i="13"/>
  <c r="B168" i="13"/>
  <c r="Z167" i="13"/>
  <c r="U167" i="13"/>
  <c r="T167" i="13"/>
  <c r="S167" i="13"/>
  <c r="B167" i="13" s="1"/>
  <c r="R167" i="13"/>
  <c r="Q167" i="13"/>
  <c r="P167" i="13"/>
  <c r="O167" i="13"/>
  <c r="M167" i="13"/>
  <c r="L167" i="13" s="1"/>
  <c r="K167" i="13"/>
  <c r="J167" i="13"/>
  <c r="I167" i="13"/>
  <c r="H167" i="13"/>
  <c r="F167" i="13"/>
  <c r="Z166" i="13"/>
  <c r="U166" i="13"/>
  <c r="T166" i="13"/>
  <c r="S166" i="13"/>
  <c r="R166" i="13"/>
  <c r="Q166" i="13"/>
  <c r="O166" i="13"/>
  <c r="M166" i="13"/>
  <c r="L166" i="13" s="1"/>
  <c r="K166" i="13"/>
  <c r="J166" i="13"/>
  <c r="I166" i="13"/>
  <c r="H166" i="13"/>
  <c r="F166" i="13"/>
  <c r="Z165" i="13"/>
  <c r="U165" i="13"/>
  <c r="T165" i="13"/>
  <c r="S165" i="13"/>
  <c r="R165" i="13"/>
  <c r="Q165" i="13"/>
  <c r="B165" i="13" s="1"/>
  <c r="P165" i="13"/>
  <c r="O165" i="13"/>
  <c r="M165" i="13"/>
  <c r="K165" i="13"/>
  <c r="J165" i="13"/>
  <c r="I165" i="13"/>
  <c r="H165" i="13"/>
  <c r="F165" i="13"/>
  <c r="Z164" i="13"/>
  <c r="U164" i="13"/>
  <c r="T164" i="13"/>
  <c r="S164" i="13"/>
  <c r="R164" i="13"/>
  <c r="B164" i="13" s="1"/>
  <c r="Q164" i="13"/>
  <c r="O164" i="13"/>
  <c r="P164" i="13" s="1"/>
  <c r="M164" i="13"/>
  <c r="L164" i="13"/>
  <c r="K164" i="13"/>
  <c r="J164" i="13"/>
  <c r="I164" i="13"/>
  <c r="H164" i="13"/>
  <c r="F164" i="13"/>
  <c r="Z163" i="13"/>
  <c r="U163" i="13"/>
  <c r="T163" i="13"/>
  <c r="S163" i="13"/>
  <c r="R163" i="13"/>
  <c r="Q163" i="13"/>
  <c r="O163" i="13"/>
  <c r="M163" i="13"/>
  <c r="L163" i="13" s="1"/>
  <c r="K163" i="13"/>
  <c r="J163" i="13"/>
  <c r="I163" i="13"/>
  <c r="H163" i="13"/>
  <c r="F163" i="13"/>
  <c r="Z162" i="13"/>
  <c r="V162" i="13"/>
  <c r="U162" i="13"/>
  <c r="T162" i="13"/>
  <c r="S162" i="13"/>
  <c r="R162" i="13"/>
  <c r="Q162" i="13"/>
  <c r="O162" i="13"/>
  <c r="P162" i="13" s="1"/>
  <c r="M162" i="13"/>
  <c r="L162" i="13"/>
  <c r="K162" i="13"/>
  <c r="J162" i="13"/>
  <c r="I162" i="13"/>
  <c r="H162" i="13"/>
  <c r="F162" i="13"/>
  <c r="B162" i="13"/>
  <c r="Z161" i="13"/>
  <c r="U161" i="13"/>
  <c r="T161" i="13"/>
  <c r="S161" i="13"/>
  <c r="R161" i="13"/>
  <c r="Q161" i="13"/>
  <c r="O161" i="13"/>
  <c r="M161" i="13"/>
  <c r="L161" i="13"/>
  <c r="K161" i="13"/>
  <c r="J161" i="13"/>
  <c r="I161" i="13"/>
  <c r="H161" i="13"/>
  <c r="F161" i="13"/>
  <c r="Z160" i="13"/>
  <c r="V160" i="13"/>
  <c r="U160" i="13"/>
  <c r="T160" i="13"/>
  <c r="S160" i="13"/>
  <c r="R160" i="13"/>
  <c r="Q160" i="13"/>
  <c r="P160" i="13"/>
  <c r="O160" i="13"/>
  <c r="N160" i="13"/>
  <c r="M160" i="13"/>
  <c r="L160" i="13"/>
  <c r="K160" i="13"/>
  <c r="J160" i="13"/>
  <c r="I160" i="13"/>
  <c r="H160" i="13"/>
  <c r="F160" i="13"/>
  <c r="B160" i="13"/>
  <c r="Z159" i="13"/>
  <c r="U159" i="13"/>
  <c r="T159" i="13"/>
  <c r="S159" i="13"/>
  <c r="R159" i="13"/>
  <c r="Q159" i="13"/>
  <c r="P159" i="13"/>
  <c r="O159" i="13"/>
  <c r="M159" i="13"/>
  <c r="L159" i="13" s="1"/>
  <c r="K159" i="13"/>
  <c r="J159" i="13"/>
  <c r="I159" i="13"/>
  <c r="H159" i="13"/>
  <c r="F159" i="13"/>
  <c r="Z158" i="13"/>
  <c r="U158" i="13"/>
  <c r="T158" i="13"/>
  <c r="S158" i="13"/>
  <c r="R158" i="13"/>
  <c r="Q158" i="13"/>
  <c r="O158" i="13"/>
  <c r="M158" i="13"/>
  <c r="L158" i="13" s="1"/>
  <c r="K158" i="13"/>
  <c r="J158" i="13"/>
  <c r="I158" i="13"/>
  <c r="H158" i="13"/>
  <c r="F158" i="13"/>
  <c r="Z157" i="13"/>
  <c r="U157" i="13"/>
  <c r="T157" i="13"/>
  <c r="S157" i="13"/>
  <c r="R157" i="13"/>
  <c r="Q157" i="13"/>
  <c r="B157" i="13" s="1"/>
  <c r="P157" i="13"/>
  <c r="O157" i="13"/>
  <c r="M157" i="13"/>
  <c r="K157" i="13"/>
  <c r="J157" i="13"/>
  <c r="I157" i="13"/>
  <c r="H157" i="13"/>
  <c r="F157" i="13"/>
  <c r="Z156" i="13"/>
  <c r="W156" i="13"/>
  <c r="X156" i="13" s="1"/>
  <c r="V156" i="13"/>
  <c r="Y156" i="13" s="1"/>
  <c r="U156" i="13"/>
  <c r="T156" i="13"/>
  <c r="S156" i="13"/>
  <c r="R156" i="13"/>
  <c r="Q156" i="13"/>
  <c r="O156" i="13"/>
  <c r="P156" i="13" s="1"/>
  <c r="N156" i="13"/>
  <c r="M156" i="13"/>
  <c r="L156" i="13"/>
  <c r="K156" i="13"/>
  <c r="J156" i="13"/>
  <c r="I156" i="13"/>
  <c r="H156" i="13"/>
  <c r="F156" i="13"/>
  <c r="B156" i="13"/>
  <c r="Z155" i="13"/>
  <c r="U155" i="13"/>
  <c r="T155" i="13"/>
  <c r="S155" i="13"/>
  <c r="R155" i="13"/>
  <c r="Q155" i="13"/>
  <c r="B155" i="13" s="1"/>
  <c r="O155" i="13"/>
  <c r="M155" i="13"/>
  <c r="L155" i="13" s="1"/>
  <c r="K155" i="13"/>
  <c r="J155" i="13"/>
  <c r="I155" i="13"/>
  <c r="H155" i="13"/>
  <c r="F155" i="13"/>
  <c r="Z154" i="13"/>
  <c r="V154" i="13"/>
  <c r="U154" i="13"/>
  <c r="T154" i="13"/>
  <c r="S154" i="13"/>
  <c r="R154" i="13"/>
  <c r="Q154" i="13"/>
  <c r="O154" i="13"/>
  <c r="P154" i="13" s="1"/>
  <c r="M154" i="13"/>
  <c r="L154" i="13"/>
  <c r="K154" i="13"/>
  <c r="J154" i="13"/>
  <c r="I154" i="13"/>
  <c r="H154" i="13"/>
  <c r="F154" i="13"/>
  <c r="B154" i="13"/>
  <c r="Z153" i="13"/>
  <c r="U153" i="13"/>
  <c r="T153" i="13"/>
  <c r="S153" i="13"/>
  <c r="R153" i="13"/>
  <c r="Q153" i="13"/>
  <c r="O153" i="13"/>
  <c r="M153" i="13"/>
  <c r="L153" i="13"/>
  <c r="K153" i="13"/>
  <c r="J153" i="13"/>
  <c r="I153" i="13"/>
  <c r="H153" i="13"/>
  <c r="F153" i="13"/>
  <c r="B153" i="13"/>
  <c r="Z152" i="13"/>
  <c r="U152" i="13"/>
  <c r="T152" i="13"/>
  <c r="S152" i="13"/>
  <c r="R152" i="13"/>
  <c r="Q152" i="13"/>
  <c r="O152" i="13"/>
  <c r="M152" i="13"/>
  <c r="K152" i="13"/>
  <c r="J152" i="13"/>
  <c r="I152" i="13"/>
  <c r="H152" i="13"/>
  <c r="F152" i="13"/>
  <c r="B152" i="13"/>
  <c r="Z151" i="13"/>
  <c r="U151" i="13"/>
  <c r="T151" i="13"/>
  <c r="S151" i="13"/>
  <c r="R151" i="13"/>
  <c r="Q151" i="13"/>
  <c r="O151" i="13"/>
  <c r="P151" i="13" s="1"/>
  <c r="M151" i="13"/>
  <c r="L151" i="13" s="1"/>
  <c r="K151" i="13"/>
  <c r="J151" i="13"/>
  <c r="I151" i="13"/>
  <c r="H151" i="13"/>
  <c r="F151" i="13"/>
  <c r="B151" i="13"/>
  <c r="Z150" i="13"/>
  <c r="U150" i="13"/>
  <c r="T150" i="13"/>
  <c r="S150" i="13"/>
  <c r="R150" i="13"/>
  <c r="Q150" i="13"/>
  <c r="O150" i="13"/>
  <c r="M150" i="13"/>
  <c r="K150" i="13"/>
  <c r="J150" i="13"/>
  <c r="I150" i="13"/>
  <c r="H150" i="13"/>
  <c r="F150" i="13"/>
  <c r="B150" i="13"/>
  <c r="Z149" i="13"/>
  <c r="U149" i="13"/>
  <c r="T149" i="13"/>
  <c r="S149" i="13"/>
  <c r="R149" i="13"/>
  <c r="Q149" i="13"/>
  <c r="B149" i="13" s="1"/>
  <c r="O149" i="13"/>
  <c r="M149" i="13"/>
  <c r="K149" i="13"/>
  <c r="J149" i="13"/>
  <c r="I149" i="13"/>
  <c r="H149" i="13"/>
  <c r="F149" i="13"/>
  <c r="Z148" i="13"/>
  <c r="U148" i="13"/>
  <c r="T148" i="13"/>
  <c r="S148" i="13"/>
  <c r="R148" i="13"/>
  <c r="B148" i="13" s="1"/>
  <c r="Q148" i="13"/>
  <c r="O148" i="13"/>
  <c r="M148" i="13"/>
  <c r="K148" i="13"/>
  <c r="J148" i="13"/>
  <c r="I148" i="13"/>
  <c r="H148" i="13"/>
  <c r="F148" i="13"/>
  <c r="Z147" i="13"/>
  <c r="W147" i="13"/>
  <c r="X147" i="13" s="1"/>
  <c r="U147" i="13"/>
  <c r="T147" i="13"/>
  <c r="S147" i="13"/>
  <c r="R147" i="13"/>
  <c r="Q147" i="13"/>
  <c r="B147" i="13" s="1"/>
  <c r="O147" i="13"/>
  <c r="P147" i="13" s="1"/>
  <c r="M147" i="13"/>
  <c r="V147" i="13" s="1"/>
  <c r="K147" i="13"/>
  <c r="J147" i="13"/>
  <c r="I147" i="13"/>
  <c r="H147" i="13"/>
  <c r="F147" i="13"/>
  <c r="Z146" i="13"/>
  <c r="U146" i="13"/>
  <c r="T146" i="13"/>
  <c r="S146" i="13"/>
  <c r="R146" i="13"/>
  <c r="Q146" i="13"/>
  <c r="P146" i="13"/>
  <c r="O146" i="13"/>
  <c r="M146" i="13"/>
  <c r="L146" i="13"/>
  <c r="K146" i="13"/>
  <c r="J146" i="13"/>
  <c r="I146" i="13"/>
  <c r="H146" i="13"/>
  <c r="F146" i="13"/>
  <c r="Z145" i="13"/>
  <c r="U145" i="13"/>
  <c r="T145" i="13"/>
  <c r="S145" i="13"/>
  <c r="R145" i="13"/>
  <c r="Q145" i="13"/>
  <c r="O145" i="13"/>
  <c r="M145" i="13"/>
  <c r="L145" i="13"/>
  <c r="K145" i="13"/>
  <c r="J145" i="13"/>
  <c r="I145" i="13"/>
  <c r="H145" i="13"/>
  <c r="F145" i="13"/>
  <c r="Z144" i="13"/>
  <c r="V144" i="13"/>
  <c r="W144" i="13" s="1"/>
  <c r="X144" i="13" s="1"/>
  <c r="U144" i="13"/>
  <c r="T144" i="13"/>
  <c r="S144" i="13"/>
  <c r="R144" i="13"/>
  <c r="Q144" i="13"/>
  <c r="B144" i="13" s="1"/>
  <c r="O144" i="13"/>
  <c r="P144" i="13" s="1"/>
  <c r="M144" i="13"/>
  <c r="L144" i="13"/>
  <c r="K144" i="13"/>
  <c r="J144" i="13"/>
  <c r="I144" i="13"/>
  <c r="H144" i="13"/>
  <c r="F144" i="13"/>
  <c r="Z143" i="13"/>
  <c r="V143" i="13"/>
  <c r="U143" i="13"/>
  <c r="T143" i="13"/>
  <c r="S143" i="13"/>
  <c r="R143" i="13"/>
  <c r="Q143" i="13"/>
  <c r="O143" i="13"/>
  <c r="M143" i="13"/>
  <c r="P143" i="13" s="1"/>
  <c r="L143" i="13"/>
  <c r="K143" i="13"/>
  <c r="J143" i="13"/>
  <c r="I143" i="13"/>
  <c r="H143" i="13"/>
  <c r="F143" i="13"/>
  <c r="B143" i="13"/>
  <c r="Z142" i="13"/>
  <c r="U142" i="13"/>
  <c r="T142" i="13"/>
  <c r="S142" i="13"/>
  <c r="R142" i="13"/>
  <c r="Q142" i="13"/>
  <c r="V142" i="13" s="1"/>
  <c r="P142" i="13"/>
  <c r="O142" i="13"/>
  <c r="M142" i="13"/>
  <c r="L142" i="13"/>
  <c r="K142" i="13"/>
  <c r="J142" i="13"/>
  <c r="I142" i="13"/>
  <c r="H142" i="13"/>
  <c r="F142" i="13"/>
  <c r="Z141" i="13"/>
  <c r="U141" i="13"/>
  <c r="T141" i="13"/>
  <c r="S141" i="13"/>
  <c r="R141" i="13"/>
  <c r="Q141" i="13"/>
  <c r="B141" i="13" s="1"/>
  <c r="P141" i="13"/>
  <c r="O141" i="13"/>
  <c r="M141" i="13"/>
  <c r="K141" i="13"/>
  <c r="J141" i="13"/>
  <c r="I141" i="13"/>
  <c r="H141" i="13"/>
  <c r="F141" i="13"/>
  <c r="Z140" i="13"/>
  <c r="U140" i="13"/>
  <c r="T140" i="13"/>
  <c r="S140" i="13"/>
  <c r="R140" i="13"/>
  <c r="Q140" i="13"/>
  <c r="O140" i="13"/>
  <c r="M140" i="13"/>
  <c r="K140" i="13"/>
  <c r="J140" i="13"/>
  <c r="I140" i="13"/>
  <c r="H140" i="13"/>
  <c r="F140" i="13"/>
  <c r="B140" i="13"/>
  <c r="Z139" i="13"/>
  <c r="U139" i="13"/>
  <c r="T139" i="13"/>
  <c r="S139" i="13"/>
  <c r="R139" i="13"/>
  <c r="Q139" i="13"/>
  <c r="B139" i="13" s="1"/>
  <c r="O139" i="13"/>
  <c r="P139" i="13" s="1"/>
  <c r="M139" i="13"/>
  <c r="V139" i="13" s="1"/>
  <c r="K139" i="13"/>
  <c r="J139" i="13"/>
  <c r="I139" i="13"/>
  <c r="H139" i="13"/>
  <c r="F139" i="13"/>
  <c r="Z138" i="13"/>
  <c r="W138" i="13"/>
  <c r="X138" i="13" s="1"/>
  <c r="U138" i="13"/>
  <c r="T138" i="13"/>
  <c r="S138" i="13"/>
  <c r="R138" i="13"/>
  <c r="B138" i="13" s="1"/>
  <c r="Q138" i="13"/>
  <c r="O138" i="13"/>
  <c r="P138" i="13" s="1"/>
  <c r="M138" i="13"/>
  <c r="V138" i="13" s="1"/>
  <c r="L138" i="13"/>
  <c r="K138" i="13"/>
  <c r="J138" i="13"/>
  <c r="I138" i="13"/>
  <c r="H138" i="13"/>
  <c r="F138" i="13"/>
  <c r="Z137" i="13"/>
  <c r="U137" i="13"/>
  <c r="T137" i="13"/>
  <c r="S137" i="13"/>
  <c r="R137" i="13"/>
  <c r="Q137" i="13"/>
  <c r="O137" i="13"/>
  <c r="M137" i="13"/>
  <c r="L137" i="13"/>
  <c r="K137" i="13"/>
  <c r="J137" i="13"/>
  <c r="I137" i="13"/>
  <c r="H137" i="13"/>
  <c r="F137" i="13"/>
  <c r="Z136" i="13"/>
  <c r="V136" i="13"/>
  <c r="U136" i="13"/>
  <c r="T136" i="13"/>
  <c r="S136" i="13"/>
  <c r="R136" i="13"/>
  <c r="Q136" i="13"/>
  <c r="O136" i="13"/>
  <c r="P136" i="13" s="1"/>
  <c r="M136" i="13"/>
  <c r="L136" i="13"/>
  <c r="K136" i="13"/>
  <c r="J136" i="13"/>
  <c r="I136" i="13"/>
  <c r="H136" i="13"/>
  <c r="F136" i="13"/>
  <c r="B136" i="13"/>
  <c r="Z135" i="13"/>
  <c r="U135" i="13"/>
  <c r="T135" i="13"/>
  <c r="S135" i="13"/>
  <c r="R135" i="13"/>
  <c r="Q135" i="13"/>
  <c r="O135" i="13"/>
  <c r="V135" i="13" s="1"/>
  <c r="M135" i="13"/>
  <c r="L135" i="13"/>
  <c r="K135" i="13"/>
  <c r="J135" i="13"/>
  <c r="I135" i="13"/>
  <c r="H135" i="13"/>
  <c r="F135" i="13"/>
  <c r="B135" i="13"/>
  <c r="Z134" i="13"/>
  <c r="U134" i="13"/>
  <c r="T134" i="13"/>
  <c r="S134" i="13"/>
  <c r="R134" i="13"/>
  <c r="Q134" i="13"/>
  <c r="V134" i="13" s="1"/>
  <c r="P134" i="13"/>
  <c r="O134" i="13"/>
  <c r="M134" i="13"/>
  <c r="L134" i="13"/>
  <c r="K134" i="13"/>
  <c r="J134" i="13"/>
  <c r="I134" i="13"/>
  <c r="H134" i="13"/>
  <c r="F134" i="13"/>
  <c r="Z133" i="13"/>
  <c r="U133" i="13"/>
  <c r="T133" i="13"/>
  <c r="S133" i="13"/>
  <c r="R133" i="13"/>
  <c r="Q133" i="13"/>
  <c r="B133" i="13" s="1"/>
  <c r="O133" i="13"/>
  <c r="M133" i="13"/>
  <c r="K133" i="13"/>
  <c r="J133" i="13"/>
  <c r="I133" i="13"/>
  <c r="H133" i="13"/>
  <c r="F133" i="13"/>
  <c r="Z132" i="13"/>
  <c r="U132" i="13"/>
  <c r="T132" i="13"/>
  <c r="S132" i="13"/>
  <c r="R132" i="13"/>
  <c r="B132" i="13" s="1"/>
  <c r="Q132" i="13"/>
  <c r="O132" i="13"/>
  <c r="M132" i="13"/>
  <c r="K132" i="13"/>
  <c r="J132" i="13"/>
  <c r="I132" i="13"/>
  <c r="H132" i="13"/>
  <c r="F132" i="13"/>
  <c r="Z131" i="13"/>
  <c r="W131" i="13"/>
  <c r="X131" i="13" s="1"/>
  <c r="U131" i="13"/>
  <c r="T131" i="13"/>
  <c r="S131" i="13"/>
  <c r="R131" i="13"/>
  <c r="Q131" i="13"/>
  <c r="B131" i="13" s="1"/>
  <c r="O131" i="13"/>
  <c r="P131" i="13" s="1"/>
  <c r="M131" i="13"/>
  <c r="V131" i="13" s="1"/>
  <c r="Y131" i="13" s="1"/>
  <c r="K131" i="13"/>
  <c r="J131" i="13"/>
  <c r="I131" i="13"/>
  <c r="H131" i="13"/>
  <c r="F131" i="13"/>
  <c r="Z130" i="13"/>
  <c r="U130" i="13"/>
  <c r="T130" i="13"/>
  <c r="S130" i="13"/>
  <c r="R130" i="13"/>
  <c r="B130" i="13" s="1"/>
  <c r="Q130" i="13"/>
  <c r="P130" i="13"/>
  <c r="O130" i="13"/>
  <c r="M130" i="13"/>
  <c r="L130" i="13"/>
  <c r="K130" i="13"/>
  <c r="J130" i="13"/>
  <c r="I130" i="13"/>
  <c r="H130" i="13"/>
  <c r="F130" i="13"/>
  <c r="Z129" i="13"/>
  <c r="U129" i="13"/>
  <c r="T129" i="13"/>
  <c r="S129" i="13"/>
  <c r="R129" i="13"/>
  <c r="Q129" i="13"/>
  <c r="B129" i="13" s="1"/>
  <c r="O129" i="13"/>
  <c r="M129" i="13"/>
  <c r="L129" i="13"/>
  <c r="K129" i="13"/>
  <c r="J129" i="13"/>
  <c r="I129" i="13"/>
  <c r="H129" i="13"/>
  <c r="F129" i="13"/>
  <c r="Z128" i="13"/>
  <c r="U128" i="13"/>
  <c r="T128" i="13"/>
  <c r="S128" i="13"/>
  <c r="R128" i="13"/>
  <c r="Q128" i="13"/>
  <c r="O128" i="13"/>
  <c r="P128" i="13" s="1"/>
  <c r="M128" i="13"/>
  <c r="L128" i="13"/>
  <c r="K128" i="13"/>
  <c r="J128" i="13"/>
  <c r="I128" i="13"/>
  <c r="H128" i="13"/>
  <c r="F128" i="13"/>
  <c r="Z127" i="13"/>
  <c r="U127" i="13"/>
  <c r="T127" i="13"/>
  <c r="S127" i="13"/>
  <c r="B127" i="13" s="1"/>
  <c r="R127" i="13"/>
  <c r="Q127" i="13"/>
  <c r="O127" i="13"/>
  <c r="M127" i="13"/>
  <c r="L127" i="13"/>
  <c r="K127" i="13"/>
  <c r="J127" i="13"/>
  <c r="I127" i="13"/>
  <c r="H127" i="13"/>
  <c r="F127" i="13"/>
  <c r="Z126" i="13"/>
  <c r="V126" i="13"/>
  <c r="U126" i="13"/>
  <c r="T126" i="13"/>
  <c r="S126" i="13"/>
  <c r="R126" i="13"/>
  <c r="Q126" i="13"/>
  <c r="P126" i="13"/>
  <c r="O126" i="13"/>
  <c r="N126" i="13"/>
  <c r="M126" i="13"/>
  <c r="L126" i="13"/>
  <c r="K126" i="13"/>
  <c r="J126" i="13"/>
  <c r="I126" i="13"/>
  <c r="H126" i="13"/>
  <c r="F126" i="13"/>
  <c r="B126" i="13"/>
  <c r="Z125" i="13"/>
  <c r="U125" i="13"/>
  <c r="T125" i="13"/>
  <c r="S125" i="13"/>
  <c r="R125" i="13"/>
  <c r="Q125" i="13"/>
  <c r="P125" i="13"/>
  <c r="O125" i="13"/>
  <c r="M125" i="13"/>
  <c r="L125" i="13" s="1"/>
  <c r="K125" i="13"/>
  <c r="J125" i="13"/>
  <c r="I125" i="13"/>
  <c r="H125" i="13"/>
  <c r="F125" i="13"/>
  <c r="Z124" i="13"/>
  <c r="U124" i="13"/>
  <c r="T124" i="13"/>
  <c r="S124" i="13"/>
  <c r="R124" i="13"/>
  <c r="Q124" i="13"/>
  <c r="O124" i="13"/>
  <c r="M124" i="13"/>
  <c r="L124" i="13"/>
  <c r="K124" i="13"/>
  <c r="J124" i="13"/>
  <c r="I124" i="13"/>
  <c r="H124" i="13"/>
  <c r="F124" i="13"/>
  <c r="Z123" i="13"/>
  <c r="U123" i="13"/>
  <c r="T123" i="13"/>
  <c r="S123" i="13"/>
  <c r="R123" i="13"/>
  <c r="Q123" i="13"/>
  <c r="B123" i="13" s="1"/>
  <c r="P123" i="13"/>
  <c r="O123" i="13"/>
  <c r="M123" i="13"/>
  <c r="K123" i="13"/>
  <c r="J123" i="13"/>
  <c r="I123" i="13"/>
  <c r="H123" i="13"/>
  <c r="F123" i="13"/>
  <c r="Z122" i="13"/>
  <c r="U122" i="13"/>
  <c r="T122" i="13"/>
  <c r="S122" i="13"/>
  <c r="R122" i="13"/>
  <c r="B122" i="13" s="1"/>
  <c r="Q122" i="13"/>
  <c r="O122" i="13"/>
  <c r="M122" i="13"/>
  <c r="P122" i="13" s="1"/>
  <c r="K122" i="13"/>
  <c r="J122" i="13"/>
  <c r="I122" i="13"/>
  <c r="H122" i="13"/>
  <c r="F122" i="13"/>
  <c r="Z121" i="13"/>
  <c r="U121" i="13"/>
  <c r="T121" i="13"/>
  <c r="S121" i="13"/>
  <c r="R121" i="13"/>
  <c r="Q121" i="13"/>
  <c r="O121" i="13"/>
  <c r="M121" i="13"/>
  <c r="L121" i="13"/>
  <c r="K121" i="13"/>
  <c r="J121" i="13"/>
  <c r="I121" i="13"/>
  <c r="H121" i="13"/>
  <c r="F121" i="13"/>
  <c r="Z120" i="13"/>
  <c r="W120" i="13"/>
  <c r="X120" i="13" s="1"/>
  <c r="V120" i="13"/>
  <c r="Y120" i="13" s="1"/>
  <c r="U120" i="13"/>
  <c r="T120" i="13"/>
  <c r="S120" i="13"/>
  <c r="R120" i="13"/>
  <c r="Q120" i="13"/>
  <c r="O120" i="13"/>
  <c r="P120" i="13" s="1"/>
  <c r="N120" i="13"/>
  <c r="M120" i="13"/>
  <c r="L120" i="13"/>
  <c r="K120" i="13"/>
  <c r="J120" i="13"/>
  <c r="I120" i="13"/>
  <c r="H120" i="13"/>
  <c r="F120" i="13"/>
  <c r="B120" i="13"/>
  <c r="Z119" i="13"/>
  <c r="U119" i="13"/>
  <c r="T119" i="13"/>
  <c r="S119" i="13"/>
  <c r="B119" i="13" s="1"/>
  <c r="R119" i="13"/>
  <c r="Q119" i="13"/>
  <c r="O119" i="13"/>
  <c r="M119" i="13"/>
  <c r="P119" i="13" s="1"/>
  <c r="K119" i="13"/>
  <c r="J119" i="13"/>
  <c r="I119" i="13"/>
  <c r="H119" i="13"/>
  <c r="F119" i="13"/>
  <c r="Z118" i="13"/>
  <c r="V118" i="13"/>
  <c r="U118" i="13"/>
  <c r="T118" i="13"/>
  <c r="S118" i="13"/>
  <c r="R118" i="13"/>
  <c r="Q118" i="13"/>
  <c r="P118" i="13"/>
  <c r="O118" i="13"/>
  <c r="N118" i="13"/>
  <c r="M118" i="13"/>
  <c r="L118" i="13"/>
  <c r="K118" i="13"/>
  <c r="J118" i="13"/>
  <c r="I118" i="13"/>
  <c r="H118" i="13"/>
  <c r="F118" i="13"/>
  <c r="B118" i="13"/>
  <c r="Z117" i="13"/>
  <c r="U117" i="13"/>
  <c r="T117" i="13"/>
  <c r="S117" i="13"/>
  <c r="R117" i="13"/>
  <c r="Q117" i="13"/>
  <c r="O117" i="13"/>
  <c r="P117" i="13" s="1"/>
  <c r="M117" i="13"/>
  <c r="L117" i="13" s="1"/>
  <c r="K117" i="13"/>
  <c r="J117" i="13"/>
  <c r="I117" i="13"/>
  <c r="H117" i="13"/>
  <c r="F117" i="13"/>
  <c r="Z116" i="13"/>
  <c r="U116" i="13"/>
  <c r="T116" i="13"/>
  <c r="B116" i="13" s="1"/>
  <c r="S116" i="13"/>
  <c r="R116" i="13"/>
  <c r="Q116" i="13"/>
  <c r="O116" i="13"/>
  <c r="M116" i="13"/>
  <c r="L116" i="13" s="1"/>
  <c r="K116" i="13"/>
  <c r="J116" i="13"/>
  <c r="I116" i="13"/>
  <c r="H116" i="13"/>
  <c r="F116" i="13"/>
  <c r="Z115" i="13"/>
  <c r="U115" i="13"/>
  <c r="T115" i="13"/>
  <c r="S115" i="13"/>
  <c r="R115" i="13"/>
  <c r="Q115" i="13"/>
  <c r="B115" i="13" s="1"/>
  <c r="P115" i="13"/>
  <c r="O115" i="13"/>
  <c r="M115" i="13"/>
  <c r="K115" i="13"/>
  <c r="J115" i="13"/>
  <c r="I115" i="13"/>
  <c r="H115" i="13"/>
  <c r="F115" i="13"/>
  <c r="Z114" i="13"/>
  <c r="U114" i="13"/>
  <c r="T114" i="13"/>
  <c r="S114" i="13"/>
  <c r="R114" i="13"/>
  <c r="B114" i="13" s="1"/>
  <c r="Q114" i="13"/>
  <c r="O114" i="13"/>
  <c r="M114" i="13"/>
  <c r="P114" i="13" s="1"/>
  <c r="K114" i="13"/>
  <c r="J114" i="13"/>
  <c r="I114" i="13"/>
  <c r="H114" i="13"/>
  <c r="F114" i="13"/>
  <c r="Z113" i="13"/>
  <c r="U113" i="13"/>
  <c r="T113" i="13"/>
  <c r="S113" i="13"/>
  <c r="R113" i="13"/>
  <c r="Q113" i="13"/>
  <c r="O113" i="13"/>
  <c r="M113" i="13"/>
  <c r="L113" i="13"/>
  <c r="K113" i="13"/>
  <c r="J113" i="13"/>
  <c r="I113" i="13"/>
  <c r="H113" i="13"/>
  <c r="F113" i="13"/>
  <c r="Z112" i="13"/>
  <c r="U112" i="13"/>
  <c r="T112" i="13"/>
  <c r="S112" i="13"/>
  <c r="R112" i="13"/>
  <c r="Q112" i="13"/>
  <c r="O112" i="13"/>
  <c r="P112" i="13" s="1"/>
  <c r="M112" i="13"/>
  <c r="L112" i="13"/>
  <c r="K112" i="13"/>
  <c r="J112" i="13"/>
  <c r="I112" i="13"/>
  <c r="H112" i="13"/>
  <c r="F112" i="13"/>
  <c r="B112" i="13"/>
  <c r="Z111" i="13"/>
  <c r="U111" i="13"/>
  <c r="T111" i="13"/>
  <c r="S111" i="13"/>
  <c r="B111" i="13" s="1"/>
  <c r="R111" i="13"/>
  <c r="Q111" i="13"/>
  <c r="O111" i="13"/>
  <c r="M111" i="13"/>
  <c r="P111" i="13" s="1"/>
  <c r="K111" i="13"/>
  <c r="J111" i="13"/>
  <c r="I111" i="13"/>
  <c r="H111" i="13"/>
  <c r="F111" i="13"/>
  <c r="Z110" i="13"/>
  <c r="V110" i="13"/>
  <c r="U110" i="13"/>
  <c r="T110" i="13"/>
  <c r="S110" i="13"/>
  <c r="R110" i="13"/>
  <c r="Q110" i="13"/>
  <c r="P110" i="13"/>
  <c r="O110" i="13"/>
  <c r="N110" i="13"/>
  <c r="M110" i="13"/>
  <c r="L110" i="13"/>
  <c r="K110" i="13"/>
  <c r="J110" i="13"/>
  <c r="I110" i="13"/>
  <c r="H110" i="13"/>
  <c r="F110" i="13"/>
  <c r="B110" i="13"/>
  <c r="Z109" i="13"/>
  <c r="U109" i="13"/>
  <c r="T109" i="13"/>
  <c r="S109" i="13"/>
  <c r="R109" i="13"/>
  <c r="Q109" i="13"/>
  <c r="P109" i="13"/>
  <c r="O109" i="13"/>
  <c r="M109" i="13"/>
  <c r="L109" i="13" s="1"/>
  <c r="K109" i="13"/>
  <c r="J109" i="13"/>
  <c r="I109" i="13"/>
  <c r="H109" i="13"/>
  <c r="F109" i="13"/>
  <c r="Z108" i="13"/>
  <c r="U108" i="13"/>
  <c r="T108" i="13"/>
  <c r="B108" i="13" s="1"/>
  <c r="S108" i="13"/>
  <c r="R108" i="13"/>
  <c r="Q108" i="13"/>
  <c r="O108" i="13"/>
  <c r="M108" i="13"/>
  <c r="P108" i="13" s="1"/>
  <c r="L108" i="13"/>
  <c r="K108" i="13"/>
  <c r="J108" i="13"/>
  <c r="I108" i="13"/>
  <c r="H108" i="13"/>
  <c r="F108" i="13"/>
  <c r="Z107" i="13"/>
  <c r="U107" i="13"/>
  <c r="T107" i="13"/>
  <c r="S107" i="13"/>
  <c r="R107" i="13"/>
  <c r="Q107" i="13"/>
  <c r="B107" i="13" s="1"/>
  <c r="P107" i="13"/>
  <c r="O107" i="13"/>
  <c r="M107" i="13"/>
  <c r="K107" i="13"/>
  <c r="J107" i="13"/>
  <c r="I107" i="13"/>
  <c r="H107" i="13"/>
  <c r="F107" i="13"/>
  <c r="Z106" i="13"/>
  <c r="U106" i="13"/>
  <c r="T106" i="13"/>
  <c r="S106" i="13"/>
  <c r="R106" i="13"/>
  <c r="B106" i="13" s="1"/>
  <c r="Q106" i="13"/>
  <c r="O106" i="13"/>
  <c r="M106" i="13"/>
  <c r="P106" i="13" s="1"/>
  <c r="K106" i="13"/>
  <c r="J106" i="13"/>
  <c r="I106" i="13"/>
  <c r="H106" i="13"/>
  <c r="F106" i="13"/>
  <c r="Z105" i="13"/>
  <c r="U105" i="13"/>
  <c r="T105" i="13"/>
  <c r="S105" i="13"/>
  <c r="R105" i="13"/>
  <c r="Q105" i="13"/>
  <c r="O105" i="13"/>
  <c r="M105" i="13"/>
  <c r="L105" i="13"/>
  <c r="K105" i="13"/>
  <c r="J105" i="13"/>
  <c r="I105" i="13"/>
  <c r="H105" i="13"/>
  <c r="F105" i="13"/>
  <c r="Z104" i="13"/>
  <c r="V104" i="13"/>
  <c r="Y104" i="13" s="1"/>
  <c r="U104" i="13"/>
  <c r="T104" i="13"/>
  <c r="S104" i="13"/>
  <c r="R104" i="13"/>
  <c r="Q104" i="13"/>
  <c r="O104" i="13"/>
  <c r="P104" i="13" s="1"/>
  <c r="N104" i="13"/>
  <c r="M104" i="13"/>
  <c r="L104" i="13"/>
  <c r="K104" i="13"/>
  <c r="J104" i="13"/>
  <c r="I104" i="13"/>
  <c r="H104" i="13"/>
  <c r="F104" i="13"/>
  <c r="B104" i="13"/>
  <c r="Z103" i="13"/>
  <c r="U103" i="13"/>
  <c r="T103" i="13"/>
  <c r="S103" i="13"/>
  <c r="B103" i="13" s="1"/>
  <c r="R103" i="13"/>
  <c r="Q103" i="13"/>
  <c r="O103" i="13"/>
  <c r="M103" i="13"/>
  <c r="P103" i="13" s="1"/>
  <c r="K103" i="13"/>
  <c r="J103" i="13"/>
  <c r="I103" i="13"/>
  <c r="H103" i="13"/>
  <c r="F103" i="13"/>
  <c r="Z102" i="13"/>
  <c r="V102" i="13"/>
  <c r="U102" i="13"/>
  <c r="T102" i="13"/>
  <c r="S102" i="13"/>
  <c r="R102" i="13"/>
  <c r="Q102" i="13"/>
  <c r="P102" i="13"/>
  <c r="O102" i="13"/>
  <c r="N102" i="13"/>
  <c r="M102" i="13"/>
  <c r="L102" i="13"/>
  <c r="K102" i="13"/>
  <c r="J102" i="13"/>
  <c r="I102" i="13"/>
  <c r="H102" i="13"/>
  <c r="F102" i="13"/>
  <c r="B102" i="13"/>
  <c r="Z101" i="13"/>
  <c r="U101" i="13"/>
  <c r="T101" i="13"/>
  <c r="S101" i="13"/>
  <c r="R101" i="13"/>
  <c r="Q101" i="13"/>
  <c r="P101" i="13"/>
  <c r="O101" i="13"/>
  <c r="M101" i="13"/>
  <c r="L101" i="13" s="1"/>
  <c r="K101" i="13"/>
  <c r="J101" i="13"/>
  <c r="I101" i="13"/>
  <c r="H101" i="13"/>
  <c r="F101" i="13"/>
  <c r="Z100" i="13"/>
  <c r="U100" i="13"/>
  <c r="T100" i="13"/>
  <c r="S100" i="13"/>
  <c r="R100" i="13"/>
  <c r="Q100" i="13"/>
  <c r="O100" i="13"/>
  <c r="M100" i="13"/>
  <c r="P100" i="13" s="1"/>
  <c r="K100" i="13"/>
  <c r="J100" i="13"/>
  <c r="I100" i="13"/>
  <c r="H100" i="13"/>
  <c r="F100" i="13"/>
  <c r="Z99" i="13"/>
  <c r="U99" i="13"/>
  <c r="T99" i="13"/>
  <c r="S99" i="13"/>
  <c r="R99" i="13"/>
  <c r="Q99" i="13"/>
  <c r="B99" i="13" s="1"/>
  <c r="P99" i="13"/>
  <c r="O99" i="13"/>
  <c r="M99" i="13"/>
  <c r="K99" i="13"/>
  <c r="J99" i="13"/>
  <c r="I99" i="13"/>
  <c r="H99" i="13"/>
  <c r="F99" i="13"/>
  <c r="Z98" i="13"/>
  <c r="U98" i="13"/>
  <c r="T98" i="13"/>
  <c r="S98" i="13"/>
  <c r="R98" i="13"/>
  <c r="B98" i="13" s="1"/>
  <c r="Q98" i="13"/>
  <c r="O98" i="13"/>
  <c r="M98" i="13"/>
  <c r="P98" i="13" s="1"/>
  <c r="K98" i="13"/>
  <c r="J98" i="13"/>
  <c r="I98" i="13"/>
  <c r="H98" i="13"/>
  <c r="F98" i="13"/>
  <c r="Z97" i="13"/>
  <c r="U97" i="13"/>
  <c r="T97" i="13"/>
  <c r="S97" i="13"/>
  <c r="R97" i="13"/>
  <c r="Q97" i="13"/>
  <c r="B97" i="13" s="1"/>
  <c r="O97" i="13"/>
  <c r="M97" i="13"/>
  <c r="L97" i="13"/>
  <c r="K97" i="13"/>
  <c r="J97" i="13"/>
  <c r="I97" i="13"/>
  <c r="H97" i="13"/>
  <c r="F97" i="13"/>
  <c r="Z96" i="13"/>
  <c r="V96" i="13"/>
  <c r="Y96" i="13" s="1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F96" i="13"/>
  <c r="B96" i="13"/>
  <c r="Z95" i="13"/>
  <c r="U95" i="13"/>
  <c r="T95" i="13"/>
  <c r="S95" i="13"/>
  <c r="R95" i="13"/>
  <c r="Q95" i="13"/>
  <c r="O95" i="13"/>
  <c r="M95" i="13"/>
  <c r="P95" i="13" s="1"/>
  <c r="K95" i="13"/>
  <c r="J95" i="13"/>
  <c r="I95" i="13"/>
  <c r="H95" i="13"/>
  <c r="F95" i="13"/>
  <c r="Z94" i="13"/>
  <c r="U94" i="13"/>
  <c r="T94" i="13"/>
  <c r="S94" i="13"/>
  <c r="R94" i="13"/>
  <c r="Q94" i="13"/>
  <c r="O94" i="13"/>
  <c r="M94" i="13"/>
  <c r="K94" i="13"/>
  <c r="J94" i="13"/>
  <c r="I94" i="13"/>
  <c r="H94" i="13"/>
  <c r="F94" i="13"/>
  <c r="B94" i="13"/>
  <c r="Z93" i="13"/>
  <c r="U93" i="13"/>
  <c r="T93" i="13"/>
  <c r="S93" i="13"/>
  <c r="R93" i="13"/>
  <c r="Q93" i="13"/>
  <c r="P93" i="13"/>
  <c r="O93" i="13"/>
  <c r="M93" i="13"/>
  <c r="L93" i="13" s="1"/>
  <c r="K93" i="13"/>
  <c r="J93" i="13"/>
  <c r="I93" i="13"/>
  <c r="H93" i="13"/>
  <c r="F93" i="13"/>
  <c r="Z92" i="13"/>
  <c r="U92" i="13"/>
  <c r="T92" i="13"/>
  <c r="S92" i="13"/>
  <c r="R92" i="13"/>
  <c r="Q92" i="13"/>
  <c r="O92" i="13"/>
  <c r="M92" i="13"/>
  <c r="K92" i="13"/>
  <c r="J92" i="13"/>
  <c r="I92" i="13"/>
  <c r="H92" i="13"/>
  <c r="F92" i="13"/>
  <c r="B92" i="13"/>
  <c r="Z91" i="13"/>
  <c r="U91" i="13"/>
  <c r="T91" i="13"/>
  <c r="S91" i="13"/>
  <c r="R91" i="13"/>
  <c r="Q91" i="13"/>
  <c r="O91" i="13"/>
  <c r="M91" i="13"/>
  <c r="L91" i="13"/>
  <c r="K91" i="13"/>
  <c r="J91" i="13"/>
  <c r="I91" i="13"/>
  <c r="H91" i="13"/>
  <c r="F91" i="13"/>
  <c r="Z90" i="13"/>
  <c r="U90" i="13"/>
  <c r="B90" i="13" s="1"/>
  <c r="T90" i="13"/>
  <c r="S90" i="13"/>
  <c r="R90" i="13"/>
  <c r="Q90" i="13"/>
  <c r="O90" i="13"/>
  <c r="M90" i="13"/>
  <c r="P90" i="13" s="1"/>
  <c r="L90" i="13"/>
  <c r="K90" i="13"/>
  <c r="J90" i="13"/>
  <c r="I90" i="13"/>
  <c r="H90" i="13"/>
  <c r="F90" i="13"/>
  <c r="Z89" i="13"/>
  <c r="U89" i="13"/>
  <c r="T89" i="13"/>
  <c r="S89" i="13"/>
  <c r="R89" i="13"/>
  <c r="Q89" i="13"/>
  <c r="O89" i="13"/>
  <c r="M89" i="13"/>
  <c r="L89" i="13" s="1"/>
  <c r="K89" i="13"/>
  <c r="J89" i="13"/>
  <c r="I89" i="13"/>
  <c r="H89" i="13"/>
  <c r="F89" i="13"/>
  <c r="Z88" i="13"/>
  <c r="U88" i="13"/>
  <c r="T88" i="13"/>
  <c r="V88" i="13" s="1"/>
  <c r="S88" i="13"/>
  <c r="R88" i="13"/>
  <c r="Q88" i="13"/>
  <c r="P88" i="13"/>
  <c r="O88" i="13"/>
  <c r="M88" i="13"/>
  <c r="L88" i="13"/>
  <c r="K88" i="13"/>
  <c r="J88" i="13"/>
  <c r="I88" i="13"/>
  <c r="H88" i="13"/>
  <c r="F88" i="13"/>
  <c r="Z87" i="13"/>
  <c r="U87" i="13"/>
  <c r="T87" i="13"/>
  <c r="S87" i="13"/>
  <c r="R87" i="13"/>
  <c r="Q87" i="13"/>
  <c r="B87" i="13" s="1"/>
  <c r="O87" i="13"/>
  <c r="M87" i="13"/>
  <c r="P87" i="13" s="1"/>
  <c r="K87" i="13"/>
  <c r="J87" i="13"/>
  <c r="I87" i="13"/>
  <c r="H87" i="13"/>
  <c r="F87" i="13"/>
  <c r="Z86" i="13"/>
  <c r="U86" i="13"/>
  <c r="B86" i="13" s="1"/>
  <c r="T86" i="13"/>
  <c r="S86" i="13"/>
  <c r="R86" i="13"/>
  <c r="Q86" i="13"/>
  <c r="O86" i="13"/>
  <c r="M86" i="13"/>
  <c r="K86" i="13"/>
  <c r="J86" i="13"/>
  <c r="I86" i="13"/>
  <c r="H86" i="13"/>
  <c r="F86" i="13"/>
  <c r="Z85" i="13"/>
  <c r="U85" i="13"/>
  <c r="T85" i="13"/>
  <c r="S85" i="13"/>
  <c r="R85" i="13"/>
  <c r="Q85" i="13"/>
  <c r="P85" i="13"/>
  <c r="O85" i="13"/>
  <c r="M85" i="13"/>
  <c r="L85" i="13" s="1"/>
  <c r="K85" i="13"/>
  <c r="J85" i="13"/>
  <c r="I85" i="13"/>
  <c r="H85" i="13"/>
  <c r="F85" i="13"/>
  <c r="Z84" i="13"/>
  <c r="U84" i="13"/>
  <c r="T84" i="13"/>
  <c r="S84" i="13"/>
  <c r="R84" i="13"/>
  <c r="Q84" i="13"/>
  <c r="O84" i="13"/>
  <c r="M84" i="13"/>
  <c r="K84" i="13"/>
  <c r="J84" i="13"/>
  <c r="I84" i="13"/>
  <c r="H84" i="13"/>
  <c r="F84" i="13"/>
  <c r="B84" i="13"/>
  <c r="Z83" i="13"/>
  <c r="U83" i="13"/>
  <c r="T83" i="13"/>
  <c r="S83" i="13"/>
  <c r="R83" i="13"/>
  <c r="Q83" i="13"/>
  <c r="O83" i="13"/>
  <c r="M83" i="13"/>
  <c r="L83" i="13"/>
  <c r="K83" i="13"/>
  <c r="J83" i="13"/>
  <c r="I83" i="13"/>
  <c r="H83" i="13"/>
  <c r="F83" i="13"/>
  <c r="Z82" i="13"/>
  <c r="U82" i="13"/>
  <c r="T82" i="13"/>
  <c r="S82" i="13"/>
  <c r="R82" i="13"/>
  <c r="Q82" i="13"/>
  <c r="O82" i="13"/>
  <c r="M82" i="13"/>
  <c r="P82" i="13" s="1"/>
  <c r="K82" i="13"/>
  <c r="J82" i="13"/>
  <c r="I82" i="13"/>
  <c r="H82" i="13"/>
  <c r="F82" i="13"/>
  <c r="B82" i="13"/>
  <c r="Z81" i="13"/>
  <c r="U81" i="13"/>
  <c r="T81" i="13"/>
  <c r="S81" i="13"/>
  <c r="R81" i="13"/>
  <c r="Q81" i="13"/>
  <c r="B81" i="13" s="1"/>
  <c r="O81" i="13"/>
  <c r="M81" i="13"/>
  <c r="L81" i="13" s="1"/>
  <c r="K81" i="13"/>
  <c r="J81" i="13"/>
  <c r="I81" i="13"/>
  <c r="H81" i="13"/>
  <c r="F81" i="13"/>
  <c r="Z80" i="13"/>
  <c r="V80" i="13"/>
  <c r="U80" i="13"/>
  <c r="T80" i="13"/>
  <c r="S80" i="13"/>
  <c r="R80" i="13"/>
  <c r="Q80" i="13"/>
  <c r="P80" i="13"/>
  <c r="O80" i="13"/>
  <c r="N80" i="13"/>
  <c r="M80" i="13"/>
  <c r="L80" i="13"/>
  <c r="K80" i="13"/>
  <c r="J80" i="13"/>
  <c r="I80" i="13"/>
  <c r="H80" i="13"/>
  <c r="F80" i="13"/>
  <c r="B80" i="13"/>
  <c r="Z79" i="13"/>
  <c r="U79" i="13"/>
  <c r="T79" i="13"/>
  <c r="S79" i="13"/>
  <c r="R79" i="13"/>
  <c r="Q79" i="13"/>
  <c r="O79" i="13"/>
  <c r="M79" i="13"/>
  <c r="P79" i="13" s="1"/>
  <c r="K79" i="13"/>
  <c r="J79" i="13"/>
  <c r="I79" i="13"/>
  <c r="H79" i="13"/>
  <c r="F79" i="13"/>
  <c r="Z78" i="13"/>
  <c r="U78" i="13"/>
  <c r="B78" i="13" s="1"/>
  <c r="T78" i="13"/>
  <c r="S78" i="13"/>
  <c r="R78" i="13"/>
  <c r="Q78" i="13"/>
  <c r="O78" i="13"/>
  <c r="M78" i="13"/>
  <c r="K78" i="13"/>
  <c r="J78" i="13"/>
  <c r="I78" i="13"/>
  <c r="H78" i="13"/>
  <c r="F78" i="13"/>
  <c r="Z77" i="13"/>
  <c r="U77" i="13"/>
  <c r="T77" i="13"/>
  <c r="S77" i="13"/>
  <c r="R77" i="13"/>
  <c r="Q77" i="13"/>
  <c r="P77" i="13"/>
  <c r="O77" i="13"/>
  <c r="M77" i="13"/>
  <c r="L77" i="13" s="1"/>
  <c r="K77" i="13"/>
  <c r="J77" i="13"/>
  <c r="I77" i="13"/>
  <c r="H77" i="13"/>
  <c r="F77" i="13"/>
  <c r="Z76" i="13"/>
  <c r="U76" i="13"/>
  <c r="T76" i="13"/>
  <c r="S76" i="13"/>
  <c r="R76" i="13"/>
  <c r="Q76" i="13"/>
  <c r="O76" i="13"/>
  <c r="M76" i="13"/>
  <c r="K76" i="13"/>
  <c r="J76" i="13"/>
  <c r="I76" i="13"/>
  <c r="H76" i="13"/>
  <c r="F76" i="13"/>
  <c r="Z75" i="13"/>
  <c r="U75" i="13"/>
  <c r="T75" i="13"/>
  <c r="S75" i="13"/>
  <c r="R75" i="13"/>
  <c r="Q75" i="13"/>
  <c r="O75" i="13"/>
  <c r="M75" i="13"/>
  <c r="L75" i="13"/>
  <c r="K75" i="13"/>
  <c r="J75" i="13"/>
  <c r="I75" i="13"/>
  <c r="H75" i="13"/>
  <c r="F75" i="13"/>
  <c r="Z74" i="13"/>
  <c r="U74" i="13"/>
  <c r="T74" i="13"/>
  <c r="S74" i="13"/>
  <c r="R74" i="13"/>
  <c r="Q74" i="13"/>
  <c r="O74" i="13"/>
  <c r="M74" i="13"/>
  <c r="P74" i="13" s="1"/>
  <c r="L74" i="13"/>
  <c r="K74" i="13"/>
  <c r="J74" i="13"/>
  <c r="I74" i="13"/>
  <c r="H74" i="13"/>
  <c r="F74" i="13"/>
  <c r="B74" i="13"/>
  <c r="Z73" i="13"/>
  <c r="U73" i="13"/>
  <c r="T73" i="13"/>
  <c r="S73" i="13"/>
  <c r="R73" i="13"/>
  <c r="Q73" i="13"/>
  <c r="B73" i="13" s="1"/>
  <c r="O73" i="13"/>
  <c r="M73" i="13"/>
  <c r="L73" i="13" s="1"/>
  <c r="K73" i="13"/>
  <c r="J73" i="13"/>
  <c r="I73" i="13"/>
  <c r="H73" i="13"/>
  <c r="F73" i="13"/>
  <c r="Z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F72" i="13"/>
  <c r="B72" i="13"/>
  <c r="Z71" i="13"/>
  <c r="U71" i="13"/>
  <c r="T71" i="13"/>
  <c r="S71" i="13"/>
  <c r="R71" i="13"/>
  <c r="Q71" i="13"/>
  <c r="O71" i="13"/>
  <c r="M71" i="13"/>
  <c r="P71" i="13" s="1"/>
  <c r="K71" i="13"/>
  <c r="J71" i="13"/>
  <c r="I71" i="13"/>
  <c r="H71" i="13"/>
  <c r="F71" i="13"/>
  <c r="Z70" i="13"/>
  <c r="U70" i="13"/>
  <c r="T70" i="13"/>
  <c r="S70" i="13"/>
  <c r="R70" i="13"/>
  <c r="Q70" i="13"/>
  <c r="O70" i="13"/>
  <c r="M70" i="13"/>
  <c r="K70" i="13"/>
  <c r="J70" i="13"/>
  <c r="I70" i="13"/>
  <c r="H70" i="13"/>
  <c r="F70" i="13"/>
  <c r="B70" i="13"/>
  <c r="Z69" i="13"/>
  <c r="U69" i="13"/>
  <c r="T69" i="13"/>
  <c r="S69" i="13"/>
  <c r="R69" i="13"/>
  <c r="Q69" i="13"/>
  <c r="P69" i="13"/>
  <c r="O69" i="13"/>
  <c r="M69" i="13"/>
  <c r="L69" i="13" s="1"/>
  <c r="K69" i="13"/>
  <c r="J69" i="13"/>
  <c r="I69" i="13"/>
  <c r="H69" i="13"/>
  <c r="F69" i="13"/>
  <c r="Z68" i="13"/>
  <c r="U68" i="13"/>
  <c r="B68" i="13" s="1"/>
  <c r="T68" i="13"/>
  <c r="S68" i="13"/>
  <c r="R68" i="13"/>
  <c r="Q68" i="13"/>
  <c r="O68" i="13"/>
  <c r="M68" i="13"/>
  <c r="K68" i="13"/>
  <c r="J68" i="13"/>
  <c r="I68" i="13"/>
  <c r="H68" i="13"/>
  <c r="F68" i="13"/>
  <c r="Z67" i="13"/>
  <c r="U67" i="13"/>
  <c r="T67" i="13"/>
  <c r="S67" i="13"/>
  <c r="R67" i="13"/>
  <c r="Q67" i="13"/>
  <c r="B67" i="13" s="1"/>
  <c r="O67" i="13"/>
  <c r="M67" i="13"/>
  <c r="L67" i="13"/>
  <c r="K67" i="13"/>
  <c r="J67" i="13"/>
  <c r="I67" i="13"/>
  <c r="H67" i="13"/>
  <c r="F67" i="13"/>
  <c r="Z66" i="13"/>
  <c r="U66" i="13"/>
  <c r="T66" i="13"/>
  <c r="B66" i="13" s="1"/>
  <c r="S66" i="13"/>
  <c r="R66" i="13"/>
  <c r="Q66" i="13"/>
  <c r="O66" i="13"/>
  <c r="M66" i="13"/>
  <c r="P66" i="13" s="1"/>
  <c r="L66" i="13"/>
  <c r="K66" i="13"/>
  <c r="J66" i="13"/>
  <c r="I66" i="13"/>
  <c r="H66" i="13"/>
  <c r="F66" i="13"/>
  <c r="Z65" i="13"/>
  <c r="U65" i="13"/>
  <c r="T65" i="13"/>
  <c r="S65" i="13"/>
  <c r="R65" i="13"/>
  <c r="Q65" i="13"/>
  <c r="B65" i="13" s="1"/>
  <c r="O65" i="13"/>
  <c r="M65" i="13"/>
  <c r="L65" i="13" s="1"/>
  <c r="K65" i="13"/>
  <c r="J65" i="13"/>
  <c r="I65" i="13"/>
  <c r="H65" i="13"/>
  <c r="F65" i="13"/>
  <c r="Z64" i="13"/>
  <c r="V64" i="13"/>
  <c r="U64" i="13"/>
  <c r="T64" i="13"/>
  <c r="S64" i="13"/>
  <c r="R64" i="13"/>
  <c r="Q64" i="13"/>
  <c r="P64" i="13"/>
  <c r="O64" i="13"/>
  <c r="N64" i="13"/>
  <c r="M64" i="13"/>
  <c r="L64" i="13"/>
  <c r="K64" i="13"/>
  <c r="J64" i="13"/>
  <c r="I64" i="13"/>
  <c r="H64" i="13"/>
  <c r="F64" i="13"/>
  <c r="B64" i="13"/>
  <c r="Z63" i="13"/>
  <c r="U63" i="13"/>
  <c r="T63" i="13"/>
  <c r="S63" i="13"/>
  <c r="R63" i="13"/>
  <c r="Q63" i="13"/>
  <c r="B63" i="13" s="1"/>
  <c r="O63" i="13"/>
  <c r="M63" i="13"/>
  <c r="P63" i="13" s="1"/>
  <c r="K63" i="13"/>
  <c r="J63" i="13"/>
  <c r="I63" i="13"/>
  <c r="H63" i="13"/>
  <c r="F63" i="13"/>
  <c r="Z62" i="13"/>
  <c r="U62" i="13"/>
  <c r="T62" i="13"/>
  <c r="S62" i="13"/>
  <c r="R62" i="13"/>
  <c r="Q62" i="13"/>
  <c r="O62" i="13"/>
  <c r="M62" i="13"/>
  <c r="K62" i="13"/>
  <c r="J62" i="13"/>
  <c r="I62" i="13"/>
  <c r="H62" i="13"/>
  <c r="F62" i="13"/>
  <c r="B62" i="13"/>
  <c r="Z61" i="13"/>
  <c r="U61" i="13"/>
  <c r="T61" i="13"/>
  <c r="S61" i="13"/>
  <c r="R61" i="13"/>
  <c r="Q61" i="13"/>
  <c r="P61" i="13"/>
  <c r="O61" i="13"/>
  <c r="M61" i="13"/>
  <c r="L61" i="13" s="1"/>
  <c r="K61" i="13"/>
  <c r="J61" i="13"/>
  <c r="I61" i="13"/>
  <c r="H61" i="13"/>
  <c r="F61" i="13"/>
  <c r="Z60" i="13"/>
  <c r="U60" i="13"/>
  <c r="T60" i="13"/>
  <c r="S60" i="13"/>
  <c r="R60" i="13"/>
  <c r="Q60" i="13"/>
  <c r="O60" i="13"/>
  <c r="M60" i="13"/>
  <c r="K60" i="13"/>
  <c r="J60" i="13"/>
  <c r="I60" i="13"/>
  <c r="H60" i="13"/>
  <c r="F60" i="13"/>
  <c r="B60" i="13"/>
  <c r="Z59" i="13"/>
  <c r="U59" i="13"/>
  <c r="T59" i="13"/>
  <c r="S59" i="13"/>
  <c r="R59" i="13"/>
  <c r="Q59" i="13"/>
  <c r="O59" i="13"/>
  <c r="M59" i="13"/>
  <c r="L59" i="13"/>
  <c r="K59" i="13"/>
  <c r="J59" i="13"/>
  <c r="I59" i="13"/>
  <c r="H59" i="13"/>
  <c r="F59" i="13"/>
  <c r="Z58" i="13"/>
  <c r="U58" i="13"/>
  <c r="T58" i="13"/>
  <c r="B58" i="13" s="1"/>
  <c r="S58" i="13"/>
  <c r="R58" i="13"/>
  <c r="Q58" i="13"/>
  <c r="O58" i="13"/>
  <c r="M58" i="13"/>
  <c r="P58" i="13" s="1"/>
  <c r="L58" i="13"/>
  <c r="K58" i="13"/>
  <c r="J58" i="13"/>
  <c r="I58" i="13"/>
  <c r="H58" i="13"/>
  <c r="F58" i="13"/>
  <c r="Z57" i="13"/>
  <c r="U57" i="13"/>
  <c r="T57" i="13"/>
  <c r="S57" i="13"/>
  <c r="R57" i="13"/>
  <c r="Q57" i="13"/>
  <c r="O57" i="13"/>
  <c r="M57" i="13"/>
  <c r="L57" i="13" s="1"/>
  <c r="K57" i="13"/>
  <c r="J57" i="13"/>
  <c r="I57" i="13"/>
  <c r="H57" i="13"/>
  <c r="F57" i="13"/>
  <c r="Z56" i="13"/>
  <c r="U56" i="13"/>
  <c r="T56" i="13"/>
  <c r="V56" i="13" s="1"/>
  <c r="S56" i="13"/>
  <c r="R56" i="13"/>
  <c r="Q56" i="13"/>
  <c r="P56" i="13"/>
  <c r="O56" i="13"/>
  <c r="M56" i="13"/>
  <c r="L56" i="13"/>
  <c r="K56" i="13"/>
  <c r="J56" i="13"/>
  <c r="I56" i="13"/>
  <c r="H56" i="13"/>
  <c r="F56" i="13"/>
  <c r="Z55" i="13"/>
  <c r="U55" i="13"/>
  <c r="T55" i="13"/>
  <c r="S55" i="13"/>
  <c r="R55" i="13"/>
  <c r="Q55" i="13"/>
  <c r="O55" i="13"/>
  <c r="M55" i="13"/>
  <c r="P55" i="13" s="1"/>
  <c r="K55" i="13"/>
  <c r="J55" i="13"/>
  <c r="I55" i="13"/>
  <c r="H55" i="13"/>
  <c r="F55" i="13"/>
  <c r="Z54" i="13"/>
  <c r="U54" i="13"/>
  <c r="B54" i="13" s="1"/>
  <c r="T54" i="13"/>
  <c r="S54" i="13"/>
  <c r="R54" i="13"/>
  <c r="Q54" i="13"/>
  <c r="O54" i="13"/>
  <c r="M54" i="13"/>
  <c r="K54" i="13"/>
  <c r="J54" i="13"/>
  <c r="I54" i="13"/>
  <c r="H54" i="13"/>
  <c r="F54" i="13"/>
  <c r="Z53" i="13"/>
  <c r="U53" i="13"/>
  <c r="T53" i="13"/>
  <c r="S53" i="13"/>
  <c r="R53" i="13"/>
  <c r="Q53" i="13"/>
  <c r="P53" i="13"/>
  <c r="O53" i="13"/>
  <c r="M53" i="13"/>
  <c r="L53" i="13" s="1"/>
  <c r="K53" i="13"/>
  <c r="J53" i="13"/>
  <c r="I53" i="13"/>
  <c r="H53" i="13"/>
  <c r="F53" i="13"/>
  <c r="Z52" i="13"/>
  <c r="U52" i="13"/>
  <c r="T52" i="13"/>
  <c r="S52" i="13"/>
  <c r="R52" i="13"/>
  <c r="Q52" i="13"/>
  <c r="O52" i="13"/>
  <c r="M52" i="13"/>
  <c r="K52" i="13"/>
  <c r="J52" i="13"/>
  <c r="I52" i="13"/>
  <c r="H52" i="13"/>
  <c r="F52" i="13"/>
  <c r="B52" i="13"/>
  <c r="Z51" i="13"/>
  <c r="U51" i="13"/>
  <c r="T51" i="13"/>
  <c r="S51" i="13"/>
  <c r="R51" i="13"/>
  <c r="Q51" i="13"/>
  <c r="O51" i="13"/>
  <c r="M51" i="13"/>
  <c r="L51" i="13"/>
  <c r="K51" i="13"/>
  <c r="J51" i="13"/>
  <c r="I51" i="13"/>
  <c r="H51" i="13"/>
  <c r="F51" i="13"/>
  <c r="Z50" i="13"/>
  <c r="U50" i="13"/>
  <c r="T50" i="13"/>
  <c r="S50" i="13"/>
  <c r="R50" i="13"/>
  <c r="Q50" i="13"/>
  <c r="O50" i="13"/>
  <c r="M50" i="13"/>
  <c r="P50" i="13" s="1"/>
  <c r="K50" i="13"/>
  <c r="J50" i="13"/>
  <c r="I50" i="13"/>
  <c r="H50" i="13"/>
  <c r="F50" i="13"/>
  <c r="B50" i="13"/>
  <c r="Z49" i="13"/>
  <c r="U49" i="13"/>
  <c r="T49" i="13"/>
  <c r="S49" i="13"/>
  <c r="R49" i="13"/>
  <c r="Q49" i="13"/>
  <c r="O49" i="13"/>
  <c r="M49" i="13"/>
  <c r="L49" i="13" s="1"/>
  <c r="K49" i="13"/>
  <c r="J49" i="13"/>
  <c r="I49" i="13"/>
  <c r="H49" i="13"/>
  <c r="F49" i="13"/>
  <c r="Z48" i="13"/>
  <c r="V48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F48" i="13"/>
  <c r="B48" i="13"/>
  <c r="Z47" i="13"/>
  <c r="U47" i="13"/>
  <c r="T47" i="13"/>
  <c r="S47" i="13"/>
  <c r="R47" i="13"/>
  <c r="Q47" i="13"/>
  <c r="O47" i="13"/>
  <c r="M47" i="13"/>
  <c r="P47" i="13" s="1"/>
  <c r="K47" i="13"/>
  <c r="J47" i="13"/>
  <c r="I47" i="13"/>
  <c r="H47" i="13"/>
  <c r="F47" i="13"/>
  <c r="Z46" i="13"/>
  <c r="U46" i="13"/>
  <c r="T46" i="13"/>
  <c r="S46" i="13"/>
  <c r="R46" i="13"/>
  <c r="Q46" i="13"/>
  <c r="B46" i="13" s="1"/>
  <c r="O46" i="13"/>
  <c r="M46" i="13"/>
  <c r="K46" i="13"/>
  <c r="J46" i="13"/>
  <c r="I46" i="13"/>
  <c r="H46" i="13"/>
  <c r="F46" i="13"/>
  <c r="Z45" i="13"/>
  <c r="V45" i="13"/>
  <c r="U45" i="13"/>
  <c r="T45" i="13"/>
  <c r="S45" i="13"/>
  <c r="R45" i="13"/>
  <c r="Q45" i="13"/>
  <c r="P45" i="13"/>
  <c r="O45" i="13"/>
  <c r="N45" i="13"/>
  <c r="M45" i="13"/>
  <c r="L45" i="13" s="1"/>
  <c r="K45" i="13"/>
  <c r="J45" i="13"/>
  <c r="I45" i="13"/>
  <c r="H45" i="13"/>
  <c r="F45" i="13"/>
  <c r="Z44" i="13"/>
  <c r="U44" i="13"/>
  <c r="T44" i="13"/>
  <c r="S44" i="13"/>
  <c r="R44" i="13"/>
  <c r="Q44" i="13"/>
  <c r="O44" i="13"/>
  <c r="M44" i="13"/>
  <c r="K44" i="13"/>
  <c r="J44" i="13"/>
  <c r="I44" i="13"/>
  <c r="H44" i="13"/>
  <c r="F44" i="13"/>
  <c r="B44" i="13"/>
  <c r="Z43" i="13"/>
  <c r="U43" i="13"/>
  <c r="T43" i="13"/>
  <c r="S43" i="13"/>
  <c r="R43" i="13"/>
  <c r="Q43" i="13"/>
  <c r="O43" i="13"/>
  <c r="M43" i="13"/>
  <c r="L43" i="13"/>
  <c r="K43" i="13"/>
  <c r="J43" i="13"/>
  <c r="I43" i="13"/>
  <c r="H43" i="13"/>
  <c r="F43" i="13"/>
  <c r="Z42" i="13"/>
  <c r="V42" i="13"/>
  <c r="U42" i="13"/>
  <c r="T42" i="13"/>
  <c r="S42" i="13"/>
  <c r="R42" i="13"/>
  <c r="Q42" i="13"/>
  <c r="O42" i="13"/>
  <c r="N42" i="13"/>
  <c r="M42" i="13"/>
  <c r="P42" i="13" s="1"/>
  <c r="L42" i="13"/>
  <c r="K42" i="13"/>
  <c r="J42" i="13"/>
  <c r="I42" i="13"/>
  <c r="H42" i="13"/>
  <c r="F42" i="13"/>
  <c r="B42" i="13"/>
  <c r="Z41" i="13"/>
  <c r="U41" i="13"/>
  <c r="T41" i="13"/>
  <c r="S41" i="13"/>
  <c r="R41" i="13"/>
  <c r="Q41" i="13"/>
  <c r="O41" i="13"/>
  <c r="M41" i="13"/>
  <c r="L41" i="13" s="1"/>
  <c r="K41" i="13"/>
  <c r="J41" i="13"/>
  <c r="I41" i="13"/>
  <c r="H41" i="13"/>
  <c r="F41" i="13"/>
  <c r="Z40" i="13"/>
  <c r="U40" i="13"/>
  <c r="T40" i="13"/>
  <c r="V40" i="13" s="1"/>
  <c r="S40" i="13"/>
  <c r="R40" i="13"/>
  <c r="Q40" i="13"/>
  <c r="P40" i="13"/>
  <c r="O40" i="13"/>
  <c r="M40" i="13"/>
  <c r="L40" i="13"/>
  <c r="K40" i="13"/>
  <c r="J40" i="13"/>
  <c r="I40" i="13"/>
  <c r="H40" i="13"/>
  <c r="F40" i="13"/>
  <c r="Z39" i="13"/>
  <c r="U39" i="13"/>
  <c r="T39" i="13"/>
  <c r="S39" i="13"/>
  <c r="R39" i="13"/>
  <c r="Q39" i="13"/>
  <c r="O39" i="13"/>
  <c r="M39" i="13"/>
  <c r="K39" i="13"/>
  <c r="J39" i="13"/>
  <c r="I39" i="13"/>
  <c r="H39" i="13"/>
  <c r="F39" i="13"/>
  <c r="Z38" i="13"/>
  <c r="U38" i="13"/>
  <c r="T38" i="13"/>
  <c r="S38" i="13"/>
  <c r="R38" i="13"/>
  <c r="Q38" i="13"/>
  <c r="B38" i="13" s="1"/>
  <c r="O38" i="13"/>
  <c r="M38" i="13"/>
  <c r="K38" i="13"/>
  <c r="J38" i="13"/>
  <c r="I38" i="13"/>
  <c r="H38" i="13"/>
  <c r="F38" i="13"/>
  <c r="Z37" i="13"/>
  <c r="U37" i="13"/>
  <c r="T37" i="13"/>
  <c r="S37" i="13"/>
  <c r="R37" i="13"/>
  <c r="V37" i="13" s="1"/>
  <c r="Q37" i="13"/>
  <c r="P37" i="13"/>
  <c r="O37" i="13"/>
  <c r="M37" i="13"/>
  <c r="L37" i="13"/>
  <c r="K37" i="13"/>
  <c r="J37" i="13"/>
  <c r="I37" i="13"/>
  <c r="H37" i="13"/>
  <c r="F37" i="13"/>
  <c r="Z36" i="13"/>
  <c r="U36" i="13"/>
  <c r="T36" i="13"/>
  <c r="S36" i="13"/>
  <c r="R36" i="13"/>
  <c r="Q36" i="13"/>
  <c r="O36" i="13"/>
  <c r="M36" i="13"/>
  <c r="K36" i="13"/>
  <c r="J36" i="13"/>
  <c r="I36" i="13"/>
  <c r="H36" i="13"/>
  <c r="F36" i="13"/>
  <c r="Z35" i="13"/>
  <c r="V35" i="13"/>
  <c r="U35" i="13"/>
  <c r="T35" i="13"/>
  <c r="S35" i="13"/>
  <c r="R35" i="13"/>
  <c r="Q35" i="13"/>
  <c r="O35" i="13"/>
  <c r="N35" i="13"/>
  <c r="M35" i="13"/>
  <c r="P35" i="13" s="1"/>
  <c r="L35" i="13"/>
  <c r="K35" i="13"/>
  <c r="J35" i="13"/>
  <c r="I35" i="13"/>
  <c r="H35" i="13"/>
  <c r="F35" i="13"/>
  <c r="B35" i="13"/>
  <c r="Z34" i="13"/>
  <c r="U34" i="13"/>
  <c r="T34" i="13"/>
  <c r="S34" i="13"/>
  <c r="R34" i="13"/>
  <c r="Q34" i="13"/>
  <c r="B34" i="13" s="1"/>
  <c r="O34" i="13"/>
  <c r="M34" i="13"/>
  <c r="K34" i="13"/>
  <c r="J34" i="13"/>
  <c r="I34" i="13"/>
  <c r="H34" i="13"/>
  <c r="F34" i="13"/>
  <c r="Z33" i="13"/>
  <c r="V33" i="13"/>
  <c r="U33" i="13"/>
  <c r="T33" i="13"/>
  <c r="S33" i="13"/>
  <c r="R33" i="13"/>
  <c r="Q33" i="13"/>
  <c r="O33" i="13"/>
  <c r="P33" i="13" s="1"/>
  <c r="N33" i="13"/>
  <c r="M33" i="13"/>
  <c r="L33" i="13"/>
  <c r="K33" i="13"/>
  <c r="J33" i="13"/>
  <c r="I33" i="13"/>
  <c r="H33" i="13"/>
  <c r="F33" i="13"/>
  <c r="B33" i="13"/>
  <c r="Z32" i="13"/>
  <c r="U32" i="13"/>
  <c r="T32" i="13"/>
  <c r="S32" i="13"/>
  <c r="R32" i="13"/>
  <c r="Q32" i="13"/>
  <c r="O32" i="13"/>
  <c r="M32" i="13"/>
  <c r="L32" i="13" s="1"/>
  <c r="K32" i="13"/>
  <c r="J32" i="13"/>
  <c r="I32" i="13"/>
  <c r="H32" i="13"/>
  <c r="F32" i="13"/>
  <c r="Z31" i="13"/>
  <c r="U31" i="13"/>
  <c r="T31" i="13"/>
  <c r="S31" i="13"/>
  <c r="R31" i="13"/>
  <c r="Q31" i="13"/>
  <c r="V31" i="13" s="1"/>
  <c r="P31" i="13"/>
  <c r="O31" i="13"/>
  <c r="M31" i="13"/>
  <c r="L31" i="13"/>
  <c r="K31" i="13"/>
  <c r="J31" i="13"/>
  <c r="I31" i="13"/>
  <c r="H31" i="13"/>
  <c r="F31" i="13"/>
  <c r="Z30" i="13"/>
  <c r="U30" i="13"/>
  <c r="T30" i="13"/>
  <c r="S30" i="13"/>
  <c r="R30" i="13"/>
  <c r="Q30" i="13"/>
  <c r="B30" i="13" s="1"/>
  <c r="O30" i="13"/>
  <c r="M30" i="13"/>
  <c r="K30" i="13"/>
  <c r="J30" i="13"/>
  <c r="I30" i="13"/>
  <c r="H30" i="13"/>
  <c r="F30" i="13"/>
  <c r="Z29" i="13"/>
  <c r="U29" i="13"/>
  <c r="T29" i="13"/>
  <c r="S29" i="13"/>
  <c r="R29" i="13"/>
  <c r="V29" i="13" s="1"/>
  <c r="Q29" i="13"/>
  <c r="P29" i="13"/>
  <c r="O29" i="13"/>
  <c r="M29" i="13"/>
  <c r="L29" i="13"/>
  <c r="K29" i="13"/>
  <c r="J29" i="13"/>
  <c r="I29" i="13"/>
  <c r="H29" i="13"/>
  <c r="F29" i="13"/>
  <c r="Z28" i="13"/>
  <c r="U28" i="13"/>
  <c r="T28" i="13"/>
  <c r="S28" i="13"/>
  <c r="R28" i="13"/>
  <c r="Q28" i="13"/>
  <c r="O28" i="13"/>
  <c r="M28" i="13"/>
  <c r="K28" i="13"/>
  <c r="J28" i="13"/>
  <c r="I28" i="13"/>
  <c r="H28" i="13"/>
  <c r="F28" i="13"/>
  <c r="Z27" i="13"/>
  <c r="V27" i="13"/>
  <c r="U27" i="13"/>
  <c r="T27" i="13"/>
  <c r="S27" i="13"/>
  <c r="R27" i="13"/>
  <c r="Q27" i="13"/>
  <c r="O27" i="13"/>
  <c r="N27" i="13"/>
  <c r="M27" i="13"/>
  <c r="P27" i="13" s="1"/>
  <c r="L27" i="13"/>
  <c r="K27" i="13"/>
  <c r="J27" i="13"/>
  <c r="I27" i="13"/>
  <c r="H27" i="13"/>
  <c r="F27" i="13"/>
  <c r="B27" i="13"/>
  <c r="Z26" i="13"/>
  <c r="U26" i="13"/>
  <c r="T26" i="13"/>
  <c r="S26" i="13"/>
  <c r="R26" i="13"/>
  <c r="Q26" i="13"/>
  <c r="B26" i="13" s="1"/>
  <c r="O26" i="13"/>
  <c r="M26" i="13"/>
  <c r="K26" i="13"/>
  <c r="J26" i="13"/>
  <c r="I26" i="13"/>
  <c r="H26" i="13"/>
  <c r="F26" i="13"/>
  <c r="Z25" i="13"/>
  <c r="V25" i="13"/>
  <c r="U25" i="13"/>
  <c r="T25" i="13"/>
  <c r="S25" i="13"/>
  <c r="R25" i="13"/>
  <c r="Q25" i="13"/>
  <c r="O25" i="13"/>
  <c r="P25" i="13" s="1"/>
  <c r="N25" i="13"/>
  <c r="M25" i="13"/>
  <c r="L25" i="13"/>
  <c r="K25" i="13"/>
  <c r="J25" i="13"/>
  <c r="I25" i="13"/>
  <c r="H25" i="13"/>
  <c r="F25" i="13"/>
  <c r="B25" i="13"/>
  <c r="Z24" i="13"/>
  <c r="U24" i="13"/>
  <c r="T24" i="13"/>
  <c r="S24" i="13"/>
  <c r="R24" i="13"/>
  <c r="Q24" i="13"/>
  <c r="O24" i="13"/>
  <c r="M24" i="13"/>
  <c r="L24" i="13" s="1"/>
  <c r="K24" i="13"/>
  <c r="J24" i="13"/>
  <c r="I24" i="13"/>
  <c r="H24" i="13"/>
  <c r="F24" i="13"/>
  <c r="Z23" i="13"/>
  <c r="U23" i="13"/>
  <c r="T23" i="13"/>
  <c r="S23" i="13"/>
  <c r="R23" i="13"/>
  <c r="Q23" i="13"/>
  <c r="V23" i="13" s="1"/>
  <c r="P23" i="13"/>
  <c r="O23" i="13"/>
  <c r="M23" i="13"/>
  <c r="L23" i="13"/>
  <c r="K23" i="13"/>
  <c r="J23" i="13"/>
  <c r="I23" i="13"/>
  <c r="H23" i="13"/>
  <c r="F23" i="13"/>
  <c r="Z22" i="13"/>
  <c r="U22" i="13"/>
  <c r="T22" i="13"/>
  <c r="S22" i="13"/>
  <c r="R22" i="13"/>
  <c r="Q22" i="13"/>
  <c r="B22" i="13" s="1"/>
  <c r="O22" i="13"/>
  <c r="M22" i="13"/>
  <c r="K22" i="13"/>
  <c r="J22" i="13"/>
  <c r="I22" i="13"/>
  <c r="H22" i="13"/>
  <c r="F22" i="13"/>
  <c r="Z21" i="13"/>
  <c r="U21" i="13"/>
  <c r="T21" i="13"/>
  <c r="S21" i="13"/>
  <c r="R21" i="13"/>
  <c r="V21" i="13" s="1"/>
  <c r="Q21" i="13"/>
  <c r="P21" i="13"/>
  <c r="O21" i="13"/>
  <c r="M21" i="13"/>
  <c r="L21" i="13"/>
  <c r="K21" i="13"/>
  <c r="J21" i="13"/>
  <c r="I21" i="13"/>
  <c r="H21" i="13"/>
  <c r="F21" i="13"/>
  <c r="Z20" i="13"/>
  <c r="U20" i="13"/>
  <c r="T20" i="13"/>
  <c r="S20" i="13"/>
  <c r="R20" i="13"/>
  <c r="Q20" i="13"/>
  <c r="O20" i="13"/>
  <c r="M20" i="13"/>
  <c r="K20" i="13"/>
  <c r="J20" i="13"/>
  <c r="I20" i="13"/>
  <c r="H20" i="13"/>
  <c r="F20" i="13"/>
  <c r="Z19" i="13"/>
  <c r="V19" i="13"/>
  <c r="U19" i="13"/>
  <c r="T19" i="13"/>
  <c r="S19" i="13"/>
  <c r="R19" i="13"/>
  <c r="Q19" i="13"/>
  <c r="O19" i="13"/>
  <c r="N19" i="13"/>
  <c r="M19" i="13"/>
  <c r="P19" i="13" s="1"/>
  <c r="L19" i="13"/>
  <c r="K19" i="13"/>
  <c r="J19" i="13"/>
  <c r="I19" i="13"/>
  <c r="H19" i="13"/>
  <c r="F19" i="13"/>
  <c r="B19" i="13"/>
  <c r="Z18" i="13"/>
  <c r="U18" i="13"/>
  <c r="T18" i="13"/>
  <c r="S18" i="13"/>
  <c r="R18" i="13"/>
  <c r="Q18" i="13"/>
  <c r="B18" i="13" s="1"/>
  <c r="O18" i="13"/>
  <c r="M18" i="13"/>
  <c r="K18" i="13"/>
  <c r="J18" i="13"/>
  <c r="I18" i="13"/>
  <c r="H18" i="13"/>
  <c r="F18" i="13"/>
  <c r="Z17" i="13"/>
  <c r="V17" i="13"/>
  <c r="U17" i="13"/>
  <c r="T17" i="13"/>
  <c r="S17" i="13"/>
  <c r="R17" i="13"/>
  <c r="Q17" i="13"/>
  <c r="O17" i="13"/>
  <c r="P17" i="13" s="1"/>
  <c r="N17" i="13"/>
  <c r="M17" i="13"/>
  <c r="L17" i="13"/>
  <c r="K17" i="13"/>
  <c r="J17" i="13"/>
  <c r="I17" i="13"/>
  <c r="H17" i="13"/>
  <c r="F17" i="13"/>
  <c r="B17" i="13"/>
  <c r="Z16" i="13"/>
  <c r="U16" i="13"/>
  <c r="T16" i="13"/>
  <c r="S16" i="13"/>
  <c r="R16" i="13"/>
  <c r="Q16" i="13"/>
  <c r="O16" i="13"/>
  <c r="M16" i="13"/>
  <c r="L16" i="13" s="1"/>
  <c r="K16" i="13"/>
  <c r="J16" i="13"/>
  <c r="I16" i="13"/>
  <c r="H16" i="13"/>
  <c r="F16" i="13"/>
  <c r="Z15" i="13"/>
  <c r="U15" i="13"/>
  <c r="T15" i="13"/>
  <c r="S15" i="13"/>
  <c r="R15" i="13"/>
  <c r="Q15" i="13"/>
  <c r="V15" i="13" s="1"/>
  <c r="P15" i="13"/>
  <c r="O15" i="13"/>
  <c r="M15" i="13"/>
  <c r="L15" i="13"/>
  <c r="K15" i="13"/>
  <c r="J15" i="13"/>
  <c r="I15" i="13"/>
  <c r="H15" i="13"/>
  <c r="F15" i="13"/>
  <c r="Z14" i="13"/>
  <c r="U14" i="13"/>
  <c r="T14" i="13"/>
  <c r="S14" i="13"/>
  <c r="R14" i="13"/>
  <c r="Q14" i="13"/>
  <c r="B14" i="13" s="1"/>
  <c r="O14" i="13"/>
  <c r="M14" i="13"/>
  <c r="K14" i="13"/>
  <c r="J14" i="13"/>
  <c r="I14" i="13"/>
  <c r="H14" i="13"/>
  <c r="F14" i="13"/>
  <c r="Z13" i="13"/>
  <c r="U13" i="13"/>
  <c r="T13" i="13"/>
  <c r="S13" i="13"/>
  <c r="R13" i="13"/>
  <c r="V13" i="13" s="1"/>
  <c r="Q13" i="13"/>
  <c r="P13" i="13"/>
  <c r="O13" i="13"/>
  <c r="M13" i="13"/>
  <c r="L13" i="13"/>
  <c r="K13" i="13"/>
  <c r="J13" i="13"/>
  <c r="I13" i="13"/>
  <c r="H13" i="13"/>
  <c r="F13" i="13"/>
  <c r="Z12" i="13"/>
  <c r="U12" i="13"/>
  <c r="T12" i="13"/>
  <c r="S12" i="13"/>
  <c r="R12" i="13"/>
  <c r="Q12" i="13"/>
  <c r="O12" i="13"/>
  <c r="M12" i="13"/>
  <c r="K12" i="13"/>
  <c r="J12" i="13"/>
  <c r="I12" i="13"/>
  <c r="H12" i="13"/>
  <c r="F12" i="13"/>
  <c r="Z11" i="13"/>
  <c r="V11" i="13"/>
  <c r="U11" i="13"/>
  <c r="T11" i="13"/>
  <c r="S11" i="13"/>
  <c r="R11" i="13"/>
  <c r="Q11" i="13"/>
  <c r="O11" i="13"/>
  <c r="N11" i="13"/>
  <c r="M11" i="13"/>
  <c r="P11" i="13" s="1"/>
  <c r="L11" i="13"/>
  <c r="K11" i="13"/>
  <c r="J11" i="13"/>
  <c r="I11" i="13"/>
  <c r="H11" i="13"/>
  <c r="F11" i="13"/>
  <c r="B11" i="13"/>
  <c r="Z10" i="13"/>
  <c r="U10" i="13"/>
  <c r="T10" i="13"/>
  <c r="S10" i="13"/>
  <c r="R10" i="13"/>
  <c r="Q10" i="13"/>
  <c r="B10" i="13" s="1"/>
  <c r="O10" i="13"/>
  <c r="M10" i="13"/>
  <c r="K10" i="13"/>
  <c r="J10" i="13"/>
  <c r="I10" i="13"/>
  <c r="H10" i="13"/>
  <c r="F10" i="13"/>
  <c r="Z9" i="13"/>
  <c r="V9" i="13"/>
  <c r="U9" i="13"/>
  <c r="T9" i="13"/>
  <c r="S9" i="13"/>
  <c r="R9" i="13"/>
  <c r="Q9" i="13"/>
  <c r="O9" i="13"/>
  <c r="P9" i="13" s="1"/>
  <c r="N9" i="13"/>
  <c r="M9" i="13"/>
  <c r="L9" i="13"/>
  <c r="K9" i="13"/>
  <c r="J9" i="13"/>
  <c r="I9" i="13"/>
  <c r="H9" i="13"/>
  <c r="F9" i="13"/>
  <c r="B9" i="13"/>
  <c r="Z8" i="13"/>
  <c r="U8" i="13"/>
  <c r="T8" i="13"/>
  <c r="S8" i="13"/>
  <c r="R8" i="13"/>
  <c r="Q8" i="13"/>
  <c r="O8" i="13"/>
  <c r="M8" i="13"/>
  <c r="L8" i="13" s="1"/>
  <c r="K8" i="13"/>
  <c r="J8" i="13"/>
  <c r="I8" i="13"/>
  <c r="H8" i="13"/>
  <c r="F8" i="13"/>
  <c r="Z7" i="13"/>
  <c r="U7" i="13"/>
  <c r="T7" i="13"/>
  <c r="S7" i="13"/>
  <c r="R7" i="13"/>
  <c r="Q7" i="13"/>
  <c r="V7" i="13" s="1"/>
  <c r="P7" i="13"/>
  <c r="O7" i="13"/>
  <c r="M7" i="13"/>
  <c r="L7" i="13"/>
  <c r="K7" i="13"/>
  <c r="J7" i="13"/>
  <c r="I7" i="13"/>
  <c r="H7" i="13"/>
  <c r="F7" i="13"/>
  <c r="M4" i="13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K4" i="13"/>
  <c r="K3" i="13"/>
  <c r="I3" i="13"/>
  <c r="L4" i="13" s="1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R303" i="12"/>
  <c r="R302" i="12"/>
  <c r="R301" i="12"/>
  <c r="R300" i="12"/>
  <c r="R299" i="12"/>
  <c r="C273" i="11" s="1"/>
  <c r="R298" i="12"/>
  <c r="R297" i="12"/>
  <c r="R296" i="12"/>
  <c r="C302" i="11" s="1"/>
  <c r="R295" i="12"/>
  <c r="C283" i="11" s="1"/>
  <c r="R294" i="12"/>
  <c r="R293" i="12"/>
  <c r="R292" i="12"/>
  <c r="C286" i="11" s="1"/>
  <c r="R291" i="12"/>
  <c r="C295" i="11" s="1"/>
  <c r="R290" i="12"/>
  <c r="R289" i="12"/>
  <c r="C293" i="11" s="1"/>
  <c r="R288" i="12"/>
  <c r="C288" i="11" s="1"/>
  <c r="R287" i="12"/>
  <c r="C262" i="11" s="1"/>
  <c r="R286" i="12"/>
  <c r="R285" i="12"/>
  <c r="C282" i="11" s="1"/>
  <c r="R284" i="12"/>
  <c r="C292" i="11" s="1"/>
  <c r="R283" i="12"/>
  <c r="R282" i="12"/>
  <c r="R281" i="12"/>
  <c r="R280" i="12"/>
  <c r="R279" i="12"/>
  <c r="C266" i="11" s="1"/>
  <c r="R278" i="12"/>
  <c r="R277" i="12"/>
  <c r="R276" i="12"/>
  <c r="C258" i="11" s="1"/>
  <c r="R275" i="12"/>
  <c r="C214" i="11" s="1"/>
  <c r="R274" i="12"/>
  <c r="C224" i="11" s="1"/>
  <c r="R273" i="12"/>
  <c r="R272" i="12"/>
  <c r="C284" i="11" s="1"/>
  <c r="R271" i="12"/>
  <c r="C298" i="11" s="1"/>
  <c r="R270" i="12"/>
  <c r="R269" i="12"/>
  <c r="C276" i="11" s="1"/>
  <c r="R268" i="12"/>
  <c r="C268" i="11" s="1"/>
  <c r="R267" i="12"/>
  <c r="R266" i="12"/>
  <c r="R265" i="12"/>
  <c r="R264" i="12"/>
  <c r="C278" i="11" s="1"/>
  <c r="R263" i="12"/>
  <c r="C270" i="11" s="1"/>
  <c r="R262" i="12"/>
  <c r="R261" i="12"/>
  <c r="C248" i="11" s="1"/>
  <c r="R260" i="12"/>
  <c r="R259" i="12"/>
  <c r="R258" i="12"/>
  <c r="R257" i="12"/>
  <c r="C232" i="11" s="1"/>
  <c r="R256" i="12"/>
  <c r="C264" i="11" s="1"/>
  <c r="R255" i="12"/>
  <c r="C210" i="11" s="1"/>
  <c r="R254" i="12"/>
  <c r="R253" i="12"/>
  <c r="R252" i="12"/>
  <c r="R251" i="12"/>
  <c r="C260" i="11" s="1"/>
  <c r="R250" i="12"/>
  <c r="C254" i="11" s="1"/>
  <c r="R249" i="12"/>
  <c r="C234" i="11" s="1"/>
  <c r="R248" i="12"/>
  <c r="R247" i="12"/>
  <c r="C274" i="11" s="1"/>
  <c r="R246" i="12"/>
  <c r="R245" i="12"/>
  <c r="C242" i="11" s="1"/>
  <c r="R244" i="12"/>
  <c r="R243" i="12"/>
  <c r="R242" i="12"/>
  <c r="R241" i="12"/>
  <c r="R240" i="12"/>
  <c r="R239" i="12"/>
  <c r="R238" i="12"/>
  <c r="R237" i="12"/>
  <c r="R236" i="12"/>
  <c r="R235" i="12"/>
  <c r="C244" i="11" s="1"/>
  <c r="R234" i="12"/>
  <c r="R233" i="12"/>
  <c r="R232" i="12"/>
  <c r="R231" i="12"/>
  <c r="C200" i="11" s="1"/>
  <c r="R230" i="12"/>
  <c r="R229" i="12"/>
  <c r="R228" i="12"/>
  <c r="R227" i="12"/>
  <c r="C226" i="11" s="1"/>
  <c r="R226" i="12"/>
  <c r="C222" i="11" s="1"/>
  <c r="R225" i="12"/>
  <c r="R224" i="12"/>
  <c r="R223" i="12"/>
  <c r="C220" i="11" s="1"/>
  <c r="R222" i="12"/>
  <c r="R221" i="12"/>
  <c r="C196" i="11" s="1"/>
  <c r="R220" i="12"/>
  <c r="C216" i="11" s="1"/>
  <c r="R219" i="12"/>
  <c r="C208" i="11" s="1"/>
  <c r="R218" i="12"/>
  <c r="R217" i="12"/>
  <c r="C218" i="11" s="1"/>
  <c r="R216" i="12"/>
  <c r="R215" i="12"/>
  <c r="C236" i="11" s="1"/>
  <c r="R214" i="12"/>
  <c r="R213" i="12"/>
  <c r="R212" i="12"/>
  <c r="R211" i="12"/>
  <c r="R210" i="12"/>
  <c r="C240" i="11" s="1"/>
  <c r="R209" i="12"/>
  <c r="C190" i="11" s="1"/>
  <c r="R208" i="12"/>
  <c r="C204" i="11" s="1"/>
  <c r="R207" i="12"/>
  <c r="C202" i="11" s="1"/>
  <c r="R206" i="12"/>
  <c r="R205" i="12"/>
  <c r="R204" i="12"/>
  <c r="C228" i="11" s="1"/>
  <c r="R203" i="12"/>
  <c r="C209" i="11" s="1"/>
  <c r="R202" i="12"/>
  <c r="R201" i="12"/>
  <c r="C212" i="11" s="1"/>
  <c r="R200" i="12"/>
  <c r="R199" i="12"/>
  <c r="C256" i="11" s="1"/>
  <c r="R198" i="12"/>
  <c r="R197" i="12"/>
  <c r="C198" i="11" s="1"/>
  <c r="R196" i="12"/>
  <c r="R195" i="12"/>
  <c r="R194" i="12"/>
  <c r="C246" i="11" s="1"/>
  <c r="R193" i="12"/>
  <c r="R192" i="12"/>
  <c r="C206" i="11" s="1"/>
  <c r="R191" i="12"/>
  <c r="C192" i="11" s="1"/>
  <c r="R190" i="12"/>
  <c r="R189" i="12"/>
  <c r="R188" i="12"/>
  <c r="R187" i="12"/>
  <c r="R186" i="12"/>
  <c r="R185" i="12"/>
  <c r="R184" i="12"/>
  <c r="R183" i="12"/>
  <c r="R182" i="12"/>
  <c r="R181" i="12"/>
  <c r="R180" i="12"/>
  <c r="R179" i="12"/>
  <c r="R178" i="12"/>
  <c r="R177" i="12"/>
  <c r="R176" i="12"/>
  <c r="R175" i="12"/>
  <c r="R174" i="12"/>
  <c r="R173" i="12"/>
  <c r="R172" i="12"/>
  <c r="R171" i="12"/>
  <c r="R170" i="12"/>
  <c r="R169" i="12"/>
  <c r="R168" i="12"/>
  <c r="R167" i="12"/>
  <c r="R166" i="12"/>
  <c r="R165" i="12"/>
  <c r="R164" i="12"/>
  <c r="R163" i="12"/>
  <c r="C280" i="11" s="1"/>
  <c r="R162" i="12"/>
  <c r="R161" i="12"/>
  <c r="R160" i="12"/>
  <c r="R159" i="12"/>
  <c r="R158" i="12"/>
  <c r="R157" i="12"/>
  <c r="R156" i="12"/>
  <c r="R155" i="12"/>
  <c r="R154" i="12"/>
  <c r="R153" i="12"/>
  <c r="R152" i="12"/>
  <c r="R151" i="12"/>
  <c r="R150" i="12"/>
  <c r="R149" i="12"/>
  <c r="R148" i="12"/>
  <c r="R147" i="12"/>
  <c r="R146" i="12"/>
  <c r="R145" i="12"/>
  <c r="R144" i="12"/>
  <c r="R143" i="12"/>
  <c r="R142" i="12"/>
  <c r="R141" i="12"/>
  <c r="R140" i="12"/>
  <c r="R139" i="12"/>
  <c r="R138" i="12"/>
  <c r="R137" i="12"/>
  <c r="R136" i="12"/>
  <c r="R135" i="12"/>
  <c r="R134" i="12"/>
  <c r="R133" i="12"/>
  <c r="R132" i="12"/>
  <c r="R131" i="12"/>
  <c r="R130" i="12"/>
  <c r="R129" i="12"/>
  <c r="R128" i="12"/>
  <c r="R127" i="12"/>
  <c r="R126" i="12"/>
  <c r="R125" i="12"/>
  <c r="R124" i="12"/>
  <c r="R123" i="12"/>
  <c r="R122" i="12"/>
  <c r="R121" i="12"/>
  <c r="R120" i="12"/>
  <c r="R119" i="12"/>
  <c r="R118" i="12"/>
  <c r="R117" i="12"/>
  <c r="R116" i="12"/>
  <c r="R115" i="12"/>
  <c r="R114" i="12"/>
  <c r="R113" i="12"/>
  <c r="R112" i="12"/>
  <c r="R111" i="12"/>
  <c r="R110" i="12"/>
  <c r="R109" i="12"/>
  <c r="R108" i="12"/>
  <c r="R107" i="12"/>
  <c r="R106" i="12"/>
  <c r="R105" i="12"/>
  <c r="R104" i="12"/>
  <c r="R103" i="12"/>
  <c r="R102" i="12"/>
  <c r="R101" i="12"/>
  <c r="R100" i="12"/>
  <c r="R99" i="12"/>
  <c r="R98" i="12"/>
  <c r="R97" i="12"/>
  <c r="R96" i="12"/>
  <c r="R95" i="12"/>
  <c r="R94" i="12"/>
  <c r="R93" i="12"/>
  <c r="R92" i="12"/>
  <c r="R91" i="12"/>
  <c r="R90" i="12"/>
  <c r="R89" i="12"/>
  <c r="R88" i="12"/>
  <c r="R87" i="12"/>
  <c r="R86" i="12"/>
  <c r="R85" i="12"/>
  <c r="R84" i="12"/>
  <c r="R83" i="12"/>
  <c r="R82" i="12"/>
  <c r="R81" i="12"/>
  <c r="R80" i="12"/>
  <c r="R79" i="12"/>
  <c r="R78" i="12"/>
  <c r="R77" i="12"/>
  <c r="R76" i="12"/>
  <c r="R75" i="12"/>
  <c r="R74" i="12"/>
  <c r="R73" i="12"/>
  <c r="R72" i="12"/>
  <c r="R71" i="12"/>
  <c r="R70" i="12"/>
  <c r="R69" i="12"/>
  <c r="R68" i="12"/>
  <c r="R67" i="12"/>
  <c r="R66" i="12"/>
  <c r="R65" i="12"/>
  <c r="R64" i="12"/>
  <c r="R63" i="12"/>
  <c r="R62" i="12"/>
  <c r="R61" i="12"/>
  <c r="R60" i="12"/>
  <c r="R59" i="12"/>
  <c r="R58" i="12"/>
  <c r="R57" i="12"/>
  <c r="R56" i="12"/>
  <c r="R55" i="12"/>
  <c r="R54" i="12"/>
  <c r="R53" i="12"/>
  <c r="R52" i="12"/>
  <c r="R51" i="12"/>
  <c r="R50" i="12"/>
  <c r="R49" i="12"/>
  <c r="R48" i="12"/>
  <c r="R47" i="12"/>
  <c r="R46" i="12"/>
  <c r="R45" i="12"/>
  <c r="R44" i="12"/>
  <c r="R43" i="12"/>
  <c r="R42" i="12"/>
  <c r="R41" i="12"/>
  <c r="R40" i="12"/>
  <c r="R39" i="12"/>
  <c r="R38" i="12"/>
  <c r="R37" i="12"/>
  <c r="R36" i="12"/>
  <c r="R35" i="12"/>
  <c r="R34" i="12"/>
  <c r="R33" i="12"/>
  <c r="R32" i="12"/>
  <c r="R31" i="12"/>
  <c r="R30" i="12"/>
  <c r="R29" i="12"/>
  <c r="R28" i="12"/>
  <c r="R27" i="12"/>
  <c r="R26" i="12"/>
  <c r="R25" i="12"/>
  <c r="R24" i="12"/>
  <c r="R23" i="12"/>
  <c r="R22" i="12"/>
  <c r="R21" i="12"/>
  <c r="R20" i="12"/>
  <c r="R19" i="12"/>
  <c r="R18" i="12"/>
  <c r="R17" i="12"/>
  <c r="R16" i="12"/>
  <c r="R15" i="12"/>
  <c r="R14" i="12"/>
  <c r="R13" i="12"/>
  <c r="R12" i="12"/>
  <c r="R11" i="12"/>
  <c r="R10" i="12"/>
  <c r="R9" i="12"/>
  <c r="R8" i="12"/>
  <c r="R7" i="12"/>
  <c r="R6" i="12"/>
  <c r="R5" i="12"/>
  <c r="J303" i="11"/>
  <c r="I303" i="11"/>
  <c r="C303" i="11"/>
  <c r="B303" i="11"/>
  <c r="J302" i="11"/>
  <c r="I302" i="11"/>
  <c r="B302" i="11"/>
  <c r="J301" i="11"/>
  <c r="I301" i="11"/>
  <c r="C301" i="11"/>
  <c r="B301" i="11"/>
  <c r="J300" i="11"/>
  <c r="I300" i="11"/>
  <c r="C300" i="11"/>
  <c r="B300" i="11"/>
  <c r="J299" i="11"/>
  <c r="I299" i="11"/>
  <c r="C299" i="11"/>
  <c r="B299" i="11"/>
  <c r="J298" i="11"/>
  <c r="I298" i="11"/>
  <c r="B298" i="11"/>
  <c r="J297" i="11"/>
  <c r="I297" i="11"/>
  <c r="C297" i="11"/>
  <c r="B297" i="11"/>
  <c r="J296" i="11"/>
  <c r="I296" i="11"/>
  <c r="C296" i="11"/>
  <c r="B296" i="11"/>
  <c r="J295" i="11"/>
  <c r="I295" i="11"/>
  <c r="B295" i="11"/>
  <c r="J294" i="11"/>
  <c r="I294" i="11"/>
  <c r="C294" i="11"/>
  <c r="B294" i="11"/>
  <c r="J293" i="11"/>
  <c r="I293" i="11"/>
  <c r="B293" i="11"/>
  <c r="J292" i="11"/>
  <c r="I292" i="11"/>
  <c r="B292" i="11"/>
  <c r="J291" i="11"/>
  <c r="I291" i="11"/>
  <c r="C291" i="11"/>
  <c r="B291" i="11"/>
  <c r="J290" i="11"/>
  <c r="I290" i="11"/>
  <c r="C290" i="11"/>
  <c r="B290" i="11"/>
  <c r="J289" i="11"/>
  <c r="I289" i="11"/>
  <c r="C289" i="11"/>
  <c r="B289" i="11"/>
  <c r="J288" i="11"/>
  <c r="I288" i="11"/>
  <c r="B288" i="11"/>
  <c r="J287" i="11"/>
  <c r="I287" i="11"/>
  <c r="C287" i="11"/>
  <c r="B287" i="11"/>
  <c r="J286" i="11"/>
  <c r="I286" i="11"/>
  <c r="B286" i="11"/>
  <c r="J285" i="11"/>
  <c r="I285" i="11"/>
  <c r="C285" i="11"/>
  <c r="B285" i="11"/>
  <c r="J284" i="11"/>
  <c r="I284" i="11"/>
  <c r="B284" i="11"/>
  <c r="J283" i="11"/>
  <c r="I283" i="11"/>
  <c r="B283" i="11"/>
  <c r="J282" i="11"/>
  <c r="I282" i="11"/>
  <c r="B282" i="11"/>
  <c r="J281" i="11"/>
  <c r="I281" i="11"/>
  <c r="C281" i="11"/>
  <c r="B281" i="11"/>
  <c r="J280" i="11"/>
  <c r="I280" i="11"/>
  <c r="B280" i="11"/>
  <c r="J279" i="11"/>
  <c r="I279" i="11"/>
  <c r="C279" i="11"/>
  <c r="B279" i="11"/>
  <c r="J278" i="11"/>
  <c r="I278" i="11"/>
  <c r="B278" i="11"/>
  <c r="J277" i="11"/>
  <c r="I277" i="11"/>
  <c r="C277" i="11"/>
  <c r="B277" i="11"/>
  <c r="J276" i="11"/>
  <c r="I276" i="11"/>
  <c r="B276" i="11"/>
  <c r="J275" i="11"/>
  <c r="I275" i="11"/>
  <c r="C275" i="11"/>
  <c r="B275" i="11"/>
  <c r="J274" i="11"/>
  <c r="I274" i="11"/>
  <c r="B274" i="11"/>
  <c r="J273" i="11"/>
  <c r="I273" i="11"/>
  <c r="B273" i="11"/>
  <c r="J272" i="11"/>
  <c r="I272" i="11"/>
  <c r="C272" i="11"/>
  <c r="B272" i="11"/>
  <c r="J271" i="11"/>
  <c r="I271" i="11"/>
  <c r="C271" i="11"/>
  <c r="B271" i="11"/>
  <c r="J270" i="11"/>
  <c r="I270" i="11"/>
  <c r="B270" i="11"/>
  <c r="J269" i="11"/>
  <c r="I269" i="11"/>
  <c r="C269" i="11"/>
  <c r="B269" i="11"/>
  <c r="J268" i="11"/>
  <c r="I268" i="11"/>
  <c r="B268" i="11"/>
  <c r="J267" i="11"/>
  <c r="I267" i="11"/>
  <c r="C267" i="11"/>
  <c r="B267" i="11"/>
  <c r="J266" i="11"/>
  <c r="I266" i="11"/>
  <c r="B266" i="11"/>
  <c r="J265" i="11"/>
  <c r="I265" i="11"/>
  <c r="C265" i="11"/>
  <c r="B265" i="11"/>
  <c r="J264" i="11"/>
  <c r="I264" i="11"/>
  <c r="B264" i="11"/>
  <c r="J263" i="11"/>
  <c r="I263" i="11"/>
  <c r="C263" i="11"/>
  <c r="B263" i="11"/>
  <c r="J262" i="11"/>
  <c r="I262" i="11"/>
  <c r="B262" i="11"/>
  <c r="J261" i="11"/>
  <c r="I261" i="11"/>
  <c r="C261" i="11"/>
  <c r="B261" i="11"/>
  <c r="J260" i="11"/>
  <c r="I260" i="11"/>
  <c r="B260" i="11"/>
  <c r="J259" i="11"/>
  <c r="I259" i="11"/>
  <c r="C259" i="11"/>
  <c r="B259" i="11"/>
  <c r="J258" i="11"/>
  <c r="I258" i="11"/>
  <c r="B258" i="11"/>
  <c r="J257" i="11"/>
  <c r="I257" i="11"/>
  <c r="C257" i="11"/>
  <c r="B257" i="11"/>
  <c r="J256" i="11"/>
  <c r="I256" i="11"/>
  <c r="B256" i="11"/>
  <c r="J255" i="11"/>
  <c r="I255" i="11"/>
  <c r="C255" i="11"/>
  <c r="B255" i="11"/>
  <c r="J254" i="11"/>
  <c r="I254" i="11"/>
  <c r="B254" i="11"/>
  <c r="J253" i="11"/>
  <c r="I253" i="11"/>
  <c r="C253" i="11"/>
  <c r="B253" i="11"/>
  <c r="J252" i="11"/>
  <c r="I252" i="11"/>
  <c r="C252" i="11"/>
  <c r="B252" i="11"/>
  <c r="J251" i="11"/>
  <c r="I251" i="11"/>
  <c r="C251" i="11"/>
  <c r="B251" i="11"/>
  <c r="J250" i="11"/>
  <c r="I250" i="11"/>
  <c r="C250" i="11"/>
  <c r="B250" i="11"/>
  <c r="J249" i="11"/>
  <c r="I249" i="11"/>
  <c r="C249" i="11"/>
  <c r="B249" i="11"/>
  <c r="J248" i="11"/>
  <c r="I248" i="11"/>
  <c r="B248" i="11"/>
  <c r="J247" i="11"/>
  <c r="I247" i="11"/>
  <c r="C247" i="11"/>
  <c r="B247" i="11"/>
  <c r="J246" i="11"/>
  <c r="I246" i="11"/>
  <c r="B246" i="11"/>
  <c r="J245" i="11"/>
  <c r="Y289" i="13" s="1"/>
  <c r="I245" i="11"/>
  <c r="C245" i="11"/>
  <c r="B245" i="11"/>
  <c r="J244" i="11"/>
  <c r="I244" i="11"/>
  <c r="B244" i="11"/>
  <c r="J243" i="11"/>
  <c r="I243" i="11"/>
  <c r="C243" i="11"/>
  <c r="B243" i="11"/>
  <c r="J242" i="11"/>
  <c r="I242" i="11"/>
  <c r="B242" i="11"/>
  <c r="J241" i="11"/>
  <c r="I241" i="11"/>
  <c r="C241" i="11"/>
  <c r="B241" i="11"/>
  <c r="J240" i="11"/>
  <c r="I240" i="11"/>
  <c r="B240" i="11"/>
  <c r="J239" i="11"/>
  <c r="I239" i="11"/>
  <c r="C239" i="11"/>
  <c r="B239" i="11"/>
  <c r="J238" i="11"/>
  <c r="I238" i="11"/>
  <c r="C238" i="11"/>
  <c r="B238" i="11"/>
  <c r="J237" i="11"/>
  <c r="I237" i="11"/>
  <c r="C237" i="11"/>
  <c r="B237" i="11"/>
  <c r="J236" i="11"/>
  <c r="I236" i="11"/>
  <c r="B236" i="11"/>
  <c r="J235" i="11"/>
  <c r="I235" i="11"/>
  <c r="C235" i="11"/>
  <c r="B235" i="11"/>
  <c r="J234" i="11"/>
  <c r="I234" i="11"/>
  <c r="B234" i="11"/>
  <c r="J233" i="11"/>
  <c r="I233" i="11"/>
  <c r="C233" i="11"/>
  <c r="B233" i="11"/>
  <c r="J232" i="11"/>
  <c r="I232" i="11"/>
  <c r="B232" i="11"/>
  <c r="J231" i="11"/>
  <c r="I231" i="11"/>
  <c r="C231" i="11"/>
  <c r="B231" i="11"/>
  <c r="J230" i="11"/>
  <c r="I230" i="11"/>
  <c r="C230" i="11"/>
  <c r="B230" i="11"/>
  <c r="J229" i="11"/>
  <c r="I229" i="11"/>
  <c r="C229" i="11"/>
  <c r="B229" i="11"/>
  <c r="J228" i="11"/>
  <c r="I228" i="11"/>
  <c r="B228" i="11"/>
  <c r="J227" i="11"/>
  <c r="I227" i="11"/>
  <c r="C227" i="11"/>
  <c r="B227" i="11"/>
  <c r="J226" i="11"/>
  <c r="I226" i="11"/>
  <c r="B226" i="11"/>
  <c r="J225" i="11"/>
  <c r="I225" i="11"/>
  <c r="C225" i="11"/>
  <c r="B225" i="11"/>
  <c r="J224" i="11"/>
  <c r="I224" i="11"/>
  <c r="B224" i="11"/>
  <c r="J223" i="11"/>
  <c r="I223" i="11"/>
  <c r="C223" i="11"/>
  <c r="B223" i="11"/>
  <c r="J222" i="11"/>
  <c r="I222" i="11"/>
  <c r="B222" i="11"/>
  <c r="J221" i="11"/>
  <c r="I221" i="11"/>
  <c r="C221" i="11"/>
  <c r="B221" i="11"/>
  <c r="J220" i="11"/>
  <c r="I220" i="11"/>
  <c r="B220" i="11"/>
  <c r="J219" i="11"/>
  <c r="I219" i="11"/>
  <c r="C219" i="11"/>
  <c r="B219" i="11"/>
  <c r="J218" i="11"/>
  <c r="I218" i="11"/>
  <c r="B218" i="11"/>
  <c r="J217" i="11"/>
  <c r="I217" i="11"/>
  <c r="C217" i="11"/>
  <c r="B217" i="11"/>
  <c r="J216" i="11"/>
  <c r="I216" i="11"/>
  <c r="B216" i="11"/>
  <c r="J215" i="11"/>
  <c r="I215" i="11"/>
  <c r="C215" i="11"/>
  <c r="B215" i="11"/>
  <c r="J214" i="11"/>
  <c r="I214" i="11"/>
  <c r="B214" i="11"/>
  <c r="J213" i="11"/>
  <c r="I213" i="11"/>
  <c r="C213" i="11"/>
  <c r="B213" i="11"/>
  <c r="J212" i="11"/>
  <c r="I212" i="11"/>
  <c r="B212" i="11"/>
  <c r="J211" i="11"/>
  <c r="I211" i="11"/>
  <c r="C211" i="11"/>
  <c r="B211" i="11"/>
  <c r="J210" i="11"/>
  <c r="I210" i="11"/>
  <c r="B210" i="11"/>
  <c r="J209" i="11"/>
  <c r="I209" i="11"/>
  <c r="B209" i="11"/>
  <c r="J208" i="11"/>
  <c r="I208" i="11"/>
  <c r="B208" i="11"/>
  <c r="J207" i="11"/>
  <c r="I207" i="11"/>
  <c r="C207" i="11"/>
  <c r="B207" i="11"/>
  <c r="J206" i="11"/>
  <c r="I206" i="11"/>
  <c r="B206" i="11"/>
  <c r="J205" i="11"/>
  <c r="Y161" i="14" s="1"/>
  <c r="I205" i="11"/>
  <c r="C205" i="11"/>
  <c r="B205" i="11"/>
  <c r="J204" i="11"/>
  <c r="I204" i="11"/>
  <c r="B204" i="11"/>
  <c r="J203" i="11"/>
  <c r="I203" i="11"/>
  <c r="C203" i="11"/>
  <c r="B203" i="11"/>
  <c r="J202" i="11"/>
  <c r="I202" i="11"/>
  <c r="B202" i="11"/>
  <c r="J201" i="11"/>
  <c r="I201" i="11"/>
  <c r="C201" i="11"/>
  <c r="B201" i="11"/>
  <c r="J200" i="11"/>
  <c r="I200" i="11"/>
  <c r="B200" i="11"/>
  <c r="J199" i="11"/>
  <c r="I199" i="11"/>
  <c r="C199" i="11"/>
  <c r="B199" i="11"/>
  <c r="J198" i="11"/>
  <c r="I198" i="11"/>
  <c r="B198" i="11"/>
  <c r="J197" i="11"/>
  <c r="Y129" i="14" s="1"/>
  <c r="I197" i="11"/>
  <c r="C197" i="11"/>
  <c r="B197" i="11"/>
  <c r="J196" i="11"/>
  <c r="I196" i="11"/>
  <c r="B196" i="11"/>
  <c r="J195" i="11"/>
  <c r="I195" i="11"/>
  <c r="C195" i="11"/>
  <c r="B195" i="11"/>
  <c r="J194" i="11"/>
  <c r="I194" i="11"/>
  <c r="C194" i="11"/>
  <c r="B194" i="11"/>
  <c r="J193" i="11"/>
  <c r="I193" i="11"/>
  <c r="C193" i="11"/>
  <c r="B193" i="11"/>
  <c r="J192" i="11"/>
  <c r="I192" i="11"/>
  <c r="B192" i="11"/>
  <c r="J191" i="11"/>
  <c r="I191" i="11"/>
  <c r="C191" i="11"/>
  <c r="B191" i="11"/>
  <c r="J190" i="11"/>
  <c r="I190" i="11"/>
  <c r="B190" i="11"/>
  <c r="J189" i="11"/>
  <c r="I189" i="11"/>
  <c r="C189" i="11"/>
  <c r="B189" i="11"/>
  <c r="J188" i="11"/>
  <c r="I188" i="11"/>
  <c r="C188" i="11"/>
  <c r="B188" i="11"/>
  <c r="J187" i="11"/>
  <c r="I187" i="11"/>
  <c r="C187" i="11"/>
  <c r="B187" i="11"/>
  <c r="J186" i="11"/>
  <c r="I186" i="11"/>
  <c r="C186" i="11"/>
  <c r="B186" i="11"/>
  <c r="J185" i="11"/>
  <c r="I185" i="11"/>
  <c r="C185" i="11"/>
  <c r="B185" i="11"/>
  <c r="J184" i="11"/>
  <c r="I184" i="11"/>
  <c r="C184" i="11"/>
  <c r="B184" i="11"/>
  <c r="J183" i="11"/>
  <c r="I183" i="11"/>
  <c r="C183" i="11"/>
  <c r="B183" i="11"/>
  <c r="J182" i="11"/>
  <c r="I182" i="11"/>
  <c r="C182" i="11"/>
  <c r="B182" i="11"/>
  <c r="J181" i="11"/>
  <c r="I181" i="11"/>
  <c r="C181" i="11"/>
  <c r="B181" i="11"/>
  <c r="J180" i="11"/>
  <c r="I180" i="11"/>
  <c r="C180" i="11"/>
  <c r="B180" i="11"/>
  <c r="J179" i="11"/>
  <c r="I179" i="11"/>
  <c r="C179" i="11"/>
  <c r="B179" i="11"/>
  <c r="J178" i="11"/>
  <c r="I178" i="11"/>
  <c r="C178" i="11"/>
  <c r="B178" i="11"/>
  <c r="J177" i="11"/>
  <c r="I177" i="11"/>
  <c r="C177" i="11"/>
  <c r="B177" i="11"/>
  <c r="J176" i="11"/>
  <c r="I176" i="11"/>
  <c r="C176" i="11"/>
  <c r="B176" i="11"/>
  <c r="J175" i="11"/>
  <c r="I175" i="11"/>
  <c r="C175" i="11"/>
  <c r="B175" i="11"/>
  <c r="J174" i="11"/>
  <c r="I174" i="11"/>
  <c r="C174" i="11"/>
  <c r="B174" i="11"/>
  <c r="J173" i="11"/>
  <c r="I173" i="11"/>
  <c r="C173" i="11"/>
  <c r="B173" i="11"/>
  <c r="J172" i="11"/>
  <c r="I172" i="11"/>
  <c r="C172" i="11"/>
  <c r="B172" i="11"/>
  <c r="J171" i="11"/>
  <c r="I171" i="11"/>
  <c r="C171" i="11"/>
  <c r="B171" i="11"/>
  <c r="J170" i="11"/>
  <c r="I170" i="11"/>
  <c r="C170" i="11"/>
  <c r="B170" i="11"/>
  <c r="J169" i="11"/>
  <c r="I169" i="11"/>
  <c r="C169" i="11"/>
  <c r="B169" i="11"/>
  <c r="J168" i="11"/>
  <c r="I168" i="11"/>
  <c r="C168" i="11"/>
  <c r="B168" i="11"/>
  <c r="J167" i="11"/>
  <c r="I167" i="11"/>
  <c r="C167" i="11"/>
  <c r="B167" i="11"/>
  <c r="J166" i="11"/>
  <c r="I166" i="11"/>
  <c r="C166" i="11"/>
  <c r="B166" i="11"/>
  <c r="J165" i="11"/>
  <c r="I165" i="11"/>
  <c r="C165" i="11"/>
  <c r="B165" i="11"/>
  <c r="J164" i="11"/>
  <c r="I164" i="11"/>
  <c r="C164" i="11"/>
  <c r="B164" i="11"/>
  <c r="J163" i="11"/>
  <c r="I163" i="11"/>
  <c r="C163" i="11"/>
  <c r="B163" i="11"/>
  <c r="J162" i="11"/>
  <c r="I162" i="11"/>
  <c r="C162" i="11"/>
  <c r="B162" i="11"/>
  <c r="J161" i="11"/>
  <c r="I161" i="11"/>
  <c r="C161" i="11"/>
  <c r="B161" i="11"/>
  <c r="J160" i="11"/>
  <c r="I160" i="11"/>
  <c r="C160" i="11"/>
  <c r="B160" i="11"/>
  <c r="J159" i="11"/>
  <c r="I159" i="11"/>
  <c r="C159" i="11"/>
  <c r="B159" i="11"/>
  <c r="J158" i="11"/>
  <c r="I158" i="11"/>
  <c r="C158" i="11"/>
  <c r="B158" i="11"/>
  <c r="J157" i="11"/>
  <c r="I157" i="11"/>
  <c r="C157" i="11"/>
  <c r="B157" i="11"/>
  <c r="J156" i="11"/>
  <c r="I156" i="11"/>
  <c r="C156" i="11"/>
  <c r="B156" i="11"/>
  <c r="J155" i="11"/>
  <c r="I155" i="11"/>
  <c r="C155" i="11"/>
  <c r="B155" i="11"/>
  <c r="J154" i="11"/>
  <c r="I154" i="11"/>
  <c r="C154" i="11"/>
  <c r="B154" i="11"/>
  <c r="J153" i="11"/>
  <c r="I153" i="11"/>
  <c r="C153" i="11"/>
  <c r="B153" i="11"/>
  <c r="J152" i="11"/>
  <c r="I152" i="11"/>
  <c r="C152" i="11"/>
  <c r="B152" i="11"/>
  <c r="J151" i="11"/>
  <c r="I151" i="11"/>
  <c r="C151" i="11"/>
  <c r="B151" i="11"/>
  <c r="J150" i="11"/>
  <c r="I150" i="11"/>
  <c r="C150" i="11"/>
  <c r="B150" i="11"/>
  <c r="J149" i="11"/>
  <c r="I149" i="11"/>
  <c r="C149" i="11"/>
  <c r="B149" i="11"/>
  <c r="J148" i="11"/>
  <c r="I148" i="11"/>
  <c r="C148" i="11"/>
  <c r="B148" i="11"/>
  <c r="J147" i="11"/>
  <c r="I147" i="11"/>
  <c r="C147" i="11"/>
  <c r="B147" i="11"/>
  <c r="J146" i="11"/>
  <c r="I146" i="11"/>
  <c r="C146" i="11"/>
  <c r="B146" i="11"/>
  <c r="J145" i="11"/>
  <c r="I145" i="11"/>
  <c r="C145" i="11"/>
  <c r="B145" i="11"/>
  <c r="J144" i="11"/>
  <c r="I144" i="11"/>
  <c r="C144" i="11"/>
  <c r="B144" i="11"/>
  <c r="J143" i="11"/>
  <c r="I143" i="11"/>
  <c r="C143" i="11"/>
  <c r="B143" i="11"/>
  <c r="J142" i="11"/>
  <c r="I142" i="11"/>
  <c r="C142" i="11"/>
  <c r="B142" i="11"/>
  <c r="J141" i="11"/>
  <c r="I141" i="11"/>
  <c r="C141" i="11"/>
  <c r="B141" i="11"/>
  <c r="J140" i="11"/>
  <c r="I140" i="11"/>
  <c r="C140" i="11"/>
  <c r="B140" i="11"/>
  <c r="J139" i="11"/>
  <c r="I139" i="11"/>
  <c r="C139" i="11"/>
  <c r="B139" i="11"/>
  <c r="J138" i="11"/>
  <c r="I138" i="11"/>
  <c r="C138" i="11"/>
  <c r="B138" i="11"/>
  <c r="J137" i="11"/>
  <c r="I137" i="11"/>
  <c r="C137" i="11"/>
  <c r="B137" i="11"/>
  <c r="J136" i="11"/>
  <c r="I136" i="11"/>
  <c r="C136" i="11"/>
  <c r="B136" i="11"/>
  <c r="J135" i="11"/>
  <c r="I135" i="11"/>
  <c r="C135" i="11"/>
  <c r="B135" i="11"/>
  <c r="J134" i="11"/>
  <c r="I134" i="11"/>
  <c r="C134" i="11"/>
  <c r="B134" i="11"/>
  <c r="J133" i="11"/>
  <c r="I133" i="11"/>
  <c r="C133" i="11"/>
  <c r="B133" i="11"/>
  <c r="J132" i="11"/>
  <c r="I132" i="11"/>
  <c r="C132" i="11"/>
  <c r="B132" i="11"/>
  <c r="J131" i="11"/>
  <c r="I131" i="11"/>
  <c r="C131" i="11"/>
  <c r="B131" i="11"/>
  <c r="J130" i="11"/>
  <c r="I130" i="11"/>
  <c r="C130" i="11"/>
  <c r="B130" i="11"/>
  <c r="J129" i="11"/>
  <c r="I129" i="11"/>
  <c r="C129" i="11"/>
  <c r="B129" i="11"/>
  <c r="J128" i="11"/>
  <c r="I128" i="11"/>
  <c r="C128" i="11"/>
  <c r="B128" i="11"/>
  <c r="J127" i="11"/>
  <c r="I127" i="11"/>
  <c r="C127" i="11"/>
  <c r="B127" i="11"/>
  <c r="J126" i="11"/>
  <c r="Y264" i="13" s="1"/>
  <c r="I126" i="11"/>
  <c r="C126" i="11"/>
  <c r="B126" i="11"/>
  <c r="J125" i="11"/>
  <c r="I125" i="11"/>
  <c r="C125" i="11"/>
  <c r="B125" i="11"/>
  <c r="J124" i="11"/>
  <c r="I124" i="11"/>
  <c r="C124" i="11"/>
  <c r="B124" i="11"/>
  <c r="J123" i="11"/>
  <c r="I123" i="11"/>
  <c r="C123" i="11"/>
  <c r="B123" i="11"/>
  <c r="J122" i="11"/>
  <c r="I122" i="11"/>
  <c r="C122" i="11"/>
  <c r="B122" i="11"/>
  <c r="J121" i="11"/>
  <c r="I121" i="11"/>
  <c r="C121" i="11"/>
  <c r="B121" i="11"/>
  <c r="J120" i="11"/>
  <c r="I120" i="11"/>
  <c r="C120" i="11"/>
  <c r="B120" i="11"/>
  <c r="J119" i="11"/>
  <c r="I119" i="11"/>
  <c r="C119" i="11"/>
  <c r="B119" i="11"/>
  <c r="J118" i="11"/>
  <c r="I118" i="11"/>
  <c r="C118" i="11"/>
  <c r="B118" i="11"/>
  <c r="J117" i="11"/>
  <c r="I117" i="11"/>
  <c r="C117" i="11"/>
  <c r="B117" i="11"/>
  <c r="J116" i="11"/>
  <c r="I116" i="11"/>
  <c r="C116" i="11"/>
  <c r="B116" i="11"/>
  <c r="J115" i="11"/>
  <c r="I115" i="11"/>
  <c r="C115" i="11"/>
  <c r="B115" i="11"/>
  <c r="J114" i="11"/>
  <c r="I114" i="11"/>
  <c r="C114" i="11"/>
  <c r="B114" i="11"/>
  <c r="J113" i="11"/>
  <c r="Y40" i="14" s="1"/>
  <c r="I113" i="11"/>
  <c r="C113" i="11"/>
  <c r="B113" i="11"/>
  <c r="J112" i="11"/>
  <c r="I112" i="11"/>
  <c r="C112" i="11"/>
  <c r="B112" i="11"/>
  <c r="J111" i="11"/>
  <c r="I111" i="11"/>
  <c r="C111" i="11"/>
  <c r="B111" i="11"/>
  <c r="J110" i="11"/>
  <c r="I110" i="11"/>
  <c r="C110" i="11"/>
  <c r="B110" i="11"/>
  <c r="J109" i="11"/>
  <c r="I109" i="11"/>
  <c r="C109" i="11"/>
  <c r="B109" i="11"/>
  <c r="J108" i="11"/>
  <c r="I108" i="11"/>
  <c r="C108" i="11"/>
  <c r="B108" i="11"/>
  <c r="J107" i="11"/>
  <c r="I107" i="11"/>
  <c r="C107" i="11"/>
  <c r="B107" i="11"/>
  <c r="J106" i="11"/>
  <c r="I106" i="11"/>
  <c r="C106" i="11"/>
  <c r="B106" i="11"/>
  <c r="J105" i="11"/>
  <c r="I105" i="11"/>
  <c r="C105" i="11"/>
  <c r="B105" i="11"/>
  <c r="J104" i="11"/>
  <c r="I104" i="11"/>
  <c r="C104" i="11"/>
  <c r="B104" i="11"/>
  <c r="J103" i="11"/>
  <c r="I103" i="11"/>
  <c r="C103" i="11"/>
  <c r="B103" i="11"/>
  <c r="J102" i="11"/>
  <c r="I102" i="11"/>
  <c r="C102" i="11"/>
  <c r="B102" i="11"/>
  <c r="J101" i="11"/>
  <c r="I101" i="11"/>
  <c r="C101" i="11"/>
  <c r="B101" i="11"/>
  <c r="J100" i="11"/>
  <c r="I100" i="11"/>
  <c r="C100" i="11"/>
  <c r="B100" i="11"/>
  <c r="J99" i="11"/>
  <c r="I99" i="11"/>
  <c r="C99" i="11"/>
  <c r="B99" i="11"/>
  <c r="J98" i="11"/>
  <c r="I98" i="11"/>
  <c r="C98" i="11"/>
  <c r="B98" i="11"/>
  <c r="J97" i="11"/>
  <c r="I97" i="11"/>
  <c r="C97" i="11"/>
  <c r="B97" i="11"/>
  <c r="J96" i="11"/>
  <c r="I96" i="11"/>
  <c r="C96" i="11"/>
  <c r="B96" i="11"/>
  <c r="J95" i="11"/>
  <c r="I95" i="11"/>
  <c r="C95" i="11"/>
  <c r="B95" i="11"/>
  <c r="J94" i="11"/>
  <c r="I94" i="11"/>
  <c r="C94" i="11"/>
  <c r="B94" i="11"/>
  <c r="J93" i="11"/>
  <c r="I93" i="11"/>
  <c r="C93" i="11"/>
  <c r="B93" i="11"/>
  <c r="J92" i="11"/>
  <c r="I92" i="11"/>
  <c r="C92" i="11"/>
  <c r="B92" i="11"/>
  <c r="J91" i="11"/>
  <c r="Y281" i="14" s="1"/>
  <c r="I91" i="11"/>
  <c r="C91" i="11"/>
  <c r="B91" i="11"/>
  <c r="J90" i="11"/>
  <c r="I90" i="11"/>
  <c r="C90" i="11"/>
  <c r="B90" i="11"/>
  <c r="J89" i="11"/>
  <c r="I89" i="11"/>
  <c r="C89" i="11"/>
  <c r="B89" i="11"/>
  <c r="J88" i="11"/>
  <c r="I88" i="11"/>
  <c r="C88" i="11"/>
  <c r="B88" i="11"/>
  <c r="J87" i="11"/>
  <c r="I87" i="11"/>
  <c r="C87" i="11"/>
  <c r="B87" i="11"/>
  <c r="J86" i="11"/>
  <c r="I86" i="11"/>
  <c r="C86" i="11"/>
  <c r="B86" i="11"/>
  <c r="J85" i="11"/>
  <c r="I85" i="11"/>
  <c r="C85" i="11"/>
  <c r="B85" i="11"/>
  <c r="J84" i="11"/>
  <c r="I84" i="11"/>
  <c r="C84" i="11"/>
  <c r="B84" i="11"/>
  <c r="J83" i="11"/>
  <c r="I83" i="11"/>
  <c r="C83" i="11"/>
  <c r="B83" i="11"/>
  <c r="J82" i="11"/>
  <c r="I82" i="11"/>
  <c r="C82" i="11"/>
  <c r="B82" i="11"/>
  <c r="J81" i="11"/>
  <c r="I81" i="11"/>
  <c r="C81" i="11"/>
  <c r="B81" i="11"/>
  <c r="J80" i="11"/>
  <c r="I80" i="11"/>
  <c r="C80" i="11"/>
  <c r="B80" i="11"/>
  <c r="J79" i="11"/>
  <c r="I79" i="11"/>
  <c r="C79" i="11"/>
  <c r="B79" i="11"/>
  <c r="J78" i="11"/>
  <c r="I78" i="11"/>
  <c r="C78" i="11"/>
  <c r="B78" i="11"/>
  <c r="J77" i="11"/>
  <c r="I77" i="11"/>
  <c r="C77" i="11"/>
  <c r="B77" i="11"/>
  <c r="J76" i="11"/>
  <c r="I76" i="11"/>
  <c r="C76" i="11"/>
  <c r="B76" i="11"/>
  <c r="J75" i="11"/>
  <c r="I75" i="11"/>
  <c r="C75" i="11"/>
  <c r="B75" i="11"/>
  <c r="J74" i="11"/>
  <c r="I74" i="11"/>
  <c r="C74" i="11"/>
  <c r="B74" i="11"/>
  <c r="J73" i="11"/>
  <c r="I73" i="11"/>
  <c r="C73" i="11"/>
  <c r="B73" i="11"/>
  <c r="J72" i="11"/>
  <c r="I72" i="11"/>
  <c r="C72" i="11"/>
  <c r="B72" i="11"/>
  <c r="J71" i="11"/>
  <c r="I71" i="11"/>
  <c r="C71" i="11"/>
  <c r="B71" i="11"/>
  <c r="J70" i="11"/>
  <c r="I70" i="11"/>
  <c r="C70" i="11"/>
  <c r="B70" i="11"/>
  <c r="J69" i="11"/>
  <c r="I69" i="11"/>
  <c r="C69" i="11"/>
  <c r="B69" i="11"/>
  <c r="J68" i="11"/>
  <c r="I68" i="11"/>
  <c r="C68" i="11"/>
  <c r="B68" i="11"/>
  <c r="J67" i="11"/>
  <c r="I67" i="11"/>
  <c r="C67" i="11"/>
  <c r="B67" i="11"/>
  <c r="J66" i="11"/>
  <c r="I66" i="11"/>
  <c r="C66" i="11"/>
  <c r="B66" i="11"/>
  <c r="J65" i="11"/>
  <c r="Y24" i="14" s="1"/>
  <c r="I65" i="11"/>
  <c r="C65" i="11"/>
  <c r="B65" i="11"/>
  <c r="J64" i="11"/>
  <c r="I64" i="11"/>
  <c r="C64" i="11"/>
  <c r="B64" i="11"/>
  <c r="J63" i="11"/>
  <c r="I63" i="11"/>
  <c r="C63" i="11"/>
  <c r="B63" i="11"/>
  <c r="J62" i="11"/>
  <c r="I62" i="11"/>
  <c r="C62" i="11"/>
  <c r="B62" i="11"/>
  <c r="J61" i="11"/>
  <c r="I61" i="11"/>
  <c r="C61" i="11"/>
  <c r="B61" i="11"/>
  <c r="J60" i="11"/>
  <c r="I60" i="11"/>
  <c r="C60" i="11"/>
  <c r="B60" i="11"/>
  <c r="J59" i="11"/>
  <c r="I59" i="11"/>
  <c r="C59" i="11"/>
  <c r="B59" i="11"/>
  <c r="J58" i="11"/>
  <c r="I58" i="11"/>
  <c r="C58" i="11"/>
  <c r="B58" i="11"/>
  <c r="J57" i="11"/>
  <c r="I57" i="11"/>
  <c r="C57" i="11"/>
  <c r="B57" i="11"/>
  <c r="J56" i="11"/>
  <c r="I56" i="11"/>
  <c r="C56" i="11"/>
  <c r="B56" i="11"/>
  <c r="J55" i="11"/>
  <c r="I55" i="11"/>
  <c r="C55" i="11"/>
  <c r="B55" i="11"/>
  <c r="J54" i="11"/>
  <c r="I54" i="11"/>
  <c r="C54" i="11"/>
  <c r="B54" i="11"/>
  <c r="J53" i="11"/>
  <c r="I53" i="11"/>
  <c r="C53" i="11"/>
  <c r="B53" i="11"/>
  <c r="J52" i="11"/>
  <c r="I52" i="11"/>
  <c r="C52" i="11"/>
  <c r="B52" i="11"/>
  <c r="J51" i="11"/>
  <c r="I51" i="11"/>
  <c r="C51" i="11"/>
  <c r="B51" i="11"/>
  <c r="J50" i="11"/>
  <c r="I50" i="11"/>
  <c r="C50" i="11"/>
  <c r="B50" i="11"/>
  <c r="J49" i="11"/>
  <c r="I49" i="11"/>
  <c r="C49" i="11"/>
  <c r="B49" i="11"/>
  <c r="J48" i="11"/>
  <c r="I48" i="11"/>
  <c r="C48" i="11"/>
  <c r="B48" i="11"/>
  <c r="J47" i="11"/>
  <c r="I47" i="11"/>
  <c r="C47" i="11"/>
  <c r="B47" i="11"/>
  <c r="J46" i="11"/>
  <c r="I46" i="11"/>
  <c r="C46" i="11"/>
  <c r="B46" i="11"/>
  <c r="J45" i="11"/>
  <c r="I45" i="11"/>
  <c r="C45" i="11"/>
  <c r="B45" i="11"/>
  <c r="J44" i="11"/>
  <c r="I44" i="11"/>
  <c r="C44" i="11"/>
  <c r="B44" i="11"/>
  <c r="J43" i="11"/>
  <c r="I43" i="11"/>
  <c r="C43" i="11"/>
  <c r="B43" i="11"/>
  <c r="J42" i="11"/>
  <c r="I42" i="11"/>
  <c r="C42" i="11"/>
  <c r="B42" i="11"/>
  <c r="J41" i="11"/>
  <c r="I41" i="11"/>
  <c r="C41" i="11"/>
  <c r="B41" i="11"/>
  <c r="J40" i="11"/>
  <c r="I40" i="11"/>
  <c r="C40" i="11"/>
  <c r="B40" i="11"/>
  <c r="J39" i="11"/>
  <c r="I39" i="11"/>
  <c r="C39" i="11"/>
  <c r="B39" i="11"/>
  <c r="J38" i="11"/>
  <c r="I38" i="11"/>
  <c r="C38" i="11"/>
  <c r="B38" i="11"/>
  <c r="J37" i="11"/>
  <c r="I37" i="11"/>
  <c r="C37" i="11"/>
  <c r="B37" i="11"/>
  <c r="J36" i="11"/>
  <c r="I36" i="11"/>
  <c r="C36" i="11"/>
  <c r="B36" i="11"/>
  <c r="J35" i="11"/>
  <c r="I35" i="11"/>
  <c r="C35" i="11"/>
  <c r="B35" i="11"/>
  <c r="J34" i="11"/>
  <c r="I34" i="11"/>
  <c r="C34" i="11"/>
  <c r="B34" i="11"/>
  <c r="J33" i="11"/>
  <c r="I33" i="11"/>
  <c r="C33" i="11"/>
  <c r="B33" i="11"/>
  <c r="J32" i="11"/>
  <c r="Y18" i="14" s="1"/>
  <c r="I32" i="11"/>
  <c r="C32" i="11"/>
  <c r="B32" i="11"/>
  <c r="J31" i="11"/>
  <c r="I31" i="11"/>
  <c r="C31" i="11"/>
  <c r="B31" i="11"/>
  <c r="J30" i="11"/>
  <c r="I30" i="11"/>
  <c r="C30" i="11"/>
  <c r="B30" i="11"/>
  <c r="J29" i="11"/>
  <c r="I29" i="11"/>
  <c r="C29" i="11"/>
  <c r="B29" i="11"/>
  <c r="J28" i="11"/>
  <c r="I28" i="11"/>
  <c r="C28" i="11"/>
  <c r="B28" i="11"/>
  <c r="J27" i="11"/>
  <c r="I27" i="11"/>
  <c r="C27" i="11"/>
  <c r="B27" i="11"/>
  <c r="J26" i="11"/>
  <c r="I26" i="11"/>
  <c r="C26" i="11"/>
  <c r="B26" i="11"/>
  <c r="J25" i="11"/>
  <c r="I25" i="11"/>
  <c r="C25" i="11"/>
  <c r="B25" i="11"/>
  <c r="J24" i="11"/>
  <c r="I24" i="11"/>
  <c r="C24" i="11"/>
  <c r="B24" i="11"/>
  <c r="J23" i="11"/>
  <c r="I23" i="11"/>
  <c r="C23" i="11"/>
  <c r="B23" i="11"/>
  <c r="J22" i="11"/>
  <c r="I22" i="11"/>
  <c r="C22" i="11"/>
  <c r="B22" i="11"/>
  <c r="J21" i="11"/>
  <c r="I21" i="11"/>
  <c r="C21" i="11"/>
  <c r="B21" i="11"/>
  <c r="J20" i="11"/>
  <c r="I20" i="11"/>
  <c r="C20" i="11"/>
  <c r="B20" i="11"/>
  <c r="J19" i="11"/>
  <c r="I19" i="11"/>
  <c r="C19" i="11"/>
  <c r="B19" i="11"/>
  <c r="J18" i="11"/>
  <c r="I18" i="11"/>
  <c r="C18" i="11"/>
  <c r="B18" i="11"/>
  <c r="J17" i="11"/>
  <c r="I17" i="11"/>
  <c r="C17" i="11"/>
  <c r="B17" i="11"/>
  <c r="J16" i="11"/>
  <c r="I16" i="11"/>
  <c r="C16" i="11"/>
  <c r="B16" i="11"/>
  <c r="J15" i="11"/>
  <c r="I15" i="11"/>
  <c r="C15" i="11"/>
  <c r="B15" i="11"/>
  <c r="J14" i="11"/>
  <c r="I14" i="11"/>
  <c r="C14" i="11"/>
  <c r="B14" i="11"/>
  <c r="J13" i="11"/>
  <c r="I13" i="11"/>
  <c r="C13" i="11"/>
  <c r="B13" i="11"/>
  <c r="J12" i="11"/>
  <c r="I12" i="11"/>
  <c r="C12" i="11"/>
  <c r="B12" i="11"/>
  <c r="J11" i="11"/>
  <c r="I11" i="11"/>
  <c r="C11" i="11"/>
  <c r="B11" i="11"/>
  <c r="J10" i="11"/>
  <c r="I10" i="11"/>
  <c r="C10" i="11"/>
  <c r="B10" i="11"/>
  <c r="J9" i="11"/>
  <c r="I9" i="11"/>
  <c r="C9" i="11"/>
  <c r="B9" i="11"/>
  <c r="J8" i="11"/>
  <c r="I8" i="11"/>
  <c r="C8" i="11"/>
  <c r="B8" i="11"/>
  <c r="J7" i="11"/>
  <c r="I7" i="11"/>
  <c r="C7" i="11"/>
  <c r="B7" i="11"/>
  <c r="J6" i="11"/>
  <c r="I6" i="11"/>
  <c r="C6" i="11"/>
  <c r="B6" i="11"/>
  <c r="J5" i="11"/>
  <c r="I5" i="11"/>
  <c r="C5" i="11"/>
  <c r="B5" i="11"/>
  <c r="J4" i="11"/>
  <c r="I4" i="11"/>
  <c r="C4" i="11"/>
  <c r="B4" i="11"/>
  <c r="J3" i="11"/>
  <c r="I3" i="11"/>
  <c r="C3" i="11"/>
  <c r="B3" i="11"/>
  <c r="V4" i="10"/>
  <c r="W4" i="10" s="1"/>
  <c r="X4" i="10" s="1"/>
  <c r="Y4" i="10" s="1"/>
  <c r="Z4" i="10" s="1"/>
  <c r="Q4" i="10"/>
  <c r="R4" i="10" s="1"/>
  <c r="S4" i="10" s="1"/>
  <c r="T4" i="10" s="1"/>
  <c r="U4" i="10" s="1"/>
  <c r="N4" i="10"/>
  <c r="O4" i="10" s="1"/>
  <c r="P4" i="10" s="1"/>
  <c r="M4" i="10"/>
  <c r="L4" i="10"/>
  <c r="Z2" i="10"/>
  <c r="Y2" i="10"/>
  <c r="X2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K3" i="10" s="1"/>
  <c r="K3" i="9"/>
  <c r="AM1" i="9"/>
  <c r="K3" i="8"/>
  <c r="AM1" i="8"/>
  <c r="G33" i="7"/>
  <c r="K4" i="6"/>
  <c r="I3" i="6"/>
  <c r="L4" i="6" s="1"/>
  <c r="M4" i="6" s="1"/>
  <c r="N4" i="6" s="1"/>
  <c r="O4" i="6" s="1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K3" i="6" s="1"/>
  <c r="Y306" i="4"/>
  <c r="T306" i="4"/>
  <c r="S306" i="4"/>
  <c r="R306" i="4"/>
  <c r="Q306" i="4"/>
  <c r="P306" i="4"/>
  <c r="N306" i="4"/>
  <c r="M306" i="4"/>
  <c r="O306" i="4" s="1"/>
  <c r="L306" i="4"/>
  <c r="K306" i="4"/>
  <c r="J306" i="4"/>
  <c r="H306" i="4"/>
  <c r="F306" i="4"/>
  <c r="Y305" i="4"/>
  <c r="T305" i="4"/>
  <c r="S305" i="4"/>
  <c r="R305" i="4"/>
  <c r="Q305" i="4"/>
  <c r="P305" i="4"/>
  <c r="N305" i="4"/>
  <c r="M305" i="4"/>
  <c r="L305" i="4"/>
  <c r="K305" i="4"/>
  <c r="J305" i="4"/>
  <c r="I305" i="4"/>
  <c r="H305" i="4"/>
  <c r="F305" i="4"/>
  <c r="Y304" i="4"/>
  <c r="T304" i="4"/>
  <c r="S304" i="4"/>
  <c r="R304" i="4"/>
  <c r="Q304" i="4"/>
  <c r="P304" i="4"/>
  <c r="B304" i="4" s="1"/>
  <c r="N304" i="4"/>
  <c r="M304" i="4"/>
  <c r="U304" i="4" s="1"/>
  <c r="V304" i="4" s="1"/>
  <c r="K304" i="4"/>
  <c r="J304" i="4"/>
  <c r="I304" i="4"/>
  <c r="H304" i="4"/>
  <c r="F304" i="4"/>
  <c r="Y303" i="4"/>
  <c r="U303" i="4"/>
  <c r="T303" i="4"/>
  <c r="S303" i="4"/>
  <c r="R303" i="4"/>
  <c r="Q303" i="4"/>
  <c r="P303" i="4"/>
  <c r="N303" i="4"/>
  <c r="M303" i="4"/>
  <c r="K303" i="4"/>
  <c r="J303" i="4"/>
  <c r="I303" i="4"/>
  <c r="H303" i="4"/>
  <c r="F303" i="4"/>
  <c r="Y302" i="4"/>
  <c r="T302" i="4"/>
  <c r="S302" i="4"/>
  <c r="R302" i="4"/>
  <c r="Q302" i="4"/>
  <c r="P302" i="4"/>
  <c r="N302" i="4"/>
  <c r="M302" i="4"/>
  <c r="K302" i="4"/>
  <c r="J302" i="4"/>
  <c r="H302" i="4"/>
  <c r="F302" i="4"/>
  <c r="Y301" i="4"/>
  <c r="T301" i="4"/>
  <c r="S301" i="4"/>
  <c r="R301" i="4"/>
  <c r="Q301" i="4"/>
  <c r="P301" i="4"/>
  <c r="N301" i="4"/>
  <c r="M301" i="4"/>
  <c r="K301" i="4"/>
  <c r="J301" i="4"/>
  <c r="H301" i="4"/>
  <c r="F301" i="4"/>
  <c r="Y300" i="4"/>
  <c r="T300" i="4"/>
  <c r="S300" i="4"/>
  <c r="R300" i="4"/>
  <c r="Q300" i="4"/>
  <c r="P300" i="4"/>
  <c r="N300" i="4"/>
  <c r="M300" i="4"/>
  <c r="L300" i="4"/>
  <c r="K300" i="4"/>
  <c r="J300" i="4"/>
  <c r="H300" i="4"/>
  <c r="F300" i="4"/>
  <c r="Y299" i="4"/>
  <c r="T299" i="4"/>
  <c r="S299" i="4"/>
  <c r="R299" i="4"/>
  <c r="Q299" i="4"/>
  <c r="P299" i="4"/>
  <c r="B299" i="4" s="1"/>
  <c r="N299" i="4"/>
  <c r="M299" i="4"/>
  <c r="K299" i="4"/>
  <c r="J299" i="4"/>
  <c r="H299" i="4"/>
  <c r="F299" i="4"/>
  <c r="Y298" i="4"/>
  <c r="T298" i="4"/>
  <c r="S298" i="4"/>
  <c r="R298" i="4"/>
  <c r="Q298" i="4"/>
  <c r="P298" i="4"/>
  <c r="N298" i="4"/>
  <c r="M298" i="4"/>
  <c r="K298" i="4"/>
  <c r="J298" i="4"/>
  <c r="H298" i="4"/>
  <c r="F298" i="4"/>
  <c r="Y297" i="4"/>
  <c r="T297" i="4"/>
  <c r="S297" i="4"/>
  <c r="R297" i="4"/>
  <c r="Q297" i="4"/>
  <c r="P297" i="4"/>
  <c r="N297" i="4"/>
  <c r="M297" i="4"/>
  <c r="L297" i="4"/>
  <c r="K297" i="4"/>
  <c r="J297" i="4"/>
  <c r="H297" i="4"/>
  <c r="F297" i="4"/>
  <c r="Y296" i="4"/>
  <c r="T296" i="4"/>
  <c r="S296" i="4"/>
  <c r="R296" i="4"/>
  <c r="Q296" i="4"/>
  <c r="P296" i="4"/>
  <c r="N296" i="4"/>
  <c r="O296" i="4" s="1"/>
  <c r="M296" i="4"/>
  <c r="U296" i="4" s="1"/>
  <c r="V296" i="4" s="1"/>
  <c r="K296" i="4"/>
  <c r="J296" i="4"/>
  <c r="I296" i="4"/>
  <c r="H296" i="4"/>
  <c r="F296" i="4"/>
  <c r="Y295" i="4"/>
  <c r="T295" i="4"/>
  <c r="S295" i="4"/>
  <c r="R295" i="4"/>
  <c r="Q295" i="4"/>
  <c r="P295" i="4"/>
  <c r="N295" i="4"/>
  <c r="M295" i="4"/>
  <c r="O295" i="4" s="1"/>
  <c r="L295" i="4"/>
  <c r="K295" i="4"/>
  <c r="J295" i="4"/>
  <c r="H295" i="4"/>
  <c r="F295" i="4"/>
  <c r="Y294" i="4"/>
  <c r="T294" i="4"/>
  <c r="S294" i="4"/>
  <c r="R294" i="4"/>
  <c r="Q294" i="4"/>
  <c r="P294" i="4"/>
  <c r="N294" i="4"/>
  <c r="M294" i="4"/>
  <c r="L294" i="4"/>
  <c r="K294" i="4"/>
  <c r="J294" i="4"/>
  <c r="I294" i="4"/>
  <c r="H294" i="4"/>
  <c r="F294" i="4"/>
  <c r="Y293" i="4"/>
  <c r="T293" i="4"/>
  <c r="S293" i="4"/>
  <c r="R293" i="4"/>
  <c r="Q293" i="4"/>
  <c r="B293" i="4" s="1"/>
  <c r="P293" i="4"/>
  <c r="N293" i="4"/>
  <c r="M293" i="4"/>
  <c r="K293" i="4"/>
  <c r="J293" i="4"/>
  <c r="H293" i="4"/>
  <c r="F293" i="4"/>
  <c r="Y292" i="4"/>
  <c r="T292" i="4"/>
  <c r="S292" i="4"/>
  <c r="R292" i="4"/>
  <c r="Q292" i="4"/>
  <c r="P292" i="4"/>
  <c r="N292" i="4"/>
  <c r="M292" i="4"/>
  <c r="K292" i="4"/>
  <c r="J292" i="4"/>
  <c r="H292" i="4"/>
  <c r="F292" i="4"/>
  <c r="Y291" i="4"/>
  <c r="T291" i="4"/>
  <c r="S291" i="4"/>
  <c r="R291" i="4"/>
  <c r="Q291" i="4"/>
  <c r="P291" i="4"/>
  <c r="N291" i="4"/>
  <c r="M291" i="4"/>
  <c r="O291" i="4" s="1"/>
  <c r="K291" i="4"/>
  <c r="J291" i="4"/>
  <c r="H291" i="4"/>
  <c r="F291" i="4"/>
  <c r="Y290" i="4"/>
  <c r="T290" i="4"/>
  <c r="S290" i="4"/>
  <c r="R290" i="4"/>
  <c r="Q290" i="4"/>
  <c r="P290" i="4"/>
  <c r="B290" i="4" s="1"/>
  <c r="O290" i="4"/>
  <c r="N290" i="4"/>
  <c r="M290" i="4"/>
  <c r="L290" i="4"/>
  <c r="K290" i="4"/>
  <c r="J290" i="4"/>
  <c r="H290" i="4"/>
  <c r="F290" i="4"/>
  <c r="Y289" i="4"/>
  <c r="T289" i="4"/>
  <c r="S289" i="4"/>
  <c r="R289" i="4"/>
  <c r="Q289" i="4"/>
  <c r="P289" i="4"/>
  <c r="N289" i="4"/>
  <c r="M289" i="4"/>
  <c r="U289" i="4" s="1"/>
  <c r="L289" i="4"/>
  <c r="K289" i="4"/>
  <c r="J289" i="4"/>
  <c r="H289" i="4"/>
  <c r="F289" i="4"/>
  <c r="B289" i="4"/>
  <c r="Y288" i="4"/>
  <c r="T288" i="4"/>
  <c r="S288" i="4"/>
  <c r="R288" i="4"/>
  <c r="Q288" i="4"/>
  <c r="P288" i="4"/>
  <c r="N288" i="4"/>
  <c r="M288" i="4"/>
  <c r="K288" i="4"/>
  <c r="J288" i="4"/>
  <c r="H288" i="4"/>
  <c r="F288" i="4"/>
  <c r="Y287" i="4"/>
  <c r="T287" i="4"/>
  <c r="S287" i="4"/>
  <c r="R287" i="4"/>
  <c r="Q287" i="4"/>
  <c r="P287" i="4"/>
  <c r="N287" i="4"/>
  <c r="M287" i="4"/>
  <c r="L287" i="4" s="1"/>
  <c r="K287" i="4"/>
  <c r="J287" i="4"/>
  <c r="H287" i="4"/>
  <c r="F287" i="4"/>
  <c r="Y286" i="4"/>
  <c r="T286" i="4"/>
  <c r="S286" i="4"/>
  <c r="R286" i="4"/>
  <c r="Q286" i="4"/>
  <c r="P286" i="4"/>
  <c r="N286" i="4"/>
  <c r="M286" i="4"/>
  <c r="U286" i="4" s="1"/>
  <c r="V286" i="4" s="1"/>
  <c r="L286" i="4"/>
  <c r="K286" i="4"/>
  <c r="J286" i="4"/>
  <c r="I286" i="4"/>
  <c r="H286" i="4"/>
  <c r="F286" i="4"/>
  <c r="Y285" i="4"/>
  <c r="T285" i="4"/>
  <c r="S285" i="4"/>
  <c r="B285" i="4" s="1"/>
  <c r="R285" i="4"/>
  <c r="Q285" i="4"/>
  <c r="P285" i="4"/>
  <c r="N285" i="4"/>
  <c r="M285" i="4"/>
  <c r="K285" i="4"/>
  <c r="J285" i="4"/>
  <c r="H285" i="4"/>
  <c r="F285" i="4"/>
  <c r="Y284" i="4"/>
  <c r="T284" i="4"/>
  <c r="S284" i="4"/>
  <c r="R284" i="4"/>
  <c r="Q284" i="4"/>
  <c r="P284" i="4"/>
  <c r="N284" i="4"/>
  <c r="M284" i="4"/>
  <c r="K284" i="4"/>
  <c r="J284" i="4"/>
  <c r="H284" i="4"/>
  <c r="F284" i="4"/>
  <c r="Y283" i="4"/>
  <c r="T283" i="4"/>
  <c r="S283" i="4"/>
  <c r="R283" i="4"/>
  <c r="Q283" i="4"/>
  <c r="P283" i="4"/>
  <c r="N283" i="4"/>
  <c r="M283" i="4"/>
  <c r="K283" i="4"/>
  <c r="J283" i="4"/>
  <c r="H283" i="4"/>
  <c r="F283" i="4"/>
  <c r="T282" i="4"/>
  <c r="S282" i="4"/>
  <c r="R282" i="4"/>
  <c r="Q282" i="4"/>
  <c r="P282" i="4"/>
  <c r="B282" i="4" s="1"/>
  <c r="N282" i="4"/>
  <c r="M282" i="4"/>
  <c r="O282" i="4" s="1"/>
  <c r="K282" i="4"/>
  <c r="J282" i="4"/>
  <c r="H282" i="4"/>
  <c r="F282" i="4"/>
  <c r="Y281" i="4"/>
  <c r="T281" i="4"/>
  <c r="S281" i="4"/>
  <c r="R281" i="4"/>
  <c r="Q281" i="4"/>
  <c r="P281" i="4"/>
  <c r="N281" i="4"/>
  <c r="M281" i="4"/>
  <c r="K281" i="4"/>
  <c r="J281" i="4"/>
  <c r="H281" i="4"/>
  <c r="F281" i="4"/>
  <c r="Y280" i="4"/>
  <c r="T280" i="4"/>
  <c r="S280" i="4"/>
  <c r="R280" i="4"/>
  <c r="Q280" i="4"/>
  <c r="P280" i="4"/>
  <c r="N280" i="4"/>
  <c r="M280" i="4"/>
  <c r="O280" i="4" s="1"/>
  <c r="L280" i="4"/>
  <c r="K280" i="4"/>
  <c r="J280" i="4"/>
  <c r="H280" i="4"/>
  <c r="F280" i="4"/>
  <c r="Y279" i="4"/>
  <c r="T279" i="4"/>
  <c r="S279" i="4"/>
  <c r="R279" i="4"/>
  <c r="Q279" i="4"/>
  <c r="P279" i="4"/>
  <c r="O279" i="4"/>
  <c r="N279" i="4"/>
  <c r="M279" i="4"/>
  <c r="K279" i="4"/>
  <c r="J279" i="4"/>
  <c r="H279" i="4"/>
  <c r="F279" i="4"/>
  <c r="B279" i="4"/>
  <c r="Y278" i="4"/>
  <c r="T278" i="4"/>
  <c r="S278" i="4"/>
  <c r="R278" i="4"/>
  <c r="Q278" i="4"/>
  <c r="P278" i="4"/>
  <c r="N278" i="4"/>
  <c r="M278" i="4"/>
  <c r="U278" i="4" s="1"/>
  <c r="K278" i="4"/>
  <c r="J278" i="4"/>
  <c r="H278" i="4"/>
  <c r="F278" i="4"/>
  <c r="Y277" i="4"/>
  <c r="T277" i="4"/>
  <c r="S277" i="4"/>
  <c r="R277" i="4"/>
  <c r="Q277" i="4"/>
  <c r="P277" i="4"/>
  <c r="N277" i="4"/>
  <c r="M277" i="4"/>
  <c r="O277" i="4" s="1"/>
  <c r="L277" i="4"/>
  <c r="K277" i="4"/>
  <c r="J277" i="4"/>
  <c r="H277" i="4"/>
  <c r="F277" i="4"/>
  <c r="Y276" i="4"/>
  <c r="T276" i="4"/>
  <c r="S276" i="4"/>
  <c r="R276" i="4"/>
  <c r="Q276" i="4"/>
  <c r="P276" i="4"/>
  <c r="B276" i="4" s="1"/>
  <c r="O276" i="4"/>
  <c r="N276" i="4"/>
  <c r="M276" i="4"/>
  <c r="L276" i="4" s="1"/>
  <c r="K276" i="4"/>
  <c r="J276" i="4"/>
  <c r="H276" i="4"/>
  <c r="F276" i="4"/>
  <c r="Y275" i="4"/>
  <c r="T275" i="4"/>
  <c r="S275" i="4"/>
  <c r="R275" i="4"/>
  <c r="Q275" i="4"/>
  <c r="P275" i="4"/>
  <c r="N275" i="4"/>
  <c r="M275" i="4"/>
  <c r="L275" i="4"/>
  <c r="K275" i="4"/>
  <c r="J275" i="4"/>
  <c r="H275" i="4"/>
  <c r="F275" i="4"/>
  <c r="Y274" i="4"/>
  <c r="T274" i="4"/>
  <c r="S274" i="4"/>
  <c r="R274" i="4"/>
  <c r="Q274" i="4"/>
  <c r="P274" i="4"/>
  <c r="N274" i="4"/>
  <c r="M274" i="4"/>
  <c r="K274" i="4"/>
  <c r="J274" i="4"/>
  <c r="H274" i="4"/>
  <c r="F274" i="4"/>
  <c r="B274" i="4"/>
  <c r="Y273" i="4"/>
  <c r="T273" i="4"/>
  <c r="S273" i="4"/>
  <c r="R273" i="4"/>
  <c r="Q273" i="4"/>
  <c r="P273" i="4"/>
  <c r="N273" i="4"/>
  <c r="M273" i="4"/>
  <c r="K273" i="4"/>
  <c r="J273" i="4"/>
  <c r="H273" i="4"/>
  <c r="F273" i="4"/>
  <c r="Y272" i="4"/>
  <c r="T272" i="4"/>
  <c r="S272" i="4"/>
  <c r="R272" i="4"/>
  <c r="Q272" i="4"/>
  <c r="P272" i="4"/>
  <c r="N272" i="4"/>
  <c r="M272" i="4"/>
  <c r="O272" i="4" s="1"/>
  <c r="L272" i="4"/>
  <c r="K272" i="4"/>
  <c r="J272" i="4"/>
  <c r="H272" i="4"/>
  <c r="F272" i="4"/>
  <c r="T271" i="4"/>
  <c r="S271" i="4"/>
  <c r="R271" i="4"/>
  <c r="Q271" i="4"/>
  <c r="P271" i="4"/>
  <c r="B271" i="4" s="1"/>
  <c r="N271" i="4"/>
  <c r="M271" i="4"/>
  <c r="K271" i="4"/>
  <c r="J271" i="4"/>
  <c r="H271" i="4"/>
  <c r="F271" i="4"/>
  <c r="Y270" i="4"/>
  <c r="T270" i="4"/>
  <c r="S270" i="4"/>
  <c r="R270" i="4"/>
  <c r="Q270" i="4"/>
  <c r="P270" i="4"/>
  <c r="N270" i="4"/>
  <c r="M270" i="4"/>
  <c r="O270" i="4" s="1"/>
  <c r="L270" i="4"/>
  <c r="K270" i="4"/>
  <c r="J270" i="4"/>
  <c r="H270" i="4"/>
  <c r="F270" i="4"/>
  <c r="T269" i="4"/>
  <c r="S269" i="4"/>
  <c r="R269" i="4"/>
  <c r="Q269" i="4"/>
  <c r="B269" i="4" s="1"/>
  <c r="P269" i="4"/>
  <c r="N269" i="4"/>
  <c r="M269" i="4"/>
  <c r="O269" i="4" s="1"/>
  <c r="L269" i="4"/>
  <c r="K269" i="4"/>
  <c r="J269" i="4"/>
  <c r="H269" i="4"/>
  <c r="F269" i="4"/>
  <c r="Y268" i="4"/>
  <c r="T268" i="4"/>
  <c r="S268" i="4"/>
  <c r="R268" i="4"/>
  <c r="Q268" i="4"/>
  <c r="P268" i="4"/>
  <c r="N268" i="4"/>
  <c r="M268" i="4"/>
  <c r="K268" i="4"/>
  <c r="J268" i="4"/>
  <c r="H268" i="4"/>
  <c r="F268" i="4"/>
  <c r="Y267" i="4"/>
  <c r="T267" i="4"/>
  <c r="S267" i="4"/>
  <c r="R267" i="4"/>
  <c r="Q267" i="4"/>
  <c r="P267" i="4"/>
  <c r="N267" i="4"/>
  <c r="M267" i="4"/>
  <c r="L267" i="4"/>
  <c r="K267" i="4"/>
  <c r="J267" i="4"/>
  <c r="H267" i="4"/>
  <c r="F267" i="4"/>
  <c r="Y266" i="4"/>
  <c r="T266" i="4"/>
  <c r="S266" i="4"/>
  <c r="R266" i="4"/>
  <c r="Q266" i="4"/>
  <c r="P266" i="4"/>
  <c r="N266" i="4"/>
  <c r="M266" i="4"/>
  <c r="O266" i="4" s="1"/>
  <c r="L266" i="4"/>
  <c r="K266" i="4"/>
  <c r="J266" i="4"/>
  <c r="H266" i="4"/>
  <c r="F266" i="4"/>
  <c r="Y265" i="4"/>
  <c r="T265" i="4"/>
  <c r="S265" i="4"/>
  <c r="R265" i="4"/>
  <c r="B265" i="4" s="1"/>
  <c r="Q265" i="4"/>
  <c r="P265" i="4"/>
  <c r="N265" i="4"/>
  <c r="M265" i="4"/>
  <c r="L265" i="4" s="1"/>
  <c r="K265" i="4"/>
  <c r="J265" i="4"/>
  <c r="H265" i="4"/>
  <c r="F265" i="4"/>
  <c r="Y264" i="4"/>
  <c r="T264" i="4"/>
  <c r="S264" i="4"/>
  <c r="R264" i="4"/>
  <c r="Q264" i="4"/>
  <c r="P264" i="4"/>
  <c r="N264" i="4"/>
  <c r="M264" i="4"/>
  <c r="K264" i="4"/>
  <c r="J264" i="4"/>
  <c r="H264" i="4"/>
  <c r="F264" i="4"/>
  <c r="Y263" i="4"/>
  <c r="T263" i="4"/>
  <c r="S263" i="4"/>
  <c r="R263" i="4"/>
  <c r="Q263" i="4"/>
  <c r="P263" i="4"/>
  <c r="N263" i="4"/>
  <c r="M263" i="4"/>
  <c r="K263" i="4"/>
  <c r="J263" i="4"/>
  <c r="H263" i="4"/>
  <c r="F263" i="4"/>
  <c r="Y262" i="4"/>
  <c r="T262" i="4"/>
  <c r="S262" i="4"/>
  <c r="R262" i="4"/>
  <c r="Q262" i="4"/>
  <c r="P262" i="4"/>
  <c r="O262" i="4"/>
  <c r="N262" i="4"/>
  <c r="M262" i="4"/>
  <c r="L262" i="4"/>
  <c r="K262" i="4"/>
  <c r="J262" i="4"/>
  <c r="H262" i="4"/>
  <c r="F262" i="4"/>
  <c r="B262" i="4"/>
  <c r="Y261" i="4"/>
  <c r="T261" i="4"/>
  <c r="S261" i="4"/>
  <c r="R261" i="4"/>
  <c r="Q261" i="4"/>
  <c r="P261" i="4"/>
  <c r="N261" i="4"/>
  <c r="M261" i="4"/>
  <c r="K261" i="4"/>
  <c r="J261" i="4"/>
  <c r="H261" i="4"/>
  <c r="F261" i="4"/>
  <c r="Y260" i="4"/>
  <c r="T260" i="4"/>
  <c r="S260" i="4"/>
  <c r="R260" i="4"/>
  <c r="Q260" i="4"/>
  <c r="P260" i="4"/>
  <c r="N260" i="4"/>
  <c r="M260" i="4"/>
  <c r="K260" i="4"/>
  <c r="J260" i="4"/>
  <c r="H260" i="4"/>
  <c r="F260" i="4"/>
  <c r="Y259" i="4"/>
  <c r="T259" i="4"/>
  <c r="S259" i="4"/>
  <c r="R259" i="4"/>
  <c r="Q259" i="4"/>
  <c r="P259" i="4"/>
  <c r="B259" i="4" s="1"/>
  <c r="O259" i="4"/>
  <c r="N259" i="4"/>
  <c r="M259" i="4"/>
  <c r="K259" i="4"/>
  <c r="J259" i="4"/>
  <c r="H259" i="4"/>
  <c r="F259" i="4"/>
  <c r="Y258" i="4"/>
  <c r="T258" i="4"/>
  <c r="S258" i="4"/>
  <c r="R258" i="4"/>
  <c r="Q258" i="4"/>
  <c r="P258" i="4"/>
  <c r="N258" i="4"/>
  <c r="M258" i="4"/>
  <c r="O258" i="4" s="1"/>
  <c r="L258" i="4"/>
  <c r="K258" i="4"/>
  <c r="J258" i="4"/>
  <c r="H258" i="4"/>
  <c r="F258" i="4"/>
  <c r="Y257" i="4"/>
  <c r="T257" i="4"/>
  <c r="S257" i="4"/>
  <c r="R257" i="4"/>
  <c r="B257" i="4" s="1"/>
  <c r="Q257" i="4"/>
  <c r="P257" i="4"/>
  <c r="N257" i="4"/>
  <c r="M257" i="4"/>
  <c r="L257" i="4" s="1"/>
  <c r="K257" i="4"/>
  <c r="J257" i="4"/>
  <c r="H257" i="4"/>
  <c r="F257" i="4"/>
  <c r="Y256" i="4"/>
  <c r="T256" i="4"/>
  <c r="S256" i="4"/>
  <c r="R256" i="4"/>
  <c r="Q256" i="4"/>
  <c r="P256" i="4"/>
  <c r="N256" i="4"/>
  <c r="U256" i="4" s="1"/>
  <c r="M256" i="4"/>
  <c r="K256" i="4"/>
  <c r="J256" i="4"/>
  <c r="H256" i="4"/>
  <c r="F256" i="4"/>
  <c r="Y255" i="4"/>
  <c r="T255" i="4"/>
  <c r="S255" i="4"/>
  <c r="R255" i="4"/>
  <c r="Q255" i="4"/>
  <c r="P255" i="4"/>
  <c r="N255" i="4"/>
  <c r="M255" i="4"/>
  <c r="O255" i="4" s="1"/>
  <c r="K255" i="4"/>
  <c r="J255" i="4"/>
  <c r="H255" i="4"/>
  <c r="F255" i="4"/>
  <c r="Y254" i="4"/>
  <c r="T254" i="4"/>
  <c r="S254" i="4"/>
  <c r="R254" i="4"/>
  <c r="Q254" i="4"/>
  <c r="P254" i="4"/>
  <c r="O254" i="4"/>
  <c r="N254" i="4"/>
  <c r="M254" i="4"/>
  <c r="L254" i="4" s="1"/>
  <c r="K254" i="4"/>
  <c r="J254" i="4"/>
  <c r="H254" i="4"/>
  <c r="F254" i="4"/>
  <c r="Y253" i="4"/>
  <c r="T253" i="4"/>
  <c r="S253" i="4"/>
  <c r="R253" i="4"/>
  <c r="Q253" i="4"/>
  <c r="P253" i="4"/>
  <c r="N253" i="4"/>
  <c r="M253" i="4"/>
  <c r="O253" i="4" s="1"/>
  <c r="L253" i="4"/>
  <c r="K253" i="4"/>
  <c r="J253" i="4"/>
  <c r="H253" i="4"/>
  <c r="F253" i="4"/>
  <c r="Y252" i="4"/>
  <c r="T252" i="4"/>
  <c r="S252" i="4"/>
  <c r="R252" i="4"/>
  <c r="Q252" i="4"/>
  <c r="P252" i="4"/>
  <c r="N252" i="4"/>
  <c r="M252" i="4"/>
  <c r="K252" i="4"/>
  <c r="J252" i="4"/>
  <c r="H252" i="4"/>
  <c r="F252" i="4"/>
  <c r="Y251" i="4"/>
  <c r="T251" i="4"/>
  <c r="S251" i="4"/>
  <c r="R251" i="4"/>
  <c r="Q251" i="4"/>
  <c r="P251" i="4"/>
  <c r="N251" i="4"/>
  <c r="O251" i="4" s="1"/>
  <c r="M251" i="4"/>
  <c r="L251" i="4" s="1"/>
  <c r="K251" i="4"/>
  <c r="J251" i="4"/>
  <c r="H251" i="4"/>
  <c r="F251" i="4"/>
  <c r="Y250" i="4"/>
  <c r="T250" i="4"/>
  <c r="S250" i="4"/>
  <c r="R250" i="4"/>
  <c r="Q250" i="4"/>
  <c r="P250" i="4"/>
  <c r="N250" i="4"/>
  <c r="M250" i="4"/>
  <c r="O250" i="4" s="1"/>
  <c r="L250" i="4"/>
  <c r="K250" i="4"/>
  <c r="J250" i="4"/>
  <c r="H250" i="4"/>
  <c r="F250" i="4"/>
  <c r="Y249" i="4"/>
  <c r="T249" i="4"/>
  <c r="S249" i="4"/>
  <c r="R249" i="4"/>
  <c r="B249" i="4" s="1"/>
  <c r="Q249" i="4"/>
  <c r="P249" i="4"/>
  <c r="N249" i="4"/>
  <c r="M249" i="4"/>
  <c r="L249" i="4" s="1"/>
  <c r="K249" i="4"/>
  <c r="J249" i="4"/>
  <c r="H249" i="4"/>
  <c r="F249" i="4"/>
  <c r="Y248" i="4"/>
  <c r="T248" i="4"/>
  <c r="S248" i="4"/>
  <c r="R248" i="4"/>
  <c r="Q248" i="4"/>
  <c r="P248" i="4"/>
  <c r="N248" i="4"/>
  <c r="M248" i="4"/>
  <c r="K248" i="4"/>
  <c r="J248" i="4"/>
  <c r="H248" i="4"/>
  <c r="F248" i="4"/>
  <c r="Y247" i="4"/>
  <c r="T247" i="4"/>
  <c r="S247" i="4"/>
  <c r="R247" i="4"/>
  <c r="Q247" i="4"/>
  <c r="P247" i="4"/>
  <c r="N247" i="4"/>
  <c r="M247" i="4"/>
  <c r="O247" i="4" s="1"/>
  <c r="K247" i="4"/>
  <c r="J247" i="4"/>
  <c r="H247" i="4"/>
  <c r="F247" i="4"/>
  <c r="Y246" i="4"/>
  <c r="T246" i="4"/>
  <c r="S246" i="4"/>
  <c r="R246" i="4"/>
  <c r="Q246" i="4"/>
  <c r="P246" i="4"/>
  <c r="O246" i="4"/>
  <c r="N246" i="4"/>
  <c r="M246" i="4"/>
  <c r="L246" i="4"/>
  <c r="K246" i="4"/>
  <c r="J246" i="4"/>
  <c r="H246" i="4"/>
  <c r="F246" i="4"/>
  <c r="B246" i="4"/>
  <c r="Y245" i="4"/>
  <c r="T245" i="4"/>
  <c r="S245" i="4"/>
  <c r="R245" i="4"/>
  <c r="Q245" i="4"/>
  <c r="P245" i="4"/>
  <c r="N245" i="4"/>
  <c r="O245" i="4" s="1"/>
  <c r="M245" i="4"/>
  <c r="L245" i="4" s="1"/>
  <c r="K245" i="4"/>
  <c r="J245" i="4"/>
  <c r="H245" i="4"/>
  <c r="F245" i="4"/>
  <c r="Y244" i="4"/>
  <c r="T244" i="4"/>
  <c r="S244" i="4"/>
  <c r="R244" i="4"/>
  <c r="Q244" i="4"/>
  <c r="P244" i="4"/>
  <c r="N244" i="4"/>
  <c r="M244" i="4"/>
  <c r="K244" i="4"/>
  <c r="J244" i="4"/>
  <c r="H244" i="4"/>
  <c r="F244" i="4"/>
  <c r="Y243" i="4"/>
  <c r="T243" i="4"/>
  <c r="S243" i="4"/>
  <c r="R243" i="4"/>
  <c r="Q243" i="4"/>
  <c r="P243" i="4"/>
  <c r="B243" i="4" s="1"/>
  <c r="N243" i="4"/>
  <c r="M243" i="4"/>
  <c r="U243" i="4" s="1"/>
  <c r="L243" i="4"/>
  <c r="K243" i="4"/>
  <c r="J243" i="4"/>
  <c r="I243" i="4"/>
  <c r="H243" i="4"/>
  <c r="F243" i="4"/>
  <c r="T242" i="4"/>
  <c r="S242" i="4"/>
  <c r="R242" i="4"/>
  <c r="Q242" i="4"/>
  <c r="P242" i="4"/>
  <c r="N242" i="4"/>
  <c r="O242" i="4" s="1"/>
  <c r="M242" i="4"/>
  <c r="L242" i="4" s="1"/>
  <c r="K242" i="4"/>
  <c r="J242" i="4"/>
  <c r="H242" i="4"/>
  <c r="F242" i="4"/>
  <c r="Y241" i="4"/>
  <c r="T241" i="4"/>
  <c r="S241" i="4"/>
  <c r="R241" i="4"/>
  <c r="Q241" i="4"/>
  <c r="P241" i="4"/>
  <c r="N241" i="4"/>
  <c r="U241" i="4" s="1"/>
  <c r="M241" i="4"/>
  <c r="L241" i="4"/>
  <c r="K241" i="4"/>
  <c r="J241" i="4"/>
  <c r="H241" i="4"/>
  <c r="F241" i="4"/>
  <c r="Y240" i="4"/>
  <c r="T240" i="4"/>
  <c r="S240" i="4"/>
  <c r="R240" i="4"/>
  <c r="Q240" i="4"/>
  <c r="P240" i="4"/>
  <c r="N240" i="4"/>
  <c r="M240" i="4"/>
  <c r="K240" i="4"/>
  <c r="J240" i="4"/>
  <c r="H240" i="4"/>
  <c r="F240" i="4"/>
  <c r="Y239" i="4"/>
  <c r="T239" i="4"/>
  <c r="S239" i="4"/>
  <c r="R239" i="4"/>
  <c r="Q239" i="4"/>
  <c r="P239" i="4"/>
  <c r="N239" i="4"/>
  <c r="O239" i="4" s="1"/>
  <c r="M239" i="4"/>
  <c r="L239" i="4" s="1"/>
  <c r="K239" i="4"/>
  <c r="J239" i="4"/>
  <c r="H239" i="4"/>
  <c r="F239" i="4"/>
  <c r="Y238" i="4"/>
  <c r="T238" i="4"/>
  <c r="S238" i="4"/>
  <c r="R238" i="4"/>
  <c r="Q238" i="4"/>
  <c r="P238" i="4"/>
  <c r="N238" i="4"/>
  <c r="M238" i="4"/>
  <c r="L238" i="4" s="1"/>
  <c r="K238" i="4"/>
  <c r="J238" i="4"/>
  <c r="H238" i="4"/>
  <c r="F238" i="4"/>
  <c r="Y237" i="4"/>
  <c r="T237" i="4"/>
  <c r="S237" i="4"/>
  <c r="R237" i="4"/>
  <c r="B237" i="4" s="1"/>
  <c r="Q237" i="4"/>
  <c r="P237" i="4"/>
  <c r="N237" i="4"/>
  <c r="M237" i="4"/>
  <c r="K237" i="4"/>
  <c r="J237" i="4"/>
  <c r="H237" i="4"/>
  <c r="F237" i="4"/>
  <c r="Y236" i="4"/>
  <c r="T236" i="4"/>
  <c r="S236" i="4"/>
  <c r="R236" i="4"/>
  <c r="Q236" i="4"/>
  <c r="P236" i="4"/>
  <c r="N236" i="4"/>
  <c r="M236" i="4"/>
  <c r="K236" i="4"/>
  <c r="J236" i="4"/>
  <c r="H236" i="4"/>
  <c r="F236" i="4"/>
  <c r="Y235" i="4"/>
  <c r="T235" i="4"/>
  <c r="S235" i="4"/>
  <c r="R235" i="4"/>
  <c r="Q235" i="4"/>
  <c r="P235" i="4"/>
  <c r="N235" i="4"/>
  <c r="M235" i="4"/>
  <c r="L235" i="4"/>
  <c r="K235" i="4"/>
  <c r="J235" i="4"/>
  <c r="H235" i="4"/>
  <c r="F235" i="4"/>
  <c r="Y234" i="4"/>
  <c r="T234" i="4"/>
  <c r="S234" i="4"/>
  <c r="R234" i="4"/>
  <c r="Q234" i="4"/>
  <c r="P234" i="4"/>
  <c r="O234" i="4"/>
  <c r="N234" i="4"/>
  <c r="M234" i="4"/>
  <c r="L234" i="4" s="1"/>
  <c r="K234" i="4"/>
  <c r="J234" i="4"/>
  <c r="H234" i="4"/>
  <c r="F234" i="4"/>
  <c r="Y233" i="4"/>
  <c r="T233" i="4"/>
  <c r="S233" i="4"/>
  <c r="R233" i="4"/>
  <c r="Q233" i="4"/>
  <c r="P233" i="4"/>
  <c r="N233" i="4"/>
  <c r="M233" i="4"/>
  <c r="O233" i="4" s="1"/>
  <c r="K233" i="4"/>
  <c r="J233" i="4"/>
  <c r="H233" i="4"/>
  <c r="F233" i="4"/>
  <c r="Y232" i="4"/>
  <c r="T232" i="4"/>
  <c r="S232" i="4"/>
  <c r="R232" i="4"/>
  <c r="Q232" i="4"/>
  <c r="P232" i="4"/>
  <c r="N232" i="4"/>
  <c r="M232" i="4"/>
  <c r="K232" i="4"/>
  <c r="J232" i="4"/>
  <c r="H232" i="4"/>
  <c r="F232" i="4"/>
  <c r="Y231" i="4"/>
  <c r="T231" i="4"/>
  <c r="S231" i="4"/>
  <c r="R231" i="4"/>
  <c r="Q231" i="4"/>
  <c r="P231" i="4"/>
  <c r="N231" i="4"/>
  <c r="M231" i="4"/>
  <c r="K231" i="4"/>
  <c r="J231" i="4"/>
  <c r="H231" i="4"/>
  <c r="F231" i="4"/>
  <c r="Y230" i="4"/>
  <c r="T230" i="4"/>
  <c r="S230" i="4"/>
  <c r="B230" i="4" s="1"/>
  <c r="R230" i="4"/>
  <c r="Q230" i="4"/>
  <c r="P230" i="4"/>
  <c r="N230" i="4"/>
  <c r="M230" i="4"/>
  <c r="L230" i="4" s="1"/>
  <c r="K230" i="4"/>
  <c r="J230" i="4"/>
  <c r="H230" i="4"/>
  <c r="F230" i="4"/>
  <c r="Y229" i="4"/>
  <c r="T229" i="4"/>
  <c r="S229" i="4"/>
  <c r="R229" i="4"/>
  <c r="Q229" i="4"/>
  <c r="P229" i="4"/>
  <c r="B229" i="4" s="1"/>
  <c r="N229" i="4"/>
  <c r="M229" i="4"/>
  <c r="K229" i="4"/>
  <c r="J229" i="4"/>
  <c r="H229" i="4"/>
  <c r="F229" i="4"/>
  <c r="Y228" i="4"/>
  <c r="T228" i="4"/>
  <c r="S228" i="4"/>
  <c r="R228" i="4"/>
  <c r="Q228" i="4"/>
  <c r="P228" i="4"/>
  <c r="N228" i="4"/>
  <c r="M228" i="4"/>
  <c r="O228" i="4" s="1"/>
  <c r="K228" i="4"/>
  <c r="J228" i="4"/>
  <c r="H228" i="4"/>
  <c r="F228" i="4"/>
  <c r="Y227" i="4"/>
  <c r="T227" i="4"/>
  <c r="S227" i="4"/>
  <c r="R227" i="4"/>
  <c r="Q227" i="4"/>
  <c r="P227" i="4"/>
  <c r="B227" i="4" s="1"/>
  <c r="N227" i="4"/>
  <c r="M227" i="4"/>
  <c r="O227" i="4" s="1"/>
  <c r="K227" i="4"/>
  <c r="J227" i="4"/>
  <c r="H227" i="4"/>
  <c r="F227" i="4"/>
  <c r="Y226" i="4"/>
  <c r="T226" i="4"/>
  <c r="S226" i="4"/>
  <c r="R226" i="4"/>
  <c r="Q226" i="4"/>
  <c r="P226" i="4"/>
  <c r="N226" i="4"/>
  <c r="M226" i="4"/>
  <c r="O226" i="4" s="1"/>
  <c r="L226" i="4"/>
  <c r="K226" i="4"/>
  <c r="J226" i="4"/>
  <c r="H226" i="4"/>
  <c r="F226" i="4"/>
  <c r="Y225" i="4"/>
  <c r="T225" i="4"/>
  <c r="S225" i="4"/>
  <c r="R225" i="4"/>
  <c r="Q225" i="4"/>
  <c r="B225" i="4" s="1"/>
  <c r="P225" i="4"/>
  <c r="N225" i="4"/>
  <c r="M225" i="4"/>
  <c r="K225" i="4"/>
  <c r="J225" i="4"/>
  <c r="H225" i="4"/>
  <c r="F225" i="4"/>
  <c r="Y224" i="4"/>
  <c r="T224" i="4"/>
  <c r="S224" i="4"/>
  <c r="R224" i="4"/>
  <c r="Q224" i="4"/>
  <c r="P224" i="4"/>
  <c r="N224" i="4"/>
  <c r="M224" i="4"/>
  <c r="U224" i="4" s="1"/>
  <c r="K224" i="4"/>
  <c r="J224" i="4"/>
  <c r="H224" i="4"/>
  <c r="F224" i="4"/>
  <c r="Y223" i="4"/>
  <c r="T223" i="4"/>
  <c r="S223" i="4"/>
  <c r="R223" i="4"/>
  <c r="Q223" i="4"/>
  <c r="P223" i="4"/>
  <c r="N223" i="4"/>
  <c r="M223" i="4"/>
  <c r="O223" i="4" s="1"/>
  <c r="L223" i="4"/>
  <c r="K223" i="4"/>
  <c r="J223" i="4"/>
  <c r="H223" i="4"/>
  <c r="F223" i="4"/>
  <c r="Y222" i="4"/>
  <c r="T222" i="4"/>
  <c r="S222" i="4"/>
  <c r="R222" i="4"/>
  <c r="Q222" i="4"/>
  <c r="P222" i="4"/>
  <c r="O222" i="4"/>
  <c r="N222" i="4"/>
  <c r="M222" i="4"/>
  <c r="L222" i="4" s="1"/>
  <c r="K222" i="4"/>
  <c r="J222" i="4"/>
  <c r="H222" i="4"/>
  <c r="F222" i="4"/>
  <c r="Y221" i="4"/>
  <c r="T221" i="4"/>
  <c r="S221" i="4"/>
  <c r="R221" i="4"/>
  <c r="Q221" i="4"/>
  <c r="P221" i="4"/>
  <c r="N221" i="4"/>
  <c r="M221" i="4"/>
  <c r="K221" i="4"/>
  <c r="J221" i="4"/>
  <c r="H221" i="4"/>
  <c r="F221" i="4"/>
  <c r="Y220" i="4"/>
  <c r="T220" i="4"/>
  <c r="S220" i="4"/>
  <c r="R220" i="4"/>
  <c r="Q220" i="4"/>
  <c r="P220" i="4"/>
  <c r="N220" i="4"/>
  <c r="M220" i="4"/>
  <c r="K220" i="4"/>
  <c r="J220" i="4"/>
  <c r="H220" i="4"/>
  <c r="F220" i="4"/>
  <c r="Y219" i="4"/>
  <c r="T219" i="4"/>
  <c r="S219" i="4"/>
  <c r="R219" i="4"/>
  <c r="Q219" i="4"/>
  <c r="P219" i="4"/>
  <c r="N219" i="4"/>
  <c r="M219" i="4"/>
  <c r="L219" i="4"/>
  <c r="K219" i="4"/>
  <c r="J219" i="4"/>
  <c r="H219" i="4"/>
  <c r="F219" i="4"/>
  <c r="Y218" i="4"/>
  <c r="T218" i="4"/>
  <c r="S218" i="4"/>
  <c r="R218" i="4"/>
  <c r="Q218" i="4"/>
  <c r="P218" i="4"/>
  <c r="N218" i="4"/>
  <c r="M218" i="4"/>
  <c r="O218" i="4" s="1"/>
  <c r="L218" i="4"/>
  <c r="K218" i="4"/>
  <c r="J218" i="4"/>
  <c r="H218" i="4"/>
  <c r="F218" i="4"/>
  <c r="T217" i="4"/>
  <c r="S217" i="4"/>
  <c r="R217" i="4"/>
  <c r="Q217" i="4"/>
  <c r="P217" i="4"/>
  <c r="N217" i="4"/>
  <c r="M217" i="4"/>
  <c r="O217" i="4" s="1"/>
  <c r="K217" i="4"/>
  <c r="J217" i="4"/>
  <c r="H217" i="4"/>
  <c r="F217" i="4"/>
  <c r="Y216" i="4"/>
  <c r="T216" i="4"/>
  <c r="S216" i="4"/>
  <c r="R216" i="4"/>
  <c r="B216" i="4" s="1"/>
  <c r="Q216" i="4"/>
  <c r="P216" i="4"/>
  <c r="N216" i="4"/>
  <c r="M216" i="4"/>
  <c r="O216" i="4" s="1"/>
  <c r="L216" i="4"/>
  <c r="K216" i="4"/>
  <c r="J216" i="4"/>
  <c r="H216" i="4"/>
  <c r="F216" i="4"/>
  <c r="Y215" i="4"/>
  <c r="T215" i="4"/>
  <c r="S215" i="4"/>
  <c r="R215" i="4"/>
  <c r="Q215" i="4"/>
  <c r="B215" i="4" s="1"/>
  <c r="P215" i="4"/>
  <c r="N215" i="4"/>
  <c r="M215" i="4"/>
  <c r="K215" i="4"/>
  <c r="J215" i="4"/>
  <c r="H215" i="4"/>
  <c r="F215" i="4"/>
  <c r="Y214" i="4"/>
  <c r="T214" i="4"/>
  <c r="S214" i="4"/>
  <c r="R214" i="4"/>
  <c r="Q214" i="4"/>
  <c r="P214" i="4"/>
  <c r="B214" i="4" s="1"/>
  <c r="N214" i="4"/>
  <c r="M214" i="4"/>
  <c r="K214" i="4"/>
  <c r="J214" i="4"/>
  <c r="H214" i="4"/>
  <c r="F214" i="4"/>
  <c r="Y213" i="4"/>
  <c r="T213" i="4"/>
  <c r="S213" i="4"/>
  <c r="R213" i="4"/>
  <c r="Q213" i="4"/>
  <c r="P213" i="4"/>
  <c r="B213" i="4" s="1"/>
  <c r="N213" i="4"/>
  <c r="M213" i="4"/>
  <c r="O213" i="4" s="1"/>
  <c r="L213" i="4"/>
  <c r="K213" i="4"/>
  <c r="J213" i="4"/>
  <c r="H213" i="4"/>
  <c r="F213" i="4"/>
  <c r="Y212" i="4"/>
  <c r="T212" i="4"/>
  <c r="S212" i="4"/>
  <c r="R212" i="4"/>
  <c r="Q212" i="4"/>
  <c r="P212" i="4"/>
  <c r="N212" i="4"/>
  <c r="M212" i="4"/>
  <c r="K212" i="4"/>
  <c r="J212" i="4"/>
  <c r="H212" i="4"/>
  <c r="F212" i="4"/>
  <c r="Y211" i="4"/>
  <c r="T211" i="4"/>
  <c r="S211" i="4"/>
  <c r="R211" i="4"/>
  <c r="Q211" i="4"/>
  <c r="P211" i="4"/>
  <c r="B211" i="4" s="1"/>
  <c r="N211" i="4"/>
  <c r="M211" i="4"/>
  <c r="L211" i="4" s="1"/>
  <c r="K211" i="4"/>
  <c r="J211" i="4"/>
  <c r="H211" i="4"/>
  <c r="F211" i="4"/>
  <c r="Y210" i="4"/>
  <c r="T210" i="4"/>
  <c r="S210" i="4"/>
  <c r="R210" i="4"/>
  <c r="Q210" i="4"/>
  <c r="P210" i="4"/>
  <c r="N210" i="4"/>
  <c r="M210" i="4"/>
  <c r="K210" i="4"/>
  <c r="J210" i="4"/>
  <c r="H210" i="4"/>
  <c r="F210" i="4"/>
  <c r="Y209" i="4"/>
  <c r="T209" i="4"/>
  <c r="S209" i="4"/>
  <c r="R209" i="4"/>
  <c r="Q209" i="4"/>
  <c r="P209" i="4"/>
  <c r="N209" i="4"/>
  <c r="M209" i="4"/>
  <c r="O209" i="4" s="1"/>
  <c r="L209" i="4"/>
  <c r="K209" i="4"/>
  <c r="J209" i="4"/>
  <c r="H209" i="4"/>
  <c r="F209" i="4"/>
  <c r="Y208" i="4"/>
  <c r="T208" i="4"/>
  <c r="S208" i="4"/>
  <c r="R208" i="4"/>
  <c r="B208" i="4" s="1"/>
  <c r="Q208" i="4"/>
  <c r="P208" i="4"/>
  <c r="N208" i="4"/>
  <c r="M208" i="4"/>
  <c r="L208" i="4" s="1"/>
  <c r="K208" i="4"/>
  <c r="J208" i="4"/>
  <c r="H208" i="4"/>
  <c r="F208" i="4"/>
  <c r="Y207" i="4"/>
  <c r="T207" i="4"/>
  <c r="S207" i="4"/>
  <c r="R207" i="4"/>
  <c r="Q207" i="4"/>
  <c r="P207" i="4"/>
  <c r="N207" i="4"/>
  <c r="U207" i="4" s="1"/>
  <c r="M207" i="4"/>
  <c r="K207" i="4"/>
  <c r="J207" i="4"/>
  <c r="H207" i="4"/>
  <c r="F207" i="4"/>
  <c r="Y206" i="4"/>
  <c r="T206" i="4"/>
  <c r="S206" i="4"/>
  <c r="R206" i="4"/>
  <c r="Q206" i="4"/>
  <c r="P206" i="4"/>
  <c r="N206" i="4"/>
  <c r="M206" i="4"/>
  <c r="L206" i="4"/>
  <c r="K206" i="4"/>
  <c r="J206" i="4"/>
  <c r="H206" i="4"/>
  <c r="F206" i="4"/>
  <c r="Y205" i="4"/>
  <c r="T205" i="4"/>
  <c r="S205" i="4"/>
  <c r="R205" i="4"/>
  <c r="Q205" i="4"/>
  <c r="P205" i="4"/>
  <c r="B205" i="4" s="1"/>
  <c r="N205" i="4"/>
  <c r="O205" i="4" s="1"/>
  <c r="M205" i="4"/>
  <c r="L205" i="4" s="1"/>
  <c r="K205" i="4"/>
  <c r="J205" i="4"/>
  <c r="H205" i="4"/>
  <c r="F205" i="4"/>
  <c r="Y204" i="4"/>
  <c r="T204" i="4"/>
  <c r="S204" i="4"/>
  <c r="R204" i="4"/>
  <c r="Q204" i="4"/>
  <c r="P204" i="4"/>
  <c r="N204" i="4"/>
  <c r="M204" i="4"/>
  <c r="O204" i="4" s="1"/>
  <c r="L204" i="4"/>
  <c r="K204" i="4"/>
  <c r="J204" i="4"/>
  <c r="H204" i="4"/>
  <c r="F204" i="4"/>
  <c r="Y203" i="4"/>
  <c r="T203" i="4"/>
  <c r="S203" i="4"/>
  <c r="R203" i="4"/>
  <c r="B203" i="4" s="1"/>
  <c r="Q203" i="4"/>
  <c r="P203" i="4"/>
  <c r="N203" i="4"/>
  <c r="M203" i="4"/>
  <c r="K203" i="4"/>
  <c r="J203" i="4"/>
  <c r="H203" i="4"/>
  <c r="F203" i="4"/>
  <c r="Y202" i="4"/>
  <c r="T202" i="4"/>
  <c r="S202" i="4"/>
  <c r="R202" i="4"/>
  <c r="Q202" i="4"/>
  <c r="P202" i="4"/>
  <c r="O202" i="4"/>
  <c r="N202" i="4"/>
  <c r="M202" i="4"/>
  <c r="L202" i="4"/>
  <c r="K202" i="4"/>
  <c r="J202" i="4"/>
  <c r="H202" i="4"/>
  <c r="F202" i="4"/>
  <c r="Y201" i="4"/>
  <c r="T201" i="4"/>
  <c r="S201" i="4"/>
  <c r="R201" i="4"/>
  <c r="Q201" i="4"/>
  <c r="P201" i="4"/>
  <c r="N201" i="4"/>
  <c r="M201" i="4"/>
  <c r="U201" i="4" s="1"/>
  <c r="K201" i="4"/>
  <c r="J201" i="4"/>
  <c r="H201" i="4"/>
  <c r="F201" i="4"/>
  <c r="T200" i="4"/>
  <c r="S200" i="4"/>
  <c r="R200" i="4"/>
  <c r="Q200" i="4"/>
  <c r="P200" i="4"/>
  <c r="N200" i="4"/>
  <c r="M200" i="4"/>
  <c r="K200" i="4"/>
  <c r="J200" i="4"/>
  <c r="H200" i="4"/>
  <c r="F200" i="4"/>
  <c r="Y199" i="4"/>
  <c r="T199" i="4"/>
  <c r="S199" i="4"/>
  <c r="R199" i="4"/>
  <c r="Q199" i="4"/>
  <c r="P199" i="4"/>
  <c r="N199" i="4"/>
  <c r="M199" i="4"/>
  <c r="O199" i="4" s="1"/>
  <c r="L199" i="4"/>
  <c r="K199" i="4"/>
  <c r="J199" i="4"/>
  <c r="H199" i="4"/>
  <c r="F199" i="4"/>
  <c r="Y198" i="4"/>
  <c r="T198" i="4"/>
  <c r="S198" i="4"/>
  <c r="R198" i="4"/>
  <c r="B198" i="4" s="1"/>
  <c r="Q198" i="4"/>
  <c r="P198" i="4"/>
  <c r="N198" i="4"/>
  <c r="M198" i="4"/>
  <c r="K198" i="4"/>
  <c r="J198" i="4"/>
  <c r="H198" i="4"/>
  <c r="F198" i="4"/>
  <c r="Y197" i="4"/>
  <c r="T197" i="4"/>
  <c r="S197" i="4"/>
  <c r="R197" i="4"/>
  <c r="Q197" i="4"/>
  <c r="P197" i="4"/>
  <c r="O197" i="4"/>
  <c r="N197" i="4"/>
  <c r="M197" i="4"/>
  <c r="L197" i="4"/>
  <c r="K197" i="4"/>
  <c r="J197" i="4"/>
  <c r="H197" i="4"/>
  <c r="F197" i="4"/>
  <c r="Y196" i="4"/>
  <c r="T196" i="4"/>
  <c r="S196" i="4"/>
  <c r="R196" i="4"/>
  <c r="Q196" i="4"/>
  <c r="P196" i="4"/>
  <c r="N196" i="4"/>
  <c r="M196" i="4"/>
  <c r="L196" i="4" s="1"/>
  <c r="K196" i="4"/>
  <c r="J196" i="4"/>
  <c r="H196" i="4"/>
  <c r="F196" i="4"/>
  <c r="Y195" i="4"/>
  <c r="T195" i="4"/>
  <c r="S195" i="4"/>
  <c r="R195" i="4"/>
  <c r="Q195" i="4"/>
  <c r="P195" i="4"/>
  <c r="N195" i="4"/>
  <c r="O195" i="4" s="1"/>
  <c r="M195" i="4"/>
  <c r="L195" i="4" s="1"/>
  <c r="K195" i="4"/>
  <c r="J195" i="4"/>
  <c r="H195" i="4"/>
  <c r="F195" i="4"/>
  <c r="Y194" i="4"/>
  <c r="T194" i="4"/>
  <c r="S194" i="4"/>
  <c r="R194" i="4"/>
  <c r="Q194" i="4"/>
  <c r="P194" i="4"/>
  <c r="O194" i="4"/>
  <c r="N194" i="4"/>
  <c r="M194" i="4"/>
  <c r="L194" i="4"/>
  <c r="K194" i="4"/>
  <c r="J194" i="4"/>
  <c r="H194" i="4"/>
  <c r="F194" i="4"/>
  <c r="Y193" i="4"/>
  <c r="T193" i="4"/>
  <c r="S193" i="4"/>
  <c r="R193" i="4"/>
  <c r="Q193" i="4"/>
  <c r="P193" i="4"/>
  <c r="N193" i="4"/>
  <c r="M193" i="4"/>
  <c r="K193" i="4"/>
  <c r="J193" i="4"/>
  <c r="H193" i="4"/>
  <c r="F193" i="4"/>
  <c r="Y192" i="4"/>
  <c r="T192" i="4"/>
  <c r="S192" i="4"/>
  <c r="R192" i="4"/>
  <c r="Q192" i="4"/>
  <c r="P192" i="4"/>
  <c r="N192" i="4"/>
  <c r="M192" i="4"/>
  <c r="K192" i="4"/>
  <c r="J192" i="4"/>
  <c r="H192" i="4"/>
  <c r="F192" i="4"/>
  <c r="Y191" i="4"/>
  <c r="T191" i="4"/>
  <c r="S191" i="4"/>
  <c r="R191" i="4"/>
  <c r="Q191" i="4"/>
  <c r="B191" i="4" s="1"/>
  <c r="P191" i="4"/>
  <c r="N191" i="4"/>
  <c r="M191" i="4"/>
  <c r="L191" i="4" s="1"/>
  <c r="K191" i="4"/>
  <c r="J191" i="4"/>
  <c r="H191" i="4"/>
  <c r="F191" i="4"/>
  <c r="Y190" i="4"/>
  <c r="T190" i="4"/>
  <c r="S190" i="4"/>
  <c r="R190" i="4"/>
  <c r="Q190" i="4"/>
  <c r="P190" i="4"/>
  <c r="B190" i="4" s="1"/>
  <c r="N190" i="4"/>
  <c r="M190" i="4"/>
  <c r="U190" i="4" s="1"/>
  <c r="K190" i="4"/>
  <c r="J190" i="4"/>
  <c r="H190" i="4"/>
  <c r="F190" i="4"/>
  <c r="Y189" i="4"/>
  <c r="T189" i="4"/>
  <c r="S189" i="4"/>
  <c r="R189" i="4"/>
  <c r="Q189" i="4"/>
  <c r="P189" i="4"/>
  <c r="N189" i="4"/>
  <c r="M189" i="4"/>
  <c r="O189" i="4" s="1"/>
  <c r="L189" i="4"/>
  <c r="K189" i="4"/>
  <c r="J189" i="4"/>
  <c r="H189" i="4"/>
  <c r="F189" i="4"/>
  <c r="Y188" i="4"/>
  <c r="T188" i="4"/>
  <c r="S188" i="4"/>
  <c r="R188" i="4"/>
  <c r="Q188" i="4"/>
  <c r="P188" i="4"/>
  <c r="N188" i="4"/>
  <c r="M188" i="4"/>
  <c r="L188" i="4" s="1"/>
  <c r="K188" i="4"/>
  <c r="J188" i="4"/>
  <c r="H188" i="4"/>
  <c r="F188" i="4"/>
  <c r="Y187" i="4"/>
  <c r="T187" i="4"/>
  <c r="S187" i="4"/>
  <c r="R187" i="4"/>
  <c r="Q187" i="4"/>
  <c r="P187" i="4"/>
  <c r="B187" i="4" s="1"/>
  <c r="N187" i="4"/>
  <c r="M187" i="4"/>
  <c r="L187" i="4" s="1"/>
  <c r="K187" i="4"/>
  <c r="J187" i="4"/>
  <c r="H187" i="4"/>
  <c r="F187" i="4"/>
  <c r="T186" i="4"/>
  <c r="S186" i="4"/>
  <c r="R186" i="4"/>
  <c r="Q186" i="4"/>
  <c r="P186" i="4"/>
  <c r="B186" i="4" s="1"/>
  <c r="O186" i="4"/>
  <c r="N186" i="4"/>
  <c r="M186" i="4"/>
  <c r="L186" i="4"/>
  <c r="K186" i="4"/>
  <c r="J186" i="4"/>
  <c r="H186" i="4"/>
  <c r="F186" i="4"/>
  <c r="Y185" i="4"/>
  <c r="T185" i="4"/>
  <c r="S185" i="4"/>
  <c r="R185" i="4"/>
  <c r="Q185" i="4"/>
  <c r="P185" i="4"/>
  <c r="N185" i="4"/>
  <c r="M185" i="4"/>
  <c r="K185" i="4"/>
  <c r="J185" i="4"/>
  <c r="H185" i="4"/>
  <c r="F185" i="4"/>
  <c r="Y184" i="4"/>
  <c r="T184" i="4"/>
  <c r="S184" i="4"/>
  <c r="R184" i="4"/>
  <c r="Q184" i="4"/>
  <c r="P184" i="4"/>
  <c r="N184" i="4"/>
  <c r="M184" i="4"/>
  <c r="O184" i="4" s="1"/>
  <c r="K184" i="4"/>
  <c r="J184" i="4"/>
  <c r="H184" i="4"/>
  <c r="F184" i="4"/>
  <c r="Y183" i="4"/>
  <c r="T183" i="4"/>
  <c r="S183" i="4"/>
  <c r="R183" i="4"/>
  <c r="Q183" i="4"/>
  <c r="P183" i="4"/>
  <c r="N183" i="4"/>
  <c r="O183" i="4" s="1"/>
  <c r="M183" i="4"/>
  <c r="L183" i="4" s="1"/>
  <c r="K183" i="4"/>
  <c r="J183" i="4"/>
  <c r="H183" i="4"/>
  <c r="F183" i="4"/>
  <c r="Y182" i="4"/>
  <c r="T182" i="4"/>
  <c r="S182" i="4"/>
  <c r="R182" i="4"/>
  <c r="Q182" i="4"/>
  <c r="P182" i="4"/>
  <c r="N182" i="4"/>
  <c r="M182" i="4"/>
  <c r="L182" i="4"/>
  <c r="K182" i="4"/>
  <c r="J182" i="4"/>
  <c r="H182" i="4"/>
  <c r="F182" i="4"/>
  <c r="Y181" i="4"/>
  <c r="T181" i="4"/>
  <c r="S181" i="4"/>
  <c r="R181" i="4"/>
  <c r="Q181" i="4"/>
  <c r="P181" i="4"/>
  <c r="N181" i="4"/>
  <c r="M181" i="4"/>
  <c r="L181" i="4" s="1"/>
  <c r="K181" i="4"/>
  <c r="J181" i="4"/>
  <c r="H181" i="4"/>
  <c r="F181" i="4"/>
  <c r="Y180" i="4"/>
  <c r="T180" i="4"/>
  <c r="S180" i="4"/>
  <c r="R180" i="4"/>
  <c r="Q180" i="4"/>
  <c r="P180" i="4"/>
  <c r="N180" i="4"/>
  <c r="M180" i="4"/>
  <c r="O180" i="4" s="1"/>
  <c r="K180" i="4"/>
  <c r="J180" i="4"/>
  <c r="H180" i="4"/>
  <c r="F180" i="4"/>
  <c r="Y179" i="4"/>
  <c r="T179" i="4"/>
  <c r="S179" i="4"/>
  <c r="R179" i="4"/>
  <c r="Q179" i="4"/>
  <c r="P179" i="4"/>
  <c r="N179" i="4"/>
  <c r="M179" i="4"/>
  <c r="L179" i="4"/>
  <c r="K179" i="4"/>
  <c r="J179" i="4"/>
  <c r="H179" i="4"/>
  <c r="F179" i="4"/>
  <c r="Y178" i="4"/>
  <c r="T178" i="4"/>
  <c r="S178" i="4"/>
  <c r="R178" i="4"/>
  <c r="Q178" i="4"/>
  <c r="B178" i="4" s="1"/>
  <c r="P178" i="4"/>
  <c r="N178" i="4"/>
  <c r="O178" i="4" s="1"/>
  <c r="M178" i="4"/>
  <c r="L178" i="4"/>
  <c r="K178" i="4"/>
  <c r="J178" i="4"/>
  <c r="H178" i="4"/>
  <c r="F178" i="4"/>
  <c r="Y177" i="4"/>
  <c r="T177" i="4"/>
  <c r="S177" i="4"/>
  <c r="R177" i="4"/>
  <c r="Q177" i="4"/>
  <c r="P177" i="4"/>
  <c r="B177" i="4" s="1"/>
  <c r="O177" i="4"/>
  <c r="N177" i="4"/>
  <c r="M177" i="4"/>
  <c r="L177" i="4" s="1"/>
  <c r="K177" i="4"/>
  <c r="J177" i="4"/>
  <c r="H177" i="4"/>
  <c r="F177" i="4"/>
  <c r="Y176" i="4"/>
  <c r="T176" i="4"/>
  <c r="S176" i="4"/>
  <c r="R176" i="4"/>
  <c r="Q176" i="4"/>
  <c r="P176" i="4"/>
  <c r="N176" i="4"/>
  <c r="M176" i="4"/>
  <c r="K176" i="4"/>
  <c r="J176" i="4"/>
  <c r="H176" i="4"/>
  <c r="F176" i="4"/>
  <c r="B176" i="4"/>
  <c r="Y175" i="4"/>
  <c r="T175" i="4"/>
  <c r="S175" i="4"/>
  <c r="R175" i="4"/>
  <c r="Q175" i="4"/>
  <c r="P175" i="4"/>
  <c r="N175" i="4"/>
  <c r="M175" i="4"/>
  <c r="O175" i="4" s="1"/>
  <c r="K175" i="4"/>
  <c r="J175" i="4"/>
  <c r="H175" i="4"/>
  <c r="F175" i="4"/>
  <c r="Y174" i="4"/>
  <c r="T174" i="4"/>
  <c r="S174" i="4"/>
  <c r="R174" i="4"/>
  <c r="Q174" i="4"/>
  <c r="P174" i="4"/>
  <c r="O174" i="4"/>
  <c r="N174" i="4"/>
  <c r="M174" i="4"/>
  <c r="L174" i="4"/>
  <c r="K174" i="4"/>
  <c r="J174" i="4"/>
  <c r="H174" i="4"/>
  <c r="F174" i="4"/>
  <c r="Y173" i="4"/>
  <c r="T173" i="4"/>
  <c r="S173" i="4"/>
  <c r="R173" i="4"/>
  <c r="Q173" i="4"/>
  <c r="P173" i="4"/>
  <c r="N173" i="4"/>
  <c r="M173" i="4"/>
  <c r="K173" i="4"/>
  <c r="J173" i="4"/>
  <c r="H173" i="4"/>
  <c r="F173" i="4"/>
  <c r="B173" i="4"/>
  <c r="Y172" i="4"/>
  <c r="T172" i="4"/>
  <c r="S172" i="4"/>
  <c r="R172" i="4"/>
  <c r="Q172" i="4"/>
  <c r="P172" i="4"/>
  <c r="N172" i="4"/>
  <c r="M172" i="4"/>
  <c r="K172" i="4"/>
  <c r="J172" i="4"/>
  <c r="H172" i="4"/>
  <c r="F172" i="4"/>
  <c r="Y171" i="4"/>
  <c r="T171" i="4"/>
  <c r="S171" i="4"/>
  <c r="R171" i="4"/>
  <c r="Q171" i="4"/>
  <c r="P171" i="4"/>
  <c r="N171" i="4"/>
  <c r="M171" i="4"/>
  <c r="L171" i="4"/>
  <c r="K171" i="4"/>
  <c r="J171" i="4"/>
  <c r="H171" i="4"/>
  <c r="F171" i="4"/>
  <c r="Y170" i="4"/>
  <c r="T170" i="4"/>
  <c r="S170" i="4"/>
  <c r="R170" i="4"/>
  <c r="Q170" i="4"/>
  <c r="P170" i="4"/>
  <c r="N170" i="4"/>
  <c r="O170" i="4" s="1"/>
  <c r="M170" i="4"/>
  <c r="L170" i="4" s="1"/>
  <c r="K170" i="4"/>
  <c r="J170" i="4"/>
  <c r="H170" i="4"/>
  <c r="F170" i="4"/>
  <c r="Y169" i="4"/>
  <c r="T169" i="4"/>
  <c r="S169" i="4"/>
  <c r="R169" i="4"/>
  <c r="Q169" i="4"/>
  <c r="P169" i="4"/>
  <c r="N169" i="4"/>
  <c r="O169" i="4" s="1"/>
  <c r="M169" i="4"/>
  <c r="L169" i="4" s="1"/>
  <c r="K169" i="4"/>
  <c r="J169" i="4"/>
  <c r="H169" i="4"/>
  <c r="F169" i="4"/>
  <c r="Y168" i="4"/>
  <c r="T168" i="4"/>
  <c r="B168" i="4" s="1"/>
  <c r="S168" i="4"/>
  <c r="R168" i="4"/>
  <c r="Q168" i="4"/>
  <c r="P168" i="4"/>
  <c r="N168" i="4"/>
  <c r="M168" i="4"/>
  <c r="L168" i="4" s="1"/>
  <c r="K168" i="4"/>
  <c r="J168" i="4"/>
  <c r="H168" i="4"/>
  <c r="F168" i="4"/>
  <c r="Y167" i="4"/>
  <c r="T167" i="4"/>
  <c r="S167" i="4"/>
  <c r="R167" i="4"/>
  <c r="Q167" i="4"/>
  <c r="P167" i="4"/>
  <c r="N167" i="4"/>
  <c r="M167" i="4"/>
  <c r="K167" i="4"/>
  <c r="J167" i="4"/>
  <c r="H167" i="4"/>
  <c r="F167" i="4"/>
  <c r="Y166" i="4"/>
  <c r="T166" i="4"/>
  <c r="S166" i="4"/>
  <c r="R166" i="4"/>
  <c r="Q166" i="4"/>
  <c r="P166" i="4"/>
  <c r="N166" i="4"/>
  <c r="M166" i="4"/>
  <c r="K166" i="4"/>
  <c r="J166" i="4"/>
  <c r="H166" i="4"/>
  <c r="F166" i="4"/>
  <c r="Y165" i="4"/>
  <c r="T165" i="4"/>
  <c r="S165" i="4"/>
  <c r="R165" i="4"/>
  <c r="Q165" i="4"/>
  <c r="P165" i="4"/>
  <c r="N165" i="4"/>
  <c r="M165" i="4"/>
  <c r="O165" i="4" s="1"/>
  <c r="L165" i="4"/>
  <c r="K165" i="4"/>
  <c r="J165" i="4"/>
  <c r="H165" i="4"/>
  <c r="F165" i="4"/>
  <c r="Y164" i="4"/>
  <c r="T164" i="4"/>
  <c r="S164" i="4"/>
  <c r="R164" i="4"/>
  <c r="Q164" i="4"/>
  <c r="P164" i="4"/>
  <c r="N164" i="4"/>
  <c r="O164" i="4" s="1"/>
  <c r="M164" i="4"/>
  <c r="L164" i="4" s="1"/>
  <c r="K164" i="4"/>
  <c r="J164" i="4"/>
  <c r="H164" i="4"/>
  <c r="F164" i="4"/>
  <c r="B164" i="4"/>
  <c r="Y163" i="4"/>
  <c r="T163" i="4"/>
  <c r="S163" i="4"/>
  <c r="R163" i="4"/>
  <c r="Q163" i="4"/>
  <c r="P163" i="4"/>
  <c r="N163" i="4"/>
  <c r="M163" i="4"/>
  <c r="K163" i="4"/>
  <c r="J163" i="4"/>
  <c r="H163" i="4"/>
  <c r="F163" i="4"/>
  <c r="B163" i="4"/>
  <c r="Y162" i="4"/>
  <c r="T162" i="4"/>
  <c r="S162" i="4"/>
  <c r="R162" i="4"/>
  <c r="Q162" i="4"/>
  <c r="P162" i="4"/>
  <c r="N162" i="4"/>
  <c r="M162" i="4"/>
  <c r="O162" i="4" s="1"/>
  <c r="K162" i="4"/>
  <c r="J162" i="4"/>
  <c r="H162" i="4"/>
  <c r="F162" i="4"/>
  <c r="Y161" i="4"/>
  <c r="T161" i="4"/>
  <c r="S161" i="4"/>
  <c r="R161" i="4"/>
  <c r="Q161" i="4"/>
  <c r="P161" i="4"/>
  <c r="O161" i="4"/>
  <c r="N161" i="4"/>
  <c r="M161" i="4"/>
  <c r="L161" i="4"/>
  <c r="K161" i="4"/>
  <c r="J161" i="4"/>
  <c r="H161" i="4"/>
  <c r="F161" i="4"/>
  <c r="Y160" i="4"/>
  <c r="T160" i="4"/>
  <c r="S160" i="4"/>
  <c r="R160" i="4"/>
  <c r="Q160" i="4"/>
  <c r="P160" i="4"/>
  <c r="N160" i="4"/>
  <c r="M160" i="4"/>
  <c r="K160" i="4"/>
  <c r="J160" i="4"/>
  <c r="H160" i="4"/>
  <c r="F160" i="4"/>
  <c r="Y159" i="4"/>
  <c r="T159" i="4"/>
  <c r="S159" i="4"/>
  <c r="R159" i="4"/>
  <c r="Q159" i="4"/>
  <c r="P159" i="4"/>
  <c r="N159" i="4"/>
  <c r="M159" i="4"/>
  <c r="O159" i="4" s="1"/>
  <c r="L159" i="4"/>
  <c r="K159" i="4"/>
  <c r="J159" i="4"/>
  <c r="H159" i="4"/>
  <c r="F159" i="4"/>
  <c r="Y158" i="4"/>
  <c r="T158" i="4"/>
  <c r="S158" i="4"/>
  <c r="R158" i="4"/>
  <c r="Q158" i="4"/>
  <c r="P158" i="4"/>
  <c r="N158" i="4"/>
  <c r="M158" i="4"/>
  <c r="L158" i="4" s="1"/>
  <c r="K158" i="4"/>
  <c r="J158" i="4"/>
  <c r="H158" i="4"/>
  <c r="F158" i="4"/>
  <c r="Y157" i="4"/>
  <c r="T157" i="4"/>
  <c r="S157" i="4"/>
  <c r="R157" i="4"/>
  <c r="Q157" i="4"/>
  <c r="P157" i="4"/>
  <c r="B157" i="4" s="1"/>
  <c r="N157" i="4"/>
  <c r="M157" i="4"/>
  <c r="K157" i="4"/>
  <c r="J157" i="4"/>
  <c r="H157" i="4"/>
  <c r="F157" i="4"/>
  <c r="Y156" i="4"/>
  <c r="T156" i="4"/>
  <c r="S156" i="4"/>
  <c r="R156" i="4"/>
  <c r="Q156" i="4"/>
  <c r="P156" i="4"/>
  <c r="O156" i="4"/>
  <c r="N156" i="4"/>
  <c r="M156" i="4"/>
  <c r="L156" i="4"/>
  <c r="K156" i="4"/>
  <c r="J156" i="4"/>
  <c r="H156" i="4"/>
  <c r="F156" i="4"/>
  <c r="Y155" i="4"/>
  <c r="T155" i="4"/>
  <c r="S155" i="4"/>
  <c r="R155" i="4"/>
  <c r="Q155" i="4"/>
  <c r="P155" i="4"/>
  <c r="B155" i="4" s="1"/>
  <c r="N155" i="4"/>
  <c r="M155" i="4"/>
  <c r="K155" i="4"/>
  <c r="J155" i="4"/>
  <c r="H155" i="4"/>
  <c r="F155" i="4"/>
  <c r="Y154" i="4"/>
  <c r="T154" i="4"/>
  <c r="S154" i="4"/>
  <c r="R154" i="4"/>
  <c r="Q154" i="4"/>
  <c r="P154" i="4"/>
  <c r="N154" i="4"/>
  <c r="M154" i="4"/>
  <c r="L154" i="4" s="1"/>
  <c r="K154" i="4"/>
  <c r="J154" i="4"/>
  <c r="H154" i="4"/>
  <c r="F154" i="4"/>
  <c r="Y153" i="4"/>
  <c r="T153" i="4"/>
  <c r="S153" i="4"/>
  <c r="R153" i="4"/>
  <c r="Q153" i="4"/>
  <c r="P153" i="4"/>
  <c r="N153" i="4"/>
  <c r="M153" i="4"/>
  <c r="L153" i="4" s="1"/>
  <c r="K153" i="4"/>
  <c r="J153" i="4"/>
  <c r="H153" i="4"/>
  <c r="F153" i="4"/>
  <c r="Y152" i="4"/>
  <c r="T152" i="4"/>
  <c r="S152" i="4"/>
  <c r="R152" i="4"/>
  <c r="Q152" i="4"/>
  <c r="P152" i="4"/>
  <c r="N152" i="4"/>
  <c r="M152" i="4"/>
  <c r="O152" i="4" s="1"/>
  <c r="L152" i="4"/>
  <c r="K152" i="4"/>
  <c r="J152" i="4"/>
  <c r="H152" i="4"/>
  <c r="F152" i="4"/>
  <c r="Y151" i="4"/>
  <c r="T151" i="4"/>
  <c r="S151" i="4"/>
  <c r="R151" i="4"/>
  <c r="Q151" i="4"/>
  <c r="P151" i="4"/>
  <c r="N151" i="4"/>
  <c r="M151" i="4"/>
  <c r="L151" i="4"/>
  <c r="K151" i="4"/>
  <c r="J151" i="4"/>
  <c r="H151" i="4"/>
  <c r="F151" i="4"/>
  <c r="Y150" i="4"/>
  <c r="T150" i="4"/>
  <c r="S150" i="4"/>
  <c r="R150" i="4"/>
  <c r="Q150" i="4"/>
  <c r="P150" i="4"/>
  <c r="B150" i="4" s="1"/>
  <c r="N150" i="4"/>
  <c r="M150" i="4"/>
  <c r="L150" i="4" s="1"/>
  <c r="K150" i="4"/>
  <c r="J150" i="4"/>
  <c r="H150" i="4"/>
  <c r="F150" i="4"/>
  <c r="Y149" i="4"/>
  <c r="T149" i="4"/>
  <c r="B149" i="4" s="1"/>
  <c r="S149" i="4"/>
  <c r="R149" i="4"/>
  <c r="Q149" i="4"/>
  <c r="P149" i="4"/>
  <c r="N149" i="4"/>
  <c r="M149" i="4"/>
  <c r="L149" i="4"/>
  <c r="K149" i="4"/>
  <c r="J149" i="4"/>
  <c r="H149" i="4"/>
  <c r="F149" i="4"/>
  <c r="Y148" i="4"/>
  <c r="T148" i="4"/>
  <c r="S148" i="4"/>
  <c r="R148" i="4"/>
  <c r="Q148" i="4"/>
  <c r="P148" i="4"/>
  <c r="N148" i="4"/>
  <c r="M148" i="4"/>
  <c r="K148" i="4"/>
  <c r="J148" i="4"/>
  <c r="H148" i="4"/>
  <c r="F148" i="4"/>
  <c r="Y147" i="4"/>
  <c r="T147" i="4"/>
  <c r="S147" i="4"/>
  <c r="R147" i="4"/>
  <c r="Q147" i="4"/>
  <c r="P147" i="4"/>
  <c r="B147" i="4" s="1"/>
  <c r="N147" i="4"/>
  <c r="O147" i="4" s="1"/>
  <c r="M147" i="4"/>
  <c r="L147" i="4" s="1"/>
  <c r="K147" i="4"/>
  <c r="J147" i="4"/>
  <c r="H147" i="4"/>
  <c r="F147" i="4"/>
  <c r="Y146" i="4"/>
  <c r="T146" i="4"/>
  <c r="S146" i="4"/>
  <c r="R146" i="4"/>
  <c r="Q146" i="4"/>
  <c r="P146" i="4"/>
  <c r="N146" i="4"/>
  <c r="M146" i="4"/>
  <c r="L146" i="4" s="1"/>
  <c r="K146" i="4"/>
  <c r="J146" i="4"/>
  <c r="H146" i="4"/>
  <c r="F146" i="4"/>
  <c r="Y145" i="4"/>
  <c r="T145" i="4"/>
  <c r="S145" i="4"/>
  <c r="R145" i="4"/>
  <c r="Q145" i="4"/>
  <c r="P145" i="4"/>
  <c r="N145" i="4"/>
  <c r="M145" i="4"/>
  <c r="L145" i="4" s="1"/>
  <c r="K145" i="4"/>
  <c r="J145" i="4"/>
  <c r="H145" i="4"/>
  <c r="F145" i="4"/>
  <c r="Y144" i="4"/>
  <c r="T144" i="4"/>
  <c r="S144" i="4"/>
  <c r="R144" i="4"/>
  <c r="Q144" i="4"/>
  <c r="P144" i="4"/>
  <c r="N144" i="4"/>
  <c r="M144" i="4"/>
  <c r="O144" i="4" s="1"/>
  <c r="K144" i="4"/>
  <c r="J144" i="4"/>
  <c r="H144" i="4"/>
  <c r="F144" i="4"/>
  <c r="Y143" i="4"/>
  <c r="T143" i="4"/>
  <c r="S143" i="4"/>
  <c r="R143" i="4"/>
  <c r="Q143" i="4"/>
  <c r="P143" i="4"/>
  <c r="N143" i="4"/>
  <c r="M143" i="4"/>
  <c r="K143" i="4"/>
  <c r="J143" i="4"/>
  <c r="H143" i="4"/>
  <c r="F143" i="4"/>
  <c r="Y142" i="4"/>
  <c r="T142" i="4"/>
  <c r="S142" i="4"/>
  <c r="R142" i="4"/>
  <c r="Q142" i="4"/>
  <c r="P142" i="4"/>
  <c r="N142" i="4"/>
  <c r="M142" i="4"/>
  <c r="K142" i="4"/>
  <c r="J142" i="4"/>
  <c r="H142" i="4"/>
  <c r="F142" i="4"/>
  <c r="Y141" i="4"/>
  <c r="T141" i="4"/>
  <c r="S141" i="4"/>
  <c r="R141" i="4"/>
  <c r="Q141" i="4"/>
  <c r="P141" i="4"/>
  <c r="N141" i="4"/>
  <c r="M141" i="4"/>
  <c r="O141" i="4" s="1"/>
  <c r="L141" i="4"/>
  <c r="K141" i="4"/>
  <c r="J141" i="4"/>
  <c r="H141" i="4"/>
  <c r="F141" i="4"/>
  <c r="Y140" i="4"/>
  <c r="T140" i="4"/>
  <c r="S140" i="4"/>
  <c r="R140" i="4"/>
  <c r="Q140" i="4"/>
  <c r="P140" i="4"/>
  <c r="N140" i="4"/>
  <c r="M140" i="4"/>
  <c r="L140" i="4"/>
  <c r="K140" i="4"/>
  <c r="J140" i="4"/>
  <c r="H140" i="4"/>
  <c r="F140" i="4"/>
  <c r="Y139" i="4"/>
  <c r="T139" i="4"/>
  <c r="S139" i="4"/>
  <c r="R139" i="4"/>
  <c r="Q139" i="4"/>
  <c r="P139" i="4"/>
  <c r="B139" i="4" s="1"/>
  <c r="N139" i="4"/>
  <c r="M139" i="4"/>
  <c r="L139" i="4" s="1"/>
  <c r="K139" i="4"/>
  <c r="J139" i="4"/>
  <c r="H139" i="4"/>
  <c r="F139" i="4"/>
  <c r="Y138" i="4"/>
  <c r="T138" i="4"/>
  <c r="B138" i="4" s="1"/>
  <c r="S138" i="4"/>
  <c r="R138" i="4"/>
  <c r="Q138" i="4"/>
  <c r="P138" i="4"/>
  <c r="N138" i="4"/>
  <c r="M138" i="4"/>
  <c r="L138" i="4"/>
  <c r="K138" i="4"/>
  <c r="J138" i="4"/>
  <c r="H138" i="4"/>
  <c r="F138" i="4"/>
  <c r="Y137" i="4"/>
  <c r="T137" i="4"/>
  <c r="S137" i="4"/>
  <c r="R137" i="4"/>
  <c r="Q137" i="4"/>
  <c r="P137" i="4"/>
  <c r="N137" i="4"/>
  <c r="M137" i="4"/>
  <c r="K137" i="4"/>
  <c r="J137" i="4"/>
  <c r="H137" i="4"/>
  <c r="F137" i="4"/>
  <c r="Y136" i="4"/>
  <c r="T136" i="4"/>
  <c r="S136" i="4"/>
  <c r="R136" i="4"/>
  <c r="Q136" i="4"/>
  <c r="P136" i="4"/>
  <c r="N136" i="4"/>
  <c r="O136" i="4" s="1"/>
  <c r="M136" i="4"/>
  <c r="L136" i="4" s="1"/>
  <c r="K136" i="4"/>
  <c r="J136" i="4"/>
  <c r="H136" i="4"/>
  <c r="F136" i="4"/>
  <c r="B136" i="4"/>
  <c r="Y135" i="4"/>
  <c r="T135" i="4"/>
  <c r="S135" i="4"/>
  <c r="R135" i="4"/>
  <c r="Q135" i="4"/>
  <c r="B135" i="4" s="1"/>
  <c r="P135" i="4"/>
  <c r="N135" i="4"/>
  <c r="M135" i="4"/>
  <c r="L135" i="4" s="1"/>
  <c r="K135" i="4"/>
  <c r="J135" i="4"/>
  <c r="H135" i="4"/>
  <c r="F135" i="4"/>
  <c r="T134" i="4"/>
  <c r="S134" i="4"/>
  <c r="R134" i="4"/>
  <c r="Q134" i="4"/>
  <c r="P134" i="4"/>
  <c r="N134" i="4"/>
  <c r="M134" i="4"/>
  <c r="L134" i="4"/>
  <c r="K134" i="4"/>
  <c r="J134" i="4"/>
  <c r="H134" i="4"/>
  <c r="F134" i="4"/>
  <c r="Y133" i="4"/>
  <c r="T133" i="4"/>
  <c r="S133" i="4"/>
  <c r="R133" i="4"/>
  <c r="Q133" i="4"/>
  <c r="P133" i="4"/>
  <c r="N133" i="4"/>
  <c r="M133" i="4"/>
  <c r="L133" i="4"/>
  <c r="K133" i="4"/>
  <c r="J133" i="4"/>
  <c r="H133" i="4"/>
  <c r="F133" i="4"/>
  <c r="Y132" i="4"/>
  <c r="T132" i="4"/>
  <c r="S132" i="4"/>
  <c r="R132" i="4"/>
  <c r="B132" i="4" s="1"/>
  <c r="Q132" i="4"/>
  <c r="P132" i="4"/>
  <c r="N132" i="4"/>
  <c r="M132" i="4"/>
  <c r="L132" i="4" s="1"/>
  <c r="K132" i="4"/>
  <c r="J132" i="4"/>
  <c r="H132" i="4"/>
  <c r="F132" i="4"/>
  <c r="T131" i="4"/>
  <c r="S131" i="4"/>
  <c r="R131" i="4"/>
  <c r="Q131" i="4"/>
  <c r="P131" i="4"/>
  <c r="N131" i="4"/>
  <c r="O131" i="4" s="1"/>
  <c r="M131" i="4"/>
  <c r="L131" i="4" s="1"/>
  <c r="K131" i="4"/>
  <c r="J131" i="4"/>
  <c r="H131" i="4"/>
  <c r="F131" i="4"/>
  <c r="Y130" i="4"/>
  <c r="T130" i="4"/>
  <c r="S130" i="4"/>
  <c r="R130" i="4"/>
  <c r="Q130" i="4"/>
  <c r="P130" i="4"/>
  <c r="B130" i="4" s="1"/>
  <c r="N130" i="4"/>
  <c r="O130" i="4" s="1"/>
  <c r="M130" i="4"/>
  <c r="L130" i="4" s="1"/>
  <c r="K130" i="4"/>
  <c r="J130" i="4"/>
  <c r="H130" i="4"/>
  <c r="F130" i="4"/>
  <c r="Y129" i="4"/>
  <c r="T129" i="4"/>
  <c r="S129" i="4"/>
  <c r="R129" i="4"/>
  <c r="Q129" i="4"/>
  <c r="P129" i="4"/>
  <c r="N129" i="4"/>
  <c r="M129" i="4"/>
  <c r="L129" i="4" s="1"/>
  <c r="K129" i="4"/>
  <c r="J129" i="4"/>
  <c r="H129" i="4"/>
  <c r="F129" i="4"/>
  <c r="Y128" i="4"/>
  <c r="T128" i="4"/>
  <c r="S128" i="4"/>
  <c r="R128" i="4"/>
  <c r="Q128" i="4"/>
  <c r="P128" i="4"/>
  <c r="N128" i="4"/>
  <c r="M128" i="4"/>
  <c r="L128" i="4"/>
  <c r="K128" i="4"/>
  <c r="J128" i="4"/>
  <c r="H128" i="4"/>
  <c r="F128" i="4"/>
  <c r="Y127" i="4"/>
  <c r="T127" i="4"/>
  <c r="S127" i="4"/>
  <c r="R127" i="4"/>
  <c r="Q127" i="4"/>
  <c r="P127" i="4"/>
  <c r="N127" i="4"/>
  <c r="M127" i="4"/>
  <c r="K127" i="4"/>
  <c r="J127" i="4"/>
  <c r="H127" i="4"/>
  <c r="F127" i="4"/>
  <c r="Y126" i="4"/>
  <c r="T126" i="4"/>
  <c r="S126" i="4"/>
  <c r="R126" i="4"/>
  <c r="Q126" i="4"/>
  <c r="P126" i="4"/>
  <c r="N126" i="4"/>
  <c r="M126" i="4"/>
  <c r="L126" i="4"/>
  <c r="K126" i="4"/>
  <c r="J126" i="4"/>
  <c r="H126" i="4"/>
  <c r="F126" i="4"/>
  <c r="Y125" i="4"/>
  <c r="T125" i="4"/>
  <c r="S125" i="4"/>
  <c r="R125" i="4"/>
  <c r="Q125" i="4"/>
  <c r="B125" i="4" s="1"/>
  <c r="P125" i="4"/>
  <c r="N125" i="4"/>
  <c r="O125" i="4" s="1"/>
  <c r="M125" i="4"/>
  <c r="L125" i="4" s="1"/>
  <c r="K125" i="4"/>
  <c r="J125" i="4"/>
  <c r="H125" i="4"/>
  <c r="F125" i="4"/>
  <c r="Y124" i="4"/>
  <c r="T124" i="4"/>
  <c r="S124" i="4"/>
  <c r="R124" i="4"/>
  <c r="Q124" i="4"/>
  <c r="P124" i="4"/>
  <c r="B124" i="4" s="1"/>
  <c r="N124" i="4"/>
  <c r="M124" i="4"/>
  <c r="K124" i="4"/>
  <c r="J124" i="4"/>
  <c r="H124" i="4"/>
  <c r="F124" i="4"/>
  <c r="Y123" i="4"/>
  <c r="T123" i="4"/>
  <c r="S123" i="4"/>
  <c r="R123" i="4"/>
  <c r="Q123" i="4"/>
  <c r="P123" i="4"/>
  <c r="N123" i="4"/>
  <c r="M123" i="4"/>
  <c r="K123" i="4"/>
  <c r="J123" i="4"/>
  <c r="H123" i="4"/>
  <c r="F123" i="4"/>
  <c r="Y122" i="4"/>
  <c r="T122" i="4"/>
  <c r="S122" i="4"/>
  <c r="R122" i="4"/>
  <c r="Q122" i="4"/>
  <c r="P122" i="4"/>
  <c r="B122" i="4" s="1"/>
  <c r="N122" i="4"/>
  <c r="M122" i="4"/>
  <c r="O122" i="4" s="1"/>
  <c r="L122" i="4"/>
  <c r="K122" i="4"/>
  <c r="J122" i="4"/>
  <c r="H122" i="4"/>
  <c r="F122" i="4"/>
  <c r="Y121" i="4"/>
  <c r="T121" i="4"/>
  <c r="S121" i="4"/>
  <c r="R121" i="4"/>
  <c r="Q121" i="4"/>
  <c r="P121" i="4"/>
  <c r="N121" i="4"/>
  <c r="M121" i="4"/>
  <c r="L121" i="4" s="1"/>
  <c r="K121" i="4"/>
  <c r="J121" i="4"/>
  <c r="H121" i="4"/>
  <c r="F121" i="4"/>
  <c r="Y120" i="4"/>
  <c r="T120" i="4"/>
  <c r="S120" i="4"/>
  <c r="R120" i="4"/>
  <c r="Q120" i="4"/>
  <c r="P120" i="4"/>
  <c r="N120" i="4"/>
  <c r="M120" i="4"/>
  <c r="K120" i="4"/>
  <c r="J120" i="4"/>
  <c r="I120" i="4"/>
  <c r="H120" i="4"/>
  <c r="F120" i="4"/>
  <c r="Y119" i="4"/>
  <c r="T119" i="4"/>
  <c r="S119" i="4"/>
  <c r="R119" i="4"/>
  <c r="Q119" i="4"/>
  <c r="P119" i="4"/>
  <c r="N119" i="4"/>
  <c r="O119" i="4" s="1"/>
  <c r="M119" i="4"/>
  <c r="L119" i="4"/>
  <c r="K119" i="4"/>
  <c r="J119" i="4"/>
  <c r="H119" i="4"/>
  <c r="F119" i="4"/>
  <c r="Y118" i="4"/>
  <c r="T118" i="4"/>
  <c r="S118" i="4"/>
  <c r="R118" i="4"/>
  <c r="Q118" i="4"/>
  <c r="P118" i="4"/>
  <c r="B118" i="4" s="1"/>
  <c r="N118" i="4"/>
  <c r="M118" i="4"/>
  <c r="L118" i="4" s="1"/>
  <c r="K118" i="4"/>
  <c r="J118" i="4"/>
  <c r="H118" i="4"/>
  <c r="F118" i="4"/>
  <c r="Y117" i="4"/>
  <c r="T117" i="4"/>
  <c r="S117" i="4"/>
  <c r="R117" i="4"/>
  <c r="Q117" i="4"/>
  <c r="P117" i="4"/>
  <c r="N117" i="4"/>
  <c r="M117" i="4"/>
  <c r="K117" i="4"/>
  <c r="J117" i="4"/>
  <c r="H117" i="4"/>
  <c r="F117" i="4"/>
  <c r="Y116" i="4"/>
  <c r="T116" i="4"/>
  <c r="B116" i="4" s="1"/>
  <c r="S116" i="4"/>
  <c r="R116" i="4"/>
  <c r="Q116" i="4"/>
  <c r="P116" i="4"/>
  <c r="N116" i="4"/>
  <c r="O116" i="4" s="1"/>
  <c r="M116" i="4"/>
  <c r="L116" i="4"/>
  <c r="K116" i="4"/>
  <c r="J116" i="4"/>
  <c r="H116" i="4"/>
  <c r="F116" i="4"/>
  <c r="Y115" i="4"/>
  <c r="T115" i="4"/>
  <c r="S115" i="4"/>
  <c r="R115" i="4"/>
  <c r="Q115" i="4"/>
  <c r="P115" i="4"/>
  <c r="N115" i="4"/>
  <c r="O115" i="4" s="1"/>
  <c r="M115" i="4"/>
  <c r="K115" i="4"/>
  <c r="J115" i="4"/>
  <c r="H115" i="4"/>
  <c r="F115" i="4"/>
  <c r="Y114" i="4"/>
  <c r="T114" i="4"/>
  <c r="S114" i="4"/>
  <c r="R114" i="4"/>
  <c r="Q114" i="4"/>
  <c r="P114" i="4"/>
  <c r="N114" i="4"/>
  <c r="M114" i="4"/>
  <c r="L114" i="4" s="1"/>
  <c r="K114" i="4"/>
  <c r="J114" i="4"/>
  <c r="H114" i="4"/>
  <c r="F114" i="4"/>
  <c r="Y113" i="4"/>
  <c r="T113" i="4"/>
  <c r="S113" i="4"/>
  <c r="R113" i="4"/>
  <c r="Q113" i="4"/>
  <c r="P113" i="4"/>
  <c r="N113" i="4"/>
  <c r="O113" i="4" s="1"/>
  <c r="M113" i="4"/>
  <c r="L113" i="4" s="1"/>
  <c r="K113" i="4"/>
  <c r="J113" i="4"/>
  <c r="H113" i="4"/>
  <c r="F113" i="4"/>
  <c r="Y112" i="4"/>
  <c r="T112" i="4"/>
  <c r="S112" i="4"/>
  <c r="R112" i="4"/>
  <c r="Q112" i="4"/>
  <c r="P112" i="4"/>
  <c r="N112" i="4"/>
  <c r="M112" i="4"/>
  <c r="L112" i="4"/>
  <c r="K112" i="4"/>
  <c r="J112" i="4"/>
  <c r="H112" i="4"/>
  <c r="F112" i="4"/>
  <c r="Y111" i="4"/>
  <c r="T111" i="4"/>
  <c r="S111" i="4"/>
  <c r="R111" i="4"/>
  <c r="Q111" i="4"/>
  <c r="P111" i="4"/>
  <c r="N111" i="4"/>
  <c r="M111" i="4"/>
  <c r="K111" i="4"/>
  <c r="J111" i="4"/>
  <c r="H111" i="4"/>
  <c r="F111" i="4"/>
  <c r="Y110" i="4"/>
  <c r="T110" i="4"/>
  <c r="S110" i="4"/>
  <c r="R110" i="4"/>
  <c r="Q110" i="4"/>
  <c r="P110" i="4"/>
  <c r="N110" i="4"/>
  <c r="M110" i="4"/>
  <c r="L110" i="4" s="1"/>
  <c r="K110" i="4"/>
  <c r="J110" i="4"/>
  <c r="I110" i="4"/>
  <c r="H110" i="4"/>
  <c r="F110" i="4"/>
  <c r="Y109" i="4"/>
  <c r="T109" i="4"/>
  <c r="S109" i="4"/>
  <c r="R109" i="4"/>
  <c r="Q109" i="4"/>
  <c r="P109" i="4"/>
  <c r="N109" i="4"/>
  <c r="M109" i="4"/>
  <c r="L109" i="4" s="1"/>
  <c r="K109" i="4"/>
  <c r="J109" i="4"/>
  <c r="H109" i="4"/>
  <c r="F109" i="4"/>
  <c r="Y108" i="4"/>
  <c r="U108" i="4"/>
  <c r="T108" i="4"/>
  <c r="S108" i="4"/>
  <c r="R108" i="4"/>
  <c r="Q108" i="4"/>
  <c r="P108" i="4"/>
  <c r="N108" i="4"/>
  <c r="M108" i="4"/>
  <c r="K108" i="4"/>
  <c r="J108" i="4"/>
  <c r="H108" i="4"/>
  <c r="F108" i="4"/>
  <c r="Y107" i="4"/>
  <c r="T107" i="4"/>
  <c r="S107" i="4"/>
  <c r="R107" i="4"/>
  <c r="Q107" i="4"/>
  <c r="P107" i="4"/>
  <c r="N107" i="4"/>
  <c r="M107" i="4"/>
  <c r="K107" i="4"/>
  <c r="J107" i="4"/>
  <c r="H107" i="4"/>
  <c r="F107" i="4"/>
  <c r="Y106" i="4"/>
  <c r="T106" i="4"/>
  <c r="S106" i="4"/>
  <c r="R106" i="4"/>
  <c r="Q106" i="4"/>
  <c r="P106" i="4"/>
  <c r="N106" i="4"/>
  <c r="M106" i="4"/>
  <c r="O106" i="4" s="1"/>
  <c r="K106" i="4"/>
  <c r="J106" i="4"/>
  <c r="H106" i="4"/>
  <c r="F106" i="4"/>
  <c r="Y105" i="4"/>
  <c r="T105" i="4"/>
  <c r="S105" i="4"/>
  <c r="R105" i="4"/>
  <c r="Q105" i="4"/>
  <c r="B105" i="4" s="1"/>
  <c r="P105" i="4"/>
  <c r="N105" i="4"/>
  <c r="O105" i="4" s="1"/>
  <c r="M105" i="4"/>
  <c r="K105" i="4"/>
  <c r="J105" i="4"/>
  <c r="H105" i="4"/>
  <c r="F105" i="4"/>
  <c r="Y104" i="4"/>
  <c r="T104" i="4"/>
  <c r="S104" i="4"/>
  <c r="R104" i="4"/>
  <c r="Q104" i="4"/>
  <c r="P104" i="4"/>
  <c r="N104" i="4"/>
  <c r="M104" i="4"/>
  <c r="K104" i="4"/>
  <c r="J104" i="4"/>
  <c r="H104" i="4"/>
  <c r="F104" i="4"/>
  <c r="Y103" i="4"/>
  <c r="T103" i="4"/>
  <c r="S103" i="4"/>
  <c r="R103" i="4"/>
  <c r="Q103" i="4"/>
  <c r="P103" i="4"/>
  <c r="N103" i="4"/>
  <c r="M103" i="4"/>
  <c r="L103" i="4"/>
  <c r="K103" i="4"/>
  <c r="J103" i="4"/>
  <c r="H103" i="4"/>
  <c r="F103" i="4"/>
  <c r="Y102" i="4"/>
  <c r="T102" i="4"/>
  <c r="S102" i="4"/>
  <c r="R102" i="4"/>
  <c r="Q102" i="4"/>
  <c r="P102" i="4"/>
  <c r="B102" i="4" s="1"/>
  <c r="O102" i="4"/>
  <c r="N102" i="4"/>
  <c r="M102" i="4"/>
  <c r="L102" i="4"/>
  <c r="K102" i="4"/>
  <c r="J102" i="4"/>
  <c r="H102" i="4"/>
  <c r="F102" i="4"/>
  <c r="Y101" i="4"/>
  <c r="T101" i="4"/>
  <c r="S101" i="4"/>
  <c r="R101" i="4"/>
  <c r="Q101" i="4"/>
  <c r="P101" i="4"/>
  <c r="N101" i="4"/>
  <c r="M101" i="4"/>
  <c r="K101" i="4"/>
  <c r="J101" i="4"/>
  <c r="H101" i="4"/>
  <c r="F101" i="4"/>
  <c r="Y100" i="4"/>
  <c r="T100" i="4"/>
  <c r="S100" i="4"/>
  <c r="R100" i="4"/>
  <c r="Q100" i="4"/>
  <c r="P100" i="4"/>
  <c r="N100" i="4"/>
  <c r="M100" i="4"/>
  <c r="L100" i="4" s="1"/>
  <c r="K100" i="4"/>
  <c r="J100" i="4"/>
  <c r="H100" i="4"/>
  <c r="F100" i="4"/>
  <c r="Y99" i="4"/>
  <c r="T99" i="4"/>
  <c r="S99" i="4"/>
  <c r="R99" i="4"/>
  <c r="Q99" i="4"/>
  <c r="P99" i="4"/>
  <c r="B99" i="4" s="1"/>
  <c r="N99" i="4"/>
  <c r="M99" i="4"/>
  <c r="K99" i="4"/>
  <c r="J99" i="4"/>
  <c r="H99" i="4"/>
  <c r="F99" i="4"/>
  <c r="Y98" i="4"/>
  <c r="T98" i="4"/>
  <c r="S98" i="4"/>
  <c r="B98" i="4" s="1"/>
  <c r="R98" i="4"/>
  <c r="Q98" i="4"/>
  <c r="P98" i="4"/>
  <c r="N98" i="4"/>
  <c r="M98" i="4"/>
  <c r="K98" i="4"/>
  <c r="J98" i="4"/>
  <c r="H98" i="4"/>
  <c r="F98" i="4"/>
  <c r="Y97" i="4"/>
  <c r="T97" i="4"/>
  <c r="S97" i="4"/>
  <c r="R97" i="4"/>
  <c r="Q97" i="4"/>
  <c r="P97" i="4"/>
  <c r="B97" i="4" s="1"/>
  <c r="N97" i="4"/>
  <c r="O97" i="4" s="1"/>
  <c r="M97" i="4"/>
  <c r="K97" i="4"/>
  <c r="J97" i="4"/>
  <c r="H97" i="4"/>
  <c r="F97" i="4"/>
  <c r="T96" i="4"/>
  <c r="S96" i="4"/>
  <c r="R96" i="4"/>
  <c r="Q96" i="4"/>
  <c r="P96" i="4"/>
  <c r="N96" i="4"/>
  <c r="M96" i="4"/>
  <c r="O96" i="4" s="1"/>
  <c r="K96" i="4"/>
  <c r="J96" i="4"/>
  <c r="H96" i="4"/>
  <c r="F96" i="4"/>
  <c r="Y95" i="4"/>
  <c r="T95" i="4"/>
  <c r="S95" i="4"/>
  <c r="B95" i="4" s="1"/>
  <c r="R95" i="4"/>
  <c r="Q95" i="4"/>
  <c r="P95" i="4"/>
  <c r="N95" i="4"/>
  <c r="M95" i="4"/>
  <c r="K95" i="4"/>
  <c r="J95" i="4"/>
  <c r="H95" i="4"/>
  <c r="F95" i="4"/>
  <c r="Y94" i="4"/>
  <c r="T94" i="4"/>
  <c r="S94" i="4"/>
  <c r="R94" i="4"/>
  <c r="Q94" i="4"/>
  <c r="P94" i="4"/>
  <c r="B94" i="4" s="1"/>
  <c r="N94" i="4"/>
  <c r="O94" i="4" s="1"/>
  <c r="M94" i="4"/>
  <c r="K94" i="4"/>
  <c r="J94" i="4"/>
  <c r="H94" i="4"/>
  <c r="F94" i="4"/>
  <c r="Y93" i="4"/>
  <c r="T93" i="4"/>
  <c r="S93" i="4"/>
  <c r="R93" i="4"/>
  <c r="Q93" i="4"/>
  <c r="P93" i="4"/>
  <c r="N93" i="4"/>
  <c r="M93" i="4"/>
  <c r="O93" i="4" s="1"/>
  <c r="K93" i="4"/>
  <c r="J93" i="4"/>
  <c r="H93" i="4"/>
  <c r="F93" i="4"/>
  <c r="Y92" i="4"/>
  <c r="T92" i="4"/>
  <c r="S92" i="4"/>
  <c r="R92" i="4"/>
  <c r="Q92" i="4"/>
  <c r="P92" i="4"/>
  <c r="N92" i="4"/>
  <c r="O92" i="4" s="1"/>
  <c r="M92" i="4"/>
  <c r="L92" i="4" s="1"/>
  <c r="K92" i="4"/>
  <c r="J92" i="4"/>
  <c r="H92" i="4"/>
  <c r="F92" i="4"/>
  <c r="Y91" i="4"/>
  <c r="T91" i="4"/>
  <c r="S91" i="4"/>
  <c r="R91" i="4"/>
  <c r="Q91" i="4"/>
  <c r="P91" i="4"/>
  <c r="N91" i="4"/>
  <c r="M91" i="4"/>
  <c r="L91" i="4"/>
  <c r="K91" i="4"/>
  <c r="J91" i="4"/>
  <c r="H91" i="4"/>
  <c r="F91" i="4"/>
  <c r="Y90" i="4"/>
  <c r="T90" i="4"/>
  <c r="S90" i="4"/>
  <c r="R90" i="4"/>
  <c r="Q90" i="4"/>
  <c r="P90" i="4"/>
  <c r="N90" i="4"/>
  <c r="M90" i="4"/>
  <c r="O90" i="4" s="1"/>
  <c r="L90" i="4"/>
  <c r="K90" i="4"/>
  <c r="J90" i="4"/>
  <c r="H90" i="4"/>
  <c r="F90" i="4"/>
  <c r="Y89" i="4"/>
  <c r="T89" i="4"/>
  <c r="S89" i="4"/>
  <c r="R89" i="4"/>
  <c r="Q89" i="4"/>
  <c r="P89" i="4"/>
  <c r="N89" i="4"/>
  <c r="O89" i="4" s="1"/>
  <c r="M89" i="4"/>
  <c r="L89" i="4" s="1"/>
  <c r="K89" i="4"/>
  <c r="J89" i="4"/>
  <c r="H89" i="4"/>
  <c r="F89" i="4"/>
  <c r="Y88" i="4"/>
  <c r="T88" i="4"/>
  <c r="S88" i="4"/>
  <c r="R88" i="4"/>
  <c r="Q88" i="4"/>
  <c r="P88" i="4"/>
  <c r="N88" i="4"/>
  <c r="M88" i="4"/>
  <c r="O88" i="4" s="1"/>
  <c r="L88" i="4"/>
  <c r="K88" i="4"/>
  <c r="J88" i="4"/>
  <c r="H88" i="4"/>
  <c r="F88" i="4"/>
  <c r="Y87" i="4"/>
  <c r="T87" i="4"/>
  <c r="S87" i="4"/>
  <c r="R87" i="4"/>
  <c r="Q87" i="4"/>
  <c r="P87" i="4"/>
  <c r="N87" i="4"/>
  <c r="M87" i="4"/>
  <c r="K87" i="4"/>
  <c r="J87" i="4"/>
  <c r="H87" i="4"/>
  <c r="F87" i="4"/>
  <c r="Y86" i="4"/>
  <c r="T86" i="4"/>
  <c r="S86" i="4"/>
  <c r="R86" i="4"/>
  <c r="Q86" i="4"/>
  <c r="P86" i="4"/>
  <c r="N86" i="4"/>
  <c r="M86" i="4"/>
  <c r="K86" i="4"/>
  <c r="J86" i="4"/>
  <c r="H86" i="4"/>
  <c r="F86" i="4"/>
  <c r="Y85" i="4"/>
  <c r="T85" i="4"/>
  <c r="S85" i="4"/>
  <c r="R85" i="4"/>
  <c r="Q85" i="4"/>
  <c r="P85" i="4"/>
  <c r="N85" i="4"/>
  <c r="M85" i="4"/>
  <c r="K85" i="4"/>
  <c r="J85" i="4"/>
  <c r="I85" i="4"/>
  <c r="H85" i="4"/>
  <c r="F85" i="4"/>
  <c r="Y84" i="4"/>
  <c r="T84" i="4"/>
  <c r="S84" i="4"/>
  <c r="R84" i="4"/>
  <c r="Q84" i="4"/>
  <c r="P84" i="4"/>
  <c r="N84" i="4"/>
  <c r="O84" i="4" s="1"/>
  <c r="M84" i="4"/>
  <c r="L84" i="4"/>
  <c r="K84" i="4"/>
  <c r="J84" i="4"/>
  <c r="H84" i="4"/>
  <c r="F84" i="4"/>
  <c r="Y83" i="4"/>
  <c r="T83" i="4"/>
  <c r="S83" i="4"/>
  <c r="R83" i="4"/>
  <c r="Q83" i="4"/>
  <c r="P83" i="4"/>
  <c r="N83" i="4"/>
  <c r="M83" i="4"/>
  <c r="O83" i="4" s="1"/>
  <c r="L83" i="4"/>
  <c r="K83" i="4"/>
  <c r="J83" i="4"/>
  <c r="H83" i="4"/>
  <c r="F83" i="4"/>
  <c r="Y82" i="4"/>
  <c r="T82" i="4"/>
  <c r="S82" i="4"/>
  <c r="B82" i="4" s="1"/>
  <c r="R82" i="4"/>
  <c r="Q82" i="4"/>
  <c r="P82" i="4"/>
  <c r="N82" i="4"/>
  <c r="M82" i="4"/>
  <c r="L82" i="4"/>
  <c r="K82" i="4"/>
  <c r="J82" i="4"/>
  <c r="H82" i="4"/>
  <c r="F82" i="4"/>
  <c r="Y81" i="4"/>
  <c r="T81" i="4"/>
  <c r="S81" i="4"/>
  <c r="R81" i="4"/>
  <c r="Q81" i="4"/>
  <c r="P81" i="4"/>
  <c r="N81" i="4"/>
  <c r="M81" i="4"/>
  <c r="L81" i="4" s="1"/>
  <c r="K81" i="4"/>
  <c r="J81" i="4"/>
  <c r="H81" i="4"/>
  <c r="F81" i="4"/>
  <c r="Y80" i="4"/>
  <c r="T80" i="4"/>
  <c r="S80" i="4"/>
  <c r="R80" i="4"/>
  <c r="Q80" i="4"/>
  <c r="P80" i="4"/>
  <c r="N80" i="4"/>
  <c r="M80" i="4"/>
  <c r="O80" i="4" s="1"/>
  <c r="K80" i="4"/>
  <c r="J80" i="4"/>
  <c r="H80" i="4"/>
  <c r="F80" i="4"/>
  <c r="Y79" i="4"/>
  <c r="T79" i="4"/>
  <c r="S79" i="4"/>
  <c r="R79" i="4"/>
  <c r="Q79" i="4"/>
  <c r="P79" i="4"/>
  <c r="N79" i="4"/>
  <c r="M79" i="4"/>
  <c r="K79" i="4"/>
  <c r="J79" i="4"/>
  <c r="H79" i="4"/>
  <c r="F79" i="4"/>
  <c r="T78" i="4"/>
  <c r="S78" i="4"/>
  <c r="R78" i="4"/>
  <c r="Q78" i="4"/>
  <c r="P78" i="4"/>
  <c r="B78" i="4" s="1"/>
  <c r="N78" i="4"/>
  <c r="M78" i="4"/>
  <c r="L78" i="4" s="1"/>
  <c r="K78" i="4"/>
  <c r="J78" i="4"/>
  <c r="H78" i="4"/>
  <c r="F78" i="4"/>
  <c r="Y77" i="4"/>
  <c r="U77" i="4"/>
  <c r="T77" i="4"/>
  <c r="S77" i="4"/>
  <c r="R77" i="4"/>
  <c r="Q77" i="4"/>
  <c r="P77" i="4"/>
  <c r="N77" i="4"/>
  <c r="M77" i="4"/>
  <c r="O77" i="4" s="1"/>
  <c r="L77" i="4"/>
  <c r="K77" i="4"/>
  <c r="J77" i="4"/>
  <c r="H77" i="4"/>
  <c r="F77" i="4"/>
  <c r="T76" i="4"/>
  <c r="S76" i="4"/>
  <c r="R76" i="4"/>
  <c r="Q76" i="4"/>
  <c r="P76" i="4"/>
  <c r="N76" i="4"/>
  <c r="M76" i="4"/>
  <c r="L76" i="4" s="1"/>
  <c r="K76" i="4"/>
  <c r="J76" i="4"/>
  <c r="H76" i="4"/>
  <c r="F76" i="4"/>
  <c r="Y75" i="4"/>
  <c r="T75" i="4"/>
  <c r="S75" i="4"/>
  <c r="R75" i="4"/>
  <c r="Q75" i="4"/>
  <c r="P75" i="4"/>
  <c r="N75" i="4"/>
  <c r="M75" i="4"/>
  <c r="U75" i="4" s="1"/>
  <c r="K75" i="4"/>
  <c r="J75" i="4"/>
  <c r="H75" i="4"/>
  <c r="F75" i="4"/>
  <c r="Y74" i="4"/>
  <c r="T74" i="4"/>
  <c r="S74" i="4"/>
  <c r="R74" i="4"/>
  <c r="Q74" i="4"/>
  <c r="P74" i="4"/>
  <c r="N74" i="4"/>
  <c r="M74" i="4"/>
  <c r="O74" i="4" s="1"/>
  <c r="K74" i="4"/>
  <c r="J74" i="4"/>
  <c r="H74" i="4"/>
  <c r="F74" i="4"/>
  <c r="Y73" i="4"/>
  <c r="T73" i="4"/>
  <c r="S73" i="4"/>
  <c r="R73" i="4"/>
  <c r="Q73" i="4"/>
  <c r="P73" i="4"/>
  <c r="B73" i="4" s="1"/>
  <c r="N73" i="4"/>
  <c r="M73" i="4"/>
  <c r="L73" i="4" s="1"/>
  <c r="K73" i="4"/>
  <c r="J73" i="4"/>
  <c r="H73" i="4"/>
  <c r="F73" i="4"/>
  <c r="Y72" i="4"/>
  <c r="T72" i="4"/>
  <c r="S72" i="4"/>
  <c r="R72" i="4"/>
  <c r="Q72" i="4"/>
  <c r="P72" i="4"/>
  <c r="N72" i="4"/>
  <c r="M72" i="4"/>
  <c r="K72" i="4"/>
  <c r="J72" i="4"/>
  <c r="I72" i="4"/>
  <c r="H72" i="4"/>
  <c r="F72" i="4"/>
  <c r="Y71" i="4"/>
  <c r="T71" i="4"/>
  <c r="S71" i="4"/>
  <c r="R71" i="4"/>
  <c r="Q71" i="4"/>
  <c r="P71" i="4"/>
  <c r="N71" i="4"/>
  <c r="M71" i="4"/>
  <c r="L71" i="4" s="1"/>
  <c r="K71" i="4"/>
  <c r="J71" i="4"/>
  <c r="H71" i="4"/>
  <c r="F71" i="4"/>
  <c r="Y70" i="4"/>
  <c r="T70" i="4"/>
  <c r="B70" i="4" s="1"/>
  <c r="S70" i="4"/>
  <c r="R70" i="4"/>
  <c r="Q70" i="4"/>
  <c r="P70" i="4"/>
  <c r="N70" i="4"/>
  <c r="M70" i="4"/>
  <c r="L70" i="4"/>
  <c r="K70" i="4"/>
  <c r="J70" i="4"/>
  <c r="H70" i="4"/>
  <c r="F70" i="4"/>
  <c r="Y69" i="4"/>
  <c r="T69" i="4"/>
  <c r="S69" i="4"/>
  <c r="R69" i="4"/>
  <c r="Q69" i="4"/>
  <c r="P69" i="4"/>
  <c r="N69" i="4"/>
  <c r="M69" i="4"/>
  <c r="L69" i="4"/>
  <c r="K69" i="4"/>
  <c r="J69" i="4"/>
  <c r="I69" i="4"/>
  <c r="H69" i="4"/>
  <c r="F69" i="4"/>
  <c r="Y68" i="4"/>
  <c r="T68" i="4"/>
  <c r="S68" i="4"/>
  <c r="R68" i="4"/>
  <c r="Q68" i="4"/>
  <c r="P68" i="4"/>
  <c r="B68" i="4" s="1"/>
  <c r="N68" i="4"/>
  <c r="M68" i="4"/>
  <c r="L68" i="4"/>
  <c r="K68" i="4"/>
  <c r="J68" i="4"/>
  <c r="H68" i="4"/>
  <c r="F68" i="4"/>
  <c r="Y67" i="4"/>
  <c r="T67" i="4"/>
  <c r="S67" i="4"/>
  <c r="R67" i="4"/>
  <c r="Q67" i="4"/>
  <c r="P67" i="4"/>
  <c r="B67" i="4" s="1"/>
  <c r="N67" i="4"/>
  <c r="M67" i="4"/>
  <c r="L67" i="4" s="1"/>
  <c r="K67" i="4"/>
  <c r="J67" i="4"/>
  <c r="H67" i="4"/>
  <c r="F67" i="4"/>
  <c r="Y66" i="4"/>
  <c r="T66" i="4"/>
  <c r="S66" i="4"/>
  <c r="R66" i="4"/>
  <c r="Q66" i="4"/>
  <c r="P66" i="4"/>
  <c r="N66" i="4"/>
  <c r="M66" i="4"/>
  <c r="O66" i="4" s="1"/>
  <c r="K66" i="4"/>
  <c r="J66" i="4"/>
  <c r="H66" i="4"/>
  <c r="F66" i="4"/>
  <c r="Y65" i="4"/>
  <c r="T65" i="4"/>
  <c r="S65" i="4"/>
  <c r="R65" i="4"/>
  <c r="Q65" i="4"/>
  <c r="P65" i="4"/>
  <c r="N65" i="4"/>
  <c r="M65" i="4"/>
  <c r="L65" i="4" s="1"/>
  <c r="K65" i="4"/>
  <c r="J65" i="4"/>
  <c r="H65" i="4"/>
  <c r="F65" i="4"/>
  <c r="T64" i="4"/>
  <c r="S64" i="4"/>
  <c r="R64" i="4"/>
  <c r="Q64" i="4"/>
  <c r="P64" i="4"/>
  <c r="B64" i="4" s="1"/>
  <c r="N64" i="4"/>
  <c r="M64" i="4"/>
  <c r="L64" i="4" s="1"/>
  <c r="K64" i="4"/>
  <c r="J64" i="4"/>
  <c r="H64" i="4"/>
  <c r="F64" i="4"/>
  <c r="Y63" i="4"/>
  <c r="U63" i="4"/>
  <c r="T63" i="4"/>
  <c r="S63" i="4"/>
  <c r="R63" i="4"/>
  <c r="Q63" i="4"/>
  <c r="P63" i="4"/>
  <c r="N63" i="4"/>
  <c r="M63" i="4"/>
  <c r="O63" i="4" s="1"/>
  <c r="L63" i="4"/>
  <c r="K63" i="4"/>
  <c r="J63" i="4"/>
  <c r="H63" i="4"/>
  <c r="F63" i="4"/>
  <c r="Y62" i="4"/>
  <c r="T62" i="4"/>
  <c r="S62" i="4"/>
  <c r="R62" i="4"/>
  <c r="B62" i="4" s="1"/>
  <c r="Q62" i="4"/>
  <c r="P62" i="4"/>
  <c r="N62" i="4"/>
  <c r="M62" i="4"/>
  <c r="K62" i="4"/>
  <c r="J62" i="4"/>
  <c r="H62" i="4"/>
  <c r="F62" i="4"/>
  <c r="Y61" i="4"/>
  <c r="T61" i="4"/>
  <c r="S61" i="4"/>
  <c r="R61" i="4"/>
  <c r="Q61" i="4"/>
  <c r="P61" i="4"/>
  <c r="N61" i="4"/>
  <c r="O61" i="4" s="1"/>
  <c r="M61" i="4"/>
  <c r="K61" i="4"/>
  <c r="J61" i="4"/>
  <c r="H61" i="4"/>
  <c r="F61" i="4"/>
  <c r="Y60" i="4"/>
  <c r="T60" i="4"/>
  <c r="S60" i="4"/>
  <c r="R60" i="4"/>
  <c r="Q60" i="4"/>
  <c r="P60" i="4"/>
  <c r="N60" i="4"/>
  <c r="M60" i="4"/>
  <c r="K60" i="4"/>
  <c r="J60" i="4"/>
  <c r="H60" i="4"/>
  <c r="F60" i="4"/>
  <c r="Y59" i="4"/>
  <c r="T59" i="4"/>
  <c r="S59" i="4"/>
  <c r="R59" i="4"/>
  <c r="Q59" i="4"/>
  <c r="P59" i="4"/>
  <c r="O59" i="4"/>
  <c r="N59" i="4"/>
  <c r="M59" i="4"/>
  <c r="L59" i="4"/>
  <c r="K59" i="4"/>
  <c r="J59" i="4"/>
  <c r="H59" i="4"/>
  <c r="F59" i="4"/>
  <c r="Y58" i="4"/>
  <c r="T58" i="4"/>
  <c r="S58" i="4"/>
  <c r="R58" i="4"/>
  <c r="Q58" i="4"/>
  <c r="P58" i="4"/>
  <c r="N58" i="4"/>
  <c r="M58" i="4"/>
  <c r="O58" i="4" s="1"/>
  <c r="K58" i="4"/>
  <c r="J58" i="4"/>
  <c r="H58" i="4"/>
  <c r="F58" i="4"/>
  <c r="Y57" i="4"/>
  <c r="T57" i="4"/>
  <c r="S57" i="4"/>
  <c r="R57" i="4"/>
  <c r="Q57" i="4"/>
  <c r="P57" i="4"/>
  <c r="N57" i="4"/>
  <c r="M57" i="4"/>
  <c r="L57" i="4" s="1"/>
  <c r="K57" i="4"/>
  <c r="J57" i="4"/>
  <c r="H57" i="4"/>
  <c r="F57" i="4"/>
  <c r="Y56" i="4"/>
  <c r="T56" i="4"/>
  <c r="S56" i="4"/>
  <c r="R56" i="4"/>
  <c r="Q56" i="4"/>
  <c r="P56" i="4"/>
  <c r="N56" i="4"/>
  <c r="M56" i="4"/>
  <c r="U56" i="4" s="1"/>
  <c r="K56" i="4"/>
  <c r="J56" i="4"/>
  <c r="H56" i="4"/>
  <c r="F56" i="4"/>
  <c r="Y55" i="4"/>
  <c r="T55" i="4"/>
  <c r="S55" i="4"/>
  <c r="R55" i="4"/>
  <c r="B55" i="4" s="1"/>
  <c r="Q55" i="4"/>
  <c r="P55" i="4"/>
  <c r="N55" i="4"/>
  <c r="O55" i="4" s="1"/>
  <c r="M55" i="4"/>
  <c r="L55" i="4"/>
  <c r="K55" i="4"/>
  <c r="J55" i="4"/>
  <c r="H55" i="4"/>
  <c r="F55" i="4"/>
  <c r="Y54" i="4"/>
  <c r="T54" i="4"/>
  <c r="S54" i="4"/>
  <c r="R54" i="4"/>
  <c r="Q54" i="4"/>
  <c r="P54" i="4"/>
  <c r="N54" i="4"/>
  <c r="M54" i="4"/>
  <c r="L54" i="4" s="1"/>
  <c r="K54" i="4"/>
  <c r="J54" i="4"/>
  <c r="H54" i="4"/>
  <c r="F54" i="4"/>
  <c r="Y53" i="4"/>
  <c r="T53" i="4"/>
  <c r="S53" i="4"/>
  <c r="R53" i="4"/>
  <c r="Q53" i="4"/>
  <c r="P53" i="4"/>
  <c r="N53" i="4"/>
  <c r="M53" i="4"/>
  <c r="O53" i="4" s="1"/>
  <c r="K53" i="4"/>
  <c r="J53" i="4"/>
  <c r="H53" i="4"/>
  <c r="F53" i="4"/>
  <c r="Y52" i="4"/>
  <c r="T52" i="4"/>
  <c r="S52" i="4"/>
  <c r="R52" i="4"/>
  <c r="Q52" i="4"/>
  <c r="P52" i="4"/>
  <c r="N52" i="4"/>
  <c r="M52" i="4"/>
  <c r="L52" i="4" s="1"/>
  <c r="K52" i="4"/>
  <c r="J52" i="4"/>
  <c r="H52" i="4"/>
  <c r="F52" i="4"/>
  <c r="Y51" i="4"/>
  <c r="T51" i="4"/>
  <c r="S51" i="4"/>
  <c r="R51" i="4"/>
  <c r="Q51" i="4"/>
  <c r="P51" i="4"/>
  <c r="N51" i="4"/>
  <c r="M51" i="4"/>
  <c r="U51" i="4" s="1"/>
  <c r="K51" i="4"/>
  <c r="J51" i="4"/>
  <c r="H51" i="4"/>
  <c r="F51" i="4"/>
  <c r="Y50" i="4"/>
  <c r="T50" i="4"/>
  <c r="S50" i="4"/>
  <c r="R50" i="4"/>
  <c r="Q50" i="4"/>
  <c r="P50" i="4"/>
  <c r="N50" i="4"/>
  <c r="M50" i="4"/>
  <c r="K50" i="4"/>
  <c r="J50" i="4"/>
  <c r="I50" i="4"/>
  <c r="H50" i="4"/>
  <c r="F50" i="4"/>
  <c r="Y49" i="4"/>
  <c r="T49" i="4"/>
  <c r="S49" i="4"/>
  <c r="R49" i="4"/>
  <c r="Q49" i="4"/>
  <c r="P49" i="4"/>
  <c r="N49" i="4"/>
  <c r="M49" i="4"/>
  <c r="O49" i="4" s="1"/>
  <c r="L49" i="4"/>
  <c r="K49" i="4"/>
  <c r="J49" i="4"/>
  <c r="H49" i="4"/>
  <c r="F49" i="4"/>
  <c r="Y48" i="4"/>
  <c r="T48" i="4"/>
  <c r="S48" i="4"/>
  <c r="R48" i="4"/>
  <c r="Q48" i="4"/>
  <c r="P48" i="4"/>
  <c r="N48" i="4"/>
  <c r="O48" i="4" s="1"/>
  <c r="M48" i="4"/>
  <c r="L48" i="4" s="1"/>
  <c r="K48" i="4"/>
  <c r="J48" i="4"/>
  <c r="H48" i="4"/>
  <c r="F48" i="4"/>
  <c r="Y47" i="4"/>
  <c r="T47" i="4"/>
  <c r="S47" i="4"/>
  <c r="R47" i="4"/>
  <c r="Q47" i="4"/>
  <c r="P47" i="4"/>
  <c r="N47" i="4"/>
  <c r="M47" i="4"/>
  <c r="O47" i="4" s="1"/>
  <c r="L47" i="4"/>
  <c r="K47" i="4"/>
  <c r="J47" i="4"/>
  <c r="H47" i="4"/>
  <c r="F47" i="4"/>
  <c r="Y46" i="4"/>
  <c r="T46" i="4"/>
  <c r="S46" i="4"/>
  <c r="R46" i="4"/>
  <c r="Q46" i="4"/>
  <c r="P46" i="4"/>
  <c r="N46" i="4"/>
  <c r="O46" i="4" s="1"/>
  <c r="M46" i="4"/>
  <c r="K46" i="4"/>
  <c r="J46" i="4"/>
  <c r="H46" i="4"/>
  <c r="F46" i="4"/>
  <c r="Y45" i="4"/>
  <c r="T45" i="4"/>
  <c r="S45" i="4"/>
  <c r="R45" i="4"/>
  <c r="Q45" i="4"/>
  <c r="P45" i="4"/>
  <c r="N45" i="4"/>
  <c r="M45" i="4"/>
  <c r="K45" i="4"/>
  <c r="J45" i="4"/>
  <c r="H45" i="4"/>
  <c r="F45" i="4"/>
  <c r="Y44" i="4"/>
  <c r="T44" i="4"/>
  <c r="S44" i="4"/>
  <c r="R44" i="4"/>
  <c r="Q44" i="4"/>
  <c r="P44" i="4"/>
  <c r="N44" i="4"/>
  <c r="M44" i="4"/>
  <c r="L44" i="4"/>
  <c r="K44" i="4"/>
  <c r="J44" i="4"/>
  <c r="H44" i="4"/>
  <c r="F44" i="4"/>
  <c r="Y43" i="4"/>
  <c r="T43" i="4"/>
  <c r="S43" i="4"/>
  <c r="R43" i="4"/>
  <c r="Q43" i="4"/>
  <c r="P43" i="4"/>
  <c r="O43" i="4"/>
  <c r="N43" i="4"/>
  <c r="M43" i="4"/>
  <c r="L43" i="4"/>
  <c r="K43" i="4"/>
  <c r="J43" i="4"/>
  <c r="H43" i="4"/>
  <c r="F43" i="4"/>
  <c r="Y42" i="4"/>
  <c r="T42" i="4"/>
  <c r="S42" i="4"/>
  <c r="R42" i="4"/>
  <c r="Q42" i="4"/>
  <c r="P42" i="4"/>
  <c r="N42" i="4"/>
  <c r="O42" i="4" s="1"/>
  <c r="M42" i="4"/>
  <c r="L42" i="4" s="1"/>
  <c r="K42" i="4"/>
  <c r="J42" i="4"/>
  <c r="H42" i="4"/>
  <c r="F42" i="4"/>
  <c r="B42" i="4"/>
  <c r="Y41" i="4"/>
  <c r="T41" i="4"/>
  <c r="S41" i="4"/>
  <c r="R41" i="4"/>
  <c r="Q41" i="4"/>
  <c r="P41" i="4"/>
  <c r="N41" i="4"/>
  <c r="M41" i="4"/>
  <c r="L41" i="4" s="1"/>
  <c r="K41" i="4"/>
  <c r="J41" i="4"/>
  <c r="H41" i="4"/>
  <c r="F41" i="4"/>
  <c r="Y40" i="4"/>
  <c r="T40" i="4"/>
  <c r="S40" i="4"/>
  <c r="R40" i="4"/>
  <c r="Q40" i="4"/>
  <c r="P40" i="4"/>
  <c r="N40" i="4"/>
  <c r="M40" i="4"/>
  <c r="K40" i="4"/>
  <c r="J40" i="4"/>
  <c r="H40" i="4"/>
  <c r="F40" i="4"/>
  <c r="Y39" i="4"/>
  <c r="T39" i="4"/>
  <c r="S39" i="4"/>
  <c r="R39" i="4"/>
  <c r="Q39" i="4"/>
  <c r="P39" i="4"/>
  <c r="N39" i="4"/>
  <c r="O39" i="4" s="1"/>
  <c r="M39" i="4"/>
  <c r="L39" i="4" s="1"/>
  <c r="K39" i="4"/>
  <c r="J39" i="4"/>
  <c r="H39" i="4"/>
  <c r="F39" i="4"/>
  <c r="Y38" i="4"/>
  <c r="T38" i="4"/>
  <c r="S38" i="4"/>
  <c r="R38" i="4"/>
  <c r="Q38" i="4"/>
  <c r="P38" i="4"/>
  <c r="N38" i="4"/>
  <c r="M38" i="4"/>
  <c r="O38" i="4" s="1"/>
  <c r="L38" i="4"/>
  <c r="K38" i="4"/>
  <c r="J38" i="4"/>
  <c r="I38" i="4"/>
  <c r="H38" i="4"/>
  <c r="F38" i="4"/>
  <c r="Y37" i="4"/>
  <c r="T37" i="4"/>
  <c r="S37" i="4"/>
  <c r="R37" i="4"/>
  <c r="Q37" i="4"/>
  <c r="P37" i="4"/>
  <c r="N37" i="4"/>
  <c r="M37" i="4"/>
  <c r="K37" i="4"/>
  <c r="J37" i="4"/>
  <c r="H37" i="4"/>
  <c r="F37" i="4"/>
  <c r="Y36" i="4"/>
  <c r="T36" i="4"/>
  <c r="S36" i="4"/>
  <c r="R36" i="4"/>
  <c r="Q36" i="4"/>
  <c r="P36" i="4"/>
  <c r="N36" i="4"/>
  <c r="M36" i="4"/>
  <c r="L36" i="4" s="1"/>
  <c r="K36" i="4"/>
  <c r="J36" i="4"/>
  <c r="H36" i="4"/>
  <c r="F36" i="4"/>
  <c r="T35" i="4"/>
  <c r="S35" i="4"/>
  <c r="R35" i="4"/>
  <c r="Q35" i="4"/>
  <c r="P35" i="4"/>
  <c r="O35" i="4"/>
  <c r="N35" i="4"/>
  <c r="M35" i="4"/>
  <c r="L35" i="4" s="1"/>
  <c r="K35" i="4"/>
  <c r="J35" i="4"/>
  <c r="H35" i="4"/>
  <c r="F35" i="4"/>
  <c r="Y34" i="4"/>
  <c r="T34" i="4"/>
  <c r="S34" i="4"/>
  <c r="R34" i="4"/>
  <c r="Q34" i="4"/>
  <c r="P34" i="4"/>
  <c r="B34" i="4" s="1"/>
  <c r="N34" i="4"/>
  <c r="M34" i="4"/>
  <c r="L34" i="4" s="1"/>
  <c r="K34" i="4"/>
  <c r="J34" i="4"/>
  <c r="H34" i="4"/>
  <c r="F34" i="4"/>
  <c r="Y33" i="4"/>
  <c r="T33" i="4"/>
  <c r="S33" i="4"/>
  <c r="R33" i="4"/>
  <c r="Q33" i="4"/>
  <c r="P33" i="4"/>
  <c r="N33" i="4"/>
  <c r="M33" i="4"/>
  <c r="K33" i="4"/>
  <c r="J33" i="4"/>
  <c r="H33" i="4"/>
  <c r="F33" i="4"/>
  <c r="Y32" i="4"/>
  <c r="T32" i="4"/>
  <c r="S32" i="4"/>
  <c r="R32" i="4"/>
  <c r="Q32" i="4"/>
  <c r="P32" i="4"/>
  <c r="N32" i="4"/>
  <c r="M32" i="4"/>
  <c r="K32" i="4"/>
  <c r="J32" i="4"/>
  <c r="H32" i="4"/>
  <c r="F32" i="4"/>
  <c r="Y31" i="4"/>
  <c r="T31" i="4"/>
  <c r="B31" i="4" s="1"/>
  <c r="S31" i="4"/>
  <c r="R31" i="4"/>
  <c r="Q31" i="4"/>
  <c r="P31" i="4"/>
  <c r="N31" i="4"/>
  <c r="M31" i="4"/>
  <c r="L31" i="4"/>
  <c r="K31" i="4"/>
  <c r="J31" i="4"/>
  <c r="H31" i="4"/>
  <c r="F31" i="4"/>
  <c r="Y30" i="4"/>
  <c r="T30" i="4"/>
  <c r="S30" i="4"/>
  <c r="R30" i="4"/>
  <c r="Q30" i="4"/>
  <c r="P30" i="4"/>
  <c r="N30" i="4"/>
  <c r="M30" i="4"/>
  <c r="O30" i="4" s="1"/>
  <c r="L30" i="4"/>
  <c r="K30" i="4"/>
  <c r="J30" i="4"/>
  <c r="H30" i="4"/>
  <c r="F30" i="4"/>
  <c r="Y29" i="4"/>
  <c r="T29" i="4"/>
  <c r="S29" i="4"/>
  <c r="R29" i="4"/>
  <c r="B29" i="4" s="1"/>
  <c r="Q29" i="4"/>
  <c r="P29" i="4"/>
  <c r="N29" i="4"/>
  <c r="M29" i="4"/>
  <c r="K29" i="4"/>
  <c r="J29" i="4"/>
  <c r="H29" i="4"/>
  <c r="F29" i="4"/>
  <c r="Y28" i="4"/>
  <c r="T28" i="4"/>
  <c r="S28" i="4"/>
  <c r="R28" i="4"/>
  <c r="Q28" i="4"/>
  <c r="P28" i="4"/>
  <c r="B28" i="4" s="1"/>
  <c r="N28" i="4"/>
  <c r="M28" i="4"/>
  <c r="L28" i="4" s="1"/>
  <c r="K28" i="4"/>
  <c r="J28" i="4"/>
  <c r="H28" i="4"/>
  <c r="F28" i="4"/>
  <c r="Y27" i="4"/>
  <c r="T27" i="4"/>
  <c r="S27" i="4"/>
  <c r="R27" i="4"/>
  <c r="Q27" i="4"/>
  <c r="P27" i="4"/>
  <c r="N27" i="4"/>
  <c r="M27" i="4"/>
  <c r="K27" i="4"/>
  <c r="J27" i="4"/>
  <c r="H27" i="4"/>
  <c r="F27" i="4"/>
  <c r="Y26" i="4"/>
  <c r="T26" i="4"/>
  <c r="S26" i="4"/>
  <c r="R26" i="4"/>
  <c r="Q26" i="4"/>
  <c r="P26" i="4"/>
  <c r="N26" i="4"/>
  <c r="O26" i="4" s="1"/>
  <c r="M26" i="4"/>
  <c r="L26" i="4"/>
  <c r="K26" i="4"/>
  <c r="J26" i="4"/>
  <c r="H26" i="4"/>
  <c r="F26" i="4"/>
  <c r="Y25" i="4"/>
  <c r="T25" i="4"/>
  <c r="S25" i="4"/>
  <c r="R25" i="4"/>
  <c r="Q25" i="4"/>
  <c r="P25" i="4"/>
  <c r="B25" i="4" s="1"/>
  <c r="N25" i="4"/>
  <c r="M25" i="4"/>
  <c r="K25" i="4"/>
  <c r="J25" i="4"/>
  <c r="H25" i="4"/>
  <c r="F25" i="4"/>
  <c r="Y24" i="4"/>
  <c r="T24" i="4"/>
  <c r="S24" i="4"/>
  <c r="R24" i="4"/>
  <c r="Q24" i="4"/>
  <c r="P24" i="4"/>
  <c r="N24" i="4"/>
  <c r="M24" i="4"/>
  <c r="L24" i="4"/>
  <c r="K24" i="4"/>
  <c r="J24" i="4"/>
  <c r="H24" i="4"/>
  <c r="F24" i="4"/>
  <c r="Y23" i="4"/>
  <c r="T23" i="4"/>
  <c r="S23" i="4"/>
  <c r="R23" i="4"/>
  <c r="Q23" i="4"/>
  <c r="P23" i="4"/>
  <c r="N23" i="4"/>
  <c r="M23" i="4"/>
  <c r="L23" i="4" s="1"/>
  <c r="K23" i="4"/>
  <c r="J23" i="4"/>
  <c r="H23" i="4"/>
  <c r="F23" i="4"/>
  <c r="Y22" i="4"/>
  <c r="T22" i="4"/>
  <c r="S22" i="4"/>
  <c r="R22" i="4"/>
  <c r="Q22" i="4"/>
  <c r="P22" i="4"/>
  <c r="N22" i="4"/>
  <c r="M22" i="4"/>
  <c r="O22" i="4" s="1"/>
  <c r="K22" i="4"/>
  <c r="J22" i="4"/>
  <c r="H22" i="4"/>
  <c r="F22" i="4"/>
  <c r="Y21" i="4"/>
  <c r="T21" i="4"/>
  <c r="S21" i="4"/>
  <c r="R21" i="4"/>
  <c r="B21" i="4" s="1"/>
  <c r="Q21" i="4"/>
  <c r="P21" i="4"/>
  <c r="N21" i="4"/>
  <c r="M21" i="4"/>
  <c r="L21" i="4" s="1"/>
  <c r="K21" i="4"/>
  <c r="J21" i="4"/>
  <c r="H21" i="4"/>
  <c r="F21" i="4"/>
  <c r="Y20" i="4"/>
  <c r="T20" i="4"/>
  <c r="S20" i="4"/>
  <c r="R20" i="4"/>
  <c r="Q20" i="4"/>
  <c r="P20" i="4"/>
  <c r="N20" i="4"/>
  <c r="M20" i="4"/>
  <c r="O20" i="4" s="1"/>
  <c r="L20" i="4"/>
  <c r="K20" i="4"/>
  <c r="J20" i="4"/>
  <c r="H20" i="4"/>
  <c r="F20" i="4"/>
  <c r="Y19" i="4"/>
  <c r="T19" i="4"/>
  <c r="S19" i="4"/>
  <c r="R19" i="4"/>
  <c r="Q19" i="4"/>
  <c r="P19" i="4"/>
  <c r="B19" i="4" s="1"/>
  <c r="N19" i="4"/>
  <c r="M19" i="4"/>
  <c r="K19" i="4"/>
  <c r="J19" i="4"/>
  <c r="H19" i="4"/>
  <c r="F19" i="4"/>
  <c r="Y18" i="4"/>
  <c r="T18" i="4"/>
  <c r="S18" i="4"/>
  <c r="R18" i="4"/>
  <c r="Q18" i="4"/>
  <c r="P18" i="4"/>
  <c r="N18" i="4"/>
  <c r="O18" i="4" s="1"/>
  <c r="M18" i="4"/>
  <c r="K18" i="4"/>
  <c r="J18" i="4"/>
  <c r="H18" i="4"/>
  <c r="F18" i="4"/>
  <c r="Y17" i="4"/>
  <c r="T17" i="4"/>
  <c r="S17" i="4"/>
  <c r="R17" i="4"/>
  <c r="Q17" i="4"/>
  <c r="P17" i="4"/>
  <c r="N17" i="4"/>
  <c r="M17" i="4"/>
  <c r="O17" i="4" s="1"/>
  <c r="K17" i="4"/>
  <c r="J17" i="4"/>
  <c r="H17" i="4"/>
  <c r="F17" i="4"/>
  <c r="Y16" i="4"/>
  <c r="T16" i="4"/>
  <c r="S16" i="4"/>
  <c r="R16" i="4"/>
  <c r="Q16" i="4"/>
  <c r="P16" i="4"/>
  <c r="B16" i="4" s="1"/>
  <c r="N16" i="4"/>
  <c r="M16" i="4"/>
  <c r="L16" i="4"/>
  <c r="K16" i="4"/>
  <c r="J16" i="4"/>
  <c r="I16" i="4"/>
  <c r="H16" i="4"/>
  <c r="F16" i="4"/>
  <c r="Y15" i="4"/>
  <c r="T15" i="4"/>
  <c r="S15" i="4"/>
  <c r="R15" i="4"/>
  <c r="Q15" i="4"/>
  <c r="P15" i="4"/>
  <c r="O15" i="4"/>
  <c r="N15" i="4"/>
  <c r="M15" i="4"/>
  <c r="L15" i="4"/>
  <c r="K15" i="4"/>
  <c r="J15" i="4"/>
  <c r="H15" i="4"/>
  <c r="F15" i="4"/>
  <c r="Y14" i="4"/>
  <c r="T14" i="4"/>
  <c r="S14" i="4"/>
  <c r="R14" i="4"/>
  <c r="Q14" i="4"/>
  <c r="P14" i="4"/>
  <c r="N14" i="4"/>
  <c r="M14" i="4"/>
  <c r="O14" i="4" s="1"/>
  <c r="K14" i="4"/>
  <c r="J14" i="4"/>
  <c r="H14" i="4"/>
  <c r="F14" i="4"/>
  <c r="Y13" i="4"/>
  <c r="T13" i="4"/>
  <c r="S13" i="4"/>
  <c r="R13" i="4"/>
  <c r="Q13" i="4"/>
  <c r="P13" i="4"/>
  <c r="N13" i="4"/>
  <c r="M13" i="4"/>
  <c r="L13" i="4" s="1"/>
  <c r="K13" i="4"/>
  <c r="J13" i="4"/>
  <c r="H13" i="4"/>
  <c r="F13" i="4"/>
  <c r="Y12" i="4"/>
  <c r="T12" i="4"/>
  <c r="S12" i="4"/>
  <c r="R12" i="4"/>
  <c r="Q12" i="4"/>
  <c r="P12" i="4"/>
  <c r="N12" i="4"/>
  <c r="M12" i="4"/>
  <c r="O12" i="4" s="1"/>
  <c r="L12" i="4"/>
  <c r="K12" i="4"/>
  <c r="J12" i="4"/>
  <c r="H12" i="4"/>
  <c r="F12" i="4"/>
  <c r="Y11" i="4"/>
  <c r="T11" i="4"/>
  <c r="S11" i="4"/>
  <c r="R11" i="4"/>
  <c r="B11" i="4" s="1"/>
  <c r="Q11" i="4"/>
  <c r="P11" i="4"/>
  <c r="N11" i="4"/>
  <c r="M11" i="4"/>
  <c r="L11" i="4" s="1"/>
  <c r="K11" i="4"/>
  <c r="J11" i="4"/>
  <c r="H11" i="4"/>
  <c r="F11" i="4"/>
  <c r="Y10" i="4"/>
  <c r="T10" i="4"/>
  <c r="S10" i="4"/>
  <c r="R10" i="4"/>
  <c r="Q10" i="4"/>
  <c r="B10" i="4" s="1"/>
  <c r="P10" i="4"/>
  <c r="N10" i="4"/>
  <c r="O10" i="4" s="1"/>
  <c r="M10" i="4"/>
  <c r="K10" i="4"/>
  <c r="J10" i="4"/>
  <c r="H10" i="4"/>
  <c r="F10" i="4"/>
  <c r="Y9" i="4"/>
  <c r="T9" i="4"/>
  <c r="S9" i="4"/>
  <c r="B9" i="4" s="1"/>
  <c r="R9" i="4"/>
  <c r="Q9" i="4"/>
  <c r="P9" i="4"/>
  <c r="N9" i="4"/>
  <c r="M9" i="4"/>
  <c r="K9" i="4"/>
  <c r="J9" i="4"/>
  <c r="I9" i="4"/>
  <c r="H9" i="4"/>
  <c r="F9" i="4"/>
  <c r="Y8" i="4"/>
  <c r="T8" i="4"/>
  <c r="S8" i="4"/>
  <c r="R8" i="4"/>
  <c r="Q8" i="4"/>
  <c r="P8" i="4"/>
  <c r="N8" i="4"/>
  <c r="O8" i="4" s="1"/>
  <c r="M8" i="4"/>
  <c r="L8" i="4" s="1"/>
  <c r="K8" i="4"/>
  <c r="J8" i="4"/>
  <c r="H8" i="4"/>
  <c r="F8" i="4"/>
  <c r="Y7" i="4"/>
  <c r="T7" i="4"/>
  <c r="S7" i="4"/>
  <c r="R7" i="4"/>
  <c r="Q7" i="4"/>
  <c r="P7" i="4"/>
  <c r="N7" i="4"/>
  <c r="O7" i="4" s="1"/>
  <c r="M7" i="4"/>
  <c r="L7" i="4" s="1"/>
  <c r="K7" i="4"/>
  <c r="J7" i="4"/>
  <c r="I7" i="4"/>
  <c r="H7" i="4"/>
  <c r="F7" i="4"/>
  <c r="L4" i="4"/>
  <c r="M4" i="4" s="1"/>
  <c r="N4" i="4" s="1"/>
  <c r="O4" i="4" s="1"/>
  <c r="P4" i="4" s="1"/>
  <c r="Q4" i="4" s="1"/>
  <c r="R4" i="4" s="1"/>
  <c r="S4" i="4" s="1"/>
  <c r="T4" i="4" s="1"/>
  <c r="U4" i="4" s="1"/>
  <c r="V4" i="4" s="1"/>
  <c r="W4" i="4" s="1"/>
  <c r="X4" i="4" s="1"/>
  <c r="Y4" i="4" s="1"/>
  <c r="Z4" i="4" s="1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K3" i="4" s="1"/>
  <c r="R304" i="3"/>
  <c r="R303" i="3"/>
  <c r="I301" i="4" s="1"/>
  <c r="R302" i="3"/>
  <c r="R301" i="3"/>
  <c r="R300" i="3"/>
  <c r="R299" i="3"/>
  <c r="I283" i="4" s="1"/>
  <c r="R298" i="3"/>
  <c r="I287" i="4" s="1"/>
  <c r="R297" i="3"/>
  <c r="I280" i="4" s="1"/>
  <c r="R296" i="3"/>
  <c r="R295" i="3"/>
  <c r="I288" i="4" s="1"/>
  <c r="R294" i="3"/>
  <c r="R293" i="3"/>
  <c r="I264" i="4" s="1"/>
  <c r="R292" i="3"/>
  <c r="I279" i="4" s="1"/>
  <c r="R291" i="3"/>
  <c r="R290" i="3"/>
  <c r="R289" i="3"/>
  <c r="I272" i="4" s="1"/>
  <c r="R288" i="3"/>
  <c r="I208" i="4" s="1"/>
  <c r="R287" i="3"/>
  <c r="I302" i="4" s="1"/>
  <c r="R286" i="3"/>
  <c r="R285" i="3"/>
  <c r="I297" i="4" s="1"/>
  <c r="R284" i="3"/>
  <c r="R283" i="3"/>
  <c r="R282" i="3"/>
  <c r="I223" i="4" s="1"/>
  <c r="R281" i="3"/>
  <c r="R280" i="3"/>
  <c r="I290" i="4" s="1"/>
  <c r="R279" i="3"/>
  <c r="I298" i="4" s="1"/>
  <c r="R278" i="3"/>
  <c r="I300" i="4" s="1"/>
  <c r="R277" i="3"/>
  <c r="R276" i="3"/>
  <c r="I182" i="4" s="1"/>
  <c r="R275" i="3"/>
  <c r="I278" i="4" s="1"/>
  <c r="R274" i="3"/>
  <c r="R273" i="3"/>
  <c r="R272" i="3"/>
  <c r="R271" i="3"/>
  <c r="R270" i="3"/>
  <c r="R269" i="3"/>
  <c r="I267" i="4" s="1"/>
  <c r="R268" i="3"/>
  <c r="C254" i="2" s="1"/>
  <c r="R267" i="3"/>
  <c r="I230" i="4" s="1"/>
  <c r="R266" i="3"/>
  <c r="I258" i="4" s="1"/>
  <c r="R265" i="3"/>
  <c r="I292" i="4" s="1"/>
  <c r="R264" i="3"/>
  <c r="R263" i="3"/>
  <c r="R262" i="3"/>
  <c r="R261" i="3"/>
  <c r="R260" i="3"/>
  <c r="R259" i="3"/>
  <c r="I276" i="4" s="1"/>
  <c r="R258" i="3"/>
  <c r="I293" i="4" s="1"/>
  <c r="R257" i="3"/>
  <c r="R256" i="3"/>
  <c r="I270" i="4" s="1"/>
  <c r="R255" i="3"/>
  <c r="R254" i="3"/>
  <c r="R253" i="3"/>
  <c r="R252" i="3"/>
  <c r="R251" i="3"/>
  <c r="I268" i="4" s="1"/>
  <c r="R250" i="3"/>
  <c r="I236" i="4" s="1"/>
  <c r="R249" i="3"/>
  <c r="I260" i="4" s="1"/>
  <c r="R248" i="3"/>
  <c r="R247" i="3"/>
  <c r="R246" i="3"/>
  <c r="R245" i="3"/>
  <c r="R244" i="3"/>
  <c r="I227" i="4" s="1"/>
  <c r="R243" i="3"/>
  <c r="I238" i="4" s="1"/>
  <c r="R242" i="3"/>
  <c r="R241" i="3"/>
  <c r="C212" i="2" s="1"/>
  <c r="R240" i="3"/>
  <c r="R239" i="3"/>
  <c r="R238" i="3"/>
  <c r="R237" i="3"/>
  <c r="R236" i="3"/>
  <c r="R235" i="3"/>
  <c r="R234" i="3"/>
  <c r="R233" i="3"/>
  <c r="C200" i="2" s="1"/>
  <c r="R232" i="3"/>
  <c r="R231" i="3"/>
  <c r="R230" i="3"/>
  <c r="R229" i="3"/>
  <c r="R228" i="3"/>
  <c r="I247" i="4" s="1"/>
  <c r="R227" i="3"/>
  <c r="R226" i="3"/>
  <c r="R225" i="3"/>
  <c r="C300" i="2" s="1"/>
  <c r="R224" i="3"/>
  <c r="I194" i="4" s="1"/>
  <c r="R223" i="3"/>
  <c r="R222" i="3"/>
  <c r="R221" i="3"/>
  <c r="R220" i="3"/>
  <c r="R219" i="3"/>
  <c r="I218" i="4" s="1"/>
  <c r="R218" i="3"/>
  <c r="I226" i="4" s="1"/>
  <c r="R217" i="3"/>
  <c r="C202" i="2" s="1"/>
  <c r="R216" i="3"/>
  <c r="I222" i="4" s="1"/>
  <c r="R215" i="3"/>
  <c r="R214" i="3"/>
  <c r="R213" i="3"/>
  <c r="I240" i="4" s="1"/>
  <c r="R212" i="3"/>
  <c r="I136" i="4" s="1"/>
  <c r="R211" i="3"/>
  <c r="R210" i="3"/>
  <c r="I215" i="4" s="1"/>
  <c r="R209" i="3"/>
  <c r="R208" i="3"/>
  <c r="R207" i="3"/>
  <c r="R206" i="3"/>
  <c r="R205" i="3"/>
  <c r="R204" i="3"/>
  <c r="I139" i="4" s="1"/>
  <c r="R203" i="3"/>
  <c r="R202" i="3"/>
  <c r="R201" i="3"/>
  <c r="C243" i="2" s="1"/>
  <c r="R200" i="3"/>
  <c r="R199" i="3"/>
  <c r="I179" i="4" s="1"/>
  <c r="R198" i="3"/>
  <c r="R197" i="3"/>
  <c r="I262" i="4" s="1"/>
  <c r="R196" i="3"/>
  <c r="C242" i="2" s="1"/>
  <c r="R195" i="3"/>
  <c r="R194" i="3"/>
  <c r="R193" i="3"/>
  <c r="I164" i="4" s="1"/>
  <c r="R192" i="3"/>
  <c r="R191" i="3"/>
  <c r="I220" i="4" s="1"/>
  <c r="R190" i="3"/>
  <c r="R189" i="3"/>
  <c r="I180" i="4" s="1"/>
  <c r="R188" i="3"/>
  <c r="C236" i="2" s="1"/>
  <c r="R187" i="3"/>
  <c r="R186" i="3"/>
  <c r="I140" i="4" s="1"/>
  <c r="R185" i="3"/>
  <c r="R184" i="3"/>
  <c r="R183" i="3"/>
  <c r="I228" i="4" s="1"/>
  <c r="R182" i="3"/>
  <c r="R181" i="3"/>
  <c r="I199" i="4" s="1"/>
  <c r="R180" i="3"/>
  <c r="I196" i="4" s="1"/>
  <c r="R179" i="3"/>
  <c r="I198" i="4" s="1"/>
  <c r="R178" i="3"/>
  <c r="R177" i="3"/>
  <c r="C214" i="2" s="1"/>
  <c r="R176" i="3"/>
  <c r="I265" i="4" s="1"/>
  <c r="R175" i="3"/>
  <c r="R174" i="3"/>
  <c r="R173" i="3"/>
  <c r="R172" i="3"/>
  <c r="I113" i="4" s="1"/>
  <c r="R171" i="3"/>
  <c r="R170" i="3"/>
  <c r="R169" i="3"/>
  <c r="C138" i="2" s="1"/>
  <c r="R168" i="3"/>
  <c r="R167" i="3"/>
  <c r="R166" i="3"/>
  <c r="I255" i="4" s="1"/>
  <c r="R165" i="3"/>
  <c r="I193" i="4" s="1"/>
  <c r="R164" i="3"/>
  <c r="R163" i="3"/>
  <c r="I173" i="4" s="1"/>
  <c r="R162" i="3"/>
  <c r="I174" i="4" s="1"/>
  <c r="R161" i="3"/>
  <c r="R160" i="3"/>
  <c r="I175" i="4" s="1"/>
  <c r="R159" i="3"/>
  <c r="I172" i="4" s="1"/>
  <c r="R158" i="3"/>
  <c r="R157" i="3"/>
  <c r="R156" i="3"/>
  <c r="I176" i="4" s="1"/>
  <c r="R155" i="3"/>
  <c r="I170" i="4" s="1"/>
  <c r="R154" i="3"/>
  <c r="I166" i="4" s="1"/>
  <c r="R153" i="3"/>
  <c r="C150" i="2" s="1"/>
  <c r="R152" i="3"/>
  <c r="I167" i="4" s="1"/>
  <c r="R151" i="3"/>
  <c r="R150" i="3"/>
  <c r="I129" i="4" s="1"/>
  <c r="R149" i="3"/>
  <c r="I153" i="4" s="1"/>
  <c r="R148" i="3"/>
  <c r="I157" i="4" s="1"/>
  <c r="R147" i="3"/>
  <c r="R146" i="3"/>
  <c r="I147" i="4" s="1"/>
  <c r="R145" i="3"/>
  <c r="R144" i="3"/>
  <c r="I152" i="4" s="1"/>
  <c r="R143" i="3"/>
  <c r="R142" i="3"/>
  <c r="I130" i="4" s="1"/>
  <c r="R141" i="3"/>
  <c r="R140" i="3"/>
  <c r="I148" i="4" s="1"/>
  <c r="R139" i="3"/>
  <c r="R138" i="3"/>
  <c r="I137" i="4" s="1"/>
  <c r="R137" i="3"/>
  <c r="R136" i="3"/>
  <c r="R135" i="3"/>
  <c r="I160" i="4" s="1"/>
  <c r="R134" i="3"/>
  <c r="R133" i="3"/>
  <c r="I202" i="4" s="1"/>
  <c r="R132" i="3"/>
  <c r="I133" i="4" s="1"/>
  <c r="R131" i="3"/>
  <c r="R130" i="3"/>
  <c r="C134" i="2" s="1"/>
  <c r="R129" i="3"/>
  <c r="R128" i="3"/>
  <c r="I141" i="4" s="1"/>
  <c r="R127" i="3"/>
  <c r="R126" i="3"/>
  <c r="R125" i="3"/>
  <c r="I126" i="4" s="1"/>
  <c r="R124" i="3"/>
  <c r="I124" i="4" s="1"/>
  <c r="R123" i="3"/>
  <c r="C131" i="2" s="1"/>
  <c r="R122" i="3"/>
  <c r="C123" i="2" s="1"/>
  <c r="R121" i="3"/>
  <c r="R120" i="3"/>
  <c r="R119" i="3"/>
  <c r="R118" i="3"/>
  <c r="R117" i="3"/>
  <c r="I109" i="4" s="1"/>
  <c r="R116" i="3"/>
  <c r="I119" i="4" s="1"/>
  <c r="R115" i="3"/>
  <c r="C103" i="2" s="1"/>
  <c r="R114" i="3"/>
  <c r="I115" i="4" s="1"/>
  <c r="R113" i="3"/>
  <c r="I80" i="4" s="1"/>
  <c r="R112" i="3"/>
  <c r="R111" i="3"/>
  <c r="R110" i="3"/>
  <c r="R109" i="3"/>
  <c r="I108" i="4" s="1"/>
  <c r="R108" i="3"/>
  <c r="I94" i="4" s="1"/>
  <c r="R107" i="3"/>
  <c r="I205" i="4" s="1"/>
  <c r="R106" i="3"/>
  <c r="I99" i="4" s="1"/>
  <c r="R105" i="3"/>
  <c r="C93" i="2" s="1"/>
  <c r="R104" i="3"/>
  <c r="R103" i="3"/>
  <c r="R102" i="3"/>
  <c r="R101" i="3"/>
  <c r="C115" i="2" s="1"/>
  <c r="R100" i="3"/>
  <c r="I146" i="4" s="1"/>
  <c r="R99" i="3"/>
  <c r="R98" i="3"/>
  <c r="C68" i="2" s="1"/>
  <c r="R97" i="3"/>
  <c r="R96" i="3"/>
  <c r="R95" i="3"/>
  <c r="I96" i="4" s="1"/>
  <c r="R94" i="3"/>
  <c r="I92" i="4" s="1"/>
  <c r="R93" i="3"/>
  <c r="R92" i="3"/>
  <c r="I98" i="4" s="1"/>
  <c r="R91" i="3"/>
  <c r="I107" i="4" s="1"/>
  <c r="R90" i="3"/>
  <c r="R89" i="3"/>
  <c r="C110" i="2" s="1"/>
  <c r="R88" i="3"/>
  <c r="I95" i="4" s="1"/>
  <c r="R87" i="3"/>
  <c r="R86" i="3"/>
  <c r="R85" i="3"/>
  <c r="R84" i="3"/>
  <c r="C70" i="2" s="1"/>
  <c r="R83" i="3"/>
  <c r="R82" i="3"/>
  <c r="R81" i="3"/>
  <c r="I79" i="4" s="1"/>
  <c r="R80" i="3"/>
  <c r="R79" i="3"/>
  <c r="R78" i="3"/>
  <c r="R77" i="3"/>
  <c r="R76" i="3"/>
  <c r="I100" i="4" s="1"/>
  <c r="R75" i="3"/>
  <c r="R74" i="3"/>
  <c r="C48" i="2" s="1"/>
  <c r="R73" i="3"/>
  <c r="I78" i="4" s="1"/>
  <c r="R72" i="3"/>
  <c r="R71" i="3"/>
  <c r="I71" i="4" s="1"/>
  <c r="R70" i="3"/>
  <c r="R69" i="3"/>
  <c r="R68" i="3"/>
  <c r="R67" i="3"/>
  <c r="I41" i="4" s="1"/>
  <c r="R66" i="3"/>
  <c r="C60" i="2" s="1"/>
  <c r="R65" i="3"/>
  <c r="R64" i="3"/>
  <c r="R63" i="3"/>
  <c r="I88" i="4" s="1"/>
  <c r="R62" i="3"/>
  <c r="R61" i="3"/>
  <c r="I63" i="4" s="1"/>
  <c r="R60" i="3"/>
  <c r="I61" i="4" s="1"/>
  <c r="R59" i="3"/>
  <c r="I62" i="4" s="1"/>
  <c r="R58" i="3"/>
  <c r="R57" i="3"/>
  <c r="R56" i="3"/>
  <c r="R55" i="3"/>
  <c r="R54" i="3"/>
  <c r="I55" i="4" s="1"/>
  <c r="R53" i="3"/>
  <c r="R52" i="3"/>
  <c r="C65" i="2" s="1"/>
  <c r="R51" i="3"/>
  <c r="R50" i="3"/>
  <c r="R49" i="3"/>
  <c r="I52" i="4" s="1"/>
  <c r="R48" i="3"/>
  <c r="I51" i="4" s="1"/>
  <c r="R47" i="3"/>
  <c r="I49" i="4" s="1"/>
  <c r="R46" i="3"/>
  <c r="R45" i="3"/>
  <c r="R44" i="3"/>
  <c r="I43" i="4" s="1"/>
  <c r="R43" i="3"/>
  <c r="I42" i="4" s="1"/>
  <c r="R42" i="3"/>
  <c r="R41" i="3"/>
  <c r="R40" i="3"/>
  <c r="R39" i="3"/>
  <c r="R38" i="3"/>
  <c r="I45" i="4" s="1"/>
  <c r="R37" i="3"/>
  <c r="I37" i="4" s="1"/>
  <c r="R36" i="3"/>
  <c r="R35" i="3"/>
  <c r="R34" i="3"/>
  <c r="C23" i="2" s="1"/>
  <c r="R33" i="3"/>
  <c r="I36" i="4" s="1"/>
  <c r="R32" i="3"/>
  <c r="I32" i="4" s="1"/>
  <c r="R31" i="3"/>
  <c r="I31" i="4" s="1"/>
  <c r="R30" i="3"/>
  <c r="R29" i="3"/>
  <c r="I40" i="4" s="1"/>
  <c r="R28" i="3"/>
  <c r="I29" i="4" s="1"/>
  <c r="R27" i="3"/>
  <c r="I34" i="4" s="1"/>
  <c r="R26" i="3"/>
  <c r="R25" i="3"/>
  <c r="I27" i="4" s="1"/>
  <c r="R24" i="3"/>
  <c r="I26" i="4" s="1"/>
  <c r="R23" i="3"/>
  <c r="R22" i="3"/>
  <c r="I21" i="4" s="1"/>
  <c r="R21" i="3"/>
  <c r="I23" i="4" s="1"/>
  <c r="R20" i="3"/>
  <c r="R19" i="3"/>
  <c r="I22" i="4" s="1"/>
  <c r="R18" i="3"/>
  <c r="I20" i="4" s="1"/>
  <c r="R17" i="3"/>
  <c r="R16" i="3"/>
  <c r="I19" i="4" s="1"/>
  <c r="R15" i="3"/>
  <c r="I25" i="4" s="1"/>
  <c r="R14" i="3"/>
  <c r="I17" i="4" s="1"/>
  <c r="R13" i="3"/>
  <c r="I15" i="4" s="1"/>
  <c r="R12" i="3"/>
  <c r="I14" i="4" s="1"/>
  <c r="R11" i="3"/>
  <c r="I12" i="4" s="1"/>
  <c r="R10" i="3"/>
  <c r="R9" i="3"/>
  <c r="I10" i="4" s="1"/>
  <c r="R8" i="3"/>
  <c r="I13" i="4" s="1"/>
  <c r="R7" i="3"/>
  <c r="R6" i="3"/>
  <c r="I8" i="4" s="1"/>
  <c r="R5" i="3"/>
  <c r="J303" i="2"/>
  <c r="I303" i="2"/>
  <c r="C303" i="2"/>
  <c r="B303" i="2"/>
  <c r="J302" i="2"/>
  <c r="I302" i="2"/>
  <c r="C302" i="2"/>
  <c r="B302" i="2"/>
  <c r="J301" i="2"/>
  <c r="I301" i="2"/>
  <c r="B301" i="2"/>
  <c r="J300" i="2"/>
  <c r="I300" i="2"/>
  <c r="B300" i="2"/>
  <c r="J299" i="2"/>
  <c r="I299" i="2"/>
  <c r="B299" i="2"/>
  <c r="J298" i="2"/>
  <c r="I298" i="2"/>
  <c r="C298" i="2"/>
  <c r="B298" i="2"/>
  <c r="J297" i="2"/>
  <c r="I297" i="2"/>
  <c r="B297" i="2"/>
  <c r="J296" i="2"/>
  <c r="I296" i="2"/>
  <c r="C296" i="2"/>
  <c r="B296" i="2"/>
  <c r="J295" i="2"/>
  <c r="I295" i="2"/>
  <c r="C295" i="2"/>
  <c r="B295" i="2"/>
  <c r="J294" i="2"/>
  <c r="I294" i="2"/>
  <c r="C294" i="2"/>
  <c r="B294" i="2"/>
  <c r="J293" i="2"/>
  <c r="I293" i="2"/>
  <c r="C293" i="2"/>
  <c r="B293" i="2"/>
  <c r="J292" i="2"/>
  <c r="I292" i="2"/>
  <c r="C292" i="2"/>
  <c r="B292" i="2"/>
  <c r="J291" i="2"/>
  <c r="I291" i="2"/>
  <c r="C291" i="2"/>
  <c r="B291" i="2"/>
  <c r="J290" i="2"/>
  <c r="I290" i="2"/>
  <c r="C290" i="2"/>
  <c r="B290" i="2"/>
  <c r="J289" i="2"/>
  <c r="I289" i="2"/>
  <c r="C289" i="2"/>
  <c r="B289" i="2"/>
  <c r="J288" i="2"/>
  <c r="I288" i="2"/>
  <c r="C288" i="2"/>
  <c r="B288" i="2"/>
  <c r="J287" i="2"/>
  <c r="X296" i="4" s="1"/>
  <c r="I287" i="2"/>
  <c r="C287" i="2"/>
  <c r="B287" i="2"/>
  <c r="J286" i="2"/>
  <c r="I286" i="2"/>
  <c r="C286" i="2"/>
  <c r="B286" i="2"/>
  <c r="J285" i="2"/>
  <c r="I285" i="2"/>
  <c r="C285" i="2"/>
  <c r="B285" i="2"/>
  <c r="J284" i="2"/>
  <c r="I284" i="2"/>
  <c r="C284" i="2"/>
  <c r="B284" i="2"/>
  <c r="J283" i="2"/>
  <c r="I283" i="2"/>
  <c r="C283" i="2"/>
  <c r="B283" i="2"/>
  <c r="J282" i="2"/>
  <c r="I282" i="2"/>
  <c r="C282" i="2"/>
  <c r="B282" i="2"/>
  <c r="J281" i="2"/>
  <c r="I281" i="2"/>
  <c r="C281" i="2"/>
  <c r="B281" i="2"/>
  <c r="J280" i="2"/>
  <c r="I280" i="2"/>
  <c r="C280" i="2"/>
  <c r="B280" i="2"/>
  <c r="J279" i="2"/>
  <c r="I279" i="2"/>
  <c r="C279" i="2"/>
  <c r="B279" i="2"/>
  <c r="J278" i="2"/>
  <c r="I278" i="2"/>
  <c r="C278" i="2"/>
  <c r="B278" i="2"/>
  <c r="J277" i="2"/>
  <c r="I277" i="2"/>
  <c r="C277" i="2"/>
  <c r="B277" i="2"/>
  <c r="J276" i="2"/>
  <c r="I276" i="2"/>
  <c r="C276" i="2"/>
  <c r="B276" i="2"/>
  <c r="J275" i="2"/>
  <c r="I275" i="2"/>
  <c r="C275" i="2"/>
  <c r="B275" i="2"/>
  <c r="J274" i="2"/>
  <c r="I274" i="2"/>
  <c r="C274" i="2"/>
  <c r="B274" i="2"/>
  <c r="J273" i="2"/>
  <c r="I273" i="2"/>
  <c r="C273" i="2"/>
  <c r="B273" i="2"/>
  <c r="J272" i="2"/>
  <c r="I272" i="2"/>
  <c r="C272" i="2"/>
  <c r="B272" i="2"/>
  <c r="J271" i="2"/>
  <c r="I271" i="2"/>
  <c r="C271" i="2"/>
  <c r="B271" i="2"/>
  <c r="J270" i="2"/>
  <c r="I270" i="2"/>
  <c r="C270" i="2"/>
  <c r="B270" i="2"/>
  <c r="J269" i="2"/>
  <c r="I269" i="2"/>
  <c r="B269" i="2"/>
  <c r="J268" i="2"/>
  <c r="I268" i="2"/>
  <c r="B268" i="2"/>
  <c r="J267" i="2"/>
  <c r="I267" i="2"/>
  <c r="C267" i="2"/>
  <c r="B267" i="2"/>
  <c r="J266" i="2"/>
  <c r="I266" i="2"/>
  <c r="B266" i="2"/>
  <c r="J265" i="2"/>
  <c r="I265" i="2"/>
  <c r="B265" i="2"/>
  <c r="J264" i="2"/>
  <c r="I264" i="2"/>
  <c r="C264" i="2"/>
  <c r="B264" i="2"/>
  <c r="J263" i="2"/>
  <c r="I263" i="2"/>
  <c r="C263" i="2"/>
  <c r="B263" i="2"/>
  <c r="J262" i="2"/>
  <c r="I262" i="2"/>
  <c r="B262" i="2"/>
  <c r="J261" i="2"/>
  <c r="I261" i="2"/>
  <c r="C261" i="2"/>
  <c r="B261" i="2"/>
  <c r="J260" i="2"/>
  <c r="I260" i="2"/>
  <c r="C260" i="2"/>
  <c r="B260" i="2"/>
  <c r="J259" i="2"/>
  <c r="I259" i="2"/>
  <c r="B259" i="2"/>
  <c r="J258" i="2"/>
  <c r="I258" i="2"/>
  <c r="B258" i="2"/>
  <c r="J257" i="2"/>
  <c r="I257" i="2"/>
  <c r="B257" i="2"/>
  <c r="J256" i="2"/>
  <c r="I256" i="2"/>
  <c r="B256" i="2"/>
  <c r="J255" i="2"/>
  <c r="I255" i="2"/>
  <c r="C255" i="2"/>
  <c r="B255" i="2"/>
  <c r="J254" i="2"/>
  <c r="I254" i="2"/>
  <c r="B254" i="2"/>
  <c r="J253" i="2"/>
  <c r="I253" i="2"/>
  <c r="C253" i="2"/>
  <c r="B253" i="2"/>
  <c r="J252" i="2"/>
  <c r="I252" i="2"/>
  <c r="B252" i="2"/>
  <c r="J251" i="2"/>
  <c r="I251" i="2"/>
  <c r="C251" i="2"/>
  <c r="B251" i="2"/>
  <c r="J250" i="2"/>
  <c r="I250" i="2"/>
  <c r="B250" i="2"/>
  <c r="J249" i="2"/>
  <c r="I249" i="2"/>
  <c r="B249" i="2"/>
  <c r="J248" i="2"/>
  <c r="I248" i="2"/>
  <c r="B248" i="2"/>
  <c r="J247" i="2"/>
  <c r="I247" i="2"/>
  <c r="B247" i="2"/>
  <c r="J246" i="2"/>
  <c r="I246" i="2"/>
  <c r="C246" i="2"/>
  <c r="B246" i="2"/>
  <c r="J245" i="2"/>
  <c r="I245" i="2"/>
  <c r="B245" i="2"/>
  <c r="J244" i="2"/>
  <c r="I244" i="2"/>
  <c r="B244" i="2"/>
  <c r="J243" i="2"/>
  <c r="I243" i="2"/>
  <c r="B243" i="2"/>
  <c r="J242" i="2"/>
  <c r="I242" i="2"/>
  <c r="B242" i="2"/>
  <c r="J241" i="2"/>
  <c r="I241" i="2"/>
  <c r="B241" i="2"/>
  <c r="J240" i="2"/>
  <c r="I240" i="2"/>
  <c r="C240" i="2"/>
  <c r="B240" i="2"/>
  <c r="J239" i="2"/>
  <c r="I239" i="2"/>
  <c r="B239" i="2"/>
  <c r="J238" i="2"/>
  <c r="I238" i="2"/>
  <c r="B238" i="2"/>
  <c r="J237" i="2"/>
  <c r="I237" i="2"/>
  <c r="C237" i="2"/>
  <c r="B237" i="2"/>
  <c r="J236" i="2"/>
  <c r="I236" i="2"/>
  <c r="B236" i="2"/>
  <c r="J235" i="2"/>
  <c r="I235" i="2"/>
  <c r="C235" i="2"/>
  <c r="B235" i="2"/>
  <c r="J234" i="2"/>
  <c r="I234" i="2"/>
  <c r="B234" i="2"/>
  <c r="J233" i="2"/>
  <c r="I233" i="2"/>
  <c r="B233" i="2"/>
  <c r="J232" i="2"/>
  <c r="I232" i="2"/>
  <c r="C232" i="2"/>
  <c r="B232" i="2"/>
  <c r="J231" i="2"/>
  <c r="I231" i="2"/>
  <c r="C231" i="2"/>
  <c r="B231" i="2"/>
  <c r="J230" i="2"/>
  <c r="I230" i="2"/>
  <c r="C230" i="2"/>
  <c r="B230" i="2"/>
  <c r="J229" i="2"/>
  <c r="I229" i="2"/>
  <c r="C229" i="2"/>
  <c r="B229" i="2"/>
  <c r="J228" i="2"/>
  <c r="I228" i="2"/>
  <c r="B228" i="2"/>
  <c r="J227" i="2"/>
  <c r="I227" i="2"/>
  <c r="B227" i="2"/>
  <c r="J226" i="2"/>
  <c r="I226" i="2"/>
  <c r="B226" i="2"/>
  <c r="J225" i="2"/>
  <c r="I225" i="2"/>
  <c r="B225" i="2"/>
  <c r="J224" i="2"/>
  <c r="I224" i="2"/>
  <c r="C224" i="2"/>
  <c r="B224" i="2"/>
  <c r="J223" i="2"/>
  <c r="I223" i="2"/>
  <c r="C223" i="2"/>
  <c r="B223" i="2"/>
  <c r="J222" i="2"/>
  <c r="I222" i="2"/>
  <c r="C222" i="2"/>
  <c r="B222" i="2"/>
  <c r="J221" i="2"/>
  <c r="I221" i="2"/>
  <c r="C221" i="2"/>
  <c r="B221" i="2"/>
  <c r="J220" i="2"/>
  <c r="I220" i="2"/>
  <c r="B220" i="2"/>
  <c r="J219" i="2"/>
  <c r="I219" i="2"/>
  <c r="B219" i="2"/>
  <c r="J218" i="2"/>
  <c r="I218" i="2"/>
  <c r="B218" i="2"/>
  <c r="J217" i="2"/>
  <c r="I217" i="2"/>
  <c r="B217" i="2"/>
  <c r="J216" i="2"/>
  <c r="I216" i="2"/>
  <c r="C216" i="2"/>
  <c r="B216" i="2"/>
  <c r="J215" i="2"/>
  <c r="I215" i="2"/>
  <c r="B215" i="2"/>
  <c r="J214" i="2"/>
  <c r="I214" i="2"/>
  <c r="B214" i="2"/>
  <c r="J213" i="2"/>
  <c r="I213" i="2"/>
  <c r="B213" i="2"/>
  <c r="J212" i="2"/>
  <c r="I212" i="2"/>
  <c r="B212" i="2"/>
  <c r="J211" i="2"/>
  <c r="I211" i="2"/>
  <c r="C211" i="2"/>
  <c r="B211" i="2"/>
  <c r="J210" i="2"/>
  <c r="I210" i="2"/>
  <c r="B210" i="2"/>
  <c r="J209" i="2"/>
  <c r="I209" i="2"/>
  <c r="B209" i="2"/>
  <c r="J208" i="2"/>
  <c r="I208" i="2"/>
  <c r="C208" i="2"/>
  <c r="B208" i="2"/>
  <c r="J207" i="2"/>
  <c r="I207" i="2"/>
  <c r="B207" i="2"/>
  <c r="J206" i="2"/>
  <c r="I206" i="2"/>
  <c r="B206" i="2"/>
  <c r="J205" i="2"/>
  <c r="I205" i="2"/>
  <c r="B205" i="2"/>
  <c r="J204" i="2"/>
  <c r="I204" i="2"/>
  <c r="B204" i="2"/>
  <c r="J203" i="2"/>
  <c r="I203" i="2"/>
  <c r="B203" i="2"/>
  <c r="J202" i="2"/>
  <c r="I202" i="2"/>
  <c r="B202" i="2"/>
  <c r="J201" i="2"/>
  <c r="I201" i="2"/>
  <c r="B201" i="2"/>
  <c r="J200" i="2"/>
  <c r="I200" i="2"/>
  <c r="B200" i="2"/>
  <c r="J199" i="2"/>
  <c r="I199" i="2"/>
  <c r="B199" i="2"/>
  <c r="J198" i="2"/>
  <c r="I198" i="2"/>
  <c r="B198" i="2"/>
  <c r="J197" i="2"/>
  <c r="I197" i="2"/>
  <c r="C197" i="2"/>
  <c r="B197" i="2"/>
  <c r="J196" i="2"/>
  <c r="I196" i="2"/>
  <c r="C196" i="2"/>
  <c r="B196" i="2"/>
  <c r="J195" i="2"/>
  <c r="I195" i="2"/>
  <c r="B195" i="2"/>
  <c r="J194" i="2"/>
  <c r="I194" i="2"/>
  <c r="C194" i="2"/>
  <c r="B194" i="2"/>
  <c r="J193" i="2"/>
  <c r="I193" i="2"/>
  <c r="C193" i="2"/>
  <c r="B193" i="2"/>
  <c r="J192" i="2"/>
  <c r="I192" i="2"/>
  <c r="C192" i="2"/>
  <c r="B192" i="2"/>
  <c r="J191" i="2"/>
  <c r="I191" i="2"/>
  <c r="B191" i="2"/>
  <c r="J190" i="2"/>
  <c r="I190" i="2"/>
  <c r="C190" i="2"/>
  <c r="B190" i="2"/>
  <c r="J189" i="2"/>
  <c r="I189" i="2"/>
  <c r="B189" i="2"/>
  <c r="J188" i="2"/>
  <c r="I188" i="2"/>
  <c r="B188" i="2"/>
  <c r="J187" i="2"/>
  <c r="I187" i="2"/>
  <c r="B187" i="2"/>
  <c r="J186" i="2"/>
  <c r="I186" i="2"/>
  <c r="C186" i="2"/>
  <c r="B186" i="2"/>
  <c r="J185" i="2"/>
  <c r="I185" i="2"/>
  <c r="B185" i="2"/>
  <c r="J184" i="2"/>
  <c r="I184" i="2"/>
  <c r="C184" i="2"/>
  <c r="B184" i="2"/>
  <c r="J183" i="2"/>
  <c r="I183" i="2"/>
  <c r="B183" i="2"/>
  <c r="J182" i="2"/>
  <c r="I182" i="2"/>
  <c r="C182" i="2"/>
  <c r="B182" i="2"/>
  <c r="J181" i="2"/>
  <c r="I181" i="2"/>
  <c r="B181" i="2"/>
  <c r="J180" i="2"/>
  <c r="I180" i="2"/>
  <c r="B180" i="2"/>
  <c r="J179" i="2"/>
  <c r="I179" i="2"/>
  <c r="B179" i="2"/>
  <c r="J178" i="2"/>
  <c r="I178" i="2"/>
  <c r="C178" i="2"/>
  <c r="B178" i="2"/>
  <c r="J177" i="2"/>
  <c r="I177" i="2"/>
  <c r="B177" i="2"/>
  <c r="J176" i="2"/>
  <c r="I176" i="2"/>
  <c r="C176" i="2"/>
  <c r="B176" i="2"/>
  <c r="J175" i="2"/>
  <c r="I175" i="2"/>
  <c r="B175" i="2"/>
  <c r="J174" i="2"/>
  <c r="I174" i="2"/>
  <c r="B174" i="2"/>
  <c r="J173" i="2"/>
  <c r="I173" i="2"/>
  <c r="C173" i="2"/>
  <c r="B173" i="2"/>
  <c r="J172" i="2"/>
  <c r="I172" i="2"/>
  <c r="C172" i="2"/>
  <c r="B172" i="2"/>
  <c r="J171" i="2"/>
  <c r="I171" i="2"/>
  <c r="B171" i="2"/>
  <c r="J170" i="2"/>
  <c r="I170" i="2"/>
  <c r="C170" i="2"/>
  <c r="B170" i="2"/>
  <c r="J169" i="2"/>
  <c r="I169" i="2"/>
  <c r="B169" i="2"/>
  <c r="J168" i="2"/>
  <c r="I168" i="2"/>
  <c r="C168" i="2"/>
  <c r="B168" i="2"/>
  <c r="J167" i="2"/>
  <c r="I167" i="2"/>
  <c r="B167" i="2"/>
  <c r="J166" i="2"/>
  <c r="I166" i="2"/>
  <c r="B166" i="2"/>
  <c r="J165" i="2"/>
  <c r="I165" i="2"/>
  <c r="B165" i="2"/>
  <c r="J164" i="2"/>
  <c r="I164" i="2"/>
  <c r="B164" i="2"/>
  <c r="J163" i="2"/>
  <c r="I163" i="2"/>
  <c r="C163" i="2"/>
  <c r="B163" i="2"/>
  <c r="J162" i="2"/>
  <c r="I162" i="2"/>
  <c r="C162" i="2"/>
  <c r="B162" i="2"/>
  <c r="J161" i="2"/>
  <c r="I161" i="2"/>
  <c r="C161" i="2"/>
  <c r="B161" i="2"/>
  <c r="J160" i="2"/>
  <c r="I160" i="2"/>
  <c r="C160" i="2"/>
  <c r="B160" i="2"/>
  <c r="J159" i="2"/>
  <c r="I159" i="2"/>
  <c r="B159" i="2"/>
  <c r="J158" i="2"/>
  <c r="I158" i="2"/>
  <c r="C158" i="2"/>
  <c r="B158" i="2"/>
  <c r="J157" i="2"/>
  <c r="I157" i="2"/>
  <c r="C157" i="2"/>
  <c r="B157" i="2"/>
  <c r="J156" i="2"/>
  <c r="I156" i="2"/>
  <c r="B156" i="2"/>
  <c r="J155" i="2"/>
  <c r="I155" i="2"/>
  <c r="B155" i="2"/>
  <c r="J154" i="2"/>
  <c r="I154" i="2"/>
  <c r="C154" i="2"/>
  <c r="B154" i="2"/>
  <c r="J153" i="2"/>
  <c r="I153" i="2"/>
  <c r="C153" i="2"/>
  <c r="B153" i="2"/>
  <c r="J152" i="2"/>
  <c r="I152" i="2"/>
  <c r="C152" i="2"/>
  <c r="B152" i="2"/>
  <c r="J151" i="2"/>
  <c r="I151" i="2"/>
  <c r="C151" i="2"/>
  <c r="B151" i="2"/>
  <c r="J150" i="2"/>
  <c r="I150" i="2"/>
  <c r="B150" i="2"/>
  <c r="J149" i="2"/>
  <c r="I149" i="2"/>
  <c r="B149" i="2"/>
  <c r="J148" i="2"/>
  <c r="I148" i="2"/>
  <c r="C148" i="2"/>
  <c r="B148" i="2"/>
  <c r="J147" i="2"/>
  <c r="I147" i="2"/>
  <c r="B147" i="2"/>
  <c r="J146" i="2"/>
  <c r="I146" i="2"/>
  <c r="B146" i="2"/>
  <c r="J145" i="2"/>
  <c r="I145" i="2"/>
  <c r="B145" i="2"/>
  <c r="J144" i="2"/>
  <c r="I144" i="2"/>
  <c r="B144" i="2"/>
  <c r="J143" i="2"/>
  <c r="I143" i="2"/>
  <c r="C143" i="2"/>
  <c r="B143" i="2"/>
  <c r="J142" i="2"/>
  <c r="I142" i="2"/>
  <c r="C142" i="2"/>
  <c r="B142" i="2"/>
  <c r="J141" i="2"/>
  <c r="I141" i="2"/>
  <c r="B141" i="2"/>
  <c r="J140" i="2"/>
  <c r="I140" i="2"/>
  <c r="C140" i="2"/>
  <c r="B140" i="2"/>
  <c r="J139" i="2"/>
  <c r="I139" i="2"/>
  <c r="B139" i="2"/>
  <c r="J138" i="2"/>
  <c r="I138" i="2"/>
  <c r="B138" i="2"/>
  <c r="J137" i="2"/>
  <c r="I137" i="2"/>
  <c r="B137" i="2"/>
  <c r="J136" i="2"/>
  <c r="I136" i="2"/>
  <c r="C136" i="2"/>
  <c r="B136" i="2"/>
  <c r="J135" i="2"/>
  <c r="I135" i="2"/>
  <c r="B135" i="2"/>
  <c r="J134" i="2"/>
  <c r="I134" i="2"/>
  <c r="B134" i="2"/>
  <c r="J133" i="2"/>
  <c r="I133" i="2"/>
  <c r="B133" i="2"/>
  <c r="J132" i="2"/>
  <c r="I132" i="2"/>
  <c r="C132" i="2"/>
  <c r="B132" i="2"/>
  <c r="J131" i="2"/>
  <c r="I131" i="2"/>
  <c r="B131" i="2"/>
  <c r="J130" i="2"/>
  <c r="I130" i="2"/>
  <c r="C130" i="2"/>
  <c r="B130" i="2"/>
  <c r="J129" i="2"/>
  <c r="I129" i="2"/>
  <c r="B129" i="2"/>
  <c r="J128" i="2"/>
  <c r="I128" i="2"/>
  <c r="B128" i="2"/>
  <c r="J127" i="2"/>
  <c r="I127" i="2"/>
  <c r="B127" i="2"/>
  <c r="J126" i="2"/>
  <c r="I126" i="2"/>
  <c r="C126" i="2"/>
  <c r="B126" i="2"/>
  <c r="J125" i="2"/>
  <c r="I125" i="2"/>
  <c r="B125" i="2"/>
  <c r="J124" i="2"/>
  <c r="I124" i="2"/>
  <c r="C124" i="2"/>
  <c r="B124" i="2"/>
  <c r="J123" i="2"/>
  <c r="I123" i="2"/>
  <c r="B123" i="2"/>
  <c r="J122" i="2"/>
  <c r="I122" i="2"/>
  <c r="C122" i="2"/>
  <c r="B122" i="2"/>
  <c r="J121" i="2"/>
  <c r="I121" i="2"/>
  <c r="B121" i="2"/>
  <c r="J120" i="2"/>
  <c r="I120" i="2"/>
  <c r="C120" i="2"/>
  <c r="B120" i="2"/>
  <c r="J119" i="2"/>
  <c r="I119" i="2"/>
  <c r="B119" i="2"/>
  <c r="J118" i="2"/>
  <c r="I118" i="2"/>
  <c r="C118" i="2"/>
  <c r="B118" i="2"/>
  <c r="J117" i="2"/>
  <c r="I117" i="2"/>
  <c r="B117" i="2"/>
  <c r="J116" i="2"/>
  <c r="I116" i="2"/>
  <c r="C116" i="2"/>
  <c r="B116" i="2"/>
  <c r="J115" i="2"/>
  <c r="I115" i="2"/>
  <c r="B115" i="2"/>
  <c r="J114" i="2"/>
  <c r="I114" i="2"/>
  <c r="B114" i="2"/>
  <c r="J113" i="2"/>
  <c r="I113" i="2"/>
  <c r="B113" i="2"/>
  <c r="J112" i="2"/>
  <c r="I112" i="2"/>
  <c r="C112" i="2"/>
  <c r="B112" i="2"/>
  <c r="J111" i="2"/>
  <c r="I111" i="2"/>
  <c r="C111" i="2"/>
  <c r="B111" i="2"/>
  <c r="J110" i="2"/>
  <c r="I110" i="2"/>
  <c r="B110" i="2"/>
  <c r="J109" i="2"/>
  <c r="I109" i="2"/>
  <c r="C109" i="2"/>
  <c r="B109" i="2"/>
  <c r="J108" i="2"/>
  <c r="I108" i="2"/>
  <c r="C108" i="2"/>
  <c r="B108" i="2"/>
  <c r="J107" i="2"/>
  <c r="I107" i="2"/>
  <c r="C107" i="2"/>
  <c r="B107" i="2"/>
  <c r="J106" i="2"/>
  <c r="I106" i="2"/>
  <c r="B106" i="2"/>
  <c r="J105" i="2"/>
  <c r="I105" i="2"/>
  <c r="C105" i="2"/>
  <c r="B105" i="2"/>
  <c r="J104" i="2"/>
  <c r="I104" i="2"/>
  <c r="C104" i="2"/>
  <c r="B104" i="2"/>
  <c r="J103" i="2"/>
  <c r="I103" i="2"/>
  <c r="B103" i="2"/>
  <c r="J102" i="2"/>
  <c r="I102" i="2"/>
  <c r="B102" i="2"/>
  <c r="J101" i="2"/>
  <c r="I101" i="2"/>
  <c r="B101" i="2"/>
  <c r="J100" i="2"/>
  <c r="I100" i="2"/>
  <c r="C100" i="2"/>
  <c r="B100" i="2"/>
  <c r="J99" i="2"/>
  <c r="I99" i="2"/>
  <c r="B99" i="2"/>
  <c r="J98" i="2"/>
  <c r="I98" i="2"/>
  <c r="C98" i="2"/>
  <c r="B98" i="2"/>
  <c r="J97" i="2"/>
  <c r="I97" i="2"/>
  <c r="B97" i="2"/>
  <c r="J96" i="2"/>
  <c r="I96" i="2"/>
  <c r="C96" i="2"/>
  <c r="B96" i="2"/>
  <c r="J95" i="2"/>
  <c r="I95" i="2"/>
  <c r="B95" i="2"/>
  <c r="J94" i="2"/>
  <c r="I94" i="2"/>
  <c r="B94" i="2"/>
  <c r="J93" i="2"/>
  <c r="I93" i="2"/>
  <c r="B93" i="2"/>
  <c r="J92" i="2"/>
  <c r="I92" i="2"/>
  <c r="C92" i="2"/>
  <c r="B92" i="2"/>
  <c r="J91" i="2"/>
  <c r="I91" i="2"/>
  <c r="C91" i="2"/>
  <c r="B91" i="2"/>
  <c r="J90" i="2"/>
  <c r="I90" i="2"/>
  <c r="C90" i="2"/>
  <c r="B90" i="2"/>
  <c r="J89" i="2"/>
  <c r="I89" i="2"/>
  <c r="B89" i="2"/>
  <c r="J88" i="2"/>
  <c r="I88" i="2"/>
  <c r="C88" i="2"/>
  <c r="B88" i="2"/>
  <c r="J87" i="2"/>
  <c r="I87" i="2"/>
  <c r="B87" i="2"/>
  <c r="J86" i="2"/>
  <c r="I86" i="2"/>
  <c r="C86" i="2"/>
  <c r="B86" i="2"/>
  <c r="J85" i="2"/>
  <c r="I85" i="2"/>
  <c r="B85" i="2"/>
  <c r="J84" i="2"/>
  <c r="I84" i="2"/>
  <c r="C84" i="2"/>
  <c r="B84" i="2"/>
  <c r="J83" i="2"/>
  <c r="I83" i="2"/>
  <c r="C83" i="2"/>
  <c r="B83" i="2"/>
  <c r="J82" i="2"/>
  <c r="I82" i="2"/>
  <c r="B82" i="2"/>
  <c r="J81" i="2"/>
  <c r="I81" i="2"/>
  <c r="B81" i="2"/>
  <c r="J80" i="2"/>
  <c r="I80" i="2"/>
  <c r="C80" i="2"/>
  <c r="B80" i="2"/>
  <c r="J79" i="2"/>
  <c r="I79" i="2"/>
  <c r="C79" i="2"/>
  <c r="B79" i="2"/>
  <c r="J78" i="2"/>
  <c r="I78" i="2"/>
  <c r="C78" i="2"/>
  <c r="B78" i="2"/>
  <c r="J77" i="2"/>
  <c r="I77" i="2"/>
  <c r="C77" i="2"/>
  <c r="B77" i="2"/>
  <c r="J76" i="2"/>
  <c r="I76" i="2"/>
  <c r="C76" i="2"/>
  <c r="B76" i="2"/>
  <c r="J75" i="2"/>
  <c r="I75" i="2"/>
  <c r="B75" i="2"/>
  <c r="J74" i="2"/>
  <c r="I74" i="2"/>
  <c r="B74" i="2"/>
  <c r="J73" i="2"/>
  <c r="I73" i="2"/>
  <c r="C73" i="2"/>
  <c r="B73" i="2"/>
  <c r="J72" i="2"/>
  <c r="I72" i="2"/>
  <c r="C72" i="2"/>
  <c r="B72" i="2"/>
  <c r="J71" i="2"/>
  <c r="I71" i="2"/>
  <c r="C71" i="2"/>
  <c r="B71" i="2"/>
  <c r="J70" i="2"/>
  <c r="I70" i="2"/>
  <c r="B70" i="2"/>
  <c r="J69" i="2"/>
  <c r="I69" i="2"/>
  <c r="C69" i="2"/>
  <c r="B69" i="2"/>
  <c r="J68" i="2"/>
  <c r="I68" i="2"/>
  <c r="B68" i="2"/>
  <c r="J67" i="2"/>
  <c r="I67" i="2"/>
  <c r="C67" i="2"/>
  <c r="B67" i="2"/>
  <c r="J66" i="2"/>
  <c r="I66" i="2"/>
  <c r="C66" i="2"/>
  <c r="B66" i="2"/>
  <c r="J65" i="2"/>
  <c r="I65" i="2"/>
  <c r="B65" i="2"/>
  <c r="J64" i="2"/>
  <c r="I64" i="2"/>
  <c r="C64" i="2"/>
  <c r="B64" i="2"/>
  <c r="J63" i="2"/>
  <c r="I63" i="2"/>
  <c r="B63" i="2"/>
  <c r="J62" i="2"/>
  <c r="I62" i="2"/>
  <c r="B62" i="2"/>
  <c r="J61" i="2"/>
  <c r="I61" i="2"/>
  <c r="B61" i="2"/>
  <c r="J60" i="2"/>
  <c r="I60" i="2"/>
  <c r="B60" i="2"/>
  <c r="J59" i="2"/>
  <c r="I59" i="2"/>
  <c r="B59" i="2"/>
  <c r="J58" i="2"/>
  <c r="I58" i="2"/>
  <c r="C58" i="2"/>
  <c r="B58" i="2"/>
  <c r="J57" i="2"/>
  <c r="I57" i="2"/>
  <c r="B57" i="2"/>
  <c r="J56" i="2"/>
  <c r="I56" i="2"/>
  <c r="B56" i="2"/>
  <c r="J55" i="2"/>
  <c r="I55" i="2"/>
  <c r="B55" i="2"/>
  <c r="J54" i="2"/>
  <c r="I54" i="2"/>
  <c r="B54" i="2"/>
  <c r="J53" i="2"/>
  <c r="I53" i="2"/>
  <c r="C53" i="2"/>
  <c r="B53" i="2"/>
  <c r="J52" i="2"/>
  <c r="I52" i="2"/>
  <c r="C52" i="2"/>
  <c r="B52" i="2"/>
  <c r="J51" i="2"/>
  <c r="I51" i="2"/>
  <c r="C51" i="2"/>
  <c r="B51" i="2"/>
  <c r="J50" i="2"/>
  <c r="I50" i="2"/>
  <c r="B50" i="2"/>
  <c r="J49" i="2"/>
  <c r="I49" i="2"/>
  <c r="B49" i="2"/>
  <c r="J48" i="2"/>
  <c r="I48" i="2"/>
  <c r="B48" i="2"/>
  <c r="J47" i="2"/>
  <c r="I47" i="2"/>
  <c r="B47" i="2"/>
  <c r="J46" i="2"/>
  <c r="I46" i="2"/>
  <c r="C46" i="2"/>
  <c r="B46" i="2"/>
  <c r="J45" i="2"/>
  <c r="I45" i="2"/>
  <c r="C45" i="2"/>
  <c r="B45" i="2"/>
  <c r="J44" i="2"/>
  <c r="I44" i="2"/>
  <c r="C44" i="2"/>
  <c r="B44" i="2"/>
  <c r="J43" i="2"/>
  <c r="I43" i="2"/>
  <c r="B43" i="2"/>
  <c r="J42" i="2"/>
  <c r="I42" i="2"/>
  <c r="B42" i="2"/>
  <c r="J41" i="2"/>
  <c r="I41" i="2"/>
  <c r="C41" i="2"/>
  <c r="B41" i="2"/>
  <c r="J40" i="2"/>
  <c r="I40" i="2"/>
  <c r="C40" i="2"/>
  <c r="B40" i="2"/>
  <c r="J39" i="2"/>
  <c r="I39" i="2"/>
  <c r="B39" i="2"/>
  <c r="J38" i="2"/>
  <c r="I38" i="2"/>
  <c r="C38" i="2"/>
  <c r="B38" i="2"/>
  <c r="J37" i="2"/>
  <c r="I37" i="2"/>
  <c r="B37" i="2"/>
  <c r="J36" i="2"/>
  <c r="I36" i="2"/>
  <c r="B36" i="2"/>
  <c r="J35" i="2"/>
  <c r="I35" i="2"/>
  <c r="C35" i="2"/>
  <c r="B35" i="2"/>
  <c r="J34" i="2"/>
  <c r="I34" i="2"/>
  <c r="C34" i="2"/>
  <c r="B34" i="2"/>
  <c r="J33" i="2"/>
  <c r="I33" i="2"/>
  <c r="C33" i="2"/>
  <c r="B33" i="2"/>
  <c r="J32" i="2"/>
  <c r="I32" i="2"/>
  <c r="C32" i="2"/>
  <c r="B32" i="2"/>
  <c r="J31" i="2"/>
  <c r="I31" i="2"/>
  <c r="C31" i="2"/>
  <c r="B31" i="2"/>
  <c r="J30" i="2"/>
  <c r="I30" i="2"/>
  <c r="C30" i="2"/>
  <c r="B30" i="2"/>
  <c r="J29" i="2"/>
  <c r="I29" i="2"/>
  <c r="B29" i="2"/>
  <c r="J28" i="2"/>
  <c r="I28" i="2"/>
  <c r="C28" i="2"/>
  <c r="B28" i="2"/>
  <c r="J27" i="2"/>
  <c r="I27" i="2"/>
  <c r="B27" i="2"/>
  <c r="J26" i="2"/>
  <c r="I26" i="2"/>
  <c r="C26" i="2"/>
  <c r="B26" i="2"/>
  <c r="J25" i="2"/>
  <c r="I25" i="2"/>
  <c r="C25" i="2"/>
  <c r="B25" i="2"/>
  <c r="J24" i="2"/>
  <c r="I24" i="2"/>
  <c r="C24" i="2"/>
  <c r="B24" i="2"/>
  <c r="J23" i="2"/>
  <c r="I23" i="2"/>
  <c r="B23" i="2"/>
  <c r="J22" i="2"/>
  <c r="I22" i="2"/>
  <c r="B22" i="2"/>
  <c r="J21" i="2"/>
  <c r="I21" i="2"/>
  <c r="C21" i="2"/>
  <c r="B21" i="2"/>
  <c r="J20" i="2"/>
  <c r="I20" i="2"/>
  <c r="C20" i="2"/>
  <c r="B20" i="2"/>
  <c r="J19" i="2"/>
  <c r="I19" i="2"/>
  <c r="C19" i="2"/>
  <c r="B19" i="2"/>
  <c r="J18" i="2"/>
  <c r="I18" i="2"/>
  <c r="B18" i="2"/>
  <c r="J17" i="2"/>
  <c r="I17" i="2"/>
  <c r="B17" i="2"/>
  <c r="J16" i="2"/>
  <c r="I16" i="2"/>
  <c r="C16" i="2"/>
  <c r="B16" i="2"/>
  <c r="J15" i="2"/>
  <c r="I15" i="2"/>
  <c r="C15" i="2"/>
  <c r="B15" i="2"/>
  <c r="J14" i="2"/>
  <c r="I14" i="2"/>
  <c r="B14" i="2"/>
  <c r="J13" i="2"/>
  <c r="I13" i="2"/>
  <c r="C13" i="2"/>
  <c r="B13" i="2"/>
  <c r="J12" i="2"/>
  <c r="I12" i="2"/>
  <c r="C12" i="2"/>
  <c r="B12" i="2"/>
  <c r="J11" i="2"/>
  <c r="I11" i="2"/>
  <c r="C11" i="2"/>
  <c r="B11" i="2"/>
  <c r="J10" i="2"/>
  <c r="I10" i="2"/>
  <c r="B10" i="2"/>
  <c r="J9" i="2"/>
  <c r="I9" i="2"/>
  <c r="B9" i="2"/>
  <c r="J8" i="2"/>
  <c r="I8" i="2"/>
  <c r="C8" i="2"/>
  <c r="B8" i="2"/>
  <c r="J7" i="2"/>
  <c r="I7" i="2"/>
  <c r="C7" i="2"/>
  <c r="B7" i="2"/>
  <c r="J6" i="2"/>
  <c r="I6" i="2"/>
  <c r="C6" i="2"/>
  <c r="B6" i="2"/>
  <c r="J5" i="2"/>
  <c r="I5" i="2"/>
  <c r="C5" i="2"/>
  <c r="B5" i="2"/>
  <c r="J4" i="2"/>
  <c r="I4" i="2"/>
  <c r="C4" i="2"/>
  <c r="B4" i="2"/>
  <c r="J3" i="2"/>
  <c r="I3" i="2"/>
  <c r="C3" i="2"/>
  <c r="B3" i="2"/>
  <c r="Z306" i="1"/>
  <c r="U306" i="1"/>
  <c r="T306" i="1"/>
  <c r="S306" i="1"/>
  <c r="R306" i="1"/>
  <c r="Q306" i="1"/>
  <c r="B306" i="1" s="1"/>
  <c r="O306" i="1"/>
  <c r="M306" i="1"/>
  <c r="P306" i="1" s="1"/>
  <c r="K306" i="1"/>
  <c r="J306" i="1"/>
  <c r="I306" i="1"/>
  <c r="H306" i="1"/>
  <c r="F306" i="1"/>
  <c r="Z305" i="1"/>
  <c r="V305" i="1"/>
  <c r="U305" i="1"/>
  <c r="T305" i="1"/>
  <c r="S305" i="1"/>
  <c r="R305" i="1"/>
  <c r="Q305" i="1"/>
  <c r="O305" i="1"/>
  <c r="M305" i="1"/>
  <c r="K305" i="1"/>
  <c r="J305" i="1"/>
  <c r="I305" i="1"/>
  <c r="H305" i="1"/>
  <c r="F305" i="1"/>
  <c r="Z304" i="1"/>
  <c r="U304" i="1"/>
  <c r="T304" i="1"/>
  <c r="S304" i="1"/>
  <c r="R304" i="1"/>
  <c r="Q304" i="1"/>
  <c r="O304" i="1"/>
  <c r="V304" i="1" s="1"/>
  <c r="M304" i="1"/>
  <c r="L304" i="1"/>
  <c r="K304" i="1"/>
  <c r="J304" i="1"/>
  <c r="I304" i="1"/>
  <c r="H304" i="1"/>
  <c r="F304" i="1"/>
  <c r="Z303" i="1"/>
  <c r="V303" i="1"/>
  <c r="Y303" i="1" s="1"/>
  <c r="U303" i="1"/>
  <c r="T303" i="1"/>
  <c r="S303" i="1"/>
  <c r="R303" i="1"/>
  <c r="Q303" i="1"/>
  <c r="O303" i="1"/>
  <c r="P303" i="1" s="1"/>
  <c r="N303" i="1"/>
  <c r="M303" i="1"/>
  <c r="L303" i="1"/>
  <c r="K303" i="1"/>
  <c r="J303" i="1"/>
  <c r="I303" i="1"/>
  <c r="H303" i="1"/>
  <c r="F303" i="1"/>
  <c r="B303" i="1"/>
  <c r="Z302" i="1"/>
  <c r="U302" i="1"/>
  <c r="T302" i="1"/>
  <c r="S302" i="1"/>
  <c r="R302" i="1"/>
  <c r="Q302" i="1"/>
  <c r="O302" i="1"/>
  <c r="M302" i="1"/>
  <c r="L302" i="1" s="1"/>
  <c r="K302" i="1"/>
  <c r="J302" i="1"/>
  <c r="I302" i="1"/>
  <c r="H302" i="1"/>
  <c r="F302" i="1"/>
  <c r="Z301" i="1"/>
  <c r="U301" i="1"/>
  <c r="T301" i="1"/>
  <c r="S301" i="1"/>
  <c r="R301" i="1"/>
  <c r="Q301" i="1"/>
  <c r="B301" i="1" s="1"/>
  <c r="P301" i="1"/>
  <c r="O301" i="1"/>
  <c r="M301" i="1"/>
  <c r="K301" i="1"/>
  <c r="J301" i="1"/>
  <c r="I301" i="1"/>
  <c r="H301" i="1"/>
  <c r="F301" i="1"/>
  <c r="Z300" i="1"/>
  <c r="U300" i="1"/>
  <c r="T300" i="1"/>
  <c r="S300" i="1"/>
  <c r="R300" i="1"/>
  <c r="Q300" i="1"/>
  <c r="O300" i="1"/>
  <c r="M300" i="1"/>
  <c r="P300" i="1" s="1"/>
  <c r="L300" i="1"/>
  <c r="K300" i="1"/>
  <c r="J300" i="1"/>
  <c r="I300" i="1"/>
  <c r="H300" i="1"/>
  <c r="F300" i="1"/>
  <c r="B300" i="1"/>
  <c r="Z299" i="1"/>
  <c r="U299" i="1"/>
  <c r="T299" i="1"/>
  <c r="S299" i="1"/>
  <c r="R299" i="1"/>
  <c r="Q299" i="1"/>
  <c r="B299" i="1" s="1"/>
  <c r="O299" i="1"/>
  <c r="M299" i="1"/>
  <c r="L299" i="1"/>
  <c r="K299" i="1"/>
  <c r="J299" i="1"/>
  <c r="I299" i="1"/>
  <c r="H299" i="1"/>
  <c r="F299" i="1"/>
  <c r="Z298" i="1"/>
  <c r="Y298" i="1"/>
  <c r="W298" i="1"/>
  <c r="X298" i="1" s="1"/>
  <c r="V298" i="1"/>
  <c r="U298" i="1"/>
  <c r="T298" i="1"/>
  <c r="S298" i="1"/>
  <c r="R298" i="1"/>
  <c r="Q298" i="1"/>
  <c r="O298" i="1"/>
  <c r="P298" i="1" s="1"/>
  <c r="N298" i="1"/>
  <c r="M298" i="1"/>
  <c r="L298" i="1"/>
  <c r="K298" i="1"/>
  <c r="J298" i="1"/>
  <c r="I298" i="1"/>
  <c r="H298" i="1"/>
  <c r="F298" i="1"/>
  <c r="Z297" i="1"/>
  <c r="U297" i="1"/>
  <c r="T297" i="1"/>
  <c r="S297" i="1"/>
  <c r="R297" i="1"/>
  <c r="Q297" i="1"/>
  <c r="P297" i="1"/>
  <c r="O297" i="1"/>
  <c r="M297" i="1"/>
  <c r="L297" i="1"/>
  <c r="K297" i="1"/>
  <c r="J297" i="1"/>
  <c r="I297" i="1"/>
  <c r="H297" i="1"/>
  <c r="F297" i="1"/>
  <c r="Z296" i="1"/>
  <c r="U296" i="1"/>
  <c r="T296" i="1"/>
  <c r="S296" i="1"/>
  <c r="R296" i="1"/>
  <c r="Q296" i="1"/>
  <c r="O296" i="1"/>
  <c r="M296" i="1"/>
  <c r="K296" i="1"/>
  <c r="J296" i="1"/>
  <c r="I296" i="1"/>
  <c r="H296" i="1"/>
  <c r="F296" i="1"/>
  <c r="Z295" i="1"/>
  <c r="U295" i="1"/>
  <c r="T295" i="1"/>
  <c r="S295" i="1"/>
  <c r="R295" i="1"/>
  <c r="Q295" i="1"/>
  <c r="O295" i="1"/>
  <c r="M295" i="1"/>
  <c r="P295" i="1" s="1"/>
  <c r="K295" i="1"/>
  <c r="J295" i="1"/>
  <c r="I295" i="1"/>
  <c r="H295" i="1"/>
  <c r="F295" i="1"/>
  <c r="Z294" i="1"/>
  <c r="O294" i="1"/>
  <c r="M294" i="1"/>
  <c r="P294" i="1" s="1"/>
  <c r="L294" i="1"/>
  <c r="K294" i="1"/>
  <c r="J294" i="1"/>
  <c r="I294" i="1"/>
  <c r="H294" i="1"/>
  <c r="F294" i="1"/>
  <c r="Z293" i="1"/>
  <c r="O293" i="1"/>
  <c r="M293" i="1"/>
  <c r="K293" i="1"/>
  <c r="J293" i="1"/>
  <c r="I293" i="1"/>
  <c r="H293" i="1"/>
  <c r="F293" i="1"/>
  <c r="Z292" i="1"/>
  <c r="O292" i="1"/>
  <c r="M292" i="1"/>
  <c r="P292" i="1" s="1"/>
  <c r="K292" i="1"/>
  <c r="J292" i="1"/>
  <c r="I292" i="1"/>
  <c r="H292" i="1"/>
  <c r="F292" i="1"/>
  <c r="Z291" i="1"/>
  <c r="O291" i="1"/>
  <c r="M291" i="1"/>
  <c r="P291" i="1" s="1"/>
  <c r="K291" i="1"/>
  <c r="J291" i="1"/>
  <c r="I291" i="1"/>
  <c r="H291" i="1"/>
  <c r="F291" i="1"/>
  <c r="Z290" i="1"/>
  <c r="O290" i="1"/>
  <c r="M290" i="1"/>
  <c r="P290" i="1" s="1"/>
  <c r="L290" i="1"/>
  <c r="K290" i="1"/>
  <c r="J290" i="1"/>
  <c r="I290" i="1"/>
  <c r="H290" i="1"/>
  <c r="F290" i="1"/>
  <c r="Z289" i="1"/>
  <c r="Y289" i="1"/>
  <c r="X289" i="1"/>
  <c r="V289" i="1"/>
  <c r="W289" i="1" s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F289" i="1"/>
  <c r="B289" i="1"/>
  <c r="Z288" i="1"/>
  <c r="U288" i="1"/>
  <c r="T288" i="1"/>
  <c r="S288" i="1"/>
  <c r="R288" i="1"/>
  <c r="Q288" i="1"/>
  <c r="O288" i="1"/>
  <c r="M288" i="1"/>
  <c r="L288" i="1" s="1"/>
  <c r="K288" i="1"/>
  <c r="J288" i="1"/>
  <c r="I288" i="1"/>
  <c r="H288" i="1"/>
  <c r="F288" i="1"/>
  <c r="B288" i="1"/>
  <c r="Z287" i="1"/>
  <c r="U287" i="1"/>
  <c r="T287" i="1"/>
  <c r="S287" i="1"/>
  <c r="R287" i="1"/>
  <c r="Q287" i="1"/>
  <c r="P287" i="1"/>
  <c r="O287" i="1"/>
  <c r="M287" i="1"/>
  <c r="L287" i="1"/>
  <c r="K287" i="1"/>
  <c r="J287" i="1"/>
  <c r="I287" i="1"/>
  <c r="H287" i="1"/>
  <c r="F287" i="1"/>
  <c r="Z286" i="1"/>
  <c r="U286" i="1"/>
  <c r="T286" i="1"/>
  <c r="S286" i="1"/>
  <c r="R286" i="1"/>
  <c r="Q286" i="1"/>
  <c r="O286" i="1"/>
  <c r="M286" i="1"/>
  <c r="K286" i="1"/>
  <c r="J286" i="1"/>
  <c r="I286" i="1"/>
  <c r="H286" i="1"/>
  <c r="F286" i="1"/>
  <c r="Z285" i="1"/>
  <c r="V285" i="1"/>
  <c r="Y285" i="1" s="1"/>
  <c r="O285" i="1"/>
  <c r="P285" i="1" s="1"/>
  <c r="M285" i="1"/>
  <c r="K285" i="1"/>
  <c r="J285" i="1"/>
  <c r="I285" i="1"/>
  <c r="H285" i="1"/>
  <c r="F285" i="1"/>
  <c r="Z284" i="1"/>
  <c r="U284" i="1"/>
  <c r="T284" i="1"/>
  <c r="S284" i="1"/>
  <c r="R284" i="1"/>
  <c r="Q284" i="1"/>
  <c r="O284" i="1"/>
  <c r="M284" i="1"/>
  <c r="L284" i="1"/>
  <c r="K284" i="1"/>
  <c r="J284" i="1"/>
  <c r="I284" i="1"/>
  <c r="H284" i="1"/>
  <c r="F284" i="1"/>
  <c r="B284" i="1"/>
  <c r="Z283" i="1"/>
  <c r="U283" i="1"/>
  <c r="T283" i="1"/>
  <c r="S283" i="1"/>
  <c r="R283" i="1"/>
  <c r="Q283" i="1"/>
  <c r="B283" i="1" s="1"/>
  <c r="O283" i="1"/>
  <c r="M283" i="1"/>
  <c r="V283" i="1" s="1"/>
  <c r="W283" i="1" s="1"/>
  <c r="X283" i="1" s="1"/>
  <c r="L283" i="1"/>
  <c r="K283" i="1"/>
  <c r="J283" i="1"/>
  <c r="I283" i="1"/>
  <c r="H283" i="1"/>
  <c r="F283" i="1"/>
  <c r="Z282" i="1"/>
  <c r="Y282" i="1"/>
  <c r="V282" i="1"/>
  <c r="W282" i="1" s="1"/>
  <c r="X282" i="1" s="1"/>
  <c r="U282" i="1"/>
  <c r="T282" i="1"/>
  <c r="S282" i="1"/>
  <c r="R282" i="1"/>
  <c r="Q282" i="1"/>
  <c r="B282" i="1" s="1"/>
  <c r="O282" i="1"/>
  <c r="P282" i="1" s="1"/>
  <c r="N282" i="1"/>
  <c r="M282" i="1"/>
  <c r="L282" i="1"/>
  <c r="K282" i="1"/>
  <c r="J282" i="1"/>
  <c r="I282" i="1"/>
  <c r="H282" i="1"/>
  <c r="F282" i="1"/>
  <c r="Z281" i="1"/>
  <c r="U281" i="1"/>
  <c r="T281" i="1"/>
  <c r="S281" i="1"/>
  <c r="R281" i="1"/>
  <c r="Q281" i="1"/>
  <c r="O281" i="1"/>
  <c r="M281" i="1"/>
  <c r="P281" i="1" s="1"/>
  <c r="K281" i="1"/>
  <c r="J281" i="1"/>
  <c r="I281" i="1"/>
  <c r="H281" i="1"/>
  <c r="F281" i="1"/>
  <c r="Z280" i="1"/>
  <c r="U280" i="1"/>
  <c r="T280" i="1"/>
  <c r="S280" i="1"/>
  <c r="R280" i="1"/>
  <c r="Q280" i="1"/>
  <c r="V280" i="1" s="1"/>
  <c r="P280" i="1"/>
  <c r="O280" i="1"/>
  <c r="M280" i="1"/>
  <c r="L280" i="1"/>
  <c r="K280" i="1"/>
  <c r="J280" i="1"/>
  <c r="I280" i="1"/>
  <c r="H280" i="1"/>
  <c r="F280" i="1"/>
  <c r="Z279" i="1"/>
  <c r="U279" i="1"/>
  <c r="T279" i="1"/>
  <c r="S279" i="1"/>
  <c r="R279" i="1"/>
  <c r="Q279" i="1"/>
  <c r="O279" i="1"/>
  <c r="M279" i="1"/>
  <c r="L279" i="1" s="1"/>
  <c r="K279" i="1"/>
  <c r="J279" i="1"/>
  <c r="I279" i="1"/>
  <c r="H279" i="1"/>
  <c r="F279" i="1"/>
  <c r="B279" i="1"/>
  <c r="Z278" i="1"/>
  <c r="U278" i="1"/>
  <c r="T278" i="1"/>
  <c r="S278" i="1"/>
  <c r="R278" i="1"/>
  <c r="Q278" i="1"/>
  <c r="P278" i="1"/>
  <c r="O278" i="1"/>
  <c r="M278" i="1"/>
  <c r="L278" i="1" s="1"/>
  <c r="K278" i="1"/>
  <c r="J278" i="1"/>
  <c r="I278" i="1"/>
  <c r="H278" i="1"/>
  <c r="F278" i="1"/>
  <c r="Z277" i="1"/>
  <c r="U277" i="1"/>
  <c r="T277" i="1"/>
  <c r="S277" i="1"/>
  <c r="R277" i="1"/>
  <c r="Q277" i="1"/>
  <c r="O277" i="1"/>
  <c r="M277" i="1"/>
  <c r="K277" i="1"/>
  <c r="J277" i="1"/>
  <c r="I277" i="1"/>
  <c r="H277" i="1"/>
  <c r="F277" i="1"/>
  <c r="Z276" i="1"/>
  <c r="V276" i="1"/>
  <c r="U276" i="1"/>
  <c r="T276" i="1"/>
  <c r="S276" i="1"/>
  <c r="R276" i="1"/>
  <c r="Q276" i="1"/>
  <c r="O276" i="1"/>
  <c r="M276" i="1"/>
  <c r="K276" i="1"/>
  <c r="J276" i="1"/>
  <c r="I276" i="1"/>
  <c r="H276" i="1"/>
  <c r="F276" i="1"/>
  <c r="Z275" i="1"/>
  <c r="W275" i="1"/>
  <c r="X275" i="1" s="1"/>
  <c r="U275" i="1"/>
  <c r="T275" i="1"/>
  <c r="S275" i="1"/>
  <c r="R275" i="1"/>
  <c r="Q275" i="1"/>
  <c r="B275" i="1" s="1"/>
  <c r="O275" i="1"/>
  <c r="M275" i="1"/>
  <c r="V275" i="1" s="1"/>
  <c r="Y275" i="1" s="1"/>
  <c r="L275" i="1"/>
  <c r="K275" i="1"/>
  <c r="J275" i="1"/>
  <c r="I275" i="1"/>
  <c r="H275" i="1"/>
  <c r="F275" i="1"/>
  <c r="Z274" i="1"/>
  <c r="V274" i="1"/>
  <c r="Y274" i="1" s="1"/>
  <c r="U274" i="1"/>
  <c r="T274" i="1"/>
  <c r="S274" i="1"/>
  <c r="R274" i="1"/>
  <c r="Q274" i="1"/>
  <c r="O274" i="1"/>
  <c r="P274" i="1" s="1"/>
  <c r="N274" i="1"/>
  <c r="M274" i="1"/>
  <c r="L274" i="1"/>
  <c r="K274" i="1"/>
  <c r="J274" i="1"/>
  <c r="I274" i="1"/>
  <c r="H274" i="1"/>
  <c r="F274" i="1"/>
  <c r="B274" i="1"/>
  <c r="Z273" i="1"/>
  <c r="U273" i="1"/>
  <c r="T273" i="1"/>
  <c r="S273" i="1"/>
  <c r="R273" i="1"/>
  <c r="Q273" i="1"/>
  <c r="B273" i="1" s="1"/>
  <c r="O273" i="1"/>
  <c r="M273" i="1"/>
  <c r="P273" i="1" s="1"/>
  <c r="L273" i="1"/>
  <c r="K273" i="1"/>
  <c r="J273" i="1"/>
  <c r="I273" i="1"/>
  <c r="H273" i="1"/>
  <c r="F273" i="1"/>
  <c r="Z272" i="1"/>
  <c r="Y272" i="1"/>
  <c r="V272" i="1"/>
  <c r="W272" i="1" s="1"/>
  <c r="X272" i="1" s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F272" i="1"/>
  <c r="B272" i="1"/>
  <c r="Z271" i="1"/>
  <c r="V271" i="1"/>
  <c r="Y271" i="1" s="1"/>
  <c r="U271" i="1"/>
  <c r="T271" i="1"/>
  <c r="S271" i="1"/>
  <c r="R271" i="1"/>
  <c r="Q271" i="1"/>
  <c r="P271" i="1"/>
  <c r="O271" i="1"/>
  <c r="N271" i="1"/>
  <c r="M271" i="1"/>
  <c r="L271" i="1" s="1"/>
  <c r="K271" i="1"/>
  <c r="J271" i="1"/>
  <c r="I271" i="1"/>
  <c r="H271" i="1"/>
  <c r="F271" i="1"/>
  <c r="B271" i="1"/>
  <c r="Z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F270" i="1"/>
  <c r="B270" i="1"/>
  <c r="Z269" i="1"/>
  <c r="U269" i="1"/>
  <c r="T269" i="1"/>
  <c r="S269" i="1"/>
  <c r="R269" i="1"/>
  <c r="Q269" i="1"/>
  <c r="O269" i="1"/>
  <c r="M269" i="1"/>
  <c r="K269" i="1"/>
  <c r="J269" i="1"/>
  <c r="I269" i="1"/>
  <c r="H269" i="1"/>
  <c r="F269" i="1"/>
  <c r="Z268" i="1"/>
  <c r="U268" i="1"/>
  <c r="T268" i="1"/>
  <c r="S268" i="1"/>
  <c r="R268" i="1"/>
  <c r="Q268" i="1"/>
  <c r="O268" i="1"/>
  <c r="M268" i="1"/>
  <c r="P268" i="1" s="1"/>
  <c r="K268" i="1"/>
  <c r="J268" i="1"/>
  <c r="I268" i="1"/>
  <c r="H268" i="1"/>
  <c r="F268" i="1"/>
  <c r="Z267" i="1"/>
  <c r="U267" i="1"/>
  <c r="T267" i="1"/>
  <c r="S267" i="1"/>
  <c r="R267" i="1"/>
  <c r="Q267" i="1"/>
  <c r="O267" i="1"/>
  <c r="M267" i="1"/>
  <c r="L267" i="1"/>
  <c r="K267" i="1"/>
  <c r="J267" i="1"/>
  <c r="I267" i="1"/>
  <c r="H267" i="1"/>
  <c r="F267" i="1"/>
  <c r="Z266" i="1"/>
  <c r="X266" i="1"/>
  <c r="V266" i="1"/>
  <c r="W266" i="1" s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F266" i="1"/>
  <c r="B266" i="1"/>
  <c r="Z265" i="1"/>
  <c r="U265" i="1"/>
  <c r="T265" i="1"/>
  <c r="S265" i="1"/>
  <c r="R265" i="1"/>
  <c r="Q265" i="1"/>
  <c r="O265" i="1"/>
  <c r="M265" i="1"/>
  <c r="L265" i="1" s="1"/>
  <c r="K265" i="1"/>
  <c r="J265" i="1"/>
  <c r="I265" i="1"/>
  <c r="H265" i="1"/>
  <c r="F265" i="1"/>
  <c r="Z264" i="1"/>
  <c r="X264" i="1"/>
  <c r="V264" i="1"/>
  <c r="W264" i="1" s="1"/>
  <c r="U264" i="1"/>
  <c r="T264" i="1"/>
  <c r="S264" i="1"/>
  <c r="R264" i="1"/>
  <c r="Q264" i="1"/>
  <c r="B264" i="1" s="1"/>
  <c r="P264" i="1"/>
  <c r="O264" i="1"/>
  <c r="N264" i="1"/>
  <c r="M264" i="1"/>
  <c r="L264" i="1"/>
  <c r="K264" i="1"/>
  <c r="J264" i="1"/>
  <c r="I264" i="1"/>
  <c r="H264" i="1"/>
  <c r="F264" i="1"/>
  <c r="Z263" i="1"/>
  <c r="V263" i="1"/>
  <c r="Y263" i="1" s="1"/>
  <c r="U263" i="1"/>
  <c r="T263" i="1"/>
  <c r="S263" i="1"/>
  <c r="R263" i="1"/>
  <c r="Q263" i="1"/>
  <c r="P263" i="1"/>
  <c r="O263" i="1"/>
  <c r="N263" i="1"/>
  <c r="M263" i="1"/>
  <c r="L263" i="1" s="1"/>
  <c r="K263" i="1"/>
  <c r="J263" i="1"/>
  <c r="I263" i="1"/>
  <c r="H263" i="1"/>
  <c r="F263" i="1"/>
  <c r="Z262" i="1"/>
  <c r="U262" i="1"/>
  <c r="T262" i="1"/>
  <c r="S262" i="1"/>
  <c r="R262" i="1"/>
  <c r="Q262" i="1"/>
  <c r="O262" i="1"/>
  <c r="M262" i="1"/>
  <c r="L262" i="1" s="1"/>
  <c r="K262" i="1"/>
  <c r="J262" i="1"/>
  <c r="I262" i="1"/>
  <c r="H262" i="1"/>
  <c r="F262" i="1"/>
  <c r="Z261" i="1"/>
  <c r="U261" i="1"/>
  <c r="T261" i="1"/>
  <c r="S261" i="1"/>
  <c r="R261" i="1"/>
  <c r="Q261" i="1"/>
  <c r="B261" i="1" s="1"/>
  <c r="O261" i="1"/>
  <c r="M261" i="1"/>
  <c r="L261" i="1"/>
  <c r="K261" i="1"/>
  <c r="J261" i="1"/>
  <c r="I261" i="1"/>
  <c r="H261" i="1"/>
  <c r="F261" i="1"/>
  <c r="Z260" i="1"/>
  <c r="U260" i="1"/>
  <c r="T260" i="1"/>
  <c r="S260" i="1"/>
  <c r="B260" i="1" s="1"/>
  <c r="R260" i="1"/>
  <c r="Q260" i="1"/>
  <c r="O260" i="1"/>
  <c r="M260" i="1"/>
  <c r="L260" i="1"/>
  <c r="K260" i="1"/>
  <c r="J260" i="1"/>
  <c r="I260" i="1"/>
  <c r="H260" i="1"/>
  <c r="F260" i="1"/>
  <c r="Z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F259" i="1"/>
  <c r="B259" i="1"/>
  <c r="Z258" i="1"/>
  <c r="U258" i="1"/>
  <c r="T258" i="1"/>
  <c r="S258" i="1"/>
  <c r="R258" i="1"/>
  <c r="Q258" i="1"/>
  <c r="O258" i="1"/>
  <c r="M258" i="1"/>
  <c r="L258" i="1" s="1"/>
  <c r="K258" i="1"/>
  <c r="J258" i="1"/>
  <c r="I258" i="1"/>
  <c r="H258" i="1"/>
  <c r="F258" i="1"/>
  <c r="B258" i="1"/>
  <c r="Z257" i="1"/>
  <c r="U257" i="1"/>
  <c r="T257" i="1"/>
  <c r="S257" i="1"/>
  <c r="R257" i="1"/>
  <c r="Q257" i="1"/>
  <c r="O257" i="1"/>
  <c r="M257" i="1"/>
  <c r="K257" i="1"/>
  <c r="J257" i="1"/>
  <c r="I257" i="1"/>
  <c r="H257" i="1"/>
  <c r="F257" i="1"/>
  <c r="Z256" i="1"/>
  <c r="U256" i="1"/>
  <c r="T256" i="1"/>
  <c r="S256" i="1"/>
  <c r="R256" i="1"/>
  <c r="Q256" i="1"/>
  <c r="B256" i="1" s="1"/>
  <c r="O256" i="1"/>
  <c r="M256" i="1"/>
  <c r="K256" i="1"/>
  <c r="J256" i="1"/>
  <c r="I256" i="1"/>
  <c r="H256" i="1"/>
  <c r="F256" i="1"/>
  <c r="Z255" i="1"/>
  <c r="V255" i="1"/>
  <c r="Y255" i="1" s="1"/>
  <c r="O255" i="1"/>
  <c r="P255" i="1" s="1"/>
  <c r="M255" i="1"/>
  <c r="L255" i="1"/>
  <c r="K255" i="1"/>
  <c r="J255" i="1"/>
  <c r="I255" i="1"/>
  <c r="H255" i="1"/>
  <c r="F255" i="1"/>
  <c r="Z254" i="1"/>
  <c r="O254" i="1"/>
  <c r="P254" i="1" s="1"/>
  <c r="M254" i="1"/>
  <c r="L254" i="1"/>
  <c r="K254" i="1"/>
  <c r="J254" i="1"/>
  <c r="I254" i="1"/>
  <c r="H254" i="1"/>
  <c r="F254" i="1"/>
  <c r="Z253" i="1"/>
  <c r="V253" i="1"/>
  <c r="U253" i="1"/>
  <c r="T253" i="1"/>
  <c r="S253" i="1"/>
  <c r="R253" i="1"/>
  <c r="Q253" i="1"/>
  <c r="P253" i="1"/>
  <c r="O253" i="1"/>
  <c r="N253" i="1"/>
  <c r="M253" i="1"/>
  <c r="L253" i="1" s="1"/>
  <c r="K253" i="1"/>
  <c r="J253" i="1"/>
  <c r="I253" i="1"/>
  <c r="H253" i="1"/>
  <c r="F253" i="1"/>
  <c r="B253" i="1"/>
  <c r="Z252" i="1"/>
  <c r="U252" i="1"/>
  <c r="T252" i="1"/>
  <c r="S252" i="1"/>
  <c r="R252" i="1"/>
  <c r="Q252" i="1"/>
  <c r="O252" i="1"/>
  <c r="M252" i="1"/>
  <c r="P252" i="1" s="1"/>
  <c r="K252" i="1"/>
  <c r="J252" i="1"/>
  <c r="I252" i="1"/>
  <c r="H252" i="1"/>
  <c r="F252" i="1"/>
  <c r="Z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F251" i="1"/>
  <c r="B251" i="1"/>
  <c r="Z250" i="1"/>
  <c r="W250" i="1"/>
  <c r="X250" i="1" s="1"/>
  <c r="V250" i="1"/>
  <c r="Y250" i="1" s="1"/>
  <c r="P250" i="1"/>
  <c r="O250" i="1"/>
  <c r="N250" i="1"/>
  <c r="M250" i="1"/>
  <c r="L250" i="1"/>
  <c r="K250" i="1"/>
  <c r="J250" i="1"/>
  <c r="I250" i="1"/>
  <c r="H250" i="1"/>
  <c r="F250" i="1"/>
  <c r="B250" i="1"/>
  <c r="Z249" i="1"/>
  <c r="U249" i="1"/>
  <c r="T249" i="1"/>
  <c r="S249" i="1"/>
  <c r="B249" i="1" s="1"/>
  <c r="R249" i="1"/>
  <c r="Q249" i="1"/>
  <c r="O249" i="1"/>
  <c r="M249" i="1"/>
  <c r="P249" i="1" s="1"/>
  <c r="K249" i="1"/>
  <c r="J249" i="1"/>
  <c r="I249" i="1"/>
  <c r="H249" i="1"/>
  <c r="F249" i="1"/>
  <c r="Z248" i="1"/>
  <c r="U248" i="1"/>
  <c r="T248" i="1"/>
  <c r="S248" i="1"/>
  <c r="R248" i="1"/>
  <c r="Q248" i="1"/>
  <c r="B248" i="1" s="1"/>
  <c r="P248" i="1"/>
  <c r="O248" i="1"/>
  <c r="M248" i="1"/>
  <c r="V248" i="1" s="1"/>
  <c r="L248" i="1"/>
  <c r="K248" i="1"/>
  <c r="J248" i="1"/>
  <c r="I248" i="1"/>
  <c r="H248" i="1"/>
  <c r="F248" i="1"/>
  <c r="Z247" i="1"/>
  <c r="V247" i="1"/>
  <c r="Y247" i="1" s="1"/>
  <c r="U247" i="1"/>
  <c r="T247" i="1"/>
  <c r="S247" i="1"/>
  <c r="R247" i="1"/>
  <c r="Q247" i="1"/>
  <c r="B247" i="1" s="1"/>
  <c r="P247" i="1"/>
  <c r="O247" i="1"/>
  <c r="N247" i="1"/>
  <c r="M247" i="1"/>
  <c r="L247" i="1" s="1"/>
  <c r="K247" i="1"/>
  <c r="J247" i="1"/>
  <c r="I247" i="1"/>
  <c r="H247" i="1"/>
  <c r="F247" i="1"/>
  <c r="Z246" i="1"/>
  <c r="W246" i="1"/>
  <c r="X246" i="1" s="1"/>
  <c r="U246" i="1"/>
  <c r="T246" i="1"/>
  <c r="S246" i="1"/>
  <c r="R246" i="1"/>
  <c r="Q246" i="1"/>
  <c r="O246" i="1"/>
  <c r="P246" i="1" s="1"/>
  <c r="M246" i="1"/>
  <c r="V246" i="1" s="1"/>
  <c r="Y246" i="1" s="1"/>
  <c r="L246" i="1"/>
  <c r="K246" i="1"/>
  <c r="J246" i="1"/>
  <c r="I246" i="1"/>
  <c r="H246" i="1"/>
  <c r="F246" i="1"/>
  <c r="Z245" i="1"/>
  <c r="U245" i="1"/>
  <c r="T245" i="1"/>
  <c r="S245" i="1"/>
  <c r="R245" i="1"/>
  <c r="Q245" i="1"/>
  <c r="O245" i="1"/>
  <c r="M245" i="1"/>
  <c r="L245" i="1"/>
  <c r="K245" i="1"/>
  <c r="J245" i="1"/>
  <c r="I245" i="1"/>
  <c r="H245" i="1"/>
  <c r="F245" i="1"/>
  <c r="Z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F244" i="1"/>
  <c r="B244" i="1"/>
  <c r="Z243" i="1"/>
  <c r="U243" i="1"/>
  <c r="T243" i="1"/>
  <c r="S243" i="1"/>
  <c r="R243" i="1"/>
  <c r="Q243" i="1"/>
  <c r="O243" i="1"/>
  <c r="M243" i="1"/>
  <c r="P243" i="1" s="1"/>
  <c r="K243" i="1"/>
  <c r="J243" i="1"/>
  <c r="I243" i="1"/>
  <c r="H243" i="1"/>
  <c r="F243" i="1"/>
  <c r="Z242" i="1"/>
  <c r="V242" i="1"/>
  <c r="O242" i="1"/>
  <c r="M242" i="1"/>
  <c r="P242" i="1" s="1"/>
  <c r="L242" i="1"/>
  <c r="K242" i="1"/>
  <c r="J242" i="1"/>
  <c r="I242" i="1"/>
  <c r="H242" i="1"/>
  <c r="F242" i="1"/>
  <c r="Z241" i="1"/>
  <c r="O241" i="1"/>
  <c r="V241" i="1" s="1"/>
  <c r="M241" i="1"/>
  <c r="L241" i="1"/>
  <c r="K241" i="1"/>
  <c r="J241" i="1"/>
  <c r="I241" i="1"/>
  <c r="H241" i="1"/>
  <c r="F241" i="1"/>
  <c r="Z240" i="1"/>
  <c r="V240" i="1"/>
  <c r="Y240" i="1" s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F240" i="1"/>
  <c r="B240" i="1"/>
  <c r="Z239" i="1"/>
  <c r="U239" i="1"/>
  <c r="T239" i="1"/>
  <c r="S239" i="1"/>
  <c r="R239" i="1"/>
  <c r="Q239" i="1"/>
  <c r="B239" i="1" s="1"/>
  <c r="O239" i="1"/>
  <c r="M239" i="1"/>
  <c r="P239" i="1" s="1"/>
  <c r="K239" i="1"/>
  <c r="J239" i="1"/>
  <c r="I239" i="1"/>
  <c r="H239" i="1"/>
  <c r="F239" i="1"/>
  <c r="Z238" i="1"/>
  <c r="U238" i="1"/>
  <c r="T238" i="1"/>
  <c r="S238" i="1"/>
  <c r="R238" i="1"/>
  <c r="Q238" i="1"/>
  <c r="B238" i="1" s="1"/>
  <c r="O238" i="1"/>
  <c r="M238" i="1"/>
  <c r="K238" i="1"/>
  <c r="J238" i="1"/>
  <c r="I238" i="1"/>
  <c r="H238" i="1"/>
  <c r="F238" i="1"/>
  <c r="Z237" i="1"/>
  <c r="U237" i="1"/>
  <c r="T237" i="1"/>
  <c r="S237" i="1"/>
  <c r="R237" i="1"/>
  <c r="Q237" i="1"/>
  <c r="O237" i="1"/>
  <c r="M237" i="1"/>
  <c r="L237" i="1" s="1"/>
  <c r="K237" i="1"/>
  <c r="J237" i="1"/>
  <c r="I237" i="1"/>
  <c r="H237" i="1"/>
  <c r="F237" i="1"/>
  <c r="Z236" i="1"/>
  <c r="U236" i="1"/>
  <c r="T236" i="1"/>
  <c r="S236" i="1"/>
  <c r="R236" i="1"/>
  <c r="Q236" i="1"/>
  <c r="O236" i="1"/>
  <c r="M236" i="1"/>
  <c r="K236" i="1"/>
  <c r="J236" i="1"/>
  <c r="I236" i="1"/>
  <c r="H236" i="1"/>
  <c r="F236" i="1"/>
  <c r="Z235" i="1"/>
  <c r="U235" i="1"/>
  <c r="T235" i="1"/>
  <c r="S235" i="1"/>
  <c r="R235" i="1"/>
  <c r="Q235" i="1"/>
  <c r="B235" i="1" s="1"/>
  <c r="O235" i="1"/>
  <c r="M235" i="1"/>
  <c r="L235" i="1"/>
  <c r="K235" i="1"/>
  <c r="J235" i="1"/>
  <c r="I235" i="1"/>
  <c r="H235" i="1"/>
  <c r="F235" i="1"/>
  <c r="Z234" i="1"/>
  <c r="V234" i="1"/>
  <c r="Y234" i="1" s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F234" i="1"/>
  <c r="B234" i="1"/>
  <c r="Z233" i="1"/>
  <c r="U233" i="1"/>
  <c r="T233" i="1"/>
  <c r="S233" i="1"/>
  <c r="R233" i="1"/>
  <c r="Q233" i="1"/>
  <c r="B233" i="1" s="1"/>
  <c r="O233" i="1"/>
  <c r="M233" i="1"/>
  <c r="L233" i="1"/>
  <c r="K233" i="1"/>
  <c r="J233" i="1"/>
  <c r="I233" i="1"/>
  <c r="H233" i="1"/>
  <c r="F233" i="1"/>
  <c r="Z232" i="1"/>
  <c r="U232" i="1"/>
  <c r="T232" i="1"/>
  <c r="S232" i="1"/>
  <c r="R232" i="1"/>
  <c r="Q232" i="1"/>
  <c r="P232" i="1"/>
  <c r="O232" i="1"/>
  <c r="M232" i="1"/>
  <c r="L232" i="1"/>
  <c r="K232" i="1"/>
  <c r="J232" i="1"/>
  <c r="I232" i="1"/>
  <c r="H232" i="1"/>
  <c r="F232" i="1"/>
  <c r="Z231" i="1"/>
  <c r="P231" i="1"/>
  <c r="O231" i="1"/>
  <c r="V231" i="1" s="1"/>
  <c r="M231" i="1"/>
  <c r="L231" i="1"/>
  <c r="K231" i="1"/>
  <c r="J231" i="1"/>
  <c r="I231" i="1"/>
  <c r="H231" i="1"/>
  <c r="F231" i="1"/>
  <c r="B231" i="1"/>
  <c r="Z230" i="1"/>
  <c r="U230" i="1"/>
  <c r="T230" i="1"/>
  <c r="S230" i="1"/>
  <c r="R230" i="1"/>
  <c r="Q230" i="1"/>
  <c r="B230" i="1" s="1"/>
  <c r="O230" i="1"/>
  <c r="M230" i="1"/>
  <c r="P230" i="1" s="1"/>
  <c r="K230" i="1"/>
  <c r="J230" i="1"/>
  <c r="I230" i="1"/>
  <c r="H230" i="1"/>
  <c r="F230" i="1"/>
  <c r="Z229" i="1"/>
  <c r="U229" i="1"/>
  <c r="T229" i="1"/>
  <c r="S229" i="1"/>
  <c r="R229" i="1"/>
  <c r="Q229" i="1"/>
  <c r="O229" i="1"/>
  <c r="M229" i="1"/>
  <c r="K229" i="1"/>
  <c r="J229" i="1"/>
  <c r="I229" i="1"/>
  <c r="H229" i="1"/>
  <c r="F229" i="1"/>
  <c r="Z228" i="1"/>
  <c r="O228" i="1"/>
  <c r="M228" i="1"/>
  <c r="K228" i="1"/>
  <c r="J228" i="1"/>
  <c r="I228" i="1"/>
  <c r="H228" i="1"/>
  <c r="F228" i="1"/>
  <c r="Z227" i="1"/>
  <c r="U227" i="1"/>
  <c r="T227" i="1"/>
  <c r="S227" i="1"/>
  <c r="R227" i="1"/>
  <c r="Q227" i="1"/>
  <c r="O227" i="1"/>
  <c r="M227" i="1"/>
  <c r="L227" i="1" s="1"/>
  <c r="K227" i="1"/>
  <c r="J227" i="1"/>
  <c r="I227" i="1"/>
  <c r="H227" i="1"/>
  <c r="F227" i="1"/>
  <c r="Z226" i="1"/>
  <c r="U226" i="1"/>
  <c r="T226" i="1"/>
  <c r="S226" i="1"/>
  <c r="R226" i="1"/>
  <c r="B226" i="1" s="1"/>
  <c r="Q226" i="1"/>
  <c r="O226" i="1"/>
  <c r="M226" i="1"/>
  <c r="K226" i="1"/>
  <c r="J226" i="1"/>
  <c r="I226" i="1"/>
  <c r="H226" i="1"/>
  <c r="F226" i="1"/>
  <c r="Z225" i="1"/>
  <c r="U225" i="1"/>
  <c r="T225" i="1"/>
  <c r="S225" i="1"/>
  <c r="R225" i="1"/>
  <c r="Q225" i="1"/>
  <c r="B225" i="1" s="1"/>
  <c r="O225" i="1"/>
  <c r="M225" i="1"/>
  <c r="L225" i="1"/>
  <c r="K225" i="1"/>
  <c r="J225" i="1"/>
  <c r="I225" i="1"/>
  <c r="H225" i="1"/>
  <c r="F225" i="1"/>
  <c r="Z224" i="1"/>
  <c r="U224" i="1"/>
  <c r="T224" i="1"/>
  <c r="S224" i="1"/>
  <c r="R224" i="1"/>
  <c r="Q224" i="1"/>
  <c r="P224" i="1"/>
  <c r="O224" i="1"/>
  <c r="M224" i="1"/>
  <c r="L224" i="1"/>
  <c r="K224" i="1"/>
  <c r="J224" i="1"/>
  <c r="I224" i="1"/>
  <c r="H224" i="1"/>
  <c r="F224" i="1"/>
  <c r="Z223" i="1"/>
  <c r="U223" i="1"/>
  <c r="T223" i="1"/>
  <c r="S223" i="1"/>
  <c r="R223" i="1"/>
  <c r="Q223" i="1"/>
  <c r="B223" i="1" s="1"/>
  <c r="O223" i="1"/>
  <c r="M223" i="1"/>
  <c r="L223" i="1"/>
  <c r="K223" i="1"/>
  <c r="J223" i="1"/>
  <c r="I223" i="1"/>
  <c r="H223" i="1"/>
  <c r="F223" i="1"/>
  <c r="Z222" i="1"/>
  <c r="U222" i="1"/>
  <c r="T222" i="1"/>
  <c r="S222" i="1"/>
  <c r="R222" i="1"/>
  <c r="Q222" i="1"/>
  <c r="P222" i="1"/>
  <c r="O222" i="1"/>
  <c r="M222" i="1"/>
  <c r="L222" i="1"/>
  <c r="K222" i="1"/>
  <c r="J222" i="1"/>
  <c r="I222" i="1"/>
  <c r="H222" i="1"/>
  <c r="F222" i="1"/>
  <c r="Z221" i="1"/>
  <c r="U221" i="1"/>
  <c r="T221" i="1"/>
  <c r="S221" i="1"/>
  <c r="R221" i="1"/>
  <c r="Q221" i="1"/>
  <c r="B221" i="1" s="1"/>
  <c r="O221" i="1"/>
  <c r="M221" i="1"/>
  <c r="P221" i="1" s="1"/>
  <c r="K221" i="1"/>
  <c r="J221" i="1"/>
  <c r="I221" i="1"/>
  <c r="H221" i="1"/>
  <c r="F221" i="1"/>
  <c r="Z220" i="1"/>
  <c r="U220" i="1"/>
  <c r="T220" i="1"/>
  <c r="S220" i="1"/>
  <c r="R220" i="1"/>
  <c r="Q220" i="1"/>
  <c r="B220" i="1" s="1"/>
  <c r="O220" i="1"/>
  <c r="M220" i="1"/>
  <c r="K220" i="1"/>
  <c r="J220" i="1"/>
  <c r="I220" i="1"/>
  <c r="H220" i="1"/>
  <c r="F220" i="1"/>
  <c r="Z219" i="1"/>
  <c r="U219" i="1"/>
  <c r="T219" i="1"/>
  <c r="S219" i="1"/>
  <c r="R219" i="1"/>
  <c r="Q219" i="1"/>
  <c r="O219" i="1"/>
  <c r="M219" i="1"/>
  <c r="L219" i="1" s="1"/>
  <c r="K219" i="1"/>
  <c r="J219" i="1"/>
  <c r="I219" i="1"/>
  <c r="H219" i="1"/>
  <c r="F219" i="1"/>
  <c r="Z218" i="1"/>
  <c r="U218" i="1"/>
  <c r="T218" i="1"/>
  <c r="S218" i="1"/>
  <c r="R218" i="1"/>
  <c r="B218" i="1" s="1"/>
  <c r="Q218" i="1"/>
  <c r="O218" i="1"/>
  <c r="M218" i="1"/>
  <c r="K218" i="1"/>
  <c r="J218" i="1"/>
  <c r="I218" i="1"/>
  <c r="H218" i="1"/>
  <c r="F218" i="1"/>
  <c r="Z217" i="1"/>
  <c r="U217" i="1"/>
  <c r="T217" i="1"/>
  <c r="S217" i="1"/>
  <c r="R217" i="1"/>
  <c r="Q217" i="1"/>
  <c r="B217" i="1" s="1"/>
  <c r="O217" i="1"/>
  <c r="M217" i="1"/>
  <c r="L217" i="1"/>
  <c r="K217" i="1"/>
  <c r="J217" i="1"/>
  <c r="I217" i="1"/>
  <c r="H217" i="1"/>
  <c r="F217" i="1"/>
  <c r="Z216" i="1"/>
  <c r="U216" i="1"/>
  <c r="T216" i="1"/>
  <c r="S216" i="1"/>
  <c r="R216" i="1"/>
  <c r="Q216" i="1"/>
  <c r="P216" i="1"/>
  <c r="O216" i="1"/>
  <c r="M216" i="1"/>
  <c r="L216" i="1"/>
  <c r="K216" i="1"/>
  <c r="J216" i="1"/>
  <c r="I216" i="1"/>
  <c r="H216" i="1"/>
  <c r="F216" i="1"/>
  <c r="Z215" i="1"/>
  <c r="U215" i="1"/>
  <c r="T215" i="1"/>
  <c r="S215" i="1"/>
  <c r="R215" i="1"/>
  <c r="Q215" i="1"/>
  <c r="B215" i="1" s="1"/>
  <c r="O215" i="1"/>
  <c r="M215" i="1"/>
  <c r="P215" i="1" s="1"/>
  <c r="K215" i="1"/>
  <c r="J215" i="1"/>
  <c r="I215" i="1"/>
  <c r="H215" i="1"/>
  <c r="F215" i="1"/>
  <c r="Z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F214" i="1"/>
  <c r="B214" i="1"/>
  <c r="Z213" i="1"/>
  <c r="U213" i="1"/>
  <c r="T213" i="1"/>
  <c r="S213" i="1"/>
  <c r="B213" i="1" s="1"/>
  <c r="R213" i="1"/>
  <c r="Q213" i="1"/>
  <c r="O213" i="1"/>
  <c r="M213" i="1"/>
  <c r="P213" i="1" s="1"/>
  <c r="K213" i="1"/>
  <c r="J213" i="1"/>
  <c r="I213" i="1"/>
  <c r="H213" i="1"/>
  <c r="F213" i="1"/>
  <c r="Z212" i="1"/>
  <c r="U212" i="1"/>
  <c r="T212" i="1"/>
  <c r="S212" i="1"/>
  <c r="R212" i="1"/>
  <c r="Q212" i="1"/>
  <c r="P212" i="1"/>
  <c r="O212" i="1"/>
  <c r="M212" i="1"/>
  <c r="V212" i="1" s="1"/>
  <c r="L212" i="1"/>
  <c r="K212" i="1"/>
  <c r="J212" i="1"/>
  <c r="I212" i="1"/>
  <c r="H212" i="1"/>
  <c r="F212" i="1"/>
  <c r="Z211" i="1"/>
  <c r="U211" i="1"/>
  <c r="T211" i="1"/>
  <c r="S211" i="1"/>
  <c r="R211" i="1"/>
  <c r="Q211" i="1"/>
  <c r="B211" i="1" s="1"/>
  <c r="O211" i="1"/>
  <c r="M211" i="1"/>
  <c r="K211" i="1"/>
  <c r="J211" i="1"/>
  <c r="I211" i="1"/>
  <c r="H211" i="1"/>
  <c r="F211" i="1"/>
  <c r="Z210" i="1"/>
  <c r="U210" i="1"/>
  <c r="T210" i="1"/>
  <c r="S210" i="1"/>
  <c r="R210" i="1"/>
  <c r="Q210" i="1"/>
  <c r="O210" i="1"/>
  <c r="M210" i="1"/>
  <c r="P210" i="1" s="1"/>
  <c r="L210" i="1"/>
  <c r="K210" i="1"/>
  <c r="J210" i="1"/>
  <c r="I210" i="1"/>
  <c r="H210" i="1"/>
  <c r="F210" i="1"/>
  <c r="Z209" i="1"/>
  <c r="U209" i="1"/>
  <c r="T209" i="1"/>
  <c r="S209" i="1"/>
  <c r="R209" i="1"/>
  <c r="Q209" i="1"/>
  <c r="B209" i="1" s="1"/>
  <c r="O209" i="1"/>
  <c r="P209" i="1" s="1"/>
  <c r="M209" i="1"/>
  <c r="L209" i="1"/>
  <c r="K209" i="1"/>
  <c r="J209" i="1"/>
  <c r="I209" i="1"/>
  <c r="H209" i="1"/>
  <c r="F209" i="1"/>
  <c r="Z208" i="1"/>
  <c r="V208" i="1"/>
  <c r="Y208" i="1" s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F208" i="1"/>
  <c r="B208" i="1"/>
  <c r="Z207" i="1"/>
  <c r="U207" i="1"/>
  <c r="T207" i="1"/>
  <c r="S207" i="1"/>
  <c r="R207" i="1"/>
  <c r="Q207" i="1"/>
  <c r="B207" i="1" s="1"/>
  <c r="O207" i="1"/>
  <c r="M207" i="1"/>
  <c r="P207" i="1" s="1"/>
  <c r="K207" i="1"/>
  <c r="J207" i="1"/>
  <c r="I207" i="1"/>
  <c r="H207" i="1"/>
  <c r="F207" i="1"/>
  <c r="Z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F206" i="1"/>
  <c r="B206" i="1"/>
  <c r="Z205" i="1"/>
  <c r="U205" i="1"/>
  <c r="T205" i="1"/>
  <c r="S205" i="1"/>
  <c r="R205" i="1"/>
  <c r="Q205" i="1"/>
  <c r="O205" i="1"/>
  <c r="M205" i="1"/>
  <c r="P205" i="1" s="1"/>
  <c r="K205" i="1"/>
  <c r="J205" i="1"/>
  <c r="I205" i="1"/>
  <c r="H205" i="1"/>
  <c r="F205" i="1"/>
  <c r="Z204" i="1"/>
  <c r="U204" i="1"/>
  <c r="T204" i="1"/>
  <c r="S204" i="1"/>
  <c r="R204" i="1"/>
  <c r="Q204" i="1"/>
  <c r="B204" i="1" s="1"/>
  <c r="P204" i="1"/>
  <c r="O204" i="1"/>
  <c r="M204" i="1"/>
  <c r="V204" i="1" s="1"/>
  <c r="L204" i="1"/>
  <c r="K204" i="1"/>
  <c r="J204" i="1"/>
  <c r="I204" i="1"/>
  <c r="H204" i="1"/>
  <c r="F204" i="1"/>
  <c r="Z203" i="1"/>
  <c r="U203" i="1"/>
  <c r="T203" i="1"/>
  <c r="S203" i="1"/>
  <c r="R203" i="1"/>
  <c r="Q203" i="1"/>
  <c r="O203" i="1"/>
  <c r="M203" i="1"/>
  <c r="K203" i="1"/>
  <c r="J203" i="1"/>
  <c r="I203" i="1"/>
  <c r="H203" i="1"/>
  <c r="F203" i="1"/>
  <c r="Z202" i="1"/>
  <c r="V202" i="1"/>
  <c r="Y202" i="1" s="1"/>
  <c r="U202" i="1"/>
  <c r="T202" i="1"/>
  <c r="S202" i="1"/>
  <c r="R202" i="1"/>
  <c r="Q202" i="1"/>
  <c r="O202" i="1"/>
  <c r="N202" i="1"/>
  <c r="M202" i="1"/>
  <c r="P202" i="1" s="1"/>
  <c r="L202" i="1"/>
  <c r="K202" i="1"/>
  <c r="J202" i="1"/>
  <c r="I202" i="1"/>
  <c r="H202" i="1"/>
  <c r="F202" i="1"/>
  <c r="B202" i="1"/>
  <c r="Z201" i="1"/>
  <c r="W201" i="1"/>
  <c r="X201" i="1" s="1"/>
  <c r="U201" i="1"/>
  <c r="T201" i="1"/>
  <c r="S201" i="1"/>
  <c r="R201" i="1"/>
  <c r="Q201" i="1"/>
  <c r="B201" i="1" s="1"/>
  <c r="O201" i="1"/>
  <c r="P201" i="1" s="1"/>
  <c r="M201" i="1"/>
  <c r="V201" i="1" s="1"/>
  <c r="Y201" i="1" s="1"/>
  <c r="L201" i="1"/>
  <c r="K201" i="1"/>
  <c r="J201" i="1"/>
  <c r="I201" i="1"/>
  <c r="H201" i="1"/>
  <c r="F201" i="1"/>
  <c r="Z200" i="1"/>
  <c r="U200" i="1"/>
  <c r="T200" i="1"/>
  <c r="S200" i="1"/>
  <c r="R200" i="1"/>
  <c r="Q200" i="1"/>
  <c r="P200" i="1"/>
  <c r="O200" i="1"/>
  <c r="M200" i="1"/>
  <c r="L200" i="1"/>
  <c r="K200" i="1"/>
  <c r="J200" i="1"/>
  <c r="I200" i="1"/>
  <c r="H200" i="1"/>
  <c r="F200" i="1"/>
  <c r="Z199" i="1"/>
  <c r="U199" i="1"/>
  <c r="T199" i="1"/>
  <c r="S199" i="1"/>
  <c r="R199" i="1"/>
  <c r="Q199" i="1"/>
  <c r="B199" i="1" s="1"/>
  <c r="O199" i="1"/>
  <c r="M199" i="1"/>
  <c r="P199" i="1" s="1"/>
  <c r="K199" i="1"/>
  <c r="J199" i="1"/>
  <c r="I199" i="1"/>
  <c r="H199" i="1"/>
  <c r="F199" i="1"/>
  <c r="Z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F198" i="1"/>
  <c r="B198" i="1"/>
  <c r="Z197" i="1"/>
  <c r="U197" i="1"/>
  <c r="T197" i="1"/>
  <c r="S197" i="1"/>
  <c r="B197" i="1" s="1"/>
  <c r="R197" i="1"/>
  <c r="Q197" i="1"/>
  <c r="O197" i="1"/>
  <c r="M197" i="1"/>
  <c r="P197" i="1" s="1"/>
  <c r="K197" i="1"/>
  <c r="J197" i="1"/>
  <c r="I197" i="1"/>
  <c r="H197" i="1"/>
  <c r="F197" i="1"/>
  <c r="Z196" i="1"/>
  <c r="U196" i="1"/>
  <c r="T196" i="1"/>
  <c r="S196" i="1"/>
  <c r="R196" i="1"/>
  <c r="Q196" i="1"/>
  <c r="P196" i="1"/>
  <c r="O196" i="1"/>
  <c r="M196" i="1"/>
  <c r="L196" i="1"/>
  <c r="K196" i="1"/>
  <c r="J196" i="1"/>
  <c r="I196" i="1"/>
  <c r="H196" i="1"/>
  <c r="F196" i="1"/>
  <c r="Z195" i="1"/>
  <c r="U195" i="1"/>
  <c r="T195" i="1"/>
  <c r="S195" i="1"/>
  <c r="R195" i="1"/>
  <c r="Q195" i="1"/>
  <c r="B195" i="1" s="1"/>
  <c r="O195" i="1"/>
  <c r="M195" i="1"/>
  <c r="K195" i="1"/>
  <c r="J195" i="1"/>
  <c r="I195" i="1"/>
  <c r="H195" i="1"/>
  <c r="F195" i="1"/>
  <c r="Z194" i="1"/>
  <c r="U194" i="1"/>
  <c r="T194" i="1"/>
  <c r="S194" i="1"/>
  <c r="R194" i="1"/>
  <c r="B194" i="1" s="1"/>
  <c r="Q194" i="1"/>
  <c r="O194" i="1"/>
  <c r="M194" i="1"/>
  <c r="P194" i="1" s="1"/>
  <c r="L194" i="1"/>
  <c r="K194" i="1"/>
  <c r="J194" i="1"/>
  <c r="I194" i="1"/>
  <c r="H194" i="1"/>
  <c r="F194" i="1"/>
  <c r="Z193" i="1"/>
  <c r="U193" i="1"/>
  <c r="T193" i="1"/>
  <c r="S193" i="1"/>
  <c r="R193" i="1"/>
  <c r="Q193" i="1"/>
  <c r="O193" i="1"/>
  <c r="P193" i="1" s="1"/>
  <c r="M193" i="1"/>
  <c r="L193" i="1"/>
  <c r="K193" i="1"/>
  <c r="J193" i="1"/>
  <c r="I193" i="1"/>
  <c r="H193" i="1"/>
  <c r="F193" i="1"/>
  <c r="Z192" i="1"/>
  <c r="U192" i="1"/>
  <c r="T192" i="1"/>
  <c r="S192" i="1"/>
  <c r="R192" i="1"/>
  <c r="Q192" i="1"/>
  <c r="P192" i="1"/>
  <c r="O192" i="1"/>
  <c r="M192" i="1"/>
  <c r="L192" i="1"/>
  <c r="K192" i="1"/>
  <c r="J192" i="1"/>
  <c r="I192" i="1"/>
  <c r="H192" i="1"/>
  <c r="F192" i="1"/>
  <c r="Z191" i="1"/>
  <c r="U191" i="1"/>
  <c r="T191" i="1"/>
  <c r="S191" i="1"/>
  <c r="R191" i="1"/>
  <c r="Q191" i="1"/>
  <c r="O191" i="1"/>
  <c r="M191" i="1"/>
  <c r="K191" i="1"/>
  <c r="J191" i="1"/>
  <c r="I191" i="1"/>
  <c r="H191" i="1"/>
  <c r="F191" i="1"/>
  <c r="Z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F190" i="1"/>
  <c r="B190" i="1"/>
  <c r="Z189" i="1"/>
  <c r="W189" i="1"/>
  <c r="X189" i="1" s="1"/>
  <c r="V189" i="1"/>
  <c r="Y189" i="1" s="1"/>
  <c r="P189" i="1"/>
  <c r="O189" i="1"/>
  <c r="N189" i="1"/>
  <c r="M189" i="1"/>
  <c r="L189" i="1"/>
  <c r="K189" i="1"/>
  <c r="J189" i="1"/>
  <c r="I189" i="1"/>
  <c r="H189" i="1"/>
  <c r="F189" i="1"/>
  <c r="B189" i="1"/>
  <c r="Z188" i="1"/>
  <c r="U188" i="1"/>
  <c r="T188" i="1"/>
  <c r="S188" i="1"/>
  <c r="B188" i="1" s="1"/>
  <c r="R188" i="1"/>
  <c r="Q188" i="1"/>
  <c r="O188" i="1"/>
  <c r="M188" i="1"/>
  <c r="K188" i="1"/>
  <c r="J188" i="1"/>
  <c r="I188" i="1"/>
  <c r="H188" i="1"/>
  <c r="F188" i="1"/>
  <c r="Z187" i="1"/>
  <c r="U187" i="1"/>
  <c r="T187" i="1"/>
  <c r="S187" i="1"/>
  <c r="R187" i="1"/>
  <c r="Q187" i="1"/>
  <c r="B187" i="1" s="1"/>
  <c r="P187" i="1"/>
  <c r="O187" i="1"/>
  <c r="M187" i="1"/>
  <c r="V187" i="1" s="1"/>
  <c r="L187" i="1"/>
  <c r="K187" i="1"/>
  <c r="J187" i="1"/>
  <c r="I187" i="1"/>
  <c r="H187" i="1"/>
  <c r="F187" i="1"/>
  <c r="Z186" i="1"/>
  <c r="U186" i="1"/>
  <c r="T186" i="1"/>
  <c r="S186" i="1"/>
  <c r="R186" i="1"/>
  <c r="Q186" i="1"/>
  <c r="B186" i="1" s="1"/>
  <c r="O186" i="1"/>
  <c r="M186" i="1"/>
  <c r="K186" i="1"/>
  <c r="J186" i="1"/>
  <c r="I186" i="1"/>
  <c r="H186" i="1"/>
  <c r="F186" i="1"/>
  <c r="Z185" i="1"/>
  <c r="V185" i="1"/>
  <c r="U185" i="1"/>
  <c r="T185" i="1"/>
  <c r="S185" i="1"/>
  <c r="R185" i="1"/>
  <c r="Q185" i="1"/>
  <c r="O185" i="1"/>
  <c r="N185" i="1"/>
  <c r="M185" i="1"/>
  <c r="P185" i="1" s="1"/>
  <c r="L185" i="1"/>
  <c r="K185" i="1"/>
  <c r="J185" i="1"/>
  <c r="I185" i="1"/>
  <c r="H185" i="1"/>
  <c r="F185" i="1"/>
  <c r="B185" i="1"/>
  <c r="Z184" i="1"/>
  <c r="U184" i="1"/>
  <c r="T184" i="1"/>
  <c r="S184" i="1"/>
  <c r="R184" i="1"/>
  <c r="Q184" i="1"/>
  <c r="B184" i="1" s="1"/>
  <c r="O184" i="1"/>
  <c r="P184" i="1" s="1"/>
  <c r="M184" i="1"/>
  <c r="L184" i="1"/>
  <c r="K184" i="1"/>
  <c r="J184" i="1"/>
  <c r="I184" i="1"/>
  <c r="H184" i="1"/>
  <c r="F184" i="1"/>
  <c r="Z183" i="1"/>
  <c r="U183" i="1"/>
  <c r="T183" i="1"/>
  <c r="S183" i="1"/>
  <c r="R183" i="1"/>
  <c r="Q183" i="1"/>
  <c r="P183" i="1"/>
  <c r="O183" i="1"/>
  <c r="M183" i="1"/>
  <c r="L183" i="1"/>
  <c r="K183" i="1"/>
  <c r="J183" i="1"/>
  <c r="I183" i="1"/>
  <c r="H183" i="1"/>
  <c r="F183" i="1"/>
  <c r="Z182" i="1"/>
  <c r="U182" i="1"/>
  <c r="T182" i="1"/>
  <c r="S182" i="1"/>
  <c r="R182" i="1"/>
  <c r="Q182" i="1"/>
  <c r="B182" i="1" s="1"/>
  <c r="O182" i="1"/>
  <c r="M182" i="1"/>
  <c r="K182" i="1"/>
  <c r="J182" i="1"/>
  <c r="I182" i="1"/>
  <c r="H182" i="1"/>
  <c r="F182" i="1"/>
  <c r="Z181" i="1"/>
  <c r="U181" i="1"/>
  <c r="T181" i="1"/>
  <c r="S181" i="1"/>
  <c r="R181" i="1"/>
  <c r="V181" i="1" s="1"/>
  <c r="Q181" i="1"/>
  <c r="P181" i="1"/>
  <c r="O181" i="1"/>
  <c r="M181" i="1"/>
  <c r="L181" i="1"/>
  <c r="K181" i="1"/>
  <c r="J181" i="1"/>
  <c r="I181" i="1"/>
  <c r="H181" i="1"/>
  <c r="F181" i="1"/>
  <c r="Z180" i="1"/>
  <c r="W180" i="1"/>
  <c r="X180" i="1" s="1"/>
  <c r="V180" i="1"/>
  <c r="Y180" i="1" s="1"/>
  <c r="P180" i="1"/>
  <c r="O180" i="1"/>
  <c r="N180" i="1"/>
  <c r="M180" i="1"/>
  <c r="L180" i="1"/>
  <c r="K180" i="1"/>
  <c r="J180" i="1"/>
  <c r="I180" i="1"/>
  <c r="H180" i="1"/>
  <c r="F180" i="1"/>
  <c r="B180" i="1"/>
  <c r="Z179" i="1"/>
  <c r="U179" i="1"/>
  <c r="T179" i="1"/>
  <c r="S179" i="1"/>
  <c r="B179" i="1" s="1"/>
  <c r="R179" i="1"/>
  <c r="Q179" i="1"/>
  <c r="O179" i="1"/>
  <c r="M179" i="1"/>
  <c r="P179" i="1" s="1"/>
  <c r="K179" i="1"/>
  <c r="J179" i="1"/>
  <c r="I179" i="1"/>
  <c r="H179" i="1"/>
  <c r="F179" i="1"/>
  <c r="Z178" i="1"/>
  <c r="U178" i="1"/>
  <c r="T178" i="1"/>
  <c r="S178" i="1"/>
  <c r="R178" i="1"/>
  <c r="Q178" i="1"/>
  <c r="P178" i="1"/>
  <c r="O178" i="1"/>
  <c r="M178" i="1"/>
  <c r="L178" i="1"/>
  <c r="K178" i="1"/>
  <c r="J178" i="1"/>
  <c r="I178" i="1"/>
  <c r="H178" i="1"/>
  <c r="F178" i="1"/>
  <c r="Z177" i="1"/>
  <c r="U177" i="1"/>
  <c r="T177" i="1"/>
  <c r="S177" i="1"/>
  <c r="R177" i="1"/>
  <c r="Q177" i="1"/>
  <c r="O177" i="1"/>
  <c r="M177" i="1"/>
  <c r="K177" i="1"/>
  <c r="J177" i="1"/>
  <c r="I177" i="1"/>
  <c r="H177" i="1"/>
  <c r="F177" i="1"/>
  <c r="Z176" i="1"/>
  <c r="V176" i="1"/>
  <c r="U176" i="1"/>
  <c r="T176" i="1"/>
  <c r="S176" i="1"/>
  <c r="R176" i="1"/>
  <c r="Q176" i="1"/>
  <c r="O176" i="1"/>
  <c r="M176" i="1"/>
  <c r="P176" i="1" s="1"/>
  <c r="L176" i="1"/>
  <c r="K176" i="1"/>
  <c r="J176" i="1"/>
  <c r="I176" i="1"/>
  <c r="H176" i="1"/>
  <c r="F176" i="1"/>
  <c r="B176" i="1"/>
  <c r="Z175" i="1"/>
  <c r="U175" i="1"/>
  <c r="T175" i="1"/>
  <c r="S175" i="1"/>
  <c r="R175" i="1"/>
  <c r="Q175" i="1"/>
  <c r="O175" i="1"/>
  <c r="P175" i="1" s="1"/>
  <c r="M175" i="1"/>
  <c r="V175" i="1" s="1"/>
  <c r="Y175" i="1" s="1"/>
  <c r="L175" i="1"/>
  <c r="K175" i="1"/>
  <c r="J175" i="1"/>
  <c r="I175" i="1"/>
  <c r="H175" i="1"/>
  <c r="F175" i="1"/>
  <c r="Z174" i="1"/>
  <c r="V174" i="1"/>
  <c r="Y174" i="1" s="1"/>
  <c r="O174" i="1"/>
  <c r="P174" i="1" s="1"/>
  <c r="M174" i="1"/>
  <c r="N174" i="1" s="1"/>
  <c r="L174" i="1"/>
  <c r="K174" i="1"/>
  <c r="J174" i="1"/>
  <c r="I174" i="1"/>
  <c r="H174" i="1"/>
  <c r="F174" i="1"/>
  <c r="Z173" i="1"/>
  <c r="U173" i="1"/>
  <c r="T173" i="1"/>
  <c r="S173" i="1"/>
  <c r="R173" i="1"/>
  <c r="Q173" i="1"/>
  <c r="P173" i="1"/>
  <c r="O173" i="1"/>
  <c r="M173" i="1"/>
  <c r="L173" i="1"/>
  <c r="K173" i="1"/>
  <c r="J173" i="1"/>
  <c r="I173" i="1"/>
  <c r="H173" i="1"/>
  <c r="F173" i="1"/>
  <c r="Z172" i="1"/>
  <c r="U172" i="1"/>
  <c r="T172" i="1"/>
  <c r="S172" i="1"/>
  <c r="R172" i="1"/>
  <c r="Q172" i="1"/>
  <c r="B172" i="1" s="1"/>
  <c r="O172" i="1"/>
  <c r="M172" i="1"/>
  <c r="K172" i="1"/>
  <c r="J172" i="1"/>
  <c r="I172" i="1"/>
  <c r="H172" i="1"/>
  <c r="F172" i="1"/>
  <c r="Z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F171" i="1"/>
  <c r="B171" i="1"/>
  <c r="Z170" i="1"/>
  <c r="U170" i="1"/>
  <c r="T170" i="1"/>
  <c r="S170" i="1"/>
  <c r="R170" i="1"/>
  <c r="Q170" i="1"/>
  <c r="O170" i="1"/>
  <c r="M170" i="1"/>
  <c r="P170" i="1" s="1"/>
  <c r="K170" i="1"/>
  <c r="J170" i="1"/>
  <c r="I170" i="1"/>
  <c r="H170" i="1"/>
  <c r="F170" i="1"/>
  <c r="Z169" i="1"/>
  <c r="U169" i="1"/>
  <c r="T169" i="1"/>
  <c r="S169" i="1"/>
  <c r="R169" i="1"/>
  <c r="Q169" i="1"/>
  <c r="P169" i="1"/>
  <c r="O169" i="1"/>
  <c r="M169" i="1"/>
  <c r="L169" i="1"/>
  <c r="K169" i="1"/>
  <c r="J169" i="1"/>
  <c r="I169" i="1"/>
  <c r="H169" i="1"/>
  <c r="F169" i="1"/>
  <c r="Z168" i="1"/>
  <c r="U168" i="1"/>
  <c r="T168" i="1"/>
  <c r="S168" i="1"/>
  <c r="R168" i="1"/>
  <c r="Q168" i="1"/>
  <c r="O168" i="1"/>
  <c r="M168" i="1"/>
  <c r="K168" i="1"/>
  <c r="J168" i="1"/>
  <c r="I168" i="1"/>
  <c r="H168" i="1"/>
  <c r="F168" i="1"/>
  <c r="Z167" i="1"/>
  <c r="U167" i="1"/>
  <c r="T167" i="1"/>
  <c r="S167" i="1"/>
  <c r="R167" i="1"/>
  <c r="B167" i="1" s="1"/>
  <c r="Q167" i="1"/>
  <c r="O167" i="1"/>
  <c r="M167" i="1"/>
  <c r="P167" i="1" s="1"/>
  <c r="L167" i="1"/>
  <c r="K167" i="1"/>
  <c r="J167" i="1"/>
  <c r="I167" i="1"/>
  <c r="H167" i="1"/>
  <c r="F167" i="1"/>
  <c r="Z166" i="1"/>
  <c r="W166" i="1"/>
  <c r="X166" i="1" s="1"/>
  <c r="U166" i="1"/>
  <c r="T166" i="1"/>
  <c r="S166" i="1"/>
  <c r="R166" i="1"/>
  <c r="Q166" i="1"/>
  <c r="B166" i="1" s="1"/>
  <c r="O166" i="1"/>
  <c r="P166" i="1" s="1"/>
  <c r="M166" i="1"/>
  <c r="V166" i="1" s="1"/>
  <c r="Y166" i="1" s="1"/>
  <c r="L166" i="1"/>
  <c r="K166" i="1"/>
  <c r="J166" i="1"/>
  <c r="I166" i="1"/>
  <c r="H166" i="1"/>
  <c r="F166" i="1"/>
  <c r="Z165" i="1"/>
  <c r="U165" i="1"/>
  <c r="T165" i="1"/>
  <c r="S165" i="1"/>
  <c r="R165" i="1"/>
  <c r="Q165" i="1"/>
  <c r="P165" i="1"/>
  <c r="O165" i="1"/>
  <c r="M165" i="1"/>
  <c r="L165" i="1"/>
  <c r="K165" i="1"/>
  <c r="J165" i="1"/>
  <c r="I165" i="1"/>
  <c r="H165" i="1"/>
  <c r="F165" i="1"/>
  <c r="Z164" i="1"/>
  <c r="U164" i="1"/>
  <c r="T164" i="1"/>
  <c r="S164" i="1"/>
  <c r="R164" i="1"/>
  <c r="Q164" i="1"/>
  <c r="O164" i="1"/>
  <c r="M164" i="1"/>
  <c r="K164" i="1"/>
  <c r="J164" i="1"/>
  <c r="I164" i="1"/>
  <c r="H164" i="1"/>
  <c r="F164" i="1"/>
  <c r="Z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F163" i="1"/>
  <c r="B163" i="1"/>
  <c r="Z162" i="1"/>
  <c r="U162" i="1"/>
  <c r="T162" i="1"/>
  <c r="S162" i="1"/>
  <c r="B162" i="1" s="1"/>
  <c r="R162" i="1"/>
  <c r="Q162" i="1"/>
  <c r="O162" i="1"/>
  <c r="M162" i="1"/>
  <c r="K162" i="1"/>
  <c r="J162" i="1"/>
  <c r="I162" i="1"/>
  <c r="H162" i="1"/>
  <c r="F162" i="1"/>
  <c r="Z161" i="1"/>
  <c r="U161" i="1"/>
  <c r="T161" i="1"/>
  <c r="S161" i="1"/>
  <c r="R161" i="1"/>
  <c r="Q161" i="1"/>
  <c r="P161" i="1"/>
  <c r="O161" i="1"/>
  <c r="M161" i="1"/>
  <c r="V161" i="1" s="1"/>
  <c r="L161" i="1"/>
  <c r="K161" i="1"/>
  <c r="J161" i="1"/>
  <c r="I161" i="1"/>
  <c r="H161" i="1"/>
  <c r="F161" i="1"/>
  <c r="Z160" i="1"/>
  <c r="U160" i="1"/>
  <c r="T160" i="1"/>
  <c r="S160" i="1"/>
  <c r="R160" i="1"/>
  <c r="Q160" i="1"/>
  <c r="O160" i="1"/>
  <c r="M160" i="1"/>
  <c r="K160" i="1"/>
  <c r="J160" i="1"/>
  <c r="I160" i="1"/>
  <c r="H160" i="1"/>
  <c r="F160" i="1"/>
  <c r="Z159" i="1"/>
  <c r="U159" i="1"/>
  <c r="T159" i="1"/>
  <c r="S159" i="1"/>
  <c r="R159" i="1"/>
  <c r="B159" i="1" s="1"/>
  <c r="Q159" i="1"/>
  <c r="O159" i="1"/>
  <c r="M159" i="1"/>
  <c r="P159" i="1" s="1"/>
  <c r="L159" i="1"/>
  <c r="K159" i="1"/>
  <c r="J159" i="1"/>
  <c r="I159" i="1"/>
  <c r="H159" i="1"/>
  <c r="F159" i="1"/>
  <c r="Z158" i="1"/>
  <c r="U158" i="1"/>
  <c r="T158" i="1"/>
  <c r="S158" i="1"/>
  <c r="R158" i="1"/>
  <c r="Q158" i="1"/>
  <c r="O158" i="1"/>
  <c r="P158" i="1" s="1"/>
  <c r="M158" i="1"/>
  <c r="L158" i="1"/>
  <c r="K158" i="1"/>
  <c r="J158" i="1"/>
  <c r="I158" i="1"/>
  <c r="H158" i="1"/>
  <c r="F158" i="1"/>
  <c r="Z157" i="1"/>
  <c r="U157" i="1"/>
  <c r="T157" i="1"/>
  <c r="B157" i="1" s="1"/>
  <c r="S157" i="1"/>
  <c r="R157" i="1"/>
  <c r="Q157" i="1"/>
  <c r="P157" i="1"/>
  <c r="O157" i="1"/>
  <c r="M157" i="1"/>
  <c r="L157" i="1"/>
  <c r="K157" i="1"/>
  <c r="J157" i="1"/>
  <c r="I157" i="1"/>
  <c r="H157" i="1"/>
  <c r="F157" i="1"/>
  <c r="Z156" i="1"/>
  <c r="U156" i="1"/>
  <c r="T156" i="1"/>
  <c r="S156" i="1"/>
  <c r="R156" i="1"/>
  <c r="Q156" i="1"/>
  <c r="B156" i="1" s="1"/>
  <c r="O156" i="1"/>
  <c r="M156" i="1"/>
  <c r="L156" i="1"/>
  <c r="K156" i="1"/>
  <c r="J156" i="1"/>
  <c r="I156" i="1"/>
  <c r="H156" i="1"/>
  <c r="F156" i="1"/>
  <c r="Z155" i="1"/>
  <c r="V155" i="1"/>
  <c r="W155" i="1" s="1"/>
  <c r="X155" i="1" s="1"/>
  <c r="U155" i="1"/>
  <c r="T155" i="1"/>
  <c r="S155" i="1"/>
  <c r="R155" i="1"/>
  <c r="Q155" i="1"/>
  <c r="B155" i="1" s="1"/>
  <c r="P155" i="1"/>
  <c r="O155" i="1"/>
  <c r="N155" i="1"/>
  <c r="M155" i="1"/>
  <c r="L155" i="1"/>
  <c r="K155" i="1"/>
  <c r="J155" i="1"/>
  <c r="I155" i="1"/>
  <c r="H155" i="1"/>
  <c r="F155" i="1"/>
  <c r="Z154" i="1"/>
  <c r="U154" i="1"/>
  <c r="T154" i="1"/>
  <c r="S154" i="1"/>
  <c r="R154" i="1"/>
  <c r="Q154" i="1"/>
  <c r="O154" i="1"/>
  <c r="M154" i="1"/>
  <c r="K154" i="1"/>
  <c r="J154" i="1"/>
  <c r="I154" i="1"/>
  <c r="H154" i="1"/>
  <c r="F154" i="1"/>
  <c r="B154" i="1"/>
  <c r="Z153" i="1"/>
  <c r="U153" i="1"/>
  <c r="T153" i="1"/>
  <c r="S153" i="1"/>
  <c r="R153" i="1"/>
  <c r="Q153" i="1"/>
  <c r="P153" i="1"/>
  <c r="O153" i="1"/>
  <c r="M153" i="1"/>
  <c r="L153" i="1"/>
  <c r="K153" i="1"/>
  <c r="J153" i="1"/>
  <c r="I153" i="1"/>
  <c r="H153" i="1"/>
  <c r="F153" i="1"/>
  <c r="Z152" i="1"/>
  <c r="U152" i="1"/>
  <c r="T152" i="1"/>
  <c r="S152" i="1"/>
  <c r="R152" i="1"/>
  <c r="Q152" i="1"/>
  <c r="B152" i="1" s="1"/>
  <c r="O152" i="1"/>
  <c r="M152" i="1"/>
  <c r="K152" i="1"/>
  <c r="J152" i="1"/>
  <c r="I152" i="1"/>
  <c r="H152" i="1"/>
  <c r="F152" i="1"/>
  <c r="Z151" i="1"/>
  <c r="U151" i="1"/>
  <c r="T151" i="1"/>
  <c r="S151" i="1"/>
  <c r="R151" i="1"/>
  <c r="Q151" i="1"/>
  <c r="O151" i="1"/>
  <c r="M151" i="1"/>
  <c r="P151" i="1" s="1"/>
  <c r="L151" i="1"/>
  <c r="K151" i="1"/>
  <c r="J151" i="1"/>
  <c r="I151" i="1"/>
  <c r="H151" i="1"/>
  <c r="F151" i="1"/>
  <c r="Z150" i="1"/>
  <c r="U150" i="1"/>
  <c r="T150" i="1"/>
  <c r="S150" i="1"/>
  <c r="R150" i="1"/>
  <c r="Q150" i="1"/>
  <c r="B150" i="1" s="1"/>
  <c r="O150" i="1"/>
  <c r="P150" i="1" s="1"/>
  <c r="M150" i="1"/>
  <c r="V150" i="1" s="1"/>
  <c r="W150" i="1" s="1"/>
  <c r="X150" i="1" s="1"/>
  <c r="L150" i="1"/>
  <c r="K150" i="1"/>
  <c r="J150" i="1"/>
  <c r="I150" i="1"/>
  <c r="H150" i="1"/>
  <c r="F150" i="1"/>
  <c r="Z149" i="1"/>
  <c r="U149" i="1"/>
  <c r="T149" i="1"/>
  <c r="V149" i="1" s="1"/>
  <c r="S149" i="1"/>
  <c r="R149" i="1"/>
  <c r="Q149" i="1"/>
  <c r="P149" i="1"/>
  <c r="O149" i="1"/>
  <c r="M149" i="1"/>
  <c r="L149" i="1"/>
  <c r="K149" i="1"/>
  <c r="J149" i="1"/>
  <c r="I149" i="1"/>
  <c r="H149" i="1"/>
  <c r="F149" i="1"/>
  <c r="Z148" i="1"/>
  <c r="U148" i="1"/>
  <c r="T148" i="1"/>
  <c r="S148" i="1"/>
  <c r="R148" i="1"/>
  <c r="Q148" i="1"/>
  <c r="O148" i="1"/>
  <c r="M148" i="1"/>
  <c r="L148" i="1" s="1"/>
  <c r="K148" i="1"/>
  <c r="J148" i="1"/>
  <c r="I148" i="1"/>
  <c r="H148" i="1"/>
  <c r="F148" i="1"/>
  <c r="Z147" i="1"/>
  <c r="V147" i="1"/>
  <c r="W147" i="1" s="1"/>
  <c r="X147" i="1" s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F147" i="1"/>
  <c r="B147" i="1"/>
  <c r="Z146" i="1"/>
  <c r="U146" i="1"/>
  <c r="T146" i="1"/>
  <c r="S146" i="1"/>
  <c r="B146" i="1" s="1"/>
  <c r="R146" i="1"/>
  <c r="Q146" i="1"/>
  <c r="O146" i="1"/>
  <c r="M146" i="1"/>
  <c r="K146" i="1"/>
  <c r="J146" i="1"/>
  <c r="I146" i="1"/>
  <c r="H146" i="1"/>
  <c r="F146" i="1"/>
  <c r="Z145" i="1"/>
  <c r="U145" i="1"/>
  <c r="T145" i="1"/>
  <c r="S145" i="1"/>
  <c r="R145" i="1"/>
  <c r="Q145" i="1"/>
  <c r="B145" i="1" s="1"/>
  <c r="P145" i="1"/>
  <c r="O145" i="1"/>
  <c r="M145" i="1"/>
  <c r="V145" i="1" s="1"/>
  <c r="L145" i="1"/>
  <c r="K145" i="1"/>
  <c r="J145" i="1"/>
  <c r="I145" i="1"/>
  <c r="H145" i="1"/>
  <c r="F145" i="1"/>
  <c r="Z144" i="1"/>
  <c r="U144" i="1"/>
  <c r="T144" i="1"/>
  <c r="S144" i="1"/>
  <c r="R144" i="1"/>
  <c r="Q144" i="1"/>
  <c r="B144" i="1" s="1"/>
  <c r="P144" i="1"/>
  <c r="O144" i="1"/>
  <c r="M144" i="1"/>
  <c r="K144" i="1"/>
  <c r="J144" i="1"/>
  <c r="I144" i="1"/>
  <c r="H144" i="1"/>
  <c r="F144" i="1"/>
  <c r="Z143" i="1"/>
  <c r="U143" i="1"/>
  <c r="T143" i="1"/>
  <c r="S143" i="1"/>
  <c r="R143" i="1"/>
  <c r="Q143" i="1"/>
  <c r="O143" i="1"/>
  <c r="M143" i="1"/>
  <c r="P143" i="1" s="1"/>
  <c r="L143" i="1"/>
  <c r="K143" i="1"/>
  <c r="J143" i="1"/>
  <c r="I143" i="1"/>
  <c r="H143" i="1"/>
  <c r="F143" i="1"/>
  <c r="B143" i="1"/>
  <c r="Z142" i="1"/>
  <c r="U142" i="1"/>
  <c r="T142" i="1"/>
  <c r="S142" i="1"/>
  <c r="R142" i="1"/>
  <c r="Q142" i="1"/>
  <c r="B142" i="1" s="1"/>
  <c r="O142" i="1"/>
  <c r="P142" i="1" s="1"/>
  <c r="M142" i="1"/>
  <c r="L142" i="1"/>
  <c r="K142" i="1"/>
  <c r="J142" i="1"/>
  <c r="I142" i="1"/>
  <c r="H142" i="1"/>
  <c r="F142" i="1"/>
  <c r="Z141" i="1"/>
  <c r="U141" i="1"/>
  <c r="T141" i="1"/>
  <c r="S141" i="1"/>
  <c r="R141" i="1"/>
  <c r="Q141" i="1"/>
  <c r="O141" i="1"/>
  <c r="P141" i="1" s="1"/>
  <c r="M141" i="1"/>
  <c r="L141" i="1"/>
  <c r="K141" i="1"/>
  <c r="J141" i="1"/>
  <c r="I141" i="1"/>
  <c r="H141" i="1"/>
  <c r="F141" i="1"/>
  <c r="B141" i="1"/>
  <c r="Z140" i="1"/>
  <c r="U140" i="1"/>
  <c r="T140" i="1"/>
  <c r="S140" i="1"/>
  <c r="R140" i="1"/>
  <c r="Q140" i="1"/>
  <c r="O140" i="1"/>
  <c r="M140" i="1"/>
  <c r="L140" i="1" s="1"/>
  <c r="K140" i="1"/>
  <c r="J140" i="1"/>
  <c r="I140" i="1"/>
  <c r="H140" i="1"/>
  <c r="F140" i="1"/>
  <c r="Z139" i="1"/>
  <c r="Y139" i="1"/>
  <c r="V139" i="1"/>
  <c r="W139" i="1" s="1"/>
  <c r="X139" i="1" s="1"/>
  <c r="U139" i="1"/>
  <c r="T139" i="1"/>
  <c r="S139" i="1"/>
  <c r="R139" i="1"/>
  <c r="Q139" i="1"/>
  <c r="P139" i="1"/>
  <c r="O139" i="1"/>
  <c r="M139" i="1"/>
  <c r="L139" i="1"/>
  <c r="K139" i="1"/>
  <c r="J139" i="1"/>
  <c r="I139" i="1"/>
  <c r="H139" i="1"/>
  <c r="F139" i="1"/>
  <c r="B139" i="1"/>
  <c r="Z138" i="1"/>
  <c r="U138" i="1"/>
  <c r="T138" i="1"/>
  <c r="S138" i="1"/>
  <c r="R138" i="1"/>
  <c r="Q138" i="1"/>
  <c r="O138" i="1"/>
  <c r="M138" i="1"/>
  <c r="K138" i="1"/>
  <c r="J138" i="1"/>
  <c r="I138" i="1"/>
  <c r="H138" i="1"/>
  <c r="F138" i="1"/>
  <c r="B138" i="1"/>
  <c r="Z137" i="1"/>
  <c r="U137" i="1"/>
  <c r="T137" i="1"/>
  <c r="S137" i="1"/>
  <c r="R137" i="1"/>
  <c r="Q137" i="1"/>
  <c r="P137" i="1"/>
  <c r="O137" i="1"/>
  <c r="M137" i="1"/>
  <c r="L137" i="1"/>
  <c r="K137" i="1"/>
  <c r="J137" i="1"/>
  <c r="I137" i="1"/>
  <c r="H137" i="1"/>
  <c r="F137" i="1"/>
  <c r="Z136" i="1"/>
  <c r="U136" i="1"/>
  <c r="T136" i="1"/>
  <c r="S136" i="1"/>
  <c r="R136" i="1"/>
  <c r="Q136" i="1"/>
  <c r="O136" i="1"/>
  <c r="M136" i="1"/>
  <c r="K136" i="1"/>
  <c r="J136" i="1"/>
  <c r="I136" i="1"/>
  <c r="H136" i="1"/>
  <c r="F136" i="1"/>
  <c r="Z135" i="1"/>
  <c r="U135" i="1"/>
  <c r="T135" i="1"/>
  <c r="S135" i="1"/>
  <c r="R135" i="1"/>
  <c r="B135" i="1" s="1"/>
  <c r="Q135" i="1"/>
  <c r="O135" i="1"/>
  <c r="M135" i="1"/>
  <c r="P135" i="1" s="1"/>
  <c r="K135" i="1"/>
  <c r="J135" i="1"/>
  <c r="I135" i="1"/>
  <c r="H135" i="1"/>
  <c r="F135" i="1"/>
  <c r="Z134" i="1"/>
  <c r="U134" i="1"/>
  <c r="T134" i="1"/>
  <c r="S134" i="1"/>
  <c r="R134" i="1"/>
  <c r="Q134" i="1"/>
  <c r="O134" i="1"/>
  <c r="P134" i="1" s="1"/>
  <c r="M134" i="1"/>
  <c r="L134" i="1"/>
  <c r="K134" i="1"/>
  <c r="J134" i="1"/>
  <c r="I134" i="1"/>
  <c r="H134" i="1"/>
  <c r="F134" i="1"/>
  <c r="Z133" i="1"/>
  <c r="W133" i="1"/>
  <c r="X133" i="1" s="1"/>
  <c r="V133" i="1"/>
  <c r="Y133" i="1" s="1"/>
  <c r="U133" i="1"/>
  <c r="T133" i="1"/>
  <c r="S133" i="1"/>
  <c r="R133" i="1"/>
  <c r="Q133" i="1"/>
  <c r="O133" i="1"/>
  <c r="P133" i="1" s="1"/>
  <c r="N133" i="1"/>
  <c r="M133" i="1"/>
  <c r="L133" i="1"/>
  <c r="K133" i="1"/>
  <c r="J133" i="1"/>
  <c r="I133" i="1"/>
  <c r="H133" i="1"/>
  <c r="F133" i="1"/>
  <c r="B133" i="1"/>
  <c r="Z132" i="1"/>
  <c r="U132" i="1"/>
  <c r="T132" i="1"/>
  <c r="S132" i="1"/>
  <c r="R132" i="1"/>
  <c r="Q132" i="1"/>
  <c r="B132" i="1" s="1"/>
  <c r="O132" i="1"/>
  <c r="M132" i="1"/>
  <c r="L132" i="1"/>
  <c r="K132" i="1"/>
  <c r="J132" i="1"/>
  <c r="I132" i="1"/>
  <c r="H132" i="1"/>
  <c r="F132" i="1"/>
  <c r="Z131" i="1"/>
  <c r="U131" i="1"/>
  <c r="T131" i="1"/>
  <c r="S131" i="1"/>
  <c r="R131" i="1"/>
  <c r="V131" i="1" s="1"/>
  <c r="Q131" i="1"/>
  <c r="P131" i="1"/>
  <c r="O131" i="1"/>
  <c r="M131" i="1"/>
  <c r="L131" i="1"/>
  <c r="K131" i="1"/>
  <c r="J131" i="1"/>
  <c r="I131" i="1"/>
  <c r="H131" i="1"/>
  <c r="F131" i="1"/>
  <c r="Z130" i="1"/>
  <c r="U130" i="1"/>
  <c r="T130" i="1"/>
  <c r="S130" i="1"/>
  <c r="B130" i="1" s="1"/>
  <c r="R130" i="1"/>
  <c r="Q130" i="1"/>
  <c r="O130" i="1"/>
  <c r="M130" i="1"/>
  <c r="K130" i="1"/>
  <c r="J130" i="1"/>
  <c r="I130" i="1"/>
  <c r="H130" i="1"/>
  <c r="F130" i="1"/>
  <c r="Z129" i="1"/>
  <c r="U129" i="1"/>
  <c r="T129" i="1"/>
  <c r="S129" i="1"/>
  <c r="R129" i="1"/>
  <c r="Q129" i="1"/>
  <c r="P129" i="1"/>
  <c r="O129" i="1"/>
  <c r="M129" i="1"/>
  <c r="L129" i="1"/>
  <c r="K129" i="1"/>
  <c r="J129" i="1"/>
  <c r="I129" i="1"/>
  <c r="H129" i="1"/>
  <c r="F129" i="1"/>
  <c r="Z128" i="1"/>
  <c r="U128" i="1"/>
  <c r="T128" i="1"/>
  <c r="S128" i="1"/>
  <c r="R128" i="1"/>
  <c r="Q128" i="1"/>
  <c r="B128" i="1" s="1"/>
  <c r="O128" i="1"/>
  <c r="P128" i="1" s="1"/>
  <c r="M128" i="1"/>
  <c r="K128" i="1"/>
  <c r="J128" i="1"/>
  <c r="I128" i="1"/>
  <c r="H128" i="1"/>
  <c r="F128" i="1"/>
  <c r="Z127" i="1"/>
  <c r="U127" i="1"/>
  <c r="T127" i="1"/>
  <c r="B127" i="1" s="1"/>
  <c r="S127" i="1"/>
  <c r="R127" i="1"/>
  <c r="Q127" i="1"/>
  <c r="O127" i="1"/>
  <c r="M127" i="1"/>
  <c r="P127" i="1" s="1"/>
  <c r="K127" i="1"/>
  <c r="J127" i="1"/>
  <c r="I127" i="1"/>
  <c r="H127" i="1"/>
  <c r="F127" i="1"/>
  <c r="Z126" i="1"/>
  <c r="U126" i="1"/>
  <c r="T126" i="1"/>
  <c r="S126" i="1"/>
  <c r="R126" i="1"/>
  <c r="Q126" i="1"/>
  <c r="O126" i="1"/>
  <c r="P126" i="1" s="1"/>
  <c r="M126" i="1"/>
  <c r="L126" i="1"/>
  <c r="K126" i="1"/>
  <c r="J126" i="1"/>
  <c r="I126" i="1"/>
  <c r="H126" i="1"/>
  <c r="F126" i="1"/>
  <c r="Z125" i="1"/>
  <c r="V125" i="1"/>
  <c r="Y125" i="1" s="1"/>
  <c r="U125" i="1"/>
  <c r="T125" i="1"/>
  <c r="S125" i="1"/>
  <c r="R125" i="1"/>
  <c r="Q125" i="1"/>
  <c r="O125" i="1"/>
  <c r="P125" i="1" s="1"/>
  <c r="N125" i="1"/>
  <c r="M125" i="1"/>
  <c r="L125" i="1"/>
  <c r="K125" i="1"/>
  <c r="J125" i="1"/>
  <c r="I125" i="1"/>
  <c r="H125" i="1"/>
  <c r="F125" i="1"/>
  <c r="B125" i="1"/>
  <c r="Z124" i="1"/>
  <c r="U124" i="1"/>
  <c r="T124" i="1"/>
  <c r="S124" i="1"/>
  <c r="R124" i="1"/>
  <c r="Q124" i="1"/>
  <c r="O124" i="1"/>
  <c r="M124" i="1"/>
  <c r="L124" i="1"/>
  <c r="K124" i="1"/>
  <c r="J124" i="1"/>
  <c r="I124" i="1"/>
  <c r="H124" i="1"/>
  <c r="F124" i="1"/>
  <c r="Z123" i="1"/>
  <c r="U123" i="1"/>
  <c r="T123" i="1"/>
  <c r="S123" i="1"/>
  <c r="R123" i="1"/>
  <c r="Q123" i="1"/>
  <c r="V123" i="1" s="1"/>
  <c r="P123" i="1"/>
  <c r="O123" i="1"/>
  <c r="M123" i="1"/>
  <c r="L123" i="1"/>
  <c r="K123" i="1"/>
  <c r="J123" i="1"/>
  <c r="I123" i="1"/>
  <c r="H123" i="1"/>
  <c r="F123" i="1"/>
  <c r="Z122" i="1"/>
  <c r="U122" i="1"/>
  <c r="B122" i="1" s="1"/>
  <c r="T122" i="1"/>
  <c r="S122" i="1"/>
  <c r="R122" i="1"/>
  <c r="Q122" i="1"/>
  <c r="O122" i="1"/>
  <c r="M122" i="1"/>
  <c r="K122" i="1"/>
  <c r="J122" i="1"/>
  <c r="I122" i="1"/>
  <c r="H122" i="1"/>
  <c r="F122" i="1"/>
  <c r="Z121" i="1"/>
  <c r="U121" i="1"/>
  <c r="T121" i="1"/>
  <c r="S121" i="1"/>
  <c r="R121" i="1"/>
  <c r="Q121" i="1"/>
  <c r="B121" i="1" s="1"/>
  <c r="P121" i="1"/>
  <c r="O121" i="1"/>
  <c r="M121" i="1"/>
  <c r="V121" i="1" s="1"/>
  <c r="L121" i="1"/>
  <c r="K121" i="1"/>
  <c r="J121" i="1"/>
  <c r="I121" i="1"/>
  <c r="H121" i="1"/>
  <c r="F121" i="1"/>
  <c r="Z120" i="1"/>
  <c r="U120" i="1"/>
  <c r="T120" i="1"/>
  <c r="S120" i="1"/>
  <c r="R120" i="1"/>
  <c r="Q120" i="1"/>
  <c r="B120" i="1" s="1"/>
  <c r="O120" i="1"/>
  <c r="M120" i="1"/>
  <c r="K120" i="1"/>
  <c r="J120" i="1"/>
  <c r="I120" i="1"/>
  <c r="H120" i="1"/>
  <c r="F120" i="1"/>
  <c r="Z119" i="1"/>
  <c r="U119" i="1"/>
  <c r="T119" i="1"/>
  <c r="S119" i="1"/>
  <c r="R119" i="1"/>
  <c r="Q119" i="1"/>
  <c r="O119" i="1"/>
  <c r="M119" i="1"/>
  <c r="P119" i="1" s="1"/>
  <c r="L119" i="1"/>
  <c r="K119" i="1"/>
  <c r="J119" i="1"/>
  <c r="I119" i="1"/>
  <c r="H119" i="1"/>
  <c r="F119" i="1"/>
  <c r="Z118" i="1"/>
  <c r="U118" i="1"/>
  <c r="T118" i="1"/>
  <c r="S118" i="1"/>
  <c r="R118" i="1"/>
  <c r="Q118" i="1"/>
  <c r="O118" i="1"/>
  <c r="P118" i="1" s="1"/>
  <c r="M118" i="1"/>
  <c r="V118" i="1" s="1"/>
  <c r="W118" i="1" s="1"/>
  <c r="X118" i="1" s="1"/>
  <c r="L118" i="1"/>
  <c r="K118" i="1"/>
  <c r="J118" i="1"/>
  <c r="I118" i="1"/>
  <c r="H118" i="1"/>
  <c r="F118" i="1"/>
  <c r="Z117" i="1"/>
  <c r="U117" i="1"/>
  <c r="T117" i="1"/>
  <c r="V117" i="1" s="1"/>
  <c r="S117" i="1"/>
  <c r="R117" i="1"/>
  <c r="Q117" i="1"/>
  <c r="P117" i="1"/>
  <c r="O117" i="1"/>
  <c r="M117" i="1"/>
  <c r="L117" i="1"/>
  <c r="K117" i="1"/>
  <c r="J117" i="1"/>
  <c r="I117" i="1"/>
  <c r="H117" i="1"/>
  <c r="F117" i="1"/>
  <c r="Z116" i="1"/>
  <c r="U116" i="1"/>
  <c r="T116" i="1"/>
  <c r="S116" i="1"/>
  <c r="R116" i="1"/>
  <c r="Q116" i="1"/>
  <c r="O116" i="1"/>
  <c r="M116" i="1"/>
  <c r="L116" i="1" s="1"/>
  <c r="K116" i="1"/>
  <c r="J116" i="1"/>
  <c r="I116" i="1"/>
  <c r="H116" i="1"/>
  <c r="F116" i="1"/>
  <c r="Z115" i="1"/>
  <c r="V115" i="1"/>
  <c r="W115" i="1" s="1"/>
  <c r="X115" i="1" s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F115" i="1"/>
  <c r="B115" i="1"/>
  <c r="Z114" i="1"/>
  <c r="U114" i="1"/>
  <c r="T114" i="1"/>
  <c r="S114" i="1"/>
  <c r="B114" i="1" s="1"/>
  <c r="R114" i="1"/>
  <c r="Q114" i="1"/>
  <c r="O114" i="1"/>
  <c r="M114" i="1"/>
  <c r="K114" i="1"/>
  <c r="J114" i="1"/>
  <c r="I114" i="1"/>
  <c r="H114" i="1"/>
  <c r="F114" i="1"/>
  <c r="Z113" i="1"/>
  <c r="U113" i="1"/>
  <c r="T113" i="1"/>
  <c r="S113" i="1"/>
  <c r="R113" i="1"/>
  <c r="Q113" i="1"/>
  <c r="B113" i="1" s="1"/>
  <c r="P113" i="1"/>
  <c r="O113" i="1"/>
  <c r="M113" i="1"/>
  <c r="V113" i="1" s="1"/>
  <c r="L113" i="1"/>
  <c r="K113" i="1"/>
  <c r="J113" i="1"/>
  <c r="I113" i="1"/>
  <c r="H113" i="1"/>
  <c r="F113" i="1"/>
  <c r="Z112" i="1"/>
  <c r="U112" i="1"/>
  <c r="T112" i="1"/>
  <c r="S112" i="1"/>
  <c r="R112" i="1"/>
  <c r="Q112" i="1"/>
  <c r="P112" i="1"/>
  <c r="O112" i="1"/>
  <c r="M112" i="1"/>
  <c r="K112" i="1"/>
  <c r="J112" i="1"/>
  <c r="I112" i="1"/>
  <c r="H112" i="1"/>
  <c r="F112" i="1"/>
  <c r="Z111" i="1"/>
  <c r="U111" i="1"/>
  <c r="T111" i="1"/>
  <c r="S111" i="1"/>
  <c r="R111" i="1"/>
  <c r="Q111" i="1"/>
  <c r="O111" i="1"/>
  <c r="M111" i="1"/>
  <c r="P111" i="1" s="1"/>
  <c r="L111" i="1"/>
  <c r="K111" i="1"/>
  <c r="J111" i="1"/>
  <c r="I111" i="1"/>
  <c r="H111" i="1"/>
  <c r="F111" i="1"/>
  <c r="B111" i="1"/>
  <c r="Z110" i="1"/>
  <c r="U110" i="1"/>
  <c r="T110" i="1"/>
  <c r="S110" i="1"/>
  <c r="R110" i="1"/>
  <c r="Q110" i="1"/>
  <c r="B110" i="1" s="1"/>
  <c r="O110" i="1"/>
  <c r="P110" i="1" s="1"/>
  <c r="M110" i="1"/>
  <c r="L110" i="1"/>
  <c r="K110" i="1"/>
  <c r="J110" i="1"/>
  <c r="I110" i="1"/>
  <c r="H110" i="1"/>
  <c r="F110" i="1"/>
  <c r="Z109" i="1"/>
  <c r="U109" i="1"/>
  <c r="T109" i="1"/>
  <c r="S109" i="1"/>
  <c r="R109" i="1"/>
  <c r="Q109" i="1"/>
  <c r="O109" i="1"/>
  <c r="P109" i="1" s="1"/>
  <c r="M109" i="1"/>
  <c r="L109" i="1"/>
  <c r="K109" i="1"/>
  <c r="J109" i="1"/>
  <c r="I109" i="1"/>
  <c r="H109" i="1"/>
  <c r="F109" i="1"/>
  <c r="B109" i="1"/>
  <c r="Z108" i="1"/>
  <c r="U108" i="1"/>
  <c r="T108" i="1"/>
  <c r="S108" i="1"/>
  <c r="R108" i="1"/>
  <c r="Q108" i="1"/>
  <c r="O108" i="1"/>
  <c r="M108" i="1"/>
  <c r="L108" i="1" s="1"/>
  <c r="K108" i="1"/>
  <c r="J108" i="1"/>
  <c r="I108" i="1"/>
  <c r="H108" i="1"/>
  <c r="F108" i="1"/>
  <c r="Z107" i="1"/>
  <c r="U107" i="1"/>
  <c r="T107" i="1"/>
  <c r="S107" i="1"/>
  <c r="R107" i="1"/>
  <c r="Q107" i="1"/>
  <c r="B107" i="1" s="1"/>
  <c r="P107" i="1"/>
  <c r="O107" i="1"/>
  <c r="M107" i="1"/>
  <c r="L107" i="1"/>
  <c r="K107" i="1"/>
  <c r="J107" i="1"/>
  <c r="I107" i="1"/>
  <c r="H107" i="1"/>
  <c r="F107" i="1"/>
  <c r="Z106" i="1"/>
  <c r="U106" i="1"/>
  <c r="T106" i="1"/>
  <c r="S106" i="1"/>
  <c r="R106" i="1"/>
  <c r="Q106" i="1"/>
  <c r="O106" i="1"/>
  <c r="M106" i="1"/>
  <c r="K106" i="1"/>
  <c r="J106" i="1"/>
  <c r="I106" i="1"/>
  <c r="H106" i="1"/>
  <c r="F106" i="1"/>
  <c r="B106" i="1"/>
  <c r="Z105" i="1"/>
  <c r="U105" i="1"/>
  <c r="T105" i="1"/>
  <c r="S105" i="1"/>
  <c r="R105" i="1"/>
  <c r="Q105" i="1"/>
  <c r="P105" i="1"/>
  <c r="O105" i="1"/>
  <c r="M105" i="1"/>
  <c r="L105" i="1"/>
  <c r="K105" i="1"/>
  <c r="J105" i="1"/>
  <c r="I105" i="1"/>
  <c r="H105" i="1"/>
  <c r="F105" i="1"/>
  <c r="Z104" i="1"/>
  <c r="U104" i="1"/>
  <c r="T104" i="1"/>
  <c r="S104" i="1"/>
  <c r="R104" i="1"/>
  <c r="Q104" i="1"/>
  <c r="O104" i="1"/>
  <c r="M104" i="1"/>
  <c r="K104" i="1"/>
  <c r="J104" i="1"/>
  <c r="I104" i="1"/>
  <c r="H104" i="1"/>
  <c r="F104" i="1"/>
  <c r="Z103" i="1"/>
  <c r="U103" i="1"/>
  <c r="T103" i="1"/>
  <c r="S103" i="1"/>
  <c r="R103" i="1"/>
  <c r="Q103" i="1"/>
  <c r="O103" i="1"/>
  <c r="M103" i="1"/>
  <c r="P103" i="1" s="1"/>
  <c r="K103" i="1"/>
  <c r="J103" i="1"/>
  <c r="I103" i="1"/>
  <c r="H103" i="1"/>
  <c r="F103" i="1"/>
  <c r="Z102" i="1"/>
  <c r="U102" i="1"/>
  <c r="T102" i="1"/>
  <c r="S102" i="1"/>
  <c r="R102" i="1"/>
  <c r="Q102" i="1"/>
  <c r="O102" i="1"/>
  <c r="P102" i="1" s="1"/>
  <c r="M102" i="1"/>
  <c r="L102" i="1"/>
  <c r="K102" i="1"/>
  <c r="J102" i="1"/>
  <c r="I102" i="1"/>
  <c r="H102" i="1"/>
  <c r="F102" i="1"/>
  <c r="Z101" i="1"/>
  <c r="W101" i="1"/>
  <c r="X101" i="1" s="1"/>
  <c r="V101" i="1"/>
  <c r="Y101" i="1" s="1"/>
  <c r="U101" i="1"/>
  <c r="T101" i="1"/>
  <c r="S101" i="1"/>
  <c r="R101" i="1"/>
  <c r="Q101" i="1"/>
  <c r="O101" i="1"/>
  <c r="P101" i="1" s="1"/>
  <c r="N101" i="1"/>
  <c r="M101" i="1"/>
  <c r="L101" i="1"/>
  <c r="K101" i="1"/>
  <c r="J101" i="1"/>
  <c r="I101" i="1"/>
  <c r="H101" i="1"/>
  <c r="F101" i="1"/>
  <c r="B101" i="1"/>
  <c r="Z100" i="1"/>
  <c r="U100" i="1"/>
  <c r="T100" i="1"/>
  <c r="S100" i="1"/>
  <c r="R100" i="1"/>
  <c r="Q100" i="1"/>
  <c r="B100" i="1" s="1"/>
  <c r="O100" i="1"/>
  <c r="M100" i="1"/>
  <c r="L100" i="1"/>
  <c r="K100" i="1"/>
  <c r="J100" i="1"/>
  <c r="I100" i="1"/>
  <c r="H100" i="1"/>
  <c r="F100" i="1"/>
  <c r="Z99" i="1"/>
  <c r="U99" i="1"/>
  <c r="T99" i="1"/>
  <c r="S99" i="1"/>
  <c r="R99" i="1"/>
  <c r="V99" i="1" s="1"/>
  <c r="Q99" i="1"/>
  <c r="P99" i="1"/>
  <c r="O99" i="1"/>
  <c r="M99" i="1"/>
  <c r="L99" i="1"/>
  <c r="K99" i="1"/>
  <c r="J99" i="1"/>
  <c r="I99" i="1"/>
  <c r="H99" i="1"/>
  <c r="F99" i="1"/>
  <c r="Z98" i="1"/>
  <c r="U98" i="1"/>
  <c r="T98" i="1"/>
  <c r="S98" i="1"/>
  <c r="B98" i="1" s="1"/>
  <c r="R98" i="1"/>
  <c r="Q98" i="1"/>
  <c r="O98" i="1"/>
  <c r="M98" i="1"/>
  <c r="K98" i="1"/>
  <c r="J98" i="1"/>
  <c r="I98" i="1"/>
  <c r="H98" i="1"/>
  <c r="F98" i="1"/>
  <c r="Z97" i="1"/>
  <c r="U97" i="1"/>
  <c r="T97" i="1"/>
  <c r="S97" i="1"/>
  <c r="R97" i="1"/>
  <c r="Q97" i="1"/>
  <c r="P97" i="1"/>
  <c r="O97" i="1"/>
  <c r="M97" i="1"/>
  <c r="L97" i="1"/>
  <c r="K97" i="1"/>
  <c r="J97" i="1"/>
  <c r="I97" i="1"/>
  <c r="H97" i="1"/>
  <c r="F97" i="1"/>
  <c r="Z96" i="1"/>
  <c r="U96" i="1"/>
  <c r="T96" i="1"/>
  <c r="S96" i="1"/>
  <c r="R96" i="1"/>
  <c r="Q96" i="1"/>
  <c r="B96" i="1" s="1"/>
  <c r="O96" i="1"/>
  <c r="P96" i="1" s="1"/>
  <c r="M96" i="1"/>
  <c r="K96" i="1"/>
  <c r="J96" i="1"/>
  <c r="I96" i="1"/>
  <c r="H96" i="1"/>
  <c r="F96" i="1"/>
  <c r="Z95" i="1"/>
  <c r="U95" i="1"/>
  <c r="T95" i="1"/>
  <c r="S95" i="1"/>
  <c r="R95" i="1"/>
  <c r="Q95" i="1"/>
  <c r="O95" i="1"/>
  <c r="M95" i="1"/>
  <c r="P95" i="1" s="1"/>
  <c r="K95" i="1"/>
  <c r="J95" i="1"/>
  <c r="I95" i="1"/>
  <c r="H95" i="1"/>
  <c r="F95" i="1"/>
  <c r="Z94" i="1"/>
  <c r="U94" i="1"/>
  <c r="T94" i="1"/>
  <c r="S94" i="1"/>
  <c r="R94" i="1"/>
  <c r="Q94" i="1"/>
  <c r="O94" i="1"/>
  <c r="P94" i="1" s="1"/>
  <c r="M94" i="1"/>
  <c r="L94" i="1"/>
  <c r="K94" i="1"/>
  <c r="J94" i="1"/>
  <c r="I94" i="1"/>
  <c r="H94" i="1"/>
  <c r="F94" i="1"/>
  <c r="Z93" i="1"/>
  <c r="V93" i="1"/>
  <c r="Y93" i="1" s="1"/>
  <c r="U93" i="1"/>
  <c r="T93" i="1"/>
  <c r="S93" i="1"/>
  <c r="R93" i="1"/>
  <c r="Q93" i="1"/>
  <c r="O93" i="1"/>
  <c r="P93" i="1" s="1"/>
  <c r="N93" i="1"/>
  <c r="M93" i="1"/>
  <c r="L93" i="1"/>
  <c r="K93" i="1"/>
  <c r="J93" i="1"/>
  <c r="I93" i="1"/>
  <c r="H93" i="1"/>
  <c r="F93" i="1"/>
  <c r="B93" i="1"/>
  <c r="Z92" i="1"/>
  <c r="U92" i="1"/>
  <c r="T92" i="1"/>
  <c r="S92" i="1"/>
  <c r="R92" i="1"/>
  <c r="Q92" i="1"/>
  <c r="O92" i="1"/>
  <c r="M92" i="1"/>
  <c r="L92" i="1"/>
  <c r="K92" i="1"/>
  <c r="J92" i="1"/>
  <c r="I92" i="1"/>
  <c r="H92" i="1"/>
  <c r="F92" i="1"/>
  <c r="Z91" i="1"/>
  <c r="U91" i="1"/>
  <c r="T91" i="1"/>
  <c r="S91" i="1"/>
  <c r="R91" i="1"/>
  <c r="Q91" i="1"/>
  <c r="V91" i="1" s="1"/>
  <c r="P91" i="1"/>
  <c r="O91" i="1"/>
  <c r="M91" i="1"/>
  <c r="L91" i="1"/>
  <c r="K91" i="1"/>
  <c r="J91" i="1"/>
  <c r="I91" i="1"/>
  <c r="H91" i="1"/>
  <c r="F91" i="1"/>
  <c r="Z90" i="1"/>
  <c r="U90" i="1"/>
  <c r="T90" i="1"/>
  <c r="S90" i="1"/>
  <c r="R90" i="1"/>
  <c r="Q90" i="1"/>
  <c r="O90" i="1"/>
  <c r="M90" i="1"/>
  <c r="K90" i="1"/>
  <c r="J90" i="1"/>
  <c r="I90" i="1"/>
  <c r="H90" i="1"/>
  <c r="F90" i="1"/>
  <c r="B90" i="1"/>
  <c r="Z89" i="1"/>
  <c r="U89" i="1"/>
  <c r="T89" i="1"/>
  <c r="S89" i="1"/>
  <c r="R89" i="1"/>
  <c r="Q89" i="1"/>
  <c r="P89" i="1"/>
  <c r="O89" i="1"/>
  <c r="M89" i="1"/>
  <c r="L89" i="1"/>
  <c r="K89" i="1"/>
  <c r="J89" i="1"/>
  <c r="I89" i="1"/>
  <c r="H89" i="1"/>
  <c r="F89" i="1"/>
  <c r="Z88" i="1"/>
  <c r="U88" i="1"/>
  <c r="T88" i="1"/>
  <c r="S88" i="1"/>
  <c r="R88" i="1"/>
  <c r="Q88" i="1"/>
  <c r="B88" i="1" s="1"/>
  <c r="O88" i="1"/>
  <c r="M88" i="1"/>
  <c r="K88" i="1"/>
  <c r="J88" i="1"/>
  <c r="I88" i="1"/>
  <c r="H88" i="1"/>
  <c r="F88" i="1"/>
  <c r="Z87" i="1"/>
  <c r="U87" i="1"/>
  <c r="T87" i="1"/>
  <c r="S87" i="1"/>
  <c r="R87" i="1"/>
  <c r="B87" i="1" s="1"/>
  <c r="Q87" i="1"/>
  <c r="O87" i="1"/>
  <c r="M87" i="1"/>
  <c r="P87" i="1" s="1"/>
  <c r="L87" i="1"/>
  <c r="K87" i="1"/>
  <c r="J87" i="1"/>
  <c r="I87" i="1"/>
  <c r="H87" i="1"/>
  <c r="F87" i="1"/>
  <c r="Z86" i="1"/>
  <c r="U86" i="1"/>
  <c r="T86" i="1"/>
  <c r="S86" i="1"/>
  <c r="R86" i="1"/>
  <c r="Q86" i="1"/>
  <c r="B86" i="1" s="1"/>
  <c r="O86" i="1"/>
  <c r="P86" i="1" s="1"/>
  <c r="M86" i="1"/>
  <c r="V86" i="1" s="1"/>
  <c r="W86" i="1" s="1"/>
  <c r="X86" i="1" s="1"/>
  <c r="L86" i="1"/>
  <c r="K86" i="1"/>
  <c r="J86" i="1"/>
  <c r="I86" i="1"/>
  <c r="H86" i="1"/>
  <c r="F86" i="1"/>
  <c r="Z85" i="1"/>
  <c r="U85" i="1"/>
  <c r="T85" i="1"/>
  <c r="V85" i="1" s="1"/>
  <c r="S85" i="1"/>
  <c r="R85" i="1"/>
  <c r="Q85" i="1"/>
  <c r="P85" i="1"/>
  <c r="O85" i="1"/>
  <c r="M85" i="1"/>
  <c r="L85" i="1"/>
  <c r="K85" i="1"/>
  <c r="J85" i="1"/>
  <c r="I85" i="1"/>
  <c r="H85" i="1"/>
  <c r="F85" i="1"/>
  <c r="Z84" i="1"/>
  <c r="U84" i="1"/>
  <c r="T84" i="1"/>
  <c r="S84" i="1"/>
  <c r="R84" i="1"/>
  <c r="Q84" i="1"/>
  <c r="O84" i="1"/>
  <c r="M84" i="1"/>
  <c r="L84" i="1" s="1"/>
  <c r="K84" i="1"/>
  <c r="J84" i="1"/>
  <c r="I84" i="1"/>
  <c r="H84" i="1"/>
  <c r="F84" i="1"/>
  <c r="Z83" i="1"/>
  <c r="V83" i="1"/>
  <c r="W83" i="1" s="1"/>
  <c r="X83" i="1" s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F83" i="1"/>
  <c r="B83" i="1"/>
  <c r="Z82" i="1"/>
  <c r="U82" i="1"/>
  <c r="T82" i="1"/>
  <c r="S82" i="1"/>
  <c r="B82" i="1" s="1"/>
  <c r="R82" i="1"/>
  <c r="Q82" i="1"/>
  <c r="O82" i="1"/>
  <c r="M82" i="1"/>
  <c r="K82" i="1"/>
  <c r="J82" i="1"/>
  <c r="I82" i="1"/>
  <c r="H82" i="1"/>
  <c r="F82" i="1"/>
  <c r="Z81" i="1"/>
  <c r="U81" i="1"/>
  <c r="T81" i="1"/>
  <c r="S81" i="1"/>
  <c r="R81" i="1"/>
  <c r="Q81" i="1"/>
  <c r="B81" i="1" s="1"/>
  <c r="P81" i="1"/>
  <c r="O81" i="1"/>
  <c r="M81" i="1"/>
  <c r="V81" i="1" s="1"/>
  <c r="L81" i="1"/>
  <c r="K81" i="1"/>
  <c r="J81" i="1"/>
  <c r="I81" i="1"/>
  <c r="H81" i="1"/>
  <c r="F81" i="1"/>
  <c r="Z80" i="1"/>
  <c r="U80" i="1"/>
  <c r="T80" i="1"/>
  <c r="S80" i="1"/>
  <c r="R80" i="1"/>
  <c r="Q80" i="1"/>
  <c r="P80" i="1"/>
  <c r="O80" i="1"/>
  <c r="M80" i="1"/>
  <c r="K80" i="1"/>
  <c r="J80" i="1"/>
  <c r="I80" i="1"/>
  <c r="H80" i="1"/>
  <c r="F80" i="1"/>
  <c r="Z79" i="1"/>
  <c r="U79" i="1"/>
  <c r="T79" i="1"/>
  <c r="S79" i="1"/>
  <c r="R79" i="1"/>
  <c r="Q79" i="1"/>
  <c r="O79" i="1"/>
  <c r="M79" i="1"/>
  <c r="P79" i="1" s="1"/>
  <c r="L79" i="1"/>
  <c r="K79" i="1"/>
  <c r="J79" i="1"/>
  <c r="I79" i="1"/>
  <c r="H79" i="1"/>
  <c r="F79" i="1"/>
  <c r="B79" i="1"/>
  <c r="Z78" i="1"/>
  <c r="W78" i="1"/>
  <c r="X78" i="1" s="1"/>
  <c r="U78" i="1"/>
  <c r="T78" i="1"/>
  <c r="S78" i="1"/>
  <c r="R78" i="1"/>
  <c r="Q78" i="1"/>
  <c r="B78" i="1" s="1"/>
  <c r="O78" i="1"/>
  <c r="P78" i="1" s="1"/>
  <c r="M78" i="1"/>
  <c r="V78" i="1" s="1"/>
  <c r="Y78" i="1" s="1"/>
  <c r="L78" i="1"/>
  <c r="K78" i="1"/>
  <c r="J78" i="1"/>
  <c r="I78" i="1"/>
  <c r="H78" i="1"/>
  <c r="F78" i="1"/>
  <c r="Z77" i="1"/>
  <c r="U77" i="1"/>
  <c r="T77" i="1"/>
  <c r="S77" i="1"/>
  <c r="R77" i="1"/>
  <c r="Q77" i="1"/>
  <c r="O77" i="1"/>
  <c r="P77" i="1" s="1"/>
  <c r="M77" i="1"/>
  <c r="L77" i="1"/>
  <c r="K77" i="1"/>
  <c r="J77" i="1"/>
  <c r="I77" i="1"/>
  <c r="H77" i="1"/>
  <c r="F77" i="1"/>
  <c r="B77" i="1"/>
  <c r="Z76" i="1"/>
  <c r="U76" i="1"/>
  <c r="T76" i="1"/>
  <c r="S76" i="1"/>
  <c r="R76" i="1"/>
  <c r="Q76" i="1"/>
  <c r="O76" i="1"/>
  <c r="M76" i="1"/>
  <c r="L76" i="1" s="1"/>
  <c r="K76" i="1"/>
  <c r="J76" i="1"/>
  <c r="I76" i="1"/>
  <c r="H76" i="1"/>
  <c r="F76" i="1"/>
  <c r="Z75" i="1"/>
  <c r="U75" i="1"/>
  <c r="T75" i="1"/>
  <c r="S75" i="1"/>
  <c r="R75" i="1"/>
  <c r="Q75" i="1"/>
  <c r="V75" i="1" s="1"/>
  <c r="P75" i="1"/>
  <c r="O75" i="1"/>
  <c r="M75" i="1"/>
  <c r="L75" i="1"/>
  <c r="K75" i="1"/>
  <c r="J75" i="1"/>
  <c r="I75" i="1"/>
  <c r="H75" i="1"/>
  <c r="F75" i="1"/>
  <c r="Z74" i="1"/>
  <c r="V74" i="1"/>
  <c r="Y74" i="1" s="1"/>
  <c r="U74" i="1"/>
  <c r="B74" i="1" s="1"/>
  <c r="T74" i="1"/>
  <c r="S74" i="1"/>
  <c r="R74" i="1"/>
  <c r="Q74" i="1"/>
  <c r="O74" i="1"/>
  <c r="M74" i="1"/>
  <c r="L74" i="1" s="1"/>
  <c r="K74" i="1"/>
  <c r="J74" i="1"/>
  <c r="I74" i="1"/>
  <c r="H74" i="1"/>
  <c r="F74" i="1"/>
  <c r="Z73" i="1"/>
  <c r="U73" i="1"/>
  <c r="T73" i="1"/>
  <c r="S73" i="1"/>
  <c r="R73" i="1"/>
  <c r="Q73" i="1"/>
  <c r="O73" i="1"/>
  <c r="M73" i="1"/>
  <c r="L73" i="1"/>
  <c r="K73" i="1"/>
  <c r="J73" i="1"/>
  <c r="I73" i="1"/>
  <c r="H73" i="1"/>
  <c r="F73" i="1"/>
  <c r="Z72" i="1"/>
  <c r="U72" i="1"/>
  <c r="T72" i="1"/>
  <c r="S72" i="1"/>
  <c r="R72" i="1"/>
  <c r="Q72" i="1"/>
  <c r="B72" i="1" s="1"/>
  <c r="O72" i="1"/>
  <c r="P72" i="1" s="1"/>
  <c r="M72" i="1"/>
  <c r="K72" i="1"/>
  <c r="J72" i="1"/>
  <c r="I72" i="1"/>
  <c r="H72" i="1"/>
  <c r="F72" i="1"/>
  <c r="Z71" i="1"/>
  <c r="U71" i="1"/>
  <c r="T71" i="1"/>
  <c r="B71" i="1" s="1"/>
  <c r="S71" i="1"/>
  <c r="R71" i="1"/>
  <c r="Q71" i="1"/>
  <c r="O71" i="1"/>
  <c r="M71" i="1"/>
  <c r="L71" i="1"/>
  <c r="K71" i="1"/>
  <c r="J71" i="1"/>
  <c r="I71" i="1"/>
  <c r="H71" i="1"/>
  <c r="F71" i="1"/>
  <c r="Z70" i="1"/>
  <c r="U70" i="1"/>
  <c r="T70" i="1"/>
  <c r="S70" i="1"/>
  <c r="R70" i="1"/>
  <c r="Q70" i="1"/>
  <c r="B70" i="1" s="1"/>
  <c r="O70" i="1"/>
  <c r="P70" i="1" s="1"/>
  <c r="M70" i="1"/>
  <c r="L70" i="1"/>
  <c r="K70" i="1"/>
  <c r="J70" i="1"/>
  <c r="I70" i="1"/>
  <c r="H70" i="1"/>
  <c r="F70" i="1"/>
  <c r="Z69" i="1"/>
  <c r="U69" i="1"/>
  <c r="T69" i="1"/>
  <c r="S69" i="1"/>
  <c r="R69" i="1"/>
  <c r="Q69" i="1"/>
  <c r="B69" i="1" s="1"/>
  <c r="P69" i="1"/>
  <c r="O69" i="1"/>
  <c r="V69" i="1" s="1"/>
  <c r="M69" i="1"/>
  <c r="L69" i="1"/>
  <c r="K69" i="1"/>
  <c r="J69" i="1"/>
  <c r="I69" i="1"/>
  <c r="H69" i="1"/>
  <c r="F69" i="1"/>
  <c r="Z68" i="1"/>
  <c r="U68" i="1"/>
  <c r="T68" i="1"/>
  <c r="S68" i="1"/>
  <c r="B68" i="1" s="1"/>
  <c r="R68" i="1"/>
  <c r="Q68" i="1"/>
  <c r="O68" i="1"/>
  <c r="M68" i="1"/>
  <c r="P68" i="1" s="1"/>
  <c r="K68" i="1"/>
  <c r="J68" i="1"/>
  <c r="I68" i="1"/>
  <c r="H68" i="1"/>
  <c r="F68" i="1"/>
  <c r="Z67" i="1"/>
  <c r="V67" i="1"/>
  <c r="W67" i="1" s="1"/>
  <c r="X67" i="1" s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F67" i="1"/>
  <c r="B67" i="1"/>
  <c r="Z66" i="1"/>
  <c r="U66" i="1"/>
  <c r="B66" i="1" s="1"/>
  <c r="T66" i="1"/>
  <c r="S66" i="1"/>
  <c r="R66" i="1"/>
  <c r="Q66" i="1"/>
  <c r="O66" i="1"/>
  <c r="M66" i="1"/>
  <c r="L66" i="1" s="1"/>
  <c r="K66" i="1"/>
  <c r="J66" i="1"/>
  <c r="I66" i="1"/>
  <c r="H66" i="1"/>
  <c r="F66" i="1"/>
  <c r="Z65" i="1"/>
  <c r="U65" i="1"/>
  <c r="T65" i="1"/>
  <c r="S65" i="1"/>
  <c r="R65" i="1"/>
  <c r="Q65" i="1"/>
  <c r="O65" i="1"/>
  <c r="M65" i="1"/>
  <c r="L65" i="1" s="1"/>
  <c r="K65" i="1"/>
  <c r="J65" i="1"/>
  <c r="I65" i="1"/>
  <c r="H65" i="1"/>
  <c r="F65" i="1"/>
  <c r="Z64" i="1"/>
  <c r="U64" i="1"/>
  <c r="T64" i="1"/>
  <c r="S64" i="1"/>
  <c r="R64" i="1"/>
  <c r="Q64" i="1"/>
  <c r="P64" i="1"/>
  <c r="O64" i="1"/>
  <c r="M64" i="1"/>
  <c r="K64" i="1"/>
  <c r="J64" i="1"/>
  <c r="I64" i="1"/>
  <c r="H64" i="1"/>
  <c r="F64" i="1"/>
  <c r="Z63" i="1"/>
  <c r="U63" i="1"/>
  <c r="T63" i="1"/>
  <c r="S63" i="1"/>
  <c r="R63" i="1"/>
  <c r="B63" i="1" s="1"/>
  <c r="Q63" i="1"/>
  <c r="O63" i="1"/>
  <c r="M63" i="1"/>
  <c r="L63" i="1"/>
  <c r="K63" i="1"/>
  <c r="J63" i="1"/>
  <c r="I63" i="1"/>
  <c r="H63" i="1"/>
  <c r="F63" i="1"/>
  <c r="Z62" i="1"/>
  <c r="U62" i="1"/>
  <c r="T62" i="1"/>
  <c r="S62" i="1"/>
  <c r="R62" i="1"/>
  <c r="Q62" i="1"/>
  <c r="O62" i="1"/>
  <c r="P62" i="1" s="1"/>
  <c r="M62" i="1"/>
  <c r="V62" i="1" s="1"/>
  <c r="W62" i="1" s="1"/>
  <c r="X62" i="1" s="1"/>
  <c r="L62" i="1"/>
  <c r="K62" i="1"/>
  <c r="J62" i="1"/>
  <c r="I62" i="1"/>
  <c r="H62" i="1"/>
  <c r="F62" i="1"/>
  <c r="Z61" i="1"/>
  <c r="U61" i="1"/>
  <c r="T61" i="1"/>
  <c r="S61" i="1"/>
  <c r="R61" i="1"/>
  <c r="Q61" i="1"/>
  <c r="V61" i="1" s="1"/>
  <c r="O61" i="1"/>
  <c r="P61" i="1" s="1"/>
  <c r="M61" i="1"/>
  <c r="L61" i="1"/>
  <c r="K61" i="1"/>
  <c r="J61" i="1"/>
  <c r="I61" i="1"/>
  <c r="H61" i="1"/>
  <c r="F61" i="1"/>
  <c r="Z60" i="1"/>
  <c r="U60" i="1"/>
  <c r="T60" i="1"/>
  <c r="S60" i="1"/>
  <c r="R60" i="1"/>
  <c r="Q60" i="1"/>
  <c r="O60" i="1"/>
  <c r="M60" i="1"/>
  <c r="P60" i="1" s="1"/>
  <c r="L60" i="1"/>
  <c r="K60" i="1"/>
  <c r="J60" i="1"/>
  <c r="I60" i="1"/>
  <c r="H60" i="1"/>
  <c r="F60" i="1"/>
  <c r="B60" i="1"/>
  <c r="Z59" i="1"/>
  <c r="U59" i="1"/>
  <c r="T59" i="1"/>
  <c r="S59" i="1"/>
  <c r="R59" i="1"/>
  <c r="V59" i="1" s="1"/>
  <c r="Q59" i="1"/>
  <c r="P59" i="1"/>
  <c r="O59" i="1"/>
  <c r="M59" i="1"/>
  <c r="L59" i="1"/>
  <c r="K59" i="1"/>
  <c r="J59" i="1"/>
  <c r="I59" i="1"/>
  <c r="H59" i="1"/>
  <c r="F59" i="1"/>
  <c r="Z58" i="1"/>
  <c r="U58" i="1"/>
  <c r="T58" i="1"/>
  <c r="S58" i="1"/>
  <c r="B58" i="1" s="1"/>
  <c r="R58" i="1"/>
  <c r="Q58" i="1"/>
  <c r="O58" i="1"/>
  <c r="P58" i="1" s="1"/>
  <c r="M58" i="1"/>
  <c r="L58" i="1" s="1"/>
  <c r="K58" i="1"/>
  <c r="J58" i="1"/>
  <c r="I58" i="1"/>
  <c r="H58" i="1"/>
  <c r="F58" i="1"/>
  <c r="Z57" i="1"/>
  <c r="U57" i="1"/>
  <c r="T57" i="1"/>
  <c r="S57" i="1"/>
  <c r="R57" i="1"/>
  <c r="Q57" i="1"/>
  <c r="P57" i="1"/>
  <c r="O57" i="1"/>
  <c r="M57" i="1"/>
  <c r="L57" i="1"/>
  <c r="K57" i="1"/>
  <c r="J57" i="1"/>
  <c r="I57" i="1"/>
  <c r="H57" i="1"/>
  <c r="F57" i="1"/>
  <c r="Z56" i="1"/>
  <c r="U56" i="1"/>
  <c r="T56" i="1"/>
  <c r="S56" i="1"/>
  <c r="R56" i="1"/>
  <c r="Q56" i="1"/>
  <c r="B56" i="1" s="1"/>
  <c r="O56" i="1"/>
  <c r="M56" i="1"/>
  <c r="K56" i="1"/>
  <c r="J56" i="1"/>
  <c r="I56" i="1"/>
  <c r="H56" i="1"/>
  <c r="F56" i="1"/>
  <c r="Z55" i="1"/>
  <c r="U55" i="1"/>
  <c r="T55" i="1"/>
  <c r="S55" i="1"/>
  <c r="R55" i="1"/>
  <c r="B55" i="1" s="1"/>
  <c r="Q55" i="1"/>
  <c r="O55" i="1"/>
  <c r="M55" i="1"/>
  <c r="P55" i="1" s="1"/>
  <c r="K55" i="1"/>
  <c r="J55" i="1"/>
  <c r="I55" i="1"/>
  <c r="H55" i="1"/>
  <c r="F55" i="1"/>
  <c r="Z54" i="1"/>
  <c r="U54" i="1"/>
  <c r="T54" i="1"/>
  <c r="S54" i="1"/>
  <c r="R54" i="1"/>
  <c r="Q54" i="1"/>
  <c r="O54" i="1"/>
  <c r="P54" i="1" s="1"/>
  <c r="M54" i="1"/>
  <c r="L54" i="1"/>
  <c r="K54" i="1"/>
  <c r="J54" i="1"/>
  <c r="I54" i="1"/>
  <c r="H54" i="1"/>
  <c r="F54" i="1"/>
  <c r="Z53" i="1"/>
  <c r="V53" i="1"/>
  <c r="Y53" i="1" s="1"/>
  <c r="U53" i="1"/>
  <c r="T53" i="1"/>
  <c r="S53" i="1"/>
  <c r="R53" i="1"/>
  <c r="Q53" i="1"/>
  <c r="O53" i="1"/>
  <c r="P53" i="1" s="1"/>
  <c r="N53" i="1"/>
  <c r="M53" i="1"/>
  <c r="L53" i="1"/>
  <c r="K53" i="1"/>
  <c r="J53" i="1"/>
  <c r="I53" i="1"/>
  <c r="H53" i="1"/>
  <c r="F53" i="1"/>
  <c r="B53" i="1"/>
  <c r="Z52" i="1"/>
  <c r="U52" i="1"/>
  <c r="T52" i="1"/>
  <c r="S52" i="1"/>
  <c r="R52" i="1"/>
  <c r="Q52" i="1"/>
  <c r="B52" i="1" s="1"/>
  <c r="O52" i="1"/>
  <c r="M52" i="1"/>
  <c r="P52" i="1" s="1"/>
  <c r="L52" i="1"/>
  <c r="K52" i="1"/>
  <c r="J52" i="1"/>
  <c r="I52" i="1"/>
  <c r="H52" i="1"/>
  <c r="F52" i="1"/>
  <c r="Z51" i="1"/>
  <c r="U51" i="1"/>
  <c r="T51" i="1"/>
  <c r="S51" i="1"/>
  <c r="R51" i="1"/>
  <c r="Q51" i="1"/>
  <c r="V51" i="1" s="1"/>
  <c r="P51" i="1"/>
  <c r="O51" i="1"/>
  <c r="M51" i="1"/>
  <c r="L51" i="1"/>
  <c r="K51" i="1"/>
  <c r="J51" i="1"/>
  <c r="I51" i="1"/>
  <c r="H51" i="1"/>
  <c r="F51" i="1"/>
  <c r="Z50" i="1"/>
  <c r="U50" i="1"/>
  <c r="T50" i="1"/>
  <c r="S50" i="1"/>
  <c r="R50" i="1"/>
  <c r="Q50" i="1"/>
  <c r="O50" i="1"/>
  <c r="P50" i="1" s="1"/>
  <c r="M50" i="1"/>
  <c r="L50" i="1" s="1"/>
  <c r="K50" i="1"/>
  <c r="J50" i="1"/>
  <c r="I50" i="1"/>
  <c r="H50" i="1"/>
  <c r="F50" i="1"/>
  <c r="B50" i="1"/>
  <c r="Z49" i="1"/>
  <c r="U49" i="1"/>
  <c r="T49" i="1"/>
  <c r="S49" i="1"/>
  <c r="R49" i="1"/>
  <c r="Q49" i="1"/>
  <c r="P49" i="1"/>
  <c r="O49" i="1"/>
  <c r="M49" i="1"/>
  <c r="L49" i="1"/>
  <c r="K49" i="1"/>
  <c r="J49" i="1"/>
  <c r="I49" i="1"/>
  <c r="H49" i="1"/>
  <c r="F49" i="1"/>
  <c r="Z48" i="1"/>
  <c r="U48" i="1"/>
  <c r="T48" i="1"/>
  <c r="S48" i="1"/>
  <c r="R48" i="1"/>
  <c r="Q48" i="1"/>
  <c r="O48" i="1"/>
  <c r="P48" i="1" s="1"/>
  <c r="M48" i="1"/>
  <c r="K48" i="1"/>
  <c r="J48" i="1"/>
  <c r="I48" i="1"/>
  <c r="H48" i="1"/>
  <c r="F48" i="1"/>
  <c r="Z47" i="1"/>
  <c r="U47" i="1"/>
  <c r="T47" i="1"/>
  <c r="S47" i="1"/>
  <c r="R47" i="1"/>
  <c r="Q47" i="1"/>
  <c r="O47" i="1"/>
  <c r="M47" i="1"/>
  <c r="L47" i="1"/>
  <c r="K47" i="1"/>
  <c r="J47" i="1"/>
  <c r="I47" i="1"/>
  <c r="H47" i="1"/>
  <c r="F47" i="1"/>
  <c r="B47" i="1"/>
  <c r="Z46" i="1"/>
  <c r="U46" i="1"/>
  <c r="T46" i="1"/>
  <c r="S46" i="1"/>
  <c r="R46" i="1"/>
  <c r="Q46" i="1"/>
  <c r="B46" i="1" s="1"/>
  <c r="O46" i="1"/>
  <c r="P46" i="1" s="1"/>
  <c r="M46" i="1"/>
  <c r="L46" i="1"/>
  <c r="K46" i="1"/>
  <c r="J46" i="1"/>
  <c r="I46" i="1"/>
  <c r="H46" i="1"/>
  <c r="F46" i="1"/>
  <c r="Z45" i="1"/>
  <c r="V45" i="1"/>
  <c r="Y45" i="1" s="1"/>
  <c r="U45" i="1"/>
  <c r="T45" i="1"/>
  <c r="S45" i="1"/>
  <c r="R45" i="1"/>
  <c r="Q45" i="1"/>
  <c r="O45" i="1"/>
  <c r="P45" i="1" s="1"/>
  <c r="N45" i="1"/>
  <c r="M45" i="1"/>
  <c r="L45" i="1"/>
  <c r="K45" i="1"/>
  <c r="J45" i="1"/>
  <c r="I45" i="1"/>
  <c r="H45" i="1"/>
  <c r="F45" i="1"/>
  <c r="B45" i="1"/>
  <c r="Z44" i="1"/>
  <c r="U44" i="1"/>
  <c r="T44" i="1"/>
  <c r="S44" i="1"/>
  <c r="R44" i="1"/>
  <c r="Q44" i="1"/>
  <c r="B44" i="1" s="1"/>
  <c r="O44" i="1"/>
  <c r="M44" i="1"/>
  <c r="P44" i="1" s="1"/>
  <c r="K44" i="1"/>
  <c r="J44" i="1"/>
  <c r="I44" i="1"/>
  <c r="H44" i="1"/>
  <c r="F44" i="1"/>
  <c r="Z43" i="1"/>
  <c r="U43" i="1"/>
  <c r="T43" i="1"/>
  <c r="S43" i="1"/>
  <c r="R43" i="1"/>
  <c r="Q43" i="1"/>
  <c r="V43" i="1" s="1"/>
  <c r="P43" i="1"/>
  <c r="O43" i="1"/>
  <c r="M43" i="1"/>
  <c r="L43" i="1"/>
  <c r="K43" i="1"/>
  <c r="J43" i="1"/>
  <c r="I43" i="1"/>
  <c r="H43" i="1"/>
  <c r="F43" i="1"/>
  <c r="Z42" i="1"/>
  <c r="U42" i="1"/>
  <c r="T42" i="1"/>
  <c r="S42" i="1"/>
  <c r="B42" i="1" s="1"/>
  <c r="R42" i="1"/>
  <c r="Q42" i="1"/>
  <c r="O42" i="1"/>
  <c r="M42" i="1"/>
  <c r="L42" i="1" s="1"/>
  <c r="K42" i="1"/>
  <c r="J42" i="1"/>
  <c r="I42" i="1"/>
  <c r="H42" i="1"/>
  <c r="F42" i="1"/>
  <c r="Z41" i="1"/>
  <c r="U41" i="1"/>
  <c r="T41" i="1"/>
  <c r="S41" i="1"/>
  <c r="R41" i="1"/>
  <c r="Q41" i="1"/>
  <c r="B41" i="1" s="1"/>
  <c r="O41" i="1"/>
  <c r="M41" i="1"/>
  <c r="K41" i="1"/>
  <c r="J41" i="1"/>
  <c r="I41" i="1"/>
  <c r="H41" i="1"/>
  <c r="F41" i="1"/>
  <c r="Z40" i="1"/>
  <c r="U40" i="1"/>
  <c r="T40" i="1"/>
  <c r="S40" i="1"/>
  <c r="R40" i="1"/>
  <c r="Q40" i="1"/>
  <c r="P40" i="1"/>
  <c r="O40" i="1"/>
  <c r="M40" i="1"/>
  <c r="K40" i="1"/>
  <c r="J40" i="1"/>
  <c r="I40" i="1"/>
  <c r="H40" i="1"/>
  <c r="F40" i="1"/>
  <c r="Z39" i="1"/>
  <c r="U39" i="1"/>
  <c r="T39" i="1"/>
  <c r="B39" i="1" s="1"/>
  <c r="S39" i="1"/>
  <c r="R39" i="1"/>
  <c r="Q39" i="1"/>
  <c r="O39" i="1"/>
  <c r="M39" i="1"/>
  <c r="L39" i="1"/>
  <c r="K39" i="1"/>
  <c r="J39" i="1"/>
  <c r="I39" i="1"/>
  <c r="H39" i="1"/>
  <c r="F39" i="1"/>
  <c r="Z38" i="1"/>
  <c r="U38" i="1"/>
  <c r="T38" i="1"/>
  <c r="S38" i="1"/>
  <c r="R38" i="1"/>
  <c r="Q38" i="1"/>
  <c r="O38" i="1"/>
  <c r="P38" i="1" s="1"/>
  <c r="M38" i="1"/>
  <c r="L38" i="1"/>
  <c r="K38" i="1"/>
  <c r="J38" i="1"/>
  <c r="I38" i="1"/>
  <c r="H38" i="1"/>
  <c r="F38" i="1"/>
  <c r="Z37" i="1"/>
  <c r="U37" i="1"/>
  <c r="T37" i="1"/>
  <c r="S37" i="1"/>
  <c r="R37" i="1"/>
  <c r="Q37" i="1"/>
  <c r="B37" i="1" s="1"/>
  <c r="O37" i="1"/>
  <c r="P37" i="1" s="1"/>
  <c r="M37" i="1"/>
  <c r="L37" i="1"/>
  <c r="K37" i="1"/>
  <c r="J37" i="1"/>
  <c r="I37" i="1"/>
  <c r="H37" i="1"/>
  <c r="F37" i="1"/>
  <c r="Z36" i="1"/>
  <c r="U36" i="1"/>
  <c r="T36" i="1"/>
  <c r="S36" i="1"/>
  <c r="R36" i="1"/>
  <c r="Q36" i="1"/>
  <c r="O36" i="1"/>
  <c r="M36" i="1"/>
  <c r="P36" i="1" s="1"/>
  <c r="L36" i="1"/>
  <c r="K36" i="1"/>
  <c r="J36" i="1"/>
  <c r="I36" i="1"/>
  <c r="H36" i="1"/>
  <c r="F36" i="1"/>
  <c r="B36" i="1"/>
  <c r="Z35" i="1"/>
  <c r="U35" i="1"/>
  <c r="T35" i="1"/>
  <c r="S35" i="1"/>
  <c r="R35" i="1"/>
  <c r="V35" i="1" s="1"/>
  <c r="Q35" i="1"/>
  <c r="P35" i="1"/>
  <c r="O35" i="1"/>
  <c r="M35" i="1"/>
  <c r="L35" i="1"/>
  <c r="K35" i="1"/>
  <c r="J35" i="1"/>
  <c r="I35" i="1"/>
  <c r="H35" i="1"/>
  <c r="F35" i="1"/>
  <c r="Z34" i="1"/>
  <c r="V34" i="1"/>
  <c r="Y34" i="1" s="1"/>
  <c r="U34" i="1"/>
  <c r="T34" i="1"/>
  <c r="S34" i="1"/>
  <c r="B34" i="1" s="1"/>
  <c r="R34" i="1"/>
  <c r="Q34" i="1"/>
  <c r="O34" i="1"/>
  <c r="N34" i="1"/>
  <c r="M34" i="1"/>
  <c r="L34" i="1" s="1"/>
  <c r="K34" i="1"/>
  <c r="J34" i="1"/>
  <c r="I34" i="1"/>
  <c r="H34" i="1"/>
  <c r="F34" i="1"/>
  <c r="Z33" i="1"/>
  <c r="U33" i="1"/>
  <c r="T33" i="1"/>
  <c r="S33" i="1"/>
  <c r="R33" i="1"/>
  <c r="Q33" i="1"/>
  <c r="P33" i="1"/>
  <c r="O33" i="1"/>
  <c r="M33" i="1"/>
  <c r="L33" i="1"/>
  <c r="K33" i="1"/>
  <c r="J33" i="1"/>
  <c r="I33" i="1"/>
  <c r="H33" i="1"/>
  <c r="F33" i="1"/>
  <c r="Z32" i="1"/>
  <c r="U32" i="1"/>
  <c r="T32" i="1"/>
  <c r="S32" i="1"/>
  <c r="R32" i="1"/>
  <c r="Q32" i="1"/>
  <c r="B32" i="1" s="1"/>
  <c r="O32" i="1"/>
  <c r="M32" i="1"/>
  <c r="K32" i="1"/>
  <c r="J32" i="1"/>
  <c r="I32" i="1"/>
  <c r="H32" i="1"/>
  <c r="F32" i="1"/>
  <c r="Z31" i="1"/>
  <c r="U31" i="1"/>
  <c r="T31" i="1"/>
  <c r="S31" i="1"/>
  <c r="R31" i="1"/>
  <c r="B31" i="1" s="1"/>
  <c r="Q31" i="1"/>
  <c r="O31" i="1"/>
  <c r="M31" i="1"/>
  <c r="P31" i="1" s="1"/>
  <c r="L31" i="1"/>
  <c r="K31" i="1"/>
  <c r="J31" i="1"/>
  <c r="I31" i="1"/>
  <c r="H31" i="1"/>
  <c r="F31" i="1"/>
  <c r="Z30" i="1"/>
  <c r="U30" i="1"/>
  <c r="T30" i="1"/>
  <c r="S30" i="1"/>
  <c r="R30" i="1"/>
  <c r="Q30" i="1"/>
  <c r="O30" i="1"/>
  <c r="P30" i="1" s="1"/>
  <c r="M30" i="1"/>
  <c r="L30" i="1"/>
  <c r="K30" i="1"/>
  <c r="J30" i="1"/>
  <c r="I30" i="1"/>
  <c r="H30" i="1"/>
  <c r="F30" i="1"/>
  <c r="Z29" i="1"/>
  <c r="U29" i="1"/>
  <c r="T29" i="1"/>
  <c r="S29" i="1"/>
  <c r="R29" i="1"/>
  <c r="Q29" i="1"/>
  <c r="V29" i="1" s="1"/>
  <c r="P29" i="1"/>
  <c r="O29" i="1"/>
  <c r="M29" i="1"/>
  <c r="L29" i="1"/>
  <c r="K29" i="1"/>
  <c r="J29" i="1"/>
  <c r="I29" i="1"/>
  <c r="H29" i="1"/>
  <c r="F29" i="1"/>
  <c r="Z28" i="1"/>
  <c r="U28" i="1"/>
  <c r="T28" i="1"/>
  <c r="S28" i="1"/>
  <c r="R28" i="1"/>
  <c r="Q28" i="1"/>
  <c r="B28" i="1" s="1"/>
  <c r="O28" i="1"/>
  <c r="M28" i="1"/>
  <c r="P28" i="1" s="1"/>
  <c r="L28" i="1"/>
  <c r="K28" i="1"/>
  <c r="J28" i="1"/>
  <c r="I28" i="1"/>
  <c r="H28" i="1"/>
  <c r="F28" i="1"/>
  <c r="Z27" i="1"/>
  <c r="U27" i="1"/>
  <c r="T27" i="1"/>
  <c r="S27" i="1"/>
  <c r="V27" i="1" s="1"/>
  <c r="R27" i="1"/>
  <c r="Q27" i="1"/>
  <c r="P27" i="1"/>
  <c r="O27" i="1"/>
  <c r="M27" i="1"/>
  <c r="L27" i="1"/>
  <c r="K27" i="1"/>
  <c r="J27" i="1"/>
  <c r="I27" i="1"/>
  <c r="H27" i="1"/>
  <c r="F27" i="1"/>
  <c r="Z26" i="1"/>
  <c r="U26" i="1"/>
  <c r="T26" i="1"/>
  <c r="S26" i="1"/>
  <c r="R26" i="1"/>
  <c r="Q26" i="1"/>
  <c r="O26" i="1"/>
  <c r="P26" i="1" s="1"/>
  <c r="M26" i="1"/>
  <c r="L26" i="1" s="1"/>
  <c r="K26" i="1"/>
  <c r="J26" i="1"/>
  <c r="I26" i="1"/>
  <c r="H26" i="1"/>
  <c r="F26" i="1"/>
  <c r="B26" i="1"/>
  <c r="Z25" i="1"/>
  <c r="U25" i="1"/>
  <c r="T25" i="1"/>
  <c r="S25" i="1"/>
  <c r="R25" i="1"/>
  <c r="Q25" i="1"/>
  <c r="P25" i="1"/>
  <c r="O25" i="1"/>
  <c r="M25" i="1"/>
  <c r="L25" i="1"/>
  <c r="K25" i="1"/>
  <c r="J25" i="1"/>
  <c r="I25" i="1"/>
  <c r="H25" i="1"/>
  <c r="F25" i="1"/>
  <c r="Z24" i="1"/>
  <c r="U24" i="1"/>
  <c r="T24" i="1"/>
  <c r="S24" i="1"/>
  <c r="R24" i="1"/>
  <c r="Q24" i="1"/>
  <c r="O24" i="1"/>
  <c r="M24" i="1"/>
  <c r="K24" i="1"/>
  <c r="J24" i="1"/>
  <c r="I24" i="1"/>
  <c r="H24" i="1"/>
  <c r="F24" i="1"/>
  <c r="Z23" i="1"/>
  <c r="U23" i="1"/>
  <c r="T23" i="1"/>
  <c r="S23" i="1"/>
  <c r="R23" i="1"/>
  <c r="B23" i="1" s="1"/>
  <c r="Q23" i="1"/>
  <c r="O23" i="1"/>
  <c r="M23" i="1"/>
  <c r="P23" i="1" s="1"/>
  <c r="L23" i="1"/>
  <c r="K23" i="1"/>
  <c r="J23" i="1"/>
  <c r="I23" i="1"/>
  <c r="H23" i="1"/>
  <c r="F23" i="1"/>
  <c r="Z22" i="1"/>
  <c r="U22" i="1"/>
  <c r="T22" i="1"/>
  <c r="S22" i="1"/>
  <c r="R22" i="1"/>
  <c r="Q22" i="1"/>
  <c r="O22" i="1"/>
  <c r="P22" i="1" s="1"/>
  <c r="M22" i="1"/>
  <c r="L22" i="1"/>
  <c r="K22" i="1"/>
  <c r="J22" i="1"/>
  <c r="I22" i="1"/>
  <c r="H22" i="1"/>
  <c r="F22" i="1"/>
  <c r="Z21" i="1"/>
  <c r="V21" i="1"/>
  <c r="Y21" i="1" s="1"/>
  <c r="U21" i="1"/>
  <c r="T21" i="1"/>
  <c r="S21" i="1"/>
  <c r="R21" i="1"/>
  <c r="Q21" i="1"/>
  <c r="O21" i="1"/>
  <c r="P21" i="1" s="1"/>
  <c r="N21" i="1"/>
  <c r="M21" i="1"/>
  <c r="L21" i="1"/>
  <c r="K21" i="1"/>
  <c r="J21" i="1"/>
  <c r="I21" i="1"/>
  <c r="H21" i="1"/>
  <c r="F21" i="1"/>
  <c r="B21" i="1"/>
  <c r="Z20" i="1"/>
  <c r="U20" i="1"/>
  <c r="T20" i="1"/>
  <c r="S20" i="1"/>
  <c r="R20" i="1"/>
  <c r="Q20" i="1"/>
  <c r="B20" i="1" s="1"/>
  <c r="O20" i="1"/>
  <c r="M20" i="1"/>
  <c r="P20" i="1" s="1"/>
  <c r="L20" i="1"/>
  <c r="K20" i="1"/>
  <c r="J20" i="1"/>
  <c r="I20" i="1"/>
  <c r="H20" i="1"/>
  <c r="F20" i="1"/>
  <c r="Z19" i="1"/>
  <c r="U19" i="1"/>
  <c r="T19" i="1"/>
  <c r="S19" i="1"/>
  <c r="R19" i="1"/>
  <c r="Q19" i="1"/>
  <c r="V19" i="1" s="1"/>
  <c r="P19" i="1"/>
  <c r="O19" i="1"/>
  <c r="M19" i="1"/>
  <c r="L19" i="1"/>
  <c r="K19" i="1"/>
  <c r="J19" i="1"/>
  <c r="I19" i="1"/>
  <c r="H19" i="1"/>
  <c r="F19" i="1"/>
  <c r="Z18" i="1"/>
  <c r="U18" i="1"/>
  <c r="T18" i="1"/>
  <c r="S18" i="1"/>
  <c r="B18" i="1" s="1"/>
  <c r="R18" i="1"/>
  <c r="Q18" i="1"/>
  <c r="P18" i="1"/>
  <c r="O18" i="1"/>
  <c r="M18" i="1"/>
  <c r="L18" i="1" s="1"/>
  <c r="K18" i="1"/>
  <c r="J18" i="1"/>
  <c r="I18" i="1"/>
  <c r="H18" i="1"/>
  <c r="F18" i="1"/>
  <c r="Z17" i="1"/>
  <c r="U17" i="1"/>
  <c r="T17" i="1"/>
  <c r="S17" i="1"/>
  <c r="R17" i="1"/>
  <c r="Q17" i="1"/>
  <c r="B17" i="1" s="1"/>
  <c r="O17" i="1"/>
  <c r="M17" i="1"/>
  <c r="L17" i="1"/>
  <c r="K17" i="1"/>
  <c r="J17" i="1"/>
  <c r="I17" i="1"/>
  <c r="H17" i="1"/>
  <c r="F17" i="1"/>
  <c r="Z16" i="1"/>
  <c r="U16" i="1"/>
  <c r="T16" i="1"/>
  <c r="S16" i="1"/>
  <c r="R16" i="1"/>
  <c r="Q16" i="1"/>
  <c r="B16" i="1" s="1"/>
  <c r="O16" i="1"/>
  <c r="M16" i="1"/>
  <c r="K16" i="1"/>
  <c r="J16" i="1"/>
  <c r="I16" i="1"/>
  <c r="H16" i="1"/>
  <c r="F16" i="1"/>
  <c r="Z15" i="1"/>
  <c r="U15" i="1"/>
  <c r="T15" i="1"/>
  <c r="S15" i="1"/>
  <c r="R15" i="1"/>
  <c r="Q15" i="1"/>
  <c r="O15" i="1"/>
  <c r="M15" i="1"/>
  <c r="P15" i="1" s="1"/>
  <c r="K15" i="1"/>
  <c r="J15" i="1"/>
  <c r="I15" i="1"/>
  <c r="H15" i="1"/>
  <c r="F15" i="1"/>
  <c r="B15" i="1"/>
  <c r="Z14" i="1"/>
  <c r="U14" i="1"/>
  <c r="T14" i="1"/>
  <c r="S14" i="1"/>
  <c r="R14" i="1"/>
  <c r="Q14" i="1"/>
  <c r="B14" i="1" s="1"/>
  <c r="O14" i="1"/>
  <c r="P14" i="1" s="1"/>
  <c r="M14" i="1"/>
  <c r="L14" i="1"/>
  <c r="K14" i="1"/>
  <c r="J14" i="1"/>
  <c r="I14" i="1"/>
  <c r="H14" i="1"/>
  <c r="F14" i="1"/>
  <c r="Z13" i="1"/>
  <c r="U13" i="1"/>
  <c r="T13" i="1"/>
  <c r="B13" i="1" s="1"/>
  <c r="S13" i="1"/>
  <c r="R13" i="1"/>
  <c r="Q13" i="1"/>
  <c r="O13" i="1"/>
  <c r="V13" i="1" s="1"/>
  <c r="M13" i="1"/>
  <c r="L13" i="1"/>
  <c r="K13" i="1"/>
  <c r="J13" i="1"/>
  <c r="I13" i="1"/>
  <c r="H13" i="1"/>
  <c r="F13" i="1"/>
  <c r="Z12" i="1"/>
  <c r="U12" i="1"/>
  <c r="B12" i="1" s="1"/>
  <c r="T12" i="1"/>
  <c r="S12" i="1"/>
  <c r="R12" i="1"/>
  <c r="Q12" i="1"/>
  <c r="O12" i="1"/>
  <c r="M12" i="1"/>
  <c r="P12" i="1" s="1"/>
  <c r="L12" i="1"/>
  <c r="K12" i="1"/>
  <c r="J12" i="1"/>
  <c r="I12" i="1"/>
  <c r="H12" i="1"/>
  <c r="F12" i="1"/>
  <c r="Z11" i="1"/>
  <c r="U11" i="1"/>
  <c r="T11" i="1"/>
  <c r="S11" i="1"/>
  <c r="R11" i="1"/>
  <c r="Q11" i="1"/>
  <c r="V11" i="1" s="1"/>
  <c r="P11" i="1"/>
  <c r="O11" i="1"/>
  <c r="M11" i="1"/>
  <c r="L11" i="1"/>
  <c r="K11" i="1"/>
  <c r="J11" i="1"/>
  <c r="I11" i="1"/>
  <c r="H11" i="1"/>
  <c r="F11" i="1"/>
  <c r="Z10" i="1"/>
  <c r="U10" i="1"/>
  <c r="B10" i="1" s="1"/>
  <c r="T10" i="1"/>
  <c r="S10" i="1"/>
  <c r="R10" i="1"/>
  <c r="Q10" i="1"/>
  <c r="O10" i="1"/>
  <c r="M10" i="1"/>
  <c r="L10" i="1" s="1"/>
  <c r="K10" i="1"/>
  <c r="J10" i="1"/>
  <c r="I10" i="1"/>
  <c r="H10" i="1"/>
  <c r="F10" i="1"/>
  <c r="Z9" i="1"/>
  <c r="U9" i="1"/>
  <c r="T9" i="1"/>
  <c r="S9" i="1"/>
  <c r="R9" i="1"/>
  <c r="Q9" i="1"/>
  <c r="O9" i="1"/>
  <c r="M9" i="1"/>
  <c r="L9" i="1"/>
  <c r="K9" i="1"/>
  <c r="J9" i="1"/>
  <c r="I9" i="1"/>
  <c r="H9" i="1"/>
  <c r="F9" i="1"/>
  <c r="Z8" i="1"/>
  <c r="U8" i="1"/>
  <c r="T8" i="1"/>
  <c r="S8" i="1"/>
  <c r="R8" i="1"/>
  <c r="Q8" i="1"/>
  <c r="B8" i="1" s="1"/>
  <c r="O8" i="1"/>
  <c r="P8" i="1" s="1"/>
  <c r="M8" i="1"/>
  <c r="K8" i="1"/>
  <c r="J8" i="1"/>
  <c r="I8" i="1"/>
  <c r="H8" i="1"/>
  <c r="F8" i="1"/>
  <c r="Z7" i="1"/>
  <c r="U7" i="1"/>
  <c r="T7" i="1"/>
  <c r="B7" i="1" s="1"/>
  <c r="S7" i="1"/>
  <c r="R7" i="1"/>
  <c r="Q7" i="1"/>
  <c r="O7" i="1"/>
  <c r="M7" i="1"/>
  <c r="L7" i="1"/>
  <c r="K7" i="1"/>
  <c r="J7" i="1"/>
  <c r="I7" i="1"/>
  <c r="H7" i="1"/>
  <c r="F7" i="1"/>
  <c r="L4" i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K4" i="1"/>
  <c r="I3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K3" i="1" s="1"/>
  <c r="U301" i="4" l="1"/>
  <c r="O301" i="4"/>
  <c r="L301" i="4"/>
  <c r="I54" i="4"/>
  <c r="C63" i="2"/>
  <c r="I60" i="4"/>
  <c r="C61" i="2"/>
  <c r="I11" i="4"/>
  <c r="I30" i="4"/>
  <c r="C27" i="2"/>
  <c r="I47" i="4"/>
  <c r="C42" i="2"/>
  <c r="I68" i="4"/>
  <c r="I118" i="4"/>
  <c r="C106" i="2"/>
  <c r="I132" i="4"/>
  <c r="I269" i="4"/>
  <c r="C262" i="2"/>
  <c r="O34" i="4"/>
  <c r="B90" i="4"/>
  <c r="B151" i="4"/>
  <c r="L176" i="4"/>
  <c r="O176" i="4"/>
  <c r="U215" i="4"/>
  <c r="X215" i="4" s="1"/>
  <c r="O215" i="4"/>
  <c r="L215" i="4"/>
  <c r="C75" i="2"/>
  <c r="C74" i="2"/>
  <c r="I168" i="4"/>
  <c r="I216" i="4"/>
  <c r="C167" i="2"/>
  <c r="I257" i="4"/>
  <c r="C218" i="2"/>
  <c r="I259" i="4"/>
  <c r="B32" i="4"/>
  <c r="O73" i="4"/>
  <c r="O273" i="4"/>
  <c r="L273" i="4"/>
  <c r="U298" i="4"/>
  <c r="V298" i="4" s="1"/>
  <c r="L298" i="4"/>
  <c r="I77" i="4"/>
  <c r="I184" i="4"/>
  <c r="I271" i="4"/>
  <c r="I28" i="4"/>
  <c r="I35" i="4"/>
  <c r="C37" i="2"/>
  <c r="I73" i="4"/>
  <c r="I135" i="4"/>
  <c r="I156" i="4"/>
  <c r="C114" i="2"/>
  <c r="I250" i="4"/>
  <c r="I239" i="4"/>
  <c r="C198" i="2"/>
  <c r="U149" i="4"/>
  <c r="C180" i="2"/>
  <c r="U31" i="4"/>
  <c r="X31" i="4" s="1"/>
  <c r="O31" i="4"/>
  <c r="B72" i="4"/>
  <c r="O101" i="4"/>
  <c r="L101" i="4"/>
  <c r="C94" i="2"/>
  <c r="C164" i="2"/>
  <c r="C250" i="2"/>
  <c r="B18" i="4"/>
  <c r="O45" i="4"/>
  <c r="L45" i="4"/>
  <c r="B103" i="4"/>
  <c r="I105" i="4"/>
  <c r="O129" i="4"/>
  <c r="O166" i="4"/>
  <c r="O212" i="4"/>
  <c r="L212" i="4"/>
  <c r="U155" i="4"/>
  <c r="O155" i="4"/>
  <c r="C102" i="2"/>
  <c r="I97" i="4"/>
  <c r="B37" i="4"/>
  <c r="O150" i="4"/>
  <c r="V224" i="4"/>
  <c r="X224" i="4"/>
  <c r="I57" i="4"/>
  <c r="C62" i="2"/>
  <c r="I114" i="4"/>
  <c r="I143" i="4"/>
  <c r="C128" i="2"/>
  <c r="I207" i="4"/>
  <c r="C18" i="2"/>
  <c r="C147" i="2"/>
  <c r="C201" i="2"/>
  <c r="C206" i="2"/>
  <c r="B104" i="4"/>
  <c r="U142" i="4"/>
  <c r="V142" i="4" s="1"/>
  <c r="W142" i="4" s="1"/>
  <c r="L142" i="4"/>
  <c r="O142" i="4"/>
  <c r="L163" i="4"/>
  <c r="O163" i="4"/>
  <c r="O187" i="4"/>
  <c r="B235" i="4"/>
  <c r="U261" i="4"/>
  <c r="O261" i="4"/>
  <c r="L261" i="4"/>
  <c r="U25" i="4"/>
  <c r="V25" i="4" s="1"/>
  <c r="L25" i="4"/>
  <c r="O25" i="4"/>
  <c r="I201" i="4"/>
  <c r="C220" i="2"/>
  <c r="I181" i="4"/>
  <c r="C247" i="2"/>
  <c r="I252" i="4"/>
  <c r="C188" i="2"/>
  <c r="I285" i="4"/>
  <c r="C204" i="2"/>
  <c r="I84" i="4"/>
  <c r="L79" i="4"/>
  <c r="O79" i="4"/>
  <c r="U124" i="4"/>
  <c r="X124" i="4" s="1"/>
  <c r="L124" i="4"/>
  <c r="I128" i="4"/>
  <c r="L173" i="4"/>
  <c r="O173" i="4"/>
  <c r="L192" i="4"/>
  <c r="O192" i="4"/>
  <c r="B218" i="4"/>
  <c r="O298" i="4"/>
  <c r="C210" i="2"/>
  <c r="C10" i="2"/>
  <c r="C14" i="2"/>
  <c r="C99" i="2"/>
  <c r="C199" i="2"/>
  <c r="I46" i="4"/>
  <c r="B46" i="4"/>
  <c r="U94" i="4"/>
  <c r="V94" i="4" s="1"/>
  <c r="L96" i="4"/>
  <c r="B154" i="4"/>
  <c r="L155" i="4"/>
  <c r="L160" i="4"/>
  <c r="O160" i="4"/>
  <c r="O182" i="4"/>
  <c r="L231" i="4"/>
  <c r="O231" i="4"/>
  <c r="O238" i="4"/>
  <c r="I39" i="4"/>
  <c r="I64" i="4"/>
  <c r="U24" i="4"/>
  <c r="V24" i="4" s="1"/>
  <c r="U91" i="4"/>
  <c r="V91" i="4" s="1"/>
  <c r="B158" i="4"/>
  <c r="B222" i="4"/>
  <c r="C185" i="2"/>
  <c r="C49" i="2"/>
  <c r="C47" i="2"/>
  <c r="I74" i="4"/>
  <c r="I83" i="4"/>
  <c r="I82" i="4"/>
  <c r="I86" i="4"/>
  <c r="I91" i="4"/>
  <c r="I155" i="4"/>
  <c r="I248" i="4"/>
  <c r="I225" i="4"/>
  <c r="I246" i="4"/>
  <c r="I212" i="4"/>
  <c r="I266" i="4"/>
  <c r="I187" i="4"/>
  <c r="B26" i="4"/>
  <c r="O33" i="4"/>
  <c r="U62" i="4"/>
  <c r="V62" i="4" s="1"/>
  <c r="B96" i="4"/>
  <c r="O118" i="4"/>
  <c r="U138" i="4"/>
  <c r="X138" i="4" s="1"/>
  <c r="O139" i="4"/>
  <c r="B140" i="4"/>
  <c r="B145" i="4"/>
  <c r="U179" i="4"/>
  <c r="V179" i="4" s="1"/>
  <c r="O179" i="4"/>
  <c r="I183" i="4"/>
  <c r="O196" i="4"/>
  <c r="U248" i="4"/>
  <c r="X248" i="4" s="1"/>
  <c r="U294" i="4"/>
  <c r="V294" i="4" s="1"/>
  <c r="O294" i="4"/>
  <c r="I185" i="4"/>
  <c r="U85" i="4"/>
  <c r="X85" i="4" s="1"/>
  <c r="B185" i="4"/>
  <c r="B207" i="4"/>
  <c r="O219" i="4"/>
  <c r="O275" i="4"/>
  <c r="U297" i="4"/>
  <c r="V297" i="4" s="1"/>
  <c r="O297" i="4"/>
  <c r="C29" i="2"/>
  <c r="X123" i="4"/>
  <c r="C146" i="2"/>
  <c r="I33" i="4"/>
  <c r="I48" i="4"/>
  <c r="I65" i="4"/>
  <c r="I70" i="4"/>
  <c r="I87" i="4"/>
  <c r="I93" i="4"/>
  <c r="I111" i="4"/>
  <c r="I103" i="4"/>
  <c r="I104" i="4"/>
  <c r="I117" i="4"/>
  <c r="I162" i="4"/>
  <c r="I142" i="4"/>
  <c r="I178" i="4"/>
  <c r="I190" i="4"/>
  <c r="I134" i="4"/>
  <c r="I229" i="4"/>
  <c r="I249" i="4"/>
  <c r="I219" i="4"/>
  <c r="I195" i="4"/>
  <c r="I256" i="4"/>
  <c r="I245" i="4"/>
  <c r="B14" i="4"/>
  <c r="U16" i="4"/>
  <c r="X16" i="4" s="1"/>
  <c r="B17" i="4"/>
  <c r="O24" i="4"/>
  <c r="U29" i="4"/>
  <c r="X29" i="4" s="1"/>
  <c r="B56" i="4"/>
  <c r="U69" i="4"/>
  <c r="V69" i="4" s="1"/>
  <c r="O69" i="4"/>
  <c r="B88" i="4"/>
  <c r="I89" i="4"/>
  <c r="O91" i="4"/>
  <c r="O107" i="4"/>
  <c r="L107" i="4"/>
  <c r="B121" i="4"/>
  <c r="B123" i="4"/>
  <c r="U148" i="4"/>
  <c r="U167" i="4"/>
  <c r="U193" i="4"/>
  <c r="I197" i="4"/>
  <c r="U225" i="4"/>
  <c r="O289" i="4"/>
  <c r="U305" i="4"/>
  <c r="V305" i="4" s="1"/>
  <c r="O305" i="4"/>
  <c r="I241" i="4"/>
  <c r="I213" i="4"/>
  <c r="C245" i="2"/>
  <c r="O70" i="4"/>
  <c r="U83" i="4"/>
  <c r="V83" i="4" s="1"/>
  <c r="B87" i="4"/>
  <c r="U98" i="4"/>
  <c r="X98" i="4" s="1"/>
  <c r="C55" i="2"/>
  <c r="C159" i="2"/>
  <c r="I53" i="4"/>
  <c r="I76" i="4"/>
  <c r="I112" i="4"/>
  <c r="I145" i="4"/>
  <c r="I151" i="4"/>
  <c r="I159" i="4"/>
  <c r="I211" i="4"/>
  <c r="I206" i="4"/>
  <c r="I251" i="4"/>
  <c r="I163" i="4"/>
  <c r="I192" i="4"/>
  <c r="I235" i="4"/>
  <c r="I281" i="4"/>
  <c r="I234" i="4"/>
  <c r="I282" i="4"/>
  <c r="B39" i="4"/>
  <c r="B47" i="4"/>
  <c r="B50" i="4"/>
  <c r="O52" i="4"/>
  <c r="O57" i="4"/>
  <c r="U59" i="4"/>
  <c r="X59" i="4" s="1"/>
  <c r="B60" i="4"/>
  <c r="B65" i="4"/>
  <c r="O76" i="4"/>
  <c r="B79" i="4"/>
  <c r="O82" i="4"/>
  <c r="B83" i="4"/>
  <c r="B86" i="4"/>
  <c r="L87" i="4"/>
  <c r="O87" i="4"/>
  <c r="B106" i="4"/>
  <c r="O110" i="4"/>
  <c r="B113" i="4"/>
  <c r="B115" i="4"/>
  <c r="I116" i="4"/>
  <c r="O117" i="4"/>
  <c r="O120" i="4"/>
  <c r="B129" i="4"/>
  <c r="O133" i="4"/>
  <c r="B146" i="4"/>
  <c r="B170" i="4"/>
  <c r="U188" i="4"/>
  <c r="L190" i="4"/>
  <c r="B192" i="4"/>
  <c r="U198" i="4"/>
  <c r="L227" i="4"/>
  <c r="O230" i="4"/>
  <c r="U244" i="4"/>
  <c r="B245" i="4"/>
  <c r="U259" i="4"/>
  <c r="L259" i="4"/>
  <c r="U267" i="4"/>
  <c r="O267" i="4"/>
  <c r="B268" i="4"/>
  <c r="B300" i="4"/>
  <c r="B302" i="4"/>
  <c r="I24" i="4"/>
  <c r="C81" i="2"/>
  <c r="I122" i="4"/>
  <c r="I232" i="4"/>
  <c r="I273" i="4"/>
  <c r="I224" i="4"/>
  <c r="O86" i="4"/>
  <c r="U123" i="4"/>
  <c r="V123" i="4" s="1"/>
  <c r="O126" i="4"/>
  <c r="U157" i="4"/>
  <c r="L157" i="4"/>
  <c r="B256" i="4"/>
  <c r="C9" i="2"/>
  <c r="C234" i="2"/>
  <c r="C256" i="2"/>
  <c r="I66" i="4"/>
  <c r="I58" i="4"/>
  <c r="I101" i="4"/>
  <c r="I121" i="4"/>
  <c r="I138" i="4"/>
  <c r="I171" i="4"/>
  <c r="I203" i="4"/>
  <c r="I237" i="4"/>
  <c r="I186" i="4"/>
  <c r="I210" i="4"/>
  <c r="I261" i="4"/>
  <c r="I221" i="4"/>
  <c r="I253" i="4"/>
  <c r="I217" i="4"/>
  <c r="I284" i="4"/>
  <c r="B8" i="4"/>
  <c r="O16" i="4"/>
  <c r="O21" i="4"/>
  <c r="U42" i="4"/>
  <c r="V42" i="4" s="1"/>
  <c r="U48" i="4"/>
  <c r="V48" i="4" s="1"/>
  <c r="B54" i="4"/>
  <c r="I67" i="4"/>
  <c r="O99" i="4"/>
  <c r="L99" i="4"/>
  <c r="O104" i="4"/>
  <c r="B107" i="4"/>
  <c r="O109" i="4"/>
  <c r="B110" i="4"/>
  <c r="O114" i="4"/>
  <c r="B119" i="4"/>
  <c r="U130" i="4"/>
  <c r="X130" i="4" s="1"/>
  <c r="U137" i="4"/>
  <c r="V137" i="4" s="1"/>
  <c r="B166" i="4"/>
  <c r="B167" i="4"/>
  <c r="B172" i="4"/>
  <c r="O190" i="4"/>
  <c r="B196" i="4"/>
  <c r="U210" i="4"/>
  <c r="X210" i="4" s="1"/>
  <c r="O241" i="4"/>
  <c r="B260" i="4"/>
  <c r="O283" i="4"/>
  <c r="U285" i="4"/>
  <c r="O285" i="4"/>
  <c r="O286" i="4"/>
  <c r="B234" i="4"/>
  <c r="U240" i="4"/>
  <c r="V240" i="4" s="1"/>
  <c r="B241" i="4"/>
  <c r="U264" i="4"/>
  <c r="B286" i="4"/>
  <c r="U293" i="4"/>
  <c r="X293" i="4" s="1"/>
  <c r="B306" i="4"/>
  <c r="B41" i="4"/>
  <c r="B48" i="4"/>
  <c r="B49" i="4"/>
  <c r="O51" i="4"/>
  <c r="O56" i="4"/>
  <c r="B59" i="4"/>
  <c r="U68" i="4"/>
  <c r="V68" i="4" s="1"/>
  <c r="B84" i="4"/>
  <c r="B91" i="4"/>
  <c r="U95" i="4"/>
  <c r="B101" i="4"/>
  <c r="O103" i="4"/>
  <c r="U111" i="4"/>
  <c r="B114" i="4"/>
  <c r="B117" i="4"/>
  <c r="O132" i="4"/>
  <c r="B133" i="4"/>
  <c r="B141" i="4"/>
  <c r="B159" i="4"/>
  <c r="O181" i="4"/>
  <c r="O198" i="4"/>
  <c r="O203" i="4"/>
  <c r="U232" i="4"/>
  <c r="V232" i="4" s="1"/>
  <c r="B233" i="4"/>
  <c r="U237" i="4"/>
  <c r="V237" i="4" s="1"/>
  <c r="B253" i="4"/>
  <c r="U260" i="4"/>
  <c r="V260" i="4" s="1"/>
  <c r="U274" i="4"/>
  <c r="V274" i="4" s="1"/>
  <c r="B275" i="4"/>
  <c r="U284" i="4"/>
  <c r="B291" i="4"/>
  <c r="U300" i="4"/>
  <c r="V300" i="4" s="1"/>
  <c r="I289" i="4"/>
  <c r="B23" i="4"/>
  <c r="B24" i="4"/>
  <c r="B33" i="4"/>
  <c r="O44" i="4"/>
  <c r="B52" i="4"/>
  <c r="B57" i="4"/>
  <c r="B61" i="4"/>
  <c r="O72" i="4"/>
  <c r="B76" i="4"/>
  <c r="B92" i="4"/>
  <c r="B100" i="4"/>
  <c r="U102" i="4"/>
  <c r="V102" i="4" s="1"/>
  <c r="B108" i="4"/>
  <c r="B109" i="4"/>
  <c r="U116" i="4"/>
  <c r="X116" i="4" s="1"/>
  <c r="O134" i="4"/>
  <c r="B137" i="4"/>
  <c r="O140" i="4"/>
  <c r="B148" i="4"/>
  <c r="O151" i="4"/>
  <c r="U161" i="4"/>
  <c r="L167" i="4"/>
  <c r="B169" i="4"/>
  <c r="U172" i="4"/>
  <c r="X172" i="4" s="1"/>
  <c r="U174" i="4"/>
  <c r="V174" i="4" s="1"/>
  <c r="B182" i="4"/>
  <c r="B195" i="4"/>
  <c r="B221" i="4"/>
  <c r="L225" i="4"/>
  <c r="U229" i="4"/>
  <c r="O235" i="4"/>
  <c r="B238" i="4"/>
  <c r="B244" i="4"/>
  <c r="B261" i="4"/>
  <c r="O263" i="4"/>
  <c r="U271" i="4"/>
  <c r="B288" i="4"/>
  <c r="O293" i="4"/>
  <c r="B294" i="4"/>
  <c r="O300" i="4"/>
  <c r="B301" i="4"/>
  <c r="O304" i="4"/>
  <c r="B305" i="4"/>
  <c r="I306" i="4"/>
  <c r="I277" i="4"/>
  <c r="O19" i="4"/>
  <c r="B27" i="4"/>
  <c r="O32" i="4"/>
  <c r="O37" i="4"/>
  <c r="O40" i="4"/>
  <c r="U43" i="4"/>
  <c r="V43" i="4" s="1"/>
  <c r="B51" i="4"/>
  <c r="U55" i="4"/>
  <c r="O60" i="4"/>
  <c r="O65" i="4"/>
  <c r="O68" i="4"/>
  <c r="B81" i="4"/>
  <c r="U84" i="4"/>
  <c r="V84" i="4" s="1"/>
  <c r="U97" i="4"/>
  <c r="V97" i="4" s="1"/>
  <c r="U105" i="4"/>
  <c r="V105" i="4" s="1"/>
  <c r="B111" i="4"/>
  <c r="U115" i="4"/>
  <c r="V115" i="4" s="1"/>
  <c r="B120" i="4"/>
  <c r="B126" i="4"/>
  <c r="O127" i="4"/>
  <c r="B143" i="4"/>
  <c r="B144" i="4"/>
  <c r="O154" i="4"/>
  <c r="U164" i="4"/>
  <c r="X164" i="4" s="1"/>
  <c r="O167" i="4"/>
  <c r="U177" i="4"/>
  <c r="B181" i="4"/>
  <c r="U205" i="4"/>
  <c r="V205" i="4" s="1"/>
  <c r="O208" i="4"/>
  <c r="O211" i="4"/>
  <c r="B219" i="4"/>
  <c r="O225" i="4"/>
  <c r="O232" i="4"/>
  <c r="O243" i="4"/>
  <c r="U245" i="4"/>
  <c r="X245" i="4" s="1"/>
  <c r="U251" i="4"/>
  <c r="V251" i="4" s="1"/>
  <c r="B252" i="4"/>
  <c r="O287" i="4"/>
  <c r="U292" i="4"/>
  <c r="B303" i="4"/>
  <c r="Y85" i="1"/>
  <c r="W85" i="1"/>
  <c r="X85" i="1" s="1"/>
  <c r="N85" i="1"/>
  <c r="W131" i="1"/>
  <c r="X131" i="1" s="1"/>
  <c r="N131" i="1"/>
  <c r="Y131" i="1"/>
  <c r="L3" i="1"/>
  <c r="K5" i="1"/>
  <c r="W27" i="1"/>
  <c r="X27" i="1" s="1"/>
  <c r="Y27" i="1"/>
  <c r="N27" i="1"/>
  <c r="W59" i="1"/>
  <c r="X59" i="1" s="1"/>
  <c r="N59" i="1"/>
  <c r="Y59" i="1"/>
  <c r="Y181" i="1"/>
  <c r="W181" i="1"/>
  <c r="X181" i="1" s="1"/>
  <c r="N181" i="1"/>
  <c r="W43" i="1"/>
  <c r="X43" i="1" s="1"/>
  <c r="Y43" i="1"/>
  <c r="N43" i="1"/>
  <c r="W91" i="1"/>
  <c r="X91" i="1" s="1"/>
  <c r="Y91" i="1"/>
  <c r="N91" i="1"/>
  <c r="Y149" i="1"/>
  <c r="W149" i="1"/>
  <c r="X149" i="1" s="1"/>
  <c r="N149" i="1"/>
  <c r="Y117" i="1"/>
  <c r="W117" i="1"/>
  <c r="X117" i="1" s="1"/>
  <c r="N117" i="1"/>
  <c r="W11" i="1"/>
  <c r="X11" i="1" s="1"/>
  <c r="Y11" i="1"/>
  <c r="N11" i="1"/>
  <c r="W19" i="1"/>
  <c r="X19" i="1" s="1"/>
  <c r="Y19" i="1"/>
  <c r="N19" i="1"/>
  <c r="Y29" i="1"/>
  <c r="W29" i="1"/>
  <c r="X29" i="1" s="1"/>
  <c r="N29" i="1"/>
  <c r="W61" i="1"/>
  <c r="X61" i="1" s="1"/>
  <c r="N61" i="1"/>
  <c r="Y61" i="1"/>
  <c r="W69" i="1"/>
  <c r="X69" i="1" s="1"/>
  <c r="N69" i="1"/>
  <c r="Y69" i="1"/>
  <c r="W99" i="1"/>
  <c r="X99" i="1" s="1"/>
  <c r="N99" i="1"/>
  <c r="Y99" i="1"/>
  <c r="W123" i="1"/>
  <c r="X123" i="1" s="1"/>
  <c r="Y123" i="1"/>
  <c r="N123" i="1"/>
  <c r="N13" i="1"/>
  <c r="W13" i="1"/>
  <c r="X13" i="1" s="1"/>
  <c r="Y13" i="1"/>
  <c r="W51" i="1"/>
  <c r="X51" i="1" s="1"/>
  <c r="N51" i="1"/>
  <c r="Y51" i="1"/>
  <c r="W35" i="1"/>
  <c r="X35" i="1" s="1"/>
  <c r="Y35" i="1"/>
  <c r="N35" i="1"/>
  <c r="W75" i="1"/>
  <c r="X75" i="1" s="1"/>
  <c r="Y75" i="1"/>
  <c r="N75" i="1"/>
  <c r="V41" i="1"/>
  <c r="N41" i="1"/>
  <c r="V44" i="1"/>
  <c r="L56" i="1"/>
  <c r="V56" i="1"/>
  <c r="N56" i="1" s="1"/>
  <c r="P82" i="1"/>
  <c r="L82" i="1"/>
  <c r="Y86" i="1"/>
  <c r="P114" i="1"/>
  <c r="L114" i="1"/>
  <c r="Y118" i="1"/>
  <c r="W145" i="1"/>
  <c r="X145" i="1" s="1"/>
  <c r="Y145" i="1"/>
  <c r="P146" i="1"/>
  <c r="L146" i="1"/>
  <c r="V146" i="1"/>
  <c r="Y150" i="1"/>
  <c r="Y176" i="1"/>
  <c r="W176" i="1"/>
  <c r="X176" i="1" s="1"/>
  <c r="W187" i="1"/>
  <c r="X187" i="1" s="1"/>
  <c r="Y187" i="1"/>
  <c r="W280" i="1"/>
  <c r="X280" i="1" s="1"/>
  <c r="N280" i="1"/>
  <c r="Y280" i="1"/>
  <c r="L3" i="10"/>
  <c r="K5" i="10"/>
  <c r="W81" i="1"/>
  <c r="X81" i="1" s="1"/>
  <c r="Y81" i="1"/>
  <c r="V82" i="1"/>
  <c r="L88" i="1"/>
  <c r="V88" i="1"/>
  <c r="N88" i="1" s="1"/>
  <c r="L120" i="1"/>
  <c r="V120" i="1"/>
  <c r="N120" i="1" s="1"/>
  <c r="W21" i="1"/>
  <c r="X21" i="1" s="1"/>
  <c r="B25" i="1"/>
  <c r="L64" i="1"/>
  <c r="V64" i="1"/>
  <c r="N64" i="1" s="1"/>
  <c r="V70" i="1"/>
  <c r="B75" i="1"/>
  <c r="V87" i="1"/>
  <c r="B92" i="1"/>
  <c r="W93" i="1"/>
  <c r="X93" i="1" s="1"/>
  <c r="B105" i="1"/>
  <c r="V107" i="1"/>
  <c r="B124" i="1"/>
  <c r="W125" i="1"/>
  <c r="X125" i="1" s="1"/>
  <c r="B137" i="1"/>
  <c r="N139" i="1"/>
  <c r="N146" i="1"/>
  <c r="V151" i="1"/>
  <c r="V167" i="1"/>
  <c r="N176" i="1"/>
  <c r="B177" i="1"/>
  <c r="B178" i="1"/>
  <c r="L186" i="1"/>
  <c r="P186" i="1"/>
  <c r="V186" i="1"/>
  <c r="N186" i="1" s="1"/>
  <c r="Y198" i="1"/>
  <c r="W198" i="1"/>
  <c r="X198" i="1" s="1"/>
  <c r="V222" i="1"/>
  <c r="B222" i="1"/>
  <c r="B229" i="1"/>
  <c r="B265" i="1"/>
  <c r="N304" i="1"/>
  <c r="Y304" i="1"/>
  <c r="W304" i="1"/>
  <c r="X304" i="1" s="1"/>
  <c r="W113" i="1"/>
  <c r="X113" i="1" s="1"/>
  <c r="Y113" i="1"/>
  <c r="V114" i="1"/>
  <c r="L152" i="1"/>
  <c r="V152" i="1"/>
  <c r="N152" i="1"/>
  <c r="L168" i="1"/>
  <c r="P168" i="1"/>
  <c r="V168" i="1"/>
  <c r="N168" i="1" s="1"/>
  <c r="V183" i="1"/>
  <c r="B183" i="1"/>
  <c r="Y251" i="1"/>
  <c r="W251" i="1"/>
  <c r="X251" i="1" s="1"/>
  <c r="B11" i="1"/>
  <c r="P13" i="1"/>
  <c r="B29" i="1"/>
  <c r="W34" i="1"/>
  <c r="X34" i="1" s="1"/>
  <c r="B40" i="1"/>
  <c r="V42" i="1"/>
  <c r="N44" i="1"/>
  <c r="V49" i="1"/>
  <c r="N49" i="1"/>
  <c r="V52" i="1"/>
  <c r="B54" i="1"/>
  <c r="P63" i="1"/>
  <c r="V63" i="1"/>
  <c r="B80" i="1"/>
  <c r="P100" i="1"/>
  <c r="N100" i="1"/>
  <c r="V100" i="1"/>
  <c r="B112" i="1"/>
  <c r="N114" i="1"/>
  <c r="V119" i="1"/>
  <c r="P132" i="1"/>
  <c r="V132" i="1"/>
  <c r="N132" i="1" s="1"/>
  <c r="P7" i="1"/>
  <c r="V7" i="1"/>
  <c r="L8" i="1"/>
  <c r="V8" i="1"/>
  <c r="N8" i="1"/>
  <c r="V14" i="1"/>
  <c r="L15" i="1"/>
  <c r="B19" i="1"/>
  <c r="B33" i="1"/>
  <c r="P34" i="1"/>
  <c r="V37" i="1"/>
  <c r="P41" i="1"/>
  <c r="B48" i="1"/>
  <c r="N50" i="1"/>
  <c r="V50" i="1"/>
  <c r="N52" i="1"/>
  <c r="P56" i="1"/>
  <c r="V57" i="1"/>
  <c r="N57" i="1" s="1"/>
  <c r="V60" i="1"/>
  <c r="B62" i="1"/>
  <c r="N63" i="1"/>
  <c r="Y67" i="1"/>
  <c r="L68" i="1"/>
  <c r="P71" i="1"/>
  <c r="V71" i="1"/>
  <c r="L72" i="1"/>
  <c r="V72" i="1"/>
  <c r="N72" i="1"/>
  <c r="N87" i="1"/>
  <c r="P88" i="1"/>
  <c r="V89" i="1"/>
  <c r="P90" i="1"/>
  <c r="L90" i="1"/>
  <c r="V90" i="1"/>
  <c r="V94" i="1"/>
  <c r="L95" i="1"/>
  <c r="L96" i="1"/>
  <c r="V96" i="1"/>
  <c r="N96" i="1" s="1"/>
  <c r="B118" i="1"/>
  <c r="B119" i="1"/>
  <c r="P120" i="1"/>
  <c r="W121" i="1"/>
  <c r="X121" i="1" s="1"/>
  <c r="Y121" i="1"/>
  <c r="P122" i="1"/>
  <c r="L122" i="1"/>
  <c r="V122" i="1"/>
  <c r="V126" i="1"/>
  <c r="L127" i="1"/>
  <c r="L128" i="1"/>
  <c r="V128" i="1"/>
  <c r="N128" i="1"/>
  <c r="B151" i="1"/>
  <c r="N151" i="1"/>
  <c r="P152" i="1"/>
  <c r="V153" i="1"/>
  <c r="P154" i="1"/>
  <c r="L154" i="1"/>
  <c r="V154" i="1"/>
  <c r="P162" i="1"/>
  <c r="P164" i="1"/>
  <c r="V164" i="1"/>
  <c r="L164" i="1"/>
  <c r="B168" i="1"/>
  <c r="B169" i="1"/>
  <c r="B175" i="1"/>
  <c r="V184" i="1"/>
  <c r="Y185" i="1"/>
  <c r="W185" i="1"/>
  <c r="X185" i="1" s="1"/>
  <c r="V192" i="1"/>
  <c r="B192" i="1"/>
  <c r="V196" i="1"/>
  <c r="Y206" i="1"/>
  <c r="W206" i="1"/>
  <c r="X206" i="1" s="1"/>
  <c r="V209" i="1"/>
  <c r="L277" i="1"/>
  <c r="V277" i="1"/>
  <c r="N277" i="1"/>
  <c r="P277" i="1"/>
  <c r="Y283" i="1"/>
  <c r="P293" i="1"/>
  <c r="L293" i="1"/>
  <c r="V293" i="1"/>
  <c r="N293" i="1" s="1"/>
  <c r="B293" i="1"/>
  <c r="V15" i="1"/>
  <c r="V22" i="1"/>
  <c r="B27" i="1"/>
  <c r="V58" i="1"/>
  <c r="V68" i="1"/>
  <c r="P76" i="1"/>
  <c r="V76" i="1"/>
  <c r="N76" i="1" s="1"/>
  <c r="V95" i="1"/>
  <c r="P108" i="1"/>
  <c r="V108" i="1"/>
  <c r="N108" i="1"/>
  <c r="V127" i="1"/>
  <c r="P140" i="1"/>
  <c r="V140" i="1"/>
  <c r="N140" i="1" s="1"/>
  <c r="W161" i="1"/>
  <c r="X161" i="1" s="1"/>
  <c r="Y161" i="1"/>
  <c r="Y163" i="1"/>
  <c r="W163" i="1"/>
  <c r="X163" i="1" s="1"/>
  <c r="V173" i="1"/>
  <c r="B173" i="1"/>
  <c r="P182" i="1"/>
  <c r="V182" i="1"/>
  <c r="N182" i="1"/>
  <c r="L182" i="1"/>
  <c r="L195" i="1"/>
  <c r="P195" i="1"/>
  <c r="V195" i="1"/>
  <c r="N195" i="1"/>
  <c r="W204" i="1"/>
  <c r="X204" i="1" s="1"/>
  <c r="Y204" i="1"/>
  <c r="Y214" i="1"/>
  <c r="W214" i="1"/>
  <c r="X214" i="1" s="1"/>
  <c r="W248" i="1"/>
  <c r="X248" i="1" s="1"/>
  <c r="Y248" i="1"/>
  <c r="V261" i="1"/>
  <c r="P261" i="1"/>
  <c r="W270" i="1"/>
  <c r="X270" i="1" s="1"/>
  <c r="Y270" i="1"/>
  <c r="Y276" i="1"/>
  <c r="W276" i="1"/>
  <c r="X276" i="1" s="1"/>
  <c r="V30" i="1"/>
  <c r="B35" i="1"/>
  <c r="W45" i="1"/>
  <c r="X45" i="1" s="1"/>
  <c r="B49" i="1"/>
  <c r="B64" i="1"/>
  <c r="N66" i="1"/>
  <c r="V66" i="1"/>
  <c r="V73" i="1"/>
  <c r="N73" i="1" s="1"/>
  <c r="V77" i="1"/>
  <c r="B94" i="1"/>
  <c r="B95" i="1"/>
  <c r="N95" i="1"/>
  <c r="V97" i="1"/>
  <c r="P98" i="1"/>
  <c r="L98" i="1"/>
  <c r="V98" i="1"/>
  <c r="V102" i="1"/>
  <c r="L103" i="1"/>
  <c r="L104" i="1"/>
  <c r="V104" i="1"/>
  <c r="V109" i="1"/>
  <c r="B126" i="1"/>
  <c r="N127" i="1"/>
  <c r="V129" i="1"/>
  <c r="P130" i="1"/>
  <c r="L130" i="1"/>
  <c r="V130" i="1"/>
  <c r="V134" i="1"/>
  <c r="L135" i="1"/>
  <c r="L136" i="1"/>
  <c r="V136" i="1"/>
  <c r="N136" i="1"/>
  <c r="V141" i="1"/>
  <c r="L160" i="1"/>
  <c r="P160" i="1"/>
  <c r="V160" i="1"/>
  <c r="N160" i="1" s="1"/>
  <c r="B164" i="1"/>
  <c r="B181" i="1"/>
  <c r="V193" i="1"/>
  <c r="V194" i="1"/>
  <c r="V210" i="1"/>
  <c r="B210" i="1"/>
  <c r="W212" i="1"/>
  <c r="X212" i="1" s="1"/>
  <c r="Y212" i="1"/>
  <c r="L236" i="1"/>
  <c r="P236" i="1"/>
  <c r="V236" i="1"/>
  <c r="N236" i="1" s="1"/>
  <c r="B237" i="1"/>
  <c r="V237" i="1"/>
  <c r="W259" i="1"/>
  <c r="X259" i="1" s="1"/>
  <c r="Y259" i="1"/>
  <c r="P276" i="1"/>
  <c r="L276" i="1"/>
  <c r="N276" i="1"/>
  <c r="B276" i="1"/>
  <c r="Y305" i="1"/>
  <c r="W305" i="1"/>
  <c r="X305" i="1" s="1"/>
  <c r="V9" i="1"/>
  <c r="N9" i="1"/>
  <c r="V23" i="1"/>
  <c r="N23" i="1" s="1"/>
  <c r="V17" i="1"/>
  <c r="B22" i="1"/>
  <c r="N74" i="1"/>
  <c r="B76" i="1"/>
  <c r="P84" i="1"/>
  <c r="N84" i="1"/>
  <c r="V84" i="1"/>
  <c r="B89" i="1"/>
  <c r="V103" i="1"/>
  <c r="B108" i="1"/>
  <c r="Y115" i="1"/>
  <c r="P116" i="1"/>
  <c r="V116" i="1"/>
  <c r="N116" i="1"/>
  <c r="B123" i="1"/>
  <c r="V135" i="1"/>
  <c r="B140" i="1"/>
  <c r="Y147" i="1"/>
  <c r="P148" i="1"/>
  <c r="V148" i="1"/>
  <c r="N148" i="1"/>
  <c r="B153" i="1"/>
  <c r="V158" i="1"/>
  <c r="V159" i="1"/>
  <c r="P191" i="1"/>
  <c r="V191" i="1"/>
  <c r="N191" i="1"/>
  <c r="L191" i="1"/>
  <c r="B196" i="1"/>
  <c r="V200" i="1"/>
  <c r="B200" i="1"/>
  <c r="L203" i="1"/>
  <c r="P203" i="1"/>
  <c r="V203" i="1"/>
  <c r="N203" i="1"/>
  <c r="L218" i="1"/>
  <c r="P218" i="1"/>
  <c r="V218" i="1"/>
  <c r="N218" i="1" s="1"/>
  <c r="B219" i="1"/>
  <c r="V219" i="1"/>
  <c r="L226" i="1"/>
  <c r="P226" i="1"/>
  <c r="V226" i="1"/>
  <c r="N226" i="1"/>
  <c r="B227" i="1"/>
  <c r="V227" i="1"/>
  <c r="W231" i="1"/>
  <c r="X231" i="1" s="1"/>
  <c r="N231" i="1"/>
  <c r="V232" i="1"/>
  <c r="B232" i="1"/>
  <c r="Y241" i="1"/>
  <c r="W241" i="1"/>
  <c r="X241" i="1" s="1"/>
  <c r="P305" i="1"/>
  <c r="L305" i="1"/>
  <c r="N305" i="1"/>
  <c r="B305" i="1"/>
  <c r="B65" i="1"/>
  <c r="P66" i="1"/>
  <c r="P73" i="1"/>
  <c r="W74" i="1"/>
  <c r="X74" i="1" s="1"/>
  <c r="L80" i="1"/>
  <c r="V80" i="1"/>
  <c r="N80" i="1"/>
  <c r="B85" i="1"/>
  <c r="B102" i="1"/>
  <c r="B103" i="1"/>
  <c r="P104" i="1"/>
  <c r="V105" i="1"/>
  <c r="P106" i="1"/>
  <c r="L106" i="1"/>
  <c r="V106" i="1"/>
  <c r="V110" i="1"/>
  <c r="L112" i="1"/>
  <c r="V112" i="1"/>
  <c r="N112" i="1"/>
  <c r="B117" i="1"/>
  <c r="B134" i="1"/>
  <c r="N135" i="1"/>
  <c r="P136" i="1"/>
  <c r="V137" i="1"/>
  <c r="P138" i="1"/>
  <c r="L138" i="1"/>
  <c r="V138" i="1"/>
  <c r="V142" i="1"/>
  <c r="L144" i="1"/>
  <c r="V144" i="1"/>
  <c r="N144" i="1" s="1"/>
  <c r="B149" i="1"/>
  <c r="Y155" i="1"/>
  <c r="P156" i="1"/>
  <c r="V156" i="1"/>
  <c r="N156" i="1"/>
  <c r="V157" i="1"/>
  <c r="B160" i="1"/>
  <c r="B161" i="1"/>
  <c r="P172" i="1"/>
  <c r="V172" i="1"/>
  <c r="L172" i="1"/>
  <c r="V178" i="1"/>
  <c r="Y190" i="1"/>
  <c r="W190" i="1"/>
  <c r="X190" i="1" s="1"/>
  <c r="B193" i="1"/>
  <c r="L211" i="1"/>
  <c r="P211" i="1"/>
  <c r="V211" i="1"/>
  <c r="N211" i="1"/>
  <c r="L238" i="1"/>
  <c r="P238" i="1"/>
  <c r="V238" i="1"/>
  <c r="N238" i="1" s="1"/>
  <c r="Y244" i="1"/>
  <c r="W244" i="1"/>
  <c r="X244" i="1" s="1"/>
  <c r="Y253" i="1"/>
  <c r="W253" i="1"/>
  <c r="X253" i="1" s="1"/>
  <c r="L257" i="1"/>
  <c r="P257" i="1"/>
  <c r="V257" i="1"/>
  <c r="N257" i="1" s="1"/>
  <c r="B257" i="1"/>
  <c r="B281" i="1"/>
  <c r="K5" i="4"/>
  <c r="L3" i="4"/>
  <c r="X62" i="4"/>
  <c r="V55" i="1"/>
  <c r="Y62" i="1"/>
  <c r="L16" i="1"/>
  <c r="V16" i="1"/>
  <c r="N16" i="1"/>
  <c r="P42" i="1"/>
  <c r="V65" i="1"/>
  <c r="N65" i="1" s="1"/>
  <c r="V12" i="1"/>
  <c r="L24" i="1"/>
  <c r="V24" i="1"/>
  <c r="N24" i="1"/>
  <c r="N10" i="1"/>
  <c r="V10" i="1"/>
  <c r="N12" i="1"/>
  <c r="P16" i="1"/>
  <c r="V20" i="1"/>
  <c r="V31" i="1"/>
  <c r="L32" i="1"/>
  <c r="V32" i="1"/>
  <c r="N32" i="1"/>
  <c r="V38" i="1"/>
  <c r="B43" i="1"/>
  <c r="W53" i="1"/>
  <c r="X53" i="1" s="1"/>
  <c r="B57" i="1"/>
  <c r="B61" i="1"/>
  <c r="P65" i="1"/>
  <c r="Y83" i="1"/>
  <c r="B91" i="1"/>
  <c r="P9" i="1"/>
  <c r="N18" i="1"/>
  <c r="V18" i="1"/>
  <c r="N20" i="1"/>
  <c r="P24" i="1"/>
  <c r="V25" i="1"/>
  <c r="N25" i="1"/>
  <c r="V28" i="1"/>
  <c r="B30" i="1"/>
  <c r="P39" i="1"/>
  <c r="V39" i="1"/>
  <c r="L40" i="1"/>
  <c r="V40" i="1"/>
  <c r="N40" i="1"/>
  <c r="V46" i="1"/>
  <c r="B51" i="1"/>
  <c r="B9" i="1"/>
  <c r="P10" i="1"/>
  <c r="P17" i="1"/>
  <c r="B24" i="1"/>
  <c r="V26" i="1"/>
  <c r="N28" i="1"/>
  <c r="P32" i="1"/>
  <c r="V33" i="1"/>
  <c r="N33" i="1" s="1"/>
  <c r="V36" i="1"/>
  <c r="B38" i="1"/>
  <c r="L41" i="1"/>
  <c r="L44" i="1"/>
  <c r="P47" i="1"/>
  <c r="V47" i="1"/>
  <c r="L48" i="1"/>
  <c r="V48" i="1"/>
  <c r="N48" i="1"/>
  <c r="V54" i="1"/>
  <c r="L55" i="1"/>
  <c r="B59" i="1"/>
  <c r="B73" i="1"/>
  <c r="P74" i="1"/>
  <c r="V79" i="1"/>
  <c r="B84" i="1"/>
  <c r="P92" i="1"/>
  <c r="V92" i="1"/>
  <c r="B97" i="1"/>
  <c r="B99" i="1"/>
  <c r="B104" i="1"/>
  <c r="N106" i="1"/>
  <c r="V111" i="1"/>
  <c r="B116" i="1"/>
  <c r="P124" i="1"/>
  <c r="V124" i="1"/>
  <c r="N124" i="1"/>
  <c r="B129" i="1"/>
  <c r="B131" i="1"/>
  <c r="B136" i="1"/>
  <c r="N138" i="1"/>
  <c r="V143" i="1"/>
  <c r="B148" i="1"/>
  <c r="B158" i="1"/>
  <c r="V165" i="1"/>
  <c r="B165" i="1"/>
  <c r="V169" i="1"/>
  <c r="Y171" i="1"/>
  <c r="W171" i="1"/>
  <c r="X171" i="1" s="1"/>
  <c r="W175" i="1"/>
  <c r="X175" i="1" s="1"/>
  <c r="L177" i="1"/>
  <c r="P177" i="1"/>
  <c r="V177" i="1"/>
  <c r="N177" i="1" s="1"/>
  <c r="P188" i="1"/>
  <c r="B191" i="1"/>
  <c r="B203" i="1"/>
  <c r="V216" i="1"/>
  <c r="B216" i="1"/>
  <c r="L220" i="1"/>
  <c r="P220" i="1"/>
  <c r="V220" i="1"/>
  <c r="N220" i="1"/>
  <c r="V224" i="1"/>
  <c r="B224" i="1"/>
  <c r="L228" i="1"/>
  <c r="V228" i="1"/>
  <c r="P228" i="1"/>
  <c r="N228" i="1"/>
  <c r="B228" i="1"/>
  <c r="L229" i="1"/>
  <c r="P229" i="1"/>
  <c r="V229" i="1"/>
  <c r="N229" i="1"/>
  <c r="Y231" i="1"/>
  <c r="B236" i="1"/>
  <c r="Y242" i="1"/>
  <c r="W242" i="1"/>
  <c r="X242" i="1" s="1"/>
  <c r="V75" i="4"/>
  <c r="X75" i="4"/>
  <c r="L162" i="1"/>
  <c r="L170" i="1"/>
  <c r="L179" i="1"/>
  <c r="L188" i="1"/>
  <c r="L197" i="1"/>
  <c r="L205" i="1"/>
  <c r="L213" i="1"/>
  <c r="L249" i="1"/>
  <c r="N255" i="1"/>
  <c r="B255" i="1"/>
  <c r="Y264" i="1"/>
  <c r="Y266" i="1"/>
  <c r="V267" i="1"/>
  <c r="N267" i="1" s="1"/>
  <c r="P267" i="1"/>
  <c r="L268" i="1"/>
  <c r="V273" i="1"/>
  <c r="L281" i="1"/>
  <c r="P284" i="1"/>
  <c r="V284" i="1"/>
  <c r="L285" i="1"/>
  <c r="N285" i="1"/>
  <c r="B285" i="1"/>
  <c r="P288" i="1"/>
  <c r="V290" i="1"/>
  <c r="L292" i="1"/>
  <c r="V294" i="1"/>
  <c r="B304" i="1"/>
  <c r="U47" i="4"/>
  <c r="L75" i="4"/>
  <c r="O75" i="4"/>
  <c r="V148" i="4"/>
  <c r="X148" i="4"/>
  <c r="V262" i="1"/>
  <c r="N262" i="1" s="1"/>
  <c r="P262" i="1"/>
  <c r="P265" i="1"/>
  <c r="V265" i="1"/>
  <c r="V278" i="1"/>
  <c r="B278" i="1"/>
  <c r="V281" i="1"/>
  <c r="B297" i="1"/>
  <c r="V299" i="1"/>
  <c r="L301" i="1"/>
  <c r="V301" i="1"/>
  <c r="N301" i="1"/>
  <c r="C238" i="2"/>
  <c r="X51" i="4"/>
  <c r="V51" i="4"/>
  <c r="L62" i="4"/>
  <c r="O62" i="4"/>
  <c r="X68" i="4"/>
  <c r="X69" i="4"/>
  <c r="X77" i="4"/>
  <c r="V77" i="4"/>
  <c r="V85" i="4"/>
  <c r="L143" i="4"/>
  <c r="O143" i="4"/>
  <c r="U143" i="4"/>
  <c r="V162" i="1"/>
  <c r="B170" i="1"/>
  <c r="V170" i="1"/>
  <c r="W174" i="1"/>
  <c r="X174" i="1" s="1"/>
  <c r="V179" i="1"/>
  <c r="V188" i="1"/>
  <c r="N197" i="1"/>
  <c r="V197" i="1"/>
  <c r="L199" i="1"/>
  <c r="B205" i="1"/>
  <c r="V205" i="1"/>
  <c r="L207" i="1"/>
  <c r="W208" i="1"/>
  <c r="X208" i="1" s="1"/>
  <c r="N213" i="1"/>
  <c r="V213" i="1"/>
  <c r="L215" i="1"/>
  <c r="L221" i="1"/>
  <c r="L230" i="1"/>
  <c r="W234" i="1"/>
  <c r="X234" i="1" s="1"/>
  <c r="L239" i="1"/>
  <c r="W240" i="1"/>
  <c r="X240" i="1" s="1"/>
  <c r="L243" i="1"/>
  <c r="V245" i="1"/>
  <c r="N245" i="1"/>
  <c r="W247" i="1"/>
  <c r="X247" i="1" s="1"/>
  <c r="V249" i="1"/>
  <c r="L252" i="1"/>
  <c r="N254" i="1"/>
  <c r="B254" i="1"/>
  <c r="V258" i="1"/>
  <c r="P260" i="1"/>
  <c r="V260" i="1"/>
  <c r="W263" i="1"/>
  <c r="X263" i="1" s="1"/>
  <c r="N265" i="1"/>
  <c r="B267" i="1"/>
  <c r="B268" i="1"/>
  <c r="V268" i="1"/>
  <c r="W271" i="1"/>
  <c r="X271" i="1" s="1"/>
  <c r="B277" i="1"/>
  <c r="N279" i="1"/>
  <c r="V279" i="1"/>
  <c r="N281" i="1"/>
  <c r="L291" i="1"/>
  <c r="B292" i="1"/>
  <c r="L295" i="1"/>
  <c r="V300" i="1"/>
  <c r="C50" i="2"/>
  <c r="C54" i="2"/>
  <c r="C56" i="2"/>
  <c r="O27" i="4"/>
  <c r="U27" i="4"/>
  <c r="L27" i="4"/>
  <c r="O252" i="4"/>
  <c r="U252" i="4"/>
  <c r="L252" i="4"/>
  <c r="V243" i="1"/>
  <c r="V252" i="1"/>
  <c r="B262" i="1"/>
  <c r="L269" i="1"/>
  <c r="V269" i="1"/>
  <c r="N269" i="1"/>
  <c r="L286" i="1"/>
  <c r="V286" i="1"/>
  <c r="V295" i="1"/>
  <c r="L296" i="1"/>
  <c r="V296" i="1"/>
  <c r="N296" i="1" s="1"/>
  <c r="P302" i="1"/>
  <c r="V302" i="1"/>
  <c r="N302" i="1"/>
  <c r="I18" i="4"/>
  <c r="C17" i="2"/>
  <c r="C43" i="2"/>
  <c r="I44" i="4"/>
  <c r="I90" i="4"/>
  <c r="C89" i="2"/>
  <c r="I106" i="4"/>
  <c r="C119" i="2"/>
  <c r="C87" i="2"/>
  <c r="I102" i="4"/>
  <c r="I123" i="4"/>
  <c r="C125" i="2"/>
  <c r="I125" i="4"/>
  <c r="C127" i="2"/>
  <c r="I177" i="4"/>
  <c r="C156" i="2"/>
  <c r="I150" i="4"/>
  <c r="C174" i="2"/>
  <c r="I131" i="4"/>
  <c r="C133" i="2"/>
  <c r="I169" i="4"/>
  <c r="C141" i="2"/>
  <c r="I154" i="4"/>
  <c r="C144" i="2"/>
  <c r="I204" i="4"/>
  <c r="C177" i="2"/>
  <c r="I144" i="4"/>
  <c r="C226" i="2"/>
  <c r="I242" i="4"/>
  <c r="C219" i="2"/>
  <c r="I200" i="4"/>
  <c r="C195" i="2"/>
  <c r="I189" i="4"/>
  <c r="C166" i="2"/>
  <c r="I233" i="4"/>
  <c r="C252" i="2"/>
  <c r="I275" i="4"/>
  <c r="C248" i="2"/>
  <c r="I244" i="4"/>
  <c r="C249" i="2"/>
  <c r="I291" i="4"/>
  <c r="C258" i="2"/>
  <c r="I209" i="4"/>
  <c r="C191" i="2"/>
  <c r="U9" i="4"/>
  <c r="B12" i="4"/>
  <c r="U12" i="4"/>
  <c r="X42" i="4"/>
  <c r="B45" i="4"/>
  <c r="U45" i="4"/>
  <c r="O50" i="4"/>
  <c r="U50" i="4"/>
  <c r="L50" i="4"/>
  <c r="X56" i="4"/>
  <c r="V56" i="4"/>
  <c r="B71" i="4"/>
  <c r="U71" i="4"/>
  <c r="V199" i="1"/>
  <c r="W202" i="1"/>
  <c r="X202" i="1" s="1"/>
  <c r="V207" i="1"/>
  <c r="V215" i="1"/>
  <c r="V217" i="1"/>
  <c r="N217" i="1" s="1"/>
  <c r="V221" i="1"/>
  <c r="V225" i="1"/>
  <c r="N225" i="1"/>
  <c r="V230" i="1"/>
  <c r="V235" i="1"/>
  <c r="N235" i="1" s="1"/>
  <c r="V239" i="1"/>
  <c r="B243" i="1"/>
  <c r="N243" i="1"/>
  <c r="P245" i="1"/>
  <c r="B252" i="1"/>
  <c r="N252" i="1"/>
  <c r="W255" i="1"/>
  <c r="X255" i="1" s="1"/>
  <c r="L256" i="1"/>
  <c r="V256" i="1"/>
  <c r="N256" i="1" s="1"/>
  <c r="P258" i="1"/>
  <c r="W274" i="1"/>
  <c r="X274" i="1" s="1"/>
  <c r="P279" i="1"/>
  <c r="W285" i="1"/>
  <c r="X285" i="1" s="1"/>
  <c r="B291" i="1"/>
  <c r="V292" i="1"/>
  <c r="B295" i="1"/>
  <c r="N295" i="1"/>
  <c r="L29" i="4"/>
  <c r="O29" i="4"/>
  <c r="B44" i="4"/>
  <c r="V130" i="4"/>
  <c r="V164" i="4"/>
  <c r="N81" i="1"/>
  <c r="N89" i="1"/>
  <c r="N97" i="1"/>
  <c r="N105" i="1"/>
  <c r="N113" i="1"/>
  <c r="N121" i="1"/>
  <c r="N129" i="1"/>
  <c r="N137" i="1"/>
  <c r="N145" i="1"/>
  <c r="N153" i="1"/>
  <c r="N161" i="1"/>
  <c r="N169" i="1"/>
  <c r="N178" i="1"/>
  <c r="N187" i="1"/>
  <c r="N196" i="1"/>
  <c r="N204" i="1"/>
  <c r="B212" i="1"/>
  <c r="N212" i="1"/>
  <c r="P219" i="1"/>
  <c r="P223" i="1"/>
  <c r="V223" i="1"/>
  <c r="N223" i="1" s="1"/>
  <c r="P227" i="1"/>
  <c r="P233" i="1"/>
  <c r="V233" i="1"/>
  <c r="P237" i="1"/>
  <c r="P241" i="1"/>
  <c r="B242" i="1"/>
  <c r="N242" i="1"/>
  <c r="B245" i="1"/>
  <c r="V254" i="1"/>
  <c r="P269" i="1"/>
  <c r="P286" i="1"/>
  <c r="V287" i="1"/>
  <c r="N287" i="1"/>
  <c r="B287" i="1"/>
  <c r="P296" i="1"/>
  <c r="V297" i="1"/>
  <c r="N297" i="1" s="1"/>
  <c r="W303" i="1"/>
  <c r="X303" i="1" s="1"/>
  <c r="C82" i="2"/>
  <c r="X55" i="4"/>
  <c r="V55" i="4"/>
  <c r="W55" i="4" s="1"/>
  <c r="N14" i="1"/>
  <c r="N22" i="1"/>
  <c r="N30" i="1"/>
  <c r="N38" i="1"/>
  <c r="N46" i="1"/>
  <c r="N54" i="1"/>
  <c r="N62" i="1"/>
  <c r="N70" i="1"/>
  <c r="N78" i="1"/>
  <c r="N86" i="1"/>
  <c r="N94" i="1"/>
  <c r="N102" i="1"/>
  <c r="N110" i="1"/>
  <c r="N118" i="1"/>
  <c r="N126" i="1"/>
  <c r="N134" i="1"/>
  <c r="N142" i="1"/>
  <c r="N150" i="1"/>
  <c r="N158" i="1"/>
  <c r="N166" i="1"/>
  <c r="B174" i="1"/>
  <c r="N175" i="1"/>
  <c r="N184" i="1"/>
  <c r="N193" i="1"/>
  <c r="N201" i="1"/>
  <c r="N209" i="1"/>
  <c r="P217" i="1"/>
  <c r="P225" i="1"/>
  <c r="N233" i="1"/>
  <c r="P235" i="1"/>
  <c r="B241" i="1"/>
  <c r="N241" i="1"/>
  <c r="B246" i="1"/>
  <c r="N246" i="1"/>
  <c r="N248" i="1"/>
  <c r="P256" i="1"/>
  <c r="B269" i="1"/>
  <c r="B280" i="1"/>
  <c r="B286" i="1"/>
  <c r="N288" i="1"/>
  <c r="V288" i="1"/>
  <c r="B290" i="1"/>
  <c r="N290" i="1"/>
  <c r="V291" i="1"/>
  <c r="B294" i="1"/>
  <c r="N294" i="1"/>
  <c r="P304" i="1"/>
  <c r="L306" i="1"/>
  <c r="V306" i="1"/>
  <c r="N306" i="1"/>
  <c r="C22" i="2"/>
  <c r="C36" i="2"/>
  <c r="X63" i="4"/>
  <c r="V63" i="4"/>
  <c r="U76" i="4"/>
  <c r="X95" i="4"/>
  <c r="V95" i="4"/>
  <c r="X111" i="4"/>
  <c r="V111" i="4"/>
  <c r="P275" i="1"/>
  <c r="P283" i="1"/>
  <c r="P299" i="1"/>
  <c r="C228" i="2"/>
  <c r="C266" i="2"/>
  <c r="C268" i="2"/>
  <c r="L17" i="4"/>
  <c r="U17" i="4"/>
  <c r="L19" i="4"/>
  <c r="O28" i="4"/>
  <c r="B35" i="4"/>
  <c r="B40" i="4"/>
  <c r="U44" i="4"/>
  <c r="B53" i="4"/>
  <c r="B58" i="4"/>
  <c r="L60" i="4"/>
  <c r="U60" i="4"/>
  <c r="O64" i="4"/>
  <c r="B66" i="4"/>
  <c r="U70" i="4"/>
  <c r="U73" i="4"/>
  <c r="L74" i="4"/>
  <c r="U74" i="4"/>
  <c r="O78" i="4"/>
  <c r="B80" i="4"/>
  <c r="U86" i="4"/>
  <c r="U156" i="4"/>
  <c r="B171" i="4"/>
  <c r="U171" i="4"/>
  <c r="I165" i="4"/>
  <c r="C297" i="2"/>
  <c r="I295" i="4"/>
  <c r="C265" i="2"/>
  <c r="B15" i="4"/>
  <c r="U18" i="4"/>
  <c r="U19" i="4"/>
  <c r="U23" i="4"/>
  <c r="U30" i="4"/>
  <c r="B38" i="4"/>
  <c r="U61" i="4"/>
  <c r="I81" i="4"/>
  <c r="X91" i="4"/>
  <c r="U92" i="4"/>
  <c r="O95" i="4"/>
  <c r="L95" i="4"/>
  <c r="O98" i="4"/>
  <c r="L98" i="4"/>
  <c r="X102" i="4"/>
  <c r="U103" i="4"/>
  <c r="X108" i="4"/>
  <c r="V108" i="4"/>
  <c r="U119" i="4"/>
  <c r="I127" i="4"/>
  <c r="X142" i="4"/>
  <c r="X155" i="4"/>
  <c r="V155" i="4"/>
  <c r="I158" i="4"/>
  <c r="X177" i="4"/>
  <c r="V177" i="4"/>
  <c r="W177" i="4" s="1"/>
  <c r="L200" i="4"/>
  <c r="O200" i="4"/>
  <c r="U200" i="4"/>
  <c r="I149" i="4"/>
  <c r="C225" i="2"/>
  <c r="I299" i="4"/>
  <c r="C269" i="2"/>
  <c r="I254" i="4"/>
  <c r="C257" i="2"/>
  <c r="U21" i="4"/>
  <c r="L22" i="4"/>
  <c r="U22" i="4"/>
  <c r="U34" i="4"/>
  <c r="B43" i="4"/>
  <c r="U46" i="4"/>
  <c r="B63" i="4"/>
  <c r="B69" i="4"/>
  <c r="O71" i="4"/>
  <c r="U72" i="4"/>
  <c r="B75" i="4"/>
  <c r="B77" i="4"/>
  <c r="O85" i="4"/>
  <c r="L85" i="4"/>
  <c r="U89" i="4"/>
  <c r="B93" i="4"/>
  <c r="L108" i="4"/>
  <c r="O108" i="4"/>
  <c r="B184" i="4"/>
  <c r="I191" i="4"/>
  <c r="C241" i="2"/>
  <c r="I161" i="4"/>
  <c r="C299" i="2"/>
  <c r="I274" i="4"/>
  <c r="C227" i="2"/>
  <c r="U7" i="4"/>
  <c r="U13" i="4"/>
  <c r="L14" i="4"/>
  <c r="U20" i="4"/>
  <c r="O23" i="4"/>
  <c r="L32" i="4"/>
  <c r="U32" i="4"/>
  <c r="U36" i="4"/>
  <c r="L37" i="4"/>
  <c r="I59" i="4"/>
  <c r="B74" i="4"/>
  <c r="U100" i="4"/>
  <c r="L111" i="4"/>
  <c r="O111" i="4"/>
  <c r="X137" i="4"/>
  <c r="X188" i="4"/>
  <c r="V188" i="4"/>
  <c r="B277" i="4"/>
  <c r="U277" i="4"/>
  <c r="I188" i="4"/>
  <c r="C239" i="2"/>
  <c r="I214" i="4"/>
  <c r="C301" i="2"/>
  <c r="I263" i="4"/>
  <c r="C233" i="2"/>
  <c r="I231" i="4"/>
  <c r="C259" i="2"/>
  <c r="U8" i="4"/>
  <c r="U11" i="4"/>
  <c r="U14" i="4"/>
  <c r="B30" i="4"/>
  <c r="U33" i="4"/>
  <c r="U37" i="4"/>
  <c r="U41" i="4"/>
  <c r="U54" i="4"/>
  <c r="I56" i="4"/>
  <c r="U67" i="4"/>
  <c r="I75" i="4"/>
  <c r="U81" i="4"/>
  <c r="X83" i="4"/>
  <c r="X84" i="4"/>
  <c r="X105" i="4"/>
  <c r="B128" i="4"/>
  <c r="U128" i="4"/>
  <c r="U185" i="4"/>
  <c r="X193" i="4"/>
  <c r="V193" i="4"/>
  <c r="V201" i="4"/>
  <c r="X201" i="4"/>
  <c r="C244" i="2"/>
  <c r="L9" i="4"/>
  <c r="O13" i="4"/>
  <c r="B22" i="4"/>
  <c r="U26" i="4"/>
  <c r="U35" i="4"/>
  <c r="O36" i="4"/>
  <c r="U39" i="4"/>
  <c r="L40" i="4"/>
  <c r="U40" i="4"/>
  <c r="U49" i="4"/>
  <c r="U52" i="4"/>
  <c r="L53" i="4"/>
  <c r="U53" i="4"/>
  <c r="U57" i="4"/>
  <c r="L58" i="4"/>
  <c r="U58" i="4"/>
  <c r="U65" i="4"/>
  <c r="L66" i="4"/>
  <c r="U66" i="4"/>
  <c r="U79" i="4"/>
  <c r="L80" i="4"/>
  <c r="U80" i="4"/>
  <c r="B85" i="4"/>
  <c r="U87" i="4"/>
  <c r="B89" i="4"/>
  <c r="O100" i="4"/>
  <c r="X149" i="4"/>
  <c r="V149" i="4"/>
  <c r="V161" i="4"/>
  <c r="X161" i="4"/>
  <c r="N275" i="1"/>
  <c r="N283" i="1"/>
  <c r="N299" i="1"/>
  <c r="C39" i="2"/>
  <c r="C57" i="2"/>
  <c r="C59" i="2"/>
  <c r="C85" i="2"/>
  <c r="C95" i="2"/>
  <c r="C97" i="2"/>
  <c r="C101" i="2"/>
  <c r="C113" i="2"/>
  <c r="C117" i="2"/>
  <c r="C121" i="2"/>
  <c r="C129" i="2"/>
  <c r="C135" i="2"/>
  <c r="C137" i="2"/>
  <c r="C139" i="2"/>
  <c r="C145" i="2"/>
  <c r="C149" i="2"/>
  <c r="C155" i="2"/>
  <c r="C165" i="2"/>
  <c r="C169" i="2"/>
  <c r="C171" i="2"/>
  <c r="C175" i="2"/>
  <c r="C179" i="2"/>
  <c r="C181" i="2"/>
  <c r="C183" i="2"/>
  <c r="C187" i="2"/>
  <c r="C189" i="2"/>
  <c r="C203" i="2"/>
  <c r="C205" i="2"/>
  <c r="C207" i="2"/>
  <c r="C209" i="2"/>
  <c r="C213" i="2"/>
  <c r="C215" i="2"/>
  <c r="C217" i="2"/>
  <c r="B7" i="4"/>
  <c r="O9" i="4"/>
  <c r="U10" i="4"/>
  <c r="O11" i="4"/>
  <c r="B13" i="4"/>
  <c r="U15" i="4"/>
  <c r="B20" i="4"/>
  <c r="U28" i="4"/>
  <c r="B36" i="4"/>
  <c r="U38" i="4"/>
  <c r="O41" i="4"/>
  <c r="O54" i="4"/>
  <c r="U64" i="4"/>
  <c r="O67" i="4"/>
  <c r="U78" i="4"/>
  <c r="O81" i="4"/>
  <c r="B112" i="4"/>
  <c r="U112" i="4"/>
  <c r="U131" i="4"/>
  <c r="B153" i="4"/>
  <c r="U153" i="4"/>
  <c r="X179" i="4"/>
  <c r="X261" i="4"/>
  <c r="L106" i="4"/>
  <c r="O123" i="4"/>
  <c r="O124" i="4"/>
  <c r="U125" i="4"/>
  <c r="U132" i="4"/>
  <c r="O137" i="4"/>
  <c r="O138" i="4"/>
  <c r="U139" i="4"/>
  <c r="B142" i="4"/>
  <c r="L144" i="4"/>
  <c r="U144" i="4"/>
  <c r="O148" i="4"/>
  <c r="O149" i="4"/>
  <c r="U150" i="4"/>
  <c r="B160" i="4"/>
  <c r="B161" i="4"/>
  <c r="B162" i="4"/>
  <c r="U165" i="4"/>
  <c r="L166" i="4"/>
  <c r="U166" i="4"/>
  <c r="B174" i="4"/>
  <c r="B175" i="4"/>
  <c r="U178" i="4"/>
  <c r="L180" i="4"/>
  <c r="U180" i="4"/>
  <c r="U181" i="4"/>
  <c r="U195" i="4"/>
  <c r="U203" i="4"/>
  <c r="U214" i="4"/>
  <c r="O236" i="4"/>
  <c r="U236" i="4"/>
  <c r="L236" i="4"/>
  <c r="V267" i="4"/>
  <c r="X267" i="4"/>
  <c r="L281" i="4"/>
  <c r="O281" i="4"/>
  <c r="U281" i="4"/>
  <c r="U106" i="4"/>
  <c r="U145" i="4"/>
  <c r="X157" i="4"/>
  <c r="X167" i="4"/>
  <c r="V167" i="4"/>
  <c r="U168" i="4"/>
  <c r="X190" i="4"/>
  <c r="V190" i="4"/>
  <c r="U191" i="4"/>
  <c r="L193" i="4"/>
  <c r="O193" i="4"/>
  <c r="U194" i="4"/>
  <c r="X198" i="4"/>
  <c r="V198" i="4"/>
  <c r="W198" i="4" s="1"/>
  <c r="U199" i="4"/>
  <c r="X207" i="4"/>
  <c r="V207" i="4"/>
  <c r="U213" i="4"/>
  <c r="O220" i="4"/>
  <c r="U220" i="4"/>
  <c r="L220" i="4"/>
  <c r="X241" i="4"/>
  <c r="V241" i="4"/>
  <c r="X278" i="4"/>
  <c r="V278" i="4"/>
  <c r="U82" i="4"/>
  <c r="U90" i="4"/>
  <c r="L93" i="4"/>
  <c r="U101" i="4"/>
  <c r="L104" i="4"/>
  <c r="U109" i="4"/>
  <c r="O112" i="4"/>
  <c r="U113" i="4"/>
  <c r="L117" i="4"/>
  <c r="L120" i="4"/>
  <c r="U120" i="4"/>
  <c r="U126" i="4"/>
  <c r="L127" i="4"/>
  <c r="U133" i="4"/>
  <c r="U140" i="4"/>
  <c r="U151" i="4"/>
  <c r="O157" i="4"/>
  <c r="V157" i="4"/>
  <c r="U158" i="4"/>
  <c r="U182" i="4"/>
  <c r="U189" i="4"/>
  <c r="U192" i="4"/>
  <c r="U196" i="4"/>
  <c r="B200" i="4"/>
  <c r="U202" i="4"/>
  <c r="X225" i="4"/>
  <c r="V225" i="4"/>
  <c r="X264" i="4"/>
  <c r="V264" i="4"/>
  <c r="X292" i="4"/>
  <c r="V292" i="4"/>
  <c r="U93" i="4"/>
  <c r="U104" i="4"/>
  <c r="U117" i="4"/>
  <c r="U121" i="4"/>
  <c r="U127" i="4"/>
  <c r="B131" i="4"/>
  <c r="U134" i="4"/>
  <c r="U135" i="4"/>
  <c r="O145" i="4"/>
  <c r="U146" i="4"/>
  <c r="U152" i="4"/>
  <c r="B156" i="4"/>
  <c r="B165" i="4"/>
  <c r="O168" i="4"/>
  <c r="U169" i="4"/>
  <c r="B179" i="4"/>
  <c r="B180" i="4"/>
  <c r="U183" i="4"/>
  <c r="L184" i="4"/>
  <c r="U184" i="4"/>
  <c r="O188" i="4"/>
  <c r="O191" i="4"/>
  <c r="L201" i="4"/>
  <c r="O201" i="4"/>
  <c r="U209" i="4"/>
  <c r="X232" i="4"/>
  <c r="B264" i="4"/>
  <c r="X285" i="4"/>
  <c r="X289" i="4"/>
  <c r="V289" i="4"/>
  <c r="U88" i="4"/>
  <c r="U96" i="4"/>
  <c r="U99" i="4"/>
  <c r="U107" i="4"/>
  <c r="U114" i="4"/>
  <c r="U141" i="4"/>
  <c r="O158" i="4"/>
  <c r="U159" i="4"/>
  <c r="U170" i="4"/>
  <c r="L185" i="4"/>
  <c r="O185" i="4"/>
  <c r="U186" i="4"/>
  <c r="B194" i="4"/>
  <c r="X229" i="4"/>
  <c r="V229" i="4"/>
  <c r="X237" i="4"/>
  <c r="X244" i="4"/>
  <c r="V244" i="4"/>
  <c r="V259" i="4"/>
  <c r="X259" i="4"/>
  <c r="X274" i="4"/>
  <c r="O288" i="4"/>
  <c r="L288" i="4"/>
  <c r="U288" i="4"/>
  <c r="O302" i="4"/>
  <c r="L302" i="4"/>
  <c r="U302" i="4"/>
  <c r="L10" i="4"/>
  <c r="L18" i="4"/>
  <c r="L33" i="4"/>
  <c r="L46" i="4"/>
  <c r="L51" i="4"/>
  <c r="L56" i="4"/>
  <c r="L61" i="4"/>
  <c r="L72" i="4"/>
  <c r="L86" i="4"/>
  <c r="L94" i="4"/>
  <c r="L97" i="4"/>
  <c r="L105" i="4"/>
  <c r="U110" i="4"/>
  <c r="L115" i="4"/>
  <c r="O121" i="4"/>
  <c r="U122" i="4"/>
  <c r="L123" i="4"/>
  <c r="O128" i="4"/>
  <c r="U129" i="4"/>
  <c r="O135" i="4"/>
  <c r="U136" i="4"/>
  <c r="L137" i="4"/>
  <c r="O146" i="4"/>
  <c r="U147" i="4"/>
  <c r="L148" i="4"/>
  <c r="O153" i="4"/>
  <c r="U154" i="4"/>
  <c r="U160" i="4"/>
  <c r="L162" i="4"/>
  <c r="U162" i="4"/>
  <c r="U163" i="4"/>
  <c r="O171" i="4"/>
  <c r="L172" i="4"/>
  <c r="O172" i="4"/>
  <c r="U173" i="4"/>
  <c r="L175" i="4"/>
  <c r="U175" i="4"/>
  <c r="U176" i="4"/>
  <c r="B188" i="4"/>
  <c r="B193" i="4"/>
  <c r="B202" i="4"/>
  <c r="U206" i="4"/>
  <c r="U221" i="4"/>
  <c r="B242" i="4"/>
  <c r="B248" i="4"/>
  <c r="X256" i="4"/>
  <c r="V256" i="4"/>
  <c r="O268" i="4"/>
  <c r="U268" i="4"/>
  <c r="L268" i="4"/>
  <c r="X271" i="4"/>
  <c r="V271" i="4"/>
  <c r="U118" i="4"/>
  <c r="B127" i="4"/>
  <c r="B134" i="4"/>
  <c r="B152" i="4"/>
  <c r="B183" i="4"/>
  <c r="B197" i="4"/>
  <c r="B204" i="4"/>
  <c r="B206" i="4"/>
  <c r="B209" i="4"/>
  <c r="B212" i="4"/>
  <c r="B226" i="4"/>
  <c r="V243" i="4"/>
  <c r="X243" i="4"/>
  <c r="B254" i="4"/>
  <c r="U280" i="4"/>
  <c r="X284" i="4"/>
  <c r="V284" i="4"/>
  <c r="B189" i="4"/>
  <c r="U197" i="4"/>
  <c r="B199" i="4"/>
  <c r="U208" i="4"/>
  <c r="U211" i="4"/>
  <c r="B217" i="4"/>
  <c r="O224" i="4"/>
  <c r="O240" i="4"/>
  <c r="B247" i="4"/>
  <c r="B250" i="4"/>
  <c r="B251" i="4"/>
  <c r="U253" i="4"/>
  <c r="U257" i="4"/>
  <c r="B263" i="4"/>
  <c r="B266" i="4"/>
  <c r="B267" i="4"/>
  <c r="U269" i="4"/>
  <c r="U270" i="4"/>
  <c r="U272" i="4"/>
  <c r="U273" i="4"/>
  <c r="V285" i="4"/>
  <c r="V293" i="4"/>
  <c r="U187" i="4"/>
  <c r="L198" i="4"/>
  <c r="L203" i="4"/>
  <c r="O206" i="4"/>
  <c r="L207" i="4"/>
  <c r="O207" i="4"/>
  <c r="L210" i="4"/>
  <c r="O210" i="4"/>
  <c r="U212" i="4"/>
  <c r="B220" i="4"/>
  <c r="B223" i="4"/>
  <c r="B224" i="4"/>
  <c r="U226" i="4"/>
  <c r="U230" i="4"/>
  <c r="L232" i="4"/>
  <c r="B236" i="4"/>
  <c r="B239" i="4"/>
  <c r="B240" i="4"/>
  <c r="U242" i="4"/>
  <c r="U254" i="4"/>
  <c r="L255" i="4"/>
  <c r="U255" i="4"/>
  <c r="L256" i="4"/>
  <c r="O256" i="4"/>
  <c r="U258" i="4"/>
  <c r="L271" i="4"/>
  <c r="L274" i="4"/>
  <c r="U279" i="4"/>
  <c r="X286" i="4"/>
  <c r="X294" i="4"/>
  <c r="B297" i="4"/>
  <c r="B298" i="4"/>
  <c r="W15" i="13"/>
  <c r="X15" i="13" s="1"/>
  <c r="Y15" i="13"/>
  <c r="N15" i="13"/>
  <c r="W31" i="13"/>
  <c r="X31" i="13" s="1"/>
  <c r="Y31" i="13"/>
  <c r="N31" i="13"/>
  <c r="Y56" i="13"/>
  <c r="W56" i="13"/>
  <c r="X56" i="13" s="1"/>
  <c r="N56" i="13"/>
  <c r="B201" i="4"/>
  <c r="L214" i="4"/>
  <c r="U227" i="4"/>
  <c r="L228" i="4"/>
  <c r="U228" i="4"/>
  <c r="L229" i="4"/>
  <c r="O229" i="4"/>
  <c r="U231" i="4"/>
  <c r="L244" i="4"/>
  <c r="O257" i="4"/>
  <c r="L260" i="4"/>
  <c r="O271" i="4"/>
  <c r="O274" i="4"/>
  <c r="B281" i="4"/>
  <c r="L284" i="4"/>
  <c r="O284" i="4"/>
  <c r="L292" i="4"/>
  <c r="O292" i="4"/>
  <c r="X301" i="4"/>
  <c r="V301" i="4"/>
  <c r="Y21" i="13"/>
  <c r="W21" i="13"/>
  <c r="X21" i="13" s="1"/>
  <c r="N21" i="13"/>
  <c r="Y37" i="13"/>
  <c r="W37" i="13"/>
  <c r="X37" i="13" s="1"/>
  <c r="N37" i="13"/>
  <c r="O214" i="4"/>
  <c r="L233" i="4"/>
  <c r="U233" i="4"/>
  <c r="O244" i="4"/>
  <c r="O260" i="4"/>
  <c r="B270" i="4"/>
  <c r="B272" i="4"/>
  <c r="B273" i="4"/>
  <c r="U275" i="4"/>
  <c r="L278" i="4"/>
  <c r="O278" i="4"/>
  <c r="L283" i="4"/>
  <c r="U283" i="4"/>
  <c r="B287" i="4"/>
  <c r="L291" i="4"/>
  <c r="U291" i="4"/>
  <c r="B295" i="4"/>
  <c r="Y88" i="13"/>
  <c r="W88" i="13"/>
  <c r="X88" i="13" s="1"/>
  <c r="N88" i="13"/>
  <c r="U249" i="4"/>
  <c r="B255" i="4"/>
  <c r="B258" i="4"/>
  <c r="V261" i="4"/>
  <c r="U265" i="4"/>
  <c r="U276" i="4"/>
  <c r="X303" i="4"/>
  <c r="V303" i="4"/>
  <c r="X304" i="4"/>
  <c r="L3" i="6"/>
  <c r="K5" i="6"/>
  <c r="U204" i="4"/>
  <c r="U216" i="4"/>
  <c r="L217" i="4"/>
  <c r="U217" i="4"/>
  <c r="U218" i="4"/>
  <c r="U222" i="4"/>
  <c r="L224" i="4"/>
  <c r="B228" i="4"/>
  <c r="B231" i="4"/>
  <c r="B232" i="4"/>
  <c r="U234" i="4"/>
  <c r="U238" i="4"/>
  <c r="L240" i="4"/>
  <c r="U246" i="4"/>
  <c r="L247" i="4"/>
  <c r="U247" i="4"/>
  <c r="L248" i="4"/>
  <c r="O248" i="4"/>
  <c r="U250" i="4"/>
  <c r="U262" i="4"/>
  <c r="L263" i="4"/>
  <c r="U263" i="4"/>
  <c r="L264" i="4"/>
  <c r="O264" i="4"/>
  <c r="U266" i="4"/>
  <c r="U282" i="4"/>
  <c r="B284" i="4"/>
  <c r="U290" i="4"/>
  <c r="B292" i="4"/>
  <c r="O299" i="4"/>
  <c r="L303" i="4"/>
  <c r="O303" i="4"/>
  <c r="W7" i="13"/>
  <c r="X7" i="13" s="1"/>
  <c r="Y7" i="13"/>
  <c r="N7" i="13"/>
  <c r="W23" i="13"/>
  <c r="X23" i="13" s="1"/>
  <c r="Y23" i="13"/>
  <c r="N23" i="13"/>
  <c r="Y40" i="13"/>
  <c r="W40" i="13"/>
  <c r="X40" i="13" s="1"/>
  <c r="N40" i="13"/>
  <c r="U219" i="4"/>
  <c r="L221" i="4"/>
  <c r="O221" i="4"/>
  <c r="U223" i="4"/>
  <c r="U235" i="4"/>
  <c r="L237" i="4"/>
  <c r="O237" i="4"/>
  <c r="U239" i="4"/>
  <c r="O249" i="4"/>
  <c r="O265" i="4"/>
  <c r="B278" i="4"/>
  <c r="B283" i="4"/>
  <c r="X297" i="4"/>
  <c r="X298" i="4"/>
  <c r="Y13" i="13"/>
  <c r="W13" i="13"/>
  <c r="X13" i="13" s="1"/>
  <c r="N13" i="13"/>
  <c r="Y29" i="13"/>
  <c r="W29" i="13"/>
  <c r="X29" i="13" s="1"/>
  <c r="N29" i="13"/>
  <c r="Y11" i="13"/>
  <c r="W11" i="13"/>
  <c r="X11" i="13" s="1"/>
  <c r="V12" i="13"/>
  <c r="N12" i="13"/>
  <c r="L12" i="13"/>
  <c r="Y19" i="13"/>
  <c r="W19" i="13"/>
  <c r="X19" i="13" s="1"/>
  <c r="V20" i="13"/>
  <c r="N20" i="13"/>
  <c r="L20" i="13"/>
  <c r="Y27" i="13"/>
  <c r="W27" i="13"/>
  <c r="X27" i="13" s="1"/>
  <c r="V28" i="13"/>
  <c r="N28" i="13"/>
  <c r="L28" i="13"/>
  <c r="Y35" i="13"/>
  <c r="W35" i="13"/>
  <c r="X35" i="13" s="1"/>
  <c r="V36" i="13"/>
  <c r="N36" i="13"/>
  <c r="L36" i="13"/>
  <c r="Y42" i="13"/>
  <c r="W42" i="13"/>
  <c r="X42" i="13" s="1"/>
  <c r="Y45" i="13"/>
  <c r="W45" i="13"/>
  <c r="X45" i="13" s="1"/>
  <c r="L46" i="13"/>
  <c r="P46" i="13"/>
  <c r="V46" i="13"/>
  <c r="V50" i="13"/>
  <c r="N50" i="13" s="1"/>
  <c r="L68" i="13"/>
  <c r="P68" i="13"/>
  <c r="V68" i="13"/>
  <c r="Y72" i="13"/>
  <c r="W72" i="13"/>
  <c r="X72" i="13" s="1"/>
  <c r="B101" i="13"/>
  <c r="V101" i="13"/>
  <c r="W126" i="13"/>
  <c r="X126" i="13" s="1"/>
  <c r="Y126" i="13"/>
  <c r="W136" i="13"/>
  <c r="X136" i="13" s="1"/>
  <c r="Y136" i="13"/>
  <c r="N136" i="13"/>
  <c r="V189" i="13"/>
  <c r="P189" i="13"/>
  <c r="Y286" i="13"/>
  <c r="W286" i="13"/>
  <c r="X286" i="13" s="1"/>
  <c r="U287" i="4"/>
  <c r="U295" i="4"/>
  <c r="U306" i="4"/>
  <c r="B7" i="13"/>
  <c r="B15" i="13"/>
  <c r="B23" i="13"/>
  <c r="B31" i="13"/>
  <c r="B41" i="13"/>
  <c r="Y48" i="13"/>
  <c r="W48" i="13"/>
  <c r="X48" i="13" s="1"/>
  <c r="N68" i="13"/>
  <c r="B71" i="13"/>
  <c r="B75" i="13"/>
  <c r="B77" i="13"/>
  <c r="V77" i="13"/>
  <c r="L86" i="13"/>
  <c r="P86" i="13"/>
  <c r="V86" i="13"/>
  <c r="V90" i="13"/>
  <c r="V112" i="13"/>
  <c r="W118" i="13"/>
  <c r="X118" i="13" s="1"/>
  <c r="Y118" i="13"/>
  <c r="B128" i="13"/>
  <c r="V128" i="13"/>
  <c r="P239" i="13"/>
  <c r="V239" i="13"/>
  <c r="N239" i="13" s="1"/>
  <c r="B239" i="13"/>
  <c r="L239" i="13"/>
  <c r="L279" i="4"/>
  <c r="L282" i="4"/>
  <c r="L285" i="4"/>
  <c r="L293" i="4"/>
  <c r="L296" i="4"/>
  <c r="L304" i="4"/>
  <c r="Y273" i="14"/>
  <c r="Y279" i="13"/>
  <c r="P12" i="13"/>
  <c r="P20" i="13"/>
  <c r="P28" i="13"/>
  <c r="P36" i="13"/>
  <c r="B47" i="13"/>
  <c r="B49" i="13"/>
  <c r="B51" i="13"/>
  <c r="B53" i="13"/>
  <c r="V53" i="13"/>
  <c r="L62" i="13"/>
  <c r="P62" i="13"/>
  <c r="V62" i="13"/>
  <c r="V66" i="13"/>
  <c r="L84" i="13"/>
  <c r="P84" i="13"/>
  <c r="V84" i="13"/>
  <c r="N86" i="13"/>
  <c r="B88" i="13"/>
  <c r="N90" i="13"/>
  <c r="B95" i="13"/>
  <c r="V108" i="13"/>
  <c r="W110" i="13"/>
  <c r="X110" i="13" s="1"/>
  <c r="Y110" i="13"/>
  <c r="P124" i="13"/>
  <c r="V124" i="13"/>
  <c r="N124" i="13" s="1"/>
  <c r="V127" i="13"/>
  <c r="Y218" i="13"/>
  <c r="W218" i="13"/>
  <c r="X218" i="13" s="1"/>
  <c r="N218" i="13"/>
  <c r="L299" i="4"/>
  <c r="L3" i="13"/>
  <c r="P8" i="13"/>
  <c r="V8" i="13"/>
  <c r="N8" i="13"/>
  <c r="B12" i="13"/>
  <c r="P16" i="13"/>
  <c r="V16" i="13"/>
  <c r="N16" i="13" s="1"/>
  <c r="B20" i="13"/>
  <c r="P24" i="13"/>
  <c r="V24" i="13"/>
  <c r="N24" i="13"/>
  <c r="B28" i="13"/>
  <c r="P32" i="13"/>
  <c r="V32" i="13"/>
  <c r="N32" i="13" s="1"/>
  <c r="B36" i="13"/>
  <c r="B43" i="13"/>
  <c r="L60" i="13"/>
  <c r="P60" i="13"/>
  <c r="V60" i="13"/>
  <c r="Y64" i="13"/>
  <c r="W64" i="13"/>
  <c r="X64" i="13" s="1"/>
  <c r="L82" i="13"/>
  <c r="B89" i="13"/>
  <c r="B91" i="13"/>
  <c r="B93" i="13"/>
  <c r="V93" i="13"/>
  <c r="L100" i="13"/>
  <c r="Y135" i="13"/>
  <c r="W135" i="13"/>
  <c r="X135" i="13" s="1"/>
  <c r="N135" i="13"/>
  <c r="U299" i="4"/>
  <c r="B13" i="13"/>
  <c r="B21" i="13"/>
  <c r="B29" i="13"/>
  <c r="B37" i="13"/>
  <c r="B45" i="13"/>
  <c r="B69" i="13"/>
  <c r="V69" i="13"/>
  <c r="L78" i="13"/>
  <c r="P78" i="13"/>
  <c r="V78" i="13"/>
  <c r="V82" i="13"/>
  <c r="V100" i="13"/>
  <c r="W102" i="13"/>
  <c r="X102" i="13" s="1"/>
  <c r="Y102" i="13"/>
  <c r="P116" i="13"/>
  <c r="V116" i="13"/>
  <c r="N116" i="13"/>
  <c r="B125" i="13"/>
  <c r="V125" i="13"/>
  <c r="P194" i="13"/>
  <c r="V194" i="13"/>
  <c r="Y210" i="13"/>
  <c r="W210" i="13"/>
  <c r="X210" i="13" s="1"/>
  <c r="B8" i="13"/>
  <c r="Y9" i="13"/>
  <c r="L14" i="13"/>
  <c r="P14" i="13"/>
  <c r="V14" i="13"/>
  <c r="B16" i="13"/>
  <c r="Y17" i="13"/>
  <c r="L22" i="13"/>
  <c r="P22" i="13"/>
  <c r="V22" i="13"/>
  <c r="N22" i="13" s="1"/>
  <c r="B24" i="13"/>
  <c r="Y25" i="13"/>
  <c r="L30" i="13"/>
  <c r="P30" i="13"/>
  <c r="V30" i="13"/>
  <c r="B32" i="13"/>
  <c r="Y33" i="13"/>
  <c r="L38" i="13"/>
  <c r="P38" i="13"/>
  <c r="V38" i="13"/>
  <c r="N38" i="13" s="1"/>
  <c r="P39" i="13"/>
  <c r="V39" i="13"/>
  <c r="N39" i="13"/>
  <c r="L39" i="13"/>
  <c r="L54" i="13"/>
  <c r="P54" i="13"/>
  <c r="V54" i="13"/>
  <c r="V58" i="13"/>
  <c r="L76" i="13"/>
  <c r="P76" i="13"/>
  <c r="V76" i="13"/>
  <c r="N78" i="13"/>
  <c r="Y80" i="13"/>
  <c r="W80" i="13"/>
  <c r="X80" i="13" s="1"/>
  <c r="B100" i="13"/>
  <c r="N100" i="13"/>
  <c r="W104" i="13"/>
  <c r="X104" i="13" s="1"/>
  <c r="B117" i="13"/>
  <c r="V117" i="13"/>
  <c r="Y134" i="13"/>
  <c r="W134" i="13"/>
  <c r="X134" i="13" s="1"/>
  <c r="N134" i="13"/>
  <c r="Y139" i="13"/>
  <c r="W139" i="13"/>
  <c r="X139" i="13" s="1"/>
  <c r="V149" i="13"/>
  <c r="N149" i="13" s="1"/>
  <c r="P149" i="13"/>
  <c r="L149" i="13"/>
  <c r="W9" i="13"/>
  <c r="X9" i="13" s="1"/>
  <c r="P10" i="13"/>
  <c r="V10" i="13"/>
  <c r="N10" i="13"/>
  <c r="L10" i="13"/>
  <c r="N14" i="13"/>
  <c r="W17" i="13"/>
  <c r="X17" i="13" s="1"/>
  <c r="P18" i="13"/>
  <c r="V18" i="13"/>
  <c r="N18" i="13"/>
  <c r="L18" i="13"/>
  <c r="W25" i="13"/>
  <c r="X25" i="13" s="1"/>
  <c r="P26" i="13"/>
  <c r="V26" i="13"/>
  <c r="N26" i="13" s="1"/>
  <c r="L26" i="13"/>
  <c r="N30" i="13"/>
  <c r="W33" i="13"/>
  <c r="X33" i="13" s="1"/>
  <c r="P34" i="13"/>
  <c r="V34" i="13"/>
  <c r="N34" i="13" s="1"/>
  <c r="L34" i="13"/>
  <c r="L52" i="13"/>
  <c r="P52" i="13"/>
  <c r="V52" i="13"/>
  <c r="N54" i="13"/>
  <c r="B56" i="13"/>
  <c r="N58" i="13"/>
  <c r="N76" i="13"/>
  <c r="B79" i="13"/>
  <c r="B83" i="13"/>
  <c r="B85" i="13"/>
  <c r="V85" i="13"/>
  <c r="L94" i="13"/>
  <c r="P94" i="13"/>
  <c r="V94" i="13"/>
  <c r="B109" i="13"/>
  <c r="V109" i="13"/>
  <c r="Y154" i="13"/>
  <c r="W154" i="13"/>
  <c r="X154" i="13" s="1"/>
  <c r="N154" i="13"/>
  <c r="K5" i="13"/>
  <c r="B39" i="13"/>
  <c r="B40" i="13"/>
  <c r="L44" i="13"/>
  <c r="P44" i="13"/>
  <c r="V44" i="13"/>
  <c r="L50" i="13"/>
  <c r="N52" i="13"/>
  <c r="B55" i="13"/>
  <c r="B57" i="13"/>
  <c r="B59" i="13"/>
  <c r="B61" i="13"/>
  <c r="V61" i="13"/>
  <c r="L70" i="13"/>
  <c r="P70" i="13"/>
  <c r="V70" i="13"/>
  <c r="V74" i="13"/>
  <c r="B76" i="13"/>
  <c r="L92" i="13"/>
  <c r="P92" i="13"/>
  <c r="V92" i="13"/>
  <c r="N94" i="13"/>
  <c r="W96" i="13"/>
  <c r="X96" i="13" s="1"/>
  <c r="B124" i="13"/>
  <c r="Y138" i="13"/>
  <c r="Y143" i="13"/>
  <c r="W143" i="13"/>
  <c r="X143" i="13" s="1"/>
  <c r="N143" i="13"/>
  <c r="P137" i="13"/>
  <c r="V137" i="13"/>
  <c r="N137" i="13"/>
  <c r="L148" i="13"/>
  <c r="P148" i="13"/>
  <c r="V148" i="13"/>
  <c r="V177" i="13"/>
  <c r="B177" i="13"/>
  <c r="Y142" i="13"/>
  <c r="W142" i="13"/>
  <c r="X142" i="13" s="1"/>
  <c r="N142" i="13"/>
  <c r="V146" i="13"/>
  <c r="Y147" i="13"/>
  <c r="N148" i="13"/>
  <c r="V195" i="13"/>
  <c r="B195" i="13"/>
  <c r="L201" i="13"/>
  <c r="P201" i="13"/>
  <c r="V201" i="13"/>
  <c r="N201" i="13" s="1"/>
  <c r="W216" i="13"/>
  <c r="X216" i="13" s="1"/>
  <c r="Y216" i="13"/>
  <c r="L47" i="13"/>
  <c r="L55" i="13"/>
  <c r="L63" i="13"/>
  <c r="L71" i="13"/>
  <c r="L79" i="13"/>
  <c r="L87" i="13"/>
  <c r="L95" i="13"/>
  <c r="P97" i="13"/>
  <c r="V97" i="13"/>
  <c r="N97" i="13" s="1"/>
  <c r="L98" i="13"/>
  <c r="L103" i="13"/>
  <c r="P105" i="13"/>
  <c r="V105" i="13"/>
  <c r="N105" i="13" s="1"/>
  <c r="L106" i="13"/>
  <c r="L111" i="13"/>
  <c r="P113" i="13"/>
  <c r="V113" i="13"/>
  <c r="N113" i="13" s="1"/>
  <c r="L114" i="13"/>
  <c r="L119" i="13"/>
  <c r="P121" i="13"/>
  <c r="V121" i="13"/>
  <c r="N121" i="13" s="1"/>
  <c r="L122" i="13"/>
  <c r="P127" i="13"/>
  <c r="B137" i="13"/>
  <c r="N144" i="13"/>
  <c r="Y144" i="13"/>
  <c r="P145" i="13"/>
  <c r="V145" i="13"/>
  <c r="N145" i="13" s="1"/>
  <c r="L182" i="13"/>
  <c r="P182" i="13"/>
  <c r="V182" i="13"/>
  <c r="N185" i="13"/>
  <c r="Y185" i="13"/>
  <c r="P237" i="13"/>
  <c r="V237" i="13"/>
  <c r="V95" i="13"/>
  <c r="V103" i="13"/>
  <c r="N103" i="13" s="1"/>
  <c r="V111" i="13"/>
  <c r="V119" i="13"/>
  <c r="V133" i="13"/>
  <c r="N133" i="13" s="1"/>
  <c r="L133" i="13"/>
  <c r="Y162" i="13"/>
  <c r="V170" i="13"/>
  <c r="V187" i="13"/>
  <c r="Y278" i="13"/>
  <c r="W278" i="13"/>
  <c r="X278" i="13" s="1"/>
  <c r="Y56" i="14"/>
  <c r="V43" i="13"/>
  <c r="N43" i="13"/>
  <c r="N47" i="13"/>
  <c r="V47" i="13"/>
  <c r="V51" i="13"/>
  <c r="N51" i="13" s="1"/>
  <c r="V55" i="13"/>
  <c r="N55" i="13" s="1"/>
  <c r="V59" i="13"/>
  <c r="N59" i="13"/>
  <c r="N63" i="13"/>
  <c r="V63" i="13"/>
  <c r="V67" i="13"/>
  <c r="N67" i="13" s="1"/>
  <c r="V71" i="13"/>
  <c r="N71" i="13" s="1"/>
  <c r="V75" i="13"/>
  <c r="N75" i="13"/>
  <c r="N79" i="13"/>
  <c r="V79" i="13"/>
  <c r="V83" i="13"/>
  <c r="N83" i="13" s="1"/>
  <c r="V87" i="13"/>
  <c r="N87" i="13" s="1"/>
  <c r="V91" i="13"/>
  <c r="N91" i="13"/>
  <c r="N95" i="13"/>
  <c r="V98" i="13"/>
  <c r="B105" i="13"/>
  <c r="N106" i="13"/>
  <c r="V106" i="13"/>
  <c r="N111" i="13"/>
  <c r="B113" i="13"/>
  <c r="V114" i="13"/>
  <c r="B121" i="13"/>
  <c r="N122" i="13"/>
  <c r="V122" i="13"/>
  <c r="L132" i="13"/>
  <c r="P132" i="13"/>
  <c r="V132" i="13"/>
  <c r="B145" i="13"/>
  <c r="W160" i="13"/>
  <c r="X160" i="13" s="1"/>
  <c r="Y160" i="13"/>
  <c r="N162" i="13"/>
  <c r="W162" i="13"/>
  <c r="X162" i="13" s="1"/>
  <c r="W168" i="13"/>
  <c r="X168" i="13" s="1"/>
  <c r="Y168" i="13"/>
  <c r="Y175" i="13"/>
  <c r="W175" i="13"/>
  <c r="X175" i="13" s="1"/>
  <c r="P178" i="13"/>
  <c r="L178" i="13"/>
  <c r="V178" i="13"/>
  <c r="N178" i="13" s="1"/>
  <c r="N180" i="13"/>
  <c r="W180" i="13"/>
  <c r="X180" i="13" s="1"/>
  <c r="Y180" i="13"/>
  <c r="P181" i="13"/>
  <c r="V181" i="13"/>
  <c r="N181" i="13" s="1"/>
  <c r="L191" i="13"/>
  <c r="P191" i="13"/>
  <c r="V191" i="13"/>
  <c r="N191" i="13"/>
  <c r="Y203" i="13"/>
  <c r="P41" i="13"/>
  <c r="V41" i="13"/>
  <c r="P49" i="13"/>
  <c r="V49" i="13"/>
  <c r="P57" i="13"/>
  <c r="V57" i="13"/>
  <c r="P65" i="13"/>
  <c r="V65" i="13"/>
  <c r="N65" i="13" s="1"/>
  <c r="P73" i="13"/>
  <c r="V73" i="13"/>
  <c r="P81" i="13"/>
  <c r="V81" i="13"/>
  <c r="P89" i="13"/>
  <c r="V89" i="13"/>
  <c r="V99" i="13"/>
  <c r="N99" i="13"/>
  <c r="L99" i="13"/>
  <c r="V107" i="13"/>
  <c r="N107" i="13" s="1"/>
  <c r="L107" i="13"/>
  <c r="V115" i="13"/>
  <c r="N115" i="13" s="1"/>
  <c r="L115" i="13"/>
  <c r="V123" i="13"/>
  <c r="N123" i="13" s="1"/>
  <c r="L123" i="13"/>
  <c r="V130" i="13"/>
  <c r="N130" i="13"/>
  <c r="N132" i="13"/>
  <c r="P133" i="13"/>
  <c r="P135" i="13"/>
  <c r="V141" i="13"/>
  <c r="N141" i="13" s="1"/>
  <c r="L141" i="13"/>
  <c r="B146" i="13"/>
  <c r="L152" i="13"/>
  <c r="P152" i="13"/>
  <c r="V152" i="13"/>
  <c r="V173" i="13"/>
  <c r="B173" i="13"/>
  <c r="Y176" i="13"/>
  <c r="W176" i="13"/>
  <c r="X176" i="13" s="1"/>
  <c r="P180" i="13"/>
  <c r="N41" i="13"/>
  <c r="P43" i="13"/>
  <c r="P51" i="13"/>
  <c r="N57" i="13"/>
  <c r="P59" i="13"/>
  <c r="P67" i="13"/>
  <c r="N73" i="13"/>
  <c r="P75" i="13"/>
  <c r="P83" i="13"/>
  <c r="N89" i="13"/>
  <c r="P91" i="13"/>
  <c r="P129" i="13"/>
  <c r="V129" i="13"/>
  <c r="N129" i="13"/>
  <c r="L140" i="13"/>
  <c r="P140" i="13"/>
  <c r="V140" i="13"/>
  <c r="L150" i="13"/>
  <c r="P150" i="13"/>
  <c r="V150" i="13"/>
  <c r="P158" i="13"/>
  <c r="V158" i="13"/>
  <c r="N158" i="13" s="1"/>
  <c r="B158" i="13"/>
  <c r="B159" i="13"/>
  <c r="B161" i="13"/>
  <c r="P166" i="13"/>
  <c r="V166" i="13"/>
  <c r="N166" i="13"/>
  <c r="B166" i="13"/>
  <c r="B182" i="13"/>
  <c r="Y193" i="13"/>
  <c r="W193" i="13"/>
  <c r="X193" i="13" s="1"/>
  <c r="P209" i="13"/>
  <c r="L209" i="13"/>
  <c r="V209" i="13"/>
  <c r="P220" i="13"/>
  <c r="V220" i="13"/>
  <c r="N220" i="13" s="1"/>
  <c r="B220" i="13"/>
  <c r="L220" i="13"/>
  <c r="P266" i="13"/>
  <c r="V266" i="13"/>
  <c r="W249" i="13"/>
  <c r="X249" i="13" s="1"/>
  <c r="Y263" i="13"/>
  <c r="W263" i="13"/>
  <c r="X263" i="13" s="1"/>
  <c r="V277" i="13"/>
  <c r="B277" i="13"/>
  <c r="B9" i="14"/>
  <c r="V9" i="14"/>
  <c r="V291" i="13"/>
  <c r="P291" i="13"/>
  <c r="N291" i="13"/>
  <c r="B291" i="13"/>
  <c r="W294" i="13"/>
  <c r="X294" i="13" s="1"/>
  <c r="P20" i="14"/>
  <c r="V20" i="14"/>
  <c r="N20" i="14" s="1"/>
  <c r="L20" i="14"/>
  <c r="Y34" i="14"/>
  <c r="W34" i="14"/>
  <c r="X34" i="14" s="1"/>
  <c r="N34" i="14"/>
  <c r="V37" i="14"/>
  <c r="N37" i="14"/>
  <c r="L37" i="14"/>
  <c r="P37" i="14"/>
  <c r="Y50" i="14"/>
  <c r="V73" i="14"/>
  <c r="B73" i="14"/>
  <c r="W152" i="14"/>
  <c r="X152" i="14" s="1"/>
  <c r="N152" i="14"/>
  <c r="Y152" i="14"/>
  <c r="Y155" i="14"/>
  <c r="L131" i="13"/>
  <c r="L139" i="13"/>
  <c r="L147" i="13"/>
  <c r="B180" i="13"/>
  <c r="V183" i="13"/>
  <c r="N183" i="13" s="1"/>
  <c r="L183" i="13"/>
  <c r="Y186" i="13"/>
  <c r="P190" i="13"/>
  <c r="V190" i="13"/>
  <c r="N190" i="13" s="1"/>
  <c r="V204" i="13"/>
  <c r="P212" i="13"/>
  <c r="V212" i="13"/>
  <c r="N212" i="13"/>
  <c r="B212" i="13"/>
  <c r="L215" i="13"/>
  <c r="P215" i="13"/>
  <c r="V215" i="13"/>
  <c r="B222" i="13"/>
  <c r="N229" i="13"/>
  <c r="P248" i="13"/>
  <c r="V248" i="13"/>
  <c r="N248" i="13"/>
  <c r="B248" i="13"/>
  <c r="N255" i="13"/>
  <c r="Y255" i="13"/>
  <c r="N284" i="13"/>
  <c r="W284" i="13"/>
  <c r="X284" i="13" s="1"/>
  <c r="L286" i="13"/>
  <c r="V288" i="13"/>
  <c r="N288" i="13"/>
  <c r="L288" i="13"/>
  <c r="P288" i="13"/>
  <c r="V292" i="13"/>
  <c r="L292" i="13"/>
  <c r="P292" i="13"/>
  <c r="B14" i="14"/>
  <c r="B17" i="14"/>
  <c r="V17" i="14"/>
  <c r="Y19" i="14"/>
  <c r="W24" i="14"/>
  <c r="X24" i="14" s="1"/>
  <c r="N24" i="14"/>
  <c r="W32" i="14"/>
  <c r="X32" i="14" s="1"/>
  <c r="Y32" i="14"/>
  <c r="V49" i="14"/>
  <c r="B49" i="14"/>
  <c r="B134" i="13"/>
  <c r="B142" i="13"/>
  <c r="P155" i="13"/>
  <c r="V155" i="13"/>
  <c r="N155" i="13"/>
  <c r="P163" i="13"/>
  <c r="V163" i="13"/>
  <c r="N163" i="13"/>
  <c r="P171" i="13"/>
  <c r="V171" i="13"/>
  <c r="N171" i="13" s="1"/>
  <c r="B181" i="13"/>
  <c r="V192" i="13"/>
  <c r="N192" i="13"/>
  <c r="L192" i="13"/>
  <c r="V219" i="13"/>
  <c r="B219" i="13"/>
  <c r="Y229" i="13"/>
  <c r="W229" i="13"/>
  <c r="X229" i="13" s="1"/>
  <c r="L232" i="13"/>
  <c r="V232" i="13"/>
  <c r="P232" i="13"/>
  <c r="P286" i="13"/>
  <c r="N286" i="13"/>
  <c r="W8" i="14"/>
  <c r="X8" i="14" s="1"/>
  <c r="Y8" i="14"/>
  <c r="Y58" i="14"/>
  <c r="W58" i="14"/>
  <c r="X58" i="14" s="1"/>
  <c r="N58" i="14"/>
  <c r="V69" i="14"/>
  <c r="N69" i="14" s="1"/>
  <c r="L69" i="14"/>
  <c r="P69" i="14"/>
  <c r="L79" i="14"/>
  <c r="P79" i="14"/>
  <c r="V79" i="14"/>
  <c r="N79" i="14"/>
  <c r="N131" i="13"/>
  <c r="N139" i="13"/>
  <c r="N147" i="13"/>
  <c r="N151" i="13"/>
  <c r="V151" i="13"/>
  <c r="P153" i="13"/>
  <c r="V153" i="13"/>
  <c r="V159" i="13"/>
  <c r="N159" i="13" s="1"/>
  <c r="P161" i="13"/>
  <c r="V161" i="13"/>
  <c r="N167" i="13"/>
  <c r="V167" i="13"/>
  <c r="P169" i="13"/>
  <c r="V169" i="13"/>
  <c r="V174" i="13"/>
  <c r="N174" i="13"/>
  <c r="L174" i="13"/>
  <c r="L179" i="13"/>
  <c r="P183" i="13"/>
  <c r="B187" i="13"/>
  <c r="B190" i="13"/>
  <c r="L193" i="13"/>
  <c r="W202" i="13"/>
  <c r="X202" i="13" s="1"/>
  <c r="V224" i="13"/>
  <c r="N224" i="13" s="1"/>
  <c r="V226" i="13"/>
  <c r="P228" i="13"/>
  <c r="V228" i="13"/>
  <c r="N228" i="13" s="1"/>
  <c r="P229" i="13"/>
  <c r="V230" i="13"/>
  <c r="N232" i="13"/>
  <c r="V257" i="13"/>
  <c r="N257" i="13" s="1"/>
  <c r="P257" i="13"/>
  <c r="B257" i="13"/>
  <c r="B273" i="13"/>
  <c r="L278" i="13"/>
  <c r="V280" i="13"/>
  <c r="N280" i="13"/>
  <c r="L280" i="13"/>
  <c r="P280" i="13"/>
  <c r="B292" i="13"/>
  <c r="L3" i="14"/>
  <c r="K5" i="14"/>
  <c r="B10" i="14"/>
  <c r="V10" i="14"/>
  <c r="V48" i="14"/>
  <c r="B48" i="14"/>
  <c r="Y74" i="14"/>
  <c r="W74" i="14"/>
  <c r="X74" i="14" s="1"/>
  <c r="B163" i="13"/>
  <c r="V164" i="13"/>
  <c r="B171" i="13"/>
  <c r="V179" i="13"/>
  <c r="Y184" i="13"/>
  <c r="W184" i="13"/>
  <c r="X184" i="13" s="1"/>
  <c r="P192" i="13"/>
  <c r="P198" i="13"/>
  <c r="V198" i="13"/>
  <c r="N198" i="13" s="1"/>
  <c r="V199" i="13"/>
  <c r="V205" i="13"/>
  <c r="V211" i="13"/>
  <c r="B211" i="13"/>
  <c r="L223" i="13"/>
  <c r="P223" i="13"/>
  <c r="V223" i="13"/>
  <c r="N223" i="13" s="1"/>
  <c r="B232" i="13"/>
  <c r="L233" i="13"/>
  <c r="P233" i="13"/>
  <c r="V233" i="13"/>
  <c r="V243" i="13"/>
  <c r="N243" i="13" s="1"/>
  <c r="N263" i="13"/>
  <c r="V274" i="13"/>
  <c r="Y276" i="13"/>
  <c r="P278" i="13"/>
  <c r="N278" i="13"/>
  <c r="B286" i="13"/>
  <c r="W18" i="14"/>
  <c r="X18" i="14" s="1"/>
  <c r="N18" i="14"/>
  <c r="Y39" i="14"/>
  <c r="W39" i="14"/>
  <c r="X39" i="14" s="1"/>
  <c r="P52" i="14"/>
  <c r="V52" i="14"/>
  <c r="N52" i="14" s="1"/>
  <c r="L52" i="14"/>
  <c r="V157" i="13"/>
  <c r="N157" i="13"/>
  <c r="L157" i="13"/>
  <c r="V165" i="13"/>
  <c r="N165" i="13"/>
  <c r="L165" i="13"/>
  <c r="N179" i="13"/>
  <c r="P188" i="13"/>
  <c r="V188" i="13"/>
  <c r="B192" i="13"/>
  <c r="N193" i="13"/>
  <c r="V200" i="13"/>
  <c r="N200" i="13"/>
  <c r="L200" i="13"/>
  <c r="P205" i="13"/>
  <c r="P206" i="13"/>
  <c r="V206" i="13"/>
  <c r="N206" i="13"/>
  <c r="W207" i="13"/>
  <c r="X207" i="13" s="1"/>
  <c r="V208" i="13"/>
  <c r="V217" i="13"/>
  <c r="B217" i="13"/>
  <c r="V236" i="13"/>
  <c r="P236" i="13"/>
  <c r="L242" i="13"/>
  <c r="P242" i="13"/>
  <c r="V242" i="13"/>
  <c r="V252" i="13"/>
  <c r="V254" i="13"/>
  <c r="P258" i="13"/>
  <c r="V258" i="13"/>
  <c r="N258" i="13"/>
  <c r="L262" i="13"/>
  <c r="P262" i="13"/>
  <c r="V262" i="13"/>
  <c r="L268" i="13"/>
  <c r="P268" i="13"/>
  <c r="V268" i="13"/>
  <c r="Y269" i="13"/>
  <c r="N271" i="13"/>
  <c r="W271" i="13"/>
  <c r="X271" i="13" s="1"/>
  <c r="N276" i="13"/>
  <c r="W276" i="13"/>
  <c r="X276" i="13" s="1"/>
  <c r="V298" i="13"/>
  <c r="B298" i="13"/>
  <c r="W16" i="14"/>
  <c r="X16" i="14" s="1"/>
  <c r="Y16" i="14"/>
  <c r="B22" i="14"/>
  <c r="L39" i="14"/>
  <c r="P39" i="14"/>
  <c r="N39" i="14"/>
  <c r="B43" i="14"/>
  <c r="W56" i="14"/>
  <c r="X56" i="14" s="1"/>
  <c r="N56" i="14"/>
  <c r="N138" i="13"/>
  <c r="N146" i="13"/>
  <c r="B174" i="13"/>
  <c r="N175" i="13"/>
  <c r="P196" i="13"/>
  <c r="V196" i="13"/>
  <c r="B198" i="13"/>
  <c r="B205" i="13"/>
  <c r="B214" i="13"/>
  <c r="N221" i="13"/>
  <c r="Y221" i="13"/>
  <c r="V227" i="13"/>
  <c r="B227" i="13"/>
  <c r="V240" i="13"/>
  <c r="V245" i="13"/>
  <c r="P245" i="13"/>
  <c r="L251" i="13"/>
  <c r="P251" i="13"/>
  <c r="V251" i="13"/>
  <c r="V260" i="13"/>
  <c r="P273" i="13"/>
  <c r="V273" i="13"/>
  <c r="N273" i="13" s="1"/>
  <c r="V300" i="13"/>
  <c r="B300" i="13"/>
  <c r="Y26" i="14"/>
  <c r="W26" i="14"/>
  <c r="X26" i="14" s="1"/>
  <c r="N26" i="14"/>
  <c r="Y38" i="14"/>
  <c r="W38" i="14"/>
  <c r="X38" i="14" s="1"/>
  <c r="W50" i="14"/>
  <c r="X50" i="14" s="1"/>
  <c r="P51" i="14"/>
  <c r="Y66" i="14"/>
  <c r="W66" i="14"/>
  <c r="X66" i="14" s="1"/>
  <c r="N66" i="14"/>
  <c r="L283" i="13"/>
  <c r="L289" i="13"/>
  <c r="B12" i="14"/>
  <c r="B19" i="14"/>
  <c r="V27" i="14"/>
  <c r="P28" i="14"/>
  <c r="V28" i="14"/>
  <c r="N28" i="14"/>
  <c r="Y78" i="14"/>
  <c r="W78" i="14"/>
  <c r="X78" i="14" s="1"/>
  <c r="Y89" i="14"/>
  <c r="W89" i="14"/>
  <c r="X89" i="14" s="1"/>
  <c r="N89" i="14"/>
  <c r="Y120" i="14"/>
  <c r="V225" i="13"/>
  <c r="N235" i="13"/>
  <c r="V235" i="13"/>
  <c r="B244" i="13"/>
  <c r="V244" i="13"/>
  <c r="B253" i="13"/>
  <c r="V253" i="13"/>
  <c r="W259" i="13"/>
  <c r="X259" i="13" s="1"/>
  <c r="B265" i="13"/>
  <c r="N265" i="13"/>
  <c r="V265" i="13"/>
  <c r="B270" i="13"/>
  <c r="N270" i="13"/>
  <c r="V270" i="13"/>
  <c r="B288" i="13"/>
  <c r="V302" i="13"/>
  <c r="N302" i="13" s="1"/>
  <c r="L302" i="13"/>
  <c r="V303" i="13"/>
  <c r="N303" i="13"/>
  <c r="L303" i="13"/>
  <c r="B20" i="14"/>
  <c r="V25" i="14"/>
  <c r="B25" i="14"/>
  <c r="P34" i="14"/>
  <c r="V45" i="14"/>
  <c r="N45" i="14" s="1"/>
  <c r="L45" i="14"/>
  <c r="V46" i="14"/>
  <c r="N46" i="14" s="1"/>
  <c r="L47" i="14"/>
  <c r="P47" i="14"/>
  <c r="V47" i="14"/>
  <c r="N47" i="14" s="1"/>
  <c r="B52" i="14"/>
  <c r="V57" i="14"/>
  <c r="B57" i="14"/>
  <c r="L63" i="14"/>
  <c r="P63" i="14"/>
  <c r="V63" i="14"/>
  <c r="N63" i="14"/>
  <c r="W64" i="14"/>
  <c r="X64" i="14" s="1"/>
  <c r="Y64" i="14"/>
  <c r="V81" i="14"/>
  <c r="B81" i="14"/>
  <c r="N94" i="14"/>
  <c r="Y94" i="14"/>
  <c r="W94" i="14"/>
  <c r="X94" i="14" s="1"/>
  <c r="L208" i="13"/>
  <c r="N214" i="13"/>
  <c r="V214" i="13"/>
  <c r="L216" i="13"/>
  <c r="V222" i="13"/>
  <c r="L224" i="13"/>
  <c r="B231" i="13"/>
  <c r="V231" i="13"/>
  <c r="L234" i="13"/>
  <c r="N241" i="13"/>
  <c r="V241" i="13"/>
  <c r="L243" i="13"/>
  <c r="B250" i="13"/>
  <c r="V250" i="13"/>
  <c r="L252" i="13"/>
  <c r="B261" i="13"/>
  <c r="N261" i="13"/>
  <c r="V261" i="13"/>
  <c r="L263" i="13"/>
  <c r="L264" i="13"/>
  <c r="V267" i="13"/>
  <c r="L269" i="13"/>
  <c r="N275" i="13"/>
  <c r="V275" i="13"/>
  <c r="B281" i="13"/>
  <c r="V281" i="13"/>
  <c r="N281" i="13" s="1"/>
  <c r="B283" i="13"/>
  <c r="V283" i="13"/>
  <c r="B289" i="13"/>
  <c r="N289" i="13"/>
  <c r="V304" i="13"/>
  <c r="B27" i="14"/>
  <c r="V35" i="14"/>
  <c r="P36" i="14"/>
  <c r="V36" i="14"/>
  <c r="N36" i="14" s="1"/>
  <c r="B38" i="14"/>
  <c r="V62" i="14"/>
  <c r="V67" i="14"/>
  <c r="V77" i="14"/>
  <c r="N77" i="14"/>
  <c r="L77" i="14"/>
  <c r="P77" i="14"/>
  <c r="N85" i="14"/>
  <c r="Y85" i="14"/>
  <c r="W85" i="14"/>
  <c r="X85" i="14" s="1"/>
  <c r="Y112" i="14"/>
  <c r="P301" i="13"/>
  <c r="V301" i="13"/>
  <c r="N301" i="13"/>
  <c r="P302" i="13"/>
  <c r="P303" i="13"/>
  <c r="B304" i="13"/>
  <c r="Y7" i="14"/>
  <c r="W7" i="14"/>
  <c r="X7" i="14" s="1"/>
  <c r="V13" i="14"/>
  <c r="N13" i="14"/>
  <c r="L13" i="14"/>
  <c r="V14" i="14"/>
  <c r="N14" i="14" s="1"/>
  <c r="L14" i="14"/>
  <c r="V21" i="14"/>
  <c r="N21" i="14"/>
  <c r="L21" i="14"/>
  <c r="V22" i="14"/>
  <c r="L23" i="14"/>
  <c r="P23" i="14"/>
  <c r="V23" i="14"/>
  <c r="B28" i="14"/>
  <c r="V33" i="14"/>
  <c r="B33" i="14"/>
  <c r="B37" i="14"/>
  <c r="Y42" i="14"/>
  <c r="V53" i="14"/>
  <c r="N53" i="14" s="1"/>
  <c r="L53" i="14"/>
  <c r="V54" i="14"/>
  <c r="L55" i="14"/>
  <c r="P55" i="14"/>
  <c r="V55" i="14"/>
  <c r="Y82" i="14"/>
  <c r="W82" i="14"/>
  <c r="X82" i="14" s="1"/>
  <c r="W83" i="14"/>
  <c r="X83" i="14" s="1"/>
  <c r="Y83" i="14"/>
  <c r="Y168" i="14"/>
  <c r="Y178" i="14"/>
  <c r="N208" i="13"/>
  <c r="N216" i="13"/>
  <c r="N234" i="13"/>
  <c r="N252" i="13"/>
  <c r="B263" i="13"/>
  <c r="N264" i="13"/>
  <c r="N269" i="13"/>
  <c r="P289" i="13"/>
  <c r="P296" i="13"/>
  <c r="V296" i="13"/>
  <c r="N296" i="13" s="1"/>
  <c r="B302" i="13"/>
  <c r="P304" i="13"/>
  <c r="V15" i="14"/>
  <c r="P18" i="14"/>
  <c r="N42" i="14"/>
  <c r="W42" i="14"/>
  <c r="X42" i="14" s="1"/>
  <c r="V43" i="14"/>
  <c r="P44" i="14"/>
  <c r="V44" i="14"/>
  <c r="N44" i="14"/>
  <c r="B46" i="14"/>
  <c r="N55" i="14"/>
  <c r="V61" i="14"/>
  <c r="N61" i="14"/>
  <c r="L61" i="14"/>
  <c r="P61" i="14"/>
  <c r="V65" i="14"/>
  <c r="B65" i="14"/>
  <c r="L71" i="14"/>
  <c r="P71" i="14"/>
  <c r="V71" i="14"/>
  <c r="N71" i="14"/>
  <c r="W72" i="14"/>
  <c r="X72" i="14" s="1"/>
  <c r="Y72" i="14"/>
  <c r="B77" i="14"/>
  <c r="N82" i="14"/>
  <c r="Y136" i="14"/>
  <c r="Y163" i="14"/>
  <c r="B229" i="13"/>
  <c r="N230" i="13"/>
  <c r="N240" i="13"/>
  <c r="N249" i="13"/>
  <c r="B259" i="13"/>
  <c r="N260" i="13"/>
  <c r="N274" i="13"/>
  <c r="V282" i="13"/>
  <c r="B294" i="13"/>
  <c r="N294" i="13"/>
  <c r="V299" i="13"/>
  <c r="B303" i="13"/>
  <c r="P7" i="14"/>
  <c r="V11" i="14"/>
  <c r="P12" i="14"/>
  <c r="V12" i="14"/>
  <c r="N12" i="14"/>
  <c r="P13" i="14"/>
  <c r="P14" i="14"/>
  <c r="P21" i="14"/>
  <c r="B24" i="14"/>
  <c r="V29" i="14"/>
  <c r="N29" i="14"/>
  <c r="L29" i="14"/>
  <c r="V30" i="14"/>
  <c r="L31" i="14"/>
  <c r="P31" i="14"/>
  <c r="V31" i="14"/>
  <c r="B36" i="14"/>
  <c r="V41" i="14"/>
  <c r="B41" i="14"/>
  <c r="B45" i="14"/>
  <c r="P50" i="14"/>
  <c r="P53" i="14"/>
  <c r="B56" i="14"/>
  <c r="B63" i="14"/>
  <c r="B68" i="14"/>
  <c r="V70" i="14"/>
  <c r="N70" i="14" s="1"/>
  <c r="V75" i="14"/>
  <c r="W80" i="14"/>
  <c r="X80" i="14" s="1"/>
  <c r="Y80" i="14"/>
  <c r="Y87" i="14"/>
  <c r="W88" i="14"/>
  <c r="X88" i="14" s="1"/>
  <c r="Y88" i="14"/>
  <c r="L84" i="14"/>
  <c r="P88" i="14"/>
  <c r="N90" i="14"/>
  <c r="V90" i="14"/>
  <c r="V92" i="14"/>
  <c r="N92" i="14" s="1"/>
  <c r="B94" i="14"/>
  <c r="N96" i="14"/>
  <c r="V96" i="14"/>
  <c r="V103" i="14"/>
  <c r="B107" i="14"/>
  <c r="P109" i="14"/>
  <c r="L111" i="14"/>
  <c r="B113" i="14"/>
  <c r="P116" i="14"/>
  <c r="V116" i="14"/>
  <c r="N116" i="14"/>
  <c r="V128" i="14"/>
  <c r="V134" i="14"/>
  <c r="B134" i="14"/>
  <c r="B140" i="14"/>
  <c r="V143" i="14"/>
  <c r="P146" i="14"/>
  <c r="V146" i="14"/>
  <c r="P152" i="14"/>
  <c r="L154" i="14"/>
  <c r="B164" i="14"/>
  <c r="V167" i="14"/>
  <c r="B172" i="14"/>
  <c r="Y174" i="14"/>
  <c r="W174" i="14"/>
  <c r="X174" i="14" s="1"/>
  <c r="Y186" i="14"/>
  <c r="W204" i="14"/>
  <c r="X204" i="14" s="1"/>
  <c r="N204" i="14"/>
  <c r="Y204" i="14"/>
  <c r="V99" i="14"/>
  <c r="N99" i="14"/>
  <c r="V102" i="14"/>
  <c r="B102" i="14"/>
  <c r="V111" i="14"/>
  <c r="V142" i="14"/>
  <c r="B142" i="14"/>
  <c r="Y149" i="14"/>
  <c r="V154" i="14"/>
  <c r="Y177" i="14"/>
  <c r="W177" i="14"/>
  <c r="X177" i="14" s="1"/>
  <c r="P183" i="14"/>
  <c r="V183" i="14"/>
  <c r="N183" i="14"/>
  <c r="L183" i="14"/>
  <c r="Y209" i="14"/>
  <c r="W209" i="14"/>
  <c r="X209" i="14" s="1"/>
  <c r="W223" i="14"/>
  <c r="X223" i="14" s="1"/>
  <c r="N223" i="14"/>
  <c r="Y223" i="14"/>
  <c r="L22" i="14"/>
  <c r="L30" i="14"/>
  <c r="L38" i="14"/>
  <c r="L46" i="14"/>
  <c r="L54" i="14"/>
  <c r="B60" i="14"/>
  <c r="N60" i="14"/>
  <c r="V60" i="14"/>
  <c r="L62" i="14"/>
  <c r="N68" i="14"/>
  <c r="V68" i="14"/>
  <c r="L70" i="14"/>
  <c r="V76" i="14"/>
  <c r="L78" i="14"/>
  <c r="V84" i="14"/>
  <c r="L86" i="14"/>
  <c r="W87" i="14"/>
  <c r="X87" i="14" s="1"/>
  <c r="L93" i="14"/>
  <c r="L95" i="14"/>
  <c r="V110" i="14"/>
  <c r="B110" i="14"/>
  <c r="B116" i="14"/>
  <c r="V119" i="14"/>
  <c r="V122" i="14"/>
  <c r="L130" i="14"/>
  <c r="W136" i="14"/>
  <c r="X136" i="14" s="1"/>
  <c r="V144" i="14"/>
  <c r="P148" i="14"/>
  <c r="V148" i="14"/>
  <c r="N148" i="14"/>
  <c r="W149" i="14"/>
  <c r="X149" i="14" s="1"/>
  <c r="V153" i="14"/>
  <c r="B154" i="14"/>
  <c r="N154" i="14"/>
  <c r="W155" i="14"/>
  <c r="X155" i="14" s="1"/>
  <c r="V175" i="14"/>
  <c r="B175" i="14"/>
  <c r="W178" i="14"/>
  <c r="X178" i="14" s="1"/>
  <c r="N178" i="14"/>
  <c r="W187" i="14"/>
  <c r="X187" i="14" s="1"/>
  <c r="N187" i="14"/>
  <c r="Y187" i="14"/>
  <c r="Y206" i="14"/>
  <c r="W206" i="14"/>
  <c r="X206" i="14" s="1"/>
  <c r="Y229" i="14"/>
  <c r="W229" i="14"/>
  <c r="X229" i="14" s="1"/>
  <c r="N229" i="14"/>
  <c r="B89" i="14"/>
  <c r="P99" i="14"/>
  <c r="V100" i="14"/>
  <c r="N100" i="14"/>
  <c r="V118" i="14"/>
  <c r="B118" i="14"/>
  <c r="Y125" i="14"/>
  <c r="V130" i="14"/>
  <c r="Y157" i="14"/>
  <c r="V162" i="14"/>
  <c r="W168" i="14"/>
  <c r="X168" i="14" s="1"/>
  <c r="Y236" i="14"/>
  <c r="N22" i="14"/>
  <c r="N38" i="14"/>
  <c r="N54" i="14"/>
  <c r="N78" i="14"/>
  <c r="B86" i="14"/>
  <c r="V86" i="14"/>
  <c r="V93" i="14"/>
  <c r="B95" i="14"/>
  <c r="V95" i="14"/>
  <c r="V97" i="14"/>
  <c r="W112" i="14"/>
  <c r="X112" i="14" s="1"/>
  <c r="P124" i="14"/>
  <c r="V124" i="14"/>
  <c r="N124" i="14"/>
  <c r="W125" i="14"/>
  <c r="X125" i="14" s="1"/>
  <c r="W129" i="14"/>
  <c r="X129" i="14" s="1"/>
  <c r="N129" i="14"/>
  <c r="N130" i="14"/>
  <c r="V133" i="14"/>
  <c r="V138" i="14"/>
  <c r="V151" i="14"/>
  <c r="N151" i="14" s="1"/>
  <c r="P156" i="14"/>
  <c r="V156" i="14"/>
  <c r="N156" i="14"/>
  <c r="W157" i="14"/>
  <c r="X157" i="14" s="1"/>
  <c r="V158" i="14"/>
  <c r="W161" i="14"/>
  <c r="X161" i="14" s="1"/>
  <c r="N161" i="14"/>
  <c r="W163" i="14"/>
  <c r="X163" i="14" s="1"/>
  <c r="Y193" i="14"/>
  <c r="W193" i="14"/>
  <c r="X193" i="14" s="1"/>
  <c r="W196" i="14"/>
  <c r="X196" i="14" s="1"/>
  <c r="N196" i="14"/>
  <c r="Y196" i="14"/>
  <c r="Y210" i="14"/>
  <c r="W210" i="14"/>
  <c r="X210" i="14" s="1"/>
  <c r="N210" i="14"/>
  <c r="Y262" i="14"/>
  <c r="N11" i="14"/>
  <c r="N19" i="14"/>
  <c r="N35" i="14"/>
  <c r="N43" i="14"/>
  <c r="V51" i="14"/>
  <c r="V59" i="14"/>
  <c r="N67" i="14"/>
  <c r="N83" i="14"/>
  <c r="V91" i="14"/>
  <c r="P100" i="14"/>
  <c r="V101" i="14"/>
  <c r="P106" i="14"/>
  <c r="V106" i="14"/>
  <c r="W120" i="14"/>
  <c r="X120" i="14" s="1"/>
  <c r="P125" i="14"/>
  <c r="B129" i="14"/>
  <c r="P132" i="14"/>
  <c r="V132" i="14"/>
  <c r="N132" i="14"/>
  <c r="B133" i="14"/>
  <c r="V137" i="14"/>
  <c r="N138" i="14"/>
  <c r="V141" i="14"/>
  <c r="B151" i="14"/>
  <c r="P157" i="14"/>
  <c r="N165" i="14"/>
  <c r="V165" i="14"/>
  <c r="P170" i="14"/>
  <c r="V170" i="14"/>
  <c r="V173" i="14"/>
  <c r="N174" i="14"/>
  <c r="Y189" i="14"/>
  <c r="W189" i="14"/>
  <c r="X189" i="14" s="1"/>
  <c r="Y190" i="14"/>
  <c r="W190" i="14"/>
  <c r="X190" i="14" s="1"/>
  <c r="Y201" i="14"/>
  <c r="W201" i="14"/>
  <c r="X201" i="14" s="1"/>
  <c r="Y217" i="14"/>
  <c r="W217" i="14"/>
  <c r="X217" i="14" s="1"/>
  <c r="N80" i="14"/>
  <c r="N88" i="14"/>
  <c r="B100" i="14"/>
  <c r="B101" i="14"/>
  <c r="V105" i="14"/>
  <c r="N106" i="14"/>
  <c r="N109" i="14"/>
  <c r="V109" i="14"/>
  <c r="P114" i="14"/>
  <c r="V114" i="14"/>
  <c r="B124" i="14"/>
  <c r="V127" i="14"/>
  <c r="B131" i="14"/>
  <c r="P133" i="14"/>
  <c r="L135" i="14"/>
  <c r="B137" i="14"/>
  <c r="P140" i="14"/>
  <c r="V140" i="14"/>
  <c r="N140" i="14" s="1"/>
  <c r="B156" i="14"/>
  <c r="V159" i="14"/>
  <c r="P164" i="14"/>
  <c r="V164" i="14"/>
  <c r="N164" i="14" s="1"/>
  <c r="V169" i="14"/>
  <c r="B170" i="14"/>
  <c r="W171" i="14"/>
  <c r="X171" i="14" s="1"/>
  <c r="P172" i="14"/>
  <c r="V172" i="14"/>
  <c r="N172" i="14"/>
  <c r="L172" i="14"/>
  <c r="V180" i="14"/>
  <c r="P180" i="14"/>
  <c r="V181" i="14"/>
  <c r="B182" i="14"/>
  <c r="Y184" i="14"/>
  <c r="W184" i="14"/>
  <c r="X184" i="14" s="1"/>
  <c r="Y198" i="14"/>
  <c r="W198" i="14"/>
  <c r="X198" i="14" s="1"/>
  <c r="Y203" i="14"/>
  <c r="Y214" i="14"/>
  <c r="W214" i="14"/>
  <c r="X214" i="14" s="1"/>
  <c r="B85" i="14"/>
  <c r="P98" i="14"/>
  <c r="V98" i="14"/>
  <c r="P101" i="14"/>
  <c r="B105" i="14"/>
  <c r="P108" i="14"/>
  <c r="V108" i="14"/>
  <c r="N108" i="14" s="1"/>
  <c r="V113" i="14"/>
  <c r="Y117" i="14"/>
  <c r="V126" i="14"/>
  <c r="B126" i="14"/>
  <c r="B132" i="14"/>
  <c r="V135" i="14"/>
  <c r="P141" i="14"/>
  <c r="B158" i="14"/>
  <c r="P165" i="14"/>
  <c r="L167" i="14"/>
  <c r="B169" i="14"/>
  <c r="P173" i="14"/>
  <c r="Y194" i="14"/>
  <c r="W194" i="14"/>
  <c r="X194" i="14" s="1"/>
  <c r="N194" i="14"/>
  <c r="Y211" i="14"/>
  <c r="P105" i="14"/>
  <c r="N107" i="14"/>
  <c r="V107" i="14"/>
  <c r="P113" i="14"/>
  <c r="V115" i="14"/>
  <c r="N123" i="14"/>
  <c r="V123" i="14"/>
  <c r="P129" i="14"/>
  <c r="N131" i="14"/>
  <c r="V131" i="14"/>
  <c r="P137" i="14"/>
  <c r="V139" i="14"/>
  <c r="N147" i="14"/>
  <c r="V147" i="14"/>
  <c r="P153" i="14"/>
  <c r="N155" i="14"/>
  <c r="P161" i="14"/>
  <c r="N163" i="14"/>
  <c r="P169" i="14"/>
  <c r="N171" i="14"/>
  <c r="P178" i="14"/>
  <c r="B180" i="14"/>
  <c r="N181" i="14"/>
  <c r="B189" i="14"/>
  <c r="N190" i="14"/>
  <c r="L192" i="14"/>
  <c r="N198" i="14"/>
  <c r="L200" i="14"/>
  <c r="N206" i="14"/>
  <c r="L208" i="14"/>
  <c r="N214" i="14"/>
  <c r="L216" i="14"/>
  <c r="P219" i="14"/>
  <c r="L220" i="14"/>
  <c r="L222" i="14"/>
  <c r="B227" i="14"/>
  <c r="Y231" i="14"/>
  <c r="L232" i="14"/>
  <c r="L235" i="14"/>
  <c r="V241" i="14"/>
  <c r="P247" i="14"/>
  <c r="V247" i="14"/>
  <c r="N247" i="14"/>
  <c r="V249" i="14"/>
  <c r="V255" i="14"/>
  <c r="P255" i="14"/>
  <c r="V259" i="14"/>
  <c r="L266" i="14"/>
  <c r="P269" i="14"/>
  <c r="V269" i="14"/>
  <c r="P286" i="14"/>
  <c r="V286" i="14"/>
  <c r="Y290" i="14"/>
  <c r="V298" i="14"/>
  <c r="V299" i="14"/>
  <c r="W22" i="15"/>
  <c r="W45" i="15"/>
  <c r="W62" i="15"/>
  <c r="V232" i="14"/>
  <c r="N232" i="14" s="1"/>
  <c r="V235" i="14"/>
  <c r="W239" i="14"/>
  <c r="X239" i="14" s="1"/>
  <c r="P258" i="14"/>
  <c r="V258" i="14"/>
  <c r="N258" i="14"/>
  <c r="V266" i="14"/>
  <c r="N294" i="14"/>
  <c r="Y294" i="14"/>
  <c r="W56" i="15"/>
  <c r="W186" i="14"/>
  <c r="X186" i="14" s="1"/>
  <c r="P189" i="14"/>
  <c r="N192" i="14"/>
  <c r="V192" i="14"/>
  <c r="W195" i="14"/>
  <c r="X195" i="14" s="1"/>
  <c r="N200" i="14"/>
  <c r="V200" i="14"/>
  <c r="W203" i="14"/>
  <c r="X203" i="14" s="1"/>
  <c r="B208" i="14"/>
  <c r="V208" i="14"/>
  <c r="W211" i="14"/>
  <c r="X211" i="14" s="1"/>
  <c r="V216" i="14"/>
  <c r="N216" i="14" s="1"/>
  <c r="V220" i="14"/>
  <c r="N222" i="14"/>
  <c r="V222" i="14"/>
  <c r="B230" i="14"/>
  <c r="V233" i="14"/>
  <c r="N233" i="14" s="1"/>
  <c r="N235" i="14"/>
  <c r="L245" i="14"/>
  <c r="V250" i="14"/>
  <c r="P250" i="14"/>
  <c r="Y260" i="14"/>
  <c r="L261" i="14"/>
  <c r="B265" i="14"/>
  <c r="B266" i="14"/>
  <c r="N266" i="14"/>
  <c r="V267" i="14"/>
  <c r="N280" i="14"/>
  <c r="V280" i="14"/>
  <c r="W294" i="14"/>
  <c r="X294" i="14" s="1"/>
  <c r="W44" i="15"/>
  <c r="N179" i="14"/>
  <c r="V179" i="14"/>
  <c r="L182" i="14"/>
  <c r="N188" i="14"/>
  <c r="V188" i="14"/>
  <c r="L191" i="14"/>
  <c r="V197" i="14"/>
  <c r="L199" i="14"/>
  <c r="B205" i="14"/>
  <c r="V205" i="14"/>
  <c r="L207" i="14"/>
  <c r="N213" i="14"/>
  <c r="V213" i="14"/>
  <c r="L215" i="14"/>
  <c r="N218" i="14"/>
  <c r="V218" i="14"/>
  <c r="V224" i="14"/>
  <c r="N226" i="14"/>
  <c r="V226" i="14"/>
  <c r="V245" i="14"/>
  <c r="V261" i="14"/>
  <c r="P279" i="14"/>
  <c r="V279" i="14"/>
  <c r="N279" i="14" s="1"/>
  <c r="B194" i="14"/>
  <c r="B210" i="14"/>
  <c r="P233" i="14"/>
  <c r="V240" i="14"/>
  <c r="Y242" i="14"/>
  <c r="W242" i="14"/>
  <c r="X242" i="14" s="1"/>
  <c r="B245" i="14"/>
  <c r="V254" i="14"/>
  <c r="P254" i="14"/>
  <c r="V256" i="14"/>
  <c r="N261" i="14"/>
  <c r="N272" i="14"/>
  <c r="V272" i="14"/>
  <c r="V285" i="14"/>
  <c r="P285" i="14"/>
  <c r="Y301" i="14"/>
  <c r="W301" i="14"/>
  <c r="X301" i="14" s="1"/>
  <c r="W29" i="15"/>
  <c r="W52" i="15"/>
  <c r="L150" i="14"/>
  <c r="L158" i="14"/>
  <c r="L166" i="14"/>
  <c r="L174" i="14"/>
  <c r="W176" i="14"/>
  <c r="X176" i="14" s="1"/>
  <c r="V182" i="14"/>
  <c r="L184" i="14"/>
  <c r="W185" i="14"/>
  <c r="X185" i="14" s="1"/>
  <c r="V191" i="14"/>
  <c r="L193" i="14"/>
  <c r="N199" i="14"/>
  <c r="V199" i="14"/>
  <c r="L201" i="14"/>
  <c r="W202" i="14"/>
  <c r="X202" i="14" s="1"/>
  <c r="V207" i="14"/>
  <c r="L209" i="14"/>
  <c r="V215" i="14"/>
  <c r="L217" i="14"/>
  <c r="V221" i="14"/>
  <c r="N221" i="14" s="1"/>
  <c r="P231" i="14"/>
  <c r="W236" i="14"/>
  <c r="X236" i="14" s="1"/>
  <c r="B240" i="14"/>
  <c r="N241" i="14"/>
  <c r="V243" i="14"/>
  <c r="B254" i="14"/>
  <c r="B256" i="14"/>
  <c r="N256" i="14"/>
  <c r="W262" i="14"/>
  <c r="X262" i="14" s="1"/>
  <c r="P271" i="14"/>
  <c r="V271" i="14"/>
  <c r="N271" i="14"/>
  <c r="B272" i="14"/>
  <c r="B279" i="14"/>
  <c r="V282" i="14"/>
  <c r="B285" i="14"/>
  <c r="N285" i="14"/>
  <c r="P288" i="14"/>
  <c r="V288" i="14"/>
  <c r="N288" i="14"/>
  <c r="B289" i="14"/>
  <c r="W289" i="14"/>
  <c r="X289" i="14" s="1"/>
  <c r="N290" i="14"/>
  <c r="W291" i="14"/>
  <c r="X291" i="14" s="1"/>
  <c r="N292" i="14"/>
  <c r="W293" i="14"/>
  <c r="X293" i="14" s="1"/>
  <c r="N301" i="14"/>
  <c r="W15" i="15"/>
  <c r="W40" i="15"/>
  <c r="W46" i="15"/>
  <c r="W55" i="15"/>
  <c r="B187" i="14"/>
  <c r="B196" i="14"/>
  <c r="B204" i="14"/>
  <c r="V219" i="14"/>
  <c r="N219" i="14"/>
  <c r="B223" i="14"/>
  <c r="P227" i="14"/>
  <c r="V227" i="14"/>
  <c r="N227" i="14" s="1"/>
  <c r="B229" i="14"/>
  <c r="B241" i="14"/>
  <c r="B243" i="14"/>
  <c r="V253" i="14"/>
  <c r="B253" i="14"/>
  <c r="P272" i="14"/>
  <c r="P277" i="14"/>
  <c r="V277" i="14"/>
  <c r="N277" i="14" s="1"/>
  <c r="B281" i="14"/>
  <c r="P289" i="14"/>
  <c r="P296" i="14"/>
  <c r="V296" i="14"/>
  <c r="P303" i="14"/>
  <c r="V303" i="14"/>
  <c r="N303" i="14"/>
  <c r="B303" i="14"/>
  <c r="L303" i="14"/>
  <c r="Y304" i="14"/>
  <c r="W304" i="14"/>
  <c r="X304" i="14" s="1"/>
  <c r="N304" i="14"/>
  <c r="W23" i="15"/>
  <c r="W37" i="15"/>
  <c r="N150" i="14"/>
  <c r="N158" i="14"/>
  <c r="N166" i="14"/>
  <c r="B174" i="14"/>
  <c r="N184" i="14"/>
  <c r="N193" i="14"/>
  <c r="N201" i="14"/>
  <c r="N209" i="14"/>
  <c r="N217" i="14"/>
  <c r="P221" i="14"/>
  <c r="P225" i="14"/>
  <c r="V225" i="14"/>
  <c r="V228" i="14"/>
  <c r="V230" i="14"/>
  <c r="N230" i="14"/>
  <c r="L230" i="14"/>
  <c r="P237" i="14"/>
  <c r="V237" i="14"/>
  <c r="N237" i="14" s="1"/>
  <c r="P241" i="14"/>
  <c r="P243" i="14"/>
  <c r="L247" i="14"/>
  <c r="V248" i="14"/>
  <c r="V251" i="14"/>
  <c r="L255" i="14"/>
  <c r="P263" i="14"/>
  <c r="V263" i="14"/>
  <c r="N263" i="14"/>
  <c r="W264" i="14"/>
  <c r="X264" i="14" s="1"/>
  <c r="V265" i="14"/>
  <c r="L269" i="14"/>
  <c r="B271" i="14"/>
  <c r="V274" i="14"/>
  <c r="L286" i="14"/>
  <c r="V297" i="14"/>
  <c r="L298" i="14"/>
  <c r="W14" i="15"/>
  <c r="W28" i="15"/>
  <c r="W31" i="15"/>
  <c r="W54" i="15"/>
  <c r="W63" i="15"/>
  <c r="W71" i="15"/>
  <c r="V8" i="15"/>
  <c r="W8" i="15" s="1"/>
  <c r="M9" i="15"/>
  <c r="V16" i="15"/>
  <c r="W16" i="15" s="1"/>
  <c r="M17" i="15"/>
  <c r="V24" i="15"/>
  <c r="W24" i="15" s="1"/>
  <c r="M25" i="15"/>
  <c r="V32" i="15"/>
  <c r="W32" i="15" s="1"/>
  <c r="M33" i="15"/>
  <c r="V40" i="15"/>
  <c r="M41" i="15"/>
  <c r="V48" i="15"/>
  <c r="W48" i="15" s="1"/>
  <c r="M49" i="15"/>
  <c r="V56" i="15"/>
  <c r="M57" i="15"/>
  <c r="V64" i="15"/>
  <c r="W64" i="15" s="1"/>
  <c r="M65" i="15"/>
  <c r="W92" i="15"/>
  <c r="M105" i="15"/>
  <c r="V112" i="15"/>
  <c r="W112" i="15" s="1"/>
  <c r="P113" i="15"/>
  <c r="P128" i="15"/>
  <c r="W141" i="15"/>
  <c r="V151" i="15"/>
  <c r="W151" i="15" s="1"/>
  <c r="M152" i="15"/>
  <c r="M153" i="15"/>
  <c r="V153" i="15"/>
  <c r="W153" i="15" s="1"/>
  <c r="P154" i="15"/>
  <c r="B154" i="15"/>
  <c r="P159" i="15"/>
  <c r="W173" i="15"/>
  <c r="P175" i="15"/>
  <c r="M175" i="15"/>
  <c r="W189" i="15"/>
  <c r="W229" i="15"/>
  <c r="W237" i="15"/>
  <c r="W245" i="15"/>
  <c r="W253" i="15"/>
  <c r="W296" i="15"/>
  <c r="L301" i="14"/>
  <c r="B304" i="14"/>
  <c r="V78" i="15"/>
  <c r="W78" i="15" s="1"/>
  <c r="M79" i="15"/>
  <c r="M80" i="15"/>
  <c r="M81" i="15"/>
  <c r="M97" i="15"/>
  <c r="V102" i="15"/>
  <c r="W102" i="15" s="1"/>
  <c r="M103" i="15"/>
  <c r="M104" i="15"/>
  <c r="P105" i="15"/>
  <c r="B105" i="15"/>
  <c r="M146" i="15"/>
  <c r="M11" i="15"/>
  <c r="M19" i="15"/>
  <c r="M27" i="15"/>
  <c r="M35" i="15"/>
  <c r="M43" i="15"/>
  <c r="M51" i="15"/>
  <c r="M59" i="15"/>
  <c r="P80" i="15"/>
  <c r="M89" i="15"/>
  <c r="V94" i="15"/>
  <c r="W94" i="15" s="1"/>
  <c r="M95" i="15"/>
  <c r="M96" i="15"/>
  <c r="V96" i="15"/>
  <c r="W96" i="15" s="1"/>
  <c r="P97" i="15"/>
  <c r="B97" i="15"/>
  <c r="V103" i="15"/>
  <c r="W103" i="15" s="1"/>
  <c r="P104" i="15"/>
  <c r="V143" i="15"/>
  <c r="W143" i="15" s="1"/>
  <c r="P146" i="15"/>
  <c r="B146" i="15"/>
  <c r="P178" i="15"/>
  <c r="B178" i="15"/>
  <c r="M178" i="15"/>
  <c r="V11" i="15"/>
  <c r="W11" i="15" s="1"/>
  <c r="V19" i="15"/>
  <c r="W19" i="15" s="1"/>
  <c r="V27" i="15"/>
  <c r="W27" i="15" s="1"/>
  <c r="V35" i="15"/>
  <c r="W35" i="15" s="1"/>
  <c r="V43" i="15"/>
  <c r="W43" i="15" s="1"/>
  <c r="V51" i="15"/>
  <c r="W51" i="15" s="1"/>
  <c r="V59" i="15"/>
  <c r="W59" i="15" s="1"/>
  <c r="W68" i="15"/>
  <c r="V86" i="15"/>
  <c r="W86" i="15" s="1"/>
  <c r="P89" i="15"/>
  <c r="B89" i="15"/>
  <c r="V95" i="15"/>
  <c r="W95" i="15" s="1"/>
  <c r="V144" i="15"/>
  <c r="W144" i="15" s="1"/>
  <c r="W306" i="14"/>
  <c r="X306" i="14" s="1"/>
  <c r="V12" i="15"/>
  <c r="W12" i="15" s="1"/>
  <c r="V20" i="15"/>
  <c r="W20" i="15" s="1"/>
  <c r="V28" i="15"/>
  <c r="V36" i="15"/>
  <c r="W36" i="15" s="1"/>
  <c r="V44" i="15"/>
  <c r="V52" i="15"/>
  <c r="V60" i="15"/>
  <c r="W60" i="15" s="1"/>
  <c r="M75" i="15"/>
  <c r="P75" i="15"/>
  <c r="V87" i="15"/>
  <c r="W87" i="15" s="1"/>
  <c r="P94" i="15"/>
  <c r="B103" i="15"/>
  <c r="B104" i="15"/>
  <c r="V135" i="15"/>
  <c r="W135" i="15" s="1"/>
  <c r="P138" i="15"/>
  <c r="B138" i="15"/>
  <c r="P143" i="15"/>
  <c r="V167" i="15"/>
  <c r="W167" i="15" s="1"/>
  <c r="P170" i="15"/>
  <c r="B170" i="15"/>
  <c r="W243" i="15"/>
  <c r="L239" i="14"/>
  <c r="L249" i="14"/>
  <c r="L260" i="14"/>
  <c r="L265" i="14"/>
  <c r="L273" i="14"/>
  <c r="L281" i="14"/>
  <c r="L290" i="14"/>
  <c r="L291" i="14"/>
  <c r="L292" i="14"/>
  <c r="L293" i="14"/>
  <c r="M14" i="15"/>
  <c r="M22" i="15"/>
  <c r="M30" i="15"/>
  <c r="M38" i="15"/>
  <c r="M46" i="15"/>
  <c r="M54" i="15"/>
  <c r="M62" i="15"/>
  <c r="P86" i="15"/>
  <c r="W90" i="15"/>
  <c r="B94" i="15"/>
  <c r="B95" i="15"/>
  <c r="B96" i="15"/>
  <c r="W116" i="15"/>
  <c r="M122" i="15"/>
  <c r="V127" i="15"/>
  <c r="W127" i="15" s="1"/>
  <c r="M128" i="15"/>
  <c r="M129" i="15"/>
  <c r="V129" i="15"/>
  <c r="W129" i="15" s="1"/>
  <c r="P130" i="15"/>
  <c r="B130" i="15"/>
  <c r="P137" i="15"/>
  <c r="B143" i="15"/>
  <c r="B144" i="15"/>
  <c r="B145" i="15"/>
  <c r="W156" i="15"/>
  <c r="M162" i="15"/>
  <c r="P169" i="15"/>
  <c r="P177" i="15"/>
  <c r="W227" i="15"/>
  <c r="W259" i="15"/>
  <c r="M7" i="15"/>
  <c r="M15" i="15"/>
  <c r="M23" i="15"/>
  <c r="B28" i="15"/>
  <c r="M31" i="15"/>
  <c r="M39" i="15"/>
  <c r="M47" i="15"/>
  <c r="M55" i="15"/>
  <c r="B60" i="15"/>
  <c r="V70" i="15"/>
  <c r="W70" i="15" s="1"/>
  <c r="B75" i="15"/>
  <c r="B86" i="15"/>
  <c r="B87" i="15"/>
  <c r="B88" i="15"/>
  <c r="W108" i="15"/>
  <c r="V119" i="15"/>
  <c r="W119" i="15" s="1"/>
  <c r="P122" i="15"/>
  <c r="B122" i="15"/>
  <c r="P135" i="15"/>
  <c r="W149" i="15"/>
  <c r="V159" i="15"/>
  <c r="W159" i="15" s="1"/>
  <c r="P162" i="15"/>
  <c r="B162" i="15"/>
  <c r="P167" i="15"/>
  <c r="W181" i="15"/>
  <c r="W195" i="15"/>
  <c r="N239" i="14"/>
  <c r="N249" i="14"/>
  <c r="N260" i="14"/>
  <c r="N265" i="14"/>
  <c r="N273" i="14"/>
  <c r="N281" i="14"/>
  <c r="B290" i="14"/>
  <c r="B291" i="14"/>
  <c r="B292" i="14"/>
  <c r="B293" i="14"/>
  <c r="M67" i="15"/>
  <c r="P67" i="15"/>
  <c r="P72" i="15"/>
  <c r="W75" i="15"/>
  <c r="W76" i="15"/>
  <c r="W100" i="15"/>
  <c r="W107" i="15"/>
  <c r="V111" i="15"/>
  <c r="W111" i="15" s="1"/>
  <c r="M113" i="15"/>
  <c r="V113" i="15"/>
  <c r="W113" i="15" s="1"/>
  <c r="P114" i="15"/>
  <c r="B114" i="15"/>
  <c r="P121" i="15"/>
  <c r="W131" i="15"/>
  <c r="B135" i="15"/>
  <c r="W148" i="15"/>
  <c r="M154" i="15"/>
  <c r="V154" i="15"/>
  <c r="W154" i="15" s="1"/>
  <c r="P161" i="15"/>
  <c r="W163" i="15"/>
  <c r="B167" i="15"/>
  <c r="V175" i="15"/>
  <c r="W175" i="15" s="1"/>
  <c r="W180" i="15"/>
  <c r="P83" i="15"/>
  <c r="P91" i="15"/>
  <c r="P99" i="15"/>
  <c r="P107" i="15"/>
  <c r="P116" i="15"/>
  <c r="P124" i="15"/>
  <c r="P132" i="15"/>
  <c r="P140" i="15"/>
  <c r="P148" i="15"/>
  <c r="P156" i="15"/>
  <c r="P164" i="15"/>
  <c r="P172" i="15"/>
  <c r="P180" i="15"/>
  <c r="M183" i="15"/>
  <c r="P188" i="15"/>
  <c r="M191" i="15"/>
  <c r="P196" i="15"/>
  <c r="M199" i="15"/>
  <c r="P204" i="15"/>
  <c r="M207" i="15"/>
  <c r="P212" i="15"/>
  <c r="M215" i="15"/>
  <c r="P220" i="15"/>
  <c r="V222" i="15"/>
  <c r="W222" i="15" s="1"/>
  <c r="M223" i="15"/>
  <c r="P228" i="15"/>
  <c r="V230" i="15"/>
  <c r="W230" i="15" s="1"/>
  <c r="M231" i="15"/>
  <c r="P236" i="15"/>
  <c r="V238" i="15"/>
  <c r="W238" i="15" s="1"/>
  <c r="M239" i="15"/>
  <c r="P244" i="15"/>
  <c r="V246" i="15"/>
  <c r="W246" i="15" s="1"/>
  <c r="M247" i="15"/>
  <c r="M255" i="15"/>
  <c r="V262" i="15"/>
  <c r="W262" i="15" s="1"/>
  <c r="M263" i="15"/>
  <c r="V275" i="15"/>
  <c r="W275" i="15" s="1"/>
  <c r="V278" i="15"/>
  <c r="W278" i="15" s="1"/>
  <c r="M279" i="15"/>
  <c r="M280" i="15"/>
  <c r="V280" i="15"/>
  <c r="W280" i="15" s="1"/>
  <c r="P281" i="15"/>
  <c r="B281" i="15"/>
  <c r="W286" i="15"/>
  <c r="M297" i="15"/>
  <c r="V301" i="15"/>
  <c r="W301" i="15" s="1"/>
  <c r="M302" i="15"/>
  <c r="M307" i="15"/>
  <c r="M14" i="16"/>
  <c r="P19" i="16"/>
  <c r="B19" i="16"/>
  <c r="P25" i="16"/>
  <c r="P26" i="16"/>
  <c r="B27" i="16"/>
  <c r="P35" i="16"/>
  <c r="V183" i="15"/>
  <c r="W183" i="15" s="1"/>
  <c r="V191" i="15"/>
  <c r="W191" i="15" s="1"/>
  <c r="V199" i="15"/>
  <c r="W199" i="15" s="1"/>
  <c r="V207" i="15"/>
  <c r="W207" i="15" s="1"/>
  <c r="V215" i="15"/>
  <c r="W215" i="15" s="1"/>
  <c r="V223" i="15"/>
  <c r="W223" i="15" s="1"/>
  <c r="V231" i="15"/>
  <c r="W231" i="15" s="1"/>
  <c r="V239" i="15"/>
  <c r="W239" i="15" s="1"/>
  <c r="V247" i="15"/>
  <c r="W247" i="15" s="1"/>
  <c r="V255" i="15"/>
  <c r="W255" i="15" s="1"/>
  <c r="V263" i="15"/>
  <c r="W263" i="15" s="1"/>
  <c r="V269" i="15"/>
  <c r="W269" i="15" s="1"/>
  <c r="V279" i="15"/>
  <c r="W279" i="15" s="1"/>
  <c r="V297" i="15"/>
  <c r="W297" i="15" s="1"/>
  <c r="P302" i="15"/>
  <c r="B302" i="15"/>
  <c r="V307" i="15"/>
  <c r="W307" i="15" s="1"/>
  <c r="P14" i="16"/>
  <c r="B14" i="16"/>
  <c r="M193" i="15"/>
  <c r="M201" i="15"/>
  <c r="M209" i="15"/>
  <c r="M217" i="15"/>
  <c r="M225" i="15"/>
  <c r="M233" i="15"/>
  <c r="M241" i="15"/>
  <c r="M249" i="15"/>
  <c r="M257" i="15"/>
  <c r="M265" i="15"/>
  <c r="M266" i="15"/>
  <c r="V266" i="15"/>
  <c r="W266" i="15" s="1"/>
  <c r="V267" i="15"/>
  <c r="W267" i="15" s="1"/>
  <c r="M271" i="15"/>
  <c r="M272" i="15"/>
  <c r="V272" i="15"/>
  <c r="W272" i="15" s="1"/>
  <c r="M273" i="15"/>
  <c r="P274" i="15"/>
  <c r="V284" i="15"/>
  <c r="W284" i="15" s="1"/>
  <c r="M294" i="15"/>
  <c r="B297" i="15"/>
  <c r="P298" i="15"/>
  <c r="B298" i="15"/>
  <c r="B307" i="15"/>
  <c r="B16" i="16"/>
  <c r="P16" i="16"/>
  <c r="P38" i="16"/>
  <c r="M38" i="16"/>
  <c r="V177" i="15"/>
  <c r="W177" i="15" s="1"/>
  <c r="V185" i="15"/>
  <c r="W185" i="15" s="1"/>
  <c r="M186" i="15"/>
  <c r="V193" i="15"/>
  <c r="W193" i="15" s="1"/>
  <c r="M194" i="15"/>
  <c r="V201" i="15"/>
  <c r="W201" i="15" s="1"/>
  <c r="M202" i="15"/>
  <c r="V209" i="15"/>
  <c r="W209" i="15" s="1"/>
  <c r="M210" i="15"/>
  <c r="V217" i="15"/>
  <c r="W217" i="15" s="1"/>
  <c r="M218" i="15"/>
  <c r="V225" i="15"/>
  <c r="W225" i="15" s="1"/>
  <c r="M226" i="15"/>
  <c r="V233" i="15"/>
  <c r="W233" i="15" s="1"/>
  <c r="M234" i="15"/>
  <c r="B239" i="15"/>
  <c r="V241" i="15"/>
  <c r="W241" i="15" s="1"/>
  <c r="B247" i="15"/>
  <c r="V249" i="15"/>
  <c r="W249" i="15" s="1"/>
  <c r="B255" i="15"/>
  <c r="V257" i="15"/>
  <c r="W257" i="15" s="1"/>
  <c r="B263" i="15"/>
  <c r="V265" i="15"/>
  <c r="W265" i="15" s="1"/>
  <c r="P269" i="15"/>
  <c r="V271" i="15"/>
  <c r="W271" i="15" s="1"/>
  <c r="V273" i="15"/>
  <c r="B279" i="15"/>
  <c r="B280" i="15"/>
  <c r="V289" i="15"/>
  <c r="W289" i="15" s="1"/>
  <c r="M290" i="15"/>
  <c r="P294" i="15"/>
  <c r="B294" i="15"/>
  <c r="B304" i="15"/>
  <c r="P304" i="15"/>
  <c r="M13" i="16"/>
  <c r="B18" i="16"/>
  <c r="P18" i="16"/>
  <c r="V186" i="15"/>
  <c r="W186" i="15" s="1"/>
  <c r="V194" i="15"/>
  <c r="W194" i="15" s="1"/>
  <c r="V202" i="15"/>
  <c r="W202" i="15" s="1"/>
  <c r="V210" i="15"/>
  <c r="W210" i="15" s="1"/>
  <c r="V218" i="15"/>
  <c r="W218" i="15" s="1"/>
  <c r="V226" i="15"/>
  <c r="W226" i="15" s="1"/>
  <c r="V234" i="15"/>
  <c r="W234" i="15" s="1"/>
  <c r="V242" i="15"/>
  <c r="W242" i="15" s="1"/>
  <c r="V250" i="15"/>
  <c r="W250" i="15" s="1"/>
  <c r="V258" i="15"/>
  <c r="W258" i="15" s="1"/>
  <c r="B269" i="15"/>
  <c r="B284" i="15"/>
  <c r="P284" i="15"/>
  <c r="V285" i="15"/>
  <c r="W285" i="15" s="1"/>
  <c r="P290" i="15"/>
  <c r="B290" i="15"/>
  <c r="W302" i="15"/>
  <c r="B13" i="16"/>
  <c r="P13" i="16"/>
  <c r="V27" i="16"/>
  <c r="W27" i="16" s="1"/>
  <c r="B38" i="16"/>
  <c r="M83" i="15"/>
  <c r="M91" i="15"/>
  <c r="M99" i="15"/>
  <c r="M107" i="15"/>
  <c r="M116" i="15"/>
  <c r="M124" i="15"/>
  <c r="M132" i="15"/>
  <c r="V139" i="15"/>
  <c r="W139" i="15" s="1"/>
  <c r="M140" i="15"/>
  <c r="V147" i="15"/>
  <c r="W147" i="15" s="1"/>
  <c r="M148" i="15"/>
  <c r="V155" i="15"/>
  <c r="W155" i="15" s="1"/>
  <c r="M156" i="15"/>
  <c r="V163" i="15"/>
  <c r="M164" i="15"/>
  <c r="V171" i="15"/>
  <c r="W171" i="15" s="1"/>
  <c r="M172" i="15"/>
  <c r="V179" i="15"/>
  <c r="W179" i="15" s="1"/>
  <c r="M180" i="15"/>
  <c r="V187" i="15"/>
  <c r="W187" i="15" s="1"/>
  <c r="M188" i="15"/>
  <c r="V195" i="15"/>
  <c r="M196" i="15"/>
  <c r="V203" i="15"/>
  <c r="W203" i="15" s="1"/>
  <c r="M204" i="15"/>
  <c r="V211" i="15"/>
  <c r="W211" i="15" s="1"/>
  <c r="M212" i="15"/>
  <c r="V219" i="15"/>
  <c r="W219" i="15" s="1"/>
  <c r="M220" i="15"/>
  <c r="V227" i="15"/>
  <c r="M228" i="15"/>
  <c r="B233" i="15"/>
  <c r="V235" i="15"/>
  <c r="W235" i="15" s="1"/>
  <c r="B241" i="15"/>
  <c r="V243" i="15"/>
  <c r="B249" i="15"/>
  <c r="V251" i="15"/>
  <c r="W251" i="15" s="1"/>
  <c r="B257" i="15"/>
  <c r="V259" i="15"/>
  <c r="B265" i="15"/>
  <c r="B266" i="15"/>
  <c r="B267" i="15"/>
  <c r="B271" i="15"/>
  <c r="B272" i="15"/>
  <c r="B273" i="15"/>
  <c r="B285" i="15"/>
  <c r="P286" i="15"/>
  <c r="B286" i="15"/>
  <c r="W295" i="15"/>
  <c r="W298" i="15"/>
  <c r="W305" i="15"/>
  <c r="V24" i="16"/>
  <c r="W24" i="16" s="1"/>
  <c r="B36" i="16"/>
  <c r="M36" i="16"/>
  <c r="V36" i="16"/>
  <c r="W36" i="16" s="1"/>
  <c r="B186" i="15"/>
  <c r="B194" i="15"/>
  <c r="B202" i="15"/>
  <c r="B210" i="15"/>
  <c r="B218" i="15"/>
  <c r="B226" i="15"/>
  <c r="B234" i="15"/>
  <c r="B242" i="15"/>
  <c r="B250" i="15"/>
  <c r="M253" i="15"/>
  <c r="B258" i="15"/>
  <c r="M261" i="15"/>
  <c r="W291" i="15"/>
  <c r="W294" i="15"/>
  <c r="B303" i="15"/>
  <c r="P303" i="15"/>
  <c r="W304" i="15"/>
  <c r="B8" i="16"/>
  <c r="P8" i="16"/>
  <c r="P27" i="16"/>
  <c r="B41" i="16"/>
  <c r="P41" i="16"/>
  <c r="M41" i="16"/>
  <c r="B139" i="15"/>
  <c r="B147" i="15"/>
  <c r="B155" i="15"/>
  <c r="B163" i="15"/>
  <c r="B171" i="15"/>
  <c r="B179" i="15"/>
  <c r="B187" i="15"/>
  <c r="B195" i="15"/>
  <c r="B203" i="15"/>
  <c r="B211" i="15"/>
  <c r="B219" i="15"/>
  <c r="B251" i="15"/>
  <c r="W273" i="15"/>
  <c r="V277" i="15"/>
  <c r="W277" i="15" s="1"/>
  <c r="M281" i="15"/>
  <c r="V281" i="15"/>
  <c r="W281" i="15" s="1"/>
  <c r="W283" i="15"/>
  <c r="W287" i="15"/>
  <c r="W290" i="15"/>
  <c r="M19" i="16"/>
  <c r="V19" i="16"/>
  <c r="W19" i="16" s="1"/>
  <c r="B24" i="16"/>
  <c r="P24" i="16"/>
  <c r="P36" i="16"/>
  <c r="V288" i="15"/>
  <c r="W288" i="15" s="1"/>
  <c r="V292" i="15"/>
  <c r="W292" i="15" s="1"/>
  <c r="V296" i="15"/>
  <c r="V300" i="15"/>
  <c r="W300" i="15" s="1"/>
  <c r="V306" i="15"/>
  <c r="W306" i="15" s="1"/>
  <c r="V23" i="16"/>
  <c r="W23" i="16" s="1"/>
  <c r="V28" i="16"/>
  <c r="W28" i="16" s="1"/>
  <c r="V30" i="16"/>
  <c r="W30" i="16" s="1"/>
  <c r="V34" i="16"/>
  <c r="W34" i="16" s="1"/>
  <c r="M35" i="16"/>
  <c r="M44" i="16"/>
  <c r="V45" i="16"/>
  <c r="W45" i="16" s="1"/>
  <c r="B58" i="16"/>
  <c r="V61" i="16"/>
  <c r="W61" i="16" s="1"/>
  <c r="M90" i="16"/>
  <c r="B105" i="16"/>
  <c r="P105" i="16"/>
  <c r="B120" i="16"/>
  <c r="P120" i="16"/>
  <c r="M122" i="16"/>
  <c r="V35" i="16"/>
  <c r="W35" i="16" s="1"/>
  <c r="M43" i="16"/>
  <c r="M63" i="16"/>
  <c r="V80" i="16"/>
  <c r="W80" i="16" s="1"/>
  <c r="M83" i="16"/>
  <c r="V90" i="16"/>
  <c r="W90" i="16" s="1"/>
  <c r="M97" i="16"/>
  <c r="M112" i="16"/>
  <c r="V115" i="16"/>
  <c r="W115" i="16" s="1"/>
  <c r="V122" i="16"/>
  <c r="W122" i="16" s="1"/>
  <c r="V43" i="16"/>
  <c r="W43" i="16" s="1"/>
  <c r="P63" i="16"/>
  <c r="B63" i="16"/>
  <c r="V79" i="16"/>
  <c r="W79" i="16" s="1"/>
  <c r="V81" i="16"/>
  <c r="W81" i="16" s="1"/>
  <c r="P83" i="16"/>
  <c r="B83" i="16"/>
  <c r="B97" i="16"/>
  <c r="P97" i="16"/>
  <c r="B112" i="16"/>
  <c r="P112" i="16"/>
  <c r="B129" i="16"/>
  <c r="P129" i="16"/>
  <c r="V37" i="16"/>
  <c r="W37" i="16" s="1"/>
  <c r="V42" i="16"/>
  <c r="W42" i="16" s="1"/>
  <c r="V59" i="16"/>
  <c r="W59" i="16" s="1"/>
  <c r="P65" i="16"/>
  <c r="B65" i="16"/>
  <c r="M67" i="16"/>
  <c r="P80" i="16"/>
  <c r="P82" i="16"/>
  <c r="M89" i="16"/>
  <c r="P90" i="16"/>
  <c r="M104" i="16"/>
  <c r="V107" i="16"/>
  <c r="W107" i="16" s="1"/>
  <c r="V114" i="16"/>
  <c r="W114" i="16" s="1"/>
  <c r="P115" i="16"/>
  <c r="M121" i="16"/>
  <c r="P122" i="16"/>
  <c r="V58" i="16"/>
  <c r="W58" i="16" s="1"/>
  <c r="P67" i="16"/>
  <c r="B67" i="16"/>
  <c r="V71" i="16"/>
  <c r="W71" i="16" s="1"/>
  <c r="B89" i="16"/>
  <c r="P89" i="16"/>
  <c r="B104" i="16"/>
  <c r="P104" i="16"/>
  <c r="B121" i="16"/>
  <c r="P121" i="16"/>
  <c r="P131" i="16"/>
  <c r="M131" i="16"/>
  <c r="V274" i="15"/>
  <c r="W274" i="15" s="1"/>
  <c r="V282" i="15"/>
  <c r="W282" i="15" s="1"/>
  <c r="M283" i="15"/>
  <c r="M287" i="15"/>
  <c r="M291" i="15"/>
  <c r="M295" i="15"/>
  <c r="M299" i="15"/>
  <c r="M305" i="15"/>
  <c r="V7" i="16"/>
  <c r="W7" i="16" s="1"/>
  <c r="V9" i="16"/>
  <c r="W9" i="16" s="1"/>
  <c r="M10" i="16"/>
  <c r="V11" i="16"/>
  <c r="W11" i="16" s="1"/>
  <c r="V12" i="16"/>
  <c r="W12" i="16" s="1"/>
  <c r="V15" i="16"/>
  <c r="W15" i="16" s="1"/>
  <c r="V17" i="16"/>
  <c r="W17" i="16" s="1"/>
  <c r="V20" i="16"/>
  <c r="W20" i="16" s="1"/>
  <c r="M21" i="16"/>
  <c r="M32" i="16"/>
  <c r="P42" i="16"/>
  <c r="M47" i="16"/>
  <c r="M48" i="16"/>
  <c r="M49" i="16"/>
  <c r="M50" i="16"/>
  <c r="M51" i="16"/>
  <c r="M54" i="16"/>
  <c r="M56" i="16"/>
  <c r="M57" i="16"/>
  <c r="P59" i="16"/>
  <c r="M73" i="16"/>
  <c r="V73" i="16"/>
  <c r="W73" i="16" s="1"/>
  <c r="P74" i="16"/>
  <c r="B74" i="16"/>
  <c r="M96" i="16"/>
  <c r="V99" i="16"/>
  <c r="W99" i="16" s="1"/>
  <c r="V106" i="16"/>
  <c r="W106" i="16" s="1"/>
  <c r="P107" i="16"/>
  <c r="M113" i="16"/>
  <c r="P114" i="16"/>
  <c r="M128" i="16"/>
  <c r="P58" i="16"/>
  <c r="B59" i="16"/>
  <c r="B71" i="16"/>
  <c r="P71" i="16"/>
  <c r="B96" i="16"/>
  <c r="P96" i="16"/>
  <c r="B113" i="16"/>
  <c r="P113" i="16"/>
  <c r="B128" i="16"/>
  <c r="P128" i="16"/>
  <c r="B73" i="16"/>
  <c r="M88" i="16"/>
  <c r="V88" i="16"/>
  <c r="W88" i="16" s="1"/>
  <c r="V91" i="16"/>
  <c r="W91" i="16" s="1"/>
  <c r="V98" i="16"/>
  <c r="W98" i="16" s="1"/>
  <c r="M105" i="16"/>
  <c r="V105" i="16"/>
  <c r="W105" i="16" s="1"/>
  <c r="B107" i="16"/>
  <c r="M120" i="16"/>
  <c r="V120" i="16"/>
  <c r="W120" i="16" s="1"/>
  <c r="V123" i="16"/>
  <c r="W123" i="16" s="1"/>
  <c r="V130" i="16"/>
  <c r="W130" i="16" s="1"/>
  <c r="B136" i="16"/>
  <c r="P136" i="16"/>
  <c r="M136" i="16"/>
  <c r="P62" i="16"/>
  <c r="P64" i="16"/>
  <c r="P66" i="16"/>
  <c r="P68" i="16"/>
  <c r="P76" i="16"/>
  <c r="P85" i="16"/>
  <c r="P87" i="16"/>
  <c r="P94" i="16"/>
  <c r="B95" i="16"/>
  <c r="P102" i="16"/>
  <c r="B103" i="16"/>
  <c r="P110" i="16"/>
  <c r="B111" i="16"/>
  <c r="P118" i="16"/>
  <c r="B119" i="16"/>
  <c r="P126" i="16"/>
  <c r="B127" i="16"/>
  <c r="P134" i="16"/>
  <c r="B135" i="16"/>
  <c r="M139" i="16"/>
  <c r="P142" i="16"/>
  <c r="M151" i="16"/>
  <c r="V163" i="16"/>
  <c r="W163" i="16" s="1"/>
  <c r="P164" i="16"/>
  <c r="M178" i="16"/>
  <c r="P179" i="16"/>
  <c r="B186" i="16"/>
  <c r="P186" i="16"/>
  <c r="M209" i="16"/>
  <c r="V212" i="16"/>
  <c r="W212" i="16" s="1"/>
  <c r="V225" i="16"/>
  <c r="W225" i="16" s="1"/>
  <c r="M226" i="16"/>
  <c r="M229" i="16"/>
  <c r="V229" i="16"/>
  <c r="W229" i="16" s="1"/>
  <c r="V139" i="16"/>
  <c r="W139" i="16" s="1"/>
  <c r="V146" i="16"/>
  <c r="W146" i="16" s="1"/>
  <c r="B151" i="16"/>
  <c r="P151" i="16"/>
  <c r="V155" i="16"/>
  <c r="W155" i="16" s="1"/>
  <c r="B178" i="16"/>
  <c r="P178" i="16"/>
  <c r="V204" i="16"/>
  <c r="W204" i="16" s="1"/>
  <c r="B209" i="16"/>
  <c r="P209" i="16"/>
  <c r="V224" i="16"/>
  <c r="W224" i="16" s="1"/>
  <c r="V226" i="16"/>
  <c r="W226" i="16" s="1"/>
  <c r="V138" i="16"/>
  <c r="W138" i="16" s="1"/>
  <c r="M145" i="16"/>
  <c r="M154" i="16"/>
  <c r="M162" i="16"/>
  <c r="B170" i="16"/>
  <c r="P170" i="16"/>
  <c r="M193" i="16"/>
  <c r="V196" i="16"/>
  <c r="W196" i="16" s="1"/>
  <c r="B201" i="16"/>
  <c r="P201" i="16"/>
  <c r="V211" i="16"/>
  <c r="W211" i="16" s="1"/>
  <c r="B226" i="16"/>
  <c r="B229" i="16"/>
  <c r="V137" i="16"/>
  <c r="W137" i="16" s="1"/>
  <c r="M143" i="16"/>
  <c r="M144" i="16"/>
  <c r="V145" i="16"/>
  <c r="W145" i="16" s="1"/>
  <c r="P146" i="16"/>
  <c r="M153" i="16"/>
  <c r="V154" i="16"/>
  <c r="W154" i="16" s="1"/>
  <c r="P155" i="16"/>
  <c r="B162" i="16"/>
  <c r="P162" i="16"/>
  <c r="M185" i="16"/>
  <c r="V188" i="16"/>
  <c r="W188" i="16" s="1"/>
  <c r="B193" i="16"/>
  <c r="P193" i="16"/>
  <c r="M195" i="16"/>
  <c r="V203" i="16"/>
  <c r="W203" i="16" s="1"/>
  <c r="P204" i="16"/>
  <c r="P216" i="16"/>
  <c r="B216" i="16"/>
  <c r="P224" i="16"/>
  <c r="V143" i="16"/>
  <c r="W143" i="16" s="1"/>
  <c r="V144" i="16"/>
  <c r="W144" i="16" s="1"/>
  <c r="V153" i="16"/>
  <c r="W153" i="16" s="1"/>
  <c r="V180" i="16"/>
  <c r="W180" i="16" s="1"/>
  <c r="B185" i="16"/>
  <c r="P185" i="16"/>
  <c r="V195" i="16"/>
  <c r="W195" i="16" s="1"/>
  <c r="V218" i="16"/>
  <c r="W218" i="16" s="1"/>
  <c r="V75" i="16"/>
  <c r="W75" i="16" s="1"/>
  <c r="V84" i="16"/>
  <c r="W84" i="16" s="1"/>
  <c r="V95" i="16"/>
  <c r="W95" i="16" s="1"/>
  <c r="V103" i="16"/>
  <c r="W103" i="16" s="1"/>
  <c r="V111" i="16"/>
  <c r="W111" i="16" s="1"/>
  <c r="V119" i="16"/>
  <c r="W119" i="16" s="1"/>
  <c r="V127" i="16"/>
  <c r="W127" i="16" s="1"/>
  <c r="V135" i="16"/>
  <c r="W135" i="16" s="1"/>
  <c r="P137" i="16"/>
  <c r="P145" i="16"/>
  <c r="P150" i="16"/>
  <c r="B150" i="16"/>
  <c r="P154" i="16"/>
  <c r="V172" i="16"/>
  <c r="W172" i="16" s="1"/>
  <c r="B177" i="16"/>
  <c r="P177" i="16"/>
  <c r="V187" i="16"/>
  <c r="W187" i="16" s="1"/>
  <c r="P188" i="16"/>
  <c r="P203" i="16"/>
  <c r="B210" i="16"/>
  <c r="P210" i="16"/>
  <c r="M69" i="16"/>
  <c r="B75" i="16"/>
  <c r="M77" i="16"/>
  <c r="B84" i="16"/>
  <c r="M86" i="16"/>
  <c r="M93" i="16"/>
  <c r="M101" i="16"/>
  <c r="M109" i="16"/>
  <c r="M117" i="16"/>
  <c r="M125" i="16"/>
  <c r="M133" i="16"/>
  <c r="M141" i="16"/>
  <c r="P143" i="16"/>
  <c r="B144" i="16"/>
  <c r="M152" i="16"/>
  <c r="P153" i="16"/>
  <c r="M161" i="16"/>
  <c r="V164" i="16"/>
  <c r="W164" i="16" s="1"/>
  <c r="B169" i="16"/>
  <c r="P169" i="16"/>
  <c r="M171" i="16"/>
  <c r="V179" i="16"/>
  <c r="W179" i="16" s="1"/>
  <c r="P180" i="16"/>
  <c r="M194" i="16"/>
  <c r="P195" i="16"/>
  <c r="B202" i="16"/>
  <c r="P202" i="16"/>
  <c r="P218" i="16"/>
  <c r="P152" i="16"/>
  <c r="B152" i="16"/>
  <c r="B161" i="16"/>
  <c r="P161" i="16"/>
  <c r="V171" i="16"/>
  <c r="W171" i="16" s="1"/>
  <c r="P172" i="16"/>
  <c r="P187" i="16"/>
  <c r="B188" i="16"/>
  <c r="B194" i="16"/>
  <c r="P194" i="16"/>
  <c r="V227" i="16"/>
  <c r="W227" i="16" s="1"/>
  <c r="V147" i="16"/>
  <c r="W147" i="16" s="1"/>
  <c r="V156" i="16"/>
  <c r="W156" i="16" s="1"/>
  <c r="B160" i="16"/>
  <c r="V165" i="16"/>
  <c r="W165" i="16" s="1"/>
  <c r="B168" i="16"/>
  <c r="V173" i="16"/>
  <c r="W173" i="16" s="1"/>
  <c r="B176" i="16"/>
  <c r="V181" i="16"/>
  <c r="W181" i="16" s="1"/>
  <c r="B184" i="16"/>
  <c r="V189" i="16"/>
  <c r="W189" i="16" s="1"/>
  <c r="B192" i="16"/>
  <c r="V197" i="16"/>
  <c r="W197" i="16" s="1"/>
  <c r="B200" i="16"/>
  <c r="V205" i="16"/>
  <c r="W205" i="16" s="1"/>
  <c r="B208" i="16"/>
  <c r="V213" i="16"/>
  <c r="W213" i="16" s="1"/>
  <c r="V217" i="16"/>
  <c r="W217" i="16" s="1"/>
  <c r="V219" i="16"/>
  <c r="W219" i="16" s="1"/>
  <c r="V220" i="16"/>
  <c r="W220" i="16" s="1"/>
  <c r="V221" i="16"/>
  <c r="W221" i="16" s="1"/>
  <c r="V223" i="16"/>
  <c r="W223" i="16" s="1"/>
  <c r="B233" i="16"/>
  <c r="V241" i="16"/>
  <c r="W241" i="16" s="1"/>
  <c r="V242" i="16"/>
  <c r="W242" i="16" s="1"/>
  <c r="M243" i="16"/>
  <c r="M244" i="16"/>
  <c r="V251" i="16"/>
  <c r="W251" i="16" s="1"/>
  <c r="M252" i="16"/>
  <c r="V259" i="16"/>
  <c r="W259" i="16" s="1"/>
  <c r="P266" i="16"/>
  <c r="P284" i="16"/>
  <c r="U14" i="17"/>
  <c r="U21" i="17"/>
  <c r="B21" i="17"/>
  <c r="U46" i="17"/>
  <c r="V243" i="16"/>
  <c r="W243" i="16" s="1"/>
  <c r="V244" i="16"/>
  <c r="W244" i="16" s="1"/>
  <c r="V252" i="16"/>
  <c r="W252" i="16" s="1"/>
  <c r="V279" i="16"/>
  <c r="W279" i="16" s="1"/>
  <c r="M280" i="16"/>
  <c r="M283" i="16"/>
  <c r="V283" i="16"/>
  <c r="W283" i="16" s="1"/>
  <c r="U33" i="17"/>
  <c r="B33" i="17"/>
  <c r="B243" i="16"/>
  <c r="V245" i="16"/>
  <c r="W245" i="16" s="1"/>
  <c r="M246" i="16"/>
  <c r="B252" i="16"/>
  <c r="V253" i="16"/>
  <c r="W253" i="16" s="1"/>
  <c r="M254" i="16"/>
  <c r="M256" i="16"/>
  <c r="V257" i="16"/>
  <c r="W257" i="16" s="1"/>
  <c r="V277" i="16"/>
  <c r="W277" i="16" s="1"/>
  <c r="V280" i="16"/>
  <c r="W280" i="16" s="1"/>
  <c r="V298" i="16"/>
  <c r="W298" i="16" s="1"/>
  <c r="U13" i="17"/>
  <c r="B13" i="17"/>
  <c r="U45" i="17"/>
  <c r="B45" i="17"/>
  <c r="B244" i="16"/>
  <c r="V246" i="16"/>
  <c r="W246" i="16" s="1"/>
  <c r="V254" i="16"/>
  <c r="W254" i="16" s="1"/>
  <c r="V256" i="16"/>
  <c r="W256" i="16" s="1"/>
  <c r="V271" i="16"/>
  <c r="W271" i="16" s="1"/>
  <c r="P279" i="16"/>
  <c r="B280" i="16"/>
  <c r="V281" i="16"/>
  <c r="W281" i="16" s="1"/>
  <c r="M282" i="16"/>
  <c r="V282" i="16"/>
  <c r="W282" i="16" s="1"/>
  <c r="V299" i="16"/>
  <c r="W299" i="16" s="1"/>
  <c r="M300" i="16"/>
  <c r="V300" i="16"/>
  <c r="W300" i="16" s="1"/>
  <c r="P301" i="16"/>
  <c r="B301" i="16"/>
  <c r="U25" i="17"/>
  <c r="B25" i="17"/>
  <c r="V230" i="16"/>
  <c r="W230" i="16" s="1"/>
  <c r="B246" i="16"/>
  <c r="V247" i="16"/>
  <c r="W247" i="16" s="1"/>
  <c r="B254" i="16"/>
  <c r="V255" i="16"/>
  <c r="W255" i="16" s="1"/>
  <c r="P257" i="16"/>
  <c r="V269" i="16"/>
  <c r="W269" i="16" s="1"/>
  <c r="V272" i="16"/>
  <c r="W272" i="16" s="1"/>
  <c r="P277" i="16"/>
  <c r="B283" i="16"/>
  <c r="V290" i="16"/>
  <c r="W290" i="16" s="1"/>
  <c r="B298" i="16"/>
  <c r="P298" i="16"/>
  <c r="U37" i="17"/>
  <c r="B37" i="17"/>
  <c r="V160" i="16"/>
  <c r="W160" i="16" s="1"/>
  <c r="V168" i="16"/>
  <c r="W168" i="16" s="1"/>
  <c r="V176" i="16"/>
  <c r="W176" i="16" s="1"/>
  <c r="V184" i="16"/>
  <c r="W184" i="16" s="1"/>
  <c r="V192" i="16"/>
  <c r="W192" i="16" s="1"/>
  <c r="V200" i="16"/>
  <c r="W200" i="16" s="1"/>
  <c r="V208" i="16"/>
  <c r="W208" i="16" s="1"/>
  <c r="B230" i="16"/>
  <c r="V231" i="16"/>
  <c r="W231" i="16" s="1"/>
  <c r="V233" i="16"/>
  <c r="W233" i="16" s="1"/>
  <c r="V237" i="16"/>
  <c r="W237" i="16" s="1"/>
  <c r="V238" i="16"/>
  <c r="W238" i="16" s="1"/>
  <c r="B247" i="16"/>
  <c r="V248" i="16"/>
  <c r="W248" i="16" s="1"/>
  <c r="B255" i="16"/>
  <c r="P256" i="16"/>
  <c r="V263" i="16"/>
  <c r="W263" i="16" s="1"/>
  <c r="B271" i="16"/>
  <c r="P271" i="16"/>
  <c r="B272" i="16"/>
  <c r="V273" i="16"/>
  <c r="W273" i="16" s="1"/>
  <c r="V275" i="16"/>
  <c r="W275" i="16" s="1"/>
  <c r="B277" i="16"/>
  <c r="B282" i="16"/>
  <c r="V291" i="16"/>
  <c r="W291" i="16" s="1"/>
  <c r="P293" i="16"/>
  <c r="B293" i="16"/>
  <c r="B300" i="16"/>
  <c r="U17" i="17"/>
  <c r="B17" i="17"/>
  <c r="U42" i="17"/>
  <c r="U49" i="17"/>
  <c r="B49" i="17"/>
  <c r="M148" i="16"/>
  <c r="M240" i="16"/>
  <c r="M250" i="16"/>
  <c r="M258" i="16"/>
  <c r="M260" i="16"/>
  <c r="M265" i="16"/>
  <c r="M267" i="16"/>
  <c r="P269" i="16"/>
  <c r="B273" i="16"/>
  <c r="P274" i="16"/>
  <c r="M285" i="16"/>
  <c r="P290" i="16"/>
  <c r="B291" i="16"/>
  <c r="P292" i="16"/>
  <c r="U22" i="17"/>
  <c r="U29" i="17"/>
  <c r="B29" i="17"/>
  <c r="P260" i="16"/>
  <c r="P263" i="16"/>
  <c r="M266" i="16"/>
  <c r="V266" i="16"/>
  <c r="W266" i="16" s="1"/>
  <c r="V267" i="16"/>
  <c r="W267" i="16" s="1"/>
  <c r="P268" i="16"/>
  <c r="B269" i="16"/>
  <c r="P275" i="16"/>
  <c r="M284" i="16"/>
  <c r="V284" i="16"/>
  <c r="W284" i="16" s="1"/>
  <c r="P285" i="16"/>
  <c r="B285" i="16"/>
  <c r="U9" i="17"/>
  <c r="B9" i="17"/>
  <c r="U34" i="17"/>
  <c r="U41" i="17"/>
  <c r="B41" i="17"/>
  <c r="U53" i="17"/>
  <c r="B53" i="17"/>
  <c r="P287" i="16"/>
  <c r="V289" i="16"/>
  <c r="W289" i="16" s="1"/>
  <c r="P295" i="16"/>
  <c r="V297" i="16"/>
  <c r="W297" i="16" s="1"/>
  <c r="U104" i="17"/>
  <c r="U109" i="17"/>
  <c r="B115" i="17"/>
  <c r="U128" i="17"/>
  <c r="U141" i="17"/>
  <c r="B147" i="17"/>
  <c r="B177" i="17"/>
  <c r="U177" i="17"/>
  <c r="B179" i="17"/>
  <c r="U225" i="17"/>
  <c r="B225" i="17"/>
  <c r="B136" i="17"/>
  <c r="U197" i="17"/>
  <c r="B197" i="17"/>
  <c r="B199" i="17"/>
  <c r="U199" i="17"/>
  <c r="U229" i="17"/>
  <c r="B229" i="17"/>
  <c r="U249" i="17"/>
  <c r="B249" i="17"/>
  <c r="U265" i="17"/>
  <c r="B265" i="17"/>
  <c r="U117" i="17"/>
  <c r="B123" i="17"/>
  <c r="U149" i="17"/>
  <c r="B155" i="17"/>
  <c r="U156" i="17"/>
  <c r="B163" i="17"/>
  <c r="U164" i="17"/>
  <c r="B171" i="17"/>
  <c r="U172" i="17"/>
  <c r="B181" i="17"/>
  <c r="U181" i="17"/>
  <c r="B183" i="17"/>
  <c r="U201" i="17"/>
  <c r="B201" i="17"/>
  <c r="B203" i="17"/>
  <c r="U203" i="17"/>
  <c r="U233" i="17"/>
  <c r="B233" i="17"/>
  <c r="U205" i="17"/>
  <c r="B205" i="17"/>
  <c r="B207" i="17"/>
  <c r="U207" i="17"/>
  <c r="U237" i="17"/>
  <c r="B237" i="17"/>
  <c r="U253" i="17"/>
  <c r="B253" i="17"/>
  <c r="U269" i="17"/>
  <c r="B269" i="17"/>
  <c r="B185" i="17"/>
  <c r="U185" i="17"/>
  <c r="B187" i="17"/>
  <c r="U209" i="17"/>
  <c r="B209" i="17"/>
  <c r="V268" i="16"/>
  <c r="W268" i="16" s="1"/>
  <c r="V276" i="16"/>
  <c r="W276" i="16" s="1"/>
  <c r="V286" i="16"/>
  <c r="W286" i="16" s="1"/>
  <c r="M287" i="16"/>
  <c r="V294" i="16"/>
  <c r="W294" i="16" s="1"/>
  <c r="M295" i="16"/>
  <c r="V302" i="16"/>
  <c r="W302" i="16" s="1"/>
  <c r="U213" i="17"/>
  <c r="B213" i="17"/>
  <c r="U241" i="17"/>
  <c r="B241" i="17"/>
  <c r="U257" i="17"/>
  <c r="B257" i="17"/>
  <c r="B57" i="17"/>
  <c r="B61" i="17"/>
  <c r="B65" i="17"/>
  <c r="B69" i="17"/>
  <c r="B73" i="17"/>
  <c r="B77" i="17"/>
  <c r="B81" i="17"/>
  <c r="B85" i="17"/>
  <c r="B89" i="17"/>
  <c r="B93" i="17"/>
  <c r="B140" i="17"/>
  <c r="B189" i="17"/>
  <c r="U189" i="17"/>
  <c r="U217" i="17"/>
  <c r="B217" i="17"/>
  <c r="B103" i="17"/>
  <c r="U121" i="17"/>
  <c r="B127" i="17"/>
  <c r="U153" i="17"/>
  <c r="U161" i="17"/>
  <c r="U169" i="17"/>
  <c r="U221" i="17"/>
  <c r="B221" i="17"/>
  <c r="U245" i="17"/>
  <c r="B245" i="17"/>
  <c r="U261" i="17"/>
  <c r="B261" i="17"/>
  <c r="U211" i="17"/>
  <c r="U215" i="17"/>
  <c r="U219" i="17"/>
  <c r="U223" i="17"/>
  <c r="U227" i="17"/>
  <c r="U231" i="17"/>
  <c r="U235" i="17"/>
  <c r="U239" i="17"/>
  <c r="U243" i="17"/>
  <c r="U247" i="17"/>
  <c r="U251" i="17"/>
  <c r="U255" i="17"/>
  <c r="U259" i="17"/>
  <c r="U263" i="17"/>
  <c r="U267" i="17"/>
  <c r="U271" i="17"/>
  <c r="X305" i="4" l="1"/>
  <c r="V98" i="4"/>
  <c r="X24" i="4"/>
  <c r="V210" i="4"/>
  <c r="X174" i="4"/>
  <c r="X205" i="4"/>
  <c r="X240" i="4"/>
  <c r="X25" i="4"/>
  <c r="V138" i="4"/>
  <c r="X43" i="4"/>
  <c r="V29" i="4"/>
  <c r="X300" i="4"/>
  <c r="X260" i="4"/>
  <c r="V124" i="4"/>
  <c r="V16" i="4"/>
  <c r="V172" i="4"/>
  <c r="V116" i="4"/>
  <c r="V215" i="4"/>
  <c r="X251" i="4"/>
  <c r="X97" i="4"/>
  <c r="V248" i="4"/>
  <c r="V59" i="4"/>
  <c r="V245" i="4"/>
  <c r="V31" i="4"/>
  <c r="X94" i="4"/>
  <c r="X48" i="4"/>
  <c r="X115" i="4"/>
  <c r="W263" i="14"/>
  <c r="X263" i="14" s="1"/>
  <c r="Y263" i="14"/>
  <c r="Y225" i="14"/>
  <c r="W225" i="14"/>
  <c r="X225" i="14" s="1"/>
  <c r="N225" i="14"/>
  <c r="Y296" i="14"/>
  <c r="W296" i="14"/>
  <c r="X296" i="14" s="1"/>
  <c r="N296" i="14"/>
  <c r="W253" i="14"/>
  <c r="X253" i="14" s="1"/>
  <c r="N253" i="14"/>
  <c r="Y253" i="14"/>
  <c r="W243" i="14"/>
  <c r="X243" i="14" s="1"/>
  <c r="Y243" i="14"/>
  <c r="W182" i="14"/>
  <c r="X182" i="14" s="1"/>
  <c r="Y182" i="14"/>
  <c r="Y240" i="14"/>
  <c r="W240" i="14"/>
  <c r="X240" i="14" s="1"/>
  <c r="Y197" i="14"/>
  <c r="W197" i="14"/>
  <c r="X197" i="14" s="1"/>
  <c r="Y139" i="14"/>
  <c r="W139" i="14"/>
  <c r="X139" i="14" s="1"/>
  <c r="W115" i="14"/>
  <c r="X115" i="14" s="1"/>
  <c r="Y115" i="14"/>
  <c r="Y135" i="14"/>
  <c r="W135" i="14"/>
  <c r="X135" i="14" s="1"/>
  <c r="Y180" i="14"/>
  <c r="W180" i="14"/>
  <c r="X180" i="14" s="1"/>
  <c r="W169" i="14"/>
  <c r="X169" i="14" s="1"/>
  <c r="N169" i="14"/>
  <c r="Y169" i="14"/>
  <c r="Y101" i="14"/>
  <c r="W101" i="14"/>
  <c r="X101" i="14" s="1"/>
  <c r="Y59" i="14"/>
  <c r="W59" i="14"/>
  <c r="X59" i="14" s="1"/>
  <c r="W95" i="14"/>
  <c r="X95" i="14" s="1"/>
  <c r="Y95" i="14"/>
  <c r="Y144" i="14"/>
  <c r="W144" i="14"/>
  <c r="X144" i="14" s="1"/>
  <c r="N144" i="14"/>
  <c r="N110" i="14"/>
  <c r="W110" i="14"/>
  <c r="X110" i="14" s="1"/>
  <c r="Y110" i="14"/>
  <c r="Y76" i="14"/>
  <c r="W76" i="14"/>
  <c r="X76" i="14" s="1"/>
  <c r="Y299" i="13"/>
  <c r="W299" i="13"/>
  <c r="X299" i="13" s="1"/>
  <c r="Y15" i="14"/>
  <c r="W15" i="14"/>
  <c r="X15" i="14" s="1"/>
  <c r="W33" i="14"/>
  <c r="X33" i="14" s="1"/>
  <c r="N33" i="14"/>
  <c r="Y33" i="14"/>
  <c r="Y21" i="14"/>
  <c r="W21" i="14"/>
  <c r="X21" i="14" s="1"/>
  <c r="Y62" i="14"/>
  <c r="W62" i="14"/>
  <c r="X62" i="14" s="1"/>
  <c r="Y304" i="13"/>
  <c r="W304" i="13"/>
  <c r="X304" i="13" s="1"/>
  <c r="Y222" i="13"/>
  <c r="W222" i="13"/>
  <c r="X222" i="13" s="1"/>
  <c r="Y244" i="13"/>
  <c r="W244" i="13"/>
  <c r="X244" i="13" s="1"/>
  <c r="Y27" i="14"/>
  <c r="W27" i="14"/>
  <c r="X27" i="14" s="1"/>
  <c r="W300" i="13"/>
  <c r="X300" i="13" s="1"/>
  <c r="Y300" i="13"/>
  <c r="N300" i="13"/>
  <c r="Y258" i="13"/>
  <c r="W258" i="13"/>
  <c r="X258" i="13" s="1"/>
  <c r="Y236" i="13"/>
  <c r="W236" i="13"/>
  <c r="X236" i="13" s="1"/>
  <c r="N236" i="13"/>
  <c r="Y206" i="13"/>
  <c r="W206" i="13"/>
  <c r="X206" i="13" s="1"/>
  <c r="W188" i="13"/>
  <c r="X188" i="13" s="1"/>
  <c r="Y188" i="13"/>
  <c r="W157" i="13"/>
  <c r="X157" i="13" s="1"/>
  <c r="Y157" i="13"/>
  <c r="Y233" i="13"/>
  <c r="W233" i="13"/>
  <c r="X233" i="13" s="1"/>
  <c r="W211" i="13"/>
  <c r="X211" i="13" s="1"/>
  <c r="N211" i="13"/>
  <c r="Y211" i="13"/>
  <c r="Y232" i="13"/>
  <c r="W232" i="13"/>
  <c r="X232" i="13" s="1"/>
  <c r="W192" i="13"/>
  <c r="X192" i="13" s="1"/>
  <c r="Y192" i="13"/>
  <c r="Y204" i="13"/>
  <c r="W204" i="13"/>
  <c r="X204" i="13" s="1"/>
  <c r="N204" i="13"/>
  <c r="W129" i="13"/>
  <c r="X129" i="13" s="1"/>
  <c r="Y129" i="13"/>
  <c r="W81" i="13"/>
  <c r="X81" i="13" s="1"/>
  <c r="Y81" i="13"/>
  <c r="W49" i="13"/>
  <c r="X49" i="13" s="1"/>
  <c r="Y49" i="13"/>
  <c r="Y119" i="13"/>
  <c r="W119" i="13"/>
  <c r="X119" i="13" s="1"/>
  <c r="W137" i="13"/>
  <c r="X137" i="13" s="1"/>
  <c r="Y137" i="13"/>
  <c r="Y44" i="13"/>
  <c r="W44" i="13"/>
  <c r="X44" i="13" s="1"/>
  <c r="N44" i="13"/>
  <c r="Y18" i="13"/>
  <c r="W18" i="13"/>
  <c r="X18" i="13" s="1"/>
  <c r="Y116" i="13"/>
  <c r="W116" i="13"/>
  <c r="X116" i="13" s="1"/>
  <c r="X299" i="4"/>
  <c r="V299" i="4"/>
  <c r="L5" i="13"/>
  <c r="M3" i="13"/>
  <c r="Y84" i="13"/>
  <c r="W84" i="13"/>
  <c r="X84" i="13" s="1"/>
  <c r="N84" i="13"/>
  <c r="Y101" i="13"/>
  <c r="W101" i="13"/>
  <c r="X101" i="13" s="1"/>
  <c r="N101" i="13"/>
  <c r="W46" i="13"/>
  <c r="X46" i="13" s="1"/>
  <c r="Y46" i="13"/>
  <c r="Y12" i="13"/>
  <c r="W12" i="13"/>
  <c r="X12" i="13" s="1"/>
  <c r="V239" i="4"/>
  <c r="X239" i="4"/>
  <c r="V266" i="4"/>
  <c r="X266" i="4"/>
  <c r="X204" i="4"/>
  <c r="V204" i="4"/>
  <c r="X276" i="4"/>
  <c r="V276" i="4"/>
  <c r="X233" i="4"/>
  <c r="V233" i="4"/>
  <c r="X228" i="4"/>
  <c r="V228" i="4"/>
  <c r="X255" i="4"/>
  <c r="V255" i="4"/>
  <c r="X230" i="4"/>
  <c r="V230" i="4"/>
  <c r="V273" i="4"/>
  <c r="X273" i="4"/>
  <c r="X253" i="4"/>
  <c r="V253" i="4"/>
  <c r="X208" i="4"/>
  <c r="V208" i="4"/>
  <c r="X173" i="4"/>
  <c r="V173" i="4"/>
  <c r="V154" i="4"/>
  <c r="X154" i="4"/>
  <c r="V129" i="4"/>
  <c r="X129" i="4"/>
  <c r="X96" i="4"/>
  <c r="V96" i="4"/>
  <c r="V183" i="4"/>
  <c r="X183" i="4"/>
  <c r="X146" i="4"/>
  <c r="V146" i="4"/>
  <c r="X104" i="4"/>
  <c r="V104" i="4"/>
  <c r="V189" i="4"/>
  <c r="X189" i="4"/>
  <c r="X281" i="4"/>
  <c r="V281" i="4"/>
  <c r="X214" i="4"/>
  <c r="V214" i="4"/>
  <c r="X132" i="4"/>
  <c r="V132" i="4"/>
  <c r="X153" i="4"/>
  <c r="V153" i="4"/>
  <c r="V64" i="4"/>
  <c r="X64" i="4"/>
  <c r="V39" i="4"/>
  <c r="X39" i="4"/>
  <c r="V54" i="4"/>
  <c r="X54" i="4"/>
  <c r="X11" i="4"/>
  <c r="V11" i="4"/>
  <c r="X32" i="4"/>
  <c r="V32" i="4"/>
  <c r="X72" i="4"/>
  <c r="V72" i="4"/>
  <c r="X22" i="4"/>
  <c r="V22" i="4"/>
  <c r="X61" i="4"/>
  <c r="V61" i="4"/>
  <c r="X17" i="4"/>
  <c r="V17" i="4"/>
  <c r="W291" i="1"/>
  <c r="X291" i="1" s="1"/>
  <c r="Y291" i="1"/>
  <c r="W230" i="1"/>
  <c r="X230" i="1" s="1"/>
  <c r="Y230" i="1"/>
  <c r="W215" i="1"/>
  <c r="X215" i="1" s="1"/>
  <c r="Y215" i="1"/>
  <c r="Y286" i="1"/>
  <c r="W286" i="1"/>
  <c r="X286" i="1" s="1"/>
  <c r="Y188" i="1"/>
  <c r="W188" i="1"/>
  <c r="X188" i="1" s="1"/>
  <c r="Y162" i="1"/>
  <c r="W162" i="1"/>
  <c r="X162" i="1" s="1"/>
  <c r="W278" i="1"/>
  <c r="X278" i="1" s="1"/>
  <c r="Y278" i="1"/>
  <c r="Y216" i="1"/>
  <c r="W216" i="1"/>
  <c r="X216" i="1" s="1"/>
  <c r="N216" i="1"/>
  <c r="Y143" i="1"/>
  <c r="W143" i="1"/>
  <c r="X143" i="1" s="1"/>
  <c r="N143" i="1"/>
  <c r="Y31" i="1"/>
  <c r="W31" i="1"/>
  <c r="X31" i="1" s="1"/>
  <c r="W172" i="1"/>
  <c r="X172" i="1" s="1"/>
  <c r="Y172" i="1"/>
  <c r="Y237" i="1"/>
  <c r="W237" i="1"/>
  <c r="X237" i="1" s="1"/>
  <c r="N237" i="1"/>
  <c r="Y130" i="1"/>
  <c r="W130" i="1"/>
  <c r="X130" i="1" s="1"/>
  <c r="N130" i="1"/>
  <c r="Y104" i="1"/>
  <c r="W104" i="1"/>
  <c r="X104" i="1" s="1"/>
  <c r="Y95" i="1"/>
  <c r="W95" i="1"/>
  <c r="X95" i="1" s="1"/>
  <c r="Y15" i="1"/>
  <c r="W15" i="1"/>
  <c r="X15" i="1" s="1"/>
  <c r="Y192" i="1"/>
  <c r="W192" i="1"/>
  <c r="X192" i="1" s="1"/>
  <c r="N192" i="1"/>
  <c r="W164" i="1"/>
  <c r="X164" i="1" s="1"/>
  <c r="Y164" i="1"/>
  <c r="Y122" i="1"/>
  <c r="W122" i="1"/>
  <c r="X122" i="1" s="1"/>
  <c r="N122" i="1"/>
  <c r="Y222" i="1"/>
  <c r="W222" i="1"/>
  <c r="X222" i="1" s="1"/>
  <c r="N222" i="1"/>
  <c r="Y70" i="1"/>
  <c r="W70" i="1"/>
  <c r="X70" i="1" s="1"/>
  <c r="L5" i="10"/>
  <c r="M3" i="10"/>
  <c r="W48" i="14"/>
  <c r="X48" i="14" s="1"/>
  <c r="Y48" i="14"/>
  <c r="N48" i="14"/>
  <c r="W174" i="13"/>
  <c r="X174" i="13" s="1"/>
  <c r="Y174" i="13"/>
  <c r="W219" i="14"/>
  <c r="X219" i="14" s="1"/>
  <c r="Y219" i="14"/>
  <c r="W288" i="14"/>
  <c r="X288" i="14" s="1"/>
  <c r="Y288" i="14"/>
  <c r="W271" i="14"/>
  <c r="X271" i="14" s="1"/>
  <c r="Y271" i="14"/>
  <c r="N243" i="14"/>
  <c r="W199" i="14"/>
  <c r="X199" i="14" s="1"/>
  <c r="Y199" i="14"/>
  <c r="N182" i="14"/>
  <c r="Y256" i="14"/>
  <c r="W256" i="14"/>
  <c r="X256" i="14" s="1"/>
  <c r="Y261" i="14"/>
  <c r="W261" i="14"/>
  <c r="X261" i="14" s="1"/>
  <c r="Y213" i="14"/>
  <c r="W213" i="14"/>
  <c r="X213" i="14" s="1"/>
  <c r="N197" i="14"/>
  <c r="Y192" i="14"/>
  <c r="W192" i="14"/>
  <c r="X192" i="14" s="1"/>
  <c r="Y266" i="14"/>
  <c r="W266" i="14"/>
  <c r="X266" i="14" s="1"/>
  <c r="Y269" i="14"/>
  <c r="W269" i="14"/>
  <c r="X269" i="14" s="1"/>
  <c r="N269" i="14"/>
  <c r="W247" i="14"/>
  <c r="X247" i="14" s="1"/>
  <c r="Y247" i="14"/>
  <c r="N139" i="14"/>
  <c r="N115" i="14"/>
  <c r="Y109" i="14"/>
  <c r="W109" i="14"/>
  <c r="X109" i="14" s="1"/>
  <c r="W132" i="14"/>
  <c r="X132" i="14" s="1"/>
  <c r="Y132" i="14"/>
  <c r="N101" i="14"/>
  <c r="N59" i="14"/>
  <c r="W156" i="14"/>
  <c r="X156" i="14" s="1"/>
  <c r="Y156" i="14"/>
  <c r="N95" i="14"/>
  <c r="Y100" i="14"/>
  <c r="W100" i="14"/>
  <c r="X100" i="14" s="1"/>
  <c r="N76" i="14"/>
  <c r="Y154" i="14"/>
  <c r="W154" i="14"/>
  <c r="X154" i="14" s="1"/>
  <c r="Y99" i="14"/>
  <c r="W99" i="14"/>
  <c r="X99" i="14" s="1"/>
  <c r="Y167" i="14"/>
  <c r="W167" i="14"/>
  <c r="X167" i="14" s="1"/>
  <c r="N167" i="14"/>
  <c r="N135" i="14"/>
  <c r="N299" i="13"/>
  <c r="W65" i="14"/>
  <c r="X65" i="14" s="1"/>
  <c r="N65" i="14"/>
  <c r="Y65" i="14"/>
  <c r="Y44" i="14"/>
  <c r="W44" i="14"/>
  <c r="X44" i="14" s="1"/>
  <c r="N15" i="14"/>
  <c r="Y54" i="14"/>
  <c r="W54" i="14"/>
  <c r="X54" i="14" s="1"/>
  <c r="N304" i="13"/>
  <c r="Y261" i="13"/>
  <c r="W261" i="13"/>
  <c r="X261" i="13" s="1"/>
  <c r="Y241" i="13"/>
  <c r="W241" i="13"/>
  <c r="X241" i="13" s="1"/>
  <c r="N222" i="13"/>
  <c r="Y303" i="13"/>
  <c r="W303" i="13"/>
  <c r="X303" i="13" s="1"/>
  <c r="Y265" i="13"/>
  <c r="W265" i="13"/>
  <c r="X265" i="13" s="1"/>
  <c r="N244" i="13"/>
  <c r="Y245" i="13"/>
  <c r="W245" i="13"/>
  <c r="X245" i="13" s="1"/>
  <c r="N245" i="13"/>
  <c r="Y268" i="13"/>
  <c r="W268" i="13"/>
  <c r="X268" i="13" s="1"/>
  <c r="N268" i="13"/>
  <c r="N233" i="13"/>
  <c r="N205" i="13"/>
  <c r="Y205" i="13"/>
  <c r="W205" i="13"/>
  <c r="X205" i="13" s="1"/>
  <c r="Y179" i="13"/>
  <c r="W179" i="13"/>
  <c r="X179" i="13" s="1"/>
  <c r="Y10" i="14"/>
  <c r="W10" i="14"/>
  <c r="X10" i="14" s="1"/>
  <c r="N10" i="14"/>
  <c r="Y280" i="13"/>
  <c r="W280" i="13"/>
  <c r="X280" i="13" s="1"/>
  <c r="Y230" i="13"/>
  <c r="W230" i="13"/>
  <c r="X230" i="13" s="1"/>
  <c r="Y169" i="13"/>
  <c r="W169" i="13"/>
  <c r="X169" i="13" s="1"/>
  <c r="N169" i="13"/>
  <c r="Y153" i="13"/>
  <c r="W153" i="13"/>
  <c r="X153" i="13" s="1"/>
  <c r="N153" i="13"/>
  <c r="Y79" i="14"/>
  <c r="W79" i="14"/>
  <c r="X79" i="14" s="1"/>
  <c r="Y155" i="13"/>
  <c r="W155" i="13"/>
  <c r="X155" i="13" s="1"/>
  <c r="Y292" i="13"/>
  <c r="W292" i="13"/>
  <c r="X292" i="13" s="1"/>
  <c r="N292" i="13"/>
  <c r="Y215" i="13"/>
  <c r="W215" i="13"/>
  <c r="X215" i="13" s="1"/>
  <c r="N215" i="13"/>
  <c r="W73" i="14"/>
  <c r="X73" i="14" s="1"/>
  <c r="N73" i="14"/>
  <c r="Y73" i="14"/>
  <c r="Y209" i="13"/>
  <c r="W209" i="13"/>
  <c r="X209" i="13" s="1"/>
  <c r="N209" i="13"/>
  <c r="Y166" i="13"/>
  <c r="W166" i="13"/>
  <c r="X166" i="13" s="1"/>
  <c r="Y150" i="13"/>
  <c r="W150" i="13"/>
  <c r="X150" i="13" s="1"/>
  <c r="N150" i="13"/>
  <c r="Y130" i="13"/>
  <c r="W130" i="13"/>
  <c r="X130" i="13" s="1"/>
  <c r="N119" i="13"/>
  <c r="Y111" i="13"/>
  <c r="W111" i="13"/>
  <c r="X111" i="13" s="1"/>
  <c r="Y182" i="13"/>
  <c r="W182" i="13"/>
  <c r="X182" i="13" s="1"/>
  <c r="N182" i="13"/>
  <c r="Y92" i="13"/>
  <c r="W92" i="13"/>
  <c r="X92" i="13" s="1"/>
  <c r="N92" i="13"/>
  <c r="Y61" i="13"/>
  <c r="W61" i="13"/>
  <c r="X61" i="13" s="1"/>
  <c r="N61" i="13"/>
  <c r="Y109" i="13"/>
  <c r="W109" i="13"/>
  <c r="X109" i="13" s="1"/>
  <c r="N109" i="13"/>
  <c r="Y69" i="13"/>
  <c r="W69" i="13"/>
  <c r="X69" i="13" s="1"/>
  <c r="N69" i="13"/>
  <c r="Y112" i="13"/>
  <c r="W112" i="13"/>
  <c r="X112" i="13" s="1"/>
  <c r="N112" i="13"/>
  <c r="Y36" i="13"/>
  <c r="W36" i="13"/>
  <c r="X36" i="13" s="1"/>
  <c r="X247" i="4"/>
  <c r="V247" i="4"/>
  <c r="X265" i="4"/>
  <c r="V265" i="4"/>
  <c r="X226" i="4"/>
  <c r="V226" i="4"/>
  <c r="V272" i="4"/>
  <c r="X272" i="4"/>
  <c r="X268" i="4"/>
  <c r="V268" i="4"/>
  <c r="X206" i="4"/>
  <c r="V206" i="4"/>
  <c r="V170" i="4"/>
  <c r="X170" i="4"/>
  <c r="X88" i="4"/>
  <c r="V88" i="4"/>
  <c r="V209" i="4"/>
  <c r="X209" i="4"/>
  <c r="X93" i="4"/>
  <c r="V93" i="4"/>
  <c r="X182" i="4"/>
  <c r="V182" i="4"/>
  <c r="X126" i="4"/>
  <c r="V126" i="4"/>
  <c r="X101" i="4"/>
  <c r="V101" i="4"/>
  <c r="V199" i="4"/>
  <c r="X199" i="4"/>
  <c r="X203" i="4"/>
  <c r="V203" i="4"/>
  <c r="X166" i="4"/>
  <c r="V166" i="4"/>
  <c r="W166" i="4" s="1"/>
  <c r="X125" i="4"/>
  <c r="V125" i="4"/>
  <c r="X80" i="4"/>
  <c r="V80" i="4"/>
  <c r="V57" i="4"/>
  <c r="X57" i="4"/>
  <c r="X8" i="4"/>
  <c r="V8" i="4"/>
  <c r="X74" i="4"/>
  <c r="V74" i="4"/>
  <c r="W254" i="1"/>
  <c r="X254" i="1" s="1"/>
  <c r="Y254" i="1"/>
  <c r="N230" i="1"/>
  <c r="N215" i="1"/>
  <c r="X12" i="4"/>
  <c r="V12" i="4"/>
  <c r="W302" i="1"/>
  <c r="X302" i="1" s="1"/>
  <c r="Y302" i="1"/>
  <c r="X252" i="4"/>
  <c r="V252" i="4"/>
  <c r="Y279" i="1"/>
  <c r="W279" i="1"/>
  <c r="X279" i="1" s="1"/>
  <c r="N188" i="1"/>
  <c r="N162" i="1"/>
  <c r="Y301" i="1"/>
  <c r="W301" i="1"/>
  <c r="X301" i="1" s="1"/>
  <c r="Y265" i="1"/>
  <c r="W265" i="1"/>
  <c r="X265" i="1" s="1"/>
  <c r="W290" i="1"/>
  <c r="X290" i="1" s="1"/>
  <c r="Y290" i="1"/>
  <c r="W273" i="1"/>
  <c r="X273" i="1" s="1"/>
  <c r="Y273" i="1"/>
  <c r="N273" i="1"/>
  <c r="W229" i="1"/>
  <c r="X229" i="1" s="1"/>
  <c r="Y229" i="1"/>
  <c r="Y111" i="1"/>
  <c r="W111" i="1"/>
  <c r="X111" i="1" s="1"/>
  <c r="N111" i="1"/>
  <c r="W48" i="1"/>
  <c r="X48" i="1" s="1"/>
  <c r="Y48" i="1"/>
  <c r="W36" i="1"/>
  <c r="X36" i="1" s="1"/>
  <c r="N36" i="1"/>
  <c r="Y36" i="1"/>
  <c r="Y39" i="1"/>
  <c r="W39" i="1"/>
  <c r="X39" i="1" s="1"/>
  <c r="W20" i="1"/>
  <c r="X20" i="1" s="1"/>
  <c r="Y20" i="1"/>
  <c r="W12" i="1"/>
  <c r="X12" i="1" s="1"/>
  <c r="Y12" i="1"/>
  <c r="Y55" i="1"/>
  <c r="W55" i="1"/>
  <c r="X55" i="1" s="1"/>
  <c r="W137" i="1"/>
  <c r="X137" i="1" s="1"/>
  <c r="Y137" i="1"/>
  <c r="Y110" i="1"/>
  <c r="W110" i="1"/>
  <c r="X110" i="1" s="1"/>
  <c r="Y232" i="1"/>
  <c r="W232" i="1"/>
  <c r="X232" i="1" s="1"/>
  <c r="N232" i="1"/>
  <c r="Y203" i="1"/>
  <c r="W203" i="1"/>
  <c r="X203" i="1" s="1"/>
  <c r="W191" i="1"/>
  <c r="X191" i="1" s="1"/>
  <c r="Y191" i="1"/>
  <c r="Y210" i="1"/>
  <c r="W210" i="1"/>
  <c r="X210" i="1" s="1"/>
  <c r="N210" i="1"/>
  <c r="W182" i="1"/>
  <c r="X182" i="1" s="1"/>
  <c r="Y182" i="1"/>
  <c r="Y277" i="1"/>
  <c r="W277" i="1"/>
  <c r="X277" i="1" s="1"/>
  <c r="N164" i="1"/>
  <c r="W89" i="1"/>
  <c r="X89" i="1" s="1"/>
  <c r="Y89" i="1"/>
  <c r="W49" i="1"/>
  <c r="X49" i="1" s="1"/>
  <c r="Y49" i="1"/>
  <c r="W107" i="1"/>
  <c r="X107" i="1" s="1"/>
  <c r="Y107" i="1"/>
  <c r="N107" i="1"/>
  <c r="Y146" i="1"/>
  <c r="W146" i="1"/>
  <c r="X146" i="1" s="1"/>
  <c r="W41" i="1"/>
  <c r="X41" i="1" s="1"/>
  <c r="Y41" i="1"/>
  <c r="M3" i="1"/>
  <c r="L5" i="1"/>
  <c r="Y274" i="14"/>
  <c r="W274" i="14"/>
  <c r="X274" i="14" s="1"/>
  <c r="N274" i="14"/>
  <c r="W237" i="14"/>
  <c r="X237" i="14" s="1"/>
  <c r="Y237" i="14"/>
  <c r="W215" i="14"/>
  <c r="X215" i="14" s="1"/>
  <c r="Y215" i="14"/>
  <c r="Y245" i="14"/>
  <c r="W245" i="14"/>
  <c r="X245" i="14" s="1"/>
  <c r="Y208" i="14"/>
  <c r="W208" i="14"/>
  <c r="X208" i="14" s="1"/>
  <c r="W164" i="14"/>
  <c r="X164" i="14" s="1"/>
  <c r="Y164" i="14"/>
  <c r="Y173" i="14"/>
  <c r="W173" i="14"/>
  <c r="X173" i="14" s="1"/>
  <c r="W51" i="14"/>
  <c r="X51" i="14" s="1"/>
  <c r="Y51" i="14"/>
  <c r="N62" i="14"/>
  <c r="Y162" i="14"/>
  <c r="W162" i="14"/>
  <c r="X162" i="14" s="1"/>
  <c r="Y92" i="14"/>
  <c r="W92" i="14"/>
  <c r="X92" i="14" s="1"/>
  <c r="Y30" i="14"/>
  <c r="W30" i="14"/>
  <c r="X30" i="14" s="1"/>
  <c r="Y23" i="14"/>
  <c r="W23" i="14"/>
  <c r="X23" i="14" s="1"/>
  <c r="W275" i="13"/>
  <c r="X275" i="13" s="1"/>
  <c r="Y275" i="13"/>
  <c r="Y81" i="14"/>
  <c r="W81" i="14"/>
  <c r="X81" i="14" s="1"/>
  <c r="N81" i="14"/>
  <c r="W57" i="14"/>
  <c r="X57" i="14" s="1"/>
  <c r="N57" i="14"/>
  <c r="Y57" i="14"/>
  <c r="Y45" i="14"/>
  <c r="W45" i="14"/>
  <c r="X45" i="14" s="1"/>
  <c r="Y273" i="13"/>
  <c r="W273" i="13"/>
  <c r="X273" i="13" s="1"/>
  <c r="Y240" i="13"/>
  <c r="W240" i="13"/>
  <c r="X240" i="13" s="1"/>
  <c r="W196" i="13"/>
  <c r="X196" i="13" s="1"/>
  <c r="N196" i="13"/>
  <c r="Y196" i="13"/>
  <c r="Y254" i="13"/>
  <c r="W254" i="13"/>
  <c r="X254" i="13" s="1"/>
  <c r="N254" i="13"/>
  <c r="Y199" i="13"/>
  <c r="W199" i="13"/>
  <c r="X199" i="13" s="1"/>
  <c r="N199" i="13"/>
  <c r="Y190" i="13"/>
  <c r="W190" i="13"/>
  <c r="X190" i="13" s="1"/>
  <c r="Y291" i="13"/>
  <c r="W291" i="13"/>
  <c r="X291" i="13" s="1"/>
  <c r="Y266" i="13"/>
  <c r="W266" i="13"/>
  <c r="X266" i="13" s="1"/>
  <c r="N266" i="13"/>
  <c r="W107" i="13"/>
  <c r="X107" i="13" s="1"/>
  <c r="Y107" i="13"/>
  <c r="W73" i="13"/>
  <c r="X73" i="13" s="1"/>
  <c r="Y73" i="13"/>
  <c r="W41" i="13"/>
  <c r="X41" i="13" s="1"/>
  <c r="Y41" i="13"/>
  <c r="Y181" i="13"/>
  <c r="W181" i="13"/>
  <c r="X181" i="13" s="1"/>
  <c r="Y114" i="13"/>
  <c r="W114" i="13"/>
  <c r="X114" i="13" s="1"/>
  <c r="Y98" i="13"/>
  <c r="W98" i="13"/>
  <c r="X98" i="13" s="1"/>
  <c r="Y83" i="13"/>
  <c r="W83" i="13"/>
  <c r="X83" i="13" s="1"/>
  <c r="Y67" i="13"/>
  <c r="W67" i="13"/>
  <c r="X67" i="13" s="1"/>
  <c r="Y51" i="13"/>
  <c r="W51" i="13"/>
  <c r="X51" i="13" s="1"/>
  <c r="W187" i="13"/>
  <c r="X187" i="13" s="1"/>
  <c r="Y187" i="13"/>
  <c r="N187" i="13"/>
  <c r="Y103" i="13"/>
  <c r="W103" i="13"/>
  <c r="X103" i="13" s="1"/>
  <c r="Y113" i="13"/>
  <c r="W113" i="13"/>
  <c r="X113" i="13" s="1"/>
  <c r="Y26" i="13"/>
  <c r="W26" i="13"/>
  <c r="X26" i="13" s="1"/>
  <c r="Y117" i="13"/>
  <c r="W117" i="13"/>
  <c r="X117" i="13" s="1"/>
  <c r="N117" i="13"/>
  <c r="Y76" i="13"/>
  <c r="W76" i="13"/>
  <c r="X76" i="13" s="1"/>
  <c r="Y30" i="13"/>
  <c r="W30" i="13"/>
  <c r="X30" i="13" s="1"/>
  <c r="Y32" i="13"/>
  <c r="W32" i="13"/>
  <c r="X32" i="13" s="1"/>
  <c r="Y16" i="13"/>
  <c r="W16" i="13"/>
  <c r="X16" i="13" s="1"/>
  <c r="Y90" i="13"/>
  <c r="W90" i="13"/>
  <c r="X90" i="13" s="1"/>
  <c r="N189" i="13"/>
  <c r="Y189" i="13"/>
  <c r="W189" i="13"/>
  <c r="X189" i="13" s="1"/>
  <c r="L5" i="6"/>
  <c r="M3" i="6"/>
  <c r="X275" i="4"/>
  <c r="V275" i="4"/>
  <c r="X227" i="4"/>
  <c r="V227" i="4"/>
  <c r="X279" i="4"/>
  <c r="V279" i="4"/>
  <c r="X254" i="4"/>
  <c r="V254" i="4"/>
  <c r="V270" i="4"/>
  <c r="X270" i="4"/>
  <c r="X197" i="4"/>
  <c r="V197" i="4"/>
  <c r="X159" i="4"/>
  <c r="V159" i="4"/>
  <c r="X135" i="4"/>
  <c r="V135" i="4"/>
  <c r="X158" i="4"/>
  <c r="V158" i="4"/>
  <c r="X120" i="4"/>
  <c r="V120" i="4"/>
  <c r="X220" i="4"/>
  <c r="V220" i="4"/>
  <c r="X168" i="4"/>
  <c r="V168" i="4"/>
  <c r="X195" i="4"/>
  <c r="V195" i="4"/>
  <c r="X144" i="4"/>
  <c r="V144" i="4"/>
  <c r="V131" i="4"/>
  <c r="X131" i="4"/>
  <c r="X10" i="4"/>
  <c r="V10" i="4"/>
  <c r="X53" i="4"/>
  <c r="V53" i="4"/>
  <c r="V35" i="4"/>
  <c r="X35" i="4"/>
  <c r="V41" i="4"/>
  <c r="X41" i="4"/>
  <c r="X277" i="4"/>
  <c r="V277" i="4"/>
  <c r="X21" i="4"/>
  <c r="V21" i="4"/>
  <c r="X200" i="4"/>
  <c r="V200" i="4"/>
  <c r="V30" i="4"/>
  <c r="X30" i="4"/>
  <c r="W297" i="1"/>
  <c r="X297" i="1" s="1"/>
  <c r="Y297" i="1"/>
  <c r="W223" i="1"/>
  <c r="X223" i="1" s="1"/>
  <c r="Y223" i="1"/>
  <c r="W207" i="1"/>
  <c r="X207" i="1" s="1"/>
  <c r="Y207" i="1"/>
  <c r="Y249" i="1"/>
  <c r="W249" i="1"/>
  <c r="X249" i="1" s="1"/>
  <c r="Y205" i="1"/>
  <c r="W205" i="1"/>
  <c r="X205" i="1" s="1"/>
  <c r="Y179" i="1"/>
  <c r="W179" i="1"/>
  <c r="X179" i="1" s="1"/>
  <c r="V143" i="4"/>
  <c r="X143" i="4"/>
  <c r="Y224" i="1"/>
  <c r="W224" i="1"/>
  <c r="X224" i="1" s="1"/>
  <c r="N224" i="1"/>
  <c r="Y79" i="1"/>
  <c r="W79" i="1"/>
  <c r="X79" i="1" s="1"/>
  <c r="N79" i="1"/>
  <c r="Y18" i="1"/>
  <c r="W18" i="1"/>
  <c r="X18" i="1" s="1"/>
  <c r="Y106" i="1"/>
  <c r="W106" i="1"/>
  <c r="X106" i="1" s="1"/>
  <c r="Y219" i="1"/>
  <c r="W219" i="1"/>
  <c r="X219" i="1" s="1"/>
  <c r="N219" i="1"/>
  <c r="Y103" i="1"/>
  <c r="W103" i="1"/>
  <c r="X103" i="1" s="1"/>
  <c r="Y194" i="1"/>
  <c r="W194" i="1"/>
  <c r="X194" i="1" s="1"/>
  <c r="N194" i="1"/>
  <c r="Y141" i="1"/>
  <c r="W141" i="1"/>
  <c r="X141" i="1" s="1"/>
  <c r="N141" i="1"/>
  <c r="W140" i="1"/>
  <c r="X140" i="1" s="1"/>
  <c r="Y140" i="1"/>
  <c r="W76" i="1"/>
  <c r="X76" i="1" s="1"/>
  <c r="Y76" i="1"/>
  <c r="Y96" i="1"/>
  <c r="W96" i="1"/>
  <c r="X96" i="1" s="1"/>
  <c r="Y50" i="1"/>
  <c r="W50" i="1"/>
  <c r="X50" i="1" s="1"/>
  <c r="W132" i="1"/>
  <c r="X132" i="1" s="1"/>
  <c r="Y132" i="1"/>
  <c r="Y167" i="1"/>
  <c r="W167" i="1"/>
  <c r="X167" i="1" s="1"/>
  <c r="N167" i="1"/>
  <c r="Y64" i="1"/>
  <c r="W64" i="1"/>
  <c r="X64" i="1" s="1"/>
  <c r="Y88" i="1"/>
  <c r="W88" i="1"/>
  <c r="X88" i="1" s="1"/>
  <c r="Y251" i="14"/>
  <c r="W251" i="14"/>
  <c r="X251" i="14" s="1"/>
  <c r="N251" i="14"/>
  <c r="N240" i="14"/>
  <c r="N215" i="14"/>
  <c r="W254" i="14"/>
  <c r="X254" i="14" s="1"/>
  <c r="Y254" i="14"/>
  <c r="Y226" i="14"/>
  <c r="W226" i="14"/>
  <c r="X226" i="14" s="1"/>
  <c r="Y188" i="14"/>
  <c r="W188" i="14"/>
  <c r="X188" i="14" s="1"/>
  <c r="Y280" i="14"/>
  <c r="W280" i="14"/>
  <c r="X280" i="14" s="1"/>
  <c r="W222" i="14"/>
  <c r="X222" i="14" s="1"/>
  <c r="Y222" i="14"/>
  <c r="N208" i="14"/>
  <c r="W258" i="14"/>
  <c r="X258" i="14" s="1"/>
  <c r="Y258" i="14"/>
  <c r="Y241" i="14"/>
  <c r="W241" i="14"/>
  <c r="X241" i="14" s="1"/>
  <c r="Y131" i="14"/>
  <c r="W131" i="14"/>
  <c r="X131" i="14" s="1"/>
  <c r="Y107" i="14"/>
  <c r="W107" i="14"/>
  <c r="X107" i="14" s="1"/>
  <c r="N126" i="14"/>
  <c r="W126" i="14"/>
  <c r="X126" i="14" s="1"/>
  <c r="Y126" i="14"/>
  <c r="Y98" i="14"/>
  <c r="W98" i="14"/>
  <c r="X98" i="14" s="1"/>
  <c r="W172" i="14"/>
  <c r="X172" i="14" s="1"/>
  <c r="Y172" i="14"/>
  <c r="N173" i="14"/>
  <c r="Y141" i="14"/>
  <c r="W141" i="14"/>
  <c r="X141" i="14" s="1"/>
  <c r="W91" i="14"/>
  <c r="X91" i="14" s="1"/>
  <c r="Y91" i="14"/>
  <c r="N51" i="14"/>
  <c r="N162" i="14"/>
  <c r="Y151" i="14"/>
  <c r="W151" i="14"/>
  <c r="X151" i="14" s="1"/>
  <c r="Y93" i="14"/>
  <c r="W93" i="14"/>
  <c r="X93" i="14" s="1"/>
  <c r="W153" i="14"/>
  <c r="X153" i="14" s="1"/>
  <c r="N153" i="14"/>
  <c r="Y153" i="14"/>
  <c r="Y122" i="14"/>
  <c r="W122" i="14"/>
  <c r="X122" i="14" s="1"/>
  <c r="N122" i="14"/>
  <c r="Y68" i="14"/>
  <c r="W68" i="14"/>
  <c r="X68" i="14" s="1"/>
  <c r="N134" i="14"/>
  <c r="W134" i="14"/>
  <c r="X134" i="14" s="1"/>
  <c r="Y134" i="14"/>
  <c r="Y90" i="14"/>
  <c r="W90" i="14"/>
  <c r="X90" i="14" s="1"/>
  <c r="Y12" i="14"/>
  <c r="W12" i="14"/>
  <c r="X12" i="14" s="1"/>
  <c r="Y43" i="14"/>
  <c r="W43" i="14"/>
  <c r="X43" i="14" s="1"/>
  <c r="Y14" i="14"/>
  <c r="W14" i="14"/>
  <c r="X14" i="14" s="1"/>
  <c r="Y214" i="13"/>
  <c r="W214" i="13"/>
  <c r="X214" i="13" s="1"/>
  <c r="Y235" i="13"/>
  <c r="W235" i="13"/>
  <c r="X235" i="13" s="1"/>
  <c r="Y298" i="13"/>
  <c r="W298" i="13"/>
  <c r="X298" i="13" s="1"/>
  <c r="N298" i="13"/>
  <c r="W252" i="13"/>
  <c r="X252" i="13" s="1"/>
  <c r="Y252" i="13"/>
  <c r="Y52" i="14"/>
  <c r="W52" i="14"/>
  <c r="X52" i="14" s="1"/>
  <c r="Y164" i="13"/>
  <c r="W164" i="13"/>
  <c r="X164" i="13" s="1"/>
  <c r="N164" i="13"/>
  <c r="Y167" i="13"/>
  <c r="W167" i="13"/>
  <c r="X167" i="13" s="1"/>
  <c r="Y151" i="13"/>
  <c r="W151" i="13"/>
  <c r="X151" i="13" s="1"/>
  <c r="Y171" i="13"/>
  <c r="W171" i="13"/>
  <c r="X171" i="13" s="1"/>
  <c r="W9" i="14"/>
  <c r="X9" i="14" s="1"/>
  <c r="Y9" i="14"/>
  <c r="N9" i="14"/>
  <c r="Y132" i="13"/>
  <c r="W132" i="13"/>
  <c r="X132" i="13" s="1"/>
  <c r="N114" i="13"/>
  <c r="N98" i="13"/>
  <c r="W79" i="13"/>
  <c r="X79" i="13" s="1"/>
  <c r="Y79" i="13"/>
  <c r="W63" i="13"/>
  <c r="X63" i="13" s="1"/>
  <c r="Y63" i="13"/>
  <c r="W47" i="13"/>
  <c r="X47" i="13" s="1"/>
  <c r="Y47" i="13"/>
  <c r="Y170" i="13"/>
  <c r="W170" i="13"/>
  <c r="X170" i="13" s="1"/>
  <c r="N170" i="13"/>
  <c r="Y95" i="13"/>
  <c r="W95" i="13"/>
  <c r="X95" i="13" s="1"/>
  <c r="W195" i="13"/>
  <c r="X195" i="13" s="1"/>
  <c r="Y195" i="13"/>
  <c r="N195" i="13"/>
  <c r="W177" i="13"/>
  <c r="X177" i="13" s="1"/>
  <c r="Y177" i="13"/>
  <c r="N177" i="13"/>
  <c r="W94" i="13"/>
  <c r="X94" i="13" s="1"/>
  <c r="Y94" i="13"/>
  <c r="Y39" i="13"/>
  <c r="W39" i="13"/>
  <c r="X39" i="13" s="1"/>
  <c r="Y194" i="13"/>
  <c r="W194" i="13"/>
  <c r="X194" i="13" s="1"/>
  <c r="N194" i="13"/>
  <c r="Y108" i="13"/>
  <c r="W108" i="13"/>
  <c r="X108" i="13" s="1"/>
  <c r="N108" i="13"/>
  <c r="Y66" i="13"/>
  <c r="W66" i="13"/>
  <c r="X66" i="13" s="1"/>
  <c r="N66" i="13"/>
  <c r="Y239" i="13"/>
  <c r="W239" i="13"/>
  <c r="X239" i="13" s="1"/>
  <c r="W86" i="13"/>
  <c r="X86" i="13" s="1"/>
  <c r="Y86" i="13"/>
  <c r="Y20" i="13"/>
  <c r="W20" i="13"/>
  <c r="X20" i="13" s="1"/>
  <c r="V235" i="4"/>
  <c r="X235" i="4"/>
  <c r="X263" i="4"/>
  <c r="V263" i="4"/>
  <c r="X246" i="4"/>
  <c r="V246" i="4"/>
  <c r="V222" i="4"/>
  <c r="X222" i="4"/>
  <c r="X291" i="4"/>
  <c r="V291" i="4"/>
  <c r="X242" i="4"/>
  <c r="V242" i="4"/>
  <c r="X269" i="4"/>
  <c r="V269" i="4"/>
  <c r="X147" i="4"/>
  <c r="V147" i="4"/>
  <c r="X122" i="4"/>
  <c r="V122" i="4"/>
  <c r="X302" i="4"/>
  <c r="V302" i="4"/>
  <c r="X169" i="4"/>
  <c r="V169" i="4"/>
  <c r="V134" i="4"/>
  <c r="X134" i="4"/>
  <c r="X90" i="4"/>
  <c r="V90" i="4"/>
  <c r="X181" i="4"/>
  <c r="V181" i="4"/>
  <c r="V165" i="4"/>
  <c r="X165" i="4"/>
  <c r="X112" i="4"/>
  <c r="V112" i="4"/>
  <c r="V38" i="4"/>
  <c r="W38" i="4" s="1"/>
  <c r="X38" i="4"/>
  <c r="V79" i="4"/>
  <c r="X79" i="4"/>
  <c r="X26" i="4"/>
  <c r="V26" i="4"/>
  <c r="X37" i="4"/>
  <c r="V37" i="4"/>
  <c r="V100" i="4"/>
  <c r="X100" i="4"/>
  <c r="V20" i="4"/>
  <c r="W20" i="4" s="1"/>
  <c r="X20" i="4"/>
  <c r="V89" i="4"/>
  <c r="X89" i="4"/>
  <c r="V23" i="4"/>
  <c r="X23" i="4"/>
  <c r="X171" i="4"/>
  <c r="V171" i="4"/>
  <c r="X73" i="4"/>
  <c r="V73" i="4"/>
  <c r="X44" i="4"/>
  <c r="V44" i="4"/>
  <c r="W306" i="1"/>
  <c r="X306" i="1" s="1"/>
  <c r="Y306" i="1"/>
  <c r="Y288" i="1"/>
  <c r="W288" i="1"/>
  <c r="X288" i="1" s="1"/>
  <c r="Y225" i="1"/>
  <c r="W225" i="1"/>
  <c r="X225" i="1" s="1"/>
  <c r="N207" i="1"/>
  <c r="X9" i="4"/>
  <c r="V9" i="4"/>
  <c r="Y269" i="1"/>
  <c r="W269" i="1"/>
  <c r="X269" i="1" s="1"/>
  <c r="Y300" i="1"/>
  <c r="W300" i="1"/>
  <c r="X300" i="1" s="1"/>
  <c r="N300" i="1"/>
  <c r="Y260" i="1"/>
  <c r="W260" i="1"/>
  <c r="X260" i="1" s="1"/>
  <c r="N260" i="1"/>
  <c r="N249" i="1"/>
  <c r="N205" i="1"/>
  <c r="N179" i="1"/>
  <c r="Y299" i="1"/>
  <c r="W299" i="1"/>
  <c r="X299" i="1" s="1"/>
  <c r="W169" i="1"/>
  <c r="X169" i="1" s="1"/>
  <c r="Y169" i="1"/>
  <c r="Y47" i="1"/>
  <c r="W47" i="1"/>
  <c r="X47" i="1" s="1"/>
  <c r="N47" i="1"/>
  <c r="W33" i="1"/>
  <c r="X33" i="1" s="1"/>
  <c r="Y33" i="1"/>
  <c r="N31" i="1"/>
  <c r="W65" i="1"/>
  <c r="X65" i="1" s="1"/>
  <c r="Y65" i="1"/>
  <c r="W257" i="1"/>
  <c r="X257" i="1" s="1"/>
  <c r="Y257" i="1"/>
  <c r="W238" i="1"/>
  <c r="X238" i="1" s="1"/>
  <c r="Y238" i="1"/>
  <c r="W144" i="1"/>
  <c r="X144" i="1" s="1"/>
  <c r="Y144" i="1"/>
  <c r="Y159" i="1"/>
  <c r="W159" i="1"/>
  <c r="X159" i="1" s="1"/>
  <c r="N159" i="1"/>
  <c r="Y135" i="1"/>
  <c r="W135" i="1"/>
  <c r="X135" i="1" s="1"/>
  <c r="W17" i="1"/>
  <c r="X17" i="1" s="1"/>
  <c r="Y17" i="1"/>
  <c r="Y236" i="1"/>
  <c r="W236" i="1"/>
  <c r="X236" i="1" s="1"/>
  <c r="Y193" i="1"/>
  <c r="W193" i="1"/>
  <c r="X193" i="1" s="1"/>
  <c r="W129" i="1"/>
  <c r="X129" i="1" s="1"/>
  <c r="Y129" i="1"/>
  <c r="Y102" i="1"/>
  <c r="W102" i="1"/>
  <c r="X102" i="1" s="1"/>
  <c r="Y77" i="1"/>
  <c r="W77" i="1"/>
  <c r="X77" i="1" s="1"/>
  <c r="N77" i="1"/>
  <c r="W293" i="1"/>
  <c r="X293" i="1" s="1"/>
  <c r="Y293" i="1"/>
  <c r="Y209" i="1"/>
  <c r="W209" i="1"/>
  <c r="X209" i="1" s="1"/>
  <c r="Y184" i="1"/>
  <c r="W184" i="1"/>
  <c r="X184" i="1" s="1"/>
  <c r="Y14" i="1"/>
  <c r="W14" i="1"/>
  <c r="X14" i="1" s="1"/>
  <c r="Y63" i="1"/>
  <c r="W63" i="1"/>
  <c r="X63" i="1" s="1"/>
  <c r="Y42" i="1"/>
  <c r="W42" i="1"/>
  <c r="X42" i="1" s="1"/>
  <c r="Y152" i="1"/>
  <c r="W152" i="1"/>
  <c r="X152" i="1" s="1"/>
  <c r="Y151" i="1"/>
  <c r="W151" i="1"/>
  <c r="X151" i="1" s="1"/>
  <c r="Y248" i="14"/>
  <c r="W248" i="14"/>
  <c r="X248" i="14" s="1"/>
  <c r="Y277" i="14"/>
  <c r="W277" i="14"/>
  <c r="X277" i="14" s="1"/>
  <c r="W191" i="14"/>
  <c r="X191" i="14" s="1"/>
  <c r="Y191" i="14"/>
  <c r="N245" i="14"/>
  <c r="Y205" i="14"/>
  <c r="W205" i="14"/>
  <c r="X205" i="14" s="1"/>
  <c r="W250" i="14"/>
  <c r="X250" i="14" s="1"/>
  <c r="Y250" i="14"/>
  <c r="N250" i="14"/>
  <c r="W299" i="14"/>
  <c r="X299" i="14" s="1"/>
  <c r="N299" i="14"/>
  <c r="Y299" i="14"/>
  <c r="Y259" i="14"/>
  <c r="W259" i="14"/>
  <c r="X259" i="14" s="1"/>
  <c r="N259" i="14"/>
  <c r="Y159" i="14"/>
  <c r="W159" i="14"/>
  <c r="X159" i="14" s="1"/>
  <c r="N159" i="14"/>
  <c r="W105" i="14"/>
  <c r="X105" i="14" s="1"/>
  <c r="N105" i="14"/>
  <c r="Y105" i="14"/>
  <c r="Y170" i="14"/>
  <c r="W170" i="14"/>
  <c r="X170" i="14" s="1"/>
  <c r="N141" i="14"/>
  <c r="N91" i="14"/>
  <c r="Y138" i="14"/>
  <c r="W138" i="14"/>
  <c r="X138" i="14" s="1"/>
  <c r="W124" i="14"/>
  <c r="X124" i="14" s="1"/>
  <c r="Y124" i="14"/>
  <c r="N93" i="14"/>
  <c r="Y130" i="14"/>
  <c r="W130" i="14"/>
  <c r="X130" i="14" s="1"/>
  <c r="Y119" i="14"/>
  <c r="W119" i="14"/>
  <c r="X119" i="14" s="1"/>
  <c r="N119" i="14"/>
  <c r="N142" i="14"/>
  <c r="W142" i="14"/>
  <c r="X142" i="14" s="1"/>
  <c r="Y142" i="14"/>
  <c r="Y128" i="14"/>
  <c r="W128" i="14"/>
  <c r="X128" i="14" s="1"/>
  <c r="N128" i="14"/>
  <c r="Y103" i="14"/>
  <c r="W103" i="14"/>
  <c r="X103" i="14" s="1"/>
  <c r="N103" i="14"/>
  <c r="Y75" i="14"/>
  <c r="W75" i="14"/>
  <c r="X75" i="14" s="1"/>
  <c r="W296" i="13"/>
  <c r="X296" i="13" s="1"/>
  <c r="Y296" i="13"/>
  <c r="Y53" i="14"/>
  <c r="W53" i="14"/>
  <c r="X53" i="14" s="1"/>
  <c r="Y36" i="14"/>
  <c r="W36" i="14"/>
  <c r="X36" i="14" s="1"/>
  <c r="W283" i="13"/>
  <c r="X283" i="13" s="1"/>
  <c r="Y283" i="13"/>
  <c r="Y231" i="13"/>
  <c r="W231" i="13"/>
  <c r="X231" i="13" s="1"/>
  <c r="Y47" i="14"/>
  <c r="W47" i="14"/>
  <c r="X47" i="14" s="1"/>
  <c r="Y302" i="13"/>
  <c r="W302" i="13"/>
  <c r="X302" i="13" s="1"/>
  <c r="Y260" i="13"/>
  <c r="W260" i="13"/>
  <c r="X260" i="13" s="1"/>
  <c r="W227" i="13"/>
  <c r="X227" i="13" s="1"/>
  <c r="N227" i="13"/>
  <c r="Y227" i="13"/>
  <c r="N188" i="13"/>
  <c r="Y262" i="13"/>
  <c r="W262" i="13"/>
  <c r="X262" i="13" s="1"/>
  <c r="N262" i="13"/>
  <c r="Y242" i="13"/>
  <c r="W242" i="13"/>
  <c r="X242" i="13" s="1"/>
  <c r="N242" i="13"/>
  <c r="Y217" i="13"/>
  <c r="W217" i="13"/>
  <c r="X217" i="13" s="1"/>
  <c r="N217" i="13"/>
  <c r="Y223" i="13"/>
  <c r="W223" i="13"/>
  <c r="X223" i="13" s="1"/>
  <c r="Y198" i="13"/>
  <c r="W198" i="13"/>
  <c r="X198" i="13" s="1"/>
  <c r="L5" i="14"/>
  <c r="M3" i="14"/>
  <c r="Y228" i="13"/>
  <c r="W228" i="13"/>
  <c r="X228" i="13" s="1"/>
  <c r="W17" i="14"/>
  <c r="X17" i="14" s="1"/>
  <c r="Y17" i="14"/>
  <c r="N17" i="14"/>
  <c r="Y20" i="14"/>
  <c r="W20" i="14"/>
  <c r="X20" i="14" s="1"/>
  <c r="Y140" i="13"/>
  <c r="W140" i="13"/>
  <c r="X140" i="13" s="1"/>
  <c r="N140" i="13"/>
  <c r="W141" i="13"/>
  <c r="X141" i="13" s="1"/>
  <c r="Y141" i="13"/>
  <c r="W123" i="13"/>
  <c r="X123" i="13" s="1"/>
  <c r="Y123" i="13"/>
  <c r="W65" i="13"/>
  <c r="X65" i="13" s="1"/>
  <c r="Y65" i="13"/>
  <c r="Y237" i="13"/>
  <c r="W237" i="13"/>
  <c r="X237" i="13" s="1"/>
  <c r="N237" i="13"/>
  <c r="Y97" i="13"/>
  <c r="W97" i="13"/>
  <c r="X97" i="13" s="1"/>
  <c r="Y148" i="13"/>
  <c r="W148" i="13"/>
  <c r="X148" i="13" s="1"/>
  <c r="Y34" i="13"/>
  <c r="W34" i="13"/>
  <c r="X34" i="13" s="1"/>
  <c r="Y149" i="13"/>
  <c r="W149" i="13"/>
  <c r="X149" i="13" s="1"/>
  <c r="Y14" i="13"/>
  <c r="W14" i="13"/>
  <c r="X14" i="13" s="1"/>
  <c r="Y100" i="13"/>
  <c r="W100" i="13"/>
  <c r="X100" i="13" s="1"/>
  <c r="Y60" i="13"/>
  <c r="W60" i="13"/>
  <c r="X60" i="13" s="1"/>
  <c r="N60" i="13"/>
  <c r="W62" i="13"/>
  <c r="X62" i="13" s="1"/>
  <c r="Y62" i="13"/>
  <c r="N62" i="13"/>
  <c r="X306" i="4"/>
  <c r="V306" i="4"/>
  <c r="Y68" i="13"/>
  <c r="W68" i="13"/>
  <c r="X68" i="13" s="1"/>
  <c r="V223" i="4"/>
  <c r="X223" i="4"/>
  <c r="X218" i="4"/>
  <c r="V218" i="4"/>
  <c r="V163" i="4"/>
  <c r="X163" i="4"/>
  <c r="X141" i="4"/>
  <c r="V141" i="4"/>
  <c r="V202" i="4"/>
  <c r="X202" i="4"/>
  <c r="X82" i="4"/>
  <c r="V82" i="4"/>
  <c r="V213" i="4"/>
  <c r="X213" i="4"/>
  <c r="V194" i="4"/>
  <c r="X194" i="4"/>
  <c r="X180" i="4"/>
  <c r="V180" i="4"/>
  <c r="X66" i="4"/>
  <c r="V66" i="4"/>
  <c r="V52" i="4"/>
  <c r="X52" i="4"/>
  <c r="X185" i="4"/>
  <c r="V185" i="4"/>
  <c r="V81" i="4"/>
  <c r="X81" i="4"/>
  <c r="X33" i="4"/>
  <c r="V33" i="4"/>
  <c r="X46" i="4"/>
  <c r="V46" i="4"/>
  <c r="W46" i="4" s="1"/>
  <c r="X119" i="4"/>
  <c r="V119" i="4"/>
  <c r="X19" i="4"/>
  <c r="V19" i="4"/>
  <c r="X70" i="4"/>
  <c r="V70" i="4"/>
  <c r="X76" i="4"/>
  <c r="V76" i="4"/>
  <c r="W292" i="1"/>
  <c r="X292" i="1" s="1"/>
  <c r="Y292" i="1"/>
  <c r="Y256" i="1"/>
  <c r="W256" i="1"/>
  <c r="X256" i="1" s="1"/>
  <c r="W239" i="1"/>
  <c r="X239" i="1" s="1"/>
  <c r="Y239" i="1"/>
  <c r="W221" i="1"/>
  <c r="X221" i="1" s="1"/>
  <c r="Y221" i="1"/>
  <c r="X50" i="4"/>
  <c r="V50" i="4"/>
  <c r="Y296" i="1"/>
  <c r="W296" i="1"/>
  <c r="X296" i="1" s="1"/>
  <c r="W220" i="1"/>
  <c r="X220" i="1" s="1"/>
  <c r="Y220" i="1"/>
  <c r="Y38" i="1"/>
  <c r="W38" i="1"/>
  <c r="X38" i="1" s="1"/>
  <c r="Y10" i="1"/>
  <c r="W10" i="1"/>
  <c r="X10" i="1" s="1"/>
  <c r="Y157" i="1"/>
  <c r="W157" i="1"/>
  <c r="X157" i="1" s="1"/>
  <c r="N157" i="1"/>
  <c r="W80" i="1"/>
  <c r="X80" i="1" s="1"/>
  <c r="Y80" i="1"/>
  <c r="Y227" i="1"/>
  <c r="W227" i="1"/>
  <c r="X227" i="1" s="1"/>
  <c r="N227" i="1"/>
  <c r="Y158" i="1"/>
  <c r="W158" i="1"/>
  <c r="X158" i="1" s="1"/>
  <c r="W84" i="1"/>
  <c r="X84" i="1" s="1"/>
  <c r="Y84" i="1"/>
  <c r="N17" i="1"/>
  <c r="Y136" i="1"/>
  <c r="W136" i="1"/>
  <c r="X136" i="1" s="1"/>
  <c r="Y98" i="1"/>
  <c r="W98" i="1"/>
  <c r="X98" i="1" s="1"/>
  <c r="N98" i="1"/>
  <c r="N261" i="1"/>
  <c r="Y261" i="1"/>
  <c r="W261" i="1"/>
  <c r="X261" i="1" s="1"/>
  <c r="W195" i="1"/>
  <c r="X195" i="1" s="1"/>
  <c r="Y195" i="1"/>
  <c r="Y173" i="1"/>
  <c r="W173" i="1"/>
  <c r="X173" i="1" s="1"/>
  <c r="N173" i="1"/>
  <c r="Y127" i="1"/>
  <c r="W127" i="1"/>
  <c r="X127" i="1" s="1"/>
  <c r="W68" i="1"/>
  <c r="X68" i="1" s="1"/>
  <c r="Y68" i="1"/>
  <c r="Y154" i="1"/>
  <c r="W154" i="1"/>
  <c r="X154" i="1" s="1"/>
  <c r="N154" i="1"/>
  <c r="Y128" i="1"/>
  <c r="W128" i="1"/>
  <c r="X128" i="1" s="1"/>
  <c r="Y119" i="1"/>
  <c r="W119" i="1"/>
  <c r="X119" i="1" s="1"/>
  <c r="N42" i="1"/>
  <c r="W186" i="1"/>
  <c r="X186" i="1" s="1"/>
  <c r="Y186" i="1"/>
  <c r="Y82" i="1"/>
  <c r="W82" i="1"/>
  <c r="X82" i="1" s="1"/>
  <c r="W265" i="14"/>
  <c r="X265" i="14" s="1"/>
  <c r="Y265" i="14"/>
  <c r="N248" i="14"/>
  <c r="Y227" i="14"/>
  <c r="W227" i="14"/>
  <c r="X227" i="14" s="1"/>
  <c r="Y282" i="14"/>
  <c r="W282" i="14"/>
  <c r="X282" i="14" s="1"/>
  <c r="N282" i="14"/>
  <c r="W207" i="14"/>
  <c r="X207" i="14" s="1"/>
  <c r="Y207" i="14"/>
  <c r="N191" i="14"/>
  <c r="W285" i="14"/>
  <c r="X285" i="14" s="1"/>
  <c r="Y285" i="14"/>
  <c r="Y224" i="14"/>
  <c r="W224" i="14"/>
  <c r="X224" i="14" s="1"/>
  <c r="N224" i="14"/>
  <c r="N205" i="14"/>
  <c r="Y267" i="14"/>
  <c r="W267" i="14"/>
  <c r="X267" i="14" s="1"/>
  <c r="N267" i="14"/>
  <c r="Y220" i="14"/>
  <c r="W220" i="14"/>
  <c r="X220" i="14" s="1"/>
  <c r="Y298" i="14"/>
  <c r="W298" i="14"/>
  <c r="X298" i="14" s="1"/>
  <c r="N298" i="14"/>
  <c r="N180" i="14"/>
  <c r="W113" i="14"/>
  <c r="X113" i="14" s="1"/>
  <c r="N113" i="14"/>
  <c r="Y113" i="14"/>
  <c r="Y127" i="14"/>
  <c r="W127" i="14"/>
  <c r="X127" i="14" s="1"/>
  <c r="N127" i="14"/>
  <c r="Y133" i="14"/>
  <c r="W133" i="14"/>
  <c r="X133" i="14" s="1"/>
  <c r="Y86" i="14"/>
  <c r="W86" i="14"/>
  <c r="X86" i="14" s="1"/>
  <c r="Y84" i="14"/>
  <c r="W84" i="14"/>
  <c r="X84" i="14" s="1"/>
  <c r="Y183" i="14"/>
  <c r="W183" i="14"/>
  <c r="X183" i="14" s="1"/>
  <c r="Y111" i="14"/>
  <c r="W111" i="14"/>
  <c r="X111" i="14" s="1"/>
  <c r="Y146" i="14"/>
  <c r="W146" i="14"/>
  <c r="X146" i="14" s="1"/>
  <c r="N146" i="14"/>
  <c r="N98" i="14"/>
  <c r="Y70" i="14"/>
  <c r="W70" i="14"/>
  <c r="X70" i="14" s="1"/>
  <c r="W41" i="14"/>
  <c r="X41" i="14" s="1"/>
  <c r="N41" i="14"/>
  <c r="Y41" i="14"/>
  <c r="Y29" i="14"/>
  <c r="W29" i="14"/>
  <c r="X29" i="14" s="1"/>
  <c r="Y11" i="14"/>
  <c r="W11" i="14"/>
  <c r="X11" i="14" s="1"/>
  <c r="Y282" i="13"/>
  <c r="W282" i="13"/>
  <c r="X282" i="13" s="1"/>
  <c r="Y71" i="14"/>
  <c r="W71" i="14"/>
  <c r="X71" i="14" s="1"/>
  <c r="Y61" i="14"/>
  <c r="W61" i="14"/>
  <c r="X61" i="14" s="1"/>
  <c r="Y22" i="14"/>
  <c r="W22" i="14"/>
  <c r="X22" i="14" s="1"/>
  <c r="Y301" i="13"/>
  <c r="W301" i="13"/>
  <c r="X301" i="13" s="1"/>
  <c r="N283" i="13"/>
  <c r="Y267" i="13"/>
  <c r="W267" i="13"/>
  <c r="X267" i="13" s="1"/>
  <c r="Y250" i="13"/>
  <c r="W250" i="13"/>
  <c r="X250" i="13" s="1"/>
  <c r="N231" i="13"/>
  <c r="W25" i="14"/>
  <c r="X25" i="14" s="1"/>
  <c r="N25" i="14"/>
  <c r="Y25" i="14"/>
  <c r="Y253" i="13"/>
  <c r="W253" i="13"/>
  <c r="X253" i="13" s="1"/>
  <c r="Y225" i="13"/>
  <c r="W225" i="13"/>
  <c r="X225" i="13" s="1"/>
  <c r="Y251" i="13"/>
  <c r="W251" i="13"/>
  <c r="X251" i="13" s="1"/>
  <c r="N251" i="13"/>
  <c r="W208" i="13"/>
  <c r="X208" i="13" s="1"/>
  <c r="Y208" i="13"/>
  <c r="W200" i="13"/>
  <c r="X200" i="13" s="1"/>
  <c r="Y200" i="13"/>
  <c r="W165" i="13"/>
  <c r="X165" i="13" s="1"/>
  <c r="Y165" i="13"/>
  <c r="Y274" i="13"/>
  <c r="W274" i="13"/>
  <c r="X274" i="13" s="1"/>
  <c r="Y161" i="13"/>
  <c r="W161" i="13"/>
  <c r="X161" i="13" s="1"/>
  <c r="N161" i="13"/>
  <c r="W219" i="13"/>
  <c r="X219" i="13" s="1"/>
  <c r="N219" i="13"/>
  <c r="Y219" i="13"/>
  <c r="Y288" i="13"/>
  <c r="W288" i="13"/>
  <c r="X288" i="13" s="1"/>
  <c r="Y248" i="13"/>
  <c r="W248" i="13"/>
  <c r="X248" i="13" s="1"/>
  <c r="N81" i="13"/>
  <c r="N49" i="13"/>
  <c r="Y173" i="13"/>
  <c r="W173" i="13"/>
  <c r="X173" i="13" s="1"/>
  <c r="N173" i="13"/>
  <c r="W99" i="13"/>
  <c r="X99" i="13" s="1"/>
  <c r="Y99" i="13"/>
  <c r="W145" i="13"/>
  <c r="X145" i="13" s="1"/>
  <c r="Y145" i="13"/>
  <c r="Y121" i="13"/>
  <c r="W121" i="13"/>
  <c r="X121" i="13" s="1"/>
  <c r="Y74" i="13"/>
  <c r="W74" i="13"/>
  <c r="X74" i="13" s="1"/>
  <c r="N74" i="13"/>
  <c r="Y58" i="13"/>
  <c r="W58" i="13"/>
  <c r="X58" i="13" s="1"/>
  <c r="W38" i="13"/>
  <c r="X38" i="13" s="1"/>
  <c r="Y38" i="13"/>
  <c r="W125" i="13"/>
  <c r="X125" i="13" s="1"/>
  <c r="Y125" i="13"/>
  <c r="N125" i="13"/>
  <c r="Y82" i="13"/>
  <c r="W82" i="13"/>
  <c r="X82" i="13" s="1"/>
  <c r="N82" i="13"/>
  <c r="Y93" i="13"/>
  <c r="W93" i="13"/>
  <c r="X93" i="13" s="1"/>
  <c r="N93" i="13"/>
  <c r="Y127" i="13"/>
  <c r="W127" i="13"/>
  <c r="X127" i="13" s="1"/>
  <c r="N127" i="13"/>
  <c r="Y128" i="13"/>
  <c r="W128" i="13"/>
  <c r="X128" i="13" s="1"/>
  <c r="N128" i="13"/>
  <c r="X295" i="4"/>
  <c r="V295" i="4"/>
  <c r="V290" i="4"/>
  <c r="X290" i="4"/>
  <c r="X262" i="4"/>
  <c r="V262" i="4"/>
  <c r="V238" i="4"/>
  <c r="X238" i="4"/>
  <c r="X217" i="4"/>
  <c r="V217" i="4"/>
  <c r="X249" i="4"/>
  <c r="V249" i="4"/>
  <c r="V231" i="4"/>
  <c r="X231" i="4"/>
  <c r="V258" i="4"/>
  <c r="X258" i="4"/>
  <c r="V212" i="4"/>
  <c r="X212" i="4"/>
  <c r="X187" i="4"/>
  <c r="V187" i="4"/>
  <c r="V118" i="4"/>
  <c r="X118" i="4"/>
  <c r="V176" i="4"/>
  <c r="X176" i="4"/>
  <c r="X162" i="4"/>
  <c r="V162" i="4"/>
  <c r="X114" i="4"/>
  <c r="V114" i="4"/>
  <c r="V127" i="4"/>
  <c r="X127" i="4"/>
  <c r="X151" i="4"/>
  <c r="V151" i="4"/>
  <c r="X113" i="4"/>
  <c r="V113" i="4"/>
  <c r="X139" i="4"/>
  <c r="V139" i="4"/>
  <c r="V28" i="4"/>
  <c r="X28" i="4"/>
  <c r="X49" i="4"/>
  <c r="V49" i="4"/>
  <c r="X128" i="4"/>
  <c r="V128" i="4"/>
  <c r="V13" i="4"/>
  <c r="X13" i="4"/>
  <c r="X92" i="4"/>
  <c r="V92" i="4"/>
  <c r="X18" i="4"/>
  <c r="V18" i="4"/>
  <c r="W18" i="4" s="1"/>
  <c r="V156" i="4"/>
  <c r="X156" i="4"/>
  <c r="N291" i="1"/>
  <c r="N239" i="1"/>
  <c r="N221" i="1"/>
  <c r="W199" i="1"/>
  <c r="X199" i="1" s="1"/>
  <c r="Y199" i="1"/>
  <c r="N292" i="1"/>
  <c r="Y268" i="1"/>
  <c r="W268" i="1"/>
  <c r="X268" i="1" s="1"/>
  <c r="Y258" i="1"/>
  <c r="W258" i="1"/>
  <c r="X258" i="1" s="1"/>
  <c r="Y170" i="1"/>
  <c r="W170" i="1"/>
  <c r="X170" i="1" s="1"/>
  <c r="W281" i="1"/>
  <c r="X281" i="1" s="1"/>
  <c r="Y281" i="1"/>
  <c r="Y262" i="1"/>
  <c r="W262" i="1"/>
  <c r="X262" i="1" s="1"/>
  <c r="X47" i="4"/>
  <c r="V47" i="4"/>
  <c r="Y267" i="1"/>
  <c r="W267" i="1"/>
  <c r="X267" i="1" s="1"/>
  <c r="W177" i="1"/>
  <c r="X177" i="1" s="1"/>
  <c r="Y177" i="1"/>
  <c r="Y165" i="1"/>
  <c r="W165" i="1"/>
  <c r="X165" i="1" s="1"/>
  <c r="N165" i="1"/>
  <c r="Y46" i="1"/>
  <c r="W46" i="1"/>
  <c r="X46" i="1" s="1"/>
  <c r="W28" i="1"/>
  <c r="X28" i="1" s="1"/>
  <c r="Y28" i="1"/>
  <c r="W178" i="1"/>
  <c r="X178" i="1" s="1"/>
  <c r="Y178" i="1"/>
  <c r="Y142" i="1"/>
  <c r="W142" i="1"/>
  <c r="X142" i="1" s="1"/>
  <c r="W105" i="1"/>
  <c r="X105" i="1" s="1"/>
  <c r="Y105" i="1"/>
  <c r="Y218" i="1"/>
  <c r="W218" i="1"/>
  <c r="X218" i="1" s="1"/>
  <c r="Y200" i="1"/>
  <c r="W200" i="1"/>
  <c r="X200" i="1" s="1"/>
  <c r="N200" i="1"/>
  <c r="Y23" i="1"/>
  <c r="W23" i="1"/>
  <c r="X23" i="1" s="1"/>
  <c r="W73" i="1"/>
  <c r="X73" i="1" s="1"/>
  <c r="Y73" i="1"/>
  <c r="Y30" i="1"/>
  <c r="W30" i="1"/>
  <c r="X30" i="1" s="1"/>
  <c r="Y58" i="1"/>
  <c r="N58" i="1"/>
  <c r="W58" i="1"/>
  <c r="X58" i="1" s="1"/>
  <c r="Y94" i="1"/>
  <c r="W94" i="1"/>
  <c r="X94" i="1" s="1"/>
  <c r="Y72" i="1"/>
  <c r="W72" i="1"/>
  <c r="X72" i="1" s="1"/>
  <c r="W60" i="1"/>
  <c r="X60" i="1" s="1"/>
  <c r="N60" i="1"/>
  <c r="Y60" i="1"/>
  <c r="Y8" i="1"/>
  <c r="W8" i="1"/>
  <c r="X8" i="1" s="1"/>
  <c r="N55" i="1"/>
  <c r="Y183" i="1"/>
  <c r="W183" i="1"/>
  <c r="X183" i="1" s="1"/>
  <c r="N183" i="1"/>
  <c r="Y114" i="1"/>
  <c r="W114" i="1"/>
  <c r="X114" i="1" s="1"/>
  <c r="Y87" i="1"/>
  <c r="W87" i="1"/>
  <c r="X87" i="1" s="1"/>
  <c r="Y56" i="1"/>
  <c r="W56" i="1"/>
  <c r="X56" i="1" s="1"/>
  <c r="W230" i="14"/>
  <c r="X230" i="14" s="1"/>
  <c r="Y230" i="14"/>
  <c r="Y303" i="14"/>
  <c r="W303" i="14"/>
  <c r="X303" i="14" s="1"/>
  <c r="N254" i="14"/>
  <c r="N207" i="14"/>
  <c r="Y272" i="14"/>
  <c r="W272" i="14"/>
  <c r="X272" i="14" s="1"/>
  <c r="Y218" i="14"/>
  <c r="W218" i="14"/>
  <c r="X218" i="14" s="1"/>
  <c r="Y179" i="14"/>
  <c r="W179" i="14"/>
  <c r="X179" i="14" s="1"/>
  <c r="N220" i="14"/>
  <c r="Y200" i="14"/>
  <c r="W200" i="14"/>
  <c r="X200" i="14" s="1"/>
  <c r="Y235" i="14"/>
  <c r="W235" i="14"/>
  <c r="X235" i="14" s="1"/>
  <c r="W255" i="14"/>
  <c r="X255" i="14" s="1"/>
  <c r="Y255" i="14"/>
  <c r="N255" i="14"/>
  <c r="Y147" i="14"/>
  <c r="W147" i="14"/>
  <c r="X147" i="14" s="1"/>
  <c r="Y123" i="14"/>
  <c r="W123" i="14"/>
  <c r="X123" i="14" s="1"/>
  <c r="Y181" i="14"/>
  <c r="W181" i="14"/>
  <c r="X181" i="14" s="1"/>
  <c r="N170" i="14"/>
  <c r="Y165" i="14"/>
  <c r="W165" i="14"/>
  <c r="X165" i="14" s="1"/>
  <c r="W137" i="14"/>
  <c r="X137" i="14" s="1"/>
  <c r="N137" i="14"/>
  <c r="Y137" i="14"/>
  <c r="Y106" i="14"/>
  <c r="W106" i="14"/>
  <c r="X106" i="14" s="1"/>
  <c r="N75" i="14"/>
  <c r="N27" i="14"/>
  <c r="W158" i="14"/>
  <c r="X158" i="14" s="1"/>
  <c r="Y158" i="14"/>
  <c r="N133" i="14"/>
  <c r="N86" i="14"/>
  <c r="N30" i="14"/>
  <c r="W148" i="14"/>
  <c r="X148" i="14" s="1"/>
  <c r="Y148" i="14"/>
  <c r="N111" i="14"/>
  <c r="N84" i="14"/>
  <c r="Y60" i="14"/>
  <c r="W60" i="14"/>
  <c r="X60" i="14" s="1"/>
  <c r="W116" i="14"/>
  <c r="X116" i="14" s="1"/>
  <c r="Y116" i="14"/>
  <c r="Y96" i="14"/>
  <c r="W96" i="14"/>
  <c r="X96" i="14" s="1"/>
  <c r="N282" i="13"/>
  <c r="N23" i="14"/>
  <c r="Y55" i="14"/>
  <c r="W55" i="14"/>
  <c r="X55" i="14" s="1"/>
  <c r="Y13" i="14"/>
  <c r="W13" i="14"/>
  <c r="X13" i="14" s="1"/>
  <c r="Y77" i="14"/>
  <c r="W77" i="14"/>
  <c r="X77" i="14" s="1"/>
  <c r="Y35" i="14"/>
  <c r="W35" i="14"/>
  <c r="X35" i="14" s="1"/>
  <c r="N267" i="13"/>
  <c r="N250" i="13"/>
  <c r="Y63" i="14"/>
  <c r="W63" i="14"/>
  <c r="X63" i="14" s="1"/>
  <c r="Y270" i="13"/>
  <c r="W270" i="13"/>
  <c r="X270" i="13" s="1"/>
  <c r="N253" i="13"/>
  <c r="N225" i="13"/>
  <c r="Y28" i="14"/>
  <c r="W28" i="14"/>
  <c r="X28" i="14" s="1"/>
  <c r="Y226" i="13"/>
  <c r="W226" i="13"/>
  <c r="X226" i="13" s="1"/>
  <c r="N226" i="13"/>
  <c r="Y163" i="13"/>
  <c r="W163" i="13"/>
  <c r="X163" i="13" s="1"/>
  <c r="W49" i="14"/>
  <c r="X49" i="14" s="1"/>
  <c r="N49" i="14"/>
  <c r="Y49" i="14"/>
  <c r="Y212" i="13"/>
  <c r="W212" i="13"/>
  <c r="X212" i="13" s="1"/>
  <c r="Y37" i="14"/>
  <c r="W37" i="14"/>
  <c r="X37" i="14" s="1"/>
  <c r="W277" i="13"/>
  <c r="X277" i="13" s="1"/>
  <c r="N277" i="13"/>
  <c r="Y277" i="13"/>
  <c r="W152" i="13"/>
  <c r="X152" i="13" s="1"/>
  <c r="Y152" i="13"/>
  <c r="N152" i="13"/>
  <c r="W89" i="13"/>
  <c r="X89" i="13" s="1"/>
  <c r="Y89" i="13"/>
  <c r="W57" i="13"/>
  <c r="X57" i="13" s="1"/>
  <c r="Y57" i="13"/>
  <c r="Y191" i="13"/>
  <c r="W191" i="13"/>
  <c r="X191" i="13" s="1"/>
  <c r="Y122" i="13"/>
  <c r="W122" i="13"/>
  <c r="X122" i="13" s="1"/>
  <c r="Y106" i="13"/>
  <c r="W106" i="13"/>
  <c r="X106" i="13" s="1"/>
  <c r="Y91" i="13"/>
  <c r="W91" i="13"/>
  <c r="X91" i="13" s="1"/>
  <c r="Y75" i="13"/>
  <c r="W75" i="13"/>
  <c r="X75" i="13" s="1"/>
  <c r="Y59" i="13"/>
  <c r="W59" i="13"/>
  <c r="X59" i="13" s="1"/>
  <c r="Y43" i="13"/>
  <c r="W43" i="13"/>
  <c r="X43" i="13" s="1"/>
  <c r="Y146" i="13"/>
  <c r="W146" i="13"/>
  <c r="X146" i="13" s="1"/>
  <c r="W70" i="13"/>
  <c r="X70" i="13" s="1"/>
  <c r="Y70" i="13"/>
  <c r="N70" i="13"/>
  <c r="Y85" i="13"/>
  <c r="W85" i="13"/>
  <c r="X85" i="13" s="1"/>
  <c r="N85" i="13"/>
  <c r="Y52" i="13"/>
  <c r="W52" i="13"/>
  <c r="X52" i="13" s="1"/>
  <c r="Y10" i="13"/>
  <c r="W10" i="13"/>
  <c r="X10" i="13" s="1"/>
  <c r="W54" i="13"/>
  <c r="X54" i="13" s="1"/>
  <c r="Y54" i="13"/>
  <c r="W78" i="13"/>
  <c r="X78" i="13" s="1"/>
  <c r="Y78" i="13"/>
  <c r="Y24" i="13"/>
  <c r="W24" i="13"/>
  <c r="X24" i="13" s="1"/>
  <c r="Y8" i="13"/>
  <c r="W8" i="13"/>
  <c r="X8" i="13" s="1"/>
  <c r="Y77" i="13"/>
  <c r="W77" i="13"/>
  <c r="X77" i="13" s="1"/>
  <c r="N77" i="13"/>
  <c r="N46" i="13"/>
  <c r="X287" i="4"/>
  <c r="V287" i="4"/>
  <c r="Y28" i="13"/>
  <c r="W28" i="13"/>
  <c r="X28" i="13" s="1"/>
  <c r="V250" i="4"/>
  <c r="X250" i="4"/>
  <c r="X234" i="4"/>
  <c r="V234" i="4"/>
  <c r="X283" i="4"/>
  <c r="V283" i="4"/>
  <c r="X280" i="4"/>
  <c r="V280" i="4"/>
  <c r="X175" i="4"/>
  <c r="V175" i="4"/>
  <c r="X136" i="4"/>
  <c r="V136" i="4"/>
  <c r="X110" i="4"/>
  <c r="V110" i="4"/>
  <c r="X288" i="4"/>
  <c r="V288" i="4"/>
  <c r="V186" i="4"/>
  <c r="X186" i="4"/>
  <c r="X107" i="4"/>
  <c r="V107" i="4"/>
  <c r="X184" i="4"/>
  <c r="V184" i="4"/>
  <c r="X121" i="4"/>
  <c r="V121" i="4"/>
  <c r="X196" i="4"/>
  <c r="V196" i="4"/>
  <c r="X140" i="4"/>
  <c r="V140" i="4"/>
  <c r="W140" i="4" s="1"/>
  <c r="X145" i="4"/>
  <c r="V145" i="4"/>
  <c r="W145" i="4" s="1"/>
  <c r="X236" i="4"/>
  <c r="V236" i="4"/>
  <c r="X178" i="4"/>
  <c r="V178" i="4"/>
  <c r="V78" i="4"/>
  <c r="X78" i="4"/>
  <c r="V65" i="4"/>
  <c r="X65" i="4"/>
  <c r="X40" i="4"/>
  <c r="V40" i="4"/>
  <c r="V67" i="4"/>
  <c r="X67" i="4"/>
  <c r="V7" i="4"/>
  <c r="X7" i="4"/>
  <c r="X34" i="4"/>
  <c r="V34" i="4"/>
  <c r="W34" i="4" s="1"/>
  <c r="X86" i="4"/>
  <c r="V86" i="4"/>
  <c r="W287" i="1"/>
  <c r="X287" i="1" s="1"/>
  <c r="Y287" i="1"/>
  <c r="N199" i="1"/>
  <c r="X45" i="4"/>
  <c r="V45" i="4"/>
  <c r="W295" i="1"/>
  <c r="X295" i="1" s="1"/>
  <c r="Y295" i="1"/>
  <c r="Y252" i="1"/>
  <c r="W252" i="1"/>
  <c r="X252" i="1" s="1"/>
  <c r="X27" i="4"/>
  <c r="V27" i="4"/>
  <c r="W27" i="4" s="1"/>
  <c r="N268" i="1"/>
  <c r="N258" i="1"/>
  <c r="Y245" i="1"/>
  <c r="W245" i="1"/>
  <c r="X245" i="1" s="1"/>
  <c r="Y213" i="1"/>
  <c r="W213" i="1"/>
  <c r="X213" i="1" s="1"/>
  <c r="Y197" i="1"/>
  <c r="W197" i="1"/>
  <c r="X197" i="1" s="1"/>
  <c r="N170" i="1"/>
  <c r="Y284" i="1"/>
  <c r="W284" i="1"/>
  <c r="X284" i="1" s="1"/>
  <c r="N284" i="1"/>
  <c r="W124" i="1"/>
  <c r="X124" i="1" s="1"/>
  <c r="Y124" i="1"/>
  <c r="W92" i="1"/>
  <c r="X92" i="1" s="1"/>
  <c r="Y92" i="1"/>
  <c r="Y26" i="1"/>
  <c r="W26" i="1"/>
  <c r="X26" i="1" s="1"/>
  <c r="Y32" i="1"/>
  <c r="W32" i="1"/>
  <c r="X32" i="1" s="1"/>
  <c r="Y16" i="1"/>
  <c r="W16" i="1"/>
  <c r="X16" i="1" s="1"/>
  <c r="L5" i="4"/>
  <c r="M3" i="4"/>
  <c r="W156" i="1"/>
  <c r="X156" i="1" s="1"/>
  <c r="Y156" i="1"/>
  <c r="Y138" i="1"/>
  <c r="W138" i="1"/>
  <c r="X138" i="1" s="1"/>
  <c r="W116" i="1"/>
  <c r="X116" i="1" s="1"/>
  <c r="Y116" i="1"/>
  <c r="Y109" i="1"/>
  <c r="W109" i="1"/>
  <c r="X109" i="1" s="1"/>
  <c r="N109" i="1"/>
  <c r="N68" i="1"/>
  <c r="N15" i="1"/>
  <c r="W108" i="1"/>
  <c r="X108" i="1" s="1"/>
  <c r="Y108" i="1"/>
  <c r="W196" i="1"/>
  <c r="X196" i="1" s="1"/>
  <c r="Y196" i="1"/>
  <c r="N119" i="1"/>
  <c r="Y90" i="1"/>
  <c r="W90" i="1"/>
  <c r="X90" i="1" s="1"/>
  <c r="N90" i="1"/>
  <c r="Y37" i="1"/>
  <c r="W37" i="1"/>
  <c r="X37" i="1" s="1"/>
  <c r="N37" i="1"/>
  <c r="N82" i="1"/>
  <c r="N297" i="14"/>
  <c r="W297" i="14"/>
  <c r="X297" i="14" s="1"/>
  <c r="Y297" i="14"/>
  <c r="Y228" i="14"/>
  <c r="W228" i="14"/>
  <c r="X228" i="14" s="1"/>
  <c r="N228" i="14"/>
  <c r="W221" i="14"/>
  <c r="X221" i="14" s="1"/>
  <c r="Y221" i="14"/>
  <c r="W279" i="14"/>
  <c r="X279" i="14" s="1"/>
  <c r="Y279" i="14"/>
  <c r="Y233" i="14"/>
  <c r="W233" i="14"/>
  <c r="X233" i="14" s="1"/>
  <c r="Y216" i="14"/>
  <c r="W216" i="14"/>
  <c r="X216" i="14" s="1"/>
  <c r="Y232" i="14"/>
  <c r="W232" i="14"/>
  <c r="X232" i="14" s="1"/>
  <c r="Y286" i="14"/>
  <c r="W286" i="14"/>
  <c r="X286" i="14" s="1"/>
  <c r="N286" i="14"/>
  <c r="W249" i="14"/>
  <c r="X249" i="14" s="1"/>
  <c r="Y249" i="14"/>
  <c r="W108" i="14"/>
  <c r="X108" i="14" s="1"/>
  <c r="Y108" i="14"/>
  <c r="W140" i="14"/>
  <c r="X140" i="14" s="1"/>
  <c r="Y140" i="14"/>
  <c r="Y114" i="14"/>
  <c r="W114" i="14"/>
  <c r="X114" i="14" s="1"/>
  <c r="N114" i="14"/>
  <c r="Y97" i="14"/>
  <c r="W97" i="14"/>
  <c r="X97" i="14" s="1"/>
  <c r="N97" i="14"/>
  <c r="N118" i="14"/>
  <c r="W118" i="14"/>
  <c r="X118" i="14" s="1"/>
  <c r="Y118" i="14"/>
  <c r="N175" i="14"/>
  <c r="Y175" i="14"/>
  <c r="W175" i="14"/>
  <c r="X175" i="14" s="1"/>
  <c r="N102" i="14"/>
  <c r="W102" i="14"/>
  <c r="X102" i="14" s="1"/>
  <c r="Y102" i="14"/>
  <c r="Y143" i="14"/>
  <c r="W143" i="14"/>
  <c r="X143" i="14" s="1"/>
  <c r="N143" i="14"/>
  <c r="Y31" i="14"/>
  <c r="W31" i="14"/>
  <c r="X31" i="14" s="1"/>
  <c r="N31" i="14"/>
  <c r="Y67" i="14"/>
  <c r="W67" i="14"/>
  <c r="X67" i="14" s="1"/>
  <c r="Y281" i="13"/>
  <c r="W281" i="13"/>
  <c r="X281" i="13" s="1"/>
  <c r="Y46" i="14"/>
  <c r="W46" i="14"/>
  <c r="X46" i="14" s="1"/>
  <c r="W243" i="13"/>
  <c r="X243" i="13" s="1"/>
  <c r="Y243" i="13"/>
  <c r="W257" i="13"/>
  <c r="X257" i="13" s="1"/>
  <c r="Y257" i="13"/>
  <c r="W224" i="13"/>
  <c r="X224" i="13" s="1"/>
  <c r="Y224" i="13"/>
  <c r="Y159" i="13"/>
  <c r="W159" i="13"/>
  <c r="X159" i="13" s="1"/>
  <c r="Y69" i="14"/>
  <c r="W69" i="14"/>
  <c r="X69" i="14" s="1"/>
  <c r="W183" i="13"/>
  <c r="X183" i="13" s="1"/>
  <c r="Y183" i="13"/>
  <c r="Y220" i="13"/>
  <c r="W220" i="13"/>
  <c r="X220" i="13" s="1"/>
  <c r="Y158" i="13"/>
  <c r="W158" i="13"/>
  <c r="X158" i="13" s="1"/>
  <c r="W115" i="13"/>
  <c r="X115" i="13" s="1"/>
  <c r="Y115" i="13"/>
  <c r="W178" i="13"/>
  <c r="X178" i="13" s="1"/>
  <c r="Y178" i="13"/>
  <c r="W87" i="13"/>
  <c r="X87" i="13" s="1"/>
  <c r="Y87" i="13"/>
  <c r="W71" i="13"/>
  <c r="X71" i="13" s="1"/>
  <c r="Y71" i="13"/>
  <c r="W55" i="13"/>
  <c r="X55" i="13" s="1"/>
  <c r="Y55" i="13"/>
  <c r="W133" i="13"/>
  <c r="X133" i="13" s="1"/>
  <c r="Y133" i="13"/>
  <c r="Y105" i="13"/>
  <c r="W105" i="13"/>
  <c r="X105" i="13" s="1"/>
  <c r="Y201" i="13"/>
  <c r="W201" i="13"/>
  <c r="X201" i="13" s="1"/>
  <c r="Y22" i="13"/>
  <c r="W22" i="13"/>
  <c r="X22" i="13" s="1"/>
  <c r="Y124" i="13"/>
  <c r="W124" i="13"/>
  <c r="X124" i="13" s="1"/>
  <c r="Y53" i="13"/>
  <c r="W53" i="13"/>
  <c r="X53" i="13" s="1"/>
  <c r="N53" i="13"/>
  <c r="Y50" i="13"/>
  <c r="W50" i="13"/>
  <c r="X50" i="13" s="1"/>
  <c r="V219" i="4"/>
  <c r="X219" i="4"/>
  <c r="X282" i="4"/>
  <c r="V282" i="4"/>
  <c r="X216" i="4"/>
  <c r="V216" i="4"/>
  <c r="X257" i="4"/>
  <c r="V257" i="4"/>
  <c r="X211" i="4"/>
  <c r="V211" i="4"/>
  <c r="X221" i="4"/>
  <c r="V221" i="4"/>
  <c r="V160" i="4"/>
  <c r="W160" i="4" s="1"/>
  <c r="X160" i="4"/>
  <c r="X99" i="4"/>
  <c r="V99" i="4"/>
  <c r="V152" i="4"/>
  <c r="X152" i="4"/>
  <c r="X117" i="4"/>
  <c r="V117" i="4"/>
  <c r="V192" i="4"/>
  <c r="X192" i="4"/>
  <c r="X133" i="4"/>
  <c r="V133" i="4"/>
  <c r="X109" i="4"/>
  <c r="V109" i="4"/>
  <c r="X191" i="4"/>
  <c r="V191" i="4"/>
  <c r="W191" i="4" s="1"/>
  <c r="X106" i="4"/>
  <c r="V106" i="4"/>
  <c r="X150" i="4"/>
  <c r="V150" i="4"/>
  <c r="V15" i="4"/>
  <c r="X15" i="4"/>
  <c r="V87" i="4"/>
  <c r="X87" i="4"/>
  <c r="V58" i="4"/>
  <c r="W58" i="4" s="1"/>
  <c r="X58" i="4"/>
  <c r="X14" i="4"/>
  <c r="V14" i="4"/>
  <c r="V36" i="4"/>
  <c r="X36" i="4"/>
  <c r="X103" i="4"/>
  <c r="V103" i="4"/>
  <c r="X60" i="4"/>
  <c r="V60" i="4"/>
  <c r="W233" i="1"/>
  <c r="X233" i="1" s="1"/>
  <c r="Y233" i="1"/>
  <c r="Y235" i="1"/>
  <c r="W235" i="1"/>
  <c r="X235" i="1" s="1"/>
  <c r="Y217" i="1"/>
  <c r="W217" i="1"/>
  <c r="X217" i="1" s="1"/>
  <c r="X71" i="4"/>
  <c r="V71" i="4"/>
  <c r="N286" i="1"/>
  <c r="Y243" i="1"/>
  <c r="W243" i="1"/>
  <c r="X243" i="1" s="1"/>
  <c r="N278" i="1"/>
  <c r="W294" i="1"/>
  <c r="X294" i="1" s="1"/>
  <c r="Y294" i="1"/>
  <c r="Y228" i="1"/>
  <c r="W228" i="1"/>
  <c r="X228" i="1" s="1"/>
  <c r="N92" i="1"/>
  <c r="Y54" i="1"/>
  <c r="W54" i="1"/>
  <c r="X54" i="1" s="1"/>
  <c r="N39" i="1"/>
  <c r="N26" i="1"/>
  <c r="W40" i="1"/>
  <c r="X40" i="1" s="1"/>
  <c r="Y40" i="1"/>
  <c r="W25" i="1"/>
  <c r="X25" i="1" s="1"/>
  <c r="Y25" i="1"/>
  <c r="Y24" i="1"/>
  <c r="W24" i="1"/>
  <c r="X24" i="1" s="1"/>
  <c r="Y211" i="1"/>
  <c r="W211" i="1"/>
  <c r="X211" i="1" s="1"/>
  <c r="N172" i="1"/>
  <c r="W112" i="1"/>
  <c r="X112" i="1" s="1"/>
  <c r="Y112" i="1"/>
  <c r="N103" i="1"/>
  <c r="Y226" i="1"/>
  <c r="W226" i="1"/>
  <c r="X226" i="1" s="1"/>
  <c r="W148" i="1"/>
  <c r="X148" i="1" s="1"/>
  <c r="Y148" i="1"/>
  <c r="W9" i="1"/>
  <c r="X9" i="1" s="1"/>
  <c r="Y9" i="1"/>
  <c r="W160" i="1"/>
  <c r="X160" i="1" s="1"/>
  <c r="Y160" i="1"/>
  <c r="Y134" i="1"/>
  <c r="W134" i="1"/>
  <c r="X134" i="1" s="1"/>
  <c r="N104" i="1"/>
  <c r="W97" i="1"/>
  <c r="X97" i="1" s="1"/>
  <c r="Y97" i="1"/>
  <c r="Y66" i="1"/>
  <c r="W66" i="1"/>
  <c r="X66" i="1" s="1"/>
  <c r="Y22" i="1"/>
  <c r="W22" i="1"/>
  <c r="X22" i="1" s="1"/>
  <c r="W153" i="1"/>
  <c r="X153" i="1" s="1"/>
  <c r="Y153" i="1"/>
  <c r="Y126" i="1"/>
  <c r="W126" i="1"/>
  <c r="X126" i="1" s="1"/>
  <c r="Y71" i="1"/>
  <c r="W71" i="1"/>
  <c r="X71" i="1" s="1"/>
  <c r="N71" i="1"/>
  <c r="W57" i="1"/>
  <c r="X57" i="1" s="1"/>
  <c r="Y57" i="1"/>
  <c r="Y7" i="1"/>
  <c r="W7" i="1"/>
  <c r="X7" i="1" s="1"/>
  <c r="N7" i="1"/>
  <c r="W100" i="1"/>
  <c r="X100" i="1" s="1"/>
  <c r="Y100" i="1"/>
  <c r="W52" i="1"/>
  <c r="X52" i="1" s="1"/>
  <c r="Y52" i="1"/>
  <c r="W168" i="1"/>
  <c r="X168" i="1" s="1"/>
  <c r="Y168" i="1"/>
  <c r="Y120" i="1"/>
  <c r="W120" i="1"/>
  <c r="X120" i="1" s="1"/>
  <c r="W44" i="1"/>
  <c r="X44" i="1" s="1"/>
  <c r="Y44" i="1"/>
  <c r="N3" i="13" l="1"/>
  <c r="M5" i="13"/>
  <c r="N3" i="1"/>
  <c r="M5" i="1"/>
  <c r="N3" i="6"/>
  <c r="M5" i="6"/>
  <c r="N3" i="10"/>
  <c r="M5" i="10"/>
  <c r="N3" i="14"/>
  <c r="M5" i="14"/>
  <c r="M5" i="4"/>
  <c r="N3" i="4"/>
  <c r="O3" i="10" l="1"/>
  <c r="N5" i="10"/>
  <c r="O3" i="6"/>
  <c r="N5" i="6"/>
  <c r="N5" i="4"/>
  <c r="O3" i="4"/>
  <c r="N5" i="1"/>
  <c r="O3" i="1"/>
  <c r="O3" i="14"/>
  <c r="N5" i="14"/>
  <c r="O3" i="13"/>
  <c r="N5" i="13"/>
  <c r="P3" i="1" l="1"/>
  <c r="O5" i="1"/>
  <c r="P3" i="13"/>
  <c r="O5" i="13"/>
  <c r="P3" i="6"/>
  <c r="O5" i="6"/>
  <c r="O5" i="4"/>
  <c r="P3" i="4"/>
  <c r="O5" i="14"/>
  <c r="P3" i="14"/>
  <c r="O5" i="10"/>
  <c r="P3" i="10"/>
  <c r="Q3" i="4" l="1"/>
  <c r="P5" i="4"/>
  <c r="P5" i="10"/>
  <c r="Q3" i="10"/>
  <c r="Q3" i="14"/>
  <c r="P5" i="14"/>
  <c r="Q3" i="6"/>
  <c r="P5" i="6"/>
  <c r="P5" i="13"/>
  <c r="Q3" i="13"/>
  <c r="P5" i="1"/>
  <c r="Q3" i="1"/>
  <c r="R3" i="10" l="1"/>
  <c r="Q5" i="10"/>
  <c r="R3" i="13"/>
  <c r="Q5" i="13"/>
  <c r="Q5" i="6"/>
  <c r="R3" i="6"/>
  <c r="Q5" i="14"/>
  <c r="R3" i="14"/>
  <c r="Q5" i="1"/>
  <c r="R3" i="1"/>
  <c r="R3" i="4"/>
  <c r="Q5" i="4"/>
  <c r="S3" i="6" l="1"/>
  <c r="R5" i="6"/>
  <c r="R5" i="13"/>
  <c r="S3" i="13"/>
  <c r="S3" i="14"/>
  <c r="R5" i="14"/>
  <c r="R5" i="4"/>
  <c r="S3" i="4"/>
  <c r="R5" i="1"/>
  <c r="S3" i="1"/>
  <c r="S3" i="10"/>
  <c r="R5" i="10"/>
  <c r="S5" i="4" l="1"/>
  <c r="T3" i="4"/>
  <c r="T3" i="14"/>
  <c r="S5" i="14"/>
  <c r="T3" i="13"/>
  <c r="S5" i="13"/>
  <c r="T3" i="10"/>
  <c r="S5" i="10"/>
  <c r="S5" i="1"/>
  <c r="T3" i="1"/>
  <c r="T3" i="6"/>
  <c r="S5" i="6"/>
  <c r="T5" i="10" l="1"/>
  <c r="U3" i="10"/>
  <c r="T5" i="6"/>
  <c r="U3" i="6"/>
  <c r="U3" i="1"/>
  <c r="T5" i="1"/>
  <c r="U3" i="4"/>
  <c r="T5" i="4"/>
  <c r="T5" i="13"/>
  <c r="U3" i="13"/>
  <c r="T5" i="14"/>
  <c r="U3" i="14"/>
  <c r="U5" i="4" l="1"/>
  <c r="V3" i="4"/>
  <c r="V3" i="1"/>
  <c r="U5" i="1"/>
  <c r="V3" i="14"/>
  <c r="U5" i="14"/>
  <c r="V3" i="6"/>
  <c r="U5" i="6"/>
  <c r="U5" i="13"/>
  <c r="V3" i="13"/>
  <c r="V3" i="10"/>
  <c r="U5" i="10"/>
  <c r="W3" i="6" l="1"/>
  <c r="V5" i="6"/>
  <c r="W3" i="10"/>
  <c r="V5" i="10"/>
  <c r="V5" i="1"/>
  <c r="W3" i="1"/>
  <c r="V5" i="13"/>
  <c r="W3" i="13"/>
  <c r="V5" i="4"/>
  <c r="W3" i="4"/>
  <c r="W3" i="14"/>
  <c r="V5" i="14"/>
  <c r="X3" i="13" l="1"/>
  <c r="W5" i="13"/>
  <c r="X3" i="1"/>
  <c r="W5" i="1"/>
  <c r="W5" i="14"/>
  <c r="X3" i="14"/>
  <c r="W5" i="10"/>
  <c r="X3" i="10"/>
  <c r="W5" i="4"/>
  <c r="X3" i="4"/>
  <c r="X3" i="6"/>
  <c r="W5" i="6"/>
  <c r="Y3" i="14" l="1"/>
  <c r="X5" i="14"/>
  <c r="Y3" i="4"/>
  <c r="X5" i="4"/>
  <c r="X5" i="10"/>
  <c r="Y3" i="10"/>
  <c r="Y3" i="6"/>
  <c r="X5" i="6"/>
  <c r="X5" i="1"/>
  <c r="Y3" i="1"/>
  <c r="X5" i="13"/>
  <c r="Y3" i="13"/>
  <c r="Z3" i="10" l="1"/>
  <c r="Z5" i="10" s="1"/>
  <c r="Y5" i="10"/>
  <c r="Y5" i="6"/>
  <c r="Z3" i="6"/>
  <c r="Z5" i="6" s="1"/>
  <c r="Z3" i="13"/>
  <c r="Z5" i="13" s="1"/>
  <c r="Y5" i="13"/>
  <c r="Z3" i="4"/>
  <c r="Z5" i="4" s="1"/>
  <c r="Y5" i="4"/>
  <c r="Z3" i="1"/>
  <c r="Z5" i="1" s="1"/>
  <c r="Y5" i="1"/>
  <c r="Y5" i="14"/>
  <c r="Z3" i="14"/>
  <c r="Z5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ID#AAACEG7Gaj0
Sean Mullins    (2026-07-26 14:11:53)
Mostly populate this with Rookie info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GntVNrjIkoXSzHEdJ5ghKJopOD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" authorId="0" shapeId="0" xr:uid="{00000000-0006-0000-0A00-000001000000}">
      <text>
        <r>
          <rPr>
            <sz val="11"/>
            <color theme="1"/>
            <rFont val="Calibri"/>
            <scheme val="minor"/>
          </rPr>
          <t>======
ID#AAACEG7Gajw
Sean Mullins    (2026-07-26 14:11:53)
Mostly populate this with Rookie info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4TssG9Mw0Y4Lr7h5awT+ytl994Q=="/>
    </ext>
  </extLst>
</comments>
</file>

<file path=xl/sharedStrings.xml><?xml version="1.0" encoding="utf-8"?>
<sst xmlns="http://schemas.openxmlformats.org/spreadsheetml/2006/main" count="19687" uniqueCount="1672">
  <si>
    <t>Past Data From: https://www.4for4.com/adp?paging=0</t>
  </si>
  <si>
    <t>2024 Kepners</t>
  </si>
  <si>
    <t>Data as of 9/2/25</t>
  </si>
  <si>
    <t>2026 Kepners</t>
  </si>
  <si>
    <t>Round</t>
  </si>
  <si>
    <t>Player</t>
  </si>
  <si>
    <t>ADP</t>
  </si>
  <si>
    <t>Position</t>
  </si>
  <si>
    <t>Team</t>
  </si>
  <si>
    <t>CBS</t>
  </si>
  <si>
    <t>ESPN</t>
  </si>
  <si>
    <t>Fantrax</t>
  </si>
  <si>
    <t>FFPC</t>
  </si>
  <si>
    <t>NFFC</t>
  </si>
  <si>
    <t>Download List from: https://www.4for4.com/adp?paging=0</t>
  </si>
  <si>
    <t>NFL</t>
  </si>
  <si>
    <t>Sleeper</t>
  </si>
  <si>
    <t>Research Action Items</t>
  </si>
  <si>
    <t>Y!</t>
  </si>
  <si>
    <t>BB10s</t>
  </si>
  <si>
    <t>Drafters</t>
  </si>
  <si>
    <t>First Pick</t>
  </si>
  <si>
    <t>Underdog</t>
  </si>
  <si>
    <t>Targets</t>
  </si>
  <si>
    <t>10-Team</t>
  </si>
  <si>
    <t>12-Team</t>
  </si>
  <si>
    <t>Target Round</t>
  </si>
  <si>
    <t>Like</t>
  </si>
  <si>
    <t>Tier</t>
  </si>
  <si>
    <t>Sean Pos Rank</t>
  </si>
  <si>
    <t>Notes</t>
  </si>
  <si>
    <t>RB-01</t>
  </si>
  <si>
    <t>Old Y Rank (as of ~7/18/26)</t>
  </si>
  <si>
    <t xml:space="preserve"> </t>
  </si>
  <si>
    <t>Jahmyr Gibbs</t>
  </si>
  <si>
    <t>DET</t>
  </si>
  <si>
    <t>-</t>
  </si>
  <si>
    <t>RB-02</t>
  </si>
  <si>
    <t>Bijan Robinson</t>
  </si>
  <si>
    <t>ATL</t>
  </si>
  <si>
    <t>1. Finalize Keeper Dat</t>
  </si>
  <si>
    <t>Second Pick</t>
  </si>
  <si>
    <t>WR-01</t>
  </si>
  <si>
    <t>Ja'Marr Chase</t>
  </si>
  <si>
    <t>CIN</t>
  </si>
  <si>
    <t>RB1 - 1 - Elite</t>
  </si>
  <si>
    <t>Cum Targets</t>
  </si>
  <si>
    <t>WR-02</t>
  </si>
  <si>
    <t>Puka Nacua</t>
  </si>
  <si>
    <t>LAR</t>
  </si>
  <si>
    <t>WR-03</t>
  </si>
  <si>
    <t>Jaxon Smith-Njigba</t>
  </si>
  <si>
    <t>SEA</t>
  </si>
  <si>
    <t>RB-03</t>
  </si>
  <si>
    <t>Christian McCaffrey</t>
  </si>
  <si>
    <t>SF</t>
  </si>
  <si>
    <t>1. Finalize Keeper Data</t>
  </si>
  <si>
    <t>RB-04</t>
  </si>
  <si>
    <t>Jonathan Taylor</t>
  </si>
  <si>
    <t>2. Populate Target Rounds</t>
  </si>
  <si>
    <t>IND</t>
  </si>
  <si>
    <t>My Pick</t>
  </si>
  <si>
    <t>WR-04</t>
  </si>
  <si>
    <t>Amon-Ra St. Brown</t>
  </si>
  <si>
    <t>RB-05</t>
  </si>
  <si>
    <t>James Cook</t>
  </si>
  <si>
    <t>BUF</t>
  </si>
  <si>
    <t>WR-05</t>
  </si>
  <si>
    <t>CeeDee Lamb</t>
  </si>
  <si>
    <t>DAL</t>
  </si>
  <si>
    <t>WR-06</t>
  </si>
  <si>
    <t>Justin Jefferson</t>
  </si>
  <si>
    <t>MIN</t>
  </si>
  <si>
    <t>WR1 - 1 - Elite</t>
  </si>
  <si>
    <t>RB-06</t>
  </si>
  <si>
    <t>Chase Brown</t>
  </si>
  <si>
    <t>RB-07</t>
  </si>
  <si>
    <t>Saquon Barkley</t>
  </si>
  <si>
    <t>PHI</t>
  </si>
  <si>
    <t>RB-08</t>
  </si>
  <si>
    <t>De'Von Achane</t>
  </si>
  <si>
    <t>MIA</t>
  </si>
  <si>
    <t>Enough Targets?</t>
  </si>
  <si>
    <t>RB-09</t>
  </si>
  <si>
    <t>Kenneth Walker</t>
  </si>
  <si>
    <t>KC</t>
  </si>
  <si>
    <t>RB-10</t>
  </si>
  <si>
    <t>Omarion Hampton</t>
  </si>
  <si>
    <t>LAC</t>
  </si>
  <si>
    <t>RB-11</t>
  </si>
  <si>
    <t>Derrick Henry</t>
  </si>
  <si>
    <t>BAL</t>
  </si>
  <si>
    <t>RB-12</t>
  </si>
  <si>
    <t>Ashton Jeanty</t>
  </si>
  <si>
    <t>LV</t>
  </si>
  <si>
    <t>My Team</t>
  </si>
  <si>
    <t>Average Round</t>
  </si>
  <si>
    <t>TE-01</t>
  </si>
  <si>
    <t>Brock Bowers</t>
  </si>
  <si>
    <t>Available?</t>
  </si>
  <si>
    <t>Draft Prep Mock</t>
  </si>
  <si>
    <t>WR-07</t>
  </si>
  <si>
    <t>Yahoo Avg Rnd</t>
  </si>
  <si>
    <t>A.J. Brown</t>
  </si>
  <si>
    <t>NE</t>
  </si>
  <si>
    <t>Avg Dif</t>
  </si>
  <si>
    <t>Underdog Diff</t>
  </si>
  <si>
    <t>RB1 - 2 - Could be RB1</t>
  </si>
  <si>
    <t>WR-08</t>
  </si>
  <si>
    <t>Drake London</t>
  </si>
  <si>
    <t>AVG RK</t>
  </si>
  <si>
    <t>Avg Rd</t>
  </si>
  <si>
    <t>My Diff</t>
  </si>
  <si>
    <t>Diff from Old Rank</t>
  </si>
  <si>
    <t>WR-09</t>
  </si>
  <si>
    <t>Nico Collins</t>
  </si>
  <si>
    <t>HOU</t>
  </si>
  <si>
    <t>WR-10</t>
  </si>
  <si>
    <t>George Pickens</t>
  </si>
  <si>
    <t>No</t>
  </si>
  <si>
    <t>WR1 - 2 - Volotile</t>
  </si>
  <si>
    <t>TE-02</t>
  </si>
  <si>
    <t>Trey McBride</t>
  </si>
  <si>
    <t>ARI</t>
  </si>
  <si>
    <t>WR-11</t>
  </si>
  <si>
    <t>Malik Nabers</t>
  </si>
  <si>
    <t>NYG</t>
  </si>
  <si>
    <t>WR-12</t>
  </si>
  <si>
    <t>Chris Olave</t>
  </si>
  <si>
    <t>NO</t>
  </si>
  <si>
    <t>QB-01</t>
  </si>
  <si>
    <t>Josh Allen</t>
  </si>
  <si>
    <t>WR-13</t>
  </si>
  <si>
    <t>Rashee Rice</t>
  </si>
  <si>
    <t>RB-13</t>
  </si>
  <si>
    <t>Kyren Williams</t>
  </si>
  <si>
    <t>RB-14</t>
  </si>
  <si>
    <t>Jeremiyah Love</t>
  </si>
  <si>
    <t>WR-14</t>
  </si>
  <si>
    <t>DeVonta Smith</t>
  </si>
  <si>
    <t>RB-15</t>
  </si>
  <si>
    <t>Javonte Williams</t>
  </si>
  <si>
    <t>RB-16</t>
  </si>
  <si>
    <t>Breece Hall</t>
  </si>
  <si>
    <t>RB1 - 3 - Weekly RB1</t>
  </si>
  <si>
    <t>NYJ</t>
  </si>
  <si>
    <t>WR-15</t>
  </si>
  <si>
    <t>Zay Flowers</t>
  </si>
  <si>
    <t>Yes</t>
  </si>
  <si>
    <t>WR-16</t>
  </si>
  <si>
    <t>Tee Higgins</t>
  </si>
  <si>
    <t>WR-17</t>
  </si>
  <si>
    <t>Garrett Wilson</t>
  </si>
  <si>
    <t>TE-03</t>
  </si>
  <si>
    <t>Colston Loveland</t>
  </si>
  <si>
    <t>CHI</t>
  </si>
  <si>
    <t>RB-17</t>
  </si>
  <si>
    <t>Travis Etienne</t>
  </si>
  <si>
    <t>WR-18</t>
  </si>
  <si>
    <t>Tetairoa McMillan</t>
  </si>
  <si>
    <t>CAR</t>
  </si>
  <si>
    <t>WR-19</t>
  </si>
  <si>
    <t>Emeka Egbuka</t>
  </si>
  <si>
    <t>TB</t>
  </si>
  <si>
    <t>WR-20</t>
  </si>
  <si>
    <t>Ladd McConkey</t>
  </si>
  <si>
    <t>WR-21</t>
  </si>
  <si>
    <t>Jaylen Waddle</t>
  </si>
  <si>
    <t>DEN</t>
  </si>
  <si>
    <t>RB-18</t>
  </si>
  <si>
    <t>Cam Skattebo</t>
  </si>
  <si>
    <t>RB-19</t>
  </si>
  <si>
    <t>D'Andre Swift</t>
  </si>
  <si>
    <t>QB-02</t>
  </si>
  <si>
    <t>Lamar Jackson</t>
  </si>
  <si>
    <t>WR-22</t>
  </si>
  <si>
    <t>D.J. Moore</t>
  </si>
  <si>
    <t>RB-20</t>
  </si>
  <si>
    <t>David Montgomery</t>
  </si>
  <si>
    <t>FFB My Guy</t>
  </si>
  <si>
    <t>WR-23</t>
  </si>
  <si>
    <t>Luther Burden</t>
  </si>
  <si>
    <t>WR-24</t>
  </si>
  <si>
    <t>Terry McLaurin</t>
  </si>
  <si>
    <t>WAS</t>
  </si>
  <si>
    <t>RB-21</t>
  </si>
  <si>
    <t>Quinshon Judkins</t>
  </si>
  <si>
    <t>CLE</t>
  </si>
  <si>
    <t>RB-22</t>
  </si>
  <si>
    <t>Bucky Irving</t>
  </si>
  <si>
    <t>Tyreek Hill</t>
  </si>
  <si>
    <t>WR-25</t>
  </si>
  <si>
    <t>Davante Adams</t>
  </si>
  <si>
    <t>TE-04</t>
  </si>
  <si>
    <t>Tyler Warren</t>
  </si>
  <si>
    <t>WR-26</t>
  </si>
  <si>
    <t>Jameson Williams</t>
  </si>
  <si>
    <t>RB-23</t>
  </si>
  <si>
    <t>Bhayshul Tuten</t>
  </si>
  <si>
    <t>JAX</t>
  </si>
  <si>
    <t>2025 Rookie R1.22. FFB My Guy</t>
  </si>
  <si>
    <t>WR-27</t>
  </si>
  <si>
    <t>Rome Odunze</t>
  </si>
  <si>
    <t>QB-03</t>
  </si>
  <si>
    <t>Drake Maye</t>
  </si>
  <si>
    <t>RB-24</t>
  </si>
  <si>
    <t>Jadarian Price</t>
  </si>
  <si>
    <t>WR-28</t>
  </si>
  <si>
    <t>Parker Washington</t>
  </si>
  <si>
    <t>TE1 - 1 - Elite</t>
  </si>
  <si>
    <t>QB-04</t>
  </si>
  <si>
    <t>Joe Burrow</t>
  </si>
  <si>
    <t>WR-29</t>
  </si>
  <si>
    <t>Christian Watson</t>
  </si>
  <si>
    <t>GB</t>
  </si>
  <si>
    <t>RB-25</t>
  </si>
  <si>
    <t>TreVeyon Henderson</t>
  </si>
  <si>
    <t>RB-26</t>
  </si>
  <si>
    <t>Josh Jacobs</t>
  </si>
  <si>
    <t>WR-30</t>
  </si>
  <si>
    <t>Mike Evans</t>
  </si>
  <si>
    <t>RB-27</t>
  </si>
  <si>
    <t>Rhamondre Stevenson</t>
  </si>
  <si>
    <t>QB-05</t>
  </si>
  <si>
    <t>Jayden Daniels</t>
  </si>
  <si>
    <t>WR-31</t>
  </si>
  <si>
    <t>Marvin Harrison Jr.</t>
  </si>
  <si>
    <t>WR-32</t>
  </si>
  <si>
    <t>Carnell Tate</t>
  </si>
  <si>
    <t>TEN</t>
  </si>
  <si>
    <t>RB-28</t>
  </si>
  <si>
    <t>Jaylen Warren</t>
  </si>
  <si>
    <t>2025 Rookie R1.6</t>
  </si>
  <si>
    <t>PIT</t>
  </si>
  <si>
    <t>QB-06</t>
  </si>
  <si>
    <t>Jalen Hurts</t>
  </si>
  <si>
    <t>TE-05</t>
  </si>
  <si>
    <t>Tucker Kraft</t>
  </si>
  <si>
    <t>WR-33</t>
  </si>
  <si>
    <t>Brian Thomas Jr.</t>
  </si>
  <si>
    <t>QB-07</t>
  </si>
  <si>
    <t>Caleb Williams</t>
  </si>
  <si>
    <t>RB-29</t>
  </si>
  <si>
    <t>X</t>
  </si>
  <si>
    <t>Jonathon Brooks</t>
  </si>
  <si>
    <t>TE-06</t>
  </si>
  <si>
    <t>Sam LaPorta</t>
  </si>
  <si>
    <t>WR-34</t>
  </si>
  <si>
    <t>DK Metcalf</t>
  </si>
  <si>
    <t>TE-07</t>
  </si>
  <si>
    <t>Kyle Pitts</t>
  </si>
  <si>
    <t>RB-30</t>
  </si>
  <si>
    <t>Tony Pollard</t>
  </si>
  <si>
    <t>QB-08</t>
  </si>
  <si>
    <t>Dak Prescott</t>
  </si>
  <si>
    <t>TE-08</t>
  </si>
  <si>
    <t>Harold Fannin</t>
  </si>
  <si>
    <t>RB-31</t>
  </si>
  <si>
    <t>Rico Dowdle</t>
  </si>
  <si>
    <t>WR-35</t>
  </si>
  <si>
    <t>Courtland Sutton</t>
  </si>
  <si>
    <t>QB-09</t>
  </si>
  <si>
    <t>Justin Herbert</t>
  </si>
  <si>
    <t>WR-36</t>
  </si>
  <si>
    <t>Chris Godwin</t>
  </si>
  <si>
    <t>QB-10</t>
  </si>
  <si>
    <t>Trevor Lawrence</t>
  </si>
  <si>
    <t>WR-37</t>
  </si>
  <si>
    <t>Michael Wilson</t>
  </si>
  <si>
    <t>WR-38</t>
  </si>
  <si>
    <t>Quentin Johnston</t>
  </si>
  <si>
    <t>RB-32</t>
  </si>
  <si>
    <t>RJ Harvey</t>
  </si>
  <si>
    <t>TE-09</t>
  </si>
  <si>
    <t>George Kittle</t>
  </si>
  <si>
    <t>RB-33</t>
  </si>
  <si>
    <t>J.K. Dobbins</t>
  </si>
  <si>
    <t>RB-34</t>
  </si>
  <si>
    <t>Blake Corum</t>
  </si>
  <si>
    <t>RB-35</t>
  </si>
  <si>
    <t>Chuba Hubbard</t>
  </si>
  <si>
    <t>RB-36</t>
  </si>
  <si>
    <t>Kenneth Gainwell</t>
  </si>
  <si>
    <t>WR-39</t>
  </si>
  <si>
    <t>Michael Pittman Jr.</t>
  </si>
  <si>
    <t>WR-40</t>
  </si>
  <si>
    <t>Alec Pierce</t>
  </si>
  <si>
    <t>WR-41</t>
  </si>
  <si>
    <t>Stefon Diggs</t>
  </si>
  <si>
    <t>WR-42</t>
  </si>
  <si>
    <t>Josh Downs</t>
  </si>
  <si>
    <t>RB-37</t>
  </si>
  <si>
    <t>Jordan Mason</t>
  </si>
  <si>
    <t>WR-43</t>
  </si>
  <si>
    <t>Jordan Addison</t>
  </si>
  <si>
    <t>WR-44</t>
  </si>
  <si>
    <t>Jayden Reed</t>
  </si>
  <si>
    <t>RB-38</t>
  </si>
  <si>
    <t>Jacory Croskey-Merritt</t>
  </si>
  <si>
    <t>QB-11</t>
  </si>
  <si>
    <t>Jaxson Dart</t>
  </si>
  <si>
    <t>WR-45</t>
  </si>
  <si>
    <t>Wan'Dale Robinson</t>
  </si>
  <si>
    <t>WR-46</t>
  </si>
  <si>
    <t>Makai Lemon</t>
  </si>
  <si>
    <t>QB-12</t>
  </si>
  <si>
    <t>Matthew Stafford</t>
  </si>
  <si>
    <t>QB-13</t>
  </si>
  <si>
    <t>Brock Purdy</t>
  </si>
  <si>
    <t>QB-14</t>
  </si>
  <si>
    <t>Patrick Mahomes</t>
  </si>
  <si>
    <t>TE-10</t>
  </si>
  <si>
    <t>Travis Kelce</t>
  </si>
  <si>
    <t>WR-47</t>
  </si>
  <si>
    <t>De'Zhaun Stribling</t>
  </si>
  <si>
    <t>RB-39</t>
  </si>
  <si>
    <t>Kyle Monangai</t>
  </si>
  <si>
    <t>QB-15</t>
  </si>
  <si>
    <t>Bo Nix</t>
  </si>
  <si>
    <t>WR-48</t>
  </si>
  <si>
    <t>Matthew Golden</t>
  </si>
  <si>
    <t>TE-11</t>
  </si>
  <si>
    <t>Dallas Goedert</t>
  </si>
  <si>
    <t>TE-12</t>
  </si>
  <si>
    <t>Dalton Kincaid</t>
  </si>
  <si>
    <t>TE-13</t>
  </si>
  <si>
    <t>Isaiah Likely</t>
  </si>
  <si>
    <t>QB1 - 1 - Elite</t>
  </si>
  <si>
    <t>RB-40</t>
  </si>
  <si>
    <t>Rachaad White</t>
  </si>
  <si>
    <t>WR-49</t>
  </si>
  <si>
    <t>KC Concepcion</t>
  </si>
  <si>
    <t>QB-16</t>
  </si>
  <si>
    <t>Jared Goff</t>
  </si>
  <si>
    <t>WR-50</t>
  </si>
  <si>
    <t>Jakobi Meyers</t>
  </si>
  <si>
    <t>RB1 - 4 - More Qs</t>
  </si>
  <si>
    <t>RB-41</t>
  </si>
  <si>
    <t>Aaron Jones</t>
  </si>
  <si>
    <t>TE-14</t>
  </si>
  <si>
    <t>Jake Ferguson</t>
  </si>
  <si>
    <t>RB-42</t>
  </si>
  <si>
    <t>MarShawn Lloyd</t>
  </si>
  <si>
    <t>WR-51</t>
  </si>
  <si>
    <t>Xavier Worthy</t>
  </si>
  <si>
    <t>WR-52</t>
  </si>
  <si>
    <t>Romeo Doubs</t>
  </si>
  <si>
    <t>RB5</t>
  </si>
  <si>
    <t>TE-15</t>
  </si>
  <si>
    <t>Mark Andrews</t>
  </si>
  <si>
    <t>WR-53</t>
  </si>
  <si>
    <t>Jordyn Tyson</t>
  </si>
  <si>
    <t>RB-43</t>
  </si>
  <si>
    <t>Chris Rodriguez</t>
  </si>
  <si>
    <t>QB-17</t>
  </si>
  <si>
    <t>Kyler Murray</t>
  </si>
  <si>
    <t>WR2 - 1 - High Ceiling</t>
  </si>
  <si>
    <t>WR-54</t>
  </si>
  <si>
    <t>Jalen Coker</t>
  </si>
  <si>
    <t>QB-18</t>
  </si>
  <si>
    <t>Jordan Love</t>
  </si>
  <si>
    <t>WR-55</t>
  </si>
  <si>
    <t>Deebo Samuel</t>
  </si>
  <si>
    <t>QB-19</t>
  </si>
  <si>
    <t>Baker Mayfield</t>
  </si>
  <si>
    <t>WR-56</t>
  </si>
  <si>
    <t>Khalil Shakir</t>
  </si>
  <si>
    <t>RB-44</t>
  </si>
  <si>
    <t>Woody Marks</t>
  </si>
  <si>
    <t>RB-45</t>
  </si>
  <si>
    <t>Tyler Allgeier</t>
  </si>
  <si>
    <t>QB-20</t>
  </si>
  <si>
    <t>Tyler Shough</t>
  </si>
  <si>
    <t>RB-46</t>
  </si>
  <si>
    <t>Mike Washington Jr.</t>
  </si>
  <si>
    <t>WR-57</t>
  </si>
  <si>
    <t>Rookie R1.3</t>
  </si>
  <si>
    <t>Rashid Shaheed</t>
  </si>
  <si>
    <t>TE-16</t>
  </si>
  <si>
    <t>Juwan Johnson</t>
  </si>
  <si>
    <t>RB-47</t>
  </si>
  <si>
    <t>Tyjae Spears</t>
  </si>
  <si>
    <t>RB-48</t>
  </si>
  <si>
    <t>RB2 - 1 - Weekly Start</t>
  </si>
  <si>
    <t>Keaton Mitchell</t>
  </si>
  <si>
    <t>RB-49</t>
  </si>
  <si>
    <t>Zach Charbonnet</t>
  </si>
  <si>
    <t>RB-50</t>
  </si>
  <si>
    <t>Jonah Coleman</t>
  </si>
  <si>
    <t>2025 R1</t>
  </si>
  <si>
    <t>QB-21</t>
  </si>
  <si>
    <t>Malik Willis</t>
  </si>
  <si>
    <t>TE-17</t>
  </si>
  <si>
    <t>Brenton Strange</t>
  </si>
  <si>
    <t>WR-58</t>
  </si>
  <si>
    <t>Denzel Boston</t>
  </si>
  <si>
    <t>TE-18</t>
  </si>
  <si>
    <t>Hunter Henry</t>
  </si>
  <si>
    <t>RB-51</t>
  </si>
  <si>
    <t>Tank Bigsby</t>
  </si>
  <si>
    <t>WR-59</t>
  </si>
  <si>
    <t>Tre Tucker</t>
  </si>
  <si>
    <t>QB-22</t>
  </si>
  <si>
    <t>Daniel Jones</t>
  </si>
  <si>
    <t>TE-19</t>
  </si>
  <si>
    <t>Dalton Schultz</t>
  </si>
  <si>
    <t>RB-52</t>
  </si>
  <si>
    <t>Dylan Sampson</t>
  </si>
  <si>
    <t>WR-60</t>
  </si>
  <si>
    <t>Keenan Allen</t>
  </si>
  <si>
    <t>QB-23</t>
  </si>
  <si>
    <t>C.J. Stroud</t>
  </si>
  <si>
    <t>RB-53</t>
  </si>
  <si>
    <t>Brian Robinson</t>
  </si>
  <si>
    <t>RB-54</t>
  </si>
  <si>
    <t>Isiah Pacheco</t>
  </si>
  <si>
    <t>RB-55</t>
  </si>
  <si>
    <t>Alvin Kamara</t>
  </si>
  <si>
    <t>TE-20</t>
  </si>
  <si>
    <t>Kenyon Sadiq</t>
  </si>
  <si>
    <t>TE1 - 2 - Weekly Advantage</t>
  </si>
  <si>
    <t>TE-21</t>
  </si>
  <si>
    <t>T.J. Hockenson</t>
  </si>
  <si>
    <t>RB-56</t>
  </si>
  <si>
    <t>Emmett Johnson</t>
  </si>
  <si>
    <t>TE-22</t>
  </si>
  <si>
    <t>AJ Barner</t>
  </si>
  <si>
    <t>WR2 - 2 - Lower Floor</t>
  </si>
  <si>
    <t>WR-61</t>
  </si>
  <si>
    <t>Jerry Jeudy</t>
  </si>
  <si>
    <t>QB-24</t>
  </si>
  <si>
    <t>Sam Darnold</t>
  </si>
  <si>
    <t>TE-23</t>
  </si>
  <si>
    <t>Chigoziem Okonkwo</t>
  </si>
  <si>
    <t>RB-57</t>
  </si>
  <si>
    <t>Tyrone Tracy</t>
  </si>
  <si>
    <t>2025 Rookie R2</t>
  </si>
  <si>
    <t>WR-62</t>
  </si>
  <si>
    <t>Ja'Kobi Lane</t>
  </si>
  <si>
    <t>TE-24</t>
  </si>
  <si>
    <t>Terrance Ferguson</t>
  </si>
  <si>
    <t>WR-63</t>
  </si>
  <si>
    <t>Jalen McMillan</t>
  </si>
  <si>
    <t>WR-64</t>
  </si>
  <si>
    <t>Jalen Nailor</t>
  </si>
  <si>
    <t>RB-58</t>
  </si>
  <si>
    <t>Braelon Allen</t>
  </si>
  <si>
    <t>WR-65</t>
  </si>
  <si>
    <t>Cyrus Allen</t>
  </si>
  <si>
    <t>WR-66</t>
  </si>
  <si>
    <t>Cooper Kupp</t>
  </si>
  <si>
    <t>RB-59</t>
  </si>
  <si>
    <t>Kaelon Black</t>
  </si>
  <si>
    <t>WR-67</t>
  </si>
  <si>
    <t>Kayshon Boutte</t>
  </si>
  <si>
    <t>WR-68</t>
  </si>
  <si>
    <t>Travis Hunter</t>
  </si>
  <si>
    <t>WR-69</t>
  </si>
  <si>
    <t>Jauan Jennings</t>
  </si>
  <si>
    <t>QB-25</t>
  </si>
  <si>
    <t>Cam Ward</t>
  </si>
  <si>
    <t>DEF-01</t>
  </si>
  <si>
    <t>Houston Texans</t>
  </si>
  <si>
    <t>Rookie R1.4.  FFB My Guy</t>
  </si>
  <si>
    <t>WR-70</t>
  </si>
  <si>
    <t>Tank Dell</t>
  </si>
  <si>
    <t>QB-26</t>
  </si>
  <si>
    <t>Bryce Young</t>
  </si>
  <si>
    <t>DEF-02</t>
  </si>
  <si>
    <t>Los Angeles Rams</t>
  </si>
  <si>
    <t>DEF-03</t>
  </si>
  <si>
    <t>Denver Broncos</t>
  </si>
  <si>
    <t>TE-25</t>
  </si>
  <si>
    <t>Greg Dulcich</t>
  </si>
  <si>
    <t>QB1 - 2 - Very Good</t>
  </si>
  <si>
    <t>DEF-04</t>
  </si>
  <si>
    <t>Seattle Seahawks</t>
  </si>
  <si>
    <t>WR-71</t>
  </si>
  <si>
    <t>Calvin Ridley</t>
  </si>
  <si>
    <t>QB-27</t>
  </si>
  <si>
    <t>Aaron Rodgers</t>
  </si>
  <si>
    <t>QB-28</t>
  </si>
  <si>
    <t>Fernando Mendoza</t>
  </si>
  <si>
    <t>2025 Rookie R4</t>
  </si>
  <si>
    <t>QB-29</t>
  </si>
  <si>
    <t>Jacoby Brissett</t>
  </si>
  <si>
    <t>DEF-05</t>
  </si>
  <si>
    <t>Philadelphia Eagles</t>
  </si>
  <si>
    <t>DEF-06</t>
  </si>
  <si>
    <t>Pittsburgh Steelers</t>
  </si>
  <si>
    <t>RB-60</t>
  </si>
  <si>
    <t>Jordan James</t>
  </si>
  <si>
    <t>WR-72</t>
  </si>
  <si>
    <t>Dontayvion Wicks</t>
  </si>
  <si>
    <t>WR-73</t>
  </si>
  <si>
    <t>Adonai Mitchell</t>
  </si>
  <si>
    <t>DEF-07</t>
  </si>
  <si>
    <t>New England Patriots</t>
  </si>
  <si>
    <t>TE-26</t>
  </si>
  <si>
    <t>Oronde Gadsden</t>
  </si>
  <si>
    <t>2024 Rookie R4</t>
  </si>
  <si>
    <t>DEF-08</t>
  </si>
  <si>
    <t>Baltimore Ravens</t>
  </si>
  <si>
    <t>WR-74</t>
  </si>
  <si>
    <t>Tre' Harris</t>
  </si>
  <si>
    <t>RB-61</t>
  </si>
  <si>
    <t>Ray Davis</t>
  </si>
  <si>
    <t>WR-75</t>
  </si>
  <si>
    <t>Malik Washington</t>
  </si>
  <si>
    <t>WR-76</t>
  </si>
  <si>
    <t>Omar Cooper Jr.</t>
  </si>
  <si>
    <t>DEF-09</t>
  </si>
  <si>
    <t>Minnesota Vikings</t>
  </si>
  <si>
    <t>WR-77</t>
  </si>
  <si>
    <t>Ryan Flournoy</t>
  </si>
  <si>
    <t>DEF-10</t>
  </si>
  <si>
    <t>Jacksonville Jaguars</t>
  </si>
  <si>
    <t>Rookie R1.32</t>
  </si>
  <si>
    <t>DEF-11</t>
  </si>
  <si>
    <t>Los Angeles Chargers</t>
  </si>
  <si>
    <t>RB-62</t>
  </si>
  <si>
    <t>Jaydon Blue</t>
  </si>
  <si>
    <t>DEF-12</t>
  </si>
  <si>
    <t>Detroit Lions</t>
  </si>
  <si>
    <t>RB-63</t>
  </si>
  <si>
    <t>Kimani Vidal</t>
  </si>
  <si>
    <t>K-1</t>
  </si>
  <si>
    <t>Brandon Aubrey</t>
  </si>
  <si>
    <t>WR3 - 1 - Clear path to WR2</t>
  </si>
  <si>
    <t>RB-64</t>
  </si>
  <si>
    <t>Justice Hill</t>
  </si>
  <si>
    <t>TE-27</t>
  </si>
  <si>
    <t>Cade Otton</t>
  </si>
  <si>
    <t>WR-78</t>
  </si>
  <si>
    <t>Malachi Fields</t>
  </si>
  <si>
    <t>TE-28</t>
  </si>
  <si>
    <t>Pat Freiermuth</t>
  </si>
  <si>
    <t>RB2 - 2 - 2 of 3</t>
  </si>
  <si>
    <t>WR-79</t>
  </si>
  <si>
    <t>Zachariah Branch</t>
  </si>
  <si>
    <t>TE-29</t>
  </si>
  <si>
    <t>Gunnar Helm</t>
  </si>
  <si>
    <t>RB-65</t>
  </si>
  <si>
    <t>Nicholas Singleton</t>
  </si>
  <si>
    <t>RB-66</t>
  </si>
  <si>
    <t>Kaytron Allen</t>
  </si>
  <si>
    <t>DEF-13</t>
  </si>
  <si>
    <t>Green Bay Packers</t>
  </si>
  <si>
    <t>WR-80</t>
  </si>
  <si>
    <t>Ted Hurst</t>
  </si>
  <si>
    <t>DEF-14</t>
  </si>
  <si>
    <t>Kansas City Chiefs</t>
  </si>
  <si>
    <t>WR-81</t>
  </si>
  <si>
    <t>Antonio Williams</t>
  </si>
  <si>
    <t>TE-30</t>
  </si>
  <si>
    <t>David Njoku</t>
  </si>
  <si>
    <t>QB1 - 3 - Weekly Starter</t>
  </si>
  <si>
    <t>RB-67</t>
  </si>
  <si>
    <t>Sean Tucker</t>
  </si>
  <si>
    <t>K-2</t>
  </si>
  <si>
    <t>Ka'imi Fairbairn</t>
  </si>
  <si>
    <t>RB-68</t>
  </si>
  <si>
    <t>James Conner</t>
  </si>
  <si>
    <t>K-3</t>
  </si>
  <si>
    <t>Jason Myers</t>
  </si>
  <si>
    <t>DEF-15</t>
  </si>
  <si>
    <t>Dallas Cowboys</t>
  </si>
  <si>
    <t>K-4</t>
  </si>
  <si>
    <t>Cameron Dicker</t>
  </si>
  <si>
    <t>TE-31</t>
  </si>
  <si>
    <t>Colby Parkinson</t>
  </si>
  <si>
    <t>WR-82</t>
  </si>
  <si>
    <t>Rashod Bateman</t>
  </si>
  <si>
    <t>K-5</t>
  </si>
  <si>
    <t>Cam Little</t>
  </si>
  <si>
    <t>WR-83</t>
  </si>
  <si>
    <t>Pat Bryant</t>
  </si>
  <si>
    <t>K-6</t>
  </si>
  <si>
    <t>Jake Bates</t>
  </si>
  <si>
    <t>WR-84</t>
  </si>
  <si>
    <t>Caleb Douglas</t>
  </si>
  <si>
    <t>K-7</t>
  </si>
  <si>
    <t>Eddy Pineiro</t>
  </si>
  <si>
    <t>WR-85</t>
  </si>
  <si>
    <t>Chris Bell</t>
  </si>
  <si>
    <t>K-8</t>
  </si>
  <si>
    <t>Tyler Loop</t>
  </si>
  <si>
    <t>QB-30</t>
  </si>
  <si>
    <t>Geno Smith</t>
  </si>
  <si>
    <t>WR-86</t>
  </si>
  <si>
    <t>Isaac TeSlaa</t>
  </si>
  <si>
    <t>RB-69</t>
  </si>
  <si>
    <t>Demond Claiborne</t>
  </si>
  <si>
    <t>K-9</t>
  </si>
  <si>
    <t>Will Reichard</t>
  </si>
  <si>
    <t>WR-87</t>
  </si>
  <si>
    <t>Jaylin Noel</t>
  </si>
  <si>
    <t>K-10</t>
  </si>
  <si>
    <t>Evan McPherson</t>
  </si>
  <si>
    <t>RB-70</t>
  </si>
  <si>
    <t>George Holani</t>
  </si>
  <si>
    <t>DEF-16</t>
  </si>
  <si>
    <t>Buffalo Bills</t>
  </si>
  <si>
    <t>K-11</t>
  </si>
  <si>
    <t>Cairo Santos</t>
  </si>
  <si>
    <t>RB-71</t>
  </si>
  <si>
    <t>Samaje Perine</t>
  </si>
  <si>
    <t>2025 R2</t>
  </si>
  <si>
    <t>DEF-17</t>
  </si>
  <si>
    <t>Chicago Bears</t>
  </si>
  <si>
    <t>QB-31</t>
  </si>
  <si>
    <t>Shedeur Sanders</t>
  </si>
  <si>
    <t>RB-72</t>
  </si>
  <si>
    <t>Jaylen Wright</t>
  </si>
  <si>
    <t>RB-73</t>
  </si>
  <si>
    <t>Kaleb Johnson</t>
  </si>
  <si>
    <t>WR-88</t>
  </si>
  <si>
    <t>Germie Bernard</t>
  </si>
  <si>
    <t>QB-32</t>
  </si>
  <si>
    <t>Tua Tagovailoa</t>
  </si>
  <si>
    <t>WR-89</t>
  </si>
  <si>
    <t>Darnell Mooney</t>
  </si>
  <si>
    <t>WR-90</t>
  </si>
  <si>
    <t>Troy Franklin</t>
  </si>
  <si>
    <t>TE-32</t>
  </si>
  <si>
    <t>Mike Gesicki</t>
  </si>
  <si>
    <t>QB-33</t>
  </si>
  <si>
    <t>Kirk Cousins</t>
  </si>
  <si>
    <t>K-12</t>
  </si>
  <si>
    <t>Harrison Mevis</t>
  </si>
  <si>
    <t>WR-91</t>
  </si>
  <si>
    <t>Devaughn Vele</t>
  </si>
  <si>
    <t>Ankle injury.  Verify before draft</t>
  </si>
  <si>
    <t>RB-74</t>
  </si>
  <si>
    <t>Najee Harris</t>
  </si>
  <si>
    <t>K-13</t>
  </si>
  <si>
    <t>Harrison Butker</t>
  </si>
  <si>
    <t>RB-75</t>
  </si>
  <si>
    <t>Malik Davis</t>
  </si>
  <si>
    <t>RB-76</t>
  </si>
  <si>
    <t>Seth McGowan</t>
  </si>
  <si>
    <t>TE-33</t>
  </si>
  <si>
    <t>Darren Waller</t>
  </si>
  <si>
    <t>DEF-18</t>
  </si>
  <si>
    <t>Cleveland Browns</t>
  </si>
  <si>
    <t>TE-34</t>
  </si>
  <si>
    <t>Jake Tonges</t>
  </si>
  <si>
    <t>TE-35</t>
  </si>
  <si>
    <t>Evan Engram</t>
  </si>
  <si>
    <t>WR-92</t>
  </si>
  <si>
    <t>Tyquan Thornton</t>
  </si>
  <si>
    <t>WR-93</t>
  </si>
  <si>
    <t>Keon Coleman</t>
  </si>
  <si>
    <t>RB3</t>
  </si>
  <si>
    <t>WR-94</t>
  </si>
  <si>
    <t>TE-36</t>
  </si>
  <si>
    <t>Mason Taylor</t>
  </si>
  <si>
    <t>DEF-19</t>
  </si>
  <si>
    <t>San Francisco 49ers</t>
  </si>
  <si>
    <t>WR-95</t>
  </si>
  <si>
    <t>Jack Bech</t>
  </si>
  <si>
    <t>RB-77</t>
  </si>
  <si>
    <t>Kendre Miller</t>
  </si>
  <si>
    <t>WR-96</t>
  </si>
  <si>
    <t>Christian Kirk</t>
  </si>
  <si>
    <t>WR-97</t>
  </si>
  <si>
    <t>Tory Horton</t>
  </si>
  <si>
    <t>TE-37</t>
  </si>
  <si>
    <t>Eli Stowers</t>
  </si>
  <si>
    <t>WR-98</t>
  </si>
  <si>
    <t>Zavion Thomas</t>
  </si>
  <si>
    <t>WR-99</t>
  </si>
  <si>
    <t>Odell Beckham</t>
  </si>
  <si>
    <t>Rookie R2 Ole Miss. FFB My Guy</t>
  </si>
  <si>
    <t>RB-78</t>
  </si>
  <si>
    <t>Emari Demercado</t>
  </si>
  <si>
    <t>WR-100</t>
  </si>
  <si>
    <t>Jahan Dotson</t>
  </si>
  <si>
    <t>'-</t>
  </si>
  <si>
    <t>RB-79</t>
  </si>
  <si>
    <t>Emanuel Wilson</t>
  </si>
  <si>
    <t>RB-80</t>
  </si>
  <si>
    <t>Kareem Hunt</t>
  </si>
  <si>
    <t>WR-101</t>
  </si>
  <si>
    <t>Brandon Aiyuk</t>
  </si>
  <si>
    <t>WR-102</t>
  </si>
  <si>
    <t>Jayden Higgins</t>
  </si>
  <si>
    <t>QB-34</t>
  </si>
  <si>
    <t>Michael Penix Jr.</t>
  </si>
  <si>
    <t>K-14</t>
  </si>
  <si>
    <t>Wil Lutz</t>
  </si>
  <si>
    <t>QB1 - 4 - Lower Floor</t>
  </si>
  <si>
    <t>TE-38</t>
  </si>
  <si>
    <t>Michael Mayer</t>
  </si>
  <si>
    <t>QB-35</t>
  </si>
  <si>
    <t>Deshaun Watson</t>
  </si>
  <si>
    <t>K-15</t>
  </si>
  <si>
    <t>Andres Borregales</t>
  </si>
  <si>
    <t>TE-39</t>
  </si>
  <si>
    <t>Darnell Washington</t>
  </si>
  <si>
    <t>DEF-20</t>
  </si>
  <si>
    <t>New York Giants</t>
  </si>
  <si>
    <t>RB-81</t>
  </si>
  <si>
    <t>Chris Brooks</t>
  </si>
  <si>
    <t>TE1 - 3 - Weekly starter</t>
  </si>
  <si>
    <t>RB-82</t>
  </si>
  <si>
    <t>Adam Randall</t>
  </si>
  <si>
    <t>TE-40</t>
  </si>
  <si>
    <t>Elijah Arroyo</t>
  </si>
  <si>
    <t>DEF-21</t>
  </si>
  <si>
    <t>Atlanta Falcons</t>
  </si>
  <si>
    <t>WR-103</t>
  </si>
  <si>
    <t>Bryce Lance</t>
  </si>
  <si>
    <t>2024 Rookie R2</t>
  </si>
  <si>
    <t>TE-41</t>
  </si>
  <si>
    <t>Dawson Knox</t>
  </si>
  <si>
    <t>WR-104</t>
  </si>
  <si>
    <t>Skyler Bell</t>
  </si>
  <si>
    <t>K-16</t>
  </si>
  <si>
    <t>Chase McLaughlin</t>
  </si>
  <si>
    <t>WR-105</t>
  </si>
  <si>
    <t>Demario Douglas</t>
  </si>
  <si>
    <t>WR4 - 1 - Path to WR2</t>
  </si>
  <si>
    <t>2026 6th rd WR</t>
  </si>
  <si>
    <t>Rookie R1.20 USC</t>
  </si>
  <si>
    <t>2024 Rookie R3</t>
  </si>
  <si>
    <t>2025 Rookie R7</t>
  </si>
  <si>
    <t>QB2 - 1 - Strong Streamer</t>
  </si>
  <si>
    <t>Planned Picks</t>
  </si>
  <si>
    <t>Draft Position / Team Composition</t>
  </si>
  <si>
    <t>WR4 - 2 - Spot Start</t>
  </si>
  <si>
    <t>Mock draft scenarios through 3 rounds</t>
  </si>
  <si>
    <t>Team Name</t>
  </si>
  <si>
    <t>Demin</t>
  </si>
  <si>
    <t>Phony Grossi</t>
  </si>
  <si>
    <t>Ranus</t>
  </si>
  <si>
    <t>YaBoi</t>
  </si>
  <si>
    <t>ShaqList</t>
  </si>
  <si>
    <t>MattyDawgPound</t>
  </si>
  <si>
    <t>Pickups</t>
  </si>
  <si>
    <t>Browneye</t>
  </si>
  <si>
    <t>Football Guys</t>
  </si>
  <si>
    <t>Burrito</t>
  </si>
  <si>
    <t>Herdsmen</t>
  </si>
  <si>
    <t>Dads to Bone</t>
  </si>
  <si>
    <t>Pick 7</t>
  </si>
  <si>
    <t>Pick</t>
  </si>
  <si>
    <t>Manager</t>
  </si>
  <si>
    <t>Bobby</t>
  </si>
  <si>
    <t>Greene</t>
  </si>
  <si>
    <t>Mikey</t>
  </si>
  <si>
    <t>Neary</t>
  </si>
  <si>
    <t>Ditto</t>
  </si>
  <si>
    <t>Matty</t>
  </si>
  <si>
    <t>Mullins</t>
  </si>
  <si>
    <t>Scott</t>
  </si>
  <si>
    <t>Berdine</t>
  </si>
  <si>
    <t>Steve</t>
  </si>
  <si>
    <t>Weber</t>
  </si>
  <si>
    <t>Mike/Brad</t>
  </si>
  <si>
    <t>QB</t>
  </si>
  <si>
    <t>Daniels</t>
  </si>
  <si>
    <t>RB</t>
  </si>
  <si>
    <t>Irving</t>
  </si>
  <si>
    <t>WR</t>
  </si>
  <si>
    <t>ASB</t>
  </si>
  <si>
    <t>Hunter</t>
  </si>
  <si>
    <t>DJ Moore</t>
  </si>
  <si>
    <t>Jennings</t>
  </si>
  <si>
    <t>TE</t>
  </si>
  <si>
    <t>Kraft</t>
  </si>
  <si>
    <t>Kittle</t>
  </si>
  <si>
    <t>K</t>
  </si>
  <si>
    <t>DEF</t>
  </si>
  <si>
    <t>BEN</t>
  </si>
  <si>
    <t>QB2 - 2 - Lower Floor</t>
  </si>
  <si>
    <t>RB4</t>
  </si>
  <si>
    <t>2025 Rookie R2 - UCF</t>
  </si>
  <si>
    <t>Ricky Pearsall</t>
  </si>
  <si>
    <t>Check injury status</t>
  </si>
  <si>
    <t>Rookie R1.8 ASU</t>
  </si>
  <si>
    <t>TE2</t>
  </si>
  <si>
    <t>WR5</t>
  </si>
  <si>
    <t>Rookie R1.24 Texas A&amp;M</t>
  </si>
  <si>
    <t>Rookie R2 Washington</t>
  </si>
  <si>
    <t>Firmly WR1 and culture guy.  Can start any wk as WR3</t>
  </si>
  <si>
    <t>Rookie R3 USC</t>
  </si>
  <si>
    <t>Rookie R1.30 Indiana</t>
  </si>
  <si>
    <t>Rookie R5 - PSU</t>
  </si>
  <si>
    <t>Rookie R3 Notre Dame</t>
  </si>
  <si>
    <t>Rookie R3 Georgia</t>
  </si>
  <si>
    <t>Rookie R3 Louisville</t>
  </si>
  <si>
    <t>Rookie R3 - Clemson</t>
  </si>
  <si>
    <t>Rookie R3 Georgia State</t>
  </si>
  <si>
    <t>Rookie R3 - Indiana</t>
  </si>
  <si>
    <t>Rookie R5 - Nebraska</t>
  </si>
  <si>
    <t>Rookie R4 - Washington</t>
  </si>
  <si>
    <t>2025 R3</t>
  </si>
  <si>
    <t>2025 Rookie R5</t>
  </si>
  <si>
    <t>Rookie R6 - PSU</t>
  </si>
  <si>
    <t>Rookie R2 Alabama</t>
  </si>
  <si>
    <t>Rookie R4 - Arkansas</t>
  </si>
  <si>
    <t>Rookie R2 Vanderbuilt</t>
  </si>
  <si>
    <t>Rookie R6 Wake Forest</t>
  </si>
  <si>
    <t>Joe Mixon</t>
  </si>
  <si>
    <t>DJ Giddens</t>
  </si>
  <si>
    <t>Ollie Gordon</t>
  </si>
  <si>
    <t>2025 Rookie R6</t>
  </si>
  <si>
    <t>J.J. McCarthy</t>
  </si>
  <si>
    <t>Carson Beck</t>
  </si>
  <si>
    <t>Amari Cooper</t>
  </si>
  <si>
    <t>Cole Kmet</t>
  </si>
  <si>
    <t>Justin Fields</t>
  </si>
  <si>
    <t>Anthony Richardson</t>
  </si>
  <si>
    <t>2025 R4</t>
  </si>
  <si>
    <t>Chimere Dike</t>
  </si>
  <si>
    <t>LeQuint Allen</t>
  </si>
  <si>
    <t>Elic Ayomanor</t>
  </si>
  <si>
    <t>Elijah Sarratt</t>
  </si>
  <si>
    <t>Rookie R4 Indiana</t>
  </si>
  <si>
    <t>Ty Johnson</t>
  </si>
  <si>
    <t>Chris Brazzell II</t>
  </si>
  <si>
    <t>Rookie R3 Tennessee</t>
  </si>
  <si>
    <t>Hollywood Brown</t>
  </si>
  <si>
    <t>Theo Johnson</t>
  </si>
  <si>
    <t>Devontez Walker</t>
  </si>
  <si>
    <t>Trey Benson</t>
  </si>
  <si>
    <t>Darius Slayton</t>
  </si>
  <si>
    <t>Andrei Iosivas</t>
  </si>
  <si>
    <t>Isaiah Davis</t>
  </si>
  <si>
    <t>Eli Raridon</t>
  </si>
  <si>
    <t>Rookie R3 ND</t>
  </si>
  <si>
    <t>Tahj Brooks</t>
  </si>
  <si>
    <t>Devin Neal</t>
  </si>
  <si>
    <t>Joe Flacco</t>
  </si>
  <si>
    <t>2025 Rookie R3 - Iowa</t>
  </si>
  <si>
    <t>Mac Jones</t>
  </si>
  <si>
    <t>Kendrick Bourne</t>
  </si>
  <si>
    <t>Isaiah Bond</t>
  </si>
  <si>
    <t>RB1 - 1 - Elite floor/ceiling</t>
  </si>
  <si>
    <t>WR2 - 1 - WR1 upside</t>
  </si>
  <si>
    <t>RB2 - 1 - Clear path to spikes</t>
  </si>
  <si>
    <t>WR1 - 3 - Inconsistent</t>
  </si>
  <si>
    <t>WR1 - 2 - High Floor</t>
  </si>
  <si>
    <t>RB1 - 2 - Elite ceiling/questions</t>
  </si>
  <si>
    <t>WR3 - 2 - mid, but path to big upside</t>
  </si>
  <si>
    <t>RB2 - 2 - Path to spikes</t>
  </si>
  <si>
    <t>WR2 - 2 - Upside with risk</t>
  </si>
  <si>
    <t>RB3 - 2 - low ceiling</t>
  </si>
  <si>
    <t>TE1 - 3 - Weekly Start</t>
  </si>
  <si>
    <t>Zamir White</t>
  </si>
  <si>
    <t>WR4 - 1 - path to WR2</t>
  </si>
  <si>
    <t>QB1 - 4 - Weekly Start</t>
  </si>
  <si>
    <t>Scenarios through 3 rounds</t>
  </si>
  <si>
    <t>WR5 - 1 - upside path</t>
  </si>
  <si>
    <t>Nearys Nemesis</t>
  </si>
  <si>
    <t>Kevin Jacks</t>
  </si>
  <si>
    <t>HannahLees</t>
  </si>
  <si>
    <t>Michael Scotts</t>
  </si>
  <si>
    <t>UrbanMeyers</t>
  </si>
  <si>
    <t>Fogels Moguls</t>
  </si>
  <si>
    <t>MakemyTeam</t>
  </si>
  <si>
    <t>BagelNDeli</t>
  </si>
  <si>
    <t>TE1 - 2 - Very Good</t>
  </si>
  <si>
    <t>Pick 8</t>
  </si>
  <si>
    <t>Nemeth</t>
  </si>
  <si>
    <t>K Jack</t>
  </si>
  <si>
    <t>Lubeck</t>
  </si>
  <si>
    <t>Hewitt</t>
  </si>
  <si>
    <t>J White</t>
  </si>
  <si>
    <t>2. Bell</t>
  </si>
  <si>
    <t>QB1 - 2 - QB1 Upside</t>
  </si>
  <si>
    <t>1. AJ Green</t>
  </si>
  <si>
    <t>WR4 - 2 - unclear path to WR2</t>
  </si>
  <si>
    <t>FLEX</t>
  </si>
  <si>
    <t>WR5 - 2 - floor play not league winner</t>
  </si>
  <si>
    <t>Higgins</t>
  </si>
  <si>
    <t>Fant</t>
  </si>
  <si>
    <t>RB4 - 2 - low ceiling</t>
  </si>
  <si>
    <t xml:space="preserve">WR3 - 1 - </t>
  </si>
  <si>
    <t>Team Composition Simulator</t>
  </si>
  <si>
    <t>Proj. Avg</t>
  </si>
  <si>
    <t>Alternates</t>
  </si>
  <si>
    <t>s</t>
  </si>
  <si>
    <t>WR3 - 3 - lower ceiling</t>
  </si>
  <si>
    <t>Total</t>
  </si>
  <si>
    <t/>
  </si>
  <si>
    <t>Need to hit 95</t>
  </si>
  <si>
    <t>Bench</t>
  </si>
  <si>
    <t>QB2 - 2 - Not League Winner</t>
  </si>
  <si>
    <t>QB3 - League Winner?</t>
  </si>
  <si>
    <t>TE2 - 1 - Big Upside</t>
  </si>
  <si>
    <t>Rookie R1.4</t>
  </si>
  <si>
    <t>QB1 - 3 - Top 5 Ceiling</t>
  </si>
  <si>
    <t>RB4 - 1 - Path to spikes</t>
  </si>
  <si>
    <t>QB2 - 1 - League Winner</t>
  </si>
  <si>
    <t>Raheem Mostert</t>
  </si>
  <si>
    <t>Diontae Johnson</t>
  </si>
  <si>
    <t>Austin Ekeler</t>
  </si>
  <si>
    <t>Devin Singletary</t>
  </si>
  <si>
    <t>Zack Moss</t>
  </si>
  <si>
    <t>DeAndre Hopkins</t>
  </si>
  <si>
    <t>Nick Chubb</t>
  </si>
  <si>
    <t>Don’t Draft - Streamer</t>
  </si>
  <si>
    <t>Gus Edwards</t>
  </si>
  <si>
    <t>Jerome Ford</t>
  </si>
  <si>
    <t>Don’t draft - replacement value</t>
  </si>
  <si>
    <t>Ezekiel Elliott</t>
  </si>
  <si>
    <t>Tyler Lockett</t>
  </si>
  <si>
    <t>Curtis Samuel</t>
  </si>
  <si>
    <t>RB3 - 1 - Upside</t>
  </si>
  <si>
    <t>Joshua Palmer</t>
  </si>
  <si>
    <t>WR6 - dart throw upside</t>
  </si>
  <si>
    <t>RB5 - 1 - upside</t>
  </si>
  <si>
    <t>New York Jets</t>
  </si>
  <si>
    <t>Mike Williams</t>
  </si>
  <si>
    <t>Brandin Cooks</t>
  </si>
  <si>
    <t>Ty Chandler</t>
  </si>
  <si>
    <t>Jaleel McLaughlin</t>
  </si>
  <si>
    <t>Gabe Davis</t>
  </si>
  <si>
    <t>Adam Thielen</t>
  </si>
  <si>
    <t>Luke Musgrave</t>
  </si>
  <si>
    <t>Antonio Gibson</t>
  </si>
  <si>
    <t>Tyler Conklin</t>
  </si>
  <si>
    <t>Ja'Lynn Polk</t>
  </si>
  <si>
    <t>Justin Tucker</t>
  </si>
  <si>
    <t>Khalil Herbert</t>
  </si>
  <si>
    <t>Xavier Legette</t>
  </si>
  <si>
    <t>Will Levis</t>
  </si>
  <si>
    <t>Miami Dolphins</t>
  </si>
  <si>
    <t>Handcuff only</t>
  </si>
  <si>
    <t>Cincinnati Bengals</t>
  </si>
  <si>
    <t>Taysom Hill</t>
  </si>
  <si>
    <t>Marvin Mims</t>
  </si>
  <si>
    <t>Noah Fant</t>
  </si>
  <si>
    <t>Ben Sinnott</t>
  </si>
  <si>
    <t>Derek Carr</t>
  </si>
  <si>
    <t>New Orleans Saints</t>
  </si>
  <si>
    <t>Jonnu Smith</t>
  </si>
  <si>
    <t>Jermaine Burton</t>
  </si>
  <si>
    <t>Dameon Pierce</t>
  </si>
  <si>
    <t>Jalen Tolbert</t>
  </si>
  <si>
    <t>Fine very late round pick</t>
  </si>
  <si>
    <t>Tampa Bay Buccaneers</t>
  </si>
  <si>
    <t>Demarcus Robinson</t>
  </si>
  <si>
    <t>Roschon Johnson</t>
  </si>
  <si>
    <t>Indianapolis Colts</t>
  </si>
  <si>
    <t>Zach Ertz</t>
  </si>
  <si>
    <t>Elijah Mitchell</t>
  </si>
  <si>
    <t>Russell Wilson</t>
  </si>
  <si>
    <t>Jake Elliott</t>
  </si>
  <si>
    <t>Jason Sanders</t>
  </si>
  <si>
    <t>Luke McCaffrey</t>
  </si>
  <si>
    <t>Roman Wilson</t>
  </si>
  <si>
    <t>Malachi Corley</t>
  </si>
  <si>
    <t>Alexander Mattison</t>
  </si>
  <si>
    <t>Jake Moody</t>
  </si>
  <si>
    <t>Tyler Boyd</t>
  </si>
  <si>
    <t>Greg Dortch</t>
  </si>
  <si>
    <t>Audric Estime</t>
  </si>
  <si>
    <t>Will Shipley</t>
  </si>
  <si>
    <t>Tyler Bass</t>
  </si>
  <si>
    <t>Younghoe Koo</t>
  </si>
  <si>
    <t>Jamaal Williams</t>
  </si>
  <si>
    <t>Clyde Edwards-Helaire</t>
  </si>
  <si>
    <t>Hayden Hurst</t>
  </si>
  <si>
    <t>Gardner Minshew</t>
  </si>
  <si>
    <t>Ja'Tavion Sanders</t>
  </si>
  <si>
    <t>D'Onta Foreman</t>
  </si>
  <si>
    <t>Jalin Hyatt</t>
  </si>
  <si>
    <t>Miles Sanders</t>
  </si>
  <si>
    <t>Elijah Moore</t>
  </si>
  <si>
    <t>Javon Baker</t>
  </si>
  <si>
    <t>Gerald Everett</t>
  </si>
  <si>
    <t>A.J. Dillon</t>
  </si>
  <si>
    <t>Noah Gray</t>
  </si>
  <si>
    <t>A.T. Perry</t>
  </si>
  <si>
    <t>Jonathan Mingo</t>
  </si>
  <si>
    <t>Josh Reynolds</t>
  </si>
  <si>
    <t>Kalif Raymond</t>
  </si>
  <si>
    <t>Dustin Hopkins</t>
  </si>
  <si>
    <t>QB3 - Not League Winner</t>
  </si>
  <si>
    <t>Aidan O'Connell</t>
  </si>
  <si>
    <t>Zay Jones</t>
  </si>
  <si>
    <t>Greg Zuerlein</t>
  </si>
  <si>
    <t>Matt Gay</t>
  </si>
  <si>
    <t>Blake Grupe</t>
  </si>
  <si>
    <t>Treylon Burks</t>
  </si>
  <si>
    <t>Jelani Woods</t>
  </si>
  <si>
    <t>Kadarius Toney</t>
  </si>
  <si>
    <t>Calvin Austin III</t>
  </si>
  <si>
    <t>Las Vegas Raiders</t>
  </si>
  <si>
    <t>Dylan Laube</t>
  </si>
  <si>
    <t>Rondale Moore</t>
  </si>
  <si>
    <t>Tyler Higbee</t>
  </si>
  <si>
    <t>Daniel Bellinger</t>
  </si>
  <si>
    <t>2025 Player Haters Ball</t>
  </si>
  <si>
    <t>Remaining $</t>
  </si>
  <si>
    <t>Target Tiers</t>
  </si>
  <si>
    <t>Sean 2023 Tier</t>
  </si>
  <si>
    <t>RB1.1</t>
  </si>
  <si>
    <t>RB1.2</t>
  </si>
  <si>
    <t>RB1.3</t>
  </si>
  <si>
    <t>RB2.1</t>
  </si>
  <si>
    <t>RB2.2-3</t>
  </si>
  <si>
    <t>WR1</t>
  </si>
  <si>
    <t>WR2</t>
  </si>
  <si>
    <t>WR3</t>
  </si>
  <si>
    <t>WR4-5</t>
  </si>
  <si>
    <t>QB1.1</t>
  </si>
  <si>
    <t>QB1.2</t>
  </si>
  <si>
    <t>QB1.X</t>
  </si>
  <si>
    <t>TE1.1</t>
  </si>
  <si>
    <t>TE1.2</t>
  </si>
  <si>
    <t>TE1.X</t>
  </si>
  <si>
    <t>Lamar</t>
  </si>
  <si>
    <t>Kincaid</t>
  </si>
  <si>
    <t>Remaining Roster Spots</t>
  </si>
  <si>
    <t>2023 Actuals</t>
  </si>
  <si>
    <t>High Win Bid</t>
  </si>
  <si>
    <t>Conner</t>
  </si>
  <si>
    <t>Love</t>
  </si>
  <si>
    <t>BEN - QB</t>
  </si>
  <si>
    <t>$/remaining player</t>
  </si>
  <si>
    <t>Low Win Bid</t>
  </si>
  <si>
    <t>Swift</t>
  </si>
  <si>
    <t>Johnson</t>
  </si>
  <si>
    <t>BEN - WR</t>
  </si>
  <si>
    <t>2022 Actuals</t>
  </si>
  <si>
    <t>Jefferson</t>
  </si>
  <si>
    <t>Sutton</t>
  </si>
  <si>
    <t>Cupp</t>
  </si>
  <si>
    <t>Bateman</t>
  </si>
  <si>
    <t>Ford</t>
  </si>
  <si>
    <t>BEN - RB</t>
  </si>
  <si>
    <t>Winning Bid</t>
  </si>
  <si>
    <t>Target Bid</t>
  </si>
  <si>
    <t>Diff</t>
  </si>
  <si>
    <t>AVG RK Diff From ESPN</t>
  </si>
  <si>
    <t>Pittman</t>
  </si>
  <si>
    <t>Brooks</t>
  </si>
  <si>
    <t>BTJ</t>
  </si>
  <si>
    <t>RB6 flier</t>
  </si>
  <si>
    <t>Rookie R6. OKST</t>
  </si>
  <si>
    <t>2024 R4 Rookie</t>
  </si>
  <si>
    <t>Jarquez Hunter</t>
  </si>
  <si>
    <t>Rookie R4. Auburn. Pretty good metrics</t>
  </si>
  <si>
    <t>Almost 1.5 tier to self</t>
  </si>
  <si>
    <t>2024 R1 Rookie</t>
  </si>
  <si>
    <t>Brashard Smith</t>
  </si>
  <si>
    <t>2024 R3 Rookie</t>
  </si>
  <si>
    <t>Rookie R6. Texas Tech</t>
  </si>
  <si>
    <t>Rookie R5. Oregon</t>
  </si>
  <si>
    <t>2024 R2 Rookie</t>
  </si>
  <si>
    <t>High risk/reward</t>
  </si>
  <si>
    <t>Rookie R5. KSU</t>
  </si>
  <si>
    <t>Would be higher without missing camp</t>
  </si>
  <si>
    <t>Rookie R1. 6 overall</t>
  </si>
  <si>
    <t>Rookie R1.  MyGuy</t>
  </si>
  <si>
    <t>Plan to stash Brookks on IR and pick up another RB off waivers</t>
  </si>
  <si>
    <t>My Guy</t>
  </si>
  <si>
    <t>Rookie R1</t>
  </si>
  <si>
    <t>Rookie R1. 22 overall. UNC</t>
  </si>
  <si>
    <t>Confirm with IR rules</t>
  </si>
  <si>
    <t>Rookie R2. 38 overall OSU. Good/Great advanced metrics. My Guy</t>
  </si>
  <si>
    <t>If value. Don’t reach</t>
  </si>
  <si>
    <t>Rookie R2. 60 overall UCF.  Good/Great advanced metrics</t>
  </si>
  <si>
    <t>Injury value. Esp w IR slot</t>
  </si>
  <si>
    <t>Rookie R1. 10 overall. UM</t>
  </si>
  <si>
    <t>maybe with IR</t>
  </si>
  <si>
    <t>Rookie R3. 83 overall Iowa. Good advanced metrics</t>
  </si>
  <si>
    <t>Top 3 rush yards &gt; expected. Aging lead back</t>
  </si>
  <si>
    <t>Rookie R2. 36 overall OSU</t>
  </si>
  <si>
    <t>Rookie R1 14 overall. PSU</t>
  </si>
  <si>
    <t>Rookie R2  (34 overall)</t>
  </si>
  <si>
    <t>Rookie R4. ASU. Good advanced metrics</t>
  </si>
  <si>
    <t>Given IR rules</t>
  </si>
  <si>
    <t>2024 R5 Rookie</t>
  </si>
  <si>
    <t>Cedric Tillman</t>
  </si>
  <si>
    <t>Rookie R2  (39 overall)</t>
  </si>
  <si>
    <t>DE</t>
  </si>
  <si>
    <t>starter for 3 weeks w MIN?</t>
  </si>
  <si>
    <t>Rookie R5. Texas.  Javonte is bad</t>
  </si>
  <si>
    <t>Rookie R4. Va Tech. Productive up middle + YAC</t>
  </si>
  <si>
    <t>K-</t>
  </si>
  <si>
    <t>Isaac Guerendo</t>
  </si>
  <si>
    <t>Rookie R2  (55 overall). Ole Miss</t>
  </si>
  <si>
    <t>Kyle Williams</t>
  </si>
  <si>
    <t>Rookie R3. WSU</t>
  </si>
  <si>
    <t>Rookie R4. Tenn</t>
  </si>
  <si>
    <t>Chris Boswell</t>
  </si>
  <si>
    <t>RB4 upside</t>
  </si>
  <si>
    <t>Rookie R7 Arizona</t>
  </si>
  <si>
    <t>Jalen Royals</t>
  </si>
  <si>
    <t>Rookie R2. 42 overall. LSU</t>
  </si>
  <si>
    <t>Rookie R3. Illinois</t>
  </si>
  <si>
    <t>Rookie R2. 50 overall. Miami</t>
  </si>
  <si>
    <t>2023 UDFA</t>
  </si>
  <si>
    <t>Dyami Brown</t>
  </si>
  <si>
    <t>Dont'e Thornton</t>
  </si>
  <si>
    <t>WR6 flier</t>
  </si>
  <si>
    <t>Rookie 4th rd</t>
  </si>
  <si>
    <t>2024 Player Haters Ball</t>
  </si>
  <si>
    <t>Rookie R3. Arkansas</t>
  </si>
  <si>
    <t>Rookie R2  (58 overall). TCU</t>
  </si>
  <si>
    <t>Washington Commanders</t>
  </si>
  <si>
    <t>Arizona Cardinals</t>
  </si>
  <si>
    <t>Rookie R3. ISU</t>
  </si>
  <si>
    <t>Rookie R7 Rutgers</t>
  </si>
  <si>
    <t>Rookie R3. Bowling Gren</t>
  </si>
  <si>
    <t>Kepners</t>
  </si>
  <si>
    <t>Rookie R4. USC</t>
  </si>
  <si>
    <t>Miami</t>
  </si>
  <si>
    <t>Trevor Etienne</t>
  </si>
  <si>
    <t>Rookie R4. UGA</t>
  </si>
  <si>
    <t>Only draft if weak QB1 and run on QBs that depleats waiver options</t>
  </si>
  <si>
    <t>Rookie R6. Kansas.  Sneaky decent RB advanced college metrics</t>
  </si>
  <si>
    <t>Ray-Ray McCloud</t>
  </si>
  <si>
    <t>Jalen Milroe</t>
  </si>
  <si>
    <t>Tutu Atwell</t>
  </si>
  <si>
    <t>Savion Williams</t>
  </si>
  <si>
    <t>KeAndre Lambert-Smith</t>
  </si>
  <si>
    <t>KaVontae Turpin</t>
  </si>
  <si>
    <t>Hunter Renfrow</t>
  </si>
  <si>
    <t>2x</t>
  </si>
  <si>
    <t>2025 Kepners</t>
  </si>
  <si>
    <t>Carson Steele</t>
  </si>
  <si>
    <t>Dalvin Cook</t>
  </si>
  <si>
    <t>Jordan Whittington</t>
  </si>
  <si>
    <t>JuJu Smith-Schuster</t>
  </si>
  <si>
    <t>Cam Akers</t>
  </si>
  <si>
    <t>Tim Patrick</t>
  </si>
  <si>
    <t>Cordarrelle Patterson</t>
  </si>
  <si>
    <t>Eric Gray</t>
  </si>
  <si>
    <t>Van Jefferson</t>
  </si>
  <si>
    <t>Old Y Rank (as of ~8/2)</t>
  </si>
  <si>
    <t>Efton Chism</t>
  </si>
  <si>
    <t>QB-36</t>
  </si>
  <si>
    <t>DEF-22</t>
  </si>
  <si>
    <t>DEF-23</t>
  </si>
  <si>
    <t>DEF-24</t>
  </si>
  <si>
    <t>DEF-25</t>
  </si>
  <si>
    <t>QB-37</t>
  </si>
  <si>
    <t>DEF-26</t>
  </si>
  <si>
    <t>K-17</t>
  </si>
  <si>
    <t>Daniel Carlson</t>
  </si>
  <si>
    <t>K-18</t>
  </si>
  <si>
    <t>DEF-27</t>
  </si>
  <si>
    <t>Rookie R6 Wake Forrest</t>
  </si>
  <si>
    <t>Xavier Hutchinson</t>
  </si>
  <si>
    <t>2023 Player Haters Ball</t>
  </si>
  <si>
    <t>Sean 2022 Tier</t>
  </si>
  <si>
    <t>RB1.2 SHOULD be cheaper this year</t>
  </si>
  <si>
    <t xml:space="preserve">Top 12 most expensive picks were $48-$70 last year. </t>
  </si>
  <si>
    <t>Bid</t>
  </si>
  <si>
    <t>Picks 13-24 were $25-$45</t>
  </si>
  <si>
    <t>x</t>
  </si>
  <si>
    <t>2022 Player Haters Ball</t>
  </si>
  <si>
    <t>Sean 2020 Tier</t>
  </si>
  <si>
    <t>Big variance</t>
  </si>
  <si>
    <t>21 RB2.1 were $53-55</t>
  </si>
  <si>
    <t>QB1</t>
  </si>
  <si>
    <t>Trey Lance</t>
  </si>
  <si>
    <t>QB3</t>
  </si>
  <si>
    <t>Last tier of good starting RBs.  Get at least 1</t>
  </si>
  <si>
    <t>Tom Brady</t>
  </si>
  <si>
    <t>Chase Edmonds</t>
  </si>
  <si>
    <t>TE4</t>
  </si>
  <si>
    <t>Melvin Gordon</t>
  </si>
  <si>
    <t>Marquez Valdes-Scantling</t>
  </si>
  <si>
    <t>Best 3rd value of my 3rd round targets (per tier ranks)</t>
  </si>
  <si>
    <t>QB4</t>
  </si>
  <si>
    <t>QB6</t>
  </si>
  <si>
    <t>Rookie.  R5 BYU</t>
  </si>
  <si>
    <t>Rookie R1. OSU</t>
  </si>
  <si>
    <t>D.J. Chark</t>
  </si>
  <si>
    <t>5th year player.  2nd rnd LSU</t>
  </si>
  <si>
    <t>DeVante Parker</t>
  </si>
  <si>
    <t>Rookie R1. PSU</t>
  </si>
  <si>
    <t>Rookie R4 Nevada</t>
  </si>
  <si>
    <t>Isaiah McKenzie</t>
  </si>
  <si>
    <t>Rookie R2 Kentucky</t>
  </si>
  <si>
    <t>Donovan Peoples-Jones</t>
  </si>
  <si>
    <t>TE3</t>
  </si>
  <si>
    <t>Marquise Brown</t>
  </si>
  <si>
    <t>Irv Smith Jr.</t>
  </si>
  <si>
    <t>TE5</t>
  </si>
  <si>
    <t>QB5</t>
  </si>
  <si>
    <t>Albert Okwuegbunam</t>
  </si>
  <si>
    <t>Like, but more as 4th rd than 3rd</t>
  </si>
  <si>
    <t>TE6</t>
  </si>
  <si>
    <t>Matt Ryan</t>
  </si>
  <si>
    <t>Jameis Winston</t>
  </si>
  <si>
    <t>Ryan Tannehill</t>
  </si>
  <si>
    <t>QB7</t>
  </si>
  <si>
    <t>Carson Wentz</t>
  </si>
  <si>
    <t>QB8</t>
  </si>
  <si>
    <t>Damien Harris</t>
  </si>
  <si>
    <t>Gabriel Davis</t>
  </si>
  <si>
    <t>Zach Wilson</t>
  </si>
  <si>
    <t>Allen Lazard</t>
  </si>
  <si>
    <t>Rookie.  R2 Georgia</t>
  </si>
  <si>
    <t>Isaiah Spiller</t>
  </si>
  <si>
    <t>Rookie R4 A&amp;M</t>
  </si>
  <si>
    <t>Ronald Jones</t>
  </si>
  <si>
    <t>Ken Walker</t>
  </si>
  <si>
    <t>Rookie.  R2 MSU.  Could go in 6/7, buy auto-pick if 8th.  Chance to start week 1</t>
  </si>
  <si>
    <t>Robert Woods</t>
  </si>
  <si>
    <t>Rookie. R3 ASU</t>
  </si>
  <si>
    <t>Nyheim Hines</t>
  </si>
  <si>
    <t>Rashaad Penny</t>
  </si>
  <si>
    <t>Tyrion Davis-Price</t>
  </si>
  <si>
    <t>Rookie. R3 LSU</t>
  </si>
  <si>
    <t>J.D. McKissic</t>
  </si>
  <si>
    <t>Sophomore 6th rd.  VaTech</t>
  </si>
  <si>
    <t>Rookie R1. Alabama</t>
  </si>
  <si>
    <t>Sophomore.  5th rnd.  Memphis</t>
  </si>
  <si>
    <t>Marlon Mack</t>
  </si>
  <si>
    <t>Devon Achane</t>
  </si>
  <si>
    <t>Skyy Moore</t>
  </si>
  <si>
    <t>Michael Thomas</t>
  </si>
  <si>
    <t>Jerick McKinnon</t>
  </si>
  <si>
    <t>Rookie 7th rd Rutgers</t>
  </si>
  <si>
    <t>TE7</t>
  </si>
  <si>
    <t>Matt Prater</t>
  </si>
  <si>
    <t>Jeff Wilson</t>
  </si>
  <si>
    <t>Mark Ingram</t>
  </si>
  <si>
    <t>Nick Folk</t>
  </si>
  <si>
    <t>Austin Hooper</t>
  </si>
  <si>
    <t>Robert Tonyan</t>
  </si>
  <si>
    <t>Logan Thomas</t>
  </si>
  <si>
    <t>Ryan Succop</t>
  </si>
  <si>
    <t>Rookie.  R4 Georgia</t>
  </si>
  <si>
    <t>Desparate</t>
  </si>
  <si>
    <t>Brandon McManus</t>
  </si>
  <si>
    <t>Michael Gallup</t>
  </si>
  <si>
    <t>Greg Joseph</t>
  </si>
  <si>
    <t>Robbie Gould</t>
  </si>
  <si>
    <t>Cameron Brate</t>
  </si>
  <si>
    <t>Darrel Williams</t>
  </si>
  <si>
    <t>Rodrigo Blankenship</t>
  </si>
  <si>
    <t>Davis Mills</t>
  </si>
  <si>
    <t>Julio Jones</t>
  </si>
  <si>
    <t>Marcus Mariota</t>
  </si>
  <si>
    <t>Kenny Pickett</t>
  </si>
  <si>
    <t>Kenyan Drake</t>
  </si>
  <si>
    <t>Jarvis Landry</t>
  </si>
  <si>
    <t>Tennessee Titans</t>
  </si>
  <si>
    <t>Brevin Jordan</t>
  </si>
  <si>
    <t>Mecole Hardman</t>
  </si>
  <si>
    <t>D'Ernest Johnson</t>
  </si>
  <si>
    <t>Rob Gronkowski</t>
  </si>
  <si>
    <t>Kenny Golladay</t>
  </si>
  <si>
    <t>Trey Sermon</t>
  </si>
  <si>
    <t>K.J. Osborn</t>
  </si>
  <si>
    <t>Backup</t>
  </si>
  <si>
    <t>Kyle Rudolph</t>
  </si>
  <si>
    <t>Mitch Trubisky</t>
  </si>
  <si>
    <t>C.J. Uzomah</t>
  </si>
  <si>
    <t>Jimmy Garoppolo</t>
  </si>
  <si>
    <t>Sony Michel</t>
  </si>
  <si>
    <t>Deuce Vaughn</t>
  </si>
  <si>
    <t>Cade York</t>
  </si>
  <si>
    <t>Rookie R2. North Dakota State</t>
  </si>
  <si>
    <t>Mo Alie-Cox</t>
  </si>
  <si>
    <t>Sam Howell</t>
  </si>
  <si>
    <t>Chris Evans</t>
  </si>
  <si>
    <t>Rex Burkhead</t>
  </si>
  <si>
    <t>Damien Williams</t>
  </si>
  <si>
    <t>Rookie.  R3.  South Alabama</t>
  </si>
  <si>
    <t>Josh Palmer</t>
  </si>
  <si>
    <t>Myles Gaskin</t>
  </si>
  <si>
    <t>3rd yr 5th rd buffalo</t>
  </si>
  <si>
    <t>Marvin Jones</t>
  </si>
  <si>
    <t>Corey Davis</t>
  </si>
  <si>
    <t>Adam Trautman</t>
  </si>
  <si>
    <t>Drew Lock</t>
  </si>
  <si>
    <t>Robbie Anderson</t>
  </si>
  <si>
    <t>O.J. Howard</t>
  </si>
  <si>
    <t>Isaiah Hodgins</t>
  </si>
  <si>
    <t>Rookie R2 Cinci</t>
  </si>
  <si>
    <t>Carolina Panthers</t>
  </si>
  <si>
    <t>Jonathan Garibay</t>
  </si>
  <si>
    <t>James Washington</t>
  </si>
  <si>
    <t>Amari Rodgers</t>
  </si>
  <si>
    <t>Marquez Callaway</t>
  </si>
  <si>
    <t>Parris Campbell</t>
  </si>
  <si>
    <t>Jamison Crowder</t>
  </si>
  <si>
    <t>Sammy Watkins</t>
  </si>
  <si>
    <t>Deon Jackson</t>
  </si>
  <si>
    <t>A.J. Green</t>
  </si>
  <si>
    <t>Randall Cobb</t>
  </si>
  <si>
    <t>Devin Duvernay</t>
  </si>
  <si>
    <t>Leonard Fournette</t>
  </si>
  <si>
    <t>Cedrick Wilson</t>
  </si>
  <si>
    <t>Laviska Shenault</t>
  </si>
  <si>
    <t>Byron Pringle</t>
  </si>
  <si>
    <t>Quez Watkins</t>
  </si>
  <si>
    <t>Sterling Shepard</t>
  </si>
  <si>
    <t>K.J. Hamler</t>
  </si>
  <si>
    <t>Donald Parham</t>
  </si>
  <si>
    <t>QB2</t>
  </si>
  <si>
    <t>James Robinson</t>
  </si>
  <si>
    <t>Rookie R2. WMU</t>
  </si>
  <si>
    <t>Russell Gage</t>
  </si>
  <si>
    <t>Rookie.  R2. Georgia</t>
  </si>
  <si>
    <t>Justyn Ross</t>
  </si>
  <si>
    <t>TE1</t>
  </si>
  <si>
    <t>Allen Robinson</t>
  </si>
  <si>
    <t>Joshua Kelley</t>
  </si>
  <si>
    <t>Rooke R1. USC.  Going in the 5th on sleeper for Kepners.  8th would be great value</t>
  </si>
  <si>
    <t>Rookie R1 Arkansas</t>
  </si>
  <si>
    <t>Chase Claypool</t>
  </si>
  <si>
    <t>Desmond Ridder</t>
  </si>
  <si>
    <t>John Metchie</t>
  </si>
  <si>
    <t>Michael Carter</t>
  </si>
  <si>
    <t>Richie James</t>
  </si>
  <si>
    <t>Brian Robinson Jr</t>
  </si>
  <si>
    <t>Rookie R3 Alabama</t>
  </si>
  <si>
    <t>Pierre Strong Jr.</t>
  </si>
  <si>
    <t>Darrell Henderson</t>
  </si>
  <si>
    <t>Terrace Marshall</t>
  </si>
  <si>
    <t>Latavius Murray</t>
  </si>
  <si>
    <t>Graham Gano</t>
  </si>
  <si>
    <t>Rookie.  R2 Iowa State</t>
  </si>
  <si>
    <t>Last tier of good starting WRs.  Try to have 2 before this cliff</t>
  </si>
  <si>
    <t>Deneric Prince</t>
  </si>
  <si>
    <t>2021 Player Haters Ball</t>
  </si>
  <si>
    <t>2020 Data</t>
  </si>
  <si>
    <t>Tier Bids: Target Bids based on first in tier.  Spend up 1-2 $ for top picks later in tier if needed</t>
  </si>
  <si>
    <t>Exposure</t>
  </si>
  <si>
    <t>Rookie R4 Florida</t>
  </si>
  <si>
    <t>Web Pos Rank</t>
  </si>
  <si>
    <t>ESPN Avg Rnd</t>
  </si>
  <si>
    <t>RB1 - 2 - Elite with Risk</t>
  </si>
  <si>
    <t>Zach Evans</t>
  </si>
  <si>
    <t>Israel Abanikanda</t>
  </si>
  <si>
    <t>10</t>
  </si>
  <si>
    <t>RB1 - 3 - Very Good</t>
  </si>
  <si>
    <t>Hamstring injury</t>
  </si>
  <si>
    <t>12</t>
  </si>
  <si>
    <t>11</t>
  </si>
  <si>
    <t>WR1 - 2 - Floor and Elite Upside</t>
  </si>
  <si>
    <t>13</t>
  </si>
  <si>
    <t>RB2 - 1 - Very Good</t>
  </si>
  <si>
    <t>Riley Patterson</t>
  </si>
  <si>
    <t>2020 R1.22</t>
  </si>
  <si>
    <t>Tristan Vizcaino</t>
  </si>
  <si>
    <t>17</t>
  </si>
  <si>
    <t>ESPN $26…</t>
  </si>
  <si>
    <t>2020 Zimmer Auction</t>
  </si>
  <si>
    <t>Remaining</t>
  </si>
  <si>
    <t>Spots</t>
  </si>
  <si>
    <t>$/player</t>
  </si>
  <si>
    <t>Comparison of Auction Team against Kepners Snake Actual Rounds</t>
  </si>
  <si>
    <t>Kamara</t>
  </si>
  <si>
    <t>Stafford</t>
  </si>
  <si>
    <t>Eagles D</t>
  </si>
  <si>
    <t>UDFA</t>
  </si>
  <si>
    <t>Robinson</t>
  </si>
  <si>
    <t>Jones Jr.</t>
  </si>
  <si>
    <t>Butker</t>
  </si>
  <si>
    <t>Cooper</t>
  </si>
  <si>
    <t>L Murray</t>
  </si>
  <si>
    <t>Ridley</t>
  </si>
  <si>
    <t>Cohen</t>
  </si>
  <si>
    <t>McLaurin</t>
  </si>
  <si>
    <t>Coleman</t>
  </si>
  <si>
    <t>2020 R1.17</t>
  </si>
  <si>
    <t>Parker</t>
  </si>
  <si>
    <t>Allen</t>
  </si>
  <si>
    <t>Ingram</t>
  </si>
  <si>
    <t>WR2 - 2 - Elite Upside</t>
  </si>
  <si>
    <t>Gisicki</t>
  </si>
  <si>
    <t>My Picks</t>
  </si>
  <si>
    <t>15</t>
  </si>
  <si>
    <t>QB1 - Elite</t>
  </si>
  <si>
    <t>Chris Carson</t>
  </si>
  <si>
    <t>19</t>
  </si>
  <si>
    <t>QB2 - Strong</t>
  </si>
  <si>
    <t>RB1 - 2 - possible RB1</t>
  </si>
  <si>
    <t>WR1 - 2 - Elite</t>
  </si>
  <si>
    <t>27</t>
  </si>
  <si>
    <t>14</t>
  </si>
  <si>
    <t>RB2 - 2 - Good/Injury Risk</t>
  </si>
  <si>
    <t>QB3 - Upside</t>
  </si>
  <si>
    <t>Take if there in R8</t>
  </si>
  <si>
    <t>RB1 - 3 - Upside but risk</t>
  </si>
  <si>
    <t>WR2 - 1 - GREATwr2</t>
  </si>
  <si>
    <t>WR2 - 2 - High Floor</t>
  </si>
  <si>
    <t>Drew Brees</t>
  </si>
  <si>
    <t>QB4 - High Floor</t>
  </si>
  <si>
    <t>RB1 - 3 - Good, capped upside</t>
  </si>
  <si>
    <t>18</t>
  </si>
  <si>
    <t>RB2 - 2 - Volume</t>
  </si>
  <si>
    <t>RB2 - 1 - Elite upside</t>
  </si>
  <si>
    <t>Last tier of good RB2s</t>
  </si>
  <si>
    <t>WR2 - 2 - BoomBust</t>
  </si>
  <si>
    <t>Cam Newton</t>
  </si>
  <si>
    <t>RB2 - 2 - Few Questions</t>
  </si>
  <si>
    <t>WR2 - 2 - Steady</t>
  </si>
  <si>
    <t>QB1 - 2 - Elite w right year</t>
  </si>
  <si>
    <t>16</t>
  </si>
  <si>
    <t>QB Keeper?</t>
  </si>
  <si>
    <t>Take after 1st of Jared/Ryan/Daniel goes</t>
  </si>
  <si>
    <t>David Johnson</t>
  </si>
  <si>
    <t>RB2 - 3 - Risk/Upside</t>
  </si>
  <si>
    <t>Todd Gurley</t>
  </si>
  <si>
    <t>Take in 5 if WR3</t>
  </si>
  <si>
    <t>TE1 - 2 - Very Good Upside</t>
  </si>
  <si>
    <t>Le'Veon Bell</t>
  </si>
  <si>
    <t>20</t>
  </si>
  <si>
    <t>WR3 - 1 - Safe+Upside</t>
  </si>
  <si>
    <t>RB3 - 1 - Established and Good</t>
  </si>
  <si>
    <t>T.Y. Hilton</t>
  </si>
  <si>
    <t>RB3 - 2 - Upside/Risk</t>
  </si>
  <si>
    <t>Only take if big value given Andrews</t>
  </si>
  <si>
    <t>Jordan Howard</t>
  </si>
  <si>
    <t>RB3 - 3 - Safe/Limited</t>
  </si>
  <si>
    <t>Julian Edelman</t>
  </si>
  <si>
    <t>Tarik Cohen</t>
  </si>
  <si>
    <t>Phillip Lindsay</t>
  </si>
  <si>
    <t>Will Fuller</t>
  </si>
  <si>
    <t>Draft only at value</t>
  </si>
  <si>
    <t>21</t>
  </si>
  <si>
    <t>James White</t>
  </si>
  <si>
    <t>Tevin Coleman</t>
  </si>
  <si>
    <t>RB4 - Upside/Keeper</t>
  </si>
  <si>
    <t>WR4 - 1 - Conservative</t>
  </si>
  <si>
    <t>Kerryon Johnson</t>
  </si>
  <si>
    <t>25</t>
  </si>
  <si>
    <t>RB4 - Conservative</t>
  </si>
  <si>
    <t>WR2 - 3 - Very Good Upside</t>
  </si>
  <si>
    <t>Emmanuel Sanders</t>
  </si>
  <si>
    <t>Matt Breida</t>
  </si>
  <si>
    <t>WR4 - Risk/Upside</t>
  </si>
  <si>
    <t>John Brown</t>
  </si>
  <si>
    <t>Ke'Shawn Vaughn</t>
  </si>
  <si>
    <t>Duke Johnson</t>
  </si>
  <si>
    <t>Golden Tate</t>
  </si>
  <si>
    <t>Adrian Peterson</t>
  </si>
  <si>
    <t>DeSean Jackson</t>
  </si>
  <si>
    <t>Robby Anderson</t>
  </si>
  <si>
    <t>WR5 - Risk/Upside</t>
  </si>
  <si>
    <t>Anthony Miller</t>
  </si>
  <si>
    <t>22</t>
  </si>
  <si>
    <t>Henry Ruggs</t>
  </si>
  <si>
    <t>WR5 - Conservative</t>
  </si>
  <si>
    <t>Breshad Perriman</t>
  </si>
  <si>
    <t>Jalen Reagor</t>
  </si>
  <si>
    <t>42</t>
  </si>
  <si>
    <t>Preston Williams</t>
  </si>
  <si>
    <t>N'Keal Harry</t>
  </si>
  <si>
    <t>Larry Fitzgerald</t>
  </si>
  <si>
    <t>Dede Westbrook</t>
  </si>
  <si>
    <t>QB1 - 3 - Very Good</t>
  </si>
  <si>
    <t>Mike Davis</t>
  </si>
  <si>
    <t>Jared Cook</t>
  </si>
  <si>
    <t>WR3 - 1 - Floor</t>
  </si>
  <si>
    <t>Derrius Guice</t>
  </si>
  <si>
    <t>Handcuff</t>
  </si>
  <si>
    <t>Ben Roethlisberger</t>
  </si>
  <si>
    <t>2020 R1.25</t>
  </si>
  <si>
    <t>Frank Gore</t>
  </si>
  <si>
    <t>209</t>
  </si>
  <si>
    <t>Boston Scott</t>
  </si>
  <si>
    <t>DST</t>
  </si>
  <si>
    <t>Downgraded due to injury</t>
  </si>
  <si>
    <t>Eric Ebron</t>
  </si>
  <si>
    <t>Blake Jarwin</t>
  </si>
  <si>
    <t>Eli Manning</t>
  </si>
  <si>
    <t>267</t>
  </si>
  <si>
    <t>26</t>
  </si>
  <si>
    <t>Jack Doyle</t>
  </si>
  <si>
    <t>Teddy Bridgewater</t>
  </si>
  <si>
    <t>2020 R2.33</t>
  </si>
  <si>
    <t>Philip Rivers</t>
  </si>
  <si>
    <t>Case Keenum</t>
  </si>
  <si>
    <t>296</t>
  </si>
  <si>
    <t>Chris Herndon</t>
  </si>
  <si>
    <t>28</t>
  </si>
  <si>
    <t>RB3 - 1 - Elite Upside</t>
  </si>
  <si>
    <t>223</t>
  </si>
  <si>
    <t>Zane Gonzalez</t>
  </si>
  <si>
    <t>Justin Jackson</t>
  </si>
  <si>
    <t>Devonta Freeman</t>
  </si>
  <si>
    <t>Greg Olsen</t>
  </si>
  <si>
    <t>24</t>
  </si>
  <si>
    <t>Ian Thomas</t>
  </si>
  <si>
    <t>QB1 - 4 - Weekly floor with upside</t>
  </si>
  <si>
    <t>Mason Crosby</t>
  </si>
  <si>
    <t>Josh Doctson</t>
  </si>
  <si>
    <t>229</t>
  </si>
  <si>
    <t>John Ross</t>
  </si>
  <si>
    <t>232</t>
  </si>
  <si>
    <t>LeSean McCoy</t>
  </si>
  <si>
    <t>WR3 - 1 - Upside/Risk</t>
  </si>
  <si>
    <t>Carlos Hyde</t>
  </si>
  <si>
    <t>2020 R2.49</t>
  </si>
  <si>
    <t>Jimmy Graham</t>
  </si>
  <si>
    <t>RB3 - 2 - Floor</t>
  </si>
  <si>
    <t>Will Dissly</t>
  </si>
  <si>
    <t>Dan Bailey</t>
  </si>
  <si>
    <t>23</t>
  </si>
  <si>
    <t>Josh Lambo</t>
  </si>
  <si>
    <t>Mike Badgley</t>
  </si>
  <si>
    <t>Anthony McFarland</t>
  </si>
  <si>
    <t>Darrynton Evans</t>
  </si>
  <si>
    <t>Alshon Jeffery</t>
  </si>
  <si>
    <t>31</t>
  </si>
  <si>
    <t>Washington Football Team</t>
  </si>
  <si>
    <t>Tyrell Williams</t>
  </si>
  <si>
    <t>Steven Hauschka</t>
  </si>
  <si>
    <t>Cole Beasley</t>
  </si>
  <si>
    <t>2021 R1.5</t>
  </si>
  <si>
    <t>32</t>
  </si>
  <si>
    <t>Steven Sims</t>
  </si>
  <si>
    <t>Dwayne Haskins</t>
  </si>
  <si>
    <t>2020 R1.15</t>
  </si>
  <si>
    <t>Jalen Richard</t>
  </si>
  <si>
    <t>Danny Amendola</t>
  </si>
  <si>
    <t>Vance McDonald</t>
  </si>
  <si>
    <t>JAC</t>
  </si>
  <si>
    <t>Giorgio Tavecchio</t>
  </si>
  <si>
    <t>255</t>
  </si>
  <si>
    <t>Josh Rosen</t>
  </si>
  <si>
    <t>39</t>
  </si>
  <si>
    <t>Matt Bryant</t>
  </si>
  <si>
    <t>FA</t>
  </si>
  <si>
    <t>2021 2nd rnd UNC</t>
  </si>
  <si>
    <t>38</t>
  </si>
  <si>
    <t>33</t>
  </si>
  <si>
    <t>29</t>
  </si>
  <si>
    <t>Kenneth Dixon</t>
  </si>
  <si>
    <t>295</t>
  </si>
  <si>
    <t>252</t>
  </si>
  <si>
    <t>Benny Snell Jr.</t>
  </si>
  <si>
    <t>238</t>
  </si>
  <si>
    <t>Last tier of good WR3s</t>
  </si>
  <si>
    <t>30</t>
  </si>
  <si>
    <t>2021 3rd rnd OSU</t>
  </si>
  <si>
    <t>36</t>
  </si>
  <si>
    <t>34</t>
  </si>
  <si>
    <t>WR4 - Upside/Risk</t>
  </si>
  <si>
    <t>43</t>
  </si>
  <si>
    <t>2021 R1.10</t>
  </si>
  <si>
    <t>35</t>
  </si>
  <si>
    <t>QB2 - 1 - upside with lower floor</t>
  </si>
  <si>
    <t>WR4 - Floor</t>
  </si>
  <si>
    <t>8 if draft Brady/Tannehill.  9 otherwise</t>
  </si>
  <si>
    <t>QB2 - 2 - higher floor / lower upside</t>
  </si>
  <si>
    <t>46</t>
  </si>
  <si>
    <t>2020 R2.42</t>
  </si>
  <si>
    <t>RB4 - Floor/Upside</t>
  </si>
  <si>
    <t>Look in 7th IF drafted Jones.  Else, 8th round</t>
  </si>
  <si>
    <t>40</t>
  </si>
  <si>
    <t>37</t>
  </si>
  <si>
    <t>48</t>
  </si>
  <si>
    <t>RB4 - Floor</t>
  </si>
  <si>
    <t>Antonio Brown</t>
  </si>
  <si>
    <t>41</t>
  </si>
  <si>
    <t>2021 R1.6</t>
  </si>
  <si>
    <t>45</t>
  </si>
  <si>
    <t>70</t>
  </si>
  <si>
    <t>RB5 - zero flr, upside</t>
  </si>
  <si>
    <t>2021 4th rd pick.  Path to PT after Michel trade</t>
  </si>
  <si>
    <t>Great wk 1 matchup (PHI)</t>
  </si>
  <si>
    <t>47</t>
  </si>
  <si>
    <t>WR5 - Upside/Risk</t>
  </si>
  <si>
    <t>RB4 - Upside</t>
  </si>
  <si>
    <t>2021 4th rnd UNC</t>
  </si>
  <si>
    <t>44</t>
  </si>
  <si>
    <t>53</t>
  </si>
  <si>
    <t>50</t>
  </si>
  <si>
    <t>49</t>
  </si>
  <si>
    <t>WR5 - Floor</t>
  </si>
  <si>
    <t>2020 R2.34</t>
  </si>
  <si>
    <t>52</t>
  </si>
  <si>
    <t>RB5 - Startable</t>
  </si>
  <si>
    <t>RB5 - Handcuff</t>
  </si>
  <si>
    <t>56</t>
  </si>
  <si>
    <t>HOU Wk 1</t>
  </si>
  <si>
    <t>55</t>
  </si>
  <si>
    <t>2020 R1.12 (highest drafted 2020 WR)</t>
  </si>
  <si>
    <t>8/10: Hunter Henry out 'a few weeks' w shoulder.  Jonnu taking RB reps</t>
  </si>
  <si>
    <t>71</t>
  </si>
  <si>
    <t>Great wk 1 matchup (CIN)</t>
  </si>
  <si>
    <t>Nelson Agholor</t>
  </si>
  <si>
    <t>60</t>
  </si>
  <si>
    <t>QB3 - don’t draft</t>
  </si>
  <si>
    <t>Pats Wk1</t>
  </si>
  <si>
    <t>51</t>
  </si>
  <si>
    <t>2021 R2.34</t>
  </si>
  <si>
    <t>63</t>
  </si>
  <si>
    <t>76</t>
  </si>
  <si>
    <t>66</t>
  </si>
  <si>
    <t>8/25 Traded to Rams.  Consider targeting late</t>
  </si>
  <si>
    <t>68</t>
  </si>
  <si>
    <t>2021 R2.49</t>
  </si>
  <si>
    <t>62</t>
  </si>
  <si>
    <t>WR6</t>
  </si>
  <si>
    <t>57</t>
  </si>
  <si>
    <t>2020 R3</t>
  </si>
  <si>
    <t>Cheifs Wk1</t>
  </si>
  <si>
    <t>58</t>
  </si>
  <si>
    <t>61</t>
  </si>
  <si>
    <t>2021 5th rnd Memphis</t>
  </si>
  <si>
    <t>77</t>
  </si>
  <si>
    <t>2021 R2</t>
  </si>
  <si>
    <t>69</t>
  </si>
  <si>
    <t>2020 R4</t>
  </si>
  <si>
    <t>Bryan Edwards</t>
  </si>
  <si>
    <t>79</t>
  </si>
  <si>
    <t>2020 R1.21</t>
  </si>
  <si>
    <t>Ryan Fitzpatrick</t>
  </si>
  <si>
    <t>Chargers Wk 1 (playable)</t>
  </si>
  <si>
    <t>54</t>
  </si>
  <si>
    <t>59</t>
  </si>
  <si>
    <t>QB2 - 3 - upside with LOWEST floor</t>
  </si>
  <si>
    <t>Tre'Quan Smith</t>
  </si>
  <si>
    <t>2021 R1.27.   8/12: Groin surgery - going to miss at least 1 month</t>
  </si>
  <si>
    <t>82</t>
  </si>
  <si>
    <t>73</t>
  </si>
  <si>
    <t>65</t>
  </si>
  <si>
    <t>TE3 - Upside</t>
  </si>
  <si>
    <t>64</t>
  </si>
  <si>
    <t>80</t>
  </si>
  <si>
    <t>Giovani Bernard</t>
  </si>
  <si>
    <t>Malcolm Brown</t>
  </si>
  <si>
    <t>72</t>
  </si>
  <si>
    <t>78</t>
  </si>
  <si>
    <t>88</t>
  </si>
  <si>
    <t>2020 R2.46</t>
  </si>
  <si>
    <t>2021 4th rnd OkST</t>
  </si>
  <si>
    <t>Anthony Firkser</t>
  </si>
  <si>
    <t>Devontae Booker</t>
  </si>
  <si>
    <t>Dan Arnold</t>
  </si>
  <si>
    <t>75</t>
  </si>
  <si>
    <t>74</t>
  </si>
  <si>
    <t>67</t>
  </si>
  <si>
    <t>Salvon Ahmed</t>
  </si>
  <si>
    <t>81</t>
  </si>
  <si>
    <t>86</t>
  </si>
  <si>
    <t>85</t>
  </si>
  <si>
    <t>Wayne Gallman</t>
  </si>
  <si>
    <t>92</t>
  </si>
  <si>
    <t>2021 R1.20</t>
  </si>
  <si>
    <t>Rashard Higgins</t>
  </si>
  <si>
    <t>89</t>
  </si>
  <si>
    <t>Scott Miller</t>
  </si>
  <si>
    <t>91</t>
  </si>
  <si>
    <t>Jordan Akins</t>
  </si>
  <si>
    <t>Xavier Jones</t>
  </si>
  <si>
    <t>Off draft board after Michel trade</t>
  </si>
  <si>
    <t>90</t>
  </si>
  <si>
    <t>95</t>
  </si>
  <si>
    <t>TuTu Atwell</t>
  </si>
  <si>
    <t>98</t>
  </si>
  <si>
    <t>97</t>
  </si>
  <si>
    <t>Travis Fulgham</t>
  </si>
  <si>
    <t>93</t>
  </si>
  <si>
    <t>Tim Tebow</t>
  </si>
  <si>
    <t>Denzel Mims</t>
  </si>
  <si>
    <t>87</t>
  </si>
  <si>
    <t>David Moore</t>
  </si>
  <si>
    <t>96</t>
  </si>
  <si>
    <t>Albert Wilson</t>
  </si>
  <si>
    <t>94</t>
  </si>
  <si>
    <t>Trey Smack</t>
  </si>
  <si>
    <t>WR-106</t>
  </si>
  <si>
    <t>TE-42</t>
  </si>
  <si>
    <t>RB-83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</si>
</sst>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22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1"/>
      <color theme="0"/>
      <name val="Calibri"/>
    </font>
    <font>
      <sz val="11"/>
      <color theme="1"/>
      <name val="Calibri"/>
    </font>
    <font>
      <b/>
      <sz val="12"/>
      <color theme="1"/>
      <name val="Arial"/>
    </font>
    <font>
      <b/>
      <sz val="12"/>
      <color theme="1"/>
      <name val="Calibri"/>
    </font>
    <font>
      <sz val="9"/>
      <color theme="1"/>
      <name val="Arial"/>
    </font>
    <font>
      <sz val="9"/>
      <color theme="0"/>
      <name val="Arial"/>
    </font>
    <font>
      <b/>
      <sz val="9"/>
      <color theme="1"/>
      <name val="Arial"/>
    </font>
    <font>
      <b/>
      <sz val="11"/>
      <color theme="1"/>
      <name val="Calibri"/>
    </font>
    <font>
      <sz val="11"/>
      <name val="Calibri"/>
    </font>
    <font>
      <sz val="11"/>
      <color rgb="FFFF0000"/>
      <name val="Calibri"/>
    </font>
  </fonts>
  <fills count="41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theme="1"/>
        <bgColor theme="1"/>
      </patternFill>
    </fill>
    <fill>
      <patternFill patternType="solid">
        <fgColor rgb="FF44546A"/>
        <bgColor rgb="FF44546A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rgb="FF7030A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385623"/>
        <bgColor rgb="FF385623"/>
      </patternFill>
    </fill>
    <fill>
      <patternFill patternType="solid">
        <fgColor rgb="FF7F6000"/>
        <bgColor rgb="FF7F6000"/>
      </patternFill>
    </fill>
    <fill>
      <patternFill patternType="solid">
        <fgColor rgb="FFBF9000"/>
        <bgColor rgb="FFBF9000"/>
      </patternFill>
    </fill>
    <fill>
      <patternFill patternType="solid">
        <fgColor rgb="FF548135"/>
        <bgColor rgb="FF548135"/>
      </patternFill>
    </fill>
    <fill>
      <patternFill patternType="solid">
        <fgColor rgb="FFFFD965"/>
        <bgColor rgb="FFFFD965"/>
      </patternFill>
    </fill>
    <fill>
      <patternFill patternType="solid">
        <fgColor rgb="FF833C0B"/>
        <bgColor rgb="FF833C0B"/>
      </patternFill>
    </fill>
    <fill>
      <patternFill patternType="solid">
        <fgColor rgb="FF1E4E79"/>
        <bgColor rgb="FF1E4E79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FFF2CB"/>
        <bgColor rgb="FFFFF2CB"/>
      </patternFill>
    </fill>
    <fill>
      <patternFill patternType="solid">
        <fgColor rgb="FFA8D08D"/>
        <bgColor rgb="FFA8D08D"/>
      </patternFill>
    </fill>
    <fill>
      <patternFill patternType="solid">
        <fgColor rgb="FFC55A11"/>
        <bgColor rgb="FFC55A11"/>
      </patternFill>
    </fill>
    <fill>
      <patternFill patternType="solid">
        <fgColor rgb="FF2E75B5"/>
        <bgColor rgb="FF2E75B5"/>
      </patternFill>
    </fill>
    <fill>
      <patternFill patternType="solid">
        <fgColor rgb="FFF4B083"/>
        <bgColor rgb="FFF4B083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FBE4D5"/>
        <bgColor rgb="FFFBE4D5"/>
      </patternFill>
    </fill>
    <fill>
      <patternFill patternType="solid">
        <fgColor theme="9"/>
        <bgColor theme="9"/>
      </patternFill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1F3864"/>
        <bgColor rgb="FF1F3864"/>
      </patternFill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  <fill>
      <patternFill patternType="solid">
        <fgColor rgb="FFCC99FF"/>
        <bgColor rgb="FFCC99FF"/>
      </patternFill>
    </fill>
    <fill>
      <patternFill patternType="solid">
        <fgColor rgb="FF00B050"/>
        <bgColor rgb="FF00B05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5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5" fillId="3" borderId="1" xfId="0" applyFont="1" applyFill="1" applyBorder="1"/>
    <xf numFmtId="0" fontId="5" fillId="4" borderId="1" xfId="0" applyFont="1" applyFill="1" applyBorder="1"/>
    <xf numFmtId="0" fontId="6" fillId="5" borderId="1" xfId="0" applyFont="1" applyFill="1" applyBorder="1"/>
    <xf numFmtId="0" fontId="5" fillId="6" borderId="1" xfId="0" applyFont="1" applyFill="1" applyBorder="1"/>
    <xf numFmtId="0" fontId="5" fillId="4" borderId="2" xfId="0" applyFont="1" applyFill="1" applyBorder="1"/>
    <xf numFmtId="0" fontId="6" fillId="0" borderId="1" xfId="0" applyFont="1" applyBorder="1"/>
    <xf numFmtId="0" fontId="3" fillId="7" borderId="3" xfId="0" applyFont="1" applyFill="1" applyBorder="1"/>
    <xf numFmtId="0" fontId="3" fillId="8" borderId="3" xfId="0" applyFont="1" applyFill="1" applyBorder="1"/>
    <xf numFmtId="0" fontId="3" fillId="9" borderId="0" xfId="0" applyFont="1" applyFill="1"/>
    <xf numFmtId="0" fontId="6" fillId="1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right" vertical="center" wrapText="1"/>
    </xf>
    <xf numFmtId="0" fontId="6" fillId="12" borderId="1" xfId="0" applyFont="1" applyFill="1" applyBorder="1"/>
    <xf numFmtId="0" fontId="1" fillId="0" borderId="1" xfId="0" applyFont="1" applyBorder="1"/>
    <xf numFmtId="0" fontId="6" fillId="0" borderId="1" xfId="0" applyFont="1" applyBorder="1" applyAlignment="1">
      <alignment horizontal="right"/>
    </xf>
    <xf numFmtId="0" fontId="6" fillId="0" borderId="0" xfId="0" applyFont="1"/>
    <xf numFmtId="0" fontId="6" fillId="0" borderId="1" xfId="0" applyFont="1" applyBorder="1" applyAlignment="1">
      <alignment horizontal="left"/>
    </xf>
    <xf numFmtId="0" fontId="6" fillId="13" borderId="1" xfId="0" applyFont="1" applyFill="1" applyBorder="1"/>
    <xf numFmtId="0" fontId="6" fillId="0" borderId="4" xfId="0" applyFont="1" applyBorder="1"/>
    <xf numFmtId="0" fontId="6" fillId="14" borderId="1" xfId="0" applyFont="1" applyFill="1" applyBorder="1"/>
    <xf numFmtId="0" fontId="6" fillId="8" borderId="1" xfId="0" applyFont="1" applyFill="1" applyBorder="1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9" fillId="0" borderId="0" xfId="0" applyFont="1"/>
    <xf numFmtId="0" fontId="3" fillId="0" borderId="1" xfId="0" applyFont="1" applyBorder="1"/>
    <xf numFmtId="0" fontId="10" fillId="4" borderId="1" xfId="0" applyFont="1" applyFill="1" applyBorder="1"/>
    <xf numFmtId="0" fontId="9" fillId="0" borderId="1" xfId="0" applyFont="1" applyBorder="1"/>
    <xf numFmtId="0" fontId="11" fillId="0" borderId="0" xfId="0" applyFont="1"/>
    <xf numFmtId="0" fontId="12" fillId="0" borderId="0" xfId="0" applyFont="1"/>
    <xf numFmtId="0" fontId="6" fillId="15" borderId="1" xfId="0" applyFont="1" applyFill="1" applyBorder="1"/>
    <xf numFmtId="0" fontId="6" fillId="16" borderId="1" xfId="0" applyFont="1" applyFill="1" applyBorder="1"/>
    <xf numFmtId="0" fontId="6" fillId="17" borderId="1" xfId="0" applyFont="1" applyFill="1" applyBorder="1"/>
    <xf numFmtId="0" fontId="6" fillId="18" borderId="1" xfId="0" applyFont="1" applyFill="1" applyBorder="1"/>
    <xf numFmtId="0" fontId="6" fillId="19" borderId="1" xfId="0" applyFont="1" applyFill="1" applyBorder="1"/>
    <xf numFmtId="0" fontId="6" fillId="20" borderId="1" xfId="0" applyFont="1" applyFill="1" applyBorder="1"/>
    <xf numFmtId="0" fontId="6" fillId="21" borderId="1" xfId="0" applyFont="1" applyFill="1" applyBorder="1"/>
    <xf numFmtId="0" fontId="6" fillId="22" borderId="1" xfId="0" applyFont="1" applyFill="1" applyBorder="1"/>
    <xf numFmtId="0" fontId="6" fillId="23" borderId="1" xfId="0" applyFont="1" applyFill="1" applyBorder="1"/>
    <xf numFmtId="0" fontId="6" fillId="24" borderId="1" xfId="0" applyFont="1" applyFill="1" applyBorder="1"/>
    <xf numFmtId="0" fontId="6" fillId="25" borderId="1" xfId="0" applyFont="1" applyFill="1" applyBorder="1"/>
    <xf numFmtId="0" fontId="6" fillId="26" borderId="1" xfId="0" applyFont="1" applyFill="1" applyBorder="1"/>
    <xf numFmtId="0" fontId="10" fillId="11" borderId="1" xfId="0" applyFont="1" applyFill="1" applyBorder="1"/>
    <xf numFmtId="0" fontId="9" fillId="10" borderId="1" xfId="0" applyFont="1" applyFill="1" applyBorder="1"/>
    <xf numFmtId="0" fontId="9" fillId="7" borderId="1" xfId="0" applyFont="1" applyFill="1" applyBorder="1"/>
    <xf numFmtId="0" fontId="9" fillId="27" borderId="1" xfId="0" applyFont="1" applyFill="1" applyBorder="1"/>
    <xf numFmtId="0" fontId="9" fillId="0" borderId="5" xfId="0" applyFont="1" applyBorder="1"/>
    <xf numFmtId="0" fontId="11" fillId="11" borderId="6" xfId="0" applyFont="1" applyFill="1" applyBorder="1"/>
    <xf numFmtId="0" fontId="6" fillId="28" borderId="1" xfId="0" applyFont="1" applyFill="1" applyBorder="1"/>
    <xf numFmtId="0" fontId="6" fillId="29" borderId="1" xfId="0" applyFont="1" applyFill="1" applyBorder="1"/>
    <xf numFmtId="0" fontId="6" fillId="30" borderId="1" xfId="0" applyFont="1" applyFill="1" applyBorder="1"/>
    <xf numFmtId="0" fontId="6" fillId="31" borderId="1" xfId="0" applyFont="1" applyFill="1" applyBorder="1"/>
    <xf numFmtId="0" fontId="6" fillId="32" borderId="1" xfId="0" applyFont="1" applyFill="1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33" borderId="1" xfId="0" applyFont="1" applyFill="1" applyBorder="1" applyAlignment="1">
      <alignment horizontal="center" vertical="center" wrapText="1"/>
    </xf>
    <xf numFmtId="0" fontId="6" fillId="7" borderId="3" xfId="0" applyFont="1" applyFill="1" applyBorder="1"/>
    <xf numFmtId="0" fontId="6" fillId="34" borderId="1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left"/>
    </xf>
    <xf numFmtId="0" fontId="14" fillId="0" borderId="0" xfId="0" applyFont="1"/>
    <xf numFmtId="0" fontId="6" fillId="35" borderId="1" xfId="0" applyFont="1" applyFill="1" applyBorder="1"/>
    <xf numFmtId="0" fontId="6" fillId="36" borderId="1" xfId="0" applyFont="1" applyFill="1" applyBorder="1"/>
    <xf numFmtId="0" fontId="5" fillId="36" borderId="1" xfId="0" applyFont="1" applyFill="1" applyBorder="1"/>
    <xf numFmtId="0" fontId="5" fillId="12" borderId="1" xfId="0" applyFont="1" applyFill="1" applyBorder="1"/>
    <xf numFmtId="0" fontId="5" fillId="2" borderId="1" xfId="0" applyFont="1" applyFill="1" applyBorder="1"/>
    <xf numFmtId="0" fontId="5" fillId="17" borderId="1" xfId="0" applyFont="1" applyFill="1" applyBorder="1"/>
    <xf numFmtId="0" fontId="5" fillId="13" borderId="1" xfId="0" applyFont="1" applyFill="1" applyBorder="1"/>
    <xf numFmtId="0" fontId="6" fillId="37" borderId="1" xfId="0" applyFont="1" applyFill="1" applyBorder="1"/>
    <xf numFmtId="0" fontId="6" fillId="38" borderId="1" xfId="0" applyFont="1" applyFill="1" applyBorder="1"/>
    <xf numFmtId="0" fontId="6" fillId="0" borderId="0" xfId="0" applyFont="1" applyAlignment="1">
      <alignment horizontal="right"/>
    </xf>
    <xf numFmtId="0" fontId="3" fillId="22" borderId="3" xfId="0" applyFont="1" applyFill="1" applyBorder="1"/>
    <xf numFmtId="0" fontId="6" fillId="39" borderId="1" xfId="0" applyFont="1" applyFill="1" applyBorder="1"/>
    <xf numFmtId="0" fontId="3" fillId="0" borderId="0" xfId="0" quotePrefix="1" applyFont="1"/>
    <xf numFmtId="0" fontId="2" fillId="0" borderId="0" xfId="0" applyFont="1" applyAlignment="1">
      <alignment vertical="top"/>
    </xf>
    <xf numFmtId="0" fontId="3" fillId="21" borderId="3" xfId="0" applyFont="1" applyFill="1" applyBorder="1"/>
    <xf numFmtId="0" fontId="5" fillId="40" borderId="1" xfId="0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right"/>
    </xf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11" borderId="3" xfId="0" applyFont="1" applyFill="1" applyBorder="1"/>
    <xf numFmtId="0" fontId="6" fillId="27" borderId="1" xfId="0" applyFont="1" applyFill="1" applyBorder="1"/>
    <xf numFmtId="0" fontId="3" fillId="5" borderId="1" xfId="0" applyFont="1" applyFill="1" applyBorder="1"/>
    <xf numFmtId="0" fontId="3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left"/>
    </xf>
    <xf numFmtId="0" fontId="5" fillId="33" borderId="7" xfId="0" applyFont="1" applyFill="1" applyBorder="1" applyAlignment="1">
      <alignment horizontal="center" vertical="center" wrapText="1"/>
    </xf>
    <xf numFmtId="0" fontId="13" fillId="0" borderId="8" xfId="0" applyFont="1" applyBorder="1"/>
    <xf numFmtId="0" fontId="6" fillId="34" borderId="9" xfId="0" applyFont="1" applyFill="1" applyBorder="1" applyAlignment="1">
      <alignment horizontal="center" vertical="center" wrapText="1"/>
    </xf>
    <xf numFmtId="0" fontId="13" fillId="0" borderId="10" xfId="0" applyFont="1" applyBorder="1"/>
    <xf numFmtId="0" fontId="6" fillId="10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13" fillId="0" borderId="11" xfId="0" applyFont="1" applyBorder="1"/>
  </cellXfs>
  <cellStyles count="1">
    <cellStyle name="Normal" xfId="0" builtinId="0"/>
  </cellStyles>
  <dxfs count="56"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E598"/>
          <bgColor rgb="FFFFE59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14.42578125" defaultRowHeight="15" customHeight="1" x14ac:dyDescent="0.25"/>
  <cols>
    <col min="1" max="2" width="8.7109375" customWidth="1"/>
    <col min="3" max="5" width="9.7109375" customWidth="1"/>
    <col min="6" max="6" width="8.7109375" customWidth="1"/>
    <col min="7" max="7" width="21.140625" customWidth="1"/>
    <col min="8" max="9" width="8.7109375" customWidth="1"/>
    <col min="10" max="10" width="21" customWidth="1"/>
    <col min="11" max="14" width="8.7109375" customWidth="1"/>
    <col min="15" max="21" width="8.85546875" customWidth="1"/>
    <col min="22" max="32" width="8.7109375" customWidth="1"/>
  </cols>
  <sheetData>
    <row r="1" spans="1:32" ht="14.25" customHeight="1" x14ac:dyDescent="0.35">
      <c r="A1" s="95" t="s">
        <v>1</v>
      </c>
      <c r="B1" s="96"/>
      <c r="C1" s="96"/>
      <c r="D1" s="2"/>
      <c r="E1" s="2"/>
      <c r="F1" s="2"/>
      <c r="G1" s="2"/>
      <c r="H1" s="3"/>
      <c r="I1" s="2"/>
      <c r="J1" s="2" t="s">
        <v>4</v>
      </c>
      <c r="K1" s="4">
        <v>1</v>
      </c>
      <c r="L1" s="4">
        <v>2</v>
      </c>
      <c r="M1" s="4">
        <v>3</v>
      </c>
      <c r="N1" s="4">
        <v>4</v>
      </c>
      <c r="O1" s="4">
        <v>5</v>
      </c>
      <c r="P1" s="4">
        <v>6</v>
      </c>
      <c r="Q1" s="4">
        <v>7</v>
      </c>
      <c r="R1" s="4">
        <v>8</v>
      </c>
      <c r="S1" s="4">
        <v>9</v>
      </c>
      <c r="T1" s="4">
        <v>10</v>
      </c>
      <c r="U1" s="4">
        <v>11</v>
      </c>
      <c r="V1" s="4">
        <v>12</v>
      </c>
      <c r="W1" s="4">
        <v>13</v>
      </c>
      <c r="X1" s="4">
        <v>14</v>
      </c>
      <c r="Y1" s="4">
        <v>15</v>
      </c>
      <c r="Z1" s="4">
        <v>16</v>
      </c>
      <c r="AB1" s="4"/>
      <c r="AC1" s="4"/>
      <c r="AD1" s="4"/>
      <c r="AF1" s="2"/>
    </row>
    <row r="2" spans="1:32" ht="14.25" customHeight="1" x14ac:dyDescent="0.25">
      <c r="A2" s="1" t="s">
        <v>14</v>
      </c>
      <c r="B2" s="2" t="s">
        <v>17</v>
      </c>
      <c r="C2" s="2"/>
      <c r="D2" s="2"/>
      <c r="E2" s="2"/>
      <c r="F2" s="2"/>
      <c r="G2" s="2"/>
      <c r="H2" s="3" t="s">
        <v>21</v>
      </c>
      <c r="I2" s="2">
        <v>3</v>
      </c>
      <c r="J2" s="2" t="s">
        <v>23</v>
      </c>
      <c r="K2" s="2">
        <f t="shared" ref="K2:Z2" si="0">COUNTIF($D$7:$D$301, K1)</f>
        <v>3</v>
      </c>
      <c r="L2" s="2">
        <f t="shared" si="0"/>
        <v>19</v>
      </c>
      <c r="M2" s="2">
        <f t="shared" si="0"/>
        <v>5</v>
      </c>
      <c r="N2" s="2">
        <f t="shared" si="0"/>
        <v>19</v>
      </c>
      <c r="O2" s="2">
        <f t="shared" si="0"/>
        <v>5</v>
      </c>
      <c r="P2" s="2">
        <f t="shared" si="0"/>
        <v>17</v>
      </c>
      <c r="Q2" s="2">
        <f t="shared" si="0"/>
        <v>8</v>
      </c>
      <c r="R2" s="12">
        <f t="shared" si="0"/>
        <v>0</v>
      </c>
      <c r="S2" s="2">
        <f t="shared" si="0"/>
        <v>21</v>
      </c>
      <c r="T2" s="2">
        <f t="shared" si="0"/>
        <v>3</v>
      </c>
      <c r="U2" s="2">
        <f t="shared" si="0"/>
        <v>4</v>
      </c>
      <c r="V2" s="2">
        <f t="shared" si="0"/>
        <v>1</v>
      </c>
      <c r="W2" s="2">
        <f t="shared" si="0"/>
        <v>1</v>
      </c>
      <c r="X2" s="12">
        <f t="shared" si="0"/>
        <v>0</v>
      </c>
      <c r="Y2" s="2">
        <f t="shared" si="0"/>
        <v>0</v>
      </c>
      <c r="Z2" s="2">
        <f t="shared" si="0"/>
        <v>0</v>
      </c>
      <c r="AD2" s="2"/>
      <c r="AF2" s="2"/>
    </row>
    <row r="3" spans="1:32" ht="14.25" customHeight="1" x14ac:dyDescent="0.25">
      <c r="B3" s="2" t="s">
        <v>40</v>
      </c>
      <c r="C3" s="2"/>
      <c r="D3" s="2"/>
      <c r="E3" s="2"/>
      <c r="F3" s="2"/>
      <c r="G3" s="2"/>
      <c r="H3" s="3" t="s">
        <v>41</v>
      </c>
      <c r="I3" s="2">
        <f>24-I2+1</f>
        <v>22</v>
      </c>
      <c r="J3" s="2" t="s">
        <v>46</v>
      </c>
      <c r="K3" s="2">
        <f>K2</f>
        <v>3</v>
      </c>
      <c r="L3" s="2">
        <f t="shared" ref="L3:Z3" si="1">K3+L2</f>
        <v>22</v>
      </c>
      <c r="M3" s="2">
        <f t="shared" si="1"/>
        <v>27</v>
      </c>
      <c r="N3" s="2">
        <f t="shared" si="1"/>
        <v>46</v>
      </c>
      <c r="O3" s="2">
        <f t="shared" si="1"/>
        <v>51</v>
      </c>
      <c r="P3" s="2">
        <f t="shared" si="1"/>
        <v>68</v>
      </c>
      <c r="Q3" s="2">
        <f t="shared" si="1"/>
        <v>76</v>
      </c>
      <c r="R3" s="2">
        <f t="shared" si="1"/>
        <v>76</v>
      </c>
      <c r="S3" s="2">
        <f t="shared" si="1"/>
        <v>97</v>
      </c>
      <c r="T3" s="2">
        <f t="shared" si="1"/>
        <v>100</v>
      </c>
      <c r="U3" s="2">
        <f t="shared" si="1"/>
        <v>104</v>
      </c>
      <c r="V3" s="2">
        <f t="shared" si="1"/>
        <v>105</v>
      </c>
      <c r="W3" s="2">
        <f t="shared" si="1"/>
        <v>106</v>
      </c>
      <c r="X3" s="2">
        <f t="shared" si="1"/>
        <v>106</v>
      </c>
      <c r="Y3" s="2">
        <f t="shared" si="1"/>
        <v>106</v>
      </c>
      <c r="Z3" s="2">
        <f t="shared" si="1"/>
        <v>106</v>
      </c>
      <c r="AD3" s="2"/>
      <c r="AF3" s="2"/>
    </row>
    <row r="4" spans="1:32" ht="14.25" customHeight="1" x14ac:dyDescent="0.25">
      <c r="B4" s="1" t="s">
        <v>59</v>
      </c>
      <c r="C4" s="2"/>
      <c r="D4" s="2"/>
      <c r="E4" s="2"/>
      <c r="G4" s="2"/>
      <c r="H4" s="3"/>
      <c r="I4" s="2"/>
      <c r="J4" s="2" t="s">
        <v>61</v>
      </c>
      <c r="K4" s="2">
        <f>I2</f>
        <v>3</v>
      </c>
      <c r="L4" s="2">
        <f>I3</f>
        <v>22</v>
      </c>
      <c r="M4" s="2">
        <f>L4+5</f>
        <v>27</v>
      </c>
      <c r="N4" s="2">
        <f>M4+19</f>
        <v>46</v>
      </c>
      <c r="O4" s="2">
        <f>N4+5</f>
        <v>51</v>
      </c>
      <c r="P4" s="2">
        <f>O4+19</f>
        <v>70</v>
      </c>
      <c r="Q4" s="2">
        <f>P4+5</f>
        <v>75</v>
      </c>
      <c r="R4" s="2">
        <f>Q4+19</f>
        <v>94</v>
      </c>
      <c r="S4" s="2">
        <f>R4+5</f>
        <v>99</v>
      </c>
      <c r="T4" s="2">
        <f>S4+19</f>
        <v>118</v>
      </c>
      <c r="U4" s="2">
        <f>T4+5</f>
        <v>123</v>
      </c>
      <c r="V4" s="2">
        <f>U4+19</f>
        <v>142</v>
      </c>
      <c r="W4" s="2">
        <f>V4+5</f>
        <v>147</v>
      </c>
      <c r="X4" s="2">
        <f>W4+19</f>
        <v>166</v>
      </c>
      <c r="Y4" s="2">
        <f>X4+5</f>
        <v>171</v>
      </c>
      <c r="Z4" s="2">
        <f>Y4+19</f>
        <v>190</v>
      </c>
      <c r="AD4" s="2"/>
      <c r="AF4" s="2"/>
    </row>
    <row r="5" spans="1:32" ht="14.25" customHeight="1" x14ac:dyDescent="0.25">
      <c r="C5" s="2"/>
      <c r="D5" s="2"/>
      <c r="E5" s="2"/>
      <c r="F5" s="2"/>
      <c r="G5" s="2"/>
      <c r="H5" s="3"/>
      <c r="I5" s="2"/>
      <c r="J5" s="2" t="s">
        <v>82</v>
      </c>
      <c r="K5" s="2">
        <f t="shared" ref="K5:Z5" si="2">K3-K4</f>
        <v>0</v>
      </c>
      <c r="L5" s="2">
        <f t="shared" si="2"/>
        <v>0</v>
      </c>
      <c r="M5" s="2">
        <f t="shared" si="2"/>
        <v>0</v>
      </c>
      <c r="N5" s="2">
        <f t="shared" si="2"/>
        <v>0</v>
      </c>
      <c r="O5" s="2">
        <f t="shared" si="2"/>
        <v>0</v>
      </c>
      <c r="P5" s="2">
        <f t="shared" si="2"/>
        <v>-2</v>
      </c>
      <c r="Q5" s="2">
        <f t="shared" si="2"/>
        <v>1</v>
      </c>
      <c r="R5" s="2">
        <f t="shared" si="2"/>
        <v>-18</v>
      </c>
      <c r="S5" s="2">
        <f t="shared" si="2"/>
        <v>-2</v>
      </c>
      <c r="T5" s="2">
        <f t="shared" si="2"/>
        <v>-18</v>
      </c>
      <c r="U5" s="2">
        <f t="shared" si="2"/>
        <v>-19</v>
      </c>
      <c r="V5" s="2">
        <f t="shared" si="2"/>
        <v>-37</v>
      </c>
      <c r="W5" s="2">
        <f t="shared" si="2"/>
        <v>-41</v>
      </c>
      <c r="X5" s="2">
        <f t="shared" si="2"/>
        <v>-60</v>
      </c>
      <c r="Y5" s="2">
        <f t="shared" si="2"/>
        <v>-65</v>
      </c>
      <c r="Z5" s="2">
        <f t="shared" si="2"/>
        <v>-84</v>
      </c>
      <c r="AD5" s="2"/>
      <c r="AF5" s="2"/>
    </row>
    <row r="6" spans="1:32" ht="14.25" customHeight="1" x14ac:dyDescent="0.25">
      <c r="A6" s="15" t="s">
        <v>95</v>
      </c>
      <c r="B6" s="16" t="s">
        <v>96</v>
      </c>
      <c r="C6" s="17" t="s">
        <v>99</v>
      </c>
      <c r="D6" s="17" t="s">
        <v>26</v>
      </c>
      <c r="E6" s="17" t="s">
        <v>100</v>
      </c>
      <c r="F6" s="17" t="s">
        <v>27</v>
      </c>
      <c r="G6" s="4" t="s">
        <v>5</v>
      </c>
      <c r="H6" s="4" t="s">
        <v>8</v>
      </c>
      <c r="I6" s="4" t="s">
        <v>7</v>
      </c>
      <c r="J6" s="4" t="s">
        <v>28</v>
      </c>
      <c r="K6" s="4" t="s">
        <v>29</v>
      </c>
      <c r="L6" s="18" t="s">
        <v>102</v>
      </c>
      <c r="M6" s="18" t="s">
        <v>18</v>
      </c>
      <c r="N6" s="16" t="s">
        <v>105</v>
      </c>
      <c r="O6" s="15" t="s">
        <v>22</v>
      </c>
      <c r="P6" s="19" t="s">
        <v>106</v>
      </c>
      <c r="Q6" s="15" t="s">
        <v>9</v>
      </c>
      <c r="R6" s="15" t="s">
        <v>10</v>
      </c>
      <c r="S6" s="15" t="s">
        <v>12</v>
      </c>
      <c r="T6" s="15" t="s">
        <v>19</v>
      </c>
      <c r="U6" s="15" t="s">
        <v>15</v>
      </c>
      <c r="V6" s="16" t="s">
        <v>110</v>
      </c>
      <c r="W6" s="16" t="s">
        <v>111</v>
      </c>
      <c r="X6" s="16" t="s">
        <v>112</v>
      </c>
      <c r="Y6" s="16" t="s">
        <v>113</v>
      </c>
      <c r="Z6" s="4" t="s">
        <v>30</v>
      </c>
    </row>
    <row r="7" spans="1:32" ht="14.25" customHeight="1" x14ac:dyDescent="0.25">
      <c r="A7" s="11"/>
      <c r="B7" s="11">
        <f t="shared" ref="B7:B261" si="3">IFERROR(INT(AVERAGE(Q7:U7)/12)+1, INT(AVERAGE(M7)/12)+1)</f>
        <v>1</v>
      </c>
      <c r="C7" s="11" t="s">
        <v>119</v>
      </c>
      <c r="D7" s="11">
        <v>1</v>
      </c>
      <c r="E7" s="11"/>
      <c r="F7" s="11">
        <f>VLOOKUP(G7, SeanRanks!$A$2:$E$302, 4, FALSE)</f>
        <v>0</v>
      </c>
      <c r="G7" s="11" t="s">
        <v>54</v>
      </c>
      <c r="H7" s="11" t="str">
        <f>VLOOKUP($G7, 'ADP Data'!$C$4:$Q$300, 2, FALSE)</f>
        <v>SF</v>
      </c>
      <c r="I7" s="11">
        <f>VLOOKUP(G7, 'ADP Data'!$C$4:$R$498, 12, FALSE)</f>
        <v>7</v>
      </c>
      <c r="J7" s="21">
        <f>VLOOKUP($G7, SeanRanks!$A$2:$H$303, 5, FALSE)</f>
        <v>0</v>
      </c>
      <c r="K7" s="11" t="str">
        <f>VLOOKUP($G7, SeanRanks!$A$2:$H$303, 6, FALSE)</f>
        <v>RB1 - 1 - Elite floor/ceiling</v>
      </c>
      <c r="L7" s="11">
        <f t="shared" ref="L7:L261" si="4">IFERROR(INT(M7/8)+1, 16)</f>
        <v>2</v>
      </c>
      <c r="M7" s="11">
        <f>VLOOKUP($G7, 'ADP Data'!$C$4:$Q$300, 9, FALSE)</f>
        <v>10</v>
      </c>
      <c r="N7" s="11">
        <f t="shared" ref="N7:N261" si="5">M7-V7</f>
        <v>2</v>
      </c>
      <c r="O7" s="11">
        <f>VLOOKUP($G7, 'ADP Data'!$C$4:$Q$300, 3, FALSE)</f>
        <v>8</v>
      </c>
      <c r="P7" s="11">
        <f t="shared" ref="P7:P261" si="6">M7-O7</f>
        <v>2</v>
      </c>
      <c r="Q7" s="11">
        <f>VLOOKUP($G7, 'ADP Data'!$C$4:$Q$300, 4, FALSE)</f>
        <v>7</v>
      </c>
      <c r="R7" s="11">
        <f>VLOOKUP($G7, 'ADP Data'!$C$4:$Q$300, 5, FALSE)</f>
        <v>7</v>
      </c>
      <c r="S7" s="11">
        <f>VLOOKUP($G7, 'ADP Data'!$C$4:$Q$300, 6, FALSE)</f>
        <v>8</v>
      </c>
      <c r="T7" s="11">
        <f>VLOOKUP($G7, 'ADP Data'!$C$4:$Q$300, 7, FALSE)</f>
        <v>7</v>
      </c>
      <c r="U7" s="11">
        <f>VLOOKUP($G7, 'ADP Data'!$C$4:$Q$300, 8, FALSE)</f>
        <v>11</v>
      </c>
      <c r="V7" s="11">
        <f t="shared" ref="V7:V261" si="7">INT(AVERAGE(M7, O7,Q7:U7))</f>
        <v>8</v>
      </c>
      <c r="W7" s="11">
        <f t="shared" ref="W7:W261" si="8">IFERROR(INT(V7/8)+1, 16)</f>
        <v>2</v>
      </c>
      <c r="X7" s="11">
        <f t="shared" ref="X7:X261" si="9">D7-W7</f>
        <v>-1</v>
      </c>
      <c r="Y7" s="11">
        <f>VLOOKUP($G7, SeanRanks!$A$2:$K$303, 10, FALSE)-V7</f>
        <v>1</v>
      </c>
      <c r="Z7" s="25">
        <f>IF(VLOOKUP($G7, SeanRanks!$A$2:$H$303, 7, FALSE)=0, "", VLOOKUP($G7, SeanRanks!$A$2:$H$303, 7, FALSE))</f>
        <v>4</v>
      </c>
    </row>
    <row r="8" spans="1:32" ht="14.25" customHeight="1" x14ac:dyDescent="0.25">
      <c r="A8" s="11" t="s">
        <v>148</v>
      </c>
      <c r="B8" s="11">
        <f t="shared" si="3"/>
        <v>3</v>
      </c>
      <c r="C8" s="11" t="s">
        <v>119</v>
      </c>
      <c r="D8" s="11">
        <v>1</v>
      </c>
      <c r="E8" s="11"/>
      <c r="F8" s="11">
        <f>VLOOKUP(G8, SeanRanks!$A$2:$E$302, 4, FALSE)</f>
        <v>0</v>
      </c>
      <c r="G8" s="11" t="s">
        <v>190</v>
      </c>
      <c r="H8" s="11" t="str">
        <f>VLOOKUP($G8, 'ADP Data'!$C$4:$Q$300, 2, FALSE)</f>
        <v>MIA</v>
      </c>
      <c r="I8" s="11">
        <f>VLOOKUP(G8, 'ADP Data'!$C$4:$R$498, 12, FALSE)</f>
        <v>33</v>
      </c>
      <c r="J8" s="26" t="str">
        <f>VLOOKUP($G8, SeanRanks!$A$2:$H$303, 5, FALSE)</f>
        <v>Yes</v>
      </c>
      <c r="K8" s="11" t="str">
        <f>IF(VLOOKUP($G8, SeanRanks!$A$2:$H$303, 6, FALSE)=0, "", VLOOKUP($G8, SeanRanks!$A$2:$H$303, 6, FALSE))</f>
        <v>WR2 - 1 - WR1 upside</v>
      </c>
      <c r="L8" s="11">
        <f t="shared" si="4"/>
        <v>4</v>
      </c>
      <c r="M8" s="11">
        <f>VLOOKUP($G8, 'ADP Data'!$C$4:$Q$300, 9, FALSE)</f>
        <v>27</v>
      </c>
      <c r="N8" s="11">
        <f t="shared" si="5"/>
        <v>-7</v>
      </c>
      <c r="O8" s="11">
        <f>VLOOKUP($G8, 'ADP Data'!$C$4:$Q$300, 3, FALSE)</f>
        <v>39</v>
      </c>
      <c r="P8" s="11">
        <f t="shared" si="6"/>
        <v>-12</v>
      </c>
      <c r="Q8" s="11">
        <f>VLOOKUP($G8, 'ADP Data'!$C$4:$Q$300, 4, FALSE)</f>
        <v>31</v>
      </c>
      <c r="R8" s="11">
        <f>VLOOKUP($G8, 'ADP Data'!$C$4:$Q$300, 5, FALSE)</f>
        <v>36</v>
      </c>
      <c r="S8" s="11">
        <f>VLOOKUP($G8, 'ADP Data'!$C$4:$Q$300, 6, FALSE)</f>
        <v>36</v>
      </c>
      <c r="T8" s="11">
        <f>VLOOKUP($G8, 'ADP Data'!$C$4:$Q$300, 7, FALSE)</f>
        <v>33</v>
      </c>
      <c r="U8" s="11">
        <f>VLOOKUP($G8, 'ADP Data'!$C$4:$Q$300, 8, FALSE)</f>
        <v>36</v>
      </c>
      <c r="V8" s="11">
        <f t="shared" si="7"/>
        <v>34</v>
      </c>
      <c r="W8" s="11">
        <f t="shared" si="8"/>
        <v>5</v>
      </c>
      <c r="X8" s="11">
        <f t="shared" si="9"/>
        <v>-4</v>
      </c>
      <c r="Y8" s="11">
        <f>VLOOKUP($G8, SeanRanks!$A$2:$K$303, 10, FALSE)-V8</f>
        <v>8</v>
      </c>
      <c r="Z8" s="25">
        <f>IF(VLOOKUP($G8, SeanRanks!$A$2:$H$303, 7, FALSE)=0, "", VLOOKUP($G8, SeanRanks!$A$2:$H$303, 7, FALSE))</f>
        <v>16</v>
      </c>
    </row>
    <row r="9" spans="1:32" ht="14.25" customHeight="1" x14ac:dyDescent="0.25">
      <c r="A9" s="11"/>
      <c r="B9" s="11">
        <f t="shared" si="3"/>
        <v>1</v>
      </c>
      <c r="C9" s="11" t="s">
        <v>119</v>
      </c>
      <c r="D9" s="11">
        <v>1</v>
      </c>
      <c r="E9" s="11" t="s">
        <v>243</v>
      </c>
      <c r="F9" s="11">
        <f>VLOOKUP(G9, SeanRanks!$A$2:$E$302, 4, FALSE)</f>
        <v>0</v>
      </c>
      <c r="G9" s="11" t="s">
        <v>68</v>
      </c>
      <c r="H9" s="11" t="str">
        <f>VLOOKUP($G9, 'ADP Data'!$C$4:$Q$300, 2, FALSE)</f>
        <v>DAL</v>
      </c>
      <c r="I9" s="11">
        <f>VLOOKUP(G9, 'ADP Data'!$C$4:$R$498, 12, FALSE)</f>
        <v>3</v>
      </c>
      <c r="J9" s="26">
        <f>VLOOKUP($G9, SeanRanks!$A$2:$H$303, 5, FALSE)</f>
        <v>0</v>
      </c>
      <c r="K9" s="11" t="str">
        <f>IF(VLOOKUP($G9, SeanRanks!$A$2:$H$303, 6, FALSE)=0, "", VLOOKUP($G9, SeanRanks!$A$2:$H$303, 6, FALSE))</f>
        <v>WR1 - 1 - Elite</v>
      </c>
      <c r="L9" s="11">
        <f t="shared" si="4"/>
        <v>1</v>
      </c>
      <c r="M9" s="11">
        <f>VLOOKUP($G9, 'ADP Data'!$C$4:$Q$300, 9, FALSE)</f>
        <v>6</v>
      </c>
      <c r="N9" s="11">
        <f t="shared" si="5"/>
        <v>2</v>
      </c>
      <c r="O9" s="11">
        <f>VLOOKUP($G9, 'ADP Data'!$C$4:$Q$300, 3, FALSE)</f>
        <v>5</v>
      </c>
      <c r="P9" s="11">
        <f t="shared" si="6"/>
        <v>1</v>
      </c>
      <c r="Q9" s="11">
        <f>VLOOKUP($G9, 'ADP Data'!$C$4:$Q$300, 4, FALSE)</f>
        <v>6</v>
      </c>
      <c r="R9" s="11">
        <f>VLOOKUP($G9, 'ADP Data'!$C$4:$Q$300, 5, FALSE)</f>
        <v>5</v>
      </c>
      <c r="S9" s="11">
        <f>VLOOKUP($G9, 'ADP Data'!$C$4:$Q$300, 6, FALSE)</f>
        <v>4</v>
      </c>
      <c r="T9" s="11">
        <f>VLOOKUP($G9, 'ADP Data'!$C$4:$Q$300, 7, FALSE)</f>
        <v>4</v>
      </c>
      <c r="U9" s="11">
        <f>VLOOKUP($G9, 'ADP Data'!$C$4:$Q$300, 8, FALSE)</f>
        <v>3</v>
      </c>
      <c r="V9" s="11">
        <f t="shared" si="7"/>
        <v>4</v>
      </c>
      <c r="W9" s="11">
        <f t="shared" si="8"/>
        <v>1</v>
      </c>
      <c r="X9" s="11">
        <f t="shared" si="9"/>
        <v>0</v>
      </c>
      <c r="Y9" s="11">
        <f>VLOOKUP($G9, SeanRanks!$A$2:$K$303, 10, FALSE)-V9</f>
        <v>1</v>
      </c>
      <c r="Z9" s="25">
        <f>IF(VLOOKUP($G9, SeanRanks!$A$2:$H$303, 7, FALSE)=0, "", VLOOKUP($G9, SeanRanks!$A$2:$H$303, 7, FALSE))</f>
        <v>3</v>
      </c>
    </row>
    <row r="10" spans="1:32" ht="14.25" customHeight="1" x14ac:dyDescent="0.25">
      <c r="A10" s="11"/>
      <c r="B10" s="11">
        <f t="shared" si="3"/>
        <v>4</v>
      </c>
      <c r="C10" s="11" t="s">
        <v>119</v>
      </c>
      <c r="D10" s="11">
        <v>2</v>
      </c>
      <c r="E10" s="11"/>
      <c r="F10" s="11">
        <f>VLOOKUP(G10, SeanRanks!$A$2:$E$302, 4, FALSE)</f>
        <v>0</v>
      </c>
      <c r="G10" s="11" t="s">
        <v>143</v>
      </c>
      <c r="H10" s="11" t="str">
        <f>VLOOKUP($G10, 'ADP Data'!$C$4:$Q$300, 2, FALSE)</f>
        <v>NYJ</v>
      </c>
      <c r="I10" s="11">
        <f>VLOOKUP(G10, 'ADP Data'!$C$4:$R$498, 12, FALSE)</f>
        <v>47</v>
      </c>
      <c r="J10" s="21">
        <f>VLOOKUP($G10, SeanRanks!$A$2:$H$303, 5, FALSE)</f>
        <v>0</v>
      </c>
      <c r="K10" s="11" t="str">
        <f>IF(VLOOKUP($G10, SeanRanks!$A$2:$H$303, 6, FALSE)=0, "", VLOOKUP($G10, SeanRanks!$A$2:$H$303, 6, FALSE))</f>
        <v>RB2 - 1 - Clear path to spikes</v>
      </c>
      <c r="L10" s="11">
        <f t="shared" si="4"/>
        <v>5</v>
      </c>
      <c r="M10" s="11">
        <f>VLOOKUP($G10, 'ADP Data'!$C$4:$Q$300, 9, FALSE)</f>
        <v>32</v>
      </c>
      <c r="N10" s="11">
        <f t="shared" si="5"/>
        <v>-7</v>
      </c>
      <c r="O10" s="11">
        <f>VLOOKUP($G10, 'ADP Data'!$C$4:$Q$300, 3, FALSE)</f>
        <v>41</v>
      </c>
      <c r="P10" s="11">
        <f t="shared" si="6"/>
        <v>-9</v>
      </c>
      <c r="Q10" s="11">
        <f>VLOOKUP($G10, 'ADP Data'!$C$4:$Q$300, 4, FALSE)</f>
        <v>51</v>
      </c>
      <c r="R10" s="11">
        <f>VLOOKUP($G10, 'ADP Data'!$C$4:$Q$300, 5, FALSE)</f>
        <v>41</v>
      </c>
      <c r="S10" s="11">
        <f>VLOOKUP($G10, 'ADP Data'!$C$4:$Q$300, 6, FALSE)</f>
        <v>42</v>
      </c>
      <c r="T10" s="11">
        <f>VLOOKUP($G10, 'ADP Data'!$C$4:$Q$300, 7, FALSE)</f>
        <v>39</v>
      </c>
      <c r="U10" s="11">
        <f>VLOOKUP($G10, 'ADP Data'!$C$4:$Q$300, 8, FALSE)</f>
        <v>31</v>
      </c>
      <c r="V10" s="11">
        <f t="shared" si="7"/>
        <v>39</v>
      </c>
      <c r="W10" s="11">
        <f t="shared" si="8"/>
        <v>5</v>
      </c>
      <c r="X10" s="11">
        <f t="shared" si="9"/>
        <v>-3</v>
      </c>
      <c r="Y10" s="11">
        <f>VLOOKUP($G10, SeanRanks!$A$2:$K$303, 10, FALSE)-V10</f>
        <v>11</v>
      </c>
      <c r="Z10" s="25">
        <f>IF(VLOOKUP($G10, SeanRanks!$A$2:$H$303, 7, FALSE)=0, "", VLOOKUP($G10, SeanRanks!$A$2:$H$303, 7, FALSE))</f>
        <v>16</v>
      </c>
    </row>
    <row r="11" spans="1:32" ht="14.25" customHeight="1" x14ac:dyDescent="0.25">
      <c r="A11" s="11"/>
      <c r="B11" s="11">
        <f t="shared" si="3"/>
        <v>1</v>
      </c>
      <c r="C11" s="11" t="s">
        <v>119</v>
      </c>
      <c r="D11" s="11">
        <v>2</v>
      </c>
      <c r="E11" s="11"/>
      <c r="F11" s="11">
        <f>VLOOKUP(G11, SeanRanks!$A$2:$E$302, 4, FALSE)</f>
        <v>0</v>
      </c>
      <c r="G11" s="11" t="s">
        <v>38</v>
      </c>
      <c r="H11" s="11" t="str">
        <f>VLOOKUP($G11, 'ADP Data'!$C$4:$Q$300, 2, FALSE)</f>
        <v>ATL</v>
      </c>
      <c r="I11" s="11">
        <f>VLOOKUP(G11, 'ADP Data'!$C$4:$R$498, 12, FALSE)</f>
        <v>2</v>
      </c>
      <c r="J11" s="21">
        <f>VLOOKUP($G11, SeanRanks!$A$2:$H$303, 5, FALSE)</f>
        <v>0</v>
      </c>
      <c r="K11" s="11" t="str">
        <f>IF(VLOOKUP($G11, SeanRanks!$A$2:$H$303, 6, FALSE)=0, "", VLOOKUP($G11, SeanRanks!$A$2:$H$303, 6, FALSE))</f>
        <v>RB1 - 1 - Elite floor/ceiling</v>
      </c>
      <c r="L11" s="11">
        <f t="shared" si="4"/>
        <v>1</v>
      </c>
      <c r="M11" s="11">
        <f>VLOOKUP($G11, 'ADP Data'!$C$4:$Q$300, 9, FALSE)</f>
        <v>3</v>
      </c>
      <c r="N11" s="11">
        <f t="shared" si="5"/>
        <v>1</v>
      </c>
      <c r="O11" s="11">
        <f>VLOOKUP($G11, 'ADP Data'!$C$4:$Q$300, 3, FALSE)</f>
        <v>2</v>
      </c>
      <c r="P11" s="11">
        <f t="shared" si="6"/>
        <v>1</v>
      </c>
      <c r="Q11" s="11">
        <f>VLOOKUP($G11, 'ADP Data'!$C$4:$Q$300, 4, FALSE)</f>
        <v>2</v>
      </c>
      <c r="R11" s="11">
        <f>VLOOKUP($G11, 'ADP Data'!$C$4:$Q$300, 5, FALSE)</f>
        <v>2</v>
      </c>
      <c r="S11" s="11">
        <f>VLOOKUP($G11, 'ADP Data'!$C$4:$Q$300, 6, FALSE)</f>
        <v>2</v>
      </c>
      <c r="T11" s="11">
        <f>VLOOKUP($G11, 'ADP Data'!$C$4:$Q$300, 7, FALSE)</f>
        <v>2</v>
      </c>
      <c r="U11" s="11">
        <f>VLOOKUP($G11, 'ADP Data'!$C$4:$Q$300, 8, FALSE)</f>
        <v>2</v>
      </c>
      <c r="V11" s="11">
        <f t="shared" si="7"/>
        <v>2</v>
      </c>
      <c r="W11" s="11">
        <f t="shared" si="8"/>
        <v>1</v>
      </c>
      <c r="X11" s="11">
        <f t="shared" si="9"/>
        <v>1</v>
      </c>
      <c r="Y11" s="11">
        <f>VLOOKUP($G11, SeanRanks!$A$2:$K$303, 10, FALSE)-V11</f>
        <v>0</v>
      </c>
      <c r="Z11" s="25">
        <f>IF(VLOOKUP($G11, SeanRanks!$A$2:$H$303, 7, FALSE)=0, "", VLOOKUP($G11, SeanRanks!$A$2:$H$303, 7, FALSE))</f>
        <v>1</v>
      </c>
    </row>
    <row r="12" spans="1:32" ht="14.25" customHeight="1" x14ac:dyDescent="0.25">
      <c r="A12" s="11"/>
      <c r="B12" s="11">
        <f t="shared" si="3"/>
        <v>1</v>
      </c>
      <c r="C12" s="11" t="s">
        <v>119</v>
      </c>
      <c r="D12" s="11">
        <v>2</v>
      </c>
      <c r="E12" s="11"/>
      <c r="F12" s="11">
        <f>VLOOKUP(G12, SeanRanks!$A$2:$E$302, 4, FALSE)</f>
        <v>0</v>
      </c>
      <c r="G12" s="11" t="s">
        <v>43</v>
      </c>
      <c r="H12" s="11" t="str">
        <f>VLOOKUP($G12, 'ADP Data'!$C$4:$Q$300, 2, FALSE)</f>
        <v>CIN</v>
      </c>
      <c r="I12" s="11">
        <f>VLOOKUP(G12, 'ADP Data'!$C$4:$R$498, 12, FALSE)</f>
        <v>1</v>
      </c>
      <c r="J12" s="26">
        <f>VLOOKUP($G12, SeanRanks!$A$2:$H$303, 5, FALSE)</f>
        <v>0</v>
      </c>
      <c r="K12" s="11" t="str">
        <f>IF(VLOOKUP($G12, SeanRanks!$A$2:$H$303, 6, FALSE)=0, "", VLOOKUP($G12, SeanRanks!$A$2:$H$303, 6, FALSE))</f>
        <v>WR1 - 1 - Elite</v>
      </c>
      <c r="L12" s="11">
        <f t="shared" si="4"/>
        <v>1</v>
      </c>
      <c r="M12" s="11">
        <f>VLOOKUP($G12, 'ADP Data'!$C$4:$Q$300, 9, FALSE)</f>
        <v>1</v>
      </c>
      <c r="N12" s="11">
        <f t="shared" si="5"/>
        <v>0</v>
      </c>
      <c r="O12" s="11">
        <f>VLOOKUP($G12, 'ADP Data'!$C$4:$Q$300, 3, FALSE)</f>
        <v>1</v>
      </c>
      <c r="P12" s="11">
        <f t="shared" si="6"/>
        <v>0</v>
      </c>
      <c r="Q12" s="11">
        <f>VLOOKUP($G12, 'ADP Data'!$C$4:$Q$300, 4, FALSE)</f>
        <v>1</v>
      </c>
      <c r="R12" s="11">
        <f>VLOOKUP($G12, 'ADP Data'!$C$4:$Q$300, 5, FALSE)</f>
        <v>1</v>
      </c>
      <c r="S12" s="11">
        <f>VLOOKUP($G12, 'ADP Data'!$C$4:$Q$300, 6, FALSE)</f>
        <v>1</v>
      </c>
      <c r="T12" s="11">
        <f>VLOOKUP($G12, 'ADP Data'!$C$4:$Q$300, 7, FALSE)</f>
        <v>1</v>
      </c>
      <c r="U12" s="11">
        <f>VLOOKUP($G12, 'ADP Data'!$C$4:$Q$300, 8, FALSE)</f>
        <v>1</v>
      </c>
      <c r="V12" s="11">
        <f t="shared" si="7"/>
        <v>1</v>
      </c>
      <c r="W12" s="11">
        <f t="shared" si="8"/>
        <v>1</v>
      </c>
      <c r="X12" s="11">
        <f t="shared" si="9"/>
        <v>1</v>
      </c>
      <c r="Y12" s="11">
        <f>VLOOKUP($G12, SeanRanks!$A$2:$K$303, 10, FALSE)-V12</f>
        <v>0</v>
      </c>
      <c r="Z12" s="25">
        <f>IF(VLOOKUP($G12, SeanRanks!$A$2:$H$303, 7, FALSE)=0, "", VLOOKUP($G12, SeanRanks!$A$2:$H$303, 7, FALSE))</f>
        <v>1</v>
      </c>
    </row>
    <row r="13" spans="1:32" ht="14.25" customHeight="1" x14ac:dyDescent="0.25">
      <c r="A13" s="11"/>
      <c r="B13" s="11">
        <f t="shared" si="3"/>
        <v>2</v>
      </c>
      <c r="C13" s="11" t="s">
        <v>119</v>
      </c>
      <c r="D13" s="11"/>
      <c r="E13" s="11"/>
      <c r="F13" s="11">
        <f>VLOOKUP(G13, SeanRanks!$A$2:$E$302, 4, FALSE)</f>
        <v>0</v>
      </c>
      <c r="G13" s="11" t="s">
        <v>103</v>
      </c>
      <c r="H13" s="11" t="str">
        <f>VLOOKUP($G13, 'ADP Data'!$C$4:$Q$300, 2, FALSE)</f>
        <v>PHI</v>
      </c>
      <c r="I13" s="11">
        <f>VLOOKUP(G13, 'ADP Data'!$C$4:$R$498, 12, FALSE)</f>
        <v>17</v>
      </c>
      <c r="J13" s="26">
        <f>VLOOKUP($G13, SeanRanks!$A$2:$H$303, 5, FALSE)</f>
        <v>0</v>
      </c>
      <c r="K13" s="11" t="str">
        <f>IF(VLOOKUP($G13, SeanRanks!$A$2:$H$303, 6, FALSE)=0, "", VLOOKUP($G13, SeanRanks!$A$2:$H$303, 6, FALSE))</f>
        <v>WR1 - 3 - Inconsistent</v>
      </c>
      <c r="L13" s="11">
        <f t="shared" si="4"/>
        <v>3</v>
      </c>
      <c r="M13" s="11">
        <f>VLOOKUP($G13, 'ADP Data'!$C$4:$Q$300, 9, FALSE)</f>
        <v>18</v>
      </c>
      <c r="N13" s="11">
        <f t="shared" si="5"/>
        <v>-2</v>
      </c>
      <c r="O13" s="11">
        <f>VLOOKUP($G13, 'ADP Data'!$C$4:$Q$300, 3, FALSE)</f>
        <v>27</v>
      </c>
      <c r="P13" s="11">
        <f t="shared" si="6"/>
        <v>-9</v>
      </c>
      <c r="Q13" s="11">
        <f>VLOOKUP($G13, 'ADP Data'!$C$4:$Q$300, 4, FALSE)</f>
        <v>18</v>
      </c>
      <c r="R13" s="11">
        <f>VLOOKUP($G13, 'ADP Data'!$C$4:$Q$300, 5, FALSE)</f>
        <v>22</v>
      </c>
      <c r="S13" s="11">
        <f>VLOOKUP($G13, 'ADP Data'!$C$4:$Q$300, 6, FALSE)</f>
        <v>23</v>
      </c>
      <c r="T13" s="11">
        <f>VLOOKUP($G13, 'ADP Data'!$C$4:$Q$300, 7, FALSE)</f>
        <v>21</v>
      </c>
      <c r="U13" s="11">
        <f>VLOOKUP($G13, 'ADP Data'!$C$4:$Q$300, 8, FALSE)</f>
        <v>15</v>
      </c>
      <c r="V13" s="11">
        <f t="shared" si="7"/>
        <v>20</v>
      </c>
      <c r="W13" s="11">
        <f t="shared" si="8"/>
        <v>3</v>
      </c>
      <c r="X13" s="11">
        <f t="shared" si="9"/>
        <v>-3</v>
      </c>
      <c r="Y13" s="11">
        <f>VLOOKUP($G13, SeanRanks!$A$2:$K$303, 10, FALSE)-V13</f>
        <v>-2</v>
      </c>
      <c r="Z13" s="25">
        <f>IF(VLOOKUP($G13, SeanRanks!$A$2:$H$303, 7, FALSE)=0, "", VLOOKUP($G13, SeanRanks!$A$2:$H$303, 7, FALSE))</f>
        <v>11</v>
      </c>
    </row>
    <row r="14" spans="1:32" ht="14.25" customHeight="1" x14ac:dyDescent="0.25">
      <c r="A14" s="11"/>
      <c r="B14" s="11">
        <f t="shared" si="3"/>
        <v>1</v>
      </c>
      <c r="C14" s="11" t="s">
        <v>119</v>
      </c>
      <c r="D14" s="11"/>
      <c r="E14" s="11"/>
      <c r="F14" s="11">
        <f>VLOOKUP(G14, SeanRanks!$A$2:$E$302, 4, FALSE)</f>
        <v>0</v>
      </c>
      <c r="G14" s="11" t="s">
        <v>71</v>
      </c>
      <c r="H14" s="11" t="str">
        <f>VLOOKUP($G14, 'ADP Data'!$C$4:$Q$300, 2, FALSE)</f>
        <v>MIN</v>
      </c>
      <c r="I14" s="11">
        <f>VLOOKUP(G14, 'ADP Data'!$C$4:$R$498, 12, FALSE)</f>
        <v>5</v>
      </c>
      <c r="J14" s="26">
        <f>VLOOKUP($G14, SeanRanks!$A$2:$H$303, 5, FALSE)</f>
        <v>0</v>
      </c>
      <c r="K14" s="11" t="str">
        <f>IF(VLOOKUP($G14, SeanRanks!$A$2:$H$303, 6, FALSE)=0, "", VLOOKUP($G14, SeanRanks!$A$2:$H$303, 6, FALSE))</f>
        <v>WR1 - 1 - Elite</v>
      </c>
      <c r="L14" s="11">
        <f t="shared" si="4"/>
        <v>1</v>
      </c>
      <c r="M14" s="11">
        <f>VLOOKUP($G14, 'ADP Data'!$C$4:$Q$300, 9, FALSE)</f>
        <v>5</v>
      </c>
      <c r="N14" s="11">
        <f t="shared" si="5"/>
        <v>0</v>
      </c>
      <c r="O14" s="11">
        <f>VLOOKUP($G14, 'ADP Data'!$C$4:$Q$300, 3, FALSE)</f>
        <v>6</v>
      </c>
      <c r="P14" s="11">
        <f t="shared" si="6"/>
        <v>-1</v>
      </c>
      <c r="Q14" s="11">
        <f>VLOOKUP($G14, 'ADP Data'!$C$4:$Q$300, 4, FALSE)</f>
        <v>4</v>
      </c>
      <c r="R14" s="11">
        <f>VLOOKUP($G14, 'ADP Data'!$C$4:$Q$300, 5, FALSE)</f>
        <v>3</v>
      </c>
      <c r="S14" s="11">
        <f>VLOOKUP($G14, 'ADP Data'!$C$4:$Q$300, 6, FALSE)</f>
        <v>6</v>
      </c>
      <c r="T14" s="11">
        <f>VLOOKUP($G14, 'ADP Data'!$C$4:$Q$300, 7, FALSE)</f>
        <v>6</v>
      </c>
      <c r="U14" s="11">
        <f>VLOOKUP($G14, 'ADP Data'!$C$4:$Q$300, 8, FALSE)</f>
        <v>5</v>
      </c>
      <c r="V14" s="11">
        <f t="shared" si="7"/>
        <v>5</v>
      </c>
      <c r="W14" s="11">
        <f t="shared" si="8"/>
        <v>1</v>
      </c>
      <c r="X14" s="11">
        <f t="shared" si="9"/>
        <v>-1</v>
      </c>
      <c r="Y14" s="11">
        <f>VLOOKUP($G14, SeanRanks!$A$2:$K$303, 10, FALSE)-V14</f>
        <v>1</v>
      </c>
      <c r="Z14" s="25">
        <f>IF(VLOOKUP($G14, SeanRanks!$A$2:$H$303, 7, FALSE)=0, "", VLOOKUP($G14, SeanRanks!$A$2:$H$303, 7, FALSE))</f>
        <v>2</v>
      </c>
    </row>
    <row r="15" spans="1:32" ht="14.25" customHeight="1" x14ac:dyDescent="0.25">
      <c r="A15" s="11"/>
      <c r="B15" s="11">
        <f t="shared" si="3"/>
        <v>1</v>
      </c>
      <c r="C15" s="11" t="s">
        <v>119</v>
      </c>
      <c r="D15" s="11">
        <v>2</v>
      </c>
      <c r="E15" s="11"/>
      <c r="F15" s="11">
        <f>VLOOKUP(G15, SeanRanks!$A$2:$E$302, 4, FALSE)</f>
        <v>0</v>
      </c>
      <c r="G15" s="11" t="s">
        <v>63</v>
      </c>
      <c r="H15" s="11" t="str">
        <f>VLOOKUP($G15, 'ADP Data'!$C$4:$Q$300, 2, FALSE)</f>
        <v>DET</v>
      </c>
      <c r="I15" s="11">
        <f>VLOOKUP(G15, 'ADP Data'!$C$4:$R$498, 12, FALSE)</f>
        <v>9</v>
      </c>
      <c r="J15" s="26">
        <f>VLOOKUP($G15, SeanRanks!$A$2:$H$303, 5, FALSE)</f>
        <v>0</v>
      </c>
      <c r="K15" s="11" t="str">
        <f>IF(VLOOKUP($G15, SeanRanks!$A$2:$H$303, 6, FALSE)=0, "", VLOOKUP($G15, SeanRanks!$A$2:$H$303, 6, FALSE))</f>
        <v>WR1 - 2 - High Floor</v>
      </c>
      <c r="L15" s="11">
        <f t="shared" si="4"/>
        <v>2</v>
      </c>
      <c r="M15" s="11">
        <f>VLOOKUP($G15, 'ADP Data'!$C$4:$Q$300, 9, FALSE)</f>
        <v>8</v>
      </c>
      <c r="N15" s="11">
        <f t="shared" si="5"/>
        <v>-1</v>
      </c>
      <c r="O15" s="11">
        <f>VLOOKUP($G15, 'ADP Data'!$C$4:$Q$300, 3, FALSE)</f>
        <v>12</v>
      </c>
      <c r="P15" s="11">
        <f t="shared" si="6"/>
        <v>-4</v>
      </c>
      <c r="Q15" s="11">
        <f>VLOOKUP($G15, 'ADP Data'!$C$4:$Q$300, 4, FALSE)</f>
        <v>8</v>
      </c>
      <c r="R15" s="11">
        <f>VLOOKUP($G15, 'ADP Data'!$C$4:$Q$300, 5, FALSE)</f>
        <v>11</v>
      </c>
      <c r="S15" s="11">
        <f>VLOOKUP($G15, 'ADP Data'!$C$4:$Q$300, 6, FALSE)</f>
        <v>11</v>
      </c>
      <c r="T15" s="11">
        <f>VLOOKUP($G15, 'ADP Data'!$C$4:$Q$300, 7, FALSE)</f>
        <v>9</v>
      </c>
      <c r="U15" s="11">
        <f>VLOOKUP($G15, 'ADP Data'!$C$4:$Q$300, 8, FALSE)</f>
        <v>8</v>
      </c>
      <c r="V15" s="11">
        <f t="shared" si="7"/>
        <v>9</v>
      </c>
      <c r="W15" s="11">
        <f t="shared" si="8"/>
        <v>2</v>
      </c>
      <c r="X15" s="11">
        <f t="shared" si="9"/>
        <v>0</v>
      </c>
      <c r="Y15" s="11">
        <f>VLOOKUP($G15, SeanRanks!$A$2:$K$303, 10, FALSE)-V15</f>
        <v>-1</v>
      </c>
      <c r="Z15" s="25">
        <f>IF(VLOOKUP($G15, SeanRanks!$A$2:$H$303, 7, FALSE)=0, "", VLOOKUP($G15, SeanRanks!$A$2:$H$303, 7, FALSE))</f>
        <v>6</v>
      </c>
    </row>
    <row r="16" spans="1:32" ht="14.25" customHeight="1" x14ac:dyDescent="0.25">
      <c r="A16" s="11"/>
      <c r="B16" s="11">
        <f t="shared" si="3"/>
        <v>2</v>
      </c>
      <c r="C16" s="11" t="s">
        <v>119</v>
      </c>
      <c r="D16" s="11"/>
      <c r="E16" s="11"/>
      <c r="F16" s="11">
        <f>VLOOKUP(G16, SeanRanks!$A$2:$E$302, 4, FALSE)</f>
        <v>0</v>
      </c>
      <c r="G16" s="11" t="s">
        <v>58</v>
      </c>
      <c r="H16" s="11" t="str">
        <f>VLOOKUP($G16, 'ADP Data'!$C$4:$Q$300, 2, FALSE)</f>
        <v>IND</v>
      </c>
      <c r="I16" s="11">
        <f>VLOOKUP(G16, 'ADP Data'!$C$4:$R$498, 12, FALSE)</f>
        <v>20</v>
      </c>
      <c r="J16" s="21" t="str">
        <f>VLOOKUP($G16, SeanRanks!$A$2:$H$303, 5, FALSE)</f>
        <v>No</v>
      </c>
      <c r="K16" s="11" t="str">
        <f>IF(VLOOKUP($G16, SeanRanks!$A$2:$H$303, 6, FALSE)=0, "", VLOOKUP($G16, SeanRanks!$A$2:$H$303, 6, FALSE))</f>
        <v>RB1 - 2 - Elite ceiling/questions</v>
      </c>
      <c r="L16" s="11">
        <f t="shared" si="4"/>
        <v>3</v>
      </c>
      <c r="M16" s="11">
        <f>VLOOKUP($G16, 'ADP Data'!$C$4:$Q$300, 9, FALSE)</f>
        <v>20</v>
      </c>
      <c r="N16" s="11">
        <f t="shared" si="5"/>
        <v>1</v>
      </c>
      <c r="O16" s="11">
        <f>VLOOKUP($G16, 'ADP Data'!$C$4:$Q$300, 3, FALSE)</f>
        <v>21</v>
      </c>
      <c r="P16" s="11">
        <f t="shared" si="6"/>
        <v>-1</v>
      </c>
      <c r="Q16" s="11">
        <f>VLOOKUP($G16, 'ADP Data'!$C$4:$Q$300, 4, FALSE)</f>
        <v>15</v>
      </c>
      <c r="R16" s="11">
        <f>VLOOKUP($G16, 'ADP Data'!$C$4:$Q$300, 5, FALSE)</f>
        <v>20</v>
      </c>
      <c r="S16" s="11">
        <f>VLOOKUP($G16, 'ADP Data'!$C$4:$Q$300, 6, FALSE)</f>
        <v>21</v>
      </c>
      <c r="T16" s="11">
        <f>VLOOKUP($G16, 'ADP Data'!$C$4:$Q$300, 7, FALSE)</f>
        <v>20</v>
      </c>
      <c r="U16" s="11">
        <f>VLOOKUP($G16, 'ADP Data'!$C$4:$Q$300, 8, FALSE)</f>
        <v>22</v>
      </c>
      <c r="V16" s="11">
        <f t="shared" si="7"/>
        <v>19</v>
      </c>
      <c r="W16" s="11">
        <f t="shared" si="8"/>
        <v>3</v>
      </c>
      <c r="X16" s="11">
        <f t="shared" si="9"/>
        <v>-3</v>
      </c>
      <c r="Y16" s="11">
        <f>VLOOKUP($G16, SeanRanks!$A$2:$K$303, 10, FALSE)-V16</f>
        <v>0</v>
      </c>
      <c r="Z16" s="25">
        <f>IF(VLOOKUP($G16, SeanRanks!$A$2:$H$303, 7, FALSE)=0, "", VLOOKUP($G16, SeanRanks!$A$2:$H$303, 7, FALSE))</f>
        <v>12</v>
      </c>
    </row>
    <row r="17" spans="1:26" ht="14.25" customHeight="1" x14ac:dyDescent="0.25">
      <c r="A17" s="11"/>
      <c r="B17" s="11">
        <f t="shared" si="3"/>
        <v>1</v>
      </c>
      <c r="C17" s="11" t="s">
        <v>119</v>
      </c>
      <c r="D17" s="11">
        <v>2</v>
      </c>
      <c r="E17" s="23"/>
      <c r="F17" s="11">
        <f>VLOOKUP(G17, SeanRanks!$A$2:$E$302, 4, FALSE)</f>
        <v>0</v>
      </c>
      <c r="G17" s="11" t="s">
        <v>48</v>
      </c>
      <c r="H17" s="11" t="str">
        <f>VLOOKUP($G17, 'ADP Data'!$C$4:$Q$300, 2, FALSE)</f>
        <v>LAR</v>
      </c>
      <c r="I17" s="11">
        <f>VLOOKUP(G17, 'ADP Data'!$C$4:$R$498, 12, FALSE)</f>
        <v>13</v>
      </c>
      <c r="J17" s="28">
        <f>VLOOKUP($G17, SeanRanks!$A$2:$H$303, 5, FALSE)</f>
        <v>0</v>
      </c>
      <c r="K17" s="11" t="str">
        <f>IF(VLOOKUP($G17, SeanRanks!$A$2:$H$303, 6, FALSE)=0, "", VLOOKUP($G17, SeanRanks!$A$2:$H$303, 6, FALSE))</f>
        <v>WR1 - 2 - High Floor</v>
      </c>
      <c r="L17" s="11">
        <f t="shared" si="4"/>
        <v>2</v>
      </c>
      <c r="M17" s="11">
        <f>VLOOKUP($G17, 'ADP Data'!$C$4:$Q$300, 9, FALSE)</f>
        <v>11</v>
      </c>
      <c r="N17" s="11">
        <f t="shared" si="5"/>
        <v>0</v>
      </c>
      <c r="O17" s="11">
        <f>VLOOKUP($G17, 'ADP Data'!$C$4:$Q$300, 3, FALSE)</f>
        <v>14</v>
      </c>
      <c r="P17" s="11">
        <f t="shared" si="6"/>
        <v>-3</v>
      </c>
      <c r="Q17" s="11">
        <f>VLOOKUP($G17, 'ADP Data'!$C$4:$Q$300, 4, FALSE)</f>
        <v>9</v>
      </c>
      <c r="R17" s="11">
        <f>VLOOKUP($G17, 'ADP Data'!$C$4:$Q$300, 5, FALSE)</f>
        <v>8</v>
      </c>
      <c r="S17" s="11">
        <f>VLOOKUP($G17, 'ADP Data'!$C$4:$Q$300, 6, FALSE)</f>
        <v>15</v>
      </c>
      <c r="T17" s="11">
        <f>VLOOKUP($G17, 'ADP Data'!$C$4:$Q$300, 7, FALSE)</f>
        <v>14</v>
      </c>
      <c r="U17" s="11">
        <f>VLOOKUP($G17, 'ADP Data'!$C$4:$Q$300, 8, FALSE)</f>
        <v>7</v>
      </c>
      <c r="V17" s="11">
        <f t="shared" si="7"/>
        <v>11</v>
      </c>
      <c r="W17" s="11">
        <f t="shared" si="8"/>
        <v>2</v>
      </c>
      <c r="X17" s="11">
        <f t="shared" si="9"/>
        <v>0</v>
      </c>
      <c r="Y17" s="11">
        <f>VLOOKUP($G17, SeanRanks!$A$2:$K$303, 10, FALSE)-V17</f>
        <v>5</v>
      </c>
      <c r="Z17" s="25">
        <f>IF(VLOOKUP($G17, SeanRanks!$A$2:$H$303, 7, FALSE)=0, "", VLOOKUP($G17, SeanRanks!$A$2:$H$303, 7, FALSE))</f>
        <v>9</v>
      </c>
    </row>
    <row r="18" spans="1:26" ht="14.25" customHeight="1" x14ac:dyDescent="0.25">
      <c r="A18" s="11"/>
      <c r="B18" s="11">
        <f t="shared" si="3"/>
        <v>4</v>
      </c>
      <c r="C18" s="11" t="s">
        <v>119</v>
      </c>
      <c r="D18" s="11"/>
      <c r="E18" s="11"/>
      <c r="F18" s="11">
        <f>VLOOKUP(G18, SeanRanks!$A$2:$E$302, 4, FALSE)</f>
        <v>0</v>
      </c>
      <c r="G18" s="11" t="s">
        <v>152</v>
      </c>
      <c r="H18" s="11" t="str">
        <f>VLOOKUP($G18, 'ADP Data'!$C$4:$Q$300, 2, FALSE)</f>
        <v>NYJ</v>
      </c>
      <c r="I18" s="11">
        <f>VLOOKUP(G18, 'ADP Data'!$C$4:$R$498, 12, FALSE)</f>
        <v>28</v>
      </c>
      <c r="J18" s="28">
        <f>VLOOKUP($G18, SeanRanks!$A$2:$H$303, 5, FALSE)</f>
        <v>0</v>
      </c>
      <c r="K18" s="11" t="str">
        <f>IF(VLOOKUP($G18, SeanRanks!$A$2:$H$303, 6, FALSE)=0, "", VLOOKUP($G18, SeanRanks!$A$2:$H$303, 6, FALSE))</f>
        <v>WR2 - 1 - WR1 upside</v>
      </c>
      <c r="L18" s="11">
        <f t="shared" si="4"/>
        <v>5</v>
      </c>
      <c r="M18" s="11">
        <f>VLOOKUP($G18, 'ADP Data'!$C$4:$Q$300, 9, FALSE)</f>
        <v>34</v>
      </c>
      <c r="N18" s="11">
        <f t="shared" si="5"/>
        <v>-4</v>
      </c>
      <c r="O18" s="11">
        <f>VLOOKUP($G18, 'ADP Data'!$C$4:$Q$300, 3, FALSE)</f>
        <v>51</v>
      </c>
      <c r="P18" s="11">
        <f t="shared" si="6"/>
        <v>-17</v>
      </c>
      <c r="Q18" s="11">
        <f>VLOOKUP($G18, 'ADP Data'!$C$4:$Q$300, 4, FALSE)</f>
        <v>41</v>
      </c>
      <c r="R18" s="11">
        <f>VLOOKUP($G18, 'ADP Data'!$C$4:$Q$300, 5, FALSE)</f>
        <v>37</v>
      </c>
      <c r="S18" s="11">
        <f>VLOOKUP($G18, 'ADP Data'!$C$4:$Q$300, 6, FALSE)</f>
        <v>39</v>
      </c>
      <c r="T18" s="11">
        <f>VLOOKUP($G18, 'ADP Data'!$C$4:$Q$300, 7, FALSE)</f>
        <v>30</v>
      </c>
      <c r="U18" s="11">
        <f>VLOOKUP($G18, 'ADP Data'!$C$4:$Q$300, 8, FALSE)</f>
        <v>37</v>
      </c>
      <c r="V18" s="11">
        <f t="shared" si="7"/>
        <v>38</v>
      </c>
      <c r="W18" s="11">
        <f t="shared" si="8"/>
        <v>5</v>
      </c>
      <c r="X18" s="11">
        <f t="shared" si="9"/>
        <v>-5</v>
      </c>
      <c r="Y18" s="11">
        <f>VLOOKUP($G18, SeanRanks!$A$2:$K$303, 10, FALSE)-V18</f>
        <v>1</v>
      </c>
      <c r="Z18" s="25">
        <f>IF(VLOOKUP($G18, SeanRanks!$A$2:$H$303, 7, FALSE)=0, "", VLOOKUP($G18, SeanRanks!$A$2:$H$303, 7, FALSE))</f>
        <v>17</v>
      </c>
    </row>
    <row r="19" spans="1:26" ht="14.25" customHeight="1" x14ac:dyDescent="0.25">
      <c r="A19" s="11"/>
      <c r="B19" s="11">
        <f t="shared" si="3"/>
        <v>1</v>
      </c>
      <c r="C19" s="11" t="s">
        <v>119</v>
      </c>
      <c r="D19" s="11">
        <v>2</v>
      </c>
      <c r="E19" s="11"/>
      <c r="F19" s="11">
        <f>VLOOKUP(G19, SeanRanks!$A$2:$E$302, 4, FALSE)</f>
        <v>0</v>
      </c>
      <c r="G19" s="11" t="s">
        <v>77</v>
      </c>
      <c r="H19" s="11" t="str">
        <f>VLOOKUP($G19, 'ADP Data'!$C$4:$Q$300, 2, FALSE)</f>
        <v>PHI</v>
      </c>
      <c r="I19" s="11">
        <f>VLOOKUP(G19, 'ADP Data'!$C$4:$R$498, 12, FALSE)</f>
        <v>6</v>
      </c>
      <c r="J19" s="21">
        <f>VLOOKUP($G19, SeanRanks!$A$2:$H$303, 5, FALSE)</f>
        <v>0</v>
      </c>
      <c r="K19" s="11" t="str">
        <f>IF(VLOOKUP($G19, SeanRanks!$A$2:$H$303, 6, FALSE)=0, "", VLOOKUP($G19, SeanRanks!$A$2:$H$303, 6, FALSE))</f>
        <v>RB1 - 1 - Elite floor/ceiling</v>
      </c>
      <c r="L19" s="11">
        <f t="shared" si="4"/>
        <v>1</v>
      </c>
      <c r="M19" s="11">
        <f>VLOOKUP($G19, 'ADP Data'!$C$4:$Q$300, 9, FALSE)</f>
        <v>2</v>
      </c>
      <c r="N19" s="11">
        <f t="shared" si="5"/>
        <v>-2</v>
      </c>
      <c r="O19" s="11">
        <f>VLOOKUP($G19, 'ADP Data'!$C$4:$Q$300, 3, FALSE)</f>
        <v>3</v>
      </c>
      <c r="P19" s="11">
        <f t="shared" si="6"/>
        <v>-1</v>
      </c>
      <c r="Q19" s="11">
        <f>VLOOKUP($G19, 'ADP Data'!$C$4:$Q$300, 4, FALSE)</f>
        <v>3</v>
      </c>
      <c r="R19" s="11">
        <f>VLOOKUP($G19, 'ADP Data'!$C$4:$Q$300, 5, FALSE)</f>
        <v>6</v>
      </c>
      <c r="S19" s="11">
        <f>VLOOKUP($G19, 'ADP Data'!$C$4:$Q$300, 6, FALSE)</f>
        <v>5</v>
      </c>
      <c r="T19" s="11">
        <f>VLOOKUP($G19, 'ADP Data'!$C$4:$Q$300, 7, FALSE)</f>
        <v>5</v>
      </c>
      <c r="U19" s="11">
        <f>VLOOKUP($G19, 'ADP Data'!$C$4:$Q$300, 8, FALSE)</f>
        <v>4</v>
      </c>
      <c r="V19" s="11">
        <f t="shared" si="7"/>
        <v>4</v>
      </c>
      <c r="W19" s="11">
        <f t="shared" si="8"/>
        <v>1</v>
      </c>
      <c r="X19" s="11">
        <f t="shared" si="9"/>
        <v>1</v>
      </c>
      <c r="Y19" s="11">
        <f>VLOOKUP($G19, SeanRanks!$A$2:$K$303, 10, FALSE)-V19</f>
        <v>-1</v>
      </c>
      <c r="Z19" s="25">
        <f>IF(VLOOKUP($G19, SeanRanks!$A$2:$H$303, 7, FALSE)=0, "", VLOOKUP($G19, SeanRanks!$A$2:$H$303, 7, FALSE))</f>
        <v>2</v>
      </c>
    </row>
    <row r="20" spans="1:26" ht="14.25" customHeight="1" x14ac:dyDescent="0.25">
      <c r="A20" s="11"/>
      <c r="B20" s="11">
        <f t="shared" si="3"/>
        <v>1</v>
      </c>
      <c r="C20" s="11" t="s">
        <v>119</v>
      </c>
      <c r="D20" s="11">
        <v>2</v>
      </c>
      <c r="E20" s="11"/>
      <c r="F20" s="11">
        <f>VLOOKUP(G20, SeanRanks!$A$2:$E$302, 4, FALSE)</f>
        <v>0</v>
      </c>
      <c r="G20" s="11" t="s">
        <v>34</v>
      </c>
      <c r="H20" s="11" t="str">
        <f>VLOOKUP($G20, 'ADP Data'!$C$4:$Q$300, 2, FALSE)</f>
        <v>DET</v>
      </c>
      <c r="I20" s="11">
        <f>VLOOKUP(G20, 'ADP Data'!$C$4:$R$498, 12, FALSE)</f>
        <v>4</v>
      </c>
      <c r="J20" s="21">
        <f>VLOOKUP($G20, SeanRanks!$A$2:$H$303, 5, FALSE)</f>
        <v>0</v>
      </c>
      <c r="K20" s="11" t="str">
        <f>IF(VLOOKUP($G20, SeanRanks!$A$2:$H$303, 6, FALSE)=0, "", VLOOKUP($G20, SeanRanks!$A$2:$H$303, 6, FALSE))</f>
        <v>RB1 - 1 - Elite floor/ceiling</v>
      </c>
      <c r="L20" s="11">
        <f t="shared" si="4"/>
        <v>1</v>
      </c>
      <c r="M20" s="11">
        <f>VLOOKUP($G20, 'ADP Data'!$C$4:$Q$300, 9, FALSE)</f>
        <v>4</v>
      </c>
      <c r="N20" s="11">
        <f t="shared" si="5"/>
        <v>0</v>
      </c>
      <c r="O20" s="11">
        <f>VLOOKUP($G20, 'ADP Data'!$C$4:$Q$300, 3, FALSE)</f>
        <v>4</v>
      </c>
      <c r="P20" s="11">
        <f t="shared" si="6"/>
        <v>0</v>
      </c>
      <c r="Q20" s="11">
        <f>VLOOKUP($G20, 'ADP Data'!$C$4:$Q$300, 4, FALSE)</f>
        <v>5</v>
      </c>
      <c r="R20" s="11">
        <f>VLOOKUP($G20, 'ADP Data'!$C$4:$Q$300, 5, FALSE)</f>
        <v>4</v>
      </c>
      <c r="S20" s="11">
        <f>VLOOKUP($G20, 'ADP Data'!$C$4:$Q$300, 6, FALSE)</f>
        <v>3</v>
      </c>
      <c r="T20" s="11">
        <f>VLOOKUP($G20, 'ADP Data'!$C$4:$Q$300, 7, FALSE)</f>
        <v>3</v>
      </c>
      <c r="U20" s="11">
        <f>VLOOKUP($G20, 'ADP Data'!$C$4:$Q$300, 8, FALSE)</f>
        <v>6</v>
      </c>
      <c r="V20" s="11">
        <f t="shared" si="7"/>
        <v>4</v>
      </c>
      <c r="W20" s="11">
        <f t="shared" si="8"/>
        <v>1</v>
      </c>
      <c r="X20" s="11">
        <f t="shared" si="9"/>
        <v>1</v>
      </c>
      <c r="Y20" s="11">
        <f>VLOOKUP($G20, SeanRanks!$A$2:$K$303, 10, FALSE)-V20</f>
        <v>0</v>
      </c>
      <c r="Z20" s="25">
        <f>IF(VLOOKUP($G20, SeanRanks!$A$2:$H$303, 7, FALSE)=0, "", VLOOKUP($G20, SeanRanks!$A$2:$H$303, 7, FALSE))</f>
        <v>3</v>
      </c>
    </row>
    <row r="21" spans="1:26" ht="14.25" customHeight="1" x14ac:dyDescent="0.25">
      <c r="A21" s="11"/>
      <c r="B21" s="11">
        <f t="shared" si="3"/>
        <v>4</v>
      </c>
      <c r="C21" s="11" t="s">
        <v>119</v>
      </c>
      <c r="D21" s="11">
        <v>2</v>
      </c>
      <c r="E21" s="11"/>
      <c r="F21" s="11">
        <f>VLOOKUP(G21, SeanRanks!$A$2:$E$302, 4, FALSE)</f>
        <v>0</v>
      </c>
      <c r="G21" s="11" t="s">
        <v>226</v>
      </c>
      <c r="H21" s="11" t="str">
        <f>VLOOKUP($G21, 'ADP Data'!$C$4:$Q$300, 2, FALSE)</f>
        <v>ARI</v>
      </c>
      <c r="I21" s="11">
        <f>VLOOKUP(G21, 'ADP Data'!$C$4:$R$498, 12, FALSE)</f>
        <v>37</v>
      </c>
      <c r="J21" s="28" t="str">
        <f>VLOOKUP($G21, SeanRanks!$A$2:$H$303, 5, FALSE)</f>
        <v>Yes</v>
      </c>
      <c r="K21" s="11" t="str">
        <f>IF(VLOOKUP($G21, SeanRanks!$A$2:$H$303, 6, FALSE)=0, "", VLOOKUP($G21, SeanRanks!$A$2:$H$303, 6, FALSE))</f>
        <v>WR2 - 1 - WR1 upside</v>
      </c>
      <c r="L21" s="11">
        <f t="shared" si="4"/>
        <v>5</v>
      </c>
      <c r="M21" s="11">
        <f>VLOOKUP($G21, 'ADP Data'!$C$4:$Q$300, 9, FALSE)</f>
        <v>36</v>
      </c>
      <c r="N21" s="11">
        <f t="shared" si="5"/>
        <v>-4</v>
      </c>
      <c r="O21" s="11">
        <f>VLOOKUP($G21, 'ADP Data'!$C$4:$Q$300, 3, FALSE)</f>
        <v>46</v>
      </c>
      <c r="P21" s="11">
        <f t="shared" si="6"/>
        <v>-10</v>
      </c>
      <c r="Q21" s="11">
        <f>VLOOKUP($G21, 'ADP Data'!$C$4:$Q$300, 4, FALSE)</f>
        <v>44</v>
      </c>
      <c r="R21" s="11">
        <f>VLOOKUP($G21, 'ADP Data'!$C$4:$Q$300, 5, FALSE)</f>
        <v>39</v>
      </c>
      <c r="S21" s="11">
        <f>VLOOKUP($G21, 'ADP Data'!$C$4:$Q$300, 6, FALSE)</f>
        <v>41</v>
      </c>
      <c r="T21" s="11">
        <f>VLOOKUP($G21, 'ADP Data'!$C$4:$Q$300, 7, FALSE)</f>
        <v>34</v>
      </c>
      <c r="U21" s="11">
        <f>VLOOKUP($G21, 'ADP Data'!$C$4:$Q$300, 8, FALSE)</f>
        <v>41</v>
      </c>
      <c r="V21" s="11">
        <f t="shared" si="7"/>
        <v>40</v>
      </c>
      <c r="W21" s="11">
        <f t="shared" si="8"/>
        <v>6</v>
      </c>
      <c r="X21" s="11">
        <f t="shared" si="9"/>
        <v>-4</v>
      </c>
      <c r="Y21" s="11">
        <f>VLOOKUP($G21, SeanRanks!$A$2:$K$303, 10, FALSE)-V21</f>
        <v>-3</v>
      </c>
      <c r="Z21" s="25">
        <f>IF(VLOOKUP($G21, SeanRanks!$A$2:$H$303, 7, FALSE)=0, "", VLOOKUP($G21, SeanRanks!$A$2:$H$303, 7, FALSE))</f>
        <v>14</v>
      </c>
    </row>
    <row r="22" spans="1:26" ht="14.25" customHeight="1" x14ac:dyDescent="0.25">
      <c r="A22" s="11" t="s">
        <v>148</v>
      </c>
      <c r="B22" s="11">
        <f t="shared" si="3"/>
        <v>3</v>
      </c>
      <c r="C22" s="11" t="s">
        <v>119</v>
      </c>
      <c r="D22" s="11">
        <v>2</v>
      </c>
      <c r="E22" s="11"/>
      <c r="F22" s="11">
        <f>VLOOKUP(G22, SeanRanks!$A$2:$E$302, 4, FALSE)</f>
        <v>0</v>
      </c>
      <c r="G22" s="11" t="s">
        <v>135</v>
      </c>
      <c r="H22" s="11" t="str">
        <f>VLOOKUP($G22, 'ADP Data'!$C$4:$Q$300, 2, FALSE)</f>
        <v>LAR</v>
      </c>
      <c r="I22" s="11">
        <f>VLOOKUP(G22, 'ADP Data'!$C$4:$R$498, 12, FALSE)</f>
        <v>31</v>
      </c>
      <c r="J22" s="21">
        <f>VLOOKUP($G22, SeanRanks!$A$2:$H$303, 5, FALSE)</f>
        <v>0</v>
      </c>
      <c r="K22" s="11" t="str">
        <f>IF(VLOOKUP($G22, SeanRanks!$A$2:$H$303, 6, FALSE)=0, "", VLOOKUP($G22, SeanRanks!$A$2:$H$303, 6, FALSE))</f>
        <v>RB1 - 2 - Elite ceiling/questions</v>
      </c>
      <c r="L22" s="11">
        <f t="shared" si="4"/>
        <v>4</v>
      </c>
      <c r="M22" s="11">
        <f>VLOOKUP($G22, 'ADP Data'!$C$4:$Q$300, 9, FALSE)</f>
        <v>25</v>
      </c>
      <c r="N22" s="11">
        <f t="shared" si="5"/>
        <v>0</v>
      </c>
      <c r="O22" s="11">
        <f>VLOOKUP($G22, 'ADP Data'!$C$4:$Q$300, 3, FALSE)</f>
        <v>18</v>
      </c>
      <c r="P22" s="11">
        <f t="shared" si="6"/>
        <v>7</v>
      </c>
      <c r="Q22" s="11">
        <f>VLOOKUP($G22, 'ADP Data'!$C$4:$Q$300, 4, FALSE)</f>
        <v>29</v>
      </c>
      <c r="R22" s="11">
        <f>VLOOKUP($G22, 'ADP Data'!$C$4:$Q$300, 5, FALSE)</f>
        <v>30</v>
      </c>
      <c r="S22" s="11">
        <f>VLOOKUP($G22, 'ADP Data'!$C$4:$Q$300, 6, FALSE)</f>
        <v>26</v>
      </c>
      <c r="T22" s="11">
        <f>VLOOKUP($G22, 'ADP Data'!$C$4:$Q$300, 7, FALSE)</f>
        <v>27</v>
      </c>
      <c r="U22" s="11">
        <f>VLOOKUP($G22, 'ADP Data'!$C$4:$Q$300, 8, FALSE)</f>
        <v>25</v>
      </c>
      <c r="V22" s="11">
        <f t="shared" si="7"/>
        <v>25</v>
      </c>
      <c r="W22" s="11">
        <f t="shared" si="8"/>
        <v>4</v>
      </c>
      <c r="X22" s="11">
        <f t="shared" si="9"/>
        <v>-2</v>
      </c>
      <c r="Y22" s="11">
        <f>VLOOKUP($G22, SeanRanks!$A$2:$K$303, 10, FALSE)-V22</f>
        <v>2</v>
      </c>
      <c r="Z22" s="25">
        <f>IF(VLOOKUP($G22, SeanRanks!$A$2:$H$303, 7, FALSE)=0, "", VLOOKUP($G22, SeanRanks!$A$2:$H$303, 7, FALSE))</f>
        <v>11</v>
      </c>
    </row>
    <row r="23" spans="1:26" ht="14.25" customHeight="1" x14ac:dyDescent="0.25">
      <c r="A23" s="11"/>
      <c r="B23" s="11">
        <f t="shared" si="3"/>
        <v>2</v>
      </c>
      <c r="C23" s="11" t="s">
        <v>119</v>
      </c>
      <c r="D23" s="11">
        <v>2</v>
      </c>
      <c r="E23" s="11"/>
      <c r="F23" s="11">
        <f>VLOOKUP(G23, SeanRanks!$A$2:$E$302, 4, FALSE)</f>
        <v>0</v>
      </c>
      <c r="G23" s="11" t="s">
        <v>90</v>
      </c>
      <c r="H23" s="11" t="str">
        <f>VLOOKUP($G23, 'ADP Data'!$C$4:$Q$300, 2, FALSE)</f>
        <v>BAL</v>
      </c>
      <c r="I23" s="11">
        <f>VLOOKUP(G23, 'ADP Data'!$C$4:$R$498, 12, FALSE)</f>
        <v>15</v>
      </c>
      <c r="J23" s="21">
        <f>VLOOKUP($G23, SeanRanks!$A$2:$H$303, 5, FALSE)</f>
        <v>0</v>
      </c>
      <c r="K23" s="11" t="str">
        <f>IF(VLOOKUP($G23, SeanRanks!$A$2:$H$303, 6, FALSE)=0, "", VLOOKUP($G23, SeanRanks!$A$2:$H$303, 6, FALSE))</f>
        <v>RB1 - 2 - Elite ceiling/questions</v>
      </c>
      <c r="L23" s="11">
        <f t="shared" si="4"/>
        <v>1</v>
      </c>
      <c r="M23" s="11">
        <f>VLOOKUP($G23, 'ADP Data'!$C$4:$Q$300, 9, FALSE)</f>
        <v>7</v>
      </c>
      <c r="N23" s="11">
        <f t="shared" si="5"/>
        <v>-3</v>
      </c>
      <c r="O23" s="11">
        <f>VLOOKUP($G23, 'ADP Data'!$C$4:$Q$300, 3, FALSE)</f>
        <v>7</v>
      </c>
      <c r="P23" s="11">
        <f t="shared" si="6"/>
        <v>0</v>
      </c>
      <c r="Q23" s="11">
        <f>VLOOKUP($G23, 'ADP Data'!$C$4:$Q$300, 4, FALSE)</f>
        <v>12</v>
      </c>
      <c r="R23" s="11">
        <f>VLOOKUP($G23, 'ADP Data'!$C$4:$Q$300, 5, FALSE)</f>
        <v>13</v>
      </c>
      <c r="S23" s="11">
        <f>VLOOKUP($G23, 'ADP Data'!$C$4:$Q$300, 6, FALSE)</f>
        <v>14</v>
      </c>
      <c r="T23" s="11">
        <f>VLOOKUP($G23, 'ADP Data'!$C$4:$Q$300, 7, FALSE)</f>
        <v>13</v>
      </c>
      <c r="U23" s="11">
        <f>VLOOKUP($G23, 'ADP Data'!$C$4:$Q$300, 8, FALSE)</f>
        <v>10</v>
      </c>
      <c r="V23" s="11">
        <f t="shared" si="7"/>
        <v>10</v>
      </c>
      <c r="W23" s="11">
        <f t="shared" si="8"/>
        <v>2</v>
      </c>
      <c r="X23" s="11">
        <f t="shared" si="9"/>
        <v>0</v>
      </c>
      <c r="Y23" s="11">
        <f>VLOOKUP($G23, SeanRanks!$A$2:$K$303, 10, FALSE)-V23</f>
        <v>1</v>
      </c>
      <c r="Z23" s="25">
        <f>IF(VLOOKUP($G23, SeanRanks!$A$2:$H$303, 7, FALSE)=0, "", VLOOKUP($G23, SeanRanks!$A$2:$H$303, 7, FALSE))</f>
        <v>8</v>
      </c>
    </row>
    <row r="24" spans="1:26" ht="14.25" customHeight="1" x14ac:dyDescent="0.25">
      <c r="A24" s="11"/>
      <c r="B24" s="11">
        <f t="shared" si="3"/>
        <v>7</v>
      </c>
      <c r="C24" s="11" t="s">
        <v>119</v>
      </c>
      <c r="D24" s="11"/>
      <c r="E24" s="11"/>
      <c r="F24" s="11">
        <f>VLOOKUP(G24, SeanRanks!$A$2:$E$302, 4, FALSE)</f>
        <v>0</v>
      </c>
      <c r="G24" s="11" t="s">
        <v>128</v>
      </c>
      <c r="H24" s="11" t="str">
        <f>VLOOKUP($G24, 'ADP Data'!$C$4:$Q$300, 2, FALSE)</f>
        <v>NO</v>
      </c>
      <c r="I24" s="11">
        <f>VLOOKUP(G24, 'ADP Data'!$C$4:$R$498, 12, FALSE)</f>
        <v>71</v>
      </c>
      <c r="J24" s="28">
        <f>VLOOKUP($G24, SeanRanks!$A$2:$H$303, 5, FALSE)</f>
        <v>0</v>
      </c>
      <c r="K24" s="11" t="str">
        <f>IF(VLOOKUP($G24, SeanRanks!$A$2:$H$303, 6, FALSE)=0, "", VLOOKUP($G24, SeanRanks!$A$2:$H$303, 6, FALSE))</f>
        <v>WR3 - 2 - mid, but path to big upside</v>
      </c>
      <c r="L24" s="11">
        <f t="shared" si="4"/>
        <v>10</v>
      </c>
      <c r="M24" s="11">
        <f>VLOOKUP($G24, 'ADP Data'!$C$4:$Q$300, 9, FALSE)</f>
        <v>73</v>
      </c>
      <c r="N24" s="11">
        <f t="shared" si="5"/>
        <v>-9</v>
      </c>
      <c r="O24" s="11">
        <f>VLOOKUP($G24, 'ADP Data'!$C$4:$Q$300, 3, FALSE)</f>
        <v>101</v>
      </c>
      <c r="P24" s="11">
        <f t="shared" si="6"/>
        <v>-28</v>
      </c>
      <c r="Q24" s="11">
        <f>VLOOKUP($G24, 'ADP Data'!$C$4:$Q$300, 4, FALSE)</f>
        <v>84</v>
      </c>
      <c r="R24" s="11">
        <f>VLOOKUP($G24, 'ADP Data'!$C$4:$Q$300, 5, FALSE)</f>
        <v>78</v>
      </c>
      <c r="S24" s="11">
        <f>VLOOKUP($G24, 'ADP Data'!$C$4:$Q$300, 6, FALSE)</f>
        <v>82</v>
      </c>
      <c r="T24" s="11">
        <f>VLOOKUP($G24, 'ADP Data'!$C$4:$Q$300, 7, FALSE)</f>
        <v>72</v>
      </c>
      <c r="U24" s="11">
        <f>VLOOKUP($G24, 'ADP Data'!$C$4:$Q$300, 8, FALSE)</f>
        <v>87</v>
      </c>
      <c r="V24" s="11">
        <f t="shared" si="7"/>
        <v>82</v>
      </c>
      <c r="W24" s="11">
        <f t="shared" si="8"/>
        <v>11</v>
      </c>
      <c r="X24" s="11">
        <f t="shared" si="9"/>
        <v>-11</v>
      </c>
      <c r="Y24" s="11">
        <f>VLOOKUP($G24, SeanRanks!$A$2:$K$303, 10, FALSE)-V24</f>
        <v>-16</v>
      </c>
      <c r="Z24" s="25">
        <f>IF(VLOOKUP($G24, SeanRanks!$A$2:$H$303, 7, FALSE)=0, "", VLOOKUP($G24, SeanRanks!$A$2:$H$303, 7, FALSE))</f>
        <v>32</v>
      </c>
    </row>
    <row r="25" spans="1:26" ht="14.25" customHeight="1" x14ac:dyDescent="0.25">
      <c r="A25" s="11"/>
      <c r="B25" s="11">
        <f t="shared" si="3"/>
        <v>6</v>
      </c>
      <c r="C25" s="11" t="s">
        <v>119</v>
      </c>
      <c r="D25" s="11">
        <v>2</v>
      </c>
      <c r="E25" s="11"/>
      <c r="F25" s="11">
        <f>VLOOKUP(G25, SeanRanks!$A$2:$E$302, 4, FALSE)</f>
        <v>0</v>
      </c>
      <c r="G25" s="11" t="s">
        <v>415</v>
      </c>
      <c r="H25" s="11" t="str">
        <f>VLOOKUP($G25, 'ADP Data'!$C$4:$Q$300, 2, FALSE)</f>
        <v>KC</v>
      </c>
      <c r="I25" s="11">
        <f>VLOOKUP(G25, 'ADP Data'!$C$4:$R$498, 12, FALSE)</f>
        <v>68</v>
      </c>
      <c r="J25" s="21">
        <f>VLOOKUP($G25, SeanRanks!$A$2:$H$303, 5, FALSE)</f>
        <v>0</v>
      </c>
      <c r="K25" s="11" t="str">
        <f>IF(VLOOKUP($G25, SeanRanks!$A$2:$H$303, 6, FALSE)=0, "", VLOOKUP($G25, SeanRanks!$A$2:$H$303, 6, FALSE))</f>
        <v>RB2 - 2 - Path to spikes</v>
      </c>
      <c r="L25" s="11">
        <f t="shared" si="4"/>
        <v>8</v>
      </c>
      <c r="M25" s="11">
        <f>VLOOKUP($G25, 'ADP Data'!$C$4:$Q$300, 9, FALSE)</f>
        <v>61</v>
      </c>
      <c r="N25" s="11">
        <f t="shared" si="5"/>
        <v>-4</v>
      </c>
      <c r="O25" s="11">
        <f>VLOOKUP($G25, 'ADP Data'!$C$4:$Q$300, 3, FALSE)</f>
        <v>66</v>
      </c>
      <c r="P25" s="11">
        <f t="shared" si="6"/>
        <v>-5</v>
      </c>
      <c r="Q25" s="11">
        <f>VLOOKUP($G25, 'ADP Data'!$C$4:$Q$300, 4, FALSE)</f>
        <v>63</v>
      </c>
      <c r="R25" s="11">
        <f>VLOOKUP($G25, 'ADP Data'!$C$4:$Q$300, 5, FALSE)</f>
        <v>77</v>
      </c>
      <c r="S25" s="11">
        <f>VLOOKUP($G25, 'ADP Data'!$C$4:$Q$300, 6, FALSE)</f>
        <v>62</v>
      </c>
      <c r="T25" s="11">
        <f>VLOOKUP($G25, 'ADP Data'!$C$4:$Q$300, 7, FALSE)</f>
        <v>67</v>
      </c>
      <c r="U25" s="11">
        <f>VLOOKUP($G25, 'ADP Data'!$C$4:$Q$300, 8, FALSE)</f>
        <v>59</v>
      </c>
      <c r="V25" s="11">
        <f t="shared" si="7"/>
        <v>65</v>
      </c>
      <c r="W25" s="11">
        <f t="shared" si="8"/>
        <v>9</v>
      </c>
      <c r="X25" s="11">
        <f t="shared" si="9"/>
        <v>-7</v>
      </c>
      <c r="Y25" s="11">
        <f>VLOOKUP($G25, SeanRanks!$A$2:$K$303, 10, FALSE)-V25</f>
        <v>0</v>
      </c>
      <c r="Z25" s="25">
        <f>IF(VLOOKUP($G25, SeanRanks!$A$2:$H$303, 7, FALSE)=0, "", VLOOKUP($G25, SeanRanks!$A$2:$H$303, 7, FALSE))</f>
        <v>23</v>
      </c>
    </row>
    <row r="26" spans="1:26" ht="14.25" customHeight="1" x14ac:dyDescent="0.25">
      <c r="A26" s="11"/>
      <c r="B26" s="11">
        <f t="shared" si="3"/>
        <v>4</v>
      </c>
      <c r="C26" s="11" t="s">
        <v>119</v>
      </c>
      <c r="D26" s="11">
        <v>2</v>
      </c>
      <c r="E26" s="11"/>
      <c r="F26" s="11">
        <f>VLOOKUP(G26, SeanRanks!$A$2:$E$302, 4, FALSE)</f>
        <v>0</v>
      </c>
      <c r="G26" s="11" t="s">
        <v>192</v>
      </c>
      <c r="H26" s="11" t="str">
        <f>VLOOKUP($G26, 'ADP Data'!$C$4:$Q$300, 2, FALSE)</f>
        <v>LAR</v>
      </c>
      <c r="I26" s="11">
        <f>VLOOKUP(G26, 'ADP Data'!$C$4:$R$498, 12, FALSE)</f>
        <v>41</v>
      </c>
      <c r="J26" s="28">
        <f>VLOOKUP($G26, SeanRanks!$A$2:$H$303, 5, FALSE)</f>
        <v>0</v>
      </c>
      <c r="K26" s="11" t="str">
        <f>IF(VLOOKUP($G26, SeanRanks!$A$2:$H$303, 6, FALSE)=0, "", VLOOKUP($G26, SeanRanks!$A$2:$H$303, 6, FALSE))</f>
        <v>WR2 - 2 - Upside with risk</v>
      </c>
      <c r="L26" s="11">
        <f t="shared" si="4"/>
        <v>6</v>
      </c>
      <c r="M26" s="11">
        <f>VLOOKUP($G26, 'ADP Data'!$C$4:$Q$300, 9, FALSE)</f>
        <v>44</v>
      </c>
      <c r="N26" s="11">
        <f t="shared" si="5"/>
        <v>3</v>
      </c>
      <c r="O26" s="11">
        <f>VLOOKUP($G26, 'ADP Data'!$C$4:$Q$300, 3, FALSE)</f>
        <v>34</v>
      </c>
      <c r="P26" s="11">
        <f t="shared" si="6"/>
        <v>10</v>
      </c>
      <c r="Q26" s="11">
        <f>VLOOKUP($G26, 'ADP Data'!$C$4:$Q$300, 4, FALSE)</f>
        <v>34</v>
      </c>
      <c r="R26" s="11">
        <f>VLOOKUP($G26, 'ADP Data'!$C$4:$Q$300, 5, FALSE)</f>
        <v>47</v>
      </c>
      <c r="S26" s="11">
        <f>VLOOKUP($G26, 'ADP Data'!$C$4:$Q$300, 6, FALSE)</f>
        <v>43</v>
      </c>
      <c r="T26" s="11">
        <f>VLOOKUP($G26, 'ADP Data'!$C$4:$Q$300, 7, FALSE)</f>
        <v>37</v>
      </c>
      <c r="U26" s="11">
        <f>VLOOKUP($G26, 'ADP Data'!$C$4:$Q$300, 8, FALSE)</f>
        <v>48</v>
      </c>
      <c r="V26" s="11">
        <f t="shared" si="7"/>
        <v>41</v>
      </c>
      <c r="W26" s="11">
        <f t="shared" si="8"/>
        <v>6</v>
      </c>
      <c r="X26" s="11">
        <f t="shared" si="9"/>
        <v>-4</v>
      </c>
      <c r="Y26" s="11">
        <f>VLOOKUP($G26, SeanRanks!$A$2:$K$303, 10, FALSE)-V26</f>
        <v>2</v>
      </c>
      <c r="Z26" s="25">
        <f>IF(VLOOKUP($G26, SeanRanks!$A$2:$H$303, 7, FALSE)=0, "", VLOOKUP($G26, SeanRanks!$A$2:$H$303, 7, FALSE))</f>
        <v>19</v>
      </c>
    </row>
    <row r="27" spans="1:26" ht="14.25" customHeight="1" x14ac:dyDescent="0.25">
      <c r="A27" s="11"/>
      <c r="B27" s="11">
        <f t="shared" si="3"/>
        <v>9</v>
      </c>
      <c r="C27" s="11" t="s">
        <v>119</v>
      </c>
      <c r="D27" s="11">
        <v>2</v>
      </c>
      <c r="E27" s="23"/>
      <c r="F27" s="11">
        <f>VLOOKUP(G27, SeanRanks!$A$2:$E$302, 4, FALSE)</f>
        <v>0</v>
      </c>
      <c r="G27" s="11" t="s">
        <v>157</v>
      </c>
      <c r="H27" s="11" t="str">
        <f>VLOOKUP($G27, 'ADP Data'!$C$4:$Q$300, 2, FALSE)</f>
        <v>JAX</v>
      </c>
      <c r="I27" s="11">
        <f>VLOOKUP(G27, 'ADP Data'!$C$4:$R$498, 12, FALSE)</f>
        <v>101</v>
      </c>
      <c r="J27" s="39">
        <f>VLOOKUP($G27, SeanRanks!$A$2:$H$303, 5, FALSE)</f>
        <v>0</v>
      </c>
      <c r="K27" s="11" t="str">
        <f>IF(VLOOKUP($G27, SeanRanks!$A$2:$H$303, 6, FALSE)=0, "", VLOOKUP($G27, SeanRanks!$A$2:$H$303, 6, FALSE))</f>
        <v>RB3 - 2 - low ceiling</v>
      </c>
      <c r="L27" s="11">
        <f t="shared" si="4"/>
        <v>11</v>
      </c>
      <c r="M27" s="11">
        <f>VLOOKUP($G27, 'ADP Data'!$C$4:$Q$300, 9, FALSE)</f>
        <v>85</v>
      </c>
      <c r="N27" s="11">
        <f t="shared" si="5"/>
        <v>-14</v>
      </c>
      <c r="O27" s="11">
        <f>VLOOKUP($G27, 'ADP Data'!$C$4:$Q$300, 3, FALSE)</f>
        <v>90</v>
      </c>
      <c r="P27" s="11">
        <f t="shared" si="6"/>
        <v>-5</v>
      </c>
      <c r="Q27" s="11">
        <f>VLOOKUP($G27, 'ADP Data'!$C$4:$Q$300, 4, FALSE)</f>
        <v>116</v>
      </c>
      <c r="R27" s="11">
        <f>VLOOKUP($G27, 'ADP Data'!$C$4:$Q$300, 5, FALSE)</f>
        <v>102</v>
      </c>
      <c r="S27" s="11">
        <f>VLOOKUP($G27, 'ADP Data'!$C$4:$Q$300, 6, FALSE)</f>
        <v>94</v>
      </c>
      <c r="T27" s="11">
        <f>VLOOKUP($G27, 'ADP Data'!$C$4:$Q$300, 7, FALSE)</f>
        <v>90</v>
      </c>
      <c r="U27" s="11">
        <f>VLOOKUP($G27, 'ADP Data'!$C$4:$Q$300, 8, FALSE)</f>
        <v>121</v>
      </c>
      <c r="V27" s="11">
        <f t="shared" si="7"/>
        <v>99</v>
      </c>
      <c r="W27" s="11">
        <f t="shared" si="8"/>
        <v>13</v>
      </c>
      <c r="X27" s="11">
        <f t="shared" si="9"/>
        <v>-11</v>
      </c>
      <c r="Y27" s="11">
        <f>VLOOKUP($G27, SeanRanks!$A$2:$K$303, 10, FALSE)-V27</f>
        <v>-3</v>
      </c>
      <c r="Z27" s="25">
        <f>IF(VLOOKUP($G27, SeanRanks!$A$2:$H$303, 7, FALSE)=0, "", VLOOKUP($G27, SeanRanks!$A$2:$H$303, 7, FALSE))</f>
        <v>33</v>
      </c>
    </row>
    <row r="28" spans="1:26" ht="14.25" customHeight="1" x14ac:dyDescent="0.25">
      <c r="A28" s="11" t="s">
        <v>148</v>
      </c>
      <c r="B28" s="11">
        <f t="shared" si="3"/>
        <v>2</v>
      </c>
      <c r="C28" s="11" t="s">
        <v>119</v>
      </c>
      <c r="D28" s="11"/>
      <c r="E28" s="11"/>
      <c r="F28" s="11">
        <f>VLOOKUP(G28, SeanRanks!$A$2:$E$302, 4, FALSE)</f>
        <v>0</v>
      </c>
      <c r="G28" s="11" t="s">
        <v>109</v>
      </c>
      <c r="H28" s="11" t="str">
        <f>VLOOKUP($G28, 'ADP Data'!$C$4:$Q$300, 2, FALSE)</f>
        <v>ATL</v>
      </c>
      <c r="I28" s="11">
        <f>VLOOKUP(G28, 'ADP Data'!$C$4:$R$498, 12, FALSE)</f>
        <v>14</v>
      </c>
      <c r="J28" s="40">
        <f>VLOOKUP($G28, SeanRanks!$A$2:$H$303, 5, FALSE)</f>
        <v>0</v>
      </c>
      <c r="K28" s="11" t="str">
        <f>IF(VLOOKUP($G28, SeanRanks!$A$2:$H$303, 6, FALSE)=0, "", VLOOKUP($G28, SeanRanks!$A$2:$H$303, 6, FALSE))</f>
        <v>WR1 - 2 - High Floor</v>
      </c>
      <c r="L28" s="11">
        <f t="shared" si="4"/>
        <v>3</v>
      </c>
      <c r="M28" s="11">
        <f>VLOOKUP($G28, 'ADP Data'!$C$4:$Q$300, 9, FALSE)</f>
        <v>17</v>
      </c>
      <c r="N28" s="11">
        <f t="shared" si="5"/>
        <v>-1</v>
      </c>
      <c r="O28" s="11">
        <f>VLOOKUP($G28, 'ADP Data'!$C$4:$Q$300, 3, FALSE)</f>
        <v>23</v>
      </c>
      <c r="P28" s="11">
        <f t="shared" si="6"/>
        <v>-6</v>
      </c>
      <c r="Q28" s="11">
        <f>VLOOKUP($G28, 'ADP Data'!$C$4:$Q$300, 4, FALSE)</f>
        <v>21</v>
      </c>
      <c r="R28" s="11">
        <f>VLOOKUP($G28, 'ADP Data'!$C$4:$Q$300, 5, FALSE)</f>
        <v>16</v>
      </c>
      <c r="S28" s="11">
        <f>VLOOKUP($G28, 'ADP Data'!$C$4:$Q$300, 6, FALSE)</f>
        <v>19</v>
      </c>
      <c r="T28" s="11">
        <f>VLOOKUP($G28, 'ADP Data'!$C$4:$Q$300, 7, FALSE)</f>
        <v>15</v>
      </c>
      <c r="U28" s="11">
        <f>VLOOKUP($G28, 'ADP Data'!$C$4:$Q$300, 8, FALSE)</f>
        <v>20</v>
      </c>
      <c r="V28" s="11">
        <f t="shared" si="7"/>
        <v>18</v>
      </c>
      <c r="W28" s="11">
        <f t="shared" si="8"/>
        <v>3</v>
      </c>
      <c r="X28" s="11">
        <f t="shared" si="9"/>
        <v>-3</v>
      </c>
      <c r="Y28" s="11">
        <f>VLOOKUP($G28, SeanRanks!$A$2:$K$303, 10, FALSE)-V28</f>
        <v>-6</v>
      </c>
      <c r="Z28" s="25">
        <f>IF(VLOOKUP($G28, SeanRanks!$A$2:$H$303, 7, FALSE)=0, "", VLOOKUP($G28, SeanRanks!$A$2:$H$303, 7, FALSE))</f>
        <v>7</v>
      </c>
    </row>
    <row r="29" spans="1:26" ht="14.25" customHeight="1" x14ac:dyDescent="0.25">
      <c r="A29" s="11"/>
      <c r="B29" s="11">
        <f t="shared" si="3"/>
        <v>2</v>
      </c>
      <c r="C29" s="11" t="s">
        <v>119</v>
      </c>
      <c r="D29" s="11"/>
      <c r="E29" s="11"/>
      <c r="F29" s="11">
        <f>VLOOKUP(G29, SeanRanks!$A$2:$E$302, 4, FALSE)</f>
        <v>0</v>
      </c>
      <c r="G29" s="11" t="s">
        <v>80</v>
      </c>
      <c r="H29" s="11" t="str">
        <f>VLOOKUP($G29, 'ADP Data'!$C$4:$Q$300, 2, FALSE)</f>
        <v>MIA</v>
      </c>
      <c r="I29" s="11">
        <f>VLOOKUP(G29, 'ADP Data'!$C$4:$R$498, 12, FALSE)</f>
        <v>18</v>
      </c>
      <c r="J29" s="21">
        <f>VLOOKUP($G29, SeanRanks!$A$2:$H$303, 5, FALSE)</f>
        <v>0</v>
      </c>
      <c r="K29" s="11" t="str">
        <f>IF(VLOOKUP($G29, SeanRanks!$A$2:$H$303, 6, FALSE)=0, "", VLOOKUP($G29, SeanRanks!$A$2:$H$303, 6, FALSE))</f>
        <v>RB1 - 2 - Elite ceiling/questions</v>
      </c>
      <c r="L29" s="11">
        <f t="shared" si="4"/>
        <v>2</v>
      </c>
      <c r="M29" s="11">
        <f>VLOOKUP($G29, 'ADP Data'!$C$4:$Q$300, 9, FALSE)</f>
        <v>14</v>
      </c>
      <c r="N29" s="11">
        <f t="shared" si="5"/>
        <v>-1</v>
      </c>
      <c r="O29" s="11">
        <f>VLOOKUP($G29, 'ADP Data'!$C$4:$Q$300, 3, FALSE)</f>
        <v>16</v>
      </c>
      <c r="P29" s="11">
        <f t="shared" si="6"/>
        <v>-2</v>
      </c>
      <c r="Q29" s="11">
        <f>VLOOKUP($G29, 'ADP Data'!$C$4:$Q$300, 4, FALSE)</f>
        <v>14</v>
      </c>
      <c r="R29" s="11">
        <f>VLOOKUP($G29, 'ADP Data'!$C$4:$Q$300, 5, FALSE)</f>
        <v>15</v>
      </c>
      <c r="S29" s="11">
        <f>VLOOKUP($G29, 'ADP Data'!$C$4:$Q$300, 6, FALSE)</f>
        <v>18</v>
      </c>
      <c r="T29" s="11">
        <f>VLOOKUP($G29, 'ADP Data'!$C$4:$Q$300, 7, FALSE)</f>
        <v>16</v>
      </c>
      <c r="U29" s="11">
        <f>VLOOKUP($G29, 'ADP Data'!$C$4:$Q$300, 8, FALSE)</f>
        <v>14</v>
      </c>
      <c r="V29" s="11">
        <f t="shared" si="7"/>
        <v>15</v>
      </c>
      <c r="W29" s="11">
        <f t="shared" si="8"/>
        <v>2</v>
      </c>
      <c r="X29" s="11">
        <f t="shared" si="9"/>
        <v>-2</v>
      </c>
      <c r="Y29" s="11">
        <f>VLOOKUP($G29, SeanRanks!$A$2:$K$303, 10, FALSE)-V29</f>
        <v>5</v>
      </c>
      <c r="Z29" s="25">
        <f>IF(VLOOKUP($G29, SeanRanks!$A$2:$H$303, 7, FALSE)=0, "", VLOOKUP($G29, SeanRanks!$A$2:$H$303, 7, FALSE))</f>
        <v>6</v>
      </c>
    </row>
    <row r="30" spans="1:26" ht="14.25" customHeight="1" x14ac:dyDescent="0.25">
      <c r="A30" s="11" t="s">
        <v>148</v>
      </c>
      <c r="B30" s="11">
        <f t="shared" si="3"/>
        <v>6</v>
      </c>
      <c r="C30" s="11" t="s">
        <v>119</v>
      </c>
      <c r="D30" s="11">
        <v>3</v>
      </c>
      <c r="E30" s="11"/>
      <c r="F30" s="11">
        <f>VLOOKUP(G30, SeanRanks!$A$2:$E$302, 4, FALSE)</f>
        <v>0</v>
      </c>
      <c r="G30" s="11" t="s">
        <v>312</v>
      </c>
      <c r="H30" s="11" t="str">
        <f>VLOOKUP($G30, 'ADP Data'!$C$4:$Q$300, 2, FALSE)</f>
        <v>KC</v>
      </c>
      <c r="I30" s="11">
        <f>VLOOKUP(G30, 'ADP Data'!$C$4:$R$498, 12, FALSE)</f>
        <v>79</v>
      </c>
      <c r="J30" s="41" t="str">
        <f>VLOOKUP($G30, SeanRanks!$A$2:$H$303, 5, FALSE)</f>
        <v>No</v>
      </c>
      <c r="K30" s="11" t="str">
        <f>IF(VLOOKUP($G30, SeanRanks!$A$2:$H$303, 6, FALSE)=0, "", VLOOKUP($G30, SeanRanks!$A$2:$H$303, 6, FALSE))</f>
        <v>TE1 - 3 - Weekly Start</v>
      </c>
      <c r="L30" s="11">
        <f t="shared" si="4"/>
        <v>9</v>
      </c>
      <c r="M30" s="11">
        <f>VLOOKUP($G30, 'ADP Data'!$C$4:$Q$300, 9, FALSE)</f>
        <v>67</v>
      </c>
      <c r="N30" s="11">
        <f t="shared" si="5"/>
        <v>-1</v>
      </c>
      <c r="O30" s="11">
        <f>VLOOKUP($G30, 'ADP Data'!$C$4:$Q$300, 3, FALSE)</f>
        <v>61</v>
      </c>
      <c r="P30" s="11">
        <f t="shared" si="6"/>
        <v>6</v>
      </c>
      <c r="Q30" s="11">
        <f>VLOOKUP($G30, 'ADP Data'!$C$4:$Q$300, 4, FALSE)</f>
        <v>57</v>
      </c>
      <c r="R30" s="11">
        <f>VLOOKUP($G30, 'ADP Data'!$C$4:$Q$300, 5, FALSE)</f>
        <v>88</v>
      </c>
      <c r="S30" s="11">
        <f>VLOOKUP($G30, 'ADP Data'!$C$4:$Q$300, 6, FALSE)</f>
        <v>63</v>
      </c>
      <c r="T30" s="11">
        <f>VLOOKUP($G30, 'ADP Data'!$C$4:$Q$300, 7, FALSE)</f>
        <v>82</v>
      </c>
      <c r="U30" s="11">
        <f>VLOOKUP($G30, 'ADP Data'!$C$4:$Q$300, 8, FALSE)</f>
        <v>58</v>
      </c>
      <c r="V30" s="11">
        <f t="shared" si="7"/>
        <v>68</v>
      </c>
      <c r="W30" s="11">
        <f t="shared" si="8"/>
        <v>9</v>
      </c>
      <c r="X30" s="11">
        <f t="shared" si="9"/>
        <v>-6</v>
      </c>
      <c r="Y30" s="11">
        <f>VLOOKUP($G30, SeanRanks!$A$2:$K$303, 10, FALSE)-V30</f>
        <v>14</v>
      </c>
      <c r="Z30" s="25">
        <f>IF(VLOOKUP($G30, SeanRanks!$A$2:$H$303, 7, FALSE)=0, "", VLOOKUP($G30, SeanRanks!$A$2:$H$303, 7, FALSE))</f>
        <v>9</v>
      </c>
    </row>
    <row r="31" spans="1:26" ht="14.25" customHeight="1" x14ac:dyDescent="0.25">
      <c r="A31" s="11"/>
      <c r="B31" s="11">
        <f t="shared" si="3"/>
        <v>8</v>
      </c>
      <c r="C31" s="11" t="s">
        <v>119</v>
      </c>
      <c r="D31" s="11">
        <v>2</v>
      </c>
      <c r="E31" s="11"/>
      <c r="F31" s="11">
        <f>VLOOKUP(G31, SeanRanks!$A$2:$E$302, 4, FALSE)</f>
        <v>0</v>
      </c>
      <c r="G31" s="11" t="s">
        <v>362</v>
      </c>
      <c r="H31" s="11" t="str">
        <f>VLOOKUP($G31, 'ADP Data'!$C$4:$Q$300, 2, FALSE)</f>
        <v>WAS</v>
      </c>
      <c r="I31" s="11">
        <f>VLOOKUP(G31, 'ADP Data'!$C$4:$R$498, 12, FALSE)</f>
        <v>69</v>
      </c>
      <c r="J31" s="40" t="str">
        <f>VLOOKUP($G31, SeanRanks!$A$2:$H$303, 5, FALSE)</f>
        <v>Yes</v>
      </c>
      <c r="K31" s="11" t="str">
        <f>IF(VLOOKUP($G31, SeanRanks!$A$2:$H$303, 6, FALSE)=0, "", VLOOKUP($G31, SeanRanks!$A$2:$H$303, 6, FALSE))</f>
        <v>WR4 - 1 - path to WR2</v>
      </c>
      <c r="L31" s="11">
        <f t="shared" si="4"/>
        <v>11</v>
      </c>
      <c r="M31" s="11">
        <f>VLOOKUP($G31, 'ADP Data'!$C$4:$Q$300, 9, FALSE)</f>
        <v>84</v>
      </c>
      <c r="N31" s="11">
        <f t="shared" si="5"/>
        <v>0</v>
      </c>
      <c r="O31" s="11">
        <f>VLOOKUP($G31, 'ADP Data'!$C$4:$Q$300, 3, FALSE)</f>
        <v>75</v>
      </c>
      <c r="P31" s="11">
        <f t="shared" si="6"/>
        <v>9</v>
      </c>
      <c r="Q31" s="11">
        <f>VLOOKUP($G31, 'ADP Data'!$C$4:$Q$300, 4, FALSE)</f>
        <v>95</v>
      </c>
      <c r="R31" s="11">
        <f>VLOOKUP($G31, 'ADP Data'!$C$4:$Q$300, 5, FALSE)</f>
        <v>83</v>
      </c>
      <c r="S31" s="11">
        <f>VLOOKUP($G31, 'ADP Data'!$C$4:$Q$300, 6, FALSE)</f>
        <v>83</v>
      </c>
      <c r="T31" s="11">
        <f>VLOOKUP($G31, 'ADP Data'!$C$4:$Q$300, 7, FALSE)</f>
        <v>75</v>
      </c>
      <c r="U31" s="11">
        <f>VLOOKUP($G31, 'ADP Data'!$C$4:$Q$300, 8, FALSE)</f>
        <v>96</v>
      </c>
      <c r="V31" s="11">
        <f t="shared" si="7"/>
        <v>84</v>
      </c>
      <c r="W31" s="11">
        <f t="shared" si="8"/>
        <v>11</v>
      </c>
      <c r="X31" s="11">
        <f t="shared" si="9"/>
        <v>-9</v>
      </c>
      <c r="Y31" s="11">
        <f>VLOOKUP($G31, SeanRanks!$A$2:$K$303, 10, FALSE)-V31</f>
        <v>10</v>
      </c>
      <c r="Z31" s="25">
        <f>IF(VLOOKUP($G31, SeanRanks!$A$2:$H$303, 7, FALSE)=0, "", VLOOKUP($G31, SeanRanks!$A$2:$H$303, 7, FALSE))</f>
        <v>41</v>
      </c>
    </row>
    <row r="32" spans="1:26" ht="14.25" customHeight="1" x14ac:dyDescent="0.25">
      <c r="A32" s="11"/>
      <c r="B32" s="11">
        <f t="shared" si="3"/>
        <v>2</v>
      </c>
      <c r="C32" s="11" t="s">
        <v>119</v>
      </c>
      <c r="D32" s="11">
        <v>4</v>
      </c>
      <c r="E32" s="11"/>
      <c r="F32" s="11">
        <f>VLOOKUP(G32, SeanRanks!$A$2:$E$302, 4, FALSE)</f>
        <v>0</v>
      </c>
      <c r="G32" s="11" t="s">
        <v>131</v>
      </c>
      <c r="H32" s="11" t="str">
        <f>VLOOKUP($G32, 'ADP Data'!$C$4:$Q$300, 2, FALSE)</f>
        <v>BUF</v>
      </c>
      <c r="I32" s="11">
        <f>VLOOKUP(G32, 'ADP Data'!$C$4:$R$498, 12, FALSE)</f>
        <v>26</v>
      </c>
      <c r="J32" s="42">
        <f>VLOOKUP($G32, SeanRanks!$A$2:$H$303, 5, FALSE)</f>
        <v>0</v>
      </c>
      <c r="K32" s="11" t="str">
        <f>IF(VLOOKUP($G32, SeanRanks!$A$2:$H$303, 6, FALSE)=0, "", VLOOKUP($G32, SeanRanks!$A$2:$H$303, 6, FALSE))</f>
        <v>QB1 - 1 - Elite</v>
      </c>
      <c r="L32" s="11">
        <f t="shared" si="4"/>
        <v>3</v>
      </c>
      <c r="M32" s="11">
        <f>VLOOKUP($G32, 'ADP Data'!$C$4:$Q$300, 9, FALSE)</f>
        <v>21</v>
      </c>
      <c r="N32" s="11">
        <f t="shared" si="5"/>
        <v>-1</v>
      </c>
      <c r="O32" s="11">
        <f>VLOOKUP($G32, 'ADP Data'!$C$4:$Q$300, 3, FALSE)</f>
        <v>15</v>
      </c>
      <c r="P32" s="11">
        <f t="shared" si="6"/>
        <v>6</v>
      </c>
      <c r="Q32" s="11">
        <f>VLOOKUP($G32, 'ADP Data'!$C$4:$Q$300, 4, FALSE)</f>
        <v>19</v>
      </c>
      <c r="R32" s="11">
        <f>VLOOKUP($G32, 'ADP Data'!$C$4:$Q$300, 5, FALSE)</f>
        <v>27</v>
      </c>
      <c r="S32" s="11">
        <f>VLOOKUP($G32, 'ADP Data'!$C$4:$Q$300, 6, FALSE)</f>
        <v>27</v>
      </c>
      <c r="T32" s="11">
        <f>VLOOKUP($G32, 'ADP Data'!$C$4:$Q$300, 7, FALSE)</f>
        <v>25</v>
      </c>
      <c r="U32" s="11">
        <f>VLOOKUP($G32, 'ADP Data'!$C$4:$Q$300, 8, FALSE)</f>
        <v>21</v>
      </c>
      <c r="V32" s="11">
        <f t="shared" si="7"/>
        <v>22</v>
      </c>
      <c r="W32" s="11">
        <f t="shared" si="8"/>
        <v>3</v>
      </c>
      <c r="X32" s="11">
        <f t="shared" si="9"/>
        <v>1</v>
      </c>
      <c r="Y32" s="11">
        <f>VLOOKUP($G32, SeanRanks!$A$2:$K$303, 10, FALSE)-V32</f>
        <v>6</v>
      </c>
      <c r="Z32" s="25">
        <f>IF(VLOOKUP($G32, SeanRanks!$A$2:$H$303, 7, FALSE)=0, "", VLOOKUP($G32, SeanRanks!$A$2:$H$303, 7, FALSE))</f>
        <v>2</v>
      </c>
    </row>
    <row r="33" spans="1:26" ht="14.25" customHeight="1" x14ac:dyDescent="0.25">
      <c r="A33" s="11"/>
      <c r="B33" s="11">
        <f t="shared" si="3"/>
        <v>4</v>
      </c>
      <c r="C33" s="11" t="s">
        <v>119</v>
      </c>
      <c r="D33" s="11">
        <v>2</v>
      </c>
      <c r="E33" s="11"/>
      <c r="F33" s="11">
        <f>VLOOKUP(G33, SeanRanks!$A$2:$E$302, 4, FALSE)</f>
        <v>0</v>
      </c>
      <c r="G33" s="11" t="s">
        <v>220</v>
      </c>
      <c r="H33" s="11" t="str">
        <f>VLOOKUP($G33, 'ADP Data'!$C$4:$Q$300, 2, FALSE)</f>
        <v>TB</v>
      </c>
      <c r="I33" s="11">
        <f>VLOOKUP(G33, 'ADP Data'!$C$4:$R$498, 12, FALSE)</f>
        <v>32</v>
      </c>
      <c r="J33" s="40">
        <f>VLOOKUP($G33, SeanRanks!$A$2:$H$303, 5, FALSE)</f>
        <v>0</v>
      </c>
      <c r="K33" s="11" t="str">
        <f>IF(VLOOKUP($G33, SeanRanks!$A$2:$H$303, 6, FALSE)=0, "", VLOOKUP($G33, SeanRanks!$A$2:$H$303, 6, FALSE))</f>
        <v>WR2 - 1 - WR1 upside</v>
      </c>
      <c r="L33" s="11">
        <f t="shared" si="4"/>
        <v>5</v>
      </c>
      <c r="M33" s="11">
        <f>VLOOKUP($G33, 'ADP Data'!$C$4:$Q$300, 9, FALSE)</f>
        <v>39</v>
      </c>
      <c r="N33" s="11">
        <f t="shared" si="5"/>
        <v>1</v>
      </c>
      <c r="O33" s="11">
        <f>VLOOKUP($G33, 'ADP Data'!$C$4:$Q$300, 3, FALSE)</f>
        <v>36</v>
      </c>
      <c r="P33" s="11">
        <f t="shared" si="6"/>
        <v>3</v>
      </c>
      <c r="Q33" s="11">
        <f>VLOOKUP($G33, 'ADP Data'!$C$4:$Q$300, 4, FALSE)</f>
        <v>43</v>
      </c>
      <c r="R33" s="11">
        <f>VLOOKUP($G33, 'ADP Data'!$C$4:$Q$300, 5, FALSE)</f>
        <v>44</v>
      </c>
      <c r="S33" s="11">
        <f>VLOOKUP($G33, 'ADP Data'!$C$4:$Q$300, 6, FALSE)</f>
        <v>38</v>
      </c>
      <c r="T33" s="11">
        <f>VLOOKUP($G33, 'ADP Data'!$C$4:$Q$300, 7, FALSE)</f>
        <v>38</v>
      </c>
      <c r="U33" s="11">
        <f>VLOOKUP($G33, 'ADP Data'!$C$4:$Q$300, 8, FALSE)</f>
        <v>32</v>
      </c>
      <c r="V33" s="11">
        <f t="shared" si="7"/>
        <v>38</v>
      </c>
      <c r="W33" s="11">
        <f t="shared" si="8"/>
        <v>5</v>
      </c>
      <c r="X33" s="11">
        <f t="shared" si="9"/>
        <v>-3</v>
      </c>
      <c r="Y33" s="11">
        <f>VLOOKUP($G33, SeanRanks!$A$2:$K$303, 10, FALSE)-V33</f>
        <v>-6</v>
      </c>
      <c r="Z33" s="25">
        <f>IF(VLOOKUP($G33, SeanRanks!$A$2:$H$303, 7, FALSE)=0, "", VLOOKUP($G33, SeanRanks!$A$2:$H$303, 7, FALSE))</f>
        <v>15</v>
      </c>
    </row>
    <row r="34" spans="1:26" ht="14.25" customHeight="1" x14ac:dyDescent="0.25">
      <c r="A34" s="11"/>
      <c r="B34" s="11">
        <f t="shared" si="3"/>
        <v>5</v>
      </c>
      <c r="C34" s="11" t="s">
        <v>119</v>
      </c>
      <c r="D34" s="11">
        <v>4</v>
      </c>
      <c r="E34" s="11"/>
      <c r="F34" s="11">
        <f>VLOOKUP(G34, SeanRanks!$A$2:$E$302, 4, FALSE)</f>
        <v>0</v>
      </c>
      <c r="G34" s="11" t="s">
        <v>310</v>
      </c>
      <c r="H34" s="11" t="str">
        <f>VLOOKUP($G34, 'ADP Data'!$C$4:$Q$300, 2, FALSE)</f>
        <v>KC</v>
      </c>
      <c r="I34" s="11">
        <f>VLOOKUP(G34, 'ADP Data'!$C$4:$R$498, 12, FALSE)</f>
        <v>76</v>
      </c>
      <c r="J34" s="42">
        <f>VLOOKUP($G34, SeanRanks!$A$2:$H$303, 5, FALSE)</f>
        <v>0</v>
      </c>
      <c r="K34" s="11" t="str">
        <f>IF(VLOOKUP($G34, SeanRanks!$A$2:$H$303, 6, FALSE)=0, "", VLOOKUP($G34, SeanRanks!$A$2:$H$303, 6, FALSE))</f>
        <v>QB1 - 4 - Weekly Start</v>
      </c>
      <c r="L34" s="11">
        <f t="shared" si="4"/>
        <v>8</v>
      </c>
      <c r="M34" s="11">
        <f>VLOOKUP($G34, 'ADP Data'!$C$4:$Q$300, 9, FALSE)</f>
        <v>57</v>
      </c>
      <c r="N34" s="11">
        <f t="shared" si="5"/>
        <v>1</v>
      </c>
      <c r="O34" s="11">
        <f>VLOOKUP($G34, 'ADP Data'!$C$4:$Q$300, 3, FALSE)</f>
        <v>47</v>
      </c>
      <c r="P34" s="11">
        <f t="shared" si="6"/>
        <v>10</v>
      </c>
      <c r="Q34" s="11">
        <f>VLOOKUP($G34, 'ADP Data'!$C$4:$Q$300, 4, FALSE)</f>
        <v>42</v>
      </c>
      <c r="R34" s="11">
        <f>VLOOKUP($G34, 'ADP Data'!$C$4:$Q$300, 5, FALSE)</f>
        <v>69</v>
      </c>
      <c r="S34" s="11">
        <f>VLOOKUP($G34, 'ADP Data'!$C$4:$Q$300, 6, FALSE)</f>
        <v>73</v>
      </c>
      <c r="T34" s="11">
        <f>VLOOKUP($G34, 'ADP Data'!$C$4:$Q$300, 7, FALSE)</f>
        <v>66</v>
      </c>
      <c r="U34" s="11">
        <f>VLOOKUP($G34, 'ADP Data'!$C$4:$Q$300, 8, FALSE)</f>
        <v>42</v>
      </c>
      <c r="V34" s="11">
        <f t="shared" si="7"/>
        <v>56</v>
      </c>
      <c r="W34" s="11">
        <f t="shared" si="8"/>
        <v>8</v>
      </c>
      <c r="X34" s="11">
        <f t="shared" si="9"/>
        <v>-4</v>
      </c>
      <c r="Y34" s="11">
        <f>VLOOKUP($G34, SeanRanks!$A$2:$K$303, 10, FALSE)-V34</f>
        <v>20</v>
      </c>
      <c r="Z34" s="25">
        <f>IF(VLOOKUP($G34, SeanRanks!$A$2:$H$303, 7, FALSE)=0, "", VLOOKUP($G34, SeanRanks!$A$2:$H$303, 7, FALSE))</f>
        <v>9</v>
      </c>
    </row>
    <row r="35" spans="1:26" ht="14.25" customHeight="1" x14ac:dyDescent="0.25">
      <c r="A35" s="11"/>
      <c r="B35" s="11">
        <f t="shared" si="3"/>
        <v>13</v>
      </c>
      <c r="C35" s="11" t="s">
        <v>119</v>
      </c>
      <c r="D35" s="11">
        <v>2</v>
      </c>
      <c r="E35" s="11"/>
      <c r="F35" s="11">
        <f>VLOOKUP(G35, SeanRanks!$A$2:$E$302, 4, FALSE)</f>
        <v>0</v>
      </c>
      <c r="G35" s="11" t="s">
        <v>684</v>
      </c>
      <c r="H35" s="11" t="str">
        <f>VLOOKUP($G35, 'ADP Data'!$C$4:$Q$300, 2, FALSE)</f>
        <v>SF</v>
      </c>
      <c r="I35" s="11">
        <f>VLOOKUP(G35, 'ADP Data'!$C$4:$R$498, 12, FALSE)</f>
        <v>152</v>
      </c>
      <c r="J35" s="40" t="str">
        <f>VLOOKUP($G35, SeanRanks!$A$2:$H$303, 5, FALSE)</f>
        <v>Yes</v>
      </c>
      <c r="K35" s="11" t="str">
        <f>IF(VLOOKUP($G35, SeanRanks!$A$2:$H$303, 6, FALSE)=0, "", VLOOKUP($G35, SeanRanks!$A$2:$H$303, 6, FALSE))</f>
        <v>WR5 - 1 - upside path</v>
      </c>
      <c r="L35" s="11">
        <f t="shared" si="4"/>
        <v>15</v>
      </c>
      <c r="M35" s="11">
        <f>VLOOKUP($G35, 'ADP Data'!$C$4:$Q$300, 9, FALSE)</f>
        <v>115</v>
      </c>
      <c r="N35" s="11">
        <f t="shared" si="5"/>
        <v>-33</v>
      </c>
      <c r="O35" s="11">
        <f>VLOOKUP($G35, 'ADP Data'!$C$4:$Q$300, 3, FALSE)</f>
        <v>162</v>
      </c>
      <c r="P35" s="11">
        <f t="shared" si="6"/>
        <v>-47</v>
      </c>
      <c r="Q35" s="11">
        <f>VLOOKUP($G35, 'ADP Data'!$C$4:$Q$300, 4, FALSE)</f>
        <v>169</v>
      </c>
      <c r="R35" s="11">
        <f>VLOOKUP($G35, 'ADP Data'!$C$4:$Q$300, 5, FALSE)</f>
        <v>165</v>
      </c>
      <c r="S35" s="11">
        <f>VLOOKUP($G35, 'ADP Data'!$C$4:$Q$300, 6, FALSE)</f>
        <v>154</v>
      </c>
      <c r="T35" s="11">
        <f>VLOOKUP($G35, 'ADP Data'!$C$4:$Q$300, 7, FALSE)</f>
        <v>148</v>
      </c>
      <c r="U35" s="11">
        <f>VLOOKUP($G35, 'ADP Data'!$C$4:$Q$300, 8, FALSE)</f>
        <v>127</v>
      </c>
      <c r="V35" s="11">
        <f t="shared" si="7"/>
        <v>148</v>
      </c>
      <c r="W35" s="11">
        <f t="shared" si="8"/>
        <v>19</v>
      </c>
      <c r="X35" s="11">
        <f t="shared" si="9"/>
        <v>-17</v>
      </c>
      <c r="Y35" s="11">
        <f>VLOOKUP($G35, SeanRanks!$A$2:$K$303, 10, FALSE)-V35</f>
        <v>-7</v>
      </c>
      <c r="Z35" s="25">
        <f>IF(VLOOKUP($G35, SeanRanks!$A$2:$H$303, 7, FALSE)=0, "", VLOOKUP($G35, SeanRanks!$A$2:$H$303, 7, FALSE))</f>
        <v>48</v>
      </c>
    </row>
    <row r="36" spans="1:26" ht="14.25" customHeight="1" x14ac:dyDescent="0.25">
      <c r="A36" s="11"/>
      <c r="B36" s="11">
        <f t="shared" si="3"/>
        <v>5</v>
      </c>
      <c r="C36" s="11" t="s">
        <v>119</v>
      </c>
      <c r="D36" s="11"/>
      <c r="E36" s="11"/>
      <c r="F36" s="11">
        <f>VLOOKUP(G36, SeanRanks!$A$2:$E$302, 4, FALSE)</f>
        <v>0</v>
      </c>
      <c r="G36" s="11" t="s">
        <v>246</v>
      </c>
      <c r="H36" s="11" t="str">
        <f>VLOOKUP($G36, 'ADP Data'!$C$4:$Q$300, 2, FALSE)</f>
        <v>DET</v>
      </c>
      <c r="I36" s="11">
        <f>VLOOKUP(G36, 'ADP Data'!$C$4:$R$498, 12, FALSE)</f>
        <v>73</v>
      </c>
      <c r="J36" s="41">
        <f>VLOOKUP($G36, SeanRanks!$A$2:$H$303, 5, FALSE)</f>
        <v>0</v>
      </c>
      <c r="K36" s="11" t="str">
        <f>IF(VLOOKUP($G36, SeanRanks!$A$2:$H$303, 6, FALSE)=0, "", VLOOKUP($G36, SeanRanks!$A$2:$H$303, 6, FALSE))</f>
        <v>TE1 - 2 - Very Good</v>
      </c>
      <c r="L36" s="11">
        <f t="shared" si="4"/>
        <v>7</v>
      </c>
      <c r="M36" s="11">
        <f>VLOOKUP($G36, 'ADP Data'!$C$4:$Q$300, 9, FALSE)</f>
        <v>51</v>
      </c>
      <c r="N36" s="11">
        <f t="shared" si="5"/>
        <v>-5</v>
      </c>
      <c r="O36" s="11">
        <f>VLOOKUP($G36, 'ADP Data'!$C$4:$Q$300, 3, FALSE)</f>
        <v>58</v>
      </c>
      <c r="P36" s="11">
        <f t="shared" si="6"/>
        <v>-7</v>
      </c>
      <c r="Q36" s="11">
        <f>VLOOKUP($G36, 'ADP Data'!$C$4:$Q$300, 4, FALSE)</f>
        <v>49</v>
      </c>
      <c r="R36" s="11">
        <f>VLOOKUP($G36, 'ADP Data'!$C$4:$Q$300, 5, FALSE)</f>
        <v>67</v>
      </c>
      <c r="S36" s="11">
        <f>VLOOKUP($G36, 'ADP Data'!$C$4:$Q$300, 6, FALSE)</f>
        <v>53</v>
      </c>
      <c r="T36" s="11">
        <f>VLOOKUP($G36, 'ADP Data'!$C$4:$Q$300, 7, FALSE)</f>
        <v>71</v>
      </c>
      <c r="U36" s="11">
        <f>VLOOKUP($G36, 'ADP Data'!$C$4:$Q$300, 8, FALSE)</f>
        <v>43</v>
      </c>
      <c r="V36" s="11">
        <f t="shared" si="7"/>
        <v>56</v>
      </c>
      <c r="W36" s="11">
        <f t="shared" si="8"/>
        <v>8</v>
      </c>
      <c r="X36" s="11">
        <f t="shared" si="9"/>
        <v>-8</v>
      </c>
      <c r="Y36" s="11">
        <f>VLOOKUP($G36, SeanRanks!$A$2:$K$303, 10, FALSE)-V36</f>
        <v>12</v>
      </c>
      <c r="Z36" s="25">
        <f>IF(VLOOKUP($G36, SeanRanks!$A$2:$H$303, 7, FALSE)=0, "", VLOOKUP($G36, SeanRanks!$A$2:$H$303, 7, FALSE))</f>
        <v>4</v>
      </c>
    </row>
    <row r="37" spans="1:26" ht="14.25" customHeight="1" x14ac:dyDescent="0.25">
      <c r="A37" s="11"/>
      <c r="B37" s="11">
        <f t="shared" si="3"/>
        <v>6</v>
      </c>
      <c r="C37" s="11" t="s">
        <v>119</v>
      </c>
      <c r="D37" s="11">
        <v>2</v>
      </c>
      <c r="E37" s="11" t="s">
        <v>243</v>
      </c>
      <c r="F37" s="11">
        <f>VLOOKUP(G37, SeanRanks!$A$2:$E$302, 4, FALSE)</f>
        <v>0</v>
      </c>
      <c r="G37" s="11" t="s">
        <v>167</v>
      </c>
      <c r="H37" s="11" t="str">
        <f>VLOOKUP($G37, 'ADP Data'!$C$4:$Q$300, 2, FALSE)</f>
        <v>MIA</v>
      </c>
      <c r="I37" s="11">
        <f>VLOOKUP(G37, 'ADP Data'!$C$4:$R$498, 12, FALSE)</f>
        <v>57</v>
      </c>
      <c r="J37" s="40" t="str">
        <f>VLOOKUP($G37, SeanRanks!$A$2:$H$303, 5, FALSE)</f>
        <v>No</v>
      </c>
      <c r="K37" s="11" t="str">
        <f>IF(VLOOKUP($G37, SeanRanks!$A$2:$H$303, 6, FALSE)=0, "", VLOOKUP($G37, SeanRanks!$A$2:$H$303, 6, FALSE))</f>
        <v>WR3 - 2 - mid, but path to big upside</v>
      </c>
      <c r="L37" s="11">
        <f t="shared" si="4"/>
        <v>9</v>
      </c>
      <c r="M37" s="11">
        <f>VLOOKUP($G37, 'ADP Data'!$C$4:$Q$300, 9, FALSE)</f>
        <v>70</v>
      </c>
      <c r="N37" s="11">
        <f t="shared" si="5"/>
        <v>0</v>
      </c>
      <c r="O37" s="11">
        <f>VLOOKUP($G37, 'ADP Data'!$C$4:$Q$300, 3, FALSE)</f>
        <v>79</v>
      </c>
      <c r="P37" s="11">
        <f t="shared" si="6"/>
        <v>-9</v>
      </c>
      <c r="Q37" s="11">
        <f>VLOOKUP($G37, 'ADP Data'!$C$4:$Q$300, 4, FALSE)</f>
        <v>64</v>
      </c>
      <c r="R37" s="11">
        <f>VLOOKUP($G37, 'ADP Data'!$C$4:$Q$300, 5, FALSE)</f>
        <v>70</v>
      </c>
      <c r="S37" s="11">
        <f>VLOOKUP($G37, 'ADP Data'!$C$4:$Q$300, 6, FALSE)</f>
        <v>66</v>
      </c>
      <c r="T37" s="11">
        <f>VLOOKUP($G37, 'ADP Data'!$C$4:$Q$300, 7, FALSE)</f>
        <v>58</v>
      </c>
      <c r="U37" s="11">
        <f>VLOOKUP($G37, 'ADP Data'!$C$4:$Q$300, 8, FALSE)</f>
        <v>84</v>
      </c>
      <c r="V37" s="11">
        <f t="shared" si="7"/>
        <v>70</v>
      </c>
      <c r="W37" s="11">
        <f t="shared" si="8"/>
        <v>9</v>
      </c>
      <c r="X37" s="11">
        <f t="shared" si="9"/>
        <v>-7</v>
      </c>
      <c r="Y37" s="11">
        <f>VLOOKUP($G37, SeanRanks!$A$2:$K$303, 10, FALSE)-V37</f>
        <v>-22</v>
      </c>
      <c r="Z37" s="25">
        <f>IF(VLOOKUP($G37, SeanRanks!$A$2:$H$303, 7, FALSE)=0, "", VLOOKUP($G37, SeanRanks!$A$2:$H$303, 7, FALSE))</f>
        <v>31</v>
      </c>
    </row>
    <row r="38" spans="1:26" ht="14.25" customHeight="1" x14ac:dyDescent="0.25">
      <c r="A38" s="11"/>
      <c r="B38" s="11">
        <f t="shared" si="3"/>
        <v>2</v>
      </c>
      <c r="C38" s="11" t="s">
        <v>119</v>
      </c>
      <c r="D38" s="11"/>
      <c r="E38" s="23"/>
      <c r="F38" s="11">
        <f>VLOOKUP(G38, SeanRanks!$A$2:$E$302, 4, FALSE)</f>
        <v>0</v>
      </c>
      <c r="G38" s="11" t="s">
        <v>115</v>
      </c>
      <c r="H38" s="11" t="str">
        <f>VLOOKUP($G38, 'ADP Data'!$C$4:$Q$300, 2, FALSE)</f>
        <v>HOU</v>
      </c>
      <c r="I38" s="11">
        <f>VLOOKUP(G38, 'ADP Data'!$C$4:$R$498, 12, FALSE)</f>
        <v>8</v>
      </c>
      <c r="J38" s="40">
        <f>VLOOKUP($G38, SeanRanks!$A$2:$H$303, 5, FALSE)</f>
        <v>0</v>
      </c>
      <c r="K38" s="11" t="str">
        <f>IF(VLOOKUP($G38, SeanRanks!$A$2:$H$303, 6, FALSE)=0, "", VLOOKUP($G38, SeanRanks!$A$2:$H$303, 6, FALSE))</f>
        <v>WR1 - 2 - High Floor</v>
      </c>
      <c r="L38" s="11">
        <f t="shared" si="4"/>
        <v>2</v>
      </c>
      <c r="M38" s="11">
        <f>VLOOKUP($G38, 'ADP Data'!$C$4:$Q$300, 9, FALSE)</f>
        <v>13</v>
      </c>
      <c r="N38" s="11">
        <f t="shared" si="5"/>
        <v>0</v>
      </c>
      <c r="O38" s="11">
        <f>VLOOKUP($G38, 'ADP Data'!$C$4:$Q$300, 3, FALSE)</f>
        <v>13</v>
      </c>
      <c r="P38" s="11">
        <f t="shared" si="6"/>
        <v>0</v>
      </c>
      <c r="Q38" s="11">
        <f>VLOOKUP($G38, 'ADP Data'!$C$4:$Q$300, 4, FALSE)</f>
        <v>13</v>
      </c>
      <c r="R38" s="11">
        <f>VLOOKUP($G38, 'ADP Data'!$C$4:$Q$300, 5, FALSE)</f>
        <v>12</v>
      </c>
      <c r="S38" s="11">
        <f>VLOOKUP($G38, 'ADP Data'!$C$4:$Q$300, 6, FALSE)</f>
        <v>12</v>
      </c>
      <c r="T38" s="11">
        <f>VLOOKUP($G38, 'ADP Data'!$C$4:$Q$300, 7, FALSE)</f>
        <v>12</v>
      </c>
      <c r="U38" s="11">
        <f>VLOOKUP($G38, 'ADP Data'!$C$4:$Q$300, 8, FALSE)</f>
        <v>16</v>
      </c>
      <c r="V38" s="11">
        <f t="shared" si="7"/>
        <v>13</v>
      </c>
      <c r="W38" s="11">
        <f t="shared" si="8"/>
        <v>2</v>
      </c>
      <c r="X38" s="11">
        <f t="shared" si="9"/>
        <v>-2</v>
      </c>
      <c r="Y38" s="11">
        <f>VLOOKUP($G38, SeanRanks!$A$2:$K$303, 10, FALSE)-V38</f>
        <v>-6</v>
      </c>
      <c r="Z38" s="25">
        <f>IF(VLOOKUP($G38, SeanRanks!$A$2:$H$303, 7, FALSE)=0, "", VLOOKUP($G38, SeanRanks!$A$2:$H$303, 7, FALSE))</f>
        <v>4</v>
      </c>
    </row>
    <row r="39" spans="1:26" ht="14.25" customHeight="1" x14ac:dyDescent="0.25">
      <c r="A39" s="11" t="s">
        <v>148</v>
      </c>
      <c r="B39" s="11">
        <f t="shared" si="3"/>
        <v>4</v>
      </c>
      <c r="C39" s="11" t="s">
        <v>119</v>
      </c>
      <c r="D39" s="11">
        <v>4</v>
      </c>
      <c r="E39" s="11"/>
      <c r="F39" s="11">
        <f>VLOOKUP(G39, SeanRanks!$A$2:$E$302, 4, FALSE)</f>
        <v>0</v>
      </c>
      <c r="G39" s="11" t="s">
        <v>235</v>
      </c>
      <c r="H39" s="11" t="str">
        <f>VLOOKUP($G39, 'ADP Data'!$C$4:$Q$300, 2, FALSE)</f>
        <v>PHI</v>
      </c>
      <c r="I39" s="11">
        <f>VLOOKUP(G39, 'ADP Data'!$C$4:$R$498, 12, FALSE)</f>
        <v>42</v>
      </c>
      <c r="J39" s="42">
        <f>VLOOKUP($G39, SeanRanks!$A$2:$H$303, 5, FALSE)</f>
        <v>0</v>
      </c>
      <c r="K39" s="11" t="str">
        <f>IF(VLOOKUP($G39, SeanRanks!$A$2:$H$303, 6, FALSE)=0, "", VLOOKUP($G39, SeanRanks!$A$2:$H$303, 6, FALSE))</f>
        <v>QB1 - 2 - QB1 Upside</v>
      </c>
      <c r="L39" s="11">
        <f t="shared" si="4"/>
        <v>5</v>
      </c>
      <c r="M39" s="11">
        <f>VLOOKUP($G39, 'ADP Data'!$C$4:$Q$300, 9, FALSE)</f>
        <v>37</v>
      </c>
      <c r="N39" s="11">
        <f t="shared" si="5"/>
        <v>0</v>
      </c>
      <c r="O39" s="11">
        <f>VLOOKUP($G39, 'ADP Data'!$C$4:$Q$300, 3, FALSE)</f>
        <v>31</v>
      </c>
      <c r="P39" s="11">
        <f t="shared" si="6"/>
        <v>6</v>
      </c>
      <c r="Q39" s="11">
        <f>VLOOKUP($G39, 'ADP Data'!$C$4:$Q$300, 4, FALSE)</f>
        <v>28</v>
      </c>
      <c r="R39" s="11">
        <f>VLOOKUP($G39, 'ADP Data'!$C$4:$Q$300, 5, FALSE)</f>
        <v>51</v>
      </c>
      <c r="S39" s="11">
        <f>VLOOKUP($G39, 'ADP Data'!$C$4:$Q$300, 6, FALSE)</f>
        <v>40</v>
      </c>
      <c r="T39" s="11">
        <f>VLOOKUP($G39, 'ADP Data'!$C$4:$Q$300, 7, FALSE)</f>
        <v>43</v>
      </c>
      <c r="U39" s="11">
        <f>VLOOKUP($G39, 'ADP Data'!$C$4:$Q$300, 8, FALSE)</f>
        <v>34</v>
      </c>
      <c r="V39" s="11">
        <f t="shared" si="7"/>
        <v>37</v>
      </c>
      <c r="W39" s="11">
        <f t="shared" si="8"/>
        <v>5</v>
      </c>
      <c r="X39" s="11">
        <f t="shared" si="9"/>
        <v>-1</v>
      </c>
      <c r="Y39" s="11">
        <f>VLOOKUP($G39, SeanRanks!$A$2:$K$303, 10, FALSE)-V39</f>
        <v>-2</v>
      </c>
      <c r="Z39" s="25">
        <f>IF(VLOOKUP($G39, SeanRanks!$A$2:$H$303, 7, FALSE)=0, "", VLOOKUP($G39, SeanRanks!$A$2:$H$303, 7, FALSE))</f>
        <v>3</v>
      </c>
    </row>
    <row r="40" spans="1:26" ht="14.25" customHeight="1" x14ac:dyDescent="0.25">
      <c r="A40" s="11"/>
      <c r="B40" s="11">
        <f t="shared" si="3"/>
        <v>10</v>
      </c>
      <c r="C40" s="11" t="s">
        <v>119</v>
      </c>
      <c r="D40" s="11">
        <v>3</v>
      </c>
      <c r="E40" s="11" t="s">
        <v>243</v>
      </c>
      <c r="F40" s="11">
        <f>VLOOKUP(G40, SeanRanks!$A$2:$E$302, 4, FALSE)</f>
        <v>0</v>
      </c>
      <c r="G40" s="11" t="s">
        <v>284</v>
      </c>
      <c r="H40" s="11" t="str">
        <f>VLOOKUP($G40, 'ADP Data'!$C$4:$Q$300, 2, FALSE)</f>
        <v>IND</v>
      </c>
      <c r="I40" s="11">
        <f>VLOOKUP(G40, 'ADP Data'!$C$4:$R$498, 12, FALSE)</f>
        <v>85</v>
      </c>
      <c r="J40" s="43" t="str">
        <f>VLOOKUP($G40, SeanRanks!$A$2:$H$303, 5, FALSE)</f>
        <v>No</v>
      </c>
      <c r="K40" s="11" t="str">
        <f>IF(VLOOKUP($G40, SeanRanks!$A$2:$H$303, 6, FALSE)=0, "", VLOOKUP($G40, SeanRanks!$A$2:$H$303, 6, FALSE))</f>
        <v>WR4 - 2 - unclear path to WR2</v>
      </c>
      <c r="L40" s="11">
        <f t="shared" si="4"/>
        <v>15</v>
      </c>
      <c r="M40" s="11">
        <f>VLOOKUP($G40, 'ADP Data'!$C$4:$Q$300, 9, FALSE)</f>
        <v>114</v>
      </c>
      <c r="N40" s="11">
        <f t="shared" si="5"/>
        <v>4</v>
      </c>
      <c r="O40" s="11">
        <f>VLOOKUP($G40, 'ADP Data'!$C$4:$Q$300, 3, FALSE)</f>
        <v>94</v>
      </c>
      <c r="P40" s="11">
        <f t="shared" si="6"/>
        <v>20</v>
      </c>
      <c r="Q40" s="11">
        <f>VLOOKUP($G40, 'ADP Data'!$C$4:$Q$300, 4, FALSE)</f>
        <v>92</v>
      </c>
      <c r="R40" s="11">
        <f>VLOOKUP($G40, 'ADP Data'!$C$4:$Q$300, 5, FALSE)</f>
        <v>113</v>
      </c>
      <c r="S40" s="11">
        <f>VLOOKUP($G40, 'ADP Data'!$C$4:$Q$300, 6, FALSE)</f>
        <v>99</v>
      </c>
      <c r="T40" s="11">
        <f>VLOOKUP($G40, 'ADP Data'!$C$4:$Q$300, 7, FALSE)</f>
        <v>97</v>
      </c>
      <c r="U40" s="11">
        <f>VLOOKUP($G40, 'ADP Data'!$C$4:$Q$300, 8, FALSE)</f>
        <v>164</v>
      </c>
      <c r="V40" s="11">
        <f t="shared" si="7"/>
        <v>110</v>
      </c>
      <c r="W40" s="11">
        <f t="shared" si="8"/>
        <v>14</v>
      </c>
      <c r="X40" s="11">
        <f t="shared" si="9"/>
        <v>-11</v>
      </c>
      <c r="Y40" s="11">
        <f>VLOOKUP($G40, SeanRanks!$A$2:$K$303, 10, FALSE)-V40</f>
        <v>4</v>
      </c>
      <c r="Z40" s="25">
        <f>IF(VLOOKUP($G40, SeanRanks!$A$2:$H$303, 7, FALSE)=0, "", VLOOKUP($G40, SeanRanks!$A$2:$H$303, 7, FALSE))</f>
        <v>47</v>
      </c>
    </row>
    <row r="41" spans="1:26" ht="14.25" customHeight="1" x14ac:dyDescent="0.25">
      <c r="A41" s="11"/>
      <c r="B41" s="11">
        <f t="shared" si="3"/>
        <v>2</v>
      </c>
      <c r="C41" s="11" t="s">
        <v>119</v>
      </c>
      <c r="D41" s="11">
        <v>4</v>
      </c>
      <c r="E41" s="11"/>
      <c r="F41" s="11">
        <f>VLOOKUP(G41, SeanRanks!$A$2:$E$302, 4, FALSE)</f>
        <v>0</v>
      </c>
      <c r="G41" s="11" t="s">
        <v>218</v>
      </c>
      <c r="H41" s="11" t="str">
        <f>VLOOKUP($G41, 'ADP Data'!$C$4:$Q$300, 2, FALSE)</f>
        <v>GB</v>
      </c>
      <c r="I41" s="11">
        <f>VLOOKUP(G41, 'ADP Data'!$C$4:$R$498, 12, FALSE)</f>
        <v>23</v>
      </c>
      <c r="J41" s="39">
        <f>VLOOKUP($G41, SeanRanks!$A$2:$H$303, 5, FALSE)</f>
        <v>0</v>
      </c>
      <c r="K41" s="11" t="str">
        <f>IF(VLOOKUP($G41, SeanRanks!$A$2:$H$303, 6, FALSE)=0, "", VLOOKUP($G41, SeanRanks!$A$2:$H$303, 6, FALSE))</f>
        <v>RB1 - 2 - Elite ceiling/questions</v>
      </c>
      <c r="L41" s="11">
        <f t="shared" si="4"/>
        <v>2</v>
      </c>
      <c r="M41" s="11">
        <f>VLOOKUP($G41, 'ADP Data'!$C$4:$Q$300, 9, FALSE)</f>
        <v>15</v>
      </c>
      <c r="N41" s="11">
        <f t="shared" si="5"/>
        <v>-3</v>
      </c>
      <c r="O41" s="11">
        <f>VLOOKUP($G41, 'ADP Data'!$C$4:$Q$300, 3, FALSE)</f>
        <v>10</v>
      </c>
      <c r="P41" s="11">
        <f t="shared" si="6"/>
        <v>5</v>
      </c>
      <c r="Q41" s="11">
        <f>VLOOKUP($G41, 'ADP Data'!$C$4:$Q$300, 4, FALSE)</f>
        <v>17</v>
      </c>
      <c r="R41" s="11">
        <f>VLOOKUP($G41, 'ADP Data'!$C$4:$Q$300, 5, FALSE)</f>
        <v>23</v>
      </c>
      <c r="S41" s="11">
        <f>VLOOKUP($G41, 'ADP Data'!$C$4:$Q$300, 6, FALSE)</f>
        <v>22</v>
      </c>
      <c r="T41" s="11">
        <f>VLOOKUP($G41, 'ADP Data'!$C$4:$Q$300, 7, FALSE)</f>
        <v>22</v>
      </c>
      <c r="U41" s="11">
        <f>VLOOKUP($G41, 'ADP Data'!$C$4:$Q$300, 8, FALSE)</f>
        <v>19</v>
      </c>
      <c r="V41" s="11">
        <f t="shared" si="7"/>
        <v>18</v>
      </c>
      <c r="W41" s="11">
        <f t="shared" si="8"/>
        <v>3</v>
      </c>
      <c r="X41" s="11">
        <f t="shared" si="9"/>
        <v>1</v>
      </c>
      <c r="Y41" s="11">
        <f>VLOOKUP($G41, SeanRanks!$A$2:$K$303, 10, FALSE)-V41</f>
        <v>-3</v>
      </c>
      <c r="Z41" s="25">
        <f>IF(VLOOKUP($G41, SeanRanks!$A$2:$H$303, 7, FALSE)=0, "", VLOOKUP($G41, SeanRanks!$A$2:$H$303, 7, FALSE))</f>
        <v>7</v>
      </c>
    </row>
    <row r="42" spans="1:26" ht="14.25" customHeight="1" x14ac:dyDescent="0.25">
      <c r="A42" s="11"/>
      <c r="B42" s="11">
        <f t="shared" si="3"/>
        <v>9</v>
      </c>
      <c r="C42" s="11" t="s">
        <v>119</v>
      </c>
      <c r="D42" s="11">
        <v>2</v>
      </c>
      <c r="E42" s="11"/>
      <c r="F42" s="11">
        <f>VLOOKUP(G42, SeanRanks!$A$2:$E$302, 4, FALSE)</f>
        <v>0</v>
      </c>
      <c r="G42" s="11" t="s">
        <v>450</v>
      </c>
      <c r="H42" s="11" t="str">
        <f>VLOOKUP($G42, 'ADP Data'!$C$4:$Q$300, 2, FALSE)</f>
        <v>SEA</v>
      </c>
      <c r="I42" s="11">
        <f>VLOOKUP(G42, 'ADP Data'!$C$4:$R$498, 12, FALSE)</f>
        <v>97</v>
      </c>
      <c r="J42" s="43">
        <f>VLOOKUP($G42, SeanRanks!$A$2:$H$303, 5, FALSE)</f>
        <v>0</v>
      </c>
      <c r="K42" s="11" t="str">
        <f>IF(VLOOKUP($G42, SeanRanks!$A$2:$H$303, 6, FALSE)=0, "", VLOOKUP($G42, SeanRanks!$A$2:$H$303, 6, FALSE))</f>
        <v>WR5 - 2 - floor play not league winner</v>
      </c>
      <c r="L42" s="11">
        <f t="shared" si="4"/>
        <v>12</v>
      </c>
      <c r="M42" s="11">
        <f>VLOOKUP($G42, 'ADP Data'!$C$4:$Q$300, 9, FALSE)</f>
        <v>88</v>
      </c>
      <c r="N42" s="11">
        <f t="shared" si="5"/>
        <v>-7</v>
      </c>
      <c r="O42" s="11">
        <f>VLOOKUP($G42, 'ADP Data'!$C$4:$Q$300, 3, FALSE)</f>
        <v>95</v>
      </c>
      <c r="P42" s="11">
        <f t="shared" si="6"/>
        <v>-7</v>
      </c>
      <c r="Q42" s="11">
        <f>VLOOKUP($G42, 'ADP Data'!$C$4:$Q$300, 4, FALSE)</f>
        <v>86</v>
      </c>
      <c r="R42" s="11">
        <f>VLOOKUP($G42, 'ADP Data'!$C$4:$Q$300, 5, FALSE)</f>
        <v>97</v>
      </c>
      <c r="S42" s="11">
        <f>VLOOKUP($G42, 'ADP Data'!$C$4:$Q$300, 6, FALSE)</f>
        <v>101</v>
      </c>
      <c r="T42" s="11">
        <f>VLOOKUP($G42, 'ADP Data'!$C$4:$Q$300, 7, FALSE)</f>
        <v>91</v>
      </c>
      <c r="U42" s="11">
        <f>VLOOKUP($G42, 'ADP Data'!$C$4:$Q$300, 8, FALSE)</f>
        <v>109</v>
      </c>
      <c r="V42" s="11">
        <f t="shared" si="7"/>
        <v>95</v>
      </c>
      <c r="W42" s="11">
        <f t="shared" si="8"/>
        <v>12</v>
      </c>
      <c r="X42" s="11">
        <f t="shared" si="9"/>
        <v>-10</v>
      </c>
      <c r="Y42" s="11">
        <f>VLOOKUP($G42, SeanRanks!$A$2:$K$303, 10, FALSE)-V42</f>
        <v>26</v>
      </c>
      <c r="Z42" s="25">
        <f>IF(VLOOKUP($G42, SeanRanks!$A$2:$H$303, 7, FALSE)=0, "", VLOOKUP($G42, SeanRanks!$A$2:$H$303, 7, FALSE))</f>
        <v>55</v>
      </c>
    </row>
    <row r="43" spans="1:26" ht="14.25" customHeight="1" x14ac:dyDescent="0.25">
      <c r="A43" s="11"/>
      <c r="B43" s="11">
        <f t="shared" si="3"/>
        <v>5</v>
      </c>
      <c r="C43" s="11" t="s">
        <v>119</v>
      </c>
      <c r="D43" s="11">
        <v>2</v>
      </c>
      <c r="E43" s="11" t="s">
        <v>243</v>
      </c>
      <c r="F43" s="11">
        <f>VLOOKUP(G43, SeanRanks!$A$2:$E$302, 4, FALSE)</f>
        <v>0</v>
      </c>
      <c r="G43" s="11" t="s">
        <v>248</v>
      </c>
      <c r="H43" s="11" t="str">
        <f>VLOOKUP($G43, 'ADP Data'!$C$4:$Q$300, 2, FALSE)</f>
        <v>PIT</v>
      </c>
      <c r="I43" s="11">
        <f>VLOOKUP(G43, 'ADP Data'!$C$4:$R$498, 12, FALSE)</f>
        <v>56</v>
      </c>
      <c r="J43" s="40">
        <f>VLOOKUP($G43, SeanRanks!$A$2:$H$303, 5, FALSE)</f>
        <v>0</v>
      </c>
      <c r="K43" s="11" t="str">
        <f>IF(VLOOKUP($G43, SeanRanks!$A$2:$H$303, 6, FALSE)=0, "", VLOOKUP($G43, SeanRanks!$A$2:$H$303, 6, FALSE))</f>
        <v>WR2 - 2 - Upside with risk</v>
      </c>
      <c r="L43" s="11">
        <f t="shared" si="4"/>
        <v>6</v>
      </c>
      <c r="M43" s="11">
        <f>VLOOKUP($G43, 'ADP Data'!$C$4:$Q$300, 9, FALSE)</f>
        <v>46</v>
      </c>
      <c r="N43" s="11">
        <f t="shared" si="5"/>
        <v>-4</v>
      </c>
      <c r="O43" s="11">
        <f>VLOOKUP($G43, 'ADP Data'!$C$4:$Q$300, 3, FALSE)</f>
        <v>48</v>
      </c>
      <c r="P43" s="11">
        <f t="shared" si="6"/>
        <v>-2</v>
      </c>
      <c r="Q43" s="11">
        <f>VLOOKUP($G43, 'ADP Data'!$C$4:$Q$300, 4, FALSE)</f>
        <v>45</v>
      </c>
      <c r="R43" s="11">
        <f>VLOOKUP($G43, 'ADP Data'!$C$4:$Q$300, 5, FALSE)</f>
        <v>63</v>
      </c>
      <c r="S43" s="11">
        <f>VLOOKUP($G43, 'ADP Data'!$C$4:$Q$300, 6, FALSE)</f>
        <v>52</v>
      </c>
      <c r="T43" s="11">
        <f>VLOOKUP($G43, 'ADP Data'!$C$4:$Q$300, 7, FALSE)</f>
        <v>50</v>
      </c>
      <c r="U43" s="11">
        <f>VLOOKUP($G43, 'ADP Data'!$C$4:$Q$300, 8, FALSE)</f>
        <v>52</v>
      </c>
      <c r="V43" s="11">
        <f t="shared" si="7"/>
        <v>50</v>
      </c>
      <c r="W43" s="11">
        <f t="shared" si="8"/>
        <v>7</v>
      </c>
      <c r="X43" s="11">
        <f t="shared" si="9"/>
        <v>-5</v>
      </c>
      <c r="Y43" s="11">
        <f>VLOOKUP($G43, SeanRanks!$A$2:$K$303, 10, FALSE)-V43</f>
        <v>-1</v>
      </c>
      <c r="Z43" s="25">
        <f>IF(VLOOKUP($G43, SeanRanks!$A$2:$H$303, 7, FALSE)=0, "", VLOOKUP($G43, SeanRanks!$A$2:$H$303, 7, FALSE))</f>
        <v>20</v>
      </c>
    </row>
    <row r="44" spans="1:26" ht="14.25" customHeight="1" x14ac:dyDescent="0.25">
      <c r="A44" s="11"/>
      <c r="B44" s="11">
        <f t="shared" si="3"/>
        <v>3</v>
      </c>
      <c r="C44" s="11" t="s">
        <v>119</v>
      </c>
      <c r="D44" s="11"/>
      <c r="E44" s="11"/>
      <c r="F44" s="11">
        <f>VLOOKUP(G44, SeanRanks!$A$2:$E$302, 4, FALSE)</f>
        <v>0</v>
      </c>
      <c r="G44" s="11" t="s">
        <v>65</v>
      </c>
      <c r="H44" s="11" t="str">
        <f>VLOOKUP($G44, 'ADP Data'!$C$4:$Q$300, 2, FALSE)</f>
        <v>BUF</v>
      </c>
      <c r="I44" s="11">
        <f>VLOOKUP(G44, 'ADP Data'!$C$4:$R$498, 12, FALSE)</f>
        <v>44</v>
      </c>
      <c r="J44" s="39">
        <f>VLOOKUP($G44, SeanRanks!$A$2:$H$303, 5, FALSE)</f>
        <v>0</v>
      </c>
      <c r="K44" s="11" t="str">
        <f>IF(VLOOKUP($G44, SeanRanks!$A$2:$H$303, 6, FALSE)=0, "", VLOOKUP($G44, SeanRanks!$A$2:$H$303, 6, FALSE))</f>
        <v>RB2 - 1 - Clear path to spikes</v>
      </c>
      <c r="L44" s="11">
        <f t="shared" si="4"/>
        <v>4</v>
      </c>
      <c r="M44" s="11">
        <f>VLOOKUP($G44, 'ADP Data'!$C$4:$Q$300, 9, FALSE)</f>
        <v>30</v>
      </c>
      <c r="N44" s="11">
        <f t="shared" si="5"/>
        <v>-2</v>
      </c>
      <c r="O44" s="11">
        <f>VLOOKUP($G44, 'ADP Data'!$C$4:$Q$300, 3, FALSE)</f>
        <v>26</v>
      </c>
      <c r="P44" s="11">
        <f t="shared" si="6"/>
        <v>4</v>
      </c>
      <c r="Q44" s="11">
        <f>VLOOKUP($G44, 'ADP Data'!$C$4:$Q$300, 4, FALSE)</f>
        <v>32</v>
      </c>
      <c r="R44" s="11">
        <f>VLOOKUP($G44, 'ADP Data'!$C$4:$Q$300, 5, FALSE)</f>
        <v>40</v>
      </c>
      <c r="S44" s="11">
        <f>VLOOKUP($G44, 'ADP Data'!$C$4:$Q$300, 6, FALSE)</f>
        <v>33</v>
      </c>
      <c r="T44" s="11">
        <f>VLOOKUP($G44, 'ADP Data'!$C$4:$Q$300, 7, FALSE)</f>
        <v>36</v>
      </c>
      <c r="U44" s="11">
        <f>VLOOKUP($G44, 'ADP Data'!$C$4:$Q$300, 8, FALSE)</f>
        <v>30</v>
      </c>
      <c r="V44" s="11">
        <f t="shared" si="7"/>
        <v>32</v>
      </c>
      <c r="W44" s="11">
        <f t="shared" si="8"/>
        <v>5</v>
      </c>
      <c r="X44" s="11">
        <f t="shared" si="9"/>
        <v>-5</v>
      </c>
      <c r="Y44" s="11">
        <f>VLOOKUP($G44, SeanRanks!$A$2:$K$303, 10, FALSE)-V44</f>
        <v>2</v>
      </c>
      <c r="Z44" s="25">
        <f>IF(VLOOKUP($G44, SeanRanks!$A$2:$H$303, 7, FALSE)=0, "", VLOOKUP($G44, SeanRanks!$A$2:$H$303, 7, FALSE))</f>
        <v>15</v>
      </c>
    </row>
    <row r="45" spans="1:26" ht="14.25" customHeight="1" x14ac:dyDescent="0.25">
      <c r="A45" s="11" t="s">
        <v>148</v>
      </c>
      <c r="B45" s="11">
        <f t="shared" si="3"/>
        <v>5</v>
      </c>
      <c r="C45" s="11" t="s">
        <v>119</v>
      </c>
      <c r="D45" s="11">
        <v>3</v>
      </c>
      <c r="E45" s="11"/>
      <c r="F45" s="11">
        <f>VLOOKUP(G45, SeanRanks!$A$2:$E$302, 4, FALSE)</f>
        <v>0</v>
      </c>
      <c r="G45" s="11" t="s">
        <v>139</v>
      </c>
      <c r="H45" s="11" t="str">
        <f>VLOOKUP($G45, 'ADP Data'!$C$4:$Q$300, 2, FALSE)</f>
        <v>PHI</v>
      </c>
      <c r="I45" s="11">
        <f>VLOOKUP(G45, 'ADP Data'!$C$4:$R$498, 12, FALSE)</f>
        <v>54</v>
      </c>
      <c r="J45" s="43">
        <f>VLOOKUP($G45, SeanRanks!$A$2:$H$303, 5, FALSE)</f>
        <v>0</v>
      </c>
      <c r="K45" s="11" t="str">
        <f>IF(VLOOKUP($G45, SeanRanks!$A$2:$H$303, 6, FALSE)=0, "", VLOOKUP($G45, SeanRanks!$A$2:$H$303, 6, FALSE))</f>
        <v>WR2 - 2 - Upside with risk</v>
      </c>
      <c r="L45" s="11">
        <f t="shared" si="4"/>
        <v>7</v>
      </c>
      <c r="M45" s="11">
        <f>VLOOKUP($G45, 'ADP Data'!$C$4:$Q$300, 9, FALSE)</f>
        <v>53</v>
      </c>
      <c r="N45" s="11">
        <f t="shared" si="5"/>
        <v>-5</v>
      </c>
      <c r="O45" s="11">
        <f>VLOOKUP($G45, 'ADP Data'!$C$4:$Q$300, 3, FALSE)</f>
        <v>60</v>
      </c>
      <c r="P45" s="11">
        <f t="shared" si="6"/>
        <v>-7</v>
      </c>
      <c r="Q45" s="11">
        <f>VLOOKUP($G45, 'ADP Data'!$C$4:$Q$300, 4, FALSE)</f>
        <v>61</v>
      </c>
      <c r="R45" s="11">
        <f>VLOOKUP($G45, 'ADP Data'!$C$4:$Q$300, 5, FALSE)</f>
        <v>62</v>
      </c>
      <c r="S45" s="11">
        <f>VLOOKUP($G45, 'ADP Data'!$C$4:$Q$300, 6, FALSE)</f>
        <v>60</v>
      </c>
      <c r="T45" s="11">
        <f>VLOOKUP($G45, 'ADP Data'!$C$4:$Q$300, 7, FALSE)</f>
        <v>56</v>
      </c>
      <c r="U45" s="11">
        <f>VLOOKUP($G45, 'ADP Data'!$C$4:$Q$300, 8, FALSE)</f>
        <v>60</v>
      </c>
      <c r="V45" s="11">
        <f t="shared" si="7"/>
        <v>58</v>
      </c>
      <c r="W45" s="11">
        <f t="shared" si="8"/>
        <v>8</v>
      </c>
      <c r="X45" s="11">
        <f t="shared" si="9"/>
        <v>-5</v>
      </c>
      <c r="Y45" s="11">
        <f>VLOOKUP($G45, SeanRanks!$A$2:$K$303, 10, FALSE)-V45</f>
        <v>-13</v>
      </c>
      <c r="Z45" s="25">
        <f>IF(VLOOKUP($G45, SeanRanks!$A$2:$H$303, 7, FALSE)=0, "", VLOOKUP($G45, SeanRanks!$A$2:$H$303, 7, FALSE))</f>
        <v>18</v>
      </c>
    </row>
    <row r="46" spans="1:26" ht="14.25" customHeight="1" x14ac:dyDescent="0.25">
      <c r="A46" s="11"/>
      <c r="B46" s="11">
        <f t="shared" si="3"/>
        <v>13</v>
      </c>
      <c r="C46" s="11" t="s">
        <v>119</v>
      </c>
      <c r="D46" s="11">
        <v>4</v>
      </c>
      <c r="E46" s="11"/>
      <c r="F46" s="11">
        <f>VLOOKUP(G46, SeanRanks!$A$2:$E$302, 4, FALSE)</f>
        <v>0</v>
      </c>
      <c r="G46" s="11" t="s">
        <v>329</v>
      </c>
      <c r="H46" s="11" t="str">
        <f>VLOOKUP($G46, 'ADP Data'!$C$4:$Q$300, 2, FALSE)</f>
        <v>TB</v>
      </c>
      <c r="I46" s="11">
        <f>VLOOKUP(G46, 'ADP Data'!$C$4:$R$498, 12, FALSE)</f>
        <v>169</v>
      </c>
      <c r="J46" s="44">
        <f>VLOOKUP($G46, SeanRanks!$A$2:$H$303, 5, FALSE)</f>
        <v>0</v>
      </c>
      <c r="K46" s="11" t="str">
        <f>IF(VLOOKUP($G46, SeanRanks!$A$2:$H$303, 6, FALSE)=0, "", VLOOKUP($G46, SeanRanks!$A$2:$H$303, 6, FALSE))</f>
        <v>RB4 - 2 - low ceiling</v>
      </c>
      <c r="L46" s="11">
        <f t="shared" si="4"/>
        <v>17</v>
      </c>
      <c r="M46" s="11">
        <f>VLOOKUP($G46, 'ADP Data'!$C$4:$Q$300, 9, FALSE)</f>
        <v>129</v>
      </c>
      <c r="N46" s="11">
        <f t="shared" si="5"/>
        <v>-18</v>
      </c>
      <c r="O46" s="11">
        <f>VLOOKUP($G46, 'ADP Data'!$C$4:$Q$300, 3, FALSE)</f>
        <v>133</v>
      </c>
      <c r="P46" s="11">
        <f t="shared" si="6"/>
        <v>-4</v>
      </c>
      <c r="Q46" s="11">
        <f>VLOOKUP($G46, 'ADP Data'!$C$4:$Q$300, 4, FALSE)</f>
        <v>150</v>
      </c>
      <c r="R46" s="11">
        <f>VLOOKUP($G46, 'ADP Data'!$C$4:$Q$300, 5, FALSE)</f>
        <v>167</v>
      </c>
      <c r="S46" s="11">
        <f>VLOOKUP($G46, 'ADP Data'!$C$4:$Q$300, 6, FALSE)</f>
        <v>149</v>
      </c>
      <c r="T46" s="11">
        <f>VLOOKUP($G46, 'ADP Data'!$C$4:$Q$300, 7, FALSE)</f>
        <v>153</v>
      </c>
      <c r="U46" s="11">
        <f>VLOOKUP($G46, 'ADP Data'!$C$4:$Q$300, 8, FALSE)</f>
        <v>149</v>
      </c>
      <c r="V46" s="11">
        <f t="shared" si="7"/>
        <v>147</v>
      </c>
      <c r="W46" s="11">
        <f t="shared" si="8"/>
        <v>19</v>
      </c>
      <c r="X46" s="11">
        <f t="shared" si="9"/>
        <v>-15</v>
      </c>
      <c r="Y46" s="11">
        <f>VLOOKUP($G46, SeanRanks!$A$2:$K$303, 10, FALSE)-V46</f>
        <v>-23</v>
      </c>
      <c r="Z46" s="25">
        <f>IF(VLOOKUP($G46, SeanRanks!$A$2:$H$303, 7, FALSE)=0, "", VLOOKUP($G46, SeanRanks!$A$2:$H$303, 7, FALSE))</f>
        <v>48</v>
      </c>
    </row>
    <row r="47" spans="1:26" ht="14.25" customHeight="1" x14ac:dyDescent="0.25">
      <c r="A47" s="11"/>
      <c r="B47" s="11">
        <f t="shared" si="3"/>
        <v>5</v>
      </c>
      <c r="C47" s="11" t="s">
        <v>119</v>
      </c>
      <c r="D47" s="11">
        <v>4</v>
      </c>
      <c r="E47" s="11"/>
      <c r="F47" s="11">
        <f>VLOOKUP(G47, SeanRanks!$A$2:$E$302, 4, FALSE)</f>
        <v>0</v>
      </c>
      <c r="G47" s="11" t="s">
        <v>176</v>
      </c>
      <c r="H47" s="11" t="str">
        <f>VLOOKUP($G47, 'ADP Data'!$C$4:$Q$300, 2, FALSE)</f>
        <v>CHI</v>
      </c>
      <c r="I47" s="11">
        <f>VLOOKUP(G47, 'ADP Data'!$C$4:$R$498, 12, FALSE)</f>
        <v>50</v>
      </c>
      <c r="J47" s="45">
        <f>VLOOKUP($G47, SeanRanks!$A$2:$H$303, 5, FALSE)</f>
        <v>0</v>
      </c>
      <c r="K47" s="11" t="str">
        <f>IF(VLOOKUP($G47, SeanRanks!$A$2:$H$303, 6, FALSE)=0, "", VLOOKUP($G47, SeanRanks!$A$2:$H$303, 6, FALSE))</f>
        <v xml:space="preserve">WR3 - 1 - </v>
      </c>
      <c r="L47" s="11">
        <f t="shared" si="4"/>
        <v>7</v>
      </c>
      <c r="M47" s="11">
        <f>VLOOKUP($G47, 'ADP Data'!$C$4:$Q$300, 9, FALSE)</f>
        <v>48</v>
      </c>
      <c r="N47" s="11">
        <f t="shared" si="5"/>
        <v>-3</v>
      </c>
      <c r="O47" s="11">
        <f>VLOOKUP($G47, 'ADP Data'!$C$4:$Q$300, 3, FALSE)</f>
        <v>52</v>
      </c>
      <c r="P47" s="11">
        <f t="shared" si="6"/>
        <v>-4</v>
      </c>
      <c r="Q47" s="11">
        <f>VLOOKUP($G47, 'ADP Data'!$C$4:$Q$300, 4, FALSE)</f>
        <v>54</v>
      </c>
      <c r="R47" s="11">
        <f>VLOOKUP($G47, 'ADP Data'!$C$4:$Q$300, 5, FALSE)</f>
        <v>54</v>
      </c>
      <c r="S47" s="11">
        <f>VLOOKUP($G47, 'ADP Data'!$C$4:$Q$300, 6, FALSE)</f>
        <v>55</v>
      </c>
      <c r="T47" s="11">
        <f>VLOOKUP($G47, 'ADP Data'!$C$4:$Q$300, 7, FALSE)</f>
        <v>48</v>
      </c>
      <c r="U47" s="11">
        <f>VLOOKUP($G47, 'ADP Data'!$C$4:$Q$300, 8, FALSE)</f>
        <v>46</v>
      </c>
      <c r="V47" s="11">
        <f t="shared" si="7"/>
        <v>51</v>
      </c>
      <c r="W47" s="11">
        <f t="shared" si="8"/>
        <v>7</v>
      </c>
      <c r="X47" s="11">
        <f t="shared" si="9"/>
        <v>-3</v>
      </c>
      <c r="Y47" s="11">
        <f>VLOOKUP($G47, SeanRanks!$A$2:$K$303, 10, FALSE)-V47</f>
        <v>9</v>
      </c>
      <c r="Z47" s="25">
        <f>IF(VLOOKUP($G47, SeanRanks!$A$2:$H$303, 7, FALSE)=0, "", VLOOKUP($G47, SeanRanks!$A$2:$H$303, 7, FALSE))</f>
        <v>28</v>
      </c>
    </row>
    <row r="48" spans="1:26" ht="14.25" customHeight="1" x14ac:dyDescent="0.25">
      <c r="A48" s="11"/>
      <c r="B48" s="11">
        <f t="shared" si="3"/>
        <v>3</v>
      </c>
      <c r="C48" s="11" t="s">
        <v>119</v>
      </c>
      <c r="D48" s="11">
        <v>4</v>
      </c>
      <c r="E48" s="11"/>
      <c r="F48" s="11">
        <f>VLOOKUP(G48, SeanRanks!$A$2:$E$302, 4, FALSE)</f>
        <v>0</v>
      </c>
      <c r="G48" s="11" t="s">
        <v>174</v>
      </c>
      <c r="H48" s="11" t="str">
        <f>VLOOKUP($G48, 'ADP Data'!$C$4:$Q$300, 2, FALSE)</f>
        <v>BAL</v>
      </c>
      <c r="I48" s="11">
        <f>VLOOKUP(G48, 'ADP Data'!$C$4:$R$498, 12, FALSE)</f>
        <v>30</v>
      </c>
      <c r="J48" s="42">
        <f>VLOOKUP($G48, SeanRanks!$A$2:$H$303, 5, FALSE)</f>
        <v>0</v>
      </c>
      <c r="K48" s="11" t="str">
        <f>IF(VLOOKUP($G48, SeanRanks!$A$2:$H$303, 6, FALSE)=0, "", VLOOKUP($G48, SeanRanks!$A$2:$H$303, 6, FALSE))</f>
        <v>QB1 - 1 - Elite</v>
      </c>
      <c r="L48" s="11">
        <f t="shared" si="4"/>
        <v>3</v>
      </c>
      <c r="M48" s="11">
        <f>VLOOKUP($G48, 'ADP Data'!$C$4:$Q$300, 9, FALSE)</f>
        <v>23</v>
      </c>
      <c r="N48" s="11">
        <f t="shared" si="5"/>
        <v>0</v>
      </c>
      <c r="O48" s="11">
        <f>VLOOKUP($G48, 'ADP Data'!$C$4:$Q$300, 3, FALSE)</f>
        <v>17</v>
      </c>
      <c r="P48" s="11">
        <f t="shared" si="6"/>
        <v>6</v>
      </c>
      <c r="Q48" s="11">
        <f>VLOOKUP($G48, 'ADP Data'!$C$4:$Q$300, 4, FALSE)</f>
        <v>23</v>
      </c>
      <c r="R48" s="11">
        <f>VLOOKUP($G48, 'ADP Data'!$C$4:$Q$300, 5, FALSE)</f>
        <v>31</v>
      </c>
      <c r="S48" s="11">
        <f>VLOOKUP($G48, 'ADP Data'!$C$4:$Q$300, 6, FALSE)</f>
        <v>29</v>
      </c>
      <c r="T48" s="11">
        <f>VLOOKUP($G48, 'ADP Data'!$C$4:$Q$300, 7, FALSE)</f>
        <v>24</v>
      </c>
      <c r="U48" s="11">
        <f>VLOOKUP($G48, 'ADP Data'!$C$4:$Q$300, 8, FALSE)</f>
        <v>18</v>
      </c>
      <c r="V48" s="11">
        <f t="shared" si="7"/>
        <v>23</v>
      </c>
      <c r="W48" s="11">
        <f t="shared" si="8"/>
        <v>3</v>
      </c>
      <c r="X48" s="11">
        <f t="shared" si="9"/>
        <v>1</v>
      </c>
      <c r="Y48" s="11">
        <f>VLOOKUP($G48, SeanRanks!$A$2:$K$303, 10, FALSE)-V48</f>
        <v>3</v>
      </c>
      <c r="Z48" s="25">
        <f>IF(VLOOKUP($G48, SeanRanks!$A$2:$H$303, 7, FALSE)=0, "", VLOOKUP($G48, SeanRanks!$A$2:$H$303, 7, FALSE))</f>
        <v>1</v>
      </c>
    </row>
    <row r="49" spans="1:26" ht="14.25" customHeight="1" x14ac:dyDescent="0.25">
      <c r="A49" s="11"/>
      <c r="B49" s="11">
        <f t="shared" si="3"/>
        <v>2</v>
      </c>
      <c r="C49" s="11" t="s">
        <v>119</v>
      </c>
      <c r="D49" s="11">
        <v>4</v>
      </c>
      <c r="E49" s="11"/>
      <c r="F49" s="11">
        <f>VLOOKUP(G49, SeanRanks!$A$2:$E$302, 4, FALSE)</f>
        <v>0</v>
      </c>
      <c r="G49" s="11" t="s">
        <v>122</v>
      </c>
      <c r="H49" s="11" t="str">
        <f>VLOOKUP($G49, 'ADP Data'!$C$4:$Q$300, 2, FALSE)</f>
        <v>ARI</v>
      </c>
      <c r="I49" s="11">
        <f>VLOOKUP(G49, 'ADP Data'!$C$4:$R$498, 12, FALSE)</f>
        <v>24</v>
      </c>
      <c r="J49" s="41">
        <f>VLOOKUP($G49, SeanRanks!$A$2:$H$303, 5, FALSE)</f>
        <v>0</v>
      </c>
      <c r="K49" s="11" t="str">
        <f>IF(VLOOKUP($G49, SeanRanks!$A$2:$H$303, 6, FALSE)=0, "", VLOOKUP($G49, SeanRanks!$A$2:$H$303, 6, FALSE))</f>
        <v>TE1 - 1 - Elite</v>
      </c>
      <c r="L49" s="11">
        <f t="shared" si="4"/>
        <v>4</v>
      </c>
      <c r="M49" s="11">
        <f>VLOOKUP($G49, 'ADP Data'!$C$4:$Q$300, 9, FALSE)</f>
        <v>26</v>
      </c>
      <c r="N49" s="11">
        <f t="shared" si="5"/>
        <v>1</v>
      </c>
      <c r="O49" s="11">
        <f>VLOOKUP($G49, 'ADP Data'!$C$4:$Q$300, 3, FALSE)</f>
        <v>35</v>
      </c>
      <c r="P49" s="11">
        <f t="shared" si="6"/>
        <v>-9</v>
      </c>
      <c r="Q49" s="11">
        <f>VLOOKUP($G49, 'ADP Data'!$C$4:$Q$300, 4, FALSE)</f>
        <v>25</v>
      </c>
      <c r="R49" s="11">
        <f>VLOOKUP($G49, 'ADP Data'!$C$4:$Q$300, 5, FALSE)</f>
        <v>28</v>
      </c>
      <c r="S49" s="11">
        <f>VLOOKUP($G49, 'ADP Data'!$C$4:$Q$300, 6, FALSE)</f>
        <v>13</v>
      </c>
      <c r="T49" s="11">
        <f>VLOOKUP($G49, 'ADP Data'!$C$4:$Q$300, 7, FALSE)</f>
        <v>26</v>
      </c>
      <c r="U49" s="11">
        <f>VLOOKUP($G49, 'ADP Data'!$C$4:$Q$300, 8, FALSE)</f>
        <v>27</v>
      </c>
      <c r="V49" s="11">
        <f t="shared" si="7"/>
        <v>25</v>
      </c>
      <c r="W49" s="11">
        <f t="shared" si="8"/>
        <v>4</v>
      </c>
      <c r="X49" s="11">
        <f t="shared" si="9"/>
        <v>0</v>
      </c>
      <c r="Y49" s="11">
        <f>VLOOKUP($G49, SeanRanks!$A$2:$K$303, 10, FALSE)-V49</f>
        <v>-1</v>
      </c>
      <c r="Z49" s="25">
        <f>IF(VLOOKUP($G49, SeanRanks!$A$2:$H$303, 7, FALSE)=0, "", VLOOKUP($G49, SeanRanks!$A$2:$H$303, 7, FALSE))</f>
        <v>2</v>
      </c>
    </row>
    <row r="50" spans="1:26" ht="14.25" customHeight="1" x14ac:dyDescent="0.25">
      <c r="A50" s="11"/>
      <c r="B50" s="11">
        <f t="shared" si="3"/>
        <v>1</v>
      </c>
      <c r="C50" s="11" t="s">
        <v>119</v>
      </c>
      <c r="D50" s="11">
        <v>3</v>
      </c>
      <c r="E50" s="11" t="s">
        <v>243</v>
      </c>
      <c r="F50" s="11">
        <f>VLOOKUP(G50, SeanRanks!$A$2:$E$302, 4, FALSE)</f>
        <v>0</v>
      </c>
      <c r="G50" s="11" t="s">
        <v>125</v>
      </c>
      <c r="H50" s="11" t="str">
        <f>VLOOKUP($G50, 'ADP Data'!$C$4:$Q$300, 2, FALSE)</f>
        <v>NYG</v>
      </c>
      <c r="I50" s="11">
        <f>VLOOKUP(G50, 'ADP Data'!$C$4:$R$498, 12, FALSE)</f>
        <v>10</v>
      </c>
      <c r="J50" s="40">
        <f>VLOOKUP($G50, SeanRanks!$A$2:$H$303, 5, FALSE)</f>
        <v>0</v>
      </c>
      <c r="K50" s="11" t="str">
        <f>IF(VLOOKUP($G50, SeanRanks!$A$2:$H$303, 6, FALSE)=0, "", VLOOKUP($G50, SeanRanks!$A$2:$H$303, 6, FALSE))</f>
        <v>WR1 - 2 - High Floor</v>
      </c>
      <c r="L50" s="11">
        <f t="shared" si="4"/>
        <v>2</v>
      </c>
      <c r="M50" s="11">
        <f>VLOOKUP($G50, 'ADP Data'!$C$4:$Q$300, 9, FALSE)</f>
        <v>12</v>
      </c>
      <c r="N50" s="11">
        <f t="shared" si="5"/>
        <v>3</v>
      </c>
      <c r="O50" s="11">
        <f>VLOOKUP($G50, 'ADP Data'!$C$4:$Q$300, 3, FALSE)</f>
        <v>11</v>
      </c>
      <c r="P50" s="11">
        <f t="shared" si="6"/>
        <v>1</v>
      </c>
      <c r="Q50" s="11">
        <f>VLOOKUP($G50, 'ADP Data'!$C$4:$Q$300, 4, FALSE)</f>
        <v>10</v>
      </c>
      <c r="R50" s="11">
        <f>VLOOKUP($G50, 'ADP Data'!$C$4:$Q$300, 5, FALSE)</f>
        <v>9</v>
      </c>
      <c r="S50" s="11">
        <f>VLOOKUP($G50, 'ADP Data'!$C$4:$Q$300, 6, FALSE)</f>
        <v>10</v>
      </c>
      <c r="T50" s="11">
        <f>VLOOKUP($G50, 'ADP Data'!$C$4:$Q$300, 7, FALSE)</f>
        <v>8</v>
      </c>
      <c r="U50" s="11">
        <f>VLOOKUP($G50, 'ADP Data'!$C$4:$Q$300, 8, FALSE)</f>
        <v>9</v>
      </c>
      <c r="V50" s="11">
        <f t="shared" si="7"/>
        <v>9</v>
      </c>
      <c r="W50" s="11">
        <f t="shared" si="8"/>
        <v>2</v>
      </c>
      <c r="X50" s="11">
        <f t="shared" si="9"/>
        <v>1</v>
      </c>
      <c r="Y50" s="11">
        <f>VLOOKUP($G50, SeanRanks!$A$2:$K$303, 10, FALSE)-V50</f>
        <v>1</v>
      </c>
      <c r="Z50" s="25">
        <f>IF(VLOOKUP($G50, SeanRanks!$A$2:$H$303, 7, FALSE)=0, "", VLOOKUP($G50, SeanRanks!$A$2:$H$303, 7, FALSE))</f>
        <v>5</v>
      </c>
    </row>
    <row r="51" spans="1:26" ht="14.25" customHeight="1" x14ac:dyDescent="0.25">
      <c r="A51" s="11"/>
      <c r="B51" s="11">
        <f t="shared" si="3"/>
        <v>7</v>
      </c>
      <c r="C51" s="11" t="s">
        <v>119</v>
      </c>
      <c r="D51" s="11">
        <v>4</v>
      </c>
      <c r="E51" s="11"/>
      <c r="F51" s="11">
        <f>VLOOKUP(G51, SeanRanks!$A$2:$E$302, 4, FALSE)</f>
        <v>0</v>
      </c>
      <c r="G51" s="11" t="s">
        <v>349</v>
      </c>
      <c r="H51" s="11" t="str">
        <f>VLOOKUP($G51, 'ADP Data'!$C$4:$Q$300, 2, FALSE)</f>
        <v>BAL</v>
      </c>
      <c r="I51" s="11">
        <f>VLOOKUP(G51, 'ADP Data'!$C$4:$R$498, 12, FALSE)</f>
        <v>93</v>
      </c>
      <c r="J51" s="41" t="str">
        <f>VLOOKUP($G51, SeanRanks!$A$2:$H$303, 5, FALSE)</f>
        <v>No</v>
      </c>
      <c r="K51" s="11" t="str">
        <f>IF(VLOOKUP($G51, SeanRanks!$A$2:$H$303, 6, FALSE)=0, "", VLOOKUP($G51, SeanRanks!$A$2:$H$303, 6, FALSE))</f>
        <v>TE1 - 3 - Weekly Start</v>
      </c>
      <c r="L51" s="11">
        <f t="shared" si="4"/>
        <v>10</v>
      </c>
      <c r="M51" s="11">
        <f>VLOOKUP($G51, 'ADP Data'!$C$4:$Q$300, 9, FALSE)</f>
        <v>77</v>
      </c>
      <c r="N51" s="11">
        <f t="shared" si="5"/>
        <v>0</v>
      </c>
      <c r="O51" s="11">
        <f>VLOOKUP($G51, 'ADP Data'!$C$4:$Q$300, 3, FALSE)</f>
        <v>73</v>
      </c>
      <c r="P51" s="11">
        <f t="shared" si="6"/>
        <v>4</v>
      </c>
      <c r="Q51" s="11">
        <f>VLOOKUP($G51, 'ADP Data'!$C$4:$Q$300, 4, FALSE)</f>
        <v>73</v>
      </c>
      <c r="R51" s="11">
        <f>VLOOKUP($G51, 'ADP Data'!$C$4:$Q$300, 5, FALSE)</f>
        <v>95</v>
      </c>
      <c r="S51" s="11">
        <f>VLOOKUP($G51, 'ADP Data'!$C$4:$Q$300, 6, FALSE)</f>
        <v>79</v>
      </c>
      <c r="T51" s="11">
        <f>VLOOKUP($G51, 'ADP Data'!$C$4:$Q$300, 7, FALSE)</f>
        <v>93</v>
      </c>
      <c r="U51" s="11">
        <f>VLOOKUP($G51, 'ADP Data'!$C$4:$Q$300, 8, FALSE)</f>
        <v>53</v>
      </c>
      <c r="V51" s="11">
        <f t="shared" si="7"/>
        <v>77</v>
      </c>
      <c r="W51" s="11">
        <f t="shared" si="8"/>
        <v>10</v>
      </c>
      <c r="X51" s="11">
        <f t="shared" si="9"/>
        <v>-6</v>
      </c>
      <c r="Y51" s="11">
        <f>VLOOKUP($G51, SeanRanks!$A$2:$K$303, 10, FALSE)-V51</f>
        <v>2</v>
      </c>
      <c r="Z51" s="25">
        <f>IF(VLOOKUP($G51, SeanRanks!$A$2:$H$303, 7, FALSE)=0, "", VLOOKUP($G51, SeanRanks!$A$2:$H$303, 7, FALSE))</f>
        <v>7</v>
      </c>
    </row>
    <row r="52" spans="1:26" ht="14.25" customHeight="1" x14ac:dyDescent="0.25">
      <c r="A52" s="11"/>
      <c r="B52" s="11">
        <f t="shared" si="3"/>
        <v>12</v>
      </c>
      <c r="C52" s="11" t="s">
        <v>119</v>
      </c>
      <c r="D52" s="11">
        <v>4</v>
      </c>
      <c r="E52" s="11"/>
      <c r="F52" s="11">
        <f>VLOOKUP(G52, SeanRanks!$A$2:$E$302, 4, FALSE)</f>
        <v>0</v>
      </c>
      <c r="G52" s="11" t="s">
        <v>804</v>
      </c>
      <c r="H52" s="11" t="str">
        <f>VLOOKUP($G52, 'ADP Data'!$C$4:$Q$300, 2, FALSE)</f>
        <v>HOU</v>
      </c>
      <c r="I52" s="11">
        <f>VLOOKUP(G52, 'ADP Data'!$C$4:$R$498, 12, FALSE)</f>
        <v>162</v>
      </c>
      <c r="J52" s="44">
        <f>VLOOKUP($G52, SeanRanks!$A$2:$H$303, 5, FALSE)</f>
        <v>0</v>
      </c>
      <c r="K52" s="11" t="str">
        <f>IF(VLOOKUP($G52, SeanRanks!$A$2:$H$303, 6, FALSE)=0, "", VLOOKUP($G52, SeanRanks!$A$2:$H$303, 6, FALSE))</f>
        <v>RB2 - 2 - Path to spikes</v>
      </c>
      <c r="L52" s="11">
        <f t="shared" si="4"/>
        <v>8</v>
      </c>
      <c r="M52" s="11">
        <f>VLOOKUP($G52, 'ADP Data'!$C$4:$Q$300, 9, FALSE)</f>
        <v>63</v>
      </c>
      <c r="N52" s="11">
        <f t="shared" si="5"/>
        <v>-53</v>
      </c>
      <c r="O52" s="11">
        <f>VLOOKUP($G52, 'ADP Data'!$C$4:$Q$300, 3, FALSE)</f>
        <v>81</v>
      </c>
      <c r="P52" s="11">
        <f t="shared" si="6"/>
        <v>-18</v>
      </c>
      <c r="Q52" s="11">
        <f>VLOOKUP($G52, 'ADP Data'!$C$4:$Q$300, 4, FALSE)</f>
        <v>121</v>
      </c>
      <c r="R52" s="11">
        <f>VLOOKUP($G52, 'ADP Data'!$C$4:$Q$300, 5, FALSE)</f>
        <v>262</v>
      </c>
      <c r="S52" s="11">
        <f>VLOOKUP($G52, 'ADP Data'!$C$4:$Q$300, 6, FALSE)</f>
        <v>115</v>
      </c>
      <c r="T52" s="11">
        <f>VLOOKUP($G52, 'ADP Data'!$C$4:$Q$300, 7, FALSE)</f>
        <v>110</v>
      </c>
      <c r="U52" s="11">
        <f>VLOOKUP($G52, 'ADP Data'!$C$4:$Q$300, 8, FALSE)</f>
        <v>65</v>
      </c>
      <c r="V52" s="11">
        <f t="shared" si="7"/>
        <v>116</v>
      </c>
      <c r="W52" s="11">
        <f t="shared" si="8"/>
        <v>15</v>
      </c>
      <c r="X52" s="11">
        <f t="shared" si="9"/>
        <v>-11</v>
      </c>
      <c r="Y52" s="11">
        <f>VLOOKUP($G52, SeanRanks!$A$2:$K$303, 10, FALSE)-V52</f>
        <v>45</v>
      </c>
      <c r="Z52" s="25">
        <f>IF(VLOOKUP($G52, SeanRanks!$A$2:$H$303, 7, FALSE)=0, "", VLOOKUP($G52, SeanRanks!$A$2:$H$303, 7, FALSE))</f>
        <v>22</v>
      </c>
    </row>
    <row r="53" spans="1:26" ht="14.25" customHeight="1" x14ac:dyDescent="0.25">
      <c r="A53" s="11" t="s">
        <v>148</v>
      </c>
      <c r="B53" s="11">
        <f t="shared" si="3"/>
        <v>8</v>
      </c>
      <c r="C53" s="11" t="s">
        <v>119</v>
      </c>
      <c r="D53" s="11">
        <v>4</v>
      </c>
      <c r="E53" s="11"/>
      <c r="F53" s="11">
        <f>VLOOKUP(G53, SeanRanks!$A$2:$E$302, 4, FALSE)</f>
        <v>0</v>
      </c>
      <c r="G53" s="11" t="s">
        <v>288</v>
      </c>
      <c r="H53" s="11" t="str">
        <f>VLOOKUP($G53, 'ADP Data'!$C$4:$Q$300, 2, FALSE)</f>
        <v>NE</v>
      </c>
      <c r="I53" s="11">
        <f>VLOOKUP(G53, 'ADP Data'!$C$4:$R$498, 12, FALSE)</f>
        <v>67</v>
      </c>
      <c r="J53" s="45">
        <f>VLOOKUP($G53, SeanRanks!$A$2:$H$303, 5, FALSE)</f>
        <v>0</v>
      </c>
      <c r="K53" s="11" t="str">
        <f>IF(VLOOKUP($G53, SeanRanks!$A$2:$H$303, 6, FALSE)=0, "", VLOOKUP($G53, SeanRanks!$A$2:$H$303, 6, FALSE))</f>
        <v>WR3 - 3 - lower ceiling</v>
      </c>
      <c r="L53" s="11">
        <f t="shared" si="4"/>
        <v>12</v>
      </c>
      <c r="M53" s="11">
        <f>VLOOKUP($G53, 'ADP Data'!$C$4:$Q$300, 9, FALSE)</f>
        <v>89</v>
      </c>
      <c r="N53" s="11">
        <f t="shared" si="5"/>
        <v>2</v>
      </c>
      <c r="O53" s="11">
        <f>VLOOKUP($G53, 'ADP Data'!$C$4:$Q$300, 3, FALSE)</f>
        <v>91</v>
      </c>
      <c r="P53" s="11">
        <f t="shared" si="6"/>
        <v>-2</v>
      </c>
      <c r="Q53" s="11">
        <f>VLOOKUP($G53, 'ADP Data'!$C$4:$Q$300, 4, FALSE)</f>
        <v>88</v>
      </c>
      <c r="R53" s="11">
        <f>VLOOKUP($G53, 'ADP Data'!$C$4:$Q$300, 5, FALSE)</f>
        <v>89</v>
      </c>
      <c r="S53" s="11">
        <f>VLOOKUP($G53, 'ADP Data'!$C$4:$Q$300, 6, FALSE)</f>
        <v>85</v>
      </c>
      <c r="T53" s="11">
        <f>VLOOKUP($G53, 'ADP Data'!$C$4:$Q$300, 7, FALSE)</f>
        <v>77</v>
      </c>
      <c r="U53" s="11">
        <f>VLOOKUP($G53, 'ADP Data'!$C$4:$Q$300, 8, FALSE)</f>
        <v>95</v>
      </c>
      <c r="V53" s="11">
        <f t="shared" si="7"/>
        <v>87</v>
      </c>
      <c r="W53" s="11">
        <f t="shared" si="8"/>
        <v>11</v>
      </c>
      <c r="X53" s="11">
        <f t="shared" si="9"/>
        <v>-7</v>
      </c>
      <c r="Y53" s="11">
        <f>VLOOKUP($G53, SeanRanks!$A$2:$K$303, 10, FALSE)-V53</f>
        <v>-10</v>
      </c>
      <c r="Z53" s="25">
        <f>IF(VLOOKUP($G53, SeanRanks!$A$2:$H$303, 7, FALSE)=0, "", VLOOKUP($G53, SeanRanks!$A$2:$H$303, 7, FALSE))</f>
        <v>38</v>
      </c>
    </row>
    <row r="54" spans="1:26" ht="14.25" customHeight="1" x14ac:dyDescent="0.25">
      <c r="A54" s="11"/>
      <c r="B54" s="11">
        <f t="shared" si="3"/>
        <v>4</v>
      </c>
      <c r="C54" s="11" t="s">
        <v>119</v>
      </c>
      <c r="D54" s="11">
        <v>4</v>
      </c>
      <c r="E54" s="11" t="s">
        <v>243</v>
      </c>
      <c r="F54" s="11">
        <f>VLOOKUP(G54, SeanRanks!$A$2:$E$302, 4, FALSE)</f>
        <v>0</v>
      </c>
      <c r="G54" s="11" t="s">
        <v>84</v>
      </c>
      <c r="H54" s="11" t="str">
        <f>VLOOKUP($G54, 'ADP Data'!$C$4:$Q$300, 2, FALSE)</f>
        <v>SEA</v>
      </c>
      <c r="I54" s="11">
        <f>VLOOKUP(G54, 'ADP Data'!$C$4:$R$498, 12, FALSE)</f>
        <v>39</v>
      </c>
      <c r="J54" s="46">
        <f>VLOOKUP($G54, SeanRanks!$A$2:$H$303, 5, FALSE)</f>
        <v>0</v>
      </c>
      <c r="K54" s="11" t="str">
        <f>IF(VLOOKUP($G54, SeanRanks!$A$2:$H$303, 6, FALSE)=0, "", VLOOKUP($G54, SeanRanks!$A$2:$H$303, 6, FALSE))</f>
        <v>RB2 - 1 - Clear path to spikes</v>
      </c>
      <c r="L54" s="11">
        <f t="shared" si="4"/>
        <v>6</v>
      </c>
      <c r="M54" s="11">
        <f>VLOOKUP($G54, 'ADP Data'!$C$4:$Q$300, 9, FALSE)</f>
        <v>43</v>
      </c>
      <c r="N54" s="11">
        <f t="shared" si="5"/>
        <v>2</v>
      </c>
      <c r="O54" s="11">
        <f>VLOOKUP($G54, 'ADP Data'!$C$4:$Q$300, 3, FALSE)</f>
        <v>33</v>
      </c>
      <c r="P54" s="11">
        <f t="shared" si="6"/>
        <v>10</v>
      </c>
      <c r="Q54" s="11">
        <f>VLOOKUP($G54, 'ADP Data'!$C$4:$Q$300, 4, FALSE)</f>
        <v>47</v>
      </c>
      <c r="R54" s="11">
        <f>VLOOKUP($G54, 'ADP Data'!$C$4:$Q$300, 5, FALSE)</f>
        <v>55</v>
      </c>
      <c r="S54" s="11">
        <f>VLOOKUP($G54, 'ADP Data'!$C$4:$Q$300, 6, FALSE)</f>
        <v>34</v>
      </c>
      <c r="T54" s="11">
        <f>VLOOKUP($G54, 'ADP Data'!$C$4:$Q$300, 7, FALSE)</f>
        <v>41</v>
      </c>
      <c r="U54" s="11">
        <f>VLOOKUP($G54, 'ADP Data'!$C$4:$Q$300, 8, FALSE)</f>
        <v>40</v>
      </c>
      <c r="V54" s="11">
        <f t="shared" si="7"/>
        <v>41</v>
      </c>
      <c r="W54" s="11">
        <f t="shared" si="8"/>
        <v>6</v>
      </c>
      <c r="X54" s="11">
        <f t="shared" si="9"/>
        <v>-2</v>
      </c>
      <c r="Y54" s="11">
        <f>VLOOKUP($G54, SeanRanks!$A$2:$K$303, 10, FALSE)-V54</f>
        <v>-3</v>
      </c>
      <c r="Z54" s="25">
        <f>IF(VLOOKUP($G54, SeanRanks!$A$2:$H$303, 7, FALSE)=0, "", VLOOKUP($G54, SeanRanks!$A$2:$H$303, 7, FALSE))</f>
        <v>13</v>
      </c>
    </row>
    <row r="55" spans="1:26" ht="14.25" customHeight="1" x14ac:dyDescent="0.25">
      <c r="A55" s="11"/>
      <c r="B55" s="11">
        <f t="shared" si="3"/>
        <v>4</v>
      </c>
      <c r="C55" s="11" t="s">
        <v>119</v>
      </c>
      <c r="D55" s="11">
        <v>4</v>
      </c>
      <c r="E55" s="11" t="s">
        <v>243</v>
      </c>
      <c r="F55" s="11">
        <f>VLOOKUP(G55, SeanRanks!$A$2:$E$302, 4, FALSE)</f>
        <v>0</v>
      </c>
      <c r="G55" s="11" t="s">
        <v>417</v>
      </c>
      <c r="H55" s="11" t="str">
        <f>VLOOKUP($G55, 'ADP Data'!$C$4:$Q$300, 2, FALSE)</f>
        <v>NO</v>
      </c>
      <c r="I55" s="11">
        <f>VLOOKUP(G55, 'ADP Data'!$C$4:$R$498, 12, FALSE)</f>
        <v>52</v>
      </c>
      <c r="J55" s="46">
        <f>VLOOKUP($G55, SeanRanks!$A$2:$H$303, 5, FALSE)</f>
        <v>0</v>
      </c>
      <c r="K55" s="11" t="str">
        <f>IF(VLOOKUP($G55, SeanRanks!$A$2:$H$303, 6, FALSE)=0, "", VLOOKUP($G55, SeanRanks!$A$2:$H$303, 6, FALSE))</f>
        <v>RB2 - 1 - Clear path to spikes</v>
      </c>
      <c r="L55" s="11">
        <f t="shared" si="4"/>
        <v>6</v>
      </c>
      <c r="M55" s="11">
        <f>VLOOKUP($G55, 'ADP Data'!$C$4:$Q$300, 9, FALSE)</f>
        <v>40</v>
      </c>
      <c r="N55" s="11">
        <f t="shared" si="5"/>
        <v>-1</v>
      </c>
      <c r="O55" s="11">
        <f>VLOOKUP($G55, 'ADP Data'!$C$4:$Q$300, 3, FALSE)</f>
        <v>28</v>
      </c>
      <c r="P55" s="11">
        <f t="shared" si="6"/>
        <v>12</v>
      </c>
      <c r="Q55" s="11">
        <f>VLOOKUP($G55, 'ADP Data'!$C$4:$Q$300, 4, FALSE)</f>
        <v>38</v>
      </c>
      <c r="R55" s="11">
        <f>VLOOKUP($G55, 'ADP Data'!$C$4:$Q$300, 5, FALSE)</f>
        <v>53</v>
      </c>
      <c r="S55" s="11">
        <f>VLOOKUP($G55, 'ADP Data'!$C$4:$Q$300, 6, FALSE)</f>
        <v>37</v>
      </c>
      <c r="T55" s="11">
        <f>VLOOKUP($G55, 'ADP Data'!$C$4:$Q$300, 7, FALSE)</f>
        <v>49</v>
      </c>
      <c r="U55" s="11">
        <f>VLOOKUP($G55, 'ADP Data'!$C$4:$Q$300, 8, FALSE)</f>
        <v>44</v>
      </c>
      <c r="V55" s="11">
        <f t="shared" si="7"/>
        <v>41</v>
      </c>
      <c r="W55" s="11">
        <f t="shared" si="8"/>
        <v>6</v>
      </c>
      <c r="X55" s="11">
        <f t="shared" si="9"/>
        <v>-2</v>
      </c>
      <c r="Y55" s="11">
        <f>VLOOKUP($G55, SeanRanks!$A$2:$K$303, 10, FALSE)-V55</f>
        <v>0</v>
      </c>
      <c r="Z55" s="25">
        <f>IF(VLOOKUP($G55, SeanRanks!$A$2:$H$303, 7, FALSE)=0, "", VLOOKUP($G55, SeanRanks!$A$2:$H$303, 7, FALSE))</f>
        <v>18</v>
      </c>
    </row>
    <row r="56" spans="1:26" ht="14.25" customHeight="1" x14ac:dyDescent="0.25">
      <c r="A56" s="11" t="s">
        <v>148</v>
      </c>
      <c r="B56" s="11">
        <f t="shared" si="3"/>
        <v>11</v>
      </c>
      <c r="C56" s="11" t="s">
        <v>119</v>
      </c>
      <c r="D56" s="11">
        <v>5</v>
      </c>
      <c r="E56" s="11"/>
      <c r="F56" s="11">
        <f>VLOOKUP(G56, SeanRanks!$A$2:$E$302, 4, FALSE)</f>
        <v>0</v>
      </c>
      <c r="G56" s="11" t="s">
        <v>324</v>
      </c>
      <c r="H56" s="11" t="str">
        <f>VLOOKUP($G56, 'ADP Data'!$C$4:$Q$300, 2, FALSE)</f>
        <v>BUF</v>
      </c>
      <c r="I56" s="11">
        <f>VLOOKUP(G56, 'ADP Data'!$C$4:$R$498, 12, FALSE)</f>
        <v>131</v>
      </c>
      <c r="J56" s="47">
        <f>VLOOKUP($G56, SeanRanks!$A$2:$H$303, 5, FALSE)</f>
        <v>0</v>
      </c>
      <c r="K56" s="11" t="str">
        <f>IF(VLOOKUP($G56, SeanRanks!$A$2:$H$303, 6, FALSE)=0, "", VLOOKUP($G56, SeanRanks!$A$2:$H$303, 6, FALSE))</f>
        <v/>
      </c>
      <c r="L56" s="11">
        <f t="shared" si="4"/>
        <v>15</v>
      </c>
      <c r="M56" s="11">
        <f>VLOOKUP($G56, 'ADP Data'!$C$4:$Q$300, 9, FALSE)</f>
        <v>119</v>
      </c>
      <c r="N56" s="11">
        <f t="shared" si="5"/>
        <v>-9</v>
      </c>
      <c r="O56" s="11">
        <f>VLOOKUP($G56, 'ADP Data'!$C$4:$Q$300, 3, FALSE)</f>
        <v>142</v>
      </c>
      <c r="P56" s="11">
        <f t="shared" si="6"/>
        <v>-23</v>
      </c>
      <c r="Q56" s="11">
        <f>VLOOKUP($G56, 'ADP Data'!$C$4:$Q$300, 4, FALSE)</f>
        <v>126</v>
      </c>
      <c r="R56" s="11">
        <f>VLOOKUP($G56, 'ADP Data'!$C$4:$Q$300, 5, FALSE)</f>
        <v>142</v>
      </c>
      <c r="S56" s="11">
        <f>VLOOKUP($G56, 'ADP Data'!$C$4:$Q$300, 6, FALSE)</f>
        <v>107</v>
      </c>
      <c r="T56" s="11">
        <f>VLOOKUP($G56, 'ADP Data'!$C$4:$Q$300, 7, FALSE)</f>
        <v>133</v>
      </c>
      <c r="U56" s="11">
        <f>VLOOKUP($G56, 'ADP Data'!$C$4:$Q$300, 8, FALSE)</f>
        <v>128</v>
      </c>
      <c r="V56" s="11">
        <f t="shared" si="7"/>
        <v>128</v>
      </c>
      <c r="W56" s="11">
        <f t="shared" si="8"/>
        <v>17</v>
      </c>
      <c r="X56" s="11">
        <f t="shared" si="9"/>
        <v>-12</v>
      </c>
      <c r="Y56" s="11">
        <f>VLOOKUP($G56, SeanRanks!$A$2:$K$303, 10, FALSE)-V56</f>
        <v>-8</v>
      </c>
      <c r="Z56" s="25" t="str">
        <f>IF(VLOOKUP($G56, SeanRanks!$A$2:$H$303, 7, FALSE)=0, "", VLOOKUP($G56, SeanRanks!$A$2:$H$303, 7, FALSE))</f>
        <v/>
      </c>
    </row>
    <row r="57" spans="1:26" ht="14.25" customHeight="1" x14ac:dyDescent="0.25">
      <c r="A57" s="11" t="s">
        <v>148</v>
      </c>
      <c r="B57" s="11">
        <f t="shared" si="3"/>
        <v>21</v>
      </c>
      <c r="C57" s="11" t="s">
        <v>119</v>
      </c>
      <c r="D57" s="11">
        <v>3</v>
      </c>
      <c r="E57" s="11"/>
      <c r="F57" s="11">
        <f>VLOOKUP(G57, SeanRanks!$A$2:$E$302, 4, FALSE)</f>
        <v>0</v>
      </c>
      <c r="G57" s="11" t="s">
        <v>810</v>
      </c>
      <c r="H57" s="11" t="str">
        <f>VLOOKUP($G57, 'ADP Data'!$C$4:$Q$300, 2, FALSE)</f>
        <v>LV</v>
      </c>
      <c r="I57" s="11">
        <f>VLOOKUP(G57, 'ADP Data'!$C$4:$R$498, 12, FALSE)</f>
        <v>197</v>
      </c>
      <c r="J57" s="43">
        <f>VLOOKUP($G57, SeanRanks!$A$2:$H$303, 5, FALSE)</f>
        <v>0</v>
      </c>
      <c r="K57" s="11" t="str">
        <f>IF(VLOOKUP($G57, SeanRanks!$A$2:$H$303, 6, FALSE)=0, "", VLOOKUP($G57, SeanRanks!$A$2:$H$303, 6, FALSE))</f>
        <v/>
      </c>
      <c r="L57" s="11">
        <f t="shared" si="4"/>
        <v>32</v>
      </c>
      <c r="M57" s="11">
        <f>VLOOKUP($G57, 'ADP Data'!$C$4:$Q$300, 9, FALSE)</f>
        <v>250</v>
      </c>
      <c r="N57" s="11">
        <f t="shared" si="5"/>
        <v>17</v>
      </c>
      <c r="O57" s="11">
        <f>VLOOKUP($G57, 'ADP Data'!$C$4:$Q$300, 3, FALSE)</f>
        <v>143</v>
      </c>
      <c r="P57" s="11">
        <f t="shared" si="6"/>
        <v>107</v>
      </c>
      <c r="Q57" s="11">
        <f>VLOOKUP($G57, 'ADP Data'!$C$4:$Q$300, 4, FALSE)</f>
        <v>189</v>
      </c>
      <c r="R57" s="11">
        <f>VLOOKUP($G57, 'ADP Data'!$C$4:$Q$300, 5, FALSE)</f>
        <v>308</v>
      </c>
      <c r="S57" s="11">
        <f>VLOOKUP($G57, 'ADP Data'!$C$4:$Q$300, 6, FALSE)</f>
        <v>227</v>
      </c>
      <c r="T57" s="11">
        <f>VLOOKUP($G57, 'ADP Data'!$C$4:$Q$300, 7, FALSE)</f>
        <v>229</v>
      </c>
      <c r="U57" s="11">
        <f>VLOOKUP($G57, 'ADP Data'!$C$4:$Q$300, 8, FALSE)</f>
        <v>290</v>
      </c>
      <c r="V57" s="11">
        <f t="shared" si="7"/>
        <v>233</v>
      </c>
      <c r="W57" s="11">
        <f t="shared" si="8"/>
        <v>30</v>
      </c>
      <c r="X57" s="11">
        <f t="shared" si="9"/>
        <v>-27</v>
      </c>
      <c r="Y57" s="11">
        <f>VLOOKUP($G57, SeanRanks!$A$2:$K$303, 10, FALSE)-V57</f>
        <v>17</v>
      </c>
      <c r="Z57" s="25" t="str">
        <f>IF(VLOOKUP($G57, SeanRanks!$A$2:$H$303, 7, FALSE)=0, "", VLOOKUP($G57, SeanRanks!$A$2:$H$303, 7, FALSE))</f>
        <v/>
      </c>
    </row>
    <row r="58" spans="1:26" ht="14.25" customHeight="1" x14ac:dyDescent="0.25">
      <c r="A58" s="11"/>
      <c r="B58" s="11">
        <f t="shared" si="3"/>
        <v>12</v>
      </c>
      <c r="C58" s="11" t="s">
        <v>119</v>
      </c>
      <c r="D58" s="11">
        <v>6</v>
      </c>
      <c r="E58" s="11"/>
      <c r="F58" s="11">
        <f>VLOOKUP(G58, SeanRanks!$A$2:$E$302, 4, FALSE)</f>
        <v>0</v>
      </c>
      <c r="G58" s="11" t="s">
        <v>411</v>
      </c>
      <c r="H58" s="11" t="str">
        <f>VLOOKUP($G58, 'ADP Data'!$C$4:$Q$300, 2, FALSE)</f>
        <v>HOU</v>
      </c>
      <c r="I58" s="11">
        <f>VLOOKUP(G58, 'ADP Data'!$C$4:$R$498, 12, FALSE)</f>
        <v>129</v>
      </c>
      <c r="J58" s="48">
        <f>VLOOKUP($G58, SeanRanks!$A$2:$H$303, 5, FALSE)</f>
        <v>0</v>
      </c>
      <c r="K58" s="11" t="str">
        <f>IF(VLOOKUP($G58, SeanRanks!$A$2:$H$303, 6, FALSE)=0, "", VLOOKUP($G58, SeanRanks!$A$2:$H$303, 6, FALSE))</f>
        <v>QB2 - 2 - Not League Winner</v>
      </c>
      <c r="L58" s="11">
        <f t="shared" si="4"/>
        <v>16</v>
      </c>
      <c r="M58" s="11">
        <f>VLOOKUP($G58, 'ADP Data'!$C$4:$Q$300, 9, FALSE)</f>
        <v>125</v>
      </c>
      <c r="N58" s="11">
        <f t="shared" si="5"/>
        <v>-8</v>
      </c>
      <c r="O58" s="11">
        <f>VLOOKUP($G58, 'ADP Data'!$C$4:$Q$300, 3, FALSE)</f>
        <v>135</v>
      </c>
      <c r="P58" s="11">
        <f t="shared" si="6"/>
        <v>-10</v>
      </c>
      <c r="Q58" s="11">
        <f>VLOOKUP($G58, 'ADP Data'!$C$4:$Q$300, 4, FALSE)</f>
        <v>127</v>
      </c>
      <c r="R58" s="11">
        <f>VLOOKUP($G58, 'ADP Data'!$C$4:$Q$300, 5, FALSE)</f>
        <v>141</v>
      </c>
      <c r="S58" s="11">
        <f>VLOOKUP($G58, 'ADP Data'!$C$4:$Q$300, 6, FALSE)</f>
        <v>142</v>
      </c>
      <c r="T58" s="11">
        <f>VLOOKUP($G58, 'ADP Data'!$C$4:$Q$300, 7, FALSE)</f>
        <v>131</v>
      </c>
      <c r="U58" s="11">
        <f>VLOOKUP($G58, 'ADP Data'!$C$4:$Q$300, 8, FALSE)</f>
        <v>132</v>
      </c>
      <c r="V58" s="11">
        <f t="shared" si="7"/>
        <v>133</v>
      </c>
      <c r="W58" s="11">
        <f t="shared" si="8"/>
        <v>17</v>
      </c>
      <c r="X58" s="11">
        <f t="shared" si="9"/>
        <v>-11</v>
      </c>
      <c r="Y58" s="11">
        <f>VLOOKUP($G58, SeanRanks!$A$2:$K$303, 10, FALSE)-V58</f>
        <v>-4</v>
      </c>
      <c r="Z58" s="25">
        <f>IF(VLOOKUP($G58, SeanRanks!$A$2:$H$303, 7, FALSE)=0, "", VLOOKUP($G58, SeanRanks!$A$2:$H$303, 7, FALSE))</f>
        <v>18</v>
      </c>
    </row>
    <row r="59" spans="1:26" ht="14.25" customHeight="1" x14ac:dyDescent="0.25">
      <c r="A59" s="11"/>
      <c r="B59" s="11">
        <f t="shared" si="3"/>
        <v>21</v>
      </c>
      <c r="C59" s="11" t="s">
        <v>119</v>
      </c>
      <c r="D59" s="11"/>
      <c r="E59" s="23"/>
      <c r="F59" s="11">
        <f>VLOOKUP(G59, SeanRanks!$A$2:$E$302, 4, FALSE)</f>
        <v>0</v>
      </c>
      <c r="G59" s="11" t="s">
        <v>813</v>
      </c>
      <c r="H59" s="11" t="str">
        <f>VLOOKUP($G59, 'ADP Data'!$C$4:$Q$300, 2, FALSE)</f>
        <v>IND</v>
      </c>
      <c r="I59" s="11">
        <f>VLOOKUP(G59, 'ADP Data'!$C$4:$R$498, 12, FALSE)</f>
        <v>227</v>
      </c>
      <c r="J59" s="48">
        <f>VLOOKUP($G59, SeanRanks!$A$2:$H$303, 5, FALSE)</f>
        <v>0</v>
      </c>
      <c r="K59" s="11" t="str">
        <f>IF(VLOOKUP($G59, SeanRanks!$A$2:$H$303, 6, FALSE)=0, "", VLOOKUP($G59, SeanRanks!$A$2:$H$303, 6, FALSE))</f>
        <v>QB3 - League Winner?</v>
      </c>
      <c r="L59" s="11">
        <f t="shared" si="4"/>
        <v>29</v>
      </c>
      <c r="M59" s="11">
        <f>VLOOKUP($G59, 'ADP Data'!$C$4:$Q$300, 9, FALSE)</f>
        <v>224</v>
      </c>
      <c r="N59" s="11">
        <f t="shared" si="5"/>
        <v>-18</v>
      </c>
      <c r="O59" s="11" t="str">
        <f>VLOOKUP($G59, 'ADP Data'!$C$4:$Q$300, 3, FALSE)</f>
        <v>-</v>
      </c>
      <c r="P59" s="11" t="e">
        <f t="shared" si="6"/>
        <v>#VALUE!</v>
      </c>
      <c r="Q59" s="11">
        <f>VLOOKUP($G59, 'ADP Data'!$C$4:$Q$300, 4, FALSE)</f>
        <v>241</v>
      </c>
      <c r="R59" s="11">
        <f>VLOOKUP($G59, 'ADP Data'!$C$4:$Q$300, 5, FALSE)</f>
        <v>284</v>
      </c>
      <c r="S59" s="11">
        <f>VLOOKUP($G59, 'ADP Data'!$C$4:$Q$300, 6, FALSE)</f>
        <v>248</v>
      </c>
      <c r="T59" s="11">
        <f>VLOOKUP($G59, 'ADP Data'!$C$4:$Q$300, 7, FALSE)</f>
        <v>230</v>
      </c>
      <c r="U59" s="11">
        <f>VLOOKUP($G59, 'ADP Data'!$C$4:$Q$300, 8, FALSE)</f>
        <v>228</v>
      </c>
      <c r="V59" s="11">
        <f t="shared" si="7"/>
        <v>242</v>
      </c>
      <c r="W59" s="11">
        <f t="shared" si="8"/>
        <v>31</v>
      </c>
      <c r="X59" s="11">
        <f t="shared" si="9"/>
        <v>-31</v>
      </c>
      <c r="Y59" s="11" t="e">
        <f>VLOOKUP($G59, SeanRanks!$A$2:$K$303, 10, FALSE)-V59</f>
        <v>#VALUE!</v>
      </c>
      <c r="Z59" s="25" t="str">
        <f>IF(VLOOKUP($G59, SeanRanks!$A$2:$H$303, 7, FALSE)=0, "", VLOOKUP($G59, SeanRanks!$A$2:$H$303, 7, FALSE))</f>
        <v/>
      </c>
    </row>
    <row r="60" spans="1:26" ht="14.25" customHeight="1" x14ac:dyDescent="0.25">
      <c r="A60" s="11"/>
      <c r="B60" s="11" t="e">
        <f t="shared" si="3"/>
        <v>#N/A</v>
      </c>
      <c r="C60" s="11" t="s">
        <v>119</v>
      </c>
      <c r="D60" s="11"/>
      <c r="E60" s="11"/>
      <c r="F60" s="11" t="e">
        <f>VLOOKUP(G60, SeanRanks!$A$2:$E$302, 4, FALSE)</f>
        <v>#N/A</v>
      </c>
      <c r="G60" s="11" t="s">
        <v>465</v>
      </c>
      <c r="H60" s="11" t="e">
        <f>VLOOKUP($G60, 'ADP Data'!$C$4:$Q$300, 2, FALSE)</f>
        <v>#N/A</v>
      </c>
      <c r="I60" s="11" t="e">
        <f>VLOOKUP(G60, 'ADP Data'!$C$4:$R$498, 12, FALSE)</f>
        <v>#N/A</v>
      </c>
      <c r="J60" s="45" t="e">
        <f>VLOOKUP($G60, SeanRanks!$A$2:$H$303, 5, FALSE)</f>
        <v>#N/A</v>
      </c>
      <c r="K60" s="11" t="e">
        <f>IF(VLOOKUP($G60, SeanRanks!$A$2:$H$303, 6, FALSE)=0, "", VLOOKUP($G60, SeanRanks!$A$2:$H$303, 6, FALSE))</f>
        <v>#N/A</v>
      </c>
      <c r="L60" s="11">
        <f t="shared" si="4"/>
        <v>16</v>
      </c>
      <c r="M60" s="11" t="e">
        <f>VLOOKUP($G60, 'ADP Data'!$C$4:$Q$300, 9, FALSE)</f>
        <v>#N/A</v>
      </c>
      <c r="N60" s="11" t="e">
        <f t="shared" si="5"/>
        <v>#N/A</v>
      </c>
      <c r="O60" s="11" t="e">
        <f>VLOOKUP($G60, 'ADP Data'!$C$4:$Q$300, 3, FALSE)</f>
        <v>#N/A</v>
      </c>
      <c r="P60" s="11" t="e">
        <f t="shared" si="6"/>
        <v>#N/A</v>
      </c>
      <c r="Q60" s="11" t="e">
        <f>VLOOKUP($G60, 'ADP Data'!$C$4:$Q$300, 4, FALSE)</f>
        <v>#N/A</v>
      </c>
      <c r="R60" s="11" t="e">
        <f>VLOOKUP($G60, 'ADP Data'!$C$4:$Q$300, 5, FALSE)</f>
        <v>#N/A</v>
      </c>
      <c r="S60" s="11" t="e">
        <f>VLOOKUP($G60, 'ADP Data'!$C$4:$Q$300, 6, FALSE)</f>
        <v>#N/A</v>
      </c>
      <c r="T60" s="11" t="e">
        <f>VLOOKUP($G60, 'ADP Data'!$C$4:$Q$300, 7, FALSE)</f>
        <v>#N/A</v>
      </c>
      <c r="U60" s="11" t="e">
        <f>VLOOKUP($G60, 'ADP Data'!$C$4:$Q$300, 8, FALSE)</f>
        <v>#N/A</v>
      </c>
      <c r="V60" s="11" t="e">
        <f t="shared" si="7"/>
        <v>#N/A</v>
      </c>
      <c r="W60" s="11">
        <f t="shared" si="8"/>
        <v>16</v>
      </c>
      <c r="X60" s="11">
        <f t="shared" si="9"/>
        <v>-16</v>
      </c>
      <c r="Y60" s="11" t="e">
        <f>VLOOKUP($G60, SeanRanks!$A$2:$K$303, 10, FALSE)-V60</f>
        <v>#N/A</v>
      </c>
      <c r="Z60" s="25" t="e">
        <f>IF(VLOOKUP($G60, SeanRanks!$A$2:$H$303, 7, FALSE)=0, "", VLOOKUP($G60, SeanRanks!$A$2:$H$303, 7, FALSE))</f>
        <v>#N/A</v>
      </c>
    </row>
    <row r="61" spans="1:26" ht="14.25" customHeight="1" x14ac:dyDescent="0.25">
      <c r="A61" s="11"/>
      <c r="B61" s="11">
        <f t="shared" si="3"/>
        <v>4</v>
      </c>
      <c r="C61" s="11" t="s">
        <v>119</v>
      </c>
      <c r="D61" s="11">
        <v>5</v>
      </c>
      <c r="E61" s="11"/>
      <c r="F61" s="11">
        <f>VLOOKUP(G61, SeanRanks!$A$2:$E$302, 4, FALSE)</f>
        <v>0</v>
      </c>
      <c r="G61" s="11" t="s">
        <v>274</v>
      </c>
      <c r="H61" s="11" t="str">
        <f>VLOOKUP($G61, 'ADP Data'!$C$4:$Q$300, 2, FALSE)</f>
        <v>SF</v>
      </c>
      <c r="I61" s="11">
        <f>VLOOKUP(G61, 'ADP Data'!$C$4:$R$498, 12, FALSE)</f>
        <v>34</v>
      </c>
      <c r="J61" s="47">
        <f>VLOOKUP($G61, SeanRanks!$A$2:$H$303, 5, FALSE)</f>
        <v>0</v>
      </c>
      <c r="K61" s="11" t="str">
        <f>IF(VLOOKUP($G61, SeanRanks!$A$2:$H$303, 6, FALSE)=0, "", VLOOKUP($G61, SeanRanks!$A$2:$H$303, 6, FALSE))</f>
        <v>TE1 - 1 - Elite</v>
      </c>
      <c r="L61" s="11">
        <f t="shared" si="4"/>
        <v>5</v>
      </c>
      <c r="M61" s="11">
        <f>VLOOKUP($G61, 'ADP Data'!$C$4:$Q$300, 9, FALSE)</f>
        <v>38</v>
      </c>
      <c r="N61" s="11">
        <f t="shared" si="5"/>
        <v>1</v>
      </c>
      <c r="O61" s="11">
        <f>VLOOKUP($G61, 'ADP Data'!$C$4:$Q$300, 3, FALSE)</f>
        <v>38</v>
      </c>
      <c r="P61" s="11">
        <f t="shared" si="6"/>
        <v>0</v>
      </c>
      <c r="Q61" s="11">
        <f>VLOOKUP($G61, 'ADP Data'!$C$4:$Q$300, 4, FALSE)</f>
        <v>35</v>
      </c>
      <c r="R61" s="11">
        <f>VLOOKUP($G61, 'ADP Data'!$C$4:$Q$300, 5, FALSE)</f>
        <v>49</v>
      </c>
      <c r="S61" s="11">
        <f>VLOOKUP($G61, 'ADP Data'!$C$4:$Q$300, 6, FALSE)</f>
        <v>24</v>
      </c>
      <c r="T61" s="11">
        <f>VLOOKUP($G61, 'ADP Data'!$C$4:$Q$300, 7, FALSE)</f>
        <v>40</v>
      </c>
      <c r="U61" s="11">
        <f>VLOOKUP($G61, 'ADP Data'!$C$4:$Q$300, 8, FALSE)</f>
        <v>38</v>
      </c>
      <c r="V61" s="11">
        <f t="shared" si="7"/>
        <v>37</v>
      </c>
      <c r="W61" s="11">
        <f t="shared" si="8"/>
        <v>5</v>
      </c>
      <c r="X61" s="11">
        <f t="shared" si="9"/>
        <v>0</v>
      </c>
      <c r="Y61" s="11">
        <f>VLOOKUP($G61, SeanRanks!$A$2:$K$303, 10, FALSE)-V61</f>
        <v>-12</v>
      </c>
      <c r="Z61" s="25">
        <f>IF(VLOOKUP($G61, SeanRanks!$A$2:$H$303, 7, FALSE)=0, "", VLOOKUP($G61, SeanRanks!$A$2:$H$303, 7, FALSE))</f>
        <v>3</v>
      </c>
    </row>
    <row r="62" spans="1:26" ht="14.25" customHeight="1" x14ac:dyDescent="0.25">
      <c r="A62" s="11"/>
      <c r="B62" s="11">
        <f t="shared" si="3"/>
        <v>6</v>
      </c>
      <c r="C62" s="11" t="s">
        <v>119</v>
      </c>
      <c r="D62" s="11">
        <v>4</v>
      </c>
      <c r="E62" s="11"/>
      <c r="F62" s="11">
        <f>VLOOKUP(G62, SeanRanks!$A$2:$E$302, 4, FALSE)</f>
        <v>0</v>
      </c>
      <c r="G62" s="11" t="s">
        <v>147</v>
      </c>
      <c r="H62" s="11" t="str">
        <f>VLOOKUP($G62, 'ADP Data'!$C$4:$Q$300, 2, FALSE)</f>
        <v>BAL</v>
      </c>
      <c r="I62" s="11">
        <f>VLOOKUP(G62, 'ADP Data'!$C$4:$R$498, 12, FALSE)</f>
        <v>59</v>
      </c>
      <c r="J62" s="45">
        <f>VLOOKUP($G62, SeanRanks!$A$2:$H$303, 5, FALSE)</f>
        <v>0</v>
      </c>
      <c r="K62" s="11" t="str">
        <f>IF(VLOOKUP($G62, SeanRanks!$A$2:$H$303, 6, FALSE)=0, "", VLOOKUP($G62, SeanRanks!$A$2:$H$303, 6, FALSE))</f>
        <v xml:space="preserve">WR3 - 1 - </v>
      </c>
      <c r="L62" s="11">
        <f t="shared" si="4"/>
        <v>7</v>
      </c>
      <c r="M62" s="11">
        <f>VLOOKUP($G62, 'ADP Data'!$C$4:$Q$300, 9, FALSE)</f>
        <v>55</v>
      </c>
      <c r="N62" s="11">
        <f t="shared" si="5"/>
        <v>-7</v>
      </c>
      <c r="O62" s="11">
        <f>VLOOKUP($G62, 'ADP Data'!$C$4:$Q$300, 3, FALSE)</f>
        <v>63</v>
      </c>
      <c r="P62" s="11">
        <f t="shared" si="6"/>
        <v>-8</v>
      </c>
      <c r="Q62" s="11">
        <f>VLOOKUP($G62, 'ADP Data'!$C$4:$Q$300, 4, FALSE)</f>
        <v>55</v>
      </c>
      <c r="R62" s="11">
        <f>VLOOKUP($G62, 'ADP Data'!$C$4:$Q$300, 5, FALSE)</f>
        <v>66</v>
      </c>
      <c r="S62" s="11">
        <f>VLOOKUP($G62, 'ADP Data'!$C$4:$Q$300, 6, FALSE)</f>
        <v>65</v>
      </c>
      <c r="T62" s="11">
        <f>VLOOKUP($G62, 'ADP Data'!$C$4:$Q$300, 7, FALSE)</f>
        <v>57</v>
      </c>
      <c r="U62" s="11">
        <f>VLOOKUP($G62, 'ADP Data'!$C$4:$Q$300, 8, FALSE)</f>
        <v>73</v>
      </c>
      <c r="V62" s="11">
        <f t="shared" si="7"/>
        <v>62</v>
      </c>
      <c r="W62" s="11">
        <f t="shared" si="8"/>
        <v>8</v>
      </c>
      <c r="X62" s="11">
        <f t="shared" si="9"/>
        <v>-4</v>
      </c>
      <c r="Y62" s="11">
        <f>VLOOKUP($G62, SeanRanks!$A$2:$K$303, 10, FALSE)-V62</f>
        <v>-10</v>
      </c>
      <c r="Z62" s="25">
        <f>IF(VLOOKUP($G62, SeanRanks!$A$2:$H$303, 7, FALSE)=0, "", VLOOKUP($G62, SeanRanks!$A$2:$H$303, 7, FALSE))</f>
        <v>27</v>
      </c>
    </row>
    <row r="63" spans="1:26" ht="14.25" customHeight="1" x14ac:dyDescent="0.25">
      <c r="A63" s="11"/>
      <c r="B63" s="11">
        <f t="shared" si="3"/>
        <v>3</v>
      </c>
      <c r="C63" s="11" t="s">
        <v>119</v>
      </c>
      <c r="D63" s="11">
        <v>4</v>
      </c>
      <c r="E63" s="11"/>
      <c r="F63" s="11">
        <f>VLOOKUP(G63, SeanRanks!$A$2:$E$302, 4, FALSE)</f>
        <v>0</v>
      </c>
      <c r="G63" s="11" t="s">
        <v>150</v>
      </c>
      <c r="H63" s="11" t="str">
        <f>VLOOKUP($G63, 'ADP Data'!$C$4:$Q$300, 2, FALSE)</f>
        <v>CIN</v>
      </c>
      <c r="I63" s="11">
        <f>VLOOKUP(G63, 'ADP Data'!$C$4:$R$498, 12, FALSE)</f>
        <v>25</v>
      </c>
      <c r="J63" s="26">
        <f>VLOOKUP($G63, SeanRanks!$A$2:$H$303, 5, FALSE)</f>
        <v>0</v>
      </c>
      <c r="K63" s="11" t="str">
        <f>IF(VLOOKUP($G63, SeanRanks!$A$2:$H$303, 6, FALSE)=0, "", VLOOKUP($G63, SeanRanks!$A$2:$H$303, 6, FALSE))</f>
        <v>WR1 - 3 - Inconsistent</v>
      </c>
      <c r="L63" s="11">
        <f t="shared" si="4"/>
        <v>4</v>
      </c>
      <c r="M63" s="11">
        <f>VLOOKUP($G63, 'ADP Data'!$C$4:$Q$300, 9, FALSE)</f>
        <v>31</v>
      </c>
      <c r="N63" s="11">
        <f t="shared" si="5"/>
        <v>1</v>
      </c>
      <c r="O63" s="11">
        <f>VLOOKUP($G63, 'ADP Data'!$C$4:$Q$300, 3, FALSE)</f>
        <v>32</v>
      </c>
      <c r="P63" s="11">
        <f t="shared" si="6"/>
        <v>-1</v>
      </c>
      <c r="Q63" s="11">
        <f>VLOOKUP($G63, 'ADP Data'!$C$4:$Q$300, 4, FALSE)</f>
        <v>26</v>
      </c>
      <c r="R63" s="11">
        <f>VLOOKUP($G63, 'ADP Data'!$C$4:$Q$300, 5, FALSE)</f>
        <v>33</v>
      </c>
      <c r="S63" s="11">
        <f>VLOOKUP($G63, 'ADP Data'!$C$4:$Q$300, 6, FALSE)</f>
        <v>30</v>
      </c>
      <c r="T63" s="11">
        <f>VLOOKUP($G63, 'ADP Data'!$C$4:$Q$300, 7, FALSE)</f>
        <v>29</v>
      </c>
      <c r="U63" s="11">
        <f>VLOOKUP($G63, 'ADP Data'!$C$4:$Q$300, 8, FALSE)</f>
        <v>33</v>
      </c>
      <c r="V63" s="11">
        <f t="shared" si="7"/>
        <v>30</v>
      </c>
      <c r="W63" s="11">
        <f t="shared" si="8"/>
        <v>4</v>
      </c>
      <c r="X63" s="11">
        <f t="shared" si="9"/>
        <v>0</v>
      </c>
      <c r="Y63" s="11">
        <f>VLOOKUP($G63, SeanRanks!$A$2:$K$303, 10, FALSE)-V63</f>
        <v>-1</v>
      </c>
      <c r="Z63" s="25">
        <f>IF(VLOOKUP($G63, SeanRanks!$A$2:$H$303, 7, FALSE)=0, "", VLOOKUP($G63, SeanRanks!$A$2:$H$303, 7, FALSE))</f>
        <v>12</v>
      </c>
    </row>
    <row r="64" spans="1:26" ht="14.25" customHeight="1" x14ac:dyDescent="0.25">
      <c r="A64" s="11"/>
      <c r="B64" s="11">
        <f t="shared" si="3"/>
        <v>6</v>
      </c>
      <c r="C64" s="11" t="s">
        <v>119</v>
      </c>
      <c r="D64" s="11">
        <v>4</v>
      </c>
      <c r="E64" s="11"/>
      <c r="F64" s="11">
        <f>VLOOKUP(G64, SeanRanks!$A$2:$E$302, 4, FALSE)</f>
        <v>0</v>
      </c>
      <c r="G64" s="11" t="s">
        <v>118</v>
      </c>
      <c r="H64" s="11" t="str">
        <f>VLOOKUP($G64, 'ADP Data'!$C$4:$Q$300, 2, FALSE)</f>
        <v>DAL</v>
      </c>
      <c r="I64" s="11">
        <f>VLOOKUP(G64, 'ADP Data'!$C$4:$R$498, 12, FALSE)</f>
        <v>45</v>
      </c>
      <c r="J64" s="45" t="str">
        <f>VLOOKUP($G64, SeanRanks!$A$2:$H$303, 5, FALSE)</f>
        <v>Yes</v>
      </c>
      <c r="K64" s="11" t="str">
        <f>IF(VLOOKUP($G64, SeanRanks!$A$2:$H$303, 6, FALSE)=0, "", VLOOKUP($G64, SeanRanks!$A$2:$H$303, 6, FALSE))</f>
        <v>WR2 - 2 - Upside with risk</v>
      </c>
      <c r="L64" s="11">
        <f t="shared" si="4"/>
        <v>8</v>
      </c>
      <c r="M64" s="11">
        <f>VLOOKUP($G64, 'ADP Data'!$C$4:$Q$300, 9, FALSE)</f>
        <v>62</v>
      </c>
      <c r="N64" s="11">
        <f t="shared" si="5"/>
        <v>-1</v>
      </c>
      <c r="O64" s="11">
        <f>VLOOKUP($G64, 'ADP Data'!$C$4:$Q$300, 3, FALSE)</f>
        <v>62</v>
      </c>
      <c r="P64" s="11">
        <f t="shared" si="6"/>
        <v>0</v>
      </c>
      <c r="Q64" s="11">
        <f>VLOOKUP($G64, 'ADP Data'!$C$4:$Q$300, 4, FALSE)</f>
        <v>67</v>
      </c>
      <c r="R64" s="11">
        <f>VLOOKUP($G64, 'ADP Data'!$C$4:$Q$300, 5, FALSE)</f>
        <v>73</v>
      </c>
      <c r="S64" s="11">
        <f>VLOOKUP($G64, 'ADP Data'!$C$4:$Q$300, 6, FALSE)</f>
        <v>54</v>
      </c>
      <c r="T64" s="11">
        <f>VLOOKUP($G64, 'ADP Data'!$C$4:$Q$300, 7, FALSE)</f>
        <v>52</v>
      </c>
      <c r="U64" s="11">
        <f>VLOOKUP($G64, 'ADP Data'!$C$4:$Q$300, 8, FALSE)</f>
        <v>75</v>
      </c>
      <c r="V64" s="11">
        <f t="shared" si="7"/>
        <v>63</v>
      </c>
      <c r="W64" s="11">
        <f t="shared" si="8"/>
        <v>8</v>
      </c>
      <c r="X64" s="11">
        <f t="shared" si="9"/>
        <v>-4</v>
      </c>
      <c r="Y64" s="11">
        <f>VLOOKUP($G64, SeanRanks!$A$2:$K$303, 10, FALSE)-V64</f>
        <v>-16</v>
      </c>
      <c r="Z64" s="25">
        <f>IF(VLOOKUP($G64, SeanRanks!$A$2:$H$303, 7, FALSE)=0, "", VLOOKUP($G64, SeanRanks!$A$2:$H$303, 7, FALSE))</f>
        <v>21</v>
      </c>
    </row>
    <row r="65" spans="1:26" ht="14.25" customHeight="1" x14ac:dyDescent="0.25">
      <c r="A65" s="11"/>
      <c r="B65" s="11">
        <f t="shared" si="3"/>
        <v>6</v>
      </c>
      <c r="C65" s="11" t="s">
        <v>119</v>
      </c>
      <c r="D65" s="11">
        <v>4</v>
      </c>
      <c r="E65" s="11"/>
      <c r="F65" s="11">
        <f>VLOOKUP(G65, SeanRanks!$A$2:$E$302, 4, FALSE)</f>
        <v>0</v>
      </c>
      <c r="G65" s="11" t="s">
        <v>133</v>
      </c>
      <c r="H65" s="11" t="str">
        <f>VLOOKUP($G65, 'ADP Data'!$C$4:$Q$300, 2, FALSE)</f>
        <v>KC</v>
      </c>
      <c r="I65" s="11">
        <f>VLOOKUP(G65, 'ADP Data'!$C$4:$R$498, 12, FALSE)</f>
        <v>70</v>
      </c>
      <c r="J65" s="45" t="str">
        <f>VLOOKUP($G65, SeanRanks!$A$2:$H$303, 5, FALSE)</f>
        <v>Yes</v>
      </c>
      <c r="K65" s="11" t="str">
        <f>IF(VLOOKUP($G65, SeanRanks!$A$2:$H$303, 6, FALSE)=0, "", VLOOKUP($G65, SeanRanks!$A$2:$H$303, 6, FALSE))</f>
        <v xml:space="preserve">WR3 - 1 - </v>
      </c>
      <c r="L65" s="11">
        <f t="shared" si="4"/>
        <v>7</v>
      </c>
      <c r="M65" s="11">
        <f>VLOOKUP($G65, 'ADP Data'!$C$4:$Q$300, 9, FALSE)</f>
        <v>49</v>
      </c>
      <c r="N65" s="11">
        <f t="shared" si="5"/>
        <v>-19</v>
      </c>
      <c r="O65" s="11">
        <f>VLOOKUP($G65, 'ADP Data'!$C$4:$Q$300, 3, FALSE)</f>
        <v>84</v>
      </c>
      <c r="P65" s="11">
        <f t="shared" si="6"/>
        <v>-35</v>
      </c>
      <c r="Q65" s="11">
        <f>VLOOKUP($G65, 'ADP Data'!$C$4:$Q$300, 4, FALSE)</f>
        <v>71</v>
      </c>
      <c r="R65" s="11">
        <f>VLOOKUP($G65, 'ADP Data'!$C$4:$Q$300, 5, FALSE)</f>
        <v>98</v>
      </c>
      <c r="S65" s="11">
        <f>VLOOKUP($G65, 'ADP Data'!$C$4:$Q$300, 6, FALSE)</f>
        <v>72</v>
      </c>
      <c r="T65" s="11">
        <f>VLOOKUP($G65, 'ADP Data'!$C$4:$Q$300, 7, FALSE)</f>
        <v>60</v>
      </c>
      <c r="U65" s="11">
        <f>VLOOKUP($G65, 'ADP Data'!$C$4:$Q$300, 8, FALSE)</f>
        <v>47</v>
      </c>
      <c r="V65" s="11">
        <f t="shared" si="7"/>
        <v>68</v>
      </c>
      <c r="W65" s="11">
        <f t="shared" si="8"/>
        <v>9</v>
      </c>
      <c r="X65" s="11">
        <f t="shared" si="9"/>
        <v>-5</v>
      </c>
      <c r="Y65" s="11">
        <f>VLOOKUP($G65, SeanRanks!$A$2:$K$303, 10, FALSE)-V65</f>
        <v>6</v>
      </c>
      <c r="Z65" s="25">
        <f>IF(VLOOKUP($G65, SeanRanks!$A$2:$H$303, 7, FALSE)=0, "", VLOOKUP($G65, SeanRanks!$A$2:$H$303, 7, FALSE))</f>
        <v>29</v>
      </c>
    </row>
    <row r="66" spans="1:26" ht="14.25" customHeight="1" x14ac:dyDescent="0.25">
      <c r="A66" s="11"/>
      <c r="B66" s="11">
        <f t="shared" si="3"/>
        <v>12</v>
      </c>
      <c r="C66" s="11" t="s">
        <v>119</v>
      </c>
      <c r="D66" s="11">
        <v>6</v>
      </c>
      <c r="E66" s="11"/>
      <c r="F66" s="11">
        <f>VLOOKUP(G66, SeanRanks!$A$2:$E$302, 4, FALSE)</f>
        <v>0</v>
      </c>
      <c r="G66" s="11" t="s">
        <v>250</v>
      </c>
      <c r="H66" s="11" t="str">
        <f>VLOOKUP($G66, 'ADP Data'!$C$4:$Q$300, 2, FALSE)</f>
        <v>ATL</v>
      </c>
      <c r="I66" s="11">
        <f>VLOOKUP(G66, 'ADP Data'!$C$4:$R$498, 12, FALSE)</f>
        <v>137</v>
      </c>
      <c r="J66" s="49" t="str">
        <f>VLOOKUP($G66, SeanRanks!$A$2:$H$303, 5, FALSE)</f>
        <v>Yes</v>
      </c>
      <c r="K66" s="11" t="str">
        <f>IF(VLOOKUP($G66, SeanRanks!$A$2:$H$303, 6, FALSE)=0, "", VLOOKUP($G66, SeanRanks!$A$2:$H$303, 6, FALSE))</f>
        <v>TE2 - 1 - Big Upside</v>
      </c>
      <c r="L66" s="11">
        <f t="shared" si="4"/>
        <v>16</v>
      </c>
      <c r="M66" s="11">
        <f>VLOOKUP($G66, 'ADP Data'!$C$4:$Q$300, 9, FALSE)</f>
        <v>121</v>
      </c>
      <c r="N66" s="11">
        <f t="shared" si="5"/>
        <v>-15</v>
      </c>
      <c r="O66" s="11">
        <f>VLOOKUP($G66, 'ADP Data'!$C$4:$Q$300, 3, FALSE)</f>
        <v>148</v>
      </c>
      <c r="P66" s="11">
        <f t="shared" si="6"/>
        <v>-27</v>
      </c>
      <c r="Q66" s="11">
        <f>VLOOKUP($G66, 'ADP Data'!$C$4:$Q$300, 4, FALSE)</f>
        <v>141</v>
      </c>
      <c r="R66" s="11">
        <f>VLOOKUP($G66, 'ADP Data'!$C$4:$Q$300, 5, FALSE)</f>
        <v>166</v>
      </c>
      <c r="S66" s="11">
        <f>VLOOKUP($G66, 'ADP Data'!$C$4:$Q$300, 6, FALSE)</f>
        <v>114</v>
      </c>
      <c r="T66" s="11">
        <f>VLOOKUP($G66, 'ADP Data'!$C$4:$Q$300, 7, FALSE)</f>
        <v>136</v>
      </c>
      <c r="U66" s="11">
        <f>VLOOKUP($G66, 'ADP Data'!$C$4:$Q$300, 8, FALSE)</f>
        <v>129</v>
      </c>
      <c r="V66" s="11">
        <f t="shared" si="7"/>
        <v>136</v>
      </c>
      <c r="W66" s="11">
        <f t="shared" si="8"/>
        <v>18</v>
      </c>
      <c r="X66" s="11">
        <f t="shared" si="9"/>
        <v>-12</v>
      </c>
      <c r="Y66" s="11">
        <f>VLOOKUP($G66, SeanRanks!$A$2:$K$303, 10, FALSE)-V66</f>
        <v>23</v>
      </c>
      <c r="Z66" s="25">
        <f>IF(VLOOKUP($G66, SeanRanks!$A$2:$H$303, 7, FALSE)=0, "", VLOOKUP($G66, SeanRanks!$A$2:$H$303, 7, FALSE))</f>
        <v>15</v>
      </c>
    </row>
    <row r="67" spans="1:26" ht="14.25" customHeight="1" x14ac:dyDescent="0.25">
      <c r="A67" s="11"/>
      <c r="B67" s="11">
        <f t="shared" si="3"/>
        <v>6</v>
      </c>
      <c r="C67" s="11" t="s">
        <v>119</v>
      </c>
      <c r="D67" s="11">
        <v>4</v>
      </c>
      <c r="E67" s="11"/>
      <c r="F67" s="11">
        <f>VLOOKUP(G67, SeanRanks!$A$2:$E$302, 4, FALSE)</f>
        <v>0</v>
      </c>
      <c r="G67" s="11" t="s">
        <v>178</v>
      </c>
      <c r="H67" s="11" t="str">
        <f>VLOOKUP($G67, 'ADP Data'!$C$4:$Q$300, 2, FALSE)</f>
        <v>DET</v>
      </c>
      <c r="I67" s="11">
        <f>VLOOKUP(G67, 'ADP Data'!$C$4:$R$498, 12, FALSE)</f>
        <v>74</v>
      </c>
      <c r="J67" s="46">
        <f>VLOOKUP($G67, SeanRanks!$A$2:$H$303, 5, FALSE)</f>
        <v>0</v>
      </c>
      <c r="K67" s="11" t="str">
        <f>IF(VLOOKUP($G67, SeanRanks!$A$2:$H$303, 6, FALSE)=0, "", VLOOKUP($G67, SeanRanks!$A$2:$H$303, 6, FALSE))</f>
        <v>RB2 - 2 - Path to spikes</v>
      </c>
      <c r="L67" s="11">
        <f t="shared" si="4"/>
        <v>7</v>
      </c>
      <c r="M67" s="11">
        <f>VLOOKUP($G67, 'ADP Data'!$C$4:$Q$300, 9, FALSE)</f>
        <v>52</v>
      </c>
      <c r="N67" s="11">
        <f t="shared" si="5"/>
        <v>-11</v>
      </c>
      <c r="O67" s="11">
        <f>VLOOKUP($G67, 'ADP Data'!$C$4:$Q$300, 3, FALSE)</f>
        <v>57</v>
      </c>
      <c r="P67" s="11">
        <f t="shared" si="6"/>
        <v>-5</v>
      </c>
      <c r="Q67" s="11">
        <f>VLOOKUP($G67, 'ADP Data'!$C$4:$Q$300, 4, FALSE)</f>
        <v>59</v>
      </c>
      <c r="R67" s="11">
        <f>VLOOKUP($G67, 'ADP Data'!$C$4:$Q$300, 5, FALSE)</f>
        <v>74</v>
      </c>
      <c r="S67" s="11">
        <f>VLOOKUP($G67, 'ADP Data'!$C$4:$Q$300, 6, FALSE)</f>
        <v>68</v>
      </c>
      <c r="T67" s="11">
        <f>VLOOKUP($G67, 'ADP Data'!$C$4:$Q$300, 7, FALSE)</f>
        <v>70</v>
      </c>
      <c r="U67" s="11">
        <f>VLOOKUP($G67, 'ADP Data'!$C$4:$Q$300, 8, FALSE)</f>
        <v>67</v>
      </c>
      <c r="V67" s="11">
        <f t="shared" si="7"/>
        <v>63</v>
      </c>
      <c r="W67" s="11">
        <f t="shared" si="8"/>
        <v>8</v>
      </c>
      <c r="X67" s="11">
        <f t="shared" si="9"/>
        <v>-4</v>
      </c>
      <c r="Y67" s="11">
        <f>VLOOKUP($G67, SeanRanks!$A$2:$K$303, 10, FALSE)-V67</f>
        <v>-2</v>
      </c>
      <c r="Z67" s="25">
        <f>IF(VLOOKUP($G67, SeanRanks!$A$2:$H$303, 7, FALSE)=0, "", VLOOKUP($G67, SeanRanks!$A$2:$H$303, 7, FALSE))</f>
        <v>21</v>
      </c>
    </row>
    <row r="68" spans="1:26" ht="14.25" customHeight="1" x14ac:dyDescent="0.25">
      <c r="A68" s="11"/>
      <c r="B68" s="11">
        <f t="shared" si="3"/>
        <v>5</v>
      </c>
      <c r="C68" s="11" t="s">
        <v>119</v>
      </c>
      <c r="D68" s="11">
        <v>5</v>
      </c>
      <c r="E68" s="11" t="s">
        <v>243</v>
      </c>
      <c r="F68" s="11">
        <f>VLOOKUP(G68, SeanRanks!$A$2:$E$302, 4, FALSE)</f>
        <v>0</v>
      </c>
      <c r="G68" s="11" t="s">
        <v>562</v>
      </c>
      <c r="H68" s="11" t="str">
        <f>VLOOKUP($G68, 'ADP Data'!$C$4:$Q$300, 2, FALSE)</f>
        <v>ARI</v>
      </c>
      <c r="I68" s="11">
        <f>VLOOKUP(G68, 'ADP Data'!$C$4:$R$498, 12, FALSE)</f>
        <v>61</v>
      </c>
      <c r="J68" s="46">
        <f>VLOOKUP($G68, SeanRanks!$A$2:$H$303, 5, FALSE)</f>
        <v>0</v>
      </c>
      <c r="K68" s="11" t="str">
        <f>IF(VLOOKUP($G68, SeanRanks!$A$2:$H$303, 6, FALSE)=0, "", VLOOKUP($G68, SeanRanks!$A$2:$H$303, 6, FALSE))</f>
        <v>RB2 - 1 - Clear path to spikes</v>
      </c>
      <c r="L68" s="11">
        <f t="shared" si="4"/>
        <v>6</v>
      </c>
      <c r="M68" s="11">
        <f>VLOOKUP($G68, 'ADP Data'!$C$4:$Q$300, 9, FALSE)</f>
        <v>47</v>
      </c>
      <c r="N68" s="11">
        <f t="shared" si="5"/>
        <v>-3</v>
      </c>
      <c r="O68" s="11">
        <f>VLOOKUP($G68, 'ADP Data'!$C$4:$Q$300, 3, FALSE)</f>
        <v>42</v>
      </c>
      <c r="P68" s="11">
        <f t="shared" si="6"/>
        <v>5</v>
      </c>
      <c r="Q68" s="11">
        <f>VLOOKUP($G68, 'ADP Data'!$C$4:$Q$300, 4, FALSE)</f>
        <v>46</v>
      </c>
      <c r="R68" s="11">
        <f>VLOOKUP($G68, 'ADP Data'!$C$4:$Q$300, 5, FALSE)</f>
        <v>65</v>
      </c>
      <c r="S68" s="11">
        <f>VLOOKUP($G68, 'ADP Data'!$C$4:$Q$300, 6, FALSE)</f>
        <v>49</v>
      </c>
      <c r="T68" s="11">
        <f>VLOOKUP($G68, 'ADP Data'!$C$4:$Q$300, 7, FALSE)</f>
        <v>55</v>
      </c>
      <c r="U68" s="11">
        <f>VLOOKUP($G68, 'ADP Data'!$C$4:$Q$300, 8, FALSE)</f>
        <v>49</v>
      </c>
      <c r="V68" s="11">
        <f t="shared" si="7"/>
        <v>50</v>
      </c>
      <c r="W68" s="11">
        <f t="shared" si="8"/>
        <v>7</v>
      </c>
      <c r="X68" s="11">
        <f t="shared" si="9"/>
        <v>-2</v>
      </c>
      <c r="Y68" s="11">
        <f>VLOOKUP($G68, SeanRanks!$A$2:$K$303, 10, FALSE)-V68</f>
        <v>-6</v>
      </c>
      <c r="Z68" s="25">
        <f>IF(VLOOKUP($G68, SeanRanks!$A$2:$H$303, 7, FALSE)=0, "", VLOOKUP($G68, SeanRanks!$A$2:$H$303, 7, FALSE))</f>
        <v>19</v>
      </c>
    </row>
    <row r="69" spans="1:26" ht="14.25" customHeight="1" x14ac:dyDescent="0.25">
      <c r="A69" s="11"/>
      <c r="B69" s="11">
        <f t="shared" si="3"/>
        <v>8</v>
      </c>
      <c r="C69" s="11" t="s">
        <v>119</v>
      </c>
      <c r="D69" s="11">
        <v>7</v>
      </c>
      <c r="E69" s="11"/>
      <c r="F69" s="11">
        <f>VLOOKUP(G69, SeanRanks!$A$2:$E$302, 4, FALSE)</f>
        <v>0</v>
      </c>
      <c r="G69" s="11" t="s">
        <v>648</v>
      </c>
      <c r="H69" s="11" t="str">
        <f>VLOOKUP($G69, 'ADP Data'!$C$4:$Q$300, 2, FALSE)</f>
        <v>DEN</v>
      </c>
      <c r="I69" s="11">
        <f>VLOOKUP(G69, 'ADP Data'!$C$4:$R$498, 12, FALSE)</f>
        <v>100</v>
      </c>
      <c r="J69" s="49" t="str">
        <f>VLOOKUP($G69, SeanRanks!$A$2:$H$303, 5, FALSE)</f>
        <v>No</v>
      </c>
      <c r="K69" s="11" t="str">
        <f>IF(VLOOKUP($G69, SeanRanks!$A$2:$H$303, 6, FALSE)=0, "", VLOOKUP($G69, SeanRanks!$A$2:$H$303, 6, FALSE))</f>
        <v>TE1 - 3 - Weekly Start</v>
      </c>
      <c r="L69" s="11">
        <f t="shared" si="4"/>
        <v>11</v>
      </c>
      <c r="M69" s="11">
        <f>VLOOKUP($G69, 'ADP Data'!$C$4:$Q$300, 9, FALSE)</f>
        <v>87</v>
      </c>
      <c r="N69" s="11">
        <f t="shared" si="5"/>
        <v>0</v>
      </c>
      <c r="O69" s="11">
        <f>VLOOKUP($G69, 'ADP Data'!$C$4:$Q$300, 3, FALSE)</f>
        <v>97</v>
      </c>
      <c r="P69" s="11">
        <f t="shared" si="6"/>
        <v>-10</v>
      </c>
      <c r="Q69" s="11">
        <f>VLOOKUP($G69, 'ADP Data'!$C$4:$Q$300, 4, FALSE)</f>
        <v>78</v>
      </c>
      <c r="R69" s="11">
        <f>VLOOKUP($G69, 'ADP Data'!$C$4:$Q$300, 5, FALSE)</f>
        <v>103</v>
      </c>
      <c r="S69" s="11">
        <f>VLOOKUP($G69, 'ADP Data'!$C$4:$Q$300, 6, FALSE)</f>
        <v>75</v>
      </c>
      <c r="T69" s="11">
        <f>VLOOKUP($G69, 'ADP Data'!$C$4:$Q$300, 7, FALSE)</f>
        <v>95</v>
      </c>
      <c r="U69" s="11">
        <f>VLOOKUP($G69, 'ADP Data'!$C$4:$Q$300, 8, FALSE)</f>
        <v>74</v>
      </c>
      <c r="V69" s="11">
        <f t="shared" si="7"/>
        <v>87</v>
      </c>
      <c r="W69" s="11">
        <f t="shared" si="8"/>
        <v>11</v>
      </c>
      <c r="X69" s="11">
        <f t="shared" si="9"/>
        <v>-4</v>
      </c>
      <c r="Y69" s="11">
        <f>VLOOKUP($G69, SeanRanks!$A$2:$K$303, 10, FALSE)-V69</f>
        <v>5</v>
      </c>
      <c r="Z69" s="25">
        <f>IF(VLOOKUP($G69, SeanRanks!$A$2:$H$303, 7, FALSE)=0, "", VLOOKUP($G69, SeanRanks!$A$2:$H$303, 7, FALSE))</f>
        <v>8</v>
      </c>
    </row>
    <row r="70" spans="1:26" ht="14.25" customHeight="1" x14ac:dyDescent="0.25">
      <c r="A70" s="11"/>
      <c r="B70" s="11">
        <f t="shared" si="3"/>
        <v>4</v>
      </c>
      <c r="C70" s="11" t="s">
        <v>119</v>
      </c>
      <c r="D70" s="11">
        <v>4</v>
      </c>
      <c r="E70" s="11"/>
      <c r="F70" s="11">
        <f>VLOOKUP(G70, SeanRanks!$A$2:$E$302, 4, FALSE)</f>
        <v>0</v>
      </c>
      <c r="G70" s="11" t="s">
        <v>183</v>
      </c>
      <c r="H70" s="11" t="str">
        <f>VLOOKUP($G70, 'ADP Data'!$C$4:$Q$300, 2, FALSE)</f>
        <v>WAS</v>
      </c>
      <c r="I70" s="11">
        <f>VLOOKUP(G70, 'ADP Data'!$C$4:$R$498, 12, FALSE)</f>
        <v>40</v>
      </c>
      <c r="J70" s="45">
        <f>VLOOKUP($G70, SeanRanks!$A$2:$H$303, 5, FALSE)</f>
        <v>0</v>
      </c>
      <c r="K70" s="11" t="str">
        <f>IF(VLOOKUP($G70, SeanRanks!$A$2:$H$303, 6, FALSE)=0, "", VLOOKUP($G70, SeanRanks!$A$2:$H$303, 6, FALSE))</f>
        <v>WR2 - 2 - Upside with risk</v>
      </c>
      <c r="L70" s="11">
        <f t="shared" si="4"/>
        <v>6</v>
      </c>
      <c r="M70" s="11">
        <f>VLOOKUP($G70, 'ADP Data'!$C$4:$Q$300, 9, FALSE)</f>
        <v>42</v>
      </c>
      <c r="N70" s="11">
        <f t="shared" si="5"/>
        <v>0</v>
      </c>
      <c r="O70" s="11">
        <f>VLOOKUP($G70, 'ADP Data'!$C$4:$Q$300, 3, FALSE)</f>
        <v>45</v>
      </c>
      <c r="P70" s="11">
        <f t="shared" si="6"/>
        <v>-3</v>
      </c>
      <c r="Q70" s="11">
        <f>VLOOKUP($G70, 'ADP Data'!$C$4:$Q$300, 4, FALSE)</f>
        <v>36</v>
      </c>
      <c r="R70" s="11">
        <f>VLOOKUP($G70, 'ADP Data'!$C$4:$Q$300, 5, FALSE)</f>
        <v>56</v>
      </c>
      <c r="S70" s="11">
        <f>VLOOKUP($G70, 'ADP Data'!$C$4:$Q$300, 6, FALSE)</f>
        <v>46</v>
      </c>
      <c r="T70" s="11">
        <f>VLOOKUP($G70, 'ADP Data'!$C$4:$Q$300, 7, FALSE)</f>
        <v>44</v>
      </c>
      <c r="U70" s="11">
        <f>VLOOKUP($G70, 'ADP Data'!$C$4:$Q$300, 8, FALSE)</f>
        <v>28</v>
      </c>
      <c r="V70" s="11">
        <f t="shared" si="7"/>
        <v>42</v>
      </c>
      <c r="W70" s="11">
        <f t="shared" si="8"/>
        <v>6</v>
      </c>
      <c r="X70" s="11">
        <f t="shared" si="9"/>
        <v>-2</v>
      </c>
      <c r="Y70" s="11">
        <f>VLOOKUP($G70, SeanRanks!$A$2:$K$303, 10, FALSE)-V70</f>
        <v>-6</v>
      </c>
      <c r="Z70" s="25">
        <f>IF(VLOOKUP($G70, SeanRanks!$A$2:$H$303, 7, FALSE)=0, "", VLOOKUP($G70, SeanRanks!$A$2:$H$303, 7, FALSE))</f>
        <v>17</v>
      </c>
    </row>
    <row r="71" spans="1:26" ht="14.25" customHeight="1" x14ac:dyDescent="0.25">
      <c r="A71" s="11"/>
      <c r="B71" s="11">
        <f t="shared" si="3"/>
        <v>7</v>
      </c>
      <c r="C71" s="11" t="s">
        <v>119</v>
      </c>
      <c r="D71" s="11">
        <v>5</v>
      </c>
      <c r="E71" s="11"/>
      <c r="F71" s="11">
        <f>VLOOKUP(G71, SeanRanks!$A$2:$E$302, 4, FALSE)</f>
        <v>0</v>
      </c>
      <c r="G71" s="11" t="s">
        <v>338</v>
      </c>
      <c r="H71" s="11" t="str">
        <f>VLOOKUP($G71, 'ADP Data'!$C$4:$Q$300, 2, FALSE)</f>
        <v>MIN</v>
      </c>
      <c r="I71" s="11">
        <f>VLOOKUP(G71, 'ADP Data'!$C$4:$R$498, 12, FALSE)</f>
        <v>75</v>
      </c>
      <c r="J71" s="44">
        <f>VLOOKUP($G71, SeanRanks!$A$2:$H$303, 5, FALSE)</f>
        <v>0</v>
      </c>
      <c r="K71" s="11" t="str">
        <f>IF(VLOOKUP($G71, SeanRanks!$A$2:$H$303, 6, FALSE)=0, "", VLOOKUP($G71, SeanRanks!$A$2:$H$303, 6, FALSE))</f>
        <v>RB2 - 2 - Path to spikes</v>
      </c>
      <c r="L71" s="11">
        <f t="shared" si="4"/>
        <v>9</v>
      </c>
      <c r="M71" s="11">
        <f>VLOOKUP($G71, 'ADP Data'!$C$4:$Q$300, 9, FALSE)</f>
        <v>65</v>
      </c>
      <c r="N71" s="11">
        <f t="shared" si="5"/>
        <v>-4</v>
      </c>
      <c r="O71" s="11">
        <f>VLOOKUP($G71, 'ADP Data'!$C$4:$Q$300, 3, FALSE)</f>
        <v>56</v>
      </c>
      <c r="P71" s="11">
        <f t="shared" si="6"/>
        <v>9</v>
      </c>
      <c r="Q71" s="11">
        <f>VLOOKUP($G71, 'ADP Data'!$C$4:$Q$300, 4, FALSE)</f>
        <v>70</v>
      </c>
      <c r="R71" s="11">
        <f>VLOOKUP($G71, 'ADP Data'!$C$4:$Q$300, 5, FALSE)</f>
        <v>76</v>
      </c>
      <c r="S71" s="11">
        <f>VLOOKUP($G71, 'ADP Data'!$C$4:$Q$300, 6, FALSE)</f>
        <v>70</v>
      </c>
      <c r="T71" s="11">
        <f>VLOOKUP($G71, 'ADP Data'!$C$4:$Q$300, 7, FALSE)</f>
        <v>74</v>
      </c>
      <c r="U71" s="11">
        <f>VLOOKUP($G71, 'ADP Data'!$C$4:$Q$300, 8, FALSE)</f>
        <v>77</v>
      </c>
      <c r="V71" s="11">
        <f t="shared" si="7"/>
        <v>69</v>
      </c>
      <c r="W71" s="11">
        <f t="shared" si="8"/>
        <v>9</v>
      </c>
      <c r="X71" s="11">
        <f t="shared" si="9"/>
        <v>-4</v>
      </c>
      <c r="Y71" s="11">
        <f>VLOOKUP($G71, SeanRanks!$A$2:$K$303, 10, FALSE)-V71</f>
        <v>1</v>
      </c>
      <c r="Z71" s="25">
        <f>IF(VLOOKUP($G71, SeanRanks!$A$2:$H$303, 7, FALSE)=0, "", VLOOKUP($G71, SeanRanks!$A$2:$H$303, 7, FALSE))</f>
        <v>25</v>
      </c>
    </row>
    <row r="72" spans="1:26" ht="14.25" customHeight="1" x14ac:dyDescent="0.25">
      <c r="A72" s="11"/>
      <c r="B72" s="11">
        <f t="shared" si="3"/>
        <v>4</v>
      </c>
      <c r="C72" s="11" t="s">
        <v>119</v>
      </c>
      <c r="D72" s="11">
        <v>6</v>
      </c>
      <c r="E72" s="11"/>
      <c r="F72" s="11">
        <f>VLOOKUP(G72, SeanRanks!$A$2:$E$302, 4, FALSE)</f>
        <v>0</v>
      </c>
      <c r="G72" s="11" t="s">
        <v>211</v>
      </c>
      <c r="H72" s="11" t="str">
        <f>VLOOKUP($G72, 'ADP Data'!$C$4:$Q$300, 2, FALSE)</f>
        <v>CIN</v>
      </c>
      <c r="I72" s="11">
        <f>VLOOKUP(G72, 'ADP Data'!$C$4:$R$498, 12, FALSE)</f>
        <v>53</v>
      </c>
      <c r="J72" s="48">
        <f>VLOOKUP($G72, SeanRanks!$A$2:$H$303, 5, FALSE)</f>
        <v>0</v>
      </c>
      <c r="K72" s="11" t="str">
        <f>IF(VLOOKUP($G72, SeanRanks!$A$2:$H$303, 6, FALSE)=0, "", VLOOKUP($G72, SeanRanks!$A$2:$H$303, 6, FALSE))</f>
        <v>QB1 - 2 - QB1 Upside</v>
      </c>
      <c r="L72" s="11">
        <f t="shared" si="4"/>
        <v>6</v>
      </c>
      <c r="M72" s="11">
        <f>VLOOKUP($G72, 'ADP Data'!$C$4:$Q$300, 9, FALSE)</f>
        <v>41</v>
      </c>
      <c r="N72" s="11">
        <f t="shared" si="5"/>
        <v>5</v>
      </c>
      <c r="O72" s="11">
        <f>VLOOKUP($G72, 'ADP Data'!$C$4:$Q$300, 3, FALSE)</f>
        <v>25</v>
      </c>
      <c r="P72" s="11">
        <f t="shared" si="6"/>
        <v>16</v>
      </c>
      <c r="Q72" s="11">
        <f>VLOOKUP($G72, 'ADP Data'!$C$4:$Q$300, 4, FALSE)</f>
        <v>33</v>
      </c>
      <c r="R72" s="11">
        <f>VLOOKUP($G72, 'ADP Data'!$C$4:$Q$300, 5, FALSE)</f>
        <v>45</v>
      </c>
      <c r="S72" s="11">
        <f>VLOOKUP($G72, 'ADP Data'!$C$4:$Q$300, 6, FALSE)</f>
        <v>45</v>
      </c>
      <c r="T72" s="11">
        <f>VLOOKUP($G72, 'ADP Data'!$C$4:$Q$300, 7, FALSE)</f>
        <v>32</v>
      </c>
      <c r="U72" s="11">
        <f>VLOOKUP($G72, 'ADP Data'!$C$4:$Q$300, 8, FALSE)</f>
        <v>35</v>
      </c>
      <c r="V72" s="11">
        <f t="shared" si="7"/>
        <v>36</v>
      </c>
      <c r="W72" s="11">
        <f t="shared" si="8"/>
        <v>5</v>
      </c>
      <c r="X72" s="11">
        <f t="shared" si="9"/>
        <v>1</v>
      </c>
      <c r="Y72" s="11">
        <f>VLOOKUP($G72, SeanRanks!$A$2:$K$303, 10, FALSE)-V72</f>
        <v>17</v>
      </c>
      <c r="Z72" s="25">
        <f>IF(VLOOKUP($G72, SeanRanks!$A$2:$H$303, 7, FALSE)=0, "", VLOOKUP($G72, SeanRanks!$A$2:$H$303, 7, FALSE))</f>
        <v>5</v>
      </c>
    </row>
    <row r="73" spans="1:26" ht="14.25" customHeight="1" x14ac:dyDescent="0.25">
      <c r="A73" s="11"/>
      <c r="B73" s="11">
        <f t="shared" si="3"/>
        <v>8</v>
      </c>
      <c r="C73" s="11" t="s">
        <v>119</v>
      </c>
      <c r="D73" s="11">
        <v>5</v>
      </c>
      <c r="E73" s="11"/>
      <c r="F73" s="11">
        <f>VLOOKUP(G73, SeanRanks!$A$2:$E$302, 4, FALSE)</f>
        <v>0</v>
      </c>
      <c r="G73" s="11" t="s">
        <v>355</v>
      </c>
      <c r="H73" s="11" t="str">
        <f>VLOOKUP($G73, 'ADP Data'!$C$4:$Q$300, 2, FALSE)</f>
        <v>ARI</v>
      </c>
      <c r="I73" s="11">
        <f>VLOOKUP(G73, 'ADP Data'!$C$4:$R$498, 12, FALSE)</f>
        <v>104</v>
      </c>
      <c r="J73" s="48">
        <f>VLOOKUP($G73, SeanRanks!$A$2:$H$303, 5, FALSE)</f>
        <v>0</v>
      </c>
      <c r="K73" s="11" t="str">
        <f>IF(VLOOKUP($G73, SeanRanks!$A$2:$H$303, 6, FALSE)=0, "", VLOOKUP($G73, SeanRanks!$A$2:$H$303, 6, FALSE))</f>
        <v>QB1 - 3 - Top 5 Ceiling</v>
      </c>
      <c r="L73" s="11">
        <f t="shared" si="4"/>
        <v>12</v>
      </c>
      <c r="M73" s="11">
        <f>VLOOKUP($G73, 'ADP Data'!$C$4:$Q$300, 9, FALSE)</f>
        <v>91</v>
      </c>
      <c r="N73" s="11">
        <f t="shared" si="5"/>
        <v>0</v>
      </c>
      <c r="O73" s="11">
        <f>VLOOKUP($G73, 'ADP Data'!$C$4:$Q$300, 3, FALSE)</f>
        <v>82</v>
      </c>
      <c r="P73" s="11">
        <f t="shared" si="6"/>
        <v>9</v>
      </c>
      <c r="Q73" s="11">
        <f>VLOOKUP($G73, 'ADP Data'!$C$4:$Q$300, 4, FALSE)</f>
        <v>77</v>
      </c>
      <c r="R73" s="11">
        <f>VLOOKUP($G73, 'ADP Data'!$C$4:$Q$300, 5, FALSE)</f>
        <v>101</v>
      </c>
      <c r="S73" s="11">
        <f>VLOOKUP($G73, 'ADP Data'!$C$4:$Q$300, 6, FALSE)</f>
        <v>105</v>
      </c>
      <c r="T73" s="11">
        <f>VLOOKUP($G73, 'ADP Data'!$C$4:$Q$300, 7, FALSE)</f>
        <v>104</v>
      </c>
      <c r="U73" s="11">
        <f>VLOOKUP($G73, 'ADP Data'!$C$4:$Q$300, 8, FALSE)</f>
        <v>81</v>
      </c>
      <c r="V73" s="11">
        <f t="shared" si="7"/>
        <v>91</v>
      </c>
      <c r="W73" s="11">
        <f t="shared" si="8"/>
        <v>12</v>
      </c>
      <c r="X73" s="11">
        <f t="shared" si="9"/>
        <v>-7</v>
      </c>
      <c r="Y73" s="11">
        <f>VLOOKUP($G73, SeanRanks!$A$2:$K$303, 10, FALSE)-V73</f>
        <v>7</v>
      </c>
      <c r="Z73" s="25">
        <f>IF(VLOOKUP($G73, SeanRanks!$A$2:$H$303, 7, FALSE)=0, "", VLOOKUP($G73, SeanRanks!$A$2:$H$303, 7, FALSE))</f>
        <v>8</v>
      </c>
    </row>
    <row r="74" spans="1:26" ht="14.25" customHeight="1" x14ac:dyDescent="0.25">
      <c r="A74" s="11"/>
      <c r="B74" s="11">
        <f t="shared" si="3"/>
        <v>6</v>
      </c>
      <c r="C74" s="11" t="s">
        <v>119</v>
      </c>
      <c r="D74" s="11">
        <v>6</v>
      </c>
      <c r="E74" s="11"/>
      <c r="F74" s="11">
        <f>VLOOKUP(G74, SeanRanks!$A$2:$E$302, 4, FALSE)</f>
        <v>0</v>
      </c>
      <c r="G74" s="11" t="s">
        <v>478</v>
      </c>
      <c r="H74" s="11" t="str">
        <f>VLOOKUP($G74, 'ADP Data'!$C$4:$Q$300, 2, FALSE)</f>
        <v>TEN</v>
      </c>
      <c r="I74" s="11">
        <f>VLOOKUP(G74, 'ADP Data'!$C$4:$R$498, 12, FALSE)</f>
        <v>51</v>
      </c>
      <c r="J74" s="45" t="str">
        <f>VLOOKUP($G74, SeanRanks!$A$2:$H$303, 5, FALSE)</f>
        <v>Yes</v>
      </c>
      <c r="K74" s="11" t="str">
        <f>IF(VLOOKUP($G74, SeanRanks!$A$2:$H$303, 6, FALSE)=0, "", VLOOKUP($G74, SeanRanks!$A$2:$H$303, 6, FALSE))</f>
        <v xml:space="preserve">WR3 - 1 - </v>
      </c>
      <c r="L74" s="11">
        <f t="shared" si="4"/>
        <v>10</v>
      </c>
      <c r="M74" s="11">
        <f>VLOOKUP($G74, 'ADP Data'!$C$4:$Q$300, 9, FALSE)</f>
        <v>72</v>
      </c>
      <c r="N74" s="11">
        <f t="shared" si="5"/>
        <v>8</v>
      </c>
      <c r="O74" s="11">
        <f>VLOOKUP($G74, 'ADP Data'!$C$4:$Q$300, 3, FALSE)</f>
        <v>67</v>
      </c>
      <c r="P74" s="11">
        <f t="shared" si="6"/>
        <v>5</v>
      </c>
      <c r="Q74" s="11">
        <f>VLOOKUP($G74, 'ADP Data'!$C$4:$Q$300, 4, FALSE)</f>
        <v>60</v>
      </c>
      <c r="R74" s="11">
        <f>VLOOKUP($G74, 'ADP Data'!$C$4:$Q$300, 5, FALSE)</f>
        <v>72</v>
      </c>
      <c r="S74" s="11">
        <f>VLOOKUP($G74, 'ADP Data'!$C$4:$Q$300, 6, FALSE)</f>
        <v>59</v>
      </c>
      <c r="T74" s="11">
        <f>VLOOKUP($G74, 'ADP Data'!$C$4:$Q$300, 7, FALSE)</f>
        <v>54</v>
      </c>
      <c r="U74" s="11">
        <f>VLOOKUP($G74, 'ADP Data'!$C$4:$Q$300, 8, FALSE)</f>
        <v>66</v>
      </c>
      <c r="V74" s="11">
        <f t="shared" si="7"/>
        <v>64</v>
      </c>
      <c r="W74" s="11">
        <f t="shared" si="8"/>
        <v>9</v>
      </c>
      <c r="X74" s="11">
        <f t="shared" si="9"/>
        <v>-3</v>
      </c>
      <c r="Y74" s="11">
        <f>VLOOKUP($G74, SeanRanks!$A$2:$K$303, 10, FALSE)-V74</f>
        <v>-6</v>
      </c>
      <c r="Z74" s="25">
        <f>IF(VLOOKUP($G74, SeanRanks!$A$2:$H$303, 7, FALSE)=0, "", VLOOKUP($G74, SeanRanks!$A$2:$H$303, 7, FALSE))</f>
        <v>25</v>
      </c>
    </row>
    <row r="75" spans="1:26" ht="14.25" customHeight="1" x14ac:dyDescent="0.25">
      <c r="A75" s="11"/>
      <c r="B75" s="11">
        <f t="shared" si="3"/>
        <v>11</v>
      </c>
      <c r="C75" s="11" t="s">
        <v>119</v>
      </c>
      <c r="D75" s="11">
        <v>6</v>
      </c>
      <c r="E75" s="11"/>
      <c r="F75" s="11">
        <f>VLOOKUP(G75, SeanRanks!$A$2:$E$302, 4, FALSE)</f>
        <v>0</v>
      </c>
      <c r="G75" s="11" t="s">
        <v>222</v>
      </c>
      <c r="H75" s="11" t="str">
        <f>VLOOKUP($G75, 'ADP Data'!$C$4:$Q$300, 2, FALSE)</f>
        <v>NE</v>
      </c>
      <c r="I75" s="11">
        <f>VLOOKUP(G75, 'ADP Data'!$C$4:$R$498, 12, FALSE)</f>
        <v>135</v>
      </c>
      <c r="J75" s="44">
        <f>VLOOKUP($G75, SeanRanks!$A$2:$H$303, 5, FALSE)</f>
        <v>0</v>
      </c>
      <c r="K75" s="11" t="str">
        <f>IF(VLOOKUP($G75, SeanRanks!$A$2:$H$303, 6, FALSE)=0, "", VLOOKUP($G75, SeanRanks!$A$2:$H$303, 6, FALSE))</f>
        <v>RB3 - 2 - low ceiling</v>
      </c>
      <c r="L75" s="11">
        <f t="shared" si="4"/>
        <v>14</v>
      </c>
      <c r="M75" s="11">
        <f>VLOOKUP($G75, 'ADP Data'!$C$4:$Q$300, 9, FALSE)</f>
        <v>111</v>
      </c>
      <c r="N75" s="11">
        <f t="shared" si="5"/>
        <v>-6</v>
      </c>
      <c r="O75" s="11">
        <f>VLOOKUP($G75, 'ADP Data'!$C$4:$Q$300, 3, FALSE)</f>
        <v>109</v>
      </c>
      <c r="P75" s="11">
        <f t="shared" si="6"/>
        <v>2</v>
      </c>
      <c r="Q75" s="11">
        <f>VLOOKUP($G75, 'ADP Data'!$C$4:$Q$300, 4, FALSE)</f>
        <v>107</v>
      </c>
      <c r="R75" s="11">
        <f>VLOOKUP($G75, 'ADP Data'!$C$4:$Q$300, 5, FALSE)</f>
        <v>118</v>
      </c>
      <c r="S75" s="11">
        <f>VLOOKUP($G75, 'ADP Data'!$C$4:$Q$300, 6, FALSE)</f>
        <v>126</v>
      </c>
      <c r="T75" s="11">
        <f>VLOOKUP($G75, 'ADP Data'!$C$4:$Q$300, 7, FALSE)</f>
        <v>121</v>
      </c>
      <c r="U75" s="11">
        <f>VLOOKUP($G75, 'ADP Data'!$C$4:$Q$300, 8, FALSE)</f>
        <v>130</v>
      </c>
      <c r="V75" s="11">
        <f t="shared" si="7"/>
        <v>117</v>
      </c>
      <c r="W75" s="11">
        <f t="shared" si="8"/>
        <v>15</v>
      </c>
      <c r="X75" s="11">
        <f t="shared" si="9"/>
        <v>-9</v>
      </c>
      <c r="Y75" s="11">
        <f>VLOOKUP($G75, SeanRanks!$A$2:$K$303, 10, FALSE)-V75</f>
        <v>-1</v>
      </c>
      <c r="Z75" s="25">
        <f>IF(VLOOKUP($G75, SeanRanks!$A$2:$H$303, 7, FALSE)=0, "", VLOOKUP($G75, SeanRanks!$A$2:$H$303, 7, FALSE))</f>
        <v>37</v>
      </c>
    </row>
    <row r="76" spans="1:26" ht="14.25" customHeight="1" x14ac:dyDescent="0.25">
      <c r="A76" s="11"/>
      <c r="B76" s="11">
        <f t="shared" si="3"/>
        <v>9</v>
      </c>
      <c r="C76" s="11" t="s">
        <v>119</v>
      </c>
      <c r="D76" s="11">
        <v>7</v>
      </c>
      <c r="E76" s="11"/>
      <c r="F76" s="11">
        <f>VLOOKUP(G76, SeanRanks!$A$2:$E$302, 4, FALSE)</f>
        <v>0</v>
      </c>
      <c r="G76" s="11" t="s">
        <v>254</v>
      </c>
      <c r="H76" s="11" t="str">
        <f>VLOOKUP($G76, 'ADP Data'!$C$4:$Q$300, 2, FALSE)</f>
        <v>DAL</v>
      </c>
      <c r="I76" s="11">
        <f>VLOOKUP(G76, 'ADP Data'!$C$4:$R$498, 12, FALSE)</f>
        <v>94</v>
      </c>
      <c r="J76" s="50">
        <f>VLOOKUP($G76, SeanRanks!$A$2:$H$303, 5, FALSE)</f>
        <v>0</v>
      </c>
      <c r="K76" s="11" t="str">
        <f>IF(VLOOKUP($G76, SeanRanks!$A$2:$H$303, 6, FALSE)=0, "", VLOOKUP($G76, SeanRanks!$A$2:$H$303, 6, FALSE))</f>
        <v>QB1 - 4 - Weekly Start</v>
      </c>
      <c r="L76" s="11">
        <f t="shared" si="4"/>
        <v>15</v>
      </c>
      <c r="M76" s="11">
        <f>VLOOKUP($G76, 'ADP Data'!$C$4:$Q$300, 9, FALSE)</f>
        <v>117</v>
      </c>
      <c r="N76" s="11">
        <f t="shared" si="5"/>
        <v>15</v>
      </c>
      <c r="O76" s="11">
        <f>VLOOKUP($G76, 'ADP Data'!$C$4:$Q$300, 3, FALSE)</f>
        <v>77</v>
      </c>
      <c r="P76" s="11">
        <f t="shared" si="6"/>
        <v>40</v>
      </c>
      <c r="Q76" s="11">
        <f>VLOOKUP($G76, 'ADP Data'!$C$4:$Q$300, 4, FALSE)</f>
        <v>99</v>
      </c>
      <c r="R76" s="11">
        <f>VLOOKUP($G76, 'ADP Data'!$C$4:$Q$300, 5, FALSE)</f>
        <v>120</v>
      </c>
      <c r="S76" s="11">
        <f>VLOOKUP($G76, 'ADP Data'!$C$4:$Q$300, 6, FALSE)</f>
        <v>97</v>
      </c>
      <c r="T76" s="11">
        <f>VLOOKUP($G76, 'ADP Data'!$C$4:$Q$300, 7, FALSE)</f>
        <v>87</v>
      </c>
      <c r="U76" s="11">
        <f>VLOOKUP($G76, 'ADP Data'!$C$4:$Q$300, 8, FALSE)</f>
        <v>117</v>
      </c>
      <c r="V76" s="11">
        <f t="shared" si="7"/>
        <v>102</v>
      </c>
      <c r="W76" s="11">
        <f t="shared" si="8"/>
        <v>13</v>
      </c>
      <c r="X76" s="11">
        <f t="shared" si="9"/>
        <v>-6</v>
      </c>
      <c r="Y76" s="11">
        <f>VLOOKUP($G76, SeanRanks!$A$2:$K$303, 10, FALSE)-V76</f>
        <v>-14</v>
      </c>
      <c r="Z76" s="25">
        <f>IF(VLOOKUP($G76, SeanRanks!$A$2:$H$303, 7, FALSE)=0, "", VLOOKUP($G76, SeanRanks!$A$2:$H$303, 7, FALSE))</f>
        <v>11</v>
      </c>
    </row>
    <row r="77" spans="1:26" ht="14.25" customHeight="1" x14ac:dyDescent="0.25">
      <c r="A77" s="11"/>
      <c r="B77" s="11">
        <f t="shared" si="3"/>
        <v>6</v>
      </c>
      <c r="C77" s="11" t="s">
        <v>119</v>
      </c>
      <c r="D77" s="11">
        <v>6</v>
      </c>
      <c r="E77" s="11"/>
      <c r="F77" s="11">
        <f>VLOOKUP(G77, SeanRanks!$A$2:$E$302, 4, FALSE)</f>
        <v>0</v>
      </c>
      <c r="G77" s="11" t="s">
        <v>172</v>
      </c>
      <c r="H77" s="11" t="str">
        <f>VLOOKUP($G77, 'ADP Data'!$C$4:$Q$300, 2, FALSE)</f>
        <v>CHI</v>
      </c>
      <c r="I77" s="11">
        <f>VLOOKUP(G77, 'ADP Data'!$C$4:$R$498, 12, FALSE)</f>
        <v>58</v>
      </c>
      <c r="J77" s="46" t="str">
        <f>VLOOKUP($G77, SeanRanks!$A$2:$H$303, 5, FALSE)</f>
        <v>No</v>
      </c>
      <c r="K77" s="11" t="str">
        <f>IF(VLOOKUP($G77, SeanRanks!$A$2:$H$303, 6, FALSE)=0, "", VLOOKUP($G77, SeanRanks!$A$2:$H$303, 6, FALSE))</f>
        <v>RB2 - 2 - Path to spikes</v>
      </c>
      <c r="L77" s="11">
        <f t="shared" si="4"/>
        <v>9</v>
      </c>
      <c r="M77" s="11">
        <f>VLOOKUP($G77, 'ADP Data'!$C$4:$Q$300, 9, FALSE)</f>
        <v>68</v>
      </c>
      <c r="N77" s="11">
        <f t="shared" si="5"/>
        <v>8</v>
      </c>
      <c r="O77" s="11">
        <f>VLOOKUP($G77, 'ADP Data'!$C$4:$Q$300, 3, FALSE)</f>
        <v>49</v>
      </c>
      <c r="P77" s="11">
        <f t="shared" si="6"/>
        <v>19</v>
      </c>
      <c r="Q77" s="11">
        <f>VLOOKUP($G77, 'ADP Data'!$C$4:$Q$300, 4, FALSE)</f>
        <v>53</v>
      </c>
      <c r="R77" s="11">
        <f>VLOOKUP($G77, 'ADP Data'!$C$4:$Q$300, 5, FALSE)</f>
        <v>80</v>
      </c>
      <c r="S77" s="11">
        <f>VLOOKUP($G77, 'ADP Data'!$C$4:$Q$300, 6, FALSE)</f>
        <v>56</v>
      </c>
      <c r="T77" s="11">
        <f>VLOOKUP($G77, 'ADP Data'!$C$4:$Q$300, 7, FALSE)</f>
        <v>59</v>
      </c>
      <c r="U77" s="11">
        <f>VLOOKUP($G77, 'ADP Data'!$C$4:$Q$300, 8, FALSE)</f>
        <v>57</v>
      </c>
      <c r="V77" s="11">
        <f t="shared" si="7"/>
        <v>60</v>
      </c>
      <c r="W77" s="11">
        <f t="shared" si="8"/>
        <v>8</v>
      </c>
      <c r="X77" s="11">
        <f t="shared" si="9"/>
        <v>-2</v>
      </c>
      <c r="Y77" s="11">
        <f>VLOOKUP($G77, SeanRanks!$A$2:$K$303, 10, FALSE)-V77</f>
        <v>4</v>
      </c>
      <c r="Z77" s="25">
        <f>IF(VLOOKUP($G77, SeanRanks!$A$2:$H$303, 7, FALSE)=0, "", VLOOKUP($G77, SeanRanks!$A$2:$H$303, 7, FALSE))</f>
        <v>26</v>
      </c>
    </row>
    <row r="78" spans="1:26" ht="14.25" customHeight="1" x14ac:dyDescent="0.25">
      <c r="A78" s="11"/>
      <c r="B78" s="11" t="e">
        <f t="shared" si="3"/>
        <v>#N/A</v>
      </c>
      <c r="C78" s="11" t="s">
        <v>119</v>
      </c>
      <c r="D78" s="11">
        <v>7</v>
      </c>
      <c r="E78" s="11"/>
      <c r="F78" s="11" t="e">
        <f>VLOOKUP(G78, SeanRanks!$A$2:$E$302, 4, FALSE)</f>
        <v>#N/A</v>
      </c>
      <c r="G78" s="11" t="s">
        <v>850</v>
      </c>
      <c r="H78" s="11" t="e">
        <f>VLOOKUP($G78, 'ADP Data'!$C$4:$Q$300, 2, FALSE)</f>
        <v>#N/A</v>
      </c>
      <c r="I78" s="11" t="e">
        <f>VLOOKUP(G78, 'ADP Data'!$C$4:$R$498, 12, FALSE)</f>
        <v>#N/A</v>
      </c>
      <c r="J78" s="44" t="e">
        <f>VLOOKUP($G78, SeanRanks!$A$2:$H$303, 5, FALSE)</f>
        <v>#N/A</v>
      </c>
      <c r="K78" s="11" t="e">
        <f>IF(VLOOKUP($G78, SeanRanks!$A$2:$H$303, 6, FALSE)=0, "", VLOOKUP($G78, SeanRanks!$A$2:$H$303, 6, FALSE))</f>
        <v>#N/A</v>
      </c>
      <c r="L78" s="11">
        <f t="shared" si="4"/>
        <v>16</v>
      </c>
      <c r="M78" s="11" t="e">
        <f>VLOOKUP($G78, 'ADP Data'!$C$4:$Q$300, 9, FALSE)</f>
        <v>#N/A</v>
      </c>
      <c r="N78" s="11" t="e">
        <f t="shared" si="5"/>
        <v>#N/A</v>
      </c>
      <c r="O78" s="11" t="e">
        <f>VLOOKUP($G78, 'ADP Data'!$C$4:$Q$300, 3, FALSE)</f>
        <v>#N/A</v>
      </c>
      <c r="P78" s="11" t="e">
        <f t="shared" si="6"/>
        <v>#N/A</v>
      </c>
      <c r="Q78" s="11" t="e">
        <f>VLOOKUP($G78, 'ADP Data'!$C$4:$Q$300, 4, FALSE)</f>
        <v>#N/A</v>
      </c>
      <c r="R78" s="11" t="e">
        <f>VLOOKUP($G78, 'ADP Data'!$C$4:$Q$300, 5, FALSE)</f>
        <v>#N/A</v>
      </c>
      <c r="S78" s="11" t="e">
        <f>VLOOKUP($G78, 'ADP Data'!$C$4:$Q$300, 6, FALSE)</f>
        <v>#N/A</v>
      </c>
      <c r="T78" s="11" t="e">
        <f>VLOOKUP($G78, 'ADP Data'!$C$4:$Q$300, 7, FALSE)</f>
        <v>#N/A</v>
      </c>
      <c r="U78" s="11" t="e">
        <f>VLOOKUP($G78, 'ADP Data'!$C$4:$Q$300, 8, FALSE)</f>
        <v>#N/A</v>
      </c>
      <c r="V78" s="11" t="e">
        <f t="shared" si="7"/>
        <v>#N/A</v>
      </c>
      <c r="W78" s="11">
        <f t="shared" si="8"/>
        <v>16</v>
      </c>
      <c r="X78" s="11">
        <f t="shared" si="9"/>
        <v>-9</v>
      </c>
      <c r="Y78" s="11" t="e">
        <f>VLOOKUP($G78, SeanRanks!$A$2:$K$303, 10, FALSE)-V78</f>
        <v>#N/A</v>
      </c>
      <c r="Z78" s="25" t="e">
        <f>IF(VLOOKUP($G78, SeanRanks!$A$2:$H$303, 7, FALSE)=0, "", VLOOKUP($G78, SeanRanks!$A$2:$H$303, 7, FALSE))</f>
        <v>#N/A</v>
      </c>
    </row>
    <row r="79" spans="1:26" ht="14.25" customHeight="1" x14ac:dyDescent="0.25">
      <c r="A79" s="11"/>
      <c r="B79" s="11">
        <f t="shared" si="3"/>
        <v>12</v>
      </c>
      <c r="C79" s="11" t="s">
        <v>119</v>
      </c>
      <c r="D79" s="11">
        <v>6</v>
      </c>
      <c r="E79" s="11"/>
      <c r="F79" s="11">
        <f>VLOOKUP(G79, SeanRanks!$A$2:$E$302, 4, FALSE)</f>
        <v>0</v>
      </c>
      <c r="G79" s="11" t="s">
        <v>664</v>
      </c>
      <c r="H79" s="11" t="str">
        <f>VLOOKUP($G79, 'ADP Data'!$C$4:$Q$300, 2, FALSE)</f>
        <v>HOU</v>
      </c>
      <c r="I79" s="11">
        <f>VLOOKUP(G79, 'ADP Data'!$C$4:$R$498, 12, FALSE)</f>
        <v>103</v>
      </c>
      <c r="J79" s="26">
        <f>VLOOKUP($G79, SeanRanks!$A$2:$H$303, 5, FALSE)</f>
        <v>0</v>
      </c>
      <c r="K79" s="11" t="str">
        <f>IF(VLOOKUP($G79, SeanRanks!$A$2:$H$303, 6, FALSE)=0, "", VLOOKUP($G79, SeanRanks!$A$2:$H$303, 6, FALSE))</f>
        <v>WR5 - 2 - floor play not league winner</v>
      </c>
      <c r="L79" s="11">
        <f t="shared" si="4"/>
        <v>19</v>
      </c>
      <c r="M79" s="11">
        <f>VLOOKUP($G79, 'ADP Data'!$C$4:$Q$300, 9, FALSE)</f>
        <v>148</v>
      </c>
      <c r="N79" s="11">
        <f t="shared" si="5"/>
        <v>6</v>
      </c>
      <c r="O79" s="11">
        <f>VLOOKUP($G79, 'ADP Data'!$C$4:$Q$300, 3, FALSE)</f>
        <v>137</v>
      </c>
      <c r="P79" s="11">
        <f t="shared" si="6"/>
        <v>11</v>
      </c>
      <c r="Q79" s="11">
        <f>VLOOKUP($G79, 'ADP Data'!$C$4:$Q$300, 4, FALSE)</f>
        <v>178</v>
      </c>
      <c r="R79" s="11">
        <f>VLOOKUP($G79, 'ADP Data'!$C$4:$Q$300, 5, FALSE)</f>
        <v>124</v>
      </c>
      <c r="S79" s="11">
        <f>VLOOKUP($G79, 'ADP Data'!$C$4:$Q$300, 6, FALSE)</f>
        <v>131</v>
      </c>
      <c r="T79" s="11">
        <f>VLOOKUP($G79, 'ADP Data'!$C$4:$Q$300, 7, FALSE)</f>
        <v>108</v>
      </c>
      <c r="U79" s="11">
        <f>VLOOKUP($G79, 'ADP Data'!$C$4:$Q$300, 8, FALSE)</f>
        <v>172</v>
      </c>
      <c r="V79" s="11">
        <f t="shared" si="7"/>
        <v>142</v>
      </c>
      <c r="W79" s="11">
        <f t="shared" si="8"/>
        <v>18</v>
      </c>
      <c r="X79" s="11">
        <f t="shared" si="9"/>
        <v>-12</v>
      </c>
      <c r="Y79" s="11">
        <f>VLOOKUP($G79, SeanRanks!$A$2:$K$303, 10, FALSE)-V79</f>
        <v>-9</v>
      </c>
      <c r="Z79" s="25">
        <f>IF(VLOOKUP($G79, SeanRanks!$A$2:$H$303, 7, FALSE)=0, "", VLOOKUP($G79, SeanRanks!$A$2:$H$303, 7, FALSE))</f>
        <v>57</v>
      </c>
    </row>
    <row r="80" spans="1:26" ht="14.25" customHeight="1" x14ac:dyDescent="0.25">
      <c r="A80" s="11"/>
      <c r="B80" s="11">
        <f t="shared" si="3"/>
        <v>12</v>
      </c>
      <c r="C80" s="11" t="s">
        <v>119</v>
      </c>
      <c r="D80" s="11" t="s">
        <v>883</v>
      </c>
      <c r="E80" s="11"/>
      <c r="F80" s="11">
        <f>VLOOKUP(G80, SeanRanks!$A$2:$E$302, 4, FALSE)</f>
        <v>0</v>
      </c>
      <c r="G80" s="11" t="s">
        <v>634</v>
      </c>
      <c r="H80" s="11" t="str">
        <f>VLOOKUP($G80, 'ADP Data'!$C$4:$Q$300, 2, FALSE)</f>
        <v>LAC</v>
      </c>
      <c r="I80" s="11">
        <f>VLOOKUP(G80, 'ADP Data'!$C$4:$R$498, 12, FALSE)</f>
        <v>157</v>
      </c>
      <c r="J80" s="44">
        <f>VLOOKUP($G80, SeanRanks!$A$2:$H$303, 5, FALSE)</f>
        <v>0</v>
      </c>
      <c r="K80" s="11" t="str">
        <f>IF(VLOOKUP($G80, SeanRanks!$A$2:$H$303, 6, FALSE)=0, "", VLOOKUP($G80, SeanRanks!$A$2:$H$303, 6, FALSE))</f>
        <v>RB4 - 1 - Path to spikes</v>
      </c>
      <c r="L80" s="11">
        <f t="shared" si="4"/>
        <v>14</v>
      </c>
      <c r="M80" s="11">
        <f>VLOOKUP($G80, 'ADP Data'!$C$4:$Q$300, 9, FALSE)</f>
        <v>108</v>
      </c>
      <c r="N80" s="11">
        <f t="shared" si="5"/>
        <v>-29</v>
      </c>
      <c r="O80" s="11">
        <f>VLOOKUP($G80, 'ADP Data'!$C$4:$Q$300, 3, FALSE)</f>
        <v>138</v>
      </c>
      <c r="P80" s="11">
        <f t="shared" si="6"/>
        <v>-30</v>
      </c>
      <c r="Q80" s="11">
        <f>VLOOKUP($G80, 'ADP Data'!$C$4:$Q$300, 4, FALSE)</f>
        <v>162</v>
      </c>
      <c r="R80" s="11">
        <f>VLOOKUP($G80, 'ADP Data'!$C$4:$Q$300, 5, FALSE)</f>
        <v>150</v>
      </c>
      <c r="S80" s="11">
        <f>VLOOKUP($G80, 'ADP Data'!$C$4:$Q$300, 6, FALSE)</f>
        <v>148</v>
      </c>
      <c r="T80" s="11">
        <f>VLOOKUP($G80, 'ADP Data'!$C$4:$Q$300, 7, FALSE)</f>
        <v>137</v>
      </c>
      <c r="U80" s="11">
        <f>VLOOKUP($G80, 'ADP Data'!$C$4:$Q$300, 8, FALSE)</f>
        <v>118</v>
      </c>
      <c r="V80" s="11">
        <f t="shared" si="7"/>
        <v>137</v>
      </c>
      <c r="W80" s="11">
        <f t="shared" si="8"/>
        <v>18</v>
      </c>
      <c r="X80" s="11" t="e">
        <f t="shared" si="9"/>
        <v>#VALUE!</v>
      </c>
      <c r="Y80" s="11">
        <f>VLOOKUP($G80, SeanRanks!$A$2:$K$303, 10, FALSE)-V80</f>
        <v>18</v>
      </c>
      <c r="Z80" s="25">
        <f>IF(VLOOKUP($G80, SeanRanks!$A$2:$H$303, 7, FALSE)=0, "", VLOOKUP($G80, SeanRanks!$A$2:$H$303, 7, FALSE))</f>
        <v>39</v>
      </c>
    </row>
    <row r="81" spans="1:26" ht="14.25" customHeight="1" x14ac:dyDescent="0.25">
      <c r="A81" s="11"/>
      <c r="B81" s="11">
        <f t="shared" si="3"/>
        <v>9</v>
      </c>
      <c r="C81" s="11" t="s">
        <v>119</v>
      </c>
      <c r="D81" s="11">
        <v>6</v>
      </c>
      <c r="E81" s="11"/>
      <c r="F81" s="11">
        <f>VLOOKUP(G81, SeanRanks!$A$2:$E$302, 4, FALSE)</f>
        <v>0</v>
      </c>
      <c r="G81" s="11" t="s">
        <v>264</v>
      </c>
      <c r="H81" s="11" t="str">
        <f>VLOOKUP($G81, 'ADP Data'!$C$4:$Q$300, 2, FALSE)</f>
        <v>TB</v>
      </c>
      <c r="I81" s="11">
        <f>VLOOKUP(G81, 'ADP Data'!$C$4:$R$498, 12, FALSE)</f>
        <v>117</v>
      </c>
      <c r="J81" s="26">
        <f>VLOOKUP($G81, SeanRanks!$A$2:$H$303, 5, FALSE)</f>
        <v>0</v>
      </c>
      <c r="K81" s="11" t="str">
        <f>IF(VLOOKUP($G81, SeanRanks!$A$2:$H$303, 6, FALSE)=0, "", VLOOKUP($G81, SeanRanks!$A$2:$H$303, 6, FALSE))</f>
        <v>WR4 - 1 - path to WR2</v>
      </c>
      <c r="L81" s="11">
        <f t="shared" si="4"/>
        <v>12</v>
      </c>
      <c r="M81" s="11">
        <f>VLOOKUP($G81, 'ADP Data'!$C$4:$Q$300, 9, FALSE)</f>
        <v>90</v>
      </c>
      <c r="N81" s="11">
        <f t="shared" si="5"/>
        <v>-14</v>
      </c>
      <c r="O81" s="11">
        <f>VLOOKUP($G81, 'ADP Data'!$C$4:$Q$300, 3, FALSE)</f>
        <v>107</v>
      </c>
      <c r="P81" s="11">
        <f t="shared" si="6"/>
        <v>-17</v>
      </c>
      <c r="Q81" s="11">
        <f>VLOOKUP($G81, 'ADP Data'!$C$4:$Q$300, 4, FALSE)</f>
        <v>102</v>
      </c>
      <c r="R81" s="11">
        <f>VLOOKUP($G81, 'ADP Data'!$C$4:$Q$300, 5, FALSE)</f>
        <v>127</v>
      </c>
      <c r="S81" s="11">
        <f>VLOOKUP($G81, 'ADP Data'!$C$4:$Q$300, 6, FALSE)</f>
        <v>118</v>
      </c>
      <c r="T81" s="11">
        <f>VLOOKUP($G81, 'ADP Data'!$C$4:$Q$300, 7, FALSE)</f>
        <v>100</v>
      </c>
      <c r="U81" s="11">
        <f>VLOOKUP($G81, 'ADP Data'!$C$4:$Q$300, 8, FALSE)</f>
        <v>90</v>
      </c>
      <c r="V81" s="11">
        <f t="shared" si="7"/>
        <v>104</v>
      </c>
      <c r="W81" s="11">
        <f t="shared" si="8"/>
        <v>14</v>
      </c>
      <c r="X81" s="11">
        <f t="shared" si="9"/>
        <v>-8</v>
      </c>
      <c r="Y81" s="11">
        <f>VLOOKUP($G81, SeanRanks!$A$2:$K$303, 10, FALSE)-V81</f>
        <v>23</v>
      </c>
      <c r="Z81" s="25">
        <f>IF(VLOOKUP($G81, SeanRanks!$A$2:$H$303, 7, FALSE)=0, "", VLOOKUP($G81, SeanRanks!$A$2:$H$303, 7, FALSE))</f>
        <v>42</v>
      </c>
    </row>
    <row r="82" spans="1:26" ht="14.25" customHeight="1" x14ac:dyDescent="0.25">
      <c r="A82" s="11"/>
      <c r="B82" s="11">
        <f t="shared" si="3"/>
        <v>12</v>
      </c>
      <c r="C82" s="11" t="s">
        <v>119</v>
      </c>
      <c r="D82" s="11"/>
      <c r="E82" s="11"/>
      <c r="F82" s="11">
        <f>VLOOKUP(G82, SeanRanks!$A$2:$E$302, 4, FALSE)</f>
        <v>0</v>
      </c>
      <c r="G82" s="11" t="s">
        <v>360</v>
      </c>
      <c r="H82" s="11" t="str">
        <f>VLOOKUP($G82, 'ADP Data'!$C$4:$Q$300, 2, FALSE)</f>
        <v>GB</v>
      </c>
      <c r="I82" s="11">
        <f>VLOOKUP(G82, 'ADP Data'!$C$4:$R$498, 12, FALSE)</f>
        <v>133</v>
      </c>
      <c r="J82" s="50">
        <f>VLOOKUP($G82, SeanRanks!$A$2:$H$303, 5, FALSE)</f>
        <v>0</v>
      </c>
      <c r="K82" s="11" t="str">
        <f>IF(VLOOKUP($G82, SeanRanks!$A$2:$H$303, 6, FALSE)=0, "", VLOOKUP($G82, SeanRanks!$A$2:$H$303, 6, FALSE))</f>
        <v>QB2 - 1 - League Winner</v>
      </c>
      <c r="L82" s="11">
        <f t="shared" si="4"/>
        <v>18</v>
      </c>
      <c r="M82" s="11">
        <f>VLOOKUP($G82, 'ADP Data'!$C$4:$Q$300, 9, FALSE)</f>
        <v>142</v>
      </c>
      <c r="N82" s="11">
        <f t="shared" si="5"/>
        <v>5</v>
      </c>
      <c r="O82" s="11">
        <f>VLOOKUP($G82, 'ADP Data'!$C$4:$Q$300, 3, FALSE)</f>
        <v>123</v>
      </c>
      <c r="P82" s="11">
        <f t="shared" si="6"/>
        <v>19</v>
      </c>
      <c r="Q82" s="11">
        <f>VLOOKUP($G82, 'ADP Data'!$C$4:$Q$300, 4, FALSE)</f>
        <v>125</v>
      </c>
      <c r="R82" s="11">
        <f>VLOOKUP($G82, 'ADP Data'!$C$4:$Q$300, 5, FALSE)</f>
        <v>160</v>
      </c>
      <c r="S82" s="11">
        <f>VLOOKUP($G82, 'ADP Data'!$C$4:$Q$300, 6, FALSE)</f>
        <v>147</v>
      </c>
      <c r="T82" s="11">
        <f>VLOOKUP($G82, 'ADP Data'!$C$4:$Q$300, 7, FALSE)</f>
        <v>127</v>
      </c>
      <c r="U82" s="11">
        <f>VLOOKUP($G82, 'ADP Data'!$C$4:$Q$300, 8, FALSE)</f>
        <v>140</v>
      </c>
      <c r="V82" s="11">
        <f t="shared" si="7"/>
        <v>137</v>
      </c>
      <c r="W82" s="11">
        <f t="shared" si="8"/>
        <v>18</v>
      </c>
      <c r="X82" s="11">
        <f t="shared" si="9"/>
        <v>-18</v>
      </c>
      <c r="Y82" s="11">
        <f>VLOOKUP($G82, SeanRanks!$A$2:$K$303, 10, FALSE)-V82</f>
        <v>-26</v>
      </c>
      <c r="Z82" s="25">
        <f>IF(VLOOKUP($G82, SeanRanks!$A$2:$H$303, 7, FALSE)=0, "", VLOOKUP($G82, SeanRanks!$A$2:$H$303, 7, FALSE))</f>
        <v>15</v>
      </c>
    </row>
    <row r="83" spans="1:26" ht="14.25" customHeight="1" x14ac:dyDescent="0.25">
      <c r="A83" s="11"/>
      <c r="B83" s="11">
        <f t="shared" si="3"/>
        <v>21</v>
      </c>
      <c r="C83" s="11" t="s">
        <v>119</v>
      </c>
      <c r="D83" s="11">
        <v>6</v>
      </c>
      <c r="E83" s="11"/>
      <c r="F83" s="11">
        <f>VLOOKUP(G83, SeanRanks!$A$2:$E$302, 4, FALSE)</f>
        <v>0</v>
      </c>
      <c r="G83" s="11" t="s">
        <v>896</v>
      </c>
      <c r="H83" s="11" t="str">
        <f>VLOOKUP($G83, 'ADP Data'!$C$4:$Q$300, 2, FALSE)</f>
        <v>LV</v>
      </c>
      <c r="I83" s="11">
        <f>VLOOKUP(G83, 'ADP Data'!$C$4:$R$498, 12, FALSE)</f>
        <v>245</v>
      </c>
      <c r="J83" s="46">
        <f>VLOOKUP($G83, SeanRanks!$A$2:$H$303, 5, FALSE)</f>
        <v>0</v>
      </c>
      <c r="K83" s="11" t="str">
        <f>IF(VLOOKUP($G83, SeanRanks!$A$2:$H$303, 6, FALSE)=0, "", VLOOKUP($G83, SeanRanks!$A$2:$H$303, 6, FALSE))</f>
        <v/>
      </c>
      <c r="L83" s="11">
        <f t="shared" si="4"/>
        <v>33</v>
      </c>
      <c r="M83" s="11">
        <f>VLOOKUP($G83, 'ADP Data'!$C$4:$Q$300, 9, FALSE)</f>
        <v>260</v>
      </c>
      <c r="N83" s="11">
        <f t="shared" si="5"/>
        <v>19</v>
      </c>
      <c r="O83" s="11">
        <f>VLOOKUP($G83, 'ADP Data'!$C$4:$Q$300, 3, FALSE)</f>
        <v>191</v>
      </c>
      <c r="P83" s="11">
        <f t="shared" si="6"/>
        <v>69</v>
      </c>
      <c r="Q83" s="11" t="str">
        <f>VLOOKUP($G83, 'ADP Data'!$C$4:$Q$300, 4, FALSE)</f>
        <v>-</v>
      </c>
      <c r="R83" s="11">
        <f>VLOOKUP($G83, 'ADP Data'!$C$4:$Q$300, 5, FALSE)</f>
        <v>288</v>
      </c>
      <c r="S83" s="11">
        <f>VLOOKUP($G83, 'ADP Data'!$C$4:$Q$300, 6, FALSE)</f>
        <v>221</v>
      </c>
      <c r="T83" s="11">
        <f>VLOOKUP($G83, 'ADP Data'!$C$4:$Q$300, 7, FALSE)</f>
        <v>242</v>
      </c>
      <c r="U83" s="11">
        <f>VLOOKUP($G83, 'ADP Data'!$C$4:$Q$300, 8, FALSE)</f>
        <v>247</v>
      </c>
      <c r="V83" s="11">
        <f t="shared" si="7"/>
        <v>241</v>
      </c>
      <c r="W83" s="11">
        <f t="shared" si="8"/>
        <v>31</v>
      </c>
      <c r="X83" s="11">
        <f t="shared" si="9"/>
        <v>-25</v>
      </c>
      <c r="Y83" s="11" t="e">
        <f>VLOOKUP($G83, SeanRanks!$A$2:$K$303, 10, FALSE)-V83</f>
        <v>#VALUE!</v>
      </c>
      <c r="Z83" s="25" t="str">
        <f>IF(VLOOKUP($G83, SeanRanks!$A$2:$H$303, 7, FALSE)=0, "", VLOOKUP($G83, SeanRanks!$A$2:$H$303, 7, FALSE))</f>
        <v/>
      </c>
    </row>
    <row r="84" spans="1:26" ht="14.25" customHeight="1" x14ac:dyDescent="0.25">
      <c r="A84" s="11"/>
      <c r="B84" s="11">
        <f t="shared" si="3"/>
        <v>13</v>
      </c>
      <c r="C84" s="11" t="s">
        <v>119</v>
      </c>
      <c r="D84" s="11">
        <v>6</v>
      </c>
      <c r="E84" s="11"/>
      <c r="F84" s="11">
        <f>VLOOKUP(G84, SeanRanks!$A$2:$E$302, 4, FALSE)</f>
        <v>0</v>
      </c>
      <c r="G84" s="11" t="s">
        <v>409</v>
      </c>
      <c r="H84" s="11" t="str">
        <f>VLOOKUP($G84, 'ADP Data'!$C$4:$Q$300, 2, FALSE)</f>
        <v>LAC</v>
      </c>
      <c r="I84" s="11">
        <f>VLOOKUP(G84, 'ADP Data'!$C$4:$R$498, 12, FALSE)</f>
        <v>113</v>
      </c>
      <c r="J84" s="26">
        <f>VLOOKUP($G84, SeanRanks!$A$2:$H$303, 5, FALSE)</f>
        <v>0</v>
      </c>
      <c r="K84" s="11" t="str">
        <f>IF(VLOOKUP($G84, SeanRanks!$A$2:$H$303, 6, FALSE)=0, "", VLOOKUP($G84, SeanRanks!$A$2:$H$303, 6, FALSE))</f>
        <v>WR5 - 2 - floor play not league winner</v>
      </c>
      <c r="L84" s="11">
        <f t="shared" si="4"/>
        <v>21</v>
      </c>
      <c r="M84" s="11">
        <f>VLOOKUP($G84, 'ADP Data'!$C$4:$Q$300, 9, FALSE)</f>
        <v>164</v>
      </c>
      <c r="N84" s="11">
        <f t="shared" si="5"/>
        <v>15</v>
      </c>
      <c r="O84" s="11">
        <f>VLOOKUP($G84, 'ADP Data'!$C$4:$Q$300, 3, FALSE)</f>
        <v>150</v>
      </c>
      <c r="P84" s="11">
        <f t="shared" si="6"/>
        <v>14</v>
      </c>
      <c r="Q84" s="11">
        <f>VLOOKUP($G84, 'ADP Data'!$C$4:$Q$300, 4, FALSE)</f>
        <v>118</v>
      </c>
      <c r="R84" s="11">
        <f>VLOOKUP($G84, 'ADP Data'!$C$4:$Q$300, 5, FALSE)</f>
        <v>136</v>
      </c>
      <c r="S84" s="11">
        <f>VLOOKUP($G84, 'ADP Data'!$C$4:$Q$300, 6, FALSE)</f>
        <v>134</v>
      </c>
      <c r="T84" s="11">
        <f>VLOOKUP($G84, 'ADP Data'!$C$4:$Q$300, 7, FALSE)</f>
        <v>122</v>
      </c>
      <c r="U84" s="11">
        <f>VLOOKUP($G84, 'ADP Data'!$C$4:$Q$300, 8, FALSE)</f>
        <v>222</v>
      </c>
      <c r="V84" s="11">
        <f t="shared" si="7"/>
        <v>149</v>
      </c>
      <c r="W84" s="11">
        <f t="shared" si="8"/>
        <v>19</v>
      </c>
      <c r="X84" s="11">
        <f t="shared" si="9"/>
        <v>-13</v>
      </c>
      <c r="Y84" s="11">
        <f>VLOOKUP($G84, SeanRanks!$A$2:$K$303, 10, FALSE)-V84</f>
        <v>-9</v>
      </c>
      <c r="Z84" s="25">
        <f>IF(VLOOKUP($G84, SeanRanks!$A$2:$H$303, 7, FALSE)=0, "", VLOOKUP($G84, SeanRanks!$A$2:$H$303, 7, FALSE))</f>
        <v>58</v>
      </c>
    </row>
    <row r="85" spans="1:26" ht="14.25" customHeight="1" x14ac:dyDescent="0.25">
      <c r="A85" s="11"/>
      <c r="B85" s="11">
        <f t="shared" si="3"/>
        <v>12</v>
      </c>
      <c r="C85" s="11" t="s">
        <v>119</v>
      </c>
      <c r="D85" s="11">
        <v>9</v>
      </c>
      <c r="E85" s="11"/>
      <c r="F85" s="11">
        <f>VLOOKUP(G85, SeanRanks!$A$2:$E$302, 4, FALSE)</f>
        <v>0</v>
      </c>
      <c r="G85" s="11" t="s">
        <v>340</v>
      </c>
      <c r="H85" s="11" t="str">
        <f>VLOOKUP($G85, 'ADP Data'!$C$4:$Q$300, 2, FALSE)</f>
        <v>DAL</v>
      </c>
      <c r="I85" s="11">
        <f>VLOOKUP(G85, 'ADP Data'!$C$4:$R$498, 12, FALSE)</f>
        <v>138</v>
      </c>
      <c r="J85" s="57" t="str">
        <f>VLOOKUP($G85, SeanRanks!$A$2:$H$303, 5, FALSE)</f>
        <v>Yes</v>
      </c>
      <c r="K85" s="11" t="str">
        <f>IF(VLOOKUP($G85, SeanRanks!$A$2:$H$303, 6, FALSE)=0, "", VLOOKUP($G85, SeanRanks!$A$2:$H$303, 6, FALSE))</f>
        <v>TE2 - 1 - Big Upside</v>
      </c>
      <c r="L85" s="11">
        <f t="shared" si="4"/>
        <v>18</v>
      </c>
      <c r="M85" s="11">
        <f>VLOOKUP($G85, 'ADP Data'!$C$4:$Q$300, 9, FALSE)</f>
        <v>137</v>
      </c>
      <c r="N85" s="11">
        <f t="shared" si="5"/>
        <v>0</v>
      </c>
      <c r="O85" s="11">
        <f>VLOOKUP($G85, 'ADP Data'!$C$4:$Q$300, 3, FALSE)</f>
        <v>139</v>
      </c>
      <c r="P85" s="11">
        <f t="shared" si="6"/>
        <v>-2</v>
      </c>
      <c r="Q85" s="11">
        <f>VLOOKUP($G85, 'ADP Data'!$C$4:$Q$300, 4, FALSE)</f>
        <v>137</v>
      </c>
      <c r="R85" s="11">
        <f>VLOOKUP($G85, 'ADP Data'!$C$4:$Q$300, 5, FALSE)</f>
        <v>163</v>
      </c>
      <c r="S85" s="11">
        <f>VLOOKUP($G85, 'ADP Data'!$C$4:$Q$300, 6, FALSE)</f>
        <v>100</v>
      </c>
      <c r="T85" s="11">
        <f>VLOOKUP($G85, 'ADP Data'!$C$4:$Q$300, 7, FALSE)</f>
        <v>130</v>
      </c>
      <c r="U85" s="11">
        <f>VLOOKUP($G85, 'ADP Data'!$C$4:$Q$300, 8, FALSE)</f>
        <v>159</v>
      </c>
      <c r="V85" s="11">
        <f t="shared" si="7"/>
        <v>137</v>
      </c>
      <c r="W85" s="11">
        <f t="shared" si="8"/>
        <v>18</v>
      </c>
      <c r="X85" s="11">
        <f t="shared" si="9"/>
        <v>-9</v>
      </c>
      <c r="Y85" s="11">
        <f>VLOOKUP($G85, SeanRanks!$A$2:$K$303, 10, FALSE)-V85</f>
        <v>-22</v>
      </c>
      <c r="Z85" s="25">
        <f>IF(VLOOKUP($G85, SeanRanks!$A$2:$H$303, 7, FALSE)=0, "", VLOOKUP($G85, SeanRanks!$A$2:$H$303, 7, FALSE))</f>
        <v>14</v>
      </c>
    </row>
    <row r="86" spans="1:26" ht="14.25" customHeight="1" x14ac:dyDescent="0.25">
      <c r="A86" s="11" t="s">
        <v>148</v>
      </c>
      <c r="B86" s="11" t="e">
        <f t="shared" si="3"/>
        <v>#N/A</v>
      </c>
      <c r="C86" s="11" t="s">
        <v>119</v>
      </c>
      <c r="D86" s="11">
        <v>6</v>
      </c>
      <c r="E86" s="11"/>
      <c r="F86" s="11">
        <f>VLOOKUP(G86, SeanRanks!$A$2:$E$302, 4, FALSE)</f>
        <v>0</v>
      </c>
      <c r="G86" s="11" t="s">
        <v>897</v>
      </c>
      <c r="H86" s="11" t="e">
        <f>VLOOKUP($G86, 'ADP Data'!$C$4:$Q$300, 2, FALSE)</f>
        <v>#N/A</v>
      </c>
      <c r="I86" s="11" t="e">
        <f>VLOOKUP(G86, 'ADP Data'!$C$4:$R$498, 12, FALSE)</f>
        <v>#N/A</v>
      </c>
      <c r="J86" s="26">
        <f>VLOOKUP($G86, SeanRanks!$A$2:$H$303, 5, FALSE)</f>
        <v>0</v>
      </c>
      <c r="K86" s="11" t="str">
        <f>IF(VLOOKUP($G86, SeanRanks!$A$2:$H$303, 6, FALSE)=0, "", VLOOKUP($G86, SeanRanks!$A$2:$H$303, 6, FALSE))</f>
        <v/>
      </c>
      <c r="L86" s="11">
        <f t="shared" si="4"/>
        <v>16</v>
      </c>
      <c r="M86" s="11" t="e">
        <f>VLOOKUP($G86, 'ADP Data'!$C$4:$Q$300, 9, FALSE)</f>
        <v>#N/A</v>
      </c>
      <c r="N86" s="11" t="e">
        <f t="shared" si="5"/>
        <v>#N/A</v>
      </c>
      <c r="O86" s="11" t="e">
        <f>VLOOKUP($G86, 'ADP Data'!$C$4:$Q$300, 3, FALSE)</f>
        <v>#N/A</v>
      </c>
      <c r="P86" s="11" t="e">
        <f t="shared" si="6"/>
        <v>#N/A</v>
      </c>
      <c r="Q86" s="11" t="e">
        <f>VLOOKUP($G86, 'ADP Data'!$C$4:$Q$300, 4, FALSE)</f>
        <v>#N/A</v>
      </c>
      <c r="R86" s="11" t="e">
        <f>VLOOKUP($G86, 'ADP Data'!$C$4:$Q$300, 5, FALSE)</f>
        <v>#N/A</v>
      </c>
      <c r="S86" s="11" t="e">
        <f>VLOOKUP($G86, 'ADP Data'!$C$4:$Q$300, 6, FALSE)</f>
        <v>#N/A</v>
      </c>
      <c r="T86" s="11" t="e">
        <f>VLOOKUP($G86, 'ADP Data'!$C$4:$Q$300, 7, FALSE)</f>
        <v>#N/A</v>
      </c>
      <c r="U86" s="11" t="e">
        <f>VLOOKUP($G86, 'ADP Data'!$C$4:$Q$300, 8, FALSE)</f>
        <v>#N/A</v>
      </c>
      <c r="V86" s="11" t="e">
        <f t="shared" si="7"/>
        <v>#N/A</v>
      </c>
      <c r="W86" s="11">
        <f t="shared" si="8"/>
        <v>16</v>
      </c>
      <c r="X86" s="11">
        <f t="shared" si="9"/>
        <v>-10</v>
      </c>
      <c r="Y86" s="11" t="e">
        <f>VLOOKUP($G86, SeanRanks!$A$2:$K$303, 10, FALSE)-V86</f>
        <v>#N/A</v>
      </c>
      <c r="Z86" s="25" t="str">
        <f>IF(VLOOKUP($G86, SeanRanks!$A$2:$H$303, 7, FALSE)=0, "", VLOOKUP($G86, SeanRanks!$A$2:$H$303, 7, FALSE))</f>
        <v/>
      </c>
    </row>
    <row r="87" spans="1:26" ht="14.25" customHeight="1" x14ac:dyDescent="0.25">
      <c r="A87" s="11"/>
      <c r="B87" s="11">
        <f t="shared" si="3"/>
        <v>11</v>
      </c>
      <c r="C87" s="11" t="s">
        <v>119</v>
      </c>
      <c r="D87" s="11">
        <v>6</v>
      </c>
      <c r="E87" s="23"/>
      <c r="F87" s="11">
        <f>VLOOKUP(G87, SeanRanks!$A$2:$E$302, 4, FALSE)</f>
        <v>0</v>
      </c>
      <c r="G87" s="11" t="s">
        <v>296</v>
      </c>
      <c r="H87" s="11" t="str">
        <f>VLOOKUP($G87, 'ADP Data'!$C$4:$Q$300, 2, FALSE)</f>
        <v>GB</v>
      </c>
      <c r="I87" s="11">
        <f>VLOOKUP(G87, 'ADP Data'!$C$4:$R$498, 12, FALSE)</f>
        <v>107</v>
      </c>
      <c r="J87" s="45">
        <f>VLOOKUP($G87, SeanRanks!$A$2:$H$303, 5, FALSE)</f>
        <v>0</v>
      </c>
      <c r="K87" s="11" t="str">
        <f>IF(VLOOKUP($G87, SeanRanks!$A$2:$H$303, 6, FALSE)=0, "", VLOOKUP($G87, SeanRanks!$A$2:$H$303, 6, FALSE))</f>
        <v>WR4 - 2 - unclear path to WR2</v>
      </c>
      <c r="L87" s="11">
        <f t="shared" si="4"/>
        <v>13</v>
      </c>
      <c r="M87" s="11">
        <f>VLOOKUP($G87, 'ADP Data'!$C$4:$Q$300, 9, FALSE)</f>
        <v>99</v>
      </c>
      <c r="N87" s="11">
        <f t="shared" si="5"/>
        <v>-24</v>
      </c>
      <c r="O87" s="11">
        <f>VLOOKUP($G87, 'ADP Data'!$C$4:$Q$300, 3, FALSE)</f>
        <v>134</v>
      </c>
      <c r="P87" s="11">
        <f t="shared" si="6"/>
        <v>-35</v>
      </c>
      <c r="Q87" s="11">
        <f>VLOOKUP($G87, 'ADP Data'!$C$4:$Q$300, 4, FALSE)</f>
        <v>128</v>
      </c>
      <c r="R87" s="11">
        <f>VLOOKUP($G87, 'ADP Data'!$C$4:$Q$300, 5, FALSE)</f>
        <v>145</v>
      </c>
      <c r="S87" s="11">
        <f>VLOOKUP($G87, 'ADP Data'!$C$4:$Q$300, 6, FALSE)</f>
        <v>116</v>
      </c>
      <c r="T87" s="11">
        <f>VLOOKUP($G87, 'ADP Data'!$C$4:$Q$300, 7, FALSE)</f>
        <v>105</v>
      </c>
      <c r="U87" s="11">
        <f>VLOOKUP($G87, 'ADP Data'!$C$4:$Q$300, 8, FALSE)</f>
        <v>134</v>
      </c>
      <c r="V87" s="11">
        <f t="shared" si="7"/>
        <v>123</v>
      </c>
      <c r="W87" s="11">
        <f t="shared" si="8"/>
        <v>16</v>
      </c>
      <c r="X87" s="11">
        <f t="shared" si="9"/>
        <v>-10</v>
      </c>
      <c r="Y87" s="11">
        <f>VLOOKUP($G87, SeanRanks!$A$2:$K$303, 10, FALSE)-V87</f>
        <v>-13</v>
      </c>
      <c r="Z87" s="25">
        <f>IF(VLOOKUP($G87, SeanRanks!$A$2:$H$303, 7, FALSE)=0, "", VLOOKUP($G87, SeanRanks!$A$2:$H$303, 7, FALSE))</f>
        <v>43</v>
      </c>
    </row>
    <row r="88" spans="1:26" ht="14.25" customHeight="1" x14ac:dyDescent="0.25">
      <c r="A88" s="11"/>
      <c r="B88" s="11">
        <f t="shared" si="3"/>
        <v>6</v>
      </c>
      <c r="C88" s="11" t="s">
        <v>129</v>
      </c>
      <c r="D88" s="11">
        <v>6</v>
      </c>
      <c r="E88" s="11"/>
      <c r="F88" s="11">
        <f>VLOOKUP(G88, SeanRanks!$A$2:$E$302, 4, FALSE)</f>
        <v>0</v>
      </c>
      <c r="G88" s="11" t="s">
        <v>252</v>
      </c>
      <c r="H88" s="11" t="str">
        <f>VLOOKUP($G88, 'ADP Data'!$C$4:$Q$300, 2, FALSE)</f>
        <v>TEN</v>
      </c>
      <c r="I88" s="11">
        <f>VLOOKUP(G88, 'ADP Data'!$C$4:$R$498, 12, FALSE)</f>
        <v>62</v>
      </c>
      <c r="J88" s="58">
        <f>VLOOKUP($G88, SeanRanks!$A$2:$H$303, 5, FALSE)</f>
        <v>0</v>
      </c>
      <c r="K88" s="11" t="str">
        <f>IF(VLOOKUP($G88, SeanRanks!$A$2:$H$303, 6, FALSE)=0, "", VLOOKUP($G88, SeanRanks!$A$2:$H$303, 6, FALSE))</f>
        <v>RB2 - 2 - Path to spikes</v>
      </c>
      <c r="L88" s="11">
        <f t="shared" si="4"/>
        <v>9</v>
      </c>
      <c r="M88" s="11">
        <f>VLOOKUP($G88, 'ADP Data'!$C$4:$Q$300, 9, FALSE)</f>
        <v>69</v>
      </c>
      <c r="N88" s="11">
        <f t="shared" si="5"/>
        <v>1</v>
      </c>
      <c r="O88" s="11">
        <f>VLOOKUP($G88, 'ADP Data'!$C$4:$Q$300, 3, FALSE)</f>
        <v>59</v>
      </c>
      <c r="P88" s="11">
        <f t="shared" si="6"/>
        <v>10</v>
      </c>
      <c r="Q88" s="11">
        <f>VLOOKUP($G88, 'ADP Data'!$C$4:$Q$300, 4, FALSE)</f>
        <v>69</v>
      </c>
      <c r="R88" s="11">
        <f>VLOOKUP($G88, 'ADP Data'!$C$4:$Q$300, 5, FALSE)</f>
        <v>79</v>
      </c>
      <c r="S88" s="11">
        <f>VLOOKUP($G88, 'ADP Data'!$C$4:$Q$300, 6, FALSE)</f>
        <v>58</v>
      </c>
      <c r="T88" s="11">
        <f>VLOOKUP($G88, 'ADP Data'!$C$4:$Q$300, 7, FALSE)</f>
        <v>69</v>
      </c>
      <c r="U88" s="11">
        <f>VLOOKUP($G88, 'ADP Data'!$C$4:$Q$300, 8, FALSE)</f>
        <v>78</v>
      </c>
      <c r="V88" s="11">
        <f t="shared" si="7"/>
        <v>68</v>
      </c>
      <c r="W88" s="11">
        <f t="shared" si="8"/>
        <v>9</v>
      </c>
      <c r="X88" s="11">
        <f t="shared" si="9"/>
        <v>-3</v>
      </c>
      <c r="Y88" s="11">
        <f>VLOOKUP($G88, SeanRanks!$A$2:$K$303, 10, FALSE)-V88</f>
        <v>-14</v>
      </c>
      <c r="Z88" s="25">
        <f>IF(VLOOKUP($G88, SeanRanks!$A$2:$H$303, 7, FALSE)=0, "", VLOOKUP($G88, SeanRanks!$A$2:$H$303, 7, FALSE))</f>
        <v>24</v>
      </c>
    </row>
    <row r="89" spans="1:26" ht="14.25" customHeight="1" x14ac:dyDescent="0.25">
      <c r="A89" s="11"/>
      <c r="B89" s="11">
        <f t="shared" si="3"/>
        <v>5</v>
      </c>
      <c r="C89" s="11" t="s">
        <v>119</v>
      </c>
      <c r="D89" s="11">
        <v>7</v>
      </c>
      <c r="E89" s="11"/>
      <c r="F89" s="11">
        <f>VLOOKUP(G89, SeanRanks!$A$2:$E$302, 4, FALSE)</f>
        <v>0</v>
      </c>
      <c r="G89" s="11" t="s">
        <v>344</v>
      </c>
      <c r="H89" s="11" t="str">
        <f>VLOOKUP($G89, 'ADP Data'!$C$4:$Q$300, 2, FALSE)</f>
        <v>KC</v>
      </c>
      <c r="I89" s="11">
        <f>VLOOKUP(G89, 'ADP Data'!$C$4:$R$498, 12, FALSE)</f>
        <v>43</v>
      </c>
      <c r="J89" s="28">
        <f>VLOOKUP($G89, SeanRanks!$A$2:$H$303, 5, FALSE)</f>
        <v>0</v>
      </c>
      <c r="K89" s="11" t="str">
        <f>IF(VLOOKUP($G89, SeanRanks!$A$2:$H$303, 6, FALSE)=0, "", VLOOKUP($G89, SeanRanks!$A$2:$H$303, 6, FALSE))</f>
        <v>WR2 - 2 - Upside with risk</v>
      </c>
      <c r="L89" s="11">
        <f t="shared" si="4"/>
        <v>8</v>
      </c>
      <c r="M89" s="11">
        <f>VLOOKUP($G89, 'ADP Data'!$C$4:$Q$300, 9, FALSE)</f>
        <v>58</v>
      </c>
      <c r="N89" s="11">
        <f t="shared" si="5"/>
        <v>5</v>
      </c>
      <c r="O89" s="11">
        <f>VLOOKUP($G89, 'ADP Data'!$C$4:$Q$300, 3, FALSE)</f>
        <v>50</v>
      </c>
      <c r="P89" s="11">
        <f t="shared" si="6"/>
        <v>8</v>
      </c>
      <c r="Q89" s="11">
        <f>VLOOKUP($G89, 'ADP Data'!$C$4:$Q$300, 4, FALSE)</f>
        <v>50</v>
      </c>
      <c r="R89" s="11">
        <f>VLOOKUP($G89, 'ADP Data'!$C$4:$Q$300, 5, FALSE)</f>
        <v>57</v>
      </c>
      <c r="S89" s="11">
        <f>VLOOKUP($G89, 'ADP Data'!$C$4:$Q$300, 6, FALSE)</f>
        <v>48</v>
      </c>
      <c r="T89" s="11">
        <f>VLOOKUP($G89, 'ADP Data'!$C$4:$Q$300, 7, FALSE)</f>
        <v>45</v>
      </c>
      <c r="U89" s="11">
        <f>VLOOKUP($G89, 'ADP Data'!$C$4:$Q$300, 8, FALSE)</f>
        <v>68</v>
      </c>
      <c r="V89" s="11">
        <f t="shared" si="7"/>
        <v>53</v>
      </c>
      <c r="W89" s="11">
        <f t="shared" si="8"/>
        <v>7</v>
      </c>
      <c r="X89" s="11">
        <f t="shared" si="9"/>
        <v>0</v>
      </c>
      <c r="Y89" s="11">
        <f>VLOOKUP($G89, SeanRanks!$A$2:$K$303, 10, FALSE)-V89</f>
        <v>-2</v>
      </c>
      <c r="Z89" s="25">
        <f>IF(VLOOKUP($G89, SeanRanks!$A$2:$H$303, 7, FALSE)=0, "", VLOOKUP($G89, SeanRanks!$A$2:$H$303, 7, FALSE))</f>
        <v>22</v>
      </c>
    </row>
    <row r="90" spans="1:26" ht="14.25" customHeight="1" x14ac:dyDescent="0.25">
      <c r="A90" s="11"/>
      <c r="B90" s="11">
        <f t="shared" si="3"/>
        <v>8</v>
      </c>
      <c r="C90" s="11" t="s">
        <v>119</v>
      </c>
      <c r="D90" s="11">
        <v>9</v>
      </c>
      <c r="E90" s="11"/>
      <c r="F90" s="11">
        <f>VLOOKUP(G90, SeanRanks!$A$2:$E$302, 4, FALSE)</f>
        <v>0</v>
      </c>
      <c r="G90" s="11" t="s">
        <v>555</v>
      </c>
      <c r="H90" s="11" t="str">
        <f>VLOOKUP($G90, 'ADP Data'!$C$4:$Q$300, 2, FALSE)</f>
        <v>CLE</v>
      </c>
      <c r="I90" s="11">
        <f>VLOOKUP(G90, 'ADP Data'!$C$4:$R$498, 12, FALSE)</f>
        <v>105</v>
      </c>
      <c r="J90" s="57">
        <f>VLOOKUP($G90, SeanRanks!$A$2:$H$303, 5, FALSE)</f>
        <v>0</v>
      </c>
      <c r="K90" s="11" t="str">
        <f>IF(VLOOKUP($G90, SeanRanks!$A$2:$H$303, 6, FALSE)=0, "", VLOOKUP($G90, SeanRanks!$A$2:$H$303, 6, FALSE))</f>
        <v>TE1 - 3 - Weekly Start</v>
      </c>
      <c r="L90" s="11">
        <f t="shared" si="4"/>
        <v>12</v>
      </c>
      <c r="M90" s="11">
        <f>VLOOKUP($G90, 'ADP Data'!$C$4:$Q$300, 9, FALSE)</f>
        <v>92</v>
      </c>
      <c r="N90" s="11">
        <f t="shared" si="5"/>
        <v>6</v>
      </c>
      <c r="O90" s="11">
        <f>VLOOKUP($G90, 'ADP Data'!$C$4:$Q$300, 3, FALSE)</f>
        <v>74</v>
      </c>
      <c r="P90" s="11">
        <f t="shared" si="6"/>
        <v>18</v>
      </c>
      <c r="Q90" s="11">
        <f>VLOOKUP($G90, 'ADP Data'!$C$4:$Q$300, 4, FALSE)</f>
        <v>72</v>
      </c>
      <c r="R90" s="11">
        <f>VLOOKUP($G90, 'ADP Data'!$C$4:$Q$300, 5, FALSE)</f>
        <v>108</v>
      </c>
      <c r="S90" s="11">
        <f>VLOOKUP($G90, 'ADP Data'!$C$4:$Q$300, 6, FALSE)</f>
        <v>76</v>
      </c>
      <c r="T90" s="11">
        <f>VLOOKUP($G90, 'ADP Data'!$C$4:$Q$300, 7, FALSE)</f>
        <v>101</v>
      </c>
      <c r="U90" s="11">
        <f>VLOOKUP($G90, 'ADP Data'!$C$4:$Q$300, 8, FALSE)</f>
        <v>85</v>
      </c>
      <c r="V90" s="11">
        <f t="shared" si="7"/>
        <v>86</v>
      </c>
      <c r="W90" s="11">
        <f t="shared" si="8"/>
        <v>11</v>
      </c>
      <c r="X90" s="11">
        <f t="shared" si="9"/>
        <v>-2</v>
      </c>
      <c r="Y90" s="11">
        <f>VLOOKUP($G90, SeanRanks!$A$2:$K$303, 10, FALSE)-V90</f>
        <v>11</v>
      </c>
      <c r="Z90" s="25">
        <f>IF(VLOOKUP($G90, SeanRanks!$A$2:$H$303, 7, FALSE)=0, "", VLOOKUP($G90, SeanRanks!$A$2:$H$303, 7, FALSE))</f>
        <v>10</v>
      </c>
    </row>
    <row r="91" spans="1:26" ht="14.25" customHeight="1" x14ac:dyDescent="0.25">
      <c r="A91" s="11"/>
      <c r="B91" s="11">
        <f t="shared" si="3"/>
        <v>10</v>
      </c>
      <c r="C91" s="11" t="s">
        <v>119</v>
      </c>
      <c r="D91" s="11">
        <v>7</v>
      </c>
      <c r="E91" s="11"/>
      <c r="F91" s="11">
        <f>VLOOKUP(G91, SeanRanks!$A$2:$E$302, 4, FALSE)</f>
        <v>0</v>
      </c>
      <c r="G91" s="11" t="s">
        <v>141</v>
      </c>
      <c r="H91" s="11" t="str">
        <f>VLOOKUP($G91, 'ADP Data'!$C$4:$Q$300, 2, FALSE)</f>
        <v>DAL</v>
      </c>
      <c r="I91" s="11">
        <f>VLOOKUP(G91, 'ADP Data'!$C$4:$R$498, 12, FALSE)</f>
        <v>122</v>
      </c>
      <c r="J91" s="59" t="str">
        <f>VLOOKUP($G91, SeanRanks!$A$2:$H$303, 5, FALSE)</f>
        <v>No</v>
      </c>
      <c r="K91" s="11" t="str">
        <f>IF(VLOOKUP($G91, SeanRanks!$A$2:$H$303, 6, FALSE)=0, "", VLOOKUP($G91, SeanRanks!$A$2:$H$303, 6, FALSE))</f>
        <v>RB4 - 2 - low ceiling</v>
      </c>
      <c r="L91" s="11">
        <f t="shared" si="4"/>
        <v>13</v>
      </c>
      <c r="M91" s="11">
        <f>VLOOKUP($G91, 'ADP Data'!$C$4:$Q$300, 9, FALSE)</f>
        <v>100</v>
      </c>
      <c r="N91" s="11">
        <f t="shared" si="5"/>
        <v>-12</v>
      </c>
      <c r="O91" s="11">
        <f>VLOOKUP($G91, 'ADP Data'!$C$4:$Q$300, 3, FALSE)</f>
        <v>108</v>
      </c>
      <c r="P91" s="11">
        <f t="shared" si="6"/>
        <v>-8</v>
      </c>
      <c r="Q91" s="11">
        <f>VLOOKUP($G91, 'ADP Data'!$C$4:$Q$300, 4, FALSE)</f>
        <v>103</v>
      </c>
      <c r="R91" s="11">
        <f>VLOOKUP($G91, 'ADP Data'!$C$4:$Q$300, 5, FALSE)</f>
        <v>117</v>
      </c>
      <c r="S91" s="11">
        <f>VLOOKUP($G91, 'ADP Data'!$C$4:$Q$300, 6, FALSE)</f>
        <v>106</v>
      </c>
      <c r="T91" s="11">
        <f>VLOOKUP($G91, 'ADP Data'!$C$4:$Q$300, 7, FALSE)</f>
        <v>106</v>
      </c>
      <c r="U91" s="11">
        <f>VLOOKUP($G91, 'ADP Data'!$C$4:$Q$300, 8, FALSE)</f>
        <v>150</v>
      </c>
      <c r="V91" s="11">
        <f t="shared" si="7"/>
        <v>112</v>
      </c>
      <c r="W91" s="11">
        <f t="shared" si="8"/>
        <v>15</v>
      </c>
      <c r="X91" s="11">
        <f t="shared" si="9"/>
        <v>-8</v>
      </c>
      <c r="Y91" s="11">
        <f>VLOOKUP($G91, SeanRanks!$A$2:$K$303, 10, FALSE)-V91</f>
        <v>0</v>
      </c>
      <c r="Z91" s="25">
        <f>IF(VLOOKUP($G91, SeanRanks!$A$2:$H$303, 7, FALSE)=0, "", VLOOKUP($G91, SeanRanks!$A$2:$H$303, 7, FALSE))</f>
        <v>52</v>
      </c>
    </row>
    <row r="92" spans="1:26" ht="14.25" customHeight="1" x14ac:dyDescent="0.25">
      <c r="A92" s="11" t="s">
        <v>148</v>
      </c>
      <c r="B92" s="11">
        <f t="shared" si="3"/>
        <v>8</v>
      </c>
      <c r="C92" s="11" t="s">
        <v>119</v>
      </c>
      <c r="D92" s="11">
        <v>6</v>
      </c>
      <c r="E92" s="11"/>
      <c r="F92" s="11">
        <f>VLOOKUP(G92, SeanRanks!$A$2:$E$302, 4, FALSE)</f>
        <v>0</v>
      </c>
      <c r="G92" s="11" t="s">
        <v>231</v>
      </c>
      <c r="H92" s="11" t="str">
        <f>VLOOKUP($G92, 'ADP Data'!$C$4:$Q$300, 2, FALSE)</f>
        <v>PIT</v>
      </c>
      <c r="I92" s="11">
        <f>VLOOKUP(G92, 'ADP Data'!$C$4:$R$498, 12, FALSE)</f>
        <v>86</v>
      </c>
      <c r="J92" s="44">
        <f>VLOOKUP($G92, SeanRanks!$A$2:$H$303, 5, FALSE)</f>
        <v>0</v>
      </c>
      <c r="K92" s="11" t="str">
        <f>IF(VLOOKUP($G92, SeanRanks!$A$2:$H$303, 6, FALSE)=0, "", VLOOKUP($G92, SeanRanks!$A$2:$H$303, 6, FALSE))</f>
        <v>RB3 - 2 - low ceiling</v>
      </c>
      <c r="L92" s="11">
        <f t="shared" si="4"/>
        <v>11</v>
      </c>
      <c r="M92" s="11">
        <f>VLOOKUP($G92, 'ADP Data'!$C$4:$Q$300, 9, FALSE)</f>
        <v>86</v>
      </c>
      <c r="N92" s="11">
        <f t="shared" si="5"/>
        <v>-4</v>
      </c>
      <c r="O92" s="11">
        <f>VLOOKUP($G92, 'ADP Data'!$C$4:$Q$300, 3, FALSE)</f>
        <v>88</v>
      </c>
      <c r="P92" s="11">
        <f t="shared" si="6"/>
        <v>-2</v>
      </c>
      <c r="Q92" s="11">
        <f>VLOOKUP($G92, 'ADP Data'!$C$4:$Q$300, 4, FALSE)</f>
        <v>85</v>
      </c>
      <c r="R92" s="11">
        <f>VLOOKUP($G92, 'ADP Data'!$C$4:$Q$300, 5, FALSE)</f>
        <v>96</v>
      </c>
      <c r="S92" s="11">
        <f>VLOOKUP($G92, 'ADP Data'!$C$4:$Q$300, 6, FALSE)</f>
        <v>84</v>
      </c>
      <c r="T92" s="11">
        <f>VLOOKUP($G92, 'ADP Data'!$C$4:$Q$300, 7, FALSE)</f>
        <v>86</v>
      </c>
      <c r="U92" s="11">
        <f>VLOOKUP($G92, 'ADP Data'!$C$4:$Q$300, 8, FALSE)</f>
        <v>107</v>
      </c>
      <c r="V92" s="11">
        <f t="shared" si="7"/>
        <v>90</v>
      </c>
      <c r="W92" s="11">
        <f t="shared" si="8"/>
        <v>12</v>
      </c>
      <c r="X92" s="11">
        <f t="shared" si="9"/>
        <v>-6</v>
      </c>
      <c r="Y92" s="11">
        <f>VLOOKUP($G92, SeanRanks!$A$2:$K$303, 10, FALSE)-V92</f>
        <v>-15</v>
      </c>
      <c r="Z92" s="25">
        <f>IF(VLOOKUP($G92, SeanRanks!$A$2:$H$303, 7, FALSE)=0, "", VLOOKUP($G92, SeanRanks!$A$2:$H$303, 7, FALSE))</f>
        <v>35</v>
      </c>
    </row>
    <row r="93" spans="1:26" ht="14.25" customHeight="1" x14ac:dyDescent="0.25">
      <c r="A93" s="11"/>
      <c r="B93" s="11">
        <f t="shared" si="3"/>
        <v>7</v>
      </c>
      <c r="C93" s="11" t="s">
        <v>119</v>
      </c>
      <c r="D93" s="11">
        <v>9</v>
      </c>
      <c r="E93" s="11"/>
      <c r="F93" s="11">
        <f>VLOOKUP(G93, SeanRanks!$A$2:$E$302, 4, FALSE)</f>
        <v>0</v>
      </c>
      <c r="G93" s="11" t="s">
        <v>202</v>
      </c>
      <c r="H93" s="11" t="str">
        <f>VLOOKUP($G93, 'ADP Data'!$C$4:$Q$300, 2, FALSE)</f>
        <v>CHI</v>
      </c>
      <c r="I93" s="11">
        <f>VLOOKUP(G93, 'ADP Data'!$C$4:$R$498, 12, FALSE)</f>
        <v>66</v>
      </c>
      <c r="J93" s="28">
        <f>VLOOKUP($G93, SeanRanks!$A$2:$H$303, 5, FALSE)</f>
        <v>0</v>
      </c>
      <c r="K93" s="11" t="str">
        <f>IF(VLOOKUP($G93, SeanRanks!$A$2:$H$303, 6, FALSE)=0, "", VLOOKUP($G93, SeanRanks!$A$2:$H$303, 6, FALSE))</f>
        <v>WR3 - 2 - mid, but path to big upside</v>
      </c>
      <c r="L93" s="11">
        <f t="shared" si="4"/>
        <v>11</v>
      </c>
      <c r="M93" s="11">
        <f>VLOOKUP($G93, 'ADP Data'!$C$4:$Q$300, 9, FALSE)</f>
        <v>80</v>
      </c>
      <c r="N93" s="11">
        <f t="shared" si="5"/>
        <v>0</v>
      </c>
      <c r="O93" s="11">
        <f>VLOOKUP($G93, 'ADP Data'!$C$4:$Q$300, 3, FALSE)</f>
        <v>99</v>
      </c>
      <c r="P93" s="11">
        <f t="shared" si="6"/>
        <v>-19</v>
      </c>
      <c r="Q93" s="11">
        <f>VLOOKUP($G93, 'ADP Data'!$C$4:$Q$300, 4, FALSE)</f>
        <v>76</v>
      </c>
      <c r="R93" s="11">
        <f>VLOOKUP($G93, 'ADP Data'!$C$4:$Q$300, 5, FALSE)</f>
        <v>75</v>
      </c>
      <c r="S93" s="11">
        <f>VLOOKUP($G93, 'ADP Data'!$C$4:$Q$300, 6, FALSE)</f>
        <v>77</v>
      </c>
      <c r="T93" s="11">
        <f>VLOOKUP($G93, 'ADP Data'!$C$4:$Q$300, 7, FALSE)</f>
        <v>64</v>
      </c>
      <c r="U93" s="11">
        <f>VLOOKUP($G93, 'ADP Data'!$C$4:$Q$300, 8, FALSE)</f>
        <v>89</v>
      </c>
      <c r="V93" s="11">
        <f t="shared" si="7"/>
        <v>80</v>
      </c>
      <c r="W93" s="11">
        <f t="shared" si="8"/>
        <v>11</v>
      </c>
      <c r="X93" s="11">
        <f t="shared" si="9"/>
        <v>-2</v>
      </c>
      <c r="Y93" s="11">
        <f>VLOOKUP($G93, SeanRanks!$A$2:$K$303, 10, FALSE)-V93</f>
        <v>-17</v>
      </c>
      <c r="Z93" s="25">
        <f>IF(VLOOKUP($G93, SeanRanks!$A$2:$H$303, 7, FALSE)=0, "", VLOOKUP($G93, SeanRanks!$A$2:$H$303, 7, FALSE))</f>
        <v>33</v>
      </c>
    </row>
    <row r="94" spans="1:26" ht="14.25" customHeight="1" x14ac:dyDescent="0.25">
      <c r="A94" s="11"/>
      <c r="B94" s="11">
        <f t="shared" si="3"/>
        <v>3</v>
      </c>
      <c r="C94" s="11" t="s">
        <v>119</v>
      </c>
      <c r="D94" s="11">
        <v>6</v>
      </c>
      <c r="E94" s="11"/>
      <c r="F94" s="11">
        <f>VLOOKUP(G94, SeanRanks!$A$2:$E$302, 4, FALSE)</f>
        <v>0</v>
      </c>
      <c r="G94" s="11" t="s">
        <v>51</v>
      </c>
      <c r="H94" s="11" t="str">
        <f>VLOOKUP($G94, 'ADP Data'!$C$4:$Q$300, 2, FALSE)</f>
        <v>SEA</v>
      </c>
      <c r="I94" s="11">
        <f>VLOOKUP(G94, 'ADP Data'!$C$4:$R$498, 12, FALSE)</f>
        <v>29</v>
      </c>
      <c r="J94" s="28">
        <f>VLOOKUP($G94, SeanRanks!$A$2:$H$303, 5, FALSE)</f>
        <v>0</v>
      </c>
      <c r="K94" s="11" t="str">
        <f>IF(VLOOKUP($G94, SeanRanks!$A$2:$H$303, 6, FALSE)=0, "", VLOOKUP($G94, SeanRanks!$A$2:$H$303, 6, FALSE))</f>
        <v>WR2 - 1 - WR1 upside</v>
      </c>
      <c r="L94" s="11">
        <f t="shared" si="4"/>
        <v>4</v>
      </c>
      <c r="M94" s="11">
        <f>VLOOKUP($G94, 'ADP Data'!$C$4:$Q$300, 9, FALSE)</f>
        <v>29</v>
      </c>
      <c r="N94" s="11">
        <f t="shared" si="5"/>
        <v>-4</v>
      </c>
      <c r="O94" s="11">
        <f>VLOOKUP($G94, 'ADP Data'!$C$4:$Q$300, 3, FALSE)</f>
        <v>40</v>
      </c>
      <c r="P94" s="11">
        <f t="shared" si="6"/>
        <v>-11</v>
      </c>
      <c r="Q94" s="11">
        <f>VLOOKUP($G94, 'ADP Data'!$C$4:$Q$300, 4, FALSE)</f>
        <v>37</v>
      </c>
      <c r="R94" s="11">
        <f>VLOOKUP($G94, 'ADP Data'!$C$4:$Q$300, 5, FALSE)</f>
        <v>32</v>
      </c>
      <c r="S94" s="11">
        <f>VLOOKUP($G94, 'ADP Data'!$C$4:$Q$300, 6, FALSE)</f>
        <v>31</v>
      </c>
      <c r="T94" s="11">
        <f>VLOOKUP($G94, 'ADP Data'!$C$4:$Q$300, 7, FALSE)</f>
        <v>28</v>
      </c>
      <c r="U94" s="11">
        <f>VLOOKUP($G94, 'ADP Data'!$C$4:$Q$300, 8, FALSE)</f>
        <v>39</v>
      </c>
      <c r="V94" s="11">
        <f t="shared" si="7"/>
        <v>33</v>
      </c>
      <c r="W94" s="11">
        <f t="shared" si="8"/>
        <v>5</v>
      </c>
      <c r="X94" s="11">
        <f t="shared" si="9"/>
        <v>1</v>
      </c>
      <c r="Y94" s="11">
        <f>VLOOKUP($G94, SeanRanks!$A$2:$K$303, 10, FALSE)-V94</f>
        <v>0</v>
      </c>
      <c r="Z94" s="25">
        <f>IF(VLOOKUP($G94, SeanRanks!$A$2:$H$303, 7, FALSE)=0, "", VLOOKUP($G94, SeanRanks!$A$2:$H$303, 7, FALSE))</f>
        <v>13</v>
      </c>
    </row>
    <row r="95" spans="1:26" ht="14.25" customHeight="1" x14ac:dyDescent="0.25">
      <c r="A95" s="11"/>
      <c r="B95" s="11" t="e">
        <f t="shared" si="3"/>
        <v>#N/A</v>
      </c>
      <c r="C95" s="11" t="s">
        <v>119</v>
      </c>
      <c r="D95" s="11">
        <v>6</v>
      </c>
      <c r="E95" s="11"/>
      <c r="F95" s="11" t="e">
        <f>VLOOKUP(G95, SeanRanks!$A$2:$E$302, 4, FALSE)</f>
        <v>#N/A</v>
      </c>
      <c r="G95" s="11" t="s">
        <v>213</v>
      </c>
      <c r="H95" s="11" t="e">
        <f>VLOOKUP($G95, 'ADP Data'!$C$4:$Q$300, 2, FALSE)</f>
        <v>#N/A</v>
      </c>
      <c r="I95" s="11" t="e">
        <f>VLOOKUP(G95, 'ADP Data'!$C$4:$R$498, 12, FALSE)</f>
        <v>#N/A</v>
      </c>
      <c r="J95" s="28" t="e">
        <f>VLOOKUP($G95, SeanRanks!$A$2:$H$303, 5, FALSE)</f>
        <v>#N/A</v>
      </c>
      <c r="K95" s="11" t="e">
        <f>IF(VLOOKUP($G95, SeanRanks!$A$2:$H$303, 6, FALSE)=0, "", VLOOKUP($G95, SeanRanks!$A$2:$H$303, 6, FALSE))</f>
        <v>#N/A</v>
      </c>
      <c r="L95" s="11">
        <f t="shared" si="4"/>
        <v>16</v>
      </c>
      <c r="M95" s="11" t="e">
        <f>VLOOKUP($G95, 'ADP Data'!$C$4:$Q$300, 9, FALSE)</f>
        <v>#N/A</v>
      </c>
      <c r="N95" s="11" t="e">
        <f t="shared" si="5"/>
        <v>#N/A</v>
      </c>
      <c r="O95" s="11" t="e">
        <f>VLOOKUP($G95, 'ADP Data'!$C$4:$Q$300, 3, FALSE)</f>
        <v>#N/A</v>
      </c>
      <c r="P95" s="11" t="e">
        <f t="shared" si="6"/>
        <v>#N/A</v>
      </c>
      <c r="Q95" s="11" t="e">
        <f>VLOOKUP($G95, 'ADP Data'!$C$4:$Q$300, 4, FALSE)</f>
        <v>#N/A</v>
      </c>
      <c r="R95" s="11" t="e">
        <f>VLOOKUP($G95, 'ADP Data'!$C$4:$Q$300, 5, FALSE)</f>
        <v>#N/A</v>
      </c>
      <c r="S95" s="11" t="e">
        <f>VLOOKUP($G95, 'ADP Data'!$C$4:$Q$300, 6, FALSE)</f>
        <v>#N/A</v>
      </c>
      <c r="T95" s="11" t="e">
        <f>VLOOKUP($G95, 'ADP Data'!$C$4:$Q$300, 7, FALSE)</f>
        <v>#N/A</v>
      </c>
      <c r="U95" s="11" t="e">
        <f>VLOOKUP($G95, 'ADP Data'!$C$4:$Q$300, 8, FALSE)</f>
        <v>#N/A</v>
      </c>
      <c r="V95" s="11" t="e">
        <f t="shared" si="7"/>
        <v>#N/A</v>
      </c>
      <c r="W95" s="11">
        <f t="shared" si="8"/>
        <v>16</v>
      </c>
      <c r="X95" s="11">
        <f t="shared" si="9"/>
        <v>-10</v>
      </c>
      <c r="Y95" s="11" t="e">
        <f>VLOOKUP($G95, SeanRanks!$A$2:$K$303, 10, FALSE)-V95</f>
        <v>#N/A</v>
      </c>
      <c r="Z95" s="25" t="e">
        <f>IF(VLOOKUP($G95, SeanRanks!$A$2:$H$303, 7, FALSE)=0, "", VLOOKUP($G95, SeanRanks!$A$2:$H$303, 7, FALSE))</f>
        <v>#N/A</v>
      </c>
    </row>
    <row r="96" spans="1:26" ht="14.25" customHeight="1" x14ac:dyDescent="0.25">
      <c r="A96" s="11"/>
      <c r="B96" s="11">
        <f t="shared" si="3"/>
        <v>9</v>
      </c>
      <c r="C96" s="11" t="s">
        <v>148</v>
      </c>
      <c r="D96" s="11">
        <v>7</v>
      </c>
      <c r="E96" s="11"/>
      <c r="F96" s="11">
        <f>VLOOKUP(G96, SeanRanks!$A$2:$E$302, 4, FALSE)</f>
        <v>0</v>
      </c>
      <c r="G96" s="11" t="s">
        <v>308</v>
      </c>
      <c r="H96" s="11" t="str">
        <f>VLOOKUP($G96, 'ADP Data'!$C$4:$Q$300, 2, FALSE)</f>
        <v>SF</v>
      </c>
      <c r="I96" s="11">
        <f>VLOOKUP(G96, 'ADP Data'!$C$4:$R$498, 12, FALSE)</f>
        <v>106</v>
      </c>
      <c r="J96" s="60">
        <f>VLOOKUP($G96, SeanRanks!$A$2:$H$303, 5, FALSE)</f>
        <v>0</v>
      </c>
      <c r="K96" s="11" t="str">
        <f>IF(VLOOKUP($G96, SeanRanks!$A$2:$H$303, 6, FALSE)=0, "", VLOOKUP($G96, SeanRanks!$A$2:$H$303, 6, FALSE))</f>
        <v>QB1 - 4 - Weekly Start</v>
      </c>
      <c r="L96" s="11">
        <f t="shared" si="4"/>
        <v>15</v>
      </c>
      <c r="M96" s="11">
        <f>VLOOKUP($G96, 'ADP Data'!$C$4:$Q$300, 9, FALSE)</f>
        <v>112</v>
      </c>
      <c r="N96" s="11">
        <f t="shared" si="5"/>
        <v>10</v>
      </c>
      <c r="O96" s="11">
        <f>VLOOKUP($G96, 'ADP Data'!$C$4:$Q$300, 3, FALSE)</f>
        <v>89</v>
      </c>
      <c r="P96" s="11">
        <f t="shared" si="6"/>
        <v>23</v>
      </c>
      <c r="Q96" s="11">
        <f>VLOOKUP($G96, 'ADP Data'!$C$4:$Q$300, 4, FALSE)</f>
        <v>79</v>
      </c>
      <c r="R96" s="11">
        <f>VLOOKUP($G96, 'ADP Data'!$C$4:$Q$300, 5, FALSE)</f>
        <v>111</v>
      </c>
      <c r="S96" s="11">
        <f>VLOOKUP($G96, 'ADP Data'!$C$4:$Q$300, 6, FALSE)</f>
        <v>110</v>
      </c>
      <c r="T96" s="11">
        <f>VLOOKUP($G96, 'ADP Data'!$C$4:$Q$300, 7, FALSE)</f>
        <v>107</v>
      </c>
      <c r="U96" s="11">
        <f>VLOOKUP($G96, 'ADP Data'!$C$4:$Q$300, 8, FALSE)</f>
        <v>106</v>
      </c>
      <c r="V96" s="11">
        <f t="shared" si="7"/>
        <v>102</v>
      </c>
      <c r="W96" s="11">
        <f t="shared" si="8"/>
        <v>13</v>
      </c>
      <c r="X96" s="11">
        <f t="shared" si="9"/>
        <v>-6</v>
      </c>
      <c r="Y96" s="11">
        <f>VLOOKUP($G96, SeanRanks!$A$2:$K$303, 10, FALSE)-V96</f>
        <v>-16</v>
      </c>
      <c r="Z96" s="25">
        <f>IF(VLOOKUP($G96, SeanRanks!$A$2:$H$303, 7, FALSE)=0, "", VLOOKUP($G96, SeanRanks!$A$2:$H$303, 7, FALSE))</f>
        <v>12</v>
      </c>
    </row>
    <row r="97" spans="1:26" ht="14.25" customHeight="1" x14ac:dyDescent="0.25">
      <c r="A97" s="11"/>
      <c r="B97" s="11">
        <f t="shared" si="3"/>
        <v>3</v>
      </c>
      <c r="C97" s="11" t="s">
        <v>119</v>
      </c>
      <c r="D97" s="11">
        <v>7</v>
      </c>
      <c r="E97" s="11"/>
      <c r="F97" s="11">
        <f>VLOOKUP(G97, SeanRanks!$A$2:$E$302, 4, FALSE)</f>
        <v>0</v>
      </c>
      <c r="G97" s="11" t="s">
        <v>224</v>
      </c>
      <c r="H97" s="11" t="str">
        <f>VLOOKUP($G97, 'ADP Data'!$C$4:$Q$300, 2, FALSE)</f>
        <v>WAS</v>
      </c>
      <c r="I97" s="11">
        <f>VLOOKUP(G97, 'ADP Data'!$C$4:$R$498, 12, FALSE)</f>
        <v>36</v>
      </c>
      <c r="J97" s="60">
        <f>VLOOKUP($G97, SeanRanks!$A$2:$H$303, 5, FALSE)</f>
        <v>0</v>
      </c>
      <c r="K97" s="11" t="str">
        <f>IF(VLOOKUP($G97, SeanRanks!$A$2:$H$303, 6, FALSE)=0, "", VLOOKUP($G97, SeanRanks!$A$2:$H$303, 6, FALSE))</f>
        <v>QB1 - 2 - QB1 Upside</v>
      </c>
      <c r="L97" s="11">
        <f t="shared" si="4"/>
        <v>5</v>
      </c>
      <c r="M97" s="11">
        <f>VLOOKUP($G97, 'ADP Data'!$C$4:$Q$300, 9, FALSE)</f>
        <v>33</v>
      </c>
      <c r="N97" s="11">
        <f t="shared" si="5"/>
        <v>0</v>
      </c>
      <c r="O97" s="11">
        <f>VLOOKUP($G97, 'ADP Data'!$C$4:$Q$300, 3, FALSE)</f>
        <v>30</v>
      </c>
      <c r="P97" s="11">
        <f t="shared" si="6"/>
        <v>3</v>
      </c>
      <c r="Q97" s="11">
        <f>VLOOKUP($G97, 'ADP Data'!$C$4:$Q$300, 4, FALSE)</f>
        <v>27</v>
      </c>
      <c r="R97" s="11">
        <f>VLOOKUP($G97, 'ADP Data'!$C$4:$Q$300, 5, FALSE)</f>
        <v>42</v>
      </c>
      <c r="S97" s="11">
        <f>VLOOKUP($G97, 'ADP Data'!$C$4:$Q$300, 6, FALSE)</f>
        <v>35</v>
      </c>
      <c r="T97" s="11">
        <f>VLOOKUP($G97, 'ADP Data'!$C$4:$Q$300, 7, FALSE)</f>
        <v>35</v>
      </c>
      <c r="U97" s="11">
        <f>VLOOKUP($G97, 'ADP Data'!$C$4:$Q$300, 8, FALSE)</f>
        <v>29</v>
      </c>
      <c r="V97" s="11">
        <f t="shared" si="7"/>
        <v>33</v>
      </c>
      <c r="W97" s="11">
        <f t="shared" si="8"/>
        <v>5</v>
      </c>
      <c r="X97" s="11">
        <f t="shared" si="9"/>
        <v>2</v>
      </c>
      <c r="Y97" s="11">
        <f>VLOOKUP($G97, SeanRanks!$A$2:$K$303, 10, FALSE)-V97</f>
        <v>-3</v>
      </c>
      <c r="Z97" s="25">
        <f>IF(VLOOKUP($G97, SeanRanks!$A$2:$H$303, 7, FALSE)=0, "", VLOOKUP($G97, SeanRanks!$A$2:$H$303, 7, FALSE))</f>
        <v>4</v>
      </c>
    </row>
    <row r="98" spans="1:26" ht="14.25" customHeight="1" x14ac:dyDescent="0.25">
      <c r="A98" s="11"/>
      <c r="B98" s="11">
        <f t="shared" si="3"/>
        <v>12</v>
      </c>
      <c r="C98" s="11" t="s">
        <v>119</v>
      </c>
      <c r="D98" s="11">
        <v>6</v>
      </c>
      <c r="E98" s="11"/>
      <c r="F98" s="11">
        <f>VLOOKUP(G98, SeanRanks!$A$2:$E$302, 4, FALSE)</f>
        <v>0</v>
      </c>
      <c r="G98" s="11" t="s">
        <v>413</v>
      </c>
      <c r="H98" s="11" t="str">
        <f>VLOOKUP($G98, 'ADP Data'!$C$4:$Q$300, 2, FALSE)</f>
        <v>SF</v>
      </c>
      <c r="I98" s="11">
        <f>VLOOKUP(G98, 'ADP Data'!$C$4:$R$498, 12, FALSE)</f>
        <v>148</v>
      </c>
      <c r="J98" s="58">
        <f>VLOOKUP($G98, SeanRanks!$A$2:$H$303, 5, FALSE)</f>
        <v>0</v>
      </c>
      <c r="K98" s="11" t="str">
        <f>IF(VLOOKUP($G98, SeanRanks!$A$2:$H$303, 6, FALSE)=0, "", VLOOKUP($G98, SeanRanks!$A$2:$H$303, 6, FALSE))</f>
        <v>RB3 - 2 - low ceiling</v>
      </c>
      <c r="L98" s="11">
        <f t="shared" si="4"/>
        <v>10</v>
      </c>
      <c r="M98" s="11">
        <f>VLOOKUP($G98, 'ADP Data'!$C$4:$Q$300, 9, FALSE)</f>
        <v>78</v>
      </c>
      <c r="N98" s="11">
        <f t="shared" si="5"/>
        <v>-47</v>
      </c>
      <c r="O98" s="11">
        <f>VLOOKUP($G98, 'ADP Data'!$C$4:$Q$300, 3, FALSE)</f>
        <v>125</v>
      </c>
      <c r="P98" s="11">
        <f t="shared" si="6"/>
        <v>-47</v>
      </c>
      <c r="Q98" s="11">
        <f>VLOOKUP($G98, 'ADP Data'!$C$4:$Q$300, 4, FALSE)</f>
        <v>168</v>
      </c>
      <c r="R98" s="11">
        <f>VLOOKUP($G98, 'ADP Data'!$C$4:$Q$300, 5, FALSE)</f>
        <v>177</v>
      </c>
      <c r="S98" s="11">
        <f>VLOOKUP($G98, 'ADP Data'!$C$4:$Q$300, 6, FALSE)</f>
        <v>125</v>
      </c>
      <c r="T98" s="11">
        <f>VLOOKUP($G98, 'ADP Data'!$C$4:$Q$300, 7, FALSE)</f>
        <v>102</v>
      </c>
      <c r="U98" s="11">
        <f>VLOOKUP($G98, 'ADP Data'!$C$4:$Q$300, 8, FALSE)</f>
        <v>103</v>
      </c>
      <c r="V98" s="11">
        <f t="shared" si="7"/>
        <v>125</v>
      </c>
      <c r="W98" s="11">
        <f t="shared" si="8"/>
        <v>16</v>
      </c>
      <c r="X98" s="11">
        <f t="shared" si="9"/>
        <v>-10</v>
      </c>
      <c r="Y98" s="11">
        <f>VLOOKUP($G98, SeanRanks!$A$2:$K$303, 10, FALSE)-V98</f>
        <v>22</v>
      </c>
      <c r="Z98" s="25">
        <f>IF(VLOOKUP($G98, SeanRanks!$A$2:$H$303, 7, FALSE)=0, "", VLOOKUP($G98, SeanRanks!$A$2:$H$303, 7, FALSE))</f>
        <v>36</v>
      </c>
    </row>
    <row r="99" spans="1:26" ht="14.25" customHeight="1" x14ac:dyDescent="0.25">
      <c r="A99" s="11"/>
      <c r="B99" s="11">
        <f t="shared" si="3"/>
        <v>16</v>
      </c>
      <c r="C99" s="11" t="s">
        <v>119</v>
      </c>
      <c r="D99" s="11"/>
      <c r="E99" s="11"/>
      <c r="F99" s="11">
        <f>VLOOKUP(G99, SeanRanks!$A$2:$E$302, 4, FALSE)</f>
        <v>0</v>
      </c>
      <c r="G99" s="11" t="s">
        <v>381</v>
      </c>
      <c r="H99" s="11" t="str">
        <f>VLOOKUP($G99, 'ADP Data'!$C$4:$Q$300, 2, FALSE)</f>
        <v>TEN</v>
      </c>
      <c r="I99" s="11">
        <f>VLOOKUP(G99, 'ADP Data'!$C$4:$R$498, 12, FALSE)</f>
        <v>181</v>
      </c>
      <c r="J99" s="58">
        <f>VLOOKUP($G99, SeanRanks!$A$2:$H$303, 5, FALSE)</f>
        <v>0</v>
      </c>
      <c r="K99" s="11" t="str">
        <f>IF(VLOOKUP($G99, SeanRanks!$A$2:$H$303, 6, FALSE)=0, "", VLOOKUP($G99, SeanRanks!$A$2:$H$303, 6, FALSE))</f>
        <v>RB4 - 1 - Path to spikes</v>
      </c>
      <c r="L99" s="11">
        <f t="shared" si="4"/>
        <v>16</v>
      </c>
      <c r="M99" s="11">
        <f>VLOOKUP($G99, 'ADP Data'!$C$4:$Q$300, 9, FALSE)</f>
        <v>123</v>
      </c>
      <c r="N99" s="11">
        <f t="shared" si="5"/>
        <v>-48</v>
      </c>
      <c r="O99" s="11">
        <f>VLOOKUP($G99, 'ADP Data'!$C$4:$Q$300, 3, FALSE)</f>
        <v>163</v>
      </c>
      <c r="P99" s="11">
        <f t="shared" si="6"/>
        <v>-40</v>
      </c>
      <c r="Q99" s="11">
        <f>VLOOKUP($G99, 'ADP Data'!$C$4:$Q$300, 4, FALSE)</f>
        <v>165</v>
      </c>
      <c r="R99" s="11">
        <f>VLOOKUP($G99, 'ADP Data'!$C$4:$Q$300, 5, FALSE)</f>
        <v>253</v>
      </c>
      <c r="S99" s="11">
        <f>VLOOKUP($G99, 'ADP Data'!$C$4:$Q$300, 6, FALSE)</f>
        <v>152</v>
      </c>
      <c r="T99" s="11">
        <f>VLOOKUP($G99, 'ADP Data'!$C$4:$Q$300, 7, FALSE)</f>
        <v>149</v>
      </c>
      <c r="U99" s="11">
        <f>VLOOKUP($G99, 'ADP Data'!$C$4:$Q$300, 8, FALSE)</f>
        <v>198</v>
      </c>
      <c r="V99" s="11">
        <f t="shared" si="7"/>
        <v>171</v>
      </c>
      <c r="W99" s="11">
        <f t="shared" si="8"/>
        <v>22</v>
      </c>
      <c r="X99" s="11">
        <f t="shared" si="9"/>
        <v>-22</v>
      </c>
      <c r="Y99" s="11">
        <f>VLOOKUP($G99, SeanRanks!$A$2:$K$303, 10, FALSE)-V99</f>
        <v>-40</v>
      </c>
      <c r="Z99" s="25">
        <f>IF(VLOOKUP($G99, SeanRanks!$A$2:$H$303, 7, FALSE)=0, "", VLOOKUP($G99, SeanRanks!$A$2:$H$303, 7, FALSE))</f>
        <v>40</v>
      </c>
    </row>
    <row r="100" spans="1:26" ht="14.25" customHeight="1" x14ac:dyDescent="0.25">
      <c r="A100" s="11"/>
      <c r="B100" s="11">
        <f t="shared" si="3"/>
        <v>12</v>
      </c>
      <c r="C100" s="11" t="s">
        <v>148</v>
      </c>
      <c r="D100" s="11">
        <v>9</v>
      </c>
      <c r="E100" s="11"/>
      <c r="F100" s="11">
        <f>VLOOKUP(G100, SeanRanks!$A$2:$E$302, 4, FALSE)</f>
        <v>0</v>
      </c>
      <c r="G100" s="11" t="s">
        <v>898</v>
      </c>
      <c r="H100" s="11" t="str">
        <f>VLOOKUP($G100, 'ADP Data'!$C$4:$Q$300, 2, FALSE)</f>
        <v>WAS</v>
      </c>
      <c r="I100" s="11">
        <f>VLOOKUP(G100, 'ADP Data'!$C$4:$R$498, 12, FALSE)</f>
        <v>124</v>
      </c>
      <c r="J100" s="58">
        <f>VLOOKUP($G100, SeanRanks!$A$2:$H$303, 5, FALSE)</f>
        <v>0</v>
      </c>
      <c r="K100" s="11" t="str">
        <f>IF(VLOOKUP($G100, SeanRanks!$A$2:$H$303, 6, FALSE)=0, "", VLOOKUP($G100, SeanRanks!$A$2:$H$303, 6, FALSE))</f>
        <v>RB4 - 2 - low ceiling</v>
      </c>
      <c r="L100" s="11">
        <f t="shared" si="4"/>
        <v>17</v>
      </c>
      <c r="M100" s="11">
        <f>VLOOKUP($G100, 'ADP Data'!$C$4:$Q$300, 9, FALSE)</f>
        <v>130</v>
      </c>
      <c r="N100" s="11">
        <f t="shared" si="5"/>
        <v>5</v>
      </c>
      <c r="O100" s="11">
        <f>VLOOKUP($G100, 'ADP Data'!$C$4:$Q$300, 3, FALSE)</f>
        <v>86</v>
      </c>
      <c r="P100" s="11">
        <f t="shared" si="6"/>
        <v>44</v>
      </c>
      <c r="Q100" s="11">
        <f>VLOOKUP($G100, 'ADP Data'!$C$4:$Q$300, 4, FALSE)</f>
        <v>96</v>
      </c>
      <c r="R100" s="11">
        <f>VLOOKUP($G100, 'ADP Data'!$C$4:$Q$300, 5, FALSE)</f>
        <v>172</v>
      </c>
      <c r="S100" s="11">
        <f>VLOOKUP($G100, 'ADP Data'!$C$4:$Q$300, 6, FALSE)</f>
        <v>109</v>
      </c>
      <c r="T100" s="11">
        <f>VLOOKUP($G100, 'ADP Data'!$C$4:$Q$300, 7, FALSE)</f>
        <v>142</v>
      </c>
      <c r="U100" s="11">
        <f>VLOOKUP($G100, 'ADP Data'!$C$4:$Q$300, 8, FALSE)</f>
        <v>143</v>
      </c>
      <c r="V100" s="11">
        <f t="shared" si="7"/>
        <v>125</v>
      </c>
      <c r="W100" s="11">
        <f t="shared" si="8"/>
        <v>16</v>
      </c>
      <c r="X100" s="11">
        <f t="shared" si="9"/>
        <v>-7</v>
      </c>
      <c r="Y100" s="11">
        <f>VLOOKUP($G100, SeanRanks!$A$2:$K$303, 10, FALSE)-V100</f>
        <v>-21</v>
      </c>
      <c r="Z100" s="25">
        <f>IF(VLOOKUP($G100, SeanRanks!$A$2:$H$303, 7, FALSE)=0, "", VLOOKUP($G100, SeanRanks!$A$2:$H$303, 7, FALSE))</f>
        <v>49</v>
      </c>
    </row>
    <row r="101" spans="1:26" ht="14.25" customHeight="1" x14ac:dyDescent="0.25">
      <c r="A101" s="11"/>
      <c r="B101" s="11" t="e">
        <f t="shared" si="3"/>
        <v>#N/A</v>
      </c>
      <c r="C101" s="11" t="s">
        <v>119</v>
      </c>
      <c r="D101" s="11">
        <v>7</v>
      </c>
      <c r="E101" s="11"/>
      <c r="F101" s="11" t="e">
        <f>VLOOKUP(G101, SeanRanks!$A$2:$E$302, 4, FALSE)</f>
        <v>#N/A</v>
      </c>
      <c r="G101" s="11" t="s">
        <v>899</v>
      </c>
      <c r="H101" s="11" t="e">
        <f>VLOOKUP($G101, 'ADP Data'!$C$4:$Q$300, 2, FALSE)</f>
        <v>#N/A</v>
      </c>
      <c r="I101" s="11" t="e">
        <f>VLOOKUP(G101, 'ADP Data'!$C$4:$R$498, 12, FALSE)</f>
        <v>#N/A</v>
      </c>
      <c r="J101" s="59" t="e">
        <f>VLOOKUP($G101, SeanRanks!$A$2:$H$303, 5, FALSE)</f>
        <v>#N/A</v>
      </c>
      <c r="K101" s="11" t="e">
        <f>IF(VLOOKUP($G101, SeanRanks!$A$2:$H$303, 6, FALSE)=0, "", VLOOKUP($G101, SeanRanks!$A$2:$H$303, 6, FALSE))</f>
        <v>#N/A</v>
      </c>
      <c r="L101" s="11">
        <f t="shared" si="4"/>
        <v>16</v>
      </c>
      <c r="M101" s="11" t="e">
        <f>VLOOKUP($G101, 'ADP Data'!$C$4:$Q$300, 9, FALSE)</f>
        <v>#N/A</v>
      </c>
      <c r="N101" s="11" t="e">
        <f t="shared" si="5"/>
        <v>#N/A</v>
      </c>
      <c r="O101" s="11" t="e">
        <f>VLOOKUP($G101, 'ADP Data'!$C$4:$Q$300, 3, FALSE)</f>
        <v>#N/A</v>
      </c>
      <c r="P101" s="11" t="e">
        <f t="shared" si="6"/>
        <v>#N/A</v>
      </c>
      <c r="Q101" s="11" t="e">
        <f>VLOOKUP($G101, 'ADP Data'!$C$4:$Q$300, 4, FALSE)</f>
        <v>#N/A</v>
      </c>
      <c r="R101" s="11" t="e">
        <f>VLOOKUP($G101, 'ADP Data'!$C$4:$Q$300, 5, FALSE)</f>
        <v>#N/A</v>
      </c>
      <c r="S101" s="11" t="e">
        <f>VLOOKUP($G101, 'ADP Data'!$C$4:$Q$300, 6, FALSE)</f>
        <v>#N/A</v>
      </c>
      <c r="T101" s="11" t="e">
        <f>VLOOKUP($G101, 'ADP Data'!$C$4:$Q$300, 7, FALSE)</f>
        <v>#N/A</v>
      </c>
      <c r="U101" s="11" t="e">
        <f>VLOOKUP($G101, 'ADP Data'!$C$4:$Q$300, 8, FALSE)</f>
        <v>#N/A</v>
      </c>
      <c r="V101" s="11" t="e">
        <f t="shared" si="7"/>
        <v>#N/A</v>
      </c>
      <c r="W101" s="11">
        <f t="shared" si="8"/>
        <v>16</v>
      </c>
      <c r="X101" s="11">
        <f t="shared" si="9"/>
        <v>-9</v>
      </c>
      <c r="Y101" s="11" t="e">
        <f>VLOOKUP($G101, SeanRanks!$A$2:$K$303, 10, FALSE)-V101</f>
        <v>#N/A</v>
      </c>
      <c r="Z101" s="25" t="e">
        <f>IF(VLOOKUP($G101, SeanRanks!$A$2:$H$303, 7, FALSE)=0, "", VLOOKUP($G101, SeanRanks!$A$2:$H$303, 7, FALSE))</f>
        <v>#N/A</v>
      </c>
    </row>
    <row r="102" spans="1:26" ht="14.25" customHeight="1" x14ac:dyDescent="0.25">
      <c r="A102" s="11"/>
      <c r="B102" s="11">
        <f t="shared" si="3"/>
        <v>14</v>
      </c>
      <c r="C102" s="11" t="s">
        <v>148</v>
      </c>
      <c r="D102" s="11">
        <v>9</v>
      </c>
      <c r="E102" s="11"/>
      <c r="F102" s="11">
        <f>VLOOKUP(G102, SeanRanks!$A$2:$E$302, 4, FALSE)</f>
        <v>0</v>
      </c>
      <c r="G102" s="11" t="s">
        <v>823</v>
      </c>
      <c r="H102" s="11" t="str">
        <f>VLOOKUP($G102, 'ADP Data'!$C$4:$Q$300, 2, FALSE)</f>
        <v>KC</v>
      </c>
      <c r="I102" s="11">
        <f>VLOOKUP(G102, 'ADP Data'!$C$4:$R$498, 12, FALSE)</f>
        <v>151</v>
      </c>
      <c r="J102" s="40">
        <f>VLOOKUP($G102, SeanRanks!$A$2:$H$303, 5, FALSE)</f>
        <v>0</v>
      </c>
      <c r="K102" s="11" t="str">
        <f>IF(VLOOKUP($G102, SeanRanks!$A$2:$H$303, 6, FALSE)=0, "", VLOOKUP($G102, SeanRanks!$A$2:$H$303, 6, FALSE))</f>
        <v/>
      </c>
      <c r="L102" s="11">
        <f t="shared" si="4"/>
        <v>24</v>
      </c>
      <c r="M102" s="11">
        <f>VLOOKUP($G102, 'ADP Data'!$C$4:$Q$300, 9, FALSE)</f>
        <v>190</v>
      </c>
      <c r="N102" s="11">
        <f t="shared" si="5"/>
        <v>16</v>
      </c>
      <c r="O102" s="11">
        <f>VLOOKUP($G102, 'ADP Data'!$C$4:$Q$300, 3, FALSE)</f>
        <v>214</v>
      </c>
      <c r="P102" s="11">
        <f t="shared" si="6"/>
        <v>-24</v>
      </c>
      <c r="Q102" s="11">
        <f>VLOOKUP($G102, 'ADP Data'!$C$4:$Q$300, 4, FALSE)</f>
        <v>170</v>
      </c>
      <c r="R102" s="11">
        <f>VLOOKUP($G102, 'ADP Data'!$C$4:$Q$300, 5, FALSE)</f>
        <v>211</v>
      </c>
      <c r="S102" s="11">
        <f>VLOOKUP($G102, 'ADP Data'!$C$4:$Q$300, 6, FALSE)</f>
        <v>162</v>
      </c>
      <c r="T102" s="11">
        <f>VLOOKUP($G102, 'ADP Data'!$C$4:$Q$300, 7, FALSE)</f>
        <v>150</v>
      </c>
      <c r="U102" s="11">
        <f>VLOOKUP($G102, 'ADP Data'!$C$4:$Q$300, 8, FALSE)</f>
        <v>126</v>
      </c>
      <c r="V102" s="11">
        <f t="shared" si="7"/>
        <v>174</v>
      </c>
      <c r="W102" s="11">
        <f t="shared" si="8"/>
        <v>22</v>
      </c>
      <c r="X102" s="11">
        <f t="shared" si="9"/>
        <v>-13</v>
      </c>
      <c r="Y102" s="11">
        <f>VLOOKUP($G102, SeanRanks!$A$2:$K$303, 10, FALSE)-V102</f>
        <v>0</v>
      </c>
      <c r="Z102" s="25" t="str">
        <f>IF(VLOOKUP($G102, SeanRanks!$A$2:$H$303, 7, FALSE)=0, "", VLOOKUP($G102, SeanRanks!$A$2:$H$303, 7, FALSE))</f>
        <v/>
      </c>
    </row>
    <row r="103" spans="1:26" ht="14.25" customHeight="1" x14ac:dyDescent="0.25">
      <c r="A103" s="11" t="s">
        <v>148</v>
      </c>
      <c r="B103" s="11" t="e">
        <f t="shared" si="3"/>
        <v>#N/A</v>
      </c>
      <c r="C103" s="11" t="s">
        <v>119</v>
      </c>
      <c r="D103" s="11">
        <v>9</v>
      </c>
      <c r="E103" s="11"/>
      <c r="F103" s="11" t="e">
        <f>VLOOKUP(G103, SeanRanks!$A$2:$E$302, 4, FALSE)</f>
        <v>#N/A</v>
      </c>
      <c r="G103" s="11" t="s">
        <v>244</v>
      </c>
      <c r="H103" s="11" t="e">
        <f>VLOOKUP($G103, 'ADP Data'!$C$4:$Q$300, 2, FALSE)</f>
        <v>#N/A</v>
      </c>
      <c r="I103" s="11" t="e">
        <f>VLOOKUP(G103, 'ADP Data'!$C$4:$R$498, 12, FALSE)</f>
        <v>#N/A</v>
      </c>
      <c r="J103" s="44" t="e">
        <f>VLOOKUP($G103, SeanRanks!$A$2:$H$303, 5, FALSE)</f>
        <v>#N/A</v>
      </c>
      <c r="K103" s="11" t="e">
        <f>IF(VLOOKUP($G103, SeanRanks!$A$2:$H$303, 6, FALSE)=0, "", VLOOKUP($G103, SeanRanks!$A$2:$H$303, 6, FALSE))</f>
        <v>#N/A</v>
      </c>
      <c r="L103" s="11">
        <f t="shared" si="4"/>
        <v>16</v>
      </c>
      <c r="M103" s="11" t="e">
        <f>VLOOKUP($G103, 'ADP Data'!$C$4:$Q$300, 9, FALSE)</f>
        <v>#N/A</v>
      </c>
      <c r="N103" s="11" t="e">
        <f t="shared" si="5"/>
        <v>#N/A</v>
      </c>
      <c r="O103" s="11" t="e">
        <f>VLOOKUP($G103, 'ADP Data'!$C$4:$Q$300, 3, FALSE)</f>
        <v>#N/A</v>
      </c>
      <c r="P103" s="11" t="e">
        <f t="shared" si="6"/>
        <v>#N/A</v>
      </c>
      <c r="Q103" s="11" t="e">
        <f>VLOOKUP($G103, 'ADP Data'!$C$4:$Q$300, 4, FALSE)</f>
        <v>#N/A</v>
      </c>
      <c r="R103" s="11" t="e">
        <f>VLOOKUP($G103, 'ADP Data'!$C$4:$Q$300, 5, FALSE)</f>
        <v>#N/A</v>
      </c>
      <c r="S103" s="11" t="e">
        <f>VLOOKUP($G103, 'ADP Data'!$C$4:$Q$300, 6, FALSE)</f>
        <v>#N/A</v>
      </c>
      <c r="T103" s="11" t="e">
        <f>VLOOKUP($G103, 'ADP Data'!$C$4:$Q$300, 7, FALSE)</f>
        <v>#N/A</v>
      </c>
      <c r="U103" s="11" t="e">
        <f>VLOOKUP($G103, 'ADP Data'!$C$4:$Q$300, 8, FALSE)</f>
        <v>#N/A</v>
      </c>
      <c r="V103" s="11" t="e">
        <f t="shared" si="7"/>
        <v>#N/A</v>
      </c>
      <c r="W103" s="11">
        <f t="shared" si="8"/>
        <v>16</v>
      </c>
      <c r="X103" s="11">
        <f t="shared" si="9"/>
        <v>-7</v>
      </c>
      <c r="Y103" s="11" t="e">
        <f>VLOOKUP($G103, SeanRanks!$A$2:$K$303, 10, FALSE)-V103</f>
        <v>#N/A</v>
      </c>
      <c r="Z103" s="25" t="e">
        <f>IF(VLOOKUP($G103, SeanRanks!$A$2:$H$303, 7, FALSE)=0, "", VLOOKUP($G103, SeanRanks!$A$2:$H$303, 7, FALSE))</f>
        <v>#N/A</v>
      </c>
    </row>
    <row r="104" spans="1:26" ht="14.25" customHeight="1" x14ac:dyDescent="0.25">
      <c r="A104" s="11"/>
      <c r="B104" s="11" t="e">
        <f t="shared" si="3"/>
        <v>#N/A</v>
      </c>
      <c r="C104" s="11" t="s">
        <v>119</v>
      </c>
      <c r="D104" s="11">
        <v>9</v>
      </c>
      <c r="E104" s="11"/>
      <c r="F104" s="11" t="e">
        <f>VLOOKUP(G104, SeanRanks!$A$2:$E$302, 4, FALSE)</f>
        <v>#N/A</v>
      </c>
      <c r="G104" s="11" t="s">
        <v>900</v>
      </c>
      <c r="H104" s="11" t="e">
        <f>VLOOKUP($G104, 'ADP Data'!$C$4:$Q$300, 2, FALSE)</f>
        <v>#N/A</v>
      </c>
      <c r="I104" s="11" t="e">
        <f>VLOOKUP(G104, 'ADP Data'!$C$4:$R$498, 12, FALSE)</f>
        <v>#N/A</v>
      </c>
      <c r="J104" s="58" t="e">
        <f>VLOOKUP($G104, SeanRanks!$A$2:$H$303, 5, FALSE)</f>
        <v>#N/A</v>
      </c>
      <c r="K104" s="11" t="e">
        <f>IF(VLOOKUP($G104, SeanRanks!$A$2:$H$303, 6, FALSE)=0, "", VLOOKUP($G104, SeanRanks!$A$2:$H$303, 6, FALSE))</f>
        <v>#N/A</v>
      </c>
      <c r="L104" s="11">
        <f t="shared" si="4"/>
        <v>16</v>
      </c>
      <c r="M104" s="11" t="e">
        <f>VLOOKUP($G104, 'ADP Data'!$C$4:$Q$300, 9, FALSE)</f>
        <v>#N/A</v>
      </c>
      <c r="N104" s="11" t="e">
        <f t="shared" si="5"/>
        <v>#N/A</v>
      </c>
      <c r="O104" s="11" t="e">
        <f>VLOOKUP($G104, 'ADP Data'!$C$4:$Q$300, 3, FALSE)</f>
        <v>#N/A</v>
      </c>
      <c r="P104" s="11" t="e">
        <f t="shared" si="6"/>
        <v>#N/A</v>
      </c>
      <c r="Q104" s="11" t="e">
        <f>VLOOKUP($G104, 'ADP Data'!$C$4:$Q$300, 4, FALSE)</f>
        <v>#N/A</v>
      </c>
      <c r="R104" s="11" t="e">
        <f>VLOOKUP($G104, 'ADP Data'!$C$4:$Q$300, 5, FALSE)</f>
        <v>#N/A</v>
      </c>
      <c r="S104" s="11" t="e">
        <f>VLOOKUP($G104, 'ADP Data'!$C$4:$Q$300, 6, FALSE)</f>
        <v>#N/A</v>
      </c>
      <c r="T104" s="11" t="e">
        <f>VLOOKUP($G104, 'ADP Data'!$C$4:$Q$300, 7, FALSE)</f>
        <v>#N/A</v>
      </c>
      <c r="U104" s="11" t="e">
        <f>VLOOKUP($G104, 'ADP Data'!$C$4:$Q$300, 8, FALSE)</f>
        <v>#N/A</v>
      </c>
      <c r="V104" s="11" t="e">
        <f t="shared" si="7"/>
        <v>#N/A</v>
      </c>
      <c r="W104" s="11">
        <f t="shared" si="8"/>
        <v>16</v>
      </c>
      <c r="X104" s="11">
        <f t="shared" si="9"/>
        <v>-7</v>
      </c>
      <c r="Y104" s="11" t="e">
        <f>VLOOKUP($G104, SeanRanks!$A$2:$K$303, 10, FALSE)-V104</f>
        <v>#N/A</v>
      </c>
      <c r="Z104" s="25" t="e">
        <f>IF(VLOOKUP($G104, SeanRanks!$A$2:$H$303, 7, FALSE)=0, "", VLOOKUP($G104, SeanRanks!$A$2:$H$303, 7, FALSE))</f>
        <v>#N/A</v>
      </c>
    </row>
    <row r="105" spans="1:26" ht="14.25" customHeight="1" x14ac:dyDescent="0.25">
      <c r="A105" s="11"/>
      <c r="B105" s="11">
        <f t="shared" si="3"/>
        <v>2</v>
      </c>
      <c r="C105" s="11" t="s">
        <v>119</v>
      </c>
      <c r="D105" s="11">
        <v>10</v>
      </c>
      <c r="E105" s="11"/>
      <c r="F105" s="11">
        <f>VLOOKUP(G105, SeanRanks!$A$2:$E$302, 4, FALSE)</f>
        <v>0</v>
      </c>
      <c r="G105" s="11" t="s">
        <v>98</v>
      </c>
      <c r="H105" s="11" t="str">
        <f>VLOOKUP($G105, 'ADP Data'!$C$4:$Q$300, 2, FALSE)</f>
        <v>LV</v>
      </c>
      <c r="I105" s="11">
        <f>VLOOKUP(G105, 'ADP Data'!$C$4:$R$498, 12, FALSE)</f>
        <v>19</v>
      </c>
      <c r="J105" s="57">
        <f>VLOOKUP($G105, SeanRanks!$A$2:$H$303, 5, FALSE)</f>
        <v>0</v>
      </c>
      <c r="K105" s="11" t="str">
        <f>IF(VLOOKUP($G105, SeanRanks!$A$2:$H$303, 6, FALSE)=0, "", VLOOKUP($G105, SeanRanks!$A$2:$H$303, 6, FALSE))</f>
        <v>TE1 - 1 - Elite</v>
      </c>
      <c r="L105" s="11">
        <f t="shared" si="4"/>
        <v>3</v>
      </c>
      <c r="M105" s="11">
        <f>VLOOKUP($G105, 'ADP Data'!$C$4:$Q$300, 9, FALSE)</f>
        <v>19</v>
      </c>
      <c r="N105" s="11">
        <f t="shared" si="5"/>
        <v>2</v>
      </c>
      <c r="O105" s="11">
        <f>VLOOKUP($G105, 'ADP Data'!$C$4:$Q$300, 3, FALSE)</f>
        <v>24</v>
      </c>
      <c r="P105" s="11">
        <f t="shared" si="6"/>
        <v>-5</v>
      </c>
      <c r="Q105" s="11">
        <f>VLOOKUP($G105, 'ADP Data'!$C$4:$Q$300, 4, FALSE)</f>
        <v>20</v>
      </c>
      <c r="R105" s="11">
        <f>VLOOKUP($G105, 'ADP Data'!$C$4:$Q$300, 5, FALSE)</f>
        <v>19</v>
      </c>
      <c r="S105" s="11">
        <f>VLOOKUP($G105, 'ADP Data'!$C$4:$Q$300, 6, FALSE)</f>
        <v>7</v>
      </c>
      <c r="T105" s="11">
        <f>VLOOKUP($G105, 'ADP Data'!$C$4:$Q$300, 7, FALSE)</f>
        <v>18</v>
      </c>
      <c r="U105" s="11">
        <f>VLOOKUP($G105, 'ADP Data'!$C$4:$Q$300, 8, FALSE)</f>
        <v>17</v>
      </c>
      <c r="V105" s="11">
        <f t="shared" si="7"/>
        <v>17</v>
      </c>
      <c r="W105" s="11">
        <f t="shared" si="8"/>
        <v>3</v>
      </c>
      <c r="X105" s="11">
        <f t="shared" si="9"/>
        <v>7</v>
      </c>
      <c r="Y105" s="11">
        <f>VLOOKUP($G105, SeanRanks!$A$2:$K$303, 10, FALSE)-V105</f>
        <v>6</v>
      </c>
      <c r="Z105" s="25">
        <f>IF(VLOOKUP($G105, SeanRanks!$A$2:$H$303, 7, FALSE)=0, "", VLOOKUP($G105, SeanRanks!$A$2:$H$303, 7, FALSE))</f>
        <v>1</v>
      </c>
    </row>
    <row r="106" spans="1:26" ht="14.25" customHeight="1" x14ac:dyDescent="0.25">
      <c r="A106" s="11"/>
      <c r="B106" s="11">
        <f t="shared" si="3"/>
        <v>3</v>
      </c>
      <c r="C106" s="11" t="s">
        <v>148</v>
      </c>
      <c r="D106" s="11">
        <v>9</v>
      </c>
      <c r="E106" s="11"/>
      <c r="F106" s="11">
        <f>VLOOKUP(G106, SeanRanks!$A$2:$E$302, 4, FALSE)</f>
        <v>0</v>
      </c>
      <c r="G106" s="11" t="s">
        <v>165</v>
      </c>
      <c r="H106" s="11" t="str">
        <f>VLOOKUP($G106, 'ADP Data'!$C$4:$Q$300, 2, FALSE)</f>
        <v>LAC</v>
      </c>
      <c r="I106" s="11">
        <f>VLOOKUP(G106, 'ADP Data'!$C$4:$R$498, 12, FALSE)</f>
        <v>22</v>
      </c>
      <c r="J106" s="28">
        <f>VLOOKUP($G106, SeanRanks!$A$2:$H$303, 5, FALSE)</f>
        <v>0</v>
      </c>
      <c r="K106" s="11" t="str">
        <f>IF(VLOOKUP($G106, SeanRanks!$A$2:$H$303, 6, FALSE)=0, "", VLOOKUP($G106, SeanRanks!$A$2:$H$303, 6, FALSE))</f>
        <v>WR1 - 3 - Inconsistent</v>
      </c>
      <c r="L106" s="11">
        <f t="shared" si="4"/>
        <v>4</v>
      </c>
      <c r="M106" s="11">
        <f>VLOOKUP($G106, 'ADP Data'!$C$4:$Q$300, 9, FALSE)</f>
        <v>24</v>
      </c>
      <c r="N106" s="11">
        <f t="shared" si="5"/>
        <v>-1</v>
      </c>
      <c r="O106" s="11">
        <f>VLOOKUP($G106, 'ADP Data'!$C$4:$Q$300, 3, FALSE)</f>
        <v>29</v>
      </c>
      <c r="P106" s="11">
        <f t="shared" si="6"/>
        <v>-5</v>
      </c>
      <c r="Q106" s="11">
        <f>VLOOKUP($G106, 'ADP Data'!$C$4:$Q$300, 4, FALSE)</f>
        <v>30</v>
      </c>
      <c r="R106" s="11">
        <f>VLOOKUP($G106, 'ADP Data'!$C$4:$Q$300, 5, FALSE)</f>
        <v>24</v>
      </c>
      <c r="S106" s="11">
        <f>VLOOKUP($G106, 'ADP Data'!$C$4:$Q$300, 6, FALSE)</f>
        <v>25</v>
      </c>
      <c r="T106" s="11">
        <f>VLOOKUP($G106, 'ADP Data'!$C$4:$Q$300, 7, FALSE)</f>
        <v>23</v>
      </c>
      <c r="U106" s="11">
        <f>VLOOKUP($G106, 'ADP Data'!$C$4:$Q$300, 8, FALSE)</f>
        <v>23</v>
      </c>
      <c r="V106" s="11">
        <f t="shared" si="7"/>
        <v>25</v>
      </c>
      <c r="W106" s="11">
        <f t="shared" si="8"/>
        <v>4</v>
      </c>
      <c r="X106" s="11">
        <f t="shared" si="9"/>
        <v>5</v>
      </c>
      <c r="Y106" s="11">
        <f>VLOOKUP($G106, SeanRanks!$A$2:$K$303, 10, FALSE)-V106</f>
        <v>-3</v>
      </c>
      <c r="Z106" s="25">
        <f>IF(VLOOKUP($G106, SeanRanks!$A$2:$H$303, 7, FALSE)=0, "", VLOOKUP($G106, SeanRanks!$A$2:$H$303, 7, FALSE))</f>
        <v>10</v>
      </c>
    </row>
    <row r="107" spans="1:26" ht="14.25" customHeight="1" x14ac:dyDescent="0.25">
      <c r="A107" s="11"/>
      <c r="B107" s="11">
        <f t="shared" si="3"/>
        <v>5</v>
      </c>
      <c r="C107" s="11" t="s">
        <v>119</v>
      </c>
      <c r="D107" s="11">
        <v>9</v>
      </c>
      <c r="E107" s="11"/>
      <c r="F107" s="11">
        <f>VLOOKUP(G107, SeanRanks!$A$2:$E$302, 4, FALSE)</f>
        <v>0</v>
      </c>
      <c r="G107" s="11" t="s">
        <v>260</v>
      </c>
      <c r="H107" s="11" t="str">
        <f>VLOOKUP($G107, 'ADP Data'!$C$4:$Q$300, 2, FALSE)</f>
        <v>DEN</v>
      </c>
      <c r="I107" s="11">
        <f>VLOOKUP(G107, 'ADP Data'!$C$4:$R$498, 12, FALSE)</f>
        <v>46</v>
      </c>
      <c r="J107" s="40" t="str">
        <f>VLOOKUP($G107, SeanRanks!$A$2:$H$303, 5, FALSE)</f>
        <v>Yes</v>
      </c>
      <c r="K107" s="11" t="str">
        <f>IF(VLOOKUP($G107, SeanRanks!$A$2:$H$303, 6, FALSE)=0, "", VLOOKUP($G107, SeanRanks!$A$2:$H$303, 6, FALSE))</f>
        <v xml:space="preserve">WR3 - 1 - </v>
      </c>
      <c r="L107" s="11">
        <f t="shared" si="4"/>
        <v>7</v>
      </c>
      <c r="M107" s="11">
        <f>VLOOKUP($G107, 'ADP Data'!$C$4:$Q$300, 9, FALSE)</f>
        <v>50</v>
      </c>
      <c r="N107" s="11">
        <f t="shared" si="5"/>
        <v>-3</v>
      </c>
      <c r="O107" s="11">
        <f>VLOOKUP($G107, 'ADP Data'!$C$4:$Q$300, 3, FALSE)</f>
        <v>53</v>
      </c>
      <c r="P107" s="11">
        <f t="shared" si="6"/>
        <v>-3</v>
      </c>
      <c r="Q107" s="11">
        <f>VLOOKUP($G107, 'ADP Data'!$C$4:$Q$300, 4, FALSE)</f>
        <v>58</v>
      </c>
      <c r="R107" s="11">
        <f>VLOOKUP($G107, 'ADP Data'!$C$4:$Q$300, 5, FALSE)</f>
        <v>59</v>
      </c>
      <c r="S107" s="11">
        <f>VLOOKUP($G107, 'ADP Data'!$C$4:$Q$300, 6, FALSE)</f>
        <v>50</v>
      </c>
      <c r="T107" s="11">
        <f>VLOOKUP($G107, 'ADP Data'!$C$4:$Q$300, 7, FALSE)</f>
        <v>47</v>
      </c>
      <c r="U107" s="11">
        <f>VLOOKUP($G107, 'ADP Data'!$C$4:$Q$300, 8, FALSE)</f>
        <v>56</v>
      </c>
      <c r="V107" s="11">
        <f t="shared" si="7"/>
        <v>53</v>
      </c>
      <c r="W107" s="11">
        <f t="shared" si="8"/>
        <v>7</v>
      </c>
      <c r="X107" s="11">
        <f t="shared" si="9"/>
        <v>2</v>
      </c>
      <c r="Y107" s="11">
        <f>VLOOKUP($G107, SeanRanks!$A$2:$K$303, 10, FALSE)-V107</f>
        <v>6</v>
      </c>
      <c r="Z107" s="25">
        <f>IF(VLOOKUP($G107, SeanRanks!$A$2:$H$303, 7, FALSE)=0, "", VLOOKUP($G107, SeanRanks!$A$2:$H$303, 7, FALSE))</f>
        <v>26</v>
      </c>
    </row>
    <row r="108" spans="1:26" ht="14.25" customHeight="1" x14ac:dyDescent="0.25">
      <c r="A108" s="11"/>
      <c r="B108" s="11">
        <f t="shared" si="3"/>
        <v>2</v>
      </c>
      <c r="C108" s="11" t="s">
        <v>119</v>
      </c>
      <c r="D108" s="11">
        <v>9</v>
      </c>
      <c r="E108" s="11"/>
      <c r="F108" s="11">
        <f>VLOOKUP(G108, SeanRanks!$A$2:$E$302, 4, FALSE)</f>
        <v>0</v>
      </c>
      <c r="G108" s="11" t="s">
        <v>239</v>
      </c>
      <c r="H108" s="11" t="str">
        <f>VLOOKUP($G108, 'ADP Data'!$C$4:$Q$300, 2, FALSE)</f>
        <v>JAX</v>
      </c>
      <c r="I108" s="11">
        <f>VLOOKUP(G108, 'ADP Data'!$C$4:$R$498, 12, FALSE)</f>
        <v>11</v>
      </c>
      <c r="J108" s="28">
        <f>VLOOKUP($G108, SeanRanks!$A$2:$H$303, 5, FALSE)</f>
        <v>0</v>
      </c>
      <c r="K108" s="11" t="str">
        <f>IF(VLOOKUP($G108, SeanRanks!$A$2:$H$303, 6, FALSE)=0, "", VLOOKUP($G108, SeanRanks!$A$2:$H$303, 6, FALSE))</f>
        <v>WR1 - 2 - High Floor</v>
      </c>
      <c r="L108" s="11">
        <f t="shared" si="4"/>
        <v>3</v>
      </c>
      <c r="M108" s="11">
        <f>VLOOKUP($G108, 'ADP Data'!$C$4:$Q$300, 9, FALSE)</f>
        <v>16</v>
      </c>
      <c r="N108" s="11">
        <f t="shared" si="5"/>
        <v>1</v>
      </c>
      <c r="O108" s="11">
        <f>VLOOKUP($G108, 'ADP Data'!$C$4:$Q$300, 3, FALSE)</f>
        <v>20</v>
      </c>
      <c r="P108" s="11">
        <f t="shared" si="6"/>
        <v>-4</v>
      </c>
      <c r="Q108" s="11">
        <f>VLOOKUP($G108, 'ADP Data'!$C$4:$Q$300, 4, FALSE)</f>
        <v>16</v>
      </c>
      <c r="R108" s="11">
        <f>VLOOKUP($G108, 'ADP Data'!$C$4:$Q$300, 5, FALSE)</f>
        <v>14</v>
      </c>
      <c r="S108" s="11">
        <f>VLOOKUP($G108, 'ADP Data'!$C$4:$Q$300, 6, FALSE)</f>
        <v>16</v>
      </c>
      <c r="T108" s="11">
        <f>VLOOKUP($G108, 'ADP Data'!$C$4:$Q$300, 7, FALSE)</f>
        <v>11</v>
      </c>
      <c r="U108" s="11">
        <f>VLOOKUP($G108, 'ADP Data'!$C$4:$Q$300, 8, FALSE)</f>
        <v>13</v>
      </c>
      <c r="V108" s="11">
        <f t="shared" si="7"/>
        <v>15</v>
      </c>
      <c r="W108" s="11">
        <f t="shared" si="8"/>
        <v>2</v>
      </c>
      <c r="X108" s="11">
        <f t="shared" si="9"/>
        <v>7</v>
      </c>
      <c r="Y108" s="11">
        <f>VLOOKUP($G108, SeanRanks!$A$2:$K$303, 10, FALSE)-V108</f>
        <v>-2</v>
      </c>
      <c r="Z108" s="25">
        <f>IF(VLOOKUP($G108, SeanRanks!$A$2:$H$303, 7, FALSE)=0, "", VLOOKUP($G108, SeanRanks!$A$2:$H$303, 7, FALSE))</f>
        <v>8</v>
      </c>
    </row>
    <row r="109" spans="1:26" ht="14.25" customHeight="1" x14ac:dyDescent="0.25">
      <c r="A109" s="11"/>
      <c r="B109" s="11">
        <f t="shared" si="3"/>
        <v>10</v>
      </c>
      <c r="C109" s="11" t="s">
        <v>148</v>
      </c>
      <c r="D109" s="11">
        <v>9</v>
      </c>
      <c r="E109" s="23"/>
      <c r="F109" s="11">
        <f>VLOOKUP(G109, SeanRanks!$A$2:$E$302, 4, FALSE)</f>
        <v>0</v>
      </c>
      <c r="G109" s="11" t="s">
        <v>652</v>
      </c>
      <c r="H109" s="11" t="str">
        <f>VLOOKUP($G109, 'ADP Data'!$C$4:$Q$300, 2, FALSE)</f>
        <v>BUF</v>
      </c>
      <c r="I109" s="11">
        <f>VLOOKUP(G109, 'ADP Data'!$C$4:$R$498, 12, FALSE)</f>
        <v>78</v>
      </c>
      <c r="J109" s="40">
        <f>VLOOKUP($G109, SeanRanks!$A$2:$H$303, 5, FALSE)</f>
        <v>0</v>
      </c>
      <c r="K109" s="11" t="str">
        <f>IF(VLOOKUP($G109, SeanRanks!$A$2:$H$303, 6, FALSE)=0, "", VLOOKUP($G109, SeanRanks!$A$2:$H$303, 6, FALSE))</f>
        <v>WR5 - 1 - upside path</v>
      </c>
      <c r="L109" s="11">
        <f t="shared" si="4"/>
        <v>15</v>
      </c>
      <c r="M109" s="11">
        <f>VLOOKUP($G109, 'ADP Data'!$C$4:$Q$300, 9, FALSE)</f>
        <v>118</v>
      </c>
      <c r="N109" s="11">
        <f t="shared" si="5"/>
        <v>3</v>
      </c>
      <c r="O109" s="11">
        <f>VLOOKUP($G109, 'ADP Data'!$C$4:$Q$300, 3, FALSE)</f>
        <v>113</v>
      </c>
      <c r="P109" s="11">
        <f t="shared" si="6"/>
        <v>5</v>
      </c>
      <c r="Q109" s="11">
        <f>VLOOKUP($G109, 'ADP Data'!$C$4:$Q$300, 4, FALSE)</f>
        <v>111</v>
      </c>
      <c r="R109" s="11">
        <f>VLOOKUP($G109, 'ADP Data'!$C$4:$Q$300, 5, FALSE)</f>
        <v>126</v>
      </c>
      <c r="S109" s="11">
        <f>VLOOKUP($G109, 'ADP Data'!$C$4:$Q$300, 6, FALSE)</f>
        <v>102</v>
      </c>
      <c r="T109" s="11">
        <f>VLOOKUP($G109, 'ADP Data'!$C$4:$Q$300, 7, FALSE)</f>
        <v>99</v>
      </c>
      <c r="U109" s="11">
        <f>VLOOKUP($G109, 'ADP Data'!$C$4:$Q$300, 8, FALSE)</f>
        <v>139</v>
      </c>
      <c r="V109" s="11">
        <f t="shared" si="7"/>
        <v>115</v>
      </c>
      <c r="W109" s="11">
        <f t="shared" si="8"/>
        <v>15</v>
      </c>
      <c r="X109" s="11">
        <f t="shared" si="9"/>
        <v>-6</v>
      </c>
      <c r="Y109" s="11">
        <f>VLOOKUP($G109, SeanRanks!$A$2:$K$303, 10, FALSE)-V109</f>
        <v>7</v>
      </c>
      <c r="Z109" s="25">
        <f>IF(VLOOKUP($G109, SeanRanks!$A$2:$H$303, 7, FALSE)=0, "", VLOOKUP($G109, SeanRanks!$A$2:$H$303, 7, FALSE))</f>
        <v>51</v>
      </c>
    </row>
    <row r="110" spans="1:26" ht="14.25" customHeight="1" x14ac:dyDescent="0.25">
      <c r="A110" s="11"/>
      <c r="B110" s="11">
        <f t="shared" si="3"/>
        <v>20</v>
      </c>
      <c r="C110" s="11" t="s">
        <v>148</v>
      </c>
      <c r="D110" s="11">
        <v>9</v>
      </c>
      <c r="E110" s="11"/>
      <c r="F110" s="11">
        <f>VLOOKUP(G110, SeanRanks!$A$2:$E$302, 4, FALSE)</f>
        <v>0</v>
      </c>
      <c r="G110" s="11" t="s">
        <v>901</v>
      </c>
      <c r="H110" s="11" t="str">
        <f>VLOOKUP($G110, 'ADP Data'!$C$4:$Q$300, 2, FALSE)</f>
        <v>BAL</v>
      </c>
      <c r="I110" s="11">
        <f>VLOOKUP(G110, 'ADP Data'!$C$4:$R$498, 12, FALSE)</f>
        <v>225</v>
      </c>
      <c r="J110" s="40">
        <f>VLOOKUP($G110, SeanRanks!$A$2:$H$303, 5, FALSE)</f>
        <v>0</v>
      </c>
      <c r="K110" s="11" t="str">
        <f>IF(VLOOKUP($G110, SeanRanks!$A$2:$H$303, 6, FALSE)=0, "", VLOOKUP($G110, SeanRanks!$A$2:$H$303, 6, FALSE))</f>
        <v/>
      </c>
      <c r="L110" s="11">
        <f t="shared" si="4"/>
        <v>26</v>
      </c>
      <c r="M110" s="11">
        <f>VLOOKUP($G110, 'ADP Data'!$C$4:$Q$300, 9, FALSE)</f>
        <v>205</v>
      </c>
      <c r="N110" s="11">
        <f t="shared" si="5"/>
        <v>-27</v>
      </c>
      <c r="O110" s="11" t="str">
        <f>VLOOKUP($G110, 'ADP Data'!$C$4:$Q$300, 3, FALSE)</f>
        <v>-</v>
      </c>
      <c r="P110" s="11" t="e">
        <f t="shared" si="6"/>
        <v>#VALUE!</v>
      </c>
      <c r="Q110" s="11" t="str">
        <f>VLOOKUP($G110, 'ADP Data'!$C$4:$Q$300, 4, FALSE)</f>
        <v>-</v>
      </c>
      <c r="R110" s="11">
        <f>VLOOKUP($G110, 'ADP Data'!$C$4:$Q$300, 5, FALSE)</f>
        <v>319</v>
      </c>
      <c r="S110" s="11">
        <f>VLOOKUP($G110, 'ADP Data'!$C$4:$Q$300, 6, FALSE)</f>
        <v>229</v>
      </c>
      <c r="T110" s="11">
        <f>VLOOKUP($G110, 'ADP Data'!$C$4:$Q$300, 7, FALSE)</f>
        <v>218</v>
      </c>
      <c r="U110" s="11">
        <f>VLOOKUP($G110, 'ADP Data'!$C$4:$Q$300, 8, FALSE)</f>
        <v>191</v>
      </c>
      <c r="V110" s="11">
        <f t="shared" si="7"/>
        <v>232</v>
      </c>
      <c r="W110" s="11">
        <f t="shared" si="8"/>
        <v>30</v>
      </c>
      <c r="X110" s="11">
        <f t="shared" si="9"/>
        <v>-21</v>
      </c>
      <c r="Y110" s="11">
        <f>VLOOKUP($G110, SeanRanks!$A$2:$K$303, 10, FALSE)-V110</f>
        <v>11</v>
      </c>
      <c r="Z110" s="25" t="str">
        <f>IF(VLOOKUP($G110, SeanRanks!$A$2:$H$303, 7, FALSE)=0, "", VLOOKUP($G110, SeanRanks!$A$2:$H$303, 7, FALSE))</f>
        <v/>
      </c>
    </row>
    <row r="111" spans="1:26" ht="14.25" customHeight="1" x14ac:dyDescent="0.25">
      <c r="A111" s="11"/>
      <c r="B111" s="11">
        <f t="shared" si="3"/>
        <v>11</v>
      </c>
      <c r="C111" s="11" t="s">
        <v>148</v>
      </c>
      <c r="D111" s="11">
        <v>10</v>
      </c>
      <c r="E111" s="11"/>
      <c r="F111" s="11">
        <f>VLOOKUP(G111, SeanRanks!$A$2:$E$302, 4, FALSE)</f>
        <v>0</v>
      </c>
      <c r="G111" s="11" t="s">
        <v>241</v>
      </c>
      <c r="H111" s="11" t="str">
        <f>VLOOKUP($G111, 'ADP Data'!$C$4:$Q$300, 2, FALSE)</f>
        <v>CHI</v>
      </c>
      <c r="I111" s="11">
        <f>VLOOKUP(G111, 'ADP Data'!$C$4:$R$498, 12, FALSE)</f>
        <v>108</v>
      </c>
      <c r="J111" s="59">
        <f>VLOOKUP($G111, SeanRanks!$A$2:$H$303, 5, FALSE)</f>
        <v>0</v>
      </c>
      <c r="K111" s="11" t="str">
        <f>IF(VLOOKUP($G111, SeanRanks!$A$2:$H$303, 6, FALSE)=0, "", VLOOKUP($G111, SeanRanks!$A$2:$H$303, 6, FALSE))</f>
        <v>QB2 - 1 - League Winner</v>
      </c>
      <c r="L111" s="11">
        <f t="shared" si="4"/>
        <v>16</v>
      </c>
      <c r="M111" s="11">
        <f>VLOOKUP($G111, 'ADP Data'!$C$4:$Q$300, 9, FALSE)</f>
        <v>126</v>
      </c>
      <c r="N111" s="11">
        <f t="shared" si="5"/>
        <v>4</v>
      </c>
      <c r="O111" s="11">
        <f>VLOOKUP($G111, 'ADP Data'!$C$4:$Q$300, 3, FALSE)</f>
        <v>120</v>
      </c>
      <c r="P111" s="11">
        <f t="shared" si="6"/>
        <v>6</v>
      </c>
      <c r="Q111" s="11">
        <f>VLOOKUP($G111, 'ADP Data'!$C$4:$Q$300, 4, FALSE)</f>
        <v>112</v>
      </c>
      <c r="R111" s="11">
        <f>VLOOKUP($G111, 'ADP Data'!$C$4:$Q$300, 5, FALSE)</f>
        <v>155</v>
      </c>
      <c r="S111" s="11">
        <f>VLOOKUP($G111, 'ADP Data'!$C$4:$Q$300, 6, FALSE)</f>
        <v>124</v>
      </c>
      <c r="T111" s="11">
        <f>VLOOKUP($G111, 'ADP Data'!$C$4:$Q$300, 7, FALSE)</f>
        <v>109</v>
      </c>
      <c r="U111" s="11">
        <f>VLOOKUP($G111, 'ADP Data'!$C$4:$Q$300, 8, FALSE)</f>
        <v>114</v>
      </c>
      <c r="V111" s="11">
        <f t="shared" si="7"/>
        <v>122</v>
      </c>
      <c r="W111" s="11">
        <f t="shared" si="8"/>
        <v>16</v>
      </c>
      <c r="X111" s="11">
        <f t="shared" si="9"/>
        <v>-6</v>
      </c>
      <c r="Y111" s="11">
        <f>VLOOKUP($G111, SeanRanks!$A$2:$K$303, 10, FALSE)-V111</f>
        <v>-19</v>
      </c>
      <c r="Z111" s="25">
        <f>IF(VLOOKUP($G111, SeanRanks!$A$2:$H$303, 7, FALSE)=0, "", VLOOKUP($G111, SeanRanks!$A$2:$H$303, 7, FALSE))</f>
        <v>13</v>
      </c>
    </row>
    <row r="112" spans="1:26" ht="14.25" customHeight="1" x14ac:dyDescent="0.25">
      <c r="A112" s="11"/>
      <c r="B112" s="11">
        <f t="shared" si="3"/>
        <v>8</v>
      </c>
      <c r="C112" s="11" t="s">
        <v>148</v>
      </c>
      <c r="D112" s="11">
        <v>9</v>
      </c>
      <c r="E112" s="11"/>
      <c r="F112" s="11">
        <f>VLOOKUP(G112, SeanRanks!$A$2:$E$302, 4, FALSE)</f>
        <v>0</v>
      </c>
      <c r="G112" s="11" t="s">
        <v>294</v>
      </c>
      <c r="H112" s="11" t="str">
        <f>VLOOKUP($G112, 'ADP Data'!$C$4:$Q$300, 2, FALSE)</f>
        <v>MIN</v>
      </c>
      <c r="I112" s="11">
        <f>VLOOKUP(G112, 'ADP Data'!$C$4:$R$498, 12, FALSE)</f>
        <v>82</v>
      </c>
      <c r="J112" s="40">
        <f>VLOOKUP($G112, SeanRanks!$A$2:$H$303, 5, FALSE)</f>
        <v>0</v>
      </c>
      <c r="K112" s="11" t="str">
        <f>IF(VLOOKUP($G112, SeanRanks!$A$2:$H$303, 6, FALSE)=0, "", VLOOKUP($G112, SeanRanks!$A$2:$H$303, 6, FALSE))</f>
        <v>WR3 - 3 - lower ceiling</v>
      </c>
      <c r="L112" s="11">
        <f t="shared" si="4"/>
        <v>11</v>
      </c>
      <c r="M112" s="11">
        <f>VLOOKUP($G112, 'ADP Data'!$C$4:$Q$300, 9, FALSE)</f>
        <v>81</v>
      </c>
      <c r="N112" s="11">
        <f t="shared" si="5"/>
        <v>-13</v>
      </c>
      <c r="O112" s="11">
        <f>VLOOKUP($G112, 'ADP Data'!$C$4:$Q$300, 3, FALSE)</f>
        <v>103</v>
      </c>
      <c r="P112" s="11">
        <f t="shared" si="6"/>
        <v>-22</v>
      </c>
      <c r="Q112" s="11">
        <f>VLOOKUP($G112, 'ADP Data'!$C$4:$Q$300, 4, FALSE)</f>
        <v>110</v>
      </c>
      <c r="R112" s="11">
        <f>VLOOKUP($G112, 'ADP Data'!$C$4:$Q$300, 5, FALSE)</f>
        <v>93</v>
      </c>
      <c r="S112" s="11">
        <f>VLOOKUP($G112, 'ADP Data'!$C$4:$Q$300, 6, FALSE)</f>
        <v>95</v>
      </c>
      <c r="T112" s="11">
        <f>VLOOKUP($G112, 'ADP Data'!$C$4:$Q$300, 7, FALSE)</f>
        <v>84</v>
      </c>
      <c r="U112" s="11">
        <f>VLOOKUP($G112, 'ADP Data'!$C$4:$Q$300, 8, FALSE)</f>
        <v>94</v>
      </c>
      <c r="V112" s="11">
        <f t="shared" si="7"/>
        <v>94</v>
      </c>
      <c r="W112" s="11">
        <f t="shared" si="8"/>
        <v>12</v>
      </c>
      <c r="X112" s="11">
        <f t="shared" si="9"/>
        <v>-3</v>
      </c>
      <c r="Y112" s="11">
        <f>VLOOKUP($G112, SeanRanks!$A$2:$K$303, 10, FALSE)-V112</f>
        <v>-10</v>
      </c>
      <c r="Z112" s="25">
        <f>IF(VLOOKUP($G112, SeanRanks!$A$2:$H$303, 7, FALSE)=0, "", VLOOKUP($G112, SeanRanks!$A$2:$H$303, 7, FALSE))</f>
        <v>36</v>
      </c>
    </row>
    <row r="113" spans="1:26" ht="14.25" customHeight="1" x14ac:dyDescent="0.25">
      <c r="A113" s="11"/>
      <c r="B113" s="11">
        <f t="shared" si="3"/>
        <v>12</v>
      </c>
      <c r="C113" s="11" t="s">
        <v>148</v>
      </c>
      <c r="D113" s="11">
        <v>9</v>
      </c>
      <c r="E113" s="11"/>
      <c r="F113" s="11">
        <f>VLOOKUP(G113, SeanRanks!$A$2:$E$302, 4, FALSE)</f>
        <v>0</v>
      </c>
      <c r="G113" s="11" t="s">
        <v>322</v>
      </c>
      <c r="H113" s="11" t="str">
        <f>VLOOKUP($G113, 'ADP Data'!$C$4:$Q$300, 2, FALSE)</f>
        <v>PHI</v>
      </c>
      <c r="I113" s="11">
        <f>VLOOKUP(G113, 'ADP Data'!$C$4:$R$498, 12, FALSE)</f>
        <v>144</v>
      </c>
      <c r="J113" s="57">
        <f>VLOOKUP($G113, SeanRanks!$A$2:$H$303, 5, FALSE)</f>
        <v>0</v>
      </c>
      <c r="K113" s="11" t="str">
        <f>IF(VLOOKUP($G113, SeanRanks!$A$2:$H$303, 6, FALSE)=0, "", VLOOKUP($G113, SeanRanks!$A$2:$H$303, 6, FALSE))</f>
        <v/>
      </c>
      <c r="L113" s="11">
        <f t="shared" si="4"/>
        <v>18</v>
      </c>
      <c r="M113" s="11">
        <f>VLOOKUP($G113, 'ADP Data'!$C$4:$Q$300, 9, FALSE)</f>
        <v>138</v>
      </c>
      <c r="N113" s="11">
        <f t="shared" si="5"/>
        <v>-2</v>
      </c>
      <c r="O113" s="11">
        <f>VLOOKUP($G113, 'ADP Data'!$C$4:$Q$300, 3, FALSE)</f>
        <v>124</v>
      </c>
      <c r="P113" s="11">
        <f t="shared" si="6"/>
        <v>14</v>
      </c>
      <c r="Q113" s="11">
        <f>VLOOKUP($G113, 'ADP Data'!$C$4:$Q$300, 4, FALSE)</f>
        <v>131</v>
      </c>
      <c r="R113" s="11">
        <f>VLOOKUP($G113, 'ADP Data'!$C$4:$Q$300, 5, FALSE)</f>
        <v>170</v>
      </c>
      <c r="S113" s="11">
        <f>VLOOKUP($G113, 'ADP Data'!$C$4:$Q$300, 6, FALSE)</f>
        <v>123</v>
      </c>
      <c r="T113" s="11">
        <f>VLOOKUP($G113, 'ADP Data'!$C$4:$Q$300, 7, FALSE)</f>
        <v>152</v>
      </c>
      <c r="U113" s="11">
        <f>VLOOKUP($G113, 'ADP Data'!$C$4:$Q$300, 8, FALSE)</f>
        <v>142</v>
      </c>
      <c r="V113" s="11">
        <f t="shared" si="7"/>
        <v>140</v>
      </c>
      <c r="W113" s="11">
        <f t="shared" si="8"/>
        <v>18</v>
      </c>
      <c r="X113" s="11">
        <f t="shared" si="9"/>
        <v>-9</v>
      </c>
      <c r="Y113" s="11">
        <f>VLOOKUP($G113, SeanRanks!$A$2:$K$303, 10, FALSE)-V113</f>
        <v>-22</v>
      </c>
      <c r="Z113" s="25" t="str">
        <f>IF(VLOOKUP($G113, SeanRanks!$A$2:$H$303, 7, FALSE)=0, "", VLOOKUP($G113, SeanRanks!$A$2:$H$303, 7, FALSE))</f>
        <v/>
      </c>
    </row>
    <row r="114" spans="1:26" ht="14.25" customHeight="1" x14ac:dyDescent="0.25">
      <c r="A114" s="11"/>
      <c r="B114" s="11">
        <f t="shared" si="3"/>
        <v>2</v>
      </c>
      <c r="C114" s="11" t="s">
        <v>119</v>
      </c>
      <c r="D114" s="11">
        <v>9</v>
      </c>
      <c r="E114" s="11"/>
      <c r="F114" s="11">
        <f>VLOOKUP(G114, SeanRanks!$A$2:$E$302, 4, FALSE)</f>
        <v>0</v>
      </c>
      <c r="G114" s="11" t="s">
        <v>75</v>
      </c>
      <c r="H114" s="11" t="str">
        <f>VLOOKUP($G114, 'ADP Data'!$C$4:$Q$300, 2, FALSE)</f>
        <v>CIN</v>
      </c>
      <c r="I114" s="11">
        <f>VLOOKUP(G114, 'ADP Data'!$C$4:$R$498, 12, FALSE)</f>
        <v>16</v>
      </c>
      <c r="J114" s="58" t="str">
        <f>VLOOKUP($G114, SeanRanks!$A$2:$H$303, 5, FALSE)</f>
        <v>Yes</v>
      </c>
      <c r="K114" s="11" t="str">
        <f>IF(VLOOKUP($G114, SeanRanks!$A$2:$H$303, 6, FALSE)=0, "", VLOOKUP($G114, SeanRanks!$A$2:$H$303, 6, FALSE))</f>
        <v>RB1 - 2 - Elite ceiling/questions</v>
      </c>
      <c r="L114" s="11">
        <f t="shared" si="4"/>
        <v>4</v>
      </c>
      <c r="M114" s="11">
        <f>VLOOKUP($G114, 'ADP Data'!$C$4:$Q$300, 9, FALSE)</f>
        <v>28</v>
      </c>
      <c r="N114" s="11">
        <f t="shared" si="5"/>
        <v>7</v>
      </c>
      <c r="O114" s="11">
        <f>VLOOKUP($G114, 'ADP Data'!$C$4:$Q$300, 3, FALSE)</f>
        <v>19</v>
      </c>
      <c r="P114" s="11">
        <f t="shared" si="6"/>
        <v>9</v>
      </c>
      <c r="Q114" s="11">
        <f>VLOOKUP($G114, 'ADP Data'!$C$4:$Q$300, 4, FALSE)</f>
        <v>24</v>
      </c>
      <c r="R114" s="11">
        <f>VLOOKUP($G114, 'ADP Data'!$C$4:$Q$300, 5, FALSE)</f>
        <v>18</v>
      </c>
      <c r="S114" s="11">
        <f>VLOOKUP($G114, 'ADP Data'!$C$4:$Q$300, 6, FALSE)</f>
        <v>17</v>
      </c>
      <c r="T114" s="11">
        <f>VLOOKUP($G114, 'ADP Data'!$C$4:$Q$300, 7, FALSE)</f>
        <v>17</v>
      </c>
      <c r="U114" s="11">
        <f>VLOOKUP($G114, 'ADP Data'!$C$4:$Q$300, 8, FALSE)</f>
        <v>26</v>
      </c>
      <c r="V114" s="11">
        <f t="shared" si="7"/>
        <v>21</v>
      </c>
      <c r="W114" s="11">
        <f t="shared" si="8"/>
        <v>3</v>
      </c>
      <c r="X114" s="11">
        <f t="shared" si="9"/>
        <v>6</v>
      </c>
      <c r="Y114" s="11">
        <f>VLOOKUP($G114, SeanRanks!$A$2:$K$303, 10, FALSE)-V114</f>
        <v>0</v>
      </c>
      <c r="Z114" s="25">
        <f>IF(VLOOKUP($G114, SeanRanks!$A$2:$H$303, 7, FALSE)=0, "", VLOOKUP($G114, SeanRanks!$A$2:$H$303, 7, FALSE))</f>
        <v>10</v>
      </c>
    </row>
    <row r="115" spans="1:26" ht="14.25" customHeight="1" x14ac:dyDescent="0.25">
      <c r="A115" s="11"/>
      <c r="B115" s="11">
        <f t="shared" si="3"/>
        <v>5</v>
      </c>
      <c r="C115" s="11" t="s">
        <v>119</v>
      </c>
      <c r="D115" s="11">
        <v>9</v>
      </c>
      <c r="E115" s="11"/>
      <c r="F115" s="11">
        <f>VLOOKUP(G115, SeanRanks!$A$2:$E$302, 4, FALSE)</f>
        <v>0</v>
      </c>
      <c r="G115" s="11" t="s">
        <v>196</v>
      </c>
      <c r="H115" s="11" t="str">
        <f>VLOOKUP($G115, 'ADP Data'!$C$4:$Q$300, 2, FALSE)</f>
        <v>DET</v>
      </c>
      <c r="I115" s="11">
        <f>VLOOKUP(G115, 'ADP Data'!$C$4:$R$498, 12, FALSE)</f>
        <v>48</v>
      </c>
      <c r="J115" s="43">
        <f>VLOOKUP($G115, SeanRanks!$A$2:$H$303, 5, FALSE)</f>
        <v>0</v>
      </c>
      <c r="K115" s="11" t="str">
        <f>IF(VLOOKUP($G115, SeanRanks!$A$2:$H$303, 6, FALSE)=0, "", VLOOKUP($G115, SeanRanks!$A$2:$H$303, 6, FALSE))</f>
        <v xml:space="preserve">WR3 - 1 - </v>
      </c>
      <c r="L115" s="11">
        <f t="shared" si="4"/>
        <v>8</v>
      </c>
      <c r="M115" s="11">
        <f>VLOOKUP($G115, 'ADP Data'!$C$4:$Q$300, 9, FALSE)</f>
        <v>60</v>
      </c>
      <c r="N115" s="11">
        <f t="shared" si="5"/>
        <v>1</v>
      </c>
      <c r="O115" s="11">
        <f>VLOOKUP($G115, 'ADP Data'!$C$4:$Q$300, 3, FALSE)</f>
        <v>64</v>
      </c>
      <c r="P115" s="11">
        <f t="shared" si="6"/>
        <v>-4</v>
      </c>
      <c r="Q115" s="11">
        <f>VLOOKUP($G115, 'ADP Data'!$C$4:$Q$300, 4, FALSE)</f>
        <v>65</v>
      </c>
      <c r="R115" s="11">
        <f>VLOOKUP($G115, 'ADP Data'!$C$4:$Q$300, 5, FALSE)</f>
        <v>64</v>
      </c>
      <c r="S115" s="11">
        <f>VLOOKUP($G115, 'ADP Data'!$C$4:$Q$300, 6, FALSE)</f>
        <v>57</v>
      </c>
      <c r="T115" s="11">
        <f>VLOOKUP($G115, 'ADP Data'!$C$4:$Q$300, 7, FALSE)</f>
        <v>53</v>
      </c>
      <c r="U115" s="11">
        <f>VLOOKUP($G115, 'ADP Data'!$C$4:$Q$300, 8, FALSE)</f>
        <v>51</v>
      </c>
      <c r="V115" s="11">
        <f t="shared" si="7"/>
        <v>59</v>
      </c>
      <c r="W115" s="11">
        <f t="shared" si="8"/>
        <v>8</v>
      </c>
      <c r="X115" s="11">
        <f t="shared" si="9"/>
        <v>1</v>
      </c>
      <c r="Y115" s="11">
        <f>VLOOKUP($G115, SeanRanks!$A$2:$K$303, 10, FALSE)-V115</f>
        <v>-2</v>
      </c>
      <c r="Z115" s="25">
        <f>IF(VLOOKUP($G115, SeanRanks!$A$2:$H$303, 7, FALSE)=0, "", VLOOKUP($G115, SeanRanks!$A$2:$H$303, 7, FALSE))</f>
        <v>23</v>
      </c>
    </row>
    <row r="116" spans="1:26" ht="14.25" customHeight="1" x14ac:dyDescent="0.25">
      <c r="A116" s="11"/>
      <c r="B116" s="11">
        <f t="shared" si="3"/>
        <v>13</v>
      </c>
      <c r="C116" s="11" t="s">
        <v>119</v>
      </c>
      <c r="D116" s="11">
        <v>11</v>
      </c>
      <c r="E116" s="11"/>
      <c r="F116" s="11">
        <f>VLOOKUP(G116, SeanRanks!$A$2:$E$302, 4, FALSE)</f>
        <v>0</v>
      </c>
      <c r="G116" s="11" t="s">
        <v>902</v>
      </c>
      <c r="H116" s="11" t="str">
        <f>VLOOKUP($G116, 'ADP Data'!$C$4:$Q$300, 2, FALSE)</f>
        <v>HOU</v>
      </c>
      <c r="I116" s="11">
        <f>VLOOKUP(G116, 'ADP Data'!$C$4:$R$498, 12, FALSE)</f>
        <v>145</v>
      </c>
      <c r="J116" s="59">
        <f>VLOOKUP($G116, SeanRanks!$A$2:$H$303, 5, FALSE)</f>
        <v>0</v>
      </c>
      <c r="K116" s="11" t="str">
        <f>IF(VLOOKUP($G116, SeanRanks!$A$2:$H$303, 6, FALSE)=0, "", VLOOKUP($G116, SeanRanks!$A$2:$H$303, 6, FALSE))</f>
        <v>RB4 - 2 - low ceiling</v>
      </c>
      <c r="L116" s="11">
        <f t="shared" si="4"/>
        <v>18</v>
      </c>
      <c r="M116" s="11">
        <f>VLOOKUP($G116, 'ADP Data'!$C$4:$Q$300, 9, FALSE)</f>
        <v>141</v>
      </c>
      <c r="N116" s="11">
        <f t="shared" si="5"/>
        <v>-6</v>
      </c>
      <c r="O116" s="11">
        <f>VLOOKUP($G116, 'ADP Data'!$C$4:$Q$300, 3, FALSE)</f>
        <v>111</v>
      </c>
      <c r="P116" s="11">
        <f t="shared" si="6"/>
        <v>30</v>
      </c>
      <c r="Q116" s="11">
        <f>VLOOKUP($G116, 'ADP Data'!$C$4:$Q$300, 4, FALSE)</f>
        <v>133</v>
      </c>
      <c r="R116" s="11">
        <f>VLOOKUP($G116, 'ADP Data'!$C$4:$Q$300, 5, FALSE)</f>
        <v>194</v>
      </c>
      <c r="S116" s="11">
        <f>VLOOKUP($G116, 'ADP Data'!$C$4:$Q$300, 6, FALSE)</f>
        <v>128</v>
      </c>
      <c r="T116" s="11">
        <f>VLOOKUP($G116, 'ADP Data'!$C$4:$Q$300, 7, FALSE)</f>
        <v>147</v>
      </c>
      <c r="U116" s="11">
        <f>VLOOKUP($G116, 'ADP Data'!$C$4:$Q$300, 8, FALSE)</f>
        <v>175</v>
      </c>
      <c r="V116" s="11">
        <f t="shared" si="7"/>
        <v>147</v>
      </c>
      <c r="W116" s="11">
        <f t="shared" si="8"/>
        <v>19</v>
      </c>
      <c r="X116" s="11">
        <f t="shared" si="9"/>
        <v>-8</v>
      </c>
      <c r="Y116" s="11">
        <f>VLOOKUP($G116, SeanRanks!$A$2:$K$303, 10, FALSE)-V116</f>
        <v>-8</v>
      </c>
      <c r="Z116" s="25">
        <f>IF(VLOOKUP($G116, SeanRanks!$A$2:$H$303, 7, FALSE)=0, "", VLOOKUP($G116, SeanRanks!$A$2:$H$303, 7, FALSE))</f>
        <v>47</v>
      </c>
    </row>
    <row r="117" spans="1:26" ht="14.25" customHeight="1" x14ac:dyDescent="0.25">
      <c r="A117" s="11"/>
      <c r="B117" s="11">
        <f t="shared" si="3"/>
        <v>16</v>
      </c>
      <c r="C117" s="11" t="s">
        <v>148</v>
      </c>
      <c r="D117" s="11">
        <v>9</v>
      </c>
      <c r="E117" s="11"/>
      <c r="F117" s="11">
        <f>VLOOKUP(G117, SeanRanks!$A$2:$E$302, 4, FALSE)</f>
        <v>0</v>
      </c>
      <c r="G117" s="11" t="s">
        <v>619</v>
      </c>
      <c r="H117" s="11" t="str">
        <f>VLOOKUP($G117, 'ADP Data'!$C$4:$Q$300, 2, FALSE)</f>
        <v>MIA</v>
      </c>
      <c r="I117" s="11">
        <f>VLOOKUP(G117, 'ADP Data'!$C$4:$R$498, 12, FALSE)</f>
        <v>153</v>
      </c>
      <c r="J117" s="60">
        <f>VLOOKUP($G117, SeanRanks!$A$2:$H$303, 5, FALSE)</f>
        <v>0</v>
      </c>
      <c r="K117" s="11" t="str">
        <f>IF(VLOOKUP($G117, SeanRanks!$A$2:$H$303, 6, FALSE)=0, "", VLOOKUP($G117, SeanRanks!$A$2:$H$303, 6, FALSE))</f>
        <v>Don’t Draft - Streamer</v>
      </c>
      <c r="L117" s="11">
        <f t="shared" si="4"/>
        <v>25</v>
      </c>
      <c r="M117" s="11">
        <f>VLOOKUP($G117, 'ADP Data'!$C$4:$Q$300, 9, FALSE)</f>
        <v>198</v>
      </c>
      <c r="N117" s="11">
        <f t="shared" si="5"/>
        <v>15</v>
      </c>
      <c r="O117" s="11">
        <f>VLOOKUP($G117, 'ADP Data'!$C$4:$Q$300, 3, FALSE)</f>
        <v>154</v>
      </c>
      <c r="P117" s="11">
        <f t="shared" si="6"/>
        <v>44</v>
      </c>
      <c r="Q117" s="11">
        <f>VLOOKUP($G117, 'ADP Data'!$C$4:$Q$300, 4, FALSE)</f>
        <v>166</v>
      </c>
      <c r="R117" s="11">
        <f>VLOOKUP($G117, 'ADP Data'!$C$4:$Q$300, 5, FALSE)</f>
        <v>217</v>
      </c>
      <c r="S117" s="11">
        <f>VLOOKUP($G117, 'ADP Data'!$C$4:$Q$300, 6, FALSE)</f>
        <v>183</v>
      </c>
      <c r="T117" s="11">
        <f>VLOOKUP($G117, 'ADP Data'!$C$4:$Q$300, 7, FALSE)</f>
        <v>174</v>
      </c>
      <c r="U117" s="11">
        <f>VLOOKUP($G117, 'ADP Data'!$C$4:$Q$300, 8, FALSE)</f>
        <v>193</v>
      </c>
      <c r="V117" s="11">
        <f t="shared" si="7"/>
        <v>183</v>
      </c>
      <c r="W117" s="11">
        <f t="shared" si="8"/>
        <v>23</v>
      </c>
      <c r="X117" s="11">
        <f t="shared" si="9"/>
        <v>-14</v>
      </c>
      <c r="Y117" s="11">
        <f>VLOOKUP($G117, SeanRanks!$A$2:$K$303, 10, FALSE)-V117</f>
        <v>-31</v>
      </c>
      <c r="Z117" s="25">
        <f>IF(VLOOKUP($G117, SeanRanks!$A$2:$H$303, 7, FALSE)=0, "", VLOOKUP($G117, SeanRanks!$A$2:$H$303, 7, FALSE))</f>
        <v>20</v>
      </c>
    </row>
    <row r="118" spans="1:26" ht="14.25" customHeight="1" x14ac:dyDescent="0.25">
      <c r="A118" s="11"/>
      <c r="B118" s="11">
        <f t="shared" si="3"/>
        <v>10</v>
      </c>
      <c r="C118" s="11" t="s">
        <v>148</v>
      </c>
      <c r="D118" s="11">
        <v>9</v>
      </c>
      <c r="E118" s="11"/>
      <c r="F118" s="11">
        <f>VLOOKUP(G118, SeanRanks!$A$2:$E$302, 4, FALSE)</f>
        <v>0</v>
      </c>
      <c r="G118" s="11" t="s">
        <v>333</v>
      </c>
      <c r="H118" s="11" t="str">
        <f>VLOOKUP($G118, 'ADP Data'!$C$4:$Q$300, 2, FALSE)</f>
        <v>DET</v>
      </c>
      <c r="I118" s="11">
        <f>VLOOKUP(G118, 'ADP Data'!$C$4:$R$498, 12, FALSE)</f>
        <v>119</v>
      </c>
      <c r="J118" s="60">
        <f>VLOOKUP($G118, SeanRanks!$A$2:$H$303, 5, FALSE)</f>
        <v>0</v>
      </c>
      <c r="K118" s="11" t="str">
        <f>IF(VLOOKUP($G118, SeanRanks!$A$2:$H$303, 6, FALSE)=0, "", VLOOKUP($G118, SeanRanks!$A$2:$H$303, 6, FALSE))</f>
        <v>QB2 - 2 - Not League Winner</v>
      </c>
      <c r="L118" s="11">
        <f t="shared" si="4"/>
        <v>13</v>
      </c>
      <c r="M118" s="11">
        <f>VLOOKUP($G118, 'ADP Data'!$C$4:$Q$300, 9, FALSE)</f>
        <v>97</v>
      </c>
      <c r="N118" s="11">
        <f t="shared" si="5"/>
        <v>-12</v>
      </c>
      <c r="O118" s="11">
        <f>VLOOKUP($G118, 'ADP Data'!$C$4:$Q$300, 3, FALSE)</f>
        <v>93</v>
      </c>
      <c r="P118" s="11">
        <f t="shared" si="6"/>
        <v>4</v>
      </c>
      <c r="Q118" s="11">
        <f>VLOOKUP($G118, 'ADP Data'!$C$4:$Q$300, 4, FALSE)</f>
        <v>123</v>
      </c>
      <c r="R118" s="11">
        <f>VLOOKUP($G118, 'ADP Data'!$C$4:$Q$300, 5, FALSE)</f>
        <v>115</v>
      </c>
      <c r="S118" s="11">
        <f>VLOOKUP($G118, 'ADP Data'!$C$4:$Q$300, 6, FALSE)</f>
        <v>132</v>
      </c>
      <c r="T118" s="11">
        <f>VLOOKUP($G118, 'ADP Data'!$C$4:$Q$300, 7, FALSE)</f>
        <v>103</v>
      </c>
      <c r="U118" s="11">
        <f>VLOOKUP($G118, 'ADP Data'!$C$4:$Q$300, 8, FALSE)</f>
        <v>105</v>
      </c>
      <c r="V118" s="11">
        <f t="shared" si="7"/>
        <v>109</v>
      </c>
      <c r="W118" s="11">
        <f t="shared" si="8"/>
        <v>14</v>
      </c>
      <c r="X118" s="11">
        <f t="shared" si="9"/>
        <v>-5</v>
      </c>
      <c r="Y118" s="11">
        <f>VLOOKUP($G118, SeanRanks!$A$2:$K$303, 10, FALSE)-V118</f>
        <v>4</v>
      </c>
      <c r="Z118" s="25">
        <f>IF(VLOOKUP($G118, SeanRanks!$A$2:$H$303, 7, FALSE)=0, "", VLOOKUP($G118, SeanRanks!$A$2:$H$303, 7, FALSE))</f>
        <v>16</v>
      </c>
    </row>
    <row r="119" spans="1:26" ht="14.25" customHeight="1" x14ac:dyDescent="0.25">
      <c r="A119" s="11"/>
      <c r="B119" s="11" t="e">
        <f t="shared" si="3"/>
        <v>#N/A</v>
      </c>
      <c r="C119" s="11" t="s">
        <v>148</v>
      </c>
      <c r="D119" s="11"/>
      <c r="E119" s="11"/>
      <c r="F119" s="11" t="e">
        <f>VLOOKUP(G119, SeanRanks!$A$2:$E$302, 4, FALSE)</f>
        <v>#N/A</v>
      </c>
      <c r="G119" s="11" t="s">
        <v>904</v>
      </c>
      <c r="H119" s="11" t="e">
        <f>VLOOKUP($G119, 'ADP Data'!$C$4:$Q$300, 2, FALSE)</f>
        <v>#N/A</v>
      </c>
      <c r="I119" s="11" t="e">
        <f>VLOOKUP(G119, 'ADP Data'!$C$4:$R$498, 12, FALSE)</f>
        <v>#N/A</v>
      </c>
      <c r="J119" s="58" t="e">
        <f>VLOOKUP($G119, SeanRanks!$A$2:$H$303, 5, FALSE)</f>
        <v>#N/A</v>
      </c>
      <c r="K119" s="11" t="e">
        <f>IF(VLOOKUP($G119, SeanRanks!$A$2:$H$303, 6, FALSE)=0, "", VLOOKUP($G119, SeanRanks!$A$2:$H$303, 6, FALSE))</f>
        <v>#N/A</v>
      </c>
      <c r="L119" s="11">
        <f t="shared" si="4"/>
        <v>16</v>
      </c>
      <c r="M119" s="11" t="e">
        <f>VLOOKUP($G119, 'ADP Data'!$C$4:$Q$300, 9, FALSE)</f>
        <v>#N/A</v>
      </c>
      <c r="N119" s="11" t="e">
        <f t="shared" si="5"/>
        <v>#N/A</v>
      </c>
      <c r="O119" s="11" t="e">
        <f>VLOOKUP($G119, 'ADP Data'!$C$4:$Q$300, 3, FALSE)</f>
        <v>#N/A</v>
      </c>
      <c r="P119" s="11" t="e">
        <f t="shared" si="6"/>
        <v>#N/A</v>
      </c>
      <c r="Q119" s="11" t="e">
        <f>VLOOKUP($G119, 'ADP Data'!$C$4:$Q$300, 4, FALSE)</f>
        <v>#N/A</v>
      </c>
      <c r="R119" s="11" t="e">
        <f>VLOOKUP($G119, 'ADP Data'!$C$4:$Q$300, 5, FALSE)</f>
        <v>#N/A</v>
      </c>
      <c r="S119" s="11" t="e">
        <f>VLOOKUP($G119, 'ADP Data'!$C$4:$Q$300, 6, FALSE)</f>
        <v>#N/A</v>
      </c>
      <c r="T119" s="11" t="e">
        <f>VLOOKUP($G119, 'ADP Data'!$C$4:$Q$300, 7, FALSE)</f>
        <v>#N/A</v>
      </c>
      <c r="U119" s="11" t="e">
        <f>VLOOKUP($G119, 'ADP Data'!$C$4:$Q$300, 8, FALSE)</f>
        <v>#N/A</v>
      </c>
      <c r="V119" s="11" t="e">
        <f t="shared" si="7"/>
        <v>#N/A</v>
      </c>
      <c r="W119" s="11">
        <f t="shared" si="8"/>
        <v>16</v>
      </c>
      <c r="X119" s="11">
        <f t="shared" si="9"/>
        <v>-16</v>
      </c>
      <c r="Y119" s="11" t="e">
        <f>VLOOKUP($G119, SeanRanks!$A$2:$K$303, 10, FALSE)-V119</f>
        <v>#N/A</v>
      </c>
      <c r="Z119" s="25" t="e">
        <f>IF(VLOOKUP($G119, SeanRanks!$A$2:$H$303, 7, FALSE)=0, "", VLOOKUP($G119, SeanRanks!$A$2:$H$303, 7, FALSE))</f>
        <v>#N/A</v>
      </c>
    </row>
    <row r="120" spans="1:26" ht="14.25" customHeight="1" x14ac:dyDescent="0.25">
      <c r="A120" s="11" t="s">
        <v>148</v>
      </c>
      <c r="B120" s="11">
        <f t="shared" si="3"/>
        <v>15</v>
      </c>
      <c r="C120" s="11" t="s">
        <v>119</v>
      </c>
      <c r="D120" s="11">
        <v>9</v>
      </c>
      <c r="E120" s="11"/>
      <c r="F120" s="11">
        <f>VLOOKUP(G120, SeanRanks!$A$2:$E$302, 4, FALSE)</f>
        <v>0</v>
      </c>
      <c r="G120" s="11" t="s">
        <v>905</v>
      </c>
      <c r="H120" s="11" t="str">
        <f>VLOOKUP($G120, 'ADP Data'!$C$4:$Q$300, 2, FALSE)</f>
        <v>CLE</v>
      </c>
      <c r="I120" s="11">
        <f>VLOOKUP(G120, 'ADP Data'!$C$4:$R$498, 12, FALSE)</f>
        <v>168</v>
      </c>
      <c r="J120" s="59">
        <f>VLOOKUP($G120, SeanRanks!$A$2:$H$303, 5, FALSE)</f>
        <v>0</v>
      </c>
      <c r="K120" s="11" t="str">
        <f>IF(VLOOKUP($G120, SeanRanks!$A$2:$H$303, 6, FALSE)=0, "", VLOOKUP($G120, SeanRanks!$A$2:$H$303, 6, FALSE))</f>
        <v>Don’t draft - replacement value</v>
      </c>
      <c r="L120" s="11">
        <f t="shared" si="4"/>
        <v>20</v>
      </c>
      <c r="M120" s="11">
        <f>VLOOKUP($G120, 'ADP Data'!$C$4:$Q$300, 9, FALSE)</f>
        <v>157</v>
      </c>
      <c r="N120" s="11">
        <f t="shared" si="5"/>
        <v>-10</v>
      </c>
      <c r="O120" s="11">
        <f>VLOOKUP($G120, 'ADP Data'!$C$4:$Q$300, 3, FALSE)</f>
        <v>147</v>
      </c>
      <c r="P120" s="11">
        <f t="shared" si="6"/>
        <v>10</v>
      </c>
      <c r="Q120" s="11">
        <f>VLOOKUP($G120, 'ADP Data'!$C$4:$Q$300, 4, FALSE)</f>
        <v>147</v>
      </c>
      <c r="R120" s="11">
        <f>VLOOKUP($G120, 'ADP Data'!$C$4:$Q$300, 5, FALSE)</f>
        <v>181</v>
      </c>
      <c r="S120" s="11">
        <f>VLOOKUP($G120, 'ADP Data'!$C$4:$Q$300, 6, FALSE)</f>
        <v>146</v>
      </c>
      <c r="T120" s="11">
        <f>VLOOKUP($G120, 'ADP Data'!$C$4:$Q$300, 7, FALSE)</f>
        <v>151</v>
      </c>
      <c r="U120" s="11">
        <f>VLOOKUP($G120, 'ADP Data'!$C$4:$Q$300, 8, FALSE)</f>
        <v>244</v>
      </c>
      <c r="V120" s="11">
        <f t="shared" si="7"/>
        <v>167</v>
      </c>
      <c r="W120" s="11">
        <f t="shared" si="8"/>
        <v>21</v>
      </c>
      <c r="X120" s="11">
        <f t="shared" si="9"/>
        <v>-12</v>
      </c>
      <c r="Y120" s="11">
        <f>VLOOKUP($G120, SeanRanks!$A$2:$K$303, 10, FALSE)-V120</f>
        <v>-44</v>
      </c>
      <c r="Z120" s="25">
        <f>IF(VLOOKUP($G120, SeanRanks!$A$2:$H$303, 7, FALSE)=0, "", VLOOKUP($G120, SeanRanks!$A$2:$H$303, 7, FALSE))</f>
        <v>56</v>
      </c>
    </row>
    <row r="121" spans="1:26" ht="14.25" customHeight="1" x14ac:dyDescent="0.25">
      <c r="A121" s="11"/>
      <c r="B121" s="11" t="e">
        <f t="shared" si="3"/>
        <v>#N/A</v>
      </c>
      <c r="C121" s="11" t="s">
        <v>148</v>
      </c>
      <c r="D121" s="11">
        <v>9</v>
      </c>
      <c r="E121" s="11"/>
      <c r="F121" s="11" t="e">
        <f>VLOOKUP(G121, SeanRanks!$A$2:$E$302, 4, FALSE)</f>
        <v>#N/A</v>
      </c>
      <c r="G121" s="11" t="s">
        <v>907</v>
      </c>
      <c r="H121" s="11" t="e">
        <f>VLOOKUP($G121, 'ADP Data'!$C$4:$Q$300, 2, FALSE)</f>
        <v>#N/A</v>
      </c>
      <c r="I121" s="11" t="e">
        <f>VLOOKUP(G121, 'ADP Data'!$C$4:$R$498, 12, FALSE)</f>
        <v>#N/A</v>
      </c>
      <c r="J121" s="58" t="e">
        <f>VLOOKUP($G121, SeanRanks!$A$2:$H$303, 5, FALSE)</f>
        <v>#N/A</v>
      </c>
      <c r="K121" s="11" t="e">
        <f>IF(VLOOKUP($G121, SeanRanks!$A$2:$H$303, 6, FALSE)=0, "", VLOOKUP($G121, SeanRanks!$A$2:$H$303, 6, FALSE))</f>
        <v>#N/A</v>
      </c>
      <c r="L121" s="11">
        <f t="shared" si="4"/>
        <v>16</v>
      </c>
      <c r="M121" s="11" t="e">
        <f>VLOOKUP($G121, 'ADP Data'!$C$4:$Q$300, 9, FALSE)</f>
        <v>#N/A</v>
      </c>
      <c r="N121" s="11" t="e">
        <f t="shared" si="5"/>
        <v>#N/A</v>
      </c>
      <c r="O121" s="11" t="e">
        <f>VLOOKUP($G121, 'ADP Data'!$C$4:$Q$300, 3, FALSE)</f>
        <v>#N/A</v>
      </c>
      <c r="P121" s="11" t="e">
        <f t="shared" si="6"/>
        <v>#N/A</v>
      </c>
      <c r="Q121" s="11" t="e">
        <f>VLOOKUP($G121, 'ADP Data'!$C$4:$Q$300, 4, FALSE)</f>
        <v>#N/A</v>
      </c>
      <c r="R121" s="11" t="e">
        <f>VLOOKUP($G121, 'ADP Data'!$C$4:$Q$300, 5, FALSE)</f>
        <v>#N/A</v>
      </c>
      <c r="S121" s="11" t="e">
        <f>VLOOKUP($G121, 'ADP Data'!$C$4:$Q$300, 6, FALSE)</f>
        <v>#N/A</v>
      </c>
      <c r="T121" s="11" t="e">
        <f>VLOOKUP($G121, 'ADP Data'!$C$4:$Q$300, 7, FALSE)</f>
        <v>#N/A</v>
      </c>
      <c r="U121" s="11" t="e">
        <f>VLOOKUP($G121, 'ADP Data'!$C$4:$Q$300, 8, FALSE)</f>
        <v>#N/A</v>
      </c>
      <c r="V121" s="11" t="e">
        <f t="shared" si="7"/>
        <v>#N/A</v>
      </c>
      <c r="W121" s="11">
        <f t="shared" si="8"/>
        <v>16</v>
      </c>
      <c r="X121" s="11">
        <f t="shared" si="9"/>
        <v>-7</v>
      </c>
      <c r="Y121" s="11" t="e">
        <f>VLOOKUP($G121, SeanRanks!$A$2:$K$303, 10, FALSE)-V121</f>
        <v>#N/A</v>
      </c>
      <c r="Z121" s="25" t="e">
        <f>IF(VLOOKUP($G121, SeanRanks!$A$2:$H$303, 7, FALSE)=0, "", VLOOKUP($G121, SeanRanks!$A$2:$H$303, 7, FALSE))</f>
        <v>#N/A</v>
      </c>
    </row>
    <row r="122" spans="1:26" ht="14.25" customHeight="1" x14ac:dyDescent="0.25">
      <c r="A122" s="11"/>
      <c r="B122" s="11">
        <f t="shared" si="3"/>
        <v>14</v>
      </c>
      <c r="C122" s="11" t="s">
        <v>148</v>
      </c>
      <c r="D122" s="11">
        <v>10</v>
      </c>
      <c r="E122" s="11"/>
      <c r="F122" s="11">
        <f>VLOOKUP(G122, SeanRanks!$A$2:$E$302, 4, FALSE)</f>
        <v>0</v>
      </c>
      <c r="G122" s="11" t="s">
        <v>266</v>
      </c>
      <c r="H122" s="11" t="str">
        <f>VLOOKUP($G122, 'ADP Data'!$C$4:$Q$300, 2, FALSE)</f>
        <v>JAX</v>
      </c>
      <c r="I122" s="11">
        <f>VLOOKUP(G122, 'ADP Data'!$C$4:$R$498, 12, FALSE)</f>
        <v>132</v>
      </c>
      <c r="J122" s="59">
        <f>VLOOKUP($G122, SeanRanks!$A$2:$H$303, 5, FALSE)</f>
        <v>0</v>
      </c>
      <c r="K122" s="11" t="str">
        <f>IF(VLOOKUP($G122, SeanRanks!$A$2:$H$303, 6, FALSE)=0, "", VLOOKUP($G122, SeanRanks!$A$2:$H$303, 6, FALSE))</f>
        <v>QB2 - 2 - Not League Winner</v>
      </c>
      <c r="L122" s="11">
        <f t="shared" si="4"/>
        <v>22</v>
      </c>
      <c r="M122" s="11">
        <f>VLOOKUP($G122, 'ADP Data'!$C$4:$Q$300, 9, FALSE)</f>
        <v>168</v>
      </c>
      <c r="N122" s="11">
        <f t="shared" si="5"/>
        <v>9</v>
      </c>
      <c r="O122" s="11">
        <f>VLOOKUP($G122, 'ADP Data'!$C$4:$Q$300, 3, FALSE)</f>
        <v>151</v>
      </c>
      <c r="P122" s="11">
        <f t="shared" si="6"/>
        <v>17</v>
      </c>
      <c r="Q122" s="11">
        <f>VLOOKUP($G122, 'ADP Data'!$C$4:$Q$300, 4, FALSE)</f>
        <v>172</v>
      </c>
      <c r="R122" s="11">
        <f>VLOOKUP($G122, 'ADP Data'!$C$4:$Q$300, 5, FALSE)</f>
        <v>162</v>
      </c>
      <c r="S122" s="11">
        <f>VLOOKUP($G122, 'ADP Data'!$C$4:$Q$300, 6, FALSE)</f>
        <v>144</v>
      </c>
      <c r="T122" s="11">
        <f>VLOOKUP($G122, 'ADP Data'!$C$4:$Q$300, 7, FALSE)</f>
        <v>138</v>
      </c>
      <c r="U122" s="11">
        <f>VLOOKUP($G122, 'ADP Data'!$C$4:$Q$300, 8, FALSE)</f>
        <v>178</v>
      </c>
      <c r="V122" s="11">
        <f t="shared" si="7"/>
        <v>159</v>
      </c>
      <c r="W122" s="11">
        <f t="shared" si="8"/>
        <v>20</v>
      </c>
      <c r="X122" s="11">
        <f t="shared" si="9"/>
        <v>-10</v>
      </c>
      <c r="Y122" s="11">
        <f>VLOOKUP($G122, SeanRanks!$A$2:$K$303, 10, FALSE)-V122</f>
        <v>-27</v>
      </c>
      <c r="Z122" s="25">
        <f>IF(VLOOKUP($G122, SeanRanks!$A$2:$H$303, 7, FALSE)=0, "", VLOOKUP($G122, SeanRanks!$A$2:$H$303, 7, FALSE))</f>
        <v>19</v>
      </c>
    </row>
    <row r="123" spans="1:26" ht="14.25" customHeight="1" x14ac:dyDescent="0.25">
      <c r="A123" s="11"/>
      <c r="B123" s="11">
        <f t="shared" si="3"/>
        <v>9</v>
      </c>
      <c r="C123" s="11" t="s">
        <v>148</v>
      </c>
      <c r="D123" s="11"/>
      <c r="E123" s="11"/>
      <c r="F123" s="11">
        <f>VLOOKUP(G123, SeanRanks!$A$2:$E$302, 4, FALSE)</f>
        <v>0</v>
      </c>
      <c r="G123" s="11" t="s">
        <v>366</v>
      </c>
      <c r="H123" s="11" t="str">
        <f>VLOOKUP($G123, 'ADP Data'!$C$4:$Q$300, 2, FALSE)</f>
        <v>BUF</v>
      </c>
      <c r="I123" s="11">
        <f>VLOOKUP(G123, 'ADP Data'!$C$4:$R$498, 12, FALSE)</f>
        <v>92</v>
      </c>
      <c r="J123" s="45">
        <f>VLOOKUP($G123, SeanRanks!$A$2:$H$303, 5, FALSE)</f>
        <v>0</v>
      </c>
      <c r="K123" s="11" t="str">
        <f>IF(VLOOKUP($G123, SeanRanks!$A$2:$H$303, 6, FALSE)=0, "", VLOOKUP($G123, SeanRanks!$A$2:$H$303, 6, FALSE))</f>
        <v>WR4 - 2 - unclear path to WR2</v>
      </c>
      <c r="L123" s="11">
        <f t="shared" si="4"/>
        <v>12</v>
      </c>
      <c r="M123" s="11">
        <f>VLOOKUP($G123, 'ADP Data'!$C$4:$Q$300, 9, FALSE)</f>
        <v>93</v>
      </c>
      <c r="N123" s="11">
        <f t="shared" si="5"/>
        <v>-11</v>
      </c>
      <c r="O123" s="11">
        <f>VLOOKUP($G123, 'ADP Data'!$C$4:$Q$300, 3, FALSE)</f>
        <v>118</v>
      </c>
      <c r="P123" s="11">
        <f t="shared" si="6"/>
        <v>-25</v>
      </c>
      <c r="Q123" s="11">
        <f>VLOOKUP($G123, 'ADP Data'!$C$4:$Q$300, 4, FALSE)</f>
        <v>108</v>
      </c>
      <c r="R123" s="11">
        <f>VLOOKUP($G123, 'ADP Data'!$C$4:$Q$300, 5, FALSE)</f>
        <v>116</v>
      </c>
      <c r="S123" s="11">
        <f>VLOOKUP($G123, 'ADP Data'!$C$4:$Q$300, 6, FALSE)</f>
        <v>103</v>
      </c>
      <c r="T123" s="11">
        <f>VLOOKUP($G123, 'ADP Data'!$C$4:$Q$300, 7, FALSE)</f>
        <v>88</v>
      </c>
      <c r="U123" s="11">
        <f>VLOOKUP($G123, 'ADP Data'!$C$4:$Q$300, 8, FALSE)</f>
        <v>102</v>
      </c>
      <c r="V123" s="11">
        <f t="shared" si="7"/>
        <v>104</v>
      </c>
      <c r="W123" s="11">
        <f t="shared" si="8"/>
        <v>14</v>
      </c>
      <c r="X123" s="11">
        <f t="shared" si="9"/>
        <v>-14</v>
      </c>
      <c r="Y123" s="11">
        <f>VLOOKUP($G123, SeanRanks!$A$2:$K$303, 10, FALSE)-V123</f>
        <v>2</v>
      </c>
      <c r="Z123" s="25">
        <f>IF(VLOOKUP($G123, SeanRanks!$A$2:$H$303, 7, FALSE)=0, "", VLOOKUP($G123, SeanRanks!$A$2:$H$303, 7, FALSE))</f>
        <v>45</v>
      </c>
    </row>
    <row r="124" spans="1:26" ht="14.25" customHeight="1" x14ac:dyDescent="0.25">
      <c r="A124" s="11"/>
      <c r="B124" s="11">
        <f t="shared" si="3"/>
        <v>21</v>
      </c>
      <c r="C124" s="11" t="s">
        <v>148</v>
      </c>
      <c r="D124" s="11"/>
      <c r="E124" s="11"/>
      <c r="F124" s="11">
        <f>VLOOKUP(G124, SeanRanks!$A$2:$E$302, 4, FALSE)</f>
        <v>0</v>
      </c>
      <c r="G124" s="11" t="s">
        <v>405</v>
      </c>
      <c r="H124" s="11" t="str">
        <f>VLOOKUP($G124, 'ADP Data'!$C$4:$Q$300, 2, FALSE)</f>
        <v>HOU</v>
      </c>
      <c r="I124" s="11">
        <f>VLOOKUP(G124, 'ADP Data'!$C$4:$R$498, 12, FALSE)</f>
        <v>226</v>
      </c>
      <c r="J124" s="61">
        <f>VLOOKUP($G124, SeanRanks!$A$2:$H$303, 5, FALSE)</f>
        <v>0</v>
      </c>
      <c r="K124" s="11" t="str">
        <f>IF(VLOOKUP($G124, SeanRanks!$A$2:$H$303, 6, FALSE)=0, "", VLOOKUP($G124, SeanRanks!$A$2:$H$303, 6, FALSE))</f>
        <v/>
      </c>
      <c r="L124" s="11">
        <f t="shared" si="4"/>
        <v>31</v>
      </c>
      <c r="M124" s="11">
        <f>VLOOKUP($G124, 'ADP Data'!$C$4:$Q$300, 9, FALSE)</f>
        <v>241</v>
      </c>
      <c r="N124" s="11">
        <f t="shared" si="5"/>
        <v>-3</v>
      </c>
      <c r="O124" s="11" t="str">
        <f>VLOOKUP($G124, 'ADP Data'!$C$4:$Q$300, 3, FALSE)</f>
        <v>-</v>
      </c>
      <c r="P124" s="11" t="e">
        <f t="shared" si="6"/>
        <v>#VALUE!</v>
      </c>
      <c r="Q124" s="11">
        <f>VLOOKUP($G124, 'ADP Data'!$C$4:$Q$300, 4, FALSE)</f>
        <v>267</v>
      </c>
      <c r="R124" s="11">
        <f>VLOOKUP($G124, 'ADP Data'!$C$4:$Q$300, 5, FALSE)</f>
        <v>287</v>
      </c>
      <c r="S124" s="11">
        <f>VLOOKUP($G124, 'ADP Data'!$C$4:$Q$300, 6, FALSE)</f>
        <v>210</v>
      </c>
      <c r="T124" s="11">
        <f>VLOOKUP($G124, 'ADP Data'!$C$4:$Q$300, 7, FALSE)</f>
        <v>248</v>
      </c>
      <c r="U124" s="11">
        <f>VLOOKUP($G124, 'ADP Data'!$C$4:$Q$300, 8, FALSE)</f>
        <v>216</v>
      </c>
      <c r="V124" s="11">
        <f t="shared" si="7"/>
        <v>244</v>
      </c>
      <c r="W124" s="11">
        <f t="shared" si="8"/>
        <v>31</v>
      </c>
      <c r="X124" s="11">
        <f t="shared" si="9"/>
        <v>-31</v>
      </c>
      <c r="Y124" s="11">
        <f>VLOOKUP($G124, SeanRanks!$A$2:$K$303, 10, FALSE)-V124</f>
        <v>-14</v>
      </c>
      <c r="Z124" s="25" t="str">
        <f>IF(VLOOKUP($G124, SeanRanks!$A$2:$H$303, 7, FALSE)=0, "", VLOOKUP($G124, SeanRanks!$A$2:$H$303, 7, FALSE))</f>
        <v/>
      </c>
    </row>
    <row r="125" spans="1:26" ht="14.25" customHeight="1" x14ac:dyDescent="0.25">
      <c r="A125" s="11"/>
      <c r="B125" s="11">
        <f t="shared" si="3"/>
        <v>18</v>
      </c>
      <c r="C125" s="11" t="s">
        <v>148</v>
      </c>
      <c r="D125" s="11"/>
      <c r="E125" s="11"/>
      <c r="F125" s="11">
        <f>VLOOKUP(G125, SeanRanks!$A$2:$E$302, 4, FALSE)</f>
        <v>0</v>
      </c>
      <c r="G125" s="11" t="s">
        <v>278</v>
      </c>
      <c r="H125" s="11" t="str">
        <f>VLOOKUP($G125, 'ADP Data'!$C$4:$Q$300, 2, FALSE)</f>
        <v>LAR</v>
      </c>
      <c r="I125" s="11">
        <f>VLOOKUP(G125, 'ADP Data'!$C$4:$R$498, 12, FALSE)</f>
        <v>216</v>
      </c>
      <c r="J125" s="59">
        <f>VLOOKUP($G125, SeanRanks!$A$2:$H$303, 5, FALSE)</f>
        <v>0</v>
      </c>
      <c r="K125" s="11" t="str">
        <f>IF(VLOOKUP($G125, SeanRanks!$A$2:$H$303, 6, FALSE)=0, "", VLOOKUP($G125, SeanRanks!$A$2:$H$303, 6, FALSE))</f>
        <v/>
      </c>
      <c r="L125" s="11">
        <f t="shared" si="4"/>
        <v>26</v>
      </c>
      <c r="M125" s="11">
        <f>VLOOKUP($G125, 'ADP Data'!$C$4:$Q$300, 9, FALSE)</f>
        <v>200</v>
      </c>
      <c r="N125" s="11">
        <f t="shared" si="5"/>
        <v>-10</v>
      </c>
      <c r="O125" s="11" t="str">
        <f>VLOOKUP($G125, 'ADP Data'!$C$4:$Q$300, 3, FALSE)</f>
        <v>-</v>
      </c>
      <c r="P125" s="11" t="e">
        <f t="shared" si="6"/>
        <v>#VALUE!</v>
      </c>
      <c r="Q125" s="11" t="str">
        <f>VLOOKUP($G125, 'ADP Data'!$C$4:$Q$300, 4, FALSE)</f>
        <v>-</v>
      </c>
      <c r="R125" s="11">
        <f>VLOOKUP($G125, 'ADP Data'!$C$4:$Q$300, 5, FALSE)</f>
        <v>248</v>
      </c>
      <c r="S125" s="11">
        <f>VLOOKUP($G125, 'ADP Data'!$C$4:$Q$300, 6, FALSE)</f>
        <v>176</v>
      </c>
      <c r="T125" s="11">
        <f>VLOOKUP($G125, 'ADP Data'!$C$4:$Q$300, 7, FALSE)</f>
        <v>181</v>
      </c>
      <c r="U125" s="11">
        <f>VLOOKUP($G125, 'ADP Data'!$C$4:$Q$300, 8, FALSE)</f>
        <v>245</v>
      </c>
      <c r="V125" s="11">
        <f t="shared" si="7"/>
        <v>210</v>
      </c>
      <c r="W125" s="11">
        <f t="shared" si="8"/>
        <v>27</v>
      </c>
      <c r="X125" s="11">
        <f t="shared" si="9"/>
        <v>-27</v>
      </c>
      <c r="Y125" s="11">
        <f>VLOOKUP($G125, SeanRanks!$A$2:$K$303, 10, FALSE)-V125</f>
        <v>-31</v>
      </c>
      <c r="Z125" s="25" t="str">
        <f>IF(VLOOKUP($G125, SeanRanks!$A$2:$H$303, 7, FALSE)=0, "", VLOOKUP($G125, SeanRanks!$A$2:$H$303, 7, FALSE))</f>
        <v/>
      </c>
    </row>
    <row r="126" spans="1:26" ht="14.25" customHeight="1" x14ac:dyDescent="0.25">
      <c r="A126" s="11"/>
      <c r="B126" s="11">
        <f t="shared" si="3"/>
        <v>18</v>
      </c>
      <c r="C126" s="11" t="s">
        <v>148</v>
      </c>
      <c r="D126" s="11">
        <v>11</v>
      </c>
      <c r="E126" s="11"/>
      <c r="F126" s="11">
        <f>VLOOKUP(G126, SeanRanks!$A$2:$E$302, 4, FALSE)</f>
        <v>0</v>
      </c>
      <c r="G126" s="11" t="s">
        <v>536</v>
      </c>
      <c r="H126" s="11" t="str">
        <f>VLOOKUP($G126, 'ADP Data'!$C$4:$Q$300, 2, FALSE)</f>
        <v>PIT</v>
      </c>
      <c r="I126" s="11">
        <f>VLOOKUP(G126, 'ADP Data'!$C$4:$R$498, 12, FALSE)</f>
        <v>228</v>
      </c>
      <c r="J126" s="57">
        <f>VLOOKUP($G126, SeanRanks!$A$2:$H$303, 5, FALSE)</f>
        <v>0</v>
      </c>
      <c r="K126" s="11" t="str">
        <f>IF(VLOOKUP($G126, SeanRanks!$A$2:$H$303, 6, FALSE)=0, "", VLOOKUP($G126, SeanRanks!$A$2:$H$303, 6, FALSE))</f>
        <v/>
      </c>
      <c r="L126" s="11">
        <f t="shared" si="4"/>
        <v>26</v>
      </c>
      <c r="M126" s="11">
        <f>VLOOKUP($G126, 'ADP Data'!$C$4:$Q$300, 9, FALSE)</f>
        <v>202</v>
      </c>
      <c r="N126" s="11">
        <f t="shared" si="5"/>
        <v>-3</v>
      </c>
      <c r="O126" s="11" t="str">
        <f>VLOOKUP($G126, 'ADP Data'!$C$4:$Q$300, 3, FALSE)</f>
        <v>-</v>
      </c>
      <c r="P126" s="11" t="e">
        <f t="shared" si="6"/>
        <v>#VALUE!</v>
      </c>
      <c r="Q126" s="11">
        <f>VLOOKUP($G126, 'ADP Data'!$C$4:$Q$300, 4, FALSE)</f>
        <v>198</v>
      </c>
      <c r="R126" s="11">
        <f>VLOOKUP($G126, 'ADP Data'!$C$4:$Q$300, 5, FALSE)</f>
        <v>239</v>
      </c>
      <c r="S126" s="11">
        <f>VLOOKUP($G126, 'ADP Data'!$C$4:$Q$300, 6, FALSE)</f>
        <v>196</v>
      </c>
      <c r="T126" s="11">
        <f>VLOOKUP($G126, 'ADP Data'!$C$4:$Q$300, 7, FALSE)</f>
        <v>221</v>
      </c>
      <c r="U126" s="11">
        <f>VLOOKUP($G126, 'ADP Data'!$C$4:$Q$300, 8, FALSE)</f>
        <v>176</v>
      </c>
      <c r="V126" s="11">
        <f t="shared" si="7"/>
        <v>205</v>
      </c>
      <c r="W126" s="11">
        <f t="shared" si="8"/>
        <v>26</v>
      </c>
      <c r="X126" s="11">
        <f t="shared" si="9"/>
        <v>-15</v>
      </c>
      <c r="Y126" s="11">
        <f>VLOOKUP($G126, SeanRanks!$A$2:$K$303, 10, FALSE)-V126</f>
        <v>23</v>
      </c>
      <c r="Z126" s="25" t="str">
        <f>IF(VLOOKUP($G126, SeanRanks!$A$2:$H$303, 7, FALSE)=0, "", VLOOKUP($G126, SeanRanks!$A$2:$H$303, 7, FALSE))</f>
        <v/>
      </c>
    </row>
    <row r="127" spans="1:26" ht="14.25" customHeight="1" x14ac:dyDescent="0.25">
      <c r="A127" s="11"/>
      <c r="B127" s="11">
        <f t="shared" si="3"/>
        <v>21</v>
      </c>
      <c r="C127" s="11" t="s">
        <v>148</v>
      </c>
      <c r="D127" s="11">
        <v>11</v>
      </c>
      <c r="E127" s="11"/>
      <c r="F127" s="11">
        <f>VLOOKUP(G127, SeanRanks!$A$2:$E$302, 4, FALSE)</f>
        <v>0</v>
      </c>
      <c r="G127" s="11" t="s">
        <v>908</v>
      </c>
      <c r="H127" s="11" t="str">
        <f>VLOOKUP($G127, 'ADP Data'!$C$4:$Q$300, 2, FALSE)</f>
        <v>TEN</v>
      </c>
      <c r="I127" s="11">
        <f>VLOOKUP(G127, 'ADP Data'!$C$4:$R$498, 12, FALSE)</f>
        <v>223</v>
      </c>
      <c r="J127" s="45">
        <f>VLOOKUP($G127, SeanRanks!$A$2:$H$303, 5, FALSE)</f>
        <v>0</v>
      </c>
      <c r="K127" s="11" t="str">
        <f>IF(VLOOKUP($G127, SeanRanks!$A$2:$H$303, 6, FALSE)=0, "", VLOOKUP($G127, SeanRanks!$A$2:$H$303, 6, FALSE))</f>
        <v/>
      </c>
      <c r="L127" s="11">
        <f t="shared" si="4"/>
        <v>30</v>
      </c>
      <c r="M127" s="11">
        <f>VLOOKUP($G127, 'ADP Data'!$C$4:$Q$300, 9, FALSE)</f>
        <v>235</v>
      </c>
      <c r="N127" s="11">
        <f t="shared" si="5"/>
        <v>-8</v>
      </c>
      <c r="O127" s="11" t="str">
        <f>VLOOKUP($G127, 'ADP Data'!$C$4:$Q$300, 3, FALSE)</f>
        <v>-</v>
      </c>
      <c r="P127" s="11" t="e">
        <f t="shared" si="6"/>
        <v>#VALUE!</v>
      </c>
      <c r="Q127" s="11" t="str">
        <f>VLOOKUP($G127, 'ADP Data'!$C$4:$Q$300, 4, FALSE)</f>
        <v>-</v>
      </c>
      <c r="R127" s="11">
        <f>VLOOKUP($G127, 'ADP Data'!$C$4:$Q$300, 5, FALSE)</f>
        <v>316</v>
      </c>
      <c r="S127" s="11">
        <f>VLOOKUP($G127, 'ADP Data'!$C$4:$Q$300, 6, FALSE)</f>
        <v>202</v>
      </c>
      <c r="T127" s="11">
        <f>VLOOKUP($G127, 'ADP Data'!$C$4:$Q$300, 7, FALSE)</f>
        <v>228</v>
      </c>
      <c r="U127" s="11">
        <f>VLOOKUP($G127, 'ADP Data'!$C$4:$Q$300, 8, FALSE)</f>
        <v>238</v>
      </c>
      <c r="V127" s="11">
        <f t="shared" si="7"/>
        <v>243</v>
      </c>
      <c r="W127" s="11">
        <f t="shared" si="8"/>
        <v>31</v>
      </c>
      <c r="X127" s="11">
        <f t="shared" si="9"/>
        <v>-20</v>
      </c>
      <c r="Y127" s="11" t="e">
        <f>VLOOKUP($G127, SeanRanks!$A$2:$K$303, 10, FALSE)-V127</f>
        <v>#VALUE!</v>
      </c>
      <c r="Z127" s="25" t="str">
        <f>IF(VLOOKUP($G127, SeanRanks!$A$2:$H$303, 7, FALSE)=0, "", VLOOKUP($G127, SeanRanks!$A$2:$H$303, 7, FALSE))</f>
        <v/>
      </c>
    </row>
    <row r="128" spans="1:26" ht="14.25" customHeight="1" x14ac:dyDescent="0.25">
      <c r="A128" s="11"/>
      <c r="B128" s="11">
        <f t="shared" si="3"/>
        <v>17</v>
      </c>
      <c r="C128" s="11" t="s">
        <v>148</v>
      </c>
      <c r="D128" s="11">
        <v>12</v>
      </c>
      <c r="E128" s="11"/>
      <c r="F128" s="11">
        <f>VLOOKUP(G128, SeanRanks!$A$2:$E$302, 4, FALSE)</f>
        <v>0</v>
      </c>
      <c r="G128" s="11" t="s">
        <v>346</v>
      </c>
      <c r="H128" s="11" t="str">
        <f>VLOOKUP($G128, 'ADP Data'!$C$4:$Q$300, 2, FALSE)</f>
        <v>GB</v>
      </c>
      <c r="I128" s="11">
        <f>VLOOKUP(G128, 'ADP Data'!$C$4:$R$498, 12, FALSE)</f>
        <v>142</v>
      </c>
      <c r="J128" s="45">
        <f>VLOOKUP($G128, SeanRanks!$A$2:$H$303, 5, FALSE)</f>
        <v>0</v>
      </c>
      <c r="K128" s="11" t="str">
        <f>IF(VLOOKUP($G128, SeanRanks!$A$2:$H$303, 6, FALSE)=0, "", VLOOKUP($G128, SeanRanks!$A$2:$H$303, 6, FALSE))</f>
        <v/>
      </c>
      <c r="L128" s="11">
        <f t="shared" si="4"/>
        <v>27</v>
      </c>
      <c r="M128" s="11">
        <f>VLOOKUP($G128, 'ADP Data'!$C$4:$Q$300, 9, FALSE)</f>
        <v>210</v>
      </c>
      <c r="N128" s="11">
        <f t="shared" si="5"/>
        <v>12</v>
      </c>
      <c r="O128" s="11">
        <f>VLOOKUP($G128, 'ADP Data'!$C$4:$Q$300, 3, FALSE)</f>
        <v>205</v>
      </c>
      <c r="P128" s="11">
        <f t="shared" si="6"/>
        <v>5</v>
      </c>
      <c r="Q128" s="11" t="str">
        <f>VLOOKUP($G128, 'ADP Data'!$C$4:$Q$300, 4, FALSE)</f>
        <v>-</v>
      </c>
      <c r="R128" s="11">
        <f>VLOOKUP($G128, 'ADP Data'!$C$4:$Q$300, 5, FALSE)</f>
        <v>219</v>
      </c>
      <c r="S128" s="11">
        <f>VLOOKUP($G128, 'ADP Data'!$C$4:$Q$300, 6, FALSE)</f>
        <v>172</v>
      </c>
      <c r="T128" s="11">
        <f>VLOOKUP($G128, 'ADP Data'!$C$4:$Q$300, 7, FALSE)</f>
        <v>163</v>
      </c>
      <c r="U128" s="11">
        <f>VLOOKUP($G128, 'ADP Data'!$C$4:$Q$300, 8, FALSE)</f>
        <v>223</v>
      </c>
      <c r="V128" s="11">
        <f t="shared" si="7"/>
        <v>198</v>
      </c>
      <c r="W128" s="11">
        <f t="shared" si="8"/>
        <v>25</v>
      </c>
      <c r="X128" s="11">
        <f t="shared" si="9"/>
        <v>-13</v>
      </c>
      <c r="Y128" s="11">
        <f>VLOOKUP($G128, SeanRanks!$A$2:$K$303, 10, FALSE)-V128</f>
        <v>-20</v>
      </c>
      <c r="Z128" s="25" t="str">
        <f>IF(VLOOKUP($G128, SeanRanks!$A$2:$H$303, 7, FALSE)=0, "", VLOOKUP($G128, SeanRanks!$A$2:$H$303, 7, FALSE))</f>
        <v/>
      </c>
    </row>
    <row r="129" spans="1:26" ht="14.25" customHeight="1" x14ac:dyDescent="0.25">
      <c r="A129" s="11"/>
      <c r="B129" s="11">
        <f t="shared" si="3"/>
        <v>16</v>
      </c>
      <c r="C129" s="11" t="s">
        <v>148</v>
      </c>
      <c r="D129" s="11"/>
      <c r="E129" s="11"/>
      <c r="F129" s="11">
        <f>VLOOKUP(G129, SeanRanks!$A$2:$E$302, 4, FALSE)</f>
        <v>0</v>
      </c>
      <c r="G129" s="11" t="s">
        <v>658</v>
      </c>
      <c r="H129" s="11" t="str">
        <f>VLOOKUP($G129, 'ADP Data'!$C$4:$Q$300, 2, FALSE)</f>
        <v>SF</v>
      </c>
      <c r="I129" s="11" t="str">
        <f>VLOOKUP(G129, 'ADP Data'!$C$4:$R$498, 12, FALSE)</f>
        <v>-</v>
      </c>
      <c r="J129" s="11">
        <f>VLOOKUP($G129, SeanRanks!$A$2:$H$303, 5, FALSE)</f>
        <v>0</v>
      </c>
      <c r="K129" s="11" t="str">
        <f>IF(VLOOKUP($G129, SeanRanks!$A$2:$H$303, 6, FALSE)=0, "", VLOOKUP($G129, SeanRanks!$A$2:$H$303, 6, FALSE))</f>
        <v/>
      </c>
      <c r="L129" s="11">
        <f t="shared" si="4"/>
        <v>20</v>
      </c>
      <c r="M129" s="11">
        <f>VLOOKUP($G129, 'ADP Data'!$C$4:$Q$300, 9, FALSE)</f>
        <v>156</v>
      </c>
      <c r="N129" s="11">
        <f t="shared" si="5"/>
        <v>-21</v>
      </c>
      <c r="O129" s="11">
        <f>VLOOKUP($G129, 'ADP Data'!$C$4:$Q$300, 3, FALSE)</f>
        <v>181</v>
      </c>
      <c r="P129" s="11">
        <f t="shared" si="6"/>
        <v>-25</v>
      </c>
      <c r="Q129" s="11">
        <f>VLOOKUP($G129, 'ADP Data'!$C$4:$Q$300, 4, FALSE)</f>
        <v>188</v>
      </c>
      <c r="R129" s="11">
        <f>VLOOKUP($G129, 'ADP Data'!$C$4:$Q$300, 5, FALSE)</f>
        <v>229</v>
      </c>
      <c r="S129" s="11">
        <f>VLOOKUP($G129, 'ADP Data'!$C$4:$Q$300, 6, FALSE)</f>
        <v>230</v>
      </c>
      <c r="T129" s="11">
        <f>VLOOKUP($G129, 'ADP Data'!$C$4:$Q$300, 7, FALSE)</f>
        <v>185</v>
      </c>
      <c r="U129" s="11">
        <f>VLOOKUP($G129, 'ADP Data'!$C$4:$Q$300, 8, FALSE)</f>
        <v>76</v>
      </c>
      <c r="V129" s="11">
        <f t="shared" si="7"/>
        <v>177</v>
      </c>
      <c r="W129" s="11">
        <f t="shared" si="8"/>
        <v>23</v>
      </c>
      <c r="X129" s="11">
        <f t="shared" si="9"/>
        <v>-23</v>
      </c>
      <c r="Y129" s="11" t="e">
        <f>VLOOKUP($G129, SeanRanks!$A$2:$K$303, 10, FALSE)-V129</f>
        <v>#VALUE!</v>
      </c>
      <c r="Z129" s="25" t="str">
        <f>IF(VLOOKUP($G129, SeanRanks!$A$2:$H$303, 7, FALSE)=0, "", VLOOKUP($G129, SeanRanks!$A$2:$H$303, 7, FALSE))</f>
        <v/>
      </c>
    </row>
    <row r="130" spans="1:26" ht="14.25" customHeight="1" x14ac:dyDescent="0.25">
      <c r="A130" s="11"/>
      <c r="B130" s="11">
        <f t="shared" si="3"/>
        <v>10</v>
      </c>
      <c r="C130" s="11" t="s">
        <v>148</v>
      </c>
      <c r="D130" s="11"/>
      <c r="E130" s="11"/>
      <c r="F130" s="11">
        <f>VLOOKUP(G130, SeanRanks!$A$2:$E$302, 4, FALSE)</f>
        <v>0</v>
      </c>
      <c r="G130" s="11" t="s">
        <v>262</v>
      </c>
      <c r="H130" s="11" t="str">
        <f>VLOOKUP($G130, 'ADP Data'!$C$4:$Q$300, 2, FALSE)</f>
        <v>LAC</v>
      </c>
      <c r="I130" s="11">
        <f>VLOOKUP(G130, 'ADP Data'!$C$4:$R$498, 12, FALSE)</f>
        <v>128</v>
      </c>
      <c r="J130" s="58">
        <f>VLOOKUP($G130, SeanRanks!$A$2:$H$303, 5, FALSE)</f>
        <v>0</v>
      </c>
      <c r="K130" s="11" t="str">
        <f>IF(VLOOKUP($G130, SeanRanks!$A$2:$H$303, 6, FALSE)=0, "", VLOOKUP($G130, SeanRanks!$A$2:$H$303, 6, FALSE))</f>
        <v>QB2 - 2 - Not League Winner</v>
      </c>
      <c r="L130" s="11">
        <f t="shared" si="4"/>
        <v>14</v>
      </c>
      <c r="M130" s="11">
        <f>VLOOKUP($G130, 'ADP Data'!$C$4:$Q$300, 9, FALSE)</f>
        <v>109</v>
      </c>
      <c r="N130" s="11">
        <f t="shared" si="5"/>
        <v>-8</v>
      </c>
      <c r="O130" s="11">
        <f>VLOOKUP($G130, 'ADP Data'!$C$4:$Q$300, 3, FALSE)</f>
        <v>122</v>
      </c>
      <c r="P130" s="11">
        <f t="shared" si="6"/>
        <v>-13</v>
      </c>
      <c r="Q130" s="11">
        <f>VLOOKUP($G130, 'ADP Data'!$C$4:$Q$300, 4, FALSE)</f>
        <v>91</v>
      </c>
      <c r="R130" s="11">
        <f>VLOOKUP($G130, 'ADP Data'!$C$4:$Q$300, 5, FALSE)</f>
        <v>122</v>
      </c>
      <c r="S130" s="11">
        <f>VLOOKUP($G130, 'ADP Data'!$C$4:$Q$300, 6, FALSE)</f>
        <v>135</v>
      </c>
      <c r="T130" s="11">
        <f>VLOOKUP($G130, 'ADP Data'!$C$4:$Q$300, 7, FALSE)</f>
        <v>120</v>
      </c>
      <c r="U130" s="11">
        <f>VLOOKUP($G130, 'ADP Data'!$C$4:$Q$300, 8, FALSE)</f>
        <v>124</v>
      </c>
      <c r="V130" s="11">
        <f t="shared" si="7"/>
        <v>117</v>
      </c>
      <c r="W130" s="11">
        <f t="shared" si="8"/>
        <v>15</v>
      </c>
      <c r="X130" s="11">
        <f t="shared" si="9"/>
        <v>-15</v>
      </c>
      <c r="Y130" s="11">
        <f>VLOOKUP($G130, SeanRanks!$A$2:$K$303, 10, FALSE)-V130</f>
        <v>-12</v>
      </c>
      <c r="Z130" s="25">
        <f>IF(VLOOKUP($G130, SeanRanks!$A$2:$H$303, 7, FALSE)=0, "", VLOOKUP($G130, SeanRanks!$A$2:$H$303, 7, FALSE))</f>
        <v>17</v>
      </c>
    </row>
    <row r="131" spans="1:26" ht="14.25" customHeight="1" x14ac:dyDescent="0.25">
      <c r="A131" s="11"/>
      <c r="B131" s="11">
        <f t="shared" si="3"/>
        <v>14</v>
      </c>
      <c r="C131" s="11" t="s">
        <v>119</v>
      </c>
      <c r="D131" s="11"/>
      <c r="E131" s="11"/>
      <c r="F131" s="11">
        <f>VLOOKUP(G131, SeanRanks!$A$2:$E$302, 4, FALSE)</f>
        <v>0</v>
      </c>
      <c r="G131" s="11" t="s">
        <v>826</v>
      </c>
      <c r="H131" s="11" t="str">
        <f>VLOOKUP($G131, 'ADP Data'!$C$4:$Q$300, 2, FALSE)</f>
        <v>ARI</v>
      </c>
      <c r="I131" s="11">
        <f>VLOOKUP(G131, 'ADP Data'!$C$4:$R$498, 12, FALSE)</f>
        <v>139</v>
      </c>
      <c r="J131" s="59">
        <f>VLOOKUP($G131, SeanRanks!$A$2:$H$303, 5, FALSE)</f>
        <v>0</v>
      </c>
      <c r="K131" s="11" t="str">
        <f>IF(VLOOKUP($G131, SeanRanks!$A$2:$H$303, 6, FALSE)=0, "", VLOOKUP($G131, SeanRanks!$A$2:$H$303, 6, FALSE))</f>
        <v>RB4 - 1 - Path to spikes</v>
      </c>
      <c r="L131" s="11">
        <f t="shared" si="4"/>
        <v>18</v>
      </c>
      <c r="M131" s="11">
        <f>VLOOKUP($G131, 'ADP Data'!$C$4:$Q$300, 9, FALSE)</f>
        <v>143</v>
      </c>
      <c r="N131" s="11">
        <f t="shared" si="5"/>
        <v>-10</v>
      </c>
      <c r="O131" s="11">
        <f>VLOOKUP($G131, 'ADP Data'!$C$4:$Q$300, 3, FALSE)</f>
        <v>149</v>
      </c>
      <c r="P131" s="11">
        <f t="shared" si="6"/>
        <v>-6</v>
      </c>
      <c r="Q131" s="11">
        <f>VLOOKUP($G131, 'ADP Data'!$C$4:$Q$300, 4, FALSE)</f>
        <v>151</v>
      </c>
      <c r="R131" s="11">
        <f>VLOOKUP($G131, 'ADP Data'!$C$4:$Q$300, 5, FALSE)</f>
        <v>159</v>
      </c>
      <c r="S131" s="11">
        <f>VLOOKUP($G131, 'ADP Data'!$C$4:$Q$300, 6, FALSE)</f>
        <v>121</v>
      </c>
      <c r="T131" s="11">
        <f>VLOOKUP($G131, 'ADP Data'!$C$4:$Q$300, 7, FALSE)</f>
        <v>123</v>
      </c>
      <c r="U131" s="11">
        <f>VLOOKUP($G131, 'ADP Data'!$C$4:$Q$300, 8, FALSE)</f>
        <v>227</v>
      </c>
      <c r="V131" s="11">
        <f t="shared" si="7"/>
        <v>153</v>
      </c>
      <c r="W131" s="11">
        <f t="shared" si="8"/>
        <v>20</v>
      </c>
      <c r="X131" s="11">
        <f t="shared" si="9"/>
        <v>-20</v>
      </c>
      <c r="Y131" s="11">
        <f>VLOOKUP($G131, SeanRanks!$A$2:$K$303, 10, FALSE)-V131</f>
        <v>-16</v>
      </c>
      <c r="Z131" s="25">
        <f>IF(VLOOKUP($G131, SeanRanks!$A$2:$H$303, 7, FALSE)=0, "", VLOOKUP($G131, SeanRanks!$A$2:$H$303, 7, FALSE))</f>
        <v>44</v>
      </c>
    </row>
    <row r="132" spans="1:26" ht="14.25" customHeight="1" x14ac:dyDescent="0.25">
      <c r="A132" s="11"/>
      <c r="B132" s="11">
        <f t="shared" si="3"/>
        <v>8</v>
      </c>
      <c r="C132" s="11" t="s">
        <v>148</v>
      </c>
      <c r="D132" s="11"/>
      <c r="E132" s="11"/>
      <c r="F132" s="11">
        <f>VLOOKUP(G132, SeanRanks!$A$2:$E$302, 4, FALSE)</f>
        <v>0</v>
      </c>
      <c r="G132" s="11" t="s">
        <v>335</v>
      </c>
      <c r="H132" s="11" t="str">
        <f>VLOOKUP($G132, 'ADP Data'!$C$4:$Q$300, 2, FALSE)</f>
        <v>LV</v>
      </c>
      <c r="I132" s="11">
        <f>VLOOKUP(G132, 'ADP Data'!$C$4:$R$498, 12, FALSE)</f>
        <v>77</v>
      </c>
      <c r="J132" s="45">
        <f>VLOOKUP($G132, SeanRanks!$A$2:$H$303, 5, FALSE)</f>
        <v>0</v>
      </c>
      <c r="K132" s="11" t="str">
        <f>IF(VLOOKUP($G132, SeanRanks!$A$2:$H$303, 6, FALSE)=0, "", VLOOKUP($G132, SeanRanks!$A$2:$H$303, 6, FALSE))</f>
        <v>WR3 - 3 - lower ceiling</v>
      </c>
      <c r="L132" s="11">
        <f t="shared" si="4"/>
        <v>11</v>
      </c>
      <c r="M132" s="11">
        <f>VLOOKUP($G132, 'ADP Data'!$C$4:$Q$300, 9, FALSE)</f>
        <v>83</v>
      </c>
      <c r="N132" s="11">
        <f t="shared" si="5"/>
        <v>-4</v>
      </c>
      <c r="O132" s="11">
        <f>VLOOKUP($G132, 'ADP Data'!$C$4:$Q$300, 3, FALSE)</f>
        <v>85</v>
      </c>
      <c r="P132" s="11">
        <f t="shared" si="6"/>
        <v>-2</v>
      </c>
      <c r="Q132" s="11">
        <f>VLOOKUP($G132, 'ADP Data'!$C$4:$Q$300, 4, FALSE)</f>
        <v>82</v>
      </c>
      <c r="R132" s="11">
        <f>VLOOKUP($G132, 'ADP Data'!$C$4:$Q$300, 5, FALSE)</f>
        <v>86</v>
      </c>
      <c r="S132" s="11">
        <f>VLOOKUP($G132, 'ADP Data'!$C$4:$Q$300, 6, FALSE)</f>
        <v>87</v>
      </c>
      <c r="T132" s="11">
        <f>VLOOKUP($G132, 'ADP Data'!$C$4:$Q$300, 7, FALSE)</f>
        <v>73</v>
      </c>
      <c r="U132" s="11">
        <f>VLOOKUP($G132, 'ADP Data'!$C$4:$Q$300, 8, FALSE)</f>
        <v>119</v>
      </c>
      <c r="V132" s="11">
        <f t="shared" si="7"/>
        <v>87</v>
      </c>
      <c r="W132" s="11">
        <f t="shared" si="8"/>
        <v>11</v>
      </c>
      <c r="X132" s="11">
        <f t="shared" si="9"/>
        <v>-11</v>
      </c>
      <c r="Y132" s="11">
        <f>VLOOKUP($G132, SeanRanks!$A$2:$K$303, 10, FALSE)-V132</f>
        <v>0</v>
      </c>
      <c r="Z132" s="25">
        <f>IF(VLOOKUP($G132, SeanRanks!$A$2:$H$303, 7, FALSE)=0, "", VLOOKUP($G132, SeanRanks!$A$2:$H$303, 7, FALSE))</f>
        <v>35</v>
      </c>
    </row>
    <row r="133" spans="1:26" ht="14.25" customHeight="1" x14ac:dyDescent="0.25">
      <c r="A133" s="11"/>
      <c r="B133" s="11" t="e">
        <f t="shared" si="3"/>
        <v>#N/A</v>
      </c>
      <c r="C133" s="11" t="s">
        <v>148</v>
      </c>
      <c r="D133" s="11"/>
      <c r="E133" s="11"/>
      <c r="F133" s="11" t="e">
        <f>VLOOKUP(G133, SeanRanks!$A$2:$E$302, 4, FALSE)</f>
        <v>#N/A</v>
      </c>
      <c r="G133" s="11" t="s">
        <v>909</v>
      </c>
      <c r="H133" s="11" t="e">
        <f>VLOOKUP($G133, 'ADP Data'!$C$4:$Q$300, 2, FALSE)</f>
        <v>#N/A</v>
      </c>
      <c r="I133" s="11" t="e">
        <f>VLOOKUP(G133, 'ADP Data'!$C$4:$R$498, 12, FALSE)</f>
        <v>#N/A</v>
      </c>
      <c r="J133" s="45" t="e">
        <f>VLOOKUP($G133, SeanRanks!$A$2:$H$303, 5, FALSE)</f>
        <v>#N/A</v>
      </c>
      <c r="K133" s="11" t="e">
        <f>IF(VLOOKUP($G133, SeanRanks!$A$2:$H$303, 6, FALSE)=0, "", VLOOKUP($G133, SeanRanks!$A$2:$H$303, 6, FALSE))</f>
        <v>#N/A</v>
      </c>
      <c r="L133" s="11">
        <f t="shared" si="4"/>
        <v>16</v>
      </c>
      <c r="M133" s="11" t="e">
        <f>VLOOKUP($G133, 'ADP Data'!$C$4:$Q$300, 9, FALSE)</f>
        <v>#N/A</v>
      </c>
      <c r="N133" s="11" t="e">
        <f t="shared" si="5"/>
        <v>#N/A</v>
      </c>
      <c r="O133" s="11" t="e">
        <f>VLOOKUP($G133, 'ADP Data'!$C$4:$Q$300, 3, FALSE)</f>
        <v>#N/A</v>
      </c>
      <c r="P133" s="11" t="e">
        <f t="shared" si="6"/>
        <v>#N/A</v>
      </c>
      <c r="Q133" s="11" t="e">
        <f>VLOOKUP($G133, 'ADP Data'!$C$4:$Q$300, 4, FALSE)</f>
        <v>#N/A</v>
      </c>
      <c r="R133" s="11" t="e">
        <f>VLOOKUP($G133, 'ADP Data'!$C$4:$Q$300, 5, FALSE)</f>
        <v>#N/A</v>
      </c>
      <c r="S133" s="11" t="e">
        <f>VLOOKUP($G133, 'ADP Data'!$C$4:$Q$300, 6, FALSE)</f>
        <v>#N/A</v>
      </c>
      <c r="T133" s="11" t="e">
        <f>VLOOKUP($G133, 'ADP Data'!$C$4:$Q$300, 7, FALSE)</f>
        <v>#N/A</v>
      </c>
      <c r="U133" s="11" t="e">
        <f>VLOOKUP($G133, 'ADP Data'!$C$4:$Q$300, 8, FALSE)</f>
        <v>#N/A</v>
      </c>
      <c r="V133" s="11" t="e">
        <f t="shared" si="7"/>
        <v>#N/A</v>
      </c>
      <c r="W133" s="11">
        <f t="shared" si="8"/>
        <v>16</v>
      </c>
      <c r="X133" s="11">
        <f t="shared" si="9"/>
        <v>-16</v>
      </c>
      <c r="Y133" s="11" t="e">
        <f>VLOOKUP($G133, SeanRanks!$A$2:$K$303, 10, FALSE)-V133</f>
        <v>#N/A</v>
      </c>
      <c r="Z133" s="25" t="e">
        <f>IF(VLOOKUP($G133, SeanRanks!$A$2:$H$303, 7, FALSE)=0, "", VLOOKUP($G133, SeanRanks!$A$2:$H$303, 7, FALSE))</f>
        <v>#N/A</v>
      </c>
    </row>
    <row r="134" spans="1:26" ht="14.25" customHeight="1" x14ac:dyDescent="0.25">
      <c r="A134" s="11"/>
      <c r="B134" s="11">
        <f t="shared" si="3"/>
        <v>6</v>
      </c>
      <c r="C134" s="11" t="s">
        <v>148</v>
      </c>
      <c r="D134" s="11">
        <v>13</v>
      </c>
      <c r="E134" s="11"/>
      <c r="F134" s="11">
        <f>VLOOKUP(G134, SeanRanks!$A$2:$E$302, 4, FALSE)</f>
        <v>0</v>
      </c>
      <c r="G134" s="11" t="s">
        <v>422</v>
      </c>
      <c r="H134" s="11" t="str">
        <f>VLOOKUP($G134, 'ADP Data'!$C$4:$Q$300, 2, FALSE)</f>
        <v>MIN</v>
      </c>
      <c r="I134" s="11">
        <f>VLOOKUP(G134, 'ADP Data'!$C$4:$R$498, 12, FALSE)</f>
        <v>87</v>
      </c>
      <c r="J134" s="61">
        <f>VLOOKUP($G134, SeanRanks!$A$2:$H$303, 5, FALSE)</f>
        <v>0</v>
      </c>
      <c r="K134" s="11" t="str">
        <f>IF(VLOOKUP($G134, SeanRanks!$A$2:$H$303, 6, FALSE)=0, "", VLOOKUP($G134, SeanRanks!$A$2:$H$303, 6, FALSE))</f>
        <v>TE1 - 2 - Very Good</v>
      </c>
      <c r="L134" s="11">
        <f t="shared" si="4"/>
        <v>9</v>
      </c>
      <c r="M134" s="11">
        <f>VLOOKUP($G134, 'ADP Data'!$C$4:$Q$300, 9, FALSE)</f>
        <v>64</v>
      </c>
      <c r="N134" s="11">
        <f t="shared" si="5"/>
        <v>-2</v>
      </c>
      <c r="O134" s="11">
        <f>VLOOKUP($G134, 'ADP Data'!$C$4:$Q$300, 3, FALSE)</f>
        <v>71</v>
      </c>
      <c r="P134" s="11">
        <f t="shared" si="6"/>
        <v>-7</v>
      </c>
      <c r="Q134" s="11">
        <f>VLOOKUP($G134, 'ADP Data'!$C$4:$Q$300, 4, FALSE)</f>
        <v>56</v>
      </c>
      <c r="R134" s="11">
        <f>VLOOKUP($G134, 'ADP Data'!$C$4:$Q$300, 5, FALSE)</f>
        <v>82</v>
      </c>
      <c r="S134" s="11">
        <f>VLOOKUP($G134, 'ADP Data'!$C$4:$Q$300, 6, FALSE)</f>
        <v>64</v>
      </c>
      <c r="T134" s="11">
        <f>VLOOKUP($G134, 'ADP Data'!$C$4:$Q$300, 7, FALSE)</f>
        <v>80</v>
      </c>
      <c r="U134" s="11">
        <f>VLOOKUP($G134, 'ADP Data'!$C$4:$Q$300, 8, FALSE)</f>
        <v>50</v>
      </c>
      <c r="V134" s="11">
        <f t="shared" si="7"/>
        <v>66</v>
      </c>
      <c r="W134" s="11">
        <f t="shared" si="8"/>
        <v>9</v>
      </c>
      <c r="X134" s="11">
        <f t="shared" si="9"/>
        <v>4</v>
      </c>
      <c r="Y134" s="11">
        <f>VLOOKUP($G134, SeanRanks!$A$2:$K$303, 10, FALSE)-V134</f>
        <v>7</v>
      </c>
      <c r="Z134" s="25">
        <f>IF(VLOOKUP($G134, SeanRanks!$A$2:$H$303, 7, FALSE)=0, "", VLOOKUP($G134, SeanRanks!$A$2:$H$303, 7, FALSE))</f>
        <v>5</v>
      </c>
    </row>
    <row r="135" spans="1:26" ht="14.25" customHeight="1" x14ac:dyDescent="0.25">
      <c r="A135" s="11"/>
      <c r="B135" s="11">
        <f t="shared" si="3"/>
        <v>13</v>
      </c>
      <c r="C135" s="11" t="s">
        <v>148</v>
      </c>
      <c r="D135" s="11"/>
      <c r="E135" s="11"/>
      <c r="F135" s="11">
        <f>VLOOKUP(G135, SeanRanks!$A$2:$E$302, 4, FALSE)</f>
        <v>0</v>
      </c>
      <c r="G135" s="11" t="s">
        <v>502</v>
      </c>
      <c r="H135" s="11" t="str">
        <f>VLOOKUP($G135, 'ADP Data'!$C$4:$Q$300, 2, FALSE)</f>
        <v>BAL</v>
      </c>
      <c r="I135" s="11" t="str">
        <f>VLOOKUP(G135, 'ADP Data'!$C$4:$R$498, 12, FALSE)</f>
        <v>-</v>
      </c>
      <c r="J135" s="11">
        <f>VLOOKUP($G135, SeanRanks!$A$2:$H$303, 5, FALSE)</f>
        <v>0</v>
      </c>
      <c r="K135" s="11" t="str">
        <f>IF(VLOOKUP($G135, SeanRanks!$A$2:$H$303, 6, FALSE)=0, "", VLOOKUP($G135, SeanRanks!$A$2:$H$303, 6, FALSE))</f>
        <v/>
      </c>
      <c r="L135" s="11">
        <f t="shared" si="4"/>
        <v>23</v>
      </c>
      <c r="M135" s="11">
        <f>VLOOKUP($G135, 'ADP Data'!$C$4:$Q$300, 9, FALSE)</f>
        <v>181</v>
      </c>
      <c r="N135" s="11">
        <f t="shared" si="5"/>
        <v>34</v>
      </c>
      <c r="O135" s="11">
        <f>VLOOKUP($G135, 'ADP Data'!$C$4:$Q$300, 3, FALSE)</f>
        <v>112</v>
      </c>
      <c r="P135" s="11">
        <f t="shared" si="6"/>
        <v>69</v>
      </c>
      <c r="Q135" s="11">
        <f>VLOOKUP($G135, 'ADP Data'!$C$4:$Q$300, 4, FALSE)</f>
        <v>109</v>
      </c>
      <c r="R135" s="11">
        <f>VLOOKUP($G135, 'ADP Data'!$C$4:$Q$300, 5, FALSE)</f>
        <v>129</v>
      </c>
      <c r="S135" s="11">
        <f>VLOOKUP($G135, 'ADP Data'!$C$4:$Q$300, 6, FALSE)</f>
        <v>212</v>
      </c>
      <c r="T135" s="11">
        <f>VLOOKUP($G135, 'ADP Data'!$C$4:$Q$300, 7, FALSE)</f>
        <v>166</v>
      </c>
      <c r="U135" s="11">
        <f>VLOOKUP($G135, 'ADP Data'!$C$4:$Q$300, 8, FALSE)</f>
        <v>123</v>
      </c>
      <c r="V135" s="11">
        <f t="shared" si="7"/>
        <v>147</v>
      </c>
      <c r="W135" s="11">
        <f t="shared" si="8"/>
        <v>19</v>
      </c>
      <c r="X135" s="11">
        <f t="shared" si="9"/>
        <v>-19</v>
      </c>
      <c r="Y135" s="11">
        <f>VLOOKUP($G135, SeanRanks!$A$2:$K$303, 10, FALSE)-V135</f>
        <v>22</v>
      </c>
      <c r="Z135" s="25" t="str">
        <f>IF(VLOOKUP($G135, SeanRanks!$A$2:$H$303, 7, FALSE)=0, "", VLOOKUP($G135, SeanRanks!$A$2:$H$303, 7, FALSE))</f>
        <v/>
      </c>
    </row>
    <row r="136" spans="1:26" ht="14.25" customHeight="1" x14ac:dyDescent="0.25">
      <c r="A136" s="11"/>
      <c r="B136" s="11">
        <f t="shared" si="3"/>
        <v>23</v>
      </c>
      <c r="C136" s="11" t="s">
        <v>148</v>
      </c>
      <c r="D136" s="11"/>
      <c r="E136" s="11"/>
      <c r="F136" s="11">
        <f>VLOOKUP(G136, SeanRanks!$A$2:$E$302, 4, FALSE)</f>
        <v>0</v>
      </c>
      <c r="G136" s="11" t="s">
        <v>627</v>
      </c>
      <c r="H136" s="11" t="str">
        <f>VLOOKUP($G136, 'ADP Data'!$C$4:$Q$300, 2, FALSE)</f>
        <v>ATL</v>
      </c>
      <c r="I136" s="11">
        <f>VLOOKUP(G136, 'ADP Data'!$C$4:$R$498, 12, FALSE)</f>
        <v>248</v>
      </c>
      <c r="J136" s="59">
        <f>VLOOKUP($G136, SeanRanks!$A$2:$H$303, 5, FALSE)</f>
        <v>0</v>
      </c>
      <c r="K136" s="11" t="str">
        <f>IF(VLOOKUP($G136, SeanRanks!$A$2:$H$303, 6, FALSE)=0, "", VLOOKUP($G136, SeanRanks!$A$2:$H$303, 6, FALSE))</f>
        <v/>
      </c>
      <c r="L136" s="11">
        <f t="shared" si="4"/>
        <v>16</v>
      </c>
      <c r="M136" s="11" t="str">
        <f>VLOOKUP($G136, 'ADP Data'!$C$4:$Q$300, 9, FALSE)</f>
        <v>-</v>
      </c>
      <c r="N136" s="11" t="e">
        <f t="shared" si="5"/>
        <v>#VALUE!</v>
      </c>
      <c r="O136" s="11" t="str">
        <f>VLOOKUP($G136, 'ADP Data'!$C$4:$Q$300, 3, FALSE)</f>
        <v>-</v>
      </c>
      <c r="P136" s="11" t="e">
        <f t="shared" si="6"/>
        <v>#VALUE!</v>
      </c>
      <c r="Q136" s="11">
        <f>VLOOKUP($G136, 'ADP Data'!$C$4:$Q$300, 4, FALSE)</f>
        <v>231</v>
      </c>
      <c r="R136" s="11" t="str">
        <f>VLOOKUP($G136, 'ADP Data'!$C$4:$Q$300, 5, FALSE)</f>
        <v>-</v>
      </c>
      <c r="S136" s="11">
        <f>VLOOKUP($G136, 'ADP Data'!$C$4:$Q$300, 6, FALSE)</f>
        <v>312</v>
      </c>
      <c r="T136" s="11" t="str">
        <f>VLOOKUP($G136, 'ADP Data'!$C$4:$Q$300, 7, FALSE)</f>
        <v>-</v>
      </c>
      <c r="U136" s="11">
        <f>VLOOKUP($G136, 'ADP Data'!$C$4:$Q$300, 8, FALSE)</f>
        <v>281</v>
      </c>
      <c r="V136" s="11">
        <f t="shared" si="7"/>
        <v>274</v>
      </c>
      <c r="W136" s="11">
        <f t="shared" si="8"/>
        <v>35</v>
      </c>
      <c r="X136" s="11">
        <f t="shared" si="9"/>
        <v>-35</v>
      </c>
      <c r="Y136" s="11" t="e">
        <f>VLOOKUP($G136, SeanRanks!$A$2:$K$303, 10, FALSE)-V136</f>
        <v>#VALUE!</v>
      </c>
      <c r="Z136" s="25" t="str">
        <f>IF(VLOOKUP($G136, SeanRanks!$A$2:$H$303, 7, FALSE)=0, "", VLOOKUP($G136, SeanRanks!$A$2:$H$303, 7, FALSE))</f>
        <v/>
      </c>
    </row>
    <row r="137" spans="1:26" ht="14.25" customHeight="1" x14ac:dyDescent="0.25">
      <c r="A137" s="11"/>
      <c r="B137" s="11">
        <f t="shared" si="3"/>
        <v>5</v>
      </c>
      <c r="C137" s="11" t="s">
        <v>148</v>
      </c>
      <c r="D137" s="11"/>
      <c r="E137" s="11"/>
      <c r="F137" s="11">
        <f>VLOOKUP(G137, SeanRanks!$A$2:$E$302, 4, FALSE)</f>
        <v>0</v>
      </c>
      <c r="G137" s="11" t="s">
        <v>280</v>
      </c>
      <c r="H137" s="11" t="str">
        <f>VLOOKUP($G137, 'ADP Data'!$C$4:$Q$300, 2, FALSE)</f>
        <v>CAR</v>
      </c>
      <c r="I137" s="11">
        <f>VLOOKUP(G137, 'ADP Data'!$C$4:$R$498, 12, FALSE)</f>
        <v>60</v>
      </c>
      <c r="J137" s="39">
        <f>VLOOKUP($G137, SeanRanks!$A$2:$H$303, 5, FALSE)</f>
        <v>0</v>
      </c>
      <c r="K137" s="11" t="str">
        <f>IF(VLOOKUP($G137, SeanRanks!$A$2:$H$303, 6, FALSE)=0, "", VLOOKUP($G137, SeanRanks!$A$2:$H$303, 6, FALSE))</f>
        <v>RB2 - 1 - Clear path to spikes</v>
      </c>
      <c r="L137" s="11">
        <f t="shared" si="4"/>
        <v>6</v>
      </c>
      <c r="M137" s="11">
        <f>VLOOKUP($G137, 'ADP Data'!$C$4:$Q$300, 9, FALSE)</f>
        <v>45</v>
      </c>
      <c r="N137" s="11">
        <f t="shared" si="5"/>
        <v>-3</v>
      </c>
      <c r="O137" s="11">
        <f>VLOOKUP($G137, 'ADP Data'!$C$4:$Q$300, 3, FALSE)</f>
        <v>44</v>
      </c>
      <c r="P137" s="11">
        <f t="shared" si="6"/>
        <v>1</v>
      </c>
      <c r="Q137" s="11">
        <f>VLOOKUP($G137, 'ADP Data'!$C$4:$Q$300, 4, FALSE)</f>
        <v>40</v>
      </c>
      <c r="R137" s="11">
        <f>VLOOKUP($G137, 'ADP Data'!$C$4:$Q$300, 5, FALSE)</f>
        <v>60</v>
      </c>
      <c r="S137" s="11">
        <f>VLOOKUP($G137, 'ADP Data'!$C$4:$Q$300, 6, FALSE)</f>
        <v>47</v>
      </c>
      <c r="T137" s="11">
        <f>VLOOKUP($G137, 'ADP Data'!$C$4:$Q$300, 7, FALSE)</f>
        <v>51</v>
      </c>
      <c r="U137" s="11">
        <f>VLOOKUP($G137, 'ADP Data'!$C$4:$Q$300, 8, FALSE)</f>
        <v>55</v>
      </c>
      <c r="V137" s="11">
        <f t="shared" si="7"/>
        <v>48</v>
      </c>
      <c r="W137" s="11">
        <f t="shared" si="8"/>
        <v>7</v>
      </c>
      <c r="X137" s="11">
        <f t="shared" si="9"/>
        <v>-7</v>
      </c>
      <c r="Y137" s="11">
        <f>VLOOKUP($G137, SeanRanks!$A$2:$K$303, 10, FALSE)-V137</f>
        <v>-8</v>
      </c>
      <c r="Z137" s="25">
        <f>IF(VLOOKUP($G137, SeanRanks!$A$2:$H$303, 7, FALSE)=0, "", VLOOKUP($G137, SeanRanks!$A$2:$H$303, 7, FALSE))</f>
        <v>17</v>
      </c>
    </row>
    <row r="138" spans="1:26" ht="14.25" customHeight="1" x14ac:dyDescent="0.25">
      <c r="A138" s="11"/>
      <c r="B138" s="11">
        <f t="shared" si="3"/>
        <v>18</v>
      </c>
      <c r="C138" s="11" t="s">
        <v>148</v>
      </c>
      <c r="D138" s="11"/>
      <c r="E138" s="11"/>
      <c r="F138" s="11">
        <f>VLOOKUP(G138, SeanRanks!$A$2:$E$302, 4, FALSE)</f>
        <v>0</v>
      </c>
      <c r="G138" s="11" t="s">
        <v>480</v>
      </c>
      <c r="H138" s="11" t="str">
        <f>VLOOKUP($G138, 'ADP Data'!$C$4:$Q$300, 2, FALSE)</f>
        <v>PIT</v>
      </c>
      <c r="I138" s="11">
        <f>VLOOKUP(G138, 'ADP Data'!$C$4:$R$498, 12, FALSE)</f>
        <v>191</v>
      </c>
      <c r="J138" s="11">
        <f>VLOOKUP($G138, SeanRanks!$A$2:$H$303, 5, FALSE)</f>
        <v>0</v>
      </c>
      <c r="K138" s="11" t="str">
        <f>IF(VLOOKUP($G138, SeanRanks!$A$2:$H$303, 6, FALSE)=0, "", VLOOKUP($G138, SeanRanks!$A$2:$H$303, 6, FALSE))</f>
        <v>Don’t Draft - Streamer</v>
      </c>
      <c r="L138" s="11">
        <f t="shared" si="4"/>
        <v>29</v>
      </c>
      <c r="M138" s="11">
        <f>VLOOKUP($G138, 'ADP Data'!$C$4:$Q$300, 9, FALSE)</f>
        <v>229</v>
      </c>
      <c r="N138" s="11">
        <f t="shared" si="5"/>
        <v>13</v>
      </c>
      <c r="O138" s="11" t="str">
        <f>VLOOKUP($G138, 'ADP Data'!$C$4:$Q$300, 3, FALSE)</f>
        <v>-</v>
      </c>
      <c r="P138" s="11" t="e">
        <f t="shared" si="6"/>
        <v>#VALUE!</v>
      </c>
      <c r="Q138" s="11">
        <f>VLOOKUP($G138, 'ADP Data'!$C$4:$Q$300, 4, FALSE)</f>
        <v>192</v>
      </c>
      <c r="R138" s="11">
        <f>VLOOKUP($G138, 'ADP Data'!$C$4:$Q$300, 5, FALSE)</f>
        <v>240</v>
      </c>
      <c r="S138" s="11">
        <f>VLOOKUP($G138, 'ADP Data'!$C$4:$Q$300, 6, FALSE)</f>
        <v>222</v>
      </c>
      <c r="T138" s="11">
        <f>VLOOKUP($G138, 'ADP Data'!$C$4:$Q$300, 7, FALSE)</f>
        <v>222</v>
      </c>
      <c r="U138" s="11">
        <f>VLOOKUP($G138, 'ADP Data'!$C$4:$Q$300, 8, FALSE)</f>
        <v>192</v>
      </c>
      <c r="V138" s="11">
        <f t="shared" si="7"/>
        <v>216</v>
      </c>
      <c r="W138" s="11">
        <f t="shared" si="8"/>
        <v>28</v>
      </c>
      <c r="X138" s="11">
        <f t="shared" si="9"/>
        <v>-28</v>
      </c>
      <c r="Y138" s="11">
        <f>VLOOKUP($G138, SeanRanks!$A$2:$K$303, 10, FALSE)-V138</f>
        <v>-18</v>
      </c>
      <c r="Z138" s="25" t="str">
        <f>IF(VLOOKUP($G138, SeanRanks!$A$2:$H$303, 7, FALSE)=0, "", VLOOKUP($G138, SeanRanks!$A$2:$H$303, 7, FALSE))</f>
        <v/>
      </c>
    </row>
    <row r="139" spans="1:26" ht="14.25" customHeight="1" x14ac:dyDescent="0.25">
      <c r="A139" s="11"/>
      <c r="B139" s="11">
        <f t="shared" si="3"/>
        <v>10</v>
      </c>
      <c r="C139" s="11" t="s">
        <v>148</v>
      </c>
      <c r="D139" s="11"/>
      <c r="E139" s="11"/>
      <c r="F139" s="11">
        <f>VLOOKUP(G139, SeanRanks!$A$2:$E$302, 4, FALSE)</f>
        <v>0</v>
      </c>
      <c r="G139" s="11" t="s">
        <v>276</v>
      </c>
      <c r="H139" s="11" t="str">
        <f>VLOOKUP($G139, 'ADP Data'!$C$4:$Q$300, 2, FALSE)</f>
        <v>DEN</v>
      </c>
      <c r="I139" s="11">
        <f>VLOOKUP(G139, 'ADP Data'!$C$4:$R$498, 12, FALSE)</f>
        <v>95</v>
      </c>
      <c r="J139" s="59">
        <f>VLOOKUP($G139, SeanRanks!$A$2:$H$303, 5, FALSE)</f>
        <v>0</v>
      </c>
      <c r="K139" s="11" t="str">
        <f>IF(VLOOKUP($G139, SeanRanks!$A$2:$H$303, 6, FALSE)=0, "", VLOOKUP($G139, SeanRanks!$A$2:$H$303, 6, FALSE))</f>
        <v>RB3 - 1 - Upside</v>
      </c>
      <c r="L139" s="11">
        <f t="shared" si="4"/>
        <v>14</v>
      </c>
      <c r="M139" s="11">
        <f>VLOOKUP($G139, 'ADP Data'!$C$4:$Q$300, 9, FALSE)</f>
        <v>107</v>
      </c>
      <c r="N139" s="11">
        <f t="shared" si="5"/>
        <v>0</v>
      </c>
      <c r="O139" s="11">
        <f>VLOOKUP($G139, 'ADP Data'!$C$4:$Q$300, 3, FALSE)</f>
        <v>102</v>
      </c>
      <c r="P139" s="11">
        <f t="shared" si="6"/>
        <v>5</v>
      </c>
      <c r="Q139" s="11">
        <f>VLOOKUP($G139, 'ADP Data'!$C$4:$Q$300, 4, FALSE)</f>
        <v>98</v>
      </c>
      <c r="R139" s="11">
        <f>VLOOKUP($G139, 'ADP Data'!$C$4:$Q$300, 5, FALSE)</f>
        <v>119</v>
      </c>
      <c r="S139" s="11">
        <f>VLOOKUP($G139, 'ADP Data'!$C$4:$Q$300, 6, FALSE)</f>
        <v>93</v>
      </c>
      <c r="T139" s="11">
        <f>VLOOKUP($G139, 'ADP Data'!$C$4:$Q$300, 7, FALSE)</f>
        <v>98</v>
      </c>
      <c r="U139" s="11">
        <f>VLOOKUP($G139, 'ADP Data'!$C$4:$Q$300, 8, FALSE)</f>
        <v>136</v>
      </c>
      <c r="V139" s="11">
        <f t="shared" si="7"/>
        <v>107</v>
      </c>
      <c r="W139" s="11">
        <f t="shared" si="8"/>
        <v>14</v>
      </c>
      <c r="X139" s="11">
        <f t="shared" si="9"/>
        <v>-14</v>
      </c>
      <c r="Y139" s="11">
        <f>VLOOKUP($G139, SeanRanks!$A$2:$K$303, 10, FALSE)-V139</f>
        <v>-27</v>
      </c>
      <c r="Z139" s="25">
        <f>IF(VLOOKUP($G139, SeanRanks!$A$2:$H$303, 7, FALSE)=0, "", VLOOKUP($G139, SeanRanks!$A$2:$H$303, 7, FALSE))</f>
        <v>29</v>
      </c>
    </row>
    <row r="140" spans="1:26" ht="14.25" customHeight="1" x14ac:dyDescent="0.25">
      <c r="A140" s="11"/>
      <c r="B140" s="11">
        <f t="shared" si="3"/>
        <v>17</v>
      </c>
      <c r="C140" s="11" t="s">
        <v>148</v>
      </c>
      <c r="D140" s="11"/>
      <c r="E140" s="11"/>
      <c r="F140" s="11">
        <f>VLOOKUP(G140, SeanRanks!$A$2:$E$302, 4, FALSE)</f>
        <v>0</v>
      </c>
      <c r="G140" s="11" t="s">
        <v>911</v>
      </c>
      <c r="H140" s="11" t="str">
        <f>VLOOKUP($G140, 'ADP Data'!$C$4:$Q$300, 2, FALSE)</f>
        <v>BUF</v>
      </c>
      <c r="I140" s="11">
        <f>VLOOKUP(G140, 'ADP Data'!$C$4:$R$498, 12, FALSE)</f>
        <v>127</v>
      </c>
      <c r="J140" s="11">
        <f>VLOOKUP($G140, SeanRanks!$A$2:$H$303, 5, FALSE)</f>
        <v>0</v>
      </c>
      <c r="K140" s="11" t="str">
        <f>IF(VLOOKUP($G140, SeanRanks!$A$2:$H$303, 6, FALSE)=0, "", VLOOKUP($G140, SeanRanks!$A$2:$H$303, 6, FALSE))</f>
        <v>WR6 - dart throw upside</v>
      </c>
      <c r="L140" s="11">
        <f t="shared" si="4"/>
        <v>22</v>
      </c>
      <c r="M140" s="11">
        <f>VLOOKUP($G140, 'ADP Data'!$C$4:$Q$300, 9, FALSE)</f>
        <v>174</v>
      </c>
      <c r="N140" s="11">
        <f t="shared" si="5"/>
        <v>-14</v>
      </c>
      <c r="O140" s="11" t="str">
        <f>VLOOKUP($G140, 'ADP Data'!$C$4:$Q$300, 3, FALSE)</f>
        <v>-</v>
      </c>
      <c r="P140" s="11" t="e">
        <f t="shared" si="6"/>
        <v>#VALUE!</v>
      </c>
      <c r="Q140" s="11" t="str">
        <f>VLOOKUP($G140, 'ADP Data'!$C$4:$Q$300, 4, FALSE)</f>
        <v>-</v>
      </c>
      <c r="R140" s="11">
        <f>VLOOKUP($G140, 'ADP Data'!$C$4:$Q$300, 5, FALSE)</f>
        <v>221</v>
      </c>
      <c r="S140" s="11">
        <f>VLOOKUP($G140, 'ADP Data'!$C$4:$Q$300, 6, FALSE)</f>
        <v>158</v>
      </c>
      <c r="T140" s="11">
        <f>VLOOKUP($G140, 'ADP Data'!$C$4:$Q$300, 7, FALSE)</f>
        <v>155</v>
      </c>
      <c r="U140" s="11">
        <f>VLOOKUP($G140, 'ADP Data'!$C$4:$Q$300, 8, FALSE)</f>
        <v>235</v>
      </c>
      <c r="V140" s="11">
        <f t="shared" si="7"/>
        <v>188</v>
      </c>
      <c r="W140" s="11">
        <f t="shared" si="8"/>
        <v>24</v>
      </c>
      <c r="X140" s="11">
        <f t="shared" si="9"/>
        <v>-24</v>
      </c>
      <c r="Y140" s="11">
        <f>VLOOKUP($G140, SeanRanks!$A$2:$K$303, 10, FALSE)-V140</f>
        <v>-38</v>
      </c>
      <c r="Z140" s="25">
        <f>IF(VLOOKUP($G140, SeanRanks!$A$2:$H$303, 7, FALSE)=0, "", VLOOKUP($G140, SeanRanks!$A$2:$H$303, 7, FALSE))</f>
        <v>61</v>
      </c>
    </row>
    <row r="141" spans="1:26" ht="14.25" customHeight="1" x14ac:dyDescent="0.25">
      <c r="A141" s="11"/>
      <c r="B141" s="11">
        <f t="shared" si="3"/>
        <v>21</v>
      </c>
      <c r="C141" s="11" t="s">
        <v>148</v>
      </c>
      <c r="D141" s="11"/>
      <c r="E141" s="11"/>
      <c r="F141" s="11">
        <f>VLOOKUP(G141, SeanRanks!$A$2:$E$302, 4, FALSE)</f>
        <v>0</v>
      </c>
      <c r="G141" s="11" t="s">
        <v>566</v>
      </c>
      <c r="H141" s="11" t="str">
        <f>VLOOKUP($G141, 'ADP Data'!$C$4:$Q$300, 2, FALSE)</f>
        <v>DAL</v>
      </c>
      <c r="I141" s="11" t="str">
        <f>VLOOKUP(G141, 'ADP Data'!$C$4:$R$498, 12, FALSE)</f>
        <v>-</v>
      </c>
      <c r="J141" s="11">
        <f>VLOOKUP($G141, SeanRanks!$A$2:$H$303, 5, FALSE)</f>
        <v>0</v>
      </c>
      <c r="K141" s="11" t="str">
        <f>IF(VLOOKUP($G141, SeanRanks!$A$2:$H$303, 6, FALSE)=0, "", VLOOKUP($G141, SeanRanks!$A$2:$H$303, 6, FALSE))</f>
        <v/>
      </c>
      <c r="L141" s="11">
        <f t="shared" si="4"/>
        <v>36</v>
      </c>
      <c r="M141" s="11">
        <f>VLOOKUP($G141, 'ADP Data'!$C$4:$Q$300, 9, FALSE)</f>
        <v>285</v>
      </c>
      <c r="N141" s="11">
        <f t="shared" si="5"/>
        <v>45</v>
      </c>
      <c r="O141" s="11">
        <f>VLOOKUP($G141, 'ADP Data'!$C$4:$Q$300, 3, FALSE)</f>
        <v>173</v>
      </c>
      <c r="P141" s="11">
        <f t="shared" si="6"/>
        <v>112</v>
      </c>
      <c r="Q141" s="11">
        <f>VLOOKUP($G141, 'ADP Data'!$C$4:$Q$300, 4, FALSE)</f>
        <v>201</v>
      </c>
      <c r="R141" s="11">
        <f>VLOOKUP($G141, 'ADP Data'!$C$4:$Q$300, 5, FALSE)</f>
        <v>344</v>
      </c>
      <c r="S141" s="11">
        <f>VLOOKUP($G141, 'ADP Data'!$C$4:$Q$300, 6, FALSE)</f>
        <v>278</v>
      </c>
      <c r="T141" s="11">
        <f>VLOOKUP($G141, 'ADP Data'!$C$4:$Q$300, 7, FALSE)</f>
        <v>239</v>
      </c>
      <c r="U141" s="11">
        <f>VLOOKUP($G141, 'ADP Data'!$C$4:$Q$300, 8, FALSE)</f>
        <v>165</v>
      </c>
      <c r="V141" s="11">
        <f t="shared" si="7"/>
        <v>240</v>
      </c>
      <c r="W141" s="11">
        <f t="shared" si="8"/>
        <v>31</v>
      </c>
      <c r="X141" s="11">
        <f t="shared" si="9"/>
        <v>-31</v>
      </c>
      <c r="Y141" s="11">
        <f>VLOOKUP($G141, SeanRanks!$A$2:$K$303, 10, FALSE)-V141</f>
        <v>0</v>
      </c>
      <c r="Z141" s="25" t="str">
        <f>IF(VLOOKUP($G141, SeanRanks!$A$2:$H$303, 7, FALSE)=0, "", VLOOKUP($G141, SeanRanks!$A$2:$H$303, 7, FALSE))</f>
        <v/>
      </c>
    </row>
    <row r="142" spans="1:26" ht="14.25" customHeight="1" x14ac:dyDescent="0.25">
      <c r="A142" s="11"/>
      <c r="B142" s="11">
        <f t="shared" si="3"/>
        <v>16</v>
      </c>
      <c r="C142" s="11" t="s">
        <v>148</v>
      </c>
      <c r="D142" s="11"/>
      <c r="E142" s="11"/>
      <c r="F142" s="11">
        <f>VLOOKUP(G142, SeanRanks!$A$2:$E$302, 4, FALSE)</f>
        <v>0</v>
      </c>
      <c r="G142" s="11" t="s">
        <v>306</v>
      </c>
      <c r="H142" s="11" t="str">
        <f>VLOOKUP($G142, 'ADP Data'!$C$4:$Q$300, 2, FALSE)</f>
        <v>LAR</v>
      </c>
      <c r="I142" s="11">
        <f>VLOOKUP(G142, 'ADP Data'!$C$4:$R$498, 12, FALSE)</f>
        <v>176</v>
      </c>
      <c r="J142" s="59">
        <f>VLOOKUP($G142, SeanRanks!$A$2:$H$303, 5, FALSE)</f>
        <v>0</v>
      </c>
      <c r="K142" s="11" t="str">
        <f>IF(VLOOKUP($G142, SeanRanks!$A$2:$H$303, 6, FALSE)=0, "", VLOOKUP($G142, SeanRanks!$A$2:$H$303, 6, FALSE))</f>
        <v>Don’t Draft - Streamer</v>
      </c>
      <c r="L142" s="11">
        <f t="shared" si="4"/>
        <v>26</v>
      </c>
      <c r="M142" s="11">
        <f>VLOOKUP($G142, 'ADP Data'!$C$4:$Q$300, 9, FALSE)</f>
        <v>207</v>
      </c>
      <c r="N142" s="11">
        <f t="shared" si="5"/>
        <v>18</v>
      </c>
      <c r="O142" s="11">
        <f>VLOOKUP($G142, 'ADP Data'!$C$4:$Q$300, 3, FALSE)</f>
        <v>168</v>
      </c>
      <c r="P142" s="11">
        <f t="shared" si="6"/>
        <v>39</v>
      </c>
      <c r="Q142" s="11">
        <f>VLOOKUP($G142, 'ADP Data'!$C$4:$Q$300, 4, FALSE)</f>
        <v>160</v>
      </c>
      <c r="R142" s="11">
        <f>VLOOKUP($G142, 'ADP Data'!$C$4:$Q$300, 5, FALSE)</f>
        <v>232</v>
      </c>
      <c r="S142" s="11">
        <f>VLOOKUP($G142, 'ADP Data'!$C$4:$Q$300, 6, FALSE)</f>
        <v>197</v>
      </c>
      <c r="T142" s="11">
        <f>VLOOKUP($G142, 'ADP Data'!$C$4:$Q$300, 7, FALSE)</f>
        <v>195</v>
      </c>
      <c r="U142" s="11">
        <f>VLOOKUP($G142, 'ADP Data'!$C$4:$Q$300, 8, FALSE)</f>
        <v>167</v>
      </c>
      <c r="V142" s="11">
        <f t="shared" si="7"/>
        <v>189</v>
      </c>
      <c r="W142" s="11">
        <f t="shared" si="8"/>
        <v>24</v>
      </c>
      <c r="X142" s="11">
        <f t="shared" si="9"/>
        <v>-24</v>
      </c>
      <c r="Y142" s="11">
        <f>VLOOKUP($G142, SeanRanks!$A$2:$K$303, 10, FALSE)-V142</f>
        <v>-38</v>
      </c>
      <c r="Z142" s="25" t="str">
        <f>IF(VLOOKUP($G142, SeanRanks!$A$2:$H$303, 7, FALSE)=0, "", VLOOKUP($G142, SeanRanks!$A$2:$H$303, 7, FALSE))</f>
        <v/>
      </c>
    </row>
    <row r="143" spans="1:26" ht="14.25" customHeight="1" x14ac:dyDescent="0.25">
      <c r="A143" s="11"/>
      <c r="B143" s="11">
        <f t="shared" si="3"/>
        <v>16</v>
      </c>
      <c r="C143" s="11" t="s">
        <v>148</v>
      </c>
      <c r="D143" s="11">
        <v>9</v>
      </c>
      <c r="E143" s="11"/>
      <c r="F143" s="11">
        <f>VLOOKUP(G143, SeanRanks!$A$2:$E$302, 4, FALSE)</f>
        <v>0</v>
      </c>
      <c r="G143" s="11" t="s">
        <v>258</v>
      </c>
      <c r="H143" s="11" t="str">
        <f>VLOOKUP($G143, 'ADP Data'!$C$4:$Q$300, 2, FALSE)</f>
        <v>CAR</v>
      </c>
      <c r="I143" s="11">
        <f>VLOOKUP(G143, 'ADP Data'!$C$4:$R$498, 12, FALSE)</f>
        <v>178</v>
      </c>
      <c r="J143" s="11">
        <f>VLOOKUP($G143, SeanRanks!$A$2:$H$303, 5, FALSE)</f>
        <v>0</v>
      </c>
      <c r="K143" s="11" t="str">
        <f>IF(VLOOKUP($G143, SeanRanks!$A$2:$H$303, 6, FALSE)=0, "", VLOOKUP($G143, SeanRanks!$A$2:$H$303, 6, FALSE))</f>
        <v>RB5 - 1 - upside</v>
      </c>
      <c r="L143" s="11">
        <f t="shared" si="4"/>
        <v>20</v>
      </c>
      <c r="M143" s="11">
        <f>VLOOKUP($G143, 'ADP Data'!$C$4:$Q$300, 9, FALSE)</f>
        <v>158</v>
      </c>
      <c r="N143" s="11">
        <f t="shared" si="5"/>
        <v>-28</v>
      </c>
      <c r="O143" s="11">
        <f>VLOOKUP($G143, 'ADP Data'!$C$4:$Q$300, 3, FALSE)</f>
        <v>210</v>
      </c>
      <c r="P143" s="11">
        <f t="shared" si="6"/>
        <v>-52</v>
      </c>
      <c r="Q143" s="11" t="str">
        <f>VLOOKUP($G143, 'ADP Data'!$C$4:$Q$300, 4, FALSE)</f>
        <v>-</v>
      </c>
      <c r="R143" s="11">
        <f>VLOOKUP($G143, 'ADP Data'!$C$4:$Q$300, 5, FALSE)</f>
        <v>201</v>
      </c>
      <c r="S143" s="11">
        <f>VLOOKUP($G143, 'ADP Data'!$C$4:$Q$300, 6, FALSE)</f>
        <v>165</v>
      </c>
      <c r="T143" s="11">
        <f>VLOOKUP($G143, 'ADP Data'!$C$4:$Q$300, 7, FALSE)</f>
        <v>164</v>
      </c>
      <c r="U143" s="11">
        <f>VLOOKUP($G143, 'ADP Data'!$C$4:$Q$300, 8, FALSE)</f>
        <v>220</v>
      </c>
      <c r="V143" s="11">
        <f t="shared" si="7"/>
        <v>186</v>
      </c>
      <c r="W143" s="11">
        <f t="shared" si="8"/>
        <v>24</v>
      </c>
      <c r="X143" s="11">
        <f t="shared" si="9"/>
        <v>-15</v>
      </c>
      <c r="Y143" s="11">
        <f>VLOOKUP($G143, SeanRanks!$A$2:$K$303, 10, FALSE)-V143</f>
        <v>-29</v>
      </c>
      <c r="Z143" s="25">
        <f>IF(VLOOKUP($G143, SeanRanks!$A$2:$H$303, 7, FALSE)=0, "", VLOOKUP($G143, SeanRanks!$A$2:$H$303, 7, FALSE))</f>
        <v>55</v>
      </c>
    </row>
    <row r="144" spans="1:26" ht="14.25" customHeight="1" x14ac:dyDescent="0.25">
      <c r="A144" s="11"/>
      <c r="B144" s="11">
        <f t="shared" si="3"/>
        <v>21</v>
      </c>
      <c r="C144" s="11" t="s">
        <v>148</v>
      </c>
      <c r="D144" s="11"/>
      <c r="E144" s="11"/>
      <c r="F144" s="11">
        <f>VLOOKUP(G144, SeanRanks!$A$2:$E$302, 4, FALSE)</f>
        <v>0</v>
      </c>
      <c r="G144" s="11" t="s">
        <v>914</v>
      </c>
      <c r="H144" s="11" t="str">
        <f>VLOOKUP($G144, 'ADP Data'!$C$4:$Q$300, 2, FALSE)</f>
        <v>NYJ</v>
      </c>
      <c r="I144" s="11" t="str">
        <f>VLOOKUP(G144, 'ADP Data'!$C$4:$R$498, 12, FALSE)</f>
        <v>-</v>
      </c>
      <c r="J144" s="11">
        <f>VLOOKUP($G144, SeanRanks!$A$2:$H$303, 5, FALSE)</f>
        <v>0</v>
      </c>
      <c r="K144" s="11" t="str">
        <f>IF(VLOOKUP($G144, SeanRanks!$A$2:$H$303, 6, FALSE)=0, "", VLOOKUP($G144, SeanRanks!$A$2:$H$303, 6, FALSE))</f>
        <v/>
      </c>
      <c r="L144" s="11">
        <f t="shared" si="4"/>
        <v>30</v>
      </c>
      <c r="M144" s="11">
        <f>VLOOKUP($G144, 'ADP Data'!$C$4:$Q$300, 9, FALSE)</f>
        <v>236</v>
      </c>
      <c r="N144" s="11">
        <f t="shared" si="5"/>
        <v>-4</v>
      </c>
      <c r="O144" s="11">
        <f>VLOOKUP($G144, 'ADP Data'!$C$4:$Q$300, 3, FALSE)</f>
        <v>192</v>
      </c>
      <c r="P144" s="11">
        <f t="shared" si="6"/>
        <v>44</v>
      </c>
      <c r="Q144" s="11">
        <f>VLOOKUP($G144, 'ADP Data'!$C$4:$Q$300, 4, FALSE)</f>
        <v>206</v>
      </c>
      <c r="R144" s="11">
        <f>VLOOKUP($G144, 'ADP Data'!$C$4:$Q$300, 5, FALSE)</f>
        <v>329</v>
      </c>
      <c r="S144" s="11">
        <f>VLOOKUP($G144, 'ADP Data'!$C$4:$Q$300, 6, FALSE)</f>
        <v>272</v>
      </c>
      <c r="T144" s="11">
        <f>VLOOKUP($G144, 'ADP Data'!$C$4:$Q$300, 7, FALSE)</f>
        <v>234</v>
      </c>
      <c r="U144" s="11">
        <f>VLOOKUP($G144, 'ADP Data'!$C$4:$Q$300, 8, FALSE)</f>
        <v>213</v>
      </c>
      <c r="V144" s="11">
        <f t="shared" si="7"/>
        <v>240</v>
      </c>
      <c r="W144" s="11">
        <f t="shared" si="8"/>
        <v>31</v>
      </c>
      <c r="X144" s="11">
        <f t="shared" si="9"/>
        <v>-31</v>
      </c>
      <c r="Y144" s="11">
        <f>VLOOKUP($G144, SeanRanks!$A$2:$K$303, 10, FALSE)-V144</f>
        <v>-46</v>
      </c>
      <c r="Z144" s="25" t="str">
        <f>IF(VLOOKUP($G144, SeanRanks!$A$2:$H$303, 7, FALSE)=0, "", VLOOKUP($G144, SeanRanks!$A$2:$H$303, 7, FALSE))</f>
        <v/>
      </c>
    </row>
    <row r="145" spans="1:26" ht="14.25" customHeight="1" x14ac:dyDescent="0.25">
      <c r="A145" s="11"/>
      <c r="B145" s="11" t="e">
        <f t="shared" si="3"/>
        <v>#N/A</v>
      </c>
      <c r="C145" s="11" t="s">
        <v>148</v>
      </c>
      <c r="D145" s="11"/>
      <c r="E145" s="11"/>
      <c r="F145" s="11" t="e">
        <f>VLOOKUP(G145, SeanRanks!$A$2:$E$302, 4, FALSE)</f>
        <v>#N/A</v>
      </c>
      <c r="G145" s="11" t="s">
        <v>915</v>
      </c>
      <c r="H145" s="11" t="e">
        <f>VLOOKUP($G145, 'ADP Data'!$C$4:$Q$300, 2, FALSE)</f>
        <v>#N/A</v>
      </c>
      <c r="I145" s="11" t="e">
        <f>VLOOKUP(G145, 'ADP Data'!$C$4:$R$498, 12, FALSE)</f>
        <v>#N/A</v>
      </c>
      <c r="J145" s="11" t="e">
        <f>VLOOKUP($G145, SeanRanks!$A$2:$H$303, 5, FALSE)</f>
        <v>#N/A</v>
      </c>
      <c r="K145" s="11" t="e">
        <f>IF(VLOOKUP($G145, SeanRanks!$A$2:$H$303, 6, FALSE)=0, "", VLOOKUP($G145, SeanRanks!$A$2:$H$303, 6, FALSE))</f>
        <v>#N/A</v>
      </c>
      <c r="L145" s="11">
        <f t="shared" si="4"/>
        <v>16</v>
      </c>
      <c r="M145" s="11" t="e">
        <f>VLOOKUP($G145, 'ADP Data'!$C$4:$Q$300, 9, FALSE)</f>
        <v>#N/A</v>
      </c>
      <c r="N145" s="11" t="e">
        <f t="shared" si="5"/>
        <v>#N/A</v>
      </c>
      <c r="O145" s="11" t="e">
        <f>VLOOKUP($G145, 'ADP Data'!$C$4:$Q$300, 3, FALSE)</f>
        <v>#N/A</v>
      </c>
      <c r="P145" s="11" t="e">
        <f t="shared" si="6"/>
        <v>#N/A</v>
      </c>
      <c r="Q145" s="11" t="e">
        <f>VLOOKUP($G145, 'ADP Data'!$C$4:$Q$300, 4, FALSE)</f>
        <v>#N/A</v>
      </c>
      <c r="R145" s="11" t="e">
        <f>VLOOKUP($G145, 'ADP Data'!$C$4:$Q$300, 5, FALSE)</f>
        <v>#N/A</v>
      </c>
      <c r="S145" s="11" t="e">
        <f>VLOOKUP($G145, 'ADP Data'!$C$4:$Q$300, 6, FALSE)</f>
        <v>#N/A</v>
      </c>
      <c r="T145" s="11" t="e">
        <f>VLOOKUP($G145, 'ADP Data'!$C$4:$Q$300, 7, FALSE)</f>
        <v>#N/A</v>
      </c>
      <c r="U145" s="11" t="e">
        <f>VLOOKUP($G145, 'ADP Data'!$C$4:$Q$300, 8, FALSE)</f>
        <v>#N/A</v>
      </c>
      <c r="V145" s="11" t="e">
        <f t="shared" si="7"/>
        <v>#N/A</v>
      </c>
      <c r="W145" s="11">
        <f t="shared" si="8"/>
        <v>16</v>
      </c>
      <c r="X145" s="11">
        <f t="shared" si="9"/>
        <v>-16</v>
      </c>
      <c r="Y145" s="11" t="e">
        <f>VLOOKUP($G145, SeanRanks!$A$2:$K$303, 10, FALSE)-V145</f>
        <v>#N/A</v>
      </c>
      <c r="Z145" s="25" t="e">
        <f>IF(VLOOKUP($G145, SeanRanks!$A$2:$H$303, 7, FALSE)=0, "", VLOOKUP($G145, SeanRanks!$A$2:$H$303, 7, FALSE))</f>
        <v>#N/A</v>
      </c>
    </row>
    <row r="146" spans="1:26" ht="14.25" customHeight="1" x14ac:dyDescent="0.25">
      <c r="A146" s="11"/>
      <c r="B146" s="11">
        <f t="shared" si="3"/>
        <v>10</v>
      </c>
      <c r="C146" s="11" t="s">
        <v>148</v>
      </c>
      <c r="D146" s="11"/>
      <c r="E146" s="11"/>
      <c r="F146" s="11">
        <f>VLOOKUP(G146, SeanRanks!$A$2:$E$302, 4, FALSE)</f>
        <v>0</v>
      </c>
      <c r="G146" s="11" t="s">
        <v>386</v>
      </c>
      <c r="H146" s="11" t="str">
        <f>VLOOKUP($G146, 'ADP Data'!$C$4:$Q$300, 2, FALSE)</f>
        <v>SEA</v>
      </c>
      <c r="I146" s="11">
        <f>VLOOKUP(G146, 'ADP Data'!$C$4:$R$498, 12, FALSE)</f>
        <v>90</v>
      </c>
      <c r="J146" s="59">
        <f>VLOOKUP($G146, SeanRanks!$A$2:$H$303, 5, FALSE)</f>
        <v>0</v>
      </c>
      <c r="K146" s="11" t="str">
        <f>IF(VLOOKUP($G146, SeanRanks!$A$2:$H$303, 6, FALSE)=0, "", VLOOKUP($G146, SeanRanks!$A$2:$H$303, 6, FALSE))</f>
        <v>RB3 - 1 - Upside</v>
      </c>
      <c r="L146" s="11">
        <f t="shared" si="4"/>
        <v>14</v>
      </c>
      <c r="M146" s="11">
        <f>VLOOKUP($G146, 'ADP Data'!$C$4:$Q$300, 9, FALSE)</f>
        <v>104</v>
      </c>
      <c r="N146" s="11">
        <f t="shared" si="5"/>
        <v>-6</v>
      </c>
      <c r="O146" s="11">
        <f>VLOOKUP($G146, 'ADP Data'!$C$4:$Q$300, 3, FALSE)</f>
        <v>92</v>
      </c>
      <c r="P146" s="11">
        <f t="shared" si="6"/>
        <v>12</v>
      </c>
      <c r="Q146" s="11">
        <f>VLOOKUP($G146, 'ADP Data'!$C$4:$Q$300, 4, FALSE)</f>
        <v>129</v>
      </c>
      <c r="R146" s="11">
        <f>VLOOKUP($G146, 'ADP Data'!$C$4:$Q$300, 5, FALSE)</f>
        <v>114</v>
      </c>
      <c r="S146" s="11">
        <f>VLOOKUP($G146, 'ADP Data'!$C$4:$Q$300, 6, FALSE)</f>
        <v>86</v>
      </c>
      <c r="T146" s="11">
        <f>VLOOKUP($G146, 'ADP Data'!$C$4:$Q$300, 7, FALSE)</f>
        <v>92</v>
      </c>
      <c r="U146" s="11">
        <f>VLOOKUP($G146, 'ADP Data'!$C$4:$Q$300, 8, FALSE)</f>
        <v>153</v>
      </c>
      <c r="V146" s="11">
        <f t="shared" si="7"/>
        <v>110</v>
      </c>
      <c r="W146" s="11">
        <f t="shared" si="8"/>
        <v>14</v>
      </c>
      <c r="X146" s="11">
        <f t="shared" si="9"/>
        <v>-14</v>
      </c>
      <c r="Y146" s="11">
        <f>VLOOKUP($G146, SeanRanks!$A$2:$K$303, 10, FALSE)-V146</f>
        <v>-32</v>
      </c>
      <c r="Z146" s="25">
        <f>IF(VLOOKUP($G146, SeanRanks!$A$2:$H$303, 7, FALSE)=0, "", VLOOKUP($G146, SeanRanks!$A$2:$H$303, 7, FALSE))</f>
        <v>31</v>
      </c>
    </row>
    <row r="147" spans="1:26" ht="14.25" customHeight="1" x14ac:dyDescent="0.25">
      <c r="A147" s="11"/>
      <c r="B147" s="11">
        <f t="shared" si="3"/>
        <v>20</v>
      </c>
      <c r="C147" s="11" t="s">
        <v>148</v>
      </c>
      <c r="D147" s="11"/>
      <c r="E147" s="11"/>
      <c r="F147" s="11">
        <f>VLOOKUP(G147, SeanRanks!$A$2:$E$302, 4, FALSE)</f>
        <v>0</v>
      </c>
      <c r="G147" s="11" t="s">
        <v>644</v>
      </c>
      <c r="H147" s="11" t="str">
        <f>VLOOKUP($G147, 'ADP Data'!$C$4:$Q$300, 2, FALSE)</f>
        <v>CLE</v>
      </c>
      <c r="I147" s="11" t="str">
        <f>VLOOKUP(G147, 'ADP Data'!$C$4:$R$498, 12, FALSE)</f>
        <v>-</v>
      </c>
      <c r="J147" s="11">
        <f>VLOOKUP($G147, SeanRanks!$A$2:$H$303, 5, FALSE)</f>
        <v>0</v>
      </c>
      <c r="K147" s="11" t="str">
        <f>IF(VLOOKUP($G147, SeanRanks!$A$2:$H$303, 6, FALSE)=0, "", VLOOKUP($G147, SeanRanks!$A$2:$H$303, 6, FALSE))</f>
        <v/>
      </c>
      <c r="L147" s="11">
        <f t="shared" si="4"/>
        <v>16</v>
      </c>
      <c r="M147" s="11" t="str">
        <f>VLOOKUP($G147, 'ADP Data'!$C$4:$Q$300, 9, FALSE)</f>
        <v>-</v>
      </c>
      <c r="N147" s="11" t="e">
        <f t="shared" si="5"/>
        <v>#VALUE!</v>
      </c>
      <c r="O147" s="11" t="str">
        <f>VLOOKUP($G147, 'ADP Data'!$C$4:$Q$300, 3, FALSE)</f>
        <v>-</v>
      </c>
      <c r="P147" s="11" t="e">
        <f t="shared" si="6"/>
        <v>#VALUE!</v>
      </c>
      <c r="Q147" s="11">
        <f>VLOOKUP($G147, 'ADP Data'!$C$4:$Q$300, 4, FALSE)</f>
        <v>215</v>
      </c>
      <c r="R147" s="11" t="str">
        <f>VLOOKUP($G147, 'ADP Data'!$C$4:$Q$300, 5, FALSE)</f>
        <v>-</v>
      </c>
      <c r="S147" s="11">
        <f>VLOOKUP($G147, 'ADP Data'!$C$4:$Q$300, 6, FALSE)</f>
        <v>318</v>
      </c>
      <c r="T147" s="11">
        <f>VLOOKUP($G147, 'ADP Data'!$C$4:$Q$300, 7, FALSE)</f>
        <v>261</v>
      </c>
      <c r="U147" s="11">
        <f>VLOOKUP($G147, 'ADP Data'!$C$4:$Q$300, 8, FALSE)</f>
        <v>125</v>
      </c>
      <c r="V147" s="11">
        <f t="shared" si="7"/>
        <v>229</v>
      </c>
      <c r="W147" s="11">
        <f t="shared" si="8"/>
        <v>29</v>
      </c>
      <c r="X147" s="11">
        <f t="shared" si="9"/>
        <v>-29</v>
      </c>
      <c r="Y147" s="11">
        <f>VLOOKUP($G147, SeanRanks!$A$2:$K$303, 10, FALSE)-V147</f>
        <v>-12</v>
      </c>
      <c r="Z147" s="25" t="str">
        <f>IF(VLOOKUP($G147, SeanRanks!$A$2:$H$303, 7, FALSE)=0, "", VLOOKUP($G147, SeanRanks!$A$2:$H$303, 7, FALSE))</f>
        <v/>
      </c>
    </row>
    <row r="148" spans="1:26" ht="14.25" customHeight="1" x14ac:dyDescent="0.25">
      <c r="A148" s="11"/>
      <c r="B148" s="11">
        <f t="shared" si="3"/>
        <v>22</v>
      </c>
      <c r="C148" s="11" t="s">
        <v>148</v>
      </c>
      <c r="D148" s="11"/>
      <c r="E148" s="11"/>
      <c r="F148" s="11">
        <f>VLOOKUP(G148, SeanRanks!$A$2:$E$302, 4, FALSE)</f>
        <v>0</v>
      </c>
      <c r="G148" s="11" t="s">
        <v>811</v>
      </c>
      <c r="H148" s="11" t="str">
        <f>VLOOKUP($G148, 'ADP Data'!$C$4:$Q$300, 2, FALSE)</f>
        <v>CHI</v>
      </c>
      <c r="I148" s="11">
        <f>VLOOKUP(G148, 'ADP Data'!$C$4:$R$498, 12, FALSE)</f>
        <v>258</v>
      </c>
      <c r="J148" s="61">
        <f>VLOOKUP($G148, SeanRanks!$A$2:$H$303, 5, FALSE)</f>
        <v>0</v>
      </c>
      <c r="K148" s="11" t="str">
        <f>IF(VLOOKUP($G148, SeanRanks!$A$2:$H$303, 6, FALSE)=0, "", VLOOKUP($G148, SeanRanks!$A$2:$H$303, 6, FALSE))</f>
        <v/>
      </c>
      <c r="L148" s="11">
        <f t="shared" si="4"/>
        <v>34</v>
      </c>
      <c r="M148" s="11">
        <f>VLOOKUP($G148, 'ADP Data'!$C$4:$Q$300, 9, FALSE)</f>
        <v>271</v>
      </c>
      <c r="N148" s="11">
        <f t="shared" si="5"/>
        <v>15</v>
      </c>
      <c r="O148" s="11" t="str">
        <f>VLOOKUP($G148, 'ADP Data'!$C$4:$Q$300, 3, FALSE)</f>
        <v>-</v>
      </c>
      <c r="P148" s="11" t="e">
        <f t="shared" si="6"/>
        <v>#VALUE!</v>
      </c>
      <c r="Q148" s="11">
        <f>VLOOKUP($G148, 'ADP Data'!$C$4:$Q$300, 4, FALSE)</f>
        <v>225</v>
      </c>
      <c r="R148" s="11">
        <f>VLOOKUP($G148, 'ADP Data'!$C$4:$Q$300, 5, FALSE)</f>
        <v>290</v>
      </c>
      <c r="S148" s="11">
        <f>VLOOKUP($G148, 'ADP Data'!$C$4:$Q$300, 6, FALSE)</f>
        <v>259</v>
      </c>
      <c r="T148" s="11">
        <f>VLOOKUP($G148, 'ADP Data'!$C$4:$Q$300, 7, FALSE)</f>
        <v>266</v>
      </c>
      <c r="U148" s="11">
        <f>VLOOKUP($G148, 'ADP Data'!$C$4:$Q$300, 8, FALSE)</f>
        <v>229</v>
      </c>
      <c r="V148" s="11">
        <f t="shared" si="7"/>
        <v>256</v>
      </c>
      <c r="W148" s="11">
        <f t="shared" si="8"/>
        <v>33</v>
      </c>
      <c r="X148" s="11">
        <f t="shared" si="9"/>
        <v>-33</v>
      </c>
      <c r="Y148" s="11" t="e">
        <f>VLOOKUP($G148, SeanRanks!$A$2:$K$303, 10, FALSE)-V148</f>
        <v>#VALUE!</v>
      </c>
      <c r="Z148" s="25" t="str">
        <f>IF(VLOOKUP($G148, SeanRanks!$A$2:$H$303, 7, FALSE)=0, "", VLOOKUP($G148, SeanRanks!$A$2:$H$303, 7, FALSE))</f>
        <v/>
      </c>
    </row>
    <row r="149" spans="1:26" ht="14.25" customHeight="1" x14ac:dyDescent="0.25">
      <c r="A149" s="11"/>
      <c r="B149" s="11">
        <f t="shared" si="3"/>
        <v>7</v>
      </c>
      <c r="C149" s="11" t="s">
        <v>148</v>
      </c>
      <c r="D149" s="11"/>
      <c r="E149" s="11"/>
      <c r="F149" s="11">
        <f>VLOOKUP(G149, SeanRanks!$A$2:$E$302, 4, FALSE)</f>
        <v>0</v>
      </c>
      <c r="G149" s="11" t="s">
        <v>429</v>
      </c>
      <c r="H149" s="11" t="str">
        <f>VLOOKUP($G149, 'ADP Data'!$C$4:$Q$300, 2, FALSE)</f>
        <v>CLE</v>
      </c>
      <c r="I149" s="11">
        <f>VLOOKUP(G149, 'ADP Data'!$C$4:$R$498, 12, FALSE)</f>
        <v>72</v>
      </c>
      <c r="J149" s="11">
        <f>VLOOKUP($G149, SeanRanks!$A$2:$H$303, 5, FALSE)</f>
        <v>0</v>
      </c>
      <c r="K149" s="11" t="str">
        <f>IF(VLOOKUP($G149, SeanRanks!$A$2:$H$303, 6, FALSE)=0, "", VLOOKUP($G149, SeanRanks!$A$2:$H$303, 6, FALSE))</f>
        <v>WR3 - 3 - lower ceiling</v>
      </c>
      <c r="L149" s="11">
        <f t="shared" si="4"/>
        <v>10</v>
      </c>
      <c r="M149" s="11">
        <f>VLOOKUP($G149, 'ADP Data'!$C$4:$Q$300, 9, FALSE)</f>
        <v>75</v>
      </c>
      <c r="N149" s="11">
        <f t="shared" si="5"/>
        <v>0</v>
      </c>
      <c r="O149" s="11">
        <f>VLOOKUP($G149, 'ADP Data'!$C$4:$Q$300, 3, FALSE)</f>
        <v>69</v>
      </c>
      <c r="P149" s="11">
        <f t="shared" si="6"/>
        <v>6</v>
      </c>
      <c r="Q149" s="11">
        <f>VLOOKUP($G149, 'ADP Data'!$C$4:$Q$300, 4, FALSE)</f>
        <v>68</v>
      </c>
      <c r="R149" s="11">
        <f>VLOOKUP($G149, 'ADP Data'!$C$4:$Q$300, 5, FALSE)</f>
        <v>81</v>
      </c>
      <c r="S149" s="11">
        <f>VLOOKUP($G149, 'ADP Data'!$C$4:$Q$300, 6, FALSE)</f>
        <v>74</v>
      </c>
      <c r="T149" s="11">
        <f>VLOOKUP($G149, 'ADP Data'!$C$4:$Q$300, 7, FALSE)</f>
        <v>62</v>
      </c>
      <c r="U149" s="11">
        <f>VLOOKUP($G149, 'ADP Data'!$C$4:$Q$300, 8, FALSE)</f>
        <v>98</v>
      </c>
      <c r="V149" s="11">
        <f t="shared" si="7"/>
        <v>75</v>
      </c>
      <c r="W149" s="11">
        <f t="shared" si="8"/>
        <v>10</v>
      </c>
      <c r="X149" s="11">
        <f t="shared" si="9"/>
        <v>-10</v>
      </c>
      <c r="Y149" s="11">
        <f>VLOOKUP($G149, SeanRanks!$A$2:$K$303, 10, FALSE)-V149</f>
        <v>6</v>
      </c>
      <c r="Z149" s="25">
        <f>IF(VLOOKUP($G149, SeanRanks!$A$2:$H$303, 7, FALSE)=0, "", VLOOKUP($G149, SeanRanks!$A$2:$H$303, 7, FALSE))</f>
        <v>37</v>
      </c>
    </row>
    <row r="150" spans="1:26" ht="14.25" customHeight="1" x14ac:dyDescent="0.25">
      <c r="A150" s="11"/>
      <c r="B150" s="11" t="e">
        <f t="shared" si="3"/>
        <v>#N/A</v>
      </c>
      <c r="C150" s="11" t="s">
        <v>148</v>
      </c>
      <c r="D150" s="11"/>
      <c r="E150" s="11"/>
      <c r="F150" s="11" t="e">
        <f>VLOOKUP(G150, SeanRanks!$A$2:$E$302, 4, FALSE)</f>
        <v>#N/A</v>
      </c>
      <c r="G150" s="11" t="s">
        <v>916</v>
      </c>
      <c r="H150" s="11" t="e">
        <f>VLOOKUP($G150, 'ADP Data'!$C$4:$Q$300, 2, FALSE)</f>
        <v>#N/A</v>
      </c>
      <c r="I150" s="11" t="e">
        <f>VLOOKUP(G150, 'ADP Data'!$C$4:$R$498, 12, FALSE)</f>
        <v>#N/A</v>
      </c>
      <c r="J150" s="45" t="e">
        <f>VLOOKUP($G150, SeanRanks!$A$2:$H$303, 5, FALSE)</f>
        <v>#N/A</v>
      </c>
      <c r="K150" s="11" t="e">
        <f>IF(VLOOKUP($G150, SeanRanks!$A$2:$H$303, 6, FALSE)=0, "", VLOOKUP($G150, SeanRanks!$A$2:$H$303, 6, FALSE))</f>
        <v>#N/A</v>
      </c>
      <c r="L150" s="11">
        <f t="shared" si="4"/>
        <v>16</v>
      </c>
      <c r="M150" s="11" t="e">
        <f>VLOOKUP($G150, 'ADP Data'!$C$4:$Q$300, 9, FALSE)</f>
        <v>#N/A</v>
      </c>
      <c r="N150" s="11" t="e">
        <f t="shared" si="5"/>
        <v>#N/A</v>
      </c>
      <c r="O150" s="11" t="e">
        <f>VLOOKUP($G150, 'ADP Data'!$C$4:$Q$300, 3, FALSE)</f>
        <v>#N/A</v>
      </c>
      <c r="P150" s="11" t="e">
        <f t="shared" si="6"/>
        <v>#N/A</v>
      </c>
      <c r="Q150" s="11" t="e">
        <f>VLOOKUP($G150, 'ADP Data'!$C$4:$Q$300, 4, FALSE)</f>
        <v>#N/A</v>
      </c>
      <c r="R150" s="11" t="e">
        <f>VLOOKUP($G150, 'ADP Data'!$C$4:$Q$300, 5, FALSE)</f>
        <v>#N/A</v>
      </c>
      <c r="S150" s="11" t="e">
        <f>VLOOKUP($G150, 'ADP Data'!$C$4:$Q$300, 6, FALSE)</f>
        <v>#N/A</v>
      </c>
      <c r="T150" s="11" t="e">
        <f>VLOOKUP($G150, 'ADP Data'!$C$4:$Q$300, 7, FALSE)</f>
        <v>#N/A</v>
      </c>
      <c r="U150" s="11" t="e">
        <f>VLOOKUP($G150, 'ADP Data'!$C$4:$Q$300, 8, FALSE)</f>
        <v>#N/A</v>
      </c>
      <c r="V150" s="11" t="e">
        <f t="shared" si="7"/>
        <v>#N/A</v>
      </c>
      <c r="W150" s="11">
        <f t="shared" si="8"/>
        <v>16</v>
      </c>
      <c r="X150" s="11">
        <f t="shared" si="9"/>
        <v>-16</v>
      </c>
      <c r="Y150" s="11" t="e">
        <f>VLOOKUP($G150, SeanRanks!$A$2:$K$303, 10, FALSE)-V150</f>
        <v>#N/A</v>
      </c>
      <c r="Z150" s="25" t="e">
        <f>IF(VLOOKUP($G150, SeanRanks!$A$2:$H$303, 7, FALSE)=0, "", VLOOKUP($G150, SeanRanks!$A$2:$H$303, 7, FALSE))</f>
        <v>#N/A</v>
      </c>
    </row>
    <row r="151" spans="1:26" ht="14.25" customHeight="1" x14ac:dyDescent="0.25">
      <c r="A151" s="11"/>
      <c r="B151" s="11" t="e">
        <f t="shared" si="3"/>
        <v>#N/A</v>
      </c>
      <c r="C151" s="11" t="s">
        <v>148</v>
      </c>
      <c r="D151" s="11"/>
      <c r="E151" s="11"/>
      <c r="F151" s="11" t="e">
        <f>VLOOKUP(G151, SeanRanks!$A$2:$E$302, 4, FALSE)</f>
        <v>#N/A</v>
      </c>
      <c r="G151" s="11" t="s">
        <v>695</v>
      </c>
      <c r="H151" s="11" t="e">
        <f>VLOOKUP($G151, 'ADP Data'!$C$4:$Q$300, 2, FALSE)</f>
        <v>#N/A</v>
      </c>
      <c r="I151" s="11" t="e">
        <f>VLOOKUP(G151, 'ADP Data'!$C$4:$R$498, 12, FALSE)</f>
        <v>#N/A</v>
      </c>
      <c r="J151" s="11" t="e">
        <f>VLOOKUP($G151, SeanRanks!$A$2:$H$303, 5, FALSE)</f>
        <v>#N/A</v>
      </c>
      <c r="K151" s="11" t="e">
        <f>IF(VLOOKUP($G151, SeanRanks!$A$2:$H$303, 6, FALSE)=0, "", VLOOKUP($G151, SeanRanks!$A$2:$H$303, 6, FALSE))</f>
        <v>#N/A</v>
      </c>
      <c r="L151" s="11">
        <f t="shared" si="4"/>
        <v>16</v>
      </c>
      <c r="M151" s="11" t="e">
        <f>VLOOKUP($G151, 'ADP Data'!$C$4:$Q$300, 9, FALSE)</f>
        <v>#N/A</v>
      </c>
      <c r="N151" s="11" t="e">
        <f t="shared" si="5"/>
        <v>#N/A</v>
      </c>
      <c r="O151" s="11" t="e">
        <f>VLOOKUP($G151, 'ADP Data'!$C$4:$Q$300, 3, FALSE)</f>
        <v>#N/A</v>
      </c>
      <c r="P151" s="11" t="e">
        <f t="shared" si="6"/>
        <v>#N/A</v>
      </c>
      <c r="Q151" s="11" t="e">
        <f>VLOOKUP($G151, 'ADP Data'!$C$4:$Q$300, 4, FALSE)</f>
        <v>#N/A</v>
      </c>
      <c r="R151" s="11" t="e">
        <f>VLOOKUP($G151, 'ADP Data'!$C$4:$Q$300, 5, FALSE)</f>
        <v>#N/A</v>
      </c>
      <c r="S151" s="11" t="e">
        <f>VLOOKUP($G151, 'ADP Data'!$C$4:$Q$300, 6, FALSE)</f>
        <v>#N/A</v>
      </c>
      <c r="T151" s="11" t="e">
        <f>VLOOKUP($G151, 'ADP Data'!$C$4:$Q$300, 7, FALSE)</f>
        <v>#N/A</v>
      </c>
      <c r="U151" s="11" t="e">
        <f>VLOOKUP($G151, 'ADP Data'!$C$4:$Q$300, 8, FALSE)</f>
        <v>#N/A</v>
      </c>
      <c r="V151" s="11" t="e">
        <f t="shared" si="7"/>
        <v>#N/A</v>
      </c>
      <c r="W151" s="11">
        <f t="shared" si="8"/>
        <v>16</v>
      </c>
      <c r="X151" s="11">
        <f t="shared" si="9"/>
        <v>-16</v>
      </c>
      <c r="Y151" s="11" t="e">
        <f>VLOOKUP($G151, SeanRanks!$A$2:$K$303, 10, FALSE)-V151</f>
        <v>#N/A</v>
      </c>
      <c r="Z151" s="25" t="e">
        <f>IF(VLOOKUP($G151, SeanRanks!$A$2:$H$303, 7, FALSE)=0, "", VLOOKUP($G151, SeanRanks!$A$2:$H$303, 7, FALSE))</f>
        <v>#N/A</v>
      </c>
    </row>
    <row r="152" spans="1:26" ht="14.25" customHeight="1" x14ac:dyDescent="0.25">
      <c r="A152" s="11"/>
      <c r="B152" s="11">
        <f t="shared" si="3"/>
        <v>15</v>
      </c>
      <c r="C152" s="11" t="s">
        <v>148</v>
      </c>
      <c r="D152" s="11"/>
      <c r="E152" s="11"/>
      <c r="F152" s="11">
        <f>VLOOKUP(G152, SeanRanks!$A$2:$E$302, 4, FALSE)</f>
        <v>0</v>
      </c>
      <c r="G152" s="11" t="s">
        <v>370</v>
      </c>
      <c r="H152" s="11" t="str">
        <f>VLOOKUP($G152, 'ADP Data'!$C$4:$Q$300, 2, FALSE)</f>
        <v>ATL</v>
      </c>
      <c r="I152" s="11">
        <f>VLOOKUP(G152, 'ADP Data'!$C$4:$R$498, 12, FALSE)</f>
        <v>156</v>
      </c>
      <c r="J152" s="59">
        <f>VLOOKUP($G152, SeanRanks!$A$2:$H$303, 5, FALSE)</f>
        <v>0</v>
      </c>
      <c r="K152" s="11" t="str">
        <f>IF(VLOOKUP($G152, SeanRanks!$A$2:$H$303, 6, FALSE)=0, "", VLOOKUP($G152, SeanRanks!$A$2:$H$303, 6, FALSE))</f>
        <v>RB4 - 1 - Path to spikes</v>
      </c>
      <c r="L152" s="11">
        <f t="shared" si="4"/>
        <v>21</v>
      </c>
      <c r="M152" s="11">
        <f>VLOOKUP($G152, 'ADP Data'!$C$4:$Q$300, 9, FALSE)</f>
        <v>167</v>
      </c>
      <c r="N152" s="11">
        <f t="shared" si="5"/>
        <v>-2</v>
      </c>
      <c r="O152" s="11">
        <f>VLOOKUP($G152, 'ADP Data'!$C$4:$Q$300, 3, FALSE)</f>
        <v>172</v>
      </c>
      <c r="P152" s="11">
        <f t="shared" si="6"/>
        <v>-5</v>
      </c>
      <c r="Q152" s="11">
        <f>VLOOKUP($G152, 'ADP Data'!$C$4:$Q$300, 4, FALSE)</f>
        <v>161</v>
      </c>
      <c r="R152" s="11">
        <f>VLOOKUP($G152, 'ADP Data'!$C$4:$Q$300, 5, FALSE)</f>
        <v>199</v>
      </c>
      <c r="S152" s="11">
        <f>VLOOKUP($G152, 'ADP Data'!$C$4:$Q$300, 6, FALSE)</f>
        <v>151</v>
      </c>
      <c r="T152" s="11">
        <f>VLOOKUP($G152, 'ADP Data'!$C$4:$Q$300, 7, FALSE)</f>
        <v>154</v>
      </c>
      <c r="U152" s="11">
        <f>VLOOKUP($G152, 'ADP Data'!$C$4:$Q$300, 8, FALSE)</f>
        <v>184</v>
      </c>
      <c r="V152" s="11">
        <f t="shared" si="7"/>
        <v>169</v>
      </c>
      <c r="W152" s="11">
        <f t="shared" si="8"/>
        <v>22</v>
      </c>
      <c r="X152" s="11">
        <f t="shared" si="9"/>
        <v>-22</v>
      </c>
      <c r="Y152" s="11">
        <f>VLOOKUP($G152, SeanRanks!$A$2:$K$303, 10, FALSE)-V152</f>
        <v>-23</v>
      </c>
      <c r="Z152" s="25">
        <f>IF(VLOOKUP($G152, SeanRanks!$A$2:$H$303, 7, FALSE)=0, "", VLOOKUP($G152, SeanRanks!$A$2:$H$303, 7, FALSE))</f>
        <v>46</v>
      </c>
    </row>
    <row r="153" spans="1:26" ht="14.25" customHeight="1" x14ac:dyDescent="0.25">
      <c r="A153" s="11"/>
      <c r="B153" s="11">
        <f t="shared" si="3"/>
        <v>12</v>
      </c>
      <c r="C153" s="11" t="s">
        <v>148</v>
      </c>
      <c r="D153" s="11">
        <v>11</v>
      </c>
      <c r="E153" s="11"/>
      <c r="F153" s="11">
        <f>VLOOKUP(G153, SeanRanks!$A$2:$E$302, 4, FALSE)</f>
        <v>0</v>
      </c>
      <c r="G153" s="11" t="s">
        <v>377</v>
      </c>
      <c r="H153" s="11" t="str">
        <f>VLOOKUP($G153, 'ADP Data'!$C$4:$Q$300, 2, FALSE)</f>
        <v>NO</v>
      </c>
      <c r="I153" s="11">
        <f>VLOOKUP(G153, 'ADP Data'!$C$4:$R$498, 12, FALSE)</f>
        <v>102</v>
      </c>
      <c r="J153" s="43">
        <f>VLOOKUP($G153, SeanRanks!$A$2:$H$303, 5, FALSE)</f>
        <v>0</v>
      </c>
      <c r="K153" s="11" t="str">
        <f>IF(VLOOKUP($G153, SeanRanks!$A$2:$H$303, 6, FALSE)=0, "", VLOOKUP($G153, SeanRanks!$A$2:$H$303, 6, FALSE))</f>
        <v>WR4 - 2 - unclear path to WR2</v>
      </c>
      <c r="L153" s="11">
        <f t="shared" si="4"/>
        <v>16</v>
      </c>
      <c r="M153" s="11">
        <f>VLOOKUP($G153, 'ADP Data'!$C$4:$Q$300, 9, FALSE)</f>
        <v>124</v>
      </c>
      <c r="N153" s="11">
        <f t="shared" si="5"/>
        <v>-15</v>
      </c>
      <c r="O153" s="11">
        <f>VLOOKUP($G153, 'ADP Data'!$C$4:$Q$300, 3, FALSE)</f>
        <v>161</v>
      </c>
      <c r="P153" s="11">
        <f t="shared" si="6"/>
        <v>-37</v>
      </c>
      <c r="Q153" s="11">
        <f>VLOOKUP($G153, 'ADP Data'!$C$4:$Q$300, 4, FALSE)</f>
        <v>134</v>
      </c>
      <c r="R153" s="11">
        <f>VLOOKUP($G153, 'ADP Data'!$C$4:$Q$300, 5, FALSE)</f>
        <v>133</v>
      </c>
      <c r="S153" s="11">
        <f>VLOOKUP($G153, 'ADP Data'!$C$4:$Q$300, 6, FALSE)</f>
        <v>127</v>
      </c>
      <c r="T153" s="11">
        <f>VLOOKUP($G153, 'ADP Data'!$C$4:$Q$300, 7, FALSE)</f>
        <v>117</v>
      </c>
      <c r="U153" s="11">
        <f>VLOOKUP($G153, 'ADP Data'!$C$4:$Q$300, 8, FALSE)</f>
        <v>177</v>
      </c>
      <c r="V153" s="11">
        <f t="shared" si="7"/>
        <v>139</v>
      </c>
      <c r="W153" s="11">
        <f t="shared" si="8"/>
        <v>18</v>
      </c>
      <c r="X153" s="11">
        <f t="shared" si="9"/>
        <v>-7</v>
      </c>
      <c r="Y153" s="11">
        <f>VLOOKUP($G153, SeanRanks!$A$2:$K$303, 10, FALSE)-V153</f>
        <v>-31</v>
      </c>
      <c r="Z153" s="25">
        <f>IF(VLOOKUP($G153, SeanRanks!$A$2:$H$303, 7, FALSE)=0, "", VLOOKUP($G153, SeanRanks!$A$2:$H$303, 7, FALSE))</f>
        <v>44</v>
      </c>
    </row>
    <row r="154" spans="1:26" ht="14.25" customHeight="1" x14ac:dyDescent="0.25">
      <c r="A154" s="11"/>
      <c r="B154" s="11" t="e">
        <f t="shared" si="3"/>
        <v>#N/A</v>
      </c>
      <c r="C154" s="11" t="s">
        <v>148</v>
      </c>
      <c r="D154" s="11"/>
      <c r="E154" s="11"/>
      <c r="F154" s="11" t="e">
        <f>VLOOKUP(G154, SeanRanks!$A$2:$E$302, 4, FALSE)</f>
        <v>#N/A</v>
      </c>
      <c r="G154" s="11" t="s">
        <v>917</v>
      </c>
      <c r="H154" s="11" t="e">
        <f>VLOOKUP($G154, 'ADP Data'!$C$4:$Q$300, 2, FALSE)</f>
        <v>#N/A</v>
      </c>
      <c r="I154" s="11" t="e">
        <f>VLOOKUP(G154, 'ADP Data'!$C$4:$R$498, 12, FALSE)</f>
        <v>#N/A</v>
      </c>
      <c r="J154" s="11" t="e">
        <f>VLOOKUP($G154, SeanRanks!$A$2:$H$303, 5, FALSE)</f>
        <v>#N/A</v>
      </c>
      <c r="K154" s="11" t="e">
        <f>IF(VLOOKUP($G154, SeanRanks!$A$2:$H$303, 6, FALSE)=0, "", VLOOKUP($G154, SeanRanks!$A$2:$H$303, 6, FALSE))</f>
        <v>#N/A</v>
      </c>
      <c r="L154" s="11">
        <f t="shared" si="4"/>
        <v>16</v>
      </c>
      <c r="M154" s="11" t="e">
        <f>VLOOKUP($G154, 'ADP Data'!$C$4:$Q$300, 9, FALSE)</f>
        <v>#N/A</v>
      </c>
      <c r="N154" s="11" t="e">
        <f t="shared" si="5"/>
        <v>#N/A</v>
      </c>
      <c r="O154" s="11" t="e">
        <f>VLOOKUP($G154, 'ADP Data'!$C$4:$Q$300, 3, FALSE)</f>
        <v>#N/A</v>
      </c>
      <c r="P154" s="11" t="e">
        <f t="shared" si="6"/>
        <v>#N/A</v>
      </c>
      <c r="Q154" s="11" t="e">
        <f>VLOOKUP($G154, 'ADP Data'!$C$4:$Q$300, 4, FALSE)</f>
        <v>#N/A</v>
      </c>
      <c r="R154" s="11" t="e">
        <f>VLOOKUP($G154, 'ADP Data'!$C$4:$Q$300, 5, FALSE)</f>
        <v>#N/A</v>
      </c>
      <c r="S154" s="11" t="e">
        <f>VLOOKUP($G154, 'ADP Data'!$C$4:$Q$300, 6, FALSE)</f>
        <v>#N/A</v>
      </c>
      <c r="T154" s="11" t="e">
        <f>VLOOKUP($G154, 'ADP Data'!$C$4:$Q$300, 7, FALSE)</f>
        <v>#N/A</v>
      </c>
      <c r="U154" s="11" t="e">
        <f>VLOOKUP($G154, 'ADP Data'!$C$4:$Q$300, 8, FALSE)</f>
        <v>#N/A</v>
      </c>
      <c r="V154" s="11" t="e">
        <f t="shared" si="7"/>
        <v>#N/A</v>
      </c>
      <c r="W154" s="11">
        <f t="shared" si="8"/>
        <v>16</v>
      </c>
      <c r="X154" s="11">
        <f t="shared" si="9"/>
        <v>-16</v>
      </c>
      <c r="Y154" s="11" t="e">
        <f>VLOOKUP($G154, SeanRanks!$A$2:$K$303, 10, FALSE)-V154</f>
        <v>#N/A</v>
      </c>
      <c r="Z154" s="25" t="e">
        <f>IF(VLOOKUP($G154, SeanRanks!$A$2:$H$303, 7, FALSE)=0, "", VLOOKUP($G154, SeanRanks!$A$2:$H$303, 7, FALSE))</f>
        <v>#N/A</v>
      </c>
    </row>
    <row r="155" spans="1:26" ht="14.25" customHeight="1" x14ac:dyDescent="0.25">
      <c r="A155" s="11"/>
      <c r="B155" s="11" t="e">
        <f t="shared" si="3"/>
        <v>#N/A</v>
      </c>
      <c r="C155" s="11" t="s">
        <v>148</v>
      </c>
      <c r="D155" s="11"/>
      <c r="E155" s="11"/>
      <c r="F155" s="11">
        <f>VLOOKUP(G155, SeanRanks!$A$2:$E$302, 4, FALSE)</f>
        <v>0</v>
      </c>
      <c r="G155" s="11" t="s">
        <v>918</v>
      </c>
      <c r="H155" s="11" t="e">
        <f>VLOOKUP($G155, 'ADP Data'!$C$4:$Q$300, 2, FALSE)</f>
        <v>#N/A</v>
      </c>
      <c r="I155" s="11" t="e">
        <f>VLOOKUP(G155, 'ADP Data'!$C$4:$R$498, 12, FALSE)</f>
        <v>#N/A</v>
      </c>
      <c r="J155" s="11">
        <f>VLOOKUP($G155, SeanRanks!$A$2:$H$303, 5, FALSE)</f>
        <v>0</v>
      </c>
      <c r="K155" s="11" t="str">
        <f>IF(VLOOKUP($G155, SeanRanks!$A$2:$H$303, 6, FALSE)=0, "", VLOOKUP($G155, SeanRanks!$A$2:$H$303, 6, FALSE))</f>
        <v/>
      </c>
      <c r="L155" s="11">
        <f t="shared" si="4"/>
        <v>16</v>
      </c>
      <c r="M155" s="11" t="e">
        <f>VLOOKUP($G155, 'ADP Data'!$C$4:$Q$300, 9, FALSE)</f>
        <v>#N/A</v>
      </c>
      <c r="N155" s="11" t="e">
        <f t="shared" si="5"/>
        <v>#N/A</v>
      </c>
      <c r="O155" s="11" t="e">
        <f>VLOOKUP($G155, 'ADP Data'!$C$4:$Q$300, 3, FALSE)</f>
        <v>#N/A</v>
      </c>
      <c r="P155" s="11" t="e">
        <f t="shared" si="6"/>
        <v>#N/A</v>
      </c>
      <c r="Q155" s="11" t="e">
        <f>VLOOKUP($G155, 'ADP Data'!$C$4:$Q$300, 4, FALSE)</f>
        <v>#N/A</v>
      </c>
      <c r="R155" s="11" t="e">
        <f>VLOOKUP($G155, 'ADP Data'!$C$4:$Q$300, 5, FALSE)</f>
        <v>#N/A</v>
      </c>
      <c r="S155" s="11" t="e">
        <f>VLOOKUP($G155, 'ADP Data'!$C$4:$Q$300, 6, FALSE)</f>
        <v>#N/A</v>
      </c>
      <c r="T155" s="11" t="e">
        <f>VLOOKUP($G155, 'ADP Data'!$C$4:$Q$300, 7, FALSE)</f>
        <v>#N/A</v>
      </c>
      <c r="U155" s="11" t="e">
        <f>VLOOKUP($G155, 'ADP Data'!$C$4:$Q$300, 8, FALSE)</f>
        <v>#N/A</v>
      </c>
      <c r="V155" s="11" t="e">
        <f t="shared" si="7"/>
        <v>#N/A</v>
      </c>
      <c r="W155" s="11">
        <f t="shared" si="8"/>
        <v>16</v>
      </c>
      <c r="X155" s="11">
        <f t="shared" si="9"/>
        <v>-16</v>
      </c>
      <c r="Y155" s="11" t="e">
        <f>VLOOKUP($G155, SeanRanks!$A$2:$K$303, 10, FALSE)-V155</f>
        <v>#N/A</v>
      </c>
      <c r="Z155" s="25" t="str">
        <f>IF(VLOOKUP($G155, SeanRanks!$A$2:$H$303, 7, FALSE)=0, "", VLOOKUP($G155, SeanRanks!$A$2:$H$303, 7, FALSE))</f>
        <v/>
      </c>
    </row>
    <row r="156" spans="1:26" ht="14.25" customHeight="1" x14ac:dyDescent="0.25">
      <c r="A156" s="11"/>
      <c r="B156" s="11" t="e">
        <f t="shared" si="3"/>
        <v>#N/A</v>
      </c>
      <c r="C156" s="11" t="s">
        <v>148</v>
      </c>
      <c r="D156" s="11"/>
      <c r="E156" s="11"/>
      <c r="F156" s="11" t="e">
        <f>VLOOKUP(G156, SeanRanks!$A$2:$E$302, 4, FALSE)</f>
        <v>#N/A</v>
      </c>
      <c r="G156" s="11" t="s">
        <v>919</v>
      </c>
      <c r="H156" s="11" t="e">
        <f>VLOOKUP($G156, 'ADP Data'!$C$4:$Q$300, 2, FALSE)</f>
        <v>#N/A</v>
      </c>
      <c r="I156" s="11" t="e">
        <f>VLOOKUP(G156, 'ADP Data'!$C$4:$R$498, 12, FALSE)</f>
        <v>#N/A</v>
      </c>
      <c r="J156" s="11" t="e">
        <f>VLOOKUP($G156, SeanRanks!$A$2:$H$303, 5, FALSE)</f>
        <v>#N/A</v>
      </c>
      <c r="K156" s="11" t="e">
        <f>IF(VLOOKUP($G156, SeanRanks!$A$2:$H$303, 6, FALSE)=0, "", VLOOKUP($G156, SeanRanks!$A$2:$H$303, 6, FALSE))</f>
        <v>#N/A</v>
      </c>
      <c r="L156" s="11">
        <f t="shared" si="4"/>
        <v>16</v>
      </c>
      <c r="M156" s="11" t="e">
        <f>VLOOKUP($G156, 'ADP Data'!$C$4:$Q$300, 9, FALSE)</f>
        <v>#N/A</v>
      </c>
      <c r="N156" s="11" t="e">
        <f t="shared" si="5"/>
        <v>#N/A</v>
      </c>
      <c r="O156" s="11" t="e">
        <f>VLOOKUP($G156, 'ADP Data'!$C$4:$Q$300, 3, FALSE)</f>
        <v>#N/A</v>
      </c>
      <c r="P156" s="11" t="e">
        <f t="shared" si="6"/>
        <v>#N/A</v>
      </c>
      <c r="Q156" s="11" t="e">
        <f>VLOOKUP($G156, 'ADP Data'!$C$4:$Q$300, 4, FALSE)</f>
        <v>#N/A</v>
      </c>
      <c r="R156" s="11" t="e">
        <f>VLOOKUP($G156, 'ADP Data'!$C$4:$Q$300, 5, FALSE)</f>
        <v>#N/A</v>
      </c>
      <c r="S156" s="11" t="e">
        <f>VLOOKUP($G156, 'ADP Data'!$C$4:$Q$300, 6, FALSE)</f>
        <v>#N/A</v>
      </c>
      <c r="T156" s="11" t="e">
        <f>VLOOKUP($G156, 'ADP Data'!$C$4:$Q$300, 7, FALSE)</f>
        <v>#N/A</v>
      </c>
      <c r="U156" s="11" t="e">
        <f>VLOOKUP($G156, 'ADP Data'!$C$4:$Q$300, 8, FALSE)</f>
        <v>#N/A</v>
      </c>
      <c r="V156" s="11" t="e">
        <f t="shared" si="7"/>
        <v>#N/A</v>
      </c>
      <c r="W156" s="11">
        <f t="shared" si="8"/>
        <v>16</v>
      </c>
      <c r="X156" s="11">
        <f t="shared" si="9"/>
        <v>-16</v>
      </c>
      <c r="Y156" s="11" t="e">
        <f>VLOOKUP($G156, SeanRanks!$A$2:$K$303, 10, FALSE)-V156</f>
        <v>#N/A</v>
      </c>
      <c r="Z156" s="25" t="e">
        <f>IF(VLOOKUP($G156, SeanRanks!$A$2:$H$303, 7, FALSE)=0, "", VLOOKUP($G156, SeanRanks!$A$2:$H$303, 7, FALSE))</f>
        <v>#N/A</v>
      </c>
    </row>
    <row r="157" spans="1:26" ht="14.25" customHeight="1" x14ac:dyDescent="0.25">
      <c r="A157" s="11"/>
      <c r="B157" s="11">
        <f t="shared" si="3"/>
        <v>15</v>
      </c>
      <c r="C157" s="11" t="s">
        <v>148</v>
      </c>
      <c r="D157" s="11"/>
      <c r="E157" s="11"/>
      <c r="F157" s="11">
        <f>VLOOKUP(G157, SeanRanks!$A$2:$E$302, 4, FALSE)</f>
        <v>0</v>
      </c>
      <c r="G157" s="11" t="s">
        <v>920</v>
      </c>
      <c r="H157" s="11" t="str">
        <f>VLOOKUP($G157, 'ADP Data'!$C$4:$Q$300, 2, FALSE)</f>
        <v>MIN</v>
      </c>
      <c r="I157" s="11">
        <f>VLOOKUP(G157, 'ADP Data'!$C$4:$R$498, 12, FALSE)</f>
        <v>164</v>
      </c>
      <c r="J157" s="11">
        <f>VLOOKUP($G157, SeanRanks!$A$2:$H$303, 5, FALSE)</f>
        <v>0</v>
      </c>
      <c r="K157" s="11" t="str">
        <f>IF(VLOOKUP($G157, SeanRanks!$A$2:$H$303, 6, FALSE)=0, "", VLOOKUP($G157, SeanRanks!$A$2:$H$303, 6, FALSE))</f>
        <v>WR6 - dart throw upside</v>
      </c>
      <c r="L157" s="11">
        <f t="shared" si="4"/>
        <v>22</v>
      </c>
      <c r="M157" s="11">
        <f>VLOOKUP($G157, 'ADP Data'!$C$4:$Q$300, 9, FALSE)</f>
        <v>171</v>
      </c>
      <c r="N157" s="11">
        <f t="shared" si="5"/>
        <v>0</v>
      </c>
      <c r="O157" s="11">
        <f>VLOOKUP($G157, 'ADP Data'!$C$4:$Q$300, 3, FALSE)</f>
        <v>167</v>
      </c>
      <c r="P157" s="11">
        <f t="shared" si="6"/>
        <v>4</v>
      </c>
      <c r="Q157" s="11">
        <f>VLOOKUP($G157, 'ADP Data'!$C$4:$Q$300, 4, FALSE)</f>
        <v>159</v>
      </c>
      <c r="R157" s="11">
        <f>VLOOKUP($G157, 'ADP Data'!$C$4:$Q$300, 5, FALSE)</f>
        <v>175</v>
      </c>
      <c r="S157" s="11">
        <f>VLOOKUP($G157, 'ADP Data'!$C$4:$Q$300, 6, FALSE)</f>
        <v>168</v>
      </c>
      <c r="T157" s="11">
        <f>VLOOKUP($G157, 'ADP Data'!$C$4:$Q$300, 7, FALSE)</f>
        <v>156</v>
      </c>
      <c r="U157" s="11">
        <f>VLOOKUP($G157, 'ADP Data'!$C$4:$Q$300, 8, FALSE)</f>
        <v>203</v>
      </c>
      <c r="V157" s="11">
        <f t="shared" si="7"/>
        <v>171</v>
      </c>
      <c r="W157" s="11">
        <f t="shared" si="8"/>
        <v>22</v>
      </c>
      <c r="X157" s="11">
        <f t="shared" si="9"/>
        <v>-22</v>
      </c>
      <c r="Y157" s="11">
        <f>VLOOKUP($G157, SeanRanks!$A$2:$K$303, 10, FALSE)-V157</f>
        <v>20</v>
      </c>
      <c r="Z157" s="25">
        <f>IF(VLOOKUP($G157, SeanRanks!$A$2:$H$303, 7, FALSE)=0, "", VLOOKUP($G157, SeanRanks!$A$2:$H$303, 7, FALSE))</f>
        <v>65</v>
      </c>
    </row>
    <row r="158" spans="1:26" ht="14.25" customHeight="1" x14ac:dyDescent="0.25">
      <c r="A158" s="11"/>
      <c r="B158" s="11">
        <f t="shared" si="3"/>
        <v>26</v>
      </c>
      <c r="C158" s="11" t="s">
        <v>148</v>
      </c>
      <c r="D158" s="11"/>
      <c r="E158" s="11"/>
      <c r="F158" s="11">
        <f>VLOOKUP(G158, SeanRanks!$A$2:$E$302, 4, FALSE)</f>
        <v>0</v>
      </c>
      <c r="G158" s="11" t="s">
        <v>493</v>
      </c>
      <c r="H158" s="11" t="str">
        <f>VLOOKUP($G158, 'ADP Data'!$C$4:$Q$300, 2, FALSE)</f>
        <v>GB</v>
      </c>
      <c r="I158" s="11">
        <f>VLOOKUP(G158, 'ADP Data'!$C$4:$R$498, 12, FALSE)</f>
        <v>246</v>
      </c>
      <c r="J158" s="43">
        <f>VLOOKUP($G158, SeanRanks!$A$2:$H$303, 5, FALSE)</f>
        <v>0</v>
      </c>
      <c r="K158" s="11" t="str">
        <f>IF(VLOOKUP($G158, SeanRanks!$A$2:$H$303, 6, FALSE)=0, "", VLOOKUP($G158, SeanRanks!$A$2:$H$303, 6, FALSE))</f>
        <v/>
      </c>
      <c r="L158" s="11">
        <f t="shared" si="4"/>
        <v>36</v>
      </c>
      <c r="M158" s="11">
        <f>VLOOKUP($G158, 'ADP Data'!$C$4:$Q$300, 9, FALSE)</f>
        <v>284</v>
      </c>
      <c r="N158" s="11">
        <f t="shared" si="5"/>
        <v>-16</v>
      </c>
      <c r="O158" s="11" t="str">
        <f>VLOOKUP($G158, 'ADP Data'!$C$4:$Q$300, 3, FALSE)</f>
        <v>-</v>
      </c>
      <c r="P158" s="11" t="e">
        <f t="shared" si="6"/>
        <v>#VALUE!</v>
      </c>
      <c r="Q158" s="11" t="str">
        <f>VLOOKUP($G158, 'ADP Data'!$C$4:$Q$300, 4, FALSE)</f>
        <v>-</v>
      </c>
      <c r="R158" s="11">
        <f>VLOOKUP($G158, 'ADP Data'!$C$4:$Q$300, 5, FALSE)</f>
        <v>291</v>
      </c>
      <c r="S158" s="11">
        <f>VLOOKUP($G158, 'ADP Data'!$C$4:$Q$300, 6, FALSE)</f>
        <v>322</v>
      </c>
      <c r="T158" s="11">
        <f>VLOOKUP($G158, 'ADP Data'!$C$4:$Q$300, 7, FALSE)</f>
        <v>277</v>
      </c>
      <c r="U158" s="11">
        <f>VLOOKUP($G158, 'ADP Data'!$C$4:$Q$300, 8, FALSE)</f>
        <v>326</v>
      </c>
      <c r="V158" s="11">
        <f t="shared" si="7"/>
        <v>300</v>
      </c>
      <c r="W158" s="11">
        <f t="shared" si="8"/>
        <v>38</v>
      </c>
      <c r="X158" s="11">
        <f t="shared" si="9"/>
        <v>-38</v>
      </c>
      <c r="Y158" s="11" t="e">
        <f>VLOOKUP($G158, SeanRanks!$A$2:$K$303, 10, FALSE)-V158</f>
        <v>#VALUE!</v>
      </c>
      <c r="Z158" s="25" t="str">
        <f>IF(VLOOKUP($G158, SeanRanks!$A$2:$H$303, 7, FALSE)=0, "", VLOOKUP($G158, SeanRanks!$A$2:$H$303, 7, FALSE))</f>
        <v/>
      </c>
    </row>
    <row r="159" spans="1:26" ht="14.25" customHeight="1" x14ac:dyDescent="0.25">
      <c r="A159" s="11"/>
      <c r="B159" s="11">
        <f t="shared" si="3"/>
        <v>7</v>
      </c>
      <c r="C159" s="11" t="s">
        <v>148</v>
      </c>
      <c r="D159" s="11"/>
      <c r="E159" s="11"/>
      <c r="F159" s="11">
        <f>VLOOKUP(G159, SeanRanks!$A$2:$E$302, 4, FALSE)</f>
        <v>0</v>
      </c>
      <c r="G159" s="11" t="s">
        <v>364</v>
      </c>
      <c r="H159" s="11" t="str">
        <f>VLOOKUP($G159, 'ADP Data'!$C$4:$Q$300, 2, FALSE)</f>
        <v>TB</v>
      </c>
      <c r="I159" s="11">
        <f>VLOOKUP(G159, 'ADP Data'!$C$4:$R$498, 12, FALSE)</f>
        <v>99</v>
      </c>
      <c r="J159" s="11">
        <f>VLOOKUP($G159, SeanRanks!$A$2:$H$303, 5, FALSE)</f>
        <v>0</v>
      </c>
      <c r="K159" s="11" t="str">
        <f>IF(VLOOKUP($G159, SeanRanks!$A$2:$H$303, 6, FALSE)=0, "", VLOOKUP($G159, SeanRanks!$A$2:$H$303, 6, FALSE))</f>
        <v>QB1 - 3 - Top 5 Ceiling</v>
      </c>
      <c r="L159" s="11">
        <f t="shared" si="4"/>
        <v>9</v>
      </c>
      <c r="M159" s="11">
        <f>VLOOKUP($G159, 'ADP Data'!$C$4:$Q$300, 9, FALSE)</f>
        <v>71</v>
      </c>
      <c r="N159" s="11">
        <f t="shared" si="5"/>
        <v>1</v>
      </c>
      <c r="O159" s="11">
        <f>VLOOKUP($G159, 'ADP Data'!$C$4:$Q$300, 3, FALSE)</f>
        <v>54</v>
      </c>
      <c r="P159" s="11">
        <f t="shared" si="6"/>
        <v>17</v>
      </c>
      <c r="Q159" s="11">
        <f>VLOOKUP($G159, 'ADP Data'!$C$4:$Q$300, 4, FALSE)</f>
        <v>52</v>
      </c>
      <c r="R159" s="11">
        <f>VLOOKUP($G159, 'ADP Data'!$C$4:$Q$300, 5, FALSE)</f>
        <v>85</v>
      </c>
      <c r="S159" s="11">
        <f>VLOOKUP($G159, 'ADP Data'!$C$4:$Q$300, 6, FALSE)</f>
        <v>92</v>
      </c>
      <c r="T159" s="11">
        <f>VLOOKUP($G159, 'ADP Data'!$C$4:$Q$300, 7, FALSE)</f>
        <v>78</v>
      </c>
      <c r="U159" s="11">
        <f>VLOOKUP($G159, 'ADP Data'!$C$4:$Q$300, 8, FALSE)</f>
        <v>61</v>
      </c>
      <c r="V159" s="11">
        <f t="shared" si="7"/>
        <v>70</v>
      </c>
      <c r="W159" s="11">
        <f t="shared" si="8"/>
        <v>9</v>
      </c>
      <c r="X159" s="11">
        <f t="shared" si="9"/>
        <v>-9</v>
      </c>
      <c r="Y159" s="11">
        <f>VLOOKUP($G159, SeanRanks!$A$2:$K$303, 10, FALSE)-V159</f>
        <v>20</v>
      </c>
      <c r="Z159" s="25">
        <f>IF(VLOOKUP($G159, SeanRanks!$A$2:$H$303, 7, FALSE)=0, "", VLOOKUP($G159, SeanRanks!$A$2:$H$303, 7, FALSE))</f>
        <v>6</v>
      </c>
    </row>
    <row r="160" spans="1:26" ht="14.25" customHeight="1" x14ac:dyDescent="0.25">
      <c r="A160" s="11"/>
      <c r="B160" s="11" t="e">
        <f t="shared" si="3"/>
        <v>#N/A</v>
      </c>
      <c r="C160" s="11" t="s">
        <v>148</v>
      </c>
      <c r="D160" s="11"/>
      <c r="E160" s="11"/>
      <c r="F160" s="11" t="e">
        <f>VLOOKUP(G160, SeanRanks!$A$2:$E$302, 4, FALSE)</f>
        <v>#N/A</v>
      </c>
      <c r="G160" s="11" t="s">
        <v>921</v>
      </c>
      <c r="H160" s="11" t="e">
        <f>VLOOKUP($G160, 'ADP Data'!$C$4:$Q$300, 2, FALSE)</f>
        <v>#N/A</v>
      </c>
      <c r="I160" s="11" t="e">
        <f>VLOOKUP(G160, 'ADP Data'!$C$4:$R$498, 12, FALSE)</f>
        <v>#N/A</v>
      </c>
      <c r="J160" s="61" t="e">
        <f>VLOOKUP($G160, SeanRanks!$A$2:$H$303, 5, FALSE)</f>
        <v>#N/A</v>
      </c>
      <c r="K160" s="11" t="e">
        <f>IF(VLOOKUP($G160, SeanRanks!$A$2:$H$303, 6, FALSE)=0, "", VLOOKUP($G160, SeanRanks!$A$2:$H$303, 6, FALSE))</f>
        <v>#N/A</v>
      </c>
      <c r="L160" s="11">
        <f t="shared" si="4"/>
        <v>16</v>
      </c>
      <c r="M160" s="11" t="e">
        <f>VLOOKUP($G160, 'ADP Data'!$C$4:$Q$300, 9, FALSE)</f>
        <v>#N/A</v>
      </c>
      <c r="N160" s="11" t="e">
        <f t="shared" si="5"/>
        <v>#N/A</v>
      </c>
      <c r="O160" s="11" t="e">
        <f>VLOOKUP($G160, 'ADP Data'!$C$4:$Q$300, 3, FALSE)</f>
        <v>#N/A</v>
      </c>
      <c r="P160" s="11" t="e">
        <f t="shared" si="6"/>
        <v>#N/A</v>
      </c>
      <c r="Q160" s="11" t="e">
        <f>VLOOKUP($G160, 'ADP Data'!$C$4:$Q$300, 4, FALSE)</f>
        <v>#N/A</v>
      </c>
      <c r="R160" s="11" t="e">
        <f>VLOOKUP($G160, 'ADP Data'!$C$4:$Q$300, 5, FALSE)</f>
        <v>#N/A</v>
      </c>
      <c r="S160" s="11" t="e">
        <f>VLOOKUP($G160, 'ADP Data'!$C$4:$Q$300, 6, FALSE)</f>
        <v>#N/A</v>
      </c>
      <c r="T160" s="11" t="e">
        <f>VLOOKUP($G160, 'ADP Data'!$C$4:$Q$300, 7, FALSE)</f>
        <v>#N/A</v>
      </c>
      <c r="U160" s="11" t="e">
        <f>VLOOKUP($G160, 'ADP Data'!$C$4:$Q$300, 8, FALSE)</f>
        <v>#N/A</v>
      </c>
      <c r="V160" s="11" t="e">
        <f t="shared" si="7"/>
        <v>#N/A</v>
      </c>
      <c r="W160" s="11">
        <f t="shared" si="8"/>
        <v>16</v>
      </c>
      <c r="X160" s="11">
        <f t="shared" si="9"/>
        <v>-16</v>
      </c>
      <c r="Y160" s="11" t="e">
        <f>VLOOKUP($G160, SeanRanks!$A$2:$K$303, 10, FALSE)-V160</f>
        <v>#N/A</v>
      </c>
      <c r="Z160" s="25" t="e">
        <f>IF(VLOOKUP($G160, SeanRanks!$A$2:$H$303, 7, FALSE)=0, "", VLOOKUP($G160, SeanRanks!$A$2:$H$303, 7, FALSE))</f>
        <v>#N/A</v>
      </c>
    </row>
    <row r="161" spans="1:26" ht="14.25" customHeight="1" x14ac:dyDescent="0.25">
      <c r="A161" s="11"/>
      <c r="B161" s="11">
        <f t="shared" si="3"/>
        <v>23</v>
      </c>
      <c r="C161" s="11" t="s">
        <v>148</v>
      </c>
      <c r="D161" s="11"/>
      <c r="E161" s="11"/>
      <c r="F161" s="11">
        <f>VLOOKUP(G161, SeanRanks!$A$2:$E$302, 4, FALSE)</f>
        <v>0</v>
      </c>
      <c r="G161" s="11" t="s">
        <v>495</v>
      </c>
      <c r="H161" s="11" t="str">
        <f>VLOOKUP($G161, 'ADP Data'!$C$4:$Q$300, 2, FALSE)</f>
        <v>IND</v>
      </c>
      <c r="I161" s="11">
        <f>VLOOKUP(G161, 'ADP Data'!$C$4:$R$498, 12, FALSE)</f>
        <v>224</v>
      </c>
      <c r="J161" s="11">
        <f>VLOOKUP($G161, SeanRanks!$A$2:$H$303, 5, FALSE)</f>
        <v>0</v>
      </c>
      <c r="K161" s="11" t="str">
        <f>IF(VLOOKUP($G161, SeanRanks!$A$2:$H$303, 6, FALSE)=0, "", VLOOKUP($G161, SeanRanks!$A$2:$H$303, 6, FALSE))</f>
        <v/>
      </c>
      <c r="L161" s="11">
        <f t="shared" si="4"/>
        <v>32</v>
      </c>
      <c r="M161" s="11">
        <f>VLOOKUP($G161, 'ADP Data'!$C$4:$Q$300, 9, FALSE)</f>
        <v>251</v>
      </c>
      <c r="N161" s="11">
        <f t="shared" si="5"/>
        <v>-14</v>
      </c>
      <c r="O161" s="11" t="str">
        <f>VLOOKUP($G161, 'ADP Data'!$C$4:$Q$300, 3, FALSE)</f>
        <v>-</v>
      </c>
      <c r="P161" s="11" t="e">
        <f t="shared" si="6"/>
        <v>#VALUE!</v>
      </c>
      <c r="Q161" s="11" t="str">
        <f>VLOOKUP($G161, 'ADP Data'!$C$4:$Q$300, 4, FALSE)</f>
        <v>-</v>
      </c>
      <c r="R161" s="11">
        <f>VLOOKUP($G161, 'ADP Data'!$C$4:$Q$300, 5, FALSE)</f>
        <v>307</v>
      </c>
      <c r="S161" s="11">
        <f>VLOOKUP($G161, 'ADP Data'!$C$4:$Q$300, 6, FALSE)</f>
        <v>252</v>
      </c>
      <c r="T161" s="11">
        <f>VLOOKUP($G161, 'ADP Data'!$C$4:$Q$300, 7, FALSE)</f>
        <v>252</v>
      </c>
      <c r="U161" s="11" t="str">
        <f>VLOOKUP($G161, 'ADP Data'!$C$4:$Q$300, 8, FALSE)</f>
        <v>-</v>
      </c>
      <c r="V161" s="11">
        <f t="shared" si="7"/>
        <v>265</v>
      </c>
      <c r="W161" s="11">
        <f t="shared" si="8"/>
        <v>34</v>
      </c>
      <c r="X161" s="11">
        <f t="shared" si="9"/>
        <v>-34</v>
      </c>
      <c r="Y161" s="11">
        <f>VLOOKUP($G161, SeanRanks!$A$2:$K$303, 10, FALSE)-V161</f>
        <v>-18</v>
      </c>
      <c r="Z161" s="25" t="str">
        <f>IF(VLOOKUP($G161, SeanRanks!$A$2:$H$303, 7, FALSE)=0, "", VLOOKUP($G161, SeanRanks!$A$2:$H$303, 7, FALSE))</f>
        <v/>
      </c>
    </row>
    <row r="162" spans="1:26" ht="14.25" customHeight="1" x14ac:dyDescent="0.25">
      <c r="A162" s="11"/>
      <c r="B162" s="11">
        <f t="shared" si="3"/>
        <v>18</v>
      </c>
      <c r="C162" s="11" t="s">
        <v>148</v>
      </c>
      <c r="D162" s="11"/>
      <c r="E162" s="11"/>
      <c r="F162" s="11">
        <f>VLOOKUP(G162, SeanRanks!$A$2:$E$302, 4, FALSE)</f>
        <v>0</v>
      </c>
      <c r="G162" s="11" t="s">
        <v>613</v>
      </c>
      <c r="H162" s="11" t="str">
        <f>VLOOKUP($G162, 'ADP Data'!$C$4:$Q$300, 2, FALSE)</f>
        <v>MIA</v>
      </c>
      <c r="I162" s="11">
        <f>VLOOKUP(G162, 'ADP Data'!$C$4:$R$498, 12, FALSE)</f>
        <v>230</v>
      </c>
      <c r="J162" s="11" t="str">
        <f>VLOOKUP($G162, SeanRanks!$A$2:$H$303, 5, FALSE)</f>
        <v>Yes</v>
      </c>
      <c r="K162" s="11" t="str">
        <f>IF(VLOOKUP($G162, SeanRanks!$A$2:$H$303, 6, FALSE)=0, "", VLOOKUP($G162, SeanRanks!$A$2:$H$303, 6, FALSE))</f>
        <v>RB5 - 1 - upside</v>
      </c>
      <c r="L162" s="11">
        <f t="shared" si="4"/>
        <v>22</v>
      </c>
      <c r="M162" s="11">
        <f>VLOOKUP($G162, 'ADP Data'!$C$4:$Q$300, 9, FALSE)</f>
        <v>172</v>
      </c>
      <c r="N162" s="11">
        <f t="shared" si="5"/>
        <v>-26</v>
      </c>
      <c r="O162" s="11" t="str">
        <f>VLOOKUP($G162, 'ADP Data'!$C$4:$Q$300, 3, FALSE)</f>
        <v>-</v>
      </c>
      <c r="P162" s="11" t="e">
        <f t="shared" si="6"/>
        <v>#VALUE!</v>
      </c>
      <c r="Q162" s="11">
        <f>VLOOKUP($G162, 'ADP Data'!$C$4:$Q$300, 4, FALSE)</f>
        <v>194</v>
      </c>
      <c r="R162" s="11">
        <f>VLOOKUP($G162, 'ADP Data'!$C$4:$Q$300, 5, FALSE)</f>
        <v>226</v>
      </c>
      <c r="S162" s="11">
        <f>VLOOKUP($G162, 'ADP Data'!$C$4:$Q$300, 6, FALSE)</f>
        <v>185</v>
      </c>
      <c r="T162" s="11">
        <f>VLOOKUP($G162, 'ADP Data'!$C$4:$Q$300, 7, FALSE)</f>
        <v>175</v>
      </c>
      <c r="U162" s="11">
        <f>VLOOKUP($G162, 'ADP Data'!$C$4:$Q$300, 8, FALSE)</f>
        <v>241</v>
      </c>
      <c r="V162" s="11">
        <f t="shared" si="7"/>
        <v>198</v>
      </c>
      <c r="W162" s="11">
        <f t="shared" si="8"/>
        <v>25</v>
      </c>
      <c r="X162" s="11">
        <f t="shared" si="9"/>
        <v>-25</v>
      </c>
      <c r="Y162" s="11">
        <f>VLOOKUP($G162, SeanRanks!$A$2:$K$303, 10, FALSE)-V162</f>
        <v>-9</v>
      </c>
      <c r="Z162" s="25">
        <f>IF(VLOOKUP($G162, SeanRanks!$A$2:$H$303, 7, FALSE)=0, "", VLOOKUP($G162, SeanRanks!$A$2:$H$303, 7, FALSE))</f>
        <v>54</v>
      </c>
    </row>
    <row r="163" spans="1:26" ht="14.25" customHeight="1" x14ac:dyDescent="0.25">
      <c r="A163" s="11"/>
      <c r="B163" s="11">
        <f t="shared" si="3"/>
        <v>17</v>
      </c>
      <c r="C163" s="11" t="s">
        <v>148</v>
      </c>
      <c r="D163" s="11"/>
      <c r="E163" s="11"/>
      <c r="F163" s="11">
        <f>VLOOKUP(G163, SeanRanks!$A$2:$E$302, 4, FALSE)</f>
        <v>0</v>
      </c>
      <c r="G163" s="11" t="s">
        <v>551</v>
      </c>
      <c r="H163" s="11" t="str">
        <f>VLOOKUP($G163, 'ADP Data'!$C$4:$Q$300, 2, FALSE)</f>
        <v>KC</v>
      </c>
      <c r="I163" s="11" t="str">
        <f>VLOOKUP(G163, 'ADP Data'!$C$4:$R$498, 12, FALSE)</f>
        <v>-</v>
      </c>
      <c r="J163" s="11">
        <f>VLOOKUP($G163, SeanRanks!$A$2:$H$303, 5, FALSE)</f>
        <v>0</v>
      </c>
      <c r="K163" s="11" t="str">
        <f>IF(VLOOKUP($G163, SeanRanks!$A$2:$H$303, 6, FALSE)=0, "", VLOOKUP($G163, SeanRanks!$A$2:$H$303, 6, FALSE))</f>
        <v/>
      </c>
      <c r="L163" s="11">
        <f t="shared" si="4"/>
        <v>24</v>
      </c>
      <c r="M163" s="11">
        <f>VLOOKUP($G163, 'ADP Data'!$C$4:$Q$300, 9, FALSE)</f>
        <v>191</v>
      </c>
      <c r="N163" s="11">
        <f t="shared" si="5"/>
        <v>-4</v>
      </c>
      <c r="O163" s="11">
        <f>VLOOKUP($G163, 'ADP Data'!$C$4:$Q$300, 3, FALSE)</f>
        <v>179</v>
      </c>
      <c r="P163" s="11">
        <f t="shared" si="6"/>
        <v>12</v>
      </c>
      <c r="Q163" s="11">
        <f>VLOOKUP($G163, 'ADP Data'!$C$4:$Q$300, 4, FALSE)</f>
        <v>187</v>
      </c>
      <c r="R163" s="11">
        <f>VLOOKUP($G163, 'ADP Data'!$C$4:$Q$300, 5, FALSE)</f>
        <v>235</v>
      </c>
      <c r="S163" s="11">
        <f>VLOOKUP($G163, 'ADP Data'!$C$4:$Q$300, 6, FALSE)</f>
        <v>239</v>
      </c>
      <c r="T163" s="11">
        <f>VLOOKUP($G163, 'ADP Data'!$C$4:$Q$300, 7, FALSE)</f>
        <v>202</v>
      </c>
      <c r="U163" s="11">
        <f>VLOOKUP($G163, 'ADP Data'!$C$4:$Q$300, 8, FALSE)</f>
        <v>137</v>
      </c>
      <c r="V163" s="11">
        <f t="shared" si="7"/>
        <v>195</v>
      </c>
      <c r="W163" s="11">
        <f t="shared" si="8"/>
        <v>25</v>
      </c>
      <c r="X163" s="11">
        <f t="shared" si="9"/>
        <v>-25</v>
      </c>
      <c r="Y163" s="11">
        <f>VLOOKUP($G163, SeanRanks!$A$2:$K$303, 10, FALSE)-V163</f>
        <v>-22</v>
      </c>
      <c r="Z163" s="25" t="str">
        <f>IF(VLOOKUP($G163, SeanRanks!$A$2:$H$303, 7, FALSE)=0, "", VLOOKUP($G163, SeanRanks!$A$2:$H$303, 7, FALSE))</f>
        <v/>
      </c>
    </row>
    <row r="164" spans="1:26" ht="14.25" customHeight="1" x14ac:dyDescent="0.25">
      <c r="A164" s="11"/>
      <c r="B164" s="11">
        <f t="shared" si="3"/>
        <v>11</v>
      </c>
      <c r="C164" s="11" t="s">
        <v>148</v>
      </c>
      <c r="D164" s="11"/>
      <c r="E164" s="11"/>
      <c r="F164" s="11">
        <f>VLOOKUP(G164, SeanRanks!$A$2:$E$302, 4, FALSE)</f>
        <v>0</v>
      </c>
      <c r="G164" s="11" t="s">
        <v>290</v>
      </c>
      <c r="H164" s="11" t="str">
        <f>VLOOKUP($G164, 'ADP Data'!$C$4:$Q$300, 2, FALSE)</f>
        <v>IND</v>
      </c>
      <c r="I164" s="11">
        <f>VLOOKUP(G164, 'ADP Data'!$C$4:$R$498, 12, FALSE)</f>
        <v>96</v>
      </c>
      <c r="J164" s="11" t="str">
        <f>VLOOKUP($G164, SeanRanks!$A$2:$H$303, 5, FALSE)</f>
        <v>No</v>
      </c>
      <c r="K164" s="11" t="str">
        <f>IF(VLOOKUP($G164, SeanRanks!$A$2:$H$303, 6, FALSE)=0, "", VLOOKUP($G164, SeanRanks!$A$2:$H$303, 6, FALSE))</f>
        <v>WR4 - 2 - unclear path to WR2</v>
      </c>
      <c r="L164" s="11">
        <f t="shared" si="4"/>
        <v>14</v>
      </c>
      <c r="M164" s="11">
        <f>VLOOKUP($G164, 'ADP Data'!$C$4:$Q$300, 9, FALSE)</f>
        <v>106</v>
      </c>
      <c r="N164" s="11">
        <f t="shared" si="5"/>
        <v>-15</v>
      </c>
      <c r="O164" s="11">
        <f>VLOOKUP($G164, 'ADP Data'!$C$4:$Q$300, 3, FALSE)</f>
        <v>129</v>
      </c>
      <c r="P164" s="11">
        <f t="shared" si="6"/>
        <v>-23</v>
      </c>
      <c r="Q164" s="11">
        <f>VLOOKUP($G164, 'ADP Data'!$C$4:$Q$300, 4, FALSE)</f>
        <v>135</v>
      </c>
      <c r="R164" s="11">
        <f>VLOOKUP($G164, 'ADP Data'!$C$4:$Q$300, 5, FALSE)</f>
        <v>128</v>
      </c>
      <c r="S164" s="11">
        <f>VLOOKUP($G164, 'ADP Data'!$C$4:$Q$300, 6, FALSE)</f>
        <v>112</v>
      </c>
      <c r="T164" s="11">
        <f>VLOOKUP($G164, 'ADP Data'!$C$4:$Q$300, 7, FALSE)</f>
        <v>96</v>
      </c>
      <c r="U164" s="11">
        <f>VLOOKUP($G164, 'ADP Data'!$C$4:$Q$300, 8, FALSE)</f>
        <v>141</v>
      </c>
      <c r="V164" s="11">
        <f t="shared" si="7"/>
        <v>121</v>
      </c>
      <c r="W164" s="11">
        <f t="shared" si="8"/>
        <v>16</v>
      </c>
      <c r="X164" s="11">
        <f t="shared" si="9"/>
        <v>-16</v>
      </c>
      <c r="Y164" s="11">
        <f>VLOOKUP($G164, SeanRanks!$A$2:$K$303, 10, FALSE)-V164</f>
        <v>-14</v>
      </c>
      <c r="Z164" s="25">
        <f>IF(VLOOKUP($G164, SeanRanks!$A$2:$H$303, 7, FALSE)=0, "", VLOOKUP($G164, SeanRanks!$A$2:$H$303, 7, FALSE))</f>
        <v>46</v>
      </c>
    </row>
    <row r="165" spans="1:26" ht="14.25" customHeight="1" x14ac:dyDescent="0.25">
      <c r="A165" s="11"/>
      <c r="B165" s="11">
        <f t="shared" si="3"/>
        <v>12</v>
      </c>
      <c r="C165" s="11" t="s">
        <v>148</v>
      </c>
      <c r="D165" s="11"/>
      <c r="E165" s="11"/>
      <c r="F165" s="11">
        <f>VLOOKUP(G165, SeanRanks!$A$2:$E$302, 4, FALSE)</f>
        <v>0</v>
      </c>
      <c r="G165" s="11" t="s">
        <v>621</v>
      </c>
      <c r="H165" s="11" t="str">
        <f>VLOOKUP($G165, 'ADP Data'!$C$4:$Q$300, 2, FALSE)</f>
        <v>ATL</v>
      </c>
      <c r="I165" s="11">
        <f>VLOOKUP(G165, 'ADP Data'!$C$4:$R$498, 12, FALSE)</f>
        <v>118</v>
      </c>
      <c r="J165" s="11">
        <f>VLOOKUP($G165, SeanRanks!$A$2:$H$303, 5, FALSE)</f>
        <v>0</v>
      </c>
      <c r="K165" s="11" t="str">
        <f>IF(VLOOKUP($G165, SeanRanks!$A$2:$H$303, 6, FALSE)=0, "", VLOOKUP($G165, SeanRanks!$A$2:$H$303, 6, FALSE))</f>
        <v>WR5 - 2 - floor play not league winner</v>
      </c>
      <c r="L165" s="11">
        <f t="shared" si="4"/>
        <v>16</v>
      </c>
      <c r="M165" s="11">
        <f>VLOOKUP($G165, 'ADP Data'!$C$4:$Q$300, 9, FALSE)</f>
        <v>120</v>
      </c>
      <c r="N165" s="11">
        <f t="shared" si="5"/>
        <v>-15</v>
      </c>
      <c r="O165" s="11">
        <f>VLOOKUP($G165, 'ADP Data'!$C$4:$Q$300, 3, FALSE)</f>
        <v>121</v>
      </c>
      <c r="P165" s="11">
        <f t="shared" si="6"/>
        <v>-1</v>
      </c>
      <c r="Q165" s="11">
        <f>VLOOKUP($G165, 'ADP Data'!$C$4:$Q$300, 4, FALSE)</f>
        <v>139</v>
      </c>
      <c r="R165" s="11">
        <f>VLOOKUP($G165, 'ADP Data'!$C$4:$Q$300, 5, FALSE)</f>
        <v>132</v>
      </c>
      <c r="S165" s="11">
        <f>VLOOKUP($G165, 'ADP Data'!$C$4:$Q$300, 6, FALSE)</f>
        <v>137</v>
      </c>
      <c r="T165" s="11">
        <f>VLOOKUP($G165, 'ADP Data'!$C$4:$Q$300, 7, FALSE)</f>
        <v>119</v>
      </c>
      <c r="U165" s="11">
        <f>VLOOKUP($G165, 'ADP Data'!$C$4:$Q$300, 8, FALSE)</f>
        <v>183</v>
      </c>
      <c r="V165" s="11">
        <f t="shared" si="7"/>
        <v>135</v>
      </c>
      <c r="W165" s="11">
        <f t="shared" si="8"/>
        <v>17</v>
      </c>
      <c r="X165" s="11">
        <f t="shared" si="9"/>
        <v>-17</v>
      </c>
      <c r="Y165" s="11">
        <f>VLOOKUP($G165, SeanRanks!$A$2:$K$303, 10, FALSE)-V165</f>
        <v>-5</v>
      </c>
      <c r="Z165" s="25">
        <f>IF(VLOOKUP($G165, SeanRanks!$A$2:$H$303, 7, FALSE)=0, "", VLOOKUP($G165, SeanRanks!$A$2:$H$303, 7, FALSE))</f>
        <v>56</v>
      </c>
    </row>
    <row r="166" spans="1:26" ht="14.25" customHeight="1" x14ac:dyDescent="0.25">
      <c r="A166" s="11"/>
      <c r="B166" s="11" t="e">
        <f t="shared" si="3"/>
        <v>#N/A</v>
      </c>
      <c r="C166" s="11" t="s">
        <v>148</v>
      </c>
      <c r="D166" s="11"/>
      <c r="E166" s="11"/>
      <c r="F166" s="11" t="e">
        <f>VLOOKUP(G166, SeanRanks!$A$2:$E$302, 4, FALSE)</f>
        <v>#N/A</v>
      </c>
      <c r="G166" s="11" t="s">
        <v>922</v>
      </c>
      <c r="H166" s="11" t="e">
        <f>VLOOKUP($G166, 'ADP Data'!$C$4:$Q$300, 2, FALSE)</f>
        <v>#N/A</v>
      </c>
      <c r="I166" s="11" t="e">
        <f>VLOOKUP(G166, 'ADP Data'!$C$4:$R$498, 12, FALSE)</f>
        <v>#N/A</v>
      </c>
      <c r="J166" s="11" t="e">
        <f>VLOOKUP($G166, SeanRanks!$A$2:$H$303, 5, FALSE)</f>
        <v>#N/A</v>
      </c>
      <c r="K166" s="11" t="e">
        <f>IF(VLOOKUP($G166, SeanRanks!$A$2:$H$303, 6, FALSE)=0, "", VLOOKUP($G166, SeanRanks!$A$2:$H$303, 6, FALSE))</f>
        <v>#N/A</v>
      </c>
      <c r="L166" s="11">
        <f t="shared" si="4"/>
        <v>16</v>
      </c>
      <c r="M166" s="11" t="e">
        <f>VLOOKUP($G166, 'ADP Data'!$C$4:$Q$300, 9, FALSE)</f>
        <v>#N/A</v>
      </c>
      <c r="N166" s="11" t="e">
        <f t="shared" si="5"/>
        <v>#N/A</v>
      </c>
      <c r="O166" s="11" t="e">
        <f>VLOOKUP($G166, 'ADP Data'!$C$4:$Q$300, 3, FALSE)</f>
        <v>#N/A</v>
      </c>
      <c r="P166" s="11" t="e">
        <f t="shared" si="6"/>
        <v>#N/A</v>
      </c>
      <c r="Q166" s="11" t="e">
        <f>VLOOKUP($G166, 'ADP Data'!$C$4:$Q$300, 4, FALSE)</f>
        <v>#N/A</v>
      </c>
      <c r="R166" s="11" t="e">
        <f>VLOOKUP($G166, 'ADP Data'!$C$4:$Q$300, 5, FALSE)</f>
        <v>#N/A</v>
      </c>
      <c r="S166" s="11" t="e">
        <f>VLOOKUP($G166, 'ADP Data'!$C$4:$Q$300, 6, FALSE)</f>
        <v>#N/A</v>
      </c>
      <c r="T166" s="11" t="e">
        <f>VLOOKUP($G166, 'ADP Data'!$C$4:$Q$300, 7, FALSE)</f>
        <v>#N/A</v>
      </c>
      <c r="U166" s="11" t="e">
        <f>VLOOKUP($G166, 'ADP Data'!$C$4:$Q$300, 8, FALSE)</f>
        <v>#N/A</v>
      </c>
      <c r="V166" s="11" t="e">
        <f t="shared" si="7"/>
        <v>#N/A</v>
      </c>
      <c r="W166" s="11">
        <f t="shared" si="8"/>
        <v>16</v>
      </c>
      <c r="X166" s="11">
        <f t="shared" si="9"/>
        <v>-16</v>
      </c>
      <c r="Y166" s="11" t="e">
        <f>VLOOKUP($G166, SeanRanks!$A$2:$K$303, 10, FALSE)-V166</f>
        <v>#N/A</v>
      </c>
      <c r="Z166" s="25" t="e">
        <f>IF(VLOOKUP($G166, SeanRanks!$A$2:$H$303, 7, FALSE)=0, "", VLOOKUP($G166, SeanRanks!$A$2:$H$303, 7, FALSE))</f>
        <v>#N/A</v>
      </c>
    </row>
    <row r="167" spans="1:26" ht="14.25" customHeight="1" x14ac:dyDescent="0.25">
      <c r="A167" s="11"/>
      <c r="B167" s="11">
        <f t="shared" si="3"/>
        <v>14</v>
      </c>
      <c r="C167" s="11" t="s">
        <v>148</v>
      </c>
      <c r="D167" s="11"/>
      <c r="E167" s="11"/>
      <c r="F167" s="11">
        <f>VLOOKUP(G167, SeanRanks!$A$2:$E$302, 4, FALSE)</f>
        <v>0</v>
      </c>
      <c r="G167" s="11" t="s">
        <v>489</v>
      </c>
      <c r="H167" s="11" t="str">
        <f>VLOOKUP($G167, 'ADP Data'!$C$4:$Q$300, 2, FALSE)</f>
        <v>PIT</v>
      </c>
      <c r="I167" s="11" t="str">
        <f>VLOOKUP(G167, 'ADP Data'!$C$4:$R$498, 12, FALSE)</f>
        <v>-</v>
      </c>
      <c r="J167" s="11">
        <f>VLOOKUP($G167, SeanRanks!$A$2:$H$303, 5, FALSE)</f>
        <v>0</v>
      </c>
      <c r="K167" s="11" t="str">
        <f>IF(VLOOKUP($G167, SeanRanks!$A$2:$H$303, 6, FALSE)=0, "", VLOOKUP($G167, SeanRanks!$A$2:$H$303, 6, FALSE))</f>
        <v/>
      </c>
      <c r="L167" s="11">
        <f t="shared" si="4"/>
        <v>20</v>
      </c>
      <c r="M167" s="11">
        <f>VLOOKUP($G167, 'ADP Data'!$C$4:$Q$300, 9, FALSE)</f>
        <v>154</v>
      </c>
      <c r="N167" s="11">
        <f t="shared" si="5"/>
        <v>-3</v>
      </c>
      <c r="O167" s="11">
        <f>VLOOKUP($G167, 'ADP Data'!$C$4:$Q$300, 3, FALSE)</f>
        <v>132</v>
      </c>
      <c r="P167" s="11">
        <f t="shared" si="6"/>
        <v>22</v>
      </c>
      <c r="Q167" s="11">
        <f>VLOOKUP($G167, 'ADP Data'!$C$4:$Q$300, 4, FALSE)</f>
        <v>90</v>
      </c>
      <c r="R167" s="11">
        <f>VLOOKUP($G167, 'ADP Data'!$C$4:$Q$300, 5, FALSE)</f>
        <v>213</v>
      </c>
      <c r="S167" s="11">
        <f>VLOOKUP($G167, 'ADP Data'!$C$4:$Q$300, 6, FALSE)</f>
        <v>215</v>
      </c>
      <c r="T167" s="11">
        <f>VLOOKUP($G167, 'ADP Data'!$C$4:$Q$300, 7, FALSE)</f>
        <v>167</v>
      </c>
      <c r="U167" s="11">
        <f>VLOOKUP($G167, 'ADP Data'!$C$4:$Q$300, 8, FALSE)</f>
        <v>131</v>
      </c>
      <c r="V167" s="11">
        <f t="shared" si="7"/>
        <v>157</v>
      </c>
      <c r="W167" s="11">
        <f t="shared" si="8"/>
        <v>20</v>
      </c>
      <c r="X167" s="11">
        <f t="shared" si="9"/>
        <v>-20</v>
      </c>
      <c r="Y167" s="11">
        <f>VLOOKUP($G167, SeanRanks!$A$2:$K$303, 10, FALSE)-V167</f>
        <v>9</v>
      </c>
      <c r="Z167" s="25" t="str">
        <f>IF(VLOOKUP($G167, SeanRanks!$A$2:$H$303, 7, FALSE)=0, "", VLOOKUP($G167, SeanRanks!$A$2:$H$303, 7, FALSE))</f>
        <v/>
      </c>
    </row>
    <row r="168" spans="1:26" ht="14.25" customHeight="1" x14ac:dyDescent="0.25">
      <c r="A168" s="11"/>
      <c r="B168" s="11">
        <f t="shared" si="3"/>
        <v>18</v>
      </c>
      <c r="C168" s="11" t="s">
        <v>148</v>
      </c>
      <c r="D168" s="11"/>
      <c r="E168" s="11"/>
      <c r="F168" s="11">
        <f>VLOOKUP(G168, SeanRanks!$A$2:$E$302, 4, FALSE)</f>
        <v>0</v>
      </c>
      <c r="G168" s="11" t="s">
        <v>588</v>
      </c>
      <c r="H168" s="11" t="str">
        <f>VLOOKUP($G168, 'ADP Data'!$C$4:$Q$300, 2, FALSE)</f>
        <v>LV</v>
      </c>
      <c r="I168" s="11">
        <f>VLOOKUP(G168, 'ADP Data'!$C$4:$R$498, 12, FALSE)</f>
        <v>163</v>
      </c>
      <c r="J168" s="11">
        <f>VLOOKUP($G168, SeanRanks!$A$2:$H$303, 5, FALSE)</f>
        <v>0</v>
      </c>
      <c r="K168" s="11" t="str">
        <f>IF(VLOOKUP($G168, SeanRanks!$A$2:$H$303, 6, FALSE)=0, "", VLOOKUP($G168, SeanRanks!$A$2:$H$303, 6, FALSE))</f>
        <v>Don’t Draft - Streamer</v>
      </c>
      <c r="L168" s="11">
        <f t="shared" si="4"/>
        <v>29</v>
      </c>
      <c r="M168" s="11">
        <f>VLOOKUP($G168, 'ADP Data'!$C$4:$Q$300, 9, FALSE)</f>
        <v>228</v>
      </c>
      <c r="N168" s="11">
        <f t="shared" si="5"/>
        <v>22</v>
      </c>
      <c r="O168" s="11">
        <f>VLOOKUP($G168, 'ADP Data'!$C$4:$Q$300, 3, FALSE)</f>
        <v>176</v>
      </c>
      <c r="P168" s="11">
        <f t="shared" si="6"/>
        <v>52</v>
      </c>
      <c r="Q168" s="11">
        <f>VLOOKUP($G168, 'ADP Data'!$C$4:$Q$300, 4, FALSE)</f>
        <v>207</v>
      </c>
      <c r="R168" s="11">
        <f>VLOOKUP($G168, 'ADP Data'!$C$4:$Q$300, 5, FALSE)</f>
        <v>238</v>
      </c>
      <c r="S168" s="11">
        <f>VLOOKUP($G168, 'ADP Data'!$C$4:$Q$300, 6, FALSE)</f>
        <v>198</v>
      </c>
      <c r="T168" s="11">
        <f>VLOOKUP($G168, 'ADP Data'!$C$4:$Q$300, 7, FALSE)</f>
        <v>191</v>
      </c>
      <c r="U168" s="11">
        <f>VLOOKUP($G168, 'ADP Data'!$C$4:$Q$300, 8, FALSE)</f>
        <v>205</v>
      </c>
      <c r="V168" s="11">
        <f t="shared" si="7"/>
        <v>206</v>
      </c>
      <c r="W168" s="11">
        <f t="shared" si="8"/>
        <v>26</v>
      </c>
      <c r="X168" s="11">
        <f t="shared" si="9"/>
        <v>-26</v>
      </c>
      <c r="Y168" s="11">
        <f>VLOOKUP($G168, SeanRanks!$A$2:$K$303, 10, FALSE)-V168</f>
        <v>-61</v>
      </c>
      <c r="Z168" s="25" t="str">
        <f>IF(VLOOKUP($G168, SeanRanks!$A$2:$H$303, 7, FALSE)=0, "", VLOOKUP($G168, SeanRanks!$A$2:$H$303, 7, FALSE))</f>
        <v/>
      </c>
    </row>
    <row r="169" spans="1:26" ht="14.25" customHeight="1" x14ac:dyDescent="0.25">
      <c r="A169" s="11"/>
      <c r="B169" s="11">
        <f t="shared" si="3"/>
        <v>25</v>
      </c>
      <c r="C169" s="11" t="s">
        <v>148</v>
      </c>
      <c r="D169" s="11"/>
      <c r="E169" s="11"/>
      <c r="F169" s="11">
        <f>VLOOKUP(G169, SeanRanks!$A$2:$E$302, 4, FALSE)</f>
        <v>0</v>
      </c>
      <c r="G169" s="11" t="s">
        <v>923</v>
      </c>
      <c r="H169" s="11" t="str">
        <f>VLOOKUP($G169, 'ADP Data'!$C$4:$Q$300, 2, FALSE)</f>
        <v>LAC</v>
      </c>
      <c r="I169" s="11">
        <f>VLOOKUP(G169, 'ADP Data'!$C$4:$R$498, 12, FALSE)</f>
        <v>270</v>
      </c>
      <c r="J169" s="11">
        <f>VLOOKUP($G169, SeanRanks!$A$2:$H$303, 5, FALSE)</f>
        <v>0</v>
      </c>
      <c r="K169" s="11" t="str">
        <f>IF(VLOOKUP($G169, SeanRanks!$A$2:$H$303, 6, FALSE)=0, "", VLOOKUP($G169, SeanRanks!$A$2:$H$303, 6, FALSE))</f>
        <v/>
      </c>
      <c r="L169" s="11">
        <f t="shared" si="4"/>
        <v>39</v>
      </c>
      <c r="M169" s="11">
        <f>VLOOKUP($G169, 'ADP Data'!$C$4:$Q$300, 9, FALSE)</f>
        <v>311</v>
      </c>
      <c r="N169" s="11">
        <f t="shared" si="5"/>
        <v>14</v>
      </c>
      <c r="O169" s="11" t="str">
        <f>VLOOKUP($G169, 'ADP Data'!$C$4:$Q$300, 3, FALSE)</f>
        <v>-</v>
      </c>
      <c r="P169" s="11" t="e">
        <f t="shared" si="6"/>
        <v>#VALUE!</v>
      </c>
      <c r="Q169" s="11">
        <f>VLOOKUP($G169, 'ADP Data'!$C$4:$Q$300, 4, FALSE)</f>
        <v>326</v>
      </c>
      <c r="R169" s="11" t="str">
        <f>VLOOKUP($G169, 'ADP Data'!$C$4:$Q$300, 5, FALSE)</f>
        <v>-</v>
      </c>
      <c r="S169" s="11">
        <f>VLOOKUP($G169, 'ADP Data'!$C$4:$Q$300, 6, FALSE)</f>
        <v>291</v>
      </c>
      <c r="T169" s="11" t="str">
        <f>VLOOKUP($G169, 'ADP Data'!$C$4:$Q$300, 7, FALSE)</f>
        <v>-</v>
      </c>
      <c r="U169" s="11">
        <f>VLOOKUP($G169, 'ADP Data'!$C$4:$Q$300, 8, FALSE)</f>
        <v>262</v>
      </c>
      <c r="V169" s="11">
        <f t="shared" si="7"/>
        <v>297</v>
      </c>
      <c r="W169" s="11">
        <f t="shared" si="8"/>
        <v>38</v>
      </c>
      <c r="X169" s="11">
        <f t="shared" si="9"/>
        <v>-38</v>
      </c>
      <c r="Y169" s="11" t="e">
        <f>VLOOKUP($G169, SeanRanks!$A$2:$K$303, 10, FALSE)-V169</f>
        <v>#VALUE!</v>
      </c>
      <c r="Z169" s="25" t="str">
        <f>IF(VLOOKUP($G169, SeanRanks!$A$2:$H$303, 7, FALSE)=0, "", VLOOKUP($G169, SeanRanks!$A$2:$H$303, 7, FALSE))</f>
        <v/>
      </c>
    </row>
    <row r="170" spans="1:26" ht="14.25" customHeight="1" x14ac:dyDescent="0.25">
      <c r="A170" s="11"/>
      <c r="B170" s="11" t="e">
        <f t="shared" si="3"/>
        <v>#N/A</v>
      </c>
      <c r="C170" s="11" t="s">
        <v>148</v>
      </c>
      <c r="D170" s="11"/>
      <c r="E170" s="11"/>
      <c r="F170" s="11" t="e">
        <f>VLOOKUP(G170, SeanRanks!$A$2:$E$302, 4, FALSE)</f>
        <v>#N/A</v>
      </c>
      <c r="G170" s="11" t="s">
        <v>924</v>
      </c>
      <c r="H170" s="11" t="e">
        <f>VLOOKUP($G170, 'ADP Data'!$C$4:$Q$300, 2, FALSE)</f>
        <v>#N/A</v>
      </c>
      <c r="I170" s="11" t="e">
        <f>VLOOKUP(G170, 'ADP Data'!$C$4:$R$498, 12, FALSE)</f>
        <v>#N/A</v>
      </c>
      <c r="J170" s="11" t="e">
        <f>VLOOKUP($G170, SeanRanks!$A$2:$H$303, 5, FALSE)</f>
        <v>#N/A</v>
      </c>
      <c r="K170" s="11" t="e">
        <f>IF(VLOOKUP($G170, SeanRanks!$A$2:$H$303, 6, FALSE)=0, "", VLOOKUP($G170, SeanRanks!$A$2:$H$303, 6, FALSE))</f>
        <v>#N/A</v>
      </c>
      <c r="L170" s="11">
        <f t="shared" si="4"/>
        <v>16</v>
      </c>
      <c r="M170" s="11" t="e">
        <f>VLOOKUP($G170, 'ADP Data'!$C$4:$Q$300, 9, FALSE)</f>
        <v>#N/A</v>
      </c>
      <c r="N170" s="11" t="e">
        <f t="shared" si="5"/>
        <v>#N/A</v>
      </c>
      <c r="O170" s="11" t="e">
        <f>VLOOKUP($G170, 'ADP Data'!$C$4:$Q$300, 3, FALSE)</f>
        <v>#N/A</v>
      </c>
      <c r="P170" s="11" t="e">
        <f t="shared" si="6"/>
        <v>#N/A</v>
      </c>
      <c r="Q170" s="11" t="e">
        <f>VLOOKUP($G170, 'ADP Data'!$C$4:$Q$300, 4, FALSE)</f>
        <v>#N/A</v>
      </c>
      <c r="R170" s="11" t="e">
        <f>VLOOKUP($G170, 'ADP Data'!$C$4:$Q$300, 5, FALSE)</f>
        <v>#N/A</v>
      </c>
      <c r="S170" s="11" t="e">
        <f>VLOOKUP($G170, 'ADP Data'!$C$4:$Q$300, 6, FALSE)</f>
        <v>#N/A</v>
      </c>
      <c r="T170" s="11" t="e">
        <f>VLOOKUP($G170, 'ADP Data'!$C$4:$Q$300, 7, FALSE)</f>
        <v>#N/A</v>
      </c>
      <c r="U170" s="11" t="e">
        <f>VLOOKUP($G170, 'ADP Data'!$C$4:$Q$300, 8, FALSE)</f>
        <v>#N/A</v>
      </c>
      <c r="V170" s="11" t="e">
        <f t="shared" si="7"/>
        <v>#N/A</v>
      </c>
      <c r="W170" s="11">
        <f t="shared" si="8"/>
        <v>16</v>
      </c>
      <c r="X170" s="11">
        <f t="shared" si="9"/>
        <v>-16</v>
      </c>
      <c r="Y170" s="11" t="e">
        <f>VLOOKUP($G170, SeanRanks!$A$2:$K$303, 10, FALSE)-V170</f>
        <v>#N/A</v>
      </c>
      <c r="Z170" s="25" t="e">
        <f>IF(VLOOKUP($G170, SeanRanks!$A$2:$H$303, 7, FALSE)=0, "", VLOOKUP($G170, SeanRanks!$A$2:$H$303, 7, FALSE))</f>
        <v>#N/A</v>
      </c>
    </row>
    <row r="171" spans="1:26" ht="14.25" customHeight="1" x14ac:dyDescent="0.25">
      <c r="A171" s="11"/>
      <c r="B171" s="11" t="e">
        <f t="shared" si="3"/>
        <v>#N/A</v>
      </c>
      <c r="C171" s="11" t="s">
        <v>148</v>
      </c>
      <c r="D171" s="11"/>
      <c r="E171" s="11"/>
      <c r="F171" s="11" t="e">
        <f>VLOOKUP(G171, SeanRanks!$A$2:$E$302, 4, FALSE)</f>
        <v>#N/A</v>
      </c>
      <c r="G171" s="11" t="s">
        <v>677</v>
      </c>
      <c r="H171" s="11" t="e">
        <f>VLOOKUP($G171, 'ADP Data'!$C$4:$Q$300, 2, FALSE)</f>
        <v>#N/A</v>
      </c>
      <c r="I171" s="11" t="e">
        <f>VLOOKUP(G171, 'ADP Data'!$C$4:$R$498, 12, FALSE)</f>
        <v>#N/A</v>
      </c>
      <c r="J171" s="11" t="e">
        <f>VLOOKUP($G171, SeanRanks!$A$2:$H$303, 5, FALSE)</f>
        <v>#N/A</v>
      </c>
      <c r="K171" s="11" t="e">
        <f>IF(VLOOKUP($G171, SeanRanks!$A$2:$H$303, 6, FALSE)=0, "", VLOOKUP($G171, SeanRanks!$A$2:$H$303, 6, FALSE))</f>
        <v>#N/A</v>
      </c>
      <c r="L171" s="11">
        <f t="shared" si="4"/>
        <v>16</v>
      </c>
      <c r="M171" s="11" t="e">
        <f>VLOOKUP($G171, 'ADP Data'!$C$4:$Q$300, 9, FALSE)</f>
        <v>#N/A</v>
      </c>
      <c r="N171" s="11" t="e">
        <f t="shared" si="5"/>
        <v>#N/A</v>
      </c>
      <c r="O171" s="11" t="e">
        <f>VLOOKUP($G171, 'ADP Data'!$C$4:$Q$300, 3, FALSE)</f>
        <v>#N/A</v>
      </c>
      <c r="P171" s="11" t="e">
        <f t="shared" si="6"/>
        <v>#N/A</v>
      </c>
      <c r="Q171" s="11" t="e">
        <f>VLOOKUP($G171, 'ADP Data'!$C$4:$Q$300, 4, FALSE)</f>
        <v>#N/A</v>
      </c>
      <c r="R171" s="11" t="e">
        <f>VLOOKUP($G171, 'ADP Data'!$C$4:$Q$300, 5, FALSE)</f>
        <v>#N/A</v>
      </c>
      <c r="S171" s="11" t="e">
        <f>VLOOKUP($G171, 'ADP Data'!$C$4:$Q$300, 6, FALSE)</f>
        <v>#N/A</v>
      </c>
      <c r="T171" s="11" t="e">
        <f>VLOOKUP($G171, 'ADP Data'!$C$4:$Q$300, 7, FALSE)</f>
        <v>#N/A</v>
      </c>
      <c r="U171" s="11" t="e">
        <f>VLOOKUP($G171, 'ADP Data'!$C$4:$Q$300, 8, FALSE)</f>
        <v>#N/A</v>
      </c>
      <c r="V171" s="11" t="e">
        <f t="shared" si="7"/>
        <v>#N/A</v>
      </c>
      <c r="W171" s="11">
        <f t="shared" si="8"/>
        <v>16</v>
      </c>
      <c r="X171" s="11">
        <f t="shared" si="9"/>
        <v>-16</v>
      </c>
      <c r="Y171" s="11" t="e">
        <f>VLOOKUP($G171, SeanRanks!$A$2:$K$303, 10, FALSE)-V171</f>
        <v>#N/A</v>
      </c>
      <c r="Z171" s="25" t="e">
        <f>IF(VLOOKUP($G171, SeanRanks!$A$2:$H$303, 7, FALSE)=0, "", VLOOKUP($G171, SeanRanks!$A$2:$H$303, 7, FALSE))</f>
        <v>#N/A</v>
      </c>
    </row>
    <row r="172" spans="1:26" ht="14.25" customHeight="1" x14ac:dyDescent="0.25">
      <c r="A172" s="11"/>
      <c r="B172" s="11">
        <f t="shared" si="3"/>
        <v>15</v>
      </c>
      <c r="C172" s="11" t="s">
        <v>148</v>
      </c>
      <c r="D172" s="11"/>
      <c r="E172" s="11"/>
      <c r="F172" s="11">
        <f>VLOOKUP(G172, SeanRanks!$A$2:$E$302, 4, FALSE)</f>
        <v>0</v>
      </c>
      <c r="G172" s="11" t="s">
        <v>602</v>
      </c>
      <c r="H172" s="11" t="str">
        <f>VLOOKUP($G172, 'ADP Data'!$C$4:$Q$300, 2, FALSE)</f>
        <v>BUF</v>
      </c>
      <c r="I172" s="11" t="str">
        <f>VLOOKUP(G172, 'ADP Data'!$C$4:$R$498, 12, FALSE)</f>
        <v>-</v>
      </c>
      <c r="J172" s="11">
        <f>VLOOKUP($G172, SeanRanks!$A$2:$H$303, 5, FALSE)</f>
        <v>0</v>
      </c>
      <c r="K172" s="11" t="str">
        <f>IF(VLOOKUP($G172, SeanRanks!$A$2:$H$303, 6, FALSE)=0, "", VLOOKUP($G172, SeanRanks!$A$2:$H$303, 6, FALSE))</f>
        <v/>
      </c>
      <c r="L172" s="11">
        <f t="shared" si="4"/>
        <v>29</v>
      </c>
      <c r="M172" s="11">
        <f>VLOOKUP($G172, 'ADP Data'!$C$4:$Q$300, 9, FALSE)</f>
        <v>231</v>
      </c>
      <c r="N172" s="11">
        <f t="shared" si="5"/>
        <v>56</v>
      </c>
      <c r="O172" s="11">
        <f>VLOOKUP($G172, 'ADP Data'!$C$4:$Q$300, 3, FALSE)</f>
        <v>128</v>
      </c>
      <c r="P172" s="11">
        <f t="shared" si="6"/>
        <v>103</v>
      </c>
      <c r="Q172" s="11">
        <f>VLOOKUP($G172, 'ADP Data'!$C$4:$Q$300, 4, FALSE)</f>
        <v>153</v>
      </c>
      <c r="R172" s="11">
        <f>VLOOKUP($G172, 'ADP Data'!$C$4:$Q$300, 5, FALSE)</f>
        <v>218</v>
      </c>
      <c r="S172" s="11">
        <f>VLOOKUP($G172, 'ADP Data'!$C$4:$Q$300, 6, FALSE)</f>
        <v>224</v>
      </c>
      <c r="T172" s="11">
        <f>VLOOKUP($G172, 'ADP Data'!$C$4:$Q$300, 7, FALSE)</f>
        <v>179</v>
      </c>
      <c r="U172" s="11">
        <f>VLOOKUP($G172, 'ADP Data'!$C$4:$Q$300, 8, FALSE)</f>
        <v>92</v>
      </c>
      <c r="V172" s="11">
        <f t="shared" si="7"/>
        <v>175</v>
      </c>
      <c r="W172" s="11">
        <f t="shared" si="8"/>
        <v>22</v>
      </c>
      <c r="X172" s="11">
        <f t="shared" si="9"/>
        <v>-22</v>
      </c>
      <c r="Y172" s="11">
        <f>VLOOKUP($G172, SeanRanks!$A$2:$K$303, 10, FALSE)-V172</f>
        <v>15</v>
      </c>
      <c r="Z172" s="25" t="str">
        <f>IF(VLOOKUP($G172, SeanRanks!$A$2:$H$303, 7, FALSE)=0, "", VLOOKUP($G172, SeanRanks!$A$2:$H$303, 7, FALSE))</f>
        <v/>
      </c>
    </row>
    <row r="173" spans="1:26" ht="14.25" customHeight="1" x14ac:dyDescent="0.25">
      <c r="A173" s="11"/>
      <c r="B173" s="11">
        <f t="shared" si="3"/>
        <v>17</v>
      </c>
      <c r="C173" s="11" t="s">
        <v>148</v>
      </c>
      <c r="D173" s="11"/>
      <c r="E173" s="11"/>
      <c r="F173" s="11">
        <f>VLOOKUP(G173, SeanRanks!$A$2:$E$302, 4, FALSE)</f>
        <v>0</v>
      </c>
      <c r="G173" s="11" t="s">
        <v>326</v>
      </c>
      <c r="H173" s="11" t="str">
        <f>VLOOKUP($G173, 'ADP Data'!$C$4:$Q$300, 2, FALSE)</f>
        <v>BAL</v>
      </c>
      <c r="I173" s="11">
        <f>VLOOKUP(G173, 'ADP Data'!$C$4:$R$498, 12, FALSE)</f>
        <v>186</v>
      </c>
      <c r="J173" s="11">
        <f>VLOOKUP($G173, SeanRanks!$A$2:$H$303, 5, FALSE)</f>
        <v>0</v>
      </c>
      <c r="K173" s="11" t="str">
        <f>IF(VLOOKUP($G173, SeanRanks!$A$2:$H$303, 6, FALSE)=0, "", VLOOKUP($G173, SeanRanks!$A$2:$H$303, 6, FALSE))</f>
        <v/>
      </c>
      <c r="L173" s="11">
        <f t="shared" si="4"/>
        <v>22</v>
      </c>
      <c r="M173" s="11">
        <f>VLOOKUP($G173, 'ADP Data'!$C$4:$Q$300, 9, FALSE)</f>
        <v>175</v>
      </c>
      <c r="N173" s="11">
        <f t="shared" si="5"/>
        <v>-14</v>
      </c>
      <c r="O173" s="11">
        <f>VLOOKUP($G173, 'ADP Data'!$C$4:$Q$300, 3, FALSE)</f>
        <v>187</v>
      </c>
      <c r="P173" s="11">
        <f t="shared" si="6"/>
        <v>-12</v>
      </c>
      <c r="Q173" s="11">
        <f>VLOOKUP($G173, 'ADP Data'!$C$4:$Q$300, 4, FALSE)</f>
        <v>203</v>
      </c>
      <c r="R173" s="11">
        <f>VLOOKUP($G173, 'ADP Data'!$C$4:$Q$300, 5, FALSE)</f>
        <v>261</v>
      </c>
      <c r="S173" s="11">
        <f>VLOOKUP($G173, 'ADP Data'!$C$4:$Q$300, 6, FALSE)</f>
        <v>157</v>
      </c>
      <c r="T173" s="11">
        <f>VLOOKUP($G173, 'ADP Data'!$C$4:$Q$300, 7, FALSE)</f>
        <v>182</v>
      </c>
      <c r="U173" s="11">
        <f>VLOOKUP($G173, 'ADP Data'!$C$4:$Q$300, 8, FALSE)</f>
        <v>160</v>
      </c>
      <c r="V173" s="11">
        <f t="shared" si="7"/>
        <v>189</v>
      </c>
      <c r="W173" s="11">
        <f t="shared" si="8"/>
        <v>24</v>
      </c>
      <c r="X173" s="11">
        <f t="shared" si="9"/>
        <v>-24</v>
      </c>
      <c r="Y173" s="11">
        <f>VLOOKUP($G173, SeanRanks!$A$2:$K$303, 10, FALSE)-V173</f>
        <v>53</v>
      </c>
      <c r="Z173" s="25" t="str">
        <f>IF(VLOOKUP($G173, SeanRanks!$A$2:$H$303, 7, FALSE)=0, "", VLOOKUP($G173, SeanRanks!$A$2:$H$303, 7, FALSE))</f>
        <v/>
      </c>
    </row>
    <row r="174" spans="1:26" ht="14.25" customHeight="1" x14ac:dyDescent="0.25">
      <c r="A174" s="11"/>
      <c r="B174" s="11" t="e">
        <f t="shared" si="3"/>
        <v>#N/A</v>
      </c>
      <c r="C174" s="11" t="s">
        <v>148</v>
      </c>
      <c r="D174" s="11"/>
      <c r="E174" s="11"/>
      <c r="F174" s="11" t="e">
        <f>VLOOKUP(G174, SeanRanks!$A$2:$E$302, 4, FALSE)</f>
        <v>#N/A</v>
      </c>
      <c r="G174" s="11" t="s">
        <v>925</v>
      </c>
      <c r="H174" s="11" t="e">
        <f>VLOOKUP($G174, 'ADP Data'!$C$4:$Q$300, 2, FALSE)</f>
        <v>#N/A</v>
      </c>
      <c r="I174" s="11" t="e">
        <f>VLOOKUP(G174, 'ADP Data'!$C$4:$R$498, 12, FALSE)</f>
        <v>#N/A</v>
      </c>
      <c r="J174" s="11" t="e">
        <f>VLOOKUP($G174, SeanRanks!$A$2:$H$303, 5, FALSE)</f>
        <v>#N/A</v>
      </c>
      <c r="K174" s="11" t="e">
        <f>IF(VLOOKUP($G174, SeanRanks!$A$2:$H$303, 6, FALSE)=0, "", VLOOKUP($G174, SeanRanks!$A$2:$H$303, 6, FALSE))</f>
        <v>#N/A</v>
      </c>
      <c r="L174" s="11">
        <f t="shared" si="4"/>
        <v>16</v>
      </c>
      <c r="M174" s="11" t="e">
        <f>VLOOKUP($G174, 'ADP Data'!$C$4:$Q$300, 9, FALSE)</f>
        <v>#N/A</v>
      </c>
      <c r="N174" s="11" t="e">
        <f t="shared" si="5"/>
        <v>#N/A</v>
      </c>
      <c r="O174" s="11" t="e">
        <f>VLOOKUP($G174, 'ADP Data'!$C$4:$Q$300, 3, FALSE)</f>
        <v>#N/A</v>
      </c>
      <c r="P174" s="11" t="e">
        <f t="shared" si="6"/>
        <v>#N/A</v>
      </c>
      <c r="Q174" s="11"/>
      <c r="R174" s="11"/>
      <c r="S174" s="11"/>
      <c r="T174" s="11"/>
      <c r="U174" s="11"/>
      <c r="V174" s="11" t="e">
        <f t="shared" si="7"/>
        <v>#N/A</v>
      </c>
      <c r="W174" s="11">
        <f t="shared" si="8"/>
        <v>16</v>
      </c>
      <c r="X174" s="11">
        <f t="shared" si="9"/>
        <v>-16</v>
      </c>
      <c r="Y174" s="11" t="e">
        <f>VLOOKUP($G174, SeanRanks!$A$2:$K$303, 10, FALSE)-V174</f>
        <v>#N/A</v>
      </c>
      <c r="Z174" s="25" t="e">
        <f>IF(VLOOKUP($G174, SeanRanks!$A$2:$H$303, 7, FALSE)=0, "", VLOOKUP($G174, SeanRanks!$A$2:$H$303, 7, FALSE))</f>
        <v>#N/A</v>
      </c>
    </row>
    <row r="175" spans="1:26" ht="14.25" customHeight="1" x14ac:dyDescent="0.25">
      <c r="A175" s="11"/>
      <c r="B175" s="11">
        <f t="shared" si="3"/>
        <v>18</v>
      </c>
      <c r="C175" s="11" t="s">
        <v>148</v>
      </c>
      <c r="D175" s="11"/>
      <c r="E175" s="11"/>
      <c r="F175" s="11">
        <f>VLOOKUP(G175, SeanRanks!$A$2:$E$302, 4, FALSE)</f>
        <v>0</v>
      </c>
      <c r="G175" s="11" t="s">
        <v>532</v>
      </c>
      <c r="H175" s="11" t="str">
        <f>VLOOKUP($G175, 'ADP Data'!$C$4:$Q$300, 2, FALSE)</f>
        <v>TB</v>
      </c>
      <c r="I175" s="11">
        <f>VLOOKUP(G175, 'ADP Data'!$C$4:$R$498, 12, FALSE)</f>
        <v>190</v>
      </c>
      <c r="J175" s="11">
        <f>VLOOKUP($G175, SeanRanks!$A$2:$H$303, 5, FALSE)</f>
        <v>0</v>
      </c>
      <c r="K175" s="11" t="str">
        <f>IF(VLOOKUP($G175, SeanRanks!$A$2:$H$303, 6, FALSE)=0, "", VLOOKUP($G175, SeanRanks!$A$2:$H$303, 6, FALSE))</f>
        <v/>
      </c>
      <c r="L175" s="11">
        <f t="shared" si="4"/>
        <v>29</v>
      </c>
      <c r="M175" s="11">
        <f>VLOOKUP($G175, 'ADP Data'!$C$4:$Q$300, 9, FALSE)</f>
        <v>227</v>
      </c>
      <c r="N175" s="11">
        <f t="shared" si="5"/>
        <v>17</v>
      </c>
      <c r="O175" s="11" t="str">
        <f>VLOOKUP($G175, 'ADP Data'!$C$4:$Q$300, 3, FALSE)</f>
        <v>-</v>
      </c>
      <c r="P175" s="11" t="e">
        <f t="shared" si="6"/>
        <v>#VALUE!</v>
      </c>
      <c r="Q175" s="11">
        <f>VLOOKUP($G175, 'ADP Data'!$C$4:$Q$300, 4, FALSE)</f>
        <v>200</v>
      </c>
      <c r="R175" s="11">
        <f>VLOOKUP($G175, 'ADP Data'!$C$4:$Q$300, 5, FALSE)</f>
        <v>242</v>
      </c>
      <c r="S175" s="11">
        <f>VLOOKUP($G175, 'ADP Data'!$C$4:$Q$300, 6, FALSE)</f>
        <v>167</v>
      </c>
      <c r="T175" s="11">
        <f>VLOOKUP($G175, 'ADP Data'!$C$4:$Q$300, 7, FALSE)</f>
        <v>215</v>
      </c>
      <c r="U175" s="11">
        <f>VLOOKUP($G175, 'ADP Data'!$C$4:$Q$300, 8, FALSE)</f>
        <v>211</v>
      </c>
      <c r="V175" s="11">
        <f t="shared" si="7"/>
        <v>210</v>
      </c>
      <c r="W175" s="11">
        <f t="shared" si="8"/>
        <v>27</v>
      </c>
      <c r="X175" s="11">
        <f t="shared" si="9"/>
        <v>-27</v>
      </c>
      <c r="Y175" s="11" t="e">
        <f>VLOOKUP($G175, SeanRanks!$A$2:$K$303, 10, FALSE)-V175</f>
        <v>#VALUE!</v>
      </c>
      <c r="Z175" s="25" t="str">
        <f>IF(VLOOKUP($G175, SeanRanks!$A$2:$H$303, 7, FALSE)=0, "", VLOOKUP($G175, SeanRanks!$A$2:$H$303, 7, FALSE))</f>
        <v/>
      </c>
    </row>
    <row r="176" spans="1:26" ht="14.25" customHeight="1" x14ac:dyDescent="0.25">
      <c r="A176" s="11"/>
      <c r="B176" s="11" t="e">
        <f t="shared" si="3"/>
        <v>#N/A</v>
      </c>
      <c r="C176" s="11" t="s">
        <v>148</v>
      </c>
      <c r="D176" s="11"/>
      <c r="E176" s="11"/>
      <c r="F176" s="11" t="e">
        <f>VLOOKUP(G176, SeanRanks!$A$2:$E$302, 4, FALSE)</f>
        <v>#N/A</v>
      </c>
      <c r="G176" s="11" t="s">
        <v>926</v>
      </c>
      <c r="H176" s="11" t="e">
        <f>VLOOKUP($G176, 'ADP Data'!$C$4:$Q$300, 2, FALSE)</f>
        <v>#N/A</v>
      </c>
      <c r="I176" s="11" t="e">
        <f>VLOOKUP(G176, 'ADP Data'!$C$4:$R$498, 12, FALSE)</f>
        <v>#N/A</v>
      </c>
      <c r="J176" s="11" t="e">
        <f>VLOOKUP($G176, SeanRanks!$A$2:$H$303, 5, FALSE)</f>
        <v>#N/A</v>
      </c>
      <c r="K176" s="11" t="e">
        <f>IF(VLOOKUP($G176, SeanRanks!$A$2:$H$303, 6, FALSE)=0, "", VLOOKUP($G176, SeanRanks!$A$2:$H$303, 6, FALSE))</f>
        <v>#N/A</v>
      </c>
      <c r="L176" s="11">
        <f t="shared" si="4"/>
        <v>16</v>
      </c>
      <c r="M176" s="11" t="e">
        <f>VLOOKUP($G176, 'ADP Data'!$C$4:$Q$300, 9, FALSE)</f>
        <v>#N/A</v>
      </c>
      <c r="N176" s="11" t="e">
        <f t="shared" si="5"/>
        <v>#N/A</v>
      </c>
      <c r="O176" s="11" t="e">
        <f>VLOOKUP($G176, 'ADP Data'!$C$4:$Q$300, 3, FALSE)</f>
        <v>#N/A</v>
      </c>
      <c r="P176" s="11" t="e">
        <f t="shared" si="6"/>
        <v>#N/A</v>
      </c>
      <c r="Q176" s="11" t="e">
        <f>VLOOKUP($G176, 'ADP Data'!$C$4:$Q$300, 4, FALSE)</f>
        <v>#N/A</v>
      </c>
      <c r="R176" s="11" t="e">
        <f>VLOOKUP($G176, 'ADP Data'!$C$4:$Q$300, 5, FALSE)</f>
        <v>#N/A</v>
      </c>
      <c r="S176" s="11" t="e">
        <f>VLOOKUP($G176, 'ADP Data'!$C$4:$Q$300, 6, FALSE)</f>
        <v>#N/A</v>
      </c>
      <c r="T176" s="11" t="e">
        <f>VLOOKUP($G176, 'ADP Data'!$C$4:$Q$300, 7, FALSE)</f>
        <v>#N/A</v>
      </c>
      <c r="U176" s="11" t="e">
        <f>VLOOKUP($G176, 'ADP Data'!$C$4:$Q$300, 8, FALSE)</f>
        <v>#N/A</v>
      </c>
      <c r="V176" s="11" t="e">
        <f t="shared" si="7"/>
        <v>#N/A</v>
      </c>
      <c r="W176" s="11">
        <f t="shared" si="8"/>
        <v>16</v>
      </c>
      <c r="X176" s="11">
        <f t="shared" si="9"/>
        <v>-16</v>
      </c>
      <c r="Y176" s="11" t="e">
        <f>VLOOKUP($G176, SeanRanks!$A$2:$K$303, 10, FALSE)-V176</f>
        <v>#N/A</v>
      </c>
      <c r="Z176" s="25" t="e">
        <f>IF(VLOOKUP($G176, SeanRanks!$A$2:$H$303, 7, FALSE)=0, "", VLOOKUP($G176, SeanRanks!$A$2:$H$303, 7, FALSE))</f>
        <v>#N/A</v>
      </c>
    </row>
    <row r="177" spans="1:26" ht="14.25" customHeight="1" x14ac:dyDescent="0.25">
      <c r="A177" s="11"/>
      <c r="B177" s="11">
        <f t="shared" si="3"/>
        <v>23</v>
      </c>
      <c r="C177" s="11" t="s">
        <v>148</v>
      </c>
      <c r="D177" s="11"/>
      <c r="E177" s="11"/>
      <c r="F177" s="11">
        <f>VLOOKUP(G177, SeanRanks!$A$2:$E$302, 4, FALSE)</f>
        <v>0</v>
      </c>
      <c r="G177" s="11" t="s">
        <v>268</v>
      </c>
      <c r="H177" s="11" t="str">
        <f>VLOOKUP($G177, 'ADP Data'!$C$4:$Q$300, 2, FALSE)</f>
        <v>ARI</v>
      </c>
      <c r="I177" s="11">
        <f>VLOOKUP(G177, 'ADP Data'!$C$4:$R$498, 12, FALSE)</f>
        <v>219</v>
      </c>
      <c r="J177" s="11">
        <f>VLOOKUP($G177, SeanRanks!$A$2:$H$303, 5, FALSE)</f>
        <v>0</v>
      </c>
      <c r="K177" s="11" t="str">
        <f>IF(VLOOKUP($G177, SeanRanks!$A$2:$H$303, 6, FALSE)=0, "", VLOOKUP($G177, SeanRanks!$A$2:$H$303, 6, FALSE))</f>
        <v/>
      </c>
      <c r="L177" s="11">
        <f t="shared" si="4"/>
        <v>32</v>
      </c>
      <c r="M177" s="11">
        <f>VLOOKUP($G177, 'ADP Data'!$C$4:$Q$300, 9, FALSE)</f>
        <v>252</v>
      </c>
      <c r="N177" s="11">
        <f t="shared" si="5"/>
        <v>-12</v>
      </c>
      <c r="O177" s="11" t="str">
        <f>VLOOKUP($G177, 'ADP Data'!$C$4:$Q$300, 3, FALSE)</f>
        <v>-</v>
      </c>
      <c r="P177" s="11" t="e">
        <f t="shared" si="6"/>
        <v>#VALUE!</v>
      </c>
      <c r="Q177" s="11" t="str">
        <f>VLOOKUP($G177, 'ADP Data'!$C$4:$Q$300, 4, FALSE)</f>
        <v>-</v>
      </c>
      <c r="R177" s="11">
        <f>VLOOKUP($G177, 'ADP Data'!$C$4:$Q$300, 5, FALSE)</f>
        <v>304</v>
      </c>
      <c r="S177" s="11">
        <f>VLOOKUP($G177, 'ADP Data'!$C$4:$Q$300, 6, FALSE)</f>
        <v>218</v>
      </c>
      <c r="T177" s="11">
        <f>VLOOKUP($G177, 'ADP Data'!$C$4:$Q$300, 7, FALSE)</f>
        <v>213</v>
      </c>
      <c r="U177" s="11">
        <f>VLOOKUP($G177, 'ADP Data'!$C$4:$Q$300, 8, FALSE)</f>
        <v>335</v>
      </c>
      <c r="V177" s="11">
        <f t="shared" si="7"/>
        <v>264</v>
      </c>
      <c r="W177" s="11">
        <f t="shared" si="8"/>
        <v>34</v>
      </c>
      <c r="X177" s="11">
        <f t="shared" si="9"/>
        <v>-34</v>
      </c>
      <c r="Y177" s="11">
        <f>VLOOKUP($G177, SeanRanks!$A$2:$K$303, 10, FALSE)-V177</f>
        <v>-23</v>
      </c>
      <c r="Z177" s="25" t="str">
        <f>IF(VLOOKUP($G177, SeanRanks!$A$2:$H$303, 7, FALSE)=0, "", VLOOKUP($G177, SeanRanks!$A$2:$H$303, 7, FALSE))</f>
        <v/>
      </c>
    </row>
    <row r="178" spans="1:26" ht="14.25" customHeight="1" x14ac:dyDescent="0.25">
      <c r="A178" s="11"/>
      <c r="B178" s="11">
        <f t="shared" si="3"/>
        <v>15</v>
      </c>
      <c r="C178" s="11" t="s">
        <v>148</v>
      </c>
      <c r="D178" s="11"/>
      <c r="E178" s="11"/>
      <c r="F178" s="11">
        <f>VLOOKUP(G178, SeanRanks!$A$2:$E$302, 4, FALSE)</f>
        <v>0</v>
      </c>
      <c r="G178" s="11" t="s">
        <v>397</v>
      </c>
      <c r="H178" s="11" t="str">
        <f>VLOOKUP($G178, 'ADP Data'!$C$4:$Q$300, 2, FALSE)</f>
        <v>NE</v>
      </c>
      <c r="I178" s="11">
        <f>VLOOKUP(G178, 'ADP Data'!$C$4:$R$498, 12, FALSE)</f>
        <v>160</v>
      </c>
      <c r="J178" s="11">
        <f>VLOOKUP($G178, SeanRanks!$A$2:$H$303, 5, FALSE)</f>
        <v>0</v>
      </c>
      <c r="K178" s="11" t="str">
        <f>IF(VLOOKUP($G178, SeanRanks!$A$2:$H$303, 6, FALSE)=0, "", VLOOKUP($G178, SeanRanks!$A$2:$H$303, 6, FALSE))</f>
        <v/>
      </c>
      <c r="L178" s="11">
        <f t="shared" si="4"/>
        <v>22</v>
      </c>
      <c r="M178" s="11">
        <f>VLOOKUP($G178, 'ADP Data'!$C$4:$Q$300, 9, FALSE)</f>
        <v>169</v>
      </c>
      <c r="N178" s="11">
        <f t="shared" si="5"/>
        <v>0</v>
      </c>
      <c r="O178" s="11">
        <f>VLOOKUP($G178, 'ADP Data'!$C$4:$Q$300, 3, FALSE)</f>
        <v>155</v>
      </c>
      <c r="P178" s="11">
        <f t="shared" si="6"/>
        <v>14</v>
      </c>
      <c r="Q178" s="11">
        <f>VLOOKUP($G178, 'ADP Data'!$C$4:$Q$300, 4, FALSE)</f>
        <v>155</v>
      </c>
      <c r="R178" s="11">
        <f>VLOOKUP($G178, 'ADP Data'!$C$4:$Q$300, 5, FALSE)</f>
        <v>225</v>
      </c>
      <c r="S178" s="11">
        <f>VLOOKUP($G178, 'ADP Data'!$C$4:$Q$300, 6, FALSE)</f>
        <v>140</v>
      </c>
      <c r="T178" s="11">
        <f>VLOOKUP($G178, 'ADP Data'!$C$4:$Q$300, 7, FALSE)</f>
        <v>168</v>
      </c>
      <c r="U178" s="11">
        <f>VLOOKUP($G178, 'ADP Data'!$C$4:$Q$300, 8, FALSE)</f>
        <v>173</v>
      </c>
      <c r="V178" s="11">
        <f t="shared" si="7"/>
        <v>169</v>
      </c>
      <c r="W178" s="11">
        <f t="shared" si="8"/>
        <v>22</v>
      </c>
      <c r="X178" s="11">
        <f t="shared" si="9"/>
        <v>-22</v>
      </c>
      <c r="Y178" s="11">
        <f>VLOOKUP($G178, SeanRanks!$A$2:$K$303, 10, FALSE)-V178</f>
        <v>-35</v>
      </c>
      <c r="Z178" s="25" t="str">
        <f>IF(VLOOKUP($G178, SeanRanks!$A$2:$H$303, 7, FALSE)=0, "", VLOOKUP($G178, SeanRanks!$A$2:$H$303, 7, FALSE))</f>
        <v/>
      </c>
    </row>
    <row r="179" spans="1:26" ht="14.25" customHeight="1" x14ac:dyDescent="0.25">
      <c r="A179" s="11"/>
      <c r="B179" s="11">
        <f t="shared" si="3"/>
        <v>23</v>
      </c>
      <c r="C179" s="11" t="s">
        <v>148</v>
      </c>
      <c r="D179" s="11"/>
      <c r="E179" s="11"/>
      <c r="F179" s="11">
        <f>VLOOKUP(G179, SeanRanks!$A$2:$E$302, 4, FALSE)</f>
        <v>0</v>
      </c>
      <c r="G179" s="11" t="s">
        <v>342</v>
      </c>
      <c r="H179" s="11" t="str">
        <f>VLOOKUP($G179, 'ADP Data'!$C$4:$Q$300, 2, FALSE)</f>
        <v>GB</v>
      </c>
      <c r="I179" s="11">
        <f>VLOOKUP(G179, 'ADP Data'!$C$4:$R$498, 12, FALSE)</f>
        <v>280</v>
      </c>
      <c r="J179" s="59">
        <f>VLOOKUP($G179, SeanRanks!$A$2:$H$303, 5, FALSE)</f>
        <v>0</v>
      </c>
      <c r="K179" s="11" t="str">
        <f>IF(VLOOKUP($G179, SeanRanks!$A$2:$H$303, 6, FALSE)=0, "", VLOOKUP($G179, SeanRanks!$A$2:$H$303, 6, FALSE))</f>
        <v>RB5 - 1 - upside</v>
      </c>
      <c r="L179" s="11">
        <f t="shared" si="4"/>
        <v>31</v>
      </c>
      <c r="M179" s="11">
        <f>VLOOKUP($G179, 'ADP Data'!$C$4:$Q$300, 9, FALSE)</f>
        <v>247</v>
      </c>
      <c r="N179" s="11">
        <f t="shared" si="5"/>
        <v>-22</v>
      </c>
      <c r="O179" s="11" t="str">
        <f>VLOOKUP($G179, 'ADP Data'!$C$4:$Q$300, 3, FALSE)</f>
        <v>-</v>
      </c>
      <c r="P179" s="11" t="e">
        <f t="shared" si="6"/>
        <v>#VALUE!</v>
      </c>
      <c r="Q179" s="11" t="str">
        <f>VLOOKUP($G179, 'ADP Data'!$C$4:$Q$300, 4, FALSE)</f>
        <v>-</v>
      </c>
      <c r="R179" s="11">
        <f>VLOOKUP($G179, 'ADP Data'!$C$4:$Q$300, 5, FALSE)</f>
        <v>296</v>
      </c>
      <c r="S179" s="11">
        <f>VLOOKUP($G179, 'ADP Data'!$C$4:$Q$300, 6, FALSE)</f>
        <v>255</v>
      </c>
      <c r="T179" s="11">
        <f>VLOOKUP($G179, 'ADP Data'!$C$4:$Q$300, 7, FALSE)</f>
        <v>235</v>
      </c>
      <c r="U179" s="11">
        <f>VLOOKUP($G179, 'ADP Data'!$C$4:$Q$300, 8, FALSE)</f>
        <v>315</v>
      </c>
      <c r="V179" s="11">
        <f t="shared" si="7"/>
        <v>269</v>
      </c>
      <c r="W179" s="11">
        <f t="shared" si="8"/>
        <v>34</v>
      </c>
      <c r="X179" s="11">
        <f t="shared" si="9"/>
        <v>-34</v>
      </c>
      <c r="Y179" s="11">
        <f>VLOOKUP($G179, SeanRanks!$A$2:$K$303, 10, FALSE)-V179</f>
        <v>-62</v>
      </c>
      <c r="Z179" s="25">
        <f>IF(VLOOKUP($G179, SeanRanks!$A$2:$H$303, 7, FALSE)=0, "", VLOOKUP($G179, SeanRanks!$A$2:$H$303, 7, FALSE))</f>
        <v>53</v>
      </c>
    </row>
    <row r="180" spans="1:26" ht="14.25" customHeight="1" x14ac:dyDescent="0.25">
      <c r="A180" s="11"/>
      <c r="B180" s="11">
        <f t="shared" si="3"/>
        <v>11</v>
      </c>
      <c r="C180" s="11" t="s">
        <v>148</v>
      </c>
      <c r="D180" s="11"/>
      <c r="E180" s="11"/>
      <c r="F180" s="11">
        <f>VLOOKUP(G180, SeanRanks!$A$2:$E$302, 4, FALSE)</f>
        <v>0</v>
      </c>
      <c r="G180" s="11" t="s">
        <v>527</v>
      </c>
      <c r="H180" s="11" t="str">
        <f>VLOOKUP($G180, 'ADP Data'!$C$4:$Q$300, 2, FALSE)</f>
        <v>DAL</v>
      </c>
      <c r="I180" s="11" t="str">
        <f>VLOOKUP(G180, 'ADP Data'!$C$4:$R$498, 12, FALSE)</f>
        <v>-</v>
      </c>
      <c r="J180" s="11">
        <f>VLOOKUP($G180, SeanRanks!$A$2:$H$303, 5, FALSE)</f>
        <v>0</v>
      </c>
      <c r="K180" s="11" t="str">
        <f>IF(VLOOKUP($G180, SeanRanks!$A$2:$H$303, 6, FALSE)=0, "", VLOOKUP($G180, SeanRanks!$A$2:$H$303, 6, FALSE))</f>
        <v/>
      </c>
      <c r="L180" s="11">
        <f t="shared" si="4"/>
        <v>17</v>
      </c>
      <c r="M180" s="11">
        <f>VLOOKUP($G180, 'ADP Data'!$C$4:$Q$300, 9, FALSE)</f>
        <v>131</v>
      </c>
      <c r="N180" s="11">
        <f t="shared" si="5"/>
        <v>14</v>
      </c>
      <c r="O180" s="11">
        <f>VLOOKUP($G180, 'ADP Data'!$C$4:$Q$300, 3, FALSE)</f>
        <v>104</v>
      </c>
      <c r="P180" s="11">
        <f t="shared" si="6"/>
        <v>27</v>
      </c>
      <c r="Q180" s="11"/>
      <c r="R180" s="11"/>
      <c r="S180" s="11"/>
      <c r="T180" s="11"/>
      <c r="U180" s="11"/>
      <c r="V180" s="11">
        <f t="shared" si="7"/>
        <v>117</v>
      </c>
      <c r="W180" s="11">
        <f t="shared" si="8"/>
        <v>15</v>
      </c>
      <c r="X180" s="11">
        <f t="shared" si="9"/>
        <v>-15</v>
      </c>
      <c r="Y180" s="11">
        <f>VLOOKUP($G180, SeanRanks!$A$2:$K$303, 10, FALSE)-V180</f>
        <v>64</v>
      </c>
      <c r="Z180" s="25" t="str">
        <f>IF(VLOOKUP($G180, SeanRanks!$A$2:$H$303, 7, FALSE)=0, "", VLOOKUP($G180, SeanRanks!$A$2:$H$303, 7, FALSE))</f>
        <v/>
      </c>
    </row>
    <row r="181" spans="1:26" ht="14.25" customHeight="1" x14ac:dyDescent="0.25">
      <c r="A181" s="11"/>
      <c r="B181" s="11">
        <f t="shared" si="3"/>
        <v>18</v>
      </c>
      <c r="C181" s="11" t="s">
        <v>148</v>
      </c>
      <c r="D181" s="11"/>
      <c r="E181" s="11"/>
      <c r="F181" s="11">
        <f>VLOOKUP(G181, SeanRanks!$A$2:$E$302, 4, FALSE)</f>
        <v>0</v>
      </c>
      <c r="G181" s="11" t="s">
        <v>609</v>
      </c>
      <c r="H181" s="11" t="str">
        <f>VLOOKUP($G181, 'ADP Data'!$C$4:$Q$300, 2, FALSE)</f>
        <v>CHI</v>
      </c>
      <c r="I181" s="11" t="str">
        <f>VLOOKUP(G181, 'ADP Data'!$C$4:$R$498, 12, FALSE)</f>
        <v>-</v>
      </c>
      <c r="J181" s="11">
        <f>VLOOKUP($G181, SeanRanks!$A$2:$H$303, 5, FALSE)</f>
        <v>0</v>
      </c>
      <c r="K181" s="11" t="str">
        <f>IF(VLOOKUP($G181, SeanRanks!$A$2:$H$303, 6, FALSE)=0, "", VLOOKUP($G181, SeanRanks!$A$2:$H$303, 6, FALSE))</f>
        <v/>
      </c>
      <c r="L181" s="11">
        <f t="shared" si="4"/>
        <v>16</v>
      </c>
      <c r="M181" s="11" t="str">
        <f>VLOOKUP($G181, 'ADP Data'!$C$4:$Q$300, 9, FALSE)</f>
        <v>-</v>
      </c>
      <c r="N181" s="11" t="e">
        <f t="shared" si="5"/>
        <v>#VALUE!</v>
      </c>
      <c r="O181" s="11">
        <f>VLOOKUP($G181, 'ADP Data'!$C$4:$Q$300, 3, FALSE)</f>
        <v>212</v>
      </c>
      <c r="P181" s="11" t="e">
        <f t="shared" si="6"/>
        <v>#VALUE!</v>
      </c>
      <c r="Q181" s="11">
        <f>VLOOKUP($G181, 'ADP Data'!$C$4:$Q$300, 4, FALSE)</f>
        <v>220</v>
      </c>
      <c r="R181" s="11" t="str">
        <f>VLOOKUP($G181, 'ADP Data'!$C$4:$Q$300, 5, FALSE)</f>
        <v>-</v>
      </c>
      <c r="S181" s="11">
        <f>VLOOKUP($G181, 'ADP Data'!$C$4:$Q$300, 6, FALSE)</f>
        <v>296</v>
      </c>
      <c r="T181" s="11">
        <f>VLOOKUP($G181, 'ADP Data'!$C$4:$Q$300, 7, FALSE)</f>
        <v>246</v>
      </c>
      <c r="U181" s="11">
        <f>VLOOKUP($G181, 'ADP Data'!$C$4:$Q$300, 8, FALSE)</f>
        <v>83</v>
      </c>
      <c r="V181" s="11">
        <f t="shared" si="7"/>
        <v>211</v>
      </c>
      <c r="W181" s="11">
        <f t="shared" si="8"/>
        <v>27</v>
      </c>
      <c r="X181" s="11">
        <f t="shared" si="9"/>
        <v>-27</v>
      </c>
      <c r="Y181" s="11" t="e">
        <f>VLOOKUP($G181, SeanRanks!$A$2:$K$303, 10, FALSE)-V181</f>
        <v>#VALUE!</v>
      </c>
      <c r="Z181" s="25" t="str">
        <f>IF(VLOOKUP($G181, SeanRanks!$A$2:$H$303, 7, FALSE)=0, "", VLOOKUP($G181, SeanRanks!$A$2:$H$303, 7, FALSE))</f>
        <v/>
      </c>
    </row>
    <row r="182" spans="1:26" ht="14.25" customHeight="1" x14ac:dyDescent="0.25">
      <c r="A182" s="11"/>
      <c r="B182" s="11">
        <f t="shared" si="3"/>
        <v>2</v>
      </c>
      <c r="C182" s="11" t="s">
        <v>148</v>
      </c>
      <c r="D182" s="11"/>
      <c r="E182" s="11"/>
      <c r="F182" s="11">
        <f>VLOOKUP(G182, SeanRanks!$A$2:$E$302, 4, FALSE)</f>
        <v>0</v>
      </c>
      <c r="G182" s="11" t="s">
        <v>189</v>
      </c>
      <c r="H182" s="11" t="str">
        <f>VLOOKUP($G182, 'ADP Data'!$C$4:$Q$300, 2, FALSE)</f>
        <v>TB</v>
      </c>
      <c r="I182" s="11">
        <f>VLOOKUP(G182, 'ADP Data'!$C$4:$R$498, 12, FALSE)</f>
        <v>21</v>
      </c>
      <c r="J182" s="11">
        <f>VLOOKUP($G182, SeanRanks!$A$2:$H$303, 5, FALSE)</f>
        <v>0</v>
      </c>
      <c r="K182" s="11" t="str">
        <f>IF(VLOOKUP($G182, SeanRanks!$A$2:$H$303, 6, FALSE)=0, "", VLOOKUP($G182, SeanRanks!$A$2:$H$303, 6, FALSE))</f>
        <v>RB1 - 2 - Elite ceiling/questions</v>
      </c>
      <c r="L182" s="11">
        <f t="shared" si="4"/>
        <v>3</v>
      </c>
      <c r="M182" s="11">
        <f>VLOOKUP($G182, 'ADP Data'!$C$4:$Q$300, 9, FALSE)</f>
        <v>22</v>
      </c>
      <c r="N182" s="11">
        <f t="shared" si="5"/>
        <v>0</v>
      </c>
      <c r="O182" s="11">
        <f>VLOOKUP($G182, 'ADP Data'!$C$4:$Q$300, 3, FALSE)</f>
        <v>22</v>
      </c>
      <c r="P182" s="11">
        <f t="shared" si="6"/>
        <v>0</v>
      </c>
      <c r="Q182" s="11">
        <f>VLOOKUP($G182, 'ADP Data'!$C$4:$Q$300, 4, FALSE)</f>
        <v>22</v>
      </c>
      <c r="R182" s="11">
        <f>VLOOKUP($G182, 'ADP Data'!$C$4:$Q$300, 5, FALSE)</f>
        <v>25</v>
      </c>
      <c r="S182" s="11">
        <f>VLOOKUP($G182, 'ADP Data'!$C$4:$Q$300, 6, FALSE)</f>
        <v>20</v>
      </c>
      <c r="T182" s="11">
        <f>VLOOKUP($G182, 'ADP Data'!$C$4:$Q$300, 7, FALSE)</f>
        <v>19</v>
      </c>
      <c r="U182" s="11">
        <f>VLOOKUP($G182, 'ADP Data'!$C$4:$Q$300, 8, FALSE)</f>
        <v>24</v>
      </c>
      <c r="V182" s="11">
        <f t="shared" si="7"/>
        <v>22</v>
      </c>
      <c r="W182" s="11">
        <f t="shared" si="8"/>
        <v>3</v>
      </c>
      <c r="X182" s="11">
        <f t="shared" si="9"/>
        <v>-3</v>
      </c>
      <c r="Y182" s="11">
        <f>VLOOKUP($G182, SeanRanks!$A$2:$K$303, 10, FALSE)-V182</f>
        <v>-5</v>
      </c>
      <c r="Z182" s="25">
        <f>IF(VLOOKUP($G182, SeanRanks!$A$2:$H$303, 7, FALSE)=0, "", VLOOKUP($G182, SeanRanks!$A$2:$H$303, 7, FALSE))</f>
        <v>9</v>
      </c>
    </row>
    <row r="183" spans="1:26" ht="14.25" customHeight="1" x14ac:dyDescent="0.25">
      <c r="A183" s="11"/>
      <c r="B183" s="11">
        <f t="shared" si="3"/>
        <v>15</v>
      </c>
      <c r="C183" s="11" t="s">
        <v>148</v>
      </c>
      <c r="D183" s="11"/>
      <c r="E183" s="11"/>
      <c r="F183" s="11">
        <f>VLOOKUP(G183, SeanRanks!$A$2:$E$302, 4, FALSE)</f>
        <v>0</v>
      </c>
      <c r="G183" s="11" t="s">
        <v>572</v>
      </c>
      <c r="H183" s="11" t="str">
        <f>VLOOKUP($G183, 'ADP Data'!$C$4:$Q$300, 2, FALSE)</f>
        <v>BAL</v>
      </c>
      <c r="I183" s="11">
        <f>VLOOKUP(G183, 'ADP Data'!$C$4:$R$498, 12, FALSE)</f>
        <v>123</v>
      </c>
      <c r="J183" s="11">
        <f>VLOOKUP($G183, SeanRanks!$A$2:$H$303, 5, FALSE)</f>
        <v>0</v>
      </c>
      <c r="K183" s="11" t="str">
        <f>IF(VLOOKUP($G183, SeanRanks!$A$2:$H$303, 6, FALSE)=0, "", VLOOKUP($G183, SeanRanks!$A$2:$H$303, 6, FALSE))</f>
        <v>WR5 - 1 - upside path</v>
      </c>
      <c r="L183" s="11">
        <f t="shared" si="4"/>
        <v>20</v>
      </c>
      <c r="M183" s="11">
        <f>VLOOKUP($G183, 'ADP Data'!$C$4:$Q$300, 9, FALSE)</f>
        <v>152</v>
      </c>
      <c r="N183" s="11">
        <f t="shared" si="5"/>
        <v>-10</v>
      </c>
      <c r="O183" s="11">
        <f>VLOOKUP($G183, 'ADP Data'!$C$4:$Q$300, 3, FALSE)</f>
        <v>144</v>
      </c>
      <c r="P183" s="11">
        <f t="shared" si="6"/>
        <v>8</v>
      </c>
      <c r="Q183" s="11">
        <f>VLOOKUP($G183, 'ADP Data'!$C$4:$Q$300, 4, FALSE)</f>
        <v>176</v>
      </c>
      <c r="R183" s="11">
        <f>VLOOKUP($G183, 'ADP Data'!$C$4:$Q$300, 5, FALSE)</f>
        <v>198</v>
      </c>
      <c r="S183" s="11">
        <f>VLOOKUP($G183, 'ADP Data'!$C$4:$Q$300, 6, FALSE)</f>
        <v>153</v>
      </c>
      <c r="T183" s="11">
        <f>VLOOKUP($G183, 'ADP Data'!$C$4:$Q$300, 7, FALSE)</f>
        <v>128</v>
      </c>
      <c r="U183" s="11">
        <f>VLOOKUP($G183, 'ADP Data'!$C$4:$Q$300, 8, FALSE)</f>
        <v>185</v>
      </c>
      <c r="V183" s="11">
        <f t="shared" si="7"/>
        <v>162</v>
      </c>
      <c r="W183" s="11">
        <f t="shared" si="8"/>
        <v>21</v>
      </c>
      <c r="X183" s="11">
        <f t="shared" si="9"/>
        <v>-21</v>
      </c>
      <c r="Y183" s="11">
        <f>VLOOKUP($G183, SeanRanks!$A$2:$K$303, 10, FALSE)-V183</f>
        <v>-36</v>
      </c>
      <c r="Z183" s="25">
        <f>IF(VLOOKUP($G183, SeanRanks!$A$2:$H$303, 7, FALSE)=0, "", VLOOKUP($G183, SeanRanks!$A$2:$H$303, 7, FALSE))</f>
        <v>52</v>
      </c>
    </row>
    <row r="184" spans="1:26" ht="14.25" customHeight="1" x14ac:dyDescent="0.25">
      <c r="A184" s="11"/>
      <c r="B184" s="11">
        <f t="shared" si="3"/>
        <v>15</v>
      </c>
      <c r="C184" s="11" t="s">
        <v>148</v>
      </c>
      <c r="D184" s="11"/>
      <c r="E184" s="11"/>
      <c r="F184" s="11">
        <f>VLOOKUP(G184, SeanRanks!$A$2:$E$302, 4, FALSE)</f>
        <v>0</v>
      </c>
      <c r="G184" s="11" t="s">
        <v>927</v>
      </c>
      <c r="H184" s="11" t="str">
        <f>VLOOKUP($G184, 'ADP Data'!$C$4:$Q$300, 2, FALSE)</f>
        <v>CAR</v>
      </c>
      <c r="I184" s="11">
        <f>VLOOKUP(G184, 'ADP Data'!$C$4:$R$498, 12, FALSE)</f>
        <v>161</v>
      </c>
      <c r="J184" s="11">
        <f>VLOOKUP($G184, SeanRanks!$A$2:$H$303, 5, FALSE)</f>
        <v>0</v>
      </c>
      <c r="K184" s="11" t="str">
        <f>IF(VLOOKUP($G184, SeanRanks!$A$2:$H$303, 6, FALSE)=0, "", VLOOKUP($G184, SeanRanks!$A$2:$H$303, 6, FALSE))</f>
        <v>WR5 - 1 - upside path</v>
      </c>
      <c r="L184" s="11">
        <f t="shared" si="4"/>
        <v>25</v>
      </c>
      <c r="M184" s="11">
        <f>VLOOKUP($G184, 'ADP Data'!$C$4:$Q$300, 9, FALSE)</f>
        <v>196</v>
      </c>
      <c r="N184" s="11">
        <f t="shared" si="5"/>
        <v>13</v>
      </c>
      <c r="O184" s="11">
        <f>VLOOKUP($G184, 'ADP Data'!$C$4:$Q$300, 3, FALSE)</f>
        <v>203</v>
      </c>
      <c r="P184" s="11">
        <f t="shared" si="6"/>
        <v>-7</v>
      </c>
      <c r="Q184" s="11">
        <f>VLOOKUP($G184, 'ADP Data'!$C$4:$Q$300, 4, FALSE)</f>
        <v>148</v>
      </c>
      <c r="R184" s="11">
        <f>VLOOKUP($G184, 'ADP Data'!$C$4:$Q$300, 5, FALSE)</f>
        <v>197</v>
      </c>
      <c r="S184" s="11">
        <f>VLOOKUP($G184, 'ADP Data'!$C$4:$Q$300, 6, FALSE)</f>
        <v>171</v>
      </c>
      <c r="T184" s="11">
        <f>VLOOKUP($G184, 'ADP Data'!$C$4:$Q$300, 7, FALSE)</f>
        <v>161</v>
      </c>
      <c r="U184" s="11">
        <f>VLOOKUP($G184, 'ADP Data'!$C$4:$Q$300, 8, FALSE)</f>
        <v>208</v>
      </c>
      <c r="V184" s="11">
        <f t="shared" si="7"/>
        <v>183</v>
      </c>
      <c r="W184" s="11">
        <f t="shared" si="8"/>
        <v>23</v>
      </c>
      <c r="X184" s="11">
        <f t="shared" si="9"/>
        <v>-23</v>
      </c>
      <c r="Y184" s="11">
        <f>VLOOKUP($G184, SeanRanks!$A$2:$K$303, 10, FALSE)-V184</f>
        <v>-13</v>
      </c>
      <c r="Z184" s="25">
        <f>IF(VLOOKUP($G184, SeanRanks!$A$2:$H$303, 7, FALSE)=0, "", VLOOKUP($G184, SeanRanks!$A$2:$H$303, 7, FALSE))</f>
        <v>54</v>
      </c>
    </row>
    <row r="185" spans="1:26" ht="14.25" customHeight="1" x14ac:dyDescent="0.25">
      <c r="A185" s="11"/>
      <c r="B185" s="11" t="e">
        <f t="shared" si="3"/>
        <v>#N/A</v>
      </c>
      <c r="C185" s="11" t="s">
        <v>148</v>
      </c>
      <c r="D185" s="11"/>
      <c r="E185" s="11"/>
      <c r="F185" s="11" t="e">
        <f>VLOOKUP(G185, SeanRanks!$A$2:$E$302, 4, FALSE)</f>
        <v>#N/A</v>
      </c>
      <c r="G185" s="11" t="s">
        <v>928</v>
      </c>
      <c r="H185" s="11" t="e">
        <f>VLOOKUP($G185, 'ADP Data'!$C$4:$Q$300, 2, FALSE)</f>
        <v>#N/A</v>
      </c>
      <c r="I185" s="11" t="e">
        <f>VLOOKUP(G185, 'ADP Data'!$C$4:$R$498, 12, FALSE)</f>
        <v>#N/A</v>
      </c>
      <c r="J185" s="11" t="e">
        <f>VLOOKUP($G185, SeanRanks!$A$2:$H$303, 5, FALSE)</f>
        <v>#N/A</v>
      </c>
      <c r="K185" s="11" t="e">
        <f>IF(VLOOKUP($G185, SeanRanks!$A$2:$H$303, 6, FALSE)=0, "", VLOOKUP($G185, SeanRanks!$A$2:$H$303, 6, FALSE))</f>
        <v>#N/A</v>
      </c>
      <c r="L185" s="11">
        <f t="shared" si="4"/>
        <v>16</v>
      </c>
      <c r="M185" s="11" t="e">
        <f>VLOOKUP($G185, 'ADP Data'!$C$4:$Q$300, 9, FALSE)</f>
        <v>#N/A</v>
      </c>
      <c r="N185" s="11" t="e">
        <f t="shared" si="5"/>
        <v>#N/A</v>
      </c>
      <c r="O185" s="11" t="e">
        <f>VLOOKUP($G185, 'ADP Data'!$C$4:$Q$300, 3, FALSE)</f>
        <v>#N/A</v>
      </c>
      <c r="P185" s="11" t="e">
        <f t="shared" si="6"/>
        <v>#N/A</v>
      </c>
      <c r="Q185" s="11" t="e">
        <f>VLOOKUP($G185, 'ADP Data'!$C$4:$Q$300, 4, FALSE)</f>
        <v>#N/A</v>
      </c>
      <c r="R185" s="11" t="e">
        <f>VLOOKUP($G185, 'ADP Data'!$C$4:$Q$300, 5, FALSE)</f>
        <v>#N/A</v>
      </c>
      <c r="S185" s="11" t="e">
        <f>VLOOKUP($G185, 'ADP Data'!$C$4:$Q$300, 6, FALSE)</f>
        <v>#N/A</v>
      </c>
      <c r="T185" s="11" t="e">
        <f>VLOOKUP($G185, 'ADP Data'!$C$4:$Q$300, 7, FALSE)</f>
        <v>#N/A</v>
      </c>
      <c r="U185" s="11" t="e">
        <f>VLOOKUP($G185, 'ADP Data'!$C$4:$Q$300, 8, FALSE)</f>
        <v>#N/A</v>
      </c>
      <c r="V185" s="11" t="e">
        <f t="shared" si="7"/>
        <v>#N/A</v>
      </c>
      <c r="W185" s="11">
        <f t="shared" si="8"/>
        <v>16</v>
      </c>
      <c r="X185" s="11">
        <f t="shared" si="9"/>
        <v>-16</v>
      </c>
      <c r="Y185" s="11" t="e">
        <f>VLOOKUP($G185, SeanRanks!$A$2:$K$303, 10, FALSE)-V185</f>
        <v>#N/A</v>
      </c>
      <c r="Z185" s="25" t="e">
        <f>IF(VLOOKUP($G185, SeanRanks!$A$2:$H$303, 7, FALSE)=0, "", VLOOKUP($G185, SeanRanks!$A$2:$H$303, 7, FALSE))</f>
        <v>#N/A</v>
      </c>
    </row>
    <row r="186" spans="1:26" ht="14.25" customHeight="1" x14ac:dyDescent="0.25">
      <c r="A186" s="11"/>
      <c r="B186" s="11">
        <f t="shared" si="3"/>
        <v>12</v>
      </c>
      <c r="C186" s="11" t="s">
        <v>148</v>
      </c>
      <c r="D186" s="11"/>
      <c r="E186" s="11"/>
      <c r="F186" s="11">
        <f>VLOOKUP(G186, SeanRanks!$A$2:$E$302, 4, FALSE)</f>
        <v>0</v>
      </c>
      <c r="G186" s="11" t="s">
        <v>446</v>
      </c>
      <c r="H186" s="11" t="str">
        <f>VLOOKUP($G186, 'ADP Data'!$C$4:$Q$300, 2, FALSE)</f>
        <v>NYJ</v>
      </c>
      <c r="I186" s="11">
        <f>VLOOKUP(G186, 'ADP Data'!$C$4:$R$498, 12, FALSE)</f>
        <v>109</v>
      </c>
      <c r="J186" s="11">
        <f>VLOOKUP($G186, SeanRanks!$A$2:$H$303, 5, FALSE)</f>
        <v>0</v>
      </c>
      <c r="K186" s="11" t="str">
        <f>IF(VLOOKUP($G186, SeanRanks!$A$2:$H$303, 6, FALSE)=0, "", VLOOKUP($G186, SeanRanks!$A$2:$H$303, 6, FALSE))</f>
        <v>RB4 - 2 - low ceiling</v>
      </c>
      <c r="L186" s="11">
        <f t="shared" si="4"/>
        <v>20</v>
      </c>
      <c r="M186" s="11">
        <f>VLOOKUP($G186, 'ADP Data'!$C$4:$Q$300, 9, FALSE)</f>
        <v>153</v>
      </c>
      <c r="N186" s="11">
        <f t="shared" si="5"/>
        <v>13</v>
      </c>
      <c r="O186" s="11">
        <f>VLOOKUP($G186, 'ADP Data'!$C$4:$Q$300, 3, FALSE)</f>
        <v>127</v>
      </c>
      <c r="P186" s="11">
        <f t="shared" si="6"/>
        <v>26</v>
      </c>
      <c r="Q186" s="11">
        <f>VLOOKUP($G186, 'ADP Data'!$C$4:$Q$300, 4, FALSE)</f>
        <v>156</v>
      </c>
      <c r="R186" s="11">
        <f>VLOOKUP($G186, 'ADP Data'!$C$4:$Q$300, 5, FALSE)</f>
        <v>109</v>
      </c>
      <c r="S186" s="11">
        <f>VLOOKUP($G186, 'ADP Data'!$C$4:$Q$300, 6, FALSE)</f>
        <v>108</v>
      </c>
      <c r="T186" s="11">
        <f>VLOOKUP($G186, 'ADP Data'!$C$4:$Q$300, 7, FALSE)</f>
        <v>132</v>
      </c>
      <c r="U186" s="11">
        <f>VLOOKUP($G186, 'ADP Data'!$C$4:$Q$300, 8, FALSE)</f>
        <v>197</v>
      </c>
      <c r="V186" s="11">
        <f t="shared" si="7"/>
        <v>140</v>
      </c>
      <c r="W186" s="11">
        <f t="shared" si="8"/>
        <v>18</v>
      </c>
      <c r="X186" s="11">
        <f t="shared" si="9"/>
        <v>-18</v>
      </c>
      <c r="Y186" s="11">
        <f>VLOOKUP($G186, SeanRanks!$A$2:$K$303, 10, FALSE)-V186</f>
        <v>-51</v>
      </c>
      <c r="Z186" s="25">
        <f>IF(VLOOKUP($G186, SeanRanks!$A$2:$H$303, 7, FALSE)=0, "", VLOOKUP($G186, SeanRanks!$A$2:$H$303, 7, FALSE))</f>
        <v>50</v>
      </c>
    </row>
    <row r="187" spans="1:26" ht="14.25" customHeight="1" x14ac:dyDescent="0.25">
      <c r="A187" s="11"/>
      <c r="B187" s="11">
        <f t="shared" si="3"/>
        <v>7</v>
      </c>
      <c r="C187" s="11" t="s">
        <v>148</v>
      </c>
      <c r="D187" s="11"/>
      <c r="E187" s="11"/>
      <c r="F187" s="11">
        <f>VLOOKUP(G187, SeanRanks!$A$2:$E$302, 4, FALSE)</f>
        <v>0</v>
      </c>
      <c r="G187" s="11" t="s">
        <v>318</v>
      </c>
      <c r="H187" s="11" t="str">
        <f>VLOOKUP($G187, 'ADP Data'!$C$4:$Q$300, 2, FALSE)</f>
        <v>DEN</v>
      </c>
      <c r="I187" s="11">
        <f>VLOOKUP(G187, 'ADP Data'!$C$4:$R$498, 12, FALSE)</f>
        <v>91</v>
      </c>
      <c r="J187" s="11">
        <f>VLOOKUP($G187, SeanRanks!$A$2:$H$303, 5, FALSE)</f>
        <v>0</v>
      </c>
      <c r="K187" s="11" t="str">
        <f>IF(VLOOKUP($G187, SeanRanks!$A$2:$H$303, 6, FALSE)=0, "", VLOOKUP($G187, SeanRanks!$A$2:$H$303, 6, FALSE))</f>
        <v>QB1 - 3 - Top 5 Ceiling</v>
      </c>
      <c r="L187" s="11">
        <f t="shared" si="4"/>
        <v>10</v>
      </c>
      <c r="M187" s="11">
        <f>VLOOKUP($G187, 'ADP Data'!$C$4:$Q$300, 9, FALSE)</f>
        <v>79</v>
      </c>
      <c r="N187" s="11">
        <f t="shared" si="5"/>
        <v>3</v>
      </c>
      <c r="O187" s="11">
        <f>VLOOKUP($G187, 'ADP Data'!$C$4:$Q$300, 3, FALSE)</f>
        <v>68</v>
      </c>
      <c r="P187" s="11">
        <f t="shared" si="6"/>
        <v>11</v>
      </c>
      <c r="Q187" s="11">
        <f>VLOOKUP($G187, 'ADP Data'!$C$4:$Q$300, 4, FALSE)</f>
        <v>66</v>
      </c>
      <c r="R187" s="11">
        <f>VLOOKUP($G187, 'ADP Data'!$C$4:$Q$300, 5, FALSE)</f>
        <v>87</v>
      </c>
      <c r="S187" s="11">
        <f>VLOOKUP($G187, 'ADP Data'!$C$4:$Q$300, 6, FALSE)</f>
        <v>89</v>
      </c>
      <c r="T187" s="11">
        <f>VLOOKUP($G187, 'ADP Data'!$C$4:$Q$300, 7, FALSE)</f>
        <v>83</v>
      </c>
      <c r="U187" s="11">
        <f>VLOOKUP($G187, 'ADP Data'!$C$4:$Q$300, 8, FALSE)</f>
        <v>64</v>
      </c>
      <c r="V187" s="11">
        <f t="shared" si="7"/>
        <v>76</v>
      </c>
      <c r="W187" s="11">
        <f t="shared" si="8"/>
        <v>10</v>
      </c>
      <c r="X187" s="11">
        <f t="shared" si="9"/>
        <v>-10</v>
      </c>
      <c r="Y187" s="11">
        <f>VLOOKUP($G187, SeanRanks!$A$2:$K$303, 10, FALSE)-V187</f>
        <v>7</v>
      </c>
      <c r="Z187" s="25">
        <f>IF(VLOOKUP($G187, SeanRanks!$A$2:$H$303, 7, FALSE)=0, "", VLOOKUP($G187, SeanRanks!$A$2:$H$303, 7, FALSE))</f>
        <v>7</v>
      </c>
    </row>
    <row r="188" spans="1:26" ht="14.25" customHeight="1" x14ac:dyDescent="0.25">
      <c r="A188" s="11"/>
      <c r="B188" s="11">
        <f t="shared" si="3"/>
        <v>18</v>
      </c>
      <c r="C188" s="11" t="s">
        <v>148</v>
      </c>
      <c r="D188" s="11"/>
      <c r="E188" s="11"/>
      <c r="F188" s="11">
        <f>VLOOKUP(G188, SeanRanks!$A$2:$E$302, 4, FALSE)</f>
        <v>0</v>
      </c>
      <c r="G188" s="11" t="s">
        <v>721</v>
      </c>
      <c r="H188" s="11" t="str">
        <f>VLOOKUP($G188, 'ADP Data'!$C$4:$Q$300, 2, FALSE)</f>
        <v>NE</v>
      </c>
      <c r="I188" s="11">
        <f>VLOOKUP(G188, 'ADP Data'!$C$4:$R$498, 12, FALSE)</f>
        <v>141</v>
      </c>
      <c r="J188" s="11">
        <f>VLOOKUP($G188, SeanRanks!$A$2:$H$303, 5, FALSE)</f>
        <v>0</v>
      </c>
      <c r="K188" s="11" t="str">
        <f>IF(VLOOKUP($G188, SeanRanks!$A$2:$H$303, 6, FALSE)=0, "", VLOOKUP($G188, SeanRanks!$A$2:$H$303, 6, FALSE))</f>
        <v>WR5 - 2 - floor play not league winner</v>
      </c>
      <c r="L188" s="11">
        <f t="shared" si="4"/>
        <v>25</v>
      </c>
      <c r="M188" s="11">
        <f>VLOOKUP($G188, 'ADP Data'!$C$4:$Q$300, 9, FALSE)</f>
        <v>199</v>
      </c>
      <c r="N188" s="11">
        <f t="shared" si="5"/>
        <v>-3</v>
      </c>
      <c r="O188" s="11">
        <f>VLOOKUP($G188, 'ADP Data'!$C$4:$Q$300, 3, FALSE)</f>
        <v>199</v>
      </c>
      <c r="P188" s="11">
        <f t="shared" si="6"/>
        <v>0</v>
      </c>
      <c r="Q188" s="11">
        <f>VLOOKUP($G188, 'ADP Data'!$C$4:$Q$300, 4, FALSE)</f>
        <v>224</v>
      </c>
      <c r="R188" s="11">
        <f>VLOOKUP($G188, 'ADP Data'!$C$4:$Q$300, 5, FALSE)</f>
        <v>231</v>
      </c>
      <c r="S188" s="11">
        <f>VLOOKUP($G188, 'ADP Data'!$C$4:$Q$300, 6, FALSE)</f>
        <v>159</v>
      </c>
      <c r="T188" s="11">
        <f>VLOOKUP($G188, 'ADP Data'!$C$4:$Q$300, 7, FALSE)</f>
        <v>145</v>
      </c>
      <c r="U188" s="11">
        <f>VLOOKUP($G188, 'ADP Data'!$C$4:$Q$300, 8, FALSE)</f>
        <v>263</v>
      </c>
      <c r="V188" s="11">
        <f t="shared" si="7"/>
        <v>202</v>
      </c>
      <c r="W188" s="11">
        <f t="shared" si="8"/>
        <v>26</v>
      </c>
      <c r="X188" s="11">
        <f t="shared" si="9"/>
        <v>-26</v>
      </c>
      <c r="Y188" s="11">
        <f>VLOOKUP($G188, SeanRanks!$A$2:$K$303, 10, FALSE)-V188</f>
        <v>-46</v>
      </c>
      <c r="Z188" s="25">
        <f>IF(VLOOKUP($G188, SeanRanks!$A$2:$H$303, 7, FALSE)=0, "", VLOOKUP($G188, SeanRanks!$A$2:$H$303, 7, FALSE))</f>
        <v>59</v>
      </c>
    </row>
    <row r="189" spans="1:26" ht="14.25" customHeight="1" x14ac:dyDescent="0.25">
      <c r="A189" s="11"/>
      <c r="B189" s="11">
        <f t="shared" si="3"/>
        <v>14</v>
      </c>
      <c r="C189" s="11" t="s">
        <v>148</v>
      </c>
      <c r="D189" s="11"/>
      <c r="E189" s="11"/>
      <c r="F189" s="11">
        <f>VLOOKUP(G189, SeanRanks!$A$2:$E$302, 4, FALSE)</f>
        <v>0</v>
      </c>
      <c r="G189" s="11" t="s">
        <v>636</v>
      </c>
      <c r="H189" s="11" t="str">
        <f>VLOOKUP($G189, 'ADP Data'!$C$4:$Q$300, 2, FALSE)</f>
        <v>KC</v>
      </c>
      <c r="I189" s="11" t="str">
        <f>VLOOKUP(G189, 'ADP Data'!$C$4:$R$498, 12, FALSE)</f>
        <v>-</v>
      </c>
      <c r="J189" s="11">
        <f>VLOOKUP($G189, SeanRanks!$A$2:$H$303, 5, FALSE)</f>
        <v>0</v>
      </c>
      <c r="K189" s="11" t="str">
        <f>IF(VLOOKUP($G189, SeanRanks!$A$2:$H$303, 6, FALSE)=0, "", VLOOKUP($G189, SeanRanks!$A$2:$H$303, 6, FALSE))</f>
        <v/>
      </c>
      <c r="L189" s="11">
        <f t="shared" si="4"/>
        <v>21</v>
      </c>
      <c r="M189" s="11">
        <f>VLOOKUP($G189, 'ADP Data'!$C$4:$Q$300, 9, FALSE)</f>
        <v>161</v>
      </c>
      <c r="N189" s="11">
        <f t="shared" si="5"/>
        <v>-12</v>
      </c>
      <c r="O189" s="11">
        <f>VLOOKUP($G189, 'ADP Data'!$C$4:$Q$300, 3, FALSE)</f>
        <v>185</v>
      </c>
      <c r="P189" s="11">
        <f t="shared" si="6"/>
        <v>-24</v>
      </c>
      <c r="Q189" s="11"/>
      <c r="R189" s="11"/>
      <c r="S189" s="11"/>
      <c r="T189" s="11"/>
      <c r="U189" s="11"/>
      <c r="V189" s="11">
        <f t="shared" si="7"/>
        <v>173</v>
      </c>
      <c r="W189" s="11">
        <f t="shared" si="8"/>
        <v>22</v>
      </c>
      <c r="X189" s="11">
        <f t="shared" si="9"/>
        <v>-22</v>
      </c>
      <c r="Y189" s="11">
        <f>VLOOKUP($G189, SeanRanks!$A$2:$K$303, 10, FALSE)-V189</f>
        <v>53</v>
      </c>
      <c r="Z189" s="25" t="str">
        <f>IF(VLOOKUP($G189, SeanRanks!$A$2:$H$303, 7, FALSE)=0, "", VLOOKUP($G189, SeanRanks!$A$2:$H$303, 7, FALSE))</f>
        <v/>
      </c>
    </row>
    <row r="190" spans="1:26" ht="14.25" customHeight="1" x14ac:dyDescent="0.25">
      <c r="A190" s="11"/>
      <c r="B190" s="11">
        <f t="shared" si="3"/>
        <v>24</v>
      </c>
      <c r="C190" s="11" t="s">
        <v>148</v>
      </c>
      <c r="D190" s="11"/>
      <c r="E190" s="11"/>
      <c r="F190" s="11" t="e">
        <f>VLOOKUP(G190, SeanRanks!$A$2:$E$302, 4, FALSE)</f>
        <v>#N/A</v>
      </c>
      <c r="G190" s="11" t="s">
        <v>929</v>
      </c>
      <c r="H190" s="11" t="str">
        <f>VLOOKUP($G190, 'ADP Data'!$C$4:$Q$300, 2, FALSE)</f>
        <v>MIA</v>
      </c>
      <c r="I190" s="11" t="str">
        <f>VLOOKUP(G190, 'ADP Data'!$C$4:$R$498, 12, FALSE)</f>
        <v>-</v>
      </c>
      <c r="J190" s="11" t="e">
        <f>VLOOKUP($G190, SeanRanks!$A$2:$H$303, 5, FALSE)</f>
        <v>#N/A</v>
      </c>
      <c r="K190" s="11" t="e">
        <f>IF(VLOOKUP($G190, SeanRanks!$A$2:$H$303, 6, FALSE)=0, "", VLOOKUP($G190, SeanRanks!$A$2:$H$303, 6, FALSE))</f>
        <v>#N/A</v>
      </c>
      <c r="L190" s="11">
        <f t="shared" si="4"/>
        <v>31</v>
      </c>
      <c r="M190" s="11">
        <f>VLOOKUP($G190, 'ADP Data'!$C$4:$Q$300, 9, FALSE)</f>
        <v>245</v>
      </c>
      <c r="N190" s="11">
        <f t="shared" si="5"/>
        <v>-31</v>
      </c>
      <c r="O190" s="11" t="str">
        <f>VLOOKUP($G190, 'ADP Data'!$C$4:$Q$300, 3, FALSE)</f>
        <v>-</v>
      </c>
      <c r="P190" s="11" t="e">
        <f t="shared" si="6"/>
        <v>#VALUE!</v>
      </c>
      <c r="Q190" s="11">
        <f>VLOOKUP($G190, 'ADP Data'!$C$4:$Q$300, 4, FALSE)</f>
        <v>248</v>
      </c>
      <c r="R190" s="11">
        <f>VLOOKUP($G190, 'ADP Data'!$C$4:$Q$300, 5, FALSE)</f>
        <v>343</v>
      </c>
      <c r="S190" s="11">
        <f>VLOOKUP($G190, 'ADP Data'!$C$4:$Q$300, 6, FALSE)</f>
        <v>333</v>
      </c>
      <c r="T190" s="11">
        <f>VLOOKUP($G190, 'ADP Data'!$C$4:$Q$300, 7, FALSE)</f>
        <v>273</v>
      </c>
      <c r="U190" s="11">
        <f>VLOOKUP($G190, 'ADP Data'!$C$4:$Q$300, 8, FALSE)</f>
        <v>217</v>
      </c>
      <c r="V190" s="11">
        <f t="shared" si="7"/>
        <v>276</v>
      </c>
      <c r="W190" s="11">
        <f t="shared" si="8"/>
        <v>35</v>
      </c>
      <c r="X190" s="11">
        <f t="shared" si="9"/>
        <v>-35</v>
      </c>
      <c r="Y190" s="11" t="e">
        <f>VLOOKUP($G190, SeanRanks!$A$2:$K$303, 10, FALSE)-V190</f>
        <v>#N/A</v>
      </c>
      <c r="Z190" s="25" t="e">
        <f>IF(VLOOKUP($G190, SeanRanks!$A$2:$H$303, 7, FALSE)=0, "", VLOOKUP($G190, SeanRanks!$A$2:$H$303, 7, FALSE))</f>
        <v>#N/A</v>
      </c>
    </row>
    <row r="191" spans="1:26" ht="14.25" customHeight="1" x14ac:dyDescent="0.25">
      <c r="A191" s="11"/>
      <c r="B191" s="11">
        <f t="shared" si="3"/>
        <v>13</v>
      </c>
      <c r="C191" s="11" t="s">
        <v>148</v>
      </c>
      <c r="D191" s="11"/>
      <c r="E191" s="11"/>
      <c r="F191" s="11">
        <f>VLOOKUP(G191, SeanRanks!$A$2:$E$302, 4, FALSE)</f>
        <v>0</v>
      </c>
      <c r="G191" s="11" t="s">
        <v>487</v>
      </c>
      <c r="H191" s="11" t="str">
        <f>VLOOKUP($G191, 'ADP Data'!$C$4:$Q$300, 2, FALSE)</f>
        <v>PHI</v>
      </c>
      <c r="I191" s="11" t="str">
        <f>VLOOKUP(G191, 'ADP Data'!$C$4:$R$498, 12, FALSE)</f>
        <v>-</v>
      </c>
      <c r="J191" s="11">
        <f>VLOOKUP($G191, SeanRanks!$A$2:$H$303, 5, FALSE)</f>
        <v>0</v>
      </c>
      <c r="K191" s="11" t="str">
        <f>IF(VLOOKUP($G191, SeanRanks!$A$2:$H$303, 6, FALSE)=0, "", VLOOKUP($G191, SeanRanks!$A$2:$H$303, 6, FALSE))</f>
        <v/>
      </c>
      <c r="L191" s="11">
        <f t="shared" si="4"/>
        <v>19</v>
      </c>
      <c r="M191" s="11">
        <f>VLOOKUP($G191, 'ADP Data'!$C$4:$Q$300, 9, FALSE)</f>
        <v>144</v>
      </c>
      <c r="N191" s="11">
        <f t="shared" si="5"/>
        <v>3</v>
      </c>
      <c r="O191" s="11">
        <f>VLOOKUP($G191, 'ADP Data'!$C$4:$Q$300, 3, FALSE)</f>
        <v>87</v>
      </c>
      <c r="P191" s="11">
        <f t="shared" si="6"/>
        <v>57</v>
      </c>
      <c r="Q191" s="11">
        <f>VLOOKUP($G191, 'ADP Data'!$C$4:$Q$300, 4, FALSE)</f>
        <v>130</v>
      </c>
      <c r="R191" s="11">
        <f>VLOOKUP($G191, 'ADP Data'!$C$4:$Q$300, 5, FALSE)</f>
        <v>164</v>
      </c>
      <c r="S191" s="11">
        <f>VLOOKUP($G191, 'ADP Data'!$C$4:$Q$300, 6, FALSE)</f>
        <v>214</v>
      </c>
      <c r="T191" s="11">
        <f>VLOOKUP($G191, 'ADP Data'!$C$4:$Q$300, 7, FALSE)</f>
        <v>160</v>
      </c>
      <c r="U191" s="11">
        <f>VLOOKUP($G191, 'ADP Data'!$C$4:$Q$300, 8, FALSE)</f>
        <v>93</v>
      </c>
      <c r="V191" s="11">
        <f t="shared" si="7"/>
        <v>141</v>
      </c>
      <c r="W191" s="11">
        <f t="shared" si="8"/>
        <v>18</v>
      </c>
      <c r="X191" s="11">
        <f t="shared" si="9"/>
        <v>-18</v>
      </c>
      <c r="Y191" s="11">
        <f>VLOOKUP($G191, SeanRanks!$A$2:$K$303, 10, FALSE)-V191</f>
        <v>24</v>
      </c>
      <c r="Z191" s="25" t="str">
        <f>IF(VLOOKUP($G191, SeanRanks!$A$2:$H$303, 7, FALSE)=0, "", VLOOKUP($G191, SeanRanks!$A$2:$H$303, 7, FALSE))</f>
        <v/>
      </c>
    </row>
    <row r="192" spans="1:26" ht="14.25" customHeight="1" x14ac:dyDescent="0.25">
      <c r="A192" s="11"/>
      <c r="B192" s="11">
        <f t="shared" si="3"/>
        <v>15</v>
      </c>
      <c r="C192" s="11" t="s">
        <v>148</v>
      </c>
      <c r="D192" s="11"/>
      <c r="E192" s="11"/>
      <c r="F192" s="11">
        <f>VLOOKUP(G192, SeanRanks!$A$2:$E$302, 4, FALSE)</f>
        <v>0</v>
      </c>
      <c r="G192" s="11" t="s">
        <v>506</v>
      </c>
      <c r="H192" s="11" t="str">
        <f>VLOOKUP($G192, 'ADP Data'!$C$4:$Q$300, 2, FALSE)</f>
        <v>BUF</v>
      </c>
      <c r="I192" s="11">
        <f>VLOOKUP(G192, 'ADP Data'!$C$4:$R$498, 12, FALSE)</f>
        <v>150</v>
      </c>
      <c r="J192" s="11">
        <f>VLOOKUP($G192, SeanRanks!$A$2:$H$303, 5, FALSE)</f>
        <v>0</v>
      </c>
      <c r="K192" s="11" t="str">
        <f>IF(VLOOKUP($G192, SeanRanks!$A$2:$H$303, 6, FALSE)=0, "", VLOOKUP($G192, SeanRanks!$A$2:$H$303, 6, FALSE))</f>
        <v>Handcuff only</v>
      </c>
      <c r="L192" s="11">
        <f t="shared" si="4"/>
        <v>19</v>
      </c>
      <c r="M192" s="11">
        <f>VLOOKUP($G192, 'ADP Data'!$C$4:$Q$300, 9, FALSE)</f>
        <v>149</v>
      </c>
      <c r="N192" s="11">
        <f t="shared" si="5"/>
        <v>-18</v>
      </c>
      <c r="O192" s="11">
        <f>VLOOKUP($G192, 'ADP Data'!$C$4:$Q$300, 3, FALSE)</f>
        <v>164</v>
      </c>
      <c r="P192" s="11">
        <f t="shared" si="6"/>
        <v>-15</v>
      </c>
      <c r="Q192" s="11">
        <f>VLOOKUP($G192, 'ADP Data'!$C$4:$Q$300, 4, FALSE)</f>
        <v>190</v>
      </c>
      <c r="R192" s="11">
        <f>VLOOKUP($G192, 'ADP Data'!$C$4:$Q$300, 5, FALSE)</f>
        <v>171</v>
      </c>
      <c r="S192" s="11">
        <f>VLOOKUP($G192, 'ADP Data'!$C$4:$Q$300, 6, FALSE)</f>
        <v>143</v>
      </c>
      <c r="T192" s="11">
        <f>VLOOKUP($G192, 'ADP Data'!$C$4:$Q$300, 7, FALSE)</f>
        <v>141</v>
      </c>
      <c r="U192" s="11">
        <f>VLOOKUP($G192, 'ADP Data'!$C$4:$Q$300, 8, FALSE)</f>
        <v>215</v>
      </c>
      <c r="V192" s="11">
        <f t="shared" si="7"/>
        <v>167</v>
      </c>
      <c r="W192" s="11">
        <f t="shared" si="8"/>
        <v>21</v>
      </c>
      <c r="X192" s="11">
        <f t="shared" si="9"/>
        <v>-21</v>
      </c>
      <c r="Y192" s="11">
        <f>VLOOKUP($G192, SeanRanks!$A$2:$K$303, 10, FALSE)-V192</f>
        <v>-29</v>
      </c>
      <c r="Z192" s="25">
        <f>IF(VLOOKUP($G192, SeanRanks!$A$2:$H$303, 7, FALSE)=0, "", VLOOKUP($G192, SeanRanks!$A$2:$H$303, 7, FALSE))</f>
        <v>57</v>
      </c>
    </row>
    <row r="193" spans="1:26" ht="14.25" customHeight="1" x14ac:dyDescent="0.25">
      <c r="A193" s="11"/>
      <c r="B193" s="11">
        <f t="shared" si="3"/>
        <v>14</v>
      </c>
      <c r="C193" s="11" t="s">
        <v>148</v>
      </c>
      <c r="D193" s="11"/>
      <c r="E193" s="11"/>
      <c r="F193" s="11">
        <f>VLOOKUP(G193, SeanRanks!$A$2:$E$302, 4, FALSE)</f>
        <v>0</v>
      </c>
      <c r="G193" s="11" t="s">
        <v>462</v>
      </c>
      <c r="H193" s="11" t="str">
        <f>VLOOKUP($G193, 'ADP Data'!$C$4:$Q$300, 2, FALSE)</f>
        <v>HOU</v>
      </c>
      <c r="I193" s="11" t="str">
        <f>VLOOKUP(G193, 'ADP Data'!$C$4:$R$498, 12, FALSE)</f>
        <v>-</v>
      </c>
      <c r="J193" s="11">
        <f>VLOOKUP($G193, SeanRanks!$A$2:$H$303, 5, FALSE)</f>
        <v>0</v>
      </c>
      <c r="K193" s="11" t="str">
        <f>IF(VLOOKUP($G193, SeanRanks!$A$2:$H$303, 6, FALSE)=0, "", VLOOKUP($G193, SeanRanks!$A$2:$H$303, 6, FALSE))</f>
        <v/>
      </c>
      <c r="L193" s="11">
        <f t="shared" si="4"/>
        <v>24</v>
      </c>
      <c r="M193" s="11">
        <f>VLOOKUP($G193, 'ADP Data'!$C$4:$Q$300, 9, FALSE)</f>
        <v>188</v>
      </c>
      <c r="N193" s="11">
        <f t="shared" si="5"/>
        <v>23</v>
      </c>
      <c r="O193" s="11">
        <f>VLOOKUP($G193, 'ADP Data'!$C$4:$Q$300, 3, FALSE)</f>
        <v>145</v>
      </c>
      <c r="P193" s="11">
        <f t="shared" si="6"/>
        <v>43</v>
      </c>
      <c r="Q193" s="11">
        <f>VLOOKUP($G193, 'ADP Data'!$C$4:$Q$300, 4, FALSE)</f>
        <v>100</v>
      </c>
      <c r="R193" s="11">
        <f>VLOOKUP($G193, 'ADP Data'!$C$4:$Q$300, 5, FALSE)</f>
        <v>190</v>
      </c>
      <c r="S193" s="11">
        <f>VLOOKUP($G193, 'ADP Data'!$C$4:$Q$300, 6, FALSE)</f>
        <v>216</v>
      </c>
      <c r="T193" s="11">
        <f>VLOOKUP($G193, 'ADP Data'!$C$4:$Q$300, 7, FALSE)</f>
        <v>176</v>
      </c>
      <c r="U193" s="11">
        <f>VLOOKUP($G193, 'ADP Data'!$C$4:$Q$300, 8, FALSE)</f>
        <v>145</v>
      </c>
      <c r="V193" s="11">
        <f t="shared" si="7"/>
        <v>165</v>
      </c>
      <c r="W193" s="11">
        <f t="shared" si="8"/>
        <v>21</v>
      </c>
      <c r="X193" s="11">
        <f t="shared" si="9"/>
        <v>-21</v>
      </c>
      <c r="Y193" s="11">
        <f>VLOOKUP($G193, SeanRanks!$A$2:$K$303, 10, FALSE)-V193</f>
        <v>23</v>
      </c>
      <c r="Z193" s="25" t="str">
        <f>IF(VLOOKUP($G193, SeanRanks!$A$2:$H$303, 7, FALSE)=0, "", VLOOKUP($G193, SeanRanks!$A$2:$H$303, 7, FALSE))</f>
        <v/>
      </c>
    </row>
    <row r="194" spans="1:26" ht="14.25" customHeight="1" x14ac:dyDescent="0.25">
      <c r="A194" s="11"/>
      <c r="B194" s="11">
        <f t="shared" si="3"/>
        <v>9</v>
      </c>
      <c r="C194" s="11" t="s">
        <v>148</v>
      </c>
      <c r="D194" s="11"/>
      <c r="E194" s="11"/>
      <c r="F194" s="11">
        <f>VLOOKUP(G194, SeanRanks!$A$2:$E$302, 4, FALSE)</f>
        <v>0</v>
      </c>
      <c r="G194" s="11" t="s">
        <v>292</v>
      </c>
      <c r="H194" s="11" t="str">
        <f>VLOOKUP($G194, 'ADP Data'!$C$4:$Q$300, 2, FALSE)</f>
        <v>MIN</v>
      </c>
      <c r="I194" s="11">
        <f>VLOOKUP(G194, 'ADP Data'!$C$4:$R$498, 12, FALSE)</f>
        <v>83</v>
      </c>
      <c r="J194" s="11" t="str">
        <f>VLOOKUP($G194, SeanRanks!$A$2:$H$303, 5, FALSE)</f>
        <v>Yes</v>
      </c>
      <c r="K194" s="11" t="str">
        <f>IF(VLOOKUP($G194, SeanRanks!$A$2:$H$303, 6, FALSE)=0, "", VLOOKUP($G194, SeanRanks!$A$2:$H$303, 6, FALSE))</f>
        <v>RB3 - 1 - Upside</v>
      </c>
      <c r="L194" s="11">
        <f t="shared" si="4"/>
        <v>13</v>
      </c>
      <c r="M194" s="11">
        <f>VLOOKUP($G194, 'ADP Data'!$C$4:$Q$300, 9, FALSE)</f>
        <v>103</v>
      </c>
      <c r="N194" s="11">
        <f t="shared" si="5"/>
        <v>-1</v>
      </c>
      <c r="O194" s="11">
        <f>VLOOKUP($G194, 'ADP Data'!$C$4:$Q$300, 3, FALSE)</f>
        <v>98</v>
      </c>
      <c r="P194" s="11">
        <f t="shared" si="6"/>
        <v>5</v>
      </c>
      <c r="Q194" s="11">
        <f>VLOOKUP($G194, 'ADP Data'!$C$4:$Q$300, 4, FALSE)</f>
        <v>122</v>
      </c>
      <c r="R194" s="11">
        <f>VLOOKUP($G194, 'ADP Data'!$C$4:$Q$300, 5, FALSE)</f>
        <v>107</v>
      </c>
      <c r="S194" s="11">
        <f>VLOOKUP($G194, 'ADP Data'!$C$4:$Q$300, 6, FALSE)</f>
        <v>88</v>
      </c>
      <c r="T194" s="11">
        <f>VLOOKUP($G194, 'ADP Data'!$C$4:$Q$300, 7, FALSE)</f>
        <v>89</v>
      </c>
      <c r="U194" s="11">
        <f>VLOOKUP($G194, 'ADP Data'!$C$4:$Q$300, 8, FALSE)</f>
        <v>122</v>
      </c>
      <c r="V194" s="11">
        <f t="shared" si="7"/>
        <v>104</v>
      </c>
      <c r="W194" s="11">
        <f t="shared" si="8"/>
        <v>14</v>
      </c>
      <c r="X194" s="11">
        <f t="shared" si="9"/>
        <v>-14</v>
      </c>
      <c r="Y194" s="11">
        <f>VLOOKUP($G194, SeanRanks!$A$2:$K$303, 10, FALSE)-V194</f>
        <v>-33</v>
      </c>
      <c r="Z194" s="25">
        <f>IF(VLOOKUP($G194, SeanRanks!$A$2:$H$303, 7, FALSE)=0, "", VLOOKUP($G194, SeanRanks!$A$2:$H$303, 7, FALSE))</f>
        <v>28</v>
      </c>
    </row>
    <row r="195" spans="1:26" ht="14.25" customHeight="1" x14ac:dyDescent="0.25">
      <c r="A195" s="11"/>
      <c r="B195" s="11">
        <f t="shared" si="3"/>
        <v>19</v>
      </c>
      <c r="C195" s="11" t="s">
        <v>148</v>
      </c>
      <c r="D195" s="11"/>
      <c r="E195" s="11"/>
      <c r="F195" s="11" t="e">
        <f>VLOOKUP(G195, SeanRanks!$A$2:$E$302, 4, FALSE)</f>
        <v>#N/A</v>
      </c>
      <c r="G195" s="11" t="s">
        <v>931</v>
      </c>
      <c r="H195" s="11" t="str">
        <f>VLOOKUP($G195, 'ADP Data'!$C$4:$Q$300, 2, FALSE)</f>
        <v>CIN</v>
      </c>
      <c r="I195" s="11" t="str">
        <f>VLOOKUP(G195, 'ADP Data'!$C$4:$R$498, 12, FALSE)</f>
        <v>-</v>
      </c>
      <c r="J195" s="11" t="e">
        <f>VLOOKUP($G195, SeanRanks!$A$2:$H$303, 5, FALSE)</f>
        <v>#N/A</v>
      </c>
      <c r="K195" s="11" t="e">
        <f>IF(VLOOKUP($G195, SeanRanks!$A$2:$H$303, 6, FALSE)=0, "", VLOOKUP($G195, SeanRanks!$A$2:$H$303, 6, FALSE))</f>
        <v>#N/A</v>
      </c>
      <c r="L195" s="11">
        <f t="shared" si="4"/>
        <v>16</v>
      </c>
      <c r="M195" s="11" t="str">
        <f>VLOOKUP($G195, 'ADP Data'!$C$4:$Q$300, 9, FALSE)</f>
        <v>-</v>
      </c>
      <c r="N195" s="11" t="e">
        <f t="shared" si="5"/>
        <v>#VALUE!</v>
      </c>
      <c r="O195" s="11" t="str">
        <f>VLOOKUP($G195, 'ADP Data'!$C$4:$Q$300, 3, FALSE)</f>
        <v>-</v>
      </c>
      <c r="P195" s="11" t="e">
        <f t="shared" si="6"/>
        <v>#VALUE!</v>
      </c>
      <c r="Q195" s="11">
        <f>VLOOKUP($G195, 'ADP Data'!$C$4:$Q$300, 4, FALSE)</f>
        <v>223</v>
      </c>
      <c r="R195" s="11" t="str">
        <f>VLOOKUP($G195, 'ADP Data'!$C$4:$Q$300, 5, FALSE)</f>
        <v>-</v>
      </c>
      <c r="S195" s="11">
        <f>VLOOKUP($G195, 'ADP Data'!$C$4:$Q$300, 6, FALSE)</f>
        <v>323</v>
      </c>
      <c r="T195" s="11">
        <f>VLOOKUP($G195, 'ADP Data'!$C$4:$Q$300, 7, FALSE)</f>
        <v>267</v>
      </c>
      <c r="U195" s="11">
        <f>VLOOKUP($G195, 'ADP Data'!$C$4:$Q$300, 8, FALSE)</f>
        <v>97</v>
      </c>
      <c r="V195" s="11">
        <f t="shared" si="7"/>
        <v>227</v>
      </c>
      <c r="W195" s="11">
        <f t="shared" si="8"/>
        <v>29</v>
      </c>
      <c r="X195" s="11">
        <f t="shared" si="9"/>
        <v>-29</v>
      </c>
      <c r="Y195" s="11" t="e">
        <f>VLOOKUP($G195, SeanRanks!$A$2:$K$303, 10, FALSE)-V195</f>
        <v>#N/A</v>
      </c>
      <c r="Z195" s="25" t="e">
        <f>IF(VLOOKUP($G195, SeanRanks!$A$2:$H$303, 7, FALSE)=0, "", VLOOKUP($G195, SeanRanks!$A$2:$H$303, 7, FALSE))</f>
        <v>#N/A</v>
      </c>
    </row>
    <row r="196" spans="1:26" ht="14.25" customHeight="1" x14ac:dyDescent="0.25">
      <c r="A196" s="11"/>
      <c r="B196" s="11">
        <f t="shared" si="3"/>
        <v>8</v>
      </c>
      <c r="C196" s="11" t="s">
        <v>148</v>
      </c>
      <c r="D196" s="11"/>
      <c r="E196" s="11"/>
      <c r="F196" s="11">
        <f>VLOOKUP(G196, SeanRanks!$A$2:$E$302, 4, FALSE)</f>
        <v>0</v>
      </c>
      <c r="G196" s="11" t="s">
        <v>778</v>
      </c>
      <c r="H196" s="11" t="str">
        <f>VLOOKUP($G196, 'ADP Data'!$C$4:$Q$300, 2, FALSE)</f>
        <v>SF</v>
      </c>
      <c r="I196" s="11">
        <f>VLOOKUP(G196, 'ADP Data'!$C$4:$R$498, 12, FALSE)</f>
        <v>55</v>
      </c>
      <c r="J196" s="11">
        <f>VLOOKUP($G196, SeanRanks!$A$2:$H$303, 5, FALSE)</f>
        <v>0</v>
      </c>
      <c r="K196" s="11" t="str">
        <f>IF(VLOOKUP($G196, SeanRanks!$A$2:$H$303, 6, FALSE)=0, "", VLOOKUP($G196, SeanRanks!$A$2:$H$303, 6, FALSE))</f>
        <v>WR3 - 2 - mid, but path to big upside</v>
      </c>
      <c r="L196" s="11">
        <f t="shared" si="4"/>
        <v>12</v>
      </c>
      <c r="M196" s="11">
        <f>VLOOKUP($G196, 'ADP Data'!$C$4:$Q$300, 9, FALSE)</f>
        <v>94</v>
      </c>
      <c r="N196" s="11">
        <f t="shared" si="5"/>
        <v>8</v>
      </c>
      <c r="O196" s="11">
        <f>VLOOKUP($G196, 'ADP Data'!$C$4:$Q$300, 3, FALSE)</f>
        <v>72</v>
      </c>
      <c r="P196" s="11">
        <f t="shared" si="6"/>
        <v>22</v>
      </c>
      <c r="Q196" s="11">
        <f>VLOOKUP($G196, 'ADP Data'!$C$4:$Q$300, 4, FALSE)</f>
        <v>93</v>
      </c>
      <c r="R196" s="11">
        <f>VLOOKUP($G196, 'ADP Data'!$C$4:$Q$300, 5, FALSE)</f>
        <v>106</v>
      </c>
      <c r="S196" s="11">
        <f>VLOOKUP($G196, 'ADP Data'!$C$4:$Q$300, 6, FALSE)</f>
        <v>67</v>
      </c>
      <c r="T196" s="11">
        <f>VLOOKUP($G196, 'ADP Data'!$C$4:$Q$300, 7, FALSE)</f>
        <v>65</v>
      </c>
      <c r="U196" s="11">
        <f>VLOOKUP($G196, 'ADP Data'!$C$4:$Q$300, 8, FALSE)</f>
        <v>110</v>
      </c>
      <c r="V196" s="11">
        <f t="shared" si="7"/>
        <v>86</v>
      </c>
      <c r="W196" s="11">
        <f t="shared" si="8"/>
        <v>11</v>
      </c>
      <c r="X196" s="11">
        <f t="shared" si="9"/>
        <v>-11</v>
      </c>
      <c r="Y196" s="11">
        <f>VLOOKUP($G196, SeanRanks!$A$2:$K$303, 10, FALSE)-V196</f>
        <v>-17</v>
      </c>
      <c r="Z196" s="25">
        <f>IF(VLOOKUP($G196, SeanRanks!$A$2:$H$303, 7, FALSE)=0, "", VLOOKUP($G196, SeanRanks!$A$2:$H$303, 7, FALSE))</f>
        <v>32</v>
      </c>
    </row>
    <row r="197" spans="1:26" ht="14.25" customHeight="1" x14ac:dyDescent="0.25">
      <c r="A197" s="11"/>
      <c r="B197" s="11">
        <f t="shared" si="3"/>
        <v>17</v>
      </c>
      <c r="C197" s="11" t="s">
        <v>148</v>
      </c>
      <c r="D197" s="11"/>
      <c r="E197" s="11"/>
      <c r="F197" s="11">
        <f>VLOOKUP(G197, SeanRanks!$A$2:$E$302, 4, FALSE)</f>
        <v>0</v>
      </c>
      <c r="G197" s="11" t="s">
        <v>433</v>
      </c>
      <c r="H197" s="11" t="str">
        <f>VLOOKUP($G197, 'ADP Data'!$C$4:$Q$300, 2, FALSE)</f>
        <v>TEN</v>
      </c>
      <c r="I197" s="11">
        <f>VLOOKUP(G197, 'ADP Data'!$C$4:$R$498, 12, FALSE)</f>
        <v>165</v>
      </c>
      <c r="J197" s="11">
        <f>VLOOKUP($G197, SeanRanks!$A$2:$H$303, 5, FALSE)</f>
        <v>0</v>
      </c>
      <c r="K197" s="11" t="str">
        <f>IF(VLOOKUP($G197, SeanRanks!$A$2:$H$303, 6, FALSE)=0, "", VLOOKUP($G197, SeanRanks!$A$2:$H$303, 6, FALSE))</f>
        <v/>
      </c>
      <c r="L197" s="11">
        <f t="shared" si="4"/>
        <v>27</v>
      </c>
      <c r="M197" s="11">
        <f>VLOOKUP($G197, 'ADP Data'!$C$4:$Q$300, 9, FALSE)</f>
        <v>208</v>
      </c>
      <c r="N197" s="11">
        <f t="shared" si="5"/>
        <v>6</v>
      </c>
      <c r="O197" s="11" t="str">
        <f>VLOOKUP($G197, 'ADP Data'!$C$4:$Q$300, 3, FALSE)</f>
        <v>-</v>
      </c>
      <c r="P197" s="11" t="e">
        <f t="shared" si="6"/>
        <v>#VALUE!</v>
      </c>
      <c r="Q197" s="11" t="str">
        <f>VLOOKUP($G197, 'ADP Data'!$C$4:$Q$300, 4, FALSE)</f>
        <v>-</v>
      </c>
      <c r="R197" s="11">
        <f>VLOOKUP($G197, 'ADP Data'!$C$4:$Q$300, 5, FALSE)</f>
        <v>249</v>
      </c>
      <c r="S197" s="11">
        <f>VLOOKUP($G197, 'ADP Data'!$C$4:$Q$300, 6, FALSE)</f>
        <v>150</v>
      </c>
      <c r="T197" s="11">
        <f>VLOOKUP($G197, 'ADP Data'!$C$4:$Q$300, 7, FALSE)</f>
        <v>187</v>
      </c>
      <c r="U197" s="11">
        <f>VLOOKUP($G197, 'ADP Data'!$C$4:$Q$300, 8, FALSE)</f>
        <v>218</v>
      </c>
      <c r="V197" s="11">
        <f t="shared" si="7"/>
        <v>202</v>
      </c>
      <c r="W197" s="11">
        <f t="shared" si="8"/>
        <v>26</v>
      </c>
      <c r="X197" s="11">
        <f t="shared" si="9"/>
        <v>-26</v>
      </c>
      <c r="Y197" s="11">
        <f>VLOOKUP($G197, SeanRanks!$A$2:$K$303, 10, FALSE)-V197</f>
        <v>-58</v>
      </c>
      <c r="Z197" s="25" t="str">
        <f>IF(VLOOKUP($G197, SeanRanks!$A$2:$H$303, 7, FALSE)=0, "", VLOOKUP($G197, SeanRanks!$A$2:$H$303, 7, FALSE))</f>
        <v/>
      </c>
    </row>
    <row r="198" spans="1:26" ht="14.25" customHeight="1" x14ac:dyDescent="0.25">
      <c r="A198" s="11"/>
      <c r="B198" s="11" t="e">
        <f t="shared" si="3"/>
        <v>#N/A</v>
      </c>
      <c r="C198" s="11" t="s">
        <v>148</v>
      </c>
      <c r="D198" s="11"/>
      <c r="E198" s="11"/>
      <c r="F198" s="11">
        <f>VLOOKUP(G198, SeanRanks!$A$2:$E$302, 4, FALSE)</f>
        <v>0</v>
      </c>
      <c r="G198" s="11" t="s">
        <v>932</v>
      </c>
      <c r="H198" s="11" t="e">
        <f>VLOOKUP($G198, 'ADP Data'!$C$4:$Q$300, 2, FALSE)</f>
        <v>#N/A</v>
      </c>
      <c r="I198" s="11" t="e">
        <f>VLOOKUP(G198, 'ADP Data'!$C$4:$R$498, 12, FALSE)</f>
        <v>#N/A</v>
      </c>
      <c r="J198" s="11">
        <f>VLOOKUP($G198, SeanRanks!$A$2:$H$303, 5, FALSE)</f>
        <v>0</v>
      </c>
      <c r="K198" s="11" t="str">
        <f>IF(VLOOKUP($G198, SeanRanks!$A$2:$H$303, 6, FALSE)=0, "", VLOOKUP($G198, SeanRanks!$A$2:$H$303, 6, FALSE))</f>
        <v/>
      </c>
      <c r="L198" s="11">
        <f t="shared" si="4"/>
        <v>16</v>
      </c>
      <c r="M198" s="11" t="e">
        <f>VLOOKUP($G198, 'ADP Data'!$C$4:$Q$300, 9, FALSE)</f>
        <v>#N/A</v>
      </c>
      <c r="N198" s="11" t="e">
        <f t="shared" si="5"/>
        <v>#N/A</v>
      </c>
      <c r="O198" s="11" t="e">
        <f>VLOOKUP($G198, 'ADP Data'!$C$4:$Q$300, 3, FALSE)</f>
        <v>#N/A</v>
      </c>
      <c r="P198" s="11" t="e">
        <f t="shared" si="6"/>
        <v>#N/A</v>
      </c>
      <c r="Q198" s="11" t="e">
        <f>VLOOKUP($G198, 'ADP Data'!$C$4:$Q$300, 4, FALSE)</f>
        <v>#N/A</v>
      </c>
      <c r="R198" s="11" t="e">
        <f>VLOOKUP($G198, 'ADP Data'!$C$4:$Q$300, 5, FALSE)</f>
        <v>#N/A</v>
      </c>
      <c r="S198" s="11" t="e">
        <f>VLOOKUP($G198, 'ADP Data'!$C$4:$Q$300, 6, FALSE)</f>
        <v>#N/A</v>
      </c>
      <c r="T198" s="11" t="e">
        <f>VLOOKUP($G198, 'ADP Data'!$C$4:$Q$300, 7, FALSE)</f>
        <v>#N/A</v>
      </c>
      <c r="U198" s="11" t="e">
        <f>VLOOKUP($G198, 'ADP Data'!$C$4:$Q$300, 8, FALSE)</f>
        <v>#N/A</v>
      </c>
      <c r="V198" s="11" t="e">
        <f t="shared" si="7"/>
        <v>#N/A</v>
      </c>
      <c r="W198" s="11">
        <f t="shared" si="8"/>
        <v>16</v>
      </c>
      <c r="X198" s="11">
        <f t="shared" si="9"/>
        <v>-16</v>
      </c>
      <c r="Y198" s="11" t="e">
        <f>VLOOKUP($G198, SeanRanks!$A$2:$K$303, 10, FALSE)-V198</f>
        <v>#N/A</v>
      </c>
      <c r="Z198" s="25" t="str">
        <f>IF(VLOOKUP($G198, SeanRanks!$A$2:$H$303, 7, FALSE)=0, "", VLOOKUP($G198, SeanRanks!$A$2:$H$303, 7, FALSE))</f>
        <v/>
      </c>
    </row>
    <row r="199" spans="1:26" ht="14.25" customHeight="1" x14ac:dyDescent="0.25">
      <c r="A199" s="11"/>
      <c r="B199" s="11" t="e">
        <f t="shared" si="3"/>
        <v>#N/A</v>
      </c>
      <c r="C199" s="11" t="s">
        <v>148</v>
      </c>
      <c r="D199" s="11"/>
      <c r="E199" s="11"/>
      <c r="F199" s="11" t="e">
        <f>VLOOKUP(G199, SeanRanks!$A$2:$E$302, 4, FALSE)</f>
        <v>#N/A</v>
      </c>
      <c r="G199" s="11" t="s">
        <v>525</v>
      </c>
      <c r="H199" s="11" t="e">
        <f>VLOOKUP($G199, 'ADP Data'!$C$4:$Q$300, 2, FALSE)</f>
        <v>#N/A</v>
      </c>
      <c r="I199" s="11" t="e">
        <f>VLOOKUP(G199, 'ADP Data'!$C$4:$R$498, 12, FALSE)</f>
        <v>#N/A</v>
      </c>
      <c r="J199" s="11" t="e">
        <f>VLOOKUP($G199, SeanRanks!$A$2:$H$303, 5, FALSE)</f>
        <v>#N/A</v>
      </c>
      <c r="K199" s="11" t="e">
        <f>IF(VLOOKUP($G199, SeanRanks!$A$2:$H$303, 6, FALSE)=0, "", VLOOKUP($G199, SeanRanks!$A$2:$H$303, 6, FALSE))</f>
        <v>#N/A</v>
      </c>
      <c r="L199" s="11">
        <f t="shared" si="4"/>
        <v>16</v>
      </c>
      <c r="M199" s="11" t="e">
        <f>VLOOKUP($G199, 'ADP Data'!$C$4:$Q$300, 9, FALSE)</f>
        <v>#N/A</v>
      </c>
      <c r="N199" s="11" t="e">
        <f t="shared" si="5"/>
        <v>#N/A</v>
      </c>
      <c r="O199" s="11" t="e">
        <f>VLOOKUP($G199, 'ADP Data'!$C$4:$Q$300, 3, FALSE)</f>
        <v>#N/A</v>
      </c>
      <c r="P199" s="11" t="e">
        <f t="shared" si="6"/>
        <v>#N/A</v>
      </c>
      <c r="Q199" s="11" t="e">
        <f>VLOOKUP($G199, 'ADP Data'!$C$4:$Q$300, 4, FALSE)</f>
        <v>#N/A</v>
      </c>
      <c r="R199" s="11" t="e">
        <f>VLOOKUP($G199, 'ADP Data'!$C$4:$Q$300, 5, FALSE)</f>
        <v>#N/A</v>
      </c>
      <c r="S199" s="11" t="e">
        <f>VLOOKUP($G199, 'ADP Data'!$C$4:$Q$300, 6, FALSE)</f>
        <v>#N/A</v>
      </c>
      <c r="T199" s="11" t="e">
        <f>VLOOKUP($G199, 'ADP Data'!$C$4:$Q$300, 7, FALSE)</f>
        <v>#N/A</v>
      </c>
      <c r="U199" s="11" t="e">
        <f>VLOOKUP($G199, 'ADP Data'!$C$4:$Q$300, 8, FALSE)</f>
        <v>#N/A</v>
      </c>
      <c r="V199" s="11" t="e">
        <f t="shared" si="7"/>
        <v>#N/A</v>
      </c>
      <c r="W199" s="11">
        <f t="shared" si="8"/>
        <v>16</v>
      </c>
      <c r="X199" s="11">
        <f t="shared" si="9"/>
        <v>-16</v>
      </c>
      <c r="Y199" s="11" t="e">
        <f>VLOOKUP($G199, SeanRanks!$A$2:$K$303, 10, FALSE)-V199</f>
        <v>#N/A</v>
      </c>
      <c r="Z199" s="25" t="e">
        <f>IF(VLOOKUP($G199, SeanRanks!$A$2:$H$303, 7, FALSE)=0, "", VLOOKUP($G199, SeanRanks!$A$2:$H$303, 7, FALSE))</f>
        <v>#N/A</v>
      </c>
    </row>
    <row r="200" spans="1:26" ht="14.25" customHeight="1" x14ac:dyDescent="0.25">
      <c r="A200" s="11"/>
      <c r="B200" s="11">
        <f t="shared" si="3"/>
        <v>13</v>
      </c>
      <c r="C200" s="11" t="s">
        <v>148</v>
      </c>
      <c r="D200" s="11"/>
      <c r="E200" s="11"/>
      <c r="F200" s="11">
        <f>VLOOKUP(G200, SeanRanks!$A$2:$E$302, 4, FALSE)</f>
        <v>0</v>
      </c>
      <c r="G200" s="11" t="s">
        <v>933</v>
      </c>
      <c r="H200" s="11" t="str">
        <f>VLOOKUP($G200, 'ADP Data'!$C$4:$Q$300, 2, FALSE)</f>
        <v>DEN</v>
      </c>
      <c r="I200" s="11">
        <f>VLOOKUP(G200, 'ADP Data'!$C$4:$R$498, 12, FALSE)</f>
        <v>115</v>
      </c>
      <c r="J200" s="11">
        <f>VLOOKUP($G200, SeanRanks!$A$2:$H$303, 5, FALSE)</f>
        <v>0</v>
      </c>
      <c r="K200" s="11" t="str">
        <f>IF(VLOOKUP($G200, SeanRanks!$A$2:$H$303, 6, FALSE)=0, "", VLOOKUP($G200, SeanRanks!$A$2:$H$303, 6, FALSE))</f>
        <v>WR6 - dart throw upside</v>
      </c>
      <c r="L200" s="11">
        <f t="shared" si="4"/>
        <v>18</v>
      </c>
      <c r="M200" s="11">
        <f>VLOOKUP($G200, 'ADP Data'!$C$4:$Q$300, 9, FALSE)</f>
        <v>140</v>
      </c>
      <c r="N200" s="11">
        <f t="shared" si="5"/>
        <v>-7</v>
      </c>
      <c r="O200" s="11">
        <f>VLOOKUP($G200, 'ADP Data'!$C$4:$Q$300, 3, FALSE)</f>
        <v>171</v>
      </c>
      <c r="P200" s="11">
        <f t="shared" si="6"/>
        <v>-31</v>
      </c>
      <c r="Q200" s="11">
        <f>VLOOKUP($G200, 'ADP Data'!$C$4:$Q$300, 4, FALSE)</f>
        <v>167</v>
      </c>
      <c r="R200" s="11">
        <f>VLOOKUP($G200, 'ADP Data'!$C$4:$Q$300, 5, FALSE)</f>
        <v>131</v>
      </c>
      <c r="S200" s="11">
        <f>VLOOKUP($G200, 'ADP Data'!$C$4:$Q$300, 6, FALSE)</f>
        <v>136</v>
      </c>
      <c r="T200" s="11">
        <f>VLOOKUP($G200, 'ADP Data'!$C$4:$Q$300, 7, FALSE)</f>
        <v>113</v>
      </c>
      <c r="U200" s="11">
        <f>VLOOKUP($G200, 'ADP Data'!$C$4:$Q$300, 8, FALSE)</f>
        <v>174</v>
      </c>
      <c r="V200" s="11">
        <f t="shared" si="7"/>
        <v>147</v>
      </c>
      <c r="W200" s="11">
        <f t="shared" si="8"/>
        <v>19</v>
      </c>
      <c r="X200" s="11">
        <f t="shared" si="9"/>
        <v>-19</v>
      </c>
      <c r="Y200" s="11">
        <f>VLOOKUP($G200, SeanRanks!$A$2:$K$303, 10, FALSE)-V200</f>
        <v>7</v>
      </c>
      <c r="Z200" s="25">
        <f>IF(VLOOKUP($G200, SeanRanks!$A$2:$H$303, 7, FALSE)=0, "", VLOOKUP($G200, SeanRanks!$A$2:$H$303, 7, FALSE))</f>
        <v>60</v>
      </c>
    </row>
    <row r="201" spans="1:26" ht="14.25" customHeight="1" x14ac:dyDescent="0.25">
      <c r="A201" s="11"/>
      <c r="B201" s="11" t="e">
        <f t="shared" si="3"/>
        <v>#N/A</v>
      </c>
      <c r="C201" s="11" t="s">
        <v>148</v>
      </c>
      <c r="D201" s="11"/>
      <c r="E201" s="11"/>
      <c r="F201" s="11" t="e">
        <f>VLOOKUP(G201, SeanRanks!$A$2:$E$302, 4, FALSE)</f>
        <v>#N/A</v>
      </c>
      <c r="G201" s="11" t="s">
        <v>934</v>
      </c>
      <c r="H201" s="11" t="e">
        <f>VLOOKUP($G201, 'ADP Data'!$C$4:$Q$300, 2, FALSE)</f>
        <v>#N/A</v>
      </c>
      <c r="I201" s="11" t="e">
        <f>VLOOKUP(G201, 'ADP Data'!$C$4:$R$498, 12, FALSE)</f>
        <v>#N/A</v>
      </c>
      <c r="J201" s="61" t="e">
        <f>VLOOKUP($G201, SeanRanks!$A$2:$H$303, 5, FALSE)</f>
        <v>#N/A</v>
      </c>
      <c r="K201" s="11" t="e">
        <f>IF(VLOOKUP($G201, SeanRanks!$A$2:$H$303, 6, FALSE)=0, "", VLOOKUP($G201, SeanRanks!$A$2:$H$303, 6, FALSE))</f>
        <v>#N/A</v>
      </c>
      <c r="L201" s="11">
        <f t="shared" si="4"/>
        <v>16</v>
      </c>
      <c r="M201" s="11" t="e">
        <f>VLOOKUP($G201, 'ADP Data'!$C$4:$Q$300, 9, FALSE)</f>
        <v>#N/A</v>
      </c>
      <c r="N201" s="11" t="e">
        <f t="shared" si="5"/>
        <v>#N/A</v>
      </c>
      <c r="O201" s="11" t="e">
        <f>VLOOKUP($G201, 'ADP Data'!$C$4:$Q$300, 3, FALSE)</f>
        <v>#N/A</v>
      </c>
      <c r="P201" s="11" t="e">
        <f t="shared" si="6"/>
        <v>#N/A</v>
      </c>
      <c r="Q201" s="11" t="e">
        <f>VLOOKUP($G201, 'ADP Data'!$C$4:$Q$300, 4, FALSE)</f>
        <v>#N/A</v>
      </c>
      <c r="R201" s="11" t="e">
        <f>VLOOKUP($G201, 'ADP Data'!$C$4:$Q$300, 5, FALSE)</f>
        <v>#N/A</v>
      </c>
      <c r="S201" s="11" t="e">
        <f>VLOOKUP($G201, 'ADP Data'!$C$4:$Q$300, 6, FALSE)</f>
        <v>#N/A</v>
      </c>
      <c r="T201" s="11" t="e">
        <f>VLOOKUP($G201, 'ADP Data'!$C$4:$Q$300, 7, FALSE)</f>
        <v>#N/A</v>
      </c>
      <c r="U201" s="11" t="e">
        <f>VLOOKUP($G201, 'ADP Data'!$C$4:$Q$300, 8, FALSE)</f>
        <v>#N/A</v>
      </c>
      <c r="V201" s="11" t="e">
        <f t="shared" si="7"/>
        <v>#N/A</v>
      </c>
      <c r="W201" s="11">
        <f t="shared" si="8"/>
        <v>16</v>
      </c>
      <c r="X201" s="11">
        <f t="shared" si="9"/>
        <v>-16</v>
      </c>
      <c r="Y201" s="11" t="e">
        <f>VLOOKUP($G201, SeanRanks!$A$2:$K$303, 10, FALSE)-V201</f>
        <v>#N/A</v>
      </c>
      <c r="Z201" s="25" t="e">
        <f>IF(VLOOKUP($G201, SeanRanks!$A$2:$H$303, 7, FALSE)=0, "", VLOOKUP($G201, SeanRanks!$A$2:$H$303, 7, FALSE))</f>
        <v>#N/A</v>
      </c>
    </row>
    <row r="202" spans="1:26" ht="14.25" customHeight="1" x14ac:dyDescent="0.25">
      <c r="A202" s="11"/>
      <c r="B202" s="11" t="e">
        <f t="shared" si="3"/>
        <v>#N/A</v>
      </c>
      <c r="C202" s="11" t="s">
        <v>148</v>
      </c>
      <c r="D202" s="11"/>
      <c r="E202" s="11"/>
      <c r="F202" s="11" t="e">
        <f>VLOOKUP(G202, SeanRanks!$A$2:$E$302, 4, FALSE)</f>
        <v>#N/A</v>
      </c>
      <c r="G202" s="11" t="s">
        <v>935</v>
      </c>
      <c r="H202" s="11" t="e">
        <f>VLOOKUP($G202, 'ADP Data'!$C$4:$Q$300, 2, FALSE)</f>
        <v>#N/A</v>
      </c>
      <c r="I202" s="11" t="e">
        <f>VLOOKUP(G202, 'ADP Data'!$C$4:$R$498, 12, FALSE)</f>
        <v>#N/A</v>
      </c>
      <c r="J202" s="11" t="e">
        <f>VLOOKUP($G202, SeanRanks!$A$2:$H$303, 5, FALSE)</f>
        <v>#N/A</v>
      </c>
      <c r="K202" s="11" t="e">
        <f>IF(VLOOKUP($G202, SeanRanks!$A$2:$H$303, 6, FALSE)=0, "", VLOOKUP($G202, SeanRanks!$A$2:$H$303, 6, FALSE))</f>
        <v>#N/A</v>
      </c>
      <c r="L202" s="11">
        <f t="shared" si="4"/>
        <v>16</v>
      </c>
      <c r="M202" s="11" t="e">
        <f>VLOOKUP($G202, 'ADP Data'!$C$4:$Q$300, 9, FALSE)</f>
        <v>#N/A</v>
      </c>
      <c r="N202" s="11" t="e">
        <f t="shared" si="5"/>
        <v>#N/A</v>
      </c>
      <c r="O202" s="11" t="e">
        <f>VLOOKUP($G202, 'ADP Data'!$C$4:$Q$300, 3, FALSE)</f>
        <v>#N/A</v>
      </c>
      <c r="P202" s="11" t="e">
        <f t="shared" si="6"/>
        <v>#N/A</v>
      </c>
      <c r="Q202" s="11" t="e">
        <f>VLOOKUP($G202, 'ADP Data'!$C$4:$Q$300, 4, FALSE)</f>
        <v>#N/A</v>
      </c>
      <c r="R202" s="11" t="e">
        <f>VLOOKUP($G202, 'ADP Data'!$C$4:$Q$300, 5, FALSE)</f>
        <v>#N/A</v>
      </c>
      <c r="S202" s="11" t="e">
        <f>VLOOKUP($G202, 'ADP Data'!$C$4:$Q$300, 6, FALSE)</f>
        <v>#N/A</v>
      </c>
      <c r="T202" s="11" t="e">
        <f>VLOOKUP($G202, 'ADP Data'!$C$4:$Q$300, 7, FALSE)</f>
        <v>#N/A</v>
      </c>
      <c r="U202" s="11" t="e">
        <f>VLOOKUP($G202, 'ADP Data'!$C$4:$Q$300, 8, FALSE)</f>
        <v>#N/A</v>
      </c>
      <c r="V202" s="11" t="e">
        <f t="shared" si="7"/>
        <v>#N/A</v>
      </c>
      <c r="W202" s="11">
        <f t="shared" si="8"/>
        <v>16</v>
      </c>
      <c r="X202" s="11">
        <f t="shared" si="9"/>
        <v>-16</v>
      </c>
      <c r="Y202" s="11" t="e">
        <f>VLOOKUP($G202, SeanRanks!$A$2:$K$303, 10, FALSE)-V202</f>
        <v>#N/A</v>
      </c>
      <c r="Z202" s="25" t="e">
        <f>IF(VLOOKUP($G202, SeanRanks!$A$2:$H$303, 7, FALSE)=0, "", VLOOKUP($G202, SeanRanks!$A$2:$H$303, 7, FALSE))</f>
        <v>#N/A</v>
      </c>
    </row>
    <row r="203" spans="1:26" ht="14.25" customHeight="1" x14ac:dyDescent="0.25">
      <c r="A203" s="11"/>
      <c r="B203" s="11">
        <f t="shared" si="3"/>
        <v>16</v>
      </c>
      <c r="C203" s="11" t="s">
        <v>148</v>
      </c>
      <c r="D203" s="11"/>
      <c r="E203" s="11"/>
      <c r="F203" s="11">
        <f>VLOOKUP(G203, SeanRanks!$A$2:$E$302, 4, FALSE)</f>
        <v>0</v>
      </c>
      <c r="G203" s="11" t="s">
        <v>302</v>
      </c>
      <c r="H203" s="11" t="str">
        <f>VLOOKUP($G203, 'ADP Data'!$C$4:$Q$300, 2, FALSE)</f>
        <v>NYG</v>
      </c>
      <c r="I203" s="11">
        <f>VLOOKUP(G203, 'ADP Data'!$C$4:$R$498, 12, FALSE)</f>
        <v>166</v>
      </c>
      <c r="J203" s="11">
        <f>VLOOKUP($G203, SeanRanks!$A$2:$H$303, 5, FALSE)</f>
        <v>0</v>
      </c>
      <c r="K203" s="11" t="str">
        <f>IF(VLOOKUP($G203, SeanRanks!$A$2:$H$303, 6, FALSE)=0, "", VLOOKUP($G203, SeanRanks!$A$2:$H$303, 6, FALSE))</f>
        <v/>
      </c>
      <c r="L203" s="11">
        <f t="shared" si="4"/>
        <v>26</v>
      </c>
      <c r="M203" s="11">
        <f>VLOOKUP($G203, 'ADP Data'!$C$4:$Q$300, 9, FALSE)</f>
        <v>206</v>
      </c>
      <c r="N203" s="11">
        <f t="shared" si="5"/>
        <v>19</v>
      </c>
      <c r="O203" s="11">
        <f>VLOOKUP($G203, 'ADP Data'!$C$4:$Q$300, 3, FALSE)</f>
        <v>165</v>
      </c>
      <c r="P203" s="11">
        <f t="shared" si="6"/>
        <v>41</v>
      </c>
      <c r="Q203" s="11">
        <f>VLOOKUP($G203, 'ADP Data'!$C$4:$Q$300, 4, FALSE)</f>
        <v>174</v>
      </c>
      <c r="R203" s="11">
        <f>VLOOKUP($G203, 'ADP Data'!$C$4:$Q$300, 5, FALSE)</f>
        <v>206</v>
      </c>
      <c r="S203" s="11">
        <f>VLOOKUP($G203, 'ADP Data'!$C$4:$Q$300, 6, FALSE)</f>
        <v>169</v>
      </c>
      <c r="T203" s="11">
        <f>VLOOKUP($G203, 'ADP Data'!$C$4:$Q$300, 7, FALSE)</f>
        <v>146</v>
      </c>
      <c r="U203" s="11">
        <f>VLOOKUP($G203, 'ADP Data'!$C$4:$Q$300, 8, FALSE)</f>
        <v>249</v>
      </c>
      <c r="V203" s="11">
        <f t="shared" si="7"/>
        <v>187</v>
      </c>
      <c r="W203" s="11">
        <f t="shared" si="8"/>
        <v>24</v>
      </c>
      <c r="X203" s="11">
        <f t="shared" si="9"/>
        <v>-24</v>
      </c>
      <c r="Y203" s="11">
        <f>VLOOKUP($G203, SeanRanks!$A$2:$K$303, 10, FALSE)-V203</f>
        <v>-19</v>
      </c>
      <c r="Z203" s="25" t="str">
        <f>IF(VLOOKUP($G203, SeanRanks!$A$2:$H$303, 7, FALSE)=0, "", VLOOKUP($G203, SeanRanks!$A$2:$H$303, 7, FALSE))</f>
        <v/>
      </c>
    </row>
    <row r="204" spans="1:26" ht="14.25" customHeight="1" x14ac:dyDescent="0.25">
      <c r="A204" s="11"/>
      <c r="B204" s="11">
        <f t="shared" si="3"/>
        <v>19</v>
      </c>
      <c r="C204" s="11" t="s">
        <v>148</v>
      </c>
      <c r="D204" s="11"/>
      <c r="E204" s="11"/>
      <c r="F204" s="11">
        <f>VLOOKUP(G204, SeanRanks!$A$2:$E$302, 4, FALSE)</f>
        <v>0</v>
      </c>
      <c r="G204" s="11" t="s">
        <v>270</v>
      </c>
      <c r="H204" s="11" t="str">
        <f>VLOOKUP($G204, 'ADP Data'!$C$4:$Q$300, 2, FALSE)</f>
        <v>LAC</v>
      </c>
      <c r="I204" s="11">
        <f>VLOOKUP(G204, 'ADP Data'!$C$4:$R$498, 12, FALSE)</f>
        <v>204</v>
      </c>
      <c r="J204" s="11">
        <f>VLOOKUP($G204, SeanRanks!$A$2:$H$303, 5, FALSE)</f>
        <v>0</v>
      </c>
      <c r="K204" s="11" t="str">
        <f>IF(VLOOKUP($G204, SeanRanks!$A$2:$H$303, 6, FALSE)=0, "", VLOOKUP($G204, SeanRanks!$A$2:$H$303, 6, FALSE))</f>
        <v/>
      </c>
      <c r="L204" s="11">
        <f t="shared" si="4"/>
        <v>27</v>
      </c>
      <c r="M204" s="11">
        <f>VLOOKUP($G204, 'ADP Data'!$C$4:$Q$300, 9, FALSE)</f>
        <v>212</v>
      </c>
      <c r="N204" s="11">
        <f t="shared" si="5"/>
        <v>-8</v>
      </c>
      <c r="O204" s="11">
        <f>VLOOKUP($G204, 'ADP Data'!$C$4:$Q$300, 3, FALSE)</f>
        <v>197</v>
      </c>
      <c r="P204" s="11">
        <f t="shared" si="6"/>
        <v>15</v>
      </c>
      <c r="Q204" s="11" t="str">
        <f>VLOOKUP($G204, 'ADP Data'!$C$4:$Q$300, 4, FALSE)</f>
        <v>-</v>
      </c>
      <c r="R204" s="11">
        <f>VLOOKUP($G204, 'ADP Data'!$C$4:$Q$300, 5, FALSE)</f>
        <v>227</v>
      </c>
      <c r="S204" s="11">
        <f>VLOOKUP($G204, 'ADP Data'!$C$4:$Q$300, 6, FALSE)</f>
        <v>226</v>
      </c>
      <c r="T204" s="11">
        <f>VLOOKUP($G204, 'ADP Data'!$C$4:$Q$300, 7, FALSE)</f>
        <v>180</v>
      </c>
      <c r="U204" s="11">
        <f>VLOOKUP($G204, 'ADP Data'!$C$4:$Q$300, 8, FALSE)</f>
        <v>278</v>
      </c>
      <c r="V204" s="11">
        <f t="shared" si="7"/>
        <v>220</v>
      </c>
      <c r="W204" s="11">
        <f t="shared" si="8"/>
        <v>28</v>
      </c>
      <c r="X204" s="11">
        <f t="shared" si="9"/>
        <v>-28</v>
      </c>
      <c r="Y204" s="11">
        <f>VLOOKUP($G204, SeanRanks!$A$2:$K$303, 10, FALSE)-V204</f>
        <v>16</v>
      </c>
      <c r="Z204" s="25" t="str">
        <f>IF(VLOOKUP($G204, SeanRanks!$A$2:$H$303, 7, FALSE)=0, "", VLOOKUP($G204, SeanRanks!$A$2:$H$303, 7, FALSE))</f>
        <v/>
      </c>
    </row>
    <row r="205" spans="1:26" ht="14.25" customHeight="1" x14ac:dyDescent="0.25">
      <c r="A205" s="11"/>
      <c r="B205" s="11" t="e">
        <f t="shared" si="3"/>
        <v>#N/A</v>
      </c>
      <c r="C205" s="11" t="s">
        <v>148</v>
      </c>
      <c r="D205" s="11"/>
      <c r="E205" s="11"/>
      <c r="F205" s="11" t="e">
        <f>VLOOKUP(G205, SeanRanks!$A$2:$E$302, 4, FALSE)</f>
        <v>#N/A</v>
      </c>
      <c r="G205" s="11" t="s">
        <v>936</v>
      </c>
      <c r="H205" s="11" t="e">
        <f>VLOOKUP($G205, 'ADP Data'!$C$4:$Q$300, 2, FALSE)</f>
        <v>#N/A</v>
      </c>
      <c r="I205" s="11" t="e">
        <f>VLOOKUP(G205, 'ADP Data'!$C$4:$R$498, 12, FALSE)</f>
        <v>#N/A</v>
      </c>
      <c r="J205" s="11" t="e">
        <f>VLOOKUP($G205, SeanRanks!$A$2:$H$303, 5, FALSE)</f>
        <v>#N/A</v>
      </c>
      <c r="K205" s="11" t="e">
        <f>IF(VLOOKUP($G205, SeanRanks!$A$2:$H$303, 6, FALSE)=0, "", VLOOKUP($G205, SeanRanks!$A$2:$H$303, 6, FALSE))</f>
        <v>#N/A</v>
      </c>
      <c r="L205" s="11">
        <f t="shared" si="4"/>
        <v>16</v>
      </c>
      <c r="M205" s="11" t="e">
        <f>VLOOKUP($G205, 'ADP Data'!$C$4:$Q$300, 9, FALSE)</f>
        <v>#N/A</v>
      </c>
      <c r="N205" s="11" t="e">
        <f t="shared" si="5"/>
        <v>#N/A</v>
      </c>
      <c r="O205" s="11" t="e">
        <f>VLOOKUP($G205, 'ADP Data'!$C$4:$Q$300, 3, FALSE)</f>
        <v>#N/A</v>
      </c>
      <c r="P205" s="11" t="e">
        <f t="shared" si="6"/>
        <v>#N/A</v>
      </c>
      <c r="Q205" s="11" t="e">
        <f>VLOOKUP($G205, 'ADP Data'!$C$4:$Q$300, 4, FALSE)</f>
        <v>#N/A</v>
      </c>
      <c r="R205" s="11" t="e">
        <f>VLOOKUP($G205, 'ADP Data'!$C$4:$Q$300, 5, FALSE)</f>
        <v>#N/A</v>
      </c>
      <c r="S205" s="11" t="e">
        <f>VLOOKUP($G205, 'ADP Data'!$C$4:$Q$300, 6, FALSE)</f>
        <v>#N/A</v>
      </c>
      <c r="T205" s="11" t="e">
        <f>VLOOKUP($G205, 'ADP Data'!$C$4:$Q$300, 7, FALSE)</f>
        <v>#N/A</v>
      </c>
      <c r="U205" s="11" t="e">
        <f>VLOOKUP($G205, 'ADP Data'!$C$4:$Q$300, 8, FALSE)</f>
        <v>#N/A</v>
      </c>
      <c r="V205" s="11" t="e">
        <f t="shared" si="7"/>
        <v>#N/A</v>
      </c>
      <c r="W205" s="11">
        <f t="shared" si="8"/>
        <v>16</v>
      </c>
      <c r="X205" s="11">
        <f t="shared" si="9"/>
        <v>-16</v>
      </c>
      <c r="Y205" s="11" t="e">
        <f>VLOOKUP($G205, SeanRanks!$A$2:$K$303, 10, FALSE)-V205</f>
        <v>#N/A</v>
      </c>
      <c r="Z205" s="25" t="e">
        <f>IF(VLOOKUP($G205, SeanRanks!$A$2:$H$303, 7, FALSE)=0, "", VLOOKUP($G205, SeanRanks!$A$2:$H$303, 7, FALSE))</f>
        <v>#N/A</v>
      </c>
    </row>
    <row r="206" spans="1:26" ht="14.25" customHeight="1" x14ac:dyDescent="0.25">
      <c r="A206" s="11"/>
      <c r="B206" s="11">
        <f t="shared" si="3"/>
        <v>17</v>
      </c>
      <c r="C206" s="11" t="s">
        <v>148</v>
      </c>
      <c r="D206" s="11"/>
      <c r="E206" s="11"/>
      <c r="F206" s="11">
        <f>VLOOKUP(G206, SeanRanks!$A$2:$E$302, 4, FALSE)</f>
        <v>0</v>
      </c>
      <c r="G206" s="11" t="s">
        <v>523</v>
      </c>
      <c r="H206" s="11" t="str">
        <f>VLOOKUP($G206, 'ADP Data'!$C$4:$Q$300, 2, FALSE)</f>
        <v>DET</v>
      </c>
      <c r="I206" s="11" t="str">
        <f>VLOOKUP(G206, 'ADP Data'!$C$4:$R$498, 12, FALSE)</f>
        <v>-</v>
      </c>
      <c r="J206" s="11">
        <f>VLOOKUP($G206, SeanRanks!$A$2:$H$303, 5, FALSE)</f>
        <v>0</v>
      </c>
      <c r="K206" s="11" t="str">
        <f>IF(VLOOKUP($G206, SeanRanks!$A$2:$H$303, 6, FALSE)=0, "", VLOOKUP($G206, SeanRanks!$A$2:$H$303, 6, FALSE))</f>
        <v/>
      </c>
      <c r="L206" s="11">
        <f t="shared" si="4"/>
        <v>24</v>
      </c>
      <c r="M206" s="11">
        <f>VLOOKUP($G206, 'ADP Data'!$C$4:$Q$300, 9, FALSE)</f>
        <v>187</v>
      </c>
      <c r="N206" s="11">
        <f t="shared" si="5"/>
        <v>-8</v>
      </c>
      <c r="O206" s="11">
        <f>VLOOKUP($G206, 'ADP Data'!$C$4:$Q$300, 3, FALSE)</f>
        <v>178</v>
      </c>
      <c r="P206" s="11">
        <f t="shared" si="6"/>
        <v>9</v>
      </c>
      <c r="Q206" s="11">
        <f>VLOOKUP($G206, 'ADP Data'!$C$4:$Q$300, 4, FALSE)</f>
        <v>136</v>
      </c>
      <c r="R206" s="11">
        <f>VLOOKUP($G206, 'ADP Data'!$C$4:$Q$300, 5, FALSE)</f>
        <v>257</v>
      </c>
      <c r="S206" s="11">
        <f>VLOOKUP($G206, 'ADP Data'!$C$4:$Q$300, 6, FALSE)</f>
        <v>254</v>
      </c>
      <c r="T206" s="11">
        <f>VLOOKUP($G206, 'ADP Data'!$C$4:$Q$300, 7, FALSE)</f>
        <v>201</v>
      </c>
      <c r="U206" s="11">
        <f>VLOOKUP($G206, 'ADP Data'!$C$4:$Q$300, 8, FALSE)</f>
        <v>152</v>
      </c>
      <c r="V206" s="11">
        <f t="shared" si="7"/>
        <v>195</v>
      </c>
      <c r="W206" s="11">
        <f t="shared" si="8"/>
        <v>25</v>
      </c>
      <c r="X206" s="11">
        <f t="shared" si="9"/>
        <v>-25</v>
      </c>
      <c r="Y206" s="11">
        <f>VLOOKUP($G206, SeanRanks!$A$2:$K$303, 10, FALSE)-V206</f>
        <v>-9</v>
      </c>
      <c r="Z206" s="25" t="str">
        <f>IF(VLOOKUP($G206, SeanRanks!$A$2:$H$303, 7, FALSE)=0, "", VLOOKUP($G206, SeanRanks!$A$2:$H$303, 7, FALSE))</f>
        <v/>
      </c>
    </row>
    <row r="207" spans="1:26" ht="14.25" customHeight="1" x14ac:dyDescent="0.25">
      <c r="A207" s="11"/>
      <c r="B207" s="11">
        <f t="shared" si="3"/>
        <v>16</v>
      </c>
      <c r="C207" s="11" t="s">
        <v>148</v>
      </c>
      <c r="D207" s="11"/>
      <c r="E207" s="11"/>
      <c r="F207" s="11">
        <f>VLOOKUP(G207, SeanRanks!$A$2:$E$302, 4, FALSE)</f>
        <v>0</v>
      </c>
      <c r="G207" s="11" t="s">
        <v>467</v>
      </c>
      <c r="H207" s="11" t="str">
        <f>VLOOKUP($G207, 'ADP Data'!$C$4:$Q$300, 2, FALSE)</f>
        <v>CAR</v>
      </c>
      <c r="I207" s="11">
        <f>VLOOKUP(G207, 'ADP Data'!$C$4:$R$498, 12, FALSE)</f>
        <v>146</v>
      </c>
      <c r="J207" s="11">
        <f>VLOOKUP($G207, SeanRanks!$A$2:$H$303, 5, FALSE)</f>
        <v>0</v>
      </c>
      <c r="K207" s="11" t="str">
        <f>IF(VLOOKUP($G207, SeanRanks!$A$2:$H$303, 6, FALSE)=0, "", VLOOKUP($G207, SeanRanks!$A$2:$H$303, 6, FALSE))</f>
        <v>QB3 - League Winner?</v>
      </c>
      <c r="L207" s="11">
        <f t="shared" si="4"/>
        <v>26</v>
      </c>
      <c r="M207" s="11">
        <f>VLOOKUP($G207, 'ADP Data'!$C$4:$Q$300, 9, FALSE)</f>
        <v>201</v>
      </c>
      <c r="N207" s="11">
        <f t="shared" si="5"/>
        <v>17</v>
      </c>
      <c r="O207" s="11">
        <f>VLOOKUP($G207, 'ADP Data'!$C$4:$Q$300, 3, FALSE)</f>
        <v>190</v>
      </c>
      <c r="P207" s="11">
        <f t="shared" si="6"/>
        <v>11</v>
      </c>
      <c r="Q207" s="11">
        <f>VLOOKUP($G207, 'ADP Data'!$C$4:$Q$300, 4, FALSE)</f>
        <v>193</v>
      </c>
      <c r="R207" s="11">
        <f>VLOOKUP($G207, 'ADP Data'!$C$4:$Q$300, 5, FALSE)</f>
        <v>187</v>
      </c>
      <c r="S207" s="11">
        <f>VLOOKUP($G207, 'ADP Data'!$C$4:$Q$300, 6, FALSE)</f>
        <v>170</v>
      </c>
      <c r="T207" s="11">
        <f>VLOOKUP($G207, 'ADP Data'!$C$4:$Q$300, 7, FALSE)</f>
        <v>157</v>
      </c>
      <c r="U207" s="11">
        <f>VLOOKUP($G207, 'ADP Data'!$C$4:$Q$300, 8, FALSE)</f>
        <v>194</v>
      </c>
      <c r="V207" s="11">
        <f t="shared" si="7"/>
        <v>184</v>
      </c>
      <c r="W207" s="11">
        <f t="shared" si="8"/>
        <v>24</v>
      </c>
      <c r="X207" s="11">
        <f t="shared" si="9"/>
        <v>-24</v>
      </c>
      <c r="Y207" s="11">
        <f>VLOOKUP($G207, SeanRanks!$A$2:$K$303, 10, FALSE)-V207</f>
        <v>-48</v>
      </c>
      <c r="Z207" s="25">
        <f>IF(VLOOKUP($G207, SeanRanks!$A$2:$H$303, 7, FALSE)=0, "", VLOOKUP($G207, SeanRanks!$A$2:$H$303, 7, FALSE))</f>
        <v>21</v>
      </c>
    </row>
    <row r="208" spans="1:26" ht="14.25" customHeight="1" x14ac:dyDescent="0.25">
      <c r="A208" s="11"/>
      <c r="B208" s="11" t="e">
        <f t="shared" si="3"/>
        <v>#N/A</v>
      </c>
      <c r="C208" s="11" t="s">
        <v>148</v>
      </c>
      <c r="D208" s="11"/>
      <c r="E208" s="11"/>
      <c r="F208" s="11" t="e">
        <f>VLOOKUP(G208, SeanRanks!$A$2:$E$302, 4, FALSE)</f>
        <v>#N/A</v>
      </c>
      <c r="G208" s="11" t="s">
        <v>937</v>
      </c>
      <c r="H208" s="11" t="e">
        <f>VLOOKUP($G208, 'ADP Data'!$C$4:$Q$300, 2, FALSE)</f>
        <v>#N/A</v>
      </c>
      <c r="I208" s="11" t="e">
        <f>VLOOKUP(G208, 'ADP Data'!$C$4:$R$498, 12, FALSE)</f>
        <v>#N/A</v>
      </c>
      <c r="J208" s="11" t="e">
        <f>VLOOKUP($G208, SeanRanks!$A$2:$H$303, 5, FALSE)</f>
        <v>#N/A</v>
      </c>
      <c r="K208" s="11" t="e">
        <f>IF(VLOOKUP($G208, SeanRanks!$A$2:$H$303, 6, FALSE)=0, "", VLOOKUP($G208, SeanRanks!$A$2:$H$303, 6, FALSE))</f>
        <v>#N/A</v>
      </c>
      <c r="L208" s="11">
        <f t="shared" si="4"/>
        <v>16</v>
      </c>
      <c r="M208" s="11" t="e">
        <f>VLOOKUP($G208, 'ADP Data'!$C$4:$Q$300, 9, FALSE)</f>
        <v>#N/A</v>
      </c>
      <c r="N208" s="11" t="e">
        <f t="shared" si="5"/>
        <v>#N/A</v>
      </c>
      <c r="O208" s="11" t="e">
        <f>VLOOKUP($G208, 'ADP Data'!$C$4:$Q$300, 3, FALSE)</f>
        <v>#N/A</v>
      </c>
      <c r="P208" s="11" t="e">
        <f t="shared" si="6"/>
        <v>#N/A</v>
      </c>
      <c r="Q208" s="11" t="e">
        <f>VLOOKUP($G208, 'ADP Data'!$C$4:$Q$300, 4, FALSE)</f>
        <v>#N/A</v>
      </c>
      <c r="R208" s="11" t="e">
        <f>VLOOKUP($G208, 'ADP Data'!$C$4:$Q$300, 5, FALSE)</f>
        <v>#N/A</v>
      </c>
      <c r="S208" s="11" t="e">
        <f>VLOOKUP($G208, 'ADP Data'!$C$4:$Q$300, 6, FALSE)</f>
        <v>#N/A</v>
      </c>
      <c r="T208" s="11" t="e">
        <f>VLOOKUP($G208, 'ADP Data'!$C$4:$Q$300, 7, FALSE)</f>
        <v>#N/A</v>
      </c>
      <c r="U208" s="11" t="e">
        <f>VLOOKUP($G208, 'ADP Data'!$C$4:$Q$300, 8, FALSE)</f>
        <v>#N/A</v>
      </c>
      <c r="V208" s="11" t="e">
        <f t="shared" si="7"/>
        <v>#N/A</v>
      </c>
      <c r="W208" s="11">
        <f t="shared" si="8"/>
        <v>16</v>
      </c>
      <c r="X208" s="11">
        <f t="shared" si="9"/>
        <v>-16</v>
      </c>
      <c r="Y208" s="11" t="e">
        <f>VLOOKUP($G208, SeanRanks!$A$2:$K$303, 10, FALSE)-V208</f>
        <v>#N/A</v>
      </c>
      <c r="Z208" s="25" t="e">
        <f>IF(VLOOKUP($G208, SeanRanks!$A$2:$H$303, 7, FALSE)=0, "", VLOOKUP($G208, SeanRanks!$A$2:$H$303, 7, FALSE))</f>
        <v>#N/A</v>
      </c>
    </row>
    <row r="209" spans="1:26" ht="14.25" customHeight="1" x14ac:dyDescent="0.25">
      <c r="A209" s="11"/>
      <c r="B209" s="11">
        <f t="shared" si="3"/>
        <v>14</v>
      </c>
      <c r="C209" s="11" t="s">
        <v>148</v>
      </c>
      <c r="D209" s="11"/>
      <c r="E209" s="11"/>
      <c r="F209" s="11">
        <f>VLOOKUP(G209, SeanRanks!$A$2:$E$302, 4, FALSE)</f>
        <v>0</v>
      </c>
      <c r="G209" s="11" t="s">
        <v>938</v>
      </c>
      <c r="H209" s="11" t="str">
        <f>VLOOKUP($G209, 'ADP Data'!$C$4:$Q$300, 2, FALSE)</f>
        <v>PIT</v>
      </c>
      <c r="I209" s="11">
        <f>VLOOKUP(G209, 'ADP Data'!$C$4:$R$498, 12, FALSE)</f>
        <v>189</v>
      </c>
      <c r="J209" s="11">
        <f>VLOOKUP($G209, SeanRanks!$A$2:$H$303, 5, FALSE)</f>
        <v>0</v>
      </c>
      <c r="K209" s="11" t="str">
        <f>IF(VLOOKUP($G209, SeanRanks!$A$2:$H$303, 6, FALSE)=0, "", VLOOKUP($G209, SeanRanks!$A$2:$H$303, 6, FALSE))</f>
        <v/>
      </c>
      <c r="L209" s="11">
        <f t="shared" si="4"/>
        <v>14</v>
      </c>
      <c r="M209" s="11">
        <f>VLOOKUP($G209, 'ADP Data'!$C$4:$Q$300, 9, FALSE)</f>
        <v>110</v>
      </c>
      <c r="N209" s="11">
        <f t="shared" si="5"/>
        <v>-47</v>
      </c>
      <c r="O209" s="11">
        <f>VLOOKUP($G209, 'ADP Data'!$C$4:$Q$300, 3, FALSE)</f>
        <v>183</v>
      </c>
      <c r="P209" s="11">
        <f t="shared" si="6"/>
        <v>-73</v>
      </c>
      <c r="Q209" s="11">
        <f>VLOOKUP($G209, 'ADP Data'!$C$4:$Q$300, 4, FALSE)</f>
        <v>186</v>
      </c>
      <c r="R209" s="11">
        <f>VLOOKUP($G209, 'ADP Data'!$C$4:$Q$300, 5, FALSE)</f>
        <v>203</v>
      </c>
      <c r="S209" s="11">
        <f>VLOOKUP($G209, 'ADP Data'!$C$4:$Q$300, 6, FALSE)</f>
        <v>161</v>
      </c>
      <c r="T209" s="11">
        <f>VLOOKUP($G209, 'ADP Data'!$C$4:$Q$300, 7, FALSE)</f>
        <v>169</v>
      </c>
      <c r="U209" s="11">
        <f>VLOOKUP($G209, 'ADP Data'!$C$4:$Q$300, 8, FALSE)</f>
        <v>91</v>
      </c>
      <c r="V209" s="11">
        <f t="shared" si="7"/>
        <v>157</v>
      </c>
      <c r="W209" s="11">
        <f t="shared" si="8"/>
        <v>20</v>
      </c>
      <c r="X209" s="11">
        <f t="shared" si="9"/>
        <v>-20</v>
      </c>
      <c r="Y209" s="11">
        <f>VLOOKUP($G209, SeanRanks!$A$2:$K$303, 10, FALSE)-V209</f>
        <v>3</v>
      </c>
      <c r="Z209" s="25" t="str">
        <f>IF(VLOOKUP($G209, SeanRanks!$A$2:$H$303, 7, FALSE)=0, "", VLOOKUP($G209, SeanRanks!$A$2:$H$303, 7, FALSE))</f>
        <v/>
      </c>
    </row>
    <row r="210" spans="1:26" ht="14.25" customHeight="1" x14ac:dyDescent="0.25">
      <c r="A210" s="11"/>
      <c r="B210" s="11">
        <f t="shared" si="3"/>
        <v>9</v>
      </c>
      <c r="C210" s="11" t="s">
        <v>148</v>
      </c>
      <c r="D210" s="11"/>
      <c r="E210" s="11"/>
      <c r="F210" s="11">
        <f>VLOOKUP(G210, SeanRanks!$A$2:$E$302, 4, FALSE)</f>
        <v>0</v>
      </c>
      <c r="G210" s="11" t="s">
        <v>812</v>
      </c>
      <c r="H210" s="11" t="str">
        <f>VLOOKUP($G210, 'ADP Data'!$C$4:$Q$300, 2, FALSE)</f>
        <v>NYJ</v>
      </c>
      <c r="I210" s="11">
        <f>VLOOKUP(G210, 'ADP Data'!$C$4:$R$498, 12, FALSE)</f>
        <v>98</v>
      </c>
      <c r="J210" s="11">
        <f>VLOOKUP($G210, SeanRanks!$A$2:$H$303, 5, FALSE)</f>
        <v>0</v>
      </c>
      <c r="K210" s="11" t="str">
        <f>IF(VLOOKUP($G210, SeanRanks!$A$2:$H$303, 6, FALSE)=0, "", VLOOKUP($G210, SeanRanks!$A$2:$H$303, 6, FALSE))</f>
        <v>QB1 - 4 - Weekly Start</v>
      </c>
      <c r="L210" s="11">
        <f t="shared" si="4"/>
        <v>18</v>
      </c>
      <c r="M210" s="11">
        <f>VLOOKUP($G210, 'ADP Data'!$C$4:$Q$300, 9, FALSE)</f>
        <v>136</v>
      </c>
      <c r="N210" s="11">
        <f t="shared" si="5"/>
        <v>24</v>
      </c>
      <c r="O210" s="11">
        <f>VLOOKUP($G210, 'ADP Data'!$C$4:$Q$300, 3, FALSE)</f>
        <v>116</v>
      </c>
      <c r="P210" s="11">
        <f t="shared" si="6"/>
        <v>20</v>
      </c>
      <c r="Q210" s="11">
        <f>VLOOKUP($G210, 'ADP Data'!$C$4:$Q$300, 4, FALSE)</f>
        <v>120</v>
      </c>
      <c r="R210" s="11">
        <f>VLOOKUP($G210, 'ADP Data'!$C$4:$Q$300, 5, FALSE)</f>
        <v>121</v>
      </c>
      <c r="S210" s="11">
        <f>VLOOKUP($G210, 'ADP Data'!$C$4:$Q$300, 6, FALSE)</f>
        <v>119</v>
      </c>
      <c r="T210" s="11">
        <f>VLOOKUP($G210, 'ADP Data'!$C$4:$Q$300, 7, FALSE)</f>
        <v>112</v>
      </c>
      <c r="U210" s="11">
        <f>VLOOKUP($G210, 'ADP Data'!$C$4:$Q$300, 8, FALSE)</f>
        <v>63</v>
      </c>
      <c r="V210" s="11">
        <f t="shared" si="7"/>
        <v>112</v>
      </c>
      <c r="W210" s="11">
        <f t="shared" si="8"/>
        <v>15</v>
      </c>
      <c r="X210" s="11">
        <f t="shared" si="9"/>
        <v>-15</v>
      </c>
      <c r="Y210" s="11">
        <f>VLOOKUP($G210, SeanRanks!$A$2:$K$303, 10, FALSE)-V210</f>
        <v>-10</v>
      </c>
      <c r="Z210" s="25">
        <f>IF(VLOOKUP($G210, SeanRanks!$A$2:$H$303, 7, FALSE)=0, "", VLOOKUP($G210, SeanRanks!$A$2:$H$303, 7, FALSE))</f>
        <v>10</v>
      </c>
    </row>
    <row r="211" spans="1:26" ht="14.25" customHeight="1" x14ac:dyDescent="0.25">
      <c r="A211" s="11"/>
      <c r="B211" s="11">
        <f t="shared" si="3"/>
        <v>8</v>
      </c>
      <c r="C211" s="11" t="s">
        <v>148</v>
      </c>
      <c r="D211" s="11"/>
      <c r="E211" s="11"/>
      <c r="F211" s="11">
        <f>VLOOKUP(G211, SeanRanks!$A$2:$E$302, 4, FALSE)</f>
        <v>0</v>
      </c>
      <c r="G211" s="11" t="s">
        <v>435</v>
      </c>
      <c r="H211" s="11" t="str">
        <f>VLOOKUP($G211, 'ADP Data'!$C$4:$Q$300, 2, FALSE)</f>
        <v>NYG</v>
      </c>
      <c r="I211" s="11">
        <f>VLOOKUP(G211, 'ADP Data'!$C$4:$R$498, 12, FALSE)</f>
        <v>88</v>
      </c>
      <c r="J211" s="11">
        <f>VLOOKUP($G211, SeanRanks!$A$2:$H$303, 5, FALSE)</f>
        <v>0</v>
      </c>
      <c r="K211" s="11" t="str">
        <f>IF(VLOOKUP($G211, SeanRanks!$A$2:$H$303, 6, FALSE)=0, "", VLOOKUP($G211, SeanRanks!$A$2:$H$303, 6, FALSE))</f>
        <v>RB3 - 2 - low ceiling</v>
      </c>
      <c r="L211" s="11">
        <f t="shared" si="4"/>
        <v>11</v>
      </c>
      <c r="M211" s="11">
        <f>VLOOKUP($G211, 'ADP Data'!$C$4:$Q$300, 9, FALSE)</f>
        <v>82</v>
      </c>
      <c r="N211" s="11">
        <f t="shared" si="5"/>
        <v>-1</v>
      </c>
      <c r="O211" s="11">
        <f>VLOOKUP($G211, 'ADP Data'!$C$4:$Q$300, 3, FALSE)</f>
        <v>70</v>
      </c>
      <c r="P211" s="11">
        <f t="shared" si="6"/>
        <v>12</v>
      </c>
      <c r="Q211" s="11">
        <f>VLOOKUP($G211, 'ADP Data'!$C$4:$Q$300, 4, FALSE)</f>
        <v>81</v>
      </c>
      <c r="R211" s="11">
        <f>VLOOKUP($G211, 'ADP Data'!$C$4:$Q$300, 5, FALSE)</f>
        <v>90</v>
      </c>
      <c r="S211" s="11">
        <f>VLOOKUP($G211, 'ADP Data'!$C$4:$Q$300, 6, FALSE)</f>
        <v>80</v>
      </c>
      <c r="T211" s="11">
        <f>VLOOKUP($G211, 'ADP Data'!$C$4:$Q$300, 7, FALSE)</f>
        <v>81</v>
      </c>
      <c r="U211" s="11">
        <f>VLOOKUP($G211, 'ADP Data'!$C$4:$Q$300, 8, FALSE)</f>
        <v>101</v>
      </c>
      <c r="V211" s="11">
        <f t="shared" si="7"/>
        <v>83</v>
      </c>
      <c r="W211" s="11">
        <f t="shared" si="8"/>
        <v>11</v>
      </c>
      <c r="X211" s="11">
        <f t="shared" si="9"/>
        <v>-11</v>
      </c>
      <c r="Y211" s="11">
        <f>VLOOKUP($G211, SeanRanks!$A$2:$K$303, 10, FALSE)-V211</f>
        <v>-16</v>
      </c>
      <c r="Z211" s="25">
        <f>IF(VLOOKUP($G211, SeanRanks!$A$2:$H$303, 7, FALSE)=0, "", VLOOKUP($G211, SeanRanks!$A$2:$H$303, 7, FALSE))</f>
        <v>34</v>
      </c>
    </row>
    <row r="212" spans="1:26" ht="14.25" customHeight="1" x14ac:dyDescent="0.25">
      <c r="A212" s="11"/>
      <c r="B212" s="11" t="e">
        <f t="shared" si="3"/>
        <v>#N/A</v>
      </c>
      <c r="C212" s="11" t="s">
        <v>148</v>
      </c>
      <c r="D212" s="11"/>
      <c r="E212" s="11"/>
      <c r="F212" s="11" t="e">
        <f>VLOOKUP(G212, SeanRanks!$A$2:$E$302, 4, FALSE)</f>
        <v>#N/A</v>
      </c>
      <c r="G212" s="11" t="s">
        <v>939</v>
      </c>
      <c r="H212" s="11" t="e">
        <f>VLOOKUP($G212, 'ADP Data'!$C$4:$Q$300, 2, FALSE)</f>
        <v>#N/A</v>
      </c>
      <c r="I212" s="11" t="e">
        <f>VLOOKUP(G212, 'ADP Data'!$C$4:$R$498, 12, FALSE)</f>
        <v>#N/A</v>
      </c>
      <c r="J212" s="11" t="e">
        <f>VLOOKUP($G212, SeanRanks!$A$2:$H$303, 5, FALSE)</f>
        <v>#N/A</v>
      </c>
      <c r="K212" s="11" t="e">
        <f>IF(VLOOKUP($G212, SeanRanks!$A$2:$H$303, 6, FALSE)=0, "", VLOOKUP($G212, SeanRanks!$A$2:$H$303, 6, FALSE))</f>
        <v>#N/A</v>
      </c>
      <c r="L212" s="11">
        <f t="shared" si="4"/>
        <v>16</v>
      </c>
      <c r="M212" s="11" t="e">
        <f>VLOOKUP($G212, 'ADP Data'!$C$4:$Q$300, 9, FALSE)</f>
        <v>#N/A</v>
      </c>
      <c r="N212" s="11" t="e">
        <f t="shared" si="5"/>
        <v>#N/A</v>
      </c>
      <c r="O212" s="11" t="e">
        <f>VLOOKUP($G212, 'ADP Data'!$C$4:$Q$300, 3, FALSE)</f>
        <v>#N/A</v>
      </c>
      <c r="P212" s="11" t="e">
        <f t="shared" si="6"/>
        <v>#N/A</v>
      </c>
      <c r="Q212" s="11" t="e">
        <f>VLOOKUP($G212, 'ADP Data'!$C$4:$Q$300, 4, FALSE)</f>
        <v>#N/A</v>
      </c>
      <c r="R212" s="11" t="e">
        <f>VLOOKUP($G212, 'ADP Data'!$C$4:$Q$300, 5, FALSE)</f>
        <v>#N/A</v>
      </c>
      <c r="S212" s="11" t="e">
        <f>VLOOKUP($G212, 'ADP Data'!$C$4:$Q$300, 6, FALSE)</f>
        <v>#N/A</v>
      </c>
      <c r="T212" s="11" t="e">
        <f>VLOOKUP($G212, 'ADP Data'!$C$4:$Q$300, 7, FALSE)</f>
        <v>#N/A</v>
      </c>
      <c r="U212" s="11" t="e">
        <f>VLOOKUP($G212, 'ADP Data'!$C$4:$Q$300, 8, FALSE)</f>
        <v>#N/A</v>
      </c>
      <c r="V212" s="11" t="e">
        <f t="shared" si="7"/>
        <v>#N/A</v>
      </c>
      <c r="W212" s="11">
        <f t="shared" si="8"/>
        <v>16</v>
      </c>
      <c r="X212" s="11">
        <f t="shared" si="9"/>
        <v>-16</v>
      </c>
      <c r="Y212" s="11" t="e">
        <f>VLOOKUP($G212, SeanRanks!$A$2:$K$303, 10, FALSE)-V212</f>
        <v>#N/A</v>
      </c>
      <c r="Z212" s="25" t="e">
        <f>IF(VLOOKUP($G212, SeanRanks!$A$2:$H$303, 7, FALSE)=0, "", VLOOKUP($G212, SeanRanks!$A$2:$H$303, 7, FALSE))</f>
        <v>#N/A</v>
      </c>
    </row>
    <row r="213" spans="1:26" ht="14.25" customHeight="1" x14ac:dyDescent="0.25">
      <c r="A213" s="11"/>
      <c r="B213" s="11">
        <f t="shared" si="3"/>
        <v>21</v>
      </c>
      <c r="C213" s="11" t="s">
        <v>148</v>
      </c>
      <c r="D213" s="11"/>
      <c r="E213" s="11"/>
      <c r="F213" s="11">
        <f>VLOOKUP(G213, SeanRanks!$A$2:$E$302, 4, FALSE)</f>
        <v>0</v>
      </c>
      <c r="G213" s="11" t="s">
        <v>940</v>
      </c>
      <c r="H213" s="11" t="str">
        <f>VLOOKUP($G213, 'ADP Data'!$C$4:$Q$300, 2, FALSE)</f>
        <v>HOU</v>
      </c>
      <c r="I213" s="11">
        <f>VLOOKUP(G213, 'ADP Data'!$C$4:$R$498, 12, FALSE)</f>
        <v>202</v>
      </c>
      <c r="J213" s="11">
        <f>VLOOKUP($G213, SeanRanks!$A$2:$H$303, 5, FALSE)</f>
        <v>0</v>
      </c>
      <c r="K213" s="11" t="str">
        <f>IF(VLOOKUP($G213, SeanRanks!$A$2:$H$303, 6, FALSE)=0, "", VLOOKUP($G213, SeanRanks!$A$2:$H$303, 6, FALSE))</f>
        <v/>
      </c>
      <c r="L213" s="11">
        <f t="shared" si="4"/>
        <v>16</v>
      </c>
      <c r="M213" s="11" t="str">
        <f>VLOOKUP($G213, 'ADP Data'!$C$4:$Q$300, 9, FALSE)</f>
        <v>-</v>
      </c>
      <c r="N213" s="11" t="e">
        <f t="shared" si="5"/>
        <v>#VALUE!</v>
      </c>
      <c r="O213" s="11" t="str">
        <f>VLOOKUP($G213, 'ADP Data'!$C$4:$Q$300, 3, FALSE)</f>
        <v>-</v>
      </c>
      <c r="P213" s="11" t="e">
        <f t="shared" si="6"/>
        <v>#VALUE!</v>
      </c>
      <c r="Q213" s="11" t="str">
        <f>VLOOKUP($G213, 'ADP Data'!$C$4:$Q$300, 4, FALSE)</f>
        <v>-</v>
      </c>
      <c r="R213" s="11" t="str">
        <f>VLOOKUP($G213, 'ADP Data'!$C$4:$Q$300, 5, FALSE)</f>
        <v>-</v>
      </c>
      <c r="S213" s="11">
        <f>VLOOKUP($G213, 'ADP Data'!$C$4:$Q$300, 6, FALSE)</f>
        <v>209</v>
      </c>
      <c r="T213" s="11">
        <f>VLOOKUP($G213, 'ADP Data'!$C$4:$Q$300, 7, FALSE)</f>
        <v>237</v>
      </c>
      <c r="U213" s="11">
        <f>VLOOKUP($G213, 'ADP Data'!$C$4:$Q$300, 8, FALSE)</f>
        <v>295</v>
      </c>
      <c r="V213" s="11">
        <f t="shared" si="7"/>
        <v>247</v>
      </c>
      <c r="W213" s="11">
        <f t="shared" si="8"/>
        <v>31</v>
      </c>
      <c r="X213" s="11">
        <f t="shared" si="9"/>
        <v>-31</v>
      </c>
      <c r="Y213" s="11">
        <f>VLOOKUP($G213, SeanRanks!$A$2:$K$303, 10, FALSE)-V213</f>
        <v>-18</v>
      </c>
      <c r="Z213" s="25" t="str">
        <f>IF(VLOOKUP($G213, SeanRanks!$A$2:$H$303, 7, FALSE)=0, "", VLOOKUP($G213, SeanRanks!$A$2:$H$303, 7, FALSE))</f>
        <v/>
      </c>
    </row>
    <row r="214" spans="1:26" ht="14.25" customHeight="1" x14ac:dyDescent="0.25">
      <c r="A214" s="11"/>
      <c r="B214" s="11">
        <f t="shared" si="3"/>
        <v>25</v>
      </c>
      <c r="C214" s="11" t="s">
        <v>148</v>
      </c>
      <c r="D214" s="11"/>
      <c r="E214" s="11"/>
      <c r="F214" s="11">
        <f>VLOOKUP(G214, SeanRanks!$A$2:$E$302, 4, FALSE)</f>
        <v>0</v>
      </c>
      <c r="G214" s="11" t="s">
        <v>941</v>
      </c>
      <c r="H214" s="11" t="str">
        <f>VLOOKUP($G214, 'ADP Data'!$C$4:$Q$300, 2, FALSE)</f>
        <v>DAL</v>
      </c>
      <c r="I214" s="11">
        <f>VLOOKUP(G214, 'ADP Data'!$C$4:$R$498, 12, FALSE)</f>
        <v>284</v>
      </c>
      <c r="J214" s="11">
        <f>VLOOKUP($G214, SeanRanks!$A$2:$H$303, 5, FALSE)</f>
        <v>0</v>
      </c>
      <c r="K214" s="11" t="str">
        <f>IF(VLOOKUP($G214, SeanRanks!$A$2:$H$303, 6, FALSE)=0, "", VLOOKUP($G214, SeanRanks!$A$2:$H$303, 6, FALSE))</f>
        <v/>
      </c>
      <c r="L214" s="11">
        <f t="shared" si="4"/>
        <v>40</v>
      </c>
      <c r="M214" s="11">
        <f>VLOOKUP($G214, 'ADP Data'!$C$4:$Q$300, 9, FALSE)</f>
        <v>319</v>
      </c>
      <c r="N214" s="11">
        <f t="shared" si="5"/>
        <v>16</v>
      </c>
      <c r="O214" s="11" t="str">
        <f>VLOOKUP($G214, 'ADP Data'!$C$4:$Q$300, 3, FALSE)</f>
        <v>-</v>
      </c>
      <c r="P214" s="11" t="e">
        <f t="shared" si="6"/>
        <v>#VALUE!</v>
      </c>
      <c r="Q214" s="11" t="str">
        <f>VLOOKUP($G214, 'ADP Data'!$C$4:$Q$300, 4, FALSE)</f>
        <v>-</v>
      </c>
      <c r="R214" s="11" t="str">
        <f>VLOOKUP($G214, 'ADP Data'!$C$4:$Q$300, 5, FALSE)</f>
        <v>-</v>
      </c>
      <c r="S214" s="11">
        <f>VLOOKUP($G214, 'ADP Data'!$C$4:$Q$300, 6, FALSE)</f>
        <v>340</v>
      </c>
      <c r="T214" s="11">
        <f>VLOOKUP($G214, 'ADP Data'!$C$4:$Q$300, 7, FALSE)</f>
        <v>270</v>
      </c>
      <c r="U214" s="11">
        <f>VLOOKUP($G214, 'ADP Data'!$C$4:$Q$300, 8, FALSE)</f>
        <v>284</v>
      </c>
      <c r="V214" s="11">
        <f t="shared" si="7"/>
        <v>303</v>
      </c>
      <c r="W214" s="11">
        <f t="shared" si="8"/>
        <v>38</v>
      </c>
      <c r="X214" s="11">
        <f t="shared" si="9"/>
        <v>-38</v>
      </c>
      <c r="Y214" s="11" t="e">
        <f>VLOOKUP($G214, SeanRanks!$A$2:$K$303, 10, FALSE)-V214</f>
        <v>#VALUE!</v>
      </c>
      <c r="Z214" s="25" t="str">
        <f>IF(VLOOKUP($G214, SeanRanks!$A$2:$H$303, 7, FALSE)=0, "", VLOOKUP($G214, SeanRanks!$A$2:$H$303, 7, FALSE))</f>
        <v/>
      </c>
    </row>
    <row r="215" spans="1:26" ht="14.25" customHeight="1" x14ac:dyDescent="0.25">
      <c r="A215" s="11"/>
      <c r="B215" s="11">
        <f t="shared" si="3"/>
        <v>23</v>
      </c>
      <c r="C215" s="11" t="s">
        <v>148</v>
      </c>
      <c r="D215" s="11"/>
      <c r="E215" s="11"/>
      <c r="F215" s="11">
        <f>VLOOKUP(G215, SeanRanks!$A$2:$E$302, 4, FALSE)</f>
        <v>0</v>
      </c>
      <c r="G215" s="11" t="s">
        <v>403</v>
      </c>
      <c r="H215" s="11" t="str">
        <f>VLOOKUP($G215, 'ADP Data'!$C$4:$Q$300, 2, FALSE)</f>
        <v>IND</v>
      </c>
      <c r="I215" s="11">
        <f>VLOOKUP(G215, 'ADP Data'!$C$4:$R$498, 12, FALSE)</f>
        <v>188</v>
      </c>
      <c r="J215" s="11" t="str">
        <f>VLOOKUP($G215, SeanRanks!$A$2:$H$303, 5, FALSE)</f>
        <v>Yes</v>
      </c>
      <c r="K215" s="11" t="str">
        <f>IF(VLOOKUP($G215, SeanRanks!$A$2:$H$303, 6, FALSE)=0, "", VLOOKUP($G215, SeanRanks!$A$2:$H$303, 6, FALSE))</f>
        <v>Fine very late round pick</v>
      </c>
      <c r="L215" s="11">
        <f t="shared" si="4"/>
        <v>35</v>
      </c>
      <c r="M215" s="11">
        <f>VLOOKUP($G215, 'ADP Data'!$C$4:$Q$300, 9, FALSE)</f>
        <v>277</v>
      </c>
      <c r="N215" s="11">
        <f t="shared" si="5"/>
        <v>24</v>
      </c>
      <c r="O215" s="11">
        <f>VLOOKUP($G215, 'ADP Data'!$C$4:$Q$300, 3, FALSE)</f>
        <v>156</v>
      </c>
      <c r="P215" s="11">
        <f t="shared" si="6"/>
        <v>121</v>
      </c>
      <c r="Q215" s="11" t="str">
        <f>VLOOKUP($G215, 'ADP Data'!$C$4:$Q$300, 4, FALSE)</f>
        <v>-</v>
      </c>
      <c r="R215" s="11">
        <f>VLOOKUP($G215, 'ADP Data'!$C$4:$Q$300, 5, FALSE)</f>
        <v>310</v>
      </c>
      <c r="S215" s="11">
        <f>VLOOKUP($G215, 'ADP Data'!$C$4:$Q$300, 6, FALSE)</f>
        <v>231</v>
      </c>
      <c r="T215" s="11">
        <f>VLOOKUP($G215, 'ADP Data'!$C$4:$Q$300, 7, FALSE)</f>
        <v>236</v>
      </c>
      <c r="U215" s="11">
        <f>VLOOKUP($G215, 'ADP Data'!$C$4:$Q$300, 8, FALSE)</f>
        <v>310</v>
      </c>
      <c r="V215" s="11">
        <f t="shared" si="7"/>
        <v>253</v>
      </c>
      <c r="W215" s="11">
        <f t="shared" si="8"/>
        <v>32</v>
      </c>
      <c r="X215" s="11">
        <f t="shared" si="9"/>
        <v>-32</v>
      </c>
      <c r="Y215" s="11">
        <f>VLOOKUP($G215, SeanRanks!$A$2:$K$303, 10, FALSE)-V215</f>
        <v>-8</v>
      </c>
      <c r="Z215" s="25">
        <f>IF(VLOOKUP($G215, SeanRanks!$A$2:$H$303, 7, FALSE)=0, "", VLOOKUP($G215, SeanRanks!$A$2:$H$303, 7, FALSE))</f>
        <v>25</v>
      </c>
    </row>
    <row r="216" spans="1:26" ht="14.25" customHeight="1" x14ac:dyDescent="0.25">
      <c r="A216" s="11"/>
      <c r="B216" s="11">
        <f t="shared" si="3"/>
        <v>19</v>
      </c>
      <c r="C216" s="11" t="s">
        <v>148</v>
      </c>
      <c r="D216" s="11"/>
      <c r="E216" s="11"/>
      <c r="F216" s="11">
        <f>VLOOKUP(G216, SeanRanks!$A$2:$E$302, 4, FALSE)</f>
        <v>0</v>
      </c>
      <c r="G216" s="11" t="s">
        <v>943</v>
      </c>
      <c r="H216" s="11" t="str">
        <f>VLOOKUP($G216, 'ADP Data'!$C$4:$Q$300, 2, FALSE)</f>
        <v>TB</v>
      </c>
      <c r="I216" s="11" t="str">
        <f>VLOOKUP(G216, 'ADP Data'!$C$4:$R$498, 12, FALSE)</f>
        <v>-</v>
      </c>
      <c r="J216" s="11">
        <f>VLOOKUP($G216, SeanRanks!$A$2:$H$303, 5, FALSE)</f>
        <v>0</v>
      </c>
      <c r="K216" s="11" t="str">
        <f>IF(VLOOKUP($G216, SeanRanks!$A$2:$H$303, 6, FALSE)=0, "", VLOOKUP($G216, SeanRanks!$A$2:$H$303, 6, FALSE))</f>
        <v/>
      </c>
      <c r="L216" s="11">
        <f t="shared" si="4"/>
        <v>24</v>
      </c>
      <c r="M216" s="11">
        <f>VLOOKUP($G216, 'ADP Data'!$C$4:$Q$300, 9, FALSE)</f>
        <v>184</v>
      </c>
      <c r="N216" s="11">
        <f t="shared" si="5"/>
        <v>-36</v>
      </c>
      <c r="O216" s="11" t="str">
        <f>VLOOKUP($G216, 'ADP Data'!$C$4:$Q$300, 3, FALSE)</f>
        <v>-</v>
      </c>
      <c r="P216" s="11" t="e">
        <f t="shared" si="6"/>
        <v>#VALUE!</v>
      </c>
      <c r="Q216" s="11">
        <f>VLOOKUP($G216, 'ADP Data'!$C$4:$Q$300, 4, FALSE)</f>
        <v>202</v>
      </c>
      <c r="R216" s="11">
        <f>VLOOKUP($G216, 'ADP Data'!$C$4:$Q$300, 5, FALSE)</f>
        <v>228</v>
      </c>
      <c r="S216" s="11">
        <f>VLOOKUP($G216, 'ADP Data'!$C$4:$Q$300, 6, FALSE)</f>
        <v>317</v>
      </c>
      <c r="T216" s="11">
        <f>VLOOKUP($G216, 'ADP Data'!$C$4:$Q$300, 7, FALSE)</f>
        <v>254</v>
      </c>
      <c r="U216" s="11">
        <f>VLOOKUP($G216, 'ADP Data'!$C$4:$Q$300, 8, FALSE)</f>
        <v>138</v>
      </c>
      <c r="V216" s="11">
        <f t="shared" si="7"/>
        <v>220</v>
      </c>
      <c r="W216" s="11">
        <f t="shared" si="8"/>
        <v>28</v>
      </c>
      <c r="X216" s="11">
        <f t="shared" si="9"/>
        <v>-28</v>
      </c>
      <c r="Y216" s="11" t="e">
        <f>VLOOKUP($G216, SeanRanks!$A$2:$K$303, 10, FALSE)-V216</f>
        <v>#VALUE!</v>
      </c>
      <c r="Z216" s="25" t="str">
        <f>IF(VLOOKUP($G216, SeanRanks!$A$2:$H$303, 7, FALSE)=0, "", VLOOKUP($G216, SeanRanks!$A$2:$H$303, 7, FALSE))</f>
        <v/>
      </c>
    </row>
    <row r="217" spans="1:26" ht="14.25" customHeight="1" x14ac:dyDescent="0.25">
      <c r="A217" s="11"/>
      <c r="B217" s="11" t="e">
        <f t="shared" si="3"/>
        <v>#N/A</v>
      </c>
      <c r="C217" s="11" t="s">
        <v>148</v>
      </c>
      <c r="D217" s="11"/>
      <c r="E217" s="11"/>
      <c r="F217" s="11" t="e">
        <f>VLOOKUP(G217, SeanRanks!$A$2:$E$302, 4, FALSE)</f>
        <v>#N/A</v>
      </c>
      <c r="G217" s="11" t="s">
        <v>944</v>
      </c>
      <c r="H217" s="11" t="e">
        <f>VLOOKUP($G217, 'ADP Data'!$C$4:$Q$300, 2, FALSE)</f>
        <v>#N/A</v>
      </c>
      <c r="I217" s="11" t="e">
        <f>VLOOKUP(G217, 'ADP Data'!$C$4:$R$498, 12, FALSE)</f>
        <v>#N/A</v>
      </c>
      <c r="J217" s="11" t="e">
        <f>VLOOKUP($G217, SeanRanks!$A$2:$H$303, 5, FALSE)</f>
        <v>#N/A</v>
      </c>
      <c r="K217" s="11" t="e">
        <f>IF(VLOOKUP($G217, SeanRanks!$A$2:$H$303, 6, FALSE)=0, "", VLOOKUP($G217, SeanRanks!$A$2:$H$303, 6, FALSE))</f>
        <v>#N/A</v>
      </c>
      <c r="L217" s="11">
        <f t="shared" si="4"/>
        <v>16</v>
      </c>
      <c r="M217" s="11" t="e">
        <f>VLOOKUP($G217, 'ADP Data'!$C$4:$Q$300, 9, FALSE)</f>
        <v>#N/A</v>
      </c>
      <c r="N217" s="11" t="e">
        <f t="shared" si="5"/>
        <v>#N/A</v>
      </c>
      <c r="O217" s="11" t="e">
        <f>VLOOKUP($G217, 'ADP Data'!$C$4:$Q$300, 3, FALSE)</f>
        <v>#N/A</v>
      </c>
      <c r="P217" s="11" t="e">
        <f t="shared" si="6"/>
        <v>#N/A</v>
      </c>
      <c r="Q217" s="11" t="e">
        <f>VLOOKUP($G217, 'ADP Data'!$C$4:$Q$300, 4, FALSE)</f>
        <v>#N/A</v>
      </c>
      <c r="R217" s="11" t="e">
        <f>VLOOKUP($G217, 'ADP Data'!$C$4:$Q$300, 5, FALSE)</f>
        <v>#N/A</v>
      </c>
      <c r="S217" s="11" t="e">
        <f>VLOOKUP($G217, 'ADP Data'!$C$4:$Q$300, 6, FALSE)</f>
        <v>#N/A</v>
      </c>
      <c r="T217" s="11" t="e">
        <f>VLOOKUP($G217, 'ADP Data'!$C$4:$Q$300, 7, FALSE)</f>
        <v>#N/A</v>
      </c>
      <c r="U217" s="11" t="e">
        <f>VLOOKUP($G217, 'ADP Data'!$C$4:$Q$300, 8, FALSE)</f>
        <v>#N/A</v>
      </c>
      <c r="V217" s="11" t="e">
        <f t="shared" si="7"/>
        <v>#N/A</v>
      </c>
      <c r="W217" s="11">
        <f t="shared" si="8"/>
        <v>16</v>
      </c>
      <c r="X217" s="11">
        <f t="shared" si="9"/>
        <v>-16</v>
      </c>
      <c r="Y217" s="11" t="e">
        <f>VLOOKUP($G217, SeanRanks!$A$2:$K$303, 10, FALSE)-V217</f>
        <v>#N/A</v>
      </c>
      <c r="Z217" s="25" t="e">
        <f>IF(VLOOKUP($G217, SeanRanks!$A$2:$H$303, 7, FALSE)=0, "", VLOOKUP($G217, SeanRanks!$A$2:$H$303, 7, FALSE))</f>
        <v>#N/A</v>
      </c>
    </row>
    <row r="218" spans="1:26" ht="14.25" customHeight="1" x14ac:dyDescent="0.25">
      <c r="A218" s="11"/>
      <c r="B218" s="11">
        <f t="shared" si="3"/>
        <v>20</v>
      </c>
      <c r="C218" s="11" t="s">
        <v>148</v>
      </c>
      <c r="D218" s="11"/>
      <c r="E218" s="11"/>
      <c r="F218" s="11">
        <f>VLOOKUP(G218, SeanRanks!$A$2:$E$302, 4, FALSE)</f>
        <v>0</v>
      </c>
      <c r="G218" s="11" t="s">
        <v>945</v>
      </c>
      <c r="H218" s="11" t="str">
        <f>VLOOKUP($G218, 'ADP Data'!$C$4:$Q$300, 2, FALSE)</f>
        <v>CHI</v>
      </c>
      <c r="I218" s="11">
        <f>VLOOKUP(G218, 'ADP Data'!$C$4:$R$498, 12, FALSE)</f>
        <v>220</v>
      </c>
      <c r="J218" s="11">
        <f>VLOOKUP($G218, SeanRanks!$A$2:$H$303, 5, FALSE)</f>
        <v>0</v>
      </c>
      <c r="K218" s="11" t="str">
        <f>IF(VLOOKUP($G218, SeanRanks!$A$2:$H$303, 6, FALSE)=0, "", VLOOKUP($G218, SeanRanks!$A$2:$H$303, 6, FALSE))</f>
        <v/>
      </c>
      <c r="L218" s="11">
        <f t="shared" si="4"/>
        <v>26</v>
      </c>
      <c r="M218" s="11">
        <f>VLOOKUP($G218, 'ADP Data'!$C$4:$Q$300, 9, FALSE)</f>
        <v>203</v>
      </c>
      <c r="N218" s="11">
        <f t="shared" si="5"/>
        <v>-25</v>
      </c>
      <c r="O218" s="11">
        <f>VLOOKUP($G218, 'ADP Data'!$C$4:$Q$300, 3, FALSE)</f>
        <v>213</v>
      </c>
      <c r="P218" s="11">
        <f t="shared" si="6"/>
        <v>-10</v>
      </c>
      <c r="Q218" s="11" t="str">
        <f>VLOOKUP($G218, 'ADP Data'!$C$4:$Q$300, 4, FALSE)</f>
        <v>-</v>
      </c>
      <c r="R218" s="11">
        <f>VLOOKUP($G218, 'ADP Data'!$C$4:$Q$300, 5, FALSE)</f>
        <v>275</v>
      </c>
      <c r="S218" s="11">
        <f>VLOOKUP($G218, 'ADP Data'!$C$4:$Q$300, 6, FALSE)</f>
        <v>186</v>
      </c>
      <c r="T218" s="11">
        <f>VLOOKUP($G218, 'ADP Data'!$C$4:$Q$300, 7, FALSE)</f>
        <v>188</v>
      </c>
      <c r="U218" s="11">
        <f>VLOOKUP($G218, 'ADP Data'!$C$4:$Q$300, 8, FALSE)</f>
        <v>304</v>
      </c>
      <c r="V218" s="11">
        <f t="shared" si="7"/>
        <v>228</v>
      </c>
      <c r="W218" s="11">
        <f t="shared" si="8"/>
        <v>29</v>
      </c>
      <c r="X218" s="11">
        <f t="shared" si="9"/>
        <v>-29</v>
      </c>
      <c r="Y218" s="11">
        <f>VLOOKUP($G218, SeanRanks!$A$2:$K$303, 10, FALSE)-V218</f>
        <v>-57</v>
      </c>
      <c r="Z218" s="25" t="str">
        <f>IF(VLOOKUP($G218, SeanRanks!$A$2:$H$303, 7, FALSE)=0, "", VLOOKUP($G218, SeanRanks!$A$2:$H$303, 7, FALSE))</f>
        <v/>
      </c>
    </row>
    <row r="219" spans="1:26" ht="14.25" customHeight="1" x14ac:dyDescent="0.25">
      <c r="A219" s="11"/>
      <c r="B219" s="11">
        <f t="shared" si="3"/>
        <v>22</v>
      </c>
      <c r="C219" s="11" t="s">
        <v>148</v>
      </c>
      <c r="D219" s="11"/>
      <c r="E219" s="11"/>
      <c r="F219" s="11">
        <f>VLOOKUP(G219, SeanRanks!$A$2:$E$302, 4, FALSE)</f>
        <v>0</v>
      </c>
      <c r="G219" s="11" t="s">
        <v>946</v>
      </c>
      <c r="H219" s="11" t="str">
        <f>VLOOKUP($G219, 'ADP Data'!$C$4:$Q$300, 2, FALSE)</f>
        <v>IND</v>
      </c>
      <c r="I219" s="11" t="str">
        <f>VLOOKUP(G219, 'ADP Data'!$C$4:$R$498, 12, FALSE)</f>
        <v>-</v>
      </c>
      <c r="J219" s="11">
        <f>VLOOKUP($G219, SeanRanks!$A$2:$H$303, 5, FALSE)</f>
        <v>0</v>
      </c>
      <c r="K219" s="11" t="str">
        <f>IF(VLOOKUP($G219, SeanRanks!$A$2:$H$303, 6, FALSE)=0, "", VLOOKUP($G219, SeanRanks!$A$2:$H$303, 6, FALSE))</f>
        <v/>
      </c>
      <c r="L219" s="11">
        <f t="shared" si="4"/>
        <v>37</v>
      </c>
      <c r="M219" s="11">
        <f>VLOOKUP($G219, 'ADP Data'!$C$4:$Q$300, 9, FALSE)</f>
        <v>290</v>
      </c>
      <c r="N219" s="11">
        <f t="shared" si="5"/>
        <v>29</v>
      </c>
      <c r="O219" s="11" t="str">
        <f>VLOOKUP($G219, 'ADP Data'!$C$4:$Q$300, 3, FALSE)</f>
        <v>-</v>
      </c>
      <c r="P219" s="11" t="e">
        <f t="shared" si="6"/>
        <v>#VALUE!</v>
      </c>
      <c r="Q219" s="11">
        <f>VLOOKUP($G219, 'ADP Data'!$C$4:$Q$300, 4, FALSE)</f>
        <v>180</v>
      </c>
      <c r="R219" s="11" t="str">
        <f>VLOOKUP($G219, 'ADP Data'!$C$4:$Q$300, 5, FALSE)</f>
        <v>-</v>
      </c>
      <c r="S219" s="11">
        <f>VLOOKUP($G219, 'ADP Data'!$C$4:$Q$300, 6, FALSE)</f>
        <v>331</v>
      </c>
      <c r="T219" s="11">
        <f>VLOOKUP($G219, 'ADP Data'!$C$4:$Q$300, 7, FALSE)</f>
        <v>271</v>
      </c>
      <c r="U219" s="11">
        <f>VLOOKUP($G219, 'ADP Data'!$C$4:$Q$300, 8, FALSE)</f>
        <v>234</v>
      </c>
      <c r="V219" s="11">
        <f t="shared" si="7"/>
        <v>261</v>
      </c>
      <c r="W219" s="11">
        <f t="shared" si="8"/>
        <v>33</v>
      </c>
      <c r="X219" s="11">
        <f t="shared" si="9"/>
        <v>-33</v>
      </c>
      <c r="Y219" s="11" t="e">
        <f>VLOOKUP($G219, SeanRanks!$A$2:$K$303, 10, FALSE)-V219</f>
        <v>#VALUE!</v>
      </c>
      <c r="Z219" s="25" t="str">
        <f>IF(VLOOKUP($G219, SeanRanks!$A$2:$H$303, 7, FALSE)=0, "", VLOOKUP($G219, SeanRanks!$A$2:$H$303, 7, FALSE))</f>
        <v/>
      </c>
    </row>
    <row r="220" spans="1:26" ht="14.25" customHeight="1" x14ac:dyDescent="0.25">
      <c r="A220" s="11"/>
      <c r="B220" s="11">
        <f t="shared" si="3"/>
        <v>14</v>
      </c>
      <c r="C220" s="11" t="s">
        <v>148</v>
      </c>
      <c r="D220" s="11"/>
      <c r="E220" s="11"/>
      <c r="F220" s="11">
        <f>VLOOKUP(G220, SeanRanks!$A$2:$E$302, 4, FALSE)</f>
        <v>0</v>
      </c>
      <c r="G220" s="11" t="s">
        <v>947</v>
      </c>
      <c r="H220" s="11" t="str">
        <f>VLOOKUP($G220, 'ADP Data'!$C$4:$Q$300, 2, FALSE)</f>
        <v>WAS</v>
      </c>
      <c r="I220" s="11">
        <f>VLOOKUP(G220, 'ADP Data'!$C$4:$R$498, 12, FALSE)</f>
        <v>158</v>
      </c>
      <c r="J220" s="11">
        <f>VLOOKUP($G220, SeanRanks!$A$2:$H$303, 5, FALSE)</f>
        <v>0</v>
      </c>
      <c r="K220" s="11" t="str">
        <f>IF(VLOOKUP($G220, SeanRanks!$A$2:$H$303, 6, FALSE)=0, "", VLOOKUP($G220, SeanRanks!$A$2:$H$303, 6, FALSE))</f>
        <v/>
      </c>
      <c r="L220" s="11">
        <f t="shared" si="4"/>
        <v>21</v>
      </c>
      <c r="M220" s="11">
        <f>VLOOKUP($G220, 'ADP Data'!$C$4:$Q$300, 9, FALSE)</f>
        <v>165</v>
      </c>
      <c r="N220" s="11">
        <f t="shared" si="5"/>
        <v>8</v>
      </c>
      <c r="O220" s="11">
        <f>VLOOKUP($G220, 'ADP Data'!$C$4:$Q$300, 3, FALSE)</f>
        <v>115</v>
      </c>
      <c r="P220" s="11">
        <f t="shared" si="6"/>
        <v>50</v>
      </c>
      <c r="Q220" s="11">
        <f>VLOOKUP($G220, 'ADP Data'!$C$4:$Q$300, 4, FALSE)</f>
        <v>154</v>
      </c>
      <c r="R220" s="11">
        <f>VLOOKUP($G220, 'ADP Data'!$C$4:$Q$300, 5, FALSE)</f>
        <v>207</v>
      </c>
      <c r="S220" s="11">
        <f>VLOOKUP($G220, 'ADP Data'!$C$4:$Q$300, 6, FALSE)</f>
        <v>133</v>
      </c>
      <c r="T220" s="11">
        <f>VLOOKUP($G220, 'ADP Data'!$C$4:$Q$300, 7, FALSE)</f>
        <v>165</v>
      </c>
      <c r="U220" s="11">
        <f>VLOOKUP($G220, 'ADP Data'!$C$4:$Q$300, 8, FALSE)</f>
        <v>162</v>
      </c>
      <c r="V220" s="11">
        <f t="shared" si="7"/>
        <v>157</v>
      </c>
      <c r="W220" s="11">
        <f t="shared" si="8"/>
        <v>20</v>
      </c>
      <c r="X220" s="11">
        <f t="shared" si="9"/>
        <v>-20</v>
      </c>
      <c r="Y220" s="11">
        <f>VLOOKUP($G220, SeanRanks!$A$2:$K$303, 10, FALSE)-V220</f>
        <v>-4</v>
      </c>
      <c r="Z220" s="25" t="str">
        <f>IF(VLOOKUP($G220, SeanRanks!$A$2:$H$303, 7, FALSE)=0, "", VLOOKUP($G220, SeanRanks!$A$2:$H$303, 7, FALSE))</f>
        <v/>
      </c>
    </row>
    <row r="221" spans="1:26" ht="14.25" customHeight="1" x14ac:dyDescent="0.25">
      <c r="A221" s="11"/>
      <c r="B221" s="11">
        <f t="shared" si="3"/>
        <v>24</v>
      </c>
      <c r="C221" s="11" t="s">
        <v>148</v>
      </c>
      <c r="D221" s="11"/>
      <c r="E221" s="11"/>
      <c r="F221" s="11">
        <f>VLOOKUP(G221, SeanRanks!$A$2:$E$302, 4, FALSE)</f>
        <v>0</v>
      </c>
      <c r="G221" s="11" t="s">
        <v>948</v>
      </c>
      <c r="H221" s="11" t="str">
        <f>VLOOKUP($G221, 'ADP Data'!$C$4:$Q$300, 2, FALSE)</f>
        <v>KC</v>
      </c>
      <c r="I221" s="11">
        <f>VLOOKUP(G221, 'ADP Data'!$C$4:$R$498, 12, FALSE)</f>
        <v>283</v>
      </c>
      <c r="J221" s="11">
        <f>VLOOKUP($G221, SeanRanks!$A$2:$H$303, 5, FALSE)</f>
        <v>0</v>
      </c>
      <c r="K221" s="11" t="str">
        <f>IF(VLOOKUP($G221, SeanRanks!$A$2:$H$303, 6, FALSE)=0, "", VLOOKUP($G221, SeanRanks!$A$2:$H$303, 6, FALSE))</f>
        <v/>
      </c>
      <c r="L221" s="11">
        <f t="shared" si="4"/>
        <v>36</v>
      </c>
      <c r="M221" s="11">
        <f>VLOOKUP($G221, 'ADP Data'!$C$4:$Q$300, 9, FALSE)</f>
        <v>287</v>
      </c>
      <c r="N221" s="11">
        <f t="shared" si="5"/>
        <v>5</v>
      </c>
      <c r="O221" s="11" t="str">
        <f>VLOOKUP($G221, 'ADP Data'!$C$4:$Q$300, 3, FALSE)</f>
        <v>-</v>
      </c>
      <c r="P221" s="11" t="e">
        <f t="shared" si="6"/>
        <v>#VALUE!</v>
      </c>
      <c r="Q221" s="11" t="str">
        <f>VLOOKUP($G221, 'ADP Data'!$C$4:$Q$300, 4, FALSE)</f>
        <v>-</v>
      </c>
      <c r="R221" s="11">
        <f>VLOOKUP($G221, 'ADP Data'!$C$4:$Q$300, 5, FALSE)</f>
        <v>313</v>
      </c>
      <c r="S221" s="11">
        <f>VLOOKUP($G221, 'ADP Data'!$C$4:$Q$300, 6, FALSE)</f>
        <v>293</v>
      </c>
      <c r="T221" s="11">
        <f>VLOOKUP($G221, 'ADP Data'!$C$4:$Q$300, 7, FALSE)</f>
        <v>268</v>
      </c>
      <c r="U221" s="11">
        <f>VLOOKUP($G221, 'ADP Data'!$C$4:$Q$300, 8, FALSE)</f>
        <v>252</v>
      </c>
      <c r="V221" s="11">
        <f t="shared" si="7"/>
        <v>282</v>
      </c>
      <c r="W221" s="11">
        <f t="shared" si="8"/>
        <v>36</v>
      </c>
      <c r="X221" s="11">
        <f t="shared" si="9"/>
        <v>-36</v>
      </c>
      <c r="Y221" s="11" t="e">
        <f>VLOOKUP($G221, SeanRanks!$A$2:$K$303, 10, FALSE)-V221</f>
        <v>#VALUE!</v>
      </c>
      <c r="Z221" s="25" t="str">
        <f>IF(VLOOKUP($G221, SeanRanks!$A$2:$H$303, 7, FALSE)=0, "", VLOOKUP($G221, SeanRanks!$A$2:$H$303, 7, FALSE))</f>
        <v/>
      </c>
    </row>
    <row r="222" spans="1:26" ht="14.25" customHeight="1" x14ac:dyDescent="0.25">
      <c r="A222" s="11"/>
      <c r="B222" s="11">
        <f t="shared" si="3"/>
        <v>21</v>
      </c>
      <c r="C222" s="11" t="s">
        <v>148</v>
      </c>
      <c r="D222" s="11"/>
      <c r="E222" s="11"/>
      <c r="F222" s="11">
        <f>VLOOKUP(G222, SeanRanks!$A$2:$E$302, 4, FALSE)</f>
        <v>0</v>
      </c>
      <c r="G222" s="11" t="s">
        <v>949</v>
      </c>
      <c r="H222" s="11" t="str">
        <f>VLOOKUP($G222, 'ADP Data'!$C$4:$Q$300, 2, FALSE)</f>
        <v>NYG</v>
      </c>
      <c r="I222" s="11">
        <f>VLOOKUP(G222, 'ADP Data'!$C$4:$R$498, 12, FALSE)</f>
        <v>217</v>
      </c>
      <c r="J222" s="11">
        <f>VLOOKUP($G222, SeanRanks!$A$2:$H$303, 5, FALSE)</f>
        <v>0</v>
      </c>
      <c r="K222" s="11" t="str">
        <f>IF(VLOOKUP($G222, SeanRanks!$A$2:$H$303, 6, FALSE)=0, "", VLOOKUP($G222, SeanRanks!$A$2:$H$303, 6, FALSE))</f>
        <v/>
      </c>
      <c r="L222" s="11">
        <f t="shared" si="4"/>
        <v>34</v>
      </c>
      <c r="M222" s="11">
        <f>VLOOKUP($G222, 'ADP Data'!$C$4:$Q$300, 9, FALSE)</f>
        <v>265</v>
      </c>
      <c r="N222" s="11">
        <f t="shared" si="5"/>
        <v>20</v>
      </c>
      <c r="O222" s="11" t="str">
        <f>VLOOKUP($G222, 'ADP Data'!$C$4:$Q$300, 3, FALSE)</f>
        <v>-</v>
      </c>
      <c r="P222" s="11" t="e">
        <f t="shared" si="6"/>
        <v>#VALUE!</v>
      </c>
      <c r="Q222" s="11">
        <f>VLOOKUP($G222, 'ADP Data'!$C$4:$Q$300, 4, FALSE)</f>
        <v>239</v>
      </c>
      <c r="R222" s="11">
        <f>VLOOKUP($G222, 'ADP Data'!$C$4:$Q$300, 5, FALSE)</f>
        <v>264</v>
      </c>
      <c r="S222" s="11">
        <f>VLOOKUP($G222, 'ADP Data'!$C$4:$Q$300, 6, FALSE)</f>
        <v>243</v>
      </c>
      <c r="T222" s="11">
        <f>VLOOKUP($G222, 'ADP Data'!$C$4:$Q$300, 7, FALSE)</f>
        <v>238</v>
      </c>
      <c r="U222" s="11">
        <f>VLOOKUP($G222, 'ADP Data'!$C$4:$Q$300, 8, FALSE)</f>
        <v>225</v>
      </c>
      <c r="V222" s="11">
        <f t="shared" si="7"/>
        <v>245</v>
      </c>
      <c r="W222" s="11">
        <f t="shared" si="8"/>
        <v>31</v>
      </c>
      <c r="X222" s="11">
        <f t="shared" si="9"/>
        <v>-31</v>
      </c>
      <c r="Y222" s="11" t="e">
        <f>VLOOKUP($G222, SeanRanks!$A$2:$K$303, 10, FALSE)-V222</f>
        <v>#VALUE!</v>
      </c>
      <c r="Z222" s="25" t="str">
        <f>IF(VLOOKUP($G222, SeanRanks!$A$2:$H$303, 7, FALSE)=0, "", VLOOKUP($G222, SeanRanks!$A$2:$H$303, 7, FALSE))</f>
        <v/>
      </c>
    </row>
    <row r="223" spans="1:26" ht="14.25" customHeight="1" x14ac:dyDescent="0.25">
      <c r="A223" s="11"/>
      <c r="B223" s="11">
        <f t="shared" si="3"/>
        <v>11</v>
      </c>
      <c r="C223" s="11" t="s">
        <v>148</v>
      </c>
      <c r="D223" s="11"/>
      <c r="E223" s="11"/>
      <c r="F223" s="11">
        <f>VLOOKUP(G223, SeanRanks!$A$2:$E$302, 4, FALSE)</f>
        <v>0</v>
      </c>
      <c r="G223" s="11" t="s">
        <v>204</v>
      </c>
      <c r="H223" s="11" t="str">
        <f>VLOOKUP($G223, 'ADP Data'!$C$4:$Q$300, 2, FALSE)</f>
        <v>NE</v>
      </c>
      <c r="I223" s="11">
        <f>VLOOKUP(G223, 'ADP Data'!$C$4:$R$498, 12, FALSE)</f>
        <v>110</v>
      </c>
      <c r="J223" s="11">
        <f>VLOOKUP($G223, SeanRanks!$A$2:$H$303, 5, FALSE)</f>
        <v>0</v>
      </c>
      <c r="K223" s="11" t="str">
        <f>IF(VLOOKUP($G223, SeanRanks!$A$2:$H$303, 6, FALSE)=0, "", VLOOKUP($G223, SeanRanks!$A$2:$H$303, 6, FALSE))</f>
        <v>QB2 - 1 - League Winner</v>
      </c>
      <c r="L223" s="11">
        <f t="shared" si="4"/>
        <v>16</v>
      </c>
      <c r="M223" s="11">
        <f>VLOOKUP($G223, 'ADP Data'!$C$4:$Q$300, 9, FALSE)</f>
        <v>127</v>
      </c>
      <c r="N223" s="11">
        <f t="shared" si="5"/>
        <v>1</v>
      </c>
      <c r="O223" s="11">
        <f>VLOOKUP($G223, 'ADP Data'!$C$4:$Q$300, 3, FALSE)</f>
        <v>130</v>
      </c>
      <c r="P223" s="11">
        <f t="shared" si="6"/>
        <v>-3</v>
      </c>
      <c r="Q223" s="11">
        <f>VLOOKUP($G223, 'ADP Data'!$C$4:$Q$300, 4, FALSE)</f>
        <v>124</v>
      </c>
      <c r="R223" s="11">
        <f>VLOOKUP($G223, 'ADP Data'!$C$4:$Q$300, 5, FALSE)</f>
        <v>130</v>
      </c>
      <c r="S223" s="11">
        <f>VLOOKUP($G223, 'ADP Data'!$C$4:$Q$300, 6, FALSE)</f>
        <v>117</v>
      </c>
      <c r="T223" s="11">
        <f>VLOOKUP($G223, 'ADP Data'!$C$4:$Q$300, 7, FALSE)</f>
        <v>114</v>
      </c>
      <c r="U223" s="11">
        <f>VLOOKUP($G223, 'ADP Data'!$C$4:$Q$300, 8, FALSE)</f>
        <v>144</v>
      </c>
      <c r="V223" s="11">
        <f t="shared" si="7"/>
        <v>126</v>
      </c>
      <c r="W223" s="11">
        <f t="shared" si="8"/>
        <v>16</v>
      </c>
      <c r="X223" s="11">
        <f t="shared" si="9"/>
        <v>-16</v>
      </c>
      <c r="Y223" s="11">
        <f>VLOOKUP($G223, SeanRanks!$A$2:$K$303, 10, FALSE)-V223</f>
        <v>-27</v>
      </c>
      <c r="Z223" s="25">
        <f>IF(VLOOKUP($G223, SeanRanks!$A$2:$H$303, 7, FALSE)=0, "", VLOOKUP($G223, SeanRanks!$A$2:$H$303, 7, FALSE))</f>
        <v>14</v>
      </c>
    </row>
    <row r="224" spans="1:26" ht="14.25" customHeight="1" x14ac:dyDescent="0.25">
      <c r="A224" s="11"/>
      <c r="B224" s="11">
        <f t="shared" si="3"/>
        <v>12</v>
      </c>
      <c r="C224" s="11" t="s">
        <v>148</v>
      </c>
      <c r="D224" s="11"/>
      <c r="E224" s="11"/>
      <c r="F224" s="11">
        <f>VLOOKUP(G224, SeanRanks!$A$2:$E$302, 4, FALSE)</f>
        <v>0</v>
      </c>
      <c r="G224" s="11" t="s">
        <v>399</v>
      </c>
      <c r="H224" s="11" t="str">
        <f>VLOOKUP($G224, 'ADP Data'!$C$4:$Q$300, 2, FALSE)</f>
        <v>JAX</v>
      </c>
      <c r="I224" s="11">
        <f>VLOOKUP(G224, 'ADP Data'!$C$4:$R$498, 12, FALSE)</f>
        <v>126</v>
      </c>
      <c r="J224" s="11">
        <f>VLOOKUP($G224, SeanRanks!$A$2:$H$303, 5, FALSE)</f>
        <v>0</v>
      </c>
      <c r="K224" s="11" t="str">
        <f>IF(VLOOKUP($G224, SeanRanks!$A$2:$H$303, 6, FALSE)=0, "", VLOOKUP($G224, SeanRanks!$A$2:$H$303, 6, FALSE))</f>
        <v>RB4 - 1 - Path to spikes</v>
      </c>
      <c r="L224" s="11">
        <f t="shared" si="4"/>
        <v>16</v>
      </c>
      <c r="M224" s="11">
        <f>VLOOKUP($G224, 'ADP Data'!$C$4:$Q$300, 9, FALSE)</f>
        <v>122</v>
      </c>
      <c r="N224" s="11">
        <f t="shared" si="5"/>
        <v>-13</v>
      </c>
      <c r="O224" s="11">
        <f>VLOOKUP($G224, 'ADP Data'!$C$4:$Q$300, 3, FALSE)</f>
        <v>105</v>
      </c>
      <c r="P224" s="11">
        <f t="shared" si="6"/>
        <v>17</v>
      </c>
      <c r="Q224" s="11">
        <f>VLOOKUP($G224, 'ADP Data'!$C$4:$Q$300, 4, FALSE)</f>
        <v>132</v>
      </c>
      <c r="R224" s="11">
        <f>VLOOKUP($G224, 'ADP Data'!$C$4:$Q$300, 5, FALSE)</f>
        <v>139</v>
      </c>
      <c r="S224" s="11">
        <f>VLOOKUP($G224, 'ADP Data'!$C$4:$Q$300, 6, FALSE)</f>
        <v>120</v>
      </c>
      <c r="T224" s="11">
        <f>VLOOKUP($G224, 'ADP Data'!$C$4:$Q$300, 7, FALSE)</f>
        <v>118</v>
      </c>
      <c r="U224" s="11">
        <f>VLOOKUP($G224, 'ADP Data'!$C$4:$Q$300, 8, FALSE)</f>
        <v>209</v>
      </c>
      <c r="V224" s="11">
        <f t="shared" si="7"/>
        <v>135</v>
      </c>
      <c r="W224" s="11">
        <f t="shared" si="8"/>
        <v>17</v>
      </c>
      <c r="X224" s="11">
        <f t="shared" si="9"/>
        <v>-17</v>
      </c>
      <c r="Y224" s="11">
        <f>VLOOKUP($G224, SeanRanks!$A$2:$K$303, 10, FALSE)-V224</f>
        <v>-34</v>
      </c>
      <c r="Z224" s="25">
        <f>IF(VLOOKUP($G224, SeanRanks!$A$2:$H$303, 7, FALSE)=0, "", VLOOKUP($G224, SeanRanks!$A$2:$H$303, 7, FALSE))</f>
        <v>38</v>
      </c>
    </row>
    <row r="225" spans="1:26" ht="14.25" customHeight="1" x14ac:dyDescent="0.25">
      <c r="A225" s="11"/>
      <c r="B225" s="11">
        <f t="shared" si="3"/>
        <v>18</v>
      </c>
      <c r="C225" s="11" t="s">
        <v>148</v>
      </c>
      <c r="D225" s="11"/>
      <c r="E225" s="11"/>
      <c r="F225" s="11">
        <f>VLOOKUP(G225, SeanRanks!$A$2:$E$302, 4, FALSE)</f>
        <v>0</v>
      </c>
      <c r="G225" s="11" t="s">
        <v>431</v>
      </c>
      <c r="H225" s="11" t="str">
        <f>VLOOKUP($G225, 'ADP Data'!$C$4:$Q$300, 2, FALSE)</f>
        <v>SEA</v>
      </c>
      <c r="I225" s="11">
        <f>VLOOKUP(G225, 'ADP Data'!$C$4:$R$498, 12, FALSE)</f>
        <v>173</v>
      </c>
      <c r="J225" s="11">
        <f>VLOOKUP($G225, SeanRanks!$A$2:$H$303, 5, FALSE)</f>
        <v>0</v>
      </c>
      <c r="K225" s="11" t="str">
        <f>IF(VLOOKUP($G225, SeanRanks!$A$2:$H$303, 6, FALSE)=0, "", VLOOKUP($G225, SeanRanks!$A$2:$H$303, 6, FALSE))</f>
        <v>Don’t Draft - Streamer</v>
      </c>
      <c r="L225" s="11">
        <f t="shared" si="4"/>
        <v>29</v>
      </c>
      <c r="M225" s="11">
        <f>VLOOKUP($G225, 'ADP Data'!$C$4:$Q$300, 9, FALSE)</f>
        <v>226</v>
      </c>
      <c r="N225" s="11">
        <f t="shared" si="5"/>
        <v>16</v>
      </c>
      <c r="O225" s="11" t="str">
        <f>VLOOKUP($G225, 'ADP Data'!$C$4:$Q$300, 3, FALSE)</f>
        <v>-</v>
      </c>
      <c r="P225" s="11" t="e">
        <f t="shared" si="6"/>
        <v>#VALUE!</v>
      </c>
      <c r="Q225" s="11">
        <f>VLOOKUP($G225, 'ADP Data'!$C$4:$Q$300, 4, FALSE)</f>
        <v>204</v>
      </c>
      <c r="R225" s="11">
        <f>VLOOKUP($G225, 'ADP Data'!$C$4:$Q$300, 5, FALSE)</f>
        <v>222</v>
      </c>
      <c r="S225" s="11">
        <f>VLOOKUP($G225, 'ADP Data'!$C$4:$Q$300, 6, FALSE)</f>
        <v>213</v>
      </c>
      <c r="T225" s="11">
        <f>VLOOKUP($G225, 'ADP Data'!$C$4:$Q$300, 7, FALSE)</f>
        <v>196</v>
      </c>
      <c r="U225" s="11">
        <f>VLOOKUP($G225, 'ADP Data'!$C$4:$Q$300, 8, FALSE)</f>
        <v>201</v>
      </c>
      <c r="V225" s="11">
        <f t="shared" si="7"/>
        <v>210</v>
      </c>
      <c r="W225" s="11">
        <f t="shared" si="8"/>
        <v>27</v>
      </c>
      <c r="X225" s="11">
        <f t="shared" si="9"/>
        <v>-27</v>
      </c>
      <c r="Y225" s="11">
        <f>VLOOKUP($G225, SeanRanks!$A$2:$K$303, 10, FALSE)-V225</f>
        <v>12</v>
      </c>
      <c r="Z225" s="25" t="str">
        <f>IF(VLOOKUP($G225, SeanRanks!$A$2:$H$303, 7, FALSE)=0, "", VLOOKUP($G225, SeanRanks!$A$2:$H$303, 7, FALSE))</f>
        <v/>
      </c>
    </row>
    <row r="226" spans="1:26" ht="14.25" customHeight="1" x14ac:dyDescent="0.25">
      <c r="A226" s="11"/>
      <c r="B226" s="11">
        <f t="shared" si="3"/>
        <v>23</v>
      </c>
      <c r="C226" s="11" t="s">
        <v>148</v>
      </c>
      <c r="D226" s="11"/>
      <c r="E226" s="11"/>
      <c r="F226" s="11">
        <f>VLOOKUP(G226, SeanRanks!$A$2:$E$302, 4, FALSE)</f>
        <v>0</v>
      </c>
      <c r="G226" s="11" t="s">
        <v>379</v>
      </c>
      <c r="H226" s="11" t="str">
        <f>VLOOKUP($G226, 'ADP Data'!$C$4:$Q$300, 2, FALSE)</f>
        <v>NO</v>
      </c>
      <c r="I226" s="11">
        <f>VLOOKUP(G226, 'ADP Data'!$C$4:$R$498, 12, FALSE)</f>
        <v>212</v>
      </c>
      <c r="J226" s="11">
        <f>VLOOKUP($G226, SeanRanks!$A$2:$H$303, 5, FALSE)</f>
        <v>0</v>
      </c>
      <c r="K226" s="11" t="str">
        <f>IF(VLOOKUP($G226, SeanRanks!$A$2:$H$303, 6, FALSE)=0, "", VLOOKUP($G226, SeanRanks!$A$2:$H$303, 6, FALSE))</f>
        <v/>
      </c>
      <c r="L226" s="11">
        <f t="shared" si="4"/>
        <v>35</v>
      </c>
      <c r="M226" s="11">
        <f>VLOOKUP($G226, 'ADP Data'!$C$4:$Q$300, 9, FALSE)</f>
        <v>273</v>
      </c>
      <c r="N226" s="11">
        <f t="shared" si="5"/>
        <v>5</v>
      </c>
      <c r="O226" s="11" t="str">
        <f>VLOOKUP($G226, 'ADP Data'!$C$4:$Q$300, 3, FALSE)</f>
        <v>-</v>
      </c>
      <c r="P226" s="11" t="e">
        <f t="shared" si="6"/>
        <v>#VALUE!</v>
      </c>
      <c r="Q226" s="11" t="str">
        <f>VLOOKUP($G226, 'ADP Data'!$C$4:$Q$300, 4, FALSE)</f>
        <v>-</v>
      </c>
      <c r="R226" s="11">
        <f>VLOOKUP($G226, 'ADP Data'!$C$4:$Q$300, 5, FALSE)</f>
        <v>311</v>
      </c>
      <c r="S226" s="11">
        <f>VLOOKUP($G226, 'ADP Data'!$C$4:$Q$300, 6, FALSE)</f>
        <v>223</v>
      </c>
      <c r="T226" s="11">
        <f>VLOOKUP($G226, 'ADP Data'!$C$4:$Q$300, 7, FALSE)</f>
        <v>256</v>
      </c>
      <c r="U226" s="11">
        <f>VLOOKUP($G226, 'ADP Data'!$C$4:$Q$300, 8, FALSE)</f>
        <v>279</v>
      </c>
      <c r="V226" s="11">
        <f t="shared" si="7"/>
        <v>268</v>
      </c>
      <c r="W226" s="11">
        <f t="shared" si="8"/>
        <v>34</v>
      </c>
      <c r="X226" s="11">
        <f t="shared" si="9"/>
        <v>-34</v>
      </c>
      <c r="Y226" s="11" t="e">
        <f>VLOOKUP($G226, SeanRanks!$A$2:$K$303, 10, FALSE)-V226</f>
        <v>#VALUE!</v>
      </c>
      <c r="Z226" s="25" t="str">
        <f>IF(VLOOKUP($G226, SeanRanks!$A$2:$H$303, 7, FALSE)=0, "", VLOOKUP($G226, SeanRanks!$A$2:$H$303, 7, FALSE))</f>
        <v/>
      </c>
    </row>
    <row r="227" spans="1:26" ht="14.25" customHeight="1" x14ac:dyDescent="0.25">
      <c r="A227" s="11"/>
      <c r="B227" s="11">
        <f t="shared" si="3"/>
        <v>19</v>
      </c>
      <c r="C227" s="11" t="s">
        <v>148</v>
      </c>
      <c r="D227" s="11"/>
      <c r="E227" s="11"/>
      <c r="F227" s="11">
        <f>VLOOKUP(G227, SeanRanks!$A$2:$E$302, 4, FALSE)</f>
        <v>0</v>
      </c>
      <c r="G227" s="11" t="s">
        <v>519</v>
      </c>
      <c r="H227" s="11" t="str">
        <f>VLOOKUP($G227, 'ADP Data'!$C$4:$Q$300, 2, FALSE)</f>
        <v>LAC</v>
      </c>
      <c r="I227" s="11" t="str">
        <f>VLOOKUP(G227, 'ADP Data'!$C$4:$R$498, 12, FALSE)</f>
        <v>-</v>
      </c>
      <c r="J227" s="11">
        <f>VLOOKUP($G227, SeanRanks!$A$2:$H$303, 5, FALSE)</f>
        <v>0</v>
      </c>
      <c r="K227" s="11" t="str">
        <f>IF(VLOOKUP($G227, SeanRanks!$A$2:$H$303, 6, FALSE)=0, "", VLOOKUP($G227, SeanRanks!$A$2:$H$303, 6, FALSE))</f>
        <v/>
      </c>
      <c r="L227" s="11">
        <f t="shared" si="4"/>
        <v>31</v>
      </c>
      <c r="M227" s="11">
        <f>VLOOKUP($G227, 'ADP Data'!$C$4:$Q$300, 9, FALSE)</f>
        <v>246</v>
      </c>
      <c r="N227" s="11">
        <f t="shared" si="5"/>
        <v>26</v>
      </c>
      <c r="O227" s="11">
        <f>VLOOKUP($G227, 'ADP Data'!$C$4:$Q$300, 3, FALSE)</f>
        <v>174</v>
      </c>
      <c r="P227" s="11">
        <f t="shared" si="6"/>
        <v>72</v>
      </c>
      <c r="Q227" s="11">
        <f>VLOOKUP($G227, 'ADP Data'!$C$4:$Q$300, 4, FALSE)</f>
        <v>244</v>
      </c>
      <c r="R227" s="11">
        <f>VLOOKUP($G227, 'ADP Data'!$C$4:$Q$300, 5, FALSE)</f>
        <v>251</v>
      </c>
      <c r="S227" s="11">
        <f>VLOOKUP($G227, 'ADP Data'!$C$4:$Q$300, 6, FALSE)</f>
        <v>273</v>
      </c>
      <c r="T227" s="11">
        <f>VLOOKUP($G227, 'ADP Data'!$C$4:$Q$300, 7, FALSE)</f>
        <v>197</v>
      </c>
      <c r="U227" s="11">
        <f>VLOOKUP($G227, 'ADP Data'!$C$4:$Q$300, 8, FALSE)</f>
        <v>158</v>
      </c>
      <c r="V227" s="11">
        <f t="shared" si="7"/>
        <v>220</v>
      </c>
      <c r="W227" s="11">
        <f t="shared" si="8"/>
        <v>28</v>
      </c>
      <c r="X227" s="11">
        <f t="shared" si="9"/>
        <v>-28</v>
      </c>
      <c r="Y227" s="11">
        <f>VLOOKUP($G227, SeanRanks!$A$2:$K$303, 10, FALSE)-V227</f>
        <v>-33</v>
      </c>
      <c r="Z227" s="25" t="str">
        <f>IF(VLOOKUP($G227, SeanRanks!$A$2:$H$303, 7, FALSE)=0, "", VLOOKUP($G227, SeanRanks!$A$2:$H$303, 7, FALSE))</f>
        <v/>
      </c>
    </row>
    <row r="228" spans="1:26" ht="14.25" customHeight="1" x14ac:dyDescent="0.25">
      <c r="A228" s="11"/>
      <c r="B228" s="11">
        <f t="shared" si="3"/>
        <v>18</v>
      </c>
      <c r="C228" s="11" t="s">
        <v>148</v>
      </c>
      <c r="D228" s="11"/>
      <c r="E228" s="11"/>
      <c r="F228" s="11">
        <f>VLOOKUP(G228, SeanRanks!$A$2:$E$302, 4, FALSE)</f>
        <v>0</v>
      </c>
      <c r="G228" s="11" t="s">
        <v>950</v>
      </c>
      <c r="H228" s="11" t="str">
        <f>VLOOKUP($G228, 'ADP Data'!$C$4:$Q$300, 2, FALSE)</f>
        <v>PHI</v>
      </c>
      <c r="I228" s="11" t="str">
        <f>VLOOKUP(G228, 'ADP Data'!$C$4:$R$498, 12, FALSE)</f>
        <v>-</v>
      </c>
      <c r="J228" s="11">
        <f>VLOOKUP($G228, SeanRanks!$A$2:$H$303, 5, FALSE)</f>
        <v>0</v>
      </c>
      <c r="K228" s="11" t="str">
        <f>IF(VLOOKUP($G228, SeanRanks!$A$2:$H$303, 6, FALSE)=0, "", VLOOKUP($G228, SeanRanks!$A$2:$H$303, 6, FALSE))</f>
        <v/>
      </c>
      <c r="L228" s="11">
        <f t="shared" si="4"/>
        <v>27</v>
      </c>
      <c r="M228" s="11">
        <f>VLOOKUP($G228, 'ADP Data'!$C$4:$Q$300, 9, FALSE)</f>
        <v>214</v>
      </c>
      <c r="N228" s="11">
        <f t="shared" si="5"/>
        <v>16</v>
      </c>
      <c r="O228" s="11">
        <f>VLOOKUP($G228, 'ADP Data'!$C$4:$Q$300, 3, FALSE)</f>
        <v>182</v>
      </c>
      <c r="P228" s="11">
        <f t="shared" si="6"/>
        <v>32</v>
      </c>
      <c r="Q228" s="11"/>
      <c r="R228" s="11"/>
      <c r="S228" s="11"/>
      <c r="T228" s="11"/>
      <c r="U228" s="11"/>
      <c r="V228" s="11">
        <f t="shared" si="7"/>
        <v>198</v>
      </c>
      <c r="W228" s="11">
        <f t="shared" si="8"/>
        <v>25</v>
      </c>
      <c r="X228" s="11">
        <f t="shared" si="9"/>
        <v>-25</v>
      </c>
      <c r="Y228" s="11">
        <f>VLOOKUP($G228, SeanRanks!$A$2:$K$303, 10, FALSE)-V228</f>
        <v>36</v>
      </c>
      <c r="Z228" s="25" t="str">
        <f>IF(VLOOKUP($G228, SeanRanks!$A$2:$H$303, 7, FALSE)=0, "", VLOOKUP($G228, SeanRanks!$A$2:$H$303, 7, FALSE))</f>
        <v/>
      </c>
    </row>
    <row r="229" spans="1:26" ht="14.25" customHeight="1" x14ac:dyDescent="0.25">
      <c r="A229" s="11"/>
      <c r="B229" s="11">
        <f t="shared" si="3"/>
        <v>19</v>
      </c>
      <c r="C229" s="11" t="s">
        <v>148</v>
      </c>
      <c r="D229" s="11"/>
      <c r="E229" s="11"/>
      <c r="F229" s="11">
        <f>VLOOKUP(G229, SeanRanks!$A$2:$E$302, 4, FALSE)</f>
        <v>0</v>
      </c>
      <c r="G229" s="11" t="s">
        <v>476</v>
      </c>
      <c r="H229" s="11" t="str">
        <f>VLOOKUP($G229, 'ADP Data'!$C$4:$Q$300, 2, FALSE)</f>
        <v>SEA</v>
      </c>
      <c r="I229" s="11" t="str">
        <f>VLOOKUP(G229, 'ADP Data'!$C$4:$R$498, 12, FALSE)</f>
        <v>-</v>
      </c>
      <c r="J229" s="11">
        <f>VLOOKUP($G229, SeanRanks!$A$2:$H$303, 5, FALSE)</f>
        <v>0</v>
      </c>
      <c r="K229" s="11" t="str">
        <f>IF(VLOOKUP($G229, SeanRanks!$A$2:$H$303, 6, FALSE)=0, "", VLOOKUP($G229, SeanRanks!$A$2:$H$303, 6, FALSE))</f>
        <v/>
      </c>
      <c r="L229" s="11">
        <f t="shared" si="4"/>
        <v>23</v>
      </c>
      <c r="M229" s="11">
        <f>VLOOKUP($G229, 'ADP Data'!$C$4:$Q$300, 9, FALSE)</f>
        <v>183</v>
      </c>
      <c r="N229" s="11">
        <f t="shared" si="5"/>
        <v>-26</v>
      </c>
      <c r="O229" s="11">
        <f>VLOOKUP($G229, 'ADP Data'!$C$4:$Q$300, 3, FALSE)</f>
        <v>196</v>
      </c>
      <c r="P229" s="11">
        <f t="shared" si="6"/>
        <v>-13</v>
      </c>
      <c r="Q229" s="11">
        <f>VLOOKUP($G229, 'ADP Data'!$C$4:$Q$300, 4, FALSE)</f>
        <v>142</v>
      </c>
      <c r="R229" s="11">
        <f>VLOOKUP($G229, 'ADP Data'!$C$4:$Q$300, 5, FALSE)</f>
        <v>273</v>
      </c>
      <c r="S229" s="11">
        <f>VLOOKUP($G229, 'ADP Data'!$C$4:$Q$300, 6, FALSE)</f>
        <v>268</v>
      </c>
      <c r="T229" s="11">
        <f>VLOOKUP($G229, 'ADP Data'!$C$4:$Q$300, 7, FALSE)</f>
        <v>225</v>
      </c>
      <c r="U229" s="11">
        <f>VLOOKUP($G229, 'ADP Data'!$C$4:$Q$300, 8, FALSE)</f>
        <v>179</v>
      </c>
      <c r="V229" s="11">
        <f t="shared" si="7"/>
        <v>209</v>
      </c>
      <c r="W229" s="11">
        <f t="shared" si="8"/>
        <v>27</v>
      </c>
      <c r="X229" s="11">
        <f t="shared" si="9"/>
        <v>-27</v>
      </c>
      <c r="Y229" s="11">
        <f>VLOOKUP($G229, SeanRanks!$A$2:$K$303, 10, FALSE)-V229</f>
        <v>-12</v>
      </c>
      <c r="Z229" s="25" t="str">
        <f>IF(VLOOKUP($G229, SeanRanks!$A$2:$H$303, 7, FALSE)=0, "", VLOOKUP($G229, SeanRanks!$A$2:$H$303, 7, FALSE))</f>
        <v/>
      </c>
    </row>
    <row r="230" spans="1:26" ht="14.25" customHeight="1" x14ac:dyDescent="0.25">
      <c r="A230" s="11"/>
      <c r="B230" s="11">
        <f t="shared" si="3"/>
        <v>19</v>
      </c>
      <c r="C230" s="11" t="s">
        <v>148</v>
      </c>
      <c r="D230" s="11"/>
      <c r="E230" s="11"/>
      <c r="F230" s="11">
        <f>VLOOKUP(G230, SeanRanks!$A$2:$E$302, 4, FALSE)</f>
        <v>0</v>
      </c>
      <c r="G230" s="11" t="s">
        <v>625</v>
      </c>
      <c r="H230" s="11" t="str">
        <f>VLOOKUP($G230, 'ADP Data'!$C$4:$Q$300, 2, FALSE)</f>
        <v>CIN</v>
      </c>
      <c r="I230" s="11">
        <f>VLOOKUP(G230, 'ADP Data'!$C$4:$R$498, 12, FALSE)</f>
        <v>206</v>
      </c>
      <c r="J230" s="11">
        <f>VLOOKUP($G230, SeanRanks!$A$2:$H$303, 5, FALSE)</f>
        <v>0</v>
      </c>
      <c r="K230" s="11" t="str">
        <f>IF(VLOOKUP($G230, SeanRanks!$A$2:$H$303, 6, FALSE)=0, "", VLOOKUP($G230, SeanRanks!$A$2:$H$303, 6, FALSE))</f>
        <v/>
      </c>
      <c r="L230" s="11">
        <f t="shared" si="4"/>
        <v>27</v>
      </c>
      <c r="M230" s="11">
        <f>VLOOKUP($G230, 'ADP Data'!$C$4:$Q$300, 9, FALSE)</f>
        <v>209</v>
      </c>
      <c r="N230" s="11">
        <f t="shared" si="5"/>
        <v>-13</v>
      </c>
      <c r="O230" s="11" t="str">
        <f>VLOOKUP($G230, 'ADP Data'!$C$4:$Q$300, 3, FALSE)</f>
        <v>-</v>
      </c>
      <c r="P230" s="11" t="e">
        <f t="shared" si="6"/>
        <v>#VALUE!</v>
      </c>
      <c r="Q230" s="11" t="str">
        <f>VLOOKUP($G230, 'ADP Data'!$C$4:$Q$300, 4, FALSE)</f>
        <v>-</v>
      </c>
      <c r="R230" s="11">
        <f>VLOOKUP($G230, 'ADP Data'!$C$4:$Q$300, 5, FALSE)</f>
        <v>237</v>
      </c>
      <c r="S230" s="11">
        <f>VLOOKUP($G230, 'ADP Data'!$C$4:$Q$300, 6, FALSE)</f>
        <v>180</v>
      </c>
      <c r="T230" s="11">
        <f>VLOOKUP($G230, 'ADP Data'!$C$4:$Q$300, 7, FALSE)</f>
        <v>220</v>
      </c>
      <c r="U230" s="11">
        <f>VLOOKUP($G230, 'ADP Data'!$C$4:$Q$300, 8, FALSE)</f>
        <v>265</v>
      </c>
      <c r="V230" s="11">
        <f t="shared" si="7"/>
        <v>222</v>
      </c>
      <c r="W230" s="11">
        <f t="shared" si="8"/>
        <v>28</v>
      </c>
      <c r="X230" s="11">
        <f t="shared" si="9"/>
        <v>-28</v>
      </c>
      <c r="Y230" s="11">
        <f>VLOOKUP($G230, SeanRanks!$A$2:$K$303, 10, FALSE)-V230</f>
        <v>11</v>
      </c>
      <c r="Z230" s="25" t="str">
        <f>IF(VLOOKUP($G230, SeanRanks!$A$2:$H$303, 7, FALSE)=0, "", VLOOKUP($G230, SeanRanks!$A$2:$H$303, 7, FALSE))</f>
        <v/>
      </c>
    </row>
    <row r="231" spans="1:26" ht="14.25" customHeight="1" x14ac:dyDescent="0.25">
      <c r="A231" s="11"/>
      <c r="B231" s="11" t="e">
        <f t="shared" si="3"/>
        <v>#DIV/0!</v>
      </c>
      <c r="C231" s="11" t="s">
        <v>148</v>
      </c>
      <c r="D231" s="11"/>
      <c r="E231" s="11"/>
      <c r="F231" s="11">
        <f>VLOOKUP(G231, SeanRanks!$A$2:$E$302, 4, FALSE)</f>
        <v>0</v>
      </c>
      <c r="G231" s="11" t="s">
        <v>951</v>
      </c>
      <c r="H231" s="11" t="str">
        <f>VLOOKUP($G231, 'ADP Data'!$C$4:$Q$300, 2, FALSE)</f>
        <v>MIA</v>
      </c>
      <c r="I231" s="11" t="str">
        <f>VLOOKUP(G231, 'ADP Data'!$C$4:$R$498, 12, FALSE)</f>
        <v>-</v>
      </c>
      <c r="J231" s="11">
        <f>VLOOKUP($G231, SeanRanks!$A$2:$H$303, 5, FALSE)</f>
        <v>0</v>
      </c>
      <c r="K231" s="11" t="str">
        <f>IF(VLOOKUP($G231, SeanRanks!$A$2:$H$303, 6, FALSE)=0, "", VLOOKUP($G231, SeanRanks!$A$2:$H$303, 6, FALSE))</f>
        <v/>
      </c>
      <c r="L231" s="11">
        <f t="shared" si="4"/>
        <v>16</v>
      </c>
      <c r="M231" s="11" t="str">
        <f>VLOOKUP($G231, 'ADP Data'!$C$4:$Q$300, 9, FALSE)</f>
        <v>-</v>
      </c>
      <c r="N231" s="11" t="e">
        <f t="shared" si="5"/>
        <v>#VALUE!</v>
      </c>
      <c r="O231" s="11">
        <f>VLOOKUP($G231, 'ADP Data'!$C$4:$Q$300, 3, FALSE)</f>
        <v>188</v>
      </c>
      <c r="P231" s="11" t="e">
        <f t="shared" si="6"/>
        <v>#VALUE!</v>
      </c>
      <c r="Q231" s="11"/>
      <c r="R231" s="11"/>
      <c r="S231" s="11"/>
      <c r="T231" s="11"/>
      <c r="U231" s="11"/>
      <c r="V231" s="11">
        <f t="shared" si="7"/>
        <v>188</v>
      </c>
      <c r="W231" s="11">
        <f t="shared" si="8"/>
        <v>24</v>
      </c>
      <c r="X231" s="11">
        <f t="shared" si="9"/>
        <v>-24</v>
      </c>
      <c r="Y231" s="11">
        <f>VLOOKUP($G231, SeanRanks!$A$2:$K$303, 10, FALSE)-V231</f>
        <v>36</v>
      </c>
      <c r="Z231" s="25" t="str">
        <f>IF(VLOOKUP($G231, SeanRanks!$A$2:$H$303, 7, FALSE)=0, "", VLOOKUP($G231, SeanRanks!$A$2:$H$303, 7, FALSE))</f>
        <v/>
      </c>
    </row>
    <row r="232" spans="1:26" ht="14.25" customHeight="1" x14ac:dyDescent="0.25">
      <c r="A232" s="11"/>
      <c r="B232" s="11">
        <f t="shared" si="3"/>
        <v>19</v>
      </c>
      <c r="C232" s="11" t="s">
        <v>148</v>
      </c>
      <c r="D232" s="11"/>
      <c r="E232" s="11"/>
      <c r="F232" s="11">
        <f>VLOOKUP(G232, SeanRanks!$A$2:$E$302, 4, FALSE)</f>
        <v>0</v>
      </c>
      <c r="G232" s="11" t="s">
        <v>530</v>
      </c>
      <c r="H232" s="11" t="str">
        <f>VLOOKUP($G232, 'ADP Data'!$C$4:$Q$300, 2, FALSE)</f>
        <v>BAL</v>
      </c>
      <c r="I232" s="11">
        <f>VLOOKUP(G232, 'ADP Data'!$C$4:$R$498, 12, FALSE)</f>
        <v>205</v>
      </c>
      <c r="J232" s="11">
        <f>VLOOKUP($G232, SeanRanks!$A$2:$H$303, 5, FALSE)</f>
        <v>0</v>
      </c>
      <c r="K232" s="11" t="str">
        <f>IF(VLOOKUP($G232, SeanRanks!$A$2:$H$303, 6, FALSE)=0, "", VLOOKUP($G232, SeanRanks!$A$2:$H$303, 6, FALSE))</f>
        <v/>
      </c>
      <c r="L232" s="11">
        <f t="shared" si="4"/>
        <v>27</v>
      </c>
      <c r="M232" s="11">
        <f>VLOOKUP($G232, 'ADP Data'!$C$4:$Q$300, 9, FALSE)</f>
        <v>213</v>
      </c>
      <c r="N232" s="11">
        <f t="shared" si="5"/>
        <v>-8</v>
      </c>
      <c r="O232" s="11" t="str">
        <f>VLOOKUP($G232, 'ADP Data'!$C$4:$Q$300, 3, FALSE)</f>
        <v>-</v>
      </c>
      <c r="P232" s="11" t="e">
        <f t="shared" si="6"/>
        <v>#VALUE!</v>
      </c>
      <c r="Q232" s="11" t="str">
        <f>VLOOKUP($G232, 'ADP Data'!$C$4:$Q$300, 4, FALSE)</f>
        <v>-</v>
      </c>
      <c r="R232" s="11">
        <f>VLOOKUP($G232, 'ADP Data'!$C$4:$Q$300, 5, FALSE)</f>
        <v>278</v>
      </c>
      <c r="S232" s="11">
        <f>VLOOKUP($G232, 'ADP Data'!$C$4:$Q$300, 6, FALSE)</f>
        <v>193</v>
      </c>
      <c r="T232" s="11">
        <f>VLOOKUP($G232, 'ADP Data'!$C$4:$Q$300, 7, FALSE)</f>
        <v>190</v>
      </c>
      <c r="U232" s="11">
        <f>VLOOKUP($G232, 'ADP Data'!$C$4:$Q$300, 8, FALSE)</f>
        <v>232</v>
      </c>
      <c r="V232" s="11">
        <f t="shared" si="7"/>
        <v>221</v>
      </c>
      <c r="W232" s="11">
        <f t="shared" si="8"/>
        <v>28</v>
      </c>
      <c r="X232" s="11">
        <f t="shared" si="9"/>
        <v>-28</v>
      </c>
      <c r="Y232" s="11" t="e">
        <f>VLOOKUP($G232, SeanRanks!$A$2:$K$303, 10, FALSE)-V232</f>
        <v>#VALUE!</v>
      </c>
      <c r="Z232" s="25" t="str">
        <f>IF(VLOOKUP($G232, SeanRanks!$A$2:$H$303, 7, FALSE)=0, "", VLOOKUP($G232, SeanRanks!$A$2:$H$303, 7, FALSE))</f>
        <v/>
      </c>
    </row>
    <row r="233" spans="1:26" ht="14.25" customHeight="1" x14ac:dyDescent="0.25">
      <c r="A233" s="11"/>
      <c r="B233" s="11">
        <f t="shared" si="3"/>
        <v>20</v>
      </c>
      <c r="C233" s="11" t="s">
        <v>148</v>
      </c>
      <c r="D233" s="11"/>
      <c r="E233" s="11"/>
      <c r="F233" s="11">
        <f>VLOOKUP(G233, SeanRanks!$A$2:$E$302, 4, FALSE)</f>
        <v>0</v>
      </c>
      <c r="G233" s="11" t="s">
        <v>442</v>
      </c>
      <c r="H233" s="11" t="str">
        <f>VLOOKUP($G233, 'ADP Data'!$C$4:$Q$300, 2, FALSE)</f>
        <v>TB</v>
      </c>
      <c r="I233" s="11">
        <f>VLOOKUP(G233, 'ADP Data'!$C$4:$R$498, 12, FALSE)</f>
        <v>237</v>
      </c>
      <c r="J233" s="11">
        <f>VLOOKUP($G233, SeanRanks!$A$2:$H$303, 5, FALSE)</f>
        <v>0</v>
      </c>
      <c r="K233" s="11" t="str">
        <f>IF(VLOOKUP($G233, SeanRanks!$A$2:$H$303, 6, FALSE)=0, "", VLOOKUP($G233, SeanRanks!$A$2:$H$303, 6, FALSE))</f>
        <v/>
      </c>
      <c r="L233" s="11">
        <f t="shared" si="4"/>
        <v>23</v>
      </c>
      <c r="M233" s="11">
        <f>VLOOKUP($G233, 'ADP Data'!$C$4:$Q$300, 9, FALSE)</f>
        <v>177</v>
      </c>
      <c r="N233" s="11">
        <f t="shared" si="5"/>
        <v>-45</v>
      </c>
      <c r="O233" s="11" t="str">
        <f>VLOOKUP($G233, 'ADP Data'!$C$4:$Q$300, 3, FALSE)</f>
        <v>-</v>
      </c>
      <c r="P233" s="11" t="e">
        <f t="shared" si="6"/>
        <v>#VALUE!</v>
      </c>
      <c r="Q233" s="11" t="str">
        <f>VLOOKUP($G233, 'ADP Data'!$C$4:$Q$300, 4, FALSE)</f>
        <v>-</v>
      </c>
      <c r="R233" s="11" t="str">
        <f>VLOOKUP($G233, 'ADP Data'!$C$4:$Q$300, 5, FALSE)</f>
        <v>-</v>
      </c>
      <c r="S233" s="11">
        <f>VLOOKUP($G233, 'ADP Data'!$C$4:$Q$300, 6, FALSE)</f>
        <v>277</v>
      </c>
      <c r="T233" s="11">
        <f>VLOOKUP($G233, 'ADP Data'!$C$4:$Q$300, 7, FALSE)</f>
        <v>205</v>
      </c>
      <c r="U233" s="11">
        <f>VLOOKUP($G233, 'ADP Data'!$C$4:$Q$300, 8, FALSE)</f>
        <v>231</v>
      </c>
      <c r="V233" s="11">
        <f t="shared" si="7"/>
        <v>222</v>
      </c>
      <c r="W233" s="11">
        <f t="shared" si="8"/>
        <v>28</v>
      </c>
      <c r="X233" s="11">
        <f t="shared" si="9"/>
        <v>-28</v>
      </c>
      <c r="Y233" s="11" t="e">
        <f>VLOOKUP($G233, SeanRanks!$A$2:$K$303, 10, FALSE)-V233</f>
        <v>#VALUE!</v>
      </c>
      <c r="Z233" s="25" t="str">
        <f>IF(VLOOKUP($G233, SeanRanks!$A$2:$H$303, 7, FALSE)=0, "", VLOOKUP($G233, SeanRanks!$A$2:$H$303, 7, FALSE))</f>
        <v/>
      </c>
    </row>
    <row r="234" spans="1:26" ht="14.25" customHeight="1" x14ac:dyDescent="0.25">
      <c r="A234" s="11"/>
      <c r="B234" s="11" t="e">
        <f t="shared" si="3"/>
        <v>#N/A</v>
      </c>
      <c r="C234" s="11" t="s">
        <v>148</v>
      </c>
      <c r="D234" s="11"/>
      <c r="E234" s="11"/>
      <c r="F234" s="11" t="e">
        <f>VLOOKUP(G234, SeanRanks!$A$2:$E$302, 4, FALSE)</f>
        <v>#N/A</v>
      </c>
      <c r="G234" s="11" t="s">
        <v>952</v>
      </c>
      <c r="H234" s="11" t="e">
        <f>VLOOKUP($G234, 'ADP Data'!$C$4:$Q$300, 2, FALSE)</f>
        <v>#N/A</v>
      </c>
      <c r="I234" s="11" t="e">
        <f>VLOOKUP(G234, 'ADP Data'!$C$4:$R$498, 12, FALSE)</f>
        <v>#N/A</v>
      </c>
      <c r="J234" s="11" t="e">
        <f>VLOOKUP($G234, SeanRanks!$A$2:$H$303, 5, FALSE)</f>
        <v>#N/A</v>
      </c>
      <c r="K234" s="11" t="e">
        <f>IF(VLOOKUP($G234, SeanRanks!$A$2:$H$303, 6, FALSE)=0, "", VLOOKUP($G234, SeanRanks!$A$2:$H$303, 6, FALSE))</f>
        <v>#N/A</v>
      </c>
      <c r="L234" s="11">
        <f t="shared" si="4"/>
        <v>16</v>
      </c>
      <c r="M234" s="11" t="e">
        <f>VLOOKUP($G234, 'ADP Data'!$C$4:$Q$300, 9, FALSE)</f>
        <v>#N/A</v>
      </c>
      <c r="N234" s="11" t="e">
        <f t="shared" si="5"/>
        <v>#N/A</v>
      </c>
      <c r="O234" s="11" t="e">
        <f>VLOOKUP($G234, 'ADP Data'!$C$4:$Q$300, 3, FALSE)</f>
        <v>#N/A</v>
      </c>
      <c r="P234" s="11" t="e">
        <f t="shared" si="6"/>
        <v>#N/A</v>
      </c>
      <c r="Q234" s="11" t="e">
        <f>VLOOKUP($G234, 'ADP Data'!$C$4:$Q$300, 4, FALSE)</f>
        <v>#N/A</v>
      </c>
      <c r="R234" s="11" t="e">
        <f>VLOOKUP($G234, 'ADP Data'!$C$4:$Q$300, 5, FALSE)</f>
        <v>#N/A</v>
      </c>
      <c r="S234" s="11" t="e">
        <f>VLOOKUP($G234, 'ADP Data'!$C$4:$Q$300, 6, FALSE)</f>
        <v>#N/A</v>
      </c>
      <c r="T234" s="11" t="e">
        <f>VLOOKUP($G234, 'ADP Data'!$C$4:$Q$300, 7, FALSE)</f>
        <v>#N/A</v>
      </c>
      <c r="U234" s="11" t="e">
        <f>VLOOKUP($G234, 'ADP Data'!$C$4:$Q$300, 8, FALSE)</f>
        <v>#N/A</v>
      </c>
      <c r="V234" s="11" t="e">
        <f t="shared" si="7"/>
        <v>#N/A</v>
      </c>
      <c r="W234" s="11">
        <f t="shared" si="8"/>
        <v>16</v>
      </c>
      <c r="X234" s="11">
        <f t="shared" si="9"/>
        <v>-16</v>
      </c>
      <c r="Y234" s="11" t="e">
        <f>VLOOKUP($G234, SeanRanks!$A$2:$K$303, 10, FALSE)-V234</f>
        <v>#N/A</v>
      </c>
      <c r="Z234" s="25" t="e">
        <f>IF(VLOOKUP($G234, SeanRanks!$A$2:$H$303, 7, FALSE)=0, "", VLOOKUP($G234, SeanRanks!$A$2:$H$303, 7, FALSE))</f>
        <v>#N/A</v>
      </c>
    </row>
    <row r="235" spans="1:26" ht="14.25" customHeight="1" x14ac:dyDescent="0.25">
      <c r="A235" s="11"/>
      <c r="B235" s="11">
        <f t="shared" si="3"/>
        <v>18</v>
      </c>
      <c r="C235" s="11" t="s">
        <v>148</v>
      </c>
      <c r="D235" s="11"/>
      <c r="E235" s="11"/>
      <c r="F235" s="11">
        <f>VLOOKUP(G235, SeanRanks!$A$2:$E$302, 4, FALSE)</f>
        <v>0</v>
      </c>
      <c r="G235" s="11" t="s">
        <v>662</v>
      </c>
      <c r="H235" s="11" t="str">
        <f>VLOOKUP($G235, 'ADP Data'!$C$4:$Q$300, 2, FALSE)</f>
        <v>NO</v>
      </c>
      <c r="I235" s="11">
        <f>VLOOKUP(G235, 'ADP Data'!$C$4:$R$498, 12, FALSE)</f>
        <v>209</v>
      </c>
      <c r="J235" s="11">
        <f>VLOOKUP($G235, SeanRanks!$A$2:$H$303, 5, FALSE)</f>
        <v>0</v>
      </c>
      <c r="K235" s="11" t="str">
        <f>IF(VLOOKUP($G235, SeanRanks!$A$2:$H$303, 6, FALSE)=0, "", VLOOKUP($G235, SeanRanks!$A$2:$H$303, 6, FALSE))</f>
        <v/>
      </c>
      <c r="L235" s="11">
        <f t="shared" si="4"/>
        <v>34</v>
      </c>
      <c r="M235" s="11">
        <f>VLOOKUP($G235, 'ADP Data'!$C$4:$Q$300, 9, FALSE)</f>
        <v>266</v>
      </c>
      <c r="N235" s="11">
        <f t="shared" si="5"/>
        <v>47</v>
      </c>
      <c r="O235" s="11">
        <f>VLOOKUP($G235, 'ADP Data'!$C$4:$Q$300, 3, FALSE)</f>
        <v>202</v>
      </c>
      <c r="P235" s="11">
        <f t="shared" si="6"/>
        <v>64</v>
      </c>
      <c r="Q235" s="11" t="str">
        <f>VLOOKUP($G235, 'ADP Data'!$C$4:$Q$300, 4, FALSE)</f>
        <v>-</v>
      </c>
      <c r="R235" s="11">
        <f>VLOOKUP($G235, 'ADP Data'!$C$4:$Q$300, 5, FALSE)</f>
        <v>233</v>
      </c>
      <c r="S235" s="11">
        <f>VLOOKUP($G235, 'ADP Data'!$C$4:$Q$300, 6, FALSE)</f>
        <v>189</v>
      </c>
      <c r="T235" s="11">
        <f>VLOOKUP($G235, 'ADP Data'!$C$4:$Q$300, 7, FALSE)</f>
        <v>206</v>
      </c>
      <c r="U235" s="11" t="str">
        <f>VLOOKUP($G235, 'ADP Data'!$C$4:$Q$300, 8, FALSE)</f>
        <v>-</v>
      </c>
      <c r="V235" s="11">
        <f t="shared" si="7"/>
        <v>219</v>
      </c>
      <c r="W235" s="11">
        <f t="shared" si="8"/>
        <v>28</v>
      </c>
      <c r="X235" s="11">
        <f t="shared" si="9"/>
        <v>-28</v>
      </c>
      <c r="Y235" s="11">
        <f>VLOOKUP($G235, SeanRanks!$A$2:$K$303, 10, FALSE)-V235</f>
        <v>8</v>
      </c>
      <c r="Z235" s="25" t="str">
        <f>IF(VLOOKUP($G235, SeanRanks!$A$2:$H$303, 7, FALSE)=0, "", VLOOKUP($G235, SeanRanks!$A$2:$H$303, 7, FALSE))</f>
        <v/>
      </c>
    </row>
    <row r="236" spans="1:26" ht="14.25" customHeight="1" x14ac:dyDescent="0.25">
      <c r="A236" s="11"/>
      <c r="B236" s="11">
        <f t="shared" si="3"/>
        <v>21</v>
      </c>
      <c r="C236" s="11" t="s">
        <v>148</v>
      </c>
      <c r="D236" s="11"/>
      <c r="E236" s="11"/>
      <c r="F236" s="11">
        <f>VLOOKUP(G236, SeanRanks!$A$2:$E$302, 4, FALSE)</f>
        <v>0</v>
      </c>
      <c r="G236" s="11" t="s">
        <v>953</v>
      </c>
      <c r="H236" s="11" t="str">
        <f>VLOOKUP($G236, 'ADP Data'!$C$4:$Q$300, 2, FALSE)</f>
        <v>PIT</v>
      </c>
      <c r="I236" s="11">
        <f>VLOOKUP(G236, 'ADP Data'!$C$4:$R$498, 12, FALSE)</f>
        <v>179</v>
      </c>
      <c r="J236" s="11">
        <f>VLOOKUP($G236, SeanRanks!$A$2:$H$303, 5, FALSE)</f>
        <v>0</v>
      </c>
      <c r="K236" s="11" t="str">
        <f>IF(VLOOKUP($G236, SeanRanks!$A$2:$H$303, 6, FALSE)=0, "", VLOOKUP($G236, SeanRanks!$A$2:$H$303, 6, FALSE))</f>
        <v/>
      </c>
      <c r="L236" s="11">
        <f t="shared" si="4"/>
        <v>34</v>
      </c>
      <c r="M236" s="11">
        <f>VLOOKUP($G236, 'ADP Data'!$C$4:$Q$300, 9, FALSE)</f>
        <v>269</v>
      </c>
      <c r="N236" s="11">
        <f t="shared" si="5"/>
        <v>17</v>
      </c>
      <c r="O236" s="11" t="str">
        <f>VLOOKUP($G236, 'ADP Data'!$C$4:$Q$300, 3, FALSE)</f>
        <v>-</v>
      </c>
      <c r="P236" s="11" t="e">
        <f t="shared" si="6"/>
        <v>#VALUE!</v>
      </c>
      <c r="Q236" s="11" t="str">
        <f>VLOOKUP($G236, 'ADP Data'!$C$4:$Q$300, 4, FALSE)</f>
        <v>-</v>
      </c>
      <c r="R236" s="11" t="str">
        <f>VLOOKUP($G236, 'ADP Data'!$C$4:$Q$300, 5, FALSE)</f>
        <v>-</v>
      </c>
      <c r="S236" s="11">
        <f>VLOOKUP($G236, 'ADP Data'!$C$4:$Q$300, 6, FALSE)</f>
        <v>242</v>
      </c>
      <c r="T236" s="11">
        <f>VLOOKUP($G236, 'ADP Data'!$C$4:$Q$300, 7, FALSE)</f>
        <v>245</v>
      </c>
      <c r="U236" s="11" t="str">
        <f>VLOOKUP($G236, 'ADP Data'!$C$4:$Q$300, 8, FALSE)</f>
        <v>-</v>
      </c>
      <c r="V236" s="11">
        <f t="shared" si="7"/>
        <v>252</v>
      </c>
      <c r="W236" s="11">
        <f t="shared" si="8"/>
        <v>32</v>
      </c>
      <c r="X236" s="11">
        <f t="shared" si="9"/>
        <v>-32</v>
      </c>
      <c r="Y236" s="11">
        <f>VLOOKUP($G236, SeanRanks!$A$2:$K$303, 10, FALSE)-V236</f>
        <v>-15</v>
      </c>
      <c r="Z236" s="25" t="str">
        <f>IF(VLOOKUP($G236, SeanRanks!$A$2:$H$303, 7, FALSE)=0, "", VLOOKUP($G236, SeanRanks!$A$2:$H$303, 7, FALSE))</f>
        <v/>
      </c>
    </row>
    <row r="237" spans="1:26" ht="14.25" customHeight="1" x14ac:dyDescent="0.25">
      <c r="A237" s="11"/>
      <c r="B237" s="11">
        <f t="shared" si="3"/>
        <v>18</v>
      </c>
      <c r="C237" s="11" t="s">
        <v>148</v>
      </c>
      <c r="D237" s="11"/>
      <c r="E237" s="11"/>
      <c r="F237" s="11">
        <f>VLOOKUP(G237, SeanRanks!$A$2:$E$302, 4, FALSE)</f>
        <v>0</v>
      </c>
      <c r="G237" s="11" t="s">
        <v>547</v>
      </c>
      <c r="H237" s="11" t="str">
        <f>VLOOKUP($G237, 'ADP Data'!$C$4:$Q$300, 2, FALSE)</f>
        <v>GB</v>
      </c>
      <c r="I237" s="11" t="str">
        <f>VLOOKUP(G237, 'ADP Data'!$C$4:$R$498, 12, FALSE)</f>
        <v>-</v>
      </c>
      <c r="J237" s="11">
        <f>VLOOKUP($G237, SeanRanks!$A$2:$H$303, 5, FALSE)</f>
        <v>0</v>
      </c>
      <c r="K237" s="11" t="str">
        <f>IF(VLOOKUP($G237, SeanRanks!$A$2:$H$303, 6, FALSE)=0, "", VLOOKUP($G237, SeanRanks!$A$2:$H$303, 6, FALSE))</f>
        <v/>
      </c>
      <c r="L237" s="11">
        <f t="shared" si="4"/>
        <v>31</v>
      </c>
      <c r="M237" s="11">
        <f>VLOOKUP($G237, 'ADP Data'!$C$4:$Q$300, 9, FALSE)</f>
        <v>243</v>
      </c>
      <c r="N237" s="11">
        <f t="shared" si="5"/>
        <v>40</v>
      </c>
      <c r="O237" s="11">
        <f>VLOOKUP($G237, 'ADP Data'!$C$4:$Q$300, 3, FALSE)</f>
        <v>136</v>
      </c>
      <c r="P237" s="11">
        <f t="shared" si="6"/>
        <v>107</v>
      </c>
      <c r="Q237" s="11">
        <f>VLOOKUP($G237, 'ADP Data'!$C$4:$Q$300, 4, FALSE)</f>
        <v>171</v>
      </c>
      <c r="R237" s="11">
        <f>VLOOKUP($G237, 'ADP Data'!$C$4:$Q$300, 5, FALSE)</f>
        <v>247</v>
      </c>
      <c r="S237" s="11">
        <f>VLOOKUP($G237, 'ADP Data'!$C$4:$Q$300, 6, FALSE)</f>
        <v>258</v>
      </c>
      <c r="T237" s="11">
        <f>VLOOKUP($G237, 'ADP Data'!$C$4:$Q$300, 7, FALSE)</f>
        <v>199</v>
      </c>
      <c r="U237" s="11">
        <f>VLOOKUP($G237, 'ADP Data'!$C$4:$Q$300, 8, FALSE)</f>
        <v>170</v>
      </c>
      <c r="V237" s="11">
        <f t="shared" si="7"/>
        <v>203</v>
      </c>
      <c r="W237" s="11">
        <f t="shared" si="8"/>
        <v>26</v>
      </c>
      <c r="X237" s="11">
        <f t="shared" si="9"/>
        <v>-26</v>
      </c>
      <c r="Y237" s="11">
        <f>VLOOKUP($G237, SeanRanks!$A$2:$K$303, 10, FALSE)-V237</f>
        <v>17</v>
      </c>
      <c r="Z237" s="25" t="str">
        <f>IF(VLOOKUP($G237, SeanRanks!$A$2:$H$303, 7, FALSE)=0, "", VLOOKUP($G237, SeanRanks!$A$2:$H$303, 7, FALSE))</f>
        <v/>
      </c>
    </row>
    <row r="238" spans="1:26" ht="14.25" customHeight="1" x14ac:dyDescent="0.25">
      <c r="A238" s="11"/>
      <c r="B238" s="11" t="e">
        <f t="shared" si="3"/>
        <v>#N/A</v>
      </c>
      <c r="C238" s="11" t="s">
        <v>148</v>
      </c>
      <c r="D238" s="11"/>
      <c r="E238" s="11"/>
      <c r="F238" s="11" t="e">
        <f>VLOOKUP(G238, SeanRanks!$A$2:$E$302, 4, FALSE)</f>
        <v>#N/A</v>
      </c>
      <c r="G238" s="11" t="s">
        <v>954</v>
      </c>
      <c r="H238" s="11" t="e">
        <f>VLOOKUP($G238, 'ADP Data'!$C$4:$Q$300, 2, FALSE)</f>
        <v>#N/A</v>
      </c>
      <c r="I238" s="11" t="e">
        <f>VLOOKUP(G238, 'ADP Data'!$C$4:$R$498, 12, FALSE)</f>
        <v>#N/A</v>
      </c>
      <c r="J238" s="11" t="e">
        <f>VLOOKUP($G238, SeanRanks!$A$2:$H$303, 5, FALSE)</f>
        <v>#N/A</v>
      </c>
      <c r="K238" s="11" t="e">
        <f>IF(VLOOKUP($G238, SeanRanks!$A$2:$H$303, 6, FALSE)=0, "", VLOOKUP($G238, SeanRanks!$A$2:$H$303, 6, FALSE))</f>
        <v>#N/A</v>
      </c>
      <c r="L238" s="11">
        <f t="shared" si="4"/>
        <v>16</v>
      </c>
      <c r="M238" s="11" t="e">
        <f>VLOOKUP($G238, 'ADP Data'!$C$4:$Q$300, 9, FALSE)</f>
        <v>#N/A</v>
      </c>
      <c r="N238" s="11" t="e">
        <f t="shared" si="5"/>
        <v>#N/A</v>
      </c>
      <c r="O238" s="11" t="e">
        <f>VLOOKUP($G238, 'ADP Data'!$C$4:$Q$300, 3, FALSE)</f>
        <v>#N/A</v>
      </c>
      <c r="P238" s="11" t="e">
        <f t="shared" si="6"/>
        <v>#N/A</v>
      </c>
      <c r="Q238" s="11" t="e">
        <f>VLOOKUP($G238, 'ADP Data'!$C$4:$Q$300, 4, FALSE)</f>
        <v>#N/A</v>
      </c>
      <c r="R238" s="11" t="e">
        <f>VLOOKUP($G238, 'ADP Data'!$C$4:$Q$300, 5, FALSE)</f>
        <v>#N/A</v>
      </c>
      <c r="S238" s="11" t="e">
        <f>VLOOKUP($G238, 'ADP Data'!$C$4:$Q$300, 6, FALSE)</f>
        <v>#N/A</v>
      </c>
      <c r="T238" s="11" t="e">
        <f>VLOOKUP($G238, 'ADP Data'!$C$4:$Q$300, 7, FALSE)</f>
        <v>#N/A</v>
      </c>
      <c r="U238" s="11" t="e">
        <f>VLOOKUP($G238, 'ADP Data'!$C$4:$Q$300, 8, FALSE)</f>
        <v>#N/A</v>
      </c>
      <c r="V238" s="11" t="e">
        <f t="shared" si="7"/>
        <v>#N/A</v>
      </c>
      <c r="W238" s="11">
        <f t="shared" si="8"/>
        <v>16</v>
      </c>
      <c r="X238" s="11">
        <f t="shared" si="9"/>
        <v>-16</v>
      </c>
      <c r="Y238" s="11" t="e">
        <f>VLOOKUP($G238, SeanRanks!$A$2:$K$303, 10, FALSE)-V238</f>
        <v>#N/A</v>
      </c>
      <c r="Z238" s="25" t="e">
        <f>IF(VLOOKUP($G238, SeanRanks!$A$2:$H$303, 7, FALSE)=0, "", VLOOKUP($G238, SeanRanks!$A$2:$H$303, 7, FALSE))</f>
        <v>#N/A</v>
      </c>
    </row>
    <row r="239" spans="1:26" ht="14.25" customHeight="1" x14ac:dyDescent="0.25">
      <c r="A239" s="11"/>
      <c r="B239" s="11" t="e">
        <f t="shared" si="3"/>
        <v>#N/A</v>
      </c>
      <c r="C239" s="11" t="s">
        <v>148</v>
      </c>
      <c r="D239" s="11"/>
      <c r="E239" s="11"/>
      <c r="F239" s="11" t="e">
        <f>VLOOKUP(G239, SeanRanks!$A$2:$E$302, 4, FALSE)</f>
        <v>#N/A</v>
      </c>
      <c r="G239" s="11" t="s">
        <v>955</v>
      </c>
      <c r="H239" s="11" t="e">
        <f>VLOOKUP($G239, 'ADP Data'!$C$4:$Q$300, 2, FALSE)</f>
        <v>#N/A</v>
      </c>
      <c r="I239" s="11" t="e">
        <f>VLOOKUP(G239, 'ADP Data'!$C$4:$R$498, 12, FALSE)</f>
        <v>#N/A</v>
      </c>
      <c r="J239" s="11" t="e">
        <f>VLOOKUP($G239, SeanRanks!$A$2:$H$303, 5, FALSE)</f>
        <v>#N/A</v>
      </c>
      <c r="K239" s="11" t="e">
        <f>IF(VLOOKUP($G239, SeanRanks!$A$2:$H$303, 6, FALSE)=0, "", VLOOKUP($G239, SeanRanks!$A$2:$H$303, 6, FALSE))</f>
        <v>#N/A</v>
      </c>
      <c r="L239" s="11">
        <f t="shared" si="4"/>
        <v>16</v>
      </c>
      <c r="M239" s="11" t="e">
        <f>VLOOKUP($G239, 'ADP Data'!$C$4:$Q$300, 9, FALSE)</f>
        <v>#N/A</v>
      </c>
      <c r="N239" s="11" t="e">
        <f t="shared" si="5"/>
        <v>#N/A</v>
      </c>
      <c r="O239" s="11" t="e">
        <f>VLOOKUP($G239, 'ADP Data'!$C$4:$Q$300, 3, FALSE)</f>
        <v>#N/A</v>
      </c>
      <c r="P239" s="11" t="e">
        <f t="shared" si="6"/>
        <v>#N/A</v>
      </c>
      <c r="Q239" s="11" t="e">
        <f>VLOOKUP($G239, 'ADP Data'!$C$4:$Q$300, 4, FALSE)</f>
        <v>#N/A</v>
      </c>
      <c r="R239" s="11" t="e">
        <f>VLOOKUP($G239, 'ADP Data'!$C$4:$Q$300, 5, FALSE)</f>
        <v>#N/A</v>
      </c>
      <c r="S239" s="11" t="e">
        <f>VLOOKUP($G239, 'ADP Data'!$C$4:$Q$300, 6, FALSE)</f>
        <v>#N/A</v>
      </c>
      <c r="T239" s="11" t="e">
        <f>VLOOKUP($G239, 'ADP Data'!$C$4:$Q$300, 7, FALSE)</f>
        <v>#N/A</v>
      </c>
      <c r="U239" s="11" t="e">
        <f>VLOOKUP($G239, 'ADP Data'!$C$4:$Q$300, 8, FALSE)</f>
        <v>#N/A</v>
      </c>
      <c r="V239" s="11" t="e">
        <f t="shared" si="7"/>
        <v>#N/A</v>
      </c>
      <c r="W239" s="11">
        <f t="shared" si="8"/>
        <v>16</v>
      </c>
      <c r="X239" s="11">
        <f t="shared" si="9"/>
        <v>-16</v>
      </c>
      <c r="Y239" s="11" t="e">
        <f>VLOOKUP($G239, SeanRanks!$A$2:$K$303, 10, FALSE)-V239</f>
        <v>#N/A</v>
      </c>
      <c r="Z239" s="25" t="e">
        <f>IF(VLOOKUP($G239, SeanRanks!$A$2:$H$303, 7, FALSE)=0, "", VLOOKUP($G239, SeanRanks!$A$2:$H$303, 7, FALSE))</f>
        <v>#N/A</v>
      </c>
    </row>
    <row r="240" spans="1:26" ht="14.25" customHeight="1" x14ac:dyDescent="0.25">
      <c r="A240" s="11"/>
      <c r="B240" s="11" t="e">
        <f t="shared" si="3"/>
        <v>#N/A</v>
      </c>
      <c r="C240" s="11" t="s">
        <v>148</v>
      </c>
      <c r="D240" s="11"/>
      <c r="E240" s="11"/>
      <c r="F240" s="11" t="e">
        <f>VLOOKUP(G240, SeanRanks!$A$2:$E$302, 4, FALSE)</f>
        <v>#N/A</v>
      </c>
      <c r="G240" s="11" t="s">
        <v>570</v>
      </c>
      <c r="H240" s="11" t="e">
        <f>VLOOKUP($G240, 'ADP Data'!$C$4:$Q$300, 2, FALSE)</f>
        <v>#N/A</v>
      </c>
      <c r="I240" s="11" t="e">
        <f>VLOOKUP(G240, 'ADP Data'!$C$4:$R$498, 12, FALSE)</f>
        <v>#N/A</v>
      </c>
      <c r="J240" s="11" t="e">
        <f>VLOOKUP($G240, SeanRanks!$A$2:$H$303, 5, FALSE)</f>
        <v>#N/A</v>
      </c>
      <c r="K240" s="11" t="e">
        <f>IF(VLOOKUP($G240, SeanRanks!$A$2:$H$303, 6, FALSE)=0, "", VLOOKUP($G240, SeanRanks!$A$2:$H$303, 6, FALSE))</f>
        <v>#N/A</v>
      </c>
      <c r="L240" s="11">
        <f t="shared" si="4"/>
        <v>16</v>
      </c>
      <c r="M240" s="11" t="e">
        <f>VLOOKUP($G240, 'ADP Data'!$C$4:$Q$300, 9, FALSE)</f>
        <v>#N/A</v>
      </c>
      <c r="N240" s="11" t="e">
        <f t="shared" si="5"/>
        <v>#N/A</v>
      </c>
      <c r="O240" s="11" t="e">
        <f>VLOOKUP($G240, 'ADP Data'!$C$4:$Q$300, 3, FALSE)</f>
        <v>#N/A</v>
      </c>
      <c r="P240" s="11" t="e">
        <f t="shared" si="6"/>
        <v>#N/A</v>
      </c>
      <c r="Q240" s="11" t="e">
        <f>VLOOKUP($G240, 'ADP Data'!$C$4:$Q$300, 4, FALSE)</f>
        <v>#N/A</v>
      </c>
      <c r="R240" s="11" t="e">
        <f>VLOOKUP($G240, 'ADP Data'!$C$4:$Q$300, 5, FALSE)</f>
        <v>#N/A</v>
      </c>
      <c r="S240" s="11" t="e">
        <f>VLOOKUP($G240, 'ADP Data'!$C$4:$Q$300, 6, FALSE)</f>
        <v>#N/A</v>
      </c>
      <c r="T240" s="11" t="e">
        <f>VLOOKUP($G240, 'ADP Data'!$C$4:$Q$300, 7, FALSE)</f>
        <v>#N/A</v>
      </c>
      <c r="U240" s="11" t="e">
        <f>VLOOKUP($G240, 'ADP Data'!$C$4:$Q$300, 8, FALSE)</f>
        <v>#N/A</v>
      </c>
      <c r="V240" s="11" t="e">
        <f t="shared" si="7"/>
        <v>#N/A</v>
      </c>
      <c r="W240" s="11">
        <f t="shared" si="8"/>
        <v>16</v>
      </c>
      <c r="X240" s="11">
        <f t="shared" si="9"/>
        <v>-16</v>
      </c>
      <c r="Y240" s="11" t="e">
        <f>VLOOKUP($G240, SeanRanks!$A$2:$K$303, 10, FALSE)-V240</f>
        <v>#N/A</v>
      </c>
      <c r="Z240" s="25" t="e">
        <f>IF(VLOOKUP($G240, SeanRanks!$A$2:$H$303, 7, FALSE)=0, "", VLOOKUP($G240, SeanRanks!$A$2:$H$303, 7, FALSE))</f>
        <v>#N/A</v>
      </c>
    </row>
    <row r="241" spans="1:26" ht="14.25" customHeight="1" x14ac:dyDescent="0.25">
      <c r="A241" s="11"/>
      <c r="B241" s="11">
        <f t="shared" si="3"/>
        <v>14</v>
      </c>
      <c r="C241" s="11" t="s">
        <v>148</v>
      </c>
      <c r="D241" s="11"/>
      <c r="E241" s="11"/>
      <c r="F241" s="11">
        <f>VLOOKUP(G241, SeanRanks!$A$2:$E$302, 4, FALSE)</f>
        <v>0</v>
      </c>
      <c r="G241" s="11" t="s">
        <v>560</v>
      </c>
      <c r="H241" s="11" t="str">
        <f>VLOOKUP($G241, 'ADP Data'!$C$4:$Q$300, 2, FALSE)</f>
        <v>HOU</v>
      </c>
      <c r="I241" s="11" t="str">
        <f>VLOOKUP(G241, 'ADP Data'!$C$4:$R$498, 12, FALSE)</f>
        <v>-</v>
      </c>
      <c r="J241" s="11">
        <f>VLOOKUP($G241, SeanRanks!$A$2:$H$303, 5, FALSE)</f>
        <v>0</v>
      </c>
      <c r="K241" s="11" t="str">
        <f>IF(VLOOKUP($G241, SeanRanks!$A$2:$H$303, 6, FALSE)=0, "", VLOOKUP($G241, SeanRanks!$A$2:$H$303, 6, FALSE))</f>
        <v/>
      </c>
      <c r="L241" s="11">
        <f t="shared" si="4"/>
        <v>21</v>
      </c>
      <c r="M241" s="11">
        <f>VLOOKUP($G241, 'ADP Data'!$C$4:$Q$300, 9, FALSE)</f>
        <v>162</v>
      </c>
      <c r="N241" s="11">
        <f t="shared" si="5"/>
        <v>-18</v>
      </c>
      <c r="O241" s="11">
        <f>VLOOKUP($G241, 'ADP Data'!$C$4:$Q$300, 3, FALSE)</f>
        <v>198</v>
      </c>
      <c r="P241" s="11">
        <f t="shared" si="6"/>
        <v>-36</v>
      </c>
      <c r="Q241" s="11"/>
      <c r="R241" s="11"/>
      <c r="S241" s="11"/>
      <c r="T241" s="11"/>
      <c r="U241" s="11"/>
      <c r="V241" s="11">
        <f t="shared" si="7"/>
        <v>180</v>
      </c>
      <c r="W241" s="11">
        <f t="shared" si="8"/>
        <v>23</v>
      </c>
      <c r="X241" s="11">
        <f t="shared" si="9"/>
        <v>-23</v>
      </c>
      <c r="Y241" s="11">
        <f>VLOOKUP($G241, SeanRanks!$A$2:$K$303, 10, FALSE)-V241</f>
        <v>21</v>
      </c>
      <c r="Z241" s="25" t="str">
        <f>IF(VLOOKUP($G241, SeanRanks!$A$2:$H$303, 7, FALSE)=0, "", VLOOKUP($G241, SeanRanks!$A$2:$H$303, 7, FALSE))</f>
        <v/>
      </c>
    </row>
    <row r="242" spans="1:26" ht="14.25" customHeight="1" x14ac:dyDescent="0.25">
      <c r="A242" s="11"/>
      <c r="B242" s="11" t="e">
        <f t="shared" si="3"/>
        <v>#N/A</v>
      </c>
      <c r="C242" s="11" t="s">
        <v>148</v>
      </c>
      <c r="D242" s="11"/>
      <c r="E242" s="11"/>
      <c r="F242" s="11" t="e">
        <f>VLOOKUP(G242, SeanRanks!$A$2:$E$302, 4, FALSE)</f>
        <v>#N/A</v>
      </c>
      <c r="G242" s="11" t="s">
        <v>956</v>
      </c>
      <c r="H242" s="11" t="e">
        <f>VLOOKUP($G242, 'ADP Data'!$C$4:$Q$300, 2, FALSE)</f>
        <v>#N/A</v>
      </c>
      <c r="I242" s="11" t="e">
        <f>VLOOKUP(G242, 'ADP Data'!$C$4:$R$498, 12, FALSE)</f>
        <v>#N/A</v>
      </c>
      <c r="J242" s="11" t="e">
        <f>VLOOKUP($G242, SeanRanks!$A$2:$H$303, 5, FALSE)</f>
        <v>#N/A</v>
      </c>
      <c r="K242" s="11" t="e">
        <f>IF(VLOOKUP($G242, SeanRanks!$A$2:$H$303, 6, FALSE)=0, "", VLOOKUP($G242, SeanRanks!$A$2:$H$303, 6, FALSE))</f>
        <v>#N/A</v>
      </c>
      <c r="L242" s="11">
        <f t="shared" si="4"/>
        <v>16</v>
      </c>
      <c r="M242" s="11" t="e">
        <f>VLOOKUP($G242, 'ADP Data'!$C$4:$Q$300, 9, FALSE)</f>
        <v>#N/A</v>
      </c>
      <c r="N242" s="11" t="e">
        <f t="shared" si="5"/>
        <v>#N/A</v>
      </c>
      <c r="O242" s="11" t="e">
        <f>VLOOKUP($G242, 'ADP Data'!$C$4:$Q$300, 3, FALSE)</f>
        <v>#N/A</v>
      </c>
      <c r="P242" s="11" t="e">
        <f t="shared" si="6"/>
        <v>#N/A</v>
      </c>
      <c r="Q242" s="11"/>
      <c r="R242" s="11"/>
      <c r="S242" s="11"/>
      <c r="T242" s="11"/>
      <c r="U242" s="11"/>
      <c r="V242" s="11" t="e">
        <f t="shared" si="7"/>
        <v>#N/A</v>
      </c>
      <c r="W242" s="11">
        <f t="shared" si="8"/>
        <v>16</v>
      </c>
      <c r="X242" s="11">
        <f t="shared" si="9"/>
        <v>-16</v>
      </c>
      <c r="Y242" s="11" t="e">
        <f>VLOOKUP($G242, SeanRanks!$A$2:$K$303, 10, FALSE)-V242</f>
        <v>#N/A</v>
      </c>
      <c r="Z242" s="25" t="e">
        <f>IF(VLOOKUP($G242, SeanRanks!$A$2:$H$303, 7, FALSE)=0, "", VLOOKUP($G242, SeanRanks!$A$2:$H$303, 7, FALSE))</f>
        <v>#N/A</v>
      </c>
    </row>
    <row r="243" spans="1:26" ht="14.25" customHeight="1" x14ac:dyDescent="0.25">
      <c r="A243" s="11"/>
      <c r="B243" s="11" t="e">
        <f t="shared" si="3"/>
        <v>#N/A</v>
      </c>
      <c r="C243" s="11" t="s">
        <v>148</v>
      </c>
      <c r="D243" s="11"/>
      <c r="E243" s="11"/>
      <c r="F243" s="11" t="e">
        <f>VLOOKUP(G243, SeanRanks!$A$2:$E$302, 4, FALSE)</f>
        <v>#N/A</v>
      </c>
      <c r="G243" s="11" t="s">
        <v>957</v>
      </c>
      <c r="H243" s="11" t="e">
        <f>VLOOKUP($G243, 'ADP Data'!$C$4:$Q$300, 2, FALSE)</f>
        <v>#N/A</v>
      </c>
      <c r="I243" s="11" t="e">
        <f>VLOOKUP(G243, 'ADP Data'!$C$4:$R$498, 12, FALSE)</f>
        <v>#N/A</v>
      </c>
      <c r="J243" s="11" t="e">
        <f>VLOOKUP($G243, SeanRanks!$A$2:$H$303, 5, FALSE)</f>
        <v>#N/A</v>
      </c>
      <c r="K243" s="11" t="e">
        <f>IF(VLOOKUP($G243, SeanRanks!$A$2:$H$303, 6, FALSE)=0, "", VLOOKUP($G243, SeanRanks!$A$2:$H$303, 6, FALSE))</f>
        <v>#N/A</v>
      </c>
      <c r="L243" s="11">
        <f t="shared" si="4"/>
        <v>16</v>
      </c>
      <c r="M243" s="11" t="e">
        <f>VLOOKUP($G243, 'ADP Data'!$C$4:$Q$300, 9, FALSE)</f>
        <v>#N/A</v>
      </c>
      <c r="N243" s="11" t="e">
        <f t="shared" si="5"/>
        <v>#N/A</v>
      </c>
      <c r="O243" s="11" t="e">
        <f>VLOOKUP($G243, 'ADP Data'!$C$4:$Q$300, 3, FALSE)</f>
        <v>#N/A</v>
      </c>
      <c r="P243" s="11" t="e">
        <f t="shared" si="6"/>
        <v>#N/A</v>
      </c>
      <c r="Q243" s="11" t="e">
        <f>VLOOKUP($G243, 'ADP Data'!$C$4:$Q$300, 4, FALSE)</f>
        <v>#N/A</v>
      </c>
      <c r="R243" s="11" t="e">
        <f>VLOOKUP($G243, 'ADP Data'!$C$4:$Q$300, 5, FALSE)</f>
        <v>#N/A</v>
      </c>
      <c r="S243" s="11" t="e">
        <f>VLOOKUP($G243, 'ADP Data'!$C$4:$Q$300, 6, FALSE)</f>
        <v>#N/A</v>
      </c>
      <c r="T243" s="11" t="e">
        <f>VLOOKUP($G243, 'ADP Data'!$C$4:$Q$300, 7, FALSE)</f>
        <v>#N/A</v>
      </c>
      <c r="U243" s="11" t="e">
        <f>VLOOKUP($G243, 'ADP Data'!$C$4:$Q$300, 8, FALSE)</f>
        <v>#N/A</v>
      </c>
      <c r="V243" s="11" t="e">
        <f t="shared" si="7"/>
        <v>#N/A</v>
      </c>
      <c r="W243" s="11">
        <f t="shared" si="8"/>
        <v>16</v>
      </c>
      <c r="X243" s="11">
        <f t="shared" si="9"/>
        <v>-16</v>
      </c>
      <c r="Y243" s="11" t="e">
        <f>VLOOKUP($G243, SeanRanks!$A$2:$K$303, 10, FALSE)-V243</f>
        <v>#N/A</v>
      </c>
      <c r="Z243" s="25" t="e">
        <f>IF(VLOOKUP($G243, SeanRanks!$A$2:$H$303, 7, FALSE)=0, "", VLOOKUP($G243, SeanRanks!$A$2:$H$303, 7, FALSE))</f>
        <v>#N/A</v>
      </c>
    </row>
    <row r="244" spans="1:26" ht="14.25" customHeight="1" x14ac:dyDescent="0.25">
      <c r="A244" s="11"/>
      <c r="B244" s="11" t="e">
        <f t="shared" si="3"/>
        <v>#N/A</v>
      </c>
      <c r="C244" s="11" t="s">
        <v>148</v>
      </c>
      <c r="D244" s="11"/>
      <c r="E244" s="11"/>
      <c r="F244" s="11" t="e">
        <f>VLOOKUP(G244, SeanRanks!$A$2:$E$302, 4, FALSE)</f>
        <v>#N/A</v>
      </c>
      <c r="G244" s="11" t="s">
        <v>473</v>
      </c>
      <c r="H244" s="11" t="e">
        <f>VLOOKUP($G244, 'ADP Data'!$C$4:$Q$300, 2, FALSE)</f>
        <v>#N/A</v>
      </c>
      <c r="I244" s="11" t="e">
        <f>VLOOKUP(G244, 'ADP Data'!$C$4:$R$498, 12, FALSE)</f>
        <v>#N/A</v>
      </c>
      <c r="J244" s="11" t="e">
        <f>VLOOKUP($G244, SeanRanks!$A$2:$H$303, 5, FALSE)</f>
        <v>#N/A</v>
      </c>
      <c r="K244" s="11" t="e">
        <f>IF(VLOOKUP($G244, SeanRanks!$A$2:$H$303, 6, FALSE)=0, "", VLOOKUP($G244, SeanRanks!$A$2:$H$303, 6, FALSE))</f>
        <v>#N/A</v>
      </c>
      <c r="L244" s="11">
        <f t="shared" si="4"/>
        <v>16</v>
      </c>
      <c r="M244" s="11" t="e">
        <f>VLOOKUP($G244, 'ADP Data'!$C$4:$Q$300, 9, FALSE)</f>
        <v>#N/A</v>
      </c>
      <c r="N244" s="11" t="e">
        <f t="shared" si="5"/>
        <v>#N/A</v>
      </c>
      <c r="O244" s="11" t="e">
        <f>VLOOKUP($G244, 'ADP Data'!$C$4:$Q$300, 3, FALSE)</f>
        <v>#N/A</v>
      </c>
      <c r="P244" s="11" t="e">
        <f t="shared" si="6"/>
        <v>#N/A</v>
      </c>
      <c r="Q244" s="11" t="e">
        <f>VLOOKUP($G244, 'ADP Data'!$C$4:$Q$300, 4, FALSE)</f>
        <v>#N/A</v>
      </c>
      <c r="R244" s="11" t="e">
        <f>VLOOKUP($G244, 'ADP Data'!$C$4:$Q$300, 5, FALSE)</f>
        <v>#N/A</v>
      </c>
      <c r="S244" s="11" t="e">
        <f>VLOOKUP($G244, 'ADP Data'!$C$4:$Q$300, 6, FALSE)</f>
        <v>#N/A</v>
      </c>
      <c r="T244" s="11" t="e">
        <f>VLOOKUP($G244, 'ADP Data'!$C$4:$Q$300, 7, FALSE)</f>
        <v>#N/A</v>
      </c>
      <c r="U244" s="11" t="e">
        <f>VLOOKUP($G244, 'ADP Data'!$C$4:$Q$300, 8, FALSE)</f>
        <v>#N/A</v>
      </c>
      <c r="V244" s="11" t="e">
        <f t="shared" si="7"/>
        <v>#N/A</v>
      </c>
      <c r="W244" s="11">
        <f t="shared" si="8"/>
        <v>16</v>
      </c>
      <c r="X244" s="11">
        <f t="shared" si="9"/>
        <v>-16</v>
      </c>
      <c r="Y244" s="11" t="e">
        <f>VLOOKUP($G244, SeanRanks!$A$2:$K$303, 10, FALSE)-V244</f>
        <v>#N/A</v>
      </c>
      <c r="Z244" s="25" t="e">
        <f>IF(VLOOKUP($G244, SeanRanks!$A$2:$H$303, 7, FALSE)=0, "", VLOOKUP($G244, SeanRanks!$A$2:$H$303, 7, FALSE))</f>
        <v>#N/A</v>
      </c>
    </row>
    <row r="245" spans="1:26" ht="14.25" customHeight="1" x14ac:dyDescent="0.25">
      <c r="A245" s="11"/>
      <c r="B245" s="11" t="e">
        <f t="shared" si="3"/>
        <v>#N/A</v>
      </c>
      <c r="C245" s="11" t="s">
        <v>148</v>
      </c>
      <c r="D245" s="11"/>
      <c r="E245" s="11"/>
      <c r="F245" s="11" t="e">
        <f>VLOOKUP(G245, SeanRanks!$A$2:$E$302, 4, FALSE)</f>
        <v>#N/A</v>
      </c>
      <c r="G245" s="11" t="s">
        <v>715</v>
      </c>
      <c r="H245" s="11" t="e">
        <f>VLOOKUP($G245, 'ADP Data'!$C$4:$Q$300, 2, FALSE)</f>
        <v>#N/A</v>
      </c>
      <c r="I245" s="11" t="e">
        <f>VLOOKUP(G245, 'ADP Data'!$C$4:$R$498, 12, FALSE)</f>
        <v>#N/A</v>
      </c>
      <c r="J245" s="11" t="e">
        <f>VLOOKUP($G245, SeanRanks!$A$2:$H$303, 5, FALSE)</f>
        <v>#N/A</v>
      </c>
      <c r="K245" s="11" t="e">
        <f>IF(VLOOKUP($G245, SeanRanks!$A$2:$H$303, 6, FALSE)=0, "", VLOOKUP($G245, SeanRanks!$A$2:$H$303, 6, FALSE))</f>
        <v>#N/A</v>
      </c>
      <c r="L245" s="11">
        <f t="shared" si="4"/>
        <v>16</v>
      </c>
      <c r="M245" s="11" t="e">
        <f>VLOOKUP($G245, 'ADP Data'!$C$4:$Q$300, 9, FALSE)</f>
        <v>#N/A</v>
      </c>
      <c r="N245" s="11" t="e">
        <f t="shared" si="5"/>
        <v>#N/A</v>
      </c>
      <c r="O245" s="11" t="e">
        <f>VLOOKUP($G245, 'ADP Data'!$C$4:$Q$300, 3, FALSE)</f>
        <v>#N/A</v>
      </c>
      <c r="P245" s="11" t="e">
        <f t="shared" si="6"/>
        <v>#N/A</v>
      </c>
      <c r="Q245" s="11" t="e">
        <f>VLOOKUP($G245, 'ADP Data'!$C$4:$Q$300, 4, FALSE)</f>
        <v>#N/A</v>
      </c>
      <c r="R245" s="11" t="e">
        <f>VLOOKUP($G245, 'ADP Data'!$C$4:$Q$300, 5, FALSE)</f>
        <v>#N/A</v>
      </c>
      <c r="S245" s="11" t="e">
        <f>VLOOKUP($G245, 'ADP Data'!$C$4:$Q$300, 6, FALSE)</f>
        <v>#N/A</v>
      </c>
      <c r="T245" s="11" t="e">
        <f>VLOOKUP($G245, 'ADP Data'!$C$4:$Q$300, 7, FALSE)</f>
        <v>#N/A</v>
      </c>
      <c r="U245" s="11" t="e">
        <f>VLOOKUP($G245, 'ADP Data'!$C$4:$Q$300, 8, FALSE)</f>
        <v>#N/A</v>
      </c>
      <c r="V245" s="11" t="e">
        <f t="shared" si="7"/>
        <v>#N/A</v>
      </c>
      <c r="W245" s="11">
        <f t="shared" si="8"/>
        <v>16</v>
      </c>
      <c r="X245" s="11">
        <f t="shared" si="9"/>
        <v>-16</v>
      </c>
      <c r="Y245" s="11" t="e">
        <f>VLOOKUP($G245, SeanRanks!$A$2:$K$303, 10, FALSE)-V245</f>
        <v>#N/A</v>
      </c>
      <c r="Z245" s="25" t="e">
        <f>IF(VLOOKUP($G245, SeanRanks!$A$2:$H$303, 7, FALSE)=0, "", VLOOKUP($G245, SeanRanks!$A$2:$H$303, 7, FALSE))</f>
        <v>#N/A</v>
      </c>
    </row>
    <row r="246" spans="1:26" ht="14.25" customHeight="1" x14ac:dyDescent="0.25">
      <c r="A246" s="11"/>
      <c r="B246" s="11" t="e">
        <f t="shared" si="3"/>
        <v>#N/A</v>
      </c>
      <c r="C246" s="11" t="s">
        <v>148</v>
      </c>
      <c r="D246" s="11"/>
      <c r="E246" s="11"/>
      <c r="F246" s="11" t="e">
        <f>VLOOKUP(G246, SeanRanks!$A$2:$E$302, 4, FALSE)</f>
        <v>#N/A</v>
      </c>
      <c r="G246" s="11" t="s">
        <v>958</v>
      </c>
      <c r="H246" s="11" t="e">
        <f>VLOOKUP($G246, 'ADP Data'!$C$4:$Q$300, 2, FALSE)</f>
        <v>#N/A</v>
      </c>
      <c r="I246" s="11" t="e">
        <f>VLOOKUP(G246, 'ADP Data'!$C$4:$R$498, 12, FALSE)</f>
        <v>#N/A</v>
      </c>
      <c r="J246" s="11" t="e">
        <f>VLOOKUP($G246, SeanRanks!$A$2:$H$303, 5, FALSE)</f>
        <v>#N/A</v>
      </c>
      <c r="K246" s="11" t="e">
        <f>IF(VLOOKUP($G246, SeanRanks!$A$2:$H$303, 6, FALSE)=0, "", VLOOKUP($G246, SeanRanks!$A$2:$H$303, 6, FALSE))</f>
        <v>#N/A</v>
      </c>
      <c r="L246" s="11">
        <f t="shared" si="4"/>
        <v>16</v>
      </c>
      <c r="M246" s="11" t="e">
        <f>VLOOKUP($G246, 'ADP Data'!$C$4:$Q$300, 9, FALSE)</f>
        <v>#N/A</v>
      </c>
      <c r="N246" s="11" t="e">
        <f t="shared" si="5"/>
        <v>#N/A</v>
      </c>
      <c r="O246" s="11" t="e">
        <f>VLOOKUP($G246, 'ADP Data'!$C$4:$Q$300, 3, FALSE)</f>
        <v>#N/A</v>
      </c>
      <c r="P246" s="11" t="e">
        <f t="shared" si="6"/>
        <v>#N/A</v>
      </c>
      <c r="Q246" s="11" t="e">
        <f>VLOOKUP($G246, 'ADP Data'!$C$4:$Q$300, 4, FALSE)</f>
        <v>#N/A</v>
      </c>
      <c r="R246" s="11" t="e">
        <f>VLOOKUP($G246, 'ADP Data'!$C$4:$Q$300, 5, FALSE)</f>
        <v>#N/A</v>
      </c>
      <c r="S246" s="11" t="e">
        <f>VLOOKUP($G246, 'ADP Data'!$C$4:$Q$300, 6, FALSE)</f>
        <v>#N/A</v>
      </c>
      <c r="T246" s="11" t="e">
        <f>VLOOKUP($G246, 'ADP Data'!$C$4:$Q$300, 7, FALSE)</f>
        <v>#N/A</v>
      </c>
      <c r="U246" s="11" t="e">
        <f>VLOOKUP($G246, 'ADP Data'!$C$4:$Q$300, 8, FALSE)</f>
        <v>#N/A</v>
      </c>
      <c r="V246" s="11" t="e">
        <f t="shared" si="7"/>
        <v>#N/A</v>
      </c>
      <c r="W246" s="11">
        <f t="shared" si="8"/>
        <v>16</v>
      </c>
      <c r="X246" s="11">
        <f t="shared" si="9"/>
        <v>-16</v>
      </c>
      <c r="Y246" s="11" t="e">
        <f>VLOOKUP($G246, SeanRanks!$A$2:$K$303, 10, FALSE)-V246</f>
        <v>#N/A</v>
      </c>
      <c r="Z246" s="25" t="e">
        <f>IF(VLOOKUP($G246, SeanRanks!$A$2:$H$303, 7, FALSE)=0, "", VLOOKUP($G246, SeanRanks!$A$2:$H$303, 7, FALSE))</f>
        <v>#N/A</v>
      </c>
    </row>
    <row r="247" spans="1:26" ht="14.25" customHeight="1" x14ac:dyDescent="0.25">
      <c r="A247" s="11"/>
      <c r="B247" s="11" t="e">
        <f t="shared" si="3"/>
        <v>#N/A</v>
      </c>
      <c r="C247" s="11" t="s">
        <v>148</v>
      </c>
      <c r="D247" s="11"/>
      <c r="E247" s="11"/>
      <c r="F247" s="11" t="e">
        <f>VLOOKUP(G247, SeanRanks!$A$2:$E$302, 4, FALSE)</f>
        <v>#N/A</v>
      </c>
      <c r="G247" s="11" t="s">
        <v>959</v>
      </c>
      <c r="H247" s="11" t="e">
        <f>VLOOKUP($G247, 'ADP Data'!$C$4:$Q$300, 2, FALSE)</f>
        <v>#N/A</v>
      </c>
      <c r="I247" s="11" t="e">
        <f>VLOOKUP(G247, 'ADP Data'!$C$4:$R$498, 12, FALSE)</f>
        <v>#N/A</v>
      </c>
      <c r="J247" s="11" t="e">
        <f>VLOOKUP($G247, SeanRanks!$A$2:$H$303, 5, FALSE)</f>
        <v>#N/A</v>
      </c>
      <c r="K247" s="11" t="e">
        <f>IF(VLOOKUP($G247, SeanRanks!$A$2:$H$303, 6, FALSE)=0, "", VLOOKUP($G247, SeanRanks!$A$2:$H$303, 6, FALSE))</f>
        <v>#N/A</v>
      </c>
      <c r="L247" s="11">
        <f t="shared" si="4"/>
        <v>16</v>
      </c>
      <c r="M247" s="11" t="e">
        <f>VLOOKUP($G247, 'ADP Data'!$C$4:$Q$300, 9, FALSE)</f>
        <v>#N/A</v>
      </c>
      <c r="N247" s="11" t="e">
        <f t="shared" si="5"/>
        <v>#N/A</v>
      </c>
      <c r="O247" s="11" t="e">
        <f>VLOOKUP($G247, 'ADP Data'!$C$4:$Q$300, 3, FALSE)</f>
        <v>#N/A</v>
      </c>
      <c r="P247" s="11" t="e">
        <f t="shared" si="6"/>
        <v>#N/A</v>
      </c>
      <c r="Q247" s="11" t="e">
        <f>VLOOKUP($G247, 'ADP Data'!$C$4:$Q$300, 4, FALSE)</f>
        <v>#N/A</v>
      </c>
      <c r="R247" s="11" t="e">
        <f>VLOOKUP($G247, 'ADP Data'!$C$4:$Q$300, 5, FALSE)</f>
        <v>#N/A</v>
      </c>
      <c r="S247" s="11" t="e">
        <f>VLOOKUP($G247, 'ADP Data'!$C$4:$Q$300, 6, FALSE)</f>
        <v>#N/A</v>
      </c>
      <c r="T247" s="11" t="e">
        <f>VLOOKUP($G247, 'ADP Data'!$C$4:$Q$300, 7, FALSE)</f>
        <v>#N/A</v>
      </c>
      <c r="U247" s="11" t="e">
        <f>VLOOKUP($G247, 'ADP Data'!$C$4:$Q$300, 8, FALSE)</f>
        <v>#N/A</v>
      </c>
      <c r="V247" s="11" t="e">
        <f t="shared" si="7"/>
        <v>#N/A</v>
      </c>
      <c r="W247" s="11">
        <f t="shared" si="8"/>
        <v>16</v>
      </c>
      <c r="X247" s="11">
        <f t="shared" si="9"/>
        <v>-16</v>
      </c>
      <c r="Y247" s="11" t="e">
        <f>VLOOKUP($G247, SeanRanks!$A$2:$K$303, 10, FALSE)-V247</f>
        <v>#N/A</v>
      </c>
      <c r="Z247" s="25" t="e">
        <f>IF(VLOOKUP($G247, SeanRanks!$A$2:$H$303, 7, FALSE)=0, "", VLOOKUP($G247, SeanRanks!$A$2:$H$303, 7, FALSE))</f>
        <v>#N/A</v>
      </c>
    </row>
    <row r="248" spans="1:26" ht="14.25" customHeight="1" x14ac:dyDescent="0.25">
      <c r="A248" s="11"/>
      <c r="B248" s="11">
        <f t="shared" si="3"/>
        <v>15</v>
      </c>
      <c r="C248" s="11" t="s">
        <v>148</v>
      </c>
      <c r="D248" s="11"/>
      <c r="E248" s="11"/>
      <c r="F248" s="11">
        <f>VLOOKUP(G248, SeanRanks!$A$2:$E$302, 4, FALSE)</f>
        <v>0</v>
      </c>
      <c r="G248" s="11" t="s">
        <v>512</v>
      </c>
      <c r="H248" s="11" t="str">
        <f>VLOOKUP($G248, 'ADP Data'!$C$4:$Q$300, 2, FALSE)</f>
        <v>MIN</v>
      </c>
      <c r="I248" s="11" t="str">
        <f>VLOOKUP(G248, 'ADP Data'!$C$4:$R$498, 12, FALSE)</f>
        <v>-</v>
      </c>
      <c r="J248" s="11">
        <f>VLOOKUP($G248, SeanRanks!$A$2:$H$303, 5, FALSE)</f>
        <v>0</v>
      </c>
      <c r="K248" s="11" t="str">
        <f>IF(VLOOKUP($G248, SeanRanks!$A$2:$H$303, 6, FALSE)=0, "", VLOOKUP($G248, SeanRanks!$A$2:$H$303, 6, FALSE))</f>
        <v/>
      </c>
      <c r="L248" s="11">
        <f t="shared" si="4"/>
        <v>21</v>
      </c>
      <c r="M248" s="11">
        <f>VLOOKUP($G248, 'ADP Data'!$C$4:$Q$300, 9, FALSE)</f>
        <v>160</v>
      </c>
      <c r="N248" s="11">
        <f t="shared" si="5"/>
        <v>-5</v>
      </c>
      <c r="O248" s="11">
        <f>VLOOKUP($G248, 'ADP Data'!$C$4:$Q$300, 3, FALSE)</f>
        <v>141</v>
      </c>
      <c r="P248" s="11">
        <f t="shared" si="6"/>
        <v>19</v>
      </c>
      <c r="Q248" s="11">
        <f>VLOOKUP($G248, 'ADP Data'!$C$4:$Q$300, 4, FALSE)</f>
        <v>119</v>
      </c>
      <c r="R248" s="11">
        <f>VLOOKUP($G248, 'ADP Data'!$C$4:$Q$300, 5, FALSE)</f>
        <v>193</v>
      </c>
      <c r="S248" s="11">
        <f>VLOOKUP($G248, 'ADP Data'!$C$4:$Q$300, 6, FALSE)</f>
        <v>220</v>
      </c>
      <c r="T248" s="11">
        <f>VLOOKUP($G248, 'ADP Data'!$C$4:$Q$300, 7, FALSE)</f>
        <v>172</v>
      </c>
      <c r="U248" s="11">
        <f>VLOOKUP($G248, 'ADP Data'!$C$4:$Q$300, 8, FALSE)</f>
        <v>151</v>
      </c>
      <c r="V248" s="11">
        <f t="shared" si="7"/>
        <v>165</v>
      </c>
      <c r="W248" s="11">
        <f t="shared" si="8"/>
        <v>21</v>
      </c>
      <c r="X248" s="11">
        <f t="shared" si="9"/>
        <v>-21</v>
      </c>
      <c r="Y248" s="11">
        <f>VLOOKUP($G248, SeanRanks!$A$2:$K$303, 10, FALSE)-V248</f>
        <v>7</v>
      </c>
      <c r="Z248" s="25" t="str">
        <f>IF(VLOOKUP($G248, SeanRanks!$A$2:$H$303, 7, FALSE)=0, "", VLOOKUP($G248, SeanRanks!$A$2:$H$303, 7, FALSE))</f>
        <v/>
      </c>
    </row>
    <row r="249" spans="1:26" ht="14.25" customHeight="1" x14ac:dyDescent="0.25">
      <c r="A249" s="11"/>
      <c r="B249" s="11">
        <f t="shared" si="3"/>
        <v>11</v>
      </c>
      <c r="C249" s="11" t="s">
        <v>148</v>
      </c>
      <c r="D249" s="11"/>
      <c r="E249" s="11"/>
      <c r="F249" s="11">
        <f>VLOOKUP(G249, SeanRanks!$A$2:$E$302, 4, FALSE)</f>
        <v>0</v>
      </c>
      <c r="G249" s="11" t="s">
        <v>471</v>
      </c>
      <c r="H249" s="11" t="str">
        <f>VLOOKUP($G249, 'ADP Data'!$C$4:$Q$300, 2, FALSE)</f>
        <v>DEN</v>
      </c>
      <c r="I249" s="11" t="str">
        <f>VLOOKUP(G249, 'ADP Data'!$C$4:$R$498, 12, FALSE)</f>
        <v>-</v>
      </c>
      <c r="J249" s="11">
        <f>VLOOKUP($G249, SeanRanks!$A$2:$H$303, 5, FALSE)</f>
        <v>0</v>
      </c>
      <c r="K249" s="11" t="str">
        <f>IF(VLOOKUP($G249, SeanRanks!$A$2:$H$303, 6, FALSE)=0, "", VLOOKUP($G249, SeanRanks!$A$2:$H$303, 6, FALSE))</f>
        <v/>
      </c>
      <c r="L249" s="11">
        <f t="shared" si="4"/>
        <v>19</v>
      </c>
      <c r="M249" s="11">
        <f>VLOOKUP($G249, 'ADP Data'!$C$4:$Q$300, 9, FALSE)</f>
        <v>147</v>
      </c>
      <c r="N249" s="11">
        <f t="shared" si="5"/>
        <v>18</v>
      </c>
      <c r="O249" s="11">
        <f>VLOOKUP($G249, 'ADP Data'!$C$4:$Q$300, 3, FALSE)</f>
        <v>106</v>
      </c>
      <c r="P249" s="11">
        <f t="shared" si="6"/>
        <v>41</v>
      </c>
      <c r="Q249" s="11">
        <f>VLOOKUP($G249, 'ADP Data'!$C$4:$Q$300, 4, FALSE)</f>
        <v>94</v>
      </c>
      <c r="R249" s="11">
        <f>VLOOKUP($G249, 'ADP Data'!$C$4:$Q$300, 5, FALSE)</f>
        <v>134</v>
      </c>
      <c r="S249" s="11">
        <f>VLOOKUP($G249, 'ADP Data'!$C$4:$Q$300, 6, FALSE)</f>
        <v>203</v>
      </c>
      <c r="T249" s="11">
        <f>VLOOKUP($G249, 'ADP Data'!$C$4:$Q$300, 7, FALSE)</f>
        <v>140</v>
      </c>
      <c r="U249" s="11">
        <f>VLOOKUP($G249, 'ADP Data'!$C$4:$Q$300, 8, FALSE)</f>
        <v>82</v>
      </c>
      <c r="V249" s="11">
        <f t="shared" si="7"/>
        <v>129</v>
      </c>
      <c r="W249" s="11">
        <f t="shared" si="8"/>
        <v>17</v>
      </c>
      <c r="X249" s="11">
        <f t="shared" si="9"/>
        <v>-17</v>
      </c>
      <c r="Y249" s="11">
        <f>VLOOKUP($G249, SeanRanks!$A$2:$K$303, 10, FALSE)-V249</f>
        <v>29</v>
      </c>
      <c r="Z249" s="25" t="str">
        <f>IF(VLOOKUP($G249, SeanRanks!$A$2:$H$303, 7, FALSE)=0, "", VLOOKUP($G249, SeanRanks!$A$2:$H$303, 7, FALSE))</f>
        <v/>
      </c>
    </row>
    <row r="250" spans="1:26" ht="14.25" customHeight="1" x14ac:dyDescent="0.25">
      <c r="A250" s="11"/>
      <c r="B250" s="11">
        <f t="shared" si="3"/>
        <v>14</v>
      </c>
      <c r="C250" s="11" t="s">
        <v>148</v>
      </c>
      <c r="D250" s="11"/>
      <c r="E250" s="11"/>
      <c r="F250" s="11">
        <f>VLOOKUP(G250, SeanRanks!$A$2:$E$302, 4, FALSE)</f>
        <v>0</v>
      </c>
      <c r="G250" s="11" t="s">
        <v>598</v>
      </c>
      <c r="H250" s="11" t="str">
        <f>VLOOKUP($G250, 'ADP Data'!$C$4:$Q$300, 2, FALSE)</f>
        <v>CIN</v>
      </c>
      <c r="I250" s="11" t="str">
        <f>VLOOKUP(G250, 'ADP Data'!$C$4:$R$498, 12, FALSE)</f>
        <v>-</v>
      </c>
      <c r="J250" s="11">
        <f>VLOOKUP($G250, SeanRanks!$A$2:$H$303, 5, FALSE)</f>
        <v>0</v>
      </c>
      <c r="K250" s="11" t="str">
        <f>IF(VLOOKUP($G250, SeanRanks!$A$2:$H$303, 6, FALSE)=0, "", VLOOKUP($G250, SeanRanks!$A$2:$H$303, 6, FALSE))</f>
        <v/>
      </c>
      <c r="L250" s="11">
        <f t="shared" si="4"/>
        <v>21</v>
      </c>
      <c r="M250" s="11">
        <f>VLOOKUP($G250, 'ADP Data'!$C$4:$Q$300, 9, FALSE)</f>
        <v>163</v>
      </c>
      <c r="N250" s="11">
        <f t="shared" si="5"/>
        <v>-13</v>
      </c>
      <c r="O250" s="11">
        <f>VLOOKUP($G250, 'ADP Data'!$C$4:$Q$300, 3, FALSE)</f>
        <v>189</v>
      </c>
      <c r="P250" s="11">
        <f t="shared" si="6"/>
        <v>-26</v>
      </c>
      <c r="Q250" s="11"/>
      <c r="R250" s="11"/>
      <c r="S250" s="11"/>
      <c r="T250" s="11"/>
      <c r="U250" s="11"/>
      <c r="V250" s="11">
        <f t="shared" si="7"/>
        <v>176</v>
      </c>
      <c r="W250" s="11">
        <f t="shared" si="8"/>
        <v>23</v>
      </c>
      <c r="X250" s="11">
        <f t="shared" si="9"/>
        <v>-23</v>
      </c>
      <c r="Y250" s="11">
        <f>VLOOKUP($G250, SeanRanks!$A$2:$K$303, 10, FALSE)-V250</f>
        <v>42</v>
      </c>
      <c r="Z250" s="25" t="str">
        <f>IF(VLOOKUP($G250, SeanRanks!$A$2:$H$303, 7, FALSE)=0, "", VLOOKUP($G250, SeanRanks!$A$2:$H$303, 7, FALSE))</f>
        <v/>
      </c>
    </row>
    <row r="251" spans="1:26" ht="14.25" customHeight="1" x14ac:dyDescent="0.25">
      <c r="A251" s="11"/>
      <c r="B251" s="11">
        <f t="shared" si="3"/>
        <v>22</v>
      </c>
      <c r="C251" s="11" t="s">
        <v>148</v>
      </c>
      <c r="D251" s="11"/>
      <c r="E251" s="11"/>
      <c r="F251" s="11">
        <f>VLOOKUP(G251, SeanRanks!$A$2:$E$302, 4, FALSE)</f>
        <v>0</v>
      </c>
      <c r="G251" s="11" t="s">
        <v>828</v>
      </c>
      <c r="H251" s="11" t="str">
        <f>VLOOKUP($G251, 'ADP Data'!$C$4:$Q$300, 2, FALSE)</f>
        <v>CIN</v>
      </c>
      <c r="I251" s="11">
        <f>VLOOKUP(G251, 'ADP Data'!$C$4:$R$498, 12, FALSE)</f>
        <v>199</v>
      </c>
      <c r="J251" s="11">
        <f>VLOOKUP($G251, SeanRanks!$A$2:$H$303, 5, FALSE)</f>
        <v>0</v>
      </c>
      <c r="K251" s="11" t="str">
        <f>IF(VLOOKUP($G251, SeanRanks!$A$2:$H$303, 6, FALSE)=0, "", VLOOKUP($G251, SeanRanks!$A$2:$H$303, 6, FALSE))</f>
        <v/>
      </c>
      <c r="L251" s="11">
        <f t="shared" si="4"/>
        <v>33</v>
      </c>
      <c r="M251" s="11">
        <f>VLOOKUP($G251, 'ADP Data'!$C$4:$Q$300, 9, FALSE)</f>
        <v>262</v>
      </c>
      <c r="N251" s="11">
        <f t="shared" si="5"/>
        <v>-1</v>
      </c>
      <c r="O251" s="11" t="str">
        <f>VLOOKUP($G251, 'ADP Data'!$C$4:$Q$300, 3, FALSE)</f>
        <v>-</v>
      </c>
      <c r="P251" s="11" t="e">
        <f t="shared" si="6"/>
        <v>#VALUE!</v>
      </c>
      <c r="Q251" s="11" t="str">
        <f>VLOOKUP($G251, 'ADP Data'!$C$4:$Q$300, 4, FALSE)</f>
        <v>-</v>
      </c>
      <c r="R251" s="11">
        <f>VLOOKUP($G251, 'ADP Data'!$C$4:$Q$300, 5, FALSE)</f>
        <v>324</v>
      </c>
      <c r="S251" s="11">
        <f>VLOOKUP($G251, 'ADP Data'!$C$4:$Q$300, 6, FALSE)</f>
        <v>245</v>
      </c>
      <c r="T251" s="11">
        <f>VLOOKUP($G251, 'ADP Data'!$C$4:$Q$300, 7, FALSE)</f>
        <v>217</v>
      </c>
      <c r="U251" s="11">
        <f>VLOOKUP($G251, 'ADP Data'!$C$4:$Q$300, 8, FALSE)</f>
        <v>267</v>
      </c>
      <c r="V251" s="11">
        <f t="shared" si="7"/>
        <v>263</v>
      </c>
      <c r="W251" s="11">
        <f t="shared" si="8"/>
        <v>33</v>
      </c>
      <c r="X251" s="11">
        <f t="shared" si="9"/>
        <v>-33</v>
      </c>
      <c r="Y251" s="11" t="e">
        <f>VLOOKUP($G251, SeanRanks!$A$2:$K$303, 10, FALSE)-V251</f>
        <v>#VALUE!</v>
      </c>
      <c r="Z251" s="25" t="str">
        <f>IF(VLOOKUP($G251, SeanRanks!$A$2:$H$303, 7, FALSE)=0, "", VLOOKUP($G251, SeanRanks!$A$2:$H$303, 7, FALSE))</f>
        <v/>
      </c>
    </row>
    <row r="252" spans="1:26" ht="14.25" customHeight="1" x14ac:dyDescent="0.25">
      <c r="A252" s="11"/>
      <c r="B252" s="11" t="e">
        <f t="shared" si="3"/>
        <v>#N/A</v>
      </c>
      <c r="C252" s="11" t="s">
        <v>148</v>
      </c>
      <c r="D252" s="11"/>
      <c r="E252" s="11"/>
      <c r="F252" s="11" t="e">
        <f>VLOOKUP(G252, SeanRanks!$A$2:$E$302, 4, FALSE)</f>
        <v>#N/A</v>
      </c>
      <c r="G252" s="11" t="s">
        <v>282</v>
      </c>
      <c r="H252" s="11" t="e">
        <f>VLOOKUP($G252, 'ADP Data'!$C$4:$Q$300, 2, FALSE)</f>
        <v>#N/A</v>
      </c>
      <c r="I252" s="11" t="e">
        <f>VLOOKUP(G252, 'ADP Data'!$C$4:$R$498, 12, FALSE)</f>
        <v>#N/A</v>
      </c>
      <c r="J252" s="11" t="e">
        <f>VLOOKUP($G252, SeanRanks!$A$2:$H$303, 5, FALSE)</f>
        <v>#N/A</v>
      </c>
      <c r="K252" s="11" t="e">
        <f>IF(VLOOKUP($G252, SeanRanks!$A$2:$H$303, 6, FALSE)=0, "", VLOOKUP($G252, SeanRanks!$A$2:$H$303, 6, FALSE))</f>
        <v>#N/A</v>
      </c>
      <c r="L252" s="11">
        <f t="shared" si="4"/>
        <v>16</v>
      </c>
      <c r="M252" s="11" t="e">
        <f>VLOOKUP($G252, 'ADP Data'!$C$4:$Q$300, 9, FALSE)</f>
        <v>#N/A</v>
      </c>
      <c r="N252" s="11" t="e">
        <f t="shared" si="5"/>
        <v>#N/A</v>
      </c>
      <c r="O252" s="11" t="e">
        <f>VLOOKUP($G252, 'ADP Data'!$C$4:$Q$300, 3, FALSE)</f>
        <v>#N/A</v>
      </c>
      <c r="P252" s="11" t="e">
        <f t="shared" si="6"/>
        <v>#N/A</v>
      </c>
      <c r="Q252" s="11" t="e">
        <f>VLOOKUP($G252, 'ADP Data'!$C$4:$Q$300, 4, FALSE)</f>
        <v>#N/A</v>
      </c>
      <c r="R252" s="11" t="e">
        <f>VLOOKUP($G252, 'ADP Data'!$C$4:$Q$300, 5, FALSE)</f>
        <v>#N/A</v>
      </c>
      <c r="S252" s="11" t="e">
        <f>VLOOKUP($G252, 'ADP Data'!$C$4:$Q$300, 6, FALSE)</f>
        <v>#N/A</v>
      </c>
      <c r="T252" s="11" t="e">
        <f>VLOOKUP($G252, 'ADP Data'!$C$4:$Q$300, 7, FALSE)</f>
        <v>#N/A</v>
      </c>
      <c r="U252" s="11" t="e">
        <f>VLOOKUP($G252, 'ADP Data'!$C$4:$Q$300, 8, FALSE)</f>
        <v>#N/A</v>
      </c>
      <c r="V252" s="11" t="e">
        <f t="shared" si="7"/>
        <v>#N/A</v>
      </c>
      <c r="W252" s="11">
        <f t="shared" si="8"/>
        <v>16</v>
      </c>
      <c r="X252" s="11">
        <f t="shared" si="9"/>
        <v>-16</v>
      </c>
      <c r="Y252" s="11" t="e">
        <f>VLOOKUP($G252, SeanRanks!$A$2:$K$303, 10, FALSE)-V252</f>
        <v>#N/A</v>
      </c>
      <c r="Z252" s="25" t="e">
        <f>IF(VLOOKUP($G252, SeanRanks!$A$2:$H$303, 7, FALSE)=0, "", VLOOKUP($G252, SeanRanks!$A$2:$H$303, 7, FALSE))</f>
        <v>#N/A</v>
      </c>
    </row>
    <row r="253" spans="1:26" ht="14.25" customHeight="1" x14ac:dyDescent="0.25">
      <c r="A253" s="11"/>
      <c r="B253" s="11">
        <f t="shared" si="3"/>
        <v>19</v>
      </c>
      <c r="C253" s="11" t="s">
        <v>148</v>
      </c>
      <c r="D253" s="11"/>
      <c r="E253" s="11"/>
      <c r="F253" s="11">
        <f>VLOOKUP(G253, SeanRanks!$A$2:$E$302, 4, FALSE)</f>
        <v>0</v>
      </c>
      <c r="G253" s="11" t="s">
        <v>960</v>
      </c>
      <c r="H253" s="11" t="str">
        <f>VLOOKUP($G253, 'ADP Data'!$C$4:$Q$300, 2, FALSE)</f>
        <v>PHI</v>
      </c>
      <c r="I253" s="11">
        <f>VLOOKUP(G253, 'ADP Data'!$C$4:$R$498, 12, FALSE)</f>
        <v>167</v>
      </c>
      <c r="J253" s="11">
        <f>VLOOKUP($G253, SeanRanks!$A$2:$H$303, 5, FALSE)</f>
        <v>0</v>
      </c>
      <c r="K253" s="11" t="str">
        <f>IF(VLOOKUP($G253, SeanRanks!$A$2:$H$303, 6, FALSE)=0, "", VLOOKUP($G253, SeanRanks!$A$2:$H$303, 6, FALSE))</f>
        <v>Handcuff only</v>
      </c>
      <c r="L253" s="11">
        <f t="shared" si="4"/>
        <v>26</v>
      </c>
      <c r="M253" s="11">
        <f>VLOOKUP($G253, 'ADP Data'!$C$4:$Q$300, 9, FALSE)</f>
        <v>204</v>
      </c>
      <c r="N253" s="11">
        <f t="shared" si="5"/>
        <v>-13</v>
      </c>
      <c r="O253" s="11">
        <f>VLOOKUP($G253, 'ADP Data'!$C$4:$Q$300, 3, FALSE)</f>
        <v>211</v>
      </c>
      <c r="P253" s="11">
        <f t="shared" si="6"/>
        <v>-7</v>
      </c>
      <c r="Q253" s="11">
        <f>VLOOKUP($G253, 'ADP Data'!$C$4:$Q$300, 4, FALSE)</f>
        <v>213</v>
      </c>
      <c r="R253" s="11">
        <f>VLOOKUP($G253, 'ADP Data'!$C$4:$Q$300, 5, FALSE)</f>
        <v>258</v>
      </c>
      <c r="S253" s="11">
        <f>VLOOKUP($G253, 'ADP Data'!$C$4:$Q$300, 6, FALSE)</f>
        <v>163</v>
      </c>
      <c r="T253" s="11">
        <f>VLOOKUP($G253, 'ADP Data'!$C$4:$Q$300, 7, FALSE)</f>
        <v>173</v>
      </c>
      <c r="U253" s="11">
        <f>VLOOKUP($G253, 'ADP Data'!$C$4:$Q$300, 8, FALSE)</f>
        <v>302</v>
      </c>
      <c r="V253" s="11">
        <f t="shared" si="7"/>
        <v>217</v>
      </c>
      <c r="W253" s="11">
        <f t="shared" si="8"/>
        <v>28</v>
      </c>
      <c r="X253" s="11">
        <f t="shared" si="9"/>
        <v>-28</v>
      </c>
      <c r="Y253" s="11">
        <f>VLOOKUP($G253, SeanRanks!$A$2:$K$303, 10, FALSE)-V253</f>
        <v>-50</v>
      </c>
      <c r="Z253" s="25" t="str">
        <f>IF(VLOOKUP($G253, SeanRanks!$A$2:$H$303, 7, FALSE)=0, "", VLOOKUP($G253, SeanRanks!$A$2:$H$303, 7, FALSE))</f>
        <v/>
      </c>
    </row>
    <row r="254" spans="1:26" ht="14.25" customHeight="1" x14ac:dyDescent="0.25">
      <c r="A254" s="11"/>
      <c r="B254" s="11">
        <f t="shared" si="3"/>
        <v>16</v>
      </c>
      <c r="C254" s="11" t="s">
        <v>148</v>
      </c>
      <c r="D254" s="11"/>
      <c r="E254" s="11"/>
      <c r="F254" s="11">
        <f>VLOOKUP(G254, SeanRanks!$A$2:$E$302, 4, FALSE)</f>
        <v>0</v>
      </c>
      <c r="G254" s="11" t="s">
        <v>961</v>
      </c>
      <c r="H254" s="11" t="str">
        <f>VLOOKUP($G254, 'ADP Data'!$C$4:$Q$300, 2, FALSE)</f>
        <v>BUF</v>
      </c>
      <c r="I254" s="11" t="str">
        <f>VLOOKUP(G254, 'ADP Data'!$C$4:$R$498, 12, FALSE)</f>
        <v>-</v>
      </c>
      <c r="J254" s="11">
        <f>VLOOKUP($G254, SeanRanks!$A$2:$H$303, 5, FALSE)</f>
        <v>0</v>
      </c>
      <c r="K254" s="11" t="str">
        <f>IF(VLOOKUP($G254, SeanRanks!$A$2:$H$303, 6, FALSE)=0, "", VLOOKUP($G254, SeanRanks!$A$2:$H$303, 6, FALSE))</f>
        <v/>
      </c>
      <c r="L254" s="11">
        <f t="shared" si="4"/>
        <v>24</v>
      </c>
      <c r="M254" s="11">
        <f>VLOOKUP($G254, 'ADP Data'!$C$4:$Q$300, 9, FALSE)</f>
        <v>185</v>
      </c>
      <c r="N254" s="11">
        <f t="shared" si="5"/>
        <v>14</v>
      </c>
      <c r="O254" s="11">
        <f>VLOOKUP($G254, 'ADP Data'!$C$4:$Q$300, 3, FALSE)</f>
        <v>158</v>
      </c>
      <c r="P254" s="11">
        <f t="shared" si="6"/>
        <v>27</v>
      </c>
      <c r="Q254" s="11"/>
      <c r="R254" s="11"/>
      <c r="S254" s="11"/>
      <c r="T254" s="11"/>
      <c r="U254" s="11"/>
      <c r="V254" s="11">
        <f t="shared" si="7"/>
        <v>171</v>
      </c>
      <c r="W254" s="11">
        <f t="shared" si="8"/>
        <v>22</v>
      </c>
      <c r="X254" s="11">
        <f t="shared" si="9"/>
        <v>-22</v>
      </c>
      <c r="Y254" s="11">
        <f>VLOOKUP($G254, SeanRanks!$A$2:$K$303, 10, FALSE)-V254</f>
        <v>68</v>
      </c>
      <c r="Z254" s="25" t="str">
        <f>IF(VLOOKUP($G254, SeanRanks!$A$2:$H$303, 7, FALSE)=0, "", VLOOKUP($G254, SeanRanks!$A$2:$H$303, 7, FALSE))</f>
        <v/>
      </c>
    </row>
    <row r="255" spans="1:26" ht="14.25" customHeight="1" x14ac:dyDescent="0.25">
      <c r="A255" s="11"/>
      <c r="B255" s="11">
        <f t="shared" si="3"/>
        <v>14</v>
      </c>
      <c r="C255" s="11" t="s">
        <v>148</v>
      </c>
      <c r="D255" s="11"/>
      <c r="E255" s="11"/>
      <c r="F255" s="11">
        <f>VLOOKUP(G255, SeanRanks!$A$2:$E$302, 4, FALSE)</f>
        <v>0</v>
      </c>
      <c r="G255" s="11" t="s">
        <v>962</v>
      </c>
      <c r="H255" s="11" t="str">
        <f>VLOOKUP($G255, 'ADP Data'!$C$4:$Q$300, 2, FALSE)</f>
        <v>ATL</v>
      </c>
      <c r="I255" s="11" t="str">
        <f>VLOOKUP(G255, 'ADP Data'!$C$4:$R$498, 12, FALSE)</f>
        <v>-</v>
      </c>
      <c r="J255" s="11">
        <f>VLOOKUP($G255, SeanRanks!$A$2:$H$303, 5, FALSE)</f>
        <v>0</v>
      </c>
      <c r="K255" s="11" t="str">
        <f>IF(VLOOKUP($G255, SeanRanks!$A$2:$H$303, 6, FALSE)=0, "", VLOOKUP($G255, SeanRanks!$A$2:$H$303, 6, FALSE))</f>
        <v/>
      </c>
      <c r="L255" s="11">
        <f t="shared" si="4"/>
        <v>20</v>
      </c>
      <c r="M255" s="11">
        <f>VLOOKUP($G255, 'ADP Data'!$C$4:$Q$300, 9, FALSE)</f>
        <v>159</v>
      </c>
      <c r="N255" s="11">
        <f t="shared" si="5"/>
        <v>-17</v>
      </c>
      <c r="O255" s="11">
        <f>VLOOKUP($G255, 'ADP Data'!$C$4:$Q$300, 3, FALSE)</f>
        <v>193</v>
      </c>
      <c r="P255" s="11">
        <f t="shared" si="6"/>
        <v>-34</v>
      </c>
      <c r="Q255" s="11"/>
      <c r="R255" s="11"/>
      <c r="S255" s="11"/>
      <c r="T255" s="11"/>
      <c r="U255" s="11"/>
      <c r="V255" s="11">
        <f t="shared" si="7"/>
        <v>176</v>
      </c>
      <c r="W255" s="11">
        <f t="shared" si="8"/>
        <v>23</v>
      </c>
      <c r="X255" s="11">
        <f t="shared" si="9"/>
        <v>-23</v>
      </c>
      <c r="Y255" s="11">
        <f>VLOOKUP($G255, SeanRanks!$A$2:$K$303, 10, FALSE)-V255</f>
        <v>70</v>
      </c>
      <c r="Z255" s="25" t="str">
        <f>IF(VLOOKUP($G255, SeanRanks!$A$2:$H$303, 7, FALSE)=0, "", VLOOKUP($G255, SeanRanks!$A$2:$H$303, 7, FALSE))</f>
        <v/>
      </c>
    </row>
    <row r="256" spans="1:26" ht="14.25" customHeight="1" x14ac:dyDescent="0.25">
      <c r="A256" s="11"/>
      <c r="B256" s="11" t="e">
        <f t="shared" si="3"/>
        <v>#N/A</v>
      </c>
      <c r="C256" s="11" t="s">
        <v>148</v>
      </c>
      <c r="D256" s="11"/>
      <c r="E256" s="11"/>
      <c r="F256" s="11" t="e">
        <f>VLOOKUP(G256, SeanRanks!$A$2:$E$302, 4, FALSE)</f>
        <v>#N/A</v>
      </c>
      <c r="G256" s="11" t="s">
        <v>963</v>
      </c>
      <c r="H256" s="11" t="e">
        <f>VLOOKUP($G256, 'ADP Data'!$C$4:$Q$300, 2, FALSE)</f>
        <v>#N/A</v>
      </c>
      <c r="I256" s="11" t="e">
        <f>VLOOKUP(G256, 'ADP Data'!$C$4:$R$498, 12, FALSE)</f>
        <v>#N/A</v>
      </c>
      <c r="J256" s="11" t="e">
        <f>VLOOKUP($G256, SeanRanks!$A$2:$H$303, 5, FALSE)</f>
        <v>#N/A</v>
      </c>
      <c r="K256" s="11" t="e">
        <f>IF(VLOOKUP($G256, SeanRanks!$A$2:$H$303, 6, FALSE)=0, "", VLOOKUP($G256, SeanRanks!$A$2:$H$303, 6, FALSE))</f>
        <v>#N/A</v>
      </c>
      <c r="L256" s="11">
        <f t="shared" si="4"/>
        <v>16</v>
      </c>
      <c r="M256" s="11" t="e">
        <f>VLOOKUP($G256, 'ADP Data'!$C$4:$Q$300, 9, FALSE)</f>
        <v>#N/A</v>
      </c>
      <c r="N256" s="11" t="e">
        <f t="shared" si="5"/>
        <v>#N/A</v>
      </c>
      <c r="O256" s="11" t="e">
        <f>VLOOKUP($G256, 'ADP Data'!$C$4:$Q$300, 3, FALSE)</f>
        <v>#N/A</v>
      </c>
      <c r="P256" s="11" t="e">
        <f t="shared" si="6"/>
        <v>#N/A</v>
      </c>
      <c r="Q256" s="11" t="e">
        <f>VLOOKUP($G256, 'ADP Data'!$C$4:$Q$300, 4, FALSE)</f>
        <v>#N/A</v>
      </c>
      <c r="R256" s="11" t="e">
        <f>VLOOKUP($G256, 'ADP Data'!$C$4:$Q$300, 5, FALSE)</f>
        <v>#N/A</v>
      </c>
      <c r="S256" s="11" t="e">
        <f>VLOOKUP($G256, 'ADP Data'!$C$4:$Q$300, 6, FALSE)</f>
        <v>#N/A</v>
      </c>
      <c r="T256" s="11" t="e">
        <f>VLOOKUP($G256, 'ADP Data'!$C$4:$Q$300, 7, FALSE)</f>
        <v>#N/A</v>
      </c>
      <c r="U256" s="11" t="e">
        <f>VLOOKUP($G256, 'ADP Data'!$C$4:$Q$300, 8, FALSE)</f>
        <v>#N/A</v>
      </c>
      <c r="V256" s="11" t="e">
        <f t="shared" si="7"/>
        <v>#N/A</v>
      </c>
      <c r="W256" s="11">
        <f t="shared" si="8"/>
        <v>16</v>
      </c>
      <c r="X256" s="11">
        <f t="shared" si="9"/>
        <v>-16</v>
      </c>
      <c r="Y256" s="11" t="e">
        <f>VLOOKUP($G256, SeanRanks!$A$2:$K$303, 10, FALSE)-V256</f>
        <v>#N/A</v>
      </c>
      <c r="Z256" s="25" t="e">
        <f>IF(VLOOKUP($G256, SeanRanks!$A$2:$H$303, 7, FALSE)=0, "", VLOOKUP($G256, SeanRanks!$A$2:$H$303, 7, FALSE))</f>
        <v>#N/A</v>
      </c>
    </row>
    <row r="257" spans="1:26" ht="14.25" customHeight="1" x14ac:dyDescent="0.25">
      <c r="A257" s="11"/>
      <c r="B257" s="11" t="e">
        <f t="shared" si="3"/>
        <v>#N/A</v>
      </c>
      <c r="C257" s="11" t="s">
        <v>148</v>
      </c>
      <c r="D257" s="11"/>
      <c r="E257" s="11"/>
      <c r="F257" s="11" t="e">
        <f>VLOOKUP(G257, SeanRanks!$A$2:$E$302, 4, FALSE)</f>
        <v>#N/A</v>
      </c>
      <c r="G257" s="11" t="s">
        <v>516</v>
      </c>
      <c r="H257" s="11" t="e">
        <f>VLOOKUP($G257, 'ADP Data'!$C$4:$Q$300, 2, FALSE)</f>
        <v>#N/A</v>
      </c>
      <c r="I257" s="11" t="e">
        <f>VLOOKUP(G257, 'ADP Data'!$C$4:$R$498, 12, FALSE)</f>
        <v>#N/A</v>
      </c>
      <c r="J257" s="11" t="e">
        <f>VLOOKUP($G257, SeanRanks!$A$2:$H$303, 5, FALSE)</f>
        <v>#N/A</v>
      </c>
      <c r="K257" s="11" t="e">
        <f>IF(VLOOKUP($G257, SeanRanks!$A$2:$H$303, 6, FALSE)=0, "", VLOOKUP($G257, SeanRanks!$A$2:$H$303, 6, FALSE))</f>
        <v>#N/A</v>
      </c>
      <c r="L257" s="11">
        <f t="shared" si="4"/>
        <v>16</v>
      </c>
      <c r="M257" s="11" t="e">
        <f>VLOOKUP($G257, 'ADP Data'!$C$4:$Q$300, 9, FALSE)</f>
        <v>#N/A</v>
      </c>
      <c r="N257" s="11" t="e">
        <f t="shared" si="5"/>
        <v>#N/A</v>
      </c>
      <c r="O257" s="11" t="e">
        <f>VLOOKUP($G257, 'ADP Data'!$C$4:$Q$300, 3, FALSE)</f>
        <v>#N/A</v>
      </c>
      <c r="P257" s="11" t="e">
        <f t="shared" si="6"/>
        <v>#N/A</v>
      </c>
      <c r="Q257" s="11" t="e">
        <f>VLOOKUP($G257, 'ADP Data'!$C$4:$Q$300, 4, FALSE)</f>
        <v>#N/A</v>
      </c>
      <c r="R257" s="11" t="e">
        <f>VLOOKUP($G257, 'ADP Data'!$C$4:$Q$300, 5, FALSE)</f>
        <v>#N/A</v>
      </c>
      <c r="S257" s="11" t="e">
        <f>VLOOKUP($G257, 'ADP Data'!$C$4:$Q$300, 6, FALSE)</f>
        <v>#N/A</v>
      </c>
      <c r="T257" s="11" t="e">
        <f>VLOOKUP($G257, 'ADP Data'!$C$4:$Q$300, 7, FALSE)</f>
        <v>#N/A</v>
      </c>
      <c r="U257" s="11" t="e">
        <f>VLOOKUP($G257, 'ADP Data'!$C$4:$Q$300, 8, FALSE)</f>
        <v>#N/A</v>
      </c>
      <c r="V257" s="11" t="e">
        <f t="shared" si="7"/>
        <v>#N/A</v>
      </c>
      <c r="W257" s="11">
        <f t="shared" si="8"/>
        <v>16</v>
      </c>
      <c r="X257" s="11">
        <f t="shared" si="9"/>
        <v>-16</v>
      </c>
      <c r="Y257" s="11" t="e">
        <f>VLOOKUP($G257, SeanRanks!$A$2:$K$303, 10, FALSE)-V257</f>
        <v>#N/A</v>
      </c>
      <c r="Z257" s="25" t="e">
        <f>IF(VLOOKUP($G257, SeanRanks!$A$2:$H$303, 7, FALSE)=0, "", VLOOKUP($G257, SeanRanks!$A$2:$H$303, 7, FALSE))</f>
        <v>#N/A</v>
      </c>
    </row>
    <row r="258" spans="1:26" ht="14.25" customHeight="1" x14ac:dyDescent="0.25">
      <c r="A258" s="11"/>
      <c r="B258" s="11" t="e">
        <f t="shared" si="3"/>
        <v>#N/A</v>
      </c>
      <c r="C258" s="11" t="s">
        <v>148</v>
      </c>
      <c r="D258" s="11"/>
      <c r="E258" s="11"/>
      <c r="F258" s="11" t="e">
        <f>VLOOKUP(G258, SeanRanks!$A$2:$E$302, 4, FALSE)</f>
        <v>#N/A</v>
      </c>
      <c r="G258" s="11" t="s">
        <v>964</v>
      </c>
      <c r="H258" s="11" t="e">
        <f>VLOOKUP($G258, 'ADP Data'!$C$4:$Q$300, 2, FALSE)</f>
        <v>#N/A</v>
      </c>
      <c r="I258" s="11" t="e">
        <f>VLOOKUP(G258, 'ADP Data'!$C$4:$R$498, 12, FALSE)</f>
        <v>#N/A</v>
      </c>
      <c r="J258" s="11" t="e">
        <f>VLOOKUP($G258, SeanRanks!$A$2:$H$303, 5, FALSE)</f>
        <v>#N/A</v>
      </c>
      <c r="K258" s="11" t="e">
        <f>IF(VLOOKUP($G258, SeanRanks!$A$2:$H$303, 6, FALSE)=0, "", VLOOKUP($G258, SeanRanks!$A$2:$H$303, 6, FALSE))</f>
        <v>#N/A</v>
      </c>
      <c r="L258" s="11">
        <f t="shared" si="4"/>
        <v>16</v>
      </c>
      <c r="M258" s="11" t="e">
        <f>VLOOKUP($G258, 'ADP Data'!$C$4:$Q$300, 9, FALSE)</f>
        <v>#N/A</v>
      </c>
      <c r="N258" s="11" t="e">
        <f t="shared" si="5"/>
        <v>#N/A</v>
      </c>
      <c r="O258" s="11" t="e">
        <f>VLOOKUP($G258, 'ADP Data'!$C$4:$Q$300, 3, FALSE)</f>
        <v>#N/A</v>
      </c>
      <c r="P258" s="11" t="e">
        <f t="shared" si="6"/>
        <v>#N/A</v>
      </c>
      <c r="Q258" s="11" t="e">
        <f>VLOOKUP($G258, 'ADP Data'!$C$4:$Q$300, 4, FALSE)</f>
        <v>#N/A</v>
      </c>
      <c r="R258" s="11" t="e">
        <f>VLOOKUP($G258, 'ADP Data'!$C$4:$Q$300, 5, FALSE)</f>
        <v>#N/A</v>
      </c>
      <c r="S258" s="11" t="e">
        <f>VLOOKUP($G258, 'ADP Data'!$C$4:$Q$300, 6, FALSE)</f>
        <v>#N/A</v>
      </c>
      <c r="T258" s="11" t="e">
        <f>VLOOKUP($G258, 'ADP Data'!$C$4:$Q$300, 7, FALSE)</f>
        <v>#N/A</v>
      </c>
      <c r="U258" s="11" t="e">
        <f>VLOOKUP($G258, 'ADP Data'!$C$4:$Q$300, 8, FALSE)</f>
        <v>#N/A</v>
      </c>
      <c r="V258" s="11" t="e">
        <f t="shared" si="7"/>
        <v>#N/A</v>
      </c>
      <c r="W258" s="11">
        <f t="shared" si="8"/>
        <v>16</v>
      </c>
      <c r="X258" s="11">
        <f t="shared" si="9"/>
        <v>-16</v>
      </c>
      <c r="Y258" s="11" t="e">
        <f>VLOOKUP($G258, SeanRanks!$A$2:$K$303, 10, FALSE)-V258</f>
        <v>#N/A</v>
      </c>
      <c r="Z258" s="25" t="e">
        <f>IF(VLOOKUP($G258, SeanRanks!$A$2:$H$303, 7, FALSE)=0, "", VLOOKUP($G258, SeanRanks!$A$2:$H$303, 7, FALSE))</f>
        <v>#N/A</v>
      </c>
    </row>
    <row r="259" spans="1:26" ht="14.25" customHeight="1" x14ac:dyDescent="0.25">
      <c r="A259" s="11"/>
      <c r="B259" s="11">
        <f t="shared" si="3"/>
        <v>10</v>
      </c>
      <c r="C259" s="11" t="s">
        <v>148</v>
      </c>
      <c r="D259" s="11"/>
      <c r="E259" s="11"/>
      <c r="F259" s="11">
        <f>VLOOKUP(G259, SeanRanks!$A$2:$E$302, 4, FALSE)</f>
        <v>0</v>
      </c>
      <c r="G259" s="11" t="s">
        <v>237</v>
      </c>
      <c r="H259" s="11" t="str">
        <f>VLOOKUP($G259, 'ADP Data'!$C$4:$Q$300, 2, FALSE)</f>
        <v>GB</v>
      </c>
      <c r="I259" s="11">
        <f>VLOOKUP(G259, 'ADP Data'!$C$4:$R$498, 12, FALSE)</f>
        <v>112</v>
      </c>
      <c r="J259" s="11" t="str">
        <f>VLOOKUP($G259, SeanRanks!$A$2:$H$303, 5, FALSE)</f>
        <v>Yes</v>
      </c>
      <c r="K259" s="11" t="str">
        <f>IF(VLOOKUP($G259, SeanRanks!$A$2:$H$303, 6, FALSE)=0, "", VLOOKUP($G259, SeanRanks!$A$2:$H$303, 6, FALSE))</f>
        <v>TE2 - 1 - Big Upside</v>
      </c>
      <c r="L259" s="11">
        <f t="shared" si="4"/>
        <v>14</v>
      </c>
      <c r="M259" s="11">
        <f>VLOOKUP($G259, 'ADP Data'!$C$4:$Q$300, 9, FALSE)</f>
        <v>105</v>
      </c>
      <c r="N259" s="11">
        <f t="shared" si="5"/>
        <v>-4</v>
      </c>
      <c r="O259" s="11">
        <f>VLOOKUP($G259, 'ADP Data'!$C$4:$Q$300, 3, FALSE)</f>
        <v>114</v>
      </c>
      <c r="P259" s="11">
        <f t="shared" si="6"/>
        <v>-9</v>
      </c>
      <c r="Q259" s="11">
        <f>VLOOKUP($G259, 'ADP Data'!$C$4:$Q$300, 4, FALSE)</f>
        <v>106</v>
      </c>
      <c r="R259" s="11">
        <f>VLOOKUP($G259, 'ADP Data'!$C$4:$Q$300, 5, FALSE)</f>
        <v>123</v>
      </c>
      <c r="S259" s="11">
        <f>VLOOKUP($G259, 'ADP Data'!$C$4:$Q$300, 6, FALSE)</f>
        <v>91</v>
      </c>
      <c r="T259" s="11">
        <f>VLOOKUP($G259, 'ADP Data'!$C$4:$Q$300, 7, FALSE)</f>
        <v>111</v>
      </c>
      <c r="U259" s="11">
        <f>VLOOKUP($G259, 'ADP Data'!$C$4:$Q$300, 8, FALSE)</f>
        <v>116</v>
      </c>
      <c r="V259" s="11">
        <f t="shared" si="7"/>
        <v>109</v>
      </c>
      <c r="W259" s="11">
        <f t="shared" si="8"/>
        <v>14</v>
      </c>
      <c r="X259" s="11">
        <f t="shared" si="9"/>
        <v>-14</v>
      </c>
      <c r="Y259" s="11">
        <f>VLOOKUP($G259, SeanRanks!$A$2:$K$303, 10, FALSE)-V259</f>
        <v>-24</v>
      </c>
      <c r="Z259" s="25">
        <f>IF(VLOOKUP($G259, SeanRanks!$A$2:$H$303, 7, FALSE)=0, "", VLOOKUP($G259, SeanRanks!$A$2:$H$303, 7, FALSE))</f>
        <v>12</v>
      </c>
    </row>
    <row r="260" spans="1:26" ht="14.25" customHeight="1" x14ac:dyDescent="0.25">
      <c r="A260" s="11"/>
      <c r="B260" s="11">
        <f t="shared" si="3"/>
        <v>18</v>
      </c>
      <c r="C260" s="11" t="s">
        <v>148</v>
      </c>
      <c r="D260" s="11"/>
      <c r="E260" s="11"/>
      <c r="F260" s="11">
        <f>VLOOKUP(G260, SeanRanks!$A$2:$E$302, 4, FALSE)</f>
        <v>0</v>
      </c>
      <c r="G260" s="11" t="s">
        <v>497</v>
      </c>
      <c r="H260" s="11" t="str">
        <f>VLOOKUP($G260, 'ADP Data'!$C$4:$Q$300, 2, FALSE)</f>
        <v>NE</v>
      </c>
      <c r="I260" s="11" t="str">
        <f>VLOOKUP(G260, 'ADP Data'!$C$4:$R$498, 12, FALSE)</f>
        <v>-</v>
      </c>
      <c r="J260" s="11">
        <f>VLOOKUP($G260, SeanRanks!$A$2:$H$303, 5, FALSE)</f>
        <v>0</v>
      </c>
      <c r="K260" s="11" t="str">
        <f>IF(VLOOKUP($G260, SeanRanks!$A$2:$H$303, 6, FALSE)=0, "", VLOOKUP($G260, SeanRanks!$A$2:$H$303, 6, FALSE))</f>
        <v/>
      </c>
      <c r="L260" s="11">
        <f t="shared" si="4"/>
        <v>31</v>
      </c>
      <c r="M260" s="11">
        <f>VLOOKUP($G260, 'ADP Data'!$C$4:$Q$300, 9, FALSE)</f>
        <v>240</v>
      </c>
      <c r="N260" s="11">
        <f t="shared" si="5"/>
        <v>26</v>
      </c>
      <c r="O260" s="11" t="str">
        <f>VLOOKUP($G260, 'ADP Data'!$C$4:$Q$300, 3, FALSE)</f>
        <v>-</v>
      </c>
      <c r="P260" s="11" t="e">
        <f t="shared" si="6"/>
        <v>#VALUE!</v>
      </c>
      <c r="Q260" s="11">
        <f>VLOOKUP($G260, 'ADP Data'!$C$4:$Q$300, 4, FALSE)</f>
        <v>152</v>
      </c>
      <c r="R260" s="11" t="str">
        <f>VLOOKUP($G260, 'ADP Data'!$C$4:$Q$300, 5, FALSE)</f>
        <v>-</v>
      </c>
      <c r="S260" s="11">
        <f>VLOOKUP($G260, 'ADP Data'!$C$4:$Q$300, 6, FALSE)</f>
        <v>265</v>
      </c>
      <c r="T260" s="11">
        <f>VLOOKUP($G260, 'ADP Data'!$C$4:$Q$300, 7, FALSE)</f>
        <v>226</v>
      </c>
      <c r="U260" s="11">
        <f>VLOOKUP($G260, 'ADP Data'!$C$4:$Q$300, 8, FALSE)</f>
        <v>190</v>
      </c>
      <c r="V260" s="11">
        <f t="shared" si="7"/>
        <v>214</v>
      </c>
      <c r="W260" s="11">
        <f t="shared" si="8"/>
        <v>27</v>
      </c>
      <c r="X260" s="11">
        <f t="shared" si="9"/>
        <v>-27</v>
      </c>
      <c r="Y260" s="11">
        <f>VLOOKUP($G260, SeanRanks!$A$2:$K$303, 10, FALSE)-V260</f>
        <v>30</v>
      </c>
      <c r="Z260" s="25" t="str">
        <f>IF(VLOOKUP($G260, SeanRanks!$A$2:$H$303, 7, FALSE)=0, "", VLOOKUP($G260, SeanRanks!$A$2:$H$303, 7, FALSE))</f>
        <v/>
      </c>
    </row>
    <row r="261" spans="1:26" ht="14.25" customHeight="1" x14ac:dyDescent="0.25">
      <c r="A261" s="11"/>
      <c r="B261" s="11">
        <f t="shared" si="3"/>
        <v>21</v>
      </c>
      <c r="C261" s="11" t="s">
        <v>148</v>
      </c>
      <c r="D261" s="11"/>
      <c r="E261" s="11"/>
      <c r="F261" s="11">
        <f>VLOOKUP(G261, SeanRanks!$A$2:$E$302, 4, FALSE)</f>
        <v>0</v>
      </c>
      <c r="G261" s="11" t="s">
        <v>623</v>
      </c>
      <c r="H261" s="11" t="str">
        <f>VLOOKUP($G261, 'ADP Data'!$C$4:$Q$300, 2, FALSE)</f>
        <v>DEN</v>
      </c>
      <c r="I261" s="11">
        <f>VLOOKUP(G261, 'ADP Data'!$C$4:$R$498, 12, FALSE)</f>
        <v>187</v>
      </c>
      <c r="J261" s="11">
        <f>VLOOKUP($G261, SeanRanks!$A$2:$H$303, 5, FALSE)</f>
        <v>0</v>
      </c>
      <c r="K261" s="11" t="str">
        <f>IF(VLOOKUP($G261, SeanRanks!$A$2:$H$303, 6, FALSE)=0, "", VLOOKUP($G261, SeanRanks!$A$2:$H$303, 6, FALSE))</f>
        <v/>
      </c>
      <c r="L261" s="11">
        <f t="shared" si="4"/>
        <v>33</v>
      </c>
      <c r="M261" s="11">
        <f>VLOOKUP($G261, 'ADP Data'!$C$4:$Q$300, 9, FALSE)</f>
        <v>259</v>
      </c>
      <c r="N261" s="11">
        <f t="shared" si="5"/>
        <v>14</v>
      </c>
      <c r="O261" s="11" t="str">
        <f>VLOOKUP($G261, 'ADP Data'!$C$4:$Q$300, 3, FALSE)</f>
        <v>-</v>
      </c>
      <c r="P261" s="11" t="e">
        <f t="shared" si="6"/>
        <v>#VALUE!</v>
      </c>
      <c r="Q261" s="11" t="str">
        <f>VLOOKUP($G261, 'ADP Data'!$C$4:$Q$300, 4, FALSE)</f>
        <v>-</v>
      </c>
      <c r="R261" s="11" t="str">
        <f>VLOOKUP($G261, 'ADP Data'!$C$4:$Q$300, 5, FALSE)</f>
        <v>-</v>
      </c>
      <c r="S261" s="11">
        <f>VLOOKUP($G261, 'ADP Data'!$C$4:$Q$300, 6, FALSE)</f>
        <v>206</v>
      </c>
      <c r="T261" s="11">
        <f>VLOOKUP($G261, 'ADP Data'!$C$4:$Q$300, 7, FALSE)</f>
        <v>227</v>
      </c>
      <c r="U261" s="11">
        <f>VLOOKUP($G261, 'ADP Data'!$C$4:$Q$300, 8, FALSE)</f>
        <v>289</v>
      </c>
      <c r="V261" s="11">
        <f t="shared" si="7"/>
        <v>245</v>
      </c>
      <c r="W261" s="11">
        <f t="shared" si="8"/>
        <v>31</v>
      </c>
      <c r="X261" s="11">
        <f t="shared" si="9"/>
        <v>-31</v>
      </c>
      <c r="Y261" s="11">
        <f>VLOOKUP($G261, SeanRanks!$A$2:$K$303, 10, FALSE)-V261</f>
        <v>-7</v>
      </c>
      <c r="Z261" s="25" t="str">
        <f>IF(VLOOKUP($G261, SeanRanks!$A$2:$H$303, 7, FALSE)=0, "", VLOOKUP($G261, SeanRanks!$A$2:$H$303, 7, FALSE))</f>
        <v/>
      </c>
    </row>
    <row r="262" spans="1:26" ht="14.25" customHeight="1" x14ac:dyDescent="0.25">
      <c r="A262" s="11"/>
      <c r="B262" s="11">
        <f t="shared" ref="B262" si="10">IFERROR(INT(AVERAGE(Q262:U262)/12)+1, INT(AVERAGE(M262)/12)+1)</f>
        <v>23</v>
      </c>
      <c r="C262" s="11" t="s">
        <v>148</v>
      </c>
      <c r="D262" s="11"/>
      <c r="E262" s="11"/>
      <c r="F262" s="11">
        <f>VLOOKUP(G262, SeanRanks!$A$2:$E$302, 4, FALSE)</f>
        <v>0</v>
      </c>
      <c r="G262" s="11" t="s">
        <v>827</v>
      </c>
      <c r="H262" s="11" t="str">
        <f>VLOOKUP($G262, 'ADP Data'!$C$4:$Q$300, 2, FALSE)</f>
        <v>NYG</v>
      </c>
      <c r="I262" s="11">
        <f>VLOOKUP(G262, 'ADP Data'!$C$4:$R$498, 12, FALSE)</f>
        <v>185</v>
      </c>
      <c r="J262" s="11">
        <f>VLOOKUP($G262, SeanRanks!$A$2:$H$303, 5, FALSE)</f>
        <v>0</v>
      </c>
      <c r="K262" s="11" t="str">
        <f>IF(VLOOKUP($G262, SeanRanks!$A$2:$H$303, 6, FALSE)=0, "", VLOOKUP($G262, SeanRanks!$A$2:$H$303, 6, FALSE))</f>
        <v/>
      </c>
      <c r="L262" s="11">
        <f t="shared" ref="L262:L306" si="11">IFERROR(INT(M262/8)+1, 16)</f>
        <v>34</v>
      </c>
      <c r="M262" s="11">
        <f>VLOOKUP($G262, 'ADP Data'!$C$4:$Q$300, 9, FALSE)</f>
        <v>268</v>
      </c>
      <c r="N262" s="11">
        <f t="shared" ref="N262:N306" si="12">M262-V262</f>
        <v>-3</v>
      </c>
      <c r="O262" s="11" t="str">
        <f>VLOOKUP($G262, 'ADP Data'!$C$4:$Q$300, 3, FALSE)</f>
        <v>-</v>
      </c>
      <c r="P262" s="11" t="e">
        <f t="shared" ref="P262:P306" si="13">M262-O262</f>
        <v>#VALUE!</v>
      </c>
      <c r="Q262" s="11" t="str">
        <f>VLOOKUP($G262, 'ADP Data'!$C$4:$Q$300, 4, FALSE)</f>
        <v>-</v>
      </c>
      <c r="R262" s="11">
        <f>VLOOKUP($G262, 'ADP Data'!$C$4:$Q$300, 5, FALSE)</f>
        <v>309</v>
      </c>
      <c r="S262" s="11">
        <f>VLOOKUP($G262, 'ADP Data'!$C$4:$Q$300, 6, FALSE)</f>
        <v>237</v>
      </c>
      <c r="T262" s="11">
        <f>VLOOKUP($G262, 'ADP Data'!$C$4:$Q$300, 7, FALSE)</f>
        <v>231</v>
      </c>
      <c r="U262" s="11">
        <f>VLOOKUP($G262, 'ADP Data'!$C$4:$Q$300, 8, FALSE)</f>
        <v>311</v>
      </c>
      <c r="V262" s="11">
        <f t="shared" ref="V262:V306" si="14">INT(AVERAGE(M262, O262,Q262:U262))</f>
        <v>271</v>
      </c>
      <c r="W262" s="11">
        <f t="shared" ref="W262:W306" si="15">IFERROR(INT(V262/8)+1, 16)</f>
        <v>34</v>
      </c>
      <c r="X262" s="11">
        <f t="shared" ref="X262:X306" si="16">D262-W262</f>
        <v>-34</v>
      </c>
      <c r="Y262" s="11" t="e">
        <f>VLOOKUP($G262, SeanRanks!$A$2:$K$303, 10, FALSE)-V262</f>
        <v>#VALUE!</v>
      </c>
      <c r="Z262" s="25" t="str">
        <f>IF(VLOOKUP($G262, SeanRanks!$A$2:$H$303, 7, FALSE)=0, "", VLOOKUP($G262, SeanRanks!$A$2:$H$303, 7, FALSE))</f>
        <v/>
      </c>
    </row>
    <row r="263" spans="1:26" ht="14.25" customHeight="1" x14ac:dyDescent="0.25">
      <c r="A263" s="11"/>
      <c r="B263" s="11"/>
      <c r="C263" s="11" t="s">
        <v>148</v>
      </c>
      <c r="D263" s="11"/>
      <c r="E263" s="11"/>
      <c r="F263" s="11" t="e">
        <f>VLOOKUP(G263, SeanRanks!$A$2:$E$302, 4, FALSE)</f>
        <v>#N/A</v>
      </c>
      <c r="G263" s="11" t="s">
        <v>965</v>
      </c>
      <c r="H263" s="11" t="e">
        <f>VLOOKUP($G263, 'ADP Data'!$C$4:$Q$300, 2, FALSE)</f>
        <v>#N/A</v>
      </c>
      <c r="I263" s="11" t="e">
        <f>VLOOKUP(G263, 'ADP Data'!$C$4:$R$498, 12, FALSE)</f>
        <v>#N/A</v>
      </c>
      <c r="J263" s="11" t="e">
        <f>VLOOKUP($G263, SeanRanks!$A$2:$H$303, 5, FALSE)</f>
        <v>#N/A</v>
      </c>
      <c r="K263" s="11" t="e">
        <f>IF(VLOOKUP($G263, SeanRanks!$A$2:$H$303, 6, FALSE)=0, "", VLOOKUP($G263, SeanRanks!$A$2:$H$303, 6, FALSE))</f>
        <v>#N/A</v>
      </c>
      <c r="L263" s="11">
        <f t="shared" si="11"/>
        <v>16</v>
      </c>
      <c r="M263" s="11" t="e">
        <f>VLOOKUP($G263, 'ADP Data'!$C$4:$Q$300, 9, FALSE)</f>
        <v>#N/A</v>
      </c>
      <c r="N263" s="11" t="e">
        <f t="shared" si="12"/>
        <v>#N/A</v>
      </c>
      <c r="O263" s="11" t="e">
        <f>VLOOKUP($G263, 'ADP Data'!$C$4:$Q$300, 3, FALSE)</f>
        <v>#N/A</v>
      </c>
      <c r="P263" s="11" t="e">
        <f t="shared" si="13"/>
        <v>#N/A</v>
      </c>
      <c r="Q263" s="11" t="e">
        <f>VLOOKUP($G263, 'ADP Data'!$C$4:$Q$300, 4, FALSE)</f>
        <v>#N/A</v>
      </c>
      <c r="R263" s="11" t="e">
        <f>VLOOKUP($G263, 'ADP Data'!$C$4:$Q$300, 5, FALSE)</f>
        <v>#N/A</v>
      </c>
      <c r="S263" s="11" t="e">
        <f>VLOOKUP($G263, 'ADP Data'!$C$4:$Q$300, 6, FALSE)</f>
        <v>#N/A</v>
      </c>
      <c r="T263" s="11" t="e">
        <f>VLOOKUP($G263, 'ADP Data'!$C$4:$Q$300, 7, FALSE)</f>
        <v>#N/A</v>
      </c>
      <c r="U263" s="11" t="e">
        <f>VLOOKUP($G263, 'ADP Data'!$C$4:$Q$300, 8, FALSE)</f>
        <v>#N/A</v>
      </c>
      <c r="V263" s="11" t="e">
        <f t="shared" si="14"/>
        <v>#N/A</v>
      </c>
      <c r="W263" s="11">
        <f t="shared" si="15"/>
        <v>16</v>
      </c>
      <c r="X263" s="11">
        <f t="shared" si="16"/>
        <v>-16</v>
      </c>
      <c r="Y263" s="11" t="e">
        <f>VLOOKUP($G263, SeanRanks!$A$2:$K$303, 10, FALSE)-V263</f>
        <v>#N/A</v>
      </c>
      <c r="Z263" s="25" t="e">
        <f>IF(VLOOKUP($G263, SeanRanks!$A$2:$H$303, 7, FALSE)=0, "", VLOOKUP($G263, SeanRanks!$A$2:$H$303, 7, FALSE))</f>
        <v>#N/A</v>
      </c>
    </row>
    <row r="264" spans="1:26" ht="14.25" customHeight="1" x14ac:dyDescent="0.25">
      <c r="A264" s="11"/>
      <c r="B264" s="11" t="e">
        <f t="shared" ref="B264:B295" si="17">IFERROR(INT(AVERAGE(Q264:U264)/12)+1, INT(AVERAGE(M264)/12)+1)</f>
        <v>#N/A</v>
      </c>
      <c r="C264" s="11" t="s">
        <v>148</v>
      </c>
      <c r="D264" s="11"/>
      <c r="E264" s="11"/>
      <c r="F264" s="11" t="e">
        <f>VLOOKUP(G264, SeanRanks!$A$2:$E$302, 4, FALSE)</f>
        <v>#N/A</v>
      </c>
      <c r="G264" s="11" t="s">
        <v>693</v>
      </c>
      <c r="H264" s="11" t="e">
        <f>VLOOKUP($G264, 'ADP Data'!$C$4:$Q$300, 2, FALSE)</f>
        <v>#N/A</v>
      </c>
      <c r="I264" s="11" t="e">
        <f>VLOOKUP(G264, 'ADP Data'!$C$4:$R$498, 12, FALSE)</f>
        <v>#N/A</v>
      </c>
      <c r="J264" s="11" t="e">
        <f>VLOOKUP($G264, SeanRanks!$A$2:$H$303, 5, FALSE)</f>
        <v>#N/A</v>
      </c>
      <c r="K264" s="11" t="e">
        <f>IF(VLOOKUP($G264, SeanRanks!$A$2:$H$303, 6, FALSE)=0, "", VLOOKUP($G264, SeanRanks!$A$2:$H$303, 6, FALSE))</f>
        <v>#N/A</v>
      </c>
      <c r="L264" s="11">
        <f t="shared" si="11"/>
        <v>16</v>
      </c>
      <c r="M264" s="11" t="e">
        <f>VLOOKUP($G264, 'ADP Data'!$C$4:$Q$300, 9, FALSE)</f>
        <v>#N/A</v>
      </c>
      <c r="N264" s="11" t="e">
        <f t="shared" si="12"/>
        <v>#N/A</v>
      </c>
      <c r="O264" s="11" t="e">
        <f>VLOOKUP($G264, 'ADP Data'!$C$4:$Q$300, 3, FALSE)</f>
        <v>#N/A</v>
      </c>
      <c r="P264" s="11" t="e">
        <f t="shared" si="13"/>
        <v>#N/A</v>
      </c>
      <c r="Q264" s="11" t="e">
        <f>VLOOKUP($G264, 'ADP Data'!$C$4:$Q$300, 4, FALSE)</f>
        <v>#N/A</v>
      </c>
      <c r="R264" s="11" t="e">
        <f>VLOOKUP($G264, 'ADP Data'!$C$4:$Q$300, 5, FALSE)</f>
        <v>#N/A</v>
      </c>
      <c r="S264" s="11" t="e">
        <f>VLOOKUP($G264, 'ADP Data'!$C$4:$Q$300, 6, FALSE)</f>
        <v>#N/A</v>
      </c>
      <c r="T264" s="11" t="e">
        <f>VLOOKUP($G264, 'ADP Data'!$C$4:$Q$300, 7, FALSE)</f>
        <v>#N/A</v>
      </c>
      <c r="U264" s="11" t="e">
        <f>VLOOKUP($G264, 'ADP Data'!$C$4:$Q$300, 8, FALSE)</f>
        <v>#N/A</v>
      </c>
      <c r="V264" s="11" t="e">
        <f t="shared" si="14"/>
        <v>#N/A</v>
      </c>
      <c r="W264" s="11">
        <f t="shared" si="15"/>
        <v>16</v>
      </c>
      <c r="X264" s="11">
        <f t="shared" si="16"/>
        <v>-16</v>
      </c>
      <c r="Y264" s="11" t="e">
        <f>VLOOKUP($G264, SeanRanks!$A$2:$K$303, 10, FALSE)-V264</f>
        <v>#N/A</v>
      </c>
      <c r="Z264" s="25" t="e">
        <f>IF(VLOOKUP($G264, SeanRanks!$A$2:$H$303, 7, FALSE)=0, "", VLOOKUP($G264, SeanRanks!$A$2:$H$303, 7, FALSE))</f>
        <v>#N/A</v>
      </c>
    </row>
    <row r="265" spans="1:26" ht="14.25" customHeight="1" x14ac:dyDescent="0.25">
      <c r="A265" s="11"/>
      <c r="B265" s="11">
        <f t="shared" si="17"/>
        <v>20</v>
      </c>
      <c r="C265" s="11" t="s">
        <v>148</v>
      </c>
      <c r="D265" s="11"/>
      <c r="E265" s="11"/>
      <c r="F265" s="11">
        <f>VLOOKUP(G265, SeanRanks!$A$2:$E$302, 4, FALSE)</f>
        <v>0</v>
      </c>
      <c r="G265" s="11" t="s">
        <v>384</v>
      </c>
      <c r="H265" s="11" t="str">
        <f>VLOOKUP($G265, 'ADP Data'!$C$4:$Q$300, 2, FALSE)</f>
        <v>BAL</v>
      </c>
      <c r="I265" s="11">
        <f>VLOOKUP(G265, 'ADP Data'!$C$4:$R$498, 12, FALSE)</f>
        <v>184</v>
      </c>
      <c r="J265" s="11" t="str">
        <f>VLOOKUP($G265, SeanRanks!$A$2:$H$303, 5, FALSE)</f>
        <v>Yes</v>
      </c>
      <c r="K265" s="11" t="str">
        <f>IF(VLOOKUP($G265, SeanRanks!$A$2:$H$303, 6, FALSE)=0, "", VLOOKUP($G265, SeanRanks!$A$2:$H$303, 6, FALSE))</f>
        <v>RB5 - 1 - upside</v>
      </c>
      <c r="L265" s="11">
        <f t="shared" si="11"/>
        <v>28</v>
      </c>
      <c r="M265" s="11">
        <f>VLOOKUP($G265, 'ADP Data'!$C$4:$Q$300, 9, FALSE)</f>
        <v>223</v>
      </c>
      <c r="N265" s="11">
        <f t="shared" si="12"/>
        <v>-10</v>
      </c>
      <c r="O265" s="11" t="str">
        <f>VLOOKUP($G265, 'ADP Data'!$C$4:$Q$300, 3, FALSE)</f>
        <v>-</v>
      </c>
      <c r="P265" s="11" t="e">
        <f t="shared" si="13"/>
        <v>#VALUE!</v>
      </c>
      <c r="Q265" s="11" t="str">
        <f>VLOOKUP($G265, 'ADP Data'!$C$4:$Q$300, 4, FALSE)</f>
        <v>-</v>
      </c>
      <c r="R265" s="11">
        <f>VLOOKUP($G265, 'ADP Data'!$C$4:$Q$300, 5, FALSE)</f>
        <v>312</v>
      </c>
      <c r="S265" s="11">
        <f>VLOOKUP($G265, 'ADP Data'!$C$4:$Q$300, 6, FALSE)</f>
        <v>166</v>
      </c>
      <c r="T265" s="11">
        <f>VLOOKUP($G265, 'ADP Data'!$C$4:$Q$300, 7, FALSE)</f>
        <v>184</v>
      </c>
      <c r="U265" s="11">
        <f>VLOOKUP($G265, 'ADP Data'!$C$4:$Q$300, 8, FALSE)</f>
        <v>283</v>
      </c>
      <c r="V265" s="11">
        <f t="shared" si="14"/>
        <v>233</v>
      </c>
      <c r="W265" s="11">
        <f t="shared" si="15"/>
        <v>30</v>
      </c>
      <c r="X265" s="11">
        <f t="shared" si="16"/>
        <v>-30</v>
      </c>
      <c r="Y265" s="11">
        <f>VLOOKUP($G265, SeanRanks!$A$2:$K$303, 10, FALSE)-V265</f>
        <v>-28</v>
      </c>
      <c r="Z265" s="25">
        <f>IF(VLOOKUP($G265, SeanRanks!$A$2:$H$303, 7, FALSE)=0, "", VLOOKUP($G265, SeanRanks!$A$2:$H$303, 7, FALSE))</f>
        <v>52</v>
      </c>
    </row>
    <row r="266" spans="1:26" ht="14.25" customHeight="1" x14ac:dyDescent="0.25">
      <c r="A266" s="11"/>
      <c r="B266" s="11" t="e">
        <f t="shared" si="17"/>
        <v>#N/A</v>
      </c>
      <c r="C266" s="11" t="s">
        <v>148</v>
      </c>
      <c r="D266" s="11"/>
      <c r="E266" s="11"/>
      <c r="F266" s="11" t="e">
        <f>VLOOKUP(G266, SeanRanks!$A$2:$E$302, 4, FALSE)</f>
        <v>#N/A</v>
      </c>
      <c r="G266" s="11" t="s">
        <v>966</v>
      </c>
      <c r="H266" s="11" t="e">
        <f>VLOOKUP($G266, 'ADP Data'!$C$4:$Q$300, 2, FALSE)</f>
        <v>#N/A</v>
      </c>
      <c r="I266" s="11" t="e">
        <f>VLOOKUP(G266, 'ADP Data'!$C$4:$R$498, 12, FALSE)</f>
        <v>#N/A</v>
      </c>
      <c r="J266" s="11" t="e">
        <f>VLOOKUP($G266, SeanRanks!$A$2:$H$303, 5, FALSE)</f>
        <v>#N/A</v>
      </c>
      <c r="K266" s="11" t="e">
        <f>IF(VLOOKUP($G266, SeanRanks!$A$2:$H$303, 6, FALSE)=0, "", VLOOKUP($G266, SeanRanks!$A$2:$H$303, 6, FALSE))</f>
        <v>#N/A</v>
      </c>
      <c r="L266" s="11">
        <f t="shared" si="11"/>
        <v>16</v>
      </c>
      <c r="M266" s="11" t="e">
        <f>VLOOKUP($G266, 'ADP Data'!$C$4:$Q$300, 9, FALSE)</f>
        <v>#N/A</v>
      </c>
      <c r="N266" s="11" t="e">
        <f t="shared" si="12"/>
        <v>#N/A</v>
      </c>
      <c r="O266" s="11" t="e">
        <f>VLOOKUP($G266, 'ADP Data'!$C$4:$Q$300, 3, FALSE)</f>
        <v>#N/A</v>
      </c>
      <c r="P266" s="11" t="e">
        <f t="shared" si="13"/>
        <v>#N/A</v>
      </c>
      <c r="Q266" s="11" t="e">
        <f>VLOOKUP($G266, 'ADP Data'!$C$4:$Q$300, 4, FALSE)</f>
        <v>#N/A</v>
      </c>
      <c r="R266" s="11" t="e">
        <f>VLOOKUP($G266, 'ADP Data'!$C$4:$Q$300, 5, FALSE)</f>
        <v>#N/A</v>
      </c>
      <c r="S266" s="11" t="e">
        <f>VLOOKUP($G266, 'ADP Data'!$C$4:$Q$300, 6, FALSE)</f>
        <v>#N/A</v>
      </c>
      <c r="T266" s="11" t="e">
        <f>VLOOKUP($G266, 'ADP Data'!$C$4:$Q$300, 7, FALSE)</f>
        <v>#N/A</v>
      </c>
      <c r="U266" s="11" t="e">
        <f>VLOOKUP($G266, 'ADP Data'!$C$4:$Q$300, 8, FALSE)</f>
        <v>#N/A</v>
      </c>
      <c r="V266" s="11" t="e">
        <f t="shared" si="14"/>
        <v>#N/A</v>
      </c>
      <c r="W266" s="11">
        <f t="shared" si="15"/>
        <v>16</v>
      </c>
      <c r="X266" s="11">
        <f t="shared" si="16"/>
        <v>-16</v>
      </c>
      <c r="Y266" s="11" t="e">
        <f>VLOOKUP($G266, SeanRanks!$A$2:$K$303, 10, FALSE)-V266</f>
        <v>#N/A</v>
      </c>
      <c r="Z266" s="25" t="e">
        <f>IF(VLOOKUP($G266, SeanRanks!$A$2:$H$303, 7, FALSE)=0, "", VLOOKUP($G266, SeanRanks!$A$2:$H$303, 7, FALSE))</f>
        <v>#N/A</v>
      </c>
    </row>
    <row r="267" spans="1:26" ht="14.25" customHeight="1" x14ac:dyDescent="0.25">
      <c r="A267" s="11"/>
      <c r="B267" s="11">
        <f t="shared" si="17"/>
        <v>24</v>
      </c>
      <c r="C267" s="11" t="s">
        <v>148</v>
      </c>
      <c r="D267" s="11"/>
      <c r="E267" s="11"/>
      <c r="F267" s="11">
        <f>VLOOKUP(G267, SeanRanks!$A$2:$E$302, 4, FALSE)</f>
        <v>0</v>
      </c>
      <c r="G267" s="11" t="s">
        <v>967</v>
      </c>
      <c r="H267" s="11" t="str">
        <f>VLOOKUP($G267, 'ADP Data'!$C$4:$Q$300, 2, FALSE)</f>
        <v>CAR</v>
      </c>
      <c r="I267" s="11">
        <f>VLOOKUP(G267, 'ADP Data'!$C$4:$R$498, 12, FALSE)</f>
        <v>198</v>
      </c>
      <c r="J267" s="11">
        <f>VLOOKUP($G267, SeanRanks!$A$2:$H$303, 5, FALSE)</f>
        <v>0</v>
      </c>
      <c r="K267" s="11" t="str">
        <f>IF(VLOOKUP($G267, SeanRanks!$A$2:$H$303, 6, FALSE)=0, "", VLOOKUP($G267, SeanRanks!$A$2:$H$303, 6, FALSE))</f>
        <v/>
      </c>
      <c r="L267" s="11">
        <f t="shared" si="11"/>
        <v>32</v>
      </c>
      <c r="M267" s="11">
        <f>VLOOKUP($G267, 'ADP Data'!$C$4:$Q$300, 9, FALSE)</f>
        <v>254</v>
      </c>
      <c r="N267" s="11">
        <f t="shared" si="12"/>
        <v>-20</v>
      </c>
      <c r="O267" s="11" t="str">
        <f>VLOOKUP($G267, 'ADP Data'!$C$4:$Q$300, 3, FALSE)</f>
        <v>-</v>
      </c>
      <c r="P267" s="11" t="e">
        <f t="shared" si="13"/>
        <v>#VALUE!</v>
      </c>
      <c r="Q267" s="11">
        <f>VLOOKUP($G267, 'ADP Data'!$C$4:$Q$300, 4, FALSE)</f>
        <v>347</v>
      </c>
      <c r="R267" s="11">
        <f>VLOOKUP($G267, 'ADP Data'!$C$4:$Q$300, 5, FALSE)</f>
        <v>318</v>
      </c>
      <c r="S267" s="11">
        <f>VLOOKUP($G267, 'ADP Data'!$C$4:$Q$300, 6, FALSE)</f>
        <v>204</v>
      </c>
      <c r="T267" s="11">
        <f>VLOOKUP($G267, 'ADP Data'!$C$4:$Q$300, 7, FALSE)</f>
        <v>247</v>
      </c>
      <c r="U267" s="11" t="str">
        <f>VLOOKUP($G267, 'ADP Data'!$C$4:$Q$300, 8, FALSE)</f>
        <v>-</v>
      </c>
      <c r="V267" s="11">
        <f t="shared" si="14"/>
        <v>274</v>
      </c>
      <c r="W267" s="11">
        <f t="shared" si="15"/>
        <v>35</v>
      </c>
      <c r="X267" s="11">
        <f t="shared" si="16"/>
        <v>-35</v>
      </c>
      <c r="Y267" s="11">
        <f>VLOOKUP($G267, SeanRanks!$A$2:$K$303, 10, FALSE)-V267</f>
        <v>-43</v>
      </c>
      <c r="Z267" s="25" t="str">
        <f>IF(VLOOKUP($G267, SeanRanks!$A$2:$H$303, 7, FALSE)=0, "", VLOOKUP($G267, SeanRanks!$A$2:$H$303, 7, FALSE))</f>
        <v/>
      </c>
    </row>
    <row r="268" spans="1:26" ht="14.25" customHeight="1" x14ac:dyDescent="0.25">
      <c r="A268" s="11"/>
      <c r="B268" s="11" t="e">
        <f t="shared" si="17"/>
        <v>#N/A</v>
      </c>
      <c r="C268" s="11" t="s">
        <v>148</v>
      </c>
      <c r="D268" s="11"/>
      <c r="E268" s="11"/>
      <c r="F268" s="11" t="e">
        <f>VLOOKUP(G268, SeanRanks!$A$2:$E$302, 4, FALSE)</f>
        <v>#N/A</v>
      </c>
      <c r="G268" s="11" t="s">
        <v>968</v>
      </c>
      <c r="H268" s="11" t="e">
        <f>VLOOKUP($G268, 'ADP Data'!$C$4:$Q$300, 2, FALSE)</f>
        <v>#N/A</v>
      </c>
      <c r="I268" s="11" t="e">
        <f>VLOOKUP(G268, 'ADP Data'!$C$4:$R$498, 12, FALSE)</f>
        <v>#N/A</v>
      </c>
      <c r="J268" s="11" t="e">
        <f>VLOOKUP($G268, SeanRanks!$A$2:$H$303, 5, FALSE)</f>
        <v>#N/A</v>
      </c>
      <c r="K268" s="11" t="e">
        <f>IF(VLOOKUP($G268, SeanRanks!$A$2:$H$303, 6, FALSE)=0, "", VLOOKUP($G268, SeanRanks!$A$2:$H$303, 6, FALSE))</f>
        <v>#N/A</v>
      </c>
      <c r="L268" s="11">
        <f t="shared" si="11"/>
        <v>16</v>
      </c>
      <c r="M268" s="11" t="e">
        <f>VLOOKUP($G268, 'ADP Data'!$C$4:$Q$300, 9, FALSE)</f>
        <v>#N/A</v>
      </c>
      <c r="N268" s="11" t="e">
        <f t="shared" si="12"/>
        <v>#N/A</v>
      </c>
      <c r="O268" s="11" t="e">
        <f>VLOOKUP($G268, 'ADP Data'!$C$4:$Q$300, 3, FALSE)</f>
        <v>#N/A</v>
      </c>
      <c r="P268" s="11" t="e">
        <f t="shared" si="13"/>
        <v>#N/A</v>
      </c>
      <c r="Q268" s="11" t="e">
        <f>VLOOKUP($G268, 'ADP Data'!$C$4:$Q$300, 4, FALSE)</f>
        <v>#N/A</v>
      </c>
      <c r="R268" s="11" t="e">
        <f>VLOOKUP($G268, 'ADP Data'!$C$4:$Q$300, 5, FALSE)</f>
        <v>#N/A</v>
      </c>
      <c r="S268" s="11" t="e">
        <f>VLOOKUP($G268, 'ADP Data'!$C$4:$Q$300, 6, FALSE)</f>
        <v>#N/A</v>
      </c>
      <c r="T268" s="11" t="e">
        <f>VLOOKUP($G268, 'ADP Data'!$C$4:$Q$300, 7, FALSE)</f>
        <v>#N/A</v>
      </c>
      <c r="U268" s="11" t="e">
        <f>VLOOKUP($G268, 'ADP Data'!$C$4:$Q$300, 8, FALSE)</f>
        <v>#N/A</v>
      </c>
      <c r="V268" s="11" t="e">
        <f t="shared" si="14"/>
        <v>#N/A</v>
      </c>
      <c r="W268" s="11">
        <f t="shared" si="15"/>
        <v>16</v>
      </c>
      <c r="X268" s="11">
        <f t="shared" si="16"/>
        <v>-16</v>
      </c>
      <c r="Y268" s="11" t="e">
        <f>VLOOKUP($G268, SeanRanks!$A$2:$K$303, 10, FALSE)-V268</f>
        <v>#N/A</v>
      </c>
      <c r="Z268" s="25" t="e">
        <f>IF(VLOOKUP($G268, SeanRanks!$A$2:$H$303, 7, FALSE)=0, "", VLOOKUP($G268, SeanRanks!$A$2:$H$303, 7, FALSE))</f>
        <v>#N/A</v>
      </c>
    </row>
    <row r="269" spans="1:26" ht="14.25" customHeight="1" x14ac:dyDescent="0.25">
      <c r="A269" s="11"/>
      <c r="B269" s="11" t="e">
        <f t="shared" si="17"/>
        <v>#N/A</v>
      </c>
      <c r="C269" s="11" t="s">
        <v>148</v>
      </c>
      <c r="D269" s="11"/>
      <c r="E269" s="11"/>
      <c r="F269" s="11" t="e">
        <f>VLOOKUP(G269, SeanRanks!$A$2:$E$302, 4, FALSE)</f>
        <v>#N/A</v>
      </c>
      <c r="G269" s="11" t="s">
        <v>969</v>
      </c>
      <c r="H269" s="11" t="e">
        <f>VLOOKUP($G269, 'ADP Data'!$C$4:$Q$300, 2, FALSE)</f>
        <v>#N/A</v>
      </c>
      <c r="I269" s="11" t="e">
        <f>VLOOKUP(G269, 'ADP Data'!$C$4:$R$498, 12, FALSE)</f>
        <v>#N/A</v>
      </c>
      <c r="J269" s="11" t="e">
        <f>VLOOKUP($G269, SeanRanks!$A$2:$H$303, 5, FALSE)</f>
        <v>#N/A</v>
      </c>
      <c r="K269" s="11" t="e">
        <f>IF(VLOOKUP($G269, SeanRanks!$A$2:$H$303, 6, FALSE)=0, "", VLOOKUP($G269, SeanRanks!$A$2:$H$303, 6, FALSE))</f>
        <v>#N/A</v>
      </c>
      <c r="L269" s="11">
        <f t="shared" si="11"/>
        <v>16</v>
      </c>
      <c r="M269" s="11" t="e">
        <f>VLOOKUP($G269, 'ADP Data'!$C$4:$Q$300, 9, FALSE)</f>
        <v>#N/A</v>
      </c>
      <c r="N269" s="11" t="e">
        <f t="shared" si="12"/>
        <v>#N/A</v>
      </c>
      <c r="O269" s="11" t="e">
        <f>VLOOKUP($G269, 'ADP Data'!$C$4:$Q$300, 3, FALSE)</f>
        <v>#N/A</v>
      </c>
      <c r="P269" s="11" t="e">
        <f t="shared" si="13"/>
        <v>#N/A</v>
      </c>
      <c r="Q269" s="11" t="e">
        <f>VLOOKUP($G269, 'ADP Data'!$C$4:$Q$300, 4, FALSE)</f>
        <v>#N/A</v>
      </c>
      <c r="R269" s="11" t="e">
        <f>VLOOKUP($G269, 'ADP Data'!$C$4:$Q$300, 5, FALSE)</f>
        <v>#N/A</v>
      </c>
      <c r="S269" s="11" t="e">
        <f>VLOOKUP($G269, 'ADP Data'!$C$4:$Q$300, 6, FALSE)</f>
        <v>#N/A</v>
      </c>
      <c r="T269" s="11" t="e">
        <f>VLOOKUP($G269, 'ADP Data'!$C$4:$Q$300, 7, FALSE)</f>
        <v>#N/A</v>
      </c>
      <c r="U269" s="11" t="e">
        <f>VLOOKUP($G269, 'ADP Data'!$C$4:$Q$300, 8, FALSE)</f>
        <v>#N/A</v>
      </c>
      <c r="V269" s="11" t="e">
        <f t="shared" si="14"/>
        <v>#N/A</v>
      </c>
      <c r="W269" s="11">
        <f t="shared" si="15"/>
        <v>16</v>
      </c>
      <c r="X269" s="11">
        <f t="shared" si="16"/>
        <v>-16</v>
      </c>
      <c r="Y269" s="11" t="e">
        <f>VLOOKUP($G269, SeanRanks!$A$2:$K$303, 10, FALSE)-V269</f>
        <v>#N/A</v>
      </c>
      <c r="Z269" s="25" t="e">
        <f>IF(VLOOKUP($G269, SeanRanks!$A$2:$H$303, 7, FALSE)=0, "", VLOOKUP($G269, SeanRanks!$A$2:$H$303, 7, FALSE))</f>
        <v>#N/A</v>
      </c>
    </row>
    <row r="270" spans="1:26" ht="14.25" customHeight="1" x14ac:dyDescent="0.25">
      <c r="A270" s="11"/>
      <c r="B270" s="11" t="e">
        <f t="shared" si="17"/>
        <v>#N/A</v>
      </c>
      <c r="C270" s="11" t="s">
        <v>148</v>
      </c>
      <c r="D270" s="11"/>
      <c r="E270" s="11"/>
      <c r="F270" s="11" t="e">
        <f>VLOOKUP(G270, SeanRanks!$A$2:$E$302, 4, FALSE)</f>
        <v>#N/A</v>
      </c>
      <c r="G270" s="11" t="s">
        <v>837</v>
      </c>
      <c r="H270" s="11" t="e">
        <f>VLOOKUP($G270, 'ADP Data'!$C$4:$Q$300, 2, FALSE)</f>
        <v>#N/A</v>
      </c>
      <c r="I270" s="11" t="e">
        <f>VLOOKUP(G270, 'ADP Data'!$C$4:$R$498, 12, FALSE)</f>
        <v>#N/A</v>
      </c>
      <c r="J270" s="11" t="e">
        <f>VLOOKUP($G270, SeanRanks!$A$2:$H$303, 5, FALSE)</f>
        <v>#N/A</v>
      </c>
      <c r="K270" s="11" t="e">
        <f>IF(VLOOKUP($G270, SeanRanks!$A$2:$H$303, 6, FALSE)=0, "", VLOOKUP($G270, SeanRanks!$A$2:$H$303, 6, FALSE))</f>
        <v>#N/A</v>
      </c>
      <c r="L270" s="11">
        <f t="shared" si="11"/>
        <v>16</v>
      </c>
      <c r="M270" s="11" t="e">
        <f>VLOOKUP($G270, 'ADP Data'!$C$4:$Q$300, 9, FALSE)</f>
        <v>#N/A</v>
      </c>
      <c r="N270" s="11" t="e">
        <f t="shared" si="12"/>
        <v>#N/A</v>
      </c>
      <c r="O270" s="11" t="e">
        <f>VLOOKUP($G270, 'ADP Data'!$C$4:$Q$300, 3, FALSE)</f>
        <v>#N/A</v>
      </c>
      <c r="P270" s="11" t="e">
        <f t="shared" si="13"/>
        <v>#N/A</v>
      </c>
      <c r="Q270" s="11" t="e">
        <f>VLOOKUP($G270, 'ADP Data'!$C$4:$Q$300, 4, FALSE)</f>
        <v>#N/A</v>
      </c>
      <c r="R270" s="11" t="e">
        <f>VLOOKUP($G270, 'ADP Data'!$C$4:$Q$300, 5, FALSE)</f>
        <v>#N/A</v>
      </c>
      <c r="S270" s="11" t="e">
        <f>VLOOKUP($G270, 'ADP Data'!$C$4:$Q$300, 6, FALSE)</f>
        <v>#N/A</v>
      </c>
      <c r="T270" s="11" t="e">
        <f>VLOOKUP($G270, 'ADP Data'!$C$4:$Q$300, 7, FALSE)</f>
        <v>#N/A</v>
      </c>
      <c r="U270" s="11" t="e">
        <f>VLOOKUP($G270, 'ADP Data'!$C$4:$Q$300, 8, FALSE)</f>
        <v>#N/A</v>
      </c>
      <c r="V270" s="11" t="e">
        <f t="shared" si="14"/>
        <v>#N/A</v>
      </c>
      <c r="W270" s="11">
        <f t="shared" si="15"/>
        <v>16</v>
      </c>
      <c r="X270" s="11">
        <f t="shared" si="16"/>
        <v>-16</v>
      </c>
      <c r="Y270" s="11" t="e">
        <f>VLOOKUP($G270, SeanRanks!$A$2:$K$303, 10, FALSE)-V270</f>
        <v>#N/A</v>
      </c>
      <c r="Z270" s="25" t="e">
        <f>IF(VLOOKUP($G270, SeanRanks!$A$2:$H$303, 7, FALSE)=0, "", VLOOKUP($G270, SeanRanks!$A$2:$H$303, 7, FALSE))</f>
        <v>#N/A</v>
      </c>
    </row>
    <row r="271" spans="1:26" ht="14.25" customHeight="1" x14ac:dyDescent="0.25">
      <c r="A271" s="11"/>
      <c r="B271" s="11">
        <f t="shared" si="17"/>
        <v>22</v>
      </c>
      <c r="C271" s="11" t="s">
        <v>148</v>
      </c>
      <c r="D271" s="11"/>
      <c r="E271" s="11"/>
      <c r="F271" s="11">
        <f>VLOOKUP(G271, SeanRanks!$A$2:$E$302, 4, FALSE)</f>
        <v>0</v>
      </c>
      <c r="G271" s="11" t="s">
        <v>970</v>
      </c>
      <c r="H271" s="11" t="str">
        <f>VLOOKUP($G271, 'ADP Data'!$C$4:$Q$300, 2, FALSE)</f>
        <v>DAL</v>
      </c>
      <c r="I271" s="11">
        <f>VLOOKUP(G271, 'ADP Data'!$C$4:$R$498, 12, FALSE)</f>
        <v>249</v>
      </c>
      <c r="J271" s="11">
        <f>VLOOKUP($G271, SeanRanks!$A$2:$H$303, 5, FALSE)</f>
        <v>0</v>
      </c>
      <c r="K271" s="11" t="str">
        <f>IF(VLOOKUP($G271, SeanRanks!$A$2:$H$303, 6, FALSE)=0, "", VLOOKUP($G271, SeanRanks!$A$2:$H$303, 6, FALSE))</f>
        <v/>
      </c>
      <c r="L271" s="11">
        <f t="shared" si="11"/>
        <v>28</v>
      </c>
      <c r="M271" s="11">
        <f>VLOOKUP($G271, 'ADP Data'!$C$4:$Q$300, 9, FALSE)</f>
        <v>222</v>
      </c>
      <c r="N271" s="11">
        <f t="shared" si="12"/>
        <v>-30</v>
      </c>
      <c r="O271" s="11" t="str">
        <f>VLOOKUP($G271, 'ADP Data'!$C$4:$Q$300, 3, FALSE)</f>
        <v>-</v>
      </c>
      <c r="P271" s="11" t="e">
        <f t="shared" si="13"/>
        <v>#VALUE!</v>
      </c>
      <c r="Q271" s="11" t="str">
        <f>VLOOKUP($G271, 'ADP Data'!$C$4:$Q$300, 4, FALSE)</f>
        <v>-</v>
      </c>
      <c r="R271" s="11">
        <f>VLOOKUP($G271, 'ADP Data'!$C$4:$Q$300, 5, FALSE)</f>
        <v>276</v>
      </c>
      <c r="S271" s="11">
        <f>VLOOKUP($G271, 'ADP Data'!$C$4:$Q$300, 6, FALSE)</f>
        <v>256</v>
      </c>
      <c r="T271" s="11">
        <f>VLOOKUP($G271, 'ADP Data'!$C$4:$Q$300, 7, FALSE)</f>
        <v>233</v>
      </c>
      <c r="U271" s="11">
        <f>VLOOKUP($G271, 'ADP Data'!$C$4:$Q$300, 8, FALSE)</f>
        <v>276</v>
      </c>
      <c r="V271" s="11">
        <f t="shared" si="14"/>
        <v>252</v>
      </c>
      <c r="W271" s="11">
        <f t="shared" si="15"/>
        <v>32</v>
      </c>
      <c r="X271" s="11">
        <f t="shared" si="16"/>
        <v>-32</v>
      </c>
      <c r="Y271" s="11">
        <f>VLOOKUP($G271, SeanRanks!$A$2:$K$303, 10, FALSE)-V271</f>
        <v>-37</v>
      </c>
      <c r="Z271" s="25" t="str">
        <f>IF(VLOOKUP($G271, SeanRanks!$A$2:$H$303, 7, FALSE)=0, "", VLOOKUP($G271, SeanRanks!$A$2:$H$303, 7, FALSE))</f>
        <v/>
      </c>
    </row>
    <row r="272" spans="1:26" ht="14.25" customHeight="1" x14ac:dyDescent="0.25">
      <c r="A272" s="11"/>
      <c r="B272" s="11" t="e">
        <f t="shared" si="17"/>
        <v>#N/A</v>
      </c>
      <c r="C272" s="11" t="s">
        <v>148</v>
      </c>
      <c r="D272" s="11"/>
      <c r="E272" s="11"/>
      <c r="F272" s="11">
        <f>VLOOKUP(G272, SeanRanks!$A$2:$E$302, 4, FALSE)</f>
        <v>0</v>
      </c>
      <c r="G272" s="11" t="s">
        <v>971</v>
      </c>
      <c r="H272" s="11" t="e">
        <f>VLOOKUP($G272, 'ADP Data'!$C$4:$Q$300, 2, FALSE)</f>
        <v>#N/A</v>
      </c>
      <c r="I272" s="11" t="e">
        <f>VLOOKUP(G272, 'ADP Data'!$C$4:$R$498, 12, FALSE)</f>
        <v>#N/A</v>
      </c>
      <c r="J272" s="11">
        <f>VLOOKUP($G272, SeanRanks!$A$2:$H$303, 5, FALSE)</f>
        <v>0</v>
      </c>
      <c r="K272" s="11" t="str">
        <f>IF(VLOOKUP($G272, SeanRanks!$A$2:$H$303, 6, FALSE)=0, "", VLOOKUP($G272, SeanRanks!$A$2:$H$303, 6, FALSE))</f>
        <v/>
      </c>
      <c r="L272" s="11">
        <f t="shared" si="11"/>
        <v>16</v>
      </c>
      <c r="M272" s="11" t="e">
        <f>VLOOKUP($G272, 'ADP Data'!$C$4:$Q$300, 9, FALSE)</f>
        <v>#N/A</v>
      </c>
      <c r="N272" s="11" t="e">
        <f t="shared" si="12"/>
        <v>#N/A</v>
      </c>
      <c r="O272" s="11" t="e">
        <f>VLOOKUP($G272, 'ADP Data'!$C$4:$Q$300, 3, FALSE)</f>
        <v>#N/A</v>
      </c>
      <c r="P272" s="11" t="e">
        <f t="shared" si="13"/>
        <v>#N/A</v>
      </c>
      <c r="Q272" s="11" t="e">
        <f>VLOOKUP($G272, 'ADP Data'!$C$4:$Q$300, 4, FALSE)</f>
        <v>#N/A</v>
      </c>
      <c r="R272" s="11" t="e">
        <f>VLOOKUP($G272, 'ADP Data'!$C$4:$Q$300, 5, FALSE)</f>
        <v>#N/A</v>
      </c>
      <c r="S272" s="11" t="e">
        <f>VLOOKUP($G272, 'ADP Data'!$C$4:$Q$300, 6, FALSE)</f>
        <v>#N/A</v>
      </c>
      <c r="T272" s="11" t="e">
        <f>VLOOKUP($G272, 'ADP Data'!$C$4:$Q$300, 7, FALSE)</f>
        <v>#N/A</v>
      </c>
      <c r="U272" s="11" t="e">
        <f>VLOOKUP($G272, 'ADP Data'!$C$4:$Q$300, 8, FALSE)</f>
        <v>#N/A</v>
      </c>
      <c r="V272" s="11" t="e">
        <f t="shared" si="14"/>
        <v>#N/A</v>
      </c>
      <c r="W272" s="11">
        <f t="shared" si="15"/>
        <v>16</v>
      </c>
      <c r="X272" s="11">
        <f t="shared" si="16"/>
        <v>-16</v>
      </c>
      <c r="Y272" s="11" t="e">
        <f>VLOOKUP($G272, SeanRanks!$A$2:$K$303, 10, FALSE)-V272</f>
        <v>#N/A</v>
      </c>
      <c r="Z272" s="25" t="str">
        <f>IF(VLOOKUP($G272, SeanRanks!$A$2:$H$303, 7, FALSE)=0, "", VLOOKUP($G272, SeanRanks!$A$2:$H$303, 7, FALSE))</f>
        <v/>
      </c>
    </row>
    <row r="273" spans="1:26" ht="14.25" customHeight="1" x14ac:dyDescent="0.25">
      <c r="A273" s="11"/>
      <c r="B273" s="11" t="e">
        <f t="shared" si="17"/>
        <v>#N/A</v>
      </c>
      <c r="C273" s="11" t="s">
        <v>148</v>
      </c>
      <c r="D273" s="11"/>
      <c r="E273" s="11"/>
      <c r="F273" s="11">
        <f>VLOOKUP(G273, SeanRanks!$A$2:$E$302, 4, FALSE)</f>
        <v>0</v>
      </c>
      <c r="G273" s="11" t="s">
        <v>401</v>
      </c>
      <c r="H273" s="11" t="e">
        <f>VLOOKUP($G273, 'ADP Data'!$C$4:$Q$300, 2, FALSE)</f>
        <v>#N/A</v>
      </c>
      <c r="I273" s="11">
        <f>VLOOKUP(G273, 'ADP Data'!$C$4:$R$498, 12, FALSE)</f>
        <v>244</v>
      </c>
      <c r="J273" s="11">
        <f>VLOOKUP($G273, SeanRanks!$A$2:$H$303, 5, FALSE)</f>
        <v>0</v>
      </c>
      <c r="K273" s="11" t="str">
        <f>IF(VLOOKUP($G273, SeanRanks!$A$2:$H$303, 6, FALSE)=0, "", VLOOKUP($G273, SeanRanks!$A$2:$H$303, 6, FALSE))</f>
        <v/>
      </c>
      <c r="L273" s="11">
        <f t="shared" si="11"/>
        <v>16</v>
      </c>
      <c r="M273" s="11" t="e">
        <f>VLOOKUP($G273, 'ADP Data'!$C$4:$Q$300, 9, FALSE)</f>
        <v>#N/A</v>
      </c>
      <c r="N273" s="11" t="e">
        <f t="shared" si="12"/>
        <v>#N/A</v>
      </c>
      <c r="O273" s="11" t="e">
        <f>VLOOKUP($G273, 'ADP Data'!$C$4:$Q$300, 3, FALSE)</f>
        <v>#N/A</v>
      </c>
      <c r="P273" s="11" t="e">
        <f t="shared" si="13"/>
        <v>#N/A</v>
      </c>
      <c r="Q273" s="11" t="e">
        <f>VLOOKUP($G273, 'ADP Data'!$C$4:$Q$300, 4, FALSE)</f>
        <v>#N/A</v>
      </c>
      <c r="R273" s="11" t="e">
        <f>VLOOKUP($G273, 'ADP Data'!$C$4:$Q$300, 5, FALSE)</f>
        <v>#N/A</v>
      </c>
      <c r="S273" s="11" t="e">
        <f>VLOOKUP($G273, 'ADP Data'!$C$4:$Q$300, 6, FALSE)</f>
        <v>#N/A</v>
      </c>
      <c r="T273" s="11" t="e">
        <f>VLOOKUP($G273, 'ADP Data'!$C$4:$Q$300, 7, FALSE)</f>
        <v>#N/A</v>
      </c>
      <c r="U273" s="11" t="e">
        <f>VLOOKUP($G273, 'ADP Data'!$C$4:$Q$300, 8, FALSE)</f>
        <v>#N/A</v>
      </c>
      <c r="V273" s="11" t="e">
        <f t="shared" si="14"/>
        <v>#N/A</v>
      </c>
      <c r="W273" s="11">
        <f t="shared" si="15"/>
        <v>16</v>
      </c>
      <c r="X273" s="11">
        <f t="shared" si="16"/>
        <v>-16</v>
      </c>
      <c r="Y273" s="11" t="e">
        <f>VLOOKUP($G273, SeanRanks!$A$2:$K$303, 10, FALSE)-V273</f>
        <v>#N/A</v>
      </c>
      <c r="Z273" s="25" t="str">
        <f>IF(VLOOKUP($G273, SeanRanks!$A$2:$H$303, 7, FALSE)=0, "", VLOOKUP($G273, SeanRanks!$A$2:$H$303, 7, FALSE))</f>
        <v/>
      </c>
    </row>
    <row r="274" spans="1:26" ht="14.25" customHeight="1" x14ac:dyDescent="0.25">
      <c r="A274" s="11"/>
      <c r="B274" s="11" t="e">
        <f t="shared" si="17"/>
        <v>#N/A</v>
      </c>
      <c r="C274" s="11" t="s">
        <v>148</v>
      </c>
      <c r="D274" s="11"/>
      <c r="E274" s="11"/>
      <c r="F274" s="11" t="e">
        <f>VLOOKUP(G274, SeanRanks!$A$2:$E$302, 4, FALSE)</f>
        <v>#N/A</v>
      </c>
      <c r="G274" s="11" t="s">
        <v>972</v>
      </c>
      <c r="H274" s="11" t="e">
        <f>VLOOKUP($G274, 'ADP Data'!$C$4:$Q$300, 2, FALSE)</f>
        <v>#N/A</v>
      </c>
      <c r="I274" s="11" t="e">
        <f>VLOOKUP(G274, 'ADP Data'!$C$4:$R$498, 12, FALSE)</f>
        <v>#N/A</v>
      </c>
      <c r="J274" s="11" t="e">
        <f>VLOOKUP($G274, SeanRanks!$A$2:$H$303, 5, FALSE)</f>
        <v>#N/A</v>
      </c>
      <c r="K274" s="11" t="e">
        <f>IF(VLOOKUP($G274, SeanRanks!$A$2:$H$303, 6, FALSE)=0, "", VLOOKUP($G274, SeanRanks!$A$2:$H$303, 6, FALSE))</f>
        <v>#N/A</v>
      </c>
      <c r="L274" s="11">
        <f t="shared" si="11"/>
        <v>16</v>
      </c>
      <c r="M274" s="11" t="e">
        <f>VLOOKUP($G274, 'ADP Data'!$C$4:$Q$300, 9, FALSE)</f>
        <v>#N/A</v>
      </c>
      <c r="N274" s="11" t="e">
        <f t="shared" si="12"/>
        <v>#N/A</v>
      </c>
      <c r="O274" s="11" t="e">
        <f>VLOOKUP($G274, 'ADP Data'!$C$4:$Q$300, 3, FALSE)</f>
        <v>#N/A</v>
      </c>
      <c r="P274" s="11" t="e">
        <f t="shared" si="13"/>
        <v>#N/A</v>
      </c>
      <c r="Q274" s="11" t="e">
        <f>VLOOKUP($G274, 'ADP Data'!$C$4:$Q$300, 4, FALSE)</f>
        <v>#N/A</v>
      </c>
      <c r="R274" s="11" t="e">
        <f>VLOOKUP($G274, 'ADP Data'!$C$4:$Q$300, 5, FALSE)</f>
        <v>#N/A</v>
      </c>
      <c r="S274" s="11" t="e">
        <f>VLOOKUP($G274, 'ADP Data'!$C$4:$Q$300, 6, FALSE)</f>
        <v>#N/A</v>
      </c>
      <c r="T274" s="11" t="e">
        <f>VLOOKUP($G274, 'ADP Data'!$C$4:$Q$300, 7, FALSE)</f>
        <v>#N/A</v>
      </c>
      <c r="U274" s="11" t="e">
        <f>VLOOKUP($G274, 'ADP Data'!$C$4:$Q$300, 8, FALSE)</f>
        <v>#N/A</v>
      </c>
      <c r="V274" s="11" t="e">
        <f t="shared" si="14"/>
        <v>#N/A</v>
      </c>
      <c r="W274" s="11">
        <f t="shared" si="15"/>
        <v>16</v>
      </c>
      <c r="X274" s="11">
        <f t="shared" si="16"/>
        <v>-16</v>
      </c>
      <c r="Y274" s="11" t="e">
        <f>VLOOKUP($G274, SeanRanks!$A$2:$K$303, 10, FALSE)-V274</f>
        <v>#N/A</v>
      </c>
      <c r="Z274" s="25" t="e">
        <f>IF(VLOOKUP($G274, SeanRanks!$A$2:$H$303, 7, FALSE)=0, "", VLOOKUP($G274, SeanRanks!$A$2:$H$303, 7, FALSE))</f>
        <v>#N/A</v>
      </c>
    </row>
    <row r="275" spans="1:26" ht="14.25" customHeight="1" x14ac:dyDescent="0.25">
      <c r="A275" s="11"/>
      <c r="B275" s="11" t="e">
        <f t="shared" si="17"/>
        <v>#N/A</v>
      </c>
      <c r="C275" s="11" t="s">
        <v>148</v>
      </c>
      <c r="D275" s="11"/>
      <c r="E275" s="11"/>
      <c r="F275" s="11" t="e">
        <f>VLOOKUP(G275, SeanRanks!$A$2:$E$302, 4, FALSE)</f>
        <v>#N/A</v>
      </c>
      <c r="G275" s="11" t="s">
        <v>973</v>
      </c>
      <c r="H275" s="11" t="e">
        <f>VLOOKUP($G275, 'ADP Data'!$C$4:$Q$300, 2, FALSE)</f>
        <v>#N/A</v>
      </c>
      <c r="I275" s="11" t="e">
        <f>VLOOKUP(G275, 'ADP Data'!$C$4:$R$498, 12, FALSE)</f>
        <v>#N/A</v>
      </c>
      <c r="J275" s="11" t="e">
        <f>VLOOKUP($G275, SeanRanks!$A$2:$H$303, 5, FALSE)</f>
        <v>#N/A</v>
      </c>
      <c r="K275" s="11" t="e">
        <f>IF(VLOOKUP($G275, SeanRanks!$A$2:$H$303, 6, FALSE)=0, "", VLOOKUP($G275, SeanRanks!$A$2:$H$303, 6, FALSE))</f>
        <v>#N/A</v>
      </c>
      <c r="L275" s="11">
        <f t="shared" si="11"/>
        <v>16</v>
      </c>
      <c r="M275" s="11" t="e">
        <f>VLOOKUP($G275, 'ADP Data'!$C$4:$Q$300, 9, FALSE)</f>
        <v>#N/A</v>
      </c>
      <c r="N275" s="11" t="e">
        <f t="shared" si="12"/>
        <v>#N/A</v>
      </c>
      <c r="O275" s="11" t="e">
        <f>VLOOKUP($G275, 'ADP Data'!$C$4:$Q$300, 3, FALSE)</f>
        <v>#N/A</v>
      </c>
      <c r="P275" s="11" t="e">
        <f t="shared" si="13"/>
        <v>#N/A</v>
      </c>
      <c r="Q275" s="11" t="e">
        <f>VLOOKUP($G275, 'ADP Data'!$C$4:$Q$300, 4, FALSE)</f>
        <v>#N/A</v>
      </c>
      <c r="R275" s="11" t="e">
        <f>VLOOKUP($G275, 'ADP Data'!$C$4:$Q$300, 5, FALSE)</f>
        <v>#N/A</v>
      </c>
      <c r="S275" s="11" t="e">
        <f>VLOOKUP($G275, 'ADP Data'!$C$4:$Q$300, 6, FALSE)</f>
        <v>#N/A</v>
      </c>
      <c r="T275" s="11" t="e">
        <f>VLOOKUP($G275, 'ADP Data'!$C$4:$Q$300, 7, FALSE)</f>
        <v>#N/A</v>
      </c>
      <c r="U275" s="11" t="e">
        <f>VLOOKUP($G275, 'ADP Data'!$C$4:$Q$300, 8, FALSE)</f>
        <v>#N/A</v>
      </c>
      <c r="V275" s="11" t="e">
        <f t="shared" si="14"/>
        <v>#N/A</v>
      </c>
      <c r="W275" s="11">
        <f t="shared" si="15"/>
        <v>16</v>
      </c>
      <c r="X275" s="11">
        <f t="shared" si="16"/>
        <v>-16</v>
      </c>
      <c r="Y275" s="11" t="e">
        <f>VLOOKUP($G275, SeanRanks!$A$2:$K$303, 10, FALSE)-V275</f>
        <v>#N/A</v>
      </c>
      <c r="Z275" s="25" t="e">
        <f>IF(VLOOKUP($G275, SeanRanks!$A$2:$H$303, 7, FALSE)=0, "", VLOOKUP($G275, SeanRanks!$A$2:$H$303, 7, FALSE))</f>
        <v>#N/A</v>
      </c>
    </row>
    <row r="276" spans="1:26" ht="14.25" customHeight="1" x14ac:dyDescent="0.25">
      <c r="A276" s="11"/>
      <c r="B276" s="11" t="e">
        <f t="shared" si="17"/>
        <v>#N/A</v>
      </c>
      <c r="C276" s="11" t="s">
        <v>148</v>
      </c>
      <c r="D276" s="11"/>
      <c r="E276" s="11"/>
      <c r="F276" s="11" t="e">
        <f>VLOOKUP(G276, SeanRanks!$A$2:$E$302, 4, FALSE)</f>
        <v>#N/A</v>
      </c>
      <c r="G276" s="11" t="s">
        <v>974</v>
      </c>
      <c r="H276" s="11" t="e">
        <f>VLOOKUP($G276, 'ADP Data'!$C$4:$Q$300, 2, FALSE)</f>
        <v>#N/A</v>
      </c>
      <c r="I276" s="11" t="e">
        <f>VLOOKUP(G276, 'ADP Data'!$C$4:$R$498, 12, FALSE)</f>
        <v>#N/A</v>
      </c>
      <c r="J276" s="11" t="e">
        <f>VLOOKUP($G276, SeanRanks!$A$2:$H$303, 5, FALSE)</f>
        <v>#N/A</v>
      </c>
      <c r="K276" s="11" t="e">
        <f>IF(VLOOKUP($G276, SeanRanks!$A$2:$H$303, 6, FALSE)=0, "", VLOOKUP($G276, SeanRanks!$A$2:$H$303, 6, FALSE))</f>
        <v>#N/A</v>
      </c>
      <c r="L276" s="11">
        <f t="shared" si="11"/>
        <v>16</v>
      </c>
      <c r="M276" s="11" t="e">
        <f>VLOOKUP($G276, 'ADP Data'!$C$4:$Q$300, 9, FALSE)</f>
        <v>#N/A</v>
      </c>
      <c r="N276" s="11" t="e">
        <f t="shared" si="12"/>
        <v>#N/A</v>
      </c>
      <c r="O276" s="11" t="e">
        <f>VLOOKUP($G276, 'ADP Data'!$C$4:$Q$300, 3, FALSE)</f>
        <v>#N/A</v>
      </c>
      <c r="P276" s="11" t="e">
        <f t="shared" si="13"/>
        <v>#N/A</v>
      </c>
      <c r="Q276" s="11" t="e">
        <f>VLOOKUP($G276, 'ADP Data'!$C$4:$Q$300, 4, FALSE)</f>
        <v>#N/A</v>
      </c>
      <c r="R276" s="11" t="e">
        <f>VLOOKUP($G276, 'ADP Data'!$C$4:$Q$300, 5, FALSE)</f>
        <v>#N/A</v>
      </c>
      <c r="S276" s="11" t="e">
        <f>VLOOKUP($G276, 'ADP Data'!$C$4:$Q$300, 6, FALSE)</f>
        <v>#N/A</v>
      </c>
      <c r="T276" s="11" t="e">
        <f>VLOOKUP($G276, 'ADP Data'!$C$4:$Q$300, 7, FALSE)</f>
        <v>#N/A</v>
      </c>
      <c r="U276" s="11" t="e">
        <f>VLOOKUP($G276, 'ADP Data'!$C$4:$Q$300, 8, FALSE)</f>
        <v>#N/A</v>
      </c>
      <c r="V276" s="11" t="e">
        <f t="shared" si="14"/>
        <v>#N/A</v>
      </c>
      <c r="W276" s="11">
        <f t="shared" si="15"/>
        <v>16</v>
      </c>
      <c r="X276" s="11">
        <f t="shared" si="16"/>
        <v>-16</v>
      </c>
      <c r="Y276" s="11" t="e">
        <f>VLOOKUP($G276, SeanRanks!$A$2:$K$303, 10, FALSE)-V276</f>
        <v>#N/A</v>
      </c>
      <c r="Z276" s="25" t="e">
        <f>IF(VLOOKUP($G276, SeanRanks!$A$2:$H$303, 7, FALSE)=0, "", VLOOKUP($G276, SeanRanks!$A$2:$H$303, 7, FALSE))</f>
        <v>#N/A</v>
      </c>
    </row>
    <row r="277" spans="1:26" ht="14.25" customHeight="1" x14ac:dyDescent="0.25">
      <c r="A277" s="11"/>
      <c r="B277" s="11">
        <f t="shared" si="17"/>
        <v>21</v>
      </c>
      <c r="C277" s="11" t="s">
        <v>148</v>
      </c>
      <c r="D277" s="11"/>
      <c r="E277" s="11"/>
      <c r="F277" s="11">
        <f>VLOOKUP(G277, SeanRanks!$A$2:$E$302, 4, FALSE)</f>
        <v>0</v>
      </c>
      <c r="G277" s="11" t="s">
        <v>975</v>
      </c>
      <c r="H277" s="11" t="str">
        <f>VLOOKUP($G277, 'ADP Data'!$C$4:$Q$300, 2, FALSE)</f>
        <v>KC</v>
      </c>
      <c r="I277" s="11">
        <f>VLOOKUP(G277, 'ADP Data'!$C$4:$R$498, 12, FALSE)</f>
        <v>279</v>
      </c>
      <c r="J277" s="11">
        <f>VLOOKUP($G277, SeanRanks!$A$2:$H$303, 5, FALSE)</f>
        <v>0</v>
      </c>
      <c r="K277" s="11" t="str">
        <f>IF(VLOOKUP($G277, SeanRanks!$A$2:$H$303, 6, FALSE)=0, "", VLOOKUP($G277, SeanRanks!$A$2:$H$303, 6, FALSE))</f>
        <v/>
      </c>
      <c r="L277" s="11">
        <f t="shared" si="11"/>
        <v>35</v>
      </c>
      <c r="M277" s="11">
        <f>VLOOKUP($G277, 'ADP Data'!$C$4:$Q$300, 9, FALSE)</f>
        <v>276</v>
      </c>
      <c r="N277" s="11">
        <f t="shared" si="12"/>
        <v>24</v>
      </c>
      <c r="O277" s="11" t="str">
        <f>VLOOKUP($G277, 'ADP Data'!$C$4:$Q$300, 3, FALSE)</f>
        <v>-</v>
      </c>
      <c r="P277" s="11" t="e">
        <f t="shared" si="13"/>
        <v>#VALUE!</v>
      </c>
      <c r="Q277" s="11">
        <f>VLOOKUP($G277, 'ADP Data'!$C$4:$Q$300, 4, FALSE)</f>
        <v>233</v>
      </c>
      <c r="R277" s="11" t="str">
        <f>VLOOKUP($G277, 'ADP Data'!$C$4:$Q$300, 5, FALSE)</f>
        <v>-</v>
      </c>
      <c r="S277" s="11">
        <f>VLOOKUP($G277, 'ADP Data'!$C$4:$Q$300, 6, FALSE)</f>
        <v>249</v>
      </c>
      <c r="T277" s="11">
        <f>VLOOKUP($G277, 'ADP Data'!$C$4:$Q$300, 7, FALSE)</f>
        <v>263</v>
      </c>
      <c r="U277" s="11">
        <f>VLOOKUP($G277, 'ADP Data'!$C$4:$Q$300, 8, FALSE)</f>
        <v>240</v>
      </c>
      <c r="V277" s="11">
        <f t="shared" si="14"/>
        <v>252</v>
      </c>
      <c r="W277" s="11">
        <f t="shared" si="15"/>
        <v>32</v>
      </c>
      <c r="X277" s="11">
        <f t="shared" si="16"/>
        <v>-32</v>
      </c>
      <c r="Y277" s="11" t="e">
        <f>VLOOKUP($G277, SeanRanks!$A$2:$K$303, 10, FALSE)-V277</f>
        <v>#VALUE!</v>
      </c>
      <c r="Z277" s="25" t="str">
        <f>IF(VLOOKUP($G277, SeanRanks!$A$2:$H$303, 7, FALSE)=0, "", VLOOKUP($G277, SeanRanks!$A$2:$H$303, 7, FALSE))</f>
        <v/>
      </c>
    </row>
    <row r="278" spans="1:26" ht="14.25" customHeight="1" x14ac:dyDescent="0.25">
      <c r="A278" s="11"/>
      <c r="B278" s="11" t="e">
        <f t="shared" si="17"/>
        <v>#N/A</v>
      </c>
      <c r="C278" s="11" t="s">
        <v>148</v>
      </c>
      <c r="D278" s="11"/>
      <c r="E278" s="11"/>
      <c r="F278" s="11" t="e">
        <f>VLOOKUP(G278, SeanRanks!$A$2:$E$302, 4, FALSE)</f>
        <v>#N/A</v>
      </c>
      <c r="G278" s="11" t="s">
        <v>976</v>
      </c>
      <c r="H278" s="11" t="e">
        <f>VLOOKUP($G278, 'ADP Data'!$C$4:$Q$300, 2, FALSE)</f>
        <v>#N/A</v>
      </c>
      <c r="I278" s="11" t="e">
        <f>VLOOKUP(G278, 'ADP Data'!$C$4:$R$498, 12, FALSE)</f>
        <v>#N/A</v>
      </c>
      <c r="J278" s="11" t="e">
        <f>VLOOKUP($G278, SeanRanks!$A$2:$H$303, 5, FALSE)</f>
        <v>#N/A</v>
      </c>
      <c r="K278" s="11" t="e">
        <f>IF(VLOOKUP($G278, SeanRanks!$A$2:$H$303, 6, FALSE)=0, "", VLOOKUP($G278, SeanRanks!$A$2:$H$303, 6, FALSE))</f>
        <v>#N/A</v>
      </c>
      <c r="L278" s="11">
        <f t="shared" si="11"/>
        <v>16</v>
      </c>
      <c r="M278" s="11" t="e">
        <f>VLOOKUP($G278, 'ADP Data'!$C$4:$Q$300, 9, FALSE)</f>
        <v>#N/A</v>
      </c>
      <c r="N278" s="11" t="e">
        <f t="shared" si="12"/>
        <v>#N/A</v>
      </c>
      <c r="O278" s="11" t="e">
        <f>VLOOKUP($G278, 'ADP Data'!$C$4:$Q$300, 3, FALSE)</f>
        <v>#N/A</v>
      </c>
      <c r="P278" s="11" t="e">
        <f t="shared" si="13"/>
        <v>#N/A</v>
      </c>
      <c r="Q278" s="11" t="e">
        <f>VLOOKUP($G278, 'ADP Data'!$C$4:$Q$300, 4, FALSE)</f>
        <v>#N/A</v>
      </c>
      <c r="R278" s="11" t="e">
        <f>VLOOKUP($G278, 'ADP Data'!$C$4:$Q$300, 5, FALSE)</f>
        <v>#N/A</v>
      </c>
      <c r="S278" s="11" t="e">
        <f>VLOOKUP($G278, 'ADP Data'!$C$4:$Q$300, 6, FALSE)</f>
        <v>#N/A</v>
      </c>
      <c r="T278" s="11" t="e">
        <f>VLOOKUP($G278, 'ADP Data'!$C$4:$Q$300, 7, FALSE)</f>
        <v>#N/A</v>
      </c>
      <c r="U278" s="11" t="e">
        <f>VLOOKUP($G278, 'ADP Data'!$C$4:$Q$300, 8, FALSE)</f>
        <v>#N/A</v>
      </c>
      <c r="V278" s="11" t="e">
        <f t="shared" si="14"/>
        <v>#N/A</v>
      </c>
      <c r="W278" s="11">
        <f t="shared" si="15"/>
        <v>16</v>
      </c>
      <c r="X278" s="11">
        <f t="shared" si="16"/>
        <v>-16</v>
      </c>
      <c r="Y278" s="11" t="e">
        <f>VLOOKUP($G278, SeanRanks!$A$2:$K$303, 10, FALSE)-V278</f>
        <v>#N/A</v>
      </c>
      <c r="Z278" s="25" t="e">
        <f>IF(VLOOKUP($G278, SeanRanks!$A$2:$H$303, 7, FALSE)=0, "", VLOOKUP($G278, SeanRanks!$A$2:$H$303, 7, FALSE))</f>
        <v>#N/A</v>
      </c>
    </row>
    <row r="279" spans="1:26" ht="14.25" customHeight="1" x14ac:dyDescent="0.25">
      <c r="A279" s="11"/>
      <c r="B279" s="11" t="e">
        <f t="shared" si="17"/>
        <v>#N/A</v>
      </c>
      <c r="C279" s="11" t="s">
        <v>148</v>
      </c>
      <c r="D279" s="11"/>
      <c r="E279" s="11"/>
      <c r="F279" s="11" t="e">
        <f>VLOOKUP(G279, SeanRanks!$A$2:$E$302, 4, FALSE)</f>
        <v>#N/A</v>
      </c>
      <c r="G279" s="11" t="s">
        <v>977</v>
      </c>
      <c r="H279" s="11" t="e">
        <f>VLOOKUP($G279, 'ADP Data'!$C$4:$Q$300, 2, FALSE)</f>
        <v>#N/A</v>
      </c>
      <c r="I279" s="11" t="e">
        <f>VLOOKUP(G279, 'ADP Data'!$C$4:$R$498, 12, FALSE)</f>
        <v>#N/A</v>
      </c>
      <c r="J279" s="11" t="e">
        <f>VLOOKUP($G279, SeanRanks!$A$2:$H$303, 5, FALSE)</f>
        <v>#N/A</v>
      </c>
      <c r="K279" s="11" t="e">
        <f>IF(VLOOKUP($G279, SeanRanks!$A$2:$H$303, 6, FALSE)=0, "", VLOOKUP($G279, SeanRanks!$A$2:$H$303, 6, FALSE))</f>
        <v>#N/A</v>
      </c>
      <c r="L279" s="11">
        <f t="shared" si="11"/>
        <v>16</v>
      </c>
      <c r="M279" s="11" t="e">
        <f>VLOOKUP($G279, 'ADP Data'!$C$4:$Q$300, 9, FALSE)</f>
        <v>#N/A</v>
      </c>
      <c r="N279" s="11" t="e">
        <f t="shared" si="12"/>
        <v>#N/A</v>
      </c>
      <c r="O279" s="11" t="e">
        <f>VLOOKUP($G279, 'ADP Data'!$C$4:$Q$300, 3, FALSE)</f>
        <v>#N/A</v>
      </c>
      <c r="P279" s="11" t="e">
        <f t="shared" si="13"/>
        <v>#N/A</v>
      </c>
      <c r="Q279" s="11" t="e">
        <f>VLOOKUP($G279, 'ADP Data'!$C$4:$Q$300, 4, FALSE)</f>
        <v>#N/A</v>
      </c>
      <c r="R279" s="11" t="e">
        <f>VLOOKUP($G279, 'ADP Data'!$C$4:$Q$300, 5, FALSE)</f>
        <v>#N/A</v>
      </c>
      <c r="S279" s="11" t="e">
        <f>VLOOKUP($G279, 'ADP Data'!$C$4:$Q$300, 6, FALSE)</f>
        <v>#N/A</v>
      </c>
      <c r="T279" s="11" t="e">
        <f>VLOOKUP($G279, 'ADP Data'!$C$4:$Q$300, 7, FALSE)</f>
        <v>#N/A</v>
      </c>
      <c r="U279" s="11" t="e">
        <f>VLOOKUP($G279, 'ADP Data'!$C$4:$Q$300, 8, FALSE)</f>
        <v>#N/A</v>
      </c>
      <c r="V279" s="11" t="e">
        <f t="shared" si="14"/>
        <v>#N/A</v>
      </c>
      <c r="W279" s="11">
        <f t="shared" si="15"/>
        <v>16</v>
      </c>
      <c r="X279" s="11">
        <f t="shared" si="16"/>
        <v>-16</v>
      </c>
      <c r="Y279" s="11" t="e">
        <f>VLOOKUP($G279, SeanRanks!$A$2:$K$303, 10, FALSE)-V279</f>
        <v>#N/A</v>
      </c>
      <c r="Z279" s="25" t="e">
        <f>IF(VLOOKUP($G279, SeanRanks!$A$2:$H$303, 7, FALSE)=0, "", VLOOKUP($G279, SeanRanks!$A$2:$H$303, 7, FALSE))</f>
        <v>#N/A</v>
      </c>
    </row>
    <row r="280" spans="1:26" ht="14.25" customHeight="1" x14ac:dyDescent="0.25">
      <c r="A280" s="11"/>
      <c r="B280" s="11">
        <f t="shared" si="17"/>
        <v>16</v>
      </c>
      <c r="C280" s="11" t="s">
        <v>148</v>
      </c>
      <c r="D280" s="11"/>
      <c r="E280" s="11"/>
      <c r="F280" s="11">
        <f>VLOOKUP(G280, SeanRanks!$A$2:$E$302, 4, FALSE)</f>
        <v>0</v>
      </c>
      <c r="G280" s="11" t="s">
        <v>688</v>
      </c>
      <c r="H280" s="11" t="str">
        <f>VLOOKUP($G280, 'ADP Data'!$C$4:$Q$300, 2, FALSE)</f>
        <v>ATL</v>
      </c>
      <c r="I280" s="11">
        <f>VLOOKUP(G280, 'ADP Data'!$C$4:$R$498, 12, FALSE)</f>
        <v>143</v>
      </c>
      <c r="J280" s="11">
        <f>VLOOKUP($G280, SeanRanks!$A$2:$H$303, 5, FALSE)</f>
        <v>0</v>
      </c>
      <c r="K280" s="11" t="str">
        <f>IF(VLOOKUP($G280, SeanRanks!$A$2:$H$303, 6, FALSE)=0, "", VLOOKUP($G280, SeanRanks!$A$2:$H$303, 6, FALSE))</f>
        <v>Don’t Draft - Streamer</v>
      </c>
      <c r="L280" s="11">
        <f t="shared" si="11"/>
        <v>24</v>
      </c>
      <c r="M280" s="11">
        <f>VLOOKUP($G280, 'ADP Data'!$C$4:$Q$300, 9, FALSE)</f>
        <v>189</v>
      </c>
      <c r="N280" s="11">
        <f t="shared" si="12"/>
        <v>4</v>
      </c>
      <c r="O280" s="11">
        <f>VLOOKUP($G280, 'ADP Data'!$C$4:$Q$300, 3, FALSE)</f>
        <v>177</v>
      </c>
      <c r="P280" s="11">
        <f t="shared" si="13"/>
        <v>12</v>
      </c>
      <c r="Q280" s="11">
        <f>VLOOKUP($G280, 'ADP Data'!$C$4:$Q$300, 4, FALSE)</f>
        <v>181</v>
      </c>
      <c r="R280" s="11">
        <f>VLOOKUP($G280, 'ADP Data'!$C$4:$Q$300, 5, FALSE)</f>
        <v>236</v>
      </c>
      <c r="S280" s="11">
        <f>VLOOKUP($G280, 'ADP Data'!$C$4:$Q$300, 6, FALSE)</f>
        <v>164</v>
      </c>
      <c r="T280" s="11">
        <f>VLOOKUP($G280, 'ADP Data'!$C$4:$Q$300, 7, FALSE)</f>
        <v>159</v>
      </c>
      <c r="U280" s="11">
        <f>VLOOKUP($G280, 'ADP Data'!$C$4:$Q$300, 8, FALSE)</f>
        <v>189</v>
      </c>
      <c r="V280" s="11">
        <f t="shared" si="14"/>
        <v>185</v>
      </c>
      <c r="W280" s="11">
        <f t="shared" si="15"/>
        <v>24</v>
      </c>
      <c r="X280" s="11">
        <f t="shared" si="16"/>
        <v>-24</v>
      </c>
      <c r="Y280" s="11">
        <f>VLOOKUP($G280, SeanRanks!$A$2:$K$303, 10, FALSE)-V280</f>
        <v>-43</v>
      </c>
      <c r="Z280" s="25">
        <f>IF(VLOOKUP($G280, SeanRanks!$A$2:$H$303, 7, FALSE)=0, "", VLOOKUP($G280, SeanRanks!$A$2:$H$303, 7, FALSE))</f>
        <v>24</v>
      </c>
    </row>
    <row r="281" spans="1:26" ht="14.25" customHeight="1" x14ac:dyDescent="0.25">
      <c r="A281" s="11"/>
      <c r="B281" s="11">
        <f t="shared" si="17"/>
        <v>9</v>
      </c>
      <c r="C281" s="11" t="s">
        <v>148</v>
      </c>
      <c r="D281" s="11"/>
      <c r="E281" s="11"/>
      <c r="F281" s="11">
        <f>VLOOKUP(G281, SeanRanks!$A$2:$E$302, 4, FALSE)</f>
        <v>0</v>
      </c>
      <c r="G281" s="11" t="s">
        <v>458</v>
      </c>
      <c r="H281" s="11" t="str">
        <f>VLOOKUP($G281, 'ADP Data'!$C$4:$Q$300, 2, FALSE)</f>
        <v>SF</v>
      </c>
      <c r="I281" s="11">
        <f>VLOOKUP(G281, 'ADP Data'!$C$4:$R$498, 12, FALSE)</f>
        <v>84</v>
      </c>
      <c r="J281" s="11">
        <f>VLOOKUP($G281, SeanRanks!$A$2:$H$303, 5, FALSE)</f>
        <v>0</v>
      </c>
      <c r="K281" s="11" t="str">
        <f>IF(VLOOKUP($G281, SeanRanks!$A$2:$H$303, 6, FALSE)=0, "", VLOOKUP($G281, SeanRanks!$A$2:$H$303, 6, FALSE))</f>
        <v>WR4 - 1 - path to WR2</v>
      </c>
      <c r="L281" s="11">
        <f t="shared" si="11"/>
        <v>13</v>
      </c>
      <c r="M281" s="11">
        <f>VLOOKUP($G281, 'ADP Data'!$C$4:$Q$300, 9, FALSE)</f>
        <v>102</v>
      </c>
      <c r="N281" s="11">
        <f t="shared" si="12"/>
        <v>-3</v>
      </c>
      <c r="O281" s="11">
        <f>VLOOKUP($G281, 'ADP Data'!$C$4:$Q$300, 3, FALSE)</f>
        <v>119</v>
      </c>
      <c r="P281" s="11">
        <f t="shared" si="13"/>
        <v>-17</v>
      </c>
      <c r="Q281" s="11">
        <f>VLOOKUP($G281, 'ADP Data'!$C$4:$Q$300, 4, FALSE)</f>
        <v>115</v>
      </c>
      <c r="R281" s="11">
        <f>VLOOKUP($G281, 'ADP Data'!$C$4:$Q$300, 5, FALSE)</f>
        <v>110</v>
      </c>
      <c r="S281" s="11">
        <f>VLOOKUP($G281, 'ADP Data'!$C$4:$Q$300, 6, FALSE)</f>
        <v>98</v>
      </c>
      <c r="T281" s="11">
        <f>VLOOKUP($G281, 'ADP Data'!$C$4:$Q$300, 7, FALSE)</f>
        <v>85</v>
      </c>
      <c r="U281" s="11">
        <f>VLOOKUP($G281, 'ADP Data'!$C$4:$Q$300, 8, FALSE)</f>
        <v>111</v>
      </c>
      <c r="V281" s="11">
        <f t="shared" si="14"/>
        <v>105</v>
      </c>
      <c r="W281" s="11">
        <f t="shared" si="15"/>
        <v>14</v>
      </c>
      <c r="X281" s="11">
        <f t="shared" si="16"/>
        <v>-14</v>
      </c>
      <c r="Y281" s="11">
        <f>VLOOKUP($G281, SeanRanks!$A$2:$K$303, 10, FALSE)-V281</f>
        <v>-12</v>
      </c>
      <c r="Z281" s="25">
        <f>IF(VLOOKUP($G281, SeanRanks!$A$2:$H$303, 7, FALSE)=0, "", VLOOKUP($G281, SeanRanks!$A$2:$H$303, 7, FALSE))</f>
        <v>40</v>
      </c>
    </row>
    <row r="282" spans="1:26" ht="14.25" customHeight="1" x14ac:dyDescent="0.25">
      <c r="A282" s="11"/>
      <c r="B282" s="11" t="e">
        <f t="shared" si="17"/>
        <v>#N/A</v>
      </c>
      <c r="C282" s="11" t="s">
        <v>148</v>
      </c>
      <c r="D282" s="11"/>
      <c r="E282" s="11"/>
      <c r="F282" s="11" t="e">
        <f>VLOOKUP(G282, SeanRanks!$A$2:$E$302, 4, FALSE)</f>
        <v>#N/A</v>
      </c>
      <c r="G282" s="11" t="s">
        <v>978</v>
      </c>
      <c r="H282" s="11" t="e">
        <f>VLOOKUP($G282, 'ADP Data'!$C$4:$Q$300, 2, FALSE)</f>
        <v>#N/A</v>
      </c>
      <c r="I282" s="11" t="e">
        <f>VLOOKUP(G282, 'ADP Data'!$C$4:$R$498, 12, FALSE)</f>
        <v>#N/A</v>
      </c>
      <c r="J282" s="11" t="e">
        <f>VLOOKUP($G282, SeanRanks!$A$2:$H$303, 5, FALSE)</f>
        <v>#N/A</v>
      </c>
      <c r="K282" s="11" t="e">
        <f>IF(VLOOKUP($G282, SeanRanks!$A$2:$H$303, 6, FALSE)=0, "", VLOOKUP($G282, SeanRanks!$A$2:$H$303, 6, FALSE))</f>
        <v>#N/A</v>
      </c>
      <c r="L282" s="11">
        <f t="shared" si="11"/>
        <v>16</v>
      </c>
      <c r="M282" s="11" t="e">
        <f>VLOOKUP($G282, 'ADP Data'!$C$4:$Q$300, 9, FALSE)</f>
        <v>#N/A</v>
      </c>
      <c r="N282" s="11" t="e">
        <f t="shared" si="12"/>
        <v>#N/A</v>
      </c>
      <c r="O282" s="11" t="e">
        <f>VLOOKUP($G282, 'ADP Data'!$C$4:$Q$300, 3, FALSE)</f>
        <v>#N/A</v>
      </c>
      <c r="P282" s="11" t="e">
        <f t="shared" si="13"/>
        <v>#N/A</v>
      </c>
      <c r="Q282" s="11" t="e">
        <f>VLOOKUP($G282, 'ADP Data'!$C$4:$Q$300, 4, FALSE)</f>
        <v>#N/A</v>
      </c>
      <c r="R282" s="11" t="e">
        <f>VLOOKUP($G282, 'ADP Data'!$C$4:$Q$300, 5, FALSE)</f>
        <v>#N/A</v>
      </c>
      <c r="S282" s="11" t="e">
        <f>VLOOKUP($G282, 'ADP Data'!$C$4:$Q$300, 6, FALSE)</f>
        <v>#N/A</v>
      </c>
      <c r="T282" s="11" t="e">
        <f>VLOOKUP($G282, 'ADP Data'!$C$4:$Q$300, 7, FALSE)</f>
        <v>#N/A</v>
      </c>
      <c r="U282" s="11" t="e">
        <f>VLOOKUP($G282, 'ADP Data'!$C$4:$Q$300, 8, FALSE)</f>
        <v>#N/A</v>
      </c>
      <c r="V282" s="11" t="e">
        <f t="shared" si="14"/>
        <v>#N/A</v>
      </c>
      <c r="W282" s="11">
        <f t="shared" si="15"/>
        <v>16</v>
      </c>
      <c r="X282" s="11">
        <f t="shared" si="16"/>
        <v>-16</v>
      </c>
      <c r="Y282" s="11" t="e">
        <f>VLOOKUP($G282, SeanRanks!$A$2:$K$303, 10, FALSE)-V282</f>
        <v>#N/A</v>
      </c>
      <c r="Z282" s="25" t="e">
        <f>IF(VLOOKUP($G282, SeanRanks!$A$2:$H$303, 7, FALSE)=0, "", VLOOKUP($G282, SeanRanks!$A$2:$H$303, 7, FALSE))</f>
        <v>#N/A</v>
      </c>
    </row>
    <row r="283" spans="1:26" ht="14.25" customHeight="1" x14ac:dyDescent="0.25">
      <c r="A283" s="11"/>
      <c r="B283" s="11" t="e">
        <f t="shared" si="17"/>
        <v>#N/A</v>
      </c>
      <c r="C283" s="11" t="s">
        <v>148</v>
      </c>
      <c r="D283" s="11"/>
      <c r="E283" s="11"/>
      <c r="F283" s="11" t="e">
        <f>VLOOKUP(G283, SeanRanks!$A$2:$E$302, 4, FALSE)</f>
        <v>#N/A</v>
      </c>
      <c r="G283" s="11" t="s">
        <v>979</v>
      </c>
      <c r="H283" s="11" t="e">
        <f>VLOOKUP($G283, 'ADP Data'!$C$4:$Q$300, 2, FALSE)</f>
        <v>#N/A</v>
      </c>
      <c r="I283" s="11" t="e">
        <f>VLOOKUP(G283, 'ADP Data'!$C$4:$R$498, 12, FALSE)</f>
        <v>#N/A</v>
      </c>
      <c r="J283" s="11" t="e">
        <f>VLOOKUP($G283, SeanRanks!$A$2:$H$303, 5, FALSE)</f>
        <v>#N/A</v>
      </c>
      <c r="K283" s="11" t="e">
        <f>IF(VLOOKUP($G283, SeanRanks!$A$2:$H$303, 6, FALSE)=0, "", VLOOKUP($G283, SeanRanks!$A$2:$H$303, 6, FALSE))</f>
        <v>#N/A</v>
      </c>
      <c r="L283" s="11">
        <f t="shared" si="11"/>
        <v>16</v>
      </c>
      <c r="M283" s="11" t="e">
        <f>VLOOKUP($G283, 'ADP Data'!$C$4:$Q$300, 9, FALSE)</f>
        <v>#N/A</v>
      </c>
      <c r="N283" s="11" t="e">
        <f t="shared" si="12"/>
        <v>#N/A</v>
      </c>
      <c r="O283" s="11" t="e">
        <f>VLOOKUP($G283, 'ADP Data'!$C$4:$Q$300, 3, FALSE)</f>
        <v>#N/A</v>
      </c>
      <c r="P283" s="11" t="e">
        <f t="shared" si="13"/>
        <v>#N/A</v>
      </c>
      <c r="Q283" s="11" t="e">
        <f>VLOOKUP($G283, 'ADP Data'!$C$4:$Q$300, 4, FALSE)</f>
        <v>#N/A</v>
      </c>
      <c r="R283" s="11" t="e">
        <f>VLOOKUP($G283, 'ADP Data'!$C$4:$Q$300, 5, FALSE)</f>
        <v>#N/A</v>
      </c>
      <c r="S283" s="11" t="e">
        <f>VLOOKUP($G283, 'ADP Data'!$C$4:$Q$300, 6, FALSE)</f>
        <v>#N/A</v>
      </c>
      <c r="T283" s="11" t="e">
        <f>VLOOKUP($G283, 'ADP Data'!$C$4:$Q$300, 7, FALSE)</f>
        <v>#N/A</v>
      </c>
      <c r="U283" s="11" t="e">
        <f>VLOOKUP($G283, 'ADP Data'!$C$4:$Q$300, 8, FALSE)</f>
        <v>#N/A</v>
      </c>
      <c r="V283" s="11" t="e">
        <f t="shared" si="14"/>
        <v>#N/A</v>
      </c>
      <c r="W283" s="11">
        <f t="shared" si="15"/>
        <v>16</v>
      </c>
      <c r="X283" s="11">
        <f t="shared" si="16"/>
        <v>-16</v>
      </c>
      <c r="Y283" s="11" t="e">
        <f>VLOOKUP($G283, SeanRanks!$A$2:$K$303, 10, FALSE)-V283</f>
        <v>#N/A</v>
      </c>
      <c r="Z283" s="25" t="e">
        <f>IF(VLOOKUP($G283, SeanRanks!$A$2:$H$303, 7, FALSE)=0, "", VLOOKUP($G283, SeanRanks!$A$2:$H$303, 7, FALSE))</f>
        <v>#N/A</v>
      </c>
    </row>
    <row r="284" spans="1:26" ht="14.25" customHeight="1" x14ac:dyDescent="0.25">
      <c r="A284" s="11"/>
      <c r="B284" s="11" t="e">
        <f t="shared" si="17"/>
        <v>#N/A</v>
      </c>
      <c r="C284" s="11" t="s">
        <v>148</v>
      </c>
      <c r="D284" s="11"/>
      <c r="E284" s="11"/>
      <c r="F284" s="11" t="e">
        <f>VLOOKUP(G284, SeanRanks!$A$2:$E$302, 4, FALSE)</f>
        <v>#N/A</v>
      </c>
      <c r="G284" s="11" t="s">
        <v>825</v>
      </c>
      <c r="H284" s="11" t="e">
        <f>VLOOKUP($G284, 'ADP Data'!$C$4:$Q$300, 2, FALSE)</f>
        <v>#N/A</v>
      </c>
      <c r="I284" s="11" t="e">
        <f>VLOOKUP(G284, 'ADP Data'!$C$4:$R$498, 12, FALSE)</f>
        <v>#N/A</v>
      </c>
      <c r="J284" s="11" t="e">
        <f>VLOOKUP($G284, SeanRanks!$A$2:$H$303, 5, FALSE)</f>
        <v>#N/A</v>
      </c>
      <c r="K284" s="11" t="e">
        <f>IF(VLOOKUP($G284, SeanRanks!$A$2:$H$303, 6, FALSE)=0, "", VLOOKUP($G284, SeanRanks!$A$2:$H$303, 6, FALSE))</f>
        <v>#N/A</v>
      </c>
      <c r="L284" s="11">
        <f t="shared" si="11"/>
        <v>16</v>
      </c>
      <c r="M284" s="11" t="e">
        <f>VLOOKUP($G284, 'ADP Data'!$C$4:$Q$300, 9, FALSE)</f>
        <v>#N/A</v>
      </c>
      <c r="N284" s="11" t="e">
        <f t="shared" si="12"/>
        <v>#N/A</v>
      </c>
      <c r="O284" s="11" t="e">
        <f>VLOOKUP($G284, 'ADP Data'!$C$4:$Q$300, 3, FALSE)</f>
        <v>#N/A</v>
      </c>
      <c r="P284" s="11" t="e">
        <f t="shared" si="13"/>
        <v>#N/A</v>
      </c>
      <c r="Q284" s="11" t="e">
        <f>VLOOKUP($G284, 'ADP Data'!$C$4:$Q$300, 4, FALSE)</f>
        <v>#N/A</v>
      </c>
      <c r="R284" s="11" t="e">
        <f>VLOOKUP($G284, 'ADP Data'!$C$4:$Q$300, 5, FALSE)</f>
        <v>#N/A</v>
      </c>
      <c r="S284" s="11" t="e">
        <f>VLOOKUP($G284, 'ADP Data'!$C$4:$Q$300, 6, FALSE)</f>
        <v>#N/A</v>
      </c>
      <c r="T284" s="11" t="e">
        <f>VLOOKUP($G284, 'ADP Data'!$C$4:$Q$300, 7, FALSE)</f>
        <v>#N/A</v>
      </c>
      <c r="U284" s="11" t="e">
        <f>VLOOKUP($G284, 'ADP Data'!$C$4:$Q$300, 8, FALSE)</f>
        <v>#N/A</v>
      </c>
      <c r="V284" s="11" t="e">
        <f t="shared" si="14"/>
        <v>#N/A</v>
      </c>
      <c r="W284" s="11">
        <f t="shared" si="15"/>
        <v>16</v>
      </c>
      <c r="X284" s="11">
        <f t="shared" si="16"/>
        <v>-16</v>
      </c>
      <c r="Y284" s="11" t="e">
        <f>VLOOKUP($G284, SeanRanks!$A$2:$K$303, 10, FALSE)-V284</f>
        <v>#N/A</v>
      </c>
      <c r="Z284" s="25" t="e">
        <f>IF(VLOOKUP($G284, SeanRanks!$A$2:$H$303, 7, FALSE)=0, "", VLOOKUP($G284, SeanRanks!$A$2:$H$303, 7, FALSE))</f>
        <v>#N/A</v>
      </c>
    </row>
    <row r="285" spans="1:26" ht="14.25" customHeight="1" x14ac:dyDescent="0.25">
      <c r="A285" s="11"/>
      <c r="B285" s="11" t="e">
        <f t="shared" si="17"/>
        <v>#N/A</v>
      </c>
      <c r="C285" s="11" t="s">
        <v>148</v>
      </c>
      <c r="D285" s="11"/>
      <c r="E285" s="11"/>
      <c r="F285" s="11" t="e">
        <f>VLOOKUP(G285, SeanRanks!$A$2:$E$302, 4, FALSE)</f>
        <v>#N/A</v>
      </c>
      <c r="G285" s="11" t="s">
        <v>980</v>
      </c>
      <c r="H285" s="11" t="e">
        <f>VLOOKUP($G285, 'ADP Data'!$C$4:$Q$300, 2, FALSE)</f>
        <v>#N/A</v>
      </c>
      <c r="I285" s="11" t="e">
        <f>VLOOKUP(G285, 'ADP Data'!$C$4:$R$498, 12, FALSE)</f>
        <v>#N/A</v>
      </c>
      <c r="J285" s="11" t="e">
        <f>VLOOKUP($G285, SeanRanks!$A$2:$H$303, 5, FALSE)</f>
        <v>#N/A</v>
      </c>
      <c r="K285" s="11" t="e">
        <f>IF(VLOOKUP($G285, SeanRanks!$A$2:$H$303, 6, FALSE)=0, "", VLOOKUP($G285, SeanRanks!$A$2:$H$303, 6, FALSE))</f>
        <v>#N/A</v>
      </c>
      <c r="L285" s="11">
        <f t="shared" si="11"/>
        <v>16</v>
      </c>
      <c r="M285" s="11" t="e">
        <f>VLOOKUP($G285, 'ADP Data'!$C$4:$Q$300, 9, FALSE)</f>
        <v>#N/A</v>
      </c>
      <c r="N285" s="11" t="e">
        <f t="shared" si="12"/>
        <v>#N/A</v>
      </c>
      <c r="O285" s="11" t="e">
        <f>VLOOKUP($G285, 'ADP Data'!$C$4:$Q$300, 3, FALSE)</f>
        <v>#N/A</v>
      </c>
      <c r="P285" s="11" t="e">
        <f t="shared" si="13"/>
        <v>#N/A</v>
      </c>
      <c r="Q285" s="11"/>
      <c r="R285" s="11"/>
      <c r="S285" s="11"/>
      <c r="T285" s="11"/>
      <c r="U285" s="11"/>
      <c r="V285" s="11" t="e">
        <f t="shared" si="14"/>
        <v>#N/A</v>
      </c>
      <c r="W285" s="11">
        <f t="shared" si="15"/>
        <v>16</v>
      </c>
      <c r="X285" s="11">
        <f t="shared" si="16"/>
        <v>-16</v>
      </c>
      <c r="Y285" s="11" t="e">
        <f>VLOOKUP($G285, SeanRanks!$A$2:$K$303, 10, FALSE)-V285</f>
        <v>#N/A</v>
      </c>
      <c r="Z285" s="25" t="e">
        <f>IF(VLOOKUP($G285, SeanRanks!$A$2:$H$303, 7, FALSE)=0, "", VLOOKUP($G285, SeanRanks!$A$2:$H$303, 7, FALSE))</f>
        <v>#N/A</v>
      </c>
    </row>
    <row r="286" spans="1:26" ht="14.25" customHeight="1" x14ac:dyDescent="0.25">
      <c r="A286" s="11"/>
      <c r="B286" s="11">
        <f t="shared" si="17"/>
        <v>13</v>
      </c>
      <c r="C286" s="11" t="s">
        <v>148</v>
      </c>
      <c r="D286" s="11"/>
      <c r="E286" s="11"/>
      <c r="F286" s="11">
        <f>VLOOKUP(G286, SeanRanks!$A$2:$E$302, 4, FALSE)</f>
        <v>0</v>
      </c>
      <c r="G286" s="11" t="s">
        <v>808</v>
      </c>
      <c r="H286" s="11" t="str">
        <f>VLOOKUP($G286, 'ADP Data'!$C$4:$Q$300, 2, FALSE)</f>
        <v>MIN</v>
      </c>
      <c r="I286" s="11">
        <f>VLOOKUP(G286, 'ADP Data'!$C$4:$R$498, 12, FALSE)</f>
        <v>125</v>
      </c>
      <c r="J286" s="11">
        <f>VLOOKUP($G286, SeanRanks!$A$2:$H$303, 5, FALSE)</f>
        <v>0</v>
      </c>
      <c r="K286" s="11" t="str">
        <f>IF(VLOOKUP($G286, SeanRanks!$A$2:$H$303, 6, FALSE)=0, "", VLOOKUP($G286, SeanRanks!$A$2:$H$303, 6, FALSE))</f>
        <v>QB3 - Not League Winner</v>
      </c>
      <c r="L286" s="11">
        <f t="shared" si="11"/>
        <v>19</v>
      </c>
      <c r="M286" s="11">
        <f>VLOOKUP($G286, 'ADP Data'!$C$4:$Q$300, 9, FALSE)</f>
        <v>146</v>
      </c>
      <c r="N286" s="11">
        <f t="shared" si="12"/>
        <v>1</v>
      </c>
      <c r="O286" s="11">
        <f>VLOOKUP($G286, 'ADP Data'!$C$4:$Q$300, 3, FALSE)</f>
        <v>152</v>
      </c>
      <c r="P286" s="11">
        <f t="shared" si="13"/>
        <v>-6</v>
      </c>
      <c r="Q286" s="11">
        <f>VLOOKUP($G286, 'ADP Data'!$C$4:$Q$300, 4, FALSE)</f>
        <v>138</v>
      </c>
      <c r="R286" s="11">
        <f>VLOOKUP($G286, 'ADP Data'!$C$4:$Q$300, 5, FALSE)</f>
        <v>157</v>
      </c>
      <c r="S286" s="11">
        <f>VLOOKUP($G286, 'ADP Data'!$C$4:$Q$300, 6, FALSE)</f>
        <v>139</v>
      </c>
      <c r="T286" s="11">
        <f>VLOOKUP($G286, 'ADP Data'!$C$4:$Q$300, 7, FALSE)</f>
        <v>135</v>
      </c>
      <c r="U286" s="11">
        <f>VLOOKUP($G286, 'ADP Data'!$C$4:$Q$300, 8, FALSE)</f>
        <v>154</v>
      </c>
      <c r="V286" s="11">
        <f t="shared" si="14"/>
        <v>145</v>
      </c>
      <c r="W286" s="11">
        <f t="shared" si="15"/>
        <v>19</v>
      </c>
      <c r="X286" s="11">
        <f t="shared" si="16"/>
        <v>-19</v>
      </c>
      <c r="Y286" s="11">
        <f>VLOOKUP($G286, SeanRanks!$A$2:$K$303, 10, FALSE)-V286</f>
        <v>-20</v>
      </c>
      <c r="Z286" s="25">
        <f>IF(VLOOKUP($G286, SeanRanks!$A$2:$H$303, 7, FALSE)=0, "", VLOOKUP($G286, SeanRanks!$A$2:$H$303, 7, FALSE))</f>
        <v>23</v>
      </c>
    </row>
    <row r="287" spans="1:26" ht="14.25" customHeight="1" x14ac:dyDescent="0.25">
      <c r="A287" s="11"/>
      <c r="B287" s="11" t="e">
        <f t="shared" si="17"/>
        <v>#N/A</v>
      </c>
      <c r="C287" s="11" t="s">
        <v>148</v>
      </c>
      <c r="D287" s="11"/>
      <c r="E287" s="11"/>
      <c r="F287" s="11" t="e">
        <f>VLOOKUP(G287, SeanRanks!$A$2:$E$302, 4, FALSE)</f>
        <v>#N/A</v>
      </c>
      <c r="G287" s="11" t="s">
        <v>672</v>
      </c>
      <c r="H287" s="11" t="e">
        <f>VLOOKUP($G287, 'ADP Data'!$C$4:$Q$300, 2, FALSE)</f>
        <v>#N/A</v>
      </c>
      <c r="I287" s="11" t="e">
        <f>VLOOKUP(G287, 'ADP Data'!$C$4:$R$498, 12, FALSE)</f>
        <v>#N/A</v>
      </c>
      <c r="J287" s="11" t="e">
        <f>VLOOKUP($G287, SeanRanks!$A$2:$H$303, 5, FALSE)</f>
        <v>#N/A</v>
      </c>
      <c r="K287" s="11" t="e">
        <f>IF(VLOOKUP($G287, SeanRanks!$A$2:$H$303, 6, FALSE)=0, "", VLOOKUP($G287, SeanRanks!$A$2:$H$303, 6, FALSE))</f>
        <v>#N/A</v>
      </c>
      <c r="L287" s="11">
        <f t="shared" si="11"/>
        <v>16</v>
      </c>
      <c r="M287" s="11" t="e">
        <f>VLOOKUP($G287, 'ADP Data'!$C$4:$Q$300, 9, FALSE)</f>
        <v>#N/A</v>
      </c>
      <c r="N287" s="11" t="e">
        <f t="shared" si="12"/>
        <v>#N/A</v>
      </c>
      <c r="O287" s="11" t="e">
        <f>VLOOKUP($G287, 'ADP Data'!$C$4:$Q$300, 3, FALSE)</f>
        <v>#N/A</v>
      </c>
      <c r="P287" s="11" t="e">
        <f t="shared" si="13"/>
        <v>#N/A</v>
      </c>
      <c r="Q287" s="11" t="e">
        <f>VLOOKUP($G287, 'ADP Data'!$C$4:$Q$300, 4, FALSE)</f>
        <v>#N/A</v>
      </c>
      <c r="R287" s="11" t="e">
        <f>VLOOKUP($G287, 'ADP Data'!$C$4:$Q$300, 5, FALSE)</f>
        <v>#N/A</v>
      </c>
      <c r="S287" s="11" t="e">
        <f>VLOOKUP($G287, 'ADP Data'!$C$4:$Q$300, 6, FALSE)</f>
        <v>#N/A</v>
      </c>
      <c r="T287" s="11" t="e">
        <f>VLOOKUP($G287, 'ADP Data'!$C$4:$Q$300, 7, FALSE)</f>
        <v>#N/A</v>
      </c>
      <c r="U287" s="11" t="e">
        <f>VLOOKUP($G287, 'ADP Data'!$C$4:$Q$300, 8, FALSE)</f>
        <v>#N/A</v>
      </c>
      <c r="V287" s="11" t="e">
        <f t="shared" si="14"/>
        <v>#N/A</v>
      </c>
      <c r="W287" s="11">
        <f t="shared" si="15"/>
        <v>16</v>
      </c>
      <c r="X287" s="11">
        <f t="shared" si="16"/>
        <v>-16</v>
      </c>
      <c r="Y287" s="11" t="e">
        <f>VLOOKUP($G287, SeanRanks!$A$2:$K$303, 10, FALSE)-V287</f>
        <v>#N/A</v>
      </c>
      <c r="Z287" s="25" t="e">
        <f>IF(VLOOKUP($G287, SeanRanks!$A$2:$H$303, 7, FALSE)=0, "", VLOOKUP($G287, SeanRanks!$A$2:$H$303, 7, FALSE))</f>
        <v>#N/A</v>
      </c>
    </row>
    <row r="288" spans="1:26" ht="14.25" customHeight="1" x14ac:dyDescent="0.25">
      <c r="A288" s="11"/>
      <c r="B288" s="11" t="e">
        <f t="shared" si="17"/>
        <v>#N/A</v>
      </c>
      <c r="C288" s="11" t="s">
        <v>148</v>
      </c>
      <c r="D288" s="11"/>
      <c r="E288" s="11"/>
      <c r="F288" s="11" t="e">
        <f>VLOOKUP(G288, SeanRanks!$A$2:$E$302, 4, FALSE)</f>
        <v>#N/A</v>
      </c>
      <c r="G288" s="11" t="s">
        <v>982</v>
      </c>
      <c r="H288" s="11" t="e">
        <f>VLOOKUP($G288, 'ADP Data'!$C$4:$Q$300, 2, FALSE)</f>
        <v>#N/A</v>
      </c>
      <c r="I288" s="11" t="e">
        <f>VLOOKUP(G288, 'ADP Data'!$C$4:$R$498, 12, FALSE)</f>
        <v>#N/A</v>
      </c>
      <c r="J288" s="11" t="e">
        <f>VLOOKUP($G288, SeanRanks!$A$2:$H$303, 5, FALSE)</f>
        <v>#N/A</v>
      </c>
      <c r="K288" s="11" t="e">
        <f>IF(VLOOKUP($G288, SeanRanks!$A$2:$H$303, 6, FALSE)=0, "", VLOOKUP($G288, SeanRanks!$A$2:$H$303, 6, FALSE))</f>
        <v>#N/A</v>
      </c>
      <c r="L288" s="11">
        <f t="shared" si="11"/>
        <v>16</v>
      </c>
      <c r="M288" s="11" t="e">
        <f>VLOOKUP($G288, 'ADP Data'!$C$4:$Q$300, 9, FALSE)</f>
        <v>#N/A</v>
      </c>
      <c r="N288" s="11" t="e">
        <f t="shared" si="12"/>
        <v>#N/A</v>
      </c>
      <c r="O288" s="11" t="e">
        <f>VLOOKUP($G288, 'ADP Data'!$C$4:$Q$300, 3, FALSE)</f>
        <v>#N/A</v>
      </c>
      <c r="P288" s="11" t="e">
        <f t="shared" si="13"/>
        <v>#N/A</v>
      </c>
      <c r="Q288" s="11" t="e">
        <f>VLOOKUP($G288, 'ADP Data'!$C$4:$Q$300, 4, FALSE)</f>
        <v>#N/A</v>
      </c>
      <c r="R288" s="11" t="e">
        <f>VLOOKUP($G288, 'ADP Data'!$C$4:$Q$300, 5, FALSE)</f>
        <v>#N/A</v>
      </c>
      <c r="S288" s="11" t="e">
        <f>VLOOKUP($G288, 'ADP Data'!$C$4:$Q$300, 6, FALSE)</f>
        <v>#N/A</v>
      </c>
      <c r="T288" s="11" t="e">
        <f>VLOOKUP($G288, 'ADP Data'!$C$4:$Q$300, 7, FALSE)</f>
        <v>#N/A</v>
      </c>
      <c r="U288" s="11" t="e">
        <f>VLOOKUP($G288, 'ADP Data'!$C$4:$Q$300, 8, FALSE)</f>
        <v>#N/A</v>
      </c>
      <c r="V288" s="11" t="e">
        <f t="shared" si="14"/>
        <v>#N/A</v>
      </c>
      <c r="W288" s="11">
        <f t="shared" si="15"/>
        <v>16</v>
      </c>
      <c r="X288" s="11">
        <f t="shared" si="16"/>
        <v>-16</v>
      </c>
      <c r="Y288" s="11" t="e">
        <f>VLOOKUP($G288, SeanRanks!$A$2:$K$303, 10, FALSE)-V288</f>
        <v>#N/A</v>
      </c>
      <c r="Z288" s="25" t="e">
        <f>IF(VLOOKUP($G288, SeanRanks!$A$2:$H$303, 7, FALSE)=0, "", VLOOKUP($G288, SeanRanks!$A$2:$H$303, 7, FALSE))</f>
        <v>#N/A</v>
      </c>
    </row>
    <row r="289" spans="1:26" ht="14.25" customHeight="1" x14ac:dyDescent="0.25">
      <c r="A289" s="11"/>
      <c r="B289" s="11" t="e">
        <f t="shared" si="17"/>
        <v>#N/A</v>
      </c>
      <c r="C289" s="11" t="s">
        <v>148</v>
      </c>
      <c r="D289" s="11"/>
      <c r="E289" s="11"/>
      <c r="F289" s="11" t="e">
        <f>VLOOKUP(G289, SeanRanks!$A$2:$E$302, 4, FALSE)</f>
        <v>#N/A</v>
      </c>
      <c r="G289" s="11" t="s">
        <v>983</v>
      </c>
      <c r="H289" s="11" t="e">
        <f>VLOOKUP($G289, 'ADP Data'!$C$4:$Q$300, 2, FALSE)</f>
        <v>#N/A</v>
      </c>
      <c r="I289" s="11" t="e">
        <f>VLOOKUP(G289, 'ADP Data'!$C$4:$R$498, 12, FALSE)</f>
        <v>#N/A</v>
      </c>
      <c r="J289" s="11" t="e">
        <f>VLOOKUP($G289, SeanRanks!$A$2:$H$303, 5, FALSE)</f>
        <v>#N/A</v>
      </c>
      <c r="K289" s="11" t="e">
        <f>IF(VLOOKUP($G289, SeanRanks!$A$2:$H$303, 6, FALSE)=0, "", VLOOKUP($G289, SeanRanks!$A$2:$H$303, 6, FALSE))</f>
        <v>#N/A</v>
      </c>
      <c r="L289" s="11">
        <f t="shared" si="11"/>
        <v>16</v>
      </c>
      <c r="M289" s="11" t="e">
        <f>VLOOKUP($G289, 'ADP Data'!$C$4:$Q$300, 9, FALSE)</f>
        <v>#N/A</v>
      </c>
      <c r="N289" s="11" t="e">
        <f t="shared" si="12"/>
        <v>#N/A</v>
      </c>
      <c r="O289" s="11" t="e">
        <f>VLOOKUP($G289, 'ADP Data'!$C$4:$Q$300, 3, FALSE)</f>
        <v>#N/A</v>
      </c>
      <c r="P289" s="11" t="e">
        <f t="shared" si="13"/>
        <v>#N/A</v>
      </c>
      <c r="Q289" s="11" t="e">
        <f>VLOOKUP($G289, 'ADP Data'!$C$4:$Q$300, 4, FALSE)</f>
        <v>#N/A</v>
      </c>
      <c r="R289" s="11" t="e">
        <f>VLOOKUP($G289, 'ADP Data'!$C$4:$Q$300, 5, FALSE)</f>
        <v>#N/A</v>
      </c>
      <c r="S289" s="11" t="e">
        <f>VLOOKUP($G289, 'ADP Data'!$C$4:$Q$300, 6, FALSE)</f>
        <v>#N/A</v>
      </c>
      <c r="T289" s="11" t="e">
        <f>VLOOKUP($G289, 'ADP Data'!$C$4:$Q$300, 7, FALSE)</f>
        <v>#N/A</v>
      </c>
      <c r="U289" s="11" t="e">
        <f>VLOOKUP($G289, 'ADP Data'!$C$4:$Q$300, 8, FALSE)</f>
        <v>#N/A</v>
      </c>
      <c r="V289" s="11" t="e">
        <f t="shared" si="14"/>
        <v>#N/A</v>
      </c>
      <c r="W289" s="11">
        <f t="shared" si="15"/>
        <v>16</v>
      </c>
      <c r="X289" s="11">
        <f t="shared" si="16"/>
        <v>-16</v>
      </c>
      <c r="Y289" s="11" t="e">
        <f>VLOOKUP($G289, SeanRanks!$A$2:$K$303, 10, FALSE)-V289</f>
        <v>#N/A</v>
      </c>
      <c r="Z289" s="25" t="e">
        <f>IF(VLOOKUP($G289, SeanRanks!$A$2:$H$303, 7, FALSE)=0, "", VLOOKUP($G289, SeanRanks!$A$2:$H$303, 7, FALSE))</f>
        <v>#N/A</v>
      </c>
    </row>
    <row r="290" spans="1:26" ht="14.25" customHeight="1" x14ac:dyDescent="0.25">
      <c r="A290" s="11"/>
      <c r="B290" s="11">
        <f t="shared" si="17"/>
        <v>12</v>
      </c>
      <c r="C290" s="11" t="s">
        <v>148</v>
      </c>
      <c r="D290" s="11"/>
      <c r="E290" s="11"/>
      <c r="F290" s="11">
        <f>VLOOKUP(G290, SeanRanks!$A$2:$E$302, 4, FALSE)</f>
        <v>0</v>
      </c>
      <c r="G290" s="11" t="s">
        <v>568</v>
      </c>
      <c r="H290" s="11" t="str">
        <f>VLOOKUP($G290, 'ADP Data'!$C$4:$Q$300, 2, FALSE)</f>
        <v>LAC</v>
      </c>
      <c r="I290" s="11" t="str">
        <f>VLOOKUP(G290, 'ADP Data'!$C$4:$R$498, 12, FALSE)</f>
        <v>-</v>
      </c>
      <c r="J290" s="11">
        <f>VLOOKUP($G290, SeanRanks!$A$2:$H$303, 5, FALSE)</f>
        <v>0</v>
      </c>
      <c r="K290" s="11" t="str">
        <f>IF(VLOOKUP($G290, SeanRanks!$A$2:$H$303, 6, FALSE)=0, "", VLOOKUP($G290, SeanRanks!$A$2:$H$303, 6, FALSE))</f>
        <v/>
      </c>
      <c r="L290" s="11">
        <f t="shared" si="11"/>
        <v>17</v>
      </c>
      <c r="M290" s="11">
        <f>VLOOKUP($G290, 'ADP Data'!$C$4:$Q$300, 9, FALSE)</f>
        <v>132</v>
      </c>
      <c r="N290" s="11">
        <f t="shared" si="12"/>
        <v>-12</v>
      </c>
      <c r="O290" s="11">
        <f>VLOOKUP($G290, 'ADP Data'!$C$4:$Q$300, 3, FALSE)</f>
        <v>157</v>
      </c>
      <c r="P290" s="11">
        <f t="shared" si="13"/>
        <v>-25</v>
      </c>
      <c r="Q290" s="11"/>
      <c r="R290" s="11"/>
      <c r="S290" s="11"/>
      <c r="T290" s="11"/>
      <c r="U290" s="11"/>
      <c r="V290" s="11">
        <f t="shared" si="14"/>
        <v>144</v>
      </c>
      <c r="W290" s="11">
        <f t="shared" si="15"/>
        <v>19</v>
      </c>
      <c r="X290" s="11">
        <f t="shared" si="16"/>
        <v>-19</v>
      </c>
      <c r="Y290" s="11">
        <f>VLOOKUP($G290, SeanRanks!$A$2:$K$303, 10, FALSE)-V290</f>
        <v>49</v>
      </c>
      <c r="Z290" s="25" t="str">
        <f>IF(VLOOKUP($G290, SeanRanks!$A$2:$H$303, 7, FALSE)=0, "", VLOOKUP($G290, SeanRanks!$A$2:$H$303, 7, FALSE))</f>
        <v/>
      </c>
    </row>
    <row r="291" spans="1:26" ht="14.25" customHeight="1" x14ac:dyDescent="0.25">
      <c r="A291" s="11"/>
      <c r="B291" s="11" t="e">
        <f t="shared" si="17"/>
        <v>#N/A</v>
      </c>
      <c r="C291" s="11" t="s">
        <v>148</v>
      </c>
      <c r="D291" s="11"/>
      <c r="E291" s="11"/>
      <c r="F291" s="11" t="e">
        <f>VLOOKUP(G291, SeanRanks!$A$2:$E$302, 4, FALSE)</f>
        <v>#N/A</v>
      </c>
      <c r="G291" s="11" t="s">
        <v>984</v>
      </c>
      <c r="H291" s="11" t="e">
        <f>VLOOKUP($G291, 'ADP Data'!$C$4:$Q$300, 2, FALSE)</f>
        <v>#N/A</v>
      </c>
      <c r="I291" s="11" t="e">
        <f>VLOOKUP(G291, 'ADP Data'!$C$4:$R$498, 12, FALSE)</f>
        <v>#N/A</v>
      </c>
      <c r="J291" s="11" t="e">
        <f>VLOOKUP($G291, SeanRanks!$A$2:$H$303, 5, FALSE)</f>
        <v>#N/A</v>
      </c>
      <c r="K291" s="11" t="e">
        <f>IF(VLOOKUP($G291, SeanRanks!$A$2:$H$303, 6, FALSE)=0, "", VLOOKUP($G291, SeanRanks!$A$2:$H$303, 6, FALSE))</f>
        <v>#N/A</v>
      </c>
      <c r="L291" s="11">
        <f t="shared" si="11"/>
        <v>16</v>
      </c>
      <c r="M291" s="11" t="e">
        <f>VLOOKUP($G291, 'ADP Data'!$C$4:$Q$300, 9, FALSE)</f>
        <v>#N/A</v>
      </c>
      <c r="N291" s="11" t="e">
        <f t="shared" si="12"/>
        <v>#N/A</v>
      </c>
      <c r="O291" s="11" t="e">
        <f>VLOOKUP($G291, 'ADP Data'!$C$4:$Q$300, 3, FALSE)</f>
        <v>#N/A</v>
      </c>
      <c r="P291" s="11" t="e">
        <f t="shared" si="13"/>
        <v>#N/A</v>
      </c>
      <c r="Q291" s="11"/>
      <c r="R291" s="11"/>
      <c r="S291" s="11"/>
      <c r="T291" s="11"/>
      <c r="U291" s="11"/>
      <c r="V291" s="11" t="e">
        <f t="shared" si="14"/>
        <v>#N/A</v>
      </c>
      <c r="W291" s="11">
        <f t="shared" si="15"/>
        <v>16</v>
      </c>
      <c r="X291" s="11">
        <f t="shared" si="16"/>
        <v>-16</v>
      </c>
      <c r="Y291" s="11" t="e">
        <f>VLOOKUP($G291, SeanRanks!$A$2:$K$303, 10, FALSE)-V291</f>
        <v>#N/A</v>
      </c>
      <c r="Z291" s="25" t="e">
        <f>IF(VLOOKUP($G291, SeanRanks!$A$2:$H$303, 7, FALSE)=0, "", VLOOKUP($G291, SeanRanks!$A$2:$H$303, 7, FALSE))</f>
        <v>#N/A</v>
      </c>
    </row>
    <row r="292" spans="1:26" ht="14.25" customHeight="1" x14ac:dyDescent="0.25">
      <c r="A292" s="11"/>
      <c r="B292" s="11">
        <f t="shared" si="17"/>
        <v>22</v>
      </c>
      <c r="C292" s="11" t="s">
        <v>148</v>
      </c>
      <c r="D292" s="11"/>
      <c r="E292" s="11"/>
      <c r="F292" s="11" t="e">
        <f>VLOOKUP(G292, SeanRanks!$A$2:$E$302, 4, FALSE)</f>
        <v>#N/A</v>
      </c>
      <c r="G292" s="11" t="s">
        <v>985</v>
      </c>
      <c r="H292" s="11" t="str">
        <f>VLOOKUP($G292, 'ADP Data'!$C$4:$Q$300, 2, FALSE)</f>
        <v>WAS</v>
      </c>
      <c r="I292" s="11" t="str">
        <f>VLOOKUP(G292, 'ADP Data'!$C$4:$R$498, 12, FALSE)</f>
        <v>-</v>
      </c>
      <c r="J292" s="11" t="e">
        <f>VLOOKUP($G292, SeanRanks!$A$2:$H$303, 5, FALSE)</f>
        <v>#N/A</v>
      </c>
      <c r="K292" s="11" t="e">
        <f>IF(VLOOKUP($G292, SeanRanks!$A$2:$H$303, 6, FALSE)=0, "", VLOOKUP($G292, SeanRanks!$A$2:$H$303, 6, FALSE))</f>
        <v>#N/A</v>
      </c>
      <c r="L292" s="11">
        <f t="shared" si="11"/>
        <v>33</v>
      </c>
      <c r="M292" s="11">
        <f>VLOOKUP($G292, 'ADP Data'!$C$4:$Q$300, 9, FALSE)</f>
        <v>257</v>
      </c>
      <c r="N292" s="11">
        <f t="shared" si="12"/>
        <v>52</v>
      </c>
      <c r="O292" s="11">
        <f>VLOOKUP($G292, 'ADP Data'!$C$4:$Q$300, 3, FALSE)</f>
        <v>153</v>
      </c>
      <c r="P292" s="11">
        <f t="shared" si="13"/>
        <v>104</v>
      </c>
      <c r="Q292" s="11"/>
      <c r="R292" s="11"/>
      <c r="S292" s="11"/>
      <c r="T292" s="11"/>
      <c r="U292" s="11"/>
      <c r="V292" s="11">
        <f t="shared" si="14"/>
        <v>205</v>
      </c>
      <c r="W292" s="11">
        <f t="shared" si="15"/>
        <v>26</v>
      </c>
      <c r="X292" s="11">
        <f t="shared" si="16"/>
        <v>-26</v>
      </c>
      <c r="Y292" s="11" t="e">
        <f>VLOOKUP($G292, SeanRanks!$A$2:$K$303, 10, FALSE)-V292</f>
        <v>#N/A</v>
      </c>
      <c r="Z292" s="25" t="e">
        <f>IF(VLOOKUP($G292, SeanRanks!$A$2:$H$303, 7, FALSE)=0, "", VLOOKUP($G292, SeanRanks!$A$2:$H$303, 7, FALSE))</f>
        <v>#N/A</v>
      </c>
    </row>
    <row r="293" spans="1:26" ht="14.25" customHeight="1" x14ac:dyDescent="0.25">
      <c r="A293" s="11"/>
      <c r="B293" s="11" t="e">
        <f t="shared" si="17"/>
        <v>#N/A</v>
      </c>
      <c r="C293" s="11" t="s">
        <v>148</v>
      </c>
      <c r="D293" s="11"/>
      <c r="E293" s="11"/>
      <c r="F293" s="11" t="e">
        <f>VLOOKUP(G293, SeanRanks!$A$2:$E$302, 4, FALSE)</f>
        <v>#N/A</v>
      </c>
      <c r="G293" s="11" t="s">
        <v>564</v>
      </c>
      <c r="H293" s="11" t="e">
        <f>VLOOKUP($G293, 'ADP Data'!$C$4:$Q$300, 2, FALSE)</f>
        <v>#N/A</v>
      </c>
      <c r="I293" s="11" t="e">
        <f>VLOOKUP(G293, 'ADP Data'!$C$4:$R$498, 12, FALSE)</f>
        <v>#N/A</v>
      </c>
      <c r="J293" s="11" t="e">
        <f>VLOOKUP($G293, SeanRanks!$A$2:$H$303, 5, FALSE)</f>
        <v>#N/A</v>
      </c>
      <c r="K293" s="11" t="e">
        <f>IF(VLOOKUP($G293, SeanRanks!$A$2:$H$303, 6, FALSE)=0, "", VLOOKUP($G293, SeanRanks!$A$2:$H$303, 6, FALSE))</f>
        <v>#N/A</v>
      </c>
      <c r="L293" s="11">
        <f t="shared" si="11"/>
        <v>16</v>
      </c>
      <c r="M293" s="11" t="e">
        <f>VLOOKUP($G293, 'ADP Data'!$C$4:$Q$300, 9, FALSE)</f>
        <v>#N/A</v>
      </c>
      <c r="N293" s="11" t="e">
        <f t="shared" si="12"/>
        <v>#N/A</v>
      </c>
      <c r="O293" s="11" t="e">
        <f>VLOOKUP($G293, 'ADP Data'!$C$4:$Q$300, 3, FALSE)</f>
        <v>#N/A</v>
      </c>
      <c r="P293" s="11" t="e">
        <f t="shared" si="13"/>
        <v>#N/A</v>
      </c>
      <c r="Q293" s="11"/>
      <c r="R293" s="11"/>
      <c r="S293" s="11"/>
      <c r="T293" s="11"/>
      <c r="U293" s="11"/>
      <c r="V293" s="11" t="e">
        <f t="shared" si="14"/>
        <v>#N/A</v>
      </c>
      <c r="W293" s="11">
        <f t="shared" si="15"/>
        <v>16</v>
      </c>
      <c r="X293" s="11">
        <f t="shared" si="16"/>
        <v>-16</v>
      </c>
      <c r="Y293" s="11" t="e">
        <f>VLOOKUP($G293, SeanRanks!$A$2:$K$303, 10, FALSE)-V293</f>
        <v>#N/A</v>
      </c>
      <c r="Z293" s="25" t="e">
        <f>IF(VLOOKUP($G293, SeanRanks!$A$2:$H$303, 7, FALSE)=0, "", VLOOKUP($G293, SeanRanks!$A$2:$H$303, 7, FALSE))</f>
        <v>#N/A</v>
      </c>
    </row>
    <row r="294" spans="1:26" ht="14.25" customHeight="1" x14ac:dyDescent="0.25">
      <c r="A294" s="11"/>
      <c r="B294" s="11" t="e">
        <f t="shared" si="17"/>
        <v>#N/A</v>
      </c>
      <c r="C294" s="11" t="s">
        <v>148</v>
      </c>
      <c r="D294" s="11"/>
      <c r="E294" s="11"/>
      <c r="F294" s="11" t="e">
        <f>VLOOKUP(G294, SeanRanks!$A$2:$E$302, 4, FALSE)</f>
        <v>#N/A</v>
      </c>
      <c r="G294" s="11" t="s">
        <v>986</v>
      </c>
      <c r="H294" s="11" t="e">
        <f>VLOOKUP($G294, 'ADP Data'!$C$4:$Q$300, 2, FALSE)</f>
        <v>#N/A</v>
      </c>
      <c r="I294" s="11" t="e">
        <f>VLOOKUP(G294, 'ADP Data'!$C$4:$R$498, 12, FALSE)</f>
        <v>#N/A</v>
      </c>
      <c r="J294" s="11" t="e">
        <f>VLOOKUP($G294, SeanRanks!$A$2:$H$303, 5, FALSE)</f>
        <v>#N/A</v>
      </c>
      <c r="K294" s="11" t="e">
        <f>IF(VLOOKUP($G294, SeanRanks!$A$2:$H$303, 6, FALSE)=0, "", VLOOKUP($G294, SeanRanks!$A$2:$H$303, 6, FALSE))</f>
        <v>#N/A</v>
      </c>
      <c r="L294" s="11">
        <f t="shared" si="11"/>
        <v>16</v>
      </c>
      <c r="M294" s="11" t="e">
        <f>VLOOKUP($G294, 'ADP Data'!$C$4:$Q$300, 9, FALSE)</f>
        <v>#N/A</v>
      </c>
      <c r="N294" s="11" t="e">
        <f t="shared" si="12"/>
        <v>#N/A</v>
      </c>
      <c r="O294" s="11" t="e">
        <f>VLOOKUP($G294, 'ADP Data'!$C$4:$Q$300, 3, FALSE)</f>
        <v>#N/A</v>
      </c>
      <c r="P294" s="11" t="e">
        <f t="shared" si="13"/>
        <v>#N/A</v>
      </c>
      <c r="Q294" s="11"/>
      <c r="R294" s="11"/>
      <c r="S294" s="11"/>
      <c r="T294" s="11"/>
      <c r="U294" s="11"/>
      <c r="V294" s="11" t="e">
        <f t="shared" si="14"/>
        <v>#N/A</v>
      </c>
      <c r="W294" s="11">
        <f t="shared" si="15"/>
        <v>16</v>
      </c>
      <c r="X294" s="11">
        <f t="shared" si="16"/>
        <v>-16</v>
      </c>
      <c r="Y294" s="11" t="e">
        <f>VLOOKUP($G294, SeanRanks!$A$2:$K$303, 10, FALSE)-V294</f>
        <v>#N/A</v>
      </c>
      <c r="Z294" s="25" t="e">
        <f>IF(VLOOKUP($G294, SeanRanks!$A$2:$H$303, 7, FALSE)=0, "", VLOOKUP($G294, SeanRanks!$A$2:$H$303, 7, FALSE))</f>
        <v>#N/A</v>
      </c>
    </row>
    <row r="295" spans="1:26" ht="14.25" customHeight="1" x14ac:dyDescent="0.25">
      <c r="A295" s="11"/>
      <c r="B295" s="11" t="e">
        <f t="shared" si="17"/>
        <v>#N/A</v>
      </c>
      <c r="C295" s="11" t="s">
        <v>148</v>
      </c>
      <c r="D295" s="11"/>
      <c r="E295" s="11"/>
      <c r="F295" s="11" t="e">
        <f>VLOOKUP(G295, SeanRanks!$A$2:$E$302, 4, FALSE)</f>
        <v>#N/A</v>
      </c>
      <c r="G295" s="11" t="s">
        <v>987</v>
      </c>
      <c r="H295" s="11" t="e">
        <f>VLOOKUP($G295, 'ADP Data'!$C$4:$Q$300, 2, FALSE)</f>
        <v>#N/A</v>
      </c>
      <c r="I295" s="11" t="e">
        <f>VLOOKUP(G295, 'ADP Data'!$C$4:$R$498, 12, FALSE)</f>
        <v>#N/A</v>
      </c>
      <c r="J295" s="11" t="e">
        <f>VLOOKUP($G295, SeanRanks!$A$2:$H$303, 5, FALSE)</f>
        <v>#N/A</v>
      </c>
      <c r="K295" s="11" t="e">
        <f>IF(VLOOKUP($G295, SeanRanks!$A$2:$H$303, 6, FALSE)=0, "", VLOOKUP($G295, SeanRanks!$A$2:$H$303, 6, FALSE))</f>
        <v>#N/A</v>
      </c>
      <c r="L295" s="11">
        <f t="shared" si="11"/>
        <v>16</v>
      </c>
      <c r="M295" s="11" t="e">
        <f>VLOOKUP($G295, 'ADP Data'!$C$4:$Q$300, 9, FALSE)</f>
        <v>#N/A</v>
      </c>
      <c r="N295" s="11" t="e">
        <f t="shared" si="12"/>
        <v>#N/A</v>
      </c>
      <c r="O295" s="11" t="e">
        <f>VLOOKUP($G295, 'ADP Data'!$C$4:$Q$300, 3, FALSE)</f>
        <v>#N/A</v>
      </c>
      <c r="P295" s="11" t="e">
        <f t="shared" si="13"/>
        <v>#N/A</v>
      </c>
      <c r="Q295" s="11" t="e">
        <f>VLOOKUP($G295, 'ADP Data'!$C$4:$Q$300, 4, FALSE)</f>
        <v>#N/A</v>
      </c>
      <c r="R295" s="11" t="e">
        <f>VLOOKUP($G295, 'ADP Data'!$C$4:$Q$300, 5, FALSE)</f>
        <v>#N/A</v>
      </c>
      <c r="S295" s="11" t="e">
        <f>VLOOKUP($G295, 'ADP Data'!$C$4:$Q$300, 6, FALSE)</f>
        <v>#N/A</v>
      </c>
      <c r="T295" s="11" t="e">
        <f>VLOOKUP($G295, 'ADP Data'!$C$4:$Q$300, 7, FALSE)</f>
        <v>#N/A</v>
      </c>
      <c r="U295" s="11" t="e">
        <f>VLOOKUP($G295, 'ADP Data'!$C$4:$Q$300, 8, FALSE)</f>
        <v>#N/A</v>
      </c>
      <c r="V295" s="11" t="e">
        <f t="shared" si="14"/>
        <v>#N/A</v>
      </c>
      <c r="W295" s="11">
        <f t="shared" si="15"/>
        <v>16</v>
      </c>
      <c r="X295" s="11">
        <f t="shared" si="16"/>
        <v>-16</v>
      </c>
      <c r="Y295" s="11" t="e">
        <f>VLOOKUP($G295, SeanRanks!$A$2:$K$303, 10, FALSE)-V295</f>
        <v>#N/A</v>
      </c>
      <c r="Z295" s="25" t="e">
        <f>IF(VLOOKUP($G295, SeanRanks!$A$2:$H$303, 7, FALSE)=0, "", VLOOKUP($G295, SeanRanks!$A$2:$H$303, 7, FALSE))</f>
        <v>#N/A</v>
      </c>
    </row>
    <row r="296" spans="1:26" ht="14.25" customHeight="1" x14ac:dyDescent="0.25">
      <c r="A296" s="11"/>
      <c r="B296" s="11"/>
      <c r="C296" s="11" t="s">
        <v>148</v>
      </c>
      <c r="D296" s="11"/>
      <c r="E296" s="11"/>
      <c r="F296" s="11" t="e">
        <f>VLOOKUP(G296, SeanRanks!$A$2:$E$302, 4, FALSE)</f>
        <v>#N/A</v>
      </c>
      <c r="G296" s="11" t="s">
        <v>988</v>
      </c>
      <c r="H296" s="11" t="e">
        <f>VLOOKUP($G296, 'ADP Data'!$C$4:$Q$300, 2, FALSE)</f>
        <v>#N/A</v>
      </c>
      <c r="I296" s="11" t="e">
        <f>VLOOKUP(G296, 'ADP Data'!$C$4:$R$498, 12, FALSE)</f>
        <v>#N/A</v>
      </c>
      <c r="J296" s="11" t="e">
        <f>VLOOKUP($G296, SeanRanks!$A$2:$H$303, 5, FALSE)</f>
        <v>#N/A</v>
      </c>
      <c r="K296" s="11" t="e">
        <f>IF(VLOOKUP($G296, SeanRanks!$A$2:$H$303, 6, FALSE)=0, "", VLOOKUP($G296, SeanRanks!$A$2:$H$303, 6, FALSE))</f>
        <v>#N/A</v>
      </c>
      <c r="L296" s="11">
        <f t="shared" si="11"/>
        <v>16</v>
      </c>
      <c r="M296" s="11" t="e">
        <f>VLOOKUP($G296, 'ADP Data'!$C$4:$Q$300, 9, FALSE)</f>
        <v>#N/A</v>
      </c>
      <c r="N296" s="11" t="e">
        <f t="shared" si="12"/>
        <v>#N/A</v>
      </c>
      <c r="O296" s="11" t="e">
        <f>VLOOKUP($G296, 'ADP Data'!$C$4:$Q$300, 3, FALSE)</f>
        <v>#N/A</v>
      </c>
      <c r="P296" s="11" t="e">
        <f t="shared" si="13"/>
        <v>#N/A</v>
      </c>
      <c r="Q296" s="11" t="e">
        <f>VLOOKUP($G296, 'ADP Data'!$C$4:$Q$300, 4, FALSE)</f>
        <v>#N/A</v>
      </c>
      <c r="R296" s="11" t="e">
        <f>VLOOKUP($G296, 'ADP Data'!$C$4:$Q$300, 5, FALSE)</f>
        <v>#N/A</v>
      </c>
      <c r="S296" s="11" t="e">
        <f>VLOOKUP($G296, 'ADP Data'!$C$4:$Q$300, 6, FALSE)</f>
        <v>#N/A</v>
      </c>
      <c r="T296" s="11" t="e">
        <f>VLOOKUP($G296, 'ADP Data'!$C$4:$Q$300, 7, FALSE)</f>
        <v>#N/A</v>
      </c>
      <c r="U296" s="11" t="e">
        <f>VLOOKUP($G296, 'ADP Data'!$C$4:$Q$300, 8, FALSE)</f>
        <v>#N/A</v>
      </c>
      <c r="V296" s="11" t="e">
        <f t="shared" si="14"/>
        <v>#N/A</v>
      </c>
      <c r="W296" s="11">
        <f t="shared" si="15"/>
        <v>16</v>
      </c>
      <c r="X296" s="11">
        <f t="shared" si="16"/>
        <v>-16</v>
      </c>
      <c r="Y296" s="11" t="e">
        <f>VLOOKUP($G296, SeanRanks!$A$2:$K$303, 10, FALSE)-V296</f>
        <v>#N/A</v>
      </c>
      <c r="Z296" s="25" t="e">
        <f>IF(VLOOKUP($G296, SeanRanks!$A$2:$H$303, 7, FALSE)=0, "", VLOOKUP($G296, SeanRanks!$A$2:$H$303, 7, FALSE))</f>
        <v>#N/A</v>
      </c>
    </row>
    <row r="297" spans="1:26" ht="14.25" customHeight="1" x14ac:dyDescent="0.25">
      <c r="A297" s="11"/>
      <c r="B297" s="11">
        <f>IFERROR(INT(AVERAGE(Q297:U297)/12)+1, INT(AVERAGE(M297)/12)+1)</f>
        <v>23</v>
      </c>
      <c r="C297" s="11" t="s">
        <v>148</v>
      </c>
      <c r="D297" s="11"/>
      <c r="E297" s="11"/>
      <c r="F297" s="11">
        <f>VLOOKUP(G297, SeanRanks!$A$2:$E$302, 4, FALSE)</f>
        <v>0</v>
      </c>
      <c r="G297" s="11" t="s">
        <v>824</v>
      </c>
      <c r="H297" s="11" t="str">
        <f>VLOOKUP($G297, 'ADP Data'!$C$4:$Q$300, 2, FALSE)</f>
        <v>NYG</v>
      </c>
      <c r="I297" s="11">
        <f>VLOOKUP(G297, 'ADP Data'!$C$4:$R$498, 12, FALSE)</f>
        <v>207</v>
      </c>
      <c r="J297" s="11">
        <f>VLOOKUP($G297, SeanRanks!$A$2:$H$303, 5, FALSE)</f>
        <v>0</v>
      </c>
      <c r="K297" s="11" t="str">
        <f>IF(VLOOKUP($G297, SeanRanks!$A$2:$H$303, 6, FALSE)=0, "", VLOOKUP($G297, SeanRanks!$A$2:$H$303, 6, FALSE))</f>
        <v/>
      </c>
      <c r="L297" s="11">
        <f t="shared" si="11"/>
        <v>34</v>
      </c>
      <c r="M297" s="11">
        <f>VLOOKUP($G297, 'ADP Data'!$C$4:$Q$300, 9, FALSE)</f>
        <v>267</v>
      </c>
      <c r="N297" s="11">
        <f t="shared" si="12"/>
        <v>1</v>
      </c>
      <c r="O297" s="11" t="str">
        <f>VLOOKUP($G297, 'ADP Data'!$C$4:$Q$300, 3, FALSE)</f>
        <v>-</v>
      </c>
      <c r="P297" s="11" t="e">
        <f t="shared" si="13"/>
        <v>#VALUE!</v>
      </c>
      <c r="Q297" s="11" t="str">
        <f>VLOOKUP($G297, 'ADP Data'!$C$4:$Q$300, 4, FALSE)</f>
        <v>-</v>
      </c>
      <c r="R297" s="11">
        <f>VLOOKUP($G297, 'ADP Data'!$C$4:$Q$300, 5, FALSE)</f>
        <v>328</v>
      </c>
      <c r="S297" s="11">
        <f>VLOOKUP($G297, 'ADP Data'!$C$4:$Q$300, 6, FALSE)</f>
        <v>201</v>
      </c>
      <c r="T297" s="11">
        <f>VLOOKUP($G297, 'ADP Data'!$C$4:$Q$300, 7, FALSE)</f>
        <v>243</v>
      </c>
      <c r="U297" s="11">
        <f>VLOOKUP($G297, 'ADP Data'!$C$4:$Q$300, 8, FALSE)</f>
        <v>294</v>
      </c>
      <c r="V297" s="11">
        <f t="shared" si="14"/>
        <v>266</v>
      </c>
      <c r="W297" s="11">
        <f t="shared" si="15"/>
        <v>34</v>
      </c>
      <c r="X297" s="11">
        <f t="shared" si="16"/>
        <v>-34</v>
      </c>
      <c r="Y297" s="11">
        <f>VLOOKUP($G297, SeanRanks!$A$2:$K$303, 10, FALSE)-V297</f>
        <v>-66</v>
      </c>
      <c r="Z297" s="25" t="str">
        <f>IF(VLOOKUP($G297, SeanRanks!$A$2:$H$303, 7, FALSE)=0, "", VLOOKUP($G297, SeanRanks!$A$2:$H$303, 7, FALSE))</f>
        <v/>
      </c>
    </row>
    <row r="298" spans="1:26" ht="14.25" customHeight="1" x14ac:dyDescent="0.25">
      <c r="A298" s="11"/>
      <c r="B298" s="11"/>
      <c r="C298" s="11" t="s">
        <v>148</v>
      </c>
      <c r="D298" s="11"/>
      <c r="E298" s="11"/>
      <c r="F298" s="11" t="e">
        <f>VLOOKUP(G298, SeanRanks!$A$2:$E$302, 4, FALSE)</f>
        <v>#N/A</v>
      </c>
      <c r="G298" s="11" t="s">
        <v>989</v>
      </c>
      <c r="H298" s="11" t="e">
        <f>VLOOKUP($G298, 'ADP Data'!$C$4:$Q$300, 2, FALSE)</f>
        <v>#N/A</v>
      </c>
      <c r="I298" s="11" t="e">
        <f>VLOOKUP(G298, 'ADP Data'!$C$4:$R$498, 12, FALSE)</f>
        <v>#N/A</v>
      </c>
      <c r="J298" s="11" t="e">
        <f>VLOOKUP($G298, SeanRanks!$A$2:$H$303, 5, FALSE)</f>
        <v>#N/A</v>
      </c>
      <c r="K298" s="11" t="e">
        <f>IF(VLOOKUP($G298, SeanRanks!$A$2:$H$303, 6, FALSE)=0, "", VLOOKUP($G298, SeanRanks!$A$2:$H$303, 6, FALSE))</f>
        <v>#N/A</v>
      </c>
      <c r="L298" s="11">
        <f t="shared" si="11"/>
        <v>16</v>
      </c>
      <c r="M298" s="11" t="e">
        <f>VLOOKUP($G298, 'ADP Data'!$C$4:$Q$300, 9, FALSE)</f>
        <v>#N/A</v>
      </c>
      <c r="N298" s="11" t="e">
        <f t="shared" si="12"/>
        <v>#N/A</v>
      </c>
      <c r="O298" s="11" t="e">
        <f>VLOOKUP($G298, 'ADP Data'!$C$4:$Q$300, 3, FALSE)</f>
        <v>#N/A</v>
      </c>
      <c r="P298" s="11" t="e">
        <f t="shared" si="13"/>
        <v>#N/A</v>
      </c>
      <c r="Q298" s="11" t="e">
        <f>VLOOKUP($G298, 'ADP Data'!$C$4:$Q$300, 4, FALSE)</f>
        <v>#N/A</v>
      </c>
      <c r="R298" s="11" t="e">
        <f>VLOOKUP($G298, 'ADP Data'!$C$4:$Q$300, 5, FALSE)</f>
        <v>#N/A</v>
      </c>
      <c r="S298" s="11" t="e">
        <f>VLOOKUP($G298, 'ADP Data'!$C$4:$Q$300, 6, FALSE)</f>
        <v>#N/A</v>
      </c>
      <c r="T298" s="11" t="e">
        <f>VLOOKUP($G298, 'ADP Data'!$C$4:$Q$300, 7, FALSE)</f>
        <v>#N/A</v>
      </c>
      <c r="U298" s="11" t="e">
        <f>VLOOKUP($G298, 'ADP Data'!$C$4:$Q$300, 8, FALSE)</f>
        <v>#N/A</v>
      </c>
      <c r="V298" s="11" t="e">
        <f t="shared" si="14"/>
        <v>#N/A</v>
      </c>
      <c r="W298" s="11">
        <f t="shared" si="15"/>
        <v>16</v>
      </c>
      <c r="X298" s="11">
        <f t="shared" si="16"/>
        <v>-16</v>
      </c>
      <c r="Y298" s="11" t="e">
        <f>VLOOKUP($G298, SeanRanks!$A$2:$K$303, 10, FALSE)-V298</f>
        <v>#N/A</v>
      </c>
      <c r="Z298" s="25" t="e">
        <f>IF(VLOOKUP($G298, SeanRanks!$A$2:$H$303, 7, FALSE)=0, "", VLOOKUP($G298, SeanRanks!$A$2:$H$303, 7, FALSE))</f>
        <v>#N/A</v>
      </c>
    </row>
    <row r="299" spans="1:26" ht="14.25" customHeight="1" x14ac:dyDescent="0.25">
      <c r="A299" s="11"/>
      <c r="B299" s="11">
        <f t="shared" ref="B299:B301" si="18">IFERROR(INT(AVERAGE(Q299:U299)/12)+1, INT(AVERAGE(M299)/12)+1)</f>
        <v>23</v>
      </c>
      <c r="C299" s="11" t="s">
        <v>148</v>
      </c>
      <c r="D299" s="11"/>
      <c r="E299" s="11"/>
      <c r="F299" s="11">
        <f>VLOOKUP(G299, SeanRanks!$A$2:$E$302, 4, FALSE)</f>
        <v>0</v>
      </c>
      <c r="G299" s="11" t="s">
        <v>990</v>
      </c>
      <c r="H299" s="11" t="str">
        <f>VLOOKUP($G299, 'ADP Data'!$C$4:$Q$300, 2, FALSE)</f>
        <v>PIT</v>
      </c>
      <c r="I299" s="11">
        <f>VLOOKUP(G299, 'ADP Data'!$C$4:$R$498, 12, FALSE)</f>
        <v>250</v>
      </c>
      <c r="J299" s="11">
        <f>VLOOKUP($G299, SeanRanks!$A$2:$H$303, 5, FALSE)</f>
        <v>0</v>
      </c>
      <c r="K299" s="11" t="str">
        <f>IF(VLOOKUP($G299, SeanRanks!$A$2:$H$303, 6, FALSE)=0, "", VLOOKUP($G299, SeanRanks!$A$2:$H$303, 6, FALSE))</f>
        <v/>
      </c>
      <c r="L299" s="11">
        <f t="shared" si="11"/>
        <v>35</v>
      </c>
      <c r="M299" s="11">
        <f>VLOOKUP($G299, 'ADP Data'!$C$4:$Q$300, 9, FALSE)</f>
        <v>274</v>
      </c>
      <c r="N299" s="11">
        <f t="shared" si="12"/>
        <v>1</v>
      </c>
      <c r="O299" s="11" t="str">
        <f>VLOOKUP($G299, 'ADP Data'!$C$4:$Q$300, 3, FALSE)</f>
        <v>-</v>
      </c>
      <c r="P299" s="11" t="e">
        <f t="shared" si="13"/>
        <v>#VALUE!</v>
      </c>
      <c r="Q299" s="11" t="str">
        <f>VLOOKUP($G299, 'ADP Data'!$C$4:$Q$300, 4, FALSE)</f>
        <v>-</v>
      </c>
      <c r="R299" s="11">
        <f>VLOOKUP($G299, 'ADP Data'!$C$4:$Q$300, 5, FALSE)</f>
        <v>302</v>
      </c>
      <c r="S299" s="11">
        <f>VLOOKUP($G299, 'ADP Data'!$C$4:$Q$300, 6, FALSE)</f>
        <v>262</v>
      </c>
      <c r="T299" s="11">
        <f>VLOOKUP($G299, 'ADP Data'!$C$4:$Q$300, 7, FALSE)</f>
        <v>250</v>
      </c>
      <c r="U299" s="11">
        <f>VLOOKUP($G299, 'ADP Data'!$C$4:$Q$300, 8, FALSE)</f>
        <v>277</v>
      </c>
      <c r="V299" s="11">
        <f t="shared" si="14"/>
        <v>273</v>
      </c>
      <c r="W299" s="11">
        <f t="shared" si="15"/>
        <v>35</v>
      </c>
      <c r="X299" s="11">
        <f t="shared" si="16"/>
        <v>-35</v>
      </c>
      <c r="Y299" s="11" t="e">
        <f>VLOOKUP($G299, SeanRanks!$A$2:$K$303, 10, FALSE)-V299</f>
        <v>#VALUE!</v>
      </c>
      <c r="Z299" s="25" t="str">
        <f>IF(VLOOKUP($G299, SeanRanks!$A$2:$H$303, 7, FALSE)=0, "", VLOOKUP($G299, SeanRanks!$A$2:$H$303, 7, FALSE))</f>
        <v/>
      </c>
    </row>
    <row r="300" spans="1:26" ht="14.25" customHeight="1" x14ac:dyDescent="0.25">
      <c r="A300" s="11"/>
      <c r="B300" s="11" t="e">
        <f t="shared" si="18"/>
        <v>#N/A</v>
      </c>
      <c r="C300" s="11" t="s">
        <v>148</v>
      </c>
      <c r="D300" s="11"/>
      <c r="E300" s="11"/>
      <c r="F300" s="11" t="e">
        <f>VLOOKUP(G300, SeanRanks!$A$2:$E$302, 4, FALSE)</f>
        <v>#N/A</v>
      </c>
      <c r="G300" s="11" t="s">
        <v>991</v>
      </c>
      <c r="H300" s="11" t="e">
        <f>VLOOKUP($G300, 'ADP Data'!$C$4:$Q$300, 2, FALSE)</f>
        <v>#N/A</v>
      </c>
      <c r="I300" s="11" t="e">
        <f>VLOOKUP(G300, 'ADP Data'!$C$4:$R$498, 12, FALSE)</f>
        <v>#N/A</v>
      </c>
      <c r="J300" s="11" t="e">
        <f>VLOOKUP($G300, SeanRanks!$A$2:$H$303, 5, FALSE)</f>
        <v>#N/A</v>
      </c>
      <c r="K300" s="11" t="e">
        <f>IF(VLOOKUP($G300, SeanRanks!$A$2:$H$303, 6, FALSE)=0, "", VLOOKUP($G300, SeanRanks!$A$2:$H$303, 6, FALSE))</f>
        <v>#N/A</v>
      </c>
      <c r="L300" s="11">
        <f t="shared" si="11"/>
        <v>16</v>
      </c>
      <c r="M300" s="11" t="e">
        <f>VLOOKUP($G300, 'ADP Data'!$C$4:$Q$300, 9, FALSE)</f>
        <v>#N/A</v>
      </c>
      <c r="N300" s="11" t="e">
        <f t="shared" si="12"/>
        <v>#N/A</v>
      </c>
      <c r="O300" s="11" t="e">
        <f>VLOOKUP($G300, 'ADP Data'!$C$4:$Q$300, 3, FALSE)</f>
        <v>#N/A</v>
      </c>
      <c r="P300" s="11" t="e">
        <f t="shared" si="13"/>
        <v>#N/A</v>
      </c>
      <c r="Q300" s="11" t="e">
        <f>VLOOKUP($G300, 'ADP Data'!$C$4:$Q$300, 4, FALSE)</f>
        <v>#N/A</v>
      </c>
      <c r="R300" s="11" t="e">
        <f>VLOOKUP($G300, 'ADP Data'!$C$4:$Q$300, 5, FALSE)</f>
        <v>#N/A</v>
      </c>
      <c r="S300" s="11" t="e">
        <f>VLOOKUP($G300, 'ADP Data'!$C$4:$Q$300, 6, FALSE)</f>
        <v>#N/A</v>
      </c>
      <c r="T300" s="11" t="e">
        <f>VLOOKUP($G300, 'ADP Data'!$C$4:$Q$300, 7, FALSE)</f>
        <v>#N/A</v>
      </c>
      <c r="U300" s="11" t="e">
        <f>VLOOKUP($G300, 'ADP Data'!$C$4:$Q$300, 8, FALSE)</f>
        <v>#N/A</v>
      </c>
      <c r="V300" s="11" t="e">
        <f t="shared" si="14"/>
        <v>#N/A</v>
      </c>
      <c r="W300" s="11">
        <f t="shared" si="15"/>
        <v>16</v>
      </c>
      <c r="X300" s="11">
        <f t="shared" si="16"/>
        <v>-16</v>
      </c>
      <c r="Y300" s="11" t="e">
        <f>VLOOKUP($G300, SeanRanks!$A$2:$K$303, 10, FALSE)-V300</f>
        <v>#N/A</v>
      </c>
      <c r="Z300" s="25" t="e">
        <f>IF(VLOOKUP($G300, SeanRanks!$A$2:$H$303, 7, FALSE)=0, "", VLOOKUP($G300, SeanRanks!$A$2:$H$303, 7, FALSE))</f>
        <v>#N/A</v>
      </c>
    </row>
    <row r="301" spans="1:26" ht="14.25" customHeight="1" x14ac:dyDescent="0.25">
      <c r="A301" s="11"/>
      <c r="B301" s="11">
        <f t="shared" si="18"/>
        <v>20</v>
      </c>
      <c r="C301" s="11" t="s">
        <v>148</v>
      </c>
      <c r="D301" s="11"/>
      <c r="E301" s="11"/>
      <c r="F301" s="11">
        <f>VLOOKUP(G301, SeanRanks!$A$2:$E$302, 4, FALSE)</f>
        <v>0</v>
      </c>
      <c r="G301" s="11" t="s">
        <v>701</v>
      </c>
      <c r="H301" s="11" t="str">
        <f>VLOOKUP($G301, 'ADP Data'!$C$4:$Q$300, 2, FALSE)</f>
        <v>NYG</v>
      </c>
      <c r="I301" s="11" t="str">
        <f>VLOOKUP(G301, 'ADP Data'!$C$4:$R$498, 12, FALSE)</f>
        <v>-</v>
      </c>
      <c r="J301" s="11">
        <f>VLOOKUP($G301, SeanRanks!$A$2:$H$303, 5, FALSE)</f>
        <v>0</v>
      </c>
      <c r="K301" s="11" t="str">
        <f>IF(VLOOKUP($G301, SeanRanks!$A$2:$H$303, 6, FALSE)=0, "", VLOOKUP($G301, SeanRanks!$A$2:$H$303, 6, FALSE))</f>
        <v/>
      </c>
      <c r="L301" s="11">
        <f t="shared" si="11"/>
        <v>30</v>
      </c>
      <c r="M301" s="11">
        <f>VLOOKUP($G301, 'ADP Data'!$C$4:$Q$300, 9, FALSE)</f>
        <v>239</v>
      </c>
      <c r="N301" s="11">
        <f t="shared" si="12"/>
        <v>19</v>
      </c>
      <c r="O301" s="11">
        <f>VLOOKUP($G301, 'ADP Data'!$C$4:$Q$300, 3, FALSE)</f>
        <v>169</v>
      </c>
      <c r="P301" s="11">
        <f t="shared" si="13"/>
        <v>70</v>
      </c>
      <c r="Q301" s="11">
        <f>VLOOKUP($G301, 'ADP Data'!$C$4:$Q$300, 4, FALSE)</f>
        <v>199</v>
      </c>
      <c r="R301" s="11" t="str">
        <f>VLOOKUP($G301, 'ADP Data'!$C$4:$Q$300, 5, FALSE)</f>
        <v>-</v>
      </c>
      <c r="S301" s="11">
        <f>VLOOKUP($G301, 'ADP Data'!$C$4:$Q$300, 6, FALSE)</f>
        <v>281</v>
      </c>
      <c r="T301" s="11">
        <f>VLOOKUP($G301, 'ADP Data'!$C$4:$Q$300, 7, FALSE)</f>
        <v>249</v>
      </c>
      <c r="U301" s="11">
        <f>VLOOKUP($G301, 'ADP Data'!$C$4:$Q$300, 8, FALSE)</f>
        <v>187</v>
      </c>
      <c r="V301" s="11">
        <f t="shared" si="14"/>
        <v>220</v>
      </c>
      <c r="W301" s="11">
        <f t="shared" si="15"/>
        <v>28</v>
      </c>
      <c r="X301" s="11">
        <f t="shared" si="16"/>
        <v>-28</v>
      </c>
      <c r="Y301" s="11" t="e">
        <f>VLOOKUP($G301, SeanRanks!$A$2:$K$303, 10, FALSE)-V301</f>
        <v>#VALUE!</v>
      </c>
      <c r="Z301" s="25" t="str">
        <f>IF(VLOOKUP($G301, SeanRanks!$A$2:$H$303, 7, FALSE)=0, "", VLOOKUP($G301, SeanRanks!$A$2:$H$303, 7, FALSE))</f>
        <v/>
      </c>
    </row>
    <row r="302" spans="1:26" ht="14.25" customHeight="1" x14ac:dyDescent="0.25">
      <c r="A302" s="11"/>
      <c r="B302" s="11"/>
      <c r="C302" s="11" t="s">
        <v>148</v>
      </c>
      <c r="D302" s="11"/>
      <c r="E302" s="11"/>
      <c r="F302" s="11" t="e">
        <f>VLOOKUP(G302, SeanRanks!$A$2:$E$302, 4, FALSE)</f>
        <v>#N/A</v>
      </c>
      <c r="G302" s="11" t="s">
        <v>992</v>
      </c>
      <c r="H302" s="11" t="e">
        <f>VLOOKUP($G302, 'ADP Data'!$C$4:$Q$300, 2, FALSE)</f>
        <v>#N/A</v>
      </c>
      <c r="I302" s="11" t="e">
        <f>VLOOKUP(G302, 'ADP Data'!$C$4:$R$498, 12, FALSE)</f>
        <v>#N/A</v>
      </c>
      <c r="J302" s="11" t="e">
        <f>VLOOKUP($G302, SeanRanks!$A$2:$H$303, 5, FALSE)</f>
        <v>#N/A</v>
      </c>
      <c r="K302" s="11" t="e">
        <f>IF(VLOOKUP($G302, SeanRanks!$A$2:$H$303, 6, FALSE)=0, "", VLOOKUP($G302, SeanRanks!$A$2:$H$303, 6, FALSE))</f>
        <v>#N/A</v>
      </c>
      <c r="L302" s="11">
        <f t="shared" si="11"/>
        <v>16</v>
      </c>
      <c r="M302" s="11" t="e">
        <f>VLOOKUP($G302, 'ADP Data'!$C$4:$Q$300, 9, FALSE)</f>
        <v>#N/A</v>
      </c>
      <c r="N302" s="11" t="e">
        <f t="shared" si="12"/>
        <v>#N/A</v>
      </c>
      <c r="O302" s="11" t="e">
        <f>VLOOKUP($G302, 'ADP Data'!$C$4:$Q$300, 3, FALSE)</f>
        <v>#N/A</v>
      </c>
      <c r="P302" s="11" t="e">
        <f t="shared" si="13"/>
        <v>#N/A</v>
      </c>
      <c r="Q302" s="11" t="e">
        <f>VLOOKUP($G302, 'ADP Data'!$C$4:$Q$300, 4, FALSE)</f>
        <v>#N/A</v>
      </c>
      <c r="R302" s="11" t="e">
        <f>VLOOKUP($G302, 'ADP Data'!$C$4:$Q$300, 5, FALSE)</f>
        <v>#N/A</v>
      </c>
      <c r="S302" s="11" t="e">
        <f>VLOOKUP($G302, 'ADP Data'!$C$4:$Q$300, 6, FALSE)</f>
        <v>#N/A</v>
      </c>
      <c r="T302" s="11" t="e">
        <f>VLOOKUP($G302, 'ADP Data'!$C$4:$Q$300, 7, FALSE)</f>
        <v>#N/A</v>
      </c>
      <c r="U302" s="11" t="e">
        <f>VLOOKUP($G302, 'ADP Data'!$C$4:$Q$300, 8, FALSE)</f>
        <v>#N/A</v>
      </c>
      <c r="V302" s="11" t="e">
        <f t="shared" si="14"/>
        <v>#N/A</v>
      </c>
      <c r="W302" s="11">
        <f t="shared" si="15"/>
        <v>16</v>
      </c>
      <c r="X302" s="11">
        <f t="shared" si="16"/>
        <v>-16</v>
      </c>
      <c r="Y302" s="11" t="e">
        <f>VLOOKUP($G302, SeanRanks!$A$2:$K$303, 10, FALSE)-V302</f>
        <v>#N/A</v>
      </c>
      <c r="Z302" s="25" t="e">
        <f>IF(VLOOKUP($G302, SeanRanks!$A$2:$H$303, 7, FALSE)=0, "", VLOOKUP($G302, SeanRanks!$A$2:$H$303, 7, FALSE))</f>
        <v>#N/A</v>
      </c>
    </row>
    <row r="303" spans="1:26" ht="14.25" customHeight="1" x14ac:dyDescent="0.25">
      <c r="A303" s="11"/>
      <c r="B303" s="11" t="e">
        <f t="shared" ref="B303:B306" si="19">IFERROR(INT(AVERAGE(Q303:U303)/12)+1, INT(AVERAGE(M303)/12)+1)</f>
        <v>#N/A</v>
      </c>
      <c r="C303" s="11" t="s">
        <v>148</v>
      </c>
      <c r="D303" s="11"/>
      <c r="E303" s="11"/>
      <c r="F303" s="11" t="e">
        <f>VLOOKUP(G303, SeanRanks!$A$2:$E$302, 4, FALSE)</f>
        <v>#N/A</v>
      </c>
      <c r="G303" s="11" t="s">
        <v>993</v>
      </c>
      <c r="H303" s="11" t="e">
        <f>VLOOKUP($G303, 'ADP Data'!$C$4:$Q$300, 2, FALSE)</f>
        <v>#N/A</v>
      </c>
      <c r="I303" s="11" t="e">
        <f>VLOOKUP(G303, 'ADP Data'!$C$4:$R$498, 12, FALSE)</f>
        <v>#N/A</v>
      </c>
      <c r="J303" s="11" t="e">
        <f>VLOOKUP($G303, SeanRanks!$A$2:$H$303, 5, FALSE)</f>
        <v>#N/A</v>
      </c>
      <c r="K303" s="11" t="e">
        <f>IF(VLOOKUP($G303, SeanRanks!$A$2:$H$303, 6, FALSE)=0, "", VLOOKUP($G303, SeanRanks!$A$2:$H$303, 6, FALSE))</f>
        <v>#N/A</v>
      </c>
      <c r="L303" s="11">
        <f t="shared" si="11"/>
        <v>16</v>
      </c>
      <c r="M303" s="11" t="e">
        <f>VLOOKUP($G303, 'ADP Data'!$C$4:$Q$300, 9, FALSE)</f>
        <v>#N/A</v>
      </c>
      <c r="N303" s="11" t="e">
        <f t="shared" si="12"/>
        <v>#N/A</v>
      </c>
      <c r="O303" s="11" t="e">
        <f>VLOOKUP($G303, 'ADP Data'!$C$4:$Q$300, 3, FALSE)</f>
        <v>#N/A</v>
      </c>
      <c r="P303" s="11" t="e">
        <f t="shared" si="13"/>
        <v>#N/A</v>
      </c>
      <c r="Q303" s="11" t="e">
        <f>VLOOKUP($G303, 'ADP Data'!$C$4:$Q$300, 4, FALSE)</f>
        <v>#N/A</v>
      </c>
      <c r="R303" s="11" t="e">
        <f>VLOOKUP($G303, 'ADP Data'!$C$4:$Q$300, 5, FALSE)</f>
        <v>#N/A</v>
      </c>
      <c r="S303" s="11" t="e">
        <f>VLOOKUP($G303, 'ADP Data'!$C$4:$Q$300, 6, FALSE)</f>
        <v>#N/A</v>
      </c>
      <c r="T303" s="11" t="e">
        <f>VLOOKUP($G303, 'ADP Data'!$C$4:$Q$300, 7, FALSE)</f>
        <v>#N/A</v>
      </c>
      <c r="U303" s="11" t="e">
        <f>VLOOKUP($G303, 'ADP Data'!$C$4:$Q$300, 8, FALSE)</f>
        <v>#N/A</v>
      </c>
      <c r="V303" s="11" t="e">
        <f t="shared" si="14"/>
        <v>#N/A</v>
      </c>
      <c r="W303" s="11">
        <f t="shared" si="15"/>
        <v>16</v>
      </c>
      <c r="X303" s="11">
        <f t="shared" si="16"/>
        <v>-16</v>
      </c>
      <c r="Y303" s="11" t="e">
        <f>VLOOKUP($G303, SeanRanks!$A$2:$K$303, 10, FALSE)-V303</f>
        <v>#N/A</v>
      </c>
      <c r="Z303" s="25" t="e">
        <f>IF(VLOOKUP($G303, SeanRanks!$A$2:$H$303, 7, FALSE)=0, "", VLOOKUP($G303, SeanRanks!$A$2:$H$303, 7, FALSE))</f>
        <v>#N/A</v>
      </c>
    </row>
    <row r="304" spans="1:26" ht="14.25" customHeight="1" x14ac:dyDescent="0.25">
      <c r="A304" s="11"/>
      <c r="B304" s="11">
        <f t="shared" si="19"/>
        <v>23</v>
      </c>
      <c r="C304" s="11" t="s">
        <v>148</v>
      </c>
      <c r="D304" s="11"/>
      <c r="E304" s="11"/>
      <c r="F304" s="11">
        <f>VLOOKUP(G304, SeanRanks!$A$2:$E$302, 4, FALSE)</f>
        <v>0</v>
      </c>
      <c r="G304" s="11" t="s">
        <v>994</v>
      </c>
      <c r="H304" s="11" t="str">
        <f>VLOOKUP($G304, 'ADP Data'!$C$4:$Q$300, 2, FALSE)</f>
        <v>LAR</v>
      </c>
      <c r="I304" s="11">
        <f>VLOOKUP(G304, 'ADP Data'!$C$4:$R$498, 12, FALSE)</f>
        <v>238</v>
      </c>
      <c r="J304" s="11">
        <f>VLOOKUP($G304, SeanRanks!$A$2:$H$303, 5, FALSE)</f>
        <v>0</v>
      </c>
      <c r="K304" s="11" t="str">
        <f>IF(VLOOKUP($G304, SeanRanks!$A$2:$H$303, 6, FALSE)=0, "", VLOOKUP($G304, SeanRanks!$A$2:$H$303, 6, FALSE))</f>
        <v/>
      </c>
      <c r="L304" s="11">
        <f t="shared" si="11"/>
        <v>34</v>
      </c>
      <c r="M304" s="11">
        <f>VLOOKUP($G304, 'ADP Data'!$C$4:$Q$300, 9, FALSE)</f>
        <v>270</v>
      </c>
      <c r="N304" s="11">
        <f t="shared" si="12"/>
        <v>4</v>
      </c>
      <c r="O304" s="11" t="str">
        <f>VLOOKUP($G304, 'ADP Data'!$C$4:$Q$300, 3, FALSE)</f>
        <v>-</v>
      </c>
      <c r="P304" s="11" t="e">
        <f t="shared" si="13"/>
        <v>#VALUE!</v>
      </c>
      <c r="Q304" s="11" t="str">
        <f>VLOOKUP($G304, 'ADP Data'!$C$4:$Q$300, 4, FALSE)</f>
        <v>-</v>
      </c>
      <c r="R304" s="11" t="str">
        <f>VLOOKUP($G304, 'ADP Data'!$C$4:$Q$300, 5, FALSE)</f>
        <v>-</v>
      </c>
      <c r="S304" s="11">
        <f>VLOOKUP($G304, 'ADP Data'!$C$4:$Q$300, 6, FALSE)</f>
        <v>241</v>
      </c>
      <c r="T304" s="11">
        <f>VLOOKUP($G304, 'ADP Data'!$C$4:$Q$300, 7, FALSE)</f>
        <v>274</v>
      </c>
      <c r="U304" s="11">
        <f>VLOOKUP($G304, 'ADP Data'!$C$4:$Q$300, 8, FALSE)</f>
        <v>282</v>
      </c>
      <c r="V304" s="11">
        <f t="shared" si="14"/>
        <v>266</v>
      </c>
      <c r="W304" s="11">
        <f t="shared" si="15"/>
        <v>34</v>
      </c>
      <c r="X304" s="11">
        <f t="shared" si="16"/>
        <v>-34</v>
      </c>
      <c r="Y304" s="11" t="e">
        <f>VLOOKUP($G304, SeanRanks!$A$2:$K$303, 10, FALSE)-V304</f>
        <v>#VALUE!</v>
      </c>
      <c r="Z304" s="25" t="str">
        <f>IF(VLOOKUP($G304, SeanRanks!$A$2:$H$303, 7, FALSE)=0, "", VLOOKUP($G304, SeanRanks!$A$2:$H$303, 7, FALSE))</f>
        <v/>
      </c>
    </row>
    <row r="305" spans="1:26" ht="14.25" customHeight="1" x14ac:dyDescent="0.25">
      <c r="A305" s="11"/>
      <c r="B305" s="11" t="e">
        <f t="shared" si="19"/>
        <v>#N/A</v>
      </c>
      <c r="C305" s="11" t="s">
        <v>148</v>
      </c>
      <c r="D305" s="11"/>
      <c r="E305" s="11"/>
      <c r="F305" s="11" t="e">
        <f>VLOOKUP(G305, SeanRanks!$A$2:$E$302, 4, FALSE)</f>
        <v>#N/A</v>
      </c>
      <c r="G305" s="11" t="s">
        <v>995</v>
      </c>
      <c r="H305" s="11" t="e">
        <f>VLOOKUP($G305, 'ADP Data'!$C$4:$Q$300, 2, FALSE)</f>
        <v>#N/A</v>
      </c>
      <c r="I305" s="11" t="e">
        <f>VLOOKUP(G305, 'ADP Data'!$C$4:$R$498, 12, FALSE)</f>
        <v>#N/A</v>
      </c>
      <c r="J305" s="11" t="e">
        <f>VLOOKUP($G305, SeanRanks!$A$2:$H$303, 5, FALSE)</f>
        <v>#N/A</v>
      </c>
      <c r="K305" s="11" t="e">
        <f>IF(VLOOKUP($G305, SeanRanks!$A$2:$H$303, 6, FALSE)=0, "", VLOOKUP($G305, SeanRanks!$A$2:$H$303, 6, FALSE))</f>
        <v>#N/A</v>
      </c>
      <c r="L305" s="11">
        <f t="shared" si="11"/>
        <v>16</v>
      </c>
      <c r="M305" s="11" t="e">
        <f>VLOOKUP($G305, 'ADP Data'!$C$4:$Q$300, 9, FALSE)</f>
        <v>#N/A</v>
      </c>
      <c r="N305" s="11" t="e">
        <f t="shared" si="12"/>
        <v>#N/A</v>
      </c>
      <c r="O305" s="11" t="e">
        <f>VLOOKUP($G305, 'ADP Data'!$C$4:$Q$300, 3, FALSE)</f>
        <v>#N/A</v>
      </c>
      <c r="P305" s="11" t="e">
        <f t="shared" si="13"/>
        <v>#N/A</v>
      </c>
      <c r="Q305" s="11" t="e">
        <f>VLOOKUP($G305, 'ADP Data'!$C$4:$Q$300, 4, FALSE)</f>
        <v>#N/A</v>
      </c>
      <c r="R305" s="11" t="e">
        <f>VLOOKUP($G305, 'ADP Data'!$C$4:$Q$300, 5, FALSE)</f>
        <v>#N/A</v>
      </c>
      <c r="S305" s="11" t="e">
        <f>VLOOKUP($G305, 'ADP Data'!$C$4:$Q$300, 6, FALSE)</f>
        <v>#N/A</v>
      </c>
      <c r="T305" s="11" t="e">
        <f>VLOOKUP($G305, 'ADP Data'!$C$4:$Q$300, 7, FALSE)</f>
        <v>#N/A</v>
      </c>
      <c r="U305" s="11" t="e">
        <f>VLOOKUP($G305, 'ADP Data'!$C$4:$Q$300, 8, FALSE)</f>
        <v>#N/A</v>
      </c>
      <c r="V305" s="11" t="e">
        <f t="shared" si="14"/>
        <v>#N/A</v>
      </c>
      <c r="W305" s="11">
        <f t="shared" si="15"/>
        <v>16</v>
      </c>
      <c r="X305" s="11">
        <f t="shared" si="16"/>
        <v>-16</v>
      </c>
      <c r="Y305" s="11" t="e">
        <f>VLOOKUP($G305, SeanRanks!$A$2:$K$303, 10, FALSE)-V305</f>
        <v>#N/A</v>
      </c>
      <c r="Z305" s="25" t="e">
        <f>IF(VLOOKUP($G305, SeanRanks!$A$2:$H$303, 7, FALSE)=0, "", VLOOKUP($G305, SeanRanks!$A$2:$H$303, 7, FALSE))</f>
        <v>#N/A</v>
      </c>
    </row>
    <row r="306" spans="1:26" ht="14.25" customHeight="1" x14ac:dyDescent="0.25">
      <c r="A306" s="11"/>
      <c r="B306" s="11" t="e">
        <f t="shared" si="19"/>
        <v>#N/A</v>
      </c>
      <c r="C306" s="11" t="s">
        <v>148</v>
      </c>
      <c r="D306" s="11"/>
      <c r="E306" s="11"/>
      <c r="F306" s="11" t="e">
        <f>VLOOKUP(G306, SeanRanks!$A$2:$E$302, 4, FALSE)</f>
        <v>#N/A</v>
      </c>
      <c r="G306" s="11" t="s">
        <v>485</v>
      </c>
      <c r="H306" s="11" t="e">
        <f>VLOOKUP($G306, 'ADP Data'!$C$4:$Q$300, 2, FALSE)</f>
        <v>#N/A</v>
      </c>
      <c r="I306" s="11" t="e">
        <f>VLOOKUP(G306, 'ADP Data'!$C$4:$R$498, 12, FALSE)</f>
        <v>#N/A</v>
      </c>
      <c r="J306" s="11" t="e">
        <f>VLOOKUP($G306, SeanRanks!$A$2:$H$303, 5, FALSE)</f>
        <v>#N/A</v>
      </c>
      <c r="K306" s="11" t="e">
        <f>IF(VLOOKUP($G306, SeanRanks!$A$2:$H$303, 6, FALSE)=0, "", VLOOKUP($G306, SeanRanks!$A$2:$H$303, 6, FALSE))</f>
        <v>#N/A</v>
      </c>
      <c r="L306" s="11">
        <f t="shared" si="11"/>
        <v>16</v>
      </c>
      <c r="M306" s="11" t="e">
        <f>VLOOKUP($G306, 'ADP Data'!$C$4:$Q$300, 9, FALSE)</f>
        <v>#N/A</v>
      </c>
      <c r="N306" s="11" t="e">
        <f t="shared" si="12"/>
        <v>#N/A</v>
      </c>
      <c r="O306" s="11" t="e">
        <f>VLOOKUP($G306, 'ADP Data'!$C$4:$Q$300, 3, FALSE)</f>
        <v>#N/A</v>
      </c>
      <c r="P306" s="11" t="e">
        <f t="shared" si="13"/>
        <v>#N/A</v>
      </c>
      <c r="Q306" s="11" t="e">
        <f>VLOOKUP($G306, 'ADP Data'!$C$4:$Q$300, 4, FALSE)</f>
        <v>#N/A</v>
      </c>
      <c r="R306" s="11" t="e">
        <f>VLOOKUP($G306, 'ADP Data'!$C$4:$Q$300, 5, FALSE)</f>
        <v>#N/A</v>
      </c>
      <c r="S306" s="11" t="e">
        <f>VLOOKUP($G306, 'ADP Data'!$C$4:$Q$300, 6, FALSE)</f>
        <v>#N/A</v>
      </c>
      <c r="T306" s="11" t="e">
        <f>VLOOKUP($G306, 'ADP Data'!$C$4:$Q$300, 7, FALSE)</f>
        <v>#N/A</v>
      </c>
      <c r="U306" s="11" t="e">
        <f>VLOOKUP($G306, 'ADP Data'!$C$4:$Q$300, 8, FALSE)</f>
        <v>#N/A</v>
      </c>
      <c r="V306" s="11" t="e">
        <f t="shared" si="14"/>
        <v>#N/A</v>
      </c>
      <c r="W306" s="11">
        <f t="shared" si="15"/>
        <v>16</v>
      </c>
      <c r="X306" s="11">
        <f t="shared" si="16"/>
        <v>-16</v>
      </c>
      <c r="Y306" s="11" t="e">
        <f>VLOOKUP($G306, SeanRanks!$A$2:$K$303, 10, FALSE)-V306</f>
        <v>#N/A</v>
      </c>
      <c r="Z306" s="25" t="e">
        <f>IF(VLOOKUP($G306, SeanRanks!$A$2:$H$303, 7, FALSE)=0, "", VLOOKUP($G306, SeanRanks!$A$2:$H$303, 7, FALSE))</f>
        <v>#N/A</v>
      </c>
    </row>
    <row r="307" spans="1:26" ht="14.25" customHeight="1" x14ac:dyDescent="0.25"/>
    <row r="308" spans="1:26" ht="14.25" customHeight="1" x14ac:dyDescent="0.25"/>
    <row r="309" spans="1:26" ht="14.25" customHeight="1" x14ac:dyDescent="0.25"/>
    <row r="310" spans="1:26" ht="14.25" customHeight="1" x14ac:dyDescent="0.25"/>
    <row r="311" spans="1:26" ht="14.25" customHeight="1" x14ac:dyDescent="0.25"/>
    <row r="312" spans="1:26" ht="14.25" customHeight="1" x14ac:dyDescent="0.25">
      <c r="F312" s="1" t="s">
        <v>33</v>
      </c>
    </row>
    <row r="313" spans="1:26" ht="14.25" customHeight="1" x14ac:dyDescent="0.25"/>
    <row r="314" spans="1:26" ht="14.25" customHeight="1" x14ac:dyDescent="0.25"/>
    <row r="315" spans="1:26" ht="14.25" customHeight="1" x14ac:dyDescent="0.25"/>
    <row r="316" spans="1:26" ht="14.25" customHeight="1" x14ac:dyDescent="0.25"/>
    <row r="317" spans="1:26" ht="14.25" customHeight="1" x14ac:dyDescent="0.25"/>
    <row r="318" spans="1:26" ht="14.25" customHeight="1" x14ac:dyDescent="0.25"/>
    <row r="319" spans="1:26" ht="14.25" customHeight="1" x14ac:dyDescent="0.25"/>
    <row r="320" spans="1:26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6:Z306" xr:uid="{00000000-0009-0000-0000-000000000000}">
    <sortState xmlns:xlrd2="http://schemas.microsoft.com/office/spreadsheetml/2017/richdata2" ref="A6:Z306">
      <sortCondition ref="V6:V306"/>
    </sortState>
  </autoFilter>
  <mergeCells count="1">
    <mergeCell ref="A1:C1"/>
  </mergeCells>
  <conditionalFormatting sqref="K8:K306">
    <cfRule type="colorScale" priority="1">
      <colorScale>
        <cfvo type="formula" val="12"/>
        <cfvo type="percentile" val="50"/>
        <cfvo type="max"/>
        <color rgb="FF63BE7B"/>
        <color rgb="FFFFEB84"/>
        <color rgb="FFF8696B"/>
      </colorScale>
    </cfRule>
  </conditionalFormatting>
  <conditionalFormatting sqref="K5:Z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:L306">
    <cfRule type="cellIs" dxfId="55" priority="3" operator="lessThan">
      <formula>B7</formula>
    </cfRule>
    <cfRule type="cellIs" dxfId="54" priority="4" operator="greaterThan">
      <formula>B7</formula>
    </cfRule>
  </conditionalFormatting>
  <conditionalFormatting sqref="N7:N306">
    <cfRule type="colorScale" priority="5">
      <colorScale>
        <cfvo type="min"/>
        <cfvo type="formula" val="0"/>
        <cfvo type="max"/>
        <color rgb="FFF8696B"/>
        <color rgb="FFFCFCFF"/>
        <color rgb="FF63BE7B"/>
      </colorScale>
    </cfRule>
  </conditionalFormatting>
  <conditionalFormatting sqref="P7:P306">
    <cfRule type="colorScale" priority="6">
      <colorScale>
        <cfvo type="min"/>
        <cfvo type="formula" val="0"/>
        <cfvo type="max"/>
        <color rgb="FFF8696B"/>
        <color rgb="FFFCFCFF"/>
        <color rgb="FF63BE7B"/>
      </colorScale>
    </cfRule>
  </conditionalFormatting>
  <conditionalFormatting sqref="X7:X30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7:Y306">
    <cfRule type="colorScale" priority="8">
      <colorScale>
        <cfvo type="formula" val="-12"/>
        <cfvo type="formula" val="0"/>
        <cfvo type="formula" val="12"/>
        <color rgb="FFF8696B"/>
        <color rgb="FFD8D8D8"/>
        <color rgb="FF63BE7B"/>
      </colorScale>
    </cfRule>
  </conditionalFormatting>
  <conditionalFormatting sqref="Y7:Z306 J7:K306 B7:G7 B8:E261 G8:G296 F8:F306 B262:B302 D262:E302 C262:C306">
    <cfRule type="expression" dxfId="53" priority="9">
      <formula>$C7="No"</formula>
    </cfRule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1000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O53" sqref="O53"/>
    </sheetView>
  </sheetViews>
  <sheetFormatPr defaultColWidth="14.42578125" defaultRowHeight="15" customHeight="1" x14ac:dyDescent="0.25"/>
  <cols>
    <col min="1" max="1" width="23.5703125" customWidth="1"/>
    <col min="2" max="2" width="9.85546875" customWidth="1"/>
    <col min="3" max="3" width="9.7109375" customWidth="1"/>
    <col min="4" max="4" width="18" customWidth="1"/>
    <col min="5" max="5" width="11.140625" customWidth="1"/>
    <col min="6" max="6" width="21.28515625" customWidth="1"/>
    <col min="7" max="7" width="16.28515625" customWidth="1"/>
    <col min="8" max="8" width="25.7109375" customWidth="1"/>
    <col min="9" max="9" width="11.28515625" customWidth="1"/>
    <col min="10" max="10" width="8.7109375" customWidth="1"/>
    <col min="11" max="11" width="20.28515625" customWidth="1"/>
    <col min="12" max="26" width="8.7109375" customWidth="1"/>
  </cols>
  <sheetData>
    <row r="1" spans="1:12" ht="14.25" customHeight="1" x14ac:dyDescent="0.2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10</v>
      </c>
    </row>
    <row r="2" spans="1:12" ht="14.25" customHeight="1" x14ac:dyDescent="0.25">
      <c r="A2" s="7" t="s">
        <v>5</v>
      </c>
      <c r="B2" s="7" t="s">
        <v>8</v>
      </c>
      <c r="C2" s="7" t="s">
        <v>7</v>
      </c>
      <c r="D2" s="9" t="s">
        <v>26</v>
      </c>
      <c r="E2" s="9" t="s">
        <v>27</v>
      </c>
      <c r="F2" s="9" t="s">
        <v>28</v>
      </c>
      <c r="G2" s="9" t="s">
        <v>29</v>
      </c>
      <c r="H2" s="9" t="s">
        <v>30</v>
      </c>
      <c r="I2" s="7" t="s">
        <v>22</v>
      </c>
      <c r="J2" s="7" t="s">
        <v>18</v>
      </c>
      <c r="K2" s="7" t="s">
        <v>32</v>
      </c>
      <c r="L2" s="10" t="s">
        <v>33</v>
      </c>
    </row>
    <row r="3" spans="1:12" ht="14.25" customHeight="1" x14ac:dyDescent="0.25">
      <c r="A3" s="11" t="s">
        <v>34</v>
      </c>
      <c r="B3" s="11" t="str">
        <f>VLOOKUP($A3, '26 ADP Data'!$C$3:$R$298, 2, FALSE)</f>
        <v>DET</v>
      </c>
      <c r="C3" s="11" t="str">
        <f>VLOOKUP($A3, '26 ADP Data'!$C$3:$R$298, 16, FALSE)</f>
        <v>RB</v>
      </c>
      <c r="D3" s="11"/>
      <c r="E3" s="11"/>
      <c r="F3" s="11" t="s">
        <v>45</v>
      </c>
      <c r="G3" s="11">
        <v>1</v>
      </c>
      <c r="H3" s="11"/>
      <c r="I3" s="11">
        <f>VLOOKUP($A3, '26 ADP Data'!$C$3:$Q$298, 13, FALSE)</f>
        <v>1</v>
      </c>
      <c r="J3" s="11">
        <f>VLOOKUP($A3, '26 ADP Data'!$C$3:$Q$298, 10, FALSE)</f>
        <v>1</v>
      </c>
      <c r="K3" s="11">
        <v>3</v>
      </c>
    </row>
    <row r="4" spans="1:12" ht="14.25" customHeight="1" x14ac:dyDescent="0.25">
      <c r="A4" s="11" t="s">
        <v>38</v>
      </c>
      <c r="B4" s="11" t="str">
        <f>VLOOKUP($A4, '26 ADP Data'!$C$3:$R$298, 2, FALSE)</f>
        <v>ATL</v>
      </c>
      <c r="C4" s="11" t="str">
        <f>VLOOKUP($A4, '26 ADP Data'!$C$3:$R$298, 16, FALSE)</f>
        <v>RB</v>
      </c>
      <c r="D4" s="11"/>
      <c r="E4" s="11"/>
      <c r="F4" s="11" t="s">
        <v>45</v>
      </c>
      <c r="G4" s="11">
        <v>2</v>
      </c>
      <c r="H4" s="11"/>
      <c r="I4" s="11">
        <f>VLOOKUP($A4, '26 ADP Data'!$C$3:$Q$298, 13, FALSE)</f>
        <v>2</v>
      </c>
      <c r="J4" s="11">
        <f>VLOOKUP($A4, '26 ADP Data'!$C$3:$Q$298, 10, FALSE)</f>
        <v>2</v>
      </c>
      <c r="K4" s="11">
        <v>1</v>
      </c>
    </row>
    <row r="5" spans="1:12" ht="14.25" hidden="1" customHeight="1" x14ac:dyDescent="0.25">
      <c r="A5" s="11" t="s">
        <v>43</v>
      </c>
      <c r="B5" s="11" t="str">
        <f>VLOOKUP($A5, '26 ADP Data'!$C$3:$R$298, 2, FALSE)</f>
        <v>CIN</v>
      </c>
      <c r="C5" s="11" t="str">
        <f>VLOOKUP($A5, '26 ADP Data'!$C$3:$R$298, 16, FALSE)</f>
        <v>WR</v>
      </c>
      <c r="D5" s="11"/>
      <c r="E5" s="11"/>
      <c r="F5" s="11" t="s">
        <v>73</v>
      </c>
      <c r="G5" s="11">
        <v>1</v>
      </c>
      <c r="H5" s="11"/>
      <c r="I5" s="11">
        <f>VLOOKUP($A5, '26 ADP Data'!$C$3:$Q$298, 13, FALSE)</f>
        <v>3</v>
      </c>
      <c r="J5" s="11">
        <f>VLOOKUP($A5, '26 ADP Data'!$C$3:$Q$298, 10, FALSE)</f>
        <v>3</v>
      </c>
      <c r="K5" s="11">
        <v>2</v>
      </c>
    </row>
    <row r="6" spans="1:12" ht="14.25" hidden="1" customHeight="1" x14ac:dyDescent="0.25">
      <c r="A6" s="11" t="s">
        <v>51</v>
      </c>
      <c r="B6" s="11" t="str">
        <f>VLOOKUP($A6, '26 ADP Data'!$C$3:$R$298, 2, FALSE)</f>
        <v>SEA</v>
      </c>
      <c r="C6" s="11" t="str">
        <f>VLOOKUP($A6, '26 ADP Data'!$C$3:$R$298, 16, FALSE)</f>
        <v>WR</v>
      </c>
      <c r="D6" s="11"/>
      <c r="E6" s="11"/>
      <c r="F6" s="11" t="s">
        <v>73</v>
      </c>
      <c r="G6" s="11">
        <v>2</v>
      </c>
      <c r="H6" s="11"/>
      <c r="I6" s="11">
        <f>VLOOKUP($A6, '26 ADP Data'!$C$3:$Q$298, 13, FALSE)</f>
        <v>5</v>
      </c>
      <c r="J6" s="11">
        <f>VLOOKUP($A6, '26 ADP Data'!$C$3:$Q$298, 10, FALSE)</f>
        <v>8</v>
      </c>
      <c r="K6" s="11">
        <v>5</v>
      </c>
    </row>
    <row r="7" spans="1:12" ht="14.25" hidden="1" customHeight="1" x14ac:dyDescent="0.25">
      <c r="A7" s="11" t="s">
        <v>48</v>
      </c>
      <c r="B7" s="11" t="str">
        <f>VLOOKUP($A7, '26 ADP Data'!$C$3:$R$298, 2, FALSE)</f>
        <v>LAR</v>
      </c>
      <c r="C7" s="11" t="str">
        <f>VLOOKUP($A7, '26 ADP Data'!$C$3:$R$298, 16, FALSE)</f>
        <v>WR</v>
      </c>
      <c r="D7" s="11"/>
      <c r="E7" s="11"/>
      <c r="F7" s="11" t="s">
        <v>73</v>
      </c>
      <c r="G7" s="11">
        <v>3</v>
      </c>
      <c r="H7" s="11"/>
      <c r="I7" s="11">
        <f>VLOOKUP($A7, '26 ADP Data'!$C$3:$Q$298, 13, FALSE)</f>
        <v>4</v>
      </c>
      <c r="J7" s="11">
        <f>VLOOKUP($A7, '26 ADP Data'!$C$3:$Q$298, 10, FALSE)</f>
        <v>4</v>
      </c>
      <c r="K7" s="11">
        <v>4</v>
      </c>
    </row>
    <row r="8" spans="1:12" ht="14.25" customHeight="1" x14ac:dyDescent="0.25">
      <c r="A8" s="11" t="s">
        <v>54</v>
      </c>
      <c r="B8" s="11" t="str">
        <f>VLOOKUP($A8, '26 ADP Data'!$C$3:$R$298, 2, FALSE)</f>
        <v>SF</v>
      </c>
      <c r="C8" s="11" t="str">
        <f>VLOOKUP($A8, '26 ADP Data'!$C$3:$R$298, 16, FALSE)</f>
        <v>RB</v>
      </c>
      <c r="D8" s="11"/>
      <c r="E8" s="11"/>
      <c r="F8" s="11" t="s">
        <v>107</v>
      </c>
      <c r="G8" s="11">
        <v>3</v>
      </c>
      <c r="H8" s="11"/>
      <c r="I8" s="11">
        <f>VLOOKUP($A8, '26 ADP Data'!$C$3:$Q$298, 13, FALSE)</f>
        <v>6</v>
      </c>
      <c r="J8" s="11">
        <f>VLOOKUP($A8, '26 ADP Data'!$C$3:$Q$298, 10, FALSE)</f>
        <v>6</v>
      </c>
      <c r="K8" s="11">
        <v>6</v>
      </c>
    </row>
    <row r="9" spans="1:12" ht="14.25" hidden="1" customHeight="1" x14ac:dyDescent="0.25">
      <c r="A9" s="11" t="s">
        <v>63</v>
      </c>
      <c r="B9" s="11" t="str">
        <f>VLOOKUP($A9, '26 ADP Data'!$C$3:$R$298, 2, FALSE)</f>
        <v>DET</v>
      </c>
      <c r="C9" s="11" t="str">
        <f>VLOOKUP($A9, '26 ADP Data'!$C$3:$R$298, 16, FALSE)</f>
        <v>WR</v>
      </c>
      <c r="D9" s="11"/>
      <c r="E9" s="11"/>
      <c r="F9" s="11" t="s">
        <v>120</v>
      </c>
      <c r="G9" s="11">
        <v>4</v>
      </c>
      <c r="H9" s="11"/>
      <c r="I9" s="11">
        <f>VLOOKUP($A9, '26 ADP Data'!$C$3:$Q$298, 13, FALSE)</f>
        <v>7</v>
      </c>
      <c r="J9" s="11">
        <f>VLOOKUP($A9, '26 ADP Data'!$C$3:$Q$298, 10, FALSE)</f>
        <v>7</v>
      </c>
      <c r="K9" s="11">
        <v>9</v>
      </c>
    </row>
    <row r="10" spans="1:12" ht="14.25" customHeight="1" x14ac:dyDescent="0.25">
      <c r="A10" s="11" t="s">
        <v>58</v>
      </c>
      <c r="B10" s="11" t="str">
        <f>VLOOKUP($A10, '26 ADP Data'!$C$3:$R$298, 2, FALSE)</f>
        <v>IND</v>
      </c>
      <c r="C10" s="11" t="str">
        <f>VLOOKUP($A10, '26 ADP Data'!$C$3:$R$298, 16, FALSE)</f>
        <v>RB</v>
      </c>
      <c r="D10" s="11"/>
      <c r="E10" s="11"/>
      <c r="F10" s="11" t="s">
        <v>107</v>
      </c>
      <c r="G10" s="11">
        <v>4</v>
      </c>
      <c r="H10" s="11"/>
      <c r="I10" s="11">
        <f>VLOOKUP($A10, '26 ADP Data'!$C$3:$Q$298, 13, FALSE)</f>
        <v>8</v>
      </c>
      <c r="J10" s="11">
        <f>VLOOKUP($A10, '26 ADP Data'!$C$3:$Q$298, 10, FALSE)</f>
        <v>5</v>
      </c>
      <c r="K10" s="11">
        <v>8</v>
      </c>
    </row>
    <row r="11" spans="1:12" ht="14.25" hidden="1" customHeight="1" x14ac:dyDescent="0.25">
      <c r="A11" s="11" t="s">
        <v>103</v>
      </c>
      <c r="B11" s="11" t="str">
        <f>VLOOKUP($A11, '26 ADP Data'!$C$3:$R$298, 2, FALSE)</f>
        <v>NE</v>
      </c>
      <c r="C11" s="11" t="str">
        <f>VLOOKUP($A11, '26 ADP Data'!$C$3:$R$298, 16, FALSE)</f>
        <v>WR</v>
      </c>
      <c r="D11" s="11"/>
      <c r="E11" s="11"/>
      <c r="F11" s="11" t="s">
        <v>120</v>
      </c>
      <c r="G11" s="11">
        <v>5</v>
      </c>
      <c r="H11" s="11"/>
      <c r="I11" s="11">
        <f>VLOOKUP($A11, '26 ADP Data'!$C$3:$Q$298, 13, FALSE)</f>
        <v>19</v>
      </c>
      <c r="J11" s="11">
        <f>VLOOKUP($A11, '26 ADP Data'!$C$3:$Q$298, 10, FALSE)</f>
        <v>23</v>
      </c>
      <c r="K11" s="11">
        <v>29</v>
      </c>
    </row>
    <row r="12" spans="1:12" ht="14.25" customHeight="1" x14ac:dyDescent="0.25">
      <c r="A12" s="11" t="s">
        <v>65</v>
      </c>
      <c r="B12" s="11" t="str">
        <f>VLOOKUP($A12, '26 ADP Data'!$C$3:$R$298, 2, FALSE)</f>
        <v>BUF</v>
      </c>
      <c r="C12" s="11" t="str">
        <f>VLOOKUP($A12, '26 ADP Data'!$C$3:$R$298, 16, FALSE)</f>
        <v>RB</v>
      </c>
      <c r="D12" s="11"/>
      <c r="E12" s="11"/>
      <c r="F12" s="11" t="s">
        <v>144</v>
      </c>
      <c r="G12" s="22">
        <v>5</v>
      </c>
      <c r="H12" s="11"/>
      <c r="I12" s="11">
        <f>VLOOKUP($A12, '26 ADP Data'!$C$3:$Q$298, 13, FALSE)</f>
        <v>10</v>
      </c>
      <c r="J12" s="11">
        <f>VLOOKUP($A12, '26 ADP Data'!$C$3:$Q$298, 10, FALSE)</f>
        <v>9</v>
      </c>
      <c r="K12" s="11">
        <v>10</v>
      </c>
    </row>
    <row r="13" spans="1:12" ht="14.25" hidden="1" customHeight="1" x14ac:dyDescent="0.25">
      <c r="A13" s="11" t="s">
        <v>68</v>
      </c>
      <c r="B13" s="11" t="str">
        <f>VLOOKUP($A13, '26 ADP Data'!$C$3:$R$298, 2, FALSE)</f>
        <v>DAL</v>
      </c>
      <c r="C13" s="11" t="str">
        <f>VLOOKUP($A13, '26 ADP Data'!$C$3:$R$298, 16, FALSE)</f>
        <v>WR</v>
      </c>
      <c r="D13" s="11"/>
      <c r="E13" s="11"/>
      <c r="F13" s="11" t="s">
        <v>120</v>
      </c>
      <c r="G13" s="11">
        <v>6</v>
      </c>
      <c r="H13" s="11"/>
      <c r="I13" s="11">
        <f>VLOOKUP($A13, '26 ADP Data'!$C$3:$Q$298, 13, FALSE)</f>
        <v>9</v>
      </c>
      <c r="J13" s="11">
        <f>VLOOKUP($A13, '26 ADP Data'!$C$3:$Q$298, 10, FALSE)</f>
        <v>12</v>
      </c>
      <c r="K13" s="11">
        <v>7</v>
      </c>
    </row>
    <row r="14" spans="1:12" ht="14.25" customHeight="1" x14ac:dyDescent="0.25">
      <c r="A14" s="11" t="s">
        <v>80</v>
      </c>
      <c r="B14" s="11" t="str">
        <f>VLOOKUP($A14, '26 ADP Data'!$C$3:$R$298, 2, FALSE)</f>
        <v>MIA</v>
      </c>
      <c r="C14" s="11" t="str">
        <f>VLOOKUP($A14, '26 ADP Data'!$C$3:$R$298, 16, FALSE)</f>
        <v>RB</v>
      </c>
      <c r="D14" s="11"/>
      <c r="E14" s="11"/>
      <c r="F14" s="11" t="s">
        <v>144</v>
      </c>
      <c r="G14" s="24">
        <v>6</v>
      </c>
      <c r="H14" s="11"/>
      <c r="I14" s="11">
        <f>VLOOKUP($A14, '26 ADP Data'!$C$3:$Q$298, 13, FALSE)</f>
        <v>18</v>
      </c>
      <c r="J14" s="11">
        <f>VLOOKUP($A14, '26 ADP Data'!$C$3:$Q$298, 10, FALSE)</f>
        <v>17</v>
      </c>
      <c r="K14" s="11">
        <v>13</v>
      </c>
    </row>
    <row r="15" spans="1:12" ht="14.25" customHeight="1" x14ac:dyDescent="0.25">
      <c r="A15" s="11" t="s">
        <v>90</v>
      </c>
      <c r="B15" s="11" t="str">
        <f>VLOOKUP($A15, '26 ADP Data'!$C$3:$R$298, 2, FALSE)</f>
        <v>BAL</v>
      </c>
      <c r="C15" s="11" t="str">
        <f>VLOOKUP($A15, '26 ADP Data'!$C$3:$R$298, 16, FALSE)</f>
        <v>RB</v>
      </c>
      <c r="D15" s="11"/>
      <c r="E15" s="11"/>
      <c r="F15" s="11" t="s">
        <v>144</v>
      </c>
      <c r="G15" s="11">
        <v>7</v>
      </c>
      <c r="H15" s="11"/>
      <c r="I15" s="11">
        <f>VLOOKUP($A15, '26 ADP Data'!$C$3:$Q$298, 13, FALSE)</f>
        <v>17</v>
      </c>
      <c r="J15" s="11">
        <f>VLOOKUP($A15, '26 ADP Data'!$C$3:$Q$298, 10, FALSE)</f>
        <v>15</v>
      </c>
      <c r="K15" s="11">
        <v>27</v>
      </c>
    </row>
    <row r="16" spans="1:12" ht="14.25" customHeight="1" x14ac:dyDescent="0.25">
      <c r="A16" s="11" t="s">
        <v>84</v>
      </c>
      <c r="B16" s="11" t="str">
        <f>VLOOKUP($A16, '26 ADP Data'!$C$3:$R$298, 2, FALSE)</f>
        <v>KC</v>
      </c>
      <c r="C16" s="11" t="str">
        <f>VLOOKUP($A16, '26 ADP Data'!$C$3:$R$298, 16, FALSE)</f>
        <v>RB</v>
      </c>
      <c r="D16" s="11"/>
      <c r="E16" s="11" t="s">
        <v>148</v>
      </c>
      <c r="F16" s="11" t="s">
        <v>144</v>
      </c>
      <c r="G16" s="11">
        <v>8</v>
      </c>
      <c r="H16" s="11" t="s">
        <v>179</v>
      </c>
      <c r="I16" s="11">
        <f>VLOOKUP($A16, '26 ADP Data'!$C$3:$Q$298, 13, FALSE)</f>
        <v>13</v>
      </c>
      <c r="J16" s="11">
        <f>VLOOKUP($A16, '26 ADP Data'!$C$3:$Q$298, 10, FALSE)</f>
        <v>11</v>
      </c>
      <c r="K16" s="11">
        <v>20</v>
      </c>
    </row>
    <row r="17" spans="1:11" ht="14.25" customHeight="1" x14ac:dyDescent="0.25">
      <c r="A17" s="11" t="s">
        <v>77</v>
      </c>
      <c r="B17" s="11" t="str">
        <f>VLOOKUP($A17, '26 ADP Data'!$C$3:$R$298, 2, FALSE)</f>
        <v>PHI</v>
      </c>
      <c r="C17" s="11" t="str">
        <f>VLOOKUP($A17, '26 ADP Data'!$C$3:$R$298, 16, FALSE)</f>
        <v>RB</v>
      </c>
      <c r="D17" s="11"/>
      <c r="E17" s="11"/>
      <c r="F17" s="11" t="s">
        <v>144</v>
      </c>
      <c r="G17" s="11">
        <v>9</v>
      </c>
      <c r="H17" s="11"/>
      <c r="I17" s="11">
        <f>VLOOKUP($A17, '26 ADP Data'!$C$3:$Q$298, 13, FALSE)</f>
        <v>12</v>
      </c>
      <c r="J17" s="11">
        <f>VLOOKUP($A17, '26 ADP Data'!$C$3:$Q$298, 10, FALSE)</f>
        <v>10</v>
      </c>
      <c r="K17" s="11">
        <v>16</v>
      </c>
    </row>
    <row r="18" spans="1:11" ht="14.25" customHeight="1" x14ac:dyDescent="0.25">
      <c r="A18" s="11" t="s">
        <v>87</v>
      </c>
      <c r="B18" s="11" t="str">
        <f>VLOOKUP($A18, '26 ADP Data'!$C$3:$R$298, 2, FALSE)</f>
        <v>LAC</v>
      </c>
      <c r="C18" s="11" t="str">
        <f>VLOOKUP($A18, '26 ADP Data'!$C$3:$R$298, 16, FALSE)</f>
        <v>RB</v>
      </c>
      <c r="D18" s="11"/>
      <c r="E18" s="11"/>
      <c r="F18" s="11" t="s">
        <v>144</v>
      </c>
      <c r="G18" s="11">
        <v>10</v>
      </c>
      <c r="H18" s="11" t="s">
        <v>200</v>
      </c>
      <c r="I18" s="11">
        <f>VLOOKUP($A18, '26 ADP Data'!$C$3:$Q$298, 13, FALSE)</f>
        <v>15</v>
      </c>
      <c r="J18" s="11">
        <f>VLOOKUP($A18, '26 ADP Data'!$C$3:$Q$298, 10, FALSE)</f>
        <v>16</v>
      </c>
      <c r="K18" s="11">
        <v>19</v>
      </c>
    </row>
    <row r="19" spans="1:11" ht="14.25" hidden="1" customHeight="1" x14ac:dyDescent="0.25">
      <c r="A19" s="11" t="s">
        <v>98</v>
      </c>
      <c r="B19" s="11" t="str">
        <f>VLOOKUP($A19, '26 ADP Data'!$C$3:$R$298, 2, FALSE)</f>
        <v>LV</v>
      </c>
      <c r="C19" s="11" t="str">
        <f>VLOOKUP($A19, '26 ADP Data'!$C$3:$R$298, 16, FALSE)</f>
        <v>TE</v>
      </c>
      <c r="D19" s="11"/>
      <c r="E19" s="11"/>
      <c r="F19" s="11" t="s">
        <v>209</v>
      </c>
      <c r="G19" s="11">
        <v>1</v>
      </c>
      <c r="H19" s="11"/>
      <c r="I19" s="11">
        <f>VLOOKUP($A19, '26 ADP Data'!$C$3:$Q$298, 13, FALSE)</f>
        <v>20</v>
      </c>
      <c r="J19" s="11">
        <f>VLOOKUP($A19, '26 ADP Data'!$C$3:$Q$298, 10, FALSE)</f>
        <v>19</v>
      </c>
      <c r="K19" s="11">
        <v>18</v>
      </c>
    </row>
    <row r="20" spans="1:11" ht="14.25" hidden="1" customHeight="1" x14ac:dyDescent="0.25">
      <c r="A20" s="11" t="s">
        <v>71</v>
      </c>
      <c r="B20" s="11" t="str">
        <f>VLOOKUP($A20, '26 ADP Data'!$C$3:$R$298, 2, FALSE)</f>
        <v>MIN</v>
      </c>
      <c r="C20" s="11" t="str">
        <f>VLOOKUP($A20, '26 ADP Data'!$C$3:$R$298, 16, FALSE)</f>
        <v>WR</v>
      </c>
      <c r="D20" s="11"/>
      <c r="E20" s="11"/>
      <c r="F20" s="11" t="s">
        <v>120</v>
      </c>
      <c r="G20" s="11">
        <v>7</v>
      </c>
      <c r="H20" s="11"/>
      <c r="I20" s="11">
        <f>VLOOKUP($A20, '26 ADP Data'!$C$3:$Q$298, 13, FALSE)</f>
        <v>11</v>
      </c>
      <c r="J20" s="11">
        <f>VLOOKUP($A20, '26 ADP Data'!$C$3:$Q$298, 10, FALSE)</f>
        <v>13</v>
      </c>
      <c r="K20" s="11">
        <v>11</v>
      </c>
    </row>
    <row r="21" spans="1:11" ht="14.25" customHeight="1" x14ac:dyDescent="0.25">
      <c r="A21" s="11" t="s">
        <v>93</v>
      </c>
      <c r="B21" s="11" t="str">
        <f>VLOOKUP($A21, '26 ADP Data'!$C$3:$R$298, 2, FALSE)</f>
        <v>LV</v>
      </c>
      <c r="C21" s="11" t="str">
        <f>VLOOKUP($A21, '26 ADP Data'!$C$3:$R$298, 16, FALSE)</f>
        <v>RB</v>
      </c>
      <c r="D21" s="11"/>
      <c r="E21" s="11"/>
      <c r="F21" s="11" t="s">
        <v>144</v>
      </c>
      <c r="G21" s="11">
        <v>11</v>
      </c>
      <c r="H21" s="11" t="s">
        <v>232</v>
      </c>
      <c r="I21" s="11">
        <f>VLOOKUP($A21, '26 ADP Data'!$C$3:$Q$298, 13, FALSE)</f>
        <v>16</v>
      </c>
      <c r="J21" s="11">
        <f>VLOOKUP($A21, '26 ADP Data'!$C$3:$Q$298, 10, FALSE)</f>
        <v>21</v>
      </c>
      <c r="K21" s="11">
        <v>12</v>
      </c>
    </row>
    <row r="22" spans="1:11" ht="14.25" hidden="1" customHeight="1" x14ac:dyDescent="0.25">
      <c r="A22" s="11" t="s">
        <v>109</v>
      </c>
      <c r="B22" s="11" t="str">
        <f>VLOOKUP($A22, '26 ADP Data'!$C$3:$R$298, 2, FALSE)</f>
        <v>ATL</v>
      </c>
      <c r="C22" s="11" t="str">
        <f>VLOOKUP($A22, '26 ADP Data'!$C$3:$R$298, 16, FALSE)</f>
        <v>WR</v>
      </c>
      <c r="D22" s="11"/>
      <c r="E22" s="11"/>
      <c r="F22" s="11" t="s">
        <v>120</v>
      </c>
      <c r="G22" s="11">
        <v>8</v>
      </c>
      <c r="H22" s="11"/>
      <c r="I22" s="11">
        <f>VLOOKUP($A22, '26 ADP Data'!$C$3:$Q$298, 13, FALSE)</f>
        <v>23</v>
      </c>
      <c r="J22" s="11">
        <f>VLOOKUP($A22, '26 ADP Data'!$C$3:$Q$298, 10, FALSE)</f>
        <v>20</v>
      </c>
      <c r="K22" s="11">
        <v>14</v>
      </c>
    </row>
    <row r="23" spans="1:11" ht="14.25" customHeight="1" x14ac:dyDescent="0.25">
      <c r="A23" s="11" t="s">
        <v>141</v>
      </c>
      <c r="B23" s="11" t="str">
        <f>VLOOKUP($A23, '26 ADP Data'!$C$3:$R$298, 2, FALSE)</f>
        <v>DAL</v>
      </c>
      <c r="C23" s="11" t="str">
        <f>VLOOKUP($A23, '26 ADP Data'!$C$3:$R$298, 16, FALSE)</f>
        <v>RB</v>
      </c>
      <c r="D23" s="11"/>
      <c r="E23" s="11"/>
      <c r="F23" s="11" t="s">
        <v>144</v>
      </c>
      <c r="G23" s="11">
        <v>12</v>
      </c>
      <c r="H23" s="11"/>
      <c r="I23" s="11">
        <f>VLOOKUP($A23, '26 ADP Data'!$C$3:$Q$298, 13, FALSE)</f>
        <v>33</v>
      </c>
      <c r="J23" s="11">
        <f>VLOOKUP($A23, '26 ADP Data'!$C$3:$Q$298, 10, FALSE)</f>
        <v>29</v>
      </c>
      <c r="K23" s="11">
        <v>41</v>
      </c>
    </row>
    <row r="24" spans="1:11" ht="14.25" hidden="1" customHeight="1" x14ac:dyDescent="0.25">
      <c r="A24" s="11" t="s">
        <v>139</v>
      </c>
      <c r="B24" s="11" t="str">
        <f>VLOOKUP($A24, '26 ADP Data'!$C$3:$R$298, 2, FALSE)</f>
        <v>PHI</v>
      </c>
      <c r="C24" s="11" t="str">
        <f>VLOOKUP($A24, '26 ADP Data'!$C$3:$R$298, 16, FALSE)</f>
        <v>WR</v>
      </c>
      <c r="D24" s="11"/>
      <c r="E24" s="11" t="s">
        <v>148</v>
      </c>
      <c r="F24" s="11" t="s">
        <v>120</v>
      </c>
      <c r="G24" s="11">
        <v>9</v>
      </c>
      <c r="H24" s="11"/>
      <c r="I24" s="11">
        <f>VLOOKUP($A24, '26 ADP Data'!$C$3:$Q$298, 13, FALSE)</f>
        <v>27</v>
      </c>
      <c r="J24" s="11">
        <f>VLOOKUP($A24, '26 ADP Data'!$C$3:$Q$298, 10, FALSE)</f>
        <v>26</v>
      </c>
      <c r="K24" s="11">
        <v>28</v>
      </c>
    </row>
    <row r="25" spans="1:11" ht="14.25" hidden="1" customHeight="1" x14ac:dyDescent="0.25">
      <c r="A25" s="11" t="s">
        <v>122</v>
      </c>
      <c r="B25" s="11" t="str">
        <f>VLOOKUP($A25, '26 ADP Data'!$C$3:$R$298, 2, FALSE)</f>
        <v>ARI</v>
      </c>
      <c r="C25" s="11" t="str">
        <f>VLOOKUP($A25, '26 ADP Data'!$C$3:$R$298, 16, FALSE)</f>
        <v>TE</v>
      </c>
      <c r="D25" s="11"/>
      <c r="E25" s="11"/>
      <c r="F25" s="11" t="s">
        <v>209</v>
      </c>
      <c r="G25" s="11">
        <v>2</v>
      </c>
      <c r="H25" s="11"/>
      <c r="I25" s="11">
        <f>VLOOKUP($A25, '26 ADP Data'!$C$3:$Q$298, 13, FALSE)</f>
        <v>29</v>
      </c>
      <c r="J25" s="11">
        <f>VLOOKUP($A25, '26 ADP Data'!$C$3:$Q$298, 10, FALSE)</f>
        <v>34</v>
      </c>
      <c r="K25" s="11">
        <v>22</v>
      </c>
    </row>
    <row r="26" spans="1:11" ht="14.25" customHeight="1" x14ac:dyDescent="0.25">
      <c r="A26" s="11" t="s">
        <v>143</v>
      </c>
      <c r="B26" s="11" t="str">
        <f>VLOOKUP($A26, '26 ADP Data'!$C$3:$R$298, 2, FALSE)</f>
        <v>NYJ</v>
      </c>
      <c r="C26" s="11" t="str">
        <f>VLOOKUP($A26, '26 ADP Data'!$C$3:$R$298, 16, FALSE)</f>
        <v>RB</v>
      </c>
      <c r="D26" s="11"/>
      <c r="E26" s="11"/>
      <c r="F26" s="11" t="s">
        <v>144</v>
      </c>
      <c r="G26" s="24">
        <v>13</v>
      </c>
      <c r="H26" s="11"/>
      <c r="I26" s="11">
        <f>VLOOKUP($A26, '26 ADP Data'!$C$3:$Q$298, 13, FALSE)</f>
        <v>30</v>
      </c>
      <c r="J26" s="11">
        <f>VLOOKUP($A26, '26 ADP Data'!$C$3:$Q$298, 10, FALSE)</f>
        <v>30</v>
      </c>
      <c r="K26" s="11">
        <v>39</v>
      </c>
    </row>
    <row r="27" spans="1:11" ht="14.25" hidden="1" customHeight="1" x14ac:dyDescent="0.25">
      <c r="A27" s="11" t="s">
        <v>115</v>
      </c>
      <c r="B27" s="11" t="str">
        <f>VLOOKUP($A27, '26 ADP Data'!$C$3:$R$298, 2, FALSE)</f>
        <v>HOU</v>
      </c>
      <c r="C27" s="11" t="str">
        <f>VLOOKUP($A27, '26 ADP Data'!$C$3:$R$298, 16, FALSE)</f>
        <v>WR</v>
      </c>
      <c r="D27" s="11"/>
      <c r="E27" s="11"/>
      <c r="F27" s="11" t="s">
        <v>120</v>
      </c>
      <c r="G27" s="11">
        <v>10</v>
      </c>
      <c r="H27" s="11"/>
      <c r="I27" s="11">
        <f>VLOOKUP($A27, '26 ADP Data'!$C$3:$Q$298, 13, FALSE)</f>
        <v>22</v>
      </c>
      <c r="J27" s="11">
        <f>VLOOKUP($A27, '26 ADP Data'!$C$3:$Q$298, 10, FALSE)</f>
        <v>18</v>
      </c>
      <c r="K27" s="11">
        <v>17</v>
      </c>
    </row>
    <row r="28" spans="1:11" ht="14.25" hidden="1" customHeight="1" x14ac:dyDescent="0.25">
      <c r="A28" s="11" t="s">
        <v>133</v>
      </c>
      <c r="B28" s="11" t="str">
        <f>VLOOKUP($A28, '26 ADP Data'!$C$3:$R$298, 2, FALSE)</f>
        <v>KC</v>
      </c>
      <c r="C28" s="11" t="str">
        <f>VLOOKUP($A28, '26 ADP Data'!$C$3:$R$298, 16, FALSE)</f>
        <v>WR</v>
      </c>
      <c r="D28" s="11"/>
      <c r="E28" s="11"/>
      <c r="F28" s="11" t="s">
        <v>120</v>
      </c>
      <c r="G28" s="11">
        <v>11</v>
      </c>
      <c r="H28" s="11"/>
      <c r="I28" s="11">
        <f>VLOOKUP($A28, '26 ADP Data'!$C$3:$Q$298, 13, FALSE)</f>
        <v>26</v>
      </c>
      <c r="J28" s="11">
        <f>VLOOKUP($A28, '26 ADP Data'!$C$3:$Q$298, 10, FALSE)</f>
        <v>39</v>
      </c>
      <c r="K28" s="11">
        <v>31</v>
      </c>
    </row>
    <row r="29" spans="1:11" ht="14.25" hidden="1" customHeight="1" x14ac:dyDescent="0.25">
      <c r="A29" s="11" t="s">
        <v>128</v>
      </c>
      <c r="B29" s="11" t="str">
        <f>VLOOKUP($A29, '26 ADP Data'!$C$3:$R$298, 2, FALSE)</f>
        <v>NO</v>
      </c>
      <c r="C29" s="11" t="str">
        <f>VLOOKUP($A29, '26 ADP Data'!$C$3:$R$298, 16, FALSE)</f>
        <v>WR</v>
      </c>
      <c r="D29" s="11"/>
      <c r="E29" s="11"/>
      <c r="F29" s="11" t="s">
        <v>120</v>
      </c>
      <c r="G29" s="11">
        <v>12</v>
      </c>
      <c r="H29" s="11"/>
      <c r="I29" s="11">
        <f>VLOOKUP($A29, '26 ADP Data'!$C$3:$Q$298, 13, FALSE)</f>
        <v>25</v>
      </c>
      <c r="J29" s="11">
        <f>VLOOKUP($A29, '26 ADP Data'!$C$3:$Q$298, 10, FALSE)</f>
        <v>24</v>
      </c>
      <c r="K29" s="11">
        <v>26</v>
      </c>
    </row>
    <row r="30" spans="1:11" ht="14.25" hidden="1" customHeight="1" x14ac:dyDescent="0.25">
      <c r="A30" s="11" t="s">
        <v>118</v>
      </c>
      <c r="B30" s="11" t="str">
        <f>VLOOKUP($A30, '26 ADP Data'!$C$3:$R$298, 2, FALSE)</f>
        <v>DAL</v>
      </c>
      <c r="C30" s="11" t="str">
        <f>VLOOKUP($A30, '26 ADP Data'!$C$3:$R$298, 16, FALSE)</f>
        <v>WR</v>
      </c>
      <c r="D30" s="11"/>
      <c r="E30" s="11"/>
      <c r="F30" s="11" t="s">
        <v>120</v>
      </c>
      <c r="G30" s="11">
        <v>13</v>
      </c>
      <c r="H30" s="11"/>
      <c r="I30" s="11">
        <f>VLOOKUP($A30, '26 ADP Data'!$C$3:$Q$298, 13, FALSE)</f>
        <v>24</v>
      </c>
      <c r="J30" s="11">
        <f>VLOOKUP($A30, '26 ADP Data'!$C$3:$Q$298, 10, FALSE)</f>
        <v>22</v>
      </c>
      <c r="K30" s="11">
        <v>21</v>
      </c>
    </row>
    <row r="31" spans="1:11" ht="14.25" hidden="1" customHeight="1" x14ac:dyDescent="0.25">
      <c r="A31" s="11" t="s">
        <v>131</v>
      </c>
      <c r="B31" s="11" t="str">
        <f>VLOOKUP($A31, '26 ADP Data'!$C$3:$R$298, 2, FALSE)</f>
        <v>BUF</v>
      </c>
      <c r="C31" s="11" t="str">
        <f>VLOOKUP($A31, '26 ADP Data'!$C$3:$R$298, 16, FALSE)</f>
        <v>QB</v>
      </c>
      <c r="D31" s="11"/>
      <c r="E31" s="11" t="s">
        <v>148</v>
      </c>
      <c r="F31" s="11" t="s">
        <v>327</v>
      </c>
      <c r="G31" s="11">
        <v>1</v>
      </c>
      <c r="H31" s="11"/>
      <c r="I31" s="11">
        <f>VLOOKUP($A31, '26 ADP Data'!$C$3:$Q$298, 13, FALSE)</f>
        <v>38</v>
      </c>
      <c r="J31" s="11">
        <f>VLOOKUP($A31, '26 ADP Data'!$C$3:$Q$298, 10, FALSE)</f>
        <v>35</v>
      </c>
      <c r="K31" s="11">
        <v>23</v>
      </c>
    </row>
    <row r="32" spans="1:11" ht="14.25" customHeight="1" x14ac:dyDescent="0.25">
      <c r="A32" s="11" t="s">
        <v>75</v>
      </c>
      <c r="B32" s="11" t="str">
        <f>VLOOKUP($A32, '26 ADP Data'!$C$3:$R$298, 2, FALSE)</f>
        <v>CIN</v>
      </c>
      <c r="C32" s="11" t="str">
        <f>VLOOKUP($A32, '26 ADP Data'!$C$3:$R$298, 16, FALSE)</f>
        <v>RB</v>
      </c>
      <c r="D32" s="11"/>
      <c r="E32" s="11"/>
      <c r="F32" s="11" t="s">
        <v>336</v>
      </c>
      <c r="G32" s="11">
        <v>14</v>
      </c>
      <c r="H32" s="11"/>
      <c r="I32" s="11">
        <f>VLOOKUP($A32, '26 ADP Data'!$C$3:$Q$298, 13, FALSE)</f>
        <v>14</v>
      </c>
      <c r="J32" s="11">
        <f>VLOOKUP($A32, '26 ADP Data'!$C$3:$Q$298, 10, FALSE)</f>
        <v>14</v>
      </c>
      <c r="K32" s="11">
        <v>15</v>
      </c>
    </row>
    <row r="33" spans="1:11" ht="14.25" customHeight="1" x14ac:dyDescent="0.25">
      <c r="A33" s="11" t="s">
        <v>218</v>
      </c>
      <c r="B33" s="11" t="str">
        <f>VLOOKUP($A33, '26 ADP Data'!$C$3:$R$298, 2, FALSE)</f>
        <v>GB</v>
      </c>
      <c r="C33" s="11" t="str">
        <f>VLOOKUP($A33, '26 ADP Data'!$C$3:$R$298, 16, FALSE)</f>
        <v>RB</v>
      </c>
      <c r="D33" s="11"/>
      <c r="E33" s="11"/>
      <c r="F33" s="11" t="s">
        <v>347</v>
      </c>
      <c r="G33" s="11">
        <v>45</v>
      </c>
      <c r="H33" s="11"/>
      <c r="I33" s="11">
        <f>VLOOKUP($A33, '26 ADP Data'!$C$3:$Q$298, 13, FALSE)</f>
        <v>46</v>
      </c>
      <c r="J33" s="11">
        <f>VLOOKUP($A33, '26 ADP Data'!$C$3:$Q$298, 10, FALSE)</f>
        <v>126</v>
      </c>
      <c r="K33" s="11">
        <v>30</v>
      </c>
    </row>
    <row r="34" spans="1:11" ht="14.25" hidden="1" customHeight="1" x14ac:dyDescent="0.25">
      <c r="A34" s="11" t="s">
        <v>150</v>
      </c>
      <c r="B34" s="11" t="str">
        <f>VLOOKUP($A34, '26 ADP Data'!$C$3:$R$298, 2, FALSE)</f>
        <v>CIN</v>
      </c>
      <c r="C34" s="11" t="str">
        <f>VLOOKUP($A34, '26 ADP Data'!$C$3:$R$298, 16, FALSE)</f>
        <v>WR</v>
      </c>
      <c r="D34" s="11"/>
      <c r="E34" s="11"/>
      <c r="F34" s="11" t="s">
        <v>356</v>
      </c>
      <c r="G34" s="11">
        <v>14</v>
      </c>
      <c r="H34" s="11"/>
      <c r="I34" s="11">
        <f>VLOOKUP($A34, '26 ADP Data'!$C$3:$Q$298, 13, FALSE)</f>
        <v>35</v>
      </c>
      <c r="J34" s="11">
        <f>VLOOKUP($A34, '26 ADP Data'!$C$3:$Q$298, 10, FALSE)</f>
        <v>31</v>
      </c>
      <c r="K34" s="11">
        <v>34</v>
      </c>
    </row>
    <row r="35" spans="1:11" ht="14.25" hidden="1" customHeight="1" x14ac:dyDescent="0.25">
      <c r="A35" s="11" t="s">
        <v>125</v>
      </c>
      <c r="B35" s="11" t="str">
        <f>VLOOKUP($A35, '26 ADP Data'!$C$3:$R$298, 2, FALSE)</f>
        <v>NYG</v>
      </c>
      <c r="C35" s="11" t="str">
        <f>VLOOKUP($A35, '26 ADP Data'!$C$3:$R$298, 16, FALSE)</f>
        <v>WR</v>
      </c>
      <c r="D35" s="11"/>
      <c r="E35" s="11"/>
      <c r="F35" s="11" t="s">
        <v>356</v>
      </c>
      <c r="G35" s="11">
        <v>15</v>
      </c>
      <c r="H35" s="11"/>
      <c r="I35" s="11">
        <f>VLOOKUP($A35, '26 ADP Data'!$C$3:$Q$298, 13, FALSE)</f>
        <v>21</v>
      </c>
      <c r="J35" s="11">
        <f>VLOOKUP($A35, '26 ADP Data'!$C$3:$Q$298, 10, FALSE)</f>
        <v>25</v>
      </c>
      <c r="K35" s="11">
        <v>24</v>
      </c>
    </row>
    <row r="36" spans="1:11" ht="14.25" customHeight="1" x14ac:dyDescent="0.25">
      <c r="A36" s="11" t="s">
        <v>135</v>
      </c>
      <c r="B36" s="11" t="str">
        <f>VLOOKUP($A36, '26 ADP Data'!$C$3:$R$298, 2, FALSE)</f>
        <v>LAR</v>
      </c>
      <c r="C36" s="11" t="str">
        <f>VLOOKUP($A36, '26 ADP Data'!$C$3:$R$298, 16, FALSE)</f>
        <v>RB</v>
      </c>
      <c r="D36" s="11"/>
      <c r="E36" s="11"/>
      <c r="F36" s="11" t="s">
        <v>336</v>
      </c>
      <c r="G36" s="11">
        <v>16</v>
      </c>
      <c r="H36" s="11"/>
      <c r="I36" s="11">
        <f>VLOOKUP($A36, '26 ADP Data'!$C$3:$Q$298, 13, FALSE)</f>
        <v>31</v>
      </c>
      <c r="J36" s="11">
        <f>VLOOKUP($A36, '26 ADP Data'!$C$3:$Q$298, 10, FALSE)</f>
        <v>27</v>
      </c>
      <c r="K36" s="11">
        <v>37</v>
      </c>
    </row>
    <row r="37" spans="1:11" ht="14.25" customHeight="1" x14ac:dyDescent="0.25">
      <c r="A37" s="11" t="s">
        <v>137</v>
      </c>
      <c r="B37" s="11" t="str">
        <f>VLOOKUP($A37, '26 ADP Data'!$C$3:$R$298, 2, FALSE)</f>
        <v>ARI</v>
      </c>
      <c r="C37" s="11" t="str">
        <f>VLOOKUP($A37, '26 ADP Data'!$C$3:$R$298, 16, FALSE)</f>
        <v>RB</v>
      </c>
      <c r="D37" s="11"/>
      <c r="E37" s="11"/>
      <c r="F37" s="11" t="s">
        <v>336</v>
      </c>
      <c r="G37" s="22">
        <v>17</v>
      </c>
      <c r="H37" s="11" t="s">
        <v>376</v>
      </c>
      <c r="I37" s="11">
        <f>VLOOKUP($A37, '26 ADP Data'!$C$3:$Q$298, 13, FALSE)</f>
        <v>28</v>
      </c>
      <c r="J37" s="11">
        <f>VLOOKUP($A37, '26 ADP Data'!$C$3:$Q$298, 10, FALSE)</f>
        <v>28</v>
      </c>
      <c r="K37" s="11">
        <v>25</v>
      </c>
    </row>
    <row r="38" spans="1:11" ht="14.25" customHeight="1" x14ac:dyDescent="0.25">
      <c r="A38" s="11" t="s">
        <v>157</v>
      </c>
      <c r="B38" s="11" t="str">
        <f>VLOOKUP($A38, '26 ADP Data'!$C$3:$R$298, 2, FALSE)</f>
        <v>NO</v>
      </c>
      <c r="C38" s="11" t="str">
        <f>VLOOKUP($A38, '26 ADP Data'!$C$3:$R$298, 16, FALSE)</f>
        <v>RB</v>
      </c>
      <c r="D38" s="11"/>
      <c r="E38" s="11"/>
      <c r="F38" s="11" t="s">
        <v>383</v>
      </c>
      <c r="G38" s="11">
        <v>18</v>
      </c>
      <c r="H38" s="11"/>
      <c r="I38" s="11">
        <f>VLOOKUP($A38, '26 ADP Data'!$C$3:$Q$298, 13, FALSE)</f>
        <v>40</v>
      </c>
      <c r="J38" s="11">
        <f>VLOOKUP($A38, '26 ADP Data'!$C$3:$Q$298, 10, FALSE)</f>
        <v>40</v>
      </c>
      <c r="K38" s="11">
        <v>38</v>
      </c>
    </row>
    <row r="39" spans="1:11" ht="14.25" hidden="1" customHeight="1" x14ac:dyDescent="0.25">
      <c r="A39" s="11" t="s">
        <v>159</v>
      </c>
      <c r="B39" s="11" t="str">
        <f>VLOOKUP($A39, '26 ADP Data'!$C$3:$R$298, 2, FALSE)</f>
        <v>CAR</v>
      </c>
      <c r="C39" s="11" t="str">
        <f>VLOOKUP($A39, '26 ADP Data'!$C$3:$R$298, 16, FALSE)</f>
        <v>WR</v>
      </c>
      <c r="D39" s="11"/>
      <c r="E39" s="11"/>
      <c r="F39" s="11" t="s">
        <v>356</v>
      </c>
      <c r="G39" s="11">
        <v>16</v>
      </c>
      <c r="H39" s="11" t="s">
        <v>389</v>
      </c>
      <c r="I39" s="11">
        <f>VLOOKUP($A39, '26 ADP Data'!$C$3:$Q$298, 13, FALSE)</f>
        <v>41</v>
      </c>
      <c r="J39" s="11">
        <f>VLOOKUP($A39, '26 ADP Data'!$C$3:$Q$298, 10, FALSE)</f>
        <v>37</v>
      </c>
      <c r="K39" s="11">
        <v>32</v>
      </c>
    </row>
    <row r="40" spans="1:11" ht="14.25" hidden="1" customHeight="1" x14ac:dyDescent="0.25">
      <c r="A40" s="11" t="s">
        <v>162</v>
      </c>
      <c r="B40" s="11" t="str">
        <f>VLOOKUP($A40, '26 ADP Data'!$C$3:$R$298, 2, FALSE)</f>
        <v>TB</v>
      </c>
      <c r="C40" s="11" t="str">
        <f>VLOOKUP($A40, '26 ADP Data'!$C$3:$R$298, 16, FALSE)</f>
        <v>WR</v>
      </c>
      <c r="D40" s="11"/>
      <c r="E40" s="11" t="s">
        <v>148</v>
      </c>
      <c r="F40" s="11" t="s">
        <v>356</v>
      </c>
      <c r="G40" s="11">
        <v>17</v>
      </c>
      <c r="H40" s="11" t="s">
        <v>389</v>
      </c>
      <c r="I40" s="11">
        <f>VLOOKUP($A40, '26 ADP Data'!$C$3:$Q$298, 13, FALSE)</f>
        <v>36</v>
      </c>
      <c r="J40" s="11">
        <f>VLOOKUP($A40, '26 ADP Data'!$C$3:$Q$298, 10, FALSE)</f>
        <v>43</v>
      </c>
      <c r="K40" s="11">
        <v>51</v>
      </c>
    </row>
    <row r="41" spans="1:11" ht="14.25" hidden="1" customHeight="1" x14ac:dyDescent="0.25">
      <c r="A41" s="11" t="s">
        <v>147</v>
      </c>
      <c r="B41" s="11" t="str">
        <f>VLOOKUP($A41, '26 ADP Data'!$C$3:$R$298, 2, FALSE)</f>
        <v>BAL</v>
      </c>
      <c r="C41" s="11" t="str">
        <f>VLOOKUP($A41, '26 ADP Data'!$C$3:$R$298, 16, FALSE)</f>
        <v>WR</v>
      </c>
      <c r="D41" s="11"/>
      <c r="E41" s="11"/>
      <c r="F41" s="11" t="s">
        <v>356</v>
      </c>
      <c r="G41" s="27">
        <v>18</v>
      </c>
      <c r="H41" s="11"/>
      <c r="I41" s="11">
        <f>VLOOKUP($A41, '26 ADP Data'!$C$3:$Q$298, 13, FALSE)</f>
        <v>32</v>
      </c>
      <c r="J41" s="11">
        <f>VLOOKUP($A41, '26 ADP Data'!$C$3:$Q$298, 10, FALSE)</f>
        <v>32</v>
      </c>
      <c r="K41" s="11">
        <v>42</v>
      </c>
    </row>
    <row r="42" spans="1:11" ht="14.25" hidden="1" customHeight="1" x14ac:dyDescent="0.25">
      <c r="A42" s="11" t="s">
        <v>152</v>
      </c>
      <c r="B42" s="11" t="str">
        <f>VLOOKUP($A42, '26 ADP Data'!$C$3:$R$298, 2, FALSE)</f>
        <v>NYJ</v>
      </c>
      <c r="C42" s="11" t="str">
        <f>VLOOKUP($A42, '26 ADP Data'!$C$3:$R$298, 16, FALSE)</f>
        <v>WR</v>
      </c>
      <c r="D42" s="11"/>
      <c r="E42" s="11" t="s">
        <v>148</v>
      </c>
      <c r="F42" s="11" t="s">
        <v>356</v>
      </c>
      <c r="G42" s="11">
        <v>19</v>
      </c>
      <c r="H42" s="11" t="s">
        <v>179</v>
      </c>
      <c r="I42" s="11">
        <f>VLOOKUP($A42, '26 ADP Data'!$C$3:$Q$298, 13, FALSE)</f>
        <v>39</v>
      </c>
      <c r="J42" s="11">
        <f>VLOOKUP($A42, '26 ADP Data'!$C$3:$Q$298, 10, FALSE)</f>
        <v>36</v>
      </c>
      <c r="K42" s="11">
        <v>35</v>
      </c>
    </row>
    <row r="43" spans="1:11" ht="14.25" hidden="1" customHeight="1" x14ac:dyDescent="0.25">
      <c r="A43" s="11" t="s">
        <v>154</v>
      </c>
      <c r="B43" s="11" t="str">
        <f>VLOOKUP($A43, '26 ADP Data'!$C$3:$R$298, 2, FALSE)</f>
        <v>CHI</v>
      </c>
      <c r="C43" s="11" t="str">
        <f>VLOOKUP($A43, '26 ADP Data'!$C$3:$R$298, 16, FALSE)</f>
        <v>TE</v>
      </c>
      <c r="D43" s="11"/>
      <c r="E43" s="11"/>
      <c r="F43" s="11" t="s">
        <v>420</v>
      </c>
      <c r="G43" s="11">
        <v>4</v>
      </c>
      <c r="H43" s="11" t="s">
        <v>179</v>
      </c>
      <c r="I43" s="11">
        <f>VLOOKUP($A43, '26 ADP Data'!$C$3:$Q$298, 13, FALSE)</f>
        <v>42</v>
      </c>
      <c r="J43" s="11">
        <f>VLOOKUP($A43, '26 ADP Data'!$C$3:$Q$298, 10, FALSE)</f>
        <v>38</v>
      </c>
      <c r="K43" s="11">
        <v>36</v>
      </c>
    </row>
    <row r="44" spans="1:11" ht="14.25" hidden="1" customHeight="1" x14ac:dyDescent="0.25">
      <c r="A44" s="11" t="s">
        <v>167</v>
      </c>
      <c r="B44" s="11" t="str">
        <f>VLOOKUP($A44, '26 ADP Data'!$C$3:$R$298, 2, FALSE)</f>
        <v>DEN</v>
      </c>
      <c r="C44" s="11" t="str">
        <f>VLOOKUP($A44, '26 ADP Data'!$C$3:$R$298, 16, FALSE)</f>
        <v>WR</v>
      </c>
      <c r="D44" s="11"/>
      <c r="E44" s="11"/>
      <c r="F44" s="11" t="s">
        <v>427</v>
      </c>
      <c r="G44" s="11">
        <v>20</v>
      </c>
      <c r="H44" s="11"/>
      <c r="I44" s="11">
        <f>VLOOKUP($A44, '26 ADP Data'!$C$3:$Q$298, 13, FALSE)</f>
        <v>37</v>
      </c>
      <c r="J44" s="11">
        <f>VLOOKUP($A44, '26 ADP Data'!$C$3:$Q$298, 10, FALSE)</f>
        <v>33</v>
      </c>
      <c r="K44" s="11">
        <v>45</v>
      </c>
    </row>
    <row r="45" spans="1:11" ht="14.25" customHeight="1" x14ac:dyDescent="0.25">
      <c r="A45" s="11" t="s">
        <v>186</v>
      </c>
      <c r="B45" s="11" t="str">
        <f>VLOOKUP($A45, '26 ADP Data'!$C$3:$R$298, 2, FALSE)</f>
        <v>CLE</v>
      </c>
      <c r="C45" s="11" t="str">
        <f>VLOOKUP($A45, '26 ADP Data'!$C$3:$R$298, 16, FALSE)</f>
        <v>RB</v>
      </c>
      <c r="D45" s="11"/>
      <c r="E45" s="11"/>
      <c r="F45" s="11" t="s">
        <v>383</v>
      </c>
      <c r="G45" s="11">
        <v>19</v>
      </c>
      <c r="H45" s="11" t="s">
        <v>436</v>
      </c>
      <c r="I45" s="11">
        <f>VLOOKUP($A45, '26 ADP Data'!$C$3:$Q$298, 13, FALSE)</f>
        <v>55</v>
      </c>
      <c r="J45" s="11">
        <f>VLOOKUP($A45, '26 ADP Data'!$C$3:$Q$298, 10, FALSE)</f>
        <v>56</v>
      </c>
      <c r="K45" s="11">
        <v>60</v>
      </c>
    </row>
    <row r="46" spans="1:11" ht="14.25" hidden="1" customHeight="1" x14ac:dyDescent="0.25">
      <c r="A46" s="11" t="s">
        <v>192</v>
      </c>
      <c r="B46" s="11" t="str">
        <f>VLOOKUP($A46, '26 ADP Data'!$C$3:$R$298, 2, FALSE)</f>
        <v>LAR</v>
      </c>
      <c r="C46" s="11" t="str">
        <f>VLOOKUP($A46, '26 ADP Data'!$C$3:$R$298, 16, FALSE)</f>
        <v>WR</v>
      </c>
      <c r="D46" s="11"/>
      <c r="E46" s="11" t="s">
        <v>148</v>
      </c>
      <c r="F46" s="11" t="s">
        <v>356</v>
      </c>
      <c r="G46" s="11">
        <v>21</v>
      </c>
      <c r="H46" s="11"/>
      <c r="I46" s="11">
        <f>VLOOKUP($A46, '26 ADP Data'!$C$3:$Q$298, 13, FALSE)</f>
        <v>51</v>
      </c>
      <c r="J46" s="11">
        <f>VLOOKUP($A46, '26 ADP Data'!$C$3:$Q$298, 10, FALSE)</f>
        <v>55</v>
      </c>
      <c r="K46" s="11">
        <v>44</v>
      </c>
    </row>
    <row r="47" spans="1:11" ht="14.25" hidden="1" customHeight="1" x14ac:dyDescent="0.25">
      <c r="A47" s="11" t="s">
        <v>183</v>
      </c>
      <c r="B47" s="11" t="str">
        <f>VLOOKUP($A47, '26 ADP Data'!$C$3:$R$298, 2, FALSE)</f>
        <v>WAS</v>
      </c>
      <c r="C47" s="11" t="str">
        <f>VLOOKUP($A47, '26 ADP Data'!$C$3:$R$298, 16, FALSE)</f>
        <v>WR</v>
      </c>
      <c r="D47" s="11"/>
      <c r="E47" s="11"/>
      <c r="F47" s="11" t="s">
        <v>427</v>
      </c>
      <c r="G47" s="11">
        <v>22</v>
      </c>
      <c r="H47" s="11"/>
      <c r="I47" s="11">
        <f>VLOOKUP($A47, '26 ADP Data'!$C$3:$Q$298, 13, FALSE)</f>
        <v>48</v>
      </c>
      <c r="J47" s="11">
        <f>VLOOKUP($A47, '26 ADP Data'!$C$3:$Q$298, 10, FALSE)</f>
        <v>47</v>
      </c>
      <c r="K47" s="11">
        <v>48</v>
      </c>
    </row>
    <row r="48" spans="1:11" ht="14.25" hidden="1" customHeight="1" x14ac:dyDescent="0.25">
      <c r="A48" s="11" t="s">
        <v>228</v>
      </c>
      <c r="B48" s="11" t="str">
        <f>VLOOKUP($A48, '26 ADP Data'!$C$3:$R$298, 2, FALSE)</f>
        <v>TEN</v>
      </c>
      <c r="C48" s="11" t="str">
        <f>VLOOKUP($A48, '26 ADP Data'!$C$3:$R$298, 16, FALSE)</f>
        <v>WR</v>
      </c>
      <c r="D48" s="11"/>
      <c r="E48" s="11" t="s">
        <v>148</v>
      </c>
      <c r="F48" s="11" t="s">
        <v>427</v>
      </c>
      <c r="G48" s="11">
        <v>23</v>
      </c>
      <c r="H48" s="11" t="s">
        <v>463</v>
      </c>
      <c r="I48" s="11">
        <f>VLOOKUP($A48, '26 ADP Data'!$C$3:$Q$298, 13, FALSE)</f>
        <v>62</v>
      </c>
      <c r="J48" s="11">
        <f>VLOOKUP($A48, '26 ADP Data'!$C$3:$Q$298, 10, FALSE)</f>
        <v>74</v>
      </c>
      <c r="K48" s="11">
        <v>67</v>
      </c>
    </row>
    <row r="49" spans="1:11" ht="14.25" hidden="1" customHeight="1" x14ac:dyDescent="0.25">
      <c r="A49" s="11" t="s">
        <v>165</v>
      </c>
      <c r="B49" s="11" t="str">
        <f>VLOOKUP($A49, '26 ADP Data'!$C$3:$R$298, 2, FALSE)</f>
        <v>LAC</v>
      </c>
      <c r="C49" s="11" t="str">
        <f>VLOOKUP($A49, '26 ADP Data'!$C$3:$R$298, 16, FALSE)</f>
        <v>WR</v>
      </c>
      <c r="D49" s="11"/>
      <c r="E49" s="11" t="s">
        <v>148</v>
      </c>
      <c r="F49" s="11" t="s">
        <v>427</v>
      </c>
      <c r="G49" s="11">
        <v>24</v>
      </c>
      <c r="H49" s="11" t="s">
        <v>179</v>
      </c>
      <c r="I49" s="11">
        <f>VLOOKUP($A49, '26 ADP Data'!$C$3:$Q$298, 13, FALSE)</f>
        <v>34</v>
      </c>
      <c r="J49" s="11">
        <f>VLOOKUP($A49, '26 ADP Data'!$C$3:$Q$298, 10, FALSE)</f>
        <v>41</v>
      </c>
      <c r="K49" s="11">
        <v>40</v>
      </c>
    </row>
    <row r="50" spans="1:11" ht="14.25" hidden="1" customHeight="1" x14ac:dyDescent="0.25">
      <c r="A50" s="11" t="s">
        <v>174</v>
      </c>
      <c r="B50" s="11" t="str">
        <f>VLOOKUP($A50, '26 ADP Data'!$C$3:$R$298, 2, FALSE)</f>
        <v>BAL</v>
      </c>
      <c r="C50" s="11" t="str">
        <f>VLOOKUP($A50, '26 ADP Data'!$C$3:$R$298, 16, FALSE)</f>
        <v>QB</v>
      </c>
      <c r="D50" s="11"/>
      <c r="E50" s="11" t="s">
        <v>148</v>
      </c>
      <c r="F50" s="11" t="s">
        <v>474</v>
      </c>
      <c r="G50" s="11">
        <v>2</v>
      </c>
      <c r="H50" s="11"/>
      <c r="I50" s="11">
        <f>VLOOKUP($A50, '26 ADP Data'!$C$3:$Q$298, 13, FALSE)</f>
        <v>58</v>
      </c>
      <c r="J50" s="11">
        <f>VLOOKUP($A50, '26 ADP Data'!$C$3:$Q$298, 10, FALSE)</f>
        <v>53</v>
      </c>
      <c r="K50" s="11">
        <v>33</v>
      </c>
    </row>
    <row r="51" spans="1:11" ht="14.25" customHeight="1" x14ac:dyDescent="0.25">
      <c r="A51" s="11" t="s">
        <v>170</v>
      </c>
      <c r="B51" s="11" t="str">
        <f>VLOOKUP($A51, '26 ADP Data'!$C$3:$R$298, 2, FALSE)</f>
        <v>NYG</v>
      </c>
      <c r="C51" s="11" t="str">
        <f>VLOOKUP($A51, '26 ADP Data'!$C$3:$R$298, 16, FALSE)</f>
        <v>RB</v>
      </c>
      <c r="D51" s="11"/>
      <c r="E51" s="11"/>
      <c r="F51" s="11" t="s">
        <v>383</v>
      </c>
      <c r="G51" s="11">
        <v>20</v>
      </c>
      <c r="H51" s="11" t="s">
        <v>483</v>
      </c>
      <c r="I51" s="11">
        <f>VLOOKUP($A51, '26 ADP Data'!$C$3:$Q$298, 13, FALSE)</f>
        <v>45</v>
      </c>
      <c r="J51" s="11">
        <f>VLOOKUP($A51, '26 ADP Data'!$C$3:$Q$298, 10, FALSE)</f>
        <v>48</v>
      </c>
      <c r="K51" s="11">
        <v>50</v>
      </c>
    </row>
    <row r="52" spans="1:11" ht="14.25" customHeight="1" x14ac:dyDescent="0.25">
      <c r="A52" s="11" t="s">
        <v>172</v>
      </c>
      <c r="B52" s="11" t="str">
        <f>VLOOKUP($A52, '26 ADP Data'!$C$3:$R$298, 2, FALSE)</f>
        <v>CHI</v>
      </c>
      <c r="C52" s="11" t="str">
        <f>VLOOKUP($A52, '26 ADP Data'!$C$3:$R$298, 16, FALSE)</f>
        <v>RB</v>
      </c>
      <c r="D52" s="11"/>
      <c r="E52" s="11"/>
      <c r="F52" s="11" t="s">
        <v>383</v>
      </c>
      <c r="G52" s="11">
        <v>21</v>
      </c>
      <c r="H52" s="11"/>
      <c r="I52" s="11">
        <f>VLOOKUP($A52, '26 ADP Data'!$C$3:$Q$298, 13, FALSE)</f>
        <v>44</v>
      </c>
      <c r="J52" s="11">
        <f>VLOOKUP($A52, '26 ADP Data'!$C$3:$Q$298, 10, FALSE)</f>
        <v>42</v>
      </c>
      <c r="K52" s="11">
        <v>54</v>
      </c>
    </row>
    <row r="53" spans="1:11" ht="14.25" customHeight="1" x14ac:dyDescent="0.25">
      <c r="A53" s="11" t="s">
        <v>189</v>
      </c>
      <c r="B53" s="11" t="str">
        <f>VLOOKUP($A53, '26 ADP Data'!$C$3:$R$298, 2, FALSE)</f>
        <v>TB</v>
      </c>
      <c r="C53" s="11" t="str">
        <f>VLOOKUP($A53, '26 ADP Data'!$C$3:$R$298, 16, FALSE)</f>
        <v>RB</v>
      </c>
      <c r="D53" s="11"/>
      <c r="E53" s="11"/>
      <c r="F53" s="11" t="s">
        <v>383</v>
      </c>
      <c r="G53" s="11">
        <v>22</v>
      </c>
      <c r="H53" s="11" t="s">
        <v>500</v>
      </c>
      <c r="I53" s="11">
        <f>VLOOKUP($A53, '26 ADP Data'!$C$3:$Q$298, 13, FALSE)</f>
        <v>52</v>
      </c>
      <c r="J53" s="11">
        <f>VLOOKUP($A53, '26 ADP Data'!$C$3:$Q$298, 10, FALSE)</f>
        <v>50</v>
      </c>
      <c r="K53" s="11">
        <v>47</v>
      </c>
    </row>
    <row r="54" spans="1:11" ht="14.25" hidden="1" customHeight="1" x14ac:dyDescent="0.25">
      <c r="A54" s="11" t="s">
        <v>194</v>
      </c>
      <c r="B54" s="11" t="str">
        <f>VLOOKUP($A54, '26 ADP Data'!$C$3:$R$298, 2, FALSE)</f>
        <v>IND</v>
      </c>
      <c r="C54" s="11" t="str">
        <f>VLOOKUP($A54, '26 ADP Data'!$C$3:$R$298, 16, FALSE)</f>
        <v>TE</v>
      </c>
      <c r="D54" s="11"/>
      <c r="E54" s="11"/>
      <c r="F54" s="11" t="s">
        <v>420</v>
      </c>
      <c r="G54" s="11">
        <v>3</v>
      </c>
      <c r="H54" s="11"/>
      <c r="I54" s="11">
        <f>VLOOKUP($A54, '26 ADP Data'!$C$3:$Q$298, 13, FALSE)</f>
        <v>63</v>
      </c>
      <c r="J54" s="11">
        <f>VLOOKUP($A54, '26 ADP Data'!$C$3:$Q$298, 10, FALSE)</f>
        <v>46</v>
      </c>
      <c r="K54" s="11">
        <v>57</v>
      </c>
    </row>
    <row r="55" spans="1:11" ht="14.25" customHeight="1" x14ac:dyDescent="0.25">
      <c r="A55" s="11" t="s">
        <v>206</v>
      </c>
      <c r="B55" s="11" t="str">
        <f>VLOOKUP($A55, '26 ADP Data'!$C$3:$R$298, 2, FALSE)</f>
        <v>SEA</v>
      </c>
      <c r="C55" s="11" t="str">
        <f>VLOOKUP($A55, '26 ADP Data'!$C$3:$R$298, 16, FALSE)</f>
        <v>RB</v>
      </c>
      <c r="D55" s="11"/>
      <c r="E55" s="22" t="s">
        <v>148</v>
      </c>
      <c r="F55" s="11" t="s">
        <v>383</v>
      </c>
      <c r="G55" s="11">
        <v>23</v>
      </c>
      <c r="H55" s="11" t="s">
        <v>517</v>
      </c>
      <c r="I55" s="11">
        <f>VLOOKUP($A55, '26 ADP Data'!$C$3:$Q$298, 13, FALSE)</f>
        <v>60</v>
      </c>
      <c r="J55" s="11">
        <f>VLOOKUP($A55, '26 ADP Data'!$C$3:$Q$298, 10, FALSE)</f>
        <v>59</v>
      </c>
      <c r="K55" s="11">
        <v>68</v>
      </c>
    </row>
    <row r="56" spans="1:11" ht="14.25" hidden="1" customHeight="1" x14ac:dyDescent="0.25">
      <c r="A56" s="11" t="s">
        <v>213</v>
      </c>
      <c r="B56" s="11" t="str">
        <f>VLOOKUP($A56, '26 ADP Data'!$C$3:$R$298, 2, FALSE)</f>
        <v>GB</v>
      </c>
      <c r="C56" s="11" t="str">
        <f>VLOOKUP($A56, '26 ADP Data'!$C$3:$R$298, 16, FALSE)</f>
        <v>WR</v>
      </c>
      <c r="D56" s="11"/>
      <c r="E56" s="11" t="s">
        <v>148</v>
      </c>
      <c r="F56" s="11" t="s">
        <v>528</v>
      </c>
      <c r="G56" s="11">
        <v>25</v>
      </c>
      <c r="H56" s="11" t="s">
        <v>179</v>
      </c>
      <c r="I56" s="11">
        <f>VLOOKUP($A56, '26 ADP Data'!$C$3:$Q$298, 13, FALSE)</f>
        <v>57</v>
      </c>
      <c r="J56" s="11">
        <f>VLOOKUP($A56, '26 ADP Data'!$C$3:$Q$298, 10, FALSE)</f>
        <v>52</v>
      </c>
      <c r="K56" s="11">
        <v>59</v>
      </c>
    </row>
    <row r="57" spans="1:11" ht="14.25" customHeight="1" x14ac:dyDescent="0.25">
      <c r="A57" s="11" t="s">
        <v>198</v>
      </c>
      <c r="B57" s="11" t="str">
        <f>VLOOKUP($A57, '26 ADP Data'!$C$3:$R$298, 2, FALSE)</f>
        <v>JAX</v>
      </c>
      <c r="C57" s="11" t="str">
        <f>VLOOKUP($A57, '26 ADP Data'!$C$3:$R$298, 16, FALSE)</f>
        <v>RB</v>
      </c>
      <c r="D57" s="11"/>
      <c r="E57" s="11"/>
      <c r="F57" s="11" t="s">
        <v>537</v>
      </c>
      <c r="G57" s="11">
        <v>24</v>
      </c>
      <c r="H57" s="11" t="s">
        <v>483</v>
      </c>
      <c r="I57" s="11">
        <f>VLOOKUP($A57, '26 ADP Data'!$C$3:$Q$298, 13, FALSE)</f>
        <v>49</v>
      </c>
      <c r="J57" s="11">
        <f>VLOOKUP($A57, '26 ADP Data'!$C$3:$Q$298, 10, FALSE)</f>
        <v>58</v>
      </c>
      <c r="K57" s="11">
        <v>63</v>
      </c>
    </row>
    <row r="58" spans="1:11" ht="14.25" hidden="1" customHeight="1" x14ac:dyDescent="0.25">
      <c r="A58" s="11" t="s">
        <v>202</v>
      </c>
      <c r="B58" s="11" t="str">
        <f>VLOOKUP($A58, '26 ADP Data'!$C$3:$R$298, 2, FALSE)</f>
        <v>CHI</v>
      </c>
      <c r="C58" s="11" t="str">
        <f>VLOOKUP($A58, '26 ADP Data'!$C$3:$R$298, 16, FALSE)</f>
        <v>WR</v>
      </c>
      <c r="D58" s="11"/>
      <c r="E58" s="11"/>
      <c r="F58" s="11" t="s">
        <v>528</v>
      </c>
      <c r="G58" s="11">
        <v>26</v>
      </c>
      <c r="H58" s="11"/>
      <c r="I58" s="11">
        <f>VLOOKUP($A58, '26 ADP Data'!$C$3:$Q$298, 13, FALSE)</f>
        <v>59</v>
      </c>
      <c r="J58" s="11">
        <f>VLOOKUP($A58, '26 ADP Data'!$C$3:$Q$298, 10, FALSE)</f>
        <v>51</v>
      </c>
      <c r="K58" s="11">
        <v>58</v>
      </c>
    </row>
    <row r="59" spans="1:11" ht="14.25" hidden="1" customHeight="1" x14ac:dyDescent="0.25">
      <c r="A59" s="11" t="s">
        <v>204</v>
      </c>
      <c r="B59" s="11" t="str">
        <f>VLOOKUP($A59, '26 ADP Data'!$C$3:$R$298, 2, FALSE)</f>
        <v>NE</v>
      </c>
      <c r="C59" s="11" t="str">
        <f>VLOOKUP($A59, '26 ADP Data'!$C$3:$R$298, 16, FALSE)</f>
        <v>QB</v>
      </c>
      <c r="D59" s="11"/>
      <c r="E59" s="11" t="s">
        <v>148</v>
      </c>
      <c r="F59" s="11" t="s">
        <v>556</v>
      </c>
      <c r="G59" s="11">
        <v>5</v>
      </c>
      <c r="H59" s="11"/>
      <c r="I59" s="11">
        <f>VLOOKUP($A59, '26 ADP Data'!$C$3:$Q$298, 13, FALSE)</f>
        <v>66</v>
      </c>
      <c r="J59" s="11">
        <f>VLOOKUP($A59, '26 ADP Data'!$C$3:$Q$298, 10, FALSE)</f>
        <v>61</v>
      </c>
      <c r="K59" s="11">
        <v>43</v>
      </c>
    </row>
    <row r="60" spans="1:11" ht="14.25" hidden="1" customHeight="1" x14ac:dyDescent="0.25">
      <c r="A60" s="11" t="s">
        <v>220</v>
      </c>
      <c r="B60" s="11" t="str">
        <f>VLOOKUP($A60, '26 ADP Data'!$C$3:$R$298, 2, FALSE)</f>
        <v>SF</v>
      </c>
      <c r="C60" s="11" t="str">
        <f>VLOOKUP($A60, '26 ADP Data'!$C$3:$R$298, 16, FALSE)</f>
        <v>WR</v>
      </c>
      <c r="D60" s="11"/>
      <c r="E60" s="11"/>
      <c r="F60" s="11" t="s">
        <v>528</v>
      </c>
      <c r="G60" s="11">
        <v>27</v>
      </c>
      <c r="H60" s="11"/>
      <c r="I60" s="11">
        <f>VLOOKUP($A60, '26 ADP Data'!$C$3:$Q$298, 13, FALSE)</f>
        <v>54</v>
      </c>
      <c r="J60" s="11">
        <f>VLOOKUP($A60, '26 ADP Data'!$C$3:$Q$298, 10, FALSE)</f>
        <v>60</v>
      </c>
      <c r="K60" s="11">
        <v>66</v>
      </c>
    </row>
    <row r="61" spans="1:11" ht="14.25" hidden="1" customHeight="1" x14ac:dyDescent="0.25">
      <c r="A61" s="11" t="s">
        <v>211</v>
      </c>
      <c r="B61" s="11" t="str">
        <f>VLOOKUP($A61, '26 ADP Data'!$C$3:$R$298, 2, FALSE)</f>
        <v>CIN</v>
      </c>
      <c r="C61" s="11" t="str">
        <f>VLOOKUP($A61, '26 ADP Data'!$C$3:$R$298, 16, FALSE)</f>
        <v>QB</v>
      </c>
      <c r="D61" s="11"/>
      <c r="E61" s="11" t="s">
        <v>148</v>
      </c>
      <c r="F61" s="11" t="s">
        <v>556</v>
      </c>
      <c r="G61" s="11">
        <v>3</v>
      </c>
      <c r="H61" s="11"/>
      <c r="I61" s="11">
        <f>VLOOKUP($A61, '26 ADP Data'!$C$3:$Q$298, 13, FALSE)</f>
        <v>68</v>
      </c>
      <c r="J61" s="11">
        <f>VLOOKUP($A61, '26 ADP Data'!$C$3:$Q$298, 10, FALSE)</f>
        <v>64</v>
      </c>
      <c r="K61" s="11">
        <v>49</v>
      </c>
    </row>
    <row r="62" spans="1:11" ht="14.25" customHeight="1" x14ac:dyDescent="0.25">
      <c r="A62" s="11" t="s">
        <v>178</v>
      </c>
      <c r="B62" s="11" t="str">
        <f>VLOOKUP($A62, '26 ADP Data'!$C$3:$R$298, 2, FALSE)</f>
        <v>HOU</v>
      </c>
      <c r="C62" s="11" t="str">
        <f>VLOOKUP($A62, '26 ADP Data'!$C$3:$R$298, 16, FALSE)</f>
        <v>RB</v>
      </c>
      <c r="D62" s="11"/>
      <c r="E62" s="11"/>
      <c r="F62" s="11" t="s">
        <v>537</v>
      </c>
      <c r="G62" s="11">
        <v>25</v>
      </c>
      <c r="H62" s="11"/>
      <c r="I62" s="11">
        <f>VLOOKUP($A62, '26 ADP Data'!$C$3:$Q$298, 13, FALSE)</f>
        <v>47</v>
      </c>
      <c r="J62" s="11">
        <f>VLOOKUP($A62, '26 ADP Data'!$C$3:$Q$298, 10, FALSE)</f>
        <v>57</v>
      </c>
      <c r="K62" s="11">
        <v>65</v>
      </c>
    </row>
    <row r="63" spans="1:11" ht="14.25" hidden="1" customHeight="1" x14ac:dyDescent="0.25">
      <c r="A63" s="11" t="s">
        <v>196</v>
      </c>
      <c r="B63" s="11" t="str">
        <f>VLOOKUP($A63, '26 ADP Data'!$C$3:$R$298, 2, FALSE)</f>
        <v>DET</v>
      </c>
      <c r="C63" s="11" t="str">
        <f>VLOOKUP($A63, '26 ADP Data'!$C$3:$R$298, 16, FALSE)</f>
        <v>WR</v>
      </c>
      <c r="D63" s="11"/>
      <c r="E63" s="11"/>
      <c r="F63" s="11" t="s">
        <v>528</v>
      </c>
      <c r="G63" s="11">
        <v>28</v>
      </c>
      <c r="H63" s="11"/>
      <c r="I63" s="11">
        <f>VLOOKUP($A63, '26 ADP Data'!$C$3:$Q$298, 13, FALSE)</f>
        <v>50</v>
      </c>
      <c r="J63" s="11">
        <f>VLOOKUP($A63, '26 ADP Data'!$C$3:$Q$298, 10, FALSE)</f>
        <v>49</v>
      </c>
      <c r="K63" s="11">
        <v>52</v>
      </c>
    </row>
    <row r="64" spans="1:11" ht="14.25" hidden="1" customHeight="1" x14ac:dyDescent="0.25">
      <c r="A64" s="11" t="s">
        <v>248</v>
      </c>
      <c r="B64" s="11" t="str">
        <f>VLOOKUP($A64, '26 ADP Data'!$C$3:$R$298, 2, FALSE)</f>
        <v>PIT</v>
      </c>
      <c r="C64" s="11" t="str">
        <f>VLOOKUP($A64, '26 ADP Data'!$C$3:$R$298, 16, FALSE)</f>
        <v>WR</v>
      </c>
      <c r="D64" s="11"/>
      <c r="E64" s="11"/>
      <c r="F64" s="11" t="s">
        <v>528</v>
      </c>
      <c r="G64" s="11">
        <v>29</v>
      </c>
      <c r="H64" s="11"/>
      <c r="I64" s="11">
        <f>VLOOKUP($A64, '26 ADP Data'!$C$3:$Q$298, 13, FALSE)</f>
        <v>74</v>
      </c>
      <c r="J64" s="11">
        <f>VLOOKUP($A64, '26 ADP Data'!$C$3:$Q$298, 10, FALSE)</f>
        <v>76</v>
      </c>
      <c r="K64" s="11">
        <v>82</v>
      </c>
    </row>
    <row r="65" spans="1:11" ht="14.25" hidden="1" customHeight="1" x14ac:dyDescent="0.25">
      <c r="A65" s="11" t="s">
        <v>181</v>
      </c>
      <c r="B65" s="11" t="str">
        <f>VLOOKUP($A65, '26 ADP Data'!$C$3:$R$298, 2, FALSE)</f>
        <v>CHI</v>
      </c>
      <c r="C65" s="11" t="str">
        <f>VLOOKUP($A65, '26 ADP Data'!$C$3:$R$298, 16, FALSE)</f>
        <v>WR</v>
      </c>
      <c r="D65" s="11"/>
      <c r="E65" s="11"/>
      <c r="F65" s="11" t="s">
        <v>528</v>
      </c>
      <c r="G65" s="11">
        <v>30</v>
      </c>
      <c r="H65" s="11" t="s">
        <v>607</v>
      </c>
      <c r="I65" s="11">
        <f>VLOOKUP($A65, '26 ADP Data'!$C$3:$Q$298, 13, FALSE)</f>
        <v>43</v>
      </c>
      <c r="J65" s="11">
        <f>VLOOKUP($A65, '26 ADP Data'!$C$3:$Q$298, 10, FALSE)</f>
        <v>44</v>
      </c>
      <c r="K65" s="11">
        <v>46</v>
      </c>
    </row>
    <row r="66" spans="1:11" ht="14.25" hidden="1" customHeight="1" x14ac:dyDescent="0.25">
      <c r="A66" s="11" t="s">
        <v>224</v>
      </c>
      <c r="B66" s="11" t="str">
        <f>VLOOKUP($A66, '26 ADP Data'!$C$3:$R$298, 2, FALSE)</f>
        <v>WAS</v>
      </c>
      <c r="C66" s="11" t="str">
        <f>VLOOKUP($A66, '26 ADP Data'!$C$3:$R$298, 16, FALSE)</f>
        <v>QB</v>
      </c>
      <c r="D66" s="11"/>
      <c r="E66" s="11" t="s">
        <v>148</v>
      </c>
      <c r="F66" s="11" t="s">
        <v>556</v>
      </c>
      <c r="G66" s="11">
        <v>4</v>
      </c>
      <c r="H66" s="11"/>
      <c r="I66" s="11">
        <f>VLOOKUP($A66, '26 ADP Data'!$C$3:$Q$298, 13, FALSE)</f>
        <v>70</v>
      </c>
      <c r="J66" s="11">
        <f>VLOOKUP($A66, '26 ADP Data'!$C$3:$Q$298, 10, FALSE)</f>
        <v>67</v>
      </c>
      <c r="K66" s="11">
        <v>53</v>
      </c>
    </row>
    <row r="67" spans="1:11" ht="14.25" customHeight="1" x14ac:dyDescent="0.25">
      <c r="A67" s="11" t="s">
        <v>216</v>
      </c>
      <c r="B67" s="11" t="str">
        <f>VLOOKUP($A67, '26 ADP Data'!$C$3:$R$298, 2, FALSE)</f>
        <v>NE</v>
      </c>
      <c r="C67" s="11" t="str">
        <f>VLOOKUP($A67, '26 ADP Data'!$C$3:$R$298, 16, FALSE)</f>
        <v>RB</v>
      </c>
      <c r="D67" s="11"/>
      <c r="E67" s="24"/>
      <c r="F67" s="11" t="s">
        <v>537</v>
      </c>
      <c r="G67" s="11">
        <v>26</v>
      </c>
      <c r="H67" s="11" t="s">
        <v>436</v>
      </c>
      <c r="I67" s="11">
        <f>VLOOKUP($A67, '26 ADP Data'!$C$3:$Q$298, 13, FALSE)</f>
        <v>61</v>
      </c>
      <c r="J67" s="11">
        <f>VLOOKUP($A67, '26 ADP Data'!$C$3:$Q$298, 10, FALSE)</f>
        <v>65</v>
      </c>
      <c r="K67" s="11">
        <v>56</v>
      </c>
    </row>
    <row r="68" spans="1:11" ht="14.25" hidden="1" customHeight="1" x14ac:dyDescent="0.25">
      <c r="A68" s="11" t="s">
        <v>286</v>
      </c>
      <c r="B68" s="11" t="str">
        <f>VLOOKUP($A68, '26 ADP Data'!$C$3:$R$298, 2, FALSE)</f>
        <v>IND</v>
      </c>
      <c r="C68" s="11" t="str">
        <f>VLOOKUP($A68, '26 ADP Data'!$C$3:$R$298, 16, FALSE)</f>
        <v>WR</v>
      </c>
      <c r="D68" s="11"/>
      <c r="E68" s="11" t="s">
        <v>148</v>
      </c>
      <c r="F68" s="11" t="s">
        <v>528</v>
      </c>
      <c r="G68" s="11">
        <v>31</v>
      </c>
      <c r="H68" s="11" t="s">
        <v>632</v>
      </c>
      <c r="I68" s="11">
        <f>VLOOKUP($A68, '26 ADP Data'!$C$3:$Q$298, 13, FALSE)</f>
        <v>93</v>
      </c>
      <c r="J68" s="11">
        <f>VLOOKUP($A68, '26 ADP Data'!$C$3:$Q$298, 10, FALSE)</f>
        <v>96</v>
      </c>
      <c r="K68" s="11">
        <v>75</v>
      </c>
    </row>
    <row r="69" spans="1:11" ht="14.25" hidden="1" customHeight="1" x14ac:dyDescent="0.25">
      <c r="A69" s="11" t="s">
        <v>235</v>
      </c>
      <c r="B69" s="11" t="str">
        <f>VLOOKUP($A69, '26 ADP Data'!$C$3:$R$298, 2, FALSE)</f>
        <v>PHI</v>
      </c>
      <c r="C69" s="11" t="str">
        <f>VLOOKUP($A69, '26 ADP Data'!$C$3:$R$298, 16, FALSE)</f>
        <v>QB</v>
      </c>
      <c r="D69" s="11"/>
      <c r="E69" s="11" t="s">
        <v>148</v>
      </c>
      <c r="F69" s="11" t="s">
        <v>556</v>
      </c>
      <c r="G69" s="11">
        <v>6</v>
      </c>
      <c r="H69" s="11"/>
      <c r="I69" s="11">
        <f>VLOOKUP($A69, '26 ADP Data'!$C$3:$Q$298, 13, FALSE)</f>
        <v>72</v>
      </c>
      <c r="J69" s="11">
        <f>VLOOKUP($A69, '26 ADP Data'!$C$3:$Q$298, 10, FALSE)</f>
        <v>63</v>
      </c>
      <c r="K69" s="11">
        <v>62</v>
      </c>
    </row>
    <row r="70" spans="1:11" ht="14.25" customHeight="1" x14ac:dyDescent="0.25">
      <c r="A70" s="11" t="s">
        <v>258</v>
      </c>
      <c r="B70" s="11" t="str">
        <f>VLOOKUP($A70, '26 ADP Data'!$C$3:$R$298, 2, FALSE)</f>
        <v>PIT</v>
      </c>
      <c r="C70" s="11" t="str">
        <f>VLOOKUP($A70, '26 ADP Data'!$C$3:$R$298, 16, FALSE)</f>
        <v>RB</v>
      </c>
      <c r="D70" s="11"/>
      <c r="E70" s="11"/>
      <c r="F70" s="11" t="s">
        <v>653</v>
      </c>
      <c r="G70" s="11">
        <v>27</v>
      </c>
      <c r="H70" s="11"/>
      <c r="I70" s="11">
        <f>VLOOKUP($A70, '26 ADP Data'!$C$3:$Q$298, 13, FALSE)</f>
        <v>82</v>
      </c>
      <c r="J70" s="11">
        <f>VLOOKUP($A70, '26 ADP Data'!$C$3:$Q$298, 10, FALSE)</f>
        <v>86</v>
      </c>
      <c r="K70" s="11">
        <v>74</v>
      </c>
    </row>
    <row r="71" spans="1:11" ht="14.25" hidden="1" customHeight="1" x14ac:dyDescent="0.25">
      <c r="A71" s="11" t="s">
        <v>176</v>
      </c>
      <c r="B71" s="11" t="str">
        <f>VLOOKUP($A71, '26 ADP Data'!$C$3:$R$298, 2, FALSE)</f>
        <v>BUF</v>
      </c>
      <c r="C71" s="11" t="str">
        <f>VLOOKUP($A71, '26 ADP Data'!$C$3:$R$298, 16, FALSE)</f>
        <v>WR</v>
      </c>
      <c r="D71" s="11"/>
      <c r="E71" s="11"/>
      <c r="F71" s="11" t="s">
        <v>528</v>
      </c>
      <c r="G71" s="11">
        <v>32</v>
      </c>
      <c r="H71" s="11"/>
      <c r="I71" s="11">
        <f>VLOOKUP($A71, '26 ADP Data'!$C$3:$Q$298, 13, FALSE)</f>
        <v>53</v>
      </c>
      <c r="J71" s="11">
        <f>VLOOKUP($A71, '26 ADP Data'!$C$3:$Q$298, 10, FALSE)</f>
        <v>45</v>
      </c>
      <c r="K71" s="11">
        <v>55</v>
      </c>
    </row>
    <row r="72" spans="1:11" ht="14.25" hidden="1" customHeight="1" x14ac:dyDescent="0.25">
      <c r="A72" s="11" t="s">
        <v>314</v>
      </c>
      <c r="B72" s="11" t="str">
        <f>VLOOKUP($A72, '26 ADP Data'!$C$3:$R$298, 2, FALSE)</f>
        <v>SF</v>
      </c>
      <c r="C72" s="11" t="str">
        <f>VLOOKUP($A72, '26 ADP Data'!$C$3:$R$298, 16, FALSE)</f>
        <v>WR</v>
      </c>
      <c r="D72" s="11"/>
      <c r="E72" s="11" t="s">
        <v>148</v>
      </c>
      <c r="F72" s="11" t="s">
        <v>528</v>
      </c>
      <c r="G72" s="11">
        <v>33</v>
      </c>
      <c r="H72" s="11" t="s">
        <v>673</v>
      </c>
      <c r="I72" s="11">
        <f>VLOOKUP($A72, '26 ADP Data'!$C$3:$Q$298, 13, FALSE)</f>
        <v>109</v>
      </c>
      <c r="J72" s="11">
        <f>VLOOKUP($A72, '26 ADP Data'!$C$3:$Q$298, 10, FALSE)</f>
        <v>93</v>
      </c>
      <c r="K72" s="11" t="s">
        <v>678</v>
      </c>
    </row>
    <row r="73" spans="1:11" ht="14.25" customHeight="1" x14ac:dyDescent="0.25">
      <c r="A73" s="11" t="s">
        <v>252</v>
      </c>
      <c r="B73" s="11" t="str">
        <f>VLOOKUP($A73, '26 ADP Data'!$C$3:$R$298, 2, FALSE)</f>
        <v>TEN</v>
      </c>
      <c r="C73" s="11" t="str">
        <f>VLOOKUP($A73, '26 ADP Data'!$C$3:$R$298, 16, FALSE)</f>
        <v>RB</v>
      </c>
      <c r="D73" s="11"/>
      <c r="E73" s="11"/>
      <c r="F73" s="11" t="s">
        <v>653</v>
      </c>
      <c r="G73" s="11">
        <v>28</v>
      </c>
      <c r="H73" s="11"/>
      <c r="I73" s="11">
        <f>VLOOKUP($A73, '26 ADP Data'!$C$3:$Q$298, 13, FALSE)</f>
        <v>77</v>
      </c>
      <c r="J73" s="11">
        <f>VLOOKUP($A73, '26 ADP Data'!$C$3:$Q$298, 10, FALSE)</f>
        <v>81</v>
      </c>
      <c r="K73" s="11">
        <v>88</v>
      </c>
    </row>
    <row r="74" spans="1:11" ht="14.25" hidden="1" customHeight="1" x14ac:dyDescent="0.25">
      <c r="A74" s="11" t="s">
        <v>241</v>
      </c>
      <c r="B74" s="11" t="str">
        <f>VLOOKUP($A74, '26 ADP Data'!$C$3:$R$298, 2, FALSE)</f>
        <v>CHI</v>
      </c>
      <c r="C74" s="11" t="str">
        <f>VLOOKUP($A74, '26 ADP Data'!$C$3:$R$298, 16, FALSE)</f>
        <v>QB</v>
      </c>
      <c r="D74" s="11"/>
      <c r="E74" s="11"/>
      <c r="F74" s="11" t="s">
        <v>691</v>
      </c>
      <c r="G74" s="11">
        <v>7</v>
      </c>
      <c r="H74" s="29" t="s">
        <v>179</v>
      </c>
      <c r="I74" s="11">
        <f>VLOOKUP($A74, '26 ADP Data'!$C$3:$Q$298, 13, FALSE)</f>
        <v>73</v>
      </c>
      <c r="J74" s="11">
        <f>VLOOKUP($A74, '26 ADP Data'!$C$3:$Q$298, 10, FALSE)</f>
        <v>72</v>
      </c>
      <c r="K74" s="11">
        <v>76</v>
      </c>
    </row>
    <row r="75" spans="1:11" ht="14.25" hidden="1" customHeight="1" x14ac:dyDescent="0.25">
      <c r="A75" s="11" t="s">
        <v>237</v>
      </c>
      <c r="B75" s="11" t="str">
        <f>VLOOKUP($A75, '26 ADP Data'!$C$3:$R$298, 2, FALSE)</f>
        <v>GB</v>
      </c>
      <c r="C75" s="11" t="str">
        <f>VLOOKUP($A75, '26 ADP Data'!$C$3:$R$298, 16, FALSE)</f>
        <v>TE</v>
      </c>
      <c r="D75" s="11"/>
      <c r="E75" s="11"/>
      <c r="F75" s="11" t="s">
        <v>704</v>
      </c>
      <c r="G75" s="11">
        <v>5</v>
      </c>
      <c r="H75" s="11"/>
      <c r="I75" s="11">
        <f>VLOOKUP($A75, '26 ADP Data'!$C$3:$Q$298, 13, FALSE)</f>
        <v>76</v>
      </c>
      <c r="J75" s="11">
        <f>VLOOKUP($A75, '26 ADP Data'!$C$3:$Q$298, 10, FALSE)</f>
        <v>66</v>
      </c>
      <c r="K75" s="11">
        <v>64</v>
      </c>
    </row>
    <row r="76" spans="1:11" ht="14.25" customHeight="1" x14ac:dyDescent="0.25">
      <c r="A76" s="11" t="s">
        <v>244</v>
      </c>
      <c r="B76" s="11" t="str">
        <f>VLOOKUP($A76, '26 ADP Data'!$C$3:$R$298, 2, FALSE)</f>
        <v>CAR</v>
      </c>
      <c r="C76" s="11" t="str">
        <f>VLOOKUP($A76, '26 ADP Data'!$C$3:$R$298, 16, FALSE)</f>
        <v>RB</v>
      </c>
      <c r="D76" s="11"/>
      <c r="E76" s="11"/>
      <c r="F76" s="11" t="s">
        <v>653</v>
      </c>
      <c r="G76" s="11">
        <v>29</v>
      </c>
      <c r="H76" s="11" t="s">
        <v>713</v>
      </c>
      <c r="I76" s="11">
        <f>VLOOKUP($A76, '26 ADP Data'!$C$3:$Q$298, 13, FALSE)</f>
        <v>75</v>
      </c>
      <c r="J76" s="11">
        <f>VLOOKUP($A76, '26 ADP Data'!$C$3:$Q$298, 10, FALSE)</f>
        <v>77</v>
      </c>
      <c r="K76" s="11">
        <v>125</v>
      </c>
    </row>
    <row r="77" spans="1:11" ht="14.25" hidden="1" customHeight="1" x14ac:dyDescent="0.25">
      <c r="A77" s="11" t="s">
        <v>226</v>
      </c>
      <c r="B77" s="11" t="str">
        <f>VLOOKUP($A77, '26 ADP Data'!$C$3:$R$298, 2, FALSE)</f>
        <v>ARI</v>
      </c>
      <c r="C77" s="11" t="str">
        <f>VLOOKUP($A77, '26 ADP Data'!$C$3:$R$298, 16, FALSE)</f>
        <v>WR</v>
      </c>
      <c r="D77" s="11"/>
      <c r="E77" s="11"/>
      <c r="F77" s="11" t="s">
        <v>528</v>
      </c>
      <c r="G77" s="11">
        <v>35</v>
      </c>
      <c r="H77" s="11"/>
      <c r="I77" s="11">
        <f>VLOOKUP($A77, '26 ADP Data'!$C$3:$Q$298, 13, FALSE)</f>
        <v>65</v>
      </c>
      <c r="J77" s="11">
        <f>VLOOKUP($A77, '26 ADP Data'!$C$3:$Q$298, 10, FALSE)</f>
        <v>68</v>
      </c>
      <c r="K77" s="11">
        <v>71</v>
      </c>
    </row>
    <row r="78" spans="1:11" ht="14.25" hidden="1" customHeight="1" x14ac:dyDescent="0.25">
      <c r="A78" s="11" t="s">
        <v>208</v>
      </c>
      <c r="B78" s="11" t="str">
        <f>VLOOKUP($A78, '26 ADP Data'!$C$3:$R$298, 2, FALSE)</f>
        <v>JAX</v>
      </c>
      <c r="C78" s="11" t="str">
        <f>VLOOKUP($A78, '26 ADP Data'!$C$3:$R$298, 16, FALSE)</f>
        <v>WR</v>
      </c>
      <c r="D78" s="11"/>
      <c r="E78" s="11"/>
      <c r="F78" s="11" t="s">
        <v>722</v>
      </c>
      <c r="G78" s="11">
        <v>36</v>
      </c>
      <c r="H78" s="11" t="s">
        <v>723</v>
      </c>
      <c r="I78" s="11">
        <f>VLOOKUP($A78, '26 ADP Data'!$C$3:$Q$298, 13, FALSE)</f>
        <v>56</v>
      </c>
      <c r="J78" s="11">
        <f>VLOOKUP($A78, '26 ADP Data'!$C$3:$Q$298, 10, FALSE)</f>
        <v>54</v>
      </c>
      <c r="K78" s="11">
        <v>94</v>
      </c>
    </row>
    <row r="79" spans="1:11" ht="14.25" hidden="1" customHeight="1" x14ac:dyDescent="0.25">
      <c r="A79" s="11" t="s">
        <v>260</v>
      </c>
      <c r="B79" s="11" t="str">
        <f>VLOOKUP($A79, '26 ADP Data'!$C$3:$R$298, 2, FALSE)</f>
        <v>DEN</v>
      </c>
      <c r="C79" s="11" t="str">
        <f>VLOOKUP($A79, '26 ADP Data'!$C$3:$R$298, 16, FALSE)</f>
        <v>WR</v>
      </c>
      <c r="D79" s="11"/>
      <c r="E79" s="11"/>
      <c r="F79" s="11" t="s">
        <v>722</v>
      </c>
      <c r="G79" s="11">
        <v>37</v>
      </c>
      <c r="H79" s="11"/>
      <c r="I79" s="11">
        <f>VLOOKUP($A79, '26 ADP Data'!$C$3:$Q$298, 13, FALSE)</f>
        <v>81</v>
      </c>
      <c r="J79" s="11">
        <f>VLOOKUP($A79, '26 ADP Data'!$C$3:$Q$298, 10, FALSE)</f>
        <v>100</v>
      </c>
      <c r="K79" s="11">
        <v>81</v>
      </c>
    </row>
    <row r="80" spans="1:11" ht="14.25" hidden="1" customHeight="1" x14ac:dyDescent="0.25">
      <c r="A80" s="11" t="s">
        <v>304</v>
      </c>
      <c r="B80" s="11" t="str">
        <f>VLOOKUP($A80, '26 ADP Data'!$C$3:$R$298, 2, FALSE)</f>
        <v>PHI</v>
      </c>
      <c r="C80" s="11" t="str">
        <f>VLOOKUP($A80, '26 ADP Data'!$C$3:$R$298, 16, FALSE)</f>
        <v>WR</v>
      </c>
      <c r="D80" s="11"/>
      <c r="E80" s="11"/>
      <c r="F80" s="11" t="s">
        <v>722</v>
      </c>
      <c r="G80" s="11">
        <v>38</v>
      </c>
      <c r="H80" s="11" t="s">
        <v>724</v>
      </c>
      <c r="I80" s="11">
        <f>VLOOKUP($A80, '26 ADP Data'!$C$3:$Q$298, 13, FALSE)</f>
        <v>80</v>
      </c>
      <c r="J80" s="11">
        <f>VLOOKUP($A80, '26 ADP Data'!$C$3:$Q$298, 10, FALSE)</f>
        <v>102</v>
      </c>
      <c r="K80" s="11">
        <v>78</v>
      </c>
    </row>
    <row r="81" spans="1:11" ht="14.25" hidden="1" customHeight="1" x14ac:dyDescent="0.25">
      <c r="A81" s="11" t="s">
        <v>256</v>
      </c>
      <c r="B81" s="11" t="str">
        <f>VLOOKUP($A81, '26 ADP Data'!$C$3:$R$298, 2, FALSE)</f>
        <v>CLE</v>
      </c>
      <c r="C81" s="11" t="str">
        <f>VLOOKUP($A81, '26 ADP Data'!$C$3:$R$298, 16, FALSE)</f>
        <v>TE</v>
      </c>
      <c r="D81" s="11"/>
      <c r="E81" s="11"/>
      <c r="F81" s="11" t="s">
        <v>704</v>
      </c>
      <c r="G81" s="11">
        <v>6</v>
      </c>
      <c r="H81" s="11"/>
      <c r="I81" s="11">
        <f>VLOOKUP($A81, '26 ADP Data'!$C$3:$Q$298, 13, FALSE)</f>
        <v>105</v>
      </c>
      <c r="J81" s="11">
        <f>VLOOKUP($A81, '26 ADP Data'!$C$3:$Q$298, 10, FALSE)</f>
        <v>78</v>
      </c>
      <c r="K81" s="11">
        <v>80</v>
      </c>
    </row>
    <row r="82" spans="1:11" ht="14.25" hidden="1" customHeight="1" x14ac:dyDescent="0.25">
      <c r="A82" s="11" t="s">
        <v>250</v>
      </c>
      <c r="B82" s="11" t="str">
        <f>VLOOKUP($A82, '26 ADP Data'!$C$3:$R$298, 2, FALSE)</f>
        <v>ATL</v>
      </c>
      <c r="C82" s="11" t="str">
        <f>VLOOKUP($A82, '26 ADP Data'!$C$3:$R$298, 16, FALSE)</f>
        <v>TE</v>
      </c>
      <c r="D82" s="11"/>
      <c r="E82" s="11" t="s">
        <v>148</v>
      </c>
      <c r="F82" s="11" t="s">
        <v>704</v>
      </c>
      <c r="G82" s="11">
        <v>7</v>
      </c>
      <c r="H82" s="11"/>
      <c r="I82" s="11">
        <f>VLOOKUP($A82, '26 ADP Data'!$C$3:$Q$298, 13, FALSE)</f>
        <v>101</v>
      </c>
      <c r="J82" s="11">
        <f>VLOOKUP($A82, '26 ADP Data'!$C$3:$Q$298, 10, FALSE)</f>
        <v>79</v>
      </c>
      <c r="K82" s="11">
        <v>87</v>
      </c>
    </row>
    <row r="83" spans="1:11" ht="14.25" customHeight="1" x14ac:dyDescent="0.25">
      <c r="A83" s="11" t="s">
        <v>278</v>
      </c>
      <c r="B83" s="11" t="str">
        <f>VLOOKUP($A83, '26 ADP Data'!$C$3:$R$298, 2, FALSE)</f>
        <v>LAR</v>
      </c>
      <c r="C83" s="11" t="str">
        <f>VLOOKUP($A83, '26 ADP Data'!$C$3:$R$298, 16, FALSE)</f>
        <v>RB</v>
      </c>
      <c r="D83" s="11"/>
      <c r="E83" s="11"/>
      <c r="F83" s="11" t="s">
        <v>653</v>
      </c>
      <c r="G83" s="11">
        <v>30</v>
      </c>
      <c r="H83" s="11" t="s">
        <v>725</v>
      </c>
      <c r="I83" s="11">
        <f>VLOOKUP($A83, '26 ADP Data'!$C$3:$Q$298, 13, FALSE)</f>
        <v>86</v>
      </c>
      <c r="J83" s="11">
        <f>VLOOKUP($A83, '26 ADP Data'!$C$3:$Q$298, 10, FALSE)</f>
        <v>92</v>
      </c>
      <c r="K83" s="11">
        <v>90</v>
      </c>
    </row>
    <row r="84" spans="1:11" ht="14.25" hidden="1" customHeight="1" x14ac:dyDescent="0.25">
      <c r="A84" s="11" t="s">
        <v>262</v>
      </c>
      <c r="B84" s="11" t="str">
        <f>VLOOKUP($A84, '26 ADP Data'!$C$3:$R$298, 2, FALSE)</f>
        <v>LAC</v>
      </c>
      <c r="C84" s="11" t="str">
        <f>VLOOKUP($A84, '26 ADP Data'!$C$3:$R$298, 16, FALSE)</f>
        <v>QB</v>
      </c>
      <c r="D84" s="11"/>
      <c r="E84" s="11"/>
      <c r="F84" s="11" t="s">
        <v>691</v>
      </c>
      <c r="G84" s="11">
        <v>9</v>
      </c>
      <c r="H84" s="11"/>
      <c r="I84" s="11">
        <f>VLOOKUP($A84, '26 ADP Data'!$C$3:$Q$298, 13, FALSE)</f>
        <v>84</v>
      </c>
      <c r="J84" s="11">
        <f>VLOOKUP($A84, '26 ADP Data'!$C$3:$Q$298, 10, FALSE)</f>
        <v>75</v>
      </c>
      <c r="K84" s="11">
        <v>69</v>
      </c>
    </row>
    <row r="85" spans="1:11" ht="14.25" hidden="1" customHeight="1" x14ac:dyDescent="0.25">
      <c r="A85" s="11" t="s">
        <v>254</v>
      </c>
      <c r="B85" s="11" t="str">
        <f>VLOOKUP($A85, '26 ADP Data'!$C$3:$R$298, 2, FALSE)</f>
        <v>DAL</v>
      </c>
      <c r="C85" s="11" t="str">
        <f>VLOOKUP($A85, '26 ADP Data'!$C$3:$R$298, 16, FALSE)</f>
        <v>QB</v>
      </c>
      <c r="D85" s="11"/>
      <c r="E85" s="11"/>
      <c r="F85" s="11" t="s">
        <v>691</v>
      </c>
      <c r="G85" s="11">
        <v>8</v>
      </c>
      <c r="H85" s="11"/>
      <c r="I85" s="11">
        <f>VLOOKUP($A85, '26 ADP Data'!$C$3:$Q$298, 13, FALSE)</f>
        <v>79</v>
      </c>
      <c r="J85" s="11">
        <f>VLOOKUP($A85, '26 ADP Data'!$C$3:$Q$298, 10, FALSE)</f>
        <v>83</v>
      </c>
      <c r="K85" s="11">
        <v>89</v>
      </c>
    </row>
    <row r="86" spans="1:11" ht="14.25" hidden="1" customHeight="1" x14ac:dyDescent="0.25">
      <c r="A86" s="11" t="s">
        <v>246</v>
      </c>
      <c r="B86" s="11" t="str">
        <f>VLOOKUP($A86, '26 ADP Data'!$C$3:$R$298, 2, FALSE)</f>
        <v>DET</v>
      </c>
      <c r="C86" s="11" t="str">
        <f>VLOOKUP($A86, '26 ADP Data'!$C$3:$R$298, 16, FALSE)</f>
        <v>TE</v>
      </c>
      <c r="D86" s="11"/>
      <c r="E86" s="11"/>
      <c r="F86" s="11" t="s">
        <v>704</v>
      </c>
      <c r="G86" s="11">
        <v>8</v>
      </c>
      <c r="H86" s="11"/>
      <c r="I86" s="11">
        <f>VLOOKUP($A86, '26 ADP Data'!$C$3:$Q$298, 13, FALSE)</f>
        <v>90</v>
      </c>
      <c r="J86" s="11">
        <f>VLOOKUP($A86, '26 ADP Data'!$C$3:$Q$298, 10, FALSE)</f>
        <v>70</v>
      </c>
      <c r="K86" s="11">
        <v>84</v>
      </c>
    </row>
    <row r="87" spans="1:11" ht="14.25" customHeight="1" x14ac:dyDescent="0.25">
      <c r="A87" s="11" t="s">
        <v>298</v>
      </c>
      <c r="B87" s="11" t="str">
        <f>VLOOKUP($A87, '26 ADP Data'!$C$3:$R$298, 2, FALSE)</f>
        <v>WAS</v>
      </c>
      <c r="C87" s="11" t="str">
        <f>VLOOKUP($A87, '26 ADP Data'!$C$3:$R$298, 16, FALSE)</f>
        <v>RB</v>
      </c>
      <c r="D87" s="11"/>
      <c r="E87" s="11"/>
      <c r="F87" s="11" t="s">
        <v>653</v>
      </c>
      <c r="G87" s="11">
        <v>31</v>
      </c>
      <c r="H87" s="11" t="s">
        <v>726</v>
      </c>
      <c r="I87" s="11">
        <f>VLOOKUP($A87, '26 ADP Data'!$C$3:$Q$298, 13, FALSE)</f>
        <v>100</v>
      </c>
      <c r="J87" s="11">
        <f>VLOOKUP($A87, '26 ADP Data'!$C$3:$Q$298, 10, FALSE)</f>
        <v>91</v>
      </c>
      <c r="K87" s="11">
        <v>97</v>
      </c>
    </row>
    <row r="88" spans="1:11" ht="14.25" customHeight="1" x14ac:dyDescent="0.25">
      <c r="A88" s="11" t="s">
        <v>276</v>
      </c>
      <c r="B88" s="11" t="str">
        <f>VLOOKUP($A88, '26 ADP Data'!$C$3:$R$298, 2, FALSE)</f>
        <v>DEN</v>
      </c>
      <c r="C88" s="11" t="str">
        <f>VLOOKUP($A88, '26 ADP Data'!$C$3:$R$298, 16, FALSE)</f>
        <v>RB</v>
      </c>
      <c r="D88" s="11"/>
      <c r="E88" s="11"/>
      <c r="F88" s="11" t="s">
        <v>653</v>
      </c>
      <c r="G88" s="11">
        <v>32</v>
      </c>
      <c r="H88" s="11"/>
      <c r="I88" s="11">
        <f>VLOOKUP($A88, '26 ADP Data'!$C$3:$Q$298, 13, FALSE)</f>
        <v>95</v>
      </c>
      <c r="J88" s="11">
        <f>VLOOKUP($A88, '26 ADP Data'!$C$3:$Q$298, 10, FALSE)</f>
        <v>85</v>
      </c>
      <c r="K88" s="11">
        <v>95</v>
      </c>
    </row>
    <row r="89" spans="1:11" ht="14.25" hidden="1" customHeight="1" x14ac:dyDescent="0.25">
      <c r="A89" s="11" t="s">
        <v>266</v>
      </c>
      <c r="B89" s="11" t="str">
        <f>VLOOKUP($A89, '26 ADP Data'!$C$3:$R$298, 2, FALSE)</f>
        <v>JAX</v>
      </c>
      <c r="C89" s="11" t="str">
        <f>VLOOKUP($A89, '26 ADP Data'!$C$3:$R$298, 16, FALSE)</f>
        <v>QB</v>
      </c>
      <c r="D89" s="11"/>
      <c r="E89" s="11"/>
      <c r="F89" s="11" t="s">
        <v>727</v>
      </c>
      <c r="G89" s="11">
        <v>12</v>
      </c>
      <c r="H89" s="11"/>
      <c r="I89" s="11">
        <f>VLOOKUP($A89, '26 ADP Data'!$C$3:$Q$298, 13, FALSE)</f>
        <v>87</v>
      </c>
      <c r="J89" s="11">
        <f>VLOOKUP($A89, '26 ADP Data'!$C$3:$Q$298, 10, FALSE)</f>
        <v>80</v>
      </c>
      <c r="K89" s="11">
        <v>86</v>
      </c>
    </row>
    <row r="90" spans="1:11" ht="14.25" hidden="1" customHeight="1" x14ac:dyDescent="0.25">
      <c r="A90" s="11" t="s">
        <v>264</v>
      </c>
      <c r="B90" s="11" t="str">
        <f>VLOOKUP($A90, '26 ADP Data'!$C$3:$R$298, 2, FALSE)</f>
        <v>TB</v>
      </c>
      <c r="C90" s="11" t="str">
        <f>VLOOKUP($A90, '26 ADP Data'!$C$3:$R$298, 16, FALSE)</f>
        <v>WR</v>
      </c>
      <c r="D90" s="11"/>
      <c r="E90" s="11" t="s">
        <v>148</v>
      </c>
      <c r="F90" s="11" t="s">
        <v>730</v>
      </c>
      <c r="G90" s="11">
        <v>39</v>
      </c>
      <c r="H90" s="11"/>
      <c r="I90" s="11">
        <f>VLOOKUP($A90, '26 ADP Data'!$C$3:$Q$298, 13, FALSE)</f>
        <v>85</v>
      </c>
      <c r="J90" s="11">
        <f>VLOOKUP($A90, '26 ADP Data'!$C$3:$Q$298, 10, FALSE)</f>
        <v>82</v>
      </c>
      <c r="K90" s="11">
        <v>85</v>
      </c>
    </row>
    <row r="91" spans="1:11" ht="14.25" hidden="1" customHeight="1" x14ac:dyDescent="0.25">
      <c r="A91" s="11" t="s">
        <v>300</v>
      </c>
      <c r="B91" s="11" t="str">
        <f>VLOOKUP($A91, '26 ADP Data'!$C$3:$R$298, 2, FALSE)</f>
        <v>NYG</v>
      </c>
      <c r="C91" s="11" t="str">
        <f>VLOOKUP($A91, '26 ADP Data'!$C$3:$R$298, 16, FALSE)</f>
        <v>QB</v>
      </c>
      <c r="D91" s="11"/>
      <c r="E91" s="11"/>
      <c r="F91" s="11" t="s">
        <v>727</v>
      </c>
      <c r="G91" s="11">
        <v>10</v>
      </c>
      <c r="H91" s="11"/>
      <c r="I91" s="11">
        <f>VLOOKUP($A91, '26 ADP Data'!$C$3:$Q$298, 13, FALSE)</f>
        <v>104</v>
      </c>
      <c r="J91" s="11">
        <f>VLOOKUP($A91, '26 ADP Data'!$C$3:$Q$298, 10, FALSE)</f>
        <v>107</v>
      </c>
      <c r="K91" s="11">
        <v>70</v>
      </c>
    </row>
    <row r="92" spans="1:11" ht="14.25" hidden="1" customHeight="1" x14ac:dyDescent="0.25">
      <c r="A92" s="11" t="s">
        <v>239</v>
      </c>
      <c r="B92" s="11" t="str">
        <f>VLOOKUP($A92, '26 ADP Data'!$C$3:$R$298, 2, FALSE)</f>
        <v>JAX</v>
      </c>
      <c r="C92" s="11" t="str">
        <f>VLOOKUP($A92, '26 ADP Data'!$C$3:$R$298, 16, FALSE)</f>
        <v>WR</v>
      </c>
      <c r="D92" s="11"/>
      <c r="E92" s="11" t="s">
        <v>119</v>
      </c>
      <c r="F92" s="11" t="s">
        <v>730</v>
      </c>
      <c r="G92" s="11">
        <v>40</v>
      </c>
      <c r="H92" s="11"/>
      <c r="I92" s="11">
        <f>VLOOKUP($A92, '26 ADP Data'!$C$3:$Q$298, 13, FALSE)</f>
        <v>64</v>
      </c>
      <c r="J92" s="11">
        <f>VLOOKUP($A92, '26 ADP Data'!$C$3:$Q$298, 10, FALSE)</f>
        <v>73</v>
      </c>
      <c r="K92" s="11">
        <v>91</v>
      </c>
    </row>
    <row r="93" spans="1:11" ht="14.25" hidden="1" customHeight="1" x14ac:dyDescent="0.25">
      <c r="A93" s="11" t="s">
        <v>296</v>
      </c>
      <c r="B93" s="11" t="str">
        <f>VLOOKUP($A93, '26 ADP Data'!$C$3:$R$298, 2, FALSE)</f>
        <v>GB</v>
      </c>
      <c r="C93" s="11" t="str">
        <f>VLOOKUP($A93, '26 ADP Data'!$C$3:$R$298, 16, FALSE)</f>
        <v>WR</v>
      </c>
      <c r="D93" s="11"/>
      <c r="E93" s="11"/>
      <c r="F93" s="11" t="s">
        <v>730</v>
      </c>
      <c r="G93" s="11">
        <v>41</v>
      </c>
      <c r="H93" s="11"/>
      <c r="I93" s="11">
        <f>VLOOKUP($A93, '26 ADP Data'!$C$3:$Q$298, 13, FALSE)</f>
        <v>78</v>
      </c>
      <c r="J93" s="11">
        <f>VLOOKUP($A93, '26 ADP Data'!$C$3:$Q$298, 10, FALSE)</f>
        <v>94</v>
      </c>
      <c r="K93" s="11">
        <v>107</v>
      </c>
    </row>
    <row r="94" spans="1:11" ht="14.25" hidden="1" customHeight="1" x14ac:dyDescent="0.25">
      <c r="A94" s="11" t="s">
        <v>294</v>
      </c>
      <c r="B94" s="11" t="str">
        <f>VLOOKUP($A94, '26 ADP Data'!$C$3:$R$298, 2, FALSE)</f>
        <v>MIN</v>
      </c>
      <c r="C94" s="11" t="str">
        <f>VLOOKUP($A94, '26 ADP Data'!$C$3:$R$298, 16, FALSE)</f>
        <v>WR</v>
      </c>
      <c r="D94" s="11"/>
      <c r="E94" s="11"/>
      <c r="F94" s="11" t="s">
        <v>730</v>
      </c>
      <c r="G94" s="11">
        <v>42</v>
      </c>
      <c r="H94" s="11"/>
      <c r="I94" s="11">
        <f>VLOOKUP($A94, '26 ADP Data'!$C$3:$Q$298, 13, FALSE)</f>
        <v>89</v>
      </c>
      <c r="J94" s="11">
        <f>VLOOKUP($A94, '26 ADP Data'!$C$3:$Q$298, 10, FALSE)</f>
        <v>95</v>
      </c>
      <c r="K94" s="11">
        <v>102</v>
      </c>
    </row>
    <row r="95" spans="1:11" ht="14.25" customHeight="1" x14ac:dyDescent="0.25">
      <c r="A95" s="11" t="s">
        <v>222</v>
      </c>
      <c r="B95" s="11" t="str">
        <f>VLOOKUP($A95, '26 ADP Data'!$C$3:$R$298, 2, FALSE)</f>
        <v>NE</v>
      </c>
      <c r="C95" s="11" t="str">
        <f>VLOOKUP($A95, '26 ADP Data'!$C$3:$R$298, 16, FALSE)</f>
        <v>RB</v>
      </c>
      <c r="D95" s="11"/>
      <c r="E95" s="11"/>
      <c r="F95" s="11" t="s">
        <v>653</v>
      </c>
      <c r="G95" s="11">
        <v>33</v>
      </c>
      <c r="H95" s="11"/>
      <c r="I95" s="11">
        <f>VLOOKUP($A95, '26 ADP Data'!$C$3:$Q$298, 13, FALSE)</f>
        <v>67</v>
      </c>
      <c r="J95" s="11">
        <f>VLOOKUP($A95, '26 ADP Data'!$C$3:$Q$298, 10, FALSE)</f>
        <v>62</v>
      </c>
      <c r="K95" s="11">
        <v>83</v>
      </c>
    </row>
    <row r="96" spans="1:11" ht="14.25" customHeight="1" x14ac:dyDescent="0.25">
      <c r="A96" s="11" t="s">
        <v>231</v>
      </c>
      <c r="B96" s="11" t="str">
        <f>VLOOKUP($A96, '26 ADP Data'!$C$3:$R$298, 2, FALSE)</f>
        <v>PIT</v>
      </c>
      <c r="C96" s="11" t="str">
        <f>VLOOKUP($A96, '26 ADP Data'!$C$3:$R$298, 16, FALSE)</f>
        <v>RB</v>
      </c>
      <c r="D96" s="11"/>
      <c r="E96" s="11"/>
      <c r="F96" s="11" t="s">
        <v>653</v>
      </c>
      <c r="G96" s="11">
        <v>34</v>
      </c>
      <c r="H96" s="11"/>
      <c r="I96" s="11">
        <f>VLOOKUP($A96, '26 ADP Data'!$C$3:$Q$298, 13, FALSE)</f>
        <v>69</v>
      </c>
      <c r="J96" s="11">
        <f>VLOOKUP($A96, '26 ADP Data'!$C$3:$Q$298, 10, FALSE)</f>
        <v>69</v>
      </c>
      <c r="K96" s="11">
        <v>72</v>
      </c>
    </row>
    <row r="97" spans="1:11" ht="14.25" hidden="1" customHeight="1" x14ac:dyDescent="0.25">
      <c r="A97" s="11" t="s">
        <v>270</v>
      </c>
      <c r="B97" s="11" t="str">
        <f>VLOOKUP($A97, '26 ADP Data'!$C$3:$R$298, 2, FALSE)</f>
        <v>LAC</v>
      </c>
      <c r="C97" s="11" t="str">
        <f>VLOOKUP($A97, '26 ADP Data'!$C$3:$R$298, 16, FALSE)</f>
        <v>WR</v>
      </c>
      <c r="D97" s="11"/>
      <c r="E97" s="11"/>
      <c r="F97" s="11" t="s">
        <v>730</v>
      </c>
      <c r="G97" s="11">
        <v>43</v>
      </c>
      <c r="H97" s="11"/>
      <c r="I97" s="11">
        <f>VLOOKUP($A97, '26 ADP Data'!$C$3:$Q$298, 13, FALSE)</f>
        <v>71</v>
      </c>
      <c r="J97" s="11">
        <f>VLOOKUP($A97, '26 ADP Data'!$C$3:$Q$298, 10, FALSE)</f>
        <v>89</v>
      </c>
      <c r="K97" s="11">
        <v>113</v>
      </c>
    </row>
    <row r="98" spans="1:11" ht="14.25" customHeight="1" x14ac:dyDescent="0.25">
      <c r="A98" s="11" t="s">
        <v>316</v>
      </c>
      <c r="B98" s="11" t="str">
        <f>VLOOKUP($A98, '26 ADP Data'!$C$3:$R$298, 2, FALSE)</f>
        <v>CHI</v>
      </c>
      <c r="C98" s="11" t="str">
        <f>VLOOKUP($A98, '26 ADP Data'!$C$3:$R$298, 16, FALSE)</f>
        <v>RB</v>
      </c>
      <c r="D98" s="11"/>
      <c r="E98" s="11"/>
      <c r="F98" s="11" t="s">
        <v>653</v>
      </c>
      <c r="G98" s="11">
        <v>35</v>
      </c>
      <c r="H98" s="11" t="s">
        <v>726</v>
      </c>
      <c r="I98" s="11">
        <f>VLOOKUP($A98, '26 ADP Data'!$C$3:$Q$298, 13, FALSE)</f>
        <v>108</v>
      </c>
      <c r="J98" s="11">
        <f>VLOOKUP($A98, '26 ADP Data'!$C$3:$Q$298, 10, FALSE)</f>
        <v>110</v>
      </c>
      <c r="K98" s="11">
        <v>92</v>
      </c>
    </row>
    <row r="99" spans="1:11" ht="14.25" hidden="1" customHeight="1" x14ac:dyDescent="0.25">
      <c r="A99" s="11" t="s">
        <v>308</v>
      </c>
      <c r="B99" s="11" t="str">
        <f>VLOOKUP($A99, '26 ADP Data'!$C$3:$R$298, 2, FALSE)</f>
        <v>SF</v>
      </c>
      <c r="C99" s="11" t="str">
        <f>VLOOKUP($A99, '26 ADP Data'!$C$3:$R$298, 16, FALSE)</f>
        <v>QB</v>
      </c>
      <c r="D99" s="11"/>
      <c r="E99" s="11"/>
      <c r="F99" s="11" t="s">
        <v>775</v>
      </c>
      <c r="G99" s="11">
        <v>14</v>
      </c>
      <c r="H99" s="11"/>
      <c r="I99" s="11">
        <f>VLOOKUP($A99, '26 ADP Data'!$C$3:$Q$298, 13, FALSE)</f>
        <v>103</v>
      </c>
      <c r="J99" s="11">
        <f>VLOOKUP($A99, '26 ADP Data'!$C$3:$Q$298, 10, FALSE)</f>
        <v>101</v>
      </c>
      <c r="K99" s="11">
        <v>100</v>
      </c>
    </row>
    <row r="100" spans="1:11" ht="14.25" hidden="1" customHeight="1" x14ac:dyDescent="0.25">
      <c r="A100" s="11" t="s">
        <v>306</v>
      </c>
      <c r="B100" s="11" t="str">
        <f>VLOOKUP($A100, '26 ADP Data'!$C$3:$R$298, 2, FALSE)</f>
        <v>LAR</v>
      </c>
      <c r="C100" s="11" t="str">
        <f>VLOOKUP($A100, '26 ADP Data'!$C$3:$R$298, 16, FALSE)</f>
        <v>QB</v>
      </c>
      <c r="D100" s="11"/>
      <c r="E100" s="11"/>
      <c r="F100" s="11" t="s">
        <v>775</v>
      </c>
      <c r="G100" s="11">
        <v>15</v>
      </c>
      <c r="H100" s="11"/>
      <c r="I100" s="11">
        <f>VLOOKUP($A100, '26 ADP Data'!$C$3:$Q$298, 13, FALSE)</f>
        <v>113</v>
      </c>
      <c r="J100" s="11">
        <f>VLOOKUP($A100, '26 ADP Data'!$C$3:$Q$298, 10, FALSE)</f>
        <v>115</v>
      </c>
      <c r="K100" s="11">
        <v>116</v>
      </c>
    </row>
    <row r="101" spans="1:11" ht="14.25" customHeight="1" x14ac:dyDescent="0.25">
      <c r="A101" s="11" t="s">
        <v>292</v>
      </c>
      <c r="B101" s="11" t="str">
        <f>VLOOKUP($A101, '26 ADP Data'!$C$3:$R$298, 2, FALSE)</f>
        <v>MIN</v>
      </c>
      <c r="C101" s="11" t="str">
        <f>VLOOKUP($A101, '26 ADP Data'!$C$3:$R$298, 16, FALSE)</f>
        <v>RB</v>
      </c>
      <c r="D101" s="11"/>
      <c r="E101" s="11" t="s">
        <v>148</v>
      </c>
      <c r="F101" s="11" t="s">
        <v>653</v>
      </c>
      <c r="G101" s="11">
        <v>36</v>
      </c>
      <c r="H101" s="11"/>
      <c r="I101" s="11">
        <f>VLOOKUP($A101, '26 ADP Data'!$C$3:$Q$298, 13, FALSE)</f>
        <v>96</v>
      </c>
      <c r="J101" s="11">
        <f>VLOOKUP($A101, '26 ADP Data'!$C$3:$Q$298, 10, FALSE)</f>
        <v>103</v>
      </c>
      <c r="K101" s="11">
        <v>117</v>
      </c>
    </row>
    <row r="102" spans="1:11" ht="14.25" customHeight="1" x14ac:dyDescent="0.25">
      <c r="A102" s="11" t="s">
        <v>280</v>
      </c>
      <c r="B102" s="11" t="str">
        <f>VLOOKUP($A102, '26 ADP Data'!$C$3:$R$298, 2, FALSE)</f>
        <v>CAR</v>
      </c>
      <c r="C102" s="11" t="str">
        <f>VLOOKUP($A102, '26 ADP Data'!$C$3:$R$298, 16, FALSE)</f>
        <v>RB</v>
      </c>
      <c r="D102" s="11"/>
      <c r="E102" s="11"/>
      <c r="F102" s="11" t="s">
        <v>776</v>
      </c>
      <c r="G102" s="11">
        <v>37</v>
      </c>
      <c r="H102" s="11"/>
      <c r="I102" s="11">
        <f>VLOOKUP($A102, '26 ADP Data'!$C$3:$Q$298, 13, FALSE)</f>
        <v>99</v>
      </c>
      <c r="J102" s="11">
        <f>VLOOKUP($A102, '26 ADP Data'!$C$3:$Q$298, 10, FALSE)</f>
        <v>84</v>
      </c>
      <c r="K102" s="11">
        <v>61</v>
      </c>
    </row>
    <row r="103" spans="1:11" ht="14.25" hidden="1" customHeight="1" x14ac:dyDescent="0.25">
      <c r="A103" s="11" t="s">
        <v>310</v>
      </c>
      <c r="B103" s="11" t="str">
        <f>VLOOKUP($A103, '26 ADP Data'!$C$3:$R$298, 2, FALSE)</f>
        <v>KC</v>
      </c>
      <c r="C103" s="11" t="str">
        <f>VLOOKUP($A103, '26 ADP Data'!$C$3:$R$298, 16, FALSE)</f>
        <v>QB</v>
      </c>
      <c r="D103" s="11"/>
      <c r="E103" s="11"/>
      <c r="F103" s="11" t="s">
        <v>727</v>
      </c>
      <c r="G103" s="11">
        <v>11</v>
      </c>
      <c r="H103" s="11"/>
      <c r="I103" s="11">
        <f>VLOOKUP($A103, '26 ADP Data'!$C$3:$Q$298, 13, FALSE)</f>
        <v>97</v>
      </c>
      <c r="J103" s="11">
        <f>VLOOKUP($A103, '26 ADP Data'!$C$3:$Q$298, 10, FALSE)</f>
        <v>122</v>
      </c>
      <c r="K103" s="11">
        <v>104</v>
      </c>
    </row>
    <row r="104" spans="1:11" ht="14.25" customHeight="1" x14ac:dyDescent="0.25">
      <c r="A104" s="11" t="s">
        <v>272</v>
      </c>
      <c r="B104" s="11" t="str">
        <f>VLOOKUP($A104, '26 ADP Data'!$C$3:$R$298, 2, FALSE)</f>
        <v>DEN</v>
      </c>
      <c r="C104" s="11" t="str">
        <f>VLOOKUP($A104, '26 ADP Data'!$C$3:$R$298, 16, FALSE)</f>
        <v>RB</v>
      </c>
      <c r="D104" s="11"/>
      <c r="E104" s="11"/>
      <c r="F104" s="11" t="s">
        <v>776</v>
      </c>
      <c r="G104" s="11">
        <v>38</v>
      </c>
      <c r="H104" s="11" t="s">
        <v>777</v>
      </c>
      <c r="I104" s="11">
        <f>VLOOKUP($A104, '26 ADP Data'!$C$3:$Q$298, 13, FALSE)</f>
        <v>88</v>
      </c>
      <c r="J104" s="11">
        <f>VLOOKUP($A104, '26 ADP Data'!$C$3:$Q$298, 10, FALSE)</f>
        <v>108</v>
      </c>
      <c r="K104" s="11">
        <v>79</v>
      </c>
    </row>
    <row r="105" spans="1:11" ht="14.25" hidden="1" customHeight="1" x14ac:dyDescent="0.25">
      <c r="A105" s="11" t="s">
        <v>778</v>
      </c>
      <c r="B105" s="11" t="e">
        <f>VLOOKUP($A105, '26 ADP Data'!$C$3:$R$298, 2, FALSE)</f>
        <v>#N/A</v>
      </c>
      <c r="C105" s="11" t="e">
        <f>VLOOKUP($A105, '26 ADP Data'!$C$3:$R$298, 16, FALSE)</f>
        <v>#N/A</v>
      </c>
      <c r="D105" s="11"/>
      <c r="E105" s="11"/>
      <c r="F105" s="11"/>
      <c r="G105" s="11">
        <v>999</v>
      </c>
      <c r="H105" s="11"/>
      <c r="I105" s="11" t="e">
        <f>VLOOKUP($A105, '26 ADP Data'!$C$3:$Q$298, 13, FALSE)</f>
        <v>#N/A</v>
      </c>
      <c r="J105" s="11" t="e">
        <f>VLOOKUP($A105, '26 ADP Data'!$C$3:$Q$298, 10, FALSE)</f>
        <v>#N/A</v>
      </c>
      <c r="K105" s="11">
        <v>93</v>
      </c>
    </row>
    <row r="106" spans="1:11" ht="14.25" hidden="1" customHeight="1" x14ac:dyDescent="0.25">
      <c r="A106" s="11" t="s">
        <v>274</v>
      </c>
      <c r="B106" s="11" t="str">
        <f>VLOOKUP($A106, '26 ADP Data'!$C$3:$R$298, 2, FALSE)</f>
        <v>SF</v>
      </c>
      <c r="C106" s="11" t="str">
        <f>VLOOKUP($A106, '26 ADP Data'!$C$3:$R$298, 16, FALSE)</f>
        <v>TE</v>
      </c>
      <c r="D106" s="11"/>
      <c r="E106" s="11"/>
      <c r="F106" s="11" t="s">
        <v>704</v>
      </c>
      <c r="G106" s="11">
        <v>11</v>
      </c>
      <c r="H106" s="11"/>
      <c r="I106" s="11">
        <f>VLOOKUP($A106, '26 ADP Data'!$C$3:$Q$298, 13, FALSE)</f>
        <v>114</v>
      </c>
      <c r="J106" s="11">
        <f>VLOOKUP($A106, '26 ADP Data'!$C$3:$Q$298, 10, FALSE)</f>
        <v>87</v>
      </c>
      <c r="K106" s="11">
        <v>120</v>
      </c>
    </row>
    <row r="107" spans="1:11" ht="14.25" hidden="1" customHeight="1" x14ac:dyDescent="0.25">
      <c r="A107" s="11" t="s">
        <v>344</v>
      </c>
      <c r="B107" s="11" t="str">
        <f>VLOOKUP($A107, '26 ADP Data'!$C$3:$R$298, 2, FALSE)</f>
        <v>KC</v>
      </c>
      <c r="C107" s="11" t="str">
        <f>VLOOKUP($A107, '26 ADP Data'!$C$3:$R$298, 16, FALSE)</f>
        <v>WR</v>
      </c>
      <c r="D107" s="11"/>
      <c r="E107" s="11"/>
      <c r="F107" s="11" t="s">
        <v>730</v>
      </c>
      <c r="G107" s="11">
        <v>44</v>
      </c>
      <c r="H107" s="11" t="s">
        <v>779</v>
      </c>
      <c r="I107" s="11">
        <f>VLOOKUP($A107, '26 ADP Data'!$C$3:$Q$298, 13, FALSE)</f>
        <v>107</v>
      </c>
      <c r="J107" s="11">
        <f>VLOOKUP($A107, '26 ADP Data'!$C$3:$Q$298, 10, FALSE)</f>
        <v>131</v>
      </c>
      <c r="K107" s="11">
        <v>115</v>
      </c>
    </row>
    <row r="108" spans="1:11" ht="14.25" hidden="1" customHeight="1" x14ac:dyDescent="0.25">
      <c r="A108" s="11" t="s">
        <v>442</v>
      </c>
      <c r="B108" s="11" t="str">
        <f>VLOOKUP($A108, '26 ADP Data'!$C$3:$R$298, 2, FALSE)</f>
        <v>TB</v>
      </c>
      <c r="C108" s="11" t="str">
        <f>VLOOKUP($A108, '26 ADP Data'!$C$3:$R$298, 16, FALSE)</f>
        <v>WR</v>
      </c>
      <c r="D108" s="11"/>
      <c r="E108" s="11"/>
      <c r="F108" s="11" t="s">
        <v>730</v>
      </c>
      <c r="G108" s="11">
        <v>45</v>
      </c>
      <c r="H108" s="11"/>
      <c r="I108" s="11">
        <f>VLOOKUP($A108, '26 ADP Data'!$C$3:$Q$298, 13, FALSE)</f>
        <v>157</v>
      </c>
      <c r="J108" s="11">
        <f>VLOOKUP($A108, '26 ADP Data'!$C$3:$Q$298, 10, FALSE)</f>
        <v>160</v>
      </c>
      <c r="K108" s="11">
        <v>170</v>
      </c>
    </row>
    <row r="109" spans="1:11" ht="14.25" hidden="1" customHeight="1" x14ac:dyDescent="0.25">
      <c r="A109" s="11" t="s">
        <v>284</v>
      </c>
      <c r="B109" s="11" t="str">
        <f>VLOOKUP($A109, '26 ADP Data'!$C$3:$R$298, 2, FALSE)</f>
        <v>PIT</v>
      </c>
      <c r="C109" s="11" t="str">
        <f>VLOOKUP($A109, '26 ADP Data'!$C$3:$R$298, 16, FALSE)</f>
        <v>WR</v>
      </c>
      <c r="D109" s="11"/>
      <c r="E109" s="11"/>
      <c r="F109" s="11" t="s">
        <v>730</v>
      </c>
      <c r="G109" s="11">
        <v>47</v>
      </c>
      <c r="H109" s="11"/>
      <c r="I109" s="11">
        <f>VLOOKUP($A109, '26 ADP Data'!$C$3:$Q$298, 13, FALSE)</f>
        <v>102</v>
      </c>
      <c r="J109" s="11">
        <f>VLOOKUP($A109, '26 ADP Data'!$C$3:$Q$298, 10, FALSE)</f>
        <v>104</v>
      </c>
      <c r="K109" s="11">
        <v>105</v>
      </c>
    </row>
    <row r="110" spans="1:11" ht="14.25" hidden="1" customHeight="1" x14ac:dyDescent="0.25">
      <c r="A110" s="11" t="s">
        <v>268</v>
      </c>
      <c r="B110" s="11" t="str">
        <f>VLOOKUP($A110, '26 ADP Data'!$C$3:$R$298, 2, FALSE)</f>
        <v>ARI</v>
      </c>
      <c r="C110" s="11" t="str">
        <f>VLOOKUP($A110, '26 ADP Data'!$C$3:$R$298, 16, FALSE)</f>
        <v>WR</v>
      </c>
      <c r="D110" s="11"/>
      <c r="E110" s="11"/>
      <c r="F110" s="11" t="s">
        <v>730</v>
      </c>
      <c r="G110" s="11">
        <v>49</v>
      </c>
      <c r="H110" s="11"/>
      <c r="I110" s="11">
        <f>VLOOKUP($A110, '26 ADP Data'!$C$3:$Q$298, 13, FALSE)</f>
        <v>92</v>
      </c>
      <c r="J110" s="11">
        <f>VLOOKUP($A110, '26 ADP Data'!$C$3:$Q$298, 10, FALSE)</f>
        <v>90</v>
      </c>
      <c r="K110" s="11">
        <v>77</v>
      </c>
    </row>
    <row r="111" spans="1:11" ht="14.25" hidden="1" customHeight="1" x14ac:dyDescent="0.25">
      <c r="A111" s="11" t="s">
        <v>312</v>
      </c>
      <c r="B111" s="11" t="str">
        <f>VLOOKUP($A111, '26 ADP Data'!$C$3:$R$298, 2, FALSE)</f>
        <v>KC</v>
      </c>
      <c r="C111" s="11" t="str">
        <f>VLOOKUP($A111, '26 ADP Data'!$C$3:$R$298, 16, FALSE)</f>
        <v>TE</v>
      </c>
      <c r="D111" s="11"/>
      <c r="E111" s="11"/>
      <c r="F111" s="11" t="s">
        <v>704</v>
      </c>
      <c r="G111" s="11">
        <v>9</v>
      </c>
      <c r="H111" s="11"/>
      <c r="I111" s="11">
        <f>VLOOKUP($A111, '26 ADP Data'!$C$3:$Q$298, 13, FALSE)</f>
        <v>124</v>
      </c>
      <c r="J111" s="11">
        <f>VLOOKUP($A111, '26 ADP Data'!$C$3:$Q$298, 10, FALSE)</f>
        <v>118</v>
      </c>
      <c r="K111" s="11">
        <v>109</v>
      </c>
    </row>
    <row r="112" spans="1:11" ht="14.25" hidden="1" customHeight="1" x14ac:dyDescent="0.25">
      <c r="A112" s="11" t="s">
        <v>351</v>
      </c>
      <c r="B112" s="11" t="str">
        <f>VLOOKUP($A112, '26 ADP Data'!$C$3:$R$298, 2, FALSE)</f>
        <v>NO</v>
      </c>
      <c r="C112" s="11" t="str">
        <f>VLOOKUP($A112, '26 ADP Data'!$C$3:$R$298, 16, FALSE)</f>
        <v>WR</v>
      </c>
      <c r="D112" s="11"/>
      <c r="E112" s="11"/>
      <c r="F112" s="11" t="s">
        <v>730</v>
      </c>
      <c r="G112" s="11">
        <v>50</v>
      </c>
      <c r="H112" s="11" t="s">
        <v>780</v>
      </c>
      <c r="I112" s="11">
        <f>VLOOKUP($A112, '26 ADP Data'!$C$3:$Q$298, 13, FALSE)</f>
        <v>91</v>
      </c>
      <c r="J112" s="11">
        <f>VLOOKUP($A112, '26 ADP Data'!$C$3:$Q$298, 10, FALSE)</f>
        <v>129</v>
      </c>
      <c r="K112" s="11">
        <v>73</v>
      </c>
    </row>
    <row r="113" spans="1:11" ht="14.25" hidden="1" customHeight="1" x14ac:dyDescent="0.25">
      <c r="A113" s="11" t="s">
        <v>318</v>
      </c>
      <c r="B113" s="11" t="str">
        <f>VLOOKUP($A113, '26 ADP Data'!$C$3:$R$298, 2, FALSE)</f>
        <v>DEN</v>
      </c>
      <c r="C113" s="11" t="str">
        <f>VLOOKUP($A113, '26 ADP Data'!$C$3:$R$298, 16, FALSE)</f>
        <v>QB</v>
      </c>
      <c r="D113" s="11"/>
      <c r="E113" s="11"/>
      <c r="F113" s="11" t="s">
        <v>727</v>
      </c>
      <c r="G113" s="11">
        <v>13</v>
      </c>
      <c r="H113" s="11"/>
      <c r="I113" s="11">
        <f>VLOOKUP($A113, '26 ADP Data'!$C$3:$Q$298, 13, FALSE)</f>
        <v>106</v>
      </c>
      <c r="J113" s="11">
        <f>VLOOKUP($A113, '26 ADP Data'!$C$3:$Q$298, 10, FALSE)</f>
        <v>105</v>
      </c>
      <c r="K113" s="11">
        <v>99</v>
      </c>
    </row>
    <row r="114" spans="1:11" ht="14.25" customHeight="1" x14ac:dyDescent="0.25">
      <c r="A114" s="11" t="s">
        <v>386</v>
      </c>
      <c r="B114" s="11" t="str">
        <f>VLOOKUP($A114, '26 ADP Data'!$C$3:$R$298, 2, FALSE)</f>
        <v>SEA</v>
      </c>
      <c r="C114" s="11" t="str">
        <f>VLOOKUP($A114, '26 ADP Data'!$C$3:$R$298, 16, FALSE)</f>
        <v>RB</v>
      </c>
      <c r="D114" s="11"/>
      <c r="E114" s="11"/>
      <c r="F114" s="11" t="s">
        <v>776</v>
      </c>
      <c r="G114" s="11">
        <v>39</v>
      </c>
      <c r="H114" s="11"/>
      <c r="I114" s="11">
        <f>VLOOKUP($A114, '26 ADP Data'!$C$3:$Q$298, 13, FALSE)</f>
        <v>165</v>
      </c>
      <c r="J114" s="11">
        <f>VLOOKUP($A114, '26 ADP Data'!$C$3:$Q$298, 10, FALSE)</f>
        <v>148</v>
      </c>
      <c r="K114" s="11">
        <v>126</v>
      </c>
    </row>
    <row r="115" spans="1:11" ht="14.25" hidden="1" customHeight="1" x14ac:dyDescent="0.25">
      <c r="A115" s="11" t="s">
        <v>290</v>
      </c>
      <c r="B115" s="11" t="str">
        <f>VLOOKUP($A115, '26 ADP Data'!$C$3:$R$298, 2, FALSE)</f>
        <v>IND</v>
      </c>
      <c r="C115" s="11" t="str">
        <f>VLOOKUP($A115, '26 ADP Data'!$C$3:$R$298, 16, FALSE)</f>
        <v>WR</v>
      </c>
      <c r="D115" s="11"/>
      <c r="E115" s="11"/>
      <c r="F115" s="11" t="s">
        <v>730</v>
      </c>
      <c r="G115" s="11">
        <v>60</v>
      </c>
      <c r="H115" s="11"/>
      <c r="I115" s="11">
        <f>VLOOKUP($A115, '26 ADP Data'!$C$3:$Q$298, 13, FALSE)</f>
        <v>83</v>
      </c>
      <c r="J115" s="11">
        <f>VLOOKUP($A115, '26 ADP Data'!$C$3:$Q$298, 10, FALSE)</f>
        <v>88</v>
      </c>
      <c r="K115" s="11">
        <v>110</v>
      </c>
    </row>
    <row r="116" spans="1:11" ht="14.25" hidden="1" customHeight="1" x14ac:dyDescent="0.25">
      <c r="A116" s="11" t="s">
        <v>340</v>
      </c>
      <c r="B116" s="11" t="str">
        <f>VLOOKUP($A116, '26 ADP Data'!$C$3:$R$298, 2, FALSE)</f>
        <v>DAL</v>
      </c>
      <c r="C116" s="11" t="str">
        <f>VLOOKUP($A116, '26 ADP Data'!$C$3:$R$298, 16, FALSE)</f>
        <v>TE</v>
      </c>
      <c r="D116" s="11"/>
      <c r="E116" s="11"/>
      <c r="F116" s="11" t="s">
        <v>704</v>
      </c>
      <c r="G116" s="11">
        <v>10</v>
      </c>
      <c r="H116" s="11"/>
      <c r="I116" s="11">
        <f>VLOOKUP($A116, '26 ADP Data'!$C$3:$Q$298, 13, FALSE)</f>
        <v>137</v>
      </c>
      <c r="J116" s="11">
        <f>VLOOKUP($A116, '26 ADP Data'!$C$3:$Q$298, 10, FALSE)</f>
        <v>146</v>
      </c>
      <c r="K116" s="11">
        <v>114</v>
      </c>
    </row>
    <row r="117" spans="1:11" ht="14.25" hidden="1" customHeight="1" x14ac:dyDescent="0.25">
      <c r="A117" s="11" t="s">
        <v>322</v>
      </c>
      <c r="B117" s="11" t="str">
        <f>VLOOKUP($A117, '26 ADP Data'!$C$3:$R$298, 2, FALSE)</f>
        <v>PHI</v>
      </c>
      <c r="C117" s="11" t="str">
        <f>VLOOKUP($A117, '26 ADP Data'!$C$3:$R$298, 16, FALSE)</f>
        <v>TE</v>
      </c>
      <c r="D117" s="11"/>
      <c r="E117" s="11"/>
      <c r="F117" s="11" t="s">
        <v>704</v>
      </c>
      <c r="G117" s="11">
        <v>12</v>
      </c>
      <c r="H117" s="11"/>
      <c r="I117" s="11">
        <f>VLOOKUP($A117, '26 ADP Data'!$C$3:$Q$298, 13, FALSE)</f>
        <v>132</v>
      </c>
      <c r="J117" s="11">
        <f>VLOOKUP($A117, '26 ADP Data'!$C$3:$Q$298, 10, FALSE)</f>
        <v>116</v>
      </c>
      <c r="K117" s="11">
        <v>106</v>
      </c>
    </row>
    <row r="118" spans="1:11" ht="14.25" hidden="1" customHeight="1" x14ac:dyDescent="0.25">
      <c r="A118" s="11" t="s">
        <v>333</v>
      </c>
      <c r="B118" s="11" t="str">
        <f>VLOOKUP($A118, '26 ADP Data'!$C$3:$R$298, 2, FALSE)</f>
        <v>DET</v>
      </c>
      <c r="C118" s="11" t="str">
        <f>VLOOKUP($A118, '26 ADP Data'!$C$3:$R$298, 16, FALSE)</f>
        <v>QB</v>
      </c>
      <c r="D118" s="11"/>
      <c r="E118" s="11"/>
      <c r="F118" s="11" t="s">
        <v>775</v>
      </c>
      <c r="G118" s="11">
        <v>16</v>
      </c>
      <c r="H118" s="11"/>
      <c r="I118" s="11">
        <f>VLOOKUP($A118, '26 ADP Data'!$C$3:$Q$298, 13, FALSE)</f>
        <v>112</v>
      </c>
      <c r="J118" s="11">
        <f>VLOOKUP($A118, '26 ADP Data'!$C$3:$Q$298, 10, FALSE)</f>
        <v>117</v>
      </c>
      <c r="K118" s="11">
        <v>129</v>
      </c>
    </row>
    <row r="119" spans="1:11" ht="14.25" customHeight="1" x14ac:dyDescent="0.25">
      <c r="A119" s="11" t="s">
        <v>282</v>
      </c>
      <c r="B119" s="11" t="str">
        <f>VLOOKUP($A119, '26 ADP Data'!$C$3:$R$298, 2, FALSE)</f>
        <v>TB</v>
      </c>
      <c r="C119" s="11" t="str">
        <f>VLOOKUP($A119, '26 ADP Data'!$C$3:$R$298, 16, FALSE)</f>
        <v>RB</v>
      </c>
      <c r="D119" s="11"/>
      <c r="E119" s="11"/>
      <c r="F119" s="11" t="s">
        <v>776</v>
      </c>
      <c r="G119" s="11">
        <v>40</v>
      </c>
      <c r="H119" s="11"/>
      <c r="I119" s="11">
        <f>VLOOKUP($A119, '26 ADP Data'!$C$3:$Q$298, 13, FALSE)</f>
        <v>110</v>
      </c>
      <c r="J119" s="11">
        <f>VLOOKUP($A119, '26 ADP Data'!$C$3:$Q$298, 10, FALSE)</f>
        <v>111</v>
      </c>
      <c r="K119" s="11">
        <v>103</v>
      </c>
    </row>
    <row r="120" spans="1:11" ht="14.25" hidden="1" customHeight="1" x14ac:dyDescent="0.25">
      <c r="A120" s="11" t="s">
        <v>324</v>
      </c>
      <c r="B120" s="11" t="str">
        <f>VLOOKUP($A120, '26 ADP Data'!$C$3:$R$298, 2, FALSE)</f>
        <v>BUF</v>
      </c>
      <c r="C120" s="11" t="str">
        <f>VLOOKUP($A120, '26 ADP Data'!$C$3:$R$298, 16, FALSE)</f>
        <v>TE</v>
      </c>
      <c r="D120" s="11"/>
      <c r="E120" s="11"/>
      <c r="F120" s="11" t="s">
        <v>704</v>
      </c>
      <c r="G120" s="11">
        <v>13</v>
      </c>
      <c r="H120" s="11"/>
      <c r="I120" s="11">
        <f>VLOOKUP($A120, '26 ADP Data'!$C$3:$Q$298, 13, FALSE)</f>
        <v>120</v>
      </c>
      <c r="J120" s="11">
        <f>VLOOKUP($A120, '26 ADP Data'!$C$3:$Q$298, 10, FALSE)</f>
        <v>106</v>
      </c>
      <c r="K120" s="11">
        <v>101</v>
      </c>
    </row>
    <row r="121" spans="1:11" ht="14.25" hidden="1" customHeight="1" x14ac:dyDescent="0.25">
      <c r="A121" s="11" t="s">
        <v>355</v>
      </c>
      <c r="B121" s="11" t="str">
        <f>VLOOKUP($A121, '26 ADP Data'!$C$3:$R$298, 2, FALSE)</f>
        <v>MIN</v>
      </c>
      <c r="C121" s="11" t="str">
        <f>VLOOKUP($A121, '26 ADP Data'!$C$3:$R$298, 16, FALSE)</f>
        <v>QB</v>
      </c>
      <c r="D121" s="11"/>
      <c r="E121" s="11"/>
      <c r="F121" s="11" t="s">
        <v>775</v>
      </c>
      <c r="G121" s="11">
        <v>18</v>
      </c>
      <c r="H121" s="11"/>
      <c r="I121" s="11">
        <f>VLOOKUP($A121, '26 ADP Data'!$C$3:$Q$298, 13, FALSE)</f>
        <v>115</v>
      </c>
      <c r="J121" s="11">
        <f>VLOOKUP($A121, '26 ADP Data'!$C$3:$Q$298, 10, FALSE)</f>
        <v>119</v>
      </c>
      <c r="K121" s="11">
        <v>96</v>
      </c>
    </row>
    <row r="122" spans="1:11" ht="14.25" hidden="1" customHeight="1" x14ac:dyDescent="0.25">
      <c r="A122" s="11" t="s">
        <v>326</v>
      </c>
      <c r="B122" s="11" t="str">
        <f>VLOOKUP($A122, '26 ADP Data'!$C$3:$R$298, 2, FALSE)</f>
        <v>NYG</v>
      </c>
      <c r="C122" s="11" t="str">
        <f>VLOOKUP($A122, '26 ADP Data'!$C$3:$R$298, 16, FALSE)</f>
        <v>TE</v>
      </c>
      <c r="D122" s="11"/>
      <c r="E122" s="11"/>
      <c r="F122" s="11" t="s">
        <v>781</v>
      </c>
      <c r="G122" s="11">
        <v>14</v>
      </c>
      <c r="H122" s="11"/>
      <c r="I122" s="11">
        <f>VLOOKUP($A122, '26 ADP Data'!$C$3:$Q$298, 13, FALSE)</f>
        <v>125</v>
      </c>
      <c r="J122" s="11">
        <f>VLOOKUP($A122, '26 ADP Data'!$C$3:$Q$298, 10, FALSE)</f>
        <v>120</v>
      </c>
      <c r="K122" s="11">
        <v>118</v>
      </c>
    </row>
    <row r="123" spans="1:11" ht="14.25" customHeight="1" x14ac:dyDescent="0.25">
      <c r="A123" s="11" t="s">
        <v>329</v>
      </c>
      <c r="B123" s="11" t="str">
        <f>VLOOKUP($A123, '26 ADP Data'!$C$3:$R$298, 2, FALSE)</f>
        <v>WAS</v>
      </c>
      <c r="C123" s="11" t="str">
        <f>VLOOKUP($A123, '26 ADP Data'!$C$3:$R$298, 16, FALSE)</f>
        <v>RB</v>
      </c>
      <c r="D123" s="11"/>
      <c r="E123" s="11"/>
      <c r="F123" s="11" t="s">
        <v>776</v>
      </c>
      <c r="G123" s="11">
        <v>41</v>
      </c>
      <c r="H123" s="11"/>
      <c r="I123" s="11">
        <f>VLOOKUP($A123, '26 ADP Data'!$C$3:$Q$298, 13, FALSE)</f>
        <v>119</v>
      </c>
      <c r="J123" s="11">
        <f>VLOOKUP($A123, '26 ADP Data'!$C$3:$Q$298, 10, FALSE)</f>
        <v>114</v>
      </c>
      <c r="K123" s="11">
        <v>119</v>
      </c>
    </row>
    <row r="124" spans="1:11" ht="14.25" hidden="1" customHeight="1" x14ac:dyDescent="0.25">
      <c r="A124" s="11" t="s">
        <v>320</v>
      </c>
      <c r="B124" s="11" t="str">
        <f>VLOOKUP($A124, '26 ADP Data'!$C$3:$R$298, 2, FALSE)</f>
        <v>GB</v>
      </c>
      <c r="C124" s="11" t="str">
        <f>VLOOKUP($A124, '26 ADP Data'!$C$3:$R$298, 16, FALSE)</f>
        <v>WR</v>
      </c>
      <c r="D124" s="11"/>
      <c r="E124" s="11"/>
      <c r="F124" s="11" t="s">
        <v>730</v>
      </c>
      <c r="G124" s="11">
        <v>51</v>
      </c>
      <c r="H124" s="11" t="s">
        <v>389</v>
      </c>
      <c r="I124" s="11">
        <f>VLOOKUP($A124, '26 ADP Data'!$C$3:$Q$298, 13, FALSE)</f>
        <v>98</v>
      </c>
      <c r="J124" s="11">
        <f>VLOOKUP($A124, '26 ADP Data'!$C$3:$Q$298, 10, FALSE)</f>
        <v>99</v>
      </c>
      <c r="K124" s="11">
        <v>137</v>
      </c>
    </row>
    <row r="125" spans="1:11" ht="14.25" hidden="1" customHeight="1" x14ac:dyDescent="0.25">
      <c r="A125" s="11" t="s">
        <v>331</v>
      </c>
      <c r="B125" s="11" t="str">
        <f>VLOOKUP($A125, '26 ADP Data'!$C$3:$R$298, 2, FALSE)</f>
        <v>CLE</v>
      </c>
      <c r="C125" s="11" t="str">
        <f>VLOOKUP($A125, '26 ADP Data'!$C$3:$R$298, 16, FALSE)</f>
        <v>WR</v>
      </c>
      <c r="D125" s="11"/>
      <c r="E125" s="11" t="s">
        <v>148</v>
      </c>
      <c r="F125" s="11" t="s">
        <v>782</v>
      </c>
      <c r="G125" s="11">
        <v>52</v>
      </c>
      <c r="H125" s="11" t="s">
        <v>783</v>
      </c>
      <c r="I125" s="11">
        <f>VLOOKUP($A125, '26 ADP Data'!$C$3:$Q$298, 13, FALSE)</f>
        <v>111</v>
      </c>
      <c r="J125" s="11">
        <f>VLOOKUP($A125, '26 ADP Data'!$C$3:$Q$298, 10, FALSE)</f>
        <v>98</v>
      </c>
      <c r="K125" s="11">
        <v>132</v>
      </c>
    </row>
    <row r="126" spans="1:11" ht="14.25" hidden="1" customHeight="1" x14ac:dyDescent="0.25">
      <c r="A126" s="11" t="s">
        <v>395</v>
      </c>
      <c r="B126" s="11" t="str">
        <f>VLOOKUP($A126, '26 ADP Data'!$C$3:$R$298, 2, FALSE)</f>
        <v>CLE</v>
      </c>
      <c r="C126" s="11" t="str">
        <f>VLOOKUP($A126, '26 ADP Data'!$C$3:$R$298, 16, FALSE)</f>
        <v>WR</v>
      </c>
      <c r="D126" s="11"/>
      <c r="E126" s="11"/>
      <c r="F126" s="11" t="s">
        <v>782</v>
      </c>
      <c r="G126" s="11">
        <v>53</v>
      </c>
      <c r="H126" s="11" t="s">
        <v>784</v>
      </c>
      <c r="I126" s="11">
        <f>VLOOKUP($A126, '26 ADP Data'!$C$3:$Q$298, 13, FALSE)</f>
        <v>142</v>
      </c>
      <c r="J126" s="11">
        <f>VLOOKUP($A126, '26 ADP Data'!$C$3:$Q$298, 10, FALSE)</f>
        <v>144</v>
      </c>
      <c r="K126" s="11">
        <v>154</v>
      </c>
    </row>
    <row r="127" spans="1:11" ht="14.25" hidden="1" customHeight="1" x14ac:dyDescent="0.25">
      <c r="A127" s="11" t="s">
        <v>349</v>
      </c>
      <c r="B127" s="11" t="str">
        <f>VLOOKUP($A127, '26 ADP Data'!$C$3:$R$298, 2, FALSE)</f>
        <v>BAL</v>
      </c>
      <c r="C127" s="11" t="str">
        <f>VLOOKUP($A127, '26 ADP Data'!$C$3:$R$298, 16, FALSE)</f>
        <v>TE</v>
      </c>
      <c r="D127" s="11"/>
      <c r="E127" s="11"/>
      <c r="F127" s="11" t="s">
        <v>781</v>
      </c>
      <c r="G127" s="11">
        <v>16</v>
      </c>
      <c r="H127" s="11"/>
      <c r="I127" s="11">
        <f>VLOOKUP($A127, '26 ADP Data'!$C$3:$Q$298, 13, FALSE)</f>
        <v>134</v>
      </c>
      <c r="J127" s="11">
        <f>VLOOKUP($A127, '26 ADP Data'!$C$3:$Q$298, 10, FALSE)</f>
        <v>135</v>
      </c>
      <c r="K127" s="11">
        <v>131</v>
      </c>
    </row>
    <row r="128" spans="1:11" ht="14.25" hidden="1" customHeight="1" x14ac:dyDescent="0.25">
      <c r="A128" s="11" t="s">
        <v>364</v>
      </c>
      <c r="B128" s="11" t="str">
        <f>VLOOKUP($A128, '26 ADP Data'!$C$3:$R$298, 2, FALSE)</f>
        <v>TB</v>
      </c>
      <c r="C128" s="11" t="str">
        <f>VLOOKUP($A128, '26 ADP Data'!$C$3:$R$298, 16, FALSE)</f>
        <v>QB</v>
      </c>
      <c r="D128" s="11"/>
      <c r="E128" s="11"/>
      <c r="F128" s="11" t="s">
        <v>775</v>
      </c>
      <c r="G128" s="11">
        <v>17</v>
      </c>
      <c r="H128" s="11"/>
      <c r="I128" s="11">
        <f>VLOOKUP($A128, '26 ADP Data'!$C$3:$Q$298, 13, FALSE)</f>
        <v>123</v>
      </c>
      <c r="J128" s="11">
        <f>VLOOKUP($A128, '26 ADP Data'!$C$3:$Q$298, 10, FALSE)</f>
        <v>137</v>
      </c>
      <c r="K128" s="11">
        <v>138</v>
      </c>
    </row>
    <row r="129" spans="1:11" ht="14.25" hidden="1" customHeight="1" x14ac:dyDescent="0.25">
      <c r="A129" s="11" t="s">
        <v>360</v>
      </c>
      <c r="B129" s="11" t="str">
        <f>VLOOKUP($A129, '26 ADP Data'!$C$3:$R$298, 2, FALSE)</f>
        <v>GB</v>
      </c>
      <c r="C129" s="11" t="str">
        <f>VLOOKUP($A129, '26 ADP Data'!$C$3:$R$298, 16, FALSE)</f>
        <v>QB</v>
      </c>
      <c r="D129" s="11"/>
      <c r="E129" s="11"/>
      <c r="F129" s="11" t="s">
        <v>775</v>
      </c>
      <c r="G129" s="11">
        <v>19</v>
      </c>
      <c r="H129" s="11"/>
      <c r="I129" s="11">
        <f>VLOOKUP($A129, '26 ADP Data'!$C$3:$Q$298, 13, FALSE)</f>
        <v>117</v>
      </c>
      <c r="J129" s="11">
        <f>VLOOKUP($A129, '26 ADP Data'!$C$3:$Q$298, 10, FALSE)</f>
        <v>125</v>
      </c>
      <c r="K129" s="11">
        <v>130</v>
      </c>
    </row>
    <row r="130" spans="1:11" ht="14.25" hidden="1" customHeight="1" x14ac:dyDescent="0.25">
      <c r="A130" s="11" t="s">
        <v>372</v>
      </c>
      <c r="B130" s="11" t="str">
        <f>VLOOKUP($A130, '26 ADP Data'!$C$3:$R$298, 2, FALSE)</f>
        <v>NO</v>
      </c>
      <c r="C130" s="11" t="str">
        <f>VLOOKUP($A130, '26 ADP Data'!$C$3:$R$298, 16, FALSE)</f>
        <v>QB</v>
      </c>
      <c r="D130" s="11"/>
      <c r="E130" s="11"/>
      <c r="F130" s="11"/>
      <c r="G130" s="11"/>
      <c r="H130" s="11"/>
      <c r="I130" s="11">
        <f>VLOOKUP($A130, '26 ADP Data'!$C$3:$Q$298, 13, FALSE)</f>
        <v>127</v>
      </c>
      <c r="J130" s="11">
        <f>VLOOKUP($A130, '26 ADP Data'!$C$3:$Q$298, 10, FALSE)</f>
        <v>143</v>
      </c>
      <c r="K130" s="11">
        <v>133</v>
      </c>
    </row>
    <row r="131" spans="1:11" ht="14.25" hidden="1" customHeight="1" x14ac:dyDescent="0.25">
      <c r="A131" s="11" t="s">
        <v>335</v>
      </c>
      <c r="B131" s="11" t="str">
        <f>VLOOKUP($A131, '26 ADP Data'!$C$3:$R$298, 2, FALSE)</f>
        <v>JAX</v>
      </c>
      <c r="C131" s="11" t="str">
        <f>VLOOKUP($A131, '26 ADP Data'!$C$3:$R$298, 16, FALSE)</f>
        <v>WR</v>
      </c>
      <c r="D131" s="11"/>
      <c r="E131" s="11"/>
      <c r="F131" s="11" t="s">
        <v>782</v>
      </c>
      <c r="G131" s="11">
        <v>53</v>
      </c>
      <c r="H131" s="11"/>
      <c r="I131" s="11">
        <f>VLOOKUP($A131, '26 ADP Data'!$C$3:$Q$298, 13, FALSE)</f>
        <v>121</v>
      </c>
      <c r="J131" s="11">
        <f>VLOOKUP($A131, '26 ADP Data'!$C$3:$Q$298, 10, FALSE)</f>
        <v>127</v>
      </c>
      <c r="K131" s="11">
        <v>98</v>
      </c>
    </row>
    <row r="132" spans="1:11" ht="14.25" hidden="1" customHeight="1" x14ac:dyDescent="0.25">
      <c r="A132" s="11" t="s">
        <v>377</v>
      </c>
      <c r="B132" s="11" t="str">
        <f>VLOOKUP($A132, '26 ADP Data'!$C$3:$R$298, 2, FALSE)</f>
        <v>SEA</v>
      </c>
      <c r="C132" s="11" t="str">
        <f>VLOOKUP($A132, '26 ADP Data'!$C$3:$R$298, 16, FALSE)</f>
        <v>WR</v>
      </c>
      <c r="D132" s="11"/>
      <c r="E132" s="11"/>
      <c r="F132" s="11" t="s">
        <v>782</v>
      </c>
      <c r="G132" s="11">
        <v>54</v>
      </c>
      <c r="H132" s="11"/>
      <c r="I132" s="11">
        <f>VLOOKUP($A132, '26 ADP Data'!$C$3:$Q$298, 13, FALSE)</f>
        <v>135</v>
      </c>
      <c r="J132" s="11">
        <f>VLOOKUP($A132, '26 ADP Data'!$C$3:$Q$298, 10, FALSE)</f>
        <v>132</v>
      </c>
      <c r="K132" s="11">
        <v>157</v>
      </c>
    </row>
    <row r="133" spans="1:11" ht="14.25" hidden="1" customHeight="1" x14ac:dyDescent="0.25">
      <c r="A133" s="11" t="s">
        <v>401</v>
      </c>
      <c r="B133" s="11" t="str">
        <f>VLOOKUP($A133, '26 ADP Data'!$C$3:$R$298, 2, FALSE)</f>
        <v>LV</v>
      </c>
      <c r="C133" s="11" t="str">
        <f>VLOOKUP($A133, '26 ADP Data'!$C$3:$R$298, 16, FALSE)</f>
        <v>WR</v>
      </c>
      <c r="D133" s="11"/>
      <c r="E133" s="11" t="s">
        <v>148</v>
      </c>
      <c r="F133" s="11" t="s">
        <v>782</v>
      </c>
      <c r="G133" s="11">
        <v>55</v>
      </c>
      <c r="H133" s="11" t="s">
        <v>785</v>
      </c>
      <c r="I133" s="11">
        <f>VLOOKUP($A133, '26 ADP Data'!$C$3:$Q$298, 13, FALSE)</f>
        <v>149</v>
      </c>
      <c r="J133" s="11">
        <f>VLOOKUP($A133, '26 ADP Data'!$C$3:$Q$298, 10, FALSE)</f>
        <v>142</v>
      </c>
      <c r="K133" s="11">
        <v>189</v>
      </c>
    </row>
    <row r="134" spans="1:11" ht="14.25" customHeight="1" x14ac:dyDescent="0.25">
      <c r="A134" s="11" t="s">
        <v>353</v>
      </c>
      <c r="B134" s="11" t="str">
        <f>VLOOKUP($A134, '26 ADP Data'!$C$3:$R$298, 2, FALSE)</f>
        <v>JAX</v>
      </c>
      <c r="C134" s="11" t="str">
        <f>VLOOKUP($A134, '26 ADP Data'!$C$3:$R$298, 16, FALSE)</f>
        <v>RB</v>
      </c>
      <c r="D134" s="11"/>
      <c r="E134" s="11"/>
      <c r="F134" s="11" t="s">
        <v>776</v>
      </c>
      <c r="G134" s="11">
        <v>41</v>
      </c>
      <c r="H134" s="11"/>
      <c r="I134" s="11">
        <f>VLOOKUP($A134, '26 ADP Data'!$C$3:$Q$298, 13, FALSE)</f>
        <v>122</v>
      </c>
      <c r="J134" s="11">
        <f>VLOOKUP($A134, '26 ADP Data'!$C$3:$Q$298, 10, FALSE)</f>
        <v>112</v>
      </c>
      <c r="K134" s="11">
        <v>124</v>
      </c>
    </row>
    <row r="135" spans="1:11" ht="14.25" customHeight="1" x14ac:dyDescent="0.25">
      <c r="A135" s="11" t="s">
        <v>338</v>
      </c>
      <c r="B135" s="11" t="str">
        <f>VLOOKUP($A135, '26 ADP Data'!$C$3:$R$298, 2, FALSE)</f>
        <v>MIN</v>
      </c>
      <c r="C135" s="11" t="str">
        <f>VLOOKUP($A135, '26 ADP Data'!$C$3:$R$298, 16, FALSE)</f>
        <v>RB</v>
      </c>
      <c r="D135" s="11"/>
      <c r="E135" s="11"/>
      <c r="F135" s="11" t="s">
        <v>776</v>
      </c>
      <c r="G135" s="11">
        <v>42</v>
      </c>
      <c r="H135" s="11"/>
      <c r="I135" s="11">
        <f>VLOOKUP($A135, '26 ADP Data'!$C$3:$Q$298, 13, FALSE)</f>
        <v>126</v>
      </c>
      <c r="J135" s="11">
        <f>VLOOKUP($A135, '26 ADP Data'!$C$3:$Q$298, 10, FALSE)</f>
        <v>123</v>
      </c>
      <c r="K135" s="11">
        <v>108</v>
      </c>
    </row>
    <row r="136" spans="1:11" ht="14.25" customHeight="1" x14ac:dyDescent="0.25">
      <c r="A136" s="11" t="s">
        <v>415</v>
      </c>
      <c r="B136" s="11" t="str">
        <f>VLOOKUP($A136, '26 ADP Data'!$C$3:$R$298, 2, FALSE)</f>
        <v>DET</v>
      </c>
      <c r="C136" s="11" t="str">
        <f>VLOOKUP($A136, '26 ADP Data'!$C$3:$R$298, 16, FALSE)</f>
        <v>RB</v>
      </c>
      <c r="D136" s="11"/>
      <c r="E136" s="11"/>
      <c r="F136" s="11" t="s">
        <v>776</v>
      </c>
      <c r="G136" s="11">
        <v>43</v>
      </c>
      <c r="H136" s="11"/>
      <c r="I136" s="11">
        <f>VLOOKUP($A136, '26 ADP Data'!$C$3:$Q$298, 13, FALSE)</f>
        <v>196</v>
      </c>
      <c r="J136" s="11">
        <f>VLOOKUP($A136, '26 ADP Data'!$C$3:$Q$298, 10, FALSE)</f>
        <v>197</v>
      </c>
      <c r="K136" s="11">
        <v>148</v>
      </c>
    </row>
    <row r="137" spans="1:11" ht="14.25" hidden="1" customHeight="1" x14ac:dyDescent="0.25">
      <c r="A137" s="11" t="s">
        <v>391</v>
      </c>
      <c r="B137" s="11" t="str">
        <f>VLOOKUP($A137, '26 ADP Data'!$C$3:$R$298, 2, FALSE)</f>
        <v>MIA</v>
      </c>
      <c r="C137" s="11" t="str">
        <f>VLOOKUP($A137, '26 ADP Data'!$C$3:$R$298, 16, FALSE)</f>
        <v>QB</v>
      </c>
      <c r="D137" s="11"/>
      <c r="E137" s="11"/>
      <c r="F137" s="11"/>
      <c r="G137" s="11"/>
      <c r="H137" s="11"/>
      <c r="I137" s="11">
        <f>VLOOKUP($A137, '26 ADP Data'!$C$3:$Q$298, 13, FALSE)</f>
        <v>133</v>
      </c>
      <c r="J137" s="11">
        <f>VLOOKUP($A137, '26 ADP Data'!$C$3:$Q$298, 10, FALSE)</f>
        <v>133</v>
      </c>
      <c r="K137" s="11">
        <v>121</v>
      </c>
    </row>
    <row r="138" spans="1:11" ht="14.25" hidden="1" customHeight="1" x14ac:dyDescent="0.25">
      <c r="A138" s="11" t="s">
        <v>438</v>
      </c>
      <c r="B138" s="11" t="str">
        <f>VLOOKUP($A138, '26 ADP Data'!$C$3:$R$298, 2, FALSE)</f>
        <v>BAL</v>
      </c>
      <c r="C138" s="11" t="str">
        <f>VLOOKUP($A138, '26 ADP Data'!$C$3:$R$298, 16, FALSE)</f>
        <v>WR</v>
      </c>
      <c r="D138" s="11">
        <v>13</v>
      </c>
      <c r="E138" s="11" t="s">
        <v>148</v>
      </c>
      <c r="F138" s="11" t="s">
        <v>782</v>
      </c>
      <c r="G138" s="11">
        <v>56</v>
      </c>
      <c r="H138" s="11" t="s">
        <v>786</v>
      </c>
      <c r="I138" s="11">
        <f>VLOOKUP($A138, '26 ADP Data'!$C$3:$Q$298, 13, FALSE)</f>
        <v>148</v>
      </c>
      <c r="J138" s="11">
        <f>VLOOKUP($A138, '26 ADP Data'!$C$3:$Q$298, 10, FALSE)</f>
        <v>161</v>
      </c>
      <c r="K138" s="11" t="s">
        <v>678</v>
      </c>
    </row>
    <row r="139" spans="1:11" ht="14.25" customHeight="1" x14ac:dyDescent="0.25">
      <c r="A139" s="11" t="s">
        <v>370</v>
      </c>
      <c r="B139" s="11" t="str">
        <f>VLOOKUP($A139, '26 ADP Data'!$C$3:$R$298, 2, FALSE)</f>
        <v>ARI</v>
      </c>
      <c r="C139" s="11" t="str">
        <f>VLOOKUP($A139, '26 ADP Data'!$C$3:$R$298, 16, FALSE)</f>
        <v>RB</v>
      </c>
      <c r="D139" s="11"/>
      <c r="E139" s="11"/>
      <c r="F139" s="11" t="s">
        <v>776</v>
      </c>
      <c r="G139" s="11">
        <v>44</v>
      </c>
      <c r="H139" s="11"/>
      <c r="I139" s="11">
        <f>VLOOKUP($A139, '26 ADP Data'!$C$3:$Q$298, 13, FALSE)</f>
        <v>139</v>
      </c>
      <c r="J139" s="11">
        <f>VLOOKUP($A139, '26 ADP Data'!$C$3:$Q$298, 10, FALSE)</f>
        <v>136</v>
      </c>
      <c r="K139" s="11">
        <v>112</v>
      </c>
    </row>
    <row r="140" spans="1:11" ht="14.25" hidden="1" customHeight="1" x14ac:dyDescent="0.25">
      <c r="A140" s="11" t="s">
        <v>510</v>
      </c>
      <c r="B140" s="11" t="str">
        <f>VLOOKUP($A140, '26 ADP Data'!$C$3:$R$298, 2, FALSE)</f>
        <v>NYJ</v>
      </c>
      <c r="C140" s="11" t="str">
        <f>VLOOKUP($A140, '26 ADP Data'!$C$3:$R$298, 16, FALSE)</f>
        <v>WR</v>
      </c>
      <c r="D140" s="11"/>
      <c r="E140" s="11" t="s">
        <v>148</v>
      </c>
      <c r="F140" s="11" t="s">
        <v>782</v>
      </c>
      <c r="G140" s="11">
        <v>57</v>
      </c>
      <c r="H140" s="11" t="s">
        <v>787</v>
      </c>
      <c r="I140" s="11">
        <f>VLOOKUP($A140, '26 ADP Data'!$C$3:$Q$298, 13, FALSE)</f>
        <v>172</v>
      </c>
      <c r="J140" s="11">
        <f>VLOOKUP($A140, '26 ADP Data'!$C$3:$Q$298, 10, FALSE)</f>
        <v>192</v>
      </c>
      <c r="K140" s="11">
        <v>158</v>
      </c>
    </row>
    <row r="141" spans="1:11" ht="14.25" customHeight="1" x14ac:dyDescent="0.25">
      <c r="A141" s="11" t="s">
        <v>417</v>
      </c>
      <c r="B141" s="11" t="str">
        <f>VLOOKUP($A141, '26 ADP Data'!$C$3:$R$298, 2, FALSE)</f>
        <v>NO</v>
      </c>
      <c r="C141" s="11" t="str">
        <f>VLOOKUP($A141, '26 ADP Data'!$C$3:$R$298, 16, FALSE)</f>
        <v>RB</v>
      </c>
      <c r="D141" s="11"/>
      <c r="E141" s="11"/>
      <c r="F141" s="11" t="s">
        <v>776</v>
      </c>
      <c r="G141" s="11">
        <v>45</v>
      </c>
      <c r="H141" s="11"/>
      <c r="I141" s="11">
        <f>VLOOKUP($A141, '26 ADP Data'!$C$3:$Q$298, 13, FALSE)</f>
        <v>194</v>
      </c>
      <c r="J141" s="11">
        <f>VLOOKUP($A141, '26 ADP Data'!$C$3:$Q$298, 10, FALSE)</f>
        <v>191</v>
      </c>
      <c r="K141" s="11">
        <v>149</v>
      </c>
    </row>
    <row r="142" spans="1:11" ht="14.25" hidden="1" customHeight="1" x14ac:dyDescent="0.25">
      <c r="A142" s="11" t="s">
        <v>393</v>
      </c>
      <c r="B142" s="11" t="str">
        <f>VLOOKUP($A142, '26 ADP Data'!$C$3:$R$298, 2, FALSE)</f>
        <v>JAX</v>
      </c>
      <c r="C142" s="11" t="str">
        <f>VLOOKUP($A142, '26 ADP Data'!$C$3:$R$298, 16, FALSE)</f>
        <v>TE</v>
      </c>
      <c r="D142" s="11"/>
      <c r="E142" s="11"/>
      <c r="F142" s="11"/>
      <c r="G142" s="11"/>
      <c r="H142" s="11"/>
      <c r="I142" s="11">
        <f>VLOOKUP($A142, '26 ADP Data'!$C$3:$Q$298, 13, FALSE)</f>
        <v>150</v>
      </c>
      <c r="J142" s="11">
        <f>VLOOKUP($A142, '26 ADP Data'!$C$3:$Q$298, 10, FALSE)</f>
        <v>174</v>
      </c>
      <c r="K142" s="11">
        <v>139</v>
      </c>
    </row>
    <row r="143" spans="1:11" ht="14.25" hidden="1" customHeight="1" x14ac:dyDescent="0.25">
      <c r="A143" s="11" t="s">
        <v>499</v>
      </c>
      <c r="B143" s="11" t="str">
        <f>VLOOKUP($A143, '26 ADP Data'!$C$3:$R$298, 2, FALSE)</f>
        <v>LAC</v>
      </c>
      <c r="C143" s="11" t="str">
        <f>VLOOKUP($A143, '26 ADP Data'!$C$3:$R$298, 16, FALSE)</f>
        <v>TE</v>
      </c>
      <c r="D143" s="11"/>
      <c r="E143" s="11"/>
      <c r="F143" s="11"/>
      <c r="G143" s="11"/>
      <c r="H143" s="11"/>
      <c r="I143" s="11">
        <f>VLOOKUP($A143, '26 ADP Data'!$C$3:$Q$298, 13, FALSE)</f>
        <v>198</v>
      </c>
      <c r="J143" s="11">
        <f>VLOOKUP($A143, '26 ADP Data'!$C$3:$Q$298, 10, FALSE)</f>
        <v>217</v>
      </c>
      <c r="K143" s="11">
        <v>134</v>
      </c>
    </row>
    <row r="144" spans="1:11" ht="14.25" customHeight="1" x14ac:dyDescent="0.25">
      <c r="A144" s="11" t="s">
        <v>435</v>
      </c>
      <c r="B144" s="11" t="str">
        <f>VLOOKUP($A144, '26 ADP Data'!$C$3:$R$298, 2, FALSE)</f>
        <v>NYG</v>
      </c>
      <c r="C144" s="11" t="str">
        <f>VLOOKUP($A144, '26 ADP Data'!$C$3:$R$298, 16, FALSE)</f>
        <v>RB</v>
      </c>
      <c r="D144" s="11"/>
      <c r="E144" s="11"/>
      <c r="F144" s="11" t="s">
        <v>776</v>
      </c>
      <c r="G144" s="11">
        <v>46</v>
      </c>
      <c r="H144" s="11"/>
      <c r="I144" s="11">
        <f>VLOOKUP($A144, '26 ADP Data'!$C$3:$Q$298, 13, FALSE)</f>
        <v>162</v>
      </c>
      <c r="J144" s="11">
        <f>VLOOKUP($A144, '26 ADP Data'!$C$3:$Q$298, 10, FALSE)</f>
        <v>232</v>
      </c>
      <c r="K144" s="11">
        <v>123</v>
      </c>
    </row>
    <row r="145" spans="1:11" ht="14.25" customHeight="1" x14ac:dyDescent="0.25">
      <c r="A145" s="11" t="s">
        <v>543</v>
      </c>
      <c r="B145" s="11" t="str">
        <f>VLOOKUP($A145, '26 ADP Data'!$C$3:$R$298, 2, FALSE)</f>
        <v>TEN</v>
      </c>
      <c r="C145" s="11" t="str">
        <f>VLOOKUP($A145, '26 ADP Data'!$C$3:$R$298, 16, FALSE)</f>
        <v>RB</v>
      </c>
      <c r="D145" s="11"/>
      <c r="E145" s="11"/>
      <c r="F145" s="11" t="s">
        <v>776</v>
      </c>
      <c r="G145" s="11">
        <v>47</v>
      </c>
      <c r="H145" s="11" t="s">
        <v>788</v>
      </c>
      <c r="I145" s="11">
        <f>VLOOKUP($A145, '26 ADP Data'!$C$3:$Q$298, 13, FALSE)</f>
        <v>213</v>
      </c>
      <c r="J145" s="11">
        <f>VLOOKUP($A145, '26 ADP Data'!$C$3:$Q$298, 10, FALSE)</f>
        <v>204</v>
      </c>
      <c r="K145" s="11">
        <v>172</v>
      </c>
    </row>
    <row r="146" spans="1:11" ht="14.25" hidden="1" customHeight="1" x14ac:dyDescent="0.25">
      <c r="A146" s="11" t="s">
        <v>379</v>
      </c>
      <c r="B146" s="11" t="str">
        <f>VLOOKUP($A146, '26 ADP Data'!$C$3:$R$298, 2, FALSE)</f>
        <v>NO</v>
      </c>
      <c r="C146" s="11" t="str">
        <f>VLOOKUP($A146, '26 ADP Data'!$C$3:$R$298, 16, FALSE)</f>
        <v>TE</v>
      </c>
      <c r="D146" s="11"/>
      <c r="E146" s="11"/>
      <c r="F146" s="11" t="s">
        <v>781</v>
      </c>
      <c r="G146" s="11">
        <v>15</v>
      </c>
      <c r="H146" s="11"/>
      <c r="I146" s="11">
        <f>VLOOKUP($A146, '26 ADP Data'!$C$3:$Q$298, 13, FALSE)</f>
        <v>140</v>
      </c>
      <c r="J146" s="11">
        <f>VLOOKUP($A146, '26 ADP Data'!$C$3:$Q$298, 10, FALSE)</f>
        <v>134</v>
      </c>
      <c r="K146" s="11">
        <v>161</v>
      </c>
    </row>
    <row r="147" spans="1:11" ht="14.25" hidden="1" customHeight="1" x14ac:dyDescent="0.25">
      <c r="A147" s="11" t="s">
        <v>433</v>
      </c>
      <c r="B147" s="11" t="str">
        <f>VLOOKUP($A147, '26 ADP Data'!$C$3:$R$298, 2, FALSE)</f>
        <v>WAS</v>
      </c>
      <c r="C147" s="11" t="str">
        <f>VLOOKUP($A147, '26 ADP Data'!$C$3:$R$298, 16, FALSE)</f>
        <v>TE</v>
      </c>
      <c r="D147" s="11"/>
      <c r="E147" s="11"/>
      <c r="F147" s="11"/>
      <c r="G147" s="11"/>
      <c r="H147" s="11"/>
      <c r="I147" s="11">
        <f>VLOOKUP($A147, '26 ADP Data'!$C$3:$Q$298, 13, FALSE)</f>
        <v>147</v>
      </c>
      <c r="J147" s="11">
        <f>VLOOKUP($A147, '26 ADP Data'!$C$3:$Q$298, 10, FALSE)</f>
        <v>158</v>
      </c>
      <c r="K147" s="11">
        <v>185</v>
      </c>
    </row>
    <row r="148" spans="1:11" ht="14.25" hidden="1" customHeight="1" x14ac:dyDescent="0.25">
      <c r="A148" s="11" t="s">
        <v>346</v>
      </c>
      <c r="B148" s="11" t="str">
        <f>VLOOKUP($A148, '26 ADP Data'!$C$3:$R$298, 2, FALSE)</f>
        <v>NE</v>
      </c>
      <c r="C148" s="11" t="str">
        <f>VLOOKUP($A148, '26 ADP Data'!$C$3:$R$298, 16, FALSE)</f>
        <v>WR</v>
      </c>
      <c r="D148" s="11"/>
      <c r="E148" s="11"/>
      <c r="F148" s="11" t="s">
        <v>782</v>
      </c>
      <c r="G148" s="11">
        <v>58</v>
      </c>
      <c r="H148" s="11"/>
      <c r="I148" s="11">
        <f>VLOOKUP($A148, '26 ADP Data'!$C$3:$Q$298, 13, FALSE)</f>
        <v>118</v>
      </c>
      <c r="J148" s="11">
        <f>VLOOKUP($A148, '26 ADP Data'!$C$3:$Q$298, 10, FALSE)</f>
        <v>121</v>
      </c>
      <c r="K148" s="11">
        <v>128</v>
      </c>
    </row>
    <row r="149" spans="1:11" ht="14.25" hidden="1" customHeight="1" x14ac:dyDescent="0.25">
      <c r="A149" s="11" t="s">
        <v>288</v>
      </c>
      <c r="B149" s="11" t="str">
        <f>VLOOKUP($A149, '26 ADP Data'!$C$3:$R$298, 2, FALSE)</f>
        <v>WAS</v>
      </c>
      <c r="C149" s="11" t="str">
        <f>VLOOKUP($A149, '26 ADP Data'!$C$3:$R$298, 16, FALSE)</f>
        <v>WR</v>
      </c>
      <c r="D149" s="11"/>
      <c r="E149" s="11"/>
      <c r="F149" s="11" t="s">
        <v>782</v>
      </c>
      <c r="G149" s="11">
        <v>59</v>
      </c>
      <c r="H149" s="11"/>
      <c r="I149" s="11">
        <f>VLOOKUP($A149, '26 ADP Data'!$C$3:$Q$298, 13, FALSE)</f>
        <v>94</v>
      </c>
      <c r="J149" s="11">
        <f>VLOOKUP($A149, '26 ADP Data'!$C$3:$Q$298, 10, FALSE)</f>
        <v>97</v>
      </c>
      <c r="K149" s="11">
        <v>143</v>
      </c>
    </row>
    <row r="150" spans="1:11" ht="14.25" hidden="1" customHeight="1" x14ac:dyDescent="0.25">
      <c r="A150" s="11" t="s">
        <v>397</v>
      </c>
      <c r="B150" s="11" t="str">
        <f>VLOOKUP($A150, '26 ADP Data'!$C$3:$R$298, 2, FALSE)</f>
        <v>NE</v>
      </c>
      <c r="C150" s="11" t="str">
        <f>VLOOKUP($A150, '26 ADP Data'!$C$3:$R$298, 16, FALSE)</f>
        <v>TE</v>
      </c>
      <c r="D150" s="11"/>
      <c r="E150" s="11"/>
      <c r="F150" s="11"/>
      <c r="G150" s="11"/>
      <c r="H150" s="11"/>
      <c r="I150" s="11">
        <f>VLOOKUP($A150, '26 ADP Data'!$C$3:$Q$298, 13, FALSE)</f>
        <v>155</v>
      </c>
      <c r="J150" s="11">
        <f>VLOOKUP($A150, '26 ADP Data'!$C$3:$Q$298, 10, FALSE)</f>
        <v>166</v>
      </c>
      <c r="K150" s="11">
        <v>152</v>
      </c>
    </row>
    <row r="151" spans="1:11" ht="14.25" hidden="1" customHeight="1" x14ac:dyDescent="0.25">
      <c r="A151" s="11" t="s">
        <v>362</v>
      </c>
      <c r="B151" s="11" t="str">
        <f>VLOOKUP($A151, '26 ADP Data'!$C$3:$R$298, 2, FALSE)</f>
        <v>SF</v>
      </c>
      <c r="C151" s="11" t="str">
        <f>VLOOKUP($A151, '26 ADP Data'!$C$3:$R$298, 16, FALSE)</f>
        <v>WR</v>
      </c>
      <c r="D151" s="11"/>
      <c r="E151" s="11"/>
      <c r="F151" s="11" t="s">
        <v>782</v>
      </c>
      <c r="G151" s="11">
        <v>61</v>
      </c>
      <c r="H151" s="11"/>
      <c r="I151" s="11">
        <f>VLOOKUP($A151, '26 ADP Data'!$C$3:$Q$298, 13, FALSE)</f>
        <v>128</v>
      </c>
      <c r="J151" s="11">
        <f>VLOOKUP($A151, '26 ADP Data'!$C$3:$Q$298, 10, FALSE)</f>
        <v>154</v>
      </c>
      <c r="K151" s="11">
        <v>144</v>
      </c>
    </row>
    <row r="152" spans="1:11" ht="14.25" customHeight="1" x14ac:dyDescent="0.25">
      <c r="A152" s="11" t="s">
        <v>368</v>
      </c>
      <c r="B152" s="11" t="str">
        <f>VLOOKUP($A152, '26 ADP Data'!$C$3:$R$298, 2, FALSE)</f>
        <v>HOU</v>
      </c>
      <c r="C152" s="11" t="str">
        <f>VLOOKUP($A152, '26 ADP Data'!$C$3:$R$298, 16, FALSE)</f>
        <v>RB</v>
      </c>
      <c r="D152" s="11"/>
      <c r="E152" s="11"/>
      <c r="F152" s="11" t="s">
        <v>776</v>
      </c>
      <c r="G152" s="11">
        <v>48</v>
      </c>
      <c r="H152" s="11" t="s">
        <v>483</v>
      </c>
      <c r="I152" s="11">
        <f>VLOOKUP($A152, '26 ADP Data'!$C$3:$Q$298, 13, FALSE)</f>
        <v>138</v>
      </c>
      <c r="J152" s="11">
        <f>VLOOKUP($A152, '26 ADP Data'!$C$3:$Q$298, 10, FALSE)</f>
        <v>130</v>
      </c>
      <c r="K152" s="11">
        <v>135</v>
      </c>
    </row>
    <row r="153" spans="1:11" ht="14.25" hidden="1" customHeight="1" x14ac:dyDescent="0.25">
      <c r="A153" s="11" t="s">
        <v>419</v>
      </c>
      <c r="B153" s="11" t="str">
        <f>VLOOKUP($A153, '26 ADP Data'!$C$3:$R$298, 2, FALSE)</f>
        <v>NYJ</v>
      </c>
      <c r="C153" s="11" t="str">
        <f>VLOOKUP($A153, '26 ADP Data'!$C$3:$R$298, 16, FALSE)</f>
        <v>TE</v>
      </c>
      <c r="D153" s="11"/>
      <c r="E153" s="11"/>
      <c r="F153" s="11"/>
      <c r="G153" s="11"/>
      <c r="H153" s="11"/>
      <c r="I153" s="11">
        <f>VLOOKUP($A153, '26 ADP Data'!$C$3:$Q$298, 13, FALSE)</f>
        <v>178</v>
      </c>
      <c r="J153" s="11">
        <f>VLOOKUP($A153, '26 ADP Data'!$C$3:$Q$298, 10, FALSE)</f>
        <v>195</v>
      </c>
      <c r="K153" s="11">
        <v>181</v>
      </c>
    </row>
    <row r="154" spans="1:11" ht="14.25" hidden="1" customHeight="1" x14ac:dyDescent="0.25">
      <c r="A154" s="11" t="s">
        <v>411</v>
      </c>
      <c r="B154" s="11" t="str">
        <f>VLOOKUP($A154, '26 ADP Data'!$C$3:$R$298, 2, FALSE)</f>
        <v>HOU</v>
      </c>
      <c r="C154" s="11" t="str">
        <f>VLOOKUP($A154, '26 ADP Data'!$C$3:$R$298, 16, FALSE)</f>
        <v>QB</v>
      </c>
      <c r="D154" s="11"/>
      <c r="E154" s="11"/>
      <c r="F154" s="11"/>
      <c r="G154" s="11"/>
      <c r="H154" s="11"/>
      <c r="I154" s="11">
        <f>VLOOKUP($A154, '26 ADP Data'!$C$3:$Q$298, 13, FALSE)</f>
        <v>146</v>
      </c>
      <c r="J154" s="11">
        <f>VLOOKUP($A154, '26 ADP Data'!$C$3:$Q$298, 10, FALSE)</f>
        <v>175</v>
      </c>
      <c r="K154" s="11">
        <v>156</v>
      </c>
    </row>
    <row r="155" spans="1:11" ht="14.25" hidden="1" customHeight="1" x14ac:dyDescent="0.25">
      <c r="A155" s="11" t="s">
        <v>422</v>
      </c>
      <c r="B155" s="11" t="str">
        <f>VLOOKUP($A155, '26 ADP Data'!$C$3:$R$298, 2, FALSE)</f>
        <v>MIN</v>
      </c>
      <c r="C155" s="11" t="str">
        <f>VLOOKUP($A155, '26 ADP Data'!$C$3:$R$298, 16, FALSE)</f>
        <v>TE</v>
      </c>
      <c r="D155" s="11"/>
      <c r="E155" s="11"/>
      <c r="F155" s="11"/>
      <c r="G155" s="11"/>
      <c r="H155" s="11"/>
      <c r="I155" s="11">
        <f>VLOOKUP($A155, '26 ADP Data'!$C$3:$Q$298, 13, FALSE)</f>
        <v>168</v>
      </c>
      <c r="J155" s="11">
        <f>VLOOKUP($A155, '26 ADP Data'!$C$3:$Q$298, 10, FALSE)</f>
        <v>215</v>
      </c>
      <c r="K155" s="11">
        <v>193</v>
      </c>
    </row>
    <row r="156" spans="1:11" ht="14.25" hidden="1" customHeight="1" x14ac:dyDescent="0.25">
      <c r="A156" s="11" t="s">
        <v>366</v>
      </c>
      <c r="B156" s="11" t="str">
        <f>VLOOKUP($A156, '26 ADP Data'!$C$3:$R$298, 2, FALSE)</f>
        <v>BUF</v>
      </c>
      <c r="C156" s="11" t="str">
        <f>VLOOKUP($A156, '26 ADP Data'!$C$3:$R$298, 16, FALSE)</f>
        <v>WR</v>
      </c>
      <c r="D156" s="11"/>
      <c r="E156" s="11"/>
      <c r="F156" s="11" t="s">
        <v>782</v>
      </c>
      <c r="G156" s="11">
        <v>62</v>
      </c>
      <c r="H156" s="11"/>
      <c r="I156" s="11">
        <f>VLOOKUP($A156, '26 ADP Data'!$C$3:$Q$298, 13, FALSE)</f>
        <v>131</v>
      </c>
      <c r="J156" s="11">
        <f>VLOOKUP($A156, '26 ADP Data'!$C$3:$Q$298, 10, FALSE)</f>
        <v>139</v>
      </c>
      <c r="K156" s="11">
        <v>136</v>
      </c>
    </row>
    <row r="157" spans="1:11" ht="14.25" hidden="1" customHeight="1" x14ac:dyDescent="0.25">
      <c r="A157" s="11" t="s">
        <v>403</v>
      </c>
      <c r="B157" s="11" t="str">
        <f>VLOOKUP($A157, '26 ADP Data'!$C$3:$R$298, 2, FALSE)</f>
        <v>IND</v>
      </c>
      <c r="C157" s="11" t="str">
        <f>VLOOKUP($A157, '26 ADP Data'!$C$3:$R$298, 16, FALSE)</f>
        <v>QB</v>
      </c>
      <c r="D157" s="11"/>
      <c r="E157" s="11"/>
      <c r="F157" s="11"/>
      <c r="G157" s="11"/>
      <c r="H157" s="11"/>
      <c r="I157" s="11">
        <f>VLOOKUP($A157, '26 ADP Data'!$C$3:$Q$298, 13, FALSE)</f>
        <v>144</v>
      </c>
      <c r="J157" s="11">
        <f>VLOOKUP($A157, '26 ADP Data'!$C$3:$Q$298, 10, FALSE)</f>
        <v>167</v>
      </c>
      <c r="K157" s="11">
        <v>171</v>
      </c>
    </row>
    <row r="158" spans="1:11" ht="14.25" hidden="1" customHeight="1" x14ac:dyDescent="0.25">
      <c r="A158" s="11" t="s">
        <v>478</v>
      </c>
      <c r="B158" s="11" t="str">
        <f>VLOOKUP($A158, '26 ADP Data'!$C$3:$R$298, 2, FALSE)</f>
        <v>TEN</v>
      </c>
      <c r="C158" s="11" t="str">
        <f>VLOOKUP($A158, '26 ADP Data'!$C$3:$R$298, 16, FALSE)</f>
        <v>WR</v>
      </c>
      <c r="D158" s="11"/>
      <c r="E158" s="11"/>
      <c r="F158" s="11" t="s">
        <v>782</v>
      </c>
      <c r="G158" s="11">
        <v>63</v>
      </c>
      <c r="H158" s="11"/>
      <c r="I158" s="11">
        <f>VLOOKUP($A158, '26 ADP Data'!$C$3:$Q$298, 13, FALSE)</f>
        <v>203</v>
      </c>
      <c r="J158" s="11" t="str">
        <f>VLOOKUP($A158, '26 ADP Data'!$C$3:$Q$298, 10, FALSE)</f>
        <v>-</v>
      </c>
      <c r="K158" s="11">
        <v>204</v>
      </c>
    </row>
    <row r="159" spans="1:11" ht="14.25" hidden="1" customHeight="1" x14ac:dyDescent="0.25">
      <c r="A159" s="11" t="s">
        <v>660</v>
      </c>
      <c r="B159" s="11" t="str">
        <f>VLOOKUP($A159, '26 ADP Data'!$C$3:$R$298, 2, FALSE)</f>
        <v>LV</v>
      </c>
      <c r="C159" s="11" t="str">
        <f>VLOOKUP($A159, '26 ADP Data'!$C$3:$R$298, 16, FALSE)</f>
        <v>WR</v>
      </c>
      <c r="D159" s="11"/>
      <c r="E159" s="11"/>
      <c r="F159" s="11" t="s">
        <v>782</v>
      </c>
      <c r="G159" s="11">
        <v>64</v>
      </c>
      <c r="H159" s="11" t="s">
        <v>607</v>
      </c>
      <c r="I159" s="11">
        <f>VLOOKUP($A159, '26 ADP Data'!$C$3:$Q$298, 13, FALSE)</f>
        <v>246</v>
      </c>
      <c r="J159" s="11">
        <f>VLOOKUP($A159, '26 ADP Data'!$C$3:$Q$298, 10, FALSE)</f>
        <v>236</v>
      </c>
      <c r="K159" s="11">
        <v>211</v>
      </c>
    </row>
    <row r="160" spans="1:11" ht="14.25" customHeight="1" x14ac:dyDescent="0.25">
      <c r="A160" s="11" t="s">
        <v>413</v>
      </c>
      <c r="B160" s="11" t="str">
        <f>VLOOKUP($A160, '26 ADP Data'!$C$3:$R$298, 2, FALSE)</f>
        <v>ATL</v>
      </c>
      <c r="C160" s="11" t="str">
        <f>VLOOKUP($A160, '26 ADP Data'!$C$3:$R$298, 16, FALSE)</f>
        <v>RB</v>
      </c>
      <c r="D160" s="11"/>
      <c r="E160" s="11" t="s">
        <v>148</v>
      </c>
      <c r="F160" s="11" t="s">
        <v>776</v>
      </c>
      <c r="G160" s="11">
        <v>49</v>
      </c>
      <c r="H160" s="11"/>
      <c r="I160" s="11">
        <f>VLOOKUP($A160, '26 ADP Data'!$C$3:$Q$298, 13, FALSE)</f>
        <v>180</v>
      </c>
      <c r="J160" s="11">
        <f>VLOOKUP($A160, '26 ADP Data'!$C$3:$Q$298, 10, FALSE)</f>
        <v>162</v>
      </c>
      <c r="K160" s="11">
        <v>147</v>
      </c>
    </row>
    <row r="161" spans="1:11" ht="14.25" customHeight="1" x14ac:dyDescent="0.25">
      <c r="A161" s="11" t="s">
        <v>381</v>
      </c>
      <c r="B161" s="11" t="str">
        <f>VLOOKUP($A161, '26 ADP Data'!$C$3:$R$298, 2, FALSE)</f>
        <v>TEN</v>
      </c>
      <c r="C161" s="11" t="str">
        <f>VLOOKUP($A161, '26 ADP Data'!$C$3:$R$298, 16, FALSE)</f>
        <v>RB</v>
      </c>
      <c r="D161" s="11"/>
      <c r="E161" s="11"/>
      <c r="F161" s="11" t="s">
        <v>776</v>
      </c>
      <c r="G161" s="11">
        <v>50</v>
      </c>
      <c r="H161" s="11"/>
      <c r="I161" s="11">
        <f>VLOOKUP($A161, '26 ADP Data'!$C$3:$Q$298, 13, FALSE)</f>
        <v>153</v>
      </c>
      <c r="J161" s="11">
        <f>VLOOKUP($A161, '26 ADP Data'!$C$3:$Q$298, 10, FALSE)</f>
        <v>140</v>
      </c>
      <c r="K161" s="11">
        <v>142</v>
      </c>
    </row>
    <row r="162" spans="1:11" ht="14.25" hidden="1" customHeight="1" x14ac:dyDescent="0.25">
      <c r="A162" s="11" t="s">
        <v>460</v>
      </c>
      <c r="B162" s="11" t="str">
        <f>VLOOKUP($A162, '26 ADP Data'!$C$3:$R$298, 2, FALSE)</f>
        <v>TEN</v>
      </c>
      <c r="C162" s="11" t="str">
        <f>VLOOKUP($A162, '26 ADP Data'!$C$3:$R$298, 16, FALSE)</f>
        <v>QB</v>
      </c>
      <c r="D162" s="11"/>
      <c r="E162" s="11"/>
      <c r="F162" s="11"/>
      <c r="G162" s="11"/>
      <c r="H162" s="11"/>
      <c r="I162" s="11">
        <f>VLOOKUP($A162, '26 ADP Data'!$C$3:$Q$298, 13, FALSE)</f>
        <v>161</v>
      </c>
      <c r="J162" s="11">
        <f>VLOOKUP($A162, '26 ADP Data'!$C$3:$Q$298, 10, FALSE)</f>
        <v>185</v>
      </c>
      <c r="K162" s="11">
        <v>174</v>
      </c>
    </row>
    <row r="163" spans="1:11" ht="14.25" hidden="1" customHeight="1" x14ac:dyDescent="0.25">
      <c r="A163" s="11" t="s">
        <v>534</v>
      </c>
      <c r="B163" s="11" t="str">
        <f>VLOOKUP($A163, '26 ADP Data'!$C$3:$R$298, 2, FALSE)</f>
        <v>NYG</v>
      </c>
      <c r="C163" s="11" t="str">
        <f>VLOOKUP($A163, '26 ADP Data'!$C$3:$R$298, 16, FALSE)</f>
        <v>WR</v>
      </c>
      <c r="D163" s="11"/>
      <c r="E163" s="11" t="s">
        <v>148</v>
      </c>
      <c r="F163" s="11" t="s">
        <v>782</v>
      </c>
      <c r="G163" s="11">
        <v>65</v>
      </c>
      <c r="H163" s="11" t="s">
        <v>789</v>
      </c>
      <c r="I163" s="11">
        <f>VLOOKUP($A163, '26 ADP Data'!$C$3:$Q$298, 13, FALSE)</f>
        <v>187</v>
      </c>
      <c r="J163" s="11">
        <f>VLOOKUP($A163, '26 ADP Data'!$C$3:$Q$298, 10, FALSE)</f>
        <v>225</v>
      </c>
      <c r="K163" s="11" t="s">
        <v>678</v>
      </c>
    </row>
    <row r="164" spans="1:11" ht="14.25" hidden="1" customHeight="1" x14ac:dyDescent="0.25">
      <c r="A164" s="11" t="s">
        <v>431</v>
      </c>
      <c r="B164" s="11" t="str">
        <f>VLOOKUP($A164, '26 ADP Data'!$C$3:$R$298, 2, FALSE)</f>
        <v>SEA</v>
      </c>
      <c r="C164" s="11" t="str">
        <f>VLOOKUP($A164, '26 ADP Data'!$C$3:$R$298, 16, FALSE)</f>
        <v>QB</v>
      </c>
      <c r="D164" s="11"/>
      <c r="E164" s="11"/>
      <c r="F164" s="11"/>
      <c r="G164" s="11"/>
      <c r="H164" s="11"/>
      <c r="I164" s="11">
        <f>VLOOKUP($A164, '26 ADP Data'!$C$3:$Q$298, 13, FALSE)</f>
        <v>143</v>
      </c>
      <c r="J164" s="11">
        <f>VLOOKUP($A164, '26 ADP Data'!$C$3:$Q$298, 10, FALSE)</f>
        <v>156</v>
      </c>
      <c r="K164" s="11">
        <v>163</v>
      </c>
    </row>
    <row r="165" spans="1:11" ht="14.25" hidden="1" customHeight="1" x14ac:dyDescent="0.25">
      <c r="A165" s="11" t="s">
        <v>405</v>
      </c>
      <c r="B165" s="11" t="str">
        <f>VLOOKUP($A165, '26 ADP Data'!$C$3:$R$298, 2, FALSE)</f>
        <v>HOU</v>
      </c>
      <c r="C165" s="11" t="str">
        <f>VLOOKUP($A165, '26 ADP Data'!$C$3:$R$298, 16, FALSE)</f>
        <v>TE</v>
      </c>
      <c r="D165" s="11"/>
      <c r="E165" s="11"/>
      <c r="F165" s="11"/>
      <c r="G165" s="11"/>
      <c r="H165" s="11"/>
      <c r="I165" s="11">
        <f>VLOOKUP($A165, '26 ADP Data'!$C$3:$Q$298, 13, FALSE)</f>
        <v>160</v>
      </c>
      <c r="J165" s="11">
        <f>VLOOKUP($A165, '26 ADP Data'!$C$3:$Q$298, 10, FALSE)</f>
        <v>149</v>
      </c>
      <c r="K165" s="11">
        <v>201</v>
      </c>
    </row>
    <row r="166" spans="1:11" ht="14.25" hidden="1" customHeight="1" x14ac:dyDescent="0.25">
      <c r="A166" s="11" t="s">
        <v>539</v>
      </c>
      <c r="B166" s="11" t="str">
        <f>VLOOKUP($A166, '26 ADP Data'!$C$3:$R$298, 2, FALSE)</f>
        <v>ATL</v>
      </c>
      <c r="C166" s="11" t="str">
        <f>VLOOKUP($A166, '26 ADP Data'!$C$3:$R$298, 16, FALSE)</f>
        <v>WR</v>
      </c>
      <c r="D166" s="11"/>
      <c r="E166" s="11" t="s">
        <v>148</v>
      </c>
      <c r="F166" s="11" t="s">
        <v>782</v>
      </c>
      <c r="G166" s="11">
        <v>66</v>
      </c>
      <c r="H166" s="11" t="s">
        <v>790</v>
      </c>
      <c r="I166" s="11">
        <f>VLOOKUP($A166, '26 ADP Data'!$C$3:$Q$298, 13, FALSE)</f>
        <v>201</v>
      </c>
      <c r="J166" s="11">
        <f>VLOOKUP($A166, '26 ADP Data'!$C$3:$Q$298, 10, FALSE)</f>
        <v>212</v>
      </c>
      <c r="K166" s="11" t="s">
        <v>678</v>
      </c>
    </row>
    <row r="167" spans="1:11" ht="14.25" hidden="1" customHeight="1" x14ac:dyDescent="0.25">
      <c r="A167" s="11" t="s">
        <v>467</v>
      </c>
      <c r="B167" s="11" t="str">
        <f>VLOOKUP($A167, '26 ADP Data'!$C$3:$R$298, 2, FALSE)</f>
        <v>CAR</v>
      </c>
      <c r="C167" s="11" t="str">
        <f>VLOOKUP($A167, '26 ADP Data'!$C$3:$R$298, 16, FALSE)</f>
        <v>QB</v>
      </c>
      <c r="D167" s="11"/>
      <c r="E167" s="11"/>
      <c r="F167" s="11"/>
      <c r="G167" s="11"/>
      <c r="H167" s="11"/>
      <c r="I167" s="11">
        <f>VLOOKUP($A167, '26 ADP Data'!$C$3:$Q$298, 13, FALSE)</f>
        <v>166</v>
      </c>
      <c r="J167" s="11">
        <f>VLOOKUP($A167, '26 ADP Data'!$C$3:$Q$298, 10, FALSE)</f>
        <v>182</v>
      </c>
      <c r="K167" s="11">
        <v>162</v>
      </c>
    </row>
    <row r="168" spans="1:11" ht="14.25" hidden="1" customHeight="1" x14ac:dyDescent="0.25">
      <c r="A168" s="11" t="s">
        <v>584</v>
      </c>
      <c r="B168" s="11" t="str">
        <f>VLOOKUP($A168, '26 ADP Data'!$C$3:$R$298, 2, FALSE)</f>
        <v>MIA</v>
      </c>
      <c r="C168" s="11" t="str">
        <f>VLOOKUP($A168, '26 ADP Data'!$C$3:$R$298, 16, FALSE)</f>
        <v>WR</v>
      </c>
      <c r="D168" s="11"/>
      <c r="E168" s="11"/>
      <c r="F168" s="11" t="s">
        <v>782</v>
      </c>
      <c r="G168" s="11">
        <v>67</v>
      </c>
      <c r="H168" s="11" t="s">
        <v>791</v>
      </c>
      <c r="I168" s="11">
        <f>VLOOKUP($A168, '26 ADP Data'!$C$3:$Q$298, 13, FALSE)</f>
        <v>193</v>
      </c>
      <c r="J168" s="11">
        <f>VLOOKUP($A168, '26 ADP Data'!$C$3:$Q$298, 10, FALSE)</f>
        <v>206</v>
      </c>
      <c r="K168" s="11">
        <v>207</v>
      </c>
    </row>
    <row r="169" spans="1:11" ht="14.25" hidden="1" customHeight="1" x14ac:dyDescent="0.25">
      <c r="A169" s="11" t="s">
        <v>426</v>
      </c>
      <c r="B169" s="11" t="str">
        <f>VLOOKUP($A169, '26 ADP Data'!$C$3:$R$298, 2, FALSE)</f>
        <v>SEA</v>
      </c>
      <c r="C169" s="11" t="str">
        <f>VLOOKUP($A169, '26 ADP Data'!$C$3:$R$298, 16, FALSE)</f>
        <v>TE</v>
      </c>
      <c r="D169" s="11"/>
      <c r="E169" s="11"/>
      <c r="F169" s="11"/>
      <c r="G169" s="11"/>
      <c r="H169" s="11"/>
      <c r="I169" s="11">
        <f>VLOOKUP($A169, '26 ADP Data'!$C$3:$Q$298, 13, FALSE)</f>
        <v>174</v>
      </c>
      <c r="J169" s="11">
        <f>VLOOKUP($A169, '26 ADP Data'!$C$3:$Q$298, 10, FALSE)</f>
        <v>183</v>
      </c>
      <c r="K169" s="11">
        <v>234</v>
      </c>
    </row>
    <row r="170" spans="1:11" ht="14.25" hidden="1" customHeight="1" x14ac:dyDescent="0.25">
      <c r="A170" s="11" t="s">
        <v>553</v>
      </c>
      <c r="B170" s="11" t="str">
        <f>VLOOKUP($A170, '26 ADP Data'!$C$3:$R$298, 2, FALSE)</f>
        <v>WAS</v>
      </c>
      <c r="C170" s="11" t="str">
        <f>VLOOKUP($A170, '26 ADP Data'!$C$3:$R$298, 16, FALSE)</f>
        <v>WR</v>
      </c>
      <c r="D170" s="11"/>
      <c r="E170" s="11" t="s">
        <v>148</v>
      </c>
      <c r="F170" s="11" t="s">
        <v>782</v>
      </c>
      <c r="G170" s="11">
        <v>68</v>
      </c>
      <c r="H170" s="11" t="s">
        <v>792</v>
      </c>
      <c r="I170" s="11">
        <f>VLOOKUP($A170, '26 ADP Data'!$C$3:$Q$298, 13, FALSE)</f>
        <v>226</v>
      </c>
      <c r="J170" s="11">
        <f>VLOOKUP($A170, '26 ADP Data'!$C$3:$Q$298, 10, FALSE)</f>
        <v>238</v>
      </c>
      <c r="K170" s="11">
        <v>179</v>
      </c>
    </row>
    <row r="171" spans="1:11" ht="14.25" hidden="1" customHeight="1" x14ac:dyDescent="0.25">
      <c r="A171" s="11" t="s">
        <v>440</v>
      </c>
      <c r="B171" s="11" t="str">
        <f>VLOOKUP($A171, '26 ADP Data'!$C$3:$R$298, 2, FALSE)</f>
        <v>LAR</v>
      </c>
      <c r="C171" s="11" t="str">
        <f>VLOOKUP($A171, '26 ADP Data'!$C$3:$R$298, 16, FALSE)</f>
        <v>TE</v>
      </c>
      <c r="D171" s="11"/>
      <c r="E171" s="11"/>
      <c r="F171" s="11"/>
      <c r="G171" s="11"/>
      <c r="H171" s="11"/>
      <c r="I171" s="11">
        <f>VLOOKUP($A171, '26 ADP Data'!$C$3:$Q$298, 13, FALSE)</f>
        <v>156</v>
      </c>
      <c r="J171" s="11">
        <f>VLOOKUP($A171, '26 ADP Data'!$C$3:$Q$298, 10, FALSE)</f>
        <v>151</v>
      </c>
      <c r="K171" s="11">
        <v>192</v>
      </c>
    </row>
    <row r="172" spans="1:11" ht="14.25" hidden="1" customHeight="1" x14ac:dyDescent="0.25">
      <c r="A172" s="11" t="s">
        <v>482</v>
      </c>
      <c r="B172" s="11" t="str">
        <f>VLOOKUP($A172, '26 ADP Data'!$C$3:$R$298, 2, FALSE)</f>
        <v>LV</v>
      </c>
      <c r="C172" s="11" t="str">
        <f>VLOOKUP($A172, '26 ADP Data'!$C$3:$R$298, 16, FALSE)</f>
        <v>QB</v>
      </c>
      <c r="D172" s="11"/>
      <c r="E172" s="11"/>
      <c r="F172" s="11"/>
      <c r="G172" s="11"/>
      <c r="H172" s="11"/>
      <c r="I172" s="11">
        <f>VLOOKUP($A172, '26 ADP Data'!$C$3:$Q$298, 13, FALSE)</f>
        <v>191</v>
      </c>
      <c r="J172" s="11">
        <f>VLOOKUP($A172, '26 ADP Data'!$C$3:$Q$298, 10, FALSE)</f>
        <v>214</v>
      </c>
      <c r="K172" s="11">
        <v>240</v>
      </c>
    </row>
    <row r="173" spans="1:11" ht="14.25" customHeight="1" x14ac:dyDescent="0.25">
      <c r="A173" s="11" t="s">
        <v>399</v>
      </c>
      <c r="B173" s="11" t="str">
        <f>VLOOKUP($A173, '26 ADP Data'!$C$3:$R$298, 2, FALSE)</f>
        <v>PHI</v>
      </c>
      <c r="C173" s="11" t="str">
        <f>VLOOKUP($A173, '26 ADP Data'!$C$3:$R$298, 16, FALSE)</f>
        <v>RB</v>
      </c>
      <c r="D173" s="11"/>
      <c r="E173" s="11"/>
      <c r="F173" s="11" t="s">
        <v>776</v>
      </c>
      <c r="G173" s="11">
        <v>51</v>
      </c>
      <c r="H173" s="11"/>
      <c r="I173" s="11">
        <f>VLOOKUP($A173, '26 ADP Data'!$C$3:$Q$298, 13, FALSE)</f>
        <v>151</v>
      </c>
      <c r="J173" s="11">
        <f>VLOOKUP($A173, '26 ADP Data'!$C$3:$Q$298, 10, FALSE)</f>
        <v>138</v>
      </c>
      <c r="K173" s="11">
        <v>159</v>
      </c>
    </row>
    <row r="174" spans="1:11" ht="14.25" customHeight="1" x14ac:dyDescent="0.25">
      <c r="A174" s="11" t="s">
        <v>384</v>
      </c>
      <c r="B174" s="11" t="str">
        <f>VLOOKUP($A174, '26 ADP Data'!$C$3:$R$298, 2, FALSE)</f>
        <v>LAC</v>
      </c>
      <c r="C174" s="11" t="str">
        <f>VLOOKUP($A174, '26 ADP Data'!$C$3:$R$298, 16, FALSE)</f>
        <v>RB</v>
      </c>
      <c r="D174" s="11"/>
      <c r="E174" s="11"/>
      <c r="F174" s="11" t="s">
        <v>776</v>
      </c>
      <c r="G174" s="11">
        <v>52</v>
      </c>
      <c r="H174" s="11"/>
      <c r="I174" s="11">
        <f>VLOOKUP($A174, '26 ADP Data'!$C$3:$Q$298, 13, FALSE)</f>
        <v>130</v>
      </c>
      <c r="J174" s="11">
        <f>VLOOKUP($A174, '26 ADP Data'!$C$3:$Q$298, 10, FALSE)</f>
        <v>124</v>
      </c>
      <c r="K174" s="11">
        <v>141</v>
      </c>
    </row>
    <row r="175" spans="1:11" ht="14.25" hidden="1" customHeight="1" x14ac:dyDescent="0.25">
      <c r="A175" s="11" t="s">
        <v>480</v>
      </c>
      <c r="B175" s="11" t="str">
        <f>VLOOKUP($A175, '26 ADP Data'!$C$3:$R$298, 2, FALSE)</f>
        <v>PIT</v>
      </c>
      <c r="C175" s="11" t="str">
        <f>VLOOKUP($A175, '26 ADP Data'!$C$3:$R$298, 16, FALSE)</f>
        <v>QB</v>
      </c>
      <c r="D175" s="11"/>
      <c r="E175" s="11"/>
      <c r="F175" s="11"/>
      <c r="G175" s="11"/>
      <c r="H175" s="11"/>
      <c r="I175" s="11">
        <f>VLOOKUP($A175, '26 ADP Data'!$C$3:$Q$298, 13, FALSE)</f>
        <v>181</v>
      </c>
      <c r="J175" s="11">
        <f>VLOOKUP($A175, '26 ADP Data'!$C$3:$Q$298, 10, FALSE)</f>
        <v>249</v>
      </c>
      <c r="K175" s="11">
        <v>248</v>
      </c>
    </row>
    <row r="176" spans="1:11" ht="14.25" hidden="1" customHeight="1" x14ac:dyDescent="0.25">
      <c r="A176" s="11" t="s">
        <v>549</v>
      </c>
      <c r="B176" s="11" t="str">
        <f>VLOOKUP($A176, '26 ADP Data'!$C$3:$R$298, 2, FALSE)</f>
        <v>TB</v>
      </c>
      <c r="C176" s="11" t="str">
        <f>VLOOKUP($A176, '26 ADP Data'!$C$3:$R$298, 16, FALSE)</f>
        <v>WR</v>
      </c>
      <c r="D176" s="11"/>
      <c r="E176" s="11"/>
      <c r="F176" s="11" t="s">
        <v>782</v>
      </c>
      <c r="G176" s="11">
        <v>69</v>
      </c>
      <c r="H176" s="11" t="s">
        <v>793</v>
      </c>
      <c r="I176" s="11">
        <f>VLOOKUP($A176, '26 ADP Data'!$C$3:$Q$298, 13, FALSE)</f>
        <v>197</v>
      </c>
      <c r="J176" s="11">
        <f>VLOOKUP($A176, '26 ADP Data'!$C$3:$Q$298, 10, FALSE)</f>
        <v>241</v>
      </c>
      <c r="K176" s="11" t="s">
        <v>678</v>
      </c>
    </row>
    <row r="177" spans="1:11" ht="14.25" customHeight="1" x14ac:dyDescent="0.25">
      <c r="A177" s="11" t="s">
        <v>452</v>
      </c>
      <c r="B177" s="11" t="str">
        <f>VLOOKUP($A177, '26 ADP Data'!$C$3:$R$298, 2, FALSE)</f>
        <v>SF</v>
      </c>
      <c r="C177" s="11" t="str">
        <f>VLOOKUP($A177, '26 ADP Data'!$C$3:$R$298, 16, FALSE)</f>
        <v>RB</v>
      </c>
      <c r="D177" s="11"/>
      <c r="E177" s="11"/>
      <c r="F177" s="11" t="s">
        <v>776</v>
      </c>
      <c r="G177" s="11">
        <v>53</v>
      </c>
      <c r="H177" s="11" t="s">
        <v>794</v>
      </c>
      <c r="I177" s="11">
        <f>VLOOKUP($A177, '26 ADP Data'!$C$3:$Q$298, 13, FALSE)</f>
        <v>184</v>
      </c>
      <c r="J177" s="11">
        <f>VLOOKUP($A177, '26 ADP Data'!$C$3:$Q$298, 10, FALSE)</f>
        <v>169</v>
      </c>
      <c r="K177" s="11">
        <v>215</v>
      </c>
    </row>
    <row r="178" spans="1:11" ht="14.25" hidden="1" customHeight="1" x14ac:dyDescent="0.25">
      <c r="A178" s="11" t="s">
        <v>458</v>
      </c>
      <c r="B178" s="11" t="str">
        <f>VLOOKUP($A178, '26 ADP Data'!$C$3:$R$298, 2, FALSE)</f>
        <v>MIN</v>
      </c>
      <c r="C178" s="11" t="str">
        <f>VLOOKUP($A178, '26 ADP Data'!$C$3:$R$298, 16, FALSE)</f>
        <v>WR</v>
      </c>
      <c r="D178" s="11"/>
      <c r="E178" s="11"/>
      <c r="F178" s="11" t="s">
        <v>782</v>
      </c>
      <c r="G178" s="11">
        <v>70</v>
      </c>
      <c r="H178" s="11"/>
      <c r="I178" s="11">
        <f>VLOOKUP($A178, '26 ADP Data'!$C$3:$Q$298, 13, FALSE)</f>
        <v>176</v>
      </c>
      <c r="J178" s="11">
        <f>VLOOKUP($A178, '26 ADP Data'!$C$3:$Q$298, 10, FALSE)</f>
        <v>207</v>
      </c>
      <c r="K178" s="11">
        <v>165</v>
      </c>
    </row>
    <row r="179" spans="1:11" ht="14.25" customHeight="1" x14ac:dyDescent="0.25">
      <c r="A179" s="11" t="s">
        <v>562</v>
      </c>
      <c r="B179" s="11" t="str">
        <f>VLOOKUP($A179, '26 ADP Data'!$C$3:$R$298, 2, FALSE)</f>
        <v>ARI</v>
      </c>
      <c r="C179" s="11" t="str">
        <f>VLOOKUP($A179, '26 ADP Data'!$C$3:$R$298, 16, FALSE)</f>
        <v>RB</v>
      </c>
      <c r="D179" s="11"/>
      <c r="E179" s="11"/>
      <c r="F179" s="11"/>
      <c r="G179" s="11"/>
      <c r="H179" s="11"/>
      <c r="I179" s="11">
        <f>VLOOKUP($A179, '26 ADP Data'!$C$3:$Q$298, 13, FALSE)</f>
        <v>248</v>
      </c>
      <c r="J179" s="11" t="str">
        <f>VLOOKUP($A179, '26 ADP Data'!$C$3:$Q$298, 10, FALSE)</f>
        <v>-</v>
      </c>
      <c r="K179" s="11">
        <v>150</v>
      </c>
    </row>
    <row r="180" spans="1:11" ht="14.25" customHeight="1" x14ac:dyDescent="0.25">
      <c r="A180" s="11" t="s">
        <v>424</v>
      </c>
      <c r="B180" s="11" t="str">
        <f>VLOOKUP($A180, '26 ADP Data'!$C$3:$R$298, 2, FALSE)</f>
        <v>KC</v>
      </c>
      <c r="C180" s="11" t="str">
        <f>VLOOKUP($A180, '26 ADP Data'!$C$3:$R$298, 16, FALSE)</f>
        <v>RB</v>
      </c>
      <c r="D180" s="11"/>
      <c r="E180" s="11"/>
      <c r="F180" s="11"/>
      <c r="G180" s="11"/>
      <c r="H180" s="11" t="s">
        <v>795</v>
      </c>
      <c r="I180" s="11">
        <f>VLOOKUP($A180, '26 ADP Data'!$C$3:$Q$298, 13, FALSE)</f>
        <v>183</v>
      </c>
      <c r="J180" s="11">
        <f>VLOOKUP($A180, '26 ADP Data'!$C$3:$Q$298, 10, FALSE)</f>
        <v>157</v>
      </c>
      <c r="K180" s="11">
        <v>167</v>
      </c>
    </row>
    <row r="181" spans="1:11" ht="14.25" customHeight="1" x14ac:dyDescent="0.25">
      <c r="A181" s="11" t="s">
        <v>388</v>
      </c>
      <c r="B181" s="11" t="str">
        <f>VLOOKUP($A181, '26 ADP Data'!$C$3:$R$298, 2, FALSE)</f>
        <v>DEN</v>
      </c>
      <c r="C181" s="11" t="str">
        <f>VLOOKUP($A181, '26 ADP Data'!$C$3:$R$298, 16, FALSE)</f>
        <v>RB</v>
      </c>
      <c r="D181" s="11"/>
      <c r="E181" s="11" t="s">
        <v>148</v>
      </c>
      <c r="F181" s="11"/>
      <c r="G181" s="11"/>
      <c r="H181" s="11" t="s">
        <v>796</v>
      </c>
      <c r="I181" s="11">
        <f>VLOOKUP($A181, '26 ADP Data'!$C$3:$Q$298, 13, FALSE)</f>
        <v>141</v>
      </c>
      <c r="J181" s="11">
        <f>VLOOKUP($A181, '26 ADP Data'!$C$3:$Q$298, 10, FALSE)</f>
        <v>141</v>
      </c>
      <c r="K181" s="11">
        <v>140</v>
      </c>
    </row>
    <row r="182" spans="1:11" ht="14.25" hidden="1" customHeight="1" x14ac:dyDescent="0.25">
      <c r="A182" s="11" t="s">
        <v>456</v>
      </c>
      <c r="B182" s="11" t="str">
        <f>VLOOKUP($A182, '26 ADP Data'!$C$3:$R$298, 2, FALSE)</f>
        <v>JAX</v>
      </c>
      <c r="C182" s="11" t="str">
        <f>VLOOKUP($A182, '26 ADP Data'!$C$3:$R$298, 16, FALSE)</f>
        <v>WR</v>
      </c>
      <c r="D182" s="11"/>
      <c r="E182" s="11"/>
      <c r="F182" s="11" t="s">
        <v>782</v>
      </c>
      <c r="G182" s="11">
        <v>71</v>
      </c>
      <c r="H182" s="11"/>
      <c r="I182" s="11">
        <f>VLOOKUP($A182, '26 ADP Data'!$C$3:$Q$298, 13, FALSE)</f>
        <v>163</v>
      </c>
      <c r="J182" s="11">
        <f>VLOOKUP($A182, '26 ADP Data'!$C$3:$Q$298, 10, FALSE)</f>
        <v>187</v>
      </c>
      <c r="K182" s="11">
        <v>153</v>
      </c>
    </row>
    <row r="183" spans="1:11" ht="14.25" customHeight="1" x14ac:dyDescent="0.25">
      <c r="A183" s="11" t="s">
        <v>407</v>
      </c>
      <c r="B183" s="11" t="str">
        <f>VLOOKUP($A183, '26 ADP Data'!$C$3:$R$298, 2, FALSE)</f>
        <v>CLE</v>
      </c>
      <c r="C183" s="11" t="str">
        <f>VLOOKUP($A183, '26 ADP Data'!$C$3:$R$298, 16, FALSE)</f>
        <v>RB</v>
      </c>
      <c r="D183" s="11"/>
      <c r="E183" s="11"/>
      <c r="F183" s="11"/>
      <c r="G183" s="11"/>
      <c r="H183" s="11" t="s">
        <v>483</v>
      </c>
      <c r="I183" s="11">
        <f>VLOOKUP($A183, '26 ADP Data'!$C$3:$Q$298, 13, FALSE)</f>
        <v>169</v>
      </c>
      <c r="J183" s="11">
        <f>VLOOKUP($A183, '26 ADP Data'!$C$3:$Q$298, 10, FALSE)</f>
        <v>173</v>
      </c>
      <c r="K183" s="11">
        <v>146</v>
      </c>
    </row>
    <row r="184" spans="1:11" ht="14.25" hidden="1" customHeight="1" x14ac:dyDescent="0.25">
      <c r="A184" s="11" t="s">
        <v>656</v>
      </c>
      <c r="B184" s="11" t="str">
        <f>VLOOKUP($A184, '26 ADP Data'!$C$3:$R$298, 2, FALSE)</f>
        <v>NYJ</v>
      </c>
      <c r="C184" s="11" t="str">
        <f>VLOOKUP($A184, '26 ADP Data'!$C$3:$R$298, 16, FALSE)</f>
        <v>TE</v>
      </c>
      <c r="D184" s="11"/>
      <c r="E184" s="11"/>
      <c r="F184" s="11"/>
      <c r="G184" s="11"/>
      <c r="H184" s="11"/>
      <c r="I184" s="11">
        <f>VLOOKUP($A184, '26 ADP Data'!$C$3:$Q$298, 13, FALSE)</f>
        <v>245</v>
      </c>
      <c r="J184" s="11" t="str">
        <f>VLOOKUP($A184, '26 ADP Data'!$C$3:$Q$298, 10, FALSE)</f>
        <v>-</v>
      </c>
      <c r="K184" s="11">
        <v>235</v>
      </c>
    </row>
    <row r="185" spans="1:11" ht="14.25" hidden="1" customHeight="1" x14ac:dyDescent="0.25">
      <c r="A185" s="11" t="s">
        <v>454</v>
      </c>
      <c r="B185" s="11" t="str">
        <f>VLOOKUP($A185, '26 ADP Data'!$C$3:$R$298, 2, FALSE)</f>
        <v>HOU</v>
      </c>
      <c r="C185" s="11" t="str">
        <f>VLOOKUP($A185, '26 ADP Data'!$C$3:$R$298, 16, FALSE)</f>
        <v>WR</v>
      </c>
      <c r="D185" s="11"/>
      <c r="E185" s="11"/>
      <c r="F185" s="11" t="s">
        <v>782</v>
      </c>
      <c r="G185" s="11">
        <v>72</v>
      </c>
      <c r="H185" s="11"/>
      <c r="I185" s="11">
        <f>VLOOKUP($A185, '26 ADP Data'!$C$3:$Q$298, 13, FALSE)</f>
        <v>175</v>
      </c>
      <c r="J185" s="11">
        <f>VLOOKUP($A185, '26 ADP Data'!$C$3:$Q$298, 10, FALSE)</f>
        <v>177</v>
      </c>
      <c r="K185" s="11">
        <v>177</v>
      </c>
    </row>
    <row r="186" spans="1:11" ht="14.25" hidden="1" customHeight="1" x14ac:dyDescent="0.25">
      <c r="A186" s="11" t="s">
        <v>358</v>
      </c>
      <c r="B186" s="11" t="str">
        <f>VLOOKUP($A186, '26 ADP Data'!$C$3:$R$298, 2, FALSE)</f>
        <v>CAR</v>
      </c>
      <c r="C186" s="11" t="str">
        <f>VLOOKUP($A186, '26 ADP Data'!$C$3:$R$298, 16, FALSE)</f>
        <v>WR</v>
      </c>
      <c r="D186" s="11"/>
      <c r="E186" s="11"/>
      <c r="F186" s="11"/>
      <c r="G186" s="11">
        <v>73</v>
      </c>
      <c r="H186" s="11"/>
      <c r="I186" s="11">
        <f>VLOOKUP($A186, '26 ADP Data'!$C$3:$Q$298, 13, FALSE)</f>
        <v>129</v>
      </c>
      <c r="J186" s="11">
        <f>VLOOKUP($A186, '26 ADP Data'!$C$3:$Q$298, 10, FALSE)</f>
        <v>113</v>
      </c>
      <c r="K186" s="11">
        <v>127</v>
      </c>
    </row>
    <row r="187" spans="1:11" ht="14.25" hidden="1" customHeight="1" x14ac:dyDescent="0.25">
      <c r="A187" s="11" t="s">
        <v>302</v>
      </c>
      <c r="B187" s="11" t="str">
        <f>VLOOKUP($A187, '26 ADP Data'!$C$3:$R$298, 2, FALSE)</f>
        <v>TEN</v>
      </c>
      <c r="C187" s="11" t="str">
        <f>VLOOKUP($A187, '26 ADP Data'!$C$3:$R$298, 16, FALSE)</f>
        <v>WR</v>
      </c>
      <c r="D187" s="11"/>
      <c r="E187" s="11" t="s">
        <v>119</v>
      </c>
      <c r="F187" s="11"/>
      <c r="G187" s="11">
        <v>74</v>
      </c>
      <c r="H187" s="11"/>
      <c r="I187" s="11">
        <f>VLOOKUP($A187, '26 ADP Data'!$C$3:$Q$298, 13, FALSE)</f>
        <v>116</v>
      </c>
      <c r="J187" s="11">
        <f>VLOOKUP($A187, '26 ADP Data'!$C$3:$Q$298, 10, FALSE)</f>
        <v>109</v>
      </c>
      <c r="K187" s="11">
        <v>111</v>
      </c>
    </row>
    <row r="188" spans="1:11" ht="14.25" hidden="1" customHeight="1" x14ac:dyDescent="0.25">
      <c r="A188" s="11" t="s">
        <v>576</v>
      </c>
      <c r="B188" s="11" t="str">
        <f>VLOOKUP($A188, '26 ADP Data'!$C$3:$R$298, 2, FALSE)</f>
        <v>DEN</v>
      </c>
      <c r="C188" s="11" t="str">
        <f>VLOOKUP($A188, '26 ADP Data'!$C$3:$R$298, 16, FALSE)</f>
        <v>WR</v>
      </c>
      <c r="D188" s="11"/>
      <c r="E188" s="11"/>
      <c r="F188" s="11"/>
      <c r="G188" s="11">
        <v>75</v>
      </c>
      <c r="H188" s="11" t="s">
        <v>797</v>
      </c>
      <c r="I188" s="11">
        <f>VLOOKUP($A188, '26 ADP Data'!$C$3:$Q$298, 13, FALSE)</f>
        <v>171</v>
      </c>
      <c r="J188" s="11">
        <f>VLOOKUP($A188, '26 ADP Data'!$C$3:$Q$298, 10, FALSE)</f>
        <v>171</v>
      </c>
      <c r="K188" s="11">
        <v>222</v>
      </c>
    </row>
    <row r="189" spans="1:11" ht="14.25" customHeight="1" x14ac:dyDescent="0.25">
      <c r="A189" s="11" t="s">
        <v>446</v>
      </c>
      <c r="B189" s="11" t="str">
        <f>VLOOKUP($A189, '26 ADP Data'!$C$3:$R$298, 2, FALSE)</f>
        <v>NYJ</v>
      </c>
      <c r="C189" s="11" t="str">
        <f>VLOOKUP($A189, '26 ADP Data'!$C$3:$R$298, 16, FALSE)</f>
        <v>RB</v>
      </c>
      <c r="D189" s="11"/>
      <c r="E189" s="11"/>
      <c r="F189" s="11"/>
      <c r="G189" s="11"/>
      <c r="H189" s="11"/>
      <c r="I189" s="11">
        <f>VLOOKUP($A189, '26 ADP Data'!$C$3:$Q$298, 13, FALSE)</f>
        <v>179</v>
      </c>
      <c r="J189" s="11">
        <f>VLOOKUP($A189, '26 ADP Data'!$C$3:$Q$298, 10, FALSE)</f>
        <v>164</v>
      </c>
      <c r="K189" s="11">
        <v>145</v>
      </c>
    </row>
    <row r="190" spans="1:11" ht="14.25" hidden="1" customHeight="1" x14ac:dyDescent="0.25">
      <c r="A190" s="11" t="s">
        <v>686</v>
      </c>
      <c r="B190" s="11" t="str">
        <f>VLOOKUP($A190, '26 ADP Data'!$C$3:$R$298, 2, FALSE)</f>
        <v>HOU</v>
      </c>
      <c r="C190" s="11" t="str">
        <f>VLOOKUP($A190, '26 ADP Data'!$C$3:$R$298, 16, FALSE)</f>
        <v>WR</v>
      </c>
      <c r="D190" s="11"/>
      <c r="E190" s="11"/>
      <c r="F190" s="11" t="s">
        <v>722</v>
      </c>
      <c r="G190" s="11">
        <v>999</v>
      </c>
      <c r="H190" s="11" t="s">
        <v>607</v>
      </c>
      <c r="I190" s="11" t="str">
        <f>VLOOKUP($A190, '26 ADP Data'!$C$3:$Q$298, 13, FALSE)</f>
        <v>-</v>
      </c>
      <c r="J190" s="11" t="str">
        <f>VLOOKUP($A190, '26 ADP Data'!$C$3:$Q$298, 10, FALSE)</f>
        <v>-</v>
      </c>
      <c r="K190" s="11">
        <v>122</v>
      </c>
    </row>
    <row r="191" spans="1:11" ht="14.25" hidden="1" customHeight="1" x14ac:dyDescent="0.25">
      <c r="A191" s="11" t="s">
        <v>190</v>
      </c>
      <c r="B191" s="11" t="str">
        <f>VLOOKUP($A191, '26 ADP Data'!$C$3:$R$298, 2, FALSE)</f>
        <v>-</v>
      </c>
      <c r="C191" s="11" t="str">
        <f>VLOOKUP($A191, '26 ADP Data'!$C$3:$R$298, 16, FALSE)</f>
        <v>WR</v>
      </c>
      <c r="D191" s="11"/>
      <c r="E191" s="11"/>
      <c r="F191" s="11"/>
      <c r="G191" s="11">
        <v>999</v>
      </c>
      <c r="H191" s="11"/>
      <c r="I191" s="11">
        <f>VLOOKUP($A191, '26 ADP Data'!$C$3:$Q$298, 13, FALSE)</f>
        <v>244</v>
      </c>
      <c r="J191" s="11" t="str">
        <f>VLOOKUP($A191, '26 ADP Data'!$C$3:$Q$298, 10, FALSE)</f>
        <v>-</v>
      </c>
      <c r="K191" s="11">
        <v>188</v>
      </c>
    </row>
    <row r="192" spans="1:11" ht="14.25" customHeight="1" x14ac:dyDescent="0.25">
      <c r="A192" s="11" t="s">
        <v>506</v>
      </c>
      <c r="B192" s="11" t="str">
        <f>VLOOKUP($A192, '26 ADP Data'!$C$3:$R$298, 2, FALSE)</f>
        <v>BUF</v>
      </c>
      <c r="C192" s="11" t="str">
        <f>VLOOKUP($A192, '26 ADP Data'!$C$3:$R$298, 16, FALSE)</f>
        <v>RB</v>
      </c>
      <c r="D192" s="11"/>
      <c r="E192" s="11"/>
      <c r="F192" s="11"/>
      <c r="G192" s="11"/>
      <c r="H192" s="11"/>
      <c r="I192" s="11">
        <f>VLOOKUP($A192, '26 ADP Data'!$C$3:$Q$298, 13, FALSE)</f>
        <v>186</v>
      </c>
      <c r="J192" s="11">
        <f>VLOOKUP($A192, '26 ADP Data'!$C$3:$Q$298, 10, FALSE)</f>
        <v>159</v>
      </c>
      <c r="K192" s="11">
        <v>175</v>
      </c>
    </row>
    <row r="193" spans="1:11" ht="14.25" customHeight="1" x14ac:dyDescent="0.25">
      <c r="A193" s="11" t="s">
        <v>703</v>
      </c>
      <c r="B193" s="11" t="str">
        <f>VLOOKUP($A193, '26 ADP Data'!$C$3:$R$298, 2, FALSE)</f>
        <v>GB</v>
      </c>
      <c r="C193" s="11" t="str">
        <f>VLOOKUP($A193, '26 ADP Data'!$C$3:$R$298, 16, FALSE)</f>
        <v>RB</v>
      </c>
      <c r="D193" s="11"/>
      <c r="E193" s="11"/>
      <c r="F193" s="11"/>
      <c r="G193" s="11"/>
      <c r="H193" s="11"/>
      <c r="I193" s="11">
        <f>VLOOKUP($A193, '26 ADP Data'!$C$3:$Q$298, 13, FALSE)</f>
        <v>262</v>
      </c>
      <c r="J193" s="11">
        <f>VLOOKUP($A193, '26 ADP Data'!$C$3:$Q$298, 10, FALSE)</f>
        <v>244</v>
      </c>
      <c r="K193" s="11">
        <v>212</v>
      </c>
    </row>
    <row r="194" spans="1:11" ht="14.25" hidden="1" customHeight="1" x14ac:dyDescent="0.25">
      <c r="A194" s="11" t="s">
        <v>541</v>
      </c>
      <c r="B194" s="11" t="str">
        <f>VLOOKUP($A194, '26 ADP Data'!$C$3:$R$298, 2, FALSE)</f>
        <v>TEN</v>
      </c>
      <c r="C194" s="11" t="str">
        <f>VLOOKUP($A194, '26 ADP Data'!$C$3:$R$298, 16, FALSE)</f>
        <v>TE</v>
      </c>
      <c r="D194" s="11"/>
      <c r="E194" s="11"/>
      <c r="F194" s="11"/>
      <c r="G194" s="11"/>
      <c r="H194" s="11"/>
      <c r="I194" s="11">
        <f>VLOOKUP($A194, '26 ADP Data'!$C$3:$Q$298, 13, FALSE)</f>
        <v>199</v>
      </c>
      <c r="J194" s="11" t="str">
        <f>VLOOKUP($A194, '26 ADP Data'!$C$3:$Q$298, 10, FALSE)</f>
        <v>-</v>
      </c>
      <c r="K194" s="11" t="s">
        <v>678</v>
      </c>
    </row>
    <row r="195" spans="1:11" ht="14.25" customHeight="1" x14ac:dyDescent="0.25">
      <c r="A195" s="11" t="s">
        <v>521</v>
      </c>
      <c r="B195" s="11" t="str">
        <f>VLOOKUP($A195, '26 ADP Data'!$C$3:$R$298, 2, FALSE)</f>
        <v>PHI</v>
      </c>
      <c r="C195" s="11" t="str">
        <f>VLOOKUP($A195, '26 ADP Data'!$C$3:$R$298, 16, FALSE)</f>
        <v>RB</v>
      </c>
      <c r="D195" s="11"/>
      <c r="E195" s="11"/>
      <c r="F195" s="11"/>
      <c r="G195" s="11"/>
      <c r="H195" s="11" t="s">
        <v>798</v>
      </c>
      <c r="I195" s="11">
        <f>VLOOKUP($A195, '26 ADP Data'!$C$3:$Q$298, 13, FALSE)</f>
        <v>182</v>
      </c>
      <c r="J195" s="11" t="str">
        <f>VLOOKUP($A195, '26 ADP Data'!$C$3:$Q$298, 10, FALSE)</f>
        <v>-</v>
      </c>
      <c r="K195" s="11">
        <v>210</v>
      </c>
    </row>
    <row r="196" spans="1:11" ht="14.25" customHeight="1" x14ac:dyDescent="0.25">
      <c r="A196" s="11" t="s">
        <v>558</v>
      </c>
      <c r="B196" s="11" t="str">
        <f>VLOOKUP($A196, '26 ADP Data'!$C$3:$R$298, 2, FALSE)</f>
        <v>TB</v>
      </c>
      <c r="C196" s="11" t="str">
        <f>VLOOKUP($A196, '26 ADP Data'!$C$3:$R$298, 16, FALSE)</f>
        <v>RB</v>
      </c>
      <c r="D196" s="11"/>
      <c r="E196" s="11"/>
      <c r="F196" s="11"/>
      <c r="G196" s="11"/>
      <c r="H196" s="11"/>
      <c r="I196" s="11">
        <f>VLOOKUP($A196, '26 ADP Data'!$C$3:$Q$298, 13, FALSE)</f>
        <v>218</v>
      </c>
      <c r="J196" s="11" t="str">
        <f>VLOOKUP($A196, '26 ADP Data'!$C$3:$Q$298, 10, FALSE)</f>
        <v>-</v>
      </c>
      <c r="K196" s="11">
        <v>183</v>
      </c>
    </row>
    <row r="197" spans="1:11" ht="14.25" hidden="1" customHeight="1" x14ac:dyDescent="0.25">
      <c r="A197" s="11" t="s">
        <v>536</v>
      </c>
      <c r="B197" s="11" t="str">
        <f>VLOOKUP($A197, '26 ADP Data'!$C$3:$R$298, 2, FALSE)</f>
        <v>PIT</v>
      </c>
      <c r="C197" s="11" t="str">
        <f>VLOOKUP($A197, '26 ADP Data'!$C$3:$R$298, 16, FALSE)</f>
        <v>TE</v>
      </c>
      <c r="D197" s="11"/>
      <c r="E197" s="11"/>
      <c r="F197" s="11"/>
      <c r="G197" s="11"/>
      <c r="H197" s="11"/>
      <c r="I197" s="11">
        <f>VLOOKUP($A197, '26 ADP Data'!$C$3:$Q$298, 13, FALSE)</f>
        <v>195</v>
      </c>
      <c r="J197" s="11">
        <f>VLOOKUP($A197, '26 ADP Data'!$C$3:$Q$298, 10, FALSE)</f>
        <v>216</v>
      </c>
      <c r="K197" s="11" t="s">
        <v>678</v>
      </c>
    </row>
    <row r="198" spans="1:11" ht="14.25" customHeight="1" x14ac:dyDescent="0.25">
      <c r="A198" s="11" t="s">
        <v>525</v>
      </c>
      <c r="B198" s="11" t="str">
        <f>VLOOKUP($A198, '26 ADP Data'!$C$3:$R$298, 2, FALSE)</f>
        <v>LAC</v>
      </c>
      <c r="C198" s="11" t="str">
        <f>VLOOKUP($A198, '26 ADP Data'!$C$3:$R$298, 16, FALSE)</f>
        <v>RB</v>
      </c>
      <c r="D198" s="11"/>
      <c r="E198" s="11"/>
      <c r="F198" s="11"/>
      <c r="G198" s="11"/>
      <c r="H198" s="11"/>
      <c r="I198" s="11">
        <f>VLOOKUP($A198, '26 ADP Data'!$C$3:$Q$298, 13, FALSE)</f>
        <v>208</v>
      </c>
      <c r="J198" s="11">
        <f>VLOOKUP($A198, '26 ADP Data'!$C$3:$Q$298, 10, FALSE)</f>
        <v>213</v>
      </c>
      <c r="K198" s="11">
        <v>186</v>
      </c>
    </row>
    <row r="199" spans="1:11" ht="14.25" hidden="1" customHeight="1" x14ac:dyDescent="0.25">
      <c r="A199" s="11" t="s">
        <v>485</v>
      </c>
      <c r="B199" s="11" t="str">
        <f>VLOOKUP($A199, '26 ADP Data'!$C$3:$R$298, 2, FALSE)</f>
        <v>ARI</v>
      </c>
      <c r="C199" s="11" t="str">
        <f>VLOOKUP($A199, '26 ADP Data'!$C$3:$R$298, 16, FALSE)</f>
        <v>QB</v>
      </c>
      <c r="D199" s="11"/>
      <c r="E199" s="11"/>
      <c r="F199" s="11"/>
      <c r="G199" s="11"/>
      <c r="H199" s="11"/>
      <c r="I199" s="11">
        <f>VLOOKUP($A199, '26 ADP Data'!$C$3:$Q$298, 13, FALSE)</f>
        <v>202</v>
      </c>
      <c r="J199" s="11">
        <f>VLOOKUP($A199, '26 ADP Data'!$C$3:$Q$298, 10, FALSE)</f>
        <v>209</v>
      </c>
      <c r="K199" s="11">
        <v>194</v>
      </c>
    </row>
    <row r="200" spans="1:11" ht="14.25" customHeight="1" x14ac:dyDescent="0.25">
      <c r="A200" s="11" t="s">
        <v>545</v>
      </c>
      <c r="B200" s="11" t="str">
        <f>VLOOKUP($A200, '26 ADP Data'!$C$3:$R$298, 2, FALSE)</f>
        <v>WAS</v>
      </c>
      <c r="C200" s="11" t="str">
        <f>VLOOKUP($A200, '26 ADP Data'!$C$3:$R$298, 16, FALSE)</f>
        <v>RB</v>
      </c>
      <c r="D200" s="11"/>
      <c r="E200" s="11"/>
      <c r="F200" s="11"/>
      <c r="G200" s="11"/>
      <c r="H200" s="11" t="s">
        <v>799</v>
      </c>
      <c r="I200" s="11">
        <f>VLOOKUP($A200, '26 ADP Data'!$C$3:$Q$298, 13, FALSE)</f>
        <v>222</v>
      </c>
      <c r="J200" s="11">
        <f>VLOOKUP($A200, '26 ADP Data'!$C$3:$Q$298, 10, FALSE)</f>
        <v>227</v>
      </c>
      <c r="K200" s="11">
        <v>178</v>
      </c>
    </row>
    <row r="201" spans="1:11" ht="14.25" hidden="1" customHeight="1" x14ac:dyDescent="0.25">
      <c r="A201" s="11" t="s">
        <v>617</v>
      </c>
      <c r="B201" s="11" t="str">
        <f>VLOOKUP($A201, '26 ADP Data'!$C$3:$R$298, 2, FALSE)</f>
        <v>PIT</v>
      </c>
      <c r="C201" s="11" t="str">
        <f>VLOOKUP($A201, '26 ADP Data'!$C$3:$R$298, 16, FALSE)</f>
        <v>WR</v>
      </c>
      <c r="D201" s="11"/>
      <c r="E201" s="11"/>
      <c r="F201" s="11" t="s">
        <v>782</v>
      </c>
      <c r="G201" s="11"/>
      <c r="H201" s="11" t="s">
        <v>800</v>
      </c>
      <c r="I201" s="11">
        <f>VLOOKUP($A201, '26 ADP Data'!$C$3:$Q$298, 13, FALSE)</f>
        <v>206</v>
      </c>
      <c r="J201" s="11" t="str">
        <f>VLOOKUP($A201, '26 ADP Data'!$C$3:$Q$298, 10, FALSE)</f>
        <v>-</v>
      </c>
      <c r="K201" s="11">
        <v>236</v>
      </c>
    </row>
    <row r="202" spans="1:11" ht="14.25" customHeight="1" x14ac:dyDescent="0.25">
      <c r="A202" s="11" t="s">
        <v>491</v>
      </c>
      <c r="B202" s="11" t="str">
        <f>VLOOKUP($A202, '26 ADP Data'!$C$3:$R$298, 2, FALSE)</f>
        <v>SF</v>
      </c>
      <c r="C202" s="11" t="str">
        <f>VLOOKUP($A202, '26 ADP Data'!$C$3:$R$298, 16, FALSE)</f>
        <v>RB</v>
      </c>
      <c r="D202" s="11"/>
      <c r="E202" s="11"/>
      <c r="F202" s="11"/>
      <c r="G202" s="11"/>
      <c r="H202" s="11" t="s">
        <v>798</v>
      </c>
      <c r="I202" s="11">
        <f>VLOOKUP($A202, '26 ADP Data'!$C$3:$Q$298, 13, FALSE)</f>
        <v>229</v>
      </c>
      <c r="J202" s="11">
        <f>VLOOKUP($A202, '26 ADP Data'!$C$3:$Q$298, 10, FALSE)</f>
        <v>242</v>
      </c>
      <c r="K202" s="11">
        <v>205</v>
      </c>
    </row>
    <row r="203" spans="1:11" ht="14.25" customHeight="1" x14ac:dyDescent="0.25">
      <c r="A203" s="11" t="s">
        <v>374</v>
      </c>
      <c r="B203" s="11" t="str">
        <f>VLOOKUP($A203, '26 ADP Data'!$C$3:$R$298, 2, FALSE)</f>
        <v>LV</v>
      </c>
      <c r="C203" s="11" t="str">
        <f>VLOOKUP($A203, '26 ADP Data'!$C$3:$R$298, 16, FALSE)</f>
        <v>RB</v>
      </c>
      <c r="D203" s="11"/>
      <c r="E203" s="11" t="s">
        <v>148</v>
      </c>
      <c r="F203" s="11" t="s">
        <v>776</v>
      </c>
      <c r="G203" s="11">
        <v>54</v>
      </c>
      <c r="H203" s="11" t="s">
        <v>801</v>
      </c>
      <c r="I203" s="11">
        <f>VLOOKUP($A203, '26 ADP Data'!$C$3:$Q$298, 13, FALSE)</f>
        <v>145</v>
      </c>
      <c r="J203" s="11">
        <f>VLOOKUP($A203, '26 ADP Data'!$C$3:$Q$298, 10, FALSE)</f>
        <v>128</v>
      </c>
      <c r="K203" s="11">
        <v>166</v>
      </c>
    </row>
    <row r="204" spans="1:11" ht="14.25" hidden="1" customHeight="1" x14ac:dyDescent="0.25">
      <c r="A204" s="11" t="s">
        <v>623</v>
      </c>
      <c r="B204" s="11" t="str">
        <f>VLOOKUP($A204, '26 ADP Data'!$C$3:$R$298, 2, FALSE)</f>
        <v>DEN</v>
      </c>
      <c r="C204" s="11" t="str">
        <f>VLOOKUP($A204, '26 ADP Data'!$C$3:$R$298, 16, FALSE)</f>
        <v>WR</v>
      </c>
      <c r="D204" s="11"/>
      <c r="E204" s="11"/>
      <c r="F204" s="11" t="s">
        <v>782</v>
      </c>
      <c r="G204" s="11"/>
      <c r="H204" s="11"/>
      <c r="I204" s="11">
        <f>VLOOKUP($A204, '26 ADP Data'!$C$3:$Q$298, 13, FALSE)</f>
        <v>239</v>
      </c>
      <c r="J204" s="11" t="str">
        <f>VLOOKUP($A204, '26 ADP Data'!$C$3:$Q$298, 10, FALSE)</f>
        <v>-</v>
      </c>
      <c r="K204" s="11">
        <v>217</v>
      </c>
    </row>
    <row r="205" spans="1:11" ht="14.25" customHeight="1" x14ac:dyDescent="0.25">
      <c r="A205" s="11" t="s">
        <v>342</v>
      </c>
      <c r="B205" s="11" t="str">
        <f>VLOOKUP($A205, '26 ADP Data'!$C$3:$R$298, 2, FALSE)</f>
        <v>GB</v>
      </c>
      <c r="C205" s="11" t="str">
        <f>VLOOKUP($A205, '26 ADP Data'!$C$3:$R$298, 16, FALSE)</f>
        <v>RB</v>
      </c>
      <c r="D205" s="11"/>
      <c r="E205" s="11" t="s">
        <v>148</v>
      </c>
      <c r="F205" s="11" t="s">
        <v>653</v>
      </c>
      <c r="G205" s="11">
        <v>27</v>
      </c>
      <c r="H205" s="11"/>
      <c r="I205" s="11">
        <f>VLOOKUP($A205, '26 ADP Data'!$C$3:$Q$298, 13, FALSE)</f>
        <v>136</v>
      </c>
      <c r="J205" s="11">
        <f>VLOOKUP($A205, '26 ADP Data'!$C$3:$Q$298, 10, FALSE)</f>
        <v>71</v>
      </c>
      <c r="K205" s="11">
        <v>233</v>
      </c>
    </row>
    <row r="206" spans="1:11" ht="14.25" hidden="1" customHeight="1" x14ac:dyDescent="0.25">
      <c r="A206" s="11" t="s">
        <v>409</v>
      </c>
      <c r="B206" s="11" t="str">
        <f>VLOOKUP($A206, '26 ADP Data'!$C$3:$R$298, 2, FALSE)</f>
        <v>IND</v>
      </c>
      <c r="C206" s="11" t="str">
        <f>VLOOKUP($A206, '26 ADP Data'!$C$3:$R$298, 16, FALSE)</f>
        <v>WR</v>
      </c>
      <c r="D206" s="11"/>
      <c r="E206" s="11"/>
      <c r="F206" s="11"/>
      <c r="G206" s="11"/>
      <c r="H206" s="11"/>
      <c r="I206" s="11">
        <f>VLOOKUP($A206, '26 ADP Data'!$C$3:$Q$298, 13, FALSE)</f>
        <v>152</v>
      </c>
      <c r="J206" s="11">
        <f>VLOOKUP($A206, '26 ADP Data'!$C$3:$Q$298, 10, FALSE)</f>
        <v>147</v>
      </c>
      <c r="K206" s="11" t="s">
        <v>678</v>
      </c>
    </row>
    <row r="207" spans="1:11" ht="14.25" customHeight="1" x14ac:dyDescent="0.25">
      <c r="A207" s="11" t="s">
        <v>680</v>
      </c>
      <c r="B207" s="11" t="e">
        <f>VLOOKUP($A207, '26 ADP Data'!$C$3:$R$298, 2, FALSE)</f>
        <v>#N/A</v>
      </c>
      <c r="C207" s="11" t="e">
        <f>VLOOKUP($A207, '26 ADP Data'!$C$3:$R$298, 16, FALSE)</f>
        <v>#N/A</v>
      </c>
      <c r="D207" s="11"/>
      <c r="E207" s="11"/>
      <c r="F207" s="11"/>
      <c r="G207" s="11"/>
      <c r="H207" s="11"/>
      <c r="I207" s="11" t="e">
        <f>VLOOKUP($A207, '26 ADP Data'!$C$3:$Q$298, 13, FALSE)</f>
        <v>#N/A</v>
      </c>
      <c r="J207" s="11" t="e">
        <f>VLOOKUP($A207, '26 ADP Data'!$C$3:$Q$298, 10, FALSE)</f>
        <v>#N/A</v>
      </c>
      <c r="K207" s="11">
        <v>151</v>
      </c>
    </row>
    <row r="208" spans="1:11" ht="14.25" customHeight="1" x14ac:dyDescent="0.25">
      <c r="A208" s="11" t="s">
        <v>530</v>
      </c>
      <c r="B208" s="11" t="str">
        <f>VLOOKUP($A208, '26 ADP Data'!$C$3:$R$298, 2, FALSE)</f>
        <v>BAL</v>
      </c>
      <c r="C208" s="11" t="str">
        <f>VLOOKUP($A208, '26 ADP Data'!$C$3:$R$298, 16, FALSE)</f>
        <v>RB</v>
      </c>
      <c r="D208" s="11"/>
      <c r="E208" s="11"/>
      <c r="F208" s="11"/>
      <c r="G208" s="11"/>
      <c r="H208" s="11"/>
      <c r="I208" s="11">
        <f>VLOOKUP($A208, '26 ADP Data'!$C$3:$Q$298, 13, FALSE)</f>
        <v>219</v>
      </c>
      <c r="J208" s="11">
        <f>VLOOKUP($A208, '26 ADP Data'!$C$3:$Q$298, 10, FALSE)</f>
        <v>246</v>
      </c>
      <c r="K208" s="11">
        <v>213</v>
      </c>
    </row>
    <row r="209" spans="1:11" ht="14.25" hidden="1" customHeight="1" x14ac:dyDescent="0.25">
      <c r="A209" s="11" t="s">
        <v>495</v>
      </c>
      <c r="B209" s="11" t="str">
        <f>VLOOKUP($A209, '26 ADP Data'!$C$3:$R$298, 2, FALSE)</f>
        <v>NYJ</v>
      </c>
      <c r="C209" s="11" t="str">
        <f>VLOOKUP($A209, '26 ADP Data'!$C$3:$R$298, 16, FALSE)</f>
        <v>WR</v>
      </c>
      <c r="D209" s="11"/>
      <c r="E209" s="11"/>
      <c r="F209" s="11"/>
      <c r="G209" s="11"/>
      <c r="H209" s="11"/>
      <c r="I209" s="11">
        <f>VLOOKUP($A209, '26 ADP Data'!$C$3:$Q$298, 13, FALSE)</f>
        <v>167</v>
      </c>
      <c r="J209" s="11">
        <f>VLOOKUP($A209, '26 ADP Data'!$C$3:$Q$298, 10, FALSE)</f>
        <v>145</v>
      </c>
      <c r="K209" s="11">
        <v>173</v>
      </c>
    </row>
    <row r="210" spans="1:11" ht="14.25" hidden="1" customHeight="1" x14ac:dyDescent="0.25">
      <c r="A210" s="11" t="s">
        <v>493</v>
      </c>
      <c r="B210" s="11" t="str">
        <f>VLOOKUP($A210, '26 ADP Data'!$C$3:$R$298, 2, FALSE)</f>
        <v>PHI</v>
      </c>
      <c r="C210" s="11" t="str">
        <f>VLOOKUP($A210, '26 ADP Data'!$C$3:$R$298, 16, FALSE)</f>
        <v>WR</v>
      </c>
      <c r="D210" s="11"/>
      <c r="E210" s="11"/>
      <c r="F210" s="11"/>
      <c r="G210" s="11"/>
      <c r="H210" s="11"/>
      <c r="I210" s="11">
        <f>VLOOKUP($A210, '26 ADP Data'!$C$3:$Q$298, 13, FALSE)</f>
        <v>158</v>
      </c>
      <c r="J210" s="11">
        <f>VLOOKUP($A210, '26 ADP Data'!$C$3:$Q$298, 10, FALSE)</f>
        <v>152</v>
      </c>
      <c r="K210" s="11" t="s">
        <v>678</v>
      </c>
    </row>
    <row r="211" spans="1:11" ht="14.25" hidden="1" customHeight="1" x14ac:dyDescent="0.25">
      <c r="A211" s="11" t="s">
        <v>668</v>
      </c>
      <c r="B211" s="11" t="e">
        <f>VLOOKUP($A211, '26 ADP Data'!$C$3:$R$298, 2, FALSE)</f>
        <v>#N/A</v>
      </c>
      <c r="C211" s="11" t="e">
        <f>VLOOKUP($A211, '26 ADP Data'!$C$3:$R$298, 16, FALSE)</f>
        <v>#N/A</v>
      </c>
      <c r="D211" s="11"/>
      <c r="E211" s="11"/>
      <c r="F211" s="11"/>
      <c r="G211" s="11"/>
      <c r="H211" s="11" t="s">
        <v>802</v>
      </c>
      <c r="I211" s="11" t="e">
        <f>VLOOKUP($A211, '26 ADP Data'!$C$3:$Q$298, 13, FALSE)</f>
        <v>#N/A</v>
      </c>
      <c r="J211" s="11" t="e">
        <f>VLOOKUP($A211, '26 ADP Data'!$C$3:$Q$298, 10, FALSE)</f>
        <v>#N/A</v>
      </c>
      <c r="K211" s="11">
        <v>214</v>
      </c>
    </row>
    <row r="212" spans="1:11" ht="14.25" customHeight="1" x14ac:dyDescent="0.25">
      <c r="A212" s="11" t="s">
        <v>600</v>
      </c>
      <c r="B212" s="11" t="str">
        <f>VLOOKUP($A212, '26 ADP Data'!$C$3:$R$298, 2, FALSE)</f>
        <v>SEA</v>
      </c>
      <c r="C212" s="11" t="str">
        <f>VLOOKUP($A212, '26 ADP Data'!$C$3:$R$298, 16, FALSE)</f>
        <v>RB</v>
      </c>
      <c r="D212" s="11"/>
      <c r="E212" s="11"/>
      <c r="F212" s="11"/>
      <c r="G212" s="11"/>
      <c r="H212" s="11"/>
      <c r="I212" s="11">
        <f>VLOOKUP($A212, '26 ADP Data'!$C$3:$Q$298, 13, FALSE)</f>
        <v>234</v>
      </c>
      <c r="J212" s="11">
        <f>VLOOKUP($A212, '26 ADP Data'!$C$3:$Q$298, 10, FALSE)</f>
        <v>219</v>
      </c>
      <c r="K212" s="11">
        <v>243</v>
      </c>
    </row>
    <row r="213" spans="1:11" ht="14.25" customHeight="1" x14ac:dyDescent="0.25">
      <c r="A213" s="11" t="s">
        <v>592</v>
      </c>
      <c r="B213" s="11" t="str">
        <f>VLOOKUP($A213, '26 ADP Data'!$C$3:$R$298, 2, FALSE)</f>
        <v>MIN</v>
      </c>
      <c r="C213" s="11" t="str">
        <f>VLOOKUP($A213, '26 ADP Data'!$C$3:$R$298, 16, FALSE)</f>
        <v>RB</v>
      </c>
      <c r="D213" s="11"/>
      <c r="E213" s="11"/>
      <c r="F213" s="11"/>
      <c r="G213" s="11"/>
      <c r="H213" s="11" t="s">
        <v>803</v>
      </c>
      <c r="I213" s="11">
        <f>VLOOKUP($A213, '26 ADP Data'!$C$3:$Q$298, 13, FALSE)</f>
        <v>242</v>
      </c>
      <c r="J213" s="11">
        <f>VLOOKUP($A213, '26 ADP Data'!$C$3:$Q$298, 10, FALSE)</f>
        <v>203</v>
      </c>
      <c r="K213" s="11">
        <v>196</v>
      </c>
    </row>
    <row r="214" spans="1:11" ht="14.25" hidden="1" customHeight="1" x14ac:dyDescent="0.25">
      <c r="A214" s="11" t="s">
        <v>444</v>
      </c>
      <c r="B214" s="11" t="str">
        <f>VLOOKUP($A214, '26 ADP Data'!$C$3:$R$298, 2, FALSE)</f>
        <v>LV</v>
      </c>
      <c r="C214" s="11" t="str">
        <f>VLOOKUP($A214, '26 ADP Data'!$C$3:$R$298, 16, FALSE)</f>
        <v>WR</v>
      </c>
      <c r="D214" s="11"/>
      <c r="E214" s="11"/>
      <c r="F214" s="11"/>
      <c r="G214" s="11"/>
      <c r="H214" s="11"/>
      <c r="I214" s="11">
        <f>VLOOKUP($A214, '26 ADP Data'!$C$3:$Q$298, 13, FALSE)</f>
        <v>154</v>
      </c>
      <c r="J214" s="11">
        <f>VLOOKUP($A214, '26 ADP Data'!$C$3:$Q$298, 10, FALSE)</f>
        <v>186</v>
      </c>
      <c r="K214" s="11">
        <v>191</v>
      </c>
    </row>
    <row r="215" spans="1:11" ht="14.25" customHeight="1" x14ac:dyDescent="0.25">
      <c r="A215" s="11" t="s">
        <v>613</v>
      </c>
      <c r="B215" s="11" t="str">
        <f>VLOOKUP($A215, '26 ADP Data'!$C$3:$R$298, 2, FALSE)</f>
        <v>MIA</v>
      </c>
      <c r="C215" s="11" t="str">
        <f>VLOOKUP($A215, '26 ADP Data'!$C$3:$R$298, 16, FALSE)</f>
        <v>RB</v>
      </c>
      <c r="D215" s="11"/>
      <c r="E215" s="11"/>
      <c r="F215" s="11"/>
      <c r="G215" s="11"/>
      <c r="H215" s="11"/>
      <c r="I215" s="11">
        <f>VLOOKUP($A215, '26 ADP Data'!$C$3:$Q$298, 13, FALSE)</f>
        <v>247</v>
      </c>
      <c r="J215" s="11" t="str">
        <f>VLOOKUP($A215, '26 ADP Data'!$C$3:$Q$298, 10, FALSE)</f>
        <v>-</v>
      </c>
      <c r="K215" s="11">
        <v>197</v>
      </c>
    </row>
    <row r="216" spans="1:11" ht="14.25" hidden="1" customHeight="1" x14ac:dyDescent="0.25">
      <c r="A216" s="11" t="s">
        <v>646</v>
      </c>
      <c r="B216" s="11" t="str">
        <f>VLOOKUP($A216, '26 ADP Data'!$C$3:$R$298, 2, FALSE)</f>
        <v>SF</v>
      </c>
      <c r="C216" s="11" t="str">
        <f>VLOOKUP($A216, '26 ADP Data'!$C$3:$R$298, 16, FALSE)</f>
        <v>TE</v>
      </c>
      <c r="D216" s="11"/>
      <c r="E216" s="11"/>
      <c r="F216" s="11"/>
      <c r="G216" s="11"/>
      <c r="H216" s="11"/>
      <c r="I216" s="11">
        <f>VLOOKUP($A216, '26 ADP Data'!$C$3:$Q$298, 13, FALSE)</f>
        <v>255</v>
      </c>
      <c r="J216" s="11" t="str">
        <f>VLOOKUP($A216, '26 ADP Data'!$C$3:$Q$298, 10, FALSE)</f>
        <v>-</v>
      </c>
      <c r="K216" s="11">
        <v>242</v>
      </c>
    </row>
    <row r="217" spans="1:11" ht="14.25" hidden="1" customHeight="1" x14ac:dyDescent="0.25">
      <c r="A217" s="11" t="s">
        <v>611</v>
      </c>
      <c r="B217" s="11" t="str">
        <f>VLOOKUP($A217, '26 ADP Data'!$C$3:$R$298, 2, FALSE)</f>
        <v>CLE</v>
      </c>
      <c r="C217" s="11" t="str">
        <f>VLOOKUP($A217, '26 ADP Data'!$C$3:$R$298, 16, FALSE)</f>
        <v>QB</v>
      </c>
      <c r="D217" s="11"/>
      <c r="E217" s="11"/>
      <c r="F217" s="11"/>
      <c r="G217" s="11"/>
      <c r="H217" s="11"/>
      <c r="I217" s="11">
        <f>VLOOKUP($A217, '26 ADP Data'!$C$3:$Q$298, 13, FALSE)</f>
        <v>231</v>
      </c>
      <c r="J217" s="11" t="str">
        <f>VLOOKUP($A217, '26 ADP Data'!$C$3:$Q$298, 10, FALSE)</f>
        <v>-</v>
      </c>
      <c r="K217" s="11" t="s">
        <v>678</v>
      </c>
    </row>
    <row r="218" spans="1:11" ht="14.25" hidden="1" customHeight="1" x14ac:dyDescent="0.25">
      <c r="A218" s="11" t="s">
        <v>514</v>
      </c>
      <c r="B218" s="11" t="str">
        <f>VLOOKUP($A218, '26 ADP Data'!$C$3:$R$298, 2, FALSE)</f>
        <v>DAL</v>
      </c>
      <c r="C218" s="11" t="str">
        <f>VLOOKUP($A218, '26 ADP Data'!$C$3:$R$298, 16, FALSE)</f>
        <v>WR</v>
      </c>
      <c r="D218" s="11"/>
      <c r="E218" s="11"/>
      <c r="F218" s="11"/>
      <c r="G218" s="11"/>
      <c r="H218" s="11"/>
      <c r="I218" s="11">
        <f>VLOOKUP($A218, '26 ADP Data'!$C$3:$Q$298, 13, FALSE)</f>
        <v>170</v>
      </c>
      <c r="J218" s="11">
        <f>VLOOKUP($A218, '26 ADP Data'!$C$3:$Q$298, 10, FALSE)</f>
        <v>172</v>
      </c>
      <c r="K218" s="11">
        <v>224</v>
      </c>
    </row>
    <row r="219" spans="1:11" ht="14.25" hidden="1" customHeight="1" x14ac:dyDescent="0.25">
      <c r="A219" s="11" t="s">
        <v>504</v>
      </c>
      <c r="B219" s="11" t="str">
        <f>VLOOKUP($A219, '26 ADP Data'!$C$3:$R$298, 2, FALSE)</f>
        <v>LAC</v>
      </c>
      <c r="C219" s="11" t="str">
        <f>VLOOKUP($A219, '26 ADP Data'!$C$3:$R$298, 16, FALSE)</f>
        <v>WR</v>
      </c>
      <c r="D219" s="11"/>
      <c r="E219" s="11"/>
      <c r="F219" s="11"/>
      <c r="G219" s="11"/>
      <c r="H219" s="11" t="s">
        <v>607</v>
      </c>
      <c r="I219" s="11">
        <f>VLOOKUP($A219, '26 ADP Data'!$C$3:$Q$298, 13, FALSE)</f>
        <v>159</v>
      </c>
      <c r="J219" s="11">
        <f>VLOOKUP($A219, '26 ADP Data'!$C$3:$Q$298, 10, FALSE)</f>
        <v>184</v>
      </c>
      <c r="K219" s="11">
        <v>225</v>
      </c>
    </row>
    <row r="220" spans="1:11" ht="14.25" hidden="1" customHeight="1" x14ac:dyDescent="0.25">
      <c r="A220" s="11" t="s">
        <v>462</v>
      </c>
      <c r="B220" s="11" t="str">
        <f>VLOOKUP($A220, '26 ADP Data'!$C$3:$R$298, 2, FALSE)</f>
        <v>HOU</v>
      </c>
      <c r="C220" s="11" t="str">
        <f>VLOOKUP($A220, '26 ADP Data'!$C$3:$R$298, 16, FALSE)</f>
        <v>DE</v>
      </c>
      <c r="D220" s="11"/>
      <c r="E220" s="11"/>
      <c r="F220" s="11"/>
      <c r="G220" s="11"/>
      <c r="H220" s="11"/>
      <c r="I220" s="11" t="str">
        <f>VLOOKUP($A220, '26 ADP Data'!$C$3:$Q$298, 13, FALSE)</f>
        <v>-</v>
      </c>
      <c r="J220" s="11">
        <f>VLOOKUP($A220, '26 ADP Data'!$C$3:$Q$298, 10, FALSE)</f>
        <v>150</v>
      </c>
      <c r="K220" s="11">
        <v>155</v>
      </c>
    </row>
    <row r="221" spans="1:11" ht="14.25" hidden="1" customHeight="1" x14ac:dyDescent="0.25">
      <c r="A221" s="11" t="s">
        <v>684</v>
      </c>
      <c r="B221" s="11" t="e">
        <f>VLOOKUP($A221, '26 ADP Data'!$C$3:$R$298, 2, FALSE)</f>
        <v>#N/A</v>
      </c>
      <c r="C221" s="11" t="e">
        <f>VLOOKUP($A221, '26 ADP Data'!$C$3:$R$298, 16, FALSE)</f>
        <v>#N/A</v>
      </c>
      <c r="D221" s="11"/>
      <c r="E221" s="11"/>
      <c r="F221" s="11"/>
      <c r="G221" s="11"/>
      <c r="H221" s="11"/>
      <c r="I221" s="11" t="e">
        <f>VLOOKUP($A221, '26 ADP Data'!$C$3:$Q$298, 13, FALSE)</f>
        <v>#N/A</v>
      </c>
      <c r="J221" s="11" t="e">
        <f>VLOOKUP($A221, '26 ADP Data'!$C$3:$Q$298, 10, FALSE)</f>
        <v>#N/A</v>
      </c>
      <c r="K221" s="11">
        <v>160</v>
      </c>
    </row>
    <row r="222" spans="1:11" ht="14.25" hidden="1" customHeight="1" x14ac:dyDescent="0.25">
      <c r="A222" s="11" t="s">
        <v>699</v>
      </c>
      <c r="B222" s="11" t="str">
        <f>VLOOKUP($A222, '26 ADP Data'!$C$3:$R$298, 2, FALSE)</f>
        <v>PIT</v>
      </c>
      <c r="C222" s="11" t="str">
        <f>VLOOKUP($A222, '26 ADP Data'!$C$3:$R$298, 16, FALSE)</f>
        <v>TE</v>
      </c>
      <c r="D222" s="11"/>
      <c r="E222" s="11"/>
      <c r="F222" s="11"/>
      <c r="G222" s="11"/>
      <c r="H222" s="11"/>
      <c r="I222" s="11">
        <f>VLOOKUP($A222, '26 ADP Data'!$C$3:$Q$298, 13, FALSE)</f>
        <v>243</v>
      </c>
      <c r="J222" s="11" t="str">
        <f>VLOOKUP($A222, '26 ADP Data'!$C$3:$Q$298, 10, FALSE)</f>
        <v>-</v>
      </c>
      <c r="K222" s="11" t="s">
        <v>678</v>
      </c>
    </row>
    <row r="223" spans="1:11" ht="14.25" hidden="1" customHeight="1" x14ac:dyDescent="0.25">
      <c r="A223" s="11" t="s">
        <v>805</v>
      </c>
      <c r="B223" s="11" t="e">
        <f>VLOOKUP($A223, '26 ADP Data'!$C$3:$R$298, 2, FALSE)</f>
        <v>#N/A</v>
      </c>
      <c r="C223" s="11" t="e">
        <f>VLOOKUP($A223, '26 ADP Data'!$C$3:$R$298, 16, FALSE)</f>
        <v>#N/A</v>
      </c>
      <c r="D223" s="11"/>
      <c r="E223" s="11"/>
      <c r="F223" s="11"/>
      <c r="G223" s="11"/>
      <c r="H223" s="11" t="s">
        <v>798</v>
      </c>
      <c r="I223" s="11" t="e">
        <f>VLOOKUP($A223, '26 ADP Data'!$C$3:$Q$298, 13, FALSE)</f>
        <v>#N/A</v>
      </c>
      <c r="J223" s="11" t="e">
        <f>VLOOKUP($A223, '26 ADP Data'!$C$3:$Q$298, 10, FALSE)</f>
        <v>#N/A</v>
      </c>
      <c r="K223" s="11">
        <v>231</v>
      </c>
    </row>
    <row r="224" spans="1:11" ht="14.25" hidden="1" customHeight="1" x14ac:dyDescent="0.25">
      <c r="A224" s="11" t="s">
        <v>471</v>
      </c>
      <c r="B224" s="11" t="str">
        <f>VLOOKUP($A224, '26 ADP Data'!$C$3:$R$298, 2, FALSE)</f>
        <v>DEN</v>
      </c>
      <c r="C224" s="11" t="str">
        <f>VLOOKUP($A224, '26 ADP Data'!$C$3:$R$298, 16, FALSE)</f>
        <v>DE</v>
      </c>
      <c r="D224" s="11"/>
      <c r="E224" s="11"/>
      <c r="F224" s="11"/>
      <c r="G224" s="11"/>
      <c r="H224" s="11"/>
      <c r="I224" s="11" t="str">
        <f>VLOOKUP($A224, '26 ADP Data'!$C$3:$Q$298, 13, FALSE)</f>
        <v>-</v>
      </c>
      <c r="J224" s="11">
        <f>VLOOKUP($A224, '26 ADP Data'!$C$3:$Q$298, 10, FALSE)</f>
        <v>163</v>
      </c>
      <c r="K224" s="11">
        <v>164</v>
      </c>
    </row>
    <row r="225" spans="1:11" ht="14.25" hidden="1" customHeight="1" x14ac:dyDescent="0.25">
      <c r="A225" s="11" t="s">
        <v>476</v>
      </c>
      <c r="B225" s="11" t="str">
        <f>VLOOKUP($A225, '26 ADP Data'!$C$3:$R$298, 2, FALSE)</f>
        <v>SEA</v>
      </c>
      <c r="C225" s="11" t="str">
        <f>VLOOKUP($A225, '26 ADP Data'!$C$3:$R$298, 16, FALSE)</f>
        <v>DE</v>
      </c>
      <c r="D225" s="11"/>
      <c r="E225" s="11"/>
      <c r="F225" s="11"/>
      <c r="G225" s="11"/>
      <c r="H225" s="11"/>
      <c r="I225" s="11" t="str">
        <f>VLOOKUP($A225, '26 ADP Data'!$C$3:$Q$298, 13, FALSE)</f>
        <v>-</v>
      </c>
      <c r="J225" s="11">
        <f>VLOOKUP($A225, '26 ADP Data'!$C$3:$Q$298, 10, FALSE)</f>
        <v>165</v>
      </c>
      <c r="K225" s="11">
        <v>168</v>
      </c>
    </row>
    <row r="226" spans="1:11" ht="14.25" hidden="1" customHeight="1" x14ac:dyDescent="0.25">
      <c r="A226" s="11" t="s">
        <v>469</v>
      </c>
      <c r="B226" s="11" t="str">
        <f>VLOOKUP($A226, '26 ADP Data'!$C$3:$R$298, 2, FALSE)</f>
        <v>LAR</v>
      </c>
      <c r="C226" s="11" t="str">
        <f>VLOOKUP($A226, '26 ADP Data'!$C$3:$R$298, 16, FALSE)</f>
        <v>DE</v>
      </c>
      <c r="D226" s="11"/>
      <c r="E226" s="11"/>
      <c r="F226" s="11"/>
      <c r="G226" s="11"/>
      <c r="H226" s="11"/>
      <c r="I226" s="11" t="str">
        <f>VLOOKUP($A226, '26 ADP Data'!$C$3:$Q$298, 13, FALSE)</f>
        <v>-</v>
      </c>
      <c r="J226" s="11">
        <f>VLOOKUP($A226, '26 ADP Data'!$C$3:$Q$298, 10, FALSE)</f>
        <v>155</v>
      </c>
      <c r="K226" s="11">
        <v>180</v>
      </c>
    </row>
    <row r="227" spans="1:11" ht="14.25" hidden="1" customHeight="1" x14ac:dyDescent="0.25">
      <c r="A227" s="11" t="s">
        <v>596</v>
      </c>
      <c r="B227" s="11" t="str">
        <f>VLOOKUP($A227, '26 ADP Data'!$C$3:$R$298, 2, FALSE)</f>
        <v>HOU</v>
      </c>
      <c r="C227" s="11" t="str">
        <f>VLOOKUP($A227, '26 ADP Data'!$C$3:$R$298, 16, FALSE)</f>
        <v>WR</v>
      </c>
      <c r="D227" s="11"/>
      <c r="E227" s="11"/>
      <c r="F227" s="11"/>
      <c r="G227" s="11"/>
      <c r="H227" s="11" t="s">
        <v>797</v>
      </c>
      <c r="I227" s="11">
        <f>VLOOKUP($A227, '26 ADP Data'!$C$3:$Q$298, 13, FALSE)</f>
        <v>204</v>
      </c>
      <c r="J227" s="11">
        <f>VLOOKUP($A227, '26 ADP Data'!$C$3:$Q$298, 10, FALSE)</f>
        <v>190</v>
      </c>
      <c r="K227" s="11">
        <v>198</v>
      </c>
    </row>
    <row r="228" spans="1:11" ht="14.25" hidden="1" customHeight="1" x14ac:dyDescent="0.25">
      <c r="A228" s="11" t="s">
        <v>429</v>
      </c>
      <c r="B228" s="11" t="str">
        <f>VLOOKUP($A228, '26 ADP Data'!$C$3:$R$298, 2, FALSE)</f>
        <v>CLE</v>
      </c>
      <c r="C228" s="11" t="str">
        <f>VLOOKUP($A228, '26 ADP Data'!$C$3:$R$298, 16, FALSE)</f>
        <v>WR</v>
      </c>
      <c r="D228" s="11"/>
      <c r="E228" s="11"/>
      <c r="F228" s="11"/>
      <c r="G228" s="11"/>
      <c r="H228" s="11"/>
      <c r="I228" s="11">
        <f>VLOOKUP($A228, '26 ADP Data'!$C$3:$Q$298, 13, FALSE)</f>
        <v>205</v>
      </c>
      <c r="J228" s="11">
        <f>VLOOKUP($A228, '26 ADP Data'!$C$3:$Q$298, 10, FALSE)</f>
        <v>196</v>
      </c>
      <c r="K228" s="11">
        <v>169</v>
      </c>
    </row>
    <row r="229" spans="1:11" ht="14.25" hidden="1" customHeight="1" x14ac:dyDescent="0.25">
      <c r="A229" s="11" t="s">
        <v>806</v>
      </c>
      <c r="B229" s="11" t="e">
        <f>VLOOKUP($A229, '26 ADP Data'!$C$3:$R$298, 2, FALSE)</f>
        <v>#N/A</v>
      </c>
      <c r="C229" s="11" t="e">
        <f>VLOOKUP($A229, '26 ADP Data'!$C$3:$R$298, 16, FALSE)</f>
        <v>#N/A</v>
      </c>
      <c r="D229" s="11"/>
      <c r="E229" s="11"/>
      <c r="F229" s="11"/>
      <c r="G229" s="11"/>
      <c r="H229" s="11" t="s">
        <v>807</v>
      </c>
      <c r="I229" s="11" t="e">
        <f>VLOOKUP($A229, '26 ADP Data'!$C$3:$Q$298, 13, FALSE)</f>
        <v>#N/A</v>
      </c>
      <c r="J229" s="11" t="e">
        <f>VLOOKUP($A229, '26 ADP Data'!$C$3:$Q$298, 10, FALSE)</f>
        <v>#N/A</v>
      </c>
      <c r="K229" s="11">
        <v>228</v>
      </c>
    </row>
    <row r="230" spans="1:11" ht="14.25" hidden="1" customHeight="1" x14ac:dyDescent="0.25">
      <c r="A230" s="11" t="s">
        <v>808</v>
      </c>
      <c r="B230" s="11" t="e">
        <f>VLOOKUP($A230, '26 ADP Data'!$C$3:$R$298, 2, FALSE)</f>
        <v>#N/A</v>
      </c>
      <c r="C230" s="11" t="e">
        <f>VLOOKUP($A230, '26 ADP Data'!$C$3:$R$298, 16, FALSE)</f>
        <v>#N/A</v>
      </c>
      <c r="D230" s="11"/>
      <c r="E230" s="11"/>
      <c r="F230" s="11"/>
      <c r="G230" s="11"/>
      <c r="H230" s="11"/>
      <c r="I230" s="11" t="e">
        <f>VLOOKUP($A230, '26 ADP Data'!$C$3:$Q$298, 13, FALSE)</f>
        <v>#N/A</v>
      </c>
      <c r="J230" s="11" t="e">
        <f>VLOOKUP($A230, '26 ADP Data'!$C$3:$Q$298, 10, FALSE)</f>
        <v>#N/A</v>
      </c>
      <c r="K230" s="11" t="s">
        <v>678</v>
      </c>
    </row>
    <row r="231" spans="1:11" ht="14.25" hidden="1" customHeight="1" x14ac:dyDescent="0.25">
      <c r="A231" s="11" t="s">
        <v>809</v>
      </c>
      <c r="B231" s="11" t="e">
        <f>VLOOKUP($A231, '26 ADP Data'!$C$3:$R$298, 2, FALSE)</f>
        <v>#N/A</v>
      </c>
      <c r="C231" s="11" t="e">
        <f>VLOOKUP($A231, '26 ADP Data'!$C$3:$R$298, 16, FALSE)</f>
        <v>#N/A</v>
      </c>
      <c r="D231" s="11"/>
      <c r="E231" s="11"/>
      <c r="F231" s="11"/>
      <c r="G231" s="11"/>
      <c r="H231" s="11"/>
      <c r="I231" s="11" t="e">
        <f>VLOOKUP($A231, '26 ADP Data'!$C$3:$Q$298, 13, FALSE)</f>
        <v>#N/A</v>
      </c>
      <c r="J231" s="11" t="e">
        <f>VLOOKUP($A231, '26 ADP Data'!$C$3:$Q$298, 10, FALSE)</f>
        <v>#N/A</v>
      </c>
      <c r="K231" s="11" t="s">
        <v>678</v>
      </c>
    </row>
    <row r="232" spans="1:11" ht="14.25" customHeight="1" x14ac:dyDescent="0.25">
      <c r="A232" s="11" t="s">
        <v>634</v>
      </c>
      <c r="B232" s="11" t="str">
        <f>VLOOKUP($A232, '26 ADP Data'!$C$3:$R$298, 2, FALSE)</f>
        <v>NYG</v>
      </c>
      <c r="C232" s="11" t="str">
        <f>VLOOKUP($A232, '26 ADP Data'!$C$3:$R$298, 16, FALSE)</f>
        <v>RB</v>
      </c>
      <c r="D232" s="11"/>
      <c r="E232" s="11"/>
      <c r="F232" s="11"/>
      <c r="G232" s="11"/>
      <c r="H232" s="11"/>
      <c r="I232" s="11">
        <f>VLOOKUP($A232, '26 ADP Data'!$C$3:$Q$298, 13, FALSE)</f>
        <v>200</v>
      </c>
      <c r="J232" s="11">
        <f>VLOOKUP($A232, '26 ADP Data'!$C$3:$Q$298, 10, FALSE)</f>
        <v>201</v>
      </c>
      <c r="K232" s="11">
        <v>203</v>
      </c>
    </row>
    <row r="233" spans="1:11" ht="14.25" hidden="1" customHeight="1" x14ac:dyDescent="0.25">
      <c r="A233" s="11" t="s">
        <v>631</v>
      </c>
      <c r="B233" s="11" t="str">
        <f>VLOOKUP($A233, '26 ADP Data'!$C$3:$R$298, 2, FALSE)</f>
        <v>NO</v>
      </c>
      <c r="C233" s="11" t="str">
        <f>VLOOKUP($A233, '26 ADP Data'!$C$3:$R$298, 16, FALSE)</f>
        <v>WR</v>
      </c>
      <c r="D233" s="11"/>
      <c r="E233" s="11"/>
      <c r="F233" s="11"/>
      <c r="G233" s="11"/>
      <c r="H233" s="11"/>
      <c r="I233" s="11">
        <f>VLOOKUP($A233, '26 ADP Data'!$C$3:$Q$298, 13, FALSE)</f>
        <v>185</v>
      </c>
      <c r="J233" s="11">
        <f>VLOOKUP($A233, '26 ADP Data'!$C$3:$Q$298, 10, FALSE)</f>
        <v>205</v>
      </c>
      <c r="K233" s="11" t="s">
        <v>678</v>
      </c>
    </row>
    <row r="234" spans="1:11" ht="14.25" hidden="1" customHeight="1" x14ac:dyDescent="0.25">
      <c r="A234" s="11" t="s">
        <v>508</v>
      </c>
      <c r="B234" s="11" t="str">
        <f>VLOOKUP($A234, '26 ADP Data'!$C$3:$R$298, 2, FALSE)</f>
        <v>MIA</v>
      </c>
      <c r="C234" s="11" t="str">
        <f>VLOOKUP($A234, '26 ADP Data'!$C$3:$R$298, 16, FALSE)</f>
        <v>WR</v>
      </c>
      <c r="D234" s="11"/>
      <c r="E234" s="11"/>
      <c r="F234" s="11"/>
      <c r="G234" s="11"/>
      <c r="H234" s="11"/>
      <c r="I234" s="11">
        <f>VLOOKUP($A234, '26 ADP Data'!$C$3:$Q$298, 13, FALSE)</f>
        <v>173</v>
      </c>
      <c r="J234" s="11">
        <f>VLOOKUP($A234, '26 ADP Data'!$C$3:$Q$298, 10, FALSE)</f>
        <v>208</v>
      </c>
      <c r="K234" s="11">
        <v>220</v>
      </c>
    </row>
    <row r="235" spans="1:11" ht="14.25" hidden="1" customHeight="1" x14ac:dyDescent="0.25">
      <c r="A235" s="11" t="s">
        <v>715</v>
      </c>
      <c r="B235" s="11" t="str">
        <f>VLOOKUP($A235, '26 ADP Data'!$C$3:$R$298, 2, FALSE)</f>
        <v>BUF</v>
      </c>
      <c r="C235" s="11" t="str">
        <f>VLOOKUP($A235, '26 ADP Data'!$C$3:$R$298, 16, FALSE)</f>
        <v>TE</v>
      </c>
      <c r="D235" s="11"/>
      <c r="E235" s="11"/>
      <c r="F235" s="11"/>
      <c r="G235" s="11"/>
      <c r="H235" s="11"/>
      <c r="I235" s="11">
        <f>VLOOKUP($A235, '26 ADP Data'!$C$3:$Q$298, 13, FALSE)</f>
        <v>263</v>
      </c>
      <c r="J235" s="11" t="str">
        <f>VLOOKUP($A235, '26 ADP Data'!$C$3:$Q$298, 10, FALSE)</f>
        <v>-</v>
      </c>
      <c r="K235" s="11" t="s">
        <v>678</v>
      </c>
    </row>
    <row r="236" spans="1:11" ht="14.25" hidden="1" customHeight="1" x14ac:dyDescent="0.25">
      <c r="A236" s="11" t="s">
        <v>473</v>
      </c>
      <c r="B236" s="11" t="str">
        <f>VLOOKUP($A236, '26 ADP Data'!$C$3:$R$298, 2, FALSE)</f>
        <v>MIA</v>
      </c>
      <c r="C236" s="11" t="str">
        <f>VLOOKUP($A236, '26 ADP Data'!$C$3:$R$298, 16, FALSE)</f>
        <v>TE</v>
      </c>
      <c r="D236" s="11"/>
      <c r="E236" s="11"/>
      <c r="F236" s="11"/>
      <c r="G236" s="11"/>
      <c r="H236" s="11"/>
      <c r="I236" s="11">
        <f>VLOOKUP($A236, '26 ADP Data'!$C$3:$Q$298, 13, FALSE)</f>
        <v>188</v>
      </c>
      <c r="J236" s="11">
        <f>VLOOKUP($A236, '26 ADP Data'!$C$3:$Q$298, 10, FALSE)</f>
        <v>193</v>
      </c>
      <c r="K236" s="11" t="s">
        <v>678</v>
      </c>
    </row>
    <row r="237" spans="1:11" ht="14.25" hidden="1" customHeight="1" x14ac:dyDescent="0.25">
      <c r="A237" s="11" t="s">
        <v>811</v>
      </c>
      <c r="B237" s="11" t="str">
        <f>VLOOKUP($A237, '26 ADP Data'!$C$3:$R$298, 2, FALSE)</f>
        <v>CHI</v>
      </c>
      <c r="C237" s="11" t="str">
        <f>VLOOKUP($A237, '26 ADP Data'!$C$3:$R$298, 16, FALSE)</f>
        <v>TE</v>
      </c>
      <c r="D237" s="11"/>
      <c r="E237" s="11"/>
      <c r="F237" s="11"/>
      <c r="G237" s="11"/>
      <c r="H237" s="11"/>
      <c r="I237" s="11">
        <f>VLOOKUP($A237, '26 ADP Data'!$C$3:$Q$298, 13, FALSE)</f>
        <v>270</v>
      </c>
      <c r="J237" s="11" t="str">
        <f>VLOOKUP($A237, '26 ADP Data'!$C$3:$Q$298, 10, FALSE)</f>
        <v>-</v>
      </c>
      <c r="K237" s="11" t="s">
        <v>678</v>
      </c>
    </row>
    <row r="238" spans="1:11" ht="14.25" hidden="1" customHeight="1" x14ac:dyDescent="0.25">
      <c r="A238" s="11" t="s">
        <v>487</v>
      </c>
      <c r="B238" s="11" t="str">
        <f>VLOOKUP($A238, '26 ADP Data'!$C$3:$R$298, 2, FALSE)</f>
        <v>PHI</v>
      </c>
      <c r="C238" s="11" t="str">
        <f>VLOOKUP($A238, '26 ADP Data'!$C$3:$R$298, 16, FALSE)</f>
        <v>DE</v>
      </c>
      <c r="D238" s="11"/>
      <c r="E238" s="11"/>
      <c r="F238" s="11"/>
      <c r="G238" s="11"/>
      <c r="H238" s="11"/>
      <c r="I238" s="11" t="str">
        <f>VLOOKUP($A238, '26 ADP Data'!$C$3:$Q$298, 13, FALSE)</f>
        <v>-</v>
      </c>
      <c r="J238" s="11">
        <f>VLOOKUP($A238, '26 ADP Data'!$C$3:$Q$298, 10, FALSE)</f>
        <v>170</v>
      </c>
      <c r="K238" s="11">
        <v>176</v>
      </c>
    </row>
    <row r="239" spans="1:11" ht="14.25" hidden="1" customHeight="1" x14ac:dyDescent="0.25">
      <c r="A239" s="11" t="s">
        <v>497</v>
      </c>
      <c r="B239" s="11" t="str">
        <f>VLOOKUP($A239, '26 ADP Data'!$C$3:$R$298, 2, FALSE)</f>
        <v>NE</v>
      </c>
      <c r="C239" s="11" t="str">
        <f>VLOOKUP($A239, '26 ADP Data'!$C$3:$R$298, 16, FALSE)</f>
        <v>DE</v>
      </c>
      <c r="D239" s="11"/>
      <c r="E239" s="11"/>
      <c r="F239" s="11"/>
      <c r="G239" s="11"/>
      <c r="H239" s="11"/>
      <c r="I239" s="11" t="str">
        <f>VLOOKUP($A239, '26 ADP Data'!$C$3:$Q$298, 13, FALSE)</f>
        <v>-</v>
      </c>
      <c r="J239" s="11">
        <f>VLOOKUP($A239, '26 ADP Data'!$C$3:$Q$298, 10, FALSE)</f>
        <v>200</v>
      </c>
      <c r="K239" s="11">
        <v>190</v>
      </c>
    </row>
    <row r="240" spans="1:11" ht="14.25" hidden="1" customHeight="1" x14ac:dyDescent="0.25">
      <c r="A240" s="11" t="s">
        <v>812</v>
      </c>
      <c r="B240" s="11" t="e">
        <f>VLOOKUP($A240, '26 ADP Data'!$C$3:$R$298, 2, FALSE)</f>
        <v>#N/A</v>
      </c>
      <c r="C240" s="11" t="e">
        <f>VLOOKUP($A240, '26 ADP Data'!$C$3:$R$298, 16, FALSE)</f>
        <v>#N/A</v>
      </c>
      <c r="D240" s="11"/>
      <c r="E240" s="11"/>
      <c r="F240" s="11"/>
      <c r="G240" s="11"/>
      <c r="H240" s="11"/>
      <c r="I240" s="11" t="e">
        <f>VLOOKUP($A240, '26 ADP Data'!$C$3:$Q$298, 13, FALSE)</f>
        <v>#N/A</v>
      </c>
      <c r="J240" s="11" t="e">
        <f>VLOOKUP($A240, '26 ADP Data'!$C$3:$Q$298, 10, FALSE)</f>
        <v>#N/A</v>
      </c>
      <c r="K240" s="11" t="s">
        <v>678</v>
      </c>
    </row>
    <row r="241" spans="1:11" ht="14.25" hidden="1" customHeight="1" x14ac:dyDescent="0.25">
      <c r="A241" s="11" t="s">
        <v>512</v>
      </c>
      <c r="B241" s="11" t="str">
        <f>VLOOKUP($A241, '26 ADP Data'!$C$3:$R$298, 2, FALSE)</f>
        <v>MIN</v>
      </c>
      <c r="C241" s="11" t="str">
        <f>VLOOKUP($A241, '26 ADP Data'!$C$3:$R$298, 16, FALSE)</f>
        <v>DE</v>
      </c>
      <c r="D241" s="11"/>
      <c r="E241" s="11"/>
      <c r="F241" s="11"/>
      <c r="G241" s="11"/>
      <c r="H241" s="11"/>
      <c r="I241" s="11" t="str">
        <f>VLOOKUP($A241, '26 ADP Data'!$C$3:$Q$298, 13, FALSE)</f>
        <v>-</v>
      </c>
      <c r="J241" s="11">
        <f>VLOOKUP($A241, '26 ADP Data'!$C$3:$Q$298, 10, FALSE)</f>
        <v>189</v>
      </c>
      <c r="K241" s="11">
        <v>182</v>
      </c>
    </row>
    <row r="242" spans="1:11" ht="14.25" hidden="1" customHeight="1" x14ac:dyDescent="0.25">
      <c r="A242" s="11" t="s">
        <v>489</v>
      </c>
      <c r="B242" s="11" t="str">
        <f>VLOOKUP($A242, '26 ADP Data'!$C$3:$R$298, 2, FALSE)</f>
        <v>PIT</v>
      </c>
      <c r="C242" s="11" t="str">
        <f>VLOOKUP($A242, '26 ADP Data'!$C$3:$R$298, 16, FALSE)</f>
        <v>DE</v>
      </c>
      <c r="D242" s="11"/>
      <c r="E242" s="11"/>
      <c r="F242" s="11"/>
      <c r="G242" s="11"/>
      <c r="H242" s="11"/>
      <c r="I242" s="11" t="str">
        <f>VLOOKUP($A242, '26 ADP Data'!$C$3:$Q$298, 13, FALSE)</f>
        <v>-</v>
      </c>
      <c r="J242" s="11">
        <f>VLOOKUP($A242, '26 ADP Data'!$C$3:$Q$298, 10, FALSE)</f>
        <v>199</v>
      </c>
      <c r="K242" s="11">
        <v>200</v>
      </c>
    </row>
    <row r="243" spans="1:11" ht="14.25" hidden="1" customHeight="1" x14ac:dyDescent="0.25">
      <c r="A243" s="11" t="s">
        <v>516</v>
      </c>
      <c r="B243" s="11" t="str">
        <f>VLOOKUP($A243, '26 ADP Data'!$C$3:$R$298, 2, FALSE)</f>
        <v>JAX</v>
      </c>
      <c r="C243" s="11" t="str">
        <f>VLOOKUP($A243, '26 ADP Data'!$C$3:$R$298, 16, FALSE)</f>
        <v>DE</v>
      </c>
      <c r="D243" s="11"/>
      <c r="E243" s="11"/>
      <c r="F243" s="11"/>
      <c r="G243" s="11"/>
      <c r="H243" s="11"/>
      <c r="I243" s="11" t="str">
        <f>VLOOKUP($A243, '26 ADP Data'!$C$3:$Q$298, 13, FALSE)</f>
        <v>-</v>
      </c>
      <c r="J243" s="11">
        <f>VLOOKUP($A243, '26 ADP Data'!$C$3:$Q$298, 10, FALSE)</f>
        <v>198</v>
      </c>
      <c r="K243" s="11">
        <v>195</v>
      </c>
    </row>
    <row r="244" spans="1:11" ht="14.25" hidden="1" customHeight="1" x14ac:dyDescent="0.25">
      <c r="A244" s="11" t="s">
        <v>532</v>
      </c>
      <c r="B244" s="11" t="str">
        <f>VLOOKUP($A244, '26 ADP Data'!$C$3:$R$298, 2, FALSE)</f>
        <v>TB</v>
      </c>
      <c r="C244" s="11" t="str">
        <f>VLOOKUP($A244, '26 ADP Data'!$C$3:$R$298, 16, FALSE)</f>
        <v>TE</v>
      </c>
      <c r="D244" s="11"/>
      <c r="E244" s="11"/>
      <c r="F244" s="11"/>
      <c r="G244" s="11"/>
      <c r="H244" s="11"/>
      <c r="I244" s="11">
        <f>VLOOKUP($A244, '26 ADP Data'!$C$3:$Q$298, 13, FALSE)</f>
        <v>192</v>
      </c>
      <c r="J244" s="11">
        <f>VLOOKUP($A244, '26 ADP Data'!$C$3:$Q$298, 10, FALSE)</f>
        <v>223</v>
      </c>
      <c r="K244" s="11" t="s">
        <v>678</v>
      </c>
    </row>
    <row r="245" spans="1:11" ht="14.25" hidden="1" customHeight="1" x14ac:dyDescent="0.25">
      <c r="A245" s="11" t="s">
        <v>677</v>
      </c>
      <c r="B245" s="11" t="str">
        <f>VLOOKUP($A245, '26 ADP Data'!$C$3:$R$298, 2, FALSE)</f>
        <v>ATL</v>
      </c>
      <c r="C245" s="11" t="str">
        <f>VLOOKUP($A245, '26 ADP Data'!$C$3:$R$298, 16, FALSE)</f>
        <v>WR</v>
      </c>
      <c r="D245" s="11"/>
      <c r="E245" s="11"/>
      <c r="F245" s="11"/>
      <c r="G245" s="11"/>
      <c r="H245" s="11"/>
      <c r="I245" s="11">
        <f>VLOOKUP($A245, '26 ADP Data'!$C$3:$Q$298, 13, FALSE)</f>
        <v>252</v>
      </c>
      <c r="J245" s="11">
        <f>VLOOKUP($A245, '26 ADP Data'!$C$3:$Q$298, 10, FALSE)</f>
        <v>234</v>
      </c>
      <c r="K245" s="11">
        <v>209</v>
      </c>
    </row>
    <row r="246" spans="1:11" ht="14.25" hidden="1" customHeight="1" x14ac:dyDescent="0.25">
      <c r="A246" s="11" t="s">
        <v>519</v>
      </c>
      <c r="B246" s="11" t="str">
        <f>VLOOKUP($A246, '26 ADP Data'!$C$3:$R$298, 2, FALSE)</f>
        <v>LAC</v>
      </c>
      <c r="C246" s="11" t="str">
        <f>VLOOKUP($A246, '26 ADP Data'!$C$3:$R$298, 16, FALSE)</f>
        <v>DE</v>
      </c>
      <c r="D246" s="11"/>
      <c r="E246" s="11"/>
      <c r="F246" s="11"/>
      <c r="G246" s="11"/>
      <c r="H246" s="11"/>
      <c r="I246" s="11" t="str">
        <f>VLOOKUP($A246, '26 ADP Data'!$C$3:$Q$298, 13, FALSE)</f>
        <v>-</v>
      </c>
      <c r="J246" s="11">
        <f>VLOOKUP($A246, '26 ADP Data'!$C$3:$Q$298, 10, FALSE)</f>
        <v>233</v>
      </c>
      <c r="K246" s="11">
        <v>199</v>
      </c>
    </row>
    <row r="247" spans="1:11" ht="14.25" hidden="1" customHeight="1" x14ac:dyDescent="0.25">
      <c r="A247" s="11" t="s">
        <v>502</v>
      </c>
      <c r="B247" s="11" t="str">
        <f>VLOOKUP($A247, '26 ADP Data'!$C$3:$R$298, 2, FALSE)</f>
        <v>BAL</v>
      </c>
      <c r="C247" s="11" t="str">
        <f>VLOOKUP($A247, '26 ADP Data'!$C$3:$R$298, 16, FALSE)</f>
        <v>DE</v>
      </c>
      <c r="D247" s="11"/>
      <c r="E247" s="11"/>
      <c r="F247" s="11"/>
      <c r="G247" s="11"/>
      <c r="H247" s="11"/>
      <c r="I247" s="11" t="str">
        <f>VLOOKUP($A247, '26 ADP Data'!$C$3:$Q$298, 13, FALSE)</f>
        <v>-</v>
      </c>
      <c r="J247" s="11">
        <f>VLOOKUP($A247, '26 ADP Data'!$C$3:$Q$298, 10, FALSE)</f>
        <v>181</v>
      </c>
      <c r="K247" s="11">
        <v>238</v>
      </c>
    </row>
    <row r="248" spans="1:11" ht="14.25" hidden="1" customHeight="1" x14ac:dyDescent="0.25">
      <c r="A248" s="11" t="s">
        <v>572</v>
      </c>
      <c r="B248" s="11" t="str">
        <f>VLOOKUP($A248, '26 ADP Data'!$C$3:$R$298, 2, FALSE)</f>
        <v>BAL</v>
      </c>
      <c r="C248" s="11" t="str">
        <f>VLOOKUP($A248, '26 ADP Data'!$C$3:$R$298, 16, FALSE)</f>
        <v>WR</v>
      </c>
      <c r="D248" s="11"/>
      <c r="E248" s="11"/>
      <c r="F248" s="11"/>
      <c r="G248" s="11"/>
      <c r="H248" s="11"/>
      <c r="I248" s="11">
        <f>VLOOKUP($A248, '26 ADP Data'!$C$3:$Q$298, 13, FALSE)</f>
        <v>214</v>
      </c>
      <c r="J248" s="11">
        <f>VLOOKUP($A248, '26 ADP Data'!$C$3:$Q$298, 10, FALSE)</f>
        <v>222</v>
      </c>
      <c r="K248" s="11" t="s">
        <v>678</v>
      </c>
    </row>
    <row r="249" spans="1:11" ht="14.25" hidden="1" customHeight="1" x14ac:dyDescent="0.25">
      <c r="A249" s="11" t="s">
        <v>588</v>
      </c>
      <c r="B249" s="11" t="str">
        <f>VLOOKUP($A249, '26 ADP Data'!$C$3:$R$298, 2, FALSE)</f>
        <v>NYJ</v>
      </c>
      <c r="C249" s="11" t="str">
        <f>VLOOKUP($A249, '26 ADP Data'!$C$3:$R$298, 16, FALSE)</f>
        <v>QB</v>
      </c>
      <c r="D249" s="11"/>
      <c r="E249" s="11"/>
      <c r="F249" s="11"/>
      <c r="G249" s="11"/>
      <c r="H249" s="11"/>
      <c r="I249" s="11">
        <f>VLOOKUP($A249, '26 ADP Data'!$C$3:$Q$298, 13, FALSE)</f>
        <v>189</v>
      </c>
      <c r="J249" s="11">
        <f>VLOOKUP($A249, '26 ADP Data'!$C$3:$Q$298, 10, FALSE)</f>
        <v>245</v>
      </c>
      <c r="K249" s="11" t="s">
        <v>678</v>
      </c>
    </row>
    <row r="250" spans="1:11" ht="14.25" hidden="1" customHeight="1" x14ac:dyDescent="0.25">
      <c r="A250" s="11" t="s">
        <v>717</v>
      </c>
      <c r="B250" s="11" t="str">
        <f>VLOOKUP($A250, '26 ADP Data'!$C$3:$R$298, 2, FALSE)</f>
        <v>BUF</v>
      </c>
      <c r="C250" s="11" t="str">
        <f>VLOOKUP($A250, '26 ADP Data'!$C$3:$R$298, 16, FALSE)</f>
        <v>WR</v>
      </c>
      <c r="D250" s="11"/>
      <c r="E250" s="11"/>
      <c r="F250" s="11"/>
      <c r="G250" s="11"/>
      <c r="H250" s="11"/>
      <c r="I250" s="11">
        <f>VLOOKUP($A250, '26 ADP Data'!$C$3:$Q$298, 13, FALSE)</f>
        <v>233</v>
      </c>
      <c r="J250" s="11" t="str">
        <f>VLOOKUP($A250, '26 ADP Data'!$C$3:$Q$298, 10, FALSE)</f>
        <v>-</v>
      </c>
      <c r="K250" s="11" t="s">
        <v>678</v>
      </c>
    </row>
    <row r="251" spans="1:11" ht="14.25" hidden="1" customHeight="1" x14ac:dyDescent="0.25">
      <c r="A251" s="11" t="s">
        <v>570</v>
      </c>
      <c r="B251" s="11" t="str">
        <f>VLOOKUP($A251, '26 ADP Data'!$C$3:$R$298, 2, FALSE)</f>
        <v>LAR</v>
      </c>
      <c r="C251" s="11" t="str">
        <f>VLOOKUP($A251, '26 ADP Data'!$C$3:$R$298, 16, FALSE)</f>
        <v>TE</v>
      </c>
      <c r="D251" s="11"/>
      <c r="E251" s="11"/>
      <c r="F251" s="11"/>
      <c r="G251" s="11"/>
      <c r="H251" s="11"/>
      <c r="I251" s="11">
        <f>VLOOKUP($A251, '26 ADP Data'!$C$3:$Q$298, 13, FALSE)</f>
        <v>220</v>
      </c>
      <c r="J251" s="11">
        <f>VLOOKUP($A251, '26 ADP Data'!$C$3:$Q$298, 10, FALSE)</f>
        <v>247</v>
      </c>
      <c r="K251" s="11" t="s">
        <v>678</v>
      </c>
    </row>
    <row r="252" spans="1:11" ht="14.25" hidden="1" customHeight="1" x14ac:dyDescent="0.25">
      <c r="A252" s="11" t="s">
        <v>555</v>
      </c>
      <c r="B252" s="11" t="str">
        <f>VLOOKUP($A252, '26 ADP Data'!$C$3:$R$298, 2, FALSE)</f>
        <v>LAC</v>
      </c>
      <c r="C252" s="11" t="str">
        <f>VLOOKUP($A252, '26 ADP Data'!$C$3:$R$298, 16, FALSE)</f>
        <v>TE</v>
      </c>
      <c r="D252" s="11"/>
      <c r="E252" s="11"/>
      <c r="F252" s="11"/>
      <c r="G252" s="11"/>
      <c r="H252" s="11"/>
      <c r="I252" s="11">
        <f>VLOOKUP($A252, '26 ADP Data'!$C$3:$Q$298, 13, FALSE)</f>
        <v>212</v>
      </c>
      <c r="J252" s="11" t="str">
        <f>VLOOKUP($A252, '26 ADP Data'!$C$3:$Q$298, 10, FALSE)</f>
        <v>-</v>
      </c>
      <c r="K252" s="11" t="s">
        <v>678</v>
      </c>
    </row>
    <row r="253" spans="1:11" ht="14.25" hidden="1" customHeight="1" x14ac:dyDescent="0.25">
      <c r="A253" s="11" t="s">
        <v>619</v>
      </c>
      <c r="B253" s="11" t="str">
        <f>VLOOKUP($A253, '26 ADP Data'!$C$3:$R$298, 2, FALSE)</f>
        <v>ATL</v>
      </c>
      <c r="C253" s="11" t="str">
        <f>VLOOKUP($A253, '26 ADP Data'!$C$3:$R$298, 16, FALSE)</f>
        <v>QB</v>
      </c>
      <c r="D253" s="11"/>
      <c r="E253" s="11"/>
      <c r="F253" s="11"/>
      <c r="G253" s="11"/>
      <c r="H253" s="11"/>
      <c r="I253" s="11">
        <f>VLOOKUP($A253, '26 ADP Data'!$C$3:$Q$298, 13, FALSE)</f>
        <v>241</v>
      </c>
      <c r="J253" s="11" t="str">
        <f>VLOOKUP($A253, '26 ADP Data'!$C$3:$Q$298, 10, FALSE)</f>
        <v>-</v>
      </c>
      <c r="K253" s="11" t="s">
        <v>678</v>
      </c>
    </row>
    <row r="254" spans="1:11" ht="14.25" hidden="1" customHeight="1" x14ac:dyDescent="0.25">
      <c r="A254" s="11" t="s">
        <v>650</v>
      </c>
      <c r="B254" s="11" t="str">
        <f>VLOOKUP($A254, '26 ADP Data'!$C$3:$R$298, 2, FALSE)</f>
        <v>KC</v>
      </c>
      <c r="C254" s="11" t="str">
        <f>VLOOKUP($A254, '26 ADP Data'!$C$3:$R$298, 16, FALSE)</f>
        <v>WR</v>
      </c>
      <c r="D254" s="11"/>
      <c r="E254" s="11"/>
      <c r="F254" s="11"/>
      <c r="G254" s="11"/>
      <c r="H254" s="11" t="s">
        <v>814</v>
      </c>
      <c r="I254" s="11">
        <f>VLOOKUP($A254, '26 ADP Data'!$C$3:$Q$298, 13, FALSE)</f>
        <v>230</v>
      </c>
      <c r="J254" s="11">
        <f>VLOOKUP($A254, '26 ADP Data'!$C$3:$Q$298, 10, FALSE)</f>
        <v>231</v>
      </c>
      <c r="K254" s="11" t="s">
        <v>678</v>
      </c>
    </row>
    <row r="255" spans="1:11" ht="14.25" hidden="1" customHeight="1" x14ac:dyDescent="0.25">
      <c r="A255" s="11" t="s">
        <v>450</v>
      </c>
      <c r="B255" s="11" t="str">
        <f>VLOOKUP($A255, '26 ADP Data'!$C$3:$R$298, 2, FALSE)</f>
        <v>SEA</v>
      </c>
      <c r="C255" s="11" t="str">
        <f>VLOOKUP($A255, '26 ADP Data'!$C$3:$R$298, 16, FALSE)</f>
        <v>WR</v>
      </c>
      <c r="D255" s="11"/>
      <c r="E255" s="11"/>
      <c r="F255" s="11"/>
      <c r="G255" s="11"/>
      <c r="H255" s="11"/>
      <c r="I255" s="11">
        <f>VLOOKUP($A255, '26 ADP Data'!$C$3:$Q$298, 13, FALSE)</f>
        <v>216</v>
      </c>
      <c r="J255" s="11" t="str">
        <f>VLOOKUP($A255, '26 ADP Data'!$C$3:$Q$298, 10, FALSE)</f>
        <v>-</v>
      </c>
      <c r="K255" s="11" t="s">
        <v>678</v>
      </c>
    </row>
    <row r="256" spans="1:11" ht="14.25" hidden="1" customHeight="1" x14ac:dyDescent="0.25">
      <c r="A256" s="11" t="s">
        <v>547</v>
      </c>
      <c r="B256" s="11" t="str">
        <f>VLOOKUP($A256, '26 ADP Data'!$C$3:$R$298, 2, FALSE)</f>
        <v>GB</v>
      </c>
      <c r="C256" s="11" t="str">
        <f>VLOOKUP($A256, '26 ADP Data'!$C$3:$R$298, 16, FALSE)</f>
        <v>DE</v>
      </c>
      <c r="D256" s="11"/>
      <c r="E256" s="11"/>
      <c r="F256" s="11"/>
      <c r="G256" s="11"/>
      <c r="H256" s="11"/>
      <c r="I256" s="11" t="str">
        <f>VLOOKUP($A256, '26 ADP Data'!$C$3:$Q$298, 13, FALSE)</f>
        <v>-</v>
      </c>
      <c r="J256" s="11">
        <f>VLOOKUP($A256, '26 ADP Data'!$C$3:$Q$298, 10, FALSE)</f>
        <v>240</v>
      </c>
      <c r="K256" s="11">
        <v>202</v>
      </c>
    </row>
    <row r="257" spans="1:11" ht="14.25" hidden="1" customHeight="1" x14ac:dyDescent="0.25">
      <c r="A257" s="11" t="s">
        <v>644</v>
      </c>
      <c r="B257" s="11" t="str">
        <f>VLOOKUP($A257, '26 ADP Data'!$C$3:$R$298, 2, FALSE)</f>
        <v>CLE</v>
      </c>
      <c r="C257" s="11" t="str">
        <f>VLOOKUP($A257, '26 ADP Data'!$C$3:$R$298, 16, FALSE)</f>
        <v>DE</v>
      </c>
      <c r="D257" s="11"/>
      <c r="E257" s="11"/>
      <c r="F257" s="11"/>
      <c r="G257" s="11"/>
      <c r="H257" s="11"/>
      <c r="I257" s="11" t="str">
        <f>VLOOKUP($A257, '26 ADP Data'!$C$3:$Q$298, 13, FALSE)</f>
        <v>-</v>
      </c>
      <c r="J257" s="11" t="str">
        <f>VLOOKUP($A257, '26 ADP Data'!$C$3:$Q$298, 10, FALSE)</f>
        <v>-</v>
      </c>
      <c r="K257" s="11">
        <v>219</v>
      </c>
    </row>
    <row r="258" spans="1:11" ht="14.25" hidden="1" customHeight="1" x14ac:dyDescent="0.25">
      <c r="A258" s="11" t="s">
        <v>621</v>
      </c>
      <c r="B258" s="11" t="str">
        <f>VLOOKUP($A258, '26 ADP Data'!$C$3:$R$298, 2, FALSE)</f>
        <v>NYG</v>
      </c>
      <c r="C258" s="11" t="str">
        <f>VLOOKUP($A258, '26 ADP Data'!$C$3:$R$298, 16, FALSE)</f>
        <v>WR</v>
      </c>
      <c r="D258" s="11"/>
      <c r="E258" s="11"/>
      <c r="F258" s="11"/>
      <c r="G258" s="11"/>
      <c r="H258" s="11"/>
      <c r="I258" s="11">
        <f>VLOOKUP($A258, '26 ADP Data'!$C$3:$Q$298, 13, FALSE)</f>
        <v>240</v>
      </c>
      <c r="J258" s="11" t="str">
        <f>VLOOKUP($A258, '26 ADP Data'!$C$3:$Q$298, 10, FALSE)</f>
        <v>-</v>
      </c>
      <c r="K258" s="11" t="s">
        <v>678</v>
      </c>
    </row>
    <row r="259" spans="1:11" ht="14.25" hidden="1" customHeight="1" x14ac:dyDescent="0.25">
      <c r="A259" s="11" t="s">
        <v>648</v>
      </c>
      <c r="B259" s="11" t="str">
        <f>VLOOKUP($A259, '26 ADP Data'!$C$3:$R$298, 2, FALSE)</f>
        <v>DEN</v>
      </c>
      <c r="C259" s="11" t="str">
        <f>VLOOKUP($A259, '26 ADP Data'!$C$3:$R$298, 16, FALSE)</f>
        <v>TE</v>
      </c>
      <c r="D259" s="11"/>
      <c r="E259" s="11"/>
      <c r="F259" s="11"/>
      <c r="G259" s="11"/>
      <c r="H259" s="11"/>
      <c r="I259" s="11">
        <f>VLOOKUP($A259, '26 ADP Data'!$C$3:$Q$298, 13, FALSE)</f>
        <v>224</v>
      </c>
      <c r="J259" s="11" t="str">
        <f>VLOOKUP($A259, '26 ADP Data'!$C$3:$Q$298, 10, FALSE)</f>
        <v>-</v>
      </c>
      <c r="K259" s="11" t="s">
        <v>678</v>
      </c>
    </row>
    <row r="260" spans="1:11" ht="14.25" hidden="1" customHeight="1" x14ac:dyDescent="0.25">
      <c r="A260" s="11" t="s">
        <v>625</v>
      </c>
      <c r="B260" s="11" t="str">
        <f>VLOOKUP($A260, '26 ADP Data'!$C$3:$R$298, 2, FALSE)</f>
        <v>CIN</v>
      </c>
      <c r="C260" s="11" t="str">
        <f>VLOOKUP($A260, '26 ADP Data'!$C$3:$R$298, 16, FALSE)</f>
        <v>TE</v>
      </c>
      <c r="D260" s="11"/>
      <c r="E260" s="11"/>
      <c r="F260" s="11"/>
      <c r="G260" s="11"/>
      <c r="H260" s="11"/>
      <c r="I260" s="11">
        <f>VLOOKUP($A260, '26 ADP Data'!$C$3:$Q$298, 13, FALSE)</f>
        <v>232</v>
      </c>
      <c r="J260" s="11" t="str">
        <f>VLOOKUP($A260, '26 ADP Data'!$C$3:$Q$298, 10, FALSE)</f>
        <v>-</v>
      </c>
      <c r="K260" s="11" t="s">
        <v>678</v>
      </c>
    </row>
    <row r="261" spans="1:11" ht="14.25" hidden="1" customHeight="1" x14ac:dyDescent="0.25">
      <c r="A261" s="11" t="s">
        <v>551</v>
      </c>
      <c r="B261" s="11" t="str">
        <f>VLOOKUP($A261, '26 ADP Data'!$C$3:$R$298, 2, FALSE)</f>
        <v>KC</v>
      </c>
      <c r="C261" s="11" t="str">
        <f>VLOOKUP($A261, '26 ADP Data'!$C$3:$R$298, 16, FALSE)</f>
        <v>DE</v>
      </c>
      <c r="D261" s="11"/>
      <c r="E261" s="11"/>
      <c r="F261" s="11"/>
      <c r="G261" s="11"/>
      <c r="H261" s="11"/>
      <c r="I261" s="11" t="str">
        <f>VLOOKUP($A261, '26 ADP Data'!$C$3:$Q$298, 13, FALSE)</f>
        <v>-</v>
      </c>
      <c r="J261" s="11">
        <f>VLOOKUP($A261, '26 ADP Data'!$C$3:$Q$298, 10, FALSE)</f>
        <v>239</v>
      </c>
      <c r="K261" s="11">
        <v>237</v>
      </c>
    </row>
    <row r="262" spans="1:11" ht="14.25" hidden="1" customHeight="1" x14ac:dyDescent="0.25">
      <c r="A262" s="11" t="s">
        <v>590</v>
      </c>
      <c r="B262" s="11" t="str">
        <f>VLOOKUP($A262, '26 ADP Data'!$C$3:$R$298, 2, FALSE)</f>
        <v>DET</v>
      </c>
      <c r="C262" s="11" t="str">
        <f>VLOOKUP($A262, '26 ADP Data'!$C$3:$R$298, 16, FALSE)</f>
        <v>WR</v>
      </c>
      <c r="D262" s="11"/>
      <c r="E262" s="11"/>
      <c r="F262" s="11"/>
      <c r="G262" s="11"/>
      <c r="H262" s="11" t="s">
        <v>797</v>
      </c>
      <c r="I262" s="11">
        <f>VLOOKUP($A262, '26 ADP Data'!$C$3:$Q$298, 13, FALSE)</f>
        <v>207</v>
      </c>
      <c r="J262" s="11" t="str">
        <f>VLOOKUP($A262, '26 ADP Data'!$C$3:$Q$298, 10, FALSE)</f>
        <v>-</v>
      </c>
      <c r="K262" s="11">
        <v>218</v>
      </c>
    </row>
    <row r="263" spans="1:11" ht="14.25" hidden="1" customHeight="1" x14ac:dyDescent="0.25">
      <c r="A263" s="11" t="s">
        <v>602</v>
      </c>
      <c r="B263" s="11" t="str">
        <f>VLOOKUP($A263, '26 ADP Data'!$C$3:$R$298, 2, FALSE)</f>
        <v>BUF</v>
      </c>
      <c r="C263" s="11" t="str">
        <f>VLOOKUP($A263, '26 ADP Data'!$C$3:$R$298, 16, FALSE)</f>
        <v>DE</v>
      </c>
      <c r="D263" s="11"/>
      <c r="E263" s="11"/>
      <c r="F263" s="11"/>
      <c r="G263" s="11"/>
      <c r="H263" s="11"/>
      <c r="I263" s="11" t="str">
        <f>VLOOKUP($A263, '26 ADP Data'!$C$3:$Q$298, 13, FALSE)</f>
        <v>-</v>
      </c>
      <c r="J263" s="11">
        <f>VLOOKUP($A263, '26 ADP Data'!$C$3:$Q$298, 10, FALSE)</f>
        <v>243</v>
      </c>
      <c r="K263" s="11">
        <v>250</v>
      </c>
    </row>
    <row r="264" spans="1:11" ht="14.25" hidden="1" customHeight="1" x14ac:dyDescent="0.25">
      <c r="A264" s="11" t="s">
        <v>465</v>
      </c>
      <c r="B264" s="11" t="str">
        <f>VLOOKUP($A264, '26 ADP Data'!$C$3:$R$298, 2, FALSE)</f>
        <v>HOU</v>
      </c>
      <c r="C264" s="11" t="str">
        <f>VLOOKUP($A264, '26 ADP Data'!$C$3:$R$298, 16, FALSE)</f>
        <v>WR</v>
      </c>
      <c r="D264" s="11"/>
      <c r="E264" s="11"/>
      <c r="F264" s="11"/>
      <c r="G264" s="11"/>
      <c r="H264" s="11"/>
      <c r="I264" s="11">
        <f>VLOOKUP($A264, '26 ADP Data'!$C$3:$Q$298, 13, FALSE)</f>
        <v>190</v>
      </c>
      <c r="J264" s="11" t="str">
        <f>VLOOKUP($A264, '26 ADP Data'!$C$3:$Q$298, 10, FALSE)</f>
        <v>-</v>
      </c>
      <c r="K264" s="11" t="s">
        <v>678</v>
      </c>
    </row>
    <row r="265" spans="1:11" ht="14.25" customHeight="1" x14ac:dyDescent="0.25">
      <c r="A265" s="11" t="s">
        <v>675</v>
      </c>
      <c r="B265" s="11" t="str">
        <f>VLOOKUP($A265, '26 ADP Data'!$C$3:$R$298, 2, FALSE)</f>
        <v>DAL</v>
      </c>
      <c r="C265" s="11" t="str">
        <f>VLOOKUP($A265, '26 ADP Data'!$C$3:$R$298, 16, FALSE)</f>
        <v>RB</v>
      </c>
      <c r="D265" s="11"/>
      <c r="E265" s="11"/>
      <c r="F265" s="11"/>
      <c r="G265" s="11"/>
      <c r="H265" s="11"/>
      <c r="I265" s="11">
        <f>VLOOKUP($A265, '26 ADP Data'!$C$3:$Q$298, 13, FALSE)</f>
        <v>285</v>
      </c>
      <c r="J265" s="11" t="str">
        <f>VLOOKUP($A265, '26 ADP Data'!$C$3:$Q$298, 10, FALSE)</f>
        <v>-</v>
      </c>
      <c r="K265" s="11" t="s">
        <v>678</v>
      </c>
    </row>
    <row r="266" spans="1:11" ht="14.25" hidden="1" customHeight="1" x14ac:dyDescent="0.25">
      <c r="A266" s="11" t="s">
        <v>664</v>
      </c>
      <c r="B266" s="11" t="str">
        <f>VLOOKUP($A266, '26 ADP Data'!$C$3:$R$298, 2, FALSE)</f>
        <v>SF</v>
      </c>
      <c r="C266" s="11" t="str">
        <f>VLOOKUP($A266, '26 ADP Data'!$C$3:$R$298, 16, FALSE)</f>
        <v>WR</v>
      </c>
      <c r="D266" s="11"/>
      <c r="E266" s="11"/>
      <c r="F266" s="11"/>
      <c r="G266" s="11"/>
      <c r="H266" s="11"/>
      <c r="I266" s="11">
        <f>VLOOKUP($A266, '26 ADP Data'!$C$3:$Q$298, 13, FALSE)</f>
        <v>278</v>
      </c>
      <c r="J266" s="11" t="str">
        <f>VLOOKUP($A266, '26 ADP Data'!$C$3:$Q$298, 10, FALSE)</f>
        <v>-</v>
      </c>
      <c r="K266" s="11" t="s">
        <v>678</v>
      </c>
    </row>
    <row r="267" spans="1:11" ht="14.25" customHeight="1" x14ac:dyDescent="0.25">
      <c r="A267" s="11" t="s">
        <v>606</v>
      </c>
      <c r="B267" s="11" t="str">
        <f>VLOOKUP($A267, '26 ADP Data'!$C$3:$R$298, 2, FALSE)</f>
        <v>CIN</v>
      </c>
      <c r="C267" s="11" t="str">
        <f>VLOOKUP($A267, '26 ADP Data'!$C$3:$R$298, 16, FALSE)</f>
        <v>RB</v>
      </c>
      <c r="D267" s="11"/>
      <c r="E267" s="11"/>
      <c r="F267" s="11"/>
      <c r="G267" s="11"/>
      <c r="H267" s="11"/>
      <c r="I267" s="11">
        <f>VLOOKUP($A267, '26 ADP Data'!$C$3:$Q$298, 13, FALSE)</f>
        <v>223</v>
      </c>
      <c r="J267" s="11">
        <f>VLOOKUP($A267, '26 ADP Data'!$C$3:$Q$298, 10, FALSE)</f>
        <v>230</v>
      </c>
      <c r="K267" s="11" t="s">
        <v>678</v>
      </c>
    </row>
    <row r="268" spans="1:11" ht="14.25" hidden="1" customHeight="1" x14ac:dyDescent="0.25">
      <c r="A268" s="11" t="s">
        <v>695</v>
      </c>
      <c r="B268" s="11" t="str">
        <f>VLOOKUP($A268, '26 ADP Data'!$C$3:$R$298, 2, FALSE)</f>
        <v>CLE</v>
      </c>
      <c r="C268" s="11" t="str">
        <f>VLOOKUP($A268, '26 ADP Data'!$C$3:$R$298, 16, FALSE)</f>
        <v>QB</v>
      </c>
      <c r="D268" s="11"/>
      <c r="E268" s="11"/>
      <c r="F268" s="11"/>
      <c r="G268" s="11"/>
      <c r="H268" s="11"/>
      <c r="I268" s="11">
        <f>VLOOKUP($A268, '26 ADP Data'!$C$3:$Q$298, 13, FALSE)</f>
        <v>235</v>
      </c>
      <c r="J268" s="11" t="str">
        <f>VLOOKUP($A268, '26 ADP Data'!$C$3:$Q$298, 10, FALSE)</f>
        <v>-</v>
      </c>
      <c r="K268" s="11" t="s">
        <v>678</v>
      </c>
    </row>
    <row r="269" spans="1:11" ht="14.25" hidden="1" customHeight="1" x14ac:dyDescent="0.25">
      <c r="A269" s="11" t="s">
        <v>627</v>
      </c>
      <c r="B269" s="11" t="str">
        <f>VLOOKUP($A269, '26 ADP Data'!$C$3:$R$298, 2, FALSE)</f>
        <v>LV</v>
      </c>
      <c r="C269" s="11" t="str">
        <f>VLOOKUP($A269, '26 ADP Data'!$C$3:$R$298, 16, FALSE)</f>
        <v>QB</v>
      </c>
      <c r="D269" s="11"/>
      <c r="E269" s="11"/>
      <c r="F269" s="11"/>
      <c r="G269" s="11"/>
      <c r="H269" s="11"/>
      <c r="I269" s="11">
        <f>VLOOKUP($A269, '26 ADP Data'!$C$3:$Q$298, 13, FALSE)</f>
        <v>238</v>
      </c>
      <c r="J269" s="11" t="str">
        <f>VLOOKUP($A269, '26 ADP Data'!$C$3:$Q$298, 10, FALSE)</f>
        <v>-</v>
      </c>
      <c r="K269" s="11" t="s">
        <v>678</v>
      </c>
    </row>
    <row r="270" spans="1:11" ht="14.25" hidden="1" customHeight="1" x14ac:dyDescent="0.25">
      <c r="A270" s="11" t="s">
        <v>688</v>
      </c>
      <c r="B270" s="11" t="str">
        <f>VLOOKUP($A270, '26 ADP Data'!$C$3:$R$298, 2, FALSE)</f>
        <v>ATL</v>
      </c>
      <c r="C270" s="11" t="str">
        <f>VLOOKUP($A270, '26 ADP Data'!$C$3:$R$298, 16, FALSE)</f>
        <v>QB</v>
      </c>
      <c r="D270" s="11"/>
      <c r="E270" s="11"/>
      <c r="F270" s="11"/>
      <c r="G270" s="11"/>
      <c r="H270" s="11"/>
      <c r="I270" s="11">
        <f>VLOOKUP($A270, '26 ADP Data'!$C$3:$Q$298, 13, FALSE)</f>
        <v>211</v>
      </c>
      <c r="J270" s="11">
        <f>VLOOKUP($A270, '26 ADP Data'!$C$3:$Q$298, 10, FALSE)</f>
        <v>250</v>
      </c>
      <c r="K270" s="11" t="s">
        <v>678</v>
      </c>
    </row>
    <row r="271" spans="1:11" ht="14.25" hidden="1" customHeight="1" x14ac:dyDescent="0.25">
      <c r="A271" s="11" t="s">
        <v>815</v>
      </c>
      <c r="B271" s="11" t="e">
        <f>VLOOKUP($A271, '26 ADP Data'!$C$3:$R$298, 2, FALSE)</f>
        <v>#N/A</v>
      </c>
      <c r="C271" s="11" t="e">
        <f>VLOOKUP($A271, '26 ADP Data'!$C$3:$R$298, 16, FALSE)</f>
        <v>#N/A</v>
      </c>
      <c r="D271" s="11"/>
      <c r="E271" s="11"/>
      <c r="F271" s="11"/>
      <c r="G271" s="11"/>
      <c r="H271" s="11"/>
      <c r="I271" s="11" t="e">
        <f>VLOOKUP($A271, '26 ADP Data'!$C$3:$Q$298, 13, FALSE)</f>
        <v>#N/A</v>
      </c>
      <c r="J271" s="11" t="e">
        <f>VLOOKUP($A271, '26 ADP Data'!$C$3:$Q$298, 10, FALSE)</f>
        <v>#N/A</v>
      </c>
      <c r="K271" s="11">
        <v>208</v>
      </c>
    </row>
    <row r="272" spans="1:11" ht="14.25" customHeight="1" x14ac:dyDescent="0.25">
      <c r="A272" s="11" t="s">
        <v>706</v>
      </c>
      <c r="B272" s="11" t="e">
        <f>VLOOKUP($A272, '26 ADP Data'!$C$3:$R$298, 2, FALSE)</f>
        <v>#N/A</v>
      </c>
      <c r="C272" s="11" t="e">
        <f>VLOOKUP($A272, '26 ADP Data'!$C$3:$R$298, 16, FALSE)</f>
        <v>#N/A</v>
      </c>
      <c r="D272" s="11"/>
      <c r="E272" s="11"/>
      <c r="F272" s="11"/>
      <c r="G272" s="11"/>
      <c r="H272" s="11"/>
      <c r="I272" s="11" t="e">
        <f>VLOOKUP($A272, '26 ADP Data'!$C$3:$Q$298, 13, FALSE)</f>
        <v>#N/A</v>
      </c>
      <c r="J272" s="11" t="e">
        <f>VLOOKUP($A272, '26 ADP Data'!$C$3:$Q$298, 10, FALSE)</f>
        <v>#N/A</v>
      </c>
      <c r="K272" s="11">
        <v>227</v>
      </c>
    </row>
    <row r="273" spans="1:11" ht="14.25" hidden="1" customHeight="1" x14ac:dyDescent="0.25">
      <c r="A273" s="11" t="s">
        <v>816</v>
      </c>
      <c r="B273" s="11" t="e">
        <f>VLOOKUP($A273, '26 ADP Data'!$C$3:$R$298, 2, FALSE)</f>
        <v>#N/A</v>
      </c>
      <c r="C273" s="11" t="e">
        <f>VLOOKUP($A273, '26 ADP Data'!$C$3:$R$298, 16, FALSE)</f>
        <v>#N/A</v>
      </c>
      <c r="D273" s="11"/>
      <c r="E273" s="11"/>
      <c r="F273" s="11"/>
      <c r="G273" s="11"/>
      <c r="H273" s="11"/>
      <c r="I273" s="11" t="e">
        <f>VLOOKUP($A273, '26 ADP Data'!$C$3:$Q$298, 13, FALSE)</f>
        <v>#N/A</v>
      </c>
      <c r="J273" s="11" t="e">
        <f>VLOOKUP($A273, '26 ADP Data'!$C$3:$Q$298, 10, FALSE)</f>
        <v>#N/A</v>
      </c>
      <c r="K273" s="11" t="s">
        <v>678</v>
      </c>
    </row>
    <row r="274" spans="1:11" ht="14.25" hidden="1" customHeight="1" x14ac:dyDescent="0.25">
      <c r="A274" s="11" t="s">
        <v>652</v>
      </c>
      <c r="B274" s="11" t="str">
        <f>VLOOKUP($A274, '26 ADP Data'!$C$3:$R$298, 2, FALSE)</f>
        <v>BUF</v>
      </c>
      <c r="C274" s="11" t="str">
        <f>VLOOKUP($A274, '26 ADP Data'!$C$3:$R$298, 16, FALSE)</f>
        <v>WR</v>
      </c>
      <c r="D274" s="11"/>
      <c r="E274" s="11"/>
      <c r="F274" s="11"/>
      <c r="G274" s="11"/>
      <c r="H274" s="11"/>
      <c r="I274" s="11">
        <f>VLOOKUP($A274, '26 ADP Data'!$C$3:$Q$298, 13, FALSE)</f>
        <v>217</v>
      </c>
      <c r="J274" s="11" t="str">
        <f>VLOOKUP($A274, '26 ADP Data'!$C$3:$Q$298, 10, FALSE)</f>
        <v>-</v>
      </c>
      <c r="K274" s="11" t="s">
        <v>678</v>
      </c>
    </row>
    <row r="275" spans="1:11" ht="14.25" hidden="1" customHeight="1" x14ac:dyDescent="0.25">
      <c r="A275" s="11" t="s">
        <v>817</v>
      </c>
      <c r="B275" s="11" t="e">
        <f>VLOOKUP($A275, '26 ADP Data'!$C$3:$R$298, 2, FALSE)</f>
        <v>#N/A</v>
      </c>
      <c r="C275" s="11" t="e">
        <f>VLOOKUP($A275, '26 ADP Data'!$C$3:$R$298, 16, FALSE)</f>
        <v>#N/A</v>
      </c>
      <c r="D275" s="11"/>
      <c r="E275" s="11"/>
      <c r="F275" s="11"/>
      <c r="G275" s="11"/>
      <c r="H275" s="11"/>
      <c r="I275" s="11" t="e">
        <f>VLOOKUP($A275, '26 ADP Data'!$C$3:$Q$298, 13, FALSE)</f>
        <v>#N/A</v>
      </c>
      <c r="J275" s="11" t="e">
        <f>VLOOKUP($A275, '26 ADP Data'!$C$3:$Q$298, 10, FALSE)</f>
        <v>#N/A</v>
      </c>
      <c r="K275" s="11">
        <v>226</v>
      </c>
    </row>
    <row r="276" spans="1:11" ht="14.25" hidden="1" customHeight="1" x14ac:dyDescent="0.25">
      <c r="A276" s="11" t="s">
        <v>818</v>
      </c>
      <c r="B276" s="11" t="e">
        <f>VLOOKUP($A276, '26 ADP Data'!$C$3:$R$298, 2, FALSE)</f>
        <v>#N/A</v>
      </c>
      <c r="C276" s="11" t="e">
        <f>VLOOKUP($A276, '26 ADP Data'!$C$3:$R$298, 16, FALSE)</f>
        <v>#N/A</v>
      </c>
      <c r="D276" s="11">
        <v>14</v>
      </c>
      <c r="E276" s="11"/>
      <c r="F276" s="11"/>
      <c r="G276" s="11">
        <v>65</v>
      </c>
      <c r="H276" s="11" t="s">
        <v>819</v>
      </c>
      <c r="I276" s="11" t="e">
        <f>VLOOKUP($A276, '26 ADP Data'!$C$3:$Q$298, 13, FALSE)</f>
        <v>#N/A</v>
      </c>
      <c r="J276" s="11" t="e">
        <f>VLOOKUP($A276, '26 ADP Data'!$C$3:$Q$298, 10, FALSE)</f>
        <v>#N/A</v>
      </c>
      <c r="K276" s="11" t="s">
        <v>678</v>
      </c>
    </row>
    <row r="277" spans="1:11" ht="14.25" hidden="1" customHeight="1" x14ac:dyDescent="0.25">
      <c r="A277" s="11" t="s">
        <v>820</v>
      </c>
      <c r="B277" s="11" t="e">
        <f>VLOOKUP($A277, '26 ADP Data'!$C$3:$R$298, 2, FALSE)</f>
        <v>#N/A</v>
      </c>
      <c r="C277" s="11" t="e">
        <f>VLOOKUP($A277, '26 ADP Data'!$C$3:$R$298, 16, FALSE)</f>
        <v>#N/A</v>
      </c>
      <c r="D277" s="11"/>
      <c r="E277" s="11"/>
      <c r="F277" s="11"/>
      <c r="G277" s="11"/>
      <c r="H277" s="11"/>
      <c r="I277" s="11" t="e">
        <f>VLOOKUP($A277, '26 ADP Data'!$C$3:$Q$298, 13, FALSE)</f>
        <v>#N/A</v>
      </c>
      <c r="J277" s="11" t="e">
        <f>VLOOKUP($A277, '26 ADP Data'!$C$3:$Q$298, 10, FALSE)</f>
        <v>#N/A</v>
      </c>
      <c r="K277" s="11" t="s">
        <v>678</v>
      </c>
    </row>
    <row r="278" spans="1:11" ht="14.25" customHeight="1" x14ac:dyDescent="0.25">
      <c r="A278" s="11" t="s">
        <v>638</v>
      </c>
      <c r="B278" s="11" t="str">
        <f>VLOOKUP($A278, '26 ADP Data'!$C$3:$R$298, 2, FALSE)</f>
        <v>DAL</v>
      </c>
      <c r="C278" s="11" t="str">
        <f>VLOOKUP($A278, '26 ADP Data'!$C$3:$R$298, 16, FALSE)</f>
        <v>RB</v>
      </c>
      <c r="D278" s="11"/>
      <c r="E278" s="11"/>
      <c r="F278" s="11"/>
      <c r="G278" s="11"/>
      <c r="H278" s="11"/>
      <c r="I278" s="11">
        <f>VLOOKUP($A278, '26 ADP Data'!$C$3:$Q$298, 13, FALSE)</f>
        <v>221</v>
      </c>
      <c r="J278" s="11">
        <f>VLOOKUP($A278, '26 ADP Data'!$C$3:$Q$298, 10, FALSE)</f>
        <v>176</v>
      </c>
      <c r="K278" s="11" t="s">
        <v>678</v>
      </c>
    </row>
    <row r="279" spans="1:11" ht="14.25" hidden="1" customHeight="1" x14ac:dyDescent="0.25">
      <c r="A279" s="11" t="s">
        <v>821</v>
      </c>
      <c r="B279" s="11" t="e">
        <f>VLOOKUP($A279, '26 ADP Data'!$C$3:$R$298, 2, FALSE)</f>
        <v>#N/A</v>
      </c>
      <c r="C279" s="11" t="e">
        <f>VLOOKUP($A279, '26 ADP Data'!$C$3:$R$298, 16, FALSE)</f>
        <v>#N/A</v>
      </c>
      <c r="D279" s="11">
        <v>14</v>
      </c>
      <c r="E279" s="11" t="s">
        <v>148</v>
      </c>
      <c r="F279" s="11"/>
      <c r="G279" s="11">
        <v>65</v>
      </c>
      <c r="H279" s="11" t="s">
        <v>822</v>
      </c>
      <c r="I279" s="11" t="e">
        <f>VLOOKUP($A279, '26 ADP Data'!$C$3:$Q$298, 13, FALSE)</f>
        <v>#N/A</v>
      </c>
      <c r="J279" s="11" t="e">
        <f>VLOOKUP($A279, '26 ADP Data'!$C$3:$Q$298, 10, FALSE)</f>
        <v>#N/A</v>
      </c>
      <c r="K279" s="11" t="s">
        <v>678</v>
      </c>
    </row>
    <row r="280" spans="1:11" ht="14.25" hidden="1" customHeight="1" x14ac:dyDescent="0.25">
      <c r="A280" s="11" t="s">
        <v>666</v>
      </c>
      <c r="B280" s="11" t="e">
        <f>VLOOKUP($A280, '26 ADP Data'!$C$3:$R$298, 2, FALSE)</f>
        <v>#N/A</v>
      </c>
      <c r="C280" s="11" t="e">
        <f>VLOOKUP($A280, '26 ADP Data'!$C$3:$R$298, 16, FALSE)</f>
        <v>#N/A</v>
      </c>
      <c r="D280" s="11"/>
      <c r="E280" s="11"/>
      <c r="F280" s="11"/>
      <c r="G280" s="11"/>
      <c r="H280" s="11"/>
      <c r="I280" s="11" t="e">
        <f>VLOOKUP($A280, '26 ADP Data'!$C$3:$Q$298, 13, FALSE)</f>
        <v>#N/A</v>
      </c>
      <c r="J280" s="11" t="e">
        <f>VLOOKUP($A280, '26 ADP Data'!$C$3:$Q$298, 10, FALSE)</f>
        <v>#N/A</v>
      </c>
      <c r="K280" s="11" t="s">
        <v>678</v>
      </c>
    </row>
    <row r="281" spans="1:11" ht="14.25" hidden="1" customHeight="1" x14ac:dyDescent="0.25">
      <c r="A281" s="11" t="s">
        <v>823</v>
      </c>
      <c r="B281" s="11" t="e">
        <f>VLOOKUP($A281, '26 ADP Data'!$C$3:$R$298, 2, FALSE)</f>
        <v>#N/A</v>
      </c>
      <c r="C281" s="11" t="e">
        <f>VLOOKUP($A281, '26 ADP Data'!$C$3:$R$298, 16, FALSE)</f>
        <v>#N/A</v>
      </c>
      <c r="D281" s="11"/>
      <c r="E281" s="11"/>
      <c r="F281" s="11"/>
      <c r="G281" s="11"/>
      <c r="H281" s="11"/>
      <c r="I281" s="11" t="e">
        <f>VLOOKUP($A281, '26 ADP Data'!$C$3:$Q$298, 13, FALSE)</f>
        <v>#N/A</v>
      </c>
      <c r="J281" s="11" t="e">
        <f>VLOOKUP($A281, '26 ADP Data'!$C$3:$Q$298, 10, FALSE)</f>
        <v>#N/A</v>
      </c>
      <c r="K281" s="11" t="s">
        <v>678</v>
      </c>
    </row>
    <row r="282" spans="1:11" ht="14.25" hidden="1" customHeight="1" x14ac:dyDescent="0.25">
      <c r="A282" s="11" t="s">
        <v>824</v>
      </c>
      <c r="B282" s="11" t="e">
        <f>VLOOKUP($A282, '26 ADP Data'!$C$3:$R$298, 2, FALSE)</f>
        <v>#N/A</v>
      </c>
      <c r="C282" s="11" t="e">
        <f>VLOOKUP($A282, '26 ADP Data'!$C$3:$R$298, 16, FALSE)</f>
        <v>#N/A</v>
      </c>
      <c r="D282" s="11"/>
      <c r="E282" s="11"/>
      <c r="F282" s="11"/>
      <c r="G282" s="11"/>
      <c r="H282" s="11"/>
      <c r="I282" s="11" t="e">
        <f>VLOOKUP($A282, '26 ADP Data'!$C$3:$Q$298, 13, FALSE)</f>
        <v>#N/A</v>
      </c>
      <c r="J282" s="11" t="e">
        <f>VLOOKUP($A282, '26 ADP Data'!$C$3:$Q$298, 10, FALSE)</f>
        <v>#N/A</v>
      </c>
      <c r="K282" s="11" t="s">
        <v>678</v>
      </c>
    </row>
    <row r="283" spans="1:11" ht="14.25" hidden="1" customHeight="1" x14ac:dyDescent="0.25">
      <c r="A283" s="11" t="s">
        <v>825</v>
      </c>
      <c r="B283" s="11" t="e">
        <f>VLOOKUP($A283, '26 ADP Data'!$C$3:$R$298, 2, FALSE)</f>
        <v>#N/A</v>
      </c>
      <c r="C283" s="11" t="e">
        <f>VLOOKUP($A283, '26 ADP Data'!$C$3:$R$298, 16, FALSE)</f>
        <v>#N/A</v>
      </c>
      <c r="D283" s="11"/>
      <c r="E283" s="11"/>
      <c r="F283" s="11"/>
      <c r="G283" s="11"/>
      <c r="H283" s="11"/>
      <c r="I283" s="11" t="e">
        <f>VLOOKUP($A283, '26 ADP Data'!$C$3:$Q$298, 13, FALSE)</f>
        <v>#N/A</v>
      </c>
      <c r="J283" s="11" t="e">
        <f>VLOOKUP($A283, '26 ADP Data'!$C$3:$Q$298, 10, FALSE)</f>
        <v>#N/A</v>
      </c>
      <c r="K283" s="11" t="s">
        <v>678</v>
      </c>
    </row>
    <row r="284" spans="1:11" ht="14.25" hidden="1" customHeight="1" x14ac:dyDescent="0.25">
      <c r="A284" s="11" t="s">
        <v>826</v>
      </c>
      <c r="B284" s="11" t="e">
        <f>VLOOKUP($A284, '26 ADP Data'!$C$3:$R$298, 2, FALSE)</f>
        <v>#N/A</v>
      </c>
      <c r="C284" s="11" t="e">
        <f>VLOOKUP($A284, '26 ADP Data'!$C$3:$R$298, 16, FALSE)</f>
        <v>#N/A</v>
      </c>
      <c r="D284" s="11"/>
      <c r="E284" s="11"/>
      <c r="F284" s="11"/>
      <c r="G284" s="11"/>
      <c r="H284" s="11"/>
      <c r="I284" s="11" t="e">
        <f>VLOOKUP($A284, '26 ADP Data'!$C$3:$Q$298, 13, FALSE)</f>
        <v>#N/A</v>
      </c>
      <c r="J284" s="11" t="e">
        <f>VLOOKUP($A284, '26 ADP Data'!$C$3:$Q$298, 10, FALSE)</f>
        <v>#N/A</v>
      </c>
      <c r="K284" s="11">
        <v>232</v>
      </c>
    </row>
    <row r="285" spans="1:11" ht="14.25" hidden="1" customHeight="1" x14ac:dyDescent="0.25">
      <c r="A285" s="11" t="s">
        <v>827</v>
      </c>
      <c r="B285" s="11" t="e">
        <f>VLOOKUP($A285, '26 ADP Data'!$C$3:$R$298, 2, FALSE)</f>
        <v>#N/A</v>
      </c>
      <c r="C285" s="11" t="e">
        <f>VLOOKUP($A285, '26 ADP Data'!$C$3:$R$298, 16, FALSE)</f>
        <v>#N/A</v>
      </c>
      <c r="D285" s="11"/>
      <c r="E285" s="11"/>
      <c r="F285" s="11"/>
      <c r="G285" s="11"/>
      <c r="H285" s="11"/>
      <c r="I285" s="11" t="e">
        <f>VLOOKUP($A285, '26 ADP Data'!$C$3:$Q$298, 13, FALSE)</f>
        <v>#N/A</v>
      </c>
      <c r="J285" s="11" t="e">
        <f>VLOOKUP($A285, '26 ADP Data'!$C$3:$Q$298, 10, FALSE)</f>
        <v>#N/A</v>
      </c>
      <c r="K285" s="11" t="s">
        <v>678</v>
      </c>
    </row>
    <row r="286" spans="1:11" ht="14.25" hidden="1" customHeight="1" x14ac:dyDescent="0.25">
      <c r="A286" s="11" t="s">
        <v>828</v>
      </c>
      <c r="B286" s="11" t="e">
        <f>VLOOKUP($A286, '26 ADP Data'!$C$3:$R$298, 2, FALSE)</f>
        <v>#N/A</v>
      </c>
      <c r="C286" s="11" t="e">
        <f>VLOOKUP($A286, '26 ADP Data'!$C$3:$R$298, 16, FALSE)</f>
        <v>#N/A</v>
      </c>
      <c r="D286" s="11"/>
      <c r="E286" s="11"/>
      <c r="F286" s="11"/>
      <c r="G286" s="11"/>
      <c r="H286" s="11"/>
      <c r="I286" s="11" t="e">
        <f>VLOOKUP($A286, '26 ADP Data'!$C$3:$Q$298, 13, FALSE)</f>
        <v>#N/A</v>
      </c>
      <c r="J286" s="11" t="e">
        <f>VLOOKUP($A286, '26 ADP Data'!$C$3:$Q$298, 10, FALSE)</f>
        <v>#N/A</v>
      </c>
      <c r="K286" s="11" t="s">
        <v>678</v>
      </c>
    </row>
    <row r="287" spans="1:11" ht="14.25" hidden="1" customHeight="1" x14ac:dyDescent="0.25">
      <c r="A287" s="11" t="s">
        <v>829</v>
      </c>
      <c r="B287" s="11" t="e">
        <f>VLOOKUP($A287, '26 ADP Data'!$C$3:$R$298, 2, FALSE)</f>
        <v>#N/A</v>
      </c>
      <c r="C287" s="11" t="e">
        <f>VLOOKUP($A287, '26 ADP Data'!$C$3:$R$298, 16, FALSE)</f>
        <v>#N/A</v>
      </c>
      <c r="D287" s="11"/>
      <c r="E287" s="11"/>
      <c r="F287" s="11"/>
      <c r="G287" s="11"/>
      <c r="H287" s="11"/>
      <c r="I287" s="11" t="e">
        <f>VLOOKUP($A287, '26 ADP Data'!$C$3:$Q$298, 13, FALSE)</f>
        <v>#N/A</v>
      </c>
      <c r="J287" s="11" t="e">
        <f>VLOOKUP($A287, '26 ADP Data'!$C$3:$Q$298, 10, FALSE)</f>
        <v>#N/A</v>
      </c>
      <c r="K287" s="11">
        <v>244</v>
      </c>
    </row>
    <row r="288" spans="1:11" ht="14.25" hidden="1" customHeight="1" x14ac:dyDescent="0.25">
      <c r="A288" s="11" t="s">
        <v>830</v>
      </c>
      <c r="B288" s="11" t="e">
        <f>VLOOKUP($A288, '26 ADP Data'!$C$3:$R$298, 2, FALSE)</f>
        <v>#N/A</v>
      </c>
      <c r="C288" s="11" t="e">
        <f>VLOOKUP($A288, '26 ADP Data'!$C$3:$R$298, 16, FALSE)</f>
        <v>#N/A</v>
      </c>
      <c r="D288" s="11"/>
      <c r="E288" s="11"/>
      <c r="F288" s="11"/>
      <c r="G288" s="11"/>
      <c r="H288" s="11" t="s">
        <v>831</v>
      </c>
      <c r="I288" s="11" t="e">
        <f>VLOOKUP($A288, '26 ADP Data'!$C$3:$Q$298, 13, FALSE)</f>
        <v>#N/A</v>
      </c>
      <c r="J288" s="11" t="e">
        <f>VLOOKUP($A288, '26 ADP Data'!$C$3:$Q$298, 10, FALSE)</f>
        <v>#N/A</v>
      </c>
      <c r="K288" s="11" t="s">
        <v>678</v>
      </c>
    </row>
    <row r="289" spans="1:11" ht="14.25" hidden="1" customHeight="1" x14ac:dyDescent="0.25">
      <c r="A289" s="11" t="s">
        <v>832</v>
      </c>
      <c r="B289" s="11" t="e">
        <f>VLOOKUP($A289, '26 ADP Data'!$C$3:$R$298, 2, FALSE)</f>
        <v>#N/A</v>
      </c>
      <c r="C289" s="11" t="e">
        <f>VLOOKUP($A289, '26 ADP Data'!$C$3:$R$298, 16, FALSE)</f>
        <v>#N/A</v>
      </c>
      <c r="D289" s="11"/>
      <c r="E289" s="11"/>
      <c r="F289" s="11"/>
      <c r="G289" s="11"/>
      <c r="H289" s="11" t="s">
        <v>807</v>
      </c>
      <c r="I289" s="11" t="e">
        <f>VLOOKUP($A289, '26 ADP Data'!$C$3:$Q$298, 13, FALSE)</f>
        <v>#N/A</v>
      </c>
      <c r="J289" s="11" t="e">
        <f>VLOOKUP($A289, '26 ADP Data'!$C$3:$Q$298, 10, FALSE)</f>
        <v>#N/A</v>
      </c>
      <c r="K289" s="11">
        <v>245</v>
      </c>
    </row>
    <row r="290" spans="1:11" ht="14.25" hidden="1" customHeight="1" x14ac:dyDescent="0.25">
      <c r="A290" s="11" t="s">
        <v>833</v>
      </c>
      <c r="B290" s="11" t="e">
        <f>VLOOKUP($A290, '26 ADP Data'!$C$3:$R$298, 2, FALSE)</f>
        <v>#N/A</v>
      </c>
      <c r="C290" s="11" t="e">
        <f>VLOOKUP($A290, '26 ADP Data'!$C$3:$R$298, 16, FALSE)</f>
        <v>#N/A</v>
      </c>
      <c r="D290" s="11"/>
      <c r="E290" s="11"/>
      <c r="F290" s="11"/>
      <c r="G290" s="11"/>
      <c r="H290" s="11" t="s">
        <v>807</v>
      </c>
      <c r="I290" s="11" t="e">
        <f>VLOOKUP($A290, '26 ADP Data'!$C$3:$Q$298, 13, FALSE)</f>
        <v>#N/A</v>
      </c>
      <c r="J290" s="11" t="e">
        <f>VLOOKUP($A290, '26 ADP Data'!$C$3:$Q$298, 10, FALSE)</f>
        <v>#N/A</v>
      </c>
      <c r="K290" s="11">
        <v>230</v>
      </c>
    </row>
    <row r="291" spans="1:11" ht="14.25" hidden="1" customHeight="1" x14ac:dyDescent="0.25">
      <c r="A291" s="11" t="s">
        <v>834</v>
      </c>
      <c r="B291" s="11" t="e">
        <f>VLOOKUP($A291, '26 ADP Data'!$C$3:$R$298, 2, FALSE)</f>
        <v>#N/A</v>
      </c>
      <c r="C291" s="11" t="e">
        <f>VLOOKUP($A291, '26 ADP Data'!$C$3:$R$298, 16, FALSE)</f>
        <v>#N/A</v>
      </c>
      <c r="D291" s="11"/>
      <c r="E291" s="11"/>
      <c r="F291" s="11"/>
      <c r="G291" s="11"/>
      <c r="H291" s="11"/>
      <c r="I291" s="11" t="e">
        <f>VLOOKUP($A291, '26 ADP Data'!$C$3:$Q$298, 13, FALSE)</f>
        <v>#N/A</v>
      </c>
      <c r="J291" s="11" t="e">
        <f>VLOOKUP($A291, '26 ADP Data'!$C$3:$Q$298, 10, FALSE)</f>
        <v>#N/A</v>
      </c>
      <c r="K291" s="11" t="s">
        <v>678</v>
      </c>
    </row>
    <row r="292" spans="1:11" ht="14.25" customHeight="1" x14ac:dyDescent="0.25">
      <c r="A292" s="11" t="s">
        <v>615</v>
      </c>
      <c r="B292" s="11" t="str">
        <f>VLOOKUP($A292, '26 ADP Data'!$C$3:$R$298, 2, FALSE)</f>
        <v>GB</v>
      </c>
      <c r="C292" s="11" t="str">
        <f>VLOOKUP($A292, '26 ADP Data'!$C$3:$R$298, 16, FALSE)</f>
        <v>RB</v>
      </c>
      <c r="D292" s="11"/>
      <c r="E292" s="11"/>
      <c r="F292" s="11"/>
      <c r="G292" s="11"/>
      <c r="H292" s="11" t="s">
        <v>835</v>
      </c>
      <c r="I292" s="11" t="str">
        <f>VLOOKUP($A292, '26 ADP Data'!$C$3:$Q$298, 13, FALSE)</f>
        <v>-</v>
      </c>
      <c r="J292" s="11">
        <f>VLOOKUP($A292, '26 ADP Data'!$C$3:$Q$298, 10, FALSE)</f>
        <v>210</v>
      </c>
      <c r="K292" s="11">
        <v>187</v>
      </c>
    </row>
    <row r="293" spans="1:11" ht="14.25" hidden="1" customHeight="1" x14ac:dyDescent="0.25">
      <c r="A293" s="11" t="s">
        <v>836</v>
      </c>
      <c r="B293" s="11" t="e">
        <f>VLOOKUP($A293, '26 ADP Data'!$C$3:$R$298, 2, FALSE)</f>
        <v>#N/A</v>
      </c>
      <c r="C293" s="11" t="e">
        <f>VLOOKUP($A293, '26 ADP Data'!$C$3:$R$298, 16, FALSE)</f>
        <v>#N/A</v>
      </c>
      <c r="D293" s="11"/>
      <c r="E293" s="11"/>
      <c r="F293" s="11"/>
      <c r="G293" s="11"/>
      <c r="H293" s="11"/>
      <c r="I293" s="11" t="e">
        <f>VLOOKUP($A293, '26 ADP Data'!$C$3:$Q$298, 13, FALSE)</f>
        <v>#N/A</v>
      </c>
      <c r="J293" s="11" t="e">
        <f>VLOOKUP($A293, '26 ADP Data'!$C$3:$Q$298, 10, FALSE)</f>
        <v>#N/A</v>
      </c>
      <c r="K293" s="11" t="s">
        <v>678</v>
      </c>
    </row>
    <row r="294" spans="1:11" ht="14.25" hidden="1" customHeight="1" x14ac:dyDescent="0.25">
      <c r="A294" s="11" t="s">
        <v>837</v>
      </c>
      <c r="B294" s="11" t="e">
        <f>VLOOKUP($A294, '26 ADP Data'!$C$3:$R$298, 2, FALSE)</f>
        <v>#N/A</v>
      </c>
      <c r="C294" s="11" t="e">
        <f>VLOOKUP($A294, '26 ADP Data'!$C$3:$R$298, 16, FALSE)</f>
        <v>#N/A</v>
      </c>
      <c r="D294" s="11"/>
      <c r="E294" s="11"/>
      <c r="F294" s="11"/>
      <c r="G294" s="11"/>
      <c r="H294" s="11"/>
      <c r="I294" s="11" t="e">
        <f>VLOOKUP($A294, '26 ADP Data'!$C$3:$Q$298, 13, FALSE)</f>
        <v>#N/A</v>
      </c>
      <c r="J294" s="11" t="e">
        <f>VLOOKUP($A294, '26 ADP Data'!$C$3:$Q$298, 10, FALSE)</f>
        <v>#N/A</v>
      </c>
      <c r="K294" s="11" t="s">
        <v>678</v>
      </c>
    </row>
    <row r="295" spans="1:11" ht="14.25" hidden="1" customHeight="1" x14ac:dyDescent="0.25">
      <c r="A295" s="11" t="s">
        <v>838</v>
      </c>
      <c r="B295" s="11" t="e">
        <f>VLOOKUP($A295, '26 ADP Data'!$C$3:$R$298, 2, FALSE)</f>
        <v>#N/A</v>
      </c>
      <c r="C295" s="11" t="e">
        <f>VLOOKUP($A295, '26 ADP Data'!$C$3:$R$298, 16, FALSE)</f>
        <v>#N/A</v>
      </c>
      <c r="D295" s="11"/>
      <c r="E295" s="11"/>
      <c r="F295" s="11"/>
      <c r="G295" s="11"/>
      <c r="H295" s="11"/>
      <c r="I295" s="11" t="e">
        <f>VLOOKUP($A295, '26 ADP Data'!$C$3:$Q$298, 13, FALSE)</f>
        <v>#N/A</v>
      </c>
      <c r="J295" s="11" t="e">
        <f>VLOOKUP($A295, '26 ADP Data'!$C$3:$Q$298, 10, FALSE)</f>
        <v>#N/A</v>
      </c>
      <c r="K295" s="11" t="s">
        <v>678</v>
      </c>
    </row>
    <row r="296" spans="1:11" ht="14.25" hidden="1" customHeight="1" x14ac:dyDescent="0.25">
      <c r="A296" s="11" t="s">
        <v>527</v>
      </c>
      <c r="B296" s="11" t="str">
        <f>VLOOKUP($A296, '26 ADP Data'!$C$3:$R$298, 2, FALSE)</f>
        <v>DAL</v>
      </c>
      <c r="C296" s="11" t="str">
        <f>VLOOKUP($A296, '26 ADP Data'!$C$3:$R$298, 16, FALSE)</f>
        <v>K-</v>
      </c>
      <c r="D296" s="11"/>
      <c r="E296" s="11"/>
      <c r="F296" s="11"/>
      <c r="G296" s="11"/>
      <c r="H296" s="11"/>
      <c r="I296" s="11" t="str">
        <f>VLOOKUP($A296, '26 ADP Data'!$C$3:$Q$298, 13, FALSE)</f>
        <v>-</v>
      </c>
      <c r="J296" s="11">
        <f>VLOOKUP($A296, '26 ADP Data'!$C$3:$Q$298, 10, FALSE)</f>
        <v>153</v>
      </c>
      <c r="K296" s="11">
        <v>184</v>
      </c>
    </row>
    <row r="297" spans="1:11" ht="14.25" hidden="1" customHeight="1" x14ac:dyDescent="0.25">
      <c r="A297" s="11" t="s">
        <v>560</v>
      </c>
      <c r="B297" s="11" t="str">
        <f>VLOOKUP($A297, '26 ADP Data'!$C$3:$R$298, 2, FALSE)</f>
        <v>HOU</v>
      </c>
      <c r="C297" s="11" t="str">
        <f>VLOOKUP($A297, '26 ADP Data'!$C$3:$R$298, 16, FALSE)</f>
        <v>K-</v>
      </c>
      <c r="D297" s="11"/>
      <c r="E297" s="11"/>
      <c r="F297" s="11"/>
      <c r="G297" s="11"/>
      <c r="H297" s="11"/>
      <c r="I297" s="11" t="str">
        <f>VLOOKUP($A297, '26 ADP Data'!$C$3:$Q$298, 13, FALSE)</f>
        <v>-</v>
      </c>
      <c r="J297" s="11">
        <f>VLOOKUP($A297, '26 ADP Data'!$C$3:$Q$298, 10, FALSE)</f>
        <v>168</v>
      </c>
      <c r="K297" s="11">
        <v>206</v>
      </c>
    </row>
    <row r="298" spans="1:11" ht="14.25" hidden="1" customHeight="1" x14ac:dyDescent="0.25">
      <c r="A298" s="11" t="s">
        <v>568</v>
      </c>
      <c r="B298" s="11" t="str">
        <f>VLOOKUP($A298, '26 ADP Data'!$C$3:$R$298, 2, FALSE)</f>
        <v>LAC</v>
      </c>
      <c r="C298" s="11" t="str">
        <f>VLOOKUP($A298, '26 ADP Data'!$C$3:$R$298, 16, FALSE)</f>
        <v>K-</v>
      </c>
      <c r="D298" s="11"/>
      <c r="E298" s="11"/>
      <c r="F298" s="11"/>
      <c r="G298" s="11"/>
      <c r="H298" s="11"/>
      <c r="I298" s="11" t="str">
        <f>VLOOKUP($A298, '26 ADP Data'!$C$3:$Q$298, 13, FALSE)</f>
        <v>-</v>
      </c>
      <c r="J298" s="11">
        <f>VLOOKUP($A298, '26 ADP Data'!$C$3:$Q$298, 10, FALSE)</f>
        <v>178</v>
      </c>
      <c r="K298" s="11">
        <v>223</v>
      </c>
    </row>
    <row r="299" spans="1:11" ht="14.25" hidden="1" customHeight="1" x14ac:dyDescent="0.25">
      <c r="A299" s="11" t="s">
        <v>564</v>
      </c>
      <c r="B299" s="11" t="str">
        <f>VLOOKUP($A299, '26 ADP Data'!$C$3:$R$298, 2, FALSE)</f>
        <v>SEA</v>
      </c>
      <c r="C299" s="11" t="str">
        <f>VLOOKUP($A299, '26 ADP Data'!$C$3:$R$298, 16, FALSE)</f>
        <v>K-</v>
      </c>
      <c r="D299" s="11"/>
      <c r="E299" s="11"/>
      <c r="F299" s="11"/>
      <c r="G299" s="11"/>
      <c r="H299" s="11"/>
      <c r="I299" s="11" t="str">
        <f>VLOOKUP($A299, '26 ADP Data'!$C$3:$Q$298, 13, FALSE)</f>
        <v>-</v>
      </c>
      <c r="J299" s="11">
        <f>VLOOKUP($A299, '26 ADP Data'!$C$3:$Q$298, 10, FALSE)</f>
        <v>188</v>
      </c>
      <c r="K299" s="11" t="e">
        <v>#N/A</v>
      </c>
    </row>
    <row r="300" spans="1:11" ht="14.25" hidden="1" customHeight="1" x14ac:dyDescent="0.25">
      <c r="A300" s="11" t="s">
        <v>574</v>
      </c>
      <c r="B300" s="11" t="str">
        <f>VLOOKUP($A300, '26 ADP Data'!$C$3:$R$298, 2, FALSE)</f>
        <v>JAX</v>
      </c>
      <c r="C300" s="11" t="str">
        <f>VLOOKUP($A300, '26 ADP Data'!$C$3:$R$298, 16, FALSE)</f>
        <v>K-</v>
      </c>
      <c r="D300" s="11"/>
      <c r="E300" s="11"/>
      <c r="F300" s="11"/>
      <c r="G300" s="11"/>
      <c r="H300" s="11"/>
      <c r="I300" s="11" t="str">
        <f>VLOOKUP($A300, '26 ADP Data'!$C$3:$Q$298, 13, FALSE)</f>
        <v>-</v>
      </c>
      <c r="J300" s="11">
        <f>VLOOKUP($A300, '26 ADP Data'!$C$3:$Q$298, 10, FALSE)</f>
        <v>194</v>
      </c>
      <c r="K300" s="11" t="e">
        <v>#N/A</v>
      </c>
    </row>
    <row r="301" spans="1:11" ht="14.25" hidden="1" customHeight="1" x14ac:dyDescent="0.25">
      <c r="A301" s="11" t="s">
        <v>582</v>
      </c>
      <c r="B301" s="11" t="str">
        <f>VLOOKUP($A301, '26 ADP Data'!$C$3:$R$298, 2, FALSE)</f>
        <v>SF</v>
      </c>
      <c r="C301" s="11" t="str">
        <f>VLOOKUP($A301, '26 ADP Data'!$C$3:$R$298, 16, FALSE)</f>
        <v>K-</v>
      </c>
      <c r="D301" s="11"/>
      <c r="E301" s="11"/>
      <c r="F301" s="11"/>
      <c r="G301" s="11"/>
      <c r="H301" s="11"/>
      <c r="I301" s="11" t="str">
        <f>VLOOKUP($A301, '26 ADP Data'!$C$3:$Q$298, 13, FALSE)</f>
        <v>-</v>
      </c>
      <c r="J301" s="11">
        <f>VLOOKUP($A301, '26 ADP Data'!$C$3:$Q$298, 10, FALSE)</f>
        <v>220</v>
      </c>
      <c r="K301" s="11" t="e">
        <v>#N/A</v>
      </c>
    </row>
    <row r="302" spans="1:11" ht="14.25" hidden="1" customHeight="1" x14ac:dyDescent="0.25">
      <c r="A302" s="11" t="s">
        <v>586</v>
      </c>
      <c r="B302" s="11" t="str">
        <f>VLOOKUP($A302, '26 ADP Data'!$C$3:$R$298, 2, FALSE)</f>
        <v>BAL</v>
      </c>
      <c r="C302" s="11" t="str">
        <f>VLOOKUP($A302, '26 ADP Data'!$C$3:$R$298, 16, FALSE)</f>
        <v>K-</v>
      </c>
      <c r="D302" s="11"/>
      <c r="E302" s="11"/>
      <c r="F302" s="11"/>
      <c r="G302" s="11"/>
      <c r="H302" s="11"/>
      <c r="I302" s="11" t="str">
        <f>VLOOKUP($A302, '26 ADP Data'!$C$3:$Q$298, 13, FALSE)</f>
        <v>-</v>
      </c>
      <c r="J302" s="11">
        <f>VLOOKUP($A302, '26 ADP Data'!$C$3:$Q$298, 10, FALSE)</f>
        <v>202</v>
      </c>
      <c r="K302" s="11" t="e">
        <v>#N/A</v>
      </c>
    </row>
    <row r="303" spans="1:11" ht="14.25" hidden="1" customHeight="1" x14ac:dyDescent="0.25">
      <c r="A303" s="11"/>
      <c r="B303" s="11" t="e">
        <f>VLOOKUP($A303, '26 ADP Data'!$C$3:$R$298, 2, FALSE)</f>
        <v>#N/A</v>
      </c>
      <c r="C303" s="11" t="e">
        <f>VLOOKUP($A303, '26 ADP Data'!$C$3:$R$298, 16, FALSE)</f>
        <v>#N/A</v>
      </c>
      <c r="D303" s="11"/>
      <c r="E303" s="11"/>
      <c r="F303" s="11"/>
      <c r="G303" s="11"/>
      <c r="H303" s="11"/>
      <c r="I303" s="11" t="e">
        <f>VLOOKUP($A303, '26 ADP Data'!$C$3:$Q$298, 13, FALSE)</f>
        <v>#N/A</v>
      </c>
      <c r="J303" s="11" t="e">
        <f>VLOOKUP($A303, '26 ADP Data'!$C$3:$Q$298, 10, FALSE)</f>
        <v>#N/A</v>
      </c>
      <c r="K303" s="11" t="e">
        <v>#N/A</v>
      </c>
    </row>
    <row r="304" spans="1:11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2:L303" xr:uid="{00000000-0009-0000-0000-000001000000}">
    <filterColumn colId="2">
      <filters>
        <filter val="RB"/>
      </filters>
    </filterColumn>
    <sortState xmlns:xlrd2="http://schemas.microsoft.com/office/spreadsheetml/2017/richdata2" ref="A2:L303">
      <sortCondition ref="G2:G303"/>
      <sortCondition ref="F2:F303"/>
      <sortCondition ref="J2:J303"/>
    </sortState>
  </autoFilter>
  <conditionalFormatting sqref="A3:A292">
    <cfRule type="expression" dxfId="52" priority="1">
      <formula>$E3="No"</formula>
    </cfRule>
  </conditionalFormatting>
  <conditionalFormatting sqref="J3:J30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BFBF"/>
  </sheetPr>
  <dimension ref="A1:R998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14" sqref="C14"/>
    </sheetView>
  </sheetViews>
  <sheetFormatPr defaultColWidth="14.42578125" defaultRowHeight="15" customHeight="1" x14ac:dyDescent="0.25"/>
  <cols>
    <col min="1" max="1" width="8.7109375" customWidth="1"/>
    <col min="2" max="2" width="11.7109375" customWidth="1"/>
    <col min="3" max="3" width="22.42578125" customWidth="1"/>
    <col min="4" max="26" width="8.7109375" customWidth="1"/>
  </cols>
  <sheetData>
    <row r="1" spans="1:18" ht="14.25" customHeight="1" x14ac:dyDescent="0.25">
      <c r="A1" s="1" t="s">
        <v>0</v>
      </c>
    </row>
    <row r="2" spans="1:18" ht="14.25" customHeight="1" x14ac:dyDescent="0.25">
      <c r="A2" s="1" t="s">
        <v>2</v>
      </c>
    </row>
    <row r="3" spans="1:18" ht="14.25" customHeight="1" x14ac:dyDescent="0.25">
      <c r="A3" s="1">
        <v>0</v>
      </c>
      <c r="B3" s="1">
        <v>0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</row>
    <row r="4" spans="1:18" ht="14.25" customHeight="1" x14ac:dyDescent="0.25">
      <c r="A4" s="6" t="s">
        <v>6</v>
      </c>
      <c r="B4" s="6" t="s">
        <v>7</v>
      </c>
      <c r="C4" s="6" t="s">
        <v>5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15</v>
      </c>
      <c r="K4" s="6" t="s">
        <v>16</v>
      </c>
      <c r="L4" s="6" t="s">
        <v>18</v>
      </c>
      <c r="M4" s="6" t="s">
        <v>19</v>
      </c>
      <c r="N4" s="6" t="s">
        <v>20</v>
      </c>
      <c r="O4" s="6" t="s">
        <v>22</v>
      </c>
      <c r="P4" s="6" t="s">
        <v>24</v>
      </c>
      <c r="Q4" s="6" t="s">
        <v>25</v>
      </c>
      <c r="R4" s="8" t="s">
        <v>7</v>
      </c>
    </row>
    <row r="5" spans="1:18" ht="14.25" customHeight="1" x14ac:dyDescent="0.25">
      <c r="A5">
        <v>1</v>
      </c>
      <c r="B5" t="s">
        <v>31</v>
      </c>
      <c r="C5" t="s">
        <v>34</v>
      </c>
      <c r="D5" t="s">
        <v>35</v>
      </c>
      <c r="E5">
        <v>1</v>
      </c>
      <c r="F5">
        <v>1</v>
      </c>
      <c r="G5">
        <v>1</v>
      </c>
      <c r="H5">
        <v>1</v>
      </c>
      <c r="I5">
        <v>1</v>
      </c>
      <c r="J5" t="s">
        <v>36</v>
      </c>
      <c r="K5">
        <v>1</v>
      </c>
      <c r="L5">
        <v>1</v>
      </c>
      <c r="M5" t="s">
        <v>36</v>
      </c>
      <c r="N5">
        <v>1</v>
      </c>
      <c r="O5">
        <v>1</v>
      </c>
      <c r="P5">
        <v>1.01</v>
      </c>
      <c r="Q5">
        <v>1.01</v>
      </c>
      <c r="R5" s="11" t="str">
        <f t="shared" ref="R5:R259" si="0">LEFT(B5, 2)</f>
        <v>RB</v>
      </c>
    </row>
    <row r="6" spans="1:18" ht="14.25" customHeight="1" x14ac:dyDescent="0.25">
      <c r="A6">
        <v>2</v>
      </c>
      <c r="B6" t="s">
        <v>37</v>
      </c>
      <c r="C6" t="s">
        <v>38</v>
      </c>
      <c r="D6" t="s">
        <v>39</v>
      </c>
      <c r="E6">
        <v>2</v>
      </c>
      <c r="F6">
        <v>2</v>
      </c>
      <c r="G6">
        <v>2</v>
      </c>
      <c r="H6">
        <v>2</v>
      </c>
      <c r="I6">
        <v>2</v>
      </c>
      <c r="J6" t="s">
        <v>36</v>
      </c>
      <c r="K6">
        <v>2</v>
      </c>
      <c r="L6">
        <v>2</v>
      </c>
      <c r="M6" t="s">
        <v>36</v>
      </c>
      <c r="N6">
        <v>2</v>
      </c>
      <c r="O6">
        <v>2</v>
      </c>
      <c r="P6">
        <v>1.02</v>
      </c>
      <c r="Q6">
        <v>1.02</v>
      </c>
      <c r="R6" s="11" t="str">
        <f t="shared" si="0"/>
        <v>RB</v>
      </c>
    </row>
    <row r="7" spans="1:18" ht="14.25" customHeight="1" x14ac:dyDescent="0.25">
      <c r="A7">
        <v>3</v>
      </c>
      <c r="B7" t="s">
        <v>42</v>
      </c>
      <c r="C7" t="s">
        <v>43</v>
      </c>
      <c r="D7" t="s">
        <v>44</v>
      </c>
      <c r="E7">
        <v>3</v>
      </c>
      <c r="F7">
        <v>3</v>
      </c>
      <c r="G7">
        <v>3</v>
      </c>
      <c r="H7">
        <v>3</v>
      </c>
      <c r="I7">
        <v>3</v>
      </c>
      <c r="J7" t="s">
        <v>36</v>
      </c>
      <c r="K7">
        <v>3</v>
      </c>
      <c r="L7">
        <v>3</v>
      </c>
      <c r="M7" t="s">
        <v>36</v>
      </c>
      <c r="N7">
        <v>3</v>
      </c>
      <c r="O7">
        <v>3</v>
      </c>
      <c r="P7">
        <v>1.03</v>
      </c>
      <c r="Q7">
        <v>1.03</v>
      </c>
      <c r="R7" s="11" t="str">
        <f t="shared" si="0"/>
        <v>WR</v>
      </c>
    </row>
    <row r="8" spans="1:18" ht="14.25" customHeight="1" x14ac:dyDescent="0.25">
      <c r="A8">
        <v>4</v>
      </c>
      <c r="B8" t="s">
        <v>47</v>
      </c>
      <c r="C8" t="s">
        <v>48</v>
      </c>
      <c r="D8" t="s">
        <v>49</v>
      </c>
      <c r="E8">
        <v>4</v>
      </c>
      <c r="F8">
        <v>4</v>
      </c>
      <c r="G8">
        <v>4</v>
      </c>
      <c r="H8">
        <v>4</v>
      </c>
      <c r="I8">
        <v>4</v>
      </c>
      <c r="J8" t="s">
        <v>36</v>
      </c>
      <c r="K8">
        <v>6</v>
      </c>
      <c r="L8">
        <v>4</v>
      </c>
      <c r="M8" t="s">
        <v>36</v>
      </c>
      <c r="N8">
        <v>4</v>
      </c>
      <c r="O8">
        <v>4</v>
      </c>
      <c r="P8">
        <v>1.04</v>
      </c>
      <c r="Q8">
        <v>1.04</v>
      </c>
      <c r="R8" s="11" t="str">
        <f t="shared" si="0"/>
        <v>WR</v>
      </c>
    </row>
    <row r="9" spans="1:18" ht="14.25" customHeight="1" x14ac:dyDescent="0.25">
      <c r="A9">
        <v>5</v>
      </c>
      <c r="B9" t="s">
        <v>53</v>
      </c>
      <c r="C9" t="s">
        <v>54</v>
      </c>
      <c r="D9" t="s">
        <v>55</v>
      </c>
      <c r="E9">
        <v>7</v>
      </c>
      <c r="F9">
        <v>7</v>
      </c>
      <c r="G9">
        <v>5</v>
      </c>
      <c r="H9">
        <v>5</v>
      </c>
      <c r="I9">
        <v>7</v>
      </c>
      <c r="J9" t="s">
        <v>36</v>
      </c>
      <c r="K9">
        <v>4</v>
      </c>
      <c r="L9">
        <v>6</v>
      </c>
      <c r="M9" t="s">
        <v>36</v>
      </c>
      <c r="N9">
        <v>7</v>
      </c>
      <c r="O9">
        <v>6</v>
      </c>
      <c r="P9">
        <v>1.05</v>
      </c>
      <c r="Q9">
        <v>1.05</v>
      </c>
      <c r="R9" s="11" t="str">
        <f t="shared" si="0"/>
        <v>RB</v>
      </c>
    </row>
    <row r="10" spans="1:18" ht="14.25" customHeight="1" x14ac:dyDescent="0.25">
      <c r="A10">
        <v>6</v>
      </c>
      <c r="B10" t="s">
        <v>50</v>
      </c>
      <c r="C10" t="s">
        <v>51</v>
      </c>
      <c r="D10" t="s">
        <v>52</v>
      </c>
      <c r="E10">
        <v>6</v>
      </c>
      <c r="F10">
        <v>6</v>
      </c>
      <c r="G10">
        <v>6</v>
      </c>
      <c r="H10">
        <v>6</v>
      </c>
      <c r="I10">
        <v>5</v>
      </c>
      <c r="J10" t="s">
        <v>36</v>
      </c>
      <c r="K10">
        <v>8</v>
      </c>
      <c r="L10">
        <v>8</v>
      </c>
      <c r="M10" t="s">
        <v>36</v>
      </c>
      <c r="N10">
        <v>5</v>
      </c>
      <c r="O10">
        <v>5</v>
      </c>
      <c r="P10">
        <v>1.06</v>
      </c>
      <c r="Q10">
        <v>1.06</v>
      </c>
      <c r="R10" s="11" t="str">
        <f t="shared" si="0"/>
        <v>WR</v>
      </c>
    </row>
    <row r="11" spans="1:18" ht="14.25" customHeight="1" x14ac:dyDescent="0.25">
      <c r="A11">
        <v>7</v>
      </c>
      <c r="B11" t="s">
        <v>57</v>
      </c>
      <c r="C11" t="s">
        <v>58</v>
      </c>
      <c r="D11" t="s">
        <v>60</v>
      </c>
      <c r="E11">
        <v>5</v>
      </c>
      <c r="F11">
        <v>5</v>
      </c>
      <c r="G11">
        <v>7</v>
      </c>
      <c r="H11">
        <v>8</v>
      </c>
      <c r="I11">
        <v>8</v>
      </c>
      <c r="J11" t="s">
        <v>36</v>
      </c>
      <c r="K11">
        <v>5</v>
      </c>
      <c r="L11">
        <v>5</v>
      </c>
      <c r="M11" t="s">
        <v>36</v>
      </c>
      <c r="N11">
        <v>8</v>
      </c>
      <c r="O11">
        <v>8</v>
      </c>
      <c r="P11">
        <v>1.07</v>
      </c>
      <c r="Q11">
        <v>1.07</v>
      </c>
      <c r="R11" s="11" t="str">
        <f t="shared" si="0"/>
        <v>RB</v>
      </c>
    </row>
    <row r="12" spans="1:18" ht="14.25" customHeight="1" x14ac:dyDescent="0.25">
      <c r="A12">
        <v>8</v>
      </c>
      <c r="B12" t="s">
        <v>62</v>
      </c>
      <c r="C12" t="s">
        <v>63</v>
      </c>
      <c r="D12" t="s">
        <v>35</v>
      </c>
      <c r="E12">
        <v>8</v>
      </c>
      <c r="F12">
        <v>8</v>
      </c>
      <c r="G12">
        <v>8</v>
      </c>
      <c r="H12">
        <v>7</v>
      </c>
      <c r="I12">
        <v>6</v>
      </c>
      <c r="J12" t="s">
        <v>36</v>
      </c>
      <c r="K12">
        <v>7</v>
      </c>
      <c r="L12">
        <v>7</v>
      </c>
      <c r="M12" t="s">
        <v>36</v>
      </c>
      <c r="N12">
        <v>6</v>
      </c>
      <c r="O12">
        <v>7</v>
      </c>
      <c r="P12">
        <v>1.08</v>
      </c>
      <c r="Q12">
        <v>1.08</v>
      </c>
      <c r="R12" s="11" t="str">
        <f t="shared" si="0"/>
        <v>WR</v>
      </c>
    </row>
    <row r="13" spans="1:18" ht="14.25" customHeight="1" x14ac:dyDescent="0.25">
      <c r="A13">
        <v>9</v>
      </c>
      <c r="B13" t="s">
        <v>64</v>
      </c>
      <c r="C13" t="s">
        <v>65</v>
      </c>
      <c r="D13" t="s">
        <v>66</v>
      </c>
      <c r="E13">
        <v>9</v>
      </c>
      <c r="F13">
        <v>9</v>
      </c>
      <c r="G13">
        <v>9</v>
      </c>
      <c r="H13">
        <v>10</v>
      </c>
      <c r="I13">
        <v>9</v>
      </c>
      <c r="J13" t="s">
        <v>36</v>
      </c>
      <c r="K13">
        <v>9</v>
      </c>
      <c r="L13">
        <v>9</v>
      </c>
      <c r="M13" t="s">
        <v>36</v>
      </c>
      <c r="N13">
        <v>9</v>
      </c>
      <c r="O13">
        <v>10</v>
      </c>
      <c r="P13">
        <v>1.0900000000000001</v>
      </c>
      <c r="Q13">
        <v>1.0900000000000001</v>
      </c>
      <c r="R13" s="11" t="str">
        <f t="shared" si="0"/>
        <v>RB</v>
      </c>
    </row>
    <row r="14" spans="1:18" ht="14.25" customHeight="1" x14ac:dyDescent="0.25">
      <c r="A14">
        <v>10</v>
      </c>
      <c r="B14" t="s">
        <v>67</v>
      </c>
      <c r="C14" t="s">
        <v>68</v>
      </c>
      <c r="D14" t="s">
        <v>69</v>
      </c>
      <c r="E14">
        <v>12</v>
      </c>
      <c r="F14">
        <v>10</v>
      </c>
      <c r="G14">
        <v>10</v>
      </c>
      <c r="H14">
        <v>13</v>
      </c>
      <c r="I14">
        <v>10</v>
      </c>
      <c r="J14" t="s">
        <v>36</v>
      </c>
      <c r="K14">
        <v>11</v>
      </c>
      <c r="L14">
        <v>12</v>
      </c>
      <c r="M14" t="s">
        <v>36</v>
      </c>
      <c r="N14">
        <v>10</v>
      </c>
      <c r="O14">
        <v>9</v>
      </c>
      <c r="P14">
        <v>1.1000000000000001</v>
      </c>
      <c r="Q14">
        <v>1.1000000000000001</v>
      </c>
      <c r="R14" s="11" t="str">
        <f t="shared" si="0"/>
        <v>WR</v>
      </c>
    </row>
    <row r="15" spans="1:18" ht="14.25" customHeight="1" x14ac:dyDescent="0.25">
      <c r="A15">
        <v>11</v>
      </c>
      <c r="B15" t="s">
        <v>70</v>
      </c>
      <c r="C15" t="s">
        <v>71</v>
      </c>
      <c r="D15" t="s">
        <v>72</v>
      </c>
      <c r="E15">
        <v>15</v>
      </c>
      <c r="F15">
        <v>11</v>
      </c>
      <c r="G15">
        <v>12</v>
      </c>
      <c r="H15">
        <v>12</v>
      </c>
      <c r="I15">
        <v>11</v>
      </c>
      <c r="J15" t="s">
        <v>36</v>
      </c>
      <c r="K15">
        <v>12</v>
      </c>
      <c r="L15">
        <v>13</v>
      </c>
      <c r="M15" t="s">
        <v>36</v>
      </c>
      <c r="N15">
        <v>11</v>
      </c>
      <c r="O15">
        <v>11</v>
      </c>
      <c r="P15">
        <v>2.0099999999999998</v>
      </c>
      <c r="Q15">
        <v>1.1100000000000001</v>
      </c>
      <c r="R15" s="11" t="str">
        <f t="shared" si="0"/>
        <v>WR</v>
      </c>
    </row>
    <row r="16" spans="1:18" ht="14.25" customHeight="1" x14ac:dyDescent="0.25">
      <c r="A16">
        <v>12</v>
      </c>
      <c r="B16" t="s">
        <v>74</v>
      </c>
      <c r="C16" t="s">
        <v>75</v>
      </c>
      <c r="D16" t="s">
        <v>44</v>
      </c>
      <c r="E16">
        <v>10</v>
      </c>
      <c r="F16">
        <v>16</v>
      </c>
      <c r="G16">
        <v>11</v>
      </c>
      <c r="H16">
        <v>11</v>
      </c>
      <c r="I16">
        <v>12</v>
      </c>
      <c r="J16" t="s">
        <v>36</v>
      </c>
      <c r="K16">
        <v>17</v>
      </c>
      <c r="L16">
        <v>14</v>
      </c>
      <c r="M16" t="s">
        <v>36</v>
      </c>
      <c r="N16">
        <v>12</v>
      </c>
      <c r="O16">
        <v>14</v>
      </c>
      <c r="P16">
        <v>2.02</v>
      </c>
      <c r="Q16">
        <v>1.1200000000000001</v>
      </c>
      <c r="R16" s="11" t="str">
        <f t="shared" si="0"/>
        <v>RB</v>
      </c>
    </row>
    <row r="17" spans="1:18" ht="14.25" customHeight="1" x14ac:dyDescent="0.25">
      <c r="A17">
        <v>13</v>
      </c>
      <c r="B17" t="s">
        <v>76</v>
      </c>
      <c r="C17" t="s">
        <v>77</v>
      </c>
      <c r="D17" t="s">
        <v>78</v>
      </c>
      <c r="E17">
        <v>13</v>
      </c>
      <c r="F17">
        <v>13</v>
      </c>
      <c r="G17">
        <v>14</v>
      </c>
      <c r="H17">
        <v>16</v>
      </c>
      <c r="I17">
        <v>16</v>
      </c>
      <c r="J17" t="s">
        <v>36</v>
      </c>
      <c r="K17">
        <v>10</v>
      </c>
      <c r="L17">
        <v>10</v>
      </c>
      <c r="M17" t="s">
        <v>36</v>
      </c>
      <c r="N17">
        <v>13</v>
      </c>
      <c r="O17">
        <v>12</v>
      </c>
      <c r="P17">
        <v>2.0299999999999998</v>
      </c>
      <c r="Q17">
        <v>2.0099999999999998</v>
      </c>
      <c r="R17" s="11" t="str">
        <f t="shared" si="0"/>
        <v>RB</v>
      </c>
    </row>
    <row r="18" spans="1:18" ht="14.25" customHeight="1" x14ac:dyDescent="0.25">
      <c r="A18">
        <v>14</v>
      </c>
      <c r="B18" t="s">
        <v>79</v>
      </c>
      <c r="C18" t="s">
        <v>80</v>
      </c>
      <c r="D18" t="s">
        <v>81</v>
      </c>
      <c r="E18">
        <v>11</v>
      </c>
      <c r="F18">
        <v>12</v>
      </c>
      <c r="G18">
        <v>13</v>
      </c>
      <c r="H18">
        <v>15</v>
      </c>
      <c r="I18">
        <v>14</v>
      </c>
      <c r="J18" t="s">
        <v>36</v>
      </c>
      <c r="K18">
        <v>13</v>
      </c>
      <c r="L18">
        <v>17</v>
      </c>
      <c r="M18" t="s">
        <v>36</v>
      </c>
      <c r="N18">
        <v>15</v>
      </c>
      <c r="O18">
        <v>18</v>
      </c>
      <c r="P18">
        <v>2.04</v>
      </c>
      <c r="Q18">
        <v>2.02</v>
      </c>
      <c r="R18" s="11" t="str">
        <f t="shared" si="0"/>
        <v>RB</v>
      </c>
    </row>
    <row r="19" spans="1:18" ht="14.25" customHeight="1" x14ac:dyDescent="0.25">
      <c r="A19">
        <v>15</v>
      </c>
      <c r="B19" t="s">
        <v>83</v>
      </c>
      <c r="C19" t="s">
        <v>87</v>
      </c>
      <c r="D19" t="s">
        <v>88</v>
      </c>
      <c r="E19">
        <v>17</v>
      </c>
      <c r="F19">
        <v>15</v>
      </c>
      <c r="G19">
        <v>15</v>
      </c>
      <c r="H19">
        <v>18</v>
      </c>
      <c r="I19">
        <v>13</v>
      </c>
      <c r="J19" t="s">
        <v>36</v>
      </c>
      <c r="K19">
        <v>16</v>
      </c>
      <c r="L19">
        <v>16</v>
      </c>
      <c r="M19" t="s">
        <v>36</v>
      </c>
      <c r="N19">
        <v>16</v>
      </c>
      <c r="O19">
        <v>15</v>
      </c>
      <c r="P19">
        <v>2.0499999999999998</v>
      </c>
      <c r="Q19">
        <v>2.0299999999999998</v>
      </c>
      <c r="R19" s="11" t="str">
        <f t="shared" si="0"/>
        <v>RB</v>
      </c>
    </row>
    <row r="20" spans="1:18" ht="14.25" customHeight="1" x14ac:dyDescent="0.25">
      <c r="A20">
        <v>16</v>
      </c>
      <c r="B20" t="s">
        <v>86</v>
      </c>
      <c r="C20" t="s">
        <v>84</v>
      </c>
      <c r="D20" t="s">
        <v>85</v>
      </c>
      <c r="E20">
        <v>16</v>
      </c>
      <c r="F20">
        <v>23</v>
      </c>
      <c r="G20">
        <v>16</v>
      </c>
      <c r="H20">
        <v>14</v>
      </c>
      <c r="I20">
        <v>17</v>
      </c>
      <c r="J20" t="s">
        <v>36</v>
      </c>
      <c r="K20">
        <v>18</v>
      </c>
      <c r="L20">
        <v>11</v>
      </c>
      <c r="M20" t="s">
        <v>36</v>
      </c>
      <c r="N20">
        <v>14</v>
      </c>
      <c r="O20">
        <v>13</v>
      </c>
      <c r="P20">
        <v>2.06</v>
      </c>
      <c r="Q20">
        <v>2.04</v>
      </c>
      <c r="R20" s="11" t="str">
        <f t="shared" si="0"/>
        <v>RB</v>
      </c>
    </row>
    <row r="21" spans="1:18" ht="14.25" customHeight="1" x14ac:dyDescent="0.25">
      <c r="A21">
        <v>17</v>
      </c>
      <c r="B21" t="s">
        <v>89</v>
      </c>
      <c r="C21" t="s">
        <v>90</v>
      </c>
      <c r="D21" t="s">
        <v>91</v>
      </c>
      <c r="E21">
        <v>14</v>
      </c>
      <c r="F21">
        <v>14</v>
      </c>
      <c r="G21">
        <v>19</v>
      </c>
      <c r="H21">
        <v>20</v>
      </c>
      <c r="I21">
        <v>21</v>
      </c>
      <c r="J21" t="s">
        <v>36</v>
      </c>
      <c r="K21">
        <v>15</v>
      </c>
      <c r="L21">
        <v>15</v>
      </c>
      <c r="M21" t="s">
        <v>36</v>
      </c>
      <c r="N21">
        <v>19</v>
      </c>
      <c r="O21">
        <v>17</v>
      </c>
      <c r="P21">
        <v>2.0699999999999998</v>
      </c>
      <c r="Q21">
        <v>2.0499999999999998</v>
      </c>
      <c r="R21" s="11" t="str">
        <f t="shared" si="0"/>
        <v>RB</v>
      </c>
    </row>
    <row r="22" spans="1:18" ht="14.25" customHeight="1" x14ac:dyDescent="0.25">
      <c r="A22">
        <v>18</v>
      </c>
      <c r="B22" t="s">
        <v>92</v>
      </c>
      <c r="C22" t="s">
        <v>93</v>
      </c>
      <c r="D22" t="s">
        <v>94</v>
      </c>
      <c r="E22">
        <v>22</v>
      </c>
      <c r="F22">
        <v>20</v>
      </c>
      <c r="G22">
        <v>18</v>
      </c>
      <c r="H22">
        <v>19</v>
      </c>
      <c r="I22">
        <v>15</v>
      </c>
      <c r="J22" t="s">
        <v>36</v>
      </c>
      <c r="K22">
        <v>14</v>
      </c>
      <c r="L22">
        <v>21</v>
      </c>
      <c r="M22" t="s">
        <v>36</v>
      </c>
      <c r="N22">
        <v>17</v>
      </c>
      <c r="O22">
        <v>16</v>
      </c>
      <c r="P22">
        <v>2.08</v>
      </c>
      <c r="Q22">
        <v>2.06</v>
      </c>
      <c r="R22" s="11" t="str">
        <f t="shared" si="0"/>
        <v>RB</v>
      </c>
    </row>
    <row r="23" spans="1:18" ht="14.25" customHeight="1" x14ac:dyDescent="0.25">
      <c r="A23">
        <v>19</v>
      </c>
      <c r="B23" t="s">
        <v>101</v>
      </c>
      <c r="C23" t="s">
        <v>103</v>
      </c>
      <c r="D23" t="s">
        <v>104</v>
      </c>
      <c r="E23">
        <v>18</v>
      </c>
      <c r="F23">
        <v>19</v>
      </c>
      <c r="G23">
        <v>17</v>
      </c>
      <c r="H23">
        <v>21</v>
      </c>
      <c r="I23">
        <v>18</v>
      </c>
      <c r="J23" t="s">
        <v>36</v>
      </c>
      <c r="K23">
        <v>19</v>
      </c>
      <c r="L23">
        <v>23</v>
      </c>
      <c r="M23" t="s">
        <v>36</v>
      </c>
      <c r="N23">
        <v>20</v>
      </c>
      <c r="O23">
        <v>19</v>
      </c>
      <c r="P23">
        <v>2.09</v>
      </c>
      <c r="Q23">
        <v>2.0699999999999998</v>
      </c>
      <c r="R23" s="11" t="str">
        <f t="shared" si="0"/>
        <v>WR</v>
      </c>
    </row>
    <row r="24" spans="1:18" ht="14.25" customHeight="1" x14ac:dyDescent="0.25">
      <c r="A24">
        <v>20</v>
      </c>
      <c r="B24" t="s">
        <v>97</v>
      </c>
      <c r="C24" t="s">
        <v>98</v>
      </c>
      <c r="D24" t="s">
        <v>94</v>
      </c>
      <c r="E24">
        <v>25</v>
      </c>
      <c r="F24">
        <v>22</v>
      </c>
      <c r="G24">
        <v>20</v>
      </c>
      <c r="H24">
        <v>9</v>
      </c>
      <c r="I24">
        <v>20</v>
      </c>
      <c r="J24" t="s">
        <v>36</v>
      </c>
      <c r="K24">
        <v>23</v>
      </c>
      <c r="L24">
        <v>19</v>
      </c>
      <c r="M24" t="s">
        <v>36</v>
      </c>
      <c r="N24">
        <v>18</v>
      </c>
      <c r="O24">
        <v>20</v>
      </c>
      <c r="P24">
        <v>2.1</v>
      </c>
      <c r="Q24">
        <v>2.08</v>
      </c>
      <c r="R24" s="11" t="str">
        <f t="shared" si="0"/>
        <v>TE</v>
      </c>
    </row>
    <row r="25" spans="1:18" ht="14.25" customHeight="1" x14ac:dyDescent="0.25">
      <c r="A25">
        <v>21</v>
      </c>
      <c r="B25" t="s">
        <v>108</v>
      </c>
      <c r="C25" t="s">
        <v>109</v>
      </c>
      <c r="D25" t="s">
        <v>39</v>
      </c>
      <c r="E25">
        <v>21</v>
      </c>
      <c r="F25">
        <v>18</v>
      </c>
      <c r="G25">
        <v>21</v>
      </c>
      <c r="H25">
        <v>23</v>
      </c>
      <c r="I25">
        <v>19</v>
      </c>
      <c r="J25" t="s">
        <v>36</v>
      </c>
      <c r="K25">
        <v>21</v>
      </c>
      <c r="L25">
        <v>20</v>
      </c>
      <c r="M25" t="s">
        <v>36</v>
      </c>
      <c r="N25">
        <v>23</v>
      </c>
      <c r="O25">
        <v>23</v>
      </c>
      <c r="P25">
        <v>3.01</v>
      </c>
      <c r="Q25">
        <v>2.09</v>
      </c>
      <c r="R25" s="11" t="str">
        <f t="shared" si="0"/>
        <v>WR</v>
      </c>
    </row>
    <row r="26" spans="1:18" ht="14.25" customHeight="1" x14ac:dyDescent="0.25">
      <c r="A26">
        <v>22</v>
      </c>
      <c r="B26" t="s">
        <v>114</v>
      </c>
      <c r="C26" t="s">
        <v>115</v>
      </c>
      <c r="D26" t="s">
        <v>116</v>
      </c>
      <c r="E26">
        <v>24</v>
      </c>
      <c r="F26">
        <v>25</v>
      </c>
      <c r="G26">
        <v>22</v>
      </c>
      <c r="H26">
        <v>24</v>
      </c>
      <c r="I26">
        <v>23</v>
      </c>
      <c r="J26" t="s">
        <v>36</v>
      </c>
      <c r="K26">
        <v>22</v>
      </c>
      <c r="L26">
        <v>18</v>
      </c>
      <c r="M26" t="s">
        <v>36</v>
      </c>
      <c r="N26">
        <v>21</v>
      </c>
      <c r="O26">
        <v>22</v>
      </c>
      <c r="P26">
        <v>3.02</v>
      </c>
      <c r="Q26">
        <v>2.1</v>
      </c>
      <c r="R26" s="11" t="str">
        <f t="shared" si="0"/>
        <v>WR</v>
      </c>
    </row>
    <row r="27" spans="1:18" ht="14.25" customHeight="1" x14ac:dyDescent="0.25">
      <c r="A27">
        <v>23</v>
      </c>
      <c r="B27" t="s">
        <v>117</v>
      </c>
      <c r="C27" t="s">
        <v>118</v>
      </c>
      <c r="D27" t="s">
        <v>69</v>
      </c>
      <c r="E27">
        <v>20</v>
      </c>
      <c r="F27">
        <v>26</v>
      </c>
      <c r="G27">
        <v>28</v>
      </c>
      <c r="H27">
        <v>27</v>
      </c>
      <c r="I27">
        <v>22</v>
      </c>
      <c r="J27" t="s">
        <v>36</v>
      </c>
      <c r="K27">
        <v>25</v>
      </c>
      <c r="L27">
        <v>22</v>
      </c>
      <c r="M27" t="s">
        <v>36</v>
      </c>
      <c r="N27">
        <v>24</v>
      </c>
      <c r="O27">
        <v>24</v>
      </c>
      <c r="P27">
        <v>3.03</v>
      </c>
      <c r="Q27">
        <v>2.11</v>
      </c>
      <c r="R27" s="11" t="str">
        <f t="shared" si="0"/>
        <v>WR</v>
      </c>
    </row>
    <row r="28" spans="1:18" ht="14.25" customHeight="1" x14ac:dyDescent="0.25">
      <c r="A28">
        <v>24</v>
      </c>
      <c r="B28" t="s">
        <v>124</v>
      </c>
      <c r="C28" t="s">
        <v>128</v>
      </c>
      <c r="D28" t="s">
        <v>129</v>
      </c>
      <c r="E28">
        <v>26</v>
      </c>
      <c r="F28">
        <v>28</v>
      </c>
      <c r="G28">
        <v>24</v>
      </c>
      <c r="H28">
        <v>25</v>
      </c>
      <c r="I28">
        <v>24</v>
      </c>
      <c r="J28" t="s">
        <v>36</v>
      </c>
      <c r="K28">
        <v>30</v>
      </c>
      <c r="L28">
        <v>24</v>
      </c>
      <c r="M28" t="s">
        <v>36</v>
      </c>
      <c r="N28">
        <v>22</v>
      </c>
      <c r="O28">
        <v>25</v>
      </c>
      <c r="P28">
        <v>3.04</v>
      </c>
      <c r="Q28">
        <v>2.12</v>
      </c>
      <c r="R28" s="11" t="str">
        <f t="shared" si="0"/>
        <v>WR</v>
      </c>
    </row>
    <row r="29" spans="1:18" ht="14.25" customHeight="1" x14ac:dyDescent="0.25">
      <c r="A29">
        <v>25</v>
      </c>
      <c r="B29" t="s">
        <v>121</v>
      </c>
      <c r="C29" t="s">
        <v>122</v>
      </c>
      <c r="D29" t="s">
        <v>123</v>
      </c>
      <c r="E29">
        <v>27</v>
      </c>
      <c r="F29">
        <v>21</v>
      </c>
      <c r="G29">
        <v>25</v>
      </c>
      <c r="H29">
        <v>17</v>
      </c>
      <c r="I29">
        <v>26</v>
      </c>
      <c r="J29" t="s">
        <v>36</v>
      </c>
      <c r="K29">
        <v>27</v>
      </c>
      <c r="L29">
        <v>34</v>
      </c>
      <c r="M29" t="s">
        <v>36</v>
      </c>
      <c r="N29">
        <v>28</v>
      </c>
      <c r="O29">
        <v>29</v>
      </c>
      <c r="P29">
        <v>3.05</v>
      </c>
      <c r="Q29">
        <v>3.01</v>
      </c>
      <c r="R29" s="11" t="str">
        <f t="shared" si="0"/>
        <v>TE</v>
      </c>
    </row>
    <row r="30" spans="1:18" ht="14.25" customHeight="1" x14ac:dyDescent="0.25">
      <c r="A30">
        <v>26</v>
      </c>
      <c r="B30" t="s">
        <v>127</v>
      </c>
      <c r="C30" t="s">
        <v>125</v>
      </c>
      <c r="D30" t="s">
        <v>126</v>
      </c>
      <c r="E30">
        <v>30</v>
      </c>
      <c r="F30">
        <v>33</v>
      </c>
      <c r="G30">
        <v>23</v>
      </c>
      <c r="H30">
        <v>26</v>
      </c>
      <c r="I30">
        <v>25</v>
      </c>
      <c r="J30" t="s">
        <v>36</v>
      </c>
      <c r="K30">
        <v>28</v>
      </c>
      <c r="L30">
        <v>25</v>
      </c>
      <c r="M30" t="s">
        <v>36</v>
      </c>
      <c r="N30">
        <v>25</v>
      </c>
      <c r="O30">
        <v>21</v>
      </c>
      <c r="P30">
        <v>3.06</v>
      </c>
      <c r="Q30">
        <v>3.02</v>
      </c>
      <c r="R30" s="11" t="str">
        <f t="shared" si="0"/>
        <v>WR</v>
      </c>
    </row>
    <row r="31" spans="1:18" ht="14.25" customHeight="1" x14ac:dyDescent="0.25">
      <c r="A31">
        <v>27</v>
      </c>
      <c r="B31" t="s">
        <v>130</v>
      </c>
      <c r="C31" t="s">
        <v>131</v>
      </c>
      <c r="D31" t="s">
        <v>66</v>
      </c>
      <c r="E31">
        <v>19</v>
      </c>
      <c r="F31">
        <v>17</v>
      </c>
      <c r="G31">
        <v>33</v>
      </c>
      <c r="H31">
        <v>34</v>
      </c>
      <c r="I31">
        <v>29</v>
      </c>
      <c r="J31" t="s">
        <v>36</v>
      </c>
      <c r="K31">
        <v>20</v>
      </c>
      <c r="L31">
        <v>35</v>
      </c>
      <c r="M31" t="s">
        <v>36</v>
      </c>
      <c r="N31">
        <v>33</v>
      </c>
      <c r="O31">
        <v>38</v>
      </c>
      <c r="P31">
        <v>3.07</v>
      </c>
      <c r="Q31">
        <v>3.03</v>
      </c>
      <c r="R31" s="11" t="str">
        <f t="shared" si="0"/>
        <v>QB</v>
      </c>
    </row>
    <row r="32" spans="1:18" ht="14.25" customHeight="1" x14ac:dyDescent="0.25">
      <c r="A32">
        <v>28</v>
      </c>
      <c r="B32" t="s">
        <v>132</v>
      </c>
      <c r="C32" t="s">
        <v>133</v>
      </c>
      <c r="D32" t="s">
        <v>85</v>
      </c>
      <c r="E32">
        <v>23</v>
      </c>
      <c r="F32">
        <v>27</v>
      </c>
      <c r="G32">
        <v>31</v>
      </c>
      <c r="H32">
        <v>30</v>
      </c>
      <c r="I32">
        <v>27</v>
      </c>
      <c r="J32" t="s">
        <v>36</v>
      </c>
      <c r="K32">
        <v>29</v>
      </c>
      <c r="L32">
        <v>39</v>
      </c>
      <c r="M32" t="s">
        <v>36</v>
      </c>
      <c r="N32">
        <v>30</v>
      </c>
      <c r="O32">
        <v>26</v>
      </c>
      <c r="P32">
        <v>3.08</v>
      </c>
      <c r="Q32">
        <v>3.04</v>
      </c>
      <c r="R32" s="11" t="str">
        <f t="shared" si="0"/>
        <v>WR</v>
      </c>
    </row>
    <row r="33" spans="1:18" ht="14.25" customHeight="1" x14ac:dyDescent="0.25">
      <c r="A33">
        <v>29</v>
      </c>
      <c r="B33" t="s">
        <v>134</v>
      </c>
      <c r="C33" t="s">
        <v>135</v>
      </c>
      <c r="D33" t="s">
        <v>49</v>
      </c>
      <c r="E33">
        <v>28</v>
      </c>
      <c r="F33">
        <v>31</v>
      </c>
      <c r="G33">
        <v>27</v>
      </c>
      <c r="H33">
        <v>32</v>
      </c>
      <c r="I33">
        <v>33</v>
      </c>
      <c r="J33" t="s">
        <v>36</v>
      </c>
      <c r="K33">
        <v>24</v>
      </c>
      <c r="L33">
        <v>27</v>
      </c>
      <c r="M33" t="s">
        <v>36</v>
      </c>
      <c r="N33">
        <v>29</v>
      </c>
      <c r="O33">
        <v>31</v>
      </c>
      <c r="P33">
        <v>3.09</v>
      </c>
      <c r="Q33">
        <v>3.05</v>
      </c>
      <c r="R33" s="11" t="str">
        <f t="shared" si="0"/>
        <v>RB</v>
      </c>
    </row>
    <row r="34" spans="1:18" ht="14.25" customHeight="1" x14ac:dyDescent="0.25">
      <c r="A34">
        <v>30</v>
      </c>
      <c r="B34" t="s">
        <v>136</v>
      </c>
      <c r="C34" t="s">
        <v>141</v>
      </c>
      <c r="D34" t="s">
        <v>69</v>
      </c>
      <c r="E34">
        <v>29</v>
      </c>
      <c r="F34">
        <v>29</v>
      </c>
      <c r="G34">
        <v>29</v>
      </c>
      <c r="H34">
        <v>28</v>
      </c>
      <c r="I34">
        <v>31</v>
      </c>
      <c r="J34" t="s">
        <v>36</v>
      </c>
      <c r="K34">
        <v>32</v>
      </c>
      <c r="L34">
        <v>29</v>
      </c>
      <c r="M34" t="s">
        <v>36</v>
      </c>
      <c r="N34">
        <v>26</v>
      </c>
      <c r="O34">
        <v>33</v>
      </c>
      <c r="P34">
        <v>3.1</v>
      </c>
      <c r="Q34">
        <v>3.06</v>
      </c>
      <c r="R34" s="11" t="str">
        <f t="shared" si="0"/>
        <v>RB</v>
      </c>
    </row>
    <row r="35" spans="1:18" ht="14.25" customHeight="1" x14ac:dyDescent="0.25">
      <c r="A35">
        <v>31</v>
      </c>
      <c r="B35" t="s">
        <v>140</v>
      </c>
      <c r="C35" t="s">
        <v>137</v>
      </c>
      <c r="D35" t="s">
        <v>123</v>
      </c>
      <c r="E35">
        <v>33</v>
      </c>
      <c r="F35">
        <v>24</v>
      </c>
      <c r="G35">
        <v>35</v>
      </c>
      <c r="H35">
        <v>29</v>
      </c>
      <c r="I35">
        <v>32</v>
      </c>
      <c r="J35" t="s">
        <v>36</v>
      </c>
      <c r="K35">
        <v>26</v>
      </c>
      <c r="L35">
        <v>28</v>
      </c>
      <c r="M35" t="s">
        <v>36</v>
      </c>
      <c r="N35">
        <v>31</v>
      </c>
      <c r="O35">
        <v>28</v>
      </c>
      <c r="P35">
        <v>4.01</v>
      </c>
      <c r="Q35">
        <v>3.07</v>
      </c>
      <c r="R35" s="11" t="str">
        <f t="shared" si="0"/>
        <v>RB</v>
      </c>
    </row>
    <row r="36" spans="1:18" ht="14.25" customHeight="1" x14ac:dyDescent="0.25">
      <c r="A36">
        <v>32</v>
      </c>
      <c r="B36" t="s">
        <v>138</v>
      </c>
      <c r="C36" t="s">
        <v>139</v>
      </c>
      <c r="D36" t="s">
        <v>78</v>
      </c>
      <c r="E36">
        <v>31</v>
      </c>
      <c r="F36">
        <v>34</v>
      </c>
      <c r="G36">
        <v>30</v>
      </c>
      <c r="H36">
        <v>33</v>
      </c>
      <c r="I36">
        <v>28</v>
      </c>
      <c r="J36" t="s">
        <v>36</v>
      </c>
      <c r="K36">
        <v>33</v>
      </c>
      <c r="L36">
        <v>26</v>
      </c>
      <c r="M36" t="s">
        <v>36</v>
      </c>
      <c r="N36">
        <v>27</v>
      </c>
      <c r="O36">
        <v>27</v>
      </c>
      <c r="P36">
        <v>4.0199999999999996</v>
      </c>
      <c r="Q36">
        <v>3.08</v>
      </c>
      <c r="R36" s="11" t="str">
        <f t="shared" si="0"/>
        <v>WR</v>
      </c>
    </row>
    <row r="37" spans="1:18" ht="14.25" customHeight="1" x14ac:dyDescent="0.25">
      <c r="A37">
        <v>33</v>
      </c>
      <c r="B37" t="s">
        <v>142</v>
      </c>
      <c r="C37" t="s">
        <v>143</v>
      </c>
      <c r="D37" t="s">
        <v>145</v>
      </c>
      <c r="E37">
        <v>39</v>
      </c>
      <c r="F37">
        <v>32</v>
      </c>
      <c r="G37">
        <v>34</v>
      </c>
      <c r="H37">
        <v>31</v>
      </c>
      <c r="I37">
        <v>36</v>
      </c>
      <c r="J37" t="s">
        <v>36</v>
      </c>
      <c r="K37">
        <v>31</v>
      </c>
      <c r="L37">
        <v>30</v>
      </c>
      <c r="M37" t="s">
        <v>36</v>
      </c>
      <c r="N37">
        <v>35</v>
      </c>
      <c r="O37">
        <v>30</v>
      </c>
      <c r="P37">
        <v>4.03</v>
      </c>
      <c r="Q37">
        <v>3.09</v>
      </c>
      <c r="R37" s="11" t="str">
        <f t="shared" si="0"/>
        <v>RB</v>
      </c>
    </row>
    <row r="38" spans="1:18" ht="14.25" customHeight="1" x14ac:dyDescent="0.25">
      <c r="A38">
        <v>34</v>
      </c>
      <c r="B38" t="s">
        <v>146</v>
      </c>
      <c r="C38" t="s">
        <v>147</v>
      </c>
      <c r="D38" t="s">
        <v>91</v>
      </c>
      <c r="E38">
        <v>34</v>
      </c>
      <c r="F38">
        <v>39</v>
      </c>
      <c r="G38">
        <v>36</v>
      </c>
      <c r="H38">
        <v>36</v>
      </c>
      <c r="I38">
        <v>30</v>
      </c>
      <c r="J38" t="s">
        <v>36</v>
      </c>
      <c r="K38">
        <v>42</v>
      </c>
      <c r="L38">
        <v>32</v>
      </c>
      <c r="M38" t="s">
        <v>36</v>
      </c>
      <c r="N38">
        <v>32</v>
      </c>
      <c r="O38">
        <v>32</v>
      </c>
      <c r="P38">
        <v>4.04</v>
      </c>
      <c r="Q38">
        <v>3.1</v>
      </c>
      <c r="R38" s="11" t="str">
        <f t="shared" si="0"/>
        <v>WR</v>
      </c>
    </row>
    <row r="39" spans="1:18" ht="14.25" customHeight="1" x14ac:dyDescent="0.25">
      <c r="A39">
        <v>35</v>
      </c>
      <c r="B39" t="s">
        <v>156</v>
      </c>
      <c r="C39" t="s">
        <v>157</v>
      </c>
      <c r="D39" t="s">
        <v>129</v>
      </c>
      <c r="E39">
        <v>32</v>
      </c>
      <c r="F39">
        <v>36</v>
      </c>
      <c r="G39">
        <v>37</v>
      </c>
      <c r="H39">
        <v>37</v>
      </c>
      <c r="I39">
        <v>41</v>
      </c>
      <c r="J39" t="s">
        <v>36</v>
      </c>
      <c r="K39">
        <v>40</v>
      </c>
      <c r="L39">
        <v>40</v>
      </c>
      <c r="M39" t="s">
        <v>36</v>
      </c>
      <c r="N39">
        <v>38</v>
      </c>
      <c r="O39">
        <v>40</v>
      </c>
      <c r="P39">
        <v>4.05</v>
      </c>
      <c r="Q39">
        <v>3.11</v>
      </c>
      <c r="R39" s="11" t="str">
        <f t="shared" si="0"/>
        <v>RB</v>
      </c>
    </row>
    <row r="40" spans="1:18" ht="14.25" customHeight="1" x14ac:dyDescent="0.25">
      <c r="A40">
        <v>36</v>
      </c>
      <c r="B40" t="s">
        <v>149</v>
      </c>
      <c r="C40" t="s">
        <v>150</v>
      </c>
      <c r="D40" t="s">
        <v>44</v>
      </c>
      <c r="E40">
        <v>37</v>
      </c>
      <c r="F40">
        <v>49</v>
      </c>
      <c r="G40">
        <v>39</v>
      </c>
      <c r="H40">
        <v>42</v>
      </c>
      <c r="I40">
        <v>38</v>
      </c>
      <c r="J40" t="s">
        <v>36</v>
      </c>
      <c r="K40">
        <v>39</v>
      </c>
      <c r="L40">
        <v>31</v>
      </c>
      <c r="M40" t="s">
        <v>36</v>
      </c>
      <c r="N40">
        <v>40</v>
      </c>
      <c r="O40">
        <v>35</v>
      </c>
      <c r="P40">
        <v>4.0599999999999996</v>
      </c>
      <c r="Q40">
        <v>3.12</v>
      </c>
      <c r="R40" s="11" t="str">
        <f t="shared" si="0"/>
        <v>WR</v>
      </c>
    </row>
    <row r="41" spans="1:18" ht="14.25" customHeight="1" x14ac:dyDescent="0.25">
      <c r="A41">
        <v>37</v>
      </c>
      <c r="B41" t="s">
        <v>153</v>
      </c>
      <c r="C41" t="s">
        <v>154</v>
      </c>
      <c r="D41" t="s">
        <v>155</v>
      </c>
      <c r="E41">
        <v>40</v>
      </c>
      <c r="F41">
        <v>37</v>
      </c>
      <c r="G41">
        <v>45</v>
      </c>
      <c r="H41">
        <v>22</v>
      </c>
      <c r="I41">
        <v>42</v>
      </c>
      <c r="J41" t="s">
        <v>36</v>
      </c>
      <c r="K41">
        <v>43</v>
      </c>
      <c r="L41">
        <v>38</v>
      </c>
      <c r="M41" t="s">
        <v>36</v>
      </c>
      <c r="N41">
        <v>41</v>
      </c>
      <c r="O41">
        <v>42</v>
      </c>
      <c r="P41">
        <v>4.07</v>
      </c>
      <c r="Q41">
        <v>4.01</v>
      </c>
      <c r="R41" s="11" t="str">
        <f t="shared" si="0"/>
        <v>TE</v>
      </c>
    </row>
    <row r="42" spans="1:18" ht="14.25" customHeight="1" x14ac:dyDescent="0.25">
      <c r="A42">
        <v>38</v>
      </c>
      <c r="B42" t="s">
        <v>151</v>
      </c>
      <c r="C42" t="s">
        <v>152</v>
      </c>
      <c r="D42" t="s">
        <v>145</v>
      </c>
      <c r="E42">
        <v>45</v>
      </c>
      <c r="F42">
        <v>35</v>
      </c>
      <c r="G42">
        <v>40</v>
      </c>
      <c r="H42">
        <v>39</v>
      </c>
      <c r="I42">
        <v>35</v>
      </c>
      <c r="J42" t="s">
        <v>36</v>
      </c>
      <c r="K42">
        <v>45</v>
      </c>
      <c r="L42">
        <v>36</v>
      </c>
      <c r="M42" t="s">
        <v>36</v>
      </c>
      <c r="N42">
        <v>36</v>
      </c>
      <c r="O42">
        <v>39</v>
      </c>
      <c r="P42">
        <v>4.08</v>
      </c>
      <c r="Q42">
        <v>4.0199999999999996</v>
      </c>
      <c r="R42" s="11" t="str">
        <f t="shared" si="0"/>
        <v>WR</v>
      </c>
    </row>
    <row r="43" spans="1:18" ht="14.25" customHeight="1" x14ac:dyDescent="0.25">
      <c r="A43">
        <v>39</v>
      </c>
      <c r="B43" t="s">
        <v>158</v>
      </c>
      <c r="C43" t="s">
        <v>165</v>
      </c>
      <c r="D43" t="s">
        <v>88</v>
      </c>
      <c r="E43">
        <v>38</v>
      </c>
      <c r="F43">
        <v>43</v>
      </c>
      <c r="G43">
        <v>60</v>
      </c>
      <c r="H43">
        <v>38</v>
      </c>
      <c r="I43">
        <v>34</v>
      </c>
      <c r="J43" t="s">
        <v>36</v>
      </c>
      <c r="K43">
        <v>35</v>
      </c>
      <c r="L43">
        <v>41</v>
      </c>
      <c r="M43" t="s">
        <v>36</v>
      </c>
      <c r="N43">
        <v>34</v>
      </c>
      <c r="O43">
        <v>34</v>
      </c>
      <c r="P43">
        <v>4.09</v>
      </c>
      <c r="Q43">
        <v>4.03</v>
      </c>
      <c r="R43" s="11" t="str">
        <f t="shared" si="0"/>
        <v>WR</v>
      </c>
    </row>
    <row r="44" spans="1:18" ht="14.25" customHeight="1" x14ac:dyDescent="0.25">
      <c r="A44">
        <v>40</v>
      </c>
      <c r="B44" t="s">
        <v>161</v>
      </c>
      <c r="C44" t="s">
        <v>159</v>
      </c>
      <c r="D44" t="s">
        <v>160</v>
      </c>
      <c r="E44">
        <v>42</v>
      </c>
      <c r="F44">
        <v>38</v>
      </c>
      <c r="G44">
        <v>38</v>
      </c>
      <c r="H44">
        <v>44</v>
      </c>
      <c r="I44">
        <v>40</v>
      </c>
      <c r="J44" t="s">
        <v>36</v>
      </c>
      <c r="K44">
        <v>36</v>
      </c>
      <c r="L44">
        <v>37</v>
      </c>
      <c r="M44" t="s">
        <v>36</v>
      </c>
      <c r="N44">
        <v>44</v>
      </c>
      <c r="O44">
        <v>41</v>
      </c>
      <c r="P44">
        <v>4.0999999999999996</v>
      </c>
      <c r="Q44">
        <v>4.04</v>
      </c>
      <c r="R44" s="11" t="str">
        <f t="shared" si="0"/>
        <v>WR</v>
      </c>
    </row>
    <row r="45" spans="1:18" ht="14.25" customHeight="1" x14ac:dyDescent="0.25">
      <c r="A45">
        <v>41</v>
      </c>
      <c r="B45" t="s">
        <v>164</v>
      </c>
      <c r="C45" t="s">
        <v>167</v>
      </c>
      <c r="D45" t="s">
        <v>168</v>
      </c>
      <c r="E45">
        <v>46</v>
      </c>
      <c r="F45">
        <v>51</v>
      </c>
      <c r="G45">
        <v>43</v>
      </c>
      <c r="H45">
        <v>40</v>
      </c>
      <c r="I45">
        <v>37</v>
      </c>
      <c r="J45" t="s">
        <v>36</v>
      </c>
      <c r="K45">
        <v>46</v>
      </c>
      <c r="L45">
        <v>33</v>
      </c>
      <c r="M45" t="s">
        <v>36</v>
      </c>
      <c r="N45">
        <v>37</v>
      </c>
      <c r="O45">
        <v>37</v>
      </c>
      <c r="P45">
        <v>5.01</v>
      </c>
      <c r="Q45">
        <v>4.05</v>
      </c>
      <c r="R45" s="11" t="str">
        <f t="shared" si="0"/>
        <v>WR</v>
      </c>
    </row>
    <row r="46" spans="1:18" ht="14.25" customHeight="1" x14ac:dyDescent="0.25">
      <c r="A46">
        <v>42</v>
      </c>
      <c r="B46" t="s">
        <v>166</v>
      </c>
      <c r="C46" t="s">
        <v>162</v>
      </c>
      <c r="D46" t="s">
        <v>163</v>
      </c>
      <c r="E46">
        <v>44</v>
      </c>
      <c r="F46">
        <v>41</v>
      </c>
      <c r="G46">
        <v>42</v>
      </c>
      <c r="H46">
        <v>45</v>
      </c>
      <c r="I46">
        <v>39</v>
      </c>
      <c r="J46" t="s">
        <v>36</v>
      </c>
      <c r="K46">
        <v>41</v>
      </c>
      <c r="L46">
        <v>43</v>
      </c>
      <c r="M46" t="s">
        <v>36</v>
      </c>
      <c r="N46">
        <v>45</v>
      </c>
      <c r="O46">
        <v>36</v>
      </c>
      <c r="P46">
        <v>5.0199999999999996</v>
      </c>
      <c r="Q46">
        <v>4.0599999999999996</v>
      </c>
      <c r="R46" s="11" t="str">
        <f t="shared" si="0"/>
        <v>WR</v>
      </c>
    </row>
    <row r="47" spans="1:18" ht="14.25" customHeight="1" x14ac:dyDescent="0.25">
      <c r="A47">
        <v>43</v>
      </c>
      <c r="B47" t="s">
        <v>169</v>
      </c>
      <c r="C47" t="s">
        <v>170</v>
      </c>
      <c r="D47" t="s">
        <v>126</v>
      </c>
      <c r="E47">
        <v>36</v>
      </c>
      <c r="F47">
        <v>40</v>
      </c>
      <c r="G47">
        <v>41</v>
      </c>
      <c r="H47">
        <v>43</v>
      </c>
      <c r="I47">
        <v>46</v>
      </c>
      <c r="J47" t="s">
        <v>36</v>
      </c>
      <c r="K47">
        <v>37</v>
      </c>
      <c r="L47">
        <v>48</v>
      </c>
      <c r="M47" t="s">
        <v>36</v>
      </c>
      <c r="N47">
        <v>52</v>
      </c>
      <c r="O47">
        <v>45</v>
      </c>
      <c r="P47">
        <v>5.03</v>
      </c>
      <c r="Q47">
        <v>4.07</v>
      </c>
      <c r="R47" s="11" t="str">
        <f t="shared" si="0"/>
        <v>RB</v>
      </c>
    </row>
    <row r="48" spans="1:18" ht="14.25" customHeight="1" x14ac:dyDescent="0.25">
      <c r="A48">
        <v>44</v>
      </c>
      <c r="B48" t="s">
        <v>171</v>
      </c>
      <c r="C48" t="s">
        <v>172</v>
      </c>
      <c r="D48" t="s">
        <v>155</v>
      </c>
      <c r="E48">
        <v>35</v>
      </c>
      <c r="F48">
        <v>50</v>
      </c>
      <c r="G48">
        <v>47</v>
      </c>
      <c r="H48">
        <v>41</v>
      </c>
      <c r="I48">
        <v>45</v>
      </c>
      <c r="J48" t="s">
        <v>36</v>
      </c>
      <c r="K48">
        <v>48</v>
      </c>
      <c r="L48">
        <v>42</v>
      </c>
      <c r="M48" t="s">
        <v>36</v>
      </c>
      <c r="N48">
        <v>42</v>
      </c>
      <c r="O48">
        <v>44</v>
      </c>
      <c r="P48">
        <v>5.04</v>
      </c>
      <c r="Q48">
        <v>4.08</v>
      </c>
      <c r="R48" s="11" t="str">
        <f t="shared" si="0"/>
        <v>RB</v>
      </c>
    </row>
    <row r="49" spans="1:18" ht="14.25" customHeight="1" x14ac:dyDescent="0.25">
      <c r="A49">
        <v>45</v>
      </c>
      <c r="B49" t="s">
        <v>175</v>
      </c>
      <c r="C49" t="s">
        <v>176</v>
      </c>
      <c r="D49" t="s">
        <v>66</v>
      </c>
      <c r="E49">
        <v>49</v>
      </c>
      <c r="F49">
        <v>54</v>
      </c>
      <c r="G49">
        <v>56</v>
      </c>
      <c r="H49">
        <v>46</v>
      </c>
      <c r="I49">
        <v>44</v>
      </c>
      <c r="J49" t="s">
        <v>36</v>
      </c>
      <c r="K49">
        <v>52</v>
      </c>
      <c r="L49">
        <v>45</v>
      </c>
      <c r="M49" t="s">
        <v>36</v>
      </c>
      <c r="N49">
        <v>39</v>
      </c>
      <c r="O49">
        <v>53</v>
      </c>
      <c r="P49">
        <v>5.05</v>
      </c>
      <c r="Q49">
        <v>4.09</v>
      </c>
      <c r="R49" s="11" t="str">
        <f t="shared" si="0"/>
        <v>WR</v>
      </c>
    </row>
    <row r="50" spans="1:18" ht="14.25" customHeight="1" x14ac:dyDescent="0.25">
      <c r="A50">
        <v>46</v>
      </c>
      <c r="B50" t="s">
        <v>173</v>
      </c>
      <c r="C50" t="s">
        <v>174</v>
      </c>
      <c r="D50" t="s">
        <v>91</v>
      </c>
      <c r="E50">
        <v>41</v>
      </c>
      <c r="F50">
        <v>30</v>
      </c>
      <c r="G50">
        <v>51</v>
      </c>
      <c r="H50">
        <v>60</v>
      </c>
      <c r="I50">
        <v>61</v>
      </c>
      <c r="J50" t="s">
        <v>36</v>
      </c>
      <c r="K50">
        <v>34</v>
      </c>
      <c r="L50">
        <v>53</v>
      </c>
      <c r="M50" t="s">
        <v>36</v>
      </c>
      <c r="N50">
        <v>57</v>
      </c>
      <c r="O50">
        <v>58</v>
      </c>
      <c r="P50">
        <v>5.0599999999999996</v>
      </c>
      <c r="Q50">
        <v>4.0999999999999996</v>
      </c>
      <c r="R50" s="11" t="str">
        <f t="shared" si="0"/>
        <v>QB</v>
      </c>
    </row>
    <row r="51" spans="1:18" ht="14.25" customHeight="1" x14ac:dyDescent="0.25">
      <c r="A51">
        <v>47</v>
      </c>
      <c r="B51" t="s">
        <v>177</v>
      </c>
      <c r="C51" t="s">
        <v>178</v>
      </c>
      <c r="D51" t="s">
        <v>116</v>
      </c>
      <c r="E51">
        <v>48</v>
      </c>
      <c r="F51">
        <v>56</v>
      </c>
      <c r="G51">
        <v>52</v>
      </c>
      <c r="H51">
        <v>47</v>
      </c>
      <c r="I51">
        <v>48</v>
      </c>
      <c r="J51" t="s">
        <v>36</v>
      </c>
      <c r="K51">
        <v>44</v>
      </c>
      <c r="L51">
        <v>57</v>
      </c>
      <c r="M51" t="s">
        <v>36</v>
      </c>
      <c r="N51">
        <v>47</v>
      </c>
      <c r="O51">
        <v>47</v>
      </c>
      <c r="P51">
        <v>5.07</v>
      </c>
      <c r="Q51">
        <v>4.1100000000000003</v>
      </c>
      <c r="R51" s="11" t="str">
        <f t="shared" si="0"/>
        <v>RB</v>
      </c>
    </row>
    <row r="52" spans="1:18" ht="14.25" customHeight="1" x14ac:dyDescent="0.25">
      <c r="A52">
        <v>48</v>
      </c>
      <c r="B52" t="s">
        <v>180</v>
      </c>
      <c r="C52" t="s">
        <v>181</v>
      </c>
      <c r="D52" t="s">
        <v>155</v>
      </c>
      <c r="E52">
        <v>58</v>
      </c>
      <c r="F52">
        <v>65</v>
      </c>
      <c r="G52">
        <v>46</v>
      </c>
      <c r="H52">
        <v>48</v>
      </c>
      <c r="I52">
        <v>43</v>
      </c>
      <c r="J52" t="s">
        <v>36</v>
      </c>
      <c r="K52">
        <v>60</v>
      </c>
      <c r="L52">
        <v>44</v>
      </c>
      <c r="M52" t="s">
        <v>36</v>
      </c>
      <c r="N52">
        <v>43</v>
      </c>
      <c r="O52">
        <v>43</v>
      </c>
      <c r="P52">
        <v>5.08</v>
      </c>
      <c r="Q52">
        <v>4.12</v>
      </c>
      <c r="R52" s="11" t="str">
        <f t="shared" si="0"/>
        <v>WR</v>
      </c>
    </row>
    <row r="53" spans="1:18" ht="14.25" customHeight="1" x14ac:dyDescent="0.25">
      <c r="A53">
        <v>49</v>
      </c>
      <c r="B53" t="s">
        <v>185</v>
      </c>
      <c r="C53" t="s">
        <v>189</v>
      </c>
      <c r="D53" t="s">
        <v>163</v>
      </c>
      <c r="E53">
        <v>43</v>
      </c>
      <c r="F53">
        <v>53</v>
      </c>
      <c r="G53">
        <v>61</v>
      </c>
      <c r="H53">
        <v>49</v>
      </c>
      <c r="I53">
        <v>56</v>
      </c>
      <c r="J53" t="s">
        <v>36</v>
      </c>
      <c r="K53">
        <v>47</v>
      </c>
      <c r="L53">
        <v>50</v>
      </c>
      <c r="M53" t="s">
        <v>36</v>
      </c>
      <c r="N53">
        <v>48</v>
      </c>
      <c r="O53">
        <v>52</v>
      </c>
      <c r="P53">
        <v>5.09</v>
      </c>
      <c r="Q53">
        <v>5.01</v>
      </c>
      <c r="R53" s="11" t="str">
        <f t="shared" si="0"/>
        <v>RB</v>
      </c>
    </row>
    <row r="54" spans="1:18" ht="14.25" customHeight="1" x14ac:dyDescent="0.25">
      <c r="A54">
        <v>50</v>
      </c>
      <c r="B54" t="s">
        <v>182</v>
      </c>
      <c r="C54" t="s">
        <v>192</v>
      </c>
      <c r="D54" t="s">
        <v>49</v>
      </c>
      <c r="E54">
        <v>53</v>
      </c>
      <c r="F54">
        <v>42</v>
      </c>
      <c r="G54">
        <v>50</v>
      </c>
      <c r="H54">
        <v>55</v>
      </c>
      <c r="I54">
        <v>51</v>
      </c>
      <c r="J54" t="s">
        <v>36</v>
      </c>
      <c r="K54">
        <v>55</v>
      </c>
      <c r="L54">
        <v>55</v>
      </c>
      <c r="M54" t="s">
        <v>36</v>
      </c>
      <c r="N54">
        <v>51</v>
      </c>
      <c r="O54">
        <v>51</v>
      </c>
      <c r="P54">
        <v>5.0999999999999996</v>
      </c>
      <c r="Q54">
        <v>5.0199999999999996</v>
      </c>
      <c r="R54" s="11" t="str">
        <f t="shared" si="0"/>
        <v>WR</v>
      </c>
    </row>
    <row r="55" spans="1:18" ht="14.25" customHeight="1" x14ac:dyDescent="0.25">
      <c r="A55">
        <v>51</v>
      </c>
      <c r="B55" t="s">
        <v>188</v>
      </c>
      <c r="C55" t="s">
        <v>186</v>
      </c>
      <c r="D55" t="s">
        <v>187</v>
      </c>
      <c r="E55">
        <v>47</v>
      </c>
      <c r="F55">
        <v>45</v>
      </c>
      <c r="G55">
        <v>49</v>
      </c>
      <c r="H55">
        <v>51</v>
      </c>
      <c r="I55">
        <v>54</v>
      </c>
      <c r="J55" t="s">
        <v>36</v>
      </c>
      <c r="K55">
        <v>49</v>
      </c>
      <c r="L55">
        <v>56</v>
      </c>
      <c r="M55" t="s">
        <v>36</v>
      </c>
      <c r="N55">
        <v>58</v>
      </c>
      <c r="O55">
        <v>55</v>
      </c>
      <c r="P55">
        <v>6.01</v>
      </c>
      <c r="Q55">
        <v>5.03</v>
      </c>
      <c r="R55" s="11" t="str">
        <f t="shared" si="0"/>
        <v>RB</v>
      </c>
    </row>
    <row r="56" spans="1:18" ht="14.25" customHeight="1" x14ac:dyDescent="0.25">
      <c r="A56">
        <v>52</v>
      </c>
      <c r="B56" t="s">
        <v>193</v>
      </c>
      <c r="C56" t="s">
        <v>194</v>
      </c>
      <c r="D56" t="s">
        <v>60</v>
      </c>
      <c r="E56">
        <v>55</v>
      </c>
      <c r="F56">
        <v>46</v>
      </c>
      <c r="G56">
        <v>58</v>
      </c>
      <c r="H56">
        <v>35</v>
      </c>
      <c r="I56">
        <v>55</v>
      </c>
      <c r="J56" t="s">
        <v>36</v>
      </c>
      <c r="K56">
        <v>50</v>
      </c>
      <c r="L56">
        <v>46</v>
      </c>
      <c r="M56" t="s">
        <v>36</v>
      </c>
      <c r="N56">
        <v>62</v>
      </c>
      <c r="O56">
        <v>63</v>
      </c>
      <c r="P56">
        <v>6.02</v>
      </c>
      <c r="Q56">
        <v>5.04</v>
      </c>
      <c r="R56" s="11" t="str">
        <f t="shared" si="0"/>
        <v>TE</v>
      </c>
    </row>
    <row r="57" spans="1:18" ht="14.25" customHeight="1" x14ac:dyDescent="0.25">
      <c r="A57">
        <v>53</v>
      </c>
      <c r="B57" t="s">
        <v>191</v>
      </c>
      <c r="C57" t="s">
        <v>196</v>
      </c>
      <c r="D57" t="s">
        <v>35</v>
      </c>
      <c r="E57">
        <v>56</v>
      </c>
      <c r="F57">
        <v>58</v>
      </c>
      <c r="G57">
        <v>54</v>
      </c>
      <c r="H57">
        <v>53</v>
      </c>
      <c r="I57">
        <v>47</v>
      </c>
      <c r="J57" t="s">
        <v>36</v>
      </c>
      <c r="K57">
        <v>58</v>
      </c>
      <c r="L57">
        <v>49</v>
      </c>
      <c r="M57" t="s">
        <v>36</v>
      </c>
      <c r="N57">
        <v>49</v>
      </c>
      <c r="O57">
        <v>50</v>
      </c>
      <c r="P57">
        <v>6.03</v>
      </c>
      <c r="Q57">
        <v>5.05</v>
      </c>
      <c r="R57" s="11" t="str">
        <f t="shared" si="0"/>
        <v>WR</v>
      </c>
    </row>
    <row r="58" spans="1:18" ht="14.25" customHeight="1" x14ac:dyDescent="0.25">
      <c r="A58">
        <v>54</v>
      </c>
      <c r="B58" t="s">
        <v>195</v>
      </c>
      <c r="C58" t="s">
        <v>183</v>
      </c>
      <c r="D58" t="s">
        <v>184</v>
      </c>
      <c r="E58">
        <v>57</v>
      </c>
      <c r="F58">
        <v>55</v>
      </c>
      <c r="G58">
        <v>55</v>
      </c>
      <c r="H58">
        <v>57</v>
      </c>
      <c r="I58">
        <v>49</v>
      </c>
      <c r="J58" t="s">
        <v>36</v>
      </c>
      <c r="K58">
        <v>53</v>
      </c>
      <c r="L58">
        <v>47</v>
      </c>
      <c r="M58" t="s">
        <v>36</v>
      </c>
      <c r="N58">
        <v>56</v>
      </c>
      <c r="O58">
        <v>48</v>
      </c>
      <c r="P58">
        <v>6.04</v>
      </c>
      <c r="Q58">
        <v>5.0599999999999996</v>
      </c>
      <c r="R58" s="11" t="str">
        <f t="shared" si="0"/>
        <v>WR</v>
      </c>
    </row>
    <row r="59" spans="1:18" ht="14.25" customHeight="1" x14ac:dyDescent="0.25">
      <c r="A59">
        <v>55</v>
      </c>
      <c r="B59" t="s">
        <v>197</v>
      </c>
      <c r="C59" t="s">
        <v>198</v>
      </c>
      <c r="D59" t="s">
        <v>199</v>
      </c>
      <c r="E59">
        <v>54</v>
      </c>
      <c r="F59">
        <v>57</v>
      </c>
      <c r="G59">
        <v>63</v>
      </c>
      <c r="H59">
        <v>50</v>
      </c>
      <c r="I59">
        <v>57</v>
      </c>
      <c r="J59" t="s">
        <v>36</v>
      </c>
      <c r="K59">
        <v>59</v>
      </c>
      <c r="L59">
        <v>58</v>
      </c>
      <c r="M59" t="s">
        <v>36</v>
      </c>
      <c r="N59">
        <v>50</v>
      </c>
      <c r="O59">
        <v>49</v>
      </c>
      <c r="P59">
        <v>6.05</v>
      </c>
      <c r="Q59">
        <v>5.07</v>
      </c>
      <c r="R59" s="11" t="str">
        <f t="shared" si="0"/>
        <v>RB</v>
      </c>
    </row>
    <row r="60" spans="1:18" ht="14.25" customHeight="1" x14ac:dyDescent="0.25">
      <c r="A60">
        <v>56</v>
      </c>
      <c r="B60" t="s">
        <v>205</v>
      </c>
      <c r="C60" t="s">
        <v>206</v>
      </c>
      <c r="D60" t="s">
        <v>52</v>
      </c>
      <c r="E60">
        <v>52</v>
      </c>
      <c r="F60">
        <v>59</v>
      </c>
      <c r="G60">
        <v>66</v>
      </c>
      <c r="H60">
        <v>52</v>
      </c>
      <c r="I60">
        <v>59</v>
      </c>
      <c r="J60" t="s">
        <v>36</v>
      </c>
      <c r="K60">
        <v>57</v>
      </c>
      <c r="L60">
        <v>59</v>
      </c>
      <c r="M60" t="s">
        <v>36</v>
      </c>
      <c r="N60">
        <v>53</v>
      </c>
      <c r="O60">
        <v>60</v>
      </c>
      <c r="P60">
        <v>6.06</v>
      </c>
      <c r="Q60">
        <v>5.08</v>
      </c>
      <c r="R60" s="11" t="str">
        <f t="shared" si="0"/>
        <v>RB</v>
      </c>
    </row>
    <row r="61" spans="1:18" ht="14.25" customHeight="1" x14ac:dyDescent="0.25">
      <c r="A61">
        <v>57</v>
      </c>
      <c r="B61" t="s">
        <v>201</v>
      </c>
      <c r="C61" t="s">
        <v>202</v>
      </c>
      <c r="D61" t="s">
        <v>155</v>
      </c>
      <c r="E61">
        <v>60</v>
      </c>
      <c r="F61">
        <v>60</v>
      </c>
      <c r="G61">
        <v>67</v>
      </c>
      <c r="H61">
        <v>59</v>
      </c>
      <c r="I61">
        <v>53</v>
      </c>
      <c r="J61" t="s">
        <v>36</v>
      </c>
      <c r="K61">
        <v>63</v>
      </c>
      <c r="L61">
        <v>51</v>
      </c>
      <c r="M61" t="s">
        <v>36</v>
      </c>
      <c r="N61">
        <v>54</v>
      </c>
      <c r="O61">
        <v>59</v>
      </c>
      <c r="P61">
        <v>6.07</v>
      </c>
      <c r="Q61">
        <v>5.09</v>
      </c>
      <c r="R61" s="11" t="str">
        <f t="shared" si="0"/>
        <v>WR</v>
      </c>
    </row>
    <row r="62" spans="1:18" ht="14.25" customHeight="1" x14ac:dyDescent="0.25">
      <c r="A62">
        <v>58</v>
      </c>
      <c r="B62" t="s">
        <v>207</v>
      </c>
      <c r="C62" t="s">
        <v>208</v>
      </c>
      <c r="D62" t="s">
        <v>199</v>
      </c>
      <c r="E62">
        <v>67</v>
      </c>
      <c r="F62">
        <v>81</v>
      </c>
      <c r="G62">
        <v>48</v>
      </c>
      <c r="H62">
        <v>54</v>
      </c>
      <c r="I62">
        <v>52</v>
      </c>
      <c r="J62" t="s">
        <v>36</v>
      </c>
      <c r="K62">
        <v>70</v>
      </c>
      <c r="L62">
        <v>54</v>
      </c>
      <c r="M62" t="s">
        <v>36</v>
      </c>
      <c r="N62">
        <v>46</v>
      </c>
      <c r="O62">
        <v>56</v>
      </c>
      <c r="P62">
        <v>6.08</v>
      </c>
      <c r="Q62">
        <v>5.0999999999999996</v>
      </c>
      <c r="R62" s="11" t="str">
        <f t="shared" si="0"/>
        <v>WR</v>
      </c>
    </row>
    <row r="63" spans="1:18" ht="14.25" customHeight="1" x14ac:dyDescent="0.25">
      <c r="A63">
        <v>59</v>
      </c>
      <c r="B63" t="s">
        <v>203</v>
      </c>
      <c r="C63" t="s">
        <v>204</v>
      </c>
      <c r="D63" t="s">
        <v>104</v>
      </c>
      <c r="E63">
        <v>51</v>
      </c>
      <c r="F63">
        <v>44</v>
      </c>
      <c r="G63">
        <v>62</v>
      </c>
      <c r="H63">
        <v>71</v>
      </c>
      <c r="I63">
        <v>63</v>
      </c>
      <c r="J63" t="s">
        <v>36</v>
      </c>
      <c r="K63">
        <v>51</v>
      </c>
      <c r="L63">
        <v>61</v>
      </c>
      <c r="M63" t="s">
        <v>36</v>
      </c>
      <c r="N63">
        <v>67</v>
      </c>
      <c r="O63">
        <v>66</v>
      </c>
      <c r="P63">
        <v>6.09</v>
      </c>
      <c r="Q63">
        <v>5.1100000000000003</v>
      </c>
      <c r="R63" s="11" t="str">
        <f t="shared" si="0"/>
        <v>QB</v>
      </c>
    </row>
    <row r="64" spans="1:18" ht="14.25" customHeight="1" x14ac:dyDescent="0.25">
      <c r="A64">
        <v>60</v>
      </c>
      <c r="B64" t="s">
        <v>212</v>
      </c>
      <c r="C64" t="s">
        <v>213</v>
      </c>
      <c r="D64" t="s">
        <v>214</v>
      </c>
      <c r="E64">
        <v>61</v>
      </c>
      <c r="F64">
        <v>80</v>
      </c>
      <c r="G64">
        <v>64</v>
      </c>
      <c r="H64">
        <v>56</v>
      </c>
      <c r="I64">
        <v>50</v>
      </c>
      <c r="J64" t="s">
        <v>36</v>
      </c>
      <c r="K64">
        <v>65</v>
      </c>
      <c r="L64">
        <v>52</v>
      </c>
      <c r="M64" t="s">
        <v>36</v>
      </c>
      <c r="N64">
        <v>55</v>
      </c>
      <c r="O64">
        <v>57</v>
      </c>
      <c r="P64">
        <v>6.1</v>
      </c>
      <c r="Q64">
        <v>5.12</v>
      </c>
      <c r="R64" s="11" t="str">
        <f t="shared" si="0"/>
        <v>WR</v>
      </c>
    </row>
    <row r="65" spans="1:18" ht="14.25" customHeight="1" x14ac:dyDescent="0.25">
      <c r="A65">
        <v>61</v>
      </c>
      <c r="B65" t="s">
        <v>210</v>
      </c>
      <c r="C65" t="s">
        <v>211</v>
      </c>
      <c r="D65" t="s">
        <v>44</v>
      </c>
      <c r="E65">
        <v>50</v>
      </c>
      <c r="F65">
        <v>48</v>
      </c>
      <c r="G65">
        <v>59</v>
      </c>
      <c r="H65">
        <v>75</v>
      </c>
      <c r="I65">
        <v>60</v>
      </c>
      <c r="J65" t="s">
        <v>36</v>
      </c>
      <c r="K65">
        <v>54</v>
      </c>
      <c r="L65">
        <v>64</v>
      </c>
      <c r="M65" t="s">
        <v>36</v>
      </c>
      <c r="N65">
        <v>68</v>
      </c>
      <c r="O65">
        <v>68</v>
      </c>
      <c r="P65">
        <v>7.01</v>
      </c>
      <c r="Q65">
        <v>6.01</v>
      </c>
      <c r="R65" s="11" t="str">
        <f t="shared" si="0"/>
        <v>QB</v>
      </c>
    </row>
    <row r="66" spans="1:18" ht="14.25" customHeight="1" x14ac:dyDescent="0.25">
      <c r="A66">
        <v>62</v>
      </c>
      <c r="B66" t="s">
        <v>219</v>
      </c>
      <c r="C66" t="s">
        <v>220</v>
      </c>
      <c r="D66" t="s">
        <v>55</v>
      </c>
      <c r="E66">
        <v>71</v>
      </c>
      <c r="F66">
        <v>74</v>
      </c>
      <c r="G66">
        <v>70</v>
      </c>
      <c r="H66">
        <v>66</v>
      </c>
      <c r="I66">
        <v>58</v>
      </c>
      <c r="J66" t="s">
        <v>36</v>
      </c>
      <c r="K66">
        <v>62</v>
      </c>
      <c r="L66">
        <v>60</v>
      </c>
      <c r="M66" t="s">
        <v>36</v>
      </c>
      <c r="N66">
        <v>60</v>
      </c>
      <c r="O66">
        <v>54</v>
      </c>
      <c r="P66">
        <v>7.02</v>
      </c>
      <c r="Q66">
        <v>6.02</v>
      </c>
      <c r="R66" s="11" t="str">
        <f t="shared" si="0"/>
        <v>WR</v>
      </c>
    </row>
    <row r="67" spans="1:18" ht="14.25" customHeight="1" x14ac:dyDescent="0.25">
      <c r="A67">
        <v>63</v>
      </c>
      <c r="B67" t="s">
        <v>215</v>
      </c>
      <c r="C67" t="s">
        <v>222</v>
      </c>
      <c r="D67" t="s">
        <v>104</v>
      </c>
      <c r="E67">
        <v>64</v>
      </c>
      <c r="F67">
        <v>67</v>
      </c>
      <c r="G67">
        <v>65</v>
      </c>
      <c r="H67">
        <v>61</v>
      </c>
      <c r="I67">
        <v>66</v>
      </c>
      <c r="J67" t="s">
        <v>36</v>
      </c>
      <c r="K67">
        <v>71</v>
      </c>
      <c r="L67">
        <v>62</v>
      </c>
      <c r="M67" t="s">
        <v>36</v>
      </c>
      <c r="N67">
        <v>59</v>
      </c>
      <c r="O67">
        <v>67</v>
      </c>
      <c r="P67">
        <v>7.03</v>
      </c>
      <c r="Q67">
        <v>6.03</v>
      </c>
      <c r="R67" s="11" t="str">
        <f t="shared" si="0"/>
        <v>RB</v>
      </c>
    </row>
    <row r="68" spans="1:18" ht="14.25" customHeight="1" x14ac:dyDescent="0.25">
      <c r="A68">
        <v>64</v>
      </c>
      <c r="B68" t="s">
        <v>217</v>
      </c>
      <c r="C68" t="s">
        <v>216</v>
      </c>
      <c r="D68" t="s">
        <v>104</v>
      </c>
      <c r="E68">
        <v>70</v>
      </c>
      <c r="F68">
        <v>68</v>
      </c>
      <c r="G68">
        <v>73</v>
      </c>
      <c r="H68">
        <v>64</v>
      </c>
      <c r="I68">
        <v>62</v>
      </c>
      <c r="J68" t="s">
        <v>36</v>
      </c>
      <c r="K68">
        <v>56</v>
      </c>
      <c r="L68">
        <v>65</v>
      </c>
      <c r="M68" t="s">
        <v>36</v>
      </c>
      <c r="N68">
        <v>66</v>
      </c>
      <c r="O68">
        <v>61</v>
      </c>
      <c r="P68">
        <v>7.04</v>
      </c>
      <c r="Q68">
        <v>6.04</v>
      </c>
      <c r="R68" s="11" t="str">
        <f t="shared" si="0"/>
        <v>RB</v>
      </c>
    </row>
    <row r="69" spans="1:18" ht="14.25" customHeight="1" x14ac:dyDescent="0.25">
      <c r="A69">
        <v>65</v>
      </c>
      <c r="B69" t="s">
        <v>225</v>
      </c>
      <c r="C69" t="s">
        <v>226</v>
      </c>
      <c r="D69" t="s">
        <v>123</v>
      </c>
      <c r="E69">
        <v>68</v>
      </c>
      <c r="F69">
        <v>69</v>
      </c>
      <c r="G69">
        <v>82</v>
      </c>
      <c r="H69">
        <v>68</v>
      </c>
      <c r="I69">
        <v>64</v>
      </c>
      <c r="J69" t="s">
        <v>36</v>
      </c>
      <c r="K69">
        <v>73</v>
      </c>
      <c r="L69">
        <v>68</v>
      </c>
      <c r="M69" t="s">
        <v>36</v>
      </c>
      <c r="N69">
        <v>61</v>
      </c>
      <c r="O69">
        <v>65</v>
      </c>
      <c r="P69">
        <v>7.05</v>
      </c>
      <c r="Q69">
        <v>6.05</v>
      </c>
      <c r="R69" s="11" t="str">
        <f t="shared" si="0"/>
        <v>WR</v>
      </c>
    </row>
    <row r="70" spans="1:18" ht="14.25" customHeight="1" x14ac:dyDescent="0.25">
      <c r="A70">
        <v>66</v>
      </c>
      <c r="B70" t="s">
        <v>221</v>
      </c>
      <c r="C70" t="s">
        <v>231</v>
      </c>
      <c r="D70" t="s">
        <v>233</v>
      </c>
      <c r="E70">
        <v>75</v>
      </c>
      <c r="F70">
        <v>76</v>
      </c>
      <c r="G70">
        <v>77</v>
      </c>
      <c r="H70">
        <v>67</v>
      </c>
      <c r="I70">
        <v>68</v>
      </c>
      <c r="J70" t="s">
        <v>36</v>
      </c>
      <c r="K70">
        <v>67</v>
      </c>
      <c r="L70">
        <v>69</v>
      </c>
      <c r="M70" t="s">
        <v>36</v>
      </c>
      <c r="N70">
        <v>64</v>
      </c>
      <c r="O70">
        <v>69</v>
      </c>
      <c r="P70">
        <v>7.06</v>
      </c>
      <c r="Q70">
        <v>6.06</v>
      </c>
      <c r="R70" s="11" t="str">
        <f t="shared" si="0"/>
        <v>RB</v>
      </c>
    </row>
    <row r="71" spans="1:18" ht="14.25" customHeight="1" x14ac:dyDescent="0.25">
      <c r="A71">
        <v>67</v>
      </c>
      <c r="B71" t="s">
        <v>223</v>
      </c>
      <c r="C71" t="s">
        <v>235</v>
      </c>
      <c r="D71" t="s">
        <v>78</v>
      </c>
      <c r="E71">
        <v>62</v>
      </c>
      <c r="F71">
        <v>52</v>
      </c>
      <c r="G71">
        <v>76</v>
      </c>
      <c r="H71">
        <v>94</v>
      </c>
      <c r="I71">
        <v>93</v>
      </c>
      <c r="J71" t="s">
        <v>36</v>
      </c>
      <c r="K71">
        <v>61</v>
      </c>
      <c r="L71">
        <v>63</v>
      </c>
      <c r="M71" t="s">
        <v>36</v>
      </c>
      <c r="N71">
        <v>72</v>
      </c>
      <c r="O71">
        <v>72</v>
      </c>
      <c r="P71">
        <v>7.07</v>
      </c>
      <c r="Q71">
        <v>6.07</v>
      </c>
      <c r="R71" s="11" t="str">
        <f t="shared" si="0"/>
        <v>QB</v>
      </c>
    </row>
    <row r="72" spans="1:18" ht="14.25" customHeight="1" x14ac:dyDescent="0.25">
      <c r="A72">
        <v>68</v>
      </c>
      <c r="B72" t="s">
        <v>234</v>
      </c>
      <c r="C72" t="s">
        <v>224</v>
      </c>
      <c r="D72" t="s">
        <v>184</v>
      </c>
      <c r="E72">
        <v>66</v>
      </c>
      <c r="F72">
        <v>47</v>
      </c>
      <c r="G72">
        <v>75</v>
      </c>
      <c r="H72">
        <v>96</v>
      </c>
      <c r="I72">
        <v>84</v>
      </c>
      <c r="J72" t="s">
        <v>36</v>
      </c>
      <c r="K72">
        <v>69</v>
      </c>
      <c r="L72">
        <v>67</v>
      </c>
      <c r="M72" t="s">
        <v>36</v>
      </c>
      <c r="N72">
        <v>74</v>
      </c>
      <c r="O72">
        <v>70</v>
      </c>
      <c r="P72">
        <v>7.08</v>
      </c>
      <c r="Q72">
        <v>6.08</v>
      </c>
      <c r="R72" s="11" t="str">
        <f t="shared" si="0"/>
        <v>QB</v>
      </c>
    </row>
    <row r="73" spans="1:18" ht="14.25" customHeight="1" x14ac:dyDescent="0.25">
      <c r="A73">
        <v>69</v>
      </c>
      <c r="B73" t="s">
        <v>236</v>
      </c>
      <c r="C73" t="s">
        <v>237</v>
      </c>
      <c r="D73" t="s">
        <v>214</v>
      </c>
      <c r="E73">
        <v>69</v>
      </c>
      <c r="F73">
        <v>83</v>
      </c>
      <c r="G73">
        <v>81</v>
      </c>
      <c r="H73">
        <v>58</v>
      </c>
      <c r="I73">
        <v>76</v>
      </c>
      <c r="J73" t="s">
        <v>36</v>
      </c>
      <c r="K73">
        <v>66</v>
      </c>
      <c r="L73">
        <v>66</v>
      </c>
      <c r="M73" t="s">
        <v>36</v>
      </c>
      <c r="N73">
        <v>77</v>
      </c>
      <c r="O73">
        <v>76</v>
      </c>
      <c r="P73">
        <v>7.09</v>
      </c>
      <c r="Q73">
        <v>6.09</v>
      </c>
      <c r="R73" s="11" t="str">
        <f t="shared" si="0"/>
        <v>TE</v>
      </c>
    </row>
    <row r="74" spans="1:18" ht="14.25" customHeight="1" x14ac:dyDescent="0.25">
      <c r="A74">
        <v>70</v>
      </c>
      <c r="B74" t="s">
        <v>227</v>
      </c>
      <c r="C74" t="s">
        <v>228</v>
      </c>
      <c r="D74" t="s">
        <v>229</v>
      </c>
      <c r="E74">
        <v>90</v>
      </c>
      <c r="F74">
        <v>71</v>
      </c>
      <c r="G74">
        <v>79</v>
      </c>
      <c r="H74">
        <v>73</v>
      </c>
      <c r="I74">
        <v>65</v>
      </c>
      <c r="J74" t="s">
        <v>36</v>
      </c>
      <c r="K74">
        <v>68</v>
      </c>
      <c r="L74">
        <v>74</v>
      </c>
      <c r="M74" t="s">
        <v>36</v>
      </c>
      <c r="N74">
        <v>70</v>
      </c>
      <c r="O74">
        <v>62</v>
      </c>
      <c r="P74">
        <v>7.1</v>
      </c>
      <c r="Q74">
        <v>6.1</v>
      </c>
      <c r="R74" s="11" t="str">
        <f t="shared" si="0"/>
        <v>WR</v>
      </c>
    </row>
    <row r="75" spans="1:18" ht="14.25" customHeight="1" x14ac:dyDescent="0.25">
      <c r="A75">
        <v>71</v>
      </c>
      <c r="B75" t="s">
        <v>240</v>
      </c>
      <c r="C75" t="s">
        <v>241</v>
      </c>
      <c r="D75" t="s">
        <v>155</v>
      </c>
      <c r="E75">
        <v>73</v>
      </c>
      <c r="F75">
        <v>75</v>
      </c>
      <c r="G75">
        <v>83</v>
      </c>
      <c r="H75">
        <v>93</v>
      </c>
      <c r="I75">
        <v>77</v>
      </c>
      <c r="J75" t="s">
        <v>36</v>
      </c>
      <c r="K75">
        <v>74</v>
      </c>
      <c r="L75">
        <v>72</v>
      </c>
      <c r="M75" t="s">
        <v>36</v>
      </c>
      <c r="N75">
        <v>69</v>
      </c>
      <c r="O75">
        <v>73</v>
      </c>
      <c r="P75">
        <v>8.01</v>
      </c>
      <c r="Q75">
        <v>6.11</v>
      </c>
      <c r="R75" s="11" t="str">
        <f t="shared" si="0"/>
        <v>QB</v>
      </c>
    </row>
    <row r="76" spans="1:18" ht="14.25" customHeight="1" x14ac:dyDescent="0.25">
      <c r="A76">
        <v>72</v>
      </c>
      <c r="B76" t="s">
        <v>245</v>
      </c>
      <c r="C76" t="s">
        <v>246</v>
      </c>
      <c r="D76" t="s">
        <v>35</v>
      </c>
      <c r="E76">
        <v>65</v>
      </c>
      <c r="F76">
        <v>66</v>
      </c>
      <c r="G76">
        <v>97</v>
      </c>
      <c r="H76">
        <v>65</v>
      </c>
      <c r="I76">
        <v>94</v>
      </c>
      <c r="J76" t="s">
        <v>36</v>
      </c>
      <c r="K76">
        <v>64</v>
      </c>
      <c r="L76">
        <v>70</v>
      </c>
      <c r="M76" t="s">
        <v>36</v>
      </c>
      <c r="N76">
        <v>88</v>
      </c>
      <c r="O76">
        <v>90</v>
      </c>
      <c r="P76">
        <v>8.02</v>
      </c>
      <c r="Q76">
        <v>6.12</v>
      </c>
      <c r="R76" s="11" t="str">
        <f t="shared" si="0"/>
        <v>TE</v>
      </c>
    </row>
    <row r="77" spans="1:18" ht="14.25" customHeight="1" x14ac:dyDescent="0.25">
      <c r="A77">
        <v>73</v>
      </c>
      <c r="B77" t="s">
        <v>238</v>
      </c>
      <c r="C77" t="s">
        <v>239</v>
      </c>
      <c r="D77" t="s">
        <v>199</v>
      </c>
      <c r="E77">
        <v>83</v>
      </c>
      <c r="F77">
        <v>108</v>
      </c>
      <c r="G77">
        <v>85</v>
      </c>
      <c r="H77">
        <v>79</v>
      </c>
      <c r="I77">
        <v>67</v>
      </c>
      <c r="J77" t="s">
        <v>36</v>
      </c>
      <c r="K77">
        <v>75</v>
      </c>
      <c r="L77">
        <v>73</v>
      </c>
      <c r="M77" t="s">
        <v>36</v>
      </c>
      <c r="N77">
        <v>71</v>
      </c>
      <c r="O77">
        <v>64</v>
      </c>
      <c r="P77">
        <v>8.0299999999999994</v>
      </c>
      <c r="Q77">
        <v>7.01</v>
      </c>
      <c r="R77" s="11" t="str">
        <f t="shared" si="0"/>
        <v>WR</v>
      </c>
    </row>
    <row r="78" spans="1:18" ht="14.25" customHeight="1" x14ac:dyDescent="0.25">
      <c r="A78">
        <v>74</v>
      </c>
      <c r="B78" t="s">
        <v>230</v>
      </c>
      <c r="C78" t="s">
        <v>252</v>
      </c>
      <c r="D78" t="s">
        <v>229</v>
      </c>
      <c r="E78">
        <v>72</v>
      </c>
      <c r="F78">
        <v>79</v>
      </c>
      <c r="G78">
        <v>84</v>
      </c>
      <c r="H78">
        <v>72</v>
      </c>
      <c r="I78">
        <v>78</v>
      </c>
      <c r="J78" t="s">
        <v>36</v>
      </c>
      <c r="K78">
        <v>78</v>
      </c>
      <c r="L78">
        <v>81</v>
      </c>
      <c r="M78" t="s">
        <v>36</v>
      </c>
      <c r="N78">
        <v>87</v>
      </c>
      <c r="O78">
        <v>77</v>
      </c>
      <c r="P78">
        <v>8.0399999999999991</v>
      </c>
      <c r="Q78">
        <v>7.02</v>
      </c>
      <c r="R78" s="11" t="str">
        <f t="shared" si="0"/>
        <v>RB</v>
      </c>
    </row>
    <row r="79" spans="1:18" ht="14.25" customHeight="1" x14ac:dyDescent="0.25">
      <c r="A79">
        <v>75</v>
      </c>
      <c r="B79" t="s">
        <v>247</v>
      </c>
      <c r="C79" t="s">
        <v>248</v>
      </c>
      <c r="D79" t="s">
        <v>233</v>
      </c>
      <c r="E79">
        <v>89</v>
      </c>
      <c r="F79">
        <v>78</v>
      </c>
      <c r="G79">
        <v>91</v>
      </c>
      <c r="H79">
        <v>82</v>
      </c>
      <c r="I79">
        <v>72</v>
      </c>
      <c r="J79" t="s">
        <v>36</v>
      </c>
      <c r="K79">
        <v>77</v>
      </c>
      <c r="L79">
        <v>76</v>
      </c>
      <c r="M79" t="s">
        <v>36</v>
      </c>
      <c r="N79">
        <v>75</v>
      </c>
      <c r="O79">
        <v>74</v>
      </c>
      <c r="P79">
        <v>8.0500000000000007</v>
      </c>
      <c r="Q79">
        <v>7.03</v>
      </c>
      <c r="R79" s="11" t="str">
        <f t="shared" si="0"/>
        <v>WR</v>
      </c>
    </row>
    <row r="80" spans="1:18" ht="14.25" customHeight="1" x14ac:dyDescent="0.25">
      <c r="A80">
        <v>76</v>
      </c>
      <c r="B80" t="s">
        <v>242</v>
      </c>
      <c r="C80" t="s">
        <v>244</v>
      </c>
      <c r="D80" t="s">
        <v>160</v>
      </c>
      <c r="E80">
        <v>87</v>
      </c>
      <c r="F80">
        <v>98</v>
      </c>
      <c r="G80">
        <v>69</v>
      </c>
      <c r="H80">
        <v>69</v>
      </c>
      <c r="I80">
        <v>71</v>
      </c>
      <c r="J80" t="s">
        <v>36</v>
      </c>
      <c r="K80">
        <v>87</v>
      </c>
      <c r="L80">
        <v>77</v>
      </c>
      <c r="M80" t="s">
        <v>36</v>
      </c>
      <c r="N80">
        <v>84</v>
      </c>
      <c r="O80">
        <v>75</v>
      </c>
      <c r="P80">
        <v>8.06</v>
      </c>
      <c r="Q80">
        <v>7.04</v>
      </c>
      <c r="R80" s="11" t="str">
        <f t="shared" si="0"/>
        <v>RB</v>
      </c>
    </row>
    <row r="81" spans="1:18" ht="14.25" customHeight="1" x14ac:dyDescent="0.25">
      <c r="A81">
        <v>77</v>
      </c>
      <c r="B81" t="s">
        <v>249</v>
      </c>
      <c r="C81" t="s">
        <v>250</v>
      </c>
      <c r="D81" t="s">
        <v>39</v>
      </c>
      <c r="E81">
        <v>74</v>
      </c>
      <c r="F81">
        <v>61</v>
      </c>
      <c r="G81">
        <v>93</v>
      </c>
      <c r="H81">
        <v>63</v>
      </c>
      <c r="I81">
        <v>79</v>
      </c>
      <c r="J81" t="s">
        <v>36</v>
      </c>
      <c r="K81">
        <v>72</v>
      </c>
      <c r="L81">
        <v>79</v>
      </c>
      <c r="M81" t="s">
        <v>36</v>
      </c>
      <c r="N81">
        <v>96</v>
      </c>
      <c r="O81">
        <v>101</v>
      </c>
      <c r="P81">
        <v>8.07</v>
      </c>
      <c r="Q81">
        <v>7.05</v>
      </c>
      <c r="R81" s="11" t="str">
        <f t="shared" si="0"/>
        <v>TE</v>
      </c>
    </row>
    <row r="82" spans="1:18" ht="14.25" customHeight="1" x14ac:dyDescent="0.25">
      <c r="A82">
        <v>78</v>
      </c>
      <c r="B82" t="s">
        <v>253</v>
      </c>
      <c r="C82" t="s">
        <v>254</v>
      </c>
      <c r="D82" t="s">
        <v>69</v>
      </c>
      <c r="E82">
        <v>59</v>
      </c>
      <c r="F82">
        <v>64</v>
      </c>
      <c r="G82">
        <v>90</v>
      </c>
      <c r="H82">
        <v>102</v>
      </c>
      <c r="I82">
        <v>86</v>
      </c>
      <c r="J82" t="s">
        <v>36</v>
      </c>
      <c r="K82">
        <v>86</v>
      </c>
      <c r="L82">
        <v>83</v>
      </c>
      <c r="M82" t="s">
        <v>36</v>
      </c>
      <c r="N82">
        <v>85</v>
      </c>
      <c r="O82">
        <v>79</v>
      </c>
      <c r="P82">
        <v>8.08</v>
      </c>
      <c r="Q82">
        <v>7.06</v>
      </c>
      <c r="R82" s="11" t="str">
        <f t="shared" si="0"/>
        <v>QB</v>
      </c>
    </row>
    <row r="83" spans="1:18" ht="14.25" customHeight="1" x14ac:dyDescent="0.25">
      <c r="A83">
        <v>79</v>
      </c>
      <c r="B83" t="s">
        <v>255</v>
      </c>
      <c r="C83" t="s">
        <v>256</v>
      </c>
      <c r="D83" t="s">
        <v>187</v>
      </c>
      <c r="E83">
        <v>63</v>
      </c>
      <c r="F83">
        <v>63</v>
      </c>
      <c r="G83">
        <v>88</v>
      </c>
      <c r="H83">
        <v>62</v>
      </c>
      <c r="I83">
        <v>92</v>
      </c>
      <c r="J83" t="s">
        <v>36</v>
      </c>
      <c r="K83">
        <v>76</v>
      </c>
      <c r="L83">
        <v>78</v>
      </c>
      <c r="M83" t="s">
        <v>36</v>
      </c>
      <c r="N83">
        <v>108</v>
      </c>
      <c r="O83">
        <v>105</v>
      </c>
      <c r="P83">
        <v>8.09</v>
      </c>
      <c r="Q83">
        <v>7.07</v>
      </c>
      <c r="R83" s="11" t="str">
        <f t="shared" si="0"/>
        <v>TE</v>
      </c>
    </row>
    <row r="84" spans="1:18" ht="14.25" customHeight="1" x14ac:dyDescent="0.25">
      <c r="A84">
        <v>80</v>
      </c>
      <c r="B84" t="s">
        <v>251</v>
      </c>
      <c r="C84" t="s">
        <v>258</v>
      </c>
      <c r="D84" t="s">
        <v>233</v>
      </c>
      <c r="E84">
        <v>77</v>
      </c>
      <c r="F84">
        <v>87</v>
      </c>
      <c r="G84">
        <v>95</v>
      </c>
      <c r="H84">
        <v>74</v>
      </c>
      <c r="I84">
        <v>87</v>
      </c>
      <c r="J84" t="s">
        <v>36</v>
      </c>
      <c r="K84">
        <v>83</v>
      </c>
      <c r="L84">
        <v>86</v>
      </c>
      <c r="M84" t="s">
        <v>36</v>
      </c>
      <c r="N84">
        <v>73</v>
      </c>
      <c r="O84">
        <v>82</v>
      </c>
      <c r="P84">
        <v>8.1</v>
      </c>
      <c r="Q84">
        <v>7.08</v>
      </c>
      <c r="R84" s="11" t="str">
        <f t="shared" si="0"/>
        <v>RB</v>
      </c>
    </row>
    <row r="85" spans="1:18" ht="14.25" customHeight="1" x14ac:dyDescent="0.25">
      <c r="A85">
        <v>81</v>
      </c>
      <c r="B85" t="s">
        <v>259</v>
      </c>
      <c r="C85" t="s">
        <v>260</v>
      </c>
      <c r="D85" t="s">
        <v>168</v>
      </c>
      <c r="E85">
        <v>78</v>
      </c>
      <c r="F85">
        <v>73</v>
      </c>
      <c r="G85">
        <v>87</v>
      </c>
      <c r="H85">
        <v>90</v>
      </c>
      <c r="I85">
        <v>69</v>
      </c>
      <c r="J85" t="s">
        <v>36</v>
      </c>
      <c r="K85">
        <v>80</v>
      </c>
      <c r="L85">
        <v>100</v>
      </c>
      <c r="M85" t="s">
        <v>36</v>
      </c>
      <c r="N85">
        <v>94</v>
      </c>
      <c r="O85">
        <v>81</v>
      </c>
      <c r="P85">
        <v>9.01</v>
      </c>
      <c r="Q85">
        <v>7.09</v>
      </c>
      <c r="R85" s="11" t="str">
        <f t="shared" si="0"/>
        <v>WR</v>
      </c>
    </row>
    <row r="86" spans="1:18" ht="14.25" customHeight="1" x14ac:dyDescent="0.25">
      <c r="A86">
        <v>82</v>
      </c>
      <c r="B86" t="s">
        <v>261</v>
      </c>
      <c r="C86" t="s">
        <v>262</v>
      </c>
      <c r="D86" t="s">
        <v>88</v>
      </c>
      <c r="E86">
        <v>82</v>
      </c>
      <c r="F86">
        <v>77</v>
      </c>
      <c r="G86">
        <v>98</v>
      </c>
      <c r="H86">
        <v>105</v>
      </c>
      <c r="I86">
        <v>82</v>
      </c>
      <c r="J86" t="s">
        <v>36</v>
      </c>
      <c r="K86">
        <v>81</v>
      </c>
      <c r="L86">
        <v>75</v>
      </c>
      <c r="M86" t="s">
        <v>36</v>
      </c>
      <c r="N86">
        <v>82</v>
      </c>
      <c r="O86">
        <v>84</v>
      </c>
      <c r="P86">
        <v>9.02</v>
      </c>
      <c r="Q86">
        <v>7.1</v>
      </c>
      <c r="R86" s="11" t="str">
        <f t="shared" si="0"/>
        <v>QB</v>
      </c>
    </row>
    <row r="87" spans="1:18" ht="14.25" customHeight="1" x14ac:dyDescent="0.25">
      <c r="A87">
        <v>83</v>
      </c>
      <c r="B87" t="s">
        <v>263</v>
      </c>
      <c r="C87" t="s">
        <v>264</v>
      </c>
      <c r="D87" t="s">
        <v>163</v>
      </c>
      <c r="E87">
        <v>86</v>
      </c>
      <c r="F87">
        <v>118</v>
      </c>
      <c r="G87">
        <v>96</v>
      </c>
      <c r="H87">
        <v>76</v>
      </c>
      <c r="I87">
        <v>70</v>
      </c>
      <c r="J87" t="s">
        <v>36</v>
      </c>
      <c r="K87">
        <v>90</v>
      </c>
      <c r="L87">
        <v>82</v>
      </c>
      <c r="M87" t="s">
        <v>36</v>
      </c>
      <c r="N87">
        <v>63</v>
      </c>
      <c r="O87">
        <v>85</v>
      </c>
      <c r="P87">
        <v>9.0299999999999994</v>
      </c>
      <c r="Q87">
        <v>7.11</v>
      </c>
      <c r="R87" s="11" t="str">
        <f t="shared" si="0"/>
        <v>WR</v>
      </c>
    </row>
    <row r="88" spans="1:18" ht="14.25" customHeight="1" x14ac:dyDescent="0.25">
      <c r="A88">
        <v>84</v>
      </c>
      <c r="B88" t="s">
        <v>257</v>
      </c>
      <c r="C88" t="s">
        <v>218</v>
      </c>
      <c r="D88" t="s">
        <v>214</v>
      </c>
      <c r="E88">
        <v>88</v>
      </c>
      <c r="F88">
        <v>91</v>
      </c>
      <c r="G88">
        <v>119</v>
      </c>
      <c r="H88">
        <v>78</v>
      </c>
      <c r="I88">
        <v>73</v>
      </c>
      <c r="J88" t="s">
        <v>36</v>
      </c>
      <c r="K88">
        <v>38</v>
      </c>
      <c r="L88">
        <v>126</v>
      </c>
      <c r="M88" t="s">
        <v>36</v>
      </c>
      <c r="N88">
        <v>116</v>
      </c>
      <c r="O88">
        <v>46</v>
      </c>
      <c r="P88">
        <v>9.0399999999999991</v>
      </c>
      <c r="Q88">
        <v>7.12</v>
      </c>
      <c r="R88" s="11" t="str">
        <f t="shared" si="0"/>
        <v>RB</v>
      </c>
    </row>
    <row r="89" spans="1:18" ht="14.25" customHeight="1" x14ac:dyDescent="0.25">
      <c r="A89">
        <v>85</v>
      </c>
      <c r="B89" t="s">
        <v>267</v>
      </c>
      <c r="C89" t="s">
        <v>268</v>
      </c>
      <c r="D89" t="s">
        <v>123</v>
      </c>
      <c r="E89">
        <v>96</v>
      </c>
      <c r="F89">
        <v>99</v>
      </c>
      <c r="G89">
        <v>80</v>
      </c>
      <c r="H89">
        <v>95</v>
      </c>
      <c r="I89">
        <v>75</v>
      </c>
      <c r="J89" t="s">
        <v>36</v>
      </c>
      <c r="K89">
        <v>89</v>
      </c>
      <c r="L89">
        <v>90</v>
      </c>
      <c r="M89" t="s">
        <v>36</v>
      </c>
      <c r="N89">
        <v>78</v>
      </c>
      <c r="O89">
        <v>92</v>
      </c>
      <c r="P89">
        <v>9.0500000000000007</v>
      </c>
      <c r="Q89">
        <v>8.01</v>
      </c>
      <c r="R89" s="11" t="str">
        <f t="shared" si="0"/>
        <v>WR</v>
      </c>
    </row>
    <row r="90" spans="1:18" ht="14.25" customHeight="1" x14ac:dyDescent="0.25">
      <c r="A90">
        <v>86</v>
      </c>
      <c r="B90" t="s">
        <v>273</v>
      </c>
      <c r="C90" t="s">
        <v>274</v>
      </c>
      <c r="D90" t="s">
        <v>55</v>
      </c>
      <c r="E90">
        <v>76</v>
      </c>
      <c r="F90">
        <v>62</v>
      </c>
      <c r="G90">
        <v>99</v>
      </c>
      <c r="H90">
        <v>70</v>
      </c>
      <c r="I90">
        <v>105</v>
      </c>
      <c r="J90" t="s">
        <v>36</v>
      </c>
      <c r="K90">
        <v>84</v>
      </c>
      <c r="L90">
        <v>87</v>
      </c>
      <c r="M90" t="s">
        <v>36</v>
      </c>
      <c r="N90">
        <v>112</v>
      </c>
      <c r="O90">
        <v>114</v>
      </c>
      <c r="P90">
        <v>9.06</v>
      </c>
      <c r="Q90">
        <v>8.02</v>
      </c>
      <c r="R90" s="11" t="str">
        <f t="shared" si="0"/>
        <v>TE</v>
      </c>
    </row>
    <row r="91" spans="1:18" ht="14.25" customHeight="1" x14ac:dyDescent="0.25">
      <c r="A91">
        <v>87</v>
      </c>
      <c r="B91" t="s">
        <v>269</v>
      </c>
      <c r="C91" t="s">
        <v>270</v>
      </c>
      <c r="D91" t="s">
        <v>88</v>
      </c>
      <c r="E91">
        <v>92</v>
      </c>
      <c r="F91">
        <v>128</v>
      </c>
      <c r="G91">
        <v>101</v>
      </c>
      <c r="H91">
        <v>91</v>
      </c>
      <c r="I91">
        <v>74</v>
      </c>
      <c r="J91" t="s">
        <v>36</v>
      </c>
      <c r="K91">
        <v>102</v>
      </c>
      <c r="L91">
        <v>89</v>
      </c>
      <c r="M91" t="s">
        <v>36</v>
      </c>
      <c r="N91">
        <v>65</v>
      </c>
      <c r="O91">
        <v>71</v>
      </c>
      <c r="P91">
        <v>9.07</v>
      </c>
      <c r="Q91">
        <v>8.0299999999999994</v>
      </c>
      <c r="R91" s="11" t="str">
        <f t="shared" si="0"/>
        <v>WR</v>
      </c>
    </row>
    <row r="92" spans="1:18" ht="14.25" customHeight="1" x14ac:dyDescent="0.25">
      <c r="A92">
        <v>88</v>
      </c>
      <c r="B92" t="s">
        <v>265</v>
      </c>
      <c r="C92" t="s">
        <v>266</v>
      </c>
      <c r="D92" t="s">
        <v>199</v>
      </c>
      <c r="E92">
        <v>79</v>
      </c>
      <c r="F92">
        <v>93</v>
      </c>
      <c r="G92">
        <v>104</v>
      </c>
      <c r="H92">
        <v>108</v>
      </c>
      <c r="I92">
        <v>88</v>
      </c>
      <c r="J92" t="s">
        <v>36</v>
      </c>
      <c r="K92">
        <v>99</v>
      </c>
      <c r="L92">
        <v>80</v>
      </c>
      <c r="M92" t="s">
        <v>36</v>
      </c>
      <c r="N92">
        <v>90</v>
      </c>
      <c r="O92">
        <v>87</v>
      </c>
      <c r="P92">
        <v>9.08</v>
      </c>
      <c r="Q92">
        <v>8.0399999999999991</v>
      </c>
      <c r="R92" s="11" t="str">
        <f t="shared" si="0"/>
        <v>QB</v>
      </c>
    </row>
    <row r="93" spans="1:18" ht="14.25" customHeight="1" x14ac:dyDescent="0.25">
      <c r="A93">
        <v>89</v>
      </c>
      <c r="B93" t="s">
        <v>271</v>
      </c>
      <c r="C93" t="s">
        <v>272</v>
      </c>
      <c r="D93" t="s">
        <v>168</v>
      </c>
      <c r="E93">
        <v>95</v>
      </c>
      <c r="F93">
        <v>122</v>
      </c>
      <c r="G93">
        <v>92</v>
      </c>
      <c r="H93">
        <v>87</v>
      </c>
      <c r="I93">
        <v>83</v>
      </c>
      <c r="J93" t="s">
        <v>36</v>
      </c>
      <c r="K93">
        <v>82</v>
      </c>
      <c r="L93">
        <v>108</v>
      </c>
      <c r="M93" t="s">
        <v>36</v>
      </c>
      <c r="N93">
        <v>79</v>
      </c>
      <c r="O93">
        <v>88</v>
      </c>
      <c r="P93">
        <v>9.09</v>
      </c>
      <c r="Q93">
        <v>8.0500000000000007</v>
      </c>
      <c r="R93" s="11" t="str">
        <f t="shared" si="0"/>
        <v>RB</v>
      </c>
    </row>
    <row r="94" spans="1:18" ht="14.25" customHeight="1" x14ac:dyDescent="0.25">
      <c r="A94">
        <v>90</v>
      </c>
      <c r="B94" t="s">
        <v>275</v>
      </c>
      <c r="C94" t="s">
        <v>276</v>
      </c>
      <c r="D94" t="s">
        <v>168</v>
      </c>
      <c r="E94">
        <v>85</v>
      </c>
      <c r="F94">
        <v>103</v>
      </c>
      <c r="G94">
        <v>103</v>
      </c>
      <c r="H94">
        <v>92</v>
      </c>
      <c r="I94">
        <v>97</v>
      </c>
      <c r="J94" t="s">
        <v>36</v>
      </c>
      <c r="K94">
        <v>85</v>
      </c>
      <c r="L94">
        <v>85</v>
      </c>
      <c r="M94" t="s">
        <v>36</v>
      </c>
      <c r="N94">
        <v>102</v>
      </c>
      <c r="O94">
        <v>95</v>
      </c>
      <c r="P94">
        <v>9.1</v>
      </c>
      <c r="Q94">
        <v>8.06</v>
      </c>
      <c r="R94" s="11" t="str">
        <f t="shared" si="0"/>
        <v>RB</v>
      </c>
    </row>
    <row r="95" spans="1:18" ht="14.25" customHeight="1" x14ac:dyDescent="0.25">
      <c r="A95">
        <v>91</v>
      </c>
      <c r="B95" t="s">
        <v>277</v>
      </c>
      <c r="C95" t="s">
        <v>278</v>
      </c>
      <c r="D95" t="s">
        <v>49</v>
      </c>
      <c r="E95">
        <v>101</v>
      </c>
      <c r="F95">
        <v>121</v>
      </c>
      <c r="G95">
        <v>106</v>
      </c>
      <c r="H95">
        <v>80</v>
      </c>
      <c r="I95">
        <v>80</v>
      </c>
      <c r="J95" t="s">
        <v>36</v>
      </c>
      <c r="K95">
        <v>92</v>
      </c>
      <c r="L95">
        <v>92</v>
      </c>
      <c r="M95" t="s">
        <v>36</v>
      </c>
      <c r="N95">
        <v>89</v>
      </c>
      <c r="O95">
        <v>86</v>
      </c>
      <c r="P95">
        <v>10.01</v>
      </c>
      <c r="Q95">
        <v>8.07</v>
      </c>
      <c r="R95" s="11" t="str">
        <f t="shared" si="0"/>
        <v>RB</v>
      </c>
    </row>
    <row r="96" spans="1:18" ht="14.25" customHeight="1" x14ac:dyDescent="0.25">
      <c r="A96">
        <v>92</v>
      </c>
      <c r="B96" t="s">
        <v>279</v>
      </c>
      <c r="C96" t="s">
        <v>342</v>
      </c>
      <c r="D96" t="s">
        <v>214</v>
      </c>
      <c r="E96">
        <v>81</v>
      </c>
      <c r="F96">
        <v>94</v>
      </c>
      <c r="G96">
        <v>71</v>
      </c>
      <c r="H96">
        <v>81</v>
      </c>
      <c r="I96">
        <v>114</v>
      </c>
      <c r="J96" t="s">
        <v>36</v>
      </c>
      <c r="K96">
        <v>136</v>
      </c>
      <c r="L96">
        <v>71</v>
      </c>
      <c r="M96" t="s">
        <v>36</v>
      </c>
      <c r="N96">
        <v>76</v>
      </c>
      <c r="O96">
        <v>136</v>
      </c>
      <c r="P96">
        <v>10.02</v>
      </c>
      <c r="Q96">
        <v>8.08</v>
      </c>
      <c r="R96" s="11" t="str">
        <f t="shared" si="0"/>
        <v>RB</v>
      </c>
    </row>
    <row r="97" spans="1:18" ht="14.25" customHeight="1" x14ac:dyDescent="0.25">
      <c r="A97">
        <v>93</v>
      </c>
      <c r="B97" t="s">
        <v>281</v>
      </c>
      <c r="C97" t="s">
        <v>280</v>
      </c>
      <c r="D97" t="s">
        <v>160</v>
      </c>
      <c r="E97">
        <v>107</v>
      </c>
      <c r="F97">
        <v>105</v>
      </c>
      <c r="G97">
        <v>102</v>
      </c>
      <c r="H97">
        <v>99</v>
      </c>
      <c r="I97">
        <v>100</v>
      </c>
      <c r="J97" t="s">
        <v>36</v>
      </c>
      <c r="K97">
        <v>79</v>
      </c>
      <c r="L97">
        <v>84</v>
      </c>
      <c r="M97" t="s">
        <v>36</v>
      </c>
      <c r="N97">
        <v>100</v>
      </c>
      <c r="O97">
        <v>99</v>
      </c>
      <c r="P97">
        <v>10.029999999999999</v>
      </c>
      <c r="Q97">
        <v>8.09</v>
      </c>
      <c r="R97" s="11" t="str">
        <f t="shared" si="0"/>
        <v>RB</v>
      </c>
    </row>
    <row r="98" spans="1:18" ht="14.25" customHeight="1" x14ac:dyDescent="0.25">
      <c r="A98">
        <v>94</v>
      </c>
      <c r="B98" t="s">
        <v>283</v>
      </c>
      <c r="C98" t="s">
        <v>286</v>
      </c>
      <c r="D98" t="s">
        <v>60</v>
      </c>
      <c r="E98">
        <v>80</v>
      </c>
      <c r="F98">
        <v>97</v>
      </c>
      <c r="G98">
        <v>120</v>
      </c>
      <c r="H98">
        <v>104</v>
      </c>
      <c r="I98">
        <v>89</v>
      </c>
      <c r="J98" t="s">
        <v>36</v>
      </c>
      <c r="K98">
        <v>94</v>
      </c>
      <c r="L98">
        <v>96</v>
      </c>
      <c r="M98" t="s">
        <v>36</v>
      </c>
      <c r="N98">
        <v>103</v>
      </c>
      <c r="O98">
        <v>93</v>
      </c>
      <c r="P98">
        <v>10.039999999999999</v>
      </c>
      <c r="Q98">
        <v>8.1</v>
      </c>
      <c r="R98" s="11" t="str">
        <f t="shared" si="0"/>
        <v>WR</v>
      </c>
    </row>
    <row r="99" spans="1:18" ht="14.25" customHeight="1" x14ac:dyDescent="0.25">
      <c r="A99">
        <v>95</v>
      </c>
      <c r="B99" t="s">
        <v>291</v>
      </c>
      <c r="C99" t="s">
        <v>282</v>
      </c>
      <c r="D99" t="s">
        <v>163</v>
      </c>
      <c r="E99">
        <v>98</v>
      </c>
      <c r="F99">
        <v>90</v>
      </c>
      <c r="G99">
        <v>112</v>
      </c>
      <c r="H99">
        <v>84</v>
      </c>
      <c r="I99">
        <v>85</v>
      </c>
      <c r="J99" t="s">
        <v>36</v>
      </c>
      <c r="K99">
        <v>107</v>
      </c>
      <c r="L99">
        <v>111</v>
      </c>
      <c r="M99" t="s">
        <v>36</v>
      </c>
      <c r="N99">
        <v>81</v>
      </c>
      <c r="O99">
        <v>110</v>
      </c>
      <c r="P99">
        <v>10.050000000000001</v>
      </c>
      <c r="Q99">
        <v>8.11</v>
      </c>
      <c r="R99" s="11" t="str">
        <f t="shared" si="0"/>
        <v>RB</v>
      </c>
    </row>
    <row r="100" spans="1:18" ht="14.25" customHeight="1" x14ac:dyDescent="0.25">
      <c r="A100">
        <v>96</v>
      </c>
      <c r="B100" t="s">
        <v>285</v>
      </c>
      <c r="C100" t="s">
        <v>284</v>
      </c>
      <c r="D100" t="s">
        <v>233</v>
      </c>
      <c r="E100">
        <v>113</v>
      </c>
      <c r="F100">
        <v>82</v>
      </c>
      <c r="G100">
        <v>107</v>
      </c>
      <c r="H100">
        <v>98</v>
      </c>
      <c r="I100">
        <v>81</v>
      </c>
      <c r="J100" t="s">
        <v>36</v>
      </c>
      <c r="K100">
        <v>103</v>
      </c>
      <c r="L100">
        <v>104</v>
      </c>
      <c r="M100" t="s">
        <v>36</v>
      </c>
      <c r="N100">
        <v>101</v>
      </c>
      <c r="O100">
        <v>102</v>
      </c>
      <c r="P100">
        <v>10.06</v>
      </c>
      <c r="Q100">
        <v>8.1199999999999992</v>
      </c>
      <c r="R100" s="11" t="str">
        <f t="shared" si="0"/>
        <v>WR</v>
      </c>
    </row>
    <row r="101" spans="1:18" ht="14.25" customHeight="1" x14ac:dyDescent="0.25">
      <c r="A101">
        <v>97</v>
      </c>
      <c r="B101" t="s">
        <v>287</v>
      </c>
      <c r="C101" t="s">
        <v>288</v>
      </c>
      <c r="D101" t="s">
        <v>184</v>
      </c>
      <c r="E101">
        <v>110</v>
      </c>
      <c r="F101">
        <v>96</v>
      </c>
      <c r="G101">
        <v>94</v>
      </c>
      <c r="H101">
        <v>110</v>
      </c>
      <c r="I101">
        <v>99</v>
      </c>
      <c r="J101" t="s">
        <v>36</v>
      </c>
      <c r="K101">
        <v>110</v>
      </c>
      <c r="L101">
        <v>97</v>
      </c>
      <c r="M101" t="s">
        <v>36</v>
      </c>
      <c r="N101">
        <v>93</v>
      </c>
      <c r="O101">
        <v>94</v>
      </c>
      <c r="P101">
        <v>10.07</v>
      </c>
      <c r="Q101">
        <v>9.01</v>
      </c>
      <c r="R101" s="11" t="str">
        <f t="shared" si="0"/>
        <v>WR</v>
      </c>
    </row>
    <row r="102" spans="1:18" ht="14.25" customHeight="1" x14ac:dyDescent="0.25">
      <c r="A102">
        <v>98</v>
      </c>
      <c r="B102" t="s">
        <v>289</v>
      </c>
      <c r="C102" t="s">
        <v>314</v>
      </c>
      <c r="D102" t="s">
        <v>55</v>
      </c>
      <c r="E102">
        <v>115</v>
      </c>
      <c r="F102">
        <v>134</v>
      </c>
      <c r="G102">
        <v>72</v>
      </c>
      <c r="H102">
        <v>88</v>
      </c>
      <c r="I102">
        <v>98</v>
      </c>
      <c r="J102" t="s">
        <v>36</v>
      </c>
      <c r="K102">
        <v>116</v>
      </c>
      <c r="L102">
        <v>93</v>
      </c>
      <c r="M102" t="s">
        <v>36</v>
      </c>
      <c r="N102">
        <v>83</v>
      </c>
      <c r="O102">
        <v>109</v>
      </c>
      <c r="P102">
        <v>10.08</v>
      </c>
      <c r="Q102">
        <v>9.02</v>
      </c>
      <c r="R102" s="11" t="str">
        <f t="shared" si="0"/>
        <v>WR</v>
      </c>
    </row>
    <row r="103" spans="1:18" ht="14.25" customHeight="1" x14ac:dyDescent="0.25">
      <c r="A103">
        <v>99</v>
      </c>
      <c r="B103" t="s">
        <v>297</v>
      </c>
      <c r="C103" t="s">
        <v>292</v>
      </c>
      <c r="D103" t="s">
        <v>72</v>
      </c>
      <c r="E103">
        <v>93</v>
      </c>
      <c r="F103">
        <v>139</v>
      </c>
      <c r="G103">
        <v>109</v>
      </c>
      <c r="H103">
        <v>86</v>
      </c>
      <c r="I103">
        <v>96</v>
      </c>
      <c r="J103" t="s">
        <v>36</v>
      </c>
      <c r="K103">
        <v>95</v>
      </c>
      <c r="L103">
        <v>103</v>
      </c>
      <c r="M103" t="s">
        <v>36</v>
      </c>
      <c r="N103">
        <v>92</v>
      </c>
      <c r="O103">
        <v>96</v>
      </c>
      <c r="P103">
        <v>10.09</v>
      </c>
      <c r="Q103">
        <v>9.0299999999999994</v>
      </c>
      <c r="R103" s="11" t="str">
        <f t="shared" si="0"/>
        <v>RB</v>
      </c>
    </row>
    <row r="104" spans="1:18" ht="14.25" customHeight="1" x14ac:dyDescent="0.25">
      <c r="A104">
        <v>100</v>
      </c>
      <c r="B104" t="s">
        <v>293</v>
      </c>
      <c r="C104" t="s">
        <v>290</v>
      </c>
      <c r="D104" t="s">
        <v>60</v>
      </c>
      <c r="E104">
        <v>120</v>
      </c>
      <c r="F104">
        <v>135</v>
      </c>
      <c r="G104">
        <v>110</v>
      </c>
      <c r="H104">
        <v>101</v>
      </c>
      <c r="I104">
        <v>90</v>
      </c>
      <c r="J104" t="s">
        <v>36</v>
      </c>
      <c r="K104">
        <v>112</v>
      </c>
      <c r="L104">
        <v>88</v>
      </c>
      <c r="M104" t="s">
        <v>36</v>
      </c>
      <c r="N104">
        <v>86</v>
      </c>
      <c r="O104">
        <v>83</v>
      </c>
      <c r="P104">
        <v>10.1</v>
      </c>
      <c r="Q104">
        <v>9.0399999999999991</v>
      </c>
      <c r="R104" s="11" t="str">
        <f t="shared" si="0"/>
        <v>WR</v>
      </c>
    </row>
    <row r="105" spans="1:18" ht="14.25" customHeight="1" x14ac:dyDescent="0.25">
      <c r="A105">
        <v>101</v>
      </c>
      <c r="B105" t="s">
        <v>295</v>
      </c>
      <c r="C105" t="s">
        <v>296</v>
      </c>
      <c r="D105" t="s">
        <v>214</v>
      </c>
      <c r="E105">
        <v>121</v>
      </c>
      <c r="F105">
        <v>137</v>
      </c>
      <c r="G105">
        <v>121</v>
      </c>
      <c r="H105">
        <v>103</v>
      </c>
      <c r="I105">
        <v>95</v>
      </c>
      <c r="J105" t="s">
        <v>36</v>
      </c>
      <c r="K105">
        <v>101</v>
      </c>
      <c r="L105">
        <v>94</v>
      </c>
      <c r="M105" t="s">
        <v>36</v>
      </c>
      <c r="N105">
        <v>80</v>
      </c>
      <c r="O105">
        <v>78</v>
      </c>
      <c r="P105">
        <v>11.01</v>
      </c>
      <c r="Q105">
        <v>9.0500000000000007</v>
      </c>
      <c r="R105" s="11" t="str">
        <f t="shared" si="0"/>
        <v>WR</v>
      </c>
    </row>
    <row r="106" spans="1:18" ht="14.25" customHeight="1" x14ac:dyDescent="0.25">
      <c r="A106">
        <v>102</v>
      </c>
      <c r="B106" t="s">
        <v>315</v>
      </c>
      <c r="C106" t="s">
        <v>298</v>
      </c>
      <c r="D106" t="s">
        <v>184</v>
      </c>
      <c r="E106">
        <v>102</v>
      </c>
      <c r="F106">
        <v>132</v>
      </c>
      <c r="G106">
        <v>122</v>
      </c>
      <c r="H106">
        <v>97</v>
      </c>
      <c r="I106">
        <v>107</v>
      </c>
      <c r="J106" t="s">
        <v>36</v>
      </c>
      <c r="K106">
        <v>98</v>
      </c>
      <c r="L106">
        <v>91</v>
      </c>
      <c r="M106" t="s">
        <v>36</v>
      </c>
      <c r="N106">
        <v>97</v>
      </c>
      <c r="O106">
        <v>100</v>
      </c>
      <c r="P106">
        <v>11.02</v>
      </c>
      <c r="Q106">
        <v>9.06</v>
      </c>
      <c r="R106" s="11" t="str">
        <f t="shared" si="0"/>
        <v>RB</v>
      </c>
    </row>
    <row r="107" spans="1:18" ht="14.25" customHeight="1" x14ac:dyDescent="0.25">
      <c r="A107">
        <v>103</v>
      </c>
      <c r="B107" t="s">
        <v>301</v>
      </c>
      <c r="C107" t="s">
        <v>294</v>
      </c>
      <c r="D107" t="s">
        <v>72</v>
      </c>
      <c r="E107">
        <v>109</v>
      </c>
      <c r="F107">
        <v>117</v>
      </c>
      <c r="G107">
        <v>124</v>
      </c>
      <c r="H107">
        <v>116</v>
      </c>
      <c r="I107">
        <v>102</v>
      </c>
      <c r="J107" t="s">
        <v>36</v>
      </c>
      <c r="K107">
        <v>100</v>
      </c>
      <c r="L107">
        <v>95</v>
      </c>
      <c r="M107" t="s">
        <v>36</v>
      </c>
      <c r="N107">
        <v>99</v>
      </c>
      <c r="O107">
        <v>89</v>
      </c>
      <c r="P107">
        <v>11.03</v>
      </c>
      <c r="Q107">
        <v>9.07</v>
      </c>
      <c r="R107" s="11" t="str">
        <f t="shared" si="0"/>
        <v>WR</v>
      </c>
    </row>
    <row r="108" spans="1:18" ht="14.25" customHeight="1" x14ac:dyDescent="0.25">
      <c r="A108">
        <v>104</v>
      </c>
      <c r="B108" t="s">
        <v>303</v>
      </c>
      <c r="C108" t="s">
        <v>302</v>
      </c>
      <c r="D108" t="s">
        <v>229</v>
      </c>
      <c r="E108">
        <v>114</v>
      </c>
      <c r="F108">
        <v>104</v>
      </c>
      <c r="G108">
        <v>114</v>
      </c>
      <c r="H108">
        <v>111</v>
      </c>
      <c r="I108">
        <v>91</v>
      </c>
      <c r="J108" t="s">
        <v>36</v>
      </c>
      <c r="K108">
        <v>120</v>
      </c>
      <c r="L108">
        <v>109</v>
      </c>
      <c r="M108" t="s">
        <v>36</v>
      </c>
      <c r="N108">
        <v>91</v>
      </c>
      <c r="O108">
        <v>116</v>
      </c>
      <c r="P108">
        <v>11.04</v>
      </c>
      <c r="Q108">
        <v>9.08</v>
      </c>
      <c r="R108" s="11" t="str">
        <f t="shared" si="0"/>
        <v>WR</v>
      </c>
    </row>
    <row r="109" spans="1:18" ht="14.25" customHeight="1" x14ac:dyDescent="0.25">
      <c r="A109">
        <v>105</v>
      </c>
      <c r="B109" t="s">
        <v>299</v>
      </c>
      <c r="C109" t="s">
        <v>306</v>
      </c>
      <c r="D109" t="s">
        <v>49</v>
      </c>
      <c r="E109">
        <v>94</v>
      </c>
      <c r="F109">
        <v>85</v>
      </c>
      <c r="G109">
        <v>108</v>
      </c>
      <c r="H109">
        <v>133</v>
      </c>
      <c r="I109">
        <v>104</v>
      </c>
      <c r="J109" t="s">
        <v>36</v>
      </c>
      <c r="K109">
        <v>106</v>
      </c>
      <c r="L109">
        <v>115</v>
      </c>
      <c r="M109" t="s">
        <v>36</v>
      </c>
      <c r="N109">
        <v>114</v>
      </c>
      <c r="O109">
        <v>113</v>
      </c>
      <c r="P109">
        <v>11.05</v>
      </c>
      <c r="Q109">
        <v>9.09</v>
      </c>
      <c r="R109" s="11" t="str">
        <f t="shared" si="0"/>
        <v>QB</v>
      </c>
    </row>
    <row r="110" spans="1:18" ht="14.25" customHeight="1" x14ac:dyDescent="0.25">
      <c r="A110">
        <v>106</v>
      </c>
      <c r="B110" t="s">
        <v>311</v>
      </c>
      <c r="C110" t="s">
        <v>312</v>
      </c>
      <c r="D110" t="s">
        <v>85</v>
      </c>
      <c r="E110">
        <v>99</v>
      </c>
      <c r="F110">
        <v>86</v>
      </c>
      <c r="G110">
        <v>127</v>
      </c>
      <c r="H110">
        <v>83</v>
      </c>
      <c r="I110">
        <v>121</v>
      </c>
      <c r="J110" t="s">
        <v>36</v>
      </c>
      <c r="K110">
        <v>93</v>
      </c>
      <c r="L110">
        <v>118</v>
      </c>
      <c r="M110" t="s">
        <v>36</v>
      </c>
      <c r="N110">
        <v>121</v>
      </c>
      <c r="O110">
        <v>124</v>
      </c>
      <c r="P110">
        <v>11.06</v>
      </c>
      <c r="Q110">
        <v>9.1</v>
      </c>
      <c r="R110" s="11" t="str">
        <f t="shared" si="0"/>
        <v>TE</v>
      </c>
    </row>
    <row r="111" spans="1:18" ht="14.25" customHeight="1" x14ac:dyDescent="0.25">
      <c r="A111">
        <v>107</v>
      </c>
      <c r="B111" t="s">
        <v>313</v>
      </c>
      <c r="C111" t="s">
        <v>304</v>
      </c>
      <c r="D111" t="s">
        <v>78</v>
      </c>
      <c r="E111">
        <v>128</v>
      </c>
      <c r="F111">
        <v>129</v>
      </c>
      <c r="G111">
        <v>113</v>
      </c>
      <c r="H111">
        <v>117</v>
      </c>
      <c r="I111">
        <v>106</v>
      </c>
      <c r="J111" t="s">
        <v>36</v>
      </c>
      <c r="K111">
        <v>88</v>
      </c>
      <c r="L111">
        <v>102</v>
      </c>
      <c r="M111" t="s">
        <v>36</v>
      </c>
      <c r="N111">
        <v>109</v>
      </c>
      <c r="O111">
        <v>80</v>
      </c>
      <c r="P111">
        <v>11.07</v>
      </c>
      <c r="Q111">
        <v>9.11</v>
      </c>
      <c r="R111" s="11" t="str">
        <f t="shared" si="0"/>
        <v>WR</v>
      </c>
    </row>
    <row r="112" spans="1:18" ht="14.25" customHeight="1" x14ac:dyDescent="0.25">
      <c r="A112">
        <v>108</v>
      </c>
      <c r="B112" t="s">
        <v>305</v>
      </c>
      <c r="C112" t="s">
        <v>300</v>
      </c>
      <c r="D112" t="s">
        <v>126</v>
      </c>
      <c r="E112">
        <v>111</v>
      </c>
      <c r="F112">
        <v>72</v>
      </c>
      <c r="G112">
        <v>132</v>
      </c>
      <c r="H112">
        <v>124</v>
      </c>
      <c r="I112">
        <v>118</v>
      </c>
      <c r="J112" t="s">
        <v>36</v>
      </c>
      <c r="K112">
        <v>104</v>
      </c>
      <c r="L112">
        <v>107</v>
      </c>
      <c r="M112" t="s">
        <v>36</v>
      </c>
      <c r="N112">
        <v>111</v>
      </c>
      <c r="O112">
        <v>104</v>
      </c>
      <c r="P112">
        <v>11.08</v>
      </c>
      <c r="Q112">
        <v>9.1199999999999992</v>
      </c>
      <c r="R112" s="11" t="str">
        <f t="shared" si="0"/>
        <v>QB</v>
      </c>
    </row>
    <row r="113" spans="1:18" ht="14.25" customHeight="1" x14ac:dyDescent="0.25">
      <c r="A113">
        <v>109</v>
      </c>
      <c r="B113" t="s">
        <v>307</v>
      </c>
      <c r="C113" t="s">
        <v>308</v>
      </c>
      <c r="D113" t="s">
        <v>55</v>
      </c>
      <c r="E113">
        <v>100</v>
      </c>
      <c r="F113">
        <v>100</v>
      </c>
      <c r="G113">
        <v>135</v>
      </c>
      <c r="H113">
        <v>119</v>
      </c>
      <c r="I113">
        <v>110</v>
      </c>
      <c r="J113" t="s">
        <v>36</v>
      </c>
      <c r="K113">
        <v>125</v>
      </c>
      <c r="L113">
        <v>101</v>
      </c>
      <c r="M113" t="s">
        <v>36</v>
      </c>
      <c r="N113">
        <v>104</v>
      </c>
      <c r="O113">
        <v>103</v>
      </c>
      <c r="P113">
        <v>11.09</v>
      </c>
      <c r="Q113">
        <v>10.01</v>
      </c>
      <c r="R113" s="11" t="str">
        <f t="shared" si="0"/>
        <v>QB</v>
      </c>
    </row>
    <row r="114" spans="1:18" ht="14.25" customHeight="1" x14ac:dyDescent="0.25">
      <c r="A114">
        <v>110</v>
      </c>
      <c r="B114" t="s">
        <v>319</v>
      </c>
      <c r="C114" t="s">
        <v>320</v>
      </c>
      <c r="D114" t="s">
        <v>214</v>
      </c>
      <c r="E114">
        <v>131</v>
      </c>
      <c r="F114">
        <v>110</v>
      </c>
      <c r="G114">
        <v>139</v>
      </c>
      <c r="H114">
        <v>114</v>
      </c>
      <c r="I114">
        <v>101</v>
      </c>
      <c r="J114" t="s">
        <v>36</v>
      </c>
      <c r="K114">
        <v>119</v>
      </c>
      <c r="L114">
        <v>99</v>
      </c>
      <c r="M114" t="s">
        <v>36</v>
      </c>
      <c r="N114">
        <v>95</v>
      </c>
      <c r="O114">
        <v>98</v>
      </c>
      <c r="P114">
        <v>11.1</v>
      </c>
      <c r="Q114">
        <v>10.02</v>
      </c>
      <c r="R114" s="11" t="str">
        <f t="shared" si="0"/>
        <v>WR</v>
      </c>
    </row>
    <row r="115" spans="1:18" ht="14.25" customHeight="1" x14ac:dyDescent="0.25">
      <c r="A115">
        <v>111</v>
      </c>
      <c r="B115" t="s">
        <v>309</v>
      </c>
      <c r="C115" t="s">
        <v>310</v>
      </c>
      <c r="D115" t="s">
        <v>85</v>
      </c>
      <c r="E115">
        <v>104</v>
      </c>
      <c r="F115">
        <v>102</v>
      </c>
      <c r="G115">
        <v>117</v>
      </c>
      <c r="H115">
        <v>130</v>
      </c>
      <c r="I115">
        <v>120</v>
      </c>
      <c r="J115" t="s">
        <v>36</v>
      </c>
      <c r="K115">
        <v>115</v>
      </c>
      <c r="L115">
        <v>122</v>
      </c>
      <c r="M115" t="s">
        <v>36</v>
      </c>
      <c r="N115">
        <v>105</v>
      </c>
      <c r="O115">
        <v>97</v>
      </c>
      <c r="P115">
        <v>12.01</v>
      </c>
      <c r="Q115">
        <v>10.029999999999999</v>
      </c>
      <c r="R115" s="11" t="str">
        <f t="shared" si="0"/>
        <v>QB</v>
      </c>
    </row>
    <row r="116" spans="1:18" ht="14.25" customHeight="1" x14ac:dyDescent="0.25">
      <c r="A116">
        <v>112</v>
      </c>
      <c r="B116" t="s">
        <v>321</v>
      </c>
      <c r="C116" t="s">
        <v>326</v>
      </c>
      <c r="D116" t="s">
        <v>126</v>
      </c>
      <c r="E116">
        <v>91</v>
      </c>
      <c r="F116">
        <v>115</v>
      </c>
      <c r="G116">
        <v>137</v>
      </c>
      <c r="H116">
        <v>77</v>
      </c>
      <c r="I116">
        <v>115</v>
      </c>
      <c r="J116" t="s">
        <v>36</v>
      </c>
      <c r="K116">
        <v>108</v>
      </c>
      <c r="L116">
        <v>120</v>
      </c>
      <c r="M116" t="s">
        <v>36</v>
      </c>
      <c r="N116">
        <v>127</v>
      </c>
      <c r="O116">
        <v>125</v>
      </c>
      <c r="P116">
        <v>12.02</v>
      </c>
      <c r="Q116">
        <v>10.039999999999999</v>
      </c>
      <c r="R116" s="11" t="str">
        <f t="shared" si="0"/>
        <v>TE</v>
      </c>
    </row>
    <row r="117" spans="1:18" ht="14.25" customHeight="1" x14ac:dyDescent="0.25">
      <c r="A117">
        <v>113</v>
      </c>
      <c r="B117" t="s">
        <v>323</v>
      </c>
      <c r="C117" t="s">
        <v>324</v>
      </c>
      <c r="D117" t="s">
        <v>66</v>
      </c>
      <c r="E117">
        <v>117</v>
      </c>
      <c r="F117">
        <v>125</v>
      </c>
      <c r="G117">
        <v>151</v>
      </c>
      <c r="H117">
        <v>85</v>
      </c>
      <c r="I117">
        <v>113</v>
      </c>
      <c r="J117" t="s">
        <v>36</v>
      </c>
      <c r="K117">
        <v>91</v>
      </c>
      <c r="L117">
        <v>106</v>
      </c>
      <c r="M117" t="s">
        <v>36</v>
      </c>
      <c r="N117">
        <v>107</v>
      </c>
      <c r="O117">
        <v>120</v>
      </c>
      <c r="P117">
        <v>12.03</v>
      </c>
      <c r="Q117">
        <v>10.050000000000001</v>
      </c>
      <c r="R117" s="11" t="str">
        <f t="shared" si="0"/>
        <v>TE</v>
      </c>
    </row>
    <row r="118" spans="1:18" ht="14.25" customHeight="1" x14ac:dyDescent="0.25">
      <c r="A118">
        <v>114</v>
      </c>
      <c r="B118" t="s">
        <v>325</v>
      </c>
      <c r="C118" t="s">
        <v>322</v>
      </c>
      <c r="D118" t="s">
        <v>78</v>
      </c>
      <c r="E118">
        <v>84</v>
      </c>
      <c r="F118">
        <v>92</v>
      </c>
      <c r="G118">
        <v>142</v>
      </c>
      <c r="H118">
        <v>89</v>
      </c>
      <c r="I118">
        <v>123</v>
      </c>
      <c r="J118" t="s">
        <v>36</v>
      </c>
      <c r="K118">
        <v>124</v>
      </c>
      <c r="L118">
        <v>116</v>
      </c>
      <c r="M118" t="s">
        <v>36</v>
      </c>
      <c r="N118">
        <v>125</v>
      </c>
      <c r="O118">
        <v>132</v>
      </c>
      <c r="P118">
        <v>12.04</v>
      </c>
      <c r="Q118">
        <v>10.06</v>
      </c>
      <c r="R118" s="11" t="str">
        <f t="shared" si="0"/>
        <v>TE</v>
      </c>
    </row>
    <row r="119" spans="1:18" ht="14.25" customHeight="1" x14ac:dyDescent="0.25">
      <c r="A119">
        <v>115</v>
      </c>
      <c r="B119" t="s">
        <v>328</v>
      </c>
      <c r="C119" t="s">
        <v>316</v>
      </c>
      <c r="D119" t="s">
        <v>155</v>
      </c>
      <c r="E119">
        <v>112</v>
      </c>
      <c r="F119">
        <v>119</v>
      </c>
      <c r="G119">
        <v>123</v>
      </c>
      <c r="H119">
        <v>112</v>
      </c>
      <c r="I119">
        <v>116</v>
      </c>
      <c r="J119" t="s">
        <v>36</v>
      </c>
      <c r="K119">
        <v>96</v>
      </c>
      <c r="L119">
        <v>110</v>
      </c>
      <c r="M119" t="s">
        <v>36</v>
      </c>
      <c r="N119">
        <v>133</v>
      </c>
      <c r="O119">
        <v>108</v>
      </c>
      <c r="P119">
        <v>12.05</v>
      </c>
      <c r="Q119">
        <v>10.07</v>
      </c>
      <c r="R119" s="11" t="str">
        <f t="shared" si="0"/>
        <v>RB</v>
      </c>
    </row>
    <row r="120" spans="1:18" ht="14.25" customHeight="1" x14ac:dyDescent="0.25">
      <c r="A120">
        <v>116</v>
      </c>
      <c r="B120" t="s">
        <v>330</v>
      </c>
      <c r="C120" t="s">
        <v>331</v>
      </c>
      <c r="D120" t="s">
        <v>187</v>
      </c>
      <c r="E120">
        <v>116</v>
      </c>
      <c r="F120">
        <v>145</v>
      </c>
      <c r="G120">
        <v>133</v>
      </c>
      <c r="H120">
        <v>106</v>
      </c>
      <c r="I120">
        <v>103</v>
      </c>
      <c r="J120" t="s">
        <v>36</v>
      </c>
      <c r="K120">
        <v>111</v>
      </c>
      <c r="L120">
        <v>98</v>
      </c>
      <c r="M120" t="s">
        <v>36</v>
      </c>
      <c r="N120">
        <v>106</v>
      </c>
      <c r="O120">
        <v>111</v>
      </c>
      <c r="P120">
        <v>12.06</v>
      </c>
      <c r="Q120">
        <v>10.08</v>
      </c>
      <c r="R120" s="11" t="str">
        <f t="shared" si="0"/>
        <v>WR</v>
      </c>
    </row>
    <row r="121" spans="1:18" ht="14.25" customHeight="1" x14ac:dyDescent="0.25">
      <c r="A121">
        <v>117</v>
      </c>
      <c r="B121" t="s">
        <v>317</v>
      </c>
      <c r="C121" t="s">
        <v>318</v>
      </c>
      <c r="D121" t="s">
        <v>168</v>
      </c>
      <c r="E121">
        <v>123</v>
      </c>
      <c r="F121">
        <v>95</v>
      </c>
      <c r="G121">
        <v>134</v>
      </c>
      <c r="H121">
        <v>126</v>
      </c>
      <c r="I121">
        <v>117</v>
      </c>
      <c r="J121" t="s">
        <v>36</v>
      </c>
      <c r="K121">
        <v>118</v>
      </c>
      <c r="L121">
        <v>105</v>
      </c>
      <c r="M121" t="s">
        <v>36</v>
      </c>
      <c r="N121">
        <v>110</v>
      </c>
      <c r="O121">
        <v>106</v>
      </c>
      <c r="P121">
        <v>12.07</v>
      </c>
      <c r="Q121">
        <v>10.09</v>
      </c>
      <c r="R121" s="11" t="str">
        <f t="shared" si="0"/>
        <v>QB</v>
      </c>
    </row>
    <row r="122" spans="1:18" ht="14.25" customHeight="1" x14ac:dyDescent="0.25">
      <c r="A122">
        <v>118</v>
      </c>
      <c r="B122" t="s">
        <v>337</v>
      </c>
      <c r="C122" t="s">
        <v>329</v>
      </c>
      <c r="D122" t="s">
        <v>184</v>
      </c>
      <c r="E122">
        <v>127</v>
      </c>
      <c r="F122">
        <v>124</v>
      </c>
      <c r="G122">
        <v>100</v>
      </c>
      <c r="H122">
        <v>113</v>
      </c>
      <c r="I122">
        <v>112</v>
      </c>
      <c r="J122" t="s">
        <v>36</v>
      </c>
      <c r="K122">
        <v>123</v>
      </c>
      <c r="L122">
        <v>114</v>
      </c>
      <c r="M122" t="s">
        <v>36</v>
      </c>
      <c r="N122">
        <v>124</v>
      </c>
      <c r="O122">
        <v>119</v>
      </c>
      <c r="P122">
        <v>12.08</v>
      </c>
      <c r="Q122">
        <v>10.1</v>
      </c>
      <c r="R122" s="11" t="str">
        <f t="shared" si="0"/>
        <v>RB</v>
      </c>
    </row>
    <row r="123" spans="1:18" ht="14.25" customHeight="1" x14ac:dyDescent="0.25">
      <c r="A123">
        <v>119</v>
      </c>
      <c r="B123" t="s">
        <v>332</v>
      </c>
      <c r="C123" t="s">
        <v>333</v>
      </c>
      <c r="D123" t="s">
        <v>35</v>
      </c>
      <c r="E123">
        <v>108</v>
      </c>
      <c r="F123">
        <v>133</v>
      </c>
      <c r="G123">
        <v>138</v>
      </c>
      <c r="H123">
        <v>132</v>
      </c>
      <c r="I123">
        <v>108</v>
      </c>
      <c r="J123" t="s">
        <v>36</v>
      </c>
      <c r="K123">
        <v>144</v>
      </c>
      <c r="L123">
        <v>117</v>
      </c>
      <c r="M123" t="s">
        <v>36</v>
      </c>
      <c r="N123">
        <v>98</v>
      </c>
      <c r="O123">
        <v>112</v>
      </c>
      <c r="P123">
        <v>12.09</v>
      </c>
      <c r="Q123">
        <v>10.11</v>
      </c>
      <c r="R123" s="11" t="str">
        <f t="shared" si="0"/>
        <v>QB</v>
      </c>
    </row>
    <row r="124" spans="1:18" ht="14.25" customHeight="1" x14ac:dyDescent="0.25">
      <c r="A124">
        <v>120</v>
      </c>
      <c r="B124" t="s">
        <v>341</v>
      </c>
      <c r="C124" t="s">
        <v>338</v>
      </c>
      <c r="D124" t="s">
        <v>72</v>
      </c>
      <c r="E124">
        <v>122</v>
      </c>
      <c r="F124">
        <v>111</v>
      </c>
      <c r="G124">
        <v>129</v>
      </c>
      <c r="H124">
        <v>118</v>
      </c>
      <c r="I124">
        <v>130</v>
      </c>
      <c r="J124" t="s">
        <v>36</v>
      </c>
      <c r="K124">
        <v>117</v>
      </c>
      <c r="L124">
        <v>123</v>
      </c>
      <c r="M124" t="s">
        <v>36</v>
      </c>
      <c r="N124">
        <v>131</v>
      </c>
      <c r="O124">
        <v>126</v>
      </c>
      <c r="P124">
        <v>12.1</v>
      </c>
      <c r="Q124">
        <v>10.119999999999999</v>
      </c>
      <c r="R124" s="11" t="str">
        <f t="shared" si="0"/>
        <v>RB</v>
      </c>
    </row>
    <row r="125" spans="1:18" ht="14.25" customHeight="1" x14ac:dyDescent="0.25">
      <c r="A125">
        <v>121</v>
      </c>
      <c r="B125" t="s">
        <v>334</v>
      </c>
      <c r="C125" t="s">
        <v>335</v>
      </c>
      <c r="D125" t="s">
        <v>199</v>
      </c>
      <c r="E125">
        <v>129</v>
      </c>
      <c r="F125">
        <v>113</v>
      </c>
      <c r="G125">
        <v>136</v>
      </c>
      <c r="H125">
        <v>131</v>
      </c>
      <c r="I125">
        <v>109</v>
      </c>
      <c r="J125" t="s">
        <v>36</v>
      </c>
      <c r="K125">
        <v>132</v>
      </c>
      <c r="L125">
        <v>127</v>
      </c>
      <c r="M125" t="s">
        <v>36</v>
      </c>
      <c r="N125">
        <v>126</v>
      </c>
      <c r="O125">
        <v>121</v>
      </c>
      <c r="P125">
        <v>13.01</v>
      </c>
      <c r="Q125">
        <v>11.01</v>
      </c>
      <c r="R125" s="11" t="str">
        <f t="shared" si="0"/>
        <v>WR</v>
      </c>
    </row>
    <row r="126" spans="1:18" ht="14.25" customHeight="1" x14ac:dyDescent="0.25">
      <c r="A126">
        <v>122</v>
      </c>
      <c r="B126" t="s">
        <v>343</v>
      </c>
      <c r="C126" t="s">
        <v>346</v>
      </c>
      <c r="D126" t="s">
        <v>104</v>
      </c>
      <c r="E126">
        <v>132</v>
      </c>
      <c r="F126">
        <v>144</v>
      </c>
      <c r="G126">
        <v>145</v>
      </c>
      <c r="H126">
        <v>128</v>
      </c>
      <c r="I126">
        <v>111</v>
      </c>
      <c r="J126" t="s">
        <v>36</v>
      </c>
      <c r="K126">
        <v>128</v>
      </c>
      <c r="L126">
        <v>121</v>
      </c>
      <c r="M126" t="s">
        <v>36</v>
      </c>
      <c r="N126">
        <v>115</v>
      </c>
      <c r="O126">
        <v>118</v>
      </c>
      <c r="P126">
        <v>13.02</v>
      </c>
      <c r="Q126">
        <v>11.02</v>
      </c>
      <c r="R126" s="11" t="str">
        <f t="shared" si="0"/>
        <v>WR</v>
      </c>
    </row>
    <row r="127" spans="1:18" ht="14.25" customHeight="1" x14ac:dyDescent="0.25">
      <c r="A127">
        <v>123</v>
      </c>
      <c r="B127" t="s">
        <v>345</v>
      </c>
      <c r="C127" t="s">
        <v>344</v>
      </c>
      <c r="D127" t="s">
        <v>85</v>
      </c>
      <c r="E127">
        <v>141</v>
      </c>
      <c r="F127">
        <v>126</v>
      </c>
      <c r="G127">
        <v>150</v>
      </c>
      <c r="H127">
        <v>129</v>
      </c>
      <c r="I127">
        <v>119</v>
      </c>
      <c r="J127" t="s">
        <v>36</v>
      </c>
      <c r="K127">
        <v>127</v>
      </c>
      <c r="L127">
        <v>131</v>
      </c>
      <c r="M127" t="s">
        <v>36</v>
      </c>
      <c r="N127">
        <v>120</v>
      </c>
      <c r="O127">
        <v>107</v>
      </c>
      <c r="P127">
        <v>13.03</v>
      </c>
      <c r="Q127">
        <v>11.03</v>
      </c>
      <c r="R127" s="11" t="str">
        <f t="shared" si="0"/>
        <v>WR</v>
      </c>
    </row>
    <row r="128" spans="1:18" ht="14.25" customHeight="1" x14ac:dyDescent="0.25">
      <c r="A128">
        <v>124</v>
      </c>
      <c r="B128" t="s">
        <v>339</v>
      </c>
      <c r="C128" t="s">
        <v>340</v>
      </c>
      <c r="D128" t="s">
        <v>69</v>
      </c>
      <c r="E128">
        <v>125</v>
      </c>
      <c r="F128">
        <v>109</v>
      </c>
      <c r="G128">
        <v>173</v>
      </c>
      <c r="H128">
        <v>100</v>
      </c>
      <c r="I128">
        <v>125</v>
      </c>
      <c r="J128" t="s">
        <v>36</v>
      </c>
      <c r="K128">
        <v>113</v>
      </c>
      <c r="L128">
        <v>146</v>
      </c>
      <c r="M128" t="s">
        <v>36</v>
      </c>
      <c r="N128">
        <v>139</v>
      </c>
      <c r="O128">
        <v>137</v>
      </c>
      <c r="P128">
        <v>13.04</v>
      </c>
      <c r="Q128">
        <v>11.04</v>
      </c>
      <c r="R128" s="11" t="str">
        <f t="shared" si="0"/>
        <v>TE</v>
      </c>
    </row>
    <row r="129" spans="1:18" ht="14.25" customHeight="1" x14ac:dyDescent="0.25">
      <c r="A129">
        <v>125</v>
      </c>
      <c r="B129" t="s">
        <v>352</v>
      </c>
      <c r="C129" t="s">
        <v>374</v>
      </c>
      <c r="D129" t="s">
        <v>94</v>
      </c>
      <c r="E129">
        <v>124</v>
      </c>
      <c r="F129">
        <v>162</v>
      </c>
      <c r="G129">
        <v>111</v>
      </c>
      <c r="H129">
        <v>115</v>
      </c>
      <c r="I129">
        <v>137</v>
      </c>
      <c r="J129" t="s">
        <v>36</v>
      </c>
      <c r="K129">
        <v>137</v>
      </c>
      <c r="L129">
        <v>128</v>
      </c>
      <c r="M129" t="s">
        <v>36</v>
      </c>
      <c r="N129">
        <v>123</v>
      </c>
      <c r="O129">
        <v>145</v>
      </c>
      <c r="P129">
        <v>13.05</v>
      </c>
      <c r="Q129">
        <v>11.05</v>
      </c>
      <c r="R129" s="11" t="str">
        <f t="shared" si="0"/>
        <v>RB</v>
      </c>
    </row>
    <row r="130" spans="1:18" ht="14.25" customHeight="1" x14ac:dyDescent="0.25">
      <c r="A130">
        <v>126</v>
      </c>
      <c r="B130" t="s">
        <v>367</v>
      </c>
      <c r="C130" t="s">
        <v>353</v>
      </c>
      <c r="D130" t="s">
        <v>199</v>
      </c>
      <c r="E130">
        <v>139</v>
      </c>
      <c r="F130">
        <v>167</v>
      </c>
      <c r="G130">
        <v>149</v>
      </c>
      <c r="H130">
        <v>120</v>
      </c>
      <c r="I130">
        <v>131</v>
      </c>
      <c r="J130" t="s">
        <v>36</v>
      </c>
      <c r="K130">
        <v>126</v>
      </c>
      <c r="L130">
        <v>112</v>
      </c>
      <c r="M130" t="s">
        <v>36</v>
      </c>
      <c r="N130">
        <v>117</v>
      </c>
      <c r="O130">
        <v>122</v>
      </c>
      <c r="P130">
        <v>13.06</v>
      </c>
      <c r="Q130">
        <v>11.06</v>
      </c>
      <c r="R130" s="11" t="str">
        <f t="shared" si="0"/>
        <v>RB</v>
      </c>
    </row>
    <row r="131" spans="1:18" ht="14.25" customHeight="1" x14ac:dyDescent="0.25">
      <c r="A131">
        <v>127</v>
      </c>
      <c r="B131" t="s">
        <v>348</v>
      </c>
      <c r="C131" t="s">
        <v>349</v>
      </c>
      <c r="D131" t="s">
        <v>91</v>
      </c>
      <c r="E131">
        <v>119</v>
      </c>
      <c r="F131">
        <v>120</v>
      </c>
      <c r="G131">
        <v>169</v>
      </c>
      <c r="H131">
        <v>109</v>
      </c>
      <c r="I131">
        <v>138</v>
      </c>
      <c r="J131" t="s">
        <v>36</v>
      </c>
      <c r="K131">
        <v>122</v>
      </c>
      <c r="L131">
        <v>135</v>
      </c>
      <c r="M131" t="s">
        <v>36</v>
      </c>
      <c r="N131">
        <v>142</v>
      </c>
      <c r="O131">
        <v>134</v>
      </c>
      <c r="P131">
        <v>13.07</v>
      </c>
      <c r="Q131">
        <v>11.07</v>
      </c>
      <c r="R131" s="11" t="str">
        <f t="shared" si="0"/>
        <v>TE</v>
      </c>
    </row>
    <row r="132" spans="1:18" ht="14.25" customHeight="1" x14ac:dyDescent="0.25">
      <c r="A132">
        <v>128</v>
      </c>
      <c r="B132" t="s">
        <v>354</v>
      </c>
      <c r="C132" t="s">
        <v>355</v>
      </c>
      <c r="D132" t="s">
        <v>72</v>
      </c>
      <c r="E132">
        <v>138</v>
      </c>
      <c r="F132">
        <v>130</v>
      </c>
      <c r="G132">
        <v>157</v>
      </c>
      <c r="H132">
        <v>141</v>
      </c>
      <c r="I132">
        <v>133</v>
      </c>
      <c r="J132" t="s">
        <v>36</v>
      </c>
      <c r="K132">
        <v>149</v>
      </c>
      <c r="L132">
        <v>119</v>
      </c>
      <c r="M132" t="s">
        <v>36</v>
      </c>
      <c r="N132">
        <v>118</v>
      </c>
      <c r="O132">
        <v>115</v>
      </c>
      <c r="P132">
        <v>13.08</v>
      </c>
      <c r="Q132">
        <v>11.08</v>
      </c>
      <c r="R132" s="11" t="str">
        <f t="shared" si="0"/>
        <v>QB</v>
      </c>
    </row>
    <row r="133" spans="1:18" ht="14.25" customHeight="1" x14ac:dyDescent="0.25">
      <c r="A133">
        <v>129</v>
      </c>
      <c r="B133" t="s">
        <v>350</v>
      </c>
      <c r="C133" t="s">
        <v>358</v>
      </c>
      <c r="D133" t="s">
        <v>160</v>
      </c>
      <c r="E133">
        <v>142</v>
      </c>
      <c r="F133">
        <v>152</v>
      </c>
      <c r="G133">
        <v>156</v>
      </c>
      <c r="H133">
        <v>137</v>
      </c>
      <c r="I133">
        <v>122</v>
      </c>
      <c r="J133" t="s">
        <v>36</v>
      </c>
      <c r="K133">
        <v>145</v>
      </c>
      <c r="L133">
        <v>113</v>
      </c>
      <c r="M133" t="s">
        <v>36</v>
      </c>
      <c r="N133">
        <v>119</v>
      </c>
      <c r="O133">
        <v>129</v>
      </c>
      <c r="P133">
        <v>13.09</v>
      </c>
      <c r="Q133">
        <v>11.09</v>
      </c>
      <c r="R133" s="11" t="str">
        <f t="shared" si="0"/>
        <v>WR</v>
      </c>
    </row>
    <row r="134" spans="1:18" ht="14.25" customHeight="1" x14ac:dyDescent="0.25">
      <c r="A134">
        <v>130</v>
      </c>
      <c r="B134" t="s">
        <v>369</v>
      </c>
      <c r="C134" t="s">
        <v>368</v>
      </c>
      <c r="D134" t="s">
        <v>116</v>
      </c>
      <c r="E134">
        <v>136</v>
      </c>
      <c r="F134">
        <v>147</v>
      </c>
      <c r="G134">
        <v>163</v>
      </c>
      <c r="H134">
        <v>121</v>
      </c>
      <c r="I134">
        <v>134</v>
      </c>
      <c r="J134" t="s">
        <v>36</v>
      </c>
      <c r="K134">
        <v>141</v>
      </c>
      <c r="L134">
        <v>130</v>
      </c>
      <c r="M134" t="s">
        <v>36</v>
      </c>
      <c r="N134">
        <v>138</v>
      </c>
      <c r="O134">
        <v>138</v>
      </c>
      <c r="P134">
        <v>13.1</v>
      </c>
      <c r="Q134">
        <v>11.1</v>
      </c>
      <c r="R134" s="11" t="str">
        <f t="shared" si="0"/>
        <v>RB</v>
      </c>
    </row>
    <row r="135" spans="1:18" ht="14.25" customHeight="1" x14ac:dyDescent="0.25">
      <c r="A135">
        <v>131</v>
      </c>
      <c r="B135" t="s">
        <v>357</v>
      </c>
      <c r="C135" t="s">
        <v>362</v>
      </c>
      <c r="D135" t="s">
        <v>55</v>
      </c>
      <c r="E135">
        <v>130</v>
      </c>
      <c r="F135">
        <v>142</v>
      </c>
      <c r="G135">
        <v>170</v>
      </c>
      <c r="H135">
        <v>139</v>
      </c>
      <c r="I135">
        <v>128</v>
      </c>
      <c r="J135" t="s">
        <v>36</v>
      </c>
      <c r="K135">
        <v>131</v>
      </c>
      <c r="L135">
        <v>154</v>
      </c>
      <c r="M135" t="s">
        <v>36</v>
      </c>
      <c r="N135">
        <v>130</v>
      </c>
      <c r="O135">
        <v>128</v>
      </c>
      <c r="P135">
        <v>14.01</v>
      </c>
      <c r="Q135">
        <v>11.11</v>
      </c>
      <c r="R135" s="11" t="str">
        <f t="shared" si="0"/>
        <v>WR</v>
      </c>
    </row>
    <row r="136" spans="1:18" ht="14.25" customHeight="1" x14ac:dyDescent="0.25">
      <c r="A136">
        <v>132</v>
      </c>
      <c r="B136" t="s">
        <v>361</v>
      </c>
      <c r="C136" t="s">
        <v>351</v>
      </c>
      <c r="D136" t="s">
        <v>129</v>
      </c>
      <c r="E136">
        <v>157</v>
      </c>
      <c r="F136">
        <v>183</v>
      </c>
      <c r="G136">
        <v>167</v>
      </c>
      <c r="H136">
        <v>142</v>
      </c>
      <c r="I136">
        <v>124</v>
      </c>
      <c r="J136" t="s">
        <v>36</v>
      </c>
      <c r="K136">
        <v>109</v>
      </c>
      <c r="L136">
        <v>129</v>
      </c>
      <c r="M136" t="s">
        <v>36</v>
      </c>
      <c r="N136">
        <v>150</v>
      </c>
      <c r="O136">
        <v>91</v>
      </c>
      <c r="P136">
        <v>14.02</v>
      </c>
      <c r="Q136">
        <v>11.12</v>
      </c>
      <c r="R136" s="11" t="str">
        <f t="shared" si="0"/>
        <v>WR</v>
      </c>
    </row>
    <row r="137" spans="1:18" ht="14.25" customHeight="1" x14ac:dyDescent="0.25">
      <c r="A137">
        <v>133</v>
      </c>
      <c r="B137" t="s">
        <v>359</v>
      </c>
      <c r="C137" t="s">
        <v>360</v>
      </c>
      <c r="D137" t="s">
        <v>214</v>
      </c>
      <c r="E137">
        <v>144</v>
      </c>
      <c r="F137">
        <v>154</v>
      </c>
      <c r="G137">
        <v>159</v>
      </c>
      <c r="H137">
        <v>149</v>
      </c>
      <c r="I137">
        <v>136</v>
      </c>
      <c r="J137" t="s">
        <v>36</v>
      </c>
      <c r="K137">
        <v>164</v>
      </c>
      <c r="L137">
        <v>125</v>
      </c>
      <c r="M137" t="s">
        <v>36</v>
      </c>
      <c r="N137">
        <v>113</v>
      </c>
      <c r="O137">
        <v>117</v>
      </c>
      <c r="P137">
        <v>14.03</v>
      </c>
      <c r="Q137">
        <v>12.01</v>
      </c>
      <c r="R137" s="11" t="str">
        <f t="shared" si="0"/>
        <v>QB</v>
      </c>
    </row>
    <row r="138" spans="1:18" ht="14.25" customHeight="1" x14ac:dyDescent="0.25">
      <c r="A138">
        <v>134</v>
      </c>
      <c r="B138" t="s">
        <v>373</v>
      </c>
      <c r="C138" t="s">
        <v>370</v>
      </c>
      <c r="D138" t="s">
        <v>123</v>
      </c>
      <c r="E138">
        <v>149</v>
      </c>
      <c r="F138">
        <v>166</v>
      </c>
      <c r="G138">
        <v>158</v>
      </c>
      <c r="H138">
        <v>127</v>
      </c>
      <c r="I138">
        <v>127</v>
      </c>
      <c r="J138" t="s">
        <v>36</v>
      </c>
      <c r="K138">
        <v>130</v>
      </c>
      <c r="L138">
        <v>136</v>
      </c>
      <c r="M138" t="s">
        <v>36</v>
      </c>
      <c r="N138">
        <v>136</v>
      </c>
      <c r="O138">
        <v>139</v>
      </c>
      <c r="P138">
        <v>14.04</v>
      </c>
      <c r="Q138">
        <v>12.02</v>
      </c>
      <c r="R138" s="11" t="str">
        <f t="shared" si="0"/>
        <v>RB</v>
      </c>
    </row>
    <row r="139" spans="1:18" ht="14.25" customHeight="1" x14ac:dyDescent="0.25">
      <c r="A139">
        <v>135</v>
      </c>
      <c r="B139" t="s">
        <v>363</v>
      </c>
      <c r="C139" t="s">
        <v>364</v>
      </c>
      <c r="D139" t="s">
        <v>163</v>
      </c>
      <c r="E139">
        <v>137</v>
      </c>
      <c r="F139">
        <v>143</v>
      </c>
      <c r="G139">
        <v>168</v>
      </c>
      <c r="H139">
        <v>152</v>
      </c>
      <c r="I139">
        <v>132</v>
      </c>
      <c r="J139" t="s">
        <v>36</v>
      </c>
      <c r="K139">
        <v>155</v>
      </c>
      <c r="L139">
        <v>137</v>
      </c>
      <c r="M139" t="s">
        <v>36</v>
      </c>
      <c r="N139">
        <v>122</v>
      </c>
      <c r="O139">
        <v>123</v>
      </c>
      <c r="P139">
        <v>14.05</v>
      </c>
      <c r="Q139">
        <v>12.03</v>
      </c>
      <c r="R139" s="11" t="str">
        <f t="shared" si="0"/>
        <v>QB</v>
      </c>
    </row>
    <row r="140" spans="1:18" ht="14.25" customHeight="1" x14ac:dyDescent="0.25">
      <c r="A140">
        <v>136</v>
      </c>
      <c r="B140" t="s">
        <v>378</v>
      </c>
      <c r="C140" t="s">
        <v>379</v>
      </c>
      <c r="D140" t="s">
        <v>129</v>
      </c>
      <c r="E140">
        <v>140</v>
      </c>
      <c r="F140">
        <v>157</v>
      </c>
      <c r="G140">
        <v>180</v>
      </c>
      <c r="H140">
        <v>107</v>
      </c>
      <c r="I140">
        <v>141</v>
      </c>
      <c r="J140" t="s">
        <v>36</v>
      </c>
      <c r="K140">
        <v>162</v>
      </c>
      <c r="L140">
        <v>134</v>
      </c>
      <c r="M140" t="s">
        <v>36</v>
      </c>
      <c r="N140">
        <v>132</v>
      </c>
      <c r="O140">
        <v>140</v>
      </c>
      <c r="P140">
        <v>14.06</v>
      </c>
      <c r="Q140">
        <v>12.04</v>
      </c>
      <c r="R140" s="11" t="str">
        <f t="shared" si="0"/>
        <v>TE</v>
      </c>
    </row>
    <row r="141" spans="1:18" ht="14.25" customHeight="1" x14ac:dyDescent="0.25">
      <c r="A141">
        <v>137</v>
      </c>
      <c r="B141" t="s">
        <v>365</v>
      </c>
      <c r="C141" t="s">
        <v>366</v>
      </c>
      <c r="D141" t="s">
        <v>66</v>
      </c>
      <c r="E141">
        <v>162</v>
      </c>
      <c r="F141">
        <v>136</v>
      </c>
      <c r="G141">
        <v>165</v>
      </c>
      <c r="H141">
        <v>147</v>
      </c>
      <c r="I141">
        <v>126</v>
      </c>
      <c r="J141" t="s">
        <v>36</v>
      </c>
      <c r="K141">
        <v>153</v>
      </c>
      <c r="L141">
        <v>139</v>
      </c>
      <c r="M141" t="s">
        <v>36</v>
      </c>
      <c r="N141">
        <v>134</v>
      </c>
      <c r="O141">
        <v>131</v>
      </c>
      <c r="P141">
        <v>14.07</v>
      </c>
      <c r="Q141">
        <v>12.05</v>
      </c>
      <c r="R141" s="11" t="str">
        <f t="shared" si="0"/>
        <v>WR</v>
      </c>
    </row>
    <row r="142" spans="1:18" ht="14.25" customHeight="1" x14ac:dyDescent="0.25">
      <c r="A142">
        <v>138</v>
      </c>
      <c r="B142" t="s">
        <v>375</v>
      </c>
      <c r="C142" t="s">
        <v>377</v>
      </c>
      <c r="D142" t="s">
        <v>52</v>
      </c>
      <c r="E142">
        <v>148</v>
      </c>
      <c r="F142">
        <v>159</v>
      </c>
      <c r="G142">
        <v>174</v>
      </c>
      <c r="H142">
        <v>145</v>
      </c>
      <c r="I142">
        <v>129</v>
      </c>
      <c r="J142" t="s">
        <v>36</v>
      </c>
      <c r="K142">
        <v>150</v>
      </c>
      <c r="L142">
        <v>132</v>
      </c>
      <c r="M142" t="s">
        <v>36</v>
      </c>
      <c r="N142">
        <v>135</v>
      </c>
      <c r="O142">
        <v>135</v>
      </c>
      <c r="P142">
        <v>14.08</v>
      </c>
      <c r="Q142">
        <v>12.06</v>
      </c>
      <c r="R142" s="11" t="str">
        <f t="shared" si="0"/>
        <v>WR</v>
      </c>
    </row>
    <row r="143" spans="1:18" ht="14.25" customHeight="1" x14ac:dyDescent="0.25">
      <c r="A143">
        <v>139</v>
      </c>
      <c r="B143" t="s">
        <v>371</v>
      </c>
      <c r="C143" t="s">
        <v>372</v>
      </c>
      <c r="D143" t="s">
        <v>129</v>
      </c>
      <c r="E143">
        <v>155</v>
      </c>
      <c r="F143">
        <v>148</v>
      </c>
      <c r="G143">
        <v>175</v>
      </c>
      <c r="H143">
        <v>153</v>
      </c>
      <c r="I143">
        <v>140</v>
      </c>
      <c r="J143" t="s">
        <v>36</v>
      </c>
      <c r="K143">
        <v>189</v>
      </c>
      <c r="L143">
        <v>143</v>
      </c>
      <c r="M143" t="s">
        <v>36</v>
      </c>
      <c r="N143">
        <v>128</v>
      </c>
      <c r="O143">
        <v>127</v>
      </c>
      <c r="P143">
        <v>14.09</v>
      </c>
      <c r="Q143">
        <v>12.07</v>
      </c>
      <c r="R143" s="11" t="str">
        <f t="shared" si="0"/>
        <v>QB</v>
      </c>
    </row>
    <row r="144" spans="1:18" ht="14.25" customHeight="1" x14ac:dyDescent="0.25">
      <c r="A144">
        <v>140</v>
      </c>
      <c r="B144" t="s">
        <v>380</v>
      </c>
      <c r="C144" t="s">
        <v>381</v>
      </c>
      <c r="D144" t="s">
        <v>229</v>
      </c>
      <c r="E144">
        <v>151</v>
      </c>
      <c r="F144">
        <v>146</v>
      </c>
      <c r="G144">
        <v>171</v>
      </c>
      <c r="H144">
        <v>140</v>
      </c>
      <c r="I144">
        <v>145</v>
      </c>
      <c r="J144" t="s">
        <v>36</v>
      </c>
      <c r="K144">
        <v>168</v>
      </c>
      <c r="L144">
        <v>140</v>
      </c>
      <c r="M144" t="s">
        <v>36</v>
      </c>
      <c r="N144">
        <v>147</v>
      </c>
      <c r="O144">
        <v>153</v>
      </c>
      <c r="P144">
        <v>14.1</v>
      </c>
      <c r="Q144">
        <v>12.08</v>
      </c>
      <c r="R144" s="11" t="str">
        <f t="shared" si="0"/>
        <v>RB</v>
      </c>
    </row>
    <row r="145" spans="1:18" ht="14.25" customHeight="1" x14ac:dyDescent="0.25">
      <c r="A145">
        <v>141</v>
      </c>
      <c r="B145" t="s">
        <v>382</v>
      </c>
      <c r="C145" t="s">
        <v>388</v>
      </c>
      <c r="D145" t="s">
        <v>168</v>
      </c>
      <c r="E145">
        <v>150</v>
      </c>
      <c r="F145">
        <v>163</v>
      </c>
      <c r="G145">
        <v>218</v>
      </c>
      <c r="H145">
        <v>125</v>
      </c>
      <c r="I145">
        <v>135</v>
      </c>
      <c r="J145" t="s">
        <v>36</v>
      </c>
      <c r="K145">
        <v>147</v>
      </c>
      <c r="L145">
        <v>141</v>
      </c>
      <c r="M145" t="s">
        <v>36</v>
      </c>
      <c r="N145">
        <v>144</v>
      </c>
      <c r="O145">
        <v>141</v>
      </c>
      <c r="P145">
        <v>15.01</v>
      </c>
      <c r="Q145">
        <v>12.09</v>
      </c>
      <c r="R145" s="11" t="str">
        <f t="shared" si="0"/>
        <v>RB</v>
      </c>
    </row>
    <row r="146" spans="1:18" ht="14.25" customHeight="1" x14ac:dyDescent="0.25">
      <c r="A146">
        <v>142</v>
      </c>
      <c r="B146" t="s">
        <v>385</v>
      </c>
      <c r="C146" t="s">
        <v>384</v>
      </c>
      <c r="D146" t="s">
        <v>88</v>
      </c>
      <c r="E146">
        <v>174</v>
      </c>
      <c r="F146">
        <v>200</v>
      </c>
      <c r="G146">
        <v>161</v>
      </c>
      <c r="H146">
        <v>134</v>
      </c>
      <c r="I146">
        <v>139</v>
      </c>
      <c r="J146" t="s">
        <v>36</v>
      </c>
      <c r="K146">
        <v>165</v>
      </c>
      <c r="L146">
        <v>124</v>
      </c>
      <c r="M146" t="s">
        <v>36</v>
      </c>
      <c r="N146">
        <v>146</v>
      </c>
      <c r="O146">
        <v>130</v>
      </c>
      <c r="P146">
        <v>15.02</v>
      </c>
      <c r="Q146">
        <v>12.1</v>
      </c>
      <c r="R146" s="11" t="str">
        <f t="shared" si="0"/>
        <v>RB</v>
      </c>
    </row>
    <row r="147" spans="1:18" ht="14.25" customHeight="1" x14ac:dyDescent="0.25">
      <c r="A147">
        <v>143</v>
      </c>
      <c r="B147" t="s">
        <v>387</v>
      </c>
      <c r="C147" t="s">
        <v>386</v>
      </c>
      <c r="D147" t="s">
        <v>52</v>
      </c>
      <c r="E147">
        <v>145</v>
      </c>
      <c r="F147">
        <v>155</v>
      </c>
      <c r="G147">
        <v>178</v>
      </c>
      <c r="H147">
        <v>143</v>
      </c>
      <c r="I147">
        <v>148</v>
      </c>
      <c r="J147" t="s">
        <v>36</v>
      </c>
      <c r="K147">
        <v>142</v>
      </c>
      <c r="L147">
        <v>148</v>
      </c>
      <c r="M147" t="s">
        <v>36</v>
      </c>
      <c r="N147">
        <v>172</v>
      </c>
      <c r="O147">
        <v>165</v>
      </c>
      <c r="P147">
        <v>15.03</v>
      </c>
      <c r="Q147">
        <v>12.11</v>
      </c>
      <c r="R147" s="11" t="str">
        <f t="shared" si="0"/>
        <v>RB</v>
      </c>
    </row>
    <row r="148" spans="1:18" ht="14.25" customHeight="1" x14ac:dyDescent="0.25">
      <c r="A148">
        <v>144</v>
      </c>
      <c r="B148" t="s">
        <v>390</v>
      </c>
      <c r="C148" t="s">
        <v>391</v>
      </c>
      <c r="D148" t="s">
        <v>81</v>
      </c>
      <c r="E148">
        <v>165</v>
      </c>
      <c r="F148">
        <v>178</v>
      </c>
      <c r="G148">
        <v>185</v>
      </c>
      <c r="H148">
        <v>156</v>
      </c>
      <c r="I148">
        <v>147</v>
      </c>
      <c r="J148" t="s">
        <v>36</v>
      </c>
      <c r="K148">
        <v>191</v>
      </c>
      <c r="L148">
        <v>133</v>
      </c>
      <c r="M148" t="s">
        <v>36</v>
      </c>
      <c r="N148">
        <v>129</v>
      </c>
      <c r="O148">
        <v>133</v>
      </c>
      <c r="P148">
        <v>15.04</v>
      </c>
      <c r="Q148">
        <v>12.12</v>
      </c>
      <c r="R148" s="11" t="str">
        <f t="shared" si="0"/>
        <v>QB</v>
      </c>
    </row>
    <row r="149" spans="1:18" ht="14.25" customHeight="1" x14ac:dyDescent="0.25">
      <c r="A149">
        <v>145</v>
      </c>
      <c r="B149" t="s">
        <v>392</v>
      </c>
      <c r="C149" t="s">
        <v>393</v>
      </c>
      <c r="D149" t="s">
        <v>199</v>
      </c>
      <c r="E149">
        <v>143</v>
      </c>
      <c r="F149">
        <v>186</v>
      </c>
      <c r="G149">
        <v>194</v>
      </c>
      <c r="H149">
        <v>123</v>
      </c>
      <c r="I149">
        <v>151</v>
      </c>
      <c r="J149" t="s">
        <v>36</v>
      </c>
      <c r="K149">
        <v>171</v>
      </c>
      <c r="L149">
        <v>174</v>
      </c>
      <c r="M149" t="s">
        <v>36</v>
      </c>
      <c r="N149">
        <v>156</v>
      </c>
      <c r="O149">
        <v>150</v>
      </c>
      <c r="P149">
        <v>15.05</v>
      </c>
      <c r="Q149">
        <v>13.01</v>
      </c>
      <c r="R149" s="11" t="str">
        <f t="shared" si="0"/>
        <v>TE</v>
      </c>
    </row>
    <row r="150" spans="1:18" ht="14.25" customHeight="1" x14ac:dyDescent="0.25">
      <c r="A150">
        <v>146</v>
      </c>
      <c r="B150" t="s">
        <v>394</v>
      </c>
      <c r="C150" t="s">
        <v>395</v>
      </c>
      <c r="D150" t="s">
        <v>187</v>
      </c>
      <c r="E150">
        <v>172</v>
      </c>
      <c r="F150">
        <v>192</v>
      </c>
      <c r="G150">
        <v>189</v>
      </c>
      <c r="H150">
        <v>155</v>
      </c>
      <c r="I150">
        <v>144</v>
      </c>
      <c r="J150" t="s">
        <v>36</v>
      </c>
      <c r="K150">
        <v>170</v>
      </c>
      <c r="L150">
        <v>144</v>
      </c>
      <c r="M150" t="s">
        <v>36</v>
      </c>
      <c r="N150">
        <v>151</v>
      </c>
      <c r="O150">
        <v>142</v>
      </c>
      <c r="P150">
        <v>15.06</v>
      </c>
      <c r="Q150">
        <v>13.02</v>
      </c>
      <c r="R150" s="11" t="str">
        <f t="shared" si="0"/>
        <v>WR</v>
      </c>
    </row>
    <row r="151" spans="1:18" ht="14.25" customHeight="1" x14ac:dyDescent="0.25">
      <c r="A151">
        <v>147</v>
      </c>
      <c r="B151" t="s">
        <v>400</v>
      </c>
      <c r="C151" t="s">
        <v>401</v>
      </c>
      <c r="D151" t="s">
        <v>94</v>
      </c>
      <c r="E151">
        <v>160</v>
      </c>
      <c r="F151">
        <v>204</v>
      </c>
      <c r="G151">
        <v>186</v>
      </c>
      <c r="H151">
        <v>158</v>
      </c>
      <c r="I151">
        <v>146</v>
      </c>
      <c r="J151" t="s">
        <v>36</v>
      </c>
      <c r="K151">
        <v>181</v>
      </c>
      <c r="L151">
        <v>142</v>
      </c>
      <c r="M151" t="s">
        <v>36</v>
      </c>
      <c r="N151">
        <v>141</v>
      </c>
      <c r="O151">
        <v>149</v>
      </c>
      <c r="P151">
        <v>15.07</v>
      </c>
      <c r="Q151">
        <v>13.03</v>
      </c>
      <c r="R151" s="11" t="str">
        <f t="shared" si="0"/>
        <v>WR</v>
      </c>
    </row>
    <row r="152" spans="1:18" ht="14.25" customHeight="1" x14ac:dyDescent="0.25">
      <c r="A152">
        <v>148</v>
      </c>
      <c r="B152" t="s">
        <v>398</v>
      </c>
      <c r="C152" t="s">
        <v>399</v>
      </c>
      <c r="D152" t="s">
        <v>78</v>
      </c>
      <c r="E152">
        <v>164</v>
      </c>
      <c r="F152">
        <v>214</v>
      </c>
      <c r="G152">
        <v>199</v>
      </c>
      <c r="H152">
        <v>144</v>
      </c>
      <c r="I152">
        <v>149</v>
      </c>
      <c r="J152" t="s">
        <v>36</v>
      </c>
      <c r="K152">
        <v>163</v>
      </c>
      <c r="L152">
        <v>138</v>
      </c>
      <c r="M152" t="s">
        <v>36</v>
      </c>
      <c r="N152">
        <v>158</v>
      </c>
      <c r="O152">
        <v>151</v>
      </c>
      <c r="P152">
        <v>15.08</v>
      </c>
      <c r="Q152">
        <v>13.04</v>
      </c>
      <c r="R152" s="11" t="str">
        <f t="shared" si="0"/>
        <v>RB</v>
      </c>
    </row>
    <row r="153" spans="1:18" ht="14.25" customHeight="1" x14ac:dyDescent="0.25">
      <c r="A153">
        <v>149</v>
      </c>
      <c r="B153" t="s">
        <v>396</v>
      </c>
      <c r="C153" t="s">
        <v>397</v>
      </c>
      <c r="D153" t="s">
        <v>104</v>
      </c>
      <c r="E153">
        <v>159</v>
      </c>
      <c r="F153">
        <v>149</v>
      </c>
      <c r="G153">
        <v>251</v>
      </c>
      <c r="H153">
        <v>136</v>
      </c>
      <c r="I153">
        <v>165</v>
      </c>
      <c r="J153" t="s">
        <v>36</v>
      </c>
      <c r="K153">
        <v>148</v>
      </c>
      <c r="L153">
        <v>166</v>
      </c>
      <c r="M153" t="s">
        <v>36</v>
      </c>
      <c r="N153">
        <v>162</v>
      </c>
      <c r="O153">
        <v>155</v>
      </c>
      <c r="P153">
        <v>15.09</v>
      </c>
      <c r="Q153">
        <v>13.05</v>
      </c>
      <c r="R153" s="11" t="str">
        <f t="shared" si="0"/>
        <v>TE</v>
      </c>
    </row>
    <row r="154" spans="1:18" ht="14.25" customHeight="1" x14ac:dyDescent="0.25">
      <c r="A154">
        <v>150</v>
      </c>
      <c r="B154" t="s">
        <v>404</v>
      </c>
      <c r="C154" t="s">
        <v>440</v>
      </c>
      <c r="D154" t="s">
        <v>49</v>
      </c>
      <c r="E154">
        <v>199</v>
      </c>
      <c r="F154">
        <v>181</v>
      </c>
      <c r="G154">
        <v>195</v>
      </c>
      <c r="H154">
        <v>122</v>
      </c>
      <c r="I154">
        <v>159</v>
      </c>
      <c r="J154" t="s">
        <v>36</v>
      </c>
      <c r="K154">
        <v>206</v>
      </c>
      <c r="L154">
        <v>151</v>
      </c>
      <c r="M154" t="s">
        <v>36</v>
      </c>
      <c r="N154">
        <v>149</v>
      </c>
      <c r="O154">
        <v>156</v>
      </c>
      <c r="P154">
        <v>15.1</v>
      </c>
      <c r="Q154">
        <v>13.06</v>
      </c>
      <c r="R154" s="11" t="str">
        <f t="shared" si="0"/>
        <v>TE</v>
      </c>
    </row>
    <row r="155" spans="1:18" ht="14.25" customHeight="1" x14ac:dyDescent="0.25">
      <c r="A155">
        <v>151</v>
      </c>
      <c r="B155" t="s">
        <v>408</v>
      </c>
      <c r="C155" t="s">
        <v>409</v>
      </c>
      <c r="D155" t="s">
        <v>60</v>
      </c>
      <c r="E155">
        <v>185</v>
      </c>
      <c r="F155">
        <v>173</v>
      </c>
      <c r="G155">
        <v>191</v>
      </c>
      <c r="H155">
        <v>166</v>
      </c>
      <c r="I155">
        <v>180</v>
      </c>
      <c r="J155" t="s">
        <v>36</v>
      </c>
      <c r="K155">
        <v>178</v>
      </c>
      <c r="L155">
        <v>147</v>
      </c>
      <c r="M155" t="s">
        <v>36</v>
      </c>
      <c r="N155">
        <v>153</v>
      </c>
      <c r="O155">
        <v>152</v>
      </c>
      <c r="P155">
        <v>16.010000000000002</v>
      </c>
      <c r="Q155">
        <v>13.07</v>
      </c>
      <c r="R155" s="11" t="str">
        <f t="shared" si="0"/>
        <v>WR</v>
      </c>
    </row>
    <row r="156" spans="1:18" ht="14.25" customHeight="1" x14ac:dyDescent="0.25">
      <c r="A156">
        <v>152</v>
      </c>
      <c r="B156" t="s">
        <v>418</v>
      </c>
      <c r="C156" t="s">
        <v>405</v>
      </c>
      <c r="D156" t="s">
        <v>116</v>
      </c>
      <c r="E156">
        <v>158</v>
      </c>
      <c r="F156">
        <v>191</v>
      </c>
      <c r="G156">
        <v>215</v>
      </c>
      <c r="H156">
        <v>135</v>
      </c>
      <c r="I156">
        <v>172</v>
      </c>
      <c r="J156" t="s">
        <v>36</v>
      </c>
      <c r="K156">
        <v>207</v>
      </c>
      <c r="L156">
        <v>149</v>
      </c>
      <c r="M156" t="s">
        <v>36</v>
      </c>
      <c r="N156">
        <v>159</v>
      </c>
      <c r="O156">
        <v>160</v>
      </c>
      <c r="P156">
        <v>16.02</v>
      </c>
      <c r="Q156">
        <v>13.08</v>
      </c>
      <c r="R156" s="11" t="str">
        <f t="shared" si="0"/>
        <v>TE</v>
      </c>
    </row>
    <row r="157" spans="1:18" ht="14.25" customHeight="1" x14ac:dyDescent="0.25">
      <c r="A157">
        <v>153</v>
      </c>
      <c r="B157" t="s">
        <v>402</v>
      </c>
      <c r="C157" t="s">
        <v>403</v>
      </c>
      <c r="D157" t="s">
        <v>60</v>
      </c>
      <c r="E157">
        <v>169</v>
      </c>
      <c r="F157">
        <v>160</v>
      </c>
      <c r="G157">
        <v>253</v>
      </c>
      <c r="H157">
        <v>170</v>
      </c>
      <c r="I157">
        <v>167</v>
      </c>
      <c r="J157" t="s">
        <v>36</v>
      </c>
      <c r="K157">
        <v>220</v>
      </c>
      <c r="L157">
        <v>167</v>
      </c>
      <c r="M157" t="s">
        <v>36</v>
      </c>
      <c r="N157">
        <v>137</v>
      </c>
      <c r="O157">
        <v>144</v>
      </c>
      <c r="P157">
        <v>16.03</v>
      </c>
      <c r="Q157">
        <v>13.09</v>
      </c>
      <c r="R157" s="11" t="str">
        <f t="shared" si="0"/>
        <v>QB</v>
      </c>
    </row>
    <row r="158" spans="1:18" ht="14.25" customHeight="1" x14ac:dyDescent="0.25">
      <c r="A158">
        <v>154</v>
      </c>
      <c r="B158" t="s">
        <v>406</v>
      </c>
      <c r="C158" t="s">
        <v>407</v>
      </c>
      <c r="D158" t="s">
        <v>187</v>
      </c>
      <c r="E158">
        <v>177</v>
      </c>
      <c r="F158">
        <v>215</v>
      </c>
      <c r="G158">
        <v>197</v>
      </c>
      <c r="H158">
        <v>154</v>
      </c>
      <c r="I158">
        <v>150</v>
      </c>
      <c r="J158" t="s">
        <v>36</v>
      </c>
      <c r="K158">
        <v>195</v>
      </c>
      <c r="L158">
        <v>173</v>
      </c>
      <c r="M158" t="s">
        <v>36</v>
      </c>
      <c r="N158">
        <v>160</v>
      </c>
      <c r="O158">
        <v>169</v>
      </c>
      <c r="P158">
        <v>16.04</v>
      </c>
      <c r="Q158">
        <v>13.1</v>
      </c>
      <c r="R158" s="11" t="str">
        <f t="shared" si="0"/>
        <v>RB</v>
      </c>
    </row>
    <row r="159" spans="1:18" ht="14.25" customHeight="1" x14ac:dyDescent="0.25">
      <c r="A159">
        <v>155</v>
      </c>
      <c r="B159" t="s">
        <v>412</v>
      </c>
      <c r="C159" t="s">
        <v>413</v>
      </c>
      <c r="D159" t="s">
        <v>39</v>
      </c>
      <c r="E159">
        <v>183</v>
      </c>
      <c r="F159">
        <v>182</v>
      </c>
      <c r="G159">
        <v>204</v>
      </c>
      <c r="H159">
        <v>161</v>
      </c>
      <c r="I159">
        <v>168</v>
      </c>
      <c r="J159" t="s">
        <v>36</v>
      </c>
      <c r="K159">
        <v>174</v>
      </c>
      <c r="L159">
        <v>162</v>
      </c>
      <c r="M159" t="s">
        <v>36</v>
      </c>
      <c r="N159">
        <v>183</v>
      </c>
      <c r="O159">
        <v>180</v>
      </c>
      <c r="P159">
        <v>16.05</v>
      </c>
      <c r="Q159">
        <v>13.11</v>
      </c>
      <c r="R159" s="11" t="str">
        <f t="shared" si="0"/>
        <v>RB</v>
      </c>
    </row>
    <row r="160" spans="1:18" ht="14.25" customHeight="1" x14ac:dyDescent="0.25">
      <c r="A160">
        <v>156</v>
      </c>
      <c r="B160" t="s">
        <v>410</v>
      </c>
      <c r="C160" t="s">
        <v>411</v>
      </c>
      <c r="D160" t="s">
        <v>116</v>
      </c>
      <c r="E160">
        <v>171</v>
      </c>
      <c r="F160">
        <v>171</v>
      </c>
      <c r="G160">
        <v>246</v>
      </c>
      <c r="H160">
        <v>194</v>
      </c>
      <c r="I160">
        <v>181</v>
      </c>
      <c r="J160" t="s">
        <v>36</v>
      </c>
      <c r="K160">
        <v>209</v>
      </c>
      <c r="L160">
        <v>175</v>
      </c>
      <c r="M160" t="s">
        <v>36</v>
      </c>
      <c r="N160">
        <v>145</v>
      </c>
      <c r="O160">
        <v>146</v>
      </c>
      <c r="P160">
        <v>16.059999999999999</v>
      </c>
      <c r="Q160">
        <v>13.12</v>
      </c>
      <c r="R160" s="11" t="str">
        <f t="shared" si="0"/>
        <v>QB</v>
      </c>
    </row>
    <row r="161" spans="1:18" ht="14.25" customHeight="1" x14ac:dyDescent="0.25">
      <c r="A161">
        <v>157</v>
      </c>
      <c r="B161" t="s">
        <v>414</v>
      </c>
      <c r="C161" t="s">
        <v>452</v>
      </c>
      <c r="D161" t="s">
        <v>55</v>
      </c>
      <c r="E161">
        <v>163</v>
      </c>
      <c r="F161">
        <v>250</v>
      </c>
      <c r="G161">
        <v>226</v>
      </c>
      <c r="H161">
        <v>151</v>
      </c>
      <c r="I161">
        <v>170</v>
      </c>
      <c r="J161" t="s">
        <v>36</v>
      </c>
      <c r="K161">
        <v>161</v>
      </c>
      <c r="L161">
        <v>169</v>
      </c>
      <c r="M161" t="s">
        <v>36</v>
      </c>
      <c r="N161">
        <v>166</v>
      </c>
      <c r="O161">
        <v>184</v>
      </c>
      <c r="P161">
        <v>16.07</v>
      </c>
      <c r="Q161">
        <v>14.01</v>
      </c>
      <c r="R161" s="11" t="str">
        <f t="shared" si="0"/>
        <v>RB</v>
      </c>
    </row>
    <row r="162" spans="1:18" ht="14.25" customHeight="1" x14ac:dyDescent="0.25">
      <c r="A162">
        <v>158</v>
      </c>
      <c r="B162" t="s">
        <v>416</v>
      </c>
      <c r="C162" t="s">
        <v>417</v>
      </c>
      <c r="D162" t="s">
        <v>129</v>
      </c>
      <c r="E162">
        <v>181</v>
      </c>
      <c r="F162">
        <v>165</v>
      </c>
      <c r="G162">
        <v>201</v>
      </c>
      <c r="H162">
        <v>169</v>
      </c>
      <c r="I162">
        <v>182</v>
      </c>
      <c r="J162" t="s">
        <v>36</v>
      </c>
      <c r="K162">
        <v>159</v>
      </c>
      <c r="L162">
        <v>191</v>
      </c>
      <c r="M162" t="s">
        <v>36</v>
      </c>
      <c r="N162">
        <v>200</v>
      </c>
      <c r="O162">
        <v>194</v>
      </c>
      <c r="P162">
        <v>16.079999999999998</v>
      </c>
      <c r="Q162">
        <v>14.02</v>
      </c>
      <c r="R162" s="11" t="str">
        <f t="shared" si="0"/>
        <v>RB</v>
      </c>
    </row>
    <row r="163" spans="1:18" ht="14.25" customHeight="1" x14ac:dyDescent="0.25">
      <c r="A163">
        <v>159</v>
      </c>
      <c r="B163" t="s">
        <v>423</v>
      </c>
      <c r="C163" t="s">
        <v>424</v>
      </c>
      <c r="D163" t="s">
        <v>85</v>
      </c>
      <c r="E163">
        <v>178</v>
      </c>
      <c r="F163">
        <v>241</v>
      </c>
      <c r="G163">
        <v>260</v>
      </c>
      <c r="H163">
        <v>150</v>
      </c>
      <c r="I163">
        <v>152</v>
      </c>
      <c r="J163" t="s">
        <v>36</v>
      </c>
      <c r="K163">
        <v>183</v>
      </c>
      <c r="L163">
        <v>157</v>
      </c>
      <c r="M163" t="s">
        <v>36</v>
      </c>
      <c r="N163">
        <v>152</v>
      </c>
      <c r="O163">
        <v>183</v>
      </c>
      <c r="P163">
        <v>16.09</v>
      </c>
      <c r="Q163">
        <v>14.03</v>
      </c>
      <c r="R163" s="11" t="str">
        <f t="shared" si="0"/>
        <v>RB</v>
      </c>
    </row>
    <row r="164" spans="1:18" ht="14.25" customHeight="1" x14ac:dyDescent="0.25">
      <c r="A164">
        <v>160</v>
      </c>
      <c r="B164" t="s">
        <v>421</v>
      </c>
      <c r="C164" t="s">
        <v>422</v>
      </c>
      <c r="D164" t="s">
        <v>72</v>
      </c>
      <c r="E164">
        <v>200</v>
      </c>
      <c r="F164">
        <v>151</v>
      </c>
      <c r="G164">
        <v>256</v>
      </c>
      <c r="H164">
        <v>146</v>
      </c>
      <c r="I164">
        <v>191</v>
      </c>
      <c r="J164" t="s">
        <v>36</v>
      </c>
      <c r="K164">
        <v>184</v>
      </c>
      <c r="L164">
        <v>215</v>
      </c>
      <c r="M164" t="s">
        <v>36</v>
      </c>
      <c r="N164">
        <v>169</v>
      </c>
      <c r="O164">
        <v>168</v>
      </c>
      <c r="P164">
        <v>16.100000000000001</v>
      </c>
      <c r="Q164">
        <v>14.04</v>
      </c>
      <c r="R164" s="11" t="str">
        <f t="shared" si="0"/>
        <v>TE</v>
      </c>
    </row>
    <row r="165" spans="1:18" ht="14.25" customHeight="1" x14ac:dyDescent="0.25">
      <c r="A165">
        <v>161</v>
      </c>
      <c r="B165" t="s">
        <v>425</v>
      </c>
      <c r="C165" t="s">
        <v>419</v>
      </c>
      <c r="D165" t="s">
        <v>145</v>
      </c>
      <c r="E165">
        <v>190</v>
      </c>
      <c r="F165">
        <v>176</v>
      </c>
      <c r="G165">
        <v>221</v>
      </c>
      <c r="H165">
        <v>157</v>
      </c>
      <c r="I165">
        <v>201</v>
      </c>
      <c r="J165" t="s">
        <v>36</v>
      </c>
      <c r="K165">
        <v>193</v>
      </c>
      <c r="L165">
        <v>195</v>
      </c>
      <c r="M165" t="s">
        <v>36</v>
      </c>
      <c r="N165">
        <v>189</v>
      </c>
      <c r="O165">
        <v>178</v>
      </c>
      <c r="P165">
        <v>17.010000000000002</v>
      </c>
      <c r="Q165">
        <v>14.05</v>
      </c>
      <c r="R165" s="11" t="str">
        <f t="shared" si="0"/>
        <v>TE</v>
      </c>
    </row>
    <row r="166" spans="1:18" ht="14.25" customHeight="1" x14ac:dyDescent="0.25">
      <c r="A166">
        <v>162</v>
      </c>
      <c r="B166" t="s">
        <v>428</v>
      </c>
      <c r="C166" t="s">
        <v>429</v>
      </c>
      <c r="D166" t="s">
        <v>187</v>
      </c>
      <c r="E166">
        <v>175</v>
      </c>
      <c r="F166">
        <v>189</v>
      </c>
      <c r="G166">
        <v>252</v>
      </c>
      <c r="H166">
        <v>191</v>
      </c>
      <c r="I166">
        <v>183</v>
      </c>
      <c r="J166" t="s">
        <v>36</v>
      </c>
      <c r="K166">
        <v>211</v>
      </c>
      <c r="L166">
        <v>196</v>
      </c>
      <c r="M166" t="s">
        <v>36</v>
      </c>
      <c r="N166">
        <v>198</v>
      </c>
      <c r="O166">
        <v>205</v>
      </c>
      <c r="P166">
        <v>17.02</v>
      </c>
      <c r="Q166">
        <v>14.06</v>
      </c>
      <c r="R166" s="11" t="str">
        <f t="shared" si="0"/>
        <v>WR</v>
      </c>
    </row>
    <row r="167" spans="1:18" ht="14.25" customHeight="1" x14ac:dyDescent="0.25">
      <c r="A167">
        <v>163</v>
      </c>
      <c r="B167" t="s">
        <v>432</v>
      </c>
      <c r="C167" t="s">
        <v>426</v>
      </c>
      <c r="D167" t="s">
        <v>52</v>
      </c>
      <c r="E167">
        <v>201</v>
      </c>
      <c r="F167">
        <v>211</v>
      </c>
      <c r="G167">
        <v>299</v>
      </c>
      <c r="H167">
        <v>162</v>
      </c>
      <c r="I167">
        <v>199</v>
      </c>
      <c r="J167" t="s">
        <v>36</v>
      </c>
      <c r="K167">
        <v>196</v>
      </c>
      <c r="L167">
        <v>183</v>
      </c>
      <c r="M167" t="s">
        <v>36</v>
      </c>
      <c r="N167">
        <v>179</v>
      </c>
      <c r="O167">
        <v>174</v>
      </c>
      <c r="P167">
        <v>17.03</v>
      </c>
      <c r="Q167">
        <v>14.07</v>
      </c>
      <c r="R167" s="11" t="str">
        <f t="shared" si="0"/>
        <v>TE</v>
      </c>
    </row>
    <row r="168" spans="1:18" ht="14.25" customHeight="1" x14ac:dyDescent="0.25">
      <c r="A168">
        <v>164</v>
      </c>
      <c r="B168" t="s">
        <v>434</v>
      </c>
      <c r="C168" t="s">
        <v>415</v>
      </c>
      <c r="D168" t="s">
        <v>35</v>
      </c>
      <c r="E168">
        <v>173</v>
      </c>
      <c r="F168">
        <v>175</v>
      </c>
      <c r="G168">
        <v>268</v>
      </c>
      <c r="H168">
        <v>197</v>
      </c>
      <c r="I168">
        <v>189</v>
      </c>
      <c r="J168" t="s">
        <v>36</v>
      </c>
      <c r="K168">
        <v>176</v>
      </c>
      <c r="L168">
        <v>197</v>
      </c>
      <c r="M168" t="s">
        <v>36</v>
      </c>
      <c r="N168">
        <v>237</v>
      </c>
      <c r="O168">
        <v>196</v>
      </c>
      <c r="P168">
        <v>17.04</v>
      </c>
      <c r="Q168">
        <v>14.08</v>
      </c>
      <c r="R168" s="11" t="str">
        <f t="shared" si="0"/>
        <v>RB</v>
      </c>
    </row>
    <row r="169" spans="1:18" ht="14.25" customHeight="1" x14ac:dyDescent="0.25">
      <c r="A169">
        <v>165</v>
      </c>
      <c r="B169" t="s">
        <v>437</v>
      </c>
      <c r="C169" t="s">
        <v>438</v>
      </c>
      <c r="D169" t="s">
        <v>91</v>
      </c>
      <c r="E169">
        <v>167</v>
      </c>
      <c r="F169">
        <v>197</v>
      </c>
      <c r="G169" t="s">
        <v>36</v>
      </c>
      <c r="H169">
        <v>148</v>
      </c>
      <c r="I169">
        <v>156</v>
      </c>
      <c r="J169" t="s">
        <v>36</v>
      </c>
      <c r="K169">
        <v>143</v>
      </c>
      <c r="L169">
        <v>161</v>
      </c>
      <c r="M169" t="s">
        <v>36</v>
      </c>
      <c r="N169">
        <v>140</v>
      </c>
      <c r="O169">
        <v>148</v>
      </c>
      <c r="P169">
        <v>17.05</v>
      </c>
      <c r="Q169">
        <v>14.09</v>
      </c>
      <c r="R169" s="11" t="str">
        <f t="shared" si="0"/>
        <v>WR</v>
      </c>
    </row>
    <row r="170" spans="1:18" ht="14.25" customHeight="1" x14ac:dyDescent="0.25">
      <c r="A170">
        <v>166</v>
      </c>
      <c r="B170" t="s">
        <v>430</v>
      </c>
      <c r="C170" t="s">
        <v>431</v>
      </c>
      <c r="D170" t="s">
        <v>52</v>
      </c>
      <c r="E170">
        <v>152</v>
      </c>
      <c r="F170">
        <v>161</v>
      </c>
      <c r="G170" t="s">
        <v>36</v>
      </c>
      <c r="H170">
        <v>172</v>
      </c>
      <c r="I170">
        <v>157</v>
      </c>
      <c r="J170" t="s">
        <v>36</v>
      </c>
      <c r="K170">
        <v>185</v>
      </c>
      <c r="L170">
        <v>156</v>
      </c>
      <c r="M170" t="s">
        <v>36</v>
      </c>
      <c r="N170">
        <v>143</v>
      </c>
      <c r="O170">
        <v>143</v>
      </c>
      <c r="P170">
        <v>17.059999999999999</v>
      </c>
      <c r="Q170">
        <v>14.1</v>
      </c>
      <c r="R170" s="11" t="str">
        <f t="shared" si="0"/>
        <v>QB</v>
      </c>
    </row>
    <row r="171" spans="1:18" ht="14.25" customHeight="1" x14ac:dyDescent="0.25">
      <c r="A171">
        <v>167</v>
      </c>
      <c r="B171" t="s">
        <v>439</v>
      </c>
      <c r="C171" t="s">
        <v>433</v>
      </c>
      <c r="D171" t="s">
        <v>184</v>
      </c>
      <c r="E171">
        <v>197</v>
      </c>
      <c r="F171" t="s">
        <v>36</v>
      </c>
      <c r="G171">
        <v>225</v>
      </c>
      <c r="H171">
        <v>138</v>
      </c>
      <c r="I171">
        <v>162</v>
      </c>
      <c r="J171" t="s">
        <v>36</v>
      </c>
      <c r="K171">
        <v>192</v>
      </c>
      <c r="L171">
        <v>158</v>
      </c>
      <c r="M171" t="s">
        <v>36</v>
      </c>
      <c r="N171">
        <v>154</v>
      </c>
      <c r="O171">
        <v>147</v>
      </c>
      <c r="P171">
        <v>17.07</v>
      </c>
      <c r="Q171">
        <v>14.11</v>
      </c>
      <c r="R171" s="11" t="str">
        <f t="shared" si="0"/>
        <v>TE</v>
      </c>
    </row>
    <row r="172" spans="1:18" ht="14.25" customHeight="1" x14ac:dyDescent="0.25">
      <c r="A172">
        <v>168</v>
      </c>
      <c r="B172" t="s">
        <v>441</v>
      </c>
      <c r="C172" t="s">
        <v>454</v>
      </c>
      <c r="D172" t="s">
        <v>116</v>
      </c>
      <c r="E172">
        <v>191</v>
      </c>
      <c r="F172" t="s">
        <v>36</v>
      </c>
      <c r="G172">
        <v>198</v>
      </c>
      <c r="H172">
        <v>167</v>
      </c>
      <c r="I172">
        <v>171</v>
      </c>
      <c r="J172" t="s">
        <v>36</v>
      </c>
      <c r="K172">
        <v>177</v>
      </c>
      <c r="L172">
        <v>177</v>
      </c>
      <c r="M172" t="s">
        <v>36</v>
      </c>
      <c r="N172">
        <v>165</v>
      </c>
      <c r="O172">
        <v>175</v>
      </c>
      <c r="P172">
        <v>17.079999999999998</v>
      </c>
      <c r="Q172">
        <v>14.12</v>
      </c>
      <c r="R172" s="11" t="str">
        <f t="shared" si="0"/>
        <v>WR</v>
      </c>
    </row>
    <row r="173" spans="1:18" ht="14.25" customHeight="1" x14ac:dyDescent="0.25">
      <c r="A173">
        <v>169</v>
      </c>
      <c r="B173" t="s">
        <v>443</v>
      </c>
      <c r="C173" t="s">
        <v>442</v>
      </c>
      <c r="D173" t="s">
        <v>163</v>
      </c>
      <c r="E173" t="s">
        <v>36</v>
      </c>
      <c r="F173">
        <v>164</v>
      </c>
      <c r="G173">
        <v>235</v>
      </c>
      <c r="H173">
        <v>168</v>
      </c>
      <c r="I173">
        <v>155</v>
      </c>
      <c r="J173" t="s">
        <v>36</v>
      </c>
      <c r="K173">
        <v>210</v>
      </c>
      <c r="L173">
        <v>160</v>
      </c>
      <c r="M173" t="s">
        <v>36</v>
      </c>
      <c r="N173">
        <v>175</v>
      </c>
      <c r="O173">
        <v>157</v>
      </c>
      <c r="P173">
        <v>17.09</v>
      </c>
      <c r="Q173">
        <v>15.01</v>
      </c>
      <c r="R173" s="11" t="str">
        <f t="shared" si="0"/>
        <v>WR</v>
      </c>
    </row>
    <row r="174" spans="1:18" ht="14.25" customHeight="1" x14ac:dyDescent="0.25">
      <c r="A174">
        <v>170</v>
      </c>
      <c r="B174" t="s">
        <v>445</v>
      </c>
      <c r="C174" t="s">
        <v>435</v>
      </c>
      <c r="D174" t="s">
        <v>126</v>
      </c>
      <c r="E174">
        <v>161</v>
      </c>
      <c r="F174" t="s">
        <v>36</v>
      </c>
      <c r="G174">
        <v>182</v>
      </c>
      <c r="H174">
        <v>175</v>
      </c>
      <c r="I174">
        <v>160</v>
      </c>
      <c r="J174" t="s">
        <v>36</v>
      </c>
      <c r="K174">
        <v>152</v>
      </c>
      <c r="L174">
        <v>232</v>
      </c>
      <c r="M174" t="s">
        <v>36</v>
      </c>
      <c r="N174">
        <v>207</v>
      </c>
      <c r="O174">
        <v>162</v>
      </c>
      <c r="P174">
        <v>17.100000000000001</v>
      </c>
      <c r="Q174">
        <v>15.02</v>
      </c>
      <c r="R174" s="11" t="str">
        <f t="shared" si="0"/>
        <v>RB</v>
      </c>
    </row>
    <row r="175" spans="1:18" ht="14.25" customHeight="1" x14ac:dyDescent="0.25">
      <c r="A175">
        <v>171</v>
      </c>
      <c r="B175" t="s">
        <v>451</v>
      </c>
      <c r="C175" t="s">
        <v>446</v>
      </c>
      <c r="D175" t="s">
        <v>145</v>
      </c>
      <c r="E175">
        <v>179</v>
      </c>
      <c r="F175" t="s">
        <v>36</v>
      </c>
      <c r="G175">
        <v>213</v>
      </c>
      <c r="H175">
        <v>159</v>
      </c>
      <c r="I175">
        <v>175</v>
      </c>
      <c r="J175" t="s">
        <v>36</v>
      </c>
      <c r="K175">
        <v>186</v>
      </c>
      <c r="L175">
        <v>164</v>
      </c>
      <c r="M175" t="s">
        <v>36</v>
      </c>
      <c r="N175">
        <v>182</v>
      </c>
      <c r="O175">
        <v>179</v>
      </c>
      <c r="P175">
        <v>18.010000000000002</v>
      </c>
      <c r="Q175">
        <v>15.03</v>
      </c>
      <c r="R175" s="11" t="str">
        <f t="shared" si="0"/>
        <v>RB</v>
      </c>
    </row>
    <row r="176" spans="1:18" ht="14.25" customHeight="1" x14ac:dyDescent="0.25">
      <c r="A176">
        <v>172</v>
      </c>
      <c r="B176" t="s">
        <v>447</v>
      </c>
      <c r="C176" t="s">
        <v>448</v>
      </c>
      <c r="D176" t="s">
        <v>85</v>
      </c>
      <c r="E176" t="s">
        <v>36</v>
      </c>
      <c r="F176">
        <v>233</v>
      </c>
      <c r="G176">
        <v>176</v>
      </c>
      <c r="H176">
        <v>164</v>
      </c>
      <c r="I176">
        <v>177</v>
      </c>
      <c r="J176" t="s">
        <v>36</v>
      </c>
      <c r="K176">
        <v>182</v>
      </c>
      <c r="L176">
        <v>180</v>
      </c>
      <c r="M176" t="s">
        <v>36</v>
      </c>
      <c r="N176">
        <v>173</v>
      </c>
      <c r="O176">
        <v>164</v>
      </c>
      <c r="P176">
        <v>18.02</v>
      </c>
      <c r="Q176">
        <v>15.04</v>
      </c>
      <c r="R176" s="11" t="str">
        <f t="shared" si="0"/>
        <v>WR</v>
      </c>
    </row>
    <row r="177" spans="1:18" ht="14.25" customHeight="1" x14ac:dyDescent="0.25">
      <c r="A177">
        <v>173</v>
      </c>
      <c r="B177" t="s">
        <v>449</v>
      </c>
      <c r="C177" t="s">
        <v>444</v>
      </c>
      <c r="D177" t="s">
        <v>94</v>
      </c>
      <c r="E177">
        <v>215</v>
      </c>
      <c r="F177" t="s">
        <v>36</v>
      </c>
      <c r="G177">
        <v>227</v>
      </c>
      <c r="H177">
        <v>177</v>
      </c>
      <c r="I177">
        <v>154</v>
      </c>
      <c r="J177" t="s">
        <v>36</v>
      </c>
      <c r="K177">
        <v>167</v>
      </c>
      <c r="L177">
        <v>186</v>
      </c>
      <c r="M177" t="s">
        <v>36</v>
      </c>
      <c r="N177">
        <v>181</v>
      </c>
      <c r="O177">
        <v>154</v>
      </c>
      <c r="P177">
        <v>18.03</v>
      </c>
      <c r="Q177">
        <v>15.05</v>
      </c>
      <c r="R177" s="11" t="str">
        <f t="shared" si="0"/>
        <v>WR</v>
      </c>
    </row>
    <row r="178" spans="1:18" ht="14.25" customHeight="1" x14ac:dyDescent="0.25">
      <c r="A178">
        <v>174</v>
      </c>
      <c r="B178" t="s">
        <v>461</v>
      </c>
      <c r="C178" t="s">
        <v>462</v>
      </c>
      <c r="D178" t="s">
        <v>116</v>
      </c>
      <c r="E178">
        <v>106</v>
      </c>
      <c r="F178">
        <v>84</v>
      </c>
      <c r="G178">
        <v>115</v>
      </c>
      <c r="H178">
        <v>192</v>
      </c>
      <c r="I178">
        <v>142</v>
      </c>
      <c r="J178" t="s">
        <v>36</v>
      </c>
      <c r="K178">
        <v>105</v>
      </c>
      <c r="L178">
        <v>150</v>
      </c>
      <c r="M178" t="s">
        <v>36</v>
      </c>
      <c r="N178" t="s">
        <v>36</v>
      </c>
      <c r="O178" t="s">
        <v>36</v>
      </c>
      <c r="P178">
        <v>18.04</v>
      </c>
      <c r="Q178">
        <v>15.06</v>
      </c>
      <c r="R178" s="11" t="str">
        <f t="shared" si="0"/>
        <v>DE</v>
      </c>
    </row>
    <row r="179" spans="1:18" ht="14.25" customHeight="1" x14ac:dyDescent="0.25">
      <c r="A179">
        <v>175</v>
      </c>
      <c r="B179" t="s">
        <v>468</v>
      </c>
      <c r="C179" t="s">
        <v>469</v>
      </c>
      <c r="D179" t="s">
        <v>49</v>
      </c>
      <c r="E179">
        <v>103</v>
      </c>
      <c r="F179">
        <v>88</v>
      </c>
      <c r="G179">
        <v>144</v>
      </c>
      <c r="H179">
        <v>193</v>
      </c>
      <c r="I179">
        <v>143</v>
      </c>
      <c r="J179" t="s">
        <v>36</v>
      </c>
      <c r="K179">
        <v>97</v>
      </c>
      <c r="L179">
        <v>155</v>
      </c>
      <c r="M179" t="s">
        <v>36</v>
      </c>
      <c r="N179" t="s">
        <v>36</v>
      </c>
      <c r="O179" t="s">
        <v>36</v>
      </c>
      <c r="P179">
        <v>18.05</v>
      </c>
      <c r="Q179">
        <v>15.07</v>
      </c>
      <c r="R179" s="11" t="str">
        <f t="shared" si="0"/>
        <v>DE</v>
      </c>
    </row>
    <row r="180" spans="1:18" ht="14.25" customHeight="1" x14ac:dyDescent="0.25">
      <c r="A180">
        <v>176</v>
      </c>
      <c r="B180" t="s">
        <v>453</v>
      </c>
      <c r="C180" t="s">
        <v>508</v>
      </c>
      <c r="D180" t="s">
        <v>81</v>
      </c>
      <c r="E180" t="s">
        <v>36</v>
      </c>
      <c r="F180">
        <v>251</v>
      </c>
      <c r="G180">
        <v>232</v>
      </c>
      <c r="H180">
        <v>173</v>
      </c>
      <c r="I180">
        <v>166</v>
      </c>
      <c r="J180" t="s">
        <v>36</v>
      </c>
      <c r="K180">
        <v>180</v>
      </c>
      <c r="L180">
        <v>208</v>
      </c>
      <c r="M180" t="s">
        <v>36</v>
      </c>
      <c r="N180">
        <v>167</v>
      </c>
      <c r="O180">
        <v>173</v>
      </c>
      <c r="P180">
        <v>18.059999999999999</v>
      </c>
      <c r="Q180">
        <v>15.08</v>
      </c>
      <c r="R180" s="11" t="str">
        <f t="shared" si="0"/>
        <v>WR</v>
      </c>
    </row>
    <row r="181" spans="1:18" ht="14.25" customHeight="1" x14ac:dyDescent="0.25">
      <c r="A181">
        <v>177</v>
      </c>
      <c r="B181" t="s">
        <v>455</v>
      </c>
      <c r="C181" t="s">
        <v>458</v>
      </c>
      <c r="D181" t="s">
        <v>72</v>
      </c>
      <c r="E181">
        <v>212</v>
      </c>
      <c r="F181" t="s">
        <v>36</v>
      </c>
      <c r="G181">
        <v>190</v>
      </c>
      <c r="H181">
        <v>201</v>
      </c>
      <c r="I181">
        <v>174</v>
      </c>
      <c r="J181" t="s">
        <v>36</v>
      </c>
      <c r="K181">
        <v>213</v>
      </c>
      <c r="L181">
        <v>207</v>
      </c>
      <c r="M181" t="s">
        <v>36</v>
      </c>
      <c r="N181">
        <v>190</v>
      </c>
      <c r="O181">
        <v>176</v>
      </c>
      <c r="P181">
        <v>18.07</v>
      </c>
      <c r="Q181">
        <v>15.09</v>
      </c>
      <c r="R181" s="11" t="str">
        <f t="shared" si="0"/>
        <v>WR</v>
      </c>
    </row>
    <row r="182" spans="1:18" ht="14.25" customHeight="1" x14ac:dyDescent="0.25">
      <c r="A182">
        <v>178</v>
      </c>
      <c r="B182" t="s">
        <v>470</v>
      </c>
      <c r="C182" t="s">
        <v>471</v>
      </c>
      <c r="D182" t="s">
        <v>168</v>
      </c>
      <c r="E182">
        <v>97</v>
      </c>
      <c r="F182">
        <v>89</v>
      </c>
      <c r="G182">
        <v>146</v>
      </c>
      <c r="H182">
        <v>198</v>
      </c>
      <c r="I182">
        <v>158</v>
      </c>
      <c r="J182" t="s">
        <v>36</v>
      </c>
      <c r="K182">
        <v>121</v>
      </c>
      <c r="L182">
        <v>163</v>
      </c>
      <c r="M182" t="s">
        <v>36</v>
      </c>
      <c r="N182" t="s">
        <v>36</v>
      </c>
      <c r="O182" t="s">
        <v>36</v>
      </c>
      <c r="P182">
        <v>18.079999999999998</v>
      </c>
      <c r="Q182">
        <v>15.1</v>
      </c>
      <c r="R182" s="11" t="str">
        <f t="shared" si="0"/>
        <v>DE</v>
      </c>
    </row>
    <row r="183" spans="1:18" ht="14.25" customHeight="1" x14ac:dyDescent="0.25">
      <c r="A183">
        <v>179</v>
      </c>
      <c r="B183" t="s">
        <v>459</v>
      </c>
      <c r="C183" t="s">
        <v>460</v>
      </c>
      <c r="D183" t="s">
        <v>229</v>
      </c>
      <c r="E183" t="s">
        <v>36</v>
      </c>
      <c r="F183">
        <v>198</v>
      </c>
      <c r="G183">
        <v>257</v>
      </c>
      <c r="H183">
        <v>220</v>
      </c>
      <c r="I183">
        <v>197</v>
      </c>
      <c r="J183" t="s">
        <v>36</v>
      </c>
      <c r="K183">
        <v>230</v>
      </c>
      <c r="L183">
        <v>185</v>
      </c>
      <c r="M183" t="s">
        <v>36</v>
      </c>
      <c r="N183">
        <v>157</v>
      </c>
      <c r="O183">
        <v>161</v>
      </c>
      <c r="P183">
        <v>18.09</v>
      </c>
      <c r="Q183">
        <v>15.11</v>
      </c>
      <c r="R183" s="11" t="str">
        <f t="shared" si="0"/>
        <v>QB</v>
      </c>
    </row>
    <row r="184" spans="1:18" ht="14.25" customHeight="1" x14ac:dyDescent="0.25">
      <c r="A184">
        <v>180</v>
      </c>
      <c r="B184" t="s">
        <v>457</v>
      </c>
      <c r="C184" t="s">
        <v>456</v>
      </c>
      <c r="D184" t="s">
        <v>199</v>
      </c>
      <c r="E184" t="s">
        <v>36</v>
      </c>
      <c r="F184">
        <v>112</v>
      </c>
      <c r="G184">
        <v>328</v>
      </c>
      <c r="H184">
        <v>225</v>
      </c>
      <c r="I184">
        <v>210</v>
      </c>
      <c r="J184" t="s">
        <v>36</v>
      </c>
      <c r="K184">
        <v>188</v>
      </c>
      <c r="L184">
        <v>187</v>
      </c>
      <c r="M184" t="s">
        <v>36</v>
      </c>
      <c r="N184">
        <v>197</v>
      </c>
      <c r="O184">
        <v>163</v>
      </c>
      <c r="P184">
        <v>18.100000000000001</v>
      </c>
      <c r="Q184">
        <v>15.12</v>
      </c>
      <c r="R184" s="11" t="str">
        <f t="shared" si="0"/>
        <v>WR</v>
      </c>
    </row>
    <row r="185" spans="1:18" ht="14.25" customHeight="1" x14ac:dyDescent="0.25">
      <c r="A185">
        <v>181</v>
      </c>
      <c r="B185" t="s">
        <v>464</v>
      </c>
      <c r="C185" t="s">
        <v>580</v>
      </c>
      <c r="D185" t="s">
        <v>81</v>
      </c>
      <c r="E185">
        <v>204</v>
      </c>
      <c r="F185" t="s">
        <v>36</v>
      </c>
      <c r="G185">
        <v>308</v>
      </c>
      <c r="H185">
        <v>174</v>
      </c>
      <c r="I185">
        <v>185</v>
      </c>
      <c r="J185" t="s">
        <v>36</v>
      </c>
      <c r="K185">
        <v>201</v>
      </c>
      <c r="L185">
        <v>179</v>
      </c>
      <c r="M185" t="s">
        <v>36</v>
      </c>
      <c r="N185">
        <v>185</v>
      </c>
      <c r="O185">
        <v>177</v>
      </c>
      <c r="P185">
        <v>19.010000000000002</v>
      </c>
      <c r="Q185">
        <v>16.010000000000002</v>
      </c>
      <c r="R185" s="11" t="str">
        <f t="shared" si="0"/>
        <v>WR</v>
      </c>
    </row>
    <row r="186" spans="1:18" ht="14.25" customHeight="1" x14ac:dyDescent="0.25">
      <c r="A186">
        <v>182</v>
      </c>
      <c r="B186" t="s">
        <v>475</v>
      </c>
      <c r="C186" t="s">
        <v>476</v>
      </c>
      <c r="D186" t="s">
        <v>52</v>
      </c>
      <c r="E186">
        <v>118</v>
      </c>
      <c r="F186">
        <v>107</v>
      </c>
      <c r="G186">
        <v>162</v>
      </c>
      <c r="H186">
        <v>200</v>
      </c>
      <c r="I186">
        <v>153</v>
      </c>
      <c r="J186" t="s">
        <v>36</v>
      </c>
      <c r="K186">
        <v>114</v>
      </c>
      <c r="L186">
        <v>165</v>
      </c>
      <c r="M186" t="s">
        <v>36</v>
      </c>
      <c r="N186" t="s">
        <v>36</v>
      </c>
      <c r="O186" t="s">
        <v>36</v>
      </c>
      <c r="P186">
        <v>19.02</v>
      </c>
      <c r="Q186">
        <v>16.02</v>
      </c>
      <c r="R186" s="11" t="str">
        <f t="shared" si="0"/>
        <v>DE</v>
      </c>
    </row>
    <row r="187" spans="1:18" ht="14.25" customHeight="1" x14ac:dyDescent="0.25">
      <c r="A187">
        <v>183</v>
      </c>
      <c r="B187" t="s">
        <v>466</v>
      </c>
      <c r="C187" t="s">
        <v>467</v>
      </c>
      <c r="D187" t="s">
        <v>160</v>
      </c>
      <c r="E187" t="s">
        <v>36</v>
      </c>
      <c r="F187">
        <v>185</v>
      </c>
      <c r="G187">
        <v>271</v>
      </c>
      <c r="H187">
        <v>233</v>
      </c>
      <c r="I187">
        <v>208</v>
      </c>
      <c r="J187" t="s">
        <v>36</v>
      </c>
      <c r="K187">
        <v>237</v>
      </c>
      <c r="L187">
        <v>182</v>
      </c>
      <c r="M187" t="s">
        <v>36</v>
      </c>
      <c r="N187">
        <v>163</v>
      </c>
      <c r="O187">
        <v>166</v>
      </c>
      <c r="P187">
        <v>19.03</v>
      </c>
      <c r="Q187">
        <v>16.03</v>
      </c>
      <c r="R187" s="11" t="str">
        <f t="shared" si="0"/>
        <v>QB</v>
      </c>
    </row>
    <row r="188" spans="1:18" ht="14.25" customHeight="1" x14ac:dyDescent="0.25">
      <c r="A188">
        <v>184</v>
      </c>
      <c r="B188" t="s">
        <v>472</v>
      </c>
      <c r="C188" t="s">
        <v>473</v>
      </c>
      <c r="D188" t="s">
        <v>81</v>
      </c>
      <c r="E188">
        <v>198</v>
      </c>
      <c r="F188" t="s">
        <v>36</v>
      </c>
      <c r="G188">
        <v>318</v>
      </c>
      <c r="H188">
        <v>160</v>
      </c>
      <c r="I188">
        <v>203</v>
      </c>
      <c r="J188" t="s">
        <v>36</v>
      </c>
      <c r="K188">
        <v>251</v>
      </c>
      <c r="L188">
        <v>193</v>
      </c>
      <c r="M188" t="s">
        <v>36</v>
      </c>
      <c r="N188">
        <v>188</v>
      </c>
      <c r="O188">
        <v>188</v>
      </c>
      <c r="P188">
        <v>19.04</v>
      </c>
      <c r="Q188">
        <v>16.04</v>
      </c>
      <c r="R188" s="11" t="str">
        <f t="shared" si="0"/>
        <v>TE</v>
      </c>
    </row>
    <row r="189" spans="1:18" ht="14.25" customHeight="1" x14ac:dyDescent="0.25">
      <c r="A189">
        <v>185</v>
      </c>
      <c r="B189" t="s">
        <v>486</v>
      </c>
      <c r="C189" t="s">
        <v>487</v>
      </c>
      <c r="D189" t="s">
        <v>78</v>
      </c>
      <c r="E189">
        <v>134</v>
      </c>
      <c r="F189">
        <v>131</v>
      </c>
      <c r="G189">
        <v>188</v>
      </c>
      <c r="H189">
        <v>215</v>
      </c>
      <c r="I189">
        <v>176</v>
      </c>
      <c r="J189" t="s">
        <v>36</v>
      </c>
      <c r="K189">
        <v>129</v>
      </c>
      <c r="L189">
        <v>170</v>
      </c>
      <c r="M189" t="s">
        <v>36</v>
      </c>
      <c r="N189" t="s">
        <v>36</v>
      </c>
      <c r="O189" t="s">
        <v>36</v>
      </c>
      <c r="P189">
        <v>19.05</v>
      </c>
      <c r="Q189">
        <v>16.05</v>
      </c>
      <c r="R189" s="11" t="str">
        <f t="shared" si="0"/>
        <v>DE</v>
      </c>
    </row>
    <row r="190" spans="1:18" ht="14.25" customHeight="1" x14ac:dyDescent="0.25">
      <c r="A190">
        <v>186</v>
      </c>
      <c r="B190" t="s">
        <v>477</v>
      </c>
      <c r="C190" t="s">
        <v>450</v>
      </c>
      <c r="D190" t="s">
        <v>52</v>
      </c>
      <c r="E190">
        <v>210</v>
      </c>
      <c r="F190">
        <v>201</v>
      </c>
      <c r="G190">
        <v>297</v>
      </c>
      <c r="H190">
        <v>231</v>
      </c>
      <c r="I190">
        <v>223</v>
      </c>
      <c r="J190" t="s">
        <v>36</v>
      </c>
      <c r="K190">
        <v>203</v>
      </c>
      <c r="L190" t="s">
        <v>36</v>
      </c>
      <c r="M190" t="s">
        <v>36</v>
      </c>
      <c r="N190">
        <v>212</v>
      </c>
      <c r="O190">
        <v>216</v>
      </c>
      <c r="P190">
        <v>19.059999999999999</v>
      </c>
      <c r="Q190">
        <v>16.059999999999999</v>
      </c>
      <c r="R190" s="11" t="str">
        <f t="shared" si="0"/>
        <v>WR</v>
      </c>
    </row>
    <row r="191" spans="1:18" ht="14.25" customHeight="1" x14ac:dyDescent="0.25">
      <c r="A191">
        <v>187</v>
      </c>
      <c r="B191" t="s">
        <v>498</v>
      </c>
      <c r="C191" t="s">
        <v>536</v>
      </c>
      <c r="D191" t="s">
        <v>233</v>
      </c>
      <c r="E191" t="s">
        <v>36</v>
      </c>
      <c r="F191">
        <v>210</v>
      </c>
      <c r="G191">
        <v>347</v>
      </c>
      <c r="H191">
        <v>179</v>
      </c>
      <c r="I191">
        <v>239</v>
      </c>
      <c r="J191" t="s">
        <v>36</v>
      </c>
      <c r="K191">
        <v>231</v>
      </c>
      <c r="L191">
        <v>216</v>
      </c>
      <c r="M191" t="s">
        <v>36</v>
      </c>
      <c r="N191">
        <v>193</v>
      </c>
      <c r="O191">
        <v>195</v>
      </c>
      <c r="P191">
        <v>19.07</v>
      </c>
      <c r="Q191">
        <v>16.07</v>
      </c>
      <c r="R191" s="11" t="str">
        <f t="shared" si="0"/>
        <v>TE</v>
      </c>
    </row>
    <row r="192" spans="1:18" ht="14.25" customHeight="1" x14ac:dyDescent="0.25">
      <c r="A192">
        <v>188</v>
      </c>
      <c r="B192" t="s">
        <v>479</v>
      </c>
      <c r="C192" t="s">
        <v>480</v>
      </c>
      <c r="D192" t="s">
        <v>233</v>
      </c>
      <c r="E192" t="s">
        <v>36</v>
      </c>
      <c r="F192">
        <v>196</v>
      </c>
      <c r="G192">
        <v>322</v>
      </c>
      <c r="H192">
        <v>240</v>
      </c>
      <c r="I192">
        <v>215</v>
      </c>
      <c r="J192" t="s">
        <v>36</v>
      </c>
      <c r="K192">
        <v>239</v>
      </c>
      <c r="L192">
        <v>249</v>
      </c>
      <c r="M192" t="s">
        <v>36</v>
      </c>
      <c r="N192">
        <v>171</v>
      </c>
      <c r="O192">
        <v>181</v>
      </c>
      <c r="P192">
        <v>19.079999999999998</v>
      </c>
      <c r="Q192">
        <v>16.079999999999998</v>
      </c>
      <c r="R192" s="11" t="str">
        <f t="shared" si="0"/>
        <v>QB</v>
      </c>
    </row>
    <row r="193" spans="1:18" ht="14.25" customHeight="1" x14ac:dyDescent="0.25">
      <c r="A193">
        <v>189</v>
      </c>
      <c r="B193" t="s">
        <v>481</v>
      </c>
      <c r="C193" t="s">
        <v>485</v>
      </c>
      <c r="D193" t="s">
        <v>123</v>
      </c>
      <c r="E193" t="s">
        <v>36</v>
      </c>
      <c r="F193">
        <v>221</v>
      </c>
      <c r="G193">
        <v>303</v>
      </c>
      <c r="H193">
        <v>234</v>
      </c>
      <c r="I193">
        <v>205</v>
      </c>
      <c r="J193" t="s">
        <v>36</v>
      </c>
      <c r="K193">
        <v>267</v>
      </c>
      <c r="L193">
        <v>209</v>
      </c>
      <c r="M193" t="s">
        <v>36</v>
      </c>
      <c r="N193">
        <v>178</v>
      </c>
      <c r="O193">
        <v>202</v>
      </c>
      <c r="P193">
        <v>19.09</v>
      </c>
      <c r="Q193">
        <v>16.09</v>
      </c>
      <c r="R193" s="11" t="str">
        <f t="shared" si="0"/>
        <v>QB</v>
      </c>
    </row>
    <row r="194" spans="1:18" ht="14.25" customHeight="1" x14ac:dyDescent="0.25">
      <c r="A194">
        <v>190</v>
      </c>
      <c r="B194" t="s">
        <v>488</v>
      </c>
      <c r="C194" t="s">
        <v>502</v>
      </c>
      <c r="D194" t="s">
        <v>91</v>
      </c>
      <c r="E194">
        <v>156</v>
      </c>
      <c r="F194">
        <v>127</v>
      </c>
      <c r="G194">
        <v>216</v>
      </c>
      <c r="H194">
        <v>222</v>
      </c>
      <c r="I194">
        <v>193</v>
      </c>
      <c r="J194" t="s">
        <v>36</v>
      </c>
      <c r="K194">
        <v>133</v>
      </c>
      <c r="L194">
        <v>181</v>
      </c>
      <c r="M194" t="s">
        <v>36</v>
      </c>
      <c r="N194" t="s">
        <v>36</v>
      </c>
      <c r="O194" t="s">
        <v>36</v>
      </c>
      <c r="P194">
        <v>19.100000000000001</v>
      </c>
      <c r="Q194">
        <v>16.100000000000001</v>
      </c>
      <c r="R194" s="11" t="str">
        <f t="shared" si="0"/>
        <v>DE</v>
      </c>
    </row>
    <row r="195" spans="1:18" ht="14.25" customHeight="1" x14ac:dyDescent="0.25">
      <c r="A195">
        <v>191</v>
      </c>
      <c r="B195" t="s">
        <v>492</v>
      </c>
      <c r="C195" t="s">
        <v>493</v>
      </c>
      <c r="D195" t="s">
        <v>78</v>
      </c>
      <c r="E195" t="s">
        <v>36</v>
      </c>
      <c r="F195" t="s">
        <v>36</v>
      </c>
      <c r="G195">
        <v>249</v>
      </c>
      <c r="H195">
        <v>165</v>
      </c>
      <c r="I195">
        <v>163</v>
      </c>
      <c r="J195" t="s">
        <v>36</v>
      </c>
      <c r="K195">
        <v>202</v>
      </c>
      <c r="L195">
        <v>152</v>
      </c>
      <c r="M195" t="s">
        <v>36</v>
      </c>
      <c r="N195">
        <v>148</v>
      </c>
      <c r="O195">
        <v>158</v>
      </c>
      <c r="P195">
        <v>20.010000000000002</v>
      </c>
      <c r="Q195">
        <v>16.11</v>
      </c>
      <c r="R195" s="11" t="str">
        <f t="shared" si="0"/>
        <v>WR</v>
      </c>
    </row>
    <row r="196" spans="1:18" ht="14.25" customHeight="1" x14ac:dyDescent="0.25">
      <c r="A196">
        <v>192</v>
      </c>
      <c r="B196" t="s">
        <v>496</v>
      </c>
      <c r="C196" t="s">
        <v>489</v>
      </c>
      <c r="D196" t="s">
        <v>233</v>
      </c>
      <c r="E196">
        <v>146</v>
      </c>
      <c r="F196">
        <v>114</v>
      </c>
      <c r="G196">
        <v>208</v>
      </c>
      <c r="H196">
        <v>219</v>
      </c>
      <c r="I196">
        <v>186</v>
      </c>
      <c r="J196" t="s">
        <v>36</v>
      </c>
      <c r="K196">
        <v>169</v>
      </c>
      <c r="L196">
        <v>199</v>
      </c>
      <c r="M196" t="s">
        <v>36</v>
      </c>
      <c r="N196" t="s">
        <v>36</v>
      </c>
      <c r="O196" t="s">
        <v>36</v>
      </c>
      <c r="P196">
        <v>20.02</v>
      </c>
      <c r="Q196">
        <v>16.12</v>
      </c>
      <c r="R196" s="11" t="str">
        <f t="shared" si="0"/>
        <v>DE</v>
      </c>
    </row>
    <row r="197" spans="1:18" ht="14.25" customHeight="1" x14ac:dyDescent="0.25">
      <c r="A197">
        <v>193</v>
      </c>
      <c r="B197" t="s">
        <v>501</v>
      </c>
      <c r="C197" t="s">
        <v>497</v>
      </c>
      <c r="D197" t="s">
        <v>104</v>
      </c>
      <c r="E197">
        <v>154</v>
      </c>
      <c r="F197">
        <v>150</v>
      </c>
      <c r="G197">
        <v>210</v>
      </c>
      <c r="H197">
        <v>221</v>
      </c>
      <c r="I197">
        <v>178</v>
      </c>
      <c r="J197" t="s">
        <v>36</v>
      </c>
      <c r="K197">
        <v>134</v>
      </c>
      <c r="L197">
        <v>200</v>
      </c>
      <c r="M197" t="s">
        <v>36</v>
      </c>
      <c r="N197" t="s">
        <v>36</v>
      </c>
      <c r="O197" t="s">
        <v>36</v>
      </c>
      <c r="P197">
        <v>20.03</v>
      </c>
      <c r="Q197">
        <v>17.010000000000002</v>
      </c>
      <c r="R197" s="11" t="str">
        <f t="shared" si="0"/>
        <v>DE</v>
      </c>
    </row>
    <row r="198" spans="1:18" ht="14.25" customHeight="1" x14ac:dyDescent="0.25">
      <c r="A198">
        <v>194</v>
      </c>
      <c r="B198" t="s">
        <v>494</v>
      </c>
      <c r="C198" t="s">
        <v>495</v>
      </c>
      <c r="D198" t="s">
        <v>145</v>
      </c>
      <c r="E198" t="s">
        <v>36</v>
      </c>
      <c r="F198" t="s">
        <v>36</v>
      </c>
      <c r="G198">
        <v>269</v>
      </c>
      <c r="H198">
        <v>171</v>
      </c>
      <c r="I198">
        <v>164</v>
      </c>
      <c r="J198" t="s">
        <v>36</v>
      </c>
      <c r="K198">
        <v>223</v>
      </c>
      <c r="L198">
        <v>145</v>
      </c>
      <c r="M198" t="s">
        <v>36</v>
      </c>
      <c r="N198">
        <v>155</v>
      </c>
      <c r="O198">
        <v>167</v>
      </c>
      <c r="P198">
        <v>20.04</v>
      </c>
      <c r="Q198">
        <v>17.02</v>
      </c>
      <c r="R198" s="11" t="str">
        <f t="shared" si="0"/>
        <v>WR</v>
      </c>
    </row>
    <row r="199" spans="1:18" ht="14.25" customHeight="1" x14ac:dyDescent="0.25">
      <c r="A199">
        <v>195</v>
      </c>
      <c r="B199" t="s">
        <v>490</v>
      </c>
      <c r="C199" t="s">
        <v>506</v>
      </c>
      <c r="D199" t="s">
        <v>66</v>
      </c>
      <c r="E199" t="s">
        <v>36</v>
      </c>
      <c r="F199" t="s">
        <v>36</v>
      </c>
      <c r="G199">
        <v>254</v>
      </c>
      <c r="H199">
        <v>163</v>
      </c>
      <c r="I199">
        <v>173</v>
      </c>
      <c r="J199" t="s">
        <v>36</v>
      </c>
      <c r="K199">
        <v>205</v>
      </c>
      <c r="L199">
        <v>159</v>
      </c>
      <c r="M199" t="s">
        <v>36</v>
      </c>
      <c r="N199">
        <v>174</v>
      </c>
      <c r="O199">
        <v>186</v>
      </c>
      <c r="P199">
        <v>20.05</v>
      </c>
      <c r="Q199">
        <v>17.03</v>
      </c>
      <c r="R199" s="11" t="str">
        <f t="shared" si="0"/>
        <v>RB</v>
      </c>
    </row>
    <row r="200" spans="1:18" ht="14.25" customHeight="1" x14ac:dyDescent="0.25">
      <c r="A200">
        <v>196</v>
      </c>
      <c r="B200" t="s">
        <v>511</v>
      </c>
      <c r="C200" t="s">
        <v>512</v>
      </c>
      <c r="D200" t="s">
        <v>72</v>
      </c>
      <c r="E200">
        <v>135</v>
      </c>
      <c r="F200">
        <v>190</v>
      </c>
      <c r="G200">
        <v>223</v>
      </c>
      <c r="H200">
        <v>229</v>
      </c>
      <c r="I200">
        <v>192</v>
      </c>
      <c r="J200" t="s">
        <v>36</v>
      </c>
      <c r="K200">
        <v>157</v>
      </c>
      <c r="L200">
        <v>189</v>
      </c>
      <c r="M200" t="s">
        <v>36</v>
      </c>
      <c r="N200" t="s">
        <v>36</v>
      </c>
      <c r="O200" t="s">
        <v>36</v>
      </c>
      <c r="P200">
        <v>20.059999999999999</v>
      </c>
      <c r="Q200">
        <v>17.04</v>
      </c>
      <c r="R200" s="11" t="str">
        <f t="shared" si="0"/>
        <v>DE</v>
      </c>
    </row>
    <row r="201" spans="1:18" ht="14.25" customHeight="1" x14ac:dyDescent="0.25">
      <c r="A201">
        <v>197</v>
      </c>
      <c r="B201" t="s">
        <v>515</v>
      </c>
      <c r="C201" t="s">
        <v>516</v>
      </c>
      <c r="D201" t="s">
        <v>199</v>
      </c>
      <c r="E201">
        <v>168</v>
      </c>
      <c r="F201">
        <v>177</v>
      </c>
      <c r="G201">
        <v>219</v>
      </c>
      <c r="H201">
        <v>218</v>
      </c>
      <c r="I201">
        <v>179</v>
      </c>
      <c r="J201" t="s">
        <v>36</v>
      </c>
      <c r="K201">
        <v>158</v>
      </c>
      <c r="L201">
        <v>198</v>
      </c>
      <c r="M201" t="s">
        <v>36</v>
      </c>
      <c r="N201" t="s">
        <v>36</v>
      </c>
      <c r="O201" t="s">
        <v>36</v>
      </c>
      <c r="P201">
        <v>20.07</v>
      </c>
      <c r="Q201">
        <v>17.05</v>
      </c>
      <c r="R201" s="11" t="str">
        <f t="shared" si="0"/>
        <v>DE</v>
      </c>
    </row>
    <row r="202" spans="1:18" ht="14.25" customHeight="1" x14ac:dyDescent="0.25">
      <c r="A202">
        <v>198</v>
      </c>
      <c r="B202" t="s">
        <v>518</v>
      </c>
      <c r="C202" t="s">
        <v>519</v>
      </c>
      <c r="D202" t="s">
        <v>88</v>
      </c>
      <c r="E202">
        <v>166</v>
      </c>
      <c r="F202">
        <v>170</v>
      </c>
      <c r="G202">
        <v>230</v>
      </c>
      <c r="H202">
        <v>212</v>
      </c>
      <c r="I202">
        <v>187</v>
      </c>
      <c r="J202" t="s">
        <v>36</v>
      </c>
      <c r="K202">
        <v>156</v>
      </c>
      <c r="L202">
        <v>233</v>
      </c>
      <c r="M202" t="s">
        <v>36</v>
      </c>
      <c r="N202" t="s">
        <v>36</v>
      </c>
      <c r="O202" t="s">
        <v>36</v>
      </c>
      <c r="P202">
        <v>20.079999999999998</v>
      </c>
      <c r="Q202">
        <v>17.059999999999999</v>
      </c>
      <c r="R202" s="11" t="str">
        <f t="shared" si="0"/>
        <v>DE</v>
      </c>
    </row>
    <row r="203" spans="1:18" ht="14.25" customHeight="1" x14ac:dyDescent="0.25">
      <c r="A203">
        <v>199</v>
      </c>
      <c r="B203" t="s">
        <v>503</v>
      </c>
      <c r="C203" t="s">
        <v>514</v>
      </c>
      <c r="D203" t="s">
        <v>69</v>
      </c>
      <c r="E203" t="s">
        <v>36</v>
      </c>
      <c r="F203" t="s">
        <v>36</v>
      </c>
      <c r="G203">
        <v>266</v>
      </c>
      <c r="H203">
        <v>188</v>
      </c>
      <c r="I203">
        <v>169</v>
      </c>
      <c r="J203" t="s">
        <v>36</v>
      </c>
      <c r="K203">
        <v>233</v>
      </c>
      <c r="L203">
        <v>172</v>
      </c>
      <c r="M203" t="s">
        <v>36</v>
      </c>
      <c r="N203">
        <v>164</v>
      </c>
      <c r="O203">
        <v>170</v>
      </c>
      <c r="P203">
        <v>20.09</v>
      </c>
      <c r="Q203">
        <v>17.07</v>
      </c>
      <c r="R203" s="11" t="str">
        <f t="shared" si="0"/>
        <v>WR</v>
      </c>
    </row>
    <row r="204" spans="1:18" ht="14.25" customHeight="1" x14ac:dyDescent="0.25">
      <c r="A204">
        <v>200</v>
      </c>
      <c r="B204" t="s">
        <v>507</v>
      </c>
      <c r="C204" t="s">
        <v>504</v>
      </c>
      <c r="D204" t="s">
        <v>88</v>
      </c>
      <c r="E204" t="s">
        <v>36</v>
      </c>
      <c r="F204" t="s">
        <v>36</v>
      </c>
      <c r="G204">
        <v>296</v>
      </c>
      <c r="H204">
        <v>184</v>
      </c>
      <c r="I204">
        <v>161</v>
      </c>
      <c r="J204" t="s">
        <v>36</v>
      </c>
      <c r="K204">
        <v>229</v>
      </c>
      <c r="L204">
        <v>184</v>
      </c>
      <c r="M204" t="s">
        <v>36</v>
      </c>
      <c r="N204">
        <v>161</v>
      </c>
      <c r="O204">
        <v>159</v>
      </c>
      <c r="P204">
        <v>20.100000000000001</v>
      </c>
      <c r="Q204">
        <v>17.079999999999998</v>
      </c>
      <c r="R204" s="11" t="str">
        <f t="shared" si="0"/>
        <v>WR</v>
      </c>
    </row>
    <row r="205" spans="1:18" ht="14.25" customHeight="1" x14ac:dyDescent="0.25">
      <c r="A205">
        <v>201</v>
      </c>
      <c r="B205" t="s">
        <v>509</v>
      </c>
      <c r="C205" t="s">
        <v>510</v>
      </c>
      <c r="D205" t="s">
        <v>145</v>
      </c>
      <c r="E205" t="s">
        <v>36</v>
      </c>
      <c r="F205" t="s">
        <v>36</v>
      </c>
      <c r="G205">
        <v>239</v>
      </c>
      <c r="H205">
        <v>210</v>
      </c>
      <c r="I205">
        <v>198</v>
      </c>
      <c r="J205" t="s">
        <v>36</v>
      </c>
      <c r="K205">
        <v>197</v>
      </c>
      <c r="L205">
        <v>192</v>
      </c>
      <c r="M205" t="s">
        <v>36</v>
      </c>
      <c r="N205">
        <v>184</v>
      </c>
      <c r="O205">
        <v>172</v>
      </c>
      <c r="P205">
        <v>21.01</v>
      </c>
      <c r="Q205">
        <v>17.09</v>
      </c>
      <c r="R205" s="11" t="str">
        <f t="shared" si="0"/>
        <v>WR</v>
      </c>
    </row>
    <row r="206" spans="1:18" ht="14.25" customHeight="1" x14ac:dyDescent="0.25">
      <c r="A206">
        <v>202</v>
      </c>
      <c r="B206" t="s">
        <v>531</v>
      </c>
      <c r="C206" t="s">
        <v>499</v>
      </c>
      <c r="D206" t="s">
        <v>88</v>
      </c>
      <c r="E206" t="s">
        <v>36</v>
      </c>
      <c r="F206" t="s">
        <v>36</v>
      </c>
      <c r="G206">
        <v>233</v>
      </c>
      <c r="H206">
        <v>183</v>
      </c>
      <c r="I206">
        <v>194</v>
      </c>
      <c r="J206" t="s">
        <v>36</v>
      </c>
      <c r="K206">
        <v>172</v>
      </c>
      <c r="L206">
        <v>217</v>
      </c>
      <c r="M206" t="s">
        <v>36</v>
      </c>
      <c r="N206">
        <v>215</v>
      </c>
      <c r="O206">
        <v>198</v>
      </c>
      <c r="P206">
        <v>21.02</v>
      </c>
      <c r="Q206">
        <v>17.100000000000001</v>
      </c>
      <c r="R206" s="11" t="str">
        <f t="shared" si="0"/>
        <v>TE</v>
      </c>
    </row>
    <row r="207" spans="1:18" ht="14.25" customHeight="1" x14ac:dyDescent="0.25">
      <c r="A207">
        <v>203</v>
      </c>
      <c r="B207" t="s">
        <v>484</v>
      </c>
      <c r="C207" t="s">
        <v>482</v>
      </c>
      <c r="D207" t="s">
        <v>94</v>
      </c>
      <c r="E207" t="s">
        <v>36</v>
      </c>
      <c r="F207">
        <v>188</v>
      </c>
      <c r="G207" t="s">
        <v>36</v>
      </c>
      <c r="H207">
        <v>242</v>
      </c>
      <c r="I207">
        <v>230</v>
      </c>
      <c r="J207" t="s">
        <v>36</v>
      </c>
      <c r="K207">
        <v>204</v>
      </c>
      <c r="L207">
        <v>214</v>
      </c>
      <c r="M207" t="s">
        <v>36</v>
      </c>
      <c r="N207">
        <v>196</v>
      </c>
      <c r="O207">
        <v>191</v>
      </c>
      <c r="P207">
        <v>21.03</v>
      </c>
      <c r="Q207">
        <v>17.11</v>
      </c>
      <c r="R207" s="11" t="str">
        <f t="shared" si="0"/>
        <v>QB</v>
      </c>
    </row>
    <row r="208" spans="1:18" ht="14.25" customHeight="1" x14ac:dyDescent="0.25">
      <c r="A208">
        <v>204</v>
      </c>
      <c r="B208" t="s">
        <v>526</v>
      </c>
      <c r="C208" t="s">
        <v>527</v>
      </c>
      <c r="D208" t="s">
        <v>69</v>
      </c>
      <c r="E208">
        <v>105</v>
      </c>
      <c r="F208">
        <v>70</v>
      </c>
      <c r="G208">
        <v>130</v>
      </c>
      <c r="H208">
        <v>190</v>
      </c>
      <c r="I208" t="s">
        <v>36</v>
      </c>
      <c r="J208" t="s">
        <v>36</v>
      </c>
      <c r="K208">
        <v>135</v>
      </c>
      <c r="L208">
        <v>153</v>
      </c>
      <c r="M208" t="s">
        <v>36</v>
      </c>
      <c r="N208" t="s">
        <v>36</v>
      </c>
      <c r="O208" t="s">
        <v>36</v>
      </c>
      <c r="P208">
        <v>21.04</v>
      </c>
      <c r="Q208">
        <v>17.12</v>
      </c>
      <c r="R208" s="11" t="str">
        <f t="shared" si="0"/>
        <v>K-</v>
      </c>
    </row>
    <row r="209" spans="1:18" ht="14.25" customHeight="1" x14ac:dyDescent="0.25">
      <c r="A209">
        <v>205</v>
      </c>
      <c r="B209" t="s">
        <v>535</v>
      </c>
      <c r="C209" t="s">
        <v>532</v>
      </c>
      <c r="D209" t="s">
        <v>163</v>
      </c>
      <c r="E209">
        <v>193</v>
      </c>
      <c r="F209" t="s">
        <v>36</v>
      </c>
      <c r="G209" t="s">
        <v>36</v>
      </c>
      <c r="H209">
        <v>185</v>
      </c>
      <c r="I209">
        <v>237</v>
      </c>
      <c r="J209" t="s">
        <v>36</v>
      </c>
      <c r="K209">
        <v>257</v>
      </c>
      <c r="L209">
        <v>223</v>
      </c>
      <c r="M209" t="s">
        <v>36</v>
      </c>
      <c r="N209">
        <v>191</v>
      </c>
      <c r="O209">
        <v>192</v>
      </c>
      <c r="P209">
        <v>21.05</v>
      </c>
      <c r="Q209">
        <v>18.010000000000002</v>
      </c>
      <c r="R209" s="11" t="str">
        <f t="shared" si="0"/>
        <v>TE</v>
      </c>
    </row>
    <row r="210" spans="1:18" ht="14.25" customHeight="1" x14ac:dyDescent="0.25">
      <c r="A210">
        <v>206</v>
      </c>
      <c r="B210" t="s">
        <v>522</v>
      </c>
      <c r="C210" t="s">
        <v>523</v>
      </c>
      <c r="D210" t="s">
        <v>35</v>
      </c>
      <c r="E210">
        <v>182</v>
      </c>
      <c r="F210">
        <v>153</v>
      </c>
      <c r="G210">
        <v>279</v>
      </c>
      <c r="H210">
        <v>237</v>
      </c>
      <c r="I210">
        <v>227</v>
      </c>
      <c r="J210" t="s">
        <v>36</v>
      </c>
      <c r="K210">
        <v>173</v>
      </c>
      <c r="L210">
        <v>237</v>
      </c>
      <c r="M210" t="s">
        <v>36</v>
      </c>
      <c r="N210" t="s">
        <v>36</v>
      </c>
      <c r="O210" t="s">
        <v>36</v>
      </c>
      <c r="P210">
        <v>21.06</v>
      </c>
      <c r="Q210">
        <v>18.02</v>
      </c>
      <c r="R210" s="11" t="str">
        <f t="shared" si="0"/>
        <v>DE</v>
      </c>
    </row>
    <row r="211" spans="1:18" ht="14.25" customHeight="1" x14ac:dyDescent="0.25">
      <c r="A211">
        <v>207</v>
      </c>
      <c r="B211" t="s">
        <v>505</v>
      </c>
      <c r="C211" t="s">
        <v>525</v>
      </c>
      <c r="D211" t="s">
        <v>88</v>
      </c>
      <c r="E211" t="s">
        <v>36</v>
      </c>
      <c r="F211" t="s">
        <v>36</v>
      </c>
      <c r="G211">
        <v>281</v>
      </c>
      <c r="H211">
        <v>182</v>
      </c>
      <c r="I211">
        <v>188</v>
      </c>
      <c r="J211" t="s">
        <v>36</v>
      </c>
      <c r="K211">
        <v>228</v>
      </c>
      <c r="L211">
        <v>213</v>
      </c>
      <c r="M211" t="s">
        <v>36</v>
      </c>
      <c r="N211">
        <v>192</v>
      </c>
      <c r="O211">
        <v>208</v>
      </c>
      <c r="P211">
        <v>21.07</v>
      </c>
      <c r="Q211">
        <v>18.03</v>
      </c>
      <c r="R211" s="11" t="str">
        <f t="shared" si="0"/>
        <v>RB</v>
      </c>
    </row>
    <row r="212" spans="1:18" ht="14.25" customHeight="1" x14ac:dyDescent="0.25">
      <c r="A212">
        <v>208</v>
      </c>
      <c r="B212" t="s">
        <v>513</v>
      </c>
      <c r="C212" t="s">
        <v>584</v>
      </c>
      <c r="D212" t="s">
        <v>81</v>
      </c>
      <c r="E212" t="s">
        <v>36</v>
      </c>
      <c r="F212" t="s">
        <v>36</v>
      </c>
      <c r="G212">
        <v>329</v>
      </c>
      <c r="H212">
        <v>180</v>
      </c>
      <c r="I212">
        <v>204</v>
      </c>
      <c r="J212" t="s">
        <v>36</v>
      </c>
      <c r="K212">
        <v>215</v>
      </c>
      <c r="L212">
        <v>206</v>
      </c>
      <c r="M212" t="s">
        <v>36</v>
      </c>
      <c r="N212">
        <v>170</v>
      </c>
      <c r="O212">
        <v>193</v>
      </c>
      <c r="P212">
        <v>21.08</v>
      </c>
      <c r="Q212">
        <v>18.04</v>
      </c>
      <c r="R212" s="11" t="str">
        <f t="shared" si="0"/>
        <v>WR</v>
      </c>
    </row>
    <row r="213" spans="1:18" ht="14.25" customHeight="1" x14ac:dyDescent="0.25">
      <c r="A213">
        <v>209</v>
      </c>
      <c r="B213" t="s">
        <v>533</v>
      </c>
      <c r="C213" t="s">
        <v>534</v>
      </c>
      <c r="D213" t="s">
        <v>126</v>
      </c>
      <c r="E213" t="s">
        <v>36</v>
      </c>
      <c r="F213" t="s">
        <v>36</v>
      </c>
      <c r="G213">
        <v>330</v>
      </c>
      <c r="H213">
        <v>189</v>
      </c>
      <c r="I213">
        <v>190</v>
      </c>
      <c r="J213" t="s">
        <v>36</v>
      </c>
      <c r="K213">
        <v>199</v>
      </c>
      <c r="L213">
        <v>225</v>
      </c>
      <c r="M213" t="s">
        <v>36</v>
      </c>
      <c r="N213">
        <v>186</v>
      </c>
      <c r="O213">
        <v>187</v>
      </c>
      <c r="P213">
        <v>21.09</v>
      </c>
      <c r="Q213">
        <v>18.05</v>
      </c>
      <c r="R213" s="11" t="str">
        <f t="shared" si="0"/>
        <v>WR</v>
      </c>
    </row>
    <row r="214" spans="1:18" ht="14.25" customHeight="1" x14ac:dyDescent="0.25">
      <c r="A214">
        <v>210</v>
      </c>
      <c r="B214" t="s">
        <v>520</v>
      </c>
      <c r="C214" t="s">
        <v>530</v>
      </c>
      <c r="D214" t="s">
        <v>91</v>
      </c>
      <c r="E214" t="s">
        <v>36</v>
      </c>
      <c r="F214" t="s">
        <v>36</v>
      </c>
      <c r="G214">
        <v>242</v>
      </c>
      <c r="H214">
        <v>178</v>
      </c>
      <c r="I214">
        <v>213</v>
      </c>
      <c r="J214" t="s">
        <v>36</v>
      </c>
      <c r="K214">
        <v>218</v>
      </c>
      <c r="L214">
        <v>246</v>
      </c>
      <c r="M214" t="s">
        <v>36</v>
      </c>
      <c r="N214">
        <v>201</v>
      </c>
      <c r="O214">
        <v>219</v>
      </c>
      <c r="P214">
        <v>21.1</v>
      </c>
      <c r="Q214">
        <v>18.059999999999999</v>
      </c>
      <c r="R214" s="11" t="str">
        <f t="shared" si="0"/>
        <v>RB</v>
      </c>
    </row>
    <row r="215" spans="1:18" ht="14.25" customHeight="1" x14ac:dyDescent="0.25">
      <c r="A215">
        <v>211</v>
      </c>
      <c r="B215" t="s">
        <v>538</v>
      </c>
      <c r="C215" t="s">
        <v>465</v>
      </c>
      <c r="D215" t="s">
        <v>116</v>
      </c>
      <c r="E215" t="s">
        <v>36</v>
      </c>
      <c r="F215">
        <v>169</v>
      </c>
      <c r="G215">
        <v>286</v>
      </c>
      <c r="H215">
        <v>241</v>
      </c>
      <c r="I215">
        <v>216</v>
      </c>
      <c r="J215" t="s">
        <v>36</v>
      </c>
      <c r="K215">
        <v>194</v>
      </c>
      <c r="L215" t="s">
        <v>36</v>
      </c>
      <c r="M215" t="s">
        <v>36</v>
      </c>
      <c r="N215">
        <v>236</v>
      </c>
      <c r="O215">
        <v>190</v>
      </c>
      <c r="P215">
        <v>22.01</v>
      </c>
      <c r="Q215">
        <v>18.07</v>
      </c>
      <c r="R215" s="11" t="str">
        <f t="shared" si="0"/>
        <v>WR</v>
      </c>
    </row>
    <row r="216" spans="1:18" ht="14.25" customHeight="1" x14ac:dyDescent="0.25">
      <c r="A216">
        <v>212</v>
      </c>
      <c r="B216" t="s">
        <v>548</v>
      </c>
      <c r="C216" t="s">
        <v>478</v>
      </c>
      <c r="D216" t="s">
        <v>229</v>
      </c>
      <c r="E216">
        <v>194</v>
      </c>
      <c r="F216" t="s">
        <v>36</v>
      </c>
      <c r="G216">
        <v>280</v>
      </c>
      <c r="H216">
        <v>217</v>
      </c>
      <c r="I216">
        <v>226</v>
      </c>
      <c r="J216" t="s">
        <v>36</v>
      </c>
      <c r="K216">
        <v>265</v>
      </c>
      <c r="L216" t="s">
        <v>36</v>
      </c>
      <c r="M216" t="s">
        <v>36</v>
      </c>
      <c r="N216">
        <v>194</v>
      </c>
      <c r="O216">
        <v>203</v>
      </c>
      <c r="P216">
        <v>22.02</v>
      </c>
      <c r="Q216">
        <v>18.079999999999998</v>
      </c>
      <c r="R216" s="11" t="str">
        <f t="shared" si="0"/>
        <v>WR</v>
      </c>
    </row>
    <row r="217" spans="1:18" ht="14.25" customHeight="1" x14ac:dyDescent="0.25">
      <c r="A217">
        <v>213</v>
      </c>
      <c r="B217" t="s">
        <v>524</v>
      </c>
      <c r="C217" t="s">
        <v>491</v>
      </c>
      <c r="D217" t="s">
        <v>55</v>
      </c>
      <c r="E217">
        <v>208</v>
      </c>
      <c r="F217" t="s">
        <v>36</v>
      </c>
      <c r="G217" t="s">
        <v>36</v>
      </c>
      <c r="H217">
        <v>207</v>
      </c>
      <c r="I217">
        <v>221</v>
      </c>
      <c r="J217" t="s">
        <v>36</v>
      </c>
      <c r="K217">
        <v>222</v>
      </c>
      <c r="L217">
        <v>242</v>
      </c>
      <c r="M217" t="s">
        <v>36</v>
      </c>
      <c r="N217">
        <v>259</v>
      </c>
      <c r="O217">
        <v>229</v>
      </c>
      <c r="P217">
        <v>22.03</v>
      </c>
      <c r="Q217">
        <v>18.09</v>
      </c>
      <c r="R217" s="11" t="str">
        <f t="shared" si="0"/>
        <v>RB</v>
      </c>
    </row>
    <row r="218" spans="1:18" ht="14.25" customHeight="1" x14ac:dyDescent="0.25">
      <c r="A218">
        <v>214</v>
      </c>
      <c r="B218" t="s">
        <v>559</v>
      </c>
      <c r="C218" t="s">
        <v>560</v>
      </c>
      <c r="D218" t="s">
        <v>116</v>
      </c>
      <c r="E218">
        <v>133</v>
      </c>
      <c r="F218">
        <v>116</v>
      </c>
      <c r="G218">
        <v>172</v>
      </c>
      <c r="H218">
        <v>206</v>
      </c>
      <c r="I218" t="s">
        <v>36</v>
      </c>
      <c r="J218" t="s">
        <v>36</v>
      </c>
      <c r="K218">
        <v>140</v>
      </c>
      <c r="L218">
        <v>168</v>
      </c>
      <c r="M218" t="s">
        <v>36</v>
      </c>
      <c r="N218" t="s">
        <v>36</v>
      </c>
      <c r="O218" t="s">
        <v>36</v>
      </c>
      <c r="P218">
        <v>22.04</v>
      </c>
      <c r="Q218">
        <v>18.100000000000001</v>
      </c>
      <c r="R218" s="11" t="str">
        <f t="shared" si="0"/>
        <v>K-</v>
      </c>
    </row>
    <row r="219" spans="1:18" ht="14.25" customHeight="1" x14ac:dyDescent="0.25">
      <c r="A219">
        <v>215</v>
      </c>
      <c r="B219" t="s">
        <v>546</v>
      </c>
      <c r="C219" t="s">
        <v>551</v>
      </c>
      <c r="D219" t="s">
        <v>85</v>
      </c>
      <c r="E219">
        <v>205</v>
      </c>
      <c r="F219">
        <v>174</v>
      </c>
      <c r="G219">
        <v>300</v>
      </c>
      <c r="H219">
        <v>272</v>
      </c>
      <c r="I219">
        <v>232</v>
      </c>
      <c r="J219" t="s">
        <v>36</v>
      </c>
      <c r="K219">
        <v>221</v>
      </c>
      <c r="L219">
        <v>239</v>
      </c>
      <c r="M219" t="s">
        <v>36</v>
      </c>
      <c r="N219" t="s">
        <v>36</v>
      </c>
      <c r="O219" t="s">
        <v>36</v>
      </c>
      <c r="P219">
        <v>22.05</v>
      </c>
      <c r="Q219">
        <v>18.11</v>
      </c>
      <c r="R219" s="11" t="str">
        <f t="shared" si="0"/>
        <v>DE</v>
      </c>
    </row>
    <row r="220" spans="1:18" ht="14.25" customHeight="1" x14ac:dyDescent="0.25">
      <c r="A220">
        <v>216</v>
      </c>
      <c r="B220" t="s">
        <v>550</v>
      </c>
      <c r="C220" t="s">
        <v>547</v>
      </c>
      <c r="D220" t="s">
        <v>214</v>
      </c>
      <c r="E220">
        <v>207</v>
      </c>
      <c r="F220">
        <v>208</v>
      </c>
      <c r="G220">
        <v>291</v>
      </c>
      <c r="H220">
        <v>263</v>
      </c>
      <c r="I220">
        <v>229</v>
      </c>
      <c r="J220" t="s">
        <v>36</v>
      </c>
      <c r="K220">
        <v>208</v>
      </c>
      <c r="L220">
        <v>240</v>
      </c>
      <c r="M220" t="s">
        <v>36</v>
      </c>
      <c r="N220" t="s">
        <v>36</v>
      </c>
      <c r="O220" t="s">
        <v>36</v>
      </c>
      <c r="P220">
        <v>22.06</v>
      </c>
      <c r="Q220">
        <v>18.12</v>
      </c>
      <c r="R220" s="11" t="str">
        <f t="shared" si="0"/>
        <v>DE</v>
      </c>
    </row>
    <row r="221" spans="1:18" ht="14.25" customHeight="1" x14ac:dyDescent="0.25">
      <c r="A221">
        <v>217</v>
      </c>
      <c r="B221" t="s">
        <v>552</v>
      </c>
      <c r="C221" t="s">
        <v>539</v>
      </c>
      <c r="D221" t="s">
        <v>39</v>
      </c>
      <c r="E221" t="s">
        <v>36</v>
      </c>
      <c r="F221" t="s">
        <v>36</v>
      </c>
      <c r="G221">
        <v>346</v>
      </c>
      <c r="H221">
        <v>251</v>
      </c>
      <c r="I221">
        <v>222</v>
      </c>
      <c r="J221" t="s">
        <v>36</v>
      </c>
      <c r="K221">
        <v>232</v>
      </c>
      <c r="L221">
        <v>212</v>
      </c>
      <c r="M221" t="s">
        <v>36</v>
      </c>
      <c r="N221">
        <v>205</v>
      </c>
      <c r="O221">
        <v>201</v>
      </c>
      <c r="P221">
        <v>22.07</v>
      </c>
      <c r="Q221">
        <v>19.010000000000002</v>
      </c>
      <c r="R221" s="11" t="str">
        <f t="shared" si="0"/>
        <v>WR</v>
      </c>
    </row>
    <row r="222" spans="1:18" ht="14.25" customHeight="1" x14ac:dyDescent="0.25">
      <c r="A222">
        <v>218</v>
      </c>
      <c r="B222" t="s">
        <v>563</v>
      </c>
      <c r="C222" t="s">
        <v>564</v>
      </c>
      <c r="D222" t="s">
        <v>52</v>
      </c>
      <c r="E222">
        <v>126</v>
      </c>
      <c r="F222">
        <v>106</v>
      </c>
      <c r="G222">
        <v>200</v>
      </c>
      <c r="H222">
        <v>208</v>
      </c>
      <c r="I222" t="s">
        <v>36</v>
      </c>
      <c r="J222" t="s">
        <v>36</v>
      </c>
      <c r="K222">
        <v>139</v>
      </c>
      <c r="L222">
        <v>188</v>
      </c>
      <c r="M222" t="s">
        <v>36</v>
      </c>
      <c r="N222" t="s">
        <v>36</v>
      </c>
      <c r="O222" t="s">
        <v>36</v>
      </c>
      <c r="P222">
        <v>22.08</v>
      </c>
      <c r="Q222">
        <v>19.02</v>
      </c>
      <c r="R222" s="11" t="str">
        <f t="shared" si="0"/>
        <v>K-</v>
      </c>
    </row>
    <row r="223" spans="1:18" ht="14.25" customHeight="1" x14ac:dyDescent="0.25">
      <c r="A223">
        <v>219</v>
      </c>
      <c r="B223" t="s">
        <v>567</v>
      </c>
      <c r="C223" t="s">
        <v>568</v>
      </c>
      <c r="D223" t="s">
        <v>88</v>
      </c>
      <c r="E223">
        <v>147</v>
      </c>
      <c r="F223">
        <v>101</v>
      </c>
      <c r="G223">
        <v>207</v>
      </c>
      <c r="H223">
        <v>213</v>
      </c>
      <c r="I223" t="s">
        <v>36</v>
      </c>
      <c r="J223" t="s">
        <v>36</v>
      </c>
      <c r="K223">
        <v>138</v>
      </c>
      <c r="L223">
        <v>178</v>
      </c>
      <c r="M223" t="s">
        <v>36</v>
      </c>
      <c r="N223" t="s">
        <v>36</v>
      </c>
      <c r="O223" t="s">
        <v>36</v>
      </c>
      <c r="P223">
        <v>22.09</v>
      </c>
      <c r="Q223">
        <v>19.03</v>
      </c>
      <c r="R223" s="11" t="str">
        <f t="shared" si="0"/>
        <v>K-</v>
      </c>
    </row>
    <row r="224" spans="1:18" ht="14.25" customHeight="1" x14ac:dyDescent="0.25">
      <c r="A224">
        <v>220</v>
      </c>
      <c r="B224" t="s">
        <v>571</v>
      </c>
      <c r="C224" t="s">
        <v>553</v>
      </c>
      <c r="D224" t="s">
        <v>184</v>
      </c>
      <c r="E224" t="s">
        <v>36</v>
      </c>
      <c r="F224" t="s">
        <v>36</v>
      </c>
      <c r="G224">
        <v>272</v>
      </c>
      <c r="H224">
        <v>261</v>
      </c>
      <c r="I224">
        <v>219</v>
      </c>
      <c r="J224" t="s">
        <v>36</v>
      </c>
      <c r="K224">
        <v>243</v>
      </c>
      <c r="L224">
        <v>238</v>
      </c>
      <c r="M224" t="s">
        <v>36</v>
      </c>
      <c r="N224">
        <v>241</v>
      </c>
      <c r="O224">
        <v>226</v>
      </c>
      <c r="P224">
        <v>22.1</v>
      </c>
      <c r="Q224">
        <v>19.04</v>
      </c>
      <c r="R224" s="11" t="str">
        <f t="shared" si="0"/>
        <v>WR</v>
      </c>
    </row>
    <row r="225" spans="1:18" ht="14.25" customHeight="1" x14ac:dyDescent="0.25">
      <c r="A225">
        <v>221</v>
      </c>
      <c r="B225" t="s">
        <v>573</v>
      </c>
      <c r="C225" t="s">
        <v>574</v>
      </c>
      <c r="D225" t="s">
        <v>199</v>
      </c>
      <c r="E225">
        <v>153</v>
      </c>
      <c r="F225">
        <v>138</v>
      </c>
      <c r="G225">
        <v>203</v>
      </c>
      <c r="H225">
        <v>216</v>
      </c>
      <c r="I225" t="s">
        <v>36</v>
      </c>
      <c r="J225" t="s">
        <v>36</v>
      </c>
      <c r="K225">
        <v>146</v>
      </c>
      <c r="L225">
        <v>194</v>
      </c>
      <c r="M225" t="s">
        <v>36</v>
      </c>
      <c r="N225" t="s">
        <v>36</v>
      </c>
      <c r="O225" t="s">
        <v>36</v>
      </c>
      <c r="P225">
        <v>23.01</v>
      </c>
      <c r="Q225">
        <v>19.05</v>
      </c>
      <c r="R225" s="11" t="str">
        <f t="shared" si="0"/>
        <v>K-</v>
      </c>
    </row>
    <row r="226" spans="1:18" ht="14.25" customHeight="1" x14ac:dyDescent="0.25">
      <c r="A226">
        <v>222</v>
      </c>
      <c r="B226" t="s">
        <v>575</v>
      </c>
      <c r="C226" t="s">
        <v>576</v>
      </c>
      <c r="D226" t="s">
        <v>168</v>
      </c>
      <c r="E226" t="s">
        <v>36</v>
      </c>
      <c r="F226" t="s">
        <v>36</v>
      </c>
      <c r="G226" t="s">
        <v>36</v>
      </c>
      <c r="H226">
        <v>186</v>
      </c>
      <c r="I226">
        <v>184</v>
      </c>
      <c r="J226" t="s">
        <v>36</v>
      </c>
      <c r="K226">
        <v>226</v>
      </c>
      <c r="L226">
        <v>171</v>
      </c>
      <c r="M226" t="s">
        <v>36</v>
      </c>
      <c r="N226">
        <v>168</v>
      </c>
      <c r="O226">
        <v>171</v>
      </c>
      <c r="P226">
        <v>23.02</v>
      </c>
      <c r="Q226">
        <v>19.059999999999999</v>
      </c>
      <c r="R226" s="11" t="str">
        <f t="shared" si="0"/>
        <v>WR</v>
      </c>
    </row>
    <row r="227" spans="1:18" ht="14.25" customHeight="1" x14ac:dyDescent="0.25">
      <c r="A227">
        <v>223</v>
      </c>
      <c r="B227" t="s">
        <v>577</v>
      </c>
      <c r="C227" t="s">
        <v>578</v>
      </c>
      <c r="D227" t="s">
        <v>35</v>
      </c>
      <c r="E227">
        <v>170</v>
      </c>
      <c r="F227">
        <v>156</v>
      </c>
      <c r="G227">
        <v>229</v>
      </c>
      <c r="H227">
        <v>230</v>
      </c>
      <c r="I227" t="s">
        <v>36</v>
      </c>
      <c r="J227" t="s">
        <v>36</v>
      </c>
      <c r="K227">
        <v>154</v>
      </c>
      <c r="L227">
        <v>235</v>
      </c>
      <c r="M227" t="s">
        <v>36</v>
      </c>
      <c r="N227" t="s">
        <v>36</v>
      </c>
      <c r="O227" t="s">
        <v>36</v>
      </c>
      <c r="P227">
        <v>23.03</v>
      </c>
      <c r="Q227">
        <v>19.07</v>
      </c>
      <c r="R227" s="11" t="str">
        <f t="shared" si="0"/>
        <v>K-</v>
      </c>
    </row>
    <row r="228" spans="1:18" ht="14.25" customHeight="1" x14ac:dyDescent="0.25">
      <c r="A228">
        <v>224</v>
      </c>
      <c r="B228" t="s">
        <v>581</v>
      </c>
      <c r="C228" t="s">
        <v>582</v>
      </c>
      <c r="D228" t="s">
        <v>55</v>
      </c>
      <c r="E228">
        <v>187</v>
      </c>
      <c r="F228">
        <v>140</v>
      </c>
      <c r="G228">
        <v>263</v>
      </c>
      <c r="H228">
        <v>232</v>
      </c>
      <c r="I228" t="s">
        <v>36</v>
      </c>
      <c r="J228" t="s">
        <v>36</v>
      </c>
      <c r="K228">
        <v>175</v>
      </c>
      <c r="L228">
        <v>220</v>
      </c>
      <c r="M228" t="s">
        <v>36</v>
      </c>
      <c r="N228" t="s">
        <v>36</v>
      </c>
      <c r="O228" t="s">
        <v>36</v>
      </c>
      <c r="P228">
        <v>23.04</v>
      </c>
      <c r="Q228">
        <v>19.079999999999998</v>
      </c>
      <c r="R228" s="11" t="str">
        <f t="shared" si="0"/>
        <v>K-</v>
      </c>
    </row>
    <row r="229" spans="1:18" ht="14.25" customHeight="1" x14ac:dyDescent="0.25">
      <c r="A229">
        <v>225</v>
      </c>
      <c r="B229" t="s">
        <v>585</v>
      </c>
      <c r="C229" t="s">
        <v>586</v>
      </c>
      <c r="D229" t="s">
        <v>91</v>
      </c>
      <c r="E229">
        <v>211</v>
      </c>
      <c r="F229">
        <v>172</v>
      </c>
      <c r="G229">
        <v>231</v>
      </c>
      <c r="H229">
        <v>247</v>
      </c>
      <c r="I229" t="s">
        <v>36</v>
      </c>
      <c r="J229" t="s">
        <v>36</v>
      </c>
      <c r="K229">
        <v>190</v>
      </c>
      <c r="L229">
        <v>202</v>
      </c>
      <c r="M229" t="s">
        <v>36</v>
      </c>
      <c r="N229" t="s">
        <v>36</v>
      </c>
      <c r="O229" t="s">
        <v>36</v>
      </c>
      <c r="P229">
        <v>23.05</v>
      </c>
      <c r="Q229">
        <v>19.09</v>
      </c>
      <c r="R229" s="11" t="str">
        <f t="shared" si="0"/>
        <v>K-</v>
      </c>
    </row>
    <row r="230" spans="1:18" ht="14.25" customHeight="1" x14ac:dyDescent="0.25">
      <c r="A230">
        <v>226</v>
      </c>
      <c r="B230" t="s">
        <v>529</v>
      </c>
      <c r="C230" t="s">
        <v>543</v>
      </c>
      <c r="D230" t="s">
        <v>229</v>
      </c>
      <c r="E230" t="s">
        <v>36</v>
      </c>
      <c r="F230" t="s">
        <v>36</v>
      </c>
      <c r="G230" t="s">
        <v>36</v>
      </c>
      <c r="H230">
        <v>203</v>
      </c>
      <c r="I230">
        <v>202</v>
      </c>
      <c r="J230" t="s">
        <v>36</v>
      </c>
      <c r="K230">
        <v>212</v>
      </c>
      <c r="L230">
        <v>204</v>
      </c>
      <c r="M230" t="s">
        <v>36</v>
      </c>
      <c r="N230">
        <v>229</v>
      </c>
      <c r="O230">
        <v>213</v>
      </c>
      <c r="P230">
        <v>23.06</v>
      </c>
      <c r="Q230">
        <v>19.100000000000001</v>
      </c>
      <c r="R230" s="11" t="str">
        <f t="shared" si="0"/>
        <v>RB</v>
      </c>
    </row>
    <row r="231" spans="1:18" ht="14.25" customHeight="1" x14ac:dyDescent="0.25">
      <c r="A231">
        <v>227</v>
      </c>
      <c r="B231" t="s">
        <v>579</v>
      </c>
      <c r="C231" t="s">
        <v>549</v>
      </c>
      <c r="D231" t="s">
        <v>163</v>
      </c>
      <c r="E231" t="s">
        <v>36</v>
      </c>
      <c r="F231" t="s">
        <v>36</v>
      </c>
      <c r="G231" t="s">
        <v>36</v>
      </c>
      <c r="H231">
        <v>209</v>
      </c>
      <c r="I231">
        <v>214</v>
      </c>
      <c r="J231" t="s">
        <v>36</v>
      </c>
      <c r="K231">
        <v>245</v>
      </c>
      <c r="L231">
        <v>241</v>
      </c>
      <c r="M231" t="s">
        <v>36</v>
      </c>
      <c r="N231">
        <v>187</v>
      </c>
      <c r="O231">
        <v>197</v>
      </c>
      <c r="P231">
        <v>23.07</v>
      </c>
      <c r="Q231">
        <v>19.11</v>
      </c>
      <c r="R231" s="11" t="str">
        <f t="shared" si="0"/>
        <v>WR</v>
      </c>
    </row>
    <row r="232" spans="1:18" ht="14.25" customHeight="1" x14ac:dyDescent="0.25">
      <c r="A232">
        <v>228</v>
      </c>
      <c r="B232" t="s">
        <v>593</v>
      </c>
      <c r="C232" t="s">
        <v>598</v>
      </c>
      <c r="D232" t="s">
        <v>44</v>
      </c>
      <c r="E232">
        <v>189</v>
      </c>
      <c r="F232">
        <v>199</v>
      </c>
      <c r="G232">
        <v>276</v>
      </c>
      <c r="H232">
        <v>262</v>
      </c>
      <c r="I232" t="s">
        <v>36</v>
      </c>
      <c r="J232" t="s">
        <v>36</v>
      </c>
      <c r="K232">
        <v>151</v>
      </c>
      <c r="L232">
        <v>221</v>
      </c>
      <c r="M232" t="s">
        <v>36</v>
      </c>
      <c r="N232" t="s">
        <v>36</v>
      </c>
      <c r="O232" t="s">
        <v>36</v>
      </c>
      <c r="P232">
        <v>23.08</v>
      </c>
      <c r="Q232">
        <v>19.12</v>
      </c>
      <c r="R232" s="11" t="str">
        <f t="shared" si="0"/>
        <v>K-</v>
      </c>
    </row>
    <row r="233" spans="1:18" ht="14.25" customHeight="1" x14ac:dyDescent="0.25">
      <c r="A233">
        <v>229</v>
      </c>
      <c r="B233" t="s">
        <v>542</v>
      </c>
      <c r="C233" t="s">
        <v>545</v>
      </c>
      <c r="D233" t="s">
        <v>184</v>
      </c>
      <c r="E233" t="s">
        <v>36</v>
      </c>
      <c r="F233" t="s">
        <v>36</v>
      </c>
      <c r="G233" t="s">
        <v>36</v>
      </c>
      <c r="H233">
        <v>202</v>
      </c>
      <c r="I233">
        <v>200</v>
      </c>
      <c r="J233" t="s">
        <v>36</v>
      </c>
      <c r="K233">
        <v>236</v>
      </c>
      <c r="L233">
        <v>227</v>
      </c>
      <c r="M233" t="s">
        <v>36</v>
      </c>
      <c r="N233">
        <v>218</v>
      </c>
      <c r="O233">
        <v>222</v>
      </c>
      <c r="P233">
        <v>23.09</v>
      </c>
      <c r="Q233">
        <v>20.010000000000002</v>
      </c>
      <c r="R233" s="11" t="str">
        <f t="shared" si="0"/>
        <v>RB</v>
      </c>
    </row>
    <row r="234" spans="1:18" ht="14.25" customHeight="1" x14ac:dyDescent="0.25">
      <c r="A234">
        <v>230</v>
      </c>
      <c r="B234" t="s">
        <v>565</v>
      </c>
      <c r="C234" t="s">
        <v>566</v>
      </c>
      <c r="D234" t="s">
        <v>69</v>
      </c>
      <c r="E234">
        <v>195</v>
      </c>
      <c r="F234">
        <v>179</v>
      </c>
      <c r="G234" t="s">
        <v>36</v>
      </c>
      <c r="H234">
        <v>265</v>
      </c>
      <c r="I234">
        <v>246</v>
      </c>
      <c r="J234" t="s">
        <v>36</v>
      </c>
      <c r="K234">
        <v>200</v>
      </c>
      <c r="L234">
        <v>226</v>
      </c>
      <c r="M234" t="s">
        <v>36</v>
      </c>
      <c r="N234" t="s">
        <v>36</v>
      </c>
      <c r="O234" t="s">
        <v>36</v>
      </c>
      <c r="P234">
        <v>23.1</v>
      </c>
      <c r="Q234">
        <v>20.02</v>
      </c>
      <c r="R234" s="11" t="str">
        <f t="shared" si="0"/>
        <v>DE</v>
      </c>
    </row>
    <row r="235" spans="1:18" ht="14.25" customHeight="1" x14ac:dyDescent="0.25">
      <c r="A235">
        <v>231</v>
      </c>
      <c r="B235" t="s">
        <v>544</v>
      </c>
      <c r="C235" t="s">
        <v>638</v>
      </c>
      <c r="D235" t="s">
        <v>69</v>
      </c>
      <c r="E235" t="s">
        <v>36</v>
      </c>
      <c r="F235" t="s">
        <v>36</v>
      </c>
      <c r="G235">
        <v>344</v>
      </c>
      <c r="H235">
        <v>181</v>
      </c>
      <c r="I235">
        <v>212</v>
      </c>
      <c r="J235" t="s">
        <v>36</v>
      </c>
      <c r="K235" t="s">
        <v>36</v>
      </c>
      <c r="L235">
        <v>176</v>
      </c>
      <c r="M235" t="s">
        <v>36</v>
      </c>
      <c r="N235">
        <v>177</v>
      </c>
      <c r="O235">
        <v>221</v>
      </c>
      <c r="P235">
        <v>24.01</v>
      </c>
      <c r="Q235">
        <v>20.03</v>
      </c>
      <c r="R235" s="11" t="str">
        <f t="shared" si="0"/>
        <v>RB</v>
      </c>
    </row>
    <row r="236" spans="1:18" ht="14.25" customHeight="1" x14ac:dyDescent="0.25">
      <c r="A236">
        <v>232</v>
      </c>
      <c r="B236" t="s">
        <v>557</v>
      </c>
      <c r="C236" t="s">
        <v>634</v>
      </c>
      <c r="D236" t="s">
        <v>126</v>
      </c>
      <c r="E236" t="s">
        <v>36</v>
      </c>
      <c r="F236" t="s">
        <v>36</v>
      </c>
      <c r="G236">
        <v>341</v>
      </c>
      <c r="H236">
        <v>176</v>
      </c>
      <c r="I236">
        <v>206</v>
      </c>
      <c r="J236" t="s">
        <v>36</v>
      </c>
      <c r="K236" t="s">
        <v>36</v>
      </c>
      <c r="L236">
        <v>201</v>
      </c>
      <c r="M236" t="s">
        <v>36</v>
      </c>
      <c r="N236">
        <v>195</v>
      </c>
      <c r="O236">
        <v>200</v>
      </c>
      <c r="P236">
        <v>24.02</v>
      </c>
      <c r="Q236">
        <v>20.04</v>
      </c>
      <c r="R236" s="11" t="str">
        <f t="shared" si="0"/>
        <v>RB</v>
      </c>
    </row>
    <row r="237" spans="1:18" ht="14.25" customHeight="1" x14ac:dyDescent="0.25">
      <c r="A237">
        <v>233</v>
      </c>
      <c r="B237" t="s">
        <v>597</v>
      </c>
      <c r="C237" t="s">
        <v>594</v>
      </c>
      <c r="D237" t="s">
        <v>72</v>
      </c>
      <c r="E237">
        <v>203</v>
      </c>
      <c r="F237">
        <v>180</v>
      </c>
      <c r="G237">
        <v>333</v>
      </c>
      <c r="H237">
        <v>238</v>
      </c>
      <c r="I237" t="s">
        <v>36</v>
      </c>
      <c r="J237" t="s">
        <v>36</v>
      </c>
      <c r="K237">
        <v>166</v>
      </c>
      <c r="L237">
        <v>211</v>
      </c>
      <c r="M237" t="s">
        <v>36</v>
      </c>
      <c r="N237" t="s">
        <v>36</v>
      </c>
      <c r="O237" t="s">
        <v>36</v>
      </c>
      <c r="P237">
        <v>24.03</v>
      </c>
      <c r="Q237">
        <v>20.05</v>
      </c>
      <c r="R237" s="11" t="str">
        <f t="shared" si="0"/>
        <v>K-</v>
      </c>
    </row>
    <row r="238" spans="1:18" ht="14.25" customHeight="1" x14ac:dyDescent="0.25">
      <c r="A238">
        <v>234</v>
      </c>
      <c r="B238" t="s">
        <v>540</v>
      </c>
      <c r="C238" t="s">
        <v>555</v>
      </c>
      <c r="D238" t="s">
        <v>88</v>
      </c>
      <c r="E238" t="s">
        <v>36</v>
      </c>
      <c r="F238">
        <v>219</v>
      </c>
      <c r="G238" t="s">
        <v>36</v>
      </c>
      <c r="H238">
        <v>205</v>
      </c>
      <c r="I238">
        <v>252</v>
      </c>
      <c r="J238" t="s">
        <v>36</v>
      </c>
      <c r="K238">
        <v>224</v>
      </c>
      <c r="L238" t="s">
        <v>36</v>
      </c>
      <c r="M238" t="s">
        <v>36</v>
      </c>
      <c r="N238">
        <v>225</v>
      </c>
      <c r="O238">
        <v>212</v>
      </c>
      <c r="P238">
        <v>24.04</v>
      </c>
      <c r="Q238">
        <v>20.059999999999999</v>
      </c>
      <c r="R238" s="11" t="str">
        <f t="shared" si="0"/>
        <v>TE</v>
      </c>
    </row>
    <row r="239" spans="1:18" ht="14.25" customHeight="1" x14ac:dyDescent="0.25">
      <c r="A239">
        <v>235</v>
      </c>
      <c r="B239" t="s">
        <v>587</v>
      </c>
      <c r="C239" t="s">
        <v>588</v>
      </c>
      <c r="D239" t="s">
        <v>145</v>
      </c>
      <c r="E239" t="s">
        <v>36</v>
      </c>
      <c r="F239" t="s">
        <v>36</v>
      </c>
      <c r="G239" t="s">
        <v>36</v>
      </c>
      <c r="H239">
        <v>245</v>
      </c>
      <c r="I239">
        <v>225</v>
      </c>
      <c r="J239" t="s">
        <v>36</v>
      </c>
      <c r="K239">
        <v>275</v>
      </c>
      <c r="L239">
        <v>245</v>
      </c>
      <c r="M239" t="s">
        <v>36</v>
      </c>
      <c r="N239">
        <v>180</v>
      </c>
      <c r="O239">
        <v>189</v>
      </c>
      <c r="P239">
        <v>24.05</v>
      </c>
      <c r="Q239">
        <v>20.07</v>
      </c>
      <c r="R239" s="11" t="str">
        <f t="shared" si="0"/>
        <v>QB</v>
      </c>
    </row>
    <row r="240" spans="1:18" ht="14.25" customHeight="1" x14ac:dyDescent="0.25">
      <c r="A240">
        <v>236</v>
      </c>
      <c r="B240" t="s">
        <v>561</v>
      </c>
      <c r="C240" t="s">
        <v>592</v>
      </c>
      <c r="D240" t="s">
        <v>72</v>
      </c>
      <c r="E240" t="s">
        <v>36</v>
      </c>
      <c r="F240" t="s">
        <v>36</v>
      </c>
      <c r="G240" t="s">
        <v>36</v>
      </c>
      <c r="H240">
        <v>223</v>
      </c>
      <c r="I240">
        <v>207</v>
      </c>
      <c r="J240" t="s">
        <v>36</v>
      </c>
      <c r="K240">
        <v>253</v>
      </c>
      <c r="L240">
        <v>203</v>
      </c>
      <c r="M240" t="s">
        <v>36</v>
      </c>
      <c r="N240">
        <v>235</v>
      </c>
      <c r="O240">
        <v>242</v>
      </c>
      <c r="P240">
        <v>24.06</v>
      </c>
      <c r="Q240">
        <v>20.079999999999998</v>
      </c>
      <c r="R240" s="11" t="str">
        <f t="shared" si="0"/>
        <v>RB</v>
      </c>
    </row>
    <row r="241" spans="1:18" ht="14.25" customHeight="1" x14ac:dyDescent="0.25">
      <c r="A241">
        <v>237</v>
      </c>
      <c r="B241" t="s">
        <v>591</v>
      </c>
      <c r="C241" t="s">
        <v>600</v>
      </c>
      <c r="D241" t="s">
        <v>52</v>
      </c>
      <c r="E241" t="s">
        <v>36</v>
      </c>
      <c r="F241" t="s">
        <v>36</v>
      </c>
      <c r="G241">
        <v>324</v>
      </c>
      <c r="H241">
        <v>196</v>
      </c>
      <c r="I241">
        <v>195</v>
      </c>
      <c r="J241" t="s">
        <v>36</v>
      </c>
      <c r="K241" t="s">
        <v>36</v>
      </c>
      <c r="L241">
        <v>219</v>
      </c>
      <c r="M241" t="s">
        <v>36</v>
      </c>
      <c r="N241">
        <v>203</v>
      </c>
      <c r="O241">
        <v>234</v>
      </c>
      <c r="P241">
        <v>24.07</v>
      </c>
      <c r="Q241">
        <v>20.09</v>
      </c>
      <c r="R241" s="11" t="str">
        <f t="shared" si="0"/>
        <v>RB</v>
      </c>
    </row>
    <row r="242" spans="1:18" ht="14.25" customHeight="1" x14ac:dyDescent="0.25">
      <c r="A242">
        <v>238</v>
      </c>
      <c r="B242" t="s">
        <v>583</v>
      </c>
      <c r="C242" t="s">
        <v>590</v>
      </c>
      <c r="D242" t="s">
        <v>35</v>
      </c>
      <c r="E242" t="s">
        <v>36</v>
      </c>
      <c r="F242" t="s">
        <v>36</v>
      </c>
      <c r="G242">
        <v>301</v>
      </c>
      <c r="H242">
        <v>252</v>
      </c>
      <c r="I242">
        <v>196</v>
      </c>
      <c r="J242" t="s">
        <v>36</v>
      </c>
      <c r="K242">
        <v>238</v>
      </c>
      <c r="L242" t="s">
        <v>36</v>
      </c>
      <c r="M242" t="s">
        <v>36</v>
      </c>
      <c r="N242">
        <v>204</v>
      </c>
      <c r="O242">
        <v>207</v>
      </c>
      <c r="P242">
        <v>24.08</v>
      </c>
      <c r="Q242">
        <v>20.100000000000001</v>
      </c>
      <c r="R242" s="11" t="str">
        <f t="shared" si="0"/>
        <v>WR</v>
      </c>
    </row>
    <row r="243" spans="1:18" ht="14.25" customHeight="1" x14ac:dyDescent="0.25">
      <c r="A243">
        <v>239</v>
      </c>
      <c r="B243" t="s">
        <v>599</v>
      </c>
      <c r="C243" t="s">
        <v>521</v>
      </c>
      <c r="D243" t="s">
        <v>78</v>
      </c>
      <c r="E243" t="s">
        <v>36</v>
      </c>
      <c r="F243" t="s">
        <v>36</v>
      </c>
      <c r="G243">
        <v>310</v>
      </c>
      <c r="H243">
        <v>248</v>
      </c>
      <c r="I243">
        <v>209</v>
      </c>
      <c r="J243" t="s">
        <v>36</v>
      </c>
      <c r="K243">
        <v>235</v>
      </c>
      <c r="L243" t="s">
        <v>36</v>
      </c>
      <c r="M243" t="s">
        <v>36</v>
      </c>
      <c r="N243">
        <v>231</v>
      </c>
      <c r="O243">
        <v>182</v>
      </c>
      <c r="P243">
        <v>24.09</v>
      </c>
      <c r="Q243">
        <v>20.11</v>
      </c>
      <c r="R243" s="11" t="str">
        <f t="shared" si="0"/>
        <v>RB</v>
      </c>
    </row>
    <row r="244" spans="1:18" ht="14.25" customHeight="1" x14ac:dyDescent="0.25">
      <c r="A244">
        <v>240</v>
      </c>
      <c r="B244" t="s">
        <v>601</v>
      </c>
      <c r="C244" t="s">
        <v>602</v>
      </c>
      <c r="D244" t="s">
        <v>66</v>
      </c>
      <c r="E244">
        <v>196</v>
      </c>
      <c r="F244">
        <v>193</v>
      </c>
      <c r="G244">
        <v>317</v>
      </c>
      <c r="H244">
        <v>255</v>
      </c>
      <c r="I244">
        <v>235</v>
      </c>
      <c r="J244" t="s">
        <v>36</v>
      </c>
      <c r="K244" t="s">
        <v>36</v>
      </c>
      <c r="L244">
        <v>243</v>
      </c>
      <c r="M244" t="s">
        <v>36</v>
      </c>
      <c r="N244" t="s">
        <v>36</v>
      </c>
      <c r="O244" t="s">
        <v>36</v>
      </c>
      <c r="P244">
        <v>24.1</v>
      </c>
      <c r="Q244">
        <v>20.12</v>
      </c>
      <c r="R244" s="11" t="str">
        <f t="shared" si="0"/>
        <v>DE</v>
      </c>
    </row>
    <row r="245" spans="1:18" ht="14.25" customHeight="1" x14ac:dyDescent="0.25">
      <c r="A245">
        <v>241</v>
      </c>
      <c r="B245" t="s">
        <v>554</v>
      </c>
      <c r="C245" t="s">
        <v>570</v>
      </c>
      <c r="D245" t="s">
        <v>49</v>
      </c>
      <c r="E245" t="s">
        <v>36</v>
      </c>
      <c r="F245" t="s">
        <v>36</v>
      </c>
      <c r="G245" t="s">
        <v>36</v>
      </c>
      <c r="H245">
        <v>236</v>
      </c>
      <c r="I245">
        <v>242</v>
      </c>
      <c r="J245" t="s">
        <v>36</v>
      </c>
      <c r="K245">
        <v>283</v>
      </c>
      <c r="L245">
        <v>247</v>
      </c>
      <c r="M245" t="s">
        <v>36</v>
      </c>
      <c r="N245">
        <v>211</v>
      </c>
      <c r="O245">
        <v>220</v>
      </c>
      <c r="P245">
        <v>25.01</v>
      </c>
      <c r="Q245">
        <v>21.01</v>
      </c>
      <c r="R245" s="11" t="str">
        <f t="shared" si="0"/>
        <v>TE</v>
      </c>
    </row>
    <row r="246" spans="1:18" ht="14.25" customHeight="1" x14ac:dyDescent="0.25">
      <c r="A246">
        <v>242</v>
      </c>
      <c r="B246" t="s">
        <v>605</v>
      </c>
      <c r="C246" t="s">
        <v>558</v>
      </c>
      <c r="D246" t="s">
        <v>163</v>
      </c>
      <c r="E246" t="s">
        <v>36</v>
      </c>
      <c r="F246" t="s">
        <v>36</v>
      </c>
      <c r="G246">
        <v>335</v>
      </c>
      <c r="H246">
        <v>246</v>
      </c>
      <c r="I246">
        <v>217</v>
      </c>
      <c r="J246" t="s">
        <v>36</v>
      </c>
      <c r="K246">
        <v>263</v>
      </c>
      <c r="L246" t="s">
        <v>36</v>
      </c>
      <c r="M246" t="s">
        <v>36</v>
      </c>
      <c r="N246">
        <v>242</v>
      </c>
      <c r="O246">
        <v>218</v>
      </c>
      <c r="P246">
        <v>25.02</v>
      </c>
      <c r="Q246">
        <v>21.02</v>
      </c>
      <c r="R246" s="11" t="str">
        <f t="shared" si="0"/>
        <v>RB</v>
      </c>
    </row>
    <row r="247" spans="1:18" ht="14.25" customHeight="1" x14ac:dyDescent="0.25">
      <c r="A247">
        <v>243</v>
      </c>
      <c r="B247" t="s">
        <v>612</v>
      </c>
      <c r="C247" t="s">
        <v>562</v>
      </c>
      <c r="D247" t="s">
        <v>123</v>
      </c>
      <c r="E247" t="s">
        <v>36</v>
      </c>
      <c r="F247" t="s">
        <v>36</v>
      </c>
      <c r="G247">
        <v>319</v>
      </c>
      <c r="H247">
        <v>264</v>
      </c>
      <c r="I247">
        <v>255</v>
      </c>
      <c r="J247" t="s">
        <v>36</v>
      </c>
      <c r="K247">
        <v>227</v>
      </c>
      <c r="L247" t="s">
        <v>36</v>
      </c>
      <c r="M247" t="s">
        <v>36</v>
      </c>
      <c r="N247">
        <v>245</v>
      </c>
      <c r="O247">
        <v>248</v>
      </c>
      <c r="P247">
        <v>25.03</v>
      </c>
      <c r="Q247">
        <v>21.03</v>
      </c>
      <c r="R247" s="11" t="str">
        <f t="shared" si="0"/>
        <v>RB</v>
      </c>
    </row>
    <row r="248" spans="1:18" ht="14.25" customHeight="1" x14ac:dyDescent="0.25">
      <c r="A248">
        <v>244</v>
      </c>
      <c r="B248" t="s">
        <v>589</v>
      </c>
      <c r="C248" t="s">
        <v>190</v>
      </c>
      <c r="D248" t="s">
        <v>36</v>
      </c>
      <c r="E248" t="s">
        <v>36</v>
      </c>
      <c r="F248">
        <v>229</v>
      </c>
      <c r="G248" t="s">
        <v>36</v>
      </c>
      <c r="H248">
        <v>306</v>
      </c>
      <c r="I248">
        <v>350</v>
      </c>
      <c r="J248" t="s">
        <v>36</v>
      </c>
      <c r="K248">
        <v>234</v>
      </c>
      <c r="L248" t="s">
        <v>36</v>
      </c>
      <c r="M248" t="s">
        <v>36</v>
      </c>
      <c r="N248">
        <v>260</v>
      </c>
      <c r="O248">
        <v>244</v>
      </c>
      <c r="P248">
        <v>25.04</v>
      </c>
      <c r="Q248">
        <v>21.04</v>
      </c>
      <c r="R248" s="11" t="str">
        <f t="shared" si="0"/>
        <v>WR</v>
      </c>
    </row>
    <row r="249" spans="1:18" ht="14.25" customHeight="1" x14ac:dyDescent="0.25">
      <c r="A249">
        <v>245</v>
      </c>
      <c r="B249" t="s">
        <v>595</v>
      </c>
      <c r="C249" t="s">
        <v>621</v>
      </c>
      <c r="D249" t="s">
        <v>126</v>
      </c>
      <c r="E249" t="s">
        <v>36</v>
      </c>
      <c r="F249" t="s">
        <v>36</v>
      </c>
      <c r="G249">
        <v>326</v>
      </c>
      <c r="H249">
        <v>308</v>
      </c>
      <c r="I249">
        <v>244</v>
      </c>
      <c r="J249" t="s">
        <v>36</v>
      </c>
      <c r="K249">
        <v>279</v>
      </c>
      <c r="L249" t="s">
        <v>36</v>
      </c>
      <c r="M249" t="s">
        <v>36</v>
      </c>
      <c r="N249">
        <v>254</v>
      </c>
      <c r="O249">
        <v>240</v>
      </c>
      <c r="P249">
        <v>25.05</v>
      </c>
      <c r="Q249">
        <v>21.05</v>
      </c>
      <c r="R249" s="11" t="str">
        <f t="shared" si="0"/>
        <v>WR</v>
      </c>
    </row>
    <row r="250" spans="1:18" ht="14.25" customHeight="1" x14ac:dyDescent="0.25">
      <c r="A250">
        <v>246</v>
      </c>
      <c r="B250" t="s">
        <v>603</v>
      </c>
      <c r="C250" t="s">
        <v>629</v>
      </c>
      <c r="D250" t="s">
        <v>49</v>
      </c>
      <c r="E250">
        <v>188</v>
      </c>
      <c r="F250">
        <v>123</v>
      </c>
      <c r="G250">
        <v>236</v>
      </c>
      <c r="H250">
        <v>226</v>
      </c>
      <c r="I250" t="s">
        <v>36</v>
      </c>
      <c r="J250" t="s">
        <v>36</v>
      </c>
      <c r="K250">
        <v>160</v>
      </c>
      <c r="L250" t="s">
        <v>36</v>
      </c>
      <c r="M250" t="s">
        <v>36</v>
      </c>
      <c r="N250" t="s">
        <v>36</v>
      </c>
      <c r="O250" t="s">
        <v>36</v>
      </c>
      <c r="P250">
        <v>25.06</v>
      </c>
      <c r="Q250">
        <v>21.06</v>
      </c>
      <c r="R250" s="11" t="str">
        <f t="shared" si="0"/>
        <v>K-</v>
      </c>
    </row>
    <row r="251" spans="1:18" ht="14.25" customHeight="1" x14ac:dyDescent="0.25">
      <c r="A251">
        <v>247</v>
      </c>
      <c r="B251" t="s">
        <v>616</v>
      </c>
      <c r="C251" t="s">
        <v>631</v>
      </c>
      <c r="D251" t="s">
        <v>129</v>
      </c>
      <c r="E251" t="s">
        <v>36</v>
      </c>
      <c r="F251" t="s">
        <v>36</v>
      </c>
      <c r="G251" t="s">
        <v>36</v>
      </c>
      <c r="H251">
        <v>204</v>
      </c>
      <c r="I251">
        <v>211</v>
      </c>
      <c r="J251" t="s">
        <v>36</v>
      </c>
      <c r="K251" t="s">
        <v>36</v>
      </c>
      <c r="L251">
        <v>205</v>
      </c>
      <c r="M251" t="s">
        <v>36</v>
      </c>
      <c r="N251">
        <v>176</v>
      </c>
      <c r="O251">
        <v>185</v>
      </c>
      <c r="P251">
        <v>25.07</v>
      </c>
      <c r="Q251">
        <v>21.07</v>
      </c>
      <c r="R251" s="11" t="str">
        <f t="shared" si="0"/>
        <v>WR</v>
      </c>
    </row>
    <row r="252" spans="1:18" ht="14.25" customHeight="1" x14ac:dyDescent="0.25">
      <c r="A252">
        <v>248</v>
      </c>
      <c r="B252" t="s">
        <v>628</v>
      </c>
      <c r="C252" t="s">
        <v>636</v>
      </c>
      <c r="D252" t="s">
        <v>85</v>
      </c>
      <c r="E252">
        <v>186</v>
      </c>
      <c r="F252">
        <v>141</v>
      </c>
      <c r="G252">
        <v>287</v>
      </c>
      <c r="H252">
        <v>257</v>
      </c>
      <c r="I252" t="s">
        <v>36</v>
      </c>
      <c r="J252" t="s">
        <v>36</v>
      </c>
      <c r="K252">
        <v>179</v>
      </c>
      <c r="L252" t="s">
        <v>36</v>
      </c>
      <c r="M252" t="s">
        <v>36</v>
      </c>
      <c r="N252" t="s">
        <v>36</v>
      </c>
      <c r="O252" t="s">
        <v>36</v>
      </c>
      <c r="P252">
        <v>25.08</v>
      </c>
      <c r="Q252">
        <v>21.08</v>
      </c>
      <c r="R252" s="11" t="str">
        <f t="shared" si="0"/>
        <v>K-</v>
      </c>
    </row>
    <row r="253" spans="1:18" ht="14.25" customHeight="1" x14ac:dyDescent="0.25">
      <c r="A253">
        <v>249</v>
      </c>
      <c r="B253" t="s">
        <v>569</v>
      </c>
      <c r="C253" t="s">
        <v>541</v>
      </c>
      <c r="D253" t="s">
        <v>229</v>
      </c>
      <c r="E253" t="s">
        <v>36</v>
      </c>
      <c r="F253" t="s">
        <v>36</v>
      </c>
      <c r="G253" t="s">
        <v>36</v>
      </c>
      <c r="H253">
        <v>187</v>
      </c>
      <c r="I253">
        <v>224</v>
      </c>
      <c r="J253" t="s">
        <v>36</v>
      </c>
      <c r="K253">
        <v>255</v>
      </c>
      <c r="L253" t="s">
        <v>36</v>
      </c>
      <c r="M253" t="s">
        <v>36</v>
      </c>
      <c r="N253">
        <v>202</v>
      </c>
      <c r="O253">
        <v>199</v>
      </c>
      <c r="P253">
        <v>25.09</v>
      </c>
      <c r="Q253">
        <v>21.09</v>
      </c>
      <c r="R253" s="11" t="str">
        <f t="shared" si="0"/>
        <v>TE</v>
      </c>
    </row>
    <row r="254" spans="1:18" ht="14.25" customHeight="1" x14ac:dyDescent="0.25">
      <c r="A254">
        <v>250</v>
      </c>
      <c r="B254" t="s">
        <v>614</v>
      </c>
      <c r="C254" t="s">
        <v>640</v>
      </c>
      <c r="D254" t="s">
        <v>60</v>
      </c>
      <c r="E254" t="s">
        <v>36</v>
      </c>
      <c r="F254" t="s">
        <v>36</v>
      </c>
      <c r="G254" t="s">
        <v>36</v>
      </c>
      <c r="H254">
        <v>195</v>
      </c>
      <c r="I254">
        <v>228</v>
      </c>
      <c r="J254" t="s">
        <v>36</v>
      </c>
      <c r="K254" t="s">
        <v>36</v>
      </c>
      <c r="L254">
        <v>224</v>
      </c>
      <c r="M254" t="s">
        <v>36</v>
      </c>
      <c r="N254">
        <v>213</v>
      </c>
      <c r="O254">
        <v>215</v>
      </c>
      <c r="P254">
        <v>25.1</v>
      </c>
      <c r="Q254">
        <v>21.1</v>
      </c>
      <c r="R254" s="11" t="str">
        <f t="shared" si="0"/>
        <v>RB</v>
      </c>
    </row>
    <row r="255" spans="1:18" ht="14.25" customHeight="1" x14ac:dyDescent="0.25">
      <c r="A255">
        <v>251</v>
      </c>
      <c r="B255" t="s">
        <v>620</v>
      </c>
      <c r="C255" t="s">
        <v>596</v>
      </c>
      <c r="D255" t="s">
        <v>116</v>
      </c>
      <c r="E255" t="s">
        <v>36</v>
      </c>
      <c r="F255" t="s">
        <v>36</v>
      </c>
      <c r="G255" t="s">
        <v>36</v>
      </c>
      <c r="H255">
        <v>250</v>
      </c>
      <c r="I255">
        <v>234</v>
      </c>
      <c r="J255" t="s">
        <v>36</v>
      </c>
      <c r="K255" t="s">
        <v>36</v>
      </c>
      <c r="L255">
        <v>190</v>
      </c>
      <c r="M255" t="s">
        <v>36</v>
      </c>
      <c r="N255">
        <v>208</v>
      </c>
      <c r="O255">
        <v>204</v>
      </c>
      <c r="P255">
        <v>26.01</v>
      </c>
      <c r="Q255">
        <v>21.11</v>
      </c>
      <c r="R255" s="11" t="str">
        <f t="shared" si="0"/>
        <v>WR</v>
      </c>
    </row>
    <row r="256" spans="1:18" ht="14.25" customHeight="1" x14ac:dyDescent="0.25">
      <c r="A256">
        <v>252</v>
      </c>
      <c r="B256" t="s">
        <v>633</v>
      </c>
      <c r="C256" t="s">
        <v>606</v>
      </c>
      <c r="D256" t="s">
        <v>44</v>
      </c>
      <c r="E256" t="s">
        <v>36</v>
      </c>
      <c r="F256" t="s">
        <v>36</v>
      </c>
      <c r="G256" t="s">
        <v>36</v>
      </c>
      <c r="H256">
        <v>199</v>
      </c>
      <c r="I256">
        <v>236</v>
      </c>
      <c r="J256" t="s">
        <v>36</v>
      </c>
      <c r="K256" t="s">
        <v>36</v>
      </c>
      <c r="L256">
        <v>230</v>
      </c>
      <c r="M256" t="s">
        <v>36</v>
      </c>
      <c r="N256">
        <v>210</v>
      </c>
      <c r="O256">
        <v>223</v>
      </c>
      <c r="P256">
        <v>26.02</v>
      </c>
      <c r="Q256">
        <v>21.12</v>
      </c>
      <c r="R256" s="11" t="str">
        <f t="shared" si="0"/>
        <v>RB</v>
      </c>
    </row>
    <row r="257" spans="1:18" ht="14.25" customHeight="1" x14ac:dyDescent="0.25">
      <c r="A257">
        <v>253</v>
      </c>
      <c r="B257" t="s">
        <v>637</v>
      </c>
      <c r="C257" t="s">
        <v>613</v>
      </c>
      <c r="D257" t="s">
        <v>81</v>
      </c>
      <c r="E257" t="s">
        <v>36</v>
      </c>
      <c r="F257" t="s">
        <v>36</v>
      </c>
      <c r="G257" t="s">
        <v>36</v>
      </c>
      <c r="H257">
        <v>224</v>
      </c>
      <c r="I257">
        <v>218</v>
      </c>
      <c r="J257" t="s">
        <v>36</v>
      </c>
      <c r="K257">
        <v>225</v>
      </c>
      <c r="L257" t="s">
        <v>36</v>
      </c>
      <c r="M257" t="s">
        <v>36</v>
      </c>
      <c r="N257">
        <v>221</v>
      </c>
      <c r="O257">
        <v>247</v>
      </c>
      <c r="P257">
        <v>26.03</v>
      </c>
      <c r="Q257">
        <v>22.01</v>
      </c>
      <c r="R257" s="11" t="str">
        <f t="shared" si="0"/>
        <v>RB</v>
      </c>
    </row>
    <row r="258" spans="1:18" ht="14.25" customHeight="1" x14ac:dyDescent="0.25">
      <c r="A258">
        <v>254</v>
      </c>
      <c r="B258" t="s">
        <v>622</v>
      </c>
      <c r="C258" t="s">
        <v>572</v>
      </c>
      <c r="D258" t="s">
        <v>91</v>
      </c>
      <c r="E258" t="s">
        <v>36</v>
      </c>
      <c r="F258" t="s">
        <v>36</v>
      </c>
      <c r="G258" t="s">
        <v>36</v>
      </c>
      <c r="H258">
        <v>249</v>
      </c>
      <c r="I258">
        <v>249</v>
      </c>
      <c r="J258" t="s">
        <v>36</v>
      </c>
      <c r="K258" t="s">
        <v>36</v>
      </c>
      <c r="L258">
        <v>222</v>
      </c>
      <c r="M258" t="s">
        <v>36</v>
      </c>
      <c r="N258">
        <v>209</v>
      </c>
      <c r="O258">
        <v>214</v>
      </c>
      <c r="P258">
        <v>26.04</v>
      </c>
      <c r="Q258">
        <v>22.02</v>
      </c>
      <c r="R258" s="11" t="str">
        <f t="shared" si="0"/>
        <v>WR</v>
      </c>
    </row>
    <row r="259" spans="1:18" ht="14.25" customHeight="1" x14ac:dyDescent="0.25">
      <c r="A259">
        <v>255</v>
      </c>
      <c r="B259" t="s">
        <v>630</v>
      </c>
      <c r="C259" t="s">
        <v>617</v>
      </c>
      <c r="D259" t="s">
        <v>233</v>
      </c>
      <c r="E259" t="s">
        <v>36</v>
      </c>
      <c r="F259" t="s">
        <v>36</v>
      </c>
      <c r="G259" t="s">
        <v>36</v>
      </c>
      <c r="H259">
        <v>256</v>
      </c>
      <c r="I259">
        <v>254</v>
      </c>
      <c r="J259" t="s">
        <v>36</v>
      </c>
      <c r="K259">
        <v>248</v>
      </c>
      <c r="L259" t="s">
        <v>36</v>
      </c>
      <c r="M259" t="s">
        <v>36</v>
      </c>
      <c r="N259">
        <v>214</v>
      </c>
      <c r="O259">
        <v>206</v>
      </c>
      <c r="P259">
        <v>26.05</v>
      </c>
      <c r="Q259">
        <v>22.03</v>
      </c>
      <c r="R259" s="11" t="str">
        <f t="shared" si="0"/>
        <v>WR</v>
      </c>
    </row>
    <row r="260" spans="1:18" ht="14.25" customHeight="1" x14ac:dyDescent="0.25">
      <c r="A260">
        <v>256</v>
      </c>
      <c r="B260" t="s">
        <v>610</v>
      </c>
      <c r="C260" t="s">
        <v>688</v>
      </c>
      <c r="D260" t="s">
        <v>39</v>
      </c>
      <c r="E260" t="s">
        <v>36</v>
      </c>
      <c r="F260" t="s">
        <v>36</v>
      </c>
      <c r="G260" t="s">
        <v>36</v>
      </c>
      <c r="H260">
        <v>258</v>
      </c>
      <c r="I260">
        <v>256</v>
      </c>
      <c r="J260" t="s">
        <v>36</v>
      </c>
      <c r="K260" t="s">
        <v>36</v>
      </c>
      <c r="L260">
        <v>250</v>
      </c>
      <c r="M260" t="s">
        <v>36</v>
      </c>
      <c r="N260">
        <v>206</v>
      </c>
      <c r="O260">
        <v>211</v>
      </c>
      <c r="P260">
        <v>26.06</v>
      </c>
      <c r="Q260">
        <v>22.04</v>
      </c>
      <c r="R260" s="11" t="str">
        <f t="shared" ref="R260:R304" si="1">LEFT(B260, 2)</f>
        <v>QB</v>
      </c>
    </row>
    <row r="261" spans="1:18" ht="14.25" customHeight="1" x14ac:dyDescent="0.25">
      <c r="A261">
        <v>257</v>
      </c>
      <c r="B261" t="s">
        <v>624</v>
      </c>
      <c r="C261" t="s">
        <v>642</v>
      </c>
      <c r="D261" t="s">
        <v>160</v>
      </c>
      <c r="E261" t="s">
        <v>36</v>
      </c>
      <c r="F261" t="s">
        <v>36</v>
      </c>
      <c r="G261" t="s">
        <v>36</v>
      </c>
      <c r="H261">
        <v>227</v>
      </c>
      <c r="I261">
        <v>277</v>
      </c>
      <c r="J261" t="s">
        <v>36</v>
      </c>
      <c r="K261" t="s">
        <v>36</v>
      </c>
      <c r="L261">
        <v>248</v>
      </c>
      <c r="M261" t="s">
        <v>36</v>
      </c>
      <c r="N261">
        <v>232</v>
      </c>
      <c r="O261">
        <v>210</v>
      </c>
      <c r="P261">
        <v>26.07</v>
      </c>
      <c r="Q261">
        <v>22.05</v>
      </c>
      <c r="R261" s="11" t="str">
        <f t="shared" si="1"/>
        <v>TE</v>
      </c>
    </row>
    <row r="262" spans="1:18" ht="14.25" customHeight="1" x14ac:dyDescent="0.25">
      <c r="A262">
        <v>258</v>
      </c>
      <c r="B262" t="s">
        <v>635</v>
      </c>
      <c r="C262" t="s">
        <v>604</v>
      </c>
      <c r="D262" t="s">
        <v>155</v>
      </c>
      <c r="E262">
        <v>202</v>
      </c>
      <c r="F262">
        <v>187</v>
      </c>
      <c r="G262">
        <v>332</v>
      </c>
      <c r="H262">
        <v>271</v>
      </c>
      <c r="I262" t="s">
        <v>36</v>
      </c>
      <c r="J262" t="s">
        <v>36</v>
      </c>
      <c r="K262" t="s">
        <v>36</v>
      </c>
      <c r="L262">
        <v>218</v>
      </c>
      <c r="M262" t="s">
        <v>36</v>
      </c>
      <c r="N262" t="s">
        <v>36</v>
      </c>
      <c r="O262" t="s">
        <v>36</v>
      </c>
      <c r="P262">
        <v>26.08</v>
      </c>
      <c r="Q262">
        <v>22.06</v>
      </c>
      <c r="R262" s="11" t="str">
        <f t="shared" si="1"/>
        <v>K-</v>
      </c>
    </row>
    <row r="263" spans="1:18" ht="14.25" customHeight="1" x14ac:dyDescent="0.25">
      <c r="A263">
        <v>259</v>
      </c>
      <c r="B263" t="s">
        <v>639</v>
      </c>
      <c r="C263" t="s">
        <v>703</v>
      </c>
      <c r="D263" t="s">
        <v>214</v>
      </c>
      <c r="E263" t="s">
        <v>36</v>
      </c>
      <c r="F263" t="s">
        <v>36</v>
      </c>
      <c r="G263" t="s">
        <v>36</v>
      </c>
      <c r="H263">
        <v>228</v>
      </c>
      <c r="I263">
        <v>241</v>
      </c>
      <c r="J263" t="s">
        <v>36</v>
      </c>
      <c r="K263" t="s">
        <v>36</v>
      </c>
      <c r="L263">
        <v>244</v>
      </c>
      <c r="M263" t="s">
        <v>36</v>
      </c>
      <c r="N263">
        <v>238</v>
      </c>
      <c r="O263">
        <v>262</v>
      </c>
      <c r="P263">
        <v>26.09</v>
      </c>
      <c r="Q263">
        <v>22.07</v>
      </c>
      <c r="R263" s="11" t="str">
        <f t="shared" si="1"/>
        <v>RB</v>
      </c>
    </row>
    <row r="264" spans="1:18" ht="14.25" customHeight="1" x14ac:dyDescent="0.25">
      <c r="A264">
        <v>260</v>
      </c>
      <c r="B264" t="s">
        <v>618</v>
      </c>
      <c r="C264" t="s">
        <v>627</v>
      </c>
      <c r="D264" t="s">
        <v>94</v>
      </c>
      <c r="E264" t="s">
        <v>36</v>
      </c>
      <c r="F264">
        <v>242</v>
      </c>
      <c r="G264" t="s">
        <v>36</v>
      </c>
      <c r="H264">
        <v>270</v>
      </c>
      <c r="I264">
        <v>251</v>
      </c>
      <c r="J264" t="s">
        <v>36</v>
      </c>
      <c r="K264" t="s">
        <v>36</v>
      </c>
      <c r="L264" t="s">
        <v>36</v>
      </c>
      <c r="M264" t="s">
        <v>36</v>
      </c>
      <c r="N264">
        <v>216</v>
      </c>
      <c r="O264">
        <v>238</v>
      </c>
      <c r="P264">
        <v>26.1</v>
      </c>
      <c r="Q264">
        <v>22.08</v>
      </c>
      <c r="R264" s="11" t="str">
        <f t="shared" si="1"/>
        <v>QB</v>
      </c>
    </row>
    <row r="265" spans="1:18" ht="14.25" customHeight="1" x14ac:dyDescent="0.25">
      <c r="A265">
        <v>261</v>
      </c>
      <c r="B265" t="s">
        <v>626</v>
      </c>
      <c r="C265" t="s">
        <v>611</v>
      </c>
      <c r="D265" t="s">
        <v>187</v>
      </c>
      <c r="E265" t="s">
        <v>36</v>
      </c>
      <c r="F265">
        <v>236</v>
      </c>
      <c r="G265" t="s">
        <v>36</v>
      </c>
      <c r="H265">
        <v>266</v>
      </c>
      <c r="I265">
        <v>267</v>
      </c>
      <c r="J265" t="s">
        <v>36</v>
      </c>
      <c r="K265" t="s">
        <v>36</v>
      </c>
      <c r="L265" t="s">
        <v>36</v>
      </c>
      <c r="M265" t="s">
        <v>36</v>
      </c>
      <c r="N265">
        <v>228</v>
      </c>
      <c r="O265">
        <v>231</v>
      </c>
      <c r="P265">
        <v>27.01</v>
      </c>
      <c r="Q265">
        <v>22.09</v>
      </c>
      <c r="R265" s="11" t="str">
        <f t="shared" si="1"/>
        <v>QB</v>
      </c>
    </row>
    <row r="266" spans="1:18" ht="14.25" customHeight="1" x14ac:dyDescent="0.25">
      <c r="A266">
        <v>262</v>
      </c>
      <c r="B266" t="s">
        <v>649</v>
      </c>
      <c r="C266" t="s">
        <v>652</v>
      </c>
      <c r="D266" t="s">
        <v>66</v>
      </c>
      <c r="E266" t="s">
        <v>36</v>
      </c>
      <c r="F266" t="s">
        <v>36</v>
      </c>
      <c r="G266" t="s">
        <v>36</v>
      </c>
      <c r="H266">
        <v>278</v>
      </c>
      <c r="I266">
        <v>261</v>
      </c>
      <c r="J266" t="s">
        <v>36</v>
      </c>
      <c r="K266">
        <v>250</v>
      </c>
      <c r="L266" t="s">
        <v>36</v>
      </c>
      <c r="M266" t="s">
        <v>36</v>
      </c>
      <c r="N266">
        <v>230</v>
      </c>
      <c r="O266">
        <v>217</v>
      </c>
      <c r="P266">
        <v>27.02</v>
      </c>
      <c r="Q266">
        <v>22.1</v>
      </c>
      <c r="R266" s="11" t="str">
        <f t="shared" si="1"/>
        <v>WR</v>
      </c>
    </row>
    <row r="267" spans="1:18" ht="14.25" customHeight="1" x14ac:dyDescent="0.25">
      <c r="A267">
        <v>263</v>
      </c>
      <c r="B267" t="s">
        <v>608</v>
      </c>
      <c r="C267" t="s">
        <v>644</v>
      </c>
      <c r="D267" t="s">
        <v>187</v>
      </c>
      <c r="E267">
        <v>206</v>
      </c>
      <c r="F267">
        <v>158</v>
      </c>
      <c r="G267">
        <v>334</v>
      </c>
      <c r="H267">
        <v>314</v>
      </c>
      <c r="I267">
        <v>231</v>
      </c>
      <c r="J267" t="s">
        <v>36</v>
      </c>
      <c r="K267" t="s">
        <v>36</v>
      </c>
      <c r="L267" t="s">
        <v>36</v>
      </c>
      <c r="M267" t="s">
        <v>36</v>
      </c>
      <c r="N267" t="s">
        <v>36</v>
      </c>
      <c r="O267" t="s">
        <v>36</v>
      </c>
      <c r="P267">
        <v>27.03</v>
      </c>
      <c r="Q267">
        <v>22.11</v>
      </c>
      <c r="R267" s="11" t="str">
        <f t="shared" si="1"/>
        <v>DE</v>
      </c>
    </row>
    <row r="268" spans="1:18" ht="14.25" customHeight="1" x14ac:dyDescent="0.25">
      <c r="A268">
        <v>264</v>
      </c>
      <c r="B268" t="s">
        <v>651</v>
      </c>
      <c r="C268" t="s">
        <v>650</v>
      </c>
      <c r="D268" t="s">
        <v>85</v>
      </c>
      <c r="E268" t="s">
        <v>36</v>
      </c>
      <c r="F268" t="s">
        <v>36</v>
      </c>
      <c r="G268" t="s">
        <v>36</v>
      </c>
      <c r="H268">
        <v>281</v>
      </c>
      <c r="I268">
        <v>286</v>
      </c>
      <c r="J268" t="s">
        <v>36</v>
      </c>
      <c r="K268" t="s">
        <v>36</v>
      </c>
      <c r="L268">
        <v>231</v>
      </c>
      <c r="M268" t="s">
        <v>36</v>
      </c>
      <c r="N268">
        <v>227</v>
      </c>
      <c r="O268">
        <v>230</v>
      </c>
      <c r="P268">
        <v>27.04</v>
      </c>
      <c r="Q268">
        <v>22.12</v>
      </c>
      <c r="R268" s="11" t="str">
        <f t="shared" si="1"/>
        <v>WR</v>
      </c>
    </row>
    <row r="269" spans="1:18" ht="14.25" customHeight="1" x14ac:dyDescent="0.25">
      <c r="A269">
        <v>265</v>
      </c>
      <c r="B269" t="s">
        <v>641</v>
      </c>
      <c r="C269" t="s">
        <v>648</v>
      </c>
      <c r="D269" t="s">
        <v>168</v>
      </c>
      <c r="E269" t="s">
        <v>36</v>
      </c>
      <c r="F269" t="s">
        <v>36</v>
      </c>
      <c r="G269">
        <v>339</v>
      </c>
      <c r="H269">
        <v>211</v>
      </c>
      <c r="I269">
        <v>257</v>
      </c>
      <c r="J269" t="s">
        <v>36</v>
      </c>
      <c r="K269" t="s">
        <v>36</v>
      </c>
      <c r="L269" t="s">
        <v>36</v>
      </c>
      <c r="M269" t="s">
        <v>36</v>
      </c>
      <c r="N269">
        <v>226</v>
      </c>
      <c r="O269">
        <v>224</v>
      </c>
      <c r="P269">
        <v>27.05</v>
      </c>
      <c r="Q269">
        <v>23.01</v>
      </c>
      <c r="R269" s="11" t="str">
        <f t="shared" si="1"/>
        <v>TE</v>
      </c>
    </row>
    <row r="270" spans="1:18" ht="14.25" customHeight="1" x14ac:dyDescent="0.25">
      <c r="A270">
        <v>266</v>
      </c>
      <c r="B270" t="s">
        <v>645</v>
      </c>
      <c r="C270" t="s">
        <v>646</v>
      </c>
      <c r="D270" t="s">
        <v>55</v>
      </c>
      <c r="E270" t="s">
        <v>36</v>
      </c>
      <c r="F270" t="s">
        <v>36</v>
      </c>
      <c r="G270" t="s">
        <v>36</v>
      </c>
      <c r="H270">
        <v>239</v>
      </c>
      <c r="I270">
        <v>247</v>
      </c>
      <c r="J270" t="s">
        <v>36</v>
      </c>
      <c r="K270">
        <v>269</v>
      </c>
      <c r="L270" t="s">
        <v>36</v>
      </c>
      <c r="M270" t="s">
        <v>36</v>
      </c>
      <c r="N270">
        <v>248</v>
      </c>
      <c r="O270">
        <v>255</v>
      </c>
      <c r="P270">
        <v>27.06</v>
      </c>
      <c r="Q270">
        <v>23.02</v>
      </c>
      <c r="R270" s="11" t="str">
        <f t="shared" si="1"/>
        <v>TE</v>
      </c>
    </row>
    <row r="271" spans="1:18" ht="14.25" customHeight="1" x14ac:dyDescent="0.25">
      <c r="A271">
        <v>267</v>
      </c>
      <c r="B271" t="s">
        <v>687</v>
      </c>
      <c r="C271" t="s">
        <v>619</v>
      </c>
      <c r="D271" t="s">
        <v>39</v>
      </c>
      <c r="E271" t="s">
        <v>36</v>
      </c>
      <c r="F271" t="s">
        <v>36</v>
      </c>
      <c r="G271" t="s">
        <v>36</v>
      </c>
      <c r="H271">
        <v>268</v>
      </c>
      <c r="I271">
        <v>253</v>
      </c>
      <c r="J271" t="s">
        <v>36</v>
      </c>
      <c r="K271">
        <v>277</v>
      </c>
      <c r="L271" t="s">
        <v>36</v>
      </c>
      <c r="M271" t="s">
        <v>36</v>
      </c>
      <c r="N271">
        <v>222</v>
      </c>
      <c r="O271">
        <v>241</v>
      </c>
      <c r="P271">
        <v>27.07</v>
      </c>
      <c r="Q271">
        <v>23.03</v>
      </c>
      <c r="R271" s="11" t="str">
        <f t="shared" si="1"/>
        <v>QB</v>
      </c>
    </row>
    <row r="272" spans="1:18" ht="14.25" customHeight="1" x14ac:dyDescent="0.25">
      <c r="A272">
        <v>268</v>
      </c>
      <c r="B272" t="s">
        <v>643</v>
      </c>
      <c r="C272" t="s">
        <v>609</v>
      </c>
      <c r="D272" t="s">
        <v>155</v>
      </c>
      <c r="E272" t="s">
        <v>36</v>
      </c>
      <c r="F272">
        <v>203</v>
      </c>
      <c r="G272">
        <v>337</v>
      </c>
      <c r="H272">
        <v>284</v>
      </c>
      <c r="I272">
        <v>220</v>
      </c>
      <c r="J272" t="s">
        <v>36</v>
      </c>
      <c r="K272">
        <v>217</v>
      </c>
      <c r="L272" t="s">
        <v>36</v>
      </c>
      <c r="M272" t="s">
        <v>36</v>
      </c>
      <c r="N272" t="s">
        <v>36</v>
      </c>
      <c r="O272" t="s">
        <v>36</v>
      </c>
      <c r="P272">
        <v>27.08</v>
      </c>
      <c r="Q272">
        <v>23.04</v>
      </c>
      <c r="R272" s="11" t="str">
        <f t="shared" si="1"/>
        <v>DE</v>
      </c>
    </row>
    <row r="273" spans="1:18" ht="14.25" customHeight="1" x14ac:dyDescent="0.25">
      <c r="A273">
        <v>269</v>
      </c>
      <c r="B273" t="s">
        <v>654</v>
      </c>
      <c r="C273" t="s">
        <v>670</v>
      </c>
      <c r="D273" t="s">
        <v>155</v>
      </c>
      <c r="E273" t="s">
        <v>36</v>
      </c>
      <c r="F273">
        <v>238</v>
      </c>
      <c r="G273" t="s">
        <v>36</v>
      </c>
      <c r="H273">
        <v>294</v>
      </c>
      <c r="I273">
        <v>285</v>
      </c>
      <c r="J273" t="s">
        <v>36</v>
      </c>
      <c r="K273" t="s">
        <v>36</v>
      </c>
      <c r="L273" t="s">
        <v>36</v>
      </c>
      <c r="M273" t="s">
        <v>36</v>
      </c>
      <c r="N273">
        <v>217</v>
      </c>
      <c r="O273">
        <v>257</v>
      </c>
      <c r="P273">
        <v>27.09</v>
      </c>
      <c r="Q273">
        <v>23.05</v>
      </c>
      <c r="R273" s="11" t="str">
        <f t="shared" si="1"/>
        <v>WR</v>
      </c>
    </row>
    <row r="274" spans="1:18" ht="14.25" customHeight="1" x14ac:dyDescent="0.25">
      <c r="A274">
        <v>270</v>
      </c>
      <c r="B274" t="s">
        <v>659</v>
      </c>
      <c r="C274" t="s">
        <v>623</v>
      </c>
      <c r="D274" t="s">
        <v>168</v>
      </c>
      <c r="E274" t="s">
        <v>36</v>
      </c>
      <c r="F274" t="s">
        <v>36</v>
      </c>
      <c r="G274" t="s">
        <v>36</v>
      </c>
      <c r="H274">
        <v>287</v>
      </c>
      <c r="I274">
        <v>238</v>
      </c>
      <c r="J274" t="s">
        <v>36</v>
      </c>
      <c r="K274">
        <v>287</v>
      </c>
      <c r="L274" t="s">
        <v>36</v>
      </c>
      <c r="M274" t="s">
        <v>36</v>
      </c>
      <c r="N274">
        <v>243</v>
      </c>
      <c r="O274">
        <v>239</v>
      </c>
      <c r="P274">
        <v>27.1</v>
      </c>
      <c r="Q274">
        <v>23.06</v>
      </c>
      <c r="R274" s="11" t="str">
        <f t="shared" si="1"/>
        <v>WR</v>
      </c>
    </row>
    <row r="275" spans="1:18" ht="14.25" customHeight="1" x14ac:dyDescent="0.25">
      <c r="A275">
        <v>271</v>
      </c>
      <c r="B275" t="s">
        <v>663</v>
      </c>
      <c r="C275" t="s">
        <v>677</v>
      </c>
      <c r="D275" t="s">
        <v>39</v>
      </c>
      <c r="E275" t="s">
        <v>36</v>
      </c>
      <c r="F275" t="s">
        <v>36</v>
      </c>
      <c r="G275" t="s">
        <v>36</v>
      </c>
      <c r="H275">
        <v>305</v>
      </c>
      <c r="I275">
        <v>274</v>
      </c>
      <c r="J275" t="s">
        <v>36</v>
      </c>
      <c r="K275" t="s">
        <v>36</v>
      </c>
      <c r="L275">
        <v>234</v>
      </c>
      <c r="M275" t="s">
        <v>36</v>
      </c>
      <c r="N275">
        <v>249</v>
      </c>
      <c r="O275">
        <v>252</v>
      </c>
      <c r="P275">
        <v>28.01</v>
      </c>
      <c r="Q275">
        <v>23.07</v>
      </c>
      <c r="R275" s="11" t="str">
        <f t="shared" si="1"/>
        <v>WR</v>
      </c>
    </row>
    <row r="276" spans="1:18" ht="14.25" customHeight="1" x14ac:dyDescent="0.25">
      <c r="A276">
        <v>272</v>
      </c>
      <c r="B276" t="s">
        <v>665</v>
      </c>
      <c r="C276" t="s">
        <v>660</v>
      </c>
      <c r="D276" t="s">
        <v>94</v>
      </c>
      <c r="E276" t="s">
        <v>36</v>
      </c>
      <c r="F276" t="s">
        <v>36</v>
      </c>
      <c r="G276" t="s">
        <v>36</v>
      </c>
      <c r="H276">
        <v>310</v>
      </c>
      <c r="I276">
        <v>273</v>
      </c>
      <c r="J276" t="s">
        <v>36</v>
      </c>
      <c r="K276" t="s">
        <v>36</v>
      </c>
      <c r="L276">
        <v>236</v>
      </c>
      <c r="M276" t="s">
        <v>36</v>
      </c>
      <c r="N276">
        <v>269</v>
      </c>
      <c r="O276">
        <v>246</v>
      </c>
      <c r="P276">
        <v>28.02</v>
      </c>
      <c r="Q276">
        <v>23.08</v>
      </c>
      <c r="R276" s="11" t="str">
        <f t="shared" si="1"/>
        <v>WR</v>
      </c>
    </row>
    <row r="277" spans="1:18" ht="14.25" customHeight="1" x14ac:dyDescent="0.25">
      <c r="A277">
        <v>273</v>
      </c>
      <c r="B277" t="s">
        <v>661</v>
      </c>
      <c r="C277" t="s">
        <v>662</v>
      </c>
      <c r="D277" t="s">
        <v>129</v>
      </c>
      <c r="E277" t="s">
        <v>36</v>
      </c>
      <c r="F277" t="s">
        <v>36</v>
      </c>
      <c r="G277" t="s">
        <v>36</v>
      </c>
      <c r="H277">
        <v>285</v>
      </c>
      <c r="I277">
        <v>269</v>
      </c>
      <c r="J277" t="s">
        <v>36</v>
      </c>
      <c r="K277" t="s">
        <v>36</v>
      </c>
      <c r="L277">
        <v>228</v>
      </c>
      <c r="M277" t="s">
        <v>36</v>
      </c>
      <c r="N277">
        <v>271</v>
      </c>
      <c r="O277">
        <v>286</v>
      </c>
      <c r="P277">
        <v>28.03</v>
      </c>
      <c r="Q277">
        <v>23.09</v>
      </c>
      <c r="R277" s="11" t="str">
        <f t="shared" si="1"/>
        <v>RB</v>
      </c>
    </row>
    <row r="278" spans="1:18" ht="14.25" customHeight="1" x14ac:dyDescent="0.25">
      <c r="A278">
        <v>274</v>
      </c>
      <c r="B278" t="s">
        <v>669</v>
      </c>
      <c r="C278" t="s">
        <v>672</v>
      </c>
      <c r="D278" t="s">
        <v>126</v>
      </c>
      <c r="E278" t="s">
        <v>36</v>
      </c>
      <c r="F278">
        <v>202</v>
      </c>
      <c r="G278" t="s">
        <v>36</v>
      </c>
      <c r="H278">
        <v>313</v>
      </c>
      <c r="I278">
        <v>346</v>
      </c>
      <c r="J278" t="s">
        <v>36</v>
      </c>
      <c r="K278" t="s">
        <v>36</v>
      </c>
      <c r="L278" t="s">
        <v>36</v>
      </c>
      <c r="M278" t="s">
        <v>36</v>
      </c>
      <c r="N278">
        <v>270</v>
      </c>
      <c r="O278">
        <v>265</v>
      </c>
      <c r="P278">
        <v>28.04</v>
      </c>
      <c r="Q278">
        <v>23.1</v>
      </c>
      <c r="R278" s="11" t="str">
        <f t="shared" si="1"/>
        <v>WR</v>
      </c>
    </row>
    <row r="279" spans="1:18" ht="14.25" customHeight="1" x14ac:dyDescent="0.25">
      <c r="A279">
        <v>275</v>
      </c>
      <c r="B279" t="s">
        <v>674</v>
      </c>
      <c r="C279" t="s">
        <v>615</v>
      </c>
      <c r="D279" t="s">
        <v>214</v>
      </c>
      <c r="E279" t="s">
        <v>36</v>
      </c>
      <c r="F279" t="s">
        <v>36</v>
      </c>
      <c r="G279" t="s">
        <v>36</v>
      </c>
      <c r="H279">
        <v>214</v>
      </c>
      <c r="I279">
        <v>240</v>
      </c>
      <c r="J279" t="s">
        <v>36</v>
      </c>
      <c r="K279" t="s">
        <v>36</v>
      </c>
      <c r="L279">
        <v>210</v>
      </c>
      <c r="M279" t="s">
        <v>36</v>
      </c>
      <c r="N279">
        <v>199</v>
      </c>
      <c r="O279" t="s">
        <v>36</v>
      </c>
      <c r="P279">
        <v>28.05</v>
      </c>
      <c r="Q279">
        <v>23.11</v>
      </c>
      <c r="R279" s="11" t="str">
        <f t="shared" si="1"/>
        <v>RB</v>
      </c>
    </row>
    <row r="280" spans="1:18" ht="14.25" customHeight="1" x14ac:dyDescent="0.25">
      <c r="A280">
        <v>276</v>
      </c>
      <c r="B280" t="s">
        <v>657</v>
      </c>
      <c r="C280" t="s">
        <v>658</v>
      </c>
      <c r="D280" t="s">
        <v>55</v>
      </c>
      <c r="E280" t="s">
        <v>36</v>
      </c>
      <c r="F280">
        <v>194</v>
      </c>
      <c r="G280" t="s">
        <v>36</v>
      </c>
      <c r="H280">
        <v>279</v>
      </c>
      <c r="I280">
        <v>243</v>
      </c>
      <c r="J280" t="s">
        <v>36</v>
      </c>
      <c r="K280">
        <v>216</v>
      </c>
      <c r="L280" t="s">
        <v>36</v>
      </c>
      <c r="M280" t="s">
        <v>36</v>
      </c>
      <c r="N280" t="s">
        <v>36</v>
      </c>
      <c r="O280" t="s">
        <v>36</v>
      </c>
      <c r="P280">
        <v>28.06</v>
      </c>
      <c r="Q280">
        <v>23.12</v>
      </c>
      <c r="R280" s="11" t="str">
        <f t="shared" si="1"/>
        <v>DE</v>
      </c>
    </row>
    <row r="281" spans="1:18" ht="14.25" customHeight="1" x14ac:dyDescent="0.25">
      <c r="A281">
        <v>277</v>
      </c>
      <c r="B281" t="s">
        <v>689</v>
      </c>
      <c r="C281" t="s">
        <v>690</v>
      </c>
      <c r="D281" t="s">
        <v>168</v>
      </c>
      <c r="E281">
        <v>213</v>
      </c>
      <c r="F281">
        <v>206</v>
      </c>
      <c r="G281" t="s">
        <v>36</v>
      </c>
      <c r="H281">
        <v>289</v>
      </c>
      <c r="I281" t="s">
        <v>36</v>
      </c>
      <c r="J281" t="s">
        <v>36</v>
      </c>
      <c r="K281" t="s">
        <v>36</v>
      </c>
      <c r="L281">
        <v>229</v>
      </c>
      <c r="M281" t="s">
        <v>36</v>
      </c>
      <c r="N281" t="s">
        <v>36</v>
      </c>
      <c r="O281" t="s">
        <v>36</v>
      </c>
      <c r="P281">
        <v>28.07</v>
      </c>
      <c r="Q281">
        <v>24.01</v>
      </c>
      <c r="R281" s="11" t="str">
        <f t="shared" si="1"/>
        <v>K-</v>
      </c>
    </row>
    <row r="282" spans="1:18" ht="14.25" customHeight="1" x14ac:dyDescent="0.25">
      <c r="A282">
        <v>278</v>
      </c>
      <c r="B282" t="s">
        <v>647</v>
      </c>
      <c r="C282" t="s">
        <v>693</v>
      </c>
      <c r="D282" t="s">
        <v>94</v>
      </c>
      <c r="E282" t="s">
        <v>36</v>
      </c>
      <c r="F282" t="s">
        <v>36</v>
      </c>
      <c r="G282" t="s">
        <v>36</v>
      </c>
      <c r="H282">
        <v>235</v>
      </c>
      <c r="I282">
        <v>278</v>
      </c>
      <c r="J282" t="s">
        <v>36</v>
      </c>
      <c r="K282" t="s">
        <v>36</v>
      </c>
      <c r="L282" t="s">
        <v>36</v>
      </c>
      <c r="M282" t="s">
        <v>36</v>
      </c>
      <c r="N282">
        <v>223</v>
      </c>
      <c r="O282">
        <v>228</v>
      </c>
      <c r="P282">
        <v>28.08</v>
      </c>
      <c r="Q282">
        <v>24.02</v>
      </c>
      <c r="R282" s="11" t="str">
        <f t="shared" si="1"/>
        <v>TE</v>
      </c>
    </row>
    <row r="283" spans="1:18" ht="14.25" customHeight="1" x14ac:dyDescent="0.25">
      <c r="A283">
        <v>279</v>
      </c>
      <c r="B283" t="s">
        <v>696</v>
      </c>
      <c r="C283" t="s">
        <v>1668</v>
      </c>
      <c r="D283" t="s">
        <v>214</v>
      </c>
      <c r="E283" t="s">
        <v>36</v>
      </c>
      <c r="F283">
        <v>184</v>
      </c>
      <c r="G283">
        <v>315</v>
      </c>
      <c r="H283">
        <v>274</v>
      </c>
      <c r="I283" t="s">
        <v>36</v>
      </c>
      <c r="J283" t="s">
        <v>36</v>
      </c>
      <c r="K283">
        <v>198</v>
      </c>
      <c r="L283" t="s">
        <v>36</v>
      </c>
      <c r="M283" t="s">
        <v>36</v>
      </c>
      <c r="N283" t="s">
        <v>36</v>
      </c>
      <c r="O283" t="s">
        <v>36</v>
      </c>
      <c r="P283">
        <v>28.09</v>
      </c>
      <c r="Q283">
        <v>24.03</v>
      </c>
      <c r="R283" s="11" t="str">
        <f t="shared" si="1"/>
        <v>K-</v>
      </c>
    </row>
    <row r="284" spans="1:18" ht="14.25" customHeight="1" x14ac:dyDescent="0.25">
      <c r="A284">
        <v>280</v>
      </c>
      <c r="B284" t="s">
        <v>694</v>
      </c>
      <c r="C284" t="s">
        <v>695</v>
      </c>
      <c r="D284" t="s">
        <v>187</v>
      </c>
      <c r="E284" t="s">
        <v>36</v>
      </c>
      <c r="F284" t="s">
        <v>36</v>
      </c>
      <c r="G284" t="s">
        <v>36</v>
      </c>
      <c r="H284">
        <v>273</v>
      </c>
      <c r="I284">
        <v>264</v>
      </c>
      <c r="J284" t="s">
        <v>36</v>
      </c>
      <c r="K284" t="s">
        <v>36</v>
      </c>
      <c r="L284" t="s">
        <v>36</v>
      </c>
      <c r="M284" t="s">
        <v>36</v>
      </c>
      <c r="N284">
        <v>234</v>
      </c>
      <c r="O284">
        <v>235</v>
      </c>
      <c r="P284">
        <v>28.1</v>
      </c>
      <c r="Q284">
        <v>24.04</v>
      </c>
      <c r="R284" s="11" t="str">
        <f t="shared" si="1"/>
        <v>QB</v>
      </c>
    </row>
    <row r="285" spans="1:18" ht="14.25" customHeight="1" x14ac:dyDescent="0.25">
      <c r="A285">
        <v>281</v>
      </c>
      <c r="B285" t="s">
        <v>671</v>
      </c>
      <c r="C285" t="s">
        <v>721</v>
      </c>
      <c r="D285" t="s">
        <v>104</v>
      </c>
      <c r="E285" t="s">
        <v>36</v>
      </c>
      <c r="F285" t="s">
        <v>36</v>
      </c>
      <c r="G285" t="s">
        <v>36</v>
      </c>
      <c r="H285">
        <v>292</v>
      </c>
      <c r="I285">
        <v>272</v>
      </c>
      <c r="J285" t="s">
        <v>36</v>
      </c>
      <c r="K285" t="s">
        <v>36</v>
      </c>
      <c r="L285" t="s">
        <v>36</v>
      </c>
      <c r="M285" t="s">
        <v>36</v>
      </c>
      <c r="N285">
        <v>220</v>
      </c>
      <c r="O285">
        <v>225</v>
      </c>
      <c r="P285">
        <v>29.01</v>
      </c>
      <c r="Q285">
        <v>24.05</v>
      </c>
      <c r="R285" s="11" t="str">
        <f t="shared" si="1"/>
        <v>WR</v>
      </c>
    </row>
    <row r="286" spans="1:18" ht="14.25" customHeight="1" x14ac:dyDescent="0.25">
      <c r="A286">
        <v>282</v>
      </c>
      <c r="B286" t="s">
        <v>655</v>
      </c>
      <c r="C286" t="s">
        <v>625</v>
      </c>
      <c r="D286" t="s">
        <v>44</v>
      </c>
      <c r="E286" t="s">
        <v>36</v>
      </c>
      <c r="F286" t="s">
        <v>36</v>
      </c>
      <c r="G286" t="s">
        <v>36</v>
      </c>
      <c r="H286">
        <v>254</v>
      </c>
      <c r="I286">
        <v>283</v>
      </c>
      <c r="J286" t="s">
        <v>36</v>
      </c>
      <c r="K286" t="s">
        <v>36</v>
      </c>
      <c r="L286" t="s">
        <v>36</v>
      </c>
      <c r="M286" t="s">
        <v>36</v>
      </c>
      <c r="N286">
        <v>247</v>
      </c>
      <c r="O286">
        <v>232</v>
      </c>
      <c r="P286">
        <v>29.02</v>
      </c>
      <c r="Q286">
        <v>24.06</v>
      </c>
      <c r="R286" s="11" t="str">
        <f t="shared" si="1"/>
        <v>TE</v>
      </c>
    </row>
    <row r="287" spans="1:18" ht="14.25" customHeight="1" x14ac:dyDescent="0.25">
      <c r="A287">
        <v>283</v>
      </c>
      <c r="B287" t="s">
        <v>667</v>
      </c>
      <c r="C287" t="s">
        <v>708</v>
      </c>
      <c r="D287" t="s">
        <v>52</v>
      </c>
      <c r="E287" t="s">
        <v>36</v>
      </c>
      <c r="F287">
        <v>259</v>
      </c>
      <c r="G287" t="s">
        <v>36</v>
      </c>
      <c r="H287">
        <v>267</v>
      </c>
      <c r="I287" t="s">
        <v>36</v>
      </c>
      <c r="J287" t="s">
        <v>36</v>
      </c>
      <c r="K287" t="s">
        <v>36</v>
      </c>
      <c r="L287" t="s">
        <v>36</v>
      </c>
      <c r="M287" t="s">
        <v>36</v>
      </c>
      <c r="N287">
        <v>258</v>
      </c>
      <c r="O287">
        <v>256</v>
      </c>
      <c r="P287">
        <v>29.03</v>
      </c>
      <c r="Q287">
        <v>24.07</v>
      </c>
      <c r="R287" s="11" t="str">
        <f t="shared" si="1"/>
        <v>TE</v>
      </c>
    </row>
    <row r="288" spans="1:18" ht="14.25" customHeight="1" x14ac:dyDescent="0.25">
      <c r="A288">
        <v>284</v>
      </c>
      <c r="B288" t="s">
        <v>692</v>
      </c>
      <c r="C288" t="s">
        <v>699</v>
      </c>
      <c r="D288" t="s">
        <v>233</v>
      </c>
      <c r="E288" t="s">
        <v>36</v>
      </c>
      <c r="F288">
        <v>232</v>
      </c>
      <c r="G288" t="s">
        <v>36</v>
      </c>
      <c r="H288">
        <v>282</v>
      </c>
      <c r="I288" t="s">
        <v>36</v>
      </c>
      <c r="J288" t="s">
        <v>36</v>
      </c>
      <c r="K288" t="s">
        <v>36</v>
      </c>
      <c r="L288" t="s">
        <v>36</v>
      </c>
      <c r="M288" t="s">
        <v>36</v>
      </c>
      <c r="N288">
        <v>284</v>
      </c>
      <c r="O288">
        <v>243</v>
      </c>
      <c r="P288">
        <v>29.04</v>
      </c>
      <c r="Q288">
        <v>24.08</v>
      </c>
      <c r="R288" s="11" t="str">
        <f t="shared" si="1"/>
        <v>TE</v>
      </c>
    </row>
    <row r="289" spans="1:18" ht="14.25" customHeight="1" x14ac:dyDescent="0.25">
      <c r="A289">
        <v>285</v>
      </c>
      <c r="B289" t="s">
        <v>676</v>
      </c>
      <c r="C289" t="s">
        <v>712</v>
      </c>
      <c r="D289" t="s">
        <v>129</v>
      </c>
      <c r="E289" t="s">
        <v>36</v>
      </c>
      <c r="F289" t="s">
        <v>36</v>
      </c>
      <c r="G289" t="s">
        <v>36</v>
      </c>
      <c r="H289">
        <v>288</v>
      </c>
      <c r="I289">
        <v>279</v>
      </c>
      <c r="J289" t="s">
        <v>36</v>
      </c>
      <c r="K289" t="s">
        <v>36</v>
      </c>
      <c r="L289" t="s">
        <v>36</v>
      </c>
      <c r="M289" t="s">
        <v>36</v>
      </c>
      <c r="N289">
        <v>233</v>
      </c>
      <c r="O289">
        <v>253</v>
      </c>
      <c r="P289">
        <v>29.05</v>
      </c>
      <c r="Q289">
        <v>24.09</v>
      </c>
      <c r="R289" s="11" t="str">
        <f t="shared" si="1"/>
        <v>WR</v>
      </c>
    </row>
    <row r="290" spans="1:18" ht="14.25" customHeight="1" x14ac:dyDescent="0.25">
      <c r="A290">
        <v>286</v>
      </c>
      <c r="B290" t="s">
        <v>698</v>
      </c>
      <c r="C290" t="s">
        <v>656</v>
      </c>
      <c r="D290" t="s">
        <v>145</v>
      </c>
      <c r="E290" t="s">
        <v>36</v>
      </c>
      <c r="F290" t="s">
        <v>36</v>
      </c>
      <c r="G290" t="s">
        <v>36</v>
      </c>
      <c r="H290">
        <v>259</v>
      </c>
      <c r="I290">
        <v>282</v>
      </c>
      <c r="J290" t="s">
        <v>36</v>
      </c>
      <c r="K290" t="s">
        <v>36</v>
      </c>
      <c r="L290" t="s">
        <v>36</v>
      </c>
      <c r="M290" t="s">
        <v>36</v>
      </c>
      <c r="N290">
        <v>272</v>
      </c>
      <c r="O290">
        <v>245</v>
      </c>
      <c r="P290">
        <v>29.06</v>
      </c>
      <c r="Q290">
        <v>24.1</v>
      </c>
      <c r="R290" s="11" t="str">
        <f t="shared" si="1"/>
        <v>TE</v>
      </c>
    </row>
    <row r="291" spans="1:18" ht="14.25" customHeight="1" x14ac:dyDescent="0.25">
      <c r="A291">
        <v>287</v>
      </c>
      <c r="B291" t="s">
        <v>683</v>
      </c>
      <c r="C291" t="s">
        <v>717</v>
      </c>
      <c r="D291" t="s">
        <v>66</v>
      </c>
      <c r="E291" t="s">
        <v>36</v>
      </c>
      <c r="F291">
        <v>275</v>
      </c>
      <c r="G291" t="s">
        <v>36</v>
      </c>
      <c r="H291">
        <v>303</v>
      </c>
      <c r="I291" t="s">
        <v>36</v>
      </c>
      <c r="J291" t="s">
        <v>36</v>
      </c>
      <c r="K291" t="s">
        <v>36</v>
      </c>
      <c r="L291" t="s">
        <v>36</v>
      </c>
      <c r="M291" t="s">
        <v>36</v>
      </c>
      <c r="N291">
        <v>253</v>
      </c>
      <c r="O291">
        <v>233</v>
      </c>
      <c r="P291">
        <v>29.07</v>
      </c>
      <c r="Q291">
        <v>24.11</v>
      </c>
      <c r="R291" s="11" t="str">
        <f t="shared" si="1"/>
        <v>WR</v>
      </c>
    </row>
    <row r="292" spans="1:18" ht="14.25" customHeight="1" x14ac:dyDescent="0.25">
      <c r="A292">
        <v>288</v>
      </c>
      <c r="B292" t="s">
        <v>707</v>
      </c>
      <c r="C292" t="s">
        <v>811</v>
      </c>
      <c r="D292" t="s">
        <v>155</v>
      </c>
      <c r="E292" t="s">
        <v>36</v>
      </c>
      <c r="F292">
        <v>217</v>
      </c>
      <c r="G292" t="s">
        <v>36</v>
      </c>
      <c r="H292">
        <v>309</v>
      </c>
      <c r="I292" t="s">
        <v>36</v>
      </c>
      <c r="J292" t="s">
        <v>36</v>
      </c>
      <c r="K292" t="s">
        <v>36</v>
      </c>
      <c r="L292" t="s">
        <v>36</v>
      </c>
      <c r="M292" t="s">
        <v>36</v>
      </c>
      <c r="N292">
        <v>268</v>
      </c>
      <c r="O292">
        <v>270</v>
      </c>
      <c r="P292">
        <v>29.08</v>
      </c>
      <c r="Q292">
        <v>24.12</v>
      </c>
      <c r="R292" s="11" t="str">
        <f t="shared" si="1"/>
        <v>TE</v>
      </c>
    </row>
    <row r="293" spans="1:18" ht="14.25" customHeight="1" x14ac:dyDescent="0.25">
      <c r="A293">
        <v>289</v>
      </c>
      <c r="B293" t="s">
        <v>714</v>
      </c>
      <c r="C293" t="s">
        <v>715</v>
      </c>
      <c r="D293" t="s">
        <v>66</v>
      </c>
      <c r="E293" t="s">
        <v>36</v>
      </c>
      <c r="F293">
        <v>224</v>
      </c>
      <c r="G293" t="s">
        <v>36</v>
      </c>
      <c r="H293">
        <v>297</v>
      </c>
      <c r="I293" t="s">
        <v>36</v>
      </c>
      <c r="J293" t="s">
        <v>36</v>
      </c>
      <c r="K293" t="s">
        <v>36</v>
      </c>
      <c r="L293" t="s">
        <v>36</v>
      </c>
      <c r="M293" t="s">
        <v>36</v>
      </c>
      <c r="N293">
        <v>287</v>
      </c>
      <c r="O293">
        <v>263</v>
      </c>
      <c r="P293">
        <v>29.09</v>
      </c>
      <c r="Q293">
        <v>25.01</v>
      </c>
      <c r="R293" s="11" t="str">
        <f t="shared" si="1"/>
        <v>TE</v>
      </c>
    </row>
    <row r="294" spans="1:18" ht="14.25" customHeight="1" x14ac:dyDescent="0.25">
      <c r="A294">
        <v>290</v>
      </c>
      <c r="B294" t="s">
        <v>685</v>
      </c>
      <c r="C294" t="s">
        <v>664</v>
      </c>
      <c r="D294" t="s">
        <v>55</v>
      </c>
      <c r="E294" t="s">
        <v>36</v>
      </c>
      <c r="F294">
        <v>265</v>
      </c>
      <c r="G294" t="s">
        <v>36</v>
      </c>
      <c r="H294" t="s">
        <v>36</v>
      </c>
      <c r="I294">
        <v>268</v>
      </c>
      <c r="J294" t="s">
        <v>36</v>
      </c>
      <c r="K294" t="s">
        <v>36</v>
      </c>
      <c r="L294" t="s">
        <v>36</v>
      </c>
      <c r="M294" t="s">
        <v>36</v>
      </c>
      <c r="N294">
        <v>261</v>
      </c>
      <c r="O294">
        <v>278</v>
      </c>
      <c r="P294">
        <v>29.1</v>
      </c>
      <c r="Q294">
        <v>25.02</v>
      </c>
      <c r="R294" s="11" t="str">
        <f t="shared" si="1"/>
        <v>WR</v>
      </c>
    </row>
    <row r="295" spans="1:18" ht="14.25" customHeight="1" x14ac:dyDescent="0.25">
      <c r="A295">
        <v>291</v>
      </c>
      <c r="B295" t="s">
        <v>711</v>
      </c>
      <c r="C295" t="s">
        <v>686</v>
      </c>
      <c r="D295" t="s">
        <v>116</v>
      </c>
      <c r="E295" t="s">
        <v>36</v>
      </c>
      <c r="F295">
        <v>296</v>
      </c>
      <c r="G295" t="s">
        <v>36</v>
      </c>
      <c r="H295">
        <v>338</v>
      </c>
      <c r="I295">
        <v>233</v>
      </c>
      <c r="J295" t="s">
        <v>36</v>
      </c>
      <c r="K295">
        <v>214</v>
      </c>
      <c r="L295" t="s">
        <v>36</v>
      </c>
      <c r="M295" t="s">
        <v>36</v>
      </c>
      <c r="N295" t="s">
        <v>36</v>
      </c>
      <c r="O295" t="s">
        <v>36</v>
      </c>
      <c r="P295">
        <v>30.01</v>
      </c>
      <c r="Q295">
        <v>25.03</v>
      </c>
      <c r="R295" s="11" t="str">
        <f t="shared" si="1"/>
        <v>WR</v>
      </c>
    </row>
    <row r="296" spans="1:18" ht="14.25" customHeight="1" x14ac:dyDescent="0.25">
      <c r="A296">
        <v>292</v>
      </c>
      <c r="B296" t="s">
        <v>679</v>
      </c>
      <c r="C296" t="s">
        <v>682</v>
      </c>
      <c r="D296" t="s">
        <v>36</v>
      </c>
      <c r="E296" t="s">
        <v>36</v>
      </c>
      <c r="F296">
        <v>299</v>
      </c>
      <c r="G296" t="s">
        <v>36</v>
      </c>
      <c r="H296">
        <v>275</v>
      </c>
      <c r="I296" t="s">
        <v>36</v>
      </c>
      <c r="J296" t="s">
        <v>36</v>
      </c>
      <c r="K296" t="s">
        <v>36</v>
      </c>
      <c r="L296" t="s">
        <v>36</v>
      </c>
      <c r="M296" t="s">
        <v>36</v>
      </c>
      <c r="N296">
        <v>239</v>
      </c>
      <c r="O296">
        <v>273</v>
      </c>
      <c r="P296">
        <v>30.02</v>
      </c>
      <c r="Q296">
        <v>25.04</v>
      </c>
      <c r="R296" s="11" t="str">
        <f t="shared" si="1"/>
        <v>RB</v>
      </c>
    </row>
    <row r="297" spans="1:18" ht="14.25" customHeight="1" x14ac:dyDescent="0.25">
      <c r="A297">
        <v>293</v>
      </c>
      <c r="B297" t="s">
        <v>681</v>
      </c>
      <c r="C297" t="s">
        <v>675</v>
      </c>
      <c r="D297" t="s">
        <v>69</v>
      </c>
      <c r="E297" t="s">
        <v>36</v>
      </c>
      <c r="F297" t="s">
        <v>36</v>
      </c>
      <c r="G297" t="s">
        <v>36</v>
      </c>
      <c r="H297">
        <v>276</v>
      </c>
      <c r="I297">
        <v>258</v>
      </c>
      <c r="J297" t="s">
        <v>36</v>
      </c>
      <c r="K297" t="s">
        <v>36</v>
      </c>
      <c r="L297" t="s">
        <v>36</v>
      </c>
      <c r="M297" t="s">
        <v>36</v>
      </c>
      <c r="N297">
        <v>277</v>
      </c>
      <c r="O297">
        <v>285</v>
      </c>
      <c r="P297">
        <v>30.03</v>
      </c>
      <c r="Q297">
        <v>25.05</v>
      </c>
      <c r="R297" s="11" t="str">
        <f t="shared" si="1"/>
        <v>RB</v>
      </c>
    </row>
    <row r="298" spans="1:18" ht="14.25" customHeight="1" x14ac:dyDescent="0.25">
      <c r="A298">
        <v>294</v>
      </c>
      <c r="B298" t="s">
        <v>716</v>
      </c>
      <c r="C298" t="s">
        <v>1122</v>
      </c>
      <c r="D298" t="s">
        <v>69</v>
      </c>
      <c r="E298" t="s">
        <v>36</v>
      </c>
      <c r="F298">
        <v>213</v>
      </c>
      <c r="G298" t="s">
        <v>36</v>
      </c>
      <c r="H298" t="s">
        <v>36</v>
      </c>
      <c r="I298">
        <v>333</v>
      </c>
      <c r="J298" t="s">
        <v>36</v>
      </c>
      <c r="K298" t="s">
        <v>36</v>
      </c>
      <c r="L298" t="s">
        <v>36</v>
      </c>
      <c r="M298" t="s">
        <v>36</v>
      </c>
      <c r="N298">
        <v>280</v>
      </c>
      <c r="O298">
        <v>280</v>
      </c>
      <c r="P298">
        <v>30.04</v>
      </c>
      <c r="Q298">
        <v>25.06</v>
      </c>
      <c r="R298" s="11" t="str">
        <f t="shared" si="1"/>
        <v>WR</v>
      </c>
    </row>
    <row r="299" spans="1:18" ht="14.25" customHeight="1" x14ac:dyDescent="0.25">
      <c r="A299">
        <v>295</v>
      </c>
      <c r="B299" t="s">
        <v>702</v>
      </c>
      <c r="C299" t="s">
        <v>945</v>
      </c>
      <c r="D299" t="s">
        <v>155</v>
      </c>
      <c r="E299" t="s">
        <v>36</v>
      </c>
      <c r="F299">
        <v>295</v>
      </c>
      <c r="G299" t="s">
        <v>36</v>
      </c>
      <c r="H299">
        <v>296</v>
      </c>
      <c r="I299">
        <v>281</v>
      </c>
      <c r="J299" t="s">
        <v>36</v>
      </c>
      <c r="K299" t="s">
        <v>36</v>
      </c>
      <c r="L299" t="s">
        <v>36</v>
      </c>
      <c r="M299" t="s">
        <v>36</v>
      </c>
      <c r="N299">
        <v>252</v>
      </c>
      <c r="O299" t="s">
        <v>36</v>
      </c>
      <c r="P299">
        <v>30.05</v>
      </c>
      <c r="Q299">
        <v>25.07</v>
      </c>
      <c r="R299" s="11" t="str">
        <f t="shared" si="1"/>
        <v>RB</v>
      </c>
    </row>
    <row r="300" spans="1:18" ht="14.25" customHeight="1" x14ac:dyDescent="0.25">
      <c r="A300">
        <v>296</v>
      </c>
      <c r="B300" t="s">
        <v>720</v>
      </c>
      <c r="C300" t="s">
        <v>1087</v>
      </c>
      <c r="D300" t="s">
        <v>104</v>
      </c>
      <c r="E300" t="s">
        <v>36</v>
      </c>
      <c r="F300" t="s">
        <v>36</v>
      </c>
      <c r="G300" t="s">
        <v>36</v>
      </c>
      <c r="H300">
        <v>307</v>
      </c>
      <c r="I300">
        <v>349</v>
      </c>
      <c r="J300" t="s">
        <v>36</v>
      </c>
      <c r="K300" t="s">
        <v>36</v>
      </c>
      <c r="L300" t="s">
        <v>36</v>
      </c>
      <c r="M300" t="s">
        <v>36</v>
      </c>
      <c r="N300">
        <v>244</v>
      </c>
      <c r="O300">
        <v>227</v>
      </c>
      <c r="P300">
        <v>30.06</v>
      </c>
      <c r="Q300">
        <v>25.08</v>
      </c>
      <c r="R300" s="11" t="str">
        <f t="shared" si="1"/>
        <v>WR</v>
      </c>
    </row>
    <row r="301" spans="1:18" ht="14.25" customHeight="1" x14ac:dyDescent="0.25">
      <c r="A301">
        <v>297</v>
      </c>
      <c r="B301" t="s">
        <v>705</v>
      </c>
      <c r="C301" t="s">
        <v>816</v>
      </c>
      <c r="D301" t="s">
        <v>199</v>
      </c>
      <c r="E301" t="s">
        <v>36</v>
      </c>
      <c r="F301" t="s">
        <v>36</v>
      </c>
      <c r="G301" t="s">
        <v>36</v>
      </c>
      <c r="H301">
        <v>302</v>
      </c>
      <c r="I301">
        <v>276</v>
      </c>
      <c r="J301" t="s">
        <v>36</v>
      </c>
      <c r="K301" t="s">
        <v>36</v>
      </c>
      <c r="L301" t="s">
        <v>36</v>
      </c>
      <c r="M301" t="s">
        <v>36</v>
      </c>
      <c r="N301">
        <v>246</v>
      </c>
      <c r="O301">
        <v>307</v>
      </c>
      <c r="P301">
        <v>30.07</v>
      </c>
      <c r="Q301">
        <v>25.09</v>
      </c>
      <c r="R301" s="11" t="str">
        <f t="shared" si="1"/>
        <v>RB</v>
      </c>
    </row>
    <row r="302" spans="1:18" ht="14.25" customHeight="1" x14ac:dyDescent="0.25">
      <c r="A302">
        <v>298</v>
      </c>
      <c r="B302" t="s">
        <v>1669</v>
      </c>
      <c r="C302" t="s">
        <v>666</v>
      </c>
      <c r="D302" t="s">
        <v>52</v>
      </c>
      <c r="E302" t="s">
        <v>36</v>
      </c>
      <c r="F302" t="s">
        <v>36</v>
      </c>
      <c r="G302" t="s">
        <v>36</v>
      </c>
      <c r="H302">
        <v>325</v>
      </c>
      <c r="I302" t="s">
        <v>36</v>
      </c>
      <c r="J302" t="s">
        <v>36</v>
      </c>
      <c r="K302">
        <v>281</v>
      </c>
      <c r="L302" t="s">
        <v>36</v>
      </c>
      <c r="M302" t="s">
        <v>36</v>
      </c>
      <c r="N302">
        <v>275</v>
      </c>
      <c r="O302">
        <v>250</v>
      </c>
      <c r="P302">
        <v>30.08</v>
      </c>
      <c r="Q302">
        <v>25.1</v>
      </c>
      <c r="R302" s="11" t="str">
        <f t="shared" si="1"/>
        <v>WR</v>
      </c>
    </row>
    <row r="303" spans="1:18" ht="14.25" customHeight="1" x14ac:dyDescent="0.25">
      <c r="A303">
        <v>299</v>
      </c>
      <c r="B303" t="s">
        <v>1670</v>
      </c>
      <c r="C303" t="s">
        <v>938</v>
      </c>
      <c r="D303" t="s">
        <v>214</v>
      </c>
      <c r="E303" t="s">
        <v>36</v>
      </c>
      <c r="F303">
        <v>274</v>
      </c>
      <c r="G303" t="s">
        <v>36</v>
      </c>
      <c r="H303">
        <v>322</v>
      </c>
      <c r="I303" t="s">
        <v>36</v>
      </c>
      <c r="J303" t="s">
        <v>36</v>
      </c>
      <c r="K303" t="s">
        <v>36</v>
      </c>
      <c r="L303" t="s">
        <v>36</v>
      </c>
      <c r="M303" t="s">
        <v>36</v>
      </c>
      <c r="N303">
        <v>281</v>
      </c>
      <c r="O303">
        <v>275</v>
      </c>
      <c r="P303">
        <v>30.09</v>
      </c>
      <c r="Q303">
        <v>25.11</v>
      </c>
      <c r="R303" s="11" t="str">
        <f t="shared" si="1"/>
        <v>TE</v>
      </c>
    </row>
    <row r="304" spans="1:18" ht="14.25" customHeight="1" x14ac:dyDescent="0.25">
      <c r="A304">
        <v>300</v>
      </c>
      <c r="B304" t="s">
        <v>1671</v>
      </c>
      <c r="C304" t="s">
        <v>680</v>
      </c>
      <c r="D304" t="s">
        <v>52</v>
      </c>
      <c r="E304" t="s">
        <v>36</v>
      </c>
      <c r="F304" t="s">
        <v>36</v>
      </c>
      <c r="G304" t="s">
        <v>36</v>
      </c>
      <c r="H304">
        <v>319</v>
      </c>
      <c r="I304">
        <v>263</v>
      </c>
      <c r="J304" t="s">
        <v>36</v>
      </c>
      <c r="K304">
        <v>291</v>
      </c>
      <c r="L304" t="s">
        <v>36</v>
      </c>
      <c r="M304" t="s">
        <v>36</v>
      </c>
      <c r="N304" t="s">
        <v>36</v>
      </c>
      <c r="O304">
        <v>291</v>
      </c>
      <c r="P304">
        <v>30.1</v>
      </c>
      <c r="Q304">
        <v>25.12</v>
      </c>
      <c r="R304" s="11" t="str">
        <f t="shared" si="1"/>
        <v>RB</v>
      </c>
    </row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</sheetData>
  <autoFilter ref="A4:R299" xr:uid="{00000000-0009-0000-0000-000002000000}">
    <sortState xmlns:xlrd2="http://schemas.microsoft.com/office/spreadsheetml/2017/richdata2" ref="A4:R299">
      <sortCondition ref="F4:F299"/>
    </sortState>
  </autoFilter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E1000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14.42578125" defaultRowHeight="15" customHeight="1" x14ac:dyDescent="0.25"/>
  <cols>
    <col min="1" max="2" width="8.7109375" customWidth="1"/>
    <col min="3" max="5" width="9.7109375" customWidth="1"/>
    <col min="6" max="6" width="8.7109375" customWidth="1"/>
    <col min="7" max="7" width="21.140625" customWidth="1"/>
    <col min="8" max="9" width="8.7109375" customWidth="1"/>
    <col min="10" max="10" width="27.42578125" customWidth="1"/>
    <col min="11" max="31" width="8.7109375" customWidth="1"/>
  </cols>
  <sheetData>
    <row r="1" spans="1:31" ht="14.25" customHeight="1" x14ac:dyDescent="0.35">
      <c r="A1" s="95" t="s">
        <v>3</v>
      </c>
      <c r="B1" s="96"/>
      <c r="C1" s="96"/>
      <c r="D1" s="2"/>
      <c r="E1" s="5"/>
      <c r="F1" s="2"/>
      <c r="G1" s="2"/>
      <c r="I1" s="2"/>
      <c r="J1" s="2" t="s">
        <v>4</v>
      </c>
      <c r="K1" s="4">
        <v>1</v>
      </c>
      <c r="L1" s="4">
        <v>2</v>
      </c>
      <c r="M1" s="4">
        <v>3</v>
      </c>
      <c r="N1" s="4">
        <v>4</v>
      </c>
      <c r="O1" s="4">
        <v>5</v>
      </c>
      <c r="P1" s="4">
        <v>6</v>
      </c>
      <c r="Q1" s="4">
        <v>7</v>
      </c>
      <c r="R1" s="4">
        <v>8</v>
      </c>
      <c r="S1" s="4">
        <v>9</v>
      </c>
      <c r="T1" s="4">
        <v>10</v>
      </c>
      <c r="U1" s="4">
        <v>11</v>
      </c>
      <c r="V1" s="4">
        <v>12</v>
      </c>
      <c r="W1" s="4">
        <v>13</v>
      </c>
      <c r="X1" s="4">
        <v>14</v>
      </c>
      <c r="Y1" s="4">
        <v>15</v>
      </c>
      <c r="Z1" s="4">
        <v>16</v>
      </c>
      <c r="AA1" s="4"/>
      <c r="AB1" s="4"/>
      <c r="AC1" s="4"/>
      <c r="AE1" s="2"/>
    </row>
    <row r="2" spans="1:31" ht="14.25" customHeight="1" x14ac:dyDescent="0.25">
      <c r="A2" s="1" t="s">
        <v>14</v>
      </c>
      <c r="B2" s="2" t="s">
        <v>17</v>
      </c>
      <c r="C2" s="2"/>
      <c r="D2" s="2"/>
      <c r="E2" s="5"/>
      <c r="F2" s="2"/>
      <c r="G2" s="2"/>
      <c r="H2" s="3"/>
      <c r="I2" s="2"/>
      <c r="J2" s="2" t="s">
        <v>23</v>
      </c>
      <c r="K2" s="2">
        <f t="shared" ref="K2:Z2" si="0">COUNTIF($D$7:$D$301, K1)</f>
        <v>12</v>
      </c>
      <c r="L2" s="2">
        <f t="shared" si="0"/>
        <v>12</v>
      </c>
      <c r="M2" s="2">
        <f t="shared" si="0"/>
        <v>2</v>
      </c>
      <c r="N2" s="2">
        <f t="shared" si="0"/>
        <v>0</v>
      </c>
      <c r="O2" s="13">
        <f t="shared" si="0"/>
        <v>0</v>
      </c>
      <c r="P2" s="2">
        <f t="shared" si="0"/>
        <v>0</v>
      </c>
      <c r="Q2" s="2">
        <f t="shared" si="0"/>
        <v>0</v>
      </c>
      <c r="R2" s="14">
        <f t="shared" si="0"/>
        <v>0</v>
      </c>
      <c r="S2" s="2">
        <f t="shared" si="0"/>
        <v>0</v>
      </c>
      <c r="T2" s="13">
        <f t="shared" si="0"/>
        <v>0</v>
      </c>
      <c r="U2" s="14">
        <f t="shared" si="0"/>
        <v>0</v>
      </c>
      <c r="V2" s="2">
        <f t="shared" si="0"/>
        <v>0</v>
      </c>
      <c r="W2" s="2">
        <f t="shared" si="0"/>
        <v>0</v>
      </c>
      <c r="X2" s="2">
        <f t="shared" si="0"/>
        <v>0</v>
      </c>
      <c r="Y2" s="2">
        <f t="shared" si="0"/>
        <v>0</v>
      </c>
      <c r="Z2" s="2">
        <f t="shared" si="0"/>
        <v>0</v>
      </c>
      <c r="AA2" s="2"/>
      <c r="AB2" s="2"/>
      <c r="AC2" s="2"/>
      <c r="AE2" s="2"/>
    </row>
    <row r="3" spans="1:31" ht="14.25" customHeight="1" x14ac:dyDescent="0.25">
      <c r="B3" s="2" t="s">
        <v>56</v>
      </c>
      <c r="C3" s="2"/>
      <c r="D3" s="2"/>
      <c r="E3" s="5"/>
      <c r="F3" s="2"/>
      <c r="G3" s="2"/>
      <c r="H3" s="3"/>
      <c r="I3" s="2"/>
      <c r="J3" s="2" t="s">
        <v>46</v>
      </c>
      <c r="K3" s="2">
        <f>K2</f>
        <v>12</v>
      </c>
      <c r="L3" s="2">
        <f t="shared" ref="L3:Z3" si="1">K3+L2</f>
        <v>24</v>
      </c>
      <c r="M3" s="2">
        <f t="shared" si="1"/>
        <v>26</v>
      </c>
      <c r="N3" s="2">
        <f t="shared" si="1"/>
        <v>26</v>
      </c>
      <c r="O3" s="2">
        <f t="shared" si="1"/>
        <v>26</v>
      </c>
      <c r="P3" s="2">
        <f t="shared" si="1"/>
        <v>26</v>
      </c>
      <c r="Q3" s="2">
        <f t="shared" si="1"/>
        <v>26</v>
      </c>
      <c r="R3" s="2">
        <f t="shared" si="1"/>
        <v>26</v>
      </c>
      <c r="S3" s="2">
        <f t="shared" si="1"/>
        <v>26</v>
      </c>
      <c r="T3" s="2">
        <f t="shared" si="1"/>
        <v>26</v>
      </c>
      <c r="U3" s="2">
        <f t="shared" si="1"/>
        <v>26</v>
      </c>
      <c r="V3" s="2">
        <f t="shared" si="1"/>
        <v>26</v>
      </c>
      <c r="W3" s="2">
        <f t="shared" si="1"/>
        <v>26</v>
      </c>
      <c r="X3" s="2">
        <f t="shared" si="1"/>
        <v>26</v>
      </c>
      <c r="Y3" s="2">
        <f t="shared" si="1"/>
        <v>26</v>
      </c>
      <c r="Z3" s="2">
        <f t="shared" si="1"/>
        <v>26</v>
      </c>
      <c r="AA3" s="2"/>
      <c r="AB3" s="2"/>
      <c r="AC3" s="2"/>
      <c r="AE3" s="2"/>
    </row>
    <row r="4" spans="1:31" ht="14.25" customHeight="1" x14ac:dyDescent="0.25">
      <c r="B4" s="1" t="s">
        <v>59</v>
      </c>
      <c r="C4" s="2"/>
      <c r="D4" s="2"/>
      <c r="E4" s="5"/>
      <c r="G4" s="2"/>
      <c r="H4" s="3"/>
      <c r="I4" s="2"/>
      <c r="J4" s="2" t="s">
        <v>61</v>
      </c>
      <c r="K4" s="2">
        <v>2</v>
      </c>
      <c r="L4" s="2">
        <f>K4+21</f>
        <v>23</v>
      </c>
      <c r="M4" s="2">
        <f>L4+3</f>
        <v>26</v>
      </c>
      <c r="N4" s="2">
        <f>M4+21</f>
        <v>47</v>
      </c>
      <c r="O4" s="2">
        <f>N4+3</f>
        <v>50</v>
      </c>
      <c r="P4" s="2">
        <f>O4+21</f>
        <v>71</v>
      </c>
      <c r="Q4" s="2">
        <f>P4+3</f>
        <v>74</v>
      </c>
      <c r="R4" s="2">
        <f>Q4+21</f>
        <v>95</v>
      </c>
      <c r="S4" s="2">
        <f>R4+3</f>
        <v>98</v>
      </c>
      <c r="T4" s="2">
        <f>S4+21</f>
        <v>119</v>
      </c>
      <c r="U4" s="2">
        <f>T4+3</f>
        <v>122</v>
      </c>
      <c r="V4" s="2">
        <f>U4+21</f>
        <v>143</v>
      </c>
      <c r="W4" s="2">
        <f>V4+3</f>
        <v>146</v>
      </c>
      <c r="X4" s="2">
        <f>W4+21</f>
        <v>167</v>
      </c>
      <c r="Y4" s="2">
        <f>X4+3</f>
        <v>170</v>
      </c>
      <c r="Z4" s="2">
        <f>Y4+21</f>
        <v>191</v>
      </c>
      <c r="AA4" s="2"/>
      <c r="AB4" s="2"/>
      <c r="AC4" s="2"/>
      <c r="AE4" s="2"/>
    </row>
    <row r="5" spans="1:31" ht="14.25" customHeight="1" x14ac:dyDescent="0.25">
      <c r="C5" s="2"/>
      <c r="D5" s="2"/>
      <c r="E5" s="5"/>
      <c r="F5" s="2"/>
      <c r="G5" s="2"/>
      <c r="H5" s="3"/>
      <c r="I5" s="2"/>
      <c r="J5" s="2" t="s">
        <v>82</v>
      </c>
      <c r="K5" s="2">
        <f t="shared" ref="K5:Z5" si="2">K3-K4</f>
        <v>10</v>
      </c>
      <c r="L5" s="2">
        <f t="shared" si="2"/>
        <v>1</v>
      </c>
      <c r="M5" s="2">
        <f t="shared" si="2"/>
        <v>0</v>
      </c>
      <c r="N5" s="2">
        <f t="shared" si="2"/>
        <v>-21</v>
      </c>
      <c r="O5" s="2">
        <f t="shared" si="2"/>
        <v>-24</v>
      </c>
      <c r="P5" s="2">
        <f t="shared" si="2"/>
        <v>-45</v>
      </c>
      <c r="Q5" s="2">
        <f t="shared" si="2"/>
        <v>-48</v>
      </c>
      <c r="R5" s="2">
        <f t="shared" si="2"/>
        <v>-69</v>
      </c>
      <c r="S5" s="2">
        <f t="shared" si="2"/>
        <v>-72</v>
      </c>
      <c r="T5" s="2">
        <f t="shared" si="2"/>
        <v>-93</v>
      </c>
      <c r="U5" s="2">
        <f t="shared" si="2"/>
        <v>-96</v>
      </c>
      <c r="V5" s="2">
        <f t="shared" si="2"/>
        <v>-117</v>
      </c>
      <c r="W5" s="2">
        <f t="shared" si="2"/>
        <v>-120</v>
      </c>
      <c r="X5" s="2">
        <f t="shared" si="2"/>
        <v>-141</v>
      </c>
      <c r="Y5" s="2">
        <f t="shared" si="2"/>
        <v>-144</v>
      </c>
      <c r="Z5" s="2">
        <f t="shared" si="2"/>
        <v>-165</v>
      </c>
      <c r="AA5" s="2"/>
      <c r="AB5" s="2"/>
      <c r="AC5" s="2"/>
      <c r="AE5" s="2"/>
    </row>
    <row r="6" spans="1:31" ht="14.25" customHeight="1" x14ac:dyDescent="0.25">
      <c r="A6" s="15" t="s">
        <v>95</v>
      </c>
      <c r="B6" s="16" t="s">
        <v>96</v>
      </c>
      <c r="C6" s="17" t="s">
        <v>99</v>
      </c>
      <c r="D6" s="17" t="s">
        <v>26</v>
      </c>
      <c r="E6" s="20" t="s">
        <v>100</v>
      </c>
      <c r="F6" s="17" t="s">
        <v>27</v>
      </c>
      <c r="G6" s="4" t="s">
        <v>5</v>
      </c>
      <c r="H6" s="4" t="s">
        <v>8</v>
      </c>
      <c r="I6" s="4" t="s">
        <v>7</v>
      </c>
      <c r="J6" s="4" t="s">
        <v>28</v>
      </c>
      <c r="K6" s="4" t="s">
        <v>29</v>
      </c>
      <c r="L6" s="18" t="s">
        <v>102</v>
      </c>
      <c r="M6" s="18" t="s">
        <v>18</v>
      </c>
      <c r="N6" s="15" t="s">
        <v>22</v>
      </c>
      <c r="O6" s="19" t="s">
        <v>106</v>
      </c>
      <c r="P6" s="15" t="s">
        <v>9</v>
      </c>
      <c r="Q6" s="15" t="s">
        <v>10</v>
      </c>
      <c r="R6" s="15" t="s">
        <v>12</v>
      </c>
      <c r="S6" s="15" t="s">
        <v>16</v>
      </c>
      <c r="T6" s="15" t="s">
        <v>15</v>
      </c>
      <c r="U6" s="16" t="s">
        <v>110</v>
      </c>
      <c r="V6" s="16" t="s">
        <v>111</v>
      </c>
      <c r="W6" s="16" t="s">
        <v>112</v>
      </c>
      <c r="X6" s="16" t="s">
        <v>113</v>
      </c>
      <c r="Y6" s="4" t="s">
        <v>30</v>
      </c>
    </row>
    <row r="7" spans="1:31" ht="14.25" hidden="1" customHeight="1" x14ac:dyDescent="0.25">
      <c r="A7" s="11"/>
      <c r="B7" s="11">
        <f t="shared" ref="B7:B209" si="3">IFERROR(INT(AVERAGE(P7:T7)/12)+1, INT(AVERAGE(M7)/12)+1)</f>
        <v>1</v>
      </c>
      <c r="C7" s="11" t="s">
        <v>148</v>
      </c>
      <c r="D7" s="11">
        <v>1</v>
      </c>
      <c r="E7" s="23"/>
      <c r="F7" s="11">
        <f>VLOOKUP($G7, SeanRanks26!$A$2:$H$303, 5, FALSE)</f>
        <v>0</v>
      </c>
      <c r="G7" s="11" t="s">
        <v>34</v>
      </c>
      <c r="H7" s="11" t="str">
        <f>VLOOKUP($G7, '26 ADP Data'!$C$4:$Q$298, 2, FALSE)</f>
        <v>DET</v>
      </c>
      <c r="I7" s="11" t="str">
        <f>VLOOKUP(G7, '26 ADP Data'!$C$4:$R$496, 16, FALSE)</f>
        <v>RB</v>
      </c>
      <c r="J7" s="11" t="str">
        <f>VLOOKUP($G7, SeanRanks26!$A$2:$H$303, 6, FALSE)</f>
        <v>RB1 - 1 - Elite</v>
      </c>
      <c r="K7" s="11">
        <f>VLOOKUP($G7, SeanRanks26!$A$2:$H$303, 7, FALSE)</f>
        <v>1</v>
      </c>
      <c r="L7" s="11">
        <f t="shared" ref="L7:L261" si="4">IFERROR(INT(M7/12)+1, 16)</f>
        <v>1</v>
      </c>
      <c r="M7" s="11">
        <f>VLOOKUP($G7, '26 ADP Data'!$C$4:$Q$298, 10, FALSE)</f>
        <v>1</v>
      </c>
      <c r="N7" s="11">
        <f>VLOOKUP($G7, '26 ADP Data'!$C$4:$Q$298, 13, FALSE)</f>
        <v>1</v>
      </c>
      <c r="O7" s="11">
        <f t="shared" ref="O7:O261" si="5">M7-N7</f>
        <v>0</v>
      </c>
      <c r="P7" s="11">
        <f>VLOOKUP($G7, '26 ADP Data'!$C$4:$Q$298, 3, FALSE)</f>
        <v>1</v>
      </c>
      <c r="Q7" s="11">
        <f>VLOOKUP($G7, '26 ADP Data'!$C$4:$Q$298, 4, FALSE)</f>
        <v>1</v>
      </c>
      <c r="R7" s="11">
        <f>VLOOKUP($G7, '26 ADP Data'!$C$4:$Q$298, 6, FALSE)</f>
        <v>1</v>
      </c>
      <c r="S7" s="11">
        <f>VLOOKUP($G7, '26 ADP Data'!$C$4:$Q$298, 9, FALSE)</f>
        <v>1</v>
      </c>
      <c r="T7" s="11" t="str">
        <f>VLOOKUP($G7, '26 ADP Data'!$C$4:$Q$298, 8, FALSE)</f>
        <v>-</v>
      </c>
      <c r="U7" s="11">
        <f t="shared" ref="U7:U261" si="6">INT(AVERAGE(M7:N7,P7:T7))</f>
        <v>1</v>
      </c>
      <c r="V7" s="11">
        <f t="shared" ref="V7:V261" si="7">IFERROR(INT(U7/12)+1, 16)</f>
        <v>1</v>
      </c>
      <c r="W7" s="11"/>
      <c r="X7" s="11">
        <f>VLOOKUP($G7, SeanRanks26!$A$2:$K$303, 10, FALSE)-U7</f>
        <v>0</v>
      </c>
      <c r="Y7" s="25" t="str">
        <f>IF(VLOOKUP($G7, SeanRanks26!$A$2:$H$303, 8, FALSE)=0, "", VLOOKUP($G7, SeanRanks26!$A$2:$H$303, 8, FALSE))</f>
        <v/>
      </c>
    </row>
    <row r="8" spans="1:31" ht="14.25" hidden="1" customHeight="1" x14ac:dyDescent="0.25">
      <c r="A8" s="11" t="s">
        <v>148</v>
      </c>
      <c r="B8" s="11">
        <f t="shared" si="3"/>
        <v>1</v>
      </c>
      <c r="C8" s="11" t="s">
        <v>119</v>
      </c>
      <c r="D8" s="11">
        <v>1</v>
      </c>
      <c r="E8" s="23"/>
      <c r="F8" s="11">
        <f>VLOOKUP($G8, SeanRanks26!$A$2:$H$303, 5, FALSE)</f>
        <v>0</v>
      </c>
      <c r="G8" s="11" t="s">
        <v>38</v>
      </c>
      <c r="H8" s="11" t="str">
        <f>VLOOKUP($G8, '26 ADP Data'!$C$4:$Q$298, 2, FALSE)</f>
        <v>ATL</v>
      </c>
      <c r="I8" s="11" t="str">
        <f>VLOOKUP(G8, '26 ADP Data'!$C$4:$R$496, 16, FALSE)</f>
        <v>RB</v>
      </c>
      <c r="J8" s="11" t="str">
        <f>VLOOKUP($G8, SeanRanks26!$A$2:$H$303, 6, FALSE)</f>
        <v>RB1 - 1 - Elite</v>
      </c>
      <c r="K8" s="11">
        <f>VLOOKUP($G8, SeanRanks26!$A$2:$H$303, 7, FALSE)</f>
        <v>2</v>
      </c>
      <c r="L8" s="11">
        <f t="shared" si="4"/>
        <v>1</v>
      </c>
      <c r="M8" s="11">
        <f>VLOOKUP($G8, '26 ADP Data'!$C$4:$Q$298, 10, FALSE)</f>
        <v>2</v>
      </c>
      <c r="N8" s="11">
        <f>VLOOKUP($G8, '26 ADP Data'!$C$4:$Q$298, 13, FALSE)</f>
        <v>2</v>
      </c>
      <c r="O8" s="11">
        <f t="shared" si="5"/>
        <v>0</v>
      </c>
      <c r="P8" s="11">
        <f>VLOOKUP($G8, '26 ADP Data'!$C$4:$Q$298, 3, FALSE)</f>
        <v>2</v>
      </c>
      <c r="Q8" s="11">
        <f>VLOOKUP($G8, '26 ADP Data'!$C$4:$Q$298, 4, FALSE)</f>
        <v>2</v>
      </c>
      <c r="R8" s="11">
        <f>VLOOKUP($G8, '26 ADP Data'!$C$4:$Q$298, 6, FALSE)</f>
        <v>2</v>
      </c>
      <c r="S8" s="11">
        <f>VLOOKUP($G8, '26 ADP Data'!$C$4:$Q$298, 9, FALSE)</f>
        <v>2</v>
      </c>
      <c r="T8" s="11" t="str">
        <f>VLOOKUP($G8, '26 ADP Data'!$C$4:$Q$298, 8, FALSE)</f>
        <v>-</v>
      </c>
      <c r="U8" s="11">
        <f t="shared" si="6"/>
        <v>2</v>
      </c>
      <c r="V8" s="11">
        <f t="shared" si="7"/>
        <v>1</v>
      </c>
      <c r="W8" s="11"/>
      <c r="X8" s="11">
        <f>VLOOKUP($G8, SeanRanks26!$A$2:$K$303, 10, FALSE)-U8</f>
        <v>0</v>
      </c>
      <c r="Y8" s="25" t="str">
        <f>IF(VLOOKUP($G8, SeanRanks26!$A$2:$H$303, 8, FALSE)=0, "", VLOOKUP($G8, SeanRanks26!$A$2:$H$303, 8, FALSE))</f>
        <v/>
      </c>
    </row>
    <row r="9" spans="1:31" ht="14.25" customHeight="1" x14ac:dyDescent="0.25">
      <c r="A9" s="11"/>
      <c r="B9" s="11">
        <f t="shared" si="3"/>
        <v>1</v>
      </c>
      <c r="C9" s="11" t="s">
        <v>148</v>
      </c>
      <c r="D9" s="11"/>
      <c r="E9" s="23"/>
      <c r="F9" s="11">
        <f>VLOOKUP($G9, SeanRanks26!$A$2:$H$303, 5, FALSE)</f>
        <v>0</v>
      </c>
      <c r="G9" s="11" t="s">
        <v>43</v>
      </c>
      <c r="H9" s="11" t="str">
        <f>VLOOKUP($G9, '26 ADP Data'!$C$4:$Q$298, 2, FALSE)</f>
        <v>CIN</v>
      </c>
      <c r="I9" s="11" t="str">
        <f>VLOOKUP(G9, '26 ADP Data'!$C$4:$R$496, 16, FALSE)</f>
        <v>WR</v>
      </c>
      <c r="J9" s="11" t="str">
        <f>VLOOKUP($G9, SeanRanks26!$A$2:$H$303, 6, FALSE)</f>
        <v>WR1 - 1 - Elite</v>
      </c>
      <c r="K9" s="11">
        <f>VLOOKUP($G9, SeanRanks26!$A$2:$H$303, 7, FALSE)</f>
        <v>1</v>
      </c>
      <c r="L9" s="11">
        <f t="shared" si="4"/>
        <v>1</v>
      </c>
      <c r="M9" s="11">
        <f>VLOOKUP($G9, '26 ADP Data'!$C$4:$Q$298, 10, FALSE)</f>
        <v>3</v>
      </c>
      <c r="N9" s="11">
        <f>VLOOKUP($G9, '26 ADP Data'!$C$4:$Q$298, 13, FALSE)</f>
        <v>3</v>
      </c>
      <c r="O9" s="11">
        <f t="shared" si="5"/>
        <v>0</v>
      </c>
      <c r="P9" s="11">
        <f>VLOOKUP($G9, '26 ADP Data'!$C$4:$Q$298, 3, FALSE)</f>
        <v>3</v>
      </c>
      <c r="Q9" s="11">
        <f>VLOOKUP($G9, '26 ADP Data'!$C$4:$Q$298, 4, FALSE)</f>
        <v>3</v>
      </c>
      <c r="R9" s="11">
        <f>VLOOKUP($G9, '26 ADP Data'!$C$4:$Q$298, 6, FALSE)</f>
        <v>3</v>
      </c>
      <c r="S9" s="11">
        <f>VLOOKUP($G9, '26 ADP Data'!$C$4:$Q$298, 9, FALSE)</f>
        <v>3</v>
      </c>
      <c r="T9" s="11" t="str">
        <f>VLOOKUP($G9, '26 ADP Data'!$C$4:$Q$298, 8, FALSE)</f>
        <v>-</v>
      </c>
      <c r="U9" s="11">
        <f t="shared" si="6"/>
        <v>3</v>
      </c>
      <c r="V9" s="11">
        <f t="shared" si="7"/>
        <v>1</v>
      </c>
      <c r="W9" s="11"/>
      <c r="X9" s="11">
        <f>VLOOKUP($G9, SeanRanks26!$A$2:$K$303, 10, FALSE)-U9</f>
        <v>0</v>
      </c>
      <c r="Y9" s="25" t="str">
        <f>IF(VLOOKUP($G9, SeanRanks26!$A$2:$H$303, 8, FALSE)=0, "", VLOOKUP($G9, SeanRanks26!$A$2:$H$303, 8, FALSE))</f>
        <v/>
      </c>
    </row>
    <row r="10" spans="1:31" ht="14.25" customHeight="1" x14ac:dyDescent="0.25">
      <c r="A10" s="11"/>
      <c r="B10" s="11">
        <f t="shared" si="3"/>
        <v>1</v>
      </c>
      <c r="C10" s="11" t="s">
        <v>148</v>
      </c>
      <c r="D10" s="11"/>
      <c r="E10" s="23"/>
      <c r="F10" s="11">
        <f>VLOOKUP($G10, SeanRanks26!$A$2:$H$303, 5, FALSE)</f>
        <v>0</v>
      </c>
      <c r="G10" s="11" t="s">
        <v>51</v>
      </c>
      <c r="H10" s="11" t="str">
        <f>VLOOKUP($G10, '26 ADP Data'!$C$4:$Q$298, 2, FALSE)</f>
        <v>SEA</v>
      </c>
      <c r="I10" s="11" t="str">
        <f>VLOOKUP(G10, '26 ADP Data'!$C$4:$R$496, 16, FALSE)</f>
        <v>WR</v>
      </c>
      <c r="J10" s="11" t="str">
        <f>VLOOKUP($G10, SeanRanks26!$A$2:$H$303, 6, FALSE)</f>
        <v>WR1 - 1 - Elite</v>
      </c>
      <c r="K10" s="11">
        <f>VLOOKUP($G10, SeanRanks26!$A$2:$H$303, 7, FALSE)</f>
        <v>2</v>
      </c>
      <c r="L10" s="11">
        <f t="shared" si="4"/>
        <v>1</v>
      </c>
      <c r="M10" s="11">
        <f>VLOOKUP($G10, '26 ADP Data'!$C$4:$Q$298, 10, FALSE)</f>
        <v>8</v>
      </c>
      <c r="N10" s="11">
        <f>VLOOKUP($G10, '26 ADP Data'!$C$4:$Q$298, 13, FALSE)</f>
        <v>5</v>
      </c>
      <c r="O10" s="11">
        <f t="shared" si="5"/>
        <v>3</v>
      </c>
      <c r="P10" s="11">
        <f>VLOOKUP($G10, '26 ADP Data'!$C$4:$Q$298, 3, FALSE)</f>
        <v>6</v>
      </c>
      <c r="Q10" s="11">
        <f>VLOOKUP($G10, '26 ADP Data'!$C$4:$Q$298, 4, FALSE)</f>
        <v>6</v>
      </c>
      <c r="R10" s="11">
        <f>VLOOKUP($G10, '26 ADP Data'!$C$4:$Q$298, 6, FALSE)</f>
        <v>6</v>
      </c>
      <c r="S10" s="11">
        <f>VLOOKUP($G10, '26 ADP Data'!$C$4:$Q$298, 9, FALSE)</f>
        <v>8</v>
      </c>
      <c r="T10" s="11" t="str">
        <f>VLOOKUP($G10, '26 ADP Data'!$C$4:$Q$298, 8, FALSE)</f>
        <v>-</v>
      </c>
      <c r="U10" s="11">
        <f t="shared" si="6"/>
        <v>6</v>
      </c>
      <c r="V10" s="11">
        <f t="shared" si="7"/>
        <v>1</v>
      </c>
      <c r="W10" s="11"/>
      <c r="X10" s="11">
        <f>VLOOKUP($G10, SeanRanks26!$A$2:$K$303, 10, FALSE)-U10</f>
        <v>2</v>
      </c>
      <c r="Y10" s="25" t="str">
        <f>IF(VLOOKUP($G10, SeanRanks26!$A$2:$H$303, 8, FALSE)=0, "", VLOOKUP($G10, SeanRanks26!$A$2:$H$303, 8, FALSE))</f>
        <v/>
      </c>
    </row>
    <row r="11" spans="1:31" ht="14.25" hidden="1" customHeight="1" x14ac:dyDescent="0.25">
      <c r="A11" s="11"/>
      <c r="B11" s="11">
        <f t="shared" si="3"/>
        <v>1</v>
      </c>
      <c r="C11" s="11" t="s">
        <v>148</v>
      </c>
      <c r="D11" s="11">
        <v>1</v>
      </c>
      <c r="E11" s="23"/>
      <c r="F11" s="11">
        <f>VLOOKUP($G11, SeanRanks26!$A$2:$H$303, 5, FALSE)</f>
        <v>0</v>
      </c>
      <c r="G11" s="11" t="s">
        <v>54</v>
      </c>
      <c r="H11" s="11" t="str">
        <f>VLOOKUP($G11, '26 ADP Data'!$C$4:$Q$298, 2, FALSE)</f>
        <v>SF</v>
      </c>
      <c r="I11" s="11" t="str">
        <f>VLOOKUP(G11, '26 ADP Data'!$C$4:$R$496, 16, FALSE)</f>
        <v>RB</v>
      </c>
      <c r="J11" s="11" t="str">
        <f>VLOOKUP($G11, SeanRanks26!$A$2:$H$303, 6, FALSE)</f>
        <v>RB1 - 2 - Could be RB1</v>
      </c>
      <c r="K11" s="11">
        <f>VLOOKUP($G11, SeanRanks26!$A$2:$H$303, 7, FALSE)</f>
        <v>3</v>
      </c>
      <c r="L11" s="11">
        <f t="shared" si="4"/>
        <v>1</v>
      </c>
      <c r="M11" s="11">
        <f>VLOOKUP($G11, '26 ADP Data'!$C$4:$Q$298, 10, FALSE)</f>
        <v>6</v>
      </c>
      <c r="N11" s="11">
        <f>VLOOKUP($G11, '26 ADP Data'!$C$4:$Q$298, 13, FALSE)</f>
        <v>6</v>
      </c>
      <c r="O11" s="11">
        <f t="shared" si="5"/>
        <v>0</v>
      </c>
      <c r="P11" s="11">
        <f>VLOOKUP($G11, '26 ADP Data'!$C$4:$Q$298, 3, FALSE)</f>
        <v>7</v>
      </c>
      <c r="Q11" s="11">
        <f>VLOOKUP($G11, '26 ADP Data'!$C$4:$Q$298, 4, FALSE)</f>
        <v>7</v>
      </c>
      <c r="R11" s="11">
        <f>VLOOKUP($G11, '26 ADP Data'!$C$4:$Q$298, 6, FALSE)</f>
        <v>5</v>
      </c>
      <c r="S11" s="11">
        <f>VLOOKUP($G11, '26 ADP Data'!$C$4:$Q$298, 9, FALSE)</f>
        <v>4</v>
      </c>
      <c r="T11" s="11" t="str">
        <f>VLOOKUP($G11, '26 ADP Data'!$C$4:$Q$298, 8, FALSE)</f>
        <v>-</v>
      </c>
      <c r="U11" s="11">
        <f t="shared" si="6"/>
        <v>5</v>
      </c>
      <c r="V11" s="11">
        <f t="shared" si="7"/>
        <v>1</v>
      </c>
      <c r="W11" s="11"/>
      <c r="X11" s="11">
        <f>VLOOKUP($G11, SeanRanks26!$A$2:$K$303, 10, FALSE)-U11</f>
        <v>1</v>
      </c>
      <c r="Y11" s="25" t="str">
        <f>IF(VLOOKUP($G11, SeanRanks26!$A$2:$H$303, 8, FALSE)=0, "", VLOOKUP($G11, SeanRanks26!$A$2:$H$303, 8, FALSE))</f>
        <v/>
      </c>
    </row>
    <row r="12" spans="1:31" ht="14.25" hidden="1" customHeight="1" x14ac:dyDescent="0.25">
      <c r="A12" s="11"/>
      <c r="B12" s="11">
        <f t="shared" si="3"/>
        <v>1</v>
      </c>
      <c r="C12" s="11" t="s">
        <v>148</v>
      </c>
      <c r="D12" s="11"/>
      <c r="E12" s="23"/>
      <c r="F12" s="11">
        <f>VLOOKUP($G12, SeanRanks26!$A$2:$H$303, 5, FALSE)</f>
        <v>0</v>
      </c>
      <c r="G12" s="11" t="s">
        <v>58</v>
      </c>
      <c r="H12" s="11" t="str">
        <f>VLOOKUP($G12, '26 ADP Data'!$C$4:$Q$298, 2, FALSE)</f>
        <v>IND</v>
      </c>
      <c r="I12" s="11" t="str">
        <f>VLOOKUP(G12, '26 ADP Data'!$C$4:$R$496, 16, FALSE)</f>
        <v>RB</v>
      </c>
      <c r="J12" s="11" t="str">
        <f>VLOOKUP($G12, SeanRanks26!$A$2:$H$303, 6, FALSE)</f>
        <v>RB1 - 2 - Could be RB1</v>
      </c>
      <c r="K12" s="11">
        <f>VLOOKUP($G12, SeanRanks26!$A$2:$H$303, 7, FALSE)</f>
        <v>4</v>
      </c>
      <c r="L12" s="11">
        <f t="shared" si="4"/>
        <v>1</v>
      </c>
      <c r="M12" s="11">
        <f>VLOOKUP($G12, '26 ADP Data'!$C$4:$Q$298, 10, FALSE)</f>
        <v>5</v>
      </c>
      <c r="N12" s="11">
        <f>VLOOKUP($G12, '26 ADP Data'!$C$4:$Q$298, 13, FALSE)</f>
        <v>8</v>
      </c>
      <c r="O12" s="11">
        <f t="shared" si="5"/>
        <v>-3</v>
      </c>
      <c r="P12" s="11">
        <f>VLOOKUP($G12, '26 ADP Data'!$C$4:$Q$298, 3, FALSE)</f>
        <v>5</v>
      </c>
      <c r="Q12" s="11">
        <f>VLOOKUP($G12, '26 ADP Data'!$C$4:$Q$298, 4, FALSE)</f>
        <v>5</v>
      </c>
      <c r="R12" s="11">
        <f>VLOOKUP($G12, '26 ADP Data'!$C$4:$Q$298, 6, FALSE)</f>
        <v>8</v>
      </c>
      <c r="S12" s="11">
        <f>VLOOKUP($G12, '26 ADP Data'!$C$4:$Q$298, 9, FALSE)</f>
        <v>5</v>
      </c>
      <c r="T12" s="11" t="str">
        <f>VLOOKUP($G12, '26 ADP Data'!$C$4:$Q$298, 8, FALSE)</f>
        <v>-</v>
      </c>
      <c r="U12" s="11">
        <f t="shared" si="6"/>
        <v>6</v>
      </c>
      <c r="V12" s="11">
        <f t="shared" si="7"/>
        <v>1</v>
      </c>
      <c r="W12" s="11"/>
      <c r="X12" s="11">
        <f>VLOOKUP($G12, SeanRanks26!$A$2:$K$303, 10, FALSE)-U12</f>
        <v>-1</v>
      </c>
      <c r="Y12" s="25" t="str">
        <f>IF(VLOOKUP($G12, SeanRanks26!$A$2:$H$303, 8, FALSE)=0, "", VLOOKUP($G12, SeanRanks26!$A$2:$H$303, 8, FALSE))</f>
        <v/>
      </c>
    </row>
    <row r="13" spans="1:31" ht="14.25" customHeight="1" x14ac:dyDescent="0.25">
      <c r="A13" s="11"/>
      <c r="B13" s="11">
        <f t="shared" si="3"/>
        <v>1</v>
      </c>
      <c r="C13" s="11" t="s">
        <v>148</v>
      </c>
      <c r="D13" s="11"/>
      <c r="E13" s="23"/>
      <c r="F13" s="11">
        <f>VLOOKUP($G13, SeanRanks26!$A$2:$H$303, 5, FALSE)</f>
        <v>0</v>
      </c>
      <c r="G13" s="11" t="s">
        <v>48</v>
      </c>
      <c r="H13" s="11" t="str">
        <f>VLOOKUP($G13, '26 ADP Data'!$C$4:$Q$298, 2, FALSE)</f>
        <v>LAR</v>
      </c>
      <c r="I13" s="11" t="str">
        <f>VLOOKUP(G13, '26 ADP Data'!$C$4:$R$496, 16, FALSE)</f>
        <v>WR</v>
      </c>
      <c r="J13" s="11" t="str">
        <f>VLOOKUP($G13, SeanRanks26!$A$2:$H$303, 6, FALSE)</f>
        <v>WR1 - 1 - Elite</v>
      </c>
      <c r="K13" s="11">
        <f>VLOOKUP($G13, SeanRanks26!$A$2:$H$303, 7, FALSE)</f>
        <v>3</v>
      </c>
      <c r="L13" s="11">
        <f t="shared" si="4"/>
        <v>1</v>
      </c>
      <c r="M13" s="11">
        <f>VLOOKUP($G13, '26 ADP Data'!$C$4:$Q$298, 10, FALSE)</f>
        <v>4</v>
      </c>
      <c r="N13" s="11">
        <f>VLOOKUP($G13, '26 ADP Data'!$C$4:$Q$298, 13, FALSE)</f>
        <v>4</v>
      </c>
      <c r="O13" s="11">
        <f t="shared" si="5"/>
        <v>0</v>
      </c>
      <c r="P13" s="11">
        <f>VLOOKUP($G13, '26 ADP Data'!$C$4:$Q$298, 3, FALSE)</f>
        <v>4</v>
      </c>
      <c r="Q13" s="11">
        <f>VLOOKUP($G13, '26 ADP Data'!$C$4:$Q$298, 4, FALSE)</f>
        <v>4</v>
      </c>
      <c r="R13" s="11">
        <f>VLOOKUP($G13, '26 ADP Data'!$C$4:$Q$298, 6, FALSE)</f>
        <v>4</v>
      </c>
      <c r="S13" s="11">
        <f>VLOOKUP($G13, '26 ADP Data'!$C$4:$Q$298, 9, FALSE)</f>
        <v>6</v>
      </c>
      <c r="T13" s="11" t="str">
        <f>VLOOKUP($G13, '26 ADP Data'!$C$4:$Q$298, 8, FALSE)</f>
        <v>-</v>
      </c>
      <c r="U13" s="11">
        <f t="shared" si="6"/>
        <v>4</v>
      </c>
      <c r="V13" s="11">
        <f t="shared" si="7"/>
        <v>1</v>
      </c>
      <c r="W13" s="11"/>
      <c r="X13" s="11">
        <f>VLOOKUP($G13, SeanRanks26!$A$2:$K$303, 10, FALSE)-U13</f>
        <v>0</v>
      </c>
      <c r="Y13" s="25" t="str">
        <f>IF(VLOOKUP($G13, SeanRanks26!$A$2:$H$303, 8, FALSE)=0, "", VLOOKUP($G13, SeanRanks26!$A$2:$H$303, 8, FALSE))</f>
        <v/>
      </c>
    </row>
    <row r="14" spans="1:31" ht="14.25" customHeight="1" x14ac:dyDescent="0.25">
      <c r="A14" s="11"/>
      <c r="B14" s="11">
        <f t="shared" si="3"/>
        <v>1</v>
      </c>
      <c r="C14" s="11" t="s">
        <v>148</v>
      </c>
      <c r="D14" s="11">
        <v>1</v>
      </c>
      <c r="E14" s="23"/>
      <c r="F14" s="11">
        <f>VLOOKUP($G14, SeanRanks26!$A$2:$H$303, 5, FALSE)</f>
        <v>0</v>
      </c>
      <c r="G14" s="11" t="s">
        <v>63</v>
      </c>
      <c r="H14" s="11" t="str">
        <f>VLOOKUP($G14, '26 ADP Data'!$C$4:$Q$298, 2, FALSE)</f>
        <v>DET</v>
      </c>
      <c r="I14" s="11" t="str">
        <f>VLOOKUP(G14, '26 ADP Data'!$C$4:$R$496, 16, FALSE)</f>
        <v>WR</v>
      </c>
      <c r="J14" s="11" t="str">
        <f>VLOOKUP($G14, SeanRanks26!$A$2:$H$303, 6, FALSE)</f>
        <v>WR1 - 2 - Volotile</v>
      </c>
      <c r="K14" s="11">
        <f>VLOOKUP($G14, SeanRanks26!$A$2:$H$303, 7, FALSE)</f>
        <v>4</v>
      </c>
      <c r="L14" s="11">
        <f t="shared" si="4"/>
        <v>1</v>
      </c>
      <c r="M14" s="11">
        <f>VLOOKUP($G14, '26 ADP Data'!$C$4:$Q$298, 10, FALSE)</f>
        <v>7</v>
      </c>
      <c r="N14" s="11">
        <f>VLOOKUP($G14, '26 ADP Data'!$C$4:$Q$298, 13, FALSE)</f>
        <v>7</v>
      </c>
      <c r="O14" s="11">
        <f t="shared" si="5"/>
        <v>0</v>
      </c>
      <c r="P14" s="11">
        <f>VLOOKUP($G14, '26 ADP Data'!$C$4:$Q$298, 3, FALSE)</f>
        <v>8</v>
      </c>
      <c r="Q14" s="11">
        <f>VLOOKUP($G14, '26 ADP Data'!$C$4:$Q$298, 4, FALSE)</f>
        <v>8</v>
      </c>
      <c r="R14" s="11">
        <f>VLOOKUP($G14, '26 ADP Data'!$C$4:$Q$298, 6, FALSE)</f>
        <v>7</v>
      </c>
      <c r="S14" s="11">
        <f>VLOOKUP($G14, '26 ADP Data'!$C$4:$Q$298, 9, FALSE)</f>
        <v>7</v>
      </c>
      <c r="T14" s="11" t="str">
        <f>VLOOKUP($G14, '26 ADP Data'!$C$4:$Q$298, 8, FALSE)</f>
        <v>-</v>
      </c>
      <c r="U14" s="11">
        <f t="shared" si="6"/>
        <v>7</v>
      </c>
      <c r="V14" s="11">
        <f t="shared" si="7"/>
        <v>1</v>
      </c>
      <c r="W14" s="11"/>
      <c r="X14" s="11">
        <f>VLOOKUP($G14, SeanRanks26!$A$2:$K$303, 10, FALSE)-U14</f>
        <v>0</v>
      </c>
      <c r="Y14" s="25" t="str">
        <f>IF(VLOOKUP($G14, SeanRanks26!$A$2:$H$303, 8, FALSE)=0, "", VLOOKUP($G14, SeanRanks26!$A$2:$H$303, 8, FALSE))</f>
        <v/>
      </c>
    </row>
    <row r="15" spans="1:31" ht="14.25" hidden="1" customHeight="1" x14ac:dyDescent="0.25">
      <c r="A15" s="11"/>
      <c r="B15" s="11">
        <f t="shared" si="3"/>
        <v>1</v>
      </c>
      <c r="C15" s="11" t="s">
        <v>148</v>
      </c>
      <c r="D15" s="11"/>
      <c r="E15" s="23"/>
      <c r="F15" s="11">
        <f>VLOOKUP($G15, SeanRanks26!$A$2:$H$303, 5, FALSE)</f>
        <v>0</v>
      </c>
      <c r="G15" s="11" t="s">
        <v>65</v>
      </c>
      <c r="H15" s="11" t="str">
        <f>VLOOKUP($G15, '26 ADP Data'!$C$4:$Q$298, 2, FALSE)</f>
        <v>BUF</v>
      </c>
      <c r="I15" s="11" t="str">
        <f>VLOOKUP(G15, '26 ADP Data'!$C$4:$R$496, 16, FALSE)</f>
        <v>RB</v>
      </c>
      <c r="J15" s="11" t="str">
        <f>VLOOKUP($G15, SeanRanks26!$A$2:$H$303, 6, FALSE)</f>
        <v>RB1 - 3 - Weekly RB1</v>
      </c>
      <c r="K15" s="11">
        <f>VLOOKUP($G15, SeanRanks26!$A$2:$H$303, 7, FALSE)</f>
        <v>5</v>
      </c>
      <c r="L15" s="11">
        <f t="shared" si="4"/>
        <v>1</v>
      </c>
      <c r="M15" s="11">
        <f>VLOOKUP($G15, '26 ADP Data'!$C$4:$Q$298, 10, FALSE)</f>
        <v>9</v>
      </c>
      <c r="N15" s="11">
        <f>VLOOKUP($G15, '26 ADP Data'!$C$4:$Q$298, 13, FALSE)</f>
        <v>10</v>
      </c>
      <c r="O15" s="11">
        <f t="shared" si="5"/>
        <v>-1</v>
      </c>
      <c r="P15" s="11">
        <f>VLOOKUP($G15, '26 ADP Data'!$C$4:$Q$298, 3, FALSE)</f>
        <v>9</v>
      </c>
      <c r="Q15" s="11">
        <f>VLOOKUP($G15, '26 ADP Data'!$C$4:$Q$298, 4, FALSE)</f>
        <v>9</v>
      </c>
      <c r="R15" s="11">
        <f>VLOOKUP($G15, '26 ADP Data'!$C$4:$Q$298, 6, FALSE)</f>
        <v>10</v>
      </c>
      <c r="S15" s="11">
        <f>VLOOKUP($G15, '26 ADP Data'!$C$4:$Q$298, 9, FALSE)</f>
        <v>9</v>
      </c>
      <c r="T15" s="11" t="str">
        <f>VLOOKUP($G15, '26 ADP Data'!$C$4:$Q$298, 8, FALSE)</f>
        <v>-</v>
      </c>
      <c r="U15" s="11">
        <f t="shared" si="6"/>
        <v>9</v>
      </c>
      <c r="V15" s="11">
        <f t="shared" si="7"/>
        <v>1</v>
      </c>
      <c r="W15" s="11"/>
      <c r="X15" s="11">
        <f>VLOOKUP($G15, SeanRanks26!$A$2:$K$303, 10, FALSE)-U15</f>
        <v>0</v>
      </c>
      <c r="Y15" s="25" t="str">
        <f>IF(VLOOKUP($G15, SeanRanks26!$A$2:$H$303, 8, FALSE)=0, "", VLOOKUP($G15, SeanRanks26!$A$2:$H$303, 8, FALSE))</f>
        <v/>
      </c>
    </row>
    <row r="16" spans="1:31" ht="14.25" customHeight="1" x14ac:dyDescent="0.25">
      <c r="A16" s="11"/>
      <c r="B16" s="11">
        <f t="shared" si="3"/>
        <v>2</v>
      </c>
      <c r="C16" s="11" t="s">
        <v>148</v>
      </c>
      <c r="D16" s="11">
        <v>1</v>
      </c>
      <c r="E16" s="23"/>
      <c r="F16" s="11">
        <f>VLOOKUP($G16, SeanRanks26!$A$2:$H$303, 5, FALSE)</f>
        <v>0</v>
      </c>
      <c r="G16" s="11" t="s">
        <v>103</v>
      </c>
      <c r="H16" s="11" t="str">
        <f>VLOOKUP($G16, '26 ADP Data'!$C$4:$Q$298, 2, FALSE)</f>
        <v>NE</v>
      </c>
      <c r="I16" s="11" t="str">
        <f>VLOOKUP(G16, '26 ADP Data'!$C$4:$R$496, 16, FALSE)</f>
        <v>WR</v>
      </c>
      <c r="J16" s="11" t="str">
        <f>VLOOKUP($G16, SeanRanks26!$A$2:$H$303, 6, FALSE)</f>
        <v>WR1 - 2 - Volotile</v>
      </c>
      <c r="K16" s="11">
        <f>VLOOKUP($G16, SeanRanks26!$A$2:$H$303, 7, FALSE)</f>
        <v>5</v>
      </c>
      <c r="L16" s="11">
        <f t="shared" si="4"/>
        <v>2</v>
      </c>
      <c r="M16" s="11">
        <f>VLOOKUP($G16, '26 ADP Data'!$C$4:$Q$298, 10, FALSE)</f>
        <v>23</v>
      </c>
      <c r="N16" s="11">
        <f>VLOOKUP($G16, '26 ADP Data'!$C$4:$Q$298, 13, FALSE)</f>
        <v>19</v>
      </c>
      <c r="O16" s="11">
        <f t="shared" si="5"/>
        <v>4</v>
      </c>
      <c r="P16" s="11">
        <f>VLOOKUP($G16, '26 ADP Data'!$C$4:$Q$298, 3, FALSE)</f>
        <v>18</v>
      </c>
      <c r="Q16" s="11">
        <f>VLOOKUP($G16, '26 ADP Data'!$C$4:$Q$298, 4, FALSE)</f>
        <v>19</v>
      </c>
      <c r="R16" s="11">
        <f>VLOOKUP($G16, '26 ADP Data'!$C$4:$Q$298, 6, FALSE)</f>
        <v>21</v>
      </c>
      <c r="S16" s="11">
        <f>VLOOKUP($G16, '26 ADP Data'!$C$4:$Q$298, 9, FALSE)</f>
        <v>19</v>
      </c>
      <c r="T16" s="11" t="str">
        <f>VLOOKUP($G16, '26 ADP Data'!$C$4:$Q$298, 8, FALSE)</f>
        <v>-</v>
      </c>
      <c r="U16" s="11">
        <f t="shared" si="6"/>
        <v>19</v>
      </c>
      <c r="V16" s="11">
        <f t="shared" si="7"/>
        <v>2</v>
      </c>
      <c r="W16" s="11"/>
      <c r="X16" s="11">
        <f>VLOOKUP($G16, SeanRanks26!$A$2:$K$303, 10, FALSE)-U16</f>
        <v>4</v>
      </c>
      <c r="Y16" s="25" t="str">
        <f>IF(VLOOKUP($G16, SeanRanks26!$A$2:$H$303, 8, FALSE)=0, "", VLOOKUP($G16, SeanRanks26!$A$2:$H$303, 8, FALSE))</f>
        <v/>
      </c>
    </row>
    <row r="17" spans="1:25" ht="14.25" customHeight="1" x14ac:dyDescent="0.25">
      <c r="A17" s="11"/>
      <c r="B17" s="11">
        <f t="shared" si="3"/>
        <v>1</v>
      </c>
      <c r="C17" s="11" t="s">
        <v>148</v>
      </c>
      <c r="D17" s="11">
        <v>1</v>
      </c>
      <c r="E17" s="23"/>
      <c r="F17" s="11">
        <f>VLOOKUP($G17, SeanRanks26!$A$2:$H$303, 5, FALSE)</f>
        <v>0</v>
      </c>
      <c r="G17" s="11" t="s">
        <v>68</v>
      </c>
      <c r="H17" s="11" t="str">
        <f>VLOOKUP($G17, '26 ADP Data'!$C$4:$Q$298, 2, FALSE)</f>
        <v>DAL</v>
      </c>
      <c r="I17" s="11" t="str">
        <f>VLOOKUP(G17, '26 ADP Data'!$C$4:$R$496, 16, FALSE)</f>
        <v>WR</v>
      </c>
      <c r="J17" s="11" t="str">
        <f>VLOOKUP($G17, SeanRanks26!$A$2:$H$303, 6, FALSE)</f>
        <v>WR1 - 2 - Volotile</v>
      </c>
      <c r="K17" s="11">
        <f>VLOOKUP($G17, SeanRanks26!$A$2:$H$303, 7, FALSE)</f>
        <v>6</v>
      </c>
      <c r="L17" s="11">
        <f t="shared" si="4"/>
        <v>2</v>
      </c>
      <c r="M17" s="11">
        <f>VLOOKUP($G17, '26 ADP Data'!$C$4:$Q$298, 10, FALSE)</f>
        <v>12</v>
      </c>
      <c r="N17" s="11">
        <f>VLOOKUP($G17, '26 ADP Data'!$C$4:$Q$298, 13, FALSE)</f>
        <v>9</v>
      </c>
      <c r="O17" s="11">
        <f t="shared" si="5"/>
        <v>3</v>
      </c>
      <c r="P17" s="11">
        <f>VLOOKUP($G17, '26 ADP Data'!$C$4:$Q$298, 3, FALSE)</f>
        <v>12</v>
      </c>
      <c r="Q17" s="11">
        <f>VLOOKUP($G17, '26 ADP Data'!$C$4:$Q$298, 4, FALSE)</f>
        <v>10</v>
      </c>
      <c r="R17" s="11">
        <f>VLOOKUP($G17, '26 ADP Data'!$C$4:$Q$298, 6, FALSE)</f>
        <v>13</v>
      </c>
      <c r="S17" s="11">
        <f>VLOOKUP($G17, '26 ADP Data'!$C$4:$Q$298, 9, FALSE)</f>
        <v>11</v>
      </c>
      <c r="T17" s="11" t="str">
        <f>VLOOKUP($G17, '26 ADP Data'!$C$4:$Q$298, 8, FALSE)</f>
        <v>-</v>
      </c>
      <c r="U17" s="11">
        <f t="shared" si="6"/>
        <v>11</v>
      </c>
      <c r="V17" s="11">
        <f t="shared" si="7"/>
        <v>1</v>
      </c>
      <c r="W17" s="11"/>
      <c r="X17" s="11">
        <f>VLOOKUP($G17, SeanRanks26!$A$2:$K$303, 10, FALSE)-U17</f>
        <v>1</v>
      </c>
      <c r="Y17" s="25" t="str">
        <f>IF(VLOOKUP($G17, SeanRanks26!$A$2:$H$303, 8, FALSE)=0, "", VLOOKUP($G17, SeanRanks26!$A$2:$H$303, 8, FALSE))</f>
        <v/>
      </c>
    </row>
    <row r="18" spans="1:25" ht="14.25" hidden="1" customHeight="1" x14ac:dyDescent="0.25">
      <c r="A18" s="11"/>
      <c r="B18" s="11">
        <f t="shared" si="3"/>
        <v>2</v>
      </c>
      <c r="C18" s="11" t="s">
        <v>148</v>
      </c>
      <c r="D18" s="11">
        <v>1</v>
      </c>
      <c r="E18" s="23"/>
      <c r="F18" s="11">
        <f>VLOOKUP($G18, SeanRanks26!$A$2:$H$303, 5, FALSE)</f>
        <v>0</v>
      </c>
      <c r="G18" s="11" t="s">
        <v>77</v>
      </c>
      <c r="H18" s="11" t="str">
        <f>VLOOKUP($G18, '26 ADP Data'!$C$4:$Q$298, 2, FALSE)</f>
        <v>PHI</v>
      </c>
      <c r="I18" s="11" t="str">
        <f>VLOOKUP(G18, '26 ADP Data'!$C$4:$R$496, 16, FALSE)</f>
        <v>RB</v>
      </c>
      <c r="J18" s="11" t="str">
        <f>VLOOKUP($G18, SeanRanks26!$A$2:$H$303, 6, FALSE)</f>
        <v>RB1 - 3 - Weekly RB1</v>
      </c>
      <c r="K18" s="11">
        <f>VLOOKUP($G18, SeanRanks26!$A$2:$H$303, 7, FALSE)</f>
        <v>9</v>
      </c>
      <c r="L18" s="11">
        <f t="shared" si="4"/>
        <v>1</v>
      </c>
      <c r="M18" s="11">
        <f>VLOOKUP($G18, '26 ADP Data'!$C$4:$Q$298, 10, FALSE)</f>
        <v>10</v>
      </c>
      <c r="N18" s="11">
        <f>VLOOKUP($G18, '26 ADP Data'!$C$4:$Q$298, 13, FALSE)</f>
        <v>12</v>
      </c>
      <c r="O18" s="11">
        <f t="shared" si="5"/>
        <v>-2</v>
      </c>
      <c r="P18" s="11">
        <f>VLOOKUP($G18, '26 ADP Data'!$C$4:$Q$298, 3, FALSE)</f>
        <v>13</v>
      </c>
      <c r="Q18" s="11">
        <f>VLOOKUP($G18, '26 ADP Data'!$C$4:$Q$298, 4, FALSE)</f>
        <v>13</v>
      </c>
      <c r="R18" s="11">
        <f>VLOOKUP($G18, '26 ADP Data'!$C$4:$Q$298, 6, FALSE)</f>
        <v>16</v>
      </c>
      <c r="S18" s="11">
        <f>VLOOKUP($G18, '26 ADP Data'!$C$4:$Q$298, 9, FALSE)</f>
        <v>10</v>
      </c>
      <c r="T18" s="11" t="str">
        <f>VLOOKUP($G18, '26 ADP Data'!$C$4:$Q$298, 8, FALSE)</f>
        <v>-</v>
      </c>
      <c r="U18" s="11">
        <f t="shared" si="6"/>
        <v>12</v>
      </c>
      <c r="V18" s="11">
        <f t="shared" si="7"/>
        <v>2</v>
      </c>
      <c r="W18" s="11">
        <f>D18-V18</f>
        <v>-1</v>
      </c>
      <c r="X18" s="11">
        <f>VLOOKUP($G18, SeanRanks26!$A$2:$K$303, 10, FALSE)-U18</f>
        <v>-2</v>
      </c>
      <c r="Y18" s="25" t="str">
        <f>IF(VLOOKUP($G18, SeanRanks26!$A$2:$H$303, 8, FALSE)=0, "", VLOOKUP($G18, SeanRanks26!$A$2:$H$303, 8, FALSE))</f>
        <v/>
      </c>
    </row>
    <row r="19" spans="1:25" ht="14.25" hidden="1" customHeight="1" x14ac:dyDescent="0.25">
      <c r="A19" s="11"/>
      <c r="B19" s="11">
        <f t="shared" si="3"/>
        <v>2</v>
      </c>
      <c r="C19" s="11" t="s">
        <v>148</v>
      </c>
      <c r="D19" s="11">
        <v>1</v>
      </c>
      <c r="E19" s="23"/>
      <c r="F19" s="11">
        <f>VLOOKUP($G19, SeanRanks26!$A$2:$H$303, 5, FALSE)</f>
        <v>0</v>
      </c>
      <c r="G19" s="11" t="s">
        <v>75</v>
      </c>
      <c r="H19" s="11" t="str">
        <f>VLOOKUP($G19, '26 ADP Data'!$C$4:$Q$298, 2, FALSE)</f>
        <v>CIN</v>
      </c>
      <c r="I19" s="11" t="str">
        <f>VLOOKUP(G19, '26 ADP Data'!$C$4:$R$496, 16, FALSE)</f>
        <v>RB</v>
      </c>
      <c r="J19" s="11" t="str">
        <f>VLOOKUP($G19, SeanRanks26!$A$2:$H$303, 6, FALSE)</f>
        <v>RB1 - 4 - More Qs</v>
      </c>
      <c r="K19" s="11">
        <f>VLOOKUP($G19, SeanRanks26!$A$2:$H$303, 7, FALSE)</f>
        <v>14</v>
      </c>
      <c r="L19" s="11">
        <f t="shared" si="4"/>
        <v>2</v>
      </c>
      <c r="M19" s="11">
        <f>VLOOKUP($G19, '26 ADP Data'!$C$4:$Q$298, 10, FALSE)</f>
        <v>14</v>
      </c>
      <c r="N19" s="11">
        <f>VLOOKUP($G19, '26 ADP Data'!$C$4:$Q$298, 13, FALSE)</f>
        <v>14</v>
      </c>
      <c r="O19" s="11">
        <f t="shared" si="5"/>
        <v>0</v>
      </c>
      <c r="P19" s="11">
        <f>VLOOKUP($G19, '26 ADP Data'!$C$4:$Q$298, 3, FALSE)</f>
        <v>10</v>
      </c>
      <c r="Q19" s="11">
        <f>VLOOKUP($G19, '26 ADP Data'!$C$4:$Q$298, 4, FALSE)</f>
        <v>16</v>
      </c>
      <c r="R19" s="11">
        <f>VLOOKUP($G19, '26 ADP Data'!$C$4:$Q$298, 6, FALSE)</f>
        <v>11</v>
      </c>
      <c r="S19" s="11">
        <f>VLOOKUP($G19, '26 ADP Data'!$C$4:$Q$298, 9, FALSE)</f>
        <v>17</v>
      </c>
      <c r="T19" s="11" t="str">
        <f>VLOOKUP($G19, '26 ADP Data'!$C$4:$Q$298, 8, FALSE)</f>
        <v>-</v>
      </c>
      <c r="U19" s="11">
        <f t="shared" si="6"/>
        <v>13</v>
      </c>
      <c r="V19" s="11">
        <f t="shared" si="7"/>
        <v>2</v>
      </c>
      <c r="W19" s="11"/>
      <c r="X19" s="11">
        <f>VLOOKUP($G19, SeanRanks26!$A$2:$K$303, 10, FALSE)-U19</f>
        <v>1</v>
      </c>
      <c r="Y19" s="25" t="str">
        <f>IF(VLOOKUP($G19, SeanRanks26!$A$2:$H$303, 8, FALSE)=0, "", VLOOKUP($G19, SeanRanks26!$A$2:$H$303, 8, FALSE))</f>
        <v/>
      </c>
    </row>
    <row r="20" spans="1:25" ht="14.25" hidden="1" customHeight="1" x14ac:dyDescent="0.25">
      <c r="A20" s="11"/>
      <c r="B20" s="11">
        <f t="shared" si="3"/>
        <v>2</v>
      </c>
      <c r="C20" s="11" t="s">
        <v>148</v>
      </c>
      <c r="D20" s="11">
        <v>2</v>
      </c>
      <c r="E20" s="23"/>
      <c r="F20" s="11">
        <f>VLOOKUP($G20, SeanRanks26!$A$2:$H$303, 5, FALSE)</f>
        <v>0</v>
      </c>
      <c r="G20" s="11" t="s">
        <v>80</v>
      </c>
      <c r="H20" s="11" t="str">
        <f>VLOOKUP($G20, '26 ADP Data'!$C$4:$Q$298, 2, FALSE)</f>
        <v>MIA</v>
      </c>
      <c r="I20" s="11" t="str">
        <f>VLOOKUP(G20, '26 ADP Data'!$C$4:$R$496, 16, FALSE)</f>
        <v>RB</v>
      </c>
      <c r="J20" s="11" t="str">
        <f>VLOOKUP($G20, SeanRanks26!$A$2:$H$303, 6, FALSE)</f>
        <v>RB1 - 3 - Weekly RB1</v>
      </c>
      <c r="K20" s="11">
        <f>VLOOKUP($G20, SeanRanks26!$A$2:$H$303, 7, FALSE)</f>
        <v>6</v>
      </c>
      <c r="L20" s="11">
        <f t="shared" si="4"/>
        <v>2</v>
      </c>
      <c r="M20" s="11">
        <f>VLOOKUP($G20, '26 ADP Data'!$C$4:$Q$298, 10, FALSE)</f>
        <v>17</v>
      </c>
      <c r="N20" s="11">
        <f>VLOOKUP($G20, '26 ADP Data'!$C$4:$Q$298, 13, FALSE)</f>
        <v>18</v>
      </c>
      <c r="O20" s="11">
        <f t="shared" si="5"/>
        <v>-1</v>
      </c>
      <c r="P20" s="11">
        <f>VLOOKUP($G20, '26 ADP Data'!$C$4:$Q$298, 3, FALSE)</f>
        <v>11</v>
      </c>
      <c r="Q20" s="11">
        <f>VLOOKUP($G20, '26 ADP Data'!$C$4:$Q$298, 4, FALSE)</f>
        <v>12</v>
      </c>
      <c r="R20" s="11">
        <f>VLOOKUP($G20, '26 ADP Data'!$C$4:$Q$298, 6, FALSE)</f>
        <v>15</v>
      </c>
      <c r="S20" s="11">
        <f>VLOOKUP($G20, '26 ADP Data'!$C$4:$Q$298, 9, FALSE)</f>
        <v>13</v>
      </c>
      <c r="T20" s="11" t="str">
        <f>VLOOKUP($G20, '26 ADP Data'!$C$4:$Q$298, 8, FALSE)</f>
        <v>-</v>
      </c>
      <c r="U20" s="11">
        <f t="shared" si="6"/>
        <v>14</v>
      </c>
      <c r="V20" s="11">
        <f t="shared" si="7"/>
        <v>2</v>
      </c>
      <c r="W20" s="11">
        <f>D20-V20</f>
        <v>0</v>
      </c>
      <c r="X20" s="11">
        <f>VLOOKUP($G20, SeanRanks26!$A$2:$K$303, 10, FALSE)-U20</f>
        <v>3</v>
      </c>
      <c r="Y20" s="25" t="str">
        <f>IF(VLOOKUP($G20, SeanRanks26!$A$2:$H$303, 8, FALSE)=0, "", VLOOKUP($G20, SeanRanks26!$A$2:$H$303, 8, FALSE))</f>
        <v/>
      </c>
    </row>
    <row r="21" spans="1:25" ht="14.25" hidden="1" customHeight="1" x14ac:dyDescent="0.25">
      <c r="A21" s="11"/>
      <c r="B21" s="11">
        <f t="shared" si="3"/>
        <v>2</v>
      </c>
      <c r="C21" s="11" t="s">
        <v>148</v>
      </c>
      <c r="D21" s="11">
        <v>1</v>
      </c>
      <c r="E21" s="23"/>
      <c r="F21" s="11">
        <f>VLOOKUP($G21, SeanRanks26!$A$2:$H$303, 5, FALSE)</f>
        <v>0</v>
      </c>
      <c r="G21" s="11" t="s">
        <v>93</v>
      </c>
      <c r="H21" s="11" t="str">
        <f>VLOOKUP($G21, '26 ADP Data'!$C$4:$Q$298, 2, FALSE)</f>
        <v>LV</v>
      </c>
      <c r="I21" s="11" t="str">
        <f>VLOOKUP(G21, '26 ADP Data'!$C$4:$R$496, 16, FALSE)</f>
        <v>RB</v>
      </c>
      <c r="J21" s="11" t="str">
        <f>VLOOKUP($G21, SeanRanks26!$A$2:$H$303, 6, FALSE)</f>
        <v>RB1 - 3 - Weekly RB1</v>
      </c>
      <c r="K21" s="11">
        <f>VLOOKUP($G21, SeanRanks26!$A$2:$H$303, 7, FALSE)</f>
        <v>11</v>
      </c>
      <c r="L21" s="11">
        <f t="shared" si="4"/>
        <v>2</v>
      </c>
      <c r="M21" s="11">
        <f>VLOOKUP($G21, '26 ADP Data'!$C$4:$Q$298, 10, FALSE)</f>
        <v>21</v>
      </c>
      <c r="N21" s="11">
        <f>VLOOKUP($G21, '26 ADP Data'!$C$4:$Q$298, 13, FALSE)</f>
        <v>16</v>
      </c>
      <c r="O21" s="11">
        <f t="shared" si="5"/>
        <v>5</v>
      </c>
      <c r="P21" s="11">
        <f>VLOOKUP($G21, '26 ADP Data'!$C$4:$Q$298, 3, FALSE)</f>
        <v>22</v>
      </c>
      <c r="Q21" s="11">
        <f>VLOOKUP($G21, '26 ADP Data'!$C$4:$Q$298, 4, FALSE)</f>
        <v>20</v>
      </c>
      <c r="R21" s="11">
        <f>VLOOKUP($G21, '26 ADP Data'!$C$4:$Q$298, 6, FALSE)</f>
        <v>19</v>
      </c>
      <c r="S21" s="11">
        <f>VLOOKUP($G21, '26 ADP Data'!$C$4:$Q$298, 9, FALSE)</f>
        <v>14</v>
      </c>
      <c r="T21" s="11" t="str">
        <f>VLOOKUP($G21, '26 ADP Data'!$C$4:$Q$298, 8, FALSE)</f>
        <v>-</v>
      </c>
      <c r="U21" s="11">
        <f t="shared" si="6"/>
        <v>18</v>
      </c>
      <c r="V21" s="11">
        <f t="shared" si="7"/>
        <v>2</v>
      </c>
      <c r="W21" s="11"/>
      <c r="X21" s="11">
        <f>VLOOKUP($G21, SeanRanks26!$A$2:$K$303, 10, FALSE)-U21</f>
        <v>3</v>
      </c>
      <c r="Y21" s="25" t="str">
        <f>IF(VLOOKUP($G21, SeanRanks26!$A$2:$H$303, 8, FALSE)=0, "", VLOOKUP($G21, SeanRanks26!$A$2:$H$303, 8, FALSE))</f>
        <v>2025 Rookie R1.6</v>
      </c>
    </row>
    <row r="22" spans="1:25" ht="14.25" hidden="1" customHeight="1" x14ac:dyDescent="0.25">
      <c r="A22" s="11"/>
      <c r="B22" s="11">
        <f t="shared" si="3"/>
        <v>2</v>
      </c>
      <c r="C22" s="11" t="s">
        <v>148</v>
      </c>
      <c r="D22" s="11">
        <v>1</v>
      </c>
      <c r="E22" s="23"/>
      <c r="F22" s="11" t="str">
        <f>VLOOKUP($G22, SeanRanks26!$A$2:$H$303, 5, FALSE)</f>
        <v>Yes</v>
      </c>
      <c r="G22" s="11" t="s">
        <v>84</v>
      </c>
      <c r="H22" s="11" t="str">
        <f>VLOOKUP($G22, '26 ADP Data'!$C$4:$Q$298, 2, FALSE)</f>
        <v>KC</v>
      </c>
      <c r="I22" s="11" t="str">
        <f>VLOOKUP(G22, '26 ADP Data'!$C$4:$R$496, 16, FALSE)</f>
        <v>RB</v>
      </c>
      <c r="J22" s="11" t="str">
        <f>VLOOKUP($G22, SeanRanks26!$A$2:$H$303, 6, FALSE)</f>
        <v>RB1 - 3 - Weekly RB1</v>
      </c>
      <c r="K22" s="11">
        <f>VLOOKUP($G22, SeanRanks26!$A$2:$H$303, 7, FALSE)</f>
        <v>8</v>
      </c>
      <c r="L22" s="11">
        <f t="shared" si="4"/>
        <v>1</v>
      </c>
      <c r="M22" s="11">
        <f>VLOOKUP($G22, '26 ADP Data'!$C$4:$Q$298, 10, FALSE)</f>
        <v>11</v>
      </c>
      <c r="N22" s="11">
        <f>VLOOKUP($G22, '26 ADP Data'!$C$4:$Q$298, 13, FALSE)</f>
        <v>13</v>
      </c>
      <c r="O22" s="11">
        <f t="shared" si="5"/>
        <v>-2</v>
      </c>
      <c r="P22" s="11">
        <f>VLOOKUP($G22, '26 ADP Data'!$C$4:$Q$298, 3, FALSE)</f>
        <v>16</v>
      </c>
      <c r="Q22" s="11">
        <f>VLOOKUP($G22, '26 ADP Data'!$C$4:$Q$298, 4, FALSE)</f>
        <v>23</v>
      </c>
      <c r="R22" s="11">
        <f>VLOOKUP($G22, '26 ADP Data'!$C$4:$Q$298, 6, FALSE)</f>
        <v>14</v>
      </c>
      <c r="S22" s="11">
        <f>VLOOKUP($G22, '26 ADP Data'!$C$4:$Q$298, 9, FALSE)</f>
        <v>18</v>
      </c>
      <c r="T22" s="11" t="str">
        <f>VLOOKUP($G22, '26 ADP Data'!$C$4:$Q$298, 8, FALSE)</f>
        <v>-</v>
      </c>
      <c r="U22" s="11">
        <f t="shared" si="6"/>
        <v>15</v>
      </c>
      <c r="V22" s="11">
        <f t="shared" si="7"/>
        <v>2</v>
      </c>
      <c r="W22" s="11"/>
      <c r="X22" s="11">
        <f>VLOOKUP($G22, SeanRanks26!$A$2:$K$303, 10, FALSE)-U22</f>
        <v>-4</v>
      </c>
      <c r="Y22" s="25" t="str">
        <f>IF(VLOOKUP($G22, SeanRanks26!$A$2:$H$303, 8, FALSE)=0, "", VLOOKUP($G22, SeanRanks26!$A$2:$H$303, 8, FALSE))</f>
        <v>FFB My Guy</v>
      </c>
    </row>
    <row r="23" spans="1:25" ht="14.25" hidden="1" customHeight="1" x14ac:dyDescent="0.25">
      <c r="A23" s="11"/>
      <c r="B23" s="11">
        <f t="shared" si="3"/>
        <v>2</v>
      </c>
      <c r="C23" s="11" t="s">
        <v>148</v>
      </c>
      <c r="D23" s="11"/>
      <c r="E23" s="23"/>
      <c r="F23" s="11">
        <f>VLOOKUP($G23, SeanRanks26!$A$2:$H$303, 5, FALSE)</f>
        <v>0</v>
      </c>
      <c r="G23" s="11" t="s">
        <v>90</v>
      </c>
      <c r="H23" s="11" t="str">
        <f>VLOOKUP($G23, '26 ADP Data'!$C$4:$Q$298, 2, FALSE)</f>
        <v>BAL</v>
      </c>
      <c r="I23" s="11" t="str">
        <f>VLOOKUP(G23, '26 ADP Data'!$C$4:$R$496, 16, FALSE)</f>
        <v>RB</v>
      </c>
      <c r="J23" s="11" t="str">
        <f>VLOOKUP($G23, SeanRanks26!$A$2:$H$303, 6, FALSE)</f>
        <v>RB1 - 3 - Weekly RB1</v>
      </c>
      <c r="K23" s="11">
        <f>VLOOKUP($G23, SeanRanks26!$A$2:$H$303, 7, FALSE)</f>
        <v>7</v>
      </c>
      <c r="L23" s="11">
        <f t="shared" si="4"/>
        <v>2</v>
      </c>
      <c r="M23" s="11">
        <f>VLOOKUP($G23, '26 ADP Data'!$C$4:$Q$298, 10, FALSE)</f>
        <v>15</v>
      </c>
      <c r="N23" s="11">
        <f>VLOOKUP($G23, '26 ADP Data'!$C$4:$Q$298, 13, FALSE)</f>
        <v>17</v>
      </c>
      <c r="O23" s="11">
        <f t="shared" si="5"/>
        <v>-2</v>
      </c>
      <c r="P23" s="11">
        <f>VLOOKUP($G23, '26 ADP Data'!$C$4:$Q$298, 3, FALSE)</f>
        <v>14</v>
      </c>
      <c r="Q23" s="11">
        <f>VLOOKUP($G23, '26 ADP Data'!$C$4:$Q$298, 4, FALSE)</f>
        <v>14</v>
      </c>
      <c r="R23" s="11">
        <f>VLOOKUP($G23, '26 ADP Data'!$C$4:$Q$298, 6, FALSE)</f>
        <v>20</v>
      </c>
      <c r="S23" s="11">
        <f>VLOOKUP($G23, '26 ADP Data'!$C$4:$Q$298, 9, FALSE)</f>
        <v>15</v>
      </c>
      <c r="T23" s="11" t="str">
        <f>VLOOKUP($G23, '26 ADP Data'!$C$4:$Q$298, 8, FALSE)</f>
        <v>-</v>
      </c>
      <c r="U23" s="11">
        <f t="shared" si="6"/>
        <v>15</v>
      </c>
      <c r="V23" s="11">
        <f t="shared" si="7"/>
        <v>2</v>
      </c>
      <c r="W23" s="11"/>
      <c r="X23" s="11">
        <f>VLOOKUP($G23, SeanRanks26!$A$2:$K$303, 10, FALSE)-U23</f>
        <v>0</v>
      </c>
      <c r="Y23" s="25" t="str">
        <f>IF(VLOOKUP($G23, SeanRanks26!$A$2:$H$303, 8, FALSE)=0, "", VLOOKUP($G23, SeanRanks26!$A$2:$H$303, 8, FALSE))</f>
        <v/>
      </c>
    </row>
    <row r="24" spans="1:25" ht="14.25" hidden="1" customHeight="1" x14ac:dyDescent="0.25">
      <c r="A24" s="11"/>
      <c r="B24" s="11">
        <f t="shared" si="3"/>
        <v>2</v>
      </c>
      <c r="C24" s="11" t="s">
        <v>148</v>
      </c>
      <c r="D24" s="11"/>
      <c r="E24" s="23"/>
      <c r="F24" s="11">
        <f>VLOOKUP($G24, SeanRanks26!$A$2:$H$303, 5, FALSE)</f>
        <v>0</v>
      </c>
      <c r="G24" s="11" t="s">
        <v>87</v>
      </c>
      <c r="H24" s="11" t="str">
        <f>VLOOKUP($G24, '26 ADP Data'!$C$4:$Q$298, 2, FALSE)</f>
        <v>LAC</v>
      </c>
      <c r="I24" s="11" t="str">
        <f>VLOOKUP(G24, '26 ADP Data'!$C$4:$R$496, 16, FALSE)</f>
        <v>RB</v>
      </c>
      <c r="J24" s="11" t="str">
        <f>VLOOKUP($G24, SeanRanks26!$A$2:$H$303, 6, FALSE)</f>
        <v>RB1 - 3 - Weekly RB1</v>
      </c>
      <c r="K24" s="11">
        <f>VLOOKUP($G24, SeanRanks26!$A$2:$H$303, 7, FALSE)</f>
        <v>10</v>
      </c>
      <c r="L24" s="11">
        <f t="shared" si="4"/>
        <v>2</v>
      </c>
      <c r="M24" s="11">
        <f>VLOOKUP($G24, '26 ADP Data'!$C$4:$Q$298, 10, FALSE)</f>
        <v>16</v>
      </c>
      <c r="N24" s="11">
        <f>VLOOKUP($G24, '26 ADP Data'!$C$4:$Q$298, 13, FALSE)</f>
        <v>15</v>
      </c>
      <c r="O24" s="11">
        <f t="shared" si="5"/>
        <v>1</v>
      </c>
      <c r="P24" s="11">
        <f>VLOOKUP($G24, '26 ADP Data'!$C$4:$Q$298, 3, FALSE)</f>
        <v>17</v>
      </c>
      <c r="Q24" s="11">
        <f>VLOOKUP($G24, '26 ADP Data'!$C$4:$Q$298, 4, FALSE)</f>
        <v>15</v>
      </c>
      <c r="R24" s="11">
        <f>VLOOKUP($G24, '26 ADP Data'!$C$4:$Q$298, 6, FALSE)</f>
        <v>18</v>
      </c>
      <c r="S24" s="11">
        <f>VLOOKUP($G24, '26 ADP Data'!$C$4:$Q$298, 9, FALSE)</f>
        <v>16</v>
      </c>
      <c r="T24" s="11" t="str">
        <f>VLOOKUP($G24, '26 ADP Data'!$C$4:$Q$298, 8, FALSE)</f>
        <v>-</v>
      </c>
      <c r="U24" s="11">
        <f t="shared" si="6"/>
        <v>16</v>
      </c>
      <c r="V24" s="11">
        <f t="shared" si="7"/>
        <v>2</v>
      </c>
      <c r="W24" s="11"/>
      <c r="X24" s="11">
        <f>VLOOKUP($G24, SeanRanks26!$A$2:$K$303, 10, FALSE)-U24</f>
        <v>0</v>
      </c>
      <c r="Y24" s="25" t="str">
        <f>IF(VLOOKUP($G24, SeanRanks26!$A$2:$H$303, 8, FALSE)=0, "", VLOOKUP($G24, SeanRanks26!$A$2:$H$303, 8, FALSE))</f>
        <v>2025 Rookie R1.22. FFB My Guy</v>
      </c>
    </row>
    <row r="25" spans="1:25" ht="14.25" customHeight="1" x14ac:dyDescent="0.25">
      <c r="A25" s="11"/>
      <c r="B25" s="11">
        <f t="shared" si="3"/>
        <v>2</v>
      </c>
      <c r="C25" s="11" t="s">
        <v>148</v>
      </c>
      <c r="D25" s="11"/>
      <c r="E25" s="23"/>
      <c r="F25" s="11">
        <f>VLOOKUP($G25, SeanRanks26!$A$2:$H$303, 5, FALSE)</f>
        <v>0</v>
      </c>
      <c r="G25" s="11" t="s">
        <v>71</v>
      </c>
      <c r="H25" s="11" t="str">
        <f>VLOOKUP($G25, '26 ADP Data'!$C$4:$Q$298, 2, FALSE)</f>
        <v>MIN</v>
      </c>
      <c r="I25" s="11" t="str">
        <f>VLOOKUP(G25, '26 ADP Data'!$C$4:$R$496, 16, FALSE)</f>
        <v>WR</v>
      </c>
      <c r="J25" s="11" t="str">
        <f>VLOOKUP($G25, SeanRanks26!$A$2:$H$303, 6, FALSE)</f>
        <v>WR1 - 2 - Volotile</v>
      </c>
      <c r="K25" s="11">
        <f>VLOOKUP($G25, SeanRanks26!$A$2:$H$303, 7, FALSE)</f>
        <v>7</v>
      </c>
      <c r="L25" s="11">
        <f t="shared" si="4"/>
        <v>2</v>
      </c>
      <c r="M25" s="11">
        <f>VLOOKUP($G25, '26 ADP Data'!$C$4:$Q$298, 10, FALSE)</f>
        <v>13</v>
      </c>
      <c r="N25" s="11">
        <f>VLOOKUP($G25, '26 ADP Data'!$C$4:$Q$298, 13, FALSE)</f>
        <v>11</v>
      </c>
      <c r="O25" s="11">
        <f t="shared" si="5"/>
        <v>2</v>
      </c>
      <c r="P25" s="11">
        <f>VLOOKUP($G25, '26 ADP Data'!$C$4:$Q$298, 3, FALSE)</f>
        <v>15</v>
      </c>
      <c r="Q25" s="11">
        <f>VLOOKUP($G25, '26 ADP Data'!$C$4:$Q$298, 4, FALSE)</f>
        <v>11</v>
      </c>
      <c r="R25" s="11">
        <f>VLOOKUP($G25, '26 ADP Data'!$C$4:$Q$298, 6, FALSE)</f>
        <v>12</v>
      </c>
      <c r="S25" s="11">
        <f>VLOOKUP($G25, '26 ADP Data'!$C$4:$Q$298, 9, FALSE)</f>
        <v>12</v>
      </c>
      <c r="T25" s="11" t="str">
        <f>VLOOKUP($G25, '26 ADP Data'!$C$4:$Q$298, 8, FALSE)</f>
        <v>-</v>
      </c>
      <c r="U25" s="11">
        <f t="shared" si="6"/>
        <v>12</v>
      </c>
      <c r="V25" s="11">
        <f t="shared" si="7"/>
        <v>2</v>
      </c>
      <c r="W25" s="11"/>
      <c r="X25" s="11">
        <f>VLOOKUP($G25, SeanRanks26!$A$2:$K$303, 10, FALSE)-U25</f>
        <v>1</v>
      </c>
      <c r="Y25" s="25" t="str">
        <f>IF(VLOOKUP($G25, SeanRanks26!$A$2:$H$303, 8, FALSE)=0, "", VLOOKUP($G25, SeanRanks26!$A$2:$H$303, 8, FALSE))</f>
        <v/>
      </c>
    </row>
    <row r="26" spans="1:25" ht="14.25" hidden="1" customHeight="1" x14ac:dyDescent="0.25">
      <c r="A26" s="11"/>
      <c r="B26" s="11">
        <f t="shared" si="3"/>
        <v>2</v>
      </c>
      <c r="C26" s="11" t="s">
        <v>148</v>
      </c>
      <c r="D26" s="11">
        <v>1</v>
      </c>
      <c r="E26" s="23"/>
      <c r="F26" s="11">
        <f>VLOOKUP($G26, SeanRanks26!$A$2:$H$303, 5, FALSE)</f>
        <v>0</v>
      </c>
      <c r="G26" s="11" t="s">
        <v>98</v>
      </c>
      <c r="H26" s="11" t="str">
        <f>VLOOKUP($G26, '26 ADP Data'!$C$4:$Q$298, 2, FALSE)</f>
        <v>LV</v>
      </c>
      <c r="I26" s="11" t="str">
        <f>VLOOKUP(G26, '26 ADP Data'!$C$4:$R$496, 16, FALSE)</f>
        <v>TE</v>
      </c>
      <c r="J26" s="11" t="str">
        <f>VLOOKUP($G26, SeanRanks26!$A$2:$H$303, 6, FALSE)</f>
        <v>TE1 - 1 - Elite</v>
      </c>
      <c r="K26" s="11">
        <f>VLOOKUP($G26, SeanRanks26!$A$2:$H$303, 7, FALSE)</f>
        <v>1</v>
      </c>
      <c r="L26" s="11">
        <f t="shared" si="4"/>
        <v>2</v>
      </c>
      <c r="M26" s="11">
        <f>VLOOKUP($G26, '26 ADP Data'!$C$4:$Q$298, 10, FALSE)</f>
        <v>19</v>
      </c>
      <c r="N26" s="11">
        <f>VLOOKUP($G26, '26 ADP Data'!$C$4:$Q$298, 13, FALSE)</f>
        <v>20</v>
      </c>
      <c r="O26" s="11">
        <f t="shared" si="5"/>
        <v>-1</v>
      </c>
      <c r="P26" s="11">
        <f>VLOOKUP($G26, '26 ADP Data'!$C$4:$Q$298, 3, FALSE)</f>
        <v>25</v>
      </c>
      <c r="Q26" s="11">
        <f>VLOOKUP($G26, '26 ADP Data'!$C$4:$Q$298, 4, FALSE)</f>
        <v>22</v>
      </c>
      <c r="R26" s="11">
        <f>VLOOKUP($G26, '26 ADP Data'!$C$4:$Q$298, 6, FALSE)</f>
        <v>9</v>
      </c>
      <c r="S26" s="11">
        <f>VLOOKUP($G26, '26 ADP Data'!$C$4:$Q$298, 9, FALSE)</f>
        <v>23</v>
      </c>
      <c r="T26" s="11" t="str">
        <f>VLOOKUP($G26, '26 ADP Data'!$C$4:$Q$298, 8, FALSE)</f>
        <v>-</v>
      </c>
      <c r="U26" s="11">
        <f t="shared" si="6"/>
        <v>19</v>
      </c>
      <c r="V26" s="11">
        <f t="shared" si="7"/>
        <v>2</v>
      </c>
      <c r="W26" s="11"/>
      <c r="X26" s="11">
        <f>VLOOKUP($G26, SeanRanks26!$A$2:$K$303, 10, FALSE)-U26</f>
        <v>0</v>
      </c>
      <c r="Y26" s="25" t="str">
        <f>IF(VLOOKUP($G26, SeanRanks26!$A$2:$H$303, 8, FALSE)=0, "", VLOOKUP($G26, SeanRanks26!$A$2:$H$303, 8, FALSE))</f>
        <v/>
      </c>
    </row>
    <row r="27" spans="1:25" ht="14.25" customHeight="1" x14ac:dyDescent="0.25">
      <c r="A27" s="11"/>
      <c r="B27" s="11">
        <f t="shared" si="3"/>
        <v>2</v>
      </c>
      <c r="C27" s="11" t="s">
        <v>148</v>
      </c>
      <c r="D27" s="11"/>
      <c r="E27" s="23"/>
      <c r="F27" s="11">
        <f>VLOOKUP($G27, SeanRanks26!$A$2:$H$303, 5, FALSE)</f>
        <v>0</v>
      </c>
      <c r="G27" s="11" t="s">
        <v>109</v>
      </c>
      <c r="H27" s="11" t="str">
        <f>VLOOKUP($G27, '26 ADP Data'!$C$4:$Q$298, 2, FALSE)</f>
        <v>ATL</v>
      </c>
      <c r="I27" s="11" t="str">
        <f>VLOOKUP(G27, '26 ADP Data'!$C$4:$R$496, 16, FALSE)</f>
        <v>WR</v>
      </c>
      <c r="J27" s="11" t="str">
        <f>VLOOKUP($G27, SeanRanks26!$A$2:$H$303, 6, FALSE)</f>
        <v>WR1 - 2 - Volotile</v>
      </c>
      <c r="K27" s="11">
        <f>VLOOKUP($G27, SeanRanks26!$A$2:$H$303, 7, FALSE)</f>
        <v>8</v>
      </c>
      <c r="L27" s="11">
        <f t="shared" si="4"/>
        <v>2</v>
      </c>
      <c r="M27" s="11">
        <f>VLOOKUP($G27, '26 ADP Data'!$C$4:$Q$298, 10, FALSE)</f>
        <v>20</v>
      </c>
      <c r="N27" s="11">
        <f>VLOOKUP($G27, '26 ADP Data'!$C$4:$Q$298, 13, FALSE)</f>
        <v>23</v>
      </c>
      <c r="O27" s="11">
        <f t="shared" si="5"/>
        <v>-3</v>
      </c>
      <c r="P27" s="11">
        <f>VLOOKUP($G27, '26 ADP Data'!$C$4:$Q$298, 3, FALSE)</f>
        <v>21</v>
      </c>
      <c r="Q27" s="11">
        <f>VLOOKUP($G27, '26 ADP Data'!$C$4:$Q$298, 4, FALSE)</f>
        <v>18</v>
      </c>
      <c r="R27" s="11">
        <f>VLOOKUP($G27, '26 ADP Data'!$C$4:$Q$298, 6, FALSE)</f>
        <v>23</v>
      </c>
      <c r="S27" s="11">
        <f>VLOOKUP($G27, '26 ADP Data'!$C$4:$Q$298, 9, FALSE)</f>
        <v>21</v>
      </c>
      <c r="T27" s="11" t="str">
        <f>VLOOKUP($G27, '26 ADP Data'!$C$4:$Q$298, 8, FALSE)</f>
        <v>-</v>
      </c>
      <c r="U27" s="11">
        <f t="shared" si="6"/>
        <v>21</v>
      </c>
      <c r="V27" s="11">
        <f t="shared" si="7"/>
        <v>2</v>
      </c>
      <c r="W27" s="11">
        <f>D27-V27</f>
        <v>-2</v>
      </c>
      <c r="X27" s="11">
        <f>VLOOKUP($G27, SeanRanks26!$A$2:$K$303, 10, FALSE)-U27</f>
        <v>-1</v>
      </c>
      <c r="Y27" s="25" t="str">
        <f>IF(VLOOKUP($G27, SeanRanks26!$A$2:$H$303, 8, FALSE)=0, "", VLOOKUP($G27, SeanRanks26!$A$2:$H$303, 8, FALSE))</f>
        <v/>
      </c>
    </row>
    <row r="28" spans="1:25" ht="14.25" customHeight="1" x14ac:dyDescent="0.25">
      <c r="A28" s="11"/>
      <c r="B28" s="11">
        <f t="shared" si="3"/>
        <v>3</v>
      </c>
      <c r="C28" s="11" t="s">
        <v>148</v>
      </c>
      <c r="D28" s="11">
        <v>2</v>
      </c>
      <c r="E28" s="23"/>
      <c r="F28" s="11" t="str">
        <f>VLOOKUP($G28, SeanRanks26!$A$2:$H$303, 5, FALSE)</f>
        <v>Yes</v>
      </c>
      <c r="G28" s="11" t="s">
        <v>139</v>
      </c>
      <c r="H28" s="11" t="str">
        <f>VLOOKUP($G28, '26 ADP Data'!$C$4:$Q$298, 2, FALSE)</f>
        <v>PHI</v>
      </c>
      <c r="I28" s="11" t="str">
        <f>VLOOKUP(G28, '26 ADP Data'!$C$4:$R$496, 16, FALSE)</f>
        <v>WR</v>
      </c>
      <c r="J28" s="11" t="str">
        <f>VLOOKUP($G28, SeanRanks26!$A$2:$H$303, 6, FALSE)</f>
        <v>WR1 - 2 - Volotile</v>
      </c>
      <c r="K28" s="11">
        <f>VLOOKUP($G28, SeanRanks26!$A$2:$H$303, 7, FALSE)</f>
        <v>9</v>
      </c>
      <c r="L28" s="11">
        <f t="shared" si="4"/>
        <v>3</v>
      </c>
      <c r="M28" s="11">
        <f>VLOOKUP($G28, '26 ADP Data'!$C$4:$Q$298, 10, FALSE)</f>
        <v>26</v>
      </c>
      <c r="N28" s="11">
        <f>VLOOKUP($G28, '26 ADP Data'!$C$4:$Q$298, 13, FALSE)</f>
        <v>27</v>
      </c>
      <c r="O28" s="11">
        <f t="shared" si="5"/>
        <v>-1</v>
      </c>
      <c r="P28" s="11">
        <f>VLOOKUP($G28, '26 ADP Data'!$C$4:$Q$298, 3, FALSE)</f>
        <v>31</v>
      </c>
      <c r="Q28" s="11">
        <f>VLOOKUP($G28, '26 ADP Data'!$C$4:$Q$298, 4, FALSE)</f>
        <v>34</v>
      </c>
      <c r="R28" s="11">
        <f>VLOOKUP($G28, '26 ADP Data'!$C$4:$Q$298, 6, FALSE)</f>
        <v>33</v>
      </c>
      <c r="S28" s="11">
        <f>VLOOKUP($G28, '26 ADP Data'!$C$4:$Q$298, 9, FALSE)</f>
        <v>33</v>
      </c>
      <c r="T28" s="11" t="str">
        <f>VLOOKUP($G28, '26 ADP Data'!$C$4:$Q$298, 8, FALSE)</f>
        <v>-</v>
      </c>
      <c r="U28" s="11">
        <f t="shared" si="6"/>
        <v>30</v>
      </c>
      <c r="V28" s="11">
        <f t="shared" si="7"/>
        <v>3</v>
      </c>
      <c r="W28" s="11"/>
      <c r="X28" s="11">
        <f>VLOOKUP($G28, SeanRanks26!$A$2:$K$303, 10, FALSE)-U28</f>
        <v>-4</v>
      </c>
      <c r="Y28" s="25" t="str">
        <f>IF(VLOOKUP($G28, SeanRanks26!$A$2:$H$303, 8, FALSE)=0, "", VLOOKUP($G28, SeanRanks26!$A$2:$H$303, 8, FALSE))</f>
        <v/>
      </c>
    </row>
    <row r="29" spans="1:25" ht="14.25" hidden="1" customHeight="1" x14ac:dyDescent="0.25">
      <c r="A29" s="11"/>
      <c r="B29" s="11">
        <f t="shared" si="3"/>
        <v>2</v>
      </c>
      <c r="C29" s="11" t="s">
        <v>148</v>
      </c>
      <c r="D29" s="11">
        <v>2</v>
      </c>
      <c r="E29" s="23"/>
      <c r="F29" s="11">
        <f>VLOOKUP($G29, SeanRanks26!$A$2:$H$303, 5, FALSE)</f>
        <v>0</v>
      </c>
      <c r="G29" s="11" t="s">
        <v>122</v>
      </c>
      <c r="H29" s="11" t="str">
        <f>VLOOKUP($G29, '26 ADP Data'!$C$4:$Q$298, 2, FALSE)</f>
        <v>ARI</v>
      </c>
      <c r="I29" s="11" t="str">
        <f>VLOOKUP(G29, '26 ADP Data'!$C$4:$R$496, 16, FALSE)</f>
        <v>TE</v>
      </c>
      <c r="J29" s="11" t="str">
        <f>VLOOKUP($G29, SeanRanks26!$A$2:$H$303, 6, FALSE)</f>
        <v>TE1 - 1 - Elite</v>
      </c>
      <c r="K29" s="11">
        <f>VLOOKUP($G29, SeanRanks26!$A$2:$H$303, 7, FALSE)</f>
        <v>2</v>
      </c>
      <c r="L29" s="11">
        <f t="shared" si="4"/>
        <v>3</v>
      </c>
      <c r="M29" s="11">
        <f>VLOOKUP($G29, '26 ADP Data'!$C$4:$Q$298, 10, FALSE)</f>
        <v>34</v>
      </c>
      <c r="N29" s="11">
        <f>VLOOKUP($G29, '26 ADP Data'!$C$4:$Q$298, 13, FALSE)</f>
        <v>29</v>
      </c>
      <c r="O29" s="11">
        <f t="shared" si="5"/>
        <v>5</v>
      </c>
      <c r="P29" s="11">
        <f>VLOOKUP($G29, '26 ADP Data'!$C$4:$Q$298, 3, FALSE)</f>
        <v>27</v>
      </c>
      <c r="Q29" s="11">
        <f>VLOOKUP($G29, '26 ADP Data'!$C$4:$Q$298, 4, FALSE)</f>
        <v>21</v>
      </c>
      <c r="R29" s="11">
        <f>VLOOKUP($G29, '26 ADP Data'!$C$4:$Q$298, 6, FALSE)</f>
        <v>17</v>
      </c>
      <c r="S29" s="11">
        <f>VLOOKUP($G29, '26 ADP Data'!$C$4:$Q$298, 9, FALSE)</f>
        <v>27</v>
      </c>
      <c r="T29" s="11" t="str">
        <f>VLOOKUP($G29, '26 ADP Data'!$C$4:$Q$298, 8, FALSE)</f>
        <v>-</v>
      </c>
      <c r="U29" s="11">
        <f t="shared" si="6"/>
        <v>25</v>
      </c>
      <c r="V29" s="11">
        <f t="shared" si="7"/>
        <v>3</v>
      </c>
      <c r="W29" s="11"/>
      <c r="X29" s="11">
        <f>VLOOKUP($G29, SeanRanks26!$A$2:$K$303, 10, FALSE)-U29</f>
        <v>9</v>
      </c>
      <c r="Y29" s="25" t="str">
        <f>IF(VLOOKUP($G29, SeanRanks26!$A$2:$H$303, 8, FALSE)=0, "", VLOOKUP($G29, SeanRanks26!$A$2:$H$303, 8, FALSE))</f>
        <v/>
      </c>
    </row>
    <row r="30" spans="1:25" ht="14.25" customHeight="1" x14ac:dyDescent="0.25">
      <c r="A30" s="11"/>
      <c r="B30" s="11">
        <f t="shared" si="3"/>
        <v>2</v>
      </c>
      <c r="C30" s="11" t="s">
        <v>148</v>
      </c>
      <c r="D30" s="11"/>
      <c r="E30" s="23"/>
      <c r="F30" s="11">
        <f>VLOOKUP($G30, SeanRanks26!$A$2:$H$303, 5, FALSE)</f>
        <v>0</v>
      </c>
      <c r="G30" s="11" t="s">
        <v>115</v>
      </c>
      <c r="H30" s="11" t="str">
        <f>VLOOKUP($G30, '26 ADP Data'!$C$4:$Q$298, 2, FALSE)</f>
        <v>HOU</v>
      </c>
      <c r="I30" s="11" t="str">
        <f>VLOOKUP(G30, '26 ADP Data'!$C$4:$R$496, 16, FALSE)</f>
        <v>WR</v>
      </c>
      <c r="J30" s="11" t="str">
        <f>VLOOKUP($G30, SeanRanks26!$A$2:$H$303, 6, FALSE)</f>
        <v>WR1 - 2 - Volotile</v>
      </c>
      <c r="K30" s="11">
        <f>VLOOKUP($G30, SeanRanks26!$A$2:$H$303, 7, FALSE)</f>
        <v>10</v>
      </c>
      <c r="L30" s="11">
        <f t="shared" si="4"/>
        <v>2</v>
      </c>
      <c r="M30" s="11">
        <f>VLOOKUP($G30, '26 ADP Data'!$C$4:$Q$298, 10, FALSE)</f>
        <v>18</v>
      </c>
      <c r="N30" s="11">
        <f>VLOOKUP($G30, '26 ADP Data'!$C$4:$Q$298, 13, FALSE)</f>
        <v>22</v>
      </c>
      <c r="O30" s="11">
        <f t="shared" si="5"/>
        <v>-4</v>
      </c>
      <c r="P30" s="11">
        <f>VLOOKUP($G30, '26 ADP Data'!$C$4:$Q$298, 3, FALSE)</f>
        <v>24</v>
      </c>
      <c r="Q30" s="11">
        <f>VLOOKUP($G30, '26 ADP Data'!$C$4:$Q$298, 4, FALSE)</f>
        <v>25</v>
      </c>
      <c r="R30" s="11">
        <f>VLOOKUP($G30, '26 ADP Data'!$C$4:$Q$298, 6, FALSE)</f>
        <v>24</v>
      </c>
      <c r="S30" s="11">
        <f>VLOOKUP($G30, '26 ADP Data'!$C$4:$Q$298, 9, FALSE)</f>
        <v>22</v>
      </c>
      <c r="T30" s="11" t="str">
        <f>VLOOKUP($G30, '26 ADP Data'!$C$4:$Q$298, 8, FALSE)</f>
        <v>-</v>
      </c>
      <c r="U30" s="11">
        <f t="shared" si="6"/>
        <v>22</v>
      </c>
      <c r="V30" s="11">
        <f t="shared" si="7"/>
        <v>2</v>
      </c>
      <c r="W30" s="11"/>
      <c r="X30" s="11">
        <f>VLOOKUP($G30, SeanRanks26!$A$2:$K$303, 10, FALSE)-U30</f>
        <v>-4</v>
      </c>
      <c r="Y30" s="25" t="str">
        <f>IF(VLOOKUP($G30, SeanRanks26!$A$2:$H$303, 8, FALSE)=0, "", VLOOKUP($G30, SeanRanks26!$A$2:$H$303, 8, FALSE))</f>
        <v/>
      </c>
    </row>
    <row r="31" spans="1:25" ht="14.25" hidden="1" customHeight="1" x14ac:dyDescent="0.25">
      <c r="A31" s="11"/>
      <c r="B31" s="11">
        <f t="shared" si="3"/>
        <v>2</v>
      </c>
      <c r="C31" s="11" t="s">
        <v>148</v>
      </c>
      <c r="D31" s="11"/>
      <c r="E31" s="23"/>
      <c r="F31" s="11" t="str">
        <f>VLOOKUP($G31, SeanRanks26!$A$2:$H$303, 5, FALSE)</f>
        <v>Yes</v>
      </c>
      <c r="G31" s="11" t="s">
        <v>131</v>
      </c>
      <c r="H31" s="11" t="str">
        <f>VLOOKUP($G31, '26 ADP Data'!$C$4:$Q$298, 2, FALSE)</f>
        <v>BUF</v>
      </c>
      <c r="I31" s="11" t="str">
        <f>VLOOKUP(G31, '26 ADP Data'!$C$4:$R$496, 16, FALSE)</f>
        <v>QB</v>
      </c>
      <c r="J31" s="11" t="str">
        <f>VLOOKUP($G31, SeanRanks26!$A$2:$H$303, 6, FALSE)</f>
        <v>QB1 - 1 - Elite</v>
      </c>
      <c r="K31" s="11">
        <f>VLOOKUP($G31, SeanRanks26!$A$2:$H$303, 7, FALSE)</f>
        <v>1</v>
      </c>
      <c r="L31" s="11">
        <f t="shared" si="4"/>
        <v>3</v>
      </c>
      <c r="M31" s="11">
        <f>VLOOKUP($G31, '26 ADP Data'!$C$4:$Q$298, 10, FALSE)</f>
        <v>35</v>
      </c>
      <c r="N31" s="11">
        <f>VLOOKUP($G31, '26 ADP Data'!$C$4:$Q$298, 13, FALSE)</f>
        <v>38</v>
      </c>
      <c r="O31" s="11">
        <f t="shared" si="5"/>
        <v>-3</v>
      </c>
      <c r="P31" s="11">
        <f>VLOOKUP($G31, '26 ADP Data'!$C$4:$Q$298, 3, FALSE)</f>
        <v>19</v>
      </c>
      <c r="Q31" s="11">
        <f>VLOOKUP($G31, '26 ADP Data'!$C$4:$Q$298, 4, FALSE)</f>
        <v>17</v>
      </c>
      <c r="R31" s="11">
        <f>VLOOKUP($G31, '26 ADP Data'!$C$4:$Q$298, 6, FALSE)</f>
        <v>34</v>
      </c>
      <c r="S31" s="11">
        <f>VLOOKUP($G31, '26 ADP Data'!$C$4:$Q$298, 9, FALSE)</f>
        <v>20</v>
      </c>
      <c r="T31" s="11" t="str">
        <f>VLOOKUP($G31, '26 ADP Data'!$C$4:$Q$298, 8, FALSE)</f>
        <v>-</v>
      </c>
      <c r="U31" s="11">
        <f t="shared" si="6"/>
        <v>27</v>
      </c>
      <c r="V31" s="11">
        <f t="shared" si="7"/>
        <v>3</v>
      </c>
      <c r="W31" s="11"/>
      <c r="X31" s="11">
        <f>VLOOKUP($G31, SeanRanks26!$A$2:$K$303, 10, FALSE)-U31</f>
        <v>8</v>
      </c>
      <c r="Y31" s="25" t="str">
        <f>IF(VLOOKUP($G31, SeanRanks26!$A$2:$H$303, 8, FALSE)=0, "", VLOOKUP($G31, SeanRanks26!$A$2:$H$303, 8, FALSE))</f>
        <v/>
      </c>
    </row>
    <row r="32" spans="1:25" ht="14.25" customHeight="1" x14ac:dyDescent="0.25">
      <c r="A32" s="11"/>
      <c r="B32" s="11">
        <f t="shared" si="3"/>
        <v>3</v>
      </c>
      <c r="C32" s="11" t="s">
        <v>148</v>
      </c>
      <c r="D32" s="11"/>
      <c r="E32" s="23"/>
      <c r="F32" s="11">
        <f>VLOOKUP($G32, SeanRanks26!$A$2:$H$303, 5, FALSE)</f>
        <v>0</v>
      </c>
      <c r="G32" s="11" t="s">
        <v>133</v>
      </c>
      <c r="H32" s="11" t="str">
        <f>VLOOKUP($G32, '26 ADP Data'!$C$4:$Q$298, 2, FALSE)</f>
        <v>KC</v>
      </c>
      <c r="I32" s="11" t="str">
        <f>VLOOKUP(G32, '26 ADP Data'!$C$4:$R$496, 16, FALSE)</f>
        <v>WR</v>
      </c>
      <c r="J32" s="11" t="str">
        <f>VLOOKUP($G32, SeanRanks26!$A$2:$H$303, 6, FALSE)</f>
        <v>WR1 - 2 - Volotile</v>
      </c>
      <c r="K32" s="11">
        <f>VLOOKUP($G32, SeanRanks26!$A$2:$H$303, 7, FALSE)</f>
        <v>11</v>
      </c>
      <c r="L32" s="11">
        <f t="shared" si="4"/>
        <v>4</v>
      </c>
      <c r="M32" s="11">
        <f>VLOOKUP($G32, '26 ADP Data'!$C$4:$Q$298, 10, FALSE)</f>
        <v>39</v>
      </c>
      <c r="N32" s="11">
        <f>VLOOKUP($G32, '26 ADP Data'!$C$4:$Q$298, 13, FALSE)</f>
        <v>26</v>
      </c>
      <c r="O32" s="11">
        <f t="shared" si="5"/>
        <v>13</v>
      </c>
      <c r="P32" s="11">
        <f>VLOOKUP($G32, '26 ADP Data'!$C$4:$Q$298, 3, FALSE)</f>
        <v>23</v>
      </c>
      <c r="Q32" s="11">
        <f>VLOOKUP($G32, '26 ADP Data'!$C$4:$Q$298, 4, FALSE)</f>
        <v>27</v>
      </c>
      <c r="R32" s="11">
        <f>VLOOKUP($G32, '26 ADP Data'!$C$4:$Q$298, 6, FALSE)</f>
        <v>30</v>
      </c>
      <c r="S32" s="11">
        <f>VLOOKUP($G32, '26 ADP Data'!$C$4:$Q$298, 9, FALSE)</f>
        <v>29</v>
      </c>
      <c r="T32" s="11" t="str">
        <f>VLOOKUP($G32, '26 ADP Data'!$C$4:$Q$298, 8, FALSE)</f>
        <v>-</v>
      </c>
      <c r="U32" s="11">
        <f t="shared" si="6"/>
        <v>29</v>
      </c>
      <c r="V32" s="11">
        <f t="shared" si="7"/>
        <v>3</v>
      </c>
      <c r="W32" s="11"/>
      <c r="X32" s="11">
        <f>VLOOKUP($G32, SeanRanks26!$A$2:$K$303, 10, FALSE)-U32</f>
        <v>10</v>
      </c>
      <c r="Y32" s="25" t="str">
        <f>IF(VLOOKUP($G32, SeanRanks26!$A$2:$H$303, 8, FALSE)=0, "", VLOOKUP($G32, SeanRanks26!$A$2:$H$303, 8, FALSE))</f>
        <v/>
      </c>
    </row>
    <row r="33" spans="1:25" ht="14.25" customHeight="1" x14ac:dyDescent="0.25">
      <c r="A33" s="11"/>
      <c r="B33" s="11">
        <f t="shared" si="3"/>
        <v>3</v>
      </c>
      <c r="C33" s="11" t="s">
        <v>148</v>
      </c>
      <c r="D33" s="11"/>
      <c r="E33" s="23"/>
      <c r="F33" s="11">
        <f>VLOOKUP($G33, SeanRanks26!$A$2:$H$303, 5, FALSE)</f>
        <v>0</v>
      </c>
      <c r="G33" s="11" t="s">
        <v>128</v>
      </c>
      <c r="H33" s="11" t="str">
        <f>VLOOKUP($G33, '26 ADP Data'!$C$4:$Q$298, 2, FALSE)</f>
        <v>NO</v>
      </c>
      <c r="I33" s="11" t="str">
        <f>VLOOKUP(G33, '26 ADP Data'!$C$4:$R$496, 16, FALSE)</f>
        <v>WR</v>
      </c>
      <c r="J33" s="11" t="str">
        <f>VLOOKUP($G33, SeanRanks26!$A$2:$H$303, 6, FALSE)</f>
        <v>WR1 - 2 - Volotile</v>
      </c>
      <c r="K33" s="11">
        <f>VLOOKUP($G33, SeanRanks26!$A$2:$H$303, 7, FALSE)</f>
        <v>12</v>
      </c>
      <c r="L33" s="11">
        <f t="shared" si="4"/>
        <v>3</v>
      </c>
      <c r="M33" s="11">
        <f>VLOOKUP($G33, '26 ADP Data'!$C$4:$Q$298, 10, FALSE)</f>
        <v>24</v>
      </c>
      <c r="N33" s="11">
        <f>VLOOKUP($G33, '26 ADP Data'!$C$4:$Q$298, 13, FALSE)</f>
        <v>25</v>
      </c>
      <c r="O33" s="11">
        <f t="shared" si="5"/>
        <v>-1</v>
      </c>
      <c r="P33" s="11">
        <f>VLOOKUP($G33, '26 ADP Data'!$C$4:$Q$298, 3, FALSE)</f>
        <v>26</v>
      </c>
      <c r="Q33" s="11">
        <f>VLOOKUP($G33, '26 ADP Data'!$C$4:$Q$298, 4, FALSE)</f>
        <v>28</v>
      </c>
      <c r="R33" s="11">
        <f>VLOOKUP($G33, '26 ADP Data'!$C$4:$Q$298, 6, FALSE)</f>
        <v>25</v>
      </c>
      <c r="S33" s="11">
        <f>VLOOKUP($G33, '26 ADP Data'!$C$4:$Q$298, 9, FALSE)</f>
        <v>30</v>
      </c>
      <c r="T33" s="11" t="str">
        <f>VLOOKUP($G33, '26 ADP Data'!$C$4:$Q$298, 8, FALSE)</f>
        <v>-</v>
      </c>
      <c r="U33" s="11">
        <f t="shared" si="6"/>
        <v>26</v>
      </c>
      <c r="V33" s="11">
        <f t="shared" si="7"/>
        <v>3</v>
      </c>
      <c r="W33" s="11"/>
      <c r="X33" s="11">
        <f>VLOOKUP($G33, SeanRanks26!$A$2:$K$303, 10, FALSE)-U33</f>
        <v>-2</v>
      </c>
      <c r="Y33" s="25" t="str">
        <f>IF(VLOOKUP($G33, SeanRanks26!$A$2:$H$303, 8, FALSE)=0, "", VLOOKUP($G33, SeanRanks26!$A$2:$H$303, 8, FALSE))</f>
        <v/>
      </c>
    </row>
    <row r="34" spans="1:25" ht="14.25" customHeight="1" x14ac:dyDescent="0.25">
      <c r="A34" s="11"/>
      <c r="B34" s="11">
        <f t="shared" si="3"/>
        <v>3</v>
      </c>
      <c r="C34" s="11" t="s">
        <v>148</v>
      </c>
      <c r="D34" s="11"/>
      <c r="E34" s="23"/>
      <c r="F34" s="11">
        <f>VLOOKUP($G34, SeanRanks26!$A$2:$H$303, 5, FALSE)</f>
        <v>0</v>
      </c>
      <c r="G34" s="11" t="s">
        <v>118</v>
      </c>
      <c r="H34" s="11" t="str">
        <f>VLOOKUP($G34, '26 ADP Data'!$C$4:$Q$298, 2, FALSE)</f>
        <v>DAL</v>
      </c>
      <c r="I34" s="11" t="str">
        <f>VLOOKUP(G34, '26 ADP Data'!$C$4:$R$496, 16, FALSE)</f>
        <v>WR</v>
      </c>
      <c r="J34" s="11" t="str">
        <f>VLOOKUP($G34, SeanRanks26!$A$2:$H$303, 6, FALSE)</f>
        <v>WR1 - 2 - Volotile</v>
      </c>
      <c r="K34" s="11">
        <f>VLOOKUP($G34, SeanRanks26!$A$2:$H$303, 7, FALSE)</f>
        <v>13</v>
      </c>
      <c r="L34" s="11">
        <f t="shared" si="4"/>
        <v>2</v>
      </c>
      <c r="M34" s="11">
        <f>VLOOKUP($G34, '26 ADP Data'!$C$4:$Q$298, 10, FALSE)</f>
        <v>22</v>
      </c>
      <c r="N34" s="11">
        <f>VLOOKUP($G34, '26 ADP Data'!$C$4:$Q$298, 13, FALSE)</f>
        <v>24</v>
      </c>
      <c r="O34" s="11">
        <f t="shared" si="5"/>
        <v>-2</v>
      </c>
      <c r="P34" s="11">
        <f>VLOOKUP($G34, '26 ADP Data'!$C$4:$Q$298, 3, FALSE)</f>
        <v>20</v>
      </c>
      <c r="Q34" s="11">
        <f>VLOOKUP($G34, '26 ADP Data'!$C$4:$Q$298, 4, FALSE)</f>
        <v>26</v>
      </c>
      <c r="R34" s="11">
        <f>VLOOKUP($G34, '26 ADP Data'!$C$4:$Q$298, 6, FALSE)</f>
        <v>27</v>
      </c>
      <c r="S34" s="11">
        <f>VLOOKUP($G34, '26 ADP Data'!$C$4:$Q$298, 9, FALSE)</f>
        <v>25</v>
      </c>
      <c r="T34" s="11" t="str">
        <f>VLOOKUP($G34, '26 ADP Data'!$C$4:$Q$298, 8, FALSE)</f>
        <v>-</v>
      </c>
      <c r="U34" s="11">
        <f t="shared" si="6"/>
        <v>24</v>
      </c>
      <c r="V34" s="11">
        <f t="shared" si="7"/>
        <v>3</v>
      </c>
      <c r="W34" s="11">
        <f>D34-V34</f>
        <v>-3</v>
      </c>
      <c r="X34" s="11">
        <f>VLOOKUP($G34, SeanRanks26!$A$2:$K$303, 10, FALSE)-U34</f>
        <v>-2</v>
      </c>
      <c r="Y34" s="25" t="str">
        <f>IF(VLOOKUP($G34, SeanRanks26!$A$2:$H$303, 8, FALSE)=0, "", VLOOKUP($G34, SeanRanks26!$A$2:$H$303, 8, FALSE))</f>
        <v/>
      </c>
    </row>
    <row r="35" spans="1:25" ht="14.25" hidden="1" customHeight="1" x14ac:dyDescent="0.25">
      <c r="A35" s="11"/>
      <c r="B35" s="11">
        <f t="shared" si="3"/>
        <v>3</v>
      </c>
      <c r="C35" s="11" t="s">
        <v>119</v>
      </c>
      <c r="D35" s="11">
        <v>2</v>
      </c>
      <c r="E35" s="23"/>
      <c r="F35" s="11">
        <f>VLOOKUP($G35, SeanRanks26!$A$2:$H$303, 5, FALSE)</f>
        <v>0</v>
      </c>
      <c r="G35" s="11" t="s">
        <v>137</v>
      </c>
      <c r="H35" s="11" t="str">
        <f>VLOOKUP($G35, '26 ADP Data'!$C$4:$Q$298, 2, FALSE)</f>
        <v>ARI</v>
      </c>
      <c r="I35" s="11" t="str">
        <f>VLOOKUP(G35, '26 ADP Data'!$C$4:$R$496, 16, FALSE)</f>
        <v>RB</v>
      </c>
      <c r="J35" s="11" t="str">
        <f>VLOOKUP($G35, SeanRanks26!$A$2:$H$303, 6, FALSE)</f>
        <v>RB1 - 4 - More Qs</v>
      </c>
      <c r="K35" s="11">
        <f>VLOOKUP($G35, SeanRanks26!$A$2:$H$303, 7, FALSE)</f>
        <v>17</v>
      </c>
      <c r="L35" s="11">
        <f t="shared" si="4"/>
        <v>3</v>
      </c>
      <c r="M35" s="11">
        <f>VLOOKUP($G35, '26 ADP Data'!$C$4:$Q$298, 10, FALSE)</f>
        <v>28</v>
      </c>
      <c r="N35" s="11">
        <f>VLOOKUP($G35, '26 ADP Data'!$C$4:$Q$298, 13, FALSE)</f>
        <v>28</v>
      </c>
      <c r="O35" s="11">
        <f t="shared" si="5"/>
        <v>0</v>
      </c>
      <c r="P35" s="11">
        <f>VLOOKUP($G35, '26 ADP Data'!$C$4:$Q$298, 3, FALSE)</f>
        <v>33</v>
      </c>
      <c r="Q35" s="11">
        <f>VLOOKUP($G35, '26 ADP Data'!$C$4:$Q$298, 4, FALSE)</f>
        <v>24</v>
      </c>
      <c r="R35" s="11">
        <f>VLOOKUP($G35, '26 ADP Data'!$C$4:$Q$298, 6, FALSE)</f>
        <v>29</v>
      </c>
      <c r="S35" s="11">
        <f>VLOOKUP($G35, '26 ADP Data'!$C$4:$Q$298, 9, FALSE)</f>
        <v>26</v>
      </c>
      <c r="T35" s="11" t="str">
        <f>VLOOKUP($G35, '26 ADP Data'!$C$4:$Q$298, 8, FALSE)</f>
        <v>-</v>
      </c>
      <c r="U35" s="11">
        <f t="shared" si="6"/>
        <v>28</v>
      </c>
      <c r="V35" s="11">
        <f t="shared" si="7"/>
        <v>3</v>
      </c>
      <c r="W35" s="11"/>
      <c r="X35" s="11">
        <f>VLOOKUP($G35, SeanRanks26!$A$2:$K$303, 10, FALSE)-U35</f>
        <v>0</v>
      </c>
      <c r="Y35" s="25" t="s">
        <v>376</v>
      </c>
    </row>
    <row r="36" spans="1:25" ht="14.25" hidden="1" customHeight="1" x14ac:dyDescent="0.25">
      <c r="A36" s="11"/>
      <c r="B36" s="11">
        <f t="shared" si="3"/>
        <v>3</v>
      </c>
      <c r="C36" s="11" t="s">
        <v>148</v>
      </c>
      <c r="D36" s="11"/>
      <c r="E36" s="23"/>
      <c r="F36" s="11">
        <f>VLOOKUP($G36, SeanRanks26!$A$2:$H$303, 5, FALSE)</f>
        <v>0</v>
      </c>
      <c r="G36" s="11" t="s">
        <v>135</v>
      </c>
      <c r="H36" s="11" t="str">
        <f>VLOOKUP($G36, '26 ADP Data'!$C$4:$Q$298, 2, FALSE)</f>
        <v>LAR</v>
      </c>
      <c r="I36" s="11" t="str">
        <f>VLOOKUP(G36, '26 ADP Data'!$C$4:$R$496, 16, FALSE)</f>
        <v>RB</v>
      </c>
      <c r="J36" s="11" t="str">
        <f>VLOOKUP($G36, SeanRanks26!$A$2:$H$303, 6, FALSE)</f>
        <v>RB1 - 4 - More Qs</v>
      </c>
      <c r="K36" s="11">
        <f>VLOOKUP($G36, SeanRanks26!$A$2:$H$303, 7, FALSE)</f>
        <v>16</v>
      </c>
      <c r="L36" s="11">
        <f t="shared" si="4"/>
        <v>3</v>
      </c>
      <c r="M36" s="11">
        <f>VLOOKUP($G36, '26 ADP Data'!$C$4:$Q$298, 10, FALSE)</f>
        <v>27</v>
      </c>
      <c r="N36" s="11">
        <f>VLOOKUP($G36, '26 ADP Data'!$C$4:$Q$298, 13, FALSE)</f>
        <v>31</v>
      </c>
      <c r="O36" s="11">
        <f t="shared" si="5"/>
        <v>-4</v>
      </c>
      <c r="P36" s="11">
        <f>VLOOKUP($G36, '26 ADP Data'!$C$4:$Q$298, 3, FALSE)</f>
        <v>28</v>
      </c>
      <c r="Q36" s="11">
        <f>VLOOKUP($G36, '26 ADP Data'!$C$4:$Q$298, 4, FALSE)</f>
        <v>31</v>
      </c>
      <c r="R36" s="11">
        <f>VLOOKUP($G36, '26 ADP Data'!$C$4:$Q$298, 6, FALSE)</f>
        <v>32</v>
      </c>
      <c r="S36" s="11">
        <f>VLOOKUP($G36, '26 ADP Data'!$C$4:$Q$298, 9, FALSE)</f>
        <v>24</v>
      </c>
      <c r="T36" s="11" t="str">
        <f>VLOOKUP($G36, '26 ADP Data'!$C$4:$Q$298, 8, FALSE)</f>
        <v>-</v>
      </c>
      <c r="U36" s="11">
        <f t="shared" si="6"/>
        <v>28</v>
      </c>
      <c r="V36" s="11">
        <f t="shared" si="7"/>
        <v>3</v>
      </c>
      <c r="W36" s="11"/>
      <c r="X36" s="11">
        <f>VLOOKUP($G36, SeanRanks26!$A$2:$K$303, 10, FALSE)-U36</f>
        <v>-1</v>
      </c>
      <c r="Y36" s="25" t="str">
        <f>IF(VLOOKUP($G36, SeanRanks26!$A$2:$H$303, 8, FALSE)=0, "", VLOOKUP($G36, SeanRanks26!$A$2:$H$303, 8, FALSE))</f>
        <v/>
      </c>
    </row>
    <row r="37" spans="1:25" ht="14.25" hidden="1" customHeight="1" x14ac:dyDescent="0.25">
      <c r="A37" s="11"/>
      <c r="B37" s="11">
        <f t="shared" si="3"/>
        <v>3</v>
      </c>
      <c r="C37" s="11" t="s">
        <v>148</v>
      </c>
      <c r="D37" s="11"/>
      <c r="E37" s="23"/>
      <c r="F37" s="11">
        <f>VLOOKUP($G37, SeanRanks26!$A$2:$H$303, 5, FALSE)</f>
        <v>0</v>
      </c>
      <c r="G37" s="11" t="s">
        <v>143</v>
      </c>
      <c r="H37" s="11" t="str">
        <f>VLOOKUP($G37, '26 ADP Data'!$C$4:$Q$298, 2, FALSE)</f>
        <v>NYJ</v>
      </c>
      <c r="I37" s="11" t="str">
        <f>VLOOKUP(G37, '26 ADP Data'!$C$4:$R$496, 16, FALSE)</f>
        <v>RB</v>
      </c>
      <c r="J37" s="11" t="str">
        <f>VLOOKUP($G37, SeanRanks26!$A$2:$H$303, 6, FALSE)</f>
        <v>RB1 - 3 - Weekly RB1</v>
      </c>
      <c r="K37" s="11">
        <f>VLOOKUP($G37, SeanRanks26!$A$2:$H$303, 7, FALSE)</f>
        <v>13</v>
      </c>
      <c r="L37" s="11">
        <f t="shared" si="4"/>
        <v>3</v>
      </c>
      <c r="M37" s="11">
        <f>VLOOKUP($G37, '26 ADP Data'!$C$4:$Q$298, 10, FALSE)</f>
        <v>30</v>
      </c>
      <c r="N37" s="11">
        <f>VLOOKUP($G37, '26 ADP Data'!$C$4:$Q$298, 13, FALSE)</f>
        <v>30</v>
      </c>
      <c r="O37" s="11">
        <f t="shared" si="5"/>
        <v>0</v>
      </c>
      <c r="P37" s="11">
        <f>VLOOKUP($G37, '26 ADP Data'!$C$4:$Q$298, 3, FALSE)</f>
        <v>39</v>
      </c>
      <c r="Q37" s="11">
        <f>VLOOKUP($G37, '26 ADP Data'!$C$4:$Q$298, 4, FALSE)</f>
        <v>32</v>
      </c>
      <c r="R37" s="11">
        <f>VLOOKUP($G37, '26 ADP Data'!$C$4:$Q$298, 6, FALSE)</f>
        <v>31</v>
      </c>
      <c r="S37" s="11">
        <f>VLOOKUP($G37, '26 ADP Data'!$C$4:$Q$298, 9, FALSE)</f>
        <v>31</v>
      </c>
      <c r="T37" s="11" t="str">
        <f>VLOOKUP($G37, '26 ADP Data'!$C$4:$Q$298, 8, FALSE)</f>
        <v>-</v>
      </c>
      <c r="U37" s="11">
        <f t="shared" si="6"/>
        <v>32</v>
      </c>
      <c r="V37" s="11">
        <f t="shared" si="7"/>
        <v>3</v>
      </c>
      <c r="W37" s="11"/>
      <c r="X37" s="11">
        <f>VLOOKUP($G37, SeanRanks26!$A$2:$K$303, 10, FALSE)-U37</f>
        <v>-2</v>
      </c>
      <c r="Y37" s="25" t="str">
        <f>IF(VLOOKUP($G37, SeanRanks26!$A$2:$H$303, 8, FALSE)=0, "", VLOOKUP($G37, SeanRanks26!$A$2:$H$303, 8, FALSE))</f>
        <v/>
      </c>
    </row>
    <row r="38" spans="1:25" ht="14.25" customHeight="1" x14ac:dyDescent="0.25">
      <c r="A38" s="11"/>
      <c r="B38" s="11">
        <f t="shared" si="3"/>
        <v>4</v>
      </c>
      <c r="C38" s="11" t="s">
        <v>148</v>
      </c>
      <c r="D38" s="11"/>
      <c r="E38" s="23"/>
      <c r="F38" s="11">
        <f>VLOOKUP($G38, SeanRanks26!$A$2:$H$303, 5, FALSE)</f>
        <v>0</v>
      </c>
      <c r="G38" s="11" t="s">
        <v>150</v>
      </c>
      <c r="H38" s="11" t="str">
        <f>VLOOKUP($G38, '26 ADP Data'!$C$4:$Q$298, 2, FALSE)</f>
        <v>CIN</v>
      </c>
      <c r="I38" s="11" t="str">
        <f>VLOOKUP(G38, '26 ADP Data'!$C$4:$R$496, 16, FALSE)</f>
        <v>WR</v>
      </c>
      <c r="J38" s="11" t="str">
        <f>VLOOKUP($G38, SeanRanks26!$A$2:$H$303, 6, FALSE)</f>
        <v>WR2 - 1 - High Ceiling</v>
      </c>
      <c r="K38" s="11">
        <f>VLOOKUP($G38, SeanRanks26!$A$2:$H$303, 7, FALSE)</f>
        <v>14</v>
      </c>
      <c r="L38" s="11">
        <f t="shared" si="4"/>
        <v>3</v>
      </c>
      <c r="M38" s="11">
        <f>VLOOKUP($G38, '26 ADP Data'!$C$4:$Q$298, 10, FALSE)</f>
        <v>31</v>
      </c>
      <c r="N38" s="11">
        <f>VLOOKUP($G38, '26 ADP Data'!$C$4:$Q$298, 13, FALSE)</f>
        <v>35</v>
      </c>
      <c r="O38" s="11">
        <f t="shared" si="5"/>
        <v>-4</v>
      </c>
      <c r="P38" s="11">
        <f>VLOOKUP($G38, '26 ADP Data'!$C$4:$Q$298, 3, FALSE)</f>
        <v>37</v>
      </c>
      <c r="Q38" s="11">
        <f>VLOOKUP($G38, '26 ADP Data'!$C$4:$Q$298, 4, FALSE)</f>
        <v>49</v>
      </c>
      <c r="R38" s="11">
        <f>VLOOKUP($G38, '26 ADP Data'!$C$4:$Q$298, 6, FALSE)</f>
        <v>42</v>
      </c>
      <c r="S38" s="11">
        <f>VLOOKUP($G38, '26 ADP Data'!$C$4:$Q$298, 9, FALSE)</f>
        <v>39</v>
      </c>
      <c r="T38" s="11" t="str">
        <f>VLOOKUP($G38, '26 ADP Data'!$C$4:$Q$298, 8, FALSE)</f>
        <v>-</v>
      </c>
      <c r="U38" s="11">
        <f t="shared" si="6"/>
        <v>38</v>
      </c>
      <c r="V38" s="11">
        <f t="shared" si="7"/>
        <v>4</v>
      </c>
      <c r="W38" s="11">
        <f>D38-V38</f>
        <v>-4</v>
      </c>
      <c r="X38" s="11">
        <f>VLOOKUP($G38, SeanRanks26!$A$2:$K$303, 10, FALSE)-U38</f>
        <v>-7</v>
      </c>
      <c r="Y38" s="25" t="str">
        <f>IF(VLOOKUP($G38, SeanRanks26!$A$2:$H$303, 8, FALSE)=0, "", VLOOKUP($G38, SeanRanks26!$A$2:$H$303, 8, FALSE))</f>
        <v/>
      </c>
    </row>
    <row r="39" spans="1:25" ht="14.25" hidden="1" customHeight="1" x14ac:dyDescent="0.25">
      <c r="A39" s="11"/>
      <c r="B39" s="11">
        <f t="shared" si="3"/>
        <v>3</v>
      </c>
      <c r="C39" s="11" t="s">
        <v>148</v>
      </c>
      <c r="D39" s="11"/>
      <c r="E39" s="23"/>
      <c r="F39" s="11">
        <f>VLOOKUP($G39, SeanRanks26!$A$2:$H$303, 5, FALSE)</f>
        <v>0</v>
      </c>
      <c r="G39" s="11" t="s">
        <v>141</v>
      </c>
      <c r="H39" s="11" t="str">
        <f>VLOOKUP($G39, '26 ADP Data'!$C$4:$Q$298, 2, FALSE)</f>
        <v>DAL</v>
      </c>
      <c r="I39" s="11" t="str">
        <f>VLOOKUP(G39, '26 ADP Data'!$C$4:$R$496, 16, FALSE)</f>
        <v>RB</v>
      </c>
      <c r="J39" s="11" t="str">
        <f>VLOOKUP($G39, SeanRanks26!$A$2:$H$303, 6, FALSE)</f>
        <v>RB1 - 3 - Weekly RB1</v>
      </c>
      <c r="K39" s="11">
        <f>VLOOKUP($G39, SeanRanks26!$A$2:$H$303, 7, FALSE)</f>
        <v>12</v>
      </c>
      <c r="L39" s="11">
        <f t="shared" si="4"/>
        <v>3</v>
      </c>
      <c r="M39" s="11">
        <f>VLOOKUP($G39, '26 ADP Data'!$C$4:$Q$298, 10, FALSE)</f>
        <v>29</v>
      </c>
      <c r="N39" s="11">
        <f>VLOOKUP($G39, '26 ADP Data'!$C$4:$Q$298, 13, FALSE)</f>
        <v>33</v>
      </c>
      <c r="O39" s="11">
        <f t="shared" si="5"/>
        <v>-4</v>
      </c>
      <c r="P39" s="11">
        <f>VLOOKUP($G39, '26 ADP Data'!$C$4:$Q$298, 3, FALSE)</f>
        <v>29</v>
      </c>
      <c r="Q39" s="11">
        <f>VLOOKUP($G39, '26 ADP Data'!$C$4:$Q$298, 4, FALSE)</f>
        <v>29</v>
      </c>
      <c r="R39" s="11">
        <f>VLOOKUP($G39, '26 ADP Data'!$C$4:$Q$298, 6, FALSE)</f>
        <v>28</v>
      </c>
      <c r="S39" s="11">
        <f>VLOOKUP($G39, '26 ADP Data'!$C$4:$Q$298, 9, FALSE)</f>
        <v>32</v>
      </c>
      <c r="T39" s="11" t="str">
        <f>VLOOKUP($G39, '26 ADP Data'!$C$4:$Q$298, 8, FALSE)</f>
        <v>-</v>
      </c>
      <c r="U39" s="11">
        <f t="shared" si="6"/>
        <v>30</v>
      </c>
      <c r="V39" s="11">
        <f t="shared" si="7"/>
        <v>3</v>
      </c>
      <c r="W39" s="11"/>
      <c r="X39" s="11">
        <f>VLOOKUP($G39, SeanRanks26!$A$2:$K$303, 10, FALSE)-U39</f>
        <v>-1</v>
      </c>
      <c r="Y39" s="25" t="str">
        <f>IF(VLOOKUP($G39, SeanRanks26!$A$2:$H$303, 8, FALSE)=0, "", VLOOKUP($G39, SeanRanks26!$A$2:$H$303, 8, FALSE))</f>
        <v/>
      </c>
    </row>
    <row r="40" spans="1:25" ht="14.25" customHeight="1" x14ac:dyDescent="0.25">
      <c r="A40" s="11"/>
      <c r="B40" s="11">
        <f t="shared" si="3"/>
        <v>3</v>
      </c>
      <c r="C40" s="11" t="s">
        <v>148</v>
      </c>
      <c r="D40" s="11"/>
      <c r="E40" s="23"/>
      <c r="F40" s="11">
        <f>VLOOKUP($G40, SeanRanks26!$A$2:$H$303, 5, FALSE)</f>
        <v>0</v>
      </c>
      <c r="G40" s="11" t="s">
        <v>125</v>
      </c>
      <c r="H40" s="11" t="str">
        <f>VLOOKUP($G40, '26 ADP Data'!$C$4:$Q$298, 2, FALSE)</f>
        <v>NYG</v>
      </c>
      <c r="I40" s="11" t="str">
        <f>VLOOKUP(G40, '26 ADP Data'!$C$4:$R$496, 16, FALSE)</f>
        <v>WR</v>
      </c>
      <c r="J40" s="11" t="str">
        <f>VLOOKUP($G40, SeanRanks26!$A$2:$H$303, 6, FALSE)</f>
        <v>WR2 - 1 - High Ceiling</v>
      </c>
      <c r="K40" s="11">
        <f>VLOOKUP($G40, SeanRanks26!$A$2:$H$303, 7, FALSE)</f>
        <v>15</v>
      </c>
      <c r="L40" s="11">
        <f t="shared" si="4"/>
        <v>3</v>
      </c>
      <c r="M40" s="11">
        <f>VLOOKUP($G40, '26 ADP Data'!$C$4:$Q$298, 10, FALSE)</f>
        <v>25</v>
      </c>
      <c r="N40" s="11">
        <f>VLOOKUP($G40, '26 ADP Data'!$C$4:$Q$298, 13, FALSE)</f>
        <v>21</v>
      </c>
      <c r="O40" s="11">
        <f t="shared" si="5"/>
        <v>4</v>
      </c>
      <c r="P40" s="11">
        <f>VLOOKUP($G40, '26 ADP Data'!$C$4:$Q$298, 3, FALSE)</f>
        <v>30</v>
      </c>
      <c r="Q40" s="11">
        <f>VLOOKUP($G40, '26 ADP Data'!$C$4:$Q$298, 4, FALSE)</f>
        <v>33</v>
      </c>
      <c r="R40" s="11">
        <f>VLOOKUP($G40, '26 ADP Data'!$C$4:$Q$298, 6, FALSE)</f>
        <v>26</v>
      </c>
      <c r="S40" s="11">
        <f>VLOOKUP($G40, '26 ADP Data'!$C$4:$Q$298, 9, FALSE)</f>
        <v>28</v>
      </c>
      <c r="T40" s="11" t="str">
        <f>VLOOKUP($G40, '26 ADP Data'!$C$4:$Q$298, 8, FALSE)</f>
        <v>-</v>
      </c>
      <c r="U40" s="11">
        <f t="shared" si="6"/>
        <v>27</v>
      </c>
      <c r="V40" s="11">
        <f t="shared" si="7"/>
        <v>3</v>
      </c>
      <c r="W40" s="11"/>
      <c r="X40" s="11">
        <f>VLOOKUP($G40, SeanRanks26!$A$2:$K$303, 10, FALSE)-U40</f>
        <v>-2</v>
      </c>
      <c r="Y40" s="25" t="str">
        <f>IF(VLOOKUP($G40, SeanRanks26!$A$2:$H$303, 8, FALSE)=0, "", VLOOKUP($G40, SeanRanks26!$A$2:$H$303, 8, FALSE))</f>
        <v/>
      </c>
    </row>
    <row r="41" spans="1:25" ht="14.25" hidden="1" customHeight="1" x14ac:dyDescent="0.25">
      <c r="A41" s="11"/>
      <c r="B41" s="11">
        <f t="shared" si="3"/>
        <v>7</v>
      </c>
      <c r="C41" s="11" t="s">
        <v>148</v>
      </c>
      <c r="D41" s="11">
        <v>2</v>
      </c>
      <c r="E41" s="23"/>
      <c r="F41" s="11">
        <f>VLOOKUP($G41, SeanRanks26!$A$2:$H$303, 5, FALSE)</f>
        <v>0</v>
      </c>
      <c r="G41" s="11" t="s">
        <v>218</v>
      </c>
      <c r="H41" s="11" t="str">
        <f>VLOOKUP($G41, '26 ADP Data'!$C$4:$Q$298, 2, FALSE)</f>
        <v>GB</v>
      </c>
      <c r="I41" s="11" t="str">
        <f>VLOOKUP(G41, '26 ADP Data'!$C$4:$R$496, 16, FALSE)</f>
        <v>RB</v>
      </c>
      <c r="J41" s="11" t="str">
        <f>VLOOKUP($G41, SeanRanks26!$A$2:$H$303, 6, FALSE)</f>
        <v>RB5</v>
      </c>
      <c r="K41" s="11">
        <f>VLOOKUP($G41, SeanRanks26!$A$2:$H$303, 7, FALSE)</f>
        <v>45</v>
      </c>
      <c r="L41" s="11">
        <f t="shared" si="4"/>
        <v>11</v>
      </c>
      <c r="M41" s="11">
        <f>VLOOKUP($G41, '26 ADP Data'!$C$4:$Q$298, 10, FALSE)</f>
        <v>126</v>
      </c>
      <c r="N41" s="11">
        <f>VLOOKUP($G41, '26 ADP Data'!$C$4:$Q$298, 13, FALSE)</f>
        <v>46</v>
      </c>
      <c r="O41" s="11">
        <f t="shared" si="5"/>
        <v>80</v>
      </c>
      <c r="P41" s="11">
        <f>VLOOKUP($G41, '26 ADP Data'!$C$4:$Q$298, 3, FALSE)</f>
        <v>88</v>
      </c>
      <c r="Q41" s="11">
        <f>VLOOKUP($G41, '26 ADP Data'!$C$4:$Q$298, 4, FALSE)</f>
        <v>91</v>
      </c>
      <c r="R41" s="11">
        <f>VLOOKUP($G41, '26 ADP Data'!$C$4:$Q$298, 6, FALSE)</f>
        <v>78</v>
      </c>
      <c r="S41" s="11">
        <f>VLOOKUP($G41, '26 ADP Data'!$C$4:$Q$298, 9, FALSE)</f>
        <v>38</v>
      </c>
      <c r="T41" s="11" t="str">
        <f>VLOOKUP($G41, '26 ADP Data'!$C$4:$Q$298, 8, FALSE)</f>
        <v>-</v>
      </c>
      <c r="U41" s="11">
        <f t="shared" si="6"/>
        <v>77</v>
      </c>
      <c r="V41" s="11">
        <f t="shared" si="7"/>
        <v>7</v>
      </c>
      <c r="W41" s="11"/>
      <c r="X41" s="11">
        <f>VLOOKUP($G41, SeanRanks26!$A$2:$K$303, 10, FALSE)-U41</f>
        <v>49</v>
      </c>
      <c r="Y41" s="25" t="str">
        <f>IF(VLOOKUP($G41, SeanRanks26!$A$2:$H$303, 8, FALSE)=0, "", VLOOKUP($G41, SeanRanks26!$A$2:$H$303, 8, FALSE))</f>
        <v/>
      </c>
    </row>
    <row r="42" spans="1:25" ht="14.25" customHeight="1" x14ac:dyDescent="0.25">
      <c r="A42" s="11"/>
      <c r="B42" s="11">
        <f t="shared" si="3"/>
        <v>4</v>
      </c>
      <c r="C42" s="11" t="s">
        <v>148</v>
      </c>
      <c r="D42" s="11"/>
      <c r="E42" s="23"/>
      <c r="F42" s="11">
        <f>VLOOKUP($G42, SeanRanks26!$A$2:$H$303, 5, FALSE)</f>
        <v>0</v>
      </c>
      <c r="G42" s="11" t="s">
        <v>159</v>
      </c>
      <c r="H42" s="11" t="str">
        <f>VLOOKUP($G42, '26 ADP Data'!$C$4:$Q$298, 2, FALSE)</f>
        <v>CAR</v>
      </c>
      <c r="I42" s="11" t="str">
        <f>VLOOKUP(G42, '26 ADP Data'!$C$4:$R$496, 16, FALSE)</f>
        <v>WR</v>
      </c>
      <c r="J42" s="11" t="str">
        <f>VLOOKUP($G42, SeanRanks26!$A$2:$H$303, 6, FALSE)</f>
        <v>WR2 - 1 - High Ceiling</v>
      </c>
      <c r="K42" s="11">
        <f>VLOOKUP($G42, SeanRanks26!$A$2:$H$303, 7, FALSE)</f>
        <v>16</v>
      </c>
      <c r="L42" s="11">
        <f t="shared" si="4"/>
        <v>4</v>
      </c>
      <c r="M42" s="11">
        <f>VLOOKUP($G42, '26 ADP Data'!$C$4:$Q$298, 10, FALSE)</f>
        <v>37</v>
      </c>
      <c r="N42" s="11">
        <f>VLOOKUP($G42, '26 ADP Data'!$C$4:$Q$298, 13, FALSE)</f>
        <v>41</v>
      </c>
      <c r="O42" s="11">
        <f t="shared" si="5"/>
        <v>-4</v>
      </c>
      <c r="P42" s="11">
        <f>VLOOKUP($G42, '26 ADP Data'!$C$4:$Q$298, 3, FALSE)</f>
        <v>42</v>
      </c>
      <c r="Q42" s="11">
        <f>VLOOKUP($G42, '26 ADP Data'!$C$4:$Q$298, 4, FALSE)</f>
        <v>38</v>
      </c>
      <c r="R42" s="11">
        <f>VLOOKUP($G42, '26 ADP Data'!$C$4:$Q$298, 6, FALSE)</f>
        <v>44</v>
      </c>
      <c r="S42" s="11">
        <f>VLOOKUP($G42, '26 ADP Data'!$C$4:$Q$298, 9, FALSE)</f>
        <v>36</v>
      </c>
      <c r="T42" s="11" t="str">
        <f>VLOOKUP($G42, '26 ADP Data'!$C$4:$Q$298, 8, FALSE)</f>
        <v>-</v>
      </c>
      <c r="U42" s="11">
        <f t="shared" si="6"/>
        <v>39</v>
      </c>
      <c r="V42" s="11">
        <f t="shared" si="7"/>
        <v>4</v>
      </c>
      <c r="W42" s="11"/>
      <c r="X42" s="11">
        <f>VLOOKUP($G42, SeanRanks26!$A$2:$K$303, 10, FALSE)-U42</f>
        <v>-2</v>
      </c>
      <c r="Y42" s="25" t="str">
        <f>IF(VLOOKUP($G42, SeanRanks26!$A$2:$H$303, 8, FALSE)=0, "", VLOOKUP($G42, SeanRanks26!$A$2:$H$303, 8, FALSE))</f>
        <v>2025 R1</v>
      </c>
    </row>
    <row r="43" spans="1:25" ht="14.25" customHeight="1" x14ac:dyDescent="0.25">
      <c r="A43" s="11"/>
      <c r="B43" s="11">
        <f t="shared" si="3"/>
        <v>4</v>
      </c>
      <c r="C43" s="11" t="s">
        <v>148</v>
      </c>
      <c r="D43" s="11"/>
      <c r="E43" s="23"/>
      <c r="F43" s="11" t="str">
        <f>VLOOKUP($G43, SeanRanks26!$A$2:$H$303, 5, FALSE)</f>
        <v>Yes</v>
      </c>
      <c r="G43" s="11" t="s">
        <v>162</v>
      </c>
      <c r="H43" s="11" t="str">
        <f>VLOOKUP($G43, '26 ADP Data'!$C$4:$Q$298, 2, FALSE)</f>
        <v>TB</v>
      </c>
      <c r="I43" s="11" t="str">
        <f>VLOOKUP(G43, '26 ADP Data'!$C$4:$R$496, 16, FALSE)</f>
        <v>WR</v>
      </c>
      <c r="J43" s="11" t="str">
        <f>VLOOKUP($G43, SeanRanks26!$A$2:$H$303, 6, FALSE)</f>
        <v>WR2 - 1 - High Ceiling</v>
      </c>
      <c r="K43" s="11">
        <f>VLOOKUP($G43, SeanRanks26!$A$2:$H$303, 7, FALSE)</f>
        <v>17</v>
      </c>
      <c r="L43" s="11">
        <f t="shared" si="4"/>
        <v>4</v>
      </c>
      <c r="M43" s="11">
        <f>VLOOKUP($G43, '26 ADP Data'!$C$4:$Q$298, 10, FALSE)</f>
        <v>43</v>
      </c>
      <c r="N43" s="11">
        <f>VLOOKUP($G43, '26 ADP Data'!$C$4:$Q$298, 13, FALSE)</f>
        <v>36</v>
      </c>
      <c r="O43" s="11">
        <f t="shared" si="5"/>
        <v>7</v>
      </c>
      <c r="P43" s="11">
        <f>VLOOKUP($G43, '26 ADP Data'!$C$4:$Q$298, 3, FALSE)</f>
        <v>44</v>
      </c>
      <c r="Q43" s="11">
        <f>VLOOKUP($G43, '26 ADP Data'!$C$4:$Q$298, 4, FALSE)</f>
        <v>41</v>
      </c>
      <c r="R43" s="11">
        <f>VLOOKUP($G43, '26 ADP Data'!$C$4:$Q$298, 6, FALSE)</f>
        <v>45</v>
      </c>
      <c r="S43" s="11">
        <f>VLOOKUP($G43, '26 ADP Data'!$C$4:$Q$298, 9, FALSE)</f>
        <v>41</v>
      </c>
      <c r="T43" s="11" t="str">
        <f>VLOOKUP($G43, '26 ADP Data'!$C$4:$Q$298, 8, FALSE)</f>
        <v>-</v>
      </c>
      <c r="U43" s="11">
        <f t="shared" si="6"/>
        <v>41</v>
      </c>
      <c r="V43" s="11">
        <f t="shared" si="7"/>
        <v>4</v>
      </c>
      <c r="W43" s="11"/>
      <c r="X43" s="11">
        <f>VLOOKUP($G43, SeanRanks26!$A$2:$K$303, 10, FALSE)-U43</f>
        <v>2</v>
      </c>
      <c r="Y43" s="25" t="str">
        <f>IF(VLOOKUP($G43, SeanRanks26!$A$2:$H$303, 8, FALSE)=0, "", VLOOKUP($G43, SeanRanks26!$A$2:$H$303, 8, FALSE))</f>
        <v>2025 R1</v>
      </c>
    </row>
    <row r="44" spans="1:25" ht="14.25" hidden="1" customHeight="1" x14ac:dyDescent="0.25">
      <c r="A44" s="11"/>
      <c r="B44" s="11">
        <f t="shared" si="3"/>
        <v>3</v>
      </c>
      <c r="C44" s="11" t="s">
        <v>148</v>
      </c>
      <c r="D44" s="11"/>
      <c r="E44" s="23"/>
      <c r="F44" s="11">
        <f>VLOOKUP($G44, SeanRanks26!$A$2:$H$303, 5, FALSE)</f>
        <v>0</v>
      </c>
      <c r="G44" s="11" t="s">
        <v>154</v>
      </c>
      <c r="H44" s="11" t="str">
        <f>VLOOKUP($G44, '26 ADP Data'!$C$4:$Q$298, 2, FALSE)</f>
        <v>CHI</v>
      </c>
      <c r="I44" s="11" t="str">
        <f>VLOOKUP(G44, '26 ADP Data'!$C$4:$R$496, 16, FALSE)</f>
        <v>TE</v>
      </c>
      <c r="J44" s="11" t="str">
        <f>VLOOKUP($G44, SeanRanks26!$A$2:$H$303, 6, FALSE)</f>
        <v>TE1 - 2 - Weekly Advantage</v>
      </c>
      <c r="K44" s="11">
        <f>VLOOKUP($G44, SeanRanks26!$A$2:$H$303, 7, FALSE)</f>
        <v>4</v>
      </c>
      <c r="L44" s="11">
        <f t="shared" si="4"/>
        <v>4</v>
      </c>
      <c r="M44" s="11">
        <f>VLOOKUP($G44, '26 ADP Data'!$C$4:$Q$298, 10, FALSE)</f>
        <v>38</v>
      </c>
      <c r="N44" s="11">
        <f>VLOOKUP($G44, '26 ADP Data'!$C$4:$Q$298, 13, FALSE)</f>
        <v>42</v>
      </c>
      <c r="O44" s="11">
        <f t="shared" si="5"/>
        <v>-4</v>
      </c>
      <c r="P44" s="11">
        <f>VLOOKUP($G44, '26 ADP Data'!$C$4:$Q$298, 3, FALSE)</f>
        <v>40</v>
      </c>
      <c r="Q44" s="11">
        <f>VLOOKUP($G44, '26 ADP Data'!$C$4:$Q$298, 4, FALSE)</f>
        <v>37</v>
      </c>
      <c r="R44" s="11">
        <f>VLOOKUP($G44, '26 ADP Data'!$C$4:$Q$298, 6, FALSE)</f>
        <v>22</v>
      </c>
      <c r="S44" s="11">
        <f>VLOOKUP($G44, '26 ADP Data'!$C$4:$Q$298, 9, FALSE)</f>
        <v>43</v>
      </c>
      <c r="T44" s="11" t="str">
        <f>VLOOKUP($G44, '26 ADP Data'!$C$4:$Q$298, 8, FALSE)</f>
        <v>-</v>
      </c>
      <c r="U44" s="11">
        <f t="shared" si="6"/>
        <v>37</v>
      </c>
      <c r="V44" s="11">
        <f t="shared" si="7"/>
        <v>4</v>
      </c>
      <c r="W44" s="11"/>
      <c r="X44" s="11">
        <f>VLOOKUP($G44, SeanRanks26!$A$2:$K$303, 10, FALSE)-U44</f>
        <v>1</v>
      </c>
      <c r="Y44" s="25" t="str">
        <f>IF(VLOOKUP($G44, SeanRanks26!$A$2:$H$303, 8, FALSE)=0, "", VLOOKUP($G44, SeanRanks26!$A$2:$H$303, 8, FALSE))</f>
        <v>FFB My Guy</v>
      </c>
    </row>
    <row r="45" spans="1:25" ht="14.25" customHeight="1" x14ac:dyDescent="0.25">
      <c r="A45" s="11"/>
      <c r="B45" s="11">
        <f t="shared" si="3"/>
        <v>4</v>
      </c>
      <c r="C45" s="11" t="s">
        <v>148</v>
      </c>
      <c r="D45" s="11">
        <v>2</v>
      </c>
      <c r="E45" s="23"/>
      <c r="F45" s="11">
        <f>VLOOKUP($G45, SeanRanks26!$A$2:$H$303, 5, FALSE)</f>
        <v>0</v>
      </c>
      <c r="G45" s="11" t="s">
        <v>147</v>
      </c>
      <c r="H45" s="11" t="str">
        <f>VLOOKUP($G45, '26 ADP Data'!$C$4:$Q$298, 2, FALSE)</f>
        <v>BAL</v>
      </c>
      <c r="I45" s="11" t="str">
        <f>VLOOKUP(G45, '26 ADP Data'!$C$4:$R$496, 16, FALSE)</f>
        <v>WR</v>
      </c>
      <c r="J45" s="11" t="str">
        <f>VLOOKUP($G45, SeanRanks26!$A$2:$H$303, 6, FALSE)</f>
        <v>WR2 - 1 - High Ceiling</v>
      </c>
      <c r="K45" s="11">
        <f>VLOOKUP($G45, SeanRanks26!$A$2:$H$303, 7, FALSE)</f>
        <v>18</v>
      </c>
      <c r="L45" s="11">
        <f t="shared" si="4"/>
        <v>3</v>
      </c>
      <c r="M45" s="11">
        <f>VLOOKUP($G45, '26 ADP Data'!$C$4:$Q$298, 10, FALSE)</f>
        <v>32</v>
      </c>
      <c r="N45" s="11">
        <f>VLOOKUP($G45, '26 ADP Data'!$C$4:$Q$298, 13, FALSE)</f>
        <v>32</v>
      </c>
      <c r="O45" s="11">
        <f t="shared" si="5"/>
        <v>0</v>
      </c>
      <c r="P45" s="11">
        <f>VLOOKUP($G45, '26 ADP Data'!$C$4:$Q$298, 3, FALSE)</f>
        <v>34</v>
      </c>
      <c r="Q45" s="11">
        <f>VLOOKUP($G45, '26 ADP Data'!$C$4:$Q$298, 4, FALSE)</f>
        <v>39</v>
      </c>
      <c r="R45" s="11">
        <f>VLOOKUP($G45, '26 ADP Data'!$C$4:$Q$298, 6, FALSE)</f>
        <v>36</v>
      </c>
      <c r="S45" s="11">
        <f>VLOOKUP($G45, '26 ADP Data'!$C$4:$Q$298, 9, FALSE)</f>
        <v>42</v>
      </c>
      <c r="T45" s="11" t="str">
        <f>VLOOKUP($G45, '26 ADP Data'!$C$4:$Q$298, 8, FALSE)</f>
        <v>-</v>
      </c>
      <c r="U45" s="11">
        <f t="shared" si="6"/>
        <v>35</v>
      </c>
      <c r="V45" s="11">
        <f t="shared" si="7"/>
        <v>3</v>
      </c>
      <c r="W45" s="11"/>
      <c r="X45" s="11">
        <f>VLOOKUP($G45, SeanRanks26!$A$2:$K$303, 10, FALSE)-U45</f>
        <v>-3</v>
      </c>
      <c r="Y45" s="25" t="str">
        <f>IF(VLOOKUP($G45, SeanRanks26!$A$2:$H$303, 8, FALSE)=0, "", VLOOKUP($G45, SeanRanks26!$A$2:$H$303, 8, FALSE))</f>
        <v/>
      </c>
    </row>
    <row r="46" spans="1:25" ht="14.25" customHeight="1" x14ac:dyDescent="0.25">
      <c r="A46" s="11"/>
      <c r="B46" s="11">
        <f t="shared" si="3"/>
        <v>4</v>
      </c>
      <c r="C46" s="11" t="s">
        <v>148</v>
      </c>
      <c r="D46" s="11">
        <v>2</v>
      </c>
      <c r="E46" s="23"/>
      <c r="F46" s="11" t="str">
        <f>VLOOKUP($G46, SeanRanks26!$A$2:$H$303, 5, FALSE)</f>
        <v>Yes</v>
      </c>
      <c r="G46" s="11" t="s">
        <v>152</v>
      </c>
      <c r="H46" s="11" t="str">
        <f>VLOOKUP($G46, '26 ADP Data'!$C$4:$Q$298, 2, FALSE)</f>
        <v>NYJ</v>
      </c>
      <c r="I46" s="11" t="str">
        <f>VLOOKUP(G46, '26 ADP Data'!$C$4:$R$496, 16, FALSE)</f>
        <v>WR</v>
      </c>
      <c r="J46" s="11" t="str">
        <f>VLOOKUP($G46, SeanRanks26!$A$2:$H$303, 6, FALSE)</f>
        <v>WR2 - 1 - High Ceiling</v>
      </c>
      <c r="K46" s="11">
        <f>VLOOKUP($G46, SeanRanks26!$A$2:$H$303, 7, FALSE)</f>
        <v>19</v>
      </c>
      <c r="L46" s="11">
        <f t="shared" si="4"/>
        <v>4</v>
      </c>
      <c r="M46" s="11">
        <f>VLOOKUP($G46, '26 ADP Data'!$C$4:$Q$298, 10, FALSE)</f>
        <v>36</v>
      </c>
      <c r="N46" s="11">
        <f>VLOOKUP($G46, '26 ADP Data'!$C$4:$Q$298, 13, FALSE)</f>
        <v>39</v>
      </c>
      <c r="O46" s="11">
        <f t="shared" si="5"/>
        <v>-3</v>
      </c>
      <c r="P46" s="11">
        <f>VLOOKUP($G46, '26 ADP Data'!$C$4:$Q$298, 3, FALSE)</f>
        <v>45</v>
      </c>
      <c r="Q46" s="11">
        <f>VLOOKUP($G46, '26 ADP Data'!$C$4:$Q$298, 4, FALSE)</f>
        <v>35</v>
      </c>
      <c r="R46" s="11">
        <f>VLOOKUP($G46, '26 ADP Data'!$C$4:$Q$298, 6, FALSE)</f>
        <v>39</v>
      </c>
      <c r="S46" s="11">
        <f>VLOOKUP($G46, '26 ADP Data'!$C$4:$Q$298, 9, FALSE)</f>
        <v>45</v>
      </c>
      <c r="T46" s="11" t="str">
        <f>VLOOKUP($G46, '26 ADP Data'!$C$4:$Q$298, 8, FALSE)</f>
        <v>-</v>
      </c>
      <c r="U46" s="11">
        <f t="shared" si="6"/>
        <v>39</v>
      </c>
      <c r="V46" s="11">
        <f t="shared" si="7"/>
        <v>4</v>
      </c>
      <c r="W46" s="11">
        <f>D46-V46</f>
        <v>-2</v>
      </c>
      <c r="X46" s="11">
        <f>VLOOKUP($G46, SeanRanks26!$A$2:$K$303, 10, FALSE)-U46</f>
        <v>-3</v>
      </c>
      <c r="Y46" s="25" t="str">
        <f>IF(VLOOKUP($G46, SeanRanks26!$A$2:$H$303, 8, FALSE)=0, "", VLOOKUP($G46, SeanRanks26!$A$2:$H$303, 8, FALSE))</f>
        <v>FFB My Guy</v>
      </c>
    </row>
    <row r="47" spans="1:25" ht="14.25" hidden="1" customHeight="1" x14ac:dyDescent="0.25">
      <c r="A47" s="11"/>
      <c r="B47" s="11">
        <f t="shared" si="3"/>
        <v>4</v>
      </c>
      <c r="C47" s="11" t="s">
        <v>148</v>
      </c>
      <c r="D47" s="11"/>
      <c r="E47" s="23"/>
      <c r="F47" s="11">
        <f>VLOOKUP($G47, SeanRanks26!$A$2:$H$303, 5, FALSE)</f>
        <v>0</v>
      </c>
      <c r="G47" s="11" t="s">
        <v>157</v>
      </c>
      <c r="H47" s="11" t="str">
        <f>VLOOKUP($G47, '26 ADP Data'!$C$4:$Q$298, 2, FALSE)</f>
        <v>NO</v>
      </c>
      <c r="I47" s="11" t="str">
        <f>VLOOKUP(G47, '26 ADP Data'!$C$4:$R$496, 16, FALSE)</f>
        <v>RB</v>
      </c>
      <c r="J47" s="11" t="str">
        <f>VLOOKUP($G47, SeanRanks26!$A$2:$H$303, 6, FALSE)</f>
        <v>RB2 - 1 - Weekly Start</v>
      </c>
      <c r="K47" s="11">
        <f>VLOOKUP($G47, SeanRanks26!$A$2:$H$303, 7, FALSE)</f>
        <v>18</v>
      </c>
      <c r="L47" s="11">
        <f t="shared" si="4"/>
        <v>4</v>
      </c>
      <c r="M47" s="11">
        <f>VLOOKUP($G47, '26 ADP Data'!$C$4:$Q$298, 10, FALSE)</f>
        <v>40</v>
      </c>
      <c r="N47" s="11">
        <f>VLOOKUP($G47, '26 ADP Data'!$C$4:$Q$298, 13, FALSE)</f>
        <v>40</v>
      </c>
      <c r="O47" s="11">
        <f t="shared" si="5"/>
        <v>0</v>
      </c>
      <c r="P47" s="11">
        <f>VLOOKUP($G47, '26 ADP Data'!$C$4:$Q$298, 3, FALSE)</f>
        <v>32</v>
      </c>
      <c r="Q47" s="11">
        <f>VLOOKUP($G47, '26 ADP Data'!$C$4:$Q$298, 4, FALSE)</f>
        <v>36</v>
      </c>
      <c r="R47" s="11">
        <f>VLOOKUP($G47, '26 ADP Data'!$C$4:$Q$298, 6, FALSE)</f>
        <v>37</v>
      </c>
      <c r="S47" s="11">
        <f>VLOOKUP($G47, '26 ADP Data'!$C$4:$Q$298, 9, FALSE)</f>
        <v>40</v>
      </c>
      <c r="T47" s="11" t="str">
        <f>VLOOKUP($G47, '26 ADP Data'!$C$4:$Q$298, 8, FALSE)</f>
        <v>-</v>
      </c>
      <c r="U47" s="11">
        <f t="shared" si="6"/>
        <v>37</v>
      </c>
      <c r="V47" s="11">
        <f t="shared" si="7"/>
        <v>4</v>
      </c>
      <c r="W47" s="11"/>
      <c r="X47" s="11">
        <f>VLOOKUP($G47, SeanRanks26!$A$2:$K$303, 10, FALSE)-U47</f>
        <v>3</v>
      </c>
      <c r="Y47" s="25" t="str">
        <f>IF(VLOOKUP($G47, SeanRanks26!$A$2:$H$303, 8, FALSE)=0, "", VLOOKUP($G47, SeanRanks26!$A$2:$H$303, 8, FALSE))</f>
        <v/>
      </c>
    </row>
    <row r="48" spans="1:25" ht="14.25" customHeight="1" x14ac:dyDescent="0.25">
      <c r="A48" s="11"/>
      <c r="B48" s="11">
        <f t="shared" si="3"/>
        <v>4</v>
      </c>
      <c r="C48" s="11" t="s">
        <v>148</v>
      </c>
      <c r="D48" s="11">
        <v>2</v>
      </c>
      <c r="E48" s="23"/>
      <c r="F48" s="11">
        <f>VLOOKUP($G48, SeanRanks26!$A$2:$H$303, 5, FALSE)</f>
        <v>0</v>
      </c>
      <c r="G48" s="11" t="s">
        <v>167</v>
      </c>
      <c r="H48" s="11" t="str">
        <f>VLOOKUP($G48, '26 ADP Data'!$C$4:$Q$298, 2, FALSE)</f>
        <v>DEN</v>
      </c>
      <c r="I48" s="11" t="str">
        <f>VLOOKUP(G48, '26 ADP Data'!$C$4:$R$496, 16, FALSE)</f>
        <v>WR</v>
      </c>
      <c r="J48" s="11" t="str">
        <f>VLOOKUP($G48, SeanRanks26!$A$2:$H$303, 6, FALSE)</f>
        <v>WR2 - 2 - Lower Floor</v>
      </c>
      <c r="K48" s="11">
        <f>VLOOKUP($G48, SeanRanks26!$A$2:$H$303, 7, FALSE)</f>
        <v>20</v>
      </c>
      <c r="L48" s="11">
        <f t="shared" si="4"/>
        <v>3</v>
      </c>
      <c r="M48" s="11">
        <f>VLOOKUP($G48, '26 ADP Data'!$C$4:$Q$298, 10, FALSE)</f>
        <v>33</v>
      </c>
      <c r="N48" s="11">
        <f>VLOOKUP($G48, '26 ADP Data'!$C$4:$Q$298, 13, FALSE)</f>
        <v>37</v>
      </c>
      <c r="O48" s="11">
        <f t="shared" si="5"/>
        <v>-4</v>
      </c>
      <c r="P48" s="11">
        <f>VLOOKUP($G48, '26 ADP Data'!$C$4:$Q$298, 3, FALSE)</f>
        <v>46</v>
      </c>
      <c r="Q48" s="11">
        <f>VLOOKUP($G48, '26 ADP Data'!$C$4:$Q$298, 4, FALSE)</f>
        <v>51</v>
      </c>
      <c r="R48" s="11">
        <f>VLOOKUP($G48, '26 ADP Data'!$C$4:$Q$298, 6, FALSE)</f>
        <v>40</v>
      </c>
      <c r="S48" s="11">
        <f>VLOOKUP($G48, '26 ADP Data'!$C$4:$Q$298, 9, FALSE)</f>
        <v>46</v>
      </c>
      <c r="T48" s="11" t="str">
        <f>VLOOKUP($G48, '26 ADP Data'!$C$4:$Q$298, 8, FALSE)</f>
        <v>-</v>
      </c>
      <c r="U48" s="11">
        <f t="shared" si="6"/>
        <v>42</v>
      </c>
      <c r="V48" s="11">
        <f t="shared" si="7"/>
        <v>4</v>
      </c>
      <c r="W48" s="11"/>
      <c r="X48" s="11">
        <f>VLOOKUP($G48, SeanRanks26!$A$2:$K$303, 10, FALSE)-U48</f>
        <v>-9</v>
      </c>
      <c r="Y48" s="25" t="str">
        <f>IF(VLOOKUP($G48, SeanRanks26!$A$2:$H$303, 8, FALSE)=0, "", VLOOKUP($G48, SeanRanks26!$A$2:$H$303, 8, FALSE))</f>
        <v/>
      </c>
    </row>
    <row r="49" spans="1:25" ht="14.25" hidden="1" customHeight="1" x14ac:dyDescent="0.25">
      <c r="A49" s="11"/>
      <c r="B49" s="11">
        <f t="shared" si="3"/>
        <v>4</v>
      </c>
      <c r="C49" s="11" t="s">
        <v>148</v>
      </c>
      <c r="D49" s="11"/>
      <c r="E49" s="23"/>
      <c r="F49" s="11">
        <f>VLOOKUP($G49, SeanRanks26!$A$2:$H$303, 5, FALSE)</f>
        <v>0</v>
      </c>
      <c r="G49" s="11" t="s">
        <v>170</v>
      </c>
      <c r="H49" s="11" t="str">
        <f>VLOOKUP($G49, '26 ADP Data'!$C$4:$Q$298, 2, FALSE)</f>
        <v>NYG</v>
      </c>
      <c r="I49" s="11" t="str">
        <f>VLOOKUP(G49, '26 ADP Data'!$C$4:$R$496, 16, FALSE)</f>
        <v>RB</v>
      </c>
      <c r="J49" s="11" t="str">
        <f>VLOOKUP($G49, SeanRanks26!$A$2:$H$303, 6, FALSE)</f>
        <v>RB2 - 1 - Weekly Start</v>
      </c>
      <c r="K49" s="11">
        <f>VLOOKUP($G49, SeanRanks26!$A$2:$H$303, 7, FALSE)</f>
        <v>20</v>
      </c>
      <c r="L49" s="11">
        <f t="shared" si="4"/>
        <v>5</v>
      </c>
      <c r="M49" s="11">
        <f>VLOOKUP($G49, '26 ADP Data'!$C$4:$Q$298, 10, FALSE)</f>
        <v>48</v>
      </c>
      <c r="N49" s="11">
        <f>VLOOKUP($G49, '26 ADP Data'!$C$4:$Q$298, 13, FALSE)</f>
        <v>45</v>
      </c>
      <c r="O49" s="11">
        <f t="shared" si="5"/>
        <v>3</v>
      </c>
      <c r="P49" s="11">
        <f>VLOOKUP($G49, '26 ADP Data'!$C$4:$Q$298, 3, FALSE)</f>
        <v>36</v>
      </c>
      <c r="Q49" s="11">
        <f>VLOOKUP($G49, '26 ADP Data'!$C$4:$Q$298, 4, FALSE)</f>
        <v>40</v>
      </c>
      <c r="R49" s="11">
        <f>VLOOKUP($G49, '26 ADP Data'!$C$4:$Q$298, 6, FALSE)</f>
        <v>43</v>
      </c>
      <c r="S49" s="11">
        <f>VLOOKUP($G49, '26 ADP Data'!$C$4:$Q$298, 9, FALSE)</f>
        <v>37</v>
      </c>
      <c r="T49" s="11" t="str">
        <f>VLOOKUP($G49, '26 ADP Data'!$C$4:$Q$298, 8, FALSE)</f>
        <v>-</v>
      </c>
      <c r="U49" s="11">
        <f t="shared" si="6"/>
        <v>41</v>
      </c>
      <c r="V49" s="11">
        <f t="shared" si="7"/>
        <v>4</v>
      </c>
      <c r="W49" s="11"/>
      <c r="X49" s="11">
        <f>VLOOKUP($G49, SeanRanks26!$A$2:$K$303, 10, FALSE)-U49</f>
        <v>7</v>
      </c>
      <c r="Y49" s="25" t="str">
        <f>IF(VLOOKUP($G49, SeanRanks26!$A$2:$H$303, 8, FALSE)=0, "", VLOOKUP($G49, SeanRanks26!$A$2:$H$303, 8, FALSE))</f>
        <v>2025 Rookie R4</v>
      </c>
    </row>
    <row r="50" spans="1:25" ht="14.25" customHeight="1" x14ac:dyDescent="0.25">
      <c r="A50" s="11"/>
      <c r="B50" s="11">
        <f t="shared" si="3"/>
        <v>5</v>
      </c>
      <c r="C50" s="11" t="s">
        <v>148</v>
      </c>
      <c r="D50" s="11"/>
      <c r="E50" s="23"/>
      <c r="F50" s="11" t="str">
        <f>VLOOKUP($G50, SeanRanks26!$A$2:$H$303, 5, FALSE)</f>
        <v>Yes</v>
      </c>
      <c r="G50" s="11" t="s">
        <v>192</v>
      </c>
      <c r="H50" s="11" t="str">
        <f>VLOOKUP($G50, '26 ADP Data'!$C$4:$Q$298, 2, FALSE)</f>
        <v>LAR</v>
      </c>
      <c r="I50" s="11" t="str">
        <f>VLOOKUP(G50, '26 ADP Data'!$C$4:$R$496, 16, FALSE)</f>
        <v>WR</v>
      </c>
      <c r="J50" s="11" t="str">
        <f>VLOOKUP($G50, SeanRanks26!$A$2:$H$303, 6, FALSE)</f>
        <v>WR2 - 1 - High Ceiling</v>
      </c>
      <c r="K50" s="11">
        <f>VLOOKUP($G50, SeanRanks26!$A$2:$H$303, 7, FALSE)</f>
        <v>21</v>
      </c>
      <c r="L50" s="11">
        <f t="shared" si="4"/>
        <v>5</v>
      </c>
      <c r="M50" s="11">
        <f>VLOOKUP($G50, '26 ADP Data'!$C$4:$Q$298, 10, FALSE)</f>
        <v>55</v>
      </c>
      <c r="N50" s="11">
        <f>VLOOKUP($G50, '26 ADP Data'!$C$4:$Q$298, 13, FALSE)</f>
        <v>51</v>
      </c>
      <c r="O50" s="11">
        <f t="shared" si="5"/>
        <v>4</v>
      </c>
      <c r="P50" s="11">
        <f>VLOOKUP($G50, '26 ADP Data'!$C$4:$Q$298, 3, FALSE)</f>
        <v>53</v>
      </c>
      <c r="Q50" s="11">
        <f>VLOOKUP($G50, '26 ADP Data'!$C$4:$Q$298, 4, FALSE)</f>
        <v>42</v>
      </c>
      <c r="R50" s="11">
        <f>VLOOKUP($G50, '26 ADP Data'!$C$4:$Q$298, 6, FALSE)</f>
        <v>55</v>
      </c>
      <c r="S50" s="11">
        <f>VLOOKUP($G50, '26 ADP Data'!$C$4:$Q$298, 9, FALSE)</f>
        <v>55</v>
      </c>
      <c r="T50" s="11" t="str">
        <f>VLOOKUP($G50, '26 ADP Data'!$C$4:$Q$298, 8, FALSE)</f>
        <v>-</v>
      </c>
      <c r="U50" s="11">
        <f t="shared" si="6"/>
        <v>51</v>
      </c>
      <c r="V50" s="11">
        <f t="shared" si="7"/>
        <v>5</v>
      </c>
      <c r="W50" s="11"/>
      <c r="X50" s="11">
        <f>VLOOKUP($G50, SeanRanks26!$A$2:$K$303, 10, FALSE)-U50</f>
        <v>4</v>
      </c>
      <c r="Y50" s="25" t="str">
        <f>IF(VLOOKUP($G50, SeanRanks26!$A$2:$H$303, 8, FALSE)=0, "", VLOOKUP($G50, SeanRanks26!$A$2:$H$303, 8, FALSE))</f>
        <v/>
      </c>
    </row>
    <row r="51" spans="1:25" ht="14.25" hidden="1" customHeight="1" x14ac:dyDescent="0.25">
      <c r="A51" s="11"/>
      <c r="B51" s="11">
        <f t="shared" si="3"/>
        <v>4</v>
      </c>
      <c r="C51" s="11" t="s">
        <v>148</v>
      </c>
      <c r="D51" s="11"/>
      <c r="E51" s="23"/>
      <c r="F51" s="11">
        <f>VLOOKUP($G51, SeanRanks26!$A$2:$H$303, 5, FALSE)</f>
        <v>0</v>
      </c>
      <c r="G51" s="11" t="s">
        <v>172</v>
      </c>
      <c r="H51" s="11" t="str">
        <f>VLOOKUP($G51, '26 ADP Data'!$C$4:$Q$298, 2, FALSE)</f>
        <v>CHI</v>
      </c>
      <c r="I51" s="11" t="str">
        <f>VLOOKUP(G51, '26 ADP Data'!$C$4:$R$496, 16, FALSE)</f>
        <v>RB</v>
      </c>
      <c r="J51" s="11" t="str">
        <f>VLOOKUP($G51, SeanRanks26!$A$2:$H$303, 6, FALSE)</f>
        <v>RB2 - 1 - Weekly Start</v>
      </c>
      <c r="K51" s="11">
        <f>VLOOKUP($G51, SeanRanks26!$A$2:$H$303, 7, FALSE)</f>
        <v>21</v>
      </c>
      <c r="L51" s="11">
        <f t="shared" si="4"/>
        <v>4</v>
      </c>
      <c r="M51" s="11">
        <f>VLOOKUP($G51, '26 ADP Data'!$C$4:$Q$298, 10, FALSE)</f>
        <v>42</v>
      </c>
      <c r="N51" s="11">
        <f>VLOOKUP($G51, '26 ADP Data'!$C$4:$Q$298, 13, FALSE)</f>
        <v>44</v>
      </c>
      <c r="O51" s="11">
        <f t="shared" si="5"/>
        <v>-2</v>
      </c>
      <c r="P51" s="11">
        <f>VLOOKUP($G51, '26 ADP Data'!$C$4:$Q$298, 3, FALSE)</f>
        <v>35</v>
      </c>
      <c r="Q51" s="11">
        <f>VLOOKUP($G51, '26 ADP Data'!$C$4:$Q$298, 4, FALSE)</f>
        <v>50</v>
      </c>
      <c r="R51" s="11">
        <f>VLOOKUP($G51, '26 ADP Data'!$C$4:$Q$298, 6, FALSE)</f>
        <v>41</v>
      </c>
      <c r="S51" s="11">
        <f>VLOOKUP($G51, '26 ADP Data'!$C$4:$Q$298, 9, FALSE)</f>
        <v>48</v>
      </c>
      <c r="T51" s="11" t="str">
        <f>VLOOKUP($G51, '26 ADP Data'!$C$4:$Q$298, 8, FALSE)</f>
        <v>-</v>
      </c>
      <c r="U51" s="11">
        <f t="shared" si="6"/>
        <v>43</v>
      </c>
      <c r="V51" s="11">
        <f t="shared" si="7"/>
        <v>4</v>
      </c>
      <c r="W51" s="11"/>
      <c r="X51" s="11">
        <f>VLOOKUP($G51, SeanRanks26!$A$2:$K$303, 10, FALSE)-U51</f>
        <v>-1</v>
      </c>
      <c r="Y51" s="25" t="str">
        <f>IF(VLOOKUP($G51, SeanRanks26!$A$2:$H$303, 8, FALSE)=0, "", VLOOKUP($G51, SeanRanks26!$A$2:$H$303, 8, FALSE))</f>
        <v/>
      </c>
    </row>
    <row r="52" spans="1:25" ht="14.25" hidden="1" customHeight="1" x14ac:dyDescent="0.25">
      <c r="A52" s="11"/>
      <c r="B52" s="11">
        <f t="shared" si="3"/>
        <v>4</v>
      </c>
      <c r="C52" s="11" t="s">
        <v>148</v>
      </c>
      <c r="D52" s="11"/>
      <c r="E52" s="23"/>
      <c r="F52" s="11" t="str">
        <f>VLOOKUP($G52, SeanRanks26!$A$2:$H$303, 5, FALSE)</f>
        <v>Yes</v>
      </c>
      <c r="G52" s="11" t="s">
        <v>174</v>
      </c>
      <c r="H52" s="11" t="str">
        <f>VLOOKUP($G52, '26 ADP Data'!$C$4:$Q$298, 2, FALSE)</f>
        <v>BAL</v>
      </c>
      <c r="I52" s="11" t="str">
        <f>VLOOKUP(G52, '26 ADP Data'!$C$4:$R$496, 16, FALSE)</f>
        <v>QB</v>
      </c>
      <c r="J52" s="11" t="str">
        <f>VLOOKUP($G52, SeanRanks26!$A$2:$H$303, 6, FALSE)</f>
        <v>QB1 - 2 - Very Good</v>
      </c>
      <c r="K52" s="11">
        <f>VLOOKUP($G52, SeanRanks26!$A$2:$H$303, 7, FALSE)</f>
        <v>2</v>
      </c>
      <c r="L52" s="11">
        <f t="shared" si="4"/>
        <v>5</v>
      </c>
      <c r="M52" s="11">
        <f>VLOOKUP($G52, '26 ADP Data'!$C$4:$Q$298, 10, FALSE)</f>
        <v>53</v>
      </c>
      <c r="N52" s="11">
        <f>VLOOKUP($G52, '26 ADP Data'!$C$4:$Q$298, 13, FALSE)</f>
        <v>58</v>
      </c>
      <c r="O52" s="11">
        <f t="shared" si="5"/>
        <v>-5</v>
      </c>
      <c r="P52" s="11">
        <f>VLOOKUP($G52, '26 ADP Data'!$C$4:$Q$298, 3, FALSE)</f>
        <v>41</v>
      </c>
      <c r="Q52" s="11">
        <f>VLOOKUP($G52, '26 ADP Data'!$C$4:$Q$298, 4, FALSE)</f>
        <v>30</v>
      </c>
      <c r="R52" s="11">
        <f>VLOOKUP($G52, '26 ADP Data'!$C$4:$Q$298, 6, FALSE)</f>
        <v>60</v>
      </c>
      <c r="S52" s="11">
        <f>VLOOKUP($G52, '26 ADP Data'!$C$4:$Q$298, 9, FALSE)</f>
        <v>34</v>
      </c>
      <c r="T52" s="11" t="str">
        <f>VLOOKUP($G52, '26 ADP Data'!$C$4:$Q$298, 8, FALSE)</f>
        <v>-</v>
      </c>
      <c r="U52" s="11">
        <f t="shared" si="6"/>
        <v>46</v>
      </c>
      <c r="V52" s="11">
        <f t="shared" si="7"/>
        <v>4</v>
      </c>
      <c r="W52" s="11"/>
      <c r="X52" s="11">
        <f>VLOOKUP($G52, SeanRanks26!$A$2:$K$303, 10, FALSE)-U52</f>
        <v>7</v>
      </c>
      <c r="Y52" s="25" t="str">
        <f>IF(VLOOKUP($G52, SeanRanks26!$A$2:$H$303, 8, FALSE)=0, "", VLOOKUP($G52, SeanRanks26!$A$2:$H$303, 8, FALSE))</f>
        <v/>
      </c>
    </row>
    <row r="53" spans="1:25" ht="14.25" hidden="1" customHeight="1" x14ac:dyDescent="0.25">
      <c r="A53" s="11"/>
      <c r="B53" s="11">
        <f t="shared" si="3"/>
        <v>5</v>
      </c>
      <c r="C53" s="11" t="s">
        <v>148</v>
      </c>
      <c r="D53" s="11">
        <v>2</v>
      </c>
      <c r="E53" s="23"/>
      <c r="F53" s="11">
        <f>VLOOKUP($G53, SeanRanks26!$A$2:$H$303, 5, FALSE)</f>
        <v>0</v>
      </c>
      <c r="G53" s="11" t="s">
        <v>189</v>
      </c>
      <c r="H53" s="11" t="str">
        <f>VLOOKUP($G53, '26 ADP Data'!$C$4:$Q$298, 2, FALSE)</f>
        <v>TB</v>
      </c>
      <c r="I53" s="11" t="str">
        <f>VLOOKUP(G53, '26 ADP Data'!$C$4:$R$496, 16, FALSE)</f>
        <v>RB</v>
      </c>
      <c r="J53" s="11" t="str">
        <f>VLOOKUP($G53, SeanRanks26!$A$2:$H$303, 6, FALSE)</f>
        <v>RB2 - 1 - Weekly Start</v>
      </c>
      <c r="K53" s="11">
        <f>VLOOKUP($G53, SeanRanks26!$A$2:$H$303, 7, FALSE)</f>
        <v>22</v>
      </c>
      <c r="L53" s="11">
        <f t="shared" si="4"/>
        <v>5</v>
      </c>
      <c r="M53" s="11">
        <f>VLOOKUP($G53, '26 ADP Data'!$C$4:$Q$298, 10, FALSE)</f>
        <v>50</v>
      </c>
      <c r="N53" s="11">
        <f>VLOOKUP($G53, '26 ADP Data'!$C$4:$Q$298, 13, FALSE)</f>
        <v>52</v>
      </c>
      <c r="O53" s="11">
        <f t="shared" si="5"/>
        <v>-2</v>
      </c>
      <c r="P53" s="11">
        <f>VLOOKUP($G53, '26 ADP Data'!$C$4:$Q$298, 3, FALSE)</f>
        <v>43</v>
      </c>
      <c r="Q53" s="11">
        <f>VLOOKUP($G53, '26 ADP Data'!$C$4:$Q$298, 4, FALSE)</f>
        <v>53</v>
      </c>
      <c r="R53" s="11">
        <f>VLOOKUP($G53, '26 ADP Data'!$C$4:$Q$298, 6, FALSE)</f>
        <v>49</v>
      </c>
      <c r="S53" s="11">
        <f>VLOOKUP($G53, '26 ADP Data'!$C$4:$Q$298, 9, FALSE)</f>
        <v>47</v>
      </c>
      <c r="T53" s="11" t="str">
        <f>VLOOKUP($G53, '26 ADP Data'!$C$4:$Q$298, 8, FALSE)</f>
        <v>-</v>
      </c>
      <c r="U53" s="11">
        <f t="shared" si="6"/>
        <v>49</v>
      </c>
      <c r="V53" s="11">
        <f t="shared" si="7"/>
        <v>5</v>
      </c>
      <c r="W53" s="11"/>
      <c r="X53" s="11">
        <f>VLOOKUP($G53, SeanRanks26!$A$2:$K$303, 10, FALSE)-U53</f>
        <v>1</v>
      </c>
      <c r="Y53" s="25" t="str">
        <f>IF(VLOOKUP($G53, SeanRanks26!$A$2:$H$303, 8, FALSE)=0, "", VLOOKUP($G53, SeanRanks26!$A$2:$H$303, 8, FALSE))</f>
        <v>2024 Rookie R4</v>
      </c>
    </row>
    <row r="54" spans="1:25" ht="14.25" hidden="1" customHeight="1" x14ac:dyDescent="0.25">
      <c r="A54" s="11"/>
      <c r="B54" s="11">
        <f t="shared" si="3"/>
        <v>4</v>
      </c>
      <c r="C54" s="11" t="s">
        <v>148</v>
      </c>
      <c r="D54" s="11"/>
      <c r="E54" s="23"/>
      <c r="F54" s="11">
        <f>VLOOKUP($G54, SeanRanks26!$A$2:$H$303, 5, FALSE)</f>
        <v>0</v>
      </c>
      <c r="G54" s="11" t="s">
        <v>194</v>
      </c>
      <c r="H54" s="11" t="str">
        <f>VLOOKUP($G54, '26 ADP Data'!$C$4:$Q$298, 2, FALSE)</f>
        <v>IND</v>
      </c>
      <c r="I54" s="11" t="str">
        <f>VLOOKUP(G54, '26 ADP Data'!$C$4:$R$496, 16, FALSE)</f>
        <v>TE</v>
      </c>
      <c r="J54" s="11" t="str">
        <f>VLOOKUP($G54, SeanRanks26!$A$2:$H$303, 6, FALSE)</f>
        <v>TE1 - 2 - Weekly Advantage</v>
      </c>
      <c r="K54" s="11">
        <f>VLOOKUP($G54, SeanRanks26!$A$2:$H$303, 7, FALSE)</f>
        <v>3</v>
      </c>
      <c r="L54" s="11">
        <f t="shared" si="4"/>
        <v>4</v>
      </c>
      <c r="M54" s="11">
        <f>VLOOKUP($G54, '26 ADP Data'!$C$4:$Q$298, 10, FALSE)</f>
        <v>46</v>
      </c>
      <c r="N54" s="11">
        <f>VLOOKUP($G54, '26 ADP Data'!$C$4:$Q$298, 13, FALSE)</f>
        <v>63</v>
      </c>
      <c r="O54" s="11">
        <f t="shared" si="5"/>
        <v>-17</v>
      </c>
      <c r="P54" s="11">
        <f>VLOOKUP($G54, '26 ADP Data'!$C$4:$Q$298, 3, FALSE)</f>
        <v>55</v>
      </c>
      <c r="Q54" s="11">
        <f>VLOOKUP($G54, '26 ADP Data'!$C$4:$Q$298, 4, FALSE)</f>
        <v>46</v>
      </c>
      <c r="R54" s="11">
        <f>VLOOKUP($G54, '26 ADP Data'!$C$4:$Q$298, 6, FALSE)</f>
        <v>35</v>
      </c>
      <c r="S54" s="11">
        <f>VLOOKUP($G54, '26 ADP Data'!$C$4:$Q$298, 9, FALSE)</f>
        <v>50</v>
      </c>
      <c r="T54" s="11" t="str">
        <f>VLOOKUP($G54, '26 ADP Data'!$C$4:$Q$298, 8, FALSE)</f>
        <v>-</v>
      </c>
      <c r="U54" s="11">
        <f t="shared" si="6"/>
        <v>49</v>
      </c>
      <c r="V54" s="11">
        <f t="shared" si="7"/>
        <v>5</v>
      </c>
      <c r="W54" s="11"/>
      <c r="X54" s="11">
        <f>VLOOKUP($G54, SeanRanks26!$A$2:$K$303, 10, FALSE)-U54</f>
        <v>-3</v>
      </c>
      <c r="Y54" s="25" t="str">
        <f>IF(VLOOKUP($G54, SeanRanks26!$A$2:$H$303, 8, FALSE)=0, "", VLOOKUP($G54, SeanRanks26!$A$2:$H$303, 8, FALSE))</f>
        <v/>
      </c>
    </row>
    <row r="55" spans="1:25" ht="14.25" hidden="1" customHeight="1" x14ac:dyDescent="0.25">
      <c r="A55" s="11"/>
      <c r="B55" s="11">
        <f t="shared" si="3"/>
        <v>5</v>
      </c>
      <c r="C55" s="11" t="s">
        <v>148</v>
      </c>
      <c r="D55" s="11">
        <v>2</v>
      </c>
      <c r="E55" s="23"/>
      <c r="F55" s="11">
        <f>VLOOKUP($G55, SeanRanks26!$A$2:$H$303, 5, FALSE)</f>
        <v>0</v>
      </c>
      <c r="G55" s="11" t="s">
        <v>186</v>
      </c>
      <c r="H55" s="11" t="str">
        <f>VLOOKUP($G55, '26 ADP Data'!$C$4:$Q$298, 2, FALSE)</f>
        <v>CLE</v>
      </c>
      <c r="I55" s="11" t="str">
        <f>VLOOKUP(G55, '26 ADP Data'!$C$4:$R$496, 16, FALSE)</f>
        <v>RB</v>
      </c>
      <c r="J55" s="11" t="str">
        <f>VLOOKUP($G55, SeanRanks26!$A$2:$H$303, 6, FALSE)</f>
        <v>RB2 - 1 - Weekly Start</v>
      </c>
      <c r="K55" s="11">
        <f>VLOOKUP($G55, SeanRanks26!$A$2:$H$303, 7, FALSE)</f>
        <v>19</v>
      </c>
      <c r="L55" s="11">
        <f t="shared" si="4"/>
        <v>5</v>
      </c>
      <c r="M55" s="11">
        <f>VLOOKUP($G55, '26 ADP Data'!$C$4:$Q$298, 10, FALSE)</f>
        <v>56</v>
      </c>
      <c r="N55" s="11">
        <f>VLOOKUP($G55, '26 ADP Data'!$C$4:$Q$298, 13, FALSE)</f>
        <v>55</v>
      </c>
      <c r="O55" s="11">
        <f t="shared" si="5"/>
        <v>1</v>
      </c>
      <c r="P55" s="11">
        <f>VLOOKUP($G55, '26 ADP Data'!$C$4:$Q$298, 3, FALSE)</f>
        <v>47</v>
      </c>
      <c r="Q55" s="11">
        <f>VLOOKUP($G55, '26 ADP Data'!$C$4:$Q$298, 4, FALSE)</f>
        <v>45</v>
      </c>
      <c r="R55" s="11">
        <f>VLOOKUP($G55, '26 ADP Data'!$C$4:$Q$298, 6, FALSE)</f>
        <v>51</v>
      </c>
      <c r="S55" s="11">
        <f>VLOOKUP($G55, '26 ADP Data'!$C$4:$Q$298, 9, FALSE)</f>
        <v>49</v>
      </c>
      <c r="T55" s="11" t="str">
        <f>VLOOKUP($G55, '26 ADP Data'!$C$4:$Q$298, 8, FALSE)</f>
        <v>-</v>
      </c>
      <c r="U55" s="11">
        <f t="shared" si="6"/>
        <v>50</v>
      </c>
      <c r="V55" s="11">
        <f t="shared" si="7"/>
        <v>5</v>
      </c>
      <c r="W55" s="11">
        <f>D55-V55</f>
        <v>-3</v>
      </c>
      <c r="X55" s="11">
        <f>VLOOKUP($G55, SeanRanks26!$A$2:$K$303, 10, FALSE)-U55</f>
        <v>6</v>
      </c>
      <c r="Y55" s="25" t="str">
        <f>IF(VLOOKUP($G55, SeanRanks26!$A$2:$H$303, 8, FALSE)=0, "", VLOOKUP($G55, SeanRanks26!$A$2:$H$303, 8, FALSE))</f>
        <v>2025 Rookie R2</v>
      </c>
    </row>
    <row r="56" spans="1:25" ht="14.25" customHeight="1" x14ac:dyDescent="0.25">
      <c r="A56" s="11"/>
      <c r="B56" s="11">
        <f t="shared" si="3"/>
        <v>5</v>
      </c>
      <c r="C56" s="11" t="s">
        <v>148</v>
      </c>
      <c r="D56" s="11">
        <v>1</v>
      </c>
      <c r="E56" s="23"/>
      <c r="F56" s="11">
        <f>VLOOKUP($G56, SeanRanks26!$A$2:$H$303, 5, FALSE)</f>
        <v>0</v>
      </c>
      <c r="G56" s="11" t="s">
        <v>183</v>
      </c>
      <c r="H56" s="11" t="str">
        <f>VLOOKUP($G56, '26 ADP Data'!$C$4:$Q$298, 2, FALSE)</f>
        <v>WAS</v>
      </c>
      <c r="I56" s="11" t="str">
        <f>VLOOKUP(G56, '26 ADP Data'!$C$4:$R$496, 16, FALSE)</f>
        <v>WR</v>
      </c>
      <c r="J56" s="11" t="str">
        <f>VLOOKUP($G56, SeanRanks26!$A$2:$H$303, 6, FALSE)</f>
        <v>WR2 - 2 - Lower Floor</v>
      </c>
      <c r="K56" s="11">
        <f>VLOOKUP($G56, SeanRanks26!$A$2:$H$303, 7, FALSE)</f>
        <v>22</v>
      </c>
      <c r="L56" s="11">
        <f t="shared" si="4"/>
        <v>4</v>
      </c>
      <c r="M56" s="11">
        <f>VLOOKUP($G56, '26 ADP Data'!$C$4:$Q$298, 10, FALSE)</f>
        <v>47</v>
      </c>
      <c r="N56" s="11">
        <f>VLOOKUP($G56, '26 ADP Data'!$C$4:$Q$298, 13, FALSE)</f>
        <v>48</v>
      </c>
      <c r="O56" s="11">
        <f t="shared" si="5"/>
        <v>-1</v>
      </c>
      <c r="P56" s="11">
        <f>VLOOKUP($G56, '26 ADP Data'!$C$4:$Q$298, 3, FALSE)</f>
        <v>57</v>
      </c>
      <c r="Q56" s="11">
        <f>VLOOKUP($G56, '26 ADP Data'!$C$4:$Q$298, 4, FALSE)</f>
        <v>55</v>
      </c>
      <c r="R56" s="11">
        <f>VLOOKUP($G56, '26 ADP Data'!$C$4:$Q$298, 6, FALSE)</f>
        <v>57</v>
      </c>
      <c r="S56" s="11">
        <f>VLOOKUP($G56, '26 ADP Data'!$C$4:$Q$298, 9, FALSE)</f>
        <v>53</v>
      </c>
      <c r="T56" s="11" t="str">
        <f>VLOOKUP($G56, '26 ADP Data'!$C$4:$Q$298, 8, FALSE)</f>
        <v>-</v>
      </c>
      <c r="U56" s="11">
        <f t="shared" si="6"/>
        <v>52</v>
      </c>
      <c r="V56" s="11">
        <f t="shared" si="7"/>
        <v>5</v>
      </c>
      <c r="W56" s="11"/>
      <c r="X56" s="11">
        <f>VLOOKUP($G56, SeanRanks26!$A$2:$K$303, 10, FALSE)-U56</f>
        <v>-5</v>
      </c>
      <c r="Y56" s="25" t="str">
        <f>IF(VLOOKUP($G56, SeanRanks26!$A$2:$H$303, 8, FALSE)=0, "", VLOOKUP($G56, SeanRanks26!$A$2:$H$303, 8, FALSE))</f>
        <v/>
      </c>
    </row>
    <row r="57" spans="1:25" ht="14.25" hidden="1" customHeight="1" x14ac:dyDescent="0.25">
      <c r="A57" s="11"/>
      <c r="B57" s="11">
        <f t="shared" si="3"/>
        <v>5</v>
      </c>
      <c r="C57" s="11" t="s">
        <v>148</v>
      </c>
      <c r="D57" s="11"/>
      <c r="E57" s="23"/>
      <c r="F57" s="11">
        <f>VLOOKUP($G57, SeanRanks26!$A$2:$H$303, 5, FALSE)</f>
        <v>0</v>
      </c>
      <c r="G57" s="11" t="s">
        <v>178</v>
      </c>
      <c r="H57" s="11" t="str">
        <f>VLOOKUP($G57, '26 ADP Data'!$C$4:$Q$298, 2, FALSE)</f>
        <v>HOU</v>
      </c>
      <c r="I57" s="11" t="str">
        <f>VLOOKUP(G57, '26 ADP Data'!$C$4:$R$496, 16, FALSE)</f>
        <v>RB</v>
      </c>
      <c r="J57" s="11" t="str">
        <f>VLOOKUP($G57, SeanRanks26!$A$2:$H$303, 6, FALSE)</f>
        <v>RB2 - 2 - 2 of 3</v>
      </c>
      <c r="K57" s="11">
        <f>VLOOKUP($G57, SeanRanks26!$A$2:$H$303, 7, FALSE)</f>
        <v>25</v>
      </c>
      <c r="L57" s="11">
        <f t="shared" si="4"/>
        <v>5</v>
      </c>
      <c r="M57" s="11">
        <f>VLOOKUP($G57, '26 ADP Data'!$C$4:$Q$298, 10, FALSE)</f>
        <v>57</v>
      </c>
      <c r="N57" s="11">
        <f>VLOOKUP($G57, '26 ADP Data'!$C$4:$Q$298, 13, FALSE)</f>
        <v>47</v>
      </c>
      <c r="O57" s="11">
        <f t="shared" si="5"/>
        <v>10</v>
      </c>
      <c r="P57" s="11">
        <f>VLOOKUP($G57, '26 ADP Data'!$C$4:$Q$298, 3, FALSE)</f>
        <v>48</v>
      </c>
      <c r="Q57" s="11">
        <f>VLOOKUP($G57, '26 ADP Data'!$C$4:$Q$298, 4, FALSE)</f>
        <v>56</v>
      </c>
      <c r="R57" s="11">
        <f>VLOOKUP($G57, '26 ADP Data'!$C$4:$Q$298, 6, FALSE)</f>
        <v>47</v>
      </c>
      <c r="S57" s="11">
        <f>VLOOKUP($G57, '26 ADP Data'!$C$4:$Q$298, 9, FALSE)</f>
        <v>44</v>
      </c>
      <c r="T57" s="11" t="str">
        <f>VLOOKUP($G57, '26 ADP Data'!$C$4:$Q$298, 8, FALSE)</f>
        <v>-</v>
      </c>
      <c r="U57" s="11">
        <f t="shared" si="6"/>
        <v>49</v>
      </c>
      <c r="V57" s="11">
        <f t="shared" si="7"/>
        <v>5</v>
      </c>
      <c r="W57" s="11"/>
      <c r="X57" s="11">
        <f>VLOOKUP($G57, SeanRanks26!$A$2:$K$303, 10, FALSE)-U57</f>
        <v>8</v>
      </c>
      <c r="Y57" s="25" t="str">
        <f>IF(VLOOKUP($G57, SeanRanks26!$A$2:$H$303, 8, FALSE)=0, "", VLOOKUP($G57, SeanRanks26!$A$2:$H$303, 8, FALSE))</f>
        <v/>
      </c>
    </row>
    <row r="58" spans="1:25" ht="14.25" customHeight="1" x14ac:dyDescent="0.25">
      <c r="A58" s="11"/>
      <c r="B58" s="11">
        <f t="shared" si="3"/>
        <v>7</v>
      </c>
      <c r="C58" s="11" t="s">
        <v>148</v>
      </c>
      <c r="D58" s="11"/>
      <c r="E58" s="23"/>
      <c r="F58" s="11" t="str">
        <f>VLOOKUP($G58, SeanRanks26!$A$2:$H$303, 5, FALSE)</f>
        <v>Yes</v>
      </c>
      <c r="G58" s="11" t="s">
        <v>228</v>
      </c>
      <c r="H58" s="11" t="str">
        <f>VLOOKUP($G58, '26 ADP Data'!$C$4:$Q$298, 2, FALSE)</f>
        <v>TEN</v>
      </c>
      <c r="I58" s="11" t="str">
        <f>VLOOKUP(G58, '26 ADP Data'!$C$4:$R$496, 16, FALSE)</f>
        <v>WR</v>
      </c>
      <c r="J58" s="11" t="str">
        <f>VLOOKUP($G58, SeanRanks26!$A$2:$H$303, 6, FALSE)</f>
        <v>WR2 - 2 - Lower Floor</v>
      </c>
      <c r="K58" s="11">
        <f>VLOOKUP($G58, SeanRanks26!$A$2:$H$303, 7, FALSE)</f>
        <v>23</v>
      </c>
      <c r="L58" s="11">
        <f t="shared" si="4"/>
        <v>7</v>
      </c>
      <c r="M58" s="11">
        <f>VLOOKUP($G58, '26 ADP Data'!$C$4:$Q$298, 10, FALSE)</f>
        <v>74</v>
      </c>
      <c r="N58" s="11">
        <f>VLOOKUP($G58, '26 ADP Data'!$C$4:$Q$298, 13, FALSE)</f>
        <v>62</v>
      </c>
      <c r="O58" s="11">
        <f t="shared" si="5"/>
        <v>12</v>
      </c>
      <c r="P58" s="11">
        <f>VLOOKUP($G58, '26 ADP Data'!$C$4:$Q$298, 3, FALSE)</f>
        <v>90</v>
      </c>
      <c r="Q58" s="11">
        <f>VLOOKUP($G58, '26 ADP Data'!$C$4:$Q$298, 4, FALSE)</f>
        <v>71</v>
      </c>
      <c r="R58" s="11">
        <f>VLOOKUP($G58, '26 ADP Data'!$C$4:$Q$298, 6, FALSE)</f>
        <v>73</v>
      </c>
      <c r="S58" s="11">
        <f>VLOOKUP($G58, '26 ADP Data'!$C$4:$Q$298, 9, FALSE)</f>
        <v>68</v>
      </c>
      <c r="T58" s="11" t="str">
        <f>VLOOKUP($G58, '26 ADP Data'!$C$4:$Q$298, 8, FALSE)</f>
        <v>-</v>
      </c>
      <c r="U58" s="11">
        <f t="shared" si="6"/>
        <v>73</v>
      </c>
      <c r="V58" s="11">
        <f t="shared" si="7"/>
        <v>7</v>
      </c>
      <c r="W58" s="11">
        <f>D58-V58</f>
        <v>-7</v>
      </c>
      <c r="X58" s="11">
        <f>VLOOKUP($G58, SeanRanks26!$A$2:$K$303, 10, FALSE)-U58</f>
        <v>1</v>
      </c>
      <c r="Y58" s="25" t="str">
        <f>IF(VLOOKUP($G58, SeanRanks26!$A$2:$H$303, 8, FALSE)=0, "", VLOOKUP($G58, SeanRanks26!$A$2:$H$303, 8, FALSE))</f>
        <v>Rookie R1.4.  FFB My Guy</v>
      </c>
    </row>
    <row r="59" spans="1:25" ht="14.25" customHeight="1" x14ac:dyDescent="0.25">
      <c r="A59" s="11"/>
      <c r="B59" s="11">
        <f t="shared" si="3"/>
        <v>4</v>
      </c>
      <c r="C59" s="11" t="s">
        <v>148</v>
      </c>
      <c r="D59" s="11"/>
      <c r="E59" s="23"/>
      <c r="F59" s="11" t="str">
        <f>VLOOKUP($G59, SeanRanks26!$A$2:$H$303, 5, FALSE)</f>
        <v>Yes</v>
      </c>
      <c r="G59" s="11" t="s">
        <v>165</v>
      </c>
      <c r="H59" s="11" t="str">
        <f>VLOOKUP($G59, '26 ADP Data'!$C$4:$Q$298, 2, FALSE)</f>
        <v>LAC</v>
      </c>
      <c r="I59" s="11" t="str">
        <f>VLOOKUP(G59, '26 ADP Data'!$C$4:$R$496, 16, FALSE)</f>
        <v>WR</v>
      </c>
      <c r="J59" s="11" t="str">
        <f>VLOOKUP($G59, SeanRanks26!$A$2:$H$303, 6, FALSE)</f>
        <v>WR2 - 2 - Lower Floor</v>
      </c>
      <c r="K59" s="11">
        <f>VLOOKUP($G59, SeanRanks26!$A$2:$H$303, 7, FALSE)</f>
        <v>24</v>
      </c>
      <c r="L59" s="11">
        <f t="shared" si="4"/>
        <v>4</v>
      </c>
      <c r="M59" s="11">
        <f>VLOOKUP($G59, '26 ADP Data'!$C$4:$Q$298, 10, FALSE)</f>
        <v>41</v>
      </c>
      <c r="N59" s="11">
        <f>VLOOKUP($G59, '26 ADP Data'!$C$4:$Q$298, 13, FALSE)</f>
        <v>34</v>
      </c>
      <c r="O59" s="11">
        <f t="shared" si="5"/>
        <v>7</v>
      </c>
      <c r="P59" s="11">
        <f>VLOOKUP($G59, '26 ADP Data'!$C$4:$Q$298, 3, FALSE)</f>
        <v>38</v>
      </c>
      <c r="Q59" s="11">
        <f>VLOOKUP($G59, '26 ADP Data'!$C$4:$Q$298, 4, FALSE)</f>
        <v>43</v>
      </c>
      <c r="R59" s="11">
        <f>VLOOKUP($G59, '26 ADP Data'!$C$4:$Q$298, 6, FALSE)</f>
        <v>38</v>
      </c>
      <c r="S59" s="11">
        <f>VLOOKUP($G59, '26 ADP Data'!$C$4:$Q$298, 9, FALSE)</f>
        <v>35</v>
      </c>
      <c r="T59" s="11" t="str">
        <f>VLOOKUP($G59, '26 ADP Data'!$C$4:$Q$298, 8, FALSE)</f>
        <v>-</v>
      </c>
      <c r="U59" s="11">
        <f t="shared" si="6"/>
        <v>38</v>
      </c>
      <c r="V59" s="11">
        <f t="shared" si="7"/>
        <v>4</v>
      </c>
      <c r="W59" s="11"/>
      <c r="X59" s="11">
        <f>VLOOKUP($G59, SeanRanks26!$A$2:$K$303, 10, FALSE)-U59</f>
        <v>3</v>
      </c>
      <c r="Y59" s="25" t="str">
        <f>IF(VLOOKUP($G59, SeanRanks26!$A$2:$H$303, 8, FALSE)=0, "", VLOOKUP($G59, SeanRanks26!$A$2:$H$303, 8, FALSE))</f>
        <v>FFB My Guy</v>
      </c>
    </row>
    <row r="60" spans="1:25" ht="14.25" customHeight="1" x14ac:dyDescent="0.25">
      <c r="A60" s="11"/>
      <c r="B60" s="11">
        <f t="shared" si="3"/>
        <v>6</v>
      </c>
      <c r="C60" s="11" t="s">
        <v>148</v>
      </c>
      <c r="D60" s="11"/>
      <c r="E60" s="23"/>
      <c r="F60" s="11" t="str">
        <f>VLOOKUP($G60, SeanRanks26!$A$2:$H$303, 5, FALSE)</f>
        <v>Yes</v>
      </c>
      <c r="G60" s="11" t="s">
        <v>213</v>
      </c>
      <c r="H60" s="11" t="str">
        <f>VLOOKUP($G60, '26 ADP Data'!$C$4:$Q$298, 2, FALSE)</f>
        <v>GB</v>
      </c>
      <c r="I60" s="11" t="str">
        <f>VLOOKUP(G60, '26 ADP Data'!$C$4:$R$496, 16, FALSE)</f>
        <v>WR</v>
      </c>
      <c r="J60" s="11" t="str">
        <f>VLOOKUP($G60, SeanRanks26!$A$2:$H$303, 6, FALSE)</f>
        <v>WR3 - 1 - Clear path to WR2</v>
      </c>
      <c r="K60" s="11">
        <f>VLOOKUP($G60, SeanRanks26!$A$2:$H$303, 7, FALSE)</f>
        <v>25</v>
      </c>
      <c r="L60" s="11">
        <f t="shared" si="4"/>
        <v>5</v>
      </c>
      <c r="M60" s="11">
        <f>VLOOKUP($G60, '26 ADP Data'!$C$4:$Q$298, 10, FALSE)</f>
        <v>52</v>
      </c>
      <c r="N60" s="11">
        <f>VLOOKUP($G60, '26 ADP Data'!$C$4:$Q$298, 13, FALSE)</f>
        <v>57</v>
      </c>
      <c r="O60" s="11">
        <f t="shared" si="5"/>
        <v>-5</v>
      </c>
      <c r="P60" s="11">
        <f>VLOOKUP($G60, '26 ADP Data'!$C$4:$Q$298, 3, FALSE)</f>
        <v>61</v>
      </c>
      <c r="Q60" s="11">
        <f>VLOOKUP($G60, '26 ADP Data'!$C$4:$Q$298, 4, FALSE)</f>
        <v>80</v>
      </c>
      <c r="R60" s="11">
        <f>VLOOKUP($G60, '26 ADP Data'!$C$4:$Q$298, 6, FALSE)</f>
        <v>56</v>
      </c>
      <c r="S60" s="11">
        <f>VLOOKUP($G60, '26 ADP Data'!$C$4:$Q$298, 9, FALSE)</f>
        <v>65</v>
      </c>
      <c r="T60" s="11" t="str">
        <f>VLOOKUP($G60, '26 ADP Data'!$C$4:$Q$298, 8, FALSE)</f>
        <v>-</v>
      </c>
      <c r="U60" s="11">
        <f t="shared" si="6"/>
        <v>61</v>
      </c>
      <c r="V60" s="11">
        <f t="shared" si="7"/>
        <v>6</v>
      </c>
      <c r="W60" s="11"/>
      <c r="X60" s="11">
        <f>VLOOKUP($G60, SeanRanks26!$A$2:$K$303, 10, FALSE)-U60</f>
        <v>-9</v>
      </c>
      <c r="Y60" s="25" t="str">
        <f>IF(VLOOKUP($G60, SeanRanks26!$A$2:$H$303, 8, FALSE)=0, "", VLOOKUP($G60, SeanRanks26!$A$2:$H$303, 8, FALSE))</f>
        <v>FFB My Guy</v>
      </c>
    </row>
    <row r="61" spans="1:25" ht="14.25" customHeight="1" x14ac:dyDescent="0.25">
      <c r="A61" s="11"/>
      <c r="B61" s="11">
        <f t="shared" si="3"/>
        <v>6</v>
      </c>
      <c r="C61" s="11" t="s">
        <v>148</v>
      </c>
      <c r="D61" s="11"/>
      <c r="E61" s="23"/>
      <c r="F61" s="11">
        <f>VLOOKUP($G61, SeanRanks26!$A$2:$H$303, 5, FALSE)</f>
        <v>0</v>
      </c>
      <c r="G61" s="11" t="s">
        <v>202</v>
      </c>
      <c r="H61" s="11" t="str">
        <f>VLOOKUP($G61, '26 ADP Data'!$C$4:$Q$298, 2, FALSE)</f>
        <v>CHI</v>
      </c>
      <c r="I61" s="11" t="str">
        <f>VLOOKUP(G61, '26 ADP Data'!$C$4:$R$496, 16, FALSE)</f>
        <v>WR</v>
      </c>
      <c r="J61" s="11" t="str">
        <f>VLOOKUP($G61, SeanRanks26!$A$2:$H$303, 6, FALSE)</f>
        <v>WR3 - 1 - Clear path to WR2</v>
      </c>
      <c r="K61" s="11">
        <f>VLOOKUP($G61, SeanRanks26!$A$2:$H$303, 7, FALSE)</f>
        <v>26</v>
      </c>
      <c r="L61" s="11">
        <f t="shared" si="4"/>
        <v>5</v>
      </c>
      <c r="M61" s="11">
        <f>VLOOKUP($G61, '26 ADP Data'!$C$4:$Q$298, 10, FALSE)</f>
        <v>51</v>
      </c>
      <c r="N61" s="11">
        <f>VLOOKUP($G61, '26 ADP Data'!$C$4:$Q$298, 13, FALSE)</f>
        <v>59</v>
      </c>
      <c r="O61" s="11">
        <f t="shared" si="5"/>
        <v>-8</v>
      </c>
      <c r="P61" s="11">
        <f>VLOOKUP($G61, '26 ADP Data'!$C$4:$Q$298, 3, FALSE)</f>
        <v>60</v>
      </c>
      <c r="Q61" s="11">
        <f>VLOOKUP($G61, '26 ADP Data'!$C$4:$Q$298, 4, FALSE)</f>
        <v>60</v>
      </c>
      <c r="R61" s="11">
        <f>VLOOKUP($G61, '26 ADP Data'!$C$4:$Q$298, 6, FALSE)</f>
        <v>59</v>
      </c>
      <c r="S61" s="11">
        <f>VLOOKUP($G61, '26 ADP Data'!$C$4:$Q$298, 9, FALSE)</f>
        <v>63</v>
      </c>
      <c r="T61" s="11" t="str">
        <f>VLOOKUP($G61, '26 ADP Data'!$C$4:$Q$298, 8, FALSE)</f>
        <v>-</v>
      </c>
      <c r="U61" s="11">
        <f t="shared" si="6"/>
        <v>58</v>
      </c>
      <c r="V61" s="11">
        <f t="shared" si="7"/>
        <v>5</v>
      </c>
      <c r="W61" s="11"/>
      <c r="X61" s="11">
        <f>VLOOKUP($G61, SeanRanks26!$A$2:$K$303, 10, FALSE)-U61</f>
        <v>-7</v>
      </c>
      <c r="Y61" s="25" t="str">
        <f>IF(VLOOKUP($G61, SeanRanks26!$A$2:$H$303, 8, FALSE)=0, "", VLOOKUP($G61, SeanRanks26!$A$2:$H$303, 8, FALSE))</f>
        <v/>
      </c>
    </row>
    <row r="62" spans="1:25" ht="14.25" hidden="1" customHeight="1" x14ac:dyDescent="0.25">
      <c r="A62" s="11"/>
      <c r="B62" s="11">
        <f t="shared" si="3"/>
        <v>5</v>
      </c>
      <c r="C62" s="11" t="s">
        <v>148</v>
      </c>
      <c r="D62" s="11"/>
      <c r="E62" s="23"/>
      <c r="F62" s="11">
        <f>VLOOKUP($G62, SeanRanks26!$A$2:$H$303, 5, FALSE)</f>
        <v>0</v>
      </c>
      <c r="G62" s="11" t="s">
        <v>198</v>
      </c>
      <c r="H62" s="11" t="str">
        <f>VLOOKUP($G62, '26 ADP Data'!$C$4:$Q$298, 2, FALSE)</f>
        <v>JAX</v>
      </c>
      <c r="I62" s="11" t="str">
        <f>VLOOKUP(G62, '26 ADP Data'!$C$4:$R$496, 16, FALSE)</f>
        <v>RB</v>
      </c>
      <c r="J62" s="11" t="str">
        <f>VLOOKUP($G62, SeanRanks26!$A$2:$H$303, 6, FALSE)</f>
        <v>RB2 - 2 - 2 of 3</v>
      </c>
      <c r="K62" s="11">
        <f>VLOOKUP($G62, SeanRanks26!$A$2:$H$303, 7, FALSE)</f>
        <v>24</v>
      </c>
      <c r="L62" s="11">
        <f t="shared" si="4"/>
        <v>5</v>
      </c>
      <c r="M62" s="11">
        <f>VLOOKUP($G62, '26 ADP Data'!$C$4:$Q$298, 10, FALSE)</f>
        <v>58</v>
      </c>
      <c r="N62" s="11">
        <f>VLOOKUP($G62, '26 ADP Data'!$C$4:$Q$298, 13, FALSE)</f>
        <v>49</v>
      </c>
      <c r="O62" s="11">
        <f t="shared" si="5"/>
        <v>9</v>
      </c>
      <c r="P62" s="11">
        <f>VLOOKUP($G62, '26 ADP Data'!$C$4:$Q$298, 3, FALSE)</f>
        <v>54</v>
      </c>
      <c r="Q62" s="11">
        <f>VLOOKUP($G62, '26 ADP Data'!$C$4:$Q$298, 4, FALSE)</f>
        <v>57</v>
      </c>
      <c r="R62" s="11">
        <f>VLOOKUP($G62, '26 ADP Data'!$C$4:$Q$298, 6, FALSE)</f>
        <v>50</v>
      </c>
      <c r="S62" s="11">
        <f>VLOOKUP($G62, '26 ADP Data'!$C$4:$Q$298, 9, FALSE)</f>
        <v>59</v>
      </c>
      <c r="T62" s="11" t="str">
        <f>VLOOKUP($G62, '26 ADP Data'!$C$4:$Q$298, 8, FALSE)</f>
        <v>-</v>
      </c>
      <c r="U62" s="11">
        <f t="shared" si="6"/>
        <v>54</v>
      </c>
      <c r="V62" s="11">
        <f t="shared" si="7"/>
        <v>5</v>
      </c>
      <c r="W62" s="11"/>
      <c r="X62" s="11">
        <f>VLOOKUP($G62, SeanRanks26!$A$2:$K$303, 10, FALSE)-U62</f>
        <v>4</v>
      </c>
      <c r="Y62" s="25" t="str">
        <f>IF(VLOOKUP($G62, SeanRanks26!$A$2:$H$303, 8, FALSE)=0, "", VLOOKUP($G62, SeanRanks26!$A$2:$H$303, 8, FALSE))</f>
        <v>2025 Rookie R4</v>
      </c>
    </row>
    <row r="63" spans="1:25" ht="14.25" hidden="1" customHeight="1" x14ac:dyDescent="0.25">
      <c r="A63" s="11"/>
      <c r="B63" s="11">
        <f t="shared" si="3"/>
        <v>5</v>
      </c>
      <c r="C63" s="11" t="s">
        <v>148</v>
      </c>
      <c r="D63" s="11"/>
      <c r="E63" s="23"/>
      <c r="F63" s="11" t="str">
        <f>VLOOKUP($G63, SeanRanks26!$A$2:$H$303, 5, FALSE)</f>
        <v>Yes</v>
      </c>
      <c r="G63" s="11" t="s">
        <v>204</v>
      </c>
      <c r="H63" s="11" t="str">
        <f>VLOOKUP($G63, '26 ADP Data'!$C$4:$Q$298, 2, FALSE)</f>
        <v>NE</v>
      </c>
      <c r="I63" s="11" t="str">
        <f>VLOOKUP(G63, '26 ADP Data'!$C$4:$R$496, 16, FALSE)</f>
        <v>QB</v>
      </c>
      <c r="J63" s="11" t="str">
        <f>VLOOKUP($G63, SeanRanks26!$A$2:$H$303, 6, FALSE)</f>
        <v>QB1 - 3 - Weekly Starter</v>
      </c>
      <c r="K63" s="11">
        <f>VLOOKUP($G63, SeanRanks26!$A$2:$H$303, 7, FALSE)</f>
        <v>5</v>
      </c>
      <c r="L63" s="11">
        <f t="shared" si="4"/>
        <v>6</v>
      </c>
      <c r="M63" s="11">
        <f>VLOOKUP($G63, '26 ADP Data'!$C$4:$Q$298, 10, FALSE)</f>
        <v>61</v>
      </c>
      <c r="N63" s="11">
        <f>VLOOKUP($G63, '26 ADP Data'!$C$4:$Q$298, 13, FALSE)</f>
        <v>66</v>
      </c>
      <c r="O63" s="11">
        <f t="shared" si="5"/>
        <v>-5</v>
      </c>
      <c r="P63" s="11">
        <f>VLOOKUP($G63, '26 ADP Data'!$C$4:$Q$298, 3, FALSE)</f>
        <v>51</v>
      </c>
      <c r="Q63" s="11">
        <f>VLOOKUP($G63, '26 ADP Data'!$C$4:$Q$298, 4, FALSE)</f>
        <v>44</v>
      </c>
      <c r="R63" s="11">
        <f>VLOOKUP($G63, '26 ADP Data'!$C$4:$Q$298, 6, FALSE)</f>
        <v>71</v>
      </c>
      <c r="S63" s="11">
        <f>VLOOKUP($G63, '26 ADP Data'!$C$4:$Q$298, 9, FALSE)</f>
        <v>51</v>
      </c>
      <c r="T63" s="11" t="str">
        <f>VLOOKUP($G63, '26 ADP Data'!$C$4:$Q$298, 8, FALSE)</f>
        <v>-</v>
      </c>
      <c r="U63" s="11">
        <f t="shared" si="6"/>
        <v>57</v>
      </c>
      <c r="V63" s="11">
        <f t="shared" si="7"/>
        <v>5</v>
      </c>
      <c r="W63" s="11"/>
      <c r="X63" s="11">
        <f>VLOOKUP($G63, SeanRanks26!$A$2:$K$303, 10, FALSE)-U63</f>
        <v>4</v>
      </c>
      <c r="Y63" s="25" t="str">
        <f>IF(VLOOKUP($G63, SeanRanks26!$A$2:$H$303, 8, FALSE)=0, "", VLOOKUP($G63, SeanRanks26!$A$2:$H$303, 8, FALSE))</f>
        <v/>
      </c>
    </row>
    <row r="64" spans="1:25" ht="14.25" customHeight="1" x14ac:dyDescent="0.25">
      <c r="A64" s="11"/>
      <c r="B64" s="11">
        <f t="shared" si="3"/>
        <v>6</v>
      </c>
      <c r="C64" s="11" t="s">
        <v>148</v>
      </c>
      <c r="D64" s="11"/>
      <c r="E64" s="23"/>
      <c r="F64" s="11">
        <f>VLOOKUP($G64, SeanRanks26!$A$2:$H$303, 5, FALSE)</f>
        <v>0</v>
      </c>
      <c r="G64" s="11" t="s">
        <v>220</v>
      </c>
      <c r="H64" s="11" t="str">
        <f>VLOOKUP($G64, '26 ADP Data'!$C$4:$Q$298, 2, FALSE)</f>
        <v>SF</v>
      </c>
      <c r="I64" s="11" t="str">
        <f>VLOOKUP(G64, '26 ADP Data'!$C$4:$R$496, 16, FALSE)</f>
        <v>WR</v>
      </c>
      <c r="J64" s="11" t="str">
        <f>VLOOKUP($G64, SeanRanks26!$A$2:$H$303, 6, FALSE)</f>
        <v>WR3 - 1 - Clear path to WR2</v>
      </c>
      <c r="K64" s="11">
        <f>VLOOKUP($G64, SeanRanks26!$A$2:$H$303, 7, FALSE)</f>
        <v>27</v>
      </c>
      <c r="L64" s="11">
        <f t="shared" si="4"/>
        <v>6</v>
      </c>
      <c r="M64" s="11">
        <f>VLOOKUP($G64, '26 ADP Data'!$C$4:$Q$298, 10, FALSE)</f>
        <v>60</v>
      </c>
      <c r="N64" s="11">
        <f>VLOOKUP($G64, '26 ADP Data'!$C$4:$Q$298, 13, FALSE)</f>
        <v>54</v>
      </c>
      <c r="O64" s="11">
        <f t="shared" si="5"/>
        <v>6</v>
      </c>
      <c r="P64" s="11">
        <f>VLOOKUP($G64, '26 ADP Data'!$C$4:$Q$298, 3, FALSE)</f>
        <v>71</v>
      </c>
      <c r="Q64" s="11">
        <f>VLOOKUP($G64, '26 ADP Data'!$C$4:$Q$298, 4, FALSE)</f>
        <v>74</v>
      </c>
      <c r="R64" s="11">
        <f>VLOOKUP($G64, '26 ADP Data'!$C$4:$Q$298, 6, FALSE)</f>
        <v>66</v>
      </c>
      <c r="S64" s="11">
        <f>VLOOKUP($G64, '26 ADP Data'!$C$4:$Q$298, 9, FALSE)</f>
        <v>62</v>
      </c>
      <c r="T64" s="11" t="str">
        <f>VLOOKUP($G64, '26 ADP Data'!$C$4:$Q$298, 8, FALSE)</f>
        <v>-</v>
      </c>
      <c r="U64" s="11">
        <f t="shared" si="6"/>
        <v>64</v>
      </c>
      <c r="V64" s="11">
        <f t="shared" si="7"/>
        <v>6</v>
      </c>
      <c r="W64" s="11"/>
      <c r="X64" s="11">
        <f>VLOOKUP($G64, SeanRanks26!$A$2:$K$303, 10, FALSE)-U64</f>
        <v>-4</v>
      </c>
      <c r="Y64" s="25" t="s">
        <v>892</v>
      </c>
    </row>
    <row r="65" spans="1:25" ht="14.25" hidden="1" customHeight="1" x14ac:dyDescent="0.25">
      <c r="A65" s="11"/>
      <c r="B65" s="11">
        <f t="shared" si="3"/>
        <v>5</v>
      </c>
      <c r="C65" s="11" t="s">
        <v>148</v>
      </c>
      <c r="D65" s="11">
        <v>3</v>
      </c>
      <c r="E65" s="23"/>
      <c r="F65" s="11" t="str">
        <f>VLOOKUP($G65, SeanRanks26!$A$2:$H$303, 5, FALSE)</f>
        <v>Yes</v>
      </c>
      <c r="G65" s="11" t="s">
        <v>206</v>
      </c>
      <c r="H65" s="11" t="str">
        <f>VLOOKUP($G65, '26 ADP Data'!$C$4:$Q$298, 2, FALSE)</f>
        <v>SEA</v>
      </c>
      <c r="I65" s="11" t="str">
        <f>VLOOKUP(G65, '26 ADP Data'!$C$4:$R$496, 16, FALSE)</f>
        <v>RB</v>
      </c>
      <c r="J65" s="11" t="str">
        <f>VLOOKUP($G65, SeanRanks26!$A$2:$H$303, 6, FALSE)</f>
        <v>RB2 - 1 - Weekly Start</v>
      </c>
      <c r="K65" s="11">
        <f>VLOOKUP($G65, SeanRanks26!$A$2:$H$303, 7, FALSE)</f>
        <v>23</v>
      </c>
      <c r="L65" s="11">
        <f t="shared" si="4"/>
        <v>5</v>
      </c>
      <c r="M65" s="11">
        <f>VLOOKUP($G65, '26 ADP Data'!$C$4:$Q$298, 10, FALSE)</f>
        <v>59</v>
      </c>
      <c r="N65" s="11">
        <f>VLOOKUP($G65, '26 ADP Data'!$C$4:$Q$298, 13, FALSE)</f>
        <v>60</v>
      </c>
      <c r="O65" s="11">
        <f t="shared" si="5"/>
        <v>-1</v>
      </c>
      <c r="P65" s="11">
        <f>VLOOKUP($G65, '26 ADP Data'!$C$4:$Q$298, 3, FALSE)</f>
        <v>52</v>
      </c>
      <c r="Q65" s="11">
        <f>VLOOKUP($G65, '26 ADP Data'!$C$4:$Q$298, 4, FALSE)</f>
        <v>59</v>
      </c>
      <c r="R65" s="11">
        <f>VLOOKUP($G65, '26 ADP Data'!$C$4:$Q$298, 6, FALSE)</f>
        <v>52</v>
      </c>
      <c r="S65" s="11">
        <f>VLOOKUP($G65, '26 ADP Data'!$C$4:$Q$298, 9, FALSE)</f>
        <v>57</v>
      </c>
      <c r="T65" s="11" t="str">
        <f>VLOOKUP($G65, '26 ADP Data'!$C$4:$Q$298, 8, FALSE)</f>
        <v>-</v>
      </c>
      <c r="U65" s="11">
        <f t="shared" si="6"/>
        <v>56</v>
      </c>
      <c r="V65" s="11">
        <f t="shared" si="7"/>
        <v>5</v>
      </c>
      <c r="W65" s="11"/>
      <c r="X65" s="11">
        <f>VLOOKUP($G65, SeanRanks26!$A$2:$K$303, 10, FALSE)-U65</f>
        <v>3</v>
      </c>
      <c r="Y65" s="25" t="str">
        <f>IF(VLOOKUP($G65, SeanRanks26!$A$2:$H$303, 8, FALSE)=0, "", VLOOKUP($G65, SeanRanks26!$A$2:$H$303, 8, FALSE))</f>
        <v>Rookie R1.32</v>
      </c>
    </row>
    <row r="66" spans="1:25" ht="14.25" hidden="1" customHeight="1" x14ac:dyDescent="0.25">
      <c r="A66" s="11"/>
      <c r="B66" s="11">
        <f t="shared" si="3"/>
        <v>5</v>
      </c>
      <c r="C66" s="11" t="s">
        <v>148</v>
      </c>
      <c r="D66" s="11"/>
      <c r="E66" s="23"/>
      <c r="F66" s="11" t="str">
        <f>VLOOKUP($G66, SeanRanks26!$A$2:$H$303, 5, FALSE)</f>
        <v>Yes</v>
      </c>
      <c r="G66" s="11" t="s">
        <v>211</v>
      </c>
      <c r="H66" s="11" t="str">
        <f>VLOOKUP($G66, '26 ADP Data'!$C$4:$Q$298, 2, FALSE)</f>
        <v>CIN</v>
      </c>
      <c r="I66" s="11" t="str">
        <f>VLOOKUP(G66, '26 ADP Data'!$C$4:$R$496, 16, FALSE)</f>
        <v>QB</v>
      </c>
      <c r="J66" s="11" t="str">
        <f>VLOOKUP($G66, SeanRanks26!$A$2:$H$303, 6, FALSE)</f>
        <v>QB1 - 3 - Weekly Starter</v>
      </c>
      <c r="K66" s="11">
        <f>VLOOKUP($G66, SeanRanks26!$A$2:$H$303, 7, FALSE)</f>
        <v>3</v>
      </c>
      <c r="L66" s="11">
        <f t="shared" si="4"/>
        <v>6</v>
      </c>
      <c r="M66" s="11">
        <f>VLOOKUP($G66, '26 ADP Data'!$C$4:$Q$298, 10, FALSE)</f>
        <v>64</v>
      </c>
      <c r="N66" s="11">
        <f>VLOOKUP($G66, '26 ADP Data'!$C$4:$Q$298, 13, FALSE)</f>
        <v>68</v>
      </c>
      <c r="O66" s="11">
        <f t="shared" si="5"/>
        <v>-4</v>
      </c>
      <c r="P66" s="11">
        <f>VLOOKUP($G66, '26 ADP Data'!$C$4:$Q$298, 3, FALSE)</f>
        <v>50</v>
      </c>
      <c r="Q66" s="11">
        <f>VLOOKUP($G66, '26 ADP Data'!$C$4:$Q$298, 4, FALSE)</f>
        <v>48</v>
      </c>
      <c r="R66" s="11">
        <f>VLOOKUP($G66, '26 ADP Data'!$C$4:$Q$298, 6, FALSE)</f>
        <v>75</v>
      </c>
      <c r="S66" s="11">
        <f>VLOOKUP($G66, '26 ADP Data'!$C$4:$Q$298, 9, FALSE)</f>
        <v>54</v>
      </c>
      <c r="T66" s="11" t="str">
        <f>VLOOKUP($G66, '26 ADP Data'!$C$4:$Q$298, 8, FALSE)</f>
        <v>-</v>
      </c>
      <c r="U66" s="11">
        <f t="shared" si="6"/>
        <v>59</v>
      </c>
      <c r="V66" s="11">
        <f t="shared" si="7"/>
        <v>5</v>
      </c>
      <c r="W66" s="11"/>
      <c r="X66" s="11">
        <f>VLOOKUP($G66, SeanRanks26!$A$2:$K$303, 10, FALSE)-U66</f>
        <v>5</v>
      </c>
      <c r="Y66" s="25" t="str">
        <f>IF(VLOOKUP($G66, SeanRanks26!$A$2:$H$303, 8, FALSE)=0, "", VLOOKUP($G66, SeanRanks26!$A$2:$H$303, 8, FALSE))</f>
        <v/>
      </c>
    </row>
    <row r="67" spans="1:25" ht="14.25" hidden="1" customHeight="1" x14ac:dyDescent="0.25">
      <c r="A67" s="11"/>
      <c r="B67" s="11">
        <f t="shared" si="3"/>
        <v>6</v>
      </c>
      <c r="C67" s="11" t="s">
        <v>148</v>
      </c>
      <c r="D67" s="11"/>
      <c r="E67" s="23"/>
      <c r="F67" s="11">
        <f>VLOOKUP($G67, SeanRanks26!$A$2:$H$303, 5, FALSE)</f>
        <v>0</v>
      </c>
      <c r="G67" s="11" t="s">
        <v>216</v>
      </c>
      <c r="H67" s="11" t="str">
        <f>VLOOKUP($G67, '26 ADP Data'!$C$4:$Q$298, 2, FALSE)</f>
        <v>NE</v>
      </c>
      <c r="I67" s="11" t="str">
        <f>VLOOKUP(G67, '26 ADP Data'!$C$4:$R$496, 16, FALSE)</f>
        <v>RB</v>
      </c>
      <c r="J67" s="11" t="str">
        <f>VLOOKUP($G67, SeanRanks26!$A$2:$H$303, 6, FALSE)</f>
        <v>RB2 - 2 - 2 of 3</v>
      </c>
      <c r="K67" s="11">
        <f>VLOOKUP($G67, SeanRanks26!$A$2:$H$303, 7, FALSE)</f>
        <v>26</v>
      </c>
      <c r="L67" s="11">
        <f t="shared" si="4"/>
        <v>6</v>
      </c>
      <c r="M67" s="11">
        <f>VLOOKUP($G67, '26 ADP Data'!$C$4:$Q$298, 10, FALSE)</f>
        <v>65</v>
      </c>
      <c r="N67" s="11">
        <f>VLOOKUP($G67, '26 ADP Data'!$C$4:$Q$298, 13, FALSE)</f>
        <v>61</v>
      </c>
      <c r="O67" s="11">
        <f t="shared" si="5"/>
        <v>4</v>
      </c>
      <c r="P67" s="11">
        <f>VLOOKUP($G67, '26 ADP Data'!$C$4:$Q$298, 3, FALSE)</f>
        <v>70</v>
      </c>
      <c r="Q67" s="11">
        <f>VLOOKUP($G67, '26 ADP Data'!$C$4:$Q$298, 4, FALSE)</f>
        <v>68</v>
      </c>
      <c r="R67" s="11">
        <f>VLOOKUP($G67, '26 ADP Data'!$C$4:$Q$298, 6, FALSE)</f>
        <v>64</v>
      </c>
      <c r="S67" s="11">
        <f>VLOOKUP($G67, '26 ADP Data'!$C$4:$Q$298, 9, FALSE)</f>
        <v>56</v>
      </c>
      <c r="T67" s="11" t="str">
        <f>VLOOKUP($G67, '26 ADP Data'!$C$4:$Q$298, 8, FALSE)</f>
        <v>-</v>
      </c>
      <c r="U67" s="11">
        <f t="shared" si="6"/>
        <v>64</v>
      </c>
      <c r="V67" s="11">
        <f t="shared" si="7"/>
        <v>6</v>
      </c>
      <c r="W67" s="11"/>
      <c r="X67" s="11">
        <f>VLOOKUP($G67, SeanRanks26!$A$2:$K$303, 10, FALSE)-U67</f>
        <v>1</v>
      </c>
      <c r="Y67" s="25" t="str">
        <f>IF(VLOOKUP($G67, SeanRanks26!$A$2:$H$303, 8, FALSE)=0, "", VLOOKUP($G67, SeanRanks26!$A$2:$H$303, 8, FALSE))</f>
        <v>2025 Rookie R2</v>
      </c>
    </row>
    <row r="68" spans="1:25" ht="14.25" customHeight="1" x14ac:dyDescent="0.25">
      <c r="A68" s="11"/>
      <c r="B68" s="11">
        <f t="shared" si="3"/>
        <v>5</v>
      </c>
      <c r="C68" s="11" t="s">
        <v>148</v>
      </c>
      <c r="D68" s="11">
        <v>2</v>
      </c>
      <c r="E68" s="23"/>
      <c r="F68" s="11">
        <f>VLOOKUP($G68, SeanRanks26!$A$2:$H$303, 5, FALSE)</f>
        <v>0</v>
      </c>
      <c r="G68" s="11" t="s">
        <v>196</v>
      </c>
      <c r="H68" s="11" t="str">
        <f>VLOOKUP($G68, '26 ADP Data'!$C$4:$Q$298, 2, FALSE)</f>
        <v>DET</v>
      </c>
      <c r="I68" s="11" t="str">
        <f>VLOOKUP(G68, '26 ADP Data'!$C$4:$R$496, 16, FALSE)</f>
        <v>WR</v>
      </c>
      <c r="J68" s="11" t="str">
        <f>VLOOKUP($G68, SeanRanks26!$A$2:$H$303, 6, FALSE)</f>
        <v>WR3 - 1 - Clear path to WR2</v>
      </c>
      <c r="K68" s="11">
        <f>VLOOKUP($G68, SeanRanks26!$A$2:$H$303, 7, FALSE)</f>
        <v>28</v>
      </c>
      <c r="L68" s="11">
        <f t="shared" si="4"/>
        <v>5</v>
      </c>
      <c r="M68" s="11">
        <f>VLOOKUP($G68, '26 ADP Data'!$C$4:$Q$298, 10, FALSE)</f>
        <v>49</v>
      </c>
      <c r="N68" s="11">
        <f>VLOOKUP($G68, '26 ADP Data'!$C$4:$Q$298, 13, FALSE)</f>
        <v>50</v>
      </c>
      <c r="O68" s="11">
        <f t="shared" si="5"/>
        <v>-1</v>
      </c>
      <c r="P68" s="11">
        <f>VLOOKUP($G68, '26 ADP Data'!$C$4:$Q$298, 3, FALSE)</f>
        <v>56</v>
      </c>
      <c r="Q68" s="11">
        <f>VLOOKUP($G68, '26 ADP Data'!$C$4:$Q$298, 4, FALSE)</f>
        <v>58</v>
      </c>
      <c r="R68" s="11">
        <f>VLOOKUP($G68, '26 ADP Data'!$C$4:$Q$298, 6, FALSE)</f>
        <v>53</v>
      </c>
      <c r="S68" s="11">
        <f>VLOOKUP($G68, '26 ADP Data'!$C$4:$Q$298, 9, FALSE)</f>
        <v>58</v>
      </c>
      <c r="T68" s="11" t="str">
        <f>VLOOKUP($G68, '26 ADP Data'!$C$4:$Q$298, 8, FALSE)</f>
        <v>-</v>
      </c>
      <c r="U68" s="11">
        <f t="shared" si="6"/>
        <v>54</v>
      </c>
      <c r="V68" s="11">
        <f t="shared" si="7"/>
        <v>5</v>
      </c>
      <c r="W68" s="11"/>
      <c r="X68" s="11">
        <f>VLOOKUP($G68, SeanRanks26!$A$2:$K$303, 10, FALSE)-U68</f>
        <v>-5</v>
      </c>
      <c r="Y68" s="25" t="str">
        <f>IF(VLOOKUP($G68, SeanRanks26!$A$2:$H$303, 8, FALSE)=0, "", VLOOKUP($G68, SeanRanks26!$A$2:$H$303, 8, FALSE))</f>
        <v/>
      </c>
    </row>
    <row r="69" spans="1:25" ht="14.25" customHeight="1" x14ac:dyDescent="0.25">
      <c r="A69" s="11"/>
      <c r="B69" s="11">
        <f t="shared" si="3"/>
        <v>7</v>
      </c>
      <c r="C69" s="11" t="s">
        <v>148</v>
      </c>
      <c r="D69" s="11"/>
      <c r="E69" s="23"/>
      <c r="F69" s="11">
        <f>VLOOKUP($G69, SeanRanks26!$A$2:$H$303, 5, FALSE)</f>
        <v>0</v>
      </c>
      <c r="G69" s="11" t="s">
        <v>248</v>
      </c>
      <c r="H69" s="11" t="str">
        <f>VLOOKUP($G69, '26 ADP Data'!$C$4:$Q$298, 2, FALSE)</f>
        <v>PIT</v>
      </c>
      <c r="I69" s="11" t="str">
        <f>VLOOKUP(G69, '26 ADP Data'!$C$4:$R$496, 16, FALSE)</f>
        <v>WR</v>
      </c>
      <c r="J69" s="11" t="str">
        <f>VLOOKUP($G69, SeanRanks26!$A$2:$H$303, 6, FALSE)</f>
        <v>WR3 - 1 - Clear path to WR2</v>
      </c>
      <c r="K69" s="11">
        <f>VLOOKUP($G69, SeanRanks26!$A$2:$H$303, 7, FALSE)</f>
        <v>29</v>
      </c>
      <c r="L69" s="11">
        <f t="shared" si="4"/>
        <v>7</v>
      </c>
      <c r="M69" s="11">
        <f>VLOOKUP($G69, '26 ADP Data'!$C$4:$Q$298, 10, FALSE)</f>
        <v>76</v>
      </c>
      <c r="N69" s="11">
        <f>VLOOKUP($G69, '26 ADP Data'!$C$4:$Q$298, 13, FALSE)</f>
        <v>74</v>
      </c>
      <c r="O69" s="11">
        <f t="shared" si="5"/>
        <v>2</v>
      </c>
      <c r="P69" s="11">
        <f>VLOOKUP($G69, '26 ADP Data'!$C$4:$Q$298, 3, FALSE)</f>
        <v>89</v>
      </c>
      <c r="Q69" s="11">
        <f>VLOOKUP($G69, '26 ADP Data'!$C$4:$Q$298, 4, FALSE)</f>
        <v>78</v>
      </c>
      <c r="R69" s="11">
        <f>VLOOKUP($G69, '26 ADP Data'!$C$4:$Q$298, 6, FALSE)</f>
        <v>82</v>
      </c>
      <c r="S69" s="11">
        <f>VLOOKUP($G69, '26 ADP Data'!$C$4:$Q$298, 9, FALSE)</f>
        <v>77</v>
      </c>
      <c r="T69" s="11" t="str">
        <f>VLOOKUP($G69, '26 ADP Data'!$C$4:$Q$298, 8, FALSE)</f>
        <v>-</v>
      </c>
      <c r="U69" s="11">
        <f t="shared" si="6"/>
        <v>79</v>
      </c>
      <c r="V69" s="11">
        <f t="shared" si="7"/>
        <v>7</v>
      </c>
      <c r="W69" s="11"/>
      <c r="X69" s="11">
        <f>VLOOKUP($G69, SeanRanks26!$A$2:$K$303, 10, FALSE)-U69</f>
        <v>-3</v>
      </c>
      <c r="Y69" s="25" t="str">
        <f>IF(VLOOKUP($G69, SeanRanks26!$A$2:$H$303, 8, FALSE)=0, "", VLOOKUP($G69, SeanRanks26!$A$2:$H$303, 8, FALSE))</f>
        <v/>
      </c>
    </row>
    <row r="70" spans="1:25" ht="14.25" hidden="1" customHeight="1" x14ac:dyDescent="0.25">
      <c r="A70" s="11"/>
      <c r="B70" s="11">
        <f t="shared" si="3"/>
        <v>6</v>
      </c>
      <c r="C70" s="11" t="s">
        <v>148</v>
      </c>
      <c r="D70" s="11">
        <v>3</v>
      </c>
      <c r="E70" s="23"/>
      <c r="F70" s="11" t="str">
        <f>VLOOKUP($G70, SeanRanks26!$A$2:$H$303, 5, FALSE)</f>
        <v>Yes</v>
      </c>
      <c r="G70" s="11" t="s">
        <v>224</v>
      </c>
      <c r="H70" s="11" t="str">
        <f>VLOOKUP($G70, '26 ADP Data'!$C$4:$Q$298, 2, FALSE)</f>
        <v>WAS</v>
      </c>
      <c r="I70" s="11" t="str">
        <f>VLOOKUP(G70, '26 ADP Data'!$C$4:$R$496, 16, FALSE)</f>
        <v>QB</v>
      </c>
      <c r="J70" s="11" t="str">
        <f>VLOOKUP($G70, SeanRanks26!$A$2:$H$303, 6, FALSE)</f>
        <v>QB1 - 3 - Weekly Starter</v>
      </c>
      <c r="K70" s="11">
        <f>VLOOKUP($G70, SeanRanks26!$A$2:$H$303, 7, FALSE)</f>
        <v>4</v>
      </c>
      <c r="L70" s="11">
        <f t="shared" si="4"/>
        <v>6</v>
      </c>
      <c r="M70" s="11">
        <f>VLOOKUP($G70, '26 ADP Data'!$C$4:$Q$298, 10, FALSE)</f>
        <v>67</v>
      </c>
      <c r="N70" s="11">
        <f>VLOOKUP($G70, '26 ADP Data'!$C$4:$Q$298, 13, FALSE)</f>
        <v>70</v>
      </c>
      <c r="O70" s="11">
        <f t="shared" si="5"/>
        <v>-3</v>
      </c>
      <c r="P70" s="11">
        <f>VLOOKUP($G70, '26 ADP Data'!$C$4:$Q$298, 3, FALSE)</f>
        <v>66</v>
      </c>
      <c r="Q70" s="11">
        <f>VLOOKUP($G70, '26 ADP Data'!$C$4:$Q$298, 4, FALSE)</f>
        <v>47</v>
      </c>
      <c r="R70" s="11">
        <f>VLOOKUP($G70, '26 ADP Data'!$C$4:$Q$298, 6, FALSE)</f>
        <v>96</v>
      </c>
      <c r="S70" s="11">
        <f>VLOOKUP($G70, '26 ADP Data'!$C$4:$Q$298, 9, FALSE)</f>
        <v>69</v>
      </c>
      <c r="T70" s="11" t="str">
        <f>VLOOKUP($G70, '26 ADP Data'!$C$4:$Q$298, 8, FALSE)</f>
        <v>-</v>
      </c>
      <c r="U70" s="11">
        <f t="shared" si="6"/>
        <v>69</v>
      </c>
      <c r="V70" s="11">
        <f t="shared" si="7"/>
        <v>6</v>
      </c>
      <c r="W70" s="11"/>
      <c r="X70" s="11">
        <f>VLOOKUP($G70, SeanRanks26!$A$2:$K$303, 10, FALSE)-U70</f>
        <v>-2</v>
      </c>
      <c r="Y70" s="25" t="str">
        <f>IF(VLOOKUP($G70, SeanRanks26!$A$2:$H$303, 8, FALSE)=0, "", VLOOKUP($G70, SeanRanks26!$A$2:$H$303, 8, FALSE))</f>
        <v/>
      </c>
    </row>
    <row r="71" spans="1:25" ht="14.25" hidden="1" customHeight="1" x14ac:dyDescent="0.25">
      <c r="A71" s="11"/>
      <c r="B71" s="11">
        <f t="shared" si="3"/>
        <v>6</v>
      </c>
      <c r="C71" s="11" t="s">
        <v>148</v>
      </c>
      <c r="D71" s="11"/>
      <c r="E71" s="23"/>
      <c r="F71" s="11" t="str">
        <f>VLOOKUP($G71, SeanRanks26!$A$2:$H$303, 5, FALSE)</f>
        <v>Yes</v>
      </c>
      <c r="G71" s="11" t="s">
        <v>235</v>
      </c>
      <c r="H71" s="11" t="str">
        <f>VLOOKUP($G71, '26 ADP Data'!$C$4:$Q$298, 2, FALSE)</f>
        <v>PHI</v>
      </c>
      <c r="I71" s="11" t="str">
        <f>VLOOKUP(G71, '26 ADP Data'!$C$4:$R$496, 16, FALSE)</f>
        <v>QB</v>
      </c>
      <c r="J71" s="11" t="str">
        <f>VLOOKUP($G71, SeanRanks26!$A$2:$H$303, 6, FALSE)</f>
        <v>QB1 - 3 - Weekly Starter</v>
      </c>
      <c r="K71" s="11">
        <f>VLOOKUP($G71, SeanRanks26!$A$2:$H$303, 7, FALSE)</f>
        <v>6</v>
      </c>
      <c r="L71" s="11">
        <f t="shared" si="4"/>
        <v>6</v>
      </c>
      <c r="M71" s="11">
        <f>VLOOKUP($G71, '26 ADP Data'!$C$4:$Q$298, 10, FALSE)</f>
        <v>63</v>
      </c>
      <c r="N71" s="11">
        <f>VLOOKUP($G71, '26 ADP Data'!$C$4:$Q$298, 13, FALSE)</f>
        <v>72</v>
      </c>
      <c r="O71" s="11">
        <f t="shared" si="5"/>
        <v>-9</v>
      </c>
      <c r="P71" s="11">
        <f>VLOOKUP($G71, '26 ADP Data'!$C$4:$Q$298, 3, FALSE)</f>
        <v>62</v>
      </c>
      <c r="Q71" s="11">
        <f>VLOOKUP($G71, '26 ADP Data'!$C$4:$Q$298, 4, FALSE)</f>
        <v>52</v>
      </c>
      <c r="R71" s="11">
        <f>VLOOKUP($G71, '26 ADP Data'!$C$4:$Q$298, 6, FALSE)</f>
        <v>94</v>
      </c>
      <c r="S71" s="11">
        <f>VLOOKUP($G71, '26 ADP Data'!$C$4:$Q$298, 9, FALSE)</f>
        <v>61</v>
      </c>
      <c r="T71" s="11" t="str">
        <f>VLOOKUP($G71, '26 ADP Data'!$C$4:$Q$298, 8, FALSE)</f>
        <v>-</v>
      </c>
      <c r="U71" s="11">
        <f t="shared" si="6"/>
        <v>67</v>
      </c>
      <c r="V71" s="11">
        <f t="shared" si="7"/>
        <v>6</v>
      </c>
      <c r="W71" s="11"/>
      <c r="X71" s="11">
        <f>VLOOKUP($G71, SeanRanks26!$A$2:$K$303, 10, FALSE)-U71</f>
        <v>-4</v>
      </c>
      <c r="Y71" s="25" t="str">
        <f>IF(VLOOKUP($G71, SeanRanks26!$A$2:$H$303, 8, FALSE)=0, "", VLOOKUP($G71, SeanRanks26!$A$2:$H$303, 8, FALSE))</f>
        <v/>
      </c>
    </row>
    <row r="72" spans="1:25" ht="14.25" customHeight="1" x14ac:dyDescent="0.25">
      <c r="A72" s="11"/>
      <c r="B72" s="11">
        <f t="shared" si="3"/>
        <v>5</v>
      </c>
      <c r="C72" s="11" t="s">
        <v>148</v>
      </c>
      <c r="D72" s="11">
        <v>2</v>
      </c>
      <c r="E72" s="23"/>
      <c r="F72" s="11">
        <f>VLOOKUP($G72, SeanRanks26!$A$2:$H$303, 5, FALSE)</f>
        <v>0</v>
      </c>
      <c r="G72" s="11" t="s">
        <v>181</v>
      </c>
      <c r="H72" s="11" t="str">
        <f>VLOOKUP($G72, '26 ADP Data'!$C$4:$Q$298, 2, FALSE)</f>
        <v>CHI</v>
      </c>
      <c r="I72" s="11" t="str">
        <f>VLOOKUP(G72, '26 ADP Data'!$C$4:$R$496, 16, FALSE)</f>
        <v>WR</v>
      </c>
      <c r="J72" s="11" t="str">
        <f>VLOOKUP($G72, SeanRanks26!$A$2:$H$303, 6, FALSE)</f>
        <v>WR3 - 1 - Clear path to WR2</v>
      </c>
      <c r="K72" s="11">
        <f>VLOOKUP($G72, SeanRanks26!$A$2:$H$303, 7, FALSE)</f>
        <v>30</v>
      </c>
      <c r="L72" s="11">
        <f t="shared" si="4"/>
        <v>4</v>
      </c>
      <c r="M72" s="11">
        <f>VLOOKUP($G72, '26 ADP Data'!$C$4:$Q$298, 10, FALSE)</f>
        <v>44</v>
      </c>
      <c r="N72" s="11">
        <f>VLOOKUP($G72, '26 ADP Data'!$C$4:$Q$298, 13, FALSE)</f>
        <v>43</v>
      </c>
      <c r="O72" s="11">
        <f t="shared" si="5"/>
        <v>1</v>
      </c>
      <c r="P72" s="11">
        <f>VLOOKUP($G72, '26 ADP Data'!$C$4:$Q$298, 3, FALSE)</f>
        <v>58</v>
      </c>
      <c r="Q72" s="11">
        <f>VLOOKUP($G72, '26 ADP Data'!$C$4:$Q$298, 4, FALSE)</f>
        <v>65</v>
      </c>
      <c r="R72" s="11">
        <f>VLOOKUP($G72, '26 ADP Data'!$C$4:$Q$298, 6, FALSE)</f>
        <v>48</v>
      </c>
      <c r="S72" s="11">
        <f>VLOOKUP($G72, '26 ADP Data'!$C$4:$Q$298, 9, FALSE)</f>
        <v>60</v>
      </c>
      <c r="T72" s="11" t="str">
        <f>VLOOKUP($G72, '26 ADP Data'!$C$4:$Q$298, 8, FALSE)</f>
        <v>-</v>
      </c>
      <c r="U72" s="11">
        <f t="shared" si="6"/>
        <v>53</v>
      </c>
      <c r="V72" s="11">
        <f t="shared" si="7"/>
        <v>5</v>
      </c>
      <c r="W72" s="11"/>
      <c r="X72" s="11">
        <f>VLOOKUP($G72, SeanRanks26!$A$2:$K$303, 10, FALSE)-U72</f>
        <v>-9</v>
      </c>
      <c r="Y72" s="25" t="str">
        <f>IF(VLOOKUP($G72, SeanRanks26!$A$2:$H$303, 8, FALSE)=0, "", VLOOKUP($G72, SeanRanks26!$A$2:$H$303, 8, FALSE))</f>
        <v>2025 R2</v>
      </c>
    </row>
    <row r="73" spans="1:25" ht="14.25" customHeight="1" x14ac:dyDescent="0.25">
      <c r="A73" s="11"/>
      <c r="B73" s="11">
        <f t="shared" si="3"/>
        <v>8</v>
      </c>
      <c r="C73" s="11" t="s">
        <v>148</v>
      </c>
      <c r="D73" s="11"/>
      <c r="E73" s="23"/>
      <c r="F73" s="11" t="str">
        <f>VLOOKUP($G73, SeanRanks26!$A$2:$H$303, 5, FALSE)</f>
        <v>Yes</v>
      </c>
      <c r="G73" s="11" t="s">
        <v>286</v>
      </c>
      <c r="H73" s="11" t="str">
        <f>VLOOKUP($G73, '26 ADP Data'!$C$4:$Q$298, 2, FALSE)</f>
        <v>IND</v>
      </c>
      <c r="I73" s="11" t="str">
        <f>VLOOKUP(G73, '26 ADP Data'!$C$4:$R$496, 16, FALSE)</f>
        <v>WR</v>
      </c>
      <c r="J73" s="11" t="str">
        <f>VLOOKUP($G73, SeanRanks26!$A$2:$H$303, 6, FALSE)</f>
        <v>WR3 - 1 - Clear path to WR2</v>
      </c>
      <c r="K73" s="11">
        <f>VLOOKUP($G73, SeanRanks26!$A$2:$H$303, 7, FALSE)</f>
        <v>31</v>
      </c>
      <c r="L73" s="11">
        <f t="shared" si="4"/>
        <v>9</v>
      </c>
      <c r="M73" s="11">
        <f>VLOOKUP($G73, '26 ADP Data'!$C$4:$Q$298, 10, FALSE)</f>
        <v>96</v>
      </c>
      <c r="N73" s="11">
        <f>VLOOKUP($G73, '26 ADP Data'!$C$4:$Q$298, 13, FALSE)</f>
        <v>93</v>
      </c>
      <c r="O73" s="11">
        <f t="shared" si="5"/>
        <v>3</v>
      </c>
      <c r="P73" s="11">
        <f>VLOOKUP($G73, '26 ADP Data'!$C$4:$Q$298, 3, FALSE)</f>
        <v>80</v>
      </c>
      <c r="Q73" s="11">
        <f>VLOOKUP($G73, '26 ADP Data'!$C$4:$Q$298, 4, FALSE)</f>
        <v>97</v>
      </c>
      <c r="R73" s="11">
        <f>VLOOKUP($G73, '26 ADP Data'!$C$4:$Q$298, 6, FALSE)</f>
        <v>104</v>
      </c>
      <c r="S73" s="11">
        <f>VLOOKUP($G73, '26 ADP Data'!$C$4:$Q$298, 9, FALSE)</f>
        <v>94</v>
      </c>
      <c r="T73" s="11" t="str">
        <f>VLOOKUP($G73, '26 ADP Data'!$C$4:$Q$298, 8, FALSE)</f>
        <v>-</v>
      </c>
      <c r="U73" s="11">
        <f t="shared" si="6"/>
        <v>94</v>
      </c>
      <c r="V73" s="11">
        <f t="shared" si="7"/>
        <v>8</v>
      </c>
      <c r="W73" s="11"/>
      <c r="X73" s="11">
        <f>VLOOKUP($G73, SeanRanks26!$A$2:$K$303, 10, FALSE)-U73</f>
        <v>2</v>
      </c>
      <c r="Y73" s="25" t="str">
        <f>IF(VLOOKUP($G73, SeanRanks26!$A$2:$H$303, 8, FALSE)=0, "", VLOOKUP($G73, SeanRanks26!$A$2:$H$303, 8, FALSE))</f>
        <v>Ankle injury.  Verify before draft</v>
      </c>
    </row>
    <row r="74" spans="1:25" ht="14.25" hidden="1" customHeight="1" x14ac:dyDescent="0.25">
      <c r="A74" s="11"/>
      <c r="B74" s="11">
        <f t="shared" si="3"/>
        <v>6</v>
      </c>
      <c r="C74" s="11" t="s">
        <v>148</v>
      </c>
      <c r="D74" s="11"/>
      <c r="E74" s="23"/>
      <c r="F74" s="11">
        <f>VLOOKUP($G74, SeanRanks26!$A$2:$H$303, 5, FALSE)</f>
        <v>0</v>
      </c>
      <c r="G74" s="11" t="s">
        <v>222</v>
      </c>
      <c r="H74" s="11" t="str">
        <f>VLOOKUP($G74, '26 ADP Data'!$C$4:$Q$298, 2, FALSE)</f>
        <v>NE</v>
      </c>
      <c r="I74" s="11" t="str">
        <f>VLOOKUP(G74, '26 ADP Data'!$C$4:$R$496, 16, FALSE)</f>
        <v>RB</v>
      </c>
      <c r="J74" s="11" t="str">
        <f>VLOOKUP($G74, SeanRanks26!$A$2:$H$303, 6, FALSE)</f>
        <v>RB3</v>
      </c>
      <c r="K74" s="11">
        <f>VLOOKUP($G74, SeanRanks26!$A$2:$H$303, 7, FALSE)</f>
        <v>33</v>
      </c>
      <c r="L74" s="11">
        <f t="shared" si="4"/>
        <v>6</v>
      </c>
      <c r="M74" s="11">
        <f>VLOOKUP($G74, '26 ADP Data'!$C$4:$Q$298, 10, FALSE)</f>
        <v>62</v>
      </c>
      <c r="N74" s="11">
        <f>VLOOKUP($G74, '26 ADP Data'!$C$4:$Q$298, 13, FALSE)</f>
        <v>67</v>
      </c>
      <c r="O74" s="11">
        <f t="shared" si="5"/>
        <v>-5</v>
      </c>
      <c r="P74" s="11">
        <f>VLOOKUP($G74, '26 ADP Data'!$C$4:$Q$298, 3, FALSE)</f>
        <v>64</v>
      </c>
      <c r="Q74" s="11">
        <f>VLOOKUP($G74, '26 ADP Data'!$C$4:$Q$298, 4, FALSE)</f>
        <v>67</v>
      </c>
      <c r="R74" s="11">
        <f>VLOOKUP($G74, '26 ADP Data'!$C$4:$Q$298, 6, FALSE)</f>
        <v>61</v>
      </c>
      <c r="S74" s="11">
        <f>VLOOKUP($G74, '26 ADP Data'!$C$4:$Q$298, 9, FALSE)</f>
        <v>71</v>
      </c>
      <c r="T74" s="11" t="str">
        <f>VLOOKUP($G74, '26 ADP Data'!$C$4:$Q$298, 8, FALSE)</f>
        <v>-</v>
      </c>
      <c r="U74" s="11">
        <f t="shared" si="6"/>
        <v>65</v>
      </c>
      <c r="V74" s="11">
        <f t="shared" si="7"/>
        <v>6</v>
      </c>
      <c r="W74" s="11"/>
      <c r="X74" s="11">
        <f>VLOOKUP($G74, SeanRanks26!$A$2:$K$303, 10, FALSE)-U74</f>
        <v>-3</v>
      </c>
      <c r="Y74" s="25" t="str">
        <f>IF(VLOOKUP($G74, SeanRanks26!$A$2:$H$303, 8, FALSE)=0, "", VLOOKUP($G74, SeanRanks26!$A$2:$H$303, 8, FALSE))</f>
        <v/>
      </c>
    </row>
    <row r="75" spans="1:25" ht="14.25" hidden="1" customHeight="1" x14ac:dyDescent="0.25">
      <c r="A75" s="11"/>
      <c r="B75" s="11">
        <f t="shared" si="3"/>
        <v>6</v>
      </c>
      <c r="C75" s="11" t="s">
        <v>148</v>
      </c>
      <c r="D75" s="11"/>
      <c r="E75" s="23"/>
      <c r="F75" s="11">
        <f>VLOOKUP($G75, SeanRanks26!$A$2:$H$303, 5, FALSE)</f>
        <v>0</v>
      </c>
      <c r="G75" s="11" t="s">
        <v>237</v>
      </c>
      <c r="H75" s="11" t="str">
        <f>VLOOKUP($G75, '26 ADP Data'!$C$4:$Q$298, 2, FALSE)</f>
        <v>GB</v>
      </c>
      <c r="I75" s="11" t="str">
        <f>VLOOKUP(G75, '26 ADP Data'!$C$4:$R$496, 16, FALSE)</f>
        <v>TE</v>
      </c>
      <c r="J75" s="11" t="str">
        <f>VLOOKUP($G75, SeanRanks26!$A$2:$H$303, 6, FALSE)</f>
        <v>TE1 - 3 - Weekly starter</v>
      </c>
      <c r="K75" s="11">
        <f>VLOOKUP($G75, SeanRanks26!$A$2:$H$303, 7, FALSE)</f>
        <v>5</v>
      </c>
      <c r="L75" s="11">
        <f t="shared" si="4"/>
        <v>6</v>
      </c>
      <c r="M75" s="11">
        <f>VLOOKUP($G75, '26 ADP Data'!$C$4:$Q$298, 10, FALSE)</f>
        <v>66</v>
      </c>
      <c r="N75" s="11">
        <f>VLOOKUP($G75, '26 ADP Data'!$C$4:$Q$298, 13, FALSE)</f>
        <v>76</v>
      </c>
      <c r="O75" s="11">
        <f t="shared" si="5"/>
        <v>-10</v>
      </c>
      <c r="P75" s="11">
        <f>VLOOKUP($G75, '26 ADP Data'!$C$4:$Q$298, 3, FALSE)</f>
        <v>69</v>
      </c>
      <c r="Q75" s="11">
        <f>VLOOKUP($G75, '26 ADP Data'!$C$4:$Q$298, 4, FALSE)</f>
        <v>83</v>
      </c>
      <c r="R75" s="11">
        <f>VLOOKUP($G75, '26 ADP Data'!$C$4:$Q$298, 6, FALSE)</f>
        <v>58</v>
      </c>
      <c r="S75" s="11">
        <f>VLOOKUP($G75, '26 ADP Data'!$C$4:$Q$298, 9, FALSE)</f>
        <v>66</v>
      </c>
      <c r="T75" s="11" t="str">
        <f>VLOOKUP($G75, '26 ADP Data'!$C$4:$Q$298, 8, FALSE)</f>
        <v>-</v>
      </c>
      <c r="U75" s="11">
        <f t="shared" si="6"/>
        <v>69</v>
      </c>
      <c r="V75" s="11">
        <f t="shared" si="7"/>
        <v>6</v>
      </c>
      <c r="W75" s="11"/>
      <c r="X75" s="11">
        <f>VLOOKUP($G75, SeanRanks26!$A$2:$K$303, 10, FALSE)-U75</f>
        <v>-3</v>
      </c>
      <c r="Y75" s="25" t="str">
        <f>IF(VLOOKUP($G75, SeanRanks26!$A$2:$H$303, 8, FALSE)=0, "", VLOOKUP($G75, SeanRanks26!$A$2:$H$303, 8, FALSE))</f>
        <v/>
      </c>
    </row>
    <row r="76" spans="1:25" ht="14.25" hidden="1" customHeight="1" x14ac:dyDescent="0.25">
      <c r="A76" s="11"/>
      <c r="B76" s="11">
        <f t="shared" si="3"/>
        <v>6</v>
      </c>
      <c r="C76" s="11" t="s">
        <v>148</v>
      </c>
      <c r="D76" s="11"/>
      <c r="E76" s="23"/>
      <c r="F76" s="11">
        <f>VLOOKUP($G76, SeanRanks26!$A$2:$H$303, 5, FALSE)</f>
        <v>0</v>
      </c>
      <c r="G76" s="11" t="s">
        <v>246</v>
      </c>
      <c r="H76" s="11" t="str">
        <f>VLOOKUP($G76, '26 ADP Data'!$C$4:$Q$298, 2, FALSE)</f>
        <v>DET</v>
      </c>
      <c r="I76" s="11" t="str">
        <f>VLOOKUP(G76, '26 ADP Data'!$C$4:$R$496, 16, FALSE)</f>
        <v>TE</v>
      </c>
      <c r="J76" s="11" t="str">
        <f>VLOOKUP($G76, SeanRanks26!$A$2:$H$303, 6, FALSE)</f>
        <v>TE1 - 3 - Weekly starter</v>
      </c>
      <c r="K76" s="11">
        <f>VLOOKUP($G76, SeanRanks26!$A$2:$H$303, 7, FALSE)</f>
        <v>8</v>
      </c>
      <c r="L76" s="11">
        <f t="shared" si="4"/>
        <v>6</v>
      </c>
      <c r="M76" s="11">
        <f>VLOOKUP($G76, '26 ADP Data'!$C$4:$Q$298, 10, FALSE)</f>
        <v>70</v>
      </c>
      <c r="N76" s="11">
        <f>VLOOKUP($G76, '26 ADP Data'!$C$4:$Q$298, 13, FALSE)</f>
        <v>90</v>
      </c>
      <c r="O76" s="11">
        <f t="shared" si="5"/>
        <v>-20</v>
      </c>
      <c r="P76" s="11">
        <f>VLOOKUP($G76, '26 ADP Data'!$C$4:$Q$298, 3, FALSE)</f>
        <v>65</v>
      </c>
      <c r="Q76" s="11">
        <f>VLOOKUP($G76, '26 ADP Data'!$C$4:$Q$298, 4, FALSE)</f>
        <v>66</v>
      </c>
      <c r="R76" s="11">
        <f>VLOOKUP($G76, '26 ADP Data'!$C$4:$Q$298, 6, FALSE)</f>
        <v>65</v>
      </c>
      <c r="S76" s="11">
        <f>VLOOKUP($G76, '26 ADP Data'!$C$4:$Q$298, 9, FALSE)</f>
        <v>64</v>
      </c>
      <c r="T76" s="11" t="str">
        <f>VLOOKUP($G76, '26 ADP Data'!$C$4:$Q$298, 8, FALSE)</f>
        <v>-</v>
      </c>
      <c r="U76" s="11">
        <f t="shared" si="6"/>
        <v>70</v>
      </c>
      <c r="V76" s="11">
        <f t="shared" si="7"/>
        <v>6</v>
      </c>
      <c r="W76" s="11"/>
      <c r="X76" s="11">
        <f>VLOOKUP($G76, SeanRanks26!$A$2:$K$303, 10, FALSE)-U76</f>
        <v>0</v>
      </c>
      <c r="Y76" s="25" t="s">
        <v>517</v>
      </c>
    </row>
    <row r="77" spans="1:25" ht="14.25" customHeight="1" x14ac:dyDescent="0.25">
      <c r="A77" s="11"/>
      <c r="B77" s="11">
        <f t="shared" si="3"/>
        <v>5</v>
      </c>
      <c r="C77" s="11" t="s">
        <v>148</v>
      </c>
      <c r="D77" s="11"/>
      <c r="E77" s="23"/>
      <c r="F77" s="11">
        <f>VLOOKUP($G77, SeanRanks26!$A$2:$H$303, 5, FALSE)</f>
        <v>0</v>
      </c>
      <c r="G77" s="11" t="s">
        <v>176</v>
      </c>
      <c r="H77" s="11" t="str">
        <f>VLOOKUP($G77, '26 ADP Data'!$C$4:$Q$298, 2, FALSE)</f>
        <v>BUF</v>
      </c>
      <c r="I77" s="11" t="str">
        <f>VLOOKUP(G77, '26 ADP Data'!$C$4:$R$496, 16, FALSE)</f>
        <v>WR</v>
      </c>
      <c r="J77" s="11" t="str">
        <f>VLOOKUP($G77, SeanRanks26!$A$2:$H$303, 6, FALSE)</f>
        <v>WR3 - 1 - Clear path to WR2</v>
      </c>
      <c r="K77" s="11">
        <f>VLOOKUP($G77, SeanRanks26!$A$2:$H$303, 7, FALSE)</f>
        <v>32</v>
      </c>
      <c r="L77" s="11">
        <f t="shared" si="4"/>
        <v>4</v>
      </c>
      <c r="M77" s="11">
        <f>VLOOKUP($G77, '26 ADP Data'!$C$4:$Q$298, 10, FALSE)</f>
        <v>45</v>
      </c>
      <c r="N77" s="11">
        <f>VLOOKUP($G77, '26 ADP Data'!$C$4:$Q$298, 13, FALSE)</f>
        <v>53</v>
      </c>
      <c r="O77" s="11">
        <f t="shared" si="5"/>
        <v>-8</v>
      </c>
      <c r="P77" s="11">
        <f>VLOOKUP($G77, '26 ADP Data'!$C$4:$Q$298, 3, FALSE)</f>
        <v>49</v>
      </c>
      <c r="Q77" s="11">
        <f>VLOOKUP($G77, '26 ADP Data'!$C$4:$Q$298, 4, FALSE)</f>
        <v>54</v>
      </c>
      <c r="R77" s="11">
        <f>VLOOKUP($G77, '26 ADP Data'!$C$4:$Q$298, 6, FALSE)</f>
        <v>46</v>
      </c>
      <c r="S77" s="11">
        <f>VLOOKUP($G77, '26 ADP Data'!$C$4:$Q$298, 9, FALSE)</f>
        <v>52</v>
      </c>
      <c r="T77" s="11" t="str">
        <f>VLOOKUP($G77, '26 ADP Data'!$C$4:$Q$298, 8, FALSE)</f>
        <v>-</v>
      </c>
      <c r="U77" s="11">
        <f t="shared" si="6"/>
        <v>49</v>
      </c>
      <c r="V77" s="11">
        <f t="shared" si="7"/>
        <v>5</v>
      </c>
      <c r="W77" s="11"/>
      <c r="X77" s="11">
        <f>VLOOKUP($G77, SeanRanks26!$A$2:$K$303, 10, FALSE)-U77</f>
        <v>-4</v>
      </c>
      <c r="Y77" s="25" t="str">
        <f>IF(VLOOKUP($G77, SeanRanks26!$A$2:$H$303, 8, FALSE)=0, "", VLOOKUP($G77, SeanRanks26!$A$2:$H$303, 8, FALSE))</f>
        <v/>
      </c>
    </row>
    <row r="78" spans="1:25" ht="14.25" hidden="1" customHeight="1" x14ac:dyDescent="0.25">
      <c r="A78" s="11"/>
      <c r="B78" s="11">
        <f t="shared" si="3"/>
        <v>6</v>
      </c>
      <c r="C78" s="11" t="s">
        <v>148</v>
      </c>
      <c r="D78" s="11"/>
      <c r="E78" s="23"/>
      <c r="F78" s="11">
        <f>VLOOKUP($G78, SeanRanks26!$A$2:$H$303, 5, FALSE)</f>
        <v>0</v>
      </c>
      <c r="G78" s="11" t="s">
        <v>231</v>
      </c>
      <c r="H78" s="11" t="str">
        <f>VLOOKUP($G78, '26 ADP Data'!$C$4:$Q$298, 2, FALSE)</f>
        <v>PIT</v>
      </c>
      <c r="I78" s="11" t="str">
        <f>VLOOKUP(G78, '26 ADP Data'!$C$4:$R$496, 16, FALSE)</f>
        <v>RB</v>
      </c>
      <c r="J78" s="11" t="str">
        <f>VLOOKUP($G78, SeanRanks26!$A$2:$H$303, 6, FALSE)</f>
        <v>RB3</v>
      </c>
      <c r="K78" s="11">
        <f>VLOOKUP($G78, SeanRanks26!$A$2:$H$303, 7, FALSE)</f>
        <v>34</v>
      </c>
      <c r="L78" s="11">
        <f t="shared" si="4"/>
        <v>6</v>
      </c>
      <c r="M78" s="11">
        <f>VLOOKUP($G78, '26 ADP Data'!$C$4:$Q$298, 10, FALSE)</f>
        <v>69</v>
      </c>
      <c r="N78" s="11">
        <f>VLOOKUP($G78, '26 ADP Data'!$C$4:$Q$298, 13, FALSE)</f>
        <v>69</v>
      </c>
      <c r="O78" s="11">
        <f t="shared" si="5"/>
        <v>0</v>
      </c>
      <c r="P78" s="11">
        <f>VLOOKUP($G78, '26 ADP Data'!$C$4:$Q$298, 3, FALSE)</f>
        <v>75</v>
      </c>
      <c r="Q78" s="11">
        <f>VLOOKUP($G78, '26 ADP Data'!$C$4:$Q$298, 4, FALSE)</f>
        <v>76</v>
      </c>
      <c r="R78" s="11">
        <f>VLOOKUP($G78, '26 ADP Data'!$C$4:$Q$298, 6, FALSE)</f>
        <v>67</v>
      </c>
      <c r="S78" s="11">
        <f>VLOOKUP($G78, '26 ADP Data'!$C$4:$Q$298, 9, FALSE)</f>
        <v>67</v>
      </c>
      <c r="T78" s="11" t="str">
        <f>VLOOKUP($G78, '26 ADP Data'!$C$4:$Q$298, 8, FALSE)</f>
        <v>-</v>
      </c>
      <c r="U78" s="11">
        <f t="shared" si="6"/>
        <v>70</v>
      </c>
      <c r="V78" s="11">
        <f t="shared" si="7"/>
        <v>6</v>
      </c>
      <c r="W78" s="11"/>
      <c r="X78" s="11">
        <f>VLOOKUP($G78, SeanRanks26!$A$2:$K$303, 10, FALSE)-U78</f>
        <v>-1</v>
      </c>
      <c r="Y78" s="25" t="s">
        <v>780</v>
      </c>
    </row>
    <row r="79" spans="1:25" ht="14.25" hidden="1" customHeight="1" x14ac:dyDescent="0.25">
      <c r="A79" s="11"/>
      <c r="B79" s="11">
        <f t="shared" si="3"/>
        <v>6</v>
      </c>
      <c r="C79" s="11" t="s">
        <v>148</v>
      </c>
      <c r="D79" s="11"/>
      <c r="E79" s="23"/>
      <c r="F79" s="11" t="str">
        <f>VLOOKUP($G79, SeanRanks26!$A$2:$H$303, 5, FALSE)</f>
        <v>Yes</v>
      </c>
      <c r="G79" s="11" t="s">
        <v>250</v>
      </c>
      <c r="H79" s="11" t="str">
        <f>VLOOKUP($G79, '26 ADP Data'!$C$4:$Q$298, 2, FALSE)</f>
        <v>ATL</v>
      </c>
      <c r="I79" s="11" t="str">
        <f>VLOOKUP(G79, '26 ADP Data'!$C$4:$R$496, 16, FALSE)</f>
        <v>TE</v>
      </c>
      <c r="J79" s="11" t="str">
        <f>VLOOKUP($G79, SeanRanks26!$A$2:$H$303, 6, FALSE)</f>
        <v>TE1 - 3 - Weekly starter</v>
      </c>
      <c r="K79" s="11">
        <f>VLOOKUP($G79, SeanRanks26!$A$2:$H$303, 7, FALSE)</f>
        <v>7</v>
      </c>
      <c r="L79" s="11">
        <f t="shared" si="4"/>
        <v>7</v>
      </c>
      <c r="M79" s="11">
        <f>VLOOKUP($G79, '26 ADP Data'!$C$4:$Q$298, 10, FALSE)</f>
        <v>79</v>
      </c>
      <c r="N79" s="11">
        <f>VLOOKUP($G79, '26 ADP Data'!$C$4:$Q$298, 13, FALSE)</f>
        <v>101</v>
      </c>
      <c r="O79" s="11">
        <f t="shared" si="5"/>
        <v>-22</v>
      </c>
      <c r="P79" s="11">
        <f>VLOOKUP($G79, '26 ADP Data'!$C$4:$Q$298, 3, FALSE)</f>
        <v>74</v>
      </c>
      <c r="Q79" s="11">
        <f>VLOOKUP($G79, '26 ADP Data'!$C$4:$Q$298, 4, FALSE)</f>
        <v>61</v>
      </c>
      <c r="R79" s="11">
        <f>VLOOKUP($G79, '26 ADP Data'!$C$4:$Q$298, 6, FALSE)</f>
        <v>63</v>
      </c>
      <c r="S79" s="11">
        <f>VLOOKUP($G79, '26 ADP Data'!$C$4:$Q$298, 9, FALSE)</f>
        <v>72</v>
      </c>
      <c r="T79" s="11" t="str">
        <f>VLOOKUP($G79, '26 ADP Data'!$C$4:$Q$298, 8, FALSE)</f>
        <v>-</v>
      </c>
      <c r="U79" s="11">
        <f t="shared" si="6"/>
        <v>75</v>
      </c>
      <c r="V79" s="11">
        <f t="shared" si="7"/>
        <v>7</v>
      </c>
      <c r="W79" s="11"/>
      <c r="X79" s="11">
        <f>VLOOKUP($G79, SeanRanks26!$A$2:$K$303, 10, FALSE)-U79</f>
        <v>4</v>
      </c>
      <c r="Y79" s="25" t="str">
        <f>IF(VLOOKUP($G79, SeanRanks26!$A$2:$H$303, 8, FALSE)=0, "", VLOOKUP($G79, SeanRanks26!$A$2:$H$303, 8, FALSE))</f>
        <v/>
      </c>
    </row>
    <row r="80" spans="1:25" ht="14.25" customHeight="1" x14ac:dyDescent="0.25">
      <c r="A80" s="11"/>
      <c r="B80" s="11">
        <f t="shared" si="3"/>
        <v>10</v>
      </c>
      <c r="C80" s="11" t="s">
        <v>148</v>
      </c>
      <c r="D80" s="11"/>
      <c r="E80" s="23"/>
      <c r="F80" s="11" t="str">
        <f>VLOOKUP($G80, SeanRanks26!$A$2:$H$303, 5, FALSE)</f>
        <v>Yes</v>
      </c>
      <c r="G80" s="11" t="s">
        <v>314</v>
      </c>
      <c r="H80" s="11" t="str">
        <f>VLOOKUP($G80, '26 ADP Data'!$C$4:$Q$298, 2, FALSE)</f>
        <v>SF</v>
      </c>
      <c r="I80" s="11" t="str">
        <f>VLOOKUP(G80, '26 ADP Data'!$C$4:$R$496, 16, FALSE)</f>
        <v>WR</v>
      </c>
      <c r="J80" s="11" t="str">
        <f>VLOOKUP($G80, SeanRanks26!$A$2:$H$303, 6, FALSE)</f>
        <v>WR3 - 1 - Clear path to WR2</v>
      </c>
      <c r="K80" s="11">
        <f>VLOOKUP($G80, SeanRanks26!$A$2:$H$303, 7, FALSE)</f>
        <v>33</v>
      </c>
      <c r="L80" s="11">
        <f t="shared" si="4"/>
        <v>8</v>
      </c>
      <c r="M80" s="11">
        <f>VLOOKUP($G80, '26 ADP Data'!$C$4:$Q$298, 10, FALSE)</f>
        <v>93</v>
      </c>
      <c r="N80" s="11">
        <f>VLOOKUP($G80, '26 ADP Data'!$C$4:$Q$298, 13, FALSE)</f>
        <v>109</v>
      </c>
      <c r="O80" s="11">
        <f t="shared" si="5"/>
        <v>-16</v>
      </c>
      <c r="P80" s="11">
        <f>VLOOKUP($G80, '26 ADP Data'!$C$4:$Q$298, 3, FALSE)</f>
        <v>115</v>
      </c>
      <c r="Q80" s="11">
        <f>VLOOKUP($G80, '26 ADP Data'!$C$4:$Q$298, 4, FALSE)</f>
        <v>134</v>
      </c>
      <c r="R80" s="11">
        <f>VLOOKUP($G80, '26 ADP Data'!$C$4:$Q$298, 6, FALSE)</f>
        <v>88</v>
      </c>
      <c r="S80" s="11">
        <f>VLOOKUP($G80, '26 ADP Data'!$C$4:$Q$298, 9, FALSE)</f>
        <v>116</v>
      </c>
      <c r="T80" s="11" t="str">
        <f>VLOOKUP($G80, '26 ADP Data'!$C$4:$Q$298, 8, FALSE)</f>
        <v>-</v>
      </c>
      <c r="U80" s="11">
        <f t="shared" si="6"/>
        <v>109</v>
      </c>
      <c r="V80" s="11">
        <f t="shared" si="7"/>
        <v>10</v>
      </c>
      <c r="W80" s="11"/>
      <c r="X80" s="11">
        <f>VLOOKUP($G80, SeanRanks26!$A$2:$K$303, 10, FALSE)-U80</f>
        <v>-16</v>
      </c>
      <c r="Y80" s="25" t="str">
        <f>IF(VLOOKUP($G80, SeanRanks26!$A$2:$H$303, 8, FALSE)=0, "", VLOOKUP($G80, SeanRanks26!$A$2:$H$303, 8, FALSE))</f>
        <v>Rookie R2 Ole Miss. FFB My Guy</v>
      </c>
    </row>
    <row r="81" spans="1:25" ht="14.25" hidden="1" customHeight="1" x14ac:dyDescent="0.25">
      <c r="A81" s="11"/>
      <c r="B81" s="11">
        <f t="shared" si="3"/>
        <v>6</v>
      </c>
      <c r="C81" s="11" t="s">
        <v>148</v>
      </c>
      <c r="D81" s="11"/>
      <c r="E81" s="23"/>
      <c r="F81" s="11">
        <f>VLOOKUP($G81, SeanRanks26!$A$2:$H$303, 5, FALSE)</f>
        <v>0</v>
      </c>
      <c r="G81" s="11" t="s">
        <v>256</v>
      </c>
      <c r="H81" s="11" t="str">
        <f>VLOOKUP($G81, '26 ADP Data'!$C$4:$Q$298, 2, FALSE)</f>
        <v>CLE</v>
      </c>
      <c r="I81" s="11" t="str">
        <f>VLOOKUP(G81, '26 ADP Data'!$C$4:$R$496, 16, FALSE)</f>
        <v>TE</v>
      </c>
      <c r="J81" s="11" t="str">
        <f>VLOOKUP($G81, SeanRanks26!$A$2:$H$303, 6, FALSE)</f>
        <v>TE1 - 3 - Weekly starter</v>
      </c>
      <c r="K81" s="11">
        <f>VLOOKUP($G81, SeanRanks26!$A$2:$H$303, 7, FALSE)</f>
        <v>6</v>
      </c>
      <c r="L81" s="11">
        <f t="shared" si="4"/>
        <v>7</v>
      </c>
      <c r="M81" s="11">
        <f>VLOOKUP($G81, '26 ADP Data'!$C$4:$Q$298, 10, FALSE)</f>
        <v>78</v>
      </c>
      <c r="N81" s="11">
        <f>VLOOKUP($G81, '26 ADP Data'!$C$4:$Q$298, 13, FALSE)</f>
        <v>105</v>
      </c>
      <c r="O81" s="11">
        <f t="shared" si="5"/>
        <v>-27</v>
      </c>
      <c r="P81" s="11">
        <f>VLOOKUP($G81, '26 ADP Data'!$C$4:$Q$298, 3, FALSE)</f>
        <v>63</v>
      </c>
      <c r="Q81" s="11">
        <f>VLOOKUP($G81, '26 ADP Data'!$C$4:$Q$298, 4, FALSE)</f>
        <v>63</v>
      </c>
      <c r="R81" s="11">
        <f>VLOOKUP($G81, '26 ADP Data'!$C$4:$Q$298, 6, FALSE)</f>
        <v>62</v>
      </c>
      <c r="S81" s="11">
        <f>VLOOKUP($G81, '26 ADP Data'!$C$4:$Q$298, 9, FALSE)</f>
        <v>76</v>
      </c>
      <c r="T81" s="11" t="str">
        <f>VLOOKUP($G81, '26 ADP Data'!$C$4:$Q$298, 8, FALSE)</f>
        <v>-</v>
      </c>
      <c r="U81" s="11">
        <f t="shared" si="6"/>
        <v>74</v>
      </c>
      <c r="V81" s="11">
        <f t="shared" si="7"/>
        <v>7</v>
      </c>
      <c r="W81" s="11"/>
      <c r="X81" s="11">
        <f>VLOOKUP($G81, SeanRanks26!$A$2:$K$303, 10, FALSE)-U81</f>
        <v>4</v>
      </c>
      <c r="Y81" s="25" t="str">
        <f>IF(VLOOKUP($G81, SeanRanks26!$A$2:$H$303, 8, FALSE)=0, "", VLOOKUP($G81, SeanRanks26!$A$2:$H$303, 8, FALSE))</f>
        <v/>
      </c>
    </row>
    <row r="82" spans="1:25" ht="14.25" hidden="1" customHeight="1" x14ac:dyDescent="0.25">
      <c r="A82" s="11"/>
      <c r="B82" s="11">
        <f t="shared" si="3"/>
        <v>7</v>
      </c>
      <c r="C82" s="11" t="s">
        <v>148</v>
      </c>
      <c r="D82" s="11"/>
      <c r="E82" s="23"/>
      <c r="F82" s="11">
        <f>VLOOKUP($G82, SeanRanks26!$A$2:$H$303, 5, FALSE)</f>
        <v>0</v>
      </c>
      <c r="G82" s="11" t="s">
        <v>241</v>
      </c>
      <c r="H82" s="11" t="str">
        <f>VLOOKUP($G82, '26 ADP Data'!$C$4:$Q$298, 2, FALSE)</f>
        <v>CHI</v>
      </c>
      <c r="I82" s="11" t="str">
        <f>VLOOKUP(G82, '26 ADP Data'!$C$4:$R$496, 16, FALSE)</f>
        <v>QB</v>
      </c>
      <c r="J82" s="11" t="str">
        <f>VLOOKUP($G82, SeanRanks26!$A$2:$H$303, 6, FALSE)</f>
        <v>QB1 - 4 - Lower Floor</v>
      </c>
      <c r="K82" s="11">
        <f>VLOOKUP($G82, SeanRanks26!$A$2:$H$303, 7, FALSE)</f>
        <v>7</v>
      </c>
      <c r="L82" s="11">
        <f t="shared" si="4"/>
        <v>7</v>
      </c>
      <c r="M82" s="11">
        <f>VLOOKUP($G82, '26 ADP Data'!$C$4:$Q$298, 10, FALSE)</f>
        <v>72</v>
      </c>
      <c r="N82" s="11">
        <f>VLOOKUP($G82, '26 ADP Data'!$C$4:$Q$298, 13, FALSE)</f>
        <v>73</v>
      </c>
      <c r="O82" s="11">
        <f t="shared" si="5"/>
        <v>-1</v>
      </c>
      <c r="P82" s="11">
        <f>VLOOKUP($G82, '26 ADP Data'!$C$4:$Q$298, 3, FALSE)</f>
        <v>73</v>
      </c>
      <c r="Q82" s="11">
        <f>VLOOKUP($G82, '26 ADP Data'!$C$4:$Q$298, 4, FALSE)</f>
        <v>75</v>
      </c>
      <c r="R82" s="11">
        <f>VLOOKUP($G82, '26 ADP Data'!$C$4:$Q$298, 6, FALSE)</f>
        <v>93</v>
      </c>
      <c r="S82" s="11">
        <f>VLOOKUP($G82, '26 ADP Data'!$C$4:$Q$298, 9, FALSE)</f>
        <v>74</v>
      </c>
      <c r="T82" s="11" t="str">
        <f>VLOOKUP($G82, '26 ADP Data'!$C$4:$Q$298, 8, FALSE)</f>
        <v>-</v>
      </c>
      <c r="U82" s="11">
        <f t="shared" si="6"/>
        <v>76</v>
      </c>
      <c r="V82" s="11">
        <f t="shared" si="7"/>
        <v>7</v>
      </c>
      <c r="W82" s="11"/>
      <c r="X82" s="11">
        <f>VLOOKUP($G82, SeanRanks26!$A$2:$K$303, 10, FALSE)-U82</f>
        <v>-4</v>
      </c>
      <c r="Y82" s="25" t="str">
        <f>IF(VLOOKUP($G82, SeanRanks26!$A$2:$H$303, 8, FALSE)=0, "", VLOOKUP($G82, SeanRanks26!$A$2:$H$303, 8, FALSE))</f>
        <v>FFB My Guy</v>
      </c>
    </row>
    <row r="83" spans="1:25" ht="14.25" customHeight="1" x14ac:dyDescent="0.25">
      <c r="A83" s="11"/>
      <c r="B83" s="11">
        <f t="shared" si="3"/>
        <v>6</v>
      </c>
      <c r="C83" s="11" t="s">
        <v>148</v>
      </c>
      <c r="D83" s="11"/>
      <c r="E83" s="23"/>
      <c r="F83" s="11">
        <f>VLOOKUP($G83, SeanRanks26!$A$2:$H$303, 5, FALSE)</f>
        <v>0</v>
      </c>
      <c r="G83" s="11" t="s">
        <v>226</v>
      </c>
      <c r="H83" s="11" t="str">
        <f>VLOOKUP($G83, '26 ADP Data'!$C$4:$Q$298, 2, FALSE)</f>
        <v>ARI</v>
      </c>
      <c r="I83" s="11" t="str">
        <f>VLOOKUP(G83, '26 ADP Data'!$C$4:$R$496, 16, FALSE)</f>
        <v>WR</v>
      </c>
      <c r="J83" s="11" t="str">
        <f>VLOOKUP($G83, SeanRanks26!$A$2:$H$303, 6, FALSE)</f>
        <v>WR3 - 1 - Clear path to WR2</v>
      </c>
      <c r="K83" s="11">
        <f>VLOOKUP($G83, SeanRanks26!$A$2:$H$303, 7, FALSE)</f>
        <v>35</v>
      </c>
      <c r="L83" s="11">
        <f t="shared" si="4"/>
        <v>6</v>
      </c>
      <c r="M83" s="11">
        <f>VLOOKUP($G83, '26 ADP Data'!$C$4:$Q$298, 10, FALSE)</f>
        <v>68</v>
      </c>
      <c r="N83" s="11">
        <f>VLOOKUP($G83, '26 ADP Data'!$C$4:$Q$298, 13, FALSE)</f>
        <v>65</v>
      </c>
      <c r="O83" s="11">
        <f t="shared" si="5"/>
        <v>3</v>
      </c>
      <c r="P83" s="11">
        <f>VLOOKUP($G83, '26 ADP Data'!$C$4:$Q$298, 3, FALSE)</f>
        <v>68</v>
      </c>
      <c r="Q83" s="11">
        <f>VLOOKUP($G83, '26 ADP Data'!$C$4:$Q$298, 4, FALSE)</f>
        <v>69</v>
      </c>
      <c r="R83" s="11">
        <f>VLOOKUP($G83, '26 ADP Data'!$C$4:$Q$298, 6, FALSE)</f>
        <v>68</v>
      </c>
      <c r="S83" s="11">
        <f>VLOOKUP($G83, '26 ADP Data'!$C$4:$Q$298, 9, FALSE)</f>
        <v>73</v>
      </c>
      <c r="T83" s="11" t="str">
        <f>VLOOKUP($G83, '26 ADP Data'!$C$4:$Q$298, 8, FALSE)</f>
        <v>-</v>
      </c>
      <c r="U83" s="11">
        <f t="shared" si="6"/>
        <v>68</v>
      </c>
      <c r="V83" s="11">
        <f t="shared" si="7"/>
        <v>6</v>
      </c>
      <c r="W83" s="11"/>
      <c r="X83" s="11">
        <f>VLOOKUP($G83, SeanRanks26!$A$2:$K$303, 10, FALSE)-U83</f>
        <v>0</v>
      </c>
      <c r="Y83" s="25" t="str">
        <f>IF(VLOOKUP($G83, SeanRanks26!$A$2:$H$303, 8, FALSE)=0, "", VLOOKUP($G83, SeanRanks26!$A$2:$H$303, 8, FALSE))</f>
        <v/>
      </c>
    </row>
    <row r="84" spans="1:25" ht="14.25" hidden="1" customHeight="1" x14ac:dyDescent="0.25">
      <c r="A84" s="11"/>
      <c r="B84" s="11">
        <f t="shared" si="3"/>
        <v>7</v>
      </c>
      <c r="C84" s="11" t="s">
        <v>148</v>
      </c>
      <c r="D84" s="11"/>
      <c r="E84" s="23"/>
      <c r="F84" s="11">
        <f>VLOOKUP($G84, SeanRanks26!$A$2:$H$303, 5, FALSE)</f>
        <v>0</v>
      </c>
      <c r="G84" s="11" t="s">
        <v>254</v>
      </c>
      <c r="H84" s="11" t="str">
        <f>VLOOKUP($G84, '26 ADP Data'!$C$4:$Q$298, 2, FALSE)</f>
        <v>DAL</v>
      </c>
      <c r="I84" s="11" t="str">
        <f>VLOOKUP(G84, '26 ADP Data'!$C$4:$R$496, 16, FALSE)</f>
        <v>QB</v>
      </c>
      <c r="J84" s="11" t="str">
        <f>VLOOKUP($G84, SeanRanks26!$A$2:$H$303, 6, FALSE)</f>
        <v>QB1 - 4 - Lower Floor</v>
      </c>
      <c r="K84" s="11">
        <f>VLOOKUP($G84, SeanRanks26!$A$2:$H$303, 7, FALSE)</f>
        <v>8</v>
      </c>
      <c r="L84" s="11">
        <f t="shared" si="4"/>
        <v>7</v>
      </c>
      <c r="M84" s="11">
        <f>VLOOKUP($G84, '26 ADP Data'!$C$4:$Q$298, 10, FALSE)</f>
        <v>83</v>
      </c>
      <c r="N84" s="11">
        <f>VLOOKUP($G84, '26 ADP Data'!$C$4:$Q$298, 13, FALSE)</f>
        <v>79</v>
      </c>
      <c r="O84" s="11">
        <f t="shared" si="5"/>
        <v>4</v>
      </c>
      <c r="P84" s="11">
        <f>VLOOKUP($G84, '26 ADP Data'!$C$4:$Q$298, 3, FALSE)</f>
        <v>59</v>
      </c>
      <c r="Q84" s="11">
        <f>VLOOKUP($G84, '26 ADP Data'!$C$4:$Q$298, 4, FALSE)</f>
        <v>64</v>
      </c>
      <c r="R84" s="11">
        <f>VLOOKUP($G84, '26 ADP Data'!$C$4:$Q$298, 6, FALSE)</f>
        <v>102</v>
      </c>
      <c r="S84" s="11">
        <f>VLOOKUP($G84, '26 ADP Data'!$C$4:$Q$298, 9, FALSE)</f>
        <v>86</v>
      </c>
      <c r="T84" s="11" t="str">
        <f>VLOOKUP($G84, '26 ADP Data'!$C$4:$Q$298, 8, FALSE)</f>
        <v>-</v>
      </c>
      <c r="U84" s="11">
        <f t="shared" si="6"/>
        <v>78</v>
      </c>
      <c r="V84" s="11">
        <f t="shared" si="7"/>
        <v>7</v>
      </c>
      <c r="W84" s="11"/>
      <c r="X84" s="11">
        <f>VLOOKUP($G84, SeanRanks26!$A$2:$K$303, 10, FALSE)-U84</f>
        <v>5</v>
      </c>
      <c r="Y84" s="25" t="str">
        <f>IF(VLOOKUP($G84, SeanRanks26!$A$2:$H$303, 8, FALSE)=0, "", VLOOKUP($G84, SeanRanks26!$A$2:$H$303, 8, FALSE))</f>
        <v/>
      </c>
    </row>
    <row r="85" spans="1:25" ht="14.25" hidden="1" customHeight="1" x14ac:dyDescent="0.25">
      <c r="A85" s="11"/>
      <c r="B85" s="11">
        <f t="shared" si="3"/>
        <v>7</v>
      </c>
      <c r="C85" s="11" t="s">
        <v>148</v>
      </c>
      <c r="D85" s="11"/>
      <c r="E85" s="23"/>
      <c r="F85" s="11">
        <f>VLOOKUP($G85, SeanRanks26!$A$2:$H$303, 5, FALSE)</f>
        <v>0</v>
      </c>
      <c r="G85" s="11" t="s">
        <v>252</v>
      </c>
      <c r="H85" s="11" t="str">
        <f>VLOOKUP($G85, '26 ADP Data'!$C$4:$Q$298, 2, FALSE)</f>
        <v>TEN</v>
      </c>
      <c r="I85" s="11" t="str">
        <f>VLOOKUP(G85, '26 ADP Data'!$C$4:$R$496, 16, FALSE)</f>
        <v>RB</v>
      </c>
      <c r="J85" s="11" t="str">
        <f>VLOOKUP($G85, SeanRanks26!$A$2:$H$303, 6, FALSE)</f>
        <v>RB3</v>
      </c>
      <c r="K85" s="11">
        <f>VLOOKUP($G85, SeanRanks26!$A$2:$H$303, 7, FALSE)</f>
        <v>28</v>
      </c>
      <c r="L85" s="11">
        <f t="shared" si="4"/>
        <v>7</v>
      </c>
      <c r="M85" s="11">
        <f>VLOOKUP($G85, '26 ADP Data'!$C$4:$Q$298, 10, FALSE)</f>
        <v>81</v>
      </c>
      <c r="N85" s="11">
        <f>VLOOKUP($G85, '26 ADP Data'!$C$4:$Q$298, 13, FALSE)</f>
        <v>77</v>
      </c>
      <c r="O85" s="11">
        <f t="shared" si="5"/>
        <v>4</v>
      </c>
      <c r="P85" s="11">
        <f>VLOOKUP($G85, '26 ADP Data'!$C$4:$Q$298, 3, FALSE)</f>
        <v>72</v>
      </c>
      <c r="Q85" s="11">
        <f>VLOOKUP($G85, '26 ADP Data'!$C$4:$Q$298, 4, FALSE)</f>
        <v>79</v>
      </c>
      <c r="R85" s="11">
        <f>VLOOKUP($G85, '26 ADP Data'!$C$4:$Q$298, 6, FALSE)</f>
        <v>72</v>
      </c>
      <c r="S85" s="11">
        <f>VLOOKUP($G85, '26 ADP Data'!$C$4:$Q$298, 9, FALSE)</f>
        <v>78</v>
      </c>
      <c r="T85" s="11" t="str">
        <f>VLOOKUP($G85, '26 ADP Data'!$C$4:$Q$298, 8, FALSE)</f>
        <v>-</v>
      </c>
      <c r="U85" s="11">
        <f t="shared" si="6"/>
        <v>76</v>
      </c>
      <c r="V85" s="11">
        <f t="shared" si="7"/>
        <v>7</v>
      </c>
      <c r="W85" s="11"/>
      <c r="X85" s="11">
        <f>VLOOKUP($G85, SeanRanks26!$A$2:$K$303, 10, FALSE)-U85</f>
        <v>5</v>
      </c>
      <c r="Y85" s="25" t="str">
        <f>IF(VLOOKUP($G85, SeanRanks26!$A$2:$H$303, 8, FALSE)=0, "", VLOOKUP($G85, SeanRanks26!$A$2:$H$303, 8, FALSE))</f>
        <v/>
      </c>
    </row>
    <row r="86" spans="1:25" ht="14.25" hidden="1" customHeight="1" x14ac:dyDescent="0.25">
      <c r="A86" s="11"/>
      <c r="B86" s="11">
        <f t="shared" si="3"/>
        <v>7</v>
      </c>
      <c r="C86" s="11" t="s">
        <v>148</v>
      </c>
      <c r="D86" s="11"/>
      <c r="E86" s="23"/>
      <c r="F86" s="11">
        <f>VLOOKUP($G86, SeanRanks26!$A$2:$H$303, 5, FALSE)</f>
        <v>0</v>
      </c>
      <c r="G86" s="11" t="s">
        <v>258</v>
      </c>
      <c r="H86" s="11" t="str">
        <f>VLOOKUP($G86, '26 ADP Data'!$C$4:$Q$298, 2, FALSE)</f>
        <v>PIT</v>
      </c>
      <c r="I86" s="11" t="str">
        <f>VLOOKUP(G86, '26 ADP Data'!$C$4:$R$496, 16, FALSE)</f>
        <v>RB</v>
      </c>
      <c r="J86" s="11" t="str">
        <f>VLOOKUP($G86, SeanRanks26!$A$2:$H$303, 6, FALSE)</f>
        <v>RB3</v>
      </c>
      <c r="K86" s="11">
        <f>VLOOKUP($G86, SeanRanks26!$A$2:$H$303, 7, FALSE)</f>
        <v>27</v>
      </c>
      <c r="L86" s="11">
        <f t="shared" si="4"/>
        <v>8</v>
      </c>
      <c r="M86" s="11">
        <f>VLOOKUP($G86, '26 ADP Data'!$C$4:$Q$298, 10, FALSE)</f>
        <v>86</v>
      </c>
      <c r="N86" s="11">
        <f>VLOOKUP($G86, '26 ADP Data'!$C$4:$Q$298, 13, FALSE)</f>
        <v>82</v>
      </c>
      <c r="O86" s="11">
        <f t="shared" si="5"/>
        <v>4</v>
      </c>
      <c r="P86" s="11">
        <f>VLOOKUP($G86, '26 ADP Data'!$C$4:$Q$298, 3, FALSE)</f>
        <v>77</v>
      </c>
      <c r="Q86" s="11">
        <f>VLOOKUP($G86, '26 ADP Data'!$C$4:$Q$298, 4, FALSE)</f>
        <v>87</v>
      </c>
      <c r="R86" s="11">
        <f>VLOOKUP($G86, '26 ADP Data'!$C$4:$Q$298, 6, FALSE)</f>
        <v>74</v>
      </c>
      <c r="S86" s="11">
        <f>VLOOKUP($G86, '26 ADP Data'!$C$4:$Q$298, 9, FALSE)</f>
        <v>83</v>
      </c>
      <c r="T86" s="11" t="str">
        <f>VLOOKUP($G86, '26 ADP Data'!$C$4:$Q$298, 8, FALSE)</f>
        <v>-</v>
      </c>
      <c r="U86" s="11">
        <f t="shared" si="6"/>
        <v>81</v>
      </c>
      <c r="V86" s="11">
        <f t="shared" si="7"/>
        <v>7</v>
      </c>
      <c r="W86" s="11"/>
      <c r="X86" s="11">
        <f>VLOOKUP($G86, SeanRanks26!$A$2:$K$303, 10, FALSE)-U86</f>
        <v>5</v>
      </c>
      <c r="Y86" s="25" t="str">
        <f>IF(VLOOKUP($G86, SeanRanks26!$A$2:$H$303, 8, FALSE)=0, "", VLOOKUP($G86, SeanRanks26!$A$2:$H$303, 8, FALSE))</f>
        <v/>
      </c>
    </row>
    <row r="87" spans="1:25" ht="14.25" hidden="1" customHeight="1" x14ac:dyDescent="0.25">
      <c r="A87" s="11"/>
      <c r="B87" s="11">
        <f t="shared" si="3"/>
        <v>8</v>
      </c>
      <c r="C87" s="11" t="s">
        <v>148</v>
      </c>
      <c r="D87" s="11"/>
      <c r="E87" s="23"/>
      <c r="F87" s="11">
        <f>VLOOKUP($G87, SeanRanks26!$A$2:$H$303, 5, FALSE)</f>
        <v>0</v>
      </c>
      <c r="G87" s="11" t="s">
        <v>244</v>
      </c>
      <c r="H87" s="11" t="str">
        <f>VLOOKUP($G87, '26 ADP Data'!$C$4:$Q$298, 2, FALSE)</f>
        <v>CAR</v>
      </c>
      <c r="I87" s="11" t="str">
        <f>VLOOKUP(G87, '26 ADP Data'!$C$4:$R$496, 16, FALSE)</f>
        <v>RB</v>
      </c>
      <c r="J87" s="11" t="str">
        <f>VLOOKUP($G87, SeanRanks26!$A$2:$H$303, 6, FALSE)</f>
        <v>RB3</v>
      </c>
      <c r="K87" s="11">
        <f>VLOOKUP($G87, SeanRanks26!$A$2:$H$303, 7, FALSE)</f>
        <v>29</v>
      </c>
      <c r="L87" s="11">
        <f t="shared" si="4"/>
        <v>7</v>
      </c>
      <c r="M87" s="11">
        <f>VLOOKUP($G87, '26 ADP Data'!$C$4:$Q$298, 10, FALSE)</f>
        <v>77</v>
      </c>
      <c r="N87" s="11">
        <f>VLOOKUP($G87, '26 ADP Data'!$C$4:$Q$298, 13, FALSE)</f>
        <v>75</v>
      </c>
      <c r="O87" s="11">
        <f t="shared" si="5"/>
        <v>2</v>
      </c>
      <c r="P87" s="11">
        <f>VLOOKUP($G87, '26 ADP Data'!$C$4:$Q$298, 3, FALSE)</f>
        <v>87</v>
      </c>
      <c r="Q87" s="11">
        <f>VLOOKUP($G87, '26 ADP Data'!$C$4:$Q$298, 4, FALSE)</f>
        <v>98</v>
      </c>
      <c r="R87" s="11">
        <f>VLOOKUP($G87, '26 ADP Data'!$C$4:$Q$298, 6, FALSE)</f>
        <v>69</v>
      </c>
      <c r="S87" s="11">
        <f>VLOOKUP($G87, '26 ADP Data'!$C$4:$Q$298, 9, FALSE)</f>
        <v>87</v>
      </c>
      <c r="T87" s="11" t="str">
        <f>VLOOKUP($G87, '26 ADP Data'!$C$4:$Q$298, 8, FALSE)</f>
        <v>-</v>
      </c>
      <c r="U87" s="11">
        <f t="shared" si="6"/>
        <v>82</v>
      </c>
      <c r="V87" s="11">
        <f t="shared" si="7"/>
        <v>7</v>
      </c>
      <c r="W87" s="11"/>
      <c r="X87" s="11">
        <f>VLOOKUP($G87, SeanRanks26!$A$2:$K$303, 10, FALSE)-U87</f>
        <v>-5</v>
      </c>
      <c r="Y87" s="25" t="str">
        <f>IF(VLOOKUP($G87, SeanRanks26!$A$2:$H$303, 8, FALSE)=0, "", VLOOKUP($G87, SeanRanks26!$A$2:$H$303, 8, FALSE))</f>
        <v>2024 Rookie R2</v>
      </c>
    </row>
    <row r="88" spans="1:25" ht="14.25" customHeight="1" x14ac:dyDescent="0.25">
      <c r="A88" s="11"/>
      <c r="B88" s="11">
        <f t="shared" si="3"/>
        <v>6</v>
      </c>
      <c r="C88" s="11" t="s">
        <v>148</v>
      </c>
      <c r="D88" s="11"/>
      <c r="E88" s="23"/>
      <c r="F88" s="11">
        <f>VLOOKUP($G88, SeanRanks26!$A$2:$H$303, 5, FALSE)</f>
        <v>0</v>
      </c>
      <c r="G88" s="11" t="s">
        <v>208</v>
      </c>
      <c r="H88" s="11" t="str">
        <f>VLOOKUP($G88, '26 ADP Data'!$C$4:$Q$298, 2, FALSE)</f>
        <v>JAX</v>
      </c>
      <c r="I88" s="11" t="str">
        <f>VLOOKUP(G88, '26 ADP Data'!$C$4:$R$496, 16, FALSE)</f>
        <v>WR</v>
      </c>
      <c r="J88" s="11" t="str">
        <f>VLOOKUP($G88, SeanRanks26!$A$2:$H$303, 6, FALSE)</f>
        <v>WR4 - 1 - Path to WR2</v>
      </c>
      <c r="K88" s="11">
        <f>VLOOKUP($G88, SeanRanks26!$A$2:$H$303, 7, FALSE)</f>
        <v>36</v>
      </c>
      <c r="L88" s="11">
        <f t="shared" si="4"/>
        <v>5</v>
      </c>
      <c r="M88" s="11">
        <f>VLOOKUP($G88, '26 ADP Data'!$C$4:$Q$298, 10, FALSE)</f>
        <v>54</v>
      </c>
      <c r="N88" s="11">
        <f>VLOOKUP($G88, '26 ADP Data'!$C$4:$Q$298, 13, FALSE)</f>
        <v>56</v>
      </c>
      <c r="O88" s="11">
        <f t="shared" si="5"/>
        <v>-2</v>
      </c>
      <c r="P88" s="11">
        <f>VLOOKUP($G88, '26 ADP Data'!$C$4:$Q$298, 3, FALSE)</f>
        <v>67</v>
      </c>
      <c r="Q88" s="11">
        <f>VLOOKUP($G88, '26 ADP Data'!$C$4:$Q$298, 4, FALSE)</f>
        <v>81</v>
      </c>
      <c r="R88" s="11">
        <f>VLOOKUP($G88, '26 ADP Data'!$C$4:$Q$298, 6, FALSE)</f>
        <v>54</v>
      </c>
      <c r="S88" s="11">
        <f>VLOOKUP($G88, '26 ADP Data'!$C$4:$Q$298, 9, FALSE)</f>
        <v>70</v>
      </c>
      <c r="T88" s="11" t="str">
        <f>VLOOKUP($G88, '26 ADP Data'!$C$4:$Q$298, 8, FALSE)</f>
        <v>-</v>
      </c>
      <c r="U88" s="11">
        <f t="shared" si="6"/>
        <v>63</v>
      </c>
      <c r="V88" s="11">
        <f t="shared" si="7"/>
        <v>6</v>
      </c>
      <c r="W88" s="11"/>
      <c r="X88" s="11">
        <f>VLOOKUP($G88, SeanRanks26!$A$2:$K$303, 10, FALSE)-U88</f>
        <v>-9</v>
      </c>
      <c r="Y88" s="25" t="str">
        <f>IF(VLOOKUP($G88, SeanRanks26!$A$2:$H$303, 8, FALSE)=0, "", VLOOKUP($G88, SeanRanks26!$A$2:$H$303, 8, FALSE))</f>
        <v>2026 6th rd WR</v>
      </c>
    </row>
    <row r="89" spans="1:25" ht="14.25" hidden="1" customHeight="1" x14ac:dyDescent="0.25">
      <c r="A89" s="11"/>
      <c r="B89" s="11">
        <f t="shared" si="3"/>
        <v>8</v>
      </c>
      <c r="C89" s="11" t="s">
        <v>148</v>
      </c>
      <c r="D89" s="11"/>
      <c r="E89" s="23"/>
      <c r="F89" s="11">
        <f>VLOOKUP($G89, SeanRanks26!$A$2:$H$303, 5, FALSE)</f>
        <v>0</v>
      </c>
      <c r="G89" s="11" t="s">
        <v>262</v>
      </c>
      <c r="H89" s="11" t="str">
        <f>VLOOKUP($G89, '26 ADP Data'!$C$4:$Q$298, 2, FALSE)</f>
        <v>LAC</v>
      </c>
      <c r="I89" s="11" t="str">
        <f>VLOOKUP(G89, '26 ADP Data'!$C$4:$R$496, 16, FALSE)</f>
        <v>QB</v>
      </c>
      <c r="J89" s="11" t="str">
        <f>VLOOKUP($G89, SeanRanks26!$A$2:$H$303, 6, FALSE)</f>
        <v>QB1 - 4 - Lower Floor</v>
      </c>
      <c r="K89" s="11">
        <f>VLOOKUP($G89, SeanRanks26!$A$2:$H$303, 7, FALSE)</f>
        <v>9</v>
      </c>
      <c r="L89" s="11">
        <f t="shared" si="4"/>
        <v>7</v>
      </c>
      <c r="M89" s="11">
        <f>VLOOKUP($G89, '26 ADP Data'!$C$4:$Q$298, 10, FALSE)</f>
        <v>75</v>
      </c>
      <c r="N89" s="11">
        <f>VLOOKUP($G89, '26 ADP Data'!$C$4:$Q$298, 13, FALSE)</f>
        <v>84</v>
      </c>
      <c r="O89" s="11">
        <f t="shared" si="5"/>
        <v>-9</v>
      </c>
      <c r="P89" s="11">
        <f>VLOOKUP($G89, '26 ADP Data'!$C$4:$Q$298, 3, FALSE)</f>
        <v>82</v>
      </c>
      <c r="Q89" s="11">
        <f>VLOOKUP($G89, '26 ADP Data'!$C$4:$Q$298, 4, FALSE)</f>
        <v>77</v>
      </c>
      <c r="R89" s="11">
        <f>VLOOKUP($G89, '26 ADP Data'!$C$4:$Q$298, 6, FALSE)</f>
        <v>105</v>
      </c>
      <c r="S89" s="11">
        <f>VLOOKUP($G89, '26 ADP Data'!$C$4:$Q$298, 9, FALSE)</f>
        <v>81</v>
      </c>
      <c r="T89" s="11" t="str">
        <f>VLOOKUP($G89, '26 ADP Data'!$C$4:$Q$298, 8, FALSE)</f>
        <v>-</v>
      </c>
      <c r="U89" s="11">
        <f t="shared" si="6"/>
        <v>84</v>
      </c>
      <c r="V89" s="11">
        <f t="shared" si="7"/>
        <v>8</v>
      </c>
      <c r="W89" s="11"/>
      <c r="X89" s="11">
        <f>VLOOKUP($G89, SeanRanks26!$A$2:$K$303, 10, FALSE)-U89</f>
        <v>-9</v>
      </c>
      <c r="Y89" s="25" t="str">
        <f>IF(VLOOKUP($G89, SeanRanks26!$A$2:$H$303, 8, FALSE)=0, "", VLOOKUP($G89, SeanRanks26!$A$2:$H$303, 8, FALSE))</f>
        <v/>
      </c>
    </row>
    <row r="90" spans="1:25" ht="14.25" hidden="1" customHeight="1" x14ac:dyDescent="0.25">
      <c r="A90" s="11"/>
      <c r="B90" s="11">
        <f t="shared" si="3"/>
        <v>8</v>
      </c>
      <c r="C90" s="11" t="s">
        <v>148</v>
      </c>
      <c r="D90" s="11"/>
      <c r="E90" s="23"/>
      <c r="F90" s="11">
        <f>VLOOKUP($G90, SeanRanks26!$A$2:$H$303, 5, FALSE)</f>
        <v>0</v>
      </c>
      <c r="G90" s="11" t="s">
        <v>266</v>
      </c>
      <c r="H90" s="11" t="str">
        <f>VLOOKUP($G90, '26 ADP Data'!$C$4:$Q$298, 2, FALSE)</f>
        <v>JAX</v>
      </c>
      <c r="I90" s="11" t="str">
        <f>VLOOKUP(G90, '26 ADP Data'!$C$4:$R$496, 16, FALSE)</f>
        <v>QB</v>
      </c>
      <c r="J90" s="11" t="str">
        <f>VLOOKUP($G90, SeanRanks26!$A$2:$H$303, 6, FALSE)</f>
        <v>QB2 - 1 - Strong Streamer</v>
      </c>
      <c r="K90" s="11">
        <f>VLOOKUP($G90, SeanRanks26!$A$2:$H$303, 7, FALSE)</f>
        <v>12</v>
      </c>
      <c r="L90" s="11">
        <f t="shared" si="4"/>
        <v>7</v>
      </c>
      <c r="M90" s="11">
        <f>VLOOKUP($G90, '26 ADP Data'!$C$4:$Q$298, 10, FALSE)</f>
        <v>80</v>
      </c>
      <c r="N90" s="11">
        <f>VLOOKUP($G90, '26 ADP Data'!$C$4:$Q$298, 13, FALSE)</f>
        <v>87</v>
      </c>
      <c r="O90" s="11">
        <f t="shared" si="5"/>
        <v>-7</v>
      </c>
      <c r="P90" s="11">
        <f>VLOOKUP($G90, '26 ADP Data'!$C$4:$Q$298, 3, FALSE)</f>
        <v>79</v>
      </c>
      <c r="Q90" s="11">
        <f>VLOOKUP($G90, '26 ADP Data'!$C$4:$Q$298, 4, FALSE)</f>
        <v>93</v>
      </c>
      <c r="R90" s="11">
        <f>VLOOKUP($G90, '26 ADP Data'!$C$4:$Q$298, 6, FALSE)</f>
        <v>108</v>
      </c>
      <c r="S90" s="11">
        <f>VLOOKUP($G90, '26 ADP Data'!$C$4:$Q$298, 9, FALSE)</f>
        <v>99</v>
      </c>
      <c r="T90" s="11" t="str">
        <f>VLOOKUP($G90, '26 ADP Data'!$C$4:$Q$298, 8, FALSE)</f>
        <v>-</v>
      </c>
      <c r="U90" s="11">
        <f t="shared" si="6"/>
        <v>91</v>
      </c>
      <c r="V90" s="11">
        <f t="shared" si="7"/>
        <v>8</v>
      </c>
      <c r="W90" s="11"/>
      <c r="X90" s="11">
        <f>VLOOKUP($G90, SeanRanks26!$A$2:$K$303, 10, FALSE)-U90</f>
        <v>-11</v>
      </c>
      <c r="Y90" s="25" t="str">
        <f>IF(VLOOKUP($G90, SeanRanks26!$A$2:$H$303, 8, FALSE)=0, "", VLOOKUP($G90, SeanRanks26!$A$2:$H$303, 8, FALSE))</f>
        <v/>
      </c>
    </row>
    <row r="91" spans="1:25" ht="14.25" hidden="1" customHeight="1" x14ac:dyDescent="0.25">
      <c r="A91" s="11"/>
      <c r="B91" s="11">
        <f t="shared" si="3"/>
        <v>7</v>
      </c>
      <c r="C91" s="11" t="s">
        <v>148</v>
      </c>
      <c r="D91" s="11"/>
      <c r="E91" s="23"/>
      <c r="F91" s="11">
        <f>VLOOKUP($G91, SeanRanks26!$A$2:$H$303, 5, FALSE)</f>
        <v>0</v>
      </c>
      <c r="G91" s="11" t="s">
        <v>274</v>
      </c>
      <c r="H91" s="11" t="str">
        <f>VLOOKUP($G91, '26 ADP Data'!$C$4:$Q$298, 2, FALSE)</f>
        <v>SF</v>
      </c>
      <c r="I91" s="11" t="str">
        <f>VLOOKUP(G91, '26 ADP Data'!$C$4:$R$496, 16, FALSE)</f>
        <v>TE</v>
      </c>
      <c r="J91" s="11" t="str">
        <f>VLOOKUP($G91, SeanRanks26!$A$2:$H$303, 6, FALSE)</f>
        <v>TE1 - 3 - Weekly starter</v>
      </c>
      <c r="K91" s="11">
        <f>VLOOKUP($G91, SeanRanks26!$A$2:$H$303, 7, FALSE)</f>
        <v>11</v>
      </c>
      <c r="L91" s="11">
        <f t="shared" si="4"/>
        <v>8</v>
      </c>
      <c r="M91" s="11">
        <f>VLOOKUP($G91, '26 ADP Data'!$C$4:$Q$298, 10, FALSE)</f>
        <v>87</v>
      </c>
      <c r="N91" s="11">
        <f>VLOOKUP($G91, '26 ADP Data'!$C$4:$Q$298, 13, FALSE)</f>
        <v>114</v>
      </c>
      <c r="O91" s="11">
        <f t="shared" si="5"/>
        <v>-27</v>
      </c>
      <c r="P91" s="11">
        <f>VLOOKUP($G91, '26 ADP Data'!$C$4:$Q$298, 3, FALSE)</f>
        <v>76</v>
      </c>
      <c r="Q91" s="11">
        <f>VLOOKUP($G91, '26 ADP Data'!$C$4:$Q$298, 4, FALSE)</f>
        <v>62</v>
      </c>
      <c r="R91" s="11">
        <f>VLOOKUP($G91, '26 ADP Data'!$C$4:$Q$298, 6, FALSE)</f>
        <v>70</v>
      </c>
      <c r="S91" s="11">
        <f>VLOOKUP($G91, '26 ADP Data'!$C$4:$Q$298, 9, FALSE)</f>
        <v>84</v>
      </c>
      <c r="T91" s="11" t="str">
        <f>VLOOKUP($G91, '26 ADP Data'!$C$4:$Q$298, 8, FALSE)</f>
        <v>-</v>
      </c>
      <c r="U91" s="11">
        <f t="shared" si="6"/>
        <v>82</v>
      </c>
      <c r="V91" s="11">
        <f t="shared" si="7"/>
        <v>7</v>
      </c>
      <c r="W91" s="11"/>
      <c r="X91" s="11">
        <f>VLOOKUP($G91, SeanRanks26!$A$2:$K$303, 10, FALSE)-U91</f>
        <v>5</v>
      </c>
      <c r="Y91" s="25" t="str">
        <f>IF(VLOOKUP($G91, SeanRanks26!$A$2:$H$303, 8, FALSE)=0, "", VLOOKUP($G91, SeanRanks26!$A$2:$H$303, 8, FALSE))</f>
        <v/>
      </c>
    </row>
    <row r="92" spans="1:25" ht="14.25" hidden="1" customHeight="1" x14ac:dyDescent="0.25">
      <c r="A92" s="11"/>
      <c r="B92" s="11">
        <f t="shared" si="3"/>
        <v>8</v>
      </c>
      <c r="C92" s="11" t="s">
        <v>148</v>
      </c>
      <c r="D92" s="11"/>
      <c r="E92" s="23"/>
      <c r="F92" s="11">
        <f>VLOOKUP($G92, SeanRanks26!$A$2:$H$303, 5, FALSE)</f>
        <v>0</v>
      </c>
      <c r="G92" s="11" t="s">
        <v>276</v>
      </c>
      <c r="H92" s="11" t="str">
        <f>VLOOKUP($G92, '26 ADP Data'!$C$4:$Q$298, 2, FALSE)</f>
        <v>DEN</v>
      </c>
      <c r="I92" s="11" t="str">
        <f>VLOOKUP(G92, '26 ADP Data'!$C$4:$R$496, 16, FALSE)</f>
        <v>RB</v>
      </c>
      <c r="J92" s="11" t="str">
        <f>VLOOKUP($G92, SeanRanks26!$A$2:$H$303, 6, FALSE)</f>
        <v>RB3</v>
      </c>
      <c r="K92" s="11">
        <f>VLOOKUP($G92, SeanRanks26!$A$2:$H$303, 7, FALSE)</f>
        <v>32</v>
      </c>
      <c r="L92" s="11">
        <f t="shared" si="4"/>
        <v>8</v>
      </c>
      <c r="M92" s="11">
        <f>VLOOKUP($G92, '26 ADP Data'!$C$4:$Q$298, 10, FALSE)</f>
        <v>85</v>
      </c>
      <c r="N92" s="11">
        <f>VLOOKUP($G92, '26 ADP Data'!$C$4:$Q$298, 13, FALSE)</f>
        <v>95</v>
      </c>
      <c r="O92" s="11">
        <f t="shared" si="5"/>
        <v>-10</v>
      </c>
      <c r="P92" s="11">
        <f>VLOOKUP($G92, '26 ADP Data'!$C$4:$Q$298, 3, FALSE)</f>
        <v>85</v>
      </c>
      <c r="Q92" s="11">
        <f>VLOOKUP($G92, '26 ADP Data'!$C$4:$Q$298, 4, FALSE)</f>
        <v>103</v>
      </c>
      <c r="R92" s="11">
        <f>VLOOKUP($G92, '26 ADP Data'!$C$4:$Q$298, 6, FALSE)</f>
        <v>92</v>
      </c>
      <c r="S92" s="11">
        <f>VLOOKUP($G92, '26 ADP Data'!$C$4:$Q$298, 9, FALSE)</f>
        <v>85</v>
      </c>
      <c r="T92" s="11" t="str">
        <f>VLOOKUP($G92, '26 ADP Data'!$C$4:$Q$298, 8, FALSE)</f>
        <v>-</v>
      </c>
      <c r="U92" s="11">
        <f t="shared" si="6"/>
        <v>90</v>
      </c>
      <c r="V92" s="11">
        <f t="shared" si="7"/>
        <v>8</v>
      </c>
      <c r="W92" s="11"/>
      <c r="X92" s="11">
        <f>VLOOKUP($G92, SeanRanks26!$A$2:$K$303, 10, FALSE)-U92</f>
        <v>-5</v>
      </c>
      <c r="Y92" s="25" t="str">
        <f>IF(VLOOKUP($G92, SeanRanks26!$A$2:$H$303, 8, FALSE)=0, "", VLOOKUP($G92, SeanRanks26!$A$2:$H$303, 8, FALSE))</f>
        <v/>
      </c>
    </row>
    <row r="93" spans="1:25" ht="14.25" customHeight="1" x14ac:dyDescent="0.25">
      <c r="A93" s="11"/>
      <c r="B93" s="11">
        <f t="shared" si="3"/>
        <v>7</v>
      </c>
      <c r="C93" s="11" t="s">
        <v>148</v>
      </c>
      <c r="D93" s="11"/>
      <c r="E93" s="23"/>
      <c r="F93" s="11">
        <f>VLOOKUP($G93, SeanRanks26!$A$2:$H$303, 5, FALSE)</f>
        <v>0</v>
      </c>
      <c r="G93" s="11" t="s">
        <v>260</v>
      </c>
      <c r="H93" s="11" t="str">
        <f>VLOOKUP($G93, '26 ADP Data'!$C$4:$Q$298, 2, FALSE)</f>
        <v>DEN</v>
      </c>
      <c r="I93" s="11" t="str">
        <f>VLOOKUP(G93, '26 ADP Data'!$C$4:$R$496, 16, FALSE)</f>
        <v>WR</v>
      </c>
      <c r="J93" s="11" t="str">
        <f>VLOOKUP($G93, SeanRanks26!$A$2:$H$303, 6, FALSE)</f>
        <v>WR4 - 1 - Path to WR2</v>
      </c>
      <c r="K93" s="11">
        <f>VLOOKUP($G93, SeanRanks26!$A$2:$H$303, 7, FALSE)</f>
        <v>37</v>
      </c>
      <c r="L93" s="11">
        <f t="shared" si="4"/>
        <v>9</v>
      </c>
      <c r="M93" s="11">
        <f>VLOOKUP($G93, '26 ADP Data'!$C$4:$Q$298, 10, FALSE)</f>
        <v>100</v>
      </c>
      <c r="N93" s="11">
        <f>VLOOKUP($G93, '26 ADP Data'!$C$4:$Q$298, 13, FALSE)</f>
        <v>81</v>
      </c>
      <c r="O93" s="11">
        <f t="shared" si="5"/>
        <v>19</v>
      </c>
      <c r="P93" s="11">
        <f>VLOOKUP($G93, '26 ADP Data'!$C$4:$Q$298, 3, FALSE)</f>
        <v>78</v>
      </c>
      <c r="Q93" s="11">
        <f>VLOOKUP($G93, '26 ADP Data'!$C$4:$Q$298, 4, FALSE)</f>
        <v>73</v>
      </c>
      <c r="R93" s="11">
        <f>VLOOKUP($G93, '26 ADP Data'!$C$4:$Q$298, 6, FALSE)</f>
        <v>90</v>
      </c>
      <c r="S93" s="11">
        <f>VLOOKUP($G93, '26 ADP Data'!$C$4:$Q$298, 9, FALSE)</f>
        <v>80</v>
      </c>
      <c r="T93" s="11" t="str">
        <f>VLOOKUP($G93, '26 ADP Data'!$C$4:$Q$298, 8, FALSE)</f>
        <v>-</v>
      </c>
      <c r="U93" s="11">
        <f t="shared" si="6"/>
        <v>83</v>
      </c>
      <c r="V93" s="11">
        <f t="shared" si="7"/>
        <v>7</v>
      </c>
      <c r="W93" s="11"/>
      <c r="X93" s="11">
        <f>VLOOKUP($G93, SeanRanks26!$A$2:$K$303, 10, FALSE)-U93</f>
        <v>17</v>
      </c>
      <c r="Y93" s="25" t="str">
        <f>IF(VLOOKUP($G93, SeanRanks26!$A$2:$H$303, 8, FALSE)=0, "", VLOOKUP($G93, SeanRanks26!$A$2:$H$303, 8, FALSE))</f>
        <v/>
      </c>
    </row>
    <row r="94" spans="1:25" ht="14.25" customHeight="1" x14ac:dyDescent="0.25">
      <c r="A94" s="11"/>
      <c r="B94" s="11">
        <f t="shared" si="3"/>
        <v>10</v>
      </c>
      <c r="C94" s="11" t="s">
        <v>148</v>
      </c>
      <c r="D94" s="11"/>
      <c r="E94" s="23"/>
      <c r="F94" s="11">
        <f>VLOOKUP($G94, SeanRanks26!$A$2:$H$303, 5, FALSE)</f>
        <v>0</v>
      </c>
      <c r="G94" s="11" t="s">
        <v>304</v>
      </c>
      <c r="H94" s="11" t="str">
        <f>VLOOKUP($G94, '26 ADP Data'!$C$4:$Q$298, 2, FALSE)</f>
        <v>PHI</v>
      </c>
      <c r="I94" s="11" t="str">
        <f>VLOOKUP(G94, '26 ADP Data'!$C$4:$R$496, 16, FALSE)</f>
        <v>WR</v>
      </c>
      <c r="J94" s="11" t="str">
        <f>VLOOKUP($G94, SeanRanks26!$A$2:$H$303, 6, FALSE)</f>
        <v>WR4 - 1 - Path to WR2</v>
      </c>
      <c r="K94" s="11">
        <f>VLOOKUP($G94, SeanRanks26!$A$2:$H$303, 7, FALSE)</f>
        <v>38</v>
      </c>
      <c r="L94" s="11">
        <f t="shared" si="4"/>
        <v>9</v>
      </c>
      <c r="M94" s="11">
        <f>VLOOKUP($G94, '26 ADP Data'!$C$4:$Q$298, 10, FALSE)</f>
        <v>102</v>
      </c>
      <c r="N94" s="11">
        <f>VLOOKUP($G94, '26 ADP Data'!$C$4:$Q$298, 13, FALSE)</f>
        <v>80</v>
      </c>
      <c r="O94" s="11">
        <f t="shared" si="5"/>
        <v>22</v>
      </c>
      <c r="P94" s="11">
        <f>VLOOKUP($G94, '26 ADP Data'!$C$4:$Q$298, 3, FALSE)</f>
        <v>128</v>
      </c>
      <c r="Q94" s="11">
        <f>VLOOKUP($G94, '26 ADP Data'!$C$4:$Q$298, 4, FALSE)</f>
        <v>129</v>
      </c>
      <c r="R94" s="11">
        <f>VLOOKUP($G94, '26 ADP Data'!$C$4:$Q$298, 6, FALSE)</f>
        <v>117</v>
      </c>
      <c r="S94" s="11">
        <f>VLOOKUP($G94, '26 ADP Data'!$C$4:$Q$298, 9, FALSE)</f>
        <v>88</v>
      </c>
      <c r="T94" s="11" t="str">
        <f>VLOOKUP($G94, '26 ADP Data'!$C$4:$Q$298, 8, FALSE)</f>
        <v>-</v>
      </c>
      <c r="U94" s="11">
        <f t="shared" si="6"/>
        <v>107</v>
      </c>
      <c r="V94" s="11">
        <f t="shared" si="7"/>
        <v>9</v>
      </c>
      <c r="W94" s="11"/>
      <c r="X94" s="11">
        <f>VLOOKUP($G94, SeanRanks26!$A$2:$K$303, 10, FALSE)-U94</f>
        <v>-5</v>
      </c>
      <c r="Y94" s="25" t="str">
        <f>IF(VLOOKUP($G94, SeanRanks26!$A$2:$H$303, 8, FALSE)=0, "", VLOOKUP($G94, SeanRanks26!$A$2:$H$303, 8, FALSE))</f>
        <v>Rookie R1.20 USC</v>
      </c>
    </row>
    <row r="95" spans="1:25" ht="14.25" customHeight="1" x14ac:dyDescent="0.25">
      <c r="A95" s="11"/>
      <c r="B95" s="11">
        <f t="shared" si="3"/>
        <v>8</v>
      </c>
      <c r="C95" s="11" t="s">
        <v>148</v>
      </c>
      <c r="D95" s="11"/>
      <c r="E95" s="23"/>
      <c r="F95" s="11" t="str">
        <f>VLOOKUP($G95, SeanRanks26!$A$2:$H$303, 5, FALSE)</f>
        <v>Yes</v>
      </c>
      <c r="G95" s="11" t="s">
        <v>264</v>
      </c>
      <c r="H95" s="11" t="str">
        <f>VLOOKUP($G95, '26 ADP Data'!$C$4:$Q$298, 2, FALSE)</f>
        <v>TB</v>
      </c>
      <c r="I95" s="11" t="str">
        <f>VLOOKUP(G95, '26 ADP Data'!$C$4:$R$496, 16, FALSE)</f>
        <v>WR</v>
      </c>
      <c r="J95" s="11" t="str">
        <f>VLOOKUP($G95, SeanRanks26!$A$2:$H$303, 6, FALSE)</f>
        <v>WR4 - 2 - Spot Start</v>
      </c>
      <c r="K95" s="11">
        <f>VLOOKUP($G95, SeanRanks26!$A$2:$H$303, 7, FALSE)</f>
        <v>39</v>
      </c>
      <c r="L95" s="11">
        <f t="shared" si="4"/>
        <v>7</v>
      </c>
      <c r="M95" s="11">
        <f>VLOOKUP($G95, '26 ADP Data'!$C$4:$Q$298, 10, FALSE)</f>
        <v>82</v>
      </c>
      <c r="N95" s="11">
        <f>VLOOKUP($G95, '26 ADP Data'!$C$4:$Q$298, 13, FALSE)</f>
        <v>85</v>
      </c>
      <c r="O95" s="11">
        <f t="shared" si="5"/>
        <v>-3</v>
      </c>
      <c r="P95" s="11">
        <f>VLOOKUP($G95, '26 ADP Data'!$C$4:$Q$298, 3, FALSE)</f>
        <v>86</v>
      </c>
      <c r="Q95" s="11">
        <f>VLOOKUP($G95, '26 ADP Data'!$C$4:$Q$298, 4, FALSE)</f>
        <v>118</v>
      </c>
      <c r="R95" s="11">
        <f>VLOOKUP($G95, '26 ADP Data'!$C$4:$Q$298, 6, FALSE)</f>
        <v>76</v>
      </c>
      <c r="S95" s="11">
        <f>VLOOKUP($G95, '26 ADP Data'!$C$4:$Q$298, 9, FALSE)</f>
        <v>90</v>
      </c>
      <c r="T95" s="11" t="str">
        <f>VLOOKUP($G95, '26 ADP Data'!$C$4:$Q$298, 8, FALSE)</f>
        <v>-</v>
      </c>
      <c r="U95" s="11">
        <f t="shared" si="6"/>
        <v>89</v>
      </c>
      <c r="V95" s="11">
        <f t="shared" si="7"/>
        <v>8</v>
      </c>
      <c r="W95" s="11"/>
      <c r="X95" s="11">
        <f>VLOOKUP($G95, SeanRanks26!$A$2:$K$303, 10, FALSE)-U95</f>
        <v>-7</v>
      </c>
      <c r="Y95" s="25" t="str">
        <f>IF(VLOOKUP($G95, SeanRanks26!$A$2:$H$303, 8, FALSE)=0, "", VLOOKUP($G95, SeanRanks26!$A$2:$H$303, 8, FALSE))</f>
        <v/>
      </c>
    </row>
    <row r="96" spans="1:25" ht="14.25" hidden="1" customHeight="1" x14ac:dyDescent="0.25">
      <c r="A96" s="11"/>
      <c r="B96" s="11">
        <f t="shared" si="3"/>
        <v>9</v>
      </c>
      <c r="C96" s="11" t="s">
        <v>148</v>
      </c>
      <c r="D96" s="11"/>
      <c r="E96" s="23"/>
      <c r="F96" s="11">
        <f>VLOOKUP($G96, SeanRanks26!$A$2:$H$303, 5, FALSE)</f>
        <v>0</v>
      </c>
      <c r="G96" s="11" t="s">
        <v>278</v>
      </c>
      <c r="H96" s="11" t="str">
        <f>VLOOKUP($G96, '26 ADP Data'!$C$4:$Q$298, 2, FALSE)</f>
        <v>LAR</v>
      </c>
      <c r="I96" s="11" t="str">
        <f>VLOOKUP(G96, '26 ADP Data'!$C$4:$R$496, 16, FALSE)</f>
        <v>RB</v>
      </c>
      <c r="J96" s="11" t="str">
        <f>VLOOKUP($G96, SeanRanks26!$A$2:$H$303, 6, FALSE)</f>
        <v>RB3</v>
      </c>
      <c r="K96" s="11">
        <f>VLOOKUP($G96, SeanRanks26!$A$2:$H$303, 7, FALSE)</f>
        <v>30</v>
      </c>
      <c r="L96" s="11">
        <f t="shared" si="4"/>
        <v>8</v>
      </c>
      <c r="M96" s="11">
        <f>VLOOKUP($G96, '26 ADP Data'!$C$4:$Q$298, 10, FALSE)</f>
        <v>92</v>
      </c>
      <c r="N96" s="11">
        <f>VLOOKUP($G96, '26 ADP Data'!$C$4:$Q$298, 13, FALSE)</f>
        <v>86</v>
      </c>
      <c r="O96" s="11">
        <f t="shared" si="5"/>
        <v>6</v>
      </c>
      <c r="P96" s="11">
        <f>VLOOKUP($G96, '26 ADP Data'!$C$4:$Q$298, 3, FALSE)</f>
        <v>101</v>
      </c>
      <c r="Q96" s="11">
        <f>VLOOKUP($G96, '26 ADP Data'!$C$4:$Q$298, 4, FALSE)</f>
        <v>121</v>
      </c>
      <c r="R96" s="11">
        <f>VLOOKUP($G96, '26 ADP Data'!$C$4:$Q$298, 6, FALSE)</f>
        <v>80</v>
      </c>
      <c r="S96" s="11">
        <f>VLOOKUP($G96, '26 ADP Data'!$C$4:$Q$298, 9, FALSE)</f>
        <v>92</v>
      </c>
      <c r="T96" s="11" t="str">
        <f>VLOOKUP($G96, '26 ADP Data'!$C$4:$Q$298, 8, FALSE)</f>
        <v>-</v>
      </c>
      <c r="U96" s="11">
        <f t="shared" si="6"/>
        <v>95</v>
      </c>
      <c r="V96" s="11">
        <f t="shared" si="7"/>
        <v>8</v>
      </c>
      <c r="W96" s="11"/>
      <c r="X96" s="11">
        <f>VLOOKUP($G96, SeanRanks26!$A$2:$K$303, 10, FALSE)-U96</f>
        <v>-3</v>
      </c>
      <c r="Y96" s="25" t="s">
        <v>724</v>
      </c>
    </row>
    <row r="97" spans="1:25" ht="14.25" hidden="1" customHeight="1" x14ac:dyDescent="0.25">
      <c r="A97" s="11"/>
      <c r="B97" s="11">
        <f t="shared" si="3"/>
        <v>9</v>
      </c>
      <c r="C97" s="11" t="s">
        <v>148</v>
      </c>
      <c r="D97" s="11"/>
      <c r="E97" s="23"/>
      <c r="F97" s="11">
        <f>VLOOKUP($G97, SeanRanks26!$A$2:$H$303, 5, FALSE)</f>
        <v>0</v>
      </c>
      <c r="G97" s="11" t="s">
        <v>280</v>
      </c>
      <c r="H97" s="11" t="str">
        <f>VLOOKUP($G97, '26 ADP Data'!$C$4:$Q$298, 2, FALSE)</f>
        <v>CAR</v>
      </c>
      <c r="I97" s="11" t="str">
        <f>VLOOKUP(G97, '26 ADP Data'!$C$4:$R$496, 16, FALSE)</f>
        <v>RB</v>
      </c>
      <c r="J97" s="11" t="str">
        <f>VLOOKUP($G97, SeanRanks26!$A$2:$H$303, 6, FALSE)</f>
        <v>RB4</v>
      </c>
      <c r="K97" s="11">
        <f>VLOOKUP($G97, SeanRanks26!$A$2:$H$303, 7, FALSE)</f>
        <v>37</v>
      </c>
      <c r="L97" s="11">
        <f t="shared" si="4"/>
        <v>8</v>
      </c>
      <c r="M97" s="11">
        <f>VLOOKUP($G97, '26 ADP Data'!$C$4:$Q$298, 10, FALSE)</f>
        <v>84</v>
      </c>
      <c r="N97" s="11">
        <f>VLOOKUP($G97, '26 ADP Data'!$C$4:$Q$298, 13, FALSE)</f>
        <v>99</v>
      </c>
      <c r="O97" s="11">
        <f t="shared" si="5"/>
        <v>-15</v>
      </c>
      <c r="P97" s="11">
        <f>VLOOKUP($G97, '26 ADP Data'!$C$4:$Q$298, 3, FALSE)</f>
        <v>107</v>
      </c>
      <c r="Q97" s="11">
        <f>VLOOKUP($G97, '26 ADP Data'!$C$4:$Q$298, 4, FALSE)</f>
        <v>105</v>
      </c>
      <c r="R97" s="11">
        <f>VLOOKUP($G97, '26 ADP Data'!$C$4:$Q$298, 6, FALSE)</f>
        <v>99</v>
      </c>
      <c r="S97" s="11">
        <f>VLOOKUP($G97, '26 ADP Data'!$C$4:$Q$298, 9, FALSE)</f>
        <v>79</v>
      </c>
      <c r="T97" s="11" t="str">
        <f>VLOOKUP($G97, '26 ADP Data'!$C$4:$Q$298, 8, FALSE)</f>
        <v>-</v>
      </c>
      <c r="U97" s="11">
        <f t="shared" si="6"/>
        <v>95</v>
      </c>
      <c r="V97" s="11">
        <f t="shared" si="7"/>
        <v>8</v>
      </c>
      <c r="W97" s="11"/>
      <c r="X97" s="11">
        <f>VLOOKUP($G97, SeanRanks26!$A$2:$K$303, 10, FALSE)-U97</f>
        <v>-11</v>
      </c>
      <c r="Y97" s="25" t="str">
        <f>IF(VLOOKUP($G97, SeanRanks26!$A$2:$H$303, 8, FALSE)=0, "", VLOOKUP($G97, SeanRanks26!$A$2:$H$303, 8, FALSE))</f>
        <v/>
      </c>
    </row>
    <row r="98" spans="1:25" ht="14.25" hidden="1" customHeight="1" x14ac:dyDescent="0.25">
      <c r="A98" s="11"/>
      <c r="B98" s="11">
        <f t="shared" si="3"/>
        <v>9</v>
      </c>
      <c r="C98" s="11" t="s">
        <v>148</v>
      </c>
      <c r="D98" s="11"/>
      <c r="E98" s="23"/>
      <c r="F98" s="11">
        <f>VLOOKUP($G98, SeanRanks26!$A$2:$H$303, 5, FALSE)</f>
        <v>0</v>
      </c>
      <c r="G98" s="11" t="s">
        <v>272</v>
      </c>
      <c r="H98" s="11" t="str">
        <f>VLOOKUP($G98, '26 ADP Data'!$C$4:$Q$298, 2, FALSE)</f>
        <v>DEN</v>
      </c>
      <c r="I98" s="11" t="str">
        <f>VLOOKUP(G98, '26 ADP Data'!$C$4:$R$496, 16, FALSE)</f>
        <v>RB</v>
      </c>
      <c r="J98" s="11" t="str">
        <f>VLOOKUP($G98, SeanRanks26!$A$2:$H$303, 6, FALSE)</f>
        <v>RB4</v>
      </c>
      <c r="K98" s="11">
        <f>VLOOKUP($G98, SeanRanks26!$A$2:$H$303, 7, FALSE)</f>
        <v>38</v>
      </c>
      <c r="L98" s="11">
        <f t="shared" si="4"/>
        <v>10</v>
      </c>
      <c r="M98" s="11">
        <f>VLOOKUP($G98, '26 ADP Data'!$C$4:$Q$298, 10, FALSE)</f>
        <v>108</v>
      </c>
      <c r="N98" s="11">
        <f>VLOOKUP($G98, '26 ADP Data'!$C$4:$Q$298, 13, FALSE)</f>
        <v>88</v>
      </c>
      <c r="O98" s="11">
        <f t="shared" si="5"/>
        <v>20</v>
      </c>
      <c r="P98" s="11">
        <f>VLOOKUP($G98, '26 ADP Data'!$C$4:$Q$298, 3, FALSE)</f>
        <v>95</v>
      </c>
      <c r="Q98" s="11">
        <f>VLOOKUP($G98, '26 ADP Data'!$C$4:$Q$298, 4, FALSE)</f>
        <v>122</v>
      </c>
      <c r="R98" s="11">
        <f>VLOOKUP($G98, '26 ADP Data'!$C$4:$Q$298, 6, FALSE)</f>
        <v>87</v>
      </c>
      <c r="S98" s="11">
        <f>VLOOKUP($G98, '26 ADP Data'!$C$4:$Q$298, 9, FALSE)</f>
        <v>82</v>
      </c>
      <c r="T98" s="11" t="str">
        <f>VLOOKUP($G98, '26 ADP Data'!$C$4:$Q$298, 8, FALSE)</f>
        <v>-</v>
      </c>
      <c r="U98" s="11">
        <f t="shared" si="6"/>
        <v>97</v>
      </c>
      <c r="V98" s="11">
        <f t="shared" si="7"/>
        <v>9</v>
      </c>
      <c r="W98" s="11"/>
      <c r="X98" s="11">
        <f>VLOOKUP($G98, SeanRanks26!$A$2:$K$303, 10, FALSE)-U98</f>
        <v>11</v>
      </c>
      <c r="Y98" s="25" t="str">
        <f>IF(VLOOKUP($G98, SeanRanks26!$A$2:$H$303, 8, FALSE)=0, "", VLOOKUP($G98, SeanRanks26!$A$2:$H$303, 8, FALSE))</f>
        <v>2025 Rookie R2 - UCF</v>
      </c>
    </row>
    <row r="99" spans="1:25" ht="14.25" hidden="1" customHeight="1" x14ac:dyDescent="0.25">
      <c r="A99" s="11"/>
      <c r="B99" s="11">
        <f t="shared" si="3"/>
        <v>9</v>
      </c>
      <c r="C99" s="11" t="s">
        <v>148</v>
      </c>
      <c r="D99" s="11"/>
      <c r="E99" s="23"/>
      <c r="F99" s="11">
        <f>VLOOKUP($G99, SeanRanks26!$A$2:$H$303, 5, FALSE)</f>
        <v>0</v>
      </c>
      <c r="G99" s="11" t="s">
        <v>300</v>
      </c>
      <c r="H99" s="11" t="str">
        <f>VLOOKUP($G99, '26 ADP Data'!$C$4:$Q$298, 2, FALSE)</f>
        <v>NYG</v>
      </c>
      <c r="I99" s="11" t="str">
        <f>VLOOKUP(G99, '26 ADP Data'!$C$4:$R$496, 16, FALSE)</f>
        <v>QB</v>
      </c>
      <c r="J99" s="11" t="str">
        <f>VLOOKUP($G99, SeanRanks26!$A$2:$H$303, 6, FALSE)</f>
        <v>QB2 - 1 - Strong Streamer</v>
      </c>
      <c r="K99" s="11">
        <f>VLOOKUP($G99, SeanRanks26!$A$2:$H$303, 7, FALSE)</f>
        <v>10</v>
      </c>
      <c r="L99" s="11">
        <f t="shared" si="4"/>
        <v>9</v>
      </c>
      <c r="M99" s="11">
        <f>VLOOKUP($G99, '26 ADP Data'!$C$4:$Q$298, 10, FALSE)</f>
        <v>107</v>
      </c>
      <c r="N99" s="11">
        <f>VLOOKUP($G99, '26 ADP Data'!$C$4:$Q$298, 13, FALSE)</f>
        <v>104</v>
      </c>
      <c r="O99" s="11">
        <f t="shared" si="5"/>
        <v>3</v>
      </c>
      <c r="P99" s="11">
        <f>VLOOKUP($G99, '26 ADP Data'!$C$4:$Q$298, 3, FALSE)</f>
        <v>111</v>
      </c>
      <c r="Q99" s="11">
        <f>VLOOKUP($G99, '26 ADP Data'!$C$4:$Q$298, 4, FALSE)</f>
        <v>72</v>
      </c>
      <c r="R99" s="11">
        <f>VLOOKUP($G99, '26 ADP Data'!$C$4:$Q$298, 6, FALSE)</f>
        <v>124</v>
      </c>
      <c r="S99" s="11">
        <f>VLOOKUP($G99, '26 ADP Data'!$C$4:$Q$298, 9, FALSE)</f>
        <v>104</v>
      </c>
      <c r="T99" s="11" t="str">
        <f>VLOOKUP($G99, '26 ADP Data'!$C$4:$Q$298, 8, FALSE)</f>
        <v>-</v>
      </c>
      <c r="U99" s="11">
        <f t="shared" si="6"/>
        <v>103</v>
      </c>
      <c r="V99" s="11">
        <f t="shared" si="7"/>
        <v>9</v>
      </c>
      <c r="W99" s="11"/>
      <c r="X99" s="11">
        <f>VLOOKUP($G99, SeanRanks26!$A$2:$K$303, 10, FALSE)-U99</f>
        <v>4</v>
      </c>
      <c r="Y99" s="25" t="str">
        <f>IF(VLOOKUP($G99, SeanRanks26!$A$2:$H$303, 8, FALSE)=0, "", VLOOKUP($G99, SeanRanks26!$A$2:$H$303, 8, FALSE))</f>
        <v/>
      </c>
    </row>
    <row r="100" spans="1:25" ht="14.25" customHeight="1" x14ac:dyDescent="0.25">
      <c r="A100" s="11"/>
      <c r="B100" s="11">
        <f t="shared" si="3"/>
        <v>8</v>
      </c>
      <c r="C100" s="11" t="s">
        <v>148</v>
      </c>
      <c r="D100" s="11"/>
      <c r="E100" s="23"/>
      <c r="F100" s="11" t="str">
        <f>VLOOKUP($G100, SeanRanks26!$A$2:$H$303, 5, FALSE)</f>
        <v>No</v>
      </c>
      <c r="G100" s="11" t="s">
        <v>239</v>
      </c>
      <c r="H100" s="11" t="str">
        <f>VLOOKUP($G100, '26 ADP Data'!$C$4:$Q$298, 2, FALSE)</f>
        <v>JAX</v>
      </c>
      <c r="I100" s="11" t="str">
        <f>VLOOKUP(G100, '26 ADP Data'!$C$4:$R$496, 16, FALSE)</f>
        <v>WR</v>
      </c>
      <c r="J100" s="11" t="str">
        <f>VLOOKUP($G100, SeanRanks26!$A$2:$H$303, 6, FALSE)</f>
        <v>WR4 - 2 - Spot Start</v>
      </c>
      <c r="K100" s="11">
        <f>VLOOKUP($G100, SeanRanks26!$A$2:$H$303, 7, FALSE)</f>
        <v>40</v>
      </c>
      <c r="L100" s="11">
        <f t="shared" si="4"/>
        <v>7</v>
      </c>
      <c r="M100" s="11">
        <f>VLOOKUP($G100, '26 ADP Data'!$C$4:$Q$298, 10, FALSE)</f>
        <v>73</v>
      </c>
      <c r="N100" s="11">
        <f>VLOOKUP($G100, '26 ADP Data'!$C$4:$Q$298, 13, FALSE)</f>
        <v>64</v>
      </c>
      <c r="O100" s="11">
        <f t="shared" si="5"/>
        <v>9</v>
      </c>
      <c r="P100" s="11">
        <f>VLOOKUP($G100, '26 ADP Data'!$C$4:$Q$298, 3, FALSE)</f>
        <v>83</v>
      </c>
      <c r="Q100" s="11">
        <f>VLOOKUP($G100, '26 ADP Data'!$C$4:$Q$298, 4, FALSE)</f>
        <v>108</v>
      </c>
      <c r="R100" s="11">
        <f>VLOOKUP($G100, '26 ADP Data'!$C$4:$Q$298, 6, FALSE)</f>
        <v>79</v>
      </c>
      <c r="S100" s="11">
        <f>VLOOKUP($G100, '26 ADP Data'!$C$4:$Q$298, 9, FALSE)</f>
        <v>75</v>
      </c>
      <c r="T100" s="11" t="str">
        <f>VLOOKUP($G100, '26 ADP Data'!$C$4:$Q$298, 8, FALSE)</f>
        <v>-</v>
      </c>
      <c r="U100" s="11">
        <f t="shared" si="6"/>
        <v>80</v>
      </c>
      <c r="V100" s="11">
        <f t="shared" si="7"/>
        <v>7</v>
      </c>
      <c r="W100" s="11"/>
      <c r="X100" s="11">
        <f>VLOOKUP($G100, SeanRanks26!$A$2:$K$303, 10, FALSE)-U100</f>
        <v>-7</v>
      </c>
      <c r="Y100" s="25" t="str">
        <f>IF(VLOOKUP($G100, SeanRanks26!$A$2:$H$303, 8, FALSE)=0, "", VLOOKUP($G100, SeanRanks26!$A$2:$H$303, 8, FALSE))</f>
        <v/>
      </c>
    </row>
    <row r="101" spans="1:25" ht="14.25" customHeight="1" x14ac:dyDescent="0.25">
      <c r="A101" s="11"/>
      <c r="B101" s="11">
        <f t="shared" si="3"/>
        <v>10</v>
      </c>
      <c r="C101" s="11" t="s">
        <v>148</v>
      </c>
      <c r="D101" s="11"/>
      <c r="E101" s="23"/>
      <c r="F101" s="11">
        <f>VLOOKUP($G101, SeanRanks26!$A$2:$H$303, 5, FALSE)</f>
        <v>0</v>
      </c>
      <c r="G101" s="11" t="s">
        <v>296</v>
      </c>
      <c r="H101" s="11" t="str">
        <f>VLOOKUP($G101, '26 ADP Data'!$C$4:$Q$298, 2, FALSE)</f>
        <v>GB</v>
      </c>
      <c r="I101" s="11" t="str">
        <f>VLOOKUP(G101, '26 ADP Data'!$C$4:$R$496, 16, FALSE)</f>
        <v>WR</v>
      </c>
      <c r="J101" s="11" t="str">
        <f>VLOOKUP($G101, SeanRanks26!$A$2:$H$303, 6, FALSE)</f>
        <v>WR4 - 2 - Spot Start</v>
      </c>
      <c r="K101" s="11">
        <f>VLOOKUP($G101, SeanRanks26!$A$2:$H$303, 7, FALSE)</f>
        <v>41</v>
      </c>
      <c r="L101" s="11">
        <f t="shared" si="4"/>
        <v>8</v>
      </c>
      <c r="M101" s="11">
        <f>VLOOKUP($G101, '26 ADP Data'!$C$4:$Q$298, 10, FALSE)</f>
        <v>94</v>
      </c>
      <c r="N101" s="11">
        <f>VLOOKUP($G101, '26 ADP Data'!$C$4:$Q$298, 13, FALSE)</f>
        <v>78</v>
      </c>
      <c r="O101" s="11">
        <f t="shared" si="5"/>
        <v>16</v>
      </c>
      <c r="P101" s="11">
        <f>VLOOKUP($G101, '26 ADP Data'!$C$4:$Q$298, 3, FALSE)</f>
        <v>121</v>
      </c>
      <c r="Q101" s="11">
        <f>VLOOKUP($G101, '26 ADP Data'!$C$4:$Q$298, 4, FALSE)</f>
        <v>137</v>
      </c>
      <c r="R101" s="11">
        <f>VLOOKUP($G101, '26 ADP Data'!$C$4:$Q$298, 6, FALSE)</f>
        <v>103</v>
      </c>
      <c r="S101" s="11">
        <f>VLOOKUP($G101, '26 ADP Data'!$C$4:$Q$298, 9, FALSE)</f>
        <v>101</v>
      </c>
      <c r="T101" s="11" t="str">
        <f>VLOOKUP($G101, '26 ADP Data'!$C$4:$Q$298, 8, FALSE)</f>
        <v>-</v>
      </c>
      <c r="U101" s="11">
        <f t="shared" si="6"/>
        <v>105</v>
      </c>
      <c r="V101" s="11">
        <f t="shared" si="7"/>
        <v>9</v>
      </c>
      <c r="W101" s="11"/>
      <c r="X101" s="11">
        <f>VLOOKUP($G101, SeanRanks26!$A$2:$K$303, 10, FALSE)-U101</f>
        <v>-11</v>
      </c>
      <c r="Y101" s="25" t="str">
        <f>IF(VLOOKUP($G101, SeanRanks26!$A$2:$H$303, 8, FALSE)=0, "", VLOOKUP($G101, SeanRanks26!$A$2:$H$303, 8, FALSE))</f>
        <v/>
      </c>
    </row>
    <row r="102" spans="1:25" ht="14.25" hidden="1" customHeight="1" x14ac:dyDescent="0.25">
      <c r="A102" s="11"/>
      <c r="B102" s="11">
        <f t="shared" si="3"/>
        <v>9</v>
      </c>
      <c r="C102" s="11" t="s">
        <v>148</v>
      </c>
      <c r="D102" s="11"/>
      <c r="E102" s="23"/>
      <c r="F102" s="11">
        <f>VLOOKUP($G102, SeanRanks26!$A$2:$H$303, 5, FALSE)</f>
        <v>0</v>
      </c>
      <c r="G102" s="11" t="s">
        <v>298</v>
      </c>
      <c r="H102" s="11" t="str">
        <f>VLOOKUP($G102, '26 ADP Data'!$C$4:$Q$298, 2, FALSE)</f>
        <v>WAS</v>
      </c>
      <c r="I102" s="11" t="str">
        <f>VLOOKUP(G102, '26 ADP Data'!$C$4:$R$496, 16, FALSE)</f>
        <v>RB</v>
      </c>
      <c r="J102" s="11" t="str">
        <f>VLOOKUP($G102, SeanRanks26!$A$2:$H$303, 6, FALSE)</f>
        <v>RB3</v>
      </c>
      <c r="K102" s="11">
        <f>VLOOKUP($G102, SeanRanks26!$A$2:$H$303, 7, FALSE)</f>
        <v>31</v>
      </c>
      <c r="L102" s="11">
        <f t="shared" si="4"/>
        <v>8</v>
      </c>
      <c r="M102" s="11">
        <f>VLOOKUP($G102, '26 ADP Data'!$C$4:$Q$298, 10, FALSE)</f>
        <v>91</v>
      </c>
      <c r="N102" s="11">
        <f>VLOOKUP($G102, '26 ADP Data'!$C$4:$Q$298, 13, FALSE)</f>
        <v>100</v>
      </c>
      <c r="O102" s="11">
        <f t="shared" si="5"/>
        <v>-9</v>
      </c>
      <c r="P102" s="11">
        <f>VLOOKUP($G102, '26 ADP Data'!$C$4:$Q$298, 3, FALSE)</f>
        <v>102</v>
      </c>
      <c r="Q102" s="11">
        <f>VLOOKUP($G102, '26 ADP Data'!$C$4:$Q$298, 4, FALSE)</f>
        <v>132</v>
      </c>
      <c r="R102" s="11">
        <f>VLOOKUP($G102, '26 ADP Data'!$C$4:$Q$298, 6, FALSE)</f>
        <v>97</v>
      </c>
      <c r="S102" s="11">
        <f>VLOOKUP($G102, '26 ADP Data'!$C$4:$Q$298, 9, FALSE)</f>
        <v>98</v>
      </c>
      <c r="T102" s="11" t="str">
        <f>VLOOKUP($G102, '26 ADP Data'!$C$4:$Q$298, 8, FALSE)</f>
        <v>-</v>
      </c>
      <c r="U102" s="11">
        <f t="shared" si="6"/>
        <v>103</v>
      </c>
      <c r="V102" s="11">
        <f t="shared" si="7"/>
        <v>9</v>
      </c>
      <c r="W102" s="11"/>
      <c r="X102" s="11">
        <f>VLOOKUP($G102, SeanRanks26!$A$2:$K$303, 10, FALSE)-U102</f>
        <v>-12</v>
      </c>
      <c r="Y102" s="25" t="str">
        <f>IF(VLOOKUP($G102, SeanRanks26!$A$2:$H$303, 8, FALSE)=0, "", VLOOKUP($G102, SeanRanks26!$A$2:$H$303, 8, FALSE))</f>
        <v>2025 Rookie R7</v>
      </c>
    </row>
    <row r="103" spans="1:25" ht="14.25" hidden="1" customHeight="1" x14ac:dyDescent="0.25">
      <c r="A103" s="11"/>
      <c r="B103" s="11">
        <f t="shared" si="3"/>
        <v>10</v>
      </c>
      <c r="C103" s="11" t="s">
        <v>148</v>
      </c>
      <c r="D103" s="11"/>
      <c r="E103" s="23"/>
      <c r="F103" s="11">
        <f>VLOOKUP($G103, SeanRanks26!$A$2:$H$303, 5, FALSE)</f>
        <v>0</v>
      </c>
      <c r="G103" s="11" t="s">
        <v>308</v>
      </c>
      <c r="H103" s="11" t="str">
        <f>VLOOKUP($G103, '26 ADP Data'!$C$4:$Q$298, 2, FALSE)</f>
        <v>SF</v>
      </c>
      <c r="I103" s="11" t="str">
        <f>VLOOKUP(G103, '26 ADP Data'!$C$4:$R$496, 16, FALSE)</f>
        <v>QB</v>
      </c>
      <c r="J103" s="11" t="str">
        <f>VLOOKUP($G103, SeanRanks26!$A$2:$H$303, 6, FALSE)</f>
        <v>QB2 - 2 - Lower Floor</v>
      </c>
      <c r="K103" s="11">
        <f>VLOOKUP($G103, SeanRanks26!$A$2:$H$303, 7, FALSE)</f>
        <v>14</v>
      </c>
      <c r="L103" s="11">
        <f t="shared" si="4"/>
        <v>9</v>
      </c>
      <c r="M103" s="11">
        <f>VLOOKUP($G103, '26 ADP Data'!$C$4:$Q$298, 10, FALSE)</f>
        <v>101</v>
      </c>
      <c r="N103" s="11">
        <f>VLOOKUP($G103, '26 ADP Data'!$C$4:$Q$298, 13, FALSE)</f>
        <v>103</v>
      </c>
      <c r="O103" s="11">
        <f t="shared" si="5"/>
        <v>-2</v>
      </c>
      <c r="P103" s="11">
        <f>VLOOKUP($G103, '26 ADP Data'!$C$4:$Q$298, 3, FALSE)</f>
        <v>100</v>
      </c>
      <c r="Q103" s="11">
        <f>VLOOKUP($G103, '26 ADP Data'!$C$4:$Q$298, 4, FALSE)</f>
        <v>100</v>
      </c>
      <c r="R103" s="11">
        <f>VLOOKUP($G103, '26 ADP Data'!$C$4:$Q$298, 6, FALSE)</f>
        <v>119</v>
      </c>
      <c r="S103" s="11">
        <f>VLOOKUP($G103, '26 ADP Data'!$C$4:$Q$298, 9, FALSE)</f>
        <v>125</v>
      </c>
      <c r="T103" s="11" t="str">
        <f>VLOOKUP($G103, '26 ADP Data'!$C$4:$Q$298, 8, FALSE)</f>
        <v>-</v>
      </c>
      <c r="U103" s="11">
        <f t="shared" si="6"/>
        <v>108</v>
      </c>
      <c r="V103" s="11">
        <f t="shared" si="7"/>
        <v>10</v>
      </c>
      <c r="W103" s="11"/>
      <c r="X103" s="11">
        <f>VLOOKUP($G103, SeanRanks26!$A$2:$K$303, 10, FALSE)-U103</f>
        <v>-7</v>
      </c>
      <c r="Y103" s="25" t="str">
        <f>IF(VLOOKUP($G103, SeanRanks26!$A$2:$H$303, 8, FALSE)=0, "", VLOOKUP($G103, SeanRanks26!$A$2:$H$303, 8, FALSE))</f>
        <v/>
      </c>
    </row>
    <row r="104" spans="1:25" ht="14.25" hidden="1" customHeight="1" x14ac:dyDescent="0.25">
      <c r="A104" s="11"/>
      <c r="B104" s="11">
        <f t="shared" si="3"/>
        <v>8</v>
      </c>
      <c r="C104" s="11" t="s">
        <v>148</v>
      </c>
      <c r="D104" s="11"/>
      <c r="E104" s="23"/>
      <c r="F104" s="11">
        <f>VLOOKUP($G104, SeanRanks26!$A$2:$H$303, 5, FALSE)</f>
        <v>0</v>
      </c>
      <c r="G104" s="11" t="s">
        <v>312</v>
      </c>
      <c r="H104" s="11" t="str">
        <f>VLOOKUP($G104, '26 ADP Data'!$C$4:$Q$298, 2, FALSE)</f>
        <v>KC</v>
      </c>
      <c r="I104" s="11" t="str">
        <f>VLOOKUP(G104, '26 ADP Data'!$C$4:$R$496, 16, FALSE)</f>
        <v>TE</v>
      </c>
      <c r="J104" s="11" t="str">
        <f>VLOOKUP($G104, SeanRanks26!$A$2:$H$303, 6, FALSE)</f>
        <v>TE1 - 3 - Weekly starter</v>
      </c>
      <c r="K104" s="11">
        <f>VLOOKUP($G104, SeanRanks26!$A$2:$H$303, 7, FALSE)</f>
        <v>9</v>
      </c>
      <c r="L104" s="11">
        <f t="shared" si="4"/>
        <v>10</v>
      </c>
      <c r="M104" s="11">
        <f>VLOOKUP($G104, '26 ADP Data'!$C$4:$Q$298, 10, FALSE)</f>
        <v>118</v>
      </c>
      <c r="N104" s="11">
        <f>VLOOKUP($G104, '26 ADP Data'!$C$4:$Q$298, 13, FALSE)</f>
        <v>124</v>
      </c>
      <c r="O104" s="11">
        <f t="shared" si="5"/>
        <v>-6</v>
      </c>
      <c r="P104" s="11">
        <f>VLOOKUP($G104, '26 ADP Data'!$C$4:$Q$298, 3, FALSE)</f>
        <v>99</v>
      </c>
      <c r="Q104" s="11">
        <f>VLOOKUP($G104, '26 ADP Data'!$C$4:$Q$298, 4, FALSE)</f>
        <v>86</v>
      </c>
      <c r="R104" s="11">
        <f>VLOOKUP($G104, '26 ADP Data'!$C$4:$Q$298, 6, FALSE)</f>
        <v>83</v>
      </c>
      <c r="S104" s="11">
        <f>VLOOKUP($G104, '26 ADP Data'!$C$4:$Q$298, 9, FALSE)</f>
        <v>93</v>
      </c>
      <c r="T104" s="11" t="str">
        <f>VLOOKUP($G104, '26 ADP Data'!$C$4:$Q$298, 8, FALSE)</f>
        <v>-</v>
      </c>
      <c r="U104" s="11">
        <f t="shared" si="6"/>
        <v>100</v>
      </c>
      <c r="V104" s="11">
        <f t="shared" si="7"/>
        <v>9</v>
      </c>
      <c r="W104" s="11"/>
      <c r="X104" s="11">
        <f>VLOOKUP($G104, SeanRanks26!$A$2:$K$303, 10, FALSE)-U104</f>
        <v>18</v>
      </c>
      <c r="Y104" s="25" t="str">
        <f>IF(VLOOKUP($G104, SeanRanks26!$A$2:$H$303, 8, FALSE)=0, "", VLOOKUP($G104, SeanRanks26!$A$2:$H$303, 8, FALSE))</f>
        <v/>
      </c>
    </row>
    <row r="105" spans="1:25" ht="14.25" customHeight="1" x14ac:dyDescent="0.25">
      <c r="A105" s="11"/>
      <c r="B105" s="11">
        <f t="shared" si="3"/>
        <v>10</v>
      </c>
      <c r="C105" s="11" t="s">
        <v>148</v>
      </c>
      <c r="D105" s="11"/>
      <c r="E105" s="23"/>
      <c r="F105" s="11">
        <f>VLOOKUP($G105, SeanRanks26!$A$2:$H$303, 5, FALSE)</f>
        <v>0</v>
      </c>
      <c r="G105" s="11" t="s">
        <v>294</v>
      </c>
      <c r="H105" s="11" t="str">
        <f>VLOOKUP($G105, '26 ADP Data'!$C$4:$Q$298, 2, FALSE)</f>
        <v>MIN</v>
      </c>
      <c r="I105" s="11" t="str">
        <f>VLOOKUP(G105, '26 ADP Data'!$C$4:$R$496, 16, FALSE)</f>
        <v>WR</v>
      </c>
      <c r="J105" s="11" t="str">
        <f>VLOOKUP($G105, SeanRanks26!$A$2:$H$303, 6, FALSE)</f>
        <v>WR4 - 2 - Spot Start</v>
      </c>
      <c r="K105" s="11">
        <f>VLOOKUP($G105, SeanRanks26!$A$2:$H$303, 7, FALSE)</f>
        <v>42</v>
      </c>
      <c r="L105" s="11">
        <f t="shared" si="4"/>
        <v>8</v>
      </c>
      <c r="M105" s="11">
        <f>VLOOKUP($G105, '26 ADP Data'!$C$4:$Q$298, 10, FALSE)</f>
        <v>95</v>
      </c>
      <c r="N105" s="11">
        <f>VLOOKUP($G105, '26 ADP Data'!$C$4:$Q$298, 13, FALSE)</f>
        <v>89</v>
      </c>
      <c r="O105" s="11">
        <f t="shared" si="5"/>
        <v>6</v>
      </c>
      <c r="P105" s="11">
        <f>VLOOKUP($G105, '26 ADP Data'!$C$4:$Q$298, 3, FALSE)</f>
        <v>109</v>
      </c>
      <c r="Q105" s="11">
        <f>VLOOKUP($G105, '26 ADP Data'!$C$4:$Q$298, 4, FALSE)</f>
        <v>117</v>
      </c>
      <c r="R105" s="11">
        <f>VLOOKUP($G105, '26 ADP Data'!$C$4:$Q$298, 6, FALSE)</f>
        <v>116</v>
      </c>
      <c r="S105" s="11">
        <f>VLOOKUP($G105, '26 ADP Data'!$C$4:$Q$298, 9, FALSE)</f>
        <v>100</v>
      </c>
      <c r="T105" s="11" t="str">
        <f>VLOOKUP($G105, '26 ADP Data'!$C$4:$Q$298, 8, FALSE)</f>
        <v>-</v>
      </c>
      <c r="U105" s="11">
        <f t="shared" si="6"/>
        <v>104</v>
      </c>
      <c r="V105" s="11">
        <f t="shared" si="7"/>
        <v>9</v>
      </c>
      <c r="W105" s="11"/>
      <c r="X105" s="11">
        <f>VLOOKUP($G105, SeanRanks26!$A$2:$K$303, 10, FALSE)-U105</f>
        <v>-9</v>
      </c>
      <c r="Y105" s="25" t="str">
        <f>IF(VLOOKUP($G105, SeanRanks26!$A$2:$H$303, 8, FALSE)=0, "", VLOOKUP($G105, SeanRanks26!$A$2:$H$303, 8, FALSE))</f>
        <v/>
      </c>
    </row>
    <row r="106" spans="1:25" ht="14.25" hidden="1" customHeight="1" x14ac:dyDescent="0.25">
      <c r="A106" s="11"/>
      <c r="B106" s="11">
        <f t="shared" si="3"/>
        <v>8</v>
      </c>
      <c r="C106" s="11" t="s">
        <v>148</v>
      </c>
      <c r="D106" s="11"/>
      <c r="E106" s="23"/>
      <c r="F106" s="11">
        <f>VLOOKUP($G106, SeanRanks26!$A$2:$H$303, 5, FALSE)</f>
        <v>0</v>
      </c>
      <c r="G106" s="11" t="s">
        <v>282</v>
      </c>
      <c r="H106" s="11" t="str">
        <f>VLOOKUP($G106, '26 ADP Data'!$C$4:$Q$298, 2, FALSE)</f>
        <v>TB</v>
      </c>
      <c r="I106" s="11" t="str">
        <f>VLOOKUP(G106, '26 ADP Data'!$C$4:$R$496, 16, FALSE)</f>
        <v>RB</v>
      </c>
      <c r="J106" s="11" t="str">
        <f>VLOOKUP($G106, SeanRanks26!$A$2:$H$303, 6, FALSE)</f>
        <v>RB4</v>
      </c>
      <c r="K106" s="11">
        <f>VLOOKUP($G106, SeanRanks26!$A$2:$H$303, 7, FALSE)</f>
        <v>40</v>
      </c>
      <c r="L106" s="11">
        <f t="shared" si="4"/>
        <v>10</v>
      </c>
      <c r="M106" s="11">
        <f>VLOOKUP($G106, '26 ADP Data'!$C$4:$Q$298, 10, FALSE)</f>
        <v>111</v>
      </c>
      <c r="N106" s="11">
        <f>VLOOKUP($G106, '26 ADP Data'!$C$4:$Q$298, 13, FALSE)</f>
        <v>110</v>
      </c>
      <c r="O106" s="11">
        <f t="shared" si="5"/>
        <v>1</v>
      </c>
      <c r="P106" s="11">
        <f>VLOOKUP($G106, '26 ADP Data'!$C$4:$Q$298, 3, FALSE)</f>
        <v>98</v>
      </c>
      <c r="Q106" s="11">
        <f>VLOOKUP($G106, '26 ADP Data'!$C$4:$Q$298, 4, FALSE)</f>
        <v>90</v>
      </c>
      <c r="R106" s="11">
        <f>VLOOKUP($G106, '26 ADP Data'!$C$4:$Q$298, 6, FALSE)</f>
        <v>84</v>
      </c>
      <c r="S106" s="11">
        <f>VLOOKUP($G106, '26 ADP Data'!$C$4:$Q$298, 9, FALSE)</f>
        <v>107</v>
      </c>
      <c r="T106" s="11" t="str">
        <f>VLOOKUP($G106, '26 ADP Data'!$C$4:$Q$298, 8, FALSE)</f>
        <v>-</v>
      </c>
      <c r="U106" s="11">
        <f t="shared" si="6"/>
        <v>100</v>
      </c>
      <c r="V106" s="11">
        <f t="shared" si="7"/>
        <v>9</v>
      </c>
      <c r="W106" s="11"/>
      <c r="X106" s="11">
        <f>VLOOKUP($G106, SeanRanks26!$A$2:$K$303, 10, FALSE)-U106</f>
        <v>11</v>
      </c>
      <c r="Y106" s="25" t="str">
        <f>IF(VLOOKUP($G106, SeanRanks26!$A$2:$H$303, 8, FALSE)=0, "", VLOOKUP($G106, SeanRanks26!$A$2:$H$303, 8, FALSE))</f>
        <v/>
      </c>
    </row>
    <row r="107" spans="1:25" ht="14.25" customHeight="1" x14ac:dyDescent="0.25">
      <c r="A107" s="11"/>
      <c r="B107" s="11">
        <f t="shared" si="3"/>
        <v>9</v>
      </c>
      <c r="C107" s="11" t="s">
        <v>148</v>
      </c>
      <c r="D107" s="11"/>
      <c r="E107" s="23"/>
      <c r="F107" s="11">
        <f>VLOOKUP($G107, SeanRanks26!$A$2:$H$303, 5, FALSE)</f>
        <v>0</v>
      </c>
      <c r="G107" s="11" t="s">
        <v>270</v>
      </c>
      <c r="H107" s="11" t="str">
        <f>VLOOKUP($G107, '26 ADP Data'!$C$4:$Q$298, 2, FALSE)</f>
        <v>LAC</v>
      </c>
      <c r="I107" s="11" t="str">
        <f>VLOOKUP(G107, '26 ADP Data'!$C$4:$R$496, 16, FALSE)</f>
        <v>WR</v>
      </c>
      <c r="J107" s="11" t="str">
        <f>VLOOKUP($G107, SeanRanks26!$A$2:$H$303, 6, FALSE)</f>
        <v>WR4 - 2 - Spot Start</v>
      </c>
      <c r="K107" s="11">
        <f>VLOOKUP($G107, SeanRanks26!$A$2:$H$303, 7, FALSE)</f>
        <v>43</v>
      </c>
      <c r="L107" s="11">
        <f t="shared" si="4"/>
        <v>8</v>
      </c>
      <c r="M107" s="11">
        <f>VLOOKUP($G107, '26 ADP Data'!$C$4:$Q$298, 10, FALSE)</f>
        <v>89</v>
      </c>
      <c r="N107" s="11">
        <f>VLOOKUP($G107, '26 ADP Data'!$C$4:$Q$298, 13, FALSE)</f>
        <v>71</v>
      </c>
      <c r="O107" s="11">
        <f t="shared" si="5"/>
        <v>18</v>
      </c>
      <c r="P107" s="11">
        <f>VLOOKUP($G107, '26 ADP Data'!$C$4:$Q$298, 3, FALSE)</f>
        <v>92</v>
      </c>
      <c r="Q107" s="11">
        <f>VLOOKUP($G107, '26 ADP Data'!$C$4:$Q$298, 4, FALSE)</f>
        <v>128</v>
      </c>
      <c r="R107" s="11">
        <f>VLOOKUP($G107, '26 ADP Data'!$C$4:$Q$298, 6, FALSE)</f>
        <v>91</v>
      </c>
      <c r="S107" s="11">
        <f>VLOOKUP($G107, '26 ADP Data'!$C$4:$Q$298, 9, FALSE)</f>
        <v>102</v>
      </c>
      <c r="T107" s="11" t="str">
        <f>VLOOKUP($G107, '26 ADP Data'!$C$4:$Q$298, 8, FALSE)</f>
        <v>-</v>
      </c>
      <c r="U107" s="11">
        <f t="shared" si="6"/>
        <v>95</v>
      </c>
      <c r="V107" s="11">
        <f t="shared" si="7"/>
        <v>8</v>
      </c>
      <c r="W107" s="11"/>
      <c r="X107" s="11">
        <f>VLOOKUP($G107, SeanRanks26!$A$2:$K$303, 10, FALSE)-U107</f>
        <v>-6</v>
      </c>
      <c r="Y107" s="25" t="str">
        <f>IF(VLOOKUP($G107, SeanRanks26!$A$2:$H$303, 8, FALSE)=0, "", VLOOKUP($G107, SeanRanks26!$A$2:$H$303, 8, FALSE))</f>
        <v/>
      </c>
    </row>
    <row r="108" spans="1:25" ht="14.25" hidden="1" customHeight="1" x14ac:dyDescent="0.25">
      <c r="A108" s="11"/>
      <c r="B108" s="11">
        <f t="shared" si="3"/>
        <v>9</v>
      </c>
      <c r="C108" s="11" t="s">
        <v>148</v>
      </c>
      <c r="D108" s="11"/>
      <c r="E108" s="23"/>
      <c r="F108" s="11">
        <f>VLOOKUP($G108, SeanRanks26!$A$2:$H$303, 5, FALSE)</f>
        <v>0</v>
      </c>
      <c r="G108" s="11" t="s">
        <v>306</v>
      </c>
      <c r="H108" s="11" t="str">
        <f>VLOOKUP($G108, '26 ADP Data'!$C$4:$Q$298, 2, FALSE)</f>
        <v>LAR</v>
      </c>
      <c r="I108" s="11" t="str">
        <f>VLOOKUP(G108, '26 ADP Data'!$C$4:$R$496, 16, FALSE)</f>
        <v>QB</v>
      </c>
      <c r="J108" s="11" t="str">
        <f>VLOOKUP($G108, SeanRanks26!$A$2:$H$303, 6, FALSE)</f>
        <v>QB2 - 2 - Lower Floor</v>
      </c>
      <c r="K108" s="11">
        <f>VLOOKUP($G108, SeanRanks26!$A$2:$H$303, 7, FALSE)</f>
        <v>15</v>
      </c>
      <c r="L108" s="11">
        <f t="shared" si="4"/>
        <v>10</v>
      </c>
      <c r="M108" s="11">
        <f>VLOOKUP($G108, '26 ADP Data'!$C$4:$Q$298, 10, FALSE)</f>
        <v>115</v>
      </c>
      <c r="N108" s="11">
        <f>VLOOKUP($G108, '26 ADP Data'!$C$4:$Q$298, 13, FALSE)</f>
        <v>113</v>
      </c>
      <c r="O108" s="11">
        <f t="shared" si="5"/>
        <v>2</v>
      </c>
      <c r="P108" s="11">
        <f>VLOOKUP($G108, '26 ADP Data'!$C$4:$Q$298, 3, FALSE)</f>
        <v>94</v>
      </c>
      <c r="Q108" s="11">
        <f>VLOOKUP($G108, '26 ADP Data'!$C$4:$Q$298, 4, FALSE)</f>
        <v>85</v>
      </c>
      <c r="R108" s="11">
        <f>VLOOKUP($G108, '26 ADP Data'!$C$4:$Q$298, 6, FALSE)</f>
        <v>133</v>
      </c>
      <c r="S108" s="11">
        <f>VLOOKUP($G108, '26 ADP Data'!$C$4:$Q$298, 9, FALSE)</f>
        <v>106</v>
      </c>
      <c r="T108" s="11" t="str">
        <f>VLOOKUP($G108, '26 ADP Data'!$C$4:$Q$298, 8, FALSE)</f>
        <v>-</v>
      </c>
      <c r="U108" s="11">
        <f t="shared" si="6"/>
        <v>107</v>
      </c>
      <c r="V108" s="11">
        <f t="shared" si="7"/>
        <v>9</v>
      </c>
      <c r="W108" s="11"/>
      <c r="X108" s="11">
        <f>VLOOKUP($G108, SeanRanks26!$A$2:$K$303, 10, FALSE)-U108</f>
        <v>8</v>
      </c>
      <c r="Y108" s="25" t="str">
        <f>IF(VLOOKUP($G108, SeanRanks26!$A$2:$H$303, 8, FALSE)=0, "", VLOOKUP($G108, SeanRanks26!$A$2:$H$303, 8, FALSE))</f>
        <v/>
      </c>
    </row>
    <row r="109" spans="1:25" ht="14.25" hidden="1" customHeight="1" x14ac:dyDescent="0.25">
      <c r="A109" s="11"/>
      <c r="B109" s="11">
        <f t="shared" si="3"/>
        <v>9</v>
      </c>
      <c r="C109" s="11" t="s">
        <v>148</v>
      </c>
      <c r="D109" s="11"/>
      <c r="E109" s="23"/>
      <c r="F109" s="11">
        <f>VLOOKUP($G109, SeanRanks26!$A$2:$H$303, 5, FALSE)</f>
        <v>0</v>
      </c>
      <c r="G109" s="11" t="s">
        <v>322</v>
      </c>
      <c r="H109" s="11" t="str">
        <f>VLOOKUP($G109, '26 ADP Data'!$C$4:$Q$298, 2, FALSE)</f>
        <v>PHI</v>
      </c>
      <c r="I109" s="11" t="str">
        <f>VLOOKUP(G109, '26 ADP Data'!$C$4:$R$496, 16, FALSE)</f>
        <v>TE</v>
      </c>
      <c r="J109" s="11" t="str">
        <f>VLOOKUP($G109, SeanRanks26!$A$2:$H$303, 6, FALSE)</f>
        <v>TE1 - 3 - Weekly starter</v>
      </c>
      <c r="K109" s="11">
        <f>VLOOKUP($G109, SeanRanks26!$A$2:$H$303, 7, FALSE)</f>
        <v>12</v>
      </c>
      <c r="L109" s="11">
        <f t="shared" si="4"/>
        <v>10</v>
      </c>
      <c r="M109" s="11">
        <f>VLOOKUP($G109, '26 ADP Data'!$C$4:$Q$298, 10, FALSE)</f>
        <v>116</v>
      </c>
      <c r="N109" s="11">
        <f>VLOOKUP($G109, '26 ADP Data'!$C$4:$Q$298, 13, FALSE)</f>
        <v>132</v>
      </c>
      <c r="O109" s="11">
        <f t="shared" si="5"/>
        <v>-16</v>
      </c>
      <c r="P109" s="11">
        <f>VLOOKUP($G109, '26 ADP Data'!$C$4:$Q$298, 3, FALSE)</f>
        <v>84</v>
      </c>
      <c r="Q109" s="11">
        <f>VLOOKUP($G109, '26 ADP Data'!$C$4:$Q$298, 4, FALSE)</f>
        <v>92</v>
      </c>
      <c r="R109" s="11">
        <f>VLOOKUP($G109, '26 ADP Data'!$C$4:$Q$298, 6, FALSE)</f>
        <v>89</v>
      </c>
      <c r="S109" s="11">
        <f>VLOOKUP($G109, '26 ADP Data'!$C$4:$Q$298, 9, FALSE)</f>
        <v>124</v>
      </c>
      <c r="T109" s="11" t="str">
        <f>VLOOKUP($G109, '26 ADP Data'!$C$4:$Q$298, 8, FALSE)</f>
        <v>-</v>
      </c>
      <c r="U109" s="11">
        <f t="shared" si="6"/>
        <v>106</v>
      </c>
      <c r="V109" s="11">
        <f t="shared" si="7"/>
        <v>9</v>
      </c>
      <c r="W109" s="11"/>
      <c r="X109" s="11">
        <f>VLOOKUP($G109, SeanRanks26!$A$2:$K$303, 10, FALSE)-U109</f>
        <v>10</v>
      </c>
      <c r="Y109" s="25" t="str">
        <f>IF(VLOOKUP($G109, SeanRanks26!$A$2:$H$303, 8, FALSE)=0, "", VLOOKUP($G109, SeanRanks26!$A$2:$H$303, 8, FALSE))</f>
        <v/>
      </c>
    </row>
    <row r="110" spans="1:25" ht="14.25" customHeight="1" x14ac:dyDescent="0.25">
      <c r="A110" s="11"/>
      <c r="B110" s="11">
        <f t="shared" si="3"/>
        <v>11</v>
      </c>
      <c r="C110" s="11" t="s">
        <v>148</v>
      </c>
      <c r="D110" s="11"/>
      <c r="E110" s="23"/>
      <c r="F110" s="11">
        <f>VLOOKUP($G110, SeanRanks26!$A$2:$H$303, 5, FALSE)</f>
        <v>0</v>
      </c>
      <c r="G110" s="11" t="s">
        <v>344</v>
      </c>
      <c r="H110" s="11" t="str">
        <f>VLOOKUP($G110, '26 ADP Data'!$C$4:$Q$298, 2, FALSE)</f>
        <v>KC</v>
      </c>
      <c r="I110" s="11" t="str">
        <f>VLOOKUP(G110, '26 ADP Data'!$C$4:$R$496, 16, FALSE)</f>
        <v>WR</v>
      </c>
      <c r="J110" s="11" t="str">
        <f>VLOOKUP($G110, SeanRanks26!$A$2:$H$303, 6, FALSE)</f>
        <v>WR4 - 2 - Spot Start</v>
      </c>
      <c r="K110" s="11">
        <f>VLOOKUP($G110, SeanRanks26!$A$2:$H$303, 7, FALSE)</f>
        <v>44</v>
      </c>
      <c r="L110" s="11">
        <f t="shared" si="4"/>
        <v>11</v>
      </c>
      <c r="M110" s="11">
        <f>VLOOKUP($G110, '26 ADP Data'!$C$4:$Q$298, 10, FALSE)</f>
        <v>131</v>
      </c>
      <c r="N110" s="11">
        <f>VLOOKUP($G110, '26 ADP Data'!$C$4:$Q$298, 13, FALSE)</f>
        <v>107</v>
      </c>
      <c r="O110" s="11">
        <f t="shared" si="5"/>
        <v>24</v>
      </c>
      <c r="P110" s="11">
        <f>VLOOKUP($G110, '26 ADP Data'!$C$4:$Q$298, 3, FALSE)</f>
        <v>141</v>
      </c>
      <c r="Q110" s="11">
        <f>VLOOKUP($G110, '26 ADP Data'!$C$4:$Q$298, 4, FALSE)</f>
        <v>126</v>
      </c>
      <c r="R110" s="11">
        <f>VLOOKUP($G110, '26 ADP Data'!$C$4:$Q$298, 6, FALSE)</f>
        <v>129</v>
      </c>
      <c r="S110" s="11">
        <f>VLOOKUP($G110, '26 ADP Data'!$C$4:$Q$298, 9, FALSE)</f>
        <v>127</v>
      </c>
      <c r="T110" s="11" t="str">
        <f>VLOOKUP($G110, '26 ADP Data'!$C$4:$Q$298, 8, FALSE)</f>
        <v>-</v>
      </c>
      <c r="U110" s="11">
        <f t="shared" si="6"/>
        <v>126</v>
      </c>
      <c r="V110" s="11">
        <f t="shared" si="7"/>
        <v>11</v>
      </c>
      <c r="W110" s="11"/>
      <c r="X110" s="11">
        <f>VLOOKUP($G110, SeanRanks26!$A$2:$K$303, 10, FALSE)-U110</f>
        <v>5</v>
      </c>
      <c r="Y110" s="25" t="str">
        <f>IF(VLOOKUP($G110, SeanRanks26!$A$2:$H$303, 8, FALSE)=0, "", VLOOKUP($G110, SeanRanks26!$A$2:$H$303, 8, FALSE))</f>
        <v>Check injury status</v>
      </c>
    </row>
    <row r="111" spans="1:25" ht="14.25" hidden="1" customHeight="1" x14ac:dyDescent="0.25">
      <c r="A111" s="11"/>
      <c r="B111" s="11">
        <f t="shared" si="3"/>
        <v>9</v>
      </c>
      <c r="C111" s="11" t="s">
        <v>148</v>
      </c>
      <c r="D111" s="11"/>
      <c r="E111" s="23"/>
      <c r="F111" s="11" t="str">
        <f>VLOOKUP($G111, SeanRanks26!$A$2:$H$303, 5, FALSE)</f>
        <v>Yes</v>
      </c>
      <c r="G111" s="11" t="s">
        <v>292</v>
      </c>
      <c r="H111" s="11" t="str">
        <f>VLOOKUP($G111, '26 ADP Data'!$C$4:$Q$298, 2, FALSE)</f>
        <v>MIN</v>
      </c>
      <c r="I111" s="11" t="str">
        <f>VLOOKUP(G111, '26 ADP Data'!$C$4:$R$496, 16, FALSE)</f>
        <v>RB</v>
      </c>
      <c r="J111" s="11" t="str">
        <f>VLOOKUP($G111, SeanRanks26!$A$2:$H$303, 6, FALSE)</f>
        <v>RB3</v>
      </c>
      <c r="K111" s="11">
        <f>VLOOKUP($G111, SeanRanks26!$A$2:$H$303, 7, FALSE)</f>
        <v>36</v>
      </c>
      <c r="L111" s="11">
        <f t="shared" si="4"/>
        <v>9</v>
      </c>
      <c r="M111" s="11">
        <f>VLOOKUP($G111, '26 ADP Data'!$C$4:$Q$298, 10, FALSE)</f>
        <v>103</v>
      </c>
      <c r="N111" s="11">
        <f>VLOOKUP($G111, '26 ADP Data'!$C$4:$Q$298, 13, FALSE)</f>
        <v>96</v>
      </c>
      <c r="O111" s="11">
        <f t="shared" si="5"/>
        <v>7</v>
      </c>
      <c r="P111" s="11">
        <f>VLOOKUP($G111, '26 ADP Data'!$C$4:$Q$298, 3, FALSE)</f>
        <v>93</v>
      </c>
      <c r="Q111" s="11">
        <f>VLOOKUP($G111, '26 ADP Data'!$C$4:$Q$298, 4, FALSE)</f>
        <v>139</v>
      </c>
      <c r="R111" s="11">
        <f>VLOOKUP($G111, '26 ADP Data'!$C$4:$Q$298, 6, FALSE)</f>
        <v>86</v>
      </c>
      <c r="S111" s="11">
        <f>VLOOKUP($G111, '26 ADP Data'!$C$4:$Q$298, 9, FALSE)</f>
        <v>95</v>
      </c>
      <c r="T111" s="11" t="str">
        <f>VLOOKUP($G111, '26 ADP Data'!$C$4:$Q$298, 8, FALSE)</f>
        <v>-</v>
      </c>
      <c r="U111" s="11">
        <f t="shared" si="6"/>
        <v>102</v>
      </c>
      <c r="V111" s="11">
        <f t="shared" si="7"/>
        <v>9</v>
      </c>
      <c r="W111" s="11"/>
      <c r="X111" s="11">
        <f>VLOOKUP($G111, SeanRanks26!$A$2:$K$303, 10, FALSE)-U111</f>
        <v>1</v>
      </c>
      <c r="Y111" s="25" t="str">
        <f>IF(VLOOKUP($G111, SeanRanks26!$A$2:$H$303, 8, FALSE)=0, "", VLOOKUP($G111, SeanRanks26!$A$2:$H$303, 8, FALSE))</f>
        <v/>
      </c>
    </row>
    <row r="112" spans="1:25" ht="14.25" hidden="1" customHeight="1" x14ac:dyDescent="0.25">
      <c r="A112" s="11"/>
      <c r="B112" s="11">
        <f t="shared" si="3"/>
        <v>10</v>
      </c>
      <c r="C112" s="11" t="s">
        <v>148</v>
      </c>
      <c r="D112" s="11"/>
      <c r="E112" s="23"/>
      <c r="F112" s="11">
        <f>VLOOKUP($G112, SeanRanks26!$A$2:$H$303, 5, FALSE)</f>
        <v>0</v>
      </c>
      <c r="G112" s="11" t="s">
        <v>310</v>
      </c>
      <c r="H112" s="11" t="str">
        <f>VLOOKUP($G112, '26 ADP Data'!$C$4:$Q$298, 2, FALSE)</f>
        <v>KC</v>
      </c>
      <c r="I112" s="11" t="str">
        <f>VLOOKUP(G112, '26 ADP Data'!$C$4:$R$496, 16, FALSE)</f>
        <v>QB</v>
      </c>
      <c r="J112" s="11" t="str">
        <f>VLOOKUP($G112, SeanRanks26!$A$2:$H$303, 6, FALSE)</f>
        <v>QB2 - 1 - Strong Streamer</v>
      </c>
      <c r="K112" s="11">
        <f>VLOOKUP($G112, SeanRanks26!$A$2:$H$303, 7, FALSE)</f>
        <v>11</v>
      </c>
      <c r="L112" s="11">
        <f t="shared" si="4"/>
        <v>11</v>
      </c>
      <c r="M112" s="11">
        <f>VLOOKUP($G112, '26 ADP Data'!$C$4:$Q$298, 10, FALSE)</f>
        <v>122</v>
      </c>
      <c r="N112" s="11">
        <f>VLOOKUP($G112, '26 ADP Data'!$C$4:$Q$298, 13, FALSE)</f>
        <v>97</v>
      </c>
      <c r="O112" s="11">
        <f t="shared" si="5"/>
        <v>25</v>
      </c>
      <c r="P112" s="11">
        <f>VLOOKUP($G112, '26 ADP Data'!$C$4:$Q$298, 3, FALSE)</f>
        <v>104</v>
      </c>
      <c r="Q112" s="11">
        <f>VLOOKUP($G112, '26 ADP Data'!$C$4:$Q$298, 4, FALSE)</f>
        <v>102</v>
      </c>
      <c r="R112" s="11">
        <f>VLOOKUP($G112, '26 ADP Data'!$C$4:$Q$298, 6, FALSE)</f>
        <v>130</v>
      </c>
      <c r="S112" s="11">
        <f>VLOOKUP($G112, '26 ADP Data'!$C$4:$Q$298, 9, FALSE)</f>
        <v>115</v>
      </c>
      <c r="T112" s="11" t="str">
        <f>VLOOKUP($G112, '26 ADP Data'!$C$4:$Q$298, 8, FALSE)</f>
        <v>-</v>
      </c>
      <c r="U112" s="11">
        <f t="shared" si="6"/>
        <v>111</v>
      </c>
      <c r="V112" s="11">
        <f t="shared" si="7"/>
        <v>10</v>
      </c>
      <c r="W112" s="11"/>
      <c r="X112" s="11">
        <f>VLOOKUP($G112, SeanRanks26!$A$2:$K$303, 10, FALSE)-U112</f>
        <v>11</v>
      </c>
      <c r="Y112" s="25" t="str">
        <f>IF(VLOOKUP($G112, SeanRanks26!$A$2:$H$303, 8, FALSE)=0, "", VLOOKUP($G112, SeanRanks26!$A$2:$H$303, 8, FALSE))</f>
        <v/>
      </c>
    </row>
    <row r="113" spans="1:25" ht="14.25" customHeight="1" x14ac:dyDescent="0.25">
      <c r="A113" s="11"/>
      <c r="B113" s="11">
        <f t="shared" si="3"/>
        <v>16</v>
      </c>
      <c r="C113" s="11" t="s">
        <v>148</v>
      </c>
      <c r="D113" s="11"/>
      <c r="E113" s="23"/>
      <c r="F113" s="11">
        <f>VLOOKUP($G113, SeanRanks26!$A$2:$H$303, 5, FALSE)</f>
        <v>0</v>
      </c>
      <c r="G113" s="11" t="s">
        <v>442</v>
      </c>
      <c r="H113" s="11" t="str">
        <f>VLOOKUP($G113, '26 ADP Data'!$C$4:$Q$298, 2, FALSE)</f>
        <v>TB</v>
      </c>
      <c r="I113" s="11" t="str">
        <f>VLOOKUP(G113, '26 ADP Data'!$C$4:$R$496, 16, FALSE)</f>
        <v>WR</v>
      </c>
      <c r="J113" s="11" t="str">
        <f>VLOOKUP($G113, SeanRanks26!$A$2:$H$303, 6, FALSE)</f>
        <v>WR4 - 2 - Spot Start</v>
      </c>
      <c r="K113" s="11">
        <f>VLOOKUP($G113, SeanRanks26!$A$2:$H$303, 7, FALSE)</f>
        <v>45</v>
      </c>
      <c r="L113" s="11">
        <f t="shared" si="4"/>
        <v>14</v>
      </c>
      <c r="M113" s="11">
        <f>VLOOKUP($G113, '26 ADP Data'!$C$4:$Q$298, 10, FALSE)</f>
        <v>160</v>
      </c>
      <c r="N113" s="11">
        <f>VLOOKUP($G113, '26 ADP Data'!$C$4:$Q$298, 13, FALSE)</f>
        <v>157</v>
      </c>
      <c r="O113" s="11">
        <f t="shared" si="5"/>
        <v>3</v>
      </c>
      <c r="P113" s="11" t="str">
        <f>VLOOKUP($G113, '26 ADP Data'!$C$4:$Q$298, 3, FALSE)</f>
        <v>-</v>
      </c>
      <c r="Q113" s="11">
        <f>VLOOKUP($G113, '26 ADP Data'!$C$4:$Q$298, 4, FALSE)</f>
        <v>164</v>
      </c>
      <c r="R113" s="11">
        <f>VLOOKUP($G113, '26 ADP Data'!$C$4:$Q$298, 6, FALSE)</f>
        <v>168</v>
      </c>
      <c r="S113" s="11">
        <f>VLOOKUP($G113, '26 ADP Data'!$C$4:$Q$298, 9, FALSE)</f>
        <v>210</v>
      </c>
      <c r="T113" s="11" t="str">
        <f>VLOOKUP($G113, '26 ADP Data'!$C$4:$Q$298, 8, FALSE)</f>
        <v>-</v>
      </c>
      <c r="U113" s="11">
        <f t="shared" si="6"/>
        <v>171</v>
      </c>
      <c r="V113" s="11">
        <f t="shared" si="7"/>
        <v>15</v>
      </c>
      <c r="W113" s="11"/>
      <c r="X113" s="11">
        <f>VLOOKUP($G113, SeanRanks26!$A$2:$K$303, 10, FALSE)-U113</f>
        <v>-11</v>
      </c>
      <c r="Y113" s="25" t="str">
        <f>IF(VLOOKUP($G113, SeanRanks26!$A$2:$H$303, 8, FALSE)=0, "", VLOOKUP($G113, SeanRanks26!$A$2:$H$303, 8, FALSE))</f>
        <v/>
      </c>
    </row>
    <row r="114" spans="1:25" ht="14.25" hidden="1" customHeight="1" x14ac:dyDescent="0.25">
      <c r="A114" s="11"/>
      <c r="B114" s="11">
        <f t="shared" si="3"/>
        <v>10</v>
      </c>
      <c r="C114" s="11" t="s">
        <v>148</v>
      </c>
      <c r="D114" s="11"/>
      <c r="E114" s="23"/>
      <c r="F114" s="11">
        <f>VLOOKUP($G114, SeanRanks26!$A$2:$H$303, 5, FALSE)</f>
        <v>0</v>
      </c>
      <c r="G114" s="11" t="s">
        <v>318</v>
      </c>
      <c r="H114" s="11" t="str">
        <f>VLOOKUP($G114, '26 ADP Data'!$C$4:$Q$298, 2, FALSE)</f>
        <v>DEN</v>
      </c>
      <c r="I114" s="11" t="str">
        <f>VLOOKUP(G114, '26 ADP Data'!$C$4:$R$496, 16, FALSE)</f>
        <v>QB</v>
      </c>
      <c r="J114" s="11" t="str">
        <f>VLOOKUP($G114, SeanRanks26!$A$2:$H$303, 6, FALSE)</f>
        <v>QB2 - 1 - Strong Streamer</v>
      </c>
      <c r="K114" s="11">
        <f>VLOOKUP($G114, SeanRanks26!$A$2:$H$303, 7, FALSE)</f>
        <v>13</v>
      </c>
      <c r="L114" s="11">
        <f t="shared" si="4"/>
        <v>9</v>
      </c>
      <c r="M114" s="11">
        <f>VLOOKUP($G114, '26 ADP Data'!$C$4:$Q$298, 10, FALSE)</f>
        <v>105</v>
      </c>
      <c r="N114" s="11">
        <f>VLOOKUP($G114, '26 ADP Data'!$C$4:$Q$298, 13, FALSE)</f>
        <v>106</v>
      </c>
      <c r="O114" s="11">
        <f t="shared" si="5"/>
        <v>-1</v>
      </c>
      <c r="P114" s="11">
        <f>VLOOKUP($G114, '26 ADP Data'!$C$4:$Q$298, 3, FALSE)</f>
        <v>123</v>
      </c>
      <c r="Q114" s="11">
        <f>VLOOKUP($G114, '26 ADP Data'!$C$4:$Q$298, 4, FALSE)</f>
        <v>95</v>
      </c>
      <c r="R114" s="11">
        <f>VLOOKUP($G114, '26 ADP Data'!$C$4:$Q$298, 6, FALSE)</f>
        <v>126</v>
      </c>
      <c r="S114" s="11">
        <f>VLOOKUP($G114, '26 ADP Data'!$C$4:$Q$298, 9, FALSE)</f>
        <v>118</v>
      </c>
      <c r="T114" s="11" t="str">
        <f>VLOOKUP($G114, '26 ADP Data'!$C$4:$Q$298, 8, FALSE)</f>
        <v>-</v>
      </c>
      <c r="U114" s="11">
        <f t="shared" si="6"/>
        <v>112</v>
      </c>
      <c r="V114" s="11">
        <f t="shared" si="7"/>
        <v>10</v>
      </c>
      <c r="W114" s="11"/>
      <c r="X114" s="11">
        <f>VLOOKUP($G114, SeanRanks26!$A$2:$K$303, 10, FALSE)-U114</f>
        <v>-7</v>
      </c>
      <c r="Y114" s="25" t="str">
        <f>IF(VLOOKUP($G114, SeanRanks26!$A$2:$H$303, 8, FALSE)=0, "", VLOOKUP($G114, SeanRanks26!$A$2:$H$303, 8, FALSE))</f>
        <v/>
      </c>
    </row>
    <row r="115" spans="1:25" ht="14.25" hidden="1" customHeight="1" x14ac:dyDescent="0.25">
      <c r="A115" s="11"/>
      <c r="B115" s="11">
        <f t="shared" si="3"/>
        <v>10</v>
      </c>
      <c r="C115" s="11" t="s">
        <v>148</v>
      </c>
      <c r="D115" s="11"/>
      <c r="E115" s="23"/>
      <c r="F115" s="11">
        <f>VLOOKUP($G115, SeanRanks26!$A$2:$H$303, 5, FALSE)</f>
        <v>0</v>
      </c>
      <c r="G115" s="11" t="s">
        <v>316</v>
      </c>
      <c r="H115" s="11" t="str">
        <f>VLOOKUP($G115, '26 ADP Data'!$C$4:$Q$298, 2, FALSE)</f>
        <v>CHI</v>
      </c>
      <c r="I115" s="11" t="str">
        <f>VLOOKUP(G115, '26 ADP Data'!$C$4:$R$496, 16, FALSE)</f>
        <v>RB</v>
      </c>
      <c r="J115" s="11" t="str">
        <f>VLOOKUP($G115, SeanRanks26!$A$2:$H$303, 6, FALSE)</f>
        <v>RB3</v>
      </c>
      <c r="K115" s="11">
        <f>VLOOKUP($G115, SeanRanks26!$A$2:$H$303, 7, FALSE)</f>
        <v>35</v>
      </c>
      <c r="L115" s="11">
        <f t="shared" si="4"/>
        <v>10</v>
      </c>
      <c r="M115" s="11">
        <f>VLOOKUP($G115, '26 ADP Data'!$C$4:$Q$298, 10, FALSE)</f>
        <v>110</v>
      </c>
      <c r="N115" s="11">
        <f>VLOOKUP($G115, '26 ADP Data'!$C$4:$Q$298, 13, FALSE)</f>
        <v>108</v>
      </c>
      <c r="O115" s="11">
        <f t="shared" si="5"/>
        <v>2</v>
      </c>
      <c r="P115" s="11">
        <f>VLOOKUP($G115, '26 ADP Data'!$C$4:$Q$298, 3, FALSE)</f>
        <v>112</v>
      </c>
      <c r="Q115" s="11">
        <f>VLOOKUP($G115, '26 ADP Data'!$C$4:$Q$298, 4, FALSE)</f>
        <v>119</v>
      </c>
      <c r="R115" s="11">
        <f>VLOOKUP($G115, '26 ADP Data'!$C$4:$Q$298, 6, FALSE)</f>
        <v>112</v>
      </c>
      <c r="S115" s="11">
        <f>VLOOKUP($G115, '26 ADP Data'!$C$4:$Q$298, 9, FALSE)</f>
        <v>96</v>
      </c>
      <c r="T115" s="11" t="str">
        <f>VLOOKUP($G115, '26 ADP Data'!$C$4:$Q$298, 8, FALSE)</f>
        <v>-</v>
      </c>
      <c r="U115" s="11">
        <f t="shared" si="6"/>
        <v>109</v>
      </c>
      <c r="V115" s="11">
        <f t="shared" si="7"/>
        <v>10</v>
      </c>
      <c r="W115" s="11"/>
      <c r="X115" s="11">
        <f>VLOOKUP($G115, SeanRanks26!$A$2:$K$303, 10, FALSE)-U115</f>
        <v>1</v>
      </c>
      <c r="Y115" s="25" t="str">
        <f>IF(VLOOKUP($G115, SeanRanks26!$A$2:$H$303, 8, FALSE)=0, "", VLOOKUP($G115, SeanRanks26!$A$2:$H$303, 8, FALSE))</f>
        <v>2025 Rookie R7</v>
      </c>
    </row>
    <row r="116" spans="1:25" ht="14.25" customHeight="1" x14ac:dyDescent="0.25">
      <c r="A116" s="11"/>
      <c r="B116" s="11">
        <f t="shared" si="3"/>
        <v>9</v>
      </c>
      <c r="C116" s="11" t="s">
        <v>148</v>
      </c>
      <c r="D116" s="11"/>
      <c r="E116" s="23"/>
      <c r="F116" s="11">
        <f>VLOOKUP($G116, SeanRanks26!$A$2:$H$303, 5, FALSE)</f>
        <v>0</v>
      </c>
      <c r="G116" s="11" t="s">
        <v>284</v>
      </c>
      <c r="H116" s="11" t="str">
        <f>VLOOKUP($G116, '26 ADP Data'!$C$4:$Q$298, 2, FALSE)</f>
        <v>PIT</v>
      </c>
      <c r="I116" s="11" t="str">
        <f>VLOOKUP(G116, '26 ADP Data'!$C$4:$R$496, 16, FALSE)</f>
        <v>WR</v>
      </c>
      <c r="J116" s="11" t="str">
        <f>VLOOKUP($G116, SeanRanks26!$A$2:$H$303, 6, FALSE)</f>
        <v>WR4 - 2 - Spot Start</v>
      </c>
      <c r="K116" s="11">
        <f>VLOOKUP($G116, SeanRanks26!$A$2:$H$303, 7, FALSE)</f>
        <v>47</v>
      </c>
      <c r="L116" s="11">
        <f t="shared" si="4"/>
        <v>9</v>
      </c>
      <c r="M116" s="11">
        <f>VLOOKUP($G116, '26 ADP Data'!$C$4:$Q$298, 10, FALSE)</f>
        <v>104</v>
      </c>
      <c r="N116" s="11">
        <f>VLOOKUP($G116, '26 ADP Data'!$C$4:$Q$298, 13, FALSE)</f>
        <v>102</v>
      </c>
      <c r="O116" s="11">
        <f t="shared" si="5"/>
        <v>2</v>
      </c>
      <c r="P116" s="11">
        <f>VLOOKUP($G116, '26 ADP Data'!$C$4:$Q$298, 3, FALSE)</f>
        <v>113</v>
      </c>
      <c r="Q116" s="11">
        <f>VLOOKUP($G116, '26 ADP Data'!$C$4:$Q$298, 4, FALSE)</f>
        <v>82</v>
      </c>
      <c r="R116" s="11">
        <f>VLOOKUP($G116, '26 ADP Data'!$C$4:$Q$298, 6, FALSE)</f>
        <v>98</v>
      </c>
      <c r="S116" s="11">
        <f>VLOOKUP($G116, '26 ADP Data'!$C$4:$Q$298, 9, FALSE)</f>
        <v>103</v>
      </c>
      <c r="T116" s="11" t="str">
        <f>VLOOKUP($G116, '26 ADP Data'!$C$4:$Q$298, 8, FALSE)</f>
        <v>-</v>
      </c>
      <c r="U116" s="11">
        <f t="shared" si="6"/>
        <v>100</v>
      </c>
      <c r="V116" s="11">
        <f t="shared" si="7"/>
        <v>9</v>
      </c>
      <c r="W116" s="11"/>
      <c r="X116" s="11">
        <f>VLOOKUP($G116, SeanRanks26!$A$2:$K$303, 10, FALSE)-U116</f>
        <v>4</v>
      </c>
      <c r="Y116" s="25" t="str">
        <f>IF(VLOOKUP($G116, SeanRanks26!$A$2:$H$303, 8, FALSE)=0, "", VLOOKUP($G116, SeanRanks26!$A$2:$H$303, 8, FALSE))</f>
        <v/>
      </c>
    </row>
    <row r="117" spans="1:25" ht="14.25" hidden="1" customHeight="1" x14ac:dyDescent="0.25">
      <c r="A117" s="11"/>
      <c r="B117" s="11">
        <f t="shared" si="3"/>
        <v>9</v>
      </c>
      <c r="C117" s="11" t="s">
        <v>148</v>
      </c>
      <c r="D117" s="11"/>
      <c r="E117" s="23"/>
      <c r="F117" s="11">
        <f>VLOOKUP($G117, SeanRanks26!$A$2:$H$303, 5, FALSE)</f>
        <v>0</v>
      </c>
      <c r="G117" s="11" t="s">
        <v>324</v>
      </c>
      <c r="H117" s="11" t="str">
        <f>VLOOKUP($G117, '26 ADP Data'!$C$4:$Q$298, 2, FALSE)</f>
        <v>BUF</v>
      </c>
      <c r="I117" s="11" t="str">
        <f>VLOOKUP(G117, '26 ADP Data'!$C$4:$R$496, 16, FALSE)</f>
        <v>TE</v>
      </c>
      <c r="J117" s="11" t="str">
        <f>VLOOKUP($G117, SeanRanks26!$A$2:$H$303, 6, FALSE)</f>
        <v>TE1 - 3 - Weekly starter</v>
      </c>
      <c r="K117" s="11">
        <f>VLOOKUP($G117, SeanRanks26!$A$2:$H$303, 7, FALSE)</f>
        <v>13</v>
      </c>
      <c r="L117" s="11">
        <f t="shared" si="4"/>
        <v>9</v>
      </c>
      <c r="M117" s="11">
        <f>VLOOKUP($G117, '26 ADP Data'!$C$4:$Q$298, 10, FALSE)</f>
        <v>106</v>
      </c>
      <c r="N117" s="11">
        <f>VLOOKUP($G117, '26 ADP Data'!$C$4:$Q$298, 13, FALSE)</f>
        <v>120</v>
      </c>
      <c r="O117" s="11">
        <f t="shared" si="5"/>
        <v>-14</v>
      </c>
      <c r="P117" s="11">
        <f>VLOOKUP($G117, '26 ADP Data'!$C$4:$Q$298, 3, FALSE)</f>
        <v>117</v>
      </c>
      <c r="Q117" s="11">
        <f>VLOOKUP($G117, '26 ADP Data'!$C$4:$Q$298, 4, FALSE)</f>
        <v>125</v>
      </c>
      <c r="R117" s="11">
        <f>VLOOKUP($G117, '26 ADP Data'!$C$4:$Q$298, 6, FALSE)</f>
        <v>85</v>
      </c>
      <c r="S117" s="11">
        <f>VLOOKUP($G117, '26 ADP Data'!$C$4:$Q$298, 9, FALSE)</f>
        <v>91</v>
      </c>
      <c r="T117" s="11" t="str">
        <f>VLOOKUP($G117, '26 ADP Data'!$C$4:$Q$298, 8, FALSE)</f>
        <v>-</v>
      </c>
      <c r="U117" s="11">
        <f t="shared" si="6"/>
        <v>107</v>
      </c>
      <c r="V117" s="11">
        <f t="shared" si="7"/>
        <v>9</v>
      </c>
      <c r="W117" s="11"/>
      <c r="X117" s="11">
        <f>VLOOKUP($G117, SeanRanks26!$A$2:$K$303, 10, FALSE)-U117</f>
        <v>-1</v>
      </c>
      <c r="Y117" s="25" t="str">
        <f>IF(VLOOKUP($G117, SeanRanks26!$A$2:$H$303, 8, FALSE)=0, "", VLOOKUP($G117, SeanRanks26!$A$2:$H$303, 8, FALSE))</f>
        <v/>
      </c>
    </row>
    <row r="118" spans="1:25" ht="14.25" customHeight="1" x14ac:dyDescent="0.25">
      <c r="A118" s="11"/>
      <c r="B118" s="11">
        <f t="shared" si="3"/>
        <v>8</v>
      </c>
      <c r="C118" s="11" t="s">
        <v>148</v>
      </c>
      <c r="D118" s="11"/>
      <c r="E118" s="23"/>
      <c r="F118" s="11">
        <f>VLOOKUP($G118, SeanRanks26!$A$2:$H$303, 5, FALSE)</f>
        <v>0</v>
      </c>
      <c r="G118" s="11" t="s">
        <v>268</v>
      </c>
      <c r="H118" s="11" t="str">
        <f>VLOOKUP($G118, '26 ADP Data'!$C$4:$Q$298, 2, FALSE)</f>
        <v>ARI</v>
      </c>
      <c r="I118" s="11" t="str">
        <f>VLOOKUP(G118, '26 ADP Data'!$C$4:$R$496, 16, FALSE)</f>
        <v>WR</v>
      </c>
      <c r="J118" s="11" t="str">
        <f>VLOOKUP($G118, SeanRanks26!$A$2:$H$303, 6, FALSE)</f>
        <v>WR4 - 2 - Spot Start</v>
      </c>
      <c r="K118" s="11">
        <f>VLOOKUP($G118, SeanRanks26!$A$2:$H$303, 7, FALSE)</f>
        <v>49</v>
      </c>
      <c r="L118" s="11">
        <f t="shared" si="4"/>
        <v>8</v>
      </c>
      <c r="M118" s="11">
        <f>VLOOKUP($G118, '26 ADP Data'!$C$4:$Q$298, 10, FALSE)</f>
        <v>90</v>
      </c>
      <c r="N118" s="11">
        <f>VLOOKUP($G118, '26 ADP Data'!$C$4:$Q$298, 13, FALSE)</f>
        <v>92</v>
      </c>
      <c r="O118" s="11">
        <f t="shared" si="5"/>
        <v>-2</v>
      </c>
      <c r="P118" s="11">
        <f>VLOOKUP($G118, '26 ADP Data'!$C$4:$Q$298, 3, FALSE)</f>
        <v>96</v>
      </c>
      <c r="Q118" s="11">
        <f>VLOOKUP($G118, '26 ADP Data'!$C$4:$Q$298, 4, FALSE)</f>
        <v>99</v>
      </c>
      <c r="R118" s="11">
        <f>VLOOKUP($G118, '26 ADP Data'!$C$4:$Q$298, 6, FALSE)</f>
        <v>95</v>
      </c>
      <c r="S118" s="11">
        <f>VLOOKUP($G118, '26 ADP Data'!$C$4:$Q$298, 9, FALSE)</f>
        <v>89</v>
      </c>
      <c r="T118" s="11" t="str">
        <f>VLOOKUP($G118, '26 ADP Data'!$C$4:$Q$298, 8, FALSE)</f>
        <v>-</v>
      </c>
      <c r="U118" s="11">
        <f t="shared" si="6"/>
        <v>93</v>
      </c>
      <c r="V118" s="11">
        <f t="shared" si="7"/>
        <v>8</v>
      </c>
      <c r="W118" s="11"/>
      <c r="X118" s="11">
        <f>VLOOKUP($G118, SeanRanks26!$A$2:$K$303, 10, FALSE)-U118</f>
        <v>-3</v>
      </c>
      <c r="Y118" s="25" t="str">
        <f>IF(VLOOKUP($G118, SeanRanks26!$A$2:$H$303, 8, FALSE)=0, "", VLOOKUP($G118, SeanRanks26!$A$2:$H$303, 8, FALSE))</f>
        <v/>
      </c>
    </row>
    <row r="119" spans="1:25" ht="14.25" hidden="1" customHeight="1" x14ac:dyDescent="0.25">
      <c r="A119" s="11"/>
      <c r="B119" s="11">
        <f t="shared" si="3"/>
        <v>9</v>
      </c>
      <c r="C119" s="11" t="s">
        <v>148</v>
      </c>
      <c r="D119" s="11"/>
      <c r="E119" s="23"/>
      <c r="F119" s="11">
        <f>VLOOKUP($G119, SeanRanks26!$A$2:$H$303, 5, FALSE)</f>
        <v>0</v>
      </c>
      <c r="G119" s="11" t="s">
        <v>326</v>
      </c>
      <c r="H119" s="11" t="str">
        <f>VLOOKUP($G119, '26 ADP Data'!$C$4:$Q$298, 2, FALSE)</f>
        <v>NYG</v>
      </c>
      <c r="I119" s="11" t="str">
        <f>VLOOKUP(G119, '26 ADP Data'!$C$4:$R$496, 16, FALSE)</f>
        <v>TE</v>
      </c>
      <c r="J119" s="11" t="str">
        <f>VLOOKUP($G119, SeanRanks26!$A$2:$H$303, 6, FALSE)</f>
        <v>TE2</v>
      </c>
      <c r="K119" s="11">
        <f>VLOOKUP($G119, SeanRanks26!$A$2:$H$303, 7, FALSE)</f>
        <v>14</v>
      </c>
      <c r="L119" s="11">
        <f t="shared" si="4"/>
        <v>11</v>
      </c>
      <c r="M119" s="11">
        <f>VLOOKUP($G119, '26 ADP Data'!$C$4:$Q$298, 10, FALSE)</f>
        <v>120</v>
      </c>
      <c r="N119" s="11">
        <f>VLOOKUP($G119, '26 ADP Data'!$C$4:$Q$298, 13, FALSE)</f>
        <v>125</v>
      </c>
      <c r="O119" s="11">
        <f t="shared" si="5"/>
        <v>-5</v>
      </c>
      <c r="P119" s="11">
        <f>VLOOKUP($G119, '26 ADP Data'!$C$4:$Q$298, 3, FALSE)</f>
        <v>91</v>
      </c>
      <c r="Q119" s="11">
        <f>VLOOKUP($G119, '26 ADP Data'!$C$4:$Q$298, 4, FALSE)</f>
        <v>115</v>
      </c>
      <c r="R119" s="11">
        <f>VLOOKUP($G119, '26 ADP Data'!$C$4:$Q$298, 6, FALSE)</f>
        <v>77</v>
      </c>
      <c r="S119" s="11">
        <f>VLOOKUP($G119, '26 ADP Data'!$C$4:$Q$298, 9, FALSE)</f>
        <v>108</v>
      </c>
      <c r="T119" s="11" t="str">
        <f>VLOOKUP($G119, '26 ADP Data'!$C$4:$Q$298, 8, FALSE)</f>
        <v>-</v>
      </c>
      <c r="U119" s="11">
        <f t="shared" si="6"/>
        <v>106</v>
      </c>
      <c r="V119" s="11">
        <f t="shared" si="7"/>
        <v>9</v>
      </c>
      <c r="W119" s="11"/>
      <c r="X119" s="11">
        <f>VLOOKUP($G119, SeanRanks26!$A$2:$K$303, 10, FALSE)-U119</f>
        <v>14</v>
      </c>
      <c r="Y119" s="25" t="str">
        <f>IF(VLOOKUP($G119, SeanRanks26!$A$2:$H$303, 8, FALSE)=0, "", VLOOKUP($G119, SeanRanks26!$A$2:$H$303, 8, FALSE))</f>
        <v/>
      </c>
    </row>
    <row r="120" spans="1:25" ht="14.25" customHeight="1" x14ac:dyDescent="0.25">
      <c r="A120" s="11"/>
      <c r="B120" s="11">
        <f t="shared" si="3"/>
        <v>13</v>
      </c>
      <c r="C120" s="11" t="s">
        <v>148</v>
      </c>
      <c r="D120" s="11"/>
      <c r="E120" s="23"/>
      <c r="F120" s="11">
        <f>VLOOKUP($G120, SeanRanks26!$A$2:$H$303, 5, FALSE)</f>
        <v>0</v>
      </c>
      <c r="G120" s="11" t="s">
        <v>351</v>
      </c>
      <c r="H120" s="11" t="str">
        <f>VLOOKUP($G120, '26 ADP Data'!$C$4:$Q$298, 2, FALSE)</f>
        <v>NO</v>
      </c>
      <c r="I120" s="11" t="str">
        <f>VLOOKUP(G120, '26 ADP Data'!$C$4:$R$496, 16, FALSE)</f>
        <v>WR</v>
      </c>
      <c r="J120" s="11" t="str">
        <f>VLOOKUP($G120, SeanRanks26!$A$2:$H$303, 6, FALSE)</f>
        <v>WR4 - 2 - Spot Start</v>
      </c>
      <c r="K120" s="11">
        <f>VLOOKUP($G120, SeanRanks26!$A$2:$H$303, 7, FALSE)</f>
        <v>50</v>
      </c>
      <c r="L120" s="11">
        <f t="shared" si="4"/>
        <v>11</v>
      </c>
      <c r="M120" s="11">
        <f>VLOOKUP($G120, '26 ADP Data'!$C$4:$Q$298, 10, FALSE)</f>
        <v>129</v>
      </c>
      <c r="N120" s="11">
        <f>VLOOKUP($G120, '26 ADP Data'!$C$4:$Q$298, 13, FALSE)</f>
        <v>91</v>
      </c>
      <c r="O120" s="11">
        <f t="shared" si="5"/>
        <v>38</v>
      </c>
      <c r="P120" s="11">
        <f>VLOOKUP($G120, '26 ADP Data'!$C$4:$Q$298, 3, FALSE)</f>
        <v>157</v>
      </c>
      <c r="Q120" s="11">
        <f>VLOOKUP($G120, '26 ADP Data'!$C$4:$Q$298, 4, FALSE)</f>
        <v>183</v>
      </c>
      <c r="R120" s="11">
        <f>VLOOKUP($G120, '26 ADP Data'!$C$4:$Q$298, 6, FALSE)</f>
        <v>142</v>
      </c>
      <c r="S120" s="11">
        <f>VLOOKUP($G120, '26 ADP Data'!$C$4:$Q$298, 9, FALSE)</f>
        <v>109</v>
      </c>
      <c r="T120" s="11" t="str">
        <f>VLOOKUP($G120, '26 ADP Data'!$C$4:$Q$298, 8, FALSE)</f>
        <v>-</v>
      </c>
      <c r="U120" s="11">
        <f t="shared" si="6"/>
        <v>135</v>
      </c>
      <c r="V120" s="11">
        <f t="shared" si="7"/>
        <v>12</v>
      </c>
      <c r="W120" s="11"/>
      <c r="X120" s="11">
        <f>VLOOKUP($G120, SeanRanks26!$A$2:$K$303, 10, FALSE)-U120</f>
        <v>-6</v>
      </c>
      <c r="Y120" s="25" t="str">
        <f>IF(VLOOKUP($G120, SeanRanks26!$A$2:$H$303, 8, FALSE)=0, "", VLOOKUP($G120, SeanRanks26!$A$2:$H$303, 8, FALSE))</f>
        <v>Rookie R1.8 ASU</v>
      </c>
    </row>
    <row r="121" spans="1:25" ht="14.25" hidden="1" customHeight="1" x14ac:dyDescent="0.25">
      <c r="A121" s="11"/>
      <c r="B121" s="11">
        <f t="shared" si="3"/>
        <v>11</v>
      </c>
      <c r="C121" s="11" t="s">
        <v>148</v>
      </c>
      <c r="D121" s="11"/>
      <c r="E121" s="23"/>
      <c r="F121" s="11">
        <f>VLOOKUP($G121, SeanRanks26!$A$2:$H$303, 5, FALSE)</f>
        <v>0</v>
      </c>
      <c r="G121" s="11" t="s">
        <v>329</v>
      </c>
      <c r="H121" s="11" t="str">
        <f>VLOOKUP($G121, '26 ADP Data'!$C$4:$Q$298, 2, FALSE)</f>
        <v>WAS</v>
      </c>
      <c r="I121" s="11" t="str">
        <f>VLOOKUP(G121, '26 ADP Data'!$C$4:$R$496, 16, FALSE)</f>
        <v>RB</v>
      </c>
      <c r="J121" s="11" t="str">
        <f>VLOOKUP($G121, SeanRanks26!$A$2:$H$303, 6, FALSE)</f>
        <v>RB4</v>
      </c>
      <c r="K121" s="11">
        <f>VLOOKUP($G121, SeanRanks26!$A$2:$H$303, 7, FALSE)</f>
        <v>41</v>
      </c>
      <c r="L121" s="11">
        <f t="shared" si="4"/>
        <v>10</v>
      </c>
      <c r="M121" s="11">
        <f>VLOOKUP($G121, '26 ADP Data'!$C$4:$Q$298, 10, FALSE)</f>
        <v>114</v>
      </c>
      <c r="N121" s="11">
        <f>VLOOKUP($G121, '26 ADP Data'!$C$4:$Q$298, 13, FALSE)</f>
        <v>119</v>
      </c>
      <c r="O121" s="11">
        <f t="shared" si="5"/>
        <v>-5</v>
      </c>
      <c r="P121" s="11">
        <f>VLOOKUP($G121, '26 ADP Data'!$C$4:$Q$298, 3, FALSE)</f>
        <v>127</v>
      </c>
      <c r="Q121" s="11">
        <f>VLOOKUP($G121, '26 ADP Data'!$C$4:$Q$298, 4, FALSE)</f>
        <v>124</v>
      </c>
      <c r="R121" s="11">
        <f>VLOOKUP($G121, '26 ADP Data'!$C$4:$Q$298, 6, FALSE)</f>
        <v>113</v>
      </c>
      <c r="S121" s="11">
        <f>VLOOKUP($G121, '26 ADP Data'!$C$4:$Q$298, 9, FALSE)</f>
        <v>123</v>
      </c>
      <c r="T121" s="11" t="str">
        <f>VLOOKUP($G121, '26 ADP Data'!$C$4:$Q$298, 8, FALSE)</f>
        <v>-</v>
      </c>
      <c r="U121" s="11">
        <f t="shared" si="6"/>
        <v>120</v>
      </c>
      <c r="V121" s="11">
        <f t="shared" si="7"/>
        <v>11</v>
      </c>
      <c r="W121" s="11"/>
      <c r="X121" s="11">
        <f>VLOOKUP($G121, SeanRanks26!$A$2:$K$303, 10, FALSE)-U121</f>
        <v>-6</v>
      </c>
      <c r="Y121" s="25" t="str">
        <f>IF(VLOOKUP($G121, SeanRanks26!$A$2:$H$303, 8, FALSE)=0, "", VLOOKUP($G121, SeanRanks26!$A$2:$H$303, 8, FALSE))</f>
        <v/>
      </c>
    </row>
    <row r="122" spans="1:25" ht="14.25" customHeight="1" x14ac:dyDescent="0.25">
      <c r="A122" s="11"/>
      <c r="B122" s="11">
        <f t="shared" si="3"/>
        <v>10</v>
      </c>
      <c r="C122" s="11" t="s">
        <v>148</v>
      </c>
      <c r="D122" s="11"/>
      <c r="E122" s="23"/>
      <c r="F122" s="11">
        <f>VLOOKUP($G122, SeanRanks26!$A$2:$H$303, 5, FALSE)</f>
        <v>0</v>
      </c>
      <c r="G122" s="11" t="s">
        <v>320</v>
      </c>
      <c r="H122" s="11" t="str">
        <f>VLOOKUP($G122, '26 ADP Data'!$C$4:$Q$298, 2, FALSE)</f>
        <v>GB</v>
      </c>
      <c r="I122" s="11" t="str">
        <f>VLOOKUP(G122, '26 ADP Data'!$C$4:$R$496, 16, FALSE)</f>
        <v>WR</v>
      </c>
      <c r="J122" s="11" t="str">
        <f>VLOOKUP($G122, SeanRanks26!$A$2:$H$303, 6, FALSE)</f>
        <v>WR4 - 2 - Spot Start</v>
      </c>
      <c r="K122" s="11">
        <f>VLOOKUP($G122, SeanRanks26!$A$2:$H$303, 7, FALSE)</f>
        <v>51</v>
      </c>
      <c r="L122" s="11">
        <f t="shared" si="4"/>
        <v>9</v>
      </c>
      <c r="M122" s="11">
        <f>VLOOKUP($G122, '26 ADP Data'!$C$4:$Q$298, 10, FALSE)</f>
        <v>99</v>
      </c>
      <c r="N122" s="11">
        <f>VLOOKUP($G122, '26 ADP Data'!$C$4:$Q$298, 13, FALSE)</f>
        <v>98</v>
      </c>
      <c r="O122" s="11">
        <f t="shared" si="5"/>
        <v>1</v>
      </c>
      <c r="P122" s="11">
        <f>VLOOKUP($G122, '26 ADP Data'!$C$4:$Q$298, 3, FALSE)</f>
        <v>131</v>
      </c>
      <c r="Q122" s="11">
        <f>VLOOKUP($G122, '26 ADP Data'!$C$4:$Q$298, 4, FALSE)</f>
        <v>110</v>
      </c>
      <c r="R122" s="11">
        <f>VLOOKUP($G122, '26 ADP Data'!$C$4:$Q$298, 6, FALSE)</f>
        <v>114</v>
      </c>
      <c r="S122" s="11">
        <f>VLOOKUP($G122, '26 ADP Data'!$C$4:$Q$298, 9, FALSE)</f>
        <v>119</v>
      </c>
      <c r="T122" s="11" t="str">
        <f>VLOOKUP($G122, '26 ADP Data'!$C$4:$Q$298, 8, FALSE)</f>
        <v>-</v>
      </c>
      <c r="U122" s="11">
        <f t="shared" si="6"/>
        <v>111</v>
      </c>
      <c r="V122" s="11">
        <f t="shared" si="7"/>
        <v>10</v>
      </c>
      <c r="W122" s="11"/>
      <c r="X122" s="11">
        <f>VLOOKUP($G122, SeanRanks26!$A$2:$K$303, 10, FALSE)-U122</f>
        <v>-12</v>
      </c>
      <c r="Y122" s="25" t="str">
        <f>IF(VLOOKUP($G122, SeanRanks26!$A$2:$H$303, 8, FALSE)=0, "", VLOOKUP($G122, SeanRanks26!$A$2:$H$303, 8, FALSE))</f>
        <v>2025 R1</v>
      </c>
    </row>
    <row r="123" spans="1:25" ht="14.25" customHeight="1" x14ac:dyDescent="0.25">
      <c r="A123" s="11"/>
      <c r="B123" s="11">
        <f t="shared" si="3"/>
        <v>10</v>
      </c>
      <c r="C123" s="11" t="s">
        <v>148</v>
      </c>
      <c r="D123" s="11"/>
      <c r="E123" s="23"/>
      <c r="F123" s="11" t="str">
        <f>VLOOKUP($G123, SeanRanks26!$A$2:$H$303, 5, FALSE)</f>
        <v>Yes</v>
      </c>
      <c r="G123" s="11" t="s">
        <v>331</v>
      </c>
      <c r="H123" s="11" t="str">
        <f>VLOOKUP($G123, '26 ADP Data'!$C$4:$Q$298, 2, FALSE)</f>
        <v>CLE</v>
      </c>
      <c r="I123" s="11" t="str">
        <f>VLOOKUP(G123, '26 ADP Data'!$C$4:$R$496, 16, FALSE)</f>
        <v>WR</v>
      </c>
      <c r="J123" s="11" t="str">
        <f>VLOOKUP($G123, SeanRanks26!$A$2:$H$303, 6, FALSE)</f>
        <v>WR5</v>
      </c>
      <c r="K123" s="11">
        <f>VLOOKUP($G123, SeanRanks26!$A$2:$H$303, 7, FALSE)</f>
        <v>52</v>
      </c>
      <c r="L123" s="11">
        <f t="shared" si="4"/>
        <v>9</v>
      </c>
      <c r="M123" s="11">
        <f>VLOOKUP($G123, '26 ADP Data'!$C$4:$Q$298, 10, FALSE)</f>
        <v>98</v>
      </c>
      <c r="N123" s="11">
        <f>VLOOKUP($G123, '26 ADP Data'!$C$4:$Q$298, 13, FALSE)</f>
        <v>111</v>
      </c>
      <c r="O123" s="11">
        <f t="shared" si="5"/>
        <v>-13</v>
      </c>
      <c r="P123" s="11">
        <f>VLOOKUP($G123, '26 ADP Data'!$C$4:$Q$298, 3, FALSE)</f>
        <v>116</v>
      </c>
      <c r="Q123" s="11">
        <f>VLOOKUP($G123, '26 ADP Data'!$C$4:$Q$298, 4, FALSE)</f>
        <v>145</v>
      </c>
      <c r="R123" s="11">
        <f>VLOOKUP($G123, '26 ADP Data'!$C$4:$Q$298, 6, FALSE)</f>
        <v>106</v>
      </c>
      <c r="S123" s="11">
        <f>VLOOKUP($G123, '26 ADP Data'!$C$4:$Q$298, 9, FALSE)</f>
        <v>111</v>
      </c>
      <c r="T123" s="11" t="str">
        <f>VLOOKUP($G123, '26 ADP Data'!$C$4:$Q$298, 8, FALSE)</f>
        <v>-</v>
      </c>
      <c r="U123" s="11">
        <f t="shared" si="6"/>
        <v>114</v>
      </c>
      <c r="V123" s="11">
        <f t="shared" si="7"/>
        <v>10</v>
      </c>
      <c r="W123" s="11"/>
      <c r="X123" s="11">
        <f>VLOOKUP($G123, SeanRanks26!$A$2:$K$303, 10, FALSE)-U123</f>
        <v>-16</v>
      </c>
      <c r="Y123" s="25" t="str">
        <f>IF(VLOOKUP($G123, SeanRanks26!$A$2:$H$303, 8, FALSE)=0, "", VLOOKUP($G123, SeanRanks26!$A$2:$H$303, 8, FALSE))</f>
        <v>Rookie R1.24 Texas A&amp;M</v>
      </c>
    </row>
    <row r="124" spans="1:25" ht="14.25" hidden="1" customHeight="1" x14ac:dyDescent="0.25">
      <c r="A124" s="11"/>
      <c r="B124" s="11">
        <f t="shared" si="3"/>
        <v>10</v>
      </c>
      <c r="C124" s="11" t="s">
        <v>148</v>
      </c>
      <c r="D124" s="11"/>
      <c r="E124" s="23"/>
      <c r="F124" s="11">
        <f>VLOOKUP($G124, SeanRanks26!$A$2:$H$303, 5, FALSE)</f>
        <v>0</v>
      </c>
      <c r="G124" s="11" t="s">
        <v>338</v>
      </c>
      <c r="H124" s="11" t="str">
        <f>VLOOKUP($G124, '26 ADP Data'!$C$4:$Q$298, 2, FALSE)</f>
        <v>MIN</v>
      </c>
      <c r="I124" s="11" t="str">
        <f>VLOOKUP(G124, '26 ADP Data'!$C$4:$R$496, 16, FALSE)</f>
        <v>RB</v>
      </c>
      <c r="J124" s="11" t="str">
        <f>VLOOKUP($G124, SeanRanks26!$A$2:$H$303, 6, FALSE)</f>
        <v>RB4</v>
      </c>
      <c r="K124" s="11">
        <f>VLOOKUP($G124, SeanRanks26!$A$2:$H$303, 7, FALSE)</f>
        <v>42</v>
      </c>
      <c r="L124" s="11">
        <f t="shared" si="4"/>
        <v>11</v>
      </c>
      <c r="M124" s="11">
        <f>VLOOKUP($G124, '26 ADP Data'!$C$4:$Q$298, 10, FALSE)</f>
        <v>123</v>
      </c>
      <c r="N124" s="11">
        <f>VLOOKUP($G124, '26 ADP Data'!$C$4:$Q$298, 13, FALSE)</f>
        <v>126</v>
      </c>
      <c r="O124" s="11">
        <f t="shared" si="5"/>
        <v>-3</v>
      </c>
      <c r="P124" s="11">
        <f>VLOOKUP($G124, '26 ADP Data'!$C$4:$Q$298, 3, FALSE)</f>
        <v>122</v>
      </c>
      <c r="Q124" s="11">
        <f>VLOOKUP($G124, '26 ADP Data'!$C$4:$Q$298, 4, FALSE)</f>
        <v>111</v>
      </c>
      <c r="R124" s="11">
        <f>VLOOKUP($G124, '26 ADP Data'!$C$4:$Q$298, 6, FALSE)</f>
        <v>118</v>
      </c>
      <c r="S124" s="11">
        <f>VLOOKUP($G124, '26 ADP Data'!$C$4:$Q$298, 9, FALSE)</f>
        <v>117</v>
      </c>
      <c r="T124" s="11" t="str">
        <f>VLOOKUP($G124, '26 ADP Data'!$C$4:$Q$298, 8, FALSE)</f>
        <v>-</v>
      </c>
      <c r="U124" s="11">
        <f t="shared" si="6"/>
        <v>119</v>
      </c>
      <c r="V124" s="11">
        <f t="shared" si="7"/>
        <v>10</v>
      </c>
      <c r="W124" s="11"/>
      <c r="X124" s="11">
        <f>VLOOKUP($G124, SeanRanks26!$A$2:$K$303, 10, FALSE)-U124</f>
        <v>4</v>
      </c>
      <c r="Y124" s="25" t="str">
        <f>IF(VLOOKUP($G124, SeanRanks26!$A$2:$H$303, 8, FALSE)=0, "", VLOOKUP($G124, SeanRanks26!$A$2:$H$303, 8, FALSE))</f>
        <v/>
      </c>
    </row>
    <row r="125" spans="1:25" ht="14.25" hidden="1" customHeight="1" x14ac:dyDescent="0.25">
      <c r="A125" s="11"/>
      <c r="B125" s="11">
        <f t="shared" si="3"/>
        <v>10</v>
      </c>
      <c r="C125" s="11" t="s">
        <v>148</v>
      </c>
      <c r="D125" s="11"/>
      <c r="E125" s="23"/>
      <c r="F125" s="11">
        <f>VLOOKUP($G125, SeanRanks26!$A$2:$H$303, 5, FALSE)</f>
        <v>0</v>
      </c>
      <c r="G125" s="11" t="s">
        <v>349</v>
      </c>
      <c r="H125" s="11" t="str">
        <f>VLOOKUP($G125, '26 ADP Data'!$C$4:$Q$298, 2, FALSE)</f>
        <v>BAL</v>
      </c>
      <c r="I125" s="11" t="str">
        <f>VLOOKUP(G125, '26 ADP Data'!$C$4:$R$496, 16, FALSE)</f>
        <v>TE</v>
      </c>
      <c r="J125" s="11" t="str">
        <f>VLOOKUP($G125, SeanRanks26!$A$2:$H$303, 6, FALSE)</f>
        <v>TE2</v>
      </c>
      <c r="K125" s="11">
        <f>VLOOKUP($G125, SeanRanks26!$A$2:$H$303, 7, FALSE)</f>
        <v>16</v>
      </c>
      <c r="L125" s="11">
        <f t="shared" si="4"/>
        <v>12</v>
      </c>
      <c r="M125" s="11">
        <f>VLOOKUP($G125, '26 ADP Data'!$C$4:$Q$298, 10, FALSE)</f>
        <v>135</v>
      </c>
      <c r="N125" s="11">
        <f>VLOOKUP($G125, '26 ADP Data'!$C$4:$Q$298, 13, FALSE)</f>
        <v>134</v>
      </c>
      <c r="O125" s="11">
        <f t="shared" si="5"/>
        <v>1</v>
      </c>
      <c r="P125" s="11">
        <f>VLOOKUP($G125, '26 ADP Data'!$C$4:$Q$298, 3, FALSE)</f>
        <v>119</v>
      </c>
      <c r="Q125" s="11">
        <f>VLOOKUP($G125, '26 ADP Data'!$C$4:$Q$298, 4, FALSE)</f>
        <v>120</v>
      </c>
      <c r="R125" s="11">
        <f>VLOOKUP($G125, '26 ADP Data'!$C$4:$Q$298, 6, FALSE)</f>
        <v>109</v>
      </c>
      <c r="S125" s="11">
        <f>VLOOKUP($G125, '26 ADP Data'!$C$4:$Q$298, 9, FALSE)</f>
        <v>122</v>
      </c>
      <c r="T125" s="11" t="str">
        <f>VLOOKUP($G125, '26 ADP Data'!$C$4:$Q$298, 8, FALSE)</f>
        <v>-</v>
      </c>
      <c r="U125" s="11">
        <f t="shared" si="6"/>
        <v>123</v>
      </c>
      <c r="V125" s="11">
        <f t="shared" si="7"/>
        <v>11</v>
      </c>
      <c r="W125" s="11"/>
      <c r="X125" s="11">
        <f>VLOOKUP($G125, SeanRanks26!$A$2:$K$303, 10, FALSE)-U125</f>
        <v>12</v>
      </c>
      <c r="Y125" s="25" t="str">
        <f>IF(VLOOKUP($G125, SeanRanks26!$A$2:$H$303, 8, FALSE)=0, "", VLOOKUP($G125, SeanRanks26!$A$2:$H$303, 8, FALSE))</f>
        <v/>
      </c>
    </row>
    <row r="126" spans="1:25" ht="14.25" hidden="1" customHeight="1" x14ac:dyDescent="0.25">
      <c r="A126" s="11"/>
      <c r="B126" s="11">
        <f t="shared" si="3"/>
        <v>10</v>
      </c>
      <c r="C126" s="11" t="s">
        <v>148</v>
      </c>
      <c r="D126" s="11"/>
      <c r="E126" s="23"/>
      <c r="F126" s="11">
        <f>VLOOKUP($G126, SeanRanks26!$A$2:$H$303, 5, FALSE)</f>
        <v>0</v>
      </c>
      <c r="G126" s="11" t="s">
        <v>340</v>
      </c>
      <c r="H126" s="11" t="str">
        <f>VLOOKUP($G126, '26 ADP Data'!$C$4:$Q$298, 2, FALSE)</f>
        <v>DAL</v>
      </c>
      <c r="I126" s="11" t="str">
        <f>VLOOKUP(G126, '26 ADP Data'!$C$4:$R$496, 16, FALSE)</f>
        <v>TE</v>
      </c>
      <c r="J126" s="11" t="str">
        <f>VLOOKUP($G126, SeanRanks26!$A$2:$H$303, 6, FALSE)</f>
        <v>TE1 - 3 - Weekly starter</v>
      </c>
      <c r="K126" s="11">
        <f>VLOOKUP($G126, SeanRanks26!$A$2:$H$303, 7, FALSE)</f>
        <v>10</v>
      </c>
      <c r="L126" s="11">
        <f t="shared" si="4"/>
        <v>13</v>
      </c>
      <c r="M126" s="11">
        <f>VLOOKUP($G126, '26 ADP Data'!$C$4:$Q$298, 10, FALSE)</f>
        <v>146</v>
      </c>
      <c r="N126" s="11">
        <f>VLOOKUP($G126, '26 ADP Data'!$C$4:$Q$298, 13, FALSE)</f>
        <v>137</v>
      </c>
      <c r="O126" s="11">
        <f t="shared" si="5"/>
        <v>9</v>
      </c>
      <c r="P126" s="11">
        <f>VLOOKUP($G126, '26 ADP Data'!$C$4:$Q$298, 3, FALSE)</f>
        <v>125</v>
      </c>
      <c r="Q126" s="11">
        <f>VLOOKUP($G126, '26 ADP Data'!$C$4:$Q$298, 4, FALSE)</f>
        <v>109</v>
      </c>
      <c r="R126" s="11">
        <f>VLOOKUP($G126, '26 ADP Data'!$C$4:$Q$298, 6, FALSE)</f>
        <v>100</v>
      </c>
      <c r="S126" s="11">
        <f>VLOOKUP($G126, '26 ADP Data'!$C$4:$Q$298, 9, FALSE)</f>
        <v>113</v>
      </c>
      <c r="T126" s="11" t="str">
        <f>VLOOKUP($G126, '26 ADP Data'!$C$4:$Q$298, 8, FALSE)</f>
        <v>-</v>
      </c>
      <c r="U126" s="11">
        <f t="shared" si="6"/>
        <v>121</v>
      </c>
      <c r="V126" s="11">
        <f t="shared" si="7"/>
        <v>11</v>
      </c>
      <c r="W126" s="11"/>
      <c r="X126" s="11">
        <f>VLOOKUP($G126, SeanRanks26!$A$2:$K$303, 10, FALSE)-U126</f>
        <v>25</v>
      </c>
      <c r="Y126" s="25" t="str">
        <f>IF(VLOOKUP($G126, SeanRanks26!$A$2:$H$303, 8, FALSE)=0, "", VLOOKUP($G126, SeanRanks26!$A$2:$H$303, 8, FALSE))</f>
        <v/>
      </c>
    </row>
    <row r="127" spans="1:25" ht="14.25" customHeight="1" x14ac:dyDescent="0.25">
      <c r="A127" s="11"/>
      <c r="B127" s="11">
        <f t="shared" si="3"/>
        <v>11</v>
      </c>
      <c r="C127" s="11" t="s">
        <v>148</v>
      </c>
      <c r="D127" s="11"/>
      <c r="E127" s="23"/>
      <c r="F127" s="11">
        <f>VLOOKUP($G127, SeanRanks26!$A$2:$H$303, 5, FALSE)</f>
        <v>0</v>
      </c>
      <c r="G127" s="11" t="s">
        <v>335</v>
      </c>
      <c r="H127" s="11" t="str">
        <f>VLOOKUP($G127, '26 ADP Data'!$C$4:$Q$298, 2, FALSE)</f>
        <v>JAX</v>
      </c>
      <c r="I127" s="11" t="str">
        <f>VLOOKUP(G127, '26 ADP Data'!$C$4:$R$496, 16, FALSE)</f>
        <v>WR</v>
      </c>
      <c r="J127" s="11" t="str">
        <f>VLOOKUP($G127, SeanRanks26!$A$2:$H$303, 6, FALSE)</f>
        <v>WR5</v>
      </c>
      <c r="K127" s="11">
        <f>VLOOKUP($G127, SeanRanks26!$A$2:$H$303, 7, FALSE)</f>
        <v>53</v>
      </c>
      <c r="L127" s="11">
        <f t="shared" si="4"/>
        <v>11</v>
      </c>
      <c r="M127" s="11">
        <f>VLOOKUP($G127, '26 ADP Data'!$C$4:$Q$298, 10, FALSE)</f>
        <v>127</v>
      </c>
      <c r="N127" s="11">
        <f>VLOOKUP($G127, '26 ADP Data'!$C$4:$Q$298, 13, FALSE)</f>
        <v>121</v>
      </c>
      <c r="O127" s="11">
        <f t="shared" si="5"/>
        <v>6</v>
      </c>
      <c r="P127" s="11">
        <f>VLOOKUP($G127, '26 ADP Data'!$C$4:$Q$298, 3, FALSE)</f>
        <v>129</v>
      </c>
      <c r="Q127" s="11">
        <f>VLOOKUP($G127, '26 ADP Data'!$C$4:$Q$298, 4, FALSE)</f>
        <v>113</v>
      </c>
      <c r="R127" s="11">
        <f>VLOOKUP($G127, '26 ADP Data'!$C$4:$Q$298, 6, FALSE)</f>
        <v>131</v>
      </c>
      <c r="S127" s="11">
        <f>VLOOKUP($G127, '26 ADP Data'!$C$4:$Q$298, 9, FALSE)</f>
        <v>132</v>
      </c>
      <c r="T127" s="11" t="str">
        <f>VLOOKUP($G127, '26 ADP Data'!$C$4:$Q$298, 8, FALSE)</f>
        <v>-</v>
      </c>
      <c r="U127" s="11">
        <f t="shared" si="6"/>
        <v>125</v>
      </c>
      <c r="V127" s="11">
        <f t="shared" si="7"/>
        <v>11</v>
      </c>
      <c r="W127" s="11"/>
      <c r="X127" s="11">
        <f>VLOOKUP($G127, SeanRanks26!$A$2:$K$303, 10, FALSE)-U127</f>
        <v>2</v>
      </c>
      <c r="Y127" s="25" t="str">
        <f>IF(VLOOKUP($G127, SeanRanks26!$A$2:$H$303, 8, FALSE)=0, "", VLOOKUP($G127, SeanRanks26!$A$2:$H$303, 8, FALSE))</f>
        <v/>
      </c>
    </row>
    <row r="128" spans="1:25" ht="14.25" hidden="1" customHeight="1" x14ac:dyDescent="0.25">
      <c r="A128" s="11"/>
      <c r="B128" s="11">
        <f t="shared" si="3"/>
        <v>11</v>
      </c>
      <c r="C128" s="11" t="s">
        <v>148</v>
      </c>
      <c r="D128" s="11"/>
      <c r="E128" s="23"/>
      <c r="F128" s="11">
        <f>VLOOKUP($G128, SeanRanks26!$A$2:$H$303, 5, FALSE)</f>
        <v>0</v>
      </c>
      <c r="G128" s="11" t="s">
        <v>333</v>
      </c>
      <c r="H128" s="11" t="str">
        <f>VLOOKUP($G128, '26 ADP Data'!$C$4:$Q$298, 2, FALSE)</f>
        <v>DET</v>
      </c>
      <c r="I128" s="11" t="str">
        <f>VLOOKUP(G128, '26 ADP Data'!$C$4:$R$496, 16, FALSE)</f>
        <v>QB</v>
      </c>
      <c r="J128" s="11" t="str">
        <f>VLOOKUP($G128, SeanRanks26!$A$2:$H$303, 6, FALSE)</f>
        <v>QB2 - 2 - Lower Floor</v>
      </c>
      <c r="K128" s="11">
        <f>VLOOKUP($G128, SeanRanks26!$A$2:$H$303, 7, FALSE)</f>
        <v>16</v>
      </c>
      <c r="L128" s="11">
        <f t="shared" si="4"/>
        <v>10</v>
      </c>
      <c r="M128" s="11">
        <f>VLOOKUP($G128, '26 ADP Data'!$C$4:$Q$298, 10, FALSE)</f>
        <v>117</v>
      </c>
      <c r="N128" s="11">
        <f>VLOOKUP($G128, '26 ADP Data'!$C$4:$Q$298, 13, FALSE)</f>
        <v>112</v>
      </c>
      <c r="O128" s="11">
        <f t="shared" si="5"/>
        <v>5</v>
      </c>
      <c r="P128" s="11">
        <f>VLOOKUP($G128, '26 ADP Data'!$C$4:$Q$298, 3, FALSE)</f>
        <v>108</v>
      </c>
      <c r="Q128" s="11">
        <f>VLOOKUP($G128, '26 ADP Data'!$C$4:$Q$298, 4, FALSE)</f>
        <v>133</v>
      </c>
      <c r="R128" s="11">
        <f>VLOOKUP($G128, '26 ADP Data'!$C$4:$Q$298, 6, FALSE)</f>
        <v>132</v>
      </c>
      <c r="S128" s="11">
        <f>VLOOKUP($G128, '26 ADP Data'!$C$4:$Q$298, 9, FALSE)</f>
        <v>144</v>
      </c>
      <c r="T128" s="11" t="str">
        <f>VLOOKUP($G128, '26 ADP Data'!$C$4:$Q$298, 8, FALSE)</f>
        <v>-</v>
      </c>
      <c r="U128" s="11">
        <f t="shared" si="6"/>
        <v>124</v>
      </c>
      <c r="V128" s="11">
        <f t="shared" si="7"/>
        <v>11</v>
      </c>
      <c r="W128" s="11"/>
      <c r="X128" s="11">
        <f>VLOOKUP($G128, SeanRanks26!$A$2:$K$303, 10, FALSE)-U128</f>
        <v>-7</v>
      </c>
      <c r="Y128" s="25" t="str">
        <f>IF(VLOOKUP($G128, SeanRanks26!$A$2:$H$303, 8, FALSE)=0, "", VLOOKUP($G128, SeanRanks26!$A$2:$H$303, 8, FALSE))</f>
        <v/>
      </c>
    </row>
    <row r="129" spans="1:25" ht="14.25" customHeight="1" x14ac:dyDescent="0.25">
      <c r="A129" s="11"/>
      <c r="B129" s="11">
        <f t="shared" si="3"/>
        <v>15</v>
      </c>
      <c r="C129" s="11" t="s">
        <v>148</v>
      </c>
      <c r="D129" s="11"/>
      <c r="E129" s="23"/>
      <c r="F129" s="11">
        <f>VLOOKUP($G129, SeanRanks26!$A$2:$H$303, 5, FALSE)</f>
        <v>0</v>
      </c>
      <c r="G129" s="11" t="s">
        <v>395</v>
      </c>
      <c r="H129" s="11" t="str">
        <f>VLOOKUP($G129, '26 ADP Data'!$C$4:$Q$298, 2, FALSE)</f>
        <v>CLE</v>
      </c>
      <c r="I129" s="11" t="str">
        <f>VLOOKUP(G129, '26 ADP Data'!$C$4:$R$496, 16, FALSE)</f>
        <v>WR</v>
      </c>
      <c r="J129" s="11" t="str">
        <f>VLOOKUP($G129, SeanRanks26!$A$2:$H$303, 6, FALSE)</f>
        <v>WR5</v>
      </c>
      <c r="K129" s="11">
        <f>VLOOKUP($G129, SeanRanks26!$A$2:$H$303, 7, FALSE)</f>
        <v>53</v>
      </c>
      <c r="L129" s="11">
        <f t="shared" si="4"/>
        <v>13</v>
      </c>
      <c r="M129" s="11">
        <f>VLOOKUP($G129, '26 ADP Data'!$C$4:$Q$298, 10, FALSE)</f>
        <v>144</v>
      </c>
      <c r="N129" s="11">
        <f>VLOOKUP($G129, '26 ADP Data'!$C$4:$Q$298, 13, FALSE)</f>
        <v>142</v>
      </c>
      <c r="O129" s="11">
        <f t="shared" si="5"/>
        <v>2</v>
      </c>
      <c r="P129" s="11">
        <f>VLOOKUP($G129, '26 ADP Data'!$C$4:$Q$298, 3, FALSE)</f>
        <v>172</v>
      </c>
      <c r="Q129" s="11">
        <f>VLOOKUP($G129, '26 ADP Data'!$C$4:$Q$298, 4, FALSE)</f>
        <v>192</v>
      </c>
      <c r="R129" s="11">
        <f>VLOOKUP($G129, '26 ADP Data'!$C$4:$Q$298, 6, FALSE)</f>
        <v>155</v>
      </c>
      <c r="S129" s="11">
        <f>VLOOKUP($G129, '26 ADP Data'!$C$4:$Q$298, 9, FALSE)</f>
        <v>170</v>
      </c>
      <c r="T129" s="11" t="str">
        <f>VLOOKUP($G129, '26 ADP Data'!$C$4:$Q$298, 8, FALSE)</f>
        <v>-</v>
      </c>
      <c r="U129" s="11">
        <f t="shared" si="6"/>
        <v>162</v>
      </c>
      <c r="V129" s="11">
        <f t="shared" si="7"/>
        <v>14</v>
      </c>
      <c r="W129" s="11"/>
      <c r="X129" s="11">
        <f>VLOOKUP($G129, SeanRanks26!$A$2:$K$303, 10, FALSE)-U129</f>
        <v>-18</v>
      </c>
      <c r="Y129" s="25" t="str">
        <f>IF(VLOOKUP($G129, SeanRanks26!$A$2:$H$303, 8, FALSE)=0, "", VLOOKUP($G129, SeanRanks26!$A$2:$H$303, 8, FALSE))</f>
        <v>Rookie R2 Washington</v>
      </c>
    </row>
    <row r="130" spans="1:25" ht="14.25" customHeight="1" x14ac:dyDescent="0.25">
      <c r="A130" s="11"/>
      <c r="B130" s="11">
        <f t="shared" si="3"/>
        <v>13</v>
      </c>
      <c r="C130" s="11" t="s">
        <v>148</v>
      </c>
      <c r="D130" s="11"/>
      <c r="E130" s="23"/>
      <c r="F130" s="11">
        <f>VLOOKUP($G130, SeanRanks26!$A$2:$H$303, 5, FALSE)</f>
        <v>0</v>
      </c>
      <c r="G130" s="11" t="s">
        <v>377</v>
      </c>
      <c r="H130" s="11" t="str">
        <f>VLOOKUP($G130, '26 ADP Data'!$C$4:$Q$298, 2, FALSE)</f>
        <v>SEA</v>
      </c>
      <c r="I130" s="11" t="str">
        <f>VLOOKUP(G130, '26 ADP Data'!$C$4:$R$496, 16, FALSE)</f>
        <v>WR</v>
      </c>
      <c r="J130" s="11" t="str">
        <f>VLOOKUP($G130, SeanRanks26!$A$2:$H$303, 6, FALSE)</f>
        <v>WR5</v>
      </c>
      <c r="K130" s="11">
        <f>VLOOKUP($G130, SeanRanks26!$A$2:$H$303, 7, FALSE)</f>
        <v>54</v>
      </c>
      <c r="L130" s="11">
        <f t="shared" si="4"/>
        <v>12</v>
      </c>
      <c r="M130" s="11">
        <f>VLOOKUP($G130, '26 ADP Data'!$C$4:$Q$298, 10, FALSE)</f>
        <v>132</v>
      </c>
      <c r="N130" s="11">
        <f>VLOOKUP($G130, '26 ADP Data'!$C$4:$Q$298, 13, FALSE)</f>
        <v>135</v>
      </c>
      <c r="O130" s="11">
        <f t="shared" si="5"/>
        <v>-3</v>
      </c>
      <c r="P130" s="11">
        <f>VLOOKUP($G130, '26 ADP Data'!$C$4:$Q$298, 3, FALSE)</f>
        <v>148</v>
      </c>
      <c r="Q130" s="11">
        <f>VLOOKUP($G130, '26 ADP Data'!$C$4:$Q$298, 4, FALSE)</f>
        <v>159</v>
      </c>
      <c r="R130" s="11">
        <f>VLOOKUP($G130, '26 ADP Data'!$C$4:$Q$298, 6, FALSE)</f>
        <v>145</v>
      </c>
      <c r="S130" s="11">
        <f>VLOOKUP($G130, '26 ADP Data'!$C$4:$Q$298, 9, FALSE)</f>
        <v>150</v>
      </c>
      <c r="T130" s="11" t="str">
        <f>VLOOKUP($G130, '26 ADP Data'!$C$4:$Q$298, 8, FALSE)</f>
        <v>-</v>
      </c>
      <c r="U130" s="11">
        <f t="shared" si="6"/>
        <v>144</v>
      </c>
      <c r="V130" s="11">
        <f t="shared" si="7"/>
        <v>13</v>
      </c>
      <c r="W130" s="11"/>
      <c r="X130" s="11">
        <f>VLOOKUP($G130, SeanRanks26!$A$2:$K$303, 10, FALSE)-U130</f>
        <v>-12</v>
      </c>
      <c r="Y130" s="25" t="str">
        <f>IF(VLOOKUP($G130, SeanRanks26!$A$2:$H$303, 8, FALSE)=0, "", VLOOKUP($G130, SeanRanks26!$A$2:$H$303, 8, FALSE))</f>
        <v/>
      </c>
    </row>
    <row r="131" spans="1:25" ht="14.25" customHeight="1" x14ac:dyDescent="0.25">
      <c r="A131" s="11"/>
      <c r="B131" s="11">
        <f t="shared" si="3"/>
        <v>15</v>
      </c>
      <c r="C131" s="11" t="s">
        <v>148</v>
      </c>
      <c r="D131" s="11"/>
      <c r="E131" s="23"/>
      <c r="F131" s="11" t="str">
        <f>VLOOKUP($G131, SeanRanks26!$A$2:$H$303, 5, FALSE)</f>
        <v>Yes</v>
      </c>
      <c r="G131" s="11" t="s">
        <v>401</v>
      </c>
      <c r="H131" s="11" t="str">
        <f>VLOOKUP($G131, '26 ADP Data'!$C$4:$Q$298, 2, FALSE)</f>
        <v>LV</v>
      </c>
      <c r="I131" s="11" t="str">
        <f>VLOOKUP(G131, '26 ADP Data'!$C$4:$R$496, 16, FALSE)</f>
        <v>WR</v>
      </c>
      <c r="J131" s="11" t="str">
        <f>VLOOKUP($G131, SeanRanks26!$A$2:$H$303, 6, FALSE)</f>
        <v>WR5</v>
      </c>
      <c r="K131" s="11">
        <f>VLOOKUP($G131, SeanRanks26!$A$2:$H$303, 7, FALSE)</f>
        <v>55</v>
      </c>
      <c r="L131" s="11">
        <f t="shared" si="4"/>
        <v>12</v>
      </c>
      <c r="M131" s="11">
        <f>VLOOKUP($G131, '26 ADP Data'!$C$4:$Q$298, 10, FALSE)</f>
        <v>142</v>
      </c>
      <c r="N131" s="11">
        <f>VLOOKUP($G131, '26 ADP Data'!$C$4:$Q$298, 13, FALSE)</f>
        <v>149</v>
      </c>
      <c r="O131" s="11">
        <f t="shared" si="5"/>
        <v>-7</v>
      </c>
      <c r="P131" s="11">
        <f>VLOOKUP($G131, '26 ADP Data'!$C$4:$Q$298, 3, FALSE)</f>
        <v>160</v>
      </c>
      <c r="Q131" s="11">
        <f>VLOOKUP($G131, '26 ADP Data'!$C$4:$Q$298, 4, FALSE)</f>
        <v>204</v>
      </c>
      <c r="R131" s="11">
        <f>VLOOKUP($G131, '26 ADP Data'!$C$4:$Q$298, 6, FALSE)</f>
        <v>158</v>
      </c>
      <c r="S131" s="11">
        <f>VLOOKUP($G131, '26 ADP Data'!$C$4:$Q$298, 9, FALSE)</f>
        <v>181</v>
      </c>
      <c r="T131" s="11" t="str">
        <f>VLOOKUP($G131, '26 ADP Data'!$C$4:$Q$298, 8, FALSE)</f>
        <v>-</v>
      </c>
      <c r="U131" s="11">
        <f t="shared" si="6"/>
        <v>165</v>
      </c>
      <c r="V131" s="11">
        <f t="shared" si="7"/>
        <v>14</v>
      </c>
      <c r="W131" s="11"/>
      <c r="X131" s="11">
        <f>VLOOKUP($G131, SeanRanks26!$A$2:$K$303, 10, FALSE)-U131</f>
        <v>-23</v>
      </c>
      <c r="Y131" s="25" t="s">
        <v>795</v>
      </c>
    </row>
    <row r="132" spans="1:25" ht="14.25" customHeight="1" x14ac:dyDescent="0.25">
      <c r="A132" s="11"/>
      <c r="B132" s="11">
        <f t="shared" si="3"/>
        <v>14</v>
      </c>
      <c r="C132" s="11" t="s">
        <v>148</v>
      </c>
      <c r="D132" s="11"/>
      <c r="E132" s="23"/>
      <c r="F132" s="11" t="str">
        <f>VLOOKUP($G132, SeanRanks26!$A$2:$H$303, 5, FALSE)</f>
        <v>Yes</v>
      </c>
      <c r="G132" s="11" t="s">
        <v>438</v>
      </c>
      <c r="H132" s="11" t="str">
        <f>VLOOKUP($G132, '26 ADP Data'!$C$4:$Q$298, 2, FALSE)</f>
        <v>BAL</v>
      </c>
      <c r="I132" s="11" t="str">
        <f>VLOOKUP(G132, '26 ADP Data'!$C$4:$R$496, 16, FALSE)</f>
        <v>WR</v>
      </c>
      <c r="J132" s="11" t="str">
        <f>VLOOKUP($G132, SeanRanks26!$A$2:$H$303, 6, FALSE)</f>
        <v>WR5</v>
      </c>
      <c r="K132" s="11">
        <f>VLOOKUP($G132, SeanRanks26!$A$2:$H$303, 7, FALSE)</f>
        <v>56</v>
      </c>
      <c r="L132" s="11">
        <f t="shared" si="4"/>
        <v>14</v>
      </c>
      <c r="M132" s="11">
        <f>VLOOKUP($G132, '26 ADP Data'!$C$4:$Q$298, 10, FALSE)</f>
        <v>161</v>
      </c>
      <c r="N132" s="11">
        <f>VLOOKUP($G132, '26 ADP Data'!$C$4:$Q$298, 13, FALSE)</f>
        <v>148</v>
      </c>
      <c r="O132" s="11">
        <f t="shared" si="5"/>
        <v>13</v>
      </c>
      <c r="P132" s="11">
        <f>VLOOKUP($G132, '26 ADP Data'!$C$4:$Q$298, 3, FALSE)</f>
        <v>167</v>
      </c>
      <c r="Q132" s="11">
        <f>VLOOKUP($G132, '26 ADP Data'!$C$4:$Q$298, 4, FALSE)</f>
        <v>197</v>
      </c>
      <c r="R132" s="11">
        <f>VLOOKUP($G132, '26 ADP Data'!$C$4:$Q$298, 6, FALSE)</f>
        <v>148</v>
      </c>
      <c r="S132" s="11">
        <f>VLOOKUP($G132, '26 ADP Data'!$C$4:$Q$298, 9, FALSE)</f>
        <v>143</v>
      </c>
      <c r="T132" s="11" t="str">
        <f>VLOOKUP($G132, '26 ADP Data'!$C$4:$Q$298, 8, FALSE)</f>
        <v>-</v>
      </c>
      <c r="U132" s="11">
        <f t="shared" si="6"/>
        <v>160</v>
      </c>
      <c r="V132" s="11">
        <f t="shared" si="7"/>
        <v>14</v>
      </c>
      <c r="W132" s="11"/>
      <c r="X132" s="11">
        <f>VLOOKUP($G132, SeanRanks26!$A$2:$K$303, 10, FALSE)-U132</f>
        <v>1</v>
      </c>
      <c r="Y132" s="25" t="str">
        <f>IF(VLOOKUP($G132, SeanRanks26!$A$2:$H$303, 8, FALSE)=0, "", VLOOKUP($G132, SeanRanks26!$A$2:$H$303, 8, FALSE))</f>
        <v>Rookie R3 USC</v>
      </c>
    </row>
    <row r="133" spans="1:25" ht="14.25" hidden="1" customHeight="1" x14ac:dyDescent="0.25">
      <c r="A133" s="11"/>
      <c r="B133" s="11">
        <f t="shared" si="3"/>
        <v>12</v>
      </c>
      <c r="C133" s="11" t="s">
        <v>148</v>
      </c>
      <c r="D133" s="11"/>
      <c r="E133" s="23"/>
      <c r="F133" s="11">
        <f>VLOOKUP($G133, SeanRanks26!$A$2:$H$303, 5, FALSE)</f>
        <v>0</v>
      </c>
      <c r="G133" s="11" t="s">
        <v>355</v>
      </c>
      <c r="H133" s="11" t="str">
        <f>VLOOKUP($G133, '26 ADP Data'!$C$4:$Q$298, 2, FALSE)</f>
        <v>MIN</v>
      </c>
      <c r="I133" s="11" t="str">
        <f>VLOOKUP(G133, '26 ADP Data'!$C$4:$R$496, 16, FALSE)</f>
        <v>QB</v>
      </c>
      <c r="J133" s="11" t="str">
        <f>VLOOKUP($G133, SeanRanks26!$A$2:$H$303, 6, FALSE)</f>
        <v>QB2 - 2 - Lower Floor</v>
      </c>
      <c r="K133" s="11">
        <f>VLOOKUP($G133, SeanRanks26!$A$2:$H$303, 7, FALSE)</f>
        <v>18</v>
      </c>
      <c r="L133" s="11">
        <f t="shared" si="4"/>
        <v>10</v>
      </c>
      <c r="M133" s="11">
        <f>VLOOKUP($G133, '26 ADP Data'!$C$4:$Q$298, 10, FALSE)</f>
        <v>119</v>
      </c>
      <c r="N133" s="11">
        <f>VLOOKUP($G133, '26 ADP Data'!$C$4:$Q$298, 13, FALSE)</f>
        <v>115</v>
      </c>
      <c r="O133" s="11">
        <f t="shared" si="5"/>
        <v>4</v>
      </c>
      <c r="P133" s="11">
        <f>VLOOKUP($G133, '26 ADP Data'!$C$4:$Q$298, 3, FALSE)</f>
        <v>138</v>
      </c>
      <c r="Q133" s="11">
        <f>VLOOKUP($G133, '26 ADP Data'!$C$4:$Q$298, 4, FALSE)</f>
        <v>130</v>
      </c>
      <c r="R133" s="11">
        <f>VLOOKUP($G133, '26 ADP Data'!$C$4:$Q$298, 6, FALSE)</f>
        <v>141</v>
      </c>
      <c r="S133" s="11">
        <f>VLOOKUP($G133, '26 ADP Data'!$C$4:$Q$298, 9, FALSE)</f>
        <v>149</v>
      </c>
      <c r="T133" s="11" t="str">
        <f>VLOOKUP($G133, '26 ADP Data'!$C$4:$Q$298, 8, FALSE)</f>
        <v>-</v>
      </c>
      <c r="U133" s="11">
        <f t="shared" si="6"/>
        <v>132</v>
      </c>
      <c r="V133" s="11">
        <f t="shared" si="7"/>
        <v>12</v>
      </c>
      <c r="W133" s="11"/>
      <c r="X133" s="11">
        <f>VLOOKUP($G133, SeanRanks26!$A$2:$K$303, 10, FALSE)-U133</f>
        <v>-13</v>
      </c>
      <c r="Y133" s="25" t="str">
        <f>IF(VLOOKUP($G133, SeanRanks26!$A$2:$H$303, 8, FALSE)=0, "", VLOOKUP($G133, SeanRanks26!$A$2:$H$303, 8, FALSE))</f>
        <v/>
      </c>
    </row>
    <row r="134" spans="1:25" ht="14.25" hidden="1" customHeight="1" x14ac:dyDescent="0.25">
      <c r="A134" s="11"/>
      <c r="B134" s="11">
        <f t="shared" si="3"/>
        <v>11</v>
      </c>
      <c r="C134" s="11" t="s">
        <v>148</v>
      </c>
      <c r="D134" s="11"/>
      <c r="E134" s="23"/>
      <c r="F134" s="11">
        <f>VLOOKUP($G134, SeanRanks26!$A$2:$H$303, 5, FALSE)</f>
        <v>0</v>
      </c>
      <c r="G134" s="11" t="s">
        <v>462</v>
      </c>
      <c r="H134" s="11" t="str">
        <f>VLOOKUP($G134, '26 ADP Data'!$C$4:$Q$298, 2, FALSE)</f>
        <v>HOU</v>
      </c>
      <c r="I134" s="11" t="str">
        <f>VLOOKUP(G134, '26 ADP Data'!$C$4:$R$496, 16, FALSE)</f>
        <v>DE</v>
      </c>
      <c r="J134" s="11">
        <f>VLOOKUP($G134, SeanRanks26!$A$2:$H$303, 6, FALSE)</f>
        <v>0</v>
      </c>
      <c r="K134" s="11">
        <f>VLOOKUP($G134, SeanRanks26!$A$2:$H$303, 7, FALSE)</f>
        <v>0</v>
      </c>
      <c r="L134" s="11">
        <f t="shared" si="4"/>
        <v>13</v>
      </c>
      <c r="M134" s="11">
        <f>VLOOKUP($G134, '26 ADP Data'!$C$4:$Q$298, 10, FALSE)</f>
        <v>150</v>
      </c>
      <c r="N134" s="11" t="str">
        <f>VLOOKUP($G134, '26 ADP Data'!$C$4:$Q$298, 13, FALSE)</f>
        <v>-</v>
      </c>
      <c r="O134" s="11" t="e">
        <f t="shared" si="5"/>
        <v>#VALUE!</v>
      </c>
      <c r="P134" s="11">
        <f>VLOOKUP($G134, '26 ADP Data'!$C$4:$Q$298, 3, FALSE)</f>
        <v>106</v>
      </c>
      <c r="Q134" s="11">
        <f>VLOOKUP($G134, '26 ADP Data'!$C$4:$Q$298, 4, FALSE)</f>
        <v>84</v>
      </c>
      <c r="R134" s="11">
        <f>VLOOKUP($G134, '26 ADP Data'!$C$4:$Q$298, 6, FALSE)</f>
        <v>192</v>
      </c>
      <c r="S134" s="11">
        <f>VLOOKUP($G134, '26 ADP Data'!$C$4:$Q$298, 9, FALSE)</f>
        <v>105</v>
      </c>
      <c r="T134" s="11" t="str">
        <f>VLOOKUP($G134, '26 ADP Data'!$C$4:$Q$298, 8, FALSE)</f>
        <v>-</v>
      </c>
      <c r="U134" s="11">
        <f t="shared" si="6"/>
        <v>127</v>
      </c>
      <c r="V134" s="11">
        <f t="shared" si="7"/>
        <v>11</v>
      </c>
      <c r="W134" s="11"/>
      <c r="X134" s="11">
        <f>VLOOKUP($G134, SeanRanks26!$A$2:$K$303, 10, FALSE)-U134</f>
        <v>23</v>
      </c>
      <c r="Y134" s="25" t="s">
        <v>796</v>
      </c>
    </row>
    <row r="135" spans="1:25" ht="14.25" hidden="1" customHeight="1" x14ac:dyDescent="0.25">
      <c r="A135" s="11"/>
      <c r="B135" s="11">
        <f t="shared" si="3"/>
        <v>12</v>
      </c>
      <c r="C135" s="11" t="s">
        <v>148</v>
      </c>
      <c r="D135" s="11"/>
      <c r="E135" s="23"/>
      <c r="F135" s="11">
        <f>VLOOKUP($G135, SeanRanks26!$A$2:$H$303, 5, FALSE)</f>
        <v>0</v>
      </c>
      <c r="G135" s="11" t="s">
        <v>353</v>
      </c>
      <c r="H135" s="11" t="str">
        <f>VLOOKUP($G135, '26 ADP Data'!$C$4:$Q$298, 2, FALSE)</f>
        <v>JAX</v>
      </c>
      <c r="I135" s="11" t="str">
        <f>VLOOKUP(G135, '26 ADP Data'!$C$4:$R$496, 16, FALSE)</f>
        <v>RB</v>
      </c>
      <c r="J135" s="11" t="str">
        <f>VLOOKUP($G135, SeanRanks26!$A$2:$H$303, 6, FALSE)</f>
        <v>RB4</v>
      </c>
      <c r="K135" s="11">
        <f>VLOOKUP($G135, SeanRanks26!$A$2:$H$303, 7, FALSE)</f>
        <v>41</v>
      </c>
      <c r="L135" s="11">
        <f t="shared" si="4"/>
        <v>10</v>
      </c>
      <c r="M135" s="11">
        <f>VLOOKUP($G135, '26 ADP Data'!$C$4:$Q$298, 10, FALSE)</f>
        <v>112</v>
      </c>
      <c r="N135" s="11">
        <f>VLOOKUP($G135, '26 ADP Data'!$C$4:$Q$298, 13, FALSE)</f>
        <v>122</v>
      </c>
      <c r="O135" s="11">
        <f t="shared" si="5"/>
        <v>-10</v>
      </c>
      <c r="P135" s="11">
        <f>VLOOKUP($G135, '26 ADP Data'!$C$4:$Q$298, 3, FALSE)</f>
        <v>139</v>
      </c>
      <c r="Q135" s="11">
        <f>VLOOKUP($G135, '26 ADP Data'!$C$4:$Q$298, 4, FALSE)</f>
        <v>167</v>
      </c>
      <c r="R135" s="11">
        <f>VLOOKUP($G135, '26 ADP Data'!$C$4:$Q$298, 6, FALSE)</f>
        <v>120</v>
      </c>
      <c r="S135" s="11">
        <f>VLOOKUP($G135, '26 ADP Data'!$C$4:$Q$298, 9, FALSE)</f>
        <v>126</v>
      </c>
      <c r="T135" s="11" t="str">
        <f>VLOOKUP($G135, '26 ADP Data'!$C$4:$Q$298, 8, FALSE)</f>
        <v>-</v>
      </c>
      <c r="U135" s="11">
        <f t="shared" si="6"/>
        <v>131</v>
      </c>
      <c r="V135" s="11">
        <f t="shared" si="7"/>
        <v>11</v>
      </c>
      <c r="W135" s="11"/>
      <c r="X135" s="11">
        <f>VLOOKUP($G135, SeanRanks26!$A$2:$K$303, 10, FALSE)-U135</f>
        <v>-19</v>
      </c>
      <c r="Y135" s="25" t="str">
        <f>IF(VLOOKUP($G135, SeanRanks26!$A$2:$H$303, 8, FALSE)=0, "", VLOOKUP($G135, SeanRanks26!$A$2:$H$303, 8, FALSE))</f>
        <v/>
      </c>
    </row>
    <row r="136" spans="1:25" ht="14.25" hidden="1" customHeight="1" x14ac:dyDescent="0.25">
      <c r="A136" s="11"/>
      <c r="B136" s="11">
        <f t="shared" si="3"/>
        <v>11</v>
      </c>
      <c r="C136" s="11" t="s">
        <v>148</v>
      </c>
      <c r="D136" s="11"/>
      <c r="E136" s="23"/>
      <c r="F136" s="11">
        <f>VLOOKUP($G136, SeanRanks26!$A$2:$H$303, 5, FALSE)</f>
        <v>0</v>
      </c>
      <c r="G136" s="11" t="s">
        <v>527</v>
      </c>
      <c r="H136" s="11" t="str">
        <f>VLOOKUP($G136, '26 ADP Data'!$C$4:$Q$298, 2, FALSE)</f>
        <v>DAL</v>
      </c>
      <c r="I136" s="11" t="str">
        <f>VLOOKUP(G136, '26 ADP Data'!$C$4:$R$496, 16, FALSE)</f>
        <v>K-</v>
      </c>
      <c r="J136" s="11">
        <f>VLOOKUP($G136, SeanRanks26!$A$2:$H$303, 6, FALSE)</f>
        <v>0</v>
      </c>
      <c r="K136" s="11">
        <f>VLOOKUP($G136, SeanRanks26!$A$2:$H$303, 7, FALSE)</f>
        <v>0</v>
      </c>
      <c r="L136" s="11">
        <f t="shared" si="4"/>
        <v>13</v>
      </c>
      <c r="M136" s="11">
        <f>VLOOKUP($G136, '26 ADP Data'!$C$4:$Q$298, 10, FALSE)</f>
        <v>153</v>
      </c>
      <c r="N136" s="11" t="str">
        <f>VLOOKUP($G136, '26 ADP Data'!$C$4:$Q$298, 13, FALSE)</f>
        <v>-</v>
      </c>
      <c r="O136" s="11" t="e">
        <f t="shared" si="5"/>
        <v>#VALUE!</v>
      </c>
      <c r="P136" s="11">
        <f>VLOOKUP($G136, '26 ADP Data'!$C$4:$Q$298, 3, FALSE)</f>
        <v>105</v>
      </c>
      <c r="Q136" s="11">
        <f>VLOOKUP($G136, '26 ADP Data'!$C$4:$Q$298, 4, FALSE)</f>
        <v>70</v>
      </c>
      <c r="R136" s="11">
        <f>VLOOKUP($G136, '26 ADP Data'!$C$4:$Q$298, 6, FALSE)</f>
        <v>190</v>
      </c>
      <c r="S136" s="11">
        <f>VLOOKUP($G136, '26 ADP Data'!$C$4:$Q$298, 9, FALSE)</f>
        <v>135</v>
      </c>
      <c r="T136" s="11" t="str">
        <f>VLOOKUP($G136, '26 ADP Data'!$C$4:$Q$298, 8, FALSE)</f>
        <v>-</v>
      </c>
      <c r="U136" s="11">
        <f t="shared" si="6"/>
        <v>130</v>
      </c>
      <c r="V136" s="11">
        <f t="shared" si="7"/>
        <v>11</v>
      </c>
      <c r="W136" s="11"/>
      <c r="X136" s="11">
        <f>VLOOKUP($G136, SeanRanks26!$A$2:$K$303, 10, FALSE)-U136</f>
        <v>23</v>
      </c>
      <c r="Y136" s="25" t="str">
        <f>IF(VLOOKUP($G136, SeanRanks26!$A$2:$H$303, 8, FALSE)=0, "", VLOOKUP($G136, SeanRanks26!$A$2:$H$303, 8, FALSE))</f>
        <v/>
      </c>
    </row>
    <row r="137" spans="1:25" ht="14.25" hidden="1" customHeight="1" x14ac:dyDescent="0.25">
      <c r="A137" s="11"/>
      <c r="B137" s="11">
        <f t="shared" si="3"/>
        <v>12</v>
      </c>
      <c r="C137" s="11" t="s">
        <v>148</v>
      </c>
      <c r="D137" s="11"/>
      <c r="E137" s="23"/>
      <c r="F137" s="11">
        <f>VLOOKUP($G137, SeanRanks26!$A$2:$H$303, 5, FALSE)</f>
        <v>0</v>
      </c>
      <c r="G137" s="11" t="s">
        <v>368</v>
      </c>
      <c r="H137" s="11" t="str">
        <f>VLOOKUP($G137, '26 ADP Data'!$C$4:$Q$298, 2, FALSE)</f>
        <v>HOU</v>
      </c>
      <c r="I137" s="11" t="str">
        <f>VLOOKUP(G137, '26 ADP Data'!$C$4:$R$496, 16, FALSE)</f>
        <v>RB</v>
      </c>
      <c r="J137" s="11" t="str">
        <f>VLOOKUP($G137, SeanRanks26!$A$2:$H$303, 6, FALSE)</f>
        <v>RB4</v>
      </c>
      <c r="K137" s="11">
        <f>VLOOKUP($G137, SeanRanks26!$A$2:$H$303, 7, FALSE)</f>
        <v>48</v>
      </c>
      <c r="L137" s="11">
        <f t="shared" si="4"/>
        <v>11</v>
      </c>
      <c r="M137" s="11">
        <f>VLOOKUP($G137, '26 ADP Data'!$C$4:$Q$298, 10, FALSE)</f>
        <v>130</v>
      </c>
      <c r="N137" s="11">
        <f>VLOOKUP($G137, '26 ADP Data'!$C$4:$Q$298, 13, FALSE)</f>
        <v>138</v>
      </c>
      <c r="O137" s="11">
        <f t="shared" si="5"/>
        <v>-8</v>
      </c>
      <c r="P137" s="11">
        <f>VLOOKUP($G137, '26 ADP Data'!$C$4:$Q$298, 3, FALSE)</f>
        <v>136</v>
      </c>
      <c r="Q137" s="11">
        <f>VLOOKUP($G137, '26 ADP Data'!$C$4:$Q$298, 4, FALSE)</f>
        <v>147</v>
      </c>
      <c r="R137" s="11">
        <f>VLOOKUP($G137, '26 ADP Data'!$C$4:$Q$298, 6, FALSE)</f>
        <v>121</v>
      </c>
      <c r="S137" s="11">
        <f>VLOOKUP($G137, '26 ADP Data'!$C$4:$Q$298, 9, FALSE)</f>
        <v>141</v>
      </c>
      <c r="T137" s="11" t="str">
        <f>VLOOKUP($G137, '26 ADP Data'!$C$4:$Q$298, 8, FALSE)</f>
        <v>-</v>
      </c>
      <c r="U137" s="11">
        <f t="shared" si="6"/>
        <v>135</v>
      </c>
      <c r="V137" s="11">
        <f t="shared" si="7"/>
        <v>12</v>
      </c>
      <c r="W137" s="11"/>
      <c r="X137" s="11">
        <f>VLOOKUP($G137, SeanRanks26!$A$2:$K$303, 10, FALSE)-U137</f>
        <v>-5</v>
      </c>
      <c r="Y137" s="25" t="str">
        <f>IF(VLOOKUP($G137, SeanRanks26!$A$2:$H$303, 8, FALSE)=0, "", VLOOKUP($G137, SeanRanks26!$A$2:$H$303, 8, FALSE))</f>
        <v>2025 Rookie R4</v>
      </c>
    </row>
    <row r="138" spans="1:25" ht="14.25" hidden="1" customHeight="1" x14ac:dyDescent="0.25">
      <c r="A138" s="11"/>
      <c r="B138" s="11">
        <f t="shared" si="3"/>
        <v>13</v>
      </c>
      <c r="C138" s="11" t="s">
        <v>148</v>
      </c>
      <c r="D138" s="11"/>
      <c r="E138" s="23"/>
      <c r="F138" s="11">
        <f>VLOOKUP($G138, SeanRanks26!$A$2:$H$303, 5, FALSE)</f>
        <v>0</v>
      </c>
      <c r="G138" s="11" t="s">
        <v>364</v>
      </c>
      <c r="H138" s="11" t="str">
        <f>VLOOKUP($G138, '26 ADP Data'!$C$4:$Q$298, 2, FALSE)</f>
        <v>TB</v>
      </c>
      <c r="I138" s="11" t="str">
        <f>VLOOKUP(G138, '26 ADP Data'!$C$4:$R$496, 16, FALSE)</f>
        <v>QB</v>
      </c>
      <c r="J138" s="11" t="str">
        <f>VLOOKUP($G138, SeanRanks26!$A$2:$H$303, 6, FALSE)</f>
        <v>QB2 - 2 - Lower Floor</v>
      </c>
      <c r="K138" s="11">
        <f>VLOOKUP($G138, SeanRanks26!$A$2:$H$303, 7, FALSE)</f>
        <v>17</v>
      </c>
      <c r="L138" s="11">
        <f t="shared" si="4"/>
        <v>12</v>
      </c>
      <c r="M138" s="11">
        <f>VLOOKUP($G138, '26 ADP Data'!$C$4:$Q$298, 10, FALSE)</f>
        <v>137</v>
      </c>
      <c r="N138" s="11">
        <f>VLOOKUP($G138, '26 ADP Data'!$C$4:$Q$298, 13, FALSE)</f>
        <v>123</v>
      </c>
      <c r="O138" s="11">
        <f t="shared" si="5"/>
        <v>14</v>
      </c>
      <c r="P138" s="11">
        <f>VLOOKUP($G138, '26 ADP Data'!$C$4:$Q$298, 3, FALSE)</f>
        <v>137</v>
      </c>
      <c r="Q138" s="11">
        <f>VLOOKUP($G138, '26 ADP Data'!$C$4:$Q$298, 4, FALSE)</f>
        <v>143</v>
      </c>
      <c r="R138" s="11">
        <f>VLOOKUP($G138, '26 ADP Data'!$C$4:$Q$298, 6, FALSE)</f>
        <v>152</v>
      </c>
      <c r="S138" s="11">
        <f>VLOOKUP($G138, '26 ADP Data'!$C$4:$Q$298, 9, FALSE)</f>
        <v>155</v>
      </c>
      <c r="T138" s="11" t="str">
        <f>VLOOKUP($G138, '26 ADP Data'!$C$4:$Q$298, 8, FALSE)</f>
        <v>-</v>
      </c>
      <c r="U138" s="11">
        <f t="shared" si="6"/>
        <v>141</v>
      </c>
      <c r="V138" s="11">
        <f t="shared" si="7"/>
        <v>12</v>
      </c>
      <c r="W138" s="11"/>
      <c r="X138" s="11">
        <f>VLOOKUP($G138, SeanRanks26!$A$2:$K$303, 10, FALSE)-U138</f>
        <v>-4</v>
      </c>
      <c r="Y138" s="25" t="str">
        <f>IF(VLOOKUP($G138, SeanRanks26!$A$2:$H$303, 8, FALSE)=0, "", VLOOKUP($G138, SeanRanks26!$A$2:$H$303, 8, FALSE))</f>
        <v/>
      </c>
    </row>
    <row r="139" spans="1:25" ht="14.25" customHeight="1" x14ac:dyDescent="0.25">
      <c r="A139" s="11"/>
      <c r="B139" s="11">
        <f t="shared" si="3"/>
        <v>17</v>
      </c>
      <c r="C139" s="11" t="s">
        <v>148</v>
      </c>
      <c r="D139" s="11"/>
      <c r="E139" s="23"/>
      <c r="F139" s="11" t="str">
        <f>VLOOKUP($G139, SeanRanks26!$A$2:$H$303, 5, FALSE)</f>
        <v>Yes</v>
      </c>
      <c r="G139" s="11" t="s">
        <v>510</v>
      </c>
      <c r="H139" s="11" t="str">
        <f>VLOOKUP($G139, '26 ADP Data'!$C$4:$Q$298, 2, FALSE)</f>
        <v>NYJ</v>
      </c>
      <c r="I139" s="11" t="str">
        <f>VLOOKUP(G139, '26 ADP Data'!$C$4:$R$496, 16, FALSE)</f>
        <v>WR</v>
      </c>
      <c r="J139" s="11" t="str">
        <f>VLOOKUP($G139, SeanRanks26!$A$2:$H$303, 6, FALSE)</f>
        <v>WR5</v>
      </c>
      <c r="K139" s="11">
        <f>VLOOKUP($G139, SeanRanks26!$A$2:$H$303, 7, FALSE)</f>
        <v>57</v>
      </c>
      <c r="L139" s="11">
        <f t="shared" si="4"/>
        <v>17</v>
      </c>
      <c r="M139" s="11">
        <f>VLOOKUP($G139, '26 ADP Data'!$C$4:$Q$298, 10, FALSE)</f>
        <v>192</v>
      </c>
      <c r="N139" s="11">
        <f>VLOOKUP($G139, '26 ADP Data'!$C$4:$Q$298, 13, FALSE)</f>
        <v>172</v>
      </c>
      <c r="O139" s="11">
        <f t="shared" si="5"/>
        <v>20</v>
      </c>
      <c r="P139" s="11" t="str">
        <f>VLOOKUP($G139, '26 ADP Data'!$C$4:$Q$298, 3, FALSE)</f>
        <v>-</v>
      </c>
      <c r="Q139" s="11" t="str">
        <f>VLOOKUP($G139, '26 ADP Data'!$C$4:$Q$298, 4, FALSE)</f>
        <v>-</v>
      </c>
      <c r="R139" s="11">
        <f>VLOOKUP($G139, '26 ADP Data'!$C$4:$Q$298, 6, FALSE)</f>
        <v>210</v>
      </c>
      <c r="S139" s="11">
        <f>VLOOKUP($G139, '26 ADP Data'!$C$4:$Q$298, 9, FALSE)</f>
        <v>197</v>
      </c>
      <c r="T139" s="11" t="str">
        <f>VLOOKUP($G139, '26 ADP Data'!$C$4:$Q$298, 8, FALSE)</f>
        <v>-</v>
      </c>
      <c r="U139" s="11">
        <f t="shared" si="6"/>
        <v>192</v>
      </c>
      <c r="V139" s="11">
        <f t="shared" si="7"/>
        <v>17</v>
      </c>
      <c r="W139" s="11"/>
      <c r="X139" s="11">
        <f>VLOOKUP($G139, SeanRanks26!$A$2:$K$303, 10, FALSE)-U139</f>
        <v>0</v>
      </c>
      <c r="Y139" s="25" t="str">
        <f>IF(VLOOKUP($G139, SeanRanks26!$A$2:$H$303, 8, FALSE)=0, "", VLOOKUP($G139, SeanRanks26!$A$2:$H$303, 8, FALSE))</f>
        <v>Rookie R1.30 Indiana</v>
      </c>
    </row>
    <row r="140" spans="1:25" ht="14.25" hidden="1" customHeight="1" x14ac:dyDescent="0.25">
      <c r="A140" s="11"/>
      <c r="B140" s="11">
        <f t="shared" si="3"/>
        <v>11</v>
      </c>
      <c r="C140" s="11" t="s">
        <v>148</v>
      </c>
      <c r="D140" s="11"/>
      <c r="E140" s="23"/>
      <c r="F140" s="11">
        <f>VLOOKUP($G140, SeanRanks26!$A$2:$H$303, 5, FALSE)</f>
        <v>0</v>
      </c>
      <c r="G140" s="11" t="s">
        <v>471</v>
      </c>
      <c r="H140" s="11" t="str">
        <f>VLOOKUP($G140, '26 ADP Data'!$C$4:$Q$298, 2, FALSE)</f>
        <v>DEN</v>
      </c>
      <c r="I140" s="11" t="str">
        <f>VLOOKUP(G140, '26 ADP Data'!$C$4:$R$496, 16, FALSE)</f>
        <v>DE</v>
      </c>
      <c r="J140" s="11">
        <f>VLOOKUP($G140, SeanRanks26!$A$2:$H$303, 6, FALSE)</f>
        <v>0</v>
      </c>
      <c r="K140" s="11">
        <f>VLOOKUP($G140, SeanRanks26!$A$2:$H$303, 7, FALSE)</f>
        <v>0</v>
      </c>
      <c r="L140" s="11">
        <f t="shared" si="4"/>
        <v>14</v>
      </c>
      <c r="M140" s="11">
        <f>VLOOKUP($G140, '26 ADP Data'!$C$4:$Q$298, 10, FALSE)</f>
        <v>163</v>
      </c>
      <c r="N140" s="11" t="str">
        <f>VLOOKUP($G140, '26 ADP Data'!$C$4:$Q$298, 13, FALSE)</f>
        <v>-</v>
      </c>
      <c r="O140" s="11" t="e">
        <f t="shared" si="5"/>
        <v>#VALUE!</v>
      </c>
      <c r="P140" s="11">
        <f>VLOOKUP($G140, '26 ADP Data'!$C$4:$Q$298, 3, FALSE)</f>
        <v>97</v>
      </c>
      <c r="Q140" s="11">
        <f>VLOOKUP($G140, '26 ADP Data'!$C$4:$Q$298, 4, FALSE)</f>
        <v>89</v>
      </c>
      <c r="R140" s="11">
        <f>VLOOKUP($G140, '26 ADP Data'!$C$4:$Q$298, 6, FALSE)</f>
        <v>198</v>
      </c>
      <c r="S140" s="11">
        <f>VLOOKUP($G140, '26 ADP Data'!$C$4:$Q$298, 9, FALSE)</f>
        <v>121</v>
      </c>
      <c r="T140" s="11" t="str">
        <f>VLOOKUP($G140, '26 ADP Data'!$C$4:$Q$298, 8, FALSE)</f>
        <v>-</v>
      </c>
      <c r="U140" s="11">
        <f t="shared" si="6"/>
        <v>133</v>
      </c>
      <c r="V140" s="11">
        <f t="shared" si="7"/>
        <v>12</v>
      </c>
      <c r="W140" s="11">
        <f>D140-V140</f>
        <v>-12</v>
      </c>
      <c r="X140" s="11">
        <f>VLOOKUP($G140, SeanRanks26!$A$2:$K$303, 10, FALSE)-U140</f>
        <v>30</v>
      </c>
      <c r="Y140" s="25" t="str">
        <f>IF(VLOOKUP($G140, SeanRanks26!$A$2:$H$303, 8, FALSE)=0, "", VLOOKUP($G140, SeanRanks26!$A$2:$H$303, 8, FALSE))</f>
        <v/>
      </c>
    </row>
    <row r="141" spans="1:25" ht="14.25" customHeight="1" x14ac:dyDescent="0.25">
      <c r="A141" s="11"/>
      <c r="B141" s="11">
        <f t="shared" si="3"/>
        <v>12</v>
      </c>
      <c r="C141" s="11" t="s">
        <v>148</v>
      </c>
      <c r="D141" s="11"/>
      <c r="E141" s="23"/>
      <c r="F141" s="11">
        <f>VLOOKUP($G141, SeanRanks26!$A$2:$H$303, 5, FALSE)</f>
        <v>0</v>
      </c>
      <c r="G141" s="11" t="s">
        <v>346</v>
      </c>
      <c r="H141" s="11" t="str">
        <f>VLOOKUP($G141, '26 ADP Data'!$C$4:$Q$298, 2, FALSE)</f>
        <v>NE</v>
      </c>
      <c r="I141" s="11" t="str">
        <f>VLOOKUP(G141, '26 ADP Data'!$C$4:$R$496, 16, FALSE)</f>
        <v>WR</v>
      </c>
      <c r="J141" s="11" t="str">
        <f>VLOOKUP($G141, SeanRanks26!$A$2:$H$303, 6, FALSE)</f>
        <v>WR5</v>
      </c>
      <c r="K141" s="11">
        <f>VLOOKUP($G141, SeanRanks26!$A$2:$H$303, 7, FALSE)</f>
        <v>58</v>
      </c>
      <c r="L141" s="11">
        <f t="shared" si="4"/>
        <v>11</v>
      </c>
      <c r="M141" s="11">
        <f>VLOOKUP($G141, '26 ADP Data'!$C$4:$Q$298, 10, FALSE)</f>
        <v>121</v>
      </c>
      <c r="N141" s="11">
        <f>VLOOKUP($G141, '26 ADP Data'!$C$4:$Q$298, 13, FALSE)</f>
        <v>118</v>
      </c>
      <c r="O141" s="11">
        <f t="shared" si="5"/>
        <v>3</v>
      </c>
      <c r="P141" s="11">
        <f>VLOOKUP($G141, '26 ADP Data'!$C$4:$Q$298, 3, FALSE)</f>
        <v>132</v>
      </c>
      <c r="Q141" s="11">
        <f>VLOOKUP($G141, '26 ADP Data'!$C$4:$Q$298, 4, FALSE)</f>
        <v>144</v>
      </c>
      <c r="R141" s="11">
        <f>VLOOKUP($G141, '26 ADP Data'!$C$4:$Q$298, 6, FALSE)</f>
        <v>128</v>
      </c>
      <c r="S141" s="11">
        <f>VLOOKUP($G141, '26 ADP Data'!$C$4:$Q$298, 9, FALSE)</f>
        <v>128</v>
      </c>
      <c r="T141" s="11" t="str">
        <f>VLOOKUP($G141, '26 ADP Data'!$C$4:$Q$298, 8, FALSE)</f>
        <v>-</v>
      </c>
      <c r="U141" s="11">
        <f t="shared" si="6"/>
        <v>128</v>
      </c>
      <c r="V141" s="11">
        <f t="shared" si="7"/>
        <v>11</v>
      </c>
      <c r="W141" s="11"/>
      <c r="X141" s="11">
        <f>VLOOKUP($G141, SeanRanks26!$A$2:$K$303, 10, FALSE)-U141</f>
        <v>-7</v>
      </c>
      <c r="Y141" s="25" t="str">
        <f>IF(VLOOKUP($G141, SeanRanks26!$A$2:$H$303, 8, FALSE)=0, "", VLOOKUP($G141, SeanRanks26!$A$2:$H$303, 8, FALSE))</f>
        <v/>
      </c>
    </row>
    <row r="142" spans="1:25" ht="14.25" hidden="1" customHeight="1" x14ac:dyDescent="0.25">
      <c r="A142" s="11"/>
      <c r="B142" s="11">
        <f t="shared" si="3"/>
        <v>13</v>
      </c>
      <c r="C142" s="11" t="s">
        <v>148</v>
      </c>
      <c r="D142" s="11"/>
      <c r="E142" s="23"/>
      <c r="F142" s="11">
        <f>VLOOKUP($G142, SeanRanks26!$A$2:$H$303, 5, FALSE)</f>
        <v>0</v>
      </c>
      <c r="G142" s="11" t="s">
        <v>360</v>
      </c>
      <c r="H142" s="11" t="str">
        <f>VLOOKUP($G142, '26 ADP Data'!$C$4:$Q$298, 2, FALSE)</f>
        <v>GB</v>
      </c>
      <c r="I142" s="11" t="str">
        <f>VLOOKUP(G142, '26 ADP Data'!$C$4:$R$496, 16, FALSE)</f>
        <v>QB</v>
      </c>
      <c r="J142" s="11" t="str">
        <f>VLOOKUP($G142, SeanRanks26!$A$2:$H$303, 6, FALSE)</f>
        <v>QB2 - 2 - Lower Floor</v>
      </c>
      <c r="K142" s="11">
        <f>VLOOKUP($G142, SeanRanks26!$A$2:$H$303, 7, FALSE)</f>
        <v>19</v>
      </c>
      <c r="L142" s="11">
        <f t="shared" si="4"/>
        <v>11</v>
      </c>
      <c r="M142" s="11">
        <f>VLOOKUP($G142, '26 ADP Data'!$C$4:$Q$298, 10, FALSE)</f>
        <v>125</v>
      </c>
      <c r="N142" s="11">
        <f>VLOOKUP($G142, '26 ADP Data'!$C$4:$Q$298, 13, FALSE)</f>
        <v>117</v>
      </c>
      <c r="O142" s="11">
        <f t="shared" si="5"/>
        <v>8</v>
      </c>
      <c r="P142" s="11">
        <f>VLOOKUP($G142, '26 ADP Data'!$C$4:$Q$298, 3, FALSE)</f>
        <v>144</v>
      </c>
      <c r="Q142" s="11">
        <f>VLOOKUP($G142, '26 ADP Data'!$C$4:$Q$298, 4, FALSE)</f>
        <v>154</v>
      </c>
      <c r="R142" s="11">
        <f>VLOOKUP($G142, '26 ADP Data'!$C$4:$Q$298, 6, FALSE)</f>
        <v>149</v>
      </c>
      <c r="S142" s="11">
        <f>VLOOKUP($G142, '26 ADP Data'!$C$4:$Q$298, 9, FALSE)</f>
        <v>164</v>
      </c>
      <c r="T142" s="11" t="str">
        <f>VLOOKUP($G142, '26 ADP Data'!$C$4:$Q$298, 8, FALSE)</f>
        <v>-</v>
      </c>
      <c r="U142" s="11">
        <f t="shared" si="6"/>
        <v>142</v>
      </c>
      <c r="V142" s="11">
        <f t="shared" si="7"/>
        <v>12</v>
      </c>
      <c r="W142" s="11">
        <f>D142-V142</f>
        <v>-12</v>
      </c>
      <c r="X142" s="11">
        <f>VLOOKUP($G142, SeanRanks26!$A$2:$K$303, 10, FALSE)-U142</f>
        <v>-17</v>
      </c>
      <c r="Y142" s="25" t="str">
        <f>IF(VLOOKUP($G142, SeanRanks26!$A$2:$H$303, 8, FALSE)=0, "", VLOOKUP($G142, SeanRanks26!$A$2:$H$303, 8, FALSE))</f>
        <v/>
      </c>
    </row>
    <row r="143" spans="1:25" ht="14.25" hidden="1" customHeight="1" x14ac:dyDescent="0.25">
      <c r="A143" s="11"/>
      <c r="B143" s="11">
        <f t="shared" si="3"/>
        <v>12</v>
      </c>
      <c r="C143" s="11" t="s">
        <v>148</v>
      </c>
      <c r="D143" s="11"/>
      <c r="E143" s="23"/>
      <c r="F143" s="11">
        <f>VLOOKUP($G143, SeanRanks26!$A$2:$H$303, 5, FALSE)</f>
        <v>0</v>
      </c>
      <c r="G143" s="11" t="s">
        <v>370</v>
      </c>
      <c r="H143" s="11" t="str">
        <f>VLOOKUP($G143, '26 ADP Data'!$C$4:$Q$298, 2, FALSE)</f>
        <v>ARI</v>
      </c>
      <c r="I143" s="11" t="str">
        <f>VLOOKUP(G143, '26 ADP Data'!$C$4:$R$496, 16, FALSE)</f>
        <v>RB</v>
      </c>
      <c r="J143" s="11" t="str">
        <f>VLOOKUP($G143, SeanRanks26!$A$2:$H$303, 6, FALSE)</f>
        <v>RB4</v>
      </c>
      <c r="K143" s="11">
        <f>VLOOKUP($G143, SeanRanks26!$A$2:$H$303, 7, FALSE)</f>
        <v>44</v>
      </c>
      <c r="L143" s="11">
        <f t="shared" si="4"/>
        <v>12</v>
      </c>
      <c r="M143" s="11">
        <f>VLOOKUP($G143, '26 ADP Data'!$C$4:$Q$298, 10, FALSE)</f>
        <v>136</v>
      </c>
      <c r="N143" s="11">
        <f>VLOOKUP($G143, '26 ADP Data'!$C$4:$Q$298, 13, FALSE)</f>
        <v>139</v>
      </c>
      <c r="O143" s="11">
        <f t="shared" si="5"/>
        <v>-3</v>
      </c>
      <c r="P143" s="11">
        <f>VLOOKUP($G143, '26 ADP Data'!$C$4:$Q$298, 3, FALSE)</f>
        <v>149</v>
      </c>
      <c r="Q143" s="11">
        <f>VLOOKUP($G143, '26 ADP Data'!$C$4:$Q$298, 4, FALSE)</f>
        <v>166</v>
      </c>
      <c r="R143" s="11">
        <f>VLOOKUP($G143, '26 ADP Data'!$C$4:$Q$298, 6, FALSE)</f>
        <v>127</v>
      </c>
      <c r="S143" s="11">
        <f>VLOOKUP($G143, '26 ADP Data'!$C$4:$Q$298, 9, FALSE)</f>
        <v>130</v>
      </c>
      <c r="T143" s="11" t="str">
        <f>VLOOKUP($G143, '26 ADP Data'!$C$4:$Q$298, 8, FALSE)</f>
        <v>-</v>
      </c>
      <c r="U143" s="11">
        <f t="shared" si="6"/>
        <v>141</v>
      </c>
      <c r="V143" s="11">
        <f t="shared" si="7"/>
        <v>12</v>
      </c>
      <c r="W143" s="11"/>
      <c r="X143" s="11">
        <f>VLOOKUP($G143, SeanRanks26!$A$2:$K$303, 10, FALSE)-U143</f>
        <v>-5</v>
      </c>
      <c r="Y143" s="25" t="str">
        <f>IF(VLOOKUP($G143, SeanRanks26!$A$2:$H$303, 8, FALSE)=0, "", VLOOKUP($G143, SeanRanks26!$A$2:$H$303, 8, FALSE))</f>
        <v/>
      </c>
    </row>
    <row r="144" spans="1:25" ht="14.25" hidden="1" customHeight="1" x14ac:dyDescent="0.25">
      <c r="A144" s="11"/>
      <c r="B144" s="11">
        <f t="shared" si="3"/>
        <v>11</v>
      </c>
      <c r="C144" s="11" t="s">
        <v>148</v>
      </c>
      <c r="D144" s="11"/>
      <c r="E144" s="23"/>
      <c r="F144" s="11">
        <f>VLOOKUP($G144, SeanRanks26!$A$2:$H$303, 5, FALSE)</f>
        <v>0</v>
      </c>
      <c r="G144" s="11" t="s">
        <v>469</v>
      </c>
      <c r="H144" s="11" t="str">
        <f>VLOOKUP($G144, '26 ADP Data'!$C$4:$Q$298, 2, FALSE)</f>
        <v>LAR</v>
      </c>
      <c r="I144" s="11" t="str">
        <f>VLOOKUP(G144, '26 ADP Data'!$C$4:$R$496, 16, FALSE)</f>
        <v>DE</v>
      </c>
      <c r="J144" s="11">
        <f>VLOOKUP($G144, SeanRanks26!$A$2:$H$303, 6, FALSE)</f>
        <v>0</v>
      </c>
      <c r="K144" s="11">
        <f>VLOOKUP($G144, SeanRanks26!$A$2:$H$303, 7, FALSE)</f>
        <v>0</v>
      </c>
      <c r="L144" s="11">
        <f t="shared" si="4"/>
        <v>13</v>
      </c>
      <c r="M144" s="11">
        <f>VLOOKUP($G144, '26 ADP Data'!$C$4:$Q$298, 10, FALSE)</f>
        <v>155</v>
      </c>
      <c r="N144" s="11" t="str">
        <f>VLOOKUP($G144, '26 ADP Data'!$C$4:$Q$298, 13, FALSE)</f>
        <v>-</v>
      </c>
      <c r="O144" s="11" t="e">
        <f t="shared" si="5"/>
        <v>#VALUE!</v>
      </c>
      <c r="P144" s="11">
        <f>VLOOKUP($G144, '26 ADP Data'!$C$4:$Q$298, 3, FALSE)</f>
        <v>103</v>
      </c>
      <c r="Q144" s="11">
        <f>VLOOKUP($G144, '26 ADP Data'!$C$4:$Q$298, 4, FALSE)</f>
        <v>88</v>
      </c>
      <c r="R144" s="11">
        <f>VLOOKUP($G144, '26 ADP Data'!$C$4:$Q$298, 6, FALSE)</f>
        <v>193</v>
      </c>
      <c r="S144" s="11">
        <f>VLOOKUP($G144, '26 ADP Data'!$C$4:$Q$298, 9, FALSE)</f>
        <v>97</v>
      </c>
      <c r="T144" s="11" t="str">
        <f>VLOOKUP($G144, '26 ADP Data'!$C$4:$Q$298, 8, FALSE)</f>
        <v>-</v>
      </c>
      <c r="U144" s="11">
        <f t="shared" si="6"/>
        <v>127</v>
      </c>
      <c r="V144" s="11">
        <f t="shared" si="7"/>
        <v>11</v>
      </c>
      <c r="W144" s="11"/>
      <c r="X144" s="11">
        <f>VLOOKUP($G144, SeanRanks26!$A$2:$K$303, 10, FALSE)-U144</f>
        <v>28</v>
      </c>
      <c r="Y144" s="25" t="str">
        <f>IF(VLOOKUP($G144, SeanRanks26!$A$2:$H$303, 8, FALSE)=0, "", VLOOKUP($G144, SeanRanks26!$A$2:$H$303, 8, FALSE))</f>
        <v/>
      </c>
    </row>
    <row r="145" spans="1:25" ht="14.25" hidden="1" customHeight="1" x14ac:dyDescent="0.25">
      <c r="A145" s="11"/>
      <c r="B145" s="11">
        <f t="shared" si="3"/>
        <v>12</v>
      </c>
      <c r="C145" s="11" t="s">
        <v>148</v>
      </c>
      <c r="D145" s="11"/>
      <c r="E145" s="23"/>
      <c r="F145" s="11">
        <f>VLOOKUP($G145, SeanRanks26!$A$2:$H$303, 5, FALSE)</f>
        <v>0</v>
      </c>
      <c r="G145" s="11" t="s">
        <v>379</v>
      </c>
      <c r="H145" s="11" t="str">
        <f>VLOOKUP($G145, '26 ADP Data'!$C$4:$Q$298, 2, FALSE)</f>
        <v>NO</v>
      </c>
      <c r="I145" s="11" t="str">
        <f>VLOOKUP(G145, '26 ADP Data'!$C$4:$R$496, 16, FALSE)</f>
        <v>TE</v>
      </c>
      <c r="J145" s="11" t="str">
        <f>VLOOKUP($G145, SeanRanks26!$A$2:$H$303, 6, FALSE)</f>
        <v>TE2</v>
      </c>
      <c r="K145" s="11">
        <f>VLOOKUP($G145, SeanRanks26!$A$2:$H$303, 7, FALSE)</f>
        <v>15</v>
      </c>
      <c r="L145" s="11">
        <f t="shared" si="4"/>
        <v>12</v>
      </c>
      <c r="M145" s="11">
        <f>VLOOKUP($G145, '26 ADP Data'!$C$4:$Q$298, 10, FALSE)</f>
        <v>134</v>
      </c>
      <c r="N145" s="11">
        <f>VLOOKUP($G145, '26 ADP Data'!$C$4:$Q$298, 13, FALSE)</f>
        <v>140</v>
      </c>
      <c r="O145" s="11">
        <f t="shared" si="5"/>
        <v>-6</v>
      </c>
      <c r="P145" s="11">
        <f>VLOOKUP($G145, '26 ADP Data'!$C$4:$Q$298, 3, FALSE)</f>
        <v>140</v>
      </c>
      <c r="Q145" s="11">
        <f>VLOOKUP($G145, '26 ADP Data'!$C$4:$Q$298, 4, FALSE)</f>
        <v>157</v>
      </c>
      <c r="R145" s="11">
        <f>VLOOKUP($G145, '26 ADP Data'!$C$4:$Q$298, 6, FALSE)</f>
        <v>107</v>
      </c>
      <c r="S145" s="11">
        <f>VLOOKUP($G145, '26 ADP Data'!$C$4:$Q$298, 9, FALSE)</f>
        <v>162</v>
      </c>
      <c r="T145" s="11" t="str">
        <f>VLOOKUP($G145, '26 ADP Data'!$C$4:$Q$298, 8, FALSE)</f>
        <v>-</v>
      </c>
      <c r="U145" s="11">
        <f t="shared" si="6"/>
        <v>140</v>
      </c>
      <c r="V145" s="11">
        <f t="shared" si="7"/>
        <v>12</v>
      </c>
      <c r="W145" s="11">
        <f>D145-V145</f>
        <v>-12</v>
      </c>
      <c r="X145" s="11">
        <f>VLOOKUP($G145, SeanRanks26!$A$2:$K$303, 10, FALSE)-U145</f>
        <v>-6</v>
      </c>
      <c r="Y145" s="25" t="str">
        <f>IF(VLOOKUP($G145, SeanRanks26!$A$2:$H$303, 8, FALSE)=0, "", VLOOKUP($G145, SeanRanks26!$A$2:$H$303, 8, FALSE))</f>
        <v/>
      </c>
    </row>
    <row r="146" spans="1:25" ht="14.25" customHeight="1" x14ac:dyDescent="0.25">
      <c r="A146" s="11"/>
      <c r="B146" s="11">
        <f t="shared" si="3"/>
        <v>9</v>
      </c>
      <c r="C146" s="11" t="s">
        <v>148</v>
      </c>
      <c r="D146" s="11"/>
      <c r="E146" s="23"/>
      <c r="F146" s="11">
        <f>VLOOKUP($G146, SeanRanks26!$A$2:$H$303, 5, FALSE)</f>
        <v>0</v>
      </c>
      <c r="G146" s="11" t="s">
        <v>288</v>
      </c>
      <c r="H146" s="11" t="str">
        <f>VLOOKUP($G146, '26 ADP Data'!$C$4:$Q$298, 2, FALSE)</f>
        <v>WAS</v>
      </c>
      <c r="I146" s="11" t="str">
        <f>VLOOKUP(G146, '26 ADP Data'!$C$4:$R$496, 16, FALSE)</f>
        <v>WR</v>
      </c>
      <c r="J146" s="11" t="str">
        <f>VLOOKUP($G146, SeanRanks26!$A$2:$H$303, 6, FALSE)</f>
        <v>WR5</v>
      </c>
      <c r="K146" s="11">
        <f>VLOOKUP($G146, SeanRanks26!$A$2:$H$303, 7, FALSE)</f>
        <v>59</v>
      </c>
      <c r="L146" s="11">
        <f t="shared" si="4"/>
        <v>9</v>
      </c>
      <c r="M146" s="11">
        <f>VLOOKUP($G146, '26 ADP Data'!$C$4:$Q$298, 10, FALSE)</f>
        <v>97</v>
      </c>
      <c r="N146" s="11">
        <f>VLOOKUP($G146, '26 ADP Data'!$C$4:$Q$298, 13, FALSE)</f>
        <v>94</v>
      </c>
      <c r="O146" s="11">
        <f t="shared" si="5"/>
        <v>3</v>
      </c>
      <c r="P146" s="11">
        <f>VLOOKUP($G146, '26 ADP Data'!$C$4:$Q$298, 3, FALSE)</f>
        <v>110</v>
      </c>
      <c r="Q146" s="11">
        <f>VLOOKUP($G146, '26 ADP Data'!$C$4:$Q$298, 4, FALSE)</f>
        <v>96</v>
      </c>
      <c r="R146" s="11">
        <f>VLOOKUP($G146, '26 ADP Data'!$C$4:$Q$298, 6, FALSE)</f>
        <v>110</v>
      </c>
      <c r="S146" s="11">
        <f>VLOOKUP($G146, '26 ADP Data'!$C$4:$Q$298, 9, FALSE)</f>
        <v>110</v>
      </c>
      <c r="T146" s="11" t="str">
        <f>VLOOKUP($G146, '26 ADP Data'!$C$4:$Q$298, 8, FALSE)</f>
        <v>-</v>
      </c>
      <c r="U146" s="11">
        <f t="shared" si="6"/>
        <v>102</v>
      </c>
      <c r="V146" s="11">
        <f t="shared" si="7"/>
        <v>9</v>
      </c>
      <c r="W146" s="11"/>
      <c r="X146" s="11">
        <f>VLOOKUP($G146, SeanRanks26!$A$2:$K$303, 10, FALSE)-U146</f>
        <v>-5</v>
      </c>
      <c r="Y146" s="25" t="str">
        <f>IF(VLOOKUP($G146, SeanRanks26!$A$2:$H$303, 8, FALSE)=0, "", VLOOKUP($G146, SeanRanks26!$A$2:$H$303, 8, FALSE))</f>
        <v/>
      </c>
    </row>
    <row r="147" spans="1:25" ht="14.25" hidden="1" customHeight="1" x14ac:dyDescent="0.25">
      <c r="A147" s="11"/>
      <c r="B147" s="11">
        <f t="shared" si="3"/>
        <v>13</v>
      </c>
      <c r="C147" s="11" t="s">
        <v>148</v>
      </c>
      <c r="D147" s="11"/>
      <c r="E147" s="23"/>
      <c r="F147" s="11">
        <f>VLOOKUP($G147, SeanRanks26!$A$2:$H$303, 5, FALSE)</f>
        <v>0</v>
      </c>
      <c r="G147" s="11" t="s">
        <v>386</v>
      </c>
      <c r="H147" s="11" t="str">
        <f>VLOOKUP($G147, '26 ADP Data'!$C$4:$Q$298, 2, FALSE)</f>
        <v>SEA</v>
      </c>
      <c r="I147" s="11" t="str">
        <f>VLOOKUP(G147, '26 ADP Data'!$C$4:$R$496, 16, FALSE)</f>
        <v>RB</v>
      </c>
      <c r="J147" s="11" t="str">
        <f>VLOOKUP($G147, SeanRanks26!$A$2:$H$303, 6, FALSE)</f>
        <v>RB4</v>
      </c>
      <c r="K147" s="11">
        <f>VLOOKUP($G147, SeanRanks26!$A$2:$H$303, 7, FALSE)</f>
        <v>39</v>
      </c>
      <c r="L147" s="11">
        <f t="shared" si="4"/>
        <v>13</v>
      </c>
      <c r="M147" s="11">
        <f>VLOOKUP($G147, '26 ADP Data'!$C$4:$Q$298, 10, FALSE)</f>
        <v>148</v>
      </c>
      <c r="N147" s="11">
        <f>VLOOKUP($G147, '26 ADP Data'!$C$4:$Q$298, 13, FALSE)</f>
        <v>165</v>
      </c>
      <c r="O147" s="11">
        <f t="shared" si="5"/>
        <v>-17</v>
      </c>
      <c r="P147" s="11">
        <f>VLOOKUP($G147, '26 ADP Data'!$C$4:$Q$298, 3, FALSE)</f>
        <v>145</v>
      </c>
      <c r="Q147" s="11">
        <f>VLOOKUP($G147, '26 ADP Data'!$C$4:$Q$298, 4, FALSE)</f>
        <v>155</v>
      </c>
      <c r="R147" s="11">
        <f>VLOOKUP($G147, '26 ADP Data'!$C$4:$Q$298, 6, FALSE)</f>
        <v>143</v>
      </c>
      <c r="S147" s="11">
        <f>VLOOKUP($G147, '26 ADP Data'!$C$4:$Q$298, 9, FALSE)</f>
        <v>142</v>
      </c>
      <c r="T147" s="11" t="str">
        <f>VLOOKUP($G147, '26 ADP Data'!$C$4:$Q$298, 8, FALSE)</f>
        <v>-</v>
      </c>
      <c r="U147" s="11">
        <f t="shared" si="6"/>
        <v>149</v>
      </c>
      <c r="V147" s="11">
        <f t="shared" si="7"/>
        <v>13</v>
      </c>
      <c r="W147" s="11"/>
      <c r="X147" s="11">
        <f>VLOOKUP($G147, SeanRanks26!$A$2:$K$303, 10, FALSE)-U147</f>
        <v>-1</v>
      </c>
      <c r="Y147" s="25" t="str">
        <f>IF(VLOOKUP($G147, SeanRanks26!$A$2:$H$303, 8, FALSE)=0, "", VLOOKUP($G147, SeanRanks26!$A$2:$H$303, 8, FALSE))</f>
        <v/>
      </c>
    </row>
    <row r="148" spans="1:25" ht="14.25" hidden="1" customHeight="1" x14ac:dyDescent="0.25">
      <c r="A148" s="11"/>
      <c r="B148" s="11">
        <f t="shared" si="3"/>
        <v>14</v>
      </c>
      <c r="C148" s="11" t="s">
        <v>148</v>
      </c>
      <c r="D148" s="11"/>
      <c r="E148" s="23"/>
      <c r="F148" s="11">
        <f>VLOOKUP($G148, SeanRanks26!$A$2:$H$303, 5, FALSE)</f>
        <v>0</v>
      </c>
      <c r="G148" s="11" t="s">
        <v>372</v>
      </c>
      <c r="H148" s="11" t="str">
        <f>VLOOKUP($G148, '26 ADP Data'!$C$4:$Q$298, 2, FALSE)</f>
        <v>NO</v>
      </c>
      <c r="I148" s="11" t="str">
        <f>VLOOKUP(G148, '26 ADP Data'!$C$4:$R$496, 16, FALSE)</f>
        <v>QB</v>
      </c>
      <c r="J148" s="11">
        <f>VLOOKUP($G148, SeanRanks26!$A$2:$H$303, 6, FALSE)</f>
        <v>0</v>
      </c>
      <c r="K148" s="11">
        <f>VLOOKUP($G148, SeanRanks26!$A$2:$H$303, 7, FALSE)</f>
        <v>0</v>
      </c>
      <c r="L148" s="11">
        <f t="shared" si="4"/>
        <v>12</v>
      </c>
      <c r="M148" s="11">
        <f>VLOOKUP($G148, '26 ADP Data'!$C$4:$Q$298, 10, FALSE)</f>
        <v>143</v>
      </c>
      <c r="N148" s="11">
        <f>VLOOKUP($G148, '26 ADP Data'!$C$4:$Q$298, 13, FALSE)</f>
        <v>127</v>
      </c>
      <c r="O148" s="11">
        <f t="shared" si="5"/>
        <v>16</v>
      </c>
      <c r="P148" s="11">
        <f>VLOOKUP($G148, '26 ADP Data'!$C$4:$Q$298, 3, FALSE)</f>
        <v>155</v>
      </c>
      <c r="Q148" s="11">
        <f>VLOOKUP($G148, '26 ADP Data'!$C$4:$Q$298, 4, FALSE)</f>
        <v>148</v>
      </c>
      <c r="R148" s="11">
        <f>VLOOKUP($G148, '26 ADP Data'!$C$4:$Q$298, 6, FALSE)</f>
        <v>153</v>
      </c>
      <c r="S148" s="11">
        <f>VLOOKUP($G148, '26 ADP Data'!$C$4:$Q$298, 9, FALSE)</f>
        <v>189</v>
      </c>
      <c r="T148" s="11" t="str">
        <f>VLOOKUP($G148, '26 ADP Data'!$C$4:$Q$298, 8, FALSE)</f>
        <v>-</v>
      </c>
      <c r="U148" s="11">
        <f t="shared" si="6"/>
        <v>152</v>
      </c>
      <c r="V148" s="11">
        <f t="shared" si="7"/>
        <v>13</v>
      </c>
      <c r="W148" s="11"/>
      <c r="X148" s="11">
        <f>VLOOKUP($G148, SeanRanks26!$A$2:$K$303, 10, FALSE)-U148</f>
        <v>-9</v>
      </c>
      <c r="Y148" s="25" t="str">
        <f>IF(VLOOKUP($G148, SeanRanks26!$A$2:$H$303, 8, FALSE)=0, "", VLOOKUP($G148, SeanRanks26!$A$2:$H$303, 8, FALSE))</f>
        <v/>
      </c>
    </row>
    <row r="149" spans="1:25" ht="14.25" hidden="1" customHeight="1" x14ac:dyDescent="0.25">
      <c r="A149" s="11"/>
      <c r="B149" s="11">
        <f t="shared" si="3"/>
        <v>12</v>
      </c>
      <c r="C149" s="11" t="s">
        <v>148</v>
      </c>
      <c r="D149" s="11"/>
      <c r="E149" s="23"/>
      <c r="F149" s="11">
        <f>VLOOKUP($G149, SeanRanks26!$A$2:$H$303, 5, FALSE)</f>
        <v>0</v>
      </c>
      <c r="G149" s="11" t="s">
        <v>476</v>
      </c>
      <c r="H149" s="11" t="str">
        <f>VLOOKUP($G149, '26 ADP Data'!$C$4:$Q$298, 2, FALSE)</f>
        <v>SEA</v>
      </c>
      <c r="I149" s="11" t="str">
        <f>VLOOKUP(G149, '26 ADP Data'!$C$4:$R$496, 16, FALSE)</f>
        <v>DE</v>
      </c>
      <c r="J149" s="11">
        <f>VLOOKUP($G149, SeanRanks26!$A$2:$H$303, 6, FALSE)</f>
        <v>0</v>
      </c>
      <c r="K149" s="11">
        <f>VLOOKUP($G149, SeanRanks26!$A$2:$H$303, 7, FALSE)</f>
        <v>0</v>
      </c>
      <c r="L149" s="11">
        <f t="shared" si="4"/>
        <v>14</v>
      </c>
      <c r="M149" s="11">
        <f>VLOOKUP($G149, '26 ADP Data'!$C$4:$Q$298, 10, FALSE)</f>
        <v>165</v>
      </c>
      <c r="N149" s="11" t="str">
        <f>VLOOKUP($G149, '26 ADP Data'!$C$4:$Q$298, 13, FALSE)</f>
        <v>-</v>
      </c>
      <c r="O149" s="11" t="e">
        <f t="shared" si="5"/>
        <v>#VALUE!</v>
      </c>
      <c r="P149" s="11">
        <f>VLOOKUP($G149, '26 ADP Data'!$C$4:$Q$298, 3, FALSE)</f>
        <v>118</v>
      </c>
      <c r="Q149" s="11">
        <f>VLOOKUP($G149, '26 ADP Data'!$C$4:$Q$298, 4, FALSE)</f>
        <v>107</v>
      </c>
      <c r="R149" s="11">
        <f>VLOOKUP($G149, '26 ADP Data'!$C$4:$Q$298, 6, FALSE)</f>
        <v>200</v>
      </c>
      <c r="S149" s="11">
        <f>VLOOKUP($G149, '26 ADP Data'!$C$4:$Q$298, 9, FALSE)</f>
        <v>114</v>
      </c>
      <c r="T149" s="11" t="str">
        <f>VLOOKUP($G149, '26 ADP Data'!$C$4:$Q$298, 8, FALSE)</f>
        <v>-</v>
      </c>
      <c r="U149" s="11">
        <f t="shared" si="6"/>
        <v>140</v>
      </c>
      <c r="V149" s="11">
        <f t="shared" si="7"/>
        <v>12</v>
      </c>
      <c r="W149" s="11"/>
      <c r="X149" s="11">
        <f>VLOOKUP($G149, SeanRanks26!$A$2:$K$303, 10, FALSE)-U149</f>
        <v>25</v>
      </c>
      <c r="Y149" s="25" t="str">
        <f>IF(VLOOKUP($G149, SeanRanks26!$A$2:$H$303, 8, FALSE)=0, "", VLOOKUP($G149, SeanRanks26!$A$2:$H$303, 8, FALSE))</f>
        <v/>
      </c>
    </row>
    <row r="150" spans="1:25" ht="14.25" hidden="1" customHeight="1" x14ac:dyDescent="0.25">
      <c r="A150" s="11"/>
      <c r="B150" s="11">
        <f t="shared" si="3"/>
        <v>15</v>
      </c>
      <c r="C150" s="11" t="s">
        <v>148</v>
      </c>
      <c r="D150" s="11"/>
      <c r="E150" s="23"/>
      <c r="F150" s="11">
        <f>VLOOKUP($G150, SeanRanks26!$A$2:$H$303, 5, FALSE)</f>
        <v>0</v>
      </c>
      <c r="G150" s="11" t="s">
        <v>384</v>
      </c>
      <c r="H150" s="11" t="str">
        <f>VLOOKUP($G150, '26 ADP Data'!$C$4:$Q$298, 2, FALSE)</f>
        <v>LAC</v>
      </c>
      <c r="I150" s="11" t="str">
        <f>VLOOKUP(G150, '26 ADP Data'!$C$4:$R$496, 16, FALSE)</f>
        <v>RB</v>
      </c>
      <c r="J150" s="11" t="str">
        <f>VLOOKUP($G150, SeanRanks26!$A$2:$H$303, 6, FALSE)</f>
        <v>RB4</v>
      </c>
      <c r="K150" s="11">
        <f>VLOOKUP($G150, SeanRanks26!$A$2:$H$303, 7, FALSE)</f>
        <v>52</v>
      </c>
      <c r="L150" s="11">
        <f t="shared" si="4"/>
        <v>11</v>
      </c>
      <c r="M150" s="11">
        <f>VLOOKUP($G150, '26 ADP Data'!$C$4:$Q$298, 10, FALSE)</f>
        <v>124</v>
      </c>
      <c r="N150" s="11">
        <f>VLOOKUP($G150, '26 ADP Data'!$C$4:$Q$298, 13, FALSE)</f>
        <v>130</v>
      </c>
      <c r="O150" s="11">
        <f t="shared" si="5"/>
        <v>-6</v>
      </c>
      <c r="P150" s="11">
        <f>VLOOKUP($G150, '26 ADP Data'!$C$4:$Q$298, 3, FALSE)</f>
        <v>174</v>
      </c>
      <c r="Q150" s="11">
        <f>VLOOKUP($G150, '26 ADP Data'!$C$4:$Q$298, 4, FALSE)</f>
        <v>200</v>
      </c>
      <c r="R150" s="11">
        <f>VLOOKUP($G150, '26 ADP Data'!$C$4:$Q$298, 6, FALSE)</f>
        <v>134</v>
      </c>
      <c r="S150" s="11">
        <f>VLOOKUP($G150, '26 ADP Data'!$C$4:$Q$298, 9, FALSE)</f>
        <v>165</v>
      </c>
      <c r="T150" s="11" t="str">
        <f>VLOOKUP($G150, '26 ADP Data'!$C$4:$Q$298, 8, FALSE)</f>
        <v>-</v>
      </c>
      <c r="U150" s="11">
        <f t="shared" si="6"/>
        <v>154</v>
      </c>
      <c r="V150" s="11">
        <f t="shared" si="7"/>
        <v>13</v>
      </c>
      <c r="W150" s="11"/>
      <c r="X150" s="11">
        <f>VLOOKUP($G150, SeanRanks26!$A$2:$K$303, 10, FALSE)-U150</f>
        <v>-30</v>
      </c>
      <c r="Y150" s="25" t="str">
        <f>IF(VLOOKUP($G150, SeanRanks26!$A$2:$H$303, 8, FALSE)=0, "", VLOOKUP($G150, SeanRanks26!$A$2:$H$303, 8, FALSE))</f>
        <v/>
      </c>
    </row>
    <row r="151" spans="1:25" ht="14.25" hidden="1" customHeight="1" x14ac:dyDescent="0.25">
      <c r="A151" s="11"/>
      <c r="B151" s="11">
        <f t="shared" si="3"/>
        <v>13</v>
      </c>
      <c r="C151" s="11" t="s">
        <v>148</v>
      </c>
      <c r="D151" s="11"/>
      <c r="E151" s="23"/>
      <c r="F151" s="11">
        <f>VLOOKUP($G151, SeanRanks26!$A$2:$H$303, 5, FALSE)</f>
        <v>0</v>
      </c>
      <c r="G151" s="11" t="s">
        <v>397</v>
      </c>
      <c r="H151" s="11" t="str">
        <f>VLOOKUP($G151, '26 ADP Data'!$C$4:$Q$298, 2, FALSE)</f>
        <v>NE</v>
      </c>
      <c r="I151" s="11" t="str">
        <f>VLOOKUP(G151, '26 ADP Data'!$C$4:$R$496, 16, FALSE)</f>
        <v>TE</v>
      </c>
      <c r="J151" s="11">
        <f>VLOOKUP($G151, SeanRanks26!$A$2:$H$303, 6, FALSE)</f>
        <v>0</v>
      </c>
      <c r="K151" s="11">
        <f>VLOOKUP($G151, SeanRanks26!$A$2:$H$303, 7, FALSE)</f>
        <v>0</v>
      </c>
      <c r="L151" s="11">
        <f t="shared" si="4"/>
        <v>14</v>
      </c>
      <c r="M151" s="11">
        <f>VLOOKUP($G151, '26 ADP Data'!$C$4:$Q$298, 10, FALSE)</f>
        <v>166</v>
      </c>
      <c r="N151" s="11">
        <f>VLOOKUP($G151, '26 ADP Data'!$C$4:$Q$298, 13, FALSE)</f>
        <v>155</v>
      </c>
      <c r="O151" s="11">
        <f t="shared" si="5"/>
        <v>11</v>
      </c>
      <c r="P151" s="11">
        <f>VLOOKUP($G151, '26 ADP Data'!$C$4:$Q$298, 3, FALSE)</f>
        <v>159</v>
      </c>
      <c r="Q151" s="11">
        <f>VLOOKUP($G151, '26 ADP Data'!$C$4:$Q$298, 4, FALSE)</f>
        <v>149</v>
      </c>
      <c r="R151" s="11">
        <f>VLOOKUP($G151, '26 ADP Data'!$C$4:$Q$298, 6, FALSE)</f>
        <v>136</v>
      </c>
      <c r="S151" s="11">
        <f>VLOOKUP($G151, '26 ADP Data'!$C$4:$Q$298, 9, FALSE)</f>
        <v>148</v>
      </c>
      <c r="T151" s="11" t="str">
        <f>VLOOKUP($G151, '26 ADP Data'!$C$4:$Q$298, 8, FALSE)</f>
        <v>-</v>
      </c>
      <c r="U151" s="11">
        <f t="shared" si="6"/>
        <v>152</v>
      </c>
      <c r="V151" s="11">
        <f t="shared" si="7"/>
        <v>13</v>
      </c>
      <c r="W151" s="11"/>
      <c r="X151" s="11">
        <f>VLOOKUP($G151, SeanRanks26!$A$2:$K$303, 10, FALSE)-U151</f>
        <v>14</v>
      </c>
      <c r="Y151" s="25" t="str">
        <f>IF(VLOOKUP($G151, SeanRanks26!$A$2:$H$303, 8, FALSE)=0, "", VLOOKUP($G151, SeanRanks26!$A$2:$H$303, 8, FALSE))</f>
        <v/>
      </c>
    </row>
    <row r="152" spans="1:25" ht="14.25" hidden="1" customHeight="1" x14ac:dyDescent="0.25">
      <c r="A152" s="11"/>
      <c r="B152" s="11">
        <f t="shared" si="3"/>
        <v>13</v>
      </c>
      <c r="C152" s="11" t="s">
        <v>148</v>
      </c>
      <c r="D152" s="11"/>
      <c r="E152" s="23"/>
      <c r="F152" s="11">
        <f>VLOOKUP($G152, SeanRanks26!$A$2:$H$303, 5, FALSE)</f>
        <v>0</v>
      </c>
      <c r="G152" s="11" t="s">
        <v>381</v>
      </c>
      <c r="H152" s="11" t="str">
        <f>VLOOKUP($G152, '26 ADP Data'!$C$4:$Q$298, 2, FALSE)</f>
        <v>TEN</v>
      </c>
      <c r="I152" s="11" t="str">
        <f>VLOOKUP(G152, '26 ADP Data'!$C$4:$R$496, 16, FALSE)</f>
        <v>RB</v>
      </c>
      <c r="J152" s="11" t="str">
        <f>VLOOKUP($G152, SeanRanks26!$A$2:$H$303, 6, FALSE)</f>
        <v>RB4</v>
      </c>
      <c r="K152" s="11">
        <f>VLOOKUP($G152, SeanRanks26!$A$2:$H$303, 7, FALSE)</f>
        <v>50</v>
      </c>
      <c r="L152" s="11">
        <f t="shared" si="4"/>
        <v>12</v>
      </c>
      <c r="M152" s="11">
        <f>VLOOKUP($G152, '26 ADP Data'!$C$4:$Q$298, 10, FALSE)</f>
        <v>140</v>
      </c>
      <c r="N152" s="11">
        <f>VLOOKUP($G152, '26 ADP Data'!$C$4:$Q$298, 13, FALSE)</f>
        <v>153</v>
      </c>
      <c r="O152" s="11">
        <f t="shared" si="5"/>
        <v>-13</v>
      </c>
      <c r="P152" s="11">
        <f>VLOOKUP($G152, '26 ADP Data'!$C$4:$Q$298, 3, FALSE)</f>
        <v>151</v>
      </c>
      <c r="Q152" s="11">
        <f>VLOOKUP($G152, '26 ADP Data'!$C$4:$Q$298, 4, FALSE)</f>
        <v>146</v>
      </c>
      <c r="R152" s="11">
        <f>VLOOKUP($G152, '26 ADP Data'!$C$4:$Q$298, 6, FALSE)</f>
        <v>140</v>
      </c>
      <c r="S152" s="11">
        <f>VLOOKUP($G152, '26 ADP Data'!$C$4:$Q$298, 9, FALSE)</f>
        <v>168</v>
      </c>
      <c r="T152" s="11" t="str">
        <f>VLOOKUP($G152, '26 ADP Data'!$C$4:$Q$298, 8, FALSE)</f>
        <v>-</v>
      </c>
      <c r="U152" s="11">
        <f t="shared" si="6"/>
        <v>149</v>
      </c>
      <c r="V152" s="11">
        <f t="shared" si="7"/>
        <v>13</v>
      </c>
      <c r="W152" s="11"/>
      <c r="X152" s="11">
        <f>VLOOKUP($G152, SeanRanks26!$A$2:$K$303, 10, FALSE)-U152</f>
        <v>-9</v>
      </c>
      <c r="Y152" s="25" t="str">
        <f>IF(VLOOKUP($G152, SeanRanks26!$A$2:$H$303, 8, FALSE)=0, "", VLOOKUP($G152, SeanRanks26!$A$2:$H$303, 8, FALSE))</f>
        <v/>
      </c>
    </row>
    <row r="153" spans="1:25" ht="14.25" hidden="1" customHeight="1" x14ac:dyDescent="0.25">
      <c r="A153" s="11"/>
      <c r="B153" s="11">
        <f t="shared" si="3"/>
        <v>13</v>
      </c>
      <c r="C153" s="11" t="s">
        <v>148</v>
      </c>
      <c r="D153" s="11"/>
      <c r="E153" s="23"/>
      <c r="F153" s="11">
        <f>VLOOKUP($G153, SeanRanks26!$A$2:$H$303, 5, FALSE)</f>
        <v>0</v>
      </c>
      <c r="G153" s="11" t="s">
        <v>393</v>
      </c>
      <c r="H153" s="11" t="str">
        <f>VLOOKUP($G153, '26 ADP Data'!$C$4:$Q$298, 2, FALSE)</f>
        <v>JAX</v>
      </c>
      <c r="I153" s="11" t="str">
        <f>VLOOKUP(G153, '26 ADP Data'!$C$4:$R$496, 16, FALSE)</f>
        <v>TE</v>
      </c>
      <c r="J153" s="11">
        <f>VLOOKUP($G153, SeanRanks26!$A$2:$H$303, 6, FALSE)</f>
        <v>0</v>
      </c>
      <c r="K153" s="11">
        <f>VLOOKUP($G153, SeanRanks26!$A$2:$H$303, 7, FALSE)</f>
        <v>0</v>
      </c>
      <c r="L153" s="11">
        <f t="shared" si="4"/>
        <v>15</v>
      </c>
      <c r="M153" s="11">
        <f>VLOOKUP($G153, '26 ADP Data'!$C$4:$Q$298, 10, FALSE)</f>
        <v>174</v>
      </c>
      <c r="N153" s="11">
        <f>VLOOKUP($G153, '26 ADP Data'!$C$4:$Q$298, 13, FALSE)</f>
        <v>150</v>
      </c>
      <c r="O153" s="11">
        <f t="shared" si="5"/>
        <v>24</v>
      </c>
      <c r="P153" s="11">
        <f>VLOOKUP($G153, '26 ADP Data'!$C$4:$Q$298, 3, FALSE)</f>
        <v>143</v>
      </c>
      <c r="Q153" s="11">
        <f>VLOOKUP($G153, '26 ADP Data'!$C$4:$Q$298, 4, FALSE)</f>
        <v>186</v>
      </c>
      <c r="R153" s="11">
        <f>VLOOKUP($G153, '26 ADP Data'!$C$4:$Q$298, 6, FALSE)</f>
        <v>123</v>
      </c>
      <c r="S153" s="11">
        <f>VLOOKUP($G153, '26 ADP Data'!$C$4:$Q$298, 9, FALSE)</f>
        <v>171</v>
      </c>
      <c r="T153" s="11" t="str">
        <f>VLOOKUP($G153, '26 ADP Data'!$C$4:$Q$298, 8, FALSE)</f>
        <v>-</v>
      </c>
      <c r="U153" s="11">
        <f t="shared" si="6"/>
        <v>157</v>
      </c>
      <c r="V153" s="11">
        <f t="shared" si="7"/>
        <v>14</v>
      </c>
      <c r="W153" s="11"/>
      <c r="X153" s="11">
        <f>VLOOKUP($G153, SeanRanks26!$A$2:$K$303, 10, FALSE)-U153</f>
        <v>17</v>
      </c>
      <c r="Y153" s="25" t="str">
        <f>IF(VLOOKUP($G153, SeanRanks26!$A$2:$H$303, 8, FALSE)=0, "", VLOOKUP($G153, SeanRanks26!$A$2:$H$303, 8, FALSE))</f>
        <v/>
      </c>
    </row>
    <row r="154" spans="1:25" ht="14.25" hidden="1" customHeight="1" x14ac:dyDescent="0.25">
      <c r="A154" s="11"/>
      <c r="B154" s="11">
        <f t="shared" si="3"/>
        <v>14</v>
      </c>
      <c r="C154" s="11" t="s">
        <v>148</v>
      </c>
      <c r="D154" s="11"/>
      <c r="E154" s="23"/>
      <c r="F154" s="11">
        <f>VLOOKUP($G154, SeanRanks26!$A$2:$H$303, 5, FALSE)</f>
        <v>0</v>
      </c>
      <c r="G154" s="11" t="s">
        <v>435</v>
      </c>
      <c r="H154" s="11" t="str">
        <f>VLOOKUP($G154, '26 ADP Data'!$C$4:$Q$298, 2, FALSE)</f>
        <v>NYG</v>
      </c>
      <c r="I154" s="11" t="str">
        <f>VLOOKUP(G154, '26 ADP Data'!$C$4:$R$496, 16, FALSE)</f>
        <v>RB</v>
      </c>
      <c r="J154" s="11" t="str">
        <f>VLOOKUP($G154, SeanRanks26!$A$2:$H$303, 6, FALSE)</f>
        <v>RB4</v>
      </c>
      <c r="K154" s="11">
        <f>VLOOKUP($G154, SeanRanks26!$A$2:$H$303, 7, FALSE)</f>
        <v>46</v>
      </c>
      <c r="L154" s="11">
        <f t="shared" si="4"/>
        <v>20</v>
      </c>
      <c r="M154" s="11">
        <f>VLOOKUP($G154, '26 ADP Data'!$C$4:$Q$298, 10, FALSE)</f>
        <v>232</v>
      </c>
      <c r="N154" s="11">
        <f>VLOOKUP($G154, '26 ADP Data'!$C$4:$Q$298, 13, FALSE)</f>
        <v>162</v>
      </c>
      <c r="O154" s="11">
        <f t="shared" si="5"/>
        <v>70</v>
      </c>
      <c r="P154" s="11">
        <f>VLOOKUP($G154, '26 ADP Data'!$C$4:$Q$298, 3, FALSE)</f>
        <v>161</v>
      </c>
      <c r="Q154" s="11" t="str">
        <f>VLOOKUP($G154, '26 ADP Data'!$C$4:$Q$298, 4, FALSE)</f>
        <v>-</v>
      </c>
      <c r="R154" s="11">
        <f>VLOOKUP($G154, '26 ADP Data'!$C$4:$Q$298, 6, FALSE)</f>
        <v>175</v>
      </c>
      <c r="S154" s="11">
        <f>VLOOKUP($G154, '26 ADP Data'!$C$4:$Q$298, 9, FALSE)</f>
        <v>152</v>
      </c>
      <c r="T154" s="11" t="str">
        <f>VLOOKUP($G154, '26 ADP Data'!$C$4:$Q$298, 8, FALSE)</f>
        <v>-</v>
      </c>
      <c r="U154" s="11">
        <f t="shared" si="6"/>
        <v>176</v>
      </c>
      <c r="V154" s="11">
        <f t="shared" si="7"/>
        <v>15</v>
      </c>
      <c r="W154" s="11"/>
      <c r="X154" s="11">
        <f>VLOOKUP($G154, SeanRanks26!$A$2:$K$303, 10, FALSE)-U154</f>
        <v>56</v>
      </c>
      <c r="Y154" s="25" t="str">
        <f>IF(VLOOKUP($G154, SeanRanks26!$A$2:$H$303, 8, FALSE)=0, "", VLOOKUP($G154, SeanRanks26!$A$2:$H$303, 8, FALSE))</f>
        <v/>
      </c>
    </row>
    <row r="155" spans="1:25" ht="14.25" hidden="1" customHeight="1" x14ac:dyDescent="0.25">
      <c r="A155" s="11"/>
      <c r="B155" s="11">
        <f t="shared" si="3"/>
        <v>12</v>
      </c>
      <c r="C155" s="11" t="s">
        <v>148</v>
      </c>
      <c r="D155" s="11"/>
      <c r="E155" s="23"/>
      <c r="F155" s="11" t="str">
        <f>VLOOKUP($G155, SeanRanks26!$A$2:$H$303, 5, FALSE)</f>
        <v>Yes</v>
      </c>
      <c r="G155" s="11" t="s">
        <v>374</v>
      </c>
      <c r="H155" s="11" t="str">
        <f>VLOOKUP($G155, '26 ADP Data'!$C$4:$Q$298, 2, FALSE)</f>
        <v>LV</v>
      </c>
      <c r="I155" s="11" t="str">
        <f>VLOOKUP(G155, '26 ADP Data'!$C$4:$R$496, 16, FALSE)</f>
        <v>RB</v>
      </c>
      <c r="J155" s="11" t="str">
        <f>VLOOKUP($G155, SeanRanks26!$A$2:$H$303, 6, FALSE)</f>
        <v>RB4</v>
      </c>
      <c r="K155" s="11">
        <f>VLOOKUP($G155, SeanRanks26!$A$2:$H$303, 7, FALSE)</f>
        <v>54</v>
      </c>
      <c r="L155" s="11">
        <f t="shared" si="4"/>
        <v>11</v>
      </c>
      <c r="M155" s="11">
        <f>VLOOKUP($G155, '26 ADP Data'!$C$4:$Q$298, 10, FALSE)</f>
        <v>128</v>
      </c>
      <c r="N155" s="11">
        <f>VLOOKUP($G155, '26 ADP Data'!$C$4:$Q$298, 13, FALSE)</f>
        <v>145</v>
      </c>
      <c r="O155" s="11">
        <f t="shared" si="5"/>
        <v>-17</v>
      </c>
      <c r="P155" s="11">
        <f>VLOOKUP($G155, '26 ADP Data'!$C$4:$Q$298, 3, FALSE)</f>
        <v>124</v>
      </c>
      <c r="Q155" s="11">
        <f>VLOOKUP($G155, '26 ADP Data'!$C$4:$Q$298, 4, FALSE)</f>
        <v>162</v>
      </c>
      <c r="R155" s="11">
        <f>VLOOKUP($G155, '26 ADP Data'!$C$4:$Q$298, 6, FALSE)</f>
        <v>115</v>
      </c>
      <c r="S155" s="11">
        <f>VLOOKUP($G155, '26 ADP Data'!$C$4:$Q$298, 9, FALSE)</f>
        <v>137</v>
      </c>
      <c r="T155" s="11" t="str">
        <f>VLOOKUP($G155, '26 ADP Data'!$C$4:$Q$298, 8, FALSE)</f>
        <v>-</v>
      </c>
      <c r="U155" s="11">
        <f t="shared" si="6"/>
        <v>135</v>
      </c>
      <c r="V155" s="11">
        <f t="shared" si="7"/>
        <v>12</v>
      </c>
      <c r="W155" s="11"/>
      <c r="X155" s="11">
        <f>VLOOKUP($G155, SeanRanks26!$A$2:$K$303, 10, FALSE)-U155</f>
        <v>-7</v>
      </c>
      <c r="Y155" s="25" t="str">
        <f>IF(VLOOKUP($G155, SeanRanks26!$A$2:$H$303, 8, FALSE)=0, "", VLOOKUP($G155, SeanRanks26!$A$2:$H$303, 8, FALSE))</f>
        <v>Rookie R4 - Arkansas</v>
      </c>
    </row>
    <row r="156" spans="1:25" ht="14.25" hidden="1" customHeight="1" x14ac:dyDescent="0.25">
      <c r="A156" s="11"/>
      <c r="B156" s="11">
        <f t="shared" si="3"/>
        <v>13</v>
      </c>
      <c r="C156" s="11" t="s">
        <v>148</v>
      </c>
      <c r="D156" s="11"/>
      <c r="E156" s="23"/>
      <c r="F156" s="11" t="str">
        <f>VLOOKUP($G156, SeanRanks26!$A$2:$H$303, 5, FALSE)</f>
        <v>Yes</v>
      </c>
      <c r="G156" s="11" t="s">
        <v>388</v>
      </c>
      <c r="H156" s="11" t="str">
        <f>VLOOKUP($G156, '26 ADP Data'!$C$4:$Q$298, 2, FALSE)</f>
        <v>DEN</v>
      </c>
      <c r="I156" s="11" t="str">
        <f>VLOOKUP(G156, '26 ADP Data'!$C$4:$R$496, 16, FALSE)</f>
        <v>RB</v>
      </c>
      <c r="J156" s="11">
        <f>VLOOKUP($G156, SeanRanks26!$A$2:$H$303, 6, FALSE)</f>
        <v>0</v>
      </c>
      <c r="K156" s="11">
        <f>VLOOKUP($G156, SeanRanks26!$A$2:$H$303, 7, FALSE)</f>
        <v>0</v>
      </c>
      <c r="L156" s="11">
        <f t="shared" si="4"/>
        <v>12</v>
      </c>
      <c r="M156" s="11">
        <f>VLOOKUP($G156, '26 ADP Data'!$C$4:$Q$298, 10, FALSE)</f>
        <v>141</v>
      </c>
      <c r="N156" s="11">
        <f>VLOOKUP($G156, '26 ADP Data'!$C$4:$Q$298, 13, FALSE)</f>
        <v>141</v>
      </c>
      <c r="O156" s="11">
        <f t="shared" si="5"/>
        <v>0</v>
      </c>
      <c r="P156" s="11">
        <f>VLOOKUP($G156, '26 ADP Data'!$C$4:$Q$298, 3, FALSE)</f>
        <v>150</v>
      </c>
      <c r="Q156" s="11">
        <f>VLOOKUP($G156, '26 ADP Data'!$C$4:$Q$298, 4, FALSE)</f>
        <v>163</v>
      </c>
      <c r="R156" s="11">
        <f>VLOOKUP($G156, '26 ADP Data'!$C$4:$Q$298, 6, FALSE)</f>
        <v>125</v>
      </c>
      <c r="S156" s="11">
        <f>VLOOKUP($G156, '26 ADP Data'!$C$4:$Q$298, 9, FALSE)</f>
        <v>147</v>
      </c>
      <c r="T156" s="11" t="str">
        <f>VLOOKUP($G156, '26 ADP Data'!$C$4:$Q$298, 8, FALSE)</f>
        <v>-</v>
      </c>
      <c r="U156" s="11">
        <f t="shared" si="6"/>
        <v>144</v>
      </c>
      <c r="V156" s="11">
        <f t="shared" si="7"/>
        <v>13</v>
      </c>
      <c r="W156" s="11"/>
      <c r="X156" s="11">
        <f>VLOOKUP($G156, SeanRanks26!$A$2:$K$303, 10, FALSE)-U156</f>
        <v>-3</v>
      </c>
      <c r="Y156" s="25" t="str">
        <f>IF(VLOOKUP($G156, SeanRanks26!$A$2:$H$303, 8, FALSE)=0, "", VLOOKUP($G156, SeanRanks26!$A$2:$H$303, 8, FALSE))</f>
        <v>Rookie R4 - Washington</v>
      </c>
    </row>
    <row r="157" spans="1:25" ht="14.25" hidden="1" customHeight="1" x14ac:dyDescent="0.25">
      <c r="A157" s="11"/>
      <c r="B157" s="11">
        <f t="shared" si="3"/>
        <v>15</v>
      </c>
      <c r="C157" s="11" t="s">
        <v>148</v>
      </c>
      <c r="D157" s="11"/>
      <c r="E157" s="23"/>
      <c r="F157" s="11">
        <f>VLOOKUP($G157, SeanRanks26!$A$2:$H$303, 5, FALSE)</f>
        <v>0</v>
      </c>
      <c r="G157" s="11" t="s">
        <v>391</v>
      </c>
      <c r="H157" s="11" t="str">
        <f>VLOOKUP($G157, '26 ADP Data'!$C$4:$Q$298, 2, FALSE)</f>
        <v>MIA</v>
      </c>
      <c r="I157" s="11" t="str">
        <f>VLOOKUP(G157, '26 ADP Data'!$C$4:$R$496, 16, FALSE)</f>
        <v>QB</v>
      </c>
      <c r="J157" s="11">
        <f>VLOOKUP($G157, SeanRanks26!$A$2:$H$303, 6, FALSE)</f>
        <v>0</v>
      </c>
      <c r="K157" s="11">
        <f>VLOOKUP($G157, SeanRanks26!$A$2:$H$303, 7, FALSE)</f>
        <v>0</v>
      </c>
      <c r="L157" s="11">
        <f t="shared" si="4"/>
        <v>12</v>
      </c>
      <c r="M157" s="11">
        <f>VLOOKUP($G157, '26 ADP Data'!$C$4:$Q$298, 10, FALSE)</f>
        <v>133</v>
      </c>
      <c r="N157" s="11">
        <f>VLOOKUP($G157, '26 ADP Data'!$C$4:$Q$298, 13, FALSE)</f>
        <v>133</v>
      </c>
      <c r="O157" s="11">
        <f t="shared" si="5"/>
        <v>0</v>
      </c>
      <c r="P157" s="11">
        <f>VLOOKUP($G157, '26 ADP Data'!$C$4:$Q$298, 3, FALSE)</f>
        <v>165</v>
      </c>
      <c r="Q157" s="11">
        <f>VLOOKUP($G157, '26 ADP Data'!$C$4:$Q$298, 4, FALSE)</f>
        <v>178</v>
      </c>
      <c r="R157" s="11">
        <f>VLOOKUP($G157, '26 ADP Data'!$C$4:$Q$298, 6, FALSE)</f>
        <v>156</v>
      </c>
      <c r="S157" s="11">
        <f>VLOOKUP($G157, '26 ADP Data'!$C$4:$Q$298, 9, FALSE)</f>
        <v>191</v>
      </c>
      <c r="T157" s="11" t="str">
        <f>VLOOKUP($G157, '26 ADP Data'!$C$4:$Q$298, 8, FALSE)</f>
        <v>-</v>
      </c>
      <c r="U157" s="11">
        <f t="shared" si="6"/>
        <v>159</v>
      </c>
      <c r="V157" s="11">
        <f t="shared" si="7"/>
        <v>14</v>
      </c>
      <c r="W157" s="11"/>
      <c r="X157" s="11">
        <f>VLOOKUP($G157, SeanRanks26!$A$2:$K$303, 10, FALSE)-U157</f>
        <v>-26</v>
      </c>
      <c r="Y157" s="25" t="str">
        <f>IF(VLOOKUP($G157, SeanRanks26!$A$2:$H$303, 8, FALSE)=0, "", VLOOKUP($G157, SeanRanks26!$A$2:$H$303, 8, FALSE))</f>
        <v/>
      </c>
    </row>
    <row r="158" spans="1:25" ht="14.25" customHeight="1" x14ac:dyDescent="0.25">
      <c r="A158" s="11"/>
      <c r="B158" s="11">
        <f t="shared" si="3"/>
        <v>10</v>
      </c>
      <c r="C158" s="11" t="s">
        <v>148</v>
      </c>
      <c r="D158" s="11"/>
      <c r="E158" s="23"/>
      <c r="F158" s="11">
        <f>VLOOKUP($G158, SeanRanks26!$A$2:$H$303, 5, FALSE)</f>
        <v>0</v>
      </c>
      <c r="G158" s="11" t="s">
        <v>290</v>
      </c>
      <c r="H158" s="11" t="str">
        <f>VLOOKUP($G158, '26 ADP Data'!$C$4:$Q$298, 2, FALSE)</f>
        <v>IND</v>
      </c>
      <c r="I158" s="11" t="str">
        <f>VLOOKUP(G158, '26 ADP Data'!$C$4:$R$496, 16, FALSE)</f>
        <v>WR</v>
      </c>
      <c r="J158" s="11" t="str">
        <f>VLOOKUP($G158, SeanRanks26!$A$2:$H$303, 6, FALSE)</f>
        <v>WR4 - 2 - Spot Start</v>
      </c>
      <c r="K158" s="11">
        <f>VLOOKUP($G158, SeanRanks26!$A$2:$H$303, 7, FALSE)</f>
        <v>60</v>
      </c>
      <c r="L158" s="11">
        <f t="shared" si="4"/>
        <v>8</v>
      </c>
      <c r="M158" s="11">
        <f>VLOOKUP($G158, '26 ADP Data'!$C$4:$Q$298, 10, FALSE)</f>
        <v>88</v>
      </c>
      <c r="N158" s="11">
        <f>VLOOKUP($G158, '26 ADP Data'!$C$4:$Q$298, 13, FALSE)</f>
        <v>83</v>
      </c>
      <c r="O158" s="11">
        <f t="shared" si="5"/>
        <v>5</v>
      </c>
      <c r="P158" s="11">
        <f>VLOOKUP($G158, '26 ADP Data'!$C$4:$Q$298, 3, FALSE)</f>
        <v>120</v>
      </c>
      <c r="Q158" s="11">
        <f>VLOOKUP($G158, '26 ADP Data'!$C$4:$Q$298, 4, FALSE)</f>
        <v>135</v>
      </c>
      <c r="R158" s="11">
        <f>VLOOKUP($G158, '26 ADP Data'!$C$4:$Q$298, 6, FALSE)</f>
        <v>101</v>
      </c>
      <c r="S158" s="11">
        <f>VLOOKUP($G158, '26 ADP Data'!$C$4:$Q$298, 9, FALSE)</f>
        <v>112</v>
      </c>
      <c r="T158" s="11" t="str">
        <f>VLOOKUP($G158, '26 ADP Data'!$C$4:$Q$298, 8, FALSE)</f>
        <v>-</v>
      </c>
      <c r="U158" s="11">
        <f t="shared" si="6"/>
        <v>106</v>
      </c>
      <c r="V158" s="11">
        <f t="shared" si="7"/>
        <v>9</v>
      </c>
      <c r="W158" s="11"/>
      <c r="X158" s="11">
        <f>VLOOKUP($G158, SeanRanks26!$A$2:$K$303, 10, FALSE)-U158</f>
        <v>-18</v>
      </c>
      <c r="Y158" s="25" t="str">
        <f>IF(VLOOKUP($G158, SeanRanks26!$A$2:$H$303, 8, FALSE)=0, "", VLOOKUP($G158, SeanRanks26!$A$2:$H$303, 8, FALSE))</f>
        <v/>
      </c>
    </row>
    <row r="159" spans="1:25" ht="14.25" hidden="1" customHeight="1" x14ac:dyDescent="0.25">
      <c r="A159" s="11"/>
      <c r="B159" s="11">
        <f t="shared" si="3"/>
        <v>14</v>
      </c>
      <c r="C159" s="11" t="s">
        <v>148</v>
      </c>
      <c r="D159" s="11"/>
      <c r="E159" s="23"/>
      <c r="F159" s="11">
        <f>VLOOKUP($G159, SeanRanks26!$A$2:$H$303, 5, FALSE)</f>
        <v>0</v>
      </c>
      <c r="G159" s="11" t="s">
        <v>431</v>
      </c>
      <c r="H159" s="11" t="str">
        <f>VLOOKUP($G159, '26 ADP Data'!$C$4:$Q$298, 2, FALSE)</f>
        <v>SEA</v>
      </c>
      <c r="I159" s="11" t="str">
        <f>VLOOKUP(G159, '26 ADP Data'!$C$4:$R$496, 16, FALSE)</f>
        <v>QB</v>
      </c>
      <c r="J159" s="11">
        <f>VLOOKUP($G159, SeanRanks26!$A$2:$H$303, 6, FALSE)</f>
        <v>0</v>
      </c>
      <c r="K159" s="11">
        <f>VLOOKUP($G159, SeanRanks26!$A$2:$H$303, 7, FALSE)</f>
        <v>0</v>
      </c>
      <c r="L159" s="11">
        <f t="shared" si="4"/>
        <v>14</v>
      </c>
      <c r="M159" s="11">
        <f>VLOOKUP($G159, '26 ADP Data'!$C$4:$Q$298, 10, FALSE)</f>
        <v>156</v>
      </c>
      <c r="N159" s="11">
        <f>VLOOKUP($G159, '26 ADP Data'!$C$4:$Q$298, 13, FALSE)</f>
        <v>143</v>
      </c>
      <c r="O159" s="11">
        <f t="shared" si="5"/>
        <v>13</v>
      </c>
      <c r="P159" s="11">
        <f>VLOOKUP($G159, '26 ADP Data'!$C$4:$Q$298, 3, FALSE)</f>
        <v>152</v>
      </c>
      <c r="Q159" s="11">
        <f>VLOOKUP($G159, '26 ADP Data'!$C$4:$Q$298, 4, FALSE)</f>
        <v>161</v>
      </c>
      <c r="R159" s="11">
        <f>VLOOKUP($G159, '26 ADP Data'!$C$4:$Q$298, 6, FALSE)</f>
        <v>172</v>
      </c>
      <c r="S159" s="11">
        <f>VLOOKUP($G159, '26 ADP Data'!$C$4:$Q$298, 9, FALSE)</f>
        <v>185</v>
      </c>
      <c r="T159" s="11" t="str">
        <f>VLOOKUP($G159, '26 ADP Data'!$C$4:$Q$298, 8, FALSE)</f>
        <v>-</v>
      </c>
      <c r="U159" s="11">
        <f t="shared" si="6"/>
        <v>161</v>
      </c>
      <c r="V159" s="11">
        <f t="shared" si="7"/>
        <v>14</v>
      </c>
      <c r="W159" s="11"/>
      <c r="X159" s="11">
        <f>VLOOKUP($G159, SeanRanks26!$A$2:$K$303, 10, FALSE)-U159</f>
        <v>-5</v>
      </c>
      <c r="Y159" s="25" t="str">
        <f>IF(VLOOKUP($G159, SeanRanks26!$A$2:$H$303, 8, FALSE)=0, "", VLOOKUP($G159, SeanRanks26!$A$2:$H$303, 8, FALSE))</f>
        <v/>
      </c>
    </row>
    <row r="160" spans="1:25" ht="14.25" customHeight="1" x14ac:dyDescent="0.25">
      <c r="A160" s="11"/>
      <c r="B160" s="11">
        <f t="shared" si="3"/>
        <v>12</v>
      </c>
      <c r="C160" s="11" t="s">
        <v>148</v>
      </c>
      <c r="D160" s="11"/>
      <c r="E160" s="23"/>
      <c r="F160" s="11">
        <f>VLOOKUP($G160, SeanRanks26!$A$2:$H$303, 5, FALSE)</f>
        <v>0</v>
      </c>
      <c r="G160" s="11" t="s">
        <v>362</v>
      </c>
      <c r="H160" s="11" t="str">
        <f>VLOOKUP($G160, '26 ADP Data'!$C$4:$Q$298, 2, FALSE)</f>
        <v>SF</v>
      </c>
      <c r="I160" s="11" t="str">
        <f>VLOOKUP(G160, '26 ADP Data'!$C$4:$R$496, 16, FALSE)</f>
        <v>WR</v>
      </c>
      <c r="J160" s="11" t="str">
        <f>VLOOKUP($G160, SeanRanks26!$A$2:$H$303, 6, FALSE)</f>
        <v>WR5</v>
      </c>
      <c r="K160" s="11">
        <f>VLOOKUP($G160, SeanRanks26!$A$2:$H$303, 7, FALSE)</f>
        <v>61</v>
      </c>
      <c r="L160" s="11">
        <f t="shared" si="4"/>
        <v>13</v>
      </c>
      <c r="M160" s="11">
        <f>VLOOKUP($G160, '26 ADP Data'!$C$4:$Q$298, 10, FALSE)</f>
        <v>154</v>
      </c>
      <c r="N160" s="11">
        <f>VLOOKUP($G160, '26 ADP Data'!$C$4:$Q$298, 13, FALSE)</f>
        <v>128</v>
      </c>
      <c r="O160" s="11">
        <f t="shared" si="5"/>
        <v>26</v>
      </c>
      <c r="P160" s="11">
        <f>VLOOKUP($G160, '26 ADP Data'!$C$4:$Q$298, 3, FALSE)</f>
        <v>130</v>
      </c>
      <c r="Q160" s="11">
        <f>VLOOKUP($G160, '26 ADP Data'!$C$4:$Q$298, 4, FALSE)</f>
        <v>142</v>
      </c>
      <c r="R160" s="11">
        <f>VLOOKUP($G160, '26 ADP Data'!$C$4:$Q$298, 6, FALSE)</f>
        <v>139</v>
      </c>
      <c r="S160" s="11">
        <f>VLOOKUP($G160, '26 ADP Data'!$C$4:$Q$298, 9, FALSE)</f>
        <v>131</v>
      </c>
      <c r="T160" s="11" t="str">
        <f>VLOOKUP($G160, '26 ADP Data'!$C$4:$Q$298, 8, FALSE)</f>
        <v>-</v>
      </c>
      <c r="U160" s="11">
        <f t="shared" si="6"/>
        <v>137</v>
      </c>
      <c r="V160" s="11">
        <f t="shared" si="7"/>
        <v>12</v>
      </c>
      <c r="W160" s="11">
        <f>D160-V160</f>
        <v>-12</v>
      </c>
      <c r="X160" s="11">
        <f>VLOOKUP($G160, SeanRanks26!$A$2:$K$303, 10, FALSE)-U160</f>
        <v>17</v>
      </c>
      <c r="Y160" s="25" t="str">
        <f>IF(VLOOKUP($G160, SeanRanks26!$A$2:$H$303, 8, FALSE)=0, "", VLOOKUP($G160, SeanRanks26!$A$2:$H$303, 8, FALSE))</f>
        <v/>
      </c>
    </row>
    <row r="161" spans="1:25" ht="14.25" hidden="1" customHeight="1" x14ac:dyDescent="0.25">
      <c r="A161" s="11"/>
      <c r="B161" s="11">
        <f t="shared" si="3"/>
        <v>13</v>
      </c>
      <c r="C161" s="11" t="s">
        <v>148</v>
      </c>
      <c r="D161" s="11"/>
      <c r="E161" s="23"/>
      <c r="F161" s="11">
        <f>VLOOKUP($G161, SeanRanks26!$A$2:$H$303, 5, FALSE)</f>
        <v>0</v>
      </c>
      <c r="G161" s="11" t="s">
        <v>564</v>
      </c>
      <c r="H161" s="11" t="str">
        <f>VLOOKUP($G161, '26 ADP Data'!$C$4:$Q$298, 2, FALSE)</f>
        <v>SEA</v>
      </c>
      <c r="I161" s="11" t="str">
        <f>VLOOKUP(G161, '26 ADP Data'!$C$4:$R$496, 16, FALSE)</f>
        <v>K-</v>
      </c>
      <c r="J161" s="11">
        <f>VLOOKUP($G161, SeanRanks26!$A$2:$H$303, 6, FALSE)</f>
        <v>0</v>
      </c>
      <c r="K161" s="11">
        <f>VLOOKUP($G161, SeanRanks26!$A$2:$H$303, 7, FALSE)</f>
        <v>0</v>
      </c>
      <c r="L161" s="11">
        <f t="shared" si="4"/>
        <v>16</v>
      </c>
      <c r="M161" s="11">
        <f>VLOOKUP($G161, '26 ADP Data'!$C$4:$Q$298, 10, FALSE)</f>
        <v>188</v>
      </c>
      <c r="N161" s="11" t="str">
        <f>VLOOKUP($G161, '26 ADP Data'!$C$4:$Q$298, 13, FALSE)</f>
        <v>-</v>
      </c>
      <c r="O161" s="11" t="e">
        <f t="shared" si="5"/>
        <v>#VALUE!</v>
      </c>
      <c r="P161" s="11">
        <f>VLOOKUP($G161, '26 ADP Data'!$C$4:$Q$298, 3, FALSE)</f>
        <v>126</v>
      </c>
      <c r="Q161" s="11">
        <f>VLOOKUP($G161, '26 ADP Data'!$C$4:$Q$298, 4, FALSE)</f>
        <v>106</v>
      </c>
      <c r="R161" s="11">
        <f>VLOOKUP($G161, '26 ADP Data'!$C$4:$Q$298, 6, FALSE)</f>
        <v>208</v>
      </c>
      <c r="S161" s="11">
        <f>VLOOKUP($G161, '26 ADP Data'!$C$4:$Q$298, 9, FALSE)</f>
        <v>139</v>
      </c>
      <c r="T161" s="11" t="str">
        <f>VLOOKUP($G161, '26 ADP Data'!$C$4:$Q$298, 8, FALSE)</f>
        <v>-</v>
      </c>
      <c r="U161" s="11">
        <f t="shared" si="6"/>
        <v>153</v>
      </c>
      <c r="V161" s="11">
        <f t="shared" si="7"/>
        <v>13</v>
      </c>
      <c r="W161" s="11"/>
      <c r="X161" s="11">
        <f>VLOOKUP($G161, SeanRanks26!$A$2:$K$303, 10, FALSE)-U161</f>
        <v>35</v>
      </c>
      <c r="Y161" s="25" t="str">
        <f>IF(VLOOKUP($G161, SeanRanks26!$A$2:$H$303, 8, FALSE)=0, "", VLOOKUP($G161, SeanRanks26!$A$2:$H$303, 8, FALSE))</f>
        <v/>
      </c>
    </row>
    <row r="162" spans="1:25" ht="14.25" hidden="1" customHeight="1" x14ac:dyDescent="0.25">
      <c r="A162" s="11"/>
      <c r="B162" s="11">
        <f t="shared" si="3"/>
        <v>9</v>
      </c>
      <c r="C162" s="11" t="s">
        <v>148</v>
      </c>
      <c r="D162" s="11"/>
      <c r="E162" s="23"/>
      <c r="F162" s="11" t="str">
        <f>VLOOKUP($G162, SeanRanks26!$A$2:$H$303, 5, FALSE)</f>
        <v>Yes</v>
      </c>
      <c r="G162" s="11" t="s">
        <v>342</v>
      </c>
      <c r="H162" s="11" t="str">
        <f>VLOOKUP($G162, '26 ADP Data'!$C$4:$Q$298, 2, FALSE)</f>
        <v>GB</v>
      </c>
      <c r="I162" s="11" t="str">
        <f>VLOOKUP(G162, '26 ADP Data'!$C$4:$R$496, 16, FALSE)</f>
        <v>RB</v>
      </c>
      <c r="J162" s="11" t="str">
        <f>VLOOKUP($G162, SeanRanks26!$A$2:$H$303, 6, FALSE)</f>
        <v>RB3</v>
      </c>
      <c r="K162" s="11">
        <f>VLOOKUP($G162, SeanRanks26!$A$2:$H$303, 7, FALSE)</f>
        <v>27</v>
      </c>
      <c r="L162" s="11">
        <f t="shared" si="4"/>
        <v>6</v>
      </c>
      <c r="M162" s="11">
        <f>VLOOKUP($G162, '26 ADP Data'!$C$4:$Q$298, 10, FALSE)</f>
        <v>71</v>
      </c>
      <c r="N162" s="11">
        <f>VLOOKUP($G162, '26 ADP Data'!$C$4:$Q$298, 13, FALSE)</f>
        <v>136</v>
      </c>
      <c r="O162" s="11">
        <f t="shared" si="5"/>
        <v>-65</v>
      </c>
      <c r="P162" s="11">
        <f>VLOOKUP($G162, '26 ADP Data'!$C$4:$Q$298, 3, FALSE)</f>
        <v>81</v>
      </c>
      <c r="Q162" s="11">
        <f>VLOOKUP($G162, '26 ADP Data'!$C$4:$Q$298, 4, FALSE)</f>
        <v>94</v>
      </c>
      <c r="R162" s="11">
        <f>VLOOKUP($G162, '26 ADP Data'!$C$4:$Q$298, 6, FALSE)</f>
        <v>81</v>
      </c>
      <c r="S162" s="11">
        <f>VLOOKUP($G162, '26 ADP Data'!$C$4:$Q$298, 9, FALSE)</f>
        <v>136</v>
      </c>
      <c r="T162" s="11" t="str">
        <f>VLOOKUP($G162, '26 ADP Data'!$C$4:$Q$298, 8, FALSE)</f>
        <v>-</v>
      </c>
      <c r="U162" s="11">
        <f t="shared" si="6"/>
        <v>99</v>
      </c>
      <c r="V162" s="11">
        <f t="shared" si="7"/>
        <v>9</v>
      </c>
      <c r="W162" s="11"/>
      <c r="X162" s="11">
        <f>VLOOKUP($G162, SeanRanks26!$A$2:$K$303, 10, FALSE)-U162</f>
        <v>-28</v>
      </c>
      <c r="Y162" s="25" t="str">
        <f>IF(VLOOKUP($G162, SeanRanks26!$A$2:$H$303, 8, FALSE)=0, "", VLOOKUP($G162, SeanRanks26!$A$2:$H$303, 8, FALSE))</f>
        <v/>
      </c>
    </row>
    <row r="163" spans="1:25" ht="14.25" hidden="1" customHeight="1" x14ac:dyDescent="0.25">
      <c r="A163" s="11"/>
      <c r="B163" s="11">
        <f t="shared" si="3"/>
        <v>13</v>
      </c>
      <c r="C163" s="11" t="s">
        <v>148</v>
      </c>
      <c r="D163" s="11"/>
      <c r="E163" s="23"/>
      <c r="F163" s="11">
        <f>VLOOKUP($G163, SeanRanks26!$A$2:$H$303, 5, FALSE)</f>
        <v>0</v>
      </c>
      <c r="G163" s="11" t="s">
        <v>568</v>
      </c>
      <c r="H163" s="11" t="str">
        <f>VLOOKUP($G163, '26 ADP Data'!$C$4:$Q$298, 2, FALSE)</f>
        <v>LAC</v>
      </c>
      <c r="I163" s="11" t="str">
        <f>VLOOKUP(G163, '26 ADP Data'!$C$4:$R$496, 16, FALSE)</f>
        <v>K-</v>
      </c>
      <c r="J163" s="11">
        <f>VLOOKUP($G163, SeanRanks26!$A$2:$H$303, 6, FALSE)</f>
        <v>0</v>
      </c>
      <c r="K163" s="11">
        <f>VLOOKUP($G163, SeanRanks26!$A$2:$H$303, 7, FALSE)</f>
        <v>0</v>
      </c>
      <c r="L163" s="11">
        <f t="shared" si="4"/>
        <v>15</v>
      </c>
      <c r="M163" s="11">
        <f>VLOOKUP($G163, '26 ADP Data'!$C$4:$Q$298, 10, FALSE)</f>
        <v>178</v>
      </c>
      <c r="N163" s="11" t="str">
        <f>VLOOKUP($G163, '26 ADP Data'!$C$4:$Q$298, 13, FALSE)</f>
        <v>-</v>
      </c>
      <c r="O163" s="11" t="e">
        <f t="shared" si="5"/>
        <v>#VALUE!</v>
      </c>
      <c r="P163" s="11">
        <f>VLOOKUP($G163, '26 ADP Data'!$C$4:$Q$298, 3, FALSE)</f>
        <v>147</v>
      </c>
      <c r="Q163" s="11">
        <f>VLOOKUP($G163, '26 ADP Data'!$C$4:$Q$298, 4, FALSE)</f>
        <v>101</v>
      </c>
      <c r="R163" s="11">
        <f>VLOOKUP($G163, '26 ADP Data'!$C$4:$Q$298, 6, FALSE)</f>
        <v>213</v>
      </c>
      <c r="S163" s="11">
        <f>VLOOKUP($G163, '26 ADP Data'!$C$4:$Q$298, 9, FALSE)</f>
        <v>138</v>
      </c>
      <c r="T163" s="11" t="str">
        <f>VLOOKUP($G163, '26 ADP Data'!$C$4:$Q$298, 8, FALSE)</f>
        <v>-</v>
      </c>
      <c r="U163" s="11">
        <f t="shared" si="6"/>
        <v>155</v>
      </c>
      <c r="V163" s="11">
        <f t="shared" si="7"/>
        <v>13</v>
      </c>
      <c r="W163" s="11"/>
      <c r="X163" s="11">
        <f>VLOOKUP($G163, SeanRanks26!$A$2:$K$303, 10, FALSE)-U163</f>
        <v>23</v>
      </c>
      <c r="Y163" s="25" t="str">
        <f>IF(VLOOKUP($G163, SeanRanks26!$A$2:$H$303, 8, FALSE)=0, "", VLOOKUP($G163, SeanRanks26!$A$2:$H$303, 8, FALSE))</f>
        <v/>
      </c>
    </row>
    <row r="164" spans="1:25" ht="14.25" hidden="1" customHeight="1" x14ac:dyDescent="0.25">
      <c r="A164" s="11"/>
      <c r="B164" s="11">
        <f t="shared" si="3"/>
        <v>13</v>
      </c>
      <c r="C164" s="11" t="s">
        <v>148</v>
      </c>
      <c r="D164" s="11"/>
      <c r="E164" s="23"/>
      <c r="F164" s="11">
        <f>VLOOKUP($G164, SeanRanks26!$A$2:$H$303, 5, FALSE)</f>
        <v>0</v>
      </c>
      <c r="G164" s="11" t="s">
        <v>487</v>
      </c>
      <c r="H164" s="11" t="str">
        <f>VLOOKUP($G164, '26 ADP Data'!$C$4:$Q$298, 2, FALSE)</f>
        <v>PHI</v>
      </c>
      <c r="I164" s="11" t="str">
        <f>VLOOKUP(G164, '26 ADP Data'!$C$4:$R$496, 16, FALSE)</f>
        <v>DE</v>
      </c>
      <c r="J164" s="11">
        <f>VLOOKUP($G164, SeanRanks26!$A$2:$H$303, 6, FALSE)</f>
        <v>0</v>
      </c>
      <c r="K164" s="11">
        <f>VLOOKUP($G164, SeanRanks26!$A$2:$H$303, 7, FALSE)</f>
        <v>0</v>
      </c>
      <c r="L164" s="11">
        <f t="shared" si="4"/>
        <v>15</v>
      </c>
      <c r="M164" s="11">
        <f>VLOOKUP($G164, '26 ADP Data'!$C$4:$Q$298, 10, FALSE)</f>
        <v>170</v>
      </c>
      <c r="N164" s="11" t="str">
        <f>VLOOKUP($G164, '26 ADP Data'!$C$4:$Q$298, 13, FALSE)</f>
        <v>-</v>
      </c>
      <c r="O164" s="11" t="e">
        <f t="shared" si="5"/>
        <v>#VALUE!</v>
      </c>
      <c r="P164" s="11">
        <f>VLOOKUP($G164, '26 ADP Data'!$C$4:$Q$298, 3, FALSE)</f>
        <v>134</v>
      </c>
      <c r="Q164" s="11">
        <f>VLOOKUP($G164, '26 ADP Data'!$C$4:$Q$298, 4, FALSE)</f>
        <v>131</v>
      </c>
      <c r="R164" s="11">
        <f>VLOOKUP($G164, '26 ADP Data'!$C$4:$Q$298, 6, FALSE)</f>
        <v>215</v>
      </c>
      <c r="S164" s="11">
        <f>VLOOKUP($G164, '26 ADP Data'!$C$4:$Q$298, 9, FALSE)</f>
        <v>129</v>
      </c>
      <c r="T164" s="11" t="str">
        <f>VLOOKUP($G164, '26 ADP Data'!$C$4:$Q$298, 8, FALSE)</f>
        <v>-</v>
      </c>
      <c r="U164" s="11">
        <f t="shared" si="6"/>
        <v>155</v>
      </c>
      <c r="V164" s="11">
        <f t="shared" si="7"/>
        <v>13</v>
      </c>
      <c r="W164" s="11"/>
      <c r="X164" s="11">
        <f>VLOOKUP($G164, SeanRanks26!$A$2:$K$303, 10, FALSE)-U164</f>
        <v>15</v>
      </c>
      <c r="Y164" s="25" t="str">
        <f>IF(VLOOKUP($G164, SeanRanks26!$A$2:$H$303, 8, FALSE)=0, "", VLOOKUP($G164, SeanRanks26!$A$2:$H$303, 8, FALSE))</f>
        <v/>
      </c>
    </row>
    <row r="165" spans="1:25" ht="14.25" hidden="1" customHeight="1" x14ac:dyDescent="0.25">
      <c r="A165" s="11"/>
      <c r="B165" s="11">
        <f t="shared" si="3"/>
        <v>13</v>
      </c>
      <c r="C165" s="11" t="s">
        <v>148</v>
      </c>
      <c r="D165" s="11"/>
      <c r="E165" s="23"/>
      <c r="F165" s="11">
        <f>VLOOKUP($G165, SeanRanks26!$A$2:$H$303, 5, FALSE)</f>
        <v>0</v>
      </c>
      <c r="G165" s="11" t="s">
        <v>560</v>
      </c>
      <c r="H165" s="11" t="str">
        <f>VLOOKUP($G165, '26 ADP Data'!$C$4:$Q$298, 2, FALSE)</f>
        <v>HOU</v>
      </c>
      <c r="I165" s="11" t="str">
        <f>VLOOKUP(G165, '26 ADP Data'!$C$4:$R$496, 16, FALSE)</f>
        <v>K-</v>
      </c>
      <c r="J165" s="11">
        <f>VLOOKUP($G165, SeanRanks26!$A$2:$H$303, 6, FALSE)</f>
        <v>0</v>
      </c>
      <c r="K165" s="11">
        <f>VLOOKUP($G165, SeanRanks26!$A$2:$H$303, 7, FALSE)</f>
        <v>0</v>
      </c>
      <c r="L165" s="11">
        <f t="shared" si="4"/>
        <v>15</v>
      </c>
      <c r="M165" s="11">
        <f>VLOOKUP($G165, '26 ADP Data'!$C$4:$Q$298, 10, FALSE)</f>
        <v>168</v>
      </c>
      <c r="N165" s="11" t="str">
        <f>VLOOKUP($G165, '26 ADP Data'!$C$4:$Q$298, 13, FALSE)</f>
        <v>-</v>
      </c>
      <c r="O165" s="11" t="e">
        <f t="shared" si="5"/>
        <v>#VALUE!</v>
      </c>
      <c r="P165" s="11">
        <f>VLOOKUP($G165, '26 ADP Data'!$C$4:$Q$298, 3, FALSE)</f>
        <v>133</v>
      </c>
      <c r="Q165" s="11">
        <f>VLOOKUP($G165, '26 ADP Data'!$C$4:$Q$298, 4, FALSE)</f>
        <v>116</v>
      </c>
      <c r="R165" s="11">
        <f>VLOOKUP($G165, '26 ADP Data'!$C$4:$Q$298, 6, FALSE)</f>
        <v>206</v>
      </c>
      <c r="S165" s="11">
        <f>VLOOKUP($G165, '26 ADP Data'!$C$4:$Q$298, 9, FALSE)</f>
        <v>140</v>
      </c>
      <c r="T165" s="11" t="str">
        <f>VLOOKUP($G165, '26 ADP Data'!$C$4:$Q$298, 8, FALSE)</f>
        <v>-</v>
      </c>
      <c r="U165" s="11">
        <f t="shared" si="6"/>
        <v>152</v>
      </c>
      <c r="V165" s="11">
        <f t="shared" si="7"/>
        <v>13</v>
      </c>
      <c r="W165" s="11"/>
      <c r="X165" s="11">
        <f>VLOOKUP($G165, SeanRanks26!$A$2:$K$303, 10, FALSE)-U165</f>
        <v>16</v>
      </c>
      <c r="Y165" s="25" t="str">
        <f>IF(VLOOKUP($G165, SeanRanks26!$A$2:$H$303, 8, FALSE)=0, "", VLOOKUP($G165, SeanRanks26!$A$2:$H$303, 8, FALSE))</f>
        <v/>
      </c>
    </row>
    <row r="166" spans="1:25" ht="14.25" hidden="1" customHeight="1" x14ac:dyDescent="0.25">
      <c r="A166" s="11"/>
      <c r="B166" s="11">
        <f t="shared" si="3"/>
        <v>15</v>
      </c>
      <c r="C166" s="11" t="s">
        <v>148</v>
      </c>
      <c r="D166" s="11"/>
      <c r="E166" s="23"/>
      <c r="F166" s="11">
        <f>VLOOKUP($G166, SeanRanks26!$A$2:$H$303, 5, FALSE)</f>
        <v>0</v>
      </c>
      <c r="G166" s="11" t="s">
        <v>403</v>
      </c>
      <c r="H166" s="11" t="str">
        <f>VLOOKUP($G166, '26 ADP Data'!$C$4:$Q$298, 2, FALSE)</f>
        <v>IND</v>
      </c>
      <c r="I166" s="11" t="str">
        <f>VLOOKUP(G166, '26 ADP Data'!$C$4:$R$496, 16, FALSE)</f>
        <v>QB</v>
      </c>
      <c r="J166" s="11">
        <f>VLOOKUP($G166, SeanRanks26!$A$2:$H$303, 6, FALSE)</f>
        <v>0</v>
      </c>
      <c r="K166" s="11">
        <f>VLOOKUP($G166, SeanRanks26!$A$2:$H$303, 7, FALSE)</f>
        <v>0</v>
      </c>
      <c r="L166" s="11">
        <f t="shared" si="4"/>
        <v>14</v>
      </c>
      <c r="M166" s="11">
        <f>VLOOKUP($G166, '26 ADP Data'!$C$4:$Q$298, 10, FALSE)</f>
        <v>167</v>
      </c>
      <c r="N166" s="11">
        <f>VLOOKUP($G166, '26 ADP Data'!$C$4:$Q$298, 13, FALSE)</f>
        <v>144</v>
      </c>
      <c r="O166" s="11">
        <f t="shared" si="5"/>
        <v>23</v>
      </c>
      <c r="P166" s="11">
        <f>VLOOKUP($G166, '26 ADP Data'!$C$4:$Q$298, 3, FALSE)</f>
        <v>169</v>
      </c>
      <c r="Q166" s="11">
        <f>VLOOKUP($G166, '26 ADP Data'!$C$4:$Q$298, 4, FALSE)</f>
        <v>160</v>
      </c>
      <c r="R166" s="11">
        <f>VLOOKUP($G166, '26 ADP Data'!$C$4:$Q$298, 6, FALSE)</f>
        <v>170</v>
      </c>
      <c r="S166" s="11">
        <f>VLOOKUP($G166, '26 ADP Data'!$C$4:$Q$298, 9, FALSE)</f>
        <v>220</v>
      </c>
      <c r="T166" s="11" t="str">
        <f>VLOOKUP($G166, '26 ADP Data'!$C$4:$Q$298, 8, FALSE)</f>
        <v>-</v>
      </c>
      <c r="U166" s="11">
        <f t="shared" si="6"/>
        <v>171</v>
      </c>
      <c r="V166" s="11">
        <f t="shared" si="7"/>
        <v>15</v>
      </c>
      <c r="W166" s="11">
        <f>D166-V166</f>
        <v>-15</v>
      </c>
      <c r="X166" s="11">
        <f>VLOOKUP($G166, SeanRanks26!$A$2:$K$303, 10, FALSE)-U166</f>
        <v>-4</v>
      </c>
      <c r="Y166" s="25" t="str">
        <f>IF(VLOOKUP($G166, SeanRanks26!$A$2:$H$303, 8, FALSE)=0, "", VLOOKUP($G166, SeanRanks26!$A$2:$H$303, 8, FALSE))</f>
        <v/>
      </c>
    </row>
    <row r="167" spans="1:25" ht="14.25" hidden="1" customHeight="1" x14ac:dyDescent="0.25">
      <c r="A167" s="11"/>
      <c r="B167" s="11">
        <f t="shared" si="3"/>
        <v>15</v>
      </c>
      <c r="C167" s="11" t="s">
        <v>148</v>
      </c>
      <c r="D167" s="11"/>
      <c r="E167" s="23"/>
      <c r="F167" s="11">
        <f>VLOOKUP($G167, SeanRanks26!$A$2:$H$303, 5, FALSE)</f>
        <v>0</v>
      </c>
      <c r="G167" s="11" t="s">
        <v>399</v>
      </c>
      <c r="H167" s="11" t="str">
        <f>VLOOKUP($G167, '26 ADP Data'!$C$4:$Q$298, 2, FALSE)</f>
        <v>PHI</v>
      </c>
      <c r="I167" s="11" t="str">
        <f>VLOOKUP(G167, '26 ADP Data'!$C$4:$R$496, 16, FALSE)</f>
        <v>RB</v>
      </c>
      <c r="J167" s="11" t="str">
        <f>VLOOKUP($G167, SeanRanks26!$A$2:$H$303, 6, FALSE)</f>
        <v>RB4</v>
      </c>
      <c r="K167" s="11">
        <f>VLOOKUP($G167, SeanRanks26!$A$2:$H$303, 7, FALSE)</f>
        <v>51</v>
      </c>
      <c r="L167" s="11">
        <f t="shared" si="4"/>
        <v>12</v>
      </c>
      <c r="M167" s="11">
        <f>VLOOKUP($G167, '26 ADP Data'!$C$4:$Q$298, 10, FALSE)</f>
        <v>138</v>
      </c>
      <c r="N167" s="11">
        <f>VLOOKUP($G167, '26 ADP Data'!$C$4:$Q$298, 13, FALSE)</f>
        <v>151</v>
      </c>
      <c r="O167" s="11">
        <f t="shared" si="5"/>
        <v>-13</v>
      </c>
      <c r="P167" s="11">
        <f>VLOOKUP($G167, '26 ADP Data'!$C$4:$Q$298, 3, FALSE)</f>
        <v>164</v>
      </c>
      <c r="Q167" s="11">
        <f>VLOOKUP($G167, '26 ADP Data'!$C$4:$Q$298, 4, FALSE)</f>
        <v>214</v>
      </c>
      <c r="R167" s="11">
        <f>VLOOKUP($G167, '26 ADP Data'!$C$4:$Q$298, 6, FALSE)</f>
        <v>144</v>
      </c>
      <c r="S167" s="11">
        <f>VLOOKUP($G167, '26 ADP Data'!$C$4:$Q$298, 9, FALSE)</f>
        <v>163</v>
      </c>
      <c r="T167" s="11" t="str">
        <f>VLOOKUP($G167, '26 ADP Data'!$C$4:$Q$298, 8, FALSE)</f>
        <v>-</v>
      </c>
      <c r="U167" s="11">
        <f t="shared" si="6"/>
        <v>162</v>
      </c>
      <c r="V167" s="11">
        <f t="shared" si="7"/>
        <v>14</v>
      </c>
      <c r="W167" s="11"/>
      <c r="X167" s="11">
        <f>VLOOKUP($G167, SeanRanks26!$A$2:$K$303, 10, FALSE)-U167</f>
        <v>-24</v>
      </c>
      <c r="Y167" s="25" t="str">
        <f>IF(VLOOKUP($G167, SeanRanks26!$A$2:$H$303, 8, FALSE)=0, "", VLOOKUP($G167, SeanRanks26!$A$2:$H$303, 8, FALSE))</f>
        <v/>
      </c>
    </row>
    <row r="168" spans="1:25" ht="14.25" hidden="1" customHeight="1" x14ac:dyDescent="0.25">
      <c r="A168" s="11"/>
      <c r="B168" s="11">
        <f t="shared" si="3"/>
        <v>15</v>
      </c>
      <c r="C168" s="11" t="s">
        <v>148</v>
      </c>
      <c r="D168" s="11"/>
      <c r="E168" s="23"/>
      <c r="F168" s="11">
        <f>VLOOKUP($G168, SeanRanks26!$A$2:$H$303, 5, FALSE)</f>
        <v>0</v>
      </c>
      <c r="G168" s="11" t="s">
        <v>440</v>
      </c>
      <c r="H168" s="11" t="str">
        <f>VLOOKUP($G168, '26 ADP Data'!$C$4:$Q$298, 2, FALSE)</f>
        <v>LAR</v>
      </c>
      <c r="I168" s="11" t="str">
        <f>VLOOKUP(G168, '26 ADP Data'!$C$4:$R$496, 16, FALSE)</f>
        <v>TE</v>
      </c>
      <c r="J168" s="11">
        <f>VLOOKUP($G168, SeanRanks26!$A$2:$H$303, 6, FALSE)</f>
        <v>0</v>
      </c>
      <c r="K168" s="11">
        <f>VLOOKUP($G168, SeanRanks26!$A$2:$H$303, 7, FALSE)</f>
        <v>0</v>
      </c>
      <c r="L168" s="11">
        <f t="shared" si="4"/>
        <v>13</v>
      </c>
      <c r="M168" s="11">
        <f>VLOOKUP($G168, '26 ADP Data'!$C$4:$Q$298, 10, FALSE)</f>
        <v>151</v>
      </c>
      <c r="N168" s="11">
        <f>VLOOKUP($G168, '26 ADP Data'!$C$4:$Q$298, 13, FALSE)</f>
        <v>156</v>
      </c>
      <c r="O168" s="11">
        <f t="shared" si="5"/>
        <v>-5</v>
      </c>
      <c r="P168" s="11">
        <f>VLOOKUP($G168, '26 ADP Data'!$C$4:$Q$298, 3, FALSE)</f>
        <v>199</v>
      </c>
      <c r="Q168" s="11">
        <f>VLOOKUP($G168, '26 ADP Data'!$C$4:$Q$298, 4, FALSE)</f>
        <v>181</v>
      </c>
      <c r="R168" s="11">
        <f>VLOOKUP($G168, '26 ADP Data'!$C$4:$Q$298, 6, FALSE)</f>
        <v>122</v>
      </c>
      <c r="S168" s="11">
        <f>VLOOKUP($G168, '26 ADP Data'!$C$4:$Q$298, 9, FALSE)</f>
        <v>206</v>
      </c>
      <c r="T168" s="11" t="str">
        <f>VLOOKUP($G168, '26 ADP Data'!$C$4:$Q$298, 8, FALSE)</f>
        <v>-</v>
      </c>
      <c r="U168" s="11">
        <f t="shared" si="6"/>
        <v>169</v>
      </c>
      <c r="V168" s="11">
        <f t="shared" si="7"/>
        <v>15</v>
      </c>
      <c r="W168" s="11"/>
      <c r="X168" s="11">
        <f>VLOOKUP($G168, SeanRanks26!$A$2:$K$303, 10, FALSE)-U168</f>
        <v>-18</v>
      </c>
      <c r="Y168" s="25" t="str">
        <f>IF(VLOOKUP($G168, SeanRanks26!$A$2:$H$303, 8, FALSE)=0, "", VLOOKUP($G168, SeanRanks26!$A$2:$H$303, 8, FALSE))</f>
        <v/>
      </c>
    </row>
    <row r="169" spans="1:25" ht="14.25" hidden="1" customHeight="1" x14ac:dyDescent="0.25">
      <c r="A169" s="11"/>
      <c r="B169" s="11">
        <f t="shared" si="3"/>
        <v>15</v>
      </c>
      <c r="C169" s="11" t="s">
        <v>148</v>
      </c>
      <c r="D169" s="11"/>
      <c r="E169" s="23"/>
      <c r="F169" s="11">
        <f>VLOOKUP($G169, SeanRanks26!$A$2:$H$303, 5, FALSE)</f>
        <v>0</v>
      </c>
      <c r="G169" s="11" t="s">
        <v>417</v>
      </c>
      <c r="H169" s="11" t="str">
        <f>VLOOKUP($G169, '26 ADP Data'!$C$4:$Q$298, 2, FALSE)</f>
        <v>NO</v>
      </c>
      <c r="I169" s="11" t="str">
        <f>VLOOKUP(G169, '26 ADP Data'!$C$4:$R$496, 16, FALSE)</f>
        <v>RB</v>
      </c>
      <c r="J169" s="11" t="str">
        <f>VLOOKUP($G169, SeanRanks26!$A$2:$H$303, 6, FALSE)</f>
        <v>RB4</v>
      </c>
      <c r="K169" s="11">
        <f>VLOOKUP($G169, SeanRanks26!$A$2:$H$303, 7, FALSE)</f>
        <v>45</v>
      </c>
      <c r="L169" s="11">
        <f t="shared" si="4"/>
        <v>16</v>
      </c>
      <c r="M169" s="11">
        <f>VLOOKUP($G169, '26 ADP Data'!$C$4:$Q$298, 10, FALSE)</f>
        <v>191</v>
      </c>
      <c r="N169" s="11">
        <f>VLOOKUP($G169, '26 ADP Data'!$C$4:$Q$298, 13, FALSE)</f>
        <v>194</v>
      </c>
      <c r="O169" s="11">
        <f t="shared" si="5"/>
        <v>-3</v>
      </c>
      <c r="P169" s="11">
        <f>VLOOKUP($G169, '26 ADP Data'!$C$4:$Q$298, 3, FALSE)</f>
        <v>181</v>
      </c>
      <c r="Q169" s="11">
        <f>VLOOKUP($G169, '26 ADP Data'!$C$4:$Q$298, 4, FALSE)</f>
        <v>165</v>
      </c>
      <c r="R169" s="11">
        <f>VLOOKUP($G169, '26 ADP Data'!$C$4:$Q$298, 6, FALSE)</f>
        <v>169</v>
      </c>
      <c r="S169" s="11">
        <f>VLOOKUP($G169, '26 ADP Data'!$C$4:$Q$298, 9, FALSE)</f>
        <v>159</v>
      </c>
      <c r="T169" s="11" t="str">
        <f>VLOOKUP($G169, '26 ADP Data'!$C$4:$Q$298, 8, FALSE)</f>
        <v>-</v>
      </c>
      <c r="U169" s="11">
        <f t="shared" si="6"/>
        <v>176</v>
      </c>
      <c r="V169" s="11">
        <f t="shared" si="7"/>
        <v>15</v>
      </c>
      <c r="W169" s="11"/>
      <c r="X169" s="11">
        <f>VLOOKUP($G169, SeanRanks26!$A$2:$K$303, 10, FALSE)-U169</f>
        <v>15</v>
      </c>
      <c r="Y169" s="25" t="str">
        <f>IF(VLOOKUP($G169, SeanRanks26!$A$2:$H$303, 8, FALSE)=0, "", VLOOKUP($G169, SeanRanks26!$A$2:$H$303, 8, FALSE))</f>
        <v/>
      </c>
    </row>
    <row r="170" spans="1:25" ht="14.25" hidden="1" customHeight="1" x14ac:dyDescent="0.25">
      <c r="A170" s="11"/>
      <c r="B170" s="11">
        <f t="shared" si="3"/>
        <v>15</v>
      </c>
      <c r="C170" s="11" t="s">
        <v>148</v>
      </c>
      <c r="D170" s="11"/>
      <c r="E170" s="23"/>
      <c r="F170" s="11">
        <f>VLOOKUP($G170, SeanRanks26!$A$2:$H$303, 5, FALSE)</f>
        <v>0</v>
      </c>
      <c r="G170" s="11" t="s">
        <v>405</v>
      </c>
      <c r="H170" s="11" t="str">
        <f>VLOOKUP($G170, '26 ADP Data'!$C$4:$Q$298, 2, FALSE)</f>
        <v>HOU</v>
      </c>
      <c r="I170" s="11" t="str">
        <f>VLOOKUP(G170, '26 ADP Data'!$C$4:$R$496, 16, FALSE)</f>
        <v>TE</v>
      </c>
      <c r="J170" s="11">
        <f>VLOOKUP($G170, SeanRanks26!$A$2:$H$303, 6, FALSE)</f>
        <v>0</v>
      </c>
      <c r="K170" s="11">
        <f>VLOOKUP($G170, SeanRanks26!$A$2:$H$303, 7, FALSE)</f>
        <v>0</v>
      </c>
      <c r="L170" s="11">
        <f t="shared" si="4"/>
        <v>13</v>
      </c>
      <c r="M170" s="11">
        <f>VLOOKUP($G170, '26 ADP Data'!$C$4:$Q$298, 10, FALSE)</f>
        <v>149</v>
      </c>
      <c r="N170" s="11">
        <f>VLOOKUP($G170, '26 ADP Data'!$C$4:$Q$298, 13, FALSE)</f>
        <v>160</v>
      </c>
      <c r="O170" s="11">
        <f t="shared" si="5"/>
        <v>-11</v>
      </c>
      <c r="P170" s="11">
        <f>VLOOKUP($G170, '26 ADP Data'!$C$4:$Q$298, 3, FALSE)</f>
        <v>158</v>
      </c>
      <c r="Q170" s="11">
        <f>VLOOKUP($G170, '26 ADP Data'!$C$4:$Q$298, 4, FALSE)</f>
        <v>191</v>
      </c>
      <c r="R170" s="11">
        <f>VLOOKUP($G170, '26 ADP Data'!$C$4:$Q$298, 6, FALSE)</f>
        <v>135</v>
      </c>
      <c r="S170" s="11">
        <f>VLOOKUP($G170, '26 ADP Data'!$C$4:$Q$298, 9, FALSE)</f>
        <v>207</v>
      </c>
      <c r="T170" s="11" t="str">
        <f>VLOOKUP($G170, '26 ADP Data'!$C$4:$Q$298, 8, FALSE)</f>
        <v>-</v>
      </c>
      <c r="U170" s="11">
        <f t="shared" si="6"/>
        <v>166</v>
      </c>
      <c r="V170" s="11">
        <f t="shared" si="7"/>
        <v>14</v>
      </c>
      <c r="W170" s="11"/>
      <c r="X170" s="11">
        <f>VLOOKUP($G170, SeanRanks26!$A$2:$K$303, 10, FALSE)-U170</f>
        <v>-17</v>
      </c>
      <c r="Y170" s="25" t="str">
        <f>IF(VLOOKUP($G170, SeanRanks26!$A$2:$H$303, 8, FALSE)=0, "", VLOOKUP($G170, SeanRanks26!$A$2:$H$303, 8, FALSE))</f>
        <v/>
      </c>
    </row>
    <row r="171" spans="1:25" ht="14.25" hidden="1" customHeight="1" x14ac:dyDescent="0.25">
      <c r="A171" s="11"/>
      <c r="B171" s="11">
        <f t="shared" si="3"/>
        <v>15</v>
      </c>
      <c r="C171" s="11" t="s">
        <v>148</v>
      </c>
      <c r="D171" s="11"/>
      <c r="E171" s="23"/>
      <c r="F171" s="11">
        <f>VLOOKUP($G171, SeanRanks26!$A$2:$H$303, 5, FALSE)</f>
        <v>0</v>
      </c>
      <c r="G171" s="11" t="s">
        <v>433</v>
      </c>
      <c r="H171" s="11" t="str">
        <f>VLOOKUP($G171, '26 ADP Data'!$C$4:$Q$298, 2, FALSE)</f>
        <v>WAS</v>
      </c>
      <c r="I171" s="11" t="str">
        <f>VLOOKUP(G171, '26 ADP Data'!$C$4:$R$496, 16, FALSE)</f>
        <v>TE</v>
      </c>
      <c r="J171" s="11">
        <f>VLOOKUP($G171, SeanRanks26!$A$2:$H$303, 6, FALSE)</f>
        <v>0</v>
      </c>
      <c r="K171" s="11">
        <f>VLOOKUP($G171, SeanRanks26!$A$2:$H$303, 7, FALSE)</f>
        <v>0</v>
      </c>
      <c r="L171" s="11">
        <f t="shared" si="4"/>
        <v>14</v>
      </c>
      <c r="M171" s="11">
        <f>VLOOKUP($G171, '26 ADP Data'!$C$4:$Q$298, 10, FALSE)</f>
        <v>158</v>
      </c>
      <c r="N171" s="11">
        <f>VLOOKUP($G171, '26 ADP Data'!$C$4:$Q$298, 13, FALSE)</f>
        <v>147</v>
      </c>
      <c r="O171" s="11">
        <f t="shared" si="5"/>
        <v>11</v>
      </c>
      <c r="P171" s="11">
        <f>VLOOKUP($G171, '26 ADP Data'!$C$4:$Q$298, 3, FALSE)</f>
        <v>197</v>
      </c>
      <c r="Q171" s="11" t="str">
        <f>VLOOKUP($G171, '26 ADP Data'!$C$4:$Q$298, 4, FALSE)</f>
        <v>-</v>
      </c>
      <c r="R171" s="11">
        <f>VLOOKUP($G171, '26 ADP Data'!$C$4:$Q$298, 6, FALSE)</f>
        <v>138</v>
      </c>
      <c r="S171" s="11">
        <f>VLOOKUP($G171, '26 ADP Data'!$C$4:$Q$298, 9, FALSE)</f>
        <v>192</v>
      </c>
      <c r="T171" s="11" t="str">
        <f>VLOOKUP($G171, '26 ADP Data'!$C$4:$Q$298, 8, FALSE)</f>
        <v>-</v>
      </c>
      <c r="U171" s="11">
        <f t="shared" si="6"/>
        <v>166</v>
      </c>
      <c r="V171" s="11">
        <f t="shared" si="7"/>
        <v>14</v>
      </c>
      <c r="W171" s="11"/>
      <c r="X171" s="11">
        <f>VLOOKUP($G171, SeanRanks26!$A$2:$K$303, 10, FALSE)-U171</f>
        <v>-8</v>
      </c>
      <c r="Y171" s="25" t="str">
        <f>IF(VLOOKUP($G171, SeanRanks26!$A$2:$H$303, 8, FALSE)=0, "", VLOOKUP($G171, SeanRanks26!$A$2:$H$303, 8, FALSE))</f>
        <v/>
      </c>
    </row>
    <row r="172" spans="1:25" ht="14.25" hidden="1" customHeight="1" x14ac:dyDescent="0.25">
      <c r="A172" s="11"/>
      <c r="B172" s="11">
        <f t="shared" si="3"/>
        <v>15</v>
      </c>
      <c r="C172" s="11" t="s">
        <v>148</v>
      </c>
      <c r="D172" s="11"/>
      <c r="E172" s="23"/>
      <c r="F172" s="11" t="str">
        <f>VLOOKUP($G172, SeanRanks26!$A$2:$H$303, 5, FALSE)</f>
        <v>Yes</v>
      </c>
      <c r="G172" s="11" t="s">
        <v>413</v>
      </c>
      <c r="H172" s="11" t="str">
        <f>VLOOKUP($G172, '26 ADP Data'!$C$4:$Q$298, 2, FALSE)</f>
        <v>ATL</v>
      </c>
      <c r="I172" s="11" t="str">
        <f>VLOOKUP(G172, '26 ADP Data'!$C$4:$R$496, 16, FALSE)</f>
        <v>RB</v>
      </c>
      <c r="J172" s="11" t="str">
        <f>VLOOKUP($G172, SeanRanks26!$A$2:$H$303, 6, FALSE)</f>
        <v>RB4</v>
      </c>
      <c r="K172" s="11">
        <f>VLOOKUP($G172, SeanRanks26!$A$2:$H$303, 7, FALSE)</f>
        <v>49</v>
      </c>
      <c r="L172" s="11">
        <f t="shared" si="4"/>
        <v>14</v>
      </c>
      <c r="M172" s="11">
        <f>VLOOKUP($G172, '26 ADP Data'!$C$4:$Q$298, 10, FALSE)</f>
        <v>162</v>
      </c>
      <c r="N172" s="11">
        <f>VLOOKUP($G172, '26 ADP Data'!$C$4:$Q$298, 13, FALSE)</f>
        <v>180</v>
      </c>
      <c r="O172" s="11">
        <f t="shared" si="5"/>
        <v>-18</v>
      </c>
      <c r="P172" s="11">
        <f>VLOOKUP($G172, '26 ADP Data'!$C$4:$Q$298, 3, FALSE)</f>
        <v>183</v>
      </c>
      <c r="Q172" s="11">
        <f>VLOOKUP($G172, '26 ADP Data'!$C$4:$Q$298, 4, FALSE)</f>
        <v>182</v>
      </c>
      <c r="R172" s="11">
        <f>VLOOKUP($G172, '26 ADP Data'!$C$4:$Q$298, 6, FALSE)</f>
        <v>161</v>
      </c>
      <c r="S172" s="11">
        <f>VLOOKUP($G172, '26 ADP Data'!$C$4:$Q$298, 9, FALSE)</f>
        <v>174</v>
      </c>
      <c r="T172" s="11" t="str">
        <f>VLOOKUP($G172, '26 ADP Data'!$C$4:$Q$298, 8, FALSE)</f>
        <v>-</v>
      </c>
      <c r="U172" s="11">
        <f t="shared" si="6"/>
        <v>173</v>
      </c>
      <c r="V172" s="11">
        <f t="shared" si="7"/>
        <v>15</v>
      </c>
      <c r="W172" s="11"/>
      <c r="X172" s="11">
        <f>VLOOKUP($G172, SeanRanks26!$A$2:$K$303, 10, FALSE)-U172</f>
        <v>-11</v>
      </c>
      <c r="Y172" s="25" t="str">
        <f>IF(VLOOKUP($G172, SeanRanks26!$A$2:$H$303, 8, FALSE)=0, "", VLOOKUP($G172, SeanRanks26!$A$2:$H$303, 8, FALSE))</f>
        <v/>
      </c>
    </row>
    <row r="173" spans="1:25" ht="14.25" hidden="1" customHeight="1" x14ac:dyDescent="0.25">
      <c r="A173" s="11"/>
      <c r="B173" s="11">
        <f t="shared" si="3"/>
        <v>15</v>
      </c>
      <c r="C173" s="11" t="s">
        <v>148</v>
      </c>
      <c r="D173" s="11"/>
      <c r="E173" s="23"/>
      <c r="F173" s="11">
        <f>VLOOKUP($G173, SeanRanks26!$A$2:$H$303, 5, FALSE)</f>
        <v>0</v>
      </c>
      <c r="G173" s="11" t="s">
        <v>422</v>
      </c>
      <c r="H173" s="11" t="str">
        <f>VLOOKUP($G173, '26 ADP Data'!$C$4:$Q$298, 2, FALSE)</f>
        <v>MIN</v>
      </c>
      <c r="I173" s="11" t="str">
        <f>VLOOKUP(G173, '26 ADP Data'!$C$4:$R$496, 16, FALSE)</f>
        <v>TE</v>
      </c>
      <c r="J173" s="11">
        <f>VLOOKUP($G173, SeanRanks26!$A$2:$H$303, 6, FALSE)</f>
        <v>0</v>
      </c>
      <c r="K173" s="11">
        <f>VLOOKUP($G173, SeanRanks26!$A$2:$H$303, 7, FALSE)</f>
        <v>0</v>
      </c>
      <c r="L173" s="11">
        <f t="shared" si="4"/>
        <v>18</v>
      </c>
      <c r="M173" s="11">
        <f>VLOOKUP($G173, '26 ADP Data'!$C$4:$Q$298, 10, FALSE)</f>
        <v>215</v>
      </c>
      <c r="N173" s="11">
        <f>VLOOKUP($G173, '26 ADP Data'!$C$4:$Q$298, 13, FALSE)</f>
        <v>168</v>
      </c>
      <c r="O173" s="11">
        <f t="shared" si="5"/>
        <v>47</v>
      </c>
      <c r="P173" s="11">
        <f>VLOOKUP($G173, '26 ADP Data'!$C$4:$Q$298, 3, FALSE)</f>
        <v>200</v>
      </c>
      <c r="Q173" s="11">
        <f>VLOOKUP($G173, '26 ADP Data'!$C$4:$Q$298, 4, FALSE)</f>
        <v>151</v>
      </c>
      <c r="R173" s="11">
        <f>VLOOKUP($G173, '26 ADP Data'!$C$4:$Q$298, 6, FALSE)</f>
        <v>146</v>
      </c>
      <c r="S173" s="11">
        <f>VLOOKUP($G173, '26 ADP Data'!$C$4:$Q$298, 9, FALSE)</f>
        <v>184</v>
      </c>
      <c r="T173" s="11" t="str">
        <f>VLOOKUP($G173, '26 ADP Data'!$C$4:$Q$298, 8, FALSE)</f>
        <v>-</v>
      </c>
      <c r="U173" s="11">
        <f t="shared" si="6"/>
        <v>177</v>
      </c>
      <c r="V173" s="11">
        <f t="shared" si="7"/>
        <v>15</v>
      </c>
      <c r="W173" s="11"/>
      <c r="X173" s="11">
        <f>VLOOKUP($G173, SeanRanks26!$A$2:$K$303, 10, FALSE)-U173</f>
        <v>38</v>
      </c>
      <c r="Y173" s="25" t="str">
        <f>IF(VLOOKUP($G173, SeanRanks26!$A$2:$H$303, 8, FALSE)=0, "", VLOOKUP($G173, SeanRanks26!$A$2:$H$303, 8, FALSE))</f>
        <v/>
      </c>
    </row>
    <row r="174" spans="1:25" ht="14.25" hidden="1" customHeight="1" x14ac:dyDescent="0.25">
      <c r="A174" s="11" t="s">
        <v>148</v>
      </c>
      <c r="B174" s="11">
        <f t="shared" si="3"/>
        <v>15</v>
      </c>
      <c r="C174" s="11" t="s">
        <v>119</v>
      </c>
      <c r="D174" s="11"/>
      <c r="E174" s="23"/>
      <c r="F174" s="11">
        <f>VLOOKUP($G174, SeanRanks26!$A$2:$H$303, 5, FALSE)</f>
        <v>0</v>
      </c>
      <c r="G174" s="11" t="s">
        <v>419</v>
      </c>
      <c r="H174" s="11" t="str">
        <f>VLOOKUP($G174, '26 ADP Data'!$C$4:$Q$298, 2, FALSE)</f>
        <v>NYJ</v>
      </c>
      <c r="I174" s="11" t="str">
        <f>VLOOKUP(G174, '26 ADP Data'!$C$4:$R$496, 16, FALSE)</f>
        <v>TE</v>
      </c>
      <c r="J174" s="11">
        <f>VLOOKUP($G174, SeanRanks26!$A$2:$H$303, 6, FALSE)</f>
        <v>0</v>
      </c>
      <c r="K174" s="11">
        <f>VLOOKUP($G174, SeanRanks26!$A$2:$H$303, 7, FALSE)</f>
        <v>0</v>
      </c>
      <c r="L174" s="11">
        <f t="shared" si="4"/>
        <v>17</v>
      </c>
      <c r="M174" s="11">
        <f>VLOOKUP($G174, '26 ADP Data'!$C$4:$Q$298, 10, FALSE)</f>
        <v>195</v>
      </c>
      <c r="N174" s="11">
        <f>VLOOKUP($G174, '26 ADP Data'!$C$4:$Q$298, 13, FALSE)</f>
        <v>178</v>
      </c>
      <c r="O174" s="11">
        <f t="shared" si="5"/>
        <v>17</v>
      </c>
      <c r="P174" s="11">
        <f>VLOOKUP($G174, '26 ADP Data'!$C$4:$Q$298, 3, FALSE)</f>
        <v>190</v>
      </c>
      <c r="Q174" s="11">
        <f>VLOOKUP($G174, '26 ADP Data'!$C$4:$Q$298, 4, FALSE)</f>
        <v>176</v>
      </c>
      <c r="R174" s="11">
        <f>VLOOKUP($G174, '26 ADP Data'!$C$4:$Q$298, 6, FALSE)</f>
        <v>157</v>
      </c>
      <c r="S174" s="11">
        <f>VLOOKUP($G174, '26 ADP Data'!$C$4:$Q$298, 9, FALSE)</f>
        <v>193</v>
      </c>
      <c r="T174" s="11" t="str">
        <f>VLOOKUP($G174, '26 ADP Data'!$C$4:$Q$298, 8, FALSE)</f>
        <v>-</v>
      </c>
      <c r="U174" s="11">
        <f t="shared" si="6"/>
        <v>181</v>
      </c>
      <c r="V174" s="11">
        <f t="shared" si="7"/>
        <v>16</v>
      </c>
      <c r="W174" s="11"/>
      <c r="X174" s="11">
        <f>VLOOKUP($G174, SeanRanks26!$A$2:$K$303, 10, FALSE)-U174</f>
        <v>14</v>
      </c>
      <c r="Y174" s="25" t="str">
        <f>IF(VLOOKUP($G174, SeanRanks26!$A$2:$H$303, 8, FALSE)=0, "", VLOOKUP($G174, SeanRanks26!$A$2:$H$303, 8, FALSE))</f>
        <v/>
      </c>
    </row>
    <row r="175" spans="1:25" ht="14.25" hidden="1" customHeight="1" x14ac:dyDescent="0.25">
      <c r="A175" s="11"/>
      <c r="B175" s="11">
        <f t="shared" si="3"/>
        <v>16</v>
      </c>
      <c r="C175" s="11" t="s">
        <v>148</v>
      </c>
      <c r="D175" s="11"/>
      <c r="E175" s="23"/>
      <c r="F175" s="11">
        <f>VLOOKUP($G175, SeanRanks26!$A$2:$H$303, 5, FALSE)</f>
        <v>0</v>
      </c>
      <c r="G175" s="11" t="s">
        <v>415</v>
      </c>
      <c r="H175" s="11" t="str">
        <f>VLOOKUP($G175, '26 ADP Data'!$C$4:$Q$298, 2, FALSE)</f>
        <v>DET</v>
      </c>
      <c r="I175" s="11" t="str">
        <f>VLOOKUP(G175, '26 ADP Data'!$C$4:$R$496, 16, FALSE)</f>
        <v>RB</v>
      </c>
      <c r="J175" s="11" t="str">
        <f>VLOOKUP($G175, SeanRanks26!$A$2:$H$303, 6, FALSE)</f>
        <v>RB4</v>
      </c>
      <c r="K175" s="11">
        <f>VLOOKUP($G175, SeanRanks26!$A$2:$H$303, 7, FALSE)</f>
        <v>43</v>
      </c>
      <c r="L175" s="11">
        <f t="shared" si="4"/>
        <v>17</v>
      </c>
      <c r="M175" s="11">
        <f>VLOOKUP($G175, '26 ADP Data'!$C$4:$Q$298, 10, FALSE)</f>
        <v>197</v>
      </c>
      <c r="N175" s="11">
        <f>VLOOKUP($G175, '26 ADP Data'!$C$4:$Q$298, 13, FALSE)</f>
        <v>196</v>
      </c>
      <c r="O175" s="11">
        <f t="shared" si="5"/>
        <v>1</v>
      </c>
      <c r="P175" s="11">
        <f>VLOOKUP($G175, '26 ADP Data'!$C$4:$Q$298, 3, FALSE)</f>
        <v>173</v>
      </c>
      <c r="Q175" s="11">
        <f>VLOOKUP($G175, '26 ADP Data'!$C$4:$Q$298, 4, FALSE)</f>
        <v>175</v>
      </c>
      <c r="R175" s="11">
        <f>VLOOKUP($G175, '26 ADP Data'!$C$4:$Q$298, 6, FALSE)</f>
        <v>197</v>
      </c>
      <c r="S175" s="11">
        <f>VLOOKUP($G175, '26 ADP Data'!$C$4:$Q$298, 9, FALSE)</f>
        <v>176</v>
      </c>
      <c r="T175" s="11" t="str">
        <f>VLOOKUP($G175, '26 ADP Data'!$C$4:$Q$298, 8, FALSE)</f>
        <v>-</v>
      </c>
      <c r="U175" s="11">
        <f t="shared" si="6"/>
        <v>185</v>
      </c>
      <c r="V175" s="11">
        <f t="shared" si="7"/>
        <v>16</v>
      </c>
      <c r="W175" s="11"/>
      <c r="X175" s="11">
        <f>VLOOKUP($G175, SeanRanks26!$A$2:$K$303, 10, FALSE)-U175</f>
        <v>12</v>
      </c>
      <c r="Y175" s="25" t="str">
        <f>IF(VLOOKUP($G175, SeanRanks26!$A$2:$H$303, 8, FALSE)=0, "", VLOOKUP($G175, SeanRanks26!$A$2:$H$303, 8, FALSE))</f>
        <v/>
      </c>
    </row>
    <row r="176" spans="1:25" ht="14.25" hidden="1" customHeight="1" x14ac:dyDescent="0.25">
      <c r="A176" s="11"/>
      <c r="B176" s="11">
        <f t="shared" si="3"/>
        <v>16</v>
      </c>
      <c r="C176" s="11" t="s">
        <v>148</v>
      </c>
      <c r="D176" s="11"/>
      <c r="E176" s="23"/>
      <c r="F176" s="11">
        <f>VLOOKUP($G176, SeanRanks26!$A$2:$H$303, 5, FALSE)</f>
        <v>0</v>
      </c>
      <c r="G176" s="11" t="s">
        <v>407</v>
      </c>
      <c r="H176" s="11" t="str">
        <f>VLOOKUP($G176, '26 ADP Data'!$C$4:$Q$298, 2, FALSE)</f>
        <v>CLE</v>
      </c>
      <c r="I176" s="11" t="str">
        <f>VLOOKUP(G176, '26 ADP Data'!$C$4:$R$496, 16, FALSE)</f>
        <v>RB</v>
      </c>
      <c r="J176" s="11">
        <f>VLOOKUP($G176, SeanRanks26!$A$2:$H$303, 6, FALSE)</f>
        <v>0</v>
      </c>
      <c r="K176" s="11">
        <f>VLOOKUP($G176, SeanRanks26!$A$2:$H$303, 7, FALSE)</f>
        <v>0</v>
      </c>
      <c r="L176" s="11">
        <f t="shared" si="4"/>
        <v>15</v>
      </c>
      <c r="M176" s="11">
        <f>VLOOKUP($G176, '26 ADP Data'!$C$4:$Q$298, 10, FALSE)</f>
        <v>173</v>
      </c>
      <c r="N176" s="11">
        <f>VLOOKUP($G176, '26 ADP Data'!$C$4:$Q$298, 13, FALSE)</f>
        <v>169</v>
      </c>
      <c r="O176" s="11">
        <f t="shared" si="5"/>
        <v>4</v>
      </c>
      <c r="P176" s="11">
        <f>VLOOKUP($G176, '26 ADP Data'!$C$4:$Q$298, 3, FALSE)</f>
        <v>177</v>
      </c>
      <c r="Q176" s="11">
        <f>VLOOKUP($G176, '26 ADP Data'!$C$4:$Q$298, 4, FALSE)</f>
        <v>215</v>
      </c>
      <c r="R176" s="11">
        <f>VLOOKUP($G176, '26 ADP Data'!$C$4:$Q$298, 6, FALSE)</f>
        <v>154</v>
      </c>
      <c r="S176" s="11">
        <f>VLOOKUP($G176, '26 ADP Data'!$C$4:$Q$298, 9, FALSE)</f>
        <v>195</v>
      </c>
      <c r="T176" s="11" t="str">
        <f>VLOOKUP($G176, '26 ADP Data'!$C$4:$Q$298, 8, FALSE)</f>
        <v>-</v>
      </c>
      <c r="U176" s="11">
        <f t="shared" si="6"/>
        <v>180</v>
      </c>
      <c r="V176" s="11">
        <f t="shared" si="7"/>
        <v>16</v>
      </c>
      <c r="W176" s="11"/>
      <c r="X176" s="11">
        <f>VLOOKUP($G176, SeanRanks26!$A$2:$K$303, 10, FALSE)-U176</f>
        <v>-7</v>
      </c>
      <c r="Y176" s="25" t="str">
        <f>IF(VLOOKUP($G176, SeanRanks26!$A$2:$H$303, 8, FALSE)=0, "", VLOOKUP($G176, SeanRanks26!$A$2:$H$303, 8, FALSE))</f>
        <v>2025 Rookie R4</v>
      </c>
    </row>
    <row r="177" spans="1:25" ht="14.25" customHeight="1" x14ac:dyDescent="0.25">
      <c r="A177" s="11"/>
      <c r="B177" s="11">
        <f t="shared" si="3"/>
        <v>13</v>
      </c>
      <c r="C177" s="11" t="s">
        <v>148</v>
      </c>
      <c r="D177" s="11"/>
      <c r="E177" s="23"/>
      <c r="F177" s="11">
        <f>VLOOKUP($G177, SeanRanks26!$A$2:$H$303, 5, FALSE)</f>
        <v>0</v>
      </c>
      <c r="G177" s="11" t="s">
        <v>366</v>
      </c>
      <c r="H177" s="11" t="str">
        <f>VLOOKUP($G177, '26 ADP Data'!$C$4:$Q$298, 2, FALSE)</f>
        <v>BUF</v>
      </c>
      <c r="I177" s="11" t="str">
        <f>VLOOKUP(G177, '26 ADP Data'!$C$4:$R$496, 16, FALSE)</f>
        <v>WR</v>
      </c>
      <c r="J177" s="11" t="str">
        <f>VLOOKUP($G177, SeanRanks26!$A$2:$H$303, 6, FALSE)</f>
        <v>WR5</v>
      </c>
      <c r="K177" s="11">
        <f>VLOOKUP($G177, SeanRanks26!$A$2:$H$303, 7, FALSE)</f>
        <v>62</v>
      </c>
      <c r="L177" s="11">
        <f t="shared" si="4"/>
        <v>12</v>
      </c>
      <c r="M177" s="11">
        <f>VLOOKUP($G177, '26 ADP Data'!$C$4:$Q$298, 10, FALSE)</f>
        <v>139</v>
      </c>
      <c r="N177" s="11">
        <f>VLOOKUP($G177, '26 ADP Data'!$C$4:$Q$298, 13, FALSE)</f>
        <v>131</v>
      </c>
      <c r="O177" s="11">
        <f t="shared" si="5"/>
        <v>8</v>
      </c>
      <c r="P177" s="11">
        <f>VLOOKUP($G177, '26 ADP Data'!$C$4:$Q$298, 3, FALSE)</f>
        <v>162</v>
      </c>
      <c r="Q177" s="11">
        <f>VLOOKUP($G177, '26 ADP Data'!$C$4:$Q$298, 4, FALSE)</f>
        <v>136</v>
      </c>
      <c r="R177" s="11">
        <f>VLOOKUP($G177, '26 ADP Data'!$C$4:$Q$298, 6, FALSE)</f>
        <v>147</v>
      </c>
      <c r="S177" s="11">
        <f>VLOOKUP($G177, '26 ADP Data'!$C$4:$Q$298, 9, FALSE)</f>
        <v>153</v>
      </c>
      <c r="T177" s="11" t="str">
        <f>VLOOKUP($G177, '26 ADP Data'!$C$4:$Q$298, 8, FALSE)</f>
        <v>-</v>
      </c>
      <c r="U177" s="11">
        <f t="shared" si="6"/>
        <v>144</v>
      </c>
      <c r="V177" s="11">
        <f t="shared" si="7"/>
        <v>13</v>
      </c>
      <c r="W177" s="11">
        <f>D177-V177</f>
        <v>-13</v>
      </c>
      <c r="X177" s="11">
        <f>VLOOKUP($G177, SeanRanks26!$A$2:$K$303, 10, FALSE)-U177</f>
        <v>-5</v>
      </c>
      <c r="Y177" s="25" t="str">
        <f>IF(VLOOKUP($G177, SeanRanks26!$A$2:$H$303, 8, FALSE)=0, "", VLOOKUP($G177, SeanRanks26!$A$2:$H$303, 8, FALSE))</f>
        <v/>
      </c>
    </row>
    <row r="178" spans="1:25" ht="14.25" hidden="1" customHeight="1" x14ac:dyDescent="0.25">
      <c r="A178" s="11"/>
      <c r="B178" s="11">
        <f t="shared" si="3"/>
        <v>16</v>
      </c>
      <c r="C178" s="11" t="s">
        <v>148</v>
      </c>
      <c r="D178" s="11"/>
      <c r="E178" s="23"/>
      <c r="F178" s="11">
        <f>VLOOKUP($G178, SeanRanks26!$A$2:$H$303, 5, FALSE)</f>
        <v>0</v>
      </c>
      <c r="G178" s="11" t="s">
        <v>411</v>
      </c>
      <c r="H178" s="11" t="str">
        <f>VLOOKUP($G178, '26 ADP Data'!$C$4:$Q$298, 2, FALSE)</f>
        <v>HOU</v>
      </c>
      <c r="I178" s="11" t="str">
        <f>VLOOKUP(G178, '26 ADP Data'!$C$4:$R$496, 16, FALSE)</f>
        <v>QB</v>
      </c>
      <c r="J178" s="11">
        <f>VLOOKUP($G178, SeanRanks26!$A$2:$H$303, 6, FALSE)</f>
        <v>0</v>
      </c>
      <c r="K178" s="11">
        <f>VLOOKUP($G178, SeanRanks26!$A$2:$H$303, 7, FALSE)</f>
        <v>0</v>
      </c>
      <c r="L178" s="11">
        <f t="shared" si="4"/>
        <v>15</v>
      </c>
      <c r="M178" s="11">
        <f>VLOOKUP($G178, '26 ADP Data'!$C$4:$Q$298, 10, FALSE)</f>
        <v>175</v>
      </c>
      <c r="N178" s="11">
        <f>VLOOKUP($G178, '26 ADP Data'!$C$4:$Q$298, 13, FALSE)</f>
        <v>146</v>
      </c>
      <c r="O178" s="11">
        <f t="shared" si="5"/>
        <v>29</v>
      </c>
      <c r="P178" s="11">
        <f>VLOOKUP($G178, '26 ADP Data'!$C$4:$Q$298, 3, FALSE)</f>
        <v>171</v>
      </c>
      <c r="Q178" s="11">
        <f>VLOOKUP($G178, '26 ADP Data'!$C$4:$Q$298, 4, FALSE)</f>
        <v>171</v>
      </c>
      <c r="R178" s="11">
        <f>VLOOKUP($G178, '26 ADP Data'!$C$4:$Q$298, 6, FALSE)</f>
        <v>194</v>
      </c>
      <c r="S178" s="11">
        <f>VLOOKUP($G178, '26 ADP Data'!$C$4:$Q$298, 9, FALSE)</f>
        <v>209</v>
      </c>
      <c r="T178" s="11" t="str">
        <f>VLOOKUP($G178, '26 ADP Data'!$C$4:$Q$298, 8, FALSE)</f>
        <v>-</v>
      </c>
      <c r="U178" s="11">
        <f t="shared" si="6"/>
        <v>177</v>
      </c>
      <c r="V178" s="11">
        <f t="shared" si="7"/>
        <v>15</v>
      </c>
      <c r="W178" s="11"/>
      <c r="X178" s="11">
        <f>VLOOKUP($G178, SeanRanks26!$A$2:$K$303, 10, FALSE)-U178</f>
        <v>-2</v>
      </c>
      <c r="Y178" s="25" t="str">
        <f>IF(VLOOKUP($G178, SeanRanks26!$A$2:$H$303, 8, FALSE)=0, "", VLOOKUP($G178, SeanRanks26!$A$2:$H$303, 8, FALSE))</f>
        <v/>
      </c>
    </row>
    <row r="179" spans="1:25" ht="14.25" hidden="1" customHeight="1" x14ac:dyDescent="0.25">
      <c r="A179" s="11"/>
      <c r="B179" s="11">
        <f t="shared" si="3"/>
        <v>15</v>
      </c>
      <c r="C179" s="11" t="s">
        <v>148</v>
      </c>
      <c r="D179" s="11"/>
      <c r="E179" s="23"/>
      <c r="F179" s="11">
        <f>VLOOKUP($G179, SeanRanks26!$A$2:$H$303, 5, FALSE)</f>
        <v>0</v>
      </c>
      <c r="G179" s="11" t="s">
        <v>499</v>
      </c>
      <c r="H179" s="11" t="str">
        <f>VLOOKUP($G179, '26 ADP Data'!$C$4:$Q$298, 2, FALSE)</f>
        <v>LAC</v>
      </c>
      <c r="I179" s="11" t="str">
        <f>VLOOKUP(G179, '26 ADP Data'!$C$4:$R$496, 16, FALSE)</f>
        <v>TE</v>
      </c>
      <c r="J179" s="11">
        <f>VLOOKUP($G179, SeanRanks26!$A$2:$H$303, 6, FALSE)</f>
        <v>0</v>
      </c>
      <c r="K179" s="11">
        <f>VLOOKUP($G179, SeanRanks26!$A$2:$H$303, 7, FALSE)</f>
        <v>0</v>
      </c>
      <c r="L179" s="11">
        <f t="shared" si="4"/>
        <v>19</v>
      </c>
      <c r="M179" s="11">
        <f>VLOOKUP($G179, '26 ADP Data'!$C$4:$Q$298, 10, FALSE)</f>
        <v>217</v>
      </c>
      <c r="N179" s="11">
        <f>VLOOKUP($G179, '26 ADP Data'!$C$4:$Q$298, 13, FALSE)</f>
        <v>198</v>
      </c>
      <c r="O179" s="11">
        <f t="shared" si="5"/>
        <v>19</v>
      </c>
      <c r="P179" s="11" t="str">
        <f>VLOOKUP($G179, '26 ADP Data'!$C$4:$Q$298, 3, FALSE)</f>
        <v>-</v>
      </c>
      <c r="Q179" s="11" t="str">
        <f>VLOOKUP($G179, '26 ADP Data'!$C$4:$Q$298, 4, FALSE)</f>
        <v>-</v>
      </c>
      <c r="R179" s="11">
        <f>VLOOKUP($G179, '26 ADP Data'!$C$4:$Q$298, 6, FALSE)</f>
        <v>183</v>
      </c>
      <c r="S179" s="11">
        <f>VLOOKUP($G179, '26 ADP Data'!$C$4:$Q$298, 9, FALSE)</f>
        <v>172</v>
      </c>
      <c r="T179" s="11" t="str">
        <f>VLOOKUP($G179, '26 ADP Data'!$C$4:$Q$298, 8, FALSE)</f>
        <v>-</v>
      </c>
      <c r="U179" s="11">
        <f t="shared" si="6"/>
        <v>192</v>
      </c>
      <c r="V179" s="11">
        <f t="shared" si="7"/>
        <v>17</v>
      </c>
      <c r="W179" s="11"/>
      <c r="X179" s="11">
        <f>VLOOKUP($G179, SeanRanks26!$A$2:$K$303, 10, FALSE)-U179</f>
        <v>25</v>
      </c>
      <c r="Y179" s="25" t="str">
        <f>IF(VLOOKUP($G179, SeanRanks26!$A$2:$H$303, 8, FALSE)=0, "", VLOOKUP($G179, SeanRanks26!$A$2:$H$303, 8, FALSE))</f>
        <v/>
      </c>
    </row>
    <row r="180" spans="1:25" ht="14.25" customHeight="1" x14ac:dyDescent="0.25">
      <c r="A180" s="11"/>
      <c r="B180" s="11">
        <f t="shared" si="3"/>
        <v>19</v>
      </c>
      <c r="C180" s="11" t="s">
        <v>148</v>
      </c>
      <c r="D180" s="11"/>
      <c r="E180" s="23"/>
      <c r="F180" s="11">
        <f>VLOOKUP($G180, SeanRanks26!$A$2:$H$303, 5, FALSE)</f>
        <v>0</v>
      </c>
      <c r="G180" s="11" t="s">
        <v>478</v>
      </c>
      <c r="H180" s="11" t="str">
        <f>VLOOKUP($G180, '26 ADP Data'!$C$4:$Q$298, 2, FALSE)</f>
        <v>TEN</v>
      </c>
      <c r="I180" s="11" t="str">
        <f>VLOOKUP(G180, '26 ADP Data'!$C$4:$R$496, 16, FALSE)</f>
        <v>WR</v>
      </c>
      <c r="J180" s="11" t="str">
        <f>VLOOKUP($G180, SeanRanks26!$A$2:$H$303, 6, FALSE)</f>
        <v>WR5</v>
      </c>
      <c r="K180" s="11">
        <f>VLOOKUP($G180, SeanRanks26!$A$2:$H$303, 7, FALSE)</f>
        <v>63</v>
      </c>
      <c r="L180" s="11">
        <f t="shared" si="4"/>
        <v>16</v>
      </c>
      <c r="M180" s="11" t="str">
        <f>VLOOKUP($G180, '26 ADP Data'!$C$4:$Q$298, 10, FALSE)</f>
        <v>-</v>
      </c>
      <c r="N180" s="11">
        <f>VLOOKUP($G180, '26 ADP Data'!$C$4:$Q$298, 13, FALSE)</f>
        <v>203</v>
      </c>
      <c r="O180" s="11" t="e">
        <f t="shared" si="5"/>
        <v>#VALUE!</v>
      </c>
      <c r="P180" s="11">
        <f>VLOOKUP($G180, '26 ADP Data'!$C$4:$Q$298, 3, FALSE)</f>
        <v>194</v>
      </c>
      <c r="Q180" s="11" t="str">
        <f>VLOOKUP($G180, '26 ADP Data'!$C$4:$Q$298, 4, FALSE)</f>
        <v>-</v>
      </c>
      <c r="R180" s="11">
        <f>VLOOKUP($G180, '26 ADP Data'!$C$4:$Q$298, 6, FALSE)</f>
        <v>217</v>
      </c>
      <c r="S180" s="11">
        <f>VLOOKUP($G180, '26 ADP Data'!$C$4:$Q$298, 9, FALSE)</f>
        <v>265</v>
      </c>
      <c r="T180" s="11" t="str">
        <f>VLOOKUP($G180, '26 ADP Data'!$C$4:$Q$298, 8, FALSE)</f>
        <v>-</v>
      </c>
      <c r="U180" s="11">
        <f t="shared" si="6"/>
        <v>219</v>
      </c>
      <c r="V180" s="11">
        <f t="shared" si="7"/>
        <v>19</v>
      </c>
      <c r="W180" s="11"/>
      <c r="X180" s="11" t="e">
        <f>VLOOKUP($G180, SeanRanks26!$A$2:$K$303, 10, FALSE)-U180</f>
        <v>#VALUE!</v>
      </c>
      <c r="Y180" s="25" t="str">
        <f>IF(VLOOKUP($G180, SeanRanks26!$A$2:$H$303, 8, FALSE)=0, "", VLOOKUP($G180, SeanRanks26!$A$2:$H$303, 8, FALSE))</f>
        <v/>
      </c>
    </row>
    <row r="181" spans="1:25" ht="14.25" hidden="1" customHeight="1" x14ac:dyDescent="0.25">
      <c r="A181" s="11"/>
      <c r="B181" s="11">
        <f t="shared" si="3"/>
        <v>14</v>
      </c>
      <c r="C181" s="11" t="s">
        <v>148</v>
      </c>
      <c r="D181" s="11"/>
      <c r="E181" s="23"/>
      <c r="F181" s="11">
        <f>VLOOKUP($G181, SeanRanks26!$A$2:$H$303, 5, FALSE)</f>
        <v>0</v>
      </c>
      <c r="G181" s="11" t="s">
        <v>489</v>
      </c>
      <c r="H181" s="11" t="str">
        <f>VLOOKUP($G181, '26 ADP Data'!$C$4:$Q$298, 2, FALSE)</f>
        <v>PIT</v>
      </c>
      <c r="I181" s="11" t="str">
        <f>VLOOKUP(G181, '26 ADP Data'!$C$4:$R$496, 16, FALSE)</f>
        <v>DE</v>
      </c>
      <c r="J181" s="11">
        <f>VLOOKUP($G181, SeanRanks26!$A$2:$H$303, 6, FALSE)</f>
        <v>0</v>
      </c>
      <c r="K181" s="11">
        <f>VLOOKUP($G181, SeanRanks26!$A$2:$H$303, 7, FALSE)</f>
        <v>0</v>
      </c>
      <c r="L181" s="11">
        <f t="shared" si="4"/>
        <v>17</v>
      </c>
      <c r="M181" s="11">
        <f>VLOOKUP($G181, '26 ADP Data'!$C$4:$Q$298, 10, FALSE)</f>
        <v>199</v>
      </c>
      <c r="N181" s="11" t="str">
        <f>VLOOKUP($G181, '26 ADP Data'!$C$4:$Q$298, 13, FALSE)</f>
        <v>-</v>
      </c>
      <c r="O181" s="11" t="e">
        <f t="shared" si="5"/>
        <v>#VALUE!</v>
      </c>
      <c r="P181" s="11">
        <f>VLOOKUP($G181, '26 ADP Data'!$C$4:$Q$298, 3, FALSE)</f>
        <v>146</v>
      </c>
      <c r="Q181" s="11">
        <f>VLOOKUP($G181, '26 ADP Data'!$C$4:$Q$298, 4, FALSE)</f>
        <v>114</v>
      </c>
      <c r="R181" s="11">
        <f>VLOOKUP($G181, '26 ADP Data'!$C$4:$Q$298, 6, FALSE)</f>
        <v>219</v>
      </c>
      <c r="S181" s="11">
        <f>VLOOKUP($G181, '26 ADP Data'!$C$4:$Q$298, 9, FALSE)</f>
        <v>169</v>
      </c>
      <c r="T181" s="11" t="str">
        <f>VLOOKUP($G181, '26 ADP Data'!$C$4:$Q$298, 8, FALSE)</f>
        <v>-</v>
      </c>
      <c r="U181" s="11">
        <f t="shared" si="6"/>
        <v>169</v>
      </c>
      <c r="V181" s="11">
        <f t="shared" si="7"/>
        <v>15</v>
      </c>
      <c r="W181" s="11"/>
      <c r="X181" s="11">
        <f>VLOOKUP($G181, SeanRanks26!$A$2:$K$303, 10, FALSE)-U181</f>
        <v>30</v>
      </c>
      <c r="Y181" s="25" t="str">
        <f>IF(VLOOKUP($G181, SeanRanks26!$A$2:$H$303, 8, FALSE)=0, "", VLOOKUP($G181, SeanRanks26!$A$2:$H$303, 8, FALSE))</f>
        <v/>
      </c>
    </row>
    <row r="182" spans="1:25" ht="14.25" customHeight="1" x14ac:dyDescent="0.25">
      <c r="A182" s="11"/>
      <c r="B182" s="11">
        <f t="shared" si="3"/>
        <v>26</v>
      </c>
      <c r="C182" s="11" t="s">
        <v>148</v>
      </c>
      <c r="D182" s="11"/>
      <c r="E182" s="23"/>
      <c r="F182" s="11">
        <f>VLOOKUP($G182, SeanRanks26!$A$2:$H$303, 5, FALSE)</f>
        <v>0</v>
      </c>
      <c r="G182" s="11" t="s">
        <v>660</v>
      </c>
      <c r="H182" s="11" t="str">
        <f>VLOOKUP($G182, '26 ADP Data'!$C$4:$Q$298, 2, FALSE)</f>
        <v>LV</v>
      </c>
      <c r="I182" s="11" t="str">
        <f>VLOOKUP(G182, '26 ADP Data'!$C$4:$R$496, 16, FALSE)</f>
        <v>WR</v>
      </c>
      <c r="J182" s="11" t="str">
        <f>VLOOKUP($G182, SeanRanks26!$A$2:$H$303, 6, FALSE)</f>
        <v>WR5</v>
      </c>
      <c r="K182" s="11">
        <f>VLOOKUP($G182, SeanRanks26!$A$2:$H$303, 7, FALSE)</f>
        <v>64</v>
      </c>
      <c r="L182" s="11">
        <f t="shared" si="4"/>
        <v>20</v>
      </c>
      <c r="M182" s="11">
        <f>VLOOKUP($G182, '26 ADP Data'!$C$4:$Q$298, 10, FALSE)</f>
        <v>236</v>
      </c>
      <c r="N182" s="11">
        <f>VLOOKUP($G182, '26 ADP Data'!$C$4:$Q$298, 13, FALSE)</f>
        <v>246</v>
      </c>
      <c r="O182" s="11">
        <f t="shared" si="5"/>
        <v>-10</v>
      </c>
      <c r="P182" s="11" t="str">
        <f>VLOOKUP($G182, '26 ADP Data'!$C$4:$Q$298, 3, FALSE)</f>
        <v>-</v>
      </c>
      <c r="Q182" s="11" t="str">
        <f>VLOOKUP($G182, '26 ADP Data'!$C$4:$Q$298, 4, FALSE)</f>
        <v>-</v>
      </c>
      <c r="R182" s="11">
        <f>VLOOKUP($G182, '26 ADP Data'!$C$4:$Q$298, 6, FALSE)</f>
        <v>310</v>
      </c>
      <c r="S182" s="11" t="str">
        <f>VLOOKUP($G182, '26 ADP Data'!$C$4:$Q$298, 9, FALSE)</f>
        <v>-</v>
      </c>
      <c r="T182" s="11" t="str">
        <f>VLOOKUP($G182, '26 ADP Data'!$C$4:$Q$298, 8, FALSE)</f>
        <v>-</v>
      </c>
      <c r="U182" s="11">
        <f t="shared" si="6"/>
        <v>264</v>
      </c>
      <c r="V182" s="11">
        <f t="shared" si="7"/>
        <v>23</v>
      </c>
      <c r="W182" s="11"/>
      <c r="X182" s="11">
        <f>VLOOKUP($G182, SeanRanks26!$A$2:$K$303, 10, FALSE)-U182</f>
        <v>-28</v>
      </c>
      <c r="Y182" s="25" t="str">
        <f>IF(VLOOKUP($G182, SeanRanks26!$A$2:$H$303, 8, FALSE)=0, "", VLOOKUP($G182, SeanRanks26!$A$2:$H$303, 8, FALSE))</f>
        <v>2025 R2</v>
      </c>
    </row>
    <row r="183" spans="1:25" ht="14.25" customHeight="1" x14ac:dyDescent="0.25">
      <c r="A183" s="11"/>
      <c r="B183" s="11">
        <f t="shared" si="3"/>
        <v>17</v>
      </c>
      <c r="C183" s="11" t="s">
        <v>148</v>
      </c>
      <c r="D183" s="11"/>
      <c r="E183" s="23"/>
      <c r="F183" s="11" t="str">
        <f>VLOOKUP($G183, SeanRanks26!$A$2:$H$303, 5, FALSE)</f>
        <v>Yes</v>
      </c>
      <c r="G183" s="11" t="s">
        <v>534</v>
      </c>
      <c r="H183" s="11" t="str">
        <f>VLOOKUP($G183, '26 ADP Data'!$C$4:$Q$298, 2, FALSE)</f>
        <v>NYG</v>
      </c>
      <c r="I183" s="11" t="str">
        <f>VLOOKUP(G183, '26 ADP Data'!$C$4:$R$496, 16, FALSE)</f>
        <v>WR</v>
      </c>
      <c r="J183" s="11" t="str">
        <f>VLOOKUP($G183, SeanRanks26!$A$2:$H$303, 6, FALSE)</f>
        <v>WR5</v>
      </c>
      <c r="K183" s="11">
        <f>VLOOKUP($G183, SeanRanks26!$A$2:$H$303, 7, FALSE)</f>
        <v>65</v>
      </c>
      <c r="L183" s="11">
        <f t="shared" si="4"/>
        <v>19</v>
      </c>
      <c r="M183" s="11">
        <f>VLOOKUP($G183, '26 ADP Data'!$C$4:$Q$298, 10, FALSE)</f>
        <v>225</v>
      </c>
      <c r="N183" s="11">
        <f>VLOOKUP($G183, '26 ADP Data'!$C$4:$Q$298, 13, FALSE)</f>
        <v>187</v>
      </c>
      <c r="O183" s="11">
        <f t="shared" si="5"/>
        <v>38</v>
      </c>
      <c r="P183" s="11" t="str">
        <f>VLOOKUP($G183, '26 ADP Data'!$C$4:$Q$298, 3, FALSE)</f>
        <v>-</v>
      </c>
      <c r="Q183" s="11" t="str">
        <f>VLOOKUP($G183, '26 ADP Data'!$C$4:$Q$298, 4, FALSE)</f>
        <v>-</v>
      </c>
      <c r="R183" s="11">
        <f>VLOOKUP($G183, '26 ADP Data'!$C$4:$Q$298, 6, FALSE)</f>
        <v>189</v>
      </c>
      <c r="S183" s="11">
        <f>VLOOKUP($G183, '26 ADP Data'!$C$4:$Q$298, 9, FALSE)</f>
        <v>199</v>
      </c>
      <c r="T183" s="11" t="str">
        <f>VLOOKUP($G183, '26 ADP Data'!$C$4:$Q$298, 8, FALSE)</f>
        <v>-</v>
      </c>
      <c r="U183" s="11">
        <f t="shared" si="6"/>
        <v>200</v>
      </c>
      <c r="V183" s="11">
        <f t="shared" si="7"/>
        <v>17</v>
      </c>
      <c r="W183" s="11"/>
      <c r="X183" s="11">
        <f>VLOOKUP($G183, SeanRanks26!$A$2:$K$303, 10, FALSE)-U183</f>
        <v>25</v>
      </c>
      <c r="Y183" s="25" t="str">
        <f>IF(VLOOKUP($G183, SeanRanks26!$A$2:$H$303, 8, FALSE)=0, "", VLOOKUP($G183, SeanRanks26!$A$2:$H$303, 8, FALSE))</f>
        <v>Rookie R3 Notre Dame</v>
      </c>
    </row>
    <row r="184" spans="1:25" ht="14.25" hidden="1" customHeight="1" x14ac:dyDescent="0.25">
      <c r="A184" s="11"/>
      <c r="B184" s="11">
        <f t="shared" si="3"/>
        <v>14</v>
      </c>
      <c r="C184" s="11" t="s">
        <v>148</v>
      </c>
      <c r="D184" s="11"/>
      <c r="E184" s="23"/>
      <c r="F184" s="11">
        <f>VLOOKUP($G184, SeanRanks26!$A$2:$H$303, 5, FALSE)</f>
        <v>0</v>
      </c>
      <c r="G184" s="11" t="s">
        <v>574</v>
      </c>
      <c r="H184" s="11" t="str">
        <f>VLOOKUP($G184, '26 ADP Data'!$C$4:$Q$298, 2, FALSE)</f>
        <v>JAX</v>
      </c>
      <c r="I184" s="11" t="str">
        <f>VLOOKUP(G184, '26 ADP Data'!$C$4:$R$496, 16, FALSE)</f>
        <v>K-</v>
      </c>
      <c r="J184" s="11">
        <f>VLOOKUP($G184, SeanRanks26!$A$2:$H$303, 6, FALSE)</f>
        <v>0</v>
      </c>
      <c r="K184" s="11">
        <f>VLOOKUP($G184, SeanRanks26!$A$2:$H$303, 7, FALSE)</f>
        <v>0</v>
      </c>
      <c r="L184" s="11">
        <f t="shared" si="4"/>
        <v>17</v>
      </c>
      <c r="M184" s="11">
        <f>VLOOKUP($G184, '26 ADP Data'!$C$4:$Q$298, 10, FALSE)</f>
        <v>194</v>
      </c>
      <c r="N184" s="11" t="str">
        <f>VLOOKUP($G184, '26 ADP Data'!$C$4:$Q$298, 13, FALSE)</f>
        <v>-</v>
      </c>
      <c r="O184" s="11" t="e">
        <f t="shared" si="5"/>
        <v>#VALUE!</v>
      </c>
      <c r="P184" s="11">
        <f>VLOOKUP($G184, '26 ADP Data'!$C$4:$Q$298, 3, FALSE)</f>
        <v>153</v>
      </c>
      <c r="Q184" s="11">
        <f>VLOOKUP($G184, '26 ADP Data'!$C$4:$Q$298, 4, FALSE)</f>
        <v>138</v>
      </c>
      <c r="R184" s="11">
        <f>VLOOKUP($G184, '26 ADP Data'!$C$4:$Q$298, 6, FALSE)</f>
        <v>216</v>
      </c>
      <c r="S184" s="11">
        <f>VLOOKUP($G184, '26 ADP Data'!$C$4:$Q$298, 9, FALSE)</f>
        <v>146</v>
      </c>
      <c r="T184" s="11" t="str">
        <f>VLOOKUP($G184, '26 ADP Data'!$C$4:$Q$298, 8, FALSE)</f>
        <v>-</v>
      </c>
      <c r="U184" s="11">
        <f t="shared" si="6"/>
        <v>169</v>
      </c>
      <c r="V184" s="11">
        <f t="shared" si="7"/>
        <v>15</v>
      </c>
      <c r="W184" s="11"/>
      <c r="X184" s="11">
        <f>VLOOKUP($G184, SeanRanks26!$A$2:$K$303, 10, FALSE)-U184</f>
        <v>25</v>
      </c>
      <c r="Y184" s="25" t="str">
        <f>IF(VLOOKUP($G184, SeanRanks26!$A$2:$H$303, 8, FALSE)=0, "", VLOOKUP($G184, SeanRanks26!$A$2:$H$303, 8, FALSE))</f>
        <v/>
      </c>
    </row>
    <row r="185" spans="1:25" ht="14.25" hidden="1" customHeight="1" x14ac:dyDescent="0.25">
      <c r="A185" s="11"/>
      <c r="B185" s="11">
        <f t="shared" si="3"/>
        <v>16</v>
      </c>
      <c r="C185" s="11" t="s">
        <v>148</v>
      </c>
      <c r="D185" s="11"/>
      <c r="E185" s="23"/>
      <c r="F185" s="11">
        <f>VLOOKUP($G185, SeanRanks26!$A$2:$H$303, 5, FALSE)</f>
        <v>0</v>
      </c>
      <c r="G185" s="11" t="s">
        <v>424</v>
      </c>
      <c r="H185" s="11" t="str">
        <f>VLOOKUP($G185, '26 ADP Data'!$C$4:$Q$298, 2, FALSE)</f>
        <v>KC</v>
      </c>
      <c r="I185" s="11" t="str">
        <f>VLOOKUP(G185, '26 ADP Data'!$C$4:$R$496, 16, FALSE)</f>
        <v>RB</v>
      </c>
      <c r="J185" s="11">
        <f>VLOOKUP($G185, SeanRanks26!$A$2:$H$303, 6, FALSE)</f>
        <v>0</v>
      </c>
      <c r="K185" s="11">
        <f>VLOOKUP($G185, SeanRanks26!$A$2:$H$303, 7, FALSE)</f>
        <v>0</v>
      </c>
      <c r="L185" s="11">
        <f t="shared" si="4"/>
        <v>14</v>
      </c>
      <c r="M185" s="11">
        <f>VLOOKUP($G185, '26 ADP Data'!$C$4:$Q$298, 10, FALSE)</f>
        <v>157</v>
      </c>
      <c r="N185" s="11">
        <f>VLOOKUP($G185, '26 ADP Data'!$C$4:$Q$298, 13, FALSE)</f>
        <v>183</v>
      </c>
      <c r="O185" s="11">
        <f t="shared" si="5"/>
        <v>-26</v>
      </c>
      <c r="P185" s="11">
        <f>VLOOKUP($G185, '26 ADP Data'!$C$4:$Q$298, 3, FALSE)</f>
        <v>178</v>
      </c>
      <c r="Q185" s="11">
        <f>VLOOKUP($G185, '26 ADP Data'!$C$4:$Q$298, 4, FALSE)</f>
        <v>241</v>
      </c>
      <c r="R185" s="11">
        <f>VLOOKUP($G185, '26 ADP Data'!$C$4:$Q$298, 6, FALSE)</f>
        <v>150</v>
      </c>
      <c r="S185" s="11">
        <f>VLOOKUP($G185, '26 ADP Data'!$C$4:$Q$298, 9, FALSE)</f>
        <v>183</v>
      </c>
      <c r="T185" s="11" t="str">
        <f>VLOOKUP($G185, '26 ADP Data'!$C$4:$Q$298, 8, FALSE)</f>
        <v>-</v>
      </c>
      <c r="U185" s="11">
        <f t="shared" si="6"/>
        <v>182</v>
      </c>
      <c r="V185" s="11">
        <f t="shared" si="7"/>
        <v>16</v>
      </c>
      <c r="W185" s="11"/>
      <c r="X185" s="11">
        <f>VLOOKUP($G185, SeanRanks26!$A$2:$K$303, 10, FALSE)-U185</f>
        <v>-25</v>
      </c>
      <c r="Y185" s="25" t="str">
        <f>IF(VLOOKUP($G185, SeanRanks26!$A$2:$H$303, 8, FALSE)=0, "", VLOOKUP($G185, SeanRanks26!$A$2:$H$303, 8, FALSE))</f>
        <v>Rookie R5 - Nebraska</v>
      </c>
    </row>
    <row r="186" spans="1:25" ht="14.25" hidden="1" customHeight="1" x14ac:dyDescent="0.25">
      <c r="A186" s="11"/>
      <c r="B186" s="11">
        <f t="shared" si="3"/>
        <v>14</v>
      </c>
      <c r="C186" s="11" t="s">
        <v>148</v>
      </c>
      <c r="D186" s="11"/>
      <c r="E186" s="23"/>
      <c r="F186" s="11">
        <f>VLOOKUP($G186, SeanRanks26!$A$2:$H$303, 5, FALSE)</f>
        <v>0</v>
      </c>
      <c r="G186" s="11" t="s">
        <v>502</v>
      </c>
      <c r="H186" s="11" t="str">
        <f>VLOOKUP($G186, '26 ADP Data'!$C$4:$Q$298, 2, FALSE)</f>
        <v>BAL</v>
      </c>
      <c r="I186" s="11" t="str">
        <f>VLOOKUP(G186, '26 ADP Data'!$C$4:$R$496, 16, FALSE)</f>
        <v>DE</v>
      </c>
      <c r="J186" s="11">
        <f>VLOOKUP($G186, SeanRanks26!$A$2:$H$303, 6, FALSE)</f>
        <v>0</v>
      </c>
      <c r="K186" s="11">
        <f>VLOOKUP($G186, SeanRanks26!$A$2:$H$303, 7, FALSE)</f>
        <v>0</v>
      </c>
      <c r="L186" s="11">
        <f t="shared" si="4"/>
        <v>16</v>
      </c>
      <c r="M186" s="11">
        <f>VLOOKUP($G186, '26 ADP Data'!$C$4:$Q$298, 10, FALSE)</f>
        <v>181</v>
      </c>
      <c r="N186" s="11" t="str">
        <f>VLOOKUP($G186, '26 ADP Data'!$C$4:$Q$298, 13, FALSE)</f>
        <v>-</v>
      </c>
      <c r="O186" s="11" t="e">
        <f t="shared" si="5"/>
        <v>#VALUE!</v>
      </c>
      <c r="P186" s="11">
        <f>VLOOKUP($G186, '26 ADP Data'!$C$4:$Q$298, 3, FALSE)</f>
        <v>156</v>
      </c>
      <c r="Q186" s="11">
        <f>VLOOKUP($G186, '26 ADP Data'!$C$4:$Q$298, 4, FALSE)</f>
        <v>127</v>
      </c>
      <c r="R186" s="11">
        <f>VLOOKUP($G186, '26 ADP Data'!$C$4:$Q$298, 6, FALSE)</f>
        <v>222</v>
      </c>
      <c r="S186" s="11">
        <f>VLOOKUP($G186, '26 ADP Data'!$C$4:$Q$298, 9, FALSE)</f>
        <v>133</v>
      </c>
      <c r="T186" s="11" t="str">
        <f>VLOOKUP($G186, '26 ADP Data'!$C$4:$Q$298, 8, FALSE)</f>
        <v>-</v>
      </c>
      <c r="U186" s="11">
        <f t="shared" si="6"/>
        <v>163</v>
      </c>
      <c r="V186" s="11">
        <f t="shared" si="7"/>
        <v>14</v>
      </c>
      <c r="W186" s="11"/>
      <c r="X186" s="11">
        <f>VLOOKUP($G186, SeanRanks26!$A$2:$K$303, 10, FALSE)-U186</f>
        <v>18</v>
      </c>
      <c r="Y186" s="25" t="s">
        <v>799</v>
      </c>
    </row>
    <row r="187" spans="1:25" ht="14.25" hidden="1" customHeight="1" x14ac:dyDescent="0.25">
      <c r="A187" s="11"/>
      <c r="B187" s="11">
        <f t="shared" si="3"/>
        <v>15</v>
      </c>
      <c r="C187" s="11" t="s">
        <v>148</v>
      </c>
      <c r="D187" s="11"/>
      <c r="E187" s="23"/>
      <c r="F187" s="11" t="e">
        <f>VLOOKUP($G187, SeanRanks26!$A$2:$H$303, 5, FALSE)</f>
        <v>#N/A</v>
      </c>
      <c r="G187" s="11" t="s">
        <v>629</v>
      </c>
      <c r="H187" s="11" t="str">
        <f>VLOOKUP($G187, '26 ADP Data'!$C$4:$Q$298, 2, FALSE)</f>
        <v>LAR</v>
      </c>
      <c r="I187" s="11" t="str">
        <f>VLOOKUP(G187, '26 ADP Data'!$C$4:$R$496, 16, FALSE)</f>
        <v>K-</v>
      </c>
      <c r="J187" s="11" t="e">
        <f>VLOOKUP($G187, SeanRanks26!$A$2:$H$303, 6, FALSE)</f>
        <v>#N/A</v>
      </c>
      <c r="K187" s="11" t="e">
        <f>VLOOKUP($G187, SeanRanks26!$A$2:$H$303, 7, FALSE)</f>
        <v>#N/A</v>
      </c>
      <c r="L187" s="11">
        <f t="shared" si="4"/>
        <v>16</v>
      </c>
      <c r="M187" s="11" t="str">
        <f>VLOOKUP($G187, '26 ADP Data'!$C$4:$Q$298, 10, FALSE)</f>
        <v>-</v>
      </c>
      <c r="N187" s="11" t="str">
        <f>VLOOKUP($G187, '26 ADP Data'!$C$4:$Q$298, 13, FALSE)</f>
        <v>-</v>
      </c>
      <c r="O187" s="11" t="e">
        <f t="shared" si="5"/>
        <v>#VALUE!</v>
      </c>
      <c r="P187" s="11">
        <f>VLOOKUP($G187, '26 ADP Data'!$C$4:$Q$298, 3, FALSE)</f>
        <v>188</v>
      </c>
      <c r="Q187" s="11">
        <f>VLOOKUP($G187, '26 ADP Data'!$C$4:$Q$298, 4, FALSE)</f>
        <v>123</v>
      </c>
      <c r="R187" s="11">
        <f>VLOOKUP($G187, '26 ADP Data'!$C$4:$Q$298, 6, FALSE)</f>
        <v>226</v>
      </c>
      <c r="S187" s="11">
        <f>VLOOKUP($G187, '26 ADP Data'!$C$4:$Q$298, 9, FALSE)</f>
        <v>160</v>
      </c>
      <c r="T187" s="11" t="str">
        <f>VLOOKUP($G187, '26 ADP Data'!$C$4:$Q$298, 8, FALSE)</f>
        <v>-</v>
      </c>
      <c r="U187" s="11">
        <f t="shared" si="6"/>
        <v>174</v>
      </c>
      <c r="V187" s="11">
        <f t="shared" si="7"/>
        <v>15</v>
      </c>
      <c r="W187" s="11"/>
      <c r="X187" s="11" t="e">
        <f>VLOOKUP($G187, SeanRanks26!$A$2:$K$303, 10, FALSE)-U187</f>
        <v>#N/A</v>
      </c>
      <c r="Y187" s="25" t="e">
        <f>IF(VLOOKUP($G187, SeanRanks26!$A$2:$H$303, 8, FALSE)=0, "", VLOOKUP($G187, SeanRanks26!$A$2:$H$303, 8, FALSE))</f>
        <v>#N/A</v>
      </c>
    </row>
    <row r="188" spans="1:25" ht="14.25" hidden="1" customHeight="1" x14ac:dyDescent="0.25">
      <c r="A188" s="11"/>
      <c r="B188" s="11">
        <f t="shared" si="3"/>
        <v>14</v>
      </c>
      <c r="C188" s="11" t="s">
        <v>148</v>
      </c>
      <c r="D188" s="11"/>
      <c r="E188" s="23"/>
      <c r="F188" s="11">
        <f>VLOOKUP($G188, SeanRanks26!$A$2:$H$303, 5, FALSE)</f>
        <v>0</v>
      </c>
      <c r="G188" s="11" t="s">
        <v>497</v>
      </c>
      <c r="H188" s="11" t="str">
        <f>VLOOKUP($G188, '26 ADP Data'!$C$4:$Q$298, 2, FALSE)</f>
        <v>NE</v>
      </c>
      <c r="I188" s="11" t="str">
        <f>VLOOKUP(G188, '26 ADP Data'!$C$4:$R$496, 16, FALSE)</f>
        <v>DE</v>
      </c>
      <c r="J188" s="11">
        <f>VLOOKUP($G188, SeanRanks26!$A$2:$H$303, 6, FALSE)</f>
        <v>0</v>
      </c>
      <c r="K188" s="11">
        <f>VLOOKUP($G188, SeanRanks26!$A$2:$H$303, 7, FALSE)</f>
        <v>0</v>
      </c>
      <c r="L188" s="11">
        <f t="shared" si="4"/>
        <v>17</v>
      </c>
      <c r="M188" s="11">
        <f>VLOOKUP($G188, '26 ADP Data'!$C$4:$Q$298, 10, FALSE)</f>
        <v>200</v>
      </c>
      <c r="N188" s="11" t="str">
        <f>VLOOKUP($G188, '26 ADP Data'!$C$4:$Q$298, 13, FALSE)</f>
        <v>-</v>
      </c>
      <c r="O188" s="11" t="e">
        <f t="shared" si="5"/>
        <v>#VALUE!</v>
      </c>
      <c r="P188" s="11">
        <f>VLOOKUP($G188, '26 ADP Data'!$C$4:$Q$298, 3, FALSE)</f>
        <v>154</v>
      </c>
      <c r="Q188" s="11">
        <f>VLOOKUP($G188, '26 ADP Data'!$C$4:$Q$298, 4, FALSE)</f>
        <v>150</v>
      </c>
      <c r="R188" s="11">
        <f>VLOOKUP($G188, '26 ADP Data'!$C$4:$Q$298, 6, FALSE)</f>
        <v>221</v>
      </c>
      <c r="S188" s="11">
        <f>VLOOKUP($G188, '26 ADP Data'!$C$4:$Q$298, 9, FALSE)</f>
        <v>134</v>
      </c>
      <c r="T188" s="11" t="str">
        <f>VLOOKUP($G188, '26 ADP Data'!$C$4:$Q$298, 8, FALSE)</f>
        <v>-</v>
      </c>
      <c r="U188" s="11">
        <f t="shared" si="6"/>
        <v>171</v>
      </c>
      <c r="V188" s="11">
        <f t="shared" si="7"/>
        <v>15</v>
      </c>
      <c r="W188" s="11"/>
      <c r="X188" s="11">
        <f>VLOOKUP($G188, SeanRanks26!$A$2:$K$303, 10, FALSE)-U188</f>
        <v>29</v>
      </c>
      <c r="Y188" s="25" t="str">
        <f>IF(VLOOKUP($G188, SeanRanks26!$A$2:$H$303, 8, FALSE)=0, "", VLOOKUP($G188, SeanRanks26!$A$2:$H$303, 8, FALSE))</f>
        <v/>
      </c>
    </row>
    <row r="189" spans="1:25" ht="14.25" customHeight="1" x14ac:dyDescent="0.25">
      <c r="A189" s="11"/>
      <c r="B189" s="11">
        <f t="shared" si="3"/>
        <v>21</v>
      </c>
      <c r="C189" s="11" t="s">
        <v>148</v>
      </c>
      <c r="D189" s="11"/>
      <c r="E189" s="23"/>
      <c r="F189" s="11" t="str">
        <f>VLOOKUP($G189, SeanRanks26!$A$2:$H$303, 5, FALSE)</f>
        <v>Yes</v>
      </c>
      <c r="G189" s="11" t="s">
        <v>539</v>
      </c>
      <c r="H189" s="11" t="str">
        <f>VLOOKUP($G189, '26 ADP Data'!$C$4:$Q$298, 2, FALSE)</f>
        <v>ATL</v>
      </c>
      <c r="I189" s="11" t="str">
        <f>VLOOKUP(G189, '26 ADP Data'!$C$4:$R$496, 16, FALSE)</f>
        <v>WR</v>
      </c>
      <c r="J189" s="11" t="str">
        <f>VLOOKUP($G189, SeanRanks26!$A$2:$H$303, 6, FALSE)</f>
        <v>WR5</v>
      </c>
      <c r="K189" s="11">
        <f>VLOOKUP($G189, SeanRanks26!$A$2:$H$303, 7, FALSE)</f>
        <v>66</v>
      </c>
      <c r="L189" s="11">
        <f t="shared" si="4"/>
        <v>18</v>
      </c>
      <c r="M189" s="11">
        <f>VLOOKUP($G189, '26 ADP Data'!$C$4:$Q$298, 10, FALSE)</f>
        <v>212</v>
      </c>
      <c r="N189" s="11">
        <f>VLOOKUP($G189, '26 ADP Data'!$C$4:$Q$298, 13, FALSE)</f>
        <v>201</v>
      </c>
      <c r="O189" s="11">
        <f t="shared" si="5"/>
        <v>11</v>
      </c>
      <c r="P189" s="11" t="str">
        <f>VLOOKUP($G189, '26 ADP Data'!$C$4:$Q$298, 3, FALSE)</f>
        <v>-</v>
      </c>
      <c r="Q189" s="11" t="str">
        <f>VLOOKUP($G189, '26 ADP Data'!$C$4:$Q$298, 4, FALSE)</f>
        <v>-</v>
      </c>
      <c r="R189" s="11">
        <f>VLOOKUP($G189, '26 ADP Data'!$C$4:$Q$298, 6, FALSE)</f>
        <v>251</v>
      </c>
      <c r="S189" s="11">
        <f>VLOOKUP($G189, '26 ADP Data'!$C$4:$Q$298, 9, FALSE)</f>
        <v>232</v>
      </c>
      <c r="T189" s="11" t="str">
        <f>VLOOKUP($G189, '26 ADP Data'!$C$4:$Q$298, 8, FALSE)</f>
        <v>-</v>
      </c>
      <c r="U189" s="11">
        <f t="shared" si="6"/>
        <v>224</v>
      </c>
      <c r="V189" s="11">
        <f t="shared" si="7"/>
        <v>19</v>
      </c>
      <c r="W189" s="11"/>
      <c r="X189" s="11">
        <f>VLOOKUP($G189, SeanRanks26!$A$2:$K$303, 10, FALSE)-U189</f>
        <v>-12</v>
      </c>
      <c r="Y189" s="25" t="str">
        <f>IF(VLOOKUP($G189, SeanRanks26!$A$2:$H$303, 8, FALSE)=0, "", VLOOKUP($G189, SeanRanks26!$A$2:$H$303, 8, FALSE))</f>
        <v>Rookie R3 Georgia</v>
      </c>
    </row>
    <row r="190" spans="1:25" ht="14.25" hidden="1" customHeight="1" x14ac:dyDescent="0.25">
      <c r="A190" s="11"/>
      <c r="B190" s="11">
        <f t="shared" si="3"/>
        <v>15</v>
      </c>
      <c r="C190" s="11" t="s">
        <v>148</v>
      </c>
      <c r="D190" s="11"/>
      <c r="E190" s="23"/>
      <c r="F190" s="11">
        <f>VLOOKUP($G190, SeanRanks26!$A$2:$H$303, 5, FALSE)</f>
        <v>0</v>
      </c>
      <c r="G190" s="11" t="s">
        <v>446</v>
      </c>
      <c r="H190" s="11" t="str">
        <f>VLOOKUP($G190, '26 ADP Data'!$C$4:$Q$298, 2, FALSE)</f>
        <v>NYJ</v>
      </c>
      <c r="I190" s="11" t="str">
        <f>VLOOKUP(G190, '26 ADP Data'!$C$4:$R$496, 16, FALSE)</f>
        <v>RB</v>
      </c>
      <c r="J190" s="11">
        <f>VLOOKUP($G190, SeanRanks26!$A$2:$H$303, 6, FALSE)</f>
        <v>0</v>
      </c>
      <c r="K190" s="11">
        <f>VLOOKUP($G190, SeanRanks26!$A$2:$H$303, 7, FALSE)</f>
        <v>0</v>
      </c>
      <c r="L190" s="11">
        <f t="shared" si="4"/>
        <v>14</v>
      </c>
      <c r="M190" s="11">
        <f>VLOOKUP($G190, '26 ADP Data'!$C$4:$Q$298, 10, FALSE)</f>
        <v>164</v>
      </c>
      <c r="N190" s="11">
        <f>VLOOKUP($G190, '26 ADP Data'!$C$4:$Q$298, 13, FALSE)</f>
        <v>179</v>
      </c>
      <c r="O190" s="11">
        <f t="shared" si="5"/>
        <v>-15</v>
      </c>
      <c r="P190" s="11">
        <f>VLOOKUP($G190, '26 ADP Data'!$C$4:$Q$298, 3, FALSE)</f>
        <v>179</v>
      </c>
      <c r="Q190" s="11" t="str">
        <f>VLOOKUP($G190, '26 ADP Data'!$C$4:$Q$298, 4, FALSE)</f>
        <v>-</v>
      </c>
      <c r="R190" s="11">
        <f>VLOOKUP($G190, '26 ADP Data'!$C$4:$Q$298, 6, FALSE)</f>
        <v>159</v>
      </c>
      <c r="S190" s="11">
        <f>VLOOKUP($G190, '26 ADP Data'!$C$4:$Q$298, 9, FALSE)</f>
        <v>186</v>
      </c>
      <c r="T190" s="11" t="str">
        <f>VLOOKUP($G190, '26 ADP Data'!$C$4:$Q$298, 8, FALSE)</f>
        <v>-</v>
      </c>
      <c r="U190" s="11">
        <f t="shared" si="6"/>
        <v>173</v>
      </c>
      <c r="V190" s="11">
        <f t="shared" si="7"/>
        <v>15</v>
      </c>
      <c r="W190" s="11"/>
      <c r="X190" s="11">
        <f>VLOOKUP($G190, SeanRanks26!$A$2:$K$303, 10, FALSE)-U190</f>
        <v>-9</v>
      </c>
      <c r="Y190" s="25" t="str">
        <f>IF(VLOOKUP($G190, SeanRanks26!$A$2:$H$303, 8, FALSE)=0, "", VLOOKUP($G190, SeanRanks26!$A$2:$H$303, 8, FALSE))</f>
        <v/>
      </c>
    </row>
    <row r="191" spans="1:25" ht="14.25" hidden="1" customHeight="1" x14ac:dyDescent="0.25">
      <c r="A191" s="11"/>
      <c r="B191" s="11">
        <f t="shared" si="3"/>
        <v>15</v>
      </c>
      <c r="C191" s="11" t="s">
        <v>148</v>
      </c>
      <c r="D191" s="11"/>
      <c r="E191" s="23"/>
      <c r="F191" s="11">
        <f>VLOOKUP($G191, SeanRanks26!$A$2:$H$303, 5, FALSE)</f>
        <v>0</v>
      </c>
      <c r="G191" s="11" t="s">
        <v>512</v>
      </c>
      <c r="H191" s="11" t="str">
        <f>VLOOKUP($G191, '26 ADP Data'!$C$4:$Q$298, 2, FALSE)</f>
        <v>MIN</v>
      </c>
      <c r="I191" s="11" t="str">
        <f>VLOOKUP(G191, '26 ADP Data'!$C$4:$R$496, 16, FALSE)</f>
        <v>DE</v>
      </c>
      <c r="J191" s="11">
        <f>VLOOKUP($G191, SeanRanks26!$A$2:$H$303, 6, FALSE)</f>
        <v>0</v>
      </c>
      <c r="K191" s="11">
        <f>VLOOKUP($G191, SeanRanks26!$A$2:$H$303, 7, FALSE)</f>
        <v>0</v>
      </c>
      <c r="L191" s="11">
        <f t="shared" si="4"/>
        <v>16</v>
      </c>
      <c r="M191" s="11">
        <f>VLOOKUP($G191, '26 ADP Data'!$C$4:$Q$298, 10, FALSE)</f>
        <v>189</v>
      </c>
      <c r="N191" s="11" t="str">
        <f>VLOOKUP($G191, '26 ADP Data'!$C$4:$Q$298, 13, FALSE)</f>
        <v>-</v>
      </c>
      <c r="O191" s="11" t="e">
        <f t="shared" si="5"/>
        <v>#VALUE!</v>
      </c>
      <c r="P191" s="11">
        <f>VLOOKUP($G191, '26 ADP Data'!$C$4:$Q$298, 3, FALSE)</f>
        <v>135</v>
      </c>
      <c r="Q191" s="11">
        <f>VLOOKUP($G191, '26 ADP Data'!$C$4:$Q$298, 4, FALSE)</f>
        <v>190</v>
      </c>
      <c r="R191" s="11">
        <f>VLOOKUP($G191, '26 ADP Data'!$C$4:$Q$298, 6, FALSE)</f>
        <v>229</v>
      </c>
      <c r="S191" s="11">
        <f>VLOOKUP($G191, '26 ADP Data'!$C$4:$Q$298, 9, FALSE)</f>
        <v>157</v>
      </c>
      <c r="T191" s="11" t="str">
        <f>VLOOKUP($G191, '26 ADP Data'!$C$4:$Q$298, 8, FALSE)</f>
        <v>-</v>
      </c>
      <c r="U191" s="11">
        <f t="shared" si="6"/>
        <v>180</v>
      </c>
      <c r="V191" s="11">
        <f t="shared" si="7"/>
        <v>16</v>
      </c>
      <c r="W191" s="11">
        <f>D191-V191</f>
        <v>-16</v>
      </c>
      <c r="X191" s="11">
        <f>VLOOKUP($G191, SeanRanks26!$A$2:$K$303, 10, FALSE)-U191</f>
        <v>9</v>
      </c>
      <c r="Y191" s="25" t="str">
        <f>IF(VLOOKUP($G191, SeanRanks26!$A$2:$H$303, 8, FALSE)=0, "", VLOOKUP($G191, SeanRanks26!$A$2:$H$303, 8, FALSE))</f>
        <v/>
      </c>
    </row>
    <row r="192" spans="1:25" ht="14.25" customHeight="1" x14ac:dyDescent="0.25">
      <c r="A192" s="11"/>
      <c r="B192" s="11">
        <f t="shared" si="3"/>
        <v>17</v>
      </c>
      <c r="C192" s="11" t="s">
        <v>148</v>
      </c>
      <c r="D192" s="11"/>
      <c r="E192" s="23"/>
      <c r="F192" s="11">
        <f>VLOOKUP($G192, SeanRanks26!$A$2:$H$303, 5, FALSE)</f>
        <v>0</v>
      </c>
      <c r="G192" s="11" t="s">
        <v>584</v>
      </c>
      <c r="H192" s="11" t="str">
        <f>VLOOKUP($G192, '26 ADP Data'!$C$4:$Q$298, 2, FALSE)</f>
        <v>MIA</v>
      </c>
      <c r="I192" s="11" t="str">
        <f>VLOOKUP(G192, '26 ADP Data'!$C$4:$R$496, 16, FALSE)</f>
        <v>WR</v>
      </c>
      <c r="J192" s="11" t="str">
        <f>VLOOKUP($G192, SeanRanks26!$A$2:$H$303, 6, FALSE)</f>
        <v>WR5</v>
      </c>
      <c r="K192" s="11">
        <f>VLOOKUP($G192, SeanRanks26!$A$2:$H$303, 7, FALSE)</f>
        <v>67</v>
      </c>
      <c r="L192" s="11">
        <f t="shared" si="4"/>
        <v>18</v>
      </c>
      <c r="M192" s="11">
        <f>VLOOKUP($G192, '26 ADP Data'!$C$4:$Q$298, 10, FALSE)</f>
        <v>206</v>
      </c>
      <c r="N192" s="11">
        <f>VLOOKUP($G192, '26 ADP Data'!$C$4:$Q$298, 13, FALSE)</f>
        <v>193</v>
      </c>
      <c r="O192" s="11">
        <f t="shared" si="5"/>
        <v>13</v>
      </c>
      <c r="P192" s="11" t="str">
        <f>VLOOKUP($G192, '26 ADP Data'!$C$4:$Q$298, 3, FALSE)</f>
        <v>-</v>
      </c>
      <c r="Q192" s="11" t="str">
        <f>VLOOKUP($G192, '26 ADP Data'!$C$4:$Q$298, 4, FALSE)</f>
        <v>-</v>
      </c>
      <c r="R192" s="11">
        <f>VLOOKUP($G192, '26 ADP Data'!$C$4:$Q$298, 6, FALSE)</f>
        <v>180</v>
      </c>
      <c r="S192" s="11">
        <f>VLOOKUP($G192, '26 ADP Data'!$C$4:$Q$298, 9, FALSE)</f>
        <v>215</v>
      </c>
      <c r="T192" s="11" t="str">
        <f>VLOOKUP($G192, '26 ADP Data'!$C$4:$Q$298, 8, FALSE)</f>
        <v>-</v>
      </c>
      <c r="U192" s="11">
        <f t="shared" si="6"/>
        <v>198</v>
      </c>
      <c r="V192" s="11">
        <f t="shared" si="7"/>
        <v>17</v>
      </c>
      <c r="W192" s="11"/>
      <c r="X192" s="11">
        <f>VLOOKUP($G192, SeanRanks26!$A$2:$K$303, 10, FALSE)-U192</f>
        <v>8</v>
      </c>
      <c r="Y192" s="25" t="str">
        <f>IF(VLOOKUP($G192, SeanRanks26!$A$2:$H$303, 8, FALSE)=0, "", VLOOKUP($G192, SeanRanks26!$A$2:$H$303, 8, FALSE))</f>
        <v>Rookie R3 Louisville</v>
      </c>
    </row>
    <row r="193" spans="1:25" ht="14.25" hidden="1" customHeight="1" x14ac:dyDescent="0.25">
      <c r="A193" s="11"/>
      <c r="B193" s="11">
        <f t="shared" si="3"/>
        <v>17</v>
      </c>
      <c r="C193" s="11" t="s">
        <v>148</v>
      </c>
      <c r="D193" s="11"/>
      <c r="E193" s="23"/>
      <c r="F193" s="11">
        <f>VLOOKUP($G193, SeanRanks26!$A$2:$H$303, 5, FALSE)</f>
        <v>0</v>
      </c>
      <c r="G193" s="11" t="s">
        <v>426</v>
      </c>
      <c r="H193" s="11" t="str">
        <f>VLOOKUP($G193, '26 ADP Data'!$C$4:$Q$298, 2, FALSE)</f>
        <v>SEA</v>
      </c>
      <c r="I193" s="11" t="str">
        <f>VLOOKUP(G193, '26 ADP Data'!$C$4:$R$496, 16, FALSE)</f>
        <v>TE</v>
      </c>
      <c r="J193" s="11">
        <f>VLOOKUP($G193, SeanRanks26!$A$2:$H$303, 6, FALSE)</f>
        <v>0</v>
      </c>
      <c r="K193" s="11">
        <f>VLOOKUP($G193, SeanRanks26!$A$2:$H$303, 7, FALSE)</f>
        <v>0</v>
      </c>
      <c r="L193" s="11">
        <f t="shared" si="4"/>
        <v>16</v>
      </c>
      <c r="M193" s="11">
        <f>VLOOKUP($G193, '26 ADP Data'!$C$4:$Q$298, 10, FALSE)</f>
        <v>183</v>
      </c>
      <c r="N193" s="11">
        <f>VLOOKUP($G193, '26 ADP Data'!$C$4:$Q$298, 13, FALSE)</f>
        <v>174</v>
      </c>
      <c r="O193" s="11">
        <f t="shared" si="5"/>
        <v>9</v>
      </c>
      <c r="P193" s="11">
        <f>VLOOKUP($G193, '26 ADP Data'!$C$4:$Q$298, 3, FALSE)</f>
        <v>201</v>
      </c>
      <c r="Q193" s="11">
        <f>VLOOKUP($G193, '26 ADP Data'!$C$4:$Q$298, 4, FALSE)</f>
        <v>211</v>
      </c>
      <c r="R193" s="11">
        <f>VLOOKUP($G193, '26 ADP Data'!$C$4:$Q$298, 6, FALSE)</f>
        <v>162</v>
      </c>
      <c r="S193" s="11">
        <f>VLOOKUP($G193, '26 ADP Data'!$C$4:$Q$298, 9, FALSE)</f>
        <v>196</v>
      </c>
      <c r="T193" s="11" t="str">
        <f>VLOOKUP($G193, '26 ADP Data'!$C$4:$Q$298, 8, FALSE)</f>
        <v>-</v>
      </c>
      <c r="U193" s="11">
        <f t="shared" si="6"/>
        <v>187</v>
      </c>
      <c r="V193" s="11">
        <f t="shared" si="7"/>
        <v>16</v>
      </c>
      <c r="W193" s="11"/>
      <c r="X193" s="11">
        <f>VLOOKUP($G193, SeanRanks26!$A$2:$K$303, 10, FALSE)-U193</f>
        <v>-4</v>
      </c>
      <c r="Y193" s="25" t="str">
        <f>IF(VLOOKUP($G193, SeanRanks26!$A$2:$H$303, 8, FALSE)=0, "", VLOOKUP($G193, SeanRanks26!$A$2:$H$303, 8, FALSE))</f>
        <v/>
      </c>
    </row>
    <row r="194" spans="1:25" ht="14.25" customHeight="1" x14ac:dyDescent="0.25">
      <c r="A194" s="11"/>
      <c r="B194" s="11">
        <f t="shared" si="3"/>
        <v>22</v>
      </c>
      <c r="C194" s="11" t="s">
        <v>148</v>
      </c>
      <c r="D194" s="11"/>
      <c r="E194" s="23"/>
      <c r="F194" s="11" t="str">
        <f>VLOOKUP($G194, SeanRanks26!$A$2:$H$303, 5, FALSE)</f>
        <v>Yes</v>
      </c>
      <c r="G194" s="11" t="s">
        <v>553</v>
      </c>
      <c r="H194" s="11" t="str">
        <f>VLOOKUP($G194, '26 ADP Data'!$C$4:$Q$298, 2, FALSE)</f>
        <v>WAS</v>
      </c>
      <c r="I194" s="11" t="str">
        <f>VLOOKUP(G194, '26 ADP Data'!$C$4:$R$496, 16, FALSE)</f>
        <v>WR</v>
      </c>
      <c r="J194" s="11" t="str">
        <f>VLOOKUP($G194, SeanRanks26!$A$2:$H$303, 6, FALSE)</f>
        <v>WR5</v>
      </c>
      <c r="K194" s="11">
        <f>VLOOKUP($G194, SeanRanks26!$A$2:$H$303, 7, FALSE)</f>
        <v>68</v>
      </c>
      <c r="L194" s="11">
        <f t="shared" si="4"/>
        <v>20</v>
      </c>
      <c r="M194" s="11">
        <f>VLOOKUP($G194, '26 ADP Data'!$C$4:$Q$298, 10, FALSE)</f>
        <v>238</v>
      </c>
      <c r="N194" s="11">
        <f>VLOOKUP($G194, '26 ADP Data'!$C$4:$Q$298, 13, FALSE)</f>
        <v>226</v>
      </c>
      <c r="O194" s="11">
        <f t="shared" si="5"/>
        <v>12</v>
      </c>
      <c r="P194" s="11" t="str">
        <f>VLOOKUP($G194, '26 ADP Data'!$C$4:$Q$298, 3, FALSE)</f>
        <v>-</v>
      </c>
      <c r="Q194" s="11" t="str">
        <f>VLOOKUP($G194, '26 ADP Data'!$C$4:$Q$298, 4, FALSE)</f>
        <v>-</v>
      </c>
      <c r="R194" s="11">
        <f>VLOOKUP($G194, '26 ADP Data'!$C$4:$Q$298, 6, FALSE)</f>
        <v>261</v>
      </c>
      <c r="S194" s="11">
        <f>VLOOKUP($G194, '26 ADP Data'!$C$4:$Q$298, 9, FALSE)</f>
        <v>243</v>
      </c>
      <c r="T194" s="11" t="str">
        <f>VLOOKUP($G194, '26 ADP Data'!$C$4:$Q$298, 8, FALSE)</f>
        <v>-</v>
      </c>
      <c r="U194" s="11">
        <f t="shared" si="6"/>
        <v>242</v>
      </c>
      <c r="V194" s="11">
        <f t="shared" si="7"/>
        <v>21</v>
      </c>
      <c r="W194" s="11"/>
      <c r="X194" s="11">
        <f>VLOOKUP($G194, SeanRanks26!$A$2:$K$303, 10, FALSE)-U194</f>
        <v>-4</v>
      </c>
      <c r="Y194" s="25" t="str">
        <f>IF(VLOOKUP($G194, SeanRanks26!$A$2:$H$303, 8, FALSE)=0, "", VLOOKUP($G194, SeanRanks26!$A$2:$H$303, 8, FALSE))</f>
        <v>Rookie R3 - Clemson</v>
      </c>
    </row>
    <row r="195" spans="1:25" ht="14.25" customHeight="1" x14ac:dyDescent="0.25">
      <c r="A195" s="11"/>
      <c r="B195" s="11">
        <f t="shared" si="3"/>
        <v>19</v>
      </c>
      <c r="C195" s="11" t="s">
        <v>148</v>
      </c>
      <c r="D195" s="11"/>
      <c r="E195" s="23"/>
      <c r="F195" s="11">
        <f>VLOOKUP($G195, SeanRanks26!$A$2:$H$303, 5, FALSE)</f>
        <v>0</v>
      </c>
      <c r="G195" s="11" t="s">
        <v>549</v>
      </c>
      <c r="H195" s="11" t="str">
        <f>VLOOKUP($G195, '26 ADP Data'!$C$4:$Q$298, 2, FALSE)</f>
        <v>TB</v>
      </c>
      <c r="I195" s="11" t="str">
        <f>VLOOKUP(G195, '26 ADP Data'!$C$4:$R$496, 16, FALSE)</f>
        <v>WR</v>
      </c>
      <c r="J195" s="11" t="str">
        <f>VLOOKUP($G195, SeanRanks26!$A$2:$H$303, 6, FALSE)</f>
        <v>WR5</v>
      </c>
      <c r="K195" s="11">
        <f>VLOOKUP($G195, SeanRanks26!$A$2:$H$303, 7, FALSE)</f>
        <v>69</v>
      </c>
      <c r="L195" s="11">
        <f t="shared" si="4"/>
        <v>21</v>
      </c>
      <c r="M195" s="11">
        <f>VLOOKUP($G195, '26 ADP Data'!$C$4:$Q$298, 10, FALSE)</f>
        <v>241</v>
      </c>
      <c r="N195" s="11">
        <f>VLOOKUP($G195, '26 ADP Data'!$C$4:$Q$298, 13, FALSE)</f>
        <v>197</v>
      </c>
      <c r="O195" s="11">
        <f t="shared" si="5"/>
        <v>44</v>
      </c>
      <c r="P195" s="11" t="str">
        <f>VLOOKUP($G195, '26 ADP Data'!$C$4:$Q$298, 3, FALSE)</f>
        <v>-</v>
      </c>
      <c r="Q195" s="11" t="str">
        <f>VLOOKUP($G195, '26 ADP Data'!$C$4:$Q$298, 4, FALSE)</f>
        <v>-</v>
      </c>
      <c r="R195" s="11">
        <f>VLOOKUP($G195, '26 ADP Data'!$C$4:$Q$298, 6, FALSE)</f>
        <v>209</v>
      </c>
      <c r="S195" s="11">
        <f>VLOOKUP($G195, '26 ADP Data'!$C$4:$Q$298, 9, FALSE)</f>
        <v>245</v>
      </c>
      <c r="T195" s="11" t="str">
        <f>VLOOKUP($G195, '26 ADP Data'!$C$4:$Q$298, 8, FALSE)</f>
        <v>-</v>
      </c>
      <c r="U195" s="11">
        <f t="shared" si="6"/>
        <v>223</v>
      </c>
      <c r="V195" s="11">
        <f t="shared" si="7"/>
        <v>19</v>
      </c>
      <c r="W195" s="11"/>
      <c r="X195" s="11">
        <f>VLOOKUP($G195, SeanRanks26!$A$2:$K$303, 10, FALSE)-U195</f>
        <v>18</v>
      </c>
      <c r="Y195" s="25" t="str">
        <f>IF(VLOOKUP($G195, SeanRanks26!$A$2:$H$303, 8, FALSE)=0, "", VLOOKUP($G195, SeanRanks26!$A$2:$H$303, 8, FALSE))</f>
        <v>Rookie R3 Georgia State</v>
      </c>
    </row>
    <row r="196" spans="1:25" ht="14.25" customHeight="1" x14ac:dyDescent="0.25">
      <c r="A196" s="11"/>
      <c r="B196" s="11">
        <f t="shared" si="3"/>
        <v>18</v>
      </c>
      <c r="C196" s="11" t="s">
        <v>148</v>
      </c>
      <c r="D196" s="11"/>
      <c r="E196" s="23"/>
      <c r="F196" s="11">
        <f>VLOOKUP($G196, SeanRanks26!$A$2:$H$303, 5, FALSE)</f>
        <v>0</v>
      </c>
      <c r="G196" s="11" t="s">
        <v>458</v>
      </c>
      <c r="H196" s="11" t="str">
        <f>VLOOKUP($G196, '26 ADP Data'!$C$4:$Q$298, 2, FALSE)</f>
        <v>MIN</v>
      </c>
      <c r="I196" s="11" t="str">
        <f>VLOOKUP(G196, '26 ADP Data'!$C$4:$R$496, 16, FALSE)</f>
        <v>WR</v>
      </c>
      <c r="J196" s="11" t="str">
        <f>VLOOKUP($G196, SeanRanks26!$A$2:$H$303, 6, FALSE)</f>
        <v>WR5</v>
      </c>
      <c r="K196" s="11">
        <f>VLOOKUP($G196, SeanRanks26!$A$2:$H$303, 7, FALSE)</f>
        <v>70</v>
      </c>
      <c r="L196" s="11">
        <f t="shared" si="4"/>
        <v>18</v>
      </c>
      <c r="M196" s="11">
        <f>VLOOKUP($G196, '26 ADP Data'!$C$4:$Q$298, 10, FALSE)</f>
        <v>207</v>
      </c>
      <c r="N196" s="11">
        <f>VLOOKUP($G196, '26 ADP Data'!$C$4:$Q$298, 13, FALSE)</f>
        <v>176</v>
      </c>
      <c r="O196" s="11">
        <f t="shared" si="5"/>
        <v>31</v>
      </c>
      <c r="P196" s="11">
        <f>VLOOKUP($G196, '26 ADP Data'!$C$4:$Q$298, 3, FALSE)</f>
        <v>212</v>
      </c>
      <c r="Q196" s="11" t="str">
        <f>VLOOKUP($G196, '26 ADP Data'!$C$4:$Q$298, 4, FALSE)</f>
        <v>-</v>
      </c>
      <c r="R196" s="11">
        <f>VLOOKUP($G196, '26 ADP Data'!$C$4:$Q$298, 6, FALSE)</f>
        <v>201</v>
      </c>
      <c r="S196" s="11">
        <f>VLOOKUP($G196, '26 ADP Data'!$C$4:$Q$298, 9, FALSE)</f>
        <v>213</v>
      </c>
      <c r="T196" s="11" t="str">
        <f>VLOOKUP($G196, '26 ADP Data'!$C$4:$Q$298, 8, FALSE)</f>
        <v>-</v>
      </c>
      <c r="U196" s="11">
        <f t="shared" si="6"/>
        <v>201</v>
      </c>
      <c r="V196" s="11">
        <f t="shared" si="7"/>
        <v>17</v>
      </c>
      <c r="W196" s="11"/>
      <c r="X196" s="11">
        <f>VLOOKUP($G196, SeanRanks26!$A$2:$K$303, 10, FALSE)-U196</f>
        <v>6</v>
      </c>
      <c r="Y196" s="25" t="str">
        <f>IF(VLOOKUP($G196, SeanRanks26!$A$2:$H$303, 8, FALSE)=0, "", VLOOKUP($G196, SeanRanks26!$A$2:$H$303, 8, FALSE))</f>
        <v/>
      </c>
    </row>
    <row r="197" spans="1:25" ht="14.25" hidden="1" customHeight="1" x14ac:dyDescent="0.25">
      <c r="A197" s="11"/>
      <c r="B197" s="11">
        <f t="shared" si="3"/>
        <v>16</v>
      </c>
      <c r="C197" s="11" t="s">
        <v>148</v>
      </c>
      <c r="D197" s="11"/>
      <c r="E197" s="23"/>
      <c r="F197" s="11">
        <f>VLOOKUP($G197, SeanRanks26!$A$2:$H$303, 5, FALSE)</f>
        <v>0</v>
      </c>
      <c r="G197" s="11" t="s">
        <v>506</v>
      </c>
      <c r="H197" s="11" t="str">
        <f>VLOOKUP($G197, '26 ADP Data'!$C$4:$Q$298, 2, FALSE)</f>
        <v>BUF</v>
      </c>
      <c r="I197" s="11" t="str">
        <f>VLOOKUP(G197, '26 ADP Data'!$C$4:$R$496, 16, FALSE)</f>
        <v>RB</v>
      </c>
      <c r="J197" s="11">
        <f>VLOOKUP($G197, SeanRanks26!$A$2:$H$303, 6, FALSE)</f>
        <v>0</v>
      </c>
      <c r="K197" s="11">
        <f>VLOOKUP($G197, SeanRanks26!$A$2:$H$303, 7, FALSE)</f>
        <v>0</v>
      </c>
      <c r="L197" s="11">
        <f t="shared" si="4"/>
        <v>14</v>
      </c>
      <c r="M197" s="11">
        <f>VLOOKUP($G197, '26 ADP Data'!$C$4:$Q$298, 10, FALSE)</f>
        <v>159</v>
      </c>
      <c r="N197" s="11">
        <f>VLOOKUP($G197, '26 ADP Data'!$C$4:$Q$298, 13, FALSE)</f>
        <v>186</v>
      </c>
      <c r="O197" s="11">
        <f t="shared" si="5"/>
        <v>-27</v>
      </c>
      <c r="P197" s="11" t="str">
        <f>VLOOKUP($G197, '26 ADP Data'!$C$4:$Q$298, 3, FALSE)</f>
        <v>-</v>
      </c>
      <c r="Q197" s="11" t="str">
        <f>VLOOKUP($G197, '26 ADP Data'!$C$4:$Q$298, 4, FALSE)</f>
        <v>-</v>
      </c>
      <c r="R197" s="11">
        <f>VLOOKUP($G197, '26 ADP Data'!$C$4:$Q$298, 6, FALSE)</f>
        <v>163</v>
      </c>
      <c r="S197" s="11">
        <f>VLOOKUP($G197, '26 ADP Data'!$C$4:$Q$298, 9, FALSE)</f>
        <v>205</v>
      </c>
      <c r="T197" s="11" t="str">
        <f>VLOOKUP($G197, '26 ADP Data'!$C$4:$Q$298, 8, FALSE)</f>
        <v>-</v>
      </c>
      <c r="U197" s="11">
        <f t="shared" si="6"/>
        <v>178</v>
      </c>
      <c r="V197" s="11">
        <f t="shared" si="7"/>
        <v>15</v>
      </c>
      <c r="W197" s="11"/>
      <c r="X197" s="11">
        <f>VLOOKUP($G197, SeanRanks26!$A$2:$K$303, 10, FALSE)-U197</f>
        <v>-19</v>
      </c>
      <c r="Y197" s="25" t="str">
        <f>IF(VLOOKUP($G197, SeanRanks26!$A$2:$H$303, 8, FALSE)=0, "", VLOOKUP($G197, SeanRanks26!$A$2:$H$303, 8, FALSE))</f>
        <v/>
      </c>
    </row>
    <row r="198" spans="1:25" ht="14.25" customHeight="1" x14ac:dyDescent="0.25">
      <c r="A198" s="11"/>
      <c r="B198" s="11">
        <f t="shared" si="3"/>
        <v>15</v>
      </c>
      <c r="C198" s="11" t="s">
        <v>148</v>
      </c>
      <c r="D198" s="11"/>
      <c r="E198" s="23"/>
      <c r="F198" s="11">
        <f>VLOOKUP($G198, SeanRanks26!$A$2:$H$303, 5, FALSE)</f>
        <v>0</v>
      </c>
      <c r="G198" s="11" t="s">
        <v>456</v>
      </c>
      <c r="H198" s="11" t="str">
        <f>VLOOKUP($G198, '26 ADP Data'!$C$4:$Q$298, 2, FALSE)</f>
        <v>JAX</v>
      </c>
      <c r="I198" s="11" t="str">
        <f>VLOOKUP(G198, '26 ADP Data'!$C$4:$R$496, 16, FALSE)</f>
        <v>WR</v>
      </c>
      <c r="J198" s="11" t="str">
        <f>VLOOKUP($G198, SeanRanks26!$A$2:$H$303, 6, FALSE)</f>
        <v>WR5</v>
      </c>
      <c r="K198" s="11">
        <f>VLOOKUP($G198, SeanRanks26!$A$2:$H$303, 7, FALSE)</f>
        <v>71</v>
      </c>
      <c r="L198" s="11">
        <f t="shared" si="4"/>
        <v>16</v>
      </c>
      <c r="M198" s="11">
        <f>VLOOKUP($G198, '26 ADP Data'!$C$4:$Q$298, 10, FALSE)</f>
        <v>187</v>
      </c>
      <c r="N198" s="11">
        <f>VLOOKUP($G198, '26 ADP Data'!$C$4:$Q$298, 13, FALSE)</f>
        <v>163</v>
      </c>
      <c r="O198" s="11">
        <f t="shared" si="5"/>
        <v>24</v>
      </c>
      <c r="P198" s="11" t="str">
        <f>VLOOKUP($G198, '26 ADP Data'!$C$4:$Q$298, 3, FALSE)</f>
        <v>-</v>
      </c>
      <c r="Q198" s="11">
        <f>VLOOKUP($G198, '26 ADP Data'!$C$4:$Q$298, 4, FALSE)</f>
        <v>112</v>
      </c>
      <c r="R198" s="11">
        <f>VLOOKUP($G198, '26 ADP Data'!$C$4:$Q$298, 6, FALSE)</f>
        <v>225</v>
      </c>
      <c r="S198" s="11">
        <f>VLOOKUP($G198, '26 ADP Data'!$C$4:$Q$298, 9, FALSE)</f>
        <v>188</v>
      </c>
      <c r="T198" s="11" t="str">
        <f>VLOOKUP($G198, '26 ADP Data'!$C$4:$Q$298, 8, FALSE)</f>
        <v>-</v>
      </c>
      <c r="U198" s="11">
        <f t="shared" si="6"/>
        <v>175</v>
      </c>
      <c r="V198" s="11">
        <f t="shared" si="7"/>
        <v>15</v>
      </c>
      <c r="W198" s="11">
        <f>D198-V198</f>
        <v>-15</v>
      </c>
      <c r="X198" s="11">
        <f>VLOOKUP($G198, SeanRanks26!$A$2:$K$303, 10, FALSE)-U198</f>
        <v>12</v>
      </c>
      <c r="Y198" s="25" t="str">
        <f>IF(VLOOKUP($G198, SeanRanks26!$A$2:$H$303, 8, FALSE)=0, "", VLOOKUP($G198, SeanRanks26!$A$2:$H$303, 8, FALSE))</f>
        <v/>
      </c>
    </row>
    <row r="199" spans="1:25" ht="14.25" hidden="1" customHeight="1" x14ac:dyDescent="0.25">
      <c r="A199" s="11"/>
      <c r="B199" s="11">
        <f t="shared" si="3"/>
        <v>19</v>
      </c>
      <c r="C199" s="11" t="s">
        <v>148</v>
      </c>
      <c r="D199" s="11"/>
      <c r="E199" s="23"/>
      <c r="F199" s="11">
        <f>VLOOKUP($G199, SeanRanks26!$A$2:$H$303, 5, FALSE)</f>
        <v>0</v>
      </c>
      <c r="G199" s="11" t="s">
        <v>460</v>
      </c>
      <c r="H199" s="11" t="str">
        <f>VLOOKUP($G199, '26 ADP Data'!$C$4:$Q$298, 2, FALSE)</f>
        <v>TEN</v>
      </c>
      <c r="I199" s="11" t="str">
        <f>VLOOKUP(G199, '26 ADP Data'!$C$4:$R$496, 16, FALSE)</f>
        <v>QB</v>
      </c>
      <c r="J199" s="11">
        <f>VLOOKUP($G199, SeanRanks26!$A$2:$H$303, 6, FALSE)</f>
        <v>0</v>
      </c>
      <c r="K199" s="11">
        <f>VLOOKUP($G199, SeanRanks26!$A$2:$H$303, 7, FALSE)</f>
        <v>0</v>
      </c>
      <c r="L199" s="11">
        <f t="shared" si="4"/>
        <v>16</v>
      </c>
      <c r="M199" s="11">
        <f>VLOOKUP($G199, '26 ADP Data'!$C$4:$Q$298, 10, FALSE)</f>
        <v>185</v>
      </c>
      <c r="N199" s="11">
        <f>VLOOKUP($G199, '26 ADP Data'!$C$4:$Q$298, 13, FALSE)</f>
        <v>161</v>
      </c>
      <c r="O199" s="11">
        <f t="shared" si="5"/>
        <v>24</v>
      </c>
      <c r="P199" s="11" t="str">
        <f>VLOOKUP($G199, '26 ADP Data'!$C$4:$Q$298, 3, FALSE)</f>
        <v>-</v>
      </c>
      <c r="Q199" s="11">
        <f>VLOOKUP($G199, '26 ADP Data'!$C$4:$Q$298, 4, FALSE)</f>
        <v>198</v>
      </c>
      <c r="R199" s="11">
        <f>VLOOKUP($G199, '26 ADP Data'!$C$4:$Q$298, 6, FALSE)</f>
        <v>220</v>
      </c>
      <c r="S199" s="11">
        <f>VLOOKUP($G199, '26 ADP Data'!$C$4:$Q$298, 9, FALSE)</f>
        <v>230</v>
      </c>
      <c r="T199" s="11" t="str">
        <f>VLOOKUP($G199, '26 ADP Data'!$C$4:$Q$298, 8, FALSE)</f>
        <v>-</v>
      </c>
      <c r="U199" s="11">
        <f t="shared" si="6"/>
        <v>198</v>
      </c>
      <c r="V199" s="11">
        <f t="shared" si="7"/>
        <v>17</v>
      </c>
      <c r="W199" s="11"/>
      <c r="X199" s="11">
        <f>VLOOKUP($G199, SeanRanks26!$A$2:$K$303, 10, FALSE)-U199</f>
        <v>-13</v>
      </c>
      <c r="Y199" s="25" t="str">
        <f>IF(VLOOKUP($G199, SeanRanks26!$A$2:$H$303, 8, FALSE)=0, "", VLOOKUP($G199, SeanRanks26!$A$2:$H$303, 8, FALSE))</f>
        <v/>
      </c>
    </row>
    <row r="200" spans="1:25" ht="14.25" hidden="1" customHeight="1" x14ac:dyDescent="0.25">
      <c r="A200" s="11"/>
      <c r="B200" s="11">
        <f t="shared" si="3"/>
        <v>21</v>
      </c>
      <c r="C200" s="11" t="s">
        <v>148</v>
      </c>
      <c r="D200" s="11"/>
      <c r="E200" s="23"/>
      <c r="F200" s="11">
        <f>VLOOKUP($G200, SeanRanks26!$A$2:$H$303, 5, FALSE)</f>
        <v>0</v>
      </c>
      <c r="G200" s="11" t="s">
        <v>521</v>
      </c>
      <c r="H200" s="11" t="str">
        <f>VLOOKUP($G200, '26 ADP Data'!$C$4:$Q$298, 2, FALSE)</f>
        <v>PHI</v>
      </c>
      <c r="I200" s="11" t="str">
        <f>VLOOKUP(G200, '26 ADP Data'!$C$4:$R$496, 16, FALSE)</f>
        <v>RB</v>
      </c>
      <c r="J200" s="11">
        <f>VLOOKUP($G200, SeanRanks26!$A$2:$H$303, 6, FALSE)</f>
        <v>0</v>
      </c>
      <c r="K200" s="11">
        <f>VLOOKUP($G200, SeanRanks26!$A$2:$H$303, 7, FALSE)</f>
        <v>0</v>
      </c>
      <c r="L200" s="11">
        <f t="shared" si="4"/>
        <v>16</v>
      </c>
      <c r="M200" s="11" t="str">
        <f>VLOOKUP($G200, '26 ADP Data'!$C$4:$Q$298, 10, FALSE)</f>
        <v>-</v>
      </c>
      <c r="N200" s="11">
        <f>VLOOKUP($G200, '26 ADP Data'!$C$4:$Q$298, 13, FALSE)</f>
        <v>182</v>
      </c>
      <c r="O200" s="11" t="e">
        <f t="shared" si="5"/>
        <v>#VALUE!</v>
      </c>
      <c r="P200" s="11" t="str">
        <f>VLOOKUP($G200, '26 ADP Data'!$C$4:$Q$298, 3, FALSE)</f>
        <v>-</v>
      </c>
      <c r="Q200" s="11" t="str">
        <f>VLOOKUP($G200, '26 ADP Data'!$C$4:$Q$298, 4, FALSE)</f>
        <v>-</v>
      </c>
      <c r="R200" s="11">
        <f>VLOOKUP($G200, '26 ADP Data'!$C$4:$Q$298, 6, FALSE)</f>
        <v>248</v>
      </c>
      <c r="S200" s="11">
        <f>VLOOKUP($G200, '26 ADP Data'!$C$4:$Q$298, 9, FALSE)</f>
        <v>235</v>
      </c>
      <c r="T200" s="11" t="str">
        <f>VLOOKUP($G200, '26 ADP Data'!$C$4:$Q$298, 8, FALSE)</f>
        <v>-</v>
      </c>
      <c r="U200" s="11">
        <f t="shared" si="6"/>
        <v>221</v>
      </c>
      <c r="V200" s="11">
        <f t="shared" si="7"/>
        <v>19</v>
      </c>
      <c r="W200" s="11"/>
      <c r="X200" s="11" t="e">
        <f>VLOOKUP($G200, SeanRanks26!$A$2:$K$303, 10, FALSE)-U200</f>
        <v>#VALUE!</v>
      </c>
      <c r="Y200" s="25" t="s">
        <v>801</v>
      </c>
    </row>
    <row r="201" spans="1:25" ht="14.25" customHeight="1" x14ac:dyDescent="0.25">
      <c r="A201" s="11"/>
      <c r="B201" s="11">
        <f t="shared" si="3"/>
        <v>15</v>
      </c>
      <c r="C201" s="11" t="s">
        <v>148</v>
      </c>
      <c r="D201" s="11"/>
      <c r="E201" s="23"/>
      <c r="F201" s="11">
        <f>VLOOKUP($G201, SeanRanks26!$A$2:$H$303, 5, FALSE)</f>
        <v>0</v>
      </c>
      <c r="G201" s="11" t="s">
        <v>454</v>
      </c>
      <c r="H201" s="11" t="str">
        <f>VLOOKUP($G201, '26 ADP Data'!$C$4:$Q$298, 2, FALSE)</f>
        <v>HOU</v>
      </c>
      <c r="I201" s="11" t="str">
        <f>VLOOKUP(G201, '26 ADP Data'!$C$4:$R$496, 16, FALSE)</f>
        <v>WR</v>
      </c>
      <c r="J201" s="11" t="str">
        <f>VLOOKUP($G201, SeanRanks26!$A$2:$H$303, 6, FALSE)</f>
        <v>WR5</v>
      </c>
      <c r="K201" s="11">
        <f>VLOOKUP($G201, SeanRanks26!$A$2:$H$303, 7, FALSE)</f>
        <v>72</v>
      </c>
      <c r="L201" s="11">
        <f t="shared" si="4"/>
        <v>15</v>
      </c>
      <c r="M201" s="11">
        <f>VLOOKUP($G201, '26 ADP Data'!$C$4:$Q$298, 10, FALSE)</f>
        <v>177</v>
      </c>
      <c r="N201" s="11">
        <f>VLOOKUP($G201, '26 ADP Data'!$C$4:$Q$298, 13, FALSE)</f>
        <v>175</v>
      </c>
      <c r="O201" s="11">
        <f t="shared" si="5"/>
        <v>2</v>
      </c>
      <c r="P201" s="11">
        <f>VLOOKUP($G201, '26 ADP Data'!$C$4:$Q$298, 3, FALSE)</f>
        <v>191</v>
      </c>
      <c r="Q201" s="11" t="str">
        <f>VLOOKUP($G201, '26 ADP Data'!$C$4:$Q$298, 4, FALSE)</f>
        <v>-</v>
      </c>
      <c r="R201" s="11">
        <f>VLOOKUP($G201, '26 ADP Data'!$C$4:$Q$298, 6, FALSE)</f>
        <v>167</v>
      </c>
      <c r="S201" s="11">
        <f>VLOOKUP($G201, '26 ADP Data'!$C$4:$Q$298, 9, FALSE)</f>
        <v>177</v>
      </c>
      <c r="T201" s="11" t="str">
        <f>VLOOKUP($G201, '26 ADP Data'!$C$4:$Q$298, 8, FALSE)</f>
        <v>-</v>
      </c>
      <c r="U201" s="11">
        <f t="shared" si="6"/>
        <v>177</v>
      </c>
      <c r="V201" s="11">
        <f t="shared" si="7"/>
        <v>15</v>
      </c>
      <c r="W201" s="11"/>
      <c r="X201" s="11">
        <f>VLOOKUP($G201, SeanRanks26!$A$2:$K$303, 10, FALSE)-U201</f>
        <v>0</v>
      </c>
      <c r="Y201" s="25" t="str">
        <f>IF(VLOOKUP($G201, SeanRanks26!$A$2:$H$303, 8, FALSE)=0, "", VLOOKUP($G201, SeanRanks26!$A$2:$H$303, 8, FALSE))</f>
        <v/>
      </c>
    </row>
    <row r="202" spans="1:25" ht="14.25" customHeight="1" x14ac:dyDescent="0.25">
      <c r="A202" s="11"/>
      <c r="B202" s="11">
        <f t="shared" si="3"/>
        <v>13</v>
      </c>
      <c r="C202" s="11" t="s">
        <v>148</v>
      </c>
      <c r="D202" s="11"/>
      <c r="E202" s="23"/>
      <c r="F202" s="11">
        <f>VLOOKUP($G202, SeanRanks26!$A$2:$H$303, 5, FALSE)</f>
        <v>0</v>
      </c>
      <c r="G202" s="11" t="s">
        <v>358</v>
      </c>
      <c r="H202" s="11" t="str">
        <f>VLOOKUP($G202, '26 ADP Data'!$C$4:$Q$298, 2, FALSE)</f>
        <v>CAR</v>
      </c>
      <c r="I202" s="11" t="str">
        <f>VLOOKUP(G202, '26 ADP Data'!$C$4:$R$496, 16, FALSE)</f>
        <v>WR</v>
      </c>
      <c r="J202" s="11">
        <f>VLOOKUP($G202, SeanRanks26!$A$2:$H$303, 6, FALSE)</f>
        <v>0</v>
      </c>
      <c r="K202" s="11">
        <f>VLOOKUP($G202, SeanRanks26!$A$2:$H$303, 7, FALSE)</f>
        <v>73</v>
      </c>
      <c r="L202" s="11">
        <f t="shared" si="4"/>
        <v>10</v>
      </c>
      <c r="M202" s="11">
        <f>VLOOKUP($G202, '26 ADP Data'!$C$4:$Q$298, 10, FALSE)</f>
        <v>113</v>
      </c>
      <c r="N202" s="11">
        <f>VLOOKUP($G202, '26 ADP Data'!$C$4:$Q$298, 13, FALSE)</f>
        <v>129</v>
      </c>
      <c r="O202" s="11">
        <f t="shared" si="5"/>
        <v>-16</v>
      </c>
      <c r="P202" s="11">
        <f>VLOOKUP($G202, '26 ADP Data'!$C$4:$Q$298, 3, FALSE)</f>
        <v>142</v>
      </c>
      <c r="Q202" s="11">
        <f>VLOOKUP($G202, '26 ADP Data'!$C$4:$Q$298, 4, FALSE)</f>
        <v>152</v>
      </c>
      <c r="R202" s="11">
        <f>VLOOKUP($G202, '26 ADP Data'!$C$4:$Q$298, 6, FALSE)</f>
        <v>137</v>
      </c>
      <c r="S202" s="11">
        <f>VLOOKUP($G202, '26 ADP Data'!$C$4:$Q$298, 9, FALSE)</f>
        <v>145</v>
      </c>
      <c r="T202" s="11" t="str">
        <f>VLOOKUP($G202, '26 ADP Data'!$C$4:$Q$298, 8, FALSE)</f>
        <v>-</v>
      </c>
      <c r="U202" s="11">
        <f t="shared" si="6"/>
        <v>136</v>
      </c>
      <c r="V202" s="11">
        <f t="shared" si="7"/>
        <v>12</v>
      </c>
      <c r="W202" s="11"/>
      <c r="X202" s="11">
        <f>VLOOKUP($G202, SeanRanks26!$A$2:$K$303, 10, FALSE)-U202</f>
        <v>-23</v>
      </c>
      <c r="Y202" s="25" t="str">
        <f>IF(VLOOKUP($G202, SeanRanks26!$A$2:$H$303, 8, FALSE)=0, "", VLOOKUP($G202, SeanRanks26!$A$2:$H$303, 8, FALSE))</f>
        <v/>
      </c>
    </row>
    <row r="203" spans="1:25" ht="14.25" hidden="1" customHeight="1" x14ac:dyDescent="0.25">
      <c r="A203" s="11"/>
      <c r="B203" s="11">
        <f t="shared" si="3"/>
        <v>19</v>
      </c>
      <c r="C203" s="11" t="s">
        <v>148</v>
      </c>
      <c r="D203" s="11"/>
      <c r="E203" s="23"/>
      <c r="F203" s="11">
        <f>VLOOKUP($G203, SeanRanks26!$A$2:$H$303, 5, FALSE)</f>
        <v>0</v>
      </c>
      <c r="G203" s="11" t="s">
        <v>467</v>
      </c>
      <c r="H203" s="11" t="str">
        <f>VLOOKUP($G203, '26 ADP Data'!$C$4:$Q$298, 2, FALSE)</f>
        <v>CAR</v>
      </c>
      <c r="I203" s="11" t="str">
        <f>VLOOKUP(G203, '26 ADP Data'!$C$4:$R$496, 16, FALSE)</f>
        <v>QB</v>
      </c>
      <c r="J203" s="11">
        <f>VLOOKUP($G203, SeanRanks26!$A$2:$H$303, 6, FALSE)</f>
        <v>0</v>
      </c>
      <c r="K203" s="11">
        <f>VLOOKUP($G203, SeanRanks26!$A$2:$H$303, 7, FALSE)</f>
        <v>0</v>
      </c>
      <c r="L203" s="11">
        <f t="shared" si="4"/>
        <v>16</v>
      </c>
      <c r="M203" s="11">
        <f>VLOOKUP($G203, '26 ADP Data'!$C$4:$Q$298, 10, FALSE)</f>
        <v>182</v>
      </c>
      <c r="N203" s="11">
        <f>VLOOKUP($G203, '26 ADP Data'!$C$4:$Q$298, 13, FALSE)</f>
        <v>166</v>
      </c>
      <c r="O203" s="11">
        <f t="shared" si="5"/>
        <v>16</v>
      </c>
      <c r="P203" s="11" t="str">
        <f>VLOOKUP($G203, '26 ADP Data'!$C$4:$Q$298, 3, FALSE)</f>
        <v>-</v>
      </c>
      <c r="Q203" s="11">
        <f>VLOOKUP($G203, '26 ADP Data'!$C$4:$Q$298, 4, FALSE)</f>
        <v>185</v>
      </c>
      <c r="R203" s="11">
        <f>VLOOKUP($G203, '26 ADP Data'!$C$4:$Q$298, 6, FALSE)</f>
        <v>233</v>
      </c>
      <c r="S203" s="11">
        <f>VLOOKUP($G203, '26 ADP Data'!$C$4:$Q$298, 9, FALSE)</f>
        <v>237</v>
      </c>
      <c r="T203" s="11" t="str">
        <f>VLOOKUP($G203, '26 ADP Data'!$C$4:$Q$298, 8, FALSE)</f>
        <v>-</v>
      </c>
      <c r="U203" s="11">
        <f t="shared" si="6"/>
        <v>200</v>
      </c>
      <c r="V203" s="11">
        <f t="shared" si="7"/>
        <v>17</v>
      </c>
      <c r="W203" s="11"/>
      <c r="X203" s="11">
        <f>VLOOKUP($G203, SeanRanks26!$A$2:$K$303, 10, FALSE)-U203</f>
        <v>-18</v>
      </c>
      <c r="Y203" s="25" t="str">
        <f>IF(VLOOKUP($G203, SeanRanks26!$A$2:$H$303, 8, FALSE)=0, "", VLOOKUP($G203, SeanRanks26!$A$2:$H$303, 8, FALSE))</f>
        <v/>
      </c>
    </row>
    <row r="204" spans="1:25" ht="14.25" hidden="1" customHeight="1" x14ac:dyDescent="0.25">
      <c r="A204" s="11"/>
      <c r="B204" s="11">
        <f t="shared" si="3"/>
        <v>16</v>
      </c>
      <c r="C204" s="11" t="s">
        <v>148</v>
      </c>
      <c r="D204" s="11"/>
      <c r="E204" s="23"/>
      <c r="F204" s="11">
        <f>VLOOKUP($G204, SeanRanks26!$A$2:$H$303, 5, FALSE)</f>
        <v>0</v>
      </c>
      <c r="G204" s="11" t="s">
        <v>452</v>
      </c>
      <c r="H204" s="11" t="str">
        <f>VLOOKUP($G204, '26 ADP Data'!$C$4:$Q$298, 2, FALSE)</f>
        <v>SF</v>
      </c>
      <c r="I204" s="11" t="str">
        <f>VLOOKUP(G204, '26 ADP Data'!$C$4:$R$496, 16, FALSE)</f>
        <v>RB</v>
      </c>
      <c r="J204" s="11" t="str">
        <f>VLOOKUP($G204, SeanRanks26!$A$2:$H$303, 6, FALSE)</f>
        <v>RB4</v>
      </c>
      <c r="K204" s="11">
        <f>VLOOKUP($G204, SeanRanks26!$A$2:$H$303, 7, FALSE)</f>
        <v>53</v>
      </c>
      <c r="L204" s="11">
        <f t="shared" si="4"/>
        <v>15</v>
      </c>
      <c r="M204" s="11">
        <f>VLOOKUP($G204, '26 ADP Data'!$C$4:$Q$298, 10, FALSE)</f>
        <v>169</v>
      </c>
      <c r="N204" s="11">
        <f>VLOOKUP($G204, '26 ADP Data'!$C$4:$Q$298, 13, FALSE)</f>
        <v>184</v>
      </c>
      <c r="O204" s="11">
        <f t="shared" si="5"/>
        <v>-15</v>
      </c>
      <c r="P204" s="11">
        <f>VLOOKUP($G204, '26 ADP Data'!$C$4:$Q$298, 3, FALSE)</f>
        <v>163</v>
      </c>
      <c r="Q204" s="11">
        <f>VLOOKUP($G204, '26 ADP Data'!$C$4:$Q$298, 4, FALSE)</f>
        <v>250</v>
      </c>
      <c r="R204" s="11">
        <f>VLOOKUP($G204, '26 ADP Data'!$C$4:$Q$298, 6, FALSE)</f>
        <v>151</v>
      </c>
      <c r="S204" s="11">
        <f>VLOOKUP($G204, '26 ADP Data'!$C$4:$Q$298, 9, FALSE)</f>
        <v>161</v>
      </c>
      <c r="T204" s="11" t="str">
        <f>VLOOKUP($G204, '26 ADP Data'!$C$4:$Q$298, 8, FALSE)</f>
        <v>-</v>
      </c>
      <c r="U204" s="11">
        <f t="shared" si="6"/>
        <v>179</v>
      </c>
      <c r="V204" s="11">
        <f t="shared" si="7"/>
        <v>15</v>
      </c>
      <c r="W204" s="11"/>
      <c r="X204" s="11">
        <f>VLOOKUP($G204, SeanRanks26!$A$2:$K$303, 10, FALSE)-U204</f>
        <v>-10</v>
      </c>
      <c r="Y204" s="25" t="str">
        <f>IF(VLOOKUP($G204, SeanRanks26!$A$2:$H$303, 8, FALSE)=0, "", VLOOKUP($G204, SeanRanks26!$A$2:$H$303, 8, FALSE))</f>
        <v>Rookie R3 - Indiana</v>
      </c>
    </row>
    <row r="205" spans="1:25" ht="14.25" customHeight="1" x14ac:dyDescent="0.25">
      <c r="A205" s="11"/>
      <c r="B205" s="11">
        <f t="shared" si="3"/>
        <v>10</v>
      </c>
      <c r="C205" s="11" t="s">
        <v>148</v>
      </c>
      <c r="D205" s="11"/>
      <c r="E205" s="23"/>
      <c r="F205" s="11" t="str">
        <f>VLOOKUP($G205, SeanRanks26!$A$2:$H$303, 5, FALSE)</f>
        <v>No</v>
      </c>
      <c r="G205" s="11" t="s">
        <v>302</v>
      </c>
      <c r="H205" s="11" t="str">
        <f>VLOOKUP($G205, '26 ADP Data'!$C$4:$Q$298, 2, FALSE)</f>
        <v>TEN</v>
      </c>
      <c r="I205" s="11" t="str">
        <f>VLOOKUP(G205, '26 ADP Data'!$C$4:$R$496, 16, FALSE)</f>
        <v>WR</v>
      </c>
      <c r="J205" s="11">
        <f>VLOOKUP($G205, SeanRanks26!$A$2:$H$303, 6, FALSE)</f>
        <v>0</v>
      </c>
      <c r="K205" s="11">
        <f>VLOOKUP($G205, SeanRanks26!$A$2:$H$303, 7, FALSE)</f>
        <v>74</v>
      </c>
      <c r="L205" s="11">
        <f t="shared" si="4"/>
        <v>10</v>
      </c>
      <c r="M205" s="11">
        <f>VLOOKUP($G205, '26 ADP Data'!$C$4:$Q$298, 10, FALSE)</f>
        <v>109</v>
      </c>
      <c r="N205" s="11">
        <f>VLOOKUP($G205, '26 ADP Data'!$C$4:$Q$298, 13, FALSE)</f>
        <v>116</v>
      </c>
      <c r="O205" s="11">
        <f t="shared" si="5"/>
        <v>-7</v>
      </c>
      <c r="P205" s="11">
        <f>VLOOKUP($G205, '26 ADP Data'!$C$4:$Q$298, 3, FALSE)</f>
        <v>114</v>
      </c>
      <c r="Q205" s="11">
        <f>VLOOKUP($G205, '26 ADP Data'!$C$4:$Q$298, 4, FALSE)</f>
        <v>104</v>
      </c>
      <c r="R205" s="11">
        <f>VLOOKUP($G205, '26 ADP Data'!$C$4:$Q$298, 6, FALSE)</f>
        <v>111</v>
      </c>
      <c r="S205" s="11">
        <f>VLOOKUP($G205, '26 ADP Data'!$C$4:$Q$298, 9, FALSE)</f>
        <v>120</v>
      </c>
      <c r="T205" s="11" t="str">
        <f>VLOOKUP($G205, '26 ADP Data'!$C$4:$Q$298, 8, FALSE)</f>
        <v>-</v>
      </c>
      <c r="U205" s="11">
        <f t="shared" si="6"/>
        <v>112</v>
      </c>
      <c r="V205" s="11">
        <f t="shared" si="7"/>
        <v>10</v>
      </c>
      <c r="W205" s="11"/>
      <c r="X205" s="11">
        <f>VLOOKUP($G205, SeanRanks26!$A$2:$K$303, 10, FALSE)-U205</f>
        <v>-3</v>
      </c>
      <c r="Y205" s="25" t="str">
        <f>IF(VLOOKUP($G205, SeanRanks26!$A$2:$H$303, 8, FALSE)=0, "", VLOOKUP($G205, SeanRanks26!$A$2:$H$303, 8, FALSE))</f>
        <v/>
      </c>
    </row>
    <row r="206" spans="1:25" ht="14.25" hidden="1" customHeight="1" x14ac:dyDescent="0.25">
      <c r="A206" s="11"/>
      <c r="B206" s="11">
        <f t="shared" si="3"/>
        <v>16</v>
      </c>
      <c r="C206" s="11" t="s">
        <v>148</v>
      </c>
      <c r="D206" s="11"/>
      <c r="E206" s="23"/>
      <c r="F206" s="11">
        <f>VLOOKUP($G206, SeanRanks26!$A$2:$H$303, 5, FALSE)</f>
        <v>0</v>
      </c>
      <c r="G206" s="11" t="s">
        <v>516</v>
      </c>
      <c r="H206" s="11" t="str">
        <f>VLOOKUP($G206, '26 ADP Data'!$C$4:$Q$298, 2, FALSE)</f>
        <v>JAX</v>
      </c>
      <c r="I206" s="11" t="str">
        <f>VLOOKUP(G206, '26 ADP Data'!$C$4:$R$496, 16, FALSE)</f>
        <v>DE</v>
      </c>
      <c r="J206" s="11">
        <f>VLOOKUP($G206, SeanRanks26!$A$2:$H$303, 6, FALSE)</f>
        <v>0</v>
      </c>
      <c r="K206" s="11">
        <f>VLOOKUP($G206, SeanRanks26!$A$2:$H$303, 7, FALSE)</f>
        <v>0</v>
      </c>
      <c r="L206" s="11">
        <f t="shared" si="4"/>
        <v>17</v>
      </c>
      <c r="M206" s="11">
        <f>VLOOKUP($G206, '26 ADP Data'!$C$4:$Q$298, 10, FALSE)</f>
        <v>198</v>
      </c>
      <c r="N206" s="11" t="str">
        <f>VLOOKUP($G206, '26 ADP Data'!$C$4:$Q$298, 13, FALSE)</f>
        <v>-</v>
      </c>
      <c r="O206" s="11" t="e">
        <f t="shared" si="5"/>
        <v>#VALUE!</v>
      </c>
      <c r="P206" s="11">
        <f>VLOOKUP($G206, '26 ADP Data'!$C$4:$Q$298, 3, FALSE)</f>
        <v>168</v>
      </c>
      <c r="Q206" s="11">
        <f>VLOOKUP($G206, '26 ADP Data'!$C$4:$Q$298, 4, FALSE)</f>
        <v>177</v>
      </c>
      <c r="R206" s="11">
        <f>VLOOKUP($G206, '26 ADP Data'!$C$4:$Q$298, 6, FALSE)</f>
        <v>218</v>
      </c>
      <c r="S206" s="11">
        <f>VLOOKUP($G206, '26 ADP Data'!$C$4:$Q$298, 9, FALSE)</f>
        <v>158</v>
      </c>
      <c r="T206" s="11" t="str">
        <f>VLOOKUP($G206, '26 ADP Data'!$C$4:$Q$298, 8, FALSE)</f>
        <v>-</v>
      </c>
      <c r="U206" s="11">
        <f t="shared" si="6"/>
        <v>183</v>
      </c>
      <c r="V206" s="11">
        <f t="shared" si="7"/>
        <v>16</v>
      </c>
      <c r="W206" s="11"/>
      <c r="X206" s="11">
        <f>VLOOKUP($G206, SeanRanks26!$A$2:$K$303, 10, FALSE)-U206</f>
        <v>15</v>
      </c>
      <c r="Y206" s="25" t="str">
        <f>IF(VLOOKUP($G206, SeanRanks26!$A$2:$H$303, 8, FALSE)=0, "", VLOOKUP($G206, SeanRanks26!$A$2:$H$303, 8, FALSE))</f>
        <v/>
      </c>
    </row>
    <row r="207" spans="1:25" ht="14.25" customHeight="1" x14ac:dyDescent="0.25">
      <c r="A207" s="11"/>
      <c r="B207" s="11">
        <f t="shared" si="3"/>
        <v>18</v>
      </c>
      <c r="C207" s="11" t="s">
        <v>148</v>
      </c>
      <c r="D207" s="11"/>
      <c r="E207" s="23"/>
      <c r="F207" s="11">
        <f>VLOOKUP($G207, SeanRanks26!$A$2:$H$303, 5, FALSE)</f>
        <v>0</v>
      </c>
      <c r="G207" s="11" t="s">
        <v>576</v>
      </c>
      <c r="H207" s="11" t="str">
        <f>VLOOKUP($G207, '26 ADP Data'!$C$4:$Q$298, 2, FALSE)</f>
        <v>DEN</v>
      </c>
      <c r="I207" s="11" t="str">
        <f>VLOOKUP(G207, '26 ADP Data'!$C$4:$R$496, 16, FALSE)</f>
        <v>WR</v>
      </c>
      <c r="J207" s="11">
        <f>VLOOKUP($G207, SeanRanks26!$A$2:$H$303, 6, FALSE)</f>
        <v>0</v>
      </c>
      <c r="K207" s="11">
        <f>VLOOKUP($G207, SeanRanks26!$A$2:$H$303, 7, FALSE)</f>
        <v>75</v>
      </c>
      <c r="L207" s="11">
        <f t="shared" si="4"/>
        <v>15</v>
      </c>
      <c r="M207" s="11">
        <f>VLOOKUP($G207, '26 ADP Data'!$C$4:$Q$298, 10, FALSE)</f>
        <v>171</v>
      </c>
      <c r="N207" s="11">
        <f>VLOOKUP($G207, '26 ADP Data'!$C$4:$Q$298, 13, FALSE)</f>
        <v>171</v>
      </c>
      <c r="O207" s="11">
        <f t="shared" si="5"/>
        <v>0</v>
      </c>
      <c r="P207" s="11" t="str">
        <f>VLOOKUP($G207, '26 ADP Data'!$C$4:$Q$298, 3, FALSE)</f>
        <v>-</v>
      </c>
      <c r="Q207" s="11" t="str">
        <f>VLOOKUP($G207, '26 ADP Data'!$C$4:$Q$298, 4, FALSE)</f>
        <v>-</v>
      </c>
      <c r="R207" s="11">
        <f>VLOOKUP($G207, '26 ADP Data'!$C$4:$Q$298, 6, FALSE)</f>
        <v>186</v>
      </c>
      <c r="S207" s="11">
        <f>VLOOKUP($G207, '26 ADP Data'!$C$4:$Q$298, 9, FALSE)</f>
        <v>226</v>
      </c>
      <c r="T207" s="11" t="str">
        <f>VLOOKUP($G207, '26 ADP Data'!$C$4:$Q$298, 8, FALSE)</f>
        <v>-</v>
      </c>
      <c r="U207" s="11">
        <f t="shared" si="6"/>
        <v>188</v>
      </c>
      <c r="V207" s="11">
        <f t="shared" si="7"/>
        <v>16</v>
      </c>
      <c r="W207" s="11"/>
      <c r="X207" s="11">
        <f>VLOOKUP($G207, SeanRanks26!$A$2:$K$303, 10, FALSE)-U207</f>
        <v>-17</v>
      </c>
      <c r="Y207" s="25" t="str">
        <f>IF(VLOOKUP($G207, SeanRanks26!$A$2:$H$303, 8, FALSE)=0, "", VLOOKUP($G207, SeanRanks26!$A$2:$H$303, 8, FALSE))</f>
        <v>2025 R3</v>
      </c>
    </row>
    <row r="208" spans="1:25" ht="14.25" customHeight="1" x14ac:dyDescent="0.25">
      <c r="A208" s="11"/>
      <c r="B208" s="11">
        <f t="shared" si="3"/>
        <v>24</v>
      </c>
      <c r="C208" s="11" t="s">
        <v>148</v>
      </c>
      <c r="D208" s="11"/>
      <c r="E208" s="23"/>
      <c r="F208" s="11">
        <f>VLOOKUP($G208, SeanRanks26!$A$2:$H$303, 5, FALSE)</f>
        <v>0</v>
      </c>
      <c r="G208" s="11" t="s">
        <v>686</v>
      </c>
      <c r="H208" s="11" t="str">
        <f>VLOOKUP($G208, '26 ADP Data'!$C$4:$Q$298, 2, FALSE)</f>
        <v>HOU</v>
      </c>
      <c r="I208" s="11" t="str">
        <f>VLOOKUP(G208, '26 ADP Data'!$C$4:$R$496, 16, FALSE)</f>
        <v>WR</v>
      </c>
      <c r="J208" s="11" t="str">
        <f>VLOOKUP($G208, SeanRanks26!$A$2:$H$303, 6, FALSE)</f>
        <v>WR4 - 1 - Path to WR2</v>
      </c>
      <c r="K208" s="11">
        <f>VLOOKUP($G208, SeanRanks26!$A$2:$H$303, 7, FALSE)</f>
        <v>999</v>
      </c>
      <c r="L208" s="11">
        <f t="shared" si="4"/>
        <v>16</v>
      </c>
      <c r="M208" s="11" t="str">
        <f>VLOOKUP($G208, '26 ADP Data'!$C$4:$Q$298, 10, FALSE)</f>
        <v>-</v>
      </c>
      <c r="N208" s="11" t="str">
        <f>VLOOKUP($G208, '26 ADP Data'!$C$4:$Q$298, 13, FALSE)</f>
        <v>-</v>
      </c>
      <c r="O208" s="11" t="e">
        <f t="shared" si="5"/>
        <v>#VALUE!</v>
      </c>
      <c r="P208" s="11" t="str">
        <f>VLOOKUP($G208, '26 ADP Data'!$C$4:$Q$298, 3, FALSE)</f>
        <v>-</v>
      </c>
      <c r="Q208" s="11">
        <f>VLOOKUP($G208, '26 ADP Data'!$C$4:$Q$298, 4, FALSE)</f>
        <v>296</v>
      </c>
      <c r="R208" s="11">
        <f>VLOOKUP($G208, '26 ADP Data'!$C$4:$Q$298, 6, FALSE)</f>
        <v>338</v>
      </c>
      <c r="S208" s="11">
        <f>VLOOKUP($G208, '26 ADP Data'!$C$4:$Q$298, 9, FALSE)</f>
        <v>214</v>
      </c>
      <c r="T208" s="11" t="str">
        <f>VLOOKUP($G208, '26 ADP Data'!$C$4:$Q$298, 8, FALSE)</f>
        <v>-</v>
      </c>
      <c r="U208" s="11">
        <f t="shared" si="6"/>
        <v>282</v>
      </c>
      <c r="V208" s="11">
        <f t="shared" si="7"/>
        <v>24</v>
      </c>
      <c r="W208" s="11"/>
      <c r="X208" s="11" t="e">
        <f>VLOOKUP($G208, SeanRanks26!$A$2:$K$303, 10, FALSE)-U208</f>
        <v>#VALUE!</v>
      </c>
      <c r="Y208" s="25" t="str">
        <f>IF(VLOOKUP($G208, SeanRanks26!$A$2:$H$303, 8, FALSE)=0, "", VLOOKUP($G208, SeanRanks26!$A$2:$H$303, 8, FALSE))</f>
        <v>2025 R2</v>
      </c>
    </row>
    <row r="209" spans="1:25" ht="14.25" customHeight="1" x14ac:dyDescent="0.25">
      <c r="A209" s="11"/>
      <c r="B209" s="11">
        <f t="shared" si="3"/>
        <v>22</v>
      </c>
      <c r="C209" s="11" t="s">
        <v>148</v>
      </c>
      <c r="D209" s="11"/>
      <c r="E209" s="23"/>
      <c r="F209" s="11">
        <f>VLOOKUP($G209, SeanRanks26!$A$2:$H$303, 5, FALSE)</f>
        <v>0</v>
      </c>
      <c r="G209" s="11" t="s">
        <v>190</v>
      </c>
      <c r="H209" s="11" t="str">
        <f>VLOOKUP($G209, '26 ADP Data'!$C$4:$Q$298, 2, FALSE)</f>
        <v>-</v>
      </c>
      <c r="I209" s="11" t="str">
        <f>VLOOKUP(G209, '26 ADP Data'!$C$4:$R$496, 16, FALSE)</f>
        <v>WR</v>
      </c>
      <c r="J209" s="11">
        <f>VLOOKUP($G209, SeanRanks26!$A$2:$H$303, 6, FALSE)</f>
        <v>0</v>
      </c>
      <c r="K209" s="11">
        <f>VLOOKUP($G209, SeanRanks26!$A$2:$H$303, 7, FALSE)</f>
        <v>999</v>
      </c>
      <c r="L209" s="11">
        <f t="shared" si="4"/>
        <v>16</v>
      </c>
      <c r="M209" s="11" t="str">
        <f>VLOOKUP($G209, '26 ADP Data'!$C$4:$Q$298, 10, FALSE)</f>
        <v>-</v>
      </c>
      <c r="N209" s="11">
        <f>VLOOKUP($G209, '26 ADP Data'!$C$4:$Q$298, 13, FALSE)</f>
        <v>244</v>
      </c>
      <c r="O209" s="11" t="e">
        <f t="shared" si="5"/>
        <v>#VALUE!</v>
      </c>
      <c r="P209" s="11" t="str">
        <f>VLOOKUP($G209, '26 ADP Data'!$C$4:$Q$298, 3, FALSE)</f>
        <v>-</v>
      </c>
      <c r="Q209" s="11">
        <f>VLOOKUP($G209, '26 ADP Data'!$C$4:$Q$298, 4, FALSE)</f>
        <v>229</v>
      </c>
      <c r="R209" s="11">
        <f>VLOOKUP($G209, '26 ADP Data'!$C$4:$Q$298, 6, FALSE)</f>
        <v>306</v>
      </c>
      <c r="S209" s="11">
        <f>VLOOKUP($G209, '26 ADP Data'!$C$4:$Q$298, 9, FALSE)</f>
        <v>234</v>
      </c>
      <c r="T209" s="11" t="str">
        <f>VLOOKUP($G209, '26 ADP Data'!$C$4:$Q$298, 8, FALSE)</f>
        <v>-</v>
      </c>
      <c r="U209" s="11">
        <f t="shared" si="6"/>
        <v>253</v>
      </c>
      <c r="V209" s="11">
        <f t="shared" si="7"/>
        <v>22</v>
      </c>
      <c r="W209" s="11"/>
      <c r="X209" s="11" t="e">
        <f>VLOOKUP($G209, SeanRanks26!$A$2:$K$303, 10, FALSE)-U209</f>
        <v>#VALUE!</v>
      </c>
      <c r="Y209" s="25" t="str">
        <f>IF(VLOOKUP($G209, SeanRanks26!$A$2:$H$303, 8, FALSE)=0, "", VLOOKUP($G209, SeanRanks26!$A$2:$H$303, 8, FALSE))</f>
        <v/>
      </c>
    </row>
    <row r="210" spans="1:25" ht="14.25" hidden="1" customHeight="1" x14ac:dyDescent="0.25">
      <c r="A210" s="11"/>
      <c r="B210" s="11"/>
      <c r="C210" s="11" t="s">
        <v>148</v>
      </c>
      <c r="D210" s="11"/>
      <c r="E210" s="23"/>
      <c r="F210" s="11">
        <f>VLOOKUP($G210, SeanRanks26!$A$2:$H$303, 5, FALSE)</f>
        <v>0</v>
      </c>
      <c r="G210" s="11" t="s">
        <v>519</v>
      </c>
      <c r="H210" s="11" t="str">
        <f>VLOOKUP($G210, '26 ADP Data'!$C$4:$Q$298, 2, FALSE)</f>
        <v>LAC</v>
      </c>
      <c r="I210" s="11" t="str">
        <f>VLOOKUP(G210, '26 ADP Data'!$C$4:$R$496, 16, FALSE)</f>
        <v>DE</v>
      </c>
      <c r="J210" s="11">
        <f>VLOOKUP($G210, SeanRanks26!$A$2:$H$303, 6, FALSE)</f>
        <v>0</v>
      </c>
      <c r="K210" s="11">
        <f>VLOOKUP($G210, SeanRanks26!$A$2:$H$303, 7, FALSE)</f>
        <v>0</v>
      </c>
      <c r="L210" s="11">
        <f t="shared" si="4"/>
        <v>20</v>
      </c>
      <c r="M210" s="11">
        <f>VLOOKUP($G210, '26 ADP Data'!$C$4:$Q$298, 10, FALSE)</f>
        <v>233</v>
      </c>
      <c r="N210" s="11" t="str">
        <f>VLOOKUP($G210, '26 ADP Data'!$C$4:$Q$298, 13, FALSE)</f>
        <v>-</v>
      </c>
      <c r="O210" s="11" t="e">
        <f t="shared" si="5"/>
        <v>#VALUE!</v>
      </c>
      <c r="P210" s="11">
        <f>VLOOKUP($G210, '26 ADP Data'!$C$4:$Q$298, 3, FALSE)</f>
        <v>166</v>
      </c>
      <c r="Q210" s="11">
        <f>VLOOKUP($G210, '26 ADP Data'!$C$4:$Q$298, 4, FALSE)</f>
        <v>170</v>
      </c>
      <c r="R210" s="11">
        <f>VLOOKUP($G210, '26 ADP Data'!$C$4:$Q$298, 6, FALSE)</f>
        <v>212</v>
      </c>
      <c r="S210" s="11">
        <f>VLOOKUP($G210, '26 ADP Data'!$C$4:$Q$298, 9, FALSE)</f>
        <v>156</v>
      </c>
      <c r="T210" s="11" t="str">
        <f>VLOOKUP($G210, '26 ADP Data'!$C$4:$Q$298, 8, FALSE)</f>
        <v>-</v>
      </c>
      <c r="U210" s="11">
        <f t="shared" si="6"/>
        <v>187</v>
      </c>
      <c r="V210" s="11">
        <f t="shared" si="7"/>
        <v>16</v>
      </c>
      <c r="W210" s="11"/>
      <c r="X210" s="11">
        <f>VLOOKUP($G210, SeanRanks26!$A$2:$K$303, 10, FALSE)-U210</f>
        <v>46</v>
      </c>
      <c r="Y210" s="25" t="str">
        <f>IF(VLOOKUP($G210, SeanRanks26!$A$2:$H$303, 8, FALSE)=0, "", VLOOKUP($G210, SeanRanks26!$A$2:$H$303, 8, FALSE))</f>
        <v/>
      </c>
    </row>
    <row r="211" spans="1:25" ht="14.25" customHeight="1" x14ac:dyDescent="0.25">
      <c r="A211" s="11"/>
      <c r="B211" s="11">
        <f t="shared" ref="B211:B279" si="8">IFERROR(INT(AVERAGE(P211:T211)/12)+1, INT(AVERAGE(M211)/12)+1)</f>
        <v>17</v>
      </c>
      <c r="C211" s="11" t="s">
        <v>148</v>
      </c>
      <c r="D211" s="11"/>
      <c r="E211" s="23"/>
      <c r="F211" s="11" t="e">
        <f>VLOOKUP($G211, SeanRanks26!$A$2:$H$303, 5, FALSE)</f>
        <v>#N/A</v>
      </c>
      <c r="G211" s="11" t="s">
        <v>448</v>
      </c>
      <c r="H211" s="11" t="str">
        <f>VLOOKUP($G211, '26 ADP Data'!$C$4:$Q$298, 2, FALSE)</f>
        <v>KC</v>
      </c>
      <c r="I211" s="11" t="str">
        <f>VLOOKUP(G211, '26 ADP Data'!$C$4:$R$496, 16, FALSE)</f>
        <v>WR</v>
      </c>
      <c r="J211" s="11" t="e">
        <f>VLOOKUP($G211, SeanRanks26!$A$2:$H$303, 6, FALSE)</f>
        <v>#N/A</v>
      </c>
      <c r="K211" s="11" t="e">
        <f>VLOOKUP($G211, SeanRanks26!$A$2:$H$303, 7, FALSE)</f>
        <v>#N/A</v>
      </c>
      <c r="L211" s="11">
        <f t="shared" si="4"/>
        <v>16</v>
      </c>
      <c r="M211" s="11">
        <f>VLOOKUP($G211, '26 ADP Data'!$C$4:$Q$298, 10, FALSE)</f>
        <v>180</v>
      </c>
      <c r="N211" s="11">
        <f>VLOOKUP($G211, '26 ADP Data'!$C$4:$Q$298, 13, FALSE)</f>
        <v>164</v>
      </c>
      <c r="O211" s="11">
        <f t="shared" si="5"/>
        <v>16</v>
      </c>
      <c r="P211" s="11" t="str">
        <f>VLOOKUP($G211, '26 ADP Data'!$C$4:$Q$298, 3, FALSE)</f>
        <v>-</v>
      </c>
      <c r="Q211" s="11">
        <f>VLOOKUP($G211, '26 ADP Data'!$C$4:$Q$298, 4, FALSE)</f>
        <v>233</v>
      </c>
      <c r="R211" s="11">
        <f>VLOOKUP($G211, '26 ADP Data'!$C$4:$Q$298, 6, FALSE)</f>
        <v>164</v>
      </c>
      <c r="S211" s="11">
        <f>VLOOKUP($G211, '26 ADP Data'!$C$4:$Q$298, 9, FALSE)</f>
        <v>182</v>
      </c>
      <c r="T211" s="11" t="str">
        <f>VLOOKUP($G211, '26 ADP Data'!$C$4:$Q$298, 8, FALSE)</f>
        <v>-</v>
      </c>
      <c r="U211" s="11">
        <f t="shared" si="6"/>
        <v>184</v>
      </c>
      <c r="V211" s="11">
        <f t="shared" si="7"/>
        <v>16</v>
      </c>
      <c r="W211" s="11"/>
      <c r="X211" s="11" t="e">
        <f>VLOOKUP($G211, SeanRanks26!$A$2:$K$303, 10, FALSE)-U211</f>
        <v>#N/A</v>
      </c>
      <c r="Y211" s="25" t="e">
        <f>IF(VLOOKUP($G211, SeanRanks26!$A$2:$H$303, 8, FALSE)=0, "", VLOOKUP($G211, SeanRanks26!$A$2:$H$303, 8, FALSE))</f>
        <v>#N/A</v>
      </c>
    </row>
    <row r="212" spans="1:25" ht="14.25" customHeight="1" x14ac:dyDescent="0.25">
      <c r="A212" s="11"/>
      <c r="B212" s="11">
        <f t="shared" si="8"/>
        <v>17</v>
      </c>
      <c r="C212" s="11" t="s">
        <v>148</v>
      </c>
      <c r="D212" s="11"/>
      <c r="E212" s="23"/>
      <c r="F212" s="11" t="e">
        <f>VLOOKUP($G212, SeanRanks26!$A$2:$H$303, 5, FALSE)</f>
        <v>#N/A</v>
      </c>
      <c r="G212" s="11" t="s">
        <v>580</v>
      </c>
      <c r="H212" s="11" t="str">
        <f>VLOOKUP($G212, '26 ADP Data'!$C$4:$Q$298, 2, FALSE)</f>
        <v>MIA</v>
      </c>
      <c r="I212" s="11" t="str">
        <f>VLOOKUP(G212, '26 ADP Data'!$C$4:$R$496, 16, FALSE)</f>
        <v>WR</v>
      </c>
      <c r="J212" s="11" t="e">
        <f>VLOOKUP($G212, SeanRanks26!$A$2:$H$303, 6, FALSE)</f>
        <v>#N/A</v>
      </c>
      <c r="K212" s="11" t="e">
        <f>VLOOKUP($G212, SeanRanks26!$A$2:$H$303, 7, FALSE)</f>
        <v>#N/A</v>
      </c>
      <c r="L212" s="11">
        <f t="shared" si="4"/>
        <v>15</v>
      </c>
      <c r="M212" s="11">
        <f>VLOOKUP($G212, '26 ADP Data'!$C$4:$Q$298, 10, FALSE)</f>
        <v>179</v>
      </c>
      <c r="N212" s="11">
        <f>VLOOKUP($G212, '26 ADP Data'!$C$4:$Q$298, 13, FALSE)</f>
        <v>177</v>
      </c>
      <c r="O212" s="11">
        <f t="shared" si="5"/>
        <v>2</v>
      </c>
      <c r="P212" s="11">
        <f>VLOOKUP($G212, '26 ADP Data'!$C$4:$Q$298, 3, FALSE)</f>
        <v>204</v>
      </c>
      <c r="Q212" s="11" t="str">
        <f>VLOOKUP($G212, '26 ADP Data'!$C$4:$Q$298, 4, FALSE)</f>
        <v>-</v>
      </c>
      <c r="R212" s="11">
        <f>VLOOKUP($G212, '26 ADP Data'!$C$4:$Q$298, 6, FALSE)</f>
        <v>174</v>
      </c>
      <c r="S212" s="11">
        <f>VLOOKUP($G212, '26 ADP Data'!$C$4:$Q$298, 9, FALSE)</f>
        <v>201</v>
      </c>
      <c r="T212" s="11" t="str">
        <f>VLOOKUP($G212, '26 ADP Data'!$C$4:$Q$298, 8, FALSE)</f>
        <v>-</v>
      </c>
      <c r="U212" s="11">
        <f t="shared" si="6"/>
        <v>187</v>
      </c>
      <c r="V212" s="11">
        <f t="shared" si="7"/>
        <v>16</v>
      </c>
      <c r="W212" s="11"/>
      <c r="X212" s="11" t="e">
        <f>VLOOKUP($G212, SeanRanks26!$A$2:$K$303, 10, FALSE)-U212</f>
        <v>#N/A</v>
      </c>
      <c r="Y212" s="25" t="e">
        <f>IF(VLOOKUP($G212, SeanRanks26!$A$2:$H$303, 8, FALSE)=0, "", VLOOKUP($G212, SeanRanks26!$A$2:$H$303, 8, FALSE))</f>
        <v>#N/A</v>
      </c>
    </row>
    <row r="213" spans="1:25" ht="14.25" hidden="1" customHeight="1" x14ac:dyDescent="0.25">
      <c r="A213" s="11"/>
      <c r="B213" s="11">
        <f t="shared" si="8"/>
        <v>15</v>
      </c>
      <c r="C213" s="11" t="s">
        <v>148</v>
      </c>
      <c r="D213" s="11"/>
      <c r="E213" s="23"/>
      <c r="F213" s="11" t="e">
        <f>VLOOKUP($G213, SeanRanks26!$A$2:$H$303, 5, FALSE)</f>
        <v>#N/A</v>
      </c>
      <c r="G213" s="11" t="s">
        <v>578</v>
      </c>
      <c r="H213" s="11" t="str">
        <f>VLOOKUP($G213, '26 ADP Data'!$C$4:$Q$298, 2, FALSE)</f>
        <v>DET</v>
      </c>
      <c r="I213" s="11" t="str">
        <f>VLOOKUP(G213, '26 ADP Data'!$C$4:$R$496, 16, FALSE)</f>
        <v>K-</v>
      </c>
      <c r="J213" s="11" t="e">
        <f>VLOOKUP($G213, SeanRanks26!$A$2:$H$303, 6, FALSE)</f>
        <v>#N/A</v>
      </c>
      <c r="K213" s="11" t="e">
        <f>VLOOKUP($G213, SeanRanks26!$A$2:$H$303, 7, FALSE)</f>
        <v>#N/A</v>
      </c>
      <c r="L213" s="11">
        <f t="shared" si="4"/>
        <v>20</v>
      </c>
      <c r="M213" s="11">
        <f>VLOOKUP($G213, '26 ADP Data'!$C$4:$Q$298, 10, FALSE)</f>
        <v>235</v>
      </c>
      <c r="N213" s="11" t="str">
        <f>VLOOKUP($G213, '26 ADP Data'!$C$4:$Q$298, 13, FALSE)</f>
        <v>-</v>
      </c>
      <c r="O213" s="11" t="e">
        <f t="shared" si="5"/>
        <v>#VALUE!</v>
      </c>
      <c r="P213" s="11">
        <f>VLOOKUP($G213, '26 ADP Data'!$C$4:$Q$298, 3, FALSE)</f>
        <v>170</v>
      </c>
      <c r="Q213" s="11">
        <f>VLOOKUP($G213, '26 ADP Data'!$C$4:$Q$298, 4, FALSE)</f>
        <v>156</v>
      </c>
      <c r="R213" s="11">
        <f>VLOOKUP($G213, '26 ADP Data'!$C$4:$Q$298, 6, FALSE)</f>
        <v>230</v>
      </c>
      <c r="S213" s="11">
        <f>VLOOKUP($G213, '26 ADP Data'!$C$4:$Q$298, 9, FALSE)</f>
        <v>154</v>
      </c>
      <c r="T213" s="11" t="str">
        <f>VLOOKUP($G213, '26 ADP Data'!$C$4:$Q$298, 8, FALSE)</f>
        <v>-</v>
      </c>
      <c r="U213" s="11">
        <f t="shared" si="6"/>
        <v>189</v>
      </c>
      <c r="V213" s="11">
        <f t="shared" si="7"/>
        <v>16</v>
      </c>
      <c r="W213" s="11"/>
      <c r="X213" s="11" t="e">
        <f>VLOOKUP($G213, SeanRanks26!$A$2:$K$303, 10, FALSE)-U213</f>
        <v>#N/A</v>
      </c>
      <c r="Y213" s="25" t="e">
        <f>IF(VLOOKUP($G213, SeanRanks26!$A$2:$H$303, 8, FALSE)=0, "", VLOOKUP($G213, SeanRanks26!$A$2:$H$303, 8, FALSE))</f>
        <v>#N/A</v>
      </c>
    </row>
    <row r="214" spans="1:25" ht="14.25" hidden="1" customHeight="1" x14ac:dyDescent="0.25">
      <c r="A214" s="11"/>
      <c r="B214" s="11">
        <f t="shared" si="8"/>
        <v>16</v>
      </c>
      <c r="C214" s="11" t="s">
        <v>148</v>
      </c>
      <c r="D214" s="11"/>
      <c r="E214" s="23"/>
      <c r="F214" s="11">
        <f>VLOOKUP($G214, SeanRanks26!$A$2:$H$303, 5, FALSE)</f>
        <v>0</v>
      </c>
      <c r="G214" s="11" t="s">
        <v>582</v>
      </c>
      <c r="H214" s="11" t="str">
        <f>VLOOKUP($G214, '26 ADP Data'!$C$4:$Q$298, 2, FALSE)</f>
        <v>SF</v>
      </c>
      <c r="I214" s="11" t="str">
        <f>VLOOKUP(G214, '26 ADP Data'!$C$4:$R$496, 16, FALSE)</f>
        <v>K-</v>
      </c>
      <c r="J214" s="11">
        <f>VLOOKUP($G214, SeanRanks26!$A$2:$H$303, 6, FALSE)</f>
        <v>0</v>
      </c>
      <c r="K214" s="11">
        <f>VLOOKUP($G214, SeanRanks26!$A$2:$H$303, 7, FALSE)</f>
        <v>0</v>
      </c>
      <c r="L214" s="11">
        <f t="shared" si="4"/>
        <v>19</v>
      </c>
      <c r="M214" s="11">
        <f>VLOOKUP($G214, '26 ADP Data'!$C$4:$Q$298, 10, FALSE)</f>
        <v>220</v>
      </c>
      <c r="N214" s="11" t="str">
        <f>VLOOKUP($G214, '26 ADP Data'!$C$4:$Q$298, 13, FALSE)</f>
        <v>-</v>
      </c>
      <c r="O214" s="11" t="e">
        <f t="shared" si="5"/>
        <v>#VALUE!</v>
      </c>
      <c r="P214" s="11">
        <f>VLOOKUP($G214, '26 ADP Data'!$C$4:$Q$298, 3, FALSE)</f>
        <v>187</v>
      </c>
      <c r="Q214" s="11">
        <f>VLOOKUP($G214, '26 ADP Data'!$C$4:$Q$298, 4, FALSE)</f>
        <v>140</v>
      </c>
      <c r="R214" s="11">
        <f>VLOOKUP($G214, '26 ADP Data'!$C$4:$Q$298, 6, FALSE)</f>
        <v>232</v>
      </c>
      <c r="S214" s="11">
        <f>VLOOKUP($G214, '26 ADP Data'!$C$4:$Q$298, 9, FALSE)</f>
        <v>175</v>
      </c>
      <c r="T214" s="11" t="str">
        <f>VLOOKUP($G214, '26 ADP Data'!$C$4:$Q$298, 8, FALSE)</f>
        <v>-</v>
      </c>
      <c r="U214" s="11">
        <f t="shared" si="6"/>
        <v>190</v>
      </c>
      <c r="V214" s="11">
        <f t="shared" si="7"/>
        <v>16</v>
      </c>
      <c r="W214" s="11"/>
      <c r="X214" s="11">
        <f>VLOOKUP($G214, SeanRanks26!$A$2:$K$303, 10, FALSE)-U214</f>
        <v>30</v>
      </c>
      <c r="Y214" s="25" t="str">
        <f>IF(VLOOKUP($G214, SeanRanks26!$A$2:$H$303, 8, FALSE)=0, "", VLOOKUP($G214, SeanRanks26!$A$2:$H$303, 8, FALSE))</f>
        <v/>
      </c>
    </row>
    <row r="215" spans="1:25" ht="14.25" hidden="1" customHeight="1" x14ac:dyDescent="0.25">
      <c r="A215" s="11"/>
      <c r="B215" s="11">
        <f t="shared" si="8"/>
        <v>16</v>
      </c>
      <c r="C215" s="11" t="s">
        <v>148</v>
      </c>
      <c r="D215" s="11"/>
      <c r="E215" s="23"/>
      <c r="F215" s="11" t="e">
        <f>VLOOKUP($G215, SeanRanks26!$A$2:$H$303, 5, FALSE)</f>
        <v>#N/A</v>
      </c>
      <c r="G215" s="11" t="s">
        <v>523</v>
      </c>
      <c r="H215" s="11" t="str">
        <f>VLOOKUP($G215, '26 ADP Data'!$C$4:$Q$298, 2, FALSE)</f>
        <v>DET</v>
      </c>
      <c r="I215" s="11" t="str">
        <f>VLOOKUP(G215, '26 ADP Data'!$C$4:$R$496, 16, FALSE)</f>
        <v>DE</v>
      </c>
      <c r="J215" s="11" t="e">
        <f>VLOOKUP($G215, SeanRanks26!$A$2:$H$303, 6, FALSE)</f>
        <v>#N/A</v>
      </c>
      <c r="K215" s="11" t="e">
        <f>VLOOKUP($G215, SeanRanks26!$A$2:$H$303, 7, FALSE)</f>
        <v>#N/A</v>
      </c>
      <c r="L215" s="11">
        <f t="shared" si="4"/>
        <v>20</v>
      </c>
      <c r="M215" s="11">
        <f>VLOOKUP($G215, '26 ADP Data'!$C$4:$Q$298, 10, FALSE)</f>
        <v>237</v>
      </c>
      <c r="N215" s="11" t="str">
        <f>VLOOKUP($G215, '26 ADP Data'!$C$4:$Q$298, 13, FALSE)</f>
        <v>-</v>
      </c>
      <c r="O215" s="11" t="e">
        <f t="shared" si="5"/>
        <v>#VALUE!</v>
      </c>
      <c r="P215" s="11">
        <f>VLOOKUP($G215, '26 ADP Data'!$C$4:$Q$298, 3, FALSE)</f>
        <v>182</v>
      </c>
      <c r="Q215" s="11">
        <f>VLOOKUP($G215, '26 ADP Data'!$C$4:$Q$298, 4, FALSE)</f>
        <v>153</v>
      </c>
      <c r="R215" s="11">
        <f>VLOOKUP($G215, '26 ADP Data'!$C$4:$Q$298, 6, FALSE)</f>
        <v>237</v>
      </c>
      <c r="S215" s="11">
        <f>VLOOKUP($G215, '26 ADP Data'!$C$4:$Q$298, 9, FALSE)</f>
        <v>173</v>
      </c>
      <c r="T215" s="11" t="str">
        <f>VLOOKUP($G215, '26 ADP Data'!$C$4:$Q$298, 8, FALSE)</f>
        <v>-</v>
      </c>
      <c r="U215" s="11">
        <f t="shared" si="6"/>
        <v>196</v>
      </c>
      <c r="V215" s="11">
        <f t="shared" si="7"/>
        <v>17</v>
      </c>
      <c r="W215" s="11"/>
      <c r="X215" s="11" t="e">
        <f>VLOOKUP($G215, SeanRanks26!$A$2:$K$303, 10, FALSE)-U215</f>
        <v>#N/A</v>
      </c>
      <c r="Y215" s="25" t="e">
        <f>IF(VLOOKUP($G215, SeanRanks26!$A$2:$H$303, 8, FALSE)=0, "", VLOOKUP($G215, SeanRanks26!$A$2:$H$303, 8, FALSE))</f>
        <v>#N/A</v>
      </c>
    </row>
    <row r="216" spans="1:25" ht="14.25" hidden="1" customHeight="1" x14ac:dyDescent="0.25">
      <c r="A216" s="11"/>
      <c r="B216" s="11">
        <f t="shared" si="8"/>
        <v>17</v>
      </c>
      <c r="C216" s="11" t="s">
        <v>148</v>
      </c>
      <c r="D216" s="11"/>
      <c r="E216" s="23"/>
      <c r="F216" s="11">
        <f>VLOOKUP($G216, SeanRanks26!$A$2:$H$303, 5, FALSE)</f>
        <v>0</v>
      </c>
      <c r="G216" s="11" t="s">
        <v>473</v>
      </c>
      <c r="H216" s="11" t="str">
        <f>VLOOKUP($G216, '26 ADP Data'!$C$4:$Q$298, 2, FALSE)</f>
        <v>MIA</v>
      </c>
      <c r="I216" s="11" t="str">
        <f>VLOOKUP(G216, '26 ADP Data'!$C$4:$R$496, 16, FALSE)</f>
        <v>TE</v>
      </c>
      <c r="J216" s="11">
        <f>VLOOKUP($G216, SeanRanks26!$A$2:$H$303, 6, FALSE)</f>
        <v>0</v>
      </c>
      <c r="K216" s="11">
        <f>VLOOKUP($G216, SeanRanks26!$A$2:$H$303, 7, FALSE)</f>
        <v>0</v>
      </c>
      <c r="L216" s="11">
        <f t="shared" si="4"/>
        <v>17</v>
      </c>
      <c r="M216" s="11">
        <f>VLOOKUP($G216, '26 ADP Data'!$C$4:$Q$298, 10, FALSE)</f>
        <v>193</v>
      </c>
      <c r="N216" s="11">
        <f>VLOOKUP($G216, '26 ADP Data'!$C$4:$Q$298, 13, FALSE)</f>
        <v>188</v>
      </c>
      <c r="O216" s="11">
        <f t="shared" si="5"/>
        <v>5</v>
      </c>
      <c r="P216" s="11">
        <f>VLOOKUP($G216, '26 ADP Data'!$C$4:$Q$298, 3, FALSE)</f>
        <v>198</v>
      </c>
      <c r="Q216" s="11" t="str">
        <f>VLOOKUP($G216, '26 ADP Data'!$C$4:$Q$298, 4, FALSE)</f>
        <v>-</v>
      </c>
      <c r="R216" s="11">
        <f>VLOOKUP($G216, '26 ADP Data'!$C$4:$Q$298, 6, FALSE)</f>
        <v>160</v>
      </c>
      <c r="S216" s="11">
        <f>VLOOKUP($G216, '26 ADP Data'!$C$4:$Q$298, 9, FALSE)</f>
        <v>251</v>
      </c>
      <c r="T216" s="11" t="str">
        <f>VLOOKUP($G216, '26 ADP Data'!$C$4:$Q$298, 8, FALSE)</f>
        <v>-</v>
      </c>
      <c r="U216" s="11">
        <f t="shared" si="6"/>
        <v>198</v>
      </c>
      <c r="V216" s="11">
        <f t="shared" si="7"/>
        <v>17</v>
      </c>
      <c r="W216" s="11"/>
      <c r="X216" s="11">
        <f>VLOOKUP($G216, SeanRanks26!$A$2:$K$303, 10, FALSE)-U216</f>
        <v>-5</v>
      </c>
      <c r="Y216" s="25" t="str">
        <f>IF(VLOOKUP($G216, SeanRanks26!$A$2:$H$303, 8, FALSE)=0, "", VLOOKUP($G216, SeanRanks26!$A$2:$H$303, 8, FALSE))</f>
        <v/>
      </c>
    </row>
    <row r="217" spans="1:25" ht="14.25" hidden="1" customHeight="1" x14ac:dyDescent="0.25">
      <c r="A217" s="11"/>
      <c r="B217" s="11">
        <f t="shared" si="8"/>
        <v>16</v>
      </c>
      <c r="C217" s="11" t="s">
        <v>148</v>
      </c>
      <c r="D217" s="11"/>
      <c r="E217" s="23"/>
      <c r="F217" s="11" t="e">
        <f>VLOOKUP($G217, SeanRanks26!$A$2:$H$303, 5, FALSE)</f>
        <v>#N/A</v>
      </c>
      <c r="G217" s="11" t="s">
        <v>636</v>
      </c>
      <c r="H217" s="11" t="str">
        <f>VLOOKUP($G217, '26 ADP Data'!$C$4:$Q$298, 2, FALSE)</f>
        <v>KC</v>
      </c>
      <c r="I217" s="11" t="str">
        <f>VLOOKUP(G217, '26 ADP Data'!$C$4:$R$496, 16, FALSE)</f>
        <v>K-</v>
      </c>
      <c r="J217" s="11" t="e">
        <f>VLOOKUP($G217, SeanRanks26!$A$2:$H$303, 6, FALSE)</f>
        <v>#N/A</v>
      </c>
      <c r="K217" s="11" t="e">
        <f>VLOOKUP($G217, SeanRanks26!$A$2:$H$303, 7, FALSE)</f>
        <v>#N/A</v>
      </c>
      <c r="L217" s="11">
        <f t="shared" si="4"/>
        <v>16</v>
      </c>
      <c r="M217" s="11" t="str">
        <f>VLOOKUP($G217, '26 ADP Data'!$C$4:$Q$298, 10, FALSE)</f>
        <v>-</v>
      </c>
      <c r="N217" s="11" t="str">
        <f>VLOOKUP($G217, '26 ADP Data'!$C$4:$Q$298, 13, FALSE)</f>
        <v>-</v>
      </c>
      <c r="O217" s="11" t="e">
        <f t="shared" si="5"/>
        <v>#VALUE!</v>
      </c>
      <c r="P217" s="11">
        <f>VLOOKUP($G217, '26 ADP Data'!$C$4:$Q$298, 3, FALSE)</f>
        <v>186</v>
      </c>
      <c r="Q217" s="11">
        <f>VLOOKUP($G217, '26 ADP Data'!$C$4:$Q$298, 4, FALSE)</f>
        <v>141</v>
      </c>
      <c r="R217" s="11">
        <f>VLOOKUP($G217, '26 ADP Data'!$C$4:$Q$298, 6, FALSE)</f>
        <v>257</v>
      </c>
      <c r="S217" s="11">
        <f>VLOOKUP($G217, '26 ADP Data'!$C$4:$Q$298, 9, FALSE)</f>
        <v>179</v>
      </c>
      <c r="T217" s="11" t="str">
        <f>VLOOKUP($G217, '26 ADP Data'!$C$4:$Q$298, 8, FALSE)</f>
        <v>-</v>
      </c>
      <c r="U217" s="11">
        <f t="shared" si="6"/>
        <v>190</v>
      </c>
      <c r="V217" s="11">
        <f t="shared" si="7"/>
        <v>16</v>
      </c>
      <c r="W217" s="11"/>
      <c r="X217" s="11" t="e">
        <f>VLOOKUP($G217, SeanRanks26!$A$2:$K$303, 10, FALSE)-U217</f>
        <v>#N/A</v>
      </c>
      <c r="Y217" s="25" t="s">
        <v>1148</v>
      </c>
    </row>
    <row r="218" spans="1:25" ht="14.25" hidden="1" customHeight="1" x14ac:dyDescent="0.25">
      <c r="A218" s="11"/>
      <c r="B218" s="11">
        <f t="shared" si="8"/>
        <v>18</v>
      </c>
      <c r="C218" s="11" t="s">
        <v>148</v>
      </c>
      <c r="D218" s="11"/>
      <c r="E218" s="23"/>
      <c r="F218" s="11">
        <f>VLOOKUP($G218, SeanRanks26!$A$2:$H$303, 5, FALSE)</f>
        <v>0</v>
      </c>
      <c r="G218" s="11" t="s">
        <v>543</v>
      </c>
      <c r="H218" s="11" t="str">
        <f>VLOOKUP($G218, '26 ADP Data'!$C$4:$Q$298, 2, FALSE)</f>
        <v>TEN</v>
      </c>
      <c r="I218" s="11" t="str">
        <f>VLOOKUP(G218, '26 ADP Data'!$C$4:$R$496, 16, FALSE)</f>
        <v>RB</v>
      </c>
      <c r="J218" s="11" t="str">
        <f>VLOOKUP($G218, SeanRanks26!$A$2:$H$303, 6, FALSE)</f>
        <v>RB4</v>
      </c>
      <c r="K218" s="11">
        <f>VLOOKUP($G218, SeanRanks26!$A$2:$H$303, 7, FALSE)</f>
        <v>47</v>
      </c>
      <c r="L218" s="11">
        <f t="shared" si="4"/>
        <v>18</v>
      </c>
      <c r="M218" s="11">
        <f>VLOOKUP($G218, '26 ADP Data'!$C$4:$Q$298, 10, FALSE)</f>
        <v>204</v>
      </c>
      <c r="N218" s="11">
        <f>VLOOKUP($G218, '26 ADP Data'!$C$4:$Q$298, 13, FALSE)</f>
        <v>213</v>
      </c>
      <c r="O218" s="11">
        <f t="shared" si="5"/>
        <v>-9</v>
      </c>
      <c r="P218" s="11" t="str">
        <f>VLOOKUP($G218, '26 ADP Data'!$C$4:$Q$298, 3, FALSE)</f>
        <v>-</v>
      </c>
      <c r="Q218" s="11" t="str">
        <f>VLOOKUP($G218, '26 ADP Data'!$C$4:$Q$298, 4, FALSE)</f>
        <v>-</v>
      </c>
      <c r="R218" s="11">
        <f>VLOOKUP($G218, '26 ADP Data'!$C$4:$Q$298, 6, FALSE)</f>
        <v>203</v>
      </c>
      <c r="S218" s="11">
        <f>VLOOKUP($G218, '26 ADP Data'!$C$4:$Q$298, 9, FALSE)</f>
        <v>212</v>
      </c>
      <c r="T218" s="11" t="str">
        <f>VLOOKUP($G218, '26 ADP Data'!$C$4:$Q$298, 8, FALSE)</f>
        <v>-</v>
      </c>
      <c r="U218" s="11">
        <f t="shared" si="6"/>
        <v>208</v>
      </c>
      <c r="V218" s="11">
        <f t="shared" si="7"/>
        <v>18</v>
      </c>
      <c r="W218" s="11"/>
      <c r="X218" s="11">
        <f>VLOOKUP($G218, SeanRanks26!$A$2:$K$303, 10, FALSE)-U218</f>
        <v>-4</v>
      </c>
      <c r="Y218" s="25" t="str">
        <f>IF(VLOOKUP($G218, SeanRanks26!$A$2:$H$303, 8, FALSE)=0, "", VLOOKUP($G218, SeanRanks26!$A$2:$H$303, 8, FALSE))</f>
        <v>Rookie R5 - PSU</v>
      </c>
    </row>
    <row r="219" spans="1:25" ht="14.25" hidden="1" customHeight="1" x14ac:dyDescent="0.25">
      <c r="A219" s="11"/>
      <c r="B219" s="11">
        <f t="shared" si="8"/>
        <v>18</v>
      </c>
      <c r="C219" s="11" t="s">
        <v>148</v>
      </c>
      <c r="D219" s="11"/>
      <c r="E219" s="23"/>
      <c r="F219" s="11">
        <f>VLOOKUP($G219, SeanRanks26!$A$2:$H$303, 5, FALSE)</f>
        <v>0</v>
      </c>
      <c r="G219" s="11" t="s">
        <v>532</v>
      </c>
      <c r="H219" s="11" t="str">
        <f>VLOOKUP($G219, '26 ADP Data'!$C$4:$Q$298, 2, FALSE)</f>
        <v>TB</v>
      </c>
      <c r="I219" s="11" t="str">
        <f>VLOOKUP(G219, '26 ADP Data'!$C$4:$R$496, 16, FALSE)</f>
        <v>TE</v>
      </c>
      <c r="J219" s="11">
        <f>VLOOKUP($G219, SeanRanks26!$A$2:$H$303, 6, FALSE)</f>
        <v>0</v>
      </c>
      <c r="K219" s="11">
        <f>VLOOKUP($G219, SeanRanks26!$A$2:$H$303, 7, FALSE)</f>
        <v>0</v>
      </c>
      <c r="L219" s="11">
        <f t="shared" si="4"/>
        <v>19</v>
      </c>
      <c r="M219" s="11">
        <f>VLOOKUP($G219, '26 ADP Data'!$C$4:$Q$298, 10, FALSE)</f>
        <v>223</v>
      </c>
      <c r="N219" s="11">
        <f>VLOOKUP($G219, '26 ADP Data'!$C$4:$Q$298, 13, FALSE)</f>
        <v>192</v>
      </c>
      <c r="O219" s="11">
        <f t="shared" si="5"/>
        <v>31</v>
      </c>
      <c r="P219" s="11">
        <f>VLOOKUP($G219, '26 ADP Data'!$C$4:$Q$298, 3, FALSE)</f>
        <v>193</v>
      </c>
      <c r="Q219" s="11" t="str">
        <f>VLOOKUP($G219, '26 ADP Data'!$C$4:$Q$298, 4, FALSE)</f>
        <v>-</v>
      </c>
      <c r="R219" s="11">
        <f>VLOOKUP($G219, '26 ADP Data'!$C$4:$Q$298, 6, FALSE)</f>
        <v>185</v>
      </c>
      <c r="S219" s="11">
        <f>VLOOKUP($G219, '26 ADP Data'!$C$4:$Q$298, 9, FALSE)</f>
        <v>257</v>
      </c>
      <c r="T219" s="11" t="str">
        <f>VLOOKUP($G219, '26 ADP Data'!$C$4:$Q$298, 8, FALSE)</f>
        <v>-</v>
      </c>
      <c r="U219" s="11">
        <f t="shared" si="6"/>
        <v>210</v>
      </c>
      <c r="V219" s="11">
        <f t="shared" si="7"/>
        <v>18</v>
      </c>
      <c r="W219" s="11"/>
      <c r="X219" s="11">
        <f>VLOOKUP($G219, SeanRanks26!$A$2:$K$303, 10, FALSE)-U219</f>
        <v>13</v>
      </c>
      <c r="Y219" s="25" t="str">
        <f>IF(VLOOKUP($G219, SeanRanks26!$A$2:$H$303, 8, FALSE)=0, "", VLOOKUP($G219, SeanRanks26!$A$2:$H$303, 8, FALSE))</f>
        <v/>
      </c>
    </row>
    <row r="220" spans="1:25" ht="14.25" hidden="1" customHeight="1" x14ac:dyDescent="0.25">
      <c r="A220" s="11"/>
      <c r="B220" s="11">
        <f t="shared" si="8"/>
        <v>18</v>
      </c>
      <c r="C220" s="11" t="s">
        <v>148</v>
      </c>
      <c r="D220" s="11"/>
      <c r="E220" s="23"/>
      <c r="F220" s="11">
        <f>VLOOKUP($G220, SeanRanks26!$A$2:$H$303, 5, FALSE)</f>
        <v>0</v>
      </c>
      <c r="G220" s="11" t="s">
        <v>482</v>
      </c>
      <c r="H220" s="11" t="str">
        <f>VLOOKUP($G220, '26 ADP Data'!$C$4:$Q$298, 2, FALSE)</f>
        <v>LV</v>
      </c>
      <c r="I220" s="11" t="str">
        <f>VLOOKUP(G220, '26 ADP Data'!$C$4:$R$496, 16, FALSE)</f>
        <v>QB</v>
      </c>
      <c r="J220" s="11">
        <f>VLOOKUP($G220, SeanRanks26!$A$2:$H$303, 6, FALSE)</f>
        <v>0</v>
      </c>
      <c r="K220" s="11">
        <f>VLOOKUP($G220, SeanRanks26!$A$2:$H$303, 7, FALSE)</f>
        <v>0</v>
      </c>
      <c r="L220" s="11">
        <f t="shared" si="4"/>
        <v>18</v>
      </c>
      <c r="M220" s="11">
        <f>VLOOKUP($G220, '26 ADP Data'!$C$4:$Q$298, 10, FALSE)</f>
        <v>214</v>
      </c>
      <c r="N220" s="11">
        <f>VLOOKUP($G220, '26 ADP Data'!$C$4:$Q$298, 13, FALSE)</f>
        <v>191</v>
      </c>
      <c r="O220" s="11">
        <f t="shared" si="5"/>
        <v>23</v>
      </c>
      <c r="P220" s="11" t="str">
        <f>VLOOKUP($G220, '26 ADP Data'!$C$4:$Q$298, 3, FALSE)</f>
        <v>-</v>
      </c>
      <c r="Q220" s="11">
        <f>VLOOKUP($G220, '26 ADP Data'!$C$4:$Q$298, 4, FALSE)</f>
        <v>188</v>
      </c>
      <c r="R220" s="11">
        <f>VLOOKUP($G220, '26 ADP Data'!$C$4:$Q$298, 6, FALSE)</f>
        <v>242</v>
      </c>
      <c r="S220" s="11">
        <f>VLOOKUP($G220, '26 ADP Data'!$C$4:$Q$298, 9, FALSE)</f>
        <v>204</v>
      </c>
      <c r="T220" s="11" t="str">
        <f>VLOOKUP($G220, '26 ADP Data'!$C$4:$Q$298, 8, FALSE)</f>
        <v>-</v>
      </c>
      <c r="U220" s="11">
        <f t="shared" si="6"/>
        <v>207</v>
      </c>
      <c r="V220" s="11">
        <f t="shared" si="7"/>
        <v>18</v>
      </c>
      <c r="W220" s="11"/>
      <c r="X220" s="11">
        <f>VLOOKUP($G220, SeanRanks26!$A$2:$K$303, 10, FALSE)-U220</f>
        <v>7</v>
      </c>
      <c r="Y220" s="25" t="str">
        <f>IF(VLOOKUP($G220, SeanRanks26!$A$2:$H$303, 8, FALSE)=0, "", VLOOKUP($G220, SeanRanks26!$A$2:$H$303, 8, FALSE))</f>
        <v/>
      </c>
    </row>
    <row r="221" spans="1:25" ht="14.25" hidden="1" customHeight="1" x14ac:dyDescent="0.25">
      <c r="A221" s="11"/>
      <c r="B221" s="11">
        <f t="shared" si="8"/>
        <v>18</v>
      </c>
      <c r="C221" s="11" t="s">
        <v>148</v>
      </c>
      <c r="D221" s="11"/>
      <c r="E221" s="23"/>
      <c r="F221" s="11">
        <f>VLOOKUP($G221, SeanRanks26!$A$2:$H$303, 5, FALSE)</f>
        <v>0</v>
      </c>
      <c r="G221" s="11" t="s">
        <v>586</v>
      </c>
      <c r="H221" s="11" t="str">
        <f>VLOOKUP($G221, '26 ADP Data'!$C$4:$Q$298, 2, FALSE)</f>
        <v>BAL</v>
      </c>
      <c r="I221" s="11" t="str">
        <f>VLOOKUP(G221, '26 ADP Data'!$C$4:$R$496, 16, FALSE)</f>
        <v>K-</v>
      </c>
      <c r="J221" s="11">
        <f>VLOOKUP($G221, SeanRanks26!$A$2:$H$303, 6, FALSE)</f>
        <v>0</v>
      </c>
      <c r="K221" s="11">
        <f>VLOOKUP($G221, SeanRanks26!$A$2:$H$303, 7, FALSE)</f>
        <v>0</v>
      </c>
      <c r="L221" s="11">
        <f t="shared" si="4"/>
        <v>17</v>
      </c>
      <c r="M221" s="11">
        <f>VLOOKUP($G221, '26 ADP Data'!$C$4:$Q$298, 10, FALSE)</f>
        <v>202</v>
      </c>
      <c r="N221" s="11" t="str">
        <f>VLOOKUP($G221, '26 ADP Data'!$C$4:$Q$298, 13, FALSE)</f>
        <v>-</v>
      </c>
      <c r="O221" s="11" t="e">
        <f t="shared" si="5"/>
        <v>#VALUE!</v>
      </c>
      <c r="P221" s="11">
        <f>VLOOKUP($G221, '26 ADP Data'!$C$4:$Q$298, 3, FALSE)</f>
        <v>211</v>
      </c>
      <c r="Q221" s="11">
        <f>VLOOKUP($G221, '26 ADP Data'!$C$4:$Q$298, 4, FALSE)</f>
        <v>172</v>
      </c>
      <c r="R221" s="11">
        <f>VLOOKUP($G221, '26 ADP Data'!$C$4:$Q$298, 6, FALSE)</f>
        <v>247</v>
      </c>
      <c r="S221" s="11">
        <f>VLOOKUP($G221, '26 ADP Data'!$C$4:$Q$298, 9, FALSE)</f>
        <v>190</v>
      </c>
      <c r="T221" s="11" t="str">
        <f>VLOOKUP($G221, '26 ADP Data'!$C$4:$Q$298, 8, FALSE)</f>
        <v>-</v>
      </c>
      <c r="U221" s="11">
        <f t="shared" si="6"/>
        <v>204</v>
      </c>
      <c r="V221" s="11">
        <f t="shared" si="7"/>
        <v>18</v>
      </c>
      <c r="W221" s="11"/>
      <c r="X221" s="11">
        <f>VLOOKUP($G221, SeanRanks26!$A$2:$K$303, 10, FALSE)-U221</f>
        <v>-2</v>
      </c>
      <c r="Y221" s="25" t="str">
        <f>IF(VLOOKUP($G221, SeanRanks26!$A$2:$H$303, 8, FALSE)=0, "", VLOOKUP($G221, SeanRanks26!$A$2:$H$303, 8, FALSE))</f>
        <v/>
      </c>
    </row>
    <row r="222" spans="1:25" ht="14.25" hidden="1" customHeight="1" x14ac:dyDescent="0.25">
      <c r="A222" s="11"/>
      <c r="B222" s="11">
        <f t="shared" si="8"/>
        <v>18</v>
      </c>
      <c r="C222" s="11" t="s">
        <v>148</v>
      </c>
      <c r="D222" s="11"/>
      <c r="E222" s="23"/>
      <c r="F222" s="11">
        <f>VLOOKUP($G222, SeanRanks26!$A$2:$H$303, 5, FALSE)</f>
        <v>0</v>
      </c>
      <c r="G222" s="11" t="s">
        <v>536</v>
      </c>
      <c r="H222" s="11" t="str">
        <f>VLOOKUP($G222, '26 ADP Data'!$C$4:$Q$298, 2, FALSE)</f>
        <v>PIT</v>
      </c>
      <c r="I222" s="11" t="str">
        <f>VLOOKUP(G222, '26 ADP Data'!$C$4:$R$496, 16, FALSE)</f>
        <v>TE</v>
      </c>
      <c r="J222" s="11">
        <f>VLOOKUP($G222, SeanRanks26!$A$2:$H$303, 6, FALSE)</f>
        <v>0</v>
      </c>
      <c r="K222" s="11">
        <f>VLOOKUP($G222, SeanRanks26!$A$2:$H$303, 7, FALSE)</f>
        <v>0</v>
      </c>
      <c r="L222" s="11">
        <f t="shared" si="4"/>
        <v>19</v>
      </c>
      <c r="M222" s="11">
        <f>VLOOKUP($G222, '26 ADP Data'!$C$4:$Q$298, 10, FALSE)</f>
        <v>216</v>
      </c>
      <c r="N222" s="11">
        <f>VLOOKUP($G222, '26 ADP Data'!$C$4:$Q$298, 13, FALSE)</f>
        <v>195</v>
      </c>
      <c r="O222" s="11">
        <f t="shared" si="5"/>
        <v>21</v>
      </c>
      <c r="P222" s="11" t="str">
        <f>VLOOKUP($G222, '26 ADP Data'!$C$4:$Q$298, 3, FALSE)</f>
        <v>-</v>
      </c>
      <c r="Q222" s="11">
        <f>VLOOKUP($G222, '26 ADP Data'!$C$4:$Q$298, 4, FALSE)</f>
        <v>210</v>
      </c>
      <c r="R222" s="11">
        <f>VLOOKUP($G222, '26 ADP Data'!$C$4:$Q$298, 6, FALSE)</f>
        <v>179</v>
      </c>
      <c r="S222" s="11">
        <f>VLOOKUP($G222, '26 ADP Data'!$C$4:$Q$298, 9, FALSE)</f>
        <v>231</v>
      </c>
      <c r="T222" s="11" t="str">
        <f>VLOOKUP($G222, '26 ADP Data'!$C$4:$Q$298, 8, FALSE)</f>
        <v>-</v>
      </c>
      <c r="U222" s="11">
        <f t="shared" si="6"/>
        <v>206</v>
      </c>
      <c r="V222" s="11">
        <f t="shared" si="7"/>
        <v>18</v>
      </c>
      <c r="W222" s="11"/>
      <c r="X222" s="11">
        <f>VLOOKUP($G222, SeanRanks26!$A$2:$K$303, 10, FALSE)-U222</f>
        <v>10</v>
      </c>
      <c r="Y222" s="25" t="str">
        <f>IF(VLOOKUP($G222, SeanRanks26!$A$2:$H$303, 8, FALSE)=0, "", VLOOKUP($G222, SeanRanks26!$A$2:$H$303, 8, FALSE))</f>
        <v/>
      </c>
    </row>
    <row r="223" spans="1:25" ht="14.25" customHeight="1" x14ac:dyDescent="0.25">
      <c r="A223" s="11"/>
      <c r="B223" s="11">
        <f t="shared" si="8"/>
        <v>22</v>
      </c>
      <c r="C223" s="11" t="s">
        <v>148</v>
      </c>
      <c r="D223" s="11"/>
      <c r="E223" s="23"/>
      <c r="F223" s="11" t="e">
        <f>VLOOKUP($G223, SeanRanks26!$A$2:$H$303, 5, FALSE)</f>
        <v>#N/A</v>
      </c>
      <c r="G223" s="11" t="s">
        <v>672</v>
      </c>
      <c r="H223" s="11" t="str">
        <f>VLOOKUP($G223, '26 ADP Data'!$C$4:$Q$298, 2, FALSE)</f>
        <v>NYG</v>
      </c>
      <c r="I223" s="11" t="str">
        <f>VLOOKUP(G223, '26 ADP Data'!$C$4:$R$496, 16, FALSE)</f>
        <v>WR</v>
      </c>
      <c r="J223" s="11" t="e">
        <f>VLOOKUP($G223, SeanRanks26!$A$2:$H$303, 6, FALSE)</f>
        <v>#N/A</v>
      </c>
      <c r="K223" s="11" t="e">
        <f>VLOOKUP($G223, SeanRanks26!$A$2:$H$303, 7, FALSE)</f>
        <v>#N/A</v>
      </c>
      <c r="L223" s="11">
        <f t="shared" si="4"/>
        <v>16</v>
      </c>
      <c r="M223" s="11" t="str">
        <f>VLOOKUP($G223, '26 ADP Data'!$C$4:$Q$298, 10, FALSE)</f>
        <v>-</v>
      </c>
      <c r="N223" s="11">
        <f>VLOOKUP($G223, '26 ADP Data'!$C$4:$Q$298, 13, FALSE)</f>
        <v>265</v>
      </c>
      <c r="O223" s="11" t="e">
        <f t="shared" si="5"/>
        <v>#VALUE!</v>
      </c>
      <c r="P223" s="11" t="str">
        <f>VLOOKUP($G223, '26 ADP Data'!$C$4:$Q$298, 3, FALSE)</f>
        <v>-</v>
      </c>
      <c r="Q223" s="11">
        <f>VLOOKUP($G223, '26 ADP Data'!$C$4:$Q$298, 4, FALSE)</f>
        <v>202</v>
      </c>
      <c r="R223" s="11">
        <f>VLOOKUP($G223, '26 ADP Data'!$C$4:$Q$298, 6, FALSE)</f>
        <v>313</v>
      </c>
      <c r="S223" s="11" t="str">
        <f>VLOOKUP($G223, '26 ADP Data'!$C$4:$Q$298, 9, FALSE)</f>
        <v>-</v>
      </c>
      <c r="T223" s="11" t="str">
        <f>VLOOKUP($G223, '26 ADP Data'!$C$4:$Q$298, 8, FALSE)</f>
        <v>-</v>
      </c>
      <c r="U223" s="11">
        <f t="shared" si="6"/>
        <v>260</v>
      </c>
      <c r="V223" s="11">
        <f t="shared" si="7"/>
        <v>22</v>
      </c>
      <c r="W223" s="11"/>
      <c r="X223" s="11" t="e">
        <f>VLOOKUP($G223, SeanRanks26!$A$2:$K$303, 10, FALSE)-U223</f>
        <v>#N/A</v>
      </c>
      <c r="Y223" s="25" t="e">
        <f>IF(VLOOKUP($G223, SeanRanks26!$A$2:$H$303, 8, FALSE)=0, "", VLOOKUP($G223, SeanRanks26!$A$2:$H$303, 8, FALSE))</f>
        <v>#N/A</v>
      </c>
    </row>
    <row r="224" spans="1:25" ht="14.25" customHeight="1" x14ac:dyDescent="0.25">
      <c r="A224" s="11"/>
      <c r="B224" s="11">
        <f t="shared" si="8"/>
        <v>25</v>
      </c>
      <c r="C224" s="11" t="s">
        <v>148</v>
      </c>
      <c r="D224" s="11"/>
      <c r="E224" s="23"/>
      <c r="F224" s="11" t="e">
        <f>VLOOKUP($G224, SeanRanks26!$A$2:$H$303, 5, FALSE)</f>
        <v>#N/A</v>
      </c>
      <c r="G224" s="11" t="s">
        <v>712</v>
      </c>
      <c r="H224" s="11" t="str">
        <f>VLOOKUP($G224, '26 ADP Data'!$C$4:$Q$298, 2, FALSE)</f>
        <v>NO</v>
      </c>
      <c r="I224" s="11" t="str">
        <f>VLOOKUP(G224, '26 ADP Data'!$C$4:$R$496, 16, FALSE)</f>
        <v>WR</v>
      </c>
      <c r="J224" s="11" t="e">
        <f>VLOOKUP($G224, SeanRanks26!$A$2:$H$303, 6, FALSE)</f>
        <v>#N/A</v>
      </c>
      <c r="K224" s="11" t="e">
        <f>VLOOKUP($G224, SeanRanks26!$A$2:$H$303, 7, FALSE)</f>
        <v>#N/A</v>
      </c>
      <c r="L224" s="11">
        <f t="shared" si="4"/>
        <v>16</v>
      </c>
      <c r="M224" s="11" t="str">
        <f>VLOOKUP($G224, '26 ADP Data'!$C$4:$Q$298, 10, FALSE)</f>
        <v>-</v>
      </c>
      <c r="N224" s="11">
        <f>VLOOKUP($G224, '26 ADP Data'!$C$4:$Q$298, 13, FALSE)</f>
        <v>253</v>
      </c>
      <c r="O224" s="11" t="e">
        <f t="shared" si="5"/>
        <v>#VALUE!</v>
      </c>
      <c r="P224" s="11" t="str">
        <f>VLOOKUP($G224, '26 ADP Data'!$C$4:$Q$298, 3, FALSE)</f>
        <v>-</v>
      </c>
      <c r="Q224" s="11" t="str">
        <f>VLOOKUP($G224, '26 ADP Data'!$C$4:$Q$298, 4, FALSE)</f>
        <v>-</v>
      </c>
      <c r="R224" s="11">
        <f>VLOOKUP($G224, '26 ADP Data'!$C$4:$Q$298, 6, FALSE)</f>
        <v>288</v>
      </c>
      <c r="S224" s="11" t="str">
        <f>VLOOKUP($G224, '26 ADP Data'!$C$4:$Q$298, 9, FALSE)</f>
        <v>-</v>
      </c>
      <c r="T224" s="11" t="str">
        <f>VLOOKUP($G224, '26 ADP Data'!$C$4:$Q$298, 8, FALSE)</f>
        <v>-</v>
      </c>
      <c r="U224" s="11">
        <f t="shared" si="6"/>
        <v>270</v>
      </c>
      <c r="V224" s="11">
        <f t="shared" si="7"/>
        <v>23</v>
      </c>
      <c r="W224" s="11"/>
      <c r="X224" s="11" t="e">
        <f>VLOOKUP($G224, SeanRanks26!$A$2:$K$303, 10, FALSE)-U224</f>
        <v>#N/A</v>
      </c>
      <c r="Y224" s="25" t="e">
        <f>IF(VLOOKUP($G224, SeanRanks26!$A$2:$H$303, 8, FALSE)=0, "", VLOOKUP($G224, SeanRanks26!$A$2:$H$303, 8, FALSE))</f>
        <v>#N/A</v>
      </c>
    </row>
    <row r="225" spans="1:25" ht="14.25" customHeight="1" x14ac:dyDescent="0.25">
      <c r="A225" s="11"/>
      <c r="B225" s="11">
        <f t="shared" si="8"/>
        <v>16</v>
      </c>
      <c r="C225" s="11" t="s">
        <v>148</v>
      </c>
      <c r="D225" s="11"/>
      <c r="E225" s="23"/>
      <c r="F225" s="11">
        <f>VLOOKUP($G225, SeanRanks26!$A$2:$H$303, 5, FALSE)</f>
        <v>0</v>
      </c>
      <c r="G225" s="11" t="s">
        <v>444</v>
      </c>
      <c r="H225" s="11" t="str">
        <f>VLOOKUP($G225, '26 ADP Data'!$C$4:$Q$298, 2, FALSE)</f>
        <v>LV</v>
      </c>
      <c r="I225" s="11" t="str">
        <f>VLOOKUP(G225, '26 ADP Data'!$C$4:$R$496, 16, FALSE)</f>
        <v>WR</v>
      </c>
      <c r="J225" s="11">
        <f>VLOOKUP($G225, SeanRanks26!$A$2:$H$303, 6, FALSE)</f>
        <v>0</v>
      </c>
      <c r="K225" s="11">
        <f>VLOOKUP($G225, SeanRanks26!$A$2:$H$303, 7, FALSE)</f>
        <v>0</v>
      </c>
      <c r="L225" s="11">
        <f t="shared" si="4"/>
        <v>16</v>
      </c>
      <c r="M225" s="11">
        <f>VLOOKUP($G225, '26 ADP Data'!$C$4:$Q$298, 10, FALSE)</f>
        <v>186</v>
      </c>
      <c r="N225" s="11">
        <f>VLOOKUP($G225, '26 ADP Data'!$C$4:$Q$298, 13, FALSE)</f>
        <v>154</v>
      </c>
      <c r="O225" s="11">
        <f t="shared" si="5"/>
        <v>32</v>
      </c>
      <c r="P225" s="11">
        <f>VLOOKUP($G225, '26 ADP Data'!$C$4:$Q$298, 3, FALSE)</f>
        <v>215</v>
      </c>
      <c r="Q225" s="11" t="str">
        <f>VLOOKUP($G225, '26 ADP Data'!$C$4:$Q$298, 4, FALSE)</f>
        <v>-</v>
      </c>
      <c r="R225" s="11">
        <f>VLOOKUP($G225, '26 ADP Data'!$C$4:$Q$298, 6, FALSE)</f>
        <v>177</v>
      </c>
      <c r="S225" s="11">
        <f>VLOOKUP($G225, '26 ADP Data'!$C$4:$Q$298, 9, FALSE)</f>
        <v>167</v>
      </c>
      <c r="T225" s="11" t="str">
        <f>VLOOKUP($G225, '26 ADP Data'!$C$4:$Q$298, 8, FALSE)</f>
        <v>-</v>
      </c>
      <c r="U225" s="11">
        <f t="shared" si="6"/>
        <v>179</v>
      </c>
      <c r="V225" s="11">
        <f t="shared" si="7"/>
        <v>15</v>
      </c>
      <c r="W225" s="11"/>
      <c r="X225" s="11">
        <f>VLOOKUP($G225, SeanRanks26!$A$2:$K$303, 10, FALSE)-U225</f>
        <v>7</v>
      </c>
      <c r="Y225" s="25" t="str">
        <f>IF(VLOOKUP($G225, SeanRanks26!$A$2:$H$303, 8, FALSE)=0, "", VLOOKUP($G225, SeanRanks26!$A$2:$H$303, 8, FALSE))</f>
        <v/>
      </c>
    </row>
    <row r="226" spans="1:25" ht="14.25" hidden="1" customHeight="1" x14ac:dyDescent="0.25">
      <c r="A226" s="11"/>
      <c r="B226" s="11">
        <f t="shared" si="8"/>
        <v>19</v>
      </c>
      <c r="C226" s="11" t="s">
        <v>148</v>
      </c>
      <c r="D226" s="11"/>
      <c r="E226" s="23"/>
      <c r="F226" s="11">
        <f>VLOOKUP($G226, SeanRanks26!$A$2:$H$303, 5, FALSE)</f>
        <v>0</v>
      </c>
      <c r="G226" s="11" t="s">
        <v>541</v>
      </c>
      <c r="H226" s="11" t="str">
        <f>VLOOKUP($G226, '26 ADP Data'!$C$4:$Q$298, 2, FALSE)</f>
        <v>TEN</v>
      </c>
      <c r="I226" s="11" t="str">
        <f>VLOOKUP(G226, '26 ADP Data'!$C$4:$R$496, 16, FALSE)</f>
        <v>TE</v>
      </c>
      <c r="J226" s="11">
        <f>VLOOKUP($G226, SeanRanks26!$A$2:$H$303, 6, FALSE)</f>
        <v>0</v>
      </c>
      <c r="K226" s="11">
        <f>VLOOKUP($G226, SeanRanks26!$A$2:$H$303, 7, FALSE)</f>
        <v>0</v>
      </c>
      <c r="L226" s="11">
        <f t="shared" si="4"/>
        <v>16</v>
      </c>
      <c r="M226" s="11" t="str">
        <f>VLOOKUP($G226, '26 ADP Data'!$C$4:$Q$298, 10, FALSE)</f>
        <v>-</v>
      </c>
      <c r="N226" s="11">
        <f>VLOOKUP($G226, '26 ADP Data'!$C$4:$Q$298, 13, FALSE)</f>
        <v>199</v>
      </c>
      <c r="O226" s="11" t="e">
        <f t="shared" si="5"/>
        <v>#VALUE!</v>
      </c>
      <c r="P226" s="11" t="str">
        <f>VLOOKUP($G226, '26 ADP Data'!$C$4:$Q$298, 3, FALSE)</f>
        <v>-</v>
      </c>
      <c r="Q226" s="11" t="str">
        <f>VLOOKUP($G226, '26 ADP Data'!$C$4:$Q$298, 4, FALSE)</f>
        <v>-</v>
      </c>
      <c r="R226" s="11">
        <f>VLOOKUP($G226, '26 ADP Data'!$C$4:$Q$298, 6, FALSE)</f>
        <v>187</v>
      </c>
      <c r="S226" s="11">
        <f>VLOOKUP($G226, '26 ADP Data'!$C$4:$Q$298, 9, FALSE)</f>
        <v>255</v>
      </c>
      <c r="T226" s="11" t="str">
        <f>VLOOKUP($G226, '26 ADP Data'!$C$4:$Q$298, 8, FALSE)</f>
        <v>-</v>
      </c>
      <c r="U226" s="11">
        <f t="shared" si="6"/>
        <v>213</v>
      </c>
      <c r="V226" s="11">
        <f t="shared" si="7"/>
        <v>18</v>
      </c>
      <c r="W226" s="11"/>
      <c r="X226" s="11" t="e">
        <f>VLOOKUP($G226, SeanRanks26!$A$2:$K$303, 10, FALSE)-U226</f>
        <v>#VALUE!</v>
      </c>
      <c r="Y226" s="25" t="str">
        <f>IF(VLOOKUP($G226, SeanRanks26!$A$2:$H$303, 8, FALSE)=0, "", VLOOKUP($G226, SeanRanks26!$A$2:$H$303, 8, FALSE))</f>
        <v/>
      </c>
    </row>
    <row r="227" spans="1:25" ht="14.25" hidden="1" customHeight="1" x14ac:dyDescent="0.25">
      <c r="A227" s="11"/>
      <c r="B227" s="11">
        <f t="shared" si="8"/>
        <v>17</v>
      </c>
      <c r="C227" s="11" t="s">
        <v>148</v>
      </c>
      <c r="D227" s="11"/>
      <c r="E227" s="23"/>
      <c r="F227" s="11" t="e">
        <f>VLOOKUP($G227, SeanRanks26!$A$2:$H$303, 5, FALSE)</f>
        <v>#N/A</v>
      </c>
      <c r="G227" s="11" t="s">
        <v>594</v>
      </c>
      <c r="H227" s="11" t="str">
        <f>VLOOKUP($G227, '26 ADP Data'!$C$4:$Q$298, 2, FALSE)</f>
        <v>MIN</v>
      </c>
      <c r="I227" s="11" t="str">
        <f>VLOOKUP(G227, '26 ADP Data'!$C$4:$R$496, 16, FALSE)</f>
        <v>K-</v>
      </c>
      <c r="J227" s="11" t="e">
        <f>VLOOKUP($G227, SeanRanks26!$A$2:$H$303, 6, FALSE)</f>
        <v>#N/A</v>
      </c>
      <c r="K227" s="11" t="e">
        <f>VLOOKUP($G227, SeanRanks26!$A$2:$H$303, 7, FALSE)</f>
        <v>#N/A</v>
      </c>
      <c r="L227" s="11">
        <f t="shared" si="4"/>
        <v>18</v>
      </c>
      <c r="M227" s="11">
        <f>VLOOKUP($G227, '26 ADP Data'!$C$4:$Q$298, 10, FALSE)</f>
        <v>211</v>
      </c>
      <c r="N227" s="11" t="str">
        <f>VLOOKUP($G227, '26 ADP Data'!$C$4:$Q$298, 13, FALSE)</f>
        <v>-</v>
      </c>
      <c r="O227" s="11" t="e">
        <f t="shared" si="5"/>
        <v>#VALUE!</v>
      </c>
      <c r="P227" s="11">
        <f>VLOOKUP($G227, '26 ADP Data'!$C$4:$Q$298, 3, FALSE)</f>
        <v>203</v>
      </c>
      <c r="Q227" s="11">
        <f>VLOOKUP($G227, '26 ADP Data'!$C$4:$Q$298, 4, FALSE)</f>
        <v>180</v>
      </c>
      <c r="R227" s="11">
        <f>VLOOKUP($G227, '26 ADP Data'!$C$4:$Q$298, 6, FALSE)</f>
        <v>238</v>
      </c>
      <c r="S227" s="11">
        <f>VLOOKUP($G227, '26 ADP Data'!$C$4:$Q$298, 9, FALSE)</f>
        <v>166</v>
      </c>
      <c r="T227" s="11" t="str">
        <f>VLOOKUP($G227, '26 ADP Data'!$C$4:$Q$298, 8, FALSE)</f>
        <v>-</v>
      </c>
      <c r="U227" s="11">
        <f t="shared" si="6"/>
        <v>199</v>
      </c>
      <c r="V227" s="11">
        <f t="shared" si="7"/>
        <v>17</v>
      </c>
      <c r="W227" s="11"/>
      <c r="X227" s="11" t="e">
        <f>VLOOKUP($G227, SeanRanks26!$A$2:$K$303, 10, FALSE)-U227</f>
        <v>#N/A</v>
      </c>
      <c r="Y227" s="25" t="e">
        <f>IF(VLOOKUP($G227, SeanRanks26!$A$2:$H$303, 8, FALSE)=0, "", VLOOKUP($G227, SeanRanks26!$A$2:$H$303, 8, FALSE))</f>
        <v>#N/A</v>
      </c>
    </row>
    <row r="228" spans="1:25" ht="14.25" customHeight="1" x14ac:dyDescent="0.25">
      <c r="A228" s="11"/>
      <c r="B228" s="11">
        <f t="shared" si="8"/>
        <v>17</v>
      </c>
      <c r="C228" s="11" t="s">
        <v>148</v>
      </c>
      <c r="D228" s="11"/>
      <c r="E228" s="23"/>
      <c r="F228" s="11">
        <f>VLOOKUP($G228, SeanRanks26!$A$2:$H$303, 5, FALSE)</f>
        <v>0</v>
      </c>
      <c r="G228" s="11" t="s">
        <v>465</v>
      </c>
      <c r="H228" s="11" t="str">
        <f>VLOOKUP($G228, '26 ADP Data'!$C$4:$Q$298, 2, FALSE)</f>
        <v>HOU</v>
      </c>
      <c r="I228" s="11" t="str">
        <f>VLOOKUP(G228, '26 ADP Data'!$C$4:$R$496, 16, FALSE)</f>
        <v>WR</v>
      </c>
      <c r="J228" s="11">
        <f>VLOOKUP($G228, SeanRanks26!$A$2:$H$303, 6, FALSE)</f>
        <v>0</v>
      </c>
      <c r="K228" s="11">
        <f>VLOOKUP($G228, SeanRanks26!$A$2:$H$303, 7, FALSE)</f>
        <v>0</v>
      </c>
      <c r="L228" s="11">
        <f t="shared" si="4"/>
        <v>16</v>
      </c>
      <c r="M228" s="11" t="str">
        <f>VLOOKUP($G228, '26 ADP Data'!$C$4:$Q$298, 10, FALSE)</f>
        <v>-</v>
      </c>
      <c r="N228" s="11">
        <f>VLOOKUP($G228, '26 ADP Data'!$C$4:$Q$298, 13, FALSE)</f>
        <v>190</v>
      </c>
      <c r="O228" s="11" t="e">
        <f t="shared" si="5"/>
        <v>#VALUE!</v>
      </c>
      <c r="P228" s="11" t="str">
        <f>VLOOKUP($G228, '26 ADP Data'!$C$4:$Q$298, 3, FALSE)</f>
        <v>-</v>
      </c>
      <c r="Q228" s="11">
        <f>VLOOKUP($G228, '26 ADP Data'!$C$4:$Q$298, 4, FALSE)</f>
        <v>169</v>
      </c>
      <c r="R228" s="11">
        <f>VLOOKUP($G228, '26 ADP Data'!$C$4:$Q$298, 6, FALSE)</f>
        <v>241</v>
      </c>
      <c r="S228" s="11">
        <f>VLOOKUP($G228, '26 ADP Data'!$C$4:$Q$298, 9, FALSE)</f>
        <v>194</v>
      </c>
      <c r="T228" s="11" t="str">
        <f>VLOOKUP($G228, '26 ADP Data'!$C$4:$Q$298, 8, FALSE)</f>
        <v>-</v>
      </c>
      <c r="U228" s="11">
        <f t="shared" si="6"/>
        <v>198</v>
      </c>
      <c r="V228" s="11">
        <f t="shared" si="7"/>
        <v>17</v>
      </c>
      <c r="W228" s="11"/>
      <c r="X228" s="11" t="e">
        <f>VLOOKUP($G228, SeanRanks26!$A$2:$K$303, 10, FALSE)-U228</f>
        <v>#VALUE!</v>
      </c>
      <c r="Y228" s="25" t="str">
        <f>IF(VLOOKUP($G228, SeanRanks26!$A$2:$H$303, 8, FALSE)=0, "", VLOOKUP($G228, SeanRanks26!$A$2:$H$303, 8, FALSE))</f>
        <v/>
      </c>
    </row>
    <row r="229" spans="1:25" ht="14.25" hidden="1" customHeight="1" x14ac:dyDescent="0.25">
      <c r="A229" s="11"/>
      <c r="B229" s="11">
        <f t="shared" si="8"/>
        <v>19</v>
      </c>
      <c r="C229" s="11" t="s">
        <v>148</v>
      </c>
      <c r="D229" s="11"/>
      <c r="E229" s="23"/>
      <c r="F229" s="11">
        <f>VLOOKUP($G229, SeanRanks26!$A$2:$H$303, 5, FALSE)</f>
        <v>0</v>
      </c>
      <c r="G229" s="11" t="s">
        <v>480</v>
      </c>
      <c r="H229" s="11" t="str">
        <f>VLOOKUP($G229, '26 ADP Data'!$C$4:$Q$298, 2, FALSE)</f>
        <v>PIT</v>
      </c>
      <c r="I229" s="11" t="str">
        <f>VLOOKUP(G229, '26 ADP Data'!$C$4:$R$496, 16, FALSE)</f>
        <v>QB</v>
      </c>
      <c r="J229" s="11">
        <f>VLOOKUP($G229, SeanRanks26!$A$2:$H$303, 6, FALSE)</f>
        <v>0</v>
      </c>
      <c r="K229" s="11">
        <f>VLOOKUP($G229, SeanRanks26!$A$2:$H$303, 7, FALSE)</f>
        <v>0</v>
      </c>
      <c r="L229" s="11">
        <f t="shared" si="4"/>
        <v>21</v>
      </c>
      <c r="M229" s="11">
        <f>VLOOKUP($G229, '26 ADP Data'!$C$4:$Q$298, 10, FALSE)</f>
        <v>249</v>
      </c>
      <c r="N229" s="11">
        <f>VLOOKUP($G229, '26 ADP Data'!$C$4:$Q$298, 13, FALSE)</f>
        <v>181</v>
      </c>
      <c r="O229" s="11">
        <f t="shared" si="5"/>
        <v>68</v>
      </c>
      <c r="P229" s="11" t="str">
        <f>VLOOKUP($G229, '26 ADP Data'!$C$4:$Q$298, 3, FALSE)</f>
        <v>-</v>
      </c>
      <c r="Q229" s="11">
        <f>VLOOKUP($G229, '26 ADP Data'!$C$4:$Q$298, 4, FALSE)</f>
        <v>196</v>
      </c>
      <c r="R229" s="11">
        <f>VLOOKUP($G229, '26 ADP Data'!$C$4:$Q$298, 6, FALSE)</f>
        <v>240</v>
      </c>
      <c r="S229" s="11">
        <f>VLOOKUP($G229, '26 ADP Data'!$C$4:$Q$298, 9, FALSE)</f>
        <v>239</v>
      </c>
      <c r="T229" s="11" t="str">
        <f>VLOOKUP($G229, '26 ADP Data'!$C$4:$Q$298, 8, FALSE)</f>
        <v>-</v>
      </c>
      <c r="U229" s="11">
        <f t="shared" si="6"/>
        <v>221</v>
      </c>
      <c r="V229" s="11">
        <f t="shared" si="7"/>
        <v>19</v>
      </c>
      <c r="W229" s="11"/>
      <c r="X229" s="11">
        <f>VLOOKUP($G229, SeanRanks26!$A$2:$K$303, 10, FALSE)-U229</f>
        <v>28</v>
      </c>
      <c r="Y229" s="25" t="str">
        <f>IF(VLOOKUP($G229, SeanRanks26!$A$2:$H$303, 8, FALSE)=0, "", VLOOKUP($G229, SeanRanks26!$A$2:$H$303, 8, FALSE))</f>
        <v/>
      </c>
    </row>
    <row r="230" spans="1:25" ht="14.25" hidden="1" customHeight="1" x14ac:dyDescent="0.25">
      <c r="A230" s="11"/>
      <c r="B230" s="11">
        <f t="shared" si="8"/>
        <v>19</v>
      </c>
      <c r="C230" s="11" t="s">
        <v>148</v>
      </c>
      <c r="D230" s="11"/>
      <c r="E230" s="23"/>
      <c r="F230" s="11" t="e">
        <f>VLOOKUP($G230, SeanRanks26!$A$2:$H$303, 5, FALSE)</f>
        <v>#N/A</v>
      </c>
      <c r="G230" s="11" t="s">
        <v>642</v>
      </c>
      <c r="H230" s="11" t="str">
        <f>VLOOKUP($G230, '26 ADP Data'!$C$4:$Q$298, 2, FALSE)</f>
        <v>CAR</v>
      </c>
      <c r="I230" s="11" t="str">
        <f>VLOOKUP(G230, '26 ADP Data'!$C$4:$R$496, 16, FALSE)</f>
        <v>TE</v>
      </c>
      <c r="J230" s="11" t="e">
        <f>VLOOKUP($G230, SeanRanks26!$A$2:$H$303, 6, FALSE)</f>
        <v>#N/A</v>
      </c>
      <c r="K230" s="11" t="e">
        <f>VLOOKUP($G230, SeanRanks26!$A$2:$H$303, 7, FALSE)</f>
        <v>#N/A</v>
      </c>
      <c r="L230" s="11">
        <f t="shared" si="4"/>
        <v>21</v>
      </c>
      <c r="M230" s="11">
        <f>VLOOKUP($G230, '26 ADP Data'!$C$4:$Q$298, 10, FALSE)</f>
        <v>248</v>
      </c>
      <c r="N230" s="11">
        <f>VLOOKUP($G230, '26 ADP Data'!$C$4:$Q$298, 13, FALSE)</f>
        <v>210</v>
      </c>
      <c r="O230" s="11">
        <f t="shared" si="5"/>
        <v>38</v>
      </c>
      <c r="P230" s="11" t="str">
        <f>VLOOKUP($G230, '26 ADP Data'!$C$4:$Q$298, 3, FALSE)</f>
        <v>-</v>
      </c>
      <c r="Q230" s="11" t="str">
        <f>VLOOKUP($G230, '26 ADP Data'!$C$4:$Q$298, 4, FALSE)</f>
        <v>-</v>
      </c>
      <c r="R230" s="11">
        <f>VLOOKUP($G230, '26 ADP Data'!$C$4:$Q$298, 6, FALSE)</f>
        <v>227</v>
      </c>
      <c r="S230" s="11" t="str">
        <f>VLOOKUP($G230, '26 ADP Data'!$C$4:$Q$298, 9, FALSE)</f>
        <v>-</v>
      </c>
      <c r="T230" s="11" t="str">
        <f>VLOOKUP($G230, '26 ADP Data'!$C$4:$Q$298, 8, FALSE)</f>
        <v>-</v>
      </c>
      <c r="U230" s="11">
        <f t="shared" si="6"/>
        <v>228</v>
      </c>
      <c r="V230" s="11">
        <f t="shared" si="7"/>
        <v>20</v>
      </c>
      <c r="W230" s="11"/>
      <c r="X230" s="11" t="e">
        <f>VLOOKUP($G230, SeanRanks26!$A$2:$K$303, 10, FALSE)-U230</f>
        <v>#N/A</v>
      </c>
      <c r="Y230" s="25" t="e">
        <f>IF(VLOOKUP($G230, SeanRanks26!$A$2:$H$303, 8, FALSE)=0, "", VLOOKUP($G230, SeanRanks26!$A$2:$H$303, 8, FALSE))</f>
        <v>#N/A</v>
      </c>
    </row>
    <row r="231" spans="1:25" ht="14.25" hidden="1" customHeight="1" x14ac:dyDescent="0.25">
      <c r="A231" s="11"/>
      <c r="B231" s="11">
        <f t="shared" si="8"/>
        <v>18</v>
      </c>
      <c r="C231" s="11" t="s">
        <v>148</v>
      </c>
      <c r="D231" s="11"/>
      <c r="E231" s="23"/>
      <c r="F231" s="11">
        <f>VLOOKUP($G231, SeanRanks26!$A$2:$H$303, 5, FALSE)</f>
        <v>0</v>
      </c>
      <c r="G231" s="11" t="s">
        <v>648</v>
      </c>
      <c r="H231" s="11" t="str">
        <f>VLOOKUP($G231, '26 ADP Data'!$C$4:$Q$298, 2, FALSE)</f>
        <v>DEN</v>
      </c>
      <c r="I231" s="11" t="str">
        <f>VLOOKUP(G231, '26 ADP Data'!$C$4:$R$496, 16, FALSE)</f>
        <v>TE</v>
      </c>
      <c r="J231" s="11">
        <f>VLOOKUP($G231, SeanRanks26!$A$2:$H$303, 6, FALSE)</f>
        <v>0</v>
      </c>
      <c r="K231" s="11">
        <f>VLOOKUP($G231, SeanRanks26!$A$2:$H$303, 7, FALSE)</f>
        <v>0</v>
      </c>
      <c r="L231" s="11">
        <f t="shared" si="4"/>
        <v>16</v>
      </c>
      <c r="M231" s="11" t="str">
        <f>VLOOKUP($G231, '26 ADP Data'!$C$4:$Q$298, 10, FALSE)</f>
        <v>-</v>
      </c>
      <c r="N231" s="11">
        <f>VLOOKUP($G231, '26 ADP Data'!$C$4:$Q$298, 13, FALSE)</f>
        <v>224</v>
      </c>
      <c r="O231" s="11" t="e">
        <f t="shared" si="5"/>
        <v>#VALUE!</v>
      </c>
      <c r="P231" s="11" t="str">
        <f>VLOOKUP($G231, '26 ADP Data'!$C$4:$Q$298, 3, FALSE)</f>
        <v>-</v>
      </c>
      <c r="Q231" s="11" t="str">
        <f>VLOOKUP($G231, '26 ADP Data'!$C$4:$Q$298, 4, FALSE)</f>
        <v>-</v>
      </c>
      <c r="R231" s="11">
        <f>VLOOKUP($G231, '26 ADP Data'!$C$4:$Q$298, 6, FALSE)</f>
        <v>211</v>
      </c>
      <c r="S231" s="11" t="str">
        <f>VLOOKUP($G231, '26 ADP Data'!$C$4:$Q$298, 9, FALSE)</f>
        <v>-</v>
      </c>
      <c r="T231" s="11" t="str">
        <f>VLOOKUP($G231, '26 ADP Data'!$C$4:$Q$298, 8, FALSE)</f>
        <v>-</v>
      </c>
      <c r="U231" s="11">
        <f t="shared" si="6"/>
        <v>217</v>
      </c>
      <c r="V231" s="11">
        <f t="shared" si="7"/>
        <v>19</v>
      </c>
      <c r="W231" s="11"/>
      <c r="X231" s="11" t="e">
        <f>VLOOKUP($G231, SeanRanks26!$A$2:$K$303, 10, FALSE)-U231</f>
        <v>#VALUE!</v>
      </c>
      <c r="Y231" s="25" t="str">
        <f>IF(VLOOKUP($G231, SeanRanks26!$A$2:$H$303, 8, FALSE)=0, "", VLOOKUP($G231, SeanRanks26!$A$2:$H$303, 8, FALSE))</f>
        <v/>
      </c>
    </row>
    <row r="232" spans="1:25" ht="14.25" hidden="1" customHeight="1" x14ac:dyDescent="0.25">
      <c r="A232" s="11"/>
      <c r="B232" s="11">
        <f t="shared" si="8"/>
        <v>19</v>
      </c>
      <c r="C232" s="11" t="s">
        <v>148</v>
      </c>
      <c r="D232" s="11"/>
      <c r="E232" s="23"/>
      <c r="F232" s="11">
        <f>VLOOKUP($G232, SeanRanks26!$A$2:$H$303, 5, FALSE)</f>
        <v>0</v>
      </c>
      <c r="G232" s="11" t="s">
        <v>545</v>
      </c>
      <c r="H232" s="11" t="str">
        <f>VLOOKUP($G232, '26 ADP Data'!$C$4:$Q$298, 2, FALSE)</f>
        <v>WAS</v>
      </c>
      <c r="I232" s="11" t="str">
        <f>VLOOKUP(G232, '26 ADP Data'!$C$4:$R$496, 16, FALSE)</f>
        <v>RB</v>
      </c>
      <c r="J232" s="11">
        <f>VLOOKUP($G232, SeanRanks26!$A$2:$H$303, 6, FALSE)</f>
        <v>0</v>
      </c>
      <c r="K232" s="11">
        <f>VLOOKUP($G232, SeanRanks26!$A$2:$H$303, 7, FALSE)</f>
        <v>0</v>
      </c>
      <c r="L232" s="11">
        <f t="shared" si="4"/>
        <v>19</v>
      </c>
      <c r="M232" s="11">
        <f>VLOOKUP($G232, '26 ADP Data'!$C$4:$Q$298, 10, FALSE)</f>
        <v>227</v>
      </c>
      <c r="N232" s="11">
        <f>VLOOKUP($G232, '26 ADP Data'!$C$4:$Q$298, 13, FALSE)</f>
        <v>222</v>
      </c>
      <c r="O232" s="11">
        <f t="shared" si="5"/>
        <v>5</v>
      </c>
      <c r="P232" s="11" t="str">
        <f>VLOOKUP($G232, '26 ADP Data'!$C$4:$Q$298, 3, FALSE)</f>
        <v>-</v>
      </c>
      <c r="Q232" s="11" t="str">
        <f>VLOOKUP($G232, '26 ADP Data'!$C$4:$Q$298, 4, FALSE)</f>
        <v>-</v>
      </c>
      <c r="R232" s="11">
        <f>VLOOKUP($G232, '26 ADP Data'!$C$4:$Q$298, 6, FALSE)</f>
        <v>202</v>
      </c>
      <c r="S232" s="11">
        <f>VLOOKUP($G232, '26 ADP Data'!$C$4:$Q$298, 9, FALSE)</f>
        <v>236</v>
      </c>
      <c r="T232" s="11" t="str">
        <f>VLOOKUP($G232, '26 ADP Data'!$C$4:$Q$298, 8, FALSE)</f>
        <v>-</v>
      </c>
      <c r="U232" s="11">
        <f t="shared" si="6"/>
        <v>221</v>
      </c>
      <c r="V232" s="11">
        <f t="shared" si="7"/>
        <v>19</v>
      </c>
      <c r="W232" s="11"/>
      <c r="X232" s="11">
        <f>VLOOKUP($G232, SeanRanks26!$A$2:$K$303, 10, FALSE)-U232</f>
        <v>6</v>
      </c>
      <c r="Y232" s="25" t="str">
        <f>IF(VLOOKUP($G232, SeanRanks26!$A$2:$H$303, 8, FALSE)=0, "", VLOOKUP($G232, SeanRanks26!$A$2:$H$303, 8, FALSE))</f>
        <v>Rookie R6 - PSU</v>
      </c>
    </row>
    <row r="233" spans="1:25" ht="14.25" hidden="1" customHeight="1" x14ac:dyDescent="0.25">
      <c r="A233" s="11"/>
      <c r="B233" s="11">
        <f t="shared" si="8"/>
        <v>19</v>
      </c>
      <c r="C233" s="11" t="s">
        <v>148</v>
      </c>
      <c r="D233" s="11"/>
      <c r="E233" s="23"/>
      <c r="F233" s="11">
        <f>VLOOKUP($G233, SeanRanks26!$A$2:$H$303, 5, FALSE)</f>
        <v>0</v>
      </c>
      <c r="G233" s="11" t="s">
        <v>555</v>
      </c>
      <c r="H233" s="11" t="str">
        <f>VLOOKUP($G233, '26 ADP Data'!$C$4:$Q$298, 2, FALSE)</f>
        <v>LAC</v>
      </c>
      <c r="I233" s="11" t="str">
        <f>VLOOKUP(G233, '26 ADP Data'!$C$4:$R$496, 16, FALSE)</f>
        <v>TE</v>
      </c>
      <c r="J233" s="11">
        <f>VLOOKUP($G233, SeanRanks26!$A$2:$H$303, 6, FALSE)</f>
        <v>0</v>
      </c>
      <c r="K233" s="11">
        <f>VLOOKUP($G233, SeanRanks26!$A$2:$H$303, 7, FALSE)</f>
        <v>0</v>
      </c>
      <c r="L233" s="11">
        <f t="shared" si="4"/>
        <v>16</v>
      </c>
      <c r="M233" s="11" t="str">
        <f>VLOOKUP($G233, '26 ADP Data'!$C$4:$Q$298, 10, FALSE)</f>
        <v>-</v>
      </c>
      <c r="N233" s="11">
        <f>VLOOKUP($G233, '26 ADP Data'!$C$4:$Q$298, 13, FALSE)</f>
        <v>212</v>
      </c>
      <c r="O233" s="11" t="e">
        <f t="shared" si="5"/>
        <v>#VALUE!</v>
      </c>
      <c r="P233" s="11" t="str">
        <f>VLOOKUP($G233, '26 ADP Data'!$C$4:$Q$298, 3, FALSE)</f>
        <v>-</v>
      </c>
      <c r="Q233" s="11">
        <f>VLOOKUP($G233, '26 ADP Data'!$C$4:$Q$298, 4, FALSE)</f>
        <v>219</v>
      </c>
      <c r="R233" s="11">
        <f>VLOOKUP($G233, '26 ADP Data'!$C$4:$Q$298, 6, FALSE)</f>
        <v>205</v>
      </c>
      <c r="S233" s="11">
        <f>VLOOKUP($G233, '26 ADP Data'!$C$4:$Q$298, 9, FALSE)</f>
        <v>224</v>
      </c>
      <c r="T233" s="11" t="str">
        <f>VLOOKUP($G233, '26 ADP Data'!$C$4:$Q$298, 8, FALSE)</f>
        <v>-</v>
      </c>
      <c r="U233" s="11">
        <f t="shared" si="6"/>
        <v>215</v>
      </c>
      <c r="V233" s="11">
        <f t="shared" si="7"/>
        <v>18</v>
      </c>
      <c r="W233" s="11"/>
      <c r="X233" s="11" t="e">
        <f>VLOOKUP($G233, SeanRanks26!$A$2:$K$303, 10, FALSE)-U233</f>
        <v>#VALUE!</v>
      </c>
      <c r="Y233" s="25" t="str">
        <f>IF(VLOOKUP($G233, SeanRanks26!$A$2:$H$303, 8, FALSE)=0, "", VLOOKUP($G233, SeanRanks26!$A$2:$H$303, 8, FALSE))</f>
        <v/>
      </c>
    </row>
    <row r="234" spans="1:25" ht="14.25" hidden="1" customHeight="1" x14ac:dyDescent="0.25">
      <c r="A234" s="11"/>
      <c r="B234" s="11">
        <f t="shared" si="8"/>
        <v>15</v>
      </c>
      <c r="C234" s="11" t="s">
        <v>148</v>
      </c>
      <c r="D234" s="11"/>
      <c r="E234" s="23"/>
      <c r="F234" s="11">
        <f>VLOOKUP($G234, SeanRanks26!$A$2:$H$303, 5, FALSE)</f>
        <v>0</v>
      </c>
      <c r="G234" s="11" t="s">
        <v>634</v>
      </c>
      <c r="H234" s="11" t="str">
        <f>VLOOKUP($G234, '26 ADP Data'!$C$4:$Q$298, 2, FALSE)</f>
        <v>NYG</v>
      </c>
      <c r="I234" s="11" t="str">
        <f>VLOOKUP(G234, '26 ADP Data'!$C$4:$R$496, 16, FALSE)</f>
        <v>RB</v>
      </c>
      <c r="J234" s="11">
        <f>VLOOKUP($G234, SeanRanks26!$A$2:$H$303, 6, FALSE)</f>
        <v>0</v>
      </c>
      <c r="K234" s="11">
        <f>VLOOKUP($G234, SeanRanks26!$A$2:$H$303, 7, FALSE)</f>
        <v>0</v>
      </c>
      <c r="L234" s="11">
        <f t="shared" si="4"/>
        <v>17</v>
      </c>
      <c r="M234" s="11">
        <f>VLOOKUP($G234, '26 ADP Data'!$C$4:$Q$298, 10, FALSE)</f>
        <v>201</v>
      </c>
      <c r="N234" s="11">
        <f>VLOOKUP($G234, '26 ADP Data'!$C$4:$Q$298, 13, FALSE)</f>
        <v>200</v>
      </c>
      <c r="O234" s="11">
        <f t="shared" si="5"/>
        <v>1</v>
      </c>
      <c r="P234" s="11" t="str">
        <f>VLOOKUP($G234, '26 ADP Data'!$C$4:$Q$298, 3, FALSE)</f>
        <v>-</v>
      </c>
      <c r="Q234" s="11" t="str">
        <f>VLOOKUP($G234, '26 ADP Data'!$C$4:$Q$298, 4, FALSE)</f>
        <v>-</v>
      </c>
      <c r="R234" s="11">
        <f>VLOOKUP($G234, '26 ADP Data'!$C$4:$Q$298, 6, FALSE)</f>
        <v>176</v>
      </c>
      <c r="S234" s="11" t="str">
        <f>VLOOKUP($G234, '26 ADP Data'!$C$4:$Q$298, 9, FALSE)</f>
        <v>-</v>
      </c>
      <c r="T234" s="11" t="str">
        <f>VLOOKUP($G234, '26 ADP Data'!$C$4:$Q$298, 8, FALSE)</f>
        <v>-</v>
      </c>
      <c r="U234" s="11">
        <f t="shared" si="6"/>
        <v>192</v>
      </c>
      <c r="V234" s="11">
        <f t="shared" si="7"/>
        <v>17</v>
      </c>
      <c r="W234" s="11"/>
      <c r="X234" s="11">
        <f>VLOOKUP($G234, SeanRanks26!$A$2:$K$303, 10, FALSE)-U234</f>
        <v>9</v>
      </c>
      <c r="Y234" s="25" t="str">
        <f>IF(VLOOKUP($G234, SeanRanks26!$A$2:$H$303, 8, FALSE)=0, "", VLOOKUP($G234, SeanRanks26!$A$2:$H$303, 8, FALSE))</f>
        <v/>
      </c>
    </row>
    <row r="235" spans="1:25" ht="14.25" hidden="1" customHeight="1" x14ac:dyDescent="0.25">
      <c r="A235" s="11"/>
      <c r="B235" s="11">
        <f t="shared" si="8"/>
        <v>17</v>
      </c>
      <c r="C235" s="11" t="s">
        <v>148</v>
      </c>
      <c r="D235" s="11"/>
      <c r="E235" s="23"/>
      <c r="F235" s="11">
        <f>VLOOKUP($G235, SeanRanks26!$A$2:$H$303, 5, FALSE)</f>
        <v>0</v>
      </c>
      <c r="G235" s="11" t="s">
        <v>600</v>
      </c>
      <c r="H235" s="11" t="str">
        <f>VLOOKUP($G235, '26 ADP Data'!$C$4:$Q$298, 2, FALSE)</f>
        <v>SEA</v>
      </c>
      <c r="I235" s="11" t="str">
        <f>VLOOKUP(G235, '26 ADP Data'!$C$4:$R$496, 16, FALSE)</f>
        <v>RB</v>
      </c>
      <c r="J235" s="11">
        <f>VLOOKUP($G235, SeanRanks26!$A$2:$H$303, 6, FALSE)</f>
        <v>0</v>
      </c>
      <c r="K235" s="11">
        <f>VLOOKUP($G235, SeanRanks26!$A$2:$H$303, 7, FALSE)</f>
        <v>0</v>
      </c>
      <c r="L235" s="11">
        <f t="shared" si="4"/>
        <v>19</v>
      </c>
      <c r="M235" s="11">
        <f>VLOOKUP($G235, '26 ADP Data'!$C$4:$Q$298, 10, FALSE)</f>
        <v>219</v>
      </c>
      <c r="N235" s="11">
        <f>VLOOKUP($G235, '26 ADP Data'!$C$4:$Q$298, 13, FALSE)</f>
        <v>234</v>
      </c>
      <c r="O235" s="11">
        <f t="shared" si="5"/>
        <v>-15</v>
      </c>
      <c r="P235" s="11" t="str">
        <f>VLOOKUP($G235, '26 ADP Data'!$C$4:$Q$298, 3, FALSE)</f>
        <v>-</v>
      </c>
      <c r="Q235" s="11" t="str">
        <f>VLOOKUP($G235, '26 ADP Data'!$C$4:$Q$298, 4, FALSE)</f>
        <v>-</v>
      </c>
      <c r="R235" s="11">
        <f>VLOOKUP($G235, '26 ADP Data'!$C$4:$Q$298, 6, FALSE)</f>
        <v>196</v>
      </c>
      <c r="S235" s="11" t="str">
        <f>VLOOKUP($G235, '26 ADP Data'!$C$4:$Q$298, 9, FALSE)</f>
        <v>-</v>
      </c>
      <c r="T235" s="11" t="str">
        <f>VLOOKUP($G235, '26 ADP Data'!$C$4:$Q$298, 8, FALSE)</f>
        <v>-</v>
      </c>
      <c r="U235" s="11">
        <f t="shared" si="6"/>
        <v>216</v>
      </c>
      <c r="V235" s="11">
        <f t="shared" si="7"/>
        <v>19</v>
      </c>
      <c r="W235" s="11"/>
      <c r="X235" s="11">
        <f>VLOOKUP($G235, SeanRanks26!$A$2:$K$303, 10, FALSE)-U235</f>
        <v>3</v>
      </c>
      <c r="Y235" s="25" t="str">
        <f>IF(VLOOKUP($G235, SeanRanks26!$A$2:$H$303, 8, FALSE)=0, "", VLOOKUP($G235, SeanRanks26!$A$2:$H$303, 8, FALSE))</f>
        <v/>
      </c>
    </row>
    <row r="236" spans="1:25" ht="14.25" hidden="1" customHeight="1" x14ac:dyDescent="0.25">
      <c r="A236" s="11"/>
      <c r="B236" s="11">
        <f t="shared" si="8"/>
        <v>17</v>
      </c>
      <c r="C236" s="11" t="s">
        <v>148</v>
      </c>
      <c r="D236" s="11"/>
      <c r="E236" s="23"/>
      <c r="F236" s="11">
        <f>VLOOKUP($G236, SeanRanks26!$A$2:$H$303, 5, FALSE)</f>
        <v>0</v>
      </c>
      <c r="G236" s="11" t="s">
        <v>606</v>
      </c>
      <c r="H236" s="11" t="str">
        <f>VLOOKUP($G236, '26 ADP Data'!$C$4:$Q$298, 2, FALSE)</f>
        <v>CIN</v>
      </c>
      <c r="I236" s="11" t="str">
        <f>VLOOKUP(G236, '26 ADP Data'!$C$4:$R$496, 16, FALSE)</f>
        <v>RB</v>
      </c>
      <c r="J236" s="11">
        <f>VLOOKUP($G236, SeanRanks26!$A$2:$H$303, 6, FALSE)</f>
        <v>0</v>
      </c>
      <c r="K236" s="11">
        <f>VLOOKUP($G236, SeanRanks26!$A$2:$H$303, 7, FALSE)</f>
        <v>0</v>
      </c>
      <c r="L236" s="11">
        <f t="shared" si="4"/>
        <v>20</v>
      </c>
      <c r="M236" s="11">
        <f>VLOOKUP($G236, '26 ADP Data'!$C$4:$Q$298, 10, FALSE)</f>
        <v>230</v>
      </c>
      <c r="N236" s="11">
        <f>VLOOKUP($G236, '26 ADP Data'!$C$4:$Q$298, 13, FALSE)</f>
        <v>223</v>
      </c>
      <c r="O236" s="11">
        <f t="shared" si="5"/>
        <v>7</v>
      </c>
      <c r="P236" s="11" t="str">
        <f>VLOOKUP($G236, '26 ADP Data'!$C$4:$Q$298, 3, FALSE)</f>
        <v>-</v>
      </c>
      <c r="Q236" s="11" t="str">
        <f>VLOOKUP($G236, '26 ADP Data'!$C$4:$Q$298, 4, FALSE)</f>
        <v>-</v>
      </c>
      <c r="R236" s="11">
        <f>VLOOKUP($G236, '26 ADP Data'!$C$4:$Q$298, 6, FALSE)</f>
        <v>199</v>
      </c>
      <c r="S236" s="11" t="str">
        <f>VLOOKUP($G236, '26 ADP Data'!$C$4:$Q$298, 9, FALSE)</f>
        <v>-</v>
      </c>
      <c r="T236" s="11" t="str">
        <f>VLOOKUP($G236, '26 ADP Data'!$C$4:$Q$298, 8, FALSE)</f>
        <v>-</v>
      </c>
      <c r="U236" s="11">
        <f t="shared" si="6"/>
        <v>217</v>
      </c>
      <c r="V236" s="11">
        <f t="shared" si="7"/>
        <v>19</v>
      </c>
      <c r="W236" s="11"/>
      <c r="X236" s="11">
        <f>VLOOKUP($G236, SeanRanks26!$A$2:$K$303, 10, FALSE)-U236</f>
        <v>13</v>
      </c>
      <c r="Y236" s="25" t="str">
        <f>IF(VLOOKUP($G236, SeanRanks26!$A$2:$H$303, 8, FALSE)=0, "", VLOOKUP($G236, SeanRanks26!$A$2:$H$303, 8, FALSE))</f>
        <v/>
      </c>
    </row>
    <row r="237" spans="1:25" ht="14.25" hidden="1" customHeight="1" x14ac:dyDescent="0.25">
      <c r="A237" s="11"/>
      <c r="B237" s="11">
        <f t="shared" si="8"/>
        <v>21</v>
      </c>
      <c r="C237" s="11" t="s">
        <v>148</v>
      </c>
      <c r="D237" s="11"/>
      <c r="E237" s="23"/>
      <c r="F237" s="11">
        <f>VLOOKUP($G237, SeanRanks26!$A$2:$H$303, 5, FALSE)</f>
        <v>0</v>
      </c>
      <c r="G237" s="11" t="s">
        <v>485</v>
      </c>
      <c r="H237" s="11" t="str">
        <f>VLOOKUP($G237, '26 ADP Data'!$C$4:$Q$298, 2, FALSE)</f>
        <v>ARI</v>
      </c>
      <c r="I237" s="11" t="str">
        <f>VLOOKUP(G237, '26 ADP Data'!$C$4:$R$496, 16, FALSE)</f>
        <v>QB</v>
      </c>
      <c r="J237" s="11">
        <f>VLOOKUP($G237, SeanRanks26!$A$2:$H$303, 6, FALSE)</f>
        <v>0</v>
      </c>
      <c r="K237" s="11">
        <f>VLOOKUP($G237, SeanRanks26!$A$2:$H$303, 7, FALSE)</f>
        <v>0</v>
      </c>
      <c r="L237" s="11">
        <f t="shared" si="4"/>
        <v>18</v>
      </c>
      <c r="M237" s="11">
        <f>VLOOKUP($G237, '26 ADP Data'!$C$4:$Q$298, 10, FALSE)</f>
        <v>209</v>
      </c>
      <c r="N237" s="11">
        <f>VLOOKUP($G237, '26 ADP Data'!$C$4:$Q$298, 13, FALSE)</f>
        <v>202</v>
      </c>
      <c r="O237" s="11">
        <f t="shared" si="5"/>
        <v>7</v>
      </c>
      <c r="P237" s="11" t="str">
        <f>VLOOKUP($G237, '26 ADP Data'!$C$4:$Q$298, 3, FALSE)</f>
        <v>-</v>
      </c>
      <c r="Q237" s="11">
        <f>VLOOKUP($G237, '26 ADP Data'!$C$4:$Q$298, 4, FALSE)</f>
        <v>221</v>
      </c>
      <c r="R237" s="11">
        <f>VLOOKUP($G237, '26 ADP Data'!$C$4:$Q$298, 6, FALSE)</f>
        <v>234</v>
      </c>
      <c r="S237" s="11">
        <f>VLOOKUP($G237, '26 ADP Data'!$C$4:$Q$298, 9, FALSE)</f>
        <v>267</v>
      </c>
      <c r="T237" s="11" t="str">
        <f>VLOOKUP($G237, '26 ADP Data'!$C$4:$Q$298, 8, FALSE)</f>
        <v>-</v>
      </c>
      <c r="U237" s="11">
        <f t="shared" si="6"/>
        <v>226</v>
      </c>
      <c r="V237" s="11">
        <f t="shared" si="7"/>
        <v>19</v>
      </c>
      <c r="W237" s="11"/>
      <c r="X237" s="11">
        <f>VLOOKUP($G237, SeanRanks26!$A$2:$K$303, 10, FALSE)-U237</f>
        <v>-17</v>
      </c>
      <c r="Y237" s="25" t="str">
        <f>IF(VLOOKUP($G237, SeanRanks26!$A$2:$H$303, 8, FALSE)=0, "", VLOOKUP($G237, SeanRanks26!$A$2:$H$303, 8, FALSE))</f>
        <v/>
      </c>
    </row>
    <row r="238" spans="1:25" ht="14.25" hidden="1" customHeight="1" x14ac:dyDescent="0.25">
      <c r="A238" s="11"/>
      <c r="B238" s="11">
        <f t="shared" si="8"/>
        <v>20</v>
      </c>
      <c r="C238" s="11" t="s">
        <v>148</v>
      </c>
      <c r="D238" s="11"/>
      <c r="E238" s="23"/>
      <c r="F238" s="11">
        <f>VLOOKUP($G238, SeanRanks26!$A$2:$H$303, 5, FALSE)</f>
        <v>0</v>
      </c>
      <c r="G238" s="11" t="s">
        <v>592</v>
      </c>
      <c r="H238" s="11" t="str">
        <f>VLOOKUP($G238, '26 ADP Data'!$C$4:$Q$298, 2, FALSE)</f>
        <v>MIN</v>
      </c>
      <c r="I238" s="11" t="str">
        <f>VLOOKUP(G238, '26 ADP Data'!$C$4:$R$496, 16, FALSE)</f>
        <v>RB</v>
      </c>
      <c r="J238" s="11">
        <f>VLOOKUP($G238, SeanRanks26!$A$2:$H$303, 6, FALSE)</f>
        <v>0</v>
      </c>
      <c r="K238" s="11">
        <f>VLOOKUP($G238, SeanRanks26!$A$2:$H$303, 7, FALSE)</f>
        <v>0</v>
      </c>
      <c r="L238" s="11">
        <f t="shared" si="4"/>
        <v>17</v>
      </c>
      <c r="M238" s="11">
        <f>VLOOKUP($G238, '26 ADP Data'!$C$4:$Q$298, 10, FALSE)</f>
        <v>203</v>
      </c>
      <c r="N238" s="11">
        <f>VLOOKUP($G238, '26 ADP Data'!$C$4:$Q$298, 13, FALSE)</f>
        <v>242</v>
      </c>
      <c r="O238" s="11">
        <f t="shared" si="5"/>
        <v>-39</v>
      </c>
      <c r="P238" s="11" t="str">
        <f>VLOOKUP($G238, '26 ADP Data'!$C$4:$Q$298, 3, FALSE)</f>
        <v>-</v>
      </c>
      <c r="Q238" s="11" t="str">
        <f>VLOOKUP($G238, '26 ADP Data'!$C$4:$Q$298, 4, FALSE)</f>
        <v>-</v>
      </c>
      <c r="R238" s="11">
        <f>VLOOKUP($G238, '26 ADP Data'!$C$4:$Q$298, 6, FALSE)</f>
        <v>223</v>
      </c>
      <c r="S238" s="11">
        <f>VLOOKUP($G238, '26 ADP Data'!$C$4:$Q$298, 9, FALSE)</f>
        <v>253</v>
      </c>
      <c r="T238" s="11" t="str">
        <f>VLOOKUP($G238, '26 ADP Data'!$C$4:$Q$298, 8, FALSE)</f>
        <v>-</v>
      </c>
      <c r="U238" s="11">
        <f t="shared" si="6"/>
        <v>230</v>
      </c>
      <c r="V238" s="11">
        <f t="shared" si="7"/>
        <v>20</v>
      </c>
      <c r="W238" s="11"/>
      <c r="X238" s="11">
        <f>VLOOKUP($G238, SeanRanks26!$A$2:$K$303, 10, FALSE)-U238</f>
        <v>-27</v>
      </c>
      <c r="Y238" s="25" t="str">
        <f>IF(VLOOKUP($G238, SeanRanks26!$A$2:$H$303, 8, FALSE)=0, "", VLOOKUP($G238, SeanRanks26!$A$2:$H$303, 8, FALSE))</f>
        <v>Rookie R6 Wake Forest</v>
      </c>
    </row>
    <row r="239" spans="1:25" ht="14.25" hidden="1" customHeight="1" x14ac:dyDescent="0.25">
      <c r="A239" s="11"/>
      <c r="B239" s="11">
        <f t="shared" si="8"/>
        <v>18</v>
      </c>
      <c r="C239" s="11" t="s">
        <v>148</v>
      </c>
      <c r="D239" s="11"/>
      <c r="E239" s="23"/>
      <c r="F239" s="11">
        <f>VLOOKUP($G239, SeanRanks26!$A$2:$H$303, 5, FALSE)</f>
        <v>0</v>
      </c>
      <c r="G239" s="11" t="s">
        <v>525</v>
      </c>
      <c r="H239" s="11" t="str">
        <f>VLOOKUP($G239, '26 ADP Data'!$C$4:$Q$298, 2, FALSE)</f>
        <v>LAC</v>
      </c>
      <c r="I239" s="11" t="str">
        <f>VLOOKUP(G239, '26 ADP Data'!$C$4:$R$496, 16, FALSE)</f>
        <v>RB</v>
      </c>
      <c r="J239" s="11">
        <f>VLOOKUP($G239, SeanRanks26!$A$2:$H$303, 6, FALSE)</f>
        <v>0</v>
      </c>
      <c r="K239" s="11">
        <f>VLOOKUP($G239, SeanRanks26!$A$2:$H$303, 7, FALSE)</f>
        <v>0</v>
      </c>
      <c r="L239" s="11">
        <f t="shared" si="4"/>
        <v>18</v>
      </c>
      <c r="M239" s="11">
        <f>VLOOKUP($G239, '26 ADP Data'!$C$4:$Q$298, 10, FALSE)</f>
        <v>213</v>
      </c>
      <c r="N239" s="11">
        <f>VLOOKUP($G239, '26 ADP Data'!$C$4:$Q$298, 13, FALSE)</f>
        <v>208</v>
      </c>
      <c r="O239" s="11">
        <f t="shared" si="5"/>
        <v>5</v>
      </c>
      <c r="P239" s="11" t="str">
        <f>VLOOKUP($G239, '26 ADP Data'!$C$4:$Q$298, 3, FALSE)</f>
        <v>-</v>
      </c>
      <c r="Q239" s="11" t="str">
        <f>VLOOKUP($G239, '26 ADP Data'!$C$4:$Q$298, 4, FALSE)</f>
        <v>-</v>
      </c>
      <c r="R239" s="11">
        <f>VLOOKUP($G239, '26 ADP Data'!$C$4:$Q$298, 6, FALSE)</f>
        <v>182</v>
      </c>
      <c r="S239" s="11">
        <f>VLOOKUP($G239, '26 ADP Data'!$C$4:$Q$298, 9, FALSE)</f>
        <v>228</v>
      </c>
      <c r="T239" s="11" t="str">
        <f>VLOOKUP($G239, '26 ADP Data'!$C$4:$Q$298, 8, FALSE)</f>
        <v>-</v>
      </c>
      <c r="U239" s="11">
        <f t="shared" si="6"/>
        <v>207</v>
      </c>
      <c r="V239" s="11">
        <f t="shared" si="7"/>
        <v>18</v>
      </c>
      <c r="W239" s="11"/>
      <c r="X239" s="11">
        <f>VLOOKUP($G239, SeanRanks26!$A$2:$K$303, 10, FALSE)-U239</f>
        <v>6</v>
      </c>
      <c r="Y239" s="25" t="str">
        <f>IF(VLOOKUP($G239, SeanRanks26!$A$2:$H$303, 8, FALSE)=0, "", VLOOKUP($G239, SeanRanks26!$A$2:$H$303, 8, FALSE))</f>
        <v/>
      </c>
    </row>
    <row r="240" spans="1:25" ht="14.25" hidden="1" customHeight="1" x14ac:dyDescent="0.25">
      <c r="A240" s="11"/>
      <c r="B240" s="11">
        <f t="shared" si="8"/>
        <v>17</v>
      </c>
      <c r="C240" s="11" t="s">
        <v>148</v>
      </c>
      <c r="D240" s="11"/>
      <c r="E240" s="23"/>
      <c r="F240" s="11">
        <f>VLOOKUP($G240, SeanRanks26!$A$2:$H$303, 5, FALSE)</f>
        <v>0</v>
      </c>
      <c r="G240" s="11" t="s">
        <v>530</v>
      </c>
      <c r="H240" s="11" t="str">
        <f>VLOOKUP($G240, '26 ADP Data'!$C$4:$Q$298, 2, FALSE)</f>
        <v>BAL</v>
      </c>
      <c r="I240" s="11" t="str">
        <f>VLOOKUP(G240, '26 ADP Data'!$C$4:$R$496, 16, FALSE)</f>
        <v>RB</v>
      </c>
      <c r="J240" s="11">
        <f>VLOOKUP($G240, SeanRanks26!$A$2:$H$303, 6, FALSE)</f>
        <v>0</v>
      </c>
      <c r="K240" s="11">
        <f>VLOOKUP($G240, SeanRanks26!$A$2:$H$303, 7, FALSE)</f>
        <v>0</v>
      </c>
      <c r="L240" s="11">
        <f t="shared" si="4"/>
        <v>21</v>
      </c>
      <c r="M240" s="11">
        <f>VLOOKUP($G240, '26 ADP Data'!$C$4:$Q$298, 10, FALSE)</f>
        <v>246</v>
      </c>
      <c r="N240" s="11">
        <f>VLOOKUP($G240, '26 ADP Data'!$C$4:$Q$298, 13, FALSE)</f>
        <v>219</v>
      </c>
      <c r="O240" s="11">
        <f t="shared" si="5"/>
        <v>27</v>
      </c>
      <c r="P240" s="11" t="str">
        <f>VLOOKUP($G240, '26 ADP Data'!$C$4:$Q$298, 3, FALSE)</f>
        <v>-</v>
      </c>
      <c r="Q240" s="11" t="str">
        <f>VLOOKUP($G240, '26 ADP Data'!$C$4:$Q$298, 4, FALSE)</f>
        <v>-</v>
      </c>
      <c r="R240" s="11">
        <f>VLOOKUP($G240, '26 ADP Data'!$C$4:$Q$298, 6, FALSE)</f>
        <v>178</v>
      </c>
      <c r="S240" s="11">
        <f>VLOOKUP($G240, '26 ADP Data'!$C$4:$Q$298, 9, FALSE)</f>
        <v>218</v>
      </c>
      <c r="T240" s="11" t="str">
        <f>VLOOKUP($G240, '26 ADP Data'!$C$4:$Q$298, 8, FALSE)</f>
        <v>-</v>
      </c>
      <c r="U240" s="11">
        <f t="shared" si="6"/>
        <v>215</v>
      </c>
      <c r="V240" s="11">
        <f t="shared" si="7"/>
        <v>18</v>
      </c>
      <c r="W240" s="11"/>
      <c r="X240" s="11">
        <f>VLOOKUP($G240, SeanRanks26!$A$2:$K$303, 10, FALSE)-U240</f>
        <v>31</v>
      </c>
      <c r="Y240" s="25" t="str">
        <f>IF(VLOOKUP($G240, SeanRanks26!$A$2:$H$303, 8, FALSE)=0, "", VLOOKUP($G240, SeanRanks26!$A$2:$H$303, 8, FALSE))</f>
        <v/>
      </c>
    </row>
    <row r="241" spans="1:25" ht="14.25" customHeight="1" x14ac:dyDescent="0.25">
      <c r="A241" s="11"/>
      <c r="B241" s="11">
        <f t="shared" si="8"/>
        <v>16</v>
      </c>
      <c r="C241" s="11" t="s">
        <v>148</v>
      </c>
      <c r="D241" s="11"/>
      <c r="E241" s="23"/>
      <c r="F241" s="11">
        <f>VLOOKUP($G241, SeanRanks26!$A$2:$H$303, 5, FALSE)</f>
        <v>0</v>
      </c>
      <c r="G241" s="11" t="s">
        <v>493</v>
      </c>
      <c r="H241" s="11" t="str">
        <f>VLOOKUP($G241, '26 ADP Data'!$C$4:$Q$298, 2, FALSE)</f>
        <v>PHI</v>
      </c>
      <c r="I241" s="11" t="str">
        <f>VLOOKUP(G241, '26 ADP Data'!$C$4:$R$496, 16, FALSE)</f>
        <v>WR</v>
      </c>
      <c r="J241" s="11">
        <f>VLOOKUP($G241, SeanRanks26!$A$2:$H$303, 6, FALSE)</f>
        <v>0</v>
      </c>
      <c r="K241" s="11">
        <f>VLOOKUP($G241, SeanRanks26!$A$2:$H$303, 7, FALSE)</f>
        <v>0</v>
      </c>
      <c r="L241" s="11">
        <f t="shared" si="4"/>
        <v>13</v>
      </c>
      <c r="M241" s="11">
        <f>VLOOKUP($G241, '26 ADP Data'!$C$4:$Q$298, 10, FALSE)</f>
        <v>152</v>
      </c>
      <c r="N241" s="11">
        <f>VLOOKUP($G241, '26 ADP Data'!$C$4:$Q$298, 13, FALSE)</f>
        <v>158</v>
      </c>
      <c r="O241" s="11">
        <f t="shared" si="5"/>
        <v>-6</v>
      </c>
      <c r="P241" s="11" t="str">
        <f>VLOOKUP($G241, '26 ADP Data'!$C$4:$Q$298, 3, FALSE)</f>
        <v>-</v>
      </c>
      <c r="Q241" s="11" t="str">
        <f>VLOOKUP($G241, '26 ADP Data'!$C$4:$Q$298, 4, FALSE)</f>
        <v>-</v>
      </c>
      <c r="R241" s="11">
        <f>VLOOKUP($G241, '26 ADP Data'!$C$4:$Q$298, 6, FALSE)</f>
        <v>165</v>
      </c>
      <c r="S241" s="11">
        <f>VLOOKUP($G241, '26 ADP Data'!$C$4:$Q$298, 9, FALSE)</f>
        <v>202</v>
      </c>
      <c r="T241" s="11" t="str">
        <f>VLOOKUP($G241, '26 ADP Data'!$C$4:$Q$298, 8, FALSE)</f>
        <v>-</v>
      </c>
      <c r="U241" s="11">
        <f t="shared" si="6"/>
        <v>169</v>
      </c>
      <c r="V241" s="11">
        <f t="shared" si="7"/>
        <v>15</v>
      </c>
      <c r="W241" s="11"/>
      <c r="X241" s="11">
        <f>VLOOKUP($G241, SeanRanks26!$A$2:$K$303, 10, FALSE)-U241</f>
        <v>-17</v>
      </c>
      <c r="Y241" s="25" t="str">
        <f>IF(VLOOKUP($G241, SeanRanks26!$A$2:$H$303, 8, FALSE)=0, "", VLOOKUP($G241, SeanRanks26!$A$2:$H$303, 8, FALSE))</f>
        <v/>
      </c>
    </row>
    <row r="242" spans="1:25" ht="14.25" customHeight="1" x14ac:dyDescent="0.25">
      <c r="A242" s="11"/>
      <c r="B242" s="11">
        <f t="shared" si="8"/>
        <v>18</v>
      </c>
      <c r="C242" s="11" t="s">
        <v>148</v>
      </c>
      <c r="D242" s="11"/>
      <c r="E242" s="23"/>
      <c r="F242" s="11">
        <f>VLOOKUP($G242, SeanRanks26!$A$2:$H$303, 5, FALSE)</f>
        <v>0</v>
      </c>
      <c r="G242" s="11" t="s">
        <v>504</v>
      </c>
      <c r="H242" s="11" t="str">
        <f>VLOOKUP($G242, '26 ADP Data'!$C$4:$Q$298, 2, FALSE)</f>
        <v>LAC</v>
      </c>
      <c r="I242" s="11" t="str">
        <f>VLOOKUP(G242, '26 ADP Data'!$C$4:$R$496, 16, FALSE)</f>
        <v>WR</v>
      </c>
      <c r="J242" s="11">
        <f>VLOOKUP($G242, SeanRanks26!$A$2:$H$303, 6, FALSE)</f>
        <v>0</v>
      </c>
      <c r="K242" s="11">
        <f>VLOOKUP($G242, SeanRanks26!$A$2:$H$303, 7, FALSE)</f>
        <v>0</v>
      </c>
      <c r="L242" s="11">
        <f t="shared" si="4"/>
        <v>16</v>
      </c>
      <c r="M242" s="11">
        <f>VLOOKUP($G242, '26 ADP Data'!$C$4:$Q$298, 10, FALSE)</f>
        <v>184</v>
      </c>
      <c r="N242" s="11">
        <f>VLOOKUP($G242, '26 ADP Data'!$C$4:$Q$298, 13, FALSE)</f>
        <v>159</v>
      </c>
      <c r="O242" s="11">
        <f t="shared" si="5"/>
        <v>25</v>
      </c>
      <c r="P242" s="11" t="str">
        <f>VLOOKUP($G242, '26 ADP Data'!$C$4:$Q$298, 3, FALSE)</f>
        <v>-</v>
      </c>
      <c r="Q242" s="11" t="str">
        <f>VLOOKUP($G242, '26 ADP Data'!$C$4:$Q$298, 4, FALSE)</f>
        <v>-</v>
      </c>
      <c r="R242" s="11">
        <f>VLOOKUP($G242, '26 ADP Data'!$C$4:$Q$298, 6, FALSE)</f>
        <v>184</v>
      </c>
      <c r="S242" s="11">
        <f>VLOOKUP($G242, '26 ADP Data'!$C$4:$Q$298, 9, FALSE)</f>
        <v>229</v>
      </c>
      <c r="T242" s="11" t="str">
        <f>VLOOKUP($G242, '26 ADP Data'!$C$4:$Q$298, 8, FALSE)</f>
        <v>-</v>
      </c>
      <c r="U242" s="11">
        <f t="shared" si="6"/>
        <v>189</v>
      </c>
      <c r="V242" s="11">
        <f t="shared" si="7"/>
        <v>16</v>
      </c>
      <c r="W242" s="11"/>
      <c r="X242" s="11">
        <f>VLOOKUP($G242, SeanRanks26!$A$2:$K$303, 10, FALSE)-U242</f>
        <v>-5</v>
      </c>
      <c r="Y242" s="25" t="s">
        <v>788</v>
      </c>
    </row>
    <row r="243" spans="1:25" ht="14.25" hidden="1" customHeight="1" x14ac:dyDescent="0.25">
      <c r="A243" s="11"/>
      <c r="B243" s="11" t="e">
        <f t="shared" si="8"/>
        <v>#N/A</v>
      </c>
      <c r="C243" s="11" t="s">
        <v>148</v>
      </c>
      <c r="D243" s="11"/>
      <c r="E243" s="23"/>
      <c r="F243" s="11" t="e">
        <f>VLOOKUP($G243, SeanRanks26!$A$2:$H$303, 5, FALSE)</f>
        <v>#N/A</v>
      </c>
      <c r="G243" s="11" t="s">
        <v>1090</v>
      </c>
      <c r="H243" s="11" t="e">
        <f>VLOOKUP($G243, '26 ADP Data'!$C$4:$Q$298, 2, FALSE)</f>
        <v>#N/A</v>
      </c>
      <c r="I243" s="11" t="e">
        <f>VLOOKUP(G243, '26 ADP Data'!$C$4:$R$496, 16, FALSE)</f>
        <v>#N/A</v>
      </c>
      <c r="J243" s="11" t="e">
        <f>VLOOKUP($G243, SeanRanks26!$A$2:$H$303, 6, FALSE)</f>
        <v>#N/A</v>
      </c>
      <c r="K243" s="11" t="e">
        <f>VLOOKUP($G243, SeanRanks26!$A$2:$H$303, 7, FALSE)</f>
        <v>#N/A</v>
      </c>
      <c r="L243" s="11">
        <f t="shared" si="4"/>
        <v>16</v>
      </c>
      <c r="M243" s="11" t="e">
        <f>VLOOKUP($G243, '26 ADP Data'!$C$4:$Q$298, 10, FALSE)</f>
        <v>#N/A</v>
      </c>
      <c r="N243" s="11" t="e">
        <f>VLOOKUP($G243, '26 ADP Data'!$C$4:$Q$298, 13, FALSE)</f>
        <v>#N/A</v>
      </c>
      <c r="O243" s="11" t="e">
        <f t="shared" si="5"/>
        <v>#N/A</v>
      </c>
      <c r="P243" s="11" t="e">
        <f>VLOOKUP($G243, '26 ADP Data'!$C$4:$Q$298, 3, FALSE)</f>
        <v>#N/A</v>
      </c>
      <c r="Q243" s="11" t="e">
        <f>VLOOKUP($G243, '26 ADP Data'!$C$4:$Q$298, 4, FALSE)</f>
        <v>#N/A</v>
      </c>
      <c r="R243" s="11" t="e">
        <f>VLOOKUP($G243, '26 ADP Data'!$C$4:$Q$298, 6, FALSE)</f>
        <v>#N/A</v>
      </c>
      <c r="S243" s="11" t="e">
        <f>VLOOKUP($G243, '26 ADP Data'!$C$4:$Q$298, 9, FALSE)</f>
        <v>#N/A</v>
      </c>
      <c r="T243" s="11" t="e">
        <f>VLOOKUP($G243, '26 ADP Data'!$C$4:$Q$298, 8, FALSE)</f>
        <v>#N/A</v>
      </c>
      <c r="U243" s="11" t="e">
        <f t="shared" si="6"/>
        <v>#N/A</v>
      </c>
      <c r="V243" s="11">
        <f t="shared" si="7"/>
        <v>16</v>
      </c>
      <c r="W243" s="11"/>
      <c r="X243" s="11" t="e">
        <f>VLOOKUP($G243, SeanRanks26!$A$2:$K$303, 10, FALSE)-U243</f>
        <v>#N/A</v>
      </c>
      <c r="Y243" s="25" t="e">
        <f>IF(VLOOKUP($G243, SeanRanks26!$A$2:$H$303, 8, FALSE)=0, "", VLOOKUP($G243, SeanRanks26!$A$2:$H$303, 8, FALSE))</f>
        <v>#N/A</v>
      </c>
    </row>
    <row r="244" spans="1:25" ht="14.25" hidden="1" customHeight="1" x14ac:dyDescent="0.25">
      <c r="A244" s="11"/>
      <c r="B244" s="11">
        <f t="shared" si="8"/>
        <v>22</v>
      </c>
      <c r="C244" s="11" t="s">
        <v>148</v>
      </c>
      <c r="D244" s="11"/>
      <c r="E244" s="23"/>
      <c r="F244" s="11">
        <f>VLOOKUP($G244, SeanRanks26!$A$2:$H$303, 5, FALSE)</f>
        <v>0</v>
      </c>
      <c r="G244" s="11" t="s">
        <v>588</v>
      </c>
      <c r="H244" s="11" t="str">
        <f>VLOOKUP($G244, '26 ADP Data'!$C$4:$Q$298, 2, FALSE)</f>
        <v>NYJ</v>
      </c>
      <c r="I244" s="11" t="str">
        <f>VLOOKUP(G244, '26 ADP Data'!$C$4:$R$496, 16, FALSE)</f>
        <v>QB</v>
      </c>
      <c r="J244" s="11">
        <f>VLOOKUP($G244, SeanRanks26!$A$2:$H$303, 6, FALSE)</f>
        <v>0</v>
      </c>
      <c r="K244" s="11">
        <f>VLOOKUP($G244, SeanRanks26!$A$2:$H$303, 7, FALSE)</f>
        <v>0</v>
      </c>
      <c r="L244" s="11">
        <f t="shared" si="4"/>
        <v>21</v>
      </c>
      <c r="M244" s="11">
        <f>VLOOKUP($G244, '26 ADP Data'!$C$4:$Q$298, 10, FALSE)</f>
        <v>245</v>
      </c>
      <c r="N244" s="11">
        <f>VLOOKUP($G244, '26 ADP Data'!$C$4:$Q$298, 13, FALSE)</f>
        <v>189</v>
      </c>
      <c r="O244" s="11">
        <f t="shared" si="5"/>
        <v>56</v>
      </c>
      <c r="P244" s="11" t="str">
        <f>VLOOKUP($G244, '26 ADP Data'!$C$4:$Q$298, 3, FALSE)</f>
        <v>-</v>
      </c>
      <c r="Q244" s="11" t="str">
        <f>VLOOKUP($G244, '26 ADP Data'!$C$4:$Q$298, 4, FALSE)</f>
        <v>-</v>
      </c>
      <c r="R244" s="11">
        <f>VLOOKUP($G244, '26 ADP Data'!$C$4:$Q$298, 6, FALSE)</f>
        <v>245</v>
      </c>
      <c r="S244" s="11">
        <f>VLOOKUP($G244, '26 ADP Data'!$C$4:$Q$298, 9, FALSE)</f>
        <v>275</v>
      </c>
      <c r="T244" s="11" t="str">
        <f>VLOOKUP($G244, '26 ADP Data'!$C$4:$Q$298, 8, FALSE)</f>
        <v>-</v>
      </c>
      <c r="U244" s="11">
        <f t="shared" si="6"/>
        <v>238</v>
      </c>
      <c r="V244" s="11">
        <f t="shared" si="7"/>
        <v>20</v>
      </c>
      <c r="W244" s="11"/>
      <c r="X244" s="11">
        <f>VLOOKUP($G244, SeanRanks26!$A$2:$K$303, 10, FALSE)-U244</f>
        <v>7</v>
      </c>
      <c r="Y244" s="25" t="str">
        <f>IF(VLOOKUP($G244, SeanRanks26!$A$2:$H$303, 8, FALSE)=0, "", VLOOKUP($G244, SeanRanks26!$A$2:$H$303, 8, FALSE))</f>
        <v/>
      </c>
    </row>
    <row r="245" spans="1:25" ht="14.25" hidden="1" customHeight="1" x14ac:dyDescent="0.25">
      <c r="A245" s="11"/>
      <c r="B245" s="11">
        <f t="shared" si="8"/>
        <v>17</v>
      </c>
      <c r="C245" s="11" t="s">
        <v>148</v>
      </c>
      <c r="D245" s="11"/>
      <c r="E245" s="23"/>
      <c r="F245" s="11" t="e">
        <f>VLOOKUP($G245, SeanRanks26!$A$2:$H$303, 5, FALSE)</f>
        <v>#N/A</v>
      </c>
      <c r="G245" s="11" t="s">
        <v>598</v>
      </c>
      <c r="H245" s="11" t="str">
        <f>VLOOKUP($G245, '26 ADP Data'!$C$4:$Q$298, 2, FALSE)</f>
        <v>CIN</v>
      </c>
      <c r="I245" s="11" t="str">
        <f>VLOOKUP(G245, '26 ADP Data'!$C$4:$R$496, 16, FALSE)</f>
        <v>K-</v>
      </c>
      <c r="J245" s="11" t="e">
        <f>VLOOKUP($G245, SeanRanks26!$A$2:$H$303, 6, FALSE)</f>
        <v>#N/A</v>
      </c>
      <c r="K245" s="11" t="e">
        <f>VLOOKUP($G245, SeanRanks26!$A$2:$H$303, 7, FALSE)</f>
        <v>#N/A</v>
      </c>
      <c r="L245" s="11">
        <f t="shared" si="4"/>
        <v>19</v>
      </c>
      <c r="M245" s="11">
        <f>VLOOKUP($G245, '26 ADP Data'!$C$4:$Q$298, 10, FALSE)</f>
        <v>221</v>
      </c>
      <c r="N245" s="11" t="str">
        <f>VLOOKUP($G245, '26 ADP Data'!$C$4:$Q$298, 13, FALSE)</f>
        <v>-</v>
      </c>
      <c r="O245" s="11" t="e">
        <f t="shared" si="5"/>
        <v>#VALUE!</v>
      </c>
      <c r="P245" s="11">
        <f>VLOOKUP($G245, '26 ADP Data'!$C$4:$Q$298, 3, FALSE)</f>
        <v>189</v>
      </c>
      <c r="Q245" s="11">
        <f>VLOOKUP($G245, '26 ADP Data'!$C$4:$Q$298, 4, FALSE)</f>
        <v>199</v>
      </c>
      <c r="R245" s="11">
        <f>VLOOKUP($G245, '26 ADP Data'!$C$4:$Q$298, 6, FALSE)</f>
        <v>262</v>
      </c>
      <c r="S245" s="11">
        <f>VLOOKUP($G245, '26 ADP Data'!$C$4:$Q$298, 9, FALSE)</f>
        <v>151</v>
      </c>
      <c r="T245" s="11" t="str">
        <f>VLOOKUP($G245, '26 ADP Data'!$C$4:$Q$298, 8, FALSE)</f>
        <v>-</v>
      </c>
      <c r="U245" s="11">
        <f t="shared" si="6"/>
        <v>204</v>
      </c>
      <c r="V245" s="11">
        <f t="shared" si="7"/>
        <v>18</v>
      </c>
      <c r="W245" s="11"/>
      <c r="X245" s="11" t="e">
        <f>VLOOKUP($G245, SeanRanks26!$A$2:$K$303, 10, FALSE)-U245</f>
        <v>#N/A</v>
      </c>
      <c r="Y245" s="25" t="e">
        <f>IF(VLOOKUP($G245, SeanRanks26!$A$2:$H$303, 8, FALSE)=0, "", VLOOKUP($G245, SeanRanks26!$A$2:$H$303, 8, FALSE))</f>
        <v>#N/A</v>
      </c>
    </row>
    <row r="246" spans="1:25" ht="14.25" hidden="1" customHeight="1" x14ac:dyDescent="0.25">
      <c r="A246" s="11"/>
      <c r="B246" s="11">
        <f t="shared" si="8"/>
        <v>19</v>
      </c>
      <c r="C246" s="11" t="s">
        <v>148</v>
      </c>
      <c r="D246" s="11"/>
      <c r="E246" s="23"/>
      <c r="F246" s="11">
        <f>VLOOKUP($G246, SeanRanks26!$A$2:$H$303, 5, FALSE)</f>
        <v>0</v>
      </c>
      <c r="G246" s="11" t="s">
        <v>547</v>
      </c>
      <c r="H246" s="11" t="str">
        <f>VLOOKUP($G246, '26 ADP Data'!$C$4:$Q$298, 2, FALSE)</f>
        <v>GB</v>
      </c>
      <c r="I246" s="11" t="str">
        <f>VLOOKUP(G246, '26 ADP Data'!$C$4:$R$496, 16, FALSE)</f>
        <v>DE</v>
      </c>
      <c r="J246" s="11">
        <f>VLOOKUP($G246, SeanRanks26!$A$2:$H$303, 6, FALSE)</f>
        <v>0</v>
      </c>
      <c r="K246" s="11">
        <f>VLOOKUP($G246, SeanRanks26!$A$2:$H$303, 7, FALSE)</f>
        <v>0</v>
      </c>
      <c r="L246" s="11">
        <f t="shared" si="4"/>
        <v>21</v>
      </c>
      <c r="M246" s="11">
        <f>VLOOKUP($G246, '26 ADP Data'!$C$4:$Q$298, 10, FALSE)</f>
        <v>240</v>
      </c>
      <c r="N246" s="11" t="str">
        <f>VLOOKUP($G246, '26 ADP Data'!$C$4:$Q$298, 13, FALSE)</f>
        <v>-</v>
      </c>
      <c r="O246" s="11" t="e">
        <f t="shared" si="5"/>
        <v>#VALUE!</v>
      </c>
      <c r="P246" s="11">
        <f>VLOOKUP($G246, '26 ADP Data'!$C$4:$Q$298, 3, FALSE)</f>
        <v>207</v>
      </c>
      <c r="Q246" s="11">
        <f>VLOOKUP($G246, '26 ADP Data'!$C$4:$Q$298, 4, FALSE)</f>
        <v>208</v>
      </c>
      <c r="R246" s="11">
        <f>VLOOKUP($G246, '26 ADP Data'!$C$4:$Q$298, 6, FALSE)</f>
        <v>263</v>
      </c>
      <c r="S246" s="11">
        <f>VLOOKUP($G246, '26 ADP Data'!$C$4:$Q$298, 9, FALSE)</f>
        <v>208</v>
      </c>
      <c r="T246" s="11" t="str">
        <f>VLOOKUP($G246, '26 ADP Data'!$C$4:$Q$298, 8, FALSE)</f>
        <v>-</v>
      </c>
      <c r="U246" s="11">
        <f t="shared" si="6"/>
        <v>225</v>
      </c>
      <c r="V246" s="11">
        <f t="shared" si="7"/>
        <v>19</v>
      </c>
      <c r="W246" s="11"/>
      <c r="X246" s="11">
        <f>VLOOKUP($G246, SeanRanks26!$A$2:$K$303, 10, FALSE)-U246</f>
        <v>15</v>
      </c>
      <c r="Y246" s="25" t="str">
        <f>IF(VLOOKUP($G246, SeanRanks26!$A$2:$H$303, 8, FALSE)=0, "", VLOOKUP($G246, SeanRanks26!$A$2:$H$303, 8, FALSE))</f>
        <v/>
      </c>
    </row>
    <row r="247" spans="1:25" ht="14.25" hidden="1" customHeight="1" x14ac:dyDescent="0.25">
      <c r="A247" s="11"/>
      <c r="B247" s="11">
        <f t="shared" si="8"/>
        <v>21</v>
      </c>
      <c r="C247" s="11" t="s">
        <v>148</v>
      </c>
      <c r="D247" s="11"/>
      <c r="E247" s="23"/>
      <c r="F247" s="11">
        <f>VLOOKUP($G247, SeanRanks26!$A$2:$H$303, 5, FALSE)</f>
        <v>0</v>
      </c>
      <c r="G247" s="11" t="s">
        <v>562</v>
      </c>
      <c r="H247" s="11" t="str">
        <f>VLOOKUP($G247, '26 ADP Data'!$C$4:$Q$298, 2, FALSE)</f>
        <v>ARI</v>
      </c>
      <c r="I247" s="11" t="str">
        <f>VLOOKUP(G247, '26 ADP Data'!$C$4:$R$496, 16, FALSE)</f>
        <v>RB</v>
      </c>
      <c r="J247" s="11">
        <f>VLOOKUP($G247, SeanRanks26!$A$2:$H$303, 6, FALSE)</f>
        <v>0</v>
      </c>
      <c r="K247" s="11">
        <f>VLOOKUP($G247, SeanRanks26!$A$2:$H$303, 7, FALSE)</f>
        <v>0</v>
      </c>
      <c r="L247" s="11">
        <f t="shared" si="4"/>
        <v>16</v>
      </c>
      <c r="M247" s="11" t="str">
        <f>VLOOKUP($G247, '26 ADP Data'!$C$4:$Q$298, 10, FALSE)</f>
        <v>-</v>
      </c>
      <c r="N247" s="11">
        <f>VLOOKUP($G247, '26 ADP Data'!$C$4:$Q$298, 13, FALSE)</f>
        <v>248</v>
      </c>
      <c r="O247" s="11" t="e">
        <f t="shared" si="5"/>
        <v>#VALUE!</v>
      </c>
      <c r="P247" s="11" t="str">
        <f>VLOOKUP($G247, '26 ADP Data'!$C$4:$Q$298, 3, FALSE)</f>
        <v>-</v>
      </c>
      <c r="Q247" s="11" t="str">
        <f>VLOOKUP($G247, '26 ADP Data'!$C$4:$Q$298, 4, FALSE)</f>
        <v>-</v>
      </c>
      <c r="R247" s="11">
        <f>VLOOKUP($G247, '26 ADP Data'!$C$4:$Q$298, 6, FALSE)</f>
        <v>264</v>
      </c>
      <c r="S247" s="11">
        <f>VLOOKUP($G247, '26 ADP Data'!$C$4:$Q$298, 9, FALSE)</f>
        <v>227</v>
      </c>
      <c r="T247" s="11" t="str">
        <f>VLOOKUP($G247, '26 ADP Data'!$C$4:$Q$298, 8, FALSE)</f>
        <v>-</v>
      </c>
      <c r="U247" s="11">
        <f t="shared" si="6"/>
        <v>246</v>
      </c>
      <c r="V247" s="11">
        <f t="shared" si="7"/>
        <v>21</v>
      </c>
      <c r="W247" s="11"/>
      <c r="X247" s="11" t="e">
        <f>VLOOKUP($G247, SeanRanks26!$A$2:$K$303, 10, FALSE)-U247</f>
        <v>#VALUE!</v>
      </c>
      <c r="Y247" s="25" t="str">
        <f>IF(VLOOKUP($G247, SeanRanks26!$A$2:$H$303, 8, FALSE)=0, "", VLOOKUP($G247, SeanRanks26!$A$2:$H$303, 8, FALSE))</f>
        <v/>
      </c>
    </row>
    <row r="248" spans="1:25" ht="14.25" customHeight="1" x14ac:dyDescent="0.25">
      <c r="A248" s="11"/>
      <c r="B248" s="11">
        <f t="shared" si="8"/>
        <v>15</v>
      </c>
      <c r="C248" s="11" t="s">
        <v>148</v>
      </c>
      <c r="D248" s="11"/>
      <c r="E248" s="23"/>
      <c r="F248" s="11">
        <f>VLOOKUP($G248, SeanRanks26!$A$2:$H$303, 5, FALSE)</f>
        <v>0</v>
      </c>
      <c r="G248" s="11" t="s">
        <v>409</v>
      </c>
      <c r="H248" s="11" t="str">
        <f>VLOOKUP($G248, '26 ADP Data'!$C$4:$Q$298, 2, FALSE)</f>
        <v>IND</v>
      </c>
      <c r="I248" s="11" t="str">
        <f>VLOOKUP(G248, '26 ADP Data'!$C$4:$R$496, 16, FALSE)</f>
        <v>WR</v>
      </c>
      <c r="J248" s="11">
        <f>VLOOKUP($G248, SeanRanks26!$A$2:$H$303, 6, FALSE)</f>
        <v>0</v>
      </c>
      <c r="K248" s="11">
        <f>VLOOKUP($G248, SeanRanks26!$A$2:$H$303, 7, FALSE)</f>
        <v>0</v>
      </c>
      <c r="L248" s="11">
        <f t="shared" si="4"/>
        <v>13</v>
      </c>
      <c r="M248" s="11">
        <f>VLOOKUP($G248, '26 ADP Data'!$C$4:$Q$298, 10, FALSE)</f>
        <v>147</v>
      </c>
      <c r="N248" s="11">
        <f>VLOOKUP($G248, '26 ADP Data'!$C$4:$Q$298, 13, FALSE)</f>
        <v>152</v>
      </c>
      <c r="O248" s="11">
        <f t="shared" si="5"/>
        <v>-5</v>
      </c>
      <c r="P248" s="11">
        <f>VLOOKUP($G248, '26 ADP Data'!$C$4:$Q$298, 3, FALSE)</f>
        <v>185</v>
      </c>
      <c r="Q248" s="11">
        <f>VLOOKUP($G248, '26 ADP Data'!$C$4:$Q$298, 4, FALSE)</f>
        <v>173</v>
      </c>
      <c r="R248" s="11">
        <f>VLOOKUP($G248, '26 ADP Data'!$C$4:$Q$298, 6, FALSE)</f>
        <v>166</v>
      </c>
      <c r="S248" s="11">
        <f>VLOOKUP($G248, '26 ADP Data'!$C$4:$Q$298, 9, FALSE)</f>
        <v>178</v>
      </c>
      <c r="T248" s="11" t="str">
        <f>VLOOKUP($G248, '26 ADP Data'!$C$4:$Q$298, 8, FALSE)</f>
        <v>-</v>
      </c>
      <c r="U248" s="11">
        <f t="shared" si="6"/>
        <v>166</v>
      </c>
      <c r="V248" s="11">
        <f t="shared" si="7"/>
        <v>14</v>
      </c>
      <c r="W248" s="11"/>
      <c r="X248" s="11">
        <f>VLOOKUP($G248, SeanRanks26!$A$2:$K$303, 10, FALSE)-U248</f>
        <v>-19</v>
      </c>
      <c r="Y248" s="25" t="str">
        <f>IF(VLOOKUP($G248, SeanRanks26!$A$2:$H$303, 8, FALSE)=0, "", VLOOKUP($G248, SeanRanks26!$A$2:$H$303, 8, FALSE))</f>
        <v/>
      </c>
    </row>
    <row r="249" spans="1:25" ht="14.25" customHeight="1" x14ac:dyDescent="0.25">
      <c r="A249" s="11"/>
      <c r="B249" s="11">
        <f t="shared" si="8"/>
        <v>18</v>
      </c>
      <c r="C249" s="11" t="s">
        <v>148</v>
      </c>
      <c r="D249" s="11"/>
      <c r="E249" s="23"/>
      <c r="F249" s="11">
        <f>VLOOKUP($G249, SeanRanks26!$A$2:$H$303, 5, FALSE)</f>
        <v>0</v>
      </c>
      <c r="G249" s="11" t="s">
        <v>514</v>
      </c>
      <c r="H249" s="11" t="str">
        <f>VLOOKUP($G249, '26 ADP Data'!$C$4:$Q$298, 2, FALSE)</f>
        <v>DAL</v>
      </c>
      <c r="I249" s="11" t="str">
        <f>VLOOKUP(G249, '26 ADP Data'!$C$4:$R$496, 16, FALSE)</f>
        <v>WR</v>
      </c>
      <c r="J249" s="11">
        <f>VLOOKUP($G249, SeanRanks26!$A$2:$H$303, 6, FALSE)</f>
        <v>0</v>
      </c>
      <c r="K249" s="11">
        <f>VLOOKUP($G249, SeanRanks26!$A$2:$H$303, 7, FALSE)</f>
        <v>0</v>
      </c>
      <c r="L249" s="11">
        <f t="shared" si="4"/>
        <v>15</v>
      </c>
      <c r="M249" s="11">
        <f>VLOOKUP($G249, '26 ADP Data'!$C$4:$Q$298, 10, FALSE)</f>
        <v>172</v>
      </c>
      <c r="N249" s="11">
        <f>VLOOKUP($G249, '26 ADP Data'!$C$4:$Q$298, 13, FALSE)</f>
        <v>170</v>
      </c>
      <c r="O249" s="11">
        <f t="shared" si="5"/>
        <v>2</v>
      </c>
      <c r="P249" s="11" t="str">
        <f>VLOOKUP($G249, '26 ADP Data'!$C$4:$Q$298, 3, FALSE)</f>
        <v>-</v>
      </c>
      <c r="Q249" s="11" t="str">
        <f>VLOOKUP($G249, '26 ADP Data'!$C$4:$Q$298, 4, FALSE)</f>
        <v>-</v>
      </c>
      <c r="R249" s="11">
        <f>VLOOKUP($G249, '26 ADP Data'!$C$4:$Q$298, 6, FALSE)</f>
        <v>188</v>
      </c>
      <c r="S249" s="11">
        <f>VLOOKUP($G249, '26 ADP Data'!$C$4:$Q$298, 9, FALSE)</f>
        <v>233</v>
      </c>
      <c r="T249" s="11" t="str">
        <f>VLOOKUP($G249, '26 ADP Data'!$C$4:$Q$298, 8, FALSE)</f>
        <v>-</v>
      </c>
      <c r="U249" s="11">
        <f t="shared" si="6"/>
        <v>190</v>
      </c>
      <c r="V249" s="11">
        <f t="shared" si="7"/>
        <v>16</v>
      </c>
      <c r="W249" s="11"/>
      <c r="X249" s="11">
        <f>VLOOKUP($G249, SeanRanks26!$A$2:$K$303, 10, FALSE)-U249</f>
        <v>-18</v>
      </c>
      <c r="Y249" s="25" t="str">
        <f>IF(VLOOKUP($G249, SeanRanks26!$A$2:$H$303, 8, FALSE)=0, "", VLOOKUP($G249, SeanRanks26!$A$2:$H$303, 8, FALSE))</f>
        <v/>
      </c>
    </row>
    <row r="250" spans="1:25" ht="14.25" hidden="1" customHeight="1" x14ac:dyDescent="0.25">
      <c r="A250" s="11"/>
      <c r="B250" s="11">
        <f t="shared" si="8"/>
        <v>18</v>
      </c>
      <c r="C250" s="11" t="s">
        <v>148</v>
      </c>
      <c r="D250" s="11"/>
      <c r="E250" s="23"/>
      <c r="F250" s="11">
        <f>VLOOKUP($G250, SeanRanks26!$A$2:$H$303, 5, FALSE)</f>
        <v>0</v>
      </c>
      <c r="G250" s="11" t="s">
        <v>491</v>
      </c>
      <c r="H250" s="11" t="str">
        <f>VLOOKUP($G250, '26 ADP Data'!$C$4:$Q$298, 2, FALSE)</f>
        <v>SF</v>
      </c>
      <c r="I250" s="11" t="str">
        <f>VLOOKUP(G250, '26 ADP Data'!$C$4:$R$496, 16, FALSE)</f>
        <v>RB</v>
      </c>
      <c r="J250" s="11">
        <f>VLOOKUP($G250, SeanRanks26!$A$2:$H$303, 6, FALSE)</f>
        <v>0</v>
      </c>
      <c r="K250" s="11">
        <f>VLOOKUP($G250, SeanRanks26!$A$2:$H$303, 7, FALSE)</f>
        <v>0</v>
      </c>
      <c r="L250" s="11">
        <f t="shared" si="4"/>
        <v>21</v>
      </c>
      <c r="M250" s="11">
        <f>VLOOKUP($G250, '26 ADP Data'!$C$4:$Q$298, 10, FALSE)</f>
        <v>242</v>
      </c>
      <c r="N250" s="11">
        <f>VLOOKUP($G250, '26 ADP Data'!$C$4:$Q$298, 13, FALSE)</f>
        <v>229</v>
      </c>
      <c r="O250" s="11">
        <f t="shared" si="5"/>
        <v>13</v>
      </c>
      <c r="P250" s="11">
        <f>VLOOKUP($G250, '26 ADP Data'!$C$4:$Q$298, 3, FALSE)</f>
        <v>208</v>
      </c>
      <c r="Q250" s="11" t="str">
        <f>VLOOKUP($G250, '26 ADP Data'!$C$4:$Q$298, 4, FALSE)</f>
        <v>-</v>
      </c>
      <c r="R250" s="11">
        <f>VLOOKUP($G250, '26 ADP Data'!$C$4:$Q$298, 6, FALSE)</f>
        <v>207</v>
      </c>
      <c r="S250" s="11">
        <f>VLOOKUP($G250, '26 ADP Data'!$C$4:$Q$298, 9, FALSE)</f>
        <v>222</v>
      </c>
      <c r="T250" s="11" t="str">
        <f>VLOOKUP($G250, '26 ADP Data'!$C$4:$Q$298, 8, FALSE)</f>
        <v>-</v>
      </c>
      <c r="U250" s="11">
        <f t="shared" si="6"/>
        <v>221</v>
      </c>
      <c r="V250" s="11">
        <f t="shared" si="7"/>
        <v>19</v>
      </c>
      <c r="W250" s="11"/>
      <c r="X250" s="11">
        <f>VLOOKUP($G250, SeanRanks26!$A$2:$K$303, 10, FALSE)-U250</f>
        <v>21</v>
      </c>
      <c r="Y250" s="25" t="str">
        <f>IF(VLOOKUP($G250, SeanRanks26!$A$2:$H$303, 8, FALSE)=0, "", VLOOKUP($G250, SeanRanks26!$A$2:$H$303, 8, FALSE))</f>
        <v>2025 Rookie R5</v>
      </c>
    </row>
    <row r="251" spans="1:25" ht="14.25" hidden="1" customHeight="1" x14ac:dyDescent="0.25">
      <c r="A251" s="11"/>
      <c r="B251" s="11">
        <f t="shared" si="8"/>
        <v>19</v>
      </c>
      <c r="C251" s="11" t="s">
        <v>148</v>
      </c>
      <c r="D251" s="11"/>
      <c r="E251" s="23"/>
      <c r="F251" s="11">
        <f>VLOOKUP($G251, SeanRanks26!$A$2:$H$303, 5, FALSE)</f>
        <v>0</v>
      </c>
      <c r="G251" s="11" t="s">
        <v>551</v>
      </c>
      <c r="H251" s="11" t="str">
        <f>VLOOKUP($G251, '26 ADP Data'!$C$4:$Q$298, 2, FALSE)</f>
        <v>KC</v>
      </c>
      <c r="I251" s="11" t="str">
        <f>VLOOKUP(G251, '26 ADP Data'!$C$4:$R$496, 16, FALSE)</f>
        <v>DE</v>
      </c>
      <c r="J251" s="11">
        <f>VLOOKUP($G251, SeanRanks26!$A$2:$H$303, 6, FALSE)</f>
        <v>0</v>
      </c>
      <c r="K251" s="11">
        <f>VLOOKUP($G251, SeanRanks26!$A$2:$H$303, 7, FALSE)</f>
        <v>0</v>
      </c>
      <c r="L251" s="11">
        <f t="shared" si="4"/>
        <v>20</v>
      </c>
      <c r="M251" s="11">
        <f>VLOOKUP($G251, '26 ADP Data'!$C$4:$Q$298, 10, FALSE)</f>
        <v>239</v>
      </c>
      <c r="N251" s="11" t="str">
        <f>VLOOKUP($G251, '26 ADP Data'!$C$4:$Q$298, 13, FALSE)</f>
        <v>-</v>
      </c>
      <c r="O251" s="11" t="e">
        <f t="shared" si="5"/>
        <v>#VALUE!</v>
      </c>
      <c r="P251" s="11">
        <f>VLOOKUP($G251, '26 ADP Data'!$C$4:$Q$298, 3, FALSE)</f>
        <v>205</v>
      </c>
      <c r="Q251" s="11">
        <f>VLOOKUP($G251, '26 ADP Data'!$C$4:$Q$298, 4, FALSE)</f>
        <v>174</v>
      </c>
      <c r="R251" s="11">
        <f>VLOOKUP($G251, '26 ADP Data'!$C$4:$Q$298, 6, FALSE)</f>
        <v>272</v>
      </c>
      <c r="S251" s="11">
        <f>VLOOKUP($G251, '26 ADP Data'!$C$4:$Q$298, 9, FALSE)</f>
        <v>221</v>
      </c>
      <c r="T251" s="11" t="str">
        <f>VLOOKUP($G251, '26 ADP Data'!$C$4:$Q$298, 8, FALSE)</f>
        <v>-</v>
      </c>
      <c r="U251" s="11">
        <f t="shared" si="6"/>
        <v>222</v>
      </c>
      <c r="V251" s="11">
        <f t="shared" si="7"/>
        <v>19</v>
      </c>
      <c r="W251" s="11"/>
      <c r="X251" s="11">
        <f>VLOOKUP($G251, SeanRanks26!$A$2:$K$303, 10, FALSE)-U251</f>
        <v>17</v>
      </c>
      <c r="Y251" s="25" t="str">
        <f>IF(VLOOKUP($G251, SeanRanks26!$A$2:$H$303, 8, FALSE)=0, "", VLOOKUP($G251, SeanRanks26!$A$2:$H$303, 8, FALSE))</f>
        <v/>
      </c>
    </row>
    <row r="252" spans="1:25" ht="14.25" hidden="1" customHeight="1" x14ac:dyDescent="0.25">
      <c r="A252" s="11"/>
      <c r="B252" s="11">
        <f t="shared" si="8"/>
        <v>22</v>
      </c>
      <c r="C252" s="11" t="s">
        <v>148</v>
      </c>
      <c r="D252" s="11"/>
      <c r="E252" s="23"/>
      <c r="F252" s="11">
        <f>VLOOKUP($G252, SeanRanks26!$A$2:$H$303, 5, FALSE)</f>
        <v>0</v>
      </c>
      <c r="G252" s="11" t="s">
        <v>558</v>
      </c>
      <c r="H252" s="11" t="str">
        <f>VLOOKUP($G252, '26 ADP Data'!$C$4:$Q$298, 2, FALSE)</f>
        <v>TB</v>
      </c>
      <c r="I252" s="11" t="str">
        <f>VLOOKUP(G252, '26 ADP Data'!$C$4:$R$496, 16, FALSE)</f>
        <v>RB</v>
      </c>
      <c r="J252" s="11">
        <f>VLOOKUP($G252, SeanRanks26!$A$2:$H$303, 6, FALSE)</f>
        <v>0</v>
      </c>
      <c r="K252" s="11">
        <f>VLOOKUP($G252, SeanRanks26!$A$2:$H$303, 7, FALSE)</f>
        <v>0</v>
      </c>
      <c r="L252" s="11">
        <f t="shared" si="4"/>
        <v>16</v>
      </c>
      <c r="M252" s="11" t="str">
        <f>VLOOKUP($G252, '26 ADP Data'!$C$4:$Q$298, 10, FALSE)</f>
        <v>-</v>
      </c>
      <c r="N252" s="11">
        <f>VLOOKUP($G252, '26 ADP Data'!$C$4:$Q$298, 13, FALSE)</f>
        <v>218</v>
      </c>
      <c r="O252" s="11" t="e">
        <f t="shared" si="5"/>
        <v>#VALUE!</v>
      </c>
      <c r="P252" s="11" t="str">
        <f>VLOOKUP($G252, '26 ADP Data'!$C$4:$Q$298, 3, FALSE)</f>
        <v>-</v>
      </c>
      <c r="Q252" s="11" t="str">
        <f>VLOOKUP($G252, '26 ADP Data'!$C$4:$Q$298, 4, FALSE)</f>
        <v>-</v>
      </c>
      <c r="R252" s="11">
        <f>VLOOKUP($G252, '26 ADP Data'!$C$4:$Q$298, 6, FALSE)</f>
        <v>246</v>
      </c>
      <c r="S252" s="11">
        <f>VLOOKUP($G252, '26 ADP Data'!$C$4:$Q$298, 9, FALSE)</f>
        <v>263</v>
      </c>
      <c r="T252" s="11" t="str">
        <f>VLOOKUP($G252, '26 ADP Data'!$C$4:$Q$298, 8, FALSE)</f>
        <v>-</v>
      </c>
      <c r="U252" s="11">
        <f t="shared" si="6"/>
        <v>242</v>
      </c>
      <c r="V252" s="11">
        <f t="shared" si="7"/>
        <v>21</v>
      </c>
      <c r="W252" s="11"/>
      <c r="X252" s="11" t="e">
        <f>VLOOKUP($G252, SeanRanks26!$A$2:$K$303, 10, FALSE)-U252</f>
        <v>#VALUE!</v>
      </c>
      <c r="Y252" s="25" t="str">
        <f>IF(VLOOKUP($G252, SeanRanks26!$A$2:$H$303, 8, FALSE)=0, "", VLOOKUP($G252, SeanRanks26!$A$2:$H$303, 8, FALSE))</f>
        <v/>
      </c>
    </row>
    <row r="253" spans="1:25" ht="14.25" hidden="1" customHeight="1" x14ac:dyDescent="0.25">
      <c r="A253" s="11"/>
      <c r="B253" s="11">
        <f t="shared" si="8"/>
        <v>18</v>
      </c>
      <c r="C253" s="11" t="s">
        <v>148</v>
      </c>
      <c r="D253" s="11"/>
      <c r="E253" s="23"/>
      <c r="F253" s="11">
        <f>VLOOKUP($G253, SeanRanks26!$A$2:$H$303, 5, FALSE)</f>
        <v>0</v>
      </c>
      <c r="G253" s="11" t="s">
        <v>602</v>
      </c>
      <c r="H253" s="11" t="str">
        <f>VLOOKUP($G253, '26 ADP Data'!$C$4:$Q$298, 2, FALSE)</f>
        <v>BUF</v>
      </c>
      <c r="I253" s="11" t="str">
        <f>VLOOKUP(G253, '26 ADP Data'!$C$4:$R$496, 16, FALSE)</f>
        <v>DE</v>
      </c>
      <c r="J253" s="11">
        <f>VLOOKUP($G253, SeanRanks26!$A$2:$H$303, 6, FALSE)</f>
        <v>0</v>
      </c>
      <c r="K253" s="11">
        <f>VLOOKUP($G253, SeanRanks26!$A$2:$H$303, 7, FALSE)</f>
        <v>0</v>
      </c>
      <c r="L253" s="11">
        <f t="shared" si="4"/>
        <v>21</v>
      </c>
      <c r="M253" s="11">
        <f>VLOOKUP($G253, '26 ADP Data'!$C$4:$Q$298, 10, FALSE)</f>
        <v>243</v>
      </c>
      <c r="N253" s="11" t="str">
        <f>VLOOKUP($G253, '26 ADP Data'!$C$4:$Q$298, 13, FALSE)</f>
        <v>-</v>
      </c>
      <c r="O253" s="11" t="e">
        <f t="shared" si="5"/>
        <v>#VALUE!</v>
      </c>
      <c r="P253" s="11">
        <f>VLOOKUP($G253, '26 ADP Data'!$C$4:$Q$298, 3, FALSE)</f>
        <v>196</v>
      </c>
      <c r="Q253" s="11">
        <f>VLOOKUP($G253, '26 ADP Data'!$C$4:$Q$298, 4, FALSE)</f>
        <v>193</v>
      </c>
      <c r="R253" s="11">
        <f>VLOOKUP($G253, '26 ADP Data'!$C$4:$Q$298, 6, FALSE)</f>
        <v>255</v>
      </c>
      <c r="S253" s="11" t="str">
        <f>VLOOKUP($G253, '26 ADP Data'!$C$4:$Q$298, 9, FALSE)</f>
        <v>-</v>
      </c>
      <c r="T253" s="11" t="str">
        <f>VLOOKUP($G253, '26 ADP Data'!$C$4:$Q$298, 8, FALSE)</f>
        <v>-</v>
      </c>
      <c r="U253" s="11">
        <f t="shared" si="6"/>
        <v>221</v>
      </c>
      <c r="V253" s="11">
        <f t="shared" si="7"/>
        <v>19</v>
      </c>
      <c r="W253" s="11"/>
      <c r="X253" s="11">
        <f>VLOOKUP($G253, SeanRanks26!$A$2:$K$303, 10, FALSE)-U253</f>
        <v>22</v>
      </c>
      <c r="Y253" s="25" t="str">
        <f>IF(VLOOKUP($G253, SeanRanks26!$A$2:$H$303, 8, FALSE)=0, "", VLOOKUP($G253, SeanRanks26!$A$2:$H$303, 8, FALSE))</f>
        <v/>
      </c>
    </row>
    <row r="254" spans="1:25" ht="14.25" hidden="1" customHeight="1" x14ac:dyDescent="0.25">
      <c r="A254" s="11"/>
      <c r="B254" s="11">
        <f t="shared" si="8"/>
        <v>19</v>
      </c>
      <c r="C254" s="11" t="s">
        <v>148</v>
      </c>
      <c r="D254" s="11"/>
      <c r="E254" s="23"/>
      <c r="F254" s="11">
        <f>VLOOKUP($G254, SeanRanks26!$A$2:$H$303, 5, FALSE)</f>
        <v>0</v>
      </c>
      <c r="G254" s="11" t="s">
        <v>644</v>
      </c>
      <c r="H254" s="11" t="str">
        <f>VLOOKUP($G254, '26 ADP Data'!$C$4:$Q$298, 2, FALSE)</f>
        <v>CLE</v>
      </c>
      <c r="I254" s="11" t="str">
        <f>VLOOKUP(G254, '26 ADP Data'!$C$4:$R$496, 16, FALSE)</f>
        <v>DE</v>
      </c>
      <c r="J254" s="11">
        <f>VLOOKUP($G254, SeanRanks26!$A$2:$H$303, 6, FALSE)</f>
        <v>0</v>
      </c>
      <c r="K254" s="11">
        <f>VLOOKUP($G254, SeanRanks26!$A$2:$H$303, 7, FALSE)</f>
        <v>0</v>
      </c>
      <c r="L254" s="11">
        <f t="shared" si="4"/>
        <v>16</v>
      </c>
      <c r="M254" s="11" t="str">
        <f>VLOOKUP($G254, '26 ADP Data'!$C$4:$Q$298, 10, FALSE)</f>
        <v>-</v>
      </c>
      <c r="N254" s="11" t="str">
        <f>VLOOKUP($G254, '26 ADP Data'!$C$4:$Q$298, 13, FALSE)</f>
        <v>-</v>
      </c>
      <c r="O254" s="11" t="e">
        <f t="shared" si="5"/>
        <v>#VALUE!</v>
      </c>
      <c r="P254" s="11">
        <f>VLOOKUP($G254, '26 ADP Data'!$C$4:$Q$298, 3, FALSE)</f>
        <v>206</v>
      </c>
      <c r="Q254" s="11">
        <f>VLOOKUP($G254, '26 ADP Data'!$C$4:$Q$298, 4, FALSE)</f>
        <v>158</v>
      </c>
      <c r="R254" s="11">
        <f>VLOOKUP($G254, '26 ADP Data'!$C$4:$Q$298, 6, FALSE)</f>
        <v>314</v>
      </c>
      <c r="S254" s="11" t="str">
        <f>VLOOKUP($G254, '26 ADP Data'!$C$4:$Q$298, 9, FALSE)</f>
        <v>-</v>
      </c>
      <c r="T254" s="11" t="str">
        <f>VLOOKUP($G254, '26 ADP Data'!$C$4:$Q$298, 8, FALSE)</f>
        <v>-</v>
      </c>
      <c r="U254" s="11">
        <f t="shared" si="6"/>
        <v>226</v>
      </c>
      <c r="V254" s="11">
        <f t="shared" si="7"/>
        <v>19</v>
      </c>
      <c r="W254" s="11"/>
      <c r="X254" s="11" t="e">
        <f>VLOOKUP($G254, SeanRanks26!$A$2:$K$303, 10, FALSE)-U254</f>
        <v>#VALUE!</v>
      </c>
      <c r="Y254" s="25" t="str">
        <f>IF(VLOOKUP($G254, SeanRanks26!$A$2:$H$303, 8, FALSE)=0, "", VLOOKUP($G254, SeanRanks26!$A$2:$H$303, 8, FALSE))</f>
        <v/>
      </c>
    </row>
    <row r="255" spans="1:25" ht="14.25" customHeight="1" x14ac:dyDescent="0.25">
      <c r="A255" s="11"/>
      <c r="B255" s="11">
        <f t="shared" si="8"/>
        <v>16</v>
      </c>
      <c r="C255" s="11" t="s">
        <v>148</v>
      </c>
      <c r="D255" s="11"/>
      <c r="E255" s="23"/>
      <c r="F255" s="11">
        <f>VLOOKUP($G255, SeanRanks26!$A$2:$H$303, 5, FALSE)</f>
        <v>0</v>
      </c>
      <c r="G255" s="11" t="s">
        <v>429</v>
      </c>
      <c r="H255" s="11" t="str">
        <f>VLOOKUP($G255, '26 ADP Data'!$C$4:$Q$298, 2, FALSE)</f>
        <v>CLE</v>
      </c>
      <c r="I255" s="11" t="str">
        <f>VLOOKUP(G255, '26 ADP Data'!$C$4:$R$496, 16, FALSE)</f>
        <v>WR</v>
      </c>
      <c r="J255" s="11">
        <f>VLOOKUP($G255, SeanRanks26!$A$2:$H$303, 6, FALSE)</f>
        <v>0</v>
      </c>
      <c r="K255" s="11">
        <f>VLOOKUP($G255, SeanRanks26!$A$2:$H$303, 7, FALSE)</f>
        <v>0</v>
      </c>
      <c r="L255" s="11">
        <f t="shared" si="4"/>
        <v>17</v>
      </c>
      <c r="M255" s="11">
        <f>VLOOKUP($G255, '26 ADP Data'!$C$4:$Q$298, 10, FALSE)</f>
        <v>196</v>
      </c>
      <c r="N255" s="11">
        <f>VLOOKUP($G255, '26 ADP Data'!$C$4:$Q$298, 13, FALSE)</f>
        <v>205</v>
      </c>
      <c r="O255" s="11">
        <f t="shared" si="5"/>
        <v>-9</v>
      </c>
      <c r="P255" s="11">
        <f>VLOOKUP($G255, '26 ADP Data'!$C$4:$Q$298, 3, FALSE)</f>
        <v>175</v>
      </c>
      <c r="Q255" s="11">
        <f>VLOOKUP($G255, '26 ADP Data'!$C$4:$Q$298, 4, FALSE)</f>
        <v>189</v>
      </c>
      <c r="R255" s="11">
        <f>VLOOKUP($G255, '26 ADP Data'!$C$4:$Q$298, 6, FALSE)</f>
        <v>191</v>
      </c>
      <c r="S255" s="11">
        <f>VLOOKUP($G255, '26 ADP Data'!$C$4:$Q$298, 9, FALSE)</f>
        <v>211</v>
      </c>
      <c r="T255" s="11" t="str">
        <f>VLOOKUP($G255, '26 ADP Data'!$C$4:$Q$298, 8, FALSE)</f>
        <v>-</v>
      </c>
      <c r="U255" s="11">
        <f t="shared" si="6"/>
        <v>194</v>
      </c>
      <c r="V255" s="11">
        <f t="shared" si="7"/>
        <v>17</v>
      </c>
      <c r="W255" s="11"/>
      <c r="X255" s="11">
        <f>VLOOKUP($G255, SeanRanks26!$A$2:$K$303, 10, FALSE)-U255</f>
        <v>2</v>
      </c>
      <c r="Y255" s="25" t="str">
        <f>IF(VLOOKUP($G255, SeanRanks26!$A$2:$H$303, 8, FALSE)=0, "", VLOOKUP($G255, SeanRanks26!$A$2:$H$303, 8, FALSE))</f>
        <v/>
      </c>
    </row>
    <row r="256" spans="1:25" ht="14.25" hidden="1" customHeight="1" x14ac:dyDescent="0.25">
      <c r="A256" s="11"/>
      <c r="B256" s="11">
        <f t="shared" si="8"/>
        <v>18</v>
      </c>
      <c r="C256" s="11" t="s">
        <v>148</v>
      </c>
      <c r="D256" s="11"/>
      <c r="E256" s="23"/>
      <c r="F256" s="11" t="e">
        <f>VLOOKUP($G256, SeanRanks26!$A$2:$H$303, 5, FALSE)</f>
        <v>#N/A</v>
      </c>
      <c r="G256" s="11" t="s">
        <v>566</v>
      </c>
      <c r="H256" s="11" t="str">
        <f>VLOOKUP($G256, '26 ADP Data'!$C$4:$Q$298, 2, FALSE)</f>
        <v>DAL</v>
      </c>
      <c r="I256" s="11" t="str">
        <f>VLOOKUP(G256, '26 ADP Data'!$C$4:$R$496, 16, FALSE)</f>
        <v>DE</v>
      </c>
      <c r="J256" s="11" t="e">
        <f>VLOOKUP($G256, SeanRanks26!$A$2:$H$303, 6, FALSE)</f>
        <v>#N/A</v>
      </c>
      <c r="K256" s="11" t="e">
        <f>VLOOKUP($G256, SeanRanks26!$A$2:$H$303, 7, FALSE)</f>
        <v>#N/A</v>
      </c>
      <c r="L256" s="11">
        <f t="shared" si="4"/>
        <v>19</v>
      </c>
      <c r="M256" s="11">
        <f>VLOOKUP($G256, '26 ADP Data'!$C$4:$Q$298, 10, FALSE)</f>
        <v>226</v>
      </c>
      <c r="N256" s="11" t="str">
        <f>VLOOKUP($G256, '26 ADP Data'!$C$4:$Q$298, 13, FALSE)</f>
        <v>-</v>
      </c>
      <c r="O256" s="11" t="e">
        <f t="shared" si="5"/>
        <v>#VALUE!</v>
      </c>
      <c r="P256" s="11">
        <f>VLOOKUP($G256, '26 ADP Data'!$C$4:$Q$298, 3, FALSE)</f>
        <v>195</v>
      </c>
      <c r="Q256" s="11">
        <f>VLOOKUP($G256, '26 ADP Data'!$C$4:$Q$298, 4, FALSE)</f>
        <v>179</v>
      </c>
      <c r="R256" s="11">
        <f>VLOOKUP($G256, '26 ADP Data'!$C$4:$Q$298, 6, FALSE)</f>
        <v>265</v>
      </c>
      <c r="S256" s="11">
        <f>VLOOKUP($G256, '26 ADP Data'!$C$4:$Q$298, 9, FALSE)</f>
        <v>200</v>
      </c>
      <c r="T256" s="11" t="str">
        <f>VLOOKUP($G256, '26 ADP Data'!$C$4:$Q$298, 8, FALSE)</f>
        <v>-</v>
      </c>
      <c r="U256" s="11">
        <f t="shared" si="6"/>
        <v>213</v>
      </c>
      <c r="V256" s="11">
        <f t="shared" si="7"/>
        <v>18</v>
      </c>
      <c r="W256" s="11"/>
      <c r="X256" s="11" t="e">
        <f>VLOOKUP($G256, SeanRanks26!$A$2:$K$303, 10, FALSE)-U256</f>
        <v>#N/A</v>
      </c>
      <c r="Y256" s="25" t="e">
        <f>IF(VLOOKUP($G256, SeanRanks26!$A$2:$H$303, 8, FALSE)=0, "", VLOOKUP($G256, SeanRanks26!$A$2:$H$303, 8, FALSE))</f>
        <v>#N/A</v>
      </c>
    </row>
    <row r="257" spans="1:25" ht="14.25" customHeight="1" x14ac:dyDescent="0.25">
      <c r="A257" s="11"/>
      <c r="B257" s="11">
        <f t="shared" si="8"/>
        <v>17</v>
      </c>
      <c r="C257" s="11" t="s">
        <v>148</v>
      </c>
      <c r="D257" s="11"/>
      <c r="E257" s="23"/>
      <c r="F257" s="11">
        <f>VLOOKUP($G257, SeanRanks26!$A$2:$H$303, 5, FALSE)</f>
        <v>0</v>
      </c>
      <c r="G257" s="11" t="s">
        <v>508</v>
      </c>
      <c r="H257" s="11" t="str">
        <f>VLOOKUP($G257, '26 ADP Data'!$C$4:$Q$298, 2, FALSE)</f>
        <v>MIA</v>
      </c>
      <c r="I257" s="11" t="str">
        <f>VLOOKUP(G257, '26 ADP Data'!$C$4:$R$496, 16, FALSE)</f>
        <v>WR</v>
      </c>
      <c r="J257" s="11">
        <f>VLOOKUP($G257, SeanRanks26!$A$2:$H$303, 6, FALSE)</f>
        <v>0</v>
      </c>
      <c r="K257" s="11">
        <f>VLOOKUP($G257, SeanRanks26!$A$2:$H$303, 7, FALSE)</f>
        <v>0</v>
      </c>
      <c r="L257" s="11">
        <f t="shared" si="4"/>
        <v>18</v>
      </c>
      <c r="M257" s="11">
        <f>VLOOKUP($G257, '26 ADP Data'!$C$4:$Q$298, 10, FALSE)</f>
        <v>208</v>
      </c>
      <c r="N257" s="11">
        <f>VLOOKUP($G257, '26 ADP Data'!$C$4:$Q$298, 13, FALSE)</f>
        <v>173</v>
      </c>
      <c r="O257" s="11">
        <f t="shared" si="5"/>
        <v>35</v>
      </c>
      <c r="P257" s="11" t="str">
        <f>VLOOKUP($G257, '26 ADP Data'!$C$4:$Q$298, 3, FALSE)</f>
        <v>-</v>
      </c>
      <c r="Q257" s="11">
        <f>VLOOKUP($G257, '26 ADP Data'!$C$4:$Q$298, 4, FALSE)</f>
        <v>251</v>
      </c>
      <c r="R257" s="11">
        <f>VLOOKUP($G257, '26 ADP Data'!$C$4:$Q$298, 6, FALSE)</f>
        <v>173</v>
      </c>
      <c r="S257" s="11">
        <f>VLOOKUP($G257, '26 ADP Data'!$C$4:$Q$298, 9, FALSE)</f>
        <v>180</v>
      </c>
      <c r="T257" s="11" t="str">
        <f>VLOOKUP($G257, '26 ADP Data'!$C$4:$Q$298, 8, FALSE)</f>
        <v>-</v>
      </c>
      <c r="U257" s="11">
        <f t="shared" si="6"/>
        <v>197</v>
      </c>
      <c r="V257" s="11">
        <f t="shared" si="7"/>
        <v>17</v>
      </c>
      <c r="W257" s="11"/>
      <c r="X257" s="11">
        <f>VLOOKUP($G257, SeanRanks26!$A$2:$K$303, 10, FALSE)-U257</f>
        <v>11</v>
      </c>
      <c r="Y257" s="25" t="str">
        <f>IF(VLOOKUP($G257, SeanRanks26!$A$2:$H$303, 8, FALSE)=0, "", VLOOKUP($G257, SeanRanks26!$A$2:$H$303, 8, FALSE))</f>
        <v/>
      </c>
    </row>
    <row r="258" spans="1:25" ht="14.25" hidden="1" customHeight="1" x14ac:dyDescent="0.25">
      <c r="A258" s="11"/>
      <c r="B258" s="11">
        <f t="shared" si="8"/>
        <v>17</v>
      </c>
      <c r="C258" s="11" t="s">
        <v>148</v>
      </c>
      <c r="D258" s="11"/>
      <c r="E258" s="23"/>
      <c r="F258" s="11" t="e">
        <f>VLOOKUP($G258, SeanRanks26!$A$2:$H$303, 5, FALSE)</f>
        <v>#N/A</v>
      </c>
      <c r="G258" s="11" t="s">
        <v>640</v>
      </c>
      <c r="H258" s="11" t="str">
        <f>VLOOKUP($G258, '26 ADP Data'!$C$4:$Q$298, 2, FALSE)</f>
        <v>IND</v>
      </c>
      <c r="I258" s="11" t="str">
        <f>VLOOKUP(G258, '26 ADP Data'!$C$4:$R$496, 16, FALSE)</f>
        <v>RB</v>
      </c>
      <c r="J258" s="11" t="e">
        <f>VLOOKUP($G258, SeanRanks26!$A$2:$H$303, 6, FALSE)</f>
        <v>#N/A</v>
      </c>
      <c r="K258" s="11" t="e">
        <f>VLOOKUP($G258, SeanRanks26!$A$2:$H$303, 7, FALSE)</f>
        <v>#N/A</v>
      </c>
      <c r="L258" s="11">
        <f t="shared" si="4"/>
        <v>19</v>
      </c>
      <c r="M258" s="11">
        <f>VLOOKUP($G258, '26 ADP Data'!$C$4:$Q$298, 10, FALSE)</f>
        <v>224</v>
      </c>
      <c r="N258" s="11">
        <f>VLOOKUP($G258, '26 ADP Data'!$C$4:$Q$298, 13, FALSE)</f>
        <v>215</v>
      </c>
      <c r="O258" s="11">
        <f t="shared" si="5"/>
        <v>9</v>
      </c>
      <c r="P258" s="11" t="str">
        <f>VLOOKUP($G258, '26 ADP Data'!$C$4:$Q$298, 3, FALSE)</f>
        <v>-</v>
      </c>
      <c r="Q258" s="11" t="str">
        <f>VLOOKUP($G258, '26 ADP Data'!$C$4:$Q$298, 4, FALSE)</f>
        <v>-</v>
      </c>
      <c r="R258" s="11">
        <f>VLOOKUP($G258, '26 ADP Data'!$C$4:$Q$298, 6, FALSE)</f>
        <v>195</v>
      </c>
      <c r="S258" s="11" t="str">
        <f>VLOOKUP($G258, '26 ADP Data'!$C$4:$Q$298, 9, FALSE)</f>
        <v>-</v>
      </c>
      <c r="T258" s="11" t="str">
        <f>VLOOKUP($G258, '26 ADP Data'!$C$4:$Q$298, 8, FALSE)</f>
        <v>-</v>
      </c>
      <c r="U258" s="11">
        <f t="shared" si="6"/>
        <v>211</v>
      </c>
      <c r="V258" s="11">
        <f t="shared" si="7"/>
        <v>18</v>
      </c>
      <c r="W258" s="11"/>
      <c r="X258" s="11" t="e">
        <f>VLOOKUP($G258, SeanRanks26!$A$2:$K$303, 10, FALSE)-U258</f>
        <v>#N/A</v>
      </c>
      <c r="Y258" s="25" t="e">
        <f>IF(VLOOKUP($G258, SeanRanks26!$A$2:$H$303, 8, FALSE)=0, "", VLOOKUP($G258, SeanRanks26!$A$2:$H$303, 8, FALSE))</f>
        <v>#N/A</v>
      </c>
    </row>
    <row r="259" spans="1:25" ht="14.25" hidden="1" customHeight="1" x14ac:dyDescent="0.25">
      <c r="A259" s="11"/>
      <c r="B259" s="11">
        <f t="shared" si="8"/>
        <v>20</v>
      </c>
      <c r="C259" s="11" t="s">
        <v>148</v>
      </c>
      <c r="D259" s="11"/>
      <c r="E259" s="23"/>
      <c r="F259" s="11" t="e">
        <f>VLOOKUP($G259, SeanRanks26!$A$2:$H$303, 5, FALSE)</f>
        <v>#N/A</v>
      </c>
      <c r="G259" s="11" t="s">
        <v>693</v>
      </c>
      <c r="H259" s="11" t="str">
        <f>VLOOKUP($G259, '26 ADP Data'!$C$4:$Q$298, 2, FALSE)</f>
        <v>LV</v>
      </c>
      <c r="I259" s="11" t="str">
        <f>VLOOKUP(G259, '26 ADP Data'!$C$4:$R$496, 16, FALSE)</f>
        <v>TE</v>
      </c>
      <c r="J259" s="11" t="e">
        <f>VLOOKUP($G259, SeanRanks26!$A$2:$H$303, 6, FALSE)</f>
        <v>#N/A</v>
      </c>
      <c r="K259" s="11" t="e">
        <f>VLOOKUP($G259, SeanRanks26!$A$2:$H$303, 7, FALSE)</f>
        <v>#N/A</v>
      </c>
      <c r="L259" s="11">
        <f t="shared" si="4"/>
        <v>16</v>
      </c>
      <c r="M259" s="11" t="str">
        <f>VLOOKUP($G259, '26 ADP Data'!$C$4:$Q$298, 10, FALSE)</f>
        <v>-</v>
      </c>
      <c r="N259" s="11">
        <f>VLOOKUP($G259, '26 ADP Data'!$C$4:$Q$298, 13, FALSE)</f>
        <v>228</v>
      </c>
      <c r="O259" s="11" t="e">
        <f t="shared" si="5"/>
        <v>#VALUE!</v>
      </c>
      <c r="P259" s="11" t="str">
        <f>VLOOKUP($G259, '26 ADP Data'!$C$4:$Q$298, 3, FALSE)</f>
        <v>-</v>
      </c>
      <c r="Q259" s="11" t="str">
        <f>VLOOKUP($G259, '26 ADP Data'!$C$4:$Q$298, 4, FALSE)</f>
        <v>-</v>
      </c>
      <c r="R259" s="11">
        <f>VLOOKUP($G259, '26 ADP Data'!$C$4:$Q$298, 6, FALSE)</f>
        <v>235</v>
      </c>
      <c r="S259" s="11" t="str">
        <f>VLOOKUP($G259, '26 ADP Data'!$C$4:$Q$298, 9, FALSE)</f>
        <v>-</v>
      </c>
      <c r="T259" s="11" t="str">
        <f>VLOOKUP($G259, '26 ADP Data'!$C$4:$Q$298, 8, FALSE)</f>
        <v>-</v>
      </c>
      <c r="U259" s="11">
        <f t="shared" si="6"/>
        <v>231</v>
      </c>
      <c r="V259" s="11">
        <f t="shared" si="7"/>
        <v>20</v>
      </c>
      <c r="W259" s="11"/>
      <c r="X259" s="11" t="e">
        <f>VLOOKUP($G259, SeanRanks26!$A$2:$K$303, 10, FALSE)-U259</f>
        <v>#N/A</v>
      </c>
      <c r="Y259" s="25" t="e">
        <f>IF(VLOOKUP($G259, SeanRanks26!$A$2:$H$303, 8, FALSE)=0, "", VLOOKUP($G259, SeanRanks26!$A$2:$H$303, 8, FALSE))</f>
        <v>#N/A</v>
      </c>
    </row>
    <row r="260" spans="1:25" ht="14.25" hidden="1" customHeight="1" x14ac:dyDescent="0.25">
      <c r="A260" s="11"/>
      <c r="B260" s="11">
        <f t="shared" si="8"/>
        <v>19</v>
      </c>
      <c r="C260" s="11" t="s">
        <v>148</v>
      </c>
      <c r="D260" s="11"/>
      <c r="E260" s="23"/>
      <c r="F260" s="11" t="e">
        <f>VLOOKUP($G260, SeanRanks26!$A$2:$H$303, 5, FALSE)</f>
        <v>#N/A</v>
      </c>
      <c r="G260" s="11" t="s">
        <v>604</v>
      </c>
      <c r="H260" s="11" t="str">
        <f>VLOOKUP($G260, '26 ADP Data'!$C$4:$Q$298, 2, FALSE)</f>
        <v>CHI</v>
      </c>
      <c r="I260" s="11" t="str">
        <f>VLOOKUP(G260, '26 ADP Data'!$C$4:$R$496, 16, FALSE)</f>
        <v>K-</v>
      </c>
      <c r="J260" s="11" t="e">
        <f>VLOOKUP($G260, SeanRanks26!$A$2:$H$303, 6, FALSE)</f>
        <v>#N/A</v>
      </c>
      <c r="K260" s="11" t="e">
        <f>VLOOKUP($G260, SeanRanks26!$A$2:$H$303, 7, FALSE)</f>
        <v>#N/A</v>
      </c>
      <c r="L260" s="11">
        <f t="shared" si="4"/>
        <v>19</v>
      </c>
      <c r="M260" s="11">
        <f>VLOOKUP($G260, '26 ADP Data'!$C$4:$Q$298, 10, FALSE)</f>
        <v>218</v>
      </c>
      <c r="N260" s="11" t="str">
        <f>VLOOKUP($G260, '26 ADP Data'!$C$4:$Q$298, 13, FALSE)</f>
        <v>-</v>
      </c>
      <c r="O260" s="11" t="e">
        <f t="shared" si="5"/>
        <v>#VALUE!</v>
      </c>
      <c r="P260" s="11">
        <f>VLOOKUP($G260, '26 ADP Data'!$C$4:$Q$298, 3, FALSE)</f>
        <v>202</v>
      </c>
      <c r="Q260" s="11">
        <f>VLOOKUP($G260, '26 ADP Data'!$C$4:$Q$298, 4, FALSE)</f>
        <v>187</v>
      </c>
      <c r="R260" s="11">
        <f>VLOOKUP($G260, '26 ADP Data'!$C$4:$Q$298, 6, FALSE)</f>
        <v>271</v>
      </c>
      <c r="S260" s="11" t="str">
        <f>VLOOKUP($G260, '26 ADP Data'!$C$4:$Q$298, 9, FALSE)</f>
        <v>-</v>
      </c>
      <c r="T260" s="11" t="str">
        <f>VLOOKUP($G260, '26 ADP Data'!$C$4:$Q$298, 8, FALSE)</f>
        <v>-</v>
      </c>
      <c r="U260" s="11">
        <f t="shared" si="6"/>
        <v>219</v>
      </c>
      <c r="V260" s="11">
        <f t="shared" si="7"/>
        <v>19</v>
      </c>
      <c r="W260" s="11"/>
      <c r="X260" s="11" t="e">
        <f>VLOOKUP($G260, SeanRanks26!$A$2:$K$303, 10, FALSE)-U260</f>
        <v>#N/A</v>
      </c>
      <c r="Y260" s="25" t="e">
        <f>IF(VLOOKUP($G260, SeanRanks26!$A$2:$H$303, 8, FALSE)=0, "", VLOOKUP($G260, SeanRanks26!$A$2:$H$303, 8, FALSE))</f>
        <v>#N/A</v>
      </c>
    </row>
    <row r="261" spans="1:25" ht="14.25" hidden="1" customHeight="1" x14ac:dyDescent="0.25">
      <c r="A261" s="11"/>
      <c r="B261" s="11">
        <f t="shared" si="8"/>
        <v>22</v>
      </c>
      <c r="C261" s="11" t="s">
        <v>148</v>
      </c>
      <c r="D261" s="11"/>
      <c r="E261" s="23"/>
      <c r="F261" s="11">
        <f>VLOOKUP($G261, SeanRanks26!$A$2:$H$303, 5, FALSE)</f>
        <v>0</v>
      </c>
      <c r="G261" s="11" t="s">
        <v>570</v>
      </c>
      <c r="H261" s="11" t="str">
        <f>VLOOKUP($G261, '26 ADP Data'!$C$4:$Q$298, 2, FALSE)</f>
        <v>LAR</v>
      </c>
      <c r="I261" s="11" t="str">
        <f>VLOOKUP(G261, '26 ADP Data'!$C$4:$R$496, 16, FALSE)</f>
        <v>TE</v>
      </c>
      <c r="J261" s="11">
        <f>VLOOKUP($G261, SeanRanks26!$A$2:$H$303, 6, FALSE)</f>
        <v>0</v>
      </c>
      <c r="K261" s="11">
        <f>VLOOKUP($G261, SeanRanks26!$A$2:$H$303, 7, FALSE)</f>
        <v>0</v>
      </c>
      <c r="L261" s="11">
        <f t="shared" si="4"/>
        <v>21</v>
      </c>
      <c r="M261" s="11">
        <f>VLOOKUP($G261, '26 ADP Data'!$C$4:$Q$298, 10, FALSE)</f>
        <v>247</v>
      </c>
      <c r="N261" s="11">
        <f>VLOOKUP($G261, '26 ADP Data'!$C$4:$Q$298, 13, FALSE)</f>
        <v>220</v>
      </c>
      <c r="O261" s="11">
        <f t="shared" si="5"/>
        <v>27</v>
      </c>
      <c r="P261" s="11" t="str">
        <f>VLOOKUP($G261, '26 ADP Data'!$C$4:$Q$298, 3, FALSE)</f>
        <v>-</v>
      </c>
      <c r="Q261" s="11" t="str">
        <f>VLOOKUP($G261, '26 ADP Data'!$C$4:$Q$298, 4, FALSE)</f>
        <v>-</v>
      </c>
      <c r="R261" s="11">
        <f>VLOOKUP($G261, '26 ADP Data'!$C$4:$Q$298, 6, FALSE)</f>
        <v>236</v>
      </c>
      <c r="S261" s="11">
        <f>VLOOKUP($G261, '26 ADP Data'!$C$4:$Q$298, 9, FALSE)</f>
        <v>283</v>
      </c>
      <c r="T261" s="11" t="str">
        <f>VLOOKUP($G261, '26 ADP Data'!$C$4:$Q$298, 8, FALSE)</f>
        <v>-</v>
      </c>
      <c r="U261" s="11">
        <f t="shared" si="6"/>
        <v>246</v>
      </c>
      <c r="V261" s="11">
        <f t="shared" si="7"/>
        <v>21</v>
      </c>
      <c r="W261" s="11"/>
      <c r="X261" s="11">
        <f>VLOOKUP($G261, SeanRanks26!$A$2:$K$303, 10, FALSE)-U261</f>
        <v>1</v>
      </c>
      <c r="Y261" s="25" t="str">
        <f>IF(VLOOKUP($G261, SeanRanks26!$A$2:$H$303, 8, FALSE)=0, "", VLOOKUP($G261, SeanRanks26!$A$2:$H$303, 8, FALSE))</f>
        <v/>
      </c>
    </row>
    <row r="262" spans="1:25" ht="14.25" customHeight="1" x14ac:dyDescent="0.25">
      <c r="A262" s="11"/>
      <c r="B262" s="11">
        <f t="shared" si="8"/>
        <v>17</v>
      </c>
      <c r="C262" s="11" t="s">
        <v>148</v>
      </c>
      <c r="D262" s="11"/>
      <c r="E262" s="23"/>
      <c r="F262" s="11">
        <f>VLOOKUP($G262, SeanRanks26!$A$2:$H$303, 5, FALSE)</f>
        <v>0</v>
      </c>
      <c r="G262" s="11" t="s">
        <v>495</v>
      </c>
      <c r="H262" s="11" t="str">
        <f>VLOOKUP($G262, '26 ADP Data'!$C$4:$Q$298, 2, FALSE)</f>
        <v>NYJ</v>
      </c>
      <c r="I262" s="11" t="str">
        <f>VLOOKUP(G262, '26 ADP Data'!$C$4:$R$496, 16, FALSE)</f>
        <v>WR</v>
      </c>
      <c r="J262" s="11">
        <f>VLOOKUP($G262, SeanRanks26!$A$2:$H$303, 6, FALSE)</f>
        <v>0</v>
      </c>
      <c r="K262" s="11">
        <f>VLOOKUP($G262, SeanRanks26!$A$2:$H$303, 7, FALSE)</f>
        <v>0</v>
      </c>
      <c r="L262" s="11">
        <f t="shared" ref="L262:L306" si="9">IFERROR(INT(M262/12)+1, 16)</f>
        <v>13</v>
      </c>
      <c r="M262" s="11">
        <f>VLOOKUP($G262, '26 ADP Data'!$C$4:$Q$298, 10, FALSE)</f>
        <v>145</v>
      </c>
      <c r="N262" s="11">
        <f>VLOOKUP($G262, '26 ADP Data'!$C$4:$Q$298, 13, FALSE)</f>
        <v>167</v>
      </c>
      <c r="O262" s="11">
        <f t="shared" ref="O262:O306" si="10">M262-N262</f>
        <v>-22</v>
      </c>
      <c r="P262" s="11" t="str">
        <f>VLOOKUP($G262, '26 ADP Data'!$C$4:$Q$298, 3, FALSE)</f>
        <v>-</v>
      </c>
      <c r="Q262" s="11" t="str">
        <f>VLOOKUP($G262, '26 ADP Data'!$C$4:$Q$298, 4, FALSE)</f>
        <v>-</v>
      </c>
      <c r="R262" s="11">
        <f>VLOOKUP($G262, '26 ADP Data'!$C$4:$Q$298, 6, FALSE)</f>
        <v>171</v>
      </c>
      <c r="S262" s="11">
        <f>VLOOKUP($G262, '26 ADP Data'!$C$4:$Q$298, 9, FALSE)</f>
        <v>223</v>
      </c>
      <c r="T262" s="11" t="str">
        <f>VLOOKUP($G262, '26 ADP Data'!$C$4:$Q$298, 8, FALSE)</f>
        <v>-</v>
      </c>
      <c r="U262" s="11">
        <f t="shared" ref="U262:U306" si="11">INT(AVERAGE(M262:N262,P262:T262))</f>
        <v>176</v>
      </c>
      <c r="V262" s="11">
        <f t="shared" ref="V262:V306" si="12">IFERROR(INT(U262/12)+1, 16)</f>
        <v>15</v>
      </c>
      <c r="W262" s="11"/>
      <c r="X262" s="11">
        <f>VLOOKUP($G262, SeanRanks26!$A$2:$K$303, 10, FALSE)-U262</f>
        <v>-31</v>
      </c>
      <c r="Y262" s="25" t="str">
        <f>IF(VLOOKUP($G262, SeanRanks26!$A$2:$H$303, 8, FALSE)=0, "", VLOOKUP($G262, SeanRanks26!$A$2:$H$303, 8, FALSE))</f>
        <v/>
      </c>
    </row>
    <row r="263" spans="1:25" ht="14.25" customHeight="1" x14ac:dyDescent="0.25">
      <c r="A263" s="11"/>
      <c r="B263" s="11">
        <f t="shared" si="8"/>
        <v>18</v>
      </c>
      <c r="C263" s="11" t="s">
        <v>148</v>
      </c>
      <c r="D263" s="11"/>
      <c r="E263" s="23"/>
      <c r="F263" s="11">
        <f>VLOOKUP($G263, SeanRanks26!$A$2:$H$303, 5, FALSE)</f>
        <v>0</v>
      </c>
      <c r="G263" s="11" t="s">
        <v>631</v>
      </c>
      <c r="H263" s="11" t="str">
        <f>VLOOKUP($G263, '26 ADP Data'!$C$4:$Q$298, 2, FALSE)</f>
        <v>NO</v>
      </c>
      <c r="I263" s="11" t="str">
        <f>VLOOKUP(G263, '26 ADP Data'!$C$4:$R$496, 16, FALSE)</f>
        <v>WR</v>
      </c>
      <c r="J263" s="11">
        <f>VLOOKUP($G263, SeanRanks26!$A$2:$H$303, 6, FALSE)</f>
        <v>0</v>
      </c>
      <c r="K263" s="11">
        <f>VLOOKUP($G263, SeanRanks26!$A$2:$H$303, 7, FALSE)</f>
        <v>0</v>
      </c>
      <c r="L263" s="11">
        <f t="shared" si="9"/>
        <v>18</v>
      </c>
      <c r="M263" s="11">
        <f>VLOOKUP($G263, '26 ADP Data'!$C$4:$Q$298, 10, FALSE)</f>
        <v>205</v>
      </c>
      <c r="N263" s="11">
        <f>VLOOKUP($G263, '26 ADP Data'!$C$4:$Q$298, 13, FALSE)</f>
        <v>185</v>
      </c>
      <c r="O263" s="11">
        <f t="shared" si="10"/>
        <v>20</v>
      </c>
      <c r="P263" s="11" t="str">
        <f>VLOOKUP($G263, '26 ADP Data'!$C$4:$Q$298, 3, FALSE)</f>
        <v>-</v>
      </c>
      <c r="Q263" s="11" t="str">
        <f>VLOOKUP($G263, '26 ADP Data'!$C$4:$Q$298, 4, FALSE)</f>
        <v>-</v>
      </c>
      <c r="R263" s="11">
        <f>VLOOKUP($G263, '26 ADP Data'!$C$4:$Q$298, 6, FALSE)</f>
        <v>204</v>
      </c>
      <c r="S263" s="11" t="str">
        <f>VLOOKUP($G263, '26 ADP Data'!$C$4:$Q$298, 9, FALSE)</f>
        <v>-</v>
      </c>
      <c r="T263" s="11" t="str">
        <f>VLOOKUP($G263, '26 ADP Data'!$C$4:$Q$298, 8, FALSE)</f>
        <v>-</v>
      </c>
      <c r="U263" s="11">
        <f t="shared" si="11"/>
        <v>198</v>
      </c>
      <c r="V263" s="11">
        <f t="shared" si="12"/>
        <v>17</v>
      </c>
      <c r="W263" s="11"/>
      <c r="X263" s="11">
        <f>VLOOKUP($G263, SeanRanks26!$A$2:$K$303, 10, FALSE)-U263</f>
        <v>7</v>
      </c>
      <c r="Y263" s="25" t="str">
        <f>IF(VLOOKUP($G263, SeanRanks26!$A$2:$H$303, 8, FALSE)=0, "", VLOOKUP($G263, SeanRanks26!$A$2:$H$303, 8, FALSE))</f>
        <v/>
      </c>
    </row>
    <row r="264" spans="1:25" ht="14.25" hidden="1" customHeight="1" x14ac:dyDescent="0.25">
      <c r="A264" s="11"/>
      <c r="B264" s="11" t="e">
        <f t="shared" si="8"/>
        <v>#N/A</v>
      </c>
      <c r="C264" s="11" t="s">
        <v>148</v>
      </c>
      <c r="D264" s="11"/>
      <c r="E264" s="23"/>
      <c r="F264" s="11" t="e">
        <f>VLOOKUP($G264, SeanRanks26!$A$2:$H$303, 5, FALSE)</f>
        <v>#N/A</v>
      </c>
      <c r="G264" s="11" t="s">
        <v>697</v>
      </c>
      <c r="H264" s="11" t="e">
        <f>VLOOKUP($G264, '26 ADP Data'!$C$4:$Q$298, 2, FALSE)</f>
        <v>#N/A</v>
      </c>
      <c r="I264" s="11" t="e">
        <f>VLOOKUP(G264, '26 ADP Data'!$C$4:$R$496, 16, FALSE)</f>
        <v>#N/A</v>
      </c>
      <c r="J264" s="11" t="e">
        <f>VLOOKUP($G264, SeanRanks26!$A$2:$H$303, 6, FALSE)</f>
        <v>#N/A</v>
      </c>
      <c r="K264" s="11" t="e">
        <f>VLOOKUP($G264, SeanRanks26!$A$2:$H$303, 7, FALSE)</f>
        <v>#N/A</v>
      </c>
      <c r="L264" s="11">
        <f t="shared" si="9"/>
        <v>16</v>
      </c>
      <c r="M264" s="11" t="e">
        <f>VLOOKUP($G264, '26 ADP Data'!$C$4:$Q$298, 10, FALSE)</f>
        <v>#N/A</v>
      </c>
      <c r="N264" s="11" t="e">
        <f>VLOOKUP($G264, '26 ADP Data'!$C$4:$Q$298, 13, FALSE)</f>
        <v>#N/A</v>
      </c>
      <c r="O264" s="11" t="e">
        <f t="shared" si="10"/>
        <v>#N/A</v>
      </c>
      <c r="P264" s="11" t="e">
        <f>VLOOKUP($G264, '26 ADP Data'!$C$4:$Q$298, 3, FALSE)</f>
        <v>#N/A</v>
      </c>
      <c r="Q264" s="11" t="e">
        <f>VLOOKUP($G264, '26 ADP Data'!$C$4:$Q$298, 4, FALSE)</f>
        <v>#N/A</v>
      </c>
      <c r="R264" s="11" t="e">
        <f>VLOOKUP($G264, '26 ADP Data'!$C$4:$Q$298, 6, FALSE)</f>
        <v>#N/A</v>
      </c>
      <c r="S264" s="11" t="e">
        <f>VLOOKUP($G264, '26 ADP Data'!$C$4:$Q$298, 9, FALSE)</f>
        <v>#N/A</v>
      </c>
      <c r="T264" s="11" t="e">
        <f>VLOOKUP($G264, '26 ADP Data'!$C$4:$Q$298, 8, FALSE)</f>
        <v>#N/A</v>
      </c>
      <c r="U264" s="11" t="e">
        <f t="shared" si="11"/>
        <v>#N/A</v>
      </c>
      <c r="V264" s="11">
        <f t="shared" si="12"/>
        <v>16</v>
      </c>
      <c r="W264" s="11"/>
      <c r="X264" s="11" t="e">
        <f>VLOOKUP($G264, SeanRanks26!$A$2:$K$303, 10, FALSE)-U264</f>
        <v>#N/A</v>
      </c>
      <c r="Y264" s="25" t="e">
        <f>IF(VLOOKUP($G264, SeanRanks26!$A$2:$H$303, 8, FALSE)=0, "", VLOOKUP($G264, SeanRanks26!$A$2:$H$303, 8, FALSE))</f>
        <v>#N/A</v>
      </c>
    </row>
    <row r="265" spans="1:25" ht="14.25" customHeight="1" x14ac:dyDescent="0.25">
      <c r="A265" s="11"/>
      <c r="B265" s="11">
        <f t="shared" si="8"/>
        <v>18</v>
      </c>
      <c r="C265" s="11" t="s">
        <v>148</v>
      </c>
      <c r="D265" s="11"/>
      <c r="E265" s="23"/>
      <c r="F265" s="11">
        <f>VLOOKUP($G265, SeanRanks26!$A$2:$H$303, 5, FALSE)</f>
        <v>0</v>
      </c>
      <c r="G265" s="11" t="s">
        <v>450</v>
      </c>
      <c r="H265" s="11" t="str">
        <f>VLOOKUP($G265, '26 ADP Data'!$C$4:$Q$298, 2, FALSE)</f>
        <v>SEA</v>
      </c>
      <c r="I265" s="11" t="str">
        <f>VLOOKUP(G265, '26 ADP Data'!$C$4:$R$496, 16, FALSE)</f>
        <v>WR</v>
      </c>
      <c r="J265" s="11">
        <f>VLOOKUP($G265, SeanRanks26!$A$2:$H$303, 6, FALSE)</f>
        <v>0</v>
      </c>
      <c r="K265" s="11">
        <f>VLOOKUP($G265, SeanRanks26!$A$2:$H$303, 7, FALSE)</f>
        <v>0</v>
      </c>
      <c r="L265" s="11">
        <f t="shared" si="9"/>
        <v>16</v>
      </c>
      <c r="M265" s="11" t="str">
        <f>VLOOKUP($G265, '26 ADP Data'!$C$4:$Q$298, 10, FALSE)</f>
        <v>-</v>
      </c>
      <c r="N265" s="11">
        <f>VLOOKUP($G265, '26 ADP Data'!$C$4:$Q$298, 13, FALSE)</f>
        <v>216</v>
      </c>
      <c r="O265" s="11" t="e">
        <f t="shared" si="10"/>
        <v>#VALUE!</v>
      </c>
      <c r="P265" s="11">
        <f>VLOOKUP($G265, '26 ADP Data'!$C$4:$Q$298, 3, FALSE)</f>
        <v>210</v>
      </c>
      <c r="Q265" s="11">
        <f>VLOOKUP($G265, '26 ADP Data'!$C$4:$Q$298, 4, FALSE)</f>
        <v>201</v>
      </c>
      <c r="R265" s="11">
        <f>VLOOKUP($G265, '26 ADP Data'!$C$4:$Q$298, 6, FALSE)</f>
        <v>231</v>
      </c>
      <c r="S265" s="11">
        <f>VLOOKUP($G265, '26 ADP Data'!$C$4:$Q$298, 9, FALSE)</f>
        <v>203</v>
      </c>
      <c r="T265" s="11" t="str">
        <f>VLOOKUP($G265, '26 ADP Data'!$C$4:$Q$298, 8, FALSE)</f>
        <v>-</v>
      </c>
      <c r="U265" s="11">
        <f t="shared" si="11"/>
        <v>212</v>
      </c>
      <c r="V265" s="11">
        <f t="shared" si="12"/>
        <v>18</v>
      </c>
      <c r="W265" s="11"/>
      <c r="X265" s="11" t="e">
        <f>VLOOKUP($G265, SeanRanks26!$A$2:$K$303, 10, FALSE)-U265</f>
        <v>#VALUE!</v>
      </c>
      <c r="Y265" s="25" t="str">
        <f>IF(VLOOKUP($G265, SeanRanks26!$A$2:$H$303, 8, FALSE)=0, "", VLOOKUP($G265, SeanRanks26!$A$2:$H$303, 8, FALSE))</f>
        <v/>
      </c>
    </row>
    <row r="266" spans="1:25" ht="14.25" hidden="1" customHeight="1" x14ac:dyDescent="0.25">
      <c r="A266" s="11"/>
      <c r="B266" s="11">
        <f t="shared" si="8"/>
        <v>19</v>
      </c>
      <c r="C266" s="11" t="s">
        <v>148</v>
      </c>
      <c r="D266" s="11"/>
      <c r="E266" s="23"/>
      <c r="F266" s="11">
        <f>VLOOKUP($G266, SeanRanks26!$A$2:$H$303, 5, FALSE)</f>
        <v>0</v>
      </c>
      <c r="G266" s="11" t="s">
        <v>613</v>
      </c>
      <c r="H266" s="11" t="str">
        <f>VLOOKUP($G266, '26 ADP Data'!$C$4:$Q$298, 2, FALSE)</f>
        <v>MIA</v>
      </c>
      <c r="I266" s="11" t="str">
        <f>VLOOKUP(G266, '26 ADP Data'!$C$4:$R$496, 16, FALSE)</f>
        <v>RB</v>
      </c>
      <c r="J266" s="11">
        <f>VLOOKUP($G266, SeanRanks26!$A$2:$H$303, 6, FALSE)</f>
        <v>0</v>
      </c>
      <c r="K266" s="11">
        <f>VLOOKUP($G266, SeanRanks26!$A$2:$H$303, 7, FALSE)</f>
        <v>0</v>
      </c>
      <c r="L266" s="11">
        <f t="shared" si="9"/>
        <v>16</v>
      </c>
      <c r="M266" s="11" t="str">
        <f>VLOOKUP($G266, '26 ADP Data'!$C$4:$Q$298, 10, FALSE)</f>
        <v>-</v>
      </c>
      <c r="N266" s="11">
        <f>VLOOKUP($G266, '26 ADP Data'!$C$4:$Q$298, 13, FALSE)</f>
        <v>247</v>
      </c>
      <c r="O266" s="11" t="e">
        <f t="shared" si="10"/>
        <v>#VALUE!</v>
      </c>
      <c r="P266" s="11" t="str">
        <f>VLOOKUP($G266, '26 ADP Data'!$C$4:$Q$298, 3, FALSE)</f>
        <v>-</v>
      </c>
      <c r="Q266" s="11" t="str">
        <f>VLOOKUP($G266, '26 ADP Data'!$C$4:$Q$298, 4, FALSE)</f>
        <v>-</v>
      </c>
      <c r="R266" s="11">
        <f>VLOOKUP($G266, '26 ADP Data'!$C$4:$Q$298, 6, FALSE)</f>
        <v>224</v>
      </c>
      <c r="S266" s="11">
        <f>VLOOKUP($G266, '26 ADP Data'!$C$4:$Q$298, 9, FALSE)</f>
        <v>225</v>
      </c>
      <c r="T266" s="11" t="str">
        <f>VLOOKUP($G266, '26 ADP Data'!$C$4:$Q$298, 8, FALSE)</f>
        <v>-</v>
      </c>
      <c r="U266" s="11">
        <f t="shared" si="11"/>
        <v>232</v>
      </c>
      <c r="V266" s="11">
        <f t="shared" si="12"/>
        <v>20</v>
      </c>
      <c r="W266" s="11"/>
      <c r="X266" s="11" t="e">
        <f>VLOOKUP($G266, SeanRanks26!$A$2:$K$303, 10, FALSE)-U266</f>
        <v>#VALUE!</v>
      </c>
      <c r="Y266" s="25" t="str">
        <f>IF(VLOOKUP($G266, SeanRanks26!$A$2:$H$303, 8, FALSE)=0, "", VLOOKUP($G266, SeanRanks26!$A$2:$H$303, 8, FALSE))</f>
        <v/>
      </c>
    </row>
    <row r="267" spans="1:25" ht="14.25" hidden="1" customHeight="1" x14ac:dyDescent="0.25">
      <c r="A267" s="11"/>
      <c r="B267" s="11">
        <f t="shared" si="8"/>
        <v>22</v>
      </c>
      <c r="C267" s="11" t="s">
        <v>148</v>
      </c>
      <c r="D267" s="11"/>
      <c r="E267" s="23"/>
      <c r="F267" s="11">
        <f>VLOOKUP($G267, SeanRanks26!$A$2:$H$303, 5, FALSE)</f>
        <v>0</v>
      </c>
      <c r="G267" s="11" t="s">
        <v>646</v>
      </c>
      <c r="H267" s="11" t="str">
        <f>VLOOKUP($G267, '26 ADP Data'!$C$4:$Q$298, 2, FALSE)</f>
        <v>SF</v>
      </c>
      <c r="I267" s="11" t="str">
        <f>VLOOKUP(G267, '26 ADP Data'!$C$4:$R$496, 16, FALSE)</f>
        <v>TE</v>
      </c>
      <c r="J267" s="11">
        <f>VLOOKUP($G267, SeanRanks26!$A$2:$H$303, 6, FALSE)</f>
        <v>0</v>
      </c>
      <c r="K267" s="11">
        <f>VLOOKUP($G267, SeanRanks26!$A$2:$H$303, 7, FALSE)</f>
        <v>0</v>
      </c>
      <c r="L267" s="11">
        <f t="shared" si="9"/>
        <v>16</v>
      </c>
      <c r="M267" s="11" t="str">
        <f>VLOOKUP($G267, '26 ADP Data'!$C$4:$Q$298, 10, FALSE)</f>
        <v>-</v>
      </c>
      <c r="N267" s="11">
        <f>VLOOKUP($G267, '26 ADP Data'!$C$4:$Q$298, 13, FALSE)</f>
        <v>255</v>
      </c>
      <c r="O267" s="11" t="e">
        <f t="shared" si="10"/>
        <v>#VALUE!</v>
      </c>
      <c r="P267" s="11" t="str">
        <f>VLOOKUP($G267, '26 ADP Data'!$C$4:$Q$298, 3, FALSE)</f>
        <v>-</v>
      </c>
      <c r="Q267" s="11" t="str">
        <f>VLOOKUP($G267, '26 ADP Data'!$C$4:$Q$298, 4, FALSE)</f>
        <v>-</v>
      </c>
      <c r="R267" s="11">
        <f>VLOOKUP($G267, '26 ADP Data'!$C$4:$Q$298, 6, FALSE)</f>
        <v>239</v>
      </c>
      <c r="S267" s="11">
        <f>VLOOKUP($G267, '26 ADP Data'!$C$4:$Q$298, 9, FALSE)</f>
        <v>269</v>
      </c>
      <c r="T267" s="11" t="str">
        <f>VLOOKUP($G267, '26 ADP Data'!$C$4:$Q$298, 8, FALSE)</f>
        <v>-</v>
      </c>
      <c r="U267" s="11">
        <f t="shared" si="11"/>
        <v>254</v>
      </c>
      <c r="V267" s="11">
        <f t="shared" si="12"/>
        <v>22</v>
      </c>
      <c r="W267" s="11"/>
      <c r="X267" s="11" t="e">
        <f>VLOOKUP($G267, SeanRanks26!$A$2:$K$303, 10, FALSE)-U267</f>
        <v>#VALUE!</v>
      </c>
      <c r="Y267" s="25" t="str">
        <f>IF(VLOOKUP($G267, SeanRanks26!$A$2:$H$303, 8, FALSE)=0, "", VLOOKUP($G267, SeanRanks26!$A$2:$H$303, 8, FALSE))</f>
        <v/>
      </c>
    </row>
    <row r="268" spans="1:25" ht="14.25" hidden="1" customHeight="1" x14ac:dyDescent="0.25">
      <c r="A268" s="11"/>
      <c r="B268" s="11">
        <f t="shared" si="8"/>
        <v>20</v>
      </c>
      <c r="C268" s="11" t="s">
        <v>148</v>
      </c>
      <c r="D268" s="11"/>
      <c r="E268" s="23"/>
      <c r="F268" s="11" t="e">
        <f>VLOOKUP($G268, SeanRanks26!$A$2:$H$303, 5, FALSE)</f>
        <v>#N/A</v>
      </c>
      <c r="G268" s="11" t="s">
        <v>609</v>
      </c>
      <c r="H268" s="11" t="str">
        <f>VLOOKUP($G268, '26 ADP Data'!$C$4:$Q$298, 2, FALSE)</f>
        <v>CHI</v>
      </c>
      <c r="I268" s="11" t="str">
        <f>VLOOKUP(G268, '26 ADP Data'!$C$4:$R$496, 16, FALSE)</f>
        <v>DE</v>
      </c>
      <c r="J268" s="11" t="e">
        <f>VLOOKUP($G268, SeanRanks26!$A$2:$H$303, 6, FALSE)</f>
        <v>#N/A</v>
      </c>
      <c r="K268" s="11" t="e">
        <f>VLOOKUP($G268, SeanRanks26!$A$2:$H$303, 7, FALSE)</f>
        <v>#N/A</v>
      </c>
      <c r="L268" s="11">
        <f t="shared" si="9"/>
        <v>16</v>
      </c>
      <c r="M268" s="11" t="str">
        <f>VLOOKUP($G268, '26 ADP Data'!$C$4:$Q$298, 10, FALSE)</f>
        <v>-</v>
      </c>
      <c r="N268" s="11" t="str">
        <f>VLOOKUP($G268, '26 ADP Data'!$C$4:$Q$298, 13, FALSE)</f>
        <v>-</v>
      </c>
      <c r="O268" s="11" t="e">
        <f t="shared" si="10"/>
        <v>#VALUE!</v>
      </c>
      <c r="P268" s="11" t="str">
        <f>VLOOKUP($G268, '26 ADP Data'!$C$4:$Q$298, 3, FALSE)</f>
        <v>-</v>
      </c>
      <c r="Q268" s="11">
        <f>VLOOKUP($G268, '26 ADP Data'!$C$4:$Q$298, 4, FALSE)</f>
        <v>203</v>
      </c>
      <c r="R268" s="11">
        <f>VLOOKUP($G268, '26 ADP Data'!$C$4:$Q$298, 6, FALSE)</f>
        <v>284</v>
      </c>
      <c r="S268" s="11">
        <f>VLOOKUP($G268, '26 ADP Data'!$C$4:$Q$298, 9, FALSE)</f>
        <v>217</v>
      </c>
      <c r="T268" s="11" t="str">
        <f>VLOOKUP($G268, '26 ADP Data'!$C$4:$Q$298, 8, FALSE)</f>
        <v>-</v>
      </c>
      <c r="U268" s="11">
        <f t="shared" si="11"/>
        <v>234</v>
      </c>
      <c r="V268" s="11">
        <f t="shared" si="12"/>
        <v>20</v>
      </c>
      <c r="W268" s="11"/>
      <c r="X268" s="11" t="e">
        <f>VLOOKUP($G268, SeanRanks26!$A$2:$K$303, 10, FALSE)-U268</f>
        <v>#N/A</v>
      </c>
      <c r="Y268" s="25" t="e">
        <f>IF(VLOOKUP($G268, SeanRanks26!$A$2:$H$303, 8, FALSE)=0, "", VLOOKUP($G268, SeanRanks26!$A$2:$H$303, 8, FALSE))</f>
        <v>#N/A</v>
      </c>
    </row>
    <row r="269" spans="1:25" ht="14.25" customHeight="1" x14ac:dyDescent="0.25">
      <c r="A269" s="11"/>
      <c r="B269" s="11">
        <f t="shared" si="8"/>
        <v>21</v>
      </c>
      <c r="C269" s="11" t="s">
        <v>148</v>
      </c>
      <c r="D269" s="11"/>
      <c r="E269" s="23"/>
      <c r="F269" s="11">
        <f>VLOOKUP($G269, SeanRanks26!$A$2:$H$303, 5, FALSE)</f>
        <v>0</v>
      </c>
      <c r="G269" s="11" t="s">
        <v>590</v>
      </c>
      <c r="H269" s="11" t="str">
        <f>VLOOKUP($G269, '26 ADP Data'!$C$4:$Q$298, 2, FALSE)</f>
        <v>DET</v>
      </c>
      <c r="I269" s="11" t="str">
        <f>VLOOKUP(G269, '26 ADP Data'!$C$4:$R$496, 16, FALSE)</f>
        <v>WR</v>
      </c>
      <c r="J269" s="11">
        <f>VLOOKUP($G269, SeanRanks26!$A$2:$H$303, 6, FALSE)</f>
        <v>0</v>
      </c>
      <c r="K269" s="11">
        <f>VLOOKUP($G269, SeanRanks26!$A$2:$H$303, 7, FALSE)</f>
        <v>0</v>
      </c>
      <c r="L269" s="11">
        <f t="shared" si="9"/>
        <v>16</v>
      </c>
      <c r="M269" s="11" t="str">
        <f>VLOOKUP($G269, '26 ADP Data'!$C$4:$Q$298, 10, FALSE)</f>
        <v>-</v>
      </c>
      <c r="N269" s="11">
        <f>VLOOKUP($G269, '26 ADP Data'!$C$4:$Q$298, 13, FALSE)</f>
        <v>207</v>
      </c>
      <c r="O269" s="11" t="e">
        <f t="shared" si="10"/>
        <v>#VALUE!</v>
      </c>
      <c r="P269" s="11" t="str">
        <f>VLOOKUP($G269, '26 ADP Data'!$C$4:$Q$298, 3, FALSE)</f>
        <v>-</v>
      </c>
      <c r="Q269" s="11" t="str">
        <f>VLOOKUP($G269, '26 ADP Data'!$C$4:$Q$298, 4, FALSE)</f>
        <v>-</v>
      </c>
      <c r="R269" s="11">
        <f>VLOOKUP($G269, '26 ADP Data'!$C$4:$Q$298, 6, FALSE)</f>
        <v>252</v>
      </c>
      <c r="S269" s="11">
        <f>VLOOKUP($G269, '26 ADP Data'!$C$4:$Q$298, 9, FALSE)</f>
        <v>238</v>
      </c>
      <c r="T269" s="11" t="str">
        <f>VLOOKUP($G269, '26 ADP Data'!$C$4:$Q$298, 8, FALSE)</f>
        <v>-</v>
      </c>
      <c r="U269" s="11">
        <f t="shared" si="11"/>
        <v>232</v>
      </c>
      <c r="V269" s="11">
        <f t="shared" si="12"/>
        <v>20</v>
      </c>
      <c r="W269" s="11"/>
      <c r="X269" s="11" t="e">
        <f>VLOOKUP($G269, SeanRanks26!$A$2:$K$303, 10, FALSE)-U269</f>
        <v>#VALUE!</v>
      </c>
      <c r="Y269" s="25" t="s">
        <v>802</v>
      </c>
    </row>
    <row r="270" spans="1:25" ht="14.25" hidden="1" customHeight="1" x14ac:dyDescent="0.25">
      <c r="A270" s="11"/>
      <c r="B270" s="11">
        <f t="shared" si="8"/>
        <v>23</v>
      </c>
      <c r="C270" s="11" t="s">
        <v>148</v>
      </c>
      <c r="D270" s="11"/>
      <c r="E270" s="23"/>
      <c r="F270" s="11">
        <f>VLOOKUP($G270, SeanRanks26!$A$2:$H$303, 5, FALSE)</f>
        <v>0</v>
      </c>
      <c r="G270" s="11" t="s">
        <v>619</v>
      </c>
      <c r="H270" s="11" t="str">
        <f>VLOOKUP($G270, '26 ADP Data'!$C$4:$Q$298, 2, FALSE)</f>
        <v>ATL</v>
      </c>
      <c r="I270" s="11" t="str">
        <f>VLOOKUP(G270, '26 ADP Data'!$C$4:$R$496, 16, FALSE)</f>
        <v>QB</v>
      </c>
      <c r="J270" s="11">
        <f>VLOOKUP($G270, SeanRanks26!$A$2:$H$303, 6, FALSE)</f>
        <v>0</v>
      </c>
      <c r="K270" s="11">
        <f>VLOOKUP($G270, SeanRanks26!$A$2:$H$303, 7, FALSE)</f>
        <v>0</v>
      </c>
      <c r="L270" s="11">
        <f t="shared" si="9"/>
        <v>16</v>
      </c>
      <c r="M270" s="11" t="str">
        <f>VLOOKUP($G270, '26 ADP Data'!$C$4:$Q$298, 10, FALSE)</f>
        <v>-</v>
      </c>
      <c r="N270" s="11">
        <f>VLOOKUP($G270, '26 ADP Data'!$C$4:$Q$298, 13, FALSE)</f>
        <v>241</v>
      </c>
      <c r="O270" s="11" t="e">
        <f t="shared" si="10"/>
        <v>#VALUE!</v>
      </c>
      <c r="P270" s="11" t="str">
        <f>VLOOKUP($G270, '26 ADP Data'!$C$4:$Q$298, 3, FALSE)</f>
        <v>-</v>
      </c>
      <c r="Q270" s="11" t="str">
        <f>VLOOKUP($G270, '26 ADP Data'!$C$4:$Q$298, 4, FALSE)</f>
        <v>-</v>
      </c>
      <c r="R270" s="11">
        <f>VLOOKUP($G270, '26 ADP Data'!$C$4:$Q$298, 6, FALSE)</f>
        <v>268</v>
      </c>
      <c r="S270" s="11">
        <f>VLOOKUP($G270, '26 ADP Data'!$C$4:$Q$298, 9, FALSE)</f>
        <v>277</v>
      </c>
      <c r="T270" s="11" t="str">
        <f>VLOOKUP($G270, '26 ADP Data'!$C$4:$Q$298, 8, FALSE)</f>
        <v>-</v>
      </c>
      <c r="U270" s="11">
        <f t="shared" si="11"/>
        <v>262</v>
      </c>
      <c r="V270" s="11">
        <f t="shared" si="12"/>
        <v>22</v>
      </c>
      <c r="W270" s="11"/>
      <c r="X270" s="11" t="e">
        <f>VLOOKUP($G270, SeanRanks26!$A$2:$K$303, 10, FALSE)-U270</f>
        <v>#VALUE!</v>
      </c>
      <c r="Y270" s="25" t="str">
        <f>IF(VLOOKUP($G270, SeanRanks26!$A$2:$H$303, 8, FALSE)=0, "", VLOOKUP($G270, SeanRanks26!$A$2:$H$303, 8, FALSE))</f>
        <v/>
      </c>
    </row>
    <row r="271" spans="1:25" ht="14.25" hidden="1" customHeight="1" x14ac:dyDescent="0.25">
      <c r="A271" s="11"/>
      <c r="B271" s="11">
        <f t="shared" si="8"/>
        <v>20</v>
      </c>
      <c r="C271" s="11" t="s">
        <v>148</v>
      </c>
      <c r="D271" s="11"/>
      <c r="E271" s="23"/>
      <c r="F271" s="11" t="e">
        <f>VLOOKUP($G271, SeanRanks26!$A$2:$H$303, 5, FALSE)</f>
        <v>#N/A</v>
      </c>
      <c r="G271" s="11" t="s">
        <v>690</v>
      </c>
      <c r="H271" s="11" t="str">
        <f>VLOOKUP($G271, '26 ADP Data'!$C$4:$Q$298, 2, FALSE)</f>
        <v>DEN</v>
      </c>
      <c r="I271" s="11" t="str">
        <f>VLOOKUP(G271, '26 ADP Data'!$C$4:$R$496, 16, FALSE)</f>
        <v>K-</v>
      </c>
      <c r="J271" s="11" t="e">
        <f>VLOOKUP($G271, SeanRanks26!$A$2:$H$303, 6, FALSE)</f>
        <v>#N/A</v>
      </c>
      <c r="K271" s="11" t="e">
        <f>VLOOKUP($G271, SeanRanks26!$A$2:$H$303, 7, FALSE)</f>
        <v>#N/A</v>
      </c>
      <c r="L271" s="11">
        <f t="shared" si="9"/>
        <v>20</v>
      </c>
      <c r="M271" s="11">
        <f>VLOOKUP($G271, '26 ADP Data'!$C$4:$Q$298, 10, FALSE)</f>
        <v>229</v>
      </c>
      <c r="N271" s="11" t="str">
        <f>VLOOKUP($G271, '26 ADP Data'!$C$4:$Q$298, 13, FALSE)</f>
        <v>-</v>
      </c>
      <c r="O271" s="11" t="e">
        <f t="shared" si="10"/>
        <v>#VALUE!</v>
      </c>
      <c r="P271" s="11">
        <f>VLOOKUP($G271, '26 ADP Data'!$C$4:$Q$298, 3, FALSE)</f>
        <v>213</v>
      </c>
      <c r="Q271" s="11">
        <f>VLOOKUP($G271, '26 ADP Data'!$C$4:$Q$298, 4, FALSE)</f>
        <v>206</v>
      </c>
      <c r="R271" s="11">
        <f>VLOOKUP($G271, '26 ADP Data'!$C$4:$Q$298, 6, FALSE)</f>
        <v>289</v>
      </c>
      <c r="S271" s="11" t="str">
        <f>VLOOKUP($G271, '26 ADP Data'!$C$4:$Q$298, 9, FALSE)</f>
        <v>-</v>
      </c>
      <c r="T271" s="11" t="str">
        <f>VLOOKUP($G271, '26 ADP Data'!$C$4:$Q$298, 8, FALSE)</f>
        <v>-</v>
      </c>
      <c r="U271" s="11">
        <f t="shared" si="11"/>
        <v>234</v>
      </c>
      <c r="V271" s="11">
        <f t="shared" si="12"/>
        <v>20</v>
      </c>
      <c r="W271" s="11"/>
      <c r="X271" s="11" t="e">
        <f>VLOOKUP($G271, SeanRanks26!$A$2:$K$303, 10, FALSE)-U271</f>
        <v>#N/A</v>
      </c>
      <c r="Y271" s="25" t="s">
        <v>831</v>
      </c>
    </row>
    <row r="272" spans="1:25" ht="14.25" hidden="1" customHeight="1" x14ac:dyDescent="0.25">
      <c r="A272" s="11"/>
      <c r="B272" s="11">
        <f t="shared" si="8"/>
        <v>22</v>
      </c>
      <c r="C272" s="11" t="s">
        <v>148</v>
      </c>
      <c r="D272" s="11"/>
      <c r="E272" s="23"/>
      <c r="F272" s="11">
        <f>VLOOKUP($G272, SeanRanks26!$A$2:$H$303, 5, FALSE)</f>
        <v>0</v>
      </c>
      <c r="G272" s="11" t="s">
        <v>688</v>
      </c>
      <c r="H272" s="11" t="str">
        <f>VLOOKUP($G272, '26 ADP Data'!$C$4:$Q$298, 2, FALSE)</f>
        <v>ATL</v>
      </c>
      <c r="I272" s="11" t="str">
        <f>VLOOKUP(G272, '26 ADP Data'!$C$4:$R$496, 16, FALSE)</f>
        <v>QB</v>
      </c>
      <c r="J272" s="11">
        <f>VLOOKUP($G272, SeanRanks26!$A$2:$H$303, 6, FALSE)</f>
        <v>0</v>
      </c>
      <c r="K272" s="11">
        <f>VLOOKUP($G272, SeanRanks26!$A$2:$H$303, 7, FALSE)</f>
        <v>0</v>
      </c>
      <c r="L272" s="11">
        <f t="shared" si="9"/>
        <v>21</v>
      </c>
      <c r="M272" s="11">
        <f>VLOOKUP($G272, '26 ADP Data'!$C$4:$Q$298, 10, FALSE)</f>
        <v>250</v>
      </c>
      <c r="N272" s="11">
        <f>VLOOKUP($G272, '26 ADP Data'!$C$4:$Q$298, 13, FALSE)</f>
        <v>211</v>
      </c>
      <c r="O272" s="11">
        <f t="shared" si="10"/>
        <v>39</v>
      </c>
      <c r="P272" s="11" t="str">
        <f>VLOOKUP($G272, '26 ADP Data'!$C$4:$Q$298, 3, FALSE)</f>
        <v>-</v>
      </c>
      <c r="Q272" s="11" t="str">
        <f>VLOOKUP($G272, '26 ADP Data'!$C$4:$Q$298, 4, FALSE)</f>
        <v>-</v>
      </c>
      <c r="R272" s="11">
        <f>VLOOKUP($G272, '26 ADP Data'!$C$4:$Q$298, 6, FALSE)</f>
        <v>258</v>
      </c>
      <c r="S272" s="11" t="str">
        <f>VLOOKUP($G272, '26 ADP Data'!$C$4:$Q$298, 9, FALSE)</f>
        <v>-</v>
      </c>
      <c r="T272" s="11" t="str">
        <f>VLOOKUP($G272, '26 ADP Data'!$C$4:$Q$298, 8, FALSE)</f>
        <v>-</v>
      </c>
      <c r="U272" s="11">
        <f t="shared" si="11"/>
        <v>239</v>
      </c>
      <c r="V272" s="11">
        <f t="shared" si="12"/>
        <v>20</v>
      </c>
      <c r="W272" s="11"/>
      <c r="X272" s="11">
        <f>VLOOKUP($G272, SeanRanks26!$A$2:$K$303, 10, FALSE)-U272</f>
        <v>11</v>
      </c>
      <c r="Y272" s="25" t="str">
        <f>IF(VLOOKUP($G272, SeanRanks26!$A$2:$H$303, 8, FALSE)=0, "", VLOOKUP($G272, SeanRanks26!$A$2:$H$303, 8, FALSE))</f>
        <v/>
      </c>
    </row>
    <row r="273" spans="1:25" ht="14.25" hidden="1" customHeight="1" x14ac:dyDescent="0.25">
      <c r="A273" s="11"/>
      <c r="B273" s="11">
        <f t="shared" si="8"/>
        <v>21</v>
      </c>
      <c r="C273" s="11" t="s">
        <v>148</v>
      </c>
      <c r="D273" s="11"/>
      <c r="E273" s="23"/>
      <c r="F273" s="11">
        <f>VLOOKUP($G273, SeanRanks26!$A$2:$H$303, 5, FALSE)</f>
        <v>0</v>
      </c>
      <c r="G273" s="11" t="s">
        <v>611</v>
      </c>
      <c r="H273" s="11" t="str">
        <f>VLOOKUP($G273, '26 ADP Data'!$C$4:$Q$298, 2, FALSE)</f>
        <v>CLE</v>
      </c>
      <c r="I273" s="11" t="str">
        <f>VLOOKUP(G273, '26 ADP Data'!$C$4:$R$496, 16, FALSE)</f>
        <v>QB</v>
      </c>
      <c r="J273" s="11">
        <f>VLOOKUP($G273, SeanRanks26!$A$2:$H$303, 6, FALSE)</f>
        <v>0</v>
      </c>
      <c r="K273" s="11">
        <f>VLOOKUP($G273, SeanRanks26!$A$2:$H$303, 7, FALSE)</f>
        <v>0</v>
      </c>
      <c r="L273" s="11">
        <f t="shared" si="9"/>
        <v>16</v>
      </c>
      <c r="M273" s="11" t="str">
        <f>VLOOKUP($G273, '26 ADP Data'!$C$4:$Q$298, 10, FALSE)</f>
        <v>-</v>
      </c>
      <c r="N273" s="11">
        <f>VLOOKUP($G273, '26 ADP Data'!$C$4:$Q$298, 13, FALSE)</f>
        <v>231</v>
      </c>
      <c r="O273" s="11" t="e">
        <f t="shared" si="10"/>
        <v>#VALUE!</v>
      </c>
      <c r="P273" s="11" t="str">
        <f>VLOOKUP($G273, '26 ADP Data'!$C$4:$Q$298, 3, FALSE)</f>
        <v>-</v>
      </c>
      <c r="Q273" s="11">
        <f>VLOOKUP($G273, '26 ADP Data'!$C$4:$Q$298, 4, FALSE)</f>
        <v>236</v>
      </c>
      <c r="R273" s="11">
        <f>VLOOKUP($G273, '26 ADP Data'!$C$4:$Q$298, 6, FALSE)</f>
        <v>266</v>
      </c>
      <c r="S273" s="11" t="str">
        <f>VLOOKUP($G273, '26 ADP Data'!$C$4:$Q$298, 9, FALSE)</f>
        <v>-</v>
      </c>
      <c r="T273" s="11" t="str">
        <f>VLOOKUP($G273, '26 ADP Data'!$C$4:$Q$298, 8, FALSE)</f>
        <v>-</v>
      </c>
      <c r="U273" s="11">
        <f t="shared" si="11"/>
        <v>244</v>
      </c>
      <c r="V273" s="11">
        <f t="shared" si="12"/>
        <v>21</v>
      </c>
      <c r="W273" s="11"/>
      <c r="X273" s="11" t="e">
        <f>VLOOKUP($G273, SeanRanks26!$A$2:$K$303, 10, FALSE)-U273</f>
        <v>#VALUE!</v>
      </c>
      <c r="Y273" s="25" t="str">
        <f>IF(VLOOKUP($G273, SeanRanks26!$A$2:$H$303, 8, FALSE)=0, "", VLOOKUP($G273, SeanRanks26!$A$2:$H$303, 8, FALSE))</f>
        <v/>
      </c>
    </row>
    <row r="274" spans="1:25" ht="14.25" customHeight="1" x14ac:dyDescent="0.25">
      <c r="A274" s="11"/>
      <c r="B274" s="11">
        <f t="shared" si="8"/>
        <v>21</v>
      </c>
      <c r="C274" s="11" t="s">
        <v>148</v>
      </c>
      <c r="D274" s="11"/>
      <c r="E274" s="23"/>
      <c r="F274" s="11">
        <f>VLOOKUP($G274, SeanRanks26!$A$2:$H$303, 5, FALSE)</f>
        <v>0</v>
      </c>
      <c r="G274" s="11" t="s">
        <v>596</v>
      </c>
      <c r="H274" s="11" t="str">
        <f>VLOOKUP($G274, '26 ADP Data'!$C$4:$Q$298, 2, FALSE)</f>
        <v>HOU</v>
      </c>
      <c r="I274" s="11" t="str">
        <f>VLOOKUP(G274, '26 ADP Data'!$C$4:$R$496, 16, FALSE)</f>
        <v>WR</v>
      </c>
      <c r="J274" s="11">
        <f>VLOOKUP($G274, SeanRanks26!$A$2:$H$303, 6, FALSE)</f>
        <v>0</v>
      </c>
      <c r="K274" s="11">
        <f>VLOOKUP($G274, SeanRanks26!$A$2:$H$303, 7, FALSE)</f>
        <v>0</v>
      </c>
      <c r="L274" s="11">
        <f t="shared" si="9"/>
        <v>16</v>
      </c>
      <c r="M274" s="11">
        <f>VLOOKUP($G274, '26 ADP Data'!$C$4:$Q$298, 10, FALSE)</f>
        <v>190</v>
      </c>
      <c r="N274" s="11">
        <f>VLOOKUP($G274, '26 ADP Data'!$C$4:$Q$298, 13, FALSE)</f>
        <v>204</v>
      </c>
      <c r="O274" s="11">
        <f t="shared" si="10"/>
        <v>-14</v>
      </c>
      <c r="P274" s="11" t="str">
        <f>VLOOKUP($G274, '26 ADP Data'!$C$4:$Q$298, 3, FALSE)</f>
        <v>-</v>
      </c>
      <c r="Q274" s="11" t="str">
        <f>VLOOKUP($G274, '26 ADP Data'!$C$4:$Q$298, 4, FALSE)</f>
        <v>-</v>
      </c>
      <c r="R274" s="11">
        <f>VLOOKUP($G274, '26 ADP Data'!$C$4:$Q$298, 6, FALSE)</f>
        <v>250</v>
      </c>
      <c r="S274" s="11" t="str">
        <f>VLOOKUP($G274, '26 ADP Data'!$C$4:$Q$298, 9, FALSE)</f>
        <v>-</v>
      </c>
      <c r="T274" s="11" t="str">
        <f>VLOOKUP($G274, '26 ADP Data'!$C$4:$Q$298, 8, FALSE)</f>
        <v>-</v>
      </c>
      <c r="U274" s="11">
        <f t="shared" si="11"/>
        <v>214</v>
      </c>
      <c r="V274" s="11">
        <f t="shared" si="12"/>
        <v>18</v>
      </c>
      <c r="W274" s="11"/>
      <c r="X274" s="11">
        <f>VLOOKUP($G274, SeanRanks26!$A$2:$K$303, 10, FALSE)-U274</f>
        <v>-24</v>
      </c>
      <c r="Y274" s="25" t="str">
        <f>IF(VLOOKUP($G274, SeanRanks26!$A$2:$H$303, 8, FALSE)=0, "", VLOOKUP($G274, SeanRanks26!$A$2:$H$303, 8, FALSE))</f>
        <v>2025 R3</v>
      </c>
    </row>
    <row r="275" spans="1:25" ht="14.25" customHeight="1" x14ac:dyDescent="0.25">
      <c r="A275" s="11"/>
      <c r="B275" s="11">
        <f t="shared" si="8"/>
        <v>21</v>
      </c>
      <c r="C275" s="11" t="s">
        <v>148</v>
      </c>
      <c r="D275" s="11"/>
      <c r="E275" s="23"/>
      <c r="F275" s="11">
        <f>VLOOKUP($G275, SeanRanks26!$A$2:$H$303, 5, FALSE)</f>
        <v>0</v>
      </c>
      <c r="G275" s="11" t="s">
        <v>572</v>
      </c>
      <c r="H275" s="11" t="str">
        <f>VLOOKUP($G275, '26 ADP Data'!$C$4:$Q$298, 2, FALSE)</f>
        <v>BAL</v>
      </c>
      <c r="I275" s="11" t="str">
        <f>VLOOKUP(G275, '26 ADP Data'!$C$4:$R$496, 16, FALSE)</f>
        <v>WR</v>
      </c>
      <c r="J275" s="11">
        <f>VLOOKUP($G275, SeanRanks26!$A$2:$H$303, 6, FALSE)</f>
        <v>0</v>
      </c>
      <c r="K275" s="11">
        <f>VLOOKUP($G275, SeanRanks26!$A$2:$H$303, 7, FALSE)</f>
        <v>0</v>
      </c>
      <c r="L275" s="11">
        <f t="shared" si="9"/>
        <v>19</v>
      </c>
      <c r="M275" s="11">
        <f>VLOOKUP($G275, '26 ADP Data'!$C$4:$Q$298, 10, FALSE)</f>
        <v>222</v>
      </c>
      <c r="N275" s="11">
        <f>VLOOKUP($G275, '26 ADP Data'!$C$4:$Q$298, 13, FALSE)</f>
        <v>214</v>
      </c>
      <c r="O275" s="11">
        <f t="shared" si="10"/>
        <v>8</v>
      </c>
      <c r="P275" s="11" t="str">
        <f>VLOOKUP($G275, '26 ADP Data'!$C$4:$Q$298, 3, FALSE)</f>
        <v>-</v>
      </c>
      <c r="Q275" s="11" t="str">
        <f>VLOOKUP($G275, '26 ADP Data'!$C$4:$Q$298, 4, FALSE)</f>
        <v>-</v>
      </c>
      <c r="R275" s="11">
        <f>VLOOKUP($G275, '26 ADP Data'!$C$4:$Q$298, 6, FALSE)</f>
        <v>249</v>
      </c>
      <c r="S275" s="11" t="str">
        <f>VLOOKUP($G275, '26 ADP Data'!$C$4:$Q$298, 9, FALSE)</f>
        <v>-</v>
      </c>
      <c r="T275" s="11" t="str">
        <f>VLOOKUP($G275, '26 ADP Data'!$C$4:$Q$298, 8, FALSE)</f>
        <v>-</v>
      </c>
      <c r="U275" s="11">
        <f t="shared" si="11"/>
        <v>228</v>
      </c>
      <c r="V275" s="11">
        <f t="shared" si="12"/>
        <v>20</v>
      </c>
      <c r="W275" s="11"/>
      <c r="X275" s="11">
        <f>VLOOKUP($G275, SeanRanks26!$A$2:$K$303, 10, FALSE)-U275</f>
        <v>-6</v>
      </c>
      <c r="Y275" s="25" t="str">
        <f>IF(VLOOKUP($G275, SeanRanks26!$A$2:$H$303, 8, FALSE)=0, "", VLOOKUP($G275, SeanRanks26!$A$2:$H$303, 8, FALSE))</f>
        <v/>
      </c>
    </row>
    <row r="276" spans="1:25" ht="14.25" hidden="1" customHeight="1" x14ac:dyDescent="0.25">
      <c r="A276" s="11"/>
      <c r="B276" s="11">
        <f t="shared" si="8"/>
        <v>22</v>
      </c>
      <c r="C276" s="11" t="s">
        <v>148</v>
      </c>
      <c r="D276" s="11"/>
      <c r="E276" s="23"/>
      <c r="F276" s="11">
        <f>VLOOKUP($G276, SeanRanks26!$A$2:$H$303, 5, FALSE)</f>
        <v>0</v>
      </c>
      <c r="G276" s="11" t="s">
        <v>625</v>
      </c>
      <c r="H276" s="11" t="str">
        <f>VLOOKUP($G276, '26 ADP Data'!$C$4:$Q$298, 2, FALSE)</f>
        <v>CIN</v>
      </c>
      <c r="I276" s="11" t="str">
        <f>VLOOKUP(G276, '26 ADP Data'!$C$4:$R$496, 16, FALSE)</f>
        <v>TE</v>
      </c>
      <c r="J276" s="11">
        <f>VLOOKUP($G276, SeanRanks26!$A$2:$H$303, 6, FALSE)</f>
        <v>0</v>
      </c>
      <c r="K276" s="11">
        <f>VLOOKUP($G276, SeanRanks26!$A$2:$H$303, 7, FALSE)</f>
        <v>0</v>
      </c>
      <c r="L276" s="11">
        <f t="shared" si="9"/>
        <v>16</v>
      </c>
      <c r="M276" s="11" t="str">
        <f>VLOOKUP($G276, '26 ADP Data'!$C$4:$Q$298, 10, FALSE)</f>
        <v>-</v>
      </c>
      <c r="N276" s="11">
        <f>VLOOKUP($G276, '26 ADP Data'!$C$4:$Q$298, 13, FALSE)</f>
        <v>232</v>
      </c>
      <c r="O276" s="11" t="e">
        <f t="shared" si="10"/>
        <v>#VALUE!</v>
      </c>
      <c r="P276" s="11" t="str">
        <f>VLOOKUP($G276, '26 ADP Data'!$C$4:$Q$298, 3, FALSE)</f>
        <v>-</v>
      </c>
      <c r="Q276" s="11" t="str">
        <f>VLOOKUP($G276, '26 ADP Data'!$C$4:$Q$298, 4, FALSE)</f>
        <v>-</v>
      </c>
      <c r="R276" s="11">
        <f>VLOOKUP($G276, '26 ADP Data'!$C$4:$Q$298, 6, FALSE)</f>
        <v>254</v>
      </c>
      <c r="S276" s="11" t="str">
        <f>VLOOKUP($G276, '26 ADP Data'!$C$4:$Q$298, 9, FALSE)</f>
        <v>-</v>
      </c>
      <c r="T276" s="11" t="str">
        <f>VLOOKUP($G276, '26 ADP Data'!$C$4:$Q$298, 8, FALSE)</f>
        <v>-</v>
      </c>
      <c r="U276" s="11">
        <f t="shared" si="11"/>
        <v>243</v>
      </c>
      <c r="V276" s="11">
        <f t="shared" si="12"/>
        <v>21</v>
      </c>
      <c r="W276" s="11"/>
      <c r="X276" s="11" t="e">
        <f>VLOOKUP($G276, SeanRanks26!$A$2:$K$303, 10, FALSE)-U276</f>
        <v>#VALUE!</v>
      </c>
      <c r="Y276" s="25" t="str">
        <f>IF(VLOOKUP($G276, SeanRanks26!$A$2:$H$303, 8, FALSE)=0, "", VLOOKUP($G276, SeanRanks26!$A$2:$H$303, 8, FALSE))</f>
        <v/>
      </c>
    </row>
    <row r="277" spans="1:25" ht="14.25" hidden="1" customHeight="1" x14ac:dyDescent="0.25">
      <c r="A277" s="11"/>
      <c r="B277" s="11">
        <f t="shared" si="8"/>
        <v>22</v>
      </c>
      <c r="C277" s="11" t="s">
        <v>148</v>
      </c>
      <c r="D277" s="11"/>
      <c r="E277" s="23"/>
      <c r="F277" s="11">
        <f>VLOOKUP($G277, SeanRanks26!$A$2:$H$303, 5, FALSE)</f>
        <v>0</v>
      </c>
      <c r="G277" s="11" t="s">
        <v>699</v>
      </c>
      <c r="H277" s="11" t="str">
        <f>VLOOKUP($G277, '26 ADP Data'!$C$4:$Q$298, 2, FALSE)</f>
        <v>PIT</v>
      </c>
      <c r="I277" s="11" t="str">
        <f>VLOOKUP(G277, '26 ADP Data'!$C$4:$R$496, 16, FALSE)</f>
        <v>TE</v>
      </c>
      <c r="J277" s="11">
        <f>VLOOKUP($G277, SeanRanks26!$A$2:$H$303, 6, FALSE)</f>
        <v>0</v>
      </c>
      <c r="K277" s="11">
        <f>VLOOKUP($G277, SeanRanks26!$A$2:$H$303, 7, FALSE)</f>
        <v>0</v>
      </c>
      <c r="L277" s="11">
        <f t="shared" si="9"/>
        <v>16</v>
      </c>
      <c r="M277" s="11" t="str">
        <f>VLOOKUP($G277, '26 ADP Data'!$C$4:$Q$298, 10, FALSE)</f>
        <v>-</v>
      </c>
      <c r="N277" s="11">
        <f>VLOOKUP($G277, '26 ADP Data'!$C$4:$Q$298, 13, FALSE)</f>
        <v>243</v>
      </c>
      <c r="O277" s="11" t="e">
        <f t="shared" si="10"/>
        <v>#VALUE!</v>
      </c>
      <c r="P277" s="11" t="str">
        <f>VLOOKUP($G277, '26 ADP Data'!$C$4:$Q$298, 3, FALSE)</f>
        <v>-</v>
      </c>
      <c r="Q277" s="11">
        <f>VLOOKUP($G277, '26 ADP Data'!$C$4:$Q$298, 4, FALSE)</f>
        <v>232</v>
      </c>
      <c r="R277" s="11">
        <f>VLOOKUP($G277, '26 ADP Data'!$C$4:$Q$298, 6, FALSE)</f>
        <v>282</v>
      </c>
      <c r="S277" s="11" t="str">
        <f>VLOOKUP($G277, '26 ADP Data'!$C$4:$Q$298, 9, FALSE)</f>
        <v>-</v>
      </c>
      <c r="T277" s="11" t="str">
        <f>VLOOKUP($G277, '26 ADP Data'!$C$4:$Q$298, 8, FALSE)</f>
        <v>-</v>
      </c>
      <c r="U277" s="11">
        <f t="shared" si="11"/>
        <v>252</v>
      </c>
      <c r="V277" s="11">
        <f t="shared" si="12"/>
        <v>22</v>
      </c>
      <c r="W277" s="11"/>
      <c r="X277" s="11" t="e">
        <f>VLOOKUP($G277, SeanRanks26!$A$2:$K$303, 10, FALSE)-U277</f>
        <v>#VALUE!</v>
      </c>
      <c r="Y277" s="25" t="str">
        <f>IF(VLOOKUP($G277, SeanRanks26!$A$2:$H$303, 8, FALSE)=0, "", VLOOKUP($G277, SeanRanks26!$A$2:$H$303, 8, FALSE))</f>
        <v/>
      </c>
    </row>
    <row r="278" spans="1:25" ht="14.25" hidden="1" customHeight="1" x14ac:dyDescent="0.25">
      <c r="A278" s="11"/>
      <c r="B278" s="11">
        <f t="shared" si="8"/>
        <v>20</v>
      </c>
      <c r="C278" s="11" t="s">
        <v>148</v>
      </c>
      <c r="D278" s="11"/>
      <c r="E278" s="23"/>
      <c r="F278" s="11" t="e">
        <f>VLOOKUP($G278, SeanRanks26!$A$2:$H$303, 5, FALSE)</f>
        <v>#N/A</v>
      </c>
      <c r="G278" s="11" t="s">
        <v>658</v>
      </c>
      <c r="H278" s="11" t="str">
        <f>VLOOKUP($G278, '26 ADP Data'!$C$4:$Q$298, 2, FALSE)</f>
        <v>SF</v>
      </c>
      <c r="I278" s="11" t="str">
        <f>VLOOKUP(G278, '26 ADP Data'!$C$4:$R$496, 16, FALSE)</f>
        <v>DE</v>
      </c>
      <c r="J278" s="11" t="e">
        <f>VLOOKUP($G278, SeanRanks26!$A$2:$H$303, 6, FALSE)</f>
        <v>#N/A</v>
      </c>
      <c r="K278" s="11" t="e">
        <f>VLOOKUP($G278, SeanRanks26!$A$2:$H$303, 7, FALSE)</f>
        <v>#N/A</v>
      </c>
      <c r="L278" s="11">
        <f t="shared" si="9"/>
        <v>16</v>
      </c>
      <c r="M278" s="11" t="str">
        <f>VLOOKUP($G278, '26 ADP Data'!$C$4:$Q$298, 10, FALSE)</f>
        <v>-</v>
      </c>
      <c r="N278" s="11" t="str">
        <f>VLOOKUP($G278, '26 ADP Data'!$C$4:$Q$298, 13, FALSE)</f>
        <v>-</v>
      </c>
      <c r="O278" s="11" t="e">
        <f t="shared" si="10"/>
        <v>#VALUE!</v>
      </c>
      <c r="P278" s="11" t="str">
        <f>VLOOKUP($G278, '26 ADP Data'!$C$4:$Q$298, 3, FALSE)</f>
        <v>-</v>
      </c>
      <c r="Q278" s="11">
        <f>VLOOKUP($G278, '26 ADP Data'!$C$4:$Q$298, 4, FALSE)</f>
        <v>194</v>
      </c>
      <c r="R278" s="11">
        <f>VLOOKUP($G278, '26 ADP Data'!$C$4:$Q$298, 6, FALSE)</f>
        <v>279</v>
      </c>
      <c r="S278" s="11">
        <f>VLOOKUP($G278, '26 ADP Data'!$C$4:$Q$298, 9, FALSE)</f>
        <v>216</v>
      </c>
      <c r="T278" s="11" t="str">
        <f>VLOOKUP($G278, '26 ADP Data'!$C$4:$Q$298, 8, FALSE)</f>
        <v>-</v>
      </c>
      <c r="U278" s="11">
        <f t="shared" si="11"/>
        <v>229</v>
      </c>
      <c r="V278" s="11">
        <f t="shared" si="12"/>
        <v>20</v>
      </c>
      <c r="W278" s="11"/>
      <c r="X278" s="11" t="e">
        <f>VLOOKUP($G278, SeanRanks26!$A$2:$K$303, 10, FALSE)-U278</f>
        <v>#N/A</v>
      </c>
      <c r="Y278" s="25" t="e">
        <f>IF(VLOOKUP($G278, SeanRanks26!$A$2:$H$303, 8, FALSE)=0, "", VLOOKUP($G278, SeanRanks26!$A$2:$H$303, 8, FALSE))</f>
        <v>#N/A</v>
      </c>
    </row>
    <row r="279" spans="1:25" ht="14.25" hidden="1" customHeight="1" x14ac:dyDescent="0.25">
      <c r="A279" s="11"/>
      <c r="B279" s="11">
        <f t="shared" si="8"/>
        <v>23</v>
      </c>
      <c r="C279" s="11" t="s">
        <v>148</v>
      </c>
      <c r="D279" s="11"/>
      <c r="E279" s="23"/>
      <c r="F279" s="11">
        <f>VLOOKUP($G279, SeanRanks26!$A$2:$H$303, 5, FALSE)</f>
        <v>0</v>
      </c>
      <c r="G279" s="11" t="s">
        <v>695</v>
      </c>
      <c r="H279" s="11" t="str">
        <f>VLOOKUP($G279, '26 ADP Data'!$C$4:$Q$298, 2, FALSE)</f>
        <v>CLE</v>
      </c>
      <c r="I279" s="11" t="str">
        <f>VLOOKUP(G279, '26 ADP Data'!$C$4:$R$496, 16, FALSE)</f>
        <v>QB</v>
      </c>
      <c r="J279" s="11">
        <f>VLOOKUP($G279, SeanRanks26!$A$2:$H$303, 6, FALSE)</f>
        <v>0</v>
      </c>
      <c r="K279" s="11">
        <f>VLOOKUP($G279, SeanRanks26!$A$2:$H$303, 7, FALSE)</f>
        <v>0</v>
      </c>
      <c r="L279" s="11">
        <f t="shared" si="9"/>
        <v>16</v>
      </c>
      <c r="M279" s="11" t="str">
        <f>VLOOKUP($G279, '26 ADP Data'!$C$4:$Q$298, 10, FALSE)</f>
        <v>-</v>
      </c>
      <c r="N279" s="11">
        <f>VLOOKUP($G279, '26 ADP Data'!$C$4:$Q$298, 13, FALSE)</f>
        <v>235</v>
      </c>
      <c r="O279" s="11" t="e">
        <f t="shared" si="10"/>
        <v>#VALUE!</v>
      </c>
      <c r="P279" s="11" t="str">
        <f>VLOOKUP($G279, '26 ADP Data'!$C$4:$Q$298, 3, FALSE)</f>
        <v>-</v>
      </c>
      <c r="Q279" s="11" t="str">
        <f>VLOOKUP($G279, '26 ADP Data'!$C$4:$Q$298, 4, FALSE)</f>
        <v>-</v>
      </c>
      <c r="R279" s="11">
        <f>VLOOKUP($G279, '26 ADP Data'!$C$4:$Q$298, 6, FALSE)</f>
        <v>273</v>
      </c>
      <c r="S279" s="11" t="str">
        <f>VLOOKUP($G279, '26 ADP Data'!$C$4:$Q$298, 9, FALSE)</f>
        <v>-</v>
      </c>
      <c r="T279" s="11" t="str">
        <f>VLOOKUP($G279, '26 ADP Data'!$C$4:$Q$298, 8, FALSE)</f>
        <v>-</v>
      </c>
      <c r="U279" s="11">
        <f t="shared" si="11"/>
        <v>254</v>
      </c>
      <c r="V279" s="11">
        <f t="shared" si="12"/>
        <v>22</v>
      </c>
      <c r="W279" s="11"/>
      <c r="X279" s="11" t="e">
        <f>VLOOKUP($G279, SeanRanks26!$A$2:$K$303, 10, FALSE)-U279</f>
        <v>#VALUE!</v>
      </c>
      <c r="Y279" s="25" t="str">
        <f>IF(VLOOKUP($G279, SeanRanks26!$A$2:$H$303, 8, FALSE)=0, "", VLOOKUP($G279, SeanRanks26!$A$2:$H$303, 8, FALSE))</f>
        <v/>
      </c>
    </row>
    <row r="280" spans="1:25" ht="14.25" hidden="1" customHeight="1" x14ac:dyDescent="0.25">
      <c r="A280" s="11"/>
      <c r="B280" s="11"/>
      <c r="C280" s="11" t="s">
        <v>148</v>
      </c>
      <c r="D280" s="11"/>
      <c r="E280" s="23"/>
      <c r="F280" s="11">
        <f>VLOOKUP($G280, SeanRanks26!$A$2:$H$303, 5, FALSE)</f>
        <v>0</v>
      </c>
      <c r="G280" s="11" t="s">
        <v>706</v>
      </c>
      <c r="H280" s="11" t="e">
        <f>VLOOKUP($G280, '26 ADP Data'!$C$4:$Q$298, 2, FALSE)</f>
        <v>#N/A</v>
      </c>
      <c r="I280" s="11" t="e">
        <f>VLOOKUP(G280, '26 ADP Data'!$C$4:$R$496, 16, FALSE)</f>
        <v>#N/A</v>
      </c>
      <c r="J280" s="11">
        <f>VLOOKUP($G280, SeanRanks26!$A$2:$H$303, 6, FALSE)</f>
        <v>0</v>
      </c>
      <c r="K280" s="11">
        <f>VLOOKUP($G280, SeanRanks26!$A$2:$H$303, 7, FALSE)</f>
        <v>0</v>
      </c>
      <c r="L280" s="11">
        <f t="shared" si="9"/>
        <v>16</v>
      </c>
      <c r="M280" s="11" t="e">
        <f>VLOOKUP($G280, '26 ADP Data'!$C$4:$Q$298, 10, FALSE)</f>
        <v>#N/A</v>
      </c>
      <c r="N280" s="11" t="e">
        <f>VLOOKUP($G280, '26 ADP Data'!$C$4:$Q$298, 13, FALSE)</f>
        <v>#N/A</v>
      </c>
      <c r="O280" s="11" t="e">
        <f t="shared" si="10"/>
        <v>#N/A</v>
      </c>
      <c r="P280" s="11" t="e">
        <f>VLOOKUP($G280, '26 ADP Data'!$C$4:$Q$298, 3, FALSE)</f>
        <v>#N/A</v>
      </c>
      <c r="Q280" s="11" t="e">
        <f>VLOOKUP($G280, '26 ADP Data'!$C$4:$Q$298, 4, FALSE)</f>
        <v>#N/A</v>
      </c>
      <c r="R280" s="11" t="e">
        <f>VLOOKUP($G280, '26 ADP Data'!$C$4:$Q$298, 6, FALSE)</f>
        <v>#N/A</v>
      </c>
      <c r="S280" s="11" t="e">
        <f>VLOOKUP($G280, '26 ADP Data'!$C$4:$Q$298, 9, FALSE)</f>
        <v>#N/A</v>
      </c>
      <c r="T280" s="11" t="e">
        <f>VLOOKUP($G280, '26 ADP Data'!$C$4:$Q$298, 8, FALSE)</f>
        <v>#N/A</v>
      </c>
      <c r="U280" s="11" t="e">
        <f t="shared" si="11"/>
        <v>#N/A</v>
      </c>
      <c r="V280" s="11">
        <f t="shared" si="12"/>
        <v>16</v>
      </c>
      <c r="W280" s="11"/>
      <c r="X280" s="11" t="e">
        <f>VLOOKUP($G280, SeanRanks26!$A$2:$K$303, 10, FALSE)-U280</f>
        <v>#N/A</v>
      </c>
      <c r="Y280" s="25" t="str">
        <f>IF(VLOOKUP($G280, SeanRanks26!$A$2:$H$303, 8, FALSE)=0, "", VLOOKUP($G280, SeanRanks26!$A$2:$H$303, 8, FALSE))</f>
        <v/>
      </c>
    </row>
    <row r="281" spans="1:25" ht="14.25" customHeight="1" x14ac:dyDescent="0.25">
      <c r="A281" s="11"/>
      <c r="B281" s="11">
        <f t="shared" ref="B281:B295" si="13">IFERROR(INT(AVERAGE(P281:T281)/12)+1, INT(AVERAGE(M281)/12)+1)</f>
        <v>22</v>
      </c>
      <c r="C281" s="11" t="s">
        <v>148</v>
      </c>
      <c r="D281" s="11"/>
      <c r="E281" s="23"/>
      <c r="F281" s="11">
        <f>VLOOKUP($G281, SeanRanks26!$A$2:$H$303, 5, FALSE)</f>
        <v>0</v>
      </c>
      <c r="G281" s="11" t="s">
        <v>617</v>
      </c>
      <c r="H281" s="11" t="str">
        <f>VLOOKUP($G281, '26 ADP Data'!$C$4:$Q$298, 2, FALSE)</f>
        <v>PIT</v>
      </c>
      <c r="I281" s="11" t="str">
        <f>VLOOKUP(G281, '26 ADP Data'!$C$4:$R$496, 16, FALSE)</f>
        <v>WR</v>
      </c>
      <c r="J281" s="11" t="str">
        <f>VLOOKUP($G281, SeanRanks26!$A$2:$H$303, 6, FALSE)</f>
        <v>WR5</v>
      </c>
      <c r="K281" s="11">
        <f>VLOOKUP($G281, SeanRanks26!$A$2:$H$303, 7, FALSE)</f>
        <v>0</v>
      </c>
      <c r="L281" s="11">
        <f t="shared" si="9"/>
        <v>16</v>
      </c>
      <c r="M281" s="11" t="str">
        <f>VLOOKUP($G281, '26 ADP Data'!$C$4:$Q$298, 10, FALSE)</f>
        <v>-</v>
      </c>
      <c r="N281" s="11">
        <f>VLOOKUP($G281, '26 ADP Data'!$C$4:$Q$298, 13, FALSE)</f>
        <v>206</v>
      </c>
      <c r="O281" s="11" t="e">
        <f t="shared" si="10"/>
        <v>#VALUE!</v>
      </c>
      <c r="P281" s="11" t="str">
        <f>VLOOKUP($G281, '26 ADP Data'!$C$4:$Q$298, 3, FALSE)</f>
        <v>-</v>
      </c>
      <c r="Q281" s="11" t="str">
        <f>VLOOKUP($G281, '26 ADP Data'!$C$4:$Q$298, 4, FALSE)</f>
        <v>-</v>
      </c>
      <c r="R281" s="11">
        <f>VLOOKUP($G281, '26 ADP Data'!$C$4:$Q$298, 6, FALSE)</f>
        <v>256</v>
      </c>
      <c r="S281" s="11">
        <f>VLOOKUP($G281, '26 ADP Data'!$C$4:$Q$298, 9, FALSE)</f>
        <v>248</v>
      </c>
      <c r="T281" s="11" t="str">
        <f>VLOOKUP($G281, '26 ADP Data'!$C$4:$Q$298, 8, FALSE)</f>
        <v>-</v>
      </c>
      <c r="U281" s="11">
        <f t="shared" si="11"/>
        <v>236</v>
      </c>
      <c r="V281" s="11">
        <f t="shared" si="12"/>
        <v>20</v>
      </c>
      <c r="W281" s="11"/>
      <c r="X281" s="11" t="e">
        <f>VLOOKUP($G281, SeanRanks26!$A$2:$K$303, 10, FALSE)-U281</f>
        <v>#VALUE!</v>
      </c>
      <c r="Y281" s="25" t="str">
        <f>IF(VLOOKUP($G281, SeanRanks26!$A$2:$H$303, 8, FALSE)=0, "", VLOOKUP($G281, SeanRanks26!$A$2:$H$303, 8, FALSE))</f>
        <v>Rookie R2 Alabama</v>
      </c>
    </row>
    <row r="282" spans="1:25" ht="14.25" customHeight="1" x14ac:dyDescent="0.25">
      <c r="A282" s="11"/>
      <c r="B282" s="11">
        <f t="shared" si="13"/>
        <v>24</v>
      </c>
      <c r="C282" s="11" t="s">
        <v>148</v>
      </c>
      <c r="D282" s="11"/>
      <c r="E282" s="23"/>
      <c r="F282" s="11">
        <f>VLOOKUP($G282, SeanRanks26!$A$2:$H$303, 5, FALSE)</f>
        <v>0</v>
      </c>
      <c r="G282" s="11" t="s">
        <v>650</v>
      </c>
      <c r="H282" s="11" t="str">
        <f>VLOOKUP($G282, '26 ADP Data'!$C$4:$Q$298, 2, FALSE)</f>
        <v>KC</v>
      </c>
      <c r="I282" s="11" t="str">
        <f>VLOOKUP(G282, '26 ADP Data'!$C$4:$R$496, 16, FALSE)</f>
        <v>WR</v>
      </c>
      <c r="J282" s="11">
        <f>VLOOKUP($G282, SeanRanks26!$A$2:$H$303, 6, FALSE)</f>
        <v>0</v>
      </c>
      <c r="K282" s="11">
        <f>VLOOKUP($G282, SeanRanks26!$A$2:$H$303, 7, FALSE)</f>
        <v>0</v>
      </c>
      <c r="L282" s="11">
        <f t="shared" si="9"/>
        <v>20</v>
      </c>
      <c r="M282" s="11">
        <f>VLOOKUP($G282, '26 ADP Data'!$C$4:$Q$298, 10, FALSE)</f>
        <v>231</v>
      </c>
      <c r="N282" s="11">
        <f>VLOOKUP($G282, '26 ADP Data'!$C$4:$Q$298, 13, FALSE)</f>
        <v>230</v>
      </c>
      <c r="O282" s="11">
        <f t="shared" si="10"/>
        <v>1</v>
      </c>
      <c r="P282" s="11" t="str">
        <f>VLOOKUP($G282, '26 ADP Data'!$C$4:$Q$298, 3, FALSE)</f>
        <v>-</v>
      </c>
      <c r="Q282" s="11" t="str">
        <f>VLOOKUP($G282, '26 ADP Data'!$C$4:$Q$298, 4, FALSE)</f>
        <v>-</v>
      </c>
      <c r="R282" s="11">
        <f>VLOOKUP($G282, '26 ADP Data'!$C$4:$Q$298, 6, FALSE)</f>
        <v>281</v>
      </c>
      <c r="S282" s="11" t="str">
        <f>VLOOKUP($G282, '26 ADP Data'!$C$4:$Q$298, 9, FALSE)</f>
        <v>-</v>
      </c>
      <c r="T282" s="11" t="str">
        <f>VLOOKUP($G282, '26 ADP Data'!$C$4:$Q$298, 8, FALSE)</f>
        <v>-</v>
      </c>
      <c r="U282" s="11">
        <f t="shared" si="11"/>
        <v>247</v>
      </c>
      <c r="V282" s="11">
        <f t="shared" si="12"/>
        <v>21</v>
      </c>
      <c r="W282" s="11"/>
      <c r="X282" s="11">
        <f>VLOOKUP($G282, SeanRanks26!$A$2:$K$303, 10, FALSE)-U282</f>
        <v>-16</v>
      </c>
      <c r="Y282" s="25" t="s">
        <v>794</v>
      </c>
    </row>
    <row r="283" spans="1:25" ht="14.25" hidden="1" customHeight="1" x14ac:dyDescent="0.25">
      <c r="A283" s="11"/>
      <c r="B283" s="11" t="e">
        <f t="shared" si="13"/>
        <v>#N/A</v>
      </c>
      <c r="C283" s="11" t="s">
        <v>148</v>
      </c>
      <c r="D283" s="11"/>
      <c r="E283" s="23"/>
      <c r="F283" s="11" t="e">
        <f>VLOOKUP($G283, SeanRanks26!$A$2:$H$303, 5, FALSE)</f>
        <v>#N/A</v>
      </c>
      <c r="G283" s="11" t="s">
        <v>710</v>
      </c>
      <c r="H283" s="11" t="e">
        <f>VLOOKUP($G283, '26 ADP Data'!$C$4:$Q$298, 2, FALSE)</f>
        <v>#N/A</v>
      </c>
      <c r="I283" s="11" t="e">
        <f>VLOOKUP(G283, '26 ADP Data'!$C$4:$R$496, 16, FALSE)</f>
        <v>#N/A</v>
      </c>
      <c r="J283" s="11" t="e">
        <f>VLOOKUP($G283, SeanRanks26!$A$2:$H$303, 6, FALSE)</f>
        <v>#N/A</v>
      </c>
      <c r="K283" s="11" t="e">
        <f>VLOOKUP($G283, SeanRanks26!$A$2:$H$303, 7, FALSE)</f>
        <v>#N/A</v>
      </c>
      <c r="L283" s="11">
        <f t="shared" si="9"/>
        <v>16</v>
      </c>
      <c r="M283" s="11" t="e">
        <f>VLOOKUP($G283, '26 ADP Data'!$C$4:$Q$298, 10, FALSE)</f>
        <v>#N/A</v>
      </c>
      <c r="N283" s="11" t="e">
        <f>VLOOKUP($G283, '26 ADP Data'!$C$4:$Q$298, 13, FALSE)</f>
        <v>#N/A</v>
      </c>
      <c r="O283" s="11" t="e">
        <f t="shared" si="10"/>
        <v>#N/A</v>
      </c>
      <c r="P283" s="11" t="e">
        <f>VLOOKUP($G283, '26 ADP Data'!$C$4:$Q$298, 3, FALSE)</f>
        <v>#N/A</v>
      </c>
      <c r="Q283" s="11" t="e">
        <f>VLOOKUP($G283, '26 ADP Data'!$C$4:$Q$298, 4, FALSE)</f>
        <v>#N/A</v>
      </c>
      <c r="R283" s="11" t="e">
        <f>VLOOKUP($G283, '26 ADP Data'!$C$4:$Q$298, 6, FALSE)</f>
        <v>#N/A</v>
      </c>
      <c r="S283" s="11" t="e">
        <f>VLOOKUP($G283, '26 ADP Data'!$C$4:$Q$298, 9, FALSE)</f>
        <v>#N/A</v>
      </c>
      <c r="T283" s="11" t="e">
        <f>VLOOKUP($G283, '26 ADP Data'!$C$4:$Q$298, 8, FALSE)</f>
        <v>#N/A</v>
      </c>
      <c r="U283" s="11" t="e">
        <f t="shared" si="11"/>
        <v>#N/A</v>
      </c>
      <c r="V283" s="11">
        <f t="shared" si="12"/>
        <v>16</v>
      </c>
      <c r="W283" s="11"/>
      <c r="X283" s="11" t="e">
        <f>VLOOKUP($G283, SeanRanks26!$A$2:$K$303, 10, FALSE)-U283</f>
        <v>#N/A</v>
      </c>
      <c r="Y283" s="25" t="e">
        <f>IF(VLOOKUP($G283, SeanRanks26!$A$2:$H$303, 8, FALSE)=0, "", VLOOKUP($G283, SeanRanks26!$A$2:$H$303, 8, FALSE))</f>
        <v>#N/A</v>
      </c>
    </row>
    <row r="284" spans="1:25" ht="14.25" customHeight="1" x14ac:dyDescent="0.25">
      <c r="A284" s="11"/>
      <c r="B284" s="11">
        <f t="shared" si="13"/>
        <v>23</v>
      </c>
      <c r="C284" s="11" t="s">
        <v>148</v>
      </c>
      <c r="D284" s="11"/>
      <c r="E284" s="23"/>
      <c r="F284" s="11">
        <f>VLOOKUP($G284, SeanRanks26!$A$2:$H$303, 5, FALSE)</f>
        <v>0</v>
      </c>
      <c r="G284" s="11" t="s">
        <v>652</v>
      </c>
      <c r="H284" s="11" t="str">
        <f>VLOOKUP($G284, '26 ADP Data'!$C$4:$Q$298, 2, FALSE)</f>
        <v>BUF</v>
      </c>
      <c r="I284" s="11" t="str">
        <f>VLOOKUP(G284, '26 ADP Data'!$C$4:$R$496, 16, FALSE)</f>
        <v>WR</v>
      </c>
      <c r="J284" s="11">
        <f>VLOOKUP($G284, SeanRanks26!$A$2:$H$303, 6, FALSE)</f>
        <v>0</v>
      </c>
      <c r="K284" s="11">
        <f>VLOOKUP($G284, SeanRanks26!$A$2:$H$303, 7, FALSE)</f>
        <v>0</v>
      </c>
      <c r="L284" s="11">
        <f t="shared" si="9"/>
        <v>16</v>
      </c>
      <c r="M284" s="11" t="str">
        <f>VLOOKUP($G284, '26 ADP Data'!$C$4:$Q$298, 10, FALSE)</f>
        <v>-</v>
      </c>
      <c r="N284" s="11">
        <f>VLOOKUP($G284, '26 ADP Data'!$C$4:$Q$298, 13, FALSE)</f>
        <v>217</v>
      </c>
      <c r="O284" s="11" t="e">
        <f t="shared" si="10"/>
        <v>#VALUE!</v>
      </c>
      <c r="P284" s="11" t="str">
        <f>VLOOKUP($G284, '26 ADP Data'!$C$4:$Q$298, 3, FALSE)</f>
        <v>-</v>
      </c>
      <c r="Q284" s="11" t="str">
        <f>VLOOKUP($G284, '26 ADP Data'!$C$4:$Q$298, 4, FALSE)</f>
        <v>-</v>
      </c>
      <c r="R284" s="11">
        <f>VLOOKUP($G284, '26 ADP Data'!$C$4:$Q$298, 6, FALSE)</f>
        <v>278</v>
      </c>
      <c r="S284" s="11">
        <f>VLOOKUP($G284, '26 ADP Data'!$C$4:$Q$298, 9, FALSE)</f>
        <v>250</v>
      </c>
      <c r="T284" s="11" t="str">
        <f>VLOOKUP($G284, '26 ADP Data'!$C$4:$Q$298, 8, FALSE)</f>
        <v>-</v>
      </c>
      <c r="U284" s="11">
        <f t="shared" si="11"/>
        <v>248</v>
      </c>
      <c r="V284" s="11">
        <f t="shared" si="12"/>
        <v>21</v>
      </c>
      <c r="W284" s="11"/>
      <c r="X284" s="11" t="e">
        <f>VLOOKUP($G284, SeanRanks26!$A$2:$K$303, 10, FALSE)-U284</f>
        <v>#VALUE!</v>
      </c>
      <c r="Y284" s="25" t="str">
        <f>IF(VLOOKUP($G284, SeanRanks26!$A$2:$H$303, 8, FALSE)=0, "", VLOOKUP($G284, SeanRanks26!$A$2:$H$303, 8, FALSE))</f>
        <v/>
      </c>
    </row>
    <row r="285" spans="1:25" ht="14.25" hidden="1" customHeight="1" x14ac:dyDescent="0.25">
      <c r="A285" s="11"/>
      <c r="B285" s="11">
        <f t="shared" si="13"/>
        <v>22</v>
      </c>
      <c r="C285" s="11" t="s">
        <v>148</v>
      </c>
      <c r="D285" s="11"/>
      <c r="E285" s="23"/>
      <c r="F285" s="11">
        <f>VLOOKUP($G285, SeanRanks26!$A$2:$H$303, 5, FALSE)</f>
        <v>0</v>
      </c>
      <c r="G285" s="11" t="s">
        <v>656</v>
      </c>
      <c r="H285" s="11" t="str">
        <f>VLOOKUP($G285, '26 ADP Data'!$C$4:$Q$298, 2, FALSE)</f>
        <v>NYJ</v>
      </c>
      <c r="I285" s="11" t="str">
        <f>VLOOKUP(G285, '26 ADP Data'!$C$4:$R$496, 16, FALSE)</f>
        <v>TE</v>
      </c>
      <c r="J285" s="11">
        <f>VLOOKUP($G285, SeanRanks26!$A$2:$H$303, 6, FALSE)</f>
        <v>0</v>
      </c>
      <c r="K285" s="11">
        <f>VLOOKUP($G285, SeanRanks26!$A$2:$H$303, 7, FALSE)</f>
        <v>0</v>
      </c>
      <c r="L285" s="11">
        <f t="shared" si="9"/>
        <v>16</v>
      </c>
      <c r="M285" s="11" t="str">
        <f>VLOOKUP($G285, '26 ADP Data'!$C$4:$Q$298, 10, FALSE)</f>
        <v>-</v>
      </c>
      <c r="N285" s="11">
        <f>VLOOKUP($G285, '26 ADP Data'!$C$4:$Q$298, 13, FALSE)</f>
        <v>245</v>
      </c>
      <c r="O285" s="11" t="e">
        <f t="shared" si="10"/>
        <v>#VALUE!</v>
      </c>
      <c r="P285" s="11" t="str">
        <f>VLOOKUP($G285, '26 ADP Data'!$C$4:$Q$298, 3, FALSE)</f>
        <v>-</v>
      </c>
      <c r="Q285" s="11" t="str">
        <f>VLOOKUP($G285, '26 ADP Data'!$C$4:$Q$298, 4, FALSE)</f>
        <v>-</v>
      </c>
      <c r="R285" s="11">
        <f>VLOOKUP($G285, '26 ADP Data'!$C$4:$Q$298, 6, FALSE)</f>
        <v>259</v>
      </c>
      <c r="S285" s="11" t="str">
        <f>VLOOKUP($G285, '26 ADP Data'!$C$4:$Q$298, 9, FALSE)</f>
        <v>-</v>
      </c>
      <c r="T285" s="11" t="str">
        <f>VLOOKUP($G285, '26 ADP Data'!$C$4:$Q$298, 8, FALSE)</f>
        <v>-</v>
      </c>
      <c r="U285" s="11">
        <f t="shared" si="11"/>
        <v>252</v>
      </c>
      <c r="V285" s="11">
        <f t="shared" si="12"/>
        <v>22</v>
      </c>
      <c r="W285" s="11"/>
      <c r="X285" s="11" t="e">
        <f>VLOOKUP($G285, SeanRanks26!$A$2:$K$303, 10, FALSE)-U285</f>
        <v>#VALUE!</v>
      </c>
      <c r="Y285" s="25" t="str">
        <f>IF(VLOOKUP($G285, SeanRanks26!$A$2:$H$303, 8, FALSE)=0, "", VLOOKUP($G285, SeanRanks26!$A$2:$H$303, 8, FALSE))</f>
        <v/>
      </c>
    </row>
    <row r="286" spans="1:25" ht="14.25" hidden="1" customHeight="1" x14ac:dyDescent="0.25">
      <c r="A286" s="11"/>
      <c r="B286" s="11" t="e">
        <f t="shared" si="13"/>
        <v>#N/A</v>
      </c>
      <c r="C286" s="11" t="s">
        <v>148</v>
      </c>
      <c r="D286" s="11"/>
      <c r="E286" s="23"/>
      <c r="F286" s="11">
        <f>VLOOKUP($G286, SeanRanks26!$A$2:$H$303, 5, FALSE)</f>
        <v>0</v>
      </c>
      <c r="G286" s="11" t="s">
        <v>806</v>
      </c>
      <c r="H286" s="11" t="e">
        <f>VLOOKUP($G286, '26 ADP Data'!$C$4:$Q$298, 2, FALSE)</f>
        <v>#N/A</v>
      </c>
      <c r="I286" s="11" t="e">
        <f>VLOOKUP(G286, '26 ADP Data'!$C$4:$R$496, 16, FALSE)</f>
        <v>#N/A</v>
      </c>
      <c r="J286" s="11">
        <f>VLOOKUP($G286, SeanRanks26!$A$2:$H$303, 6, FALSE)</f>
        <v>0</v>
      </c>
      <c r="K286" s="11">
        <f>VLOOKUP($G286, SeanRanks26!$A$2:$H$303, 7, FALSE)</f>
        <v>0</v>
      </c>
      <c r="L286" s="11">
        <f t="shared" si="9"/>
        <v>16</v>
      </c>
      <c r="M286" s="11" t="e">
        <f>VLOOKUP($G286, '26 ADP Data'!$C$4:$Q$298, 10, FALSE)</f>
        <v>#N/A</v>
      </c>
      <c r="N286" s="11" t="e">
        <f>VLOOKUP($G286, '26 ADP Data'!$C$4:$Q$298, 13, FALSE)</f>
        <v>#N/A</v>
      </c>
      <c r="O286" s="11" t="e">
        <f t="shared" si="10"/>
        <v>#N/A</v>
      </c>
      <c r="P286" s="11" t="e">
        <f>VLOOKUP($G286, '26 ADP Data'!$C$4:$Q$298, 3, FALSE)</f>
        <v>#N/A</v>
      </c>
      <c r="Q286" s="11" t="e">
        <f>VLOOKUP($G286, '26 ADP Data'!$C$4:$Q$298, 4, FALSE)</f>
        <v>#N/A</v>
      </c>
      <c r="R286" s="11" t="e">
        <f>VLOOKUP($G286, '26 ADP Data'!$C$4:$Q$298, 6, FALSE)</f>
        <v>#N/A</v>
      </c>
      <c r="S286" s="11" t="e">
        <f>VLOOKUP($G286, '26 ADP Data'!$C$4:$Q$298, 9, FALSE)</f>
        <v>#N/A</v>
      </c>
      <c r="T286" s="11" t="e">
        <f>VLOOKUP($G286, '26 ADP Data'!$C$4:$Q$298, 8, FALSE)</f>
        <v>#N/A</v>
      </c>
      <c r="U286" s="11" t="e">
        <f t="shared" si="11"/>
        <v>#N/A</v>
      </c>
      <c r="V286" s="11">
        <f t="shared" si="12"/>
        <v>16</v>
      </c>
      <c r="W286" s="11"/>
      <c r="X286" s="11" t="e">
        <f>VLOOKUP($G286, SeanRanks26!$A$2:$K$303, 10, FALSE)-U286</f>
        <v>#N/A</v>
      </c>
      <c r="Y286" s="25" t="str">
        <f>IF(VLOOKUP($G286, SeanRanks26!$A$2:$H$303, 8, FALSE)=0, "", VLOOKUP($G286, SeanRanks26!$A$2:$H$303, 8, FALSE))</f>
        <v>2025 Rookie R6</v>
      </c>
    </row>
    <row r="287" spans="1:25" ht="14.25" hidden="1" customHeight="1" x14ac:dyDescent="0.25">
      <c r="A287" s="11"/>
      <c r="B287" s="11">
        <f t="shared" si="13"/>
        <v>22</v>
      </c>
      <c r="C287" s="11" t="s">
        <v>148</v>
      </c>
      <c r="D287" s="11"/>
      <c r="E287" s="23"/>
      <c r="F287" s="11" t="e">
        <f>VLOOKUP($G287, SeanRanks26!$A$2:$H$303, 5, FALSE)</f>
        <v>#N/A</v>
      </c>
      <c r="G287" s="11" t="s">
        <v>708</v>
      </c>
      <c r="H287" s="11" t="str">
        <f>VLOOKUP($G287, '26 ADP Data'!$C$4:$Q$298, 2, FALSE)</f>
        <v>SEA</v>
      </c>
      <c r="I287" s="11" t="str">
        <f>VLOOKUP(G287, '26 ADP Data'!$C$4:$R$496, 16, FALSE)</f>
        <v>TE</v>
      </c>
      <c r="J287" s="11" t="e">
        <f>VLOOKUP($G287, SeanRanks26!$A$2:$H$303, 6, FALSE)</f>
        <v>#N/A</v>
      </c>
      <c r="K287" s="11" t="e">
        <f>VLOOKUP($G287, SeanRanks26!$A$2:$H$303, 7, FALSE)</f>
        <v>#N/A</v>
      </c>
      <c r="L287" s="11">
        <f t="shared" si="9"/>
        <v>16</v>
      </c>
      <c r="M287" s="11" t="str">
        <f>VLOOKUP($G287, '26 ADP Data'!$C$4:$Q$298, 10, FALSE)</f>
        <v>-</v>
      </c>
      <c r="N287" s="11">
        <f>VLOOKUP($G287, '26 ADP Data'!$C$4:$Q$298, 13, FALSE)</f>
        <v>256</v>
      </c>
      <c r="O287" s="11" t="e">
        <f t="shared" si="10"/>
        <v>#VALUE!</v>
      </c>
      <c r="P287" s="11" t="str">
        <f>VLOOKUP($G287, '26 ADP Data'!$C$4:$Q$298, 3, FALSE)</f>
        <v>-</v>
      </c>
      <c r="Q287" s="11">
        <f>VLOOKUP($G287, '26 ADP Data'!$C$4:$Q$298, 4, FALSE)</f>
        <v>259</v>
      </c>
      <c r="R287" s="11">
        <f>VLOOKUP($G287, '26 ADP Data'!$C$4:$Q$298, 6, FALSE)</f>
        <v>267</v>
      </c>
      <c r="S287" s="11" t="str">
        <f>VLOOKUP($G287, '26 ADP Data'!$C$4:$Q$298, 9, FALSE)</f>
        <v>-</v>
      </c>
      <c r="T287" s="11" t="str">
        <f>VLOOKUP($G287, '26 ADP Data'!$C$4:$Q$298, 8, FALSE)</f>
        <v>-</v>
      </c>
      <c r="U287" s="11">
        <f t="shared" si="11"/>
        <v>260</v>
      </c>
      <c r="V287" s="11">
        <f t="shared" si="12"/>
        <v>22</v>
      </c>
      <c r="W287" s="11"/>
      <c r="X287" s="11" t="e">
        <f>VLOOKUP($G287, SeanRanks26!$A$2:$K$303, 10, FALSE)-U287</f>
        <v>#N/A</v>
      </c>
      <c r="Y287" s="25" t="e">
        <f>IF(VLOOKUP($G287, SeanRanks26!$A$2:$H$303, 8, FALSE)=0, "", VLOOKUP($G287, SeanRanks26!$A$2:$H$303, 8, FALSE))</f>
        <v>#N/A</v>
      </c>
    </row>
    <row r="288" spans="1:25" ht="14.25" hidden="1" customHeight="1" x14ac:dyDescent="0.25">
      <c r="A288" s="11"/>
      <c r="B288" s="11" t="e">
        <f t="shared" si="13"/>
        <v>#N/A</v>
      </c>
      <c r="C288" s="11" t="s">
        <v>148</v>
      </c>
      <c r="D288" s="11"/>
      <c r="E288" s="23"/>
      <c r="F288" s="11" t="e">
        <f>VLOOKUP($G288, SeanRanks26!$A$2:$H$303, 5, FALSE)</f>
        <v>#N/A</v>
      </c>
      <c r="G288" s="11" t="s">
        <v>701</v>
      </c>
      <c r="H288" s="11" t="e">
        <f>VLOOKUP($G288, '26 ADP Data'!$C$4:$Q$298, 2, FALSE)</f>
        <v>#N/A</v>
      </c>
      <c r="I288" s="11" t="e">
        <f>VLOOKUP(G288, '26 ADP Data'!$C$4:$R$496, 16, FALSE)</f>
        <v>#N/A</v>
      </c>
      <c r="J288" s="11" t="e">
        <f>VLOOKUP($G288, SeanRanks26!$A$2:$H$303, 6, FALSE)</f>
        <v>#N/A</v>
      </c>
      <c r="K288" s="11" t="e">
        <f>VLOOKUP($G288, SeanRanks26!$A$2:$H$303, 7, FALSE)</f>
        <v>#N/A</v>
      </c>
      <c r="L288" s="11">
        <f t="shared" si="9"/>
        <v>16</v>
      </c>
      <c r="M288" s="11" t="e">
        <f>VLOOKUP($G288, '26 ADP Data'!$C$4:$Q$298, 10, FALSE)</f>
        <v>#N/A</v>
      </c>
      <c r="N288" s="11" t="e">
        <f>VLOOKUP($G288, '26 ADP Data'!$C$4:$Q$298, 13, FALSE)</f>
        <v>#N/A</v>
      </c>
      <c r="O288" s="11" t="e">
        <f t="shared" si="10"/>
        <v>#N/A</v>
      </c>
      <c r="P288" s="11" t="e">
        <f>VLOOKUP($G288, '26 ADP Data'!$C$4:$Q$298, 3, FALSE)</f>
        <v>#N/A</v>
      </c>
      <c r="Q288" s="11" t="e">
        <f>VLOOKUP($G288, '26 ADP Data'!$C$4:$Q$298, 4, FALSE)</f>
        <v>#N/A</v>
      </c>
      <c r="R288" s="11" t="e">
        <f>VLOOKUP($G288, '26 ADP Data'!$C$4:$Q$298, 6, FALSE)</f>
        <v>#N/A</v>
      </c>
      <c r="S288" s="11" t="e">
        <f>VLOOKUP($G288, '26 ADP Data'!$C$4:$Q$298, 9, FALSE)</f>
        <v>#N/A</v>
      </c>
      <c r="T288" s="11" t="e">
        <f>VLOOKUP($G288, '26 ADP Data'!$C$4:$Q$298, 8, FALSE)</f>
        <v>#N/A</v>
      </c>
      <c r="U288" s="11" t="e">
        <f t="shared" si="11"/>
        <v>#N/A</v>
      </c>
      <c r="V288" s="11">
        <f t="shared" si="12"/>
        <v>16</v>
      </c>
      <c r="W288" s="11"/>
      <c r="X288" s="11" t="e">
        <f>VLOOKUP($G288, SeanRanks26!$A$2:$K$303, 10, FALSE)-U288</f>
        <v>#N/A</v>
      </c>
      <c r="Y288" s="25" t="e">
        <f>IF(VLOOKUP($G288, SeanRanks26!$A$2:$H$303, 8, FALSE)=0, "", VLOOKUP($G288, SeanRanks26!$A$2:$H$303, 8, FALSE))</f>
        <v>#N/A</v>
      </c>
    </row>
    <row r="289" spans="1:25" ht="14.25" hidden="1" customHeight="1" x14ac:dyDescent="0.25">
      <c r="A289" s="11"/>
      <c r="B289" s="11">
        <f t="shared" si="13"/>
        <v>22</v>
      </c>
      <c r="C289" s="11" t="s">
        <v>148</v>
      </c>
      <c r="D289" s="11"/>
      <c r="E289" s="23"/>
      <c r="F289" s="11">
        <f>VLOOKUP($G289, SeanRanks26!$A$2:$H$303, 5, FALSE)</f>
        <v>0</v>
      </c>
      <c r="G289" s="11" t="s">
        <v>715</v>
      </c>
      <c r="H289" s="11" t="str">
        <f>VLOOKUP($G289, '26 ADP Data'!$C$4:$Q$298, 2, FALSE)</f>
        <v>BUF</v>
      </c>
      <c r="I289" s="11" t="str">
        <f>VLOOKUP(G289, '26 ADP Data'!$C$4:$R$496, 16, FALSE)</f>
        <v>TE</v>
      </c>
      <c r="J289" s="11">
        <f>VLOOKUP($G289, SeanRanks26!$A$2:$H$303, 6, FALSE)</f>
        <v>0</v>
      </c>
      <c r="K289" s="11">
        <f>VLOOKUP($G289, SeanRanks26!$A$2:$H$303, 7, FALSE)</f>
        <v>0</v>
      </c>
      <c r="L289" s="11">
        <f t="shared" si="9"/>
        <v>16</v>
      </c>
      <c r="M289" s="11" t="str">
        <f>VLOOKUP($G289, '26 ADP Data'!$C$4:$Q$298, 10, FALSE)</f>
        <v>-</v>
      </c>
      <c r="N289" s="11">
        <f>VLOOKUP($G289, '26 ADP Data'!$C$4:$Q$298, 13, FALSE)</f>
        <v>263</v>
      </c>
      <c r="O289" s="11" t="e">
        <f t="shared" si="10"/>
        <v>#VALUE!</v>
      </c>
      <c r="P289" s="11" t="str">
        <f>VLOOKUP($G289, '26 ADP Data'!$C$4:$Q$298, 3, FALSE)</f>
        <v>-</v>
      </c>
      <c r="Q289" s="11">
        <f>VLOOKUP($G289, '26 ADP Data'!$C$4:$Q$298, 4, FALSE)</f>
        <v>224</v>
      </c>
      <c r="R289" s="11">
        <f>VLOOKUP($G289, '26 ADP Data'!$C$4:$Q$298, 6, FALSE)</f>
        <v>297</v>
      </c>
      <c r="S289" s="11" t="str">
        <f>VLOOKUP($G289, '26 ADP Data'!$C$4:$Q$298, 9, FALSE)</f>
        <v>-</v>
      </c>
      <c r="T289" s="11" t="str">
        <f>VLOOKUP($G289, '26 ADP Data'!$C$4:$Q$298, 8, FALSE)</f>
        <v>-</v>
      </c>
      <c r="U289" s="11">
        <f t="shared" si="11"/>
        <v>261</v>
      </c>
      <c r="V289" s="11">
        <f t="shared" si="12"/>
        <v>22</v>
      </c>
      <c r="W289" s="11"/>
      <c r="X289" s="11" t="e">
        <f>VLOOKUP($G289, SeanRanks26!$A$2:$K$303, 10, FALSE)-U289</f>
        <v>#VALUE!</v>
      </c>
      <c r="Y289" s="25" t="str">
        <f>IF(VLOOKUP($G289, SeanRanks26!$A$2:$H$303, 8, FALSE)=0, "", VLOOKUP($G289, SeanRanks26!$A$2:$H$303, 8, FALSE))</f>
        <v/>
      </c>
    </row>
    <row r="290" spans="1:25" ht="14.25" hidden="1" customHeight="1" x14ac:dyDescent="0.25">
      <c r="A290" s="11"/>
      <c r="B290" s="11" t="e">
        <f t="shared" si="13"/>
        <v>#N/A</v>
      </c>
      <c r="C290" s="11" t="s">
        <v>148</v>
      </c>
      <c r="D290" s="11"/>
      <c r="E290" s="23"/>
      <c r="F290" s="11">
        <f>VLOOKUP($G290, SeanRanks26!$A$2:$H$303, 5, FALSE)</f>
        <v>0</v>
      </c>
      <c r="G290" s="11" t="s">
        <v>668</v>
      </c>
      <c r="H290" s="11" t="e">
        <f>VLOOKUP($G290, '26 ADP Data'!$C$4:$Q$298, 2, FALSE)</f>
        <v>#N/A</v>
      </c>
      <c r="I290" s="11" t="e">
        <f>VLOOKUP(G290, '26 ADP Data'!$C$4:$R$496, 16, FALSE)</f>
        <v>#N/A</v>
      </c>
      <c r="J290" s="11">
        <f>VLOOKUP($G290, SeanRanks26!$A$2:$H$303, 6, FALSE)</f>
        <v>0</v>
      </c>
      <c r="K290" s="11">
        <f>VLOOKUP($G290, SeanRanks26!$A$2:$H$303, 7, FALSE)</f>
        <v>0</v>
      </c>
      <c r="L290" s="11">
        <f t="shared" si="9"/>
        <v>16</v>
      </c>
      <c r="M290" s="11" t="e">
        <f>VLOOKUP($G290, '26 ADP Data'!$C$4:$Q$298, 10, FALSE)</f>
        <v>#N/A</v>
      </c>
      <c r="N290" s="11" t="e">
        <f>VLOOKUP($G290, '26 ADP Data'!$C$4:$Q$298, 13, FALSE)</f>
        <v>#N/A</v>
      </c>
      <c r="O290" s="11" t="e">
        <f t="shared" si="10"/>
        <v>#N/A</v>
      </c>
      <c r="P290" s="11" t="e">
        <f>VLOOKUP($G290, '26 ADP Data'!$C$4:$Q$298, 3, FALSE)</f>
        <v>#N/A</v>
      </c>
      <c r="Q290" s="11" t="e">
        <f>VLOOKUP($G290, '26 ADP Data'!$C$4:$Q$298, 4, FALSE)</f>
        <v>#N/A</v>
      </c>
      <c r="R290" s="11" t="e">
        <f>VLOOKUP($G290, '26 ADP Data'!$C$4:$Q$298, 6, FALSE)</f>
        <v>#N/A</v>
      </c>
      <c r="S290" s="11" t="e">
        <f>VLOOKUP($G290, '26 ADP Data'!$C$4:$Q$298, 9, FALSE)</f>
        <v>#N/A</v>
      </c>
      <c r="T290" s="11" t="e">
        <f>VLOOKUP($G290, '26 ADP Data'!$C$4:$Q$298, 8, FALSE)</f>
        <v>#N/A</v>
      </c>
      <c r="U290" s="11" t="e">
        <f t="shared" si="11"/>
        <v>#N/A</v>
      </c>
      <c r="V290" s="11">
        <f t="shared" si="12"/>
        <v>16</v>
      </c>
      <c r="W290" s="11"/>
      <c r="X290" s="11" t="e">
        <f>VLOOKUP($G290, SeanRanks26!$A$2:$K$303, 10, FALSE)-U290</f>
        <v>#N/A</v>
      </c>
      <c r="Y290" s="25" t="str">
        <f>IF(VLOOKUP($G290, SeanRanks26!$A$2:$H$303, 8, FALSE)=0, "", VLOOKUP($G290, SeanRanks26!$A$2:$H$303, 8, FALSE))</f>
        <v>Rookie R2 Vanderbuilt</v>
      </c>
    </row>
    <row r="291" spans="1:25" ht="14.25" customHeight="1" x14ac:dyDescent="0.25">
      <c r="A291" s="11"/>
      <c r="B291" s="11">
        <f t="shared" si="13"/>
        <v>25</v>
      </c>
      <c r="C291" s="11" t="s">
        <v>148</v>
      </c>
      <c r="D291" s="11"/>
      <c r="E291" s="23"/>
      <c r="F291" s="11">
        <f>VLOOKUP($G291, SeanRanks26!$A$2:$H$303, 5, FALSE)</f>
        <v>0</v>
      </c>
      <c r="G291" s="11" t="s">
        <v>621</v>
      </c>
      <c r="H291" s="11" t="str">
        <f>VLOOKUP($G291, '26 ADP Data'!$C$4:$Q$298, 2, FALSE)</f>
        <v>NYG</v>
      </c>
      <c r="I291" s="11" t="str">
        <f>VLOOKUP(G291, '26 ADP Data'!$C$4:$R$496, 16, FALSE)</f>
        <v>WR</v>
      </c>
      <c r="J291" s="11">
        <f>VLOOKUP($G291, SeanRanks26!$A$2:$H$303, 6, FALSE)</f>
        <v>0</v>
      </c>
      <c r="K291" s="11">
        <f>VLOOKUP($G291, SeanRanks26!$A$2:$H$303, 7, FALSE)</f>
        <v>0</v>
      </c>
      <c r="L291" s="11">
        <f t="shared" si="9"/>
        <v>16</v>
      </c>
      <c r="M291" s="11" t="str">
        <f>VLOOKUP($G291, '26 ADP Data'!$C$4:$Q$298, 10, FALSE)</f>
        <v>-</v>
      </c>
      <c r="N291" s="11">
        <f>VLOOKUP($G291, '26 ADP Data'!$C$4:$Q$298, 13, FALSE)</f>
        <v>240</v>
      </c>
      <c r="O291" s="11" t="e">
        <f t="shared" si="10"/>
        <v>#VALUE!</v>
      </c>
      <c r="P291" s="11" t="str">
        <f>VLOOKUP($G291, '26 ADP Data'!$C$4:$Q$298, 3, FALSE)</f>
        <v>-</v>
      </c>
      <c r="Q291" s="11" t="str">
        <f>VLOOKUP($G291, '26 ADP Data'!$C$4:$Q$298, 4, FALSE)</f>
        <v>-</v>
      </c>
      <c r="R291" s="11">
        <f>VLOOKUP($G291, '26 ADP Data'!$C$4:$Q$298, 6, FALSE)</f>
        <v>308</v>
      </c>
      <c r="S291" s="11">
        <f>VLOOKUP($G291, '26 ADP Data'!$C$4:$Q$298, 9, FALSE)</f>
        <v>279</v>
      </c>
      <c r="T291" s="11" t="str">
        <f>VLOOKUP($G291, '26 ADP Data'!$C$4:$Q$298, 8, FALSE)</f>
        <v>-</v>
      </c>
      <c r="U291" s="11">
        <f t="shared" si="11"/>
        <v>275</v>
      </c>
      <c r="V291" s="11">
        <f t="shared" si="12"/>
        <v>23</v>
      </c>
      <c r="W291" s="11"/>
      <c r="X291" s="11" t="e">
        <f>VLOOKUP($G291, SeanRanks26!$A$2:$K$303, 10, FALSE)-U291</f>
        <v>#VALUE!</v>
      </c>
      <c r="Y291" s="25" t="str">
        <f>IF(VLOOKUP($G291, SeanRanks26!$A$2:$H$303, 8, FALSE)=0, "", VLOOKUP($G291, SeanRanks26!$A$2:$H$303, 8, FALSE))</f>
        <v/>
      </c>
    </row>
    <row r="292" spans="1:25" ht="14.25" hidden="1" customHeight="1" x14ac:dyDescent="0.25">
      <c r="A292" s="11"/>
      <c r="B292" s="11">
        <f t="shared" si="13"/>
        <v>16</v>
      </c>
      <c r="C292" s="11" t="s">
        <v>148</v>
      </c>
      <c r="D292" s="11"/>
      <c r="E292" s="23"/>
      <c r="F292" s="11">
        <f>VLOOKUP($G292, SeanRanks26!$A$2:$H$303, 5, FALSE)</f>
        <v>0</v>
      </c>
      <c r="G292" s="11" t="s">
        <v>638</v>
      </c>
      <c r="H292" s="11" t="str">
        <f>VLOOKUP($G292, '26 ADP Data'!$C$4:$Q$298, 2, FALSE)</f>
        <v>DAL</v>
      </c>
      <c r="I292" s="11" t="str">
        <f>VLOOKUP(G292, '26 ADP Data'!$C$4:$R$496, 16, FALSE)</f>
        <v>RB</v>
      </c>
      <c r="J292" s="11">
        <f>VLOOKUP($G292, SeanRanks26!$A$2:$H$303, 6, FALSE)</f>
        <v>0</v>
      </c>
      <c r="K292" s="11">
        <f>VLOOKUP($G292, SeanRanks26!$A$2:$H$303, 7, FALSE)</f>
        <v>0</v>
      </c>
      <c r="L292" s="11">
        <f t="shared" si="9"/>
        <v>15</v>
      </c>
      <c r="M292" s="11">
        <f>VLOOKUP($G292, '26 ADP Data'!$C$4:$Q$298, 10, FALSE)</f>
        <v>176</v>
      </c>
      <c r="N292" s="11">
        <f>VLOOKUP($G292, '26 ADP Data'!$C$4:$Q$298, 13, FALSE)</f>
        <v>221</v>
      </c>
      <c r="O292" s="11">
        <f t="shared" si="10"/>
        <v>-45</v>
      </c>
      <c r="P292" s="11" t="str">
        <f>VLOOKUP($G292, '26 ADP Data'!$C$4:$Q$298, 3, FALSE)</f>
        <v>-</v>
      </c>
      <c r="Q292" s="11" t="str">
        <f>VLOOKUP($G292, '26 ADP Data'!$C$4:$Q$298, 4, FALSE)</f>
        <v>-</v>
      </c>
      <c r="R292" s="11">
        <f>VLOOKUP($G292, '26 ADP Data'!$C$4:$Q$298, 6, FALSE)</f>
        <v>181</v>
      </c>
      <c r="S292" s="11" t="str">
        <f>VLOOKUP($G292, '26 ADP Data'!$C$4:$Q$298, 9, FALSE)</f>
        <v>-</v>
      </c>
      <c r="T292" s="11" t="str">
        <f>VLOOKUP($G292, '26 ADP Data'!$C$4:$Q$298, 8, FALSE)</f>
        <v>-</v>
      </c>
      <c r="U292" s="11">
        <f t="shared" si="11"/>
        <v>192</v>
      </c>
      <c r="V292" s="11">
        <f t="shared" si="12"/>
        <v>17</v>
      </c>
      <c r="W292" s="11"/>
      <c r="X292" s="11">
        <f>VLOOKUP($G292, SeanRanks26!$A$2:$K$303, 10, FALSE)-U292</f>
        <v>-16</v>
      </c>
      <c r="Y292" s="25" t="str">
        <f>IF(VLOOKUP($G292, SeanRanks26!$A$2:$H$303, 8, FALSE)=0, "", VLOOKUP($G292, SeanRanks26!$A$2:$H$303, 8, FALSE))</f>
        <v/>
      </c>
    </row>
    <row r="293" spans="1:25" ht="14.25" customHeight="1" x14ac:dyDescent="0.25">
      <c r="A293" s="11"/>
      <c r="B293" s="11">
        <f t="shared" si="13"/>
        <v>24</v>
      </c>
      <c r="C293" s="11" t="s">
        <v>148</v>
      </c>
      <c r="D293" s="11"/>
      <c r="E293" s="23"/>
      <c r="F293" s="11">
        <f>VLOOKUP($G293, SeanRanks26!$A$2:$H$303, 5, FALSE)</f>
        <v>0</v>
      </c>
      <c r="G293" s="11" t="s">
        <v>623</v>
      </c>
      <c r="H293" s="11" t="str">
        <f>VLOOKUP($G293, '26 ADP Data'!$C$4:$Q$298, 2, FALSE)</f>
        <v>DEN</v>
      </c>
      <c r="I293" s="11" t="str">
        <f>VLOOKUP(G293, '26 ADP Data'!$C$4:$R$496, 16, FALSE)</f>
        <v>WR</v>
      </c>
      <c r="J293" s="11" t="str">
        <f>VLOOKUP($G293, SeanRanks26!$A$2:$H$303, 6, FALSE)</f>
        <v>WR5</v>
      </c>
      <c r="K293" s="11">
        <f>VLOOKUP($G293, SeanRanks26!$A$2:$H$303, 7, FALSE)</f>
        <v>0</v>
      </c>
      <c r="L293" s="11">
        <f t="shared" si="9"/>
        <v>16</v>
      </c>
      <c r="M293" s="11" t="str">
        <f>VLOOKUP($G293, '26 ADP Data'!$C$4:$Q$298, 10, FALSE)</f>
        <v>-</v>
      </c>
      <c r="N293" s="11">
        <f>VLOOKUP($G293, '26 ADP Data'!$C$4:$Q$298, 13, FALSE)</f>
        <v>239</v>
      </c>
      <c r="O293" s="11" t="e">
        <f t="shared" si="10"/>
        <v>#VALUE!</v>
      </c>
      <c r="P293" s="11" t="str">
        <f>VLOOKUP($G293, '26 ADP Data'!$C$4:$Q$298, 3, FALSE)</f>
        <v>-</v>
      </c>
      <c r="Q293" s="11" t="str">
        <f>VLOOKUP($G293, '26 ADP Data'!$C$4:$Q$298, 4, FALSE)</f>
        <v>-</v>
      </c>
      <c r="R293" s="11">
        <f>VLOOKUP($G293, '26 ADP Data'!$C$4:$Q$298, 6, FALSE)</f>
        <v>287</v>
      </c>
      <c r="S293" s="11">
        <f>VLOOKUP($G293, '26 ADP Data'!$C$4:$Q$298, 9, FALSE)</f>
        <v>287</v>
      </c>
      <c r="T293" s="11" t="str">
        <f>VLOOKUP($G293, '26 ADP Data'!$C$4:$Q$298, 8, FALSE)</f>
        <v>-</v>
      </c>
      <c r="U293" s="11">
        <f t="shared" si="11"/>
        <v>271</v>
      </c>
      <c r="V293" s="11">
        <f t="shared" si="12"/>
        <v>23</v>
      </c>
      <c r="W293" s="11"/>
      <c r="X293" s="11" t="e">
        <f>VLOOKUP($G293, SeanRanks26!$A$2:$K$303, 10, FALSE)-U293</f>
        <v>#VALUE!</v>
      </c>
      <c r="Y293" s="25" t="str">
        <f>IF(VLOOKUP($G293, SeanRanks26!$A$2:$H$303, 8, FALSE)=0, "", VLOOKUP($G293, SeanRanks26!$A$2:$H$303, 8, FALSE))</f>
        <v/>
      </c>
    </row>
    <row r="294" spans="1:25" ht="14.25" hidden="1" customHeight="1" x14ac:dyDescent="0.25">
      <c r="A294" s="11"/>
      <c r="B294" s="11" t="e">
        <f t="shared" si="13"/>
        <v>#N/A</v>
      </c>
      <c r="C294" s="11" t="s">
        <v>148</v>
      </c>
      <c r="D294" s="11"/>
      <c r="E294" s="23"/>
      <c r="F294" s="11" t="e">
        <f>VLOOKUP($G294, SeanRanks26!$A$2:$H$303, 5, FALSE)</f>
        <v>#N/A</v>
      </c>
      <c r="G294" s="11" t="s">
        <v>1149</v>
      </c>
      <c r="H294" s="11" t="e">
        <f>VLOOKUP($G294, '26 ADP Data'!$C$4:$Q$298, 2, FALSE)</f>
        <v>#N/A</v>
      </c>
      <c r="I294" s="11" t="e">
        <f>VLOOKUP(G294, '26 ADP Data'!$C$4:$R$496, 16, FALSE)</f>
        <v>#N/A</v>
      </c>
      <c r="J294" s="11" t="e">
        <f>VLOOKUP($G294, SeanRanks26!$A$2:$H$303, 6, FALSE)</f>
        <v>#N/A</v>
      </c>
      <c r="K294" s="11" t="e">
        <f>VLOOKUP($G294, SeanRanks26!$A$2:$H$303, 7, FALSE)</f>
        <v>#N/A</v>
      </c>
      <c r="L294" s="11">
        <f t="shared" si="9"/>
        <v>16</v>
      </c>
      <c r="M294" s="11" t="e">
        <f>VLOOKUP($G294, '26 ADP Data'!$C$4:$Q$298, 10, FALSE)</f>
        <v>#N/A</v>
      </c>
      <c r="N294" s="11" t="e">
        <f>VLOOKUP($G294, '26 ADP Data'!$C$4:$Q$298, 13, FALSE)</f>
        <v>#N/A</v>
      </c>
      <c r="O294" s="11" t="e">
        <f t="shared" si="10"/>
        <v>#N/A</v>
      </c>
      <c r="P294" s="11" t="e">
        <f>VLOOKUP($G294, '26 ADP Data'!$C$4:$Q$298, 3, FALSE)</f>
        <v>#N/A</v>
      </c>
      <c r="Q294" s="11" t="e">
        <f>VLOOKUP($G294, '26 ADP Data'!$C$4:$Q$298, 4, FALSE)</f>
        <v>#N/A</v>
      </c>
      <c r="R294" s="11" t="e">
        <f>VLOOKUP($G294, '26 ADP Data'!$C$4:$Q$298, 6, FALSE)</f>
        <v>#N/A</v>
      </c>
      <c r="S294" s="11" t="e">
        <f>VLOOKUP($G294, '26 ADP Data'!$C$4:$Q$298, 9, FALSE)</f>
        <v>#N/A</v>
      </c>
      <c r="T294" s="11" t="e">
        <f>VLOOKUP($G294, '26 ADP Data'!$C$4:$Q$298, 8, FALSE)</f>
        <v>#N/A</v>
      </c>
      <c r="U294" s="11" t="e">
        <f t="shared" si="11"/>
        <v>#N/A</v>
      </c>
      <c r="V294" s="11">
        <f t="shared" si="12"/>
        <v>16</v>
      </c>
      <c r="W294" s="11"/>
      <c r="X294" s="11" t="e">
        <f>VLOOKUP($G294, SeanRanks26!$A$2:$K$303, 10, FALSE)-U294</f>
        <v>#N/A</v>
      </c>
      <c r="Y294" s="25" t="e">
        <f>IF(VLOOKUP($G294, SeanRanks26!$A$2:$H$303, 8, FALSE)=0, "", VLOOKUP($G294, SeanRanks26!$A$2:$H$303, 8, FALSE))</f>
        <v>#N/A</v>
      </c>
    </row>
    <row r="295" spans="1:25" ht="14.25" hidden="1" customHeight="1" x14ac:dyDescent="0.25">
      <c r="A295" s="11"/>
      <c r="B295" s="11">
        <f t="shared" si="13"/>
        <v>24</v>
      </c>
      <c r="C295" s="11" t="s">
        <v>148</v>
      </c>
      <c r="D295" s="11"/>
      <c r="E295" s="23"/>
      <c r="F295" s="11">
        <f>VLOOKUP($G295, SeanRanks26!$A$2:$H$303, 5, FALSE)</f>
        <v>0</v>
      </c>
      <c r="G295" s="11" t="s">
        <v>675</v>
      </c>
      <c r="H295" s="11" t="str">
        <f>VLOOKUP($G295, '26 ADP Data'!$C$4:$Q$298, 2, FALSE)</f>
        <v>DAL</v>
      </c>
      <c r="I295" s="11" t="str">
        <f>VLOOKUP(G295, '26 ADP Data'!$C$4:$R$496, 16, FALSE)</f>
        <v>RB</v>
      </c>
      <c r="J295" s="11">
        <f>VLOOKUP($G295, SeanRanks26!$A$2:$H$303, 6, FALSE)</f>
        <v>0</v>
      </c>
      <c r="K295" s="11">
        <f>VLOOKUP($G295, SeanRanks26!$A$2:$H$303, 7, FALSE)</f>
        <v>0</v>
      </c>
      <c r="L295" s="11">
        <f t="shared" si="9"/>
        <v>16</v>
      </c>
      <c r="M295" s="11" t="str">
        <f>VLOOKUP($G295, '26 ADP Data'!$C$4:$Q$298, 10, FALSE)</f>
        <v>-</v>
      </c>
      <c r="N295" s="11">
        <f>VLOOKUP($G295, '26 ADP Data'!$C$4:$Q$298, 13, FALSE)</f>
        <v>285</v>
      </c>
      <c r="O295" s="11" t="e">
        <f t="shared" si="10"/>
        <v>#VALUE!</v>
      </c>
      <c r="P295" s="11" t="str">
        <f>VLOOKUP($G295, '26 ADP Data'!$C$4:$Q$298, 3, FALSE)</f>
        <v>-</v>
      </c>
      <c r="Q295" s="11" t="str">
        <f>VLOOKUP($G295, '26 ADP Data'!$C$4:$Q$298, 4, FALSE)</f>
        <v>-</v>
      </c>
      <c r="R295" s="11">
        <f>VLOOKUP($G295, '26 ADP Data'!$C$4:$Q$298, 6, FALSE)</f>
        <v>276</v>
      </c>
      <c r="S295" s="11" t="str">
        <f>VLOOKUP($G295, '26 ADP Data'!$C$4:$Q$298, 9, FALSE)</f>
        <v>-</v>
      </c>
      <c r="T295" s="11" t="str">
        <f>VLOOKUP($G295, '26 ADP Data'!$C$4:$Q$298, 8, FALSE)</f>
        <v>-</v>
      </c>
      <c r="U295" s="11">
        <f t="shared" si="11"/>
        <v>280</v>
      </c>
      <c r="V295" s="11">
        <f t="shared" si="12"/>
        <v>24</v>
      </c>
      <c r="W295" s="11"/>
      <c r="X295" s="11" t="e">
        <f>VLOOKUP($G295, SeanRanks26!$A$2:$K$303, 10, FALSE)-U295</f>
        <v>#VALUE!</v>
      </c>
      <c r="Y295" s="25" t="str">
        <f>IF(VLOOKUP($G295, SeanRanks26!$A$2:$H$303, 8, FALSE)=0, "", VLOOKUP($G295, SeanRanks26!$A$2:$H$303, 8, FALSE))</f>
        <v/>
      </c>
    </row>
    <row r="296" spans="1:25" ht="14.25" hidden="1" customHeight="1" x14ac:dyDescent="0.25">
      <c r="A296" s="11"/>
      <c r="B296" s="11"/>
      <c r="C296" s="11" t="s">
        <v>148</v>
      </c>
      <c r="D296" s="11"/>
      <c r="E296" s="23"/>
      <c r="F296" s="11">
        <f>VLOOKUP($G296, SeanRanks26!$A$2:$H$303, 5, FALSE)</f>
        <v>0</v>
      </c>
      <c r="G296" s="11" t="s">
        <v>829</v>
      </c>
      <c r="H296" s="11" t="e">
        <f>VLOOKUP($G296, '26 ADP Data'!$C$4:$Q$298, 2, FALSE)</f>
        <v>#N/A</v>
      </c>
      <c r="I296" s="11" t="e">
        <f>VLOOKUP(G296, '26 ADP Data'!$C$4:$R$496, 16, FALSE)</f>
        <v>#N/A</v>
      </c>
      <c r="J296" s="11">
        <f>VLOOKUP($G296, SeanRanks26!$A$2:$H$303, 6, FALSE)</f>
        <v>0</v>
      </c>
      <c r="K296" s="11">
        <f>VLOOKUP($G296, SeanRanks26!$A$2:$H$303, 7, FALSE)</f>
        <v>0</v>
      </c>
      <c r="L296" s="11">
        <f t="shared" si="9"/>
        <v>16</v>
      </c>
      <c r="M296" s="11" t="e">
        <f>VLOOKUP($G296, '26 ADP Data'!$C$4:$Q$298, 10, FALSE)</f>
        <v>#N/A</v>
      </c>
      <c r="N296" s="11" t="e">
        <f>VLOOKUP($G296, '26 ADP Data'!$C$4:$Q$298, 13, FALSE)</f>
        <v>#N/A</v>
      </c>
      <c r="O296" s="11" t="e">
        <f t="shared" si="10"/>
        <v>#N/A</v>
      </c>
      <c r="P296" s="11" t="e">
        <f>VLOOKUP($G296, '26 ADP Data'!$C$4:$Q$298, 3, FALSE)</f>
        <v>#N/A</v>
      </c>
      <c r="Q296" s="11" t="e">
        <f>VLOOKUP($G296, '26 ADP Data'!$C$4:$Q$298, 4, FALSE)</f>
        <v>#N/A</v>
      </c>
      <c r="R296" s="11" t="e">
        <f>VLOOKUP($G296, '26 ADP Data'!$C$4:$Q$298, 6, FALSE)</f>
        <v>#N/A</v>
      </c>
      <c r="S296" s="11" t="e">
        <f>VLOOKUP($G296, '26 ADP Data'!$C$4:$Q$298, 9, FALSE)</f>
        <v>#N/A</v>
      </c>
      <c r="T296" s="11" t="e">
        <f>VLOOKUP($G296, '26 ADP Data'!$C$4:$Q$298, 8, FALSE)</f>
        <v>#N/A</v>
      </c>
      <c r="U296" s="11" t="e">
        <f t="shared" si="11"/>
        <v>#N/A</v>
      </c>
      <c r="V296" s="11">
        <f t="shared" si="12"/>
        <v>16</v>
      </c>
      <c r="W296" s="11"/>
      <c r="X296" s="11" t="e">
        <f>VLOOKUP($G296, SeanRanks26!$A$2:$K$303, 10, FALSE)-U296</f>
        <v>#N/A</v>
      </c>
      <c r="Y296" s="25" t="str">
        <f>IF(VLOOKUP($G296, SeanRanks26!$A$2:$H$303, 8, FALSE)=0, "", VLOOKUP($G296, SeanRanks26!$A$2:$H$303, 8, FALSE))</f>
        <v/>
      </c>
    </row>
    <row r="297" spans="1:25" ht="14.25" hidden="1" customHeight="1" x14ac:dyDescent="0.25">
      <c r="A297" s="11"/>
      <c r="B297" s="11" t="e">
        <f t="shared" ref="B297:B306" si="14">IFERROR(INT(AVERAGE(P297:T297)/12)+1, INT(AVERAGE(M297)/12)+1)</f>
        <v>#N/A</v>
      </c>
      <c r="C297" s="11" t="s">
        <v>148</v>
      </c>
      <c r="D297" s="11"/>
      <c r="E297" s="23"/>
      <c r="F297" s="11">
        <f>VLOOKUP($G297, SeanRanks26!$A$2:$H$303, 5, FALSE)</f>
        <v>0</v>
      </c>
      <c r="G297" s="11" t="s">
        <v>680</v>
      </c>
      <c r="H297" s="11" t="e">
        <f>VLOOKUP($G297, '26 ADP Data'!$C$4:$Q$298, 2, FALSE)</f>
        <v>#N/A</v>
      </c>
      <c r="I297" s="11" t="str">
        <f>VLOOKUP(G297, '26 ADP Data'!$C$4:$R$496, 16, FALSE)</f>
        <v>RB</v>
      </c>
      <c r="J297" s="11">
        <f>VLOOKUP($G297, SeanRanks26!$A$2:$H$303, 6, FALSE)</f>
        <v>0</v>
      </c>
      <c r="K297" s="11">
        <f>VLOOKUP($G297, SeanRanks26!$A$2:$H$303, 7, FALSE)</f>
        <v>0</v>
      </c>
      <c r="L297" s="11">
        <f t="shared" si="9"/>
        <v>16</v>
      </c>
      <c r="M297" s="11" t="e">
        <f>VLOOKUP($G297, '26 ADP Data'!$C$4:$Q$298, 10, FALSE)</f>
        <v>#N/A</v>
      </c>
      <c r="N297" s="11" t="e">
        <f>VLOOKUP($G297, '26 ADP Data'!$C$4:$Q$298, 13, FALSE)</f>
        <v>#N/A</v>
      </c>
      <c r="O297" s="11" t="e">
        <f t="shared" si="10"/>
        <v>#N/A</v>
      </c>
      <c r="P297" s="11" t="e">
        <f>VLOOKUP($G297, '26 ADP Data'!$C$4:$Q$298, 3, FALSE)</f>
        <v>#N/A</v>
      </c>
      <c r="Q297" s="11" t="e">
        <f>VLOOKUP($G297, '26 ADP Data'!$C$4:$Q$298, 4, FALSE)</f>
        <v>#N/A</v>
      </c>
      <c r="R297" s="11" t="e">
        <f>VLOOKUP($G297, '26 ADP Data'!$C$4:$Q$298, 6, FALSE)</f>
        <v>#N/A</v>
      </c>
      <c r="S297" s="11" t="e">
        <f>VLOOKUP($G297, '26 ADP Data'!$C$4:$Q$298, 9, FALSE)</f>
        <v>#N/A</v>
      </c>
      <c r="T297" s="11" t="e">
        <f>VLOOKUP($G297, '26 ADP Data'!$C$4:$Q$298, 8, FALSE)</f>
        <v>#N/A</v>
      </c>
      <c r="U297" s="11" t="e">
        <f t="shared" si="11"/>
        <v>#N/A</v>
      </c>
      <c r="V297" s="11">
        <f t="shared" si="12"/>
        <v>16</v>
      </c>
      <c r="W297" s="11"/>
      <c r="X297" s="11" t="e">
        <f>VLOOKUP($G297, SeanRanks26!$A$2:$K$303, 10, FALSE)-U297</f>
        <v>#N/A</v>
      </c>
      <c r="Y297" s="25" t="str">
        <f>IF(VLOOKUP($G297, SeanRanks26!$A$2:$H$303, 8, FALSE)=0, "", VLOOKUP($G297, SeanRanks26!$A$2:$H$303, 8, FALSE))</f>
        <v/>
      </c>
    </row>
    <row r="298" spans="1:25" ht="14.25" customHeight="1" x14ac:dyDescent="0.25">
      <c r="A298" s="11"/>
      <c r="B298" s="11" t="e">
        <f t="shared" si="14"/>
        <v>#N/A</v>
      </c>
      <c r="C298" s="11" t="s">
        <v>148</v>
      </c>
      <c r="D298" s="11"/>
      <c r="E298" s="23"/>
      <c r="F298" s="11">
        <f>VLOOKUP($G298, SeanRanks26!$A$2:$H$303, 5, FALSE)</f>
        <v>0</v>
      </c>
      <c r="G298" s="11" t="s">
        <v>666</v>
      </c>
      <c r="H298" s="11" t="e">
        <f>VLOOKUP($G298, '26 ADP Data'!$C$4:$Q$298, 2, FALSE)</f>
        <v>#N/A</v>
      </c>
      <c r="I298" s="11" t="str">
        <f>VLOOKUP(G298, '26 ADP Data'!$C$4:$R$496, 16, FALSE)</f>
        <v>WR</v>
      </c>
      <c r="J298" s="11">
        <f>VLOOKUP($G298, SeanRanks26!$A$2:$H$303, 6, FALSE)</f>
        <v>0</v>
      </c>
      <c r="K298" s="11">
        <f>VLOOKUP($G298, SeanRanks26!$A$2:$H$303, 7, FALSE)</f>
        <v>0</v>
      </c>
      <c r="L298" s="11">
        <f t="shared" si="9"/>
        <v>16</v>
      </c>
      <c r="M298" s="11" t="e">
        <f>VLOOKUP($G298, '26 ADP Data'!$C$4:$Q$298, 10, FALSE)</f>
        <v>#N/A</v>
      </c>
      <c r="N298" s="11" t="e">
        <f>VLOOKUP($G298, '26 ADP Data'!$C$4:$Q$298, 13, FALSE)</f>
        <v>#N/A</v>
      </c>
      <c r="O298" s="11" t="e">
        <f t="shared" si="10"/>
        <v>#N/A</v>
      </c>
      <c r="P298" s="11" t="e">
        <f>VLOOKUP($G298, '26 ADP Data'!$C$4:$Q$298, 3, FALSE)</f>
        <v>#N/A</v>
      </c>
      <c r="Q298" s="11" t="e">
        <f>VLOOKUP($G298, '26 ADP Data'!$C$4:$Q$298, 4, FALSE)</f>
        <v>#N/A</v>
      </c>
      <c r="R298" s="11" t="e">
        <f>VLOOKUP($G298, '26 ADP Data'!$C$4:$Q$298, 6, FALSE)</f>
        <v>#N/A</v>
      </c>
      <c r="S298" s="11" t="e">
        <f>VLOOKUP($G298, '26 ADP Data'!$C$4:$Q$298, 9, FALSE)</f>
        <v>#N/A</v>
      </c>
      <c r="T298" s="11" t="e">
        <f>VLOOKUP($G298, '26 ADP Data'!$C$4:$Q$298, 8, FALSE)</f>
        <v>#N/A</v>
      </c>
      <c r="U298" s="11" t="e">
        <f t="shared" si="11"/>
        <v>#N/A</v>
      </c>
      <c r="V298" s="11">
        <f t="shared" si="12"/>
        <v>16</v>
      </c>
      <c r="W298" s="11"/>
      <c r="X298" s="11" t="e">
        <f>VLOOKUP($G298, SeanRanks26!$A$2:$K$303, 10, FALSE)-U298</f>
        <v>#N/A</v>
      </c>
      <c r="Y298" s="25" t="str">
        <f>IF(VLOOKUP($G298, SeanRanks26!$A$2:$H$303, 8, FALSE)=0, "", VLOOKUP($G298, SeanRanks26!$A$2:$H$303, 8, FALSE))</f>
        <v/>
      </c>
    </row>
    <row r="299" spans="1:25" ht="14.25" hidden="1" customHeight="1" x14ac:dyDescent="0.25">
      <c r="A299" s="11"/>
      <c r="B299" s="11">
        <f t="shared" si="14"/>
        <v>22</v>
      </c>
      <c r="C299" s="11" t="s">
        <v>148</v>
      </c>
      <c r="D299" s="11"/>
      <c r="E299" s="23"/>
      <c r="F299" s="11">
        <f>VLOOKUP($G299, SeanRanks26!$A$2:$H$303, 5, FALSE)</f>
        <v>0</v>
      </c>
      <c r="G299" s="11" t="s">
        <v>627</v>
      </c>
      <c r="H299" s="11" t="str">
        <f>VLOOKUP($G299, '26 ADP Data'!$C$4:$Q$298, 2, FALSE)</f>
        <v>LV</v>
      </c>
      <c r="I299" s="11" t="str">
        <f>VLOOKUP(G299, '26 ADP Data'!$C$4:$R$496, 16, FALSE)</f>
        <v>QB</v>
      </c>
      <c r="J299" s="11">
        <f>VLOOKUP($G299, SeanRanks26!$A$2:$H$303, 6, FALSE)</f>
        <v>0</v>
      </c>
      <c r="K299" s="11">
        <f>VLOOKUP($G299, SeanRanks26!$A$2:$H$303, 7, FALSE)</f>
        <v>0</v>
      </c>
      <c r="L299" s="11">
        <f t="shared" si="9"/>
        <v>16</v>
      </c>
      <c r="M299" s="11" t="str">
        <f>VLOOKUP($G299, '26 ADP Data'!$C$4:$Q$298, 10, FALSE)</f>
        <v>-</v>
      </c>
      <c r="N299" s="11">
        <f>VLOOKUP($G299, '26 ADP Data'!$C$4:$Q$298, 13, FALSE)</f>
        <v>238</v>
      </c>
      <c r="O299" s="11" t="e">
        <f t="shared" si="10"/>
        <v>#VALUE!</v>
      </c>
      <c r="P299" s="11" t="str">
        <f>VLOOKUP($G299, '26 ADP Data'!$C$4:$Q$298, 3, FALSE)</f>
        <v>-</v>
      </c>
      <c r="Q299" s="11">
        <f>VLOOKUP($G299, '26 ADP Data'!$C$4:$Q$298, 4, FALSE)</f>
        <v>242</v>
      </c>
      <c r="R299" s="11">
        <f>VLOOKUP($G299, '26 ADP Data'!$C$4:$Q$298, 6, FALSE)</f>
        <v>270</v>
      </c>
      <c r="S299" s="11" t="str">
        <f>VLOOKUP($G299, '26 ADP Data'!$C$4:$Q$298, 9, FALSE)</f>
        <v>-</v>
      </c>
      <c r="T299" s="11" t="str">
        <f>VLOOKUP($G299, '26 ADP Data'!$C$4:$Q$298, 8, FALSE)</f>
        <v>-</v>
      </c>
      <c r="U299" s="11">
        <f t="shared" si="11"/>
        <v>250</v>
      </c>
      <c r="V299" s="11">
        <f t="shared" si="12"/>
        <v>21</v>
      </c>
      <c r="W299" s="11"/>
      <c r="X299" s="11" t="e">
        <f>VLOOKUP($G299, SeanRanks26!$A$2:$K$303, 10, FALSE)-U299</f>
        <v>#VALUE!</v>
      </c>
      <c r="Y299" s="25" t="str">
        <f>IF(VLOOKUP($G299, SeanRanks26!$A$2:$H$303, 8, FALSE)=0, "", VLOOKUP($G299, SeanRanks26!$A$2:$H$303, 8, FALSE))</f>
        <v/>
      </c>
    </row>
    <row r="300" spans="1:25" ht="14.25" customHeight="1" x14ac:dyDescent="0.25">
      <c r="A300" s="11"/>
      <c r="B300" s="11">
        <f t="shared" si="14"/>
        <v>23</v>
      </c>
      <c r="C300" s="11" t="s">
        <v>148</v>
      </c>
      <c r="D300" s="11"/>
      <c r="E300" s="23"/>
      <c r="F300" s="11">
        <f>VLOOKUP($G300, SeanRanks26!$A$2:$H$303, 5, FALSE)</f>
        <v>0</v>
      </c>
      <c r="G300" s="11" t="s">
        <v>664</v>
      </c>
      <c r="H300" s="11" t="str">
        <f>VLOOKUP($G300, '26 ADP Data'!$C$4:$Q$298, 2, FALSE)</f>
        <v>SF</v>
      </c>
      <c r="I300" s="11" t="str">
        <f>VLOOKUP(G300, '26 ADP Data'!$C$4:$R$496, 16, FALSE)</f>
        <v>WR</v>
      </c>
      <c r="J300" s="11">
        <f>VLOOKUP($G300, SeanRanks26!$A$2:$H$303, 6, FALSE)</f>
        <v>0</v>
      </c>
      <c r="K300" s="11">
        <f>VLOOKUP($G300, SeanRanks26!$A$2:$H$303, 7, FALSE)</f>
        <v>0</v>
      </c>
      <c r="L300" s="11">
        <f t="shared" si="9"/>
        <v>16</v>
      </c>
      <c r="M300" s="11" t="str">
        <f>VLOOKUP($G300, '26 ADP Data'!$C$4:$Q$298, 10, FALSE)</f>
        <v>-</v>
      </c>
      <c r="N300" s="11">
        <f>VLOOKUP($G300, '26 ADP Data'!$C$4:$Q$298, 13, FALSE)</f>
        <v>278</v>
      </c>
      <c r="O300" s="11" t="e">
        <f t="shared" si="10"/>
        <v>#VALUE!</v>
      </c>
      <c r="P300" s="11" t="str">
        <f>VLOOKUP($G300, '26 ADP Data'!$C$4:$Q$298, 3, FALSE)</f>
        <v>-</v>
      </c>
      <c r="Q300" s="11">
        <f>VLOOKUP($G300, '26 ADP Data'!$C$4:$Q$298, 4, FALSE)</f>
        <v>265</v>
      </c>
      <c r="R300" s="11" t="str">
        <f>VLOOKUP($G300, '26 ADP Data'!$C$4:$Q$298, 6, FALSE)</f>
        <v>-</v>
      </c>
      <c r="S300" s="11" t="str">
        <f>VLOOKUP($G300, '26 ADP Data'!$C$4:$Q$298, 9, FALSE)</f>
        <v>-</v>
      </c>
      <c r="T300" s="11" t="str">
        <f>VLOOKUP($G300, '26 ADP Data'!$C$4:$Q$298, 8, FALSE)</f>
        <v>-</v>
      </c>
      <c r="U300" s="11">
        <f t="shared" si="11"/>
        <v>271</v>
      </c>
      <c r="V300" s="11">
        <f t="shared" si="12"/>
        <v>23</v>
      </c>
      <c r="W300" s="11"/>
      <c r="X300" s="11" t="e">
        <f>VLOOKUP($G300, SeanRanks26!$A$2:$K$303, 10, FALSE)-U300</f>
        <v>#VALUE!</v>
      </c>
      <c r="Y300" s="25" t="str">
        <f>IF(VLOOKUP($G300, SeanRanks26!$A$2:$H$303, 8, FALSE)=0, "", VLOOKUP($G300, SeanRanks26!$A$2:$H$303, 8, FALSE))</f>
        <v/>
      </c>
    </row>
    <row r="301" spans="1:25" ht="14.25" hidden="1" customHeight="1" x14ac:dyDescent="0.25">
      <c r="A301" s="11"/>
      <c r="B301" s="11" t="e">
        <f t="shared" si="14"/>
        <v>#N/A</v>
      </c>
      <c r="C301" s="11" t="s">
        <v>148</v>
      </c>
      <c r="D301" s="11"/>
      <c r="E301" s="23"/>
      <c r="F301" s="11" t="e">
        <f>VLOOKUP($G301, SeanRanks26!$A$2:$H$303, 5, FALSE)</f>
        <v>#N/A</v>
      </c>
      <c r="G301" s="11" t="s">
        <v>719</v>
      </c>
      <c r="H301" s="11" t="e">
        <f>VLOOKUP($G301, '26 ADP Data'!$C$4:$Q$298, 2, FALSE)</f>
        <v>#N/A</v>
      </c>
      <c r="I301" s="11" t="e">
        <f>VLOOKUP(G301, '26 ADP Data'!$C$4:$R$496, 16, FALSE)</f>
        <v>#N/A</v>
      </c>
      <c r="J301" s="11" t="e">
        <f>VLOOKUP($G301, SeanRanks26!$A$2:$H$303, 6, FALSE)</f>
        <v>#N/A</v>
      </c>
      <c r="K301" s="11" t="e">
        <f>VLOOKUP($G301, SeanRanks26!$A$2:$H$303, 7, FALSE)</f>
        <v>#N/A</v>
      </c>
      <c r="L301" s="11">
        <f t="shared" si="9"/>
        <v>16</v>
      </c>
      <c r="M301" s="11" t="e">
        <f>VLOOKUP($G301, '26 ADP Data'!$C$4:$Q$298, 10, FALSE)</f>
        <v>#N/A</v>
      </c>
      <c r="N301" s="11" t="e">
        <f>VLOOKUP($G301, '26 ADP Data'!$C$4:$Q$298, 13, FALSE)</f>
        <v>#N/A</v>
      </c>
      <c r="O301" s="11" t="e">
        <f t="shared" si="10"/>
        <v>#N/A</v>
      </c>
      <c r="P301" s="11" t="e">
        <f>VLOOKUP($G301, '26 ADP Data'!$C$4:$Q$298, 3, FALSE)</f>
        <v>#N/A</v>
      </c>
      <c r="Q301" s="11" t="e">
        <f>VLOOKUP($G301, '26 ADP Data'!$C$4:$Q$298, 4, FALSE)</f>
        <v>#N/A</v>
      </c>
      <c r="R301" s="11" t="e">
        <f>VLOOKUP($G301, '26 ADP Data'!$C$4:$Q$298, 6, FALSE)</f>
        <v>#N/A</v>
      </c>
      <c r="S301" s="11" t="e">
        <f>VLOOKUP($G301, '26 ADP Data'!$C$4:$Q$298, 9, FALSE)</f>
        <v>#N/A</v>
      </c>
      <c r="T301" s="11" t="e">
        <f>VLOOKUP($G301, '26 ADP Data'!$C$4:$Q$298, 8, FALSE)</f>
        <v>#N/A</v>
      </c>
      <c r="U301" s="11" t="e">
        <f t="shared" si="11"/>
        <v>#N/A</v>
      </c>
      <c r="V301" s="11">
        <f t="shared" si="12"/>
        <v>16</v>
      </c>
      <c r="W301" s="11"/>
      <c r="X301" s="11" t="e">
        <f>VLOOKUP($G301, SeanRanks26!$A$2:$K$303, 10, FALSE)-U301</f>
        <v>#N/A</v>
      </c>
      <c r="Y301" s="25" t="e">
        <f>IF(VLOOKUP($G301, SeanRanks26!$A$2:$H$303, 8, FALSE)=0, "", VLOOKUP($G301, SeanRanks26!$A$2:$H$303, 8, FALSE))</f>
        <v>#N/A</v>
      </c>
    </row>
    <row r="302" spans="1:25" ht="14.25" customHeight="1" x14ac:dyDescent="0.25">
      <c r="A302" s="11"/>
      <c r="B302" s="11" t="e">
        <f t="shared" si="14"/>
        <v>#N/A</v>
      </c>
      <c r="C302" s="11" t="s">
        <v>148</v>
      </c>
      <c r="D302" s="11"/>
      <c r="E302" s="23"/>
      <c r="F302" s="11">
        <f>VLOOKUP($G302, SeanRanks26!$A$2:$H$303, 5, FALSE)</f>
        <v>0</v>
      </c>
      <c r="G302" s="11" t="s">
        <v>684</v>
      </c>
      <c r="H302" s="11" t="e">
        <f>VLOOKUP($G302, '26 ADP Data'!$C$4:$Q$298, 2, FALSE)</f>
        <v>#N/A</v>
      </c>
      <c r="I302" s="11" t="e">
        <f>VLOOKUP(G302, '26 ADP Data'!$C$4:$R$496, 16, FALSE)</f>
        <v>#N/A</v>
      </c>
      <c r="J302" s="11">
        <f>VLOOKUP($G302, SeanRanks26!$A$2:$H$303, 6, FALSE)</f>
        <v>0</v>
      </c>
      <c r="K302" s="11">
        <f>VLOOKUP($G302, SeanRanks26!$A$2:$H$303, 7, FALSE)</f>
        <v>0</v>
      </c>
      <c r="L302" s="11">
        <f t="shared" si="9"/>
        <v>16</v>
      </c>
      <c r="M302" s="11" t="e">
        <f>VLOOKUP($G302, '26 ADP Data'!$C$4:$Q$298, 10, FALSE)</f>
        <v>#N/A</v>
      </c>
      <c r="N302" s="11" t="e">
        <f>VLOOKUP($G302, '26 ADP Data'!$C$4:$Q$298, 13, FALSE)</f>
        <v>#N/A</v>
      </c>
      <c r="O302" s="11" t="e">
        <f t="shared" si="10"/>
        <v>#N/A</v>
      </c>
      <c r="P302" s="11" t="e">
        <f>VLOOKUP($G302, '26 ADP Data'!$C$4:$Q$298, 3, FALSE)</f>
        <v>#N/A</v>
      </c>
      <c r="Q302" s="11" t="e">
        <f>VLOOKUP($G302, '26 ADP Data'!$C$4:$Q$298, 4, FALSE)</f>
        <v>#N/A</v>
      </c>
      <c r="R302" s="11" t="e">
        <f>VLOOKUP($G302, '26 ADP Data'!$C$4:$Q$298, 6, FALSE)</f>
        <v>#N/A</v>
      </c>
      <c r="S302" s="11" t="e">
        <f>VLOOKUP($G302, '26 ADP Data'!$C$4:$Q$298, 9, FALSE)</f>
        <v>#N/A</v>
      </c>
      <c r="T302" s="11" t="e">
        <f>VLOOKUP($G302, '26 ADP Data'!$C$4:$Q$298, 8, FALSE)</f>
        <v>#N/A</v>
      </c>
      <c r="U302" s="11" t="e">
        <f t="shared" si="11"/>
        <v>#N/A</v>
      </c>
      <c r="V302" s="11">
        <f t="shared" si="12"/>
        <v>16</v>
      </c>
      <c r="W302" s="11"/>
      <c r="X302" s="11" t="e">
        <f>VLOOKUP($G302, SeanRanks26!$A$2:$K$303, 10, FALSE)-U302</f>
        <v>#N/A</v>
      </c>
      <c r="Y302" s="25" t="str">
        <f>IF(VLOOKUP($G302, SeanRanks26!$A$2:$H$303, 8, FALSE)=0, "", VLOOKUP($G302, SeanRanks26!$A$2:$H$303, 8, FALSE))</f>
        <v/>
      </c>
    </row>
    <row r="303" spans="1:25" ht="14.25" hidden="1" customHeight="1" x14ac:dyDescent="0.25">
      <c r="A303" s="11"/>
      <c r="B303" s="11" t="e">
        <f t="shared" si="14"/>
        <v>#N/A</v>
      </c>
      <c r="C303" s="11" t="s">
        <v>148</v>
      </c>
      <c r="D303" s="11"/>
      <c r="E303" s="23"/>
      <c r="F303" s="11">
        <f>VLOOKUP($G303, SeanRanks26!$A$2:$H$303, 5, FALSE)</f>
        <v>0</v>
      </c>
      <c r="G303" s="11" t="s">
        <v>830</v>
      </c>
      <c r="H303" s="11" t="e">
        <f>VLOOKUP($G303, '26 ADP Data'!$C$4:$Q$298, 2, FALSE)</f>
        <v>#N/A</v>
      </c>
      <c r="I303" s="11" t="e">
        <f>VLOOKUP(G303, '26 ADP Data'!$C$4:$R$496, 16, FALSE)</f>
        <v>#N/A</v>
      </c>
      <c r="J303" s="11">
        <f>VLOOKUP($G303, SeanRanks26!$A$2:$H$303, 6, FALSE)</f>
        <v>0</v>
      </c>
      <c r="K303" s="11">
        <f>VLOOKUP($G303, SeanRanks26!$A$2:$H$303, 7, FALSE)</f>
        <v>0</v>
      </c>
      <c r="L303" s="11">
        <f t="shared" si="9"/>
        <v>16</v>
      </c>
      <c r="M303" s="11" t="e">
        <f>VLOOKUP($G303, '26 ADP Data'!$C$4:$Q$298, 10, FALSE)</f>
        <v>#N/A</v>
      </c>
      <c r="N303" s="11" t="e">
        <f>VLOOKUP($G303, '26 ADP Data'!$C$4:$Q$298, 13, FALSE)</f>
        <v>#N/A</v>
      </c>
      <c r="O303" s="11" t="e">
        <f t="shared" si="10"/>
        <v>#N/A</v>
      </c>
      <c r="P303" s="11" t="e">
        <f>VLOOKUP($G303, '26 ADP Data'!$C$4:$Q$298, 3, FALSE)</f>
        <v>#N/A</v>
      </c>
      <c r="Q303" s="11" t="e">
        <f>VLOOKUP($G303, '26 ADP Data'!$C$4:$Q$298, 4, FALSE)</f>
        <v>#N/A</v>
      </c>
      <c r="R303" s="11" t="e">
        <f>VLOOKUP($G303, '26 ADP Data'!$C$4:$Q$298, 6, FALSE)</f>
        <v>#N/A</v>
      </c>
      <c r="S303" s="11" t="e">
        <f>VLOOKUP($G303, '26 ADP Data'!$C$4:$Q$298, 9, FALSE)</f>
        <v>#N/A</v>
      </c>
      <c r="T303" s="11" t="e">
        <f>VLOOKUP($G303, '26 ADP Data'!$C$4:$Q$298, 8, FALSE)</f>
        <v>#N/A</v>
      </c>
      <c r="U303" s="11" t="e">
        <f t="shared" si="11"/>
        <v>#N/A</v>
      </c>
      <c r="V303" s="11">
        <f t="shared" si="12"/>
        <v>16</v>
      </c>
      <c r="W303" s="11"/>
      <c r="X303" s="11" t="e">
        <f>VLOOKUP($G303, SeanRanks26!$A$2:$K$303, 10, FALSE)-U303</f>
        <v>#N/A</v>
      </c>
      <c r="Y303" s="25" t="str">
        <f>IF(VLOOKUP($G303, SeanRanks26!$A$2:$H$303, 8, FALSE)=0, "", VLOOKUP($G303, SeanRanks26!$A$2:$H$303, 8, FALSE))</f>
        <v>Rookie R3 ND</v>
      </c>
    </row>
    <row r="304" spans="1:25" ht="14.25" hidden="1" customHeight="1" x14ac:dyDescent="0.25">
      <c r="A304" s="11"/>
      <c r="B304" s="11" t="e">
        <f t="shared" si="14"/>
        <v>#N/A</v>
      </c>
      <c r="C304" s="11" t="s">
        <v>148</v>
      </c>
      <c r="D304" s="11"/>
      <c r="E304" s="23"/>
      <c r="F304" s="11" t="e">
        <f>VLOOKUP($G304, SeanRanks26!$A$2:$H$303, 5, FALSE)</f>
        <v>#N/A</v>
      </c>
      <c r="G304" s="11" t="s">
        <v>937</v>
      </c>
      <c r="H304" s="11" t="e">
        <f>VLOOKUP($G304, '26 ADP Data'!$C$4:$Q$298, 2, FALSE)</f>
        <v>#N/A</v>
      </c>
      <c r="I304" s="11" t="e">
        <f>VLOOKUP(G304, '26 ADP Data'!$C$4:$R$496, 16, FALSE)</f>
        <v>#N/A</v>
      </c>
      <c r="J304" s="11" t="e">
        <f>VLOOKUP($G304, SeanRanks26!$A$2:$H$303, 6, FALSE)</f>
        <v>#N/A</v>
      </c>
      <c r="K304" s="11" t="e">
        <f>VLOOKUP($G304, SeanRanks26!$A$2:$H$303, 7, FALSE)</f>
        <v>#N/A</v>
      </c>
      <c r="L304" s="11">
        <f t="shared" si="9"/>
        <v>16</v>
      </c>
      <c r="M304" s="11" t="e">
        <f>VLOOKUP($G304, '26 ADP Data'!$C$4:$Q$298, 10, FALSE)</f>
        <v>#N/A</v>
      </c>
      <c r="N304" s="11" t="e">
        <f>VLOOKUP($G304, '26 ADP Data'!$C$4:$Q$298, 13, FALSE)</f>
        <v>#N/A</v>
      </c>
      <c r="O304" s="11" t="e">
        <f t="shared" si="10"/>
        <v>#N/A</v>
      </c>
      <c r="P304" s="11" t="e">
        <f>VLOOKUP($G304, '26 ADP Data'!$C$4:$Q$298, 3, FALSE)</f>
        <v>#N/A</v>
      </c>
      <c r="Q304" s="11" t="e">
        <f>VLOOKUP($G304, '26 ADP Data'!$C$4:$Q$298, 4, FALSE)</f>
        <v>#N/A</v>
      </c>
      <c r="R304" s="11" t="e">
        <f>VLOOKUP($G304, '26 ADP Data'!$C$4:$Q$298, 6, FALSE)</f>
        <v>#N/A</v>
      </c>
      <c r="S304" s="11" t="e">
        <f>VLOOKUP($G304, '26 ADP Data'!$C$4:$Q$298, 9, FALSE)</f>
        <v>#N/A</v>
      </c>
      <c r="T304" s="11" t="e">
        <f>VLOOKUP($G304, '26 ADP Data'!$C$4:$Q$298, 8, FALSE)</f>
        <v>#N/A</v>
      </c>
      <c r="U304" s="11" t="e">
        <f t="shared" si="11"/>
        <v>#N/A</v>
      </c>
      <c r="V304" s="11">
        <f t="shared" si="12"/>
        <v>16</v>
      </c>
      <c r="W304" s="11"/>
      <c r="X304" s="11" t="e">
        <f>VLOOKUP($G304, SeanRanks26!$A$2:$K$303, 10, FALSE)-U304</f>
        <v>#N/A</v>
      </c>
      <c r="Y304" s="25" t="e">
        <f>IF(VLOOKUP($G304, SeanRanks26!$A$2:$H$303, 8, FALSE)=0, "", VLOOKUP($G304, SeanRanks26!$A$2:$H$303, 8, FALSE))</f>
        <v>#N/A</v>
      </c>
    </row>
    <row r="305" spans="1:25" ht="14.25" hidden="1" customHeight="1" x14ac:dyDescent="0.25">
      <c r="A305" s="11"/>
      <c r="B305" s="11" t="e">
        <f t="shared" si="14"/>
        <v>#N/A</v>
      </c>
      <c r="C305" s="11" t="s">
        <v>148</v>
      </c>
      <c r="D305" s="11"/>
      <c r="E305" s="23"/>
      <c r="F305" s="11">
        <f>VLOOKUP($G305, SeanRanks26!$A$2:$H$303, 5, FALSE)</f>
        <v>0</v>
      </c>
      <c r="G305" s="11" t="s">
        <v>809</v>
      </c>
      <c r="H305" s="11" t="e">
        <f>VLOOKUP($G305, '26 ADP Data'!$C$4:$Q$298, 2, FALSE)</f>
        <v>#N/A</v>
      </c>
      <c r="I305" s="11" t="e">
        <f>VLOOKUP(G305, '26 ADP Data'!$C$4:$R$496, 16, FALSE)</f>
        <v>#N/A</v>
      </c>
      <c r="J305" s="11">
        <f>VLOOKUP($G305, SeanRanks26!$A$2:$H$303, 6, FALSE)</f>
        <v>0</v>
      </c>
      <c r="K305" s="11">
        <f>VLOOKUP($G305, SeanRanks26!$A$2:$H$303, 7, FALSE)</f>
        <v>0</v>
      </c>
      <c r="L305" s="11">
        <f t="shared" si="9"/>
        <v>16</v>
      </c>
      <c r="M305" s="11" t="e">
        <f>VLOOKUP($G305, '26 ADP Data'!$C$4:$Q$298, 10, FALSE)</f>
        <v>#N/A</v>
      </c>
      <c r="N305" s="11" t="e">
        <f>VLOOKUP($G305, '26 ADP Data'!$C$4:$Q$298, 13, FALSE)</f>
        <v>#N/A</v>
      </c>
      <c r="O305" s="11" t="e">
        <f t="shared" si="10"/>
        <v>#N/A</v>
      </c>
      <c r="P305" s="11" t="e">
        <f>VLOOKUP($G305, '26 ADP Data'!$C$4:$Q$298, 3, FALSE)</f>
        <v>#N/A</v>
      </c>
      <c r="Q305" s="11" t="e">
        <f>VLOOKUP($G305, '26 ADP Data'!$C$4:$Q$298, 4, FALSE)</f>
        <v>#N/A</v>
      </c>
      <c r="R305" s="11" t="e">
        <f>VLOOKUP($G305, '26 ADP Data'!$C$4:$Q$298, 6, FALSE)</f>
        <v>#N/A</v>
      </c>
      <c r="S305" s="11" t="e">
        <f>VLOOKUP($G305, '26 ADP Data'!$C$4:$Q$298, 9, FALSE)</f>
        <v>#N/A</v>
      </c>
      <c r="T305" s="11" t="e">
        <f>VLOOKUP($G305, '26 ADP Data'!$C$4:$Q$298, 8, FALSE)</f>
        <v>#N/A</v>
      </c>
      <c r="U305" s="11" t="e">
        <f t="shared" si="11"/>
        <v>#N/A</v>
      </c>
      <c r="V305" s="11">
        <f t="shared" si="12"/>
        <v>16</v>
      </c>
      <c r="W305" s="11"/>
      <c r="X305" s="11" t="e">
        <f>VLOOKUP($G305, SeanRanks26!$A$2:$K$303, 10, FALSE)-U305</f>
        <v>#N/A</v>
      </c>
      <c r="Y305" s="25" t="str">
        <f>IF(VLOOKUP($G305, SeanRanks26!$A$2:$H$303, 8, FALSE)=0, "", VLOOKUP($G305, SeanRanks26!$A$2:$H$303, 8, FALSE))</f>
        <v/>
      </c>
    </row>
    <row r="306" spans="1:25" ht="14.25" hidden="1" customHeight="1" x14ac:dyDescent="0.25">
      <c r="A306" s="11"/>
      <c r="B306" s="11" t="e">
        <f t="shared" si="14"/>
        <v>#N/A</v>
      </c>
      <c r="C306" s="11" t="s">
        <v>148</v>
      </c>
      <c r="D306" s="11"/>
      <c r="E306" s="23"/>
      <c r="F306" s="11">
        <f>VLOOKUP($G306, SeanRanks26!$A$2:$H$303, 5, FALSE)</f>
        <v>0</v>
      </c>
      <c r="G306" s="11" t="s">
        <v>816</v>
      </c>
      <c r="H306" s="11" t="e">
        <f>VLOOKUP($G306, '26 ADP Data'!$C$4:$Q$298, 2, FALSE)</f>
        <v>#N/A</v>
      </c>
      <c r="I306" s="11" t="str">
        <f>VLOOKUP(G306, '26 ADP Data'!$C$4:$R$496, 16, FALSE)</f>
        <v>RB</v>
      </c>
      <c r="J306" s="11">
        <f>VLOOKUP($G306, SeanRanks26!$A$2:$H$303, 6, FALSE)</f>
        <v>0</v>
      </c>
      <c r="K306" s="11">
        <f>VLOOKUP($G306, SeanRanks26!$A$2:$H$303, 7, FALSE)</f>
        <v>0</v>
      </c>
      <c r="L306" s="11">
        <f t="shared" si="9"/>
        <v>16</v>
      </c>
      <c r="M306" s="11" t="e">
        <f>VLOOKUP($G306, '26 ADP Data'!$C$4:$Q$298, 10, FALSE)</f>
        <v>#N/A</v>
      </c>
      <c r="N306" s="11" t="e">
        <f>VLOOKUP($G306, '26 ADP Data'!$C$4:$Q$298, 13, FALSE)</f>
        <v>#N/A</v>
      </c>
      <c r="O306" s="11" t="e">
        <f t="shared" si="10"/>
        <v>#N/A</v>
      </c>
      <c r="P306" s="11" t="e">
        <f>VLOOKUP($G306, '26 ADP Data'!$C$4:$Q$298, 3, FALSE)</f>
        <v>#N/A</v>
      </c>
      <c r="Q306" s="11" t="e">
        <f>VLOOKUP($G306, '26 ADP Data'!$C$4:$Q$298, 4, FALSE)</f>
        <v>#N/A</v>
      </c>
      <c r="R306" s="11" t="e">
        <f>VLOOKUP($G306, '26 ADP Data'!$C$4:$Q$298, 6, FALSE)</f>
        <v>#N/A</v>
      </c>
      <c r="S306" s="11" t="e">
        <f>VLOOKUP($G306, '26 ADP Data'!$C$4:$Q$298, 9, FALSE)</f>
        <v>#N/A</v>
      </c>
      <c r="T306" s="11" t="e">
        <f>VLOOKUP($G306, '26 ADP Data'!$C$4:$Q$298, 8, FALSE)</f>
        <v>#N/A</v>
      </c>
      <c r="U306" s="11" t="e">
        <f t="shared" si="11"/>
        <v>#N/A</v>
      </c>
      <c r="V306" s="11">
        <f t="shared" si="12"/>
        <v>16</v>
      </c>
      <c r="W306" s="11"/>
      <c r="X306" s="11" t="e">
        <f>VLOOKUP($G306, SeanRanks26!$A$2:$K$303, 10, FALSE)-U306</f>
        <v>#N/A</v>
      </c>
      <c r="Y306" s="25" t="str">
        <f>IF(VLOOKUP($G306, SeanRanks26!$A$2:$H$303, 8, FALSE)=0, "", VLOOKUP($G306, SeanRanks26!$A$2:$H$303, 8, FALSE))</f>
        <v/>
      </c>
    </row>
    <row r="307" spans="1:25" ht="14.25" customHeight="1" x14ac:dyDescent="0.25">
      <c r="E307" s="78"/>
    </row>
    <row r="308" spans="1:25" ht="14.25" customHeight="1" x14ac:dyDescent="0.25">
      <c r="E308" s="78"/>
    </row>
    <row r="309" spans="1:25" ht="14.25" customHeight="1" x14ac:dyDescent="0.25">
      <c r="E309" s="78"/>
    </row>
    <row r="310" spans="1:25" ht="14.25" customHeight="1" x14ac:dyDescent="0.25">
      <c r="E310" s="78"/>
    </row>
    <row r="311" spans="1:25" ht="14.25" customHeight="1" x14ac:dyDescent="0.25">
      <c r="E311" s="78"/>
    </row>
    <row r="312" spans="1:25" ht="14.25" customHeight="1" x14ac:dyDescent="0.25">
      <c r="E312" s="78"/>
    </row>
    <row r="313" spans="1:25" ht="14.25" customHeight="1" x14ac:dyDescent="0.25">
      <c r="E313" s="78"/>
    </row>
    <row r="314" spans="1:25" ht="14.25" customHeight="1" x14ac:dyDescent="0.25">
      <c r="E314" s="78"/>
    </row>
    <row r="315" spans="1:25" ht="14.25" customHeight="1" x14ac:dyDescent="0.25">
      <c r="E315" s="78"/>
    </row>
    <row r="316" spans="1:25" ht="14.25" customHeight="1" x14ac:dyDescent="0.25">
      <c r="E316" s="78"/>
    </row>
    <row r="317" spans="1:25" ht="14.25" customHeight="1" x14ac:dyDescent="0.25">
      <c r="E317" s="78"/>
    </row>
    <row r="318" spans="1:25" ht="14.25" customHeight="1" x14ac:dyDescent="0.25">
      <c r="E318" s="78"/>
    </row>
    <row r="319" spans="1:25" ht="14.25" customHeight="1" x14ac:dyDescent="0.25">
      <c r="E319" s="78"/>
    </row>
    <row r="320" spans="1:25" ht="14.25" customHeight="1" x14ac:dyDescent="0.25">
      <c r="E320" s="78"/>
    </row>
    <row r="321" spans="5:5" ht="14.25" customHeight="1" x14ac:dyDescent="0.25">
      <c r="E321" s="78"/>
    </row>
    <row r="322" spans="5:5" ht="14.25" customHeight="1" x14ac:dyDescent="0.25">
      <c r="E322" s="78"/>
    </row>
    <row r="323" spans="5:5" ht="14.25" customHeight="1" x14ac:dyDescent="0.25">
      <c r="E323" s="78"/>
    </row>
    <row r="324" spans="5:5" ht="14.25" customHeight="1" x14ac:dyDescent="0.25">
      <c r="E324" s="78"/>
    </row>
    <row r="325" spans="5:5" ht="14.25" customHeight="1" x14ac:dyDescent="0.25">
      <c r="E325" s="78"/>
    </row>
    <row r="326" spans="5:5" ht="14.25" customHeight="1" x14ac:dyDescent="0.25">
      <c r="E326" s="78"/>
    </row>
    <row r="327" spans="5:5" ht="14.25" customHeight="1" x14ac:dyDescent="0.25">
      <c r="E327" s="78"/>
    </row>
    <row r="328" spans="5:5" ht="14.25" customHeight="1" x14ac:dyDescent="0.25">
      <c r="E328" s="78"/>
    </row>
    <row r="329" spans="5:5" ht="14.25" customHeight="1" x14ac:dyDescent="0.25">
      <c r="E329" s="78"/>
    </row>
    <row r="330" spans="5:5" ht="14.25" customHeight="1" x14ac:dyDescent="0.25">
      <c r="E330" s="78"/>
    </row>
    <row r="331" spans="5:5" ht="14.25" customHeight="1" x14ac:dyDescent="0.25">
      <c r="E331" s="78"/>
    </row>
    <row r="332" spans="5:5" ht="14.25" customHeight="1" x14ac:dyDescent="0.25">
      <c r="E332" s="78"/>
    </row>
    <row r="333" spans="5:5" ht="14.25" customHeight="1" x14ac:dyDescent="0.25">
      <c r="E333" s="78"/>
    </row>
    <row r="334" spans="5:5" ht="14.25" customHeight="1" x14ac:dyDescent="0.25">
      <c r="E334" s="78"/>
    </row>
    <row r="335" spans="5:5" ht="14.25" customHeight="1" x14ac:dyDescent="0.25">
      <c r="E335" s="78"/>
    </row>
    <row r="336" spans="5:5" ht="14.25" customHeight="1" x14ac:dyDescent="0.25">
      <c r="E336" s="78"/>
    </row>
    <row r="337" spans="5:5" ht="14.25" customHeight="1" x14ac:dyDescent="0.25">
      <c r="E337" s="78"/>
    </row>
    <row r="338" spans="5:5" ht="14.25" customHeight="1" x14ac:dyDescent="0.25">
      <c r="E338" s="78"/>
    </row>
    <row r="339" spans="5:5" ht="14.25" customHeight="1" x14ac:dyDescent="0.25">
      <c r="E339" s="78"/>
    </row>
    <row r="340" spans="5:5" ht="14.25" customHeight="1" x14ac:dyDescent="0.25">
      <c r="E340" s="78"/>
    </row>
    <row r="341" spans="5:5" ht="14.25" customHeight="1" x14ac:dyDescent="0.25">
      <c r="E341" s="78"/>
    </row>
    <row r="342" spans="5:5" ht="14.25" customHeight="1" x14ac:dyDescent="0.25">
      <c r="E342" s="78"/>
    </row>
    <row r="343" spans="5:5" ht="14.25" customHeight="1" x14ac:dyDescent="0.25">
      <c r="E343" s="78"/>
    </row>
    <row r="344" spans="5:5" ht="14.25" customHeight="1" x14ac:dyDescent="0.25">
      <c r="E344" s="78"/>
    </row>
    <row r="345" spans="5:5" ht="14.25" customHeight="1" x14ac:dyDescent="0.25">
      <c r="E345" s="78"/>
    </row>
    <row r="346" spans="5:5" ht="14.25" customHeight="1" x14ac:dyDescent="0.25">
      <c r="E346" s="78"/>
    </row>
    <row r="347" spans="5:5" ht="14.25" customHeight="1" x14ac:dyDescent="0.25">
      <c r="E347" s="78"/>
    </row>
    <row r="348" spans="5:5" ht="14.25" customHeight="1" x14ac:dyDescent="0.25">
      <c r="E348" s="78"/>
    </row>
    <row r="349" spans="5:5" ht="14.25" customHeight="1" x14ac:dyDescent="0.25">
      <c r="E349" s="78"/>
    </row>
    <row r="350" spans="5:5" ht="14.25" customHeight="1" x14ac:dyDescent="0.25">
      <c r="E350" s="78"/>
    </row>
    <row r="351" spans="5:5" ht="14.25" customHeight="1" x14ac:dyDescent="0.25">
      <c r="E351" s="78"/>
    </row>
    <row r="352" spans="5:5" ht="14.25" customHeight="1" x14ac:dyDescent="0.25">
      <c r="E352" s="78"/>
    </row>
    <row r="353" spans="5:5" ht="14.25" customHeight="1" x14ac:dyDescent="0.25">
      <c r="E353" s="78"/>
    </row>
    <row r="354" spans="5:5" ht="14.25" customHeight="1" x14ac:dyDescent="0.25">
      <c r="E354" s="78"/>
    </row>
    <row r="355" spans="5:5" ht="14.25" customHeight="1" x14ac:dyDescent="0.25">
      <c r="E355" s="78"/>
    </row>
    <row r="356" spans="5:5" ht="14.25" customHeight="1" x14ac:dyDescent="0.25">
      <c r="E356" s="78"/>
    </row>
    <row r="357" spans="5:5" ht="14.25" customHeight="1" x14ac:dyDescent="0.25">
      <c r="E357" s="78"/>
    </row>
    <row r="358" spans="5:5" ht="14.25" customHeight="1" x14ac:dyDescent="0.25">
      <c r="E358" s="78"/>
    </row>
    <row r="359" spans="5:5" ht="14.25" customHeight="1" x14ac:dyDescent="0.25">
      <c r="E359" s="78"/>
    </row>
    <row r="360" spans="5:5" ht="14.25" customHeight="1" x14ac:dyDescent="0.25">
      <c r="E360" s="78"/>
    </row>
    <row r="361" spans="5:5" ht="14.25" customHeight="1" x14ac:dyDescent="0.25">
      <c r="E361" s="78"/>
    </row>
    <row r="362" spans="5:5" ht="14.25" customHeight="1" x14ac:dyDescent="0.25">
      <c r="E362" s="78"/>
    </row>
    <row r="363" spans="5:5" ht="14.25" customHeight="1" x14ac:dyDescent="0.25">
      <c r="E363" s="78"/>
    </row>
    <row r="364" spans="5:5" ht="14.25" customHeight="1" x14ac:dyDescent="0.25">
      <c r="E364" s="78"/>
    </row>
    <row r="365" spans="5:5" ht="14.25" customHeight="1" x14ac:dyDescent="0.25">
      <c r="E365" s="78"/>
    </row>
    <row r="366" spans="5:5" ht="14.25" customHeight="1" x14ac:dyDescent="0.25">
      <c r="E366" s="78"/>
    </row>
    <row r="367" spans="5:5" ht="14.25" customHeight="1" x14ac:dyDescent="0.25">
      <c r="E367" s="78"/>
    </row>
    <row r="368" spans="5:5" ht="14.25" customHeight="1" x14ac:dyDescent="0.25">
      <c r="E368" s="78"/>
    </row>
    <row r="369" spans="5:5" ht="14.25" customHeight="1" x14ac:dyDescent="0.25">
      <c r="E369" s="78"/>
    </row>
    <row r="370" spans="5:5" ht="14.25" customHeight="1" x14ac:dyDescent="0.25">
      <c r="E370" s="78"/>
    </row>
    <row r="371" spans="5:5" ht="14.25" customHeight="1" x14ac:dyDescent="0.25">
      <c r="E371" s="78"/>
    </row>
    <row r="372" spans="5:5" ht="14.25" customHeight="1" x14ac:dyDescent="0.25">
      <c r="E372" s="78"/>
    </row>
    <row r="373" spans="5:5" ht="14.25" customHeight="1" x14ac:dyDescent="0.25">
      <c r="E373" s="78"/>
    </row>
    <row r="374" spans="5:5" ht="14.25" customHeight="1" x14ac:dyDescent="0.25">
      <c r="E374" s="78"/>
    </row>
    <row r="375" spans="5:5" ht="14.25" customHeight="1" x14ac:dyDescent="0.25">
      <c r="E375" s="78"/>
    </row>
    <row r="376" spans="5:5" ht="14.25" customHeight="1" x14ac:dyDescent="0.25">
      <c r="E376" s="78"/>
    </row>
    <row r="377" spans="5:5" ht="14.25" customHeight="1" x14ac:dyDescent="0.25">
      <c r="E377" s="78"/>
    </row>
    <row r="378" spans="5:5" ht="14.25" customHeight="1" x14ac:dyDescent="0.25">
      <c r="E378" s="78"/>
    </row>
    <row r="379" spans="5:5" ht="14.25" customHeight="1" x14ac:dyDescent="0.25">
      <c r="E379" s="78"/>
    </row>
    <row r="380" spans="5:5" ht="14.25" customHeight="1" x14ac:dyDescent="0.25">
      <c r="E380" s="78"/>
    </row>
    <row r="381" spans="5:5" ht="14.25" customHeight="1" x14ac:dyDescent="0.25">
      <c r="E381" s="78"/>
    </row>
    <row r="382" spans="5:5" ht="14.25" customHeight="1" x14ac:dyDescent="0.25">
      <c r="E382" s="78"/>
    </row>
    <row r="383" spans="5:5" ht="14.25" customHeight="1" x14ac:dyDescent="0.25">
      <c r="E383" s="78"/>
    </row>
    <row r="384" spans="5:5" ht="14.25" customHeight="1" x14ac:dyDescent="0.25">
      <c r="E384" s="78"/>
    </row>
    <row r="385" spans="5:5" ht="14.25" customHeight="1" x14ac:dyDescent="0.25">
      <c r="E385" s="78"/>
    </row>
    <row r="386" spans="5:5" ht="14.25" customHeight="1" x14ac:dyDescent="0.25">
      <c r="E386" s="78"/>
    </row>
    <row r="387" spans="5:5" ht="14.25" customHeight="1" x14ac:dyDescent="0.25">
      <c r="E387" s="78"/>
    </row>
    <row r="388" spans="5:5" ht="14.25" customHeight="1" x14ac:dyDescent="0.25">
      <c r="E388" s="78"/>
    </row>
    <row r="389" spans="5:5" ht="14.25" customHeight="1" x14ac:dyDescent="0.25">
      <c r="E389" s="78"/>
    </row>
    <row r="390" spans="5:5" ht="14.25" customHeight="1" x14ac:dyDescent="0.25">
      <c r="E390" s="78"/>
    </row>
    <row r="391" spans="5:5" ht="14.25" customHeight="1" x14ac:dyDescent="0.25">
      <c r="E391" s="78"/>
    </row>
    <row r="392" spans="5:5" ht="14.25" customHeight="1" x14ac:dyDescent="0.25">
      <c r="E392" s="78"/>
    </row>
    <row r="393" spans="5:5" ht="14.25" customHeight="1" x14ac:dyDescent="0.25">
      <c r="E393" s="78"/>
    </row>
    <row r="394" spans="5:5" ht="14.25" customHeight="1" x14ac:dyDescent="0.25">
      <c r="E394" s="78"/>
    </row>
    <row r="395" spans="5:5" ht="14.25" customHeight="1" x14ac:dyDescent="0.25">
      <c r="E395" s="78"/>
    </row>
    <row r="396" spans="5:5" ht="14.25" customHeight="1" x14ac:dyDescent="0.25">
      <c r="E396" s="78"/>
    </row>
    <row r="397" spans="5:5" ht="14.25" customHeight="1" x14ac:dyDescent="0.25">
      <c r="E397" s="78"/>
    </row>
    <row r="398" spans="5:5" ht="14.25" customHeight="1" x14ac:dyDescent="0.25">
      <c r="E398" s="78"/>
    </row>
    <row r="399" spans="5:5" ht="14.25" customHeight="1" x14ac:dyDescent="0.25">
      <c r="E399" s="78"/>
    </row>
    <row r="400" spans="5:5" ht="14.25" customHeight="1" x14ac:dyDescent="0.25">
      <c r="E400" s="78"/>
    </row>
    <row r="401" spans="5:5" ht="14.25" customHeight="1" x14ac:dyDescent="0.25">
      <c r="E401" s="78"/>
    </row>
    <row r="402" spans="5:5" ht="14.25" customHeight="1" x14ac:dyDescent="0.25">
      <c r="E402" s="78"/>
    </row>
    <row r="403" spans="5:5" ht="14.25" customHeight="1" x14ac:dyDescent="0.25">
      <c r="E403" s="78"/>
    </row>
    <row r="404" spans="5:5" ht="14.25" customHeight="1" x14ac:dyDescent="0.25">
      <c r="E404" s="78"/>
    </row>
    <row r="405" spans="5:5" ht="14.25" customHeight="1" x14ac:dyDescent="0.25">
      <c r="E405" s="78"/>
    </row>
    <row r="406" spans="5:5" ht="14.25" customHeight="1" x14ac:dyDescent="0.25">
      <c r="E406" s="78"/>
    </row>
    <row r="407" spans="5:5" ht="14.25" customHeight="1" x14ac:dyDescent="0.25">
      <c r="E407" s="78"/>
    </row>
    <row r="408" spans="5:5" ht="14.25" customHeight="1" x14ac:dyDescent="0.25">
      <c r="E408" s="78"/>
    </row>
    <row r="409" spans="5:5" ht="14.25" customHeight="1" x14ac:dyDescent="0.25">
      <c r="E409" s="78"/>
    </row>
    <row r="410" spans="5:5" ht="14.25" customHeight="1" x14ac:dyDescent="0.25">
      <c r="E410" s="78"/>
    </row>
    <row r="411" spans="5:5" ht="14.25" customHeight="1" x14ac:dyDescent="0.25">
      <c r="E411" s="78"/>
    </row>
    <row r="412" spans="5:5" ht="14.25" customHeight="1" x14ac:dyDescent="0.25">
      <c r="E412" s="78"/>
    </row>
    <row r="413" spans="5:5" ht="14.25" customHeight="1" x14ac:dyDescent="0.25">
      <c r="E413" s="78"/>
    </row>
    <row r="414" spans="5:5" ht="14.25" customHeight="1" x14ac:dyDescent="0.25">
      <c r="E414" s="78"/>
    </row>
    <row r="415" spans="5:5" ht="14.25" customHeight="1" x14ac:dyDescent="0.25">
      <c r="E415" s="78"/>
    </row>
    <row r="416" spans="5:5" ht="14.25" customHeight="1" x14ac:dyDescent="0.25">
      <c r="E416" s="78"/>
    </row>
    <row r="417" spans="5:5" ht="14.25" customHeight="1" x14ac:dyDescent="0.25">
      <c r="E417" s="78"/>
    </row>
    <row r="418" spans="5:5" ht="14.25" customHeight="1" x14ac:dyDescent="0.25">
      <c r="E418" s="78"/>
    </row>
    <row r="419" spans="5:5" ht="14.25" customHeight="1" x14ac:dyDescent="0.25">
      <c r="E419" s="78"/>
    </row>
    <row r="420" spans="5:5" ht="14.25" customHeight="1" x14ac:dyDescent="0.25">
      <c r="E420" s="78"/>
    </row>
    <row r="421" spans="5:5" ht="14.25" customHeight="1" x14ac:dyDescent="0.25">
      <c r="E421" s="78"/>
    </row>
    <row r="422" spans="5:5" ht="14.25" customHeight="1" x14ac:dyDescent="0.25">
      <c r="E422" s="78"/>
    </row>
    <row r="423" spans="5:5" ht="14.25" customHeight="1" x14ac:dyDescent="0.25">
      <c r="E423" s="78"/>
    </row>
    <row r="424" spans="5:5" ht="14.25" customHeight="1" x14ac:dyDescent="0.25">
      <c r="E424" s="78"/>
    </row>
    <row r="425" spans="5:5" ht="14.25" customHeight="1" x14ac:dyDescent="0.25">
      <c r="E425" s="78"/>
    </row>
    <row r="426" spans="5:5" ht="14.25" customHeight="1" x14ac:dyDescent="0.25">
      <c r="E426" s="78"/>
    </row>
    <row r="427" spans="5:5" ht="14.25" customHeight="1" x14ac:dyDescent="0.25">
      <c r="E427" s="78"/>
    </row>
    <row r="428" spans="5:5" ht="14.25" customHeight="1" x14ac:dyDescent="0.25">
      <c r="E428" s="78"/>
    </row>
    <row r="429" spans="5:5" ht="14.25" customHeight="1" x14ac:dyDescent="0.25">
      <c r="E429" s="78"/>
    </row>
    <row r="430" spans="5:5" ht="14.25" customHeight="1" x14ac:dyDescent="0.25">
      <c r="E430" s="78"/>
    </row>
    <row r="431" spans="5:5" ht="14.25" customHeight="1" x14ac:dyDescent="0.25">
      <c r="E431" s="78"/>
    </row>
    <row r="432" spans="5:5" ht="14.25" customHeight="1" x14ac:dyDescent="0.25">
      <c r="E432" s="78"/>
    </row>
    <row r="433" spans="5:5" ht="14.25" customHeight="1" x14ac:dyDescent="0.25">
      <c r="E433" s="78"/>
    </row>
    <row r="434" spans="5:5" ht="14.25" customHeight="1" x14ac:dyDescent="0.25">
      <c r="E434" s="78"/>
    </row>
    <row r="435" spans="5:5" ht="14.25" customHeight="1" x14ac:dyDescent="0.25">
      <c r="E435" s="78"/>
    </row>
    <row r="436" spans="5:5" ht="14.25" customHeight="1" x14ac:dyDescent="0.25">
      <c r="E436" s="78"/>
    </row>
    <row r="437" spans="5:5" ht="14.25" customHeight="1" x14ac:dyDescent="0.25">
      <c r="E437" s="78"/>
    </row>
    <row r="438" spans="5:5" ht="14.25" customHeight="1" x14ac:dyDescent="0.25">
      <c r="E438" s="78"/>
    </row>
    <row r="439" spans="5:5" ht="14.25" customHeight="1" x14ac:dyDescent="0.25">
      <c r="E439" s="78"/>
    </row>
    <row r="440" spans="5:5" ht="14.25" customHeight="1" x14ac:dyDescent="0.25">
      <c r="E440" s="78"/>
    </row>
    <row r="441" spans="5:5" ht="14.25" customHeight="1" x14ac:dyDescent="0.25">
      <c r="E441" s="78"/>
    </row>
    <row r="442" spans="5:5" ht="14.25" customHeight="1" x14ac:dyDescent="0.25">
      <c r="E442" s="78"/>
    </row>
    <row r="443" spans="5:5" ht="14.25" customHeight="1" x14ac:dyDescent="0.25">
      <c r="E443" s="78"/>
    </row>
    <row r="444" spans="5:5" ht="14.25" customHeight="1" x14ac:dyDescent="0.25">
      <c r="E444" s="78"/>
    </row>
    <row r="445" spans="5:5" ht="14.25" customHeight="1" x14ac:dyDescent="0.25">
      <c r="E445" s="78"/>
    </row>
    <row r="446" spans="5:5" ht="14.25" customHeight="1" x14ac:dyDescent="0.25">
      <c r="E446" s="78"/>
    </row>
    <row r="447" spans="5:5" ht="14.25" customHeight="1" x14ac:dyDescent="0.25">
      <c r="E447" s="78"/>
    </row>
    <row r="448" spans="5:5" ht="14.25" customHeight="1" x14ac:dyDescent="0.25">
      <c r="E448" s="78"/>
    </row>
    <row r="449" spans="5:5" ht="14.25" customHeight="1" x14ac:dyDescent="0.25">
      <c r="E449" s="78"/>
    </row>
    <row r="450" spans="5:5" ht="14.25" customHeight="1" x14ac:dyDescent="0.25">
      <c r="E450" s="78"/>
    </row>
    <row r="451" spans="5:5" ht="14.25" customHeight="1" x14ac:dyDescent="0.25">
      <c r="E451" s="78"/>
    </row>
    <row r="452" spans="5:5" ht="14.25" customHeight="1" x14ac:dyDescent="0.25">
      <c r="E452" s="78"/>
    </row>
    <row r="453" spans="5:5" ht="14.25" customHeight="1" x14ac:dyDescent="0.25">
      <c r="E453" s="78"/>
    </row>
    <row r="454" spans="5:5" ht="14.25" customHeight="1" x14ac:dyDescent="0.25">
      <c r="E454" s="78"/>
    </row>
    <row r="455" spans="5:5" ht="14.25" customHeight="1" x14ac:dyDescent="0.25">
      <c r="E455" s="78"/>
    </row>
    <row r="456" spans="5:5" ht="14.25" customHeight="1" x14ac:dyDescent="0.25">
      <c r="E456" s="78"/>
    </row>
    <row r="457" spans="5:5" ht="14.25" customHeight="1" x14ac:dyDescent="0.25">
      <c r="E457" s="78"/>
    </row>
    <row r="458" spans="5:5" ht="14.25" customHeight="1" x14ac:dyDescent="0.25">
      <c r="E458" s="78"/>
    </row>
    <row r="459" spans="5:5" ht="14.25" customHeight="1" x14ac:dyDescent="0.25">
      <c r="E459" s="78"/>
    </row>
    <row r="460" spans="5:5" ht="14.25" customHeight="1" x14ac:dyDescent="0.25">
      <c r="E460" s="78"/>
    </row>
    <row r="461" spans="5:5" ht="14.25" customHeight="1" x14ac:dyDescent="0.25">
      <c r="E461" s="78"/>
    </row>
    <row r="462" spans="5:5" ht="14.25" customHeight="1" x14ac:dyDescent="0.25">
      <c r="E462" s="78"/>
    </row>
    <row r="463" spans="5:5" ht="14.25" customHeight="1" x14ac:dyDescent="0.25">
      <c r="E463" s="78"/>
    </row>
    <row r="464" spans="5:5" ht="14.25" customHeight="1" x14ac:dyDescent="0.25">
      <c r="E464" s="78"/>
    </row>
    <row r="465" spans="5:5" ht="14.25" customHeight="1" x14ac:dyDescent="0.25">
      <c r="E465" s="78"/>
    </row>
    <row r="466" spans="5:5" ht="14.25" customHeight="1" x14ac:dyDescent="0.25">
      <c r="E466" s="78"/>
    </row>
    <row r="467" spans="5:5" ht="14.25" customHeight="1" x14ac:dyDescent="0.25">
      <c r="E467" s="78"/>
    </row>
    <row r="468" spans="5:5" ht="14.25" customHeight="1" x14ac:dyDescent="0.25">
      <c r="E468" s="78"/>
    </row>
    <row r="469" spans="5:5" ht="14.25" customHeight="1" x14ac:dyDescent="0.25">
      <c r="E469" s="78"/>
    </row>
    <row r="470" spans="5:5" ht="14.25" customHeight="1" x14ac:dyDescent="0.25">
      <c r="E470" s="78"/>
    </row>
    <row r="471" spans="5:5" ht="14.25" customHeight="1" x14ac:dyDescent="0.25">
      <c r="E471" s="78"/>
    </row>
    <row r="472" spans="5:5" ht="14.25" customHeight="1" x14ac:dyDescent="0.25">
      <c r="E472" s="78"/>
    </row>
    <row r="473" spans="5:5" ht="14.25" customHeight="1" x14ac:dyDescent="0.25">
      <c r="E473" s="78"/>
    </row>
    <row r="474" spans="5:5" ht="14.25" customHeight="1" x14ac:dyDescent="0.25">
      <c r="E474" s="78"/>
    </row>
    <row r="475" spans="5:5" ht="14.25" customHeight="1" x14ac:dyDescent="0.25">
      <c r="E475" s="78"/>
    </row>
    <row r="476" spans="5:5" ht="14.25" customHeight="1" x14ac:dyDescent="0.25">
      <c r="E476" s="78"/>
    </row>
    <row r="477" spans="5:5" ht="14.25" customHeight="1" x14ac:dyDescent="0.25">
      <c r="E477" s="78"/>
    </row>
    <row r="478" spans="5:5" ht="14.25" customHeight="1" x14ac:dyDescent="0.25">
      <c r="E478" s="78"/>
    </row>
    <row r="479" spans="5:5" ht="14.25" customHeight="1" x14ac:dyDescent="0.25">
      <c r="E479" s="78"/>
    </row>
    <row r="480" spans="5:5" ht="14.25" customHeight="1" x14ac:dyDescent="0.25">
      <c r="E480" s="78"/>
    </row>
    <row r="481" spans="5:5" ht="14.25" customHeight="1" x14ac:dyDescent="0.25">
      <c r="E481" s="78"/>
    </row>
    <row r="482" spans="5:5" ht="14.25" customHeight="1" x14ac:dyDescent="0.25">
      <c r="E482" s="78"/>
    </row>
    <row r="483" spans="5:5" ht="14.25" customHeight="1" x14ac:dyDescent="0.25">
      <c r="E483" s="78"/>
    </row>
    <row r="484" spans="5:5" ht="14.25" customHeight="1" x14ac:dyDescent="0.25">
      <c r="E484" s="78"/>
    </row>
    <row r="485" spans="5:5" ht="14.25" customHeight="1" x14ac:dyDescent="0.25">
      <c r="E485" s="78"/>
    </row>
    <row r="486" spans="5:5" ht="14.25" customHeight="1" x14ac:dyDescent="0.25">
      <c r="E486" s="78"/>
    </row>
    <row r="487" spans="5:5" ht="14.25" customHeight="1" x14ac:dyDescent="0.25">
      <c r="E487" s="78"/>
    </row>
    <row r="488" spans="5:5" ht="14.25" customHeight="1" x14ac:dyDescent="0.25">
      <c r="E488" s="78"/>
    </row>
    <row r="489" spans="5:5" ht="14.25" customHeight="1" x14ac:dyDescent="0.25">
      <c r="E489" s="78"/>
    </row>
    <row r="490" spans="5:5" ht="14.25" customHeight="1" x14ac:dyDescent="0.25">
      <c r="E490" s="78"/>
    </row>
    <row r="491" spans="5:5" ht="14.25" customHeight="1" x14ac:dyDescent="0.25">
      <c r="E491" s="78"/>
    </row>
    <row r="492" spans="5:5" ht="14.25" customHeight="1" x14ac:dyDescent="0.25">
      <c r="E492" s="78"/>
    </row>
    <row r="493" spans="5:5" ht="14.25" customHeight="1" x14ac:dyDescent="0.25">
      <c r="E493" s="78"/>
    </row>
    <row r="494" spans="5:5" ht="14.25" customHeight="1" x14ac:dyDescent="0.25">
      <c r="E494" s="78"/>
    </row>
    <row r="495" spans="5:5" ht="14.25" customHeight="1" x14ac:dyDescent="0.25">
      <c r="E495" s="78"/>
    </row>
    <row r="496" spans="5:5" ht="14.25" customHeight="1" x14ac:dyDescent="0.25">
      <c r="E496" s="78"/>
    </row>
    <row r="497" spans="5:5" ht="14.25" customHeight="1" x14ac:dyDescent="0.25">
      <c r="E497" s="78"/>
    </row>
    <row r="498" spans="5:5" ht="14.25" customHeight="1" x14ac:dyDescent="0.25">
      <c r="E498" s="78"/>
    </row>
    <row r="499" spans="5:5" ht="14.25" customHeight="1" x14ac:dyDescent="0.25">
      <c r="E499" s="78"/>
    </row>
    <row r="500" spans="5:5" ht="14.25" customHeight="1" x14ac:dyDescent="0.25">
      <c r="E500" s="78"/>
    </row>
    <row r="501" spans="5:5" ht="14.25" customHeight="1" x14ac:dyDescent="0.25">
      <c r="E501" s="78"/>
    </row>
    <row r="502" spans="5:5" ht="14.25" customHeight="1" x14ac:dyDescent="0.25">
      <c r="E502" s="78"/>
    </row>
    <row r="503" spans="5:5" ht="14.25" customHeight="1" x14ac:dyDescent="0.25">
      <c r="E503" s="78"/>
    </row>
    <row r="504" spans="5:5" ht="14.25" customHeight="1" x14ac:dyDescent="0.25">
      <c r="E504" s="78"/>
    </row>
    <row r="505" spans="5:5" ht="14.25" customHeight="1" x14ac:dyDescent="0.25">
      <c r="E505" s="78"/>
    </row>
    <row r="506" spans="5:5" ht="14.25" customHeight="1" x14ac:dyDescent="0.25">
      <c r="E506" s="78"/>
    </row>
    <row r="507" spans="5:5" ht="14.25" customHeight="1" x14ac:dyDescent="0.25">
      <c r="E507" s="78"/>
    </row>
    <row r="508" spans="5:5" ht="14.25" customHeight="1" x14ac:dyDescent="0.25">
      <c r="E508" s="78"/>
    </row>
    <row r="509" spans="5:5" ht="14.25" customHeight="1" x14ac:dyDescent="0.25">
      <c r="E509" s="78"/>
    </row>
    <row r="510" spans="5:5" ht="14.25" customHeight="1" x14ac:dyDescent="0.25">
      <c r="E510" s="78"/>
    </row>
    <row r="511" spans="5:5" ht="14.25" customHeight="1" x14ac:dyDescent="0.25">
      <c r="E511" s="78"/>
    </row>
    <row r="512" spans="5:5" ht="14.25" customHeight="1" x14ac:dyDescent="0.25">
      <c r="E512" s="78"/>
    </row>
    <row r="513" spans="5:5" ht="14.25" customHeight="1" x14ac:dyDescent="0.25">
      <c r="E513" s="78"/>
    </row>
    <row r="514" spans="5:5" ht="14.25" customHeight="1" x14ac:dyDescent="0.25">
      <c r="E514" s="78"/>
    </row>
    <row r="515" spans="5:5" ht="14.25" customHeight="1" x14ac:dyDescent="0.25">
      <c r="E515" s="78"/>
    </row>
    <row r="516" spans="5:5" ht="14.25" customHeight="1" x14ac:dyDescent="0.25">
      <c r="E516" s="78"/>
    </row>
    <row r="517" spans="5:5" ht="14.25" customHeight="1" x14ac:dyDescent="0.25">
      <c r="E517" s="78"/>
    </row>
    <row r="518" spans="5:5" ht="14.25" customHeight="1" x14ac:dyDescent="0.25">
      <c r="E518" s="78"/>
    </row>
    <row r="519" spans="5:5" ht="14.25" customHeight="1" x14ac:dyDescent="0.25">
      <c r="E519" s="78"/>
    </row>
    <row r="520" spans="5:5" ht="14.25" customHeight="1" x14ac:dyDescent="0.25">
      <c r="E520" s="78"/>
    </row>
    <row r="521" spans="5:5" ht="14.25" customHeight="1" x14ac:dyDescent="0.25">
      <c r="E521" s="78"/>
    </row>
    <row r="522" spans="5:5" ht="14.25" customHeight="1" x14ac:dyDescent="0.25">
      <c r="E522" s="78"/>
    </row>
    <row r="523" spans="5:5" ht="14.25" customHeight="1" x14ac:dyDescent="0.25">
      <c r="E523" s="78"/>
    </row>
    <row r="524" spans="5:5" ht="14.25" customHeight="1" x14ac:dyDescent="0.25">
      <c r="E524" s="78"/>
    </row>
    <row r="525" spans="5:5" ht="14.25" customHeight="1" x14ac:dyDescent="0.25">
      <c r="E525" s="78"/>
    </row>
    <row r="526" spans="5:5" ht="14.25" customHeight="1" x14ac:dyDescent="0.25">
      <c r="E526" s="78"/>
    </row>
    <row r="527" spans="5:5" ht="14.25" customHeight="1" x14ac:dyDescent="0.25">
      <c r="E527" s="78"/>
    </row>
    <row r="528" spans="5:5" ht="14.25" customHeight="1" x14ac:dyDescent="0.25">
      <c r="E528" s="78"/>
    </row>
    <row r="529" spans="5:5" ht="14.25" customHeight="1" x14ac:dyDescent="0.25">
      <c r="E529" s="78"/>
    </row>
    <row r="530" spans="5:5" ht="14.25" customHeight="1" x14ac:dyDescent="0.25">
      <c r="E530" s="78"/>
    </row>
    <row r="531" spans="5:5" ht="14.25" customHeight="1" x14ac:dyDescent="0.25">
      <c r="E531" s="78"/>
    </row>
    <row r="532" spans="5:5" ht="14.25" customHeight="1" x14ac:dyDescent="0.25">
      <c r="E532" s="78"/>
    </row>
    <row r="533" spans="5:5" ht="14.25" customHeight="1" x14ac:dyDescent="0.25">
      <c r="E533" s="78"/>
    </row>
    <row r="534" spans="5:5" ht="14.25" customHeight="1" x14ac:dyDescent="0.25">
      <c r="E534" s="78"/>
    </row>
    <row r="535" spans="5:5" ht="14.25" customHeight="1" x14ac:dyDescent="0.25">
      <c r="E535" s="78"/>
    </row>
    <row r="536" spans="5:5" ht="14.25" customHeight="1" x14ac:dyDescent="0.25">
      <c r="E536" s="78"/>
    </row>
    <row r="537" spans="5:5" ht="14.25" customHeight="1" x14ac:dyDescent="0.25">
      <c r="E537" s="78"/>
    </row>
    <row r="538" spans="5:5" ht="14.25" customHeight="1" x14ac:dyDescent="0.25">
      <c r="E538" s="78"/>
    </row>
    <row r="539" spans="5:5" ht="14.25" customHeight="1" x14ac:dyDescent="0.25">
      <c r="E539" s="78"/>
    </row>
    <row r="540" spans="5:5" ht="14.25" customHeight="1" x14ac:dyDescent="0.25">
      <c r="E540" s="78"/>
    </row>
    <row r="541" spans="5:5" ht="14.25" customHeight="1" x14ac:dyDescent="0.25">
      <c r="E541" s="78"/>
    </row>
    <row r="542" spans="5:5" ht="14.25" customHeight="1" x14ac:dyDescent="0.25">
      <c r="E542" s="78"/>
    </row>
    <row r="543" spans="5:5" ht="14.25" customHeight="1" x14ac:dyDescent="0.25">
      <c r="E543" s="78"/>
    </row>
    <row r="544" spans="5:5" ht="14.25" customHeight="1" x14ac:dyDescent="0.25">
      <c r="E544" s="78"/>
    </row>
    <row r="545" spans="5:5" ht="14.25" customHeight="1" x14ac:dyDescent="0.25">
      <c r="E545" s="78"/>
    </row>
    <row r="546" spans="5:5" ht="14.25" customHeight="1" x14ac:dyDescent="0.25">
      <c r="E546" s="78"/>
    </row>
    <row r="547" spans="5:5" ht="14.25" customHeight="1" x14ac:dyDescent="0.25">
      <c r="E547" s="78"/>
    </row>
    <row r="548" spans="5:5" ht="14.25" customHeight="1" x14ac:dyDescent="0.25">
      <c r="E548" s="78"/>
    </row>
    <row r="549" spans="5:5" ht="14.25" customHeight="1" x14ac:dyDescent="0.25">
      <c r="E549" s="78"/>
    </row>
    <row r="550" spans="5:5" ht="14.25" customHeight="1" x14ac:dyDescent="0.25">
      <c r="E550" s="78"/>
    </row>
    <row r="551" spans="5:5" ht="14.25" customHeight="1" x14ac:dyDescent="0.25">
      <c r="E551" s="78"/>
    </row>
    <row r="552" spans="5:5" ht="14.25" customHeight="1" x14ac:dyDescent="0.25">
      <c r="E552" s="78"/>
    </row>
    <row r="553" spans="5:5" ht="14.25" customHeight="1" x14ac:dyDescent="0.25">
      <c r="E553" s="78"/>
    </row>
    <row r="554" spans="5:5" ht="14.25" customHeight="1" x14ac:dyDescent="0.25">
      <c r="E554" s="78"/>
    </row>
    <row r="555" spans="5:5" ht="14.25" customHeight="1" x14ac:dyDescent="0.25">
      <c r="E555" s="78"/>
    </row>
    <row r="556" spans="5:5" ht="14.25" customHeight="1" x14ac:dyDescent="0.25">
      <c r="E556" s="78"/>
    </row>
    <row r="557" spans="5:5" ht="14.25" customHeight="1" x14ac:dyDescent="0.25">
      <c r="E557" s="78"/>
    </row>
    <row r="558" spans="5:5" ht="14.25" customHeight="1" x14ac:dyDescent="0.25">
      <c r="E558" s="78"/>
    </row>
    <row r="559" spans="5:5" ht="14.25" customHeight="1" x14ac:dyDescent="0.25">
      <c r="E559" s="78"/>
    </row>
    <row r="560" spans="5:5" ht="14.25" customHeight="1" x14ac:dyDescent="0.25">
      <c r="E560" s="78"/>
    </row>
    <row r="561" spans="5:5" ht="14.25" customHeight="1" x14ac:dyDescent="0.25">
      <c r="E561" s="78"/>
    </row>
    <row r="562" spans="5:5" ht="14.25" customHeight="1" x14ac:dyDescent="0.25">
      <c r="E562" s="78"/>
    </row>
    <row r="563" spans="5:5" ht="14.25" customHeight="1" x14ac:dyDescent="0.25">
      <c r="E563" s="78"/>
    </row>
    <row r="564" spans="5:5" ht="14.25" customHeight="1" x14ac:dyDescent="0.25">
      <c r="E564" s="78"/>
    </row>
    <row r="565" spans="5:5" ht="14.25" customHeight="1" x14ac:dyDescent="0.25">
      <c r="E565" s="78"/>
    </row>
    <row r="566" spans="5:5" ht="14.25" customHeight="1" x14ac:dyDescent="0.25">
      <c r="E566" s="78"/>
    </row>
    <row r="567" spans="5:5" ht="14.25" customHeight="1" x14ac:dyDescent="0.25">
      <c r="E567" s="78"/>
    </row>
    <row r="568" spans="5:5" ht="14.25" customHeight="1" x14ac:dyDescent="0.25">
      <c r="E568" s="78"/>
    </row>
    <row r="569" spans="5:5" ht="14.25" customHeight="1" x14ac:dyDescent="0.25">
      <c r="E569" s="78"/>
    </row>
    <row r="570" spans="5:5" ht="14.25" customHeight="1" x14ac:dyDescent="0.25">
      <c r="E570" s="78"/>
    </row>
    <row r="571" spans="5:5" ht="14.25" customHeight="1" x14ac:dyDescent="0.25">
      <c r="E571" s="78"/>
    </row>
    <row r="572" spans="5:5" ht="14.25" customHeight="1" x14ac:dyDescent="0.25">
      <c r="E572" s="78"/>
    </row>
    <row r="573" spans="5:5" ht="14.25" customHeight="1" x14ac:dyDescent="0.25">
      <c r="E573" s="78"/>
    </row>
    <row r="574" spans="5:5" ht="14.25" customHeight="1" x14ac:dyDescent="0.25">
      <c r="E574" s="78"/>
    </row>
    <row r="575" spans="5:5" ht="14.25" customHeight="1" x14ac:dyDescent="0.25">
      <c r="E575" s="78"/>
    </row>
    <row r="576" spans="5:5" ht="14.25" customHeight="1" x14ac:dyDescent="0.25">
      <c r="E576" s="78"/>
    </row>
    <row r="577" spans="5:5" ht="14.25" customHeight="1" x14ac:dyDescent="0.25">
      <c r="E577" s="78"/>
    </row>
    <row r="578" spans="5:5" ht="14.25" customHeight="1" x14ac:dyDescent="0.25">
      <c r="E578" s="78"/>
    </row>
    <row r="579" spans="5:5" ht="14.25" customHeight="1" x14ac:dyDescent="0.25">
      <c r="E579" s="78"/>
    </row>
    <row r="580" spans="5:5" ht="14.25" customHeight="1" x14ac:dyDescent="0.25">
      <c r="E580" s="78"/>
    </row>
    <row r="581" spans="5:5" ht="14.25" customHeight="1" x14ac:dyDescent="0.25">
      <c r="E581" s="78"/>
    </row>
    <row r="582" spans="5:5" ht="14.25" customHeight="1" x14ac:dyDescent="0.25">
      <c r="E582" s="78"/>
    </row>
    <row r="583" spans="5:5" ht="14.25" customHeight="1" x14ac:dyDescent="0.25">
      <c r="E583" s="78"/>
    </row>
    <row r="584" spans="5:5" ht="14.25" customHeight="1" x14ac:dyDescent="0.25">
      <c r="E584" s="78"/>
    </row>
    <row r="585" spans="5:5" ht="14.25" customHeight="1" x14ac:dyDescent="0.25">
      <c r="E585" s="78"/>
    </row>
    <row r="586" spans="5:5" ht="14.25" customHeight="1" x14ac:dyDescent="0.25">
      <c r="E586" s="78"/>
    </row>
    <row r="587" spans="5:5" ht="14.25" customHeight="1" x14ac:dyDescent="0.25">
      <c r="E587" s="78"/>
    </row>
    <row r="588" spans="5:5" ht="14.25" customHeight="1" x14ac:dyDescent="0.25">
      <c r="E588" s="78"/>
    </row>
    <row r="589" spans="5:5" ht="14.25" customHeight="1" x14ac:dyDescent="0.25">
      <c r="E589" s="78"/>
    </row>
    <row r="590" spans="5:5" ht="14.25" customHeight="1" x14ac:dyDescent="0.25">
      <c r="E590" s="78"/>
    </row>
    <row r="591" spans="5:5" ht="14.25" customHeight="1" x14ac:dyDescent="0.25">
      <c r="E591" s="78"/>
    </row>
    <row r="592" spans="5:5" ht="14.25" customHeight="1" x14ac:dyDescent="0.25">
      <c r="E592" s="78"/>
    </row>
    <row r="593" spans="5:5" ht="14.25" customHeight="1" x14ac:dyDescent="0.25">
      <c r="E593" s="78"/>
    </row>
    <row r="594" spans="5:5" ht="14.25" customHeight="1" x14ac:dyDescent="0.25">
      <c r="E594" s="78"/>
    </row>
    <row r="595" spans="5:5" ht="14.25" customHeight="1" x14ac:dyDescent="0.25">
      <c r="E595" s="78"/>
    </row>
    <row r="596" spans="5:5" ht="14.25" customHeight="1" x14ac:dyDescent="0.25">
      <c r="E596" s="78"/>
    </row>
    <row r="597" spans="5:5" ht="14.25" customHeight="1" x14ac:dyDescent="0.25">
      <c r="E597" s="78"/>
    </row>
    <row r="598" spans="5:5" ht="14.25" customHeight="1" x14ac:dyDescent="0.25">
      <c r="E598" s="78"/>
    </row>
    <row r="599" spans="5:5" ht="14.25" customHeight="1" x14ac:dyDescent="0.25">
      <c r="E599" s="78"/>
    </row>
    <row r="600" spans="5:5" ht="14.25" customHeight="1" x14ac:dyDescent="0.25">
      <c r="E600" s="78"/>
    </row>
    <row r="601" spans="5:5" ht="14.25" customHeight="1" x14ac:dyDescent="0.25">
      <c r="E601" s="78"/>
    </row>
    <row r="602" spans="5:5" ht="14.25" customHeight="1" x14ac:dyDescent="0.25">
      <c r="E602" s="78"/>
    </row>
    <row r="603" spans="5:5" ht="14.25" customHeight="1" x14ac:dyDescent="0.25">
      <c r="E603" s="78"/>
    </row>
    <row r="604" spans="5:5" ht="14.25" customHeight="1" x14ac:dyDescent="0.25">
      <c r="E604" s="78"/>
    </row>
    <row r="605" spans="5:5" ht="14.25" customHeight="1" x14ac:dyDescent="0.25">
      <c r="E605" s="78"/>
    </row>
    <row r="606" spans="5:5" ht="14.25" customHeight="1" x14ac:dyDescent="0.25">
      <c r="E606" s="78"/>
    </row>
    <row r="607" spans="5:5" ht="14.25" customHeight="1" x14ac:dyDescent="0.25">
      <c r="E607" s="78"/>
    </row>
    <row r="608" spans="5:5" ht="14.25" customHeight="1" x14ac:dyDescent="0.25">
      <c r="E608" s="78"/>
    </row>
    <row r="609" spans="5:5" ht="14.25" customHeight="1" x14ac:dyDescent="0.25">
      <c r="E609" s="78"/>
    </row>
    <row r="610" spans="5:5" ht="14.25" customHeight="1" x14ac:dyDescent="0.25">
      <c r="E610" s="78"/>
    </row>
    <row r="611" spans="5:5" ht="14.25" customHeight="1" x14ac:dyDescent="0.25">
      <c r="E611" s="78"/>
    </row>
    <row r="612" spans="5:5" ht="14.25" customHeight="1" x14ac:dyDescent="0.25">
      <c r="E612" s="78"/>
    </row>
    <row r="613" spans="5:5" ht="14.25" customHeight="1" x14ac:dyDescent="0.25">
      <c r="E613" s="78"/>
    </row>
    <row r="614" spans="5:5" ht="14.25" customHeight="1" x14ac:dyDescent="0.25">
      <c r="E614" s="78"/>
    </row>
    <row r="615" spans="5:5" ht="14.25" customHeight="1" x14ac:dyDescent="0.25">
      <c r="E615" s="78"/>
    </row>
    <row r="616" spans="5:5" ht="14.25" customHeight="1" x14ac:dyDescent="0.25">
      <c r="E616" s="78"/>
    </row>
    <row r="617" spans="5:5" ht="14.25" customHeight="1" x14ac:dyDescent="0.25">
      <c r="E617" s="78"/>
    </row>
    <row r="618" spans="5:5" ht="14.25" customHeight="1" x14ac:dyDescent="0.25">
      <c r="E618" s="78"/>
    </row>
    <row r="619" spans="5:5" ht="14.25" customHeight="1" x14ac:dyDescent="0.25">
      <c r="E619" s="78"/>
    </row>
    <row r="620" spans="5:5" ht="14.25" customHeight="1" x14ac:dyDescent="0.25">
      <c r="E620" s="78"/>
    </row>
    <row r="621" spans="5:5" ht="14.25" customHeight="1" x14ac:dyDescent="0.25">
      <c r="E621" s="78"/>
    </row>
    <row r="622" spans="5:5" ht="14.25" customHeight="1" x14ac:dyDescent="0.25">
      <c r="E622" s="78"/>
    </row>
    <row r="623" spans="5:5" ht="14.25" customHeight="1" x14ac:dyDescent="0.25">
      <c r="E623" s="78"/>
    </row>
    <row r="624" spans="5:5" ht="14.25" customHeight="1" x14ac:dyDescent="0.25">
      <c r="E624" s="78"/>
    </row>
    <row r="625" spans="5:5" ht="14.25" customHeight="1" x14ac:dyDescent="0.25">
      <c r="E625" s="78"/>
    </row>
    <row r="626" spans="5:5" ht="14.25" customHeight="1" x14ac:dyDescent="0.25">
      <c r="E626" s="78"/>
    </row>
    <row r="627" spans="5:5" ht="14.25" customHeight="1" x14ac:dyDescent="0.25">
      <c r="E627" s="78"/>
    </row>
    <row r="628" spans="5:5" ht="14.25" customHeight="1" x14ac:dyDescent="0.25">
      <c r="E628" s="78"/>
    </row>
    <row r="629" spans="5:5" ht="14.25" customHeight="1" x14ac:dyDescent="0.25">
      <c r="E629" s="78"/>
    </row>
    <row r="630" spans="5:5" ht="14.25" customHeight="1" x14ac:dyDescent="0.25">
      <c r="E630" s="78"/>
    </row>
    <row r="631" spans="5:5" ht="14.25" customHeight="1" x14ac:dyDescent="0.25">
      <c r="E631" s="78"/>
    </row>
    <row r="632" spans="5:5" ht="14.25" customHeight="1" x14ac:dyDescent="0.25">
      <c r="E632" s="78"/>
    </row>
    <row r="633" spans="5:5" ht="14.25" customHeight="1" x14ac:dyDescent="0.25">
      <c r="E633" s="78"/>
    </row>
    <row r="634" spans="5:5" ht="14.25" customHeight="1" x14ac:dyDescent="0.25">
      <c r="E634" s="78"/>
    </row>
    <row r="635" spans="5:5" ht="14.25" customHeight="1" x14ac:dyDescent="0.25">
      <c r="E635" s="78"/>
    </row>
    <row r="636" spans="5:5" ht="14.25" customHeight="1" x14ac:dyDescent="0.25">
      <c r="E636" s="78"/>
    </row>
    <row r="637" spans="5:5" ht="14.25" customHeight="1" x14ac:dyDescent="0.25">
      <c r="E637" s="78"/>
    </row>
    <row r="638" spans="5:5" ht="14.25" customHeight="1" x14ac:dyDescent="0.25">
      <c r="E638" s="78"/>
    </row>
    <row r="639" spans="5:5" ht="14.25" customHeight="1" x14ac:dyDescent="0.25">
      <c r="E639" s="78"/>
    </row>
    <row r="640" spans="5:5" ht="14.25" customHeight="1" x14ac:dyDescent="0.25">
      <c r="E640" s="78"/>
    </row>
    <row r="641" spans="5:5" ht="14.25" customHeight="1" x14ac:dyDescent="0.25">
      <c r="E641" s="78"/>
    </row>
    <row r="642" spans="5:5" ht="14.25" customHeight="1" x14ac:dyDescent="0.25">
      <c r="E642" s="78"/>
    </row>
    <row r="643" spans="5:5" ht="14.25" customHeight="1" x14ac:dyDescent="0.25">
      <c r="E643" s="78"/>
    </row>
    <row r="644" spans="5:5" ht="14.25" customHeight="1" x14ac:dyDescent="0.25">
      <c r="E644" s="78"/>
    </row>
    <row r="645" spans="5:5" ht="14.25" customHeight="1" x14ac:dyDescent="0.25">
      <c r="E645" s="78"/>
    </row>
    <row r="646" spans="5:5" ht="14.25" customHeight="1" x14ac:dyDescent="0.25">
      <c r="E646" s="78"/>
    </row>
    <row r="647" spans="5:5" ht="14.25" customHeight="1" x14ac:dyDescent="0.25">
      <c r="E647" s="78"/>
    </row>
    <row r="648" spans="5:5" ht="14.25" customHeight="1" x14ac:dyDescent="0.25">
      <c r="E648" s="78"/>
    </row>
    <row r="649" spans="5:5" ht="14.25" customHeight="1" x14ac:dyDescent="0.25">
      <c r="E649" s="78"/>
    </row>
    <row r="650" spans="5:5" ht="14.25" customHeight="1" x14ac:dyDescent="0.25">
      <c r="E650" s="78"/>
    </row>
    <row r="651" spans="5:5" ht="14.25" customHeight="1" x14ac:dyDescent="0.25">
      <c r="E651" s="78"/>
    </row>
    <row r="652" spans="5:5" ht="14.25" customHeight="1" x14ac:dyDescent="0.25">
      <c r="E652" s="78"/>
    </row>
    <row r="653" spans="5:5" ht="14.25" customHeight="1" x14ac:dyDescent="0.25">
      <c r="E653" s="78"/>
    </row>
    <row r="654" spans="5:5" ht="14.25" customHeight="1" x14ac:dyDescent="0.25">
      <c r="E654" s="78"/>
    </row>
    <row r="655" spans="5:5" ht="14.25" customHeight="1" x14ac:dyDescent="0.25">
      <c r="E655" s="78"/>
    </row>
    <row r="656" spans="5:5" ht="14.25" customHeight="1" x14ac:dyDescent="0.25">
      <c r="E656" s="78"/>
    </row>
    <row r="657" spans="5:5" ht="14.25" customHeight="1" x14ac:dyDescent="0.25">
      <c r="E657" s="78"/>
    </row>
    <row r="658" spans="5:5" ht="14.25" customHeight="1" x14ac:dyDescent="0.25">
      <c r="E658" s="78"/>
    </row>
    <row r="659" spans="5:5" ht="14.25" customHeight="1" x14ac:dyDescent="0.25">
      <c r="E659" s="78"/>
    </row>
    <row r="660" spans="5:5" ht="14.25" customHeight="1" x14ac:dyDescent="0.25">
      <c r="E660" s="78"/>
    </row>
    <row r="661" spans="5:5" ht="14.25" customHeight="1" x14ac:dyDescent="0.25">
      <c r="E661" s="78"/>
    </row>
    <row r="662" spans="5:5" ht="14.25" customHeight="1" x14ac:dyDescent="0.25">
      <c r="E662" s="78"/>
    </row>
    <row r="663" spans="5:5" ht="14.25" customHeight="1" x14ac:dyDescent="0.25">
      <c r="E663" s="78"/>
    </row>
    <row r="664" spans="5:5" ht="14.25" customHeight="1" x14ac:dyDescent="0.25">
      <c r="E664" s="78"/>
    </row>
    <row r="665" spans="5:5" ht="14.25" customHeight="1" x14ac:dyDescent="0.25">
      <c r="E665" s="78"/>
    </row>
    <row r="666" spans="5:5" ht="14.25" customHeight="1" x14ac:dyDescent="0.25">
      <c r="E666" s="78"/>
    </row>
    <row r="667" spans="5:5" ht="14.25" customHeight="1" x14ac:dyDescent="0.25">
      <c r="E667" s="78"/>
    </row>
    <row r="668" spans="5:5" ht="14.25" customHeight="1" x14ac:dyDescent="0.25">
      <c r="E668" s="78"/>
    </row>
    <row r="669" spans="5:5" ht="14.25" customHeight="1" x14ac:dyDescent="0.25">
      <c r="E669" s="78"/>
    </row>
    <row r="670" spans="5:5" ht="14.25" customHeight="1" x14ac:dyDescent="0.25">
      <c r="E670" s="78"/>
    </row>
    <row r="671" spans="5:5" ht="14.25" customHeight="1" x14ac:dyDescent="0.25">
      <c r="E671" s="78"/>
    </row>
    <row r="672" spans="5:5" ht="14.25" customHeight="1" x14ac:dyDescent="0.25">
      <c r="E672" s="78"/>
    </row>
    <row r="673" spans="5:5" ht="14.25" customHeight="1" x14ac:dyDescent="0.25">
      <c r="E673" s="78"/>
    </row>
    <row r="674" spans="5:5" ht="14.25" customHeight="1" x14ac:dyDescent="0.25">
      <c r="E674" s="78"/>
    </row>
    <row r="675" spans="5:5" ht="14.25" customHeight="1" x14ac:dyDescent="0.25">
      <c r="E675" s="78"/>
    </row>
    <row r="676" spans="5:5" ht="14.25" customHeight="1" x14ac:dyDescent="0.25">
      <c r="E676" s="78"/>
    </row>
    <row r="677" spans="5:5" ht="14.25" customHeight="1" x14ac:dyDescent="0.25">
      <c r="E677" s="78"/>
    </row>
    <row r="678" spans="5:5" ht="14.25" customHeight="1" x14ac:dyDescent="0.25">
      <c r="E678" s="78"/>
    </row>
    <row r="679" spans="5:5" ht="14.25" customHeight="1" x14ac:dyDescent="0.25">
      <c r="E679" s="78"/>
    </row>
    <row r="680" spans="5:5" ht="14.25" customHeight="1" x14ac:dyDescent="0.25">
      <c r="E680" s="78"/>
    </row>
    <row r="681" spans="5:5" ht="14.25" customHeight="1" x14ac:dyDescent="0.25">
      <c r="E681" s="78"/>
    </row>
    <row r="682" spans="5:5" ht="14.25" customHeight="1" x14ac:dyDescent="0.25">
      <c r="E682" s="78"/>
    </row>
    <row r="683" spans="5:5" ht="14.25" customHeight="1" x14ac:dyDescent="0.25">
      <c r="E683" s="78"/>
    </row>
    <row r="684" spans="5:5" ht="14.25" customHeight="1" x14ac:dyDescent="0.25">
      <c r="E684" s="78"/>
    </row>
    <row r="685" spans="5:5" ht="14.25" customHeight="1" x14ac:dyDescent="0.25">
      <c r="E685" s="78"/>
    </row>
    <row r="686" spans="5:5" ht="14.25" customHeight="1" x14ac:dyDescent="0.25">
      <c r="E686" s="78"/>
    </row>
    <row r="687" spans="5:5" ht="14.25" customHeight="1" x14ac:dyDescent="0.25">
      <c r="E687" s="78"/>
    </row>
    <row r="688" spans="5:5" ht="14.25" customHeight="1" x14ac:dyDescent="0.25">
      <c r="E688" s="78"/>
    </row>
    <row r="689" spans="5:5" ht="14.25" customHeight="1" x14ac:dyDescent="0.25">
      <c r="E689" s="78"/>
    </row>
    <row r="690" spans="5:5" ht="14.25" customHeight="1" x14ac:dyDescent="0.25">
      <c r="E690" s="78"/>
    </row>
    <row r="691" spans="5:5" ht="14.25" customHeight="1" x14ac:dyDescent="0.25">
      <c r="E691" s="78"/>
    </row>
    <row r="692" spans="5:5" ht="14.25" customHeight="1" x14ac:dyDescent="0.25">
      <c r="E692" s="78"/>
    </row>
    <row r="693" spans="5:5" ht="14.25" customHeight="1" x14ac:dyDescent="0.25">
      <c r="E693" s="78"/>
    </row>
    <row r="694" spans="5:5" ht="14.25" customHeight="1" x14ac:dyDescent="0.25">
      <c r="E694" s="78"/>
    </row>
    <row r="695" spans="5:5" ht="14.25" customHeight="1" x14ac:dyDescent="0.25">
      <c r="E695" s="78"/>
    </row>
    <row r="696" spans="5:5" ht="14.25" customHeight="1" x14ac:dyDescent="0.25">
      <c r="E696" s="78"/>
    </row>
    <row r="697" spans="5:5" ht="14.25" customHeight="1" x14ac:dyDescent="0.25">
      <c r="E697" s="78"/>
    </row>
    <row r="698" spans="5:5" ht="14.25" customHeight="1" x14ac:dyDescent="0.25">
      <c r="E698" s="78"/>
    </row>
    <row r="699" spans="5:5" ht="14.25" customHeight="1" x14ac:dyDescent="0.25">
      <c r="E699" s="78"/>
    </row>
    <row r="700" spans="5:5" ht="14.25" customHeight="1" x14ac:dyDescent="0.25">
      <c r="E700" s="78"/>
    </row>
    <row r="701" spans="5:5" ht="14.25" customHeight="1" x14ac:dyDescent="0.25">
      <c r="E701" s="78"/>
    </row>
    <row r="702" spans="5:5" ht="14.25" customHeight="1" x14ac:dyDescent="0.25">
      <c r="E702" s="78"/>
    </row>
    <row r="703" spans="5:5" ht="14.25" customHeight="1" x14ac:dyDescent="0.25">
      <c r="E703" s="78"/>
    </row>
    <row r="704" spans="5:5" ht="14.25" customHeight="1" x14ac:dyDescent="0.25">
      <c r="E704" s="78"/>
    </row>
    <row r="705" spans="5:5" ht="14.25" customHeight="1" x14ac:dyDescent="0.25">
      <c r="E705" s="78"/>
    </row>
    <row r="706" spans="5:5" ht="14.25" customHeight="1" x14ac:dyDescent="0.25">
      <c r="E706" s="78"/>
    </row>
    <row r="707" spans="5:5" ht="14.25" customHeight="1" x14ac:dyDescent="0.25">
      <c r="E707" s="78"/>
    </row>
    <row r="708" spans="5:5" ht="14.25" customHeight="1" x14ac:dyDescent="0.25">
      <c r="E708" s="78"/>
    </row>
    <row r="709" spans="5:5" ht="14.25" customHeight="1" x14ac:dyDescent="0.25">
      <c r="E709" s="78"/>
    </row>
    <row r="710" spans="5:5" ht="14.25" customHeight="1" x14ac:dyDescent="0.25">
      <c r="E710" s="78"/>
    </row>
    <row r="711" spans="5:5" ht="14.25" customHeight="1" x14ac:dyDescent="0.25">
      <c r="E711" s="78"/>
    </row>
    <row r="712" spans="5:5" ht="14.25" customHeight="1" x14ac:dyDescent="0.25">
      <c r="E712" s="78"/>
    </row>
    <row r="713" spans="5:5" ht="14.25" customHeight="1" x14ac:dyDescent="0.25">
      <c r="E713" s="78"/>
    </row>
    <row r="714" spans="5:5" ht="14.25" customHeight="1" x14ac:dyDescent="0.25">
      <c r="E714" s="78"/>
    </row>
    <row r="715" spans="5:5" ht="14.25" customHeight="1" x14ac:dyDescent="0.25">
      <c r="E715" s="78"/>
    </row>
    <row r="716" spans="5:5" ht="14.25" customHeight="1" x14ac:dyDescent="0.25">
      <c r="E716" s="78"/>
    </row>
    <row r="717" spans="5:5" ht="14.25" customHeight="1" x14ac:dyDescent="0.25">
      <c r="E717" s="78"/>
    </row>
    <row r="718" spans="5:5" ht="14.25" customHeight="1" x14ac:dyDescent="0.25">
      <c r="E718" s="78"/>
    </row>
    <row r="719" spans="5:5" ht="14.25" customHeight="1" x14ac:dyDescent="0.25">
      <c r="E719" s="78"/>
    </row>
    <row r="720" spans="5:5" ht="14.25" customHeight="1" x14ac:dyDescent="0.25">
      <c r="E720" s="78"/>
    </row>
    <row r="721" spans="5:5" ht="14.25" customHeight="1" x14ac:dyDescent="0.25">
      <c r="E721" s="78"/>
    </row>
    <row r="722" spans="5:5" ht="14.25" customHeight="1" x14ac:dyDescent="0.25">
      <c r="E722" s="78"/>
    </row>
    <row r="723" spans="5:5" ht="14.25" customHeight="1" x14ac:dyDescent="0.25">
      <c r="E723" s="78"/>
    </row>
    <row r="724" spans="5:5" ht="14.25" customHeight="1" x14ac:dyDescent="0.25">
      <c r="E724" s="78"/>
    </row>
    <row r="725" spans="5:5" ht="14.25" customHeight="1" x14ac:dyDescent="0.25">
      <c r="E725" s="78"/>
    </row>
    <row r="726" spans="5:5" ht="14.25" customHeight="1" x14ac:dyDescent="0.25">
      <c r="E726" s="78"/>
    </row>
    <row r="727" spans="5:5" ht="14.25" customHeight="1" x14ac:dyDescent="0.25">
      <c r="E727" s="78"/>
    </row>
    <row r="728" spans="5:5" ht="14.25" customHeight="1" x14ac:dyDescent="0.25">
      <c r="E728" s="78"/>
    </row>
    <row r="729" spans="5:5" ht="14.25" customHeight="1" x14ac:dyDescent="0.25">
      <c r="E729" s="78"/>
    </row>
    <row r="730" spans="5:5" ht="14.25" customHeight="1" x14ac:dyDescent="0.25">
      <c r="E730" s="78"/>
    </row>
    <row r="731" spans="5:5" ht="14.25" customHeight="1" x14ac:dyDescent="0.25">
      <c r="E731" s="78"/>
    </row>
    <row r="732" spans="5:5" ht="14.25" customHeight="1" x14ac:dyDescent="0.25">
      <c r="E732" s="78"/>
    </row>
    <row r="733" spans="5:5" ht="14.25" customHeight="1" x14ac:dyDescent="0.25">
      <c r="E733" s="78"/>
    </row>
    <row r="734" spans="5:5" ht="14.25" customHeight="1" x14ac:dyDescent="0.25">
      <c r="E734" s="78"/>
    </row>
    <row r="735" spans="5:5" ht="14.25" customHeight="1" x14ac:dyDescent="0.25">
      <c r="E735" s="78"/>
    </row>
    <row r="736" spans="5:5" ht="14.25" customHeight="1" x14ac:dyDescent="0.25">
      <c r="E736" s="78"/>
    </row>
    <row r="737" spans="5:5" ht="14.25" customHeight="1" x14ac:dyDescent="0.25">
      <c r="E737" s="78"/>
    </row>
    <row r="738" spans="5:5" ht="14.25" customHeight="1" x14ac:dyDescent="0.25">
      <c r="E738" s="78"/>
    </row>
    <row r="739" spans="5:5" ht="14.25" customHeight="1" x14ac:dyDescent="0.25">
      <c r="E739" s="78"/>
    </row>
    <row r="740" spans="5:5" ht="14.25" customHeight="1" x14ac:dyDescent="0.25">
      <c r="E740" s="78"/>
    </row>
    <row r="741" spans="5:5" ht="14.25" customHeight="1" x14ac:dyDescent="0.25">
      <c r="E741" s="78"/>
    </row>
    <row r="742" spans="5:5" ht="14.25" customHeight="1" x14ac:dyDescent="0.25">
      <c r="E742" s="78"/>
    </row>
    <row r="743" spans="5:5" ht="14.25" customHeight="1" x14ac:dyDescent="0.25">
      <c r="E743" s="78"/>
    </row>
    <row r="744" spans="5:5" ht="14.25" customHeight="1" x14ac:dyDescent="0.25">
      <c r="E744" s="78"/>
    </row>
    <row r="745" spans="5:5" ht="14.25" customHeight="1" x14ac:dyDescent="0.25">
      <c r="E745" s="78"/>
    </row>
    <row r="746" spans="5:5" ht="14.25" customHeight="1" x14ac:dyDescent="0.25">
      <c r="E746" s="78"/>
    </row>
    <row r="747" spans="5:5" ht="14.25" customHeight="1" x14ac:dyDescent="0.25">
      <c r="E747" s="78"/>
    </row>
    <row r="748" spans="5:5" ht="14.25" customHeight="1" x14ac:dyDescent="0.25">
      <c r="E748" s="78"/>
    </row>
    <row r="749" spans="5:5" ht="14.25" customHeight="1" x14ac:dyDescent="0.25">
      <c r="E749" s="78"/>
    </row>
    <row r="750" spans="5:5" ht="14.25" customHeight="1" x14ac:dyDescent="0.25">
      <c r="E750" s="78"/>
    </row>
    <row r="751" spans="5:5" ht="14.25" customHeight="1" x14ac:dyDescent="0.25">
      <c r="E751" s="78"/>
    </row>
    <row r="752" spans="5:5" ht="14.25" customHeight="1" x14ac:dyDescent="0.25">
      <c r="E752" s="78"/>
    </row>
    <row r="753" spans="5:5" ht="14.25" customHeight="1" x14ac:dyDescent="0.25">
      <c r="E753" s="78"/>
    </row>
    <row r="754" spans="5:5" ht="14.25" customHeight="1" x14ac:dyDescent="0.25">
      <c r="E754" s="78"/>
    </row>
    <row r="755" spans="5:5" ht="14.25" customHeight="1" x14ac:dyDescent="0.25">
      <c r="E755" s="78"/>
    </row>
    <row r="756" spans="5:5" ht="14.25" customHeight="1" x14ac:dyDescent="0.25">
      <c r="E756" s="78"/>
    </row>
    <row r="757" spans="5:5" ht="14.25" customHeight="1" x14ac:dyDescent="0.25">
      <c r="E757" s="78"/>
    </row>
    <row r="758" spans="5:5" ht="14.25" customHeight="1" x14ac:dyDescent="0.25">
      <c r="E758" s="78"/>
    </row>
    <row r="759" spans="5:5" ht="14.25" customHeight="1" x14ac:dyDescent="0.25">
      <c r="E759" s="78"/>
    </row>
    <row r="760" spans="5:5" ht="14.25" customHeight="1" x14ac:dyDescent="0.25">
      <c r="E760" s="78"/>
    </row>
    <row r="761" spans="5:5" ht="14.25" customHeight="1" x14ac:dyDescent="0.25">
      <c r="E761" s="78"/>
    </row>
    <row r="762" spans="5:5" ht="14.25" customHeight="1" x14ac:dyDescent="0.25">
      <c r="E762" s="78"/>
    </row>
    <row r="763" spans="5:5" ht="14.25" customHeight="1" x14ac:dyDescent="0.25">
      <c r="E763" s="78"/>
    </row>
    <row r="764" spans="5:5" ht="14.25" customHeight="1" x14ac:dyDescent="0.25">
      <c r="E764" s="78"/>
    </row>
    <row r="765" spans="5:5" ht="14.25" customHeight="1" x14ac:dyDescent="0.25">
      <c r="E765" s="78"/>
    </row>
    <row r="766" spans="5:5" ht="14.25" customHeight="1" x14ac:dyDescent="0.25">
      <c r="E766" s="78"/>
    </row>
    <row r="767" spans="5:5" ht="14.25" customHeight="1" x14ac:dyDescent="0.25">
      <c r="E767" s="78"/>
    </row>
    <row r="768" spans="5:5" ht="14.25" customHeight="1" x14ac:dyDescent="0.25">
      <c r="E768" s="78"/>
    </row>
    <row r="769" spans="5:5" ht="14.25" customHeight="1" x14ac:dyDescent="0.25">
      <c r="E769" s="78"/>
    </row>
    <row r="770" spans="5:5" ht="14.25" customHeight="1" x14ac:dyDescent="0.25">
      <c r="E770" s="78"/>
    </row>
    <row r="771" spans="5:5" ht="14.25" customHeight="1" x14ac:dyDescent="0.25">
      <c r="E771" s="78"/>
    </row>
    <row r="772" spans="5:5" ht="14.25" customHeight="1" x14ac:dyDescent="0.25">
      <c r="E772" s="78"/>
    </row>
    <row r="773" spans="5:5" ht="14.25" customHeight="1" x14ac:dyDescent="0.25">
      <c r="E773" s="78"/>
    </row>
    <row r="774" spans="5:5" ht="14.25" customHeight="1" x14ac:dyDescent="0.25">
      <c r="E774" s="78"/>
    </row>
    <row r="775" spans="5:5" ht="14.25" customHeight="1" x14ac:dyDescent="0.25">
      <c r="E775" s="78"/>
    </row>
    <row r="776" spans="5:5" ht="14.25" customHeight="1" x14ac:dyDescent="0.25">
      <c r="E776" s="78"/>
    </row>
    <row r="777" spans="5:5" ht="14.25" customHeight="1" x14ac:dyDescent="0.25">
      <c r="E777" s="78"/>
    </row>
    <row r="778" spans="5:5" ht="14.25" customHeight="1" x14ac:dyDescent="0.25">
      <c r="E778" s="78"/>
    </row>
    <row r="779" spans="5:5" ht="14.25" customHeight="1" x14ac:dyDescent="0.25">
      <c r="E779" s="78"/>
    </row>
    <row r="780" spans="5:5" ht="14.25" customHeight="1" x14ac:dyDescent="0.25">
      <c r="E780" s="78"/>
    </row>
    <row r="781" spans="5:5" ht="14.25" customHeight="1" x14ac:dyDescent="0.25">
      <c r="E781" s="78"/>
    </row>
    <row r="782" spans="5:5" ht="14.25" customHeight="1" x14ac:dyDescent="0.25">
      <c r="E782" s="78"/>
    </row>
    <row r="783" spans="5:5" ht="14.25" customHeight="1" x14ac:dyDescent="0.25">
      <c r="E783" s="78"/>
    </row>
    <row r="784" spans="5:5" ht="14.25" customHeight="1" x14ac:dyDescent="0.25">
      <c r="E784" s="78"/>
    </row>
    <row r="785" spans="5:5" ht="14.25" customHeight="1" x14ac:dyDescent="0.25">
      <c r="E785" s="78"/>
    </row>
    <row r="786" spans="5:5" ht="14.25" customHeight="1" x14ac:dyDescent="0.25">
      <c r="E786" s="78"/>
    </row>
    <row r="787" spans="5:5" ht="14.25" customHeight="1" x14ac:dyDescent="0.25">
      <c r="E787" s="78"/>
    </row>
    <row r="788" spans="5:5" ht="14.25" customHeight="1" x14ac:dyDescent="0.25">
      <c r="E788" s="78"/>
    </row>
    <row r="789" spans="5:5" ht="14.25" customHeight="1" x14ac:dyDescent="0.25">
      <c r="E789" s="78"/>
    </row>
    <row r="790" spans="5:5" ht="14.25" customHeight="1" x14ac:dyDescent="0.25">
      <c r="E790" s="78"/>
    </row>
    <row r="791" spans="5:5" ht="14.25" customHeight="1" x14ac:dyDescent="0.25">
      <c r="E791" s="78"/>
    </row>
    <row r="792" spans="5:5" ht="14.25" customHeight="1" x14ac:dyDescent="0.25">
      <c r="E792" s="78"/>
    </row>
    <row r="793" spans="5:5" ht="14.25" customHeight="1" x14ac:dyDescent="0.25">
      <c r="E793" s="78"/>
    </row>
    <row r="794" spans="5:5" ht="14.25" customHeight="1" x14ac:dyDescent="0.25">
      <c r="E794" s="78"/>
    </row>
    <row r="795" spans="5:5" ht="14.25" customHeight="1" x14ac:dyDescent="0.25">
      <c r="E795" s="78"/>
    </row>
    <row r="796" spans="5:5" ht="14.25" customHeight="1" x14ac:dyDescent="0.25">
      <c r="E796" s="78"/>
    </row>
    <row r="797" spans="5:5" ht="14.25" customHeight="1" x14ac:dyDescent="0.25">
      <c r="E797" s="78"/>
    </row>
    <row r="798" spans="5:5" ht="14.25" customHeight="1" x14ac:dyDescent="0.25">
      <c r="E798" s="78"/>
    </row>
    <row r="799" spans="5:5" ht="14.25" customHeight="1" x14ac:dyDescent="0.25">
      <c r="E799" s="78"/>
    </row>
    <row r="800" spans="5:5" ht="14.25" customHeight="1" x14ac:dyDescent="0.25">
      <c r="E800" s="78"/>
    </row>
    <row r="801" spans="5:5" ht="14.25" customHeight="1" x14ac:dyDescent="0.25">
      <c r="E801" s="78"/>
    </row>
    <row r="802" spans="5:5" ht="14.25" customHeight="1" x14ac:dyDescent="0.25">
      <c r="E802" s="78"/>
    </row>
    <row r="803" spans="5:5" ht="14.25" customHeight="1" x14ac:dyDescent="0.25">
      <c r="E803" s="78"/>
    </row>
    <row r="804" spans="5:5" ht="14.25" customHeight="1" x14ac:dyDescent="0.25">
      <c r="E804" s="78"/>
    </row>
    <row r="805" spans="5:5" ht="14.25" customHeight="1" x14ac:dyDescent="0.25">
      <c r="E805" s="78"/>
    </row>
    <row r="806" spans="5:5" ht="14.25" customHeight="1" x14ac:dyDescent="0.25">
      <c r="E806" s="78"/>
    </row>
    <row r="807" spans="5:5" ht="14.25" customHeight="1" x14ac:dyDescent="0.25">
      <c r="E807" s="78"/>
    </row>
    <row r="808" spans="5:5" ht="14.25" customHeight="1" x14ac:dyDescent="0.25">
      <c r="E808" s="78"/>
    </row>
    <row r="809" spans="5:5" ht="14.25" customHeight="1" x14ac:dyDescent="0.25">
      <c r="E809" s="78"/>
    </row>
    <row r="810" spans="5:5" ht="14.25" customHeight="1" x14ac:dyDescent="0.25">
      <c r="E810" s="78"/>
    </row>
    <row r="811" spans="5:5" ht="14.25" customHeight="1" x14ac:dyDescent="0.25">
      <c r="E811" s="78"/>
    </row>
    <row r="812" spans="5:5" ht="14.25" customHeight="1" x14ac:dyDescent="0.25">
      <c r="E812" s="78"/>
    </row>
    <row r="813" spans="5:5" ht="14.25" customHeight="1" x14ac:dyDescent="0.25">
      <c r="E813" s="78"/>
    </row>
    <row r="814" spans="5:5" ht="14.25" customHeight="1" x14ac:dyDescent="0.25">
      <c r="E814" s="78"/>
    </row>
    <row r="815" spans="5:5" ht="14.25" customHeight="1" x14ac:dyDescent="0.25">
      <c r="E815" s="78"/>
    </row>
    <row r="816" spans="5:5" ht="14.25" customHeight="1" x14ac:dyDescent="0.25">
      <c r="E816" s="78"/>
    </row>
    <row r="817" spans="5:5" ht="14.25" customHeight="1" x14ac:dyDescent="0.25">
      <c r="E817" s="78"/>
    </row>
    <row r="818" spans="5:5" ht="14.25" customHeight="1" x14ac:dyDescent="0.25">
      <c r="E818" s="78"/>
    </row>
    <row r="819" spans="5:5" ht="14.25" customHeight="1" x14ac:dyDescent="0.25">
      <c r="E819" s="78"/>
    </row>
    <row r="820" spans="5:5" ht="14.25" customHeight="1" x14ac:dyDescent="0.25">
      <c r="E820" s="78"/>
    </row>
    <row r="821" spans="5:5" ht="14.25" customHeight="1" x14ac:dyDescent="0.25">
      <c r="E821" s="78"/>
    </row>
    <row r="822" spans="5:5" ht="14.25" customHeight="1" x14ac:dyDescent="0.25">
      <c r="E822" s="78"/>
    </row>
    <row r="823" spans="5:5" ht="14.25" customHeight="1" x14ac:dyDescent="0.25">
      <c r="E823" s="78"/>
    </row>
    <row r="824" spans="5:5" ht="14.25" customHeight="1" x14ac:dyDescent="0.25">
      <c r="E824" s="78"/>
    </row>
    <row r="825" spans="5:5" ht="14.25" customHeight="1" x14ac:dyDescent="0.25">
      <c r="E825" s="78"/>
    </row>
    <row r="826" spans="5:5" ht="14.25" customHeight="1" x14ac:dyDescent="0.25">
      <c r="E826" s="78"/>
    </row>
    <row r="827" spans="5:5" ht="14.25" customHeight="1" x14ac:dyDescent="0.25">
      <c r="E827" s="78"/>
    </row>
    <row r="828" spans="5:5" ht="14.25" customHeight="1" x14ac:dyDescent="0.25">
      <c r="E828" s="78"/>
    </row>
    <row r="829" spans="5:5" ht="14.25" customHeight="1" x14ac:dyDescent="0.25">
      <c r="E829" s="78"/>
    </row>
    <row r="830" spans="5:5" ht="14.25" customHeight="1" x14ac:dyDescent="0.25">
      <c r="E830" s="78"/>
    </row>
    <row r="831" spans="5:5" ht="14.25" customHeight="1" x14ac:dyDescent="0.25">
      <c r="E831" s="78"/>
    </row>
    <row r="832" spans="5:5" ht="14.25" customHeight="1" x14ac:dyDescent="0.25">
      <c r="E832" s="78"/>
    </row>
    <row r="833" spans="5:5" ht="14.25" customHeight="1" x14ac:dyDescent="0.25">
      <c r="E833" s="78"/>
    </row>
    <row r="834" spans="5:5" ht="14.25" customHeight="1" x14ac:dyDescent="0.25">
      <c r="E834" s="78"/>
    </row>
    <row r="835" spans="5:5" ht="14.25" customHeight="1" x14ac:dyDescent="0.25">
      <c r="E835" s="78"/>
    </row>
    <row r="836" spans="5:5" ht="14.25" customHeight="1" x14ac:dyDescent="0.25">
      <c r="E836" s="78"/>
    </row>
    <row r="837" spans="5:5" ht="14.25" customHeight="1" x14ac:dyDescent="0.25">
      <c r="E837" s="78"/>
    </row>
    <row r="838" spans="5:5" ht="14.25" customHeight="1" x14ac:dyDescent="0.25">
      <c r="E838" s="78"/>
    </row>
    <row r="839" spans="5:5" ht="14.25" customHeight="1" x14ac:dyDescent="0.25">
      <c r="E839" s="78"/>
    </row>
    <row r="840" spans="5:5" ht="14.25" customHeight="1" x14ac:dyDescent="0.25">
      <c r="E840" s="78"/>
    </row>
    <row r="841" spans="5:5" ht="14.25" customHeight="1" x14ac:dyDescent="0.25">
      <c r="E841" s="78"/>
    </row>
    <row r="842" spans="5:5" ht="14.25" customHeight="1" x14ac:dyDescent="0.25">
      <c r="E842" s="78"/>
    </row>
    <row r="843" spans="5:5" ht="14.25" customHeight="1" x14ac:dyDescent="0.25">
      <c r="E843" s="78"/>
    </row>
    <row r="844" spans="5:5" ht="14.25" customHeight="1" x14ac:dyDescent="0.25">
      <c r="E844" s="78"/>
    </row>
    <row r="845" spans="5:5" ht="14.25" customHeight="1" x14ac:dyDescent="0.25">
      <c r="E845" s="78"/>
    </row>
    <row r="846" spans="5:5" ht="14.25" customHeight="1" x14ac:dyDescent="0.25">
      <c r="E846" s="78"/>
    </row>
    <row r="847" spans="5:5" ht="14.25" customHeight="1" x14ac:dyDescent="0.25">
      <c r="E847" s="78"/>
    </row>
    <row r="848" spans="5:5" ht="14.25" customHeight="1" x14ac:dyDescent="0.25">
      <c r="E848" s="78"/>
    </row>
    <row r="849" spans="5:5" ht="14.25" customHeight="1" x14ac:dyDescent="0.25">
      <c r="E849" s="78"/>
    </row>
    <row r="850" spans="5:5" ht="14.25" customHeight="1" x14ac:dyDescent="0.25">
      <c r="E850" s="78"/>
    </row>
    <row r="851" spans="5:5" ht="14.25" customHeight="1" x14ac:dyDescent="0.25">
      <c r="E851" s="78"/>
    </row>
    <row r="852" spans="5:5" ht="14.25" customHeight="1" x14ac:dyDescent="0.25">
      <c r="E852" s="78"/>
    </row>
    <row r="853" spans="5:5" ht="14.25" customHeight="1" x14ac:dyDescent="0.25">
      <c r="E853" s="78"/>
    </row>
    <row r="854" spans="5:5" ht="14.25" customHeight="1" x14ac:dyDescent="0.25">
      <c r="E854" s="78"/>
    </row>
    <row r="855" spans="5:5" ht="14.25" customHeight="1" x14ac:dyDescent="0.25">
      <c r="E855" s="78"/>
    </row>
    <row r="856" spans="5:5" ht="14.25" customHeight="1" x14ac:dyDescent="0.25">
      <c r="E856" s="78"/>
    </row>
    <row r="857" spans="5:5" ht="14.25" customHeight="1" x14ac:dyDescent="0.25">
      <c r="E857" s="78"/>
    </row>
    <row r="858" spans="5:5" ht="14.25" customHeight="1" x14ac:dyDescent="0.25">
      <c r="E858" s="78"/>
    </row>
    <row r="859" spans="5:5" ht="14.25" customHeight="1" x14ac:dyDescent="0.25">
      <c r="E859" s="78"/>
    </row>
    <row r="860" spans="5:5" ht="14.25" customHeight="1" x14ac:dyDescent="0.25">
      <c r="E860" s="78"/>
    </row>
    <row r="861" spans="5:5" ht="14.25" customHeight="1" x14ac:dyDescent="0.25">
      <c r="E861" s="78"/>
    </row>
    <row r="862" spans="5:5" ht="14.25" customHeight="1" x14ac:dyDescent="0.25">
      <c r="E862" s="78"/>
    </row>
    <row r="863" spans="5:5" ht="14.25" customHeight="1" x14ac:dyDescent="0.25">
      <c r="E863" s="78"/>
    </row>
    <row r="864" spans="5:5" ht="14.25" customHeight="1" x14ac:dyDescent="0.25">
      <c r="E864" s="78"/>
    </row>
    <row r="865" spans="5:5" ht="14.25" customHeight="1" x14ac:dyDescent="0.25">
      <c r="E865" s="78"/>
    </row>
    <row r="866" spans="5:5" ht="14.25" customHeight="1" x14ac:dyDescent="0.25">
      <c r="E866" s="78"/>
    </row>
    <row r="867" spans="5:5" ht="14.25" customHeight="1" x14ac:dyDescent="0.25">
      <c r="E867" s="78"/>
    </row>
    <row r="868" spans="5:5" ht="14.25" customHeight="1" x14ac:dyDescent="0.25">
      <c r="E868" s="78"/>
    </row>
    <row r="869" spans="5:5" ht="14.25" customHeight="1" x14ac:dyDescent="0.25">
      <c r="E869" s="78"/>
    </row>
    <row r="870" spans="5:5" ht="14.25" customHeight="1" x14ac:dyDescent="0.25">
      <c r="E870" s="78"/>
    </row>
    <row r="871" spans="5:5" ht="14.25" customHeight="1" x14ac:dyDescent="0.25">
      <c r="E871" s="78"/>
    </row>
    <row r="872" spans="5:5" ht="14.25" customHeight="1" x14ac:dyDescent="0.25">
      <c r="E872" s="78"/>
    </row>
    <row r="873" spans="5:5" ht="14.25" customHeight="1" x14ac:dyDescent="0.25">
      <c r="E873" s="78"/>
    </row>
    <row r="874" spans="5:5" ht="14.25" customHeight="1" x14ac:dyDescent="0.25">
      <c r="E874" s="78"/>
    </row>
    <row r="875" spans="5:5" ht="14.25" customHeight="1" x14ac:dyDescent="0.25">
      <c r="E875" s="78"/>
    </row>
    <row r="876" spans="5:5" ht="14.25" customHeight="1" x14ac:dyDescent="0.25">
      <c r="E876" s="78"/>
    </row>
    <row r="877" spans="5:5" ht="14.25" customHeight="1" x14ac:dyDescent="0.25">
      <c r="E877" s="78"/>
    </row>
    <row r="878" spans="5:5" ht="14.25" customHeight="1" x14ac:dyDescent="0.25">
      <c r="E878" s="78"/>
    </row>
    <row r="879" spans="5:5" ht="14.25" customHeight="1" x14ac:dyDescent="0.25">
      <c r="E879" s="78"/>
    </row>
    <row r="880" spans="5:5" ht="14.25" customHeight="1" x14ac:dyDescent="0.25">
      <c r="E880" s="78"/>
    </row>
    <row r="881" spans="5:5" ht="14.25" customHeight="1" x14ac:dyDescent="0.25">
      <c r="E881" s="78"/>
    </row>
    <row r="882" spans="5:5" ht="14.25" customHeight="1" x14ac:dyDescent="0.25">
      <c r="E882" s="78"/>
    </row>
    <row r="883" spans="5:5" ht="14.25" customHeight="1" x14ac:dyDescent="0.25">
      <c r="E883" s="78"/>
    </row>
    <row r="884" spans="5:5" ht="14.25" customHeight="1" x14ac:dyDescent="0.25">
      <c r="E884" s="78"/>
    </row>
    <row r="885" spans="5:5" ht="14.25" customHeight="1" x14ac:dyDescent="0.25">
      <c r="E885" s="78"/>
    </row>
    <row r="886" spans="5:5" ht="14.25" customHeight="1" x14ac:dyDescent="0.25">
      <c r="E886" s="78"/>
    </row>
    <row r="887" spans="5:5" ht="14.25" customHeight="1" x14ac:dyDescent="0.25">
      <c r="E887" s="78"/>
    </row>
    <row r="888" spans="5:5" ht="14.25" customHeight="1" x14ac:dyDescent="0.25">
      <c r="E888" s="78"/>
    </row>
    <row r="889" spans="5:5" ht="14.25" customHeight="1" x14ac:dyDescent="0.25">
      <c r="E889" s="78"/>
    </row>
    <row r="890" spans="5:5" ht="14.25" customHeight="1" x14ac:dyDescent="0.25">
      <c r="E890" s="78"/>
    </row>
    <row r="891" spans="5:5" ht="14.25" customHeight="1" x14ac:dyDescent="0.25">
      <c r="E891" s="78"/>
    </row>
    <row r="892" spans="5:5" ht="14.25" customHeight="1" x14ac:dyDescent="0.25">
      <c r="E892" s="78"/>
    </row>
    <row r="893" spans="5:5" ht="14.25" customHeight="1" x14ac:dyDescent="0.25">
      <c r="E893" s="78"/>
    </row>
    <row r="894" spans="5:5" ht="14.25" customHeight="1" x14ac:dyDescent="0.25">
      <c r="E894" s="78"/>
    </row>
    <row r="895" spans="5:5" ht="14.25" customHeight="1" x14ac:dyDescent="0.25">
      <c r="E895" s="78"/>
    </row>
    <row r="896" spans="5:5" ht="14.25" customHeight="1" x14ac:dyDescent="0.25">
      <c r="E896" s="78"/>
    </row>
    <row r="897" spans="5:5" ht="14.25" customHeight="1" x14ac:dyDescent="0.25">
      <c r="E897" s="78"/>
    </row>
    <row r="898" spans="5:5" ht="14.25" customHeight="1" x14ac:dyDescent="0.25">
      <c r="E898" s="78"/>
    </row>
    <row r="899" spans="5:5" ht="14.25" customHeight="1" x14ac:dyDescent="0.25">
      <c r="E899" s="78"/>
    </row>
    <row r="900" spans="5:5" ht="14.25" customHeight="1" x14ac:dyDescent="0.25">
      <c r="E900" s="78"/>
    </row>
    <row r="901" spans="5:5" ht="14.25" customHeight="1" x14ac:dyDescent="0.25">
      <c r="E901" s="78"/>
    </row>
    <row r="902" spans="5:5" ht="14.25" customHeight="1" x14ac:dyDescent="0.25">
      <c r="E902" s="78"/>
    </row>
    <row r="903" spans="5:5" ht="14.25" customHeight="1" x14ac:dyDescent="0.25">
      <c r="E903" s="78"/>
    </row>
    <row r="904" spans="5:5" ht="14.25" customHeight="1" x14ac:dyDescent="0.25">
      <c r="E904" s="78"/>
    </row>
    <row r="905" spans="5:5" ht="14.25" customHeight="1" x14ac:dyDescent="0.25">
      <c r="E905" s="78"/>
    </row>
    <row r="906" spans="5:5" ht="14.25" customHeight="1" x14ac:dyDescent="0.25">
      <c r="E906" s="78"/>
    </row>
    <row r="907" spans="5:5" ht="14.25" customHeight="1" x14ac:dyDescent="0.25">
      <c r="E907" s="78"/>
    </row>
    <row r="908" spans="5:5" ht="14.25" customHeight="1" x14ac:dyDescent="0.25">
      <c r="E908" s="78"/>
    </row>
    <row r="909" spans="5:5" ht="14.25" customHeight="1" x14ac:dyDescent="0.25">
      <c r="E909" s="78"/>
    </row>
    <row r="910" spans="5:5" ht="14.25" customHeight="1" x14ac:dyDescent="0.25">
      <c r="E910" s="78"/>
    </row>
    <row r="911" spans="5:5" ht="14.25" customHeight="1" x14ac:dyDescent="0.25">
      <c r="E911" s="78"/>
    </row>
    <row r="912" spans="5:5" ht="14.25" customHeight="1" x14ac:dyDescent="0.25">
      <c r="E912" s="78"/>
    </row>
    <row r="913" spans="5:5" ht="14.25" customHeight="1" x14ac:dyDescent="0.25">
      <c r="E913" s="78"/>
    </row>
    <row r="914" spans="5:5" ht="14.25" customHeight="1" x14ac:dyDescent="0.25">
      <c r="E914" s="78"/>
    </row>
    <row r="915" spans="5:5" ht="14.25" customHeight="1" x14ac:dyDescent="0.25">
      <c r="E915" s="78"/>
    </row>
    <row r="916" spans="5:5" ht="14.25" customHeight="1" x14ac:dyDescent="0.25">
      <c r="E916" s="78"/>
    </row>
    <row r="917" spans="5:5" ht="14.25" customHeight="1" x14ac:dyDescent="0.25">
      <c r="E917" s="78"/>
    </row>
    <row r="918" spans="5:5" ht="14.25" customHeight="1" x14ac:dyDescent="0.25">
      <c r="E918" s="78"/>
    </row>
    <row r="919" spans="5:5" ht="14.25" customHeight="1" x14ac:dyDescent="0.25">
      <c r="E919" s="78"/>
    </row>
    <row r="920" spans="5:5" ht="14.25" customHeight="1" x14ac:dyDescent="0.25">
      <c r="E920" s="78"/>
    </row>
    <row r="921" spans="5:5" ht="14.25" customHeight="1" x14ac:dyDescent="0.25">
      <c r="E921" s="78"/>
    </row>
    <row r="922" spans="5:5" ht="14.25" customHeight="1" x14ac:dyDescent="0.25">
      <c r="E922" s="78"/>
    </row>
    <row r="923" spans="5:5" ht="14.25" customHeight="1" x14ac:dyDescent="0.25">
      <c r="E923" s="78"/>
    </row>
    <row r="924" spans="5:5" ht="14.25" customHeight="1" x14ac:dyDescent="0.25">
      <c r="E924" s="78"/>
    </row>
    <row r="925" spans="5:5" ht="14.25" customHeight="1" x14ac:dyDescent="0.25">
      <c r="E925" s="78"/>
    </row>
    <row r="926" spans="5:5" ht="14.25" customHeight="1" x14ac:dyDescent="0.25">
      <c r="E926" s="78"/>
    </row>
    <row r="927" spans="5:5" ht="14.25" customHeight="1" x14ac:dyDescent="0.25">
      <c r="E927" s="78"/>
    </row>
    <row r="928" spans="5:5" ht="14.25" customHeight="1" x14ac:dyDescent="0.25">
      <c r="E928" s="78"/>
    </row>
    <row r="929" spans="5:5" ht="14.25" customHeight="1" x14ac:dyDescent="0.25">
      <c r="E929" s="78"/>
    </row>
    <row r="930" spans="5:5" ht="14.25" customHeight="1" x14ac:dyDescent="0.25">
      <c r="E930" s="78"/>
    </row>
    <row r="931" spans="5:5" ht="14.25" customHeight="1" x14ac:dyDescent="0.25">
      <c r="E931" s="78"/>
    </row>
    <row r="932" spans="5:5" ht="14.25" customHeight="1" x14ac:dyDescent="0.25">
      <c r="E932" s="78"/>
    </row>
    <row r="933" spans="5:5" ht="14.25" customHeight="1" x14ac:dyDescent="0.25">
      <c r="E933" s="78"/>
    </row>
    <row r="934" spans="5:5" ht="14.25" customHeight="1" x14ac:dyDescent="0.25">
      <c r="E934" s="78"/>
    </row>
    <row r="935" spans="5:5" ht="14.25" customHeight="1" x14ac:dyDescent="0.25">
      <c r="E935" s="78"/>
    </row>
    <row r="936" spans="5:5" ht="14.25" customHeight="1" x14ac:dyDescent="0.25">
      <c r="E936" s="78"/>
    </row>
    <row r="937" spans="5:5" ht="14.25" customHeight="1" x14ac:dyDescent="0.25">
      <c r="E937" s="78"/>
    </row>
    <row r="938" spans="5:5" ht="14.25" customHeight="1" x14ac:dyDescent="0.25">
      <c r="E938" s="78"/>
    </row>
    <row r="939" spans="5:5" ht="14.25" customHeight="1" x14ac:dyDescent="0.25">
      <c r="E939" s="78"/>
    </row>
    <row r="940" spans="5:5" ht="14.25" customHeight="1" x14ac:dyDescent="0.25">
      <c r="E940" s="78"/>
    </row>
    <row r="941" spans="5:5" ht="14.25" customHeight="1" x14ac:dyDescent="0.25">
      <c r="E941" s="78"/>
    </row>
    <row r="942" spans="5:5" ht="14.25" customHeight="1" x14ac:dyDescent="0.25">
      <c r="E942" s="78"/>
    </row>
    <row r="943" spans="5:5" ht="14.25" customHeight="1" x14ac:dyDescent="0.25">
      <c r="E943" s="78"/>
    </row>
    <row r="944" spans="5:5" ht="14.25" customHeight="1" x14ac:dyDescent="0.25">
      <c r="E944" s="78"/>
    </row>
    <row r="945" spans="5:5" ht="14.25" customHeight="1" x14ac:dyDescent="0.25">
      <c r="E945" s="78"/>
    </row>
    <row r="946" spans="5:5" ht="14.25" customHeight="1" x14ac:dyDescent="0.25">
      <c r="E946" s="78"/>
    </row>
    <row r="947" spans="5:5" ht="14.25" customHeight="1" x14ac:dyDescent="0.25">
      <c r="E947" s="78"/>
    </row>
    <row r="948" spans="5:5" ht="14.25" customHeight="1" x14ac:dyDescent="0.25">
      <c r="E948" s="78"/>
    </row>
    <row r="949" spans="5:5" ht="14.25" customHeight="1" x14ac:dyDescent="0.25">
      <c r="E949" s="78"/>
    </row>
    <row r="950" spans="5:5" ht="14.25" customHeight="1" x14ac:dyDescent="0.25">
      <c r="E950" s="78"/>
    </row>
    <row r="951" spans="5:5" ht="14.25" customHeight="1" x14ac:dyDescent="0.25">
      <c r="E951" s="78"/>
    </row>
    <row r="952" spans="5:5" ht="14.25" customHeight="1" x14ac:dyDescent="0.25">
      <c r="E952" s="78"/>
    </row>
    <row r="953" spans="5:5" ht="14.25" customHeight="1" x14ac:dyDescent="0.25">
      <c r="E953" s="78"/>
    </row>
    <row r="954" spans="5:5" ht="14.25" customHeight="1" x14ac:dyDescent="0.25">
      <c r="E954" s="78"/>
    </row>
    <row r="955" spans="5:5" ht="14.25" customHeight="1" x14ac:dyDescent="0.25">
      <c r="E955" s="78"/>
    </row>
    <row r="956" spans="5:5" ht="14.25" customHeight="1" x14ac:dyDescent="0.25">
      <c r="E956" s="78"/>
    </row>
    <row r="957" spans="5:5" ht="14.25" customHeight="1" x14ac:dyDescent="0.25">
      <c r="E957" s="78"/>
    </row>
    <row r="958" spans="5:5" ht="14.25" customHeight="1" x14ac:dyDescent="0.25">
      <c r="E958" s="78"/>
    </row>
    <row r="959" spans="5:5" ht="14.25" customHeight="1" x14ac:dyDescent="0.25">
      <c r="E959" s="78"/>
    </row>
    <row r="960" spans="5:5" ht="14.25" customHeight="1" x14ac:dyDescent="0.25">
      <c r="E960" s="78"/>
    </row>
    <row r="961" spans="5:5" ht="14.25" customHeight="1" x14ac:dyDescent="0.25">
      <c r="E961" s="78"/>
    </row>
    <row r="962" spans="5:5" ht="14.25" customHeight="1" x14ac:dyDescent="0.25">
      <c r="E962" s="78"/>
    </row>
    <row r="963" spans="5:5" ht="14.25" customHeight="1" x14ac:dyDescent="0.25">
      <c r="E963" s="78"/>
    </row>
    <row r="964" spans="5:5" ht="14.25" customHeight="1" x14ac:dyDescent="0.25">
      <c r="E964" s="78"/>
    </row>
    <row r="965" spans="5:5" ht="14.25" customHeight="1" x14ac:dyDescent="0.25">
      <c r="E965" s="78"/>
    </row>
    <row r="966" spans="5:5" ht="14.25" customHeight="1" x14ac:dyDescent="0.25">
      <c r="E966" s="78"/>
    </row>
    <row r="967" spans="5:5" ht="14.25" customHeight="1" x14ac:dyDescent="0.25">
      <c r="E967" s="78"/>
    </row>
    <row r="968" spans="5:5" ht="14.25" customHeight="1" x14ac:dyDescent="0.25">
      <c r="E968" s="78"/>
    </row>
    <row r="969" spans="5:5" ht="14.25" customHeight="1" x14ac:dyDescent="0.25">
      <c r="E969" s="78"/>
    </row>
    <row r="970" spans="5:5" ht="14.25" customHeight="1" x14ac:dyDescent="0.25">
      <c r="E970" s="78"/>
    </row>
    <row r="971" spans="5:5" ht="14.25" customHeight="1" x14ac:dyDescent="0.25">
      <c r="E971" s="78"/>
    </row>
    <row r="972" spans="5:5" ht="14.25" customHeight="1" x14ac:dyDescent="0.25">
      <c r="E972" s="78"/>
    </row>
    <row r="973" spans="5:5" ht="14.25" customHeight="1" x14ac:dyDescent="0.25">
      <c r="E973" s="78"/>
    </row>
    <row r="974" spans="5:5" ht="14.25" customHeight="1" x14ac:dyDescent="0.25">
      <c r="E974" s="78"/>
    </row>
    <row r="975" spans="5:5" ht="14.25" customHeight="1" x14ac:dyDescent="0.25">
      <c r="E975" s="78"/>
    </row>
    <row r="976" spans="5:5" ht="14.25" customHeight="1" x14ac:dyDescent="0.25">
      <c r="E976" s="78"/>
    </row>
    <row r="977" spans="5:5" ht="14.25" customHeight="1" x14ac:dyDescent="0.25">
      <c r="E977" s="78"/>
    </row>
    <row r="978" spans="5:5" ht="14.25" customHeight="1" x14ac:dyDescent="0.25">
      <c r="E978" s="78"/>
    </row>
    <row r="979" spans="5:5" ht="14.25" customHeight="1" x14ac:dyDescent="0.25">
      <c r="E979" s="78"/>
    </row>
    <row r="980" spans="5:5" ht="14.25" customHeight="1" x14ac:dyDescent="0.25">
      <c r="E980" s="78"/>
    </row>
    <row r="981" spans="5:5" ht="14.25" customHeight="1" x14ac:dyDescent="0.25">
      <c r="E981" s="78"/>
    </row>
    <row r="982" spans="5:5" ht="14.25" customHeight="1" x14ac:dyDescent="0.25">
      <c r="E982" s="78"/>
    </row>
    <row r="983" spans="5:5" ht="14.25" customHeight="1" x14ac:dyDescent="0.25">
      <c r="E983" s="78"/>
    </row>
    <row r="984" spans="5:5" ht="14.25" customHeight="1" x14ac:dyDescent="0.25">
      <c r="E984" s="78"/>
    </row>
    <row r="985" spans="5:5" ht="14.25" customHeight="1" x14ac:dyDescent="0.25">
      <c r="E985" s="78"/>
    </row>
    <row r="986" spans="5:5" ht="14.25" customHeight="1" x14ac:dyDescent="0.25">
      <c r="E986" s="78"/>
    </row>
    <row r="987" spans="5:5" ht="14.25" customHeight="1" x14ac:dyDescent="0.25">
      <c r="E987" s="78"/>
    </row>
    <row r="988" spans="5:5" ht="14.25" customHeight="1" x14ac:dyDescent="0.25">
      <c r="E988" s="78"/>
    </row>
    <row r="989" spans="5:5" ht="14.25" customHeight="1" x14ac:dyDescent="0.25">
      <c r="E989" s="78"/>
    </row>
    <row r="990" spans="5:5" ht="14.25" customHeight="1" x14ac:dyDescent="0.25">
      <c r="E990" s="78"/>
    </row>
    <row r="991" spans="5:5" ht="14.25" customHeight="1" x14ac:dyDescent="0.25">
      <c r="E991" s="78"/>
    </row>
    <row r="992" spans="5:5" ht="14.25" customHeight="1" x14ac:dyDescent="0.25">
      <c r="E992" s="78"/>
    </row>
    <row r="993" spans="5:5" ht="14.25" customHeight="1" x14ac:dyDescent="0.25">
      <c r="E993" s="78"/>
    </row>
    <row r="994" spans="5:5" ht="14.25" customHeight="1" x14ac:dyDescent="0.25">
      <c r="E994" s="78"/>
    </row>
    <row r="995" spans="5:5" ht="14.25" customHeight="1" x14ac:dyDescent="0.25">
      <c r="E995" s="78"/>
    </row>
    <row r="996" spans="5:5" ht="14.25" customHeight="1" x14ac:dyDescent="0.25">
      <c r="E996" s="78"/>
    </row>
    <row r="997" spans="5:5" ht="14.25" customHeight="1" x14ac:dyDescent="0.25">
      <c r="E997" s="78"/>
    </row>
    <row r="998" spans="5:5" ht="14.25" customHeight="1" x14ac:dyDescent="0.25">
      <c r="E998" s="78"/>
    </row>
    <row r="999" spans="5:5" ht="14.25" customHeight="1" x14ac:dyDescent="0.25">
      <c r="E999" s="78"/>
    </row>
    <row r="1000" spans="5:5" ht="14.25" customHeight="1" x14ac:dyDescent="0.25">
      <c r="E1000" s="78"/>
    </row>
  </sheetData>
  <autoFilter ref="A6:Y306" xr:uid="{00000000-0009-0000-0000-000003000000}">
    <filterColumn colId="8">
      <filters>
        <filter val="WR"/>
      </filters>
    </filterColumn>
    <sortState xmlns:xlrd2="http://schemas.microsoft.com/office/spreadsheetml/2017/richdata2" ref="A6:Y306">
      <sortCondition ref="K6:K306"/>
      <sortCondition ref="U6:U306"/>
      <sortCondition ref="M6:M306"/>
    </sortState>
  </autoFilter>
  <mergeCells count="1">
    <mergeCell ref="A1:C1"/>
  </mergeCells>
  <conditionalFormatting sqref="G7:G306">
    <cfRule type="expression" dxfId="51" priority="1">
      <formula>$E7="No"</formula>
    </cfRule>
  </conditionalFormatting>
  <conditionalFormatting sqref="K5:AB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:L306">
    <cfRule type="cellIs" dxfId="50" priority="3" operator="lessThan">
      <formula>B7</formula>
    </cfRule>
    <cfRule type="cellIs" dxfId="49" priority="4" operator="greaterThan">
      <formula>B7</formula>
    </cfRule>
  </conditionalFormatting>
  <conditionalFormatting sqref="O7:O306">
    <cfRule type="colorScale" priority="5">
      <colorScale>
        <cfvo type="min"/>
        <cfvo type="formula" val="0"/>
        <cfvo type="max"/>
        <color rgb="FFF8696B"/>
        <color rgb="FFFCFCFF"/>
        <color rgb="FF63BE7B"/>
      </colorScale>
    </cfRule>
  </conditionalFormatting>
  <conditionalFormatting sqref="W17:W17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18 W136 W138 W142 W144:W145 W148 W153:W154 W158 W161:W162 W168:W169 W172 W174:W175 W177 W180:W188 W190:W191 W193:W195 W197 W199:W210 W213:W235 W237:W239 W242:W246 W248:W272 W274:W298 W300:W306">
    <cfRule type="cellIs" dxfId="48" priority="7" operator="lessThan">
      <formula>M118</formula>
    </cfRule>
    <cfRule type="cellIs" dxfId="47" priority="8" operator="greaterThan">
      <formula>M118</formula>
    </cfRule>
  </conditionalFormatting>
  <conditionalFormatting sqref="X7:X306">
    <cfRule type="colorScale" priority="9">
      <colorScale>
        <cfvo type="formula" val="-12"/>
        <cfvo type="formula" val="0"/>
        <cfvo type="formula" val="12"/>
        <color rgb="FFF8696B"/>
        <color rgb="FFD8D8D8"/>
        <color rgb="FF63BE7B"/>
      </colorScale>
    </cfRule>
  </conditionalFormatting>
  <conditionalFormatting sqref="X7:Y306 B7:B302 D7:E302 C7:C306 F7:F306 J7:J306">
    <cfRule type="expression" dxfId="46" priority="10">
      <formula>$C7="No"</formula>
    </cfRule>
  </conditionalFormatting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16.5703125" customWidth="1"/>
    <col min="3" max="3" width="8.7109375" customWidth="1"/>
    <col min="4" max="4" width="11.140625" customWidth="1"/>
    <col min="5" max="5" width="14.85546875" customWidth="1"/>
    <col min="6" max="6" width="13.28515625" customWidth="1"/>
    <col min="7" max="7" width="14.5703125" customWidth="1"/>
    <col min="8" max="8" width="16.85546875" customWidth="1"/>
    <col min="9" max="9" width="10.42578125" customWidth="1"/>
    <col min="10" max="10" width="14.28515625" customWidth="1"/>
    <col min="11" max="11" width="9.42578125" customWidth="1"/>
    <col min="12" max="12" width="10.42578125" customWidth="1"/>
    <col min="13" max="13" width="13.85546875" customWidth="1"/>
    <col min="14" max="14" width="10.5703125" customWidth="1"/>
    <col min="15" max="15" width="12.28515625" customWidth="1"/>
    <col min="16" max="16" width="12.85546875" customWidth="1"/>
    <col min="17" max="18" width="8.7109375" customWidth="1"/>
    <col min="19" max="19" width="15.42578125" customWidth="1"/>
    <col min="20" max="20" width="15.140625" customWidth="1"/>
    <col min="21" max="21" width="12.85546875" customWidth="1"/>
    <col min="22" max="22" width="18.5703125" customWidth="1"/>
    <col min="23" max="26" width="8.7109375" customWidth="1"/>
  </cols>
  <sheetData>
    <row r="1" spans="1:26" ht="12.75" customHeight="1" x14ac:dyDescent="0.25">
      <c r="A1" s="30" t="s">
        <v>728</v>
      </c>
      <c r="B1" s="30"/>
      <c r="C1" s="30"/>
      <c r="D1" s="30"/>
      <c r="E1" s="30" t="s">
        <v>729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1"/>
      <c r="T1" s="31"/>
      <c r="U1" s="31"/>
      <c r="V1" s="31"/>
      <c r="W1" s="2"/>
      <c r="X1" s="2"/>
      <c r="Y1" s="2"/>
      <c r="Z1" s="2"/>
    </row>
    <row r="2" spans="1:26" ht="12.75" customHeight="1" x14ac:dyDescent="0.25">
      <c r="A2" s="32"/>
      <c r="B2" s="32"/>
      <c r="C2" s="32"/>
      <c r="D2" s="32"/>
      <c r="E2" s="32">
        <v>1</v>
      </c>
      <c r="F2" s="32">
        <v>2</v>
      </c>
      <c r="G2" s="32">
        <v>3</v>
      </c>
      <c r="H2" s="32">
        <v>4</v>
      </c>
      <c r="I2" s="32">
        <v>5</v>
      </c>
      <c r="J2" s="32">
        <v>6</v>
      </c>
      <c r="K2" s="32">
        <v>7</v>
      </c>
      <c r="L2" s="32">
        <v>8</v>
      </c>
      <c r="M2" s="32">
        <v>9</v>
      </c>
      <c r="N2" s="32">
        <v>10</v>
      </c>
      <c r="O2" s="32">
        <v>11</v>
      </c>
      <c r="P2" s="32">
        <v>12</v>
      </c>
      <c r="Q2" s="32"/>
      <c r="R2" s="2" t="s">
        <v>731</v>
      </c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5">
      <c r="A3" s="33"/>
      <c r="B3" s="33"/>
      <c r="C3" s="33"/>
      <c r="D3" s="33" t="s">
        <v>732</v>
      </c>
      <c r="E3" s="33" t="s">
        <v>733</v>
      </c>
      <c r="F3" s="33" t="s">
        <v>734</v>
      </c>
      <c r="G3" s="33" t="s">
        <v>735</v>
      </c>
      <c r="H3" s="33" t="s">
        <v>736</v>
      </c>
      <c r="I3" s="33" t="s">
        <v>737</v>
      </c>
      <c r="J3" s="33" t="s">
        <v>738</v>
      </c>
      <c r="K3" s="33" t="s">
        <v>739</v>
      </c>
      <c r="L3" s="33" t="s">
        <v>740</v>
      </c>
      <c r="M3" s="33" t="s">
        <v>741</v>
      </c>
      <c r="N3" s="33" t="s">
        <v>742</v>
      </c>
      <c r="O3" s="33" t="s">
        <v>743</v>
      </c>
      <c r="P3" s="33" t="s">
        <v>744</v>
      </c>
      <c r="Q3" s="2"/>
      <c r="R3" s="34"/>
      <c r="S3" s="34" t="s">
        <v>745</v>
      </c>
      <c r="T3" s="34" t="s">
        <v>745</v>
      </c>
      <c r="U3" s="34" t="s">
        <v>745</v>
      </c>
      <c r="V3" s="34" t="s">
        <v>745</v>
      </c>
      <c r="W3" s="2"/>
      <c r="X3" s="2"/>
      <c r="Y3" s="2"/>
      <c r="Z3" s="2"/>
    </row>
    <row r="4" spans="1:26" ht="12.75" customHeight="1" x14ac:dyDescent="0.25">
      <c r="A4" s="35" t="s">
        <v>4</v>
      </c>
      <c r="B4" s="35" t="s">
        <v>746</v>
      </c>
      <c r="C4" s="33"/>
      <c r="D4" s="35" t="s">
        <v>747</v>
      </c>
      <c r="E4" s="35" t="s">
        <v>748</v>
      </c>
      <c r="F4" s="35" t="s">
        <v>749</v>
      </c>
      <c r="G4" s="35" t="s">
        <v>750</v>
      </c>
      <c r="H4" s="35" t="s">
        <v>751</v>
      </c>
      <c r="I4" s="35" t="s">
        <v>752</v>
      </c>
      <c r="J4" s="35" t="s">
        <v>753</v>
      </c>
      <c r="K4" s="35" t="s">
        <v>754</v>
      </c>
      <c r="L4" s="35" t="s">
        <v>755</v>
      </c>
      <c r="M4" s="35" t="s">
        <v>756</v>
      </c>
      <c r="N4" s="35" t="s">
        <v>757</v>
      </c>
      <c r="O4" s="35" t="s">
        <v>758</v>
      </c>
      <c r="P4" s="35" t="s">
        <v>759</v>
      </c>
      <c r="Q4" s="2"/>
      <c r="R4" s="36" t="s">
        <v>760</v>
      </c>
      <c r="S4" s="34" t="s">
        <v>761</v>
      </c>
      <c r="T4" s="34" t="s">
        <v>761</v>
      </c>
      <c r="U4" s="34"/>
      <c r="V4" s="34"/>
      <c r="W4" s="2"/>
      <c r="X4" s="2"/>
      <c r="Y4" s="2"/>
      <c r="Z4" s="2"/>
    </row>
    <row r="5" spans="1:26" ht="12.75" customHeight="1" x14ac:dyDescent="0.25">
      <c r="A5" s="36">
        <v>1</v>
      </c>
      <c r="B5" s="36"/>
      <c r="C5" s="33"/>
      <c r="D5" s="36" t="s">
        <v>760</v>
      </c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2"/>
      <c r="R5" s="36" t="s">
        <v>762</v>
      </c>
      <c r="S5" s="34" t="s">
        <v>763</v>
      </c>
      <c r="T5" s="34" t="s">
        <v>763</v>
      </c>
      <c r="U5" s="34"/>
      <c r="V5" s="34"/>
      <c r="W5" s="2"/>
      <c r="X5" s="2"/>
      <c r="Y5" s="2"/>
      <c r="Z5" s="2"/>
    </row>
    <row r="6" spans="1:26" ht="12.75" customHeight="1" x14ac:dyDescent="0.25">
      <c r="A6" s="36">
        <v>2</v>
      </c>
      <c r="B6" s="36"/>
      <c r="C6" s="33"/>
      <c r="D6" s="36" t="s">
        <v>762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2"/>
      <c r="R6" s="36" t="s">
        <v>762</v>
      </c>
      <c r="S6" s="34" t="s">
        <v>143</v>
      </c>
      <c r="T6" s="34" t="s">
        <v>143</v>
      </c>
      <c r="U6" s="34"/>
      <c r="V6" s="34"/>
      <c r="W6" s="2"/>
      <c r="X6" s="2"/>
      <c r="Y6" s="2"/>
      <c r="Z6" s="2"/>
    </row>
    <row r="7" spans="1:26" ht="12.75" customHeight="1" x14ac:dyDescent="0.25">
      <c r="A7" s="36">
        <v>3</v>
      </c>
      <c r="B7" s="36"/>
      <c r="C7" s="33"/>
      <c r="D7" s="36" t="s">
        <v>762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2"/>
      <c r="R7" s="36" t="s">
        <v>764</v>
      </c>
      <c r="S7" s="34" t="s">
        <v>125</v>
      </c>
      <c r="T7" s="34" t="s">
        <v>765</v>
      </c>
      <c r="U7" s="34"/>
      <c r="V7" s="34"/>
      <c r="W7" s="2"/>
      <c r="X7" s="2"/>
      <c r="Y7" s="2"/>
      <c r="Z7" s="2"/>
    </row>
    <row r="8" spans="1:26" ht="12.75" customHeight="1" x14ac:dyDescent="0.25">
      <c r="A8" s="36">
        <v>4</v>
      </c>
      <c r="B8" s="36"/>
      <c r="C8" s="33"/>
      <c r="D8" s="36" t="s">
        <v>764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2"/>
      <c r="R8" s="36" t="s">
        <v>764</v>
      </c>
      <c r="S8" s="34" t="s">
        <v>150</v>
      </c>
      <c r="T8" s="34" t="s">
        <v>766</v>
      </c>
      <c r="U8" s="34"/>
      <c r="V8" s="34"/>
      <c r="W8" s="2"/>
      <c r="X8" s="2"/>
      <c r="Y8" s="2"/>
      <c r="Z8" s="2"/>
    </row>
    <row r="9" spans="1:26" ht="12.75" customHeight="1" x14ac:dyDescent="0.25">
      <c r="A9" s="36">
        <v>5</v>
      </c>
      <c r="B9" s="36"/>
      <c r="C9" s="33"/>
      <c r="D9" s="36" t="s">
        <v>764</v>
      </c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2"/>
      <c r="R9" s="36" t="s">
        <v>764</v>
      </c>
      <c r="S9" s="34" t="s">
        <v>767</v>
      </c>
      <c r="T9" s="34" t="s">
        <v>768</v>
      </c>
      <c r="U9" s="34"/>
      <c r="V9" s="34"/>
      <c r="W9" s="2"/>
      <c r="X9" s="2"/>
      <c r="Y9" s="2"/>
      <c r="Z9" s="2"/>
    </row>
    <row r="10" spans="1:26" ht="12.75" customHeight="1" x14ac:dyDescent="0.25">
      <c r="A10" s="36">
        <v>6</v>
      </c>
      <c r="B10" s="36"/>
      <c r="C10" s="33"/>
      <c r="D10" s="36" t="s">
        <v>764</v>
      </c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2"/>
      <c r="R10" s="36" t="s">
        <v>769</v>
      </c>
      <c r="S10" s="34" t="s">
        <v>770</v>
      </c>
      <c r="T10" s="34" t="s">
        <v>771</v>
      </c>
      <c r="U10" s="34"/>
      <c r="V10" s="34"/>
      <c r="W10" s="2"/>
      <c r="X10" s="2"/>
      <c r="Y10" s="2"/>
      <c r="Z10" s="2"/>
    </row>
    <row r="11" spans="1:26" ht="12.75" customHeight="1" x14ac:dyDescent="0.25">
      <c r="A11" s="36">
        <v>7</v>
      </c>
      <c r="B11" s="36"/>
      <c r="C11" s="33"/>
      <c r="D11" s="36" t="s">
        <v>769</v>
      </c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2"/>
      <c r="R11" s="36" t="s">
        <v>772</v>
      </c>
      <c r="S11" s="34"/>
      <c r="T11" s="34"/>
      <c r="U11" s="34"/>
      <c r="V11" s="34"/>
      <c r="W11" s="2"/>
      <c r="X11" s="2"/>
      <c r="Y11" s="2"/>
      <c r="Z11" s="2"/>
    </row>
    <row r="12" spans="1:26" ht="12.75" customHeight="1" x14ac:dyDescent="0.25">
      <c r="A12" s="36">
        <v>8</v>
      </c>
      <c r="B12" s="36"/>
      <c r="C12" s="33"/>
      <c r="D12" s="36" t="s">
        <v>772</v>
      </c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2"/>
      <c r="R12" s="36" t="s">
        <v>773</v>
      </c>
      <c r="S12" s="34"/>
      <c r="T12" s="34"/>
      <c r="U12" s="34"/>
      <c r="V12" s="34"/>
      <c r="W12" s="2"/>
      <c r="X12" s="2"/>
      <c r="Y12" s="2"/>
      <c r="Z12" s="2"/>
    </row>
    <row r="13" spans="1:26" ht="12.75" customHeight="1" x14ac:dyDescent="0.25">
      <c r="A13" s="36">
        <v>9</v>
      </c>
      <c r="B13" s="36"/>
      <c r="C13" s="33"/>
      <c r="D13" s="36" t="s">
        <v>773</v>
      </c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2"/>
      <c r="R13" s="36" t="s">
        <v>774</v>
      </c>
      <c r="S13" s="34"/>
      <c r="T13" s="34"/>
      <c r="U13" s="34"/>
      <c r="V13" s="34"/>
      <c r="W13" s="2"/>
      <c r="X13" s="2"/>
      <c r="Y13" s="2"/>
      <c r="Z13" s="2"/>
    </row>
    <row r="14" spans="1:26" ht="12.75" customHeight="1" x14ac:dyDescent="0.25">
      <c r="A14" s="36">
        <v>10</v>
      </c>
      <c r="B14" s="36"/>
      <c r="C14" s="33"/>
      <c r="D14" s="36" t="s">
        <v>774</v>
      </c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2"/>
      <c r="R14" s="36" t="s">
        <v>774</v>
      </c>
      <c r="S14" s="34"/>
      <c r="T14" s="34"/>
      <c r="U14" s="34"/>
      <c r="V14" s="34"/>
      <c r="W14" s="2"/>
      <c r="X14" s="2"/>
      <c r="Y14" s="2"/>
      <c r="Z14" s="2"/>
    </row>
    <row r="15" spans="1:26" ht="12.75" customHeight="1" x14ac:dyDescent="0.25">
      <c r="A15" s="36">
        <v>11</v>
      </c>
      <c r="B15" s="36"/>
      <c r="C15" s="33"/>
      <c r="D15" s="36" t="s">
        <v>774</v>
      </c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2"/>
      <c r="R15" s="36" t="s">
        <v>774</v>
      </c>
      <c r="S15" s="34"/>
      <c r="T15" s="34"/>
      <c r="U15" s="34"/>
      <c r="V15" s="34"/>
      <c r="W15" s="2"/>
      <c r="X15" s="2"/>
      <c r="Y15" s="2"/>
      <c r="Z15" s="2"/>
    </row>
    <row r="16" spans="1:26" ht="12.75" customHeight="1" x14ac:dyDescent="0.25">
      <c r="A16" s="36">
        <v>12</v>
      </c>
      <c r="B16" s="36"/>
      <c r="C16" s="33"/>
      <c r="D16" s="36" t="s">
        <v>774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2"/>
      <c r="R16" s="36" t="s">
        <v>774</v>
      </c>
      <c r="S16" s="34"/>
      <c r="T16" s="34"/>
      <c r="U16" s="34"/>
      <c r="V16" s="34"/>
      <c r="W16" s="2"/>
      <c r="X16" s="2"/>
      <c r="Y16" s="2"/>
      <c r="Z16" s="2"/>
    </row>
    <row r="17" spans="1:26" ht="12.75" customHeight="1" x14ac:dyDescent="0.25">
      <c r="A17" s="36">
        <v>13</v>
      </c>
      <c r="B17" s="36"/>
      <c r="C17" s="33"/>
      <c r="D17" s="36" t="s">
        <v>774</v>
      </c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2"/>
      <c r="R17" s="36" t="s">
        <v>774</v>
      </c>
      <c r="S17" s="34"/>
      <c r="T17" s="34"/>
      <c r="U17" s="34"/>
      <c r="V17" s="34"/>
      <c r="W17" s="2"/>
      <c r="X17" s="2"/>
      <c r="Y17" s="2"/>
      <c r="Z17" s="2"/>
    </row>
    <row r="18" spans="1:26" ht="12.75" customHeight="1" x14ac:dyDescent="0.25">
      <c r="A18" s="36">
        <v>14</v>
      </c>
      <c r="B18" s="36"/>
      <c r="C18" s="33"/>
      <c r="D18" s="36" t="s">
        <v>774</v>
      </c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2"/>
      <c r="R18" s="36" t="s">
        <v>774</v>
      </c>
      <c r="S18" s="34"/>
      <c r="T18" s="34"/>
      <c r="U18" s="34"/>
      <c r="V18" s="34"/>
      <c r="W18" s="2"/>
      <c r="X18" s="2"/>
      <c r="Y18" s="2"/>
      <c r="Z18" s="2"/>
    </row>
    <row r="19" spans="1:26" ht="12.75" customHeight="1" x14ac:dyDescent="0.25">
      <c r="A19" s="36">
        <v>15</v>
      </c>
      <c r="B19" s="36"/>
      <c r="C19" s="33"/>
      <c r="D19" s="36" t="s">
        <v>774</v>
      </c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2"/>
      <c r="R19" s="36" t="s">
        <v>774</v>
      </c>
      <c r="S19" s="34"/>
      <c r="T19" s="34"/>
      <c r="U19" s="34"/>
      <c r="V19" s="34"/>
      <c r="W19" s="2"/>
      <c r="X19" s="2"/>
      <c r="Y19" s="2"/>
      <c r="Z19" s="2"/>
    </row>
    <row r="20" spans="1:26" ht="12.75" customHeight="1" x14ac:dyDescent="0.25">
      <c r="A20" s="36">
        <v>16</v>
      </c>
      <c r="B20" s="36"/>
      <c r="C20" s="33"/>
      <c r="D20" s="36" t="s">
        <v>774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2"/>
      <c r="R20" s="33"/>
      <c r="W20" s="2"/>
      <c r="X20" s="2"/>
      <c r="Y20" s="2"/>
      <c r="Z20" s="2"/>
    </row>
    <row r="21" spans="1:26" ht="12.75" customHeight="1" x14ac:dyDescent="0.2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W21" s="2"/>
      <c r="X21" s="2"/>
      <c r="Y21" s="2"/>
      <c r="Z21" s="2"/>
    </row>
    <row r="22" spans="1:26" ht="12.75" customHeight="1" x14ac:dyDescent="0.25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T22" s="38"/>
      <c r="U22" s="38"/>
      <c r="V22" s="38"/>
      <c r="W22" s="2"/>
      <c r="X22" s="2"/>
      <c r="Y22" s="2"/>
      <c r="Z22" s="2"/>
    </row>
    <row r="23" spans="1:26" ht="12.75" customHeight="1" x14ac:dyDescent="0.25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W23" s="2"/>
      <c r="X23" s="2"/>
      <c r="Y23" s="2"/>
      <c r="Z23" s="2"/>
    </row>
    <row r="24" spans="1:26" ht="12.75" customHeight="1" x14ac:dyDescent="0.25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W24" s="2"/>
      <c r="X24" s="2"/>
      <c r="Y24" s="2"/>
      <c r="Z24" s="2"/>
    </row>
    <row r="25" spans="1:26" ht="12.75" customHeight="1" x14ac:dyDescent="0.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2"/>
      <c r="N25" s="33"/>
      <c r="O25" s="33"/>
      <c r="P25" s="33"/>
      <c r="Q25" s="33"/>
      <c r="R25" s="33"/>
      <c r="W25" s="2"/>
      <c r="X25" s="2"/>
      <c r="Y25" s="2"/>
      <c r="Z25" s="2"/>
    </row>
    <row r="26" spans="1:26" ht="12.75" customHeight="1" x14ac:dyDescent="0.2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2"/>
      <c r="N26" s="33"/>
      <c r="O26" s="33"/>
      <c r="P26" s="33"/>
      <c r="Q26" s="33"/>
      <c r="R26" s="33"/>
      <c r="W26" s="2"/>
      <c r="X26" s="2"/>
      <c r="Y26" s="2"/>
      <c r="Z26" s="2"/>
    </row>
    <row r="27" spans="1:26" ht="12.75" customHeight="1" x14ac:dyDescent="0.2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2"/>
      <c r="N27" s="33"/>
      <c r="O27" s="33"/>
      <c r="P27" s="33"/>
      <c r="Q27" s="33"/>
      <c r="R27" s="33"/>
      <c r="W27" s="2"/>
      <c r="X27" s="2"/>
      <c r="Y27" s="2"/>
      <c r="Z27" s="2"/>
    </row>
    <row r="28" spans="1:26" ht="12.75" customHeight="1" x14ac:dyDescent="0.25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2"/>
      <c r="N28" s="33"/>
      <c r="O28" s="33"/>
      <c r="P28" s="33"/>
      <c r="Q28" s="33"/>
      <c r="R28" s="33"/>
      <c r="W28" s="2"/>
      <c r="X28" s="2"/>
      <c r="Y28" s="2"/>
      <c r="Z28" s="2"/>
    </row>
    <row r="29" spans="1:26" ht="12.75" customHeight="1" x14ac:dyDescent="0.25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2"/>
      <c r="N29" s="33"/>
      <c r="O29" s="33"/>
      <c r="P29" s="33"/>
      <c r="Q29" s="33"/>
      <c r="R29" s="33"/>
      <c r="W29" s="2"/>
      <c r="X29" s="2"/>
      <c r="Y29" s="2"/>
      <c r="Z29" s="2"/>
    </row>
    <row r="30" spans="1:26" ht="12.75" customHeight="1" x14ac:dyDescent="0.2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2"/>
      <c r="N30" s="33"/>
      <c r="O30" s="33"/>
      <c r="P30" s="33"/>
      <c r="Q30" s="33"/>
      <c r="R30" s="33"/>
      <c r="W30" s="2"/>
      <c r="X30" s="2"/>
      <c r="Y30" s="2"/>
      <c r="Z30" s="2"/>
    </row>
    <row r="31" spans="1:26" ht="12.75" customHeight="1" x14ac:dyDescent="0.2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2"/>
      <c r="N31" s="33"/>
      <c r="O31" s="33"/>
      <c r="P31" s="33"/>
      <c r="Q31" s="33"/>
      <c r="R31" s="33"/>
      <c r="W31" s="2"/>
      <c r="X31" s="2"/>
      <c r="Y31" s="2"/>
      <c r="Z31" s="2"/>
    </row>
    <row r="32" spans="1:26" ht="12.75" customHeight="1" x14ac:dyDescent="0.2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W32" s="2"/>
      <c r="X32" s="2"/>
      <c r="Y32" s="2"/>
      <c r="Z32" s="2"/>
    </row>
    <row r="33" spans="1:26" ht="12.75" customHeight="1" x14ac:dyDescent="0.25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W33" s="2"/>
      <c r="X33" s="2"/>
      <c r="Y33" s="2"/>
      <c r="Z33" s="2"/>
    </row>
    <row r="34" spans="1:26" ht="12.75" customHeight="1" x14ac:dyDescent="0.25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W34" s="2"/>
      <c r="X34" s="2"/>
      <c r="Y34" s="2"/>
      <c r="Z34" s="2"/>
    </row>
    <row r="35" spans="1:26" ht="12.75" customHeight="1" x14ac:dyDescent="0.2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W35" s="2"/>
      <c r="X35" s="2"/>
      <c r="Y35" s="2"/>
      <c r="Z35" s="2"/>
    </row>
    <row r="36" spans="1:26" ht="12.75" customHeight="1" x14ac:dyDescent="0.25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W36" s="2"/>
      <c r="X36" s="2"/>
      <c r="Y36" s="2"/>
      <c r="Z36" s="2"/>
    </row>
    <row r="37" spans="1:26" ht="12.75" customHeight="1" x14ac:dyDescent="0.25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W37" s="2"/>
      <c r="X37" s="2"/>
      <c r="Y37" s="2"/>
      <c r="Z37" s="2"/>
    </row>
    <row r="38" spans="1:26" ht="12.75" customHeight="1" x14ac:dyDescent="0.25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Q38" s="33"/>
      <c r="R38" s="33"/>
      <c r="W38" s="2"/>
      <c r="X38" s="2"/>
      <c r="Y38" s="2"/>
      <c r="Z38" s="2"/>
    </row>
    <row r="39" spans="1:26" ht="12.75" customHeight="1" x14ac:dyDescent="0.2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Q39" s="33"/>
      <c r="R39" s="33"/>
      <c r="W39" s="2"/>
      <c r="X39" s="2"/>
      <c r="Y39" s="2"/>
      <c r="Z39" s="2"/>
    </row>
    <row r="40" spans="1:26" ht="12.75" customHeight="1" x14ac:dyDescent="0.25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Q40" s="33"/>
      <c r="R40" s="33"/>
      <c r="W40" s="2"/>
      <c r="X40" s="2"/>
      <c r="Y40" s="2"/>
      <c r="Z40" s="2"/>
    </row>
    <row r="41" spans="1:26" ht="12.75" customHeight="1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Q41" s="33"/>
      <c r="R41" s="33"/>
      <c r="W41" s="2"/>
      <c r="X41" s="2"/>
      <c r="Y41" s="2"/>
      <c r="Z41" s="2"/>
    </row>
    <row r="42" spans="1:26" ht="12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14.42578125" defaultRowHeight="15" customHeight="1" x14ac:dyDescent="0.25"/>
  <cols>
    <col min="1" max="2" width="8.7109375" customWidth="1"/>
    <col min="3" max="5" width="9.7109375" customWidth="1"/>
    <col min="6" max="6" width="8.7109375" customWidth="1"/>
    <col min="7" max="7" width="21.140625" customWidth="1"/>
    <col min="8" max="9" width="8.7109375" customWidth="1"/>
    <col min="10" max="10" width="21" customWidth="1"/>
    <col min="11" max="14" width="8.7109375" customWidth="1"/>
    <col min="15" max="21" width="8.85546875" customWidth="1"/>
    <col min="22" max="32" width="8.7109375" customWidth="1"/>
  </cols>
  <sheetData>
    <row r="1" spans="1:32" ht="14.25" customHeight="1" x14ac:dyDescent="0.35">
      <c r="A1" s="95" t="s">
        <v>1</v>
      </c>
      <c r="B1" s="96"/>
      <c r="C1" s="96"/>
      <c r="D1" s="2"/>
      <c r="E1" s="2"/>
      <c r="F1" s="2"/>
      <c r="G1" s="2"/>
      <c r="H1" s="3"/>
      <c r="I1" s="2"/>
      <c r="J1" s="2" t="s">
        <v>4</v>
      </c>
      <c r="K1" s="4">
        <v>1</v>
      </c>
      <c r="L1" s="4">
        <v>2</v>
      </c>
      <c r="M1" s="4">
        <v>3</v>
      </c>
      <c r="N1" s="4">
        <v>4</v>
      </c>
      <c r="O1" s="4">
        <v>5</v>
      </c>
      <c r="P1" s="4">
        <v>6</v>
      </c>
      <c r="Q1" s="4">
        <v>7</v>
      </c>
      <c r="R1" s="4">
        <v>8</v>
      </c>
      <c r="S1" s="4">
        <v>9</v>
      </c>
      <c r="T1" s="4">
        <v>10</v>
      </c>
      <c r="U1" s="4">
        <v>11</v>
      </c>
      <c r="V1" s="4">
        <v>12</v>
      </c>
      <c r="W1" s="4">
        <v>13</v>
      </c>
      <c r="X1" s="4">
        <v>14</v>
      </c>
      <c r="Y1" s="4">
        <v>15</v>
      </c>
      <c r="Z1" s="4">
        <v>16</v>
      </c>
      <c r="AB1" s="4"/>
      <c r="AC1" s="4"/>
      <c r="AD1" s="4"/>
      <c r="AF1" s="2"/>
    </row>
    <row r="2" spans="1:32" ht="14.25" customHeight="1" x14ac:dyDescent="0.25">
      <c r="A2" s="1" t="s">
        <v>14</v>
      </c>
      <c r="B2" s="2" t="s">
        <v>17</v>
      </c>
      <c r="C2" s="2"/>
      <c r="D2" s="2"/>
      <c r="E2" s="2"/>
      <c r="F2" s="2"/>
      <c r="G2" s="2"/>
      <c r="H2" s="3" t="s">
        <v>21</v>
      </c>
      <c r="I2" s="2">
        <v>3</v>
      </c>
      <c r="J2" s="2" t="s">
        <v>23</v>
      </c>
      <c r="K2" s="2">
        <f t="shared" ref="K2:Z2" si="0">COUNTIF($D$7:$D$301, K1)</f>
        <v>3</v>
      </c>
      <c r="L2" s="2">
        <f t="shared" si="0"/>
        <v>19</v>
      </c>
      <c r="M2" s="2">
        <f t="shared" si="0"/>
        <v>5</v>
      </c>
      <c r="N2" s="2">
        <f t="shared" si="0"/>
        <v>19</v>
      </c>
      <c r="O2" s="2">
        <f t="shared" si="0"/>
        <v>5</v>
      </c>
      <c r="P2" s="2">
        <f t="shared" si="0"/>
        <v>17</v>
      </c>
      <c r="Q2" s="2">
        <f t="shared" si="0"/>
        <v>8</v>
      </c>
      <c r="R2" s="12">
        <f t="shared" si="0"/>
        <v>0</v>
      </c>
      <c r="S2" s="2">
        <f t="shared" si="0"/>
        <v>21</v>
      </c>
      <c r="T2" s="2">
        <f t="shared" si="0"/>
        <v>3</v>
      </c>
      <c r="U2" s="2">
        <f t="shared" si="0"/>
        <v>4</v>
      </c>
      <c r="V2" s="2">
        <f t="shared" si="0"/>
        <v>1</v>
      </c>
      <c r="W2" s="2">
        <f t="shared" si="0"/>
        <v>1</v>
      </c>
      <c r="X2" s="12">
        <f t="shared" si="0"/>
        <v>0</v>
      </c>
      <c r="Y2" s="2">
        <f t="shared" si="0"/>
        <v>0</v>
      </c>
      <c r="Z2" s="2">
        <f t="shared" si="0"/>
        <v>0</v>
      </c>
      <c r="AD2" s="2"/>
      <c r="AF2" s="2"/>
    </row>
    <row r="3" spans="1:32" ht="14.25" customHeight="1" x14ac:dyDescent="0.25">
      <c r="B3" s="2" t="s">
        <v>40</v>
      </c>
      <c r="C3" s="2"/>
      <c r="D3" s="2"/>
      <c r="E3" s="2"/>
      <c r="F3" s="2"/>
      <c r="G3" s="2"/>
      <c r="H3" s="3" t="s">
        <v>41</v>
      </c>
      <c r="I3" s="2">
        <f>24-I2+1</f>
        <v>22</v>
      </c>
      <c r="J3" s="2" t="s">
        <v>46</v>
      </c>
      <c r="K3" s="2">
        <f>K2</f>
        <v>3</v>
      </c>
      <c r="L3" s="2">
        <f t="shared" ref="L3:Z3" si="1">K3+L2</f>
        <v>22</v>
      </c>
      <c r="M3" s="2">
        <f t="shared" si="1"/>
        <v>27</v>
      </c>
      <c r="N3" s="2">
        <f t="shared" si="1"/>
        <v>46</v>
      </c>
      <c r="O3" s="2">
        <f t="shared" si="1"/>
        <v>51</v>
      </c>
      <c r="P3" s="2">
        <f t="shared" si="1"/>
        <v>68</v>
      </c>
      <c r="Q3" s="2">
        <f t="shared" si="1"/>
        <v>76</v>
      </c>
      <c r="R3" s="2">
        <f t="shared" si="1"/>
        <v>76</v>
      </c>
      <c r="S3" s="2">
        <f t="shared" si="1"/>
        <v>97</v>
      </c>
      <c r="T3" s="2">
        <f t="shared" si="1"/>
        <v>100</v>
      </c>
      <c r="U3" s="2">
        <f t="shared" si="1"/>
        <v>104</v>
      </c>
      <c r="V3" s="2">
        <f t="shared" si="1"/>
        <v>105</v>
      </c>
      <c r="W3" s="2">
        <f t="shared" si="1"/>
        <v>106</v>
      </c>
      <c r="X3" s="2">
        <f t="shared" si="1"/>
        <v>106</v>
      </c>
      <c r="Y3" s="2">
        <f t="shared" si="1"/>
        <v>106</v>
      </c>
      <c r="Z3" s="2">
        <f t="shared" si="1"/>
        <v>106</v>
      </c>
      <c r="AD3" s="2"/>
      <c r="AF3" s="2"/>
    </row>
    <row r="4" spans="1:32" ht="14.25" customHeight="1" x14ac:dyDescent="0.25">
      <c r="B4" s="1" t="s">
        <v>59</v>
      </c>
      <c r="C4" s="2"/>
      <c r="D4" s="2"/>
      <c r="E4" s="2"/>
      <c r="G4" s="2"/>
      <c r="H4" s="3"/>
      <c r="I4" s="2"/>
      <c r="J4" s="2" t="s">
        <v>61</v>
      </c>
      <c r="K4" s="2">
        <f>I2</f>
        <v>3</v>
      </c>
      <c r="L4" s="2">
        <f>I3</f>
        <v>22</v>
      </c>
      <c r="M4" s="2">
        <f>L4+5</f>
        <v>27</v>
      </c>
      <c r="N4" s="2">
        <f>M4+19</f>
        <v>46</v>
      </c>
      <c r="O4" s="2">
        <f>N4+5</f>
        <v>51</v>
      </c>
      <c r="P4" s="2">
        <f>O4+19</f>
        <v>70</v>
      </c>
      <c r="Q4" s="2">
        <f>P4+5</f>
        <v>75</v>
      </c>
      <c r="R4" s="2">
        <f>Q4+19</f>
        <v>94</v>
      </c>
      <c r="S4" s="2">
        <f>R4+5</f>
        <v>99</v>
      </c>
      <c r="T4" s="2">
        <f>S4+19</f>
        <v>118</v>
      </c>
      <c r="U4" s="2">
        <f>T4+5</f>
        <v>123</v>
      </c>
      <c r="V4" s="2">
        <f>U4+19</f>
        <v>142</v>
      </c>
      <c r="W4" s="2">
        <f>V4+5</f>
        <v>147</v>
      </c>
      <c r="X4" s="2">
        <f>W4+19</f>
        <v>166</v>
      </c>
      <c r="Y4" s="2">
        <f>X4+5</f>
        <v>171</v>
      </c>
      <c r="Z4" s="2">
        <f>Y4+19</f>
        <v>190</v>
      </c>
      <c r="AD4" s="2"/>
      <c r="AF4" s="2"/>
    </row>
    <row r="5" spans="1:32" ht="14.25" customHeight="1" x14ac:dyDescent="0.25">
      <c r="C5" s="2"/>
      <c r="D5" s="2"/>
      <c r="E5" s="2"/>
      <c r="F5" s="2"/>
      <c r="G5" s="2"/>
      <c r="H5" s="3"/>
      <c r="I5" s="2"/>
      <c r="J5" s="2" t="s">
        <v>82</v>
      </c>
      <c r="K5" s="2">
        <f t="shared" ref="K5:Z5" si="2">K3-K4</f>
        <v>0</v>
      </c>
      <c r="L5" s="2">
        <f t="shared" si="2"/>
        <v>0</v>
      </c>
      <c r="M5" s="2">
        <f t="shared" si="2"/>
        <v>0</v>
      </c>
      <c r="N5" s="2">
        <f t="shared" si="2"/>
        <v>0</v>
      </c>
      <c r="O5" s="2">
        <f t="shared" si="2"/>
        <v>0</v>
      </c>
      <c r="P5" s="2">
        <f t="shared" si="2"/>
        <v>-2</v>
      </c>
      <c r="Q5" s="2">
        <f t="shared" si="2"/>
        <v>1</v>
      </c>
      <c r="R5" s="2">
        <f t="shared" si="2"/>
        <v>-18</v>
      </c>
      <c r="S5" s="2">
        <f t="shared" si="2"/>
        <v>-2</v>
      </c>
      <c r="T5" s="2">
        <f t="shared" si="2"/>
        <v>-18</v>
      </c>
      <c r="U5" s="2">
        <f t="shared" si="2"/>
        <v>-19</v>
      </c>
      <c r="V5" s="2">
        <f t="shared" si="2"/>
        <v>-37</v>
      </c>
      <c r="W5" s="2">
        <f t="shared" si="2"/>
        <v>-41</v>
      </c>
      <c r="X5" s="2">
        <f t="shared" si="2"/>
        <v>-60</v>
      </c>
      <c r="Y5" s="2">
        <f t="shared" si="2"/>
        <v>-65</v>
      </c>
      <c r="Z5" s="2">
        <f t="shared" si="2"/>
        <v>-84</v>
      </c>
      <c r="AD5" s="2"/>
      <c r="AF5" s="2"/>
    </row>
    <row r="6" spans="1:32" ht="14.25" customHeight="1" x14ac:dyDescent="0.25">
      <c r="A6" s="15" t="s">
        <v>95</v>
      </c>
      <c r="B6" s="16" t="s">
        <v>96</v>
      </c>
      <c r="C6" s="17" t="s">
        <v>99</v>
      </c>
      <c r="D6" s="17" t="s">
        <v>26</v>
      </c>
      <c r="E6" s="17" t="s">
        <v>100</v>
      </c>
      <c r="F6" s="17" t="s">
        <v>27</v>
      </c>
      <c r="G6" s="4" t="s">
        <v>5</v>
      </c>
      <c r="H6" s="4" t="s">
        <v>8</v>
      </c>
      <c r="I6" s="4" t="s">
        <v>7</v>
      </c>
      <c r="J6" s="4" t="s">
        <v>28</v>
      </c>
      <c r="K6" s="4" t="s">
        <v>29</v>
      </c>
      <c r="L6" s="18" t="s">
        <v>102</v>
      </c>
      <c r="M6" s="18" t="s">
        <v>18</v>
      </c>
      <c r="N6" s="16" t="s">
        <v>105</v>
      </c>
      <c r="O6" s="15" t="s">
        <v>22</v>
      </c>
      <c r="P6" s="19" t="s">
        <v>106</v>
      </c>
      <c r="Q6" s="15" t="s">
        <v>9</v>
      </c>
      <c r="R6" s="15" t="s">
        <v>10</v>
      </c>
      <c r="S6" s="15" t="s">
        <v>12</v>
      </c>
      <c r="T6" s="15" t="s">
        <v>19</v>
      </c>
      <c r="U6" s="15" t="s">
        <v>15</v>
      </c>
      <c r="V6" s="16" t="s">
        <v>110</v>
      </c>
      <c r="W6" s="16" t="s">
        <v>111</v>
      </c>
      <c r="X6" s="16" t="s">
        <v>112</v>
      </c>
      <c r="Y6" s="16" t="s">
        <v>113</v>
      </c>
      <c r="Z6" s="4" t="s">
        <v>30</v>
      </c>
    </row>
    <row r="7" spans="1:32" ht="14.25" customHeight="1" x14ac:dyDescent="0.25">
      <c r="A7" s="11"/>
      <c r="B7" s="11">
        <v>1</v>
      </c>
      <c r="C7" s="11" t="s">
        <v>119</v>
      </c>
      <c r="D7" s="11">
        <v>1</v>
      </c>
      <c r="E7" s="11"/>
      <c r="F7" s="11">
        <v>0</v>
      </c>
      <c r="G7" s="11" t="s">
        <v>54</v>
      </c>
      <c r="H7" s="11" t="s">
        <v>55</v>
      </c>
      <c r="I7" s="11">
        <v>7</v>
      </c>
      <c r="J7" s="21">
        <v>0</v>
      </c>
      <c r="K7" s="11" t="s">
        <v>839</v>
      </c>
      <c r="L7" s="11">
        <v>2</v>
      </c>
      <c r="M7" s="11">
        <v>10</v>
      </c>
      <c r="N7" s="11">
        <v>2</v>
      </c>
      <c r="O7" s="11">
        <v>8</v>
      </c>
      <c r="P7" s="11">
        <v>2</v>
      </c>
      <c r="Q7" s="11">
        <v>7</v>
      </c>
      <c r="R7" s="11">
        <v>7</v>
      </c>
      <c r="S7" s="11">
        <v>8</v>
      </c>
      <c r="T7" s="11">
        <v>7</v>
      </c>
      <c r="U7" s="11">
        <v>11</v>
      </c>
      <c r="V7" s="11">
        <v>8</v>
      </c>
      <c r="W7" s="11">
        <v>2</v>
      </c>
      <c r="X7" s="11">
        <v>-1</v>
      </c>
      <c r="Y7" s="11">
        <v>1</v>
      </c>
      <c r="Z7" s="25">
        <v>4</v>
      </c>
    </row>
    <row r="8" spans="1:32" ht="14.25" customHeight="1" x14ac:dyDescent="0.25">
      <c r="A8" s="11" t="s">
        <v>148</v>
      </c>
      <c r="B8" s="11">
        <v>3</v>
      </c>
      <c r="C8" s="11" t="s">
        <v>119</v>
      </c>
      <c r="D8" s="11">
        <v>1</v>
      </c>
      <c r="E8" s="11"/>
      <c r="F8" s="11">
        <v>0</v>
      </c>
      <c r="G8" s="11" t="s">
        <v>190</v>
      </c>
      <c r="H8" s="11" t="s">
        <v>81</v>
      </c>
      <c r="I8" s="11">
        <v>33</v>
      </c>
      <c r="J8" s="26" t="s">
        <v>148</v>
      </c>
      <c r="K8" s="11" t="s">
        <v>840</v>
      </c>
      <c r="L8" s="11">
        <v>4</v>
      </c>
      <c r="M8" s="11">
        <v>27</v>
      </c>
      <c r="N8" s="11">
        <v>-7</v>
      </c>
      <c r="O8" s="11">
        <v>39</v>
      </c>
      <c r="P8" s="11">
        <v>-12</v>
      </c>
      <c r="Q8" s="11">
        <v>31</v>
      </c>
      <c r="R8" s="11">
        <v>36</v>
      </c>
      <c r="S8" s="11">
        <v>36</v>
      </c>
      <c r="T8" s="11">
        <v>33</v>
      </c>
      <c r="U8" s="11">
        <v>36</v>
      </c>
      <c r="V8" s="11">
        <v>34</v>
      </c>
      <c r="W8" s="11">
        <v>5</v>
      </c>
      <c r="X8" s="11">
        <v>-4</v>
      </c>
      <c r="Y8" s="11">
        <v>8</v>
      </c>
      <c r="Z8" s="25">
        <v>16</v>
      </c>
    </row>
    <row r="9" spans="1:32" ht="14.25" customHeight="1" x14ac:dyDescent="0.25">
      <c r="A9" s="11"/>
      <c r="B9" s="11">
        <v>1</v>
      </c>
      <c r="C9" s="11" t="s">
        <v>119</v>
      </c>
      <c r="D9" s="11">
        <v>1</v>
      </c>
      <c r="E9" s="11" t="s">
        <v>243</v>
      </c>
      <c r="F9" s="11">
        <v>0</v>
      </c>
      <c r="G9" s="11" t="s">
        <v>68</v>
      </c>
      <c r="H9" s="11" t="s">
        <v>69</v>
      </c>
      <c r="I9" s="11">
        <v>3</v>
      </c>
      <c r="J9" s="26">
        <v>0</v>
      </c>
      <c r="K9" s="11" t="s">
        <v>73</v>
      </c>
      <c r="L9" s="11">
        <v>1</v>
      </c>
      <c r="M9" s="11">
        <v>6</v>
      </c>
      <c r="N9" s="11">
        <v>2</v>
      </c>
      <c r="O9" s="11">
        <v>5</v>
      </c>
      <c r="P9" s="11">
        <v>1</v>
      </c>
      <c r="Q9" s="11">
        <v>6</v>
      </c>
      <c r="R9" s="11">
        <v>5</v>
      </c>
      <c r="S9" s="11">
        <v>4</v>
      </c>
      <c r="T9" s="11">
        <v>4</v>
      </c>
      <c r="U9" s="11">
        <v>3</v>
      </c>
      <c r="V9" s="11">
        <v>4</v>
      </c>
      <c r="W9" s="11">
        <v>1</v>
      </c>
      <c r="X9" s="11">
        <v>0</v>
      </c>
      <c r="Y9" s="11">
        <v>1</v>
      </c>
      <c r="Z9" s="25">
        <v>3</v>
      </c>
    </row>
    <row r="10" spans="1:32" ht="14.25" customHeight="1" x14ac:dyDescent="0.25">
      <c r="A10" s="11"/>
      <c r="B10" s="11">
        <v>4</v>
      </c>
      <c r="C10" s="11" t="s">
        <v>119</v>
      </c>
      <c r="D10" s="11">
        <v>2</v>
      </c>
      <c r="E10" s="11"/>
      <c r="F10" s="11">
        <v>0</v>
      </c>
      <c r="G10" s="11" t="s">
        <v>143</v>
      </c>
      <c r="H10" s="11" t="s">
        <v>145</v>
      </c>
      <c r="I10" s="11">
        <v>47</v>
      </c>
      <c r="J10" s="21">
        <v>0</v>
      </c>
      <c r="K10" s="11" t="s">
        <v>841</v>
      </c>
      <c r="L10" s="11">
        <v>5</v>
      </c>
      <c r="M10" s="11">
        <v>32</v>
      </c>
      <c r="N10" s="11">
        <v>-7</v>
      </c>
      <c r="O10" s="11">
        <v>41</v>
      </c>
      <c r="P10" s="11">
        <v>-9</v>
      </c>
      <c r="Q10" s="11">
        <v>51</v>
      </c>
      <c r="R10" s="11">
        <v>41</v>
      </c>
      <c r="S10" s="11">
        <v>42</v>
      </c>
      <c r="T10" s="11">
        <v>39</v>
      </c>
      <c r="U10" s="11">
        <v>31</v>
      </c>
      <c r="V10" s="11">
        <v>39</v>
      </c>
      <c r="W10" s="11">
        <v>5</v>
      </c>
      <c r="X10" s="11">
        <v>-3</v>
      </c>
      <c r="Y10" s="11">
        <v>11</v>
      </c>
      <c r="Z10" s="25">
        <v>16</v>
      </c>
    </row>
    <row r="11" spans="1:32" ht="14.25" customHeight="1" x14ac:dyDescent="0.25">
      <c r="A11" s="11"/>
      <c r="B11" s="11">
        <v>1</v>
      </c>
      <c r="C11" s="11" t="s">
        <v>119</v>
      </c>
      <c r="D11" s="11">
        <v>2</v>
      </c>
      <c r="E11" s="11"/>
      <c r="F11" s="11">
        <v>0</v>
      </c>
      <c r="G11" s="11" t="s">
        <v>38</v>
      </c>
      <c r="H11" s="11" t="s">
        <v>39</v>
      </c>
      <c r="I11" s="11">
        <v>2</v>
      </c>
      <c r="J11" s="21">
        <v>0</v>
      </c>
      <c r="K11" s="11" t="s">
        <v>839</v>
      </c>
      <c r="L11" s="11">
        <v>1</v>
      </c>
      <c r="M11" s="11">
        <v>3</v>
      </c>
      <c r="N11" s="11">
        <v>1</v>
      </c>
      <c r="O11" s="11">
        <v>2</v>
      </c>
      <c r="P11" s="11">
        <v>1</v>
      </c>
      <c r="Q11" s="11">
        <v>2</v>
      </c>
      <c r="R11" s="11">
        <v>2</v>
      </c>
      <c r="S11" s="11">
        <v>2</v>
      </c>
      <c r="T11" s="11">
        <v>2</v>
      </c>
      <c r="U11" s="11">
        <v>2</v>
      </c>
      <c r="V11" s="11">
        <v>2</v>
      </c>
      <c r="W11" s="11">
        <v>1</v>
      </c>
      <c r="X11" s="11">
        <v>1</v>
      </c>
      <c r="Y11" s="11">
        <v>0</v>
      </c>
      <c r="Z11" s="25">
        <v>1</v>
      </c>
    </row>
    <row r="12" spans="1:32" ht="14.25" customHeight="1" x14ac:dyDescent="0.25">
      <c r="A12" s="11"/>
      <c r="B12" s="11">
        <v>1</v>
      </c>
      <c r="C12" s="11" t="s">
        <v>119</v>
      </c>
      <c r="D12" s="11">
        <v>2</v>
      </c>
      <c r="E12" s="11"/>
      <c r="F12" s="11">
        <v>0</v>
      </c>
      <c r="G12" s="11" t="s">
        <v>43</v>
      </c>
      <c r="H12" s="11" t="s">
        <v>44</v>
      </c>
      <c r="I12" s="11">
        <v>1</v>
      </c>
      <c r="J12" s="26">
        <v>0</v>
      </c>
      <c r="K12" s="11" t="s">
        <v>73</v>
      </c>
      <c r="L12" s="11">
        <v>1</v>
      </c>
      <c r="M12" s="11">
        <v>1</v>
      </c>
      <c r="N12" s="11">
        <v>0</v>
      </c>
      <c r="O12" s="11">
        <v>1</v>
      </c>
      <c r="P12" s="11">
        <v>0</v>
      </c>
      <c r="Q12" s="11">
        <v>1</v>
      </c>
      <c r="R12" s="11">
        <v>1</v>
      </c>
      <c r="S12" s="11">
        <v>1</v>
      </c>
      <c r="T12" s="11">
        <v>1</v>
      </c>
      <c r="U12" s="11">
        <v>1</v>
      </c>
      <c r="V12" s="11">
        <v>1</v>
      </c>
      <c r="W12" s="11">
        <v>1</v>
      </c>
      <c r="X12" s="11">
        <v>1</v>
      </c>
      <c r="Y12" s="11">
        <v>0</v>
      </c>
      <c r="Z12" s="25">
        <v>1</v>
      </c>
    </row>
    <row r="13" spans="1:32" ht="14.25" customHeight="1" x14ac:dyDescent="0.25">
      <c r="A13" s="11"/>
      <c r="B13" s="11">
        <v>2</v>
      </c>
      <c r="C13" s="11" t="s">
        <v>119</v>
      </c>
      <c r="D13" s="11"/>
      <c r="E13" s="11"/>
      <c r="F13" s="11">
        <v>0</v>
      </c>
      <c r="G13" s="11" t="s">
        <v>103</v>
      </c>
      <c r="H13" s="11" t="s">
        <v>78</v>
      </c>
      <c r="I13" s="11">
        <v>17</v>
      </c>
      <c r="J13" s="26">
        <v>0</v>
      </c>
      <c r="K13" s="11" t="s">
        <v>842</v>
      </c>
      <c r="L13" s="11">
        <v>3</v>
      </c>
      <c r="M13" s="11">
        <v>18</v>
      </c>
      <c r="N13" s="11">
        <v>-2</v>
      </c>
      <c r="O13" s="11">
        <v>27</v>
      </c>
      <c r="P13" s="11">
        <v>-9</v>
      </c>
      <c r="Q13" s="11">
        <v>18</v>
      </c>
      <c r="R13" s="11">
        <v>22</v>
      </c>
      <c r="S13" s="11">
        <v>23</v>
      </c>
      <c r="T13" s="11">
        <v>21</v>
      </c>
      <c r="U13" s="11">
        <v>15</v>
      </c>
      <c r="V13" s="11">
        <v>20</v>
      </c>
      <c r="W13" s="11">
        <v>3</v>
      </c>
      <c r="X13" s="11">
        <v>-3</v>
      </c>
      <c r="Y13" s="11">
        <v>-2</v>
      </c>
      <c r="Z13" s="25">
        <v>11</v>
      </c>
    </row>
    <row r="14" spans="1:32" ht="14.25" customHeight="1" x14ac:dyDescent="0.25">
      <c r="A14" s="11"/>
      <c r="B14" s="11">
        <v>1</v>
      </c>
      <c r="C14" s="11" t="s">
        <v>119</v>
      </c>
      <c r="D14" s="11"/>
      <c r="E14" s="11"/>
      <c r="F14" s="11">
        <v>0</v>
      </c>
      <c r="G14" s="11" t="s">
        <v>71</v>
      </c>
      <c r="H14" s="11" t="s">
        <v>72</v>
      </c>
      <c r="I14" s="11">
        <v>5</v>
      </c>
      <c r="J14" s="26">
        <v>0</v>
      </c>
      <c r="K14" s="11" t="s">
        <v>73</v>
      </c>
      <c r="L14" s="11">
        <v>1</v>
      </c>
      <c r="M14" s="11">
        <v>5</v>
      </c>
      <c r="N14" s="11">
        <v>0</v>
      </c>
      <c r="O14" s="11">
        <v>6</v>
      </c>
      <c r="P14" s="11">
        <v>-1</v>
      </c>
      <c r="Q14" s="11">
        <v>4</v>
      </c>
      <c r="R14" s="11">
        <v>3</v>
      </c>
      <c r="S14" s="11">
        <v>6</v>
      </c>
      <c r="T14" s="11">
        <v>6</v>
      </c>
      <c r="U14" s="11">
        <v>5</v>
      </c>
      <c r="V14" s="11">
        <v>5</v>
      </c>
      <c r="W14" s="11">
        <v>1</v>
      </c>
      <c r="X14" s="11">
        <v>-1</v>
      </c>
      <c r="Y14" s="11">
        <v>1</v>
      </c>
      <c r="Z14" s="25">
        <v>2</v>
      </c>
    </row>
    <row r="15" spans="1:32" ht="14.25" customHeight="1" x14ac:dyDescent="0.25">
      <c r="A15" s="11"/>
      <c r="B15" s="11">
        <v>1</v>
      </c>
      <c r="C15" s="11" t="s">
        <v>119</v>
      </c>
      <c r="D15" s="11">
        <v>2</v>
      </c>
      <c r="E15" s="11"/>
      <c r="F15" s="11">
        <v>0</v>
      </c>
      <c r="G15" s="11" t="s">
        <v>63</v>
      </c>
      <c r="H15" s="11" t="s">
        <v>35</v>
      </c>
      <c r="I15" s="11">
        <v>9</v>
      </c>
      <c r="J15" s="26">
        <v>0</v>
      </c>
      <c r="K15" s="11" t="s">
        <v>843</v>
      </c>
      <c r="L15" s="11">
        <v>2</v>
      </c>
      <c r="M15" s="11">
        <v>8</v>
      </c>
      <c r="N15" s="11">
        <v>-1</v>
      </c>
      <c r="O15" s="11">
        <v>12</v>
      </c>
      <c r="P15" s="11">
        <v>-4</v>
      </c>
      <c r="Q15" s="11">
        <v>8</v>
      </c>
      <c r="R15" s="11">
        <v>11</v>
      </c>
      <c r="S15" s="11">
        <v>11</v>
      </c>
      <c r="T15" s="11">
        <v>9</v>
      </c>
      <c r="U15" s="11">
        <v>8</v>
      </c>
      <c r="V15" s="11">
        <v>9</v>
      </c>
      <c r="W15" s="11">
        <v>2</v>
      </c>
      <c r="X15" s="11">
        <v>0</v>
      </c>
      <c r="Y15" s="11">
        <v>-1</v>
      </c>
      <c r="Z15" s="25">
        <v>6</v>
      </c>
    </row>
    <row r="16" spans="1:32" ht="14.25" customHeight="1" x14ac:dyDescent="0.25">
      <c r="A16" s="11"/>
      <c r="B16" s="11">
        <v>2</v>
      </c>
      <c r="C16" s="11" t="s">
        <v>119</v>
      </c>
      <c r="D16" s="11"/>
      <c r="E16" s="11"/>
      <c r="F16" s="11">
        <v>0</v>
      </c>
      <c r="G16" s="11" t="s">
        <v>58</v>
      </c>
      <c r="H16" s="11" t="s">
        <v>60</v>
      </c>
      <c r="I16" s="11">
        <v>20</v>
      </c>
      <c r="J16" s="21" t="s">
        <v>119</v>
      </c>
      <c r="K16" s="11" t="s">
        <v>844</v>
      </c>
      <c r="L16" s="11">
        <v>3</v>
      </c>
      <c r="M16" s="11">
        <v>20</v>
      </c>
      <c r="N16" s="11">
        <v>1</v>
      </c>
      <c r="O16" s="11">
        <v>21</v>
      </c>
      <c r="P16" s="11">
        <v>-1</v>
      </c>
      <c r="Q16" s="11">
        <v>15</v>
      </c>
      <c r="R16" s="11">
        <v>20</v>
      </c>
      <c r="S16" s="11">
        <v>21</v>
      </c>
      <c r="T16" s="11">
        <v>20</v>
      </c>
      <c r="U16" s="11">
        <v>22</v>
      </c>
      <c r="V16" s="11">
        <v>19</v>
      </c>
      <c r="W16" s="11">
        <v>3</v>
      </c>
      <c r="X16" s="11">
        <v>-3</v>
      </c>
      <c r="Y16" s="11">
        <v>0</v>
      </c>
      <c r="Z16" s="25">
        <v>12</v>
      </c>
    </row>
    <row r="17" spans="1:26" ht="14.25" customHeight="1" x14ac:dyDescent="0.25">
      <c r="A17" s="11"/>
      <c r="B17" s="11">
        <v>1</v>
      </c>
      <c r="C17" s="11" t="s">
        <v>119</v>
      </c>
      <c r="D17" s="11">
        <v>2</v>
      </c>
      <c r="E17" s="23"/>
      <c r="F17" s="11">
        <v>0</v>
      </c>
      <c r="G17" s="11" t="s">
        <v>48</v>
      </c>
      <c r="H17" s="11" t="s">
        <v>49</v>
      </c>
      <c r="I17" s="11">
        <v>13</v>
      </c>
      <c r="J17" s="28">
        <v>0</v>
      </c>
      <c r="K17" s="11" t="s">
        <v>843</v>
      </c>
      <c r="L17" s="11">
        <v>2</v>
      </c>
      <c r="M17" s="11">
        <v>11</v>
      </c>
      <c r="N17" s="11">
        <v>0</v>
      </c>
      <c r="O17" s="11">
        <v>14</v>
      </c>
      <c r="P17" s="11">
        <v>-3</v>
      </c>
      <c r="Q17" s="11">
        <v>9</v>
      </c>
      <c r="R17" s="11">
        <v>8</v>
      </c>
      <c r="S17" s="11">
        <v>15</v>
      </c>
      <c r="T17" s="11">
        <v>14</v>
      </c>
      <c r="U17" s="11">
        <v>7</v>
      </c>
      <c r="V17" s="11">
        <v>11</v>
      </c>
      <c r="W17" s="11">
        <v>2</v>
      </c>
      <c r="X17" s="11">
        <v>0</v>
      </c>
      <c r="Y17" s="11">
        <v>5</v>
      </c>
      <c r="Z17" s="25">
        <v>9</v>
      </c>
    </row>
    <row r="18" spans="1:26" ht="14.25" customHeight="1" x14ac:dyDescent="0.25">
      <c r="A18" s="11"/>
      <c r="B18" s="11">
        <v>4</v>
      </c>
      <c r="C18" s="11" t="s">
        <v>119</v>
      </c>
      <c r="D18" s="11"/>
      <c r="E18" s="11"/>
      <c r="F18" s="11">
        <v>0</v>
      </c>
      <c r="G18" s="11" t="s">
        <v>152</v>
      </c>
      <c r="H18" s="11" t="s">
        <v>145</v>
      </c>
      <c r="I18" s="11">
        <v>28</v>
      </c>
      <c r="J18" s="28">
        <v>0</v>
      </c>
      <c r="K18" s="11" t="s">
        <v>840</v>
      </c>
      <c r="L18" s="11">
        <v>5</v>
      </c>
      <c r="M18" s="11">
        <v>34</v>
      </c>
      <c r="N18" s="11">
        <v>-4</v>
      </c>
      <c r="O18" s="11">
        <v>51</v>
      </c>
      <c r="P18" s="11">
        <v>-17</v>
      </c>
      <c r="Q18" s="11">
        <v>41</v>
      </c>
      <c r="R18" s="11">
        <v>37</v>
      </c>
      <c r="S18" s="11">
        <v>39</v>
      </c>
      <c r="T18" s="11">
        <v>30</v>
      </c>
      <c r="U18" s="11">
        <v>37</v>
      </c>
      <c r="V18" s="11">
        <v>38</v>
      </c>
      <c r="W18" s="11">
        <v>5</v>
      </c>
      <c r="X18" s="11">
        <v>-5</v>
      </c>
      <c r="Y18" s="11">
        <v>1</v>
      </c>
      <c r="Z18" s="25">
        <v>17</v>
      </c>
    </row>
    <row r="19" spans="1:26" ht="14.25" customHeight="1" x14ac:dyDescent="0.25">
      <c r="A19" s="11"/>
      <c r="B19" s="11">
        <v>1</v>
      </c>
      <c r="C19" s="11" t="s">
        <v>119</v>
      </c>
      <c r="D19" s="11">
        <v>2</v>
      </c>
      <c r="E19" s="11"/>
      <c r="F19" s="11">
        <v>0</v>
      </c>
      <c r="G19" s="11" t="s">
        <v>77</v>
      </c>
      <c r="H19" s="11" t="s">
        <v>78</v>
      </c>
      <c r="I19" s="11">
        <v>6</v>
      </c>
      <c r="J19" s="21">
        <v>0</v>
      </c>
      <c r="K19" s="11" t="s">
        <v>839</v>
      </c>
      <c r="L19" s="11">
        <v>1</v>
      </c>
      <c r="M19" s="11">
        <v>2</v>
      </c>
      <c r="N19" s="11">
        <v>-2</v>
      </c>
      <c r="O19" s="11">
        <v>3</v>
      </c>
      <c r="P19" s="11">
        <v>-1</v>
      </c>
      <c r="Q19" s="11">
        <v>3</v>
      </c>
      <c r="R19" s="11">
        <v>6</v>
      </c>
      <c r="S19" s="11">
        <v>5</v>
      </c>
      <c r="T19" s="11">
        <v>5</v>
      </c>
      <c r="U19" s="11">
        <v>4</v>
      </c>
      <c r="V19" s="11">
        <v>4</v>
      </c>
      <c r="W19" s="11">
        <v>1</v>
      </c>
      <c r="X19" s="11">
        <v>1</v>
      </c>
      <c r="Y19" s="11">
        <v>-1</v>
      </c>
      <c r="Z19" s="25">
        <v>2</v>
      </c>
    </row>
    <row r="20" spans="1:26" ht="14.25" customHeight="1" x14ac:dyDescent="0.25">
      <c r="A20" s="11"/>
      <c r="B20" s="11">
        <v>1</v>
      </c>
      <c r="C20" s="11" t="s">
        <v>119</v>
      </c>
      <c r="D20" s="11">
        <v>2</v>
      </c>
      <c r="E20" s="11"/>
      <c r="F20" s="11">
        <v>0</v>
      </c>
      <c r="G20" s="11" t="s">
        <v>34</v>
      </c>
      <c r="H20" s="11" t="s">
        <v>35</v>
      </c>
      <c r="I20" s="11">
        <v>4</v>
      </c>
      <c r="J20" s="21">
        <v>0</v>
      </c>
      <c r="K20" s="11" t="s">
        <v>839</v>
      </c>
      <c r="L20" s="11">
        <v>1</v>
      </c>
      <c r="M20" s="11">
        <v>4</v>
      </c>
      <c r="N20" s="11">
        <v>0</v>
      </c>
      <c r="O20" s="11">
        <v>4</v>
      </c>
      <c r="P20" s="11">
        <v>0</v>
      </c>
      <c r="Q20" s="11">
        <v>5</v>
      </c>
      <c r="R20" s="11">
        <v>4</v>
      </c>
      <c r="S20" s="11">
        <v>3</v>
      </c>
      <c r="T20" s="11">
        <v>3</v>
      </c>
      <c r="U20" s="11">
        <v>6</v>
      </c>
      <c r="V20" s="11">
        <v>4</v>
      </c>
      <c r="W20" s="11">
        <v>1</v>
      </c>
      <c r="X20" s="11">
        <v>1</v>
      </c>
      <c r="Y20" s="11">
        <v>0</v>
      </c>
      <c r="Z20" s="25">
        <v>3</v>
      </c>
    </row>
    <row r="21" spans="1:26" ht="14.25" customHeight="1" x14ac:dyDescent="0.25">
      <c r="A21" s="11"/>
      <c r="B21" s="11">
        <v>4</v>
      </c>
      <c r="C21" s="11" t="s">
        <v>119</v>
      </c>
      <c r="D21" s="11">
        <v>2</v>
      </c>
      <c r="E21" s="11"/>
      <c r="F21" s="11">
        <v>0</v>
      </c>
      <c r="G21" s="11" t="s">
        <v>226</v>
      </c>
      <c r="H21" s="11" t="s">
        <v>123</v>
      </c>
      <c r="I21" s="11">
        <v>37</v>
      </c>
      <c r="J21" s="28" t="s">
        <v>148</v>
      </c>
      <c r="K21" s="11" t="s">
        <v>840</v>
      </c>
      <c r="L21" s="11">
        <v>5</v>
      </c>
      <c r="M21" s="11">
        <v>36</v>
      </c>
      <c r="N21" s="11">
        <v>-4</v>
      </c>
      <c r="O21" s="11">
        <v>46</v>
      </c>
      <c r="P21" s="11">
        <v>-10</v>
      </c>
      <c r="Q21" s="11">
        <v>44</v>
      </c>
      <c r="R21" s="11">
        <v>39</v>
      </c>
      <c r="S21" s="11">
        <v>41</v>
      </c>
      <c r="T21" s="11">
        <v>34</v>
      </c>
      <c r="U21" s="11">
        <v>41</v>
      </c>
      <c r="V21" s="11">
        <v>40</v>
      </c>
      <c r="W21" s="11">
        <v>6</v>
      </c>
      <c r="X21" s="11">
        <v>-4</v>
      </c>
      <c r="Y21" s="11">
        <v>-3</v>
      </c>
      <c r="Z21" s="25">
        <v>14</v>
      </c>
    </row>
    <row r="22" spans="1:26" ht="14.25" customHeight="1" x14ac:dyDescent="0.25">
      <c r="A22" s="11" t="s">
        <v>148</v>
      </c>
      <c r="B22" s="11">
        <v>3</v>
      </c>
      <c r="C22" s="11" t="s">
        <v>119</v>
      </c>
      <c r="D22" s="11">
        <v>2</v>
      </c>
      <c r="E22" s="11"/>
      <c r="F22" s="11">
        <v>0</v>
      </c>
      <c r="G22" s="11" t="s">
        <v>135</v>
      </c>
      <c r="H22" s="11" t="s">
        <v>49</v>
      </c>
      <c r="I22" s="11">
        <v>31</v>
      </c>
      <c r="J22" s="21">
        <v>0</v>
      </c>
      <c r="K22" s="11" t="s">
        <v>844</v>
      </c>
      <c r="L22" s="11">
        <v>4</v>
      </c>
      <c r="M22" s="11">
        <v>25</v>
      </c>
      <c r="N22" s="11">
        <v>0</v>
      </c>
      <c r="O22" s="11">
        <v>18</v>
      </c>
      <c r="P22" s="11">
        <v>7</v>
      </c>
      <c r="Q22" s="11">
        <v>29</v>
      </c>
      <c r="R22" s="11">
        <v>30</v>
      </c>
      <c r="S22" s="11">
        <v>26</v>
      </c>
      <c r="T22" s="11">
        <v>27</v>
      </c>
      <c r="U22" s="11">
        <v>25</v>
      </c>
      <c r="V22" s="11">
        <v>25</v>
      </c>
      <c r="W22" s="11">
        <v>4</v>
      </c>
      <c r="X22" s="11">
        <v>-2</v>
      </c>
      <c r="Y22" s="11">
        <v>2</v>
      </c>
      <c r="Z22" s="25">
        <v>11</v>
      </c>
    </row>
    <row r="23" spans="1:26" ht="14.25" customHeight="1" x14ac:dyDescent="0.25">
      <c r="A23" s="11"/>
      <c r="B23" s="11">
        <v>2</v>
      </c>
      <c r="C23" s="11" t="s">
        <v>119</v>
      </c>
      <c r="D23" s="11">
        <v>2</v>
      </c>
      <c r="E23" s="11"/>
      <c r="F23" s="11">
        <v>0</v>
      </c>
      <c r="G23" s="11" t="s">
        <v>90</v>
      </c>
      <c r="H23" s="11" t="s">
        <v>91</v>
      </c>
      <c r="I23" s="11">
        <v>15</v>
      </c>
      <c r="J23" s="21">
        <v>0</v>
      </c>
      <c r="K23" s="11" t="s">
        <v>844</v>
      </c>
      <c r="L23" s="11">
        <v>1</v>
      </c>
      <c r="M23" s="11">
        <v>7</v>
      </c>
      <c r="N23" s="11">
        <v>-3</v>
      </c>
      <c r="O23" s="11">
        <v>7</v>
      </c>
      <c r="P23" s="11">
        <v>0</v>
      </c>
      <c r="Q23" s="11">
        <v>12</v>
      </c>
      <c r="R23" s="11">
        <v>13</v>
      </c>
      <c r="S23" s="11">
        <v>14</v>
      </c>
      <c r="T23" s="11">
        <v>13</v>
      </c>
      <c r="U23" s="11">
        <v>10</v>
      </c>
      <c r="V23" s="11">
        <v>10</v>
      </c>
      <c r="W23" s="11">
        <v>2</v>
      </c>
      <c r="X23" s="11">
        <v>0</v>
      </c>
      <c r="Y23" s="11">
        <v>1</v>
      </c>
      <c r="Z23" s="25">
        <v>8</v>
      </c>
    </row>
    <row r="24" spans="1:26" ht="14.25" customHeight="1" x14ac:dyDescent="0.25">
      <c r="A24" s="11"/>
      <c r="B24" s="11">
        <v>7</v>
      </c>
      <c r="C24" s="11" t="s">
        <v>119</v>
      </c>
      <c r="D24" s="11"/>
      <c r="E24" s="11"/>
      <c r="F24" s="11">
        <v>0</v>
      </c>
      <c r="G24" s="11" t="s">
        <v>128</v>
      </c>
      <c r="H24" s="11" t="s">
        <v>129</v>
      </c>
      <c r="I24" s="11">
        <v>71</v>
      </c>
      <c r="J24" s="28">
        <v>0</v>
      </c>
      <c r="K24" s="11" t="s">
        <v>845</v>
      </c>
      <c r="L24" s="11">
        <v>10</v>
      </c>
      <c r="M24" s="11">
        <v>73</v>
      </c>
      <c r="N24" s="11">
        <v>-9</v>
      </c>
      <c r="O24" s="11">
        <v>101</v>
      </c>
      <c r="P24" s="11">
        <v>-28</v>
      </c>
      <c r="Q24" s="11">
        <v>84</v>
      </c>
      <c r="R24" s="11">
        <v>78</v>
      </c>
      <c r="S24" s="11">
        <v>82</v>
      </c>
      <c r="T24" s="11">
        <v>72</v>
      </c>
      <c r="U24" s="11">
        <v>87</v>
      </c>
      <c r="V24" s="11">
        <v>82</v>
      </c>
      <c r="W24" s="11">
        <v>11</v>
      </c>
      <c r="X24" s="11">
        <v>-11</v>
      </c>
      <c r="Y24" s="11">
        <v>-16</v>
      </c>
      <c r="Z24" s="25">
        <v>32</v>
      </c>
    </row>
    <row r="25" spans="1:26" ht="14.25" customHeight="1" x14ac:dyDescent="0.25">
      <c r="A25" s="11"/>
      <c r="B25" s="11">
        <v>6</v>
      </c>
      <c r="C25" s="11" t="s">
        <v>119</v>
      </c>
      <c r="D25" s="11">
        <v>2</v>
      </c>
      <c r="E25" s="11"/>
      <c r="F25" s="11">
        <v>0</v>
      </c>
      <c r="G25" s="11" t="s">
        <v>415</v>
      </c>
      <c r="H25" s="11" t="s">
        <v>85</v>
      </c>
      <c r="I25" s="11">
        <v>68</v>
      </c>
      <c r="J25" s="21">
        <v>0</v>
      </c>
      <c r="K25" s="11" t="s">
        <v>846</v>
      </c>
      <c r="L25" s="11">
        <v>8</v>
      </c>
      <c r="M25" s="11">
        <v>61</v>
      </c>
      <c r="N25" s="11">
        <v>-4</v>
      </c>
      <c r="O25" s="11">
        <v>66</v>
      </c>
      <c r="P25" s="11">
        <v>-5</v>
      </c>
      <c r="Q25" s="11">
        <v>63</v>
      </c>
      <c r="R25" s="11">
        <v>77</v>
      </c>
      <c r="S25" s="11">
        <v>62</v>
      </c>
      <c r="T25" s="11">
        <v>67</v>
      </c>
      <c r="U25" s="11">
        <v>59</v>
      </c>
      <c r="V25" s="11">
        <v>65</v>
      </c>
      <c r="W25" s="11">
        <v>9</v>
      </c>
      <c r="X25" s="11">
        <v>-7</v>
      </c>
      <c r="Y25" s="11">
        <v>0</v>
      </c>
      <c r="Z25" s="25">
        <v>23</v>
      </c>
    </row>
    <row r="26" spans="1:26" ht="14.25" customHeight="1" x14ac:dyDescent="0.25">
      <c r="A26" s="11"/>
      <c r="B26" s="11">
        <v>4</v>
      </c>
      <c r="C26" s="11" t="s">
        <v>119</v>
      </c>
      <c r="D26" s="11">
        <v>2</v>
      </c>
      <c r="E26" s="11"/>
      <c r="F26" s="11">
        <v>0</v>
      </c>
      <c r="G26" s="11" t="s">
        <v>192</v>
      </c>
      <c r="H26" s="11" t="s">
        <v>49</v>
      </c>
      <c r="I26" s="11">
        <v>41</v>
      </c>
      <c r="J26" s="28">
        <v>0</v>
      </c>
      <c r="K26" s="11" t="s">
        <v>847</v>
      </c>
      <c r="L26" s="11">
        <v>6</v>
      </c>
      <c r="M26" s="11">
        <v>44</v>
      </c>
      <c r="N26" s="11">
        <v>3</v>
      </c>
      <c r="O26" s="11">
        <v>34</v>
      </c>
      <c r="P26" s="11">
        <v>10</v>
      </c>
      <c r="Q26" s="11">
        <v>34</v>
      </c>
      <c r="R26" s="11">
        <v>47</v>
      </c>
      <c r="S26" s="11">
        <v>43</v>
      </c>
      <c r="T26" s="11">
        <v>37</v>
      </c>
      <c r="U26" s="11">
        <v>48</v>
      </c>
      <c r="V26" s="11">
        <v>41</v>
      </c>
      <c r="W26" s="11">
        <v>6</v>
      </c>
      <c r="X26" s="11">
        <v>-4</v>
      </c>
      <c r="Y26" s="11">
        <v>2</v>
      </c>
      <c r="Z26" s="25">
        <v>19</v>
      </c>
    </row>
    <row r="27" spans="1:26" ht="14.25" customHeight="1" x14ac:dyDescent="0.25">
      <c r="A27" s="11"/>
      <c r="B27" s="11">
        <v>9</v>
      </c>
      <c r="C27" s="11" t="s">
        <v>119</v>
      </c>
      <c r="D27" s="11">
        <v>2</v>
      </c>
      <c r="E27" s="23"/>
      <c r="F27" s="11">
        <v>0</v>
      </c>
      <c r="G27" s="11" t="s">
        <v>157</v>
      </c>
      <c r="H27" s="11" t="s">
        <v>199</v>
      </c>
      <c r="I27" s="11">
        <v>101</v>
      </c>
      <c r="J27" s="39">
        <v>0</v>
      </c>
      <c r="K27" s="11" t="s">
        <v>848</v>
      </c>
      <c r="L27" s="11">
        <v>11</v>
      </c>
      <c r="M27" s="11">
        <v>85</v>
      </c>
      <c r="N27" s="11">
        <v>-14</v>
      </c>
      <c r="O27" s="11">
        <v>90</v>
      </c>
      <c r="P27" s="11">
        <v>-5</v>
      </c>
      <c r="Q27" s="11">
        <v>116</v>
      </c>
      <c r="R27" s="11">
        <v>102</v>
      </c>
      <c r="S27" s="11">
        <v>94</v>
      </c>
      <c r="T27" s="11">
        <v>90</v>
      </c>
      <c r="U27" s="11">
        <v>121</v>
      </c>
      <c r="V27" s="11">
        <v>99</v>
      </c>
      <c r="W27" s="11">
        <v>13</v>
      </c>
      <c r="X27" s="11">
        <v>-11</v>
      </c>
      <c r="Y27" s="11">
        <v>-3</v>
      </c>
      <c r="Z27" s="25">
        <v>33</v>
      </c>
    </row>
    <row r="28" spans="1:26" ht="14.25" customHeight="1" x14ac:dyDescent="0.25">
      <c r="A28" s="11" t="s">
        <v>148</v>
      </c>
      <c r="B28" s="11">
        <v>2</v>
      </c>
      <c r="C28" s="11" t="s">
        <v>119</v>
      </c>
      <c r="D28" s="11"/>
      <c r="E28" s="11"/>
      <c r="F28" s="11">
        <v>0</v>
      </c>
      <c r="G28" s="11" t="s">
        <v>109</v>
      </c>
      <c r="H28" s="11" t="s">
        <v>39</v>
      </c>
      <c r="I28" s="11">
        <v>14</v>
      </c>
      <c r="J28" s="40">
        <v>0</v>
      </c>
      <c r="K28" s="11" t="s">
        <v>843</v>
      </c>
      <c r="L28" s="11">
        <v>3</v>
      </c>
      <c r="M28" s="11">
        <v>17</v>
      </c>
      <c r="N28" s="11">
        <v>-1</v>
      </c>
      <c r="O28" s="11">
        <v>23</v>
      </c>
      <c r="P28" s="11">
        <v>-6</v>
      </c>
      <c r="Q28" s="11">
        <v>21</v>
      </c>
      <c r="R28" s="11">
        <v>16</v>
      </c>
      <c r="S28" s="11">
        <v>19</v>
      </c>
      <c r="T28" s="11">
        <v>15</v>
      </c>
      <c r="U28" s="11">
        <v>20</v>
      </c>
      <c r="V28" s="11">
        <v>18</v>
      </c>
      <c r="W28" s="11">
        <v>3</v>
      </c>
      <c r="X28" s="11">
        <v>-3</v>
      </c>
      <c r="Y28" s="11">
        <v>-6</v>
      </c>
      <c r="Z28" s="25">
        <v>7</v>
      </c>
    </row>
    <row r="29" spans="1:26" ht="14.25" customHeight="1" x14ac:dyDescent="0.25">
      <c r="A29" s="11"/>
      <c r="B29" s="11">
        <v>2</v>
      </c>
      <c r="C29" s="11" t="s">
        <v>119</v>
      </c>
      <c r="D29" s="11"/>
      <c r="E29" s="11"/>
      <c r="F29" s="11">
        <v>0</v>
      </c>
      <c r="G29" s="11" t="s">
        <v>80</v>
      </c>
      <c r="H29" s="11" t="s">
        <v>81</v>
      </c>
      <c r="I29" s="11">
        <v>18</v>
      </c>
      <c r="J29" s="21">
        <v>0</v>
      </c>
      <c r="K29" s="11" t="s">
        <v>844</v>
      </c>
      <c r="L29" s="11">
        <v>2</v>
      </c>
      <c r="M29" s="11">
        <v>14</v>
      </c>
      <c r="N29" s="11">
        <v>-1</v>
      </c>
      <c r="O29" s="11">
        <v>16</v>
      </c>
      <c r="P29" s="11">
        <v>-2</v>
      </c>
      <c r="Q29" s="11">
        <v>14</v>
      </c>
      <c r="R29" s="11">
        <v>15</v>
      </c>
      <c r="S29" s="11">
        <v>18</v>
      </c>
      <c r="T29" s="11">
        <v>16</v>
      </c>
      <c r="U29" s="11">
        <v>14</v>
      </c>
      <c r="V29" s="11">
        <v>15</v>
      </c>
      <c r="W29" s="11">
        <v>2</v>
      </c>
      <c r="X29" s="11">
        <v>-2</v>
      </c>
      <c r="Y29" s="11">
        <v>5</v>
      </c>
      <c r="Z29" s="25">
        <v>6</v>
      </c>
    </row>
    <row r="30" spans="1:26" ht="14.25" customHeight="1" x14ac:dyDescent="0.25">
      <c r="A30" s="11" t="s">
        <v>148</v>
      </c>
      <c r="B30" s="11">
        <v>6</v>
      </c>
      <c r="C30" s="11" t="s">
        <v>119</v>
      </c>
      <c r="D30" s="11">
        <v>3</v>
      </c>
      <c r="E30" s="11"/>
      <c r="F30" s="11">
        <v>0</v>
      </c>
      <c r="G30" s="11" t="s">
        <v>312</v>
      </c>
      <c r="H30" s="11" t="s">
        <v>85</v>
      </c>
      <c r="I30" s="11">
        <v>79</v>
      </c>
      <c r="J30" s="41" t="s">
        <v>119</v>
      </c>
      <c r="K30" s="11" t="s">
        <v>849</v>
      </c>
      <c r="L30" s="11">
        <v>9</v>
      </c>
      <c r="M30" s="11">
        <v>67</v>
      </c>
      <c r="N30" s="11">
        <v>-1</v>
      </c>
      <c r="O30" s="11">
        <v>61</v>
      </c>
      <c r="P30" s="11">
        <v>6</v>
      </c>
      <c r="Q30" s="11">
        <v>57</v>
      </c>
      <c r="R30" s="11">
        <v>88</v>
      </c>
      <c r="S30" s="11">
        <v>63</v>
      </c>
      <c r="T30" s="11">
        <v>82</v>
      </c>
      <c r="U30" s="11">
        <v>58</v>
      </c>
      <c r="V30" s="11">
        <v>68</v>
      </c>
      <c r="W30" s="11">
        <v>9</v>
      </c>
      <c r="X30" s="11">
        <v>-6</v>
      </c>
      <c r="Y30" s="11">
        <v>14</v>
      </c>
      <c r="Z30" s="25">
        <v>9</v>
      </c>
    </row>
    <row r="31" spans="1:26" ht="14.25" customHeight="1" x14ac:dyDescent="0.25">
      <c r="A31" s="11"/>
      <c r="B31" s="11">
        <v>8</v>
      </c>
      <c r="C31" s="11" t="s">
        <v>119</v>
      </c>
      <c r="D31" s="11">
        <v>2</v>
      </c>
      <c r="E31" s="11"/>
      <c r="F31" s="11">
        <v>0</v>
      </c>
      <c r="G31" s="11" t="s">
        <v>362</v>
      </c>
      <c r="H31" s="11" t="s">
        <v>184</v>
      </c>
      <c r="I31" s="11">
        <v>69</v>
      </c>
      <c r="J31" s="40" t="s">
        <v>148</v>
      </c>
      <c r="K31" s="11" t="s">
        <v>851</v>
      </c>
      <c r="L31" s="11">
        <v>11</v>
      </c>
      <c r="M31" s="11">
        <v>84</v>
      </c>
      <c r="N31" s="11">
        <v>0</v>
      </c>
      <c r="O31" s="11">
        <v>75</v>
      </c>
      <c r="P31" s="11">
        <v>9</v>
      </c>
      <c r="Q31" s="11">
        <v>95</v>
      </c>
      <c r="R31" s="11">
        <v>83</v>
      </c>
      <c r="S31" s="11">
        <v>83</v>
      </c>
      <c r="T31" s="11">
        <v>75</v>
      </c>
      <c r="U31" s="11">
        <v>96</v>
      </c>
      <c r="V31" s="11">
        <v>84</v>
      </c>
      <c r="W31" s="11">
        <v>11</v>
      </c>
      <c r="X31" s="11">
        <v>-9</v>
      </c>
      <c r="Y31" s="11">
        <v>10</v>
      </c>
      <c r="Z31" s="25">
        <v>41</v>
      </c>
    </row>
    <row r="32" spans="1:26" ht="14.25" customHeight="1" x14ac:dyDescent="0.25">
      <c r="A32" s="11"/>
      <c r="B32" s="11">
        <v>2</v>
      </c>
      <c r="C32" s="11" t="s">
        <v>119</v>
      </c>
      <c r="D32" s="11">
        <v>4</v>
      </c>
      <c r="E32" s="11"/>
      <c r="F32" s="11">
        <v>0</v>
      </c>
      <c r="G32" s="11" t="s">
        <v>131</v>
      </c>
      <c r="H32" s="11" t="s">
        <v>66</v>
      </c>
      <c r="I32" s="11">
        <v>26</v>
      </c>
      <c r="J32" s="42">
        <v>0</v>
      </c>
      <c r="K32" s="11" t="s">
        <v>327</v>
      </c>
      <c r="L32" s="11">
        <v>3</v>
      </c>
      <c r="M32" s="11">
        <v>21</v>
      </c>
      <c r="N32" s="11">
        <v>-1</v>
      </c>
      <c r="O32" s="11">
        <v>15</v>
      </c>
      <c r="P32" s="11">
        <v>6</v>
      </c>
      <c r="Q32" s="11">
        <v>19</v>
      </c>
      <c r="R32" s="11">
        <v>27</v>
      </c>
      <c r="S32" s="11">
        <v>27</v>
      </c>
      <c r="T32" s="11">
        <v>25</v>
      </c>
      <c r="U32" s="11">
        <v>21</v>
      </c>
      <c r="V32" s="11">
        <v>22</v>
      </c>
      <c r="W32" s="11">
        <v>3</v>
      </c>
      <c r="X32" s="11">
        <v>1</v>
      </c>
      <c r="Y32" s="11">
        <v>6</v>
      </c>
      <c r="Z32" s="25">
        <v>2</v>
      </c>
    </row>
    <row r="33" spans="1:26" ht="14.25" customHeight="1" x14ac:dyDescent="0.25">
      <c r="A33" s="11"/>
      <c r="B33" s="11">
        <v>4</v>
      </c>
      <c r="C33" s="11" t="s">
        <v>119</v>
      </c>
      <c r="D33" s="11">
        <v>2</v>
      </c>
      <c r="E33" s="11"/>
      <c r="F33" s="11">
        <v>0</v>
      </c>
      <c r="G33" s="11" t="s">
        <v>220</v>
      </c>
      <c r="H33" s="11" t="s">
        <v>163</v>
      </c>
      <c r="I33" s="11">
        <v>32</v>
      </c>
      <c r="J33" s="40">
        <v>0</v>
      </c>
      <c r="K33" s="11" t="s">
        <v>840</v>
      </c>
      <c r="L33" s="11">
        <v>5</v>
      </c>
      <c r="M33" s="11">
        <v>39</v>
      </c>
      <c r="N33" s="11">
        <v>1</v>
      </c>
      <c r="O33" s="11">
        <v>36</v>
      </c>
      <c r="P33" s="11">
        <v>3</v>
      </c>
      <c r="Q33" s="11">
        <v>43</v>
      </c>
      <c r="R33" s="11">
        <v>44</v>
      </c>
      <c r="S33" s="11">
        <v>38</v>
      </c>
      <c r="T33" s="11">
        <v>38</v>
      </c>
      <c r="U33" s="11">
        <v>32</v>
      </c>
      <c r="V33" s="11">
        <v>38</v>
      </c>
      <c r="W33" s="11">
        <v>5</v>
      </c>
      <c r="X33" s="11">
        <v>-3</v>
      </c>
      <c r="Y33" s="11">
        <v>-6</v>
      </c>
      <c r="Z33" s="25">
        <v>15</v>
      </c>
    </row>
    <row r="34" spans="1:26" ht="14.25" customHeight="1" x14ac:dyDescent="0.25">
      <c r="A34" s="11"/>
      <c r="B34" s="11">
        <v>5</v>
      </c>
      <c r="C34" s="11" t="s">
        <v>119</v>
      </c>
      <c r="D34" s="11">
        <v>4</v>
      </c>
      <c r="E34" s="11"/>
      <c r="F34" s="11">
        <v>0</v>
      </c>
      <c r="G34" s="11" t="s">
        <v>310</v>
      </c>
      <c r="H34" s="11" t="s">
        <v>85</v>
      </c>
      <c r="I34" s="11">
        <v>76</v>
      </c>
      <c r="J34" s="42">
        <v>0</v>
      </c>
      <c r="K34" s="11" t="s">
        <v>852</v>
      </c>
      <c r="L34" s="11">
        <v>8</v>
      </c>
      <c r="M34" s="11">
        <v>57</v>
      </c>
      <c r="N34" s="11">
        <v>1</v>
      </c>
      <c r="O34" s="11">
        <v>47</v>
      </c>
      <c r="P34" s="11">
        <v>10</v>
      </c>
      <c r="Q34" s="11">
        <v>42</v>
      </c>
      <c r="R34" s="11">
        <v>69</v>
      </c>
      <c r="S34" s="11">
        <v>73</v>
      </c>
      <c r="T34" s="11">
        <v>66</v>
      </c>
      <c r="U34" s="11">
        <v>42</v>
      </c>
      <c r="V34" s="11">
        <v>56</v>
      </c>
      <c r="W34" s="11">
        <v>8</v>
      </c>
      <c r="X34" s="11">
        <v>-4</v>
      </c>
      <c r="Y34" s="11">
        <v>20</v>
      </c>
      <c r="Z34" s="25">
        <v>9</v>
      </c>
    </row>
    <row r="35" spans="1:26" ht="14.25" customHeight="1" x14ac:dyDescent="0.25">
      <c r="A35" s="11"/>
      <c r="B35" s="11">
        <v>13</v>
      </c>
      <c r="C35" s="11" t="s">
        <v>119</v>
      </c>
      <c r="D35" s="11">
        <v>2</v>
      </c>
      <c r="E35" s="11"/>
      <c r="F35" s="11">
        <v>0</v>
      </c>
      <c r="G35" s="11" t="s">
        <v>684</v>
      </c>
      <c r="H35" s="11" t="s">
        <v>55</v>
      </c>
      <c r="I35" s="11">
        <v>152</v>
      </c>
      <c r="J35" s="40" t="s">
        <v>148</v>
      </c>
      <c r="K35" s="11" t="s">
        <v>854</v>
      </c>
      <c r="L35" s="11">
        <v>15</v>
      </c>
      <c r="M35" s="11">
        <v>115</v>
      </c>
      <c r="N35" s="11">
        <v>-33</v>
      </c>
      <c r="O35" s="11">
        <v>162</v>
      </c>
      <c r="P35" s="11">
        <v>-47</v>
      </c>
      <c r="Q35" s="11">
        <v>169</v>
      </c>
      <c r="R35" s="11">
        <v>165</v>
      </c>
      <c r="S35" s="11">
        <v>154</v>
      </c>
      <c r="T35" s="11">
        <v>148</v>
      </c>
      <c r="U35" s="11">
        <v>127</v>
      </c>
      <c r="V35" s="11">
        <v>148</v>
      </c>
      <c r="W35" s="11">
        <v>19</v>
      </c>
      <c r="X35" s="11">
        <v>-17</v>
      </c>
      <c r="Y35" s="11">
        <v>-7</v>
      </c>
      <c r="Z35" s="25">
        <v>48</v>
      </c>
    </row>
    <row r="36" spans="1:26" ht="14.25" customHeight="1" x14ac:dyDescent="0.25">
      <c r="A36" s="11"/>
      <c r="B36" s="11">
        <v>5</v>
      </c>
      <c r="C36" s="11" t="s">
        <v>119</v>
      </c>
      <c r="D36" s="11"/>
      <c r="E36" s="11"/>
      <c r="F36" s="11">
        <v>0</v>
      </c>
      <c r="G36" s="11" t="s">
        <v>246</v>
      </c>
      <c r="H36" s="11" t="s">
        <v>35</v>
      </c>
      <c r="I36" s="11">
        <v>73</v>
      </c>
      <c r="J36" s="41">
        <v>0</v>
      </c>
      <c r="K36" s="11" t="s">
        <v>863</v>
      </c>
      <c r="L36" s="11">
        <v>7</v>
      </c>
      <c r="M36" s="11">
        <v>51</v>
      </c>
      <c r="N36" s="11">
        <v>-5</v>
      </c>
      <c r="O36" s="11">
        <v>58</v>
      </c>
      <c r="P36" s="11">
        <v>-7</v>
      </c>
      <c r="Q36" s="11">
        <v>49</v>
      </c>
      <c r="R36" s="11">
        <v>67</v>
      </c>
      <c r="S36" s="11">
        <v>53</v>
      </c>
      <c r="T36" s="11">
        <v>71</v>
      </c>
      <c r="U36" s="11">
        <v>43</v>
      </c>
      <c r="V36" s="11">
        <v>56</v>
      </c>
      <c r="W36" s="11">
        <v>8</v>
      </c>
      <c r="X36" s="11">
        <v>-8</v>
      </c>
      <c r="Y36" s="11">
        <v>12</v>
      </c>
      <c r="Z36" s="25">
        <v>4</v>
      </c>
    </row>
    <row r="37" spans="1:26" ht="14.25" customHeight="1" x14ac:dyDescent="0.25">
      <c r="A37" s="11"/>
      <c r="B37" s="11">
        <v>6</v>
      </c>
      <c r="C37" s="11" t="s">
        <v>119</v>
      </c>
      <c r="D37" s="11">
        <v>2</v>
      </c>
      <c r="E37" s="11" t="s">
        <v>243</v>
      </c>
      <c r="F37" s="11">
        <v>0</v>
      </c>
      <c r="G37" s="11" t="s">
        <v>167</v>
      </c>
      <c r="H37" s="11" t="s">
        <v>81</v>
      </c>
      <c r="I37" s="11">
        <v>57</v>
      </c>
      <c r="J37" s="40" t="s">
        <v>119</v>
      </c>
      <c r="K37" s="11" t="s">
        <v>845</v>
      </c>
      <c r="L37" s="11">
        <v>9</v>
      </c>
      <c r="M37" s="11">
        <v>70</v>
      </c>
      <c r="N37" s="11">
        <v>0</v>
      </c>
      <c r="O37" s="11">
        <v>79</v>
      </c>
      <c r="P37" s="11">
        <v>-9</v>
      </c>
      <c r="Q37" s="11">
        <v>64</v>
      </c>
      <c r="R37" s="11">
        <v>70</v>
      </c>
      <c r="S37" s="11">
        <v>66</v>
      </c>
      <c r="T37" s="11">
        <v>58</v>
      </c>
      <c r="U37" s="11">
        <v>84</v>
      </c>
      <c r="V37" s="11">
        <v>70</v>
      </c>
      <c r="W37" s="11">
        <v>9</v>
      </c>
      <c r="X37" s="11">
        <v>-7</v>
      </c>
      <c r="Y37" s="11">
        <v>-22</v>
      </c>
      <c r="Z37" s="25">
        <v>31</v>
      </c>
    </row>
    <row r="38" spans="1:26" ht="14.25" customHeight="1" x14ac:dyDescent="0.25">
      <c r="A38" s="11"/>
      <c r="B38" s="11">
        <v>2</v>
      </c>
      <c r="C38" s="11" t="s">
        <v>119</v>
      </c>
      <c r="D38" s="11"/>
      <c r="E38" s="23"/>
      <c r="F38" s="11">
        <v>0</v>
      </c>
      <c r="G38" s="11" t="s">
        <v>115</v>
      </c>
      <c r="H38" s="11" t="s">
        <v>116</v>
      </c>
      <c r="I38" s="11">
        <v>8</v>
      </c>
      <c r="J38" s="40">
        <v>0</v>
      </c>
      <c r="K38" s="11" t="s">
        <v>843</v>
      </c>
      <c r="L38" s="11">
        <v>2</v>
      </c>
      <c r="M38" s="11">
        <v>13</v>
      </c>
      <c r="N38" s="11">
        <v>0</v>
      </c>
      <c r="O38" s="11">
        <v>13</v>
      </c>
      <c r="P38" s="11">
        <v>0</v>
      </c>
      <c r="Q38" s="11">
        <v>13</v>
      </c>
      <c r="R38" s="11">
        <v>12</v>
      </c>
      <c r="S38" s="11">
        <v>12</v>
      </c>
      <c r="T38" s="11">
        <v>12</v>
      </c>
      <c r="U38" s="11">
        <v>16</v>
      </c>
      <c r="V38" s="11">
        <v>13</v>
      </c>
      <c r="W38" s="11">
        <v>2</v>
      </c>
      <c r="X38" s="11">
        <v>-2</v>
      </c>
      <c r="Y38" s="11">
        <v>-6</v>
      </c>
      <c r="Z38" s="25">
        <v>4</v>
      </c>
    </row>
    <row r="39" spans="1:26" ht="14.25" customHeight="1" x14ac:dyDescent="0.25">
      <c r="A39" s="11" t="s">
        <v>148</v>
      </c>
      <c r="B39" s="11">
        <v>4</v>
      </c>
      <c r="C39" s="11" t="s">
        <v>119</v>
      </c>
      <c r="D39" s="11">
        <v>4</v>
      </c>
      <c r="E39" s="11"/>
      <c r="F39" s="11">
        <v>0</v>
      </c>
      <c r="G39" s="11" t="s">
        <v>235</v>
      </c>
      <c r="H39" s="11" t="s">
        <v>78</v>
      </c>
      <c r="I39" s="11">
        <v>42</v>
      </c>
      <c r="J39" s="42">
        <v>0</v>
      </c>
      <c r="K39" s="11" t="s">
        <v>871</v>
      </c>
      <c r="L39" s="11">
        <v>5</v>
      </c>
      <c r="M39" s="11">
        <v>37</v>
      </c>
      <c r="N39" s="11">
        <v>0</v>
      </c>
      <c r="O39" s="11">
        <v>31</v>
      </c>
      <c r="P39" s="11">
        <v>6</v>
      </c>
      <c r="Q39" s="11">
        <v>28</v>
      </c>
      <c r="R39" s="11">
        <v>51</v>
      </c>
      <c r="S39" s="11">
        <v>40</v>
      </c>
      <c r="T39" s="11">
        <v>43</v>
      </c>
      <c r="U39" s="11">
        <v>34</v>
      </c>
      <c r="V39" s="11">
        <v>37</v>
      </c>
      <c r="W39" s="11">
        <v>5</v>
      </c>
      <c r="X39" s="11">
        <v>-1</v>
      </c>
      <c r="Y39" s="11">
        <v>-2</v>
      </c>
      <c r="Z39" s="25">
        <v>3</v>
      </c>
    </row>
    <row r="40" spans="1:26" ht="14.25" customHeight="1" x14ac:dyDescent="0.25">
      <c r="A40" s="11"/>
      <c r="B40" s="11">
        <v>10</v>
      </c>
      <c r="C40" s="11" t="s">
        <v>119</v>
      </c>
      <c r="D40" s="11">
        <v>3</v>
      </c>
      <c r="E40" s="11" t="s">
        <v>243</v>
      </c>
      <c r="F40" s="11">
        <v>0</v>
      </c>
      <c r="G40" s="11" t="s">
        <v>284</v>
      </c>
      <c r="H40" s="11" t="s">
        <v>60</v>
      </c>
      <c r="I40" s="11">
        <v>85</v>
      </c>
      <c r="J40" s="43" t="s">
        <v>119</v>
      </c>
      <c r="K40" s="11" t="s">
        <v>873</v>
      </c>
      <c r="L40" s="11">
        <v>15</v>
      </c>
      <c r="M40" s="11">
        <v>114</v>
      </c>
      <c r="N40" s="11">
        <v>4</v>
      </c>
      <c r="O40" s="11">
        <v>94</v>
      </c>
      <c r="P40" s="11">
        <v>20</v>
      </c>
      <c r="Q40" s="11">
        <v>92</v>
      </c>
      <c r="R40" s="11">
        <v>113</v>
      </c>
      <c r="S40" s="11">
        <v>99</v>
      </c>
      <c r="T40" s="11">
        <v>97</v>
      </c>
      <c r="U40" s="11">
        <v>164</v>
      </c>
      <c r="V40" s="11">
        <v>110</v>
      </c>
      <c r="W40" s="11">
        <v>14</v>
      </c>
      <c r="X40" s="11">
        <v>-11</v>
      </c>
      <c r="Y40" s="11">
        <v>4</v>
      </c>
      <c r="Z40" s="25">
        <v>47</v>
      </c>
    </row>
    <row r="41" spans="1:26" ht="14.25" customHeight="1" x14ac:dyDescent="0.25">
      <c r="A41" s="11"/>
      <c r="B41" s="11">
        <v>2</v>
      </c>
      <c r="C41" s="11" t="s">
        <v>119</v>
      </c>
      <c r="D41" s="11">
        <v>4</v>
      </c>
      <c r="E41" s="11"/>
      <c r="F41" s="11">
        <v>0</v>
      </c>
      <c r="G41" s="11" t="s">
        <v>218</v>
      </c>
      <c r="H41" s="11" t="s">
        <v>214</v>
      </c>
      <c r="I41" s="11">
        <v>23</v>
      </c>
      <c r="J41" s="39">
        <v>0</v>
      </c>
      <c r="K41" s="11" t="s">
        <v>844</v>
      </c>
      <c r="L41" s="11">
        <v>2</v>
      </c>
      <c r="M41" s="11">
        <v>15</v>
      </c>
      <c r="N41" s="11">
        <v>-3</v>
      </c>
      <c r="O41" s="11">
        <v>10</v>
      </c>
      <c r="P41" s="11">
        <v>5</v>
      </c>
      <c r="Q41" s="11">
        <v>17</v>
      </c>
      <c r="R41" s="11">
        <v>23</v>
      </c>
      <c r="S41" s="11">
        <v>22</v>
      </c>
      <c r="T41" s="11">
        <v>22</v>
      </c>
      <c r="U41" s="11">
        <v>19</v>
      </c>
      <c r="V41" s="11">
        <v>18</v>
      </c>
      <c r="W41" s="11">
        <v>3</v>
      </c>
      <c r="X41" s="11">
        <v>1</v>
      </c>
      <c r="Y41" s="11">
        <v>-3</v>
      </c>
      <c r="Z41" s="25">
        <v>7</v>
      </c>
    </row>
    <row r="42" spans="1:26" ht="14.25" customHeight="1" x14ac:dyDescent="0.25">
      <c r="A42" s="11"/>
      <c r="B42" s="11">
        <v>9</v>
      </c>
      <c r="C42" s="11" t="s">
        <v>119</v>
      </c>
      <c r="D42" s="11">
        <v>2</v>
      </c>
      <c r="E42" s="11"/>
      <c r="F42" s="11">
        <v>0</v>
      </c>
      <c r="G42" s="11" t="s">
        <v>450</v>
      </c>
      <c r="H42" s="11" t="s">
        <v>52</v>
      </c>
      <c r="I42" s="11">
        <v>97</v>
      </c>
      <c r="J42" s="43">
        <v>0</v>
      </c>
      <c r="K42" s="11" t="s">
        <v>875</v>
      </c>
      <c r="L42" s="11">
        <v>12</v>
      </c>
      <c r="M42" s="11">
        <v>88</v>
      </c>
      <c r="N42" s="11">
        <v>-7</v>
      </c>
      <c r="O42" s="11">
        <v>95</v>
      </c>
      <c r="P42" s="11">
        <v>-7</v>
      </c>
      <c r="Q42" s="11">
        <v>86</v>
      </c>
      <c r="R42" s="11">
        <v>97</v>
      </c>
      <c r="S42" s="11">
        <v>101</v>
      </c>
      <c r="T42" s="11">
        <v>91</v>
      </c>
      <c r="U42" s="11">
        <v>109</v>
      </c>
      <c r="V42" s="11">
        <v>95</v>
      </c>
      <c r="W42" s="11">
        <v>12</v>
      </c>
      <c r="X42" s="11">
        <v>-10</v>
      </c>
      <c r="Y42" s="11">
        <v>26</v>
      </c>
      <c r="Z42" s="25">
        <v>55</v>
      </c>
    </row>
    <row r="43" spans="1:26" ht="14.25" customHeight="1" x14ac:dyDescent="0.25">
      <c r="A43" s="11"/>
      <c r="B43" s="11">
        <v>5</v>
      </c>
      <c r="C43" s="11" t="s">
        <v>119</v>
      </c>
      <c r="D43" s="11">
        <v>2</v>
      </c>
      <c r="E43" s="11" t="s">
        <v>243</v>
      </c>
      <c r="F43" s="11">
        <v>0</v>
      </c>
      <c r="G43" s="11" t="s">
        <v>248</v>
      </c>
      <c r="H43" s="11" t="s">
        <v>233</v>
      </c>
      <c r="I43" s="11">
        <v>56</v>
      </c>
      <c r="J43" s="40">
        <v>0</v>
      </c>
      <c r="K43" s="11" t="s">
        <v>847</v>
      </c>
      <c r="L43" s="11">
        <v>6</v>
      </c>
      <c r="M43" s="11">
        <v>46</v>
      </c>
      <c r="N43" s="11">
        <v>-4</v>
      </c>
      <c r="O43" s="11">
        <v>48</v>
      </c>
      <c r="P43" s="11">
        <v>-2</v>
      </c>
      <c r="Q43" s="11">
        <v>45</v>
      </c>
      <c r="R43" s="11">
        <v>63</v>
      </c>
      <c r="S43" s="11">
        <v>52</v>
      </c>
      <c r="T43" s="11">
        <v>50</v>
      </c>
      <c r="U43" s="11">
        <v>52</v>
      </c>
      <c r="V43" s="11">
        <v>50</v>
      </c>
      <c r="W43" s="11">
        <v>7</v>
      </c>
      <c r="X43" s="11">
        <v>-5</v>
      </c>
      <c r="Y43" s="11">
        <v>-1</v>
      </c>
      <c r="Z43" s="25">
        <v>20</v>
      </c>
    </row>
    <row r="44" spans="1:26" ht="14.25" customHeight="1" x14ac:dyDescent="0.25">
      <c r="A44" s="11"/>
      <c r="B44" s="11">
        <v>3</v>
      </c>
      <c r="C44" s="11" t="s">
        <v>119</v>
      </c>
      <c r="D44" s="11"/>
      <c r="E44" s="11"/>
      <c r="F44" s="11">
        <v>0</v>
      </c>
      <c r="G44" s="11" t="s">
        <v>65</v>
      </c>
      <c r="H44" s="11" t="s">
        <v>66</v>
      </c>
      <c r="I44" s="11">
        <v>44</v>
      </c>
      <c r="J44" s="39">
        <v>0</v>
      </c>
      <c r="K44" s="11" t="s">
        <v>841</v>
      </c>
      <c r="L44" s="11">
        <v>4</v>
      </c>
      <c r="M44" s="11">
        <v>30</v>
      </c>
      <c r="N44" s="11">
        <v>-2</v>
      </c>
      <c r="O44" s="11">
        <v>26</v>
      </c>
      <c r="P44" s="11">
        <v>4</v>
      </c>
      <c r="Q44" s="11">
        <v>32</v>
      </c>
      <c r="R44" s="11">
        <v>40</v>
      </c>
      <c r="S44" s="11">
        <v>33</v>
      </c>
      <c r="T44" s="11">
        <v>36</v>
      </c>
      <c r="U44" s="11">
        <v>30</v>
      </c>
      <c r="V44" s="11">
        <v>32</v>
      </c>
      <c r="W44" s="11">
        <v>5</v>
      </c>
      <c r="X44" s="11">
        <v>-5</v>
      </c>
      <c r="Y44" s="11">
        <v>2</v>
      </c>
      <c r="Z44" s="25">
        <v>15</v>
      </c>
    </row>
    <row r="45" spans="1:26" ht="14.25" customHeight="1" x14ac:dyDescent="0.25">
      <c r="A45" s="11" t="s">
        <v>148</v>
      </c>
      <c r="B45" s="11">
        <v>5</v>
      </c>
      <c r="C45" s="11" t="s">
        <v>119</v>
      </c>
      <c r="D45" s="11">
        <v>3</v>
      </c>
      <c r="E45" s="11"/>
      <c r="F45" s="11">
        <v>0</v>
      </c>
      <c r="G45" s="11" t="s">
        <v>139</v>
      </c>
      <c r="H45" s="11" t="s">
        <v>78</v>
      </c>
      <c r="I45" s="11">
        <v>54</v>
      </c>
      <c r="J45" s="43">
        <v>0</v>
      </c>
      <c r="K45" s="11" t="s">
        <v>847</v>
      </c>
      <c r="L45" s="11">
        <v>7</v>
      </c>
      <c r="M45" s="11">
        <v>53</v>
      </c>
      <c r="N45" s="11">
        <v>-5</v>
      </c>
      <c r="O45" s="11">
        <v>60</v>
      </c>
      <c r="P45" s="11">
        <v>-7</v>
      </c>
      <c r="Q45" s="11">
        <v>61</v>
      </c>
      <c r="R45" s="11">
        <v>62</v>
      </c>
      <c r="S45" s="11">
        <v>60</v>
      </c>
      <c r="T45" s="11">
        <v>56</v>
      </c>
      <c r="U45" s="11">
        <v>60</v>
      </c>
      <c r="V45" s="11">
        <v>58</v>
      </c>
      <c r="W45" s="11">
        <v>8</v>
      </c>
      <c r="X45" s="11">
        <v>-5</v>
      </c>
      <c r="Y45" s="11">
        <v>-13</v>
      </c>
      <c r="Z45" s="25">
        <v>18</v>
      </c>
    </row>
    <row r="46" spans="1:26" ht="14.25" customHeight="1" x14ac:dyDescent="0.25">
      <c r="A46" s="11"/>
      <c r="B46" s="11">
        <v>13</v>
      </c>
      <c r="C46" s="11" t="s">
        <v>119</v>
      </c>
      <c r="D46" s="11">
        <v>4</v>
      </c>
      <c r="E46" s="11"/>
      <c r="F46" s="11">
        <v>0</v>
      </c>
      <c r="G46" s="11" t="s">
        <v>329</v>
      </c>
      <c r="H46" s="11" t="s">
        <v>163</v>
      </c>
      <c r="I46" s="11">
        <v>169</v>
      </c>
      <c r="J46" s="44">
        <v>0</v>
      </c>
      <c r="K46" s="11" t="s">
        <v>878</v>
      </c>
      <c r="L46" s="11">
        <v>17</v>
      </c>
      <c r="M46" s="11">
        <v>129</v>
      </c>
      <c r="N46" s="11">
        <v>-18</v>
      </c>
      <c r="O46" s="11">
        <v>133</v>
      </c>
      <c r="P46" s="11">
        <v>-4</v>
      </c>
      <c r="Q46" s="11">
        <v>150</v>
      </c>
      <c r="R46" s="11">
        <v>167</v>
      </c>
      <c r="S46" s="11">
        <v>149</v>
      </c>
      <c r="T46" s="11">
        <v>153</v>
      </c>
      <c r="U46" s="11">
        <v>149</v>
      </c>
      <c r="V46" s="11">
        <v>147</v>
      </c>
      <c r="W46" s="11">
        <v>19</v>
      </c>
      <c r="X46" s="11">
        <v>-15</v>
      </c>
      <c r="Y46" s="11">
        <v>-23</v>
      </c>
      <c r="Z46" s="25">
        <v>48</v>
      </c>
    </row>
    <row r="47" spans="1:26" ht="14.25" customHeight="1" x14ac:dyDescent="0.25">
      <c r="A47" s="11"/>
      <c r="B47" s="11">
        <v>5</v>
      </c>
      <c r="C47" s="11" t="s">
        <v>119</v>
      </c>
      <c r="D47" s="11">
        <v>4</v>
      </c>
      <c r="E47" s="11"/>
      <c r="F47" s="11">
        <v>0</v>
      </c>
      <c r="G47" s="11" t="s">
        <v>176</v>
      </c>
      <c r="H47" s="11" t="s">
        <v>155</v>
      </c>
      <c r="I47" s="11">
        <v>50</v>
      </c>
      <c r="J47" s="45">
        <v>0</v>
      </c>
      <c r="K47" s="11" t="s">
        <v>879</v>
      </c>
      <c r="L47" s="11">
        <v>7</v>
      </c>
      <c r="M47" s="11">
        <v>48</v>
      </c>
      <c r="N47" s="11">
        <v>-3</v>
      </c>
      <c r="O47" s="11">
        <v>52</v>
      </c>
      <c r="P47" s="11">
        <v>-4</v>
      </c>
      <c r="Q47" s="11">
        <v>54</v>
      </c>
      <c r="R47" s="11">
        <v>54</v>
      </c>
      <c r="S47" s="11">
        <v>55</v>
      </c>
      <c r="T47" s="11">
        <v>48</v>
      </c>
      <c r="U47" s="11">
        <v>46</v>
      </c>
      <c r="V47" s="11">
        <v>51</v>
      </c>
      <c r="W47" s="11">
        <v>7</v>
      </c>
      <c r="X47" s="11">
        <v>-3</v>
      </c>
      <c r="Y47" s="11">
        <v>9</v>
      </c>
      <c r="Z47" s="25">
        <v>28</v>
      </c>
    </row>
    <row r="48" spans="1:26" ht="14.25" customHeight="1" x14ac:dyDescent="0.25">
      <c r="A48" s="11"/>
      <c r="B48" s="11">
        <v>3</v>
      </c>
      <c r="C48" s="11" t="s">
        <v>119</v>
      </c>
      <c r="D48" s="11">
        <v>4</v>
      </c>
      <c r="E48" s="11"/>
      <c r="F48" s="11">
        <v>0</v>
      </c>
      <c r="G48" s="11" t="s">
        <v>174</v>
      </c>
      <c r="H48" s="11" t="s">
        <v>91</v>
      </c>
      <c r="I48" s="11">
        <v>30</v>
      </c>
      <c r="J48" s="42">
        <v>0</v>
      </c>
      <c r="K48" s="11" t="s">
        <v>327</v>
      </c>
      <c r="L48" s="11">
        <v>3</v>
      </c>
      <c r="M48" s="11">
        <v>23</v>
      </c>
      <c r="N48" s="11">
        <v>0</v>
      </c>
      <c r="O48" s="11">
        <v>17</v>
      </c>
      <c r="P48" s="11">
        <v>6</v>
      </c>
      <c r="Q48" s="11">
        <v>23</v>
      </c>
      <c r="R48" s="11">
        <v>31</v>
      </c>
      <c r="S48" s="11">
        <v>29</v>
      </c>
      <c r="T48" s="11">
        <v>24</v>
      </c>
      <c r="U48" s="11">
        <v>18</v>
      </c>
      <c r="V48" s="11">
        <v>23</v>
      </c>
      <c r="W48" s="11">
        <v>3</v>
      </c>
      <c r="X48" s="11">
        <v>1</v>
      </c>
      <c r="Y48" s="11">
        <v>3</v>
      </c>
      <c r="Z48" s="25">
        <v>1</v>
      </c>
    </row>
    <row r="49" spans="1:26" ht="14.25" customHeight="1" x14ac:dyDescent="0.25">
      <c r="A49" s="11"/>
      <c r="B49" s="11">
        <v>2</v>
      </c>
      <c r="C49" s="11" t="s">
        <v>119</v>
      </c>
      <c r="D49" s="11">
        <v>4</v>
      </c>
      <c r="E49" s="11"/>
      <c r="F49" s="11">
        <v>0</v>
      </c>
      <c r="G49" s="11" t="s">
        <v>122</v>
      </c>
      <c r="H49" s="11" t="s">
        <v>123</v>
      </c>
      <c r="I49" s="11">
        <v>24</v>
      </c>
      <c r="J49" s="41">
        <v>0</v>
      </c>
      <c r="K49" s="11" t="s">
        <v>209</v>
      </c>
      <c r="L49" s="11">
        <v>4</v>
      </c>
      <c r="M49" s="11">
        <v>26</v>
      </c>
      <c r="N49" s="11">
        <v>1</v>
      </c>
      <c r="O49" s="11">
        <v>35</v>
      </c>
      <c r="P49" s="11">
        <v>-9</v>
      </c>
      <c r="Q49" s="11">
        <v>25</v>
      </c>
      <c r="R49" s="11">
        <v>28</v>
      </c>
      <c r="S49" s="11">
        <v>13</v>
      </c>
      <c r="T49" s="11">
        <v>26</v>
      </c>
      <c r="U49" s="11">
        <v>27</v>
      </c>
      <c r="V49" s="11">
        <v>25</v>
      </c>
      <c r="W49" s="11">
        <v>4</v>
      </c>
      <c r="X49" s="11">
        <v>0</v>
      </c>
      <c r="Y49" s="11">
        <v>-1</v>
      </c>
      <c r="Z49" s="25">
        <v>2</v>
      </c>
    </row>
    <row r="50" spans="1:26" ht="14.25" customHeight="1" x14ac:dyDescent="0.25">
      <c r="A50" s="11"/>
      <c r="B50" s="11">
        <v>1</v>
      </c>
      <c r="C50" s="11" t="s">
        <v>119</v>
      </c>
      <c r="D50" s="11">
        <v>3</v>
      </c>
      <c r="E50" s="11" t="s">
        <v>243</v>
      </c>
      <c r="F50" s="11">
        <v>0</v>
      </c>
      <c r="G50" s="11" t="s">
        <v>125</v>
      </c>
      <c r="H50" s="11" t="s">
        <v>126</v>
      </c>
      <c r="I50" s="11">
        <v>10</v>
      </c>
      <c r="J50" s="40">
        <v>0</v>
      </c>
      <c r="K50" s="11" t="s">
        <v>843</v>
      </c>
      <c r="L50" s="11">
        <v>2</v>
      </c>
      <c r="M50" s="11">
        <v>12</v>
      </c>
      <c r="N50" s="11">
        <v>3</v>
      </c>
      <c r="O50" s="11">
        <v>11</v>
      </c>
      <c r="P50" s="11">
        <v>1</v>
      </c>
      <c r="Q50" s="11">
        <v>10</v>
      </c>
      <c r="R50" s="11">
        <v>9</v>
      </c>
      <c r="S50" s="11">
        <v>10</v>
      </c>
      <c r="T50" s="11">
        <v>8</v>
      </c>
      <c r="U50" s="11">
        <v>9</v>
      </c>
      <c r="V50" s="11">
        <v>9</v>
      </c>
      <c r="W50" s="11">
        <v>2</v>
      </c>
      <c r="X50" s="11">
        <v>1</v>
      </c>
      <c r="Y50" s="11">
        <v>1</v>
      </c>
      <c r="Z50" s="25">
        <v>5</v>
      </c>
    </row>
    <row r="51" spans="1:26" ht="14.25" customHeight="1" x14ac:dyDescent="0.25">
      <c r="A51" s="11"/>
      <c r="B51" s="11">
        <v>7</v>
      </c>
      <c r="C51" s="11" t="s">
        <v>119</v>
      </c>
      <c r="D51" s="11">
        <v>4</v>
      </c>
      <c r="E51" s="11"/>
      <c r="F51" s="11">
        <v>0</v>
      </c>
      <c r="G51" s="11" t="s">
        <v>349</v>
      </c>
      <c r="H51" s="11" t="s">
        <v>91</v>
      </c>
      <c r="I51" s="11">
        <v>93</v>
      </c>
      <c r="J51" s="41" t="s">
        <v>119</v>
      </c>
      <c r="K51" s="11" t="s">
        <v>849</v>
      </c>
      <c r="L51" s="11">
        <v>10</v>
      </c>
      <c r="M51" s="11">
        <v>77</v>
      </c>
      <c r="N51" s="11">
        <v>0</v>
      </c>
      <c r="O51" s="11">
        <v>73</v>
      </c>
      <c r="P51" s="11">
        <v>4</v>
      </c>
      <c r="Q51" s="11">
        <v>73</v>
      </c>
      <c r="R51" s="11">
        <v>95</v>
      </c>
      <c r="S51" s="11">
        <v>79</v>
      </c>
      <c r="T51" s="11">
        <v>93</v>
      </c>
      <c r="U51" s="11">
        <v>53</v>
      </c>
      <c r="V51" s="11">
        <v>77</v>
      </c>
      <c r="W51" s="11">
        <v>10</v>
      </c>
      <c r="X51" s="11">
        <v>-6</v>
      </c>
      <c r="Y51" s="11">
        <v>2</v>
      </c>
      <c r="Z51" s="25">
        <v>7</v>
      </c>
    </row>
    <row r="52" spans="1:26" ht="14.25" customHeight="1" x14ac:dyDescent="0.25">
      <c r="A52" s="11"/>
      <c r="B52" s="11">
        <v>12</v>
      </c>
      <c r="C52" s="11" t="s">
        <v>119</v>
      </c>
      <c r="D52" s="11">
        <v>4</v>
      </c>
      <c r="E52" s="11"/>
      <c r="F52" s="11">
        <v>0</v>
      </c>
      <c r="G52" s="11" t="s">
        <v>804</v>
      </c>
      <c r="H52" s="11" t="s">
        <v>116</v>
      </c>
      <c r="I52" s="11">
        <v>162</v>
      </c>
      <c r="J52" s="44">
        <v>0</v>
      </c>
      <c r="K52" s="11" t="s">
        <v>846</v>
      </c>
      <c r="L52" s="11">
        <v>8</v>
      </c>
      <c r="M52" s="11">
        <v>63</v>
      </c>
      <c r="N52" s="11">
        <v>-53</v>
      </c>
      <c r="O52" s="11">
        <v>81</v>
      </c>
      <c r="P52" s="11">
        <v>-18</v>
      </c>
      <c r="Q52" s="11">
        <v>121</v>
      </c>
      <c r="R52" s="11">
        <v>262</v>
      </c>
      <c r="S52" s="11">
        <v>115</v>
      </c>
      <c r="T52" s="11">
        <v>110</v>
      </c>
      <c r="U52" s="11">
        <v>65</v>
      </c>
      <c r="V52" s="11">
        <v>116</v>
      </c>
      <c r="W52" s="11">
        <v>15</v>
      </c>
      <c r="X52" s="11">
        <v>-11</v>
      </c>
      <c r="Y52" s="11">
        <v>45</v>
      </c>
      <c r="Z52" s="25">
        <v>22</v>
      </c>
    </row>
    <row r="53" spans="1:26" ht="14.25" customHeight="1" x14ac:dyDescent="0.25">
      <c r="A53" s="11" t="s">
        <v>148</v>
      </c>
      <c r="B53" s="11">
        <v>8</v>
      </c>
      <c r="C53" s="11" t="s">
        <v>119</v>
      </c>
      <c r="D53" s="11">
        <v>4</v>
      </c>
      <c r="E53" s="11"/>
      <c r="F53" s="11">
        <v>0</v>
      </c>
      <c r="G53" s="11" t="s">
        <v>288</v>
      </c>
      <c r="H53" s="11" t="s">
        <v>104</v>
      </c>
      <c r="I53" s="11">
        <v>67</v>
      </c>
      <c r="J53" s="45">
        <v>0</v>
      </c>
      <c r="K53" s="11" t="s">
        <v>884</v>
      </c>
      <c r="L53" s="11">
        <v>12</v>
      </c>
      <c r="M53" s="11">
        <v>89</v>
      </c>
      <c r="N53" s="11">
        <v>2</v>
      </c>
      <c r="O53" s="11">
        <v>91</v>
      </c>
      <c r="P53" s="11">
        <v>-2</v>
      </c>
      <c r="Q53" s="11">
        <v>88</v>
      </c>
      <c r="R53" s="11">
        <v>89</v>
      </c>
      <c r="S53" s="11">
        <v>85</v>
      </c>
      <c r="T53" s="11">
        <v>77</v>
      </c>
      <c r="U53" s="11">
        <v>95</v>
      </c>
      <c r="V53" s="11">
        <v>87</v>
      </c>
      <c r="W53" s="11">
        <v>11</v>
      </c>
      <c r="X53" s="11">
        <v>-7</v>
      </c>
      <c r="Y53" s="11">
        <v>-10</v>
      </c>
      <c r="Z53" s="25">
        <v>38</v>
      </c>
    </row>
    <row r="54" spans="1:26" ht="14.25" customHeight="1" x14ac:dyDescent="0.25">
      <c r="A54" s="11"/>
      <c r="B54" s="11">
        <v>4</v>
      </c>
      <c r="C54" s="11" t="s">
        <v>119</v>
      </c>
      <c r="D54" s="11">
        <v>4</v>
      </c>
      <c r="E54" s="11" t="s">
        <v>243</v>
      </c>
      <c r="F54" s="11">
        <v>0</v>
      </c>
      <c r="G54" s="11" t="s">
        <v>84</v>
      </c>
      <c r="H54" s="11" t="s">
        <v>52</v>
      </c>
      <c r="I54" s="11">
        <v>39</v>
      </c>
      <c r="J54" s="46">
        <v>0</v>
      </c>
      <c r="K54" s="11" t="s">
        <v>841</v>
      </c>
      <c r="L54" s="11">
        <v>6</v>
      </c>
      <c r="M54" s="11">
        <v>43</v>
      </c>
      <c r="N54" s="11">
        <v>2</v>
      </c>
      <c r="O54" s="11">
        <v>33</v>
      </c>
      <c r="P54" s="11">
        <v>10</v>
      </c>
      <c r="Q54" s="11">
        <v>47</v>
      </c>
      <c r="R54" s="11">
        <v>55</v>
      </c>
      <c r="S54" s="11">
        <v>34</v>
      </c>
      <c r="T54" s="11">
        <v>41</v>
      </c>
      <c r="U54" s="11">
        <v>40</v>
      </c>
      <c r="V54" s="11">
        <v>41</v>
      </c>
      <c r="W54" s="11">
        <v>6</v>
      </c>
      <c r="X54" s="11">
        <v>-2</v>
      </c>
      <c r="Y54" s="11">
        <v>-3</v>
      </c>
      <c r="Z54" s="25">
        <v>13</v>
      </c>
    </row>
    <row r="55" spans="1:26" ht="14.25" customHeight="1" x14ac:dyDescent="0.25">
      <c r="A55" s="11"/>
      <c r="B55" s="11">
        <v>4</v>
      </c>
      <c r="C55" s="11" t="s">
        <v>119</v>
      </c>
      <c r="D55" s="11">
        <v>4</v>
      </c>
      <c r="E55" s="11" t="s">
        <v>243</v>
      </c>
      <c r="F55" s="11">
        <v>0</v>
      </c>
      <c r="G55" s="11" t="s">
        <v>417</v>
      </c>
      <c r="H55" s="11" t="s">
        <v>129</v>
      </c>
      <c r="I55" s="11">
        <v>52</v>
      </c>
      <c r="J55" s="46">
        <v>0</v>
      </c>
      <c r="K55" s="11" t="s">
        <v>841</v>
      </c>
      <c r="L55" s="11">
        <v>6</v>
      </c>
      <c r="M55" s="11">
        <v>40</v>
      </c>
      <c r="N55" s="11">
        <v>-1</v>
      </c>
      <c r="O55" s="11">
        <v>28</v>
      </c>
      <c r="P55" s="11">
        <v>12</v>
      </c>
      <c r="Q55" s="11">
        <v>38</v>
      </c>
      <c r="R55" s="11">
        <v>53</v>
      </c>
      <c r="S55" s="11">
        <v>37</v>
      </c>
      <c r="T55" s="11">
        <v>49</v>
      </c>
      <c r="U55" s="11">
        <v>44</v>
      </c>
      <c r="V55" s="11">
        <v>41</v>
      </c>
      <c r="W55" s="11">
        <v>6</v>
      </c>
      <c r="X55" s="11">
        <v>-2</v>
      </c>
      <c r="Y55" s="11">
        <v>0</v>
      </c>
      <c r="Z55" s="25">
        <v>18</v>
      </c>
    </row>
    <row r="56" spans="1:26" ht="14.25" customHeight="1" x14ac:dyDescent="0.25">
      <c r="A56" s="11" t="s">
        <v>148</v>
      </c>
      <c r="B56" s="11">
        <v>11</v>
      </c>
      <c r="C56" s="11" t="s">
        <v>119</v>
      </c>
      <c r="D56" s="11">
        <v>5</v>
      </c>
      <c r="E56" s="11"/>
      <c r="F56" s="11">
        <v>0</v>
      </c>
      <c r="G56" s="11" t="s">
        <v>324</v>
      </c>
      <c r="H56" s="11" t="s">
        <v>66</v>
      </c>
      <c r="I56" s="11">
        <v>131</v>
      </c>
      <c r="J56" s="47">
        <v>0</v>
      </c>
      <c r="K56" s="11" t="s">
        <v>886</v>
      </c>
      <c r="L56" s="11">
        <v>15</v>
      </c>
      <c r="M56" s="11">
        <v>119</v>
      </c>
      <c r="N56" s="11">
        <v>-9</v>
      </c>
      <c r="O56" s="11">
        <v>142</v>
      </c>
      <c r="P56" s="11">
        <v>-23</v>
      </c>
      <c r="Q56" s="11">
        <v>126</v>
      </c>
      <c r="R56" s="11">
        <v>142</v>
      </c>
      <c r="S56" s="11">
        <v>107</v>
      </c>
      <c r="T56" s="11">
        <v>133</v>
      </c>
      <c r="U56" s="11">
        <v>128</v>
      </c>
      <c r="V56" s="11">
        <v>128</v>
      </c>
      <c r="W56" s="11">
        <v>17</v>
      </c>
      <c r="X56" s="11">
        <v>-12</v>
      </c>
      <c r="Y56" s="11">
        <v>-8</v>
      </c>
      <c r="Z56" s="25" t="s">
        <v>886</v>
      </c>
    </row>
    <row r="57" spans="1:26" ht="14.25" customHeight="1" x14ac:dyDescent="0.25">
      <c r="A57" s="11" t="s">
        <v>148</v>
      </c>
      <c r="B57" s="11">
        <v>21</v>
      </c>
      <c r="C57" s="11" t="s">
        <v>119</v>
      </c>
      <c r="D57" s="11">
        <v>3</v>
      </c>
      <c r="E57" s="11"/>
      <c r="F57" s="11">
        <v>0</v>
      </c>
      <c r="G57" s="11" t="s">
        <v>810</v>
      </c>
      <c r="H57" s="11" t="s">
        <v>94</v>
      </c>
      <c r="I57" s="11">
        <v>197</v>
      </c>
      <c r="J57" s="43">
        <v>0</v>
      </c>
      <c r="K57" s="11" t="s">
        <v>886</v>
      </c>
      <c r="L57" s="11">
        <v>32</v>
      </c>
      <c r="M57" s="11">
        <v>250</v>
      </c>
      <c r="N57" s="11">
        <v>17</v>
      </c>
      <c r="O57" s="11">
        <v>143</v>
      </c>
      <c r="P57" s="11">
        <v>107</v>
      </c>
      <c r="Q57" s="11">
        <v>189</v>
      </c>
      <c r="R57" s="11">
        <v>308</v>
      </c>
      <c r="S57" s="11">
        <v>227</v>
      </c>
      <c r="T57" s="11">
        <v>229</v>
      </c>
      <c r="U57" s="11">
        <v>290</v>
      </c>
      <c r="V57" s="11">
        <v>233</v>
      </c>
      <c r="W57" s="11">
        <v>30</v>
      </c>
      <c r="X57" s="11">
        <v>-27</v>
      </c>
      <c r="Y57" s="11">
        <v>17</v>
      </c>
      <c r="Z57" s="25" t="s">
        <v>886</v>
      </c>
    </row>
    <row r="58" spans="1:26" ht="14.25" customHeight="1" x14ac:dyDescent="0.25">
      <c r="A58" s="11"/>
      <c r="B58" s="11">
        <v>12</v>
      </c>
      <c r="C58" s="11" t="s">
        <v>119</v>
      </c>
      <c r="D58" s="11">
        <v>6</v>
      </c>
      <c r="E58" s="11"/>
      <c r="F58" s="11">
        <v>0</v>
      </c>
      <c r="G58" s="11" t="s">
        <v>411</v>
      </c>
      <c r="H58" s="11" t="s">
        <v>116</v>
      </c>
      <c r="I58" s="11">
        <v>129</v>
      </c>
      <c r="J58" s="48">
        <v>0</v>
      </c>
      <c r="K58" s="11" t="s">
        <v>889</v>
      </c>
      <c r="L58" s="11">
        <v>16</v>
      </c>
      <c r="M58" s="11">
        <v>125</v>
      </c>
      <c r="N58" s="11">
        <v>-8</v>
      </c>
      <c r="O58" s="11">
        <v>135</v>
      </c>
      <c r="P58" s="11">
        <v>-10</v>
      </c>
      <c r="Q58" s="11">
        <v>127</v>
      </c>
      <c r="R58" s="11">
        <v>141</v>
      </c>
      <c r="S58" s="11">
        <v>142</v>
      </c>
      <c r="T58" s="11">
        <v>131</v>
      </c>
      <c r="U58" s="11">
        <v>132</v>
      </c>
      <c r="V58" s="11">
        <v>133</v>
      </c>
      <c r="W58" s="11">
        <v>17</v>
      </c>
      <c r="X58" s="11">
        <v>-11</v>
      </c>
      <c r="Y58" s="11">
        <v>-4</v>
      </c>
      <c r="Z58" s="25">
        <v>18</v>
      </c>
    </row>
    <row r="59" spans="1:26" ht="14.25" customHeight="1" x14ac:dyDescent="0.25">
      <c r="A59" s="11"/>
      <c r="B59" s="11">
        <v>21</v>
      </c>
      <c r="C59" s="11" t="s">
        <v>119</v>
      </c>
      <c r="D59" s="11"/>
      <c r="E59" s="23"/>
      <c r="F59" s="11">
        <v>0</v>
      </c>
      <c r="G59" s="11" t="s">
        <v>813</v>
      </c>
      <c r="H59" s="11" t="s">
        <v>60</v>
      </c>
      <c r="I59" s="11">
        <v>227</v>
      </c>
      <c r="J59" s="48">
        <v>0</v>
      </c>
      <c r="K59" s="11" t="s">
        <v>890</v>
      </c>
      <c r="L59" s="11">
        <v>29</v>
      </c>
      <c r="M59" s="11">
        <v>224</v>
      </c>
      <c r="N59" s="11">
        <v>-18</v>
      </c>
      <c r="O59" s="11" t="s">
        <v>36</v>
      </c>
      <c r="P59" s="11" t="e">
        <v>#VALUE!</v>
      </c>
      <c r="Q59" s="11">
        <v>241</v>
      </c>
      <c r="R59" s="11">
        <v>284</v>
      </c>
      <c r="S59" s="11">
        <v>248</v>
      </c>
      <c r="T59" s="11">
        <v>230</v>
      </c>
      <c r="U59" s="11">
        <v>228</v>
      </c>
      <c r="V59" s="11">
        <v>242</v>
      </c>
      <c r="W59" s="11">
        <v>31</v>
      </c>
      <c r="X59" s="11">
        <v>-31</v>
      </c>
      <c r="Y59" s="11" t="e">
        <v>#VALUE!</v>
      </c>
      <c r="Z59" s="25" t="s">
        <v>886</v>
      </c>
    </row>
    <row r="60" spans="1:26" ht="14.25" customHeight="1" x14ac:dyDescent="0.25">
      <c r="A60" s="11"/>
      <c r="B60" s="11" t="e">
        <v>#N/A</v>
      </c>
      <c r="C60" s="11" t="s">
        <v>119</v>
      </c>
      <c r="D60" s="11"/>
      <c r="E60" s="11"/>
      <c r="F60" s="11" t="e">
        <v>#N/A</v>
      </c>
      <c r="G60" s="11" t="s">
        <v>465</v>
      </c>
      <c r="H60" s="11" t="e">
        <v>#N/A</v>
      </c>
      <c r="I60" s="11" t="e">
        <v>#N/A</v>
      </c>
      <c r="J60" s="45" t="e">
        <v>#N/A</v>
      </c>
      <c r="K60" s="11" t="e">
        <v>#N/A</v>
      </c>
      <c r="L60" s="11">
        <v>16</v>
      </c>
      <c r="M60" s="11" t="e">
        <v>#N/A</v>
      </c>
      <c r="N60" s="11" t="e">
        <v>#N/A</v>
      </c>
      <c r="O60" s="11" t="e">
        <v>#N/A</v>
      </c>
      <c r="P60" s="11" t="e">
        <v>#N/A</v>
      </c>
      <c r="Q60" s="11" t="e">
        <v>#N/A</v>
      </c>
      <c r="R60" s="11" t="e">
        <v>#N/A</v>
      </c>
      <c r="S60" s="11" t="e">
        <v>#N/A</v>
      </c>
      <c r="T60" s="11" t="e">
        <v>#N/A</v>
      </c>
      <c r="U60" s="11" t="e">
        <v>#N/A</v>
      </c>
      <c r="V60" s="11" t="e">
        <v>#N/A</v>
      </c>
      <c r="W60" s="11">
        <v>16</v>
      </c>
      <c r="X60" s="11">
        <v>-16</v>
      </c>
      <c r="Y60" s="11" t="e">
        <v>#N/A</v>
      </c>
      <c r="Z60" s="25" t="e">
        <v>#N/A</v>
      </c>
    </row>
    <row r="61" spans="1:26" ht="14.25" customHeight="1" x14ac:dyDescent="0.25">
      <c r="A61" s="11"/>
      <c r="B61" s="11">
        <v>4</v>
      </c>
      <c r="C61" s="11" t="s">
        <v>119</v>
      </c>
      <c r="D61" s="11">
        <v>5</v>
      </c>
      <c r="E61" s="11"/>
      <c r="F61" s="11">
        <v>0</v>
      </c>
      <c r="G61" s="11" t="s">
        <v>274</v>
      </c>
      <c r="H61" s="11" t="s">
        <v>55</v>
      </c>
      <c r="I61" s="11">
        <v>34</v>
      </c>
      <c r="J61" s="47">
        <v>0</v>
      </c>
      <c r="K61" s="11" t="s">
        <v>209</v>
      </c>
      <c r="L61" s="11">
        <v>5</v>
      </c>
      <c r="M61" s="11">
        <v>38</v>
      </c>
      <c r="N61" s="11">
        <v>1</v>
      </c>
      <c r="O61" s="11">
        <v>38</v>
      </c>
      <c r="P61" s="11">
        <v>0</v>
      </c>
      <c r="Q61" s="11">
        <v>35</v>
      </c>
      <c r="R61" s="11">
        <v>49</v>
      </c>
      <c r="S61" s="11">
        <v>24</v>
      </c>
      <c r="T61" s="11">
        <v>40</v>
      </c>
      <c r="U61" s="11">
        <v>38</v>
      </c>
      <c r="V61" s="11">
        <v>37</v>
      </c>
      <c r="W61" s="11">
        <v>5</v>
      </c>
      <c r="X61" s="11">
        <v>0</v>
      </c>
      <c r="Y61" s="11">
        <v>-12</v>
      </c>
      <c r="Z61" s="25">
        <v>3</v>
      </c>
    </row>
    <row r="62" spans="1:26" ht="14.25" customHeight="1" x14ac:dyDescent="0.25">
      <c r="A62" s="11"/>
      <c r="B62" s="11">
        <v>6</v>
      </c>
      <c r="C62" s="11" t="s">
        <v>119</v>
      </c>
      <c r="D62" s="11">
        <v>4</v>
      </c>
      <c r="E62" s="11"/>
      <c r="F62" s="11">
        <v>0</v>
      </c>
      <c r="G62" s="11" t="s">
        <v>147</v>
      </c>
      <c r="H62" s="11" t="s">
        <v>91</v>
      </c>
      <c r="I62" s="11">
        <v>59</v>
      </c>
      <c r="J62" s="45">
        <v>0</v>
      </c>
      <c r="K62" s="11" t="s">
        <v>879</v>
      </c>
      <c r="L62" s="11">
        <v>7</v>
      </c>
      <c r="M62" s="11">
        <v>55</v>
      </c>
      <c r="N62" s="11">
        <v>-7</v>
      </c>
      <c r="O62" s="11">
        <v>63</v>
      </c>
      <c r="P62" s="11">
        <v>-8</v>
      </c>
      <c r="Q62" s="11">
        <v>55</v>
      </c>
      <c r="R62" s="11">
        <v>66</v>
      </c>
      <c r="S62" s="11">
        <v>65</v>
      </c>
      <c r="T62" s="11">
        <v>57</v>
      </c>
      <c r="U62" s="11">
        <v>73</v>
      </c>
      <c r="V62" s="11">
        <v>62</v>
      </c>
      <c r="W62" s="11">
        <v>8</v>
      </c>
      <c r="X62" s="11">
        <v>-4</v>
      </c>
      <c r="Y62" s="11">
        <v>-10</v>
      </c>
      <c r="Z62" s="25">
        <v>27</v>
      </c>
    </row>
    <row r="63" spans="1:26" ht="14.25" customHeight="1" x14ac:dyDescent="0.25">
      <c r="A63" s="11"/>
      <c r="B63" s="11">
        <v>3</v>
      </c>
      <c r="C63" s="11" t="s">
        <v>119</v>
      </c>
      <c r="D63" s="11">
        <v>4</v>
      </c>
      <c r="E63" s="11"/>
      <c r="F63" s="11">
        <v>0</v>
      </c>
      <c r="G63" s="11" t="s">
        <v>150</v>
      </c>
      <c r="H63" s="11" t="s">
        <v>44</v>
      </c>
      <c r="I63" s="11">
        <v>25</v>
      </c>
      <c r="J63" s="26">
        <v>0</v>
      </c>
      <c r="K63" s="11" t="s">
        <v>842</v>
      </c>
      <c r="L63" s="11">
        <v>4</v>
      </c>
      <c r="M63" s="11">
        <v>31</v>
      </c>
      <c r="N63" s="11">
        <v>1</v>
      </c>
      <c r="O63" s="11">
        <v>32</v>
      </c>
      <c r="P63" s="11">
        <v>-1</v>
      </c>
      <c r="Q63" s="11">
        <v>26</v>
      </c>
      <c r="R63" s="11">
        <v>33</v>
      </c>
      <c r="S63" s="11">
        <v>30</v>
      </c>
      <c r="T63" s="11">
        <v>29</v>
      </c>
      <c r="U63" s="11">
        <v>33</v>
      </c>
      <c r="V63" s="11">
        <v>30</v>
      </c>
      <c r="W63" s="11">
        <v>4</v>
      </c>
      <c r="X63" s="11">
        <v>0</v>
      </c>
      <c r="Y63" s="11">
        <v>-1</v>
      </c>
      <c r="Z63" s="25">
        <v>12</v>
      </c>
    </row>
    <row r="64" spans="1:26" ht="14.25" customHeight="1" x14ac:dyDescent="0.25">
      <c r="A64" s="11"/>
      <c r="B64" s="11">
        <v>6</v>
      </c>
      <c r="C64" s="11" t="s">
        <v>119</v>
      </c>
      <c r="D64" s="11">
        <v>4</v>
      </c>
      <c r="E64" s="11"/>
      <c r="F64" s="11">
        <v>0</v>
      </c>
      <c r="G64" s="11" t="s">
        <v>118</v>
      </c>
      <c r="H64" s="11" t="s">
        <v>69</v>
      </c>
      <c r="I64" s="11">
        <v>45</v>
      </c>
      <c r="J64" s="45" t="s">
        <v>148</v>
      </c>
      <c r="K64" s="11" t="s">
        <v>847</v>
      </c>
      <c r="L64" s="11">
        <v>8</v>
      </c>
      <c r="M64" s="11">
        <v>62</v>
      </c>
      <c r="N64" s="11">
        <v>-1</v>
      </c>
      <c r="O64" s="11">
        <v>62</v>
      </c>
      <c r="P64" s="11">
        <v>0</v>
      </c>
      <c r="Q64" s="11">
        <v>67</v>
      </c>
      <c r="R64" s="11">
        <v>73</v>
      </c>
      <c r="S64" s="11">
        <v>54</v>
      </c>
      <c r="T64" s="11">
        <v>52</v>
      </c>
      <c r="U64" s="11">
        <v>75</v>
      </c>
      <c r="V64" s="11">
        <v>63</v>
      </c>
      <c r="W64" s="11">
        <v>8</v>
      </c>
      <c r="X64" s="11">
        <v>-4</v>
      </c>
      <c r="Y64" s="11">
        <v>-16</v>
      </c>
      <c r="Z64" s="25">
        <v>21</v>
      </c>
    </row>
    <row r="65" spans="1:26" ht="14.25" customHeight="1" x14ac:dyDescent="0.25">
      <c r="A65" s="11"/>
      <c r="B65" s="11">
        <v>6</v>
      </c>
      <c r="C65" s="11" t="s">
        <v>119</v>
      </c>
      <c r="D65" s="11">
        <v>4</v>
      </c>
      <c r="E65" s="11"/>
      <c r="F65" s="11">
        <v>0</v>
      </c>
      <c r="G65" s="11" t="s">
        <v>133</v>
      </c>
      <c r="H65" s="11" t="s">
        <v>85</v>
      </c>
      <c r="I65" s="11">
        <v>70</v>
      </c>
      <c r="J65" s="45" t="s">
        <v>148</v>
      </c>
      <c r="K65" s="11" t="s">
        <v>879</v>
      </c>
      <c r="L65" s="11">
        <v>7</v>
      </c>
      <c r="M65" s="11">
        <v>49</v>
      </c>
      <c r="N65" s="11">
        <v>-19</v>
      </c>
      <c r="O65" s="11">
        <v>84</v>
      </c>
      <c r="P65" s="11">
        <v>-35</v>
      </c>
      <c r="Q65" s="11">
        <v>71</v>
      </c>
      <c r="R65" s="11">
        <v>98</v>
      </c>
      <c r="S65" s="11">
        <v>72</v>
      </c>
      <c r="T65" s="11">
        <v>60</v>
      </c>
      <c r="U65" s="11">
        <v>47</v>
      </c>
      <c r="V65" s="11">
        <v>68</v>
      </c>
      <c r="W65" s="11">
        <v>9</v>
      </c>
      <c r="X65" s="11">
        <v>-5</v>
      </c>
      <c r="Y65" s="11">
        <v>6</v>
      </c>
      <c r="Z65" s="25">
        <v>29</v>
      </c>
    </row>
    <row r="66" spans="1:26" ht="14.25" customHeight="1" x14ac:dyDescent="0.25">
      <c r="A66" s="11"/>
      <c r="B66" s="11">
        <v>12</v>
      </c>
      <c r="C66" s="11" t="s">
        <v>119</v>
      </c>
      <c r="D66" s="11">
        <v>6</v>
      </c>
      <c r="E66" s="11"/>
      <c r="F66" s="11">
        <v>0</v>
      </c>
      <c r="G66" s="11" t="s">
        <v>250</v>
      </c>
      <c r="H66" s="11" t="s">
        <v>39</v>
      </c>
      <c r="I66" s="11">
        <v>137</v>
      </c>
      <c r="J66" s="49" t="s">
        <v>148</v>
      </c>
      <c r="K66" s="11" t="s">
        <v>891</v>
      </c>
      <c r="L66" s="11">
        <v>16</v>
      </c>
      <c r="M66" s="11">
        <v>121</v>
      </c>
      <c r="N66" s="11">
        <v>-15</v>
      </c>
      <c r="O66" s="11">
        <v>148</v>
      </c>
      <c r="P66" s="11">
        <v>-27</v>
      </c>
      <c r="Q66" s="11">
        <v>141</v>
      </c>
      <c r="R66" s="11">
        <v>166</v>
      </c>
      <c r="S66" s="11">
        <v>114</v>
      </c>
      <c r="T66" s="11">
        <v>136</v>
      </c>
      <c r="U66" s="11">
        <v>129</v>
      </c>
      <c r="V66" s="11">
        <v>136</v>
      </c>
      <c r="W66" s="11">
        <v>18</v>
      </c>
      <c r="X66" s="11">
        <v>-12</v>
      </c>
      <c r="Y66" s="11">
        <v>23</v>
      </c>
      <c r="Z66" s="25">
        <v>15</v>
      </c>
    </row>
    <row r="67" spans="1:26" ht="14.25" customHeight="1" x14ac:dyDescent="0.25">
      <c r="A67" s="11"/>
      <c r="B67" s="11">
        <v>6</v>
      </c>
      <c r="C67" s="11" t="s">
        <v>119</v>
      </c>
      <c r="D67" s="11">
        <v>4</v>
      </c>
      <c r="E67" s="11"/>
      <c r="F67" s="11">
        <v>0</v>
      </c>
      <c r="G67" s="11" t="s">
        <v>178</v>
      </c>
      <c r="H67" s="11" t="s">
        <v>35</v>
      </c>
      <c r="I67" s="11">
        <v>74</v>
      </c>
      <c r="J67" s="46">
        <v>0</v>
      </c>
      <c r="K67" s="11" t="s">
        <v>846</v>
      </c>
      <c r="L67" s="11">
        <v>7</v>
      </c>
      <c r="M67" s="11">
        <v>52</v>
      </c>
      <c r="N67" s="11">
        <v>-11</v>
      </c>
      <c r="O67" s="11">
        <v>57</v>
      </c>
      <c r="P67" s="11">
        <v>-5</v>
      </c>
      <c r="Q67" s="11">
        <v>59</v>
      </c>
      <c r="R67" s="11">
        <v>74</v>
      </c>
      <c r="S67" s="11">
        <v>68</v>
      </c>
      <c r="T67" s="11">
        <v>70</v>
      </c>
      <c r="U67" s="11">
        <v>67</v>
      </c>
      <c r="V67" s="11">
        <v>63</v>
      </c>
      <c r="W67" s="11">
        <v>8</v>
      </c>
      <c r="X67" s="11">
        <v>-4</v>
      </c>
      <c r="Y67" s="11">
        <v>-2</v>
      </c>
      <c r="Z67" s="25">
        <v>21</v>
      </c>
    </row>
    <row r="68" spans="1:26" ht="14.25" customHeight="1" x14ac:dyDescent="0.25">
      <c r="A68" s="11"/>
      <c r="B68" s="11">
        <v>5</v>
      </c>
      <c r="C68" s="11" t="s">
        <v>119</v>
      </c>
      <c r="D68" s="11">
        <v>5</v>
      </c>
      <c r="E68" s="11" t="s">
        <v>243</v>
      </c>
      <c r="F68" s="11">
        <v>0</v>
      </c>
      <c r="G68" s="11" t="s">
        <v>562</v>
      </c>
      <c r="H68" s="11" t="s">
        <v>123</v>
      </c>
      <c r="I68" s="11">
        <v>61</v>
      </c>
      <c r="J68" s="46">
        <v>0</v>
      </c>
      <c r="K68" s="11" t="s">
        <v>841</v>
      </c>
      <c r="L68" s="11">
        <v>6</v>
      </c>
      <c r="M68" s="11">
        <v>47</v>
      </c>
      <c r="N68" s="11">
        <v>-3</v>
      </c>
      <c r="O68" s="11">
        <v>42</v>
      </c>
      <c r="P68" s="11">
        <v>5</v>
      </c>
      <c r="Q68" s="11">
        <v>46</v>
      </c>
      <c r="R68" s="11">
        <v>65</v>
      </c>
      <c r="S68" s="11">
        <v>49</v>
      </c>
      <c r="T68" s="11">
        <v>55</v>
      </c>
      <c r="U68" s="11">
        <v>49</v>
      </c>
      <c r="V68" s="11">
        <v>50</v>
      </c>
      <c r="W68" s="11">
        <v>7</v>
      </c>
      <c r="X68" s="11">
        <v>-2</v>
      </c>
      <c r="Y68" s="11">
        <v>-6</v>
      </c>
      <c r="Z68" s="25">
        <v>19</v>
      </c>
    </row>
    <row r="69" spans="1:26" ht="14.25" customHeight="1" x14ac:dyDescent="0.25">
      <c r="A69" s="11"/>
      <c r="B69" s="11">
        <v>8</v>
      </c>
      <c r="C69" s="11" t="s">
        <v>119</v>
      </c>
      <c r="D69" s="11">
        <v>7</v>
      </c>
      <c r="E69" s="11"/>
      <c r="F69" s="11">
        <v>0</v>
      </c>
      <c r="G69" s="11" t="s">
        <v>648</v>
      </c>
      <c r="H69" s="11" t="s">
        <v>168</v>
      </c>
      <c r="I69" s="11">
        <v>100</v>
      </c>
      <c r="J69" s="49" t="s">
        <v>119</v>
      </c>
      <c r="K69" s="11" t="s">
        <v>849</v>
      </c>
      <c r="L69" s="11">
        <v>11</v>
      </c>
      <c r="M69" s="11">
        <v>87</v>
      </c>
      <c r="N69" s="11">
        <v>0</v>
      </c>
      <c r="O69" s="11">
        <v>97</v>
      </c>
      <c r="P69" s="11">
        <v>-10</v>
      </c>
      <c r="Q69" s="11">
        <v>78</v>
      </c>
      <c r="R69" s="11">
        <v>103</v>
      </c>
      <c r="S69" s="11">
        <v>75</v>
      </c>
      <c r="T69" s="11">
        <v>95</v>
      </c>
      <c r="U69" s="11">
        <v>74</v>
      </c>
      <c r="V69" s="11">
        <v>87</v>
      </c>
      <c r="W69" s="11">
        <v>11</v>
      </c>
      <c r="X69" s="11">
        <v>-4</v>
      </c>
      <c r="Y69" s="11">
        <v>5</v>
      </c>
      <c r="Z69" s="25">
        <v>8</v>
      </c>
    </row>
    <row r="70" spans="1:26" ht="14.25" customHeight="1" x14ac:dyDescent="0.25">
      <c r="A70" s="11"/>
      <c r="B70" s="11">
        <v>4</v>
      </c>
      <c r="C70" s="11" t="s">
        <v>119</v>
      </c>
      <c r="D70" s="11">
        <v>4</v>
      </c>
      <c r="E70" s="11"/>
      <c r="F70" s="11">
        <v>0</v>
      </c>
      <c r="G70" s="11" t="s">
        <v>183</v>
      </c>
      <c r="H70" s="11" t="s">
        <v>184</v>
      </c>
      <c r="I70" s="11">
        <v>40</v>
      </c>
      <c r="J70" s="45">
        <v>0</v>
      </c>
      <c r="K70" s="11" t="s">
        <v>847</v>
      </c>
      <c r="L70" s="11">
        <v>6</v>
      </c>
      <c r="M70" s="11">
        <v>42</v>
      </c>
      <c r="N70" s="11">
        <v>0</v>
      </c>
      <c r="O70" s="11">
        <v>45</v>
      </c>
      <c r="P70" s="11">
        <v>-3</v>
      </c>
      <c r="Q70" s="11">
        <v>36</v>
      </c>
      <c r="R70" s="11">
        <v>56</v>
      </c>
      <c r="S70" s="11">
        <v>46</v>
      </c>
      <c r="T70" s="11">
        <v>44</v>
      </c>
      <c r="U70" s="11">
        <v>28</v>
      </c>
      <c r="V70" s="11">
        <v>42</v>
      </c>
      <c r="W70" s="11">
        <v>6</v>
      </c>
      <c r="X70" s="11">
        <v>-2</v>
      </c>
      <c r="Y70" s="11">
        <v>-6</v>
      </c>
      <c r="Z70" s="25">
        <v>17</v>
      </c>
    </row>
    <row r="71" spans="1:26" ht="14.25" customHeight="1" x14ac:dyDescent="0.25">
      <c r="A71" s="11"/>
      <c r="B71" s="11">
        <v>7</v>
      </c>
      <c r="C71" s="11" t="s">
        <v>119</v>
      </c>
      <c r="D71" s="11">
        <v>5</v>
      </c>
      <c r="E71" s="11"/>
      <c r="F71" s="11">
        <v>0</v>
      </c>
      <c r="G71" s="11" t="s">
        <v>338</v>
      </c>
      <c r="H71" s="11" t="s">
        <v>72</v>
      </c>
      <c r="I71" s="11">
        <v>75</v>
      </c>
      <c r="J71" s="44">
        <v>0</v>
      </c>
      <c r="K71" s="11" t="s">
        <v>846</v>
      </c>
      <c r="L71" s="11">
        <v>9</v>
      </c>
      <c r="M71" s="11">
        <v>65</v>
      </c>
      <c r="N71" s="11">
        <v>-4</v>
      </c>
      <c r="O71" s="11">
        <v>56</v>
      </c>
      <c r="P71" s="11">
        <v>9</v>
      </c>
      <c r="Q71" s="11">
        <v>70</v>
      </c>
      <c r="R71" s="11">
        <v>76</v>
      </c>
      <c r="S71" s="11">
        <v>70</v>
      </c>
      <c r="T71" s="11">
        <v>74</v>
      </c>
      <c r="U71" s="11">
        <v>77</v>
      </c>
      <c r="V71" s="11">
        <v>69</v>
      </c>
      <c r="W71" s="11">
        <v>9</v>
      </c>
      <c r="X71" s="11">
        <v>-4</v>
      </c>
      <c r="Y71" s="11">
        <v>1</v>
      </c>
      <c r="Z71" s="25">
        <v>25</v>
      </c>
    </row>
    <row r="72" spans="1:26" ht="14.25" customHeight="1" x14ac:dyDescent="0.25">
      <c r="A72" s="11"/>
      <c r="B72" s="11">
        <v>4</v>
      </c>
      <c r="C72" s="11" t="s">
        <v>119</v>
      </c>
      <c r="D72" s="11">
        <v>6</v>
      </c>
      <c r="E72" s="11"/>
      <c r="F72" s="11">
        <v>0</v>
      </c>
      <c r="G72" s="11" t="s">
        <v>211</v>
      </c>
      <c r="H72" s="11" t="s">
        <v>44</v>
      </c>
      <c r="I72" s="11">
        <v>53</v>
      </c>
      <c r="J72" s="48">
        <v>0</v>
      </c>
      <c r="K72" s="11" t="s">
        <v>871</v>
      </c>
      <c r="L72" s="11">
        <v>6</v>
      </c>
      <c r="M72" s="11">
        <v>41</v>
      </c>
      <c r="N72" s="11">
        <v>5</v>
      </c>
      <c r="O72" s="11">
        <v>25</v>
      </c>
      <c r="P72" s="11">
        <v>16</v>
      </c>
      <c r="Q72" s="11">
        <v>33</v>
      </c>
      <c r="R72" s="11">
        <v>45</v>
      </c>
      <c r="S72" s="11">
        <v>45</v>
      </c>
      <c r="T72" s="11">
        <v>32</v>
      </c>
      <c r="U72" s="11">
        <v>35</v>
      </c>
      <c r="V72" s="11">
        <v>36</v>
      </c>
      <c r="W72" s="11">
        <v>5</v>
      </c>
      <c r="X72" s="11">
        <v>1</v>
      </c>
      <c r="Y72" s="11">
        <v>17</v>
      </c>
      <c r="Z72" s="25">
        <v>5</v>
      </c>
    </row>
    <row r="73" spans="1:26" ht="14.25" customHeight="1" x14ac:dyDescent="0.25">
      <c r="A73" s="11"/>
      <c r="B73" s="11">
        <v>8</v>
      </c>
      <c r="C73" s="11" t="s">
        <v>119</v>
      </c>
      <c r="D73" s="11">
        <v>5</v>
      </c>
      <c r="E73" s="11"/>
      <c r="F73" s="11">
        <v>0</v>
      </c>
      <c r="G73" s="11" t="s">
        <v>355</v>
      </c>
      <c r="H73" s="11" t="s">
        <v>123</v>
      </c>
      <c r="I73" s="11">
        <v>104</v>
      </c>
      <c r="J73" s="48">
        <v>0</v>
      </c>
      <c r="K73" s="11" t="s">
        <v>893</v>
      </c>
      <c r="L73" s="11">
        <v>12</v>
      </c>
      <c r="M73" s="11">
        <v>91</v>
      </c>
      <c r="N73" s="11">
        <v>0</v>
      </c>
      <c r="O73" s="11">
        <v>82</v>
      </c>
      <c r="P73" s="11">
        <v>9</v>
      </c>
      <c r="Q73" s="11">
        <v>77</v>
      </c>
      <c r="R73" s="11">
        <v>101</v>
      </c>
      <c r="S73" s="11">
        <v>105</v>
      </c>
      <c r="T73" s="11">
        <v>104</v>
      </c>
      <c r="U73" s="11">
        <v>81</v>
      </c>
      <c r="V73" s="11">
        <v>91</v>
      </c>
      <c r="W73" s="11">
        <v>12</v>
      </c>
      <c r="X73" s="11">
        <v>-7</v>
      </c>
      <c r="Y73" s="11">
        <v>7</v>
      </c>
      <c r="Z73" s="25">
        <v>8</v>
      </c>
    </row>
    <row r="74" spans="1:26" ht="14.25" customHeight="1" x14ac:dyDescent="0.25">
      <c r="A74" s="11"/>
      <c r="B74" s="11">
        <v>6</v>
      </c>
      <c r="C74" s="11" t="s">
        <v>119</v>
      </c>
      <c r="D74" s="11">
        <v>6</v>
      </c>
      <c r="E74" s="11"/>
      <c r="F74" s="11">
        <v>0</v>
      </c>
      <c r="G74" s="11" t="s">
        <v>478</v>
      </c>
      <c r="H74" s="11" t="s">
        <v>229</v>
      </c>
      <c r="I74" s="11">
        <v>51</v>
      </c>
      <c r="J74" s="45" t="s">
        <v>148</v>
      </c>
      <c r="K74" s="11" t="s">
        <v>879</v>
      </c>
      <c r="L74" s="11">
        <v>10</v>
      </c>
      <c r="M74" s="11">
        <v>72</v>
      </c>
      <c r="N74" s="11">
        <v>8</v>
      </c>
      <c r="O74" s="11">
        <v>67</v>
      </c>
      <c r="P74" s="11">
        <v>5</v>
      </c>
      <c r="Q74" s="11">
        <v>60</v>
      </c>
      <c r="R74" s="11">
        <v>72</v>
      </c>
      <c r="S74" s="11">
        <v>59</v>
      </c>
      <c r="T74" s="11">
        <v>54</v>
      </c>
      <c r="U74" s="11">
        <v>66</v>
      </c>
      <c r="V74" s="11">
        <v>64</v>
      </c>
      <c r="W74" s="11">
        <v>9</v>
      </c>
      <c r="X74" s="11">
        <v>-3</v>
      </c>
      <c r="Y74" s="11">
        <v>-6</v>
      </c>
      <c r="Z74" s="25">
        <v>25</v>
      </c>
    </row>
    <row r="75" spans="1:26" ht="14.25" customHeight="1" x14ac:dyDescent="0.25">
      <c r="A75" s="11"/>
      <c r="B75" s="11">
        <v>11</v>
      </c>
      <c r="C75" s="11" t="s">
        <v>119</v>
      </c>
      <c r="D75" s="11">
        <v>6</v>
      </c>
      <c r="E75" s="11"/>
      <c r="F75" s="11">
        <v>0</v>
      </c>
      <c r="G75" s="11" t="s">
        <v>222</v>
      </c>
      <c r="H75" s="11" t="s">
        <v>104</v>
      </c>
      <c r="I75" s="11">
        <v>135</v>
      </c>
      <c r="J75" s="44">
        <v>0</v>
      </c>
      <c r="K75" s="11" t="s">
        <v>848</v>
      </c>
      <c r="L75" s="11">
        <v>14</v>
      </c>
      <c r="M75" s="11">
        <v>111</v>
      </c>
      <c r="N75" s="11">
        <v>-6</v>
      </c>
      <c r="O75" s="11">
        <v>109</v>
      </c>
      <c r="P75" s="11">
        <v>2</v>
      </c>
      <c r="Q75" s="11">
        <v>107</v>
      </c>
      <c r="R75" s="11">
        <v>118</v>
      </c>
      <c r="S75" s="11">
        <v>126</v>
      </c>
      <c r="T75" s="11">
        <v>121</v>
      </c>
      <c r="U75" s="11">
        <v>130</v>
      </c>
      <c r="V75" s="11">
        <v>117</v>
      </c>
      <c r="W75" s="11">
        <v>15</v>
      </c>
      <c r="X75" s="11">
        <v>-9</v>
      </c>
      <c r="Y75" s="11">
        <v>-1</v>
      </c>
      <c r="Z75" s="25">
        <v>37</v>
      </c>
    </row>
    <row r="76" spans="1:26" ht="14.25" customHeight="1" x14ac:dyDescent="0.25">
      <c r="A76" s="11"/>
      <c r="B76" s="11">
        <v>9</v>
      </c>
      <c r="C76" s="11" t="s">
        <v>119</v>
      </c>
      <c r="D76" s="11">
        <v>7</v>
      </c>
      <c r="E76" s="11"/>
      <c r="F76" s="11">
        <v>0</v>
      </c>
      <c r="G76" s="11" t="s">
        <v>254</v>
      </c>
      <c r="H76" s="11" t="s">
        <v>69</v>
      </c>
      <c r="I76" s="11">
        <v>94</v>
      </c>
      <c r="J76" s="50">
        <v>0</v>
      </c>
      <c r="K76" s="11" t="s">
        <v>852</v>
      </c>
      <c r="L76" s="11">
        <v>15</v>
      </c>
      <c r="M76" s="11">
        <v>117</v>
      </c>
      <c r="N76" s="11">
        <v>15</v>
      </c>
      <c r="O76" s="11">
        <v>77</v>
      </c>
      <c r="P76" s="11">
        <v>40</v>
      </c>
      <c r="Q76" s="11">
        <v>99</v>
      </c>
      <c r="R76" s="11">
        <v>120</v>
      </c>
      <c r="S76" s="11">
        <v>97</v>
      </c>
      <c r="T76" s="11">
        <v>87</v>
      </c>
      <c r="U76" s="11">
        <v>117</v>
      </c>
      <c r="V76" s="11">
        <v>102</v>
      </c>
      <c r="W76" s="11">
        <v>13</v>
      </c>
      <c r="X76" s="11">
        <v>-6</v>
      </c>
      <c r="Y76" s="11">
        <v>-14</v>
      </c>
      <c r="Z76" s="25">
        <v>11</v>
      </c>
    </row>
    <row r="77" spans="1:26" ht="14.25" customHeight="1" x14ac:dyDescent="0.25">
      <c r="A77" s="11"/>
      <c r="B77" s="11">
        <v>6</v>
      </c>
      <c r="C77" s="11" t="s">
        <v>119</v>
      </c>
      <c r="D77" s="11">
        <v>6</v>
      </c>
      <c r="E77" s="11"/>
      <c r="F77" s="11">
        <v>0</v>
      </c>
      <c r="G77" s="11" t="s">
        <v>172</v>
      </c>
      <c r="H77" s="11" t="s">
        <v>155</v>
      </c>
      <c r="I77" s="11">
        <v>58</v>
      </c>
      <c r="J77" s="46" t="s">
        <v>119</v>
      </c>
      <c r="K77" s="11" t="s">
        <v>846</v>
      </c>
      <c r="L77" s="11">
        <v>9</v>
      </c>
      <c r="M77" s="11">
        <v>68</v>
      </c>
      <c r="N77" s="11">
        <v>8</v>
      </c>
      <c r="O77" s="11">
        <v>49</v>
      </c>
      <c r="P77" s="11">
        <v>19</v>
      </c>
      <c r="Q77" s="11">
        <v>53</v>
      </c>
      <c r="R77" s="11">
        <v>80</v>
      </c>
      <c r="S77" s="11">
        <v>56</v>
      </c>
      <c r="T77" s="11">
        <v>59</v>
      </c>
      <c r="U77" s="11">
        <v>57</v>
      </c>
      <c r="V77" s="11">
        <v>60</v>
      </c>
      <c r="W77" s="11">
        <v>8</v>
      </c>
      <c r="X77" s="11">
        <v>-2</v>
      </c>
      <c r="Y77" s="11">
        <v>4</v>
      </c>
      <c r="Z77" s="25">
        <v>26</v>
      </c>
    </row>
    <row r="78" spans="1:26" ht="14.25" customHeight="1" x14ac:dyDescent="0.25">
      <c r="A78" s="11"/>
      <c r="B78" s="11" t="e">
        <v>#N/A</v>
      </c>
      <c r="C78" s="11" t="s">
        <v>119</v>
      </c>
      <c r="D78" s="11">
        <v>7</v>
      </c>
      <c r="E78" s="11"/>
      <c r="F78" s="11" t="e">
        <v>#N/A</v>
      </c>
      <c r="G78" s="11" t="s">
        <v>850</v>
      </c>
      <c r="H78" s="11" t="e">
        <v>#N/A</v>
      </c>
      <c r="I78" s="11" t="e">
        <v>#N/A</v>
      </c>
      <c r="J78" s="44" t="e">
        <v>#N/A</v>
      </c>
      <c r="K78" s="11" t="e">
        <v>#N/A</v>
      </c>
      <c r="L78" s="11">
        <v>16</v>
      </c>
      <c r="M78" s="11" t="e">
        <v>#N/A</v>
      </c>
      <c r="N78" s="11" t="e">
        <v>#N/A</v>
      </c>
      <c r="O78" s="11" t="e">
        <v>#N/A</v>
      </c>
      <c r="P78" s="11" t="e">
        <v>#N/A</v>
      </c>
      <c r="Q78" s="11" t="e">
        <v>#N/A</v>
      </c>
      <c r="R78" s="11" t="e">
        <v>#N/A</v>
      </c>
      <c r="S78" s="11" t="e">
        <v>#N/A</v>
      </c>
      <c r="T78" s="11" t="e">
        <v>#N/A</v>
      </c>
      <c r="U78" s="11" t="e">
        <v>#N/A</v>
      </c>
      <c r="V78" s="11" t="e">
        <v>#N/A</v>
      </c>
      <c r="W78" s="11">
        <v>16</v>
      </c>
      <c r="X78" s="11">
        <v>-9</v>
      </c>
      <c r="Y78" s="11" t="e">
        <v>#N/A</v>
      </c>
      <c r="Z78" s="25" t="e">
        <v>#N/A</v>
      </c>
    </row>
    <row r="79" spans="1:26" ht="14.25" customHeight="1" x14ac:dyDescent="0.25">
      <c r="A79" s="11"/>
      <c r="B79" s="11">
        <v>12</v>
      </c>
      <c r="C79" s="11" t="s">
        <v>119</v>
      </c>
      <c r="D79" s="11">
        <v>6</v>
      </c>
      <c r="E79" s="11"/>
      <c r="F79" s="11">
        <v>0</v>
      </c>
      <c r="G79" s="11" t="s">
        <v>664</v>
      </c>
      <c r="H79" s="11" t="s">
        <v>116</v>
      </c>
      <c r="I79" s="11">
        <v>103</v>
      </c>
      <c r="J79" s="26">
        <v>0</v>
      </c>
      <c r="K79" s="11" t="s">
        <v>875</v>
      </c>
      <c r="L79" s="11">
        <v>19</v>
      </c>
      <c r="M79" s="11">
        <v>148</v>
      </c>
      <c r="N79" s="11">
        <v>6</v>
      </c>
      <c r="O79" s="11">
        <v>137</v>
      </c>
      <c r="P79" s="11">
        <v>11</v>
      </c>
      <c r="Q79" s="11">
        <v>178</v>
      </c>
      <c r="R79" s="11">
        <v>124</v>
      </c>
      <c r="S79" s="11">
        <v>131</v>
      </c>
      <c r="T79" s="11">
        <v>108</v>
      </c>
      <c r="U79" s="11">
        <v>172</v>
      </c>
      <c r="V79" s="11">
        <v>142</v>
      </c>
      <c r="W79" s="11">
        <v>18</v>
      </c>
      <c r="X79" s="11">
        <v>-12</v>
      </c>
      <c r="Y79" s="11">
        <v>-9</v>
      </c>
      <c r="Z79" s="25">
        <v>57</v>
      </c>
    </row>
    <row r="80" spans="1:26" ht="14.25" customHeight="1" x14ac:dyDescent="0.25">
      <c r="A80" s="11"/>
      <c r="B80" s="11">
        <v>12</v>
      </c>
      <c r="C80" s="11" t="s">
        <v>119</v>
      </c>
      <c r="D80" s="11" t="s">
        <v>883</v>
      </c>
      <c r="E80" s="11"/>
      <c r="F80" s="11">
        <v>0</v>
      </c>
      <c r="G80" s="11" t="s">
        <v>634</v>
      </c>
      <c r="H80" s="11" t="s">
        <v>88</v>
      </c>
      <c r="I80" s="11">
        <v>157</v>
      </c>
      <c r="J80" s="44">
        <v>0</v>
      </c>
      <c r="K80" s="11" t="s">
        <v>894</v>
      </c>
      <c r="L80" s="11">
        <v>14</v>
      </c>
      <c r="M80" s="11">
        <v>108</v>
      </c>
      <c r="N80" s="11">
        <v>-29</v>
      </c>
      <c r="O80" s="11">
        <v>138</v>
      </c>
      <c r="P80" s="11">
        <v>-30</v>
      </c>
      <c r="Q80" s="11">
        <v>162</v>
      </c>
      <c r="R80" s="11">
        <v>150</v>
      </c>
      <c r="S80" s="11">
        <v>148</v>
      </c>
      <c r="T80" s="11">
        <v>137</v>
      </c>
      <c r="U80" s="11">
        <v>118</v>
      </c>
      <c r="V80" s="11">
        <v>137</v>
      </c>
      <c r="W80" s="11">
        <v>18</v>
      </c>
      <c r="X80" s="11" t="e">
        <v>#VALUE!</v>
      </c>
      <c r="Y80" s="11">
        <v>18</v>
      </c>
      <c r="Z80" s="25">
        <v>39</v>
      </c>
    </row>
    <row r="81" spans="1:26" ht="14.25" customHeight="1" x14ac:dyDescent="0.25">
      <c r="A81" s="11"/>
      <c r="B81" s="11">
        <v>9</v>
      </c>
      <c r="C81" s="11" t="s">
        <v>119</v>
      </c>
      <c r="D81" s="11">
        <v>6</v>
      </c>
      <c r="E81" s="11"/>
      <c r="F81" s="11">
        <v>0</v>
      </c>
      <c r="G81" s="11" t="s">
        <v>264</v>
      </c>
      <c r="H81" s="11" t="s">
        <v>163</v>
      </c>
      <c r="I81" s="11">
        <v>117</v>
      </c>
      <c r="J81" s="26">
        <v>0</v>
      </c>
      <c r="K81" s="11" t="s">
        <v>851</v>
      </c>
      <c r="L81" s="11">
        <v>12</v>
      </c>
      <c r="M81" s="11">
        <v>90</v>
      </c>
      <c r="N81" s="11">
        <v>-14</v>
      </c>
      <c r="O81" s="11">
        <v>107</v>
      </c>
      <c r="P81" s="11">
        <v>-17</v>
      </c>
      <c r="Q81" s="11">
        <v>102</v>
      </c>
      <c r="R81" s="11">
        <v>127</v>
      </c>
      <c r="S81" s="11">
        <v>118</v>
      </c>
      <c r="T81" s="11">
        <v>100</v>
      </c>
      <c r="U81" s="11">
        <v>90</v>
      </c>
      <c r="V81" s="11">
        <v>104</v>
      </c>
      <c r="W81" s="11">
        <v>14</v>
      </c>
      <c r="X81" s="11">
        <v>-8</v>
      </c>
      <c r="Y81" s="11">
        <v>23</v>
      </c>
      <c r="Z81" s="25">
        <v>42</v>
      </c>
    </row>
    <row r="82" spans="1:26" ht="14.25" customHeight="1" x14ac:dyDescent="0.25">
      <c r="A82" s="11"/>
      <c r="B82" s="11">
        <v>12</v>
      </c>
      <c r="C82" s="11" t="s">
        <v>119</v>
      </c>
      <c r="D82" s="11"/>
      <c r="E82" s="11"/>
      <c r="F82" s="11">
        <v>0</v>
      </c>
      <c r="G82" s="11" t="s">
        <v>360</v>
      </c>
      <c r="H82" s="11" t="s">
        <v>214</v>
      </c>
      <c r="I82" s="11">
        <v>133</v>
      </c>
      <c r="J82" s="50">
        <v>0</v>
      </c>
      <c r="K82" s="11" t="s">
        <v>895</v>
      </c>
      <c r="L82" s="11">
        <v>18</v>
      </c>
      <c r="M82" s="11">
        <v>142</v>
      </c>
      <c r="N82" s="11">
        <v>5</v>
      </c>
      <c r="O82" s="11">
        <v>123</v>
      </c>
      <c r="P82" s="11">
        <v>19</v>
      </c>
      <c r="Q82" s="11">
        <v>125</v>
      </c>
      <c r="R82" s="11">
        <v>160</v>
      </c>
      <c r="S82" s="11">
        <v>147</v>
      </c>
      <c r="T82" s="11">
        <v>127</v>
      </c>
      <c r="U82" s="11">
        <v>140</v>
      </c>
      <c r="V82" s="11">
        <v>137</v>
      </c>
      <c r="W82" s="11">
        <v>18</v>
      </c>
      <c r="X82" s="11">
        <v>-18</v>
      </c>
      <c r="Y82" s="11">
        <v>-26</v>
      </c>
      <c r="Z82" s="25">
        <v>15</v>
      </c>
    </row>
    <row r="83" spans="1:26" ht="14.25" customHeight="1" x14ac:dyDescent="0.25">
      <c r="A83" s="11"/>
      <c r="B83" s="11">
        <v>21</v>
      </c>
      <c r="C83" s="11" t="s">
        <v>119</v>
      </c>
      <c r="D83" s="11">
        <v>6</v>
      </c>
      <c r="E83" s="11"/>
      <c r="F83" s="11">
        <v>0</v>
      </c>
      <c r="G83" s="11" t="s">
        <v>896</v>
      </c>
      <c r="H83" s="11" t="s">
        <v>94</v>
      </c>
      <c r="I83" s="11">
        <v>245</v>
      </c>
      <c r="J83" s="46">
        <v>0</v>
      </c>
      <c r="K83" s="11" t="s">
        <v>886</v>
      </c>
      <c r="L83" s="11">
        <v>33</v>
      </c>
      <c r="M83" s="11">
        <v>260</v>
      </c>
      <c r="N83" s="11">
        <v>19</v>
      </c>
      <c r="O83" s="11">
        <v>191</v>
      </c>
      <c r="P83" s="11">
        <v>69</v>
      </c>
      <c r="Q83" s="11" t="s">
        <v>36</v>
      </c>
      <c r="R83" s="11">
        <v>288</v>
      </c>
      <c r="S83" s="11">
        <v>221</v>
      </c>
      <c r="T83" s="11">
        <v>242</v>
      </c>
      <c r="U83" s="11">
        <v>247</v>
      </c>
      <c r="V83" s="11">
        <v>241</v>
      </c>
      <c r="W83" s="11">
        <v>31</v>
      </c>
      <c r="X83" s="11">
        <v>-25</v>
      </c>
      <c r="Y83" s="11" t="e">
        <v>#VALUE!</v>
      </c>
      <c r="Z83" s="25" t="s">
        <v>886</v>
      </c>
    </row>
    <row r="84" spans="1:26" ht="14.25" customHeight="1" x14ac:dyDescent="0.25">
      <c r="A84" s="11"/>
      <c r="B84" s="11">
        <v>13</v>
      </c>
      <c r="C84" s="11" t="s">
        <v>119</v>
      </c>
      <c r="D84" s="11">
        <v>6</v>
      </c>
      <c r="E84" s="11"/>
      <c r="F84" s="11">
        <v>0</v>
      </c>
      <c r="G84" s="11" t="s">
        <v>409</v>
      </c>
      <c r="H84" s="11" t="s">
        <v>88</v>
      </c>
      <c r="I84" s="11">
        <v>113</v>
      </c>
      <c r="J84" s="26">
        <v>0</v>
      </c>
      <c r="K84" s="11" t="s">
        <v>875</v>
      </c>
      <c r="L84" s="11">
        <v>21</v>
      </c>
      <c r="M84" s="11">
        <v>164</v>
      </c>
      <c r="N84" s="11">
        <v>15</v>
      </c>
      <c r="O84" s="11">
        <v>150</v>
      </c>
      <c r="P84" s="11">
        <v>14</v>
      </c>
      <c r="Q84" s="11">
        <v>118</v>
      </c>
      <c r="R84" s="11">
        <v>136</v>
      </c>
      <c r="S84" s="11">
        <v>134</v>
      </c>
      <c r="T84" s="11">
        <v>122</v>
      </c>
      <c r="U84" s="11">
        <v>222</v>
      </c>
      <c r="V84" s="11">
        <v>149</v>
      </c>
      <c r="W84" s="11">
        <v>19</v>
      </c>
      <c r="X84" s="11">
        <v>-13</v>
      </c>
      <c r="Y84" s="11">
        <v>-9</v>
      </c>
      <c r="Z84" s="25">
        <v>58</v>
      </c>
    </row>
    <row r="85" spans="1:26" ht="14.25" customHeight="1" x14ac:dyDescent="0.25">
      <c r="A85" s="11"/>
      <c r="B85" s="11">
        <v>12</v>
      </c>
      <c r="C85" s="11" t="s">
        <v>119</v>
      </c>
      <c r="D85" s="11">
        <v>9</v>
      </c>
      <c r="E85" s="11"/>
      <c r="F85" s="11">
        <v>0</v>
      </c>
      <c r="G85" s="11" t="s">
        <v>340</v>
      </c>
      <c r="H85" s="11" t="s">
        <v>69</v>
      </c>
      <c r="I85" s="11">
        <v>138</v>
      </c>
      <c r="J85" s="57" t="s">
        <v>148</v>
      </c>
      <c r="K85" s="11" t="s">
        <v>891</v>
      </c>
      <c r="L85" s="11">
        <v>18</v>
      </c>
      <c r="M85" s="11">
        <v>137</v>
      </c>
      <c r="N85" s="11">
        <v>0</v>
      </c>
      <c r="O85" s="11">
        <v>139</v>
      </c>
      <c r="P85" s="11">
        <v>-2</v>
      </c>
      <c r="Q85" s="11">
        <v>137</v>
      </c>
      <c r="R85" s="11">
        <v>163</v>
      </c>
      <c r="S85" s="11">
        <v>100</v>
      </c>
      <c r="T85" s="11">
        <v>130</v>
      </c>
      <c r="U85" s="11">
        <v>159</v>
      </c>
      <c r="V85" s="11">
        <v>137</v>
      </c>
      <c r="W85" s="11">
        <v>18</v>
      </c>
      <c r="X85" s="11">
        <v>-9</v>
      </c>
      <c r="Y85" s="11">
        <v>-22</v>
      </c>
      <c r="Z85" s="25">
        <v>14</v>
      </c>
    </row>
    <row r="86" spans="1:26" ht="14.25" customHeight="1" x14ac:dyDescent="0.25">
      <c r="A86" s="11" t="s">
        <v>148</v>
      </c>
      <c r="B86" s="11" t="e">
        <v>#N/A</v>
      </c>
      <c r="C86" s="11" t="s">
        <v>119</v>
      </c>
      <c r="D86" s="11">
        <v>6</v>
      </c>
      <c r="E86" s="11"/>
      <c r="F86" s="11">
        <v>0</v>
      </c>
      <c r="G86" s="11" t="s">
        <v>897</v>
      </c>
      <c r="H86" s="11" t="e">
        <v>#N/A</v>
      </c>
      <c r="I86" s="11" t="e">
        <v>#N/A</v>
      </c>
      <c r="J86" s="26">
        <v>0</v>
      </c>
      <c r="K86" s="11" t="s">
        <v>886</v>
      </c>
      <c r="L86" s="11">
        <v>16</v>
      </c>
      <c r="M86" s="11" t="e">
        <v>#N/A</v>
      </c>
      <c r="N86" s="11" t="e">
        <v>#N/A</v>
      </c>
      <c r="O86" s="11" t="e">
        <v>#N/A</v>
      </c>
      <c r="P86" s="11" t="e">
        <v>#N/A</v>
      </c>
      <c r="Q86" s="11" t="e">
        <v>#N/A</v>
      </c>
      <c r="R86" s="11" t="e">
        <v>#N/A</v>
      </c>
      <c r="S86" s="11" t="e">
        <v>#N/A</v>
      </c>
      <c r="T86" s="11" t="e">
        <v>#N/A</v>
      </c>
      <c r="U86" s="11" t="e">
        <v>#N/A</v>
      </c>
      <c r="V86" s="11" t="e">
        <v>#N/A</v>
      </c>
      <c r="W86" s="11">
        <v>16</v>
      </c>
      <c r="X86" s="11">
        <v>-10</v>
      </c>
      <c r="Y86" s="11" t="e">
        <v>#N/A</v>
      </c>
      <c r="Z86" s="25" t="s">
        <v>886</v>
      </c>
    </row>
    <row r="87" spans="1:26" ht="14.25" customHeight="1" x14ac:dyDescent="0.25">
      <c r="A87" s="11"/>
      <c r="B87" s="11">
        <v>11</v>
      </c>
      <c r="C87" s="11" t="s">
        <v>119</v>
      </c>
      <c r="D87" s="11">
        <v>6</v>
      </c>
      <c r="E87" s="23"/>
      <c r="F87" s="11">
        <v>0</v>
      </c>
      <c r="G87" s="11" t="s">
        <v>296</v>
      </c>
      <c r="H87" s="11" t="s">
        <v>214</v>
      </c>
      <c r="I87" s="11">
        <v>107</v>
      </c>
      <c r="J87" s="45">
        <v>0</v>
      </c>
      <c r="K87" s="11" t="s">
        <v>873</v>
      </c>
      <c r="L87" s="11">
        <v>13</v>
      </c>
      <c r="M87" s="11">
        <v>99</v>
      </c>
      <c r="N87" s="11">
        <v>-24</v>
      </c>
      <c r="O87" s="11">
        <v>134</v>
      </c>
      <c r="P87" s="11">
        <v>-35</v>
      </c>
      <c r="Q87" s="11">
        <v>128</v>
      </c>
      <c r="R87" s="11">
        <v>145</v>
      </c>
      <c r="S87" s="11">
        <v>116</v>
      </c>
      <c r="T87" s="11">
        <v>105</v>
      </c>
      <c r="U87" s="11">
        <v>134</v>
      </c>
      <c r="V87" s="11">
        <v>123</v>
      </c>
      <c r="W87" s="11">
        <v>16</v>
      </c>
      <c r="X87" s="11">
        <v>-10</v>
      </c>
      <c r="Y87" s="11">
        <v>-13</v>
      </c>
      <c r="Z87" s="25">
        <v>43</v>
      </c>
    </row>
    <row r="88" spans="1:26" ht="14.25" customHeight="1" x14ac:dyDescent="0.25">
      <c r="A88" s="11"/>
      <c r="B88" s="11">
        <v>6</v>
      </c>
      <c r="C88" s="11" t="s">
        <v>129</v>
      </c>
      <c r="D88" s="11">
        <v>6</v>
      </c>
      <c r="E88" s="11"/>
      <c r="F88" s="11">
        <v>0</v>
      </c>
      <c r="G88" s="11" t="s">
        <v>252</v>
      </c>
      <c r="H88" s="11" t="s">
        <v>229</v>
      </c>
      <c r="I88" s="11">
        <v>62</v>
      </c>
      <c r="J88" s="58">
        <v>0</v>
      </c>
      <c r="K88" s="11" t="s">
        <v>846</v>
      </c>
      <c r="L88" s="11">
        <v>9</v>
      </c>
      <c r="M88" s="11">
        <v>69</v>
      </c>
      <c r="N88" s="11">
        <v>1</v>
      </c>
      <c r="O88" s="11">
        <v>59</v>
      </c>
      <c r="P88" s="11">
        <v>10</v>
      </c>
      <c r="Q88" s="11">
        <v>69</v>
      </c>
      <c r="R88" s="11">
        <v>79</v>
      </c>
      <c r="S88" s="11">
        <v>58</v>
      </c>
      <c r="T88" s="11">
        <v>69</v>
      </c>
      <c r="U88" s="11">
        <v>78</v>
      </c>
      <c r="V88" s="11">
        <v>68</v>
      </c>
      <c r="W88" s="11">
        <v>9</v>
      </c>
      <c r="X88" s="11">
        <v>-3</v>
      </c>
      <c r="Y88" s="11">
        <v>-14</v>
      </c>
      <c r="Z88" s="25">
        <v>24</v>
      </c>
    </row>
    <row r="89" spans="1:26" ht="14.25" customHeight="1" x14ac:dyDescent="0.25">
      <c r="A89" s="11"/>
      <c r="B89" s="11">
        <v>5</v>
      </c>
      <c r="C89" s="11" t="s">
        <v>119</v>
      </c>
      <c r="D89" s="11">
        <v>7</v>
      </c>
      <c r="E89" s="11"/>
      <c r="F89" s="11">
        <v>0</v>
      </c>
      <c r="G89" s="11" t="s">
        <v>344</v>
      </c>
      <c r="H89" s="11" t="s">
        <v>85</v>
      </c>
      <c r="I89" s="11">
        <v>43</v>
      </c>
      <c r="J89" s="28">
        <v>0</v>
      </c>
      <c r="K89" s="11" t="s">
        <v>847</v>
      </c>
      <c r="L89" s="11">
        <v>8</v>
      </c>
      <c r="M89" s="11">
        <v>58</v>
      </c>
      <c r="N89" s="11">
        <v>5</v>
      </c>
      <c r="O89" s="11">
        <v>50</v>
      </c>
      <c r="P89" s="11">
        <v>8</v>
      </c>
      <c r="Q89" s="11">
        <v>50</v>
      </c>
      <c r="R89" s="11">
        <v>57</v>
      </c>
      <c r="S89" s="11">
        <v>48</v>
      </c>
      <c r="T89" s="11">
        <v>45</v>
      </c>
      <c r="U89" s="11">
        <v>68</v>
      </c>
      <c r="V89" s="11">
        <v>53</v>
      </c>
      <c r="W89" s="11">
        <v>7</v>
      </c>
      <c r="X89" s="11">
        <v>0</v>
      </c>
      <c r="Y89" s="11">
        <v>-2</v>
      </c>
      <c r="Z89" s="25">
        <v>22</v>
      </c>
    </row>
    <row r="90" spans="1:26" ht="14.25" customHeight="1" x14ac:dyDescent="0.25">
      <c r="A90" s="11"/>
      <c r="B90" s="11">
        <v>8</v>
      </c>
      <c r="C90" s="11" t="s">
        <v>119</v>
      </c>
      <c r="D90" s="11">
        <v>9</v>
      </c>
      <c r="E90" s="11"/>
      <c r="F90" s="11">
        <v>0</v>
      </c>
      <c r="G90" s="11" t="s">
        <v>555</v>
      </c>
      <c r="H90" s="11" t="s">
        <v>187</v>
      </c>
      <c r="I90" s="11">
        <v>105</v>
      </c>
      <c r="J90" s="57">
        <v>0</v>
      </c>
      <c r="K90" s="11" t="s">
        <v>849</v>
      </c>
      <c r="L90" s="11">
        <v>12</v>
      </c>
      <c r="M90" s="11">
        <v>92</v>
      </c>
      <c r="N90" s="11">
        <v>6</v>
      </c>
      <c r="O90" s="11">
        <v>74</v>
      </c>
      <c r="P90" s="11">
        <v>18</v>
      </c>
      <c r="Q90" s="11">
        <v>72</v>
      </c>
      <c r="R90" s="11">
        <v>108</v>
      </c>
      <c r="S90" s="11">
        <v>76</v>
      </c>
      <c r="T90" s="11">
        <v>101</v>
      </c>
      <c r="U90" s="11">
        <v>85</v>
      </c>
      <c r="V90" s="11">
        <v>86</v>
      </c>
      <c r="W90" s="11">
        <v>11</v>
      </c>
      <c r="X90" s="11">
        <v>-2</v>
      </c>
      <c r="Y90" s="11">
        <v>11</v>
      </c>
      <c r="Z90" s="25">
        <v>10</v>
      </c>
    </row>
    <row r="91" spans="1:26" ht="14.25" customHeight="1" x14ac:dyDescent="0.25">
      <c r="A91" s="11"/>
      <c r="B91" s="11">
        <v>10</v>
      </c>
      <c r="C91" s="11" t="s">
        <v>119</v>
      </c>
      <c r="D91" s="11">
        <v>7</v>
      </c>
      <c r="E91" s="11"/>
      <c r="F91" s="11">
        <v>0</v>
      </c>
      <c r="G91" s="11" t="s">
        <v>141</v>
      </c>
      <c r="H91" s="11" t="s">
        <v>69</v>
      </c>
      <c r="I91" s="11">
        <v>122</v>
      </c>
      <c r="J91" s="59" t="s">
        <v>119</v>
      </c>
      <c r="K91" s="11" t="s">
        <v>878</v>
      </c>
      <c r="L91" s="11">
        <v>13</v>
      </c>
      <c r="M91" s="11">
        <v>100</v>
      </c>
      <c r="N91" s="11">
        <v>-12</v>
      </c>
      <c r="O91" s="11">
        <v>108</v>
      </c>
      <c r="P91" s="11">
        <v>-8</v>
      </c>
      <c r="Q91" s="11">
        <v>103</v>
      </c>
      <c r="R91" s="11">
        <v>117</v>
      </c>
      <c r="S91" s="11">
        <v>106</v>
      </c>
      <c r="T91" s="11">
        <v>106</v>
      </c>
      <c r="U91" s="11">
        <v>150</v>
      </c>
      <c r="V91" s="11">
        <v>112</v>
      </c>
      <c r="W91" s="11">
        <v>15</v>
      </c>
      <c r="X91" s="11">
        <v>-8</v>
      </c>
      <c r="Y91" s="11">
        <v>0</v>
      </c>
      <c r="Z91" s="25">
        <v>52</v>
      </c>
    </row>
    <row r="92" spans="1:26" ht="14.25" customHeight="1" x14ac:dyDescent="0.25">
      <c r="A92" s="11" t="s">
        <v>148</v>
      </c>
      <c r="B92" s="11">
        <v>8</v>
      </c>
      <c r="C92" s="11" t="s">
        <v>119</v>
      </c>
      <c r="D92" s="11">
        <v>6</v>
      </c>
      <c r="E92" s="11"/>
      <c r="F92" s="11">
        <v>0</v>
      </c>
      <c r="G92" s="11" t="s">
        <v>231</v>
      </c>
      <c r="H92" s="11" t="s">
        <v>233</v>
      </c>
      <c r="I92" s="11">
        <v>86</v>
      </c>
      <c r="J92" s="44">
        <v>0</v>
      </c>
      <c r="K92" s="11" t="s">
        <v>848</v>
      </c>
      <c r="L92" s="11">
        <v>11</v>
      </c>
      <c r="M92" s="11">
        <v>86</v>
      </c>
      <c r="N92" s="11">
        <v>-4</v>
      </c>
      <c r="O92" s="11">
        <v>88</v>
      </c>
      <c r="P92" s="11">
        <v>-2</v>
      </c>
      <c r="Q92" s="11">
        <v>85</v>
      </c>
      <c r="R92" s="11">
        <v>96</v>
      </c>
      <c r="S92" s="11">
        <v>84</v>
      </c>
      <c r="T92" s="11">
        <v>86</v>
      </c>
      <c r="U92" s="11">
        <v>107</v>
      </c>
      <c r="V92" s="11">
        <v>90</v>
      </c>
      <c r="W92" s="11">
        <v>12</v>
      </c>
      <c r="X92" s="11">
        <v>-6</v>
      </c>
      <c r="Y92" s="11">
        <v>-15</v>
      </c>
      <c r="Z92" s="25">
        <v>35</v>
      </c>
    </row>
    <row r="93" spans="1:26" ht="14.25" customHeight="1" x14ac:dyDescent="0.25">
      <c r="A93" s="11"/>
      <c r="B93" s="11">
        <v>7</v>
      </c>
      <c r="C93" s="11" t="s">
        <v>119</v>
      </c>
      <c r="D93" s="11">
        <v>9</v>
      </c>
      <c r="E93" s="11"/>
      <c r="F93" s="11">
        <v>0</v>
      </c>
      <c r="G93" s="11" t="s">
        <v>202</v>
      </c>
      <c r="H93" s="11" t="s">
        <v>155</v>
      </c>
      <c r="I93" s="11">
        <v>66</v>
      </c>
      <c r="J93" s="28">
        <v>0</v>
      </c>
      <c r="K93" s="11" t="s">
        <v>845</v>
      </c>
      <c r="L93" s="11">
        <v>11</v>
      </c>
      <c r="M93" s="11">
        <v>80</v>
      </c>
      <c r="N93" s="11">
        <v>0</v>
      </c>
      <c r="O93" s="11">
        <v>99</v>
      </c>
      <c r="P93" s="11">
        <v>-19</v>
      </c>
      <c r="Q93" s="11">
        <v>76</v>
      </c>
      <c r="R93" s="11">
        <v>75</v>
      </c>
      <c r="S93" s="11">
        <v>77</v>
      </c>
      <c r="T93" s="11">
        <v>64</v>
      </c>
      <c r="U93" s="11">
        <v>89</v>
      </c>
      <c r="V93" s="11">
        <v>80</v>
      </c>
      <c r="W93" s="11">
        <v>11</v>
      </c>
      <c r="X93" s="11">
        <v>-2</v>
      </c>
      <c r="Y93" s="11">
        <v>-17</v>
      </c>
      <c r="Z93" s="25">
        <v>33</v>
      </c>
    </row>
    <row r="94" spans="1:26" ht="14.25" customHeight="1" x14ac:dyDescent="0.25">
      <c r="A94" s="11"/>
      <c r="B94" s="11">
        <v>3</v>
      </c>
      <c r="C94" s="11" t="s">
        <v>119</v>
      </c>
      <c r="D94" s="11">
        <v>6</v>
      </c>
      <c r="E94" s="11"/>
      <c r="F94" s="11">
        <v>0</v>
      </c>
      <c r="G94" s="11" t="s">
        <v>51</v>
      </c>
      <c r="H94" s="11" t="s">
        <v>52</v>
      </c>
      <c r="I94" s="11">
        <v>29</v>
      </c>
      <c r="J94" s="28">
        <v>0</v>
      </c>
      <c r="K94" s="11" t="s">
        <v>840</v>
      </c>
      <c r="L94" s="11">
        <v>4</v>
      </c>
      <c r="M94" s="11">
        <v>29</v>
      </c>
      <c r="N94" s="11">
        <v>-4</v>
      </c>
      <c r="O94" s="11">
        <v>40</v>
      </c>
      <c r="P94" s="11">
        <v>-11</v>
      </c>
      <c r="Q94" s="11">
        <v>37</v>
      </c>
      <c r="R94" s="11">
        <v>32</v>
      </c>
      <c r="S94" s="11">
        <v>31</v>
      </c>
      <c r="T94" s="11">
        <v>28</v>
      </c>
      <c r="U94" s="11">
        <v>39</v>
      </c>
      <c r="V94" s="11">
        <v>33</v>
      </c>
      <c r="W94" s="11">
        <v>5</v>
      </c>
      <c r="X94" s="11">
        <v>1</v>
      </c>
      <c r="Y94" s="11">
        <v>0</v>
      </c>
      <c r="Z94" s="25">
        <v>13</v>
      </c>
    </row>
    <row r="95" spans="1:26" ht="14.25" customHeight="1" x14ac:dyDescent="0.25">
      <c r="A95" s="11"/>
      <c r="B95" s="11" t="e">
        <v>#N/A</v>
      </c>
      <c r="C95" s="11" t="s">
        <v>119</v>
      </c>
      <c r="D95" s="11">
        <v>6</v>
      </c>
      <c r="E95" s="11"/>
      <c r="F95" s="11" t="e">
        <v>#N/A</v>
      </c>
      <c r="G95" s="11" t="s">
        <v>213</v>
      </c>
      <c r="H95" s="11" t="e">
        <v>#N/A</v>
      </c>
      <c r="I95" s="11" t="e">
        <v>#N/A</v>
      </c>
      <c r="J95" s="28" t="e">
        <v>#N/A</v>
      </c>
      <c r="K95" s="11" t="e">
        <v>#N/A</v>
      </c>
      <c r="L95" s="11">
        <v>16</v>
      </c>
      <c r="M95" s="11" t="e">
        <v>#N/A</v>
      </c>
      <c r="N95" s="11" t="e">
        <v>#N/A</v>
      </c>
      <c r="O95" s="11" t="e">
        <v>#N/A</v>
      </c>
      <c r="P95" s="11" t="e">
        <v>#N/A</v>
      </c>
      <c r="Q95" s="11" t="e">
        <v>#N/A</v>
      </c>
      <c r="R95" s="11" t="e">
        <v>#N/A</v>
      </c>
      <c r="S95" s="11" t="e">
        <v>#N/A</v>
      </c>
      <c r="T95" s="11" t="e">
        <v>#N/A</v>
      </c>
      <c r="U95" s="11" t="e">
        <v>#N/A</v>
      </c>
      <c r="V95" s="11" t="e">
        <v>#N/A</v>
      </c>
      <c r="W95" s="11">
        <v>16</v>
      </c>
      <c r="X95" s="11">
        <v>-10</v>
      </c>
      <c r="Y95" s="11" t="e">
        <v>#N/A</v>
      </c>
      <c r="Z95" s="25" t="e">
        <v>#N/A</v>
      </c>
    </row>
    <row r="96" spans="1:26" ht="14.25" customHeight="1" x14ac:dyDescent="0.25">
      <c r="A96" s="11"/>
      <c r="B96" s="11">
        <v>9</v>
      </c>
      <c r="C96" s="11" t="s">
        <v>148</v>
      </c>
      <c r="D96" s="11">
        <v>7</v>
      </c>
      <c r="E96" s="11"/>
      <c r="F96" s="11">
        <v>0</v>
      </c>
      <c r="G96" s="11" t="s">
        <v>308</v>
      </c>
      <c r="H96" s="11" t="s">
        <v>55</v>
      </c>
      <c r="I96" s="11">
        <v>106</v>
      </c>
      <c r="J96" s="60">
        <v>0</v>
      </c>
      <c r="K96" s="11" t="s">
        <v>852</v>
      </c>
      <c r="L96" s="11">
        <v>15</v>
      </c>
      <c r="M96" s="11">
        <v>112</v>
      </c>
      <c r="N96" s="11">
        <v>10</v>
      </c>
      <c r="O96" s="11">
        <v>89</v>
      </c>
      <c r="P96" s="11">
        <v>23</v>
      </c>
      <c r="Q96" s="11">
        <v>79</v>
      </c>
      <c r="R96" s="11">
        <v>111</v>
      </c>
      <c r="S96" s="11">
        <v>110</v>
      </c>
      <c r="T96" s="11">
        <v>107</v>
      </c>
      <c r="U96" s="11">
        <v>106</v>
      </c>
      <c r="V96" s="11">
        <v>102</v>
      </c>
      <c r="W96" s="11">
        <v>13</v>
      </c>
      <c r="X96" s="11">
        <v>-6</v>
      </c>
      <c r="Y96" s="11">
        <v>-16</v>
      </c>
      <c r="Z96" s="25">
        <v>12</v>
      </c>
    </row>
    <row r="97" spans="1:26" ht="14.25" customHeight="1" x14ac:dyDescent="0.25">
      <c r="A97" s="11"/>
      <c r="B97" s="11">
        <v>3</v>
      </c>
      <c r="C97" s="11" t="s">
        <v>119</v>
      </c>
      <c r="D97" s="11">
        <v>7</v>
      </c>
      <c r="E97" s="11"/>
      <c r="F97" s="11">
        <v>0</v>
      </c>
      <c r="G97" s="11" t="s">
        <v>224</v>
      </c>
      <c r="H97" s="11" t="s">
        <v>184</v>
      </c>
      <c r="I97" s="11">
        <v>36</v>
      </c>
      <c r="J97" s="60">
        <v>0</v>
      </c>
      <c r="K97" s="11" t="s">
        <v>871</v>
      </c>
      <c r="L97" s="11">
        <v>5</v>
      </c>
      <c r="M97" s="11">
        <v>33</v>
      </c>
      <c r="N97" s="11">
        <v>0</v>
      </c>
      <c r="O97" s="11">
        <v>30</v>
      </c>
      <c r="P97" s="11">
        <v>3</v>
      </c>
      <c r="Q97" s="11">
        <v>27</v>
      </c>
      <c r="R97" s="11">
        <v>42</v>
      </c>
      <c r="S97" s="11">
        <v>35</v>
      </c>
      <c r="T97" s="11">
        <v>35</v>
      </c>
      <c r="U97" s="11">
        <v>29</v>
      </c>
      <c r="V97" s="11">
        <v>33</v>
      </c>
      <c r="W97" s="11">
        <v>5</v>
      </c>
      <c r="X97" s="11">
        <v>2</v>
      </c>
      <c r="Y97" s="11">
        <v>-3</v>
      </c>
      <c r="Z97" s="25">
        <v>4</v>
      </c>
    </row>
    <row r="98" spans="1:26" ht="14.25" customHeight="1" x14ac:dyDescent="0.25">
      <c r="A98" s="11"/>
      <c r="B98" s="11">
        <v>12</v>
      </c>
      <c r="C98" s="11" t="s">
        <v>119</v>
      </c>
      <c r="D98" s="11">
        <v>6</v>
      </c>
      <c r="E98" s="11"/>
      <c r="F98" s="11">
        <v>0</v>
      </c>
      <c r="G98" s="11" t="s">
        <v>413</v>
      </c>
      <c r="H98" s="11" t="s">
        <v>55</v>
      </c>
      <c r="I98" s="11">
        <v>148</v>
      </c>
      <c r="J98" s="58">
        <v>0</v>
      </c>
      <c r="K98" s="11" t="s">
        <v>848</v>
      </c>
      <c r="L98" s="11">
        <v>10</v>
      </c>
      <c r="M98" s="11">
        <v>78</v>
      </c>
      <c r="N98" s="11">
        <v>-47</v>
      </c>
      <c r="O98" s="11">
        <v>125</v>
      </c>
      <c r="P98" s="11">
        <v>-47</v>
      </c>
      <c r="Q98" s="11">
        <v>168</v>
      </c>
      <c r="R98" s="11">
        <v>177</v>
      </c>
      <c r="S98" s="11">
        <v>125</v>
      </c>
      <c r="T98" s="11">
        <v>102</v>
      </c>
      <c r="U98" s="11">
        <v>103</v>
      </c>
      <c r="V98" s="11">
        <v>125</v>
      </c>
      <c r="W98" s="11">
        <v>16</v>
      </c>
      <c r="X98" s="11">
        <v>-10</v>
      </c>
      <c r="Y98" s="11">
        <v>22</v>
      </c>
      <c r="Z98" s="25">
        <v>36</v>
      </c>
    </row>
    <row r="99" spans="1:26" ht="14.25" customHeight="1" x14ac:dyDescent="0.25">
      <c r="A99" s="11"/>
      <c r="B99" s="11">
        <v>16</v>
      </c>
      <c r="C99" s="11" t="s">
        <v>119</v>
      </c>
      <c r="D99" s="11"/>
      <c r="E99" s="11"/>
      <c r="F99" s="11">
        <v>0</v>
      </c>
      <c r="G99" s="11" t="s">
        <v>381</v>
      </c>
      <c r="H99" s="11" t="s">
        <v>229</v>
      </c>
      <c r="I99" s="11">
        <v>181</v>
      </c>
      <c r="J99" s="58">
        <v>0</v>
      </c>
      <c r="K99" s="11" t="s">
        <v>894</v>
      </c>
      <c r="L99" s="11">
        <v>16</v>
      </c>
      <c r="M99" s="11">
        <v>123</v>
      </c>
      <c r="N99" s="11">
        <v>-48</v>
      </c>
      <c r="O99" s="11">
        <v>163</v>
      </c>
      <c r="P99" s="11">
        <v>-40</v>
      </c>
      <c r="Q99" s="11">
        <v>165</v>
      </c>
      <c r="R99" s="11">
        <v>253</v>
      </c>
      <c r="S99" s="11">
        <v>152</v>
      </c>
      <c r="T99" s="11">
        <v>149</v>
      </c>
      <c r="U99" s="11">
        <v>198</v>
      </c>
      <c r="V99" s="11">
        <v>171</v>
      </c>
      <c r="W99" s="11">
        <v>22</v>
      </c>
      <c r="X99" s="11">
        <v>-22</v>
      </c>
      <c r="Y99" s="11">
        <v>-40</v>
      </c>
      <c r="Z99" s="25">
        <v>40</v>
      </c>
    </row>
    <row r="100" spans="1:26" ht="14.25" customHeight="1" x14ac:dyDescent="0.25">
      <c r="A100" s="11"/>
      <c r="B100" s="11">
        <v>12</v>
      </c>
      <c r="C100" s="11" t="s">
        <v>148</v>
      </c>
      <c r="D100" s="11">
        <v>9</v>
      </c>
      <c r="E100" s="11"/>
      <c r="F100" s="11">
        <v>0</v>
      </c>
      <c r="G100" s="11" t="s">
        <v>898</v>
      </c>
      <c r="H100" s="11" t="s">
        <v>184</v>
      </c>
      <c r="I100" s="11">
        <v>124</v>
      </c>
      <c r="J100" s="58">
        <v>0</v>
      </c>
      <c r="K100" s="11" t="s">
        <v>878</v>
      </c>
      <c r="L100" s="11">
        <v>17</v>
      </c>
      <c r="M100" s="11">
        <v>130</v>
      </c>
      <c r="N100" s="11">
        <v>5</v>
      </c>
      <c r="O100" s="11">
        <v>86</v>
      </c>
      <c r="P100" s="11">
        <v>44</v>
      </c>
      <c r="Q100" s="11">
        <v>96</v>
      </c>
      <c r="R100" s="11">
        <v>172</v>
      </c>
      <c r="S100" s="11">
        <v>109</v>
      </c>
      <c r="T100" s="11">
        <v>142</v>
      </c>
      <c r="U100" s="11">
        <v>143</v>
      </c>
      <c r="V100" s="11">
        <v>125</v>
      </c>
      <c r="W100" s="11">
        <v>16</v>
      </c>
      <c r="X100" s="11">
        <v>-7</v>
      </c>
      <c r="Y100" s="11">
        <v>-21</v>
      </c>
      <c r="Z100" s="25">
        <v>49</v>
      </c>
    </row>
    <row r="101" spans="1:26" ht="14.25" customHeight="1" x14ac:dyDescent="0.25">
      <c r="A101" s="11"/>
      <c r="B101" s="11" t="e">
        <v>#N/A</v>
      </c>
      <c r="C101" s="11" t="s">
        <v>119</v>
      </c>
      <c r="D101" s="11">
        <v>7</v>
      </c>
      <c r="E101" s="11"/>
      <c r="F101" s="11" t="e">
        <v>#N/A</v>
      </c>
      <c r="G101" s="11" t="s">
        <v>899</v>
      </c>
      <c r="H101" s="11" t="e">
        <v>#N/A</v>
      </c>
      <c r="I101" s="11" t="e">
        <v>#N/A</v>
      </c>
      <c r="J101" s="59" t="e">
        <v>#N/A</v>
      </c>
      <c r="K101" s="11" t="e">
        <v>#N/A</v>
      </c>
      <c r="L101" s="11">
        <v>16</v>
      </c>
      <c r="M101" s="11" t="e">
        <v>#N/A</v>
      </c>
      <c r="N101" s="11" t="e">
        <v>#N/A</v>
      </c>
      <c r="O101" s="11" t="e">
        <v>#N/A</v>
      </c>
      <c r="P101" s="11" t="e">
        <v>#N/A</v>
      </c>
      <c r="Q101" s="11" t="e">
        <v>#N/A</v>
      </c>
      <c r="R101" s="11" t="e">
        <v>#N/A</v>
      </c>
      <c r="S101" s="11" t="e">
        <v>#N/A</v>
      </c>
      <c r="T101" s="11" t="e">
        <v>#N/A</v>
      </c>
      <c r="U101" s="11" t="e">
        <v>#N/A</v>
      </c>
      <c r="V101" s="11" t="e">
        <v>#N/A</v>
      </c>
      <c r="W101" s="11">
        <v>16</v>
      </c>
      <c r="X101" s="11">
        <v>-9</v>
      </c>
      <c r="Y101" s="11" t="e">
        <v>#N/A</v>
      </c>
      <c r="Z101" s="25" t="e">
        <v>#N/A</v>
      </c>
    </row>
    <row r="102" spans="1:26" ht="14.25" customHeight="1" x14ac:dyDescent="0.25">
      <c r="A102" s="11"/>
      <c r="B102" s="11">
        <v>14</v>
      </c>
      <c r="C102" s="11" t="s">
        <v>148</v>
      </c>
      <c r="D102" s="11">
        <v>9</v>
      </c>
      <c r="E102" s="11"/>
      <c r="F102" s="11">
        <v>0</v>
      </c>
      <c r="G102" s="11" t="s">
        <v>823</v>
      </c>
      <c r="H102" s="11" t="s">
        <v>85</v>
      </c>
      <c r="I102" s="11">
        <v>151</v>
      </c>
      <c r="J102" s="40">
        <v>0</v>
      </c>
      <c r="K102" s="11" t="s">
        <v>886</v>
      </c>
      <c r="L102" s="11">
        <v>24</v>
      </c>
      <c r="M102" s="11">
        <v>190</v>
      </c>
      <c r="N102" s="11">
        <v>16</v>
      </c>
      <c r="O102" s="11">
        <v>214</v>
      </c>
      <c r="P102" s="11">
        <v>-24</v>
      </c>
      <c r="Q102" s="11">
        <v>170</v>
      </c>
      <c r="R102" s="11">
        <v>211</v>
      </c>
      <c r="S102" s="11">
        <v>162</v>
      </c>
      <c r="T102" s="11">
        <v>150</v>
      </c>
      <c r="U102" s="11">
        <v>126</v>
      </c>
      <c r="V102" s="11">
        <v>174</v>
      </c>
      <c r="W102" s="11">
        <v>22</v>
      </c>
      <c r="X102" s="11">
        <v>-13</v>
      </c>
      <c r="Y102" s="11">
        <v>0</v>
      </c>
      <c r="Z102" s="25" t="s">
        <v>886</v>
      </c>
    </row>
    <row r="103" spans="1:26" ht="14.25" customHeight="1" x14ac:dyDescent="0.25">
      <c r="A103" s="11" t="s">
        <v>148</v>
      </c>
      <c r="B103" s="11" t="e">
        <v>#N/A</v>
      </c>
      <c r="C103" s="11" t="s">
        <v>119</v>
      </c>
      <c r="D103" s="11">
        <v>9</v>
      </c>
      <c r="E103" s="11"/>
      <c r="F103" s="11" t="e">
        <v>#N/A</v>
      </c>
      <c r="G103" s="11" t="s">
        <v>244</v>
      </c>
      <c r="H103" s="11" t="e">
        <v>#N/A</v>
      </c>
      <c r="I103" s="11" t="e">
        <v>#N/A</v>
      </c>
      <c r="J103" s="44" t="e">
        <v>#N/A</v>
      </c>
      <c r="K103" s="11" t="e">
        <v>#N/A</v>
      </c>
      <c r="L103" s="11">
        <v>16</v>
      </c>
      <c r="M103" s="11" t="e">
        <v>#N/A</v>
      </c>
      <c r="N103" s="11" t="e">
        <v>#N/A</v>
      </c>
      <c r="O103" s="11" t="e">
        <v>#N/A</v>
      </c>
      <c r="P103" s="11" t="e">
        <v>#N/A</v>
      </c>
      <c r="Q103" s="11" t="e">
        <v>#N/A</v>
      </c>
      <c r="R103" s="11" t="e">
        <v>#N/A</v>
      </c>
      <c r="S103" s="11" t="e">
        <v>#N/A</v>
      </c>
      <c r="T103" s="11" t="e">
        <v>#N/A</v>
      </c>
      <c r="U103" s="11" t="e">
        <v>#N/A</v>
      </c>
      <c r="V103" s="11" t="e">
        <v>#N/A</v>
      </c>
      <c r="W103" s="11">
        <v>16</v>
      </c>
      <c r="X103" s="11">
        <v>-7</v>
      </c>
      <c r="Y103" s="11" t="e">
        <v>#N/A</v>
      </c>
      <c r="Z103" s="25" t="e">
        <v>#N/A</v>
      </c>
    </row>
    <row r="104" spans="1:26" ht="14.25" customHeight="1" x14ac:dyDescent="0.25">
      <c r="A104" s="11"/>
      <c r="B104" s="11" t="e">
        <v>#N/A</v>
      </c>
      <c r="C104" s="11" t="s">
        <v>119</v>
      </c>
      <c r="D104" s="11">
        <v>9</v>
      </c>
      <c r="E104" s="11"/>
      <c r="F104" s="11" t="e">
        <v>#N/A</v>
      </c>
      <c r="G104" s="11" t="s">
        <v>900</v>
      </c>
      <c r="H104" s="11" t="e">
        <v>#N/A</v>
      </c>
      <c r="I104" s="11" t="e">
        <v>#N/A</v>
      </c>
      <c r="J104" s="58" t="e">
        <v>#N/A</v>
      </c>
      <c r="K104" s="11" t="e">
        <v>#N/A</v>
      </c>
      <c r="L104" s="11">
        <v>16</v>
      </c>
      <c r="M104" s="11" t="e">
        <v>#N/A</v>
      </c>
      <c r="N104" s="11" t="e">
        <v>#N/A</v>
      </c>
      <c r="O104" s="11" t="e">
        <v>#N/A</v>
      </c>
      <c r="P104" s="11" t="e">
        <v>#N/A</v>
      </c>
      <c r="Q104" s="11" t="e">
        <v>#N/A</v>
      </c>
      <c r="R104" s="11" t="e">
        <v>#N/A</v>
      </c>
      <c r="S104" s="11" t="e">
        <v>#N/A</v>
      </c>
      <c r="T104" s="11" t="e">
        <v>#N/A</v>
      </c>
      <c r="U104" s="11" t="e">
        <v>#N/A</v>
      </c>
      <c r="V104" s="11" t="e">
        <v>#N/A</v>
      </c>
      <c r="W104" s="11">
        <v>16</v>
      </c>
      <c r="X104" s="11">
        <v>-7</v>
      </c>
      <c r="Y104" s="11" t="e">
        <v>#N/A</v>
      </c>
      <c r="Z104" s="25" t="e">
        <v>#N/A</v>
      </c>
    </row>
    <row r="105" spans="1:26" ht="14.25" customHeight="1" x14ac:dyDescent="0.25">
      <c r="A105" s="11"/>
      <c r="B105" s="11">
        <v>2</v>
      </c>
      <c r="C105" s="11" t="s">
        <v>119</v>
      </c>
      <c r="D105" s="11">
        <v>10</v>
      </c>
      <c r="E105" s="11"/>
      <c r="F105" s="11">
        <v>0</v>
      </c>
      <c r="G105" s="11" t="s">
        <v>98</v>
      </c>
      <c r="H105" s="11" t="s">
        <v>94</v>
      </c>
      <c r="I105" s="11">
        <v>19</v>
      </c>
      <c r="J105" s="57">
        <v>0</v>
      </c>
      <c r="K105" s="11" t="s">
        <v>209</v>
      </c>
      <c r="L105" s="11">
        <v>3</v>
      </c>
      <c r="M105" s="11">
        <v>19</v>
      </c>
      <c r="N105" s="11">
        <v>2</v>
      </c>
      <c r="O105" s="11">
        <v>24</v>
      </c>
      <c r="P105" s="11">
        <v>-5</v>
      </c>
      <c r="Q105" s="11">
        <v>20</v>
      </c>
      <c r="R105" s="11">
        <v>19</v>
      </c>
      <c r="S105" s="11">
        <v>7</v>
      </c>
      <c r="T105" s="11">
        <v>18</v>
      </c>
      <c r="U105" s="11">
        <v>17</v>
      </c>
      <c r="V105" s="11">
        <v>17</v>
      </c>
      <c r="W105" s="11">
        <v>3</v>
      </c>
      <c r="X105" s="11">
        <v>7</v>
      </c>
      <c r="Y105" s="11">
        <v>6</v>
      </c>
      <c r="Z105" s="25">
        <v>1</v>
      </c>
    </row>
    <row r="106" spans="1:26" ht="14.25" customHeight="1" x14ac:dyDescent="0.25">
      <c r="A106" s="11"/>
      <c r="B106" s="11">
        <v>3</v>
      </c>
      <c r="C106" s="11" t="s">
        <v>148</v>
      </c>
      <c r="D106" s="11">
        <v>9</v>
      </c>
      <c r="E106" s="11"/>
      <c r="F106" s="11">
        <v>0</v>
      </c>
      <c r="G106" s="11" t="s">
        <v>165</v>
      </c>
      <c r="H106" s="11" t="s">
        <v>88</v>
      </c>
      <c r="I106" s="11">
        <v>22</v>
      </c>
      <c r="J106" s="28">
        <v>0</v>
      </c>
      <c r="K106" s="11" t="s">
        <v>842</v>
      </c>
      <c r="L106" s="11">
        <v>4</v>
      </c>
      <c r="M106" s="11">
        <v>24</v>
      </c>
      <c r="N106" s="11">
        <v>-1</v>
      </c>
      <c r="O106" s="11">
        <v>29</v>
      </c>
      <c r="P106" s="11">
        <v>-5</v>
      </c>
      <c r="Q106" s="11">
        <v>30</v>
      </c>
      <c r="R106" s="11">
        <v>24</v>
      </c>
      <c r="S106" s="11">
        <v>25</v>
      </c>
      <c r="T106" s="11">
        <v>23</v>
      </c>
      <c r="U106" s="11">
        <v>23</v>
      </c>
      <c r="V106" s="11">
        <v>25</v>
      </c>
      <c r="W106" s="11">
        <v>4</v>
      </c>
      <c r="X106" s="11">
        <v>5</v>
      </c>
      <c r="Y106" s="11">
        <v>-3</v>
      </c>
      <c r="Z106" s="25">
        <v>10</v>
      </c>
    </row>
    <row r="107" spans="1:26" ht="14.25" customHeight="1" x14ac:dyDescent="0.25">
      <c r="A107" s="11"/>
      <c r="B107" s="11">
        <v>5</v>
      </c>
      <c r="C107" s="11" t="s">
        <v>119</v>
      </c>
      <c r="D107" s="11">
        <v>9</v>
      </c>
      <c r="E107" s="11"/>
      <c r="F107" s="11">
        <v>0</v>
      </c>
      <c r="G107" s="11" t="s">
        <v>260</v>
      </c>
      <c r="H107" s="11" t="s">
        <v>168</v>
      </c>
      <c r="I107" s="11">
        <v>46</v>
      </c>
      <c r="J107" s="40" t="s">
        <v>148</v>
      </c>
      <c r="K107" s="11" t="s">
        <v>879</v>
      </c>
      <c r="L107" s="11">
        <v>7</v>
      </c>
      <c r="M107" s="11">
        <v>50</v>
      </c>
      <c r="N107" s="11">
        <v>-3</v>
      </c>
      <c r="O107" s="11">
        <v>53</v>
      </c>
      <c r="P107" s="11">
        <v>-3</v>
      </c>
      <c r="Q107" s="11">
        <v>58</v>
      </c>
      <c r="R107" s="11">
        <v>59</v>
      </c>
      <c r="S107" s="11">
        <v>50</v>
      </c>
      <c r="T107" s="11">
        <v>47</v>
      </c>
      <c r="U107" s="11">
        <v>56</v>
      </c>
      <c r="V107" s="11">
        <v>53</v>
      </c>
      <c r="W107" s="11">
        <v>7</v>
      </c>
      <c r="X107" s="11">
        <v>2</v>
      </c>
      <c r="Y107" s="11">
        <v>6</v>
      </c>
      <c r="Z107" s="25">
        <v>26</v>
      </c>
    </row>
    <row r="108" spans="1:26" ht="14.25" customHeight="1" x14ac:dyDescent="0.25">
      <c r="A108" s="11"/>
      <c r="B108" s="11">
        <v>2</v>
      </c>
      <c r="C108" s="11" t="s">
        <v>119</v>
      </c>
      <c r="D108" s="11">
        <v>9</v>
      </c>
      <c r="E108" s="11"/>
      <c r="F108" s="11">
        <v>0</v>
      </c>
      <c r="G108" s="11" t="s">
        <v>239</v>
      </c>
      <c r="H108" s="11" t="s">
        <v>199</v>
      </c>
      <c r="I108" s="11">
        <v>11</v>
      </c>
      <c r="J108" s="28">
        <v>0</v>
      </c>
      <c r="K108" s="11" t="s">
        <v>843</v>
      </c>
      <c r="L108" s="11">
        <v>3</v>
      </c>
      <c r="M108" s="11">
        <v>16</v>
      </c>
      <c r="N108" s="11">
        <v>1</v>
      </c>
      <c r="O108" s="11">
        <v>20</v>
      </c>
      <c r="P108" s="11">
        <v>-4</v>
      </c>
      <c r="Q108" s="11">
        <v>16</v>
      </c>
      <c r="R108" s="11">
        <v>14</v>
      </c>
      <c r="S108" s="11">
        <v>16</v>
      </c>
      <c r="T108" s="11">
        <v>11</v>
      </c>
      <c r="U108" s="11">
        <v>13</v>
      </c>
      <c r="V108" s="11">
        <v>15</v>
      </c>
      <c r="W108" s="11">
        <v>2</v>
      </c>
      <c r="X108" s="11">
        <v>7</v>
      </c>
      <c r="Y108" s="11">
        <v>-2</v>
      </c>
      <c r="Z108" s="25">
        <v>8</v>
      </c>
    </row>
    <row r="109" spans="1:26" ht="14.25" customHeight="1" x14ac:dyDescent="0.25">
      <c r="A109" s="11"/>
      <c r="B109" s="11">
        <v>10</v>
      </c>
      <c r="C109" s="11" t="s">
        <v>148</v>
      </c>
      <c r="D109" s="11">
        <v>9</v>
      </c>
      <c r="E109" s="23"/>
      <c r="F109" s="11">
        <v>0</v>
      </c>
      <c r="G109" s="11" t="s">
        <v>652</v>
      </c>
      <c r="H109" s="11" t="s">
        <v>66</v>
      </c>
      <c r="I109" s="11">
        <v>78</v>
      </c>
      <c r="J109" s="40">
        <v>0</v>
      </c>
      <c r="K109" s="11" t="s">
        <v>854</v>
      </c>
      <c r="L109" s="11">
        <v>15</v>
      </c>
      <c r="M109" s="11">
        <v>118</v>
      </c>
      <c r="N109" s="11">
        <v>3</v>
      </c>
      <c r="O109" s="11">
        <v>113</v>
      </c>
      <c r="P109" s="11">
        <v>5</v>
      </c>
      <c r="Q109" s="11">
        <v>111</v>
      </c>
      <c r="R109" s="11">
        <v>126</v>
      </c>
      <c r="S109" s="11">
        <v>102</v>
      </c>
      <c r="T109" s="11">
        <v>99</v>
      </c>
      <c r="U109" s="11">
        <v>139</v>
      </c>
      <c r="V109" s="11">
        <v>115</v>
      </c>
      <c r="W109" s="11">
        <v>15</v>
      </c>
      <c r="X109" s="11">
        <v>-6</v>
      </c>
      <c r="Y109" s="11">
        <v>7</v>
      </c>
      <c r="Z109" s="25">
        <v>51</v>
      </c>
    </row>
    <row r="110" spans="1:26" ht="14.25" customHeight="1" x14ac:dyDescent="0.25">
      <c r="A110" s="11"/>
      <c r="B110" s="11">
        <v>20</v>
      </c>
      <c r="C110" s="11" t="s">
        <v>148</v>
      </c>
      <c r="D110" s="11">
        <v>9</v>
      </c>
      <c r="E110" s="11"/>
      <c r="F110" s="11">
        <v>0</v>
      </c>
      <c r="G110" s="11" t="s">
        <v>901</v>
      </c>
      <c r="H110" s="11" t="s">
        <v>91</v>
      </c>
      <c r="I110" s="11">
        <v>225</v>
      </c>
      <c r="J110" s="40">
        <v>0</v>
      </c>
      <c r="K110" s="11" t="s">
        <v>886</v>
      </c>
      <c r="L110" s="11">
        <v>26</v>
      </c>
      <c r="M110" s="11">
        <v>205</v>
      </c>
      <c r="N110" s="11">
        <v>-27</v>
      </c>
      <c r="O110" s="11" t="s">
        <v>36</v>
      </c>
      <c r="P110" s="11" t="e">
        <v>#VALUE!</v>
      </c>
      <c r="Q110" s="11" t="s">
        <v>36</v>
      </c>
      <c r="R110" s="11">
        <v>319</v>
      </c>
      <c r="S110" s="11">
        <v>229</v>
      </c>
      <c r="T110" s="11">
        <v>218</v>
      </c>
      <c r="U110" s="11">
        <v>191</v>
      </c>
      <c r="V110" s="11">
        <v>232</v>
      </c>
      <c r="W110" s="11">
        <v>30</v>
      </c>
      <c r="X110" s="11">
        <v>-21</v>
      </c>
      <c r="Y110" s="11">
        <v>11</v>
      </c>
      <c r="Z110" s="25" t="s">
        <v>886</v>
      </c>
    </row>
    <row r="111" spans="1:26" ht="14.25" customHeight="1" x14ac:dyDescent="0.25">
      <c r="A111" s="11"/>
      <c r="B111" s="11">
        <v>11</v>
      </c>
      <c r="C111" s="11" t="s">
        <v>148</v>
      </c>
      <c r="D111" s="11">
        <v>10</v>
      </c>
      <c r="E111" s="11"/>
      <c r="F111" s="11">
        <v>0</v>
      </c>
      <c r="G111" s="11" t="s">
        <v>241</v>
      </c>
      <c r="H111" s="11" t="s">
        <v>155</v>
      </c>
      <c r="I111" s="11">
        <v>108</v>
      </c>
      <c r="J111" s="59">
        <v>0</v>
      </c>
      <c r="K111" s="11" t="s">
        <v>895</v>
      </c>
      <c r="L111" s="11">
        <v>16</v>
      </c>
      <c r="M111" s="11">
        <v>126</v>
      </c>
      <c r="N111" s="11">
        <v>4</v>
      </c>
      <c r="O111" s="11">
        <v>120</v>
      </c>
      <c r="P111" s="11">
        <v>6</v>
      </c>
      <c r="Q111" s="11">
        <v>112</v>
      </c>
      <c r="R111" s="11">
        <v>155</v>
      </c>
      <c r="S111" s="11">
        <v>124</v>
      </c>
      <c r="T111" s="11">
        <v>109</v>
      </c>
      <c r="U111" s="11">
        <v>114</v>
      </c>
      <c r="V111" s="11">
        <v>122</v>
      </c>
      <c r="W111" s="11">
        <v>16</v>
      </c>
      <c r="X111" s="11">
        <v>-6</v>
      </c>
      <c r="Y111" s="11">
        <v>-19</v>
      </c>
      <c r="Z111" s="25">
        <v>13</v>
      </c>
    </row>
    <row r="112" spans="1:26" ht="14.25" customHeight="1" x14ac:dyDescent="0.25">
      <c r="A112" s="11"/>
      <c r="B112" s="11">
        <v>8</v>
      </c>
      <c r="C112" s="11" t="s">
        <v>148</v>
      </c>
      <c r="D112" s="11">
        <v>9</v>
      </c>
      <c r="E112" s="11"/>
      <c r="F112" s="11">
        <v>0</v>
      </c>
      <c r="G112" s="11" t="s">
        <v>294</v>
      </c>
      <c r="H112" s="11" t="s">
        <v>72</v>
      </c>
      <c r="I112" s="11">
        <v>82</v>
      </c>
      <c r="J112" s="40">
        <v>0</v>
      </c>
      <c r="K112" s="11" t="s">
        <v>884</v>
      </c>
      <c r="L112" s="11">
        <v>11</v>
      </c>
      <c r="M112" s="11">
        <v>81</v>
      </c>
      <c r="N112" s="11">
        <v>-13</v>
      </c>
      <c r="O112" s="11">
        <v>103</v>
      </c>
      <c r="P112" s="11">
        <v>-22</v>
      </c>
      <c r="Q112" s="11">
        <v>110</v>
      </c>
      <c r="R112" s="11">
        <v>93</v>
      </c>
      <c r="S112" s="11">
        <v>95</v>
      </c>
      <c r="T112" s="11">
        <v>84</v>
      </c>
      <c r="U112" s="11">
        <v>94</v>
      </c>
      <c r="V112" s="11">
        <v>94</v>
      </c>
      <c r="W112" s="11">
        <v>12</v>
      </c>
      <c r="X112" s="11">
        <v>-3</v>
      </c>
      <c r="Y112" s="11">
        <v>-10</v>
      </c>
      <c r="Z112" s="25">
        <v>36</v>
      </c>
    </row>
    <row r="113" spans="1:26" ht="14.25" customHeight="1" x14ac:dyDescent="0.25">
      <c r="A113" s="11"/>
      <c r="B113" s="11">
        <v>12</v>
      </c>
      <c r="C113" s="11" t="s">
        <v>148</v>
      </c>
      <c r="D113" s="11">
        <v>9</v>
      </c>
      <c r="E113" s="11"/>
      <c r="F113" s="11">
        <v>0</v>
      </c>
      <c r="G113" s="11" t="s">
        <v>322</v>
      </c>
      <c r="H113" s="11" t="s">
        <v>78</v>
      </c>
      <c r="I113" s="11">
        <v>144</v>
      </c>
      <c r="J113" s="57">
        <v>0</v>
      </c>
      <c r="K113" s="11" t="s">
        <v>886</v>
      </c>
      <c r="L113" s="11">
        <v>18</v>
      </c>
      <c r="M113" s="11">
        <v>138</v>
      </c>
      <c r="N113" s="11">
        <v>-2</v>
      </c>
      <c r="O113" s="11">
        <v>124</v>
      </c>
      <c r="P113" s="11">
        <v>14</v>
      </c>
      <c r="Q113" s="11">
        <v>131</v>
      </c>
      <c r="R113" s="11">
        <v>170</v>
      </c>
      <c r="S113" s="11">
        <v>123</v>
      </c>
      <c r="T113" s="11">
        <v>152</v>
      </c>
      <c r="U113" s="11">
        <v>142</v>
      </c>
      <c r="V113" s="11">
        <v>140</v>
      </c>
      <c r="W113" s="11">
        <v>18</v>
      </c>
      <c r="X113" s="11">
        <v>-9</v>
      </c>
      <c r="Y113" s="11">
        <v>-22</v>
      </c>
      <c r="Z113" s="25" t="s">
        <v>886</v>
      </c>
    </row>
    <row r="114" spans="1:26" ht="14.25" customHeight="1" x14ac:dyDescent="0.25">
      <c r="A114" s="11"/>
      <c r="B114" s="11">
        <v>2</v>
      </c>
      <c r="C114" s="11" t="s">
        <v>119</v>
      </c>
      <c r="D114" s="11">
        <v>9</v>
      </c>
      <c r="E114" s="11"/>
      <c r="F114" s="11">
        <v>0</v>
      </c>
      <c r="G114" s="11" t="s">
        <v>75</v>
      </c>
      <c r="H114" s="11" t="s">
        <v>44</v>
      </c>
      <c r="I114" s="11">
        <v>16</v>
      </c>
      <c r="J114" s="58" t="s">
        <v>148</v>
      </c>
      <c r="K114" s="11" t="s">
        <v>844</v>
      </c>
      <c r="L114" s="11">
        <v>4</v>
      </c>
      <c r="M114" s="11">
        <v>28</v>
      </c>
      <c r="N114" s="11">
        <v>7</v>
      </c>
      <c r="O114" s="11">
        <v>19</v>
      </c>
      <c r="P114" s="11">
        <v>9</v>
      </c>
      <c r="Q114" s="11">
        <v>24</v>
      </c>
      <c r="R114" s="11">
        <v>18</v>
      </c>
      <c r="S114" s="11">
        <v>17</v>
      </c>
      <c r="T114" s="11">
        <v>17</v>
      </c>
      <c r="U114" s="11">
        <v>26</v>
      </c>
      <c r="V114" s="11">
        <v>21</v>
      </c>
      <c r="W114" s="11">
        <v>3</v>
      </c>
      <c r="X114" s="11">
        <v>6</v>
      </c>
      <c r="Y114" s="11">
        <v>0</v>
      </c>
      <c r="Z114" s="25">
        <v>10</v>
      </c>
    </row>
    <row r="115" spans="1:26" ht="14.25" customHeight="1" x14ac:dyDescent="0.25">
      <c r="A115" s="11"/>
      <c r="B115" s="11">
        <v>5</v>
      </c>
      <c r="C115" s="11" t="s">
        <v>119</v>
      </c>
      <c r="D115" s="11">
        <v>9</v>
      </c>
      <c r="E115" s="11"/>
      <c r="F115" s="11">
        <v>0</v>
      </c>
      <c r="G115" s="11" t="s">
        <v>196</v>
      </c>
      <c r="H115" s="11" t="s">
        <v>35</v>
      </c>
      <c r="I115" s="11">
        <v>48</v>
      </c>
      <c r="J115" s="43">
        <v>0</v>
      </c>
      <c r="K115" s="11" t="s">
        <v>879</v>
      </c>
      <c r="L115" s="11">
        <v>8</v>
      </c>
      <c r="M115" s="11">
        <v>60</v>
      </c>
      <c r="N115" s="11">
        <v>1</v>
      </c>
      <c r="O115" s="11">
        <v>64</v>
      </c>
      <c r="P115" s="11">
        <v>-4</v>
      </c>
      <c r="Q115" s="11">
        <v>65</v>
      </c>
      <c r="R115" s="11">
        <v>64</v>
      </c>
      <c r="S115" s="11">
        <v>57</v>
      </c>
      <c r="T115" s="11">
        <v>53</v>
      </c>
      <c r="U115" s="11">
        <v>51</v>
      </c>
      <c r="V115" s="11">
        <v>59</v>
      </c>
      <c r="W115" s="11">
        <v>8</v>
      </c>
      <c r="X115" s="11">
        <v>1</v>
      </c>
      <c r="Y115" s="11">
        <v>-2</v>
      </c>
      <c r="Z115" s="25">
        <v>23</v>
      </c>
    </row>
    <row r="116" spans="1:26" ht="14.25" customHeight="1" x14ac:dyDescent="0.25">
      <c r="A116" s="11"/>
      <c r="B116" s="11">
        <v>13</v>
      </c>
      <c r="C116" s="11" t="s">
        <v>119</v>
      </c>
      <c r="D116" s="11">
        <v>11</v>
      </c>
      <c r="E116" s="11"/>
      <c r="F116" s="11">
        <v>0</v>
      </c>
      <c r="G116" s="11" t="s">
        <v>902</v>
      </c>
      <c r="H116" s="11" t="s">
        <v>116</v>
      </c>
      <c r="I116" s="11">
        <v>145</v>
      </c>
      <c r="J116" s="59">
        <v>0</v>
      </c>
      <c r="K116" s="11" t="s">
        <v>878</v>
      </c>
      <c r="L116" s="11">
        <v>18</v>
      </c>
      <c r="M116" s="11">
        <v>141</v>
      </c>
      <c r="N116" s="11">
        <v>-6</v>
      </c>
      <c r="O116" s="11">
        <v>111</v>
      </c>
      <c r="P116" s="11">
        <v>30</v>
      </c>
      <c r="Q116" s="11">
        <v>133</v>
      </c>
      <c r="R116" s="11">
        <v>194</v>
      </c>
      <c r="S116" s="11">
        <v>128</v>
      </c>
      <c r="T116" s="11">
        <v>147</v>
      </c>
      <c r="U116" s="11">
        <v>175</v>
      </c>
      <c r="V116" s="11">
        <v>147</v>
      </c>
      <c r="W116" s="11">
        <v>19</v>
      </c>
      <c r="X116" s="11">
        <v>-8</v>
      </c>
      <c r="Y116" s="11">
        <v>-8</v>
      </c>
      <c r="Z116" s="25">
        <v>47</v>
      </c>
    </row>
    <row r="117" spans="1:26" ht="14.25" customHeight="1" x14ac:dyDescent="0.25">
      <c r="A117" s="11"/>
      <c r="B117" s="11">
        <v>16</v>
      </c>
      <c r="C117" s="11" t="s">
        <v>148</v>
      </c>
      <c r="D117" s="11">
        <v>9</v>
      </c>
      <c r="E117" s="11"/>
      <c r="F117" s="11">
        <v>0</v>
      </c>
      <c r="G117" s="11" t="s">
        <v>619</v>
      </c>
      <c r="H117" s="11" t="s">
        <v>81</v>
      </c>
      <c r="I117" s="11">
        <v>153</v>
      </c>
      <c r="J117" s="60">
        <v>0</v>
      </c>
      <c r="K117" s="11" t="s">
        <v>903</v>
      </c>
      <c r="L117" s="11">
        <v>25</v>
      </c>
      <c r="M117" s="11">
        <v>198</v>
      </c>
      <c r="N117" s="11">
        <v>15</v>
      </c>
      <c r="O117" s="11">
        <v>154</v>
      </c>
      <c r="P117" s="11">
        <v>44</v>
      </c>
      <c r="Q117" s="11">
        <v>166</v>
      </c>
      <c r="R117" s="11">
        <v>217</v>
      </c>
      <c r="S117" s="11">
        <v>183</v>
      </c>
      <c r="T117" s="11">
        <v>174</v>
      </c>
      <c r="U117" s="11">
        <v>193</v>
      </c>
      <c r="V117" s="11">
        <v>183</v>
      </c>
      <c r="W117" s="11">
        <v>23</v>
      </c>
      <c r="X117" s="11">
        <v>-14</v>
      </c>
      <c r="Y117" s="11">
        <v>-31</v>
      </c>
      <c r="Z117" s="25">
        <v>20</v>
      </c>
    </row>
    <row r="118" spans="1:26" ht="14.25" customHeight="1" x14ac:dyDescent="0.25">
      <c r="A118" s="11"/>
      <c r="B118" s="11">
        <v>10</v>
      </c>
      <c r="C118" s="11" t="s">
        <v>148</v>
      </c>
      <c r="D118" s="11">
        <v>9</v>
      </c>
      <c r="E118" s="11"/>
      <c r="F118" s="11">
        <v>0</v>
      </c>
      <c r="G118" s="11" t="s">
        <v>333</v>
      </c>
      <c r="H118" s="11" t="s">
        <v>35</v>
      </c>
      <c r="I118" s="11">
        <v>119</v>
      </c>
      <c r="J118" s="60">
        <v>0</v>
      </c>
      <c r="K118" s="11" t="s">
        <v>889</v>
      </c>
      <c r="L118" s="11">
        <v>13</v>
      </c>
      <c r="M118" s="11">
        <v>97</v>
      </c>
      <c r="N118" s="11">
        <v>-12</v>
      </c>
      <c r="O118" s="11">
        <v>93</v>
      </c>
      <c r="P118" s="11">
        <v>4</v>
      </c>
      <c r="Q118" s="11">
        <v>123</v>
      </c>
      <c r="R118" s="11">
        <v>115</v>
      </c>
      <c r="S118" s="11">
        <v>132</v>
      </c>
      <c r="T118" s="11">
        <v>103</v>
      </c>
      <c r="U118" s="11">
        <v>105</v>
      </c>
      <c r="V118" s="11">
        <v>109</v>
      </c>
      <c r="W118" s="11">
        <v>14</v>
      </c>
      <c r="X118" s="11">
        <v>-5</v>
      </c>
      <c r="Y118" s="11">
        <v>4</v>
      </c>
      <c r="Z118" s="25">
        <v>16</v>
      </c>
    </row>
    <row r="119" spans="1:26" ht="14.25" customHeight="1" x14ac:dyDescent="0.25">
      <c r="A119" s="11"/>
      <c r="B119" s="11" t="e">
        <v>#N/A</v>
      </c>
      <c r="C119" s="11" t="s">
        <v>148</v>
      </c>
      <c r="D119" s="11"/>
      <c r="E119" s="11"/>
      <c r="F119" s="11" t="e">
        <v>#N/A</v>
      </c>
      <c r="G119" s="11" t="s">
        <v>904</v>
      </c>
      <c r="H119" s="11" t="e">
        <v>#N/A</v>
      </c>
      <c r="I119" s="11" t="e">
        <v>#N/A</v>
      </c>
      <c r="J119" s="58" t="e">
        <v>#N/A</v>
      </c>
      <c r="K119" s="11" t="e">
        <v>#N/A</v>
      </c>
      <c r="L119" s="11">
        <v>16</v>
      </c>
      <c r="M119" s="11" t="e">
        <v>#N/A</v>
      </c>
      <c r="N119" s="11" t="e">
        <v>#N/A</v>
      </c>
      <c r="O119" s="11" t="e">
        <v>#N/A</v>
      </c>
      <c r="P119" s="11" t="e">
        <v>#N/A</v>
      </c>
      <c r="Q119" s="11" t="e">
        <v>#N/A</v>
      </c>
      <c r="R119" s="11" t="e">
        <v>#N/A</v>
      </c>
      <c r="S119" s="11" t="e">
        <v>#N/A</v>
      </c>
      <c r="T119" s="11" t="e">
        <v>#N/A</v>
      </c>
      <c r="U119" s="11" t="e">
        <v>#N/A</v>
      </c>
      <c r="V119" s="11" t="e">
        <v>#N/A</v>
      </c>
      <c r="W119" s="11">
        <v>16</v>
      </c>
      <c r="X119" s="11">
        <v>-16</v>
      </c>
      <c r="Y119" s="11" t="e">
        <v>#N/A</v>
      </c>
      <c r="Z119" s="25" t="e">
        <v>#N/A</v>
      </c>
    </row>
    <row r="120" spans="1:26" ht="14.25" customHeight="1" x14ac:dyDescent="0.25">
      <c r="A120" s="11" t="s">
        <v>148</v>
      </c>
      <c r="B120" s="11">
        <v>15</v>
      </c>
      <c r="C120" s="11" t="s">
        <v>119</v>
      </c>
      <c r="D120" s="11">
        <v>9</v>
      </c>
      <c r="E120" s="11"/>
      <c r="F120" s="11">
        <v>0</v>
      </c>
      <c r="G120" s="11" t="s">
        <v>905</v>
      </c>
      <c r="H120" s="11" t="s">
        <v>187</v>
      </c>
      <c r="I120" s="11">
        <v>168</v>
      </c>
      <c r="J120" s="59">
        <v>0</v>
      </c>
      <c r="K120" s="11" t="s">
        <v>906</v>
      </c>
      <c r="L120" s="11">
        <v>20</v>
      </c>
      <c r="M120" s="11">
        <v>157</v>
      </c>
      <c r="N120" s="11">
        <v>-10</v>
      </c>
      <c r="O120" s="11">
        <v>147</v>
      </c>
      <c r="P120" s="11">
        <v>10</v>
      </c>
      <c r="Q120" s="11">
        <v>147</v>
      </c>
      <c r="R120" s="11">
        <v>181</v>
      </c>
      <c r="S120" s="11">
        <v>146</v>
      </c>
      <c r="T120" s="11">
        <v>151</v>
      </c>
      <c r="U120" s="11">
        <v>244</v>
      </c>
      <c r="V120" s="11">
        <v>167</v>
      </c>
      <c r="W120" s="11">
        <v>21</v>
      </c>
      <c r="X120" s="11">
        <v>-12</v>
      </c>
      <c r="Y120" s="11">
        <v>-44</v>
      </c>
      <c r="Z120" s="25">
        <v>56</v>
      </c>
    </row>
    <row r="121" spans="1:26" ht="14.25" customHeight="1" x14ac:dyDescent="0.25">
      <c r="A121" s="11"/>
      <c r="B121" s="11" t="e">
        <v>#N/A</v>
      </c>
      <c r="C121" s="11" t="s">
        <v>148</v>
      </c>
      <c r="D121" s="11">
        <v>9</v>
      </c>
      <c r="E121" s="11"/>
      <c r="F121" s="11" t="e">
        <v>#N/A</v>
      </c>
      <c r="G121" s="11" t="s">
        <v>907</v>
      </c>
      <c r="H121" s="11" t="e">
        <v>#N/A</v>
      </c>
      <c r="I121" s="11" t="e">
        <v>#N/A</v>
      </c>
      <c r="J121" s="58" t="e">
        <v>#N/A</v>
      </c>
      <c r="K121" s="11" t="e">
        <v>#N/A</v>
      </c>
      <c r="L121" s="11">
        <v>16</v>
      </c>
      <c r="M121" s="11" t="e">
        <v>#N/A</v>
      </c>
      <c r="N121" s="11" t="e">
        <v>#N/A</v>
      </c>
      <c r="O121" s="11" t="e">
        <v>#N/A</v>
      </c>
      <c r="P121" s="11" t="e">
        <v>#N/A</v>
      </c>
      <c r="Q121" s="11" t="e">
        <v>#N/A</v>
      </c>
      <c r="R121" s="11" t="e">
        <v>#N/A</v>
      </c>
      <c r="S121" s="11" t="e">
        <v>#N/A</v>
      </c>
      <c r="T121" s="11" t="e">
        <v>#N/A</v>
      </c>
      <c r="U121" s="11" t="e">
        <v>#N/A</v>
      </c>
      <c r="V121" s="11" t="e">
        <v>#N/A</v>
      </c>
      <c r="W121" s="11">
        <v>16</v>
      </c>
      <c r="X121" s="11">
        <v>-7</v>
      </c>
      <c r="Y121" s="11" t="e">
        <v>#N/A</v>
      </c>
      <c r="Z121" s="25" t="e">
        <v>#N/A</v>
      </c>
    </row>
    <row r="122" spans="1:26" ht="14.25" customHeight="1" x14ac:dyDescent="0.25">
      <c r="A122" s="11"/>
      <c r="B122" s="11">
        <v>14</v>
      </c>
      <c r="C122" s="11" t="s">
        <v>148</v>
      </c>
      <c r="D122" s="11">
        <v>10</v>
      </c>
      <c r="E122" s="11"/>
      <c r="F122" s="11">
        <v>0</v>
      </c>
      <c r="G122" s="11" t="s">
        <v>266</v>
      </c>
      <c r="H122" s="11" t="s">
        <v>199</v>
      </c>
      <c r="I122" s="11">
        <v>132</v>
      </c>
      <c r="J122" s="59">
        <v>0</v>
      </c>
      <c r="K122" s="11" t="s">
        <v>889</v>
      </c>
      <c r="L122" s="11">
        <v>22</v>
      </c>
      <c r="M122" s="11">
        <v>168</v>
      </c>
      <c r="N122" s="11">
        <v>9</v>
      </c>
      <c r="O122" s="11">
        <v>151</v>
      </c>
      <c r="P122" s="11">
        <v>17</v>
      </c>
      <c r="Q122" s="11">
        <v>172</v>
      </c>
      <c r="R122" s="11">
        <v>162</v>
      </c>
      <c r="S122" s="11">
        <v>144</v>
      </c>
      <c r="T122" s="11">
        <v>138</v>
      </c>
      <c r="U122" s="11">
        <v>178</v>
      </c>
      <c r="V122" s="11">
        <v>159</v>
      </c>
      <c r="W122" s="11">
        <v>20</v>
      </c>
      <c r="X122" s="11">
        <v>-10</v>
      </c>
      <c r="Y122" s="11">
        <v>-27</v>
      </c>
      <c r="Z122" s="25">
        <v>19</v>
      </c>
    </row>
    <row r="123" spans="1:26" ht="14.25" customHeight="1" x14ac:dyDescent="0.25">
      <c r="A123" s="11"/>
      <c r="B123" s="11">
        <v>9</v>
      </c>
      <c r="C123" s="11" t="s">
        <v>148</v>
      </c>
      <c r="D123" s="11"/>
      <c r="E123" s="11"/>
      <c r="F123" s="11">
        <v>0</v>
      </c>
      <c r="G123" s="11" t="s">
        <v>366</v>
      </c>
      <c r="H123" s="11" t="s">
        <v>66</v>
      </c>
      <c r="I123" s="11">
        <v>92</v>
      </c>
      <c r="J123" s="45">
        <v>0</v>
      </c>
      <c r="K123" s="11" t="s">
        <v>873</v>
      </c>
      <c r="L123" s="11">
        <v>12</v>
      </c>
      <c r="M123" s="11">
        <v>93</v>
      </c>
      <c r="N123" s="11">
        <v>-11</v>
      </c>
      <c r="O123" s="11">
        <v>118</v>
      </c>
      <c r="P123" s="11">
        <v>-25</v>
      </c>
      <c r="Q123" s="11">
        <v>108</v>
      </c>
      <c r="R123" s="11">
        <v>116</v>
      </c>
      <c r="S123" s="11">
        <v>103</v>
      </c>
      <c r="T123" s="11">
        <v>88</v>
      </c>
      <c r="U123" s="11">
        <v>102</v>
      </c>
      <c r="V123" s="11">
        <v>104</v>
      </c>
      <c r="W123" s="11">
        <v>14</v>
      </c>
      <c r="X123" s="11">
        <v>-14</v>
      </c>
      <c r="Y123" s="11">
        <v>2</v>
      </c>
      <c r="Z123" s="25">
        <v>45</v>
      </c>
    </row>
    <row r="124" spans="1:26" ht="14.25" customHeight="1" x14ac:dyDescent="0.25">
      <c r="A124" s="11"/>
      <c r="B124" s="11">
        <v>21</v>
      </c>
      <c r="C124" s="11" t="s">
        <v>148</v>
      </c>
      <c r="D124" s="11"/>
      <c r="E124" s="11"/>
      <c r="F124" s="11">
        <v>0</v>
      </c>
      <c r="G124" s="11" t="s">
        <v>405</v>
      </c>
      <c r="H124" s="11" t="s">
        <v>116</v>
      </c>
      <c r="I124" s="11">
        <v>226</v>
      </c>
      <c r="J124" s="61">
        <v>0</v>
      </c>
      <c r="K124" s="11" t="s">
        <v>886</v>
      </c>
      <c r="L124" s="11">
        <v>31</v>
      </c>
      <c r="M124" s="11">
        <v>241</v>
      </c>
      <c r="N124" s="11">
        <v>-3</v>
      </c>
      <c r="O124" s="11" t="s">
        <v>36</v>
      </c>
      <c r="P124" s="11" t="e">
        <v>#VALUE!</v>
      </c>
      <c r="Q124" s="11">
        <v>267</v>
      </c>
      <c r="R124" s="11">
        <v>287</v>
      </c>
      <c r="S124" s="11">
        <v>210</v>
      </c>
      <c r="T124" s="11">
        <v>248</v>
      </c>
      <c r="U124" s="11">
        <v>216</v>
      </c>
      <c r="V124" s="11">
        <v>244</v>
      </c>
      <c r="W124" s="11">
        <v>31</v>
      </c>
      <c r="X124" s="11">
        <v>-31</v>
      </c>
      <c r="Y124" s="11">
        <v>-14</v>
      </c>
      <c r="Z124" s="25" t="s">
        <v>886</v>
      </c>
    </row>
    <row r="125" spans="1:26" ht="14.25" customHeight="1" x14ac:dyDescent="0.25">
      <c r="A125" s="11"/>
      <c r="B125" s="11">
        <v>18</v>
      </c>
      <c r="C125" s="11" t="s">
        <v>148</v>
      </c>
      <c r="D125" s="11"/>
      <c r="E125" s="11"/>
      <c r="F125" s="11">
        <v>0</v>
      </c>
      <c r="G125" s="11" t="s">
        <v>278</v>
      </c>
      <c r="H125" s="11" t="s">
        <v>49</v>
      </c>
      <c r="I125" s="11">
        <v>216</v>
      </c>
      <c r="J125" s="59">
        <v>0</v>
      </c>
      <c r="K125" s="11" t="s">
        <v>886</v>
      </c>
      <c r="L125" s="11">
        <v>26</v>
      </c>
      <c r="M125" s="11">
        <v>200</v>
      </c>
      <c r="N125" s="11">
        <v>-10</v>
      </c>
      <c r="O125" s="11" t="s">
        <v>36</v>
      </c>
      <c r="P125" s="11" t="e">
        <v>#VALUE!</v>
      </c>
      <c r="Q125" s="11" t="s">
        <v>36</v>
      </c>
      <c r="R125" s="11">
        <v>248</v>
      </c>
      <c r="S125" s="11">
        <v>176</v>
      </c>
      <c r="T125" s="11">
        <v>181</v>
      </c>
      <c r="U125" s="11">
        <v>245</v>
      </c>
      <c r="V125" s="11">
        <v>210</v>
      </c>
      <c r="W125" s="11">
        <v>27</v>
      </c>
      <c r="X125" s="11">
        <v>-27</v>
      </c>
      <c r="Y125" s="11">
        <v>-31</v>
      </c>
      <c r="Z125" s="25" t="s">
        <v>886</v>
      </c>
    </row>
    <row r="126" spans="1:26" ht="14.25" customHeight="1" x14ac:dyDescent="0.25">
      <c r="A126" s="11"/>
      <c r="B126" s="11">
        <v>18</v>
      </c>
      <c r="C126" s="11" t="s">
        <v>148</v>
      </c>
      <c r="D126" s="11">
        <v>11</v>
      </c>
      <c r="E126" s="11"/>
      <c r="F126" s="11">
        <v>0</v>
      </c>
      <c r="G126" s="11" t="s">
        <v>536</v>
      </c>
      <c r="H126" s="11" t="s">
        <v>233</v>
      </c>
      <c r="I126" s="11">
        <v>228</v>
      </c>
      <c r="J126" s="57">
        <v>0</v>
      </c>
      <c r="K126" s="11" t="s">
        <v>886</v>
      </c>
      <c r="L126" s="11">
        <v>26</v>
      </c>
      <c r="M126" s="11">
        <v>202</v>
      </c>
      <c r="N126" s="11">
        <v>-3</v>
      </c>
      <c r="O126" s="11" t="s">
        <v>36</v>
      </c>
      <c r="P126" s="11" t="e">
        <v>#VALUE!</v>
      </c>
      <c r="Q126" s="11">
        <v>198</v>
      </c>
      <c r="R126" s="11">
        <v>239</v>
      </c>
      <c r="S126" s="11">
        <v>196</v>
      </c>
      <c r="T126" s="11">
        <v>221</v>
      </c>
      <c r="U126" s="11">
        <v>176</v>
      </c>
      <c r="V126" s="11">
        <v>205</v>
      </c>
      <c r="W126" s="11">
        <v>26</v>
      </c>
      <c r="X126" s="11">
        <v>-15</v>
      </c>
      <c r="Y126" s="11">
        <v>23</v>
      </c>
      <c r="Z126" s="25" t="s">
        <v>886</v>
      </c>
    </row>
    <row r="127" spans="1:26" ht="14.25" customHeight="1" x14ac:dyDescent="0.25">
      <c r="A127" s="11"/>
      <c r="B127" s="11">
        <v>21</v>
      </c>
      <c r="C127" s="11" t="s">
        <v>148</v>
      </c>
      <c r="D127" s="11">
        <v>11</v>
      </c>
      <c r="E127" s="11"/>
      <c r="F127" s="11">
        <v>0</v>
      </c>
      <c r="G127" s="11" t="s">
        <v>908</v>
      </c>
      <c r="H127" s="11" t="s">
        <v>229</v>
      </c>
      <c r="I127" s="11">
        <v>223</v>
      </c>
      <c r="J127" s="45">
        <v>0</v>
      </c>
      <c r="K127" s="11" t="s">
        <v>886</v>
      </c>
      <c r="L127" s="11">
        <v>30</v>
      </c>
      <c r="M127" s="11">
        <v>235</v>
      </c>
      <c r="N127" s="11">
        <v>-8</v>
      </c>
      <c r="O127" s="11" t="s">
        <v>36</v>
      </c>
      <c r="P127" s="11" t="e">
        <v>#VALUE!</v>
      </c>
      <c r="Q127" s="11" t="s">
        <v>36</v>
      </c>
      <c r="R127" s="11">
        <v>316</v>
      </c>
      <c r="S127" s="11">
        <v>202</v>
      </c>
      <c r="T127" s="11">
        <v>228</v>
      </c>
      <c r="U127" s="11">
        <v>238</v>
      </c>
      <c r="V127" s="11">
        <v>243</v>
      </c>
      <c r="W127" s="11">
        <v>31</v>
      </c>
      <c r="X127" s="11">
        <v>-20</v>
      </c>
      <c r="Y127" s="11" t="e">
        <v>#VALUE!</v>
      </c>
      <c r="Z127" s="25" t="s">
        <v>886</v>
      </c>
    </row>
    <row r="128" spans="1:26" ht="14.25" customHeight="1" x14ac:dyDescent="0.25">
      <c r="A128" s="11"/>
      <c r="B128" s="11">
        <v>17</v>
      </c>
      <c r="C128" s="11" t="s">
        <v>148</v>
      </c>
      <c r="D128" s="11">
        <v>12</v>
      </c>
      <c r="E128" s="11"/>
      <c r="F128" s="11">
        <v>0</v>
      </c>
      <c r="G128" s="11" t="s">
        <v>346</v>
      </c>
      <c r="H128" s="11" t="s">
        <v>214</v>
      </c>
      <c r="I128" s="11">
        <v>142</v>
      </c>
      <c r="J128" s="45">
        <v>0</v>
      </c>
      <c r="K128" s="11" t="s">
        <v>886</v>
      </c>
      <c r="L128" s="11">
        <v>27</v>
      </c>
      <c r="M128" s="11">
        <v>210</v>
      </c>
      <c r="N128" s="11">
        <v>12</v>
      </c>
      <c r="O128" s="11">
        <v>205</v>
      </c>
      <c r="P128" s="11">
        <v>5</v>
      </c>
      <c r="Q128" s="11" t="s">
        <v>36</v>
      </c>
      <c r="R128" s="11">
        <v>219</v>
      </c>
      <c r="S128" s="11">
        <v>172</v>
      </c>
      <c r="T128" s="11">
        <v>163</v>
      </c>
      <c r="U128" s="11">
        <v>223</v>
      </c>
      <c r="V128" s="11">
        <v>198</v>
      </c>
      <c r="W128" s="11">
        <v>25</v>
      </c>
      <c r="X128" s="11">
        <v>-13</v>
      </c>
      <c r="Y128" s="11">
        <v>-20</v>
      </c>
      <c r="Z128" s="25" t="s">
        <v>886</v>
      </c>
    </row>
    <row r="129" spans="1:26" ht="14.25" customHeight="1" x14ac:dyDescent="0.25">
      <c r="A129" s="11"/>
      <c r="B129" s="11">
        <v>16</v>
      </c>
      <c r="C129" s="11" t="s">
        <v>148</v>
      </c>
      <c r="D129" s="11"/>
      <c r="E129" s="11"/>
      <c r="F129" s="11">
        <v>0</v>
      </c>
      <c r="G129" s="11" t="s">
        <v>658</v>
      </c>
      <c r="H129" s="11" t="s">
        <v>55</v>
      </c>
      <c r="I129" s="11" t="s">
        <v>36</v>
      </c>
      <c r="J129" s="11">
        <v>0</v>
      </c>
      <c r="K129" s="11" t="s">
        <v>886</v>
      </c>
      <c r="L129" s="11">
        <v>20</v>
      </c>
      <c r="M129" s="11">
        <v>156</v>
      </c>
      <c r="N129" s="11">
        <v>-21</v>
      </c>
      <c r="O129" s="11">
        <v>181</v>
      </c>
      <c r="P129" s="11">
        <v>-25</v>
      </c>
      <c r="Q129" s="11">
        <v>188</v>
      </c>
      <c r="R129" s="11">
        <v>229</v>
      </c>
      <c r="S129" s="11">
        <v>230</v>
      </c>
      <c r="T129" s="11">
        <v>185</v>
      </c>
      <c r="U129" s="11">
        <v>76</v>
      </c>
      <c r="V129" s="11">
        <v>177</v>
      </c>
      <c r="W129" s="11">
        <v>23</v>
      </c>
      <c r="X129" s="11">
        <v>-23</v>
      </c>
      <c r="Y129" s="11" t="e">
        <v>#VALUE!</v>
      </c>
      <c r="Z129" s="25" t="s">
        <v>886</v>
      </c>
    </row>
    <row r="130" spans="1:26" ht="14.25" customHeight="1" x14ac:dyDescent="0.25">
      <c r="A130" s="11"/>
      <c r="B130" s="11">
        <v>10</v>
      </c>
      <c r="C130" s="11" t="s">
        <v>148</v>
      </c>
      <c r="D130" s="11"/>
      <c r="E130" s="11"/>
      <c r="F130" s="11">
        <v>0</v>
      </c>
      <c r="G130" s="11" t="s">
        <v>262</v>
      </c>
      <c r="H130" s="11" t="s">
        <v>88</v>
      </c>
      <c r="I130" s="11">
        <v>128</v>
      </c>
      <c r="J130" s="58">
        <v>0</v>
      </c>
      <c r="K130" s="11" t="s">
        <v>889</v>
      </c>
      <c r="L130" s="11">
        <v>14</v>
      </c>
      <c r="M130" s="11">
        <v>109</v>
      </c>
      <c r="N130" s="11">
        <v>-8</v>
      </c>
      <c r="O130" s="11">
        <v>122</v>
      </c>
      <c r="P130" s="11">
        <v>-13</v>
      </c>
      <c r="Q130" s="11">
        <v>91</v>
      </c>
      <c r="R130" s="11">
        <v>122</v>
      </c>
      <c r="S130" s="11">
        <v>135</v>
      </c>
      <c r="T130" s="11">
        <v>120</v>
      </c>
      <c r="U130" s="11">
        <v>124</v>
      </c>
      <c r="V130" s="11">
        <v>117</v>
      </c>
      <c r="W130" s="11">
        <v>15</v>
      </c>
      <c r="X130" s="11">
        <v>-15</v>
      </c>
      <c r="Y130" s="11">
        <v>-12</v>
      </c>
      <c r="Z130" s="25">
        <v>17</v>
      </c>
    </row>
    <row r="131" spans="1:26" ht="14.25" customHeight="1" x14ac:dyDescent="0.25">
      <c r="A131" s="11"/>
      <c r="B131" s="11">
        <v>14</v>
      </c>
      <c r="C131" s="11" t="s">
        <v>119</v>
      </c>
      <c r="D131" s="11"/>
      <c r="E131" s="11"/>
      <c r="F131" s="11">
        <v>0</v>
      </c>
      <c r="G131" s="11" t="s">
        <v>826</v>
      </c>
      <c r="H131" s="11" t="s">
        <v>123</v>
      </c>
      <c r="I131" s="11">
        <v>139</v>
      </c>
      <c r="J131" s="59">
        <v>0</v>
      </c>
      <c r="K131" s="11" t="s">
        <v>894</v>
      </c>
      <c r="L131" s="11">
        <v>18</v>
      </c>
      <c r="M131" s="11">
        <v>143</v>
      </c>
      <c r="N131" s="11">
        <v>-10</v>
      </c>
      <c r="O131" s="11">
        <v>149</v>
      </c>
      <c r="P131" s="11">
        <v>-6</v>
      </c>
      <c r="Q131" s="11">
        <v>151</v>
      </c>
      <c r="R131" s="11">
        <v>159</v>
      </c>
      <c r="S131" s="11">
        <v>121</v>
      </c>
      <c r="T131" s="11">
        <v>123</v>
      </c>
      <c r="U131" s="11">
        <v>227</v>
      </c>
      <c r="V131" s="11">
        <v>153</v>
      </c>
      <c r="W131" s="11">
        <v>20</v>
      </c>
      <c r="X131" s="11">
        <v>-20</v>
      </c>
      <c r="Y131" s="11">
        <v>-16</v>
      </c>
      <c r="Z131" s="25">
        <v>44</v>
      </c>
    </row>
    <row r="132" spans="1:26" ht="14.25" customHeight="1" x14ac:dyDescent="0.25">
      <c r="A132" s="11"/>
      <c r="B132" s="11">
        <v>8</v>
      </c>
      <c r="C132" s="11" t="s">
        <v>148</v>
      </c>
      <c r="D132" s="11"/>
      <c r="E132" s="11"/>
      <c r="F132" s="11">
        <v>0</v>
      </c>
      <c r="G132" s="11" t="s">
        <v>335</v>
      </c>
      <c r="H132" s="11" t="s">
        <v>94</v>
      </c>
      <c r="I132" s="11">
        <v>77</v>
      </c>
      <c r="J132" s="45">
        <v>0</v>
      </c>
      <c r="K132" s="11" t="s">
        <v>884</v>
      </c>
      <c r="L132" s="11">
        <v>11</v>
      </c>
      <c r="M132" s="11">
        <v>83</v>
      </c>
      <c r="N132" s="11">
        <v>-4</v>
      </c>
      <c r="O132" s="11">
        <v>85</v>
      </c>
      <c r="P132" s="11">
        <v>-2</v>
      </c>
      <c r="Q132" s="11">
        <v>82</v>
      </c>
      <c r="R132" s="11">
        <v>86</v>
      </c>
      <c r="S132" s="11">
        <v>87</v>
      </c>
      <c r="T132" s="11">
        <v>73</v>
      </c>
      <c r="U132" s="11">
        <v>119</v>
      </c>
      <c r="V132" s="11">
        <v>87</v>
      </c>
      <c r="W132" s="11">
        <v>11</v>
      </c>
      <c r="X132" s="11">
        <v>-11</v>
      </c>
      <c r="Y132" s="11">
        <v>0</v>
      </c>
      <c r="Z132" s="25">
        <v>35</v>
      </c>
    </row>
    <row r="133" spans="1:26" ht="14.25" customHeight="1" x14ac:dyDescent="0.25">
      <c r="A133" s="11"/>
      <c r="B133" s="11" t="e">
        <v>#N/A</v>
      </c>
      <c r="C133" s="11" t="s">
        <v>148</v>
      </c>
      <c r="D133" s="11"/>
      <c r="E133" s="11"/>
      <c r="F133" s="11" t="e">
        <v>#N/A</v>
      </c>
      <c r="G133" s="11" t="s">
        <v>909</v>
      </c>
      <c r="H133" s="11" t="e">
        <v>#N/A</v>
      </c>
      <c r="I133" s="11" t="e">
        <v>#N/A</v>
      </c>
      <c r="J133" s="45" t="e">
        <v>#N/A</v>
      </c>
      <c r="K133" s="11" t="e">
        <v>#N/A</v>
      </c>
      <c r="L133" s="11">
        <v>16</v>
      </c>
      <c r="M133" s="11" t="e">
        <v>#N/A</v>
      </c>
      <c r="N133" s="11" t="e">
        <v>#N/A</v>
      </c>
      <c r="O133" s="11" t="e">
        <v>#N/A</v>
      </c>
      <c r="P133" s="11" t="e">
        <v>#N/A</v>
      </c>
      <c r="Q133" s="11" t="e">
        <v>#N/A</v>
      </c>
      <c r="R133" s="11" t="e">
        <v>#N/A</v>
      </c>
      <c r="S133" s="11" t="e">
        <v>#N/A</v>
      </c>
      <c r="T133" s="11" t="e">
        <v>#N/A</v>
      </c>
      <c r="U133" s="11" t="e">
        <v>#N/A</v>
      </c>
      <c r="V133" s="11" t="e">
        <v>#N/A</v>
      </c>
      <c r="W133" s="11">
        <v>16</v>
      </c>
      <c r="X133" s="11">
        <v>-16</v>
      </c>
      <c r="Y133" s="11" t="e">
        <v>#N/A</v>
      </c>
      <c r="Z133" s="25" t="e">
        <v>#N/A</v>
      </c>
    </row>
    <row r="134" spans="1:26" ht="14.25" customHeight="1" x14ac:dyDescent="0.25">
      <c r="A134" s="11"/>
      <c r="B134" s="11">
        <v>6</v>
      </c>
      <c r="C134" s="11" t="s">
        <v>148</v>
      </c>
      <c r="D134" s="11">
        <v>13</v>
      </c>
      <c r="E134" s="11"/>
      <c r="F134" s="11">
        <v>0</v>
      </c>
      <c r="G134" s="11" t="s">
        <v>422</v>
      </c>
      <c r="H134" s="11" t="s">
        <v>72</v>
      </c>
      <c r="I134" s="11">
        <v>87</v>
      </c>
      <c r="J134" s="61">
        <v>0</v>
      </c>
      <c r="K134" s="11" t="s">
        <v>863</v>
      </c>
      <c r="L134" s="11">
        <v>9</v>
      </c>
      <c r="M134" s="11">
        <v>64</v>
      </c>
      <c r="N134" s="11">
        <v>-2</v>
      </c>
      <c r="O134" s="11">
        <v>71</v>
      </c>
      <c r="P134" s="11">
        <v>-7</v>
      </c>
      <c r="Q134" s="11">
        <v>56</v>
      </c>
      <c r="R134" s="11">
        <v>82</v>
      </c>
      <c r="S134" s="11">
        <v>64</v>
      </c>
      <c r="T134" s="11">
        <v>80</v>
      </c>
      <c r="U134" s="11">
        <v>50</v>
      </c>
      <c r="V134" s="11">
        <v>66</v>
      </c>
      <c r="W134" s="11">
        <v>9</v>
      </c>
      <c r="X134" s="11">
        <v>4</v>
      </c>
      <c r="Y134" s="11">
        <v>7</v>
      </c>
      <c r="Z134" s="25">
        <v>5</v>
      </c>
    </row>
    <row r="135" spans="1:26" ht="14.25" customHeight="1" x14ac:dyDescent="0.25">
      <c r="A135" s="11"/>
      <c r="B135" s="11">
        <v>13</v>
      </c>
      <c r="C135" s="11" t="s">
        <v>148</v>
      </c>
      <c r="D135" s="11"/>
      <c r="E135" s="11"/>
      <c r="F135" s="11">
        <v>0</v>
      </c>
      <c r="G135" s="11" t="s">
        <v>502</v>
      </c>
      <c r="H135" s="11" t="s">
        <v>91</v>
      </c>
      <c r="I135" s="11" t="s">
        <v>36</v>
      </c>
      <c r="J135" s="11">
        <v>0</v>
      </c>
      <c r="K135" s="11" t="s">
        <v>886</v>
      </c>
      <c r="L135" s="11">
        <v>23</v>
      </c>
      <c r="M135" s="11">
        <v>181</v>
      </c>
      <c r="N135" s="11">
        <v>34</v>
      </c>
      <c r="O135" s="11">
        <v>112</v>
      </c>
      <c r="P135" s="11">
        <v>69</v>
      </c>
      <c r="Q135" s="11">
        <v>109</v>
      </c>
      <c r="R135" s="11">
        <v>129</v>
      </c>
      <c r="S135" s="11">
        <v>212</v>
      </c>
      <c r="T135" s="11">
        <v>166</v>
      </c>
      <c r="U135" s="11">
        <v>123</v>
      </c>
      <c r="V135" s="11">
        <v>147</v>
      </c>
      <c r="W135" s="11">
        <v>19</v>
      </c>
      <c r="X135" s="11">
        <v>-19</v>
      </c>
      <c r="Y135" s="11">
        <v>22</v>
      </c>
      <c r="Z135" s="25" t="s">
        <v>886</v>
      </c>
    </row>
    <row r="136" spans="1:26" ht="14.25" customHeight="1" x14ac:dyDescent="0.25">
      <c r="A136" s="11"/>
      <c r="B136" s="11">
        <v>23</v>
      </c>
      <c r="C136" s="11" t="s">
        <v>148</v>
      </c>
      <c r="D136" s="11"/>
      <c r="E136" s="11"/>
      <c r="F136" s="11">
        <v>0</v>
      </c>
      <c r="G136" s="11" t="s">
        <v>627</v>
      </c>
      <c r="H136" s="11" t="s">
        <v>39</v>
      </c>
      <c r="I136" s="11">
        <v>248</v>
      </c>
      <c r="J136" s="59">
        <v>0</v>
      </c>
      <c r="K136" s="11" t="s">
        <v>886</v>
      </c>
      <c r="L136" s="11">
        <v>16</v>
      </c>
      <c r="M136" s="11" t="s">
        <v>36</v>
      </c>
      <c r="N136" s="11" t="e">
        <v>#VALUE!</v>
      </c>
      <c r="O136" s="11" t="s">
        <v>36</v>
      </c>
      <c r="P136" s="11" t="e">
        <v>#VALUE!</v>
      </c>
      <c r="Q136" s="11">
        <v>231</v>
      </c>
      <c r="R136" s="11" t="s">
        <v>36</v>
      </c>
      <c r="S136" s="11">
        <v>312</v>
      </c>
      <c r="T136" s="11" t="s">
        <v>36</v>
      </c>
      <c r="U136" s="11">
        <v>281</v>
      </c>
      <c r="V136" s="11">
        <v>274</v>
      </c>
      <c r="W136" s="11">
        <v>35</v>
      </c>
      <c r="X136" s="11">
        <v>-35</v>
      </c>
      <c r="Y136" s="11" t="e">
        <v>#VALUE!</v>
      </c>
      <c r="Z136" s="25" t="s">
        <v>886</v>
      </c>
    </row>
    <row r="137" spans="1:26" ht="14.25" customHeight="1" x14ac:dyDescent="0.25">
      <c r="A137" s="11"/>
      <c r="B137" s="11">
        <v>5</v>
      </c>
      <c r="C137" s="11" t="s">
        <v>148</v>
      </c>
      <c r="D137" s="11"/>
      <c r="E137" s="11"/>
      <c r="F137" s="11">
        <v>0</v>
      </c>
      <c r="G137" s="11" t="s">
        <v>280</v>
      </c>
      <c r="H137" s="11" t="s">
        <v>160</v>
      </c>
      <c r="I137" s="11">
        <v>60</v>
      </c>
      <c r="J137" s="39">
        <v>0</v>
      </c>
      <c r="K137" s="11" t="s">
        <v>841</v>
      </c>
      <c r="L137" s="11">
        <v>6</v>
      </c>
      <c r="M137" s="11">
        <v>45</v>
      </c>
      <c r="N137" s="11">
        <v>-3</v>
      </c>
      <c r="O137" s="11">
        <v>44</v>
      </c>
      <c r="P137" s="11">
        <v>1</v>
      </c>
      <c r="Q137" s="11">
        <v>40</v>
      </c>
      <c r="R137" s="11">
        <v>60</v>
      </c>
      <c r="S137" s="11">
        <v>47</v>
      </c>
      <c r="T137" s="11">
        <v>51</v>
      </c>
      <c r="U137" s="11">
        <v>55</v>
      </c>
      <c r="V137" s="11">
        <v>48</v>
      </c>
      <c r="W137" s="11">
        <v>7</v>
      </c>
      <c r="X137" s="11">
        <v>-7</v>
      </c>
      <c r="Y137" s="11">
        <v>-8</v>
      </c>
      <c r="Z137" s="25">
        <v>17</v>
      </c>
    </row>
    <row r="138" spans="1:26" ht="14.25" customHeight="1" x14ac:dyDescent="0.25">
      <c r="A138" s="11"/>
      <c r="B138" s="11">
        <v>18</v>
      </c>
      <c r="C138" s="11" t="s">
        <v>148</v>
      </c>
      <c r="D138" s="11"/>
      <c r="E138" s="11"/>
      <c r="F138" s="11">
        <v>0</v>
      </c>
      <c r="G138" s="11" t="s">
        <v>480</v>
      </c>
      <c r="H138" s="11" t="s">
        <v>233</v>
      </c>
      <c r="I138" s="11">
        <v>191</v>
      </c>
      <c r="J138" s="11">
        <v>0</v>
      </c>
      <c r="K138" s="11" t="s">
        <v>903</v>
      </c>
      <c r="L138" s="11">
        <v>29</v>
      </c>
      <c r="M138" s="11">
        <v>229</v>
      </c>
      <c r="N138" s="11">
        <v>13</v>
      </c>
      <c r="O138" s="11" t="s">
        <v>36</v>
      </c>
      <c r="P138" s="11" t="e">
        <v>#VALUE!</v>
      </c>
      <c r="Q138" s="11">
        <v>192</v>
      </c>
      <c r="R138" s="11">
        <v>240</v>
      </c>
      <c r="S138" s="11">
        <v>222</v>
      </c>
      <c r="T138" s="11">
        <v>222</v>
      </c>
      <c r="U138" s="11">
        <v>192</v>
      </c>
      <c r="V138" s="11">
        <v>216</v>
      </c>
      <c r="W138" s="11">
        <v>28</v>
      </c>
      <c r="X138" s="11">
        <v>-28</v>
      </c>
      <c r="Y138" s="11">
        <v>-18</v>
      </c>
      <c r="Z138" s="25" t="s">
        <v>886</v>
      </c>
    </row>
    <row r="139" spans="1:26" ht="14.25" customHeight="1" x14ac:dyDescent="0.25">
      <c r="A139" s="11"/>
      <c r="B139" s="11">
        <v>10</v>
      </c>
      <c r="C139" s="11" t="s">
        <v>148</v>
      </c>
      <c r="D139" s="11"/>
      <c r="E139" s="11"/>
      <c r="F139" s="11">
        <v>0</v>
      </c>
      <c r="G139" s="11" t="s">
        <v>276</v>
      </c>
      <c r="H139" s="11" t="s">
        <v>168</v>
      </c>
      <c r="I139" s="11">
        <v>95</v>
      </c>
      <c r="J139" s="59">
        <v>0</v>
      </c>
      <c r="K139" s="11" t="s">
        <v>910</v>
      </c>
      <c r="L139" s="11">
        <v>14</v>
      </c>
      <c r="M139" s="11">
        <v>107</v>
      </c>
      <c r="N139" s="11">
        <v>0</v>
      </c>
      <c r="O139" s="11">
        <v>102</v>
      </c>
      <c r="P139" s="11">
        <v>5</v>
      </c>
      <c r="Q139" s="11">
        <v>98</v>
      </c>
      <c r="R139" s="11">
        <v>119</v>
      </c>
      <c r="S139" s="11">
        <v>93</v>
      </c>
      <c r="T139" s="11">
        <v>98</v>
      </c>
      <c r="U139" s="11">
        <v>136</v>
      </c>
      <c r="V139" s="11">
        <v>107</v>
      </c>
      <c r="W139" s="11">
        <v>14</v>
      </c>
      <c r="X139" s="11">
        <v>-14</v>
      </c>
      <c r="Y139" s="11">
        <v>-27</v>
      </c>
      <c r="Z139" s="25">
        <v>29</v>
      </c>
    </row>
    <row r="140" spans="1:26" ht="14.25" customHeight="1" x14ac:dyDescent="0.25">
      <c r="A140" s="11"/>
      <c r="B140" s="11">
        <v>17</v>
      </c>
      <c r="C140" s="11" t="s">
        <v>148</v>
      </c>
      <c r="D140" s="11"/>
      <c r="E140" s="11"/>
      <c r="F140" s="11">
        <v>0</v>
      </c>
      <c r="G140" s="11" t="s">
        <v>911</v>
      </c>
      <c r="H140" s="11" t="s">
        <v>66</v>
      </c>
      <c r="I140" s="11">
        <v>127</v>
      </c>
      <c r="J140" s="11">
        <v>0</v>
      </c>
      <c r="K140" s="11" t="s">
        <v>912</v>
      </c>
      <c r="L140" s="11">
        <v>22</v>
      </c>
      <c r="M140" s="11">
        <v>174</v>
      </c>
      <c r="N140" s="11">
        <v>-14</v>
      </c>
      <c r="O140" s="11" t="s">
        <v>36</v>
      </c>
      <c r="P140" s="11" t="e">
        <v>#VALUE!</v>
      </c>
      <c r="Q140" s="11" t="s">
        <v>36</v>
      </c>
      <c r="R140" s="11">
        <v>221</v>
      </c>
      <c r="S140" s="11">
        <v>158</v>
      </c>
      <c r="T140" s="11">
        <v>155</v>
      </c>
      <c r="U140" s="11">
        <v>235</v>
      </c>
      <c r="V140" s="11">
        <v>188</v>
      </c>
      <c r="W140" s="11">
        <v>24</v>
      </c>
      <c r="X140" s="11">
        <v>-24</v>
      </c>
      <c r="Y140" s="11">
        <v>-38</v>
      </c>
      <c r="Z140" s="25">
        <v>61</v>
      </c>
    </row>
    <row r="141" spans="1:26" ht="14.25" customHeight="1" x14ac:dyDescent="0.25">
      <c r="A141" s="11"/>
      <c r="B141" s="11">
        <v>21</v>
      </c>
      <c r="C141" s="11" t="s">
        <v>148</v>
      </c>
      <c r="D141" s="11"/>
      <c r="E141" s="11"/>
      <c r="F141" s="11">
        <v>0</v>
      </c>
      <c r="G141" s="11" t="s">
        <v>566</v>
      </c>
      <c r="H141" s="11" t="s">
        <v>69</v>
      </c>
      <c r="I141" s="11" t="s">
        <v>36</v>
      </c>
      <c r="J141" s="11">
        <v>0</v>
      </c>
      <c r="K141" s="11" t="s">
        <v>886</v>
      </c>
      <c r="L141" s="11">
        <v>36</v>
      </c>
      <c r="M141" s="11">
        <v>285</v>
      </c>
      <c r="N141" s="11">
        <v>45</v>
      </c>
      <c r="O141" s="11">
        <v>173</v>
      </c>
      <c r="P141" s="11">
        <v>112</v>
      </c>
      <c r="Q141" s="11">
        <v>201</v>
      </c>
      <c r="R141" s="11">
        <v>344</v>
      </c>
      <c r="S141" s="11">
        <v>278</v>
      </c>
      <c r="T141" s="11">
        <v>239</v>
      </c>
      <c r="U141" s="11">
        <v>165</v>
      </c>
      <c r="V141" s="11">
        <v>240</v>
      </c>
      <c r="W141" s="11">
        <v>31</v>
      </c>
      <c r="X141" s="11">
        <v>-31</v>
      </c>
      <c r="Y141" s="11">
        <v>0</v>
      </c>
      <c r="Z141" s="25" t="s">
        <v>886</v>
      </c>
    </row>
    <row r="142" spans="1:26" ht="14.25" customHeight="1" x14ac:dyDescent="0.25">
      <c r="A142" s="11"/>
      <c r="B142" s="11">
        <v>16</v>
      </c>
      <c r="C142" s="11" t="s">
        <v>148</v>
      </c>
      <c r="D142" s="11"/>
      <c r="E142" s="11"/>
      <c r="F142" s="11">
        <v>0</v>
      </c>
      <c r="G142" s="11" t="s">
        <v>306</v>
      </c>
      <c r="H142" s="11" t="s">
        <v>49</v>
      </c>
      <c r="I142" s="11">
        <v>176</v>
      </c>
      <c r="J142" s="59">
        <v>0</v>
      </c>
      <c r="K142" s="11" t="s">
        <v>903</v>
      </c>
      <c r="L142" s="11">
        <v>26</v>
      </c>
      <c r="M142" s="11">
        <v>207</v>
      </c>
      <c r="N142" s="11">
        <v>18</v>
      </c>
      <c r="O142" s="11">
        <v>168</v>
      </c>
      <c r="P142" s="11">
        <v>39</v>
      </c>
      <c r="Q142" s="11">
        <v>160</v>
      </c>
      <c r="R142" s="11">
        <v>232</v>
      </c>
      <c r="S142" s="11">
        <v>197</v>
      </c>
      <c r="T142" s="11">
        <v>195</v>
      </c>
      <c r="U142" s="11">
        <v>167</v>
      </c>
      <c r="V142" s="11">
        <v>189</v>
      </c>
      <c r="W142" s="11">
        <v>24</v>
      </c>
      <c r="X142" s="11">
        <v>-24</v>
      </c>
      <c r="Y142" s="11">
        <v>-38</v>
      </c>
      <c r="Z142" s="25" t="s">
        <v>886</v>
      </c>
    </row>
    <row r="143" spans="1:26" ht="14.25" customHeight="1" x14ac:dyDescent="0.25">
      <c r="A143" s="11"/>
      <c r="B143" s="11">
        <v>16</v>
      </c>
      <c r="C143" s="11" t="s">
        <v>148</v>
      </c>
      <c r="D143" s="11">
        <v>9</v>
      </c>
      <c r="E143" s="11"/>
      <c r="F143" s="11">
        <v>0</v>
      </c>
      <c r="G143" s="11" t="s">
        <v>258</v>
      </c>
      <c r="H143" s="11" t="s">
        <v>160</v>
      </c>
      <c r="I143" s="11">
        <v>178</v>
      </c>
      <c r="J143" s="11">
        <v>0</v>
      </c>
      <c r="K143" s="11" t="s">
        <v>913</v>
      </c>
      <c r="L143" s="11">
        <v>20</v>
      </c>
      <c r="M143" s="11">
        <v>158</v>
      </c>
      <c r="N143" s="11">
        <v>-28</v>
      </c>
      <c r="O143" s="11">
        <v>210</v>
      </c>
      <c r="P143" s="11">
        <v>-52</v>
      </c>
      <c r="Q143" s="11" t="s">
        <v>36</v>
      </c>
      <c r="R143" s="11">
        <v>201</v>
      </c>
      <c r="S143" s="11">
        <v>165</v>
      </c>
      <c r="T143" s="11">
        <v>164</v>
      </c>
      <c r="U143" s="11">
        <v>220</v>
      </c>
      <c r="V143" s="11">
        <v>186</v>
      </c>
      <c r="W143" s="11">
        <v>24</v>
      </c>
      <c r="X143" s="11">
        <v>-15</v>
      </c>
      <c r="Y143" s="11">
        <v>-29</v>
      </c>
      <c r="Z143" s="25">
        <v>55</v>
      </c>
    </row>
    <row r="144" spans="1:26" ht="14.25" customHeight="1" x14ac:dyDescent="0.25">
      <c r="A144" s="11"/>
      <c r="B144" s="11">
        <v>21</v>
      </c>
      <c r="C144" s="11" t="s">
        <v>148</v>
      </c>
      <c r="D144" s="11"/>
      <c r="E144" s="11"/>
      <c r="F144" s="11">
        <v>0</v>
      </c>
      <c r="G144" s="11" t="s">
        <v>914</v>
      </c>
      <c r="H144" s="11" t="s">
        <v>145</v>
      </c>
      <c r="I144" s="11" t="s">
        <v>36</v>
      </c>
      <c r="J144" s="11">
        <v>0</v>
      </c>
      <c r="K144" s="11" t="s">
        <v>886</v>
      </c>
      <c r="L144" s="11">
        <v>30</v>
      </c>
      <c r="M144" s="11">
        <v>236</v>
      </c>
      <c r="N144" s="11">
        <v>-4</v>
      </c>
      <c r="O144" s="11">
        <v>192</v>
      </c>
      <c r="P144" s="11">
        <v>44</v>
      </c>
      <c r="Q144" s="11">
        <v>206</v>
      </c>
      <c r="R144" s="11">
        <v>329</v>
      </c>
      <c r="S144" s="11">
        <v>272</v>
      </c>
      <c r="T144" s="11">
        <v>234</v>
      </c>
      <c r="U144" s="11">
        <v>213</v>
      </c>
      <c r="V144" s="11">
        <v>240</v>
      </c>
      <c r="W144" s="11">
        <v>31</v>
      </c>
      <c r="X144" s="11">
        <v>-31</v>
      </c>
      <c r="Y144" s="11">
        <v>-46</v>
      </c>
      <c r="Z144" s="25" t="s">
        <v>886</v>
      </c>
    </row>
    <row r="145" spans="1:26" ht="14.25" customHeight="1" x14ac:dyDescent="0.25">
      <c r="A145" s="11"/>
      <c r="B145" s="11" t="e">
        <v>#N/A</v>
      </c>
      <c r="C145" s="11" t="s">
        <v>148</v>
      </c>
      <c r="D145" s="11"/>
      <c r="E145" s="11"/>
      <c r="F145" s="11" t="e">
        <v>#N/A</v>
      </c>
      <c r="G145" s="11" t="s">
        <v>915</v>
      </c>
      <c r="H145" s="11" t="e">
        <v>#N/A</v>
      </c>
      <c r="I145" s="11" t="e">
        <v>#N/A</v>
      </c>
      <c r="J145" s="11" t="e">
        <v>#N/A</v>
      </c>
      <c r="K145" s="11" t="e">
        <v>#N/A</v>
      </c>
      <c r="L145" s="11">
        <v>16</v>
      </c>
      <c r="M145" s="11" t="e">
        <v>#N/A</v>
      </c>
      <c r="N145" s="11" t="e">
        <v>#N/A</v>
      </c>
      <c r="O145" s="11" t="e">
        <v>#N/A</v>
      </c>
      <c r="P145" s="11" t="e">
        <v>#N/A</v>
      </c>
      <c r="Q145" s="11" t="e">
        <v>#N/A</v>
      </c>
      <c r="R145" s="11" t="e">
        <v>#N/A</v>
      </c>
      <c r="S145" s="11" t="e">
        <v>#N/A</v>
      </c>
      <c r="T145" s="11" t="e">
        <v>#N/A</v>
      </c>
      <c r="U145" s="11" t="e">
        <v>#N/A</v>
      </c>
      <c r="V145" s="11" t="e">
        <v>#N/A</v>
      </c>
      <c r="W145" s="11">
        <v>16</v>
      </c>
      <c r="X145" s="11">
        <v>-16</v>
      </c>
      <c r="Y145" s="11" t="e">
        <v>#N/A</v>
      </c>
      <c r="Z145" s="25" t="e">
        <v>#N/A</v>
      </c>
    </row>
    <row r="146" spans="1:26" ht="14.25" customHeight="1" x14ac:dyDescent="0.25">
      <c r="A146" s="11"/>
      <c r="B146" s="11">
        <v>10</v>
      </c>
      <c r="C146" s="11" t="s">
        <v>148</v>
      </c>
      <c r="D146" s="11"/>
      <c r="E146" s="11"/>
      <c r="F146" s="11">
        <v>0</v>
      </c>
      <c r="G146" s="11" t="s">
        <v>386</v>
      </c>
      <c r="H146" s="11" t="s">
        <v>52</v>
      </c>
      <c r="I146" s="11">
        <v>90</v>
      </c>
      <c r="J146" s="59">
        <v>0</v>
      </c>
      <c r="K146" s="11" t="s">
        <v>910</v>
      </c>
      <c r="L146" s="11">
        <v>14</v>
      </c>
      <c r="M146" s="11">
        <v>104</v>
      </c>
      <c r="N146" s="11">
        <v>-6</v>
      </c>
      <c r="O146" s="11">
        <v>92</v>
      </c>
      <c r="P146" s="11">
        <v>12</v>
      </c>
      <c r="Q146" s="11">
        <v>129</v>
      </c>
      <c r="R146" s="11">
        <v>114</v>
      </c>
      <c r="S146" s="11">
        <v>86</v>
      </c>
      <c r="T146" s="11">
        <v>92</v>
      </c>
      <c r="U146" s="11">
        <v>153</v>
      </c>
      <c r="V146" s="11">
        <v>110</v>
      </c>
      <c r="W146" s="11">
        <v>14</v>
      </c>
      <c r="X146" s="11">
        <v>-14</v>
      </c>
      <c r="Y146" s="11">
        <v>-32</v>
      </c>
      <c r="Z146" s="25">
        <v>31</v>
      </c>
    </row>
    <row r="147" spans="1:26" ht="14.25" customHeight="1" x14ac:dyDescent="0.25">
      <c r="A147" s="11"/>
      <c r="B147" s="11">
        <v>20</v>
      </c>
      <c r="C147" s="11" t="s">
        <v>148</v>
      </c>
      <c r="D147" s="11"/>
      <c r="E147" s="11"/>
      <c r="F147" s="11">
        <v>0</v>
      </c>
      <c r="G147" s="11" t="s">
        <v>644</v>
      </c>
      <c r="H147" s="11" t="s">
        <v>187</v>
      </c>
      <c r="I147" s="11" t="s">
        <v>36</v>
      </c>
      <c r="J147" s="11">
        <v>0</v>
      </c>
      <c r="K147" s="11" t="s">
        <v>886</v>
      </c>
      <c r="L147" s="11">
        <v>16</v>
      </c>
      <c r="M147" s="11" t="s">
        <v>36</v>
      </c>
      <c r="N147" s="11" t="e">
        <v>#VALUE!</v>
      </c>
      <c r="O147" s="11" t="s">
        <v>36</v>
      </c>
      <c r="P147" s="11" t="e">
        <v>#VALUE!</v>
      </c>
      <c r="Q147" s="11">
        <v>215</v>
      </c>
      <c r="R147" s="11" t="s">
        <v>36</v>
      </c>
      <c r="S147" s="11">
        <v>318</v>
      </c>
      <c r="T147" s="11">
        <v>261</v>
      </c>
      <c r="U147" s="11">
        <v>125</v>
      </c>
      <c r="V147" s="11">
        <v>229</v>
      </c>
      <c r="W147" s="11">
        <v>29</v>
      </c>
      <c r="X147" s="11">
        <v>-29</v>
      </c>
      <c r="Y147" s="11">
        <v>-12</v>
      </c>
      <c r="Z147" s="25" t="s">
        <v>886</v>
      </c>
    </row>
    <row r="148" spans="1:26" ht="14.25" customHeight="1" x14ac:dyDescent="0.25">
      <c r="A148" s="11"/>
      <c r="B148" s="11">
        <v>22</v>
      </c>
      <c r="C148" s="11" t="s">
        <v>148</v>
      </c>
      <c r="D148" s="11"/>
      <c r="E148" s="11"/>
      <c r="F148" s="11">
        <v>0</v>
      </c>
      <c r="G148" s="11" t="s">
        <v>811</v>
      </c>
      <c r="H148" s="11" t="s">
        <v>155</v>
      </c>
      <c r="I148" s="11">
        <v>258</v>
      </c>
      <c r="J148" s="61">
        <v>0</v>
      </c>
      <c r="K148" s="11" t="s">
        <v>886</v>
      </c>
      <c r="L148" s="11">
        <v>34</v>
      </c>
      <c r="M148" s="11">
        <v>271</v>
      </c>
      <c r="N148" s="11">
        <v>15</v>
      </c>
      <c r="O148" s="11" t="s">
        <v>36</v>
      </c>
      <c r="P148" s="11" t="e">
        <v>#VALUE!</v>
      </c>
      <c r="Q148" s="11">
        <v>225</v>
      </c>
      <c r="R148" s="11">
        <v>290</v>
      </c>
      <c r="S148" s="11">
        <v>259</v>
      </c>
      <c r="T148" s="11">
        <v>266</v>
      </c>
      <c r="U148" s="11">
        <v>229</v>
      </c>
      <c r="V148" s="11">
        <v>256</v>
      </c>
      <c r="W148" s="11">
        <v>33</v>
      </c>
      <c r="X148" s="11">
        <v>-33</v>
      </c>
      <c r="Y148" s="11" t="e">
        <v>#VALUE!</v>
      </c>
      <c r="Z148" s="25" t="s">
        <v>886</v>
      </c>
    </row>
    <row r="149" spans="1:26" ht="14.25" customHeight="1" x14ac:dyDescent="0.25">
      <c r="A149" s="11"/>
      <c r="B149" s="11">
        <v>7</v>
      </c>
      <c r="C149" s="11" t="s">
        <v>148</v>
      </c>
      <c r="D149" s="11"/>
      <c r="E149" s="11"/>
      <c r="F149" s="11">
        <v>0</v>
      </c>
      <c r="G149" s="11" t="s">
        <v>429</v>
      </c>
      <c r="H149" s="11" t="s">
        <v>187</v>
      </c>
      <c r="I149" s="11">
        <v>72</v>
      </c>
      <c r="J149" s="11">
        <v>0</v>
      </c>
      <c r="K149" s="11" t="s">
        <v>884</v>
      </c>
      <c r="L149" s="11">
        <v>10</v>
      </c>
      <c r="M149" s="11">
        <v>75</v>
      </c>
      <c r="N149" s="11">
        <v>0</v>
      </c>
      <c r="O149" s="11">
        <v>69</v>
      </c>
      <c r="P149" s="11">
        <v>6</v>
      </c>
      <c r="Q149" s="11">
        <v>68</v>
      </c>
      <c r="R149" s="11">
        <v>81</v>
      </c>
      <c r="S149" s="11">
        <v>74</v>
      </c>
      <c r="T149" s="11">
        <v>62</v>
      </c>
      <c r="U149" s="11">
        <v>98</v>
      </c>
      <c r="V149" s="11">
        <v>75</v>
      </c>
      <c r="W149" s="11">
        <v>10</v>
      </c>
      <c r="X149" s="11">
        <v>-10</v>
      </c>
      <c r="Y149" s="11">
        <v>6</v>
      </c>
      <c r="Z149" s="25">
        <v>37</v>
      </c>
    </row>
    <row r="150" spans="1:26" ht="14.25" customHeight="1" x14ac:dyDescent="0.25">
      <c r="A150" s="11"/>
      <c r="B150" s="11" t="e">
        <v>#N/A</v>
      </c>
      <c r="C150" s="11" t="s">
        <v>148</v>
      </c>
      <c r="D150" s="11"/>
      <c r="E150" s="11"/>
      <c r="F150" s="11" t="e">
        <v>#N/A</v>
      </c>
      <c r="G150" s="11" t="s">
        <v>916</v>
      </c>
      <c r="H150" s="11" t="e">
        <v>#N/A</v>
      </c>
      <c r="I150" s="11" t="e">
        <v>#N/A</v>
      </c>
      <c r="J150" s="45" t="e">
        <v>#N/A</v>
      </c>
      <c r="K150" s="11" t="e">
        <v>#N/A</v>
      </c>
      <c r="L150" s="11">
        <v>16</v>
      </c>
      <c r="M150" s="11" t="e">
        <v>#N/A</v>
      </c>
      <c r="N150" s="11" t="e">
        <v>#N/A</v>
      </c>
      <c r="O150" s="11" t="e">
        <v>#N/A</v>
      </c>
      <c r="P150" s="11" t="e">
        <v>#N/A</v>
      </c>
      <c r="Q150" s="11" t="e">
        <v>#N/A</v>
      </c>
      <c r="R150" s="11" t="e">
        <v>#N/A</v>
      </c>
      <c r="S150" s="11" t="e">
        <v>#N/A</v>
      </c>
      <c r="T150" s="11" t="e">
        <v>#N/A</v>
      </c>
      <c r="U150" s="11" t="e">
        <v>#N/A</v>
      </c>
      <c r="V150" s="11" t="e">
        <v>#N/A</v>
      </c>
      <c r="W150" s="11">
        <v>16</v>
      </c>
      <c r="X150" s="11">
        <v>-16</v>
      </c>
      <c r="Y150" s="11" t="e">
        <v>#N/A</v>
      </c>
      <c r="Z150" s="25" t="e">
        <v>#N/A</v>
      </c>
    </row>
    <row r="151" spans="1:26" ht="14.25" customHeight="1" x14ac:dyDescent="0.25">
      <c r="A151" s="11"/>
      <c r="B151" s="11" t="e">
        <v>#N/A</v>
      </c>
      <c r="C151" s="11" t="s">
        <v>148</v>
      </c>
      <c r="D151" s="11"/>
      <c r="E151" s="11"/>
      <c r="F151" s="11" t="e">
        <v>#N/A</v>
      </c>
      <c r="G151" s="11" t="s">
        <v>695</v>
      </c>
      <c r="H151" s="11" t="e">
        <v>#N/A</v>
      </c>
      <c r="I151" s="11" t="e">
        <v>#N/A</v>
      </c>
      <c r="J151" s="11" t="e">
        <v>#N/A</v>
      </c>
      <c r="K151" s="11" t="e">
        <v>#N/A</v>
      </c>
      <c r="L151" s="11">
        <v>16</v>
      </c>
      <c r="M151" s="11" t="e">
        <v>#N/A</v>
      </c>
      <c r="N151" s="11" t="e">
        <v>#N/A</v>
      </c>
      <c r="O151" s="11" t="e">
        <v>#N/A</v>
      </c>
      <c r="P151" s="11" t="e">
        <v>#N/A</v>
      </c>
      <c r="Q151" s="11" t="e">
        <v>#N/A</v>
      </c>
      <c r="R151" s="11" t="e">
        <v>#N/A</v>
      </c>
      <c r="S151" s="11" t="e">
        <v>#N/A</v>
      </c>
      <c r="T151" s="11" t="e">
        <v>#N/A</v>
      </c>
      <c r="U151" s="11" t="e">
        <v>#N/A</v>
      </c>
      <c r="V151" s="11" t="e">
        <v>#N/A</v>
      </c>
      <c r="W151" s="11">
        <v>16</v>
      </c>
      <c r="X151" s="11">
        <v>-16</v>
      </c>
      <c r="Y151" s="11" t="e">
        <v>#N/A</v>
      </c>
      <c r="Z151" s="25" t="e">
        <v>#N/A</v>
      </c>
    </row>
    <row r="152" spans="1:26" ht="14.25" customHeight="1" x14ac:dyDescent="0.25">
      <c r="A152" s="11"/>
      <c r="B152" s="11">
        <v>15</v>
      </c>
      <c r="C152" s="11" t="s">
        <v>148</v>
      </c>
      <c r="D152" s="11"/>
      <c r="E152" s="11"/>
      <c r="F152" s="11">
        <v>0</v>
      </c>
      <c r="G152" s="11" t="s">
        <v>370</v>
      </c>
      <c r="H152" s="11" t="s">
        <v>39</v>
      </c>
      <c r="I152" s="11">
        <v>156</v>
      </c>
      <c r="J152" s="59">
        <v>0</v>
      </c>
      <c r="K152" s="11" t="s">
        <v>894</v>
      </c>
      <c r="L152" s="11">
        <v>21</v>
      </c>
      <c r="M152" s="11">
        <v>167</v>
      </c>
      <c r="N152" s="11">
        <v>-2</v>
      </c>
      <c r="O152" s="11">
        <v>172</v>
      </c>
      <c r="P152" s="11">
        <v>-5</v>
      </c>
      <c r="Q152" s="11">
        <v>161</v>
      </c>
      <c r="R152" s="11">
        <v>199</v>
      </c>
      <c r="S152" s="11">
        <v>151</v>
      </c>
      <c r="T152" s="11">
        <v>154</v>
      </c>
      <c r="U152" s="11">
        <v>184</v>
      </c>
      <c r="V152" s="11">
        <v>169</v>
      </c>
      <c r="W152" s="11">
        <v>22</v>
      </c>
      <c r="X152" s="11">
        <v>-22</v>
      </c>
      <c r="Y152" s="11">
        <v>-23</v>
      </c>
      <c r="Z152" s="25">
        <v>46</v>
      </c>
    </row>
    <row r="153" spans="1:26" ht="14.25" customHeight="1" x14ac:dyDescent="0.25">
      <c r="A153" s="11"/>
      <c r="B153" s="11">
        <v>12</v>
      </c>
      <c r="C153" s="11" t="s">
        <v>148</v>
      </c>
      <c r="D153" s="11">
        <v>11</v>
      </c>
      <c r="E153" s="11"/>
      <c r="F153" s="11">
        <v>0</v>
      </c>
      <c r="G153" s="11" t="s">
        <v>377</v>
      </c>
      <c r="H153" s="11" t="s">
        <v>129</v>
      </c>
      <c r="I153" s="11">
        <v>102</v>
      </c>
      <c r="J153" s="43">
        <v>0</v>
      </c>
      <c r="K153" s="11" t="s">
        <v>873</v>
      </c>
      <c r="L153" s="11">
        <v>16</v>
      </c>
      <c r="M153" s="11">
        <v>124</v>
      </c>
      <c r="N153" s="11">
        <v>-15</v>
      </c>
      <c r="O153" s="11">
        <v>161</v>
      </c>
      <c r="P153" s="11">
        <v>-37</v>
      </c>
      <c r="Q153" s="11">
        <v>134</v>
      </c>
      <c r="R153" s="11">
        <v>133</v>
      </c>
      <c r="S153" s="11">
        <v>127</v>
      </c>
      <c r="T153" s="11">
        <v>117</v>
      </c>
      <c r="U153" s="11">
        <v>177</v>
      </c>
      <c r="V153" s="11">
        <v>139</v>
      </c>
      <c r="W153" s="11">
        <v>18</v>
      </c>
      <c r="X153" s="11">
        <v>-7</v>
      </c>
      <c r="Y153" s="11">
        <v>-31</v>
      </c>
      <c r="Z153" s="25">
        <v>44</v>
      </c>
    </row>
    <row r="154" spans="1:26" ht="14.25" customHeight="1" x14ac:dyDescent="0.25">
      <c r="A154" s="11"/>
      <c r="B154" s="11" t="e">
        <v>#N/A</v>
      </c>
      <c r="C154" s="11" t="s">
        <v>148</v>
      </c>
      <c r="D154" s="11"/>
      <c r="E154" s="11"/>
      <c r="F154" s="11" t="e">
        <v>#N/A</v>
      </c>
      <c r="G154" s="11" t="s">
        <v>917</v>
      </c>
      <c r="H154" s="11" t="e">
        <v>#N/A</v>
      </c>
      <c r="I154" s="11" t="e">
        <v>#N/A</v>
      </c>
      <c r="J154" s="11" t="e">
        <v>#N/A</v>
      </c>
      <c r="K154" s="11" t="e">
        <v>#N/A</v>
      </c>
      <c r="L154" s="11">
        <v>16</v>
      </c>
      <c r="M154" s="11" t="e">
        <v>#N/A</v>
      </c>
      <c r="N154" s="11" t="e">
        <v>#N/A</v>
      </c>
      <c r="O154" s="11" t="e">
        <v>#N/A</v>
      </c>
      <c r="P154" s="11" t="e">
        <v>#N/A</v>
      </c>
      <c r="Q154" s="11" t="e">
        <v>#N/A</v>
      </c>
      <c r="R154" s="11" t="e">
        <v>#N/A</v>
      </c>
      <c r="S154" s="11" t="e">
        <v>#N/A</v>
      </c>
      <c r="T154" s="11" t="e">
        <v>#N/A</v>
      </c>
      <c r="U154" s="11" t="e">
        <v>#N/A</v>
      </c>
      <c r="V154" s="11" t="e">
        <v>#N/A</v>
      </c>
      <c r="W154" s="11">
        <v>16</v>
      </c>
      <c r="X154" s="11">
        <v>-16</v>
      </c>
      <c r="Y154" s="11" t="e">
        <v>#N/A</v>
      </c>
      <c r="Z154" s="25" t="e">
        <v>#N/A</v>
      </c>
    </row>
    <row r="155" spans="1:26" ht="14.25" customHeight="1" x14ac:dyDescent="0.25">
      <c r="A155" s="11"/>
      <c r="B155" s="11" t="e">
        <v>#N/A</v>
      </c>
      <c r="C155" s="11" t="s">
        <v>148</v>
      </c>
      <c r="D155" s="11"/>
      <c r="E155" s="11"/>
      <c r="F155" s="11">
        <v>0</v>
      </c>
      <c r="G155" s="11" t="s">
        <v>918</v>
      </c>
      <c r="H155" s="11" t="e">
        <v>#N/A</v>
      </c>
      <c r="I155" s="11" t="e">
        <v>#N/A</v>
      </c>
      <c r="J155" s="11">
        <v>0</v>
      </c>
      <c r="K155" s="11" t="s">
        <v>886</v>
      </c>
      <c r="L155" s="11">
        <v>16</v>
      </c>
      <c r="M155" s="11" t="e">
        <v>#N/A</v>
      </c>
      <c r="N155" s="11" t="e">
        <v>#N/A</v>
      </c>
      <c r="O155" s="11" t="e">
        <v>#N/A</v>
      </c>
      <c r="P155" s="11" t="e">
        <v>#N/A</v>
      </c>
      <c r="Q155" s="11" t="e">
        <v>#N/A</v>
      </c>
      <c r="R155" s="11" t="e">
        <v>#N/A</v>
      </c>
      <c r="S155" s="11" t="e">
        <v>#N/A</v>
      </c>
      <c r="T155" s="11" t="e">
        <v>#N/A</v>
      </c>
      <c r="U155" s="11" t="e">
        <v>#N/A</v>
      </c>
      <c r="V155" s="11" t="e">
        <v>#N/A</v>
      </c>
      <c r="W155" s="11">
        <v>16</v>
      </c>
      <c r="X155" s="11">
        <v>-16</v>
      </c>
      <c r="Y155" s="11" t="e">
        <v>#N/A</v>
      </c>
      <c r="Z155" s="25" t="s">
        <v>886</v>
      </c>
    </row>
    <row r="156" spans="1:26" ht="14.25" customHeight="1" x14ac:dyDescent="0.25">
      <c r="A156" s="11"/>
      <c r="B156" s="11" t="e">
        <v>#N/A</v>
      </c>
      <c r="C156" s="11" t="s">
        <v>148</v>
      </c>
      <c r="D156" s="11"/>
      <c r="E156" s="11"/>
      <c r="F156" s="11" t="e">
        <v>#N/A</v>
      </c>
      <c r="G156" s="11" t="s">
        <v>919</v>
      </c>
      <c r="H156" s="11" t="e">
        <v>#N/A</v>
      </c>
      <c r="I156" s="11" t="e">
        <v>#N/A</v>
      </c>
      <c r="J156" s="11" t="e">
        <v>#N/A</v>
      </c>
      <c r="K156" s="11" t="e">
        <v>#N/A</v>
      </c>
      <c r="L156" s="11">
        <v>16</v>
      </c>
      <c r="M156" s="11" t="e">
        <v>#N/A</v>
      </c>
      <c r="N156" s="11" t="e">
        <v>#N/A</v>
      </c>
      <c r="O156" s="11" t="e">
        <v>#N/A</v>
      </c>
      <c r="P156" s="11" t="e">
        <v>#N/A</v>
      </c>
      <c r="Q156" s="11" t="e">
        <v>#N/A</v>
      </c>
      <c r="R156" s="11" t="e">
        <v>#N/A</v>
      </c>
      <c r="S156" s="11" t="e">
        <v>#N/A</v>
      </c>
      <c r="T156" s="11" t="e">
        <v>#N/A</v>
      </c>
      <c r="U156" s="11" t="e">
        <v>#N/A</v>
      </c>
      <c r="V156" s="11" t="e">
        <v>#N/A</v>
      </c>
      <c r="W156" s="11">
        <v>16</v>
      </c>
      <c r="X156" s="11">
        <v>-16</v>
      </c>
      <c r="Y156" s="11" t="e">
        <v>#N/A</v>
      </c>
      <c r="Z156" s="25" t="e">
        <v>#N/A</v>
      </c>
    </row>
    <row r="157" spans="1:26" ht="14.25" customHeight="1" x14ac:dyDescent="0.25">
      <c r="A157" s="11"/>
      <c r="B157" s="11">
        <v>15</v>
      </c>
      <c r="C157" s="11" t="s">
        <v>148</v>
      </c>
      <c r="D157" s="11"/>
      <c r="E157" s="11"/>
      <c r="F157" s="11">
        <v>0</v>
      </c>
      <c r="G157" s="11" t="s">
        <v>920</v>
      </c>
      <c r="H157" s="11" t="s">
        <v>72</v>
      </c>
      <c r="I157" s="11">
        <v>164</v>
      </c>
      <c r="J157" s="11">
        <v>0</v>
      </c>
      <c r="K157" s="11" t="s">
        <v>912</v>
      </c>
      <c r="L157" s="11">
        <v>22</v>
      </c>
      <c r="M157" s="11">
        <v>171</v>
      </c>
      <c r="N157" s="11">
        <v>0</v>
      </c>
      <c r="O157" s="11">
        <v>167</v>
      </c>
      <c r="P157" s="11">
        <v>4</v>
      </c>
      <c r="Q157" s="11">
        <v>159</v>
      </c>
      <c r="R157" s="11">
        <v>175</v>
      </c>
      <c r="S157" s="11">
        <v>168</v>
      </c>
      <c r="T157" s="11">
        <v>156</v>
      </c>
      <c r="U157" s="11">
        <v>203</v>
      </c>
      <c r="V157" s="11">
        <v>171</v>
      </c>
      <c r="W157" s="11">
        <v>22</v>
      </c>
      <c r="X157" s="11">
        <v>-22</v>
      </c>
      <c r="Y157" s="11">
        <v>20</v>
      </c>
      <c r="Z157" s="25">
        <v>65</v>
      </c>
    </row>
    <row r="158" spans="1:26" ht="14.25" customHeight="1" x14ac:dyDescent="0.25">
      <c r="A158" s="11"/>
      <c r="B158" s="11">
        <v>26</v>
      </c>
      <c r="C158" s="11" t="s">
        <v>148</v>
      </c>
      <c r="D158" s="11"/>
      <c r="E158" s="11"/>
      <c r="F158" s="11">
        <v>0</v>
      </c>
      <c r="G158" s="11" t="s">
        <v>493</v>
      </c>
      <c r="H158" s="11" t="s">
        <v>214</v>
      </c>
      <c r="I158" s="11">
        <v>246</v>
      </c>
      <c r="J158" s="43">
        <v>0</v>
      </c>
      <c r="K158" s="11" t="s">
        <v>886</v>
      </c>
      <c r="L158" s="11">
        <v>36</v>
      </c>
      <c r="M158" s="11">
        <v>284</v>
      </c>
      <c r="N158" s="11">
        <v>-16</v>
      </c>
      <c r="O158" s="11" t="s">
        <v>36</v>
      </c>
      <c r="P158" s="11" t="e">
        <v>#VALUE!</v>
      </c>
      <c r="Q158" s="11" t="s">
        <v>36</v>
      </c>
      <c r="R158" s="11">
        <v>291</v>
      </c>
      <c r="S158" s="11">
        <v>322</v>
      </c>
      <c r="T158" s="11">
        <v>277</v>
      </c>
      <c r="U158" s="11">
        <v>326</v>
      </c>
      <c r="V158" s="11">
        <v>300</v>
      </c>
      <c r="W158" s="11">
        <v>38</v>
      </c>
      <c r="X158" s="11">
        <v>-38</v>
      </c>
      <c r="Y158" s="11" t="e">
        <v>#VALUE!</v>
      </c>
      <c r="Z158" s="25" t="s">
        <v>886</v>
      </c>
    </row>
    <row r="159" spans="1:26" ht="14.25" customHeight="1" x14ac:dyDescent="0.25">
      <c r="A159" s="11"/>
      <c r="B159" s="11">
        <v>7</v>
      </c>
      <c r="C159" s="11" t="s">
        <v>148</v>
      </c>
      <c r="D159" s="11"/>
      <c r="E159" s="11"/>
      <c r="F159" s="11">
        <v>0</v>
      </c>
      <c r="G159" s="11" t="s">
        <v>364</v>
      </c>
      <c r="H159" s="11" t="s">
        <v>163</v>
      </c>
      <c r="I159" s="11">
        <v>99</v>
      </c>
      <c r="J159" s="11">
        <v>0</v>
      </c>
      <c r="K159" s="11" t="s">
        <v>893</v>
      </c>
      <c r="L159" s="11">
        <v>9</v>
      </c>
      <c r="M159" s="11">
        <v>71</v>
      </c>
      <c r="N159" s="11">
        <v>1</v>
      </c>
      <c r="O159" s="11">
        <v>54</v>
      </c>
      <c r="P159" s="11">
        <v>17</v>
      </c>
      <c r="Q159" s="11">
        <v>52</v>
      </c>
      <c r="R159" s="11">
        <v>85</v>
      </c>
      <c r="S159" s="11">
        <v>92</v>
      </c>
      <c r="T159" s="11">
        <v>78</v>
      </c>
      <c r="U159" s="11">
        <v>61</v>
      </c>
      <c r="V159" s="11">
        <v>70</v>
      </c>
      <c r="W159" s="11">
        <v>9</v>
      </c>
      <c r="X159" s="11">
        <v>-9</v>
      </c>
      <c r="Y159" s="11">
        <v>20</v>
      </c>
      <c r="Z159" s="25">
        <v>6</v>
      </c>
    </row>
    <row r="160" spans="1:26" ht="14.25" customHeight="1" x14ac:dyDescent="0.25">
      <c r="A160" s="11"/>
      <c r="B160" s="11" t="e">
        <v>#N/A</v>
      </c>
      <c r="C160" s="11" t="s">
        <v>148</v>
      </c>
      <c r="D160" s="11"/>
      <c r="E160" s="11"/>
      <c r="F160" s="11" t="e">
        <v>#N/A</v>
      </c>
      <c r="G160" s="11" t="s">
        <v>921</v>
      </c>
      <c r="H160" s="11" t="e">
        <v>#N/A</v>
      </c>
      <c r="I160" s="11" t="e">
        <v>#N/A</v>
      </c>
      <c r="J160" s="61" t="e">
        <v>#N/A</v>
      </c>
      <c r="K160" s="11" t="e">
        <v>#N/A</v>
      </c>
      <c r="L160" s="11">
        <v>16</v>
      </c>
      <c r="M160" s="11" t="e">
        <v>#N/A</v>
      </c>
      <c r="N160" s="11" t="e">
        <v>#N/A</v>
      </c>
      <c r="O160" s="11" t="e">
        <v>#N/A</v>
      </c>
      <c r="P160" s="11" t="e">
        <v>#N/A</v>
      </c>
      <c r="Q160" s="11" t="e">
        <v>#N/A</v>
      </c>
      <c r="R160" s="11" t="e">
        <v>#N/A</v>
      </c>
      <c r="S160" s="11" t="e">
        <v>#N/A</v>
      </c>
      <c r="T160" s="11" t="e">
        <v>#N/A</v>
      </c>
      <c r="U160" s="11" t="e">
        <v>#N/A</v>
      </c>
      <c r="V160" s="11" t="e">
        <v>#N/A</v>
      </c>
      <c r="W160" s="11">
        <v>16</v>
      </c>
      <c r="X160" s="11">
        <v>-16</v>
      </c>
      <c r="Y160" s="11" t="e">
        <v>#N/A</v>
      </c>
      <c r="Z160" s="25" t="e">
        <v>#N/A</v>
      </c>
    </row>
    <row r="161" spans="1:26" ht="14.25" customHeight="1" x14ac:dyDescent="0.25">
      <c r="A161" s="11"/>
      <c r="B161" s="11">
        <v>23</v>
      </c>
      <c r="C161" s="11" t="s">
        <v>148</v>
      </c>
      <c r="D161" s="11"/>
      <c r="E161" s="11"/>
      <c r="F161" s="11">
        <v>0</v>
      </c>
      <c r="G161" s="11" t="s">
        <v>495</v>
      </c>
      <c r="H161" s="11" t="s">
        <v>60</v>
      </c>
      <c r="I161" s="11">
        <v>224</v>
      </c>
      <c r="J161" s="11">
        <v>0</v>
      </c>
      <c r="K161" s="11" t="s">
        <v>886</v>
      </c>
      <c r="L161" s="11">
        <v>32</v>
      </c>
      <c r="M161" s="11">
        <v>251</v>
      </c>
      <c r="N161" s="11">
        <v>-14</v>
      </c>
      <c r="O161" s="11" t="s">
        <v>36</v>
      </c>
      <c r="P161" s="11" t="e">
        <v>#VALUE!</v>
      </c>
      <c r="Q161" s="11" t="s">
        <v>36</v>
      </c>
      <c r="R161" s="11">
        <v>307</v>
      </c>
      <c r="S161" s="11">
        <v>252</v>
      </c>
      <c r="T161" s="11">
        <v>252</v>
      </c>
      <c r="U161" s="11" t="s">
        <v>36</v>
      </c>
      <c r="V161" s="11">
        <v>265</v>
      </c>
      <c r="W161" s="11">
        <v>34</v>
      </c>
      <c r="X161" s="11">
        <v>-34</v>
      </c>
      <c r="Y161" s="11">
        <v>-18</v>
      </c>
      <c r="Z161" s="25" t="s">
        <v>886</v>
      </c>
    </row>
    <row r="162" spans="1:26" ht="14.25" customHeight="1" x14ac:dyDescent="0.25">
      <c r="A162" s="11"/>
      <c r="B162" s="11">
        <v>18</v>
      </c>
      <c r="C162" s="11" t="s">
        <v>148</v>
      </c>
      <c r="D162" s="11"/>
      <c r="E162" s="11"/>
      <c r="F162" s="11">
        <v>0</v>
      </c>
      <c r="G162" s="11" t="s">
        <v>613</v>
      </c>
      <c r="H162" s="11" t="s">
        <v>81</v>
      </c>
      <c r="I162" s="11">
        <v>230</v>
      </c>
      <c r="J162" s="11" t="s">
        <v>148</v>
      </c>
      <c r="K162" s="11" t="s">
        <v>913</v>
      </c>
      <c r="L162" s="11">
        <v>22</v>
      </c>
      <c r="M162" s="11">
        <v>172</v>
      </c>
      <c r="N162" s="11">
        <v>-26</v>
      </c>
      <c r="O162" s="11" t="s">
        <v>36</v>
      </c>
      <c r="P162" s="11" t="e">
        <v>#VALUE!</v>
      </c>
      <c r="Q162" s="11">
        <v>194</v>
      </c>
      <c r="R162" s="11">
        <v>226</v>
      </c>
      <c r="S162" s="11">
        <v>185</v>
      </c>
      <c r="T162" s="11">
        <v>175</v>
      </c>
      <c r="U162" s="11">
        <v>241</v>
      </c>
      <c r="V162" s="11">
        <v>198</v>
      </c>
      <c r="W162" s="11">
        <v>25</v>
      </c>
      <c r="X162" s="11">
        <v>-25</v>
      </c>
      <c r="Y162" s="11">
        <v>-9</v>
      </c>
      <c r="Z162" s="25">
        <v>54</v>
      </c>
    </row>
    <row r="163" spans="1:26" ht="14.25" customHeight="1" x14ac:dyDescent="0.25">
      <c r="A163" s="11"/>
      <c r="B163" s="11">
        <v>17</v>
      </c>
      <c r="C163" s="11" t="s">
        <v>148</v>
      </c>
      <c r="D163" s="11"/>
      <c r="E163" s="11"/>
      <c r="F163" s="11">
        <v>0</v>
      </c>
      <c r="G163" s="11" t="s">
        <v>551</v>
      </c>
      <c r="H163" s="11" t="s">
        <v>85</v>
      </c>
      <c r="I163" s="11" t="s">
        <v>36</v>
      </c>
      <c r="J163" s="11">
        <v>0</v>
      </c>
      <c r="K163" s="11" t="s">
        <v>886</v>
      </c>
      <c r="L163" s="11">
        <v>24</v>
      </c>
      <c r="M163" s="11">
        <v>191</v>
      </c>
      <c r="N163" s="11">
        <v>-4</v>
      </c>
      <c r="O163" s="11">
        <v>179</v>
      </c>
      <c r="P163" s="11">
        <v>12</v>
      </c>
      <c r="Q163" s="11">
        <v>187</v>
      </c>
      <c r="R163" s="11">
        <v>235</v>
      </c>
      <c r="S163" s="11">
        <v>239</v>
      </c>
      <c r="T163" s="11">
        <v>202</v>
      </c>
      <c r="U163" s="11">
        <v>137</v>
      </c>
      <c r="V163" s="11">
        <v>195</v>
      </c>
      <c r="W163" s="11">
        <v>25</v>
      </c>
      <c r="X163" s="11">
        <v>-25</v>
      </c>
      <c r="Y163" s="11">
        <v>-22</v>
      </c>
      <c r="Z163" s="25" t="s">
        <v>886</v>
      </c>
    </row>
    <row r="164" spans="1:26" ht="14.25" customHeight="1" x14ac:dyDescent="0.25">
      <c r="A164" s="11"/>
      <c r="B164" s="11">
        <v>11</v>
      </c>
      <c r="C164" s="11" t="s">
        <v>148</v>
      </c>
      <c r="D164" s="11"/>
      <c r="E164" s="11"/>
      <c r="F164" s="11">
        <v>0</v>
      </c>
      <c r="G164" s="11" t="s">
        <v>290</v>
      </c>
      <c r="H164" s="11" t="s">
        <v>60</v>
      </c>
      <c r="I164" s="11">
        <v>96</v>
      </c>
      <c r="J164" s="11" t="s">
        <v>119</v>
      </c>
      <c r="K164" s="11" t="s">
        <v>873</v>
      </c>
      <c r="L164" s="11">
        <v>14</v>
      </c>
      <c r="M164" s="11">
        <v>106</v>
      </c>
      <c r="N164" s="11">
        <v>-15</v>
      </c>
      <c r="O164" s="11">
        <v>129</v>
      </c>
      <c r="P164" s="11">
        <v>-23</v>
      </c>
      <c r="Q164" s="11">
        <v>135</v>
      </c>
      <c r="R164" s="11">
        <v>128</v>
      </c>
      <c r="S164" s="11">
        <v>112</v>
      </c>
      <c r="T164" s="11">
        <v>96</v>
      </c>
      <c r="U164" s="11">
        <v>141</v>
      </c>
      <c r="V164" s="11">
        <v>121</v>
      </c>
      <c r="W164" s="11">
        <v>16</v>
      </c>
      <c r="X164" s="11">
        <v>-16</v>
      </c>
      <c r="Y164" s="11">
        <v>-14</v>
      </c>
      <c r="Z164" s="25">
        <v>46</v>
      </c>
    </row>
    <row r="165" spans="1:26" ht="14.25" customHeight="1" x14ac:dyDescent="0.25">
      <c r="A165" s="11"/>
      <c r="B165" s="11">
        <v>12</v>
      </c>
      <c r="C165" s="11" t="s">
        <v>148</v>
      </c>
      <c r="D165" s="11"/>
      <c r="E165" s="11"/>
      <c r="F165" s="11">
        <v>0</v>
      </c>
      <c r="G165" s="11" t="s">
        <v>621</v>
      </c>
      <c r="H165" s="11" t="s">
        <v>39</v>
      </c>
      <c r="I165" s="11">
        <v>118</v>
      </c>
      <c r="J165" s="11">
        <v>0</v>
      </c>
      <c r="K165" s="11" t="s">
        <v>875</v>
      </c>
      <c r="L165" s="11">
        <v>16</v>
      </c>
      <c r="M165" s="11">
        <v>120</v>
      </c>
      <c r="N165" s="11">
        <v>-15</v>
      </c>
      <c r="O165" s="11">
        <v>121</v>
      </c>
      <c r="P165" s="11">
        <v>-1</v>
      </c>
      <c r="Q165" s="11">
        <v>139</v>
      </c>
      <c r="R165" s="11">
        <v>132</v>
      </c>
      <c r="S165" s="11">
        <v>137</v>
      </c>
      <c r="T165" s="11">
        <v>119</v>
      </c>
      <c r="U165" s="11">
        <v>183</v>
      </c>
      <c r="V165" s="11">
        <v>135</v>
      </c>
      <c r="W165" s="11">
        <v>17</v>
      </c>
      <c r="X165" s="11">
        <v>-17</v>
      </c>
      <c r="Y165" s="11">
        <v>-5</v>
      </c>
      <c r="Z165" s="25">
        <v>56</v>
      </c>
    </row>
    <row r="166" spans="1:26" ht="14.25" customHeight="1" x14ac:dyDescent="0.25">
      <c r="A166" s="11"/>
      <c r="B166" s="11" t="e">
        <v>#N/A</v>
      </c>
      <c r="C166" s="11" t="s">
        <v>148</v>
      </c>
      <c r="D166" s="11"/>
      <c r="E166" s="11"/>
      <c r="F166" s="11" t="e">
        <v>#N/A</v>
      </c>
      <c r="G166" s="11" t="s">
        <v>922</v>
      </c>
      <c r="H166" s="11" t="e">
        <v>#N/A</v>
      </c>
      <c r="I166" s="11" t="e">
        <v>#N/A</v>
      </c>
      <c r="J166" s="11" t="e">
        <v>#N/A</v>
      </c>
      <c r="K166" s="11" t="e">
        <v>#N/A</v>
      </c>
      <c r="L166" s="11">
        <v>16</v>
      </c>
      <c r="M166" s="11" t="e">
        <v>#N/A</v>
      </c>
      <c r="N166" s="11" t="e">
        <v>#N/A</v>
      </c>
      <c r="O166" s="11" t="e">
        <v>#N/A</v>
      </c>
      <c r="P166" s="11" t="e">
        <v>#N/A</v>
      </c>
      <c r="Q166" s="11" t="e">
        <v>#N/A</v>
      </c>
      <c r="R166" s="11" t="e">
        <v>#N/A</v>
      </c>
      <c r="S166" s="11" t="e">
        <v>#N/A</v>
      </c>
      <c r="T166" s="11" t="e">
        <v>#N/A</v>
      </c>
      <c r="U166" s="11" t="e">
        <v>#N/A</v>
      </c>
      <c r="V166" s="11" t="e">
        <v>#N/A</v>
      </c>
      <c r="W166" s="11">
        <v>16</v>
      </c>
      <c r="X166" s="11">
        <v>-16</v>
      </c>
      <c r="Y166" s="11" t="e">
        <v>#N/A</v>
      </c>
      <c r="Z166" s="25" t="e">
        <v>#N/A</v>
      </c>
    </row>
    <row r="167" spans="1:26" ht="14.25" customHeight="1" x14ac:dyDescent="0.25">
      <c r="A167" s="11"/>
      <c r="B167" s="11">
        <v>14</v>
      </c>
      <c r="C167" s="11" t="s">
        <v>148</v>
      </c>
      <c r="D167" s="11"/>
      <c r="E167" s="11"/>
      <c r="F167" s="11">
        <v>0</v>
      </c>
      <c r="G167" s="11" t="s">
        <v>489</v>
      </c>
      <c r="H167" s="11" t="s">
        <v>233</v>
      </c>
      <c r="I167" s="11" t="s">
        <v>36</v>
      </c>
      <c r="J167" s="11">
        <v>0</v>
      </c>
      <c r="K167" s="11" t="s">
        <v>886</v>
      </c>
      <c r="L167" s="11">
        <v>20</v>
      </c>
      <c r="M167" s="11">
        <v>154</v>
      </c>
      <c r="N167" s="11">
        <v>-3</v>
      </c>
      <c r="O167" s="11">
        <v>132</v>
      </c>
      <c r="P167" s="11">
        <v>22</v>
      </c>
      <c r="Q167" s="11">
        <v>90</v>
      </c>
      <c r="R167" s="11">
        <v>213</v>
      </c>
      <c r="S167" s="11">
        <v>215</v>
      </c>
      <c r="T167" s="11">
        <v>167</v>
      </c>
      <c r="U167" s="11">
        <v>131</v>
      </c>
      <c r="V167" s="11">
        <v>157</v>
      </c>
      <c r="W167" s="11">
        <v>20</v>
      </c>
      <c r="X167" s="11">
        <v>-20</v>
      </c>
      <c r="Y167" s="11">
        <v>9</v>
      </c>
      <c r="Z167" s="25" t="s">
        <v>886</v>
      </c>
    </row>
    <row r="168" spans="1:26" ht="14.25" customHeight="1" x14ac:dyDescent="0.25">
      <c r="A168" s="11"/>
      <c r="B168" s="11">
        <v>18</v>
      </c>
      <c r="C168" s="11" t="s">
        <v>148</v>
      </c>
      <c r="D168" s="11"/>
      <c r="E168" s="11"/>
      <c r="F168" s="11">
        <v>0</v>
      </c>
      <c r="G168" s="11" t="s">
        <v>588</v>
      </c>
      <c r="H168" s="11" t="s">
        <v>94</v>
      </c>
      <c r="I168" s="11">
        <v>163</v>
      </c>
      <c r="J168" s="11">
        <v>0</v>
      </c>
      <c r="K168" s="11" t="s">
        <v>903</v>
      </c>
      <c r="L168" s="11">
        <v>29</v>
      </c>
      <c r="M168" s="11">
        <v>228</v>
      </c>
      <c r="N168" s="11">
        <v>22</v>
      </c>
      <c r="O168" s="11">
        <v>176</v>
      </c>
      <c r="P168" s="11">
        <v>52</v>
      </c>
      <c r="Q168" s="11">
        <v>207</v>
      </c>
      <c r="R168" s="11">
        <v>238</v>
      </c>
      <c r="S168" s="11">
        <v>198</v>
      </c>
      <c r="T168" s="11">
        <v>191</v>
      </c>
      <c r="U168" s="11">
        <v>205</v>
      </c>
      <c r="V168" s="11">
        <v>206</v>
      </c>
      <c r="W168" s="11">
        <v>26</v>
      </c>
      <c r="X168" s="11">
        <v>-26</v>
      </c>
      <c r="Y168" s="11">
        <v>-61</v>
      </c>
      <c r="Z168" s="25" t="s">
        <v>886</v>
      </c>
    </row>
    <row r="169" spans="1:26" ht="14.25" customHeight="1" x14ac:dyDescent="0.25">
      <c r="A169" s="11"/>
      <c r="B169" s="11">
        <v>25</v>
      </c>
      <c r="C169" s="11" t="s">
        <v>148</v>
      </c>
      <c r="D169" s="11"/>
      <c r="E169" s="11"/>
      <c r="F169" s="11">
        <v>0</v>
      </c>
      <c r="G169" s="11" t="s">
        <v>923</v>
      </c>
      <c r="H169" s="11" t="s">
        <v>88</v>
      </c>
      <c r="I169" s="11">
        <v>270</v>
      </c>
      <c r="J169" s="11">
        <v>0</v>
      </c>
      <c r="K169" s="11" t="s">
        <v>886</v>
      </c>
      <c r="L169" s="11">
        <v>39</v>
      </c>
      <c r="M169" s="11">
        <v>311</v>
      </c>
      <c r="N169" s="11">
        <v>14</v>
      </c>
      <c r="O169" s="11" t="s">
        <v>36</v>
      </c>
      <c r="P169" s="11" t="e">
        <v>#VALUE!</v>
      </c>
      <c r="Q169" s="11">
        <v>326</v>
      </c>
      <c r="R169" s="11" t="s">
        <v>36</v>
      </c>
      <c r="S169" s="11">
        <v>291</v>
      </c>
      <c r="T169" s="11" t="s">
        <v>36</v>
      </c>
      <c r="U169" s="11">
        <v>262</v>
      </c>
      <c r="V169" s="11">
        <v>297</v>
      </c>
      <c r="W169" s="11">
        <v>38</v>
      </c>
      <c r="X169" s="11">
        <v>-38</v>
      </c>
      <c r="Y169" s="11" t="e">
        <v>#VALUE!</v>
      </c>
      <c r="Z169" s="25" t="s">
        <v>886</v>
      </c>
    </row>
    <row r="170" spans="1:26" ht="14.25" customHeight="1" x14ac:dyDescent="0.25">
      <c r="A170" s="11"/>
      <c r="B170" s="11" t="e">
        <v>#N/A</v>
      </c>
      <c r="C170" s="11" t="s">
        <v>148</v>
      </c>
      <c r="D170" s="11"/>
      <c r="E170" s="11"/>
      <c r="F170" s="11" t="e">
        <v>#N/A</v>
      </c>
      <c r="G170" s="11" t="s">
        <v>924</v>
      </c>
      <c r="H170" s="11" t="e">
        <v>#N/A</v>
      </c>
      <c r="I170" s="11" t="e">
        <v>#N/A</v>
      </c>
      <c r="J170" s="11" t="e">
        <v>#N/A</v>
      </c>
      <c r="K170" s="11" t="e">
        <v>#N/A</v>
      </c>
      <c r="L170" s="11">
        <v>16</v>
      </c>
      <c r="M170" s="11" t="e">
        <v>#N/A</v>
      </c>
      <c r="N170" s="11" t="e">
        <v>#N/A</v>
      </c>
      <c r="O170" s="11" t="e">
        <v>#N/A</v>
      </c>
      <c r="P170" s="11" t="e">
        <v>#N/A</v>
      </c>
      <c r="Q170" s="11" t="e">
        <v>#N/A</v>
      </c>
      <c r="R170" s="11" t="e">
        <v>#N/A</v>
      </c>
      <c r="S170" s="11" t="e">
        <v>#N/A</v>
      </c>
      <c r="T170" s="11" t="e">
        <v>#N/A</v>
      </c>
      <c r="U170" s="11" t="e">
        <v>#N/A</v>
      </c>
      <c r="V170" s="11" t="e">
        <v>#N/A</v>
      </c>
      <c r="W170" s="11">
        <v>16</v>
      </c>
      <c r="X170" s="11">
        <v>-16</v>
      </c>
      <c r="Y170" s="11" t="e">
        <v>#N/A</v>
      </c>
      <c r="Z170" s="25" t="e">
        <v>#N/A</v>
      </c>
    </row>
    <row r="171" spans="1:26" ht="14.25" customHeight="1" x14ac:dyDescent="0.25">
      <c r="A171" s="11"/>
      <c r="B171" s="11" t="e">
        <v>#N/A</v>
      </c>
      <c r="C171" s="11" t="s">
        <v>148</v>
      </c>
      <c r="D171" s="11"/>
      <c r="E171" s="11"/>
      <c r="F171" s="11" t="e">
        <v>#N/A</v>
      </c>
      <c r="G171" s="11" t="s">
        <v>677</v>
      </c>
      <c r="H171" s="11" t="e">
        <v>#N/A</v>
      </c>
      <c r="I171" s="11" t="e">
        <v>#N/A</v>
      </c>
      <c r="J171" s="11" t="e">
        <v>#N/A</v>
      </c>
      <c r="K171" s="11" t="e">
        <v>#N/A</v>
      </c>
      <c r="L171" s="11">
        <v>16</v>
      </c>
      <c r="M171" s="11" t="e">
        <v>#N/A</v>
      </c>
      <c r="N171" s="11" t="e">
        <v>#N/A</v>
      </c>
      <c r="O171" s="11" t="e">
        <v>#N/A</v>
      </c>
      <c r="P171" s="11" t="e">
        <v>#N/A</v>
      </c>
      <c r="Q171" s="11" t="e">
        <v>#N/A</v>
      </c>
      <c r="R171" s="11" t="e">
        <v>#N/A</v>
      </c>
      <c r="S171" s="11" t="e">
        <v>#N/A</v>
      </c>
      <c r="T171" s="11" t="e">
        <v>#N/A</v>
      </c>
      <c r="U171" s="11" t="e">
        <v>#N/A</v>
      </c>
      <c r="V171" s="11" t="e">
        <v>#N/A</v>
      </c>
      <c r="W171" s="11">
        <v>16</v>
      </c>
      <c r="X171" s="11">
        <v>-16</v>
      </c>
      <c r="Y171" s="11" t="e">
        <v>#N/A</v>
      </c>
      <c r="Z171" s="25" t="e">
        <v>#N/A</v>
      </c>
    </row>
    <row r="172" spans="1:26" ht="14.25" customHeight="1" x14ac:dyDescent="0.25">
      <c r="A172" s="11"/>
      <c r="B172" s="11">
        <v>15</v>
      </c>
      <c r="C172" s="11" t="s">
        <v>148</v>
      </c>
      <c r="D172" s="11"/>
      <c r="E172" s="11"/>
      <c r="F172" s="11">
        <v>0</v>
      </c>
      <c r="G172" s="11" t="s">
        <v>602</v>
      </c>
      <c r="H172" s="11" t="s">
        <v>66</v>
      </c>
      <c r="I172" s="11" t="s">
        <v>36</v>
      </c>
      <c r="J172" s="11">
        <v>0</v>
      </c>
      <c r="K172" s="11" t="s">
        <v>886</v>
      </c>
      <c r="L172" s="11">
        <v>29</v>
      </c>
      <c r="M172" s="11">
        <v>231</v>
      </c>
      <c r="N172" s="11">
        <v>56</v>
      </c>
      <c r="O172" s="11">
        <v>128</v>
      </c>
      <c r="P172" s="11">
        <v>103</v>
      </c>
      <c r="Q172" s="11">
        <v>153</v>
      </c>
      <c r="R172" s="11">
        <v>218</v>
      </c>
      <c r="S172" s="11">
        <v>224</v>
      </c>
      <c r="T172" s="11">
        <v>179</v>
      </c>
      <c r="U172" s="11">
        <v>92</v>
      </c>
      <c r="V172" s="11">
        <v>175</v>
      </c>
      <c r="W172" s="11">
        <v>22</v>
      </c>
      <c r="X172" s="11">
        <v>-22</v>
      </c>
      <c r="Y172" s="11">
        <v>15</v>
      </c>
      <c r="Z172" s="25" t="s">
        <v>886</v>
      </c>
    </row>
    <row r="173" spans="1:26" ht="14.25" customHeight="1" x14ac:dyDescent="0.25">
      <c r="A173" s="11"/>
      <c r="B173" s="11">
        <v>17</v>
      </c>
      <c r="C173" s="11" t="s">
        <v>148</v>
      </c>
      <c r="D173" s="11"/>
      <c r="E173" s="11"/>
      <c r="F173" s="11">
        <v>0</v>
      </c>
      <c r="G173" s="11" t="s">
        <v>326</v>
      </c>
      <c r="H173" s="11" t="s">
        <v>91</v>
      </c>
      <c r="I173" s="11">
        <v>186</v>
      </c>
      <c r="J173" s="11">
        <v>0</v>
      </c>
      <c r="K173" s="11" t="s">
        <v>886</v>
      </c>
      <c r="L173" s="11">
        <v>22</v>
      </c>
      <c r="M173" s="11">
        <v>175</v>
      </c>
      <c r="N173" s="11">
        <v>-14</v>
      </c>
      <c r="O173" s="11">
        <v>187</v>
      </c>
      <c r="P173" s="11">
        <v>-12</v>
      </c>
      <c r="Q173" s="11">
        <v>203</v>
      </c>
      <c r="R173" s="11">
        <v>261</v>
      </c>
      <c r="S173" s="11">
        <v>157</v>
      </c>
      <c r="T173" s="11">
        <v>182</v>
      </c>
      <c r="U173" s="11">
        <v>160</v>
      </c>
      <c r="V173" s="11">
        <v>189</v>
      </c>
      <c r="W173" s="11">
        <v>24</v>
      </c>
      <c r="X173" s="11">
        <v>-24</v>
      </c>
      <c r="Y173" s="11">
        <v>53</v>
      </c>
      <c r="Z173" s="25" t="s">
        <v>886</v>
      </c>
    </row>
    <row r="174" spans="1:26" ht="14.25" customHeight="1" x14ac:dyDescent="0.25">
      <c r="A174" s="11"/>
      <c r="B174" s="11" t="e">
        <v>#N/A</v>
      </c>
      <c r="C174" s="11" t="s">
        <v>148</v>
      </c>
      <c r="D174" s="11"/>
      <c r="E174" s="11"/>
      <c r="F174" s="11" t="e">
        <v>#N/A</v>
      </c>
      <c r="G174" s="11" t="s">
        <v>925</v>
      </c>
      <c r="H174" s="11" t="e">
        <v>#N/A</v>
      </c>
      <c r="I174" s="11" t="e">
        <v>#N/A</v>
      </c>
      <c r="J174" s="11" t="e">
        <v>#N/A</v>
      </c>
      <c r="K174" s="11" t="e">
        <v>#N/A</v>
      </c>
      <c r="L174" s="11">
        <v>16</v>
      </c>
      <c r="M174" s="11" t="e">
        <v>#N/A</v>
      </c>
      <c r="N174" s="11" t="e">
        <v>#N/A</v>
      </c>
      <c r="O174" s="11" t="e">
        <v>#N/A</v>
      </c>
      <c r="P174" s="11" t="e">
        <v>#N/A</v>
      </c>
      <c r="Q174" s="11"/>
      <c r="R174" s="11"/>
      <c r="S174" s="11"/>
      <c r="T174" s="11"/>
      <c r="U174" s="11"/>
      <c r="V174" s="11" t="e">
        <v>#N/A</v>
      </c>
      <c r="W174" s="11">
        <v>16</v>
      </c>
      <c r="X174" s="11">
        <v>-16</v>
      </c>
      <c r="Y174" s="11" t="e">
        <v>#N/A</v>
      </c>
      <c r="Z174" s="25" t="e">
        <v>#N/A</v>
      </c>
    </row>
    <row r="175" spans="1:26" ht="14.25" customHeight="1" x14ac:dyDescent="0.25">
      <c r="A175" s="11"/>
      <c r="B175" s="11">
        <v>18</v>
      </c>
      <c r="C175" s="11" t="s">
        <v>148</v>
      </c>
      <c r="D175" s="11"/>
      <c r="E175" s="11"/>
      <c r="F175" s="11">
        <v>0</v>
      </c>
      <c r="G175" s="11" t="s">
        <v>532</v>
      </c>
      <c r="H175" s="11" t="s">
        <v>163</v>
      </c>
      <c r="I175" s="11">
        <v>190</v>
      </c>
      <c r="J175" s="11">
        <v>0</v>
      </c>
      <c r="K175" s="11" t="s">
        <v>886</v>
      </c>
      <c r="L175" s="11">
        <v>29</v>
      </c>
      <c r="M175" s="11">
        <v>227</v>
      </c>
      <c r="N175" s="11">
        <v>17</v>
      </c>
      <c r="O175" s="11" t="s">
        <v>36</v>
      </c>
      <c r="P175" s="11" t="e">
        <v>#VALUE!</v>
      </c>
      <c r="Q175" s="11">
        <v>200</v>
      </c>
      <c r="R175" s="11">
        <v>242</v>
      </c>
      <c r="S175" s="11">
        <v>167</v>
      </c>
      <c r="T175" s="11">
        <v>215</v>
      </c>
      <c r="U175" s="11">
        <v>211</v>
      </c>
      <c r="V175" s="11">
        <v>210</v>
      </c>
      <c r="W175" s="11">
        <v>27</v>
      </c>
      <c r="X175" s="11">
        <v>-27</v>
      </c>
      <c r="Y175" s="11" t="e">
        <v>#VALUE!</v>
      </c>
      <c r="Z175" s="25" t="s">
        <v>886</v>
      </c>
    </row>
    <row r="176" spans="1:26" ht="14.25" customHeight="1" x14ac:dyDescent="0.25">
      <c r="A176" s="11"/>
      <c r="B176" s="11" t="e">
        <v>#N/A</v>
      </c>
      <c r="C176" s="11" t="s">
        <v>148</v>
      </c>
      <c r="D176" s="11"/>
      <c r="E176" s="11"/>
      <c r="F176" s="11" t="e">
        <v>#N/A</v>
      </c>
      <c r="G176" s="11" t="s">
        <v>926</v>
      </c>
      <c r="H176" s="11" t="e">
        <v>#N/A</v>
      </c>
      <c r="I176" s="11" t="e">
        <v>#N/A</v>
      </c>
      <c r="J176" s="11" t="e">
        <v>#N/A</v>
      </c>
      <c r="K176" s="11" t="e">
        <v>#N/A</v>
      </c>
      <c r="L176" s="11">
        <v>16</v>
      </c>
      <c r="M176" s="11" t="e">
        <v>#N/A</v>
      </c>
      <c r="N176" s="11" t="e">
        <v>#N/A</v>
      </c>
      <c r="O176" s="11" t="e">
        <v>#N/A</v>
      </c>
      <c r="P176" s="11" t="e">
        <v>#N/A</v>
      </c>
      <c r="Q176" s="11" t="e">
        <v>#N/A</v>
      </c>
      <c r="R176" s="11" t="e">
        <v>#N/A</v>
      </c>
      <c r="S176" s="11" t="e">
        <v>#N/A</v>
      </c>
      <c r="T176" s="11" t="e">
        <v>#N/A</v>
      </c>
      <c r="U176" s="11" t="e">
        <v>#N/A</v>
      </c>
      <c r="V176" s="11" t="e">
        <v>#N/A</v>
      </c>
      <c r="W176" s="11">
        <v>16</v>
      </c>
      <c r="X176" s="11">
        <v>-16</v>
      </c>
      <c r="Y176" s="11" t="e">
        <v>#N/A</v>
      </c>
      <c r="Z176" s="25" t="e">
        <v>#N/A</v>
      </c>
    </row>
    <row r="177" spans="1:26" ht="14.25" customHeight="1" x14ac:dyDescent="0.25">
      <c r="A177" s="11"/>
      <c r="B177" s="11">
        <v>23</v>
      </c>
      <c r="C177" s="11" t="s">
        <v>148</v>
      </c>
      <c r="D177" s="11"/>
      <c r="E177" s="11"/>
      <c r="F177" s="11">
        <v>0</v>
      </c>
      <c r="G177" s="11" t="s">
        <v>268</v>
      </c>
      <c r="H177" s="11" t="s">
        <v>123</v>
      </c>
      <c r="I177" s="11">
        <v>219</v>
      </c>
      <c r="J177" s="11">
        <v>0</v>
      </c>
      <c r="K177" s="11" t="s">
        <v>886</v>
      </c>
      <c r="L177" s="11">
        <v>32</v>
      </c>
      <c r="M177" s="11">
        <v>252</v>
      </c>
      <c r="N177" s="11">
        <v>-12</v>
      </c>
      <c r="O177" s="11" t="s">
        <v>36</v>
      </c>
      <c r="P177" s="11" t="e">
        <v>#VALUE!</v>
      </c>
      <c r="Q177" s="11" t="s">
        <v>36</v>
      </c>
      <c r="R177" s="11">
        <v>304</v>
      </c>
      <c r="S177" s="11">
        <v>218</v>
      </c>
      <c r="T177" s="11">
        <v>213</v>
      </c>
      <c r="U177" s="11">
        <v>335</v>
      </c>
      <c r="V177" s="11">
        <v>264</v>
      </c>
      <c r="W177" s="11">
        <v>34</v>
      </c>
      <c r="X177" s="11">
        <v>-34</v>
      </c>
      <c r="Y177" s="11">
        <v>-23</v>
      </c>
      <c r="Z177" s="25" t="s">
        <v>886</v>
      </c>
    </row>
    <row r="178" spans="1:26" ht="14.25" customHeight="1" x14ac:dyDescent="0.25">
      <c r="A178" s="11"/>
      <c r="B178" s="11">
        <v>15</v>
      </c>
      <c r="C178" s="11" t="s">
        <v>148</v>
      </c>
      <c r="D178" s="11"/>
      <c r="E178" s="11"/>
      <c r="F178" s="11">
        <v>0</v>
      </c>
      <c r="G178" s="11" t="s">
        <v>397</v>
      </c>
      <c r="H178" s="11" t="s">
        <v>104</v>
      </c>
      <c r="I178" s="11">
        <v>160</v>
      </c>
      <c r="J178" s="11">
        <v>0</v>
      </c>
      <c r="K178" s="11" t="s">
        <v>886</v>
      </c>
      <c r="L178" s="11">
        <v>22</v>
      </c>
      <c r="M178" s="11">
        <v>169</v>
      </c>
      <c r="N178" s="11">
        <v>0</v>
      </c>
      <c r="O178" s="11">
        <v>155</v>
      </c>
      <c r="P178" s="11">
        <v>14</v>
      </c>
      <c r="Q178" s="11">
        <v>155</v>
      </c>
      <c r="R178" s="11">
        <v>225</v>
      </c>
      <c r="S178" s="11">
        <v>140</v>
      </c>
      <c r="T178" s="11">
        <v>168</v>
      </c>
      <c r="U178" s="11">
        <v>173</v>
      </c>
      <c r="V178" s="11">
        <v>169</v>
      </c>
      <c r="W178" s="11">
        <v>22</v>
      </c>
      <c r="X178" s="11">
        <v>-22</v>
      </c>
      <c r="Y178" s="11">
        <v>-35</v>
      </c>
      <c r="Z178" s="25" t="s">
        <v>886</v>
      </c>
    </row>
    <row r="179" spans="1:26" ht="14.25" customHeight="1" x14ac:dyDescent="0.25">
      <c r="A179" s="11"/>
      <c r="B179" s="11">
        <v>23</v>
      </c>
      <c r="C179" s="11" t="s">
        <v>148</v>
      </c>
      <c r="D179" s="11"/>
      <c r="E179" s="11"/>
      <c r="F179" s="11">
        <v>0</v>
      </c>
      <c r="G179" s="11" t="s">
        <v>342</v>
      </c>
      <c r="H179" s="11" t="s">
        <v>214</v>
      </c>
      <c r="I179" s="11">
        <v>280</v>
      </c>
      <c r="J179" s="59">
        <v>0</v>
      </c>
      <c r="K179" s="11" t="s">
        <v>913</v>
      </c>
      <c r="L179" s="11">
        <v>31</v>
      </c>
      <c r="M179" s="11">
        <v>247</v>
      </c>
      <c r="N179" s="11">
        <v>-22</v>
      </c>
      <c r="O179" s="11" t="s">
        <v>36</v>
      </c>
      <c r="P179" s="11" t="e">
        <v>#VALUE!</v>
      </c>
      <c r="Q179" s="11" t="s">
        <v>36</v>
      </c>
      <c r="R179" s="11">
        <v>296</v>
      </c>
      <c r="S179" s="11">
        <v>255</v>
      </c>
      <c r="T179" s="11">
        <v>235</v>
      </c>
      <c r="U179" s="11">
        <v>315</v>
      </c>
      <c r="V179" s="11">
        <v>269</v>
      </c>
      <c r="W179" s="11">
        <v>34</v>
      </c>
      <c r="X179" s="11">
        <v>-34</v>
      </c>
      <c r="Y179" s="11">
        <v>-62</v>
      </c>
      <c r="Z179" s="25">
        <v>53</v>
      </c>
    </row>
    <row r="180" spans="1:26" ht="14.25" customHeight="1" x14ac:dyDescent="0.25">
      <c r="A180" s="11"/>
      <c r="B180" s="11">
        <v>11</v>
      </c>
      <c r="C180" s="11" t="s">
        <v>148</v>
      </c>
      <c r="D180" s="11"/>
      <c r="E180" s="11"/>
      <c r="F180" s="11">
        <v>0</v>
      </c>
      <c r="G180" s="11" t="s">
        <v>527</v>
      </c>
      <c r="H180" s="11" t="s">
        <v>69</v>
      </c>
      <c r="I180" s="11" t="s">
        <v>36</v>
      </c>
      <c r="J180" s="11">
        <v>0</v>
      </c>
      <c r="K180" s="11" t="s">
        <v>886</v>
      </c>
      <c r="L180" s="11">
        <v>17</v>
      </c>
      <c r="M180" s="11">
        <v>131</v>
      </c>
      <c r="N180" s="11">
        <v>14</v>
      </c>
      <c r="O180" s="11">
        <v>104</v>
      </c>
      <c r="P180" s="11">
        <v>27</v>
      </c>
      <c r="Q180" s="11"/>
      <c r="R180" s="11"/>
      <c r="S180" s="11"/>
      <c r="T180" s="11"/>
      <c r="U180" s="11"/>
      <c r="V180" s="11">
        <v>117</v>
      </c>
      <c r="W180" s="11">
        <v>15</v>
      </c>
      <c r="X180" s="11">
        <v>-15</v>
      </c>
      <c r="Y180" s="11">
        <v>64</v>
      </c>
      <c r="Z180" s="25" t="s">
        <v>886</v>
      </c>
    </row>
    <row r="181" spans="1:26" ht="14.25" customHeight="1" x14ac:dyDescent="0.25">
      <c r="A181" s="11"/>
      <c r="B181" s="11">
        <v>18</v>
      </c>
      <c r="C181" s="11" t="s">
        <v>148</v>
      </c>
      <c r="D181" s="11"/>
      <c r="E181" s="11"/>
      <c r="F181" s="11">
        <v>0</v>
      </c>
      <c r="G181" s="11" t="s">
        <v>609</v>
      </c>
      <c r="H181" s="11" t="s">
        <v>155</v>
      </c>
      <c r="I181" s="11" t="s">
        <v>36</v>
      </c>
      <c r="J181" s="11">
        <v>0</v>
      </c>
      <c r="K181" s="11" t="s">
        <v>886</v>
      </c>
      <c r="L181" s="11">
        <v>16</v>
      </c>
      <c r="M181" s="11" t="s">
        <v>36</v>
      </c>
      <c r="N181" s="11" t="e">
        <v>#VALUE!</v>
      </c>
      <c r="O181" s="11">
        <v>212</v>
      </c>
      <c r="P181" s="11" t="e">
        <v>#VALUE!</v>
      </c>
      <c r="Q181" s="11">
        <v>220</v>
      </c>
      <c r="R181" s="11" t="s">
        <v>36</v>
      </c>
      <c r="S181" s="11">
        <v>296</v>
      </c>
      <c r="T181" s="11">
        <v>246</v>
      </c>
      <c r="U181" s="11">
        <v>83</v>
      </c>
      <c r="V181" s="11">
        <v>211</v>
      </c>
      <c r="W181" s="11">
        <v>27</v>
      </c>
      <c r="X181" s="11">
        <v>-27</v>
      </c>
      <c r="Y181" s="11" t="e">
        <v>#VALUE!</v>
      </c>
      <c r="Z181" s="25" t="s">
        <v>886</v>
      </c>
    </row>
    <row r="182" spans="1:26" ht="14.25" customHeight="1" x14ac:dyDescent="0.25">
      <c r="A182" s="11"/>
      <c r="B182" s="11">
        <v>2</v>
      </c>
      <c r="C182" s="11" t="s">
        <v>148</v>
      </c>
      <c r="D182" s="11"/>
      <c r="E182" s="11"/>
      <c r="F182" s="11">
        <v>0</v>
      </c>
      <c r="G182" s="11" t="s">
        <v>189</v>
      </c>
      <c r="H182" s="11" t="s">
        <v>163</v>
      </c>
      <c r="I182" s="11">
        <v>21</v>
      </c>
      <c r="J182" s="11">
        <v>0</v>
      </c>
      <c r="K182" s="11" t="s">
        <v>844</v>
      </c>
      <c r="L182" s="11">
        <v>3</v>
      </c>
      <c r="M182" s="11">
        <v>22</v>
      </c>
      <c r="N182" s="11">
        <v>0</v>
      </c>
      <c r="O182" s="11">
        <v>22</v>
      </c>
      <c r="P182" s="11">
        <v>0</v>
      </c>
      <c r="Q182" s="11">
        <v>22</v>
      </c>
      <c r="R182" s="11">
        <v>25</v>
      </c>
      <c r="S182" s="11">
        <v>20</v>
      </c>
      <c r="T182" s="11">
        <v>19</v>
      </c>
      <c r="U182" s="11">
        <v>24</v>
      </c>
      <c r="V182" s="11">
        <v>22</v>
      </c>
      <c r="W182" s="11">
        <v>3</v>
      </c>
      <c r="X182" s="11">
        <v>-3</v>
      </c>
      <c r="Y182" s="11">
        <v>-5</v>
      </c>
      <c r="Z182" s="25">
        <v>9</v>
      </c>
    </row>
    <row r="183" spans="1:26" ht="14.25" customHeight="1" x14ac:dyDescent="0.25">
      <c r="A183" s="11"/>
      <c r="B183" s="11">
        <v>15</v>
      </c>
      <c r="C183" s="11" t="s">
        <v>148</v>
      </c>
      <c r="D183" s="11"/>
      <c r="E183" s="11"/>
      <c r="F183" s="11">
        <v>0</v>
      </c>
      <c r="G183" s="11" t="s">
        <v>572</v>
      </c>
      <c r="H183" s="11" t="s">
        <v>91</v>
      </c>
      <c r="I183" s="11">
        <v>123</v>
      </c>
      <c r="J183" s="11">
        <v>0</v>
      </c>
      <c r="K183" s="11" t="s">
        <v>854</v>
      </c>
      <c r="L183" s="11">
        <v>20</v>
      </c>
      <c r="M183" s="11">
        <v>152</v>
      </c>
      <c r="N183" s="11">
        <v>-10</v>
      </c>
      <c r="O183" s="11">
        <v>144</v>
      </c>
      <c r="P183" s="11">
        <v>8</v>
      </c>
      <c r="Q183" s="11">
        <v>176</v>
      </c>
      <c r="R183" s="11">
        <v>198</v>
      </c>
      <c r="S183" s="11">
        <v>153</v>
      </c>
      <c r="T183" s="11">
        <v>128</v>
      </c>
      <c r="U183" s="11">
        <v>185</v>
      </c>
      <c r="V183" s="11">
        <v>162</v>
      </c>
      <c r="W183" s="11">
        <v>21</v>
      </c>
      <c r="X183" s="11">
        <v>-21</v>
      </c>
      <c r="Y183" s="11">
        <v>-36</v>
      </c>
      <c r="Z183" s="25">
        <v>52</v>
      </c>
    </row>
    <row r="184" spans="1:26" ht="14.25" customHeight="1" x14ac:dyDescent="0.25">
      <c r="A184" s="11"/>
      <c r="B184" s="11">
        <v>15</v>
      </c>
      <c r="C184" s="11" t="s">
        <v>148</v>
      </c>
      <c r="D184" s="11"/>
      <c r="E184" s="11"/>
      <c r="F184" s="11">
        <v>0</v>
      </c>
      <c r="G184" s="11" t="s">
        <v>927</v>
      </c>
      <c r="H184" s="11" t="s">
        <v>160</v>
      </c>
      <c r="I184" s="11">
        <v>161</v>
      </c>
      <c r="J184" s="11">
        <v>0</v>
      </c>
      <c r="K184" s="11" t="s">
        <v>854</v>
      </c>
      <c r="L184" s="11">
        <v>25</v>
      </c>
      <c r="M184" s="11">
        <v>196</v>
      </c>
      <c r="N184" s="11">
        <v>13</v>
      </c>
      <c r="O184" s="11">
        <v>203</v>
      </c>
      <c r="P184" s="11">
        <v>-7</v>
      </c>
      <c r="Q184" s="11">
        <v>148</v>
      </c>
      <c r="R184" s="11">
        <v>197</v>
      </c>
      <c r="S184" s="11">
        <v>171</v>
      </c>
      <c r="T184" s="11">
        <v>161</v>
      </c>
      <c r="U184" s="11">
        <v>208</v>
      </c>
      <c r="V184" s="11">
        <v>183</v>
      </c>
      <c r="W184" s="11">
        <v>23</v>
      </c>
      <c r="X184" s="11">
        <v>-23</v>
      </c>
      <c r="Y184" s="11">
        <v>-13</v>
      </c>
      <c r="Z184" s="25">
        <v>54</v>
      </c>
    </row>
    <row r="185" spans="1:26" ht="14.25" customHeight="1" x14ac:dyDescent="0.25">
      <c r="A185" s="11"/>
      <c r="B185" s="11" t="e">
        <v>#N/A</v>
      </c>
      <c r="C185" s="11" t="s">
        <v>148</v>
      </c>
      <c r="D185" s="11"/>
      <c r="E185" s="11"/>
      <c r="F185" s="11" t="e">
        <v>#N/A</v>
      </c>
      <c r="G185" s="11" t="s">
        <v>928</v>
      </c>
      <c r="H185" s="11" t="e">
        <v>#N/A</v>
      </c>
      <c r="I185" s="11" t="e">
        <v>#N/A</v>
      </c>
      <c r="J185" s="11" t="e">
        <v>#N/A</v>
      </c>
      <c r="K185" s="11" t="e">
        <v>#N/A</v>
      </c>
      <c r="L185" s="11">
        <v>16</v>
      </c>
      <c r="M185" s="11" t="e">
        <v>#N/A</v>
      </c>
      <c r="N185" s="11" t="e">
        <v>#N/A</v>
      </c>
      <c r="O185" s="11" t="e">
        <v>#N/A</v>
      </c>
      <c r="P185" s="11" t="e">
        <v>#N/A</v>
      </c>
      <c r="Q185" s="11" t="e">
        <v>#N/A</v>
      </c>
      <c r="R185" s="11" t="e">
        <v>#N/A</v>
      </c>
      <c r="S185" s="11" t="e">
        <v>#N/A</v>
      </c>
      <c r="T185" s="11" t="e">
        <v>#N/A</v>
      </c>
      <c r="U185" s="11" t="e">
        <v>#N/A</v>
      </c>
      <c r="V185" s="11" t="e">
        <v>#N/A</v>
      </c>
      <c r="W185" s="11">
        <v>16</v>
      </c>
      <c r="X185" s="11">
        <v>-16</v>
      </c>
      <c r="Y185" s="11" t="e">
        <v>#N/A</v>
      </c>
      <c r="Z185" s="25" t="e">
        <v>#N/A</v>
      </c>
    </row>
    <row r="186" spans="1:26" ht="14.25" customHeight="1" x14ac:dyDescent="0.25">
      <c r="A186" s="11"/>
      <c r="B186" s="11">
        <v>12</v>
      </c>
      <c r="C186" s="11" t="s">
        <v>148</v>
      </c>
      <c r="D186" s="11"/>
      <c r="E186" s="11"/>
      <c r="F186" s="11">
        <v>0</v>
      </c>
      <c r="G186" s="11" t="s">
        <v>446</v>
      </c>
      <c r="H186" s="11" t="s">
        <v>145</v>
      </c>
      <c r="I186" s="11">
        <v>109</v>
      </c>
      <c r="J186" s="11">
        <v>0</v>
      </c>
      <c r="K186" s="11" t="s">
        <v>878</v>
      </c>
      <c r="L186" s="11">
        <v>20</v>
      </c>
      <c r="M186" s="11">
        <v>153</v>
      </c>
      <c r="N186" s="11">
        <v>13</v>
      </c>
      <c r="O186" s="11">
        <v>127</v>
      </c>
      <c r="P186" s="11">
        <v>26</v>
      </c>
      <c r="Q186" s="11">
        <v>156</v>
      </c>
      <c r="R186" s="11">
        <v>109</v>
      </c>
      <c r="S186" s="11">
        <v>108</v>
      </c>
      <c r="T186" s="11">
        <v>132</v>
      </c>
      <c r="U186" s="11">
        <v>197</v>
      </c>
      <c r="V186" s="11">
        <v>140</v>
      </c>
      <c r="W186" s="11">
        <v>18</v>
      </c>
      <c r="X186" s="11">
        <v>-18</v>
      </c>
      <c r="Y186" s="11">
        <v>-51</v>
      </c>
      <c r="Z186" s="25">
        <v>50</v>
      </c>
    </row>
    <row r="187" spans="1:26" ht="14.25" customHeight="1" x14ac:dyDescent="0.25">
      <c r="A187" s="11"/>
      <c r="B187" s="11">
        <v>7</v>
      </c>
      <c r="C187" s="11" t="s">
        <v>148</v>
      </c>
      <c r="D187" s="11"/>
      <c r="E187" s="11"/>
      <c r="F187" s="11">
        <v>0</v>
      </c>
      <c r="G187" s="11" t="s">
        <v>318</v>
      </c>
      <c r="H187" s="11" t="s">
        <v>168</v>
      </c>
      <c r="I187" s="11">
        <v>91</v>
      </c>
      <c r="J187" s="11">
        <v>0</v>
      </c>
      <c r="K187" s="11" t="s">
        <v>893</v>
      </c>
      <c r="L187" s="11">
        <v>10</v>
      </c>
      <c r="M187" s="11">
        <v>79</v>
      </c>
      <c r="N187" s="11">
        <v>3</v>
      </c>
      <c r="O187" s="11">
        <v>68</v>
      </c>
      <c r="P187" s="11">
        <v>11</v>
      </c>
      <c r="Q187" s="11">
        <v>66</v>
      </c>
      <c r="R187" s="11">
        <v>87</v>
      </c>
      <c r="S187" s="11">
        <v>89</v>
      </c>
      <c r="T187" s="11">
        <v>83</v>
      </c>
      <c r="U187" s="11">
        <v>64</v>
      </c>
      <c r="V187" s="11">
        <v>76</v>
      </c>
      <c r="W187" s="11">
        <v>10</v>
      </c>
      <c r="X187" s="11">
        <v>-10</v>
      </c>
      <c r="Y187" s="11">
        <v>7</v>
      </c>
      <c r="Z187" s="25">
        <v>7</v>
      </c>
    </row>
    <row r="188" spans="1:26" ht="14.25" customHeight="1" x14ac:dyDescent="0.25">
      <c r="A188" s="11"/>
      <c r="B188" s="11">
        <v>18</v>
      </c>
      <c r="C188" s="11" t="s">
        <v>148</v>
      </c>
      <c r="D188" s="11"/>
      <c r="E188" s="11"/>
      <c r="F188" s="11">
        <v>0</v>
      </c>
      <c r="G188" s="11" t="s">
        <v>721</v>
      </c>
      <c r="H188" s="11" t="s">
        <v>104</v>
      </c>
      <c r="I188" s="11">
        <v>141</v>
      </c>
      <c r="J188" s="11">
        <v>0</v>
      </c>
      <c r="K188" s="11" t="s">
        <v>875</v>
      </c>
      <c r="L188" s="11">
        <v>25</v>
      </c>
      <c r="M188" s="11">
        <v>199</v>
      </c>
      <c r="N188" s="11">
        <v>-3</v>
      </c>
      <c r="O188" s="11">
        <v>199</v>
      </c>
      <c r="P188" s="11">
        <v>0</v>
      </c>
      <c r="Q188" s="11">
        <v>224</v>
      </c>
      <c r="R188" s="11">
        <v>231</v>
      </c>
      <c r="S188" s="11">
        <v>159</v>
      </c>
      <c r="T188" s="11">
        <v>145</v>
      </c>
      <c r="U188" s="11">
        <v>263</v>
      </c>
      <c r="V188" s="11">
        <v>202</v>
      </c>
      <c r="W188" s="11">
        <v>26</v>
      </c>
      <c r="X188" s="11">
        <v>-26</v>
      </c>
      <c r="Y188" s="11">
        <v>-46</v>
      </c>
      <c r="Z188" s="25">
        <v>59</v>
      </c>
    </row>
    <row r="189" spans="1:26" ht="14.25" customHeight="1" x14ac:dyDescent="0.25">
      <c r="A189" s="11"/>
      <c r="B189" s="11">
        <v>14</v>
      </c>
      <c r="C189" s="11" t="s">
        <v>148</v>
      </c>
      <c r="D189" s="11"/>
      <c r="E189" s="11"/>
      <c r="F189" s="11">
        <v>0</v>
      </c>
      <c r="G189" s="11" t="s">
        <v>636</v>
      </c>
      <c r="H189" s="11" t="s">
        <v>85</v>
      </c>
      <c r="I189" s="11" t="s">
        <v>36</v>
      </c>
      <c r="J189" s="11">
        <v>0</v>
      </c>
      <c r="K189" s="11" t="s">
        <v>886</v>
      </c>
      <c r="L189" s="11">
        <v>21</v>
      </c>
      <c r="M189" s="11">
        <v>161</v>
      </c>
      <c r="N189" s="11">
        <v>-12</v>
      </c>
      <c r="O189" s="11">
        <v>185</v>
      </c>
      <c r="P189" s="11">
        <v>-24</v>
      </c>
      <c r="Q189" s="11"/>
      <c r="R189" s="11"/>
      <c r="S189" s="11"/>
      <c r="T189" s="11"/>
      <c r="U189" s="11"/>
      <c r="V189" s="11">
        <v>173</v>
      </c>
      <c r="W189" s="11">
        <v>22</v>
      </c>
      <c r="X189" s="11">
        <v>-22</v>
      </c>
      <c r="Y189" s="11">
        <v>53</v>
      </c>
      <c r="Z189" s="25" t="s">
        <v>886</v>
      </c>
    </row>
    <row r="190" spans="1:26" ht="14.25" customHeight="1" x14ac:dyDescent="0.25">
      <c r="A190" s="11"/>
      <c r="B190" s="11">
        <v>24</v>
      </c>
      <c r="C190" s="11" t="s">
        <v>148</v>
      </c>
      <c r="D190" s="11"/>
      <c r="E190" s="11"/>
      <c r="F190" s="11" t="e">
        <v>#N/A</v>
      </c>
      <c r="G190" s="11" t="s">
        <v>929</v>
      </c>
      <c r="H190" s="11" t="s">
        <v>81</v>
      </c>
      <c r="I190" s="11" t="s">
        <v>36</v>
      </c>
      <c r="J190" s="11" t="e">
        <v>#N/A</v>
      </c>
      <c r="K190" s="11" t="e">
        <v>#N/A</v>
      </c>
      <c r="L190" s="11">
        <v>31</v>
      </c>
      <c r="M190" s="11">
        <v>245</v>
      </c>
      <c r="N190" s="11">
        <v>-31</v>
      </c>
      <c r="O190" s="11" t="s">
        <v>36</v>
      </c>
      <c r="P190" s="11" t="e">
        <v>#VALUE!</v>
      </c>
      <c r="Q190" s="11">
        <v>248</v>
      </c>
      <c r="R190" s="11">
        <v>343</v>
      </c>
      <c r="S190" s="11">
        <v>333</v>
      </c>
      <c r="T190" s="11">
        <v>273</v>
      </c>
      <c r="U190" s="11">
        <v>217</v>
      </c>
      <c r="V190" s="11">
        <v>276</v>
      </c>
      <c r="W190" s="11">
        <v>35</v>
      </c>
      <c r="X190" s="11">
        <v>-35</v>
      </c>
      <c r="Y190" s="11" t="e">
        <v>#N/A</v>
      </c>
      <c r="Z190" s="25" t="e">
        <v>#N/A</v>
      </c>
    </row>
    <row r="191" spans="1:26" ht="14.25" customHeight="1" x14ac:dyDescent="0.25">
      <c r="A191" s="11"/>
      <c r="B191" s="11">
        <v>13</v>
      </c>
      <c r="C191" s="11" t="s">
        <v>148</v>
      </c>
      <c r="D191" s="11"/>
      <c r="E191" s="11"/>
      <c r="F191" s="11">
        <v>0</v>
      </c>
      <c r="G191" s="11" t="s">
        <v>487</v>
      </c>
      <c r="H191" s="11" t="s">
        <v>78</v>
      </c>
      <c r="I191" s="11" t="s">
        <v>36</v>
      </c>
      <c r="J191" s="11">
        <v>0</v>
      </c>
      <c r="K191" s="11" t="s">
        <v>886</v>
      </c>
      <c r="L191" s="11">
        <v>19</v>
      </c>
      <c r="M191" s="11">
        <v>144</v>
      </c>
      <c r="N191" s="11">
        <v>3</v>
      </c>
      <c r="O191" s="11">
        <v>87</v>
      </c>
      <c r="P191" s="11">
        <v>57</v>
      </c>
      <c r="Q191" s="11">
        <v>130</v>
      </c>
      <c r="R191" s="11">
        <v>164</v>
      </c>
      <c r="S191" s="11">
        <v>214</v>
      </c>
      <c r="T191" s="11">
        <v>160</v>
      </c>
      <c r="U191" s="11">
        <v>93</v>
      </c>
      <c r="V191" s="11">
        <v>141</v>
      </c>
      <c r="W191" s="11">
        <v>18</v>
      </c>
      <c r="X191" s="11">
        <v>-18</v>
      </c>
      <c r="Y191" s="11">
        <v>24</v>
      </c>
      <c r="Z191" s="25" t="s">
        <v>886</v>
      </c>
    </row>
    <row r="192" spans="1:26" ht="14.25" customHeight="1" x14ac:dyDescent="0.25">
      <c r="A192" s="11"/>
      <c r="B192" s="11">
        <v>15</v>
      </c>
      <c r="C192" s="11" t="s">
        <v>148</v>
      </c>
      <c r="D192" s="11"/>
      <c r="E192" s="11"/>
      <c r="F192" s="11">
        <v>0</v>
      </c>
      <c r="G192" s="11" t="s">
        <v>506</v>
      </c>
      <c r="H192" s="11" t="s">
        <v>66</v>
      </c>
      <c r="I192" s="11">
        <v>150</v>
      </c>
      <c r="J192" s="11">
        <v>0</v>
      </c>
      <c r="K192" s="11" t="s">
        <v>930</v>
      </c>
      <c r="L192" s="11">
        <v>19</v>
      </c>
      <c r="M192" s="11">
        <v>149</v>
      </c>
      <c r="N192" s="11">
        <v>-18</v>
      </c>
      <c r="O192" s="11">
        <v>164</v>
      </c>
      <c r="P192" s="11">
        <v>-15</v>
      </c>
      <c r="Q192" s="11">
        <v>190</v>
      </c>
      <c r="R192" s="11">
        <v>171</v>
      </c>
      <c r="S192" s="11">
        <v>143</v>
      </c>
      <c r="T192" s="11">
        <v>141</v>
      </c>
      <c r="U192" s="11">
        <v>215</v>
      </c>
      <c r="V192" s="11">
        <v>167</v>
      </c>
      <c r="W192" s="11">
        <v>21</v>
      </c>
      <c r="X192" s="11">
        <v>-21</v>
      </c>
      <c r="Y192" s="11">
        <v>-29</v>
      </c>
      <c r="Z192" s="25">
        <v>57</v>
      </c>
    </row>
    <row r="193" spans="1:26" ht="14.25" customHeight="1" x14ac:dyDescent="0.25">
      <c r="A193" s="11"/>
      <c r="B193" s="11">
        <v>14</v>
      </c>
      <c r="C193" s="11" t="s">
        <v>148</v>
      </c>
      <c r="D193" s="11"/>
      <c r="E193" s="11"/>
      <c r="F193" s="11">
        <v>0</v>
      </c>
      <c r="G193" s="11" t="s">
        <v>462</v>
      </c>
      <c r="H193" s="11" t="s">
        <v>116</v>
      </c>
      <c r="I193" s="11" t="s">
        <v>36</v>
      </c>
      <c r="J193" s="11">
        <v>0</v>
      </c>
      <c r="K193" s="11" t="s">
        <v>886</v>
      </c>
      <c r="L193" s="11">
        <v>24</v>
      </c>
      <c r="M193" s="11">
        <v>188</v>
      </c>
      <c r="N193" s="11">
        <v>23</v>
      </c>
      <c r="O193" s="11">
        <v>145</v>
      </c>
      <c r="P193" s="11">
        <v>43</v>
      </c>
      <c r="Q193" s="11">
        <v>100</v>
      </c>
      <c r="R193" s="11">
        <v>190</v>
      </c>
      <c r="S193" s="11">
        <v>216</v>
      </c>
      <c r="T193" s="11">
        <v>176</v>
      </c>
      <c r="U193" s="11">
        <v>145</v>
      </c>
      <c r="V193" s="11">
        <v>165</v>
      </c>
      <c r="W193" s="11">
        <v>21</v>
      </c>
      <c r="X193" s="11">
        <v>-21</v>
      </c>
      <c r="Y193" s="11">
        <v>23</v>
      </c>
      <c r="Z193" s="25" t="s">
        <v>886</v>
      </c>
    </row>
    <row r="194" spans="1:26" ht="14.25" customHeight="1" x14ac:dyDescent="0.25">
      <c r="A194" s="11"/>
      <c r="B194" s="11">
        <v>9</v>
      </c>
      <c r="C194" s="11" t="s">
        <v>148</v>
      </c>
      <c r="D194" s="11"/>
      <c r="E194" s="11"/>
      <c r="F194" s="11">
        <v>0</v>
      </c>
      <c r="G194" s="11" t="s">
        <v>292</v>
      </c>
      <c r="H194" s="11" t="s">
        <v>72</v>
      </c>
      <c r="I194" s="11">
        <v>83</v>
      </c>
      <c r="J194" s="11" t="s">
        <v>148</v>
      </c>
      <c r="K194" s="11" t="s">
        <v>910</v>
      </c>
      <c r="L194" s="11">
        <v>13</v>
      </c>
      <c r="M194" s="11">
        <v>103</v>
      </c>
      <c r="N194" s="11">
        <v>-1</v>
      </c>
      <c r="O194" s="11">
        <v>98</v>
      </c>
      <c r="P194" s="11">
        <v>5</v>
      </c>
      <c r="Q194" s="11">
        <v>122</v>
      </c>
      <c r="R194" s="11">
        <v>107</v>
      </c>
      <c r="S194" s="11">
        <v>88</v>
      </c>
      <c r="T194" s="11">
        <v>89</v>
      </c>
      <c r="U194" s="11">
        <v>122</v>
      </c>
      <c r="V194" s="11">
        <v>104</v>
      </c>
      <c r="W194" s="11">
        <v>14</v>
      </c>
      <c r="X194" s="11">
        <v>-14</v>
      </c>
      <c r="Y194" s="11">
        <v>-33</v>
      </c>
      <c r="Z194" s="25">
        <v>28</v>
      </c>
    </row>
    <row r="195" spans="1:26" ht="14.25" customHeight="1" x14ac:dyDescent="0.25">
      <c r="A195" s="11"/>
      <c r="B195" s="11">
        <v>19</v>
      </c>
      <c r="C195" s="11" t="s">
        <v>148</v>
      </c>
      <c r="D195" s="11"/>
      <c r="E195" s="11"/>
      <c r="F195" s="11" t="e">
        <v>#N/A</v>
      </c>
      <c r="G195" s="11" t="s">
        <v>931</v>
      </c>
      <c r="H195" s="11" t="s">
        <v>44</v>
      </c>
      <c r="I195" s="11" t="s">
        <v>36</v>
      </c>
      <c r="J195" s="11" t="e">
        <v>#N/A</v>
      </c>
      <c r="K195" s="11" t="e">
        <v>#N/A</v>
      </c>
      <c r="L195" s="11">
        <v>16</v>
      </c>
      <c r="M195" s="11" t="s">
        <v>36</v>
      </c>
      <c r="N195" s="11" t="e">
        <v>#VALUE!</v>
      </c>
      <c r="O195" s="11" t="s">
        <v>36</v>
      </c>
      <c r="P195" s="11" t="e">
        <v>#VALUE!</v>
      </c>
      <c r="Q195" s="11">
        <v>223</v>
      </c>
      <c r="R195" s="11" t="s">
        <v>36</v>
      </c>
      <c r="S195" s="11">
        <v>323</v>
      </c>
      <c r="T195" s="11">
        <v>267</v>
      </c>
      <c r="U195" s="11">
        <v>97</v>
      </c>
      <c r="V195" s="11">
        <v>227</v>
      </c>
      <c r="W195" s="11">
        <v>29</v>
      </c>
      <c r="X195" s="11">
        <v>-29</v>
      </c>
      <c r="Y195" s="11" t="e">
        <v>#N/A</v>
      </c>
      <c r="Z195" s="25" t="e">
        <v>#N/A</v>
      </c>
    </row>
    <row r="196" spans="1:26" ht="14.25" customHeight="1" x14ac:dyDescent="0.25">
      <c r="A196" s="11"/>
      <c r="B196" s="11">
        <v>8</v>
      </c>
      <c r="C196" s="11" t="s">
        <v>148</v>
      </c>
      <c r="D196" s="11"/>
      <c r="E196" s="11"/>
      <c r="F196" s="11">
        <v>0</v>
      </c>
      <c r="G196" s="11" t="s">
        <v>778</v>
      </c>
      <c r="H196" s="11" t="s">
        <v>55</v>
      </c>
      <c r="I196" s="11">
        <v>55</v>
      </c>
      <c r="J196" s="11">
        <v>0</v>
      </c>
      <c r="K196" s="11" t="s">
        <v>845</v>
      </c>
      <c r="L196" s="11">
        <v>12</v>
      </c>
      <c r="M196" s="11">
        <v>94</v>
      </c>
      <c r="N196" s="11">
        <v>8</v>
      </c>
      <c r="O196" s="11">
        <v>72</v>
      </c>
      <c r="P196" s="11">
        <v>22</v>
      </c>
      <c r="Q196" s="11">
        <v>93</v>
      </c>
      <c r="R196" s="11">
        <v>106</v>
      </c>
      <c r="S196" s="11">
        <v>67</v>
      </c>
      <c r="T196" s="11">
        <v>65</v>
      </c>
      <c r="U196" s="11">
        <v>110</v>
      </c>
      <c r="V196" s="11">
        <v>86</v>
      </c>
      <c r="W196" s="11">
        <v>11</v>
      </c>
      <c r="X196" s="11">
        <v>-11</v>
      </c>
      <c r="Y196" s="11">
        <v>-17</v>
      </c>
      <c r="Z196" s="25">
        <v>32</v>
      </c>
    </row>
    <row r="197" spans="1:26" ht="14.25" customHeight="1" x14ac:dyDescent="0.25">
      <c r="A197" s="11"/>
      <c r="B197" s="11">
        <v>17</v>
      </c>
      <c r="C197" s="11" t="s">
        <v>148</v>
      </c>
      <c r="D197" s="11"/>
      <c r="E197" s="11"/>
      <c r="F197" s="11">
        <v>0</v>
      </c>
      <c r="G197" s="11" t="s">
        <v>433</v>
      </c>
      <c r="H197" s="11" t="s">
        <v>229</v>
      </c>
      <c r="I197" s="11">
        <v>165</v>
      </c>
      <c r="J197" s="11">
        <v>0</v>
      </c>
      <c r="K197" s="11" t="s">
        <v>886</v>
      </c>
      <c r="L197" s="11">
        <v>27</v>
      </c>
      <c r="M197" s="11">
        <v>208</v>
      </c>
      <c r="N197" s="11">
        <v>6</v>
      </c>
      <c r="O197" s="11" t="s">
        <v>36</v>
      </c>
      <c r="P197" s="11" t="e">
        <v>#VALUE!</v>
      </c>
      <c r="Q197" s="11" t="s">
        <v>36</v>
      </c>
      <c r="R197" s="11">
        <v>249</v>
      </c>
      <c r="S197" s="11">
        <v>150</v>
      </c>
      <c r="T197" s="11">
        <v>187</v>
      </c>
      <c r="U197" s="11">
        <v>218</v>
      </c>
      <c r="V197" s="11">
        <v>202</v>
      </c>
      <c r="W197" s="11">
        <v>26</v>
      </c>
      <c r="X197" s="11">
        <v>-26</v>
      </c>
      <c r="Y197" s="11">
        <v>-58</v>
      </c>
      <c r="Z197" s="25" t="s">
        <v>886</v>
      </c>
    </row>
    <row r="198" spans="1:26" ht="14.25" customHeight="1" x14ac:dyDescent="0.25">
      <c r="A198" s="11"/>
      <c r="B198" s="11" t="e">
        <v>#N/A</v>
      </c>
      <c r="C198" s="11" t="s">
        <v>148</v>
      </c>
      <c r="D198" s="11"/>
      <c r="E198" s="11"/>
      <c r="F198" s="11">
        <v>0</v>
      </c>
      <c r="G198" s="11" t="s">
        <v>932</v>
      </c>
      <c r="H198" s="11" t="e">
        <v>#N/A</v>
      </c>
      <c r="I198" s="11" t="e">
        <v>#N/A</v>
      </c>
      <c r="J198" s="11">
        <v>0</v>
      </c>
      <c r="K198" s="11" t="s">
        <v>886</v>
      </c>
      <c r="L198" s="11">
        <v>16</v>
      </c>
      <c r="M198" s="11" t="e">
        <v>#N/A</v>
      </c>
      <c r="N198" s="11" t="e">
        <v>#N/A</v>
      </c>
      <c r="O198" s="11" t="e">
        <v>#N/A</v>
      </c>
      <c r="P198" s="11" t="e">
        <v>#N/A</v>
      </c>
      <c r="Q198" s="11" t="e">
        <v>#N/A</v>
      </c>
      <c r="R198" s="11" t="e">
        <v>#N/A</v>
      </c>
      <c r="S198" s="11" t="e">
        <v>#N/A</v>
      </c>
      <c r="T198" s="11" t="e">
        <v>#N/A</v>
      </c>
      <c r="U198" s="11" t="e">
        <v>#N/A</v>
      </c>
      <c r="V198" s="11" t="e">
        <v>#N/A</v>
      </c>
      <c r="W198" s="11">
        <v>16</v>
      </c>
      <c r="X198" s="11">
        <v>-16</v>
      </c>
      <c r="Y198" s="11" t="e">
        <v>#N/A</v>
      </c>
      <c r="Z198" s="25" t="s">
        <v>886</v>
      </c>
    </row>
    <row r="199" spans="1:26" ht="14.25" customHeight="1" x14ac:dyDescent="0.25">
      <c r="A199" s="11"/>
      <c r="B199" s="11" t="e">
        <v>#N/A</v>
      </c>
      <c r="C199" s="11" t="s">
        <v>148</v>
      </c>
      <c r="D199" s="11"/>
      <c r="E199" s="11"/>
      <c r="F199" s="11" t="e">
        <v>#N/A</v>
      </c>
      <c r="G199" s="11" t="s">
        <v>525</v>
      </c>
      <c r="H199" s="11" t="e">
        <v>#N/A</v>
      </c>
      <c r="I199" s="11" t="e">
        <v>#N/A</v>
      </c>
      <c r="J199" s="11" t="e">
        <v>#N/A</v>
      </c>
      <c r="K199" s="11" t="e">
        <v>#N/A</v>
      </c>
      <c r="L199" s="11">
        <v>16</v>
      </c>
      <c r="M199" s="11" t="e">
        <v>#N/A</v>
      </c>
      <c r="N199" s="11" t="e">
        <v>#N/A</v>
      </c>
      <c r="O199" s="11" t="e">
        <v>#N/A</v>
      </c>
      <c r="P199" s="11" t="e">
        <v>#N/A</v>
      </c>
      <c r="Q199" s="11" t="e">
        <v>#N/A</v>
      </c>
      <c r="R199" s="11" t="e">
        <v>#N/A</v>
      </c>
      <c r="S199" s="11" t="e">
        <v>#N/A</v>
      </c>
      <c r="T199" s="11" t="e">
        <v>#N/A</v>
      </c>
      <c r="U199" s="11" t="e">
        <v>#N/A</v>
      </c>
      <c r="V199" s="11" t="e">
        <v>#N/A</v>
      </c>
      <c r="W199" s="11">
        <v>16</v>
      </c>
      <c r="X199" s="11">
        <v>-16</v>
      </c>
      <c r="Y199" s="11" t="e">
        <v>#N/A</v>
      </c>
      <c r="Z199" s="25" t="e">
        <v>#N/A</v>
      </c>
    </row>
    <row r="200" spans="1:26" ht="14.25" customHeight="1" x14ac:dyDescent="0.25">
      <c r="A200" s="11"/>
      <c r="B200" s="11">
        <v>13</v>
      </c>
      <c r="C200" s="11" t="s">
        <v>148</v>
      </c>
      <c r="D200" s="11"/>
      <c r="E200" s="11"/>
      <c r="F200" s="11">
        <v>0</v>
      </c>
      <c r="G200" s="11" t="s">
        <v>933</v>
      </c>
      <c r="H200" s="11" t="s">
        <v>168</v>
      </c>
      <c r="I200" s="11">
        <v>115</v>
      </c>
      <c r="J200" s="11">
        <v>0</v>
      </c>
      <c r="K200" s="11" t="s">
        <v>912</v>
      </c>
      <c r="L200" s="11">
        <v>18</v>
      </c>
      <c r="M200" s="11">
        <v>140</v>
      </c>
      <c r="N200" s="11">
        <v>-7</v>
      </c>
      <c r="O200" s="11">
        <v>171</v>
      </c>
      <c r="P200" s="11">
        <v>-31</v>
      </c>
      <c r="Q200" s="11">
        <v>167</v>
      </c>
      <c r="R200" s="11">
        <v>131</v>
      </c>
      <c r="S200" s="11">
        <v>136</v>
      </c>
      <c r="T200" s="11">
        <v>113</v>
      </c>
      <c r="U200" s="11">
        <v>174</v>
      </c>
      <c r="V200" s="11">
        <v>147</v>
      </c>
      <c r="W200" s="11">
        <v>19</v>
      </c>
      <c r="X200" s="11">
        <v>-19</v>
      </c>
      <c r="Y200" s="11">
        <v>7</v>
      </c>
      <c r="Z200" s="25">
        <v>60</v>
      </c>
    </row>
    <row r="201" spans="1:26" ht="14.25" customHeight="1" x14ac:dyDescent="0.25">
      <c r="A201" s="11"/>
      <c r="B201" s="11" t="e">
        <v>#N/A</v>
      </c>
      <c r="C201" s="11" t="s">
        <v>148</v>
      </c>
      <c r="D201" s="11"/>
      <c r="E201" s="11"/>
      <c r="F201" s="11" t="e">
        <v>#N/A</v>
      </c>
      <c r="G201" s="11" t="s">
        <v>934</v>
      </c>
      <c r="H201" s="11" t="e">
        <v>#N/A</v>
      </c>
      <c r="I201" s="11" t="e">
        <v>#N/A</v>
      </c>
      <c r="J201" s="61" t="e">
        <v>#N/A</v>
      </c>
      <c r="K201" s="11" t="e">
        <v>#N/A</v>
      </c>
      <c r="L201" s="11">
        <v>16</v>
      </c>
      <c r="M201" s="11" t="e">
        <v>#N/A</v>
      </c>
      <c r="N201" s="11" t="e">
        <v>#N/A</v>
      </c>
      <c r="O201" s="11" t="e">
        <v>#N/A</v>
      </c>
      <c r="P201" s="11" t="e">
        <v>#N/A</v>
      </c>
      <c r="Q201" s="11" t="e">
        <v>#N/A</v>
      </c>
      <c r="R201" s="11" t="e">
        <v>#N/A</v>
      </c>
      <c r="S201" s="11" t="e">
        <v>#N/A</v>
      </c>
      <c r="T201" s="11" t="e">
        <v>#N/A</v>
      </c>
      <c r="U201" s="11" t="e">
        <v>#N/A</v>
      </c>
      <c r="V201" s="11" t="e">
        <v>#N/A</v>
      </c>
      <c r="W201" s="11">
        <v>16</v>
      </c>
      <c r="X201" s="11">
        <v>-16</v>
      </c>
      <c r="Y201" s="11" t="e">
        <v>#N/A</v>
      </c>
      <c r="Z201" s="25" t="e">
        <v>#N/A</v>
      </c>
    </row>
    <row r="202" spans="1:26" ht="14.25" customHeight="1" x14ac:dyDescent="0.25">
      <c r="A202" s="11"/>
      <c r="B202" s="11" t="e">
        <v>#N/A</v>
      </c>
      <c r="C202" s="11" t="s">
        <v>148</v>
      </c>
      <c r="D202" s="11"/>
      <c r="E202" s="11"/>
      <c r="F202" s="11" t="e">
        <v>#N/A</v>
      </c>
      <c r="G202" s="11" t="s">
        <v>935</v>
      </c>
      <c r="H202" s="11" t="e">
        <v>#N/A</v>
      </c>
      <c r="I202" s="11" t="e">
        <v>#N/A</v>
      </c>
      <c r="J202" s="11" t="e">
        <v>#N/A</v>
      </c>
      <c r="K202" s="11" t="e">
        <v>#N/A</v>
      </c>
      <c r="L202" s="11">
        <v>16</v>
      </c>
      <c r="M202" s="11" t="e">
        <v>#N/A</v>
      </c>
      <c r="N202" s="11" t="e">
        <v>#N/A</v>
      </c>
      <c r="O202" s="11" t="e">
        <v>#N/A</v>
      </c>
      <c r="P202" s="11" t="e">
        <v>#N/A</v>
      </c>
      <c r="Q202" s="11" t="e">
        <v>#N/A</v>
      </c>
      <c r="R202" s="11" t="e">
        <v>#N/A</v>
      </c>
      <c r="S202" s="11" t="e">
        <v>#N/A</v>
      </c>
      <c r="T202" s="11" t="e">
        <v>#N/A</v>
      </c>
      <c r="U202" s="11" t="e">
        <v>#N/A</v>
      </c>
      <c r="V202" s="11" t="e">
        <v>#N/A</v>
      </c>
      <c r="W202" s="11">
        <v>16</v>
      </c>
      <c r="X202" s="11">
        <v>-16</v>
      </c>
      <c r="Y202" s="11" t="e">
        <v>#N/A</v>
      </c>
      <c r="Z202" s="25" t="e">
        <v>#N/A</v>
      </c>
    </row>
    <row r="203" spans="1:26" ht="14.25" customHeight="1" x14ac:dyDescent="0.25">
      <c r="A203" s="11"/>
      <c r="B203" s="11">
        <v>16</v>
      </c>
      <c r="C203" s="11" t="s">
        <v>148</v>
      </c>
      <c r="D203" s="11"/>
      <c r="E203" s="11"/>
      <c r="F203" s="11">
        <v>0</v>
      </c>
      <c r="G203" s="11" t="s">
        <v>302</v>
      </c>
      <c r="H203" s="11" t="s">
        <v>126</v>
      </c>
      <c r="I203" s="11">
        <v>166</v>
      </c>
      <c r="J203" s="11">
        <v>0</v>
      </c>
      <c r="K203" s="11" t="s">
        <v>886</v>
      </c>
      <c r="L203" s="11">
        <v>26</v>
      </c>
      <c r="M203" s="11">
        <v>206</v>
      </c>
      <c r="N203" s="11">
        <v>19</v>
      </c>
      <c r="O203" s="11">
        <v>165</v>
      </c>
      <c r="P203" s="11">
        <v>41</v>
      </c>
      <c r="Q203" s="11">
        <v>174</v>
      </c>
      <c r="R203" s="11">
        <v>206</v>
      </c>
      <c r="S203" s="11">
        <v>169</v>
      </c>
      <c r="T203" s="11">
        <v>146</v>
      </c>
      <c r="U203" s="11">
        <v>249</v>
      </c>
      <c r="V203" s="11">
        <v>187</v>
      </c>
      <c r="W203" s="11">
        <v>24</v>
      </c>
      <c r="X203" s="11">
        <v>-24</v>
      </c>
      <c r="Y203" s="11">
        <v>-19</v>
      </c>
      <c r="Z203" s="25" t="s">
        <v>886</v>
      </c>
    </row>
    <row r="204" spans="1:26" ht="14.25" customHeight="1" x14ac:dyDescent="0.25">
      <c r="A204" s="11"/>
      <c r="B204" s="11">
        <v>19</v>
      </c>
      <c r="C204" s="11" t="s">
        <v>148</v>
      </c>
      <c r="D204" s="11"/>
      <c r="E204" s="11"/>
      <c r="F204" s="11">
        <v>0</v>
      </c>
      <c r="G204" s="11" t="s">
        <v>270</v>
      </c>
      <c r="H204" s="11" t="s">
        <v>88</v>
      </c>
      <c r="I204" s="11">
        <v>204</v>
      </c>
      <c r="J204" s="11">
        <v>0</v>
      </c>
      <c r="K204" s="11" t="s">
        <v>886</v>
      </c>
      <c r="L204" s="11">
        <v>27</v>
      </c>
      <c r="M204" s="11">
        <v>212</v>
      </c>
      <c r="N204" s="11">
        <v>-8</v>
      </c>
      <c r="O204" s="11">
        <v>197</v>
      </c>
      <c r="P204" s="11">
        <v>15</v>
      </c>
      <c r="Q204" s="11" t="s">
        <v>36</v>
      </c>
      <c r="R204" s="11">
        <v>227</v>
      </c>
      <c r="S204" s="11">
        <v>226</v>
      </c>
      <c r="T204" s="11">
        <v>180</v>
      </c>
      <c r="U204" s="11">
        <v>278</v>
      </c>
      <c r="V204" s="11">
        <v>220</v>
      </c>
      <c r="W204" s="11">
        <v>28</v>
      </c>
      <c r="X204" s="11">
        <v>-28</v>
      </c>
      <c r="Y204" s="11">
        <v>16</v>
      </c>
      <c r="Z204" s="25" t="s">
        <v>886</v>
      </c>
    </row>
    <row r="205" spans="1:26" ht="14.25" customHeight="1" x14ac:dyDescent="0.25">
      <c r="A205" s="11"/>
      <c r="B205" s="11" t="e">
        <v>#N/A</v>
      </c>
      <c r="C205" s="11" t="s">
        <v>148</v>
      </c>
      <c r="D205" s="11"/>
      <c r="E205" s="11"/>
      <c r="F205" s="11" t="e">
        <v>#N/A</v>
      </c>
      <c r="G205" s="11" t="s">
        <v>936</v>
      </c>
      <c r="H205" s="11" t="e">
        <v>#N/A</v>
      </c>
      <c r="I205" s="11" t="e">
        <v>#N/A</v>
      </c>
      <c r="J205" s="11" t="e">
        <v>#N/A</v>
      </c>
      <c r="K205" s="11" t="e">
        <v>#N/A</v>
      </c>
      <c r="L205" s="11">
        <v>16</v>
      </c>
      <c r="M205" s="11" t="e">
        <v>#N/A</v>
      </c>
      <c r="N205" s="11" t="e">
        <v>#N/A</v>
      </c>
      <c r="O205" s="11" t="e">
        <v>#N/A</v>
      </c>
      <c r="P205" s="11" t="e">
        <v>#N/A</v>
      </c>
      <c r="Q205" s="11" t="e">
        <v>#N/A</v>
      </c>
      <c r="R205" s="11" t="e">
        <v>#N/A</v>
      </c>
      <c r="S205" s="11" t="e">
        <v>#N/A</v>
      </c>
      <c r="T205" s="11" t="e">
        <v>#N/A</v>
      </c>
      <c r="U205" s="11" t="e">
        <v>#N/A</v>
      </c>
      <c r="V205" s="11" t="e">
        <v>#N/A</v>
      </c>
      <c r="W205" s="11">
        <v>16</v>
      </c>
      <c r="X205" s="11">
        <v>-16</v>
      </c>
      <c r="Y205" s="11" t="e">
        <v>#N/A</v>
      </c>
      <c r="Z205" s="25" t="e">
        <v>#N/A</v>
      </c>
    </row>
    <row r="206" spans="1:26" ht="14.25" customHeight="1" x14ac:dyDescent="0.25">
      <c r="A206" s="11"/>
      <c r="B206" s="11">
        <v>17</v>
      </c>
      <c r="C206" s="11" t="s">
        <v>148</v>
      </c>
      <c r="D206" s="11"/>
      <c r="E206" s="11"/>
      <c r="F206" s="11">
        <v>0</v>
      </c>
      <c r="G206" s="11" t="s">
        <v>523</v>
      </c>
      <c r="H206" s="11" t="s">
        <v>35</v>
      </c>
      <c r="I206" s="11" t="s">
        <v>36</v>
      </c>
      <c r="J206" s="11">
        <v>0</v>
      </c>
      <c r="K206" s="11" t="s">
        <v>886</v>
      </c>
      <c r="L206" s="11">
        <v>24</v>
      </c>
      <c r="M206" s="11">
        <v>187</v>
      </c>
      <c r="N206" s="11">
        <v>-8</v>
      </c>
      <c r="O206" s="11">
        <v>178</v>
      </c>
      <c r="P206" s="11">
        <v>9</v>
      </c>
      <c r="Q206" s="11">
        <v>136</v>
      </c>
      <c r="R206" s="11">
        <v>257</v>
      </c>
      <c r="S206" s="11">
        <v>254</v>
      </c>
      <c r="T206" s="11">
        <v>201</v>
      </c>
      <c r="U206" s="11">
        <v>152</v>
      </c>
      <c r="V206" s="11">
        <v>195</v>
      </c>
      <c r="W206" s="11">
        <v>25</v>
      </c>
      <c r="X206" s="11">
        <v>-25</v>
      </c>
      <c r="Y206" s="11">
        <v>-9</v>
      </c>
      <c r="Z206" s="25" t="s">
        <v>886</v>
      </c>
    </row>
    <row r="207" spans="1:26" ht="14.25" customHeight="1" x14ac:dyDescent="0.25">
      <c r="A207" s="11"/>
      <c r="B207" s="11">
        <v>16</v>
      </c>
      <c r="C207" s="11" t="s">
        <v>148</v>
      </c>
      <c r="D207" s="11"/>
      <c r="E207" s="11"/>
      <c r="F207" s="11">
        <v>0</v>
      </c>
      <c r="G207" s="11" t="s">
        <v>467</v>
      </c>
      <c r="H207" s="11" t="s">
        <v>160</v>
      </c>
      <c r="I207" s="11">
        <v>146</v>
      </c>
      <c r="J207" s="11">
        <v>0</v>
      </c>
      <c r="K207" s="11" t="s">
        <v>890</v>
      </c>
      <c r="L207" s="11">
        <v>26</v>
      </c>
      <c r="M207" s="11">
        <v>201</v>
      </c>
      <c r="N207" s="11">
        <v>17</v>
      </c>
      <c r="O207" s="11">
        <v>190</v>
      </c>
      <c r="P207" s="11">
        <v>11</v>
      </c>
      <c r="Q207" s="11">
        <v>193</v>
      </c>
      <c r="R207" s="11">
        <v>187</v>
      </c>
      <c r="S207" s="11">
        <v>170</v>
      </c>
      <c r="T207" s="11">
        <v>157</v>
      </c>
      <c r="U207" s="11">
        <v>194</v>
      </c>
      <c r="V207" s="11">
        <v>184</v>
      </c>
      <c r="W207" s="11">
        <v>24</v>
      </c>
      <c r="X207" s="11">
        <v>-24</v>
      </c>
      <c r="Y207" s="11">
        <v>-48</v>
      </c>
      <c r="Z207" s="25">
        <v>21</v>
      </c>
    </row>
    <row r="208" spans="1:26" ht="14.25" customHeight="1" x14ac:dyDescent="0.25">
      <c r="A208" s="11"/>
      <c r="B208" s="11" t="e">
        <v>#N/A</v>
      </c>
      <c r="C208" s="11" t="s">
        <v>148</v>
      </c>
      <c r="D208" s="11"/>
      <c r="E208" s="11"/>
      <c r="F208" s="11" t="e">
        <v>#N/A</v>
      </c>
      <c r="G208" s="11" t="s">
        <v>937</v>
      </c>
      <c r="H208" s="11" t="e">
        <v>#N/A</v>
      </c>
      <c r="I208" s="11" t="e">
        <v>#N/A</v>
      </c>
      <c r="J208" s="11" t="e">
        <v>#N/A</v>
      </c>
      <c r="K208" s="11" t="e">
        <v>#N/A</v>
      </c>
      <c r="L208" s="11">
        <v>16</v>
      </c>
      <c r="M208" s="11" t="e">
        <v>#N/A</v>
      </c>
      <c r="N208" s="11" t="e">
        <v>#N/A</v>
      </c>
      <c r="O208" s="11" t="e">
        <v>#N/A</v>
      </c>
      <c r="P208" s="11" t="e">
        <v>#N/A</v>
      </c>
      <c r="Q208" s="11" t="e">
        <v>#N/A</v>
      </c>
      <c r="R208" s="11" t="e">
        <v>#N/A</v>
      </c>
      <c r="S208" s="11" t="e">
        <v>#N/A</v>
      </c>
      <c r="T208" s="11" t="e">
        <v>#N/A</v>
      </c>
      <c r="U208" s="11" t="e">
        <v>#N/A</v>
      </c>
      <c r="V208" s="11" t="e">
        <v>#N/A</v>
      </c>
      <c r="W208" s="11">
        <v>16</v>
      </c>
      <c r="X208" s="11">
        <v>-16</v>
      </c>
      <c r="Y208" s="11" t="e">
        <v>#N/A</v>
      </c>
      <c r="Z208" s="25" t="e">
        <v>#N/A</v>
      </c>
    </row>
    <row r="209" spans="1:26" ht="14.25" customHeight="1" x14ac:dyDescent="0.25">
      <c r="A209" s="11"/>
      <c r="B209" s="11">
        <v>14</v>
      </c>
      <c r="C209" s="11" t="s">
        <v>148</v>
      </c>
      <c r="D209" s="11"/>
      <c r="E209" s="11"/>
      <c r="F209" s="11">
        <v>0</v>
      </c>
      <c r="G209" s="11" t="s">
        <v>938</v>
      </c>
      <c r="H209" s="11" t="s">
        <v>233</v>
      </c>
      <c r="I209" s="11">
        <v>189</v>
      </c>
      <c r="J209" s="11">
        <v>0</v>
      </c>
      <c r="K209" s="11" t="s">
        <v>886</v>
      </c>
      <c r="L209" s="11">
        <v>14</v>
      </c>
      <c r="M209" s="11">
        <v>110</v>
      </c>
      <c r="N209" s="11">
        <v>-47</v>
      </c>
      <c r="O209" s="11">
        <v>183</v>
      </c>
      <c r="P209" s="11">
        <v>-73</v>
      </c>
      <c r="Q209" s="11">
        <v>186</v>
      </c>
      <c r="R209" s="11">
        <v>203</v>
      </c>
      <c r="S209" s="11">
        <v>161</v>
      </c>
      <c r="T209" s="11">
        <v>169</v>
      </c>
      <c r="U209" s="11">
        <v>91</v>
      </c>
      <c r="V209" s="11">
        <v>157</v>
      </c>
      <c r="W209" s="11">
        <v>20</v>
      </c>
      <c r="X209" s="11">
        <v>-20</v>
      </c>
      <c r="Y209" s="11">
        <v>3</v>
      </c>
      <c r="Z209" s="25" t="s">
        <v>886</v>
      </c>
    </row>
    <row r="210" spans="1:26" ht="14.25" customHeight="1" x14ac:dyDescent="0.25">
      <c r="A210" s="11"/>
      <c r="B210" s="11">
        <v>9</v>
      </c>
      <c r="C210" s="11" t="s">
        <v>148</v>
      </c>
      <c r="D210" s="11"/>
      <c r="E210" s="11"/>
      <c r="F210" s="11">
        <v>0</v>
      </c>
      <c r="G210" s="11" t="s">
        <v>812</v>
      </c>
      <c r="H210" s="11" t="s">
        <v>145</v>
      </c>
      <c r="I210" s="11">
        <v>98</v>
      </c>
      <c r="J210" s="11">
        <v>0</v>
      </c>
      <c r="K210" s="11" t="s">
        <v>852</v>
      </c>
      <c r="L210" s="11">
        <v>18</v>
      </c>
      <c r="M210" s="11">
        <v>136</v>
      </c>
      <c r="N210" s="11">
        <v>24</v>
      </c>
      <c r="O210" s="11">
        <v>116</v>
      </c>
      <c r="P210" s="11">
        <v>20</v>
      </c>
      <c r="Q210" s="11">
        <v>120</v>
      </c>
      <c r="R210" s="11">
        <v>121</v>
      </c>
      <c r="S210" s="11">
        <v>119</v>
      </c>
      <c r="T210" s="11">
        <v>112</v>
      </c>
      <c r="U210" s="11">
        <v>63</v>
      </c>
      <c r="V210" s="11">
        <v>112</v>
      </c>
      <c r="W210" s="11">
        <v>15</v>
      </c>
      <c r="X210" s="11">
        <v>-15</v>
      </c>
      <c r="Y210" s="11">
        <v>-10</v>
      </c>
      <c r="Z210" s="25">
        <v>10</v>
      </c>
    </row>
    <row r="211" spans="1:26" ht="14.25" customHeight="1" x14ac:dyDescent="0.25">
      <c r="A211" s="11"/>
      <c r="B211" s="11">
        <v>8</v>
      </c>
      <c r="C211" s="11" t="s">
        <v>148</v>
      </c>
      <c r="D211" s="11"/>
      <c r="E211" s="11"/>
      <c r="F211" s="11">
        <v>0</v>
      </c>
      <c r="G211" s="11" t="s">
        <v>435</v>
      </c>
      <c r="H211" s="11" t="s">
        <v>126</v>
      </c>
      <c r="I211" s="11">
        <v>88</v>
      </c>
      <c r="J211" s="11">
        <v>0</v>
      </c>
      <c r="K211" s="11" t="s">
        <v>848</v>
      </c>
      <c r="L211" s="11">
        <v>11</v>
      </c>
      <c r="M211" s="11">
        <v>82</v>
      </c>
      <c r="N211" s="11">
        <v>-1</v>
      </c>
      <c r="O211" s="11">
        <v>70</v>
      </c>
      <c r="P211" s="11">
        <v>12</v>
      </c>
      <c r="Q211" s="11">
        <v>81</v>
      </c>
      <c r="R211" s="11">
        <v>90</v>
      </c>
      <c r="S211" s="11">
        <v>80</v>
      </c>
      <c r="T211" s="11">
        <v>81</v>
      </c>
      <c r="U211" s="11">
        <v>101</v>
      </c>
      <c r="V211" s="11">
        <v>83</v>
      </c>
      <c r="W211" s="11">
        <v>11</v>
      </c>
      <c r="X211" s="11">
        <v>-11</v>
      </c>
      <c r="Y211" s="11">
        <v>-16</v>
      </c>
      <c r="Z211" s="25">
        <v>34</v>
      </c>
    </row>
    <row r="212" spans="1:26" ht="14.25" customHeight="1" x14ac:dyDescent="0.25">
      <c r="A212" s="11"/>
      <c r="B212" s="11" t="e">
        <v>#N/A</v>
      </c>
      <c r="C212" s="11" t="s">
        <v>148</v>
      </c>
      <c r="D212" s="11"/>
      <c r="E212" s="11"/>
      <c r="F212" s="11" t="e">
        <v>#N/A</v>
      </c>
      <c r="G212" s="11" t="s">
        <v>939</v>
      </c>
      <c r="H212" s="11" t="e">
        <v>#N/A</v>
      </c>
      <c r="I212" s="11" t="e">
        <v>#N/A</v>
      </c>
      <c r="J212" s="11" t="e">
        <v>#N/A</v>
      </c>
      <c r="K212" s="11" t="e">
        <v>#N/A</v>
      </c>
      <c r="L212" s="11">
        <v>16</v>
      </c>
      <c r="M212" s="11" t="e">
        <v>#N/A</v>
      </c>
      <c r="N212" s="11" t="e">
        <v>#N/A</v>
      </c>
      <c r="O212" s="11" t="e">
        <v>#N/A</v>
      </c>
      <c r="P212" s="11" t="e">
        <v>#N/A</v>
      </c>
      <c r="Q212" s="11" t="e">
        <v>#N/A</v>
      </c>
      <c r="R212" s="11" t="e">
        <v>#N/A</v>
      </c>
      <c r="S212" s="11" t="e">
        <v>#N/A</v>
      </c>
      <c r="T212" s="11" t="e">
        <v>#N/A</v>
      </c>
      <c r="U212" s="11" t="e">
        <v>#N/A</v>
      </c>
      <c r="V212" s="11" t="e">
        <v>#N/A</v>
      </c>
      <c r="W212" s="11">
        <v>16</v>
      </c>
      <c r="X212" s="11">
        <v>-16</v>
      </c>
      <c r="Y212" s="11" t="e">
        <v>#N/A</v>
      </c>
      <c r="Z212" s="25" t="e">
        <v>#N/A</v>
      </c>
    </row>
    <row r="213" spans="1:26" ht="14.25" customHeight="1" x14ac:dyDescent="0.25">
      <c r="A213" s="11"/>
      <c r="B213" s="11">
        <v>21</v>
      </c>
      <c r="C213" s="11" t="s">
        <v>148</v>
      </c>
      <c r="D213" s="11"/>
      <c r="E213" s="11"/>
      <c r="F213" s="11">
        <v>0</v>
      </c>
      <c r="G213" s="11" t="s">
        <v>940</v>
      </c>
      <c r="H213" s="11" t="s">
        <v>116</v>
      </c>
      <c r="I213" s="11">
        <v>202</v>
      </c>
      <c r="J213" s="11">
        <v>0</v>
      </c>
      <c r="K213" s="11" t="s">
        <v>886</v>
      </c>
      <c r="L213" s="11">
        <v>16</v>
      </c>
      <c r="M213" s="11" t="s">
        <v>36</v>
      </c>
      <c r="N213" s="11" t="e">
        <v>#VALUE!</v>
      </c>
      <c r="O213" s="11" t="s">
        <v>36</v>
      </c>
      <c r="P213" s="11" t="e">
        <v>#VALUE!</v>
      </c>
      <c r="Q213" s="11" t="s">
        <v>36</v>
      </c>
      <c r="R213" s="11" t="s">
        <v>36</v>
      </c>
      <c r="S213" s="11">
        <v>209</v>
      </c>
      <c r="T213" s="11">
        <v>237</v>
      </c>
      <c r="U213" s="11">
        <v>295</v>
      </c>
      <c r="V213" s="11">
        <v>247</v>
      </c>
      <c r="W213" s="11">
        <v>31</v>
      </c>
      <c r="X213" s="11">
        <v>-31</v>
      </c>
      <c r="Y213" s="11">
        <v>-18</v>
      </c>
      <c r="Z213" s="25" t="s">
        <v>886</v>
      </c>
    </row>
    <row r="214" spans="1:26" ht="14.25" customHeight="1" x14ac:dyDescent="0.25">
      <c r="A214" s="11"/>
      <c r="B214" s="11">
        <v>25</v>
      </c>
      <c r="C214" s="11" t="s">
        <v>148</v>
      </c>
      <c r="D214" s="11"/>
      <c r="E214" s="11"/>
      <c r="F214" s="11">
        <v>0</v>
      </c>
      <c r="G214" s="11" t="s">
        <v>941</v>
      </c>
      <c r="H214" s="11" t="s">
        <v>69</v>
      </c>
      <c r="I214" s="11">
        <v>284</v>
      </c>
      <c r="J214" s="11">
        <v>0</v>
      </c>
      <c r="K214" s="11" t="s">
        <v>886</v>
      </c>
      <c r="L214" s="11">
        <v>40</v>
      </c>
      <c r="M214" s="11">
        <v>319</v>
      </c>
      <c r="N214" s="11">
        <v>16</v>
      </c>
      <c r="O214" s="11" t="s">
        <v>36</v>
      </c>
      <c r="P214" s="11" t="e">
        <v>#VALUE!</v>
      </c>
      <c r="Q214" s="11" t="s">
        <v>36</v>
      </c>
      <c r="R214" s="11" t="s">
        <v>36</v>
      </c>
      <c r="S214" s="11">
        <v>340</v>
      </c>
      <c r="T214" s="11">
        <v>270</v>
      </c>
      <c r="U214" s="11">
        <v>284</v>
      </c>
      <c r="V214" s="11">
        <v>303</v>
      </c>
      <c r="W214" s="11">
        <v>38</v>
      </c>
      <c r="X214" s="11">
        <v>-38</v>
      </c>
      <c r="Y214" s="11" t="e">
        <v>#VALUE!</v>
      </c>
      <c r="Z214" s="25" t="s">
        <v>886</v>
      </c>
    </row>
    <row r="215" spans="1:26" ht="14.25" customHeight="1" x14ac:dyDescent="0.25">
      <c r="A215" s="11"/>
      <c r="B215" s="11">
        <v>23</v>
      </c>
      <c r="C215" s="11" t="s">
        <v>148</v>
      </c>
      <c r="D215" s="11"/>
      <c r="E215" s="11"/>
      <c r="F215" s="11">
        <v>0</v>
      </c>
      <c r="G215" s="11" t="s">
        <v>403</v>
      </c>
      <c r="H215" s="11" t="s">
        <v>60</v>
      </c>
      <c r="I215" s="11">
        <v>188</v>
      </c>
      <c r="J215" s="11" t="s">
        <v>148</v>
      </c>
      <c r="K215" s="11" t="s">
        <v>942</v>
      </c>
      <c r="L215" s="11">
        <v>35</v>
      </c>
      <c r="M215" s="11">
        <v>277</v>
      </c>
      <c r="N215" s="11">
        <v>24</v>
      </c>
      <c r="O215" s="11">
        <v>156</v>
      </c>
      <c r="P215" s="11">
        <v>121</v>
      </c>
      <c r="Q215" s="11" t="s">
        <v>36</v>
      </c>
      <c r="R215" s="11">
        <v>310</v>
      </c>
      <c r="S215" s="11">
        <v>231</v>
      </c>
      <c r="T215" s="11">
        <v>236</v>
      </c>
      <c r="U215" s="11">
        <v>310</v>
      </c>
      <c r="V215" s="11">
        <v>253</v>
      </c>
      <c r="W215" s="11">
        <v>32</v>
      </c>
      <c r="X215" s="11">
        <v>-32</v>
      </c>
      <c r="Y215" s="11">
        <v>-8</v>
      </c>
      <c r="Z215" s="25">
        <v>25</v>
      </c>
    </row>
    <row r="216" spans="1:26" ht="14.25" customHeight="1" x14ac:dyDescent="0.25">
      <c r="A216" s="11"/>
      <c r="B216" s="11">
        <v>19</v>
      </c>
      <c r="C216" s="11" t="s">
        <v>148</v>
      </c>
      <c r="D216" s="11"/>
      <c r="E216" s="11"/>
      <c r="F216" s="11">
        <v>0</v>
      </c>
      <c r="G216" s="11" t="s">
        <v>943</v>
      </c>
      <c r="H216" s="11" t="s">
        <v>163</v>
      </c>
      <c r="I216" s="11" t="s">
        <v>36</v>
      </c>
      <c r="J216" s="11">
        <v>0</v>
      </c>
      <c r="K216" s="11" t="s">
        <v>886</v>
      </c>
      <c r="L216" s="11">
        <v>24</v>
      </c>
      <c r="M216" s="11">
        <v>184</v>
      </c>
      <c r="N216" s="11">
        <v>-36</v>
      </c>
      <c r="O216" s="11" t="s">
        <v>36</v>
      </c>
      <c r="P216" s="11" t="e">
        <v>#VALUE!</v>
      </c>
      <c r="Q216" s="11">
        <v>202</v>
      </c>
      <c r="R216" s="11">
        <v>228</v>
      </c>
      <c r="S216" s="11">
        <v>317</v>
      </c>
      <c r="T216" s="11">
        <v>254</v>
      </c>
      <c r="U216" s="11">
        <v>138</v>
      </c>
      <c r="V216" s="11">
        <v>220</v>
      </c>
      <c r="W216" s="11">
        <v>28</v>
      </c>
      <c r="X216" s="11">
        <v>-28</v>
      </c>
      <c r="Y216" s="11" t="e">
        <v>#VALUE!</v>
      </c>
      <c r="Z216" s="25" t="s">
        <v>886</v>
      </c>
    </row>
    <row r="217" spans="1:26" ht="14.25" customHeight="1" x14ac:dyDescent="0.25">
      <c r="A217" s="11"/>
      <c r="B217" s="11" t="e">
        <v>#N/A</v>
      </c>
      <c r="C217" s="11" t="s">
        <v>148</v>
      </c>
      <c r="D217" s="11"/>
      <c r="E217" s="11"/>
      <c r="F217" s="11" t="e">
        <v>#N/A</v>
      </c>
      <c r="G217" s="11" t="s">
        <v>944</v>
      </c>
      <c r="H217" s="11" t="e">
        <v>#N/A</v>
      </c>
      <c r="I217" s="11" t="e">
        <v>#N/A</v>
      </c>
      <c r="J217" s="11" t="e">
        <v>#N/A</v>
      </c>
      <c r="K217" s="11" t="e">
        <v>#N/A</v>
      </c>
      <c r="L217" s="11">
        <v>16</v>
      </c>
      <c r="M217" s="11" t="e">
        <v>#N/A</v>
      </c>
      <c r="N217" s="11" t="e">
        <v>#N/A</v>
      </c>
      <c r="O217" s="11" t="e">
        <v>#N/A</v>
      </c>
      <c r="P217" s="11" t="e">
        <v>#N/A</v>
      </c>
      <c r="Q217" s="11" t="e">
        <v>#N/A</v>
      </c>
      <c r="R217" s="11" t="e">
        <v>#N/A</v>
      </c>
      <c r="S217" s="11" t="e">
        <v>#N/A</v>
      </c>
      <c r="T217" s="11" t="e">
        <v>#N/A</v>
      </c>
      <c r="U217" s="11" t="e">
        <v>#N/A</v>
      </c>
      <c r="V217" s="11" t="e">
        <v>#N/A</v>
      </c>
      <c r="W217" s="11">
        <v>16</v>
      </c>
      <c r="X217" s="11">
        <v>-16</v>
      </c>
      <c r="Y217" s="11" t="e">
        <v>#N/A</v>
      </c>
      <c r="Z217" s="25" t="e">
        <v>#N/A</v>
      </c>
    </row>
    <row r="218" spans="1:26" ht="14.25" customHeight="1" x14ac:dyDescent="0.25">
      <c r="A218" s="11"/>
      <c r="B218" s="11">
        <v>20</v>
      </c>
      <c r="C218" s="11" t="s">
        <v>148</v>
      </c>
      <c r="D218" s="11"/>
      <c r="E218" s="11"/>
      <c r="F218" s="11">
        <v>0</v>
      </c>
      <c r="G218" s="11" t="s">
        <v>945</v>
      </c>
      <c r="H218" s="11" t="s">
        <v>155</v>
      </c>
      <c r="I218" s="11">
        <v>220</v>
      </c>
      <c r="J218" s="11">
        <v>0</v>
      </c>
      <c r="K218" s="11" t="s">
        <v>886</v>
      </c>
      <c r="L218" s="11">
        <v>26</v>
      </c>
      <c r="M218" s="11">
        <v>203</v>
      </c>
      <c r="N218" s="11">
        <v>-25</v>
      </c>
      <c r="O218" s="11">
        <v>213</v>
      </c>
      <c r="P218" s="11">
        <v>-10</v>
      </c>
      <c r="Q218" s="11" t="s">
        <v>36</v>
      </c>
      <c r="R218" s="11">
        <v>275</v>
      </c>
      <c r="S218" s="11">
        <v>186</v>
      </c>
      <c r="T218" s="11">
        <v>188</v>
      </c>
      <c r="U218" s="11">
        <v>304</v>
      </c>
      <c r="V218" s="11">
        <v>228</v>
      </c>
      <c r="W218" s="11">
        <v>29</v>
      </c>
      <c r="X218" s="11">
        <v>-29</v>
      </c>
      <c r="Y218" s="11">
        <v>-57</v>
      </c>
      <c r="Z218" s="25" t="s">
        <v>886</v>
      </c>
    </row>
    <row r="219" spans="1:26" ht="14.25" customHeight="1" x14ac:dyDescent="0.25">
      <c r="A219" s="11"/>
      <c r="B219" s="11">
        <v>22</v>
      </c>
      <c r="C219" s="11" t="s">
        <v>148</v>
      </c>
      <c r="D219" s="11"/>
      <c r="E219" s="11"/>
      <c r="F219" s="11">
        <v>0</v>
      </c>
      <c r="G219" s="11" t="s">
        <v>946</v>
      </c>
      <c r="H219" s="11" t="s">
        <v>60</v>
      </c>
      <c r="I219" s="11" t="s">
        <v>36</v>
      </c>
      <c r="J219" s="11">
        <v>0</v>
      </c>
      <c r="K219" s="11" t="s">
        <v>886</v>
      </c>
      <c r="L219" s="11">
        <v>37</v>
      </c>
      <c r="M219" s="11">
        <v>290</v>
      </c>
      <c r="N219" s="11">
        <v>29</v>
      </c>
      <c r="O219" s="11" t="s">
        <v>36</v>
      </c>
      <c r="P219" s="11" t="e">
        <v>#VALUE!</v>
      </c>
      <c r="Q219" s="11">
        <v>180</v>
      </c>
      <c r="R219" s="11" t="s">
        <v>36</v>
      </c>
      <c r="S219" s="11">
        <v>331</v>
      </c>
      <c r="T219" s="11">
        <v>271</v>
      </c>
      <c r="U219" s="11">
        <v>234</v>
      </c>
      <c r="V219" s="11">
        <v>261</v>
      </c>
      <c r="W219" s="11">
        <v>33</v>
      </c>
      <c r="X219" s="11">
        <v>-33</v>
      </c>
      <c r="Y219" s="11" t="e">
        <v>#VALUE!</v>
      </c>
      <c r="Z219" s="25" t="s">
        <v>886</v>
      </c>
    </row>
    <row r="220" spans="1:26" ht="14.25" customHeight="1" x14ac:dyDescent="0.25">
      <c r="A220" s="11"/>
      <c r="B220" s="11">
        <v>14</v>
      </c>
      <c r="C220" s="11" t="s">
        <v>148</v>
      </c>
      <c r="D220" s="11"/>
      <c r="E220" s="11"/>
      <c r="F220" s="11">
        <v>0</v>
      </c>
      <c r="G220" s="11" t="s">
        <v>947</v>
      </c>
      <c r="H220" s="11" t="s">
        <v>184</v>
      </c>
      <c r="I220" s="11">
        <v>158</v>
      </c>
      <c r="J220" s="11">
        <v>0</v>
      </c>
      <c r="K220" s="11" t="s">
        <v>886</v>
      </c>
      <c r="L220" s="11">
        <v>21</v>
      </c>
      <c r="M220" s="11">
        <v>165</v>
      </c>
      <c r="N220" s="11">
        <v>8</v>
      </c>
      <c r="O220" s="11">
        <v>115</v>
      </c>
      <c r="P220" s="11">
        <v>50</v>
      </c>
      <c r="Q220" s="11">
        <v>154</v>
      </c>
      <c r="R220" s="11">
        <v>207</v>
      </c>
      <c r="S220" s="11">
        <v>133</v>
      </c>
      <c r="T220" s="11">
        <v>165</v>
      </c>
      <c r="U220" s="11">
        <v>162</v>
      </c>
      <c r="V220" s="11">
        <v>157</v>
      </c>
      <c r="W220" s="11">
        <v>20</v>
      </c>
      <c r="X220" s="11">
        <v>-20</v>
      </c>
      <c r="Y220" s="11">
        <v>-4</v>
      </c>
      <c r="Z220" s="25" t="s">
        <v>886</v>
      </c>
    </row>
    <row r="221" spans="1:26" ht="14.25" customHeight="1" x14ac:dyDescent="0.25">
      <c r="A221" s="11"/>
      <c r="B221" s="11">
        <v>24</v>
      </c>
      <c r="C221" s="11" t="s">
        <v>148</v>
      </c>
      <c r="D221" s="11"/>
      <c r="E221" s="11"/>
      <c r="F221" s="11">
        <v>0</v>
      </c>
      <c r="G221" s="11" t="s">
        <v>948</v>
      </c>
      <c r="H221" s="11" t="s">
        <v>85</v>
      </c>
      <c r="I221" s="11">
        <v>283</v>
      </c>
      <c r="J221" s="11">
        <v>0</v>
      </c>
      <c r="K221" s="11" t="s">
        <v>886</v>
      </c>
      <c r="L221" s="11">
        <v>36</v>
      </c>
      <c r="M221" s="11">
        <v>287</v>
      </c>
      <c r="N221" s="11">
        <v>5</v>
      </c>
      <c r="O221" s="11" t="s">
        <v>36</v>
      </c>
      <c r="P221" s="11" t="e">
        <v>#VALUE!</v>
      </c>
      <c r="Q221" s="11" t="s">
        <v>36</v>
      </c>
      <c r="R221" s="11">
        <v>313</v>
      </c>
      <c r="S221" s="11">
        <v>293</v>
      </c>
      <c r="T221" s="11">
        <v>268</v>
      </c>
      <c r="U221" s="11">
        <v>252</v>
      </c>
      <c r="V221" s="11">
        <v>282</v>
      </c>
      <c r="W221" s="11">
        <v>36</v>
      </c>
      <c r="X221" s="11">
        <v>-36</v>
      </c>
      <c r="Y221" s="11" t="e">
        <v>#VALUE!</v>
      </c>
      <c r="Z221" s="25" t="s">
        <v>886</v>
      </c>
    </row>
    <row r="222" spans="1:26" ht="14.25" customHeight="1" x14ac:dyDescent="0.25">
      <c r="A222" s="11"/>
      <c r="B222" s="11">
        <v>21</v>
      </c>
      <c r="C222" s="11" t="s">
        <v>148</v>
      </c>
      <c r="D222" s="11"/>
      <c r="E222" s="11"/>
      <c r="F222" s="11">
        <v>0</v>
      </c>
      <c r="G222" s="11" t="s">
        <v>949</v>
      </c>
      <c r="H222" s="11" t="s">
        <v>126</v>
      </c>
      <c r="I222" s="11">
        <v>217</v>
      </c>
      <c r="J222" s="11">
        <v>0</v>
      </c>
      <c r="K222" s="11" t="s">
        <v>886</v>
      </c>
      <c r="L222" s="11">
        <v>34</v>
      </c>
      <c r="M222" s="11">
        <v>265</v>
      </c>
      <c r="N222" s="11">
        <v>20</v>
      </c>
      <c r="O222" s="11" t="s">
        <v>36</v>
      </c>
      <c r="P222" s="11" t="e">
        <v>#VALUE!</v>
      </c>
      <c r="Q222" s="11">
        <v>239</v>
      </c>
      <c r="R222" s="11">
        <v>264</v>
      </c>
      <c r="S222" s="11">
        <v>243</v>
      </c>
      <c r="T222" s="11">
        <v>238</v>
      </c>
      <c r="U222" s="11">
        <v>225</v>
      </c>
      <c r="V222" s="11">
        <v>245</v>
      </c>
      <c r="W222" s="11">
        <v>31</v>
      </c>
      <c r="X222" s="11">
        <v>-31</v>
      </c>
      <c r="Y222" s="11" t="e">
        <v>#VALUE!</v>
      </c>
      <c r="Z222" s="25" t="s">
        <v>886</v>
      </c>
    </row>
    <row r="223" spans="1:26" ht="14.25" customHeight="1" x14ac:dyDescent="0.25">
      <c r="A223" s="11"/>
      <c r="B223" s="11">
        <v>11</v>
      </c>
      <c r="C223" s="11" t="s">
        <v>148</v>
      </c>
      <c r="D223" s="11"/>
      <c r="E223" s="11"/>
      <c r="F223" s="11">
        <v>0</v>
      </c>
      <c r="G223" s="11" t="s">
        <v>204</v>
      </c>
      <c r="H223" s="11" t="s">
        <v>104</v>
      </c>
      <c r="I223" s="11">
        <v>110</v>
      </c>
      <c r="J223" s="11">
        <v>0</v>
      </c>
      <c r="K223" s="11" t="s">
        <v>895</v>
      </c>
      <c r="L223" s="11">
        <v>16</v>
      </c>
      <c r="M223" s="11">
        <v>127</v>
      </c>
      <c r="N223" s="11">
        <v>1</v>
      </c>
      <c r="O223" s="11">
        <v>130</v>
      </c>
      <c r="P223" s="11">
        <v>-3</v>
      </c>
      <c r="Q223" s="11">
        <v>124</v>
      </c>
      <c r="R223" s="11">
        <v>130</v>
      </c>
      <c r="S223" s="11">
        <v>117</v>
      </c>
      <c r="T223" s="11">
        <v>114</v>
      </c>
      <c r="U223" s="11">
        <v>144</v>
      </c>
      <c r="V223" s="11">
        <v>126</v>
      </c>
      <c r="W223" s="11">
        <v>16</v>
      </c>
      <c r="X223" s="11">
        <v>-16</v>
      </c>
      <c r="Y223" s="11">
        <v>-27</v>
      </c>
      <c r="Z223" s="25">
        <v>14</v>
      </c>
    </row>
    <row r="224" spans="1:26" ht="14.25" customHeight="1" x14ac:dyDescent="0.25">
      <c r="A224" s="11"/>
      <c r="B224" s="11">
        <v>12</v>
      </c>
      <c r="C224" s="11" t="s">
        <v>148</v>
      </c>
      <c r="D224" s="11"/>
      <c r="E224" s="11"/>
      <c r="F224" s="11">
        <v>0</v>
      </c>
      <c r="G224" s="11" t="s">
        <v>399</v>
      </c>
      <c r="H224" s="11" t="s">
        <v>199</v>
      </c>
      <c r="I224" s="11">
        <v>126</v>
      </c>
      <c r="J224" s="11">
        <v>0</v>
      </c>
      <c r="K224" s="11" t="s">
        <v>894</v>
      </c>
      <c r="L224" s="11">
        <v>16</v>
      </c>
      <c r="M224" s="11">
        <v>122</v>
      </c>
      <c r="N224" s="11">
        <v>-13</v>
      </c>
      <c r="O224" s="11">
        <v>105</v>
      </c>
      <c r="P224" s="11">
        <v>17</v>
      </c>
      <c r="Q224" s="11">
        <v>132</v>
      </c>
      <c r="R224" s="11">
        <v>139</v>
      </c>
      <c r="S224" s="11">
        <v>120</v>
      </c>
      <c r="T224" s="11">
        <v>118</v>
      </c>
      <c r="U224" s="11">
        <v>209</v>
      </c>
      <c r="V224" s="11">
        <v>135</v>
      </c>
      <c r="W224" s="11">
        <v>17</v>
      </c>
      <c r="X224" s="11">
        <v>-17</v>
      </c>
      <c r="Y224" s="11">
        <v>-34</v>
      </c>
      <c r="Z224" s="25">
        <v>38</v>
      </c>
    </row>
    <row r="225" spans="1:26" ht="14.25" customHeight="1" x14ac:dyDescent="0.25">
      <c r="A225" s="11"/>
      <c r="B225" s="11">
        <v>18</v>
      </c>
      <c r="C225" s="11" t="s">
        <v>148</v>
      </c>
      <c r="D225" s="11"/>
      <c r="E225" s="11"/>
      <c r="F225" s="11">
        <v>0</v>
      </c>
      <c r="G225" s="11" t="s">
        <v>431</v>
      </c>
      <c r="H225" s="11" t="s">
        <v>52</v>
      </c>
      <c r="I225" s="11">
        <v>173</v>
      </c>
      <c r="J225" s="11">
        <v>0</v>
      </c>
      <c r="K225" s="11" t="s">
        <v>903</v>
      </c>
      <c r="L225" s="11">
        <v>29</v>
      </c>
      <c r="M225" s="11">
        <v>226</v>
      </c>
      <c r="N225" s="11">
        <v>16</v>
      </c>
      <c r="O225" s="11" t="s">
        <v>36</v>
      </c>
      <c r="P225" s="11" t="e">
        <v>#VALUE!</v>
      </c>
      <c r="Q225" s="11">
        <v>204</v>
      </c>
      <c r="R225" s="11">
        <v>222</v>
      </c>
      <c r="S225" s="11">
        <v>213</v>
      </c>
      <c r="T225" s="11">
        <v>196</v>
      </c>
      <c r="U225" s="11">
        <v>201</v>
      </c>
      <c r="V225" s="11">
        <v>210</v>
      </c>
      <c r="W225" s="11">
        <v>27</v>
      </c>
      <c r="X225" s="11">
        <v>-27</v>
      </c>
      <c r="Y225" s="11">
        <v>12</v>
      </c>
      <c r="Z225" s="25" t="s">
        <v>886</v>
      </c>
    </row>
    <row r="226" spans="1:26" ht="14.25" customHeight="1" x14ac:dyDescent="0.25">
      <c r="A226" s="11"/>
      <c r="B226" s="11">
        <v>23</v>
      </c>
      <c r="C226" s="11" t="s">
        <v>148</v>
      </c>
      <c r="D226" s="11"/>
      <c r="E226" s="11"/>
      <c r="F226" s="11">
        <v>0</v>
      </c>
      <c r="G226" s="11" t="s">
        <v>379</v>
      </c>
      <c r="H226" s="11" t="s">
        <v>129</v>
      </c>
      <c r="I226" s="11">
        <v>212</v>
      </c>
      <c r="J226" s="11">
        <v>0</v>
      </c>
      <c r="K226" s="11" t="s">
        <v>886</v>
      </c>
      <c r="L226" s="11">
        <v>35</v>
      </c>
      <c r="M226" s="11">
        <v>273</v>
      </c>
      <c r="N226" s="11">
        <v>5</v>
      </c>
      <c r="O226" s="11" t="s">
        <v>36</v>
      </c>
      <c r="P226" s="11" t="e">
        <v>#VALUE!</v>
      </c>
      <c r="Q226" s="11" t="s">
        <v>36</v>
      </c>
      <c r="R226" s="11">
        <v>311</v>
      </c>
      <c r="S226" s="11">
        <v>223</v>
      </c>
      <c r="T226" s="11">
        <v>256</v>
      </c>
      <c r="U226" s="11">
        <v>279</v>
      </c>
      <c r="V226" s="11">
        <v>268</v>
      </c>
      <c r="W226" s="11">
        <v>34</v>
      </c>
      <c r="X226" s="11">
        <v>-34</v>
      </c>
      <c r="Y226" s="11" t="e">
        <v>#VALUE!</v>
      </c>
      <c r="Z226" s="25" t="s">
        <v>886</v>
      </c>
    </row>
    <row r="227" spans="1:26" ht="14.25" customHeight="1" x14ac:dyDescent="0.25">
      <c r="A227" s="11"/>
      <c r="B227" s="11">
        <v>19</v>
      </c>
      <c r="C227" s="11" t="s">
        <v>148</v>
      </c>
      <c r="D227" s="11"/>
      <c r="E227" s="11"/>
      <c r="F227" s="11">
        <v>0</v>
      </c>
      <c r="G227" s="11" t="s">
        <v>519</v>
      </c>
      <c r="H227" s="11" t="s">
        <v>88</v>
      </c>
      <c r="I227" s="11" t="s">
        <v>36</v>
      </c>
      <c r="J227" s="11">
        <v>0</v>
      </c>
      <c r="K227" s="11" t="s">
        <v>886</v>
      </c>
      <c r="L227" s="11">
        <v>31</v>
      </c>
      <c r="M227" s="11">
        <v>246</v>
      </c>
      <c r="N227" s="11">
        <v>26</v>
      </c>
      <c r="O227" s="11">
        <v>174</v>
      </c>
      <c r="P227" s="11">
        <v>72</v>
      </c>
      <c r="Q227" s="11">
        <v>244</v>
      </c>
      <c r="R227" s="11">
        <v>251</v>
      </c>
      <c r="S227" s="11">
        <v>273</v>
      </c>
      <c r="T227" s="11">
        <v>197</v>
      </c>
      <c r="U227" s="11">
        <v>158</v>
      </c>
      <c r="V227" s="11">
        <v>220</v>
      </c>
      <c r="W227" s="11">
        <v>28</v>
      </c>
      <c r="X227" s="11">
        <v>-28</v>
      </c>
      <c r="Y227" s="11">
        <v>-33</v>
      </c>
      <c r="Z227" s="25" t="s">
        <v>886</v>
      </c>
    </row>
    <row r="228" spans="1:26" ht="14.25" customHeight="1" x14ac:dyDescent="0.25">
      <c r="A228" s="11"/>
      <c r="B228" s="11">
        <v>18</v>
      </c>
      <c r="C228" s="11" t="s">
        <v>148</v>
      </c>
      <c r="D228" s="11"/>
      <c r="E228" s="11"/>
      <c r="F228" s="11">
        <v>0</v>
      </c>
      <c r="G228" s="11" t="s">
        <v>950</v>
      </c>
      <c r="H228" s="11" t="s">
        <v>78</v>
      </c>
      <c r="I228" s="11" t="s">
        <v>36</v>
      </c>
      <c r="J228" s="11">
        <v>0</v>
      </c>
      <c r="K228" s="11" t="s">
        <v>886</v>
      </c>
      <c r="L228" s="11">
        <v>27</v>
      </c>
      <c r="M228" s="11">
        <v>214</v>
      </c>
      <c r="N228" s="11">
        <v>16</v>
      </c>
      <c r="O228" s="11">
        <v>182</v>
      </c>
      <c r="P228" s="11">
        <v>32</v>
      </c>
      <c r="Q228" s="11"/>
      <c r="R228" s="11"/>
      <c r="S228" s="11"/>
      <c r="T228" s="11"/>
      <c r="U228" s="11"/>
      <c r="V228" s="11">
        <v>198</v>
      </c>
      <c r="W228" s="11">
        <v>25</v>
      </c>
      <c r="X228" s="11">
        <v>-25</v>
      </c>
      <c r="Y228" s="11">
        <v>36</v>
      </c>
      <c r="Z228" s="25" t="s">
        <v>886</v>
      </c>
    </row>
    <row r="229" spans="1:26" ht="14.25" customHeight="1" x14ac:dyDescent="0.25">
      <c r="A229" s="11"/>
      <c r="B229" s="11">
        <v>19</v>
      </c>
      <c r="C229" s="11" t="s">
        <v>148</v>
      </c>
      <c r="D229" s="11"/>
      <c r="E229" s="11"/>
      <c r="F229" s="11">
        <v>0</v>
      </c>
      <c r="G229" s="11" t="s">
        <v>476</v>
      </c>
      <c r="H229" s="11" t="s">
        <v>52</v>
      </c>
      <c r="I229" s="11" t="s">
        <v>36</v>
      </c>
      <c r="J229" s="11">
        <v>0</v>
      </c>
      <c r="K229" s="11" t="s">
        <v>886</v>
      </c>
      <c r="L229" s="11">
        <v>23</v>
      </c>
      <c r="M229" s="11">
        <v>183</v>
      </c>
      <c r="N229" s="11">
        <v>-26</v>
      </c>
      <c r="O229" s="11">
        <v>196</v>
      </c>
      <c r="P229" s="11">
        <v>-13</v>
      </c>
      <c r="Q229" s="11">
        <v>142</v>
      </c>
      <c r="R229" s="11">
        <v>273</v>
      </c>
      <c r="S229" s="11">
        <v>268</v>
      </c>
      <c r="T229" s="11">
        <v>225</v>
      </c>
      <c r="U229" s="11">
        <v>179</v>
      </c>
      <c r="V229" s="11">
        <v>209</v>
      </c>
      <c r="W229" s="11">
        <v>27</v>
      </c>
      <c r="X229" s="11">
        <v>-27</v>
      </c>
      <c r="Y229" s="11">
        <v>-12</v>
      </c>
      <c r="Z229" s="25" t="s">
        <v>886</v>
      </c>
    </row>
    <row r="230" spans="1:26" ht="14.25" customHeight="1" x14ac:dyDescent="0.25">
      <c r="A230" s="11"/>
      <c r="B230" s="11">
        <v>19</v>
      </c>
      <c r="C230" s="11" t="s">
        <v>148</v>
      </c>
      <c r="D230" s="11"/>
      <c r="E230" s="11"/>
      <c r="F230" s="11">
        <v>0</v>
      </c>
      <c r="G230" s="11" t="s">
        <v>625</v>
      </c>
      <c r="H230" s="11" t="s">
        <v>44</v>
      </c>
      <c r="I230" s="11">
        <v>206</v>
      </c>
      <c r="J230" s="11">
        <v>0</v>
      </c>
      <c r="K230" s="11" t="s">
        <v>886</v>
      </c>
      <c r="L230" s="11">
        <v>27</v>
      </c>
      <c r="M230" s="11">
        <v>209</v>
      </c>
      <c r="N230" s="11">
        <v>-13</v>
      </c>
      <c r="O230" s="11" t="s">
        <v>36</v>
      </c>
      <c r="P230" s="11" t="e">
        <v>#VALUE!</v>
      </c>
      <c r="Q230" s="11" t="s">
        <v>36</v>
      </c>
      <c r="R230" s="11">
        <v>237</v>
      </c>
      <c r="S230" s="11">
        <v>180</v>
      </c>
      <c r="T230" s="11">
        <v>220</v>
      </c>
      <c r="U230" s="11">
        <v>265</v>
      </c>
      <c r="V230" s="11">
        <v>222</v>
      </c>
      <c r="W230" s="11">
        <v>28</v>
      </c>
      <c r="X230" s="11">
        <v>-28</v>
      </c>
      <c r="Y230" s="11">
        <v>11</v>
      </c>
      <c r="Z230" s="25" t="s">
        <v>886</v>
      </c>
    </row>
    <row r="231" spans="1:26" ht="14.25" customHeight="1" x14ac:dyDescent="0.25">
      <c r="A231" s="11"/>
      <c r="B231" s="11" t="e">
        <v>#DIV/0!</v>
      </c>
      <c r="C231" s="11" t="s">
        <v>148</v>
      </c>
      <c r="D231" s="11"/>
      <c r="E231" s="11"/>
      <c r="F231" s="11">
        <v>0</v>
      </c>
      <c r="G231" s="11" t="s">
        <v>951</v>
      </c>
      <c r="H231" s="11" t="s">
        <v>81</v>
      </c>
      <c r="I231" s="11" t="s">
        <v>36</v>
      </c>
      <c r="J231" s="11">
        <v>0</v>
      </c>
      <c r="K231" s="11" t="s">
        <v>886</v>
      </c>
      <c r="L231" s="11">
        <v>16</v>
      </c>
      <c r="M231" s="11" t="s">
        <v>36</v>
      </c>
      <c r="N231" s="11" t="e">
        <v>#VALUE!</v>
      </c>
      <c r="O231" s="11">
        <v>188</v>
      </c>
      <c r="P231" s="11" t="e">
        <v>#VALUE!</v>
      </c>
      <c r="Q231" s="11"/>
      <c r="R231" s="11"/>
      <c r="S231" s="11"/>
      <c r="T231" s="11"/>
      <c r="U231" s="11"/>
      <c r="V231" s="11">
        <v>188</v>
      </c>
      <c r="W231" s="11">
        <v>24</v>
      </c>
      <c r="X231" s="11">
        <v>-24</v>
      </c>
      <c r="Y231" s="11">
        <v>36</v>
      </c>
      <c r="Z231" s="25" t="s">
        <v>886</v>
      </c>
    </row>
    <row r="232" spans="1:26" ht="14.25" customHeight="1" x14ac:dyDescent="0.25">
      <c r="A232" s="11"/>
      <c r="B232" s="11">
        <v>19</v>
      </c>
      <c r="C232" s="11" t="s">
        <v>148</v>
      </c>
      <c r="D232" s="11"/>
      <c r="E232" s="11"/>
      <c r="F232" s="11">
        <v>0</v>
      </c>
      <c r="G232" s="11" t="s">
        <v>530</v>
      </c>
      <c r="H232" s="11" t="s">
        <v>91</v>
      </c>
      <c r="I232" s="11">
        <v>205</v>
      </c>
      <c r="J232" s="11">
        <v>0</v>
      </c>
      <c r="K232" s="11" t="s">
        <v>886</v>
      </c>
      <c r="L232" s="11">
        <v>27</v>
      </c>
      <c r="M232" s="11">
        <v>213</v>
      </c>
      <c r="N232" s="11">
        <v>-8</v>
      </c>
      <c r="O232" s="11" t="s">
        <v>36</v>
      </c>
      <c r="P232" s="11" t="e">
        <v>#VALUE!</v>
      </c>
      <c r="Q232" s="11" t="s">
        <v>36</v>
      </c>
      <c r="R232" s="11">
        <v>278</v>
      </c>
      <c r="S232" s="11">
        <v>193</v>
      </c>
      <c r="T232" s="11">
        <v>190</v>
      </c>
      <c r="U232" s="11">
        <v>232</v>
      </c>
      <c r="V232" s="11">
        <v>221</v>
      </c>
      <c r="W232" s="11">
        <v>28</v>
      </c>
      <c r="X232" s="11">
        <v>-28</v>
      </c>
      <c r="Y232" s="11" t="e">
        <v>#VALUE!</v>
      </c>
      <c r="Z232" s="25" t="s">
        <v>886</v>
      </c>
    </row>
    <row r="233" spans="1:26" ht="14.25" customHeight="1" x14ac:dyDescent="0.25">
      <c r="A233" s="11"/>
      <c r="B233" s="11">
        <v>20</v>
      </c>
      <c r="C233" s="11" t="s">
        <v>148</v>
      </c>
      <c r="D233" s="11"/>
      <c r="E233" s="11"/>
      <c r="F233" s="11">
        <v>0</v>
      </c>
      <c r="G233" s="11" t="s">
        <v>442</v>
      </c>
      <c r="H233" s="11" t="s">
        <v>163</v>
      </c>
      <c r="I233" s="11">
        <v>237</v>
      </c>
      <c r="J233" s="11">
        <v>0</v>
      </c>
      <c r="K233" s="11" t="s">
        <v>886</v>
      </c>
      <c r="L233" s="11">
        <v>23</v>
      </c>
      <c r="M233" s="11">
        <v>177</v>
      </c>
      <c r="N233" s="11">
        <v>-45</v>
      </c>
      <c r="O233" s="11" t="s">
        <v>36</v>
      </c>
      <c r="P233" s="11" t="e">
        <v>#VALUE!</v>
      </c>
      <c r="Q233" s="11" t="s">
        <v>36</v>
      </c>
      <c r="R233" s="11" t="s">
        <v>36</v>
      </c>
      <c r="S233" s="11">
        <v>277</v>
      </c>
      <c r="T233" s="11">
        <v>205</v>
      </c>
      <c r="U233" s="11">
        <v>231</v>
      </c>
      <c r="V233" s="11">
        <v>222</v>
      </c>
      <c r="W233" s="11">
        <v>28</v>
      </c>
      <c r="X233" s="11">
        <v>-28</v>
      </c>
      <c r="Y233" s="11" t="e">
        <v>#VALUE!</v>
      </c>
      <c r="Z233" s="25" t="s">
        <v>886</v>
      </c>
    </row>
    <row r="234" spans="1:26" ht="14.25" customHeight="1" x14ac:dyDescent="0.25">
      <c r="A234" s="11"/>
      <c r="B234" s="11" t="e">
        <v>#N/A</v>
      </c>
      <c r="C234" s="11" t="s">
        <v>148</v>
      </c>
      <c r="D234" s="11"/>
      <c r="E234" s="11"/>
      <c r="F234" s="11" t="e">
        <v>#N/A</v>
      </c>
      <c r="G234" s="11" t="s">
        <v>952</v>
      </c>
      <c r="H234" s="11" t="e">
        <v>#N/A</v>
      </c>
      <c r="I234" s="11" t="e">
        <v>#N/A</v>
      </c>
      <c r="J234" s="11" t="e">
        <v>#N/A</v>
      </c>
      <c r="K234" s="11" t="e">
        <v>#N/A</v>
      </c>
      <c r="L234" s="11">
        <v>16</v>
      </c>
      <c r="M234" s="11" t="e">
        <v>#N/A</v>
      </c>
      <c r="N234" s="11" t="e">
        <v>#N/A</v>
      </c>
      <c r="O234" s="11" t="e">
        <v>#N/A</v>
      </c>
      <c r="P234" s="11" t="e">
        <v>#N/A</v>
      </c>
      <c r="Q234" s="11" t="e">
        <v>#N/A</v>
      </c>
      <c r="R234" s="11" t="e">
        <v>#N/A</v>
      </c>
      <c r="S234" s="11" t="e">
        <v>#N/A</v>
      </c>
      <c r="T234" s="11" t="e">
        <v>#N/A</v>
      </c>
      <c r="U234" s="11" t="e">
        <v>#N/A</v>
      </c>
      <c r="V234" s="11" t="e">
        <v>#N/A</v>
      </c>
      <c r="W234" s="11">
        <v>16</v>
      </c>
      <c r="X234" s="11">
        <v>-16</v>
      </c>
      <c r="Y234" s="11" t="e">
        <v>#N/A</v>
      </c>
      <c r="Z234" s="25" t="e">
        <v>#N/A</v>
      </c>
    </row>
    <row r="235" spans="1:26" ht="14.25" customHeight="1" x14ac:dyDescent="0.25">
      <c r="A235" s="11"/>
      <c r="B235" s="11">
        <v>18</v>
      </c>
      <c r="C235" s="11" t="s">
        <v>148</v>
      </c>
      <c r="D235" s="11"/>
      <c r="E235" s="11"/>
      <c r="F235" s="11">
        <v>0</v>
      </c>
      <c r="G235" s="11" t="s">
        <v>662</v>
      </c>
      <c r="H235" s="11" t="s">
        <v>129</v>
      </c>
      <c r="I235" s="11">
        <v>209</v>
      </c>
      <c r="J235" s="11">
        <v>0</v>
      </c>
      <c r="K235" s="11" t="s">
        <v>886</v>
      </c>
      <c r="L235" s="11">
        <v>34</v>
      </c>
      <c r="M235" s="11">
        <v>266</v>
      </c>
      <c r="N235" s="11">
        <v>47</v>
      </c>
      <c r="O235" s="11">
        <v>202</v>
      </c>
      <c r="P235" s="11">
        <v>64</v>
      </c>
      <c r="Q235" s="11" t="s">
        <v>36</v>
      </c>
      <c r="R235" s="11">
        <v>233</v>
      </c>
      <c r="S235" s="11">
        <v>189</v>
      </c>
      <c r="T235" s="11">
        <v>206</v>
      </c>
      <c r="U235" s="11" t="s">
        <v>36</v>
      </c>
      <c r="V235" s="11">
        <v>219</v>
      </c>
      <c r="W235" s="11">
        <v>28</v>
      </c>
      <c r="X235" s="11">
        <v>-28</v>
      </c>
      <c r="Y235" s="11">
        <v>8</v>
      </c>
      <c r="Z235" s="25" t="s">
        <v>886</v>
      </c>
    </row>
    <row r="236" spans="1:26" ht="14.25" customHeight="1" x14ac:dyDescent="0.25">
      <c r="A236" s="11"/>
      <c r="B236" s="11">
        <v>21</v>
      </c>
      <c r="C236" s="11" t="s">
        <v>148</v>
      </c>
      <c r="D236" s="11"/>
      <c r="E236" s="11"/>
      <c r="F236" s="11">
        <v>0</v>
      </c>
      <c r="G236" s="11" t="s">
        <v>953</v>
      </c>
      <c r="H236" s="11" t="s">
        <v>233</v>
      </c>
      <c r="I236" s="11">
        <v>179</v>
      </c>
      <c r="J236" s="11">
        <v>0</v>
      </c>
      <c r="K236" s="11" t="s">
        <v>886</v>
      </c>
      <c r="L236" s="11">
        <v>34</v>
      </c>
      <c r="M236" s="11">
        <v>269</v>
      </c>
      <c r="N236" s="11">
        <v>17</v>
      </c>
      <c r="O236" s="11" t="s">
        <v>36</v>
      </c>
      <c r="P236" s="11" t="e">
        <v>#VALUE!</v>
      </c>
      <c r="Q236" s="11" t="s">
        <v>36</v>
      </c>
      <c r="R236" s="11" t="s">
        <v>36</v>
      </c>
      <c r="S236" s="11">
        <v>242</v>
      </c>
      <c r="T236" s="11">
        <v>245</v>
      </c>
      <c r="U236" s="11" t="s">
        <v>36</v>
      </c>
      <c r="V236" s="11">
        <v>252</v>
      </c>
      <c r="W236" s="11">
        <v>32</v>
      </c>
      <c r="X236" s="11">
        <v>-32</v>
      </c>
      <c r="Y236" s="11">
        <v>-15</v>
      </c>
      <c r="Z236" s="25" t="s">
        <v>886</v>
      </c>
    </row>
    <row r="237" spans="1:26" ht="14.25" customHeight="1" x14ac:dyDescent="0.25">
      <c r="A237" s="11"/>
      <c r="B237" s="11">
        <v>18</v>
      </c>
      <c r="C237" s="11" t="s">
        <v>148</v>
      </c>
      <c r="D237" s="11"/>
      <c r="E237" s="11"/>
      <c r="F237" s="11">
        <v>0</v>
      </c>
      <c r="G237" s="11" t="s">
        <v>547</v>
      </c>
      <c r="H237" s="11" t="s">
        <v>214</v>
      </c>
      <c r="I237" s="11" t="s">
        <v>36</v>
      </c>
      <c r="J237" s="11">
        <v>0</v>
      </c>
      <c r="K237" s="11" t="s">
        <v>886</v>
      </c>
      <c r="L237" s="11">
        <v>31</v>
      </c>
      <c r="M237" s="11">
        <v>243</v>
      </c>
      <c r="N237" s="11">
        <v>40</v>
      </c>
      <c r="O237" s="11">
        <v>136</v>
      </c>
      <c r="P237" s="11">
        <v>107</v>
      </c>
      <c r="Q237" s="11">
        <v>171</v>
      </c>
      <c r="R237" s="11">
        <v>247</v>
      </c>
      <c r="S237" s="11">
        <v>258</v>
      </c>
      <c r="T237" s="11">
        <v>199</v>
      </c>
      <c r="U237" s="11">
        <v>170</v>
      </c>
      <c r="V237" s="11">
        <v>203</v>
      </c>
      <c r="W237" s="11">
        <v>26</v>
      </c>
      <c r="X237" s="11">
        <v>-26</v>
      </c>
      <c r="Y237" s="11">
        <v>17</v>
      </c>
      <c r="Z237" s="25" t="s">
        <v>886</v>
      </c>
    </row>
    <row r="238" spans="1:26" ht="14.25" customHeight="1" x14ac:dyDescent="0.25">
      <c r="A238" s="11"/>
      <c r="B238" s="11" t="e">
        <v>#N/A</v>
      </c>
      <c r="C238" s="11" t="s">
        <v>148</v>
      </c>
      <c r="D238" s="11"/>
      <c r="E238" s="11"/>
      <c r="F238" s="11" t="e">
        <v>#N/A</v>
      </c>
      <c r="G238" s="11" t="s">
        <v>954</v>
      </c>
      <c r="H238" s="11" t="e">
        <v>#N/A</v>
      </c>
      <c r="I238" s="11" t="e">
        <v>#N/A</v>
      </c>
      <c r="J238" s="11" t="e">
        <v>#N/A</v>
      </c>
      <c r="K238" s="11" t="e">
        <v>#N/A</v>
      </c>
      <c r="L238" s="11">
        <v>16</v>
      </c>
      <c r="M238" s="11" t="e">
        <v>#N/A</v>
      </c>
      <c r="N238" s="11" t="e">
        <v>#N/A</v>
      </c>
      <c r="O238" s="11" t="e">
        <v>#N/A</v>
      </c>
      <c r="P238" s="11" t="e">
        <v>#N/A</v>
      </c>
      <c r="Q238" s="11" t="e">
        <v>#N/A</v>
      </c>
      <c r="R238" s="11" t="e">
        <v>#N/A</v>
      </c>
      <c r="S238" s="11" t="e">
        <v>#N/A</v>
      </c>
      <c r="T238" s="11" t="e">
        <v>#N/A</v>
      </c>
      <c r="U238" s="11" t="e">
        <v>#N/A</v>
      </c>
      <c r="V238" s="11" t="e">
        <v>#N/A</v>
      </c>
      <c r="W238" s="11">
        <v>16</v>
      </c>
      <c r="X238" s="11">
        <v>-16</v>
      </c>
      <c r="Y238" s="11" t="e">
        <v>#N/A</v>
      </c>
      <c r="Z238" s="25" t="e">
        <v>#N/A</v>
      </c>
    </row>
    <row r="239" spans="1:26" ht="14.25" customHeight="1" x14ac:dyDescent="0.25">
      <c r="A239" s="11"/>
      <c r="B239" s="11" t="e">
        <v>#N/A</v>
      </c>
      <c r="C239" s="11" t="s">
        <v>148</v>
      </c>
      <c r="D239" s="11"/>
      <c r="E239" s="11"/>
      <c r="F239" s="11" t="e">
        <v>#N/A</v>
      </c>
      <c r="G239" s="11" t="s">
        <v>955</v>
      </c>
      <c r="H239" s="11" t="e">
        <v>#N/A</v>
      </c>
      <c r="I239" s="11" t="e">
        <v>#N/A</v>
      </c>
      <c r="J239" s="11" t="e">
        <v>#N/A</v>
      </c>
      <c r="K239" s="11" t="e">
        <v>#N/A</v>
      </c>
      <c r="L239" s="11">
        <v>16</v>
      </c>
      <c r="M239" s="11" t="e">
        <v>#N/A</v>
      </c>
      <c r="N239" s="11" t="e">
        <v>#N/A</v>
      </c>
      <c r="O239" s="11" t="e">
        <v>#N/A</v>
      </c>
      <c r="P239" s="11" t="e">
        <v>#N/A</v>
      </c>
      <c r="Q239" s="11" t="e">
        <v>#N/A</v>
      </c>
      <c r="R239" s="11" t="e">
        <v>#N/A</v>
      </c>
      <c r="S239" s="11" t="e">
        <v>#N/A</v>
      </c>
      <c r="T239" s="11" t="e">
        <v>#N/A</v>
      </c>
      <c r="U239" s="11" t="e">
        <v>#N/A</v>
      </c>
      <c r="V239" s="11" t="e">
        <v>#N/A</v>
      </c>
      <c r="W239" s="11">
        <v>16</v>
      </c>
      <c r="X239" s="11">
        <v>-16</v>
      </c>
      <c r="Y239" s="11" t="e">
        <v>#N/A</v>
      </c>
      <c r="Z239" s="25" t="e">
        <v>#N/A</v>
      </c>
    </row>
    <row r="240" spans="1:26" ht="14.25" customHeight="1" x14ac:dyDescent="0.25">
      <c r="A240" s="11"/>
      <c r="B240" s="11" t="e">
        <v>#N/A</v>
      </c>
      <c r="C240" s="11" t="s">
        <v>148</v>
      </c>
      <c r="D240" s="11"/>
      <c r="E240" s="11"/>
      <c r="F240" s="11" t="e">
        <v>#N/A</v>
      </c>
      <c r="G240" s="11" t="s">
        <v>570</v>
      </c>
      <c r="H240" s="11" t="e">
        <v>#N/A</v>
      </c>
      <c r="I240" s="11" t="e">
        <v>#N/A</v>
      </c>
      <c r="J240" s="11" t="e">
        <v>#N/A</v>
      </c>
      <c r="K240" s="11" t="e">
        <v>#N/A</v>
      </c>
      <c r="L240" s="11">
        <v>16</v>
      </c>
      <c r="M240" s="11" t="e">
        <v>#N/A</v>
      </c>
      <c r="N240" s="11" t="e">
        <v>#N/A</v>
      </c>
      <c r="O240" s="11" t="e">
        <v>#N/A</v>
      </c>
      <c r="P240" s="11" t="e">
        <v>#N/A</v>
      </c>
      <c r="Q240" s="11" t="e">
        <v>#N/A</v>
      </c>
      <c r="R240" s="11" t="e">
        <v>#N/A</v>
      </c>
      <c r="S240" s="11" t="e">
        <v>#N/A</v>
      </c>
      <c r="T240" s="11" t="e">
        <v>#N/A</v>
      </c>
      <c r="U240" s="11" t="e">
        <v>#N/A</v>
      </c>
      <c r="V240" s="11" t="e">
        <v>#N/A</v>
      </c>
      <c r="W240" s="11">
        <v>16</v>
      </c>
      <c r="X240" s="11">
        <v>-16</v>
      </c>
      <c r="Y240" s="11" t="e">
        <v>#N/A</v>
      </c>
      <c r="Z240" s="25" t="e">
        <v>#N/A</v>
      </c>
    </row>
    <row r="241" spans="1:26" ht="14.25" customHeight="1" x14ac:dyDescent="0.25">
      <c r="A241" s="11"/>
      <c r="B241" s="11">
        <v>14</v>
      </c>
      <c r="C241" s="11" t="s">
        <v>148</v>
      </c>
      <c r="D241" s="11"/>
      <c r="E241" s="11"/>
      <c r="F241" s="11">
        <v>0</v>
      </c>
      <c r="G241" s="11" t="s">
        <v>560</v>
      </c>
      <c r="H241" s="11" t="s">
        <v>116</v>
      </c>
      <c r="I241" s="11" t="s">
        <v>36</v>
      </c>
      <c r="J241" s="11">
        <v>0</v>
      </c>
      <c r="K241" s="11" t="s">
        <v>886</v>
      </c>
      <c r="L241" s="11">
        <v>21</v>
      </c>
      <c r="M241" s="11">
        <v>162</v>
      </c>
      <c r="N241" s="11">
        <v>-18</v>
      </c>
      <c r="O241" s="11">
        <v>198</v>
      </c>
      <c r="P241" s="11">
        <v>-36</v>
      </c>
      <c r="Q241" s="11"/>
      <c r="R241" s="11"/>
      <c r="S241" s="11"/>
      <c r="T241" s="11"/>
      <c r="U241" s="11"/>
      <c r="V241" s="11">
        <v>180</v>
      </c>
      <c r="W241" s="11">
        <v>23</v>
      </c>
      <c r="X241" s="11">
        <v>-23</v>
      </c>
      <c r="Y241" s="11">
        <v>21</v>
      </c>
      <c r="Z241" s="25" t="s">
        <v>886</v>
      </c>
    </row>
    <row r="242" spans="1:26" ht="14.25" customHeight="1" x14ac:dyDescent="0.25">
      <c r="A242" s="11"/>
      <c r="B242" s="11" t="e">
        <v>#N/A</v>
      </c>
      <c r="C242" s="11" t="s">
        <v>148</v>
      </c>
      <c r="D242" s="11"/>
      <c r="E242" s="11"/>
      <c r="F242" s="11" t="e">
        <v>#N/A</v>
      </c>
      <c r="G242" s="11" t="s">
        <v>956</v>
      </c>
      <c r="H242" s="11" t="e">
        <v>#N/A</v>
      </c>
      <c r="I242" s="11" t="e">
        <v>#N/A</v>
      </c>
      <c r="J242" s="11" t="e">
        <v>#N/A</v>
      </c>
      <c r="K242" s="11" t="e">
        <v>#N/A</v>
      </c>
      <c r="L242" s="11">
        <v>16</v>
      </c>
      <c r="M242" s="11" t="e">
        <v>#N/A</v>
      </c>
      <c r="N242" s="11" t="e">
        <v>#N/A</v>
      </c>
      <c r="O242" s="11" t="e">
        <v>#N/A</v>
      </c>
      <c r="P242" s="11" t="e">
        <v>#N/A</v>
      </c>
      <c r="Q242" s="11"/>
      <c r="R242" s="11"/>
      <c r="S242" s="11"/>
      <c r="T242" s="11"/>
      <c r="U242" s="11"/>
      <c r="V242" s="11" t="e">
        <v>#N/A</v>
      </c>
      <c r="W242" s="11">
        <v>16</v>
      </c>
      <c r="X242" s="11">
        <v>-16</v>
      </c>
      <c r="Y242" s="11" t="e">
        <v>#N/A</v>
      </c>
      <c r="Z242" s="25" t="e">
        <v>#N/A</v>
      </c>
    </row>
    <row r="243" spans="1:26" ht="14.25" customHeight="1" x14ac:dyDescent="0.25">
      <c r="A243" s="11"/>
      <c r="B243" s="11" t="e">
        <v>#N/A</v>
      </c>
      <c r="C243" s="11" t="s">
        <v>148</v>
      </c>
      <c r="D243" s="11"/>
      <c r="E243" s="11"/>
      <c r="F243" s="11" t="e">
        <v>#N/A</v>
      </c>
      <c r="G243" s="11" t="s">
        <v>957</v>
      </c>
      <c r="H243" s="11" t="e">
        <v>#N/A</v>
      </c>
      <c r="I243" s="11" t="e">
        <v>#N/A</v>
      </c>
      <c r="J243" s="11" t="e">
        <v>#N/A</v>
      </c>
      <c r="K243" s="11" t="e">
        <v>#N/A</v>
      </c>
      <c r="L243" s="11">
        <v>16</v>
      </c>
      <c r="M243" s="11" t="e">
        <v>#N/A</v>
      </c>
      <c r="N243" s="11" t="e">
        <v>#N/A</v>
      </c>
      <c r="O243" s="11" t="e">
        <v>#N/A</v>
      </c>
      <c r="P243" s="11" t="e">
        <v>#N/A</v>
      </c>
      <c r="Q243" s="11" t="e">
        <v>#N/A</v>
      </c>
      <c r="R243" s="11" t="e">
        <v>#N/A</v>
      </c>
      <c r="S243" s="11" t="e">
        <v>#N/A</v>
      </c>
      <c r="T243" s="11" t="e">
        <v>#N/A</v>
      </c>
      <c r="U243" s="11" t="e">
        <v>#N/A</v>
      </c>
      <c r="V243" s="11" t="e">
        <v>#N/A</v>
      </c>
      <c r="W243" s="11">
        <v>16</v>
      </c>
      <c r="X243" s="11">
        <v>-16</v>
      </c>
      <c r="Y243" s="11" t="e">
        <v>#N/A</v>
      </c>
      <c r="Z243" s="25" t="e">
        <v>#N/A</v>
      </c>
    </row>
    <row r="244" spans="1:26" ht="14.25" customHeight="1" x14ac:dyDescent="0.25">
      <c r="A244" s="11"/>
      <c r="B244" s="11" t="e">
        <v>#N/A</v>
      </c>
      <c r="C244" s="11" t="s">
        <v>148</v>
      </c>
      <c r="D244" s="11"/>
      <c r="E244" s="11"/>
      <c r="F244" s="11" t="e">
        <v>#N/A</v>
      </c>
      <c r="G244" s="11" t="s">
        <v>473</v>
      </c>
      <c r="H244" s="11" t="e">
        <v>#N/A</v>
      </c>
      <c r="I244" s="11" t="e">
        <v>#N/A</v>
      </c>
      <c r="J244" s="11" t="e">
        <v>#N/A</v>
      </c>
      <c r="K244" s="11" t="e">
        <v>#N/A</v>
      </c>
      <c r="L244" s="11">
        <v>16</v>
      </c>
      <c r="M244" s="11" t="e">
        <v>#N/A</v>
      </c>
      <c r="N244" s="11" t="e">
        <v>#N/A</v>
      </c>
      <c r="O244" s="11" t="e">
        <v>#N/A</v>
      </c>
      <c r="P244" s="11" t="e">
        <v>#N/A</v>
      </c>
      <c r="Q244" s="11" t="e">
        <v>#N/A</v>
      </c>
      <c r="R244" s="11" t="e">
        <v>#N/A</v>
      </c>
      <c r="S244" s="11" t="e">
        <v>#N/A</v>
      </c>
      <c r="T244" s="11" t="e">
        <v>#N/A</v>
      </c>
      <c r="U244" s="11" t="e">
        <v>#N/A</v>
      </c>
      <c r="V244" s="11" t="e">
        <v>#N/A</v>
      </c>
      <c r="W244" s="11">
        <v>16</v>
      </c>
      <c r="X244" s="11">
        <v>-16</v>
      </c>
      <c r="Y244" s="11" t="e">
        <v>#N/A</v>
      </c>
      <c r="Z244" s="25" t="e">
        <v>#N/A</v>
      </c>
    </row>
    <row r="245" spans="1:26" ht="14.25" customHeight="1" x14ac:dyDescent="0.25">
      <c r="A245" s="11"/>
      <c r="B245" s="11" t="e">
        <v>#N/A</v>
      </c>
      <c r="C245" s="11" t="s">
        <v>148</v>
      </c>
      <c r="D245" s="11"/>
      <c r="E245" s="11"/>
      <c r="F245" s="11" t="e">
        <v>#N/A</v>
      </c>
      <c r="G245" s="11" t="s">
        <v>715</v>
      </c>
      <c r="H245" s="11" t="e">
        <v>#N/A</v>
      </c>
      <c r="I245" s="11" t="e">
        <v>#N/A</v>
      </c>
      <c r="J245" s="11" t="e">
        <v>#N/A</v>
      </c>
      <c r="K245" s="11" t="e">
        <v>#N/A</v>
      </c>
      <c r="L245" s="11">
        <v>16</v>
      </c>
      <c r="M245" s="11" t="e">
        <v>#N/A</v>
      </c>
      <c r="N245" s="11" t="e">
        <v>#N/A</v>
      </c>
      <c r="O245" s="11" t="e">
        <v>#N/A</v>
      </c>
      <c r="P245" s="11" t="e">
        <v>#N/A</v>
      </c>
      <c r="Q245" s="11" t="e">
        <v>#N/A</v>
      </c>
      <c r="R245" s="11" t="e">
        <v>#N/A</v>
      </c>
      <c r="S245" s="11" t="e">
        <v>#N/A</v>
      </c>
      <c r="T245" s="11" t="e">
        <v>#N/A</v>
      </c>
      <c r="U245" s="11" t="e">
        <v>#N/A</v>
      </c>
      <c r="V245" s="11" t="e">
        <v>#N/A</v>
      </c>
      <c r="W245" s="11">
        <v>16</v>
      </c>
      <c r="X245" s="11">
        <v>-16</v>
      </c>
      <c r="Y245" s="11" t="e">
        <v>#N/A</v>
      </c>
      <c r="Z245" s="25" t="e">
        <v>#N/A</v>
      </c>
    </row>
    <row r="246" spans="1:26" ht="14.25" customHeight="1" x14ac:dyDescent="0.25">
      <c r="A246" s="11"/>
      <c r="B246" s="11" t="e">
        <v>#N/A</v>
      </c>
      <c r="C246" s="11" t="s">
        <v>148</v>
      </c>
      <c r="D246" s="11"/>
      <c r="E246" s="11"/>
      <c r="F246" s="11" t="e">
        <v>#N/A</v>
      </c>
      <c r="G246" s="11" t="s">
        <v>958</v>
      </c>
      <c r="H246" s="11" t="e">
        <v>#N/A</v>
      </c>
      <c r="I246" s="11" t="e">
        <v>#N/A</v>
      </c>
      <c r="J246" s="11" t="e">
        <v>#N/A</v>
      </c>
      <c r="K246" s="11" t="e">
        <v>#N/A</v>
      </c>
      <c r="L246" s="11">
        <v>16</v>
      </c>
      <c r="M246" s="11" t="e">
        <v>#N/A</v>
      </c>
      <c r="N246" s="11" t="e">
        <v>#N/A</v>
      </c>
      <c r="O246" s="11" t="e">
        <v>#N/A</v>
      </c>
      <c r="P246" s="11" t="e">
        <v>#N/A</v>
      </c>
      <c r="Q246" s="11" t="e">
        <v>#N/A</v>
      </c>
      <c r="R246" s="11" t="e">
        <v>#N/A</v>
      </c>
      <c r="S246" s="11" t="e">
        <v>#N/A</v>
      </c>
      <c r="T246" s="11" t="e">
        <v>#N/A</v>
      </c>
      <c r="U246" s="11" t="e">
        <v>#N/A</v>
      </c>
      <c r="V246" s="11" t="e">
        <v>#N/A</v>
      </c>
      <c r="W246" s="11">
        <v>16</v>
      </c>
      <c r="X246" s="11">
        <v>-16</v>
      </c>
      <c r="Y246" s="11" t="e">
        <v>#N/A</v>
      </c>
      <c r="Z246" s="25" t="e">
        <v>#N/A</v>
      </c>
    </row>
    <row r="247" spans="1:26" ht="14.25" customHeight="1" x14ac:dyDescent="0.25">
      <c r="A247" s="11"/>
      <c r="B247" s="11" t="e">
        <v>#N/A</v>
      </c>
      <c r="C247" s="11" t="s">
        <v>148</v>
      </c>
      <c r="D247" s="11"/>
      <c r="E247" s="11"/>
      <c r="F247" s="11" t="e">
        <v>#N/A</v>
      </c>
      <c r="G247" s="11" t="s">
        <v>959</v>
      </c>
      <c r="H247" s="11" t="e">
        <v>#N/A</v>
      </c>
      <c r="I247" s="11" t="e">
        <v>#N/A</v>
      </c>
      <c r="J247" s="11" t="e">
        <v>#N/A</v>
      </c>
      <c r="K247" s="11" t="e">
        <v>#N/A</v>
      </c>
      <c r="L247" s="11">
        <v>16</v>
      </c>
      <c r="M247" s="11" t="e">
        <v>#N/A</v>
      </c>
      <c r="N247" s="11" t="e">
        <v>#N/A</v>
      </c>
      <c r="O247" s="11" t="e">
        <v>#N/A</v>
      </c>
      <c r="P247" s="11" t="e">
        <v>#N/A</v>
      </c>
      <c r="Q247" s="11" t="e">
        <v>#N/A</v>
      </c>
      <c r="R247" s="11" t="e">
        <v>#N/A</v>
      </c>
      <c r="S247" s="11" t="e">
        <v>#N/A</v>
      </c>
      <c r="T247" s="11" t="e">
        <v>#N/A</v>
      </c>
      <c r="U247" s="11" t="e">
        <v>#N/A</v>
      </c>
      <c r="V247" s="11" t="e">
        <v>#N/A</v>
      </c>
      <c r="W247" s="11">
        <v>16</v>
      </c>
      <c r="X247" s="11">
        <v>-16</v>
      </c>
      <c r="Y247" s="11" t="e">
        <v>#N/A</v>
      </c>
      <c r="Z247" s="25" t="e">
        <v>#N/A</v>
      </c>
    </row>
    <row r="248" spans="1:26" ht="14.25" customHeight="1" x14ac:dyDescent="0.25">
      <c r="A248" s="11"/>
      <c r="B248" s="11">
        <v>15</v>
      </c>
      <c r="C248" s="11" t="s">
        <v>148</v>
      </c>
      <c r="D248" s="11"/>
      <c r="E248" s="11"/>
      <c r="F248" s="11">
        <v>0</v>
      </c>
      <c r="G248" s="11" t="s">
        <v>512</v>
      </c>
      <c r="H248" s="11" t="s">
        <v>72</v>
      </c>
      <c r="I248" s="11" t="s">
        <v>36</v>
      </c>
      <c r="J248" s="11">
        <v>0</v>
      </c>
      <c r="K248" s="11" t="s">
        <v>886</v>
      </c>
      <c r="L248" s="11">
        <v>21</v>
      </c>
      <c r="M248" s="11">
        <v>160</v>
      </c>
      <c r="N248" s="11">
        <v>-5</v>
      </c>
      <c r="O248" s="11">
        <v>141</v>
      </c>
      <c r="P248" s="11">
        <v>19</v>
      </c>
      <c r="Q248" s="11">
        <v>119</v>
      </c>
      <c r="R248" s="11">
        <v>193</v>
      </c>
      <c r="S248" s="11">
        <v>220</v>
      </c>
      <c r="T248" s="11">
        <v>172</v>
      </c>
      <c r="U248" s="11">
        <v>151</v>
      </c>
      <c r="V248" s="11">
        <v>165</v>
      </c>
      <c r="W248" s="11">
        <v>21</v>
      </c>
      <c r="X248" s="11">
        <v>-21</v>
      </c>
      <c r="Y248" s="11">
        <v>7</v>
      </c>
      <c r="Z248" s="25" t="s">
        <v>886</v>
      </c>
    </row>
    <row r="249" spans="1:26" ht="14.25" customHeight="1" x14ac:dyDescent="0.25">
      <c r="A249" s="11"/>
      <c r="B249" s="11">
        <v>11</v>
      </c>
      <c r="C249" s="11" t="s">
        <v>148</v>
      </c>
      <c r="D249" s="11"/>
      <c r="E249" s="11"/>
      <c r="F249" s="11">
        <v>0</v>
      </c>
      <c r="G249" s="11" t="s">
        <v>471</v>
      </c>
      <c r="H249" s="11" t="s">
        <v>168</v>
      </c>
      <c r="I249" s="11" t="s">
        <v>36</v>
      </c>
      <c r="J249" s="11">
        <v>0</v>
      </c>
      <c r="K249" s="11" t="s">
        <v>886</v>
      </c>
      <c r="L249" s="11">
        <v>19</v>
      </c>
      <c r="M249" s="11">
        <v>147</v>
      </c>
      <c r="N249" s="11">
        <v>18</v>
      </c>
      <c r="O249" s="11">
        <v>106</v>
      </c>
      <c r="P249" s="11">
        <v>41</v>
      </c>
      <c r="Q249" s="11">
        <v>94</v>
      </c>
      <c r="R249" s="11">
        <v>134</v>
      </c>
      <c r="S249" s="11">
        <v>203</v>
      </c>
      <c r="T249" s="11">
        <v>140</v>
      </c>
      <c r="U249" s="11">
        <v>82</v>
      </c>
      <c r="V249" s="11">
        <v>129</v>
      </c>
      <c r="W249" s="11">
        <v>17</v>
      </c>
      <c r="X249" s="11">
        <v>-17</v>
      </c>
      <c r="Y249" s="11">
        <v>29</v>
      </c>
      <c r="Z249" s="25" t="s">
        <v>886</v>
      </c>
    </row>
    <row r="250" spans="1:26" ht="14.25" customHeight="1" x14ac:dyDescent="0.25">
      <c r="A250" s="11"/>
      <c r="B250" s="11">
        <v>14</v>
      </c>
      <c r="C250" s="11" t="s">
        <v>148</v>
      </c>
      <c r="D250" s="11"/>
      <c r="E250" s="11"/>
      <c r="F250" s="11">
        <v>0</v>
      </c>
      <c r="G250" s="11" t="s">
        <v>598</v>
      </c>
      <c r="H250" s="11" t="s">
        <v>44</v>
      </c>
      <c r="I250" s="11" t="s">
        <v>36</v>
      </c>
      <c r="J250" s="11">
        <v>0</v>
      </c>
      <c r="K250" s="11" t="s">
        <v>886</v>
      </c>
      <c r="L250" s="11">
        <v>21</v>
      </c>
      <c r="M250" s="11">
        <v>163</v>
      </c>
      <c r="N250" s="11">
        <v>-13</v>
      </c>
      <c r="O250" s="11">
        <v>189</v>
      </c>
      <c r="P250" s="11">
        <v>-26</v>
      </c>
      <c r="Q250" s="11"/>
      <c r="R250" s="11"/>
      <c r="S250" s="11"/>
      <c r="T250" s="11"/>
      <c r="U250" s="11"/>
      <c r="V250" s="11">
        <v>176</v>
      </c>
      <c r="W250" s="11">
        <v>23</v>
      </c>
      <c r="X250" s="11">
        <v>-23</v>
      </c>
      <c r="Y250" s="11">
        <v>42</v>
      </c>
      <c r="Z250" s="25" t="s">
        <v>886</v>
      </c>
    </row>
    <row r="251" spans="1:26" ht="14.25" customHeight="1" x14ac:dyDescent="0.25">
      <c r="A251" s="11"/>
      <c r="B251" s="11">
        <v>22</v>
      </c>
      <c r="C251" s="11" t="s">
        <v>148</v>
      </c>
      <c r="D251" s="11"/>
      <c r="E251" s="11"/>
      <c r="F251" s="11">
        <v>0</v>
      </c>
      <c r="G251" s="11" t="s">
        <v>828</v>
      </c>
      <c r="H251" s="11" t="s">
        <v>44</v>
      </c>
      <c r="I251" s="11">
        <v>199</v>
      </c>
      <c r="J251" s="11">
        <v>0</v>
      </c>
      <c r="K251" s="11" t="s">
        <v>886</v>
      </c>
      <c r="L251" s="11">
        <v>33</v>
      </c>
      <c r="M251" s="11">
        <v>262</v>
      </c>
      <c r="N251" s="11">
        <v>-1</v>
      </c>
      <c r="O251" s="11" t="s">
        <v>36</v>
      </c>
      <c r="P251" s="11" t="e">
        <v>#VALUE!</v>
      </c>
      <c r="Q251" s="11" t="s">
        <v>36</v>
      </c>
      <c r="R251" s="11">
        <v>324</v>
      </c>
      <c r="S251" s="11">
        <v>245</v>
      </c>
      <c r="T251" s="11">
        <v>217</v>
      </c>
      <c r="U251" s="11">
        <v>267</v>
      </c>
      <c r="V251" s="11">
        <v>263</v>
      </c>
      <c r="W251" s="11">
        <v>33</v>
      </c>
      <c r="X251" s="11">
        <v>-33</v>
      </c>
      <c r="Y251" s="11" t="e">
        <v>#VALUE!</v>
      </c>
      <c r="Z251" s="25" t="s">
        <v>886</v>
      </c>
    </row>
    <row r="252" spans="1:26" ht="14.25" customHeight="1" x14ac:dyDescent="0.25">
      <c r="A252" s="11"/>
      <c r="B252" s="11" t="e">
        <v>#N/A</v>
      </c>
      <c r="C252" s="11" t="s">
        <v>148</v>
      </c>
      <c r="D252" s="11"/>
      <c r="E252" s="11"/>
      <c r="F252" s="11" t="e">
        <v>#N/A</v>
      </c>
      <c r="G252" s="11" t="s">
        <v>282</v>
      </c>
      <c r="H252" s="11" t="e">
        <v>#N/A</v>
      </c>
      <c r="I252" s="11" t="e">
        <v>#N/A</v>
      </c>
      <c r="J252" s="11" t="e">
        <v>#N/A</v>
      </c>
      <c r="K252" s="11" t="e">
        <v>#N/A</v>
      </c>
      <c r="L252" s="11">
        <v>16</v>
      </c>
      <c r="M252" s="11" t="e">
        <v>#N/A</v>
      </c>
      <c r="N252" s="11" t="e">
        <v>#N/A</v>
      </c>
      <c r="O252" s="11" t="e">
        <v>#N/A</v>
      </c>
      <c r="P252" s="11" t="e">
        <v>#N/A</v>
      </c>
      <c r="Q252" s="11" t="e">
        <v>#N/A</v>
      </c>
      <c r="R252" s="11" t="e">
        <v>#N/A</v>
      </c>
      <c r="S252" s="11" t="e">
        <v>#N/A</v>
      </c>
      <c r="T252" s="11" t="e">
        <v>#N/A</v>
      </c>
      <c r="U252" s="11" t="e">
        <v>#N/A</v>
      </c>
      <c r="V252" s="11" t="e">
        <v>#N/A</v>
      </c>
      <c r="W252" s="11">
        <v>16</v>
      </c>
      <c r="X252" s="11">
        <v>-16</v>
      </c>
      <c r="Y252" s="11" t="e">
        <v>#N/A</v>
      </c>
      <c r="Z252" s="25" t="e">
        <v>#N/A</v>
      </c>
    </row>
    <row r="253" spans="1:26" ht="14.25" customHeight="1" x14ac:dyDescent="0.25">
      <c r="A253" s="11"/>
      <c r="B253" s="11">
        <v>19</v>
      </c>
      <c r="C253" s="11" t="s">
        <v>148</v>
      </c>
      <c r="D253" s="11"/>
      <c r="E253" s="11"/>
      <c r="F253" s="11">
        <v>0</v>
      </c>
      <c r="G253" s="11" t="s">
        <v>960</v>
      </c>
      <c r="H253" s="11" t="s">
        <v>78</v>
      </c>
      <c r="I253" s="11">
        <v>167</v>
      </c>
      <c r="J253" s="11">
        <v>0</v>
      </c>
      <c r="K253" s="11" t="s">
        <v>930</v>
      </c>
      <c r="L253" s="11">
        <v>26</v>
      </c>
      <c r="M253" s="11">
        <v>204</v>
      </c>
      <c r="N253" s="11">
        <v>-13</v>
      </c>
      <c r="O253" s="11">
        <v>211</v>
      </c>
      <c r="P253" s="11">
        <v>-7</v>
      </c>
      <c r="Q253" s="11">
        <v>213</v>
      </c>
      <c r="R253" s="11">
        <v>258</v>
      </c>
      <c r="S253" s="11">
        <v>163</v>
      </c>
      <c r="T253" s="11">
        <v>173</v>
      </c>
      <c r="U253" s="11">
        <v>302</v>
      </c>
      <c r="V253" s="11">
        <v>217</v>
      </c>
      <c r="W253" s="11">
        <v>28</v>
      </c>
      <c r="X253" s="11">
        <v>-28</v>
      </c>
      <c r="Y253" s="11">
        <v>-50</v>
      </c>
      <c r="Z253" s="25" t="s">
        <v>886</v>
      </c>
    </row>
    <row r="254" spans="1:26" ht="14.25" customHeight="1" x14ac:dyDescent="0.25">
      <c r="A254" s="11"/>
      <c r="B254" s="11">
        <v>16</v>
      </c>
      <c r="C254" s="11" t="s">
        <v>148</v>
      </c>
      <c r="D254" s="11"/>
      <c r="E254" s="11"/>
      <c r="F254" s="11">
        <v>0</v>
      </c>
      <c r="G254" s="11" t="s">
        <v>961</v>
      </c>
      <c r="H254" s="11" t="s">
        <v>66</v>
      </c>
      <c r="I254" s="11" t="s">
        <v>36</v>
      </c>
      <c r="J254" s="11">
        <v>0</v>
      </c>
      <c r="K254" s="11" t="s">
        <v>886</v>
      </c>
      <c r="L254" s="11">
        <v>24</v>
      </c>
      <c r="M254" s="11">
        <v>185</v>
      </c>
      <c r="N254" s="11">
        <v>14</v>
      </c>
      <c r="O254" s="11">
        <v>158</v>
      </c>
      <c r="P254" s="11">
        <v>27</v>
      </c>
      <c r="Q254" s="11"/>
      <c r="R254" s="11"/>
      <c r="S254" s="11"/>
      <c r="T254" s="11"/>
      <c r="U254" s="11"/>
      <c r="V254" s="11">
        <v>171</v>
      </c>
      <c r="W254" s="11">
        <v>22</v>
      </c>
      <c r="X254" s="11">
        <v>-22</v>
      </c>
      <c r="Y254" s="11">
        <v>68</v>
      </c>
      <c r="Z254" s="25" t="s">
        <v>886</v>
      </c>
    </row>
    <row r="255" spans="1:26" ht="14.25" customHeight="1" x14ac:dyDescent="0.25">
      <c r="A255" s="11"/>
      <c r="B255" s="11">
        <v>14</v>
      </c>
      <c r="C255" s="11" t="s">
        <v>148</v>
      </c>
      <c r="D255" s="11"/>
      <c r="E255" s="11"/>
      <c r="F255" s="11">
        <v>0</v>
      </c>
      <c r="G255" s="11" t="s">
        <v>962</v>
      </c>
      <c r="H255" s="11" t="s">
        <v>39</v>
      </c>
      <c r="I255" s="11" t="s">
        <v>36</v>
      </c>
      <c r="J255" s="11">
        <v>0</v>
      </c>
      <c r="K255" s="11" t="s">
        <v>886</v>
      </c>
      <c r="L255" s="11">
        <v>20</v>
      </c>
      <c r="M255" s="11">
        <v>159</v>
      </c>
      <c r="N255" s="11">
        <v>-17</v>
      </c>
      <c r="O255" s="11">
        <v>193</v>
      </c>
      <c r="P255" s="11">
        <v>-34</v>
      </c>
      <c r="Q255" s="11"/>
      <c r="R255" s="11"/>
      <c r="S255" s="11"/>
      <c r="T255" s="11"/>
      <c r="U255" s="11"/>
      <c r="V255" s="11">
        <v>176</v>
      </c>
      <c r="W255" s="11">
        <v>23</v>
      </c>
      <c r="X255" s="11">
        <v>-23</v>
      </c>
      <c r="Y255" s="11">
        <v>70</v>
      </c>
      <c r="Z255" s="25" t="s">
        <v>886</v>
      </c>
    </row>
    <row r="256" spans="1:26" ht="14.25" customHeight="1" x14ac:dyDescent="0.25">
      <c r="A256" s="11"/>
      <c r="B256" s="11" t="e">
        <v>#N/A</v>
      </c>
      <c r="C256" s="11" t="s">
        <v>148</v>
      </c>
      <c r="D256" s="11"/>
      <c r="E256" s="11"/>
      <c r="F256" s="11" t="e">
        <v>#N/A</v>
      </c>
      <c r="G256" s="11" t="s">
        <v>963</v>
      </c>
      <c r="H256" s="11" t="e">
        <v>#N/A</v>
      </c>
      <c r="I256" s="11" t="e">
        <v>#N/A</v>
      </c>
      <c r="J256" s="11" t="e">
        <v>#N/A</v>
      </c>
      <c r="K256" s="11" t="e">
        <v>#N/A</v>
      </c>
      <c r="L256" s="11">
        <v>16</v>
      </c>
      <c r="M256" s="11" t="e">
        <v>#N/A</v>
      </c>
      <c r="N256" s="11" t="e">
        <v>#N/A</v>
      </c>
      <c r="O256" s="11" t="e">
        <v>#N/A</v>
      </c>
      <c r="P256" s="11" t="e">
        <v>#N/A</v>
      </c>
      <c r="Q256" s="11" t="e">
        <v>#N/A</v>
      </c>
      <c r="R256" s="11" t="e">
        <v>#N/A</v>
      </c>
      <c r="S256" s="11" t="e">
        <v>#N/A</v>
      </c>
      <c r="T256" s="11" t="e">
        <v>#N/A</v>
      </c>
      <c r="U256" s="11" t="e">
        <v>#N/A</v>
      </c>
      <c r="V256" s="11" t="e">
        <v>#N/A</v>
      </c>
      <c r="W256" s="11">
        <v>16</v>
      </c>
      <c r="X256" s="11">
        <v>-16</v>
      </c>
      <c r="Y256" s="11" t="e">
        <v>#N/A</v>
      </c>
      <c r="Z256" s="25" t="e">
        <v>#N/A</v>
      </c>
    </row>
    <row r="257" spans="1:26" ht="14.25" customHeight="1" x14ac:dyDescent="0.25">
      <c r="A257" s="11"/>
      <c r="B257" s="11" t="e">
        <v>#N/A</v>
      </c>
      <c r="C257" s="11" t="s">
        <v>148</v>
      </c>
      <c r="D257" s="11"/>
      <c r="E257" s="11"/>
      <c r="F257" s="11" t="e">
        <v>#N/A</v>
      </c>
      <c r="G257" s="11" t="s">
        <v>516</v>
      </c>
      <c r="H257" s="11" t="e">
        <v>#N/A</v>
      </c>
      <c r="I257" s="11" t="e">
        <v>#N/A</v>
      </c>
      <c r="J257" s="11" t="e">
        <v>#N/A</v>
      </c>
      <c r="K257" s="11" t="e">
        <v>#N/A</v>
      </c>
      <c r="L257" s="11">
        <v>16</v>
      </c>
      <c r="M257" s="11" t="e">
        <v>#N/A</v>
      </c>
      <c r="N257" s="11" t="e">
        <v>#N/A</v>
      </c>
      <c r="O257" s="11" t="e">
        <v>#N/A</v>
      </c>
      <c r="P257" s="11" t="e">
        <v>#N/A</v>
      </c>
      <c r="Q257" s="11" t="e">
        <v>#N/A</v>
      </c>
      <c r="R257" s="11" t="e">
        <v>#N/A</v>
      </c>
      <c r="S257" s="11" t="e">
        <v>#N/A</v>
      </c>
      <c r="T257" s="11" t="e">
        <v>#N/A</v>
      </c>
      <c r="U257" s="11" t="e">
        <v>#N/A</v>
      </c>
      <c r="V257" s="11" t="e">
        <v>#N/A</v>
      </c>
      <c r="W257" s="11">
        <v>16</v>
      </c>
      <c r="X257" s="11">
        <v>-16</v>
      </c>
      <c r="Y257" s="11" t="e">
        <v>#N/A</v>
      </c>
      <c r="Z257" s="25" t="e">
        <v>#N/A</v>
      </c>
    </row>
    <row r="258" spans="1:26" ht="14.25" customHeight="1" x14ac:dyDescent="0.25">
      <c r="A258" s="11"/>
      <c r="B258" s="11" t="e">
        <v>#N/A</v>
      </c>
      <c r="C258" s="11" t="s">
        <v>148</v>
      </c>
      <c r="D258" s="11"/>
      <c r="E258" s="11"/>
      <c r="F258" s="11" t="e">
        <v>#N/A</v>
      </c>
      <c r="G258" s="11" t="s">
        <v>964</v>
      </c>
      <c r="H258" s="11" t="e">
        <v>#N/A</v>
      </c>
      <c r="I258" s="11" t="e">
        <v>#N/A</v>
      </c>
      <c r="J258" s="11" t="e">
        <v>#N/A</v>
      </c>
      <c r="K258" s="11" t="e">
        <v>#N/A</v>
      </c>
      <c r="L258" s="11">
        <v>16</v>
      </c>
      <c r="M258" s="11" t="e">
        <v>#N/A</v>
      </c>
      <c r="N258" s="11" t="e">
        <v>#N/A</v>
      </c>
      <c r="O258" s="11" t="e">
        <v>#N/A</v>
      </c>
      <c r="P258" s="11" t="e">
        <v>#N/A</v>
      </c>
      <c r="Q258" s="11" t="e">
        <v>#N/A</v>
      </c>
      <c r="R258" s="11" t="e">
        <v>#N/A</v>
      </c>
      <c r="S258" s="11" t="e">
        <v>#N/A</v>
      </c>
      <c r="T258" s="11" t="e">
        <v>#N/A</v>
      </c>
      <c r="U258" s="11" t="e">
        <v>#N/A</v>
      </c>
      <c r="V258" s="11" t="e">
        <v>#N/A</v>
      </c>
      <c r="W258" s="11">
        <v>16</v>
      </c>
      <c r="X258" s="11">
        <v>-16</v>
      </c>
      <c r="Y258" s="11" t="e">
        <v>#N/A</v>
      </c>
      <c r="Z258" s="25" t="e">
        <v>#N/A</v>
      </c>
    </row>
    <row r="259" spans="1:26" ht="14.25" customHeight="1" x14ac:dyDescent="0.25">
      <c r="A259" s="11"/>
      <c r="B259" s="11">
        <v>10</v>
      </c>
      <c r="C259" s="11" t="s">
        <v>148</v>
      </c>
      <c r="D259" s="11"/>
      <c r="E259" s="11"/>
      <c r="F259" s="11">
        <v>0</v>
      </c>
      <c r="G259" s="11" t="s">
        <v>237</v>
      </c>
      <c r="H259" s="11" t="s">
        <v>214</v>
      </c>
      <c r="I259" s="11">
        <v>112</v>
      </c>
      <c r="J259" s="11" t="s">
        <v>148</v>
      </c>
      <c r="K259" s="11" t="s">
        <v>891</v>
      </c>
      <c r="L259" s="11">
        <v>14</v>
      </c>
      <c r="M259" s="11">
        <v>105</v>
      </c>
      <c r="N259" s="11">
        <v>-4</v>
      </c>
      <c r="O259" s="11">
        <v>114</v>
      </c>
      <c r="P259" s="11">
        <v>-9</v>
      </c>
      <c r="Q259" s="11">
        <v>106</v>
      </c>
      <c r="R259" s="11">
        <v>123</v>
      </c>
      <c r="S259" s="11">
        <v>91</v>
      </c>
      <c r="T259" s="11">
        <v>111</v>
      </c>
      <c r="U259" s="11">
        <v>116</v>
      </c>
      <c r="V259" s="11">
        <v>109</v>
      </c>
      <c r="W259" s="11">
        <v>14</v>
      </c>
      <c r="X259" s="11">
        <v>-14</v>
      </c>
      <c r="Y259" s="11">
        <v>-24</v>
      </c>
      <c r="Z259" s="25">
        <v>12</v>
      </c>
    </row>
    <row r="260" spans="1:26" ht="14.25" customHeight="1" x14ac:dyDescent="0.25">
      <c r="A260" s="11"/>
      <c r="B260" s="11">
        <v>18</v>
      </c>
      <c r="C260" s="11" t="s">
        <v>148</v>
      </c>
      <c r="D260" s="11"/>
      <c r="E260" s="11"/>
      <c r="F260" s="11">
        <v>0</v>
      </c>
      <c r="G260" s="11" t="s">
        <v>497</v>
      </c>
      <c r="H260" s="11" t="s">
        <v>104</v>
      </c>
      <c r="I260" s="11" t="s">
        <v>36</v>
      </c>
      <c r="J260" s="11">
        <v>0</v>
      </c>
      <c r="K260" s="11" t="s">
        <v>886</v>
      </c>
      <c r="L260" s="11">
        <v>31</v>
      </c>
      <c r="M260" s="11">
        <v>240</v>
      </c>
      <c r="N260" s="11">
        <v>26</v>
      </c>
      <c r="O260" s="11" t="s">
        <v>36</v>
      </c>
      <c r="P260" s="11" t="e">
        <v>#VALUE!</v>
      </c>
      <c r="Q260" s="11">
        <v>152</v>
      </c>
      <c r="R260" s="11" t="s">
        <v>36</v>
      </c>
      <c r="S260" s="11">
        <v>265</v>
      </c>
      <c r="T260" s="11">
        <v>226</v>
      </c>
      <c r="U260" s="11">
        <v>190</v>
      </c>
      <c r="V260" s="11">
        <v>214</v>
      </c>
      <c r="W260" s="11">
        <v>27</v>
      </c>
      <c r="X260" s="11">
        <v>-27</v>
      </c>
      <c r="Y260" s="11">
        <v>30</v>
      </c>
      <c r="Z260" s="25" t="s">
        <v>886</v>
      </c>
    </row>
    <row r="261" spans="1:26" ht="14.25" customHeight="1" x14ac:dyDescent="0.25">
      <c r="A261" s="11"/>
      <c r="B261" s="11">
        <v>21</v>
      </c>
      <c r="C261" s="11" t="s">
        <v>148</v>
      </c>
      <c r="D261" s="11"/>
      <c r="E261" s="11"/>
      <c r="F261" s="11">
        <v>0</v>
      </c>
      <c r="G261" s="11" t="s">
        <v>623</v>
      </c>
      <c r="H261" s="11" t="s">
        <v>168</v>
      </c>
      <c r="I261" s="11">
        <v>187</v>
      </c>
      <c r="J261" s="11">
        <v>0</v>
      </c>
      <c r="K261" s="11" t="s">
        <v>886</v>
      </c>
      <c r="L261" s="11">
        <v>33</v>
      </c>
      <c r="M261" s="11">
        <v>259</v>
      </c>
      <c r="N261" s="11">
        <v>14</v>
      </c>
      <c r="O261" s="11" t="s">
        <v>36</v>
      </c>
      <c r="P261" s="11" t="e">
        <v>#VALUE!</v>
      </c>
      <c r="Q261" s="11" t="s">
        <v>36</v>
      </c>
      <c r="R261" s="11" t="s">
        <v>36</v>
      </c>
      <c r="S261" s="11">
        <v>206</v>
      </c>
      <c r="T261" s="11">
        <v>227</v>
      </c>
      <c r="U261" s="11">
        <v>289</v>
      </c>
      <c r="V261" s="11">
        <v>245</v>
      </c>
      <c r="W261" s="11">
        <v>31</v>
      </c>
      <c r="X261" s="11">
        <v>-31</v>
      </c>
      <c r="Y261" s="11">
        <v>-7</v>
      </c>
      <c r="Z261" s="25" t="s">
        <v>886</v>
      </c>
    </row>
    <row r="262" spans="1:26" ht="14.25" customHeight="1" x14ac:dyDescent="0.25">
      <c r="A262" s="11"/>
      <c r="B262" s="11">
        <v>23</v>
      </c>
      <c r="C262" s="11" t="s">
        <v>148</v>
      </c>
      <c r="D262" s="11"/>
      <c r="E262" s="11"/>
      <c r="F262" s="11">
        <v>0</v>
      </c>
      <c r="G262" s="11" t="s">
        <v>827</v>
      </c>
      <c r="H262" s="11" t="s">
        <v>126</v>
      </c>
      <c r="I262" s="11">
        <v>185</v>
      </c>
      <c r="J262" s="11">
        <v>0</v>
      </c>
      <c r="K262" s="11" t="s">
        <v>886</v>
      </c>
      <c r="L262" s="11">
        <v>34</v>
      </c>
      <c r="M262" s="11">
        <v>268</v>
      </c>
      <c r="N262" s="11">
        <v>-3</v>
      </c>
      <c r="O262" s="11" t="s">
        <v>36</v>
      </c>
      <c r="P262" s="11" t="e">
        <v>#VALUE!</v>
      </c>
      <c r="Q262" s="11" t="s">
        <v>36</v>
      </c>
      <c r="R262" s="11">
        <v>309</v>
      </c>
      <c r="S262" s="11">
        <v>237</v>
      </c>
      <c r="T262" s="11">
        <v>231</v>
      </c>
      <c r="U262" s="11">
        <v>311</v>
      </c>
      <c r="V262" s="11">
        <v>271</v>
      </c>
      <c r="W262" s="11">
        <v>34</v>
      </c>
      <c r="X262" s="11">
        <v>-34</v>
      </c>
      <c r="Y262" s="11" t="e">
        <v>#VALUE!</v>
      </c>
      <c r="Z262" s="25" t="s">
        <v>886</v>
      </c>
    </row>
    <row r="263" spans="1:26" ht="14.25" customHeight="1" x14ac:dyDescent="0.25">
      <c r="A263" s="11"/>
      <c r="B263" s="11"/>
      <c r="C263" s="11" t="s">
        <v>148</v>
      </c>
      <c r="D263" s="11"/>
      <c r="E263" s="11"/>
      <c r="F263" s="11" t="e">
        <v>#N/A</v>
      </c>
      <c r="G263" s="11" t="s">
        <v>965</v>
      </c>
      <c r="H263" s="11" t="e">
        <v>#N/A</v>
      </c>
      <c r="I263" s="11" t="e">
        <v>#N/A</v>
      </c>
      <c r="J263" s="11" t="e">
        <v>#N/A</v>
      </c>
      <c r="K263" s="11" t="e">
        <v>#N/A</v>
      </c>
      <c r="L263" s="11">
        <v>16</v>
      </c>
      <c r="M263" s="11" t="e">
        <v>#N/A</v>
      </c>
      <c r="N263" s="11" t="e">
        <v>#N/A</v>
      </c>
      <c r="O263" s="11" t="e">
        <v>#N/A</v>
      </c>
      <c r="P263" s="11" t="e">
        <v>#N/A</v>
      </c>
      <c r="Q263" s="11" t="e">
        <v>#N/A</v>
      </c>
      <c r="R263" s="11" t="e">
        <v>#N/A</v>
      </c>
      <c r="S263" s="11" t="e">
        <v>#N/A</v>
      </c>
      <c r="T263" s="11" t="e">
        <v>#N/A</v>
      </c>
      <c r="U263" s="11" t="e">
        <v>#N/A</v>
      </c>
      <c r="V263" s="11" t="e">
        <v>#N/A</v>
      </c>
      <c r="W263" s="11">
        <v>16</v>
      </c>
      <c r="X263" s="11">
        <v>-16</v>
      </c>
      <c r="Y263" s="11" t="e">
        <v>#N/A</v>
      </c>
      <c r="Z263" s="25" t="e">
        <v>#N/A</v>
      </c>
    </row>
    <row r="264" spans="1:26" ht="14.25" customHeight="1" x14ac:dyDescent="0.25">
      <c r="A264" s="11"/>
      <c r="B264" s="11" t="e">
        <v>#N/A</v>
      </c>
      <c r="C264" s="11" t="s">
        <v>148</v>
      </c>
      <c r="D264" s="11"/>
      <c r="E264" s="11"/>
      <c r="F264" s="11" t="e">
        <v>#N/A</v>
      </c>
      <c r="G264" s="11" t="s">
        <v>693</v>
      </c>
      <c r="H264" s="11" t="e">
        <v>#N/A</v>
      </c>
      <c r="I264" s="11" t="e">
        <v>#N/A</v>
      </c>
      <c r="J264" s="11" t="e">
        <v>#N/A</v>
      </c>
      <c r="K264" s="11" t="e">
        <v>#N/A</v>
      </c>
      <c r="L264" s="11">
        <v>16</v>
      </c>
      <c r="M264" s="11" t="e">
        <v>#N/A</v>
      </c>
      <c r="N264" s="11" t="e">
        <v>#N/A</v>
      </c>
      <c r="O264" s="11" t="e">
        <v>#N/A</v>
      </c>
      <c r="P264" s="11" t="e">
        <v>#N/A</v>
      </c>
      <c r="Q264" s="11" t="e">
        <v>#N/A</v>
      </c>
      <c r="R264" s="11" t="e">
        <v>#N/A</v>
      </c>
      <c r="S264" s="11" t="e">
        <v>#N/A</v>
      </c>
      <c r="T264" s="11" t="e">
        <v>#N/A</v>
      </c>
      <c r="U264" s="11" t="e">
        <v>#N/A</v>
      </c>
      <c r="V264" s="11" t="e">
        <v>#N/A</v>
      </c>
      <c r="W264" s="11">
        <v>16</v>
      </c>
      <c r="X264" s="11">
        <v>-16</v>
      </c>
      <c r="Y264" s="11" t="e">
        <v>#N/A</v>
      </c>
      <c r="Z264" s="25" t="e">
        <v>#N/A</v>
      </c>
    </row>
    <row r="265" spans="1:26" ht="14.25" customHeight="1" x14ac:dyDescent="0.25">
      <c r="A265" s="11"/>
      <c r="B265" s="11">
        <v>20</v>
      </c>
      <c r="C265" s="11" t="s">
        <v>148</v>
      </c>
      <c r="D265" s="11"/>
      <c r="E265" s="11"/>
      <c r="F265" s="11">
        <v>0</v>
      </c>
      <c r="G265" s="11" t="s">
        <v>384</v>
      </c>
      <c r="H265" s="11" t="s">
        <v>91</v>
      </c>
      <c r="I265" s="11">
        <v>184</v>
      </c>
      <c r="J265" s="11" t="s">
        <v>148</v>
      </c>
      <c r="K265" s="11" t="s">
        <v>913</v>
      </c>
      <c r="L265" s="11">
        <v>28</v>
      </c>
      <c r="M265" s="11">
        <v>223</v>
      </c>
      <c r="N265" s="11">
        <v>-10</v>
      </c>
      <c r="O265" s="11" t="s">
        <v>36</v>
      </c>
      <c r="P265" s="11" t="e">
        <v>#VALUE!</v>
      </c>
      <c r="Q265" s="11" t="s">
        <v>36</v>
      </c>
      <c r="R265" s="11">
        <v>312</v>
      </c>
      <c r="S265" s="11">
        <v>166</v>
      </c>
      <c r="T265" s="11">
        <v>184</v>
      </c>
      <c r="U265" s="11">
        <v>283</v>
      </c>
      <c r="V265" s="11">
        <v>233</v>
      </c>
      <c r="W265" s="11">
        <v>30</v>
      </c>
      <c r="X265" s="11">
        <v>-30</v>
      </c>
      <c r="Y265" s="11">
        <v>-28</v>
      </c>
      <c r="Z265" s="25">
        <v>52</v>
      </c>
    </row>
    <row r="266" spans="1:26" ht="14.25" customHeight="1" x14ac:dyDescent="0.25">
      <c r="A266" s="11"/>
      <c r="B266" s="11" t="e">
        <v>#N/A</v>
      </c>
      <c r="C266" s="11" t="s">
        <v>148</v>
      </c>
      <c r="D266" s="11"/>
      <c r="E266" s="11"/>
      <c r="F266" s="11" t="e">
        <v>#N/A</v>
      </c>
      <c r="G266" s="11" t="s">
        <v>966</v>
      </c>
      <c r="H266" s="11" t="e">
        <v>#N/A</v>
      </c>
      <c r="I266" s="11" t="e">
        <v>#N/A</v>
      </c>
      <c r="J266" s="11" t="e">
        <v>#N/A</v>
      </c>
      <c r="K266" s="11" t="e">
        <v>#N/A</v>
      </c>
      <c r="L266" s="11">
        <v>16</v>
      </c>
      <c r="M266" s="11" t="e">
        <v>#N/A</v>
      </c>
      <c r="N266" s="11" t="e">
        <v>#N/A</v>
      </c>
      <c r="O266" s="11" t="e">
        <v>#N/A</v>
      </c>
      <c r="P266" s="11" t="e">
        <v>#N/A</v>
      </c>
      <c r="Q266" s="11" t="e">
        <v>#N/A</v>
      </c>
      <c r="R266" s="11" t="e">
        <v>#N/A</v>
      </c>
      <c r="S266" s="11" t="e">
        <v>#N/A</v>
      </c>
      <c r="T266" s="11" t="e">
        <v>#N/A</v>
      </c>
      <c r="U266" s="11" t="e">
        <v>#N/A</v>
      </c>
      <c r="V266" s="11" t="e">
        <v>#N/A</v>
      </c>
      <c r="W266" s="11">
        <v>16</v>
      </c>
      <c r="X266" s="11">
        <v>-16</v>
      </c>
      <c r="Y266" s="11" t="e">
        <v>#N/A</v>
      </c>
      <c r="Z266" s="25" t="e">
        <v>#N/A</v>
      </c>
    </row>
    <row r="267" spans="1:26" ht="14.25" customHeight="1" x14ac:dyDescent="0.25">
      <c r="A267" s="11"/>
      <c r="B267" s="11">
        <v>24</v>
      </c>
      <c r="C267" s="11" t="s">
        <v>148</v>
      </c>
      <c r="D267" s="11"/>
      <c r="E267" s="11"/>
      <c r="F267" s="11">
        <v>0</v>
      </c>
      <c r="G267" s="11" t="s">
        <v>967</v>
      </c>
      <c r="H267" s="11" t="s">
        <v>160</v>
      </c>
      <c r="I267" s="11">
        <v>198</v>
      </c>
      <c r="J267" s="11">
        <v>0</v>
      </c>
      <c r="K267" s="11" t="s">
        <v>886</v>
      </c>
      <c r="L267" s="11">
        <v>32</v>
      </c>
      <c r="M267" s="11">
        <v>254</v>
      </c>
      <c r="N267" s="11">
        <v>-20</v>
      </c>
      <c r="O267" s="11" t="s">
        <v>36</v>
      </c>
      <c r="P267" s="11" t="e">
        <v>#VALUE!</v>
      </c>
      <c r="Q267" s="11">
        <v>347</v>
      </c>
      <c r="R267" s="11">
        <v>318</v>
      </c>
      <c r="S267" s="11">
        <v>204</v>
      </c>
      <c r="T267" s="11">
        <v>247</v>
      </c>
      <c r="U267" s="11" t="s">
        <v>36</v>
      </c>
      <c r="V267" s="11">
        <v>274</v>
      </c>
      <c r="W267" s="11">
        <v>35</v>
      </c>
      <c r="X267" s="11">
        <v>-35</v>
      </c>
      <c r="Y267" s="11">
        <v>-43</v>
      </c>
      <c r="Z267" s="25" t="s">
        <v>886</v>
      </c>
    </row>
    <row r="268" spans="1:26" ht="14.25" customHeight="1" x14ac:dyDescent="0.25">
      <c r="A268" s="11"/>
      <c r="B268" s="11" t="e">
        <v>#N/A</v>
      </c>
      <c r="C268" s="11" t="s">
        <v>148</v>
      </c>
      <c r="D268" s="11"/>
      <c r="E268" s="11"/>
      <c r="F268" s="11" t="e">
        <v>#N/A</v>
      </c>
      <c r="G268" s="11" t="s">
        <v>968</v>
      </c>
      <c r="H268" s="11" t="e">
        <v>#N/A</v>
      </c>
      <c r="I268" s="11" t="e">
        <v>#N/A</v>
      </c>
      <c r="J268" s="11" t="e">
        <v>#N/A</v>
      </c>
      <c r="K268" s="11" t="e">
        <v>#N/A</v>
      </c>
      <c r="L268" s="11">
        <v>16</v>
      </c>
      <c r="M268" s="11" t="e">
        <v>#N/A</v>
      </c>
      <c r="N268" s="11" t="e">
        <v>#N/A</v>
      </c>
      <c r="O268" s="11" t="e">
        <v>#N/A</v>
      </c>
      <c r="P268" s="11" t="e">
        <v>#N/A</v>
      </c>
      <c r="Q268" s="11" t="e">
        <v>#N/A</v>
      </c>
      <c r="R268" s="11" t="e">
        <v>#N/A</v>
      </c>
      <c r="S268" s="11" t="e">
        <v>#N/A</v>
      </c>
      <c r="T268" s="11" t="e">
        <v>#N/A</v>
      </c>
      <c r="U268" s="11" t="e">
        <v>#N/A</v>
      </c>
      <c r="V268" s="11" t="e">
        <v>#N/A</v>
      </c>
      <c r="W268" s="11">
        <v>16</v>
      </c>
      <c r="X268" s="11">
        <v>-16</v>
      </c>
      <c r="Y268" s="11" t="e">
        <v>#N/A</v>
      </c>
      <c r="Z268" s="25" t="e">
        <v>#N/A</v>
      </c>
    </row>
    <row r="269" spans="1:26" ht="14.25" customHeight="1" x14ac:dyDescent="0.25">
      <c r="A269" s="11"/>
      <c r="B269" s="11" t="e">
        <v>#N/A</v>
      </c>
      <c r="C269" s="11" t="s">
        <v>148</v>
      </c>
      <c r="D269" s="11"/>
      <c r="E269" s="11"/>
      <c r="F269" s="11" t="e">
        <v>#N/A</v>
      </c>
      <c r="G269" s="11" t="s">
        <v>969</v>
      </c>
      <c r="H269" s="11" t="e">
        <v>#N/A</v>
      </c>
      <c r="I269" s="11" t="e">
        <v>#N/A</v>
      </c>
      <c r="J269" s="11" t="e">
        <v>#N/A</v>
      </c>
      <c r="K269" s="11" t="e">
        <v>#N/A</v>
      </c>
      <c r="L269" s="11">
        <v>16</v>
      </c>
      <c r="M269" s="11" t="e">
        <v>#N/A</v>
      </c>
      <c r="N269" s="11" t="e">
        <v>#N/A</v>
      </c>
      <c r="O269" s="11" t="e">
        <v>#N/A</v>
      </c>
      <c r="P269" s="11" t="e">
        <v>#N/A</v>
      </c>
      <c r="Q269" s="11" t="e">
        <v>#N/A</v>
      </c>
      <c r="R269" s="11" t="e">
        <v>#N/A</v>
      </c>
      <c r="S269" s="11" t="e">
        <v>#N/A</v>
      </c>
      <c r="T269" s="11" t="e">
        <v>#N/A</v>
      </c>
      <c r="U269" s="11" t="e">
        <v>#N/A</v>
      </c>
      <c r="V269" s="11" t="e">
        <v>#N/A</v>
      </c>
      <c r="W269" s="11">
        <v>16</v>
      </c>
      <c r="X269" s="11">
        <v>-16</v>
      </c>
      <c r="Y269" s="11" t="e">
        <v>#N/A</v>
      </c>
      <c r="Z269" s="25" t="e">
        <v>#N/A</v>
      </c>
    </row>
    <row r="270" spans="1:26" ht="14.25" customHeight="1" x14ac:dyDescent="0.25">
      <c r="A270" s="11"/>
      <c r="B270" s="11" t="e">
        <v>#N/A</v>
      </c>
      <c r="C270" s="11" t="s">
        <v>148</v>
      </c>
      <c r="D270" s="11"/>
      <c r="E270" s="11"/>
      <c r="F270" s="11" t="e">
        <v>#N/A</v>
      </c>
      <c r="G270" s="11" t="s">
        <v>837</v>
      </c>
      <c r="H270" s="11" t="e">
        <v>#N/A</v>
      </c>
      <c r="I270" s="11" t="e">
        <v>#N/A</v>
      </c>
      <c r="J270" s="11" t="e">
        <v>#N/A</v>
      </c>
      <c r="K270" s="11" t="e">
        <v>#N/A</v>
      </c>
      <c r="L270" s="11">
        <v>16</v>
      </c>
      <c r="M270" s="11" t="e">
        <v>#N/A</v>
      </c>
      <c r="N270" s="11" t="e">
        <v>#N/A</v>
      </c>
      <c r="O270" s="11" t="e">
        <v>#N/A</v>
      </c>
      <c r="P270" s="11" t="e">
        <v>#N/A</v>
      </c>
      <c r="Q270" s="11" t="e">
        <v>#N/A</v>
      </c>
      <c r="R270" s="11" t="e">
        <v>#N/A</v>
      </c>
      <c r="S270" s="11" t="e">
        <v>#N/A</v>
      </c>
      <c r="T270" s="11" t="e">
        <v>#N/A</v>
      </c>
      <c r="U270" s="11" t="e">
        <v>#N/A</v>
      </c>
      <c r="V270" s="11" t="e">
        <v>#N/A</v>
      </c>
      <c r="W270" s="11">
        <v>16</v>
      </c>
      <c r="X270" s="11">
        <v>-16</v>
      </c>
      <c r="Y270" s="11" t="e">
        <v>#N/A</v>
      </c>
      <c r="Z270" s="25" t="e">
        <v>#N/A</v>
      </c>
    </row>
    <row r="271" spans="1:26" ht="14.25" customHeight="1" x14ac:dyDescent="0.25">
      <c r="A271" s="11"/>
      <c r="B271" s="11">
        <v>22</v>
      </c>
      <c r="C271" s="11" t="s">
        <v>148</v>
      </c>
      <c r="D271" s="11"/>
      <c r="E271" s="11"/>
      <c r="F271" s="11">
        <v>0</v>
      </c>
      <c r="G271" s="11" t="s">
        <v>970</v>
      </c>
      <c r="H271" s="11" t="s">
        <v>69</v>
      </c>
      <c r="I271" s="11">
        <v>249</v>
      </c>
      <c r="J271" s="11">
        <v>0</v>
      </c>
      <c r="K271" s="11" t="s">
        <v>886</v>
      </c>
      <c r="L271" s="11">
        <v>28</v>
      </c>
      <c r="M271" s="11">
        <v>222</v>
      </c>
      <c r="N271" s="11">
        <v>-30</v>
      </c>
      <c r="O271" s="11" t="s">
        <v>36</v>
      </c>
      <c r="P271" s="11" t="e">
        <v>#VALUE!</v>
      </c>
      <c r="Q271" s="11" t="s">
        <v>36</v>
      </c>
      <c r="R271" s="11">
        <v>276</v>
      </c>
      <c r="S271" s="11">
        <v>256</v>
      </c>
      <c r="T271" s="11">
        <v>233</v>
      </c>
      <c r="U271" s="11">
        <v>276</v>
      </c>
      <c r="V271" s="11">
        <v>252</v>
      </c>
      <c r="W271" s="11">
        <v>32</v>
      </c>
      <c r="X271" s="11">
        <v>-32</v>
      </c>
      <c r="Y271" s="11">
        <v>-37</v>
      </c>
      <c r="Z271" s="25" t="s">
        <v>886</v>
      </c>
    </row>
    <row r="272" spans="1:26" ht="14.25" customHeight="1" x14ac:dyDescent="0.25">
      <c r="A272" s="11"/>
      <c r="B272" s="11" t="e">
        <v>#N/A</v>
      </c>
      <c r="C272" s="11" t="s">
        <v>148</v>
      </c>
      <c r="D272" s="11"/>
      <c r="E272" s="11"/>
      <c r="F272" s="11">
        <v>0</v>
      </c>
      <c r="G272" s="11" t="s">
        <v>971</v>
      </c>
      <c r="H272" s="11" t="e">
        <v>#N/A</v>
      </c>
      <c r="I272" s="11" t="e">
        <v>#N/A</v>
      </c>
      <c r="J272" s="11">
        <v>0</v>
      </c>
      <c r="K272" s="11" t="s">
        <v>886</v>
      </c>
      <c r="L272" s="11">
        <v>16</v>
      </c>
      <c r="M272" s="11" t="e">
        <v>#N/A</v>
      </c>
      <c r="N272" s="11" t="e">
        <v>#N/A</v>
      </c>
      <c r="O272" s="11" t="e">
        <v>#N/A</v>
      </c>
      <c r="P272" s="11" t="e">
        <v>#N/A</v>
      </c>
      <c r="Q272" s="11" t="e">
        <v>#N/A</v>
      </c>
      <c r="R272" s="11" t="e">
        <v>#N/A</v>
      </c>
      <c r="S272" s="11" t="e">
        <v>#N/A</v>
      </c>
      <c r="T272" s="11" t="e">
        <v>#N/A</v>
      </c>
      <c r="U272" s="11" t="e">
        <v>#N/A</v>
      </c>
      <c r="V272" s="11" t="e">
        <v>#N/A</v>
      </c>
      <c r="W272" s="11">
        <v>16</v>
      </c>
      <c r="X272" s="11">
        <v>-16</v>
      </c>
      <c r="Y272" s="11" t="e">
        <v>#N/A</v>
      </c>
      <c r="Z272" s="25" t="s">
        <v>886</v>
      </c>
    </row>
    <row r="273" spans="1:26" ht="14.25" customHeight="1" x14ac:dyDescent="0.25">
      <c r="A273" s="11"/>
      <c r="B273" s="11" t="e">
        <v>#N/A</v>
      </c>
      <c r="C273" s="11" t="s">
        <v>148</v>
      </c>
      <c r="D273" s="11"/>
      <c r="E273" s="11"/>
      <c r="F273" s="11">
        <v>0</v>
      </c>
      <c r="G273" s="11" t="s">
        <v>401</v>
      </c>
      <c r="H273" s="11" t="e">
        <v>#N/A</v>
      </c>
      <c r="I273" s="11">
        <v>244</v>
      </c>
      <c r="J273" s="11">
        <v>0</v>
      </c>
      <c r="K273" s="11" t="s">
        <v>886</v>
      </c>
      <c r="L273" s="11">
        <v>16</v>
      </c>
      <c r="M273" s="11" t="e">
        <v>#N/A</v>
      </c>
      <c r="N273" s="11" t="e">
        <v>#N/A</v>
      </c>
      <c r="O273" s="11" t="e">
        <v>#N/A</v>
      </c>
      <c r="P273" s="11" t="e">
        <v>#N/A</v>
      </c>
      <c r="Q273" s="11" t="e">
        <v>#N/A</v>
      </c>
      <c r="R273" s="11" t="e">
        <v>#N/A</v>
      </c>
      <c r="S273" s="11" t="e">
        <v>#N/A</v>
      </c>
      <c r="T273" s="11" t="e">
        <v>#N/A</v>
      </c>
      <c r="U273" s="11" t="e">
        <v>#N/A</v>
      </c>
      <c r="V273" s="11" t="e">
        <v>#N/A</v>
      </c>
      <c r="W273" s="11">
        <v>16</v>
      </c>
      <c r="X273" s="11">
        <v>-16</v>
      </c>
      <c r="Y273" s="11" t="e">
        <v>#N/A</v>
      </c>
      <c r="Z273" s="25" t="s">
        <v>886</v>
      </c>
    </row>
    <row r="274" spans="1:26" ht="14.25" customHeight="1" x14ac:dyDescent="0.25">
      <c r="A274" s="11"/>
      <c r="B274" s="11" t="e">
        <v>#N/A</v>
      </c>
      <c r="C274" s="11" t="s">
        <v>148</v>
      </c>
      <c r="D274" s="11"/>
      <c r="E274" s="11"/>
      <c r="F274" s="11" t="e">
        <v>#N/A</v>
      </c>
      <c r="G274" s="11" t="s">
        <v>972</v>
      </c>
      <c r="H274" s="11" t="e">
        <v>#N/A</v>
      </c>
      <c r="I274" s="11" t="e">
        <v>#N/A</v>
      </c>
      <c r="J274" s="11" t="e">
        <v>#N/A</v>
      </c>
      <c r="K274" s="11" t="e">
        <v>#N/A</v>
      </c>
      <c r="L274" s="11">
        <v>16</v>
      </c>
      <c r="M274" s="11" t="e">
        <v>#N/A</v>
      </c>
      <c r="N274" s="11" t="e">
        <v>#N/A</v>
      </c>
      <c r="O274" s="11" t="e">
        <v>#N/A</v>
      </c>
      <c r="P274" s="11" t="e">
        <v>#N/A</v>
      </c>
      <c r="Q274" s="11" t="e">
        <v>#N/A</v>
      </c>
      <c r="R274" s="11" t="e">
        <v>#N/A</v>
      </c>
      <c r="S274" s="11" t="e">
        <v>#N/A</v>
      </c>
      <c r="T274" s="11" t="e">
        <v>#N/A</v>
      </c>
      <c r="U274" s="11" t="e">
        <v>#N/A</v>
      </c>
      <c r="V274" s="11" t="e">
        <v>#N/A</v>
      </c>
      <c r="W274" s="11">
        <v>16</v>
      </c>
      <c r="X274" s="11">
        <v>-16</v>
      </c>
      <c r="Y274" s="11" t="e">
        <v>#N/A</v>
      </c>
      <c r="Z274" s="25" t="e">
        <v>#N/A</v>
      </c>
    </row>
    <row r="275" spans="1:26" ht="14.25" customHeight="1" x14ac:dyDescent="0.25">
      <c r="A275" s="11"/>
      <c r="B275" s="11" t="e">
        <v>#N/A</v>
      </c>
      <c r="C275" s="11" t="s">
        <v>148</v>
      </c>
      <c r="D275" s="11"/>
      <c r="E275" s="11"/>
      <c r="F275" s="11" t="e">
        <v>#N/A</v>
      </c>
      <c r="G275" s="11" t="s">
        <v>973</v>
      </c>
      <c r="H275" s="11" t="e">
        <v>#N/A</v>
      </c>
      <c r="I275" s="11" t="e">
        <v>#N/A</v>
      </c>
      <c r="J275" s="11" t="e">
        <v>#N/A</v>
      </c>
      <c r="K275" s="11" t="e">
        <v>#N/A</v>
      </c>
      <c r="L275" s="11">
        <v>16</v>
      </c>
      <c r="M275" s="11" t="e">
        <v>#N/A</v>
      </c>
      <c r="N275" s="11" t="e">
        <v>#N/A</v>
      </c>
      <c r="O275" s="11" t="e">
        <v>#N/A</v>
      </c>
      <c r="P275" s="11" t="e">
        <v>#N/A</v>
      </c>
      <c r="Q275" s="11" t="e">
        <v>#N/A</v>
      </c>
      <c r="R275" s="11" t="e">
        <v>#N/A</v>
      </c>
      <c r="S275" s="11" t="e">
        <v>#N/A</v>
      </c>
      <c r="T275" s="11" t="e">
        <v>#N/A</v>
      </c>
      <c r="U275" s="11" t="e">
        <v>#N/A</v>
      </c>
      <c r="V275" s="11" t="e">
        <v>#N/A</v>
      </c>
      <c r="W275" s="11">
        <v>16</v>
      </c>
      <c r="X275" s="11">
        <v>-16</v>
      </c>
      <c r="Y275" s="11" t="e">
        <v>#N/A</v>
      </c>
      <c r="Z275" s="25" t="e">
        <v>#N/A</v>
      </c>
    </row>
    <row r="276" spans="1:26" ht="14.25" customHeight="1" x14ac:dyDescent="0.25">
      <c r="A276" s="11"/>
      <c r="B276" s="11" t="e">
        <v>#N/A</v>
      </c>
      <c r="C276" s="11" t="s">
        <v>148</v>
      </c>
      <c r="D276" s="11"/>
      <c r="E276" s="11"/>
      <c r="F276" s="11" t="e">
        <v>#N/A</v>
      </c>
      <c r="G276" s="11" t="s">
        <v>974</v>
      </c>
      <c r="H276" s="11" t="e">
        <v>#N/A</v>
      </c>
      <c r="I276" s="11" t="e">
        <v>#N/A</v>
      </c>
      <c r="J276" s="11" t="e">
        <v>#N/A</v>
      </c>
      <c r="K276" s="11" t="e">
        <v>#N/A</v>
      </c>
      <c r="L276" s="11">
        <v>16</v>
      </c>
      <c r="M276" s="11" t="e">
        <v>#N/A</v>
      </c>
      <c r="N276" s="11" t="e">
        <v>#N/A</v>
      </c>
      <c r="O276" s="11" t="e">
        <v>#N/A</v>
      </c>
      <c r="P276" s="11" t="e">
        <v>#N/A</v>
      </c>
      <c r="Q276" s="11" t="e">
        <v>#N/A</v>
      </c>
      <c r="R276" s="11" t="e">
        <v>#N/A</v>
      </c>
      <c r="S276" s="11" t="e">
        <v>#N/A</v>
      </c>
      <c r="T276" s="11" t="e">
        <v>#N/A</v>
      </c>
      <c r="U276" s="11" t="e">
        <v>#N/A</v>
      </c>
      <c r="V276" s="11" t="e">
        <v>#N/A</v>
      </c>
      <c r="W276" s="11">
        <v>16</v>
      </c>
      <c r="X276" s="11">
        <v>-16</v>
      </c>
      <c r="Y276" s="11" t="e">
        <v>#N/A</v>
      </c>
      <c r="Z276" s="25" t="e">
        <v>#N/A</v>
      </c>
    </row>
    <row r="277" spans="1:26" ht="14.25" customHeight="1" x14ac:dyDescent="0.25">
      <c r="A277" s="11"/>
      <c r="B277" s="11">
        <v>21</v>
      </c>
      <c r="C277" s="11" t="s">
        <v>148</v>
      </c>
      <c r="D277" s="11"/>
      <c r="E277" s="11"/>
      <c r="F277" s="11">
        <v>0</v>
      </c>
      <c r="G277" s="11" t="s">
        <v>975</v>
      </c>
      <c r="H277" s="11" t="s">
        <v>85</v>
      </c>
      <c r="I277" s="11">
        <v>279</v>
      </c>
      <c r="J277" s="11">
        <v>0</v>
      </c>
      <c r="K277" s="11" t="s">
        <v>886</v>
      </c>
      <c r="L277" s="11">
        <v>35</v>
      </c>
      <c r="M277" s="11">
        <v>276</v>
      </c>
      <c r="N277" s="11">
        <v>24</v>
      </c>
      <c r="O277" s="11" t="s">
        <v>36</v>
      </c>
      <c r="P277" s="11" t="e">
        <v>#VALUE!</v>
      </c>
      <c r="Q277" s="11">
        <v>233</v>
      </c>
      <c r="R277" s="11" t="s">
        <v>36</v>
      </c>
      <c r="S277" s="11">
        <v>249</v>
      </c>
      <c r="T277" s="11">
        <v>263</v>
      </c>
      <c r="U277" s="11">
        <v>240</v>
      </c>
      <c r="V277" s="11">
        <v>252</v>
      </c>
      <c r="W277" s="11">
        <v>32</v>
      </c>
      <c r="X277" s="11">
        <v>-32</v>
      </c>
      <c r="Y277" s="11" t="e">
        <v>#VALUE!</v>
      </c>
      <c r="Z277" s="25" t="s">
        <v>886</v>
      </c>
    </row>
    <row r="278" spans="1:26" ht="14.25" customHeight="1" x14ac:dyDescent="0.25">
      <c r="A278" s="11"/>
      <c r="B278" s="11" t="e">
        <v>#N/A</v>
      </c>
      <c r="C278" s="11" t="s">
        <v>148</v>
      </c>
      <c r="D278" s="11"/>
      <c r="E278" s="11"/>
      <c r="F278" s="11" t="e">
        <v>#N/A</v>
      </c>
      <c r="G278" s="11" t="s">
        <v>976</v>
      </c>
      <c r="H278" s="11" t="e">
        <v>#N/A</v>
      </c>
      <c r="I278" s="11" t="e">
        <v>#N/A</v>
      </c>
      <c r="J278" s="11" t="e">
        <v>#N/A</v>
      </c>
      <c r="K278" s="11" t="e">
        <v>#N/A</v>
      </c>
      <c r="L278" s="11">
        <v>16</v>
      </c>
      <c r="M278" s="11" t="e">
        <v>#N/A</v>
      </c>
      <c r="N278" s="11" t="e">
        <v>#N/A</v>
      </c>
      <c r="O278" s="11" t="e">
        <v>#N/A</v>
      </c>
      <c r="P278" s="11" t="e">
        <v>#N/A</v>
      </c>
      <c r="Q278" s="11" t="e">
        <v>#N/A</v>
      </c>
      <c r="R278" s="11" t="e">
        <v>#N/A</v>
      </c>
      <c r="S278" s="11" t="e">
        <v>#N/A</v>
      </c>
      <c r="T278" s="11" t="e">
        <v>#N/A</v>
      </c>
      <c r="U278" s="11" t="e">
        <v>#N/A</v>
      </c>
      <c r="V278" s="11" t="e">
        <v>#N/A</v>
      </c>
      <c r="W278" s="11">
        <v>16</v>
      </c>
      <c r="X278" s="11">
        <v>-16</v>
      </c>
      <c r="Y278" s="11" t="e">
        <v>#N/A</v>
      </c>
      <c r="Z278" s="25" t="e">
        <v>#N/A</v>
      </c>
    </row>
    <row r="279" spans="1:26" ht="14.25" customHeight="1" x14ac:dyDescent="0.25">
      <c r="A279" s="11"/>
      <c r="B279" s="11" t="e">
        <v>#N/A</v>
      </c>
      <c r="C279" s="11" t="s">
        <v>148</v>
      </c>
      <c r="D279" s="11"/>
      <c r="E279" s="11"/>
      <c r="F279" s="11" t="e">
        <v>#N/A</v>
      </c>
      <c r="G279" s="11" t="s">
        <v>977</v>
      </c>
      <c r="H279" s="11" t="e">
        <v>#N/A</v>
      </c>
      <c r="I279" s="11" t="e">
        <v>#N/A</v>
      </c>
      <c r="J279" s="11" t="e">
        <v>#N/A</v>
      </c>
      <c r="K279" s="11" t="e">
        <v>#N/A</v>
      </c>
      <c r="L279" s="11">
        <v>16</v>
      </c>
      <c r="M279" s="11" t="e">
        <v>#N/A</v>
      </c>
      <c r="N279" s="11" t="e">
        <v>#N/A</v>
      </c>
      <c r="O279" s="11" t="e">
        <v>#N/A</v>
      </c>
      <c r="P279" s="11" t="e">
        <v>#N/A</v>
      </c>
      <c r="Q279" s="11" t="e">
        <v>#N/A</v>
      </c>
      <c r="R279" s="11" t="e">
        <v>#N/A</v>
      </c>
      <c r="S279" s="11" t="e">
        <v>#N/A</v>
      </c>
      <c r="T279" s="11" t="e">
        <v>#N/A</v>
      </c>
      <c r="U279" s="11" t="e">
        <v>#N/A</v>
      </c>
      <c r="V279" s="11" t="e">
        <v>#N/A</v>
      </c>
      <c r="W279" s="11">
        <v>16</v>
      </c>
      <c r="X279" s="11">
        <v>-16</v>
      </c>
      <c r="Y279" s="11" t="e">
        <v>#N/A</v>
      </c>
      <c r="Z279" s="25" t="e">
        <v>#N/A</v>
      </c>
    </row>
    <row r="280" spans="1:26" ht="14.25" customHeight="1" x14ac:dyDescent="0.25">
      <c r="A280" s="11"/>
      <c r="B280" s="11">
        <v>16</v>
      </c>
      <c r="C280" s="11" t="s">
        <v>148</v>
      </c>
      <c r="D280" s="11"/>
      <c r="E280" s="11"/>
      <c r="F280" s="11">
        <v>0</v>
      </c>
      <c r="G280" s="11" t="s">
        <v>688</v>
      </c>
      <c r="H280" s="11" t="s">
        <v>39</v>
      </c>
      <c r="I280" s="11">
        <v>143</v>
      </c>
      <c r="J280" s="11">
        <v>0</v>
      </c>
      <c r="K280" s="11" t="s">
        <v>903</v>
      </c>
      <c r="L280" s="11">
        <v>24</v>
      </c>
      <c r="M280" s="11">
        <v>189</v>
      </c>
      <c r="N280" s="11">
        <v>4</v>
      </c>
      <c r="O280" s="11">
        <v>177</v>
      </c>
      <c r="P280" s="11">
        <v>12</v>
      </c>
      <c r="Q280" s="11">
        <v>181</v>
      </c>
      <c r="R280" s="11">
        <v>236</v>
      </c>
      <c r="S280" s="11">
        <v>164</v>
      </c>
      <c r="T280" s="11">
        <v>159</v>
      </c>
      <c r="U280" s="11">
        <v>189</v>
      </c>
      <c r="V280" s="11">
        <v>185</v>
      </c>
      <c r="W280" s="11">
        <v>24</v>
      </c>
      <c r="X280" s="11">
        <v>-24</v>
      </c>
      <c r="Y280" s="11">
        <v>-43</v>
      </c>
      <c r="Z280" s="25">
        <v>24</v>
      </c>
    </row>
    <row r="281" spans="1:26" ht="14.25" customHeight="1" x14ac:dyDescent="0.25">
      <c r="A281" s="11"/>
      <c r="B281" s="11">
        <v>9</v>
      </c>
      <c r="C281" s="11" t="s">
        <v>148</v>
      </c>
      <c r="D281" s="11"/>
      <c r="E281" s="11"/>
      <c r="F281" s="11">
        <v>0</v>
      </c>
      <c r="G281" s="11" t="s">
        <v>458</v>
      </c>
      <c r="H281" s="11" t="s">
        <v>55</v>
      </c>
      <c r="I281" s="11">
        <v>84</v>
      </c>
      <c r="J281" s="11">
        <v>0</v>
      </c>
      <c r="K281" s="11" t="s">
        <v>851</v>
      </c>
      <c r="L281" s="11">
        <v>13</v>
      </c>
      <c r="M281" s="11">
        <v>102</v>
      </c>
      <c r="N281" s="11">
        <v>-3</v>
      </c>
      <c r="O281" s="11">
        <v>119</v>
      </c>
      <c r="P281" s="11">
        <v>-17</v>
      </c>
      <c r="Q281" s="11">
        <v>115</v>
      </c>
      <c r="R281" s="11">
        <v>110</v>
      </c>
      <c r="S281" s="11">
        <v>98</v>
      </c>
      <c r="T281" s="11">
        <v>85</v>
      </c>
      <c r="U281" s="11">
        <v>111</v>
      </c>
      <c r="V281" s="11">
        <v>105</v>
      </c>
      <c r="W281" s="11">
        <v>14</v>
      </c>
      <c r="X281" s="11">
        <v>-14</v>
      </c>
      <c r="Y281" s="11">
        <v>-12</v>
      </c>
      <c r="Z281" s="25">
        <v>40</v>
      </c>
    </row>
    <row r="282" spans="1:26" ht="14.25" customHeight="1" x14ac:dyDescent="0.25">
      <c r="A282" s="11"/>
      <c r="B282" s="11" t="e">
        <v>#N/A</v>
      </c>
      <c r="C282" s="11" t="s">
        <v>148</v>
      </c>
      <c r="D282" s="11"/>
      <c r="E282" s="11"/>
      <c r="F282" s="11" t="e">
        <v>#N/A</v>
      </c>
      <c r="G282" s="11" t="s">
        <v>978</v>
      </c>
      <c r="H282" s="11" t="e">
        <v>#N/A</v>
      </c>
      <c r="I282" s="11" t="e">
        <v>#N/A</v>
      </c>
      <c r="J282" s="11" t="e">
        <v>#N/A</v>
      </c>
      <c r="K282" s="11" t="e">
        <v>#N/A</v>
      </c>
      <c r="L282" s="11">
        <v>16</v>
      </c>
      <c r="M282" s="11" t="e">
        <v>#N/A</v>
      </c>
      <c r="N282" s="11" t="e">
        <v>#N/A</v>
      </c>
      <c r="O282" s="11" t="e">
        <v>#N/A</v>
      </c>
      <c r="P282" s="11" t="e">
        <v>#N/A</v>
      </c>
      <c r="Q282" s="11" t="e">
        <v>#N/A</v>
      </c>
      <c r="R282" s="11" t="e">
        <v>#N/A</v>
      </c>
      <c r="S282" s="11" t="e">
        <v>#N/A</v>
      </c>
      <c r="T282" s="11" t="e">
        <v>#N/A</v>
      </c>
      <c r="U282" s="11" t="e">
        <v>#N/A</v>
      </c>
      <c r="V282" s="11" t="e">
        <v>#N/A</v>
      </c>
      <c r="W282" s="11">
        <v>16</v>
      </c>
      <c r="X282" s="11">
        <v>-16</v>
      </c>
      <c r="Y282" s="11" t="e">
        <v>#N/A</v>
      </c>
      <c r="Z282" s="25" t="e">
        <v>#N/A</v>
      </c>
    </row>
    <row r="283" spans="1:26" ht="14.25" customHeight="1" x14ac:dyDescent="0.25">
      <c r="A283" s="11"/>
      <c r="B283" s="11" t="e">
        <v>#N/A</v>
      </c>
      <c r="C283" s="11" t="s">
        <v>148</v>
      </c>
      <c r="D283" s="11"/>
      <c r="E283" s="11"/>
      <c r="F283" s="11" t="e">
        <v>#N/A</v>
      </c>
      <c r="G283" s="11" t="s">
        <v>979</v>
      </c>
      <c r="H283" s="11" t="e">
        <v>#N/A</v>
      </c>
      <c r="I283" s="11" t="e">
        <v>#N/A</v>
      </c>
      <c r="J283" s="11" t="e">
        <v>#N/A</v>
      </c>
      <c r="K283" s="11" t="e">
        <v>#N/A</v>
      </c>
      <c r="L283" s="11">
        <v>16</v>
      </c>
      <c r="M283" s="11" t="e">
        <v>#N/A</v>
      </c>
      <c r="N283" s="11" t="e">
        <v>#N/A</v>
      </c>
      <c r="O283" s="11" t="e">
        <v>#N/A</v>
      </c>
      <c r="P283" s="11" t="e">
        <v>#N/A</v>
      </c>
      <c r="Q283" s="11" t="e">
        <v>#N/A</v>
      </c>
      <c r="R283" s="11" t="e">
        <v>#N/A</v>
      </c>
      <c r="S283" s="11" t="e">
        <v>#N/A</v>
      </c>
      <c r="T283" s="11" t="e">
        <v>#N/A</v>
      </c>
      <c r="U283" s="11" t="e">
        <v>#N/A</v>
      </c>
      <c r="V283" s="11" t="e">
        <v>#N/A</v>
      </c>
      <c r="W283" s="11">
        <v>16</v>
      </c>
      <c r="X283" s="11">
        <v>-16</v>
      </c>
      <c r="Y283" s="11" t="e">
        <v>#N/A</v>
      </c>
      <c r="Z283" s="25" t="e">
        <v>#N/A</v>
      </c>
    </row>
    <row r="284" spans="1:26" ht="14.25" customHeight="1" x14ac:dyDescent="0.25">
      <c r="A284" s="11"/>
      <c r="B284" s="11" t="e">
        <v>#N/A</v>
      </c>
      <c r="C284" s="11" t="s">
        <v>148</v>
      </c>
      <c r="D284" s="11"/>
      <c r="E284" s="11"/>
      <c r="F284" s="11" t="e">
        <v>#N/A</v>
      </c>
      <c r="G284" s="11" t="s">
        <v>825</v>
      </c>
      <c r="H284" s="11" t="e">
        <v>#N/A</v>
      </c>
      <c r="I284" s="11" t="e">
        <v>#N/A</v>
      </c>
      <c r="J284" s="11" t="e">
        <v>#N/A</v>
      </c>
      <c r="K284" s="11" t="e">
        <v>#N/A</v>
      </c>
      <c r="L284" s="11">
        <v>16</v>
      </c>
      <c r="M284" s="11" t="e">
        <v>#N/A</v>
      </c>
      <c r="N284" s="11" t="e">
        <v>#N/A</v>
      </c>
      <c r="O284" s="11" t="e">
        <v>#N/A</v>
      </c>
      <c r="P284" s="11" t="e">
        <v>#N/A</v>
      </c>
      <c r="Q284" s="11" t="e">
        <v>#N/A</v>
      </c>
      <c r="R284" s="11" t="e">
        <v>#N/A</v>
      </c>
      <c r="S284" s="11" t="e">
        <v>#N/A</v>
      </c>
      <c r="T284" s="11" t="e">
        <v>#N/A</v>
      </c>
      <c r="U284" s="11" t="e">
        <v>#N/A</v>
      </c>
      <c r="V284" s="11" t="e">
        <v>#N/A</v>
      </c>
      <c r="W284" s="11">
        <v>16</v>
      </c>
      <c r="X284" s="11">
        <v>-16</v>
      </c>
      <c r="Y284" s="11" t="e">
        <v>#N/A</v>
      </c>
      <c r="Z284" s="25" t="e">
        <v>#N/A</v>
      </c>
    </row>
    <row r="285" spans="1:26" ht="14.25" customHeight="1" x14ac:dyDescent="0.25">
      <c r="A285" s="11"/>
      <c r="B285" s="11" t="e">
        <v>#N/A</v>
      </c>
      <c r="C285" s="11" t="s">
        <v>148</v>
      </c>
      <c r="D285" s="11"/>
      <c r="E285" s="11"/>
      <c r="F285" s="11" t="e">
        <v>#N/A</v>
      </c>
      <c r="G285" s="11" t="s">
        <v>980</v>
      </c>
      <c r="H285" s="11" t="e">
        <v>#N/A</v>
      </c>
      <c r="I285" s="11" t="e">
        <v>#N/A</v>
      </c>
      <c r="J285" s="11" t="e">
        <v>#N/A</v>
      </c>
      <c r="K285" s="11" t="e">
        <v>#N/A</v>
      </c>
      <c r="L285" s="11">
        <v>16</v>
      </c>
      <c r="M285" s="11" t="e">
        <v>#N/A</v>
      </c>
      <c r="N285" s="11" t="e">
        <v>#N/A</v>
      </c>
      <c r="O285" s="11" t="e">
        <v>#N/A</v>
      </c>
      <c r="P285" s="11" t="e">
        <v>#N/A</v>
      </c>
      <c r="Q285" s="11"/>
      <c r="R285" s="11"/>
      <c r="S285" s="11"/>
      <c r="T285" s="11"/>
      <c r="U285" s="11"/>
      <c r="V285" s="11" t="e">
        <v>#N/A</v>
      </c>
      <c r="W285" s="11">
        <v>16</v>
      </c>
      <c r="X285" s="11">
        <v>-16</v>
      </c>
      <c r="Y285" s="11" t="e">
        <v>#N/A</v>
      </c>
      <c r="Z285" s="25" t="e">
        <v>#N/A</v>
      </c>
    </row>
    <row r="286" spans="1:26" ht="14.25" customHeight="1" x14ac:dyDescent="0.25">
      <c r="A286" s="11"/>
      <c r="B286" s="11">
        <v>13</v>
      </c>
      <c r="C286" s="11" t="s">
        <v>148</v>
      </c>
      <c r="D286" s="11"/>
      <c r="E286" s="11"/>
      <c r="F286" s="11">
        <v>0</v>
      </c>
      <c r="G286" s="11" t="s">
        <v>808</v>
      </c>
      <c r="H286" s="11" t="s">
        <v>72</v>
      </c>
      <c r="I286" s="11">
        <v>125</v>
      </c>
      <c r="J286" s="11">
        <v>0</v>
      </c>
      <c r="K286" s="11" t="s">
        <v>981</v>
      </c>
      <c r="L286" s="11">
        <v>19</v>
      </c>
      <c r="M286" s="11">
        <v>146</v>
      </c>
      <c r="N286" s="11">
        <v>1</v>
      </c>
      <c r="O286" s="11">
        <v>152</v>
      </c>
      <c r="P286" s="11">
        <v>-6</v>
      </c>
      <c r="Q286" s="11">
        <v>138</v>
      </c>
      <c r="R286" s="11">
        <v>157</v>
      </c>
      <c r="S286" s="11">
        <v>139</v>
      </c>
      <c r="T286" s="11">
        <v>135</v>
      </c>
      <c r="U286" s="11">
        <v>154</v>
      </c>
      <c r="V286" s="11">
        <v>145</v>
      </c>
      <c r="W286" s="11">
        <v>19</v>
      </c>
      <c r="X286" s="11">
        <v>-19</v>
      </c>
      <c r="Y286" s="11">
        <v>-20</v>
      </c>
      <c r="Z286" s="25">
        <v>23</v>
      </c>
    </row>
    <row r="287" spans="1:26" ht="14.25" customHeight="1" x14ac:dyDescent="0.25">
      <c r="A287" s="11"/>
      <c r="B287" s="11" t="e">
        <v>#N/A</v>
      </c>
      <c r="C287" s="11" t="s">
        <v>148</v>
      </c>
      <c r="D287" s="11"/>
      <c r="E287" s="11"/>
      <c r="F287" s="11" t="e">
        <v>#N/A</v>
      </c>
      <c r="G287" s="11" t="s">
        <v>672</v>
      </c>
      <c r="H287" s="11" t="e">
        <v>#N/A</v>
      </c>
      <c r="I287" s="11" t="e">
        <v>#N/A</v>
      </c>
      <c r="J287" s="11" t="e">
        <v>#N/A</v>
      </c>
      <c r="K287" s="11" t="e">
        <v>#N/A</v>
      </c>
      <c r="L287" s="11">
        <v>16</v>
      </c>
      <c r="M287" s="11" t="e">
        <v>#N/A</v>
      </c>
      <c r="N287" s="11" t="e">
        <v>#N/A</v>
      </c>
      <c r="O287" s="11" t="e">
        <v>#N/A</v>
      </c>
      <c r="P287" s="11" t="e">
        <v>#N/A</v>
      </c>
      <c r="Q287" s="11" t="e">
        <v>#N/A</v>
      </c>
      <c r="R287" s="11" t="e">
        <v>#N/A</v>
      </c>
      <c r="S287" s="11" t="e">
        <v>#N/A</v>
      </c>
      <c r="T287" s="11" t="e">
        <v>#N/A</v>
      </c>
      <c r="U287" s="11" t="e">
        <v>#N/A</v>
      </c>
      <c r="V287" s="11" t="e">
        <v>#N/A</v>
      </c>
      <c r="W287" s="11">
        <v>16</v>
      </c>
      <c r="X287" s="11">
        <v>-16</v>
      </c>
      <c r="Y287" s="11" t="e">
        <v>#N/A</v>
      </c>
      <c r="Z287" s="25" t="e">
        <v>#N/A</v>
      </c>
    </row>
    <row r="288" spans="1:26" ht="14.25" customHeight="1" x14ac:dyDescent="0.25">
      <c r="A288" s="11"/>
      <c r="B288" s="11" t="e">
        <v>#N/A</v>
      </c>
      <c r="C288" s="11" t="s">
        <v>148</v>
      </c>
      <c r="D288" s="11"/>
      <c r="E288" s="11"/>
      <c r="F288" s="11" t="e">
        <v>#N/A</v>
      </c>
      <c r="G288" s="11" t="s">
        <v>982</v>
      </c>
      <c r="H288" s="11" t="e">
        <v>#N/A</v>
      </c>
      <c r="I288" s="11" t="e">
        <v>#N/A</v>
      </c>
      <c r="J288" s="11" t="e">
        <v>#N/A</v>
      </c>
      <c r="K288" s="11" t="e">
        <v>#N/A</v>
      </c>
      <c r="L288" s="11">
        <v>16</v>
      </c>
      <c r="M288" s="11" t="e">
        <v>#N/A</v>
      </c>
      <c r="N288" s="11" t="e">
        <v>#N/A</v>
      </c>
      <c r="O288" s="11" t="e">
        <v>#N/A</v>
      </c>
      <c r="P288" s="11" t="e">
        <v>#N/A</v>
      </c>
      <c r="Q288" s="11" t="e">
        <v>#N/A</v>
      </c>
      <c r="R288" s="11" t="e">
        <v>#N/A</v>
      </c>
      <c r="S288" s="11" t="e">
        <v>#N/A</v>
      </c>
      <c r="T288" s="11" t="e">
        <v>#N/A</v>
      </c>
      <c r="U288" s="11" t="e">
        <v>#N/A</v>
      </c>
      <c r="V288" s="11" t="e">
        <v>#N/A</v>
      </c>
      <c r="W288" s="11">
        <v>16</v>
      </c>
      <c r="X288" s="11">
        <v>-16</v>
      </c>
      <c r="Y288" s="11" t="e">
        <v>#N/A</v>
      </c>
      <c r="Z288" s="25" t="e">
        <v>#N/A</v>
      </c>
    </row>
    <row r="289" spans="1:26" ht="14.25" customHeight="1" x14ac:dyDescent="0.25">
      <c r="A289" s="11"/>
      <c r="B289" s="11" t="e">
        <v>#N/A</v>
      </c>
      <c r="C289" s="11" t="s">
        <v>148</v>
      </c>
      <c r="D289" s="11"/>
      <c r="E289" s="11"/>
      <c r="F289" s="11" t="e">
        <v>#N/A</v>
      </c>
      <c r="G289" s="11" t="s">
        <v>983</v>
      </c>
      <c r="H289" s="11" t="e">
        <v>#N/A</v>
      </c>
      <c r="I289" s="11" t="e">
        <v>#N/A</v>
      </c>
      <c r="J289" s="11" t="e">
        <v>#N/A</v>
      </c>
      <c r="K289" s="11" t="e">
        <v>#N/A</v>
      </c>
      <c r="L289" s="11">
        <v>16</v>
      </c>
      <c r="M289" s="11" t="e">
        <v>#N/A</v>
      </c>
      <c r="N289" s="11" t="e">
        <v>#N/A</v>
      </c>
      <c r="O289" s="11" t="e">
        <v>#N/A</v>
      </c>
      <c r="P289" s="11" t="e">
        <v>#N/A</v>
      </c>
      <c r="Q289" s="11" t="e">
        <v>#N/A</v>
      </c>
      <c r="R289" s="11" t="e">
        <v>#N/A</v>
      </c>
      <c r="S289" s="11" t="e">
        <v>#N/A</v>
      </c>
      <c r="T289" s="11" t="e">
        <v>#N/A</v>
      </c>
      <c r="U289" s="11" t="e">
        <v>#N/A</v>
      </c>
      <c r="V289" s="11" t="e">
        <v>#N/A</v>
      </c>
      <c r="W289" s="11">
        <v>16</v>
      </c>
      <c r="X289" s="11">
        <v>-16</v>
      </c>
      <c r="Y289" s="11" t="e">
        <v>#N/A</v>
      </c>
      <c r="Z289" s="25" t="e">
        <v>#N/A</v>
      </c>
    </row>
    <row r="290" spans="1:26" ht="14.25" customHeight="1" x14ac:dyDescent="0.25">
      <c r="A290" s="11"/>
      <c r="B290" s="11">
        <v>12</v>
      </c>
      <c r="C290" s="11" t="s">
        <v>148</v>
      </c>
      <c r="D290" s="11"/>
      <c r="E290" s="11"/>
      <c r="F290" s="11">
        <v>0</v>
      </c>
      <c r="G290" s="11" t="s">
        <v>568</v>
      </c>
      <c r="H290" s="11" t="s">
        <v>88</v>
      </c>
      <c r="I290" s="11" t="s">
        <v>36</v>
      </c>
      <c r="J290" s="11">
        <v>0</v>
      </c>
      <c r="K290" s="11" t="s">
        <v>886</v>
      </c>
      <c r="L290" s="11">
        <v>17</v>
      </c>
      <c r="M290" s="11">
        <v>132</v>
      </c>
      <c r="N290" s="11">
        <v>-12</v>
      </c>
      <c r="O290" s="11">
        <v>157</v>
      </c>
      <c r="P290" s="11">
        <v>-25</v>
      </c>
      <c r="Q290" s="11"/>
      <c r="R290" s="11"/>
      <c r="S290" s="11"/>
      <c r="T290" s="11"/>
      <c r="U290" s="11"/>
      <c r="V290" s="11">
        <v>144</v>
      </c>
      <c r="W290" s="11">
        <v>19</v>
      </c>
      <c r="X290" s="11">
        <v>-19</v>
      </c>
      <c r="Y290" s="11">
        <v>49</v>
      </c>
      <c r="Z290" s="25" t="s">
        <v>886</v>
      </c>
    </row>
    <row r="291" spans="1:26" ht="14.25" customHeight="1" x14ac:dyDescent="0.25">
      <c r="A291" s="11"/>
      <c r="B291" s="11" t="e">
        <v>#N/A</v>
      </c>
      <c r="C291" s="11" t="s">
        <v>148</v>
      </c>
      <c r="D291" s="11"/>
      <c r="E291" s="11"/>
      <c r="F291" s="11" t="e">
        <v>#N/A</v>
      </c>
      <c r="G291" s="11" t="s">
        <v>984</v>
      </c>
      <c r="H291" s="11" t="e">
        <v>#N/A</v>
      </c>
      <c r="I291" s="11" t="e">
        <v>#N/A</v>
      </c>
      <c r="J291" s="11" t="e">
        <v>#N/A</v>
      </c>
      <c r="K291" s="11" t="e">
        <v>#N/A</v>
      </c>
      <c r="L291" s="11">
        <v>16</v>
      </c>
      <c r="M291" s="11" t="e">
        <v>#N/A</v>
      </c>
      <c r="N291" s="11" t="e">
        <v>#N/A</v>
      </c>
      <c r="O291" s="11" t="e">
        <v>#N/A</v>
      </c>
      <c r="P291" s="11" t="e">
        <v>#N/A</v>
      </c>
      <c r="Q291" s="11"/>
      <c r="R291" s="11"/>
      <c r="S291" s="11"/>
      <c r="T291" s="11"/>
      <c r="U291" s="11"/>
      <c r="V291" s="11" t="e">
        <v>#N/A</v>
      </c>
      <c r="W291" s="11">
        <v>16</v>
      </c>
      <c r="X291" s="11">
        <v>-16</v>
      </c>
      <c r="Y291" s="11" t="e">
        <v>#N/A</v>
      </c>
      <c r="Z291" s="25" t="e">
        <v>#N/A</v>
      </c>
    </row>
    <row r="292" spans="1:26" ht="14.25" customHeight="1" x14ac:dyDescent="0.25">
      <c r="A292" s="11"/>
      <c r="B292" s="11">
        <v>22</v>
      </c>
      <c r="C292" s="11" t="s">
        <v>148</v>
      </c>
      <c r="D292" s="11"/>
      <c r="E292" s="11"/>
      <c r="F292" s="11" t="e">
        <v>#N/A</v>
      </c>
      <c r="G292" s="11" t="s">
        <v>985</v>
      </c>
      <c r="H292" s="11" t="s">
        <v>184</v>
      </c>
      <c r="I292" s="11" t="s">
        <v>36</v>
      </c>
      <c r="J292" s="11" t="e">
        <v>#N/A</v>
      </c>
      <c r="K292" s="11" t="e">
        <v>#N/A</v>
      </c>
      <c r="L292" s="11">
        <v>33</v>
      </c>
      <c r="M292" s="11">
        <v>257</v>
      </c>
      <c r="N292" s="11">
        <v>52</v>
      </c>
      <c r="O292" s="11">
        <v>153</v>
      </c>
      <c r="P292" s="11">
        <v>104</v>
      </c>
      <c r="Q292" s="11"/>
      <c r="R292" s="11"/>
      <c r="S292" s="11"/>
      <c r="T292" s="11"/>
      <c r="U292" s="11"/>
      <c r="V292" s="11">
        <v>205</v>
      </c>
      <c r="W292" s="11">
        <v>26</v>
      </c>
      <c r="X292" s="11">
        <v>-26</v>
      </c>
      <c r="Y292" s="11" t="e">
        <v>#N/A</v>
      </c>
      <c r="Z292" s="25" t="e">
        <v>#N/A</v>
      </c>
    </row>
    <row r="293" spans="1:26" ht="14.25" customHeight="1" x14ac:dyDescent="0.25">
      <c r="A293" s="11"/>
      <c r="B293" s="11" t="e">
        <v>#N/A</v>
      </c>
      <c r="C293" s="11" t="s">
        <v>148</v>
      </c>
      <c r="D293" s="11"/>
      <c r="E293" s="11"/>
      <c r="F293" s="11" t="e">
        <v>#N/A</v>
      </c>
      <c r="G293" s="11" t="s">
        <v>564</v>
      </c>
      <c r="H293" s="11" t="e">
        <v>#N/A</v>
      </c>
      <c r="I293" s="11" t="e">
        <v>#N/A</v>
      </c>
      <c r="J293" s="11" t="e">
        <v>#N/A</v>
      </c>
      <c r="K293" s="11" t="e">
        <v>#N/A</v>
      </c>
      <c r="L293" s="11">
        <v>16</v>
      </c>
      <c r="M293" s="11" t="e">
        <v>#N/A</v>
      </c>
      <c r="N293" s="11" t="e">
        <v>#N/A</v>
      </c>
      <c r="O293" s="11" t="e">
        <v>#N/A</v>
      </c>
      <c r="P293" s="11" t="e">
        <v>#N/A</v>
      </c>
      <c r="Q293" s="11"/>
      <c r="R293" s="11"/>
      <c r="S293" s="11"/>
      <c r="T293" s="11"/>
      <c r="U293" s="11"/>
      <c r="V293" s="11" t="e">
        <v>#N/A</v>
      </c>
      <c r="W293" s="11">
        <v>16</v>
      </c>
      <c r="X293" s="11">
        <v>-16</v>
      </c>
      <c r="Y293" s="11" t="e">
        <v>#N/A</v>
      </c>
      <c r="Z293" s="25" t="e">
        <v>#N/A</v>
      </c>
    </row>
    <row r="294" spans="1:26" ht="14.25" customHeight="1" x14ac:dyDescent="0.25">
      <c r="A294" s="11"/>
      <c r="B294" s="11" t="e">
        <v>#N/A</v>
      </c>
      <c r="C294" s="11" t="s">
        <v>148</v>
      </c>
      <c r="D294" s="11"/>
      <c r="E294" s="11"/>
      <c r="F294" s="11" t="e">
        <v>#N/A</v>
      </c>
      <c r="G294" s="11" t="s">
        <v>986</v>
      </c>
      <c r="H294" s="11" t="e">
        <v>#N/A</v>
      </c>
      <c r="I294" s="11" t="e">
        <v>#N/A</v>
      </c>
      <c r="J294" s="11" t="e">
        <v>#N/A</v>
      </c>
      <c r="K294" s="11" t="e">
        <v>#N/A</v>
      </c>
      <c r="L294" s="11">
        <v>16</v>
      </c>
      <c r="M294" s="11" t="e">
        <v>#N/A</v>
      </c>
      <c r="N294" s="11" t="e">
        <v>#N/A</v>
      </c>
      <c r="O294" s="11" t="e">
        <v>#N/A</v>
      </c>
      <c r="P294" s="11" t="e">
        <v>#N/A</v>
      </c>
      <c r="Q294" s="11"/>
      <c r="R294" s="11"/>
      <c r="S294" s="11"/>
      <c r="T294" s="11"/>
      <c r="U294" s="11"/>
      <c r="V294" s="11" t="e">
        <v>#N/A</v>
      </c>
      <c r="W294" s="11">
        <v>16</v>
      </c>
      <c r="X294" s="11">
        <v>-16</v>
      </c>
      <c r="Y294" s="11" t="e">
        <v>#N/A</v>
      </c>
      <c r="Z294" s="25" t="e">
        <v>#N/A</v>
      </c>
    </row>
    <row r="295" spans="1:26" ht="14.25" customHeight="1" x14ac:dyDescent="0.25">
      <c r="A295" s="11"/>
      <c r="B295" s="11" t="e">
        <v>#N/A</v>
      </c>
      <c r="C295" s="11" t="s">
        <v>148</v>
      </c>
      <c r="D295" s="11"/>
      <c r="E295" s="11"/>
      <c r="F295" s="11" t="e">
        <v>#N/A</v>
      </c>
      <c r="G295" s="11" t="s">
        <v>987</v>
      </c>
      <c r="H295" s="11" t="e">
        <v>#N/A</v>
      </c>
      <c r="I295" s="11" t="e">
        <v>#N/A</v>
      </c>
      <c r="J295" s="11" t="e">
        <v>#N/A</v>
      </c>
      <c r="K295" s="11" t="e">
        <v>#N/A</v>
      </c>
      <c r="L295" s="11">
        <v>16</v>
      </c>
      <c r="M295" s="11" t="e">
        <v>#N/A</v>
      </c>
      <c r="N295" s="11" t="e">
        <v>#N/A</v>
      </c>
      <c r="O295" s="11" t="e">
        <v>#N/A</v>
      </c>
      <c r="P295" s="11" t="e">
        <v>#N/A</v>
      </c>
      <c r="Q295" s="11" t="e">
        <v>#N/A</v>
      </c>
      <c r="R295" s="11" t="e">
        <v>#N/A</v>
      </c>
      <c r="S295" s="11" t="e">
        <v>#N/A</v>
      </c>
      <c r="T295" s="11" t="e">
        <v>#N/A</v>
      </c>
      <c r="U295" s="11" t="e">
        <v>#N/A</v>
      </c>
      <c r="V295" s="11" t="e">
        <v>#N/A</v>
      </c>
      <c r="W295" s="11">
        <v>16</v>
      </c>
      <c r="X295" s="11">
        <v>-16</v>
      </c>
      <c r="Y295" s="11" t="e">
        <v>#N/A</v>
      </c>
      <c r="Z295" s="25" t="e">
        <v>#N/A</v>
      </c>
    </row>
    <row r="296" spans="1:26" ht="14.25" customHeight="1" x14ac:dyDescent="0.25">
      <c r="A296" s="11"/>
      <c r="B296" s="11"/>
      <c r="C296" s="11" t="s">
        <v>148</v>
      </c>
      <c r="D296" s="11"/>
      <c r="E296" s="11"/>
      <c r="F296" s="11" t="e">
        <v>#N/A</v>
      </c>
      <c r="G296" s="11" t="s">
        <v>988</v>
      </c>
      <c r="H296" s="11" t="e">
        <v>#N/A</v>
      </c>
      <c r="I296" s="11" t="e">
        <v>#N/A</v>
      </c>
      <c r="J296" s="11" t="e">
        <v>#N/A</v>
      </c>
      <c r="K296" s="11" t="e">
        <v>#N/A</v>
      </c>
      <c r="L296" s="11">
        <v>16</v>
      </c>
      <c r="M296" s="11" t="e">
        <v>#N/A</v>
      </c>
      <c r="N296" s="11" t="e">
        <v>#N/A</v>
      </c>
      <c r="O296" s="11" t="e">
        <v>#N/A</v>
      </c>
      <c r="P296" s="11" t="e">
        <v>#N/A</v>
      </c>
      <c r="Q296" s="11" t="e">
        <v>#N/A</v>
      </c>
      <c r="R296" s="11" t="e">
        <v>#N/A</v>
      </c>
      <c r="S296" s="11" t="e">
        <v>#N/A</v>
      </c>
      <c r="T296" s="11" t="e">
        <v>#N/A</v>
      </c>
      <c r="U296" s="11" t="e">
        <v>#N/A</v>
      </c>
      <c r="V296" s="11" t="e">
        <v>#N/A</v>
      </c>
      <c r="W296" s="11">
        <v>16</v>
      </c>
      <c r="X296" s="11">
        <v>-16</v>
      </c>
      <c r="Y296" s="11" t="e">
        <v>#N/A</v>
      </c>
      <c r="Z296" s="25" t="e">
        <v>#N/A</v>
      </c>
    </row>
    <row r="297" spans="1:26" ht="14.25" customHeight="1" x14ac:dyDescent="0.25">
      <c r="A297" s="11"/>
      <c r="B297" s="11">
        <v>23</v>
      </c>
      <c r="C297" s="11" t="s">
        <v>148</v>
      </c>
      <c r="D297" s="11"/>
      <c r="E297" s="11"/>
      <c r="F297" s="11">
        <v>0</v>
      </c>
      <c r="G297" s="11" t="s">
        <v>824</v>
      </c>
      <c r="H297" s="11" t="s">
        <v>126</v>
      </c>
      <c r="I297" s="11">
        <v>207</v>
      </c>
      <c r="J297" s="11">
        <v>0</v>
      </c>
      <c r="K297" s="11" t="s">
        <v>886</v>
      </c>
      <c r="L297" s="11">
        <v>34</v>
      </c>
      <c r="M297" s="11">
        <v>267</v>
      </c>
      <c r="N297" s="11">
        <v>1</v>
      </c>
      <c r="O297" s="11" t="s">
        <v>36</v>
      </c>
      <c r="P297" s="11" t="e">
        <v>#VALUE!</v>
      </c>
      <c r="Q297" s="11" t="s">
        <v>36</v>
      </c>
      <c r="R297" s="11">
        <v>328</v>
      </c>
      <c r="S297" s="11">
        <v>201</v>
      </c>
      <c r="T297" s="11">
        <v>243</v>
      </c>
      <c r="U297" s="11">
        <v>294</v>
      </c>
      <c r="V297" s="11">
        <v>266</v>
      </c>
      <c r="W297" s="11">
        <v>34</v>
      </c>
      <c r="X297" s="11">
        <v>-34</v>
      </c>
      <c r="Y297" s="11">
        <v>-66</v>
      </c>
      <c r="Z297" s="25" t="s">
        <v>886</v>
      </c>
    </row>
    <row r="298" spans="1:26" ht="14.25" customHeight="1" x14ac:dyDescent="0.25">
      <c r="A298" s="11"/>
      <c r="B298" s="11"/>
      <c r="C298" s="11" t="s">
        <v>148</v>
      </c>
      <c r="D298" s="11"/>
      <c r="E298" s="11"/>
      <c r="F298" s="11" t="e">
        <v>#N/A</v>
      </c>
      <c r="G298" s="11" t="s">
        <v>989</v>
      </c>
      <c r="H298" s="11" t="e">
        <v>#N/A</v>
      </c>
      <c r="I298" s="11" t="e">
        <v>#N/A</v>
      </c>
      <c r="J298" s="11" t="e">
        <v>#N/A</v>
      </c>
      <c r="K298" s="11" t="e">
        <v>#N/A</v>
      </c>
      <c r="L298" s="11">
        <v>16</v>
      </c>
      <c r="M298" s="11" t="e">
        <v>#N/A</v>
      </c>
      <c r="N298" s="11" t="e">
        <v>#N/A</v>
      </c>
      <c r="O298" s="11" t="e">
        <v>#N/A</v>
      </c>
      <c r="P298" s="11" t="e">
        <v>#N/A</v>
      </c>
      <c r="Q298" s="11" t="e">
        <v>#N/A</v>
      </c>
      <c r="R298" s="11" t="e">
        <v>#N/A</v>
      </c>
      <c r="S298" s="11" t="e">
        <v>#N/A</v>
      </c>
      <c r="T298" s="11" t="e">
        <v>#N/A</v>
      </c>
      <c r="U298" s="11" t="e">
        <v>#N/A</v>
      </c>
      <c r="V298" s="11" t="e">
        <v>#N/A</v>
      </c>
      <c r="W298" s="11">
        <v>16</v>
      </c>
      <c r="X298" s="11">
        <v>-16</v>
      </c>
      <c r="Y298" s="11" t="e">
        <v>#N/A</v>
      </c>
      <c r="Z298" s="25" t="e">
        <v>#N/A</v>
      </c>
    </row>
    <row r="299" spans="1:26" ht="14.25" customHeight="1" x14ac:dyDescent="0.25">
      <c r="A299" s="11"/>
      <c r="B299" s="11">
        <v>23</v>
      </c>
      <c r="C299" s="11" t="s">
        <v>148</v>
      </c>
      <c r="D299" s="11"/>
      <c r="E299" s="11"/>
      <c r="F299" s="11">
        <v>0</v>
      </c>
      <c r="G299" s="11" t="s">
        <v>990</v>
      </c>
      <c r="H299" s="11" t="s">
        <v>233</v>
      </c>
      <c r="I299" s="11">
        <v>250</v>
      </c>
      <c r="J299" s="11">
        <v>0</v>
      </c>
      <c r="K299" s="11" t="s">
        <v>886</v>
      </c>
      <c r="L299" s="11">
        <v>35</v>
      </c>
      <c r="M299" s="11">
        <v>274</v>
      </c>
      <c r="N299" s="11">
        <v>1</v>
      </c>
      <c r="O299" s="11" t="s">
        <v>36</v>
      </c>
      <c r="P299" s="11" t="e">
        <v>#VALUE!</v>
      </c>
      <c r="Q299" s="11" t="s">
        <v>36</v>
      </c>
      <c r="R299" s="11">
        <v>302</v>
      </c>
      <c r="S299" s="11">
        <v>262</v>
      </c>
      <c r="T299" s="11">
        <v>250</v>
      </c>
      <c r="U299" s="11">
        <v>277</v>
      </c>
      <c r="V299" s="11">
        <v>273</v>
      </c>
      <c r="W299" s="11">
        <v>35</v>
      </c>
      <c r="X299" s="11">
        <v>-35</v>
      </c>
      <c r="Y299" s="11" t="e">
        <v>#VALUE!</v>
      </c>
      <c r="Z299" s="25" t="s">
        <v>886</v>
      </c>
    </row>
    <row r="300" spans="1:26" ht="14.25" customHeight="1" x14ac:dyDescent="0.25">
      <c r="A300" s="11"/>
      <c r="B300" s="11" t="e">
        <v>#N/A</v>
      </c>
      <c r="C300" s="11" t="s">
        <v>148</v>
      </c>
      <c r="D300" s="11"/>
      <c r="E300" s="11"/>
      <c r="F300" s="11" t="e">
        <v>#N/A</v>
      </c>
      <c r="G300" s="11" t="s">
        <v>991</v>
      </c>
      <c r="H300" s="11" t="e">
        <v>#N/A</v>
      </c>
      <c r="I300" s="11" t="e">
        <v>#N/A</v>
      </c>
      <c r="J300" s="11" t="e">
        <v>#N/A</v>
      </c>
      <c r="K300" s="11" t="e">
        <v>#N/A</v>
      </c>
      <c r="L300" s="11">
        <v>16</v>
      </c>
      <c r="M300" s="11" t="e">
        <v>#N/A</v>
      </c>
      <c r="N300" s="11" t="e">
        <v>#N/A</v>
      </c>
      <c r="O300" s="11" t="e">
        <v>#N/A</v>
      </c>
      <c r="P300" s="11" t="e">
        <v>#N/A</v>
      </c>
      <c r="Q300" s="11" t="e">
        <v>#N/A</v>
      </c>
      <c r="R300" s="11" t="e">
        <v>#N/A</v>
      </c>
      <c r="S300" s="11" t="e">
        <v>#N/A</v>
      </c>
      <c r="T300" s="11" t="e">
        <v>#N/A</v>
      </c>
      <c r="U300" s="11" t="e">
        <v>#N/A</v>
      </c>
      <c r="V300" s="11" t="e">
        <v>#N/A</v>
      </c>
      <c r="W300" s="11">
        <v>16</v>
      </c>
      <c r="X300" s="11">
        <v>-16</v>
      </c>
      <c r="Y300" s="11" t="e">
        <v>#N/A</v>
      </c>
      <c r="Z300" s="25" t="e">
        <v>#N/A</v>
      </c>
    </row>
    <row r="301" spans="1:26" ht="14.25" customHeight="1" x14ac:dyDescent="0.25">
      <c r="A301" s="11"/>
      <c r="B301" s="11">
        <v>20</v>
      </c>
      <c r="C301" s="11" t="s">
        <v>148</v>
      </c>
      <c r="D301" s="11"/>
      <c r="E301" s="11"/>
      <c r="F301" s="11">
        <v>0</v>
      </c>
      <c r="G301" s="11" t="s">
        <v>701</v>
      </c>
      <c r="H301" s="11" t="s">
        <v>126</v>
      </c>
      <c r="I301" s="11" t="s">
        <v>36</v>
      </c>
      <c r="J301" s="11">
        <v>0</v>
      </c>
      <c r="K301" s="11" t="s">
        <v>886</v>
      </c>
      <c r="L301" s="11">
        <v>30</v>
      </c>
      <c r="M301" s="11">
        <v>239</v>
      </c>
      <c r="N301" s="11">
        <v>19</v>
      </c>
      <c r="O301" s="11">
        <v>169</v>
      </c>
      <c r="P301" s="11">
        <v>70</v>
      </c>
      <c r="Q301" s="11">
        <v>199</v>
      </c>
      <c r="R301" s="11" t="s">
        <v>36</v>
      </c>
      <c r="S301" s="11">
        <v>281</v>
      </c>
      <c r="T301" s="11">
        <v>249</v>
      </c>
      <c r="U301" s="11">
        <v>187</v>
      </c>
      <c r="V301" s="11">
        <v>220</v>
      </c>
      <c r="W301" s="11">
        <v>28</v>
      </c>
      <c r="X301" s="11">
        <v>-28</v>
      </c>
      <c r="Y301" s="11" t="e">
        <v>#VALUE!</v>
      </c>
      <c r="Z301" s="25" t="s">
        <v>886</v>
      </c>
    </row>
    <row r="302" spans="1:26" ht="14.25" customHeight="1" x14ac:dyDescent="0.25">
      <c r="A302" s="11"/>
      <c r="B302" s="11"/>
      <c r="C302" s="11" t="s">
        <v>148</v>
      </c>
      <c r="D302" s="11"/>
      <c r="E302" s="11"/>
      <c r="F302" s="11" t="e">
        <v>#N/A</v>
      </c>
      <c r="G302" s="11" t="s">
        <v>992</v>
      </c>
      <c r="H302" s="11" t="e">
        <v>#N/A</v>
      </c>
      <c r="I302" s="11" t="e">
        <v>#N/A</v>
      </c>
      <c r="J302" s="11" t="e">
        <v>#N/A</v>
      </c>
      <c r="K302" s="11" t="e">
        <v>#N/A</v>
      </c>
      <c r="L302" s="11">
        <v>16</v>
      </c>
      <c r="M302" s="11" t="e">
        <v>#N/A</v>
      </c>
      <c r="N302" s="11" t="e">
        <v>#N/A</v>
      </c>
      <c r="O302" s="11" t="e">
        <v>#N/A</v>
      </c>
      <c r="P302" s="11" t="e">
        <v>#N/A</v>
      </c>
      <c r="Q302" s="11" t="e">
        <v>#N/A</v>
      </c>
      <c r="R302" s="11" t="e">
        <v>#N/A</v>
      </c>
      <c r="S302" s="11" t="e">
        <v>#N/A</v>
      </c>
      <c r="T302" s="11" t="e">
        <v>#N/A</v>
      </c>
      <c r="U302" s="11" t="e">
        <v>#N/A</v>
      </c>
      <c r="V302" s="11" t="e">
        <v>#N/A</v>
      </c>
      <c r="W302" s="11">
        <v>16</v>
      </c>
      <c r="X302" s="11">
        <v>-16</v>
      </c>
      <c r="Y302" s="11" t="e">
        <v>#N/A</v>
      </c>
      <c r="Z302" s="25" t="e">
        <v>#N/A</v>
      </c>
    </row>
    <row r="303" spans="1:26" ht="14.25" customHeight="1" x14ac:dyDescent="0.25">
      <c r="A303" s="11"/>
      <c r="B303" s="11" t="e">
        <v>#N/A</v>
      </c>
      <c r="C303" s="11" t="s">
        <v>148</v>
      </c>
      <c r="D303" s="11"/>
      <c r="E303" s="11"/>
      <c r="F303" s="11" t="e">
        <v>#N/A</v>
      </c>
      <c r="G303" s="11" t="s">
        <v>993</v>
      </c>
      <c r="H303" s="11" t="e">
        <v>#N/A</v>
      </c>
      <c r="I303" s="11" t="e">
        <v>#N/A</v>
      </c>
      <c r="J303" s="11" t="e">
        <v>#N/A</v>
      </c>
      <c r="K303" s="11" t="e">
        <v>#N/A</v>
      </c>
      <c r="L303" s="11">
        <v>16</v>
      </c>
      <c r="M303" s="11" t="e">
        <v>#N/A</v>
      </c>
      <c r="N303" s="11" t="e">
        <v>#N/A</v>
      </c>
      <c r="O303" s="11" t="e">
        <v>#N/A</v>
      </c>
      <c r="P303" s="11" t="e">
        <v>#N/A</v>
      </c>
      <c r="Q303" s="11" t="e">
        <v>#N/A</v>
      </c>
      <c r="R303" s="11" t="e">
        <v>#N/A</v>
      </c>
      <c r="S303" s="11" t="e">
        <v>#N/A</v>
      </c>
      <c r="T303" s="11" t="e">
        <v>#N/A</v>
      </c>
      <c r="U303" s="11" t="e">
        <v>#N/A</v>
      </c>
      <c r="V303" s="11" t="e">
        <v>#N/A</v>
      </c>
      <c r="W303" s="11">
        <v>16</v>
      </c>
      <c r="X303" s="11">
        <v>-16</v>
      </c>
      <c r="Y303" s="11" t="e">
        <v>#N/A</v>
      </c>
      <c r="Z303" s="25" t="e">
        <v>#N/A</v>
      </c>
    </row>
    <row r="304" spans="1:26" ht="14.25" customHeight="1" x14ac:dyDescent="0.25">
      <c r="A304" s="11"/>
      <c r="B304" s="11">
        <v>23</v>
      </c>
      <c r="C304" s="11" t="s">
        <v>148</v>
      </c>
      <c r="D304" s="11"/>
      <c r="E304" s="11"/>
      <c r="F304" s="11">
        <v>0</v>
      </c>
      <c r="G304" s="11" t="s">
        <v>994</v>
      </c>
      <c r="H304" s="11" t="s">
        <v>49</v>
      </c>
      <c r="I304" s="11">
        <v>238</v>
      </c>
      <c r="J304" s="11">
        <v>0</v>
      </c>
      <c r="K304" s="11" t="s">
        <v>886</v>
      </c>
      <c r="L304" s="11">
        <v>34</v>
      </c>
      <c r="M304" s="11">
        <v>270</v>
      </c>
      <c r="N304" s="11">
        <v>4</v>
      </c>
      <c r="O304" s="11" t="s">
        <v>36</v>
      </c>
      <c r="P304" s="11" t="e">
        <v>#VALUE!</v>
      </c>
      <c r="Q304" s="11" t="s">
        <v>36</v>
      </c>
      <c r="R304" s="11" t="s">
        <v>36</v>
      </c>
      <c r="S304" s="11">
        <v>241</v>
      </c>
      <c r="T304" s="11">
        <v>274</v>
      </c>
      <c r="U304" s="11">
        <v>282</v>
      </c>
      <c r="V304" s="11">
        <v>266</v>
      </c>
      <c r="W304" s="11">
        <v>34</v>
      </c>
      <c r="X304" s="11">
        <v>-34</v>
      </c>
      <c r="Y304" s="11" t="e">
        <v>#VALUE!</v>
      </c>
      <c r="Z304" s="25" t="s">
        <v>886</v>
      </c>
    </row>
    <row r="305" spans="1:26" ht="14.25" customHeight="1" x14ac:dyDescent="0.25">
      <c r="A305" s="11"/>
      <c r="B305" s="11" t="e">
        <v>#N/A</v>
      </c>
      <c r="C305" s="11" t="s">
        <v>148</v>
      </c>
      <c r="D305" s="11"/>
      <c r="E305" s="11"/>
      <c r="F305" s="11" t="e">
        <v>#N/A</v>
      </c>
      <c r="G305" s="11" t="s">
        <v>995</v>
      </c>
      <c r="H305" s="11" t="e">
        <v>#N/A</v>
      </c>
      <c r="I305" s="11" t="e">
        <v>#N/A</v>
      </c>
      <c r="J305" s="11" t="e">
        <v>#N/A</v>
      </c>
      <c r="K305" s="11" t="e">
        <v>#N/A</v>
      </c>
      <c r="L305" s="11">
        <v>16</v>
      </c>
      <c r="M305" s="11" t="e">
        <v>#N/A</v>
      </c>
      <c r="N305" s="11" t="e">
        <v>#N/A</v>
      </c>
      <c r="O305" s="11" t="e">
        <v>#N/A</v>
      </c>
      <c r="P305" s="11" t="e">
        <v>#N/A</v>
      </c>
      <c r="Q305" s="11" t="e">
        <v>#N/A</v>
      </c>
      <c r="R305" s="11" t="e">
        <v>#N/A</v>
      </c>
      <c r="S305" s="11" t="e">
        <v>#N/A</v>
      </c>
      <c r="T305" s="11" t="e">
        <v>#N/A</v>
      </c>
      <c r="U305" s="11" t="e">
        <v>#N/A</v>
      </c>
      <c r="V305" s="11" t="e">
        <v>#N/A</v>
      </c>
      <c r="W305" s="11">
        <v>16</v>
      </c>
      <c r="X305" s="11">
        <v>-16</v>
      </c>
      <c r="Y305" s="11" t="e">
        <v>#N/A</v>
      </c>
      <c r="Z305" s="25" t="e">
        <v>#N/A</v>
      </c>
    </row>
    <row r="306" spans="1:26" ht="14.25" customHeight="1" x14ac:dyDescent="0.25">
      <c r="A306" s="11"/>
      <c r="B306" s="11" t="e">
        <v>#N/A</v>
      </c>
      <c r="C306" s="11" t="s">
        <v>148</v>
      </c>
      <c r="D306" s="11"/>
      <c r="E306" s="11"/>
      <c r="F306" s="11" t="e">
        <v>#N/A</v>
      </c>
      <c r="G306" s="11" t="s">
        <v>485</v>
      </c>
      <c r="H306" s="11" t="e">
        <v>#N/A</v>
      </c>
      <c r="I306" s="11" t="e">
        <v>#N/A</v>
      </c>
      <c r="J306" s="11" t="e">
        <v>#N/A</v>
      </c>
      <c r="K306" s="11" t="e">
        <v>#N/A</v>
      </c>
      <c r="L306" s="11">
        <v>16</v>
      </c>
      <c r="M306" s="11" t="e">
        <v>#N/A</v>
      </c>
      <c r="N306" s="11" t="e">
        <v>#N/A</v>
      </c>
      <c r="O306" s="11" t="e">
        <v>#N/A</v>
      </c>
      <c r="P306" s="11" t="e">
        <v>#N/A</v>
      </c>
      <c r="Q306" s="11" t="e">
        <v>#N/A</v>
      </c>
      <c r="R306" s="11" t="e">
        <v>#N/A</v>
      </c>
      <c r="S306" s="11" t="e">
        <v>#N/A</v>
      </c>
      <c r="T306" s="11" t="e">
        <v>#N/A</v>
      </c>
      <c r="U306" s="11" t="e">
        <v>#N/A</v>
      </c>
      <c r="V306" s="11" t="e">
        <v>#N/A</v>
      </c>
      <c r="W306" s="11">
        <v>16</v>
      </c>
      <c r="X306" s="11">
        <v>-16</v>
      </c>
      <c r="Y306" s="11" t="e">
        <v>#N/A</v>
      </c>
      <c r="Z306" s="25" t="e">
        <v>#N/A</v>
      </c>
    </row>
    <row r="307" spans="1:26" ht="14.25" customHeight="1" x14ac:dyDescent="0.25"/>
    <row r="308" spans="1:26" ht="14.25" customHeight="1" x14ac:dyDescent="0.25"/>
    <row r="309" spans="1:26" ht="14.25" customHeight="1" x14ac:dyDescent="0.25"/>
    <row r="310" spans="1:26" ht="14.25" customHeight="1" x14ac:dyDescent="0.25"/>
    <row r="311" spans="1:26" ht="14.25" customHeight="1" x14ac:dyDescent="0.25"/>
    <row r="312" spans="1:26" ht="14.25" customHeight="1" x14ac:dyDescent="0.25">
      <c r="F312" s="1" t="s">
        <v>33</v>
      </c>
    </row>
    <row r="313" spans="1:26" ht="14.25" customHeight="1" x14ac:dyDescent="0.25"/>
    <row r="314" spans="1:26" ht="14.25" customHeight="1" x14ac:dyDescent="0.25"/>
    <row r="315" spans="1:26" ht="14.25" customHeight="1" x14ac:dyDescent="0.25"/>
    <row r="316" spans="1:26" ht="14.25" customHeight="1" x14ac:dyDescent="0.25"/>
    <row r="317" spans="1:26" ht="14.25" customHeight="1" x14ac:dyDescent="0.25"/>
    <row r="318" spans="1:26" ht="14.25" customHeight="1" x14ac:dyDescent="0.25"/>
    <row r="319" spans="1:26" ht="14.25" customHeight="1" x14ac:dyDescent="0.25"/>
    <row r="320" spans="1:26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6:Z306" xr:uid="{00000000-0009-0000-0000-000005000000}">
    <sortState xmlns:xlrd2="http://schemas.microsoft.com/office/spreadsheetml/2017/richdata2" ref="A6:Z306">
      <sortCondition ref="V6:V306"/>
    </sortState>
  </autoFilter>
  <mergeCells count="1">
    <mergeCell ref="A1:C1"/>
  </mergeCells>
  <conditionalFormatting sqref="K8:K306">
    <cfRule type="colorScale" priority="1">
      <colorScale>
        <cfvo type="formula" val="12"/>
        <cfvo type="percentile" val="50"/>
        <cfvo type="max"/>
        <color rgb="FF63BE7B"/>
        <color rgb="FFFFEB84"/>
        <color rgb="FFF8696B"/>
      </colorScale>
    </cfRule>
  </conditionalFormatting>
  <conditionalFormatting sqref="K5:Z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:L306">
    <cfRule type="cellIs" dxfId="45" priority="3" operator="lessThan">
      <formula>B7</formula>
    </cfRule>
    <cfRule type="cellIs" dxfId="44" priority="4" operator="greaterThan">
      <formula>B7</formula>
    </cfRule>
  </conditionalFormatting>
  <conditionalFormatting sqref="N7:N306">
    <cfRule type="colorScale" priority="5">
      <colorScale>
        <cfvo type="min"/>
        <cfvo type="formula" val="0"/>
        <cfvo type="max"/>
        <color rgb="FFF8696B"/>
        <color rgb="FFFCFCFF"/>
        <color rgb="FF63BE7B"/>
      </colorScale>
    </cfRule>
  </conditionalFormatting>
  <conditionalFormatting sqref="P7:P306">
    <cfRule type="colorScale" priority="6">
      <colorScale>
        <cfvo type="min"/>
        <cfvo type="formula" val="0"/>
        <cfvo type="max"/>
        <color rgb="FFF8696B"/>
        <color rgb="FFFCFCFF"/>
        <color rgb="FF63BE7B"/>
      </colorScale>
    </cfRule>
  </conditionalFormatting>
  <conditionalFormatting sqref="X7:X30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7:Y306">
    <cfRule type="colorScale" priority="8">
      <colorScale>
        <cfvo type="formula" val="-12"/>
        <cfvo type="formula" val="0"/>
        <cfvo type="formula" val="12"/>
        <color rgb="FFF8696B"/>
        <color rgb="FFD8D8D8"/>
        <color rgb="FF63BE7B"/>
      </colorScale>
    </cfRule>
  </conditionalFormatting>
  <conditionalFormatting sqref="Y7:Z306 J7:K306 B7:G7 B8:E261 G8:G296 F8:F306 B262:B302 D262:E302 C262:C306">
    <cfRule type="expression" dxfId="43" priority="9">
      <formula>$C7="No"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16.5703125" customWidth="1"/>
    <col min="3" max="4" width="8.7109375" customWidth="1"/>
    <col min="5" max="5" width="13.7109375" customWidth="1"/>
    <col min="6" max="8" width="11.7109375" customWidth="1"/>
    <col min="9" max="9" width="12.85546875" customWidth="1"/>
    <col min="10" max="12" width="11.7109375" customWidth="1"/>
    <col min="13" max="26" width="8.7109375" customWidth="1"/>
  </cols>
  <sheetData>
    <row r="1" spans="1:26" ht="12.75" customHeight="1" x14ac:dyDescent="0.25">
      <c r="A1" s="30" t="s">
        <v>728</v>
      </c>
      <c r="B1" s="30"/>
      <c r="C1" s="30"/>
      <c r="D1" s="30"/>
      <c r="E1" s="30" t="s">
        <v>729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1"/>
      <c r="Q1" s="31"/>
      <c r="R1" s="31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5">
      <c r="A2" s="32"/>
      <c r="B2" s="32"/>
      <c r="C2" s="32"/>
      <c r="D2" s="32"/>
      <c r="E2" s="32">
        <v>1</v>
      </c>
      <c r="F2" s="32">
        <v>2</v>
      </c>
      <c r="G2" s="32">
        <v>3</v>
      </c>
      <c r="H2" s="32">
        <v>4</v>
      </c>
      <c r="I2" s="32">
        <v>5</v>
      </c>
      <c r="J2" s="32">
        <v>6</v>
      </c>
      <c r="K2" s="32">
        <v>7</v>
      </c>
      <c r="L2" s="32">
        <v>8</v>
      </c>
      <c r="M2" s="32"/>
      <c r="N2" s="32"/>
      <c r="O2" s="2" t="s">
        <v>853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5">
      <c r="A3" s="33"/>
      <c r="B3" s="33"/>
      <c r="C3" s="33"/>
      <c r="D3" s="33"/>
      <c r="E3" s="33" t="s">
        <v>855</v>
      </c>
      <c r="F3" s="33" t="s">
        <v>856</v>
      </c>
      <c r="G3" s="33" t="s">
        <v>857</v>
      </c>
      <c r="H3" s="33" t="s">
        <v>858</v>
      </c>
      <c r="I3" s="33" t="s">
        <v>859</v>
      </c>
      <c r="J3" s="2" t="s">
        <v>860</v>
      </c>
      <c r="K3" s="33" t="s">
        <v>861</v>
      </c>
      <c r="L3" s="33" t="s">
        <v>862</v>
      </c>
      <c r="M3" s="33"/>
      <c r="N3" s="33"/>
      <c r="O3" s="34"/>
      <c r="P3" s="34" t="s">
        <v>864</v>
      </c>
      <c r="Q3" s="34" t="s">
        <v>864</v>
      </c>
      <c r="R3" s="34" t="s">
        <v>864</v>
      </c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5">
      <c r="A4" s="35" t="s">
        <v>4</v>
      </c>
      <c r="B4" s="35" t="s">
        <v>746</v>
      </c>
      <c r="C4" s="33"/>
      <c r="D4" s="36"/>
      <c r="E4" s="35" t="s">
        <v>865</v>
      </c>
      <c r="F4" s="35" t="s">
        <v>866</v>
      </c>
      <c r="G4" s="51" t="s">
        <v>754</v>
      </c>
      <c r="H4" s="35" t="s">
        <v>750</v>
      </c>
      <c r="I4" s="35" t="s">
        <v>867</v>
      </c>
      <c r="J4" s="35" t="s">
        <v>868</v>
      </c>
      <c r="K4" s="35" t="s">
        <v>869</v>
      </c>
      <c r="L4" s="35" t="s">
        <v>749</v>
      </c>
      <c r="M4" s="33"/>
      <c r="N4" s="33"/>
      <c r="O4" s="36" t="s">
        <v>760</v>
      </c>
      <c r="P4" s="34"/>
      <c r="Q4" s="34"/>
      <c r="R4" s="34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5">
      <c r="A5" s="36">
        <v>1</v>
      </c>
      <c r="B5" s="36"/>
      <c r="C5" s="33"/>
      <c r="D5" s="36" t="s">
        <v>760</v>
      </c>
      <c r="E5" s="36"/>
      <c r="F5" s="36"/>
      <c r="G5" s="52"/>
      <c r="H5" s="36"/>
      <c r="I5" s="36"/>
      <c r="J5" s="36"/>
      <c r="K5" s="36"/>
      <c r="L5" s="52"/>
      <c r="M5" s="33"/>
      <c r="N5" s="33"/>
      <c r="O5" s="36" t="s">
        <v>762</v>
      </c>
      <c r="P5" s="34" t="s">
        <v>870</v>
      </c>
      <c r="Q5" s="34" t="s">
        <v>870</v>
      </c>
      <c r="R5" s="34" t="s">
        <v>870</v>
      </c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5">
      <c r="A6" s="36">
        <v>2</v>
      </c>
      <c r="B6" s="36"/>
      <c r="C6" s="33"/>
      <c r="D6" s="36" t="s">
        <v>762</v>
      </c>
      <c r="E6" s="52"/>
      <c r="F6" s="36"/>
      <c r="G6" s="36"/>
      <c r="H6" s="36"/>
      <c r="I6" s="36"/>
      <c r="J6" s="36"/>
      <c r="K6" s="36"/>
      <c r="L6" s="52"/>
      <c r="M6" s="33"/>
      <c r="N6" s="33"/>
      <c r="O6" s="36" t="s">
        <v>762</v>
      </c>
      <c r="P6" s="34"/>
      <c r="Q6" s="34"/>
      <c r="R6" s="34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5">
      <c r="A7" s="36">
        <v>3</v>
      </c>
      <c r="B7" s="36"/>
      <c r="C7" s="33"/>
      <c r="D7" s="36" t="s">
        <v>762</v>
      </c>
      <c r="E7" s="36"/>
      <c r="F7" s="36"/>
      <c r="G7" s="36"/>
      <c r="H7" s="36"/>
      <c r="I7" s="2"/>
      <c r="J7" s="36"/>
      <c r="K7" s="52"/>
      <c r="L7" s="36"/>
      <c r="M7" s="33"/>
      <c r="N7" s="33"/>
      <c r="O7" s="36" t="s">
        <v>764</v>
      </c>
      <c r="P7" s="34" t="s">
        <v>872</v>
      </c>
      <c r="Q7" s="34"/>
      <c r="R7" s="34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5">
      <c r="A8" s="36">
        <v>4</v>
      </c>
      <c r="B8" s="36"/>
      <c r="C8" s="33"/>
      <c r="D8" s="36" t="s">
        <v>764</v>
      </c>
      <c r="E8" s="52"/>
      <c r="F8" s="36"/>
      <c r="G8" s="36"/>
      <c r="H8" s="52"/>
      <c r="I8" s="36"/>
      <c r="J8" s="52"/>
      <c r="K8" s="52"/>
      <c r="L8" s="36"/>
      <c r="M8" s="33"/>
      <c r="N8" s="33"/>
      <c r="O8" s="36" t="s">
        <v>764</v>
      </c>
      <c r="P8" s="34"/>
      <c r="Q8" s="34"/>
      <c r="R8" s="34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5">
      <c r="A9" s="36">
        <v>5</v>
      </c>
      <c r="B9" s="36"/>
      <c r="C9" s="33"/>
      <c r="D9" s="36" t="s">
        <v>764</v>
      </c>
      <c r="E9" s="36"/>
      <c r="F9" s="36"/>
      <c r="G9" s="52"/>
      <c r="H9" s="52"/>
      <c r="I9" s="36"/>
      <c r="J9" s="52"/>
      <c r="K9" s="36"/>
      <c r="L9" s="36"/>
      <c r="M9" s="33"/>
      <c r="N9" s="33"/>
      <c r="O9" s="36" t="s">
        <v>764</v>
      </c>
      <c r="P9" s="34"/>
      <c r="Q9" s="34"/>
      <c r="R9" s="34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5">
      <c r="A10" s="36">
        <v>6</v>
      </c>
      <c r="B10" s="36"/>
      <c r="C10" s="33"/>
      <c r="D10" s="36" t="s">
        <v>874</v>
      </c>
      <c r="E10" s="36"/>
      <c r="F10" s="52"/>
      <c r="G10" s="36"/>
      <c r="H10" s="36"/>
      <c r="I10" s="36"/>
      <c r="J10" s="36"/>
      <c r="K10" s="36"/>
      <c r="L10" s="36"/>
      <c r="M10" s="33"/>
      <c r="N10" s="33"/>
      <c r="O10" s="36" t="s">
        <v>769</v>
      </c>
      <c r="P10" s="34"/>
      <c r="Q10" s="34"/>
      <c r="R10" s="34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5">
      <c r="A11" s="36">
        <v>7</v>
      </c>
      <c r="B11" s="36"/>
      <c r="C11" s="33"/>
      <c r="D11" s="36" t="s">
        <v>874</v>
      </c>
      <c r="E11" s="36"/>
      <c r="F11" s="36"/>
      <c r="G11" s="36"/>
      <c r="H11" s="36"/>
      <c r="I11" s="36"/>
      <c r="J11" s="36"/>
      <c r="K11" s="36"/>
      <c r="L11" s="36"/>
      <c r="M11" s="33"/>
      <c r="N11" s="33"/>
      <c r="O11" s="36" t="s">
        <v>772</v>
      </c>
      <c r="P11" s="34"/>
      <c r="Q11" s="34"/>
      <c r="R11" s="34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5">
      <c r="A12" s="36">
        <v>8</v>
      </c>
      <c r="B12" s="36"/>
      <c r="C12" s="33"/>
      <c r="D12" s="36" t="s">
        <v>769</v>
      </c>
      <c r="E12" s="36"/>
      <c r="F12" s="36"/>
      <c r="G12" s="36"/>
      <c r="H12" s="36"/>
      <c r="I12" s="36"/>
      <c r="J12" s="36"/>
      <c r="K12" s="36"/>
      <c r="L12" s="36"/>
      <c r="M12" s="33"/>
      <c r="N12" s="33"/>
      <c r="O12" s="36" t="s">
        <v>773</v>
      </c>
      <c r="P12" s="34"/>
      <c r="Q12" s="34"/>
      <c r="R12" s="34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5">
      <c r="A13" s="36">
        <v>9</v>
      </c>
      <c r="B13" s="36"/>
      <c r="C13" s="33"/>
      <c r="D13" s="36" t="s">
        <v>773</v>
      </c>
      <c r="E13" s="36"/>
      <c r="F13" s="36"/>
      <c r="G13" s="36"/>
      <c r="H13" s="36"/>
      <c r="I13" s="36"/>
      <c r="J13" s="36"/>
      <c r="K13" s="36"/>
      <c r="L13" s="36"/>
      <c r="M13" s="33"/>
      <c r="N13" s="33"/>
      <c r="O13" s="36" t="s">
        <v>774</v>
      </c>
      <c r="P13" s="34"/>
      <c r="Q13" s="34"/>
      <c r="R13" s="34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5">
      <c r="A14" s="36">
        <v>10</v>
      </c>
      <c r="B14" s="36"/>
      <c r="C14" s="33"/>
      <c r="D14" s="36" t="s">
        <v>774</v>
      </c>
      <c r="E14" s="36"/>
      <c r="F14" s="36"/>
      <c r="G14" s="36"/>
      <c r="H14" s="36"/>
      <c r="I14" s="36"/>
      <c r="J14" s="36"/>
      <c r="K14" s="36"/>
      <c r="L14" s="36"/>
      <c r="M14" s="33"/>
      <c r="N14" s="33"/>
      <c r="O14" s="36" t="s">
        <v>774</v>
      </c>
      <c r="P14" s="34"/>
      <c r="Q14" s="34"/>
      <c r="R14" s="34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5">
      <c r="A15" s="36">
        <v>11</v>
      </c>
      <c r="B15" s="36"/>
      <c r="C15" s="33"/>
      <c r="D15" s="36" t="s">
        <v>774</v>
      </c>
      <c r="E15" s="36"/>
      <c r="F15" s="2"/>
      <c r="G15" s="36"/>
      <c r="H15" s="36"/>
      <c r="I15" s="36"/>
      <c r="J15" s="36"/>
      <c r="K15" s="36"/>
      <c r="L15" s="36"/>
      <c r="M15" s="33"/>
      <c r="N15" s="33"/>
      <c r="O15" s="36" t="s">
        <v>774</v>
      </c>
      <c r="P15" s="34"/>
      <c r="Q15" s="34"/>
      <c r="R15" s="34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5">
      <c r="A16" s="36">
        <v>12</v>
      </c>
      <c r="B16" s="36"/>
      <c r="C16" s="33"/>
      <c r="D16" s="36" t="s">
        <v>774</v>
      </c>
      <c r="E16" s="36"/>
      <c r="F16" s="36"/>
      <c r="G16" s="2"/>
      <c r="H16" s="36"/>
      <c r="I16" s="36"/>
      <c r="J16" s="36"/>
      <c r="K16" s="36"/>
      <c r="L16" s="36"/>
      <c r="M16" s="33"/>
      <c r="N16" s="33"/>
      <c r="O16" s="36" t="s">
        <v>774</v>
      </c>
      <c r="P16" s="34"/>
      <c r="Q16" s="34"/>
      <c r="R16" s="34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5">
      <c r="A17" s="36">
        <v>13</v>
      </c>
      <c r="B17" s="53" t="s">
        <v>876</v>
      </c>
      <c r="C17" s="33"/>
      <c r="D17" s="36" t="s">
        <v>774</v>
      </c>
      <c r="E17" s="36"/>
      <c r="F17" s="36"/>
      <c r="G17" s="36"/>
      <c r="H17" s="36"/>
      <c r="I17" s="36"/>
      <c r="J17" s="36"/>
      <c r="K17" s="36"/>
      <c r="L17" s="36"/>
      <c r="M17" s="33"/>
      <c r="N17" s="33"/>
      <c r="O17" s="36" t="s">
        <v>774</v>
      </c>
      <c r="P17" s="34"/>
      <c r="Q17" s="34"/>
      <c r="R17" s="34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5">
      <c r="A18" s="36">
        <v>14</v>
      </c>
      <c r="B18" s="53" t="s">
        <v>877</v>
      </c>
      <c r="C18" s="33"/>
      <c r="D18" s="36" t="s">
        <v>774</v>
      </c>
      <c r="E18" s="36"/>
      <c r="F18" s="36"/>
      <c r="G18" s="36"/>
      <c r="H18" s="36"/>
      <c r="I18" s="36"/>
      <c r="J18" s="36"/>
      <c r="K18" s="36"/>
      <c r="L18" s="36"/>
      <c r="M18" s="33"/>
      <c r="N18" s="33"/>
      <c r="O18" s="36" t="s">
        <v>774</v>
      </c>
      <c r="P18" s="34"/>
      <c r="Q18" s="34"/>
      <c r="R18" s="34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5">
      <c r="A19" s="36">
        <v>15</v>
      </c>
      <c r="B19" s="36"/>
      <c r="C19" s="33"/>
      <c r="D19" s="36" t="s">
        <v>774</v>
      </c>
      <c r="E19" s="36"/>
      <c r="F19" s="36"/>
      <c r="G19" s="36"/>
      <c r="H19" s="36"/>
      <c r="I19" s="36"/>
      <c r="J19" s="36"/>
      <c r="K19" s="36"/>
      <c r="L19" s="36"/>
      <c r="M19" s="33"/>
      <c r="N19" s="33"/>
      <c r="O19" s="36" t="s">
        <v>774</v>
      </c>
      <c r="P19" s="34"/>
      <c r="Q19" s="34"/>
      <c r="R19" s="34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5">
      <c r="A20" s="36">
        <v>16</v>
      </c>
      <c r="B20" s="36" t="s">
        <v>772</v>
      </c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5">
      <c r="A22" s="37"/>
      <c r="B22" s="37"/>
      <c r="C22" s="37"/>
      <c r="D22" s="37"/>
      <c r="E22" s="30" t="s">
        <v>880</v>
      </c>
      <c r="F22" s="37"/>
      <c r="G22" s="37"/>
      <c r="H22" s="37"/>
      <c r="I22" s="37"/>
      <c r="J22" s="37"/>
      <c r="K22" s="37"/>
      <c r="L22" s="37"/>
      <c r="M22" s="37"/>
      <c r="N22" s="37"/>
      <c r="O22" s="37"/>
      <c r="Q22" s="38"/>
      <c r="R22" s="38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5">
      <c r="A23" s="33"/>
      <c r="B23" s="33"/>
      <c r="C23" s="33"/>
      <c r="D23" s="33"/>
      <c r="E23" s="33" t="s">
        <v>7</v>
      </c>
      <c r="F23" s="33" t="s">
        <v>5</v>
      </c>
      <c r="G23" s="33" t="s">
        <v>881</v>
      </c>
      <c r="H23" s="33" t="s">
        <v>26</v>
      </c>
      <c r="I23" s="33" t="s">
        <v>882</v>
      </c>
      <c r="J23" s="33"/>
      <c r="K23" s="33"/>
      <c r="L23" s="33"/>
      <c r="M23" s="33"/>
      <c r="N23" s="33"/>
      <c r="O23" s="33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5">
      <c r="A24" s="33"/>
      <c r="B24" s="33"/>
      <c r="C24" s="33"/>
      <c r="D24" s="33"/>
      <c r="E24" s="36" t="s">
        <v>760</v>
      </c>
      <c r="F24" s="36"/>
      <c r="G24" s="36"/>
      <c r="H24" s="36"/>
      <c r="I24" s="36"/>
      <c r="J24" s="33"/>
      <c r="K24" s="33"/>
      <c r="L24" s="33"/>
      <c r="M24" s="33"/>
      <c r="N24" s="33"/>
      <c r="O24" s="33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5">
      <c r="A25" s="33"/>
      <c r="B25" s="33"/>
      <c r="C25" s="33"/>
      <c r="D25" s="33"/>
      <c r="E25" s="52" t="s">
        <v>762</v>
      </c>
      <c r="F25" s="52"/>
      <c r="G25" s="52"/>
      <c r="H25" s="52"/>
      <c r="I25" s="52"/>
      <c r="J25" s="33"/>
      <c r="K25" s="33"/>
      <c r="L25" s="33"/>
      <c r="M25" s="33"/>
      <c r="N25" s="33"/>
      <c r="O25" s="33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5">
      <c r="A26" s="33"/>
      <c r="B26" s="33"/>
      <c r="C26" s="33"/>
      <c r="D26" s="33"/>
      <c r="E26" s="36" t="s">
        <v>762</v>
      </c>
      <c r="F26" s="33"/>
      <c r="G26" s="36"/>
      <c r="H26" s="36"/>
      <c r="I26" s="36"/>
      <c r="J26" s="33"/>
      <c r="K26" s="33"/>
      <c r="L26" s="33"/>
      <c r="M26" s="33"/>
      <c r="N26" s="33"/>
      <c r="O26" s="33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5">
      <c r="A27" s="33"/>
      <c r="B27" s="33"/>
      <c r="C27" s="33"/>
      <c r="D27" s="33"/>
      <c r="E27" s="36" t="s">
        <v>764</v>
      </c>
      <c r="F27" s="36"/>
      <c r="G27" s="36"/>
      <c r="H27" s="36"/>
      <c r="I27" s="36"/>
      <c r="J27" s="33"/>
      <c r="K27" s="33"/>
      <c r="L27" s="33"/>
      <c r="M27" s="33"/>
      <c r="N27" s="33"/>
      <c r="O27" s="33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5">
      <c r="A28" s="33"/>
      <c r="B28" s="33"/>
      <c r="C28" s="33"/>
      <c r="D28" s="33"/>
      <c r="E28" s="36" t="s">
        <v>764</v>
      </c>
      <c r="F28" s="36"/>
      <c r="G28" s="36"/>
      <c r="H28" s="36"/>
      <c r="I28" s="36"/>
      <c r="J28" s="33"/>
      <c r="K28" s="33"/>
      <c r="L28" s="33"/>
      <c r="M28" s="33"/>
      <c r="N28" s="33"/>
      <c r="O28" s="33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5">
      <c r="A29" s="33"/>
      <c r="B29" s="33"/>
      <c r="C29" s="33"/>
      <c r="D29" s="33"/>
      <c r="E29" s="36" t="s">
        <v>764</v>
      </c>
      <c r="F29" s="36"/>
      <c r="G29" s="36"/>
      <c r="H29" s="36"/>
      <c r="I29" s="36"/>
      <c r="J29" s="33"/>
      <c r="K29" s="33"/>
      <c r="L29" s="33"/>
      <c r="M29" s="33"/>
      <c r="N29" s="33"/>
      <c r="O29" s="33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5">
      <c r="A30" s="33"/>
      <c r="B30" s="33"/>
      <c r="C30" s="33"/>
      <c r="D30" s="33"/>
      <c r="E30" s="54" t="s">
        <v>769</v>
      </c>
      <c r="F30" s="54"/>
      <c r="G30" s="54"/>
      <c r="H30" s="54"/>
      <c r="I30" s="54"/>
      <c r="J30" s="33"/>
      <c r="K30" s="33"/>
      <c r="L30" s="33"/>
      <c r="M30" s="33"/>
      <c r="N30" s="33"/>
      <c r="O30" s="33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5">
      <c r="A31" s="33"/>
      <c r="B31" s="33"/>
      <c r="C31" s="33"/>
      <c r="D31" s="33"/>
      <c r="E31" s="36" t="s">
        <v>772</v>
      </c>
      <c r="F31" s="36"/>
      <c r="G31" s="36"/>
      <c r="H31" s="36"/>
      <c r="I31" s="36"/>
      <c r="J31" s="33"/>
      <c r="K31" s="33"/>
      <c r="L31" s="33"/>
      <c r="M31" s="33"/>
      <c r="N31" s="33"/>
      <c r="O31" s="33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5">
      <c r="A32" s="33"/>
      <c r="B32" s="33"/>
      <c r="C32" s="33"/>
      <c r="D32" s="33"/>
      <c r="E32" s="55" t="s">
        <v>773</v>
      </c>
      <c r="F32" s="55"/>
      <c r="G32" s="55"/>
      <c r="H32" s="55"/>
      <c r="I32" s="55"/>
      <c r="J32" s="33"/>
      <c r="K32" s="33"/>
      <c r="L32" s="33"/>
      <c r="M32" s="33"/>
      <c r="N32" s="33"/>
      <c r="O32" s="33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5">
      <c r="A33" s="33"/>
      <c r="B33" s="33"/>
      <c r="C33" s="33"/>
      <c r="D33" s="33"/>
      <c r="E33" s="56" t="s">
        <v>885</v>
      </c>
      <c r="F33" s="56"/>
      <c r="G33" s="56">
        <f>SUM(G24:G32)</f>
        <v>0</v>
      </c>
      <c r="H33" s="56"/>
      <c r="I33" s="56"/>
      <c r="J33" s="33" t="s">
        <v>887</v>
      </c>
      <c r="K33" s="33"/>
      <c r="L33" s="33"/>
      <c r="M33" s="33"/>
      <c r="N33" s="33"/>
      <c r="O33" s="33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5">
      <c r="A34" s="33"/>
      <c r="B34" s="33"/>
      <c r="C34" s="33"/>
      <c r="D34" s="33"/>
      <c r="E34" s="36" t="s">
        <v>888</v>
      </c>
      <c r="F34" s="36"/>
      <c r="G34" s="36"/>
      <c r="H34" s="36"/>
      <c r="I34" s="36"/>
      <c r="J34" s="33"/>
      <c r="K34" s="33"/>
      <c r="L34" s="33"/>
      <c r="M34" s="33"/>
      <c r="N34" s="33"/>
      <c r="O34" s="33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5">
      <c r="A35" s="33"/>
      <c r="B35" s="33"/>
      <c r="C35" s="33"/>
      <c r="D35" s="33"/>
      <c r="E35" s="36" t="s">
        <v>888</v>
      </c>
      <c r="F35" s="36"/>
      <c r="G35" s="36"/>
      <c r="H35" s="36"/>
      <c r="I35" s="36"/>
      <c r="J35" s="33"/>
      <c r="K35" s="33"/>
      <c r="L35" s="33"/>
      <c r="M35" s="33"/>
      <c r="N35" s="33"/>
      <c r="O35" s="33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5">
      <c r="A36" s="33"/>
      <c r="B36" s="33"/>
      <c r="C36" s="33"/>
      <c r="D36" s="33"/>
      <c r="E36" s="36" t="s">
        <v>888</v>
      </c>
      <c r="F36" s="36"/>
      <c r="G36" s="36"/>
      <c r="H36" s="36"/>
      <c r="I36" s="36"/>
      <c r="J36" s="33"/>
      <c r="K36" s="33"/>
      <c r="L36" s="33"/>
      <c r="M36" s="33"/>
      <c r="N36" s="33"/>
      <c r="O36" s="33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5">
      <c r="A37" s="33"/>
      <c r="B37" s="33"/>
      <c r="C37" s="33"/>
      <c r="D37" s="33"/>
      <c r="E37" s="36" t="s">
        <v>888</v>
      </c>
      <c r="F37" s="36"/>
      <c r="G37" s="36"/>
      <c r="H37" s="36"/>
      <c r="I37" s="36"/>
      <c r="J37" s="33"/>
      <c r="K37" s="33"/>
      <c r="L37" s="33"/>
      <c r="M37" s="33"/>
      <c r="N37" s="33"/>
      <c r="O37" s="33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5">
      <c r="A38" s="33"/>
      <c r="B38" s="33"/>
      <c r="C38" s="33"/>
      <c r="D38" s="33"/>
      <c r="E38" s="36" t="s">
        <v>888</v>
      </c>
      <c r="F38" s="36"/>
      <c r="G38" s="36"/>
      <c r="H38" s="36"/>
      <c r="I38" s="36"/>
      <c r="J38" s="33"/>
      <c r="K38" s="33"/>
      <c r="L38" s="33"/>
      <c r="M38" s="33"/>
      <c r="N38" s="33"/>
      <c r="O38" s="33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5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1000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14.42578125" defaultRowHeight="15" customHeight="1" x14ac:dyDescent="0.25"/>
  <cols>
    <col min="1" max="2" width="8.7109375" customWidth="1"/>
    <col min="3" max="6" width="9.7109375" customWidth="1"/>
    <col min="7" max="7" width="8" customWidth="1"/>
    <col min="8" max="8" width="17.85546875" customWidth="1"/>
    <col min="9" max="10" width="8.7109375" customWidth="1"/>
    <col min="11" max="11" width="20" customWidth="1"/>
    <col min="12" max="40" width="8.7109375" customWidth="1"/>
  </cols>
  <sheetData>
    <row r="1" spans="1:40" ht="14.25" customHeight="1" x14ac:dyDescent="0.35">
      <c r="A1" s="97" t="s">
        <v>996</v>
      </c>
      <c r="B1" s="96"/>
      <c r="C1" s="96"/>
      <c r="D1" s="62"/>
      <c r="E1" s="2"/>
      <c r="F1" s="2"/>
      <c r="G1" s="2"/>
      <c r="H1" s="2"/>
      <c r="I1" s="3"/>
      <c r="J1" s="3" t="s">
        <v>997</v>
      </c>
      <c r="K1" s="63">
        <v>100</v>
      </c>
      <c r="L1" s="98" t="s">
        <v>998</v>
      </c>
      <c r="M1" s="99"/>
      <c r="N1" s="4" t="s">
        <v>999</v>
      </c>
      <c r="O1" s="4" t="s">
        <v>1000</v>
      </c>
      <c r="P1" s="4" t="s">
        <v>1001</v>
      </c>
      <c r="Q1" s="4" t="s">
        <v>1002</v>
      </c>
      <c r="R1" s="4" t="s">
        <v>1003</v>
      </c>
      <c r="S1" s="4" t="s">
        <v>1004</v>
      </c>
      <c r="T1" s="4" t="s">
        <v>653</v>
      </c>
      <c r="U1" s="4" t="s">
        <v>776</v>
      </c>
      <c r="V1" s="4" t="s">
        <v>1005</v>
      </c>
      <c r="W1" s="4" t="s">
        <v>1006</v>
      </c>
      <c r="X1" s="4" t="s">
        <v>1007</v>
      </c>
      <c r="Y1" s="4" t="s">
        <v>1008</v>
      </c>
      <c r="Z1" s="64" t="s">
        <v>1009</v>
      </c>
      <c r="AA1" s="64" t="s">
        <v>1010</v>
      </c>
      <c r="AB1" s="4" t="s">
        <v>1011</v>
      </c>
      <c r="AC1" s="4" t="s">
        <v>1012</v>
      </c>
      <c r="AD1" s="64" t="s">
        <v>1013</v>
      </c>
      <c r="AE1" s="4" t="s">
        <v>1014</v>
      </c>
      <c r="AF1" s="65" t="s">
        <v>1015</v>
      </c>
      <c r="AG1" s="65" t="s">
        <v>760</v>
      </c>
      <c r="AH1" s="65">
        <v>25</v>
      </c>
      <c r="AI1" s="65" t="s">
        <v>1016</v>
      </c>
      <c r="AJ1" s="65" t="s">
        <v>769</v>
      </c>
      <c r="AK1" s="65">
        <v>14</v>
      </c>
      <c r="AL1" s="1" t="s">
        <v>885</v>
      </c>
      <c r="AM1" s="1">
        <f>SUM(AH1:AH6, AK1:AK6, AN3:AN6)</f>
        <v>197</v>
      </c>
    </row>
    <row r="2" spans="1:40" ht="14.25" customHeight="1" x14ac:dyDescent="0.25">
      <c r="B2" s="2"/>
      <c r="C2" s="2"/>
      <c r="D2" s="2"/>
      <c r="E2" s="2"/>
      <c r="F2" s="2"/>
      <c r="G2" s="2"/>
      <c r="H2" s="2"/>
      <c r="I2" s="3"/>
      <c r="J2" s="3" t="s">
        <v>1017</v>
      </c>
      <c r="K2" s="63">
        <v>15</v>
      </c>
      <c r="M2" s="100" t="s">
        <v>1018</v>
      </c>
      <c r="N2" s="66" t="s">
        <v>1019</v>
      </c>
      <c r="O2" s="34">
        <v>70</v>
      </c>
      <c r="P2" s="34">
        <v>64</v>
      </c>
      <c r="Q2" s="34">
        <v>71</v>
      </c>
      <c r="R2" s="34">
        <v>37</v>
      </c>
      <c r="S2" s="34">
        <v>27</v>
      </c>
      <c r="T2" s="34">
        <v>15</v>
      </c>
      <c r="U2" s="34">
        <v>3</v>
      </c>
      <c r="V2" s="34">
        <v>74</v>
      </c>
      <c r="W2" s="34">
        <v>28</v>
      </c>
      <c r="X2" s="34">
        <v>6</v>
      </c>
      <c r="Y2" s="34">
        <v>4</v>
      </c>
      <c r="Z2" s="34">
        <v>39</v>
      </c>
      <c r="AA2" s="34">
        <v>23</v>
      </c>
      <c r="AB2" s="34">
        <v>16</v>
      </c>
      <c r="AC2" s="34">
        <v>52</v>
      </c>
      <c r="AD2" s="34">
        <v>18</v>
      </c>
      <c r="AE2" s="34">
        <v>3</v>
      </c>
      <c r="AF2" s="65" t="s">
        <v>1020</v>
      </c>
      <c r="AG2" s="65" t="s">
        <v>762</v>
      </c>
      <c r="AH2" s="65">
        <v>17</v>
      </c>
      <c r="AI2" s="65" t="s">
        <v>1021</v>
      </c>
      <c r="AJ2" s="65" t="s">
        <v>1022</v>
      </c>
      <c r="AK2" s="65">
        <v>8</v>
      </c>
    </row>
    <row r="3" spans="1:40" ht="14.25" customHeight="1" x14ac:dyDescent="0.25">
      <c r="B3" s="2"/>
      <c r="C3" s="2"/>
      <c r="D3" s="2"/>
      <c r="E3" s="2"/>
      <c r="F3" s="2"/>
      <c r="G3" s="2"/>
      <c r="H3" s="2"/>
      <c r="I3" s="3"/>
      <c r="J3" s="3" t="s">
        <v>1023</v>
      </c>
      <c r="K3" s="67">
        <f>((K1)/K2)</f>
        <v>6.666666666666667</v>
      </c>
      <c r="L3" s="2"/>
      <c r="M3" s="101"/>
      <c r="N3" s="66" t="s">
        <v>1024</v>
      </c>
      <c r="O3" s="34">
        <v>67</v>
      </c>
      <c r="P3" s="34">
        <v>45</v>
      </c>
      <c r="Q3" s="34">
        <v>13</v>
      </c>
      <c r="R3" s="34">
        <v>15</v>
      </c>
      <c r="S3" s="34">
        <v>13</v>
      </c>
      <c r="T3" s="34">
        <v>1</v>
      </c>
      <c r="U3" s="34">
        <v>1</v>
      </c>
      <c r="V3" s="34">
        <v>36</v>
      </c>
      <c r="W3" s="34">
        <v>10</v>
      </c>
      <c r="X3" s="34">
        <v>2</v>
      </c>
      <c r="Y3" s="34">
        <v>0</v>
      </c>
      <c r="Z3" s="34">
        <v>30</v>
      </c>
      <c r="AA3" s="34">
        <v>18</v>
      </c>
      <c r="AB3" s="34">
        <v>3</v>
      </c>
      <c r="AC3" s="34">
        <v>31</v>
      </c>
      <c r="AD3" s="34">
        <v>8</v>
      </c>
      <c r="AE3" s="34">
        <v>1</v>
      </c>
      <c r="AF3" s="65" t="s">
        <v>1025</v>
      </c>
      <c r="AG3" s="65" t="s">
        <v>762</v>
      </c>
      <c r="AH3" s="65">
        <v>15</v>
      </c>
      <c r="AI3" s="65" t="s">
        <v>1026</v>
      </c>
      <c r="AJ3" s="65" t="s">
        <v>1027</v>
      </c>
      <c r="AK3" s="65">
        <v>6</v>
      </c>
      <c r="AM3" s="1" t="s">
        <v>772</v>
      </c>
      <c r="AN3" s="1">
        <v>2</v>
      </c>
    </row>
    <row r="4" spans="1:40" ht="14.25" customHeight="1" x14ac:dyDescent="0.25">
      <c r="C4" s="2"/>
      <c r="D4" s="2"/>
      <c r="E4" s="2"/>
      <c r="F4" s="2"/>
      <c r="G4" s="2"/>
      <c r="H4" s="2"/>
      <c r="I4" s="3"/>
      <c r="J4" s="2"/>
      <c r="K4" s="2"/>
      <c r="L4" s="2"/>
      <c r="M4" s="102" t="s">
        <v>1028</v>
      </c>
      <c r="N4" s="15" t="s">
        <v>1019</v>
      </c>
      <c r="O4" s="34">
        <v>70</v>
      </c>
      <c r="P4" s="34">
        <v>68</v>
      </c>
      <c r="Q4" s="34">
        <v>56</v>
      </c>
      <c r="R4" s="34">
        <v>47</v>
      </c>
      <c r="S4" s="34">
        <v>35</v>
      </c>
      <c r="T4" s="34">
        <v>24</v>
      </c>
      <c r="U4" s="34">
        <v>25</v>
      </c>
      <c r="V4" s="34">
        <v>66</v>
      </c>
      <c r="W4" s="34">
        <v>32</v>
      </c>
      <c r="X4" s="34">
        <v>15</v>
      </c>
      <c r="Y4" s="34">
        <v>6</v>
      </c>
      <c r="Z4" s="34">
        <v>23</v>
      </c>
      <c r="AA4" s="34">
        <v>11</v>
      </c>
      <c r="AB4" s="34">
        <v>7</v>
      </c>
      <c r="AC4" s="34">
        <v>39</v>
      </c>
      <c r="AD4" s="34">
        <v>16</v>
      </c>
      <c r="AE4" s="34">
        <v>3</v>
      </c>
      <c r="AF4" s="65" t="s">
        <v>1029</v>
      </c>
      <c r="AG4" s="65" t="s">
        <v>764</v>
      </c>
      <c r="AH4" s="65">
        <v>53</v>
      </c>
      <c r="AI4" s="65" t="s">
        <v>1030</v>
      </c>
      <c r="AJ4" s="65" t="s">
        <v>1027</v>
      </c>
      <c r="AK4" s="65">
        <v>2</v>
      </c>
      <c r="AM4" s="1" t="s">
        <v>773</v>
      </c>
      <c r="AN4" s="1">
        <v>2</v>
      </c>
    </row>
    <row r="5" spans="1:40" ht="14.25" customHeight="1" x14ac:dyDescent="0.25">
      <c r="C5" s="2"/>
      <c r="D5" s="2"/>
      <c r="E5" s="2"/>
      <c r="F5" s="2"/>
      <c r="G5" s="2"/>
      <c r="H5" s="2"/>
      <c r="I5" s="3"/>
      <c r="J5" s="2"/>
      <c r="K5" s="2"/>
      <c r="L5" s="2"/>
      <c r="M5" s="101"/>
      <c r="N5" s="15" t="s">
        <v>1024</v>
      </c>
      <c r="O5" s="34">
        <v>67</v>
      </c>
      <c r="P5" s="34">
        <v>58</v>
      </c>
      <c r="Q5" s="34">
        <v>37</v>
      </c>
      <c r="R5" s="34">
        <v>29</v>
      </c>
      <c r="S5" s="34">
        <v>9</v>
      </c>
      <c r="T5" s="34">
        <v>3</v>
      </c>
      <c r="U5" s="34">
        <v>1</v>
      </c>
      <c r="V5" s="34">
        <v>25</v>
      </c>
      <c r="W5" s="34">
        <v>13</v>
      </c>
      <c r="X5" s="34">
        <v>5</v>
      </c>
      <c r="Y5" s="34">
        <v>1</v>
      </c>
      <c r="Z5" s="34">
        <v>13</v>
      </c>
      <c r="AA5" s="34">
        <v>9</v>
      </c>
      <c r="AB5" s="34">
        <v>2</v>
      </c>
      <c r="AC5" s="34">
        <v>23</v>
      </c>
      <c r="AD5" s="34">
        <v>3</v>
      </c>
      <c r="AE5" s="34">
        <v>2</v>
      </c>
      <c r="AF5" s="65" t="s">
        <v>1031</v>
      </c>
      <c r="AG5" s="65" t="s">
        <v>764</v>
      </c>
      <c r="AH5" s="65">
        <v>28</v>
      </c>
      <c r="AI5" s="65" t="s">
        <v>1032</v>
      </c>
      <c r="AJ5" s="65" t="s">
        <v>1027</v>
      </c>
      <c r="AK5" s="65">
        <v>1</v>
      </c>
      <c r="AL5" s="65" t="s">
        <v>1033</v>
      </c>
      <c r="AM5" s="65" t="s">
        <v>1034</v>
      </c>
      <c r="AN5" s="65">
        <v>1</v>
      </c>
    </row>
    <row r="6" spans="1:40" ht="14.25" customHeight="1" x14ac:dyDescent="0.25">
      <c r="A6" s="15" t="s">
        <v>95</v>
      </c>
      <c r="B6" s="16" t="s">
        <v>96</v>
      </c>
      <c r="C6" s="17" t="s">
        <v>99</v>
      </c>
      <c r="D6" s="17" t="s">
        <v>1035</v>
      </c>
      <c r="E6" s="17" t="s">
        <v>1036</v>
      </c>
      <c r="F6" s="17" t="s">
        <v>1037</v>
      </c>
      <c r="G6" s="17" t="s">
        <v>27</v>
      </c>
      <c r="H6" s="4" t="s">
        <v>5</v>
      </c>
      <c r="I6" s="4" t="s">
        <v>8</v>
      </c>
      <c r="J6" s="4" t="s">
        <v>7</v>
      </c>
      <c r="K6" s="4" t="s">
        <v>28</v>
      </c>
      <c r="L6" s="4" t="s">
        <v>29</v>
      </c>
      <c r="M6" s="18" t="s">
        <v>102</v>
      </c>
      <c r="N6" s="18" t="s">
        <v>18</v>
      </c>
      <c r="O6" s="15" t="s">
        <v>22</v>
      </c>
      <c r="P6" s="19" t="s">
        <v>106</v>
      </c>
      <c r="Q6" s="15" t="s">
        <v>9</v>
      </c>
      <c r="R6" s="15" t="s">
        <v>10</v>
      </c>
      <c r="S6" s="15" t="s">
        <v>12</v>
      </c>
      <c r="T6" s="15" t="s">
        <v>19</v>
      </c>
      <c r="U6" s="15" t="s">
        <v>15</v>
      </c>
      <c r="V6" s="16" t="s">
        <v>110</v>
      </c>
      <c r="W6" s="16" t="s">
        <v>1038</v>
      </c>
      <c r="X6" s="4" t="s">
        <v>30</v>
      </c>
      <c r="AF6" s="65" t="s">
        <v>1039</v>
      </c>
      <c r="AG6" s="65" t="s">
        <v>874</v>
      </c>
      <c r="AH6" s="65">
        <v>19</v>
      </c>
      <c r="AI6" s="65" t="s">
        <v>1040</v>
      </c>
      <c r="AJ6" s="65" t="s">
        <v>1034</v>
      </c>
      <c r="AK6" s="65">
        <v>3</v>
      </c>
      <c r="AL6" s="65" t="s">
        <v>1041</v>
      </c>
      <c r="AM6" s="65" t="s">
        <v>1027</v>
      </c>
      <c r="AN6" s="65">
        <v>1</v>
      </c>
    </row>
    <row r="7" spans="1:40" ht="14.25" customHeight="1" x14ac:dyDescent="0.25">
      <c r="A7" s="11"/>
      <c r="B7" s="11">
        <v>1</v>
      </c>
      <c r="C7" s="11" t="s">
        <v>148</v>
      </c>
      <c r="D7" s="11"/>
      <c r="E7" s="11">
        <v>55</v>
      </c>
      <c r="F7" s="11" t="s">
        <v>886</v>
      </c>
      <c r="G7" s="11">
        <v>0</v>
      </c>
      <c r="H7" s="11" t="s">
        <v>43</v>
      </c>
      <c r="I7" s="11" t="s">
        <v>44</v>
      </c>
      <c r="J7" s="11" t="s">
        <v>764</v>
      </c>
      <c r="K7" s="11" t="s">
        <v>73</v>
      </c>
      <c r="L7" s="11">
        <v>1</v>
      </c>
      <c r="M7" s="11">
        <v>1</v>
      </c>
      <c r="N7" s="11">
        <v>1</v>
      </c>
      <c r="O7" s="11">
        <v>1</v>
      </c>
      <c r="P7" s="11">
        <v>0</v>
      </c>
      <c r="Q7" s="11">
        <v>1</v>
      </c>
      <c r="R7" s="11">
        <v>1</v>
      </c>
      <c r="S7" s="11">
        <v>1</v>
      </c>
      <c r="T7" s="11">
        <v>1</v>
      </c>
      <c r="U7" s="11">
        <v>1</v>
      </c>
      <c r="V7" s="11">
        <v>1</v>
      </c>
      <c r="W7" s="11">
        <v>1</v>
      </c>
      <c r="X7" s="25" t="s">
        <v>886</v>
      </c>
    </row>
    <row r="8" spans="1:40" ht="14.25" customHeight="1" x14ac:dyDescent="0.25">
      <c r="A8" s="11"/>
      <c r="B8" s="11">
        <v>16</v>
      </c>
      <c r="C8" s="11" t="s">
        <v>148</v>
      </c>
      <c r="D8" s="11"/>
      <c r="E8" s="11">
        <v>1</v>
      </c>
      <c r="F8" s="11" t="s">
        <v>886</v>
      </c>
      <c r="G8" s="11" t="s">
        <v>148</v>
      </c>
      <c r="H8" s="11" t="s">
        <v>806</v>
      </c>
      <c r="I8" s="11" t="s">
        <v>81</v>
      </c>
      <c r="J8" s="11" t="s">
        <v>762</v>
      </c>
      <c r="K8" s="11" t="s">
        <v>1042</v>
      </c>
      <c r="L8" s="11">
        <v>0</v>
      </c>
      <c r="M8" s="11">
        <v>15</v>
      </c>
      <c r="N8" s="11">
        <v>176</v>
      </c>
      <c r="O8" s="11">
        <v>147</v>
      </c>
      <c r="P8" s="11">
        <v>29</v>
      </c>
      <c r="Q8" s="11">
        <v>126</v>
      </c>
      <c r="R8" s="11">
        <v>182</v>
      </c>
      <c r="S8" s="11">
        <v>145</v>
      </c>
      <c r="T8" s="11">
        <v>218</v>
      </c>
      <c r="U8" s="11">
        <v>243</v>
      </c>
      <c r="V8" s="11">
        <v>176</v>
      </c>
      <c r="W8" s="11">
        <v>15</v>
      </c>
      <c r="X8" s="25" t="s">
        <v>1043</v>
      </c>
    </row>
    <row r="9" spans="1:40" ht="14.25" customHeight="1" x14ac:dyDescent="0.25">
      <c r="A9" s="11"/>
      <c r="B9" s="11">
        <v>19</v>
      </c>
      <c r="C9" s="11" t="s">
        <v>148</v>
      </c>
      <c r="D9" s="11"/>
      <c r="E9" s="11">
        <v>0</v>
      </c>
      <c r="F9" s="11" t="s">
        <v>886</v>
      </c>
      <c r="G9" s="11">
        <v>0</v>
      </c>
      <c r="H9" s="11" t="s">
        <v>960</v>
      </c>
      <c r="I9" s="11" t="s">
        <v>78</v>
      </c>
      <c r="J9" s="11" t="s">
        <v>762</v>
      </c>
      <c r="K9" s="11" t="s">
        <v>930</v>
      </c>
      <c r="L9" s="11">
        <v>0</v>
      </c>
      <c r="M9" s="11">
        <v>14</v>
      </c>
      <c r="N9" s="11">
        <v>167</v>
      </c>
      <c r="O9" s="11">
        <v>173</v>
      </c>
      <c r="P9" s="11">
        <v>-6</v>
      </c>
      <c r="Q9" s="11">
        <v>211</v>
      </c>
      <c r="R9" s="11">
        <v>213</v>
      </c>
      <c r="S9" s="11">
        <v>163</v>
      </c>
      <c r="T9" s="11">
        <v>204</v>
      </c>
      <c r="U9" s="11">
        <v>302</v>
      </c>
      <c r="V9" s="11">
        <v>204</v>
      </c>
      <c r="W9" s="11">
        <v>18</v>
      </c>
      <c r="X9" s="25" t="s">
        <v>1044</v>
      </c>
    </row>
    <row r="10" spans="1:40" ht="14.25" customHeight="1" x14ac:dyDescent="0.25">
      <c r="A10" s="11"/>
      <c r="B10" s="11">
        <v>19</v>
      </c>
      <c r="C10" s="11" t="s">
        <v>148</v>
      </c>
      <c r="D10" s="11"/>
      <c r="E10" s="11">
        <v>0</v>
      </c>
      <c r="F10" s="11" t="s">
        <v>886</v>
      </c>
      <c r="G10" s="11">
        <v>0</v>
      </c>
      <c r="H10" s="11" t="s">
        <v>945</v>
      </c>
      <c r="I10" s="11" t="s">
        <v>155</v>
      </c>
      <c r="J10" s="11" t="s">
        <v>762</v>
      </c>
      <c r="K10" s="11">
        <v>0</v>
      </c>
      <c r="L10" s="11">
        <v>0</v>
      </c>
      <c r="M10" s="11">
        <v>15</v>
      </c>
      <c r="N10" s="11">
        <v>171</v>
      </c>
      <c r="O10" s="11">
        <v>219</v>
      </c>
      <c r="P10" s="11">
        <v>-48</v>
      </c>
      <c r="Q10" s="11">
        <v>213</v>
      </c>
      <c r="R10" s="11" t="s">
        <v>36</v>
      </c>
      <c r="S10" s="11">
        <v>186</v>
      </c>
      <c r="T10" s="11">
        <v>203</v>
      </c>
      <c r="U10" s="11">
        <v>304</v>
      </c>
      <c r="V10" s="11">
        <v>216</v>
      </c>
      <c r="W10" s="11">
        <v>19</v>
      </c>
      <c r="X10" s="25" t="s">
        <v>886</v>
      </c>
    </row>
    <row r="11" spans="1:40" ht="14.25" customHeight="1" x14ac:dyDescent="0.25">
      <c r="A11" s="11"/>
      <c r="B11" s="11">
        <v>1</v>
      </c>
      <c r="C11" s="11" t="s">
        <v>148</v>
      </c>
      <c r="D11" s="11"/>
      <c r="E11" s="11">
        <v>55</v>
      </c>
      <c r="F11" s="11" t="s">
        <v>886</v>
      </c>
      <c r="G11" s="11">
        <v>0</v>
      </c>
      <c r="H11" s="11" t="s">
        <v>71</v>
      </c>
      <c r="I11" s="11" t="s">
        <v>72</v>
      </c>
      <c r="J11" s="11" t="s">
        <v>764</v>
      </c>
      <c r="K11" s="11" t="s">
        <v>73</v>
      </c>
      <c r="L11" s="11">
        <v>2</v>
      </c>
      <c r="M11" s="11">
        <v>1</v>
      </c>
      <c r="N11" s="11">
        <v>6</v>
      </c>
      <c r="O11" s="11">
        <v>6</v>
      </c>
      <c r="P11" s="11">
        <v>0</v>
      </c>
      <c r="Q11" s="11">
        <v>6</v>
      </c>
      <c r="R11" s="11">
        <v>4</v>
      </c>
      <c r="S11" s="11">
        <v>6</v>
      </c>
      <c r="T11" s="11">
        <v>5</v>
      </c>
      <c r="U11" s="11">
        <v>5</v>
      </c>
      <c r="V11" s="11">
        <v>5</v>
      </c>
      <c r="W11" s="11">
        <v>1</v>
      </c>
      <c r="X11" s="25" t="s">
        <v>886</v>
      </c>
    </row>
    <row r="12" spans="1:40" ht="14.25" customHeight="1" x14ac:dyDescent="0.25">
      <c r="A12" s="11"/>
      <c r="B12" s="11">
        <v>1</v>
      </c>
      <c r="C12" s="11" t="s">
        <v>148</v>
      </c>
      <c r="D12" s="11"/>
      <c r="E12" s="11">
        <v>55</v>
      </c>
      <c r="F12" s="11" t="s">
        <v>886</v>
      </c>
      <c r="G12" s="11">
        <v>0</v>
      </c>
      <c r="H12" s="11" t="s">
        <v>68</v>
      </c>
      <c r="I12" s="11" t="s">
        <v>69</v>
      </c>
      <c r="J12" s="11" t="s">
        <v>764</v>
      </c>
      <c r="K12" s="11" t="s">
        <v>73</v>
      </c>
      <c r="L12" s="11">
        <v>3</v>
      </c>
      <c r="M12" s="11">
        <v>1</v>
      </c>
      <c r="N12" s="11">
        <v>5</v>
      </c>
      <c r="O12" s="11">
        <v>3</v>
      </c>
      <c r="P12" s="11">
        <v>2</v>
      </c>
      <c r="Q12" s="11">
        <v>5</v>
      </c>
      <c r="R12" s="11">
        <v>6</v>
      </c>
      <c r="S12" s="11">
        <v>4</v>
      </c>
      <c r="T12" s="11">
        <v>6</v>
      </c>
      <c r="U12" s="11">
        <v>3</v>
      </c>
      <c r="V12" s="11">
        <v>4</v>
      </c>
      <c r="W12" s="11">
        <v>1</v>
      </c>
      <c r="X12" s="25" t="s">
        <v>886</v>
      </c>
    </row>
    <row r="13" spans="1:40" ht="14.25" customHeight="1" x14ac:dyDescent="0.25">
      <c r="A13" s="11"/>
      <c r="B13" s="11">
        <v>20</v>
      </c>
      <c r="C13" s="11" t="s">
        <v>148</v>
      </c>
      <c r="D13" s="11"/>
      <c r="E13" s="11">
        <v>0</v>
      </c>
      <c r="F13" s="11" t="s">
        <v>886</v>
      </c>
      <c r="G13" s="11">
        <v>0</v>
      </c>
      <c r="H13" s="11" t="s">
        <v>1045</v>
      </c>
      <c r="I13" s="11" t="s">
        <v>49</v>
      </c>
      <c r="J13" s="11" t="s">
        <v>762</v>
      </c>
      <c r="K13" s="11">
        <v>0</v>
      </c>
      <c r="L13" s="11">
        <v>0</v>
      </c>
      <c r="M13" s="11">
        <v>17</v>
      </c>
      <c r="N13" s="11">
        <v>199</v>
      </c>
      <c r="O13" s="11">
        <v>236</v>
      </c>
      <c r="P13" s="11">
        <v>-37</v>
      </c>
      <c r="Q13" s="11" t="s">
        <v>36</v>
      </c>
      <c r="R13" s="11" t="s">
        <v>36</v>
      </c>
      <c r="S13" s="11">
        <v>208</v>
      </c>
      <c r="T13" s="11">
        <v>263</v>
      </c>
      <c r="U13" s="11" t="s">
        <v>36</v>
      </c>
      <c r="V13" s="11">
        <v>226</v>
      </c>
      <c r="W13" s="11">
        <v>19</v>
      </c>
      <c r="X13" s="25" t="s">
        <v>1046</v>
      </c>
    </row>
    <row r="14" spans="1:40" ht="14.25" customHeight="1" x14ac:dyDescent="0.25">
      <c r="A14" s="11"/>
      <c r="B14" s="11">
        <v>2</v>
      </c>
      <c r="C14" s="11" t="s">
        <v>148</v>
      </c>
      <c r="D14" s="11"/>
      <c r="E14" s="11">
        <v>50</v>
      </c>
      <c r="F14" s="11" t="s">
        <v>886</v>
      </c>
      <c r="G14" s="11">
        <v>0</v>
      </c>
      <c r="H14" s="11" t="s">
        <v>115</v>
      </c>
      <c r="I14" s="11" t="s">
        <v>116</v>
      </c>
      <c r="J14" s="11" t="s">
        <v>764</v>
      </c>
      <c r="K14" s="11" t="s">
        <v>843</v>
      </c>
      <c r="L14" s="11">
        <v>4</v>
      </c>
      <c r="M14" s="11">
        <v>1</v>
      </c>
      <c r="N14" s="11">
        <v>7</v>
      </c>
      <c r="O14" s="11">
        <v>8</v>
      </c>
      <c r="P14" s="11">
        <v>-1</v>
      </c>
      <c r="Q14" s="11">
        <v>13</v>
      </c>
      <c r="R14" s="11">
        <v>13</v>
      </c>
      <c r="S14" s="11">
        <v>12</v>
      </c>
      <c r="T14" s="11">
        <v>13</v>
      </c>
      <c r="U14" s="11">
        <v>16</v>
      </c>
      <c r="V14" s="11">
        <v>11</v>
      </c>
      <c r="W14" s="11">
        <v>1</v>
      </c>
      <c r="X14" s="25" t="s">
        <v>1047</v>
      </c>
    </row>
    <row r="15" spans="1:40" ht="14.25" customHeight="1" x14ac:dyDescent="0.25">
      <c r="A15" s="11"/>
      <c r="B15" s="11">
        <v>1</v>
      </c>
      <c r="C15" s="11" t="s">
        <v>148</v>
      </c>
      <c r="D15" s="11"/>
      <c r="E15" s="11">
        <v>48</v>
      </c>
      <c r="F15" s="11" t="s">
        <v>886</v>
      </c>
      <c r="G15" s="11">
        <v>0</v>
      </c>
      <c r="H15" s="11" t="s">
        <v>63</v>
      </c>
      <c r="I15" s="11" t="s">
        <v>35</v>
      </c>
      <c r="J15" s="11" t="s">
        <v>764</v>
      </c>
      <c r="K15" s="11" t="s">
        <v>843</v>
      </c>
      <c r="L15" s="11">
        <v>6</v>
      </c>
      <c r="M15" s="11">
        <v>1</v>
      </c>
      <c r="N15" s="11">
        <v>8</v>
      </c>
      <c r="O15" s="11">
        <v>10</v>
      </c>
      <c r="P15" s="11">
        <v>-2</v>
      </c>
      <c r="Q15" s="11">
        <v>12</v>
      </c>
      <c r="R15" s="11">
        <v>8</v>
      </c>
      <c r="S15" s="11">
        <v>11</v>
      </c>
      <c r="T15" s="11">
        <v>8</v>
      </c>
      <c r="U15" s="11">
        <v>8</v>
      </c>
      <c r="V15" s="11">
        <v>9</v>
      </c>
      <c r="W15" s="11">
        <v>1</v>
      </c>
      <c r="X15" s="25" t="s">
        <v>886</v>
      </c>
    </row>
    <row r="16" spans="1:40" ht="14.25" customHeight="1" x14ac:dyDescent="0.25">
      <c r="A16" s="11"/>
      <c r="B16" s="11">
        <v>1</v>
      </c>
      <c r="C16" s="11" t="s">
        <v>148</v>
      </c>
      <c r="D16" s="11"/>
      <c r="E16" s="11">
        <v>50</v>
      </c>
      <c r="F16" s="11" t="s">
        <v>886</v>
      </c>
      <c r="G16" s="11">
        <v>0</v>
      </c>
      <c r="H16" s="11" t="s">
        <v>125</v>
      </c>
      <c r="I16" s="11" t="s">
        <v>126</v>
      </c>
      <c r="J16" s="11" t="s">
        <v>764</v>
      </c>
      <c r="K16" s="11" t="s">
        <v>843</v>
      </c>
      <c r="L16" s="11">
        <v>5</v>
      </c>
      <c r="M16" s="11">
        <v>1</v>
      </c>
      <c r="N16" s="11">
        <v>10</v>
      </c>
      <c r="O16" s="11">
        <v>9</v>
      </c>
      <c r="P16" s="11">
        <v>1</v>
      </c>
      <c r="Q16" s="11">
        <v>11</v>
      </c>
      <c r="R16" s="11">
        <v>10</v>
      </c>
      <c r="S16" s="11">
        <v>10</v>
      </c>
      <c r="T16" s="11">
        <v>12</v>
      </c>
      <c r="U16" s="11">
        <v>9</v>
      </c>
      <c r="V16" s="11">
        <v>10</v>
      </c>
      <c r="W16" s="11">
        <v>1</v>
      </c>
      <c r="X16" s="25" t="s">
        <v>1048</v>
      </c>
    </row>
    <row r="17" spans="1:24" ht="14.25" customHeight="1" x14ac:dyDescent="0.25">
      <c r="A17" s="11"/>
      <c r="B17" s="11">
        <v>18</v>
      </c>
      <c r="C17" s="11" t="s">
        <v>148</v>
      </c>
      <c r="D17" s="11"/>
      <c r="E17" s="11">
        <v>0</v>
      </c>
      <c r="F17" s="11" t="s">
        <v>886</v>
      </c>
      <c r="G17" s="11">
        <v>0</v>
      </c>
      <c r="H17" s="11" t="s">
        <v>1049</v>
      </c>
      <c r="I17" s="11" t="s">
        <v>85</v>
      </c>
      <c r="J17" s="11" t="s">
        <v>762</v>
      </c>
      <c r="K17" s="11">
        <v>0</v>
      </c>
      <c r="L17" s="11">
        <v>0</v>
      </c>
      <c r="M17" s="11">
        <v>20</v>
      </c>
      <c r="N17" s="11">
        <v>232</v>
      </c>
      <c r="O17" s="11">
        <v>212</v>
      </c>
      <c r="P17" s="11">
        <v>20</v>
      </c>
      <c r="Q17" s="11" t="s">
        <v>36</v>
      </c>
      <c r="R17" s="11" t="s">
        <v>36</v>
      </c>
      <c r="S17" s="11">
        <v>194</v>
      </c>
      <c r="T17" s="11">
        <v>234</v>
      </c>
      <c r="U17" s="11" t="s">
        <v>36</v>
      </c>
      <c r="V17" s="11">
        <v>218</v>
      </c>
      <c r="W17" s="11">
        <v>19</v>
      </c>
      <c r="X17" s="25" t="s">
        <v>886</v>
      </c>
    </row>
    <row r="18" spans="1:24" ht="14.25" customHeight="1" x14ac:dyDescent="0.25">
      <c r="A18" s="11"/>
      <c r="B18" s="11">
        <v>2</v>
      </c>
      <c r="C18" s="11" t="s">
        <v>148</v>
      </c>
      <c r="D18" s="11"/>
      <c r="E18" s="11">
        <v>45</v>
      </c>
      <c r="F18" s="11" t="s">
        <v>886</v>
      </c>
      <c r="G18" s="11">
        <v>0</v>
      </c>
      <c r="H18" s="11" t="s">
        <v>239</v>
      </c>
      <c r="I18" s="11" t="s">
        <v>199</v>
      </c>
      <c r="J18" s="11" t="s">
        <v>764</v>
      </c>
      <c r="K18" s="11" t="s">
        <v>843</v>
      </c>
      <c r="L18" s="11">
        <v>8</v>
      </c>
      <c r="M18" s="11">
        <v>2</v>
      </c>
      <c r="N18" s="11">
        <v>13</v>
      </c>
      <c r="O18" s="11">
        <v>12</v>
      </c>
      <c r="P18" s="11">
        <v>1</v>
      </c>
      <c r="Q18" s="11">
        <v>20</v>
      </c>
      <c r="R18" s="11">
        <v>16</v>
      </c>
      <c r="S18" s="11">
        <v>16</v>
      </c>
      <c r="T18" s="11">
        <v>16</v>
      </c>
      <c r="U18" s="11">
        <v>13</v>
      </c>
      <c r="V18" s="11">
        <v>15</v>
      </c>
      <c r="W18" s="11">
        <v>2</v>
      </c>
      <c r="X18" s="25" t="s">
        <v>1048</v>
      </c>
    </row>
    <row r="19" spans="1:24" ht="14.25" customHeight="1" x14ac:dyDescent="0.25">
      <c r="A19" s="11"/>
      <c r="B19" s="11">
        <v>2</v>
      </c>
      <c r="C19" s="11" t="s">
        <v>148</v>
      </c>
      <c r="D19" s="11"/>
      <c r="E19" s="11">
        <v>45</v>
      </c>
      <c r="F19" s="11" t="s">
        <v>886</v>
      </c>
      <c r="G19" s="11">
        <v>0</v>
      </c>
      <c r="H19" s="11" t="s">
        <v>109</v>
      </c>
      <c r="I19" s="11" t="s">
        <v>39</v>
      </c>
      <c r="J19" s="11" t="s">
        <v>764</v>
      </c>
      <c r="K19" s="11" t="s">
        <v>843</v>
      </c>
      <c r="L19" s="11">
        <v>7</v>
      </c>
      <c r="M19" s="11">
        <v>2</v>
      </c>
      <c r="N19" s="11">
        <v>12</v>
      </c>
      <c r="O19" s="11">
        <v>15</v>
      </c>
      <c r="P19" s="11">
        <v>-3</v>
      </c>
      <c r="Q19" s="11">
        <v>23</v>
      </c>
      <c r="R19" s="11">
        <v>21</v>
      </c>
      <c r="S19" s="11">
        <v>19</v>
      </c>
      <c r="T19" s="11">
        <v>17</v>
      </c>
      <c r="U19" s="11">
        <v>20</v>
      </c>
      <c r="V19" s="11">
        <v>18</v>
      </c>
      <c r="W19" s="11">
        <v>2</v>
      </c>
      <c r="X19" s="25" t="s">
        <v>886</v>
      </c>
    </row>
    <row r="20" spans="1:24" ht="14.25" customHeight="1" x14ac:dyDescent="0.25">
      <c r="A20" s="11"/>
      <c r="B20" s="11">
        <v>18</v>
      </c>
      <c r="C20" s="11" t="s">
        <v>148</v>
      </c>
      <c r="D20" s="11"/>
      <c r="E20" s="11">
        <v>0</v>
      </c>
      <c r="F20" s="11" t="s">
        <v>886</v>
      </c>
      <c r="G20" s="11">
        <v>0</v>
      </c>
      <c r="H20" s="11" t="s">
        <v>278</v>
      </c>
      <c r="I20" s="11" t="s">
        <v>49</v>
      </c>
      <c r="J20" s="11" t="s">
        <v>762</v>
      </c>
      <c r="K20" s="11">
        <v>0</v>
      </c>
      <c r="L20" s="11">
        <v>0</v>
      </c>
      <c r="M20" s="11">
        <v>15</v>
      </c>
      <c r="N20" s="11">
        <v>179</v>
      </c>
      <c r="O20" s="11">
        <v>210</v>
      </c>
      <c r="P20" s="11">
        <v>-31</v>
      </c>
      <c r="Q20" s="11" t="s">
        <v>36</v>
      </c>
      <c r="R20" s="11" t="s">
        <v>36</v>
      </c>
      <c r="S20" s="11">
        <v>176</v>
      </c>
      <c r="T20" s="11">
        <v>200</v>
      </c>
      <c r="U20" s="11">
        <v>245</v>
      </c>
      <c r="V20" s="11">
        <v>202</v>
      </c>
      <c r="W20" s="11">
        <v>17</v>
      </c>
      <c r="X20" s="25" t="s">
        <v>1050</v>
      </c>
    </row>
    <row r="21" spans="1:24" ht="14.25" customHeight="1" x14ac:dyDescent="0.25">
      <c r="A21" s="11"/>
      <c r="B21" s="11">
        <v>1</v>
      </c>
      <c r="C21" s="11" t="s">
        <v>148</v>
      </c>
      <c r="D21" s="11"/>
      <c r="E21" s="11">
        <v>40</v>
      </c>
      <c r="F21" s="11" t="s">
        <v>886</v>
      </c>
      <c r="G21" s="11">
        <v>0</v>
      </c>
      <c r="H21" s="11" t="s">
        <v>48</v>
      </c>
      <c r="I21" s="11" t="s">
        <v>49</v>
      </c>
      <c r="J21" s="11" t="s">
        <v>764</v>
      </c>
      <c r="K21" s="11" t="s">
        <v>843</v>
      </c>
      <c r="L21" s="11">
        <v>9</v>
      </c>
      <c r="M21" s="11">
        <v>2</v>
      </c>
      <c r="N21" s="11">
        <v>16</v>
      </c>
      <c r="O21" s="11">
        <v>11</v>
      </c>
      <c r="P21" s="11">
        <v>5</v>
      </c>
      <c r="Q21" s="11">
        <v>14</v>
      </c>
      <c r="R21" s="11">
        <v>9</v>
      </c>
      <c r="S21" s="11">
        <v>15</v>
      </c>
      <c r="T21" s="11">
        <v>11</v>
      </c>
      <c r="U21" s="11">
        <v>7</v>
      </c>
      <c r="V21" s="11">
        <v>11</v>
      </c>
      <c r="W21" s="11">
        <v>1</v>
      </c>
      <c r="X21" s="25" t="s">
        <v>886</v>
      </c>
    </row>
    <row r="22" spans="1:24" ht="14.25" customHeight="1" x14ac:dyDescent="0.25">
      <c r="A22" s="11"/>
      <c r="B22" s="11">
        <v>17</v>
      </c>
      <c r="C22" s="11" t="s">
        <v>148</v>
      </c>
      <c r="D22" s="11"/>
      <c r="E22" s="11">
        <v>0</v>
      </c>
      <c r="F22" s="11" t="s">
        <v>886</v>
      </c>
      <c r="G22" s="11">
        <v>0</v>
      </c>
      <c r="H22" s="11" t="s">
        <v>832</v>
      </c>
      <c r="I22" s="11" t="s">
        <v>44</v>
      </c>
      <c r="J22" s="11" t="s">
        <v>762</v>
      </c>
      <c r="K22" s="11">
        <v>0</v>
      </c>
      <c r="L22" s="11">
        <v>0</v>
      </c>
      <c r="M22" s="11">
        <v>18</v>
      </c>
      <c r="N22" s="11">
        <v>204</v>
      </c>
      <c r="O22" s="11">
        <v>199</v>
      </c>
      <c r="P22" s="11">
        <v>5</v>
      </c>
      <c r="Q22" s="11">
        <v>200</v>
      </c>
      <c r="R22" s="11" t="s">
        <v>36</v>
      </c>
      <c r="S22" s="11">
        <v>173</v>
      </c>
      <c r="T22" s="11">
        <v>232</v>
      </c>
      <c r="U22" s="11" t="s">
        <v>36</v>
      </c>
      <c r="V22" s="11">
        <v>201</v>
      </c>
      <c r="W22" s="11">
        <v>17</v>
      </c>
      <c r="X22" s="25" t="s">
        <v>1051</v>
      </c>
    </row>
    <row r="23" spans="1:24" ht="14.25" customHeight="1" x14ac:dyDescent="0.25">
      <c r="A23" s="11"/>
      <c r="B23" s="11">
        <v>19</v>
      </c>
      <c r="C23" s="11" t="s">
        <v>148</v>
      </c>
      <c r="D23" s="11"/>
      <c r="E23" s="11">
        <v>1</v>
      </c>
      <c r="F23" s="11" t="s">
        <v>886</v>
      </c>
      <c r="G23" s="11">
        <v>0</v>
      </c>
      <c r="H23" s="11" t="s">
        <v>662</v>
      </c>
      <c r="I23" s="11" t="s">
        <v>129</v>
      </c>
      <c r="J23" s="11" t="s">
        <v>762</v>
      </c>
      <c r="K23" s="11">
        <v>0</v>
      </c>
      <c r="L23" s="11">
        <v>0</v>
      </c>
      <c r="M23" s="11">
        <v>19</v>
      </c>
      <c r="N23" s="11">
        <v>227</v>
      </c>
      <c r="O23" s="11">
        <v>205</v>
      </c>
      <c r="P23" s="11">
        <v>22</v>
      </c>
      <c r="Q23" s="11">
        <v>202</v>
      </c>
      <c r="R23" s="11" t="s">
        <v>36</v>
      </c>
      <c r="S23" s="11">
        <v>189</v>
      </c>
      <c r="T23" s="11">
        <v>266</v>
      </c>
      <c r="U23" s="11" t="s">
        <v>36</v>
      </c>
      <c r="V23" s="11">
        <v>217</v>
      </c>
      <c r="W23" s="11">
        <v>19</v>
      </c>
      <c r="X23" s="25" t="s">
        <v>886</v>
      </c>
    </row>
    <row r="24" spans="1:24" ht="14.25" customHeight="1" x14ac:dyDescent="0.25">
      <c r="A24" s="11"/>
      <c r="B24" s="11">
        <v>22</v>
      </c>
      <c r="C24" s="11" t="s">
        <v>148</v>
      </c>
      <c r="D24" s="11"/>
      <c r="E24" s="11">
        <v>0</v>
      </c>
      <c r="F24" s="11" t="s">
        <v>886</v>
      </c>
      <c r="G24" s="11">
        <v>0</v>
      </c>
      <c r="H24" s="11" t="s">
        <v>558</v>
      </c>
      <c r="I24" s="11" t="s">
        <v>163</v>
      </c>
      <c r="J24" s="11" t="s">
        <v>762</v>
      </c>
      <c r="K24" s="11">
        <v>0</v>
      </c>
      <c r="L24" s="11">
        <v>0</v>
      </c>
      <c r="M24" s="11">
        <v>18</v>
      </c>
      <c r="N24" s="11">
        <v>206</v>
      </c>
      <c r="O24" s="11">
        <v>222</v>
      </c>
      <c r="P24" s="11">
        <v>-16</v>
      </c>
      <c r="Q24" s="11" t="s">
        <v>36</v>
      </c>
      <c r="R24" s="11" t="s">
        <v>36</v>
      </c>
      <c r="S24" s="11">
        <v>195</v>
      </c>
      <c r="T24" s="11" t="s">
        <v>36</v>
      </c>
      <c r="U24" s="11">
        <v>318</v>
      </c>
      <c r="V24" s="11">
        <v>235</v>
      </c>
      <c r="W24" s="11">
        <v>20</v>
      </c>
      <c r="X24" s="25" t="s">
        <v>886</v>
      </c>
    </row>
    <row r="25" spans="1:24" ht="14.25" customHeight="1" x14ac:dyDescent="0.25">
      <c r="A25" s="11"/>
      <c r="B25" s="11">
        <v>21</v>
      </c>
      <c r="C25" s="11" t="s">
        <v>148</v>
      </c>
      <c r="D25" s="11"/>
      <c r="E25" s="11">
        <v>0</v>
      </c>
      <c r="F25" s="11" t="s">
        <v>886</v>
      </c>
      <c r="G25" s="11">
        <v>0</v>
      </c>
      <c r="H25" s="11" t="s">
        <v>970</v>
      </c>
      <c r="I25" s="11" t="s">
        <v>69</v>
      </c>
      <c r="J25" s="11" t="s">
        <v>762</v>
      </c>
      <c r="K25" s="11">
        <v>0</v>
      </c>
      <c r="L25" s="11">
        <v>0</v>
      </c>
      <c r="M25" s="11">
        <v>18</v>
      </c>
      <c r="N25" s="11">
        <v>215</v>
      </c>
      <c r="O25" s="11">
        <v>245</v>
      </c>
      <c r="P25" s="11">
        <v>-30</v>
      </c>
      <c r="Q25" s="11" t="s">
        <v>36</v>
      </c>
      <c r="R25" s="11" t="s">
        <v>36</v>
      </c>
      <c r="S25" s="11">
        <v>256</v>
      </c>
      <c r="T25" s="11">
        <v>222</v>
      </c>
      <c r="U25" s="11">
        <v>276</v>
      </c>
      <c r="V25" s="11">
        <v>242</v>
      </c>
      <c r="W25" s="11">
        <v>21</v>
      </c>
      <c r="X25" s="25" t="s">
        <v>886</v>
      </c>
    </row>
    <row r="26" spans="1:24" ht="14.25" customHeight="1" x14ac:dyDescent="0.25">
      <c r="A26" s="11"/>
      <c r="B26" s="11">
        <v>2</v>
      </c>
      <c r="C26" s="11" t="s">
        <v>148</v>
      </c>
      <c r="D26" s="11"/>
      <c r="E26" s="11">
        <v>35</v>
      </c>
      <c r="F26" s="11" t="s">
        <v>886</v>
      </c>
      <c r="G26" s="11">
        <v>0</v>
      </c>
      <c r="H26" s="11" t="s">
        <v>103</v>
      </c>
      <c r="I26" s="11" t="s">
        <v>78</v>
      </c>
      <c r="J26" s="11" t="s">
        <v>764</v>
      </c>
      <c r="K26" s="11" t="s">
        <v>842</v>
      </c>
      <c r="L26" s="11">
        <v>11</v>
      </c>
      <c r="M26" s="11">
        <v>2</v>
      </c>
      <c r="N26" s="11">
        <v>18</v>
      </c>
      <c r="O26" s="11">
        <v>17</v>
      </c>
      <c r="P26" s="11">
        <v>1</v>
      </c>
      <c r="Q26" s="11">
        <v>27</v>
      </c>
      <c r="R26" s="11">
        <v>18</v>
      </c>
      <c r="S26" s="11">
        <v>23</v>
      </c>
      <c r="T26" s="11">
        <v>18</v>
      </c>
      <c r="U26" s="11">
        <v>15</v>
      </c>
      <c r="V26" s="11">
        <v>19</v>
      </c>
      <c r="W26" s="11">
        <v>2</v>
      </c>
      <c r="X26" s="25" t="s">
        <v>886</v>
      </c>
    </row>
    <row r="27" spans="1:24" ht="14.25" customHeight="1" x14ac:dyDescent="0.25">
      <c r="A27" s="11"/>
      <c r="B27" s="11" t="e">
        <v>#N/A</v>
      </c>
      <c r="C27" s="11" t="s">
        <v>148</v>
      </c>
      <c r="D27" s="11"/>
      <c r="E27" s="11">
        <v>0</v>
      </c>
      <c r="F27" s="11" t="s">
        <v>886</v>
      </c>
      <c r="G27" s="11">
        <v>0</v>
      </c>
      <c r="H27" s="11" t="s">
        <v>491</v>
      </c>
      <c r="I27" s="11" t="e">
        <v>#N/A</v>
      </c>
      <c r="J27" s="11" t="e">
        <v>#N/A</v>
      </c>
      <c r="K27" s="11">
        <v>0</v>
      </c>
      <c r="L27" s="11">
        <v>0</v>
      </c>
      <c r="M27" s="11">
        <v>16</v>
      </c>
      <c r="N27" s="11" t="e">
        <v>#N/A</v>
      </c>
      <c r="O27" s="11" t="e">
        <v>#N/A</v>
      </c>
      <c r="P27" s="11" t="e">
        <v>#N/A</v>
      </c>
      <c r="Q27" s="11" t="e">
        <v>#N/A</v>
      </c>
      <c r="R27" s="11" t="e">
        <v>#N/A</v>
      </c>
      <c r="S27" s="11" t="e">
        <v>#N/A</v>
      </c>
      <c r="T27" s="11" t="e">
        <v>#N/A</v>
      </c>
      <c r="U27" s="11" t="e">
        <v>#N/A</v>
      </c>
      <c r="V27" s="11" t="e">
        <v>#N/A</v>
      </c>
      <c r="W27" s="11">
        <v>16</v>
      </c>
      <c r="X27" s="25" t="s">
        <v>1052</v>
      </c>
    </row>
    <row r="28" spans="1:24" ht="14.25" customHeight="1" x14ac:dyDescent="0.25">
      <c r="A28" s="11"/>
      <c r="B28" s="11">
        <v>3</v>
      </c>
      <c r="C28" s="11" t="s">
        <v>148</v>
      </c>
      <c r="D28" s="11"/>
      <c r="E28" s="11">
        <v>35</v>
      </c>
      <c r="F28" s="11" t="s">
        <v>886</v>
      </c>
      <c r="G28" s="11">
        <v>0</v>
      </c>
      <c r="H28" s="11" t="s">
        <v>165</v>
      </c>
      <c r="I28" s="11" t="s">
        <v>88</v>
      </c>
      <c r="J28" s="11" t="s">
        <v>764</v>
      </c>
      <c r="K28" s="11" t="s">
        <v>842</v>
      </c>
      <c r="L28" s="11">
        <v>10</v>
      </c>
      <c r="M28" s="11">
        <v>2</v>
      </c>
      <c r="N28" s="11">
        <v>22</v>
      </c>
      <c r="O28" s="11">
        <v>21</v>
      </c>
      <c r="P28" s="11">
        <v>1</v>
      </c>
      <c r="Q28" s="11">
        <v>29</v>
      </c>
      <c r="R28" s="11">
        <v>30</v>
      </c>
      <c r="S28" s="11">
        <v>25</v>
      </c>
      <c r="T28" s="11">
        <v>24</v>
      </c>
      <c r="U28" s="11">
        <v>23</v>
      </c>
      <c r="V28" s="11">
        <v>24</v>
      </c>
      <c r="W28" s="11">
        <v>3</v>
      </c>
      <c r="X28" s="25" t="s">
        <v>1053</v>
      </c>
    </row>
    <row r="29" spans="1:24" ht="14.25" customHeight="1" x14ac:dyDescent="0.25">
      <c r="A29" s="11"/>
      <c r="B29" s="11">
        <v>2</v>
      </c>
      <c r="C29" s="11" t="s">
        <v>148</v>
      </c>
      <c r="D29" s="11"/>
      <c r="E29" s="11"/>
      <c r="F29" s="11" t="s">
        <v>886</v>
      </c>
      <c r="G29" s="11">
        <v>0</v>
      </c>
      <c r="H29" s="11" t="s">
        <v>98</v>
      </c>
      <c r="I29" s="11" t="s">
        <v>94</v>
      </c>
      <c r="J29" s="11" t="s">
        <v>769</v>
      </c>
      <c r="K29" s="11" t="s">
        <v>209</v>
      </c>
      <c r="L29" s="11">
        <v>1</v>
      </c>
      <c r="M29" s="11">
        <v>2</v>
      </c>
      <c r="N29" s="11">
        <v>23</v>
      </c>
      <c r="O29" s="11">
        <v>18</v>
      </c>
      <c r="P29" s="11">
        <v>5</v>
      </c>
      <c r="Q29" s="11">
        <v>24</v>
      </c>
      <c r="R29" s="11">
        <v>20</v>
      </c>
      <c r="S29" s="11">
        <v>7</v>
      </c>
      <c r="T29" s="11">
        <v>19</v>
      </c>
      <c r="U29" s="11">
        <v>17</v>
      </c>
      <c r="V29" s="11">
        <v>18</v>
      </c>
      <c r="W29" s="11">
        <v>2</v>
      </c>
      <c r="X29" s="25" t="s">
        <v>886</v>
      </c>
    </row>
    <row r="30" spans="1:24" ht="14.25" customHeight="1" x14ac:dyDescent="0.25">
      <c r="A30" s="11"/>
      <c r="B30" s="11">
        <v>3</v>
      </c>
      <c r="C30" s="11" t="s">
        <v>148</v>
      </c>
      <c r="D30" s="11"/>
      <c r="E30" s="11"/>
      <c r="F30" s="11" t="s">
        <v>886</v>
      </c>
      <c r="G30" s="11">
        <v>0</v>
      </c>
      <c r="H30" s="11" t="s">
        <v>122</v>
      </c>
      <c r="I30" s="11" t="s">
        <v>123</v>
      </c>
      <c r="J30" s="11" t="s">
        <v>769</v>
      </c>
      <c r="K30" s="11" t="s">
        <v>209</v>
      </c>
      <c r="L30" s="11">
        <v>2</v>
      </c>
      <c r="M30" s="11">
        <v>3</v>
      </c>
      <c r="N30" s="11">
        <v>24</v>
      </c>
      <c r="O30" s="11">
        <v>25</v>
      </c>
      <c r="P30" s="11">
        <v>-1</v>
      </c>
      <c r="Q30" s="11">
        <v>35</v>
      </c>
      <c r="R30" s="11">
        <v>25</v>
      </c>
      <c r="S30" s="11">
        <v>13</v>
      </c>
      <c r="T30" s="11">
        <v>26</v>
      </c>
      <c r="U30" s="11">
        <v>27</v>
      </c>
      <c r="V30" s="11">
        <v>25</v>
      </c>
      <c r="W30" s="11">
        <v>3</v>
      </c>
      <c r="X30" s="25" t="s">
        <v>886</v>
      </c>
    </row>
    <row r="31" spans="1:24" ht="14.25" customHeight="1" x14ac:dyDescent="0.25">
      <c r="A31" s="11"/>
      <c r="B31" s="11">
        <v>3</v>
      </c>
      <c r="C31" s="11" t="s">
        <v>148</v>
      </c>
      <c r="D31" s="11"/>
      <c r="E31" s="11"/>
      <c r="F31" s="11" t="s">
        <v>886</v>
      </c>
      <c r="G31" s="11">
        <v>0</v>
      </c>
      <c r="H31" s="11" t="s">
        <v>274</v>
      </c>
      <c r="I31" s="11" t="s">
        <v>55</v>
      </c>
      <c r="J31" s="11" t="s">
        <v>769</v>
      </c>
      <c r="K31" s="11" t="s">
        <v>209</v>
      </c>
      <c r="L31" s="11">
        <v>3</v>
      </c>
      <c r="M31" s="11">
        <v>3</v>
      </c>
      <c r="N31" s="11">
        <v>25</v>
      </c>
      <c r="O31" s="11">
        <v>34</v>
      </c>
      <c r="P31" s="11">
        <v>-9</v>
      </c>
      <c r="Q31" s="11">
        <v>38</v>
      </c>
      <c r="R31" s="11">
        <v>35</v>
      </c>
      <c r="S31" s="11">
        <v>24</v>
      </c>
      <c r="T31" s="11">
        <v>38</v>
      </c>
      <c r="U31" s="11">
        <v>38</v>
      </c>
      <c r="V31" s="11">
        <v>33</v>
      </c>
      <c r="W31" s="11">
        <v>3</v>
      </c>
      <c r="X31" s="25" t="s">
        <v>886</v>
      </c>
    </row>
    <row r="32" spans="1:24" ht="14.25" customHeight="1" x14ac:dyDescent="0.25">
      <c r="A32" s="11"/>
      <c r="B32" s="11">
        <v>2</v>
      </c>
      <c r="C32" s="11" t="s">
        <v>148</v>
      </c>
      <c r="D32" s="11"/>
      <c r="E32" s="11"/>
      <c r="F32" s="11" t="s">
        <v>886</v>
      </c>
      <c r="G32" s="11">
        <v>0</v>
      </c>
      <c r="H32" s="11" t="s">
        <v>174</v>
      </c>
      <c r="I32" s="11" t="s">
        <v>91</v>
      </c>
      <c r="J32" s="11" t="s">
        <v>760</v>
      </c>
      <c r="K32" s="11" t="s">
        <v>327</v>
      </c>
      <c r="L32" s="11">
        <v>1</v>
      </c>
      <c r="M32" s="11">
        <v>3</v>
      </c>
      <c r="N32" s="11">
        <v>26</v>
      </c>
      <c r="O32" s="11">
        <v>29</v>
      </c>
      <c r="P32" s="11">
        <v>-3</v>
      </c>
      <c r="Q32" s="11">
        <v>17</v>
      </c>
      <c r="R32" s="11">
        <v>23</v>
      </c>
      <c r="S32" s="11">
        <v>29</v>
      </c>
      <c r="T32" s="11">
        <v>23</v>
      </c>
      <c r="U32" s="11">
        <v>18</v>
      </c>
      <c r="V32" s="11">
        <v>23</v>
      </c>
      <c r="W32" s="11">
        <v>2</v>
      </c>
      <c r="X32" s="25" t="s">
        <v>886</v>
      </c>
    </row>
    <row r="33" spans="1:24" ht="14.25" customHeight="1" x14ac:dyDescent="0.25">
      <c r="A33" s="11"/>
      <c r="B33" s="11">
        <v>18</v>
      </c>
      <c r="C33" s="11" t="s">
        <v>148</v>
      </c>
      <c r="D33" s="11"/>
      <c r="E33" s="11">
        <v>0</v>
      </c>
      <c r="F33" s="11" t="s">
        <v>886</v>
      </c>
      <c r="G33" s="11">
        <v>0</v>
      </c>
      <c r="H33" s="11" t="s">
        <v>682</v>
      </c>
      <c r="I33" s="11" t="s">
        <v>85</v>
      </c>
      <c r="J33" s="11" t="s">
        <v>762</v>
      </c>
      <c r="K33" s="11">
        <v>0</v>
      </c>
      <c r="L33" s="11">
        <v>0</v>
      </c>
      <c r="M33" s="11">
        <v>16</v>
      </c>
      <c r="N33" s="11" t="s">
        <v>36</v>
      </c>
      <c r="O33" s="11">
        <v>209</v>
      </c>
      <c r="P33" s="11" t="e">
        <v>#VALUE!</v>
      </c>
      <c r="Q33" s="11">
        <v>215</v>
      </c>
      <c r="R33" s="11">
        <v>255</v>
      </c>
      <c r="S33" s="11">
        <v>191</v>
      </c>
      <c r="T33" s="11">
        <v>193</v>
      </c>
      <c r="U33" s="11">
        <v>204</v>
      </c>
      <c r="V33" s="11">
        <v>211</v>
      </c>
      <c r="W33" s="11">
        <v>18</v>
      </c>
      <c r="X33" s="25" t="s">
        <v>886</v>
      </c>
    </row>
    <row r="34" spans="1:24" ht="14.25" customHeight="1" x14ac:dyDescent="0.25">
      <c r="A34" s="11"/>
      <c r="B34" s="11">
        <v>2</v>
      </c>
      <c r="C34" s="11" t="s">
        <v>148</v>
      </c>
      <c r="D34" s="11"/>
      <c r="E34" s="11"/>
      <c r="F34" s="11" t="s">
        <v>886</v>
      </c>
      <c r="G34" s="11">
        <v>0</v>
      </c>
      <c r="H34" s="11" t="s">
        <v>131</v>
      </c>
      <c r="I34" s="11" t="s">
        <v>66</v>
      </c>
      <c r="J34" s="11" t="s">
        <v>760</v>
      </c>
      <c r="K34" s="11" t="s">
        <v>327</v>
      </c>
      <c r="L34" s="11">
        <v>2</v>
      </c>
      <c r="M34" s="11">
        <v>3</v>
      </c>
      <c r="N34" s="11">
        <v>28</v>
      </c>
      <c r="O34" s="11">
        <v>28</v>
      </c>
      <c r="P34" s="11">
        <v>0</v>
      </c>
      <c r="Q34" s="11">
        <v>15</v>
      </c>
      <c r="R34" s="11">
        <v>19</v>
      </c>
      <c r="S34" s="11">
        <v>27</v>
      </c>
      <c r="T34" s="11">
        <v>21</v>
      </c>
      <c r="U34" s="11">
        <v>21</v>
      </c>
      <c r="V34" s="11">
        <v>22</v>
      </c>
      <c r="W34" s="11">
        <v>2</v>
      </c>
      <c r="X34" s="25" t="s">
        <v>886</v>
      </c>
    </row>
    <row r="35" spans="1:24" ht="14.25" customHeight="1" x14ac:dyDescent="0.25">
      <c r="A35" s="11"/>
      <c r="B35" s="44">
        <v>3</v>
      </c>
      <c r="C35" s="11" t="s">
        <v>148</v>
      </c>
      <c r="D35" s="11"/>
      <c r="E35" s="11">
        <v>35</v>
      </c>
      <c r="F35" s="11" t="s">
        <v>886</v>
      </c>
      <c r="G35" s="11">
        <v>0</v>
      </c>
      <c r="H35" s="11" t="s">
        <v>150</v>
      </c>
      <c r="I35" s="44" t="s">
        <v>44</v>
      </c>
      <c r="J35" s="11" t="s">
        <v>764</v>
      </c>
      <c r="K35" s="11" t="s">
        <v>842</v>
      </c>
      <c r="L35" s="11">
        <v>12</v>
      </c>
      <c r="M35" s="11">
        <v>3</v>
      </c>
      <c r="N35" s="11">
        <v>29</v>
      </c>
      <c r="O35" s="11">
        <v>24</v>
      </c>
      <c r="P35" s="11">
        <v>5</v>
      </c>
      <c r="Q35" s="11">
        <v>32</v>
      </c>
      <c r="R35" s="11">
        <v>26</v>
      </c>
      <c r="S35" s="11">
        <v>30</v>
      </c>
      <c r="T35" s="11">
        <v>31</v>
      </c>
      <c r="U35" s="11">
        <v>33</v>
      </c>
      <c r="V35" s="11">
        <v>29</v>
      </c>
      <c r="W35" s="11">
        <v>3</v>
      </c>
      <c r="X35" s="25" t="s">
        <v>886</v>
      </c>
    </row>
    <row r="36" spans="1:24" ht="14.25" customHeight="1" x14ac:dyDescent="0.25">
      <c r="A36" s="11"/>
      <c r="B36" s="11">
        <v>3</v>
      </c>
      <c r="C36" s="11" t="s">
        <v>148</v>
      </c>
      <c r="D36" s="11"/>
      <c r="E36" s="11">
        <v>33</v>
      </c>
      <c r="F36" s="11" t="s">
        <v>886</v>
      </c>
      <c r="G36" s="11">
        <v>0</v>
      </c>
      <c r="H36" s="11" t="s">
        <v>51</v>
      </c>
      <c r="I36" s="11" t="s">
        <v>52</v>
      </c>
      <c r="J36" s="11" t="s">
        <v>764</v>
      </c>
      <c r="K36" s="11" t="s">
        <v>840</v>
      </c>
      <c r="L36" s="11">
        <v>13</v>
      </c>
      <c r="M36" s="11">
        <v>3</v>
      </c>
      <c r="N36" s="11">
        <v>33</v>
      </c>
      <c r="O36" s="11">
        <v>32</v>
      </c>
      <c r="P36" s="11">
        <v>1</v>
      </c>
      <c r="Q36" s="11">
        <v>40</v>
      </c>
      <c r="R36" s="11">
        <v>37</v>
      </c>
      <c r="S36" s="11">
        <v>31</v>
      </c>
      <c r="T36" s="11">
        <v>29</v>
      </c>
      <c r="U36" s="11">
        <v>39</v>
      </c>
      <c r="V36" s="11">
        <v>34</v>
      </c>
      <c r="W36" s="11">
        <v>3</v>
      </c>
      <c r="X36" s="25" t="s">
        <v>886</v>
      </c>
    </row>
    <row r="37" spans="1:24" ht="14.25" customHeight="1" x14ac:dyDescent="0.25">
      <c r="A37" s="11"/>
      <c r="B37" s="11">
        <v>3</v>
      </c>
      <c r="C37" s="11" t="s">
        <v>148</v>
      </c>
      <c r="D37" s="11"/>
      <c r="E37" s="11"/>
      <c r="F37" s="11" t="s">
        <v>886</v>
      </c>
      <c r="G37" s="11">
        <v>0</v>
      </c>
      <c r="H37" s="11" t="s">
        <v>224</v>
      </c>
      <c r="I37" s="11" t="s">
        <v>184</v>
      </c>
      <c r="J37" s="11" t="s">
        <v>760</v>
      </c>
      <c r="K37" s="11" t="s">
        <v>871</v>
      </c>
      <c r="L37" s="11">
        <v>4</v>
      </c>
      <c r="M37" s="11">
        <v>3</v>
      </c>
      <c r="N37" s="11">
        <v>30</v>
      </c>
      <c r="O37" s="11">
        <v>37</v>
      </c>
      <c r="P37" s="11">
        <v>-7</v>
      </c>
      <c r="Q37" s="11">
        <v>30</v>
      </c>
      <c r="R37" s="11">
        <v>27</v>
      </c>
      <c r="S37" s="11">
        <v>35</v>
      </c>
      <c r="T37" s="11">
        <v>33</v>
      </c>
      <c r="U37" s="11">
        <v>29</v>
      </c>
      <c r="V37" s="11">
        <v>31</v>
      </c>
      <c r="W37" s="11">
        <v>3</v>
      </c>
      <c r="X37" s="25" t="s">
        <v>886</v>
      </c>
    </row>
    <row r="38" spans="1:24" ht="14.25" customHeight="1" x14ac:dyDescent="0.25">
      <c r="A38" s="11"/>
      <c r="B38" s="11">
        <v>18</v>
      </c>
      <c r="C38" s="11" t="s">
        <v>148</v>
      </c>
      <c r="D38" s="11"/>
      <c r="E38" s="11">
        <v>0</v>
      </c>
      <c r="F38" s="11" t="s">
        <v>886</v>
      </c>
      <c r="G38" s="11">
        <v>0</v>
      </c>
      <c r="H38" s="11" t="s">
        <v>530</v>
      </c>
      <c r="I38" s="11" t="s">
        <v>91</v>
      </c>
      <c r="J38" s="11" t="s">
        <v>762</v>
      </c>
      <c r="K38" s="11">
        <v>0</v>
      </c>
      <c r="L38" s="11">
        <v>0</v>
      </c>
      <c r="M38" s="11">
        <v>16</v>
      </c>
      <c r="N38" s="11" t="s">
        <v>36</v>
      </c>
      <c r="O38" s="11">
        <v>221</v>
      </c>
      <c r="P38" s="11" t="e">
        <v>#VALUE!</v>
      </c>
      <c r="Q38" s="11" t="s">
        <v>36</v>
      </c>
      <c r="R38" s="11" t="s">
        <v>36</v>
      </c>
      <c r="S38" s="11">
        <v>193</v>
      </c>
      <c r="T38" s="11">
        <v>213</v>
      </c>
      <c r="U38" s="11">
        <v>232</v>
      </c>
      <c r="V38" s="11">
        <v>214</v>
      </c>
      <c r="W38" s="11">
        <v>18</v>
      </c>
      <c r="X38" s="25" t="s">
        <v>886</v>
      </c>
    </row>
    <row r="39" spans="1:24" ht="14.25" customHeight="1" x14ac:dyDescent="0.25">
      <c r="A39" s="11"/>
      <c r="B39" s="44">
        <v>4</v>
      </c>
      <c r="C39" s="11" t="s">
        <v>148</v>
      </c>
      <c r="D39" s="11"/>
      <c r="E39" s="11">
        <v>28</v>
      </c>
      <c r="F39" s="11" t="s">
        <v>886</v>
      </c>
      <c r="G39" s="11">
        <v>0</v>
      </c>
      <c r="H39" s="11" t="s">
        <v>152</v>
      </c>
      <c r="I39" s="11" t="s">
        <v>145</v>
      </c>
      <c r="J39" s="11" t="s">
        <v>764</v>
      </c>
      <c r="K39" s="11" t="s">
        <v>840</v>
      </c>
      <c r="L39" s="11">
        <v>17</v>
      </c>
      <c r="M39" s="11">
        <v>4</v>
      </c>
      <c r="N39" s="11">
        <v>39</v>
      </c>
      <c r="O39" s="11">
        <v>35</v>
      </c>
      <c r="P39" s="11">
        <v>4</v>
      </c>
      <c r="Q39" s="11">
        <v>51</v>
      </c>
      <c r="R39" s="11">
        <v>41</v>
      </c>
      <c r="S39" s="11">
        <v>39</v>
      </c>
      <c r="T39" s="11">
        <v>34</v>
      </c>
      <c r="U39" s="11">
        <v>37</v>
      </c>
      <c r="V39" s="11">
        <v>39</v>
      </c>
      <c r="W39" s="11">
        <v>4</v>
      </c>
      <c r="X39" s="25" t="s">
        <v>886</v>
      </c>
    </row>
    <row r="40" spans="1:24" ht="14.25" customHeight="1" x14ac:dyDescent="0.25">
      <c r="A40" s="11"/>
      <c r="B40" s="11">
        <v>4</v>
      </c>
      <c r="C40" s="11" t="s">
        <v>148</v>
      </c>
      <c r="D40" s="11"/>
      <c r="E40" s="11">
        <v>28</v>
      </c>
      <c r="F40" s="11" t="s">
        <v>886</v>
      </c>
      <c r="G40" s="11">
        <v>0</v>
      </c>
      <c r="H40" s="11" t="s">
        <v>220</v>
      </c>
      <c r="I40" s="11" t="s">
        <v>163</v>
      </c>
      <c r="J40" s="11" t="s">
        <v>764</v>
      </c>
      <c r="K40" s="11" t="s">
        <v>840</v>
      </c>
      <c r="L40" s="11">
        <v>15</v>
      </c>
      <c r="M40" s="11">
        <v>3</v>
      </c>
      <c r="N40" s="11">
        <v>32</v>
      </c>
      <c r="O40" s="11">
        <v>33</v>
      </c>
      <c r="P40" s="11">
        <v>-1</v>
      </c>
      <c r="Q40" s="11">
        <v>36</v>
      </c>
      <c r="R40" s="11">
        <v>43</v>
      </c>
      <c r="S40" s="11">
        <v>38</v>
      </c>
      <c r="T40" s="11">
        <v>39</v>
      </c>
      <c r="U40" s="11">
        <v>32</v>
      </c>
      <c r="V40" s="11">
        <v>36</v>
      </c>
      <c r="W40" s="11">
        <v>4</v>
      </c>
      <c r="X40" s="25" t="s">
        <v>886</v>
      </c>
    </row>
    <row r="41" spans="1:24" ht="14.25" customHeight="1" x14ac:dyDescent="0.25">
      <c r="A41" s="11"/>
      <c r="B41" s="11">
        <v>20</v>
      </c>
      <c r="C41" s="11" t="s">
        <v>148</v>
      </c>
      <c r="D41" s="11"/>
      <c r="E41" s="11">
        <v>0</v>
      </c>
      <c r="F41" s="11" t="s">
        <v>886</v>
      </c>
      <c r="G41" s="11">
        <v>0</v>
      </c>
      <c r="H41" s="11" t="s">
        <v>896</v>
      </c>
      <c r="I41" s="11" t="s">
        <v>94</v>
      </c>
      <c r="J41" s="11" t="s">
        <v>762</v>
      </c>
      <c r="K41" s="11">
        <v>0</v>
      </c>
      <c r="L41" s="11">
        <v>0</v>
      </c>
      <c r="M41" s="11">
        <v>16</v>
      </c>
      <c r="N41" s="11" t="s">
        <v>36</v>
      </c>
      <c r="O41" s="11">
        <v>252</v>
      </c>
      <c r="P41" s="11" t="e">
        <v>#VALUE!</v>
      </c>
      <c r="Q41" s="11">
        <v>191</v>
      </c>
      <c r="R41" s="11" t="s">
        <v>36</v>
      </c>
      <c r="S41" s="11">
        <v>221</v>
      </c>
      <c r="T41" s="11">
        <v>260</v>
      </c>
      <c r="U41" s="11">
        <v>247</v>
      </c>
      <c r="V41" s="11">
        <v>234</v>
      </c>
      <c r="W41" s="11">
        <v>20</v>
      </c>
      <c r="X41" s="25" t="s">
        <v>886</v>
      </c>
    </row>
    <row r="42" spans="1:24" ht="14.25" customHeight="1" x14ac:dyDescent="0.25">
      <c r="A42" s="11"/>
      <c r="B42" s="11">
        <v>3</v>
      </c>
      <c r="C42" s="11" t="s">
        <v>148</v>
      </c>
      <c r="D42" s="11"/>
      <c r="E42" s="11"/>
      <c r="F42" s="11" t="s">
        <v>886</v>
      </c>
      <c r="G42" s="11">
        <v>0</v>
      </c>
      <c r="H42" s="11" t="s">
        <v>235</v>
      </c>
      <c r="I42" s="11" t="s">
        <v>78</v>
      </c>
      <c r="J42" s="11" t="s">
        <v>760</v>
      </c>
      <c r="K42" s="11" t="s">
        <v>871</v>
      </c>
      <c r="L42" s="11">
        <v>3</v>
      </c>
      <c r="M42" s="11">
        <v>3</v>
      </c>
      <c r="N42" s="11">
        <v>35</v>
      </c>
      <c r="O42" s="11">
        <v>44</v>
      </c>
      <c r="P42" s="11">
        <v>-9</v>
      </c>
      <c r="Q42" s="11">
        <v>31</v>
      </c>
      <c r="R42" s="11">
        <v>28</v>
      </c>
      <c r="S42" s="11">
        <v>40</v>
      </c>
      <c r="T42" s="11">
        <v>37</v>
      </c>
      <c r="U42" s="11">
        <v>34</v>
      </c>
      <c r="V42" s="11">
        <v>35</v>
      </c>
      <c r="W42" s="11">
        <v>3</v>
      </c>
      <c r="X42" s="25" t="s">
        <v>886</v>
      </c>
    </row>
    <row r="43" spans="1:24" ht="14.25" customHeight="1" x14ac:dyDescent="0.25">
      <c r="A43" s="11"/>
      <c r="B43" s="44">
        <v>4</v>
      </c>
      <c r="C43" s="11" t="s">
        <v>148</v>
      </c>
      <c r="D43" s="11"/>
      <c r="E43" s="11">
        <v>30</v>
      </c>
      <c r="F43" s="11" t="s">
        <v>886</v>
      </c>
      <c r="G43" s="11" t="s">
        <v>148</v>
      </c>
      <c r="H43" s="11" t="s">
        <v>226</v>
      </c>
      <c r="I43" s="11" t="s">
        <v>123</v>
      </c>
      <c r="J43" s="11" t="s">
        <v>764</v>
      </c>
      <c r="K43" s="11" t="s">
        <v>840</v>
      </c>
      <c r="L43" s="11">
        <v>14</v>
      </c>
      <c r="M43" s="11">
        <v>4</v>
      </c>
      <c r="N43" s="11">
        <v>37</v>
      </c>
      <c r="O43" s="11">
        <v>30</v>
      </c>
      <c r="P43" s="11">
        <v>7</v>
      </c>
      <c r="Q43" s="11">
        <v>46</v>
      </c>
      <c r="R43" s="11">
        <v>44</v>
      </c>
      <c r="S43" s="11">
        <v>41</v>
      </c>
      <c r="T43" s="11">
        <v>36</v>
      </c>
      <c r="U43" s="11">
        <v>41</v>
      </c>
      <c r="V43" s="11">
        <v>39</v>
      </c>
      <c r="W43" s="11">
        <v>4</v>
      </c>
      <c r="X43" s="25" t="s">
        <v>1048</v>
      </c>
    </row>
    <row r="44" spans="1:24" ht="14.25" customHeight="1" x14ac:dyDescent="0.25">
      <c r="A44" s="11"/>
      <c r="B44" s="11">
        <v>3</v>
      </c>
      <c r="C44" s="11" t="s">
        <v>148</v>
      </c>
      <c r="D44" s="11"/>
      <c r="E44" s="11">
        <v>30</v>
      </c>
      <c r="F44" s="11" t="s">
        <v>886</v>
      </c>
      <c r="G44" s="11" t="s">
        <v>148</v>
      </c>
      <c r="H44" s="11" t="s">
        <v>190</v>
      </c>
      <c r="I44" s="11" t="s">
        <v>81</v>
      </c>
      <c r="J44" s="11" t="s">
        <v>764</v>
      </c>
      <c r="K44" s="11" t="s">
        <v>840</v>
      </c>
      <c r="L44" s="11">
        <v>16</v>
      </c>
      <c r="M44" s="11">
        <v>4</v>
      </c>
      <c r="N44" s="11">
        <v>42</v>
      </c>
      <c r="O44" s="11">
        <v>26</v>
      </c>
      <c r="P44" s="11">
        <v>16</v>
      </c>
      <c r="Q44" s="11">
        <v>39</v>
      </c>
      <c r="R44" s="11">
        <v>31</v>
      </c>
      <c r="S44" s="11">
        <v>36</v>
      </c>
      <c r="T44" s="11">
        <v>27</v>
      </c>
      <c r="U44" s="11">
        <v>36</v>
      </c>
      <c r="V44" s="11">
        <v>33</v>
      </c>
      <c r="W44" s="11">
        <v>3</v>
      </c>
      <c r="X44" s="25" t="s">
        <v>1054</v>
      </c>
    </row>
    <row r="45" spans="1:24" ht="14.25" customHeight="1" x14ac:dyDescent="0.25">
      <c r="A45" s="11"/>
      <c r="B45" s="11">
        <v>24</v>
      </c>
      <c r="C45" s="11" t="s">
        <v>148</v>
      </c>
      <c r="D45" s="11"/>
      <c r="E45" s="11">
        <v>0</v>
      </c>
      <c r="F45" s="11" t="s">
        <v>886</v>
      </c>
      <c r="G45" s="11">
        <v>0</v>
      </c>
      <c r="H45" s="11" t="s">
        <v>948</v>
      </c>
      <c r="I45" s="11" t="s">
        <v>85</v>
      </c>
      <c r="J45" s="11" t="s">
        <v>762</v>
      </c>
      <c r="K45" s="11">
        <v>0</v>
      </c>
      <c r="L45" s="11">
        <v>0</v>
      </c>
      <c r="M45" s="11">
        <v>16</v>
      </c>
      <c r="N45" s="11" t="s">
        <v>36</v>
      </c>
      <c r="O45" s="11">
        <v>300</v>
      </c>
      <c r="P45" s="11" t="e">
        <v>#VALUE!</v>
      </c>
      <c r="Q45" s="11" t="s">
        <v>36</v>
      </c>
      <c r="R45" s="11" t="s">
        <v>36</v>
      </c>
      <c r="S45" s="11">
        <v>293</v>
      </c>
      <c r="T45" s="11">
        <v>287</v>
      </c>
      <c r="U45" s="11">
        <v>252</v>
      </c>
      <c r="V45" s="11">
        <v>283</v>
      </c>
      <c r="W45" s="11">
        <v>24</v>
      </c>
      <c r="X45" s="25" t="s">
        <v>886</v>
      </c>
    </row>
    <row r="46" spans="1:24" ht="14.25" customHeight="1" x14ac:dyDescent="0.25">
      <c r="A46" s="11"/>
      <c r="B46" s="11">
        <v>21</v>
      </c>
      <c r="C46" s="11" t="s">
        <v>148</v>
      </c>
      <c r="D46" s="11"/>
      <c r="E46" s="11">
        <v>0</v>
      </c>
      <c r="F46" s="11" t="s">
        <v>886</v>
      </c>
      <c r="G46" s="11">
        <v>0</v>
      </c>
      <c r="H46" s="11" t="s">
        <v>805</v>
      </c>
      <c r="I46" s="11" t="s">
        <v>60</v>
      </c>
      <c r="J46" s="11" t="s">
        <v>762</v>
      </c>
      <c r="K46" s="11" t="s">
        <v>930</v>
      </c>
      <c r="L46" s="11">
        <v>0</v>
      </c>
      <c r="M46" s="11">
        <v>17</v>
      </c>
      <c r="N46" s="11">
        <v>202</v>
      </c>
      <c r="O46" s="11">
        <v>189</v>
      </c>
      <c r="P46" s="11">
        <v>13</v>
      </c>
      <c r="Q46" s="11" t="s">
        <v>36</v>
      </c>
      <c r="R46" s="11" t="s">
        <v>36</v>
      </c>
      <c r="S46" s="11">
        <v>178</v>
      </c>
      <c r="T46" s="11">
        <v>237</v>
      </c>
      <c r="U46" s="11">
        <v>316</v>
      </c>
      <c r="V46" s="11">
        <v>224</v>
      </c>
      <c r="W46" s="11">
        <v>19</v>
      </c>
      <c r="X46" s="25" t="s">
        <v>1055</v>
      </c>
    </row>
    <row r="47" spans="1:24" ht="14.25" customHeight="1" x14ac:dyDescent="0.25">
      <c r="A47" s="11"/>
      <c r="B47" s="11">
        <v>4</v>
      </c>
      <c r="C47" s="11" t="s">
        <v>148</v>
      </c>
      <c r="D47" s="11"/>
      <c r="E47" s="11"/>
      <c r="F47" s="11" t="s">
        <v>886</v>
      </c>
      <c r="G47" s="11">
        <v>0</v>
      </c>
      <c r="H47" s="11" t="s">
        <v>183</v>
      </c>
      <c r="I47" s="11" t="s">
        <v>184</v>
      </c>
      <c r="J47" s="11" t="s">
        <v>764</v>
      </c>
      <c r="K47" s="11" t="s">
        <v>847</v>
      </c>
      <c r="L47" s="11">
        <v>17</v>
      </c>
      <c r="M47" s="11">
        <v>4</v>
      </c>
      <c r="N47" s="11">
        <v>36</v>
      </c>
      <c r="O47" s="11">
        <v>41</v>
      </c>
      <c r="P47" s="11">
        <v>-5</v>
      </c>
      <c r="Q47" s="11">
        <v>45</v>
      </c>
      <c r="R47" s="11">
        <v>36</v>
      </c>
      <c r="S47" s="11">
        <v>46</v>
      </c>
      <c r="T47" s="11">
        <v>42</v>
      </c>
      <c r="U47" s="11">
        <v>28</v>
      </c>
      <c r="V47" s="11">
        <v>39</v>
      </c>
      <c r="W47" s="11">
        <v>4</v>
      </c>
      <c r="X47" s="25" t="s">
        <v>1056</v>
      </c>
    </row>
    <row r="48" spans="1:24" ht="14.25" customHeight="1" x14ac:dyDescent="0.25">
      <c r="A48" s="11"/>
      <c r="B48" s="11">
        <v>4</v>
      </c>
      <c r="C48" s="11" t="s">
        <v>148</v>
      </c>
      <c r="D48" s="11"/>
      <c r="E48" s="11"/>
      <c r="F48" s="11" t="s">
        <v>886</v>
      </c>
      <c r="G48" s="11">
        <v>0</v>
      </c>
      <c r="H48" s="11" t="s">
        <v>192</v>
      </c>
      <c r="I48" s="11" t="s">
        <v>49</v>
      </c>
      <c r="J48" s="11" t="s">
        <v>764</v>
      </c>
      <c r="K48" s="11" t="s">
        <v>847</v>
      </c>
      <c r="L48" s="11">
        <v>19</v>
      </c>
      <c r="M48" s="11">
        <v>4</v>
      </c>
      <c r="N48" s="11">
        <v>43</v>
      </c>
      <c r="O48" s="11">
        <v>36</v>
      </c>
      <c r="P48" s="11">
        <v>7</v>
      </c>
      <c r="Q48" s="11">
        <v>34</v>
      </c>
      <c r="R48" s="11">
        <v>34</v>
      </c>
      <c r="S48" s="11">
        <v>43</v>
      </c>
      <c r="T48" s="11">
        <v>44</v>
      </c>
      <c r="U48" s="11">
        <v>48</v>
      </c>
      <c r="V48" s="11">
        <v>40</v>
      </c>
      <c r="W48" s="11">
        <v>4</v>
      </c>
      <c r="X48" s="25" t="s">
        <v>886</v>
      </c>
    </row>
    <row r="49" spans="1:24" ht="14.25" customHeight="1" x14ac:dyDescent="0.25">
      <c r="A49" s="11"/>
      <c r="B49" s="11">
        <v>1</v>
      </c>
      <c r="C49" s="11" t="s">
        <v>148</v>
      </c>
      <c r="D49" s="11"/>
      <c r="E49" s="11">
        <v>58</v>
      </c>
      <c r="F49" s="11" t="s">
        <v>886</v>
      </c>
      <c r="G49" s="11">
        <v>0</v>
      </c>
      <c r="H49" s="11" t="s">
        <v>38</v>
      </c>
      <c r="I49" s="11" t="s">
        <v>39</v>
      </c>
      <c r="J49" s="11" t="s">
        <v>762</v>
      </c>
      <c r="K49" s="11" t="s">
        <v>839</v>
      </c>
      <c r="L49" s="11">
        <v>1</v>
      </c>
      <c r="M49" s="11">
        <v>1</v>
      </c>
      <c r="N49" s="11">
        <v>2</v>
      </c>
      <c r="O49" s="11">
        <v>2</v>
      </c>
      <c r="P49" s="11">
        <v>0</v>
      </c>
      <c r="Q49" s="11">
        <v>2</v>
      </c>
      <c r="R49" s="11">
        <v>2</v>
      </c>
      <c r="S49" s="11">
        <v>2</v>
      </c>
      <c r="T49" s="11">
        <v>3</v>
      </c>
      <c r="U49" s="11">
        <v>2</v>
      </c>
      <c r="V49" s="11">
        <v>2</v>
      </c>
      <c r="W49" s="11">
        <v>1</v>
      </c>
      <c r="X49" s="25" t="s">
        <v>886</v>
      </c>
    </row>
    <row r="50" spans="1:24" ht="14.25" customHeight="1" x14ac:dyDescent="0.25">
      <c r="A50" s="11"/>
      <c r="B50" s="11">
        <v>1</v>
      </c>
      <c r="C50" s="11" t="s">
        <v>148</v>
      </c>
      <c r="D50" s="11"/>
      <c r="E50" s="11">
        <v>58</v>
      </c>
      <c r="F50" s="11" t="s">
        <v>886</v>
      </c>
      <c r="G50" s="11">
        <v>0</v>
      </c>
      <c r="H50" s="11" t="s">
        <v>77</v>
      </c>
      <c r="I50" s="11" t="s">
        <v>78</v>
      </c>
      <c r="J50" s="11" t="s">
        <v>762</v>
      </c>
      <c r="K50" s="11" t="s">
        <v>839</v>
      </c>
      <c r="L50" s="11">
        <v>2</v>
      </c>
      <c r="M50" s="11">
        <v>1</v>
      </c>
      <c r="N50" s="11">
        <v>3</v>
      </c>
      <c r="O50" s="11">
        <v>5</v>
      </c>
      <c r="P50" s="11">
        <v>-2</v>
      </c>
      <c r="Q50" s="11">
        <v>3</v>
      </c>
      <c r="R50" s="11">
        <v>3</v>
      </c>
      <c r="S50" s="11">
        <v>5</v>
      </c>
      <c r="T50" s="11">
        <v>2</v>
      </c>
      <c r="U50" s="11">
        <v>4</v>
      </c>
      <c r="V50" s="11">
        <v>3</v>
      </c>
      <c r="W50" s="11">
        <v>1</v>
      </c>
      <c r="X50" s="25" t="s">
        <v>886</v>
      </c>
    </row>
    <row r="51" spans="1:24" ht="14.25" customHeight="1" x14ac:dyDescent="0.25">
      <c r="A51" s="11"/>
      <c r="B51" s="11">
        <v>1</v>
      </c>
      <c r="C51" s="11" t="s">
        <v>148</v>
      </c>
      <c r="D51" s="11"/>
      <c r="E51" s="11">
        <v>58</v>
      </c>
      <c r="F51" s="11" t="s">
        <v>886</v>
      </c>
      <c r="G51" s="11">
        <v>0</v>
      </c>
      <c r="H51" s="11" t="s">
        <v>34</v>
      </c>
      <c r="I51" s="11" t="s">
        <v>35</v>
      </c>
      <c r="J51" s="11" t="s">
        <v>762</v>
      </c>
      <c r="K51" s="11" t="s">
        <v>839</v>
      </c>
      <c r="L51" s="11">
        <v>3</v>
      </c>
      <c r="M51" s="11">
        <v>1</v>
      </c>
      <c r="N51" s="11">
        <v>4</v>
      </c>
      <c r="O51" s="11">
        <v>4</v>
      </c>
      <c r="P51" s="11">
        <v>0</v>
      </c>
      <c r="Q51" s="11">
        <v>4</v>
      </c>
      <c r="R51" s="11">
        <v>5</v>
      </c>
      <c r="S51" s="11">
        <v>3</v>
      </c>
      <c r="T51" s="11">
        <v>4</v>
      </c>
      <c r="U51" s="11">
        <v>6</v>
      </c>
      <c r="V51" s="11">
        <v>4</v>
      </c>
      <c r="W51" s="11">
        <v>1</v>
      </c>
      <c r="X51" s="25" t="s">
        <v>886</v>
      </c>
    </row>
    <row r="52" spans="1:24" ht="14.25" customHeight="1" x14ac:dyDescent="0.25">
      <c r="A52" s="11"/>
      <c r="B52" s="11">
        <v>5</v>
      </c>
      <c r="C52" s="11" t="s">
        <v>148</v>
      </c>
      <c r="D52" s="11"/>
      <c r="E52" s="11"/>
      <c r="F52" s="11" t="s">
        <v>886</v>
      </c>
      <c r="G52" s="11">
        <v>0</v>
      </c>
      <c r="H52" s="11" t="s">
        <v>139</v>
      </c>
      <c r="I52" s="11" t="s">
        <v>78</v>
      </c>
      <c r="J52" s="11" t="s">
        <v>764</v>
      </c>
      <c r="K52" s="11" t="s">
        <v>847</v>
      </c>
      <c r="L52" s="11">
        <v>18</v>
      </c>
      <c r="M52" s="11">
        <v>4</v>
      </c>
      <c r="N52" s="11">
        <v>45</v>
      </c>
      <c r="O52" s="11">
        <v>52</v>
      </c>
      <c r="P52" s="11">
        <v>-7</v>
      </c>
      <c r="Q52" s="11">
        <v>60</v>
      </c>
      <c r="R52" s="11">
        <v>61</v>
      </c>
      <c r="S52" s="11">
        <v>60</v>
      </c>
      <c r="T52" s="11">
        <v>53</v>
      </c>
      <c r="U52" s="11">
        <v>60</v>
      </c>
      <c r="V52" s="11">
        <v>55</v>
      </c>
      <c r="W52" s="11">
        <v>5</v>
      </c>
      <c r="X52" s="25" t="s">
        <v>886</v>
      </c>
    </row>
    <row r="53" spans="1:24" ht="14.25" customHeight="1" x14ac:dyDescent="0.25">
      <c r="A53" s="11"/>
      <c r="B53" s="11">
        <v>7</v>
      </c>
      <c r="C53" s="11" t="s">
        <v>148</v>
      </c>
      <c r="D53" s="11"/>
      <c r="E53" s="11"/>
      <c r="F53" s="11" t="s">
        <v>886</v>
      </c>
      <c r="G53" s="11" t="s">
        <v>119</v>
      </c>
      <c r="H53" s="11" t="s">
        <v>167</v>
      </c>
      <c r="I53" s="11" t="s">
        <v>81</v>
      </c>
      <c r="J53" s="11" t="s">
        <v>764</v>
      </c>
      <c r="K53" s="11" t="s">
        <v>845</v>
      </c>
      <c r="L53" s="11">
        <v>31</v>
      </c>
      <c r="M53" s="11">
        <v>5</v>
      </c>
      <c r="N53" s="11">
        <v>48</v>
      </c>
      <c r="O53" s="11">
        <v>53</v>
      </c>
      <c r="P53" s="11">
        <v>-5</v>
      </c>
      <c r="Q53" s="11">
        <v>79</v>
      </c>
      <c r="R53" s="11">
        <v>64</v>
      </c>
      <c r="S53" s="11">
        <v>66</v>
      </c>
      <c r="T53" s="11">
        <v>70</v>
      </c>
      <c r="U53" s="11">
        <v>84</v>
      </c>
      <c r="V53" s="11">
        <v>66</v>
      </c>
      <c r="W53" s="11">
        <v>6</v>
      </c>
      <c r="X53" s="25" t="s">
        <v>886</v>
      </c>
    </row>
    <row r="54" spans="1:24" ht="14.25" customHeight="1" x14ac:dyDescent="0.25">
      <c r="A54" s="11"/>
      <c r="B54" s="11">
        <v>6</v>
      </c>
      <c r="C54" s="11" t="s">
        <v>148</v>
      </c>
      <c r="D54" s="11"/>
      <c r="E54" s="11"/>
      <c r="F54" s="11" t="s">
        <v>886</v>
      </c>
      <c r="G54" s="11" t="s">
        <v>148</v>
      </c>
      <c r="H54" s="11" t="s">
        <v>118</v>
      </c>
      <c r="I54" s="44" t="s">
        <v>69</v>
      </c>
      <c r="J54" s="11" t="s">
        <v>764</v>
      </c>
      <c r="K54" s="11" t="s">
        <v>847</v>
      </c>
      <c r="L54" s="11">
        <v>21</v>
      </c>
      <c r="M54" s="11">
        <v>4</v>
      </c>
      <c r="N54" s="11">
        <v>47</v>
      </c>
      <c r="O54" s="11">
        <v>42</v>
      </c>
      <c r="P54" s="11">
        <v>5</v>
      </c>
      <c r="Q54" s="11">
        <v>62</v>
      </c>
      <c r="R54" s="11">
        <v>67</v>
      </c>
      <c r="S54" s="11">
        <v>54</v>
      </c>
      <c r="T54" s="11">
        <v>62</v>
      </c>
      <c r="U54" s="11">
        <v>75</v>
      </c>
      <c r="V54" s="11">
        <v>58</v>
      </c>
      <c r="W54" s="11">
        <v>5</v>
      </c>
      <c r="X54" s="25" t="s">
        <v>886</v>
      </c>
    </row>
    <row r="55" spans="1:24" ht="14.25" customHeight="1" x14ac:dyDescent="0.25">
      <c r="A55" s="11"/>
      <c r="B55" s="11">
        <v>5</v>
      </c>
      <c r="C55" s="11" t="s">
        <v>148</v>
      </c>
      <c r="D55" s="11"/>
      <c r="E55" s="11"/>
      <c r="F55" s="11" t="s">
        <v>886</v>
      </c>
      <c r="G55" s="11">
        <v>0</v>
      </c>
      <c r="H55" s="11" t="s">
        <v>248</v>
      </c>
      <c r="I55" s="11" t="s">
        <v>233</v>
      </c>
      <c r="J55" s="11" t="s">
        <v>764</v>
      </c>
      <c r="K55" s="11" t="s">
        <v>847</v>
      </c>
      <c r="L55" s="11">
        <v>20</v>
      </c>
      <c r="M55" s="11">
        <v>5</v>
      </c>
      <c r="N55" s="11">
        <v>49</v>
      </c>
      <c r="O55" s="11">
        <v>50</v>
      </c>
      <c r="P55" s="11">
        <v>-1</v>
      </c>
      <c r="Q55" s="11">
        <v>48</v>
      </c>
      <c r="R55" s="11">
        <v>45</v>
      </c>
      <c r="S55" s="11">
        <v>52</v>
      </c>
      <c r="T55" s="11">
        <v>46</v>
      </c>
      <c r="U55" s="11">
        <v>52</v>
      </c>
      <c r="V55" s="11">
        <v>48</v>
      </c>
      <c r="W55" s="11">
        <v>5</v>
      </c>
      <c r="X55" s="25" t="s">
        <v>886</v>
      </c>
    </row>
    <row r="56" spans="1:24" ht="14.25" customHeight="1" x14ac:dyDescent="0.25">
      <c r="A56" s="11"/>
      <c r="B56" s="11">
        <v>5</v>
      </c>
      <c r="C56" s="11" t="s">
        <v>148</v>
      </c>
      <c r="D56" s="11"/>
      <c r="E56" s="11"/>
      <c r="F56" s="11" t="s">
        <v>886</v>
      </c>
      <c r="G56" s="11">
        <v>0</v>
      </c>
      <c r="H56" s="11" t="s">
        <v>344</v>
      </c>
      <c r="I56" s="11" t="s">
        <v>85</v>
      </c>
      <c r="J56" s="11" t="s">
        <v>764</v>
      </c>
      <c r="K56" s="11" t="s">
        <v>847</v>
      </c>
      <c r="L56" s="11">
        <v>22</v>
      </c>
      <c r="M56" s="11">
        <v>5</v>
      </c>
      <c r="N56" s="11">
        <v>51</v>
      </c>
      <c r="O56" s="11">
        <v>40</v>
      </c>
      <c r="P56" s="11">
        <v>11</v>
      </c>
      <c r="Q56" s="11">
        <v>50</v>
      </c>
      <c r="R56" s="11">
        <v>50</v>
      </c>
      <c r="S56" s="11">
        <v>48</v>
      </c>
      <c r="T56" s="11">
        <v>58</v>
      </c>
      <c r="U56" s="11">
        <v>68</v>
      </c>
      <c r="V56" s="11">
        <v>52</v>
      </c>
      <c r="W56" s="11">
        <v>5</v>
      </c>
      <c r="X56" s="25" t="s">
        <v>1048</v>
      </c>
    </row>
    <row r="57" spans="1:24" ht="14.25" customHeight="1" x14ac:dyDescent="0.25">
      <c r="A57" s="11"/>
      <c r="B57" s="11">
        <v>6</v>
      </c>
      <c r="C57" s="11" t="s">
        <v>148</v>
      </c>
      <c r="D57" s="11"/>
      <c r="E57" s="11"/>
      <c r="F57" s="11" t="s">
        <v>886</v>
      </c>
      <c r="G57" s="11">
        <v>0</v>
      </c>
      <c r="H57" s="11" t="s">
        <v>147</v>
      </c>
      <c r="I57" s="44" t="s">
        <v>91</v>
      </c>
      <c r="J57" s="11" t="s">
        <v>764</v>
      </c>
      <c r="K57" s="11" t="s">
        <v>879</v>
      </c>
      <c r="L57" s="11">
        <v>27</v>
      </c>
      <c r="M57" s="11">
        <v>5</v>
      </c>
      <c r="N57" s="11">
        <v>52</v>
      </c>
      <c r="O57" s="11">
        <v>57</v>
      </c>
      <c r="P57" s="11">
        <v>-5</v>
      </c>
      <c r="Q57" s="11">
        <v>63</v>
      </c>
      <c r="R57" s="11">
        <v>55</v>
      </c>
      <c r="S57" s="11">
        <v>65</v>
      </c>
      <c r="T57" s="11">
        <v>55</v>
      </c>
      <c r="U57" s="11">
        <v>73</v>
      </c>
      <c r="V57" s="11">
        <v>60</v>
      </c>
      <c r="W57" s="11">
        <v>6</v>
      </c>
      <c r="X57" s="25" t="s">
        <v>886</v>
      </c>
    </row>
    <row r="58" spans="1:24" ht="14.25" customHeight="1" x14ac:dyDescent="0.25">
      <c r="A58" s="11"/>
      <c r="B58" s="11">
        <v>1</v>
      </c>
      <c r="C58" s="11" t="s">
        <v>148</v>
      </c>
      <c r="D58" s="11"/>
      <c r="E58" s="11">
        <v>55</v>
      </c>
      <c r="F58" s="11" t="s">
        <v>886</v>
      </c>
      <c r="G58" s="11">
        <v>0</v>
      </c>
      <c r="H58" s="11" t="s">
        <v>54</v>
      </c>
      <c r="I58" s="11" t="s">
        <v>55</v>
      </c>
      <c r="J58" s="11" t="s">
        <v>762</v>
      </c>
      <c r="K58" s="11" t="s">
        <v>839</v>
      </c>
      <c r="L58" s="11">
        <v>4</v>
      </c>
      <c r="M58" s="11">
        <v>1</v>
      </c>
      <c r="N58" s="11">
        <v>9</v>
      </c>
      <c r="O58" s="11">
        <v>7</v>
      </c>
      <c r="P58" s="11">
        <v>2</v>
      </c>
      <c r="Q58" s="11">
        <v>8</v>
      </c>
      <c r="R58" s="11">
        <v>7</v>
      </c>
      <c r="S58" s="11">
        <v>8</v>
      </c>
      <c r="T58" s="11">
        <v>10</v>
      </c>
      <c r="U58" s="11">
        <v>11</v>
      </c>
      <c r="V58" s="11">
        <v>8</v>
      </c>
      <c r="W58" s="11">
        <v>1</v>
      </c>
      <c r="X58" s="25" t="s">
        <v>886</v>
      </c>
    </row>
    <row r="59" spans="1:24" ht="14.25" customHeight="1" x14ac:dyDescent="0.25">
      <c r="A59" s="11"/>
      <c r="B59" s="11">
        <v>3</v>
      </c>
      <c r="C59" s="11" t="s">
        <v>148</v>
      </c>
      <c r="D59" s="11"/>
      <c r="E59" s="11"/>
      <c r="F59" s="11" t="s">
        <v>886</v>
      </c>
      <c r="G59" s="11">
        <v>0</v>
      </c>
      <c r="H59" s="11" t="s">
        <v>211</v>
      </c>
      <c r="I59" s="11" t="s">
        <v>44</v>
      </c>
      <c r="J59" s="11" t="s">
        <v>760</v>
      </c>
      <c r="K59" s="11" t="s">
        <v>871</v>
      </c>
      <c r="L59" s="11">
        <v>5</v>
      </c>
      <c r="M59" s="11">
        <v>5</v>
      </c>
      <c r="N59" s="11">
        <v>53</v>
      </c>
      <c r="O59" s="11">
        <v>63</v>
      </c>
      <c r="P59" s="11">
        <v>-10</v>
      </c>
      <c r="Q59" s="11">
        <v>25</v>
      </c>
      <c r="R59" s="11">
        <v>33</v>
      </c>
      <c r="S59" s="11">
        <v>45</v>
      </c>
      <c r="T59" s="11">
        <v>41</v>
      </c>
      <c r="U59" s="11">
        <v>35</v>
      </c>
      <c r="V59" s="11">
        <v>42</v>
      </c>
      <c r="W59" s="11">
        <v>4</v>
      </c>
      <c r="X59" s="25" t="s">
        <v>886</v>
      </c>
    </row>
    <row r="60" spans="1:24" ht="14.25" customHeight="1" x14ac:dyDescent="0.25">
      <c r="A60" s="11"/>
      <c r="B60" s="11">
        <v>1</v>
      </c>
      <c r="C60" s="11" t="s">
        <v>148</v>
      </c>
      <c r="D60" s="11"/>
      <c r="E60" s="11">
        <v>48</v>
      </c>
      <c r="F60" s="11" t="s">
        <v>886</v>
      </c>
      <c r="G60" s="11">
        <v>0</v>
      </c>
      <c r="H60" s="11" t="s">
        <v>93</v>
      </c>
      <c r="I60" s="11" t="s">
        <v>94</v>
      </c>
      <c r="J60" s="11" t="s">
        <v>762</v>
      </c>
      <c r="K60" s="11" t="s">
        <v>839</v>
      </c>
      <c r="L60" s="11">
        <v>5</v>
      </c>
      <c r="M60" s="11">
        <v>2</v>
      </c>
      <c r="N60" s="11">
        <v>14</v>
      </c>
      <c r="O60" s="11">
        <v>13</v>
      </c>
      <c r="P60" s="11">
        <v>1</v>
      </c>
      <c r="Q60" s="11">
        <v>9</v>
      </c>
      <c r="R60" s="11">
        <v>11</v>
      </c>
      <c r="S60" s="11">
        <v>9</v>
      </c>
      <c r="T60" s="11">
        <v>9</v>
      </c>
      <c r="U60" s="11">
        <v>12</v>
      </c>
      <c r="V60" s="11">
        <v>11</v>
      </c>
      <c r="W60" s="11">
        <v>1</v>
      </c>
      <c r="X60" s="25" t="s">
        <v>1057</v>
      </c>
    </row>
    <row r="61" spans="1:24" ht="14.25" customHeight="1" x14ac:dyDescent="0.25">
      <c r="A61" s="11"/>
      <c r="B61" s="11">
        <v>5</v>
      </c>
      <c r="C61" s="11" t="s">
        <v>148</v>
      </c>
      <c r="D61" s="11"/>
      <c r="E61" s="11"/>
      <c r="F61" s="11" t="s">
        <v>886</v>
      </c>
      <c r="G61" s="11">
        <v>0</v>
      </c>
      <c r="H61" s="11" t="s">
        <v>196</v>
      </c>
      <c r="I61" s="11" t="s">
        <v>35</v>
      </c>
      <c r="J61" s="11" t="s">
        <v>764</v>
      </c>
      <c r="K61" s="11" t="s">
        <v>879</v>
      </c>
      <c r="L61" s="11">
        <v>23</v>
      </c>
      <c r="M61" s="11">
        <v>5</v>
      </c>
      <c r="N61" s="11">
        <v>57</v>
      </c>
      <c r="O61" s="11">
        <v>45</v>
      </c>
      <c r="P61" s="11">
        <v>12</v>
      </c>
      <c r="Q61" s="11">
        <v>64</v>
      </c>
      <c r="R61" s="11">
        <v>65</v>
      </c>
      <c r="S61" s="11">
        <v>57</v>
      </c>
      <c r="T61" s="11">
        <v>60</v>
      </c>
      <c r="U61" s="11">
        <v>51</v>
      </c>
      <c r="V61" s="11">
        <v>57</v>
      </c>
      <c r="W61" s="11">
        <v>5</v>
      </c>
      <c r="X61" s="25" t="s">
        <v>886</v>
      </c>
    </row>
    <row r="62" spans="1:24" ht="14.25" customHeight="1" x14ac:dyDescent="0.25">
      <c r="A62" s="11"/>
      <c r="B62" s="11">
        <v>2</v>
      </c>
      <c r="C62" s="11" t="s">
        <v>148</v>
      </c>
      <c r="D62" s="11"/>
      <c r="E62" s="11">
        <v>45</v>
      </c>
      <c r="F62" s="11" t="s">
        <v>886</v>
      </c>
      <c r="G62" s="11">
        <v>0</v>
      </c>
      <c r="H62" s="11" t="s">
        <v>80</v>
      </c>
      <c r="I62" s="11" t="s">
        <v>81</v>
      </c>
      <c r="J62" s="11" t="s">
        <v>762</v>
      </c>
      <c r="K62" s="11" t="s">
        <v>844</v>
      </c>
      <c r="L62" s="11">
        <v>6</v>
      </c>
      <c r="M62" s="11">
        <v>2</v>
      </c>
      <c r="N62" s="11">
        <v>20</v>
      </c>
      <c r="O62" s="11">
        <v>16</v>
      </c>
      <c r="P62" s="11">
        <v>4</v>
      </c>
      <c r="Q62" s="11">
        <v>16</v>
      </c>
      <c r="R62" s="11">
        <v>14</v>
      </c>
      <c r="S62" s="11">
        <v>18</v>
      </c>
      <c r="T62" s="11">
        <v>14</v>
      </c>
      <c r="U62" s="11">
        <v>14</v>
      </c>
      <c r="V62" s="11">
        <v>16</v>
      </c>
      <c r="W62" s="11">
        <v>2</v>
      </c>
      <c r="X62" s="25" t="s">
        <v>886</v>
      </c>
    </row>
    <row r="63" spans="1:24" ht="14.25" customHeight="1" x14ac:dyDescent="0.25">
      <c r="A63" s="11"/>
      <c r="B63" s="11">
        <v>5</v>
      </c>
      <c r="C63" s="11" t="s">
        <v>148</v>
      </c>
      <c r="D63" s="11"/>
      <c r="E63" s="11"/>
      <c r="F63" s="11" t="s">
        <v>886</v>
      </c>
      <c r="G63" s="11">
        <v>0</v>
      </c>
      <c r="H63" s="11" t="s">
        <v>176</v>
      </c>
      <c r="I63" s="11" t="s">
        <v>155</v>
      </c>
      <c r="J63" s="11" t="s">
        <v>764</v>
      </c>
      <c r="K63" s="11" t="s">
        <v>879</v>
      </c>
      <c r="L63" s="11">
        <v>28</v>
      </c>
      <c r="M63" s="11">
        <v>6</v>
      </c>
      <c r="N63" s="11">
        <v>60</v>
      </c>
      <c r="O63" s="11">
        <v>49</v>
      </c>
      <c r="P63" s="11">
        <v>11</v>
      </c>
      <c r="Q63" s="11">
        <v>52</v>
      </c>
      <c r="R63" s="11">
        <v>54</v>
      </c>
      <c r="S63" s="11">
        <v>55</v>
      </c>
      <c r="T63" s="11">
        <v>48</v>
      </c>
      <c r="U63" s="11">
        <v>46</v>
      </c>
      <c r="V63" s="11">
        <v>52</v>
      </c>
      <c r="W63" s="11">
        <v>5</v>
      </c>
      <c r="X63" s="25" t="s">
        <v>886</v>
      </c>
    </row>
    <row r="64" spans="1:24" ht="14.25" customHeight="1" x14ac:dyDescent="0.25">
      <c r="A64" s="11"/>
      <c r="B64" s="11">
        <v>6</v>
      </c>
      <c r="C64" s="11" t="s">
        <v>148</v>
      </c>
      <c r="D64" s="11"/>
      <c r="E64" s="11"/>
      <c r="F64" s="11" t="s">
        <v>886</v>
      </c>
      <c r="G64" s="11" t="s">
        <v>148</v>
      </c>
      <c r="H64" s="11" t="s">
        <v>478</v>
      </c>
      <c r="I64" s="44" t="s">
        <v>229</v>
      </c>
      <c r="J64" s="11" t="s">
        <v>764</v>
      </c>
      <c r="K64" s="11" t="s">
        <v>879</v>
      </c>
      <c r="L64" s="11">
        <v>25</v>
      </c>
      <c r="M64" s="11">
        <v>5</v>
      </c>
      <c r="N64" s="11">
        <v>58</v>
      </c>
      <c r="O64" s="11">
        <v>51</v>
      </c>
      <c r="P64" s="11">
        <v>7</v>
      </c>
      <c r="Q64" s="11">
        <v>67</v>
      </c>
      <c r="R64" s="11">
        <v>60</v>
      </c>
      <c r="S64" s="11">
        <v>59</v>
      </c>
      <c r="T64" s="11">
        <v>72</v>
      </c>
      <c r="U64" s="11">
        <v>66</v>
      </c>
      <c r="V64" s="11">
        <v>61</v>
      </c>
      <c r="W64" s="11">
        <v>6</v>
      </c>
      <c r="X64" s="25" t="s">
        <v>886</v>
      </c>
    </row>
    <row r="65" spans="1:36" ht="14.25" customHeight="1" x14ac:dyDescent="0.25">
      <c r="A65" s="11"/>
      <c r="B65" s="11">
        <v>6</v>
      </c>
      <c r="C65" s="11" t="s">
        <v>148</v>
      </c>
      <c r="D65" s="11"/>
      <c r="E65" s="11"/>
      <c r="F65" s="11" t="s">
        <v>886</v>
      </c>
      <c r="G65" s="11" t="s">
        <v>148</v>
      </c>
      <c r="H65" s="11" t="s">
        <v>159</v>
      </c>
      <c r="I65" s="44" t="s">
        <v>160</v>
      </c>
      <c r="J65" s="11" t="s">
        <v>764</v>
      </c>
      <c r="K65" s="11" t="s">
        <v>879</v>
      </c>
      <c r="L65" s="11">
        <v>24</v>
      </c>
      <c r="M65" s="11">
        <v>5</v>
      </c>
      <c r="N65" s="11">
        <v>55</v>
      </c>
      <c r="O65" s="11">
        <v>38</v>
      </c>
      <c r="P65" s="11">
        <v>17</v>
      </c>
      <c r="Q65" s="11">
        <v>65</v>
      </c>
      <c r="R65" s="11">
        <v>62</v>
      </c>
      <c r="S65" s="11">
        <v>44</v>
      </c>
      <c r="T65" s="11">
        <v>59</v>
      </c>
      <c r="U65" s="11">
        <v>72</v>
      </c>
      <c r="V65" s="11">
        <v>56</v>
      </c>
      <c r="W65" s="11">
        <v>5</v>
      </c>
      <c r="X65" s="25" t="s">
        <v>1058</v>
      </c>
    </row>
    <row r="66" spans="1:36" ht="14.25" customHeight="1" x14ac:dyDescent="0.25">
      <c r="A66" s="11"/>
      <c r="B66" s="11">
        <v>2</v>
      </c>
      <c r="C66" s="11" t="s">
        <v>148</v>
      </c>
      <c r="D66" s="11"/>
      <c r="E66" s="11">
        <v>47</v>
      </c>
      <c r="F66" s="11" t="s">
        <v>886</v>
      </c>
      <c r="G66" s="11">
        <v>0</v>
      </c>
      <c r="H66" s="11" t="s">
        <v>218</v>
      </c>
      <c r="I66" s="11" t="s">
        <v>214</v>
      </c>
      <c r="J66" s="11" t="s">
        <v>762</v>
      </c>
      <c r="K66" s="11" t="s">
        <v>844</v>
      </c>
      <c r="L66" s="11">
        <v>7</v>
      </c>
      <c r="M66" s="11">
        <v>2</v>
      </c>
      <c r="N66" s="11">
        <v>15</v>
      </c>
      <c r="O66" s="11">
        <v>23</v>
      </c>
      <c r="P66" s="11">
        <v>-8</v>
      </c>
      <c r="Q66" s="11">
        <v>10</v>
      </c>
      <c r="R66" s="11">
        <v>17</v>
      </c>
      <c r="S66" s="11">
        <v>22</v>
      </c>
      <c r="T66" s="11">
        <v>15</v>
      </c>
      <c r="U66" s="11">
        <v>19</v>
      </c>
      <c r="V66" s="11">
        <v>17</v>
      </c>
      <c r="W66" s="11">
        <v>2</v>
      </c>
      <c r="X66" s="25" t="s">
        <v>886</v>
      </c>
    </row>
    <row r="67" spans="1:36" ht="14.25" customHeight="1" x14ac:dyDescent="0.25">
      <c r="A67" s="11"/>
      <c r="B67" s="11">
        <v>5</v>
      </c>
      <c r="C67" s="11" t="s">
        <v>148</v>
      </c>
      <c r="D67" s="11"/>
      <c r="E67" s="11"/>
      <c r="F67" s="11" t="s">
        <v>886</v>
      </c>
      <c r="G67" s="11" t="s">
        <v>148</v>
      </c>
      <c r="H67" s="11" t="s">
        <v>260</v>
      </c>
      <c r="I67" s="11" t="s">
        <v>168</v>
      </c>
      <c r="J67" s="11" t="s">
        <v>764</v>
      </c>
      <c r="K67" s="11" t="s">
        <v>879</v>
      </c>
      <c r="L67" s="11">
        <v>26</v>
      </c>
      <c r="M67" s="11">
        <v>5</v>
      </c>
      <c r="N67" s="11">
        <v>59</v>
      </c>
      <c r="O67" s="11">
        <v>48</v>
      </c>
      <c r="P67" s="11">
        <v>11</v>
      </c>
      <c r="Q67" s="11">
        <v>53</v>
      </c>
      <c r="R67" s="11">
        <v>58</v>
      </c>
      <c r="S67" s="11">
        <v>50</v>
      </c>
      <c r="T67" s="11">
        <v>50</v>
      </c>
      <c r="U67" s="11">
        <v>56</v>
      </c>
      <c r="V67" s="11">
        <v>53</v>
      </c>
      <c r="W67" s="11">
        <v>5</v>
      </c>
      <c r="X67" s="25" t="s">
        <v>886</v>
      </c>
    </row>
    <row r="68" spans="1:36" ht="14.25" customHeight="1" x14ac:dyDescent="0.25">
      <c r="A68" s="11"/>
      <c r="B68" s="11">
        <v>5</v>
      </c>
      <c r="C68" s="11" t="s">
        <v>148</v>
      </c>
      <c r="D68" s="11"/>
      <c r="E68" s="11"/>
      <c r="F68" s="11" t="s">
        <v>886</v>
      </c>
      <c r="G68" s="11">
        <v>0</v>
      </c>
      <c r="H68" s="11" t="s">
        <v>246</v>
      </c>
      <c r="I68" s="11" t="s">
        <v>35</v>
      </c>
      <c r="J68" s="11" t="s">
        <v>769</v>
      </c>
      <c r="K68" s="11" t="s">
        <v>863</v>
      </c>
      <c r="L68" s="11">
        <v>4</v>
      </c>
      <c r="M68" s="11">
        <v>6</v>
      </c>
      <c r="N68" s="11">
        <v>68</v>
      </c>
      <c r="O68" s="11">
        <v>77</v>
      </c>
      <c r="P68" s="11">
        <v>-9</v>
      </c>
      <c r="Q68" s="11">
        <v>58</v>
      </c>
      <c r="R68" s="11">
        <v>49</v>
      </c>
      <c r="S68" s="11">
        <v>53</v>
      </c>
      <c r="T68" s="11">
        <v>51</v>
      </c>
      <c r="U68" s="11">
        <v>43</v>
      </c>
      <c r="V68" s="11">
        <v>57</v>
      </c>
      <c r="W68" s="11">
        <v>5</v>
      </c>
      <c r="X68" s="25" t="s">
        <v>886</v>
      </c>
    </row>
    <row r="69" spans="1:36" ht="14.25" customHeight="1" x14ac:dyDescent="0.25">
      <c r="A69" s="11"/>
      <c r="B69" s="11">
        <v>8</v>
      </c>
      <c r="C69" s="11" t="s">
        <v>148</v>
      </c>
      <c r="D69" s="11"/>
      <c r="E69" s="11"/>
      <c r="F69" s="11" t="s">
        <v>886</v>
      </c>
      <c r="G69" s="11">
        <v>0</v>
      </c>
      <c r="H69" s="11" t="s">
        <v>128</v>
      </c>
      <c r="I69" s="11" t="s">
        <v>129</v>
      </c>
      <c r="J69" s="11" t="s">
        <v>764</v>
      </c>
      <c r="K69" s="11" t="s">
        <v>845</v>
      </c>
      <c r="L69" s="11">
        <v>32</v>
      </c>
      <c r="M69" s="11">
        <v>6</v>
      </c>
      <c r="N69" s="11">
        <v>66</v>
      </c>
      <c r="O69" s="11">
        <v>67</v>
      </c>
      <c r="P69" s="11">
        <v>-1</v>
      </c>
      <c r="Q69" s="11">
        <v>101</v>
      </c>
      <c r="R69" s="11">
        <v>84</v>
      </c>
      <c r="S69" s="11">
        <v>82</v>
      </c>
      <c r="T69" s="11">
        <v>73</v>
      </c>
      <c r="U69" s="11">
        <v>87</v>
      </c>
      <c r="V69" s="11">
        <v>80</v>
      </c>
      <c r="W69" s="11">
        <v>7</v>
      </c>
      <c r="X69" s="25" t="s">
        <v>886</v>
      </c>
      <c r="AJ69" s="68" t="s">
        <v>1059</v>
      </c>
    </row>
    <row r="70" spans="1:36" ht="14.25" customHeight="1" x14ac:dyDescent="0.25">
      <c r="A70" s="11"/>
      <c r="B70" s="11">
        <v>1</v>
      </c>
      <c r="C70" s="11" t="s">
        <v>148</v>
      </c>
      <c r="D70" s="11"/>
      <c r="E70" s="11">
        <v>46</v>
      </c>
      <c r="F70" s="11" t="s">
        <v>886</v>
      </c>
      <c r="G70" s="11">
        <v>0</v>
      </c>
      <c r="H70" s="11" t="s">
        <v>90</v>
      </c>
      <c r="I70" s="11" t="s">
        <v>91</v>
      </c>
      <c r="J70" s="11" t="s">
        <v>762</v>
      </c>
      <c r="K70" s="11" t="s">
        <v>844</v>
      </c>
      <c r="L70" s="11">
        <v>8</v>
      </c>
      <c r="M70" s="11">
        <v>1</v>
      </c>
      <c r="N70" s="11">
        <v>11</v>
      </c>
      <c r="O70" s="11">
        <v>14</v>
      </c>
      <c r="P70" s="11">
        <v>-3</v>
      </c>
      <c r="Q70" s="11">
        <v>7</v>
      </c>
      <c r="R70" s="11">
        <v>12</v>
      </c>
      <c r="S70" s="11">
        <v>14</v>
      </c>
      <c r="T70" s="11">
        <v>7</v>
      </c>
      <c r="U70" s="11">
        <v>10</v>
      </c>
      <c r="V70" s="11">
        <v>10</v>
      </c>
      <c r="W70" s="11">
        <v>1</v>
      </c>
      <c r="X70" s="25" t="s">
        <v>886</v>
      </c>
    </row>
    <row r="71" spans="1:36" ht="14.25" customHeight="1" x14ac:dyDescent="0.25">
      <c r="A71" s="11"/>
      <c r="B71" s="11">
        <v>8</v>
      </c>
      <c r="C71" s="11" t="s">
        <v>148</v>
      </c>
      <c r="D71" s="11"/>
      <c r="E71" s="11"/>
      <c r="F71" s="11" t="s">
        <v>886</v>
      </c>
      <c r="G71" s="11">
        <v>0</v>
      </c>
      <c r="H71" s="11" t="s">
        <v>202</v>
      </c>
      <c r="I71" s="11" t="s">
        <v>155</v>
      </c>
      <c r="J71" s="11" t="s">
        <v>764</v>
      </c>
      <c r="K71" s="11" t="s">
        <v>845</v>
      </c>
      <c r="L71" s="11">
        <v>33</v>
      </c>
      <c r="M71" s="11">
        <v>6</v>
      </c>
      <c r="N71" s="11">
        <v>63</v>
      </c>
      <c r="O71" s="11">
        <v>64</v>
      </c>
      <c r="P71" s="11">
        <v>-1</v>
      </c>
      <c r="Q71" s="11">
        <v>99</v>
      </c>
      <c r="R71" s="11">
        <v>76</v>
      </c>
      <c r="S71" s="11">
        <v>77</v>
      </c>
      <c r="T71" s="11">
        <v>80</v>
      </c>
      <c r="U71" s="11">
        <v>89</v>
      </c>
      <c r="V71" s="11">
        <v>78</v>
      </c>
      <c r="W71" s="11">
        <v>7</v>
      </c>
      <c r="X71" s="25" t="s">
        <v>1048</v>
      </c>
    </row>
    <row r="72" spans="1:36" ht="14.25" customHeight="1" x14ac:dyDescent="0.25">
      <c r="A72" s="11"/>
      <c r="B72" s="11">
        <v>2</v>
      </c>
      <c r="C72" s="11" t="s">
        <v>148</v>
      </c>
      <c r="D72" s="11"/>
      <c r="E72" s="11">
        <v>43</v>
      </c>
      <c r="F72" s="11" t="s">
        <v>886</v>
      </c>
      <c r="G72" s="11">
        <v>0</v>
      </c>
      <c r="H72" s="11" t="s">
        <v>189</v>
      </c>
      <c r="I72" s="11" t="s">
        <v>163</v>
      </c>
      <c r="J72" s="11" t="s">
        <v>762</v>
      </c>
      <c r="K72" s="11" t="s">
        <v>844</v>
      </c>
      <c r="L72" s="11">
        <v>9</v>
      </c>
      <c r="M72" s="11">
        <v>2</v>
      </c>
      <c r="N72" s="11">
        <v>17</v>
      </c>
      <c r="O72" s="11">
        <v>20</v>
      </c>
      <c r="P72" s="11">
        <v>-3</v>
      </c>
      <c r="Q72" s="11">
        <v>22</v>
      </c>
      <c r="R72" s="11">
        <v>22</v>
      </c>
      <c r="S72" s="11">
        <v>20</v>
      </c>
      <c r="T72" s="11">
        <v>22</v>
      </c>
      <c r="U72" s="11">
        <v>24</v>
      </c>
      <c r="V72" s="11">
        <v>21</v>
      </c>
      <c r="W72" s="11">
        <v>2</v>
      </c>
      <c r="X72" s="25" t="s">
        <v>1044</v>
      </c>
    </row>
    <row r="73" spans="1:36" ht="14.25" customHeight="1" x14ac:dyDescent="0.25">
      <c r="A73" s="11"/>
      <c r="B73" s="44">
        <v>2</v>
      </c>
      <c r="C73" s="11" t="s">
        <v>148</v>
      </c>
      <c r="D73" s="11"/>
      <c r="E73" s="11">
        <v>40</v>
      </c>
      <c r="F73" s="11" t="s">
        <v>886</v>
      </c>
      <c r="G73" s="11" t="s">
        <v>148</v>
      </c>
      <c r="H73" s="11" t="s">
        <v>75</v>
      </c>
      <c r="I73" s="11" t="s">
        <v>44</v>
      </c>
      <c r="J73" s="11" t="s">
        <v>762</v>
      </c>
      <c r="K73" s="11" t="s">
        <v>844</v>
      </c>
      <c r="L73" s="11">
        <v>10</v>
      </c>
      <c r="M73" s="11">
        <v>2</v>
      </c>
      <c r="N73" s="11">
        <v>21</v>
      </c>
      <c r="O73" s="11">
        <v>19</v>
      </c>
      <c r="P73" s="11">
        <v>2</v>
      </c>
      <c r="Q73" s="11">
        <v>19</v>
      </c>
      <c r="R73" s="11">
        <v>24</v>
      </c>
      <c r="S73" s="11">
        <v>17</v>
      </c>
      <c r="T73" s="11">
        <v>28</v>
      </c>
      <c r="U73" s="11">
        <v>26</v>
      </c>
      <c r="V73" s="11">
        <v>22</v>
      </c>
      <c r="W73" s="11">
        <v>2</v>
      </c>
      <c r="X73" s="25" t="s">
        <v>1060</v>
      </c>
    </row>
    <row r="74" spans="1:36" ht="14.25" customHeight="1" x14ac:dyDescent="0.25">
      <c r="A74" s="11"/>
      <c r="B74" s="11">
        <v>6</v>
      </c>
      <c r="C74" s="11" t="s">
        <v>148</v>
      </c>
      <c r="D74" s="11"/>
      <c r="E74" s="11"/>
      <c r="F74" s="11" t="s">
        <v>886</v>
      </c>
      <c r="G74" s="11" t="s">
        <v>148</v>
      </c>
      <c r="H74" s="11" t="s">
        <v>456</v>
      </c>
      <c r="I74" s="11" t="s">
        <v>199</v>
      </c>
      <c r="J74" s="11" t="s">
        <v>764</v>
      </c>
      <c r="K74" s="11" t="s">
        <v>879</v>
      </c>
      <c r="L74" s="11">
        <v>30</v>
      </c>
      <c r="M74" s="11">
        <v>6</v>
      </c>
      <c r="N74" s="11">
        <v>62</v>
      </c>
      <c r="O74" s="11">
        <v>55</v>
      </c>
      <c r="P74" s="11">
        <v>7</v>
      </c>
      <c r="Q74" s="11">
        <v>83</v>
      </c>
      <c r="R74" s="11">
        <v>74</v>
      </c>
      <c r="S74" s="11">
        <v>71</v>
      </c>
      <c r="T74" s="11">
        <v>66</v>
      </c>
      <c r="U74" s="11">
        <v>62</v>
      </c>
      <c r="V74" s="11">
        <v>67</v>
      </c>
      <c r="W74" s="11">
        <v>6</v>
      </c>
      <c r="X74" s="25" t="s">
        <v>1061</v>
      </c>
    </row>
    <row r="75" spans="1:36" ht="14.25" customHeight="1" x14ac:dyDescent="0.25">
      <c r="A75" s="11"/>
      <c r="B75" s="11">
        <v>5</v>
      </c>
      <c r="C75" s="11" t="s">
        <v>148</v>
      </c>
      <c r="D75" s="11"/>
      <c r="E75" s="11"/>
      <c r="F75" s="11" t="s">
        <v>886</v>
      </c>
      <c r="G75" s="11">
        <v>0</v>
      </c>
      <c r="H75" s="11" t="s">
        <v>310</v>
      </c>
      <c r="I75" s="11" t="s">
        <v>85</v>
      </c>
      <c r="J75" s="11" t="s">
        <v>760</v>
      </c>
      <c r="K75" s="11" t="s">
        <v>852</v>
      </c>
      <c r="L75" s="11">
        <v>9</v>
      </c>
      <c r="M75" s="11">
        <v>7</v>
      </c>
      <c r="N75" s="11">
        <v>76</v>
      </c>
      <c r="O75" s="11">
        <v>80</v>
      </c>
      <c r="P75" s="11">
        <v>-4</v>
      </c>
      <c r="Q75" s="11">
        <v>47</v>
      </c>
      <c r="R75" s="11">
        <v>42</v>
      </c>
      <c r="S75" s="11">
        <v>73</v>
      </c>
      <c r="T75" s="11">
        <v>57</v>
      </c>
      <c r="U75" s="11">
        <v>42</v>
      </c>
      <c r="V75" s="11">
        <v>59</v>
      </c>
      <c r="W75" s="11">
        <v>5</v>
      </c>
      <c r="X75" s="25" t="s">
        <v>886</v>
      </c>
    </row>
    <row r="76" spans="1:36" ht="14.25" customHeight="1" x14ac:dyDescent="0.25">
      <c r="A76" s="11"/>
      <c r="B76" s="11">
        <v>3</v>
      </c>
      <c r="C76" s="11" t="s">
        <v>148</v>
      </c>
      <c r="D76" s="11"/>
      <c r="E76" s="11">
        <v>35</v>
      </c>
      <c r="F76" s="11" t="s">
        <v>886</v>
      </c>
      <c r="G76" s="11">
        <v>0</v>
      </c>
      <c r="H76" s="11" t="s">
        <v>135</v>
      </c>
      <c r="I76" s="11" t="s">
        <v>49</v>
      </c>
      <c r="J76" s="11" t="s">
        <v>762</v>
      </c>
      <c r="K76" s="11" t="s">
        <v>844</v>
      </c>
      <c r="L76" s="11">
        <v>11</v>
      </c>
      <c r="M76" s="11">
        <v>3</v>
      </c>
      <c r="N76" s="11">
        <v>27</v>
      </c>
      <c r="O76" s="11">
        <v>31</v>
      </c>
      <c r="P76" s="11">
        <v>-4</v>
      </c>
      <c r="Q76" s="11">
        <v>18</v>
      </c>
      <c r="R76" s="11">
        <v>29</v>
      </c>
      <c r="S76" s="11">
        <v>26</v>
      </c>
      <c r="T76" s="11">
        <v>25</v>
      </c>
      <c r="U76" s="11">
        <v>25</v>
      </c>
      <c r="V76" s="11">
        <v>25</v>
      </c>
      <c r="W76" s="11">
        <v>3</v>
      </c>
      <c r="X76" s="25" t="s">
        <v>886</v>
      </c>
    </row>
    <row r="77" spans="1:36" ht="14.25" customHeight="1" x14ac:dyDescent="0.25">
      <c r="A77" s="11"/>
      <c r="B77" s="11">
        <v>6</v>
      </c>
      <c r="C77" s="11" t="s">
        <v>148</v>
      </c>
      <c r="D77" s="11"/>
      <c r="E77" s="11"/>
      <c r="F77" s="11" t="s">
        <v>886</v>
      </c>
      <c r="G77" s="11">
        <v>0</v>
      </c>
      <c r="H77" s="11" t="s">
        <v>422</v>
      </c>
      <c r="I77" s="11" t="s">
        <v>72</v>
      </c>
      <c r="J77" s="11" t="s">
        <v>769</v>
      </c>
      <c r="K77" s="11" t="s">
        <v>863</v>
      </c>
      <c r="L77" s="11">
        <v>5</v>
      </c>
      <c r="M77" s="11">
        <v>7</v>
      </c>
      <c r="N77" s="11">
        <v>73</v>
      </c>
      <c r="O77" s="11">
        <v>87</v>
      </c>
      <c r="P77" s="11">
        <v>-14</v>
      </c>
      <c r="Q77" s="11">
        <v>71</v>
      </c>
      <c r="R77" s="11">
        <v>56</v>
      </c>
      <c r="S77" s="11">
        <v>64</v>
      </c>
      <c r="T77" s="11">
        <v>64</v>
      </c>
      <c r="U77" s="11">
        <v>50</v>
      </c>
      <c r="V77" s="11">
        <v>66</v>
      </c>
      <c r="W77" s="11">
        <v>6</v>
      </c>
      <c r="X77" s="25" t="s">
        <v>886</v>
      </c>
    </row>
    <row r="78" spans="1:36" ht="14.25" customHeight="1" x14ac:dyDescent="0.25">
      <c r="A78" s="11"/>
      <c r="B78" s="11">
        <v>2</v>
      </c>
      <c r="C78" s="11" t="s">
        <v>148</v>
      </c>
      <c r="D78" s="11"/>
      <c r="E78" s="11">
        <v>33</v>
      </c>
      <c r="F78" s="11" t="s">
        <v>886</v>
      </c>
      <c r="G78" s="11" t="s">
        <v>119</v>
      </c>
      <c r="H78" s="11" t="s">
        <v>58</v>
      </c>
      <c r="I78" s="11" t="s">
        <v>60</v>
      </c>
      <c r="J78" s="11" t="s">
        <v>762</v>
      </c>
      <c r="K78" s="11" t="s">
        <v>844</v>
      </c>
      <c r="L78" s="11">
        <v>12</v>
      </c>
      <c r="M78" s="11">
        <v>2</v>
      </c>
      <c r="N78" s="11">
        <v>19</v>
      </c>
      <c r="O78" s="11">
        <v>22</v>
      </c>
      <c r="P78" s="11">
        <v>-3</v>
      </c>
      <c r="Q78" s="11">
        <v>21</v>
      </c>
      <c r="R78" s="11">
        <v>15</v>
      </c>
      <c r="S78" s="11">
        <v>21</v>
      </c>
      <c r="T78" s="11">
        <v>20</v>
      </c>
      <c r="U78" s="11">
        <v>22</v>
      </c>
      <c r="V78" s="11">
        <v>20</v>
      </c>
      <c r="W78" s="11">
        <v>2</v>
      </c>
      <c r="X78" s="25" t="s">
        <v>886</v>
      </c>
    </row>
    <row r="79" spans="1:36" ht="14.25" customHeight="1" x14ac:dyDescent="0.25">
      <c r="A79" s="11"/>
      <c r="B79" s="44">
        <v>4</v>
      </c>
      <c r="C79" s="11" t="s">
        <v>148</v>
      </c>
      <c r="D79" s="11"/>
      <c r="E79" s="11">
        <v>35</v>
      </c>
      <c r="F79" s="11" t="s">
        <v>886</v>
      </c>
      <c r="G79" s="11">
        <v>0</v>
      </c>
      <c r="H79" s="11" t="s">
        <v>87</v>
      </c>
      <c r="I79" s="11" t="s">
        <v>88</v>
      </c>
      <c r="J79" s="11" t="s">
        <v>762</v>
      </c>
      <c r="K79" s="11" t="s">
        <v>844</v>
      </c>
      <c r="L79" s="11">
        <v>12</v>
      </c>
      <c r="M79" s="11">
        <v>3</v>
      </c>
      <c r="N79" s="11">
        <v>31</v>
      </c>
      <c r="O79" s="11">
        <v>27</v>
      </c>
      <c r="P79" s="11">
        <v>4</v>
      </c>
      <c r="Q79" s="11">
        <v>37</v>
      </c>
      <c r="R79" s="11">
        <v>39</v>
      </c>
      <c r="S79" s="11">
        <v>28</v>
      </c>
      <c r="T79" s="11">
        <v>35</v>
      </c>
      <c r="U79" s="11">
        <v>45</v>
      </c>
      <c r="V79" s="11">
        <v>34</v>
      </c>
      <c r="W79" s="11">
        <v>3</v>
      </c>
      <c r="X79" s="25" t="s">
        <v>1062</v>
      </c>
    </row>
    <row r="80" spans="1:36" ht="14.25" customHeight="1" x14ac:dyDescent="0.25">
      <c r="A80" s="11"/>
      <c r="B80" s="11">
        <v>6</v>
      </c>
      <c r="C80" s="11" t="s">
        <v>148</v>
      </c>
      <c r="D80" s="11"/>
      <c r="E80" s="11"/>
      <c r="F80" s="11" t="s">
        <v>886</v>
      </c>
      <c r="G80" s="11" t="s">
        <v>148</v>
      </c>
      <c r="H80" s="11" t="s">
        <v>133</v>
      </c>
      <c r="I80" s="11" t="s">
        <v>85</v>
      </c>
      <c r="J80" s="11" t="s">
        <v>764</v>
      </c>
      <c r="K80" s="11" t="s">
        <v>879</v>
      </c>
      <c r="L80" s="11">
        <v>29</v>
      </c>
      <c r="M80" s="11">
        <v>7</v>
      </c>
      <c r="N80" s="11">
        <v>74</v>
      </c>
      <c r="O80" s="11">
        <v>60</v>
      </c>
      <c r="P80" s="11">
        <v>14</v>
      </c>
      <c r="Q80" s="11">
        <v>84</v>
      </c>
      <c r="R80" s="11">
        <v>71</v>
      </c>
      <c r="S80" s="11">
        <v>72</v>
      </c>
      <c r="T80" s="11">
        <v>49</v>
      </c>
      <c r="U80" s="11">
        <v>47</v>
      </c>
      <c r="V80" s="11">
        <v>65</v>
      </c>
      <c r="W80" s="11">
        <v>6</v>
      </c>
      <c r="X80" s="25" t="s">
        <v>1063</v>
      </c>
    </row>
    <row r="81" spans="1:24" ht="14.25" customHeight="1" x14ac:dyDescent="0.25">
      <c r="A81" s="11"/>
      <c r="B81" s="11">
        <v>4</v>
      </c>
      <c r="C81" s="11" t="s">
        <v>148</v>
      </c>
      <c r="D81" s="11"/>
      <c r="E81" s="11">
        <v>20</v>
      </c>
      <c r="F81" s="11" t="s">
        <v>886</v>
      </c>
      <c r="G81" s="11">
        <v>0</v>
      </c>
      <c r="H81" s="11" t="s">
        <v>84</v>
      </c>
      <c r="I81" s="11" t="s">
        <v>52</v>
      </c>
      <c r="J81" s="11" t="s">
        <v>762</v>
      </c>
      <c r="K81" s="11" t="s">
        <v>841</v>
      </c>
      <c r="L81" s="11">
        <v>13</v>
      </c>
      <c r="M81" s="11">
        <v>4</v>
      </c>
      <c r="N81" s="11">
        <v>38</v>
      </c>
      <c r="O81" s="11">
        <v>47</v>
      </c>
      <c r="P81" s="11">
        <v>-9</v>
      </c>
      <c r="Q81" s="11">
        <v>33</v>
      </c>
      <c r="R81" s="11">
        <v>47</v>
      </c>
      <c r="S81" s="11">
        <v>34</v>
      </c>
      <c r="T81" s="11">
        <v>43</v>
      </c>
      <c r="U81" s="11">
        <v>40</v>
      </c>
      <c r="V81" s="11">
        <v>40</v>
      </c>
      <c r="W81" s="11">
        <v>4</v>
      </c>
      <c r="X81" s="25" t="s">
        <v>886</v>
      </c>
    </row>
    <row r="82" spans="1:24" ht="14.25" customHeight="1" x14ac:dyDescent="0.25">
      <c r="A82" s="11"/>
      <c r="B82" s="11">
        <v>4</v>
      </c>
      <c r="C82" s="11" t="s">
        <v>148</v>
      </c>
      <c r="D82" s="11"/>
      <c r="E82" s="11">
        <v>23</v>
      </c>
      <c r="F82" s="11" t="s">
        <v>886</v>
      </c>
      <c r="G82" s="11" t="s">
        <v>148</v>
      </c>
      <c r="H82" s="11" t="s">
        <v>216</v>
      </c>
      <c r="I82" s="11" t="s">
        <v>104</v>
      </c>
      <c r="J82" s="11" t="s">
        <v>762</v>
      </c>
      <c r="K82" s="11" t="s">
        <v>841</v>
      </c>
      <c r="L82" s="11">
        <v>14</v>
      </c>
      <c r="M82" s="11">
        <v>4</v>
      </c>
      <c r="N82" s="11">
        <v>46</v>
      </c>
      <c r="O82" s="11">
        <v>43</v>
      </c>
      <c r="P82" s="11">
        <v>3</v>
      </c>
      <c r="Q82" s="11">
        <v>43</v>
      </c>
      <c r="R82" s="11">
        <v>48</v>
      </c>
      <c r="S82" s="11">
        <v>32</v>
      </c>
      <c r="T82" s="11">
        <v>54</v>
      </c>
      <c r="U82" s="11">
        <v>54</v>
      </c>
      <c r="V82" s="11">
        <v>45</v>
      </c>
      <c r="W82" s="11">
        <v>4</v>
      </c>
      <c r="X82" s="25" t="s">
        <v>1064</v>
      </c>
    </row>
    <row r="83" spans="1:24" ht="14.25" customHeight="1" x14ac:dyDescent="0.25">
      <c r="A83" s="11"/>
      <c r="B83" s="11">
        <v>9</v>
      </c>
      <c r="C83" s="11" t="s">
        <v>148</v>
      </c>
      <c r="D83" s="11"/>
      <c r="E83" s="11"/>
      <c r="F83" s="11" t="s">
        <v>886</v>
      </c>
      <c r="G83" s="11">
        <v>0</v>
      </c>
      <c r="H83" s="11" t="s">
        <v>308</v>
      </c>
      <c r="I83" s="11" t="s">
        <v>55</v>
      </c>
      <c r="J83" s="11" t="s">
        <v>760</v>
      </c>
      <c r="K83" s="11" t="s">
        <v>852</v>
      </c>
      <c r="L83" s="11">
        <v>12</v>
      </c>
      <c r="M83" s="11">
        <v>8</v>
      </c>
      <c r="N83" s="11">
        <v>86</v>
      </c>
      <c r="O83" s="11">
        <v>101</v>
      </c>
      <c r="P83" s="11">
        <v>-15</v>
      </c>
      <c r="Q83" s="11">
        <v>89</v>
      </c>
      <c r="R83" s="11">
        <v>79</v>
      </c>
      <c r="S83" s="11">
        <v>110</v>
      </c>
      <c r="T83" s="11">
        <v>112</v>
      </c>
      <c r="U83" s="11">
        <v>106</v>
      </c>
      <c r="V83" s="11">
        <v>97</v>
      </c>
      <c r="W83" s="11">
        <v>9</v>
      </c>
      <c r="X83" s="25" t="s">
        <v>886</v>
      </c>
    </row>
    <row r="84" spans="1:24" ht="14.25" customHeight="1" x14ac:dyDescent="0.25">
      <c r="A84" s="11"/>
      <c r="B84" s="11">
        <v>8</v>
      </c>
      <c r="C84" s="11" t="s">
        <v>148</v>
      </c>
      <c r="D84" s="11"/>
      <c r="E84" s="11"/>
      <c r="F84" s="11" t="s">
        <v>886</v>
      </c>
      <c r="G84" s="11">
        <v>0</v>
      </c>
      <c r="H84" s="11" t="s">
        <v>778</v>
      </c>
      <c r="I84" s="11" t="s">
        <v>55</v>
      </c>
      <c r="J84" s="11" t="s">
        <v>764</v>
      </c>
      <c r="K84" s="11" t="s">
        <v>845</v>
      </c>
      <c r="L84" s="11">
        <v>32</v>
      </c>
      <c r="M84" s="11">
        <v>6</v>
      </c>
      <c r="N84" s="11">
        <v>69</v>
      </c>
      <c r="O84" s="11">
        <v>59</v>
      </c>
      <c r="P84" s="11">
        <v>10</v>
      </c>
      <c r="Q84" s="11">
        <v>72</v>
      </c>
      <c r="R84" s="11">
        <v>93</v>
      </c>
      <c r="S84" s="11">
        <v>67</v>
      </c>
      <c r="T84" s="11">
        <v>94</v>
      </c>
      <c r="U84" s="11">
        <v>110</v>
      </c>
      <c r="V84" s="11">
        <v>80</v>
      </c>
      <c r="W84" s="11">
        <v>7</v>
      </c>
      <c r="X84" s="25" t="s">
        <v>1048</v>
      </c>
    </row>
    <row r="85" spans="1:24" ht="14.25" customHeight="1" x14ac:dyDescent="0.25">
      <c r="A85" s="11"/>
      <c r="B85" s="11">
        <v>6</v>
      </c>
      <c r="C85" s="11" t="s">
        <v>148</v>
      </c>
      <c r="D85" s="11"/>
      <c r="E85" s="11"/>
      <c r="F85" s="11" t="s">
        <v>886</v>
      </c>
      <c r="G85" s="11" t="s">
        <v>119</v>
      </c>
      <c r="H85" s="11" t="s">
        <v>349</v>
      </c>
      <c r="I85" s="11" t="s">
        <v>91</v>
      </c>
      <c r="J85" s="11" t="s">
        <v>769</v>
      </c>
      <c r="K85" s="11" t="s">
        <v>849</v>
      </c>
      <c r="L85" s="11">
        <v>7</v>
      </c>
      <c r="M85" s="11">
        <v>7</v>
      </c>
      <c r="N85" s="11">
        <v>79</v>
      </c>
      <c r="O85" s="11">
        <v>95</v>
      </c>
      <c r="P85" s="11">
        <v>-16</v>
      </c>
      <c r="Q85" s="11">
        <v>73</v>
      </c>
      <c r="R85" s="11">
        <v>73</v>
      </c>
      <c r="S85" s="11">
        <v>79</v>
      </c>
      <c r="T85" s="11">
        <v>77</v>
      </c>
      <c r="U85" s="11">
        <v>53</v>
      </c>
      <c r="V85" s="11">
        <v>75</v>
      </c>
      <c r="W85" s="11">
        <v>7</v>
      </c>
      <c r="X85" s="25" t="s">
        <v>886</v>
      </c>
    </row>
    <row r="86" spans="1:24" ht="14.25" customHeight="1" x14ac:dyDescent="0.25">
      <c r="A86" s="11"/>
      <c r="B86" s="11">
        <v>9</v>
      </c>
      <c r="C86" s="11" t="s">
        <v>148</v>
      </c>
      <c r="D86" s="11"/>
      <c r="E86" s="11"/>
      <c r="F86" s="11" t="s">
        <v>886</v>
      </c>
      <c r="G86" s="11">
        <v>0</v>
      </c>
      <c r="H86" s="11" t="s">
        <v>294</v>
      </c>
      <c r="I86" s="11" t="s">
        <v>72</v>
      </c>
      <c r="J86" s="11" t="s">
        <v>764</v>
      </c>
      <c r="K86" s="11" t="s">
        <v>884</v>
      </c>
      <c r="L86" s="11">
        <v>36</v>
      </c>
      <c r="M86" s="11">
        <v>8</v>
      </c>
      <c r="N86" s="11">
        <v>84</v>
      </c>
      <c r="O86" s="11">
        <v>74</v>
      </c>
      <c r="P86" s="11">
        <v>10</v>
      </c>
      <c r="Q86" s="11">
        <v>103</v>
      </c>
      <c r="R86" s="11">
        <v>110</v>
      </c>
      <c r="S86" s="11">
        <v>95</v>
      </c>
      <c r="T86" s="11">
        <v>81</v>
      </c>
      <c r="U86" s="11">
        <v>94</v>
      </c>
      <c r="V86" s="11">
        <v>91</v>
      </c>
      <c r="W86" s="11">
        <v>8</v>
      </c>
      <c r="X86" s="25" t="s">
        <v>886</v>
      </c>
    </row>
    <row r="87" spans="1:24" ht="14.25" customHeight="1" x14ac:dyDescent="0.25">
      <c r="A87" s="11"/>
      <c r="B87" s="11">
        <v>10</v>
      </c>
      <c r="C87" s="11" t="s">
        <v>148</v>
      </c>
      <c r="D87" s="11"/>
      <c r="E87" s="11"/>
      <c r="F87" s="11" t="s">
        <v>886</v>
      </c>
      <c r="G87" s="11">
        <v>0</v>
      </c>
      <c r="H87" s="11" t="s">
        <v>812</v>
      </c>
      <c r="I87" s="44" t="s">
        <v>145</v>
      </c>
      <c r="J87" s="11" t="s">
        <v>760</v>
      </c>
      <c r="K87" s="11" t="s">
        <v>852</v>
      </c>
      <c r="L87" s="11">
        <v>10</v>
      </c>
      <c r="M87" s="11">
        <v>9</v>
      </c>
      <c r="N87" s="11">
        <v>102</v>
      </c>
      <c r="O87" s="11">
        <v>109</v>
      </c>
      <c r="P87" s="11">
        <v>-7</v>
      </c>
      <c r="Q87" s="11">
        <v>116</v>
      </c>
      <c r="R87" s="11">
        <v>120</v>
      </c>
      <c r="S87" s="11">
        <v>119</v>
      </c>
      <c r="T87" s="11">
        <v>136</v>
      </c>
      <c r="U87" s="11">
        <v>63</v>
      </c>
      <c r="V87" s="11">
        <v>109</v>
      </c>
      <c r="W87" s="11">
        <v>10</v>
      </c>
      <c r="X87" s="25" t="s">
        <v>886</v>
      </c>
    </row>
    <row r="88" spans="1:24" ht="14.25" customHeight="1" x14ac:dyDescent="0.25">
      <c r="A88" s="11"/>
      <c r="B88" s="11">
        <v>8</v>
      </c>
      <c r="C88" s="11" t="s">
        <v>148</v>
      </c>
      <c r="D88" s="11"/>
      <c r="E88" s="11"/>
      <c r="F88" s="11" t="s">
        <v>886</v>
      </c>
      <c r="G88" s="11">
        <v>0</v>
      </c>
      <c r="H88" s="11" t="s">
        <v>335</v>
      </c>
      <c r="I88" s="44" t="s">
        <v>94</v>
      </c>
      <c r="J88" s="11" t="s">
        <v>764</v>
      </c>
      <c r="K88" s="11" t="s">
        <v>884</v>
      </c>
      <c r="L88" s="11">
        <v>35</v>
      </c>
      <c r="M88" s="11">
        <v>8</v>
      </c>
      <c r="N88" s="11">
        <v>87</v>
      </c>
      <c r="O88" s="11">
        <v>73</v>
      </c>
      <c r="P88" s="11">
        <v>14</v>
      </c>
      <c r="Q88" s="11">
        <v>85</v>
      </c>
      <c r="R88" s="11">
        <v>82</v>
      </c>
      <c r="S88" s="11">
        <v>87</v>
      </c>
      <c r="T88" s="11">
        <v>83</v>
      </c>
      <c r="U88" s="11">
        <v>119</v>
      </c>
      <c r="V88" s="11">
        <v>88</v>
      </c>
      <c r="W88" s="11">
        <v>8</v>
      </c>
      <c r="X88" s="25" t="s">
        <v>886</v>
      </c>
    </row>
    <row r="89" spans="1:24" ht="14.25" customHeight="1" x14ac:dyDescent="0.25">
      <c r="A89" s="11"/>
      <c r="B89" s="11">
        <v>7</v>
      </c>
      <c r="C89" s="11" t="s">
        <v>148</v>
      </c>
      <c r="D89" s="11"/>
      <c r="E89" s="11"/>
      <c r="F89" s="11" t="s">
        <v>886</v>
      </c>
      <c r="G89" s="11">
        <v>0</v>
      </c>
      <c r="H89" s="11" t="s">
        <v>429</v>
      </c>
      <c r="I89" s="11" t="s">
        <v>187</v>
      </c>
      <c r="J89" s="11" t="s">
        <v>764</v>
      </c>
      <c r="K89" s="11" t="s">
        <v>884</v>
      </c>
      <c r="L89" s="11">
        <v>37</v>
      </c>
      <c r="M89" s="11">
        <v>7</v>
      </c>
      <c r="N89" s="11">
        <v>81</v>
      </c>
      <c r="O89" s="11">
        <v>72</v>
      </c>
      <c r="P89" s="11">
        <v>9</v>
      </c>
      <c r="Q89" s="11">
        <v>69</v>
      </c>
      <c r="R89" s="11">
        <v>68</v>
      </c>
      <c r="S89" s="11">
        <v>74</v>
      </c>
      <c r="T89" s="11">
        <v>75</v>
      </c>
      <c r="U89" s="11">
        <v>98</v>
      </c>
      <c r="V89" s="11">
        <v>76</v>
      </c>
      <c r="W89" s="11">
        <v>7</v>
      </c>
      <c r="X89" s="25" t="s">
        <v>886</v>
      </c>
    </row>
    <row r="90" spans="1:24" ht="14.25" customHeight="1" x14ac:dyDescent="0.25">
      <c r="A90" s="11"/>
      <c r="B90" s="11">
        <v>7</v>
      </c>
      <c r="C90" s="11" t="s">
        <v>148</v>
      </c>
      <c r="D90" s="11"/>
      <c r="E90" s="11"/>
      <c r="F90" s="11" t="s">
        <v>886</v>
      </c>
      <c r="G90" s="11">
        <v>0</v>
      </c>
      <c r="H90" s="11" t="s">
        <v>318</v>
      </c>
      <c r="I90" s="11" t="s">
        <v>168</v>
      </c>
      <c r="J90" s="11" t="s">
        <v>760</v>
      </c>
      <c r="K90" s="11" t="s">
        <v>893</v>
      </c>
      <c r="L90" s="11">
        <v>7</v>
      </c>
      <c r="M90" s="11">
        <v>7</v>
      </c>
      <c r="N90" s="11">
        <v>83</v>
      </c>
      <c r="O90" s="11">
        <v>96</v>
      </c>
      <c r="P90" s="11">
        <v>-13</v>
      </c>
      <c r="Q90" s="11">
        <v>68</v>
      </c>
      <c r="R90" s="11">
        <v>66</v>
      </c>
      <c r="S90" s="11">
        <v>89</v>
      </c>
      <c r="T90" s="11">
        <v>79</v>
      </c>
      <c r="U90" s="11">
        <v>64</v>
      </c>
      <c r="V90" s="11">
        <v>77</v>
      </c>
      <c r="W90" s="11">
        <v>7</v>
      </c>
      <c r="X90" s="25" t="s">
        <v>886</v>
      </c>
    </row>
    <row r="91" spans="1:24" ht="14.25" customHeight="1" x14ac:dyDescent="0.25">
      <c r="A91" s="11"/>
      <c r="B91" s="11">
        <v>6</v>
      </c>
      <c r="C91" s="11" t="s">
        <v>148</v>
      </c>
      <c r="D91" s="11"/>
      <c r="E91" s="11"/>
      <c r="F91" s="11" t="s">
        <v>886</v>
      </c>
      <c r="G91" s="11" t="s">
        <v>119</v>
      </c>
      <c r="H91" s="11" t="s">
        <v>312</v>
      </c>
      <c r="I91" s="11" t="s">
        <v>85</v>
      </c>
      <c r="J91" s="11" t="s">
        <v>769</v>
      </c>
      <c r="K91" s="11" t="s">
        <v>849</v>
      </c>
      <c r="L91" s="11">
        <v>9</v>
      </c>
      <c r="M91" s="11">
        <v>7</v>
      </c>
      <c r="N91" s="11">
        <v>82</v>
      </c>
      <c r="O91" s="11">
        <v>91</v>
      </c>
      <c r="P91" s="11">
        <v>-9</v>
      </c>
      <c r="Q91" s="11">
        <v>61</v>
      </c>
      <c r="R91" s="11">
        <v>57</v>
      </c>
      <c r="S91" s="11">
        <v>63</v>
      </c>
      <c r="T91" s="11">
        <v>67</v>
      </c>
      <c r="U91" s="11">
        <v>58</v>
      </c>
      <c r="V91" s="11">
        <v>68</v>
      </c>
      <c r="W91" s="11">
        <v>6</v>
      </c>
      <c r="X91" s="25" t="s">
        <v>886</v>
      </c>
    </row>
    <row r="92" spans="1:24" ht="14.25" customHeight="1" x14ac:dyDescent="0.25">
      <c r="A92" s="11"/>
      <c r="B92" s="11">
        <v>9</v>
      </c>
      <c r="C92" s="11" t="s">
        <v>148</v>
      </c>
      <c r="D92" s="11"/>
      <c r="E92" s="11"/>
      <c r="F92" s="11" t="s">
        <v>886</v>
      </c>
      <c r="G92" s="11">
        <v>0</v>
      </c>
      <c r="H92" s="11" t="s">
        <v>254</v>
      </c>
      <c r="I92" s="11" t="s">
        <v>69</v>
      </c>
      <c r="J92" s="11" t="s">
        <v>760</v>
      </c>
      <c r="K92" s="11" t="s">
        <v>852</v>
      </c>
      <c r="L92" s="11">
        <v>11</v>
      </c>
      <c r="M92" s="11">
        <v>8</v>
      </c>
      <c r="N92" s="11">
        <v>88</v>
      </c>
      <c r="O92" s="11">
        <v>103</v>
      </c>
      <c r="P92" s="11">
        <v>-15</v>
      </c>
      <c r="Q92" s="11">
        <v>77</v>
      </c>
      <c r="R92" s="11">
        <v>99</v>
      </c>
      <c r="S92" s="11">
        <v>97</v>
      </c>
      <c r="T92" s="11">
        <v>117</v>
      </c>
      <c r="U92" s="11">
        <v>117</v>
      </c>
      <c r="V92" s="11">
        <v>99</v>
      </c>
      <c r="W92" s="11">
        <v>9</v>
      </c>
      <c r="X92" s="25" t="s">
        <v>886</v>
      </c>
    </row>
    <row r="93" spans="1:24" ht="14.25" customHeight="1" x14ac:dyDescent="0.25">
      <c r="A93" s="11"/>
      <c r="B93" s="11">
        <v>8</v>
      </c>
      <c r="C93" s="11" t="s">
        <v>148</v>
      </c>
      <c r="D93" s="11"/>
      <c r="E93" s="11"/>
      <c r="F93" s="11" t="s">
        <v>886</v>
      </c>
      <c r="G93" s="11">
        <v>0</v>
      </c>
      <c r="H93" s="11" t="s">
        <v>288</v>
      </c>
      <c r="I93" s="11" t="s">
        <v>104</v>
      </c>
      <c r="J93" s="11" t="s">
        <v>764</v>
      </c>
      <c r="K93" s="11" t="s">
        <v>884</v>
      </c>
      <c r="L93" s="11">
        <v>38</v>
      </c>
      <c r="M93" s="11">
        <v>7</v>
      </c>
      <c r="N93" s="11">
        <v>77</v>
      </c>
      <c r="O93" s="11">
        <v>69</v>
      </c>
      <c r="P93" s="11">
        <v>8</v>
      </c>
      <c r="Q93" s="11">
        <v>91</v>
      </c>
      <c r="R93" s="11">
        <v>88</v>
      </c>
      <c r="S93" s="11">
        <v>85</v>
      </c>
      <c r="T93" s="11">
        <v>89</v>
      </c>
      <c r="U93" s="11">
        <v>95</v>
      </c>
      <c r="V93" s="11">
        <v>84</v>
      </c>
      <c r="W93" s="11">
        <v>8</v>
      </c>
      <c r="X93" s="25" t="s">
        <v>886</v>
      </c>
    </row>
    <row r="94" spans="1:24" ht="14.25" customHeight="1" x14ac:dyDescent="0.25">
      <c r="A94" s="11"/>
      <c r="B94" s="11">
        <v>8</v>
      </c>
      <c r="C94" s="11" t="s">
        <v>148</v>
      </c>
      <c r="D94" s="11"/>
      <c r="E94" s="11">
        <v>8</v>
      </c>
      <c r="F94" s="11" t="s">
        <v>886</v>
      </c>
      <c r="G94" s="11" t="s">
        <v>148</v>
      </c>
      <c r="H94" s="11" t="s">
        <v>162</v>
      </c>
      <c r="I94" s="11" t="s">
        <v>163</v>
      </c>
      <c r="J94" s="11" t="s">
        <v>764</v>
      </c>
      <c r="K94" s="11" t="s">
        <v>845</v>
      </c>
      <c r="L94" s="11">
        <v>34</v>
      </c>
      <c r="M94" s="11">
        <v>7</v>
      </c>
      <c r="N94" s="11">
        <v>72</v>
      </c>
      <c r="O94" s="11">
        <v>56</v>
      </c>
      <c r="P94" s="11">
        <v>16</v>
      </c>
      <c r="Q94" s="11">
        <v>80</v>
      </c>
      <c r="R94" s="11">
        <v>83</v>
      </c>
      <c r="S94" s="11">
        <v>61</v>
      </c>
      <c r="T94" s="11">
        <v>101</v>
      </c>
      <c r="U94" s="11">
        <v>120</v>
      </c>
      <c r="V94" s="11">
        <v>81</v>
      </c>
      <c r="W94" s="11">
        <v>7</v>
      </c>
      <c r="X94" s="25" t="s">
        <v>1061</v>
      </c>
    </row>
    <row r="95" spans="1:24" ht="14.25" customHeight="1" x14ac:dyDescent="0.25">
      <c r="A95" s="11"/>
      <c r="B95" s="11">
        <v>10</v>
      </c>
      <c r="C95" s="11" t="s">
        <v>148</v>
      </c>
      <c r="D95" s="11"/>
      <c r="E95" s="11"/>
      <c r="F95" s="11" t="s">
        <v>886</v>
      </c>
      <c r="G95" s="11">
        <v>0</v>
      </c>
      <c r="H95" s="11" t="s">
        <v>458</v>
      </c>
      <c r="I95" s="11" t="s">
        <v>55</v>
      </c>
      <c r="J95" s="11" t="s">
        <v>764</v>
      </c>
      <c r="K95" s="11" t="s">
        <v>851</v>
      </c>
      <c r="L95" s="11">
        <v>40</v>
      </c>
      <c r="M95" s="11">
        <v>8</v>
      </c>
      <c r="N95" s="11">
        <v>93</v>
      </c>
      <c r="O95" s="11">
        <v>76</v>
      </c>
      <c r="P95" s="11">
        <v>17</v>
      </c>
      <c r="Q95" s="11">
        <v>119</v>
      </c>
      <c r="R95" s="11">
        <v>115</v>
      </c>
      <c r="S95" s="11">
        <v>98</v>
      </c>
      <c r="T95" s="11">
        <v>102</v>
      </c>
      <c r="U95" s="11">
        <v>111</v>
      </c>
      <c r="V95" s="11">
        <v>102</v>
      </c>
      <c r="W95" s="11">
        <v>9</v>
      </c>
      <c r="X95" s="25" t="s">
        <v>886</v>
      </c>
    </row>
    <row r="96" spans="1:24" ht="14.25" customHeight="1" x14ac:dyDescent="0.25">
      <c r="A96" s="11"/>
      <c r="B96" s="11">
        <v>6</v>
      </c>
      <c r="C96" s="11" t="s">
        <v>148</v>
      </c>
      <c r="D96" s="11"/>
      <c r="E96" s="11"/>
      <c r="F96" s="11" t="s">
        <v>886</v>
      </c>
      <c r="G96" s="11">
        <v>0</v>
      </c>
      <c r="H96" s="11" t="s">
        <v>364</v>
      </c>
      <c r="I96" s="44" t="s">
        <v>163</v>
      </c>
      <c r="J96" s="11" t="s">
        <v>760</v>
      </c>
      <c r="K96" s="11" t="s">
        <v>893</v>
      </c>
      <c r="L96" s="11">
        <v>6</v>
      </c>
      <c r="M96" s="11">
        <v>8</v>
      </c>
      <c r="N96" s="11">
        <v>90</v>
      </c>
      <c r="O96" s="11">
        <v>93</v>
      </c>
      <c r="P96" s="11">
        <v>-3</v>
      </c>
      <c r="Q96" s="11">
        <v>54</v>
      </c>
      <c r="R96" s="11">
        <v>52</v>
      </c>
      <c r="S96" s="11">
        <v>92</v>
      </c>
      <c r="T96" s="11">
        <v>71</v>
      </c>
      <c r="U96" s="11">
        <v>61</v>
      </c>
      <c r="V96" s="11">
        <v>73</v>
      </c>
      <c r="W96" s="11">
        <v>7</v>
      </c>
      <c r="X96" s="25" t="s">
        <v>886</v>
      </c>
    </row>
    <row r="97" spans="1:24" ht="14.25" customHeight="1" x14ac:dyDescent="0.25">
      <c r="A97" s="11"/>
      <c r="B97" s="11">
        <v>7</v>
      </c>
      <c r="C97" s="11" t="s">
        <v>148</v>
      </c>
      <c r="D97" s="11"/>
      <c r="E97" s="11"/>
      <c r="F97" s="11" t="s">
        <v>886</v>
      </c>
      <c r="G97" s="11" t="s">
        <v>119</v>
      </c>
      <c r="H97" s="11" t="s">
        <v>648</v>
      </c>
      <c r="I97" s="60" t="s">
        <v>168</v>
      </c>
      <c r="J97" s="11" t="s">
        <v>769</v>
      </c>
      <c r="K97" s="11" t="s">
        <v>849</v>
      </c>
      <c r="L97" s="11">
        <v>8</v>
      </c>
      <c r="M97" s="11">
        <v>8</v>
      </c>
      <c r="N97" s="11">
        <v>92</v>
      </c>
      <c r="O97" s="11">
        <v>107</v>
      </c>
      <c r="P97" s="11">
        <v>-15</v>
      </c>
      <c r="Q97" s="11">
        <v>97</v>
      </c>
      <c r="R97" s="11">
        <v>78</v>
      </c>
      <c r="S97" s="11">
        <v>75</v>
      </c>
      <c r="T97" s="11">
        <v>87</v>
      </c>
      <c r="U97" s="11">
        <v>74</v>
      </c>
      <c r="V97" s="11">
        <v>87</v>
      </c>
      <c r="W97" s="11">
        <v>8</v>
      </c>
      <c r="X97" s="25" t="s">
        <v>886</v>
      </c>
    </row>
    <row r="98" spans="1:24" ht="14.25" customHeight="1" x14ac:dyDescent="0.25">
      <c r="A98" s="11"/>
      <c r="B98" s="11">
        <v>8</v>
      </c>
      <c r="C98" s="11" t="s">
        <v>148</v>
      </c>
      <c r="D98" s="11"/>
      <c r="E98" s="11"/>
      <c r="F98" s="11" t="s">
        <v>886</v>
      </c>
      <c r="G98" s="11">
        <v>0</v>
      </c>
      <c r="H98" s="11" t="s">
        <v>355</v>
      </c>
      <c r="I98" s="11" t="s">
        <v>123</v>
      </c>
      <c r="J98" s="11" t="s">
        <v>760</v>
      </c>
      <c r="K98" s="11" t="s">
        <v>893</v>
      </c>
      <c r="L98" s="11">
        <v>8</v>
      </c>
      <c r="M98" s="11">
        <v>9</v>
      </c>
      <c r="N98" s="11">
        <v>98</v>
      </c>
      <c r="O98" s="11">
        <v>98</v>
      </c>
      <c r="P98" s="11">
        <v>0</v>
      </c>
      <c r="Q98" s="11">
        <v>82</v>
      </c>
      <c r="R98" s="11">
        <v>77</v>
      </c>
      <c r="S98" s="11">
        <v>105</v>
      </c>
      <c r="T98" s="11">
        <v>91</v>
      </c>
      <c r="U98" s="11">
        <v>81</v>
      </c>
      <c r="V98" s="11">
        <v>90</v>
      </c>
      <c r="W98" s="11">
        <v>8</v>
      </c>
      <c r="X98" s="25" t="s">
        <v>886</v>
      </c>
    </row>
    <row r="99" spans="1:24" ht="14.25" customHeight="1" x14ac:dyDescent="0.25">
      <c r="A99" s="11"/>
      <c r="B99" s="11">
        <v>7</v>
      </c>
      <c r="C99" s="11" t="s">
        <v>148</v>
      </c>
      <c r="D99" s="11"/>
      <c r="E99" s="11"/>
      <c r="F99" s="11" t="s">
        <v>886</v>
      </c>
      <c r="G99" s="11">
        <v>0</v>
      </c>
      <c r="H99" s="11" t="s">
        <v>555</v>
      </c>
      <c r="I99" s="11" t="s">
        <v>187</v>
      </c>
      <c r="J99" s="11" t="s">
        <v>769</v>
      </c>
      <c r="K99" s="11" t="s">
        <v>849</v>
      </c>
      <c r="L99" s="11">
        <v>10</v>
      </c>
      <c r="M99" s="11">
        <v>9</v>
      </c>
      <c r="N99" s="11">
        <v>97</v>
      </c>
      <c r="O99" s="11">
        <v>118</v>
      </c>
      <c r="P99" s="11">
        <v>-21</v>
      </c>
      <c r="Q99" s="11">
        <v>74</v>
      </c>
      <c r="R99" s="11">
        <v>72</v>
      </c>
      <c r="S99" s="11">
        <v>76</v>
      </c>
      <c r="T99" s="11">
        <v>92</v>
      </c>
      <c r="U99" s="11">
        <v>85</v>
      </c>
      <c r="V99" s="11">
        <v>87</v>
      </c>
      <c r="W99" s="11">
        <v>8</v>
      </c>
      <c r="X99" s="25" t="s">
        <v>886</v>
      </c>
    </row>
    <row r="100" spans="1:24" ht="14.25" customHeight="1" x14ac:dyDescent="0.25">
      <c r="A100" s="11"/>
      <c r="B100" s="44">
        <v>3</v>
      </c>
      <c r="C100" s="11" t="s">
        <v>148</v>
      </c>
      <c r="D100" s="11"/>
      <c r="E100" s="11">
        <v>20</v>
      </c>
      <c r="F100" s="11" t="s">
        <v>886</v>
      </c>
      <c r="G100" s="11">
        <v>0</v>
      </c>
      <c r="H100" s="11" t="s">
        <v>65</v>
      </c>
      <c r="I100" s="11" t="s">
        <v>66</v>
      </c>
      <c r="J100" s="11" t="s">
        <v>762</v>
      </c>
      <c r="K100" s="11" t="s">
        <v>841</v>
      </c>
      <c r="L100" s="11">
        <v>15</v>
      </c>
      <c r="M100" s="11">
        <v>3</v>
      </c>
      <c r="N100" s="11">
        <v>34</v>
      </c>
      <c r="O100" s="11">
        <v>39</v>
      </c>
      <c r="P100" s="11">
        <v>-5</v>
      </c>
      <c r="Q100" s="11">
        <v>26</v>
      </c>
      <c r="R100" s="11">
        <v>32</v>
      </c>
      <c r="S100" s="11">
        <v>33</v>
      </c>
      <c r="T100" s="11">
        <v>30</v>
      </c>
      <c r="U100" s="11">
        <v>30</v>
      </c>
      <c r="V100" s="11">
        <v>32</v>
      </c>
      <c r="W100" s="11">
        <v>3</v>
      </c>
      <c r="X100" s="25" t="s">
        <v>886</v>
      </c>
    </row>
    <row r="101" spans="1:24" ht="14.25" customHeight="1" x14ac:dyDescent="0.25">
      <c r="A101" s="11"/>
      <c r="B101" s="11">
        <v>9</v>
      </c>
      <c r="C101" s="11" t="s">
        <v>148</v>
      </c>
      <c r="D101" s="11"/>
      <c r="E101" s="11"/>
      <c r="F101" s="11" t="s">
        <v>886</v>
      </c>
      <c r="G101" s="11" t="s">
        <v>148</v>
      </c>
      <c r="H101" s="11" t="s">
        <v>237</v>
      </c>
      <c r="I101" s="11" t="s">
        <v>214</v>
      </c>
      <c r="J101" s="11" t="s">
        <v>769</v>
      </c>
      <c r="K101" s="11" t="s">
        <v>891</v>
      </c>
      <c r="L101" s="11">
        <v>12</v>
      </c>
      <c r="M101" s="11">
        <v>8</v>
      </c>
      <c r="N101" s="11">
        <v>85</v>
      </c>
      <c r="O101" s="11">
        <v>112</v>
      </c>
      <c r="P101" s="11">
        <v>-27</v>
      </c>
      <c r="Q101" s="11">
        <v>114</v>
      </c>
      <c r="R101" s="11">
        <v>106</v>
      </c>
      <c r="S101" s="11">
        <v>91</v>
      </c>
      <c r="T101" s="11">
        <v>105</v>
      </c>
      <c r="U101" s="11">
        <v>116</v>
      </c>
      <c r="V101" s="11">
        <v>104</v>
      </c>
      <c r="W101" s="11">
        <v>9</v>
      </c>
      <c r="X101" s="25" t="s">
        <v>886</v>
      </c>
    </row>
    <row r="102" spans="1:24" ht="14.25" customHeight="1" x14ac:dyDescent="0.25">
      <c r="A102" s="11"/>
      <c r="B102" s="11">
        <v>4</v>
      </c>
      <c r="C102" s="11" t="s">
        <v>148</v>
      </c>
      <c r="D102" s="11"/>
      <c r="E102" s="11">
        <v>17</v>
      </c>
      <c r="F102" s="11" t="s">
        <v>886</v>
      </c>
      <c r="G102" s="11">
        <v>0</v>
      </c>
      <c r="H102" s="11" t="s">
        <v>143</v>
      </c>
      <c r="I102" s="11" t="s">
        <v>145</v>
      </c>
      <c r="J102" s="11" t="s">
        <v>762</v>
      </c>
      <c r="K102" s="11" t="s">
        <v>841</v>
      </c>
      <c r="L102" s="11">
        <v>16</v>
      </c>
      <c r="M102" s="11">
        <v>5</v>
      </c>
      <c r="N102" s="11">
        <v>50</v>
      </c>
      <c r="O102" s="11">
        <v>46</v>
      </c>
      <c r="P102" s="11">
        <v>4</v>
      </c>
      <c r="Q102" s="11">
        <v>41</v>
      </c>
      <c r="R102" s="11">
        <v>51</v>
      </c>
      <c r="S102" s="11">
        <v>42</v>
      </c>
      <c r="T102" s="11">
        <v>32</v>
      </c>
      <c r="U102" s="11">
        <v>31</v>
      </c>
      <c r="V102" s="11">
        <v>41</v>
      </c>
      <c r="W102" s="11">
        <v>4</v>
      </c>
      <c r="X102" s="25" t="s">
        <v>886</v>
      </c>
    </row>
    <row r="103" spans="1:24" ht="14.25" customHeight="1" x14ac:dyDescent="0.25">
      <c r="A103" s="11"/>
      <c r="B103" s="11">
        <v>4</v>
      </c>
      <c r="C103" s="11" t="s">
        <v>148</v>
      </c>
      <c r="D103" s="11"/>
      <c r="E103" s="11">
        <v>18</v>
      </c>
      <c r="F103" s="11" t="s">
        <v>886</v>
      </c>
      <c r="G103" s="11">
        <v>0</v>
      </c>
      <c r="H103" s="11" t="s">
        <v>280</v>
      </c>
      <c r="I103" s="11" t="s">
        <v>160</v>
      </c>
      <c r="J103" s="11" t="s">
        <v>762</v>
      </c>
      <c r="K103" s="11" t="s">
        <v>841</v>
      </c>
      <c r="L103" s="11">
        <v>17</v>
      </c>
      <c r="M103" s="11">
        <v>4</v>
      </c>
      <c r="N103" s="11">
        <v>40</v>
      </c>
      <c r="O103" s="11">
        <v>54</v>
      </c>
      <c r="P103" s="11">
        <v>-14</v>
      </c>
      <c r="Q103" s="11">
        <v>44</v>
      </c>
      <c r="R103" s="11">
        <v>40</v>
      </c>
      <c r="S103" s="11">
        <v>47</v>
      </c>
      <c r="T103" s="11">
        <v>45</v>
      </c>
      <c r="U103" s="11">
        <v>55</v>
      </c>
      <c r="V103" s="11">
        <v>46</v>
      </c>
      <c r="W103" s="11">
        <v>4</v>
      </c>
      <c r="X103" s="25" t="s">
        <v>886</v>
      </c>
    </row>
    <row r="104" spans="1:24" ht="14.25" customHeight="1" x14ac:dyDescent="0.25">
      <c r="A104" s="11"/>
      <c r="B104" s="11">
        <v>4</v>
      </c>
      <c r="C104" s="11" t="s">
        <v>148</v>
      </c>
      <c r="D104" s="11"/>
      <c r="E104" s="11">
        <v>17</v>
      </c>
      <c r="F104" s="11" t="s">
        <v>886</v>
      </c>
      <c r="G104" s="11">
        <v>0</v>
      </c>
      <c r="H104" s="11" t="s">
        <v>417</v>
      </c>
      <c r="I104" s="11" t="s">
        <v>129</v>
      </c>
      <c r="J104" s="11" t="s">
        <v>762</v>
      </c>
      <c r="K104" s="11" t="s">
        <v>841</v>
      </c>
      <c r="L104" s="11">
        <v>18</v>
      </c>
      <c r="M104" s="11">
        <v>4</v>
      </c>
      <c r="N104" s="11">
        <v>41</v>
      </c>
      <c r="O104" s="11">
        <v>58</v>
      </c>
      <c r="P104" s="11">
        <v>-17</v>
      </c>
      <c r="Q104" s="11">
        <v>28</v>
      </c>
      <c r="R104" s="11">
        <v>38</v>
      </c>
      <c r="S104" s="11">
        <v>37</v>
      </c>
      <c r="T104" s="11">
        <v>40</v>
      </c>
      <c r="U104" s="11">
        <v>44</v>
      </c>
      <c r="V104" s="11">
        <v>40</v>
      </c>
      <c r="W104" s="11">
        <v>4</v>
      </c>
      <c r="X104" s="25" t="s">
        <v>886</v>
      </c>
    </row>
    <row r="105" spans="1:24" ht="14.25" customHeight="1" x14ac:dyDescent="0.25">
      <c r="A105" s="11"/>
      <c r="B105" s="11">
        <v>11</v>
      </c>
      <c r="C105" s="11" t="s">
        <v>148</v>
      </c>
      <c r="D105" s="11"/>
      <c r="E105" s="11">
        <v>3</v>
      </c>
      <c r="F105" s="11" t="s">
        <v>886</v>
      </c>
      <c r="G105" s="11">
        <v>0</v>
      </c>
      <c r="H105" s="11" t="s">
        <v>204</v>
      </c>
      <c r="I105" s="11" t="s">
        <v>104</v>
      </c>
      <c r="J105" s="11" t="s">
        <v>760</v>
      </c>
      <c r="K105" s="11" t="s">
        <v>895</v>
      </c>
      <c r="L105" s="11">
        <v>14</v>
      </c>
      <c r="M105" s="11">
        <v>9</v>
      </c>
      <c r="N105" s="11">
        <v>99</v>
      </c>
      <c r="O105" s="11">
        <v>110</v>
      </c>
      <c r="P105" s="11">
        <v>-11</v>
      </c>
      <c r="Q105" s="11">
        <v>130</v>
      </c>
      <c r="R105" s="11">
        <v>124</v>
      </c>
      <c r="S105" s="11">
        <v>117</v>
      </c>
      <c r="T105" s="11">
        <v>127</v>
      </c>
      <c r="U105" s="11">
        <v>144</v>
      </c>
      <c r="V105" s="11">
        <v>121</v>
      </c>
      <c r="W105" s="11">
        <v>11</v>
      </c>
      <c r="X105" s="25" t="s">
        <v>886</v>
      </c>
    </row>
    <row r="106" spans="1:24" ht="14.25" customHeight="1" x14ac:dyDescent="0.25">
      <c r="A106" s="11"/>
      <c r="B106" s="11">
        <v>10</v>
      </c>
      <c r="C106" s="11" t="s">
        <v>148</v>
      </c>
      <c r="D106" s="11"/>
      <c r="E106" s="11">
        <v>3</v>
      </c>
      <c r="F106" s="11" t="s">
        <v>886</v>
      </c>
      <c r="G106" s="11">
        <v>0</v>
      </c>
      <c r="H106" s="11" t="s">
        <v>241</v>
      </c>
      <c r="I106" s="44" t="s">
        <v>155</v>
      </c>
      <c r="J106" s="11" t="s">
        <v>760</v>
      </c>
      <c r="K106" s="11" t="s">
        <v>895</v>
      </c>
      <c r="L106" s="11">
        <v>13</v>
      </c>
      <c r="M106" s="11">
        <v>9</v>
      </c>
      <c r="N106" s="11">
        <v>103</v>
      </c>
      <c r="O106" s="11">
        <v>113</v>
      </c>
      <c r="P106" s="11">
        <v>-10</v>
      </c>
      <c r="Q106" s="11">
        <v>120</v>
      </c>
      <c r="R106" s="11">
        <v>112</v>
      </c>
      <c r="S106" s="11">
        <v>124</v>
      </c>
      <c r="T106" s="11">
        <v>126</v>
      </c>
      <c r="U106" s="11">
        <v>114</v>
      </c>
      <c r="V106" s="11">
        <v>116</v>
      </c>
      <c r="W106" s="11">
        <v>10</v>
      </c>
      <c r="X106" s="25" t="s">
        <v>886</v>
      </c>
    </row>
    <row r="107" spans="1:24" ht="14.25" customHeight="1" x14ac:dyDescent="0.25">
      <c r="A107" s="11"/>
      <c r="B107" s="11">
        <v>8</v>
      </c>
      <c r="C107" s="11" t="s">
        <v>148</v>
      </c>
      <c r="D107" s="11"/>
      <c r="E107" s="11"/>
      <c r="F107" s="11" t="s">
        <v>886</v>
      </c>
      <c r="G107" s="11" t="s">
        <v>148</v>
      </c>
      <c r="H107" s="11" t="s">
        <v>362</v>
      </c>
      <c r="I107" s="11" t="s">
        <v>184</v>
      </c>
      <c r="J107" s="11" t="s">
        <v>764</v>
      </c>
      <c r="K107" s="11" t="s">
        <v>851</v>
      </c>
      <c r="L107" s="11">
        <v>41</v>
      </c>
      <c r="M107" s="11">
        <v>8</v>
      </c>
      <c r="N107" s="11">
        <v>94</v>
      </c>
      <c r="O107" s="11">
        <v>65</v>
      </c>
      <c r="P107" s="11">
        <v>29</v>
      </c>
      <c r="Q107" s="11">
        <v>75</v>
      </c>
      <c r="R107" s="11">
        <v>95</v>
      </c>
      <c r="S107" s="11">
        <v>83</v>
      </c>
      <c r="T107" s="11">
        <v>84</v>
      </c>
      <c r="U107" s="11">
        <v>96</v>
      </c>
      <c r="V107" s="11">
        <v>84</v>
      </c>
      <c r="W107" s="11">
        <v>8</v>
      </c>
      <c r="X107" s="25" t="s">
        <v>1065</v>
      </c>
    </row>
    <row r="108" spans="1:24" ht="14.25" customHeight="1" x14ac:dyDescent="0.25">
      <c r="A108" s="11"/>
      <c r="B108" s="11">
        <v>4</v>
      </c>
      <c r="C108" s="11" t="s">
        <v>148</v>
      </c>
      <c r="D108" s="11"/>
      <c r="E108" s="11">
        <v>17</v>
      </c>
      <c r="F108" s="11" t="s">
        <v>886</v>
      </c>
      <c r="G108" s="11">
        <v>0</v>
      </c>
      <c r="H108" s="11" t="s">
        <v>562</v>
      </c>
      <c r="I108" s="11" t="s">
        <v>123</v>
      </c>
      <c r="J108" s="11" t="s">
        <v>762</v>
      </c>
      <c r="K108" s="11" t="s">
        <v>841</v>
      </c>
      <c r="L108" s="11">
        <v>19</v>
      </c>
      <c r="M108" s="11">
        <v>4</v>
      </c>
      <c r="N108" s="11">
        <v>44</v>
      </c>
      <c r="O108" s="11">
        <v>62</v>
      </c>
      <c r="P108" s="11">
        <v>-18</v>
      </c>
      <c r="Q108" s="11">
        <v>42</v>
      </c>
      <c r="R108" s="11">
        <v>46</v>
      </c>
      <c r="S108" s="11">
        <v>49</v>
      </c>
      <c r="T108" s="11">
        <v>47</v>
      </c>
      <c r="U108" s="11">
        <v>49</v>
      </c>
      <c r="V108" s="11">
        <v>48</v>
      </c>
      <c r="W108" s="11">
        <v>5</v>
      </c>
      <c r="X108" s="25" t="s">
        <v>886</v>
      </c>
    </row>
    <row r="109" spans="1:24" ht="14.25" customHeight="1" x14ac:dyDescent="0.25">
      <c r="A109" s="11"/>
      <c r="B109" s="11">
        <v>11</v>
      </c>
      <c r="C109" s="11" t="s">
        <v>148</v>
      </c>
      <c r="D109" s="11"/>
      <c r="E109" s="11"/>
      <c r="F109" s="11" t="s">
        <v>886</v>
      </c>
      <c r="G109" s="11" t="s">
        <v>119</v>
      </c>
      <c r="H109" s="11" t="s">
        <v>290</v>
      </c>
      <c r="I109" s="11" t="s">
        <v>60</v>
      </c>
      <c r="J109" s="11" t="s">
        <v>764</v>
      </c>
      <c r="K109" s="11" t="s">
        <v>873</v>
      </c>
      <c r="L109" s="11">
        <v>46</v>
      </c>
      <c r="M109" s="11">
        <v>9</v>
      </c>
      <c r="N109" s="11">
        <v>107</v>
      </c>
      <c r="O109" s="11">
        <v>83</v>
      </c>
      <c r="P109" s="11">
        <v>24</v>
      </c>
      <c r="Q109" s="11">
        <v>129</v>
      </c>
      <c r="R109" s="11">
        <v>135</v>
      </c>
      <c r="S109" s="11">
        <v>112</v>
      </c>
      <c r="T109" s="11">
        <v>106</v>
      </c>
      <c r="U109" s="11">
        <v>141</v>
      </c>
      <c r="V109" s="11">
        <v>116</v>
      </c>
      <c r="W109" s="11">
        <v>10</v>
      </c>
      <c r="X109" s="25" t="s">
        <v>886</v>
      </c>
    </row>
    <row r="110" spans="1:24" ht="14.25" customHeight="1" x14ac:dyDescent="0.25">
      <c r="A110" s="11"/>
      <c r="B110" s="11">
        <v>12</v>
      </c>
      <c r="C110" s="11" t="s">
        <v>148</v>
      </c>
      <c r="D110" s="11"/>
      <c r="E110" s="11"/>
      <c r="F110" s="11" t="s">
        <v>886</v>
      </c>
      <c r="G110" s="11">
        <v>0</v>
      </c>
      <c r="H110" s="11" t="s">
        <v>296</v>
      </c>
      <c r="I110" s="44" t="s">
        <v>214</v>
      </c>
      <c r="J110" s="11" t="s">
        <v>764</v>
      </c>
      <c r="K110" s="11" t="s">
        <v>873</v>
      </c>
      <c r="L110" s="11">
        <v>43</v>
      </c>
      <c r="M110" s="11">
        <v>10</v>
      </c>
      <c r="N110" s="11">
        <v>110</v>
      </c>
      <c r="O110" s="11">
        <v>86</v>
      </c>
      <c r="P110" s="11">
        <v>24</v>
      </c>
      <c r="Q110" s="11">
        <v>134</v>
      </c>
      <c r="R110" s="11">
        <v>128</v>
      </c>
      <c r="S110" s="11">
        <v>116</v>
      </c>
      <c r="T110" s="11">
        <v>99</v>
      </c>
      <c r="U110" s="11">
        <v>134</v>
      </c>
      <c r="V110" s="11">
        <v>115</v>
      </c>
      <c r="W110" s="11">
        <v>10</v>
      </c>
      <c r="X110" s="25" t="s">
        <v>886</v>
      </c>
    </row>
    <row r="111" spans="1:24" ht="14.25" customHeight="1" x14ac:dyDescent="0.25">
      <c r="A111" s="11"/>
      <c r="B111" s="11">
        <v>9</v>
      </c>
      <c r="C111" s="11" t="s">
        <v>148</v>
      </c>
      <c r="D111" s="11"/>
      <c r="E111" s="11"/>
      <c r="F111" s="11" t="s">
        <v>886</v>
      </c>
      <c r="G111" s="11">
        <v>0</v>
      </c>
      <c r="H111" s="11" t="s">
        <v>366</v>
      </c>
      <c r="I111" s="11" t="s">
        <v>66</v>
      </c>
      <c r="J111" s="11" t="s">
        <v>764</v>
      </c>
      <c r="K111" s="11" t="s">
        <v>873</v>
      </c>
      <c r="L111" s="11">
        <v>45</v>
      </c>
      <c r="M111" s="11">
        <v>9</v>
      </c>
      <c r="N111" s="11">
        <v>106</v>
      </c>
      <c r="O111" s="11">
        <v>81</v>
      </c>
      <c r="P111" s="11">
        <v>25</v>
      </c>
      <c r="Q111" s="11">
        <v>118</v>
      </c>
      <c r="R111" s="11">
        <v>108</v>
      </c>
      <c r="S111" s="11">
        <v>103</v>
      </c>
      <c r="T111" s="11">
        <v>93</v>
      </c>
      <c r="U111" s="11">
        <v>102</v>
      </c>
      <c r="V111" s="11">
        <v>101</v>
      </c>
      <c r="W111" s="11">
        <v>9</v>
      </c>
      <c r="X111" s="25" t="s">
        <v>886</v>
      </c>
    </row>
    <row r="112" spans="1:24" ht="14.25" customHeight="1" x14ac:dyDescent="0.25">
      <c r="A112" s="11"/>
      <c r="B112" s="11">
        <v>10</v>
      </c>
      <c r="C112" s="11" t="s">
        <v>148</v>
      </c>
      <c r="D112" s="11"/>
      <c r="E112" s="11"/>
      <c r="F112" s="11" t="s">
        <v>886</v>
      </c>
      <c r="G112" s="11">
        <v>0</v>
      </c>
      <c r="H112" s="11" t="s">
        <v>262</v>
      </c>
      <c r="I112" s="69" t="s">
        <v>88</v>
      </c>
      <c r="J112" s="11" t="s">
        <v>760</v>
      </c>
      <c r="K112" s="11" t="s">
        <v>889</v>
      </c>
      <c r="L112" s="11">
        <v>17</v>
      </c>
      <c r="M112" s="11">
        <v>9</v>
      </c>
      <c r="N112" s="11">
        <v>105</v>
      </c>
      <c r="O112" s="11">
        <v>126</v>
      </c>
      <c r="P112" s="11">
        <v>-21</v>
      </c>
      <c r="Q112" s="11">
        <v>122</v>
      </c>
      <c r="R112" s="11">
        <v>91</v>
      </c>
      <c r="S112" s="11">
        <v>135</v>
      </c>
      <c r="T112" s="11">
        <v>109</v>
      </c>
      <c r="U112" s="11">
        <v>124</v>
      </c>
      <c r="V112" s="11">
        <v>116</v>
      </c>
      <c r="W112" s="11">
        <v>10</v>
      </c>
      <c r="X112" s="25" t="s">
        <v>886</v>
      </c>
    </row>
    <row r="113" spans="1:24" ht="14.25" customHeight="1" x14ac:dyDescent="0.25">
      <c r="A113" s="11"/>
      <c r="B113" s="11">
        <v>8</v>
      </c>
      <c r="C113" s="11" t="s">
        <v>148</v>
      </c>
      <c r="D113" s="11"/>
      <c r="E113" s="11">
        <v>8</v>
      </c>
      <c r="F113" s="11" t="s">
        <v>886</v>
      </c>
      <c r="G113" s="11" t="s">
        <v>148</v>
      </c>
      <c r="H113" s="11" t="s">
        <v>320</v>
      </c>
      <c r="I113" s="11" t="s">
        <v>214</v>
      </c>
      <c r="J113" s="11" t="s">
        <v>764</v>
      </c>
      <c r="K113" s="11" t="s">
        <v>851</v>
      </c>
      <c r="L113" s="11">
        <v>39</v>
      </c>
      <c r="M113" s="11">
        <v>8</v>
      </c>
      <c r="N113" s="11">
        <v>91</v>
      </c>
      <c r="O113" s="11">
        <v>66</v>
      </c>
      <c r="P113" s="11">
        <v>25</v>
      </c>
      <c r="Q113" s="11">
        <v>100</v>
      </c>
      <c r="R113" s="11">
        <v>80</v>
      </c>
      <c r="S113" s="11">
        <v>81</v>
      </c>
      <c r="T113" s="11">
        <v>95</v>
      </c>
      <c r="U113" s="11">
        <v>115</v>
      </c>
      <c r="V113" s="11">
        <v>89</v>
      </c>
      <c r="W113" s="11">
        <v>8</v>
      </c>
      <c r="X113" s="25" t="s">
        <v>1061</v>
      </c>
    </row>
    <row r="114" spans="1:24" ht="14.25" customHeight="1" x14ac:dyDescent="0.25">
      <c r="A114" s="11"/>
      <c r="B114" s="11">
        <v>9</v>
      </c>
      <c r="C114" s="11" t="s">
        <v>148</v>
      </c>
      <c r="D114" s="11"/>
      <c r="E114" s="11"/>
      <c r="F114" s="11" t="s">
        <v>886</v>
      </c>
      <c r="G114" s="11">
        <v>0</v>
      </c>
      <c r="H114" s="11" t="s">
        <v>264</v>
      </c>
      <c r="I114" s="11" t="s">
        <v>163</v>
      </c>
      <c r="J114" s="11" t="s">
        <v>764</v>
      </c>
      <c r="K114" s="11" t="s">
        <v>851</v>
      </c>
      <c r="L114" s="11">
        <v>42</v>
      </c>
      <c r="M114" s="11">
        <v>11</v>
      </c>
      <c r="N114" s="11">
        <v>127</v>
      </c>
      <c r="O114" s="11">
        <v>104</v>
      </c>
      <c r="P114" s="11">
        <v>23</v>
      </c>
      <c r="Q114" s="11">
        <v>107</v>
      </c>
      <c r="R114" s="11">
        <v>102</v>
      </c>
      <c r="S114" s="11">
        <v>118</v>
      </c>
      <c r="T114" s="11">
        <v>90</v>
      </c>
      <c r="U114" s="11">
        <v>90</v>
      </c>
      <c r="V114" s="11">
        <v>105</v>
      </c>
      <c r="W114" s="11">
        <v>9</v>
      </c>
      <c r="X114" s="25" t="s">
        <v>886</v>
      </c>
    </row>
    <row r="115" spans="1:24" ht="14.25" customHeight="1" x14ac:dyDescent="0.25">
      <c r="A115" s="11"/>
      <c r="B115" s="11">
        <v>12</v>
      </c>
      <c r="C115" s="11" t="s">
        <v>148</v>
      </c>
      <c r="D115" s="11"/>
      <c r="E115" s="11"/>
      <c r="F115" s="11" t="s">
        <v>886</v>
      </c>
      <c r="G115" s="11">
        <v>0</v>
      </c>
      <c r="H115" s="11" t="s">
        <v>360</v>
      </c>
      <c r="I115" s="44" t="s">
        <v>214</v>
      </c>
      <c r="J115" s="11" t="s">
        <v>760</v>
      </c>
      <c r="K115" s="11" t="s">
        <v>895</v>
      </c>
      <c r="L115" s="11">
        <v>15</v>
      </c>
      <c r="M115" s="11">
        <v>10</v>
      </c>
      <c r="N115" s="11">
        <v>111</v>
      </c>
      <c r="O115" s="11">
        <v>127</v>
      </c>
      <c r="P115" s="11">
        <v>-16</v>
      </c>
      <c r="Q115" s="11">
        <v>123</v>
      </c>
      <c r="R115" s="11">
        <v>125</v>
      </c>
      <c r="S115" s="11">
        <v>147</v>
      </c>
      <c r="T115" s="11">
        <v>142</v>
      </c>
      <c r="U115" s="11">
        <v>140</v>
      </c>
      <c r="V115" s="11">
        <v>130</v>
      </c>
      <c r="W115" s="11">
        <v>11</v>
      </c>
      <c r="X115" s="25" t="s">
        <v>886</v>
      </c>
    </row>
    <row r="116" spans="1:24" ht="14.25" customHeight="1" x14ac:dyDescent="0.25">
      <c r="A116" s="11"/>
      <c r="B116" s="11">
        <v>6</v>
      </c>
      <c r="C116" s="11" t="s">
        <v>148</v>
      </c>
      <c r="D116" s="11"/>
      <c r="E116" s="11">
        <v>17</v>
      </c>
      <c r="F116" s="11" t="s">
        <v>886</v>
      </c>
      <c r="G116" s="11" t="s">
        <v>148</v>
      </c>
      <c r="H116" s="11" t="s">
        <v>272</v>
      </c>
      <c r="I116" s="44" t="s">
        <v>168</v>
      </c>
      <c r="J116" s="11" t="s">
        <v>762</v>
      </c>
      <c r="K116" s="11" t="s">
        <v>846</v>
      </c>
      <c r="L116" s="11">
        <v>20</v>
      </c>
      <c r="M116" s="11">
        <v>5</v>
      </c>
      <c r="N116" s="11">
        <v>56</v>
      </c>
      <c r="O116" s="11">
        <v>61</v>
      </c>
      <c r="P116" s="11">
        <v>-5</v>
      </c>
      <c r="Q116" s="11">
        <v>55</v>
      </c>
      <c r="R116" s="11">
        <v>75</v>
      </c>
      <c r="S116" s="11">
        <v>51</v>
      </c>
      <c r="T116" s="11">
        <v>56</v>
      </c>
      <c r="U116" s="11">
        <v>70</v>
      </c>
      <c r="V116" s="11">
        <v>60</v>
      </c>
      <c r="W116" s="11">
        <v>6</v>
      </c>
      <c r="X116" s="25" t="s">
        <v>1066</v>
      </c>
    </row>
    <row r="117" spans="1:24" ht="14.25" customHeight="1" x14ac:dyDescent="0.25">
      <c r="A117" s="11"/>
      <c r="B117" s="11">
        <v>6</v>
      </c>
      <c r="C117" s="11" t="s">
        <v>148</v>
      </c>
      <c r="D117" s="11"/>
      <c r="E117" s="11">
        <v>13</v>
      </c>
      <c r="F117" s="11" t="s">
        <v>886</v>
      </c>
      <c r="G117" s="11">
        <v>0</v>
      </c>
      <c r="H117" s="11" t="s">
        <v>178</v>
      </c>
      <c r="I117" s="11" t="s">
        <v>35</v>
      </c>
      <c r="J117" s="11" t="s">
        <v>762</v>
      </c>
      <c r="K117" s="11" t="s">
        <v>846</v>
      </c>
      <c r="L117" s="11">
        <v>21</v>
      </c>
      <c r="M117" s="11">
        <v>6</v>
      </c>
      <c r="N117" s="11">
        <v>61</v>
      </c>
      <c r="O117" s="11">
        <v>75</v>
      </c>
      <c r="P117" s="11">
        <v>-14</v>
      </c>
      <c r="Q117" s="11">
        <v>57</v>
      </c>
      <c r="R117" s="11">
        <v>59</v>
      </c>
      <c r="S117" s="11">
        <v>68</v>
      </c>
      <c r="T117" s="11">
        <v>52</v>
      </c>
      <c r="U117" s="11">
        <v>67</v>
      </c>
      <c r="V117" s="11">
        <v>62</v>
      </c>
      <c r="W117" s="11">
        <v>6</v>
      </c>
      <c r="X117" s="25" t="s">
        <v>886</v>
      </c>
    </row>
    <row r="118" spans="1:24" ht="14.25" customHeight="1" x14ac:dyDescent="0.25">
      <c r="A118" s="11"/>
      <c r="B118" s="11">
        <v>10</v>
      </c>
      <c r="C118" s="11" t="s">
        <v>148</v>
      </c>
      <c r="D118" s="11"/>
      <c r="E118" s="11"/>
      <c r="F118" s="11" t="s">
        <v>886</v>
      </c>
      <c r="G118" s="11">
        <v>0</v>
      </c>
      <c r="H118" s="11" t="s">
        <v>333</v>
      </c>
      <c r="I118" s="11" t="s">
        <v>35</v>
      </c>
      <c r="J118" s="11" t="s">
        <v>760</v>
      </c>
      <c r="K118" s="11" t="s">
        <v>889</v>
      </c>
      <c r="L118" s="11">
        <v>16</v>
      </c>
      <c r="M118" s="11">
        <v>10</v>
      </c>
      <c r="N118" s="11">
        <v>113</v>
      </c>
      <c r="O118" s="11">
        <v>120</v>
      </c>
      <c r="P118" s="11">
        <v>-7</v>
      </c>
      <c r="Q118" s="11">
        <v>93</v>
      </c>
      <c r="R118" s="11">
        <v>123</v>
      </c>
      <c r="S118" s="11">
        <v>132</v>
      </c>
      <c r="T118" s="11">
        <v>97</v>
      </c>
      <c r="U118" s="11">
        <v>105</v>
      </c>
      <c r="V118" s="11">
        <v>111</v>
      </c>
      <c r="W118" s="11">
        <v>10</v>
      </c>
      <c r="X118" s="25" t="s">
        <v>886</v>
      </c>
    </row>
    <row r="119" spans="1:24" ht="14.25" customHeight="1" x14ac:dyDescent="0.25">
      <c r="A119" s="11"/>
      <c r="B119" s="11">
        <v>13</v>
      </c>
      <c r="C119" s="11" t="s">
        <v>148</v>
      </c>
      <c r="D119" s="11"/>
      <c r="E119" s="11"/>
      <c r="F119" s="11" t="s">
        <v>886</v>
      </c>
      <c r="G119" s="11">
        <v>0</v>
      </c>
      <c r="H119" s="11" t="s">
        <v>377</v>
      </c>
      <c r="I119" s="11" t="s">
        <v>129</v>
      </c>
      <c r="J119" s="11" t="s">
        <v>764</v>
      </c>
      <c r="K119" s="11" t="s">
        <v>873</v>
      </c>
      <c r="L119" s="11">
        <v>44</v>
      </c>
      <c r="M119" s="11">
        <v>10</v>
      </c>
      <c r="N119" s="11">
        <v>108</v>
      </c>
      <c r="O119" s="11">
        <v>102</v>
      </c>
      <c r="P119" s="11">
        <v>6</v>
      </c>
      <c r="Q119" s="11">
        <v>161</v>
      </c>
      <c r="R119" s="11">
        <v>134</v>
      </c>
      <c r="S119" s="11">
        <v>127</v>
      </c>
      <c r="T119" s="11">
        <v>124</v>
      </c>
      <c r="U119" s="11">
        <v>177</v>
      </c>
      <c r="V119" s="11">
        <v>133</v>
      </c>
      <c r="W119" s="11">
        <v>12</v>
      </c>
      <c r="X119" s="25" t="s">
        <v>886</v>
      </c>
    </row>
    <row r="120" spans="1:24" ht="14.25" customHeight="1" x14ac:dyDescent="0.25">
      <c r="A120" s="11"/>
      <c r="B120" s="11">
        <v>12</v>
      </c>
      <c r="C120" s="11" t="s">
        <v>148</v>
      </c>
      <c r="D120" s="11"/>
      <c r="E120" s="11"/>
      <c r="F120" s="11" t="s">
        <v>886</v>
      </c>
      <c r="G120" s="11" t="s">
        <v>148</v>
      </c>
      <c r="H120" s="11" t="s">
        <v>340</v>
      </c>
      <c r="I120" s="11" t="s">
        <v>69</v>
      </c>
      <c r="J120" s="11" t="s">
        <v>769</v>
      </c>
      <c r="K120" s="11" t="s">
        <v>891</v>
      </c>
      <c r="L120" s="11">
        <v>14</v>
      </c>
      <c r="M120" s="11">
        <v>10</v>
      </c>
      <c r="N120" s="11">
        <v>115</v>
      </c>
      <c r="O120" s="11">
        <v>137</v>
      </c>
      <c r="P120" s="11">
        <v>-22</v>
      </c>
      <c r="Q120" s="11">
        <v>139</v>
      </c>
      <c r="R120" s="11">
        <v>137</v>
      </c>
      <c r="S120" s="11">
        <v>100</v>
      </c>
      <c r="T120" s="11">
        <v>137</v>
      </c>
      <c r="U120" s="11">
        <v>159</v>
      </c>
      <c r="V120" s="11">
        <v>132</v>
      </c>
      <c r="W120" s="11">
        <v>12</v>
      </c>
      <c r="X120" s="25" t="s">
        <v>886</v>
      </c>
    </row>
    <row r="121" spans="1:24" ht="14.25" customHeight="1" x14ac:dyDescent="0.25">
      <c r="A121" s="11"/>
      <c r="B121" s="11">
        <v>8</v>
      </c>
      <c r="C121" s="11" t="s">
        <v>148</v>
      </c>
      <c r="D121" s="11"/>
      <c r="E121" s="11">
        <v>6</v>
      </c>
      <c r="F121" s="11" t="s">
        <v>886</v>
      </c>
      <c r="G121" s="11">
        <v>0</v>
      </c>
      <c r="H121" s="11" t="s">
        <v>804</v>
      </c>
      <c r="I121" s="11" t="s">
        <v>116</v>
      </c>
      <c r="J121" s="11" t="s">
        <v>762</v>
      </c>
      <c r="K121" s="11" t="s">
        <v>846</v>
      </c>
      <c r="L121" s="11">
        <v>22</v>
      </c>
      <c r="M121" s="11">
        <v>14</v>
      </c>
      <c r="N121" s="11">
        <v>161</v>
      </c>
      <c r="O121" s="11">
        <v>122</v>
      </c>
      <c r="P121" s="11">
        <v>39</v>
      </c>
      <c r="Q121" s="11">
        <v>81</v>
      </c>
      <c r="R121" s="11">
        <v>121</v>
      </c>
      <c r="S121" s="11">
        <v>115</v>
      </c>
      <c r="T121" s="11">
        <v>63</v>
      </c>
      <c r="U121" s="11">
        <v>65</v>
      </c>
      <c r="V121" s="11">
        <v>104</v>
      </c>
      <c r="W121" s="11">
        <v>9</v>
      </c>
      <c r="X121" s="25" t="s">
        <v>1067</v>
      </c>
    </row>
    <row r="122" spans="1:24" ht="14.25" customHeight="1" x14ac:dyDescent="0.25">
      <c r="A122" s="11"/>
      <c r="B122" s="11">
        <v>10</v>
      </c>
      <c r="C122" s="11" t="s">
        <v>148</v>
      </c>
      <c r="D122" s="11"/>
      <c r="E122" s="11"/>
      <c r="F122" s="11" t="s">
        <v>886</v>
      </c>
      <c r="G122" s="11" t="s">
        <v>119</v>
      </c>
      <c r="H122" s="11" t="s">
        <v>284</v>
      </c>
      <c r="I122" s="11" t="s">
        <v>60</v>
      </c>
      <c r="J122" s="11" t="s">
        <v>764</v>
      </c>
      <c r="K122" s="11" t="s">
        <v>873</v>
      </c>
      <c r="L122" s="11">
        <v>47</v>
      </c>
      <c r="M122" s="11">
        <v>10</v>
      </c>
      <c r="N122" s="11">
        <v>114</v>
      </c>
      <c r="O122" s="11">
        <v>90</v>
      </c>
      <c r="P122" s="11">
        <v>24</v>
      </c>
      <c r="Q122" s="11">
        <v>94</v>
      </c>
      <c r="R122" s="11">
        <v>92</v>
      </c>
      <c r="S122" s="11">
        <v>99</v>
      </c>
      <c r="T122" s="11">
        <v>114</v>
      </c>
      <c r="U122" s="11">
        <v>164</v>
      </c>
      <c r="V122" s="11">
        <v>109</v>
      </c>
      <c r="W122" s="11">
        <v>10</v>
      </c>
      <c r="X122" s="25" t="s">
        <v>886</v>
      </c>
    </row>
    <row r="123" spans="1:24" ht="14.25" customHeight="1" x14ac:dyDescent="0.25">
      <c r="A123" s="11"/>
      <c r="B123" s="11">
        <v>6</v>
      </c>
      <c r="C123" s="11" t="s">
        <v>148</v>
      </c>
      <c r="D123" s="11"/>
      <c r="E123" s="11">
        <v>11</v>
      </c>
      <c r="F123" s="11" t="s">
        <v>886</v>
      </c>
      <c r="G123" s="11">
        <v>0</v>
      </c>
      <c r="H123" s="11" t="s">
        <v>415</v>
      </c>
      <c r="I123" s="44" t="s">
        <v>85</v>
      </c>
      <c r="J123" s="11" t="s">
        <v>762</v>
      </c>
      <c r="K123" s="11" t="s">
        <v>846</v>
      </c>
      <c r="L123" s="11">
        <v>23</v>
      </c>
      <c r="M123" s="11">
        <v>6</v>
      </c>
      <c r="N123" s="11">
        <v>65</v>
      </c>
      <c r="O123" s="11">
        <v>71</v>
      </c>
      <c r="P123" s="11">
        <v>-6</v>
      </c>
      <c r="Q123" s="11">
        <v>66</v>
      </c>
      <c r="R123" s="11">
        <v>63</v>
      </c>
      <c r="S123" s="11">
        <v>62</v>
      </c>
      <c r="T123" s="11">
        <v>61</v>
      </c>
      <c r="U123" s="11">
        <v>59</v>
      </c>
      <c r="V123" s="11">
        <v>63</v>
      </c>
      <c r="W123" s="11">
        <v>6</v>
      </c>
      <c r="X123" s="25" t="s">
        <v>886</v>
      </c>
    </row>
    <row r="124" spans="1:24" ht="14.25" customHeight="1" x14ac:dyDescent="0.25">
      <c r="A124" s="11"/>
      <c r="B124" s="11">
        <v>8</v>
      </c>
      <c r="C124" s="11" t="s">
        <v>148</v>
      </c>
      <c r="D124" s="11"/>
      <c r="E124" s="11"/>
      <c r="F124" s="11" t="s">
        <v>886</v>
      </c>
      <c r="G124" s="11">
        <v>0</v>
      </c>
      <c r="H124" s="11" t="s">
        <v>450</v>
      </c>
      <c r="I124" s="11" t="s">
        <v>52</v>
      </c>
      <c r="J124" s="11" t="s">
        <v>764</v>
      </c>
      <c r="K124" s="11" t="s">
        <v>875</v>
      </c>
      <c r="L124" s="11">
        <v>55</v>
      </c>
      <c r="M124" s="11">
        <v>11</v>
      </c>
      <c r="N124" s="11">
        <v>121</v>
      </c>
      <c r="O124" s="11">
        <v>100</v>
      </c>
      <c r="P124" s="11">
        <v>21</v>
      </c>
      <c r="Q124" s="11">
        <v>95</v>
      </c>
      <c r="R124" s="11">
        <v>86</v>
      </c>
      <c r="S124" s="11">
        <v>101</v>
      </c>
      <c r="T124" s="11">
        <v>88</v>
      </c>
      <c r="U124" s="11">
        <v>109</v>
      </c>
      <c r="V124" s="11">
        <v>100</v>
      </c>
      <c r="W124" s="11">
        <v>9</v>
      </c>
      <c r="X124" s="25" t="s">
        <v>886</v>
      </c>
    </row>
    <row r="125" spans="1:24" ht="14.25" customHeight="1" x14ac:dyDescent="0.25">
      <c r="A125" s="11"/>
      <c r="B125" s="11">
        <v>11</v>
      </c>
      <c r="C125" s="11" t="s">
        <v>148</v>
      </c>
      <c r="D125" s="11"/>
      <c r="E125" s="11"/>
      <c r="F125" s="11" t="s">
        <v>886</v>
      </c>
      <c r="G125" s="11">
        <v>0</v>
      </c>
      <c r="H125" s="11" t="s">
        <v>324</v>
      </c>
      <c r="I125" s="11" t="s">
        <v>66</v>
      </c>
      <c r="J125" s="11" t="s">
        <v>769</v>
      </c>
      <c r="K125" s="11">
        <v>0</v>
      </c>
      <c r="L125" s="11">
        <v>0</v>
      </c>
      <c r="M125" s="11">
        <v>11</v>
      </c>
      <c r="N125" s="11">
        <v>120</v>
      </c>
      <c r="O125" s="11">
        <v>132</v>
      </c>
      <c r="P125" s="11">
        <v>-12</v>
      </c>
      <c r="Q125" s="11">
        <v>142</v>
      </c>
      <c r="R125" s="11">
        <v>126</v>
      </c>
      <c r="S125" s="11">
        <v>107</v>
      </c>
      <c r="T125" s="11">
        <v>119</v>
      </c>
      <c r="U125" s="11">
        <v>128</v>
      </c>
      <c r="V125" s="11">
        <v>124</v>
      </c>
      <c r="W125" s="11">
        <v>11</v>
      </c>
      <c r="X125" s="25" t="s">
        <v>886</v>
      </c>
    </row>
    <row r="126" spans="1:24" ht="14.25" customHeight="1" x14ac:dyDescent="0.25">
      <c r="A126" s="11"/>
      <c r="B126" s="11">
        <v>11</v>
      </c>
      <c r="C126" s="11" t="s">
        <v>148</v>
      </c>
      <c r="D126" s="11"/>
      <c r="E126" s="11"/>
      <c r="F126" s="11" t="s">
        <v>886</v>
      </c>
      <c r="G126" s="11">
        <v>0</v>
      </c>
      <c r="H126" s="11" t="s">
        <v>322</v>
      </c>
      <c r="I126" s="11" t="s">
        <v>78</v>
      </c>
      <c r="J126" s="11" t="s">
        <v>769</v>
      </c>
      <c r="K126" s="11">
        <v>0</v>
      </c>
      <c r="L126" s="11">
        <v>0</v>
      </c>
      <c r="M126" s="11">
        <v>10</v>
      </c>
      <c r="N126" s="11">
        <v>118</v>
      </c>
      <c r="O126" s="11">
        <v>141</v>
      </c>
      <c r="P126" s="11">
        <v>-23</v>
      </c>
      <c r="Q126" s="11">
        <v>124</v>
      </c>
      <c r="R126" s="11">
        <v>131</v>
      </c>
      <c r="S126" s="11">
        <v>123</v>
      </c>
      <c r="T126" s="11">
        <v>138</v>
      </c>
      <c r="U126" s="11">
        <v>142</v>
      </c>
      <c r="V126" s="11">
        <v>131</v>
      </c>
      <c r="W126" s="11">
        <v>11</v>
      </c>
      <c r="X126" s="25" t="s">
        <v>886</v>
      </c>
    </row>
    <row r="127" spans="1:24" ht="14.25" customHeight="1" x14ac:dyDescent="0.25">
      <c r="A127" s="11"/>
      <c r="B127" s="11">
        <v>6</v>
      </c>
      <c r="C127" s="11" t="s">
        <v>148</v>
      </c>
      <c r="D127" s="11"/>
      <c r="E127" s="11">
        <v>11</v>
      </c>
      <c r="F127" s="11" t="s">
        <v>886</v>
      </c>
      <c r="G127" s="11">
        <v>0</v>
      </c>
      <c r="H127" s="11" t="s">
        <v>252</v>
      </c>
      <c r="I127" s="11" t="s">
        <v>229</v>
      </c>
      <c r="J127" s="11" t="s">
        <v>762</v>
      </c>
      <c r="K127" s="11" t="s">
        <v>846</v>
      </c>
      <c r="L127" s="11">
        <v>24</v>
      </c>
      <c r="M127" s="11">
        <v>5</v>
      </c>
      <c r="N127" s="11">
        <v>54</v>
      </c>
      <c r="O127" s="11">
        <v>68</v>
      </c>
      <c r="P127" s="11">
        <v>-14</v>
      </c>
      <c r="Q127" s="11">
        <v>59</v>
      </c>
      <c r="R127" s="11">
        <v>69</v>
      </c>
      <c r="S127" s="11">
        <v>58</v>
      </c>
      <c r="T127" s="11">
        <v>69</v>
      </c>
      <c r="U127" s="11">
        <v>78</v>
      </c>
      <c r="V127" s="11">
        <v>65</v>
      </c>
      <c r="W127" s="11">
        <v>6</v>
      </c>
      <c r="X127" s="25" t="s">
        <v>886</v>
      </c>
    </row>
    <row r="128" spans="1:24" ht="14.25" customHeight="1" x14ac:dyDescent="0.25">
      <c r="A128" s="11"/>
      <c r="B128" s="11">
        <v>6</v>
      </c>
      <c r="C128" s="11" t="s">
        <v>148</v>
      </c>
      <c r="D128" s="11"/>
      <c r="E128" s="11">
        <v>8</v>
      </c>
      <c r="F128" s="11" t="s">
        <v>886</v>
      </c>
      <c r="G128" s="11">
        <v>0</v>
      </c>
      <c r="H128" s="11" t="s">
        <v>338</v>
      </c>
      <c r="I128" s="11" t="s">
        <v>72</v>
      </c>
      <c r="J128" s="11" t="s">
        <v>762</v>
      </c>
      <c r="K128" s="11" t="s">
        <v>846</v>
      </c>
      <c r="L128" s="11">
        <v>25</v>
      </c>
      <c r="M128" s="11">
        <v>6</v>
      </c>
      <c r="N128" s="11">
        <v>70</v>
      </c>
      <c r="O128" s="11">
        <v>78</v>
      </c>
      <c r="P128" s="11">
        <v>-8</v>
      </c>
      <c r="Q128" s="11">
        <v>56</v>
      </c>
      <c r="R128" s="11">
        <v>70</v>
      </c>
      <c r="S128" s="11">
        <v>70</v>
      </c>
      <c r="T128" s="11">
        <v>65</v>
      </c>
      <c r="U128" s="11">
        <v>77</v>
      </c>
      <c r="V128" s="11">
        <v>69</v>
      </c>
      <c r="W128" s="11">
        <v>6</v>
      </c>
      <c r="X128" s="25" t="s">
        <v>886</v>
      </c>
    </row>
    <row r="129" spans="1:24" ht="14.25" customHeight="1" x14ac:dyDescent="0.25">
      <c r="A129" s="11"/>
      <c r="B129" s="11">
        <v>13</v>
      </c>
      <c r="C129" s="11" t="s">
        <v>148</v>
      </c>
      <c r="D129" s="11"/>
      <c r="E129" s="11"/>
      <c r="F129" s="11" t="s">
        <v>886</v>
      </c>
      <c r="G129" s="11">
        <v>0</v>
      </c>
      <c r="H129" s="11" t="s">
        <v>808</v>
      </c>
      <c r="I129" s="11" t="s">
        <v>72</v>
      </c>
      <c r="J129" s="11" t="s">
        <v>760</v>
      </c>
      <c r="K129" s="11" t="s">
        <v>981</v>
      </c>
      <c r="L129" s="11">
        <v>23</v>
      </c>
      <c r="M129" s="11">
        <v>11</v>
      </c>
      <c r="N129" s="11">
        <v>125</v>
      </c>
      <c r="O129" s="11">
        <v>123</v>
      </c>
      <c r="P129" s="11">
        <v>2</v>
      </c>
      <c r="Q129" s="11">
        <v>152</v>
      </c>
      <c r="R129" s="11">
        <v>138</v>
      </c>
      <c r="S129" s="11">
        <v>139</v>
      </c>
      <c r="T129" s="11">
        <v>146</v>
      </c>
      <c r="U129" s="11">
        <v>154</v>
      </c>
      <c r="V129" s="11">
        <v>139</v>
      </c>
      <c r="W129" s="11">
        <v>12</v>
      </c>
      <c r="X129" s="25" t="s">
        <v>886</v>
      </c>
    </row>
    <row r="130" spans="1:24" ht="14.25" customHeight="1" x14ac:dyDescent="0.25">
      <c r="A130" s="11"/>
      <c r="B130" s="11">
        <v>10</v>
      </c>
      <c r="C130" s="11" t="s">
        <v>148</v>
      </c>
      <c r="D130" s="11"/>
      <c r="E130" s="11"/>
      <c r="F130" s="11" t="s">
        <v>886</v>
      </c>
      <c r="G130" s="11">
        <v>0</v>
      </c>
      <c r="H130" s="11" t="s">
        <v>652</v>
      </c>
      <c r="I130" s="11" t="s">
        <v>66</v>
      </c>
      <c r="J130" s="11" t="s">
        <v>764</v>
      </c>
      <c r="K130" s="11" t="s">
        <v>854</v>
      </c>
      <c r="L130" s="11">
        <v>51</v>
      </c>
      <c r="M130" s="11">
        <v>11</v>
      </c>
      <c r="N130" s="11">
        <v>122</v>
      </c>
      <c r="O130" s="11">
        <v>85</v>
      </c>
      <c r="P130" s="11">
        <v>37</v>
      </c>
      <c r="Q130" s="11">
        <v>113</v>
      </c>
      <c r="R130" s="11">
        <v>111</v>
      </c>
      <c r="S130" s="11">
        <v>102</v>
      </c>
      <c r="T130" s="11">
        <v>118</v>
      </c>
      <c r="U130" s="11">
        <v>139</v>
      </c>
      <c r="V130" s="11">
        <v>112</v>
      </c>
      <c r="W130" s="11">
        <v>10</v>
      </c>
      <c r="X130" s="25" t="s">
        <v>1053</v>
      </c>
    </row>
    <row r="131" spans="1:24" ht="14.25" customHeight="1" x14ac:dyDescent="0.25">
      <c r="A131" s="11"/>
      <c r="B131" s="11">
        <v>5</v>
      </c>
      <c r="C131" s="11" t="s">
        <v>148</v>
      </c>
      <c r="D131" s="11"/>
      <c r="E131" s="11">
        <v>10</v>
      </c>
      <c r="F131" s="11" t="s">
        <v>886</v>
      </c>
      <c r="G131" s="11" t="s">
        <v>119</v>
      </c>
      <c r="H131" s="11" t="s">
        <v>172</v>
      </c>
      <c r="I131" s="11" t="s">
        <v>155</v>
      </c>
      <c r="J131" s="11" t="s">
        <v>762</v>
      </c>
      <c r="K131" s="11" t="s">
        <v>846</v>
      </c>
      <c r="L131" s="11">
        <v>26</v>
      </c>
      <c r="M131" s="11">
        <v>6</v>
      </c>
      <c r="N131" s="11">
        <v>64</v>
      </c>
      <c r="O131" s="11">
        <v>70</v>
      </c>
      <c r="P131" s="11">
        <v>-6</v>
      </c>
      <c r="Q131" s="11">
        <v>49</v>
      </c>
      <c r="R131" s="11">
        <v>53</v>
      </c>
      <c r="S131" s="11">
        <v>56</v>
      </c>
      <c r="T131" s="11">
        <v>68</v>
      </c>
      <c r="U131" s="11">
        <v>57</v>
      </c>
      <c r="V131" s="11">
        <v>59</v>
      </c>
      <c r="W131" s="11">
        <v>5</v>
      </c>
      <c r="X131" s="25" t="s">
        <v>886</v>
      </c>
    </row>
    <row r="132" spans="1:24" ht="14.25" customHeight="1" x14ac:dyDescent="0.25">
      <c r="A132" s="11"/>
      <c r="B132" s="11">
        <v>12</v>
      </c>
      <c r="C132" s="11" t="s">
        <v>148</v>
      </c>
      <c r="D132" s="11"/>
      <c r="E132" s="11"/>
      <c r="F132" s="11" t="s">
        <v>886</v>
      </c>
      <c r="G132" s="11">
        <v>0</v>
      </c>
      <c r="H132" s="11" t="s">
        <v>411</v>
      </c>
      <c r="I132" s="11" t="s">
        <v>116</v>
      </c>
      <c r="J132" s="11" t="s">
        <v>760</v>
      </c>
      <c r="K132" s="11" t="s">
        <v>889</v>
      </c>
      <c r="L132" s="11">
        <v>18</v>
      </c>
      <c r="M132" s="11">
        <v>11</v>
      </c>
      <c r="N132" s="11">
        <v>129</v>
      </c>
      <c r="O132" s="11">
        <v>134</v>
      </c>
      <c r="P132" s="11">
        <v>-5</v>
      </c>
      <c r="Q132" s="11">
        <v>135</v>
      </c>
      <c r="R132" s="11">
        <v>127</v>
      </c>
      <c r="S132" s="11">
        <v>142</v>
      </c>
      <c r="T132" s="11">
        <v>125</v>
      </c>
      <c r="U132" s="11">
        <v>132</v>
      </c>
      <c r="V132" s="11">
        <v>132</v>
      </c>
      <c r="W132" s="11">
        <v>12</v>
      </c>
      <c r="X132" s="25" t="s">
        <v>886</v>
      </c>
    </row>
    <row r="133" spans="1:24" ht="14.25" customHeight="1" x14ac:dyDescent="0.25">
      <c r="A133" s="11"/>
      <c r="B133" s="11">
        <v>10</v>
      </c>
      <c r="C133" s="11" t="s">
        <v>148</v>
      </c>
      <c r="D133" s="11"/>
      <c r="E133" s="11"/>
      <c r="F133" s="11" t="s">
        <v>886</v>
      </c>
      <c r="G133" s="11" t="s">
        <v>148</v>
      </c>
      <c r="H133" s="11" t="s">
        <v>154</v>
      </c>
      <c r="I133" s="11" t="s">
        <v>155</v>
      </c>
      <c r="J133" s="11" t="s">
        <v>769</v>
      </c>
      <c r="K133" s="11" t="s">
        <v>891</v>
      </c>
      <c r="L133" s="11">
        <v>13</v>
      </c>
      <c r="M133" s="11">
        <v>11</v>
      </c>
      <c r="N133" s="11">
        <v>128</v>
      </c>
      <c r="O133" s="11">
        <v>108</v>
      </c>
      <c r="P133" s="11">
        <v>20</v>
      </c>
      <c r="Q133" s="11">
        <v>131</v>
      </c>
      <c r="R133" s="11">
        <v>113</v>
      </c>
      <c r="S133" s="11">
        <v>96</v>
      </c>
      <c r="T133" s="11">
        <v>113</v>
      </c>
      <c r="U133" s="11">
        <v>113</v>
      </c>
      <c r="V133" s="11">
        <v>114</v>
      </c>
      <c r="W133" s="11">
        <v>10</v>
      </c>
      <c r="X133" s="25" t="s">
        <v>1068</v>
      </c>
    </row>
    <row r="134" spans="1:24" ht="14.25" customHeight="1" x14ac:dyDescent="0.25">
      <c r="A134" s="11"/>
      <c r="B134" s="11">
        <v>14</v>
      </c>
      <c r="C134" s="11" t="s">
        <v>148</v>
      </c>
      <c r="D134" s="11"/>
      <c r="E134" s="11"/>
      <c r="F134" s="11" t="s">
        <v>886</v>
      </c>
      <c r="G134" s="11">
        <v>0</v>
      </c>
      <c r="H134" s="11" t="s">
        <v>266</v>
      </c>
      <c r="I134" s="11" t="s">
        <v>199</v>
      </c>
      <c r="J134" s="11" t="s">
        <v>760</v>
      </c>
      <c r="K134" s="11" t="s">
        <v>889</v>
      </c>
      <c r="L134" s="11">
        <v>19</v>
      </c>
      <c r="M134" s="11">
        <v>12</v>
      </c>
      <c r="N134" s="11">
        <v>132</v>
      </c>
      <c r="O134" s="11">
        <v>130</v>
      </c>
      <c r="P134" s="11">
        <v>2</v>
      </c>
      <c r="Q134" s="11">
        <v>151</v>
      </c>
      <c r="R134" s="11">
        <v>172</v>
      </c>
      <c r="S134" s="11">
        <v>144</v>
      </c>
      <c r="T134" s="11">
        <v>168</v>
      </c>
      <c r="U134" s="11">
        <v>178</v>
      </c>
      <c r="V134" s="11">
        <v>153</v>
      </c>
      <c r="W134" s="11">
        <v>13</v>
      </c>
      <c r="X134" s="25" t="s">
        <v>886</v>
      </c>
    </row>
    <row r="135" spans="1:24" ht="14.25" customHeight="1" x14ac:dyDescent="0.25">
      <c r="A135" s="11"/>
      <c r="B135" s="11">
        <v>12</v>
      </c>
      <c r="C135" s="11" t="s">
        <v>148</v>
      </c>
      <c r="D135" s="11"/>
      <c r="E135" s="11"/>
      <c r="F135" s="11" t="s">
        <v>886</v>
      </c>
      <c r="G135" s="11">
        <v>0</v>
      </c>
      <c r="H135" s="11" t="s">
        <v>621</v>
      </c>
      <c r="I135" s="11" t="s">
        <v>39</v>
      </c>
      <c r="J135" s="11" t="s">
        <v>764</v>
      </c>
      <c r="K135" s="11" t="s">
        <v>875</v>
      </c>
      <c r="L135" s="11">
        <v>56</v>
      </c>
      <c r="M135" s="11">
        <v>11</v>
      </c>
      <c r="N135" s="11">
        <v>130</v>
      </c>
      <c r="O135" s="11">
        <v>105</v>
      </c>
      <c r="P135" s="11">
        <v>25</v>
      </c>
      <c r="Q135" s="11">
        <v>121</v>
      </c>
      <c r="R135" s="11">
        <v>139</v>
      </c>
      <c r="S135" s="11">
        <v>137</v>
      </c>
      <c r="T135" s="11">
        <v>120</v>
      </c>
      <c r="U135" s="11">
        <v>183</v>
      </c>
      <c r="V135" s="11">
        <v>133</v>
      </c>
      <c r="W135" s="11">
        <v>12</v>
      </c>
      <c r="X135" s="25" t="s">
        <v>1069</v>
      </c>
    </row>
    <row r="136" spans="1:24" ht="14.25" customHeight="1" x14ac:dyDescent="0.25">
      <c r="A136" s="11"/>
      <c r="B136" s="11">
        <v>14</v>
      </c>
      <c r="C136" s="11" t="s">
        <v>148</v>
      </c>
      <c r="D136" s="11"/>
      <c r="E136" s="11"/>
      <c r="F136" s="11" t="s">
        <v>886</v>
      </c>
      <c r="G136" s="11">
        <v>0</v>
      </c>
      <c r="H136" s="11" t="s">
        <v>572</v>
      </c>
      <c r="I136" s="11" t="s">
        <v>91</v>
      </c>
      <c r="J136" s="11" t="s">
        <v>764</v>
      </c>
      <c r="K136" s="11" t="s">
        <v>854</v>
      </c>
      <c r="L136" s="11">
        <v>52</v>
      </c>
      <c r="M136" s="11">
        <v>11</v>
      </c>
      <c r="N136" s="11">
        <v>126</v>
      </c>
      <c r="O136" s="11">
        <v>114</v>
      </c>
      <c r="P136" s="11">
        <v>12</v>
      </c>
      <c r="Q136" s="11">
        <v>144</v>
      </c>
      <c r="R136" s="11">
        <v>176</v>
      </c>
      <c r="S136" s="11">
        <v>153</v>
      </c>
      <c r="T136" s="11">
        <v>152</v>
      </c>
      <c r="U136" s="11">
        <v>185</v>
      </c>
      <c r="V136" s="11">
        <v>150</v>
      </c>
      <c r="W136" s="11">
        <v>13</v>
      </c>
      <c r="X136" s="25" t="s">
        <v>886</v>
      </c>
    </row>
    <row r="137" spans="1:24" ht="14.25" customHeight="1" x14ac:dyDescent="0.25">
      <c r="A137" s="11"/>
      <c r="B137" s="11">
        <v>7</v>
      </c>
      <c r="C137" s="11" t="s">
        <v>148</v>
      </c>
      <c r="D137" s="11"/>
      <c r="E137" s="11">
        <v>8</v>
      </c>
      <c r="F137" s="11" t="s">
        <v>886</v>
      </c>
      <c r="G137" s="11">
        <v>0</v>
      </c>
      <c r="H137" s="11" t="s">
        <v>615</v>
      </c>
      <c r="I137" s="11" t="s">
        <v>233</v>
      </c>
      <c r="J137" s="11" t="s">
        <v>762</v>
      </c>
      <c r="K137" s="11" t="s">
        <v>910</v>
      </c>
      <c r="L137" s="11">
        <v>27</v>
      </c>
      <c r="M137" s="11">
        <v>8</v>
      </c>
      <c r="N137" s="11">
        <v>95</v>
      </c>
      <c r="O137" s="11">
        <v>79</v>
      </c>
      <c r="P137" s="11">
        <v>16</v>
      </c>
      <c r="Q137" s="11">
        <v>78</v>
      </c>
      <c r="R137" s="11">
        <v>97</v>
      </c>
      <c r="S137" s="11">
        <v>78</v>
      </c>
      <c r="T137" s="11">
        <v>76</v>
      </c>
      <c r="U137" s="11">
        <v>80</v>
      </c>
      <c r="V137" s="11">
        <v>83</v>
      </c>
      <c r="W137" s="11">
        <v>7</v>
      </c>
      <c r="X137" s="25" t="s">
        <v>1070</v>
      </c>
    </row>
    <row r="138" spans="1:24" ht="14.25" customHeight="1" x14ac:dyDescent="0.25">
      <c r="A138" s="11"/>
      <c r="B138" s="11">
        <v>14</v>
      </c>
      <c r="C138" s="11" t="s">
        <v>148</v>
      </c>
      <c r="D138" s="11"/>
      <c r="E138" s="11"/>
      <c r="F138" s="11" t="s">
        <v>886</v>
      </c>
      <c r="G138" s="11">
        <v>0</v>
      </c>
      <c r="H138" s="11" t="s">
        <v>397</v>
      </c>
      <c r="I138" s="11" t="s">
        <v>104</v>
      </c>
      <c r="J138" s="11" t="s">
        <v>769</v>
      </c>
      <c r="K138" s="11">
        <v>0</v>
      </c>
      <c r="L138" s="11">
        <v>0</v>
      </c>
      <c r="M138" s="11">
        <v>12</v>
      </c>
      <c r="N138" s="11">
        <v>134</v>
      </c>
      <c r="O138" s="11">
        <v>162</v>
      </c>
      <c r="P138" s="11">
        <v>-28</v>
      </c>
      <c r="Q138" s="11">
        <v>155</v>
      </c>
      <c r="R138" s="11">
        <v>155</v>
      </c>
      <c r="S138" s="11">
        <v>140</v>
      </c>
      <c r="T138" s="11">
        <v>169</v>
      </c>
      <c r="U138" s="11">
        <v>173</v>
      </c>
      <c r="V138" s="11">
        <v>155</v>
      </c>
      <c r="W138" s="11">
        <v>13</v>
      </c>
      <c r="X138" s="25" t="s">
        <v>886</v>
      </c>
    </row>
    <row r="139" spans="1:24" ht="14.25" customHeight="1" x14ac:dyDescent="0.25">
      <c r="A139" s="11"/>
      <c r="B139" s="11">
        <v>9</v>
      </c>
      <c r="C139" s="11" t="s">
        <v>148</v>
      </c>
      <c r="D139" s="11"/>
      <c r="E139" s="11">
        <v>6</v>
      </c>
      <c r="F139" s="11" t="s">
        <v>886</v>
      </c>
      <c r="G139" s="11" t="s">
        <v>148</v>
      </c>
      <c r="H139" s="11" t="s">
        <v>292</v>
      </c>
      <c r="I139" s="11" t="s">
        <v>72</v>
      </c>
      <c r="J139" s="11" t="s">
        <v>762</v>
      </c>
      <c r="K139" s="11" t="s">
        <v>910</v>
      </c>
      <c r="L139" s="11">
        <v>28</v>
      </c>
      <c r="M139" s="11">
        <v>6</v>
      </c>
      <c r="N139" s="11">
        <v>71</v>
      </c>
      <c r="O139" s="11">
        <v>82</v>
      </c>
      <c r="P139" s="11">
        <v>-11</v>
      </c>
      <c r="Q139" s="11">
        <v>98</v>
      </c>
      <c r="R139" s="11">
        <v>122</v>
      </c>
      <c r="S139" s="11">
        <v>88</v>
      </c>
      <c r="T139" s="11">
        <v>103</v>
      </c>
      <c r="U139" s="11">
        <v>122</v>
      </c>
      <c r="V139" s="11">
        <v>98</v>
      </c>
      <c r="W139" s="11">
        <v>9</v>
      </c>
      <c r="X139" s="25" t="s">
        <v>1071</v>
      </c>
    </row>
    <row r="140" spans="1:24" ht="14.25" customHeight="1" x14ac:dyDescent="0.25">
      <c r="A140" s="11"/>
      <c r="B140" s="11">
        <v>9</v>
      </c>
      <c r="C140" s="11" t="s">
        <v>148</v>
      </c>
      <c r="D140" s="11"/>
      <c r="E140" s="11">
        <v>5</v>
      </c>
      <c r="F140" s="11" t="s">
        <v>886</v>
      </c>
      <c r="G140" s="11">
        <v>0</v>
      </c>
      <c r="H140" s="11" t="s">
        <v>276</v>
      </c>
      <c r="I140" s="69" t="s">
        <v>168</v>
      </c>
      <c r="J140" s="11" t="s">
        <v>762</v>
      </c>
      <c r="K140" s="11" t="s">
        <v>910</v>
      </c>
      <c r="L140" s="11">
        <v>29</v>
      </c>
      <c r="M140" s="11">
        <v>7</v>
      </c>
      <c r="N140" s="11">
        <v>80</v>
      </c>
      <c r="O140" s="11">
        <v>97</v>
      </c>
      <c r="P140" s="11">
        <v>-17</v>
      </c>
      <c r="Q140" s="11">
        <v>102</v>
      </c>
      <c r="R140" s="11">
        <v>98</v>
      </c>
      <c r="S140" s="11">
        <v>93</v>
      </c>
      <c r="T140" s="11">
        <v>107</v>
      </c>
      <c r="U140" s="11">
        <v>136</v>
      </c>
      <c r="V140" s="11">
        <v>101</v>
      </c>
      <c r="W140" s="11">
        <v>9</v>
      </c>
      <c r="X140" s="25" t="s">
        <v>886</v>
      </c>
    </row>
    <row r="141" spans="1:24" ht="14.25" customHeight="1" x14ac:dyDescent="0.25">
      <c r="A141" s="11"/>
      <c r="B141" s="11">
        <v>10</v>
      </c>
      <c r="C141" s="11" t="s">
        <v>148</v>
      </c>
      <c r="D141" s="11"/>
      <c r="E141" s="11">
        <v>5</v>
      </c>
      <c r="F141" s="11" t="s">
        <v>886</v>
      </c>
      <c r="G141" s="11">
        <v>0</v>
      </c>
      <c r="H141" s="11" t="s">
        <v>186</v>
      </c>
      <c r="I141" s="11" t="s">
        <v>187</v>
      </c>
      <c r="J141" s="11" t="s">
        <v>762</v>
      </c>
      <c r="K141" s="11" t="s">
        <v>910</v>
      </c>
      <c r="L141" s="11">
        <v>30</v>
      </c>
      <c r="M141" s="11">
        <v>15</v>
      </c>
      <c r="N141" s="11">
        <v>175</v>
      </c>
      <c r="O141" s="11">
        <v>144</v>
      </c>
      <c r="P141" s="11">
        <v>31</v>
      </c>
      <c r="Q141" s="11">
        <v>110</v>
      </c>
      <c r="R141" s="11">
        <v>146</v>
      </c>
      <c r="S141" s="11">
        <v>111</v>
      </c>
      <c r="T141" s="11">
        <v>74</v>
      </c>
      <c r="U141" s="11">
        <v>99</v>
      </c>
      <c r="V141" s="11">
        <v>122</v>
      </c>
      <c r="W141" s="11">
        <v>11</v>
      </c>
      <c r="X141" s="25" t="s">
        <v>1072</v>
      </c>
    </row>
    <row r="142" spans="1:24" ht="14.25" customHeight="1" x14ac:dyDescent="0.25">
      <c r="A142" s="11"/>
      <c r="B142" s="11">
        <v>8</v>
      </c>
      <c r="C142" s="11" t="s">
        <v>148</v>
      </c>
      <c r="D142" s="11"/>
      <c r="E142" s="11"/>
      <c r="F142" s="11" t="s">
        <v>886</v>
      </c>
      <c r="G142" s="11" t="s">
        <v>148</v>
      </c>
      <c r="H142" s="11" t="s">
        <v>194</v>
      </c>
      <c r="I142" s="11" t="s">
        <v>60</v>
      </c>
      <c r="J142" s="11" t="s">
        <v>769</v>
      </c>
      <c r="K142" s="11" t="s">
        <v>891</v>
      </c>
      <c r="L142" s="11">
        <v>11</v>
      </c>
      <c r="M142" s="11">
        <v>10</v>
      </c>
      <c r="N142" s="11">
        <v>117</v>
      </c>
      <c r="O142" s="11">
        <v>89</v>
      </c>
      <c r="P142" s="11">
        <v>28</v>
      </c>
      <c r="Q142" s="11">
        <v>96</v>
      </c>
      <c r="R142" s="11">
        <v>89</v>
      </c>
      <c r="S142" s="11">
        <v>69</v>
      </c>
      <c r="T142" s="11">
        <v>96</v>
      </c>
      <c r="U142" s="11">
        <v>88</v>
      </c>
      <c r="V142" s="11">
        <v>92</v>
      </c>
      <c r="W142" s="11">
        <v>8</v>
      </c>
      <c r="X142" s="25" t="s">
        <v>1073</v>
      </c>
    </row>
    <row r="143" spans="1:24" ht="14.25" customHeight="1" x14ac:dyDescent="0.25">
      <c r="A143" s="11"/>
      <c r="B143" s="11">
        <v>16</v>
      </c>
      <c r="C143" s="11" t="s">
        <v>148</v>
      </c>
      <c r="D143" s="11"/>
      <c r="E143" s="11"/>
      <c r="F143" s="11" t="s">
        <v>886</v>
      </c>
      <c r="G143" s="11">
        <v>0</v>
      </c>
      <c r="H143" s="11" t="s">
        <v>467</v>
      </c>
      <c r="I143" s="11" t="s">
        <v>160</v>
      </c>
      <c r="J143" s="11" t="s">
        <v>760</v>
      </c>
      <c r="K143" s="11" t="s">
        <v>890</v>
      </c>
      <c r="L143" s="11">
        <v>21</v>
      </c>
      <c r="M143" s="11">
        <v>12</v>
      </c>
      <c r="N143" s="11">
        <v>136</v>
      </c>
      <c r="O143" s="11">
        <v>150</v>
      </c>
      <c r="P143" s="11">
        <v>-14</v>
      </c>
      <c r="Q143" s="11">
        <v>190</v>
      </c>
      <c r="R143" s="11">
        <v>193</v>
      </c>
      <c r="S143" s="11">
        <v>170</v>
      </c>
      <c r="T143" s="11">
        <v>201</v>
      </c>
      <c r="U143" s="11">
        <v>194</v>
      </c>
      <c r="V143" s="11">
        <v>176</v>
      </c>
      <c r="W143" s="11">
        <v>15</v>
      </c>
      <c r="X143" s="25" t="s">
        <v>886</v>
      </c>
    </row>
    <row r="144" spans="1:24" ht="14.25" customHeight="1" x14ac:dyDescent="0.25">
      <c r="A144" s="11"/>
      <c r="B144" s="11">
        <v>13</v>
      </c>
      <c r="C144" s="11" t="s">
        <v>148</v>
      </c>
      <c r="D144" s="11"/>
      <c r="E144" s="11"/>
      <c r="F144" s="11" t="s">
        <v>886</v>
      </c>
      <c r="G144" s="11">
        <v>0</v>
      </c>
      <c r="H144" s="11" t="s">
        <v>686</v>
      </c>
      <c r="I144" s="11" t="s">
        <v>116</v>
      </c>
      <c r="J144" s="11" t="s">
        <v>764</v>
      </c>
      <c r="K144" s="11" t="s">
        <v>854</v>
      </c>
      <c r="L144" s="11">
        <v>50</v>
      </c>
      <c r="M144" s="11">
        <v>13</v>
      </c>
      <c r="N144" s="11">
        <v>148</v>
      </c>
      <c r="O144" s="11">
        <v>92</v>
      </c>
      <c r="P144" s="11">
        <v>56</v>
      </c>
      <c r="Q144" s="11">
        <v>166</v>
      </c>
      <c r="R144" s="11">
        <v>144</v>
      </c>
      <c r="S144" s="11">
        <v>129</v>
      </c>
      <c r="T144" s="11">
        <v>116</v>
      </c>
      <c r="U144" s="11">
        <v>207</v>
      </c>
      <c r="V144" s="11">
        <v>143</v>
      </c>
      <c r="W144" s="11">
        <v>12</v>
      </c>
      <c r="X144" s="25" t="s">
        <v>1074</v>
      </c>
    </row>
    <row r="145" spans="1:24" ht="14.25" customHeight="1" x14ac:dyDescent="0.25">
      <c r="A145" s="11"/>
      <c r="B145" s="11">
        <v>13</v>
      </c>
      <c r="C145" s="11" t="s">
        <v>148</v>
      </c>
      <c r="D145" s="11"/>
      <c r="E145" s="11"/>
      <c r="F145" s="11" t="s">
        <v>886</v>
      </c>
      <c r="G145" s="11">
        <v>0</v>
      </c>
      <c r="H145" s="11" t="s">
        <v>938</v>
      </c>
      <c r="I145" s="11" t="s">
        <v>233</v>
      </c>
      <c r="J145" s="11" t="s">
        <v>769</v>
      </c>
      <c r="K145" s="11">
        <v>0</v>
      </c>
      <c r="L145" s="11">
        <v>0</v>
      </c>
      <c r="M145" s="11">
        <v>14</v>
      </c>
      <c r="N145" s="11">
        <v>160</v>
      </c>
      <c r="O145" s="11">
        <v>187</v>
      </c>
      <c r="P145" s="11">
        <v>-27</v>
      </c>
      <c r="Q145" s="11">
        <v>183</v>
      </c>
      <c r="R145" s="11">
        <v>186</v>
      </c>
      <c r="S145" s="11">
        <v>161</v>
      </c>
      <c r="T145" s="11">
        <v>110</v>
      </c>
      <c r="U145" s="11">
        <v>91</v>
      </c>
      <c r="V145" s="11">
        <v>154</v>
      </c>
      <c r="W145" s="11">
        <v>13</v>
      </c>
      <c r="X145" s="25" t="s">
        <v>886</v>
      </c>
    </row>
    <row r="146" spans="1:24" ht="14.25" customHeight="1" x14ac:dyDescent="0.25">
      <c r="A146" s="11"/>
      <c r="B146" s="11">
        <v>10</v>
      </c>
      <c r="C146" s="11" t="s">
        <v>148</v>
      </c>
      <c r="D146" s="11"/>
      <c r="E146" s="11">
        <v>1</v>
      </c>
      <c r="F146" s="11" t="s">
        <v>886</v>
      </c>
      <c r="G146" s="11">
        <v>0</v>
      </c>
      <c r="H146" s="11" t="s">
        <v>386</v>
      </c>
      <c r="I146" s="11" t="s">
        <v>52</v>
      </c>
      <c r="J146" s="11" t="s">
        <v>762</v>
      </c>
      <c r="K146" s="11" t="s">
        <v>910</v>
      </c>
      <c r="L146" s="11">
        <v>31</v>
      </c>
      <c r="M146" s="11">
        <v>7</v>
      </c>
      <c r="N146" s="11">
        <v>78</v>
      </c>
      <c r="O146" s="11">
        <v>94</v>
      </c>
      <c r="P146" s="11">
        <v>-16</v>
      </c>
      <c r="Q146" s="11">
        <v>92</v>
      </c>
      <c r="R146" s="11">
        <v>129</v>
      </c>
      <c r="S146" s="11">
        <v>86</v>
      </c>
      <c r="T146" s="11">
        <v>104</v>
      </c>
      <c r="U146" s="11">
        <v>153</v>
      </c>
      <c r="V146" s="11">
        <v>105</v>
      </c>
      <c r="W146" s="11">
        <v>9</v>
      </c>
      <c r="X146" s="25" t="s">
        <v>886</v>
      </c>
    </row>
    <row r="147" spans="1:24" ht="14.25" customHeight="1" x14ac:dyDescent="0.25">
      <c r="A147" s="11"/>
      <c r="B147" s="11">
        <v>13</v>
      </c>
      <c r="C147" s="11" t="s">
        <v>148</v>
      </c>
      <c r="D147" s="11"/>
      <c r="E147" s="11"/>
      <c r="F147" s="11" t="s">
        <v>886</v>
      </c>
      <c r="G147" s="11">
        <v>0</v>
      </c>
      <c r="H147" s="11" t="s">
        <v>664</v>
      </c>
      <c r="I147" s="11" t="s">
        <v>116</v>
      </c>
      <c r="J147" s="11" t="s">
        <v>764</v>
      </c>
      <c r="K147" s="11" t="s">
        <v>875</v>
      </c>
      <c r="L147" s="11">
        <v>57</v>
      </c>
      <c r="M147" s="11">
        <v>12</v>
      </c>
      <c r="N147" s="11">
        <v>133</v>
      </c>
      <c r="O147" s="11">
        <v>115</v>
      </c>
      <c r="P147" s="11">
        <v>18</v>
      </c>
      <c r="Q147" s="11">
        <v>137</v>
      </c>
      <c r="R147" s="11">
        <v>178</v>
      </c>
      <c r="S147" s="11">
        <v>131</v>
      </c>
      <c r="T147" s="11">
        <v>148</v>
      </c>
      <c r="U147" s="11">
        <v>172</v>
      </c>
      <c r="V147" s="11">
        <v>144</v>
      </c>
      <c r="W147" s="11">
        <v>13</v>
      </c>
      <c r="X147" s="25" t="s">
        <v>886</v>
      </c>
    </row>
    <row r="148" spans="1:24" ht="14.25" customHeight="1" x14ac:dyDescent="0.25">
      <c r="A148" s="11"/>
      <c r="B148" s="11">
        <v>9</v>
      </c>
      <c r="C148" s="11" t="s">
        <v>148</v>
      </c>
      <c r="D148" s="11"/>
      <c r="E148" s="11">
        <v>1</v>
      </c>
      <c r="F148" s="11" t="s">
        <v>886</v>
      </c>
      <c r="G148" s="11">
        <v>0</v>
      </c>
      <c r="H148" s="11" t="s">
        <v>170</v>
      </c>
      <c r="I148" s="11" t="s">
        <v>126</v>
      </c>
      <c r="J148" s="11" t="s">
        <v>762</v>
      </c>
      <c r="K148" s="11" t="s">
        <v>848</v>
      </c>
      <c r="L148" s="11">
        <v>32</v>
      </c>
      <c r="M148" s="11">
        <v>12</v>
      </c>
      <c r="N148" s="11">
        <v>135</v>
      </c>
      <c r="O148" s="11">
        <v>116</v>
      </c>
      <c r="P148" s="11">
        <v>19</v>
      </c>
      <c r="Q148" s="11">
        <v>117</v>
      </c>
      <c r="R148" s="11">
        <v>105</v>
      </c>
      <c r="S148" s="11">
        <v>104</v>
      </c>
      <c r="T148" s="11">
        <v>98</v>
      </c>
      <c r="U148" s="11">
        <v>100</v>
      </c>
      <c r="V148" s="11">
        <v>110</v>
      </c>
      <c r="W148" s="11">
        <v>10</v>
      </c>
      <c r="X148" s="25" t="s">
        <v>1075</v>
      </c>
    </row>
    <row r="149" spans="1:24" ht="14.25" customHeight="1" x14ac:dyDescent="0.25">
      <c r="A149" s="11"/>
      <c r="B149" s="11">
        <v>13</v>
      </c>
      <c r="C149" s="11" t="s">
        <v>148</v>
      </c>
      <c r="D149" s="11"/>
      <c r="E149" s="11"/>
      <c r="F149" s="11" t="s">
        <v>886</v>
      </c>
      <c r="G149" s="11" t="s">
        <v>148</v>
      </c>
      <c r="H149" s="11" t="s">
        <v>684</v>
      </c>
      <c r="I149" s="11" t="s">
        <v>55</v>
      </c>
      <c r="J149" s="11" t="s">
        <v>764</v>
      </c>
      <c r="K149" s="11" t="s">
        <v>854</v>
      </c>
      <c r="L149" s="11">
        <v>48</v>
      </c>
      <c r="M149" s="11">
        <v>12</v>
      </c>
      <c r="N149" s="11">
        <v>141</v>
      </c>
      <c r="O149" s="11">
        <v>131</v>
      </c>
      <c r="P149" s="11">
        <v>10</v>
      </c>
      <c r="Q149" s="11">
        <v>162</v>
      </c>
      <c r="R149" s="11">
        <v>169</v>
      </c>
      <c r="S149" s="11">
        <v>154</v>
      </c>
      <c r="T149" s="11">
        <v>115</v>
      </c>
      <c r="U149" s="11">
        <v>127</v>
      </c>
      <c r="V149" s="11">
        <v>142</v>
      </c>
      <c r="W149" s="11">
        <v>12</v>
      </c>
      <c r="X149" s="25" t="s">
        <v>1076</v>
      </c>
    </row>
    <row r="150" spans="1:24" ht="14.25" customHeight="1" x14ac:dyDescent="0.25">
      <c r="A150" s="11"/>
      <c r="B150" s="11">
        <v>9</v>
      </c>
      <c r="C150" s="11" t="s">
        <v>148</v>
      </c>
      <c r="D150" s="11"/>
      <c r="E150" s="11">
        <v>2</v>
      </c>
      <c r="F150" s="11" t="s">
        <v>886</v>
      </c>
      <c r="G150" s="11">
        <v>0</v>
      </c>
      <c r="H150" s="11" t="s">
        <v>157</v>
      </c>
      <c r="I150" s="11" t="s">
        <v>199</v>
      </c>
      <c r="J150" s="11" t="s">
        <v>762</v>
      </c>
      <c r="K150" s="11" t="s">
        <v>848</v>
      </c>
      <c r="L150" s="11">
        <v>33</v>
      </c>
      <c r="M150" s="11">
        <v>9</v>
      </c>
      <c r="N150" s="11">
        <v>96</v>
      </c>
      <c r="O150" s="11">
        <v>106</v>
      </c>
      <c r="P150" s="11">
        <v>-10</v>
      </c>
      <c r="Q150" s="11">
        <v>90</v>
      </c>
      <c r="R150" s="11">
        <v>116</v>
      </c>
      <c r="S150" s="11">
        <v>94</v>
      </c>
      <c r="T150" s="11">
        <v>85</v>
      </c>
      <c r="U150" s="11">
        <v>121</v>
      </c>
      <c r="V150" s="11">
        <v>101</v>
      </c>
      <c r="W150" s="11">
        <v>9</v>
      </c>
      <c r="X150" s="25" t="s">
        <v>886</v>
      </c>
    </row>
    <row r="151" spans="1:24" ht="14.25" customHeight="1" x14ac:dyDescent="0.25">
      <c r="A151" s="11"/>
      <c r="B151" s="11">
        <v>15</v>
      </c>
      <c r="C151" s="11" t="s">
        <v>148</v>
      </c>
      <c r="D151" s="11"/>
      <c r="E151" s="11"/>
      <c r="F151" s="11" t="s">
        <v>886</v>
      </c>
      <c r="G151" s="11">
        <v>0</v>
      </c>
      <c r="H151" s="11" t="s">
        <v>306</v>
      </c>
      <c r="I151" s="11" t="s">
        <v>49</v>
      </c>
      <c r="J151" s="11" t="s">
        <v>760</v>
      </c>
      <c r="K151" s="11" t="s">
        <v>903</v>
      </c>
      <c r="L151" s="11">
        <v>0</v>
      </c>
      <c r="M151" s="11">
        <v>13</v>
      </c>
      <c r="N151" s="11">
        <v>151</v>
      </c>
      <c r="O151" s="11">
        <v>177</v>
      </c>
      <c r="P151" s="11">
        <v>-26</v>
      </c>
      <c r="Q151" s="11">
        <v>168</v>
      </c>
      <c r="R151" s="11">
        <v>160</v>
      </c>
      <c r="S151" s="11">
        <v>197</v>
      </c>
      <c r="T151" s="11">
        <v>207</v>
      </c>
      <c r="U151" s="11">
        <v>167</v>
      </c>
      <c r="V151" s="11">
        <v>175</v>
      </c>
      <c r="W151" s="11">
        <v>15</v>
      </c>
      <c r="X151" s="25" t="s">
        <v>886</v>
      </c>
    </row>
    <row r="152" spans="1:24" ht="14.25" customHeight="1" x14ac:dyDescent="0.25">
      <c r="A152" s="11"/>
      <c r="B152" s="11">
        <v>14</v>
      </c>
      <c r="C152" s="11" t="s">
        <v>148</v>
      </c>
      <c r="D152" s="11"/>
      <c r="E152" s="11"/>
      <c r="F152" s="11" t="s">
        <v>886</v>
      </c>
      <c r="G152" s="11">
        <v>0</v>
      </c>
      <c r="H152" s="11" t="s">
        <v>409</v>
      </c>
      <c r="I152" s="11" t="s">
        <v>88</v>
      </c>
      <c r="J152" s="11" t="s">
        <v>764</v>
      </c>
      <c r="K152" s="11" t="s">
        <v>875</v>
      </c>
      <c r="L152" s="11">
        <v>58</v>
      </c>
      <c r="M152" s="11">
        <v>12</v>
      </c>
      <c r="N152" s="11">
        <v>140</v>
      </c>
      <c r="O152" s="11">
        <v>119</v>
      </c>
      <c r="P152" s="11">
        <v>21</v>
      </c>
      <c r="Q152" s="11">
        <v>150</v>
      </c>
      <c r="R152" s="11">
        <v>118</v>
      </c>
      <c r="S152" s="11">
        <v>134</v>
      </c>
      <c r="T152" s="11">
        <v>164</v>
      </c>
      <c r="U152" s="11">
        <v>222</v>
      </c>
      <c r="V152" s="11">
        <v>149</v>
      </c>
      <c r="W152" s="11">
        <v>13</v>
      </c>
      <c r="X152" s="25" t="s">
        <v>886</v>
      </c>
    </row>
    <row r="153" spans="1:24" ht="14.25" customHeight="1" x14ac:dyDescent="0.25">
      <c r="A153" s="11"/>
      <c r="B153" s="11">
        <v>16</v>
      </c>
      <c r="C153" s="11" t="s">
        <v>148</v>
      </c>
      <c r="D153" s="11"/>
      <c r="E153" s="11"/>
      <c r="F153" s="11" t="s">
        <v>886</v>
      </c>
      <c r="G153" s="11">
        <v>0</v>
      </c>
      <c r="H153" s="11" t="s">
        <v>688</v>
      </c>
      <c r="I153" s="11" t="s">
        <v>39</v>
      </c>
      <c r="J153" s="11" t="s">
        <v>760</v>
      </c>
      <c r="K153" s="11" t="s">
        <v>903</v>
      </c>
      <c r="L153" s="11">
        <v>24</v>
      </c>
      <c r="M153" s="11">
        <v>12</v>
      </c>
      <c r="N153" s="11">
        <v>142</v>
      </c>
      <c r="O153" s="11">
        <v>143</v>
      </c>
      <c r="P153" s="11">
        <v>-1</v>
      </c>
      <c r="Q153" s="11">
        <v>177</v>
      </c>
      <c r="R153" s="11">
        <v>181</v>
      </c>
      <c r="S153" s="11">
        <v>164</v>
      </c>
      <c r="T153" s="11">
        <v>189</v>
      </c>
      <c r="U153" s="11">
        <v>189</v>
      </c>
      <c r="V153" s="11">
        <v>169</v>
      </c>
      <c r="W153" s="11">
        <v>15</v>
      </c>
      <c r="X153" s="25" t="s">
        <v>886</v>
      </c>
    </row>
    <row r="154" spans="1:24" ht="14.25" customHeight="1" x14ac:dyDescent="0.25">
      <c r="A154" s="11"/>
      <c r="B154" s="11">
        <v>7</v>
      </c>
      <c r="C154" s="11" t="s">
        <v>148</v>
      </c>
      <c r="D154" s="11"/>
      <c r="E154" s="11">
        <v>3</v>
      </c>
      <c r="F154" s="11" t="s">
        <v>886</v>
      </c>
      <c r="G154" s="11">
        <v>0</v>
      </c>
      <c r="H154" s="11" t="s">
        <v>435</v>
      </c>
      <c r="I154" s="11" t="s">
        <v>126</v>
      </c>
      <c r="J154" s="11" t="s">
        <v>762</v>
      </c>
      <c r="K154" s="11" t="s">
        <v>848</v>
      </c>
      <c r="L154" s="11">
        <v>34</v>
      </c>
      <c r="M154" s="11">
        <v>6</v>
      </c>
      <c r="N154" s="11">
        <v>67</v>
      </c>
      <c r="O154" s="11">
        <v>84</v>
      </c>
      <c r="P154" s="11">
        <v>-17</v>
      </c>
      <c r="Q154" s="11">
        <v>70</v>
      </c>
      <c r="R154" s="11">
        <v>81</v>
      </c>
      <c r="S154" s="11">
        <v>80</v>
      </c>
      <c r="T154" s="11">
        <v>82</v>
      </c>
      <c r="U154" s="11">
        <v>101</v>
      </c>
      <c r="V154" s="11">
        <v>80</v>
      </c>
      <c r="W154" s="11">
        <v>7</v>
      </c>
      <c r="X154" s="25" t="s">
        <v>1077</v>
      </c>
    </row>
    <row r="155" spans="1:24" ht="14.25" customHeight="1" x14ac:dyDescent="0.25">
      <c r="A155" s="11"/>
      <c r="B155" s="11">
        <v>11</v>
      </c>
      <c r="C155" s="11" t="s">
        <v>148</v>
      </c>
      <c r="D155" s="11"/>
      <c r="E155" s="11"/>
      <c r="F155" s="11" t="s">
        <v>886</v>
      </c>
      <c r="G155" s="11" t="s">
        <v>148</v>
      </c>
      <c r="H155" s="11" t="s">
        <v>250</v>
      </c>
      <c r="I155" s="11" t="s">
        <v>39</v>
      </c>
      <c r="J155" s="11" t="s">
        <v>769</v>
      </c>
      <c r="K155" s="11" t="s">
        <v>891</v>
      </c>
      <c r="L155" s="11">
        <v>15</v>
      </c>
      <c r="M155" s="11">
        <v>14</v>
      </c>
      <c r="N155" s="11">
        <v>159</v>
      </c>
      <c r="O155" s="11">
        <v>140</v>
      </c>
      <c r="P155" s="11">
        <v>19</v>
      </c>
      <c r="Q155" s="11">
        <v>148</v>
      </c>
      <c r="R155" s="11">
        <v>141</v>
      </c>
      <c r="S155" s="11">
        <v>114</v>
      </c>
      <c r="T155" s="11">
        <v>121</v>
      </c>
      <c r="U155" s="11">
        <v>129</v>
      </c>
      <c r="V155" s="11">
        <v>136</v>
      </c>
      <c r="W155" s="11">
        <v>12</v>
      </c>
      <c r="X155" s="25" t="s">
        <v>886</v>
      </c>
    </row>
    <row r="156" spans="1:24" ht="14.25" customHeight="1" x14ac:dyDescent="0.25">
      <c r="A156" s="11"/>
      <c r="B156" s="11">
        <v>17</v>
      </c>
      <c r="C156" s="11" t="s">
        <v>148</v>
      </c>
      <c r="D156" s="11"/>
      <c r="E156" s="11"/>
      <c r="F156" s="11" t="s">
        <v>886</v>
      </c>
      <c r="G156" s="11">
        <v>0</v>
      </c>
      <c r="H156" s="11" t="s">
        <v>588</v>
      </c>
      <c r="I156" s="11" t="s">
        <v>94</v>
      </c>
      <c r="J156" s="11" t="s">
        <v>760</v>
      </c>
      <c r="K156" s="11" t="s">
        <v>903</v>
      </c>
      <c r="L156" s="11">
        <v>0</v>
      </c>
      <c r="M156" s="11">
        <v>13</v>
      </c>
      <c r="N156" s="11">
        <v>145</v>
      </c>
      <c r="O156" s="11">
        <v>164</v>
      </c>
      <c r="P156" s="11">
        <v>-19</v>
      </c>
      <c r="Q156" s="11">
        <v>176</v>
      </c>
      <c r="R156" s="11">
        <v>207</v>
      </c>
      <c r="S156" s="11">
        <v>198</v>
      </c>
      <c r="T156" s="11">
        <v>228</v>
      </c>
      <c r="U156" s="11">
        <v>205</v>
      </c>
      <c r="V156" s="11">
        <v>189</v>
      </c>
      <c r="W156" s="11">
        <v>16</v>
      </c>
      <c r="X156" s="25" t="s">
        <v>886</v>
      </c>
    </row>
    <row r="157" spans="1:24" ht="14.25" customHeight="1" x14ac:dyDescent="0.25">
      <c r="A157" s="11"/>
      <c r="B157" s="11">
        <v>18</v>
      </c>
      <c r="C157" s="11" t="s">
        <v>148</v>
      </c>
      <c r="D157" s="11"/>
      <c r="E157" s="11"/>
      <c r="F157" s="11" t="s">
        <v>886</v>
      </c>
      <c r="G157" s="11">
        <v>0</v>
      </c>
      <c r="H157" s="11" t="s">
        <v>721</v>
      </c>
      <c r="I157" s="69" t="s">
        <v>104</v>
      </c>
      <c r="J157" s="11" t="s">
        <v>764</v>
      </c>
      <c r="K157" s="11" t="s">
        <v>875</v>
      </c>
      <c r="L157" s="11">
        <v>59</v>
      </c>
      <c r="M157" s="11">
        <v>14</v>
      </c>
      <c r="N157" s="11">
        <v>156</v>
      </c>
      <c r="O157" s="11">
        <v>148</v>
      </c>
      <c r="P157" s="11">
        <v>8</v>
      </c>
      <c r="Q157" s="11">
        <v>199</v>
      </c>
      <c r="R157" s="11">
        <v>224</v>
      </c>
      <c r="S157" s="11">
        <v>159</v>
      </c>
      <c r="T157" s="11">
        <v>199</v>
      </c>
      <c r="U157" s="11">
        <v>263</v>
      </c>
      <c r="V157" s="11">
        <v>192</v>
      </c>
      <c r="W157" s="11">
        <v>17</v>
      </c>
      <c r="X157" s="25" t="s">
        <v>886</v>
      </c>
    </row>
    <row r="158" spans="1:24" ht="14.25" customHeight="1" x14ac:dyDescent="0.25">
      <c r="A158" s="11"/>
      <c r="B158" s="11">
        <v>18</v>
      </c>
      <c r="C158" s="11" t="s">
        <v>148</v>
      </c>
      <c r="D158" s="11"/>
      <c r="E158" s="11"/>
      <c r="F158" s="11" t="s">
        <v>886</v>
      </c>
      <c r="G158" s="11">
        <v>0</v>
      </c>
      <c r="H158" s="11" t="s">
        <v>1078</v>
      </c>
      <c r="I158" s="11" t="s">
        <v>187</v>
      </c>
      <c r="J158" s="11" t="s">
        <v>764</v>
      </c>
      <c r="K158" s="11">
        <v>0</v>
      </c>
      <c r="L158" s="11">
        <v>0</v>
      </c>
      <c r="M158" s="11">
        <v>13</v>
      </c>
      <c r="N158" s="11">
        <v>149</v>
      </c>
      <c r="O158" s="11">
        <v>152</v>
      </c>
      <c r="P158" s="11">
        <v>-3</v>
      </c>
      <c r="Q158" s="11">
        <v>204</v>
      </c>
      <c r="R158" s="11">
        <v>163</v>
      </c>
      <c r="S158" s="11">
        <v>155</v>
      </c>
      <c r="T158" s="11">
        <v>192</v>
      </c>
      <c r="U158" s="11">
        <v>309</v>
      </c>
      <c r="V158" s="11">
        <v>189</v>
      </c>
      <c r="W158" s="11">
        <v>16</v>
      </c>
      <c r="X158" s="25" t="s">
        <v>886</v>
      </c>
    </row>
    <row r="159" spans="1:24" ht="14.25" customHeight="1" x14ac:dyDescent="0.25">
      <c r="A159" s="11"/>
      <c r="B159" s="11">
        <v>14</v>
      </c>
      <c r="C159" s="11" t="s">
        <v>148</v>
      </c>
      <c r="D159" s="11"/>
      <c r="E159" s="11"/>
      <c r="F159" s="11" t="s">
        <v>886</v>
      </c>
      <c r="G159" s="11">
        <v>0</v>
      </c>
      <c r="H159" s="11" t="s">
        <v>933</v>
      </c>
      <c r="I159" s="11" t="s">
        <v>168</v>
      </c>
      <c r="J159" s="11" t="s">
        <v>764</v>
      </c>
      <c r="K159" s="11" t="s">
        <v>912</v>
      </c>
      <c r="L159" s="11">
        <v>60</v>
      </c>
      <c r="M159" s="11">
        <v>13</v>
      </c>
      <c r="N159" s="11">
        <v>154</v>
      </c>
      <c r="O159" s="11">
        <v>117</v>
      </c>
      <c r="P159" s="11">
        <v>37</v>
      </c>
      <c r="Q159" s="11">
        <v>171</v>
      </c>
      <c r="R159" s="11">
        <v>167</v>
      </c>
      <c r="S159" s="11">
        <v>136</v>
      </c>
      <c r="T159" s="11">
        <v>140</v>
      </c>
      <c r="U159" s="11">
        <v>174</v>
      </c>
      <c r="V159" s="11">
        <v>151</v>
      </c>
      <c r="W159" s="11">
        <v>13</v>
      </c>
      <c r="X159" s="25" t="s">
        <v>886</v>
      </c>
    </row>
    <row r="160" spans="1:24" ht="14.25" customHeight="1" x14ac:dyDescent="0.25">
      <c r="A160" s="11"/>
      <c r="B160" s="11">
        <v>13</v>
      </c>
      <c r="C160" s="11" t="s">
        <v>148</v>
      </c>
      <c r="D160" s="11"/>
      <c r="E160" s="11"/>
      <c r="F160" s="11" t="s">
        <v>886</v>
      </c>
      <c r="G160" s="11">
        <v>0</v>
      </c>
      <c r="H160" s="11" t="s">
        <v>947</v>
      </c>
      <c r="I160" s="11" t="s">
        <v>184</v>
      </c>
      <c r="J160" s="11" t="s">
        <v>769</v>
      </c>
      <c r="K160" s="11">
        <v>0</v>
      </c>
      <c r="L160" s="11">
        <v>0</v>
      </c>
      <c r="M160" s="11">
        <v>13</v>
      </c>
      <c r="N160" s="11">
        <v>153</v>
      </c>
      <c r="O160" s="11">
        <v>165</v>
      </c>
      <c r="P160" s="11">
        <v>-12</v>
      </c>
      <c r="Q160" s="11">
        <v>115</v>
      </c>
      <c r="R160" s="11">
        <v>154</v>
      </c>
      <c r="S160" s="11">
        <v>133</v>
      </c>
      <c r="T160" s="11">
        <v>165</v>
      </c>
      <c r="U160" s="11">
        <v>162</v>
      </c>
      <c r="V160" s="11">
        <v>149</v>
      </c>
      <c r="W160" s="11">
        <v>13</v>
      </c>
      <c r="X160" s="25" t="s">
        <v>886</v>
      </c>
    </row>
    <row r="161" spans="1:24" ht="14.25" customHeight="1" x14ac:dyDescent="0.25">
      <c r="A161" s="11"/>
      <c r="B161" s="11">
        <v>15</v>
      </c>
      <c r="C161" s="11" t="s">
        <v>148</v>
      </c>
      <c r="D161" s="11"/>
      <c r="E161" s="11"/>
      <c r="F161" s="11" t="s">
        <v>886</v>
      </c>
      <c r="G161" s="11">
        <v>0</v>
      </c>
      <c r="H161" s="11" t="s">
        <v>619</v>
      </c>
      <c r="I161" s="11" t="s">
        <v>81</v>
      </c>
      <c r="J161" s="11" t="s">
        <v>760</v>
      </c>
      <c r="K161" s="11" t="s">
        <v>903</v>
      </c>
      <c r="L161" s="11">
        <v>20</v>
      </c>
      <c r="M161" s="11">
        <v>13</v>
      </c>
      <c r="N161" s="11">
        <v>152</v>
      </c>
      <c r="O161" s="11">
        <v>158</v>
      </c>
      <c r="P161" s="11">
        <v>-6</v>
      </c>
      <c r="Q161" s="11">
        <v>154</v>
      </c>
      <c r="R161" s="11">
        <v>166</v>
      </c>
      <c r="S161" s="11">
        <v>183</v>
      </c>
      <c r="T161" s="11">
        <v>198</v>
      </c>
      <c r="U161" s="11">
        <v>193</v>
      </c>
      <c r="V161" s="11">
        <v>172</v>
      </c>
      <c r="W161" s="11">
        <v>15</v>
      </c>
      <c r="X161" s="25" t="s">
        <v>886</v>
      </c>
    </row>
    <row r="162" spans="1:24" ht="14.25" customHeight="1" x14ac:dyDescent="0.25">
      <c r="A162" s="11"/>
      <c r="B162" s="11">
        <v>15</v>
      </c>
      <c r="C162" s="11" t="s">
        <v>148</v>
      </c>
      <c r="D162" s="11"/>
      <c r="E162" s="11"/>
      <c r="F162" s="11" t="s">
        <v>886</v>
      </c>
      <c r="G162" s="11">
        <v>0</v>
      </c>
      <c r="H162" s="11" t="s">
        <v>181</v>
      </c>
      <c r="I162" s="11" t="s">
        <v>155</v>
      </c>
      <c r="J162" s="11" t="s">
        <v>764</v>
      </c>
      <c r="K162" s="11" t="s">
        <v>854</v>
      </c>
      <c r="L162" s="11">
        <v>49</v>
      </c>
      <c r="M162" s="11">
        <v>14</v>
      </c>
      <c r="N162" s="11">
        <v>162</v>
      </c>
      <c r="O162" s="11">
        <v>111</v>
      </c>
      <c r="P162" s="11">
        <v>51</v>
      </c>
      <c r="Q162" s="11">
        <v>175</v>
      </c>
      <c r="R162" s="11">
        <v>195</v>
      </c>
      <c r="S162" s="11">
        <v>141</v>
      </c>
      <c r="T162" s="11">
        <v>145</v>
      </c>
      <c r="U162" s="11">
        <v>210</v>
      </c>
      <c r="V162" s="11">
        <v>162</v>
      </c>
      <c r="W162" s="11">
        <v>14</v>
      </c>
      <c r="X162" s="25" t="s">
        <v>1079</v>
      </c>
    </row>
    <row r="163" spans="1:24" ht="14.25" customHeight="1" x14ac:dyDescent="0.25">
      <c r="A163" s="11"/>
      <c r="B163" s="11">
        <v>8</v>
      </c>
      <c r="C163" s="11" t="s">
        <v>148</v>
      </c>
      <c r="D163" s="11"/>
      <c r="E163" s="11">
        <v>2</v>
      </c>
      <c r="F163" s="11" t="s">
        <v>886</v>
      </c>
      <c r="G163" s="11">
        <v>0</v>
      </c>
      <c r="H163" s="11" t="s">
        <v>231</v>
      </c>
      <c r="I163" s="44" t="s">
        <v>233</v>
      </c>
      <c r="J163" s="11" t="s">
        <v>762</v>
      </c>
      <c r="K163" s="11" t="s">
        <v>848</v>
      </c>
      <c r="L163" s="11">
        <v>35</v>
      </c>
      <c r="M163" s="11">
        <v>7</v>
      </c>
      <c r="N163" s="11">
        <v>75</v>
      </c>
      <c r="O163" s="11">
        <v>88</v>
      </c>
      <c r="P163" s="11">
        <v>-13</v>
      </c>
      <c r="Q163" s="11">
        <v>88</v>
      </c>
      <c r="R163" s="11">
        <v>85</v>
      </c>
      <c r="S163" s="11">
        <v>84</v>
      </c>
      <c r="T163" s="11">
        <v>86</v>
      </c>
      <c r="U163" s="11">
        <v>107</v>
      </c>
      <c r="V163" s="11">
        <v>87</v>
      </c>
      <c r="W163" s="11">
        <v>8</v>
      </c>
      <c r="X163" s="25" t="s">
        <v>886</v>
      </c>
    </row>
    <row r="164" spans="1:24" ht="14.25" customHeight="1" x14ac:dyDescent="0.25">
      <c r="A164" s="11"/>
      <c r="B164" s="11">
        <v>17</v>
      </c>
      <c r="C164" s="11" t="s">
        <v>148</v>
      </c>
      <c r="D164" s="11"/>
      <c r="E164" s="11"/>
      <c r="F164" s="11" t="s">
        <v>886</v>
      </c>
      <c r="G164" s="11">
        <v>0</v>
      </c>
      <c r="H164" s="11" t="s">
        <v>433</v>
      </c>
      <c r="I164" s="11" t="s">
        <v>229</v>
      </c>
      <c r="J164" s="11" t="s">
        <v>769</v>
      </c>
      <c r="K164" s="11">
        <v>0</v>
      </c>
      <c r="L164" s="11">
        <v>0</v>
      </c>
      <c r="M164" s="11">
        <v>13</v>
      </c>
      <c r="N164" s="11">
        <v>144</v>
      </c>
      <c r="O164" s="11">
        <v>166</v>
      </c>
      <c r="P164" s="11">
        <v>-22</v>
      </c>
      <c r="Q164" s="11" t="s">
        <v>36</v>
      </c>
      <c r="R164" s="11" t="s">
        <v>36</v>
      </c>
      <c r="S164" s="11">
        <v>150</v>
      </c>
      <c r="T164" s="11">
        <v>208</v>
      </c>
      <c r="U164" s="11">
        <v>218</v>
      </c>
      <c r="V164" s="11">
        <v>177</v>
      </c>
      <c r="W164" s="11">
        <v>15</v>
      </c>
      <c r="X164" s="25" t="s">
        <v>886</v>
      </c>
    </row>
    <row r="165" spans="1:24" ht="14.25" customHeight="1" x14ac:dyDescent="0.25">
      <c r="A165" s="11"/>
      <c r="B165" s="11">
        <v>10</v>
      </c>
      <c r="C165" s="11" t="s">
        <v>148</v>
      </c>
      <c r="D165" s="11"/>
      <c r="E165" s="11">
        <v>1</v>
      </c>
      <c r="F165" s="11" t="s">
        <v>886</v>
      </c>
      <c r="G165" s="11">
        <v>0</v>
      </c>
      <c r="H165" s="11" t="s">
        <v>413</v>
      </c>
      <c r="I165" s="11" t="s">
        <v>55</v>
      </c>
      <c r="J165" s="11" t="s">
        <v>762</v>
      </c>
      <c r="K165" s="11" t="s">
        <v>848</v>
      </c>
      <c r="L165" s="11">
        <v>36</v>
      </c>
      <c r="M165" s="11">
        <v>13</v>
      </c>
      <c r="N165" s="11">
        <v>147</v>
      </c>
      <c r="O165" s="11">
        <v>133</v>
      </c>
      <c r="P165" s="11">
        <v>14</v>
      </c>
      <c r="Q165" s="11">
        <v>125</v>
      </c>
      <c r="R165" s="11">
        <v>168</v>
      </c>
      <c r="S165" s="11">
        <v>125</v>
      </c>
      <c r="T165" s="11">
        <v>78</v>
      </c>
      <c r="U165" s="11">
        <v>103</v>
      </c>
      <c r="V165" s="11">
        <v>125</v>
      </c>
      <c r="W165" s="11">
        <v>11</v>
      </c>
      <c r="X165" s="25" t="s">
        <v>886</v>
      </c>
    </row>
    <row r="166" spans="1:24" ht="14.25" customHeight="1" x14ac:dyDescent="0.25">
      <c r="A166" s="11"/>
      <c r="B166" s="11">
        <v>11</v>
      </c>
      <c r="C166" s="11" t="s">
        <v>148</v>
      </c>
      <c r="D166" s="11"/>
      <c r="E166" s="11"/>
      <c r="F166" s="11" t="s">
        <v>886</v>
      </c>
      <c r="G166" s="11">
        <v>0</v>
      </c>
      <c r="H166" s="11" t="s">
        <v>471</v>
      </c>
      <c r="I166" s="11" t="s">
        <v>168</v>
      </c>
      <c r="J166" s="11" t="s">
        <v>1080</v>
      </c>
      <c r="K166" s="11">
        <v>0</v>
      </c>
      <c r="L166" s="11">
        <v>0</v>
      </c>
      <c r="M166" s="11">
        <v>14</v>
      </c>
      <c r="N166" s="11">
        <v>158</v>
      </c>
      <c r="O166" s="11" t="s">
        <v>36</v>
      </c>
      <c r="P166" s="11" t="e">
        <v>#VALUE!</v>
      </c>
      <c r="Q166" s="11">
        <v>106</v>
      </c>
      <c r="R166" s="11">
        <v>94</v>
      </c>
      <c r="S166" s="11">
        <v>203</v>
      </c>
      <c r="T166" s="11">
        <v>147</v>
      </c>
      <c r="U166" s="11">
        <v>82</v>
      </c>
      <c r="V166" s="11">
        <v>131</v>
      </c>
      <c r="W166" s="11">
        <v>11</v>
      </c>
      <c r="X166" s="25" t="s">
        <v>886</v>
      </c>
    </row>
    <row r="167" spans="1:24" ht="14.25" customHeight="1" x14ac:dyDescent="0.25">
      <c r="A167" s="11"/>
      <c r="B167" s="11">
        <v>10</v>
      </c>
      <c r="C167" s="11" t="s">
        <v>148</v>
      </c>
      <c r="D167" s="11"/>
      <c r="E167" s="11">
        <v>3</v>
      </c>
      <c r="F167" s="11" t="s">
        <v>886</v>
      </c>
      <c r="G167" s="11">
        <v>0</v>
      </c>
      <c r="H167" s="11" t="s">
        <v>222</v>
      </c>
      <c r="I167" s="11" t="s">
        <v>104</v>
      </c>
      <c r="J167" s="11" t="s">
        <v>762</v>
      </c>
      <c r="K167" s="11" t="s">
        <v>848</v>
      </c>
      <c r="L167" s="11">
        <v>37</v>
      </c>
      <c r="M167" s="11">
        <v>10</v>
      </c>
      <c r="N167" s="11">
        <v>116</v>
      </c>
      <c r="O167" s="11">
        <v>125</v>
      </c>
      <c r="P167" s="11">
        <v>-9</v>
      </c>
      <c r="Q167" s="11">
        <v>109</v>
      </c>
      <c r="R167" s="11">
        <v>107</v>
      </c>
      <c r="S167" s="11">
        <v>126</v>
      </c>
      <c r="T167" s="11">
        <v>111</v>
      </c>
      <c r="U167" s="11">
        <v>130</v>
      </c>
      <c r="V167" s="11">
        <v>117</v>
      </c>
      <c r="W167" s="11">
        <v>10</v>
      </c>
      <c r="X167" s="25" t="s">
        <v>886</v>
      </c>
    </row>
    <row r="168" spans="1:24" ht="14.25" customHeight="1" x14ac:dyDescent="0.25">
      <c r="A168" s="11"/>
      <c r="B168" s="11">
        <v>16</v>
      </c>
      <c r="C168" s="11" t="s">
        <v>148</v>
      </c>
      <c r="D168" s="11"/>
      <c r="E168" s="11"/>
      <c r="F168" s="11" t="s">
        <v>886</v>
      </c>
      <c r="G168" s="11">
        <v>0</v>
      </c>
      <c r="H168" s="11" t="s">
        <v>911</v>
      </c>
      <c r="I168" s="11" t="s">
        <v>66</v>
      </c>
      <c r="J168" s="11" t="s">
        <v>764</v>
      </c>
      <c r="K168" s="11" t="s">
        <v>912</v>
      </c>
      <c r="L168" s="11">
        <v>61</v>
      </c>
      <c r="M168" s="11">
        <v>13</v>
      </c>
      <c r="N168" s="11">
        <v>150</v>
      </c>
      <c r="O168" s="11">
        <v>136</v>
      </c>
      <c r="P168" s="11">
        <v>14</v>
      </c>
      <c r="Q168" s="11" t="s">
        <v>36</v>
      </c>
      <c r="R168" s="11" t="s">
        <v>36</v>
      </c>
      <c r="S168" s="11">
        <v>158</v>
      </c>
      <c r="T168" s="11">
        <v>174</v>
      </c>
      <c r="U168" s="11">
        <v>235</v>
      </c>
      <c r="V168" s="11">
        <v>170</v>
      </c>
      <c r="W168" s="11">
        <v>15</v>
      </c>
      <c r="X168" s="25" t="s">
        <v>886</v>
      </c>
    </row>
    <row r="169" spans="1:24" ht="14.25" customHeight="1" x14ac:dyDescent="0.25">
      <c r="A169" s="11"/>
      <c r="B169" s="11">
        <v>12</v>
      </c>
      <c r="C169" s="11" t="s">
        <v>148</v>
      </c>
      <c r="D169" s="11"/>
      <c r="E169" s="11">
        <v>3</v>
      </c>
      <c r="F169" s="11" t="s">
        <v>886</v>
      </c>
      <c r="G169" s="11">
        <v>0</v>
      </c>
      <c r="H169" s="11" t="s">
        <v>399</v>
      </c>
      <c r="I169" s="11" t="s">
        <v>199</v>
      </c>
      <c r="J169" s="11" t="s">
        <v>762</v>
      </c>
      <c r="K169" s="11" t="s">
        <v>894</v>
      </c>
      <c r="L169" s="11">
        <v>38</v>
      </c>
      <c r="M169" s="11">
        <v>9</v>
      </c>
      <c r="N169" s="11">
        <v>101</v>
      </c>
      <c r="O169" s="11">
        <v>121</v>
      </c>
      <c r="P169" s="11">
        <v>-20</v>
      </c>
      <c r="Q169" s="11">
        <v>105</v>
      </c>
      <c r="R169" s="11">
        <v>132</v>
      </c>
      <c r="S169" s="11">
        <v>120</v>
      </c>
      <c r="T169" s="11">
        <v>122</v>
      </c>
      <c r="U169" s="11">
        <v>209</v>
      </c>
      <c r="V169" s="11">
        <v>130</v>
      </c>
      <c r="W169" s="11">
        <v>11</v>
      </c>
      <c r="X169" s="25" t="s">
        <v>886</v>
      </c>
    </row>
    <row r="170" spans="1:24" ht="14.25" customHeight="1" x14ac:dyDescent="0.25">
      <c r="A170" s="11"/>
      <c r="B170" s="11">
        <v>12</v>
      </c>
      <c r="C170" s="11" t="s">
        <v>148</v>
      </c>
      <c r="D170" s="11"/>
      <c r="E170" s="11"/>
      <c r="F170" s="11" t="s">
        <v>886</v>
      </c>
      <c r="G170" s="11">
        <v>0</v>
      </c>
      <c r="H170" s="11" t="s">
        <v>487</v>
      </c>
      <c r="I170" s="11" t="s">
        <v>78</v>
      </c>
      <c r="J170" s="11" t="s">
        <v>1080</v>
      </c>
      <c r="K170" s="11">
        <v>0</v>
      </c>
      <c r="L170" s="11">
        <v>0</v>
      </c>
      <c r="M170" s="11">
        <v>14</v>
      </c>
      <c r="N170" s="11">
        <v>165</v>
      </c>
      <c r="O170" s="11" t="s">
        <v>36</v>
      </c>
      <c r="P170" s="11" t="e">
        <v>#VALUE!</v>
      </c>
      <c r="Q170" s="11">
        <v>87</v>
      </c>
      <c r="R170" s="11">
        <v>130</v>
      </c>
      <c r="S170" s="11">
        <v>214</v>
      </c>
      <c r="T170" s="11">
        <v>144</v>
      </c>
      <c r="U170" s="11">
        <v>93</v>
      </c>
      <c r="V170" s="11">
        <v>138</v>
      </c>
      <c r="W170" s="11">
        <v>12</v>
      </c>
      <c r="X170" s="25" t="s">
        <v>886</v>
      </c>
    </row>
    <row r="171" spans="1:24" ht="14.25" customHeight="1" x14ac:dyDescent="0.25">
      <c r="A171" s="11"/>
      <c r="B171" s="11">
        <v>13</v>
      </c>
      <c r="C171" s="11" t="s">
        <v>148</v>
      </c>
      <c r="D171" s="11"/>
      <c r="E171" s="11"/>
      <c r="F171" s="11" t="s">
        <v>886</v>
      </c>
      <c r="G171" s="11">
        <v>0</v>
      </c>
      <c r="H171" s="11" t="s">
        <v>489</v>
      </c>
      <c r="I171" s="11" t="s">
        <v>233</v>
      </c>
      <c r="J171" s="11" t="s">
        <v>1080</v>
      </c>
      <c r="K171" s="11">
        <v>0</v>
      </c>
      <c r="L171" s="11">
        <v>0</v>
      </c>
      <c r="M171" s="11">
        <v>14</v>
      </c>
      <c r="N171" s="11">
        <v>166</v>
      </c>
      <c r="O171" s="11" t="s">
        <v>36</v>
      </c>
      <c r="P171" s="11" t="e">
        <v>#VALUE!</v>
      </c>
      <c r="Q171" s="11">
        <v>132</v>
      </c>
      <c r="R171" s="11">
        <v>90</v>
      </c>
      <c r="S171" s="11">
        <v>215</v>
      </c>
      <c r="T171" s="11">
        <v>154</v>
      </c>
      <c r="U171" s="11">
        <v>131</v>
      </c>
      <c r="V171" s="11">
        <v>148</v>
      </c>
      <c r="W171" s="11">
        <v>13</v>
      </c>
      <c r="X171" s="25" t="s">
        <v>886</v>
      </c>
    </row>
    <row r="172" spans="1:24" ht="14.25" customHeight="1" x14ac:dyDescent="0.25">
      <c r="A172" s="11"/>
      <c r="B172" s="11">
        <v>12</v>
      </c>
      <c r="C172" s="11" t="s">
        <v>148</v>
      </c>
      <c r="D172" s="11"/>
      <c r="E172" s="11">
        <v>1</v>
      </c>
      <c r="F172" s="11" t="s">
        <v>886</v>
      </c>
      <c r="G172" s="11">
        <v>0</v>
      </c>
      <c r="H172" s="11" t="s">
        <v>634</v>
      </c>
      <c r="I172" s="11" t="s">
        <v>88</v>
      </c>
      <c r="J172" s="11" t="s">
        <v>762</v>
      </c>
      <c r="K172" s="11" t="s">
        <v>894</v>
      </c>
      <c r="L172" s="11">
        <v>39</v>
      </c>
      <c r="M172" s="11">
        <v>13</v>
      </c>
      <c r="N172" s="11">
        <v>155</v>
      </c>
      <c r="O172" s="11">
        <v>160</v>
      </c>
      <c r="P172" s="11">
        <v>-5</v>
      </c>
      <c r="Q172" s="11">
        <v>138</v>
      </c>
      <c r="R172" s="11">
        <v>162</v>
      </c>
      <c r="S172" s="11">
        <v>148</v>
      </c>
      <c r="T172" s="11">
        <v>108</v>
      </c>
      <c r="U172" s="11">
        <v>118</v>
      </c>
      <c r="V172" s="11">
        <v>141</v>
      </c>
      <c r="W172" s="11">
        <v>12</v>
      </c>
      <c r="X172" s="25" t="s">
        <v>886</v>
      </c>
    </row>
    <row r="173" spans="1:24" ht="14.25" customHeight="1" x14ac:dyDescent="0.25">
      <c r="A173" s="11"/>
      <c r="B173" s="11">
        <v>14</v>
      </c>
      <c r="C173" s="11" t="s">
        <v>148</v>
      </c>
      <c r="D173" s="11"/>
      <c r="E173" s="11">
        <v>0</v>
      </c>
      <c r="F173" s="11" t="s">
        <v>886</v>
      </c>
      <c r="G173" s="11">
        <v>0</v>
      </c>
      <c r="H173" s="11" t="s">
        <v>381</v>
      </c>
      <c r="I173" s="11" t="s">
        <v>229</v>
      </c>
      <c r="J173" s="11" t="s">
        <v>762</v>
      </c>
      <c r="K173" s="11" t="s">
        <v>894</v>
      </c>
      <c r="L173" s="11">
        <v>40</v>
      </c>
      <c r="M173" s="11">
        <v>11</v>
      </c>
      <c r="N173" s="11">
        <v>131</v>
      </c>
      <c r="O173" s="11">
        <v>172</v>
      </c>
      <c r="P173" s="11">
        <v>-41</v>
      </c>
      <c r="Q173" s="11">
        <v>163</v>
      </c>
      <c r="R173" s="11">
        <v>165</v>
      </c>
      <c r="S173" s="11">
        <v>152</v>
      </c>
      <c r="T173" s="11">
        <v>123</v>
      </c>
      <c r="U173" s="11">
        <v>198</v>
      </c>
      <c r="V173" s="11">
        <v>157</v>
      </c>
      <c r="W173" s="11">
        <v>14</v>
      </c>
      <c r="X173" s="25" t="s">
        <v>886</v>
      </c>
    </row>
    <row r="174" spans="1:24" ht="14.25" customHeight="1" x14ac:dyDescent="0.25">
      <c r="A174" s="11"/>
      <c r="B174" s="11">
        <v>17</v>
      </c>
      <c r="C174" s="11" t="s">
        <v>148</v>
      </c>
      <c r="D174" s="11"/>
      <c r="E174" s="11"/>
      <c r="F174" s="11" t="s">
        <v>886</v>
      </c>
      <c r="G174" s="11">
        <v>0</v>
      </c>
      <c r="H174" s="11" t="s">
        <v>346</v>
      </c>
      <c r="I174" s="11" t="s">
        <v>214</v>
      </c>
      <c r="J174" s="11" t="s">
        <v>764</v>
      </c>
      <c r="K174" s="11">
        <v>0</v>
      </c>
      <c r="L174" s="11">
        <v>0</v>
      </c>
      <c r="M174" s="11">
        <v>15</v>
      </c>
      <c r="N174" s="11">
        <v>178</v>
      </c>
      <c r="O174" s="11">
        <v>149</v>
      </c>
      <c r="P174" s="11">
        <v>29</v>
      </c>
      <c r="Q174" s="11">
        <v>205</v>
      </c>
      <c r="R174" s="11" t="s">
        <v>36</v>
      </c>
      <c r="S174" s="11">
        <v>172</v>
      </c>
      <c r="T174" s="11">
        <v>210</v>
      </c>
      <c r="U174" s="11">
        <v>223</v>
      </c>
      <c r="V174" s="11">
        <v>189</v>
      </c>
      <c r="W174" s="11">
        <v>16</v>
      </c>
      <c r="X174" s="25" t="s">
        <v>886</v>
      </c>
    </row>
    <row r="175" spans="1:24" ht="14.25" customHeight="1" x14ac:dyDescent="0.25">
      <c r="A175" s="11"/>
      <c r="B175" s="11">
        <v>17</v>
      </c>
      <c r="C175" s="11" t="s">
        <v>148</v>
      </c>
      <c r="D175" s="11"/>
      <c r="E175" s="11"/>
      <c r="F175" s="11" t="s">
        <v>886</v>
      </c>
      <c r="G175" s="11">
        <v>0</v>
      </c>
      <c r="H175" s="11" t="s">
        <v>393</v>
      </c>
      <c r="I175" s="11" t="s">
        <v>199</v>
      </c>
      <c r="J175" s="11" t="s">
        <v>769</v>
      </c>
      <c r="K175" s="11">
        <v>0</v>
      </c>
      <c r="L175" s="11">
        <v>0</v>
      </c>
      <c r="M175" s="11">
        <v>14</v>
      </c>
      <c r="N175" s="11">
        <v>163</v>
      </c>
      <c r="O175" s="11">
        <v>155</v>
      </c>
      <c r="P175" s="11">
        <v>8</v>
      </c>
      <c r="Q175" s="11">
        <v>186</v>
      </c>
      <c r="R175" s="11">
        <v>205</v>
      </c>
      <c r="S175" s="11">
        <v>138</v>
      </c>
      <c r="T175" s="11">
        <v>195</v>
      </c>
      <c r="U175" s="11">
        <v>254</v>
      </c>
      <c r="V175" s="11">
        <v>185</v>
      </c>
      <c r="W175" s="11">
        <v>16</v>
      </c>
      <c r="X175" s="25" t="s">
        <v>886</v>
      </c>
    </row>
    <row r="176" spans="1:24" ht="14.25" customHeight="1" x14ac:dyDescent="0.25">
      <c r="A176" s="11"/>
      <c r="B176" s="11">
        <v>17</v>
      </c>
      <c r="C176" s="11" t="s">
        <v>148</v>
      </c>
      <c r="D176" s="11"/>
      <c r="E176" s="11"/>
      <c r="F176" s="11" t="s">
        <v>886</v>
      </c>
      <c r="G176" s="11">
        <v>0</v>
      </c>
      <c r="H176" s="11" t="s">
        <v>302</v>
      </c>
      <c r="I176" s="11" t="s">
        <v>126</v>
      </c>
      <c r="J176" s="11" t="s">
        <v>764</v>
      </c>
      <c r="K176" s="11">
        <v>0</v>
      </c>
      <c r="L176" s="11">
        <v>0</v>
      </c>
      <c r="M176" s="11">
        <v>15</v>
      </c>
      <c r="N176" s="11">
        <v>168</v>
      </c>
      <c r="O176" s="11">
        <v>170</v>
      </c>
      <c r="P176" s="11">
        <v>-2</v>
      </c>
      <c r="Q176" s="11">
        <v>165</v>
      </c>
      <c r="R176" s="11">
        <v>174</v>
      </c>
      <c r="S176" s="11">
        <v>169</v>
      </c>
      <c r="T176" s="11">
        <v>206</v>
      </c>
      <c r="U176" s="11">
        <v>249</v>
      </c>
      <c r="V176" s="11">
        <v>185</v>
      </c>
      <c r="W176" s="11">
        <v>16</v>
      </c>
      <c r="X176" s="25" t="s">
        <v>886</v>
      </c>
    </row>
    <row r="177" spans="1:24" ht="14.25" customHeight="1" x14ac:dyDescent="0.25">
      <c r="A177" s="11"/>
      <c r="B177" s="11">
        <v>15</v>
      </c>
      <c r="C177" s="11" t="s">
        <v>148</v>
      </c>
      <c r="D177" s="11"/>
      <c r="E177" s="11"/>
      <c r="F177" s="11" t="s">
        <v>886</v>
      </c>
      <c r="G177" s="11">
        <v>0</v>
      </c>
      <c r="H177" s="11" t="s">
        <v>920</v>
      </c>
      <c r="I177" s="11" t="s">
        <v>72</v>
      </c>
      <c r="J177" s="11" t="s">
        <v>764</v>
      </c>
      <c r="K177" s="11" t="s">
        <v>912</v>
      </c>
      <c r="L177" s="11">
        <v>65</v>
      </c>
      <c r="M177" s="11">
        <v>16</v>
      </c>
      <c r="N177" s="11">
        <v>191</v>
      </c>
      <c r="O177" s="11">
        <v>169</v>
      </c>
      <c r="P177" s="11">
        <v>22</v>
      </c>
      <c r="Q177" s="11">
        <v>167</v>
      </c>
      <c r="R177" s="11">
        <v>159</v>
      </c>
      <c r="S177" s="11">
        <v>168</v>
      </c>
      <c r="T177" s="11">
        <v>171</v>
      </c>
      <c r="U177" s="11">
        <v>203</v>
      </c>
      <c r="V177" s="11">
        <v>175</v>
      </c>
      <c r="W177" s="11">
        <v>15</v>
      </c>
      <c r="X177" s="25" t="s">
        <v>1081</v>
      </c>
    </row>
    <row r="178" spans="1:24" ht="14.25" customHeight="1" x14ac:dyDescent="0.25">
      <c r="A178" s="11"/>
      <c r="B178" s="11">
        <v>13</v>
      </c>
      <c r="C178" s="11" t="s">
        <v>148</v>
      </c>
      <c r="D178" s="11"/>
      <c r="E178" s="11"/>
      <c r="F178" s="11" t="s">
        <v>886</v>
      </c>
      <c r="G178" s="11">
        <v>0</v>
      </c>
      <c r="H178" s="11" t="s">
        <v>502</v>
      </c>
      <c r="I178" s="11" t="s">
        <v>91</v>
      </c>
      <c r="J178" s="11" t="s">
        <v>1080</v>
      </c>
      <c r="K178" s="11">
        <v>0</v>
      </c>
      <c r="L178" s="11">
        <v>0</v>
      </c>
      <c r="M178" s="11">
        <v>15</v>
      </c>
      <c r="N178" s="11">
        <v>169</v>
      </c>
      <c r="O178" s="11" t="s">
        <v>36</v>
      </c>
      <c r="P178" s="11" t="e">
        <v>#VALUE!</v>
      </c>
      <c r="Q178" s="11">
        <v>112</v>
      </c>
      <c r="R178" s="11">
        <v>109</v>
      </c>
      <c r="S178" s="11">
        <v>212</v>
      </c>
      <c r="T178" s="11">
        <v>181</v>
      </c>
      <c r="U178" s="11">
        <v>123</v>
      </c>
      <c r="V178" s="11">
        <v>151</v>
      </c>
      <c r="W178" s="11">
        <v>13</v>
      </c>
      <c r="X178" s="25" t="s">
        <v>886</v>
      </c>
    </row>
    <row r="179" spans="1:24" ht="14.25" customHeight="1" x14ac:dyDescent="0.25">
      <c r="A179" s="11"/>
      <c r="B179" s="11">
        <v>12</v>
      </c>
      <c r="C179" s="11" t="s">
        <v>148</v>
      </c>
      <c r="D179" s="11"/>
      <c r="E179" s="11">
        <v>2</v>
      </c>
      <c r="F179" s="11" t="s">
        <v>886</v>
      </c>
      <c r="G179" s="11" t="s">
        <v>148</v>
      </c>
      <c r="H179" s="11" t="s">
        <v>521</v>
      </c>
      <c r="I179" s="11" t="s">
        <v>69</v>
      </c>
      <c r="J179" s="11" t="s">
        <v>762</v>
      </c>
      <c r="K179" s="11" t="s">
        <v>894</v>
      </c>
      <c r="L179" s="11">
        <v>41</v>
      </c>
      <c r="M179" s="11">
        <v>12</v>
      </c>
      <c r="N179" s="11">
        <v>143</v>
      </c>
      <c r="O179" s="11">
        <v>146</v>
      </c>
      <c r="P179" s="11">
        <v>-3</v>
      </c>
      <c r="Q179" s="11">
        <v>140</v>
      </c>
      <c r="R179" s="11">
        <v>158</v>
      </c>
      <c r="S179" s="11">
        <v>113</v>
      </c>
      <c r="T179" s="11">
        <v>128</v>
      </c>
      <c r="U179" s="11">
        <v>155</v>
      </c>
      <c r="V179" s="11">
        <v>140</v>
      </c>
      <c r="W179" s="11">
        <v>12</v>
      </c>
      <c r="X179" s="25" t="s">
        <v>1082</v>
      </c>
    </row>
    <row r="180" spans="1:24" ht="14.25" customHeight="1" x14ac:dyDescent="0.25">
      <c r="A180" s="11"/>
      <c r="B180" s="11">
        <v>15</v>
      </c>
      <c r="C180" s="11" t="s">
        <v>148</v>
      </c>
      <c r="D180" s="11"/>
      <c r="E180" s="11"/>
      <c r="F180" s="11" t="s">
        <v>886</v>
      </c>
      <c r="G180" s="11">
        <v>0</v>
      </c>
      <c r="H180" s="11" t="s">
        <v>823</v>
      </c>
      <c r="I180" s="11" t="s">
        <v>85</v>
      </c>
      <c r="J180" s="11" t="s">
        <v>764</v>
      </c>
      <c r="K180" s="11">
        <v>0</v>
      </c>
      <c r="L180" s="11">
        <v>0</v>
      </c>
      <c r="M180" s="11">
        <v>15</v>
      </c>
      <c r="N180" s="11">
        <v>174</v>
      </c>
      <c r="O180" s="11">
        <v>145</v>
      </c>
      <c r="P180" s="11">
        <v>29</v>
      </c>
      <c r="Q180" s="11">
        <v>214</v>
      </c>
      <c r="R180" s="11">
        <v>170</v>
      </c>
      <c r="S180" s="11">
        <v>162</v>
      </c>
      <c r="T180" s="11">
        <v>190</v>
      </c>
      <c r="U180" s="11">
        <v>126</v>
      </c>
      <c r="V180" s="11">
        <v>168</v>
      </c>
      <c r="W180" s="11">
        <v>15</v>
      </c>
      <c r="X180" s="25" t="s">
        <v>886</v>
      </c>
    </row>
    <row r="181" spans="1:24" ht="14.25" customHeight="1" x14ac:dyDescent="0.25">
      <c r="A181" s="11"/>
      <c r="B181" s="11">
        <v>13</v>
      </c>
      <c r="C181" s="11" t="s">
        <v>148</v>
      </c>
      <c r="D181" s="11"/>
      <c r="E181" s="11">
        <v>1</v>
      </c>
      <c r="F181" s="11" t="s">
        <v>886</v>
      </c>
      <c r="G181" s="11">
        <v>0</v>
      </c>
      <c r="H181" s="11" t="s">
        <v>198</v>
      </c>
      <c r="I181" s="11" t="s">
        <v>199</v>
      </c>
      <c r="J181" s="11" t="s">
        <v>762</v>
      </c>
      <c r="K181" s="11" t="s">
        <v>894</v>
      </c>
      <c r="L181" s="11">
        <v>42</v>
      </c>
      <c r="M181" s="11">
        <v>10</v>
      </c>
      <c r="N181" s="11">
        <v>109</v>
      </c>
      <c r="O181" s="11">
        <v>124</v>
      </c>
      <c r="P181" s="11">
        <v>-15</v>
      </c>
      <c r="Q181" s="11">
        <v>146</v>
      </c>
      <c r="R181" s="11">
        <v>157</v>
      </c>
      <c r="S181" s="11">
        <v>122</v>
      </c>
      <c r="T181" s="11">
        <v>155</v>
      </c>
      <c r="U181" s="11">
        <v>163</v>
      </c>
      <c r="V181" s="11">
        <v>139</v>
      </c>
      <c r="W181" s="11">
        <v>12</v>
      </c>
      <c r="X181" s="25" t="s">
        <v>1083</v>
      </c>
    </row>
    <row r="182" spans="1:24" ht="14.25" customHeight="1" x14ac:dyDescent="0.25">
      <c r="A182" s="11"/>
      <c r="B182" s="11">
        <v>16</v>
      </c>
      <c r="C182" s="11" t="s">
        <v>148</v>
      </c>
      <c r="D182" s="11"/>
      <c r="E182" s="11"/>
      <c r="F182" s="11" t="s">
        <v>886</v>
      </c>
      <c r="G182" s="11">
        <v>0</v>
      </c>
      <c r="H182" s="11" t="s">
        <v>551</v>
      </c>
      <c r="I182" s="11" t="s">
        <v>85</v>
      </c>
      <c r="J182" s="11" t="s">
        <v>1080</v>
      </c>
      <c r="K182" s="11">
        <v>0</v>
      </c>
      <c r="L182" s="11">
        <v>0</v>
      </c>
      <c r="M182" s="11">
        <v>15</v>
      </c>
      <c r="N182" s="11">
        <v>173</v>
      </c>
      <c r="O182" s="11" t="s">
        <v>36</v>
      </c>
      <c r="P182" s="11" t="e">
        <v>#VALUE!</v>
      </c>
      <c r="Q182" s="11">
        <v>179</v>
      </c>
      <c r="R182" s="11">
        <v>187</v>
      </c>
      <c r="S182" s="11">
        <v>239</v>
      </c>
      <c r="T182" s="11">
        <v>191</v>
      </c>
      <c r="U182" s="11">
        <v>137</v>
      </c>
      <c r="V182" s="11">
        <v>184</v>
      </c>
      <c r="W182" s="11">
        <v>16</v>
      </c>
      <c r="X182" s="25" t="s">
        <v>886</v>
      </c>
    </row>
    <row r="183" spans="1:24" ht="14.25" customHeight="1" x14ac:dyDescent="0.25">
      <c r="A183" s="11"/>
      <c r="B183" s="11">
        <v>14</v>
      </c>
      <c r="C183" s="11" t="s">
        <v>148</v>
      </c>
      <c r="D183" s="11"/>
      <c r="E183" s="11"/>
      <c r="F183" s="11" t="s">
        <v>886</v>
      </c>
      <c r="G183" s="11">
        <v>0</v>
      </c>
      <c r="H183" s="11" t="s">
        <v>512</v>
      </c>
      <c r="I183" s="11" t="s">
        <v>72</v>
      </c>
      <c r="J183" s="11" t="s">
        <v>1080</v>
      </c>
      <c r="K183" s="11">
        <v>0</v>
      </c>
      <c r="L183" s="11">
        <v>0</v>
      </c>
      <c r="M183" s="11">
        <v>15</v>
      </c>
      <c r="N183" s="11">
        <v>172</v>
      </c>
      <c r="O183" s="11" t="s">
        <v>36</v>
      </c>
      <c r="P183" s="11" t="e">
        <v>#VALUE!</v>
      </c>
      <c r="Q183" s="11">
        <v>141</v>
      </c>
      <c r="R183" s="11">
        <v>119</v>
      </c>
      <c r="S183" s="11">
        <v>220</v>
      </c>
      <c r="T183" s="11">
        <v>160</v>
      </c>
      <c r="U183" s="11">
        <v>151</v>
      </c>
      <c r="V183" s="11">
        <v>160</v>
      </c>
      <c r="W183" s="11">
        <v>14</v>
      </c>
      <c r="X183" s="25" t="s">
        <v>886</v>
      </c>
    </row>
    <row r="184" spans="1:24" ht="14.25" customHeight="1" x14ac:dyDescent="0.25">
      <c r="A184" s="11"/>
      <c r="B184" s="11">
        <v>11</v>
      </c>
      <c r="C184" s="11" t="s">
        <v>148</v>
      </c>
      <c r="D184" s="11"/>
      <c r="E184" s="11"/>
      <c r="F184" s="11" t="s">
        <v>886</v>
      </c>
      <c r="G184" s="11">
        <v>0</v>
      </c>
      <c r="H184" s="11" t="s">
        <v>527</v>
      </c>
      <c r="I184" s="11" t="s">
        <v>69</v>
      </c>
      <c r="J184" s="11" t="s">
        <v>1084</v>
      </c>
      <c r="K184" s="11">
        <v>0</v>
      </c>
      <c r="L184" s="11">
        <v>0</v>
      </c>
      <c r="M184" s="11">
        <v>16</v>
      </c>
      <c r="N184" s="11">
        <v>181</v>
      </c>
      <c r="O184" s="11" t="s">
        <v>36</v>
      </c>
      <c r="P184" s="11" t="e">
        <v>#VALUE!</v>
      </c>
      <c r="Q184" s="11">
        <v>104</v>
      </c>
      <c r="R184" s="11">
        <v>104</v>
      </c>
      <c r="S184" s="11">
        <v>205</v>
      </c>
      <c r="T184" s="11">
        <v>131</v>
      </c>
      <c r="U184" s="11">
        <v>71</v>
      </c>
      <c r="V184" s="11">
        <v>132</v>
      </c>
      <c r="W184" s="11">
        <v>12</v>
      </c>
      <c r="X184" s="25" t="s">
        <v>886</v>
      </c>
    </row>
    <row r="185" spans="1:24" ht="14.25" customHeight="1" x14ac:dyDescent="0.25">
      <c r="A185" s="11"/>
      <c r="B185" s="11">
        <v>15</v>
      </c>
      <c r="C185" s="11" t="s">
        <v>148</v>
      </c>
      <c r="D185" s="11"/>
      <c r="E185" s="11">
        <v>0</v>
      </c>
      <c r="F185" s="11" t="s">
        <v>886</v>
      </c>
      <c r="G185" s="11" t="s">
        <v>119</v>
      </c>
      <c r="H185" s="11" t="s">
        <v>1085</v>
      </c>
      <c r="I185" s="11" t="s">
        <v>55</v>
      </c>
      <c r="J185" s="11" t="s">
        <v>762</v>
      </c>
      <c r="K185" s="11" t="s">
        <v>894</v>
      </c>
      <c r="L185" s="11">
        <v>43</v>
      </c>
      <c r="M185" s="11">
        <v>16</v>
      </c>
      <c r="N185" s="11">
        <v>180</v>
      </c>
      <c r="O185" s="11">
        <v>218</v>
      </c>
      <c r="P185" s="11">
        <v>-38</v>
      </c>
      <c r="Q185" s="11">
        <v>180</v>
      </c>
      <c r="R185" s="11" t="s">
        <v>36</v>
      </c>
      <c r="S185" s="11">
        <v>182</v>
      </c>
      <c r="T185" s="11">
        <v>151</v>
      </c>
      <c r="U185" s="11">
        <v>199</v>
      </c>
      <c r="V185" s="11">
        <v>185</v>
      </c>
      <c r="W185" s="11">
        <v>16</v>
      </c>
      <c r="X185" s="25" t="s">
        <v>1044</v>
      </c>
    </row>
    <row r="186" spans="1:24" ht="14.25" customHeight="1" x14ac:dyDescent="0.25">
      <c r="A186" s="11"/>
      <c r="B186" s="11">
        <v>14</v>
      </c>
      <c r="C186" s="11" t="s">
        <v>148</v>
      </c>
      <c r="D186" s="11"/>
      <c r="E186" s="11"/>
      <c r="F186" s="11" t="s">
        <v>886</v>
      </c>
      <c r="G186" s="11">
        <v>0</v>
      </c>
      <c r="H186" s="11" t="s">
        <v>504</v>
      </c>
      <c r="I186" s="11" t="s">
        <v>88</v>
      </c>
      <c r="J186" s="11" t="s">
        <v>764</v>
      </c>
      <c r="K186" s="11" t="s">
        <v>912</v>
      </c>
      <c r="L186" s="11">
        <v>62</v>
      </c>
      <c r="M186" s="11">
        <v>16</v>
      </c>
      <c r="N186" s="11">
        <v>185</v>
      </c>
      <c r="O186" s="11">
        <v>159</v>
      </c>
      <c r="P186" s="11">
        <v>26</v>
      </c>
      <c r="Q186" s="11" t="s">
        <v>36</v>
      </c>
      <c r="R186" s="11" t="s">
        <v>36</v>
      </c>
      <c r="S186" s="11">
        <v>181</v>
      </c>
      <c r="T186" s="11">
        <v>139</v>
      </c>
      <c r="U186" s="11">
        <v>169</v>
      </c>
      <c r="V186" s="11">
        <v>166</v>
      </c>
      <c r="W186" s="11">
        <v>14</v>
      </c>
      <c r="X186" s="25" t="s">
        <v>1086</v>
      </c>
    </row>
    <row r="187" spans="1:24" ht="14.25" customHeight="1" x14ac:dyDescent="0.25">
      <c r="A187" s="11"/>
      <c r="B187" s="11">
        <v>14</v>
      </c>
      <c r="C187" s="11" t="s">
        <v>148</v>
      </c>
      <c r="D187" s="11"/>
      <c r="E187" s="11">
        <v>1</v>
      </c>
      <c r="F187" s="11" t="s">
        <v>886</v>
      </c>
      <c r="G187" s="11">
        <v>0</v>
      </c>
      <c r="H187" s="11" t="s">
        <v>826</v>
      </c>
      <c r="I187" s="11" t="s">
        <v>123</v>
      </c>
      <c r="J187" s="11" t="s">
        <v>762</v>
      </c>
      <c r="K187" s="11" t="s">
        <v>894</v>
      </c>
      <c r="L187" s="11">
        <v>44</v>
      </c>
      <c r="M187" s="11">
        <v>12</v>
      </c>
      <c r="N187" s="11">
        <v>137</v>
      </c>
      <c r="O187" s="11">
        <v>139</v>
      </c>
      <c r="P187" s="11">
        <v>-2</v>
      </c>
      <c r="Q187" s="11">
        <v>149</v>
      </c>
      <c r="R187" s="11">
        <v>151</v>
      </c>
      <c r="S187" s="11">
        <v>121</v>
      </c>
      <c r="T187" s="11">
        <v>143</v>
      </c>
      <c r="U187" s="11">
        <v>227</v>
      </c>
      <c r="V187" s="11">
        <v>152</v>
      </c>
      <c r="W187" s="11">
        <v>13</v>
      </c>
      <c r="X187" s="25" t="s">
        <v>1050</v>
      </c>
    </row>
    <row r="188" spans="1:24" ht="14.25" customHeight="1" x14ac:dyDescent="0.25">
      <c r="A188" s="11"/>
      <c r="B188" s="11">
        <v>16</v>
      </c>
      <c r="C188" s="11" t="s">
        <v>148</v>
      </c>
      <c r="D188" s="11"/>
      <c r="E188" s="11"/>
      <c r="F188" s="11" t="s">
        <v>886</v>
      </c>
      <c r="G188" s="11">
        <v>0</v>
      </c>
      <c r="H188" s="11" t="s">
        <v>1087</v>
      </c>
      <c r="I188" s="11" t="s">
        <v>104</v>
      </c>
      <c r="J188" s="11" t="s">
        <v>764</v>
      </c>
      <c r="K188" s="11" t="s">
        <v>854</v>
      </c>
      <c r="L188" s="11">
        <v>53</v>
      </c>
      <c r="M188" s="11">
        <v>17</v>
      </c>
      <c r="N188" s="11">
        <v>192</v>
      </c>
      <c r="O188" s="11">
        <v>153</v>
      </c>
      <c r="P188" s="11">
        <v>39</v>
      </c>
      <c r="Q188" s="11" t="s">
        <v>36</v>
      </c>
      <c r="R188" s="11" t="s">
        <v>36</v>
      </c>
      <c r="S188" s="11">
        <v>179</v>
      </c>
      <c r="T188" s="11">
        <v>166</v>
      </c>
      <c r="U188" s="11">
        <v>226</v>
      </c>
      <c r="V188" s="11">
        <v>183</v>
      </c>
      <c r="W188" s="11">
        <v>16</v>
      </c>
      <c r="X188" s="25" t="s">
        <v>1088</v>
      </c>
    </row>
    <row r="189" spans="1:24" ht="14.25" customHeight="1" x14ac:dyDescent="0.25">
      <c r="A189" s="11"/>
      <c r="B189" s="11">
        <v>16</v>
      </c>
      <c r="C189" s="11" t="s">
        <v>148</v>
      </c>
      <c r="D189" s="11"/>
      <c r="E189" s="11"/>
      <c r="F189" s="11" t="s">
        <v>886</v>
      </c>
      <c r="G189" s="11">
        <v>0</v>
      </c>
      <c r="H189" s="11" t="s">
        <v>523</v>
      </c>
      <c r="I189" s="11" t="s">
        <v>35</v>
      </c>
      <c r="J189" s="11" t="s">
        <v>1080</v>
      </c>
      <c r="K189" s="11">
        <v>0</v>
      </c>
      <c r="L189" s="11">
        <v>0</v>
      </c>
      <c r="M189" s="11">
        <v>16</v>
      </c>
      <c r="N189" s="11">
        <v>186</v>
      </c>
      <c r="O189" s="11" t="s">
        <v>36</v>
      </c>
      <c r="P189" s="11" t="e">
        <v>#VALUE!</v>
      </c>
      <c r="Q189" s="11">
        <v>178</v>
      </c>
      <c r="R189" s="11">
        <v>136</v>
      </c>
      <c r="S189" s="11">
        <v>254</v>
      </c>
      <c r="T189" s="11">
        <v>187</v>
      </c>
      <c r="U189" s="11">
        <v>152</v>
      </c>
      <c r="V189" s="11">
        <v>182</v>
      </c>
      <c r="W189" s="11">
        <v>16</v>
      </c>
      <c r="X189" s="25" t="s">
        <v>886</v>
      </c>
    </row>
    <row r="190" spans="1:24" ht="14.25" customHeight="1" x14ac:dyDescent="0.25">
      <c r="A190" s="11"/>
      <c r="B190" s="11">
        <v>19</v>
      </c>
      <c r="C190" s="11" t="s">
        <v>148</v>
      </c>
      <c r="D190" s="11"/>
      <c r="E190" s="11"/>
      <c r="F190" s="11" t="s">
        <v>886</v>
      </c>
      <c r="G190" s="11">
        <v>0</v>
      </c>
      <c r="H190" s="11" t="s">
        <v>519</v>
      </c>
      <c r="I190" s="11" t="s">
        <v>88</v>
      </c>
      <c r="J190" s="11" t="s">
        <v>1080</v>
      </c>
      <c r="K190" s="11">
        <v>0</v>
      </c>
      <c r="L190" s="11">
        <v>0</v>
      </c>
      <c r="M190" s="11">
        <v>16</v>
      </c>
      <c r="N190" s="11">
        <v>187</v>
      </c>
      <c r="O190" s="11" t="s">
        <v>36</v>
      </c>
      <c r="P190" s="11" t="e">
        <v>#VALUE!</v>
      </c>
      <c r="Q190" s="11">
        <v>174</v>
      </c>
      <c r="R190" s="11">
        <v>244</v>
      </c>
      <c r="S190" s="11">
        <v>273</v>
      </c>
      <c r="T190" s="11">
        <v>246</v>
      </c>
      <c r="U190" s="11">
        <v>158</v>
      </c>
      <c r="V190" s="11">
        <v>213</v>
      </c>
      <c r="W190" s="11">
        <v>18</v>
      </c>
      <c r="X190" s="25" t="s">
        <v>886</v>
      </c>
    </row>
    <row r="191" spans="1:24" ht="14.25" customHeight="1" x14ac:dyDescent="0.25">
      <c r="A191" s="11"/>
      <c r="B191" s="11">
        <v>14</v>
      </c>
      <c r="C191" s="11" t="s">
        <v>148</v>
      </c>
      <c r="D191" s="11"/>
      <c r="E191" s="11"/>
      <c r="F191" s="11" t="s">
        <v>886</v>
      </c>
      <c r="G191" s="11">
        <v>0</v>
      </c>
      <c r="H191" s="11" t="s">
        <v>462</v>
      </c>
      <c r="I191" s="11" t="s">
        <v>116</v>
      </c>
      <c r="J191" s="11" t="s">
        <v>1080</v>
      </c>
      <c r="K191" s="11">
        <v>0</v>
      </c>
      <c r="L191" s="11">
        <v>0</v>
      </c>
      <c r="M191" s="11">
        <v>16</v>
      </c>
      <c r="N191" s="11">
        <v>188</v>
      </c>
      <c r="O191" s="11" t="s">
        <v>36</v>
      </c>
      <c r="P191" s="11" t="e">
        <v>#VALUE!</v>
      </c>
      <c r="Q191" s="11">
        <v>145</v>
      </c>
      <c r="R191" s="11">
        <v>100</v>
      </c>
      <c r="S191" s="11">
        <v>216</v>
      </c>
      <c r="T191" s="11">
        <v>188</v>
      </c>
      <c r="U191" s="11">
        <v>145</v>
      </c>
      <c r="V191" s="11">
        <v>163</v>
      </c>
      <c r="W191" s="11">
        <v>14</v>
      </c>
      <c r="X191" s="25" t="s">
        <v>886</v>
      </c>
    </row>
    <row r="192" spans="1:24" ht="14.25" customHeight="1" x14ac:dyDescent="0.25">
      <c r="A192" s="11"/>
      <c r="B192" s="11">
        <v>20</v>
      </c>
      <c r="C192" s="11" t="s">
        <v>148</v>
      </c>
      <c r="D192" s="11"/>
      <c r="E192" s="11"/>
      <c r="F192" s="11" t="s">
        <v>886</v>
      </c>
      <c r="G192" s="11">
        <v>0</v>
      </c>
      <c r="H192" s="11" t="s">
        <v>442</v>
      </c>
      <c r="I192" s="11" t="s">
        <v>163</v>
      </c>
      <c r="J192" s="11" t="s">
        <v>764</v>
      </c>
      <c r="K192" s="11">
        <v>0</v>
      </c>
      <c r="L192" s="11">
        <v>0</v>
      </c>
      <c r="M192" s="11">
        <v>16</v>
      </c>
      <c r="N192" s="11" t="s">
        <v>36</v>
      </c>
      <c r="O192" s="11">
        <v>234</v>
      </c>
      <c r="P192" s="11" t="e">
        <v>#VALUE!</v>
      </c>
      <c r="Q192" s="11" t="s">
        <v>36</v>
      </c>
      <c r="R192" s="11" t="s">
        <v>36</v>
      </c>
      <c r="S192" s="11">
        <v>277</v>
      </c>
      <c r="T192" s="11">
        <v>177</v>
      </c>
      <c r="U192" s="11">
        <v>231</v>
      </c>
      <c r="V192" s="11">
        <v>229</v>
      </c>
      <c r="W192" s="11">
        <v>20</v>
      </c>
      <c r="X192" s="25" t="s">
        <v>1050</v>
      </c>
    </row>
    <row r="193" spans="1:24" ht="14.25" customHeight="1" x14ac:dyDescent="0.25">
      <c r="A193" s="11"/>
      <c r="B193" s="11">
        <v>14</v>
      </c>
      <c r="C193" s="11" t="s">
        <v>148</v>
      </c>
      <c r="D193" s="11"/>
      <c r="E193" s="11"/>
      <c r="F193" s="11" t="s">
        <v>886</v>
      </c>
      <c r="G193" s="11">
        <v>0</v>
      </c>
      <c r="H193" s="11" t="s">
        <v>602</v>
      </c>
      <c r="I193" s="11" t="s">
        <v>66</v>
      </c>
      <c r="J193" s="11" t="s">
        <v>1080</v>
      </c>
      <c r="K193" s="11">
        <v>0</v>
      </c>
      <c r="L193" s="11">
        <v>0</v>
      </c>
      <c r="M193" s="11">
        <v>16</v>
      </c>
      <c r="N193" s="11">
        <v>190</v>
      </c>
      <c r="O193" s="11" t="s">
        <v>36</v>
      </c>
      <c r="P193" s="11" t="e">
        <v>#VALUE!</v>
      </c>
      <c r="Q193" s="11">
        <v>128</v>
      </c>
      <c r="R193" s="11">
        <v>153</v>
      </c>
      <c r="S193" s="11">
        <v>224</v>
      </c>
      <c r="T193" s="11">
        <v>231</v>
      </c>
      <c r="U193" s="11">
        <v>92</v>
      </c>
      <c r="V193" s="11">
        <v>169</v>
      </c>
      <c r="W193" s="11">
        <v>15</v>
      </c>
      <c r="X193" s="25" t="s">
        <v>886</v>
      </c>
    </row>
    <row r="194" spans="1:24" ht="14.25" customHeight="1" x14ac:dyDescent="0.25">
      <c r="A194" s="11"/>
      <c r="B194" s="11">
        <v>16</v>
      </c>
      <c r="C194" s="11" t="s">
        <v>148</v>
      </c>
      <c r="D194" s="11"/>
      <c r="E194" s="11">
        <v>2</v>
      </c>
      <c r="F194" s="11" t="s">
        <v>886</v>
      </c>
      <c r="G194" s="11" t="s">
        <v>148</v>
      </c>
      <c r="H194" s="11" t="s">
        <v>407</v>
      </c>
      <c r="I194" s="11" t="s">
        <v>187</v>
      </c>
      <c r="J194" s="11" t="s">
        <v>762</v>
      </c>
      <c r="K194" s="11" t="s">
        <v>894</v>
      </c>
      <c r="L194" s="11">
        <v>45</v>
      </c>
      <c r="M194" s="11">
        <v>10</v>
      </c>
      <c r="N194" s="11">
        <v>119</v>
      </c>
      <c r="O194" s="11">
        <v>138</v>
      </c>
      <c r="P194" s="11">
        <v>-19</v>
      </c>
      <c r="Q194" s="11">
        <v>159</v>
      </c>
      <c r="R194" s="11">
        <v>191</v>
      </c>
      <c r="S194" s="11">
        <v>130</v>
      </c>
      <c r="T194" s="11">
        <v>173</v>
      </c>
      <c r="U194" s="11">
        <v>255</v>
      </c>
      <c r="V194" s="11">
        <v>166</v>
      </c>
      <c r="W194" s="11">
        <v>14</v>
      </c>
      <c r="X194" s="25" t="s">
        <v>1089</v>
      </c>
    </row>
    <row r="195" spans="1:24" ht="14.25" customHeight="1" x14ac:dyDescent="0.25">
      <c r="A195" s="11"/>
      <c r="B195" s="11">
        <v>14</v>
      </c>
      <c r="C195" s="11" t="s">
        <v>148</v>
      </c>
      <c r="D195" s="11"/>
      <c r="E195" s="11">
        <v>1</v>
      </c>
      <c r="F195" s="11" t="s">
        <v>886</v>
      </c>
      <c r="G195" s="11">
        <v>0</v>
      </c>
      <c r="H195" s="11" t="s">
        <v>370</v>
      </c>
      <c r="I195" s="11" t="s">
        <v>39</v>
      </c>
      <c r="J195" s="11" t="s">
        <v>762</v>
      </c>
      <c r="K195" s="11" t="s">
        <v>894</v>
      </c>
      <c r="L195" s="11">
        <v>46</v>
      </c>
      <c r="M195" s="11">
        <v>13</v>
      </c>
      <c r="N195" s="11">
        <v>146</v>
      </c>
      <c r="O195" s="11">
        <v>156</v>
      </c>
      <c r="P195" s="11">
        <v>-10</v>
      </c>
      <c r="Q195" s="11">
        <v>172</v>
      </c>
      <c r="R195" s="11">
        <v>161</v>
      </c>
      <c r="S195" s="11">
        <v>151</v>
      </c>
      <c r="T195" s="11">
        <v>167</v>
      </c>
      <c r="U195" s="11">
        <v>184</v>
      </c>
      <c r="V195" s="11">
        <v>162</v>
      </c>
      <c r="W195" s="11">
        <v>14</v>
      </c>
      <c r="X195" s="25" t="s">
        <v>886</v>
      </c>
    </row>
    <row r="196" spans="1:24" ht="14.25" customHeight="1" x14ac:dyDescent="0.25">
      <c r="A196" s="11"/>
      <c r="B196" s="11">
        <v>12</v>
      </c>
      <c r="C196" s="11" t="s">
        <v>148</v>
      </c>
      <c r="D196" s="11"/>
      <c r="E196" s="11">
        <v>2</v>
      </c>
      <c r="F196" s="11" t="s">
        <v>886</v>
      </c>
      <c r="G196" s="11">
        <v>0</v>
      </c>
      <c r="H196" s="11" t="s">
        <v>902</v>
      </c>
      <c r="I196" s="11" t="s">
        <v>116</v>
      </c>
      <c r="J196" s="11" t="s">
        <v>762</v>
      </c>
      <c r="K196" s="11" t="s">
        <v>878</v>
      </c>
      <c r="L196" s="11">
        <v>47</v>
      </c>
      <c r="M196" s="11">
        <v>12</v>
      </c>
      <c r="N196" s="11">
        <v>139</v>
      </c>
      <c r="O196" s="11">
        <v>154</v>
      </c>
      <c r="P196" s="11">
        <v>-15</v>
      </c>
      <c r="Q196" s="11">
        <v>111</v>
      </c>
      <c r="R196" s="11">
        <v>133</v>
      </c>
      <c r="S196" s="11">
        <v>128</v>
      </c>
      <c r="T196" s="11">
        <v>141</v>
      </c>
      <c r="U196" s="11">
        <v>175</v>
      </c>
      <c r="V196" s="11">
        <v>140</v>
      </c>
      <c r="W196" s="11">
        <v>12</v>
      </c>
      <c r="X196" s="25" t="s">
        <v>886</v>
      </c>
    </row>
    <row r="197" spans="1:24" ht="14.25" customHeight="1" x14ac:dyDescent="0.25">
      <c r="A197" s="11"/>
      <c r="B197" s="11">
        <v>20</v>
      </c>
      <c r="C197" s="11" t="s">
        <v>148</v>
      </c>
      <c r="D197" s="11"/>
      <c r="E197" s="11"/>
      <c r="F197" s="11" t="s">
        <v>886</v>
      </c>
      <c r="G197" s="11">
        <v>0</v>
      </c>
      <c r="H197" s="11" t="s">
        <v>270</v>
      </c>
      <c r="I197" s="11" t="s">
        <v>88</v>
      </c>
      <c r="J197" s="11" t="s">
        <v>764</v>
      </c>
      <c r="K197" s="11">
        <v>0</v>
      </c>
      <c r="L197" s="11">
        <v>0</v>
      </c>
      <c r="M197" s="11">
        <v>20</v>
      </c>
      <c r="N197" s="11">
        <v>236</v>
      </c>
      <c r="O197" s="11">
        <v>191</v>
      </c>
      <c r="P197" s="11">
        <v>45</v>
      </c>
      <c r="Q197" s="11">
        <v>197</v>
      </c>
      <c r="R197" s="11" t="s">
        <v>36</v>
      </c>
      <c r="S197" s="11">
        <v>226</v>
      </c>
      <c r="T197" s="11">
        <v>212</v>
      </c>
      <c r="U197" s="11">
        <v>278</v>
      </c>
      <c r="V197" s="11">
        <v>223</v>
      </c>
      <c r="W197" s="11">
        <v>19</v>
      </c>
      <c r="X197" s="25" t="s">
        <v>886</v>
      </c>
    </row>
    <row r="198" spans="1:24" ht="14.25" customHeight="1" x14ac:dyDescent="0.25">
      <c r="A198" s="11"/>
      <c r="B198" s="11">
        <v>15</v>
      </c>
      <c r="C198" s="11" t="s">
        <v>148</v>
      </c>
      <c r="D198" s="11"/>
      <c r="E198" s="11"/>
      <c r="F198" s="11" t="s">
        <v>886</v>
      </c>
      <c r="G198" s="11">
        <v>0</v>
      </c>
      <c r="H198" s="11" t="s">
        <v>460</v>
      </c>
      <c r="I198" s="11" t="s">
        <v>229</v>
      </c>
      <c r="J198" s="11" t="s">
        <v>760</v>
      </c>
      <c r="K198" s="11" t="s">
        <v>890</v>
      </c>
      <c r="L198" s="11">
        <v>22</v>
      </c>
      <c r="M198" s="11">
        <v>15</v>
      </c>
      <c r="N198" s="11">
        <v>177</v>
      </c>
      <c r="O198" s="11">
        <v>151</v>
      </c>
      <c r="P198" s="11">
        <v>26</v>
      </c>
      <c r="Q198" s="11">
        <v>184</v>
      </c>
      <c r="R198" s="11">
        <v>173</v>
      </c>
      <c r="S198" s="11">
        <v>175</v>
      </c>
      <c r="T198" s="11">
        <v>170</v>
      </c>
      <c r="U198" s="11">
        <v>166</v>
      </c>
      <c r="V198" s="11">
        <v>170</v>
      </c>
      <c r="W198" s="11">
        <v>15</v>
      </c>
      <c r="X198" s="25" t="s">
        <v>886</v>
      </c>
    </row>
    <row r="199" spans="1:24" ht="14.25" customHeight="1" x14ac:dyDescent="0.25">
      <c r="A199" s="11"/>
      <c r="B199" s="11">
        <v>12</v>
      </c>
      <c r="C199" s="11" t="s">
        <v>148</v>
      </c>
      <c r="D199" s="11"/>
      <c r="E199" s="11"/>
      <c r="F199" s="11" t="s">
        <v>886</v>
      </c>
      <c r="G199" s="11">
        <v>0</v>
      </c>
      <c r="H199" s="11" t="s">
        <v>568</v>
      </c>
      <c r="I199" s="11" t="s">
        <v>88</v>
      </c>
      <c r="J199" s="11" t="s">
        <v>1084</v>
      </c>
      <c r="K199" s="11">
        <v>0</v>
      </c>
      <c r="L199" s="11">
        <v>0</v>
      </c>
      <c r="M199" s="11">
        <v>17</v>
      </c>
      <c r="N199" s="11">
        <v>193</v>
      </c>
      <c r="O199" s="11" t="s">
        <v>36</v>
      </c>
      <c r="P199" s="11" t="e">
        <v>#VALUE!</v>
      </c>
      <c r="Q199" s="11">
        <v>157</v>
      </c>
      <c r="R199" s="11">
        <v>117</v>
      </c>
      <c r="S199" s="11">
        <v>217</v>
      </c>
      <c r="T199" s="11">
        <v>132</v>
      </c>
      <c r="U199" s="11">
        <v>79</v>
      </c>
      <c r="V199" s="11">
        <v>149</v>
      </c>
      <c r="W199" s="11">
        <v>13</v>
      </c>
      <c r="X199" s="25" t="s">
        <v>886</v>
      </c>
    </row>
    <row r="200" spans="1:24" ht="14.25" customHeight="1" x14ac:dyDescent="0.25">
      <c r="A200" s="11"/>
      <c r="B200" s="11" t="e">
        <v>#N/A</v>
      </c>
      <c r="C200" s="11" t="s">
        <v>148</v>
      </c>
      <c r="D200" s="11"/>
      <c r="E200" s="11"/>
      <c r="F200" s="11" t="s">
        <v>886</v>
      </c>
      <c r="G200" s="11">
        <v>0</v>
      </c>
      <c r="H200" s="11" t="s">
        <v>918</v>
      </c>
      <c r="I200" s="11" t="e">
        <v>#N/A</v>
      </c>
      <c r="J200" s="11" t="e">
        <v>#N/A</v>
      </c>
      <c r="K200" s="11">
        <v>0</v>
      </c>
      <c r="L200" s="11">
        <v>0</v>
      </c>
      <c r="M200" s="11">
        <v>16</v>
      </c>
      <c r="N200" s="11" t="e">
        <v>#N/A</v>
      </c>
      <c r="O200" s="11" t="e">
        <v>#N/A</v>
      </c>
      <c r="P200" s="11" t="e">
        <v>#N/A</v>
      </c>
      <c r="Q200" s="11" t="e">
        <v>#N/A</v>
      </c>
      <c r="R200" s="11" t="e">
        <v>#N/A</v>
      </c>
      <c r="S200" s="11" t="e">
        <v>#N/A</v>
      </c>
      <c r="T200" s="11" t="e">
        <v>#N/A</v>
      </c>
      <c r="U200" s="11" t="e">
        <v>#N/A</v>
      </c>
      <c r="V200" s="11" t="e">
        <v>#N/A</v>
      </c>
      <c r="W200" s="11">
        <v>16</v>
      </c>
      <c r="X200" s="25" t="s">
        <v>886</v>
      </c>
    </row>
    <row r="201" spans="1:24" ht="14.25" customHeight="1" x14ac:dyDescent="0.25">
      <c r="A201" s="11"/>
      <c r="B201" s="11">
        <v>12</v>
      </c>
      <c r="C201" s="11" t="s">
        <v>148</v>
      </c>
      <c r="D201" s="11"/>
      <c r="E201" s="11">
        <v>1</v>
      </c>
      <c r="F201" s="11" t="s">
        <v>886</v>
      </c>
      <c r="G201" s="11">
        <v>0</v>
      </c>
      <c r="H201" s="11" t="s">
        <v>329</v>
      </c>
      <c r="I201" s="11" t="s">
        <v>163</v>
      </c>
      <c r="J201" s="11" t="s">
        <v>762</v>
      </c>
      <c r="K201" s="11" t="s">
        <v>878</v>
      </c>
      <c r="L201" s="11">
        <v>48</v>
      </c>
      <c r="M201" s="11">
        <v>11</v>
      </c>
      <c r="N201" s="11">
        <v>124</v>
      </c>
      <c r="O201" s="11">
        <v>167</v>
      </c>
      <c r="P201" s="11">
        <v>-43</v>
      </c>
      <c r="Q201" s="11">
        <v>133</v>
      </c>
      <c r="R201" s="11">
        <v>150</v>
      </c>
      <c r="S201" s="11">
        <v>149</v>
      </c>
      <c r="T201" s="11">
        <v>129</v>
      </c>
      <c r="U201" s="11">
        <v>149</v>
      </c>
      <c r="V201" s="11">
        <v>143</v>
      </c>
      <c r="W201" s="11">
        <v>12</v>
      </c>
      <c r="X201" s="25" t="s">
        <v>886</v>
      </c>
    </row>
    <row r="202" spans="1:24" ht="14.25" customHeight="1" x14ac:dyDescent="0.25">
      <c r="A202" s="11"/>
      <c r="B202" s="11">
        <v>19</v>
      </c>
      <c r="C202" s="11" t="s">
        <v>148</v>
      </c>
      <c r="D202" s="11"/>
      <c r="E202" s="11"/>
      <c r="F202" s="11" t="s">
        <v>886</v>
      </c>
      <c r="G202" s="11">
        <v>0</v>
      </c>
      <c r="H202" s="11" t="s">
        <v>914</v>
      </c>
      <c r="I202" s="11" t="s">
        <v>145</v>
      </c>
      <c r="J202" s="11" t="s">
        <v>1080</v>
      </c>
      <c r="K202" s="11">
        <v>0</v>
      </c>
      <c r="L202" s="11">
        <v>0</v>
      </c>
      <c r="M202" s="11">
        <v>17</v>
      </c>
      <c r="N202" s="11">
        <v>194</v>
      </c>
      <c r="O202" s="11" t="s">
        <v>36</v>
      </c>
      <c r="P202" s="11" t="e">
        <v>#VALUE!</v>
      </c>
      <c r="Q202" s="11">
        <v>192</v>
      </c>
      <c r="R202" s="11">
        <v>206</v>
      </c>
      <c r="S202" s="11">
        <v>272</v>
      </c>
      <c r="T202" s="11">
        <v>236</v>
      </c>
      <c r="U202" s="11">
        <v>213</v>
      </c>
      <c r="V202" s="11">
        <v>218</v>
      </c>
      <c r="W202" s="11">
        <v>19</v>
      </c>
      <c r="X202" s="25" t="s">
        <v>886</v>
      </c>
    </row>
    <row r="203" spans="1:24" ht="14.25" customHeight="1" x14ac:dyDescent="0.25">
      <c r="A203" s="11"/>
      <c r="B203" s="11">
        <v>13</v>
      </c>
      <c r="C203" s="11" t="s">
        <v>148</v>
      </c>
      <c r="D203" s="11"/>
      <c r="E203" s="11"/>
      <c r="F203" s="11" t="s">
        <v>886</v>
      </c>
      <c r="G203" s="11">
        <v>0</v>
      </c>
      <c r="H203" s="11" t="s">
        <v>578</v>
      </c>
      <c r="I203" s="11" t="s">
        <v>35</v>
      </c>
      <c r="J203" s="11" t="s">
        <v>1084</v>
      </c>
      <c r="K203" s="11">
        <v>0</v>
      </c>
      <c r="L203" s="11">
        <v>0</v>
      </c>
      <c r="M203" s="11">
        <v>17</v>
      </c>
      <c r="N203" s="11">
        <v>196</v>
      </c>
      <c r="O203" s="11" t="s">
        <v>36</v>
      </c>
      <c r="P203" s="11" t="e">
        <v>#VALUE!</v>
      </c>
      <c r="Q203" s="11">
        <v>170</v>
      </c>
      <c r="R203" s="11">
        <v>101</v>
      </c>
      <c r="S203" s="11">
        <v>225</v>
      </c>
      <c r="T203" s="11">
        <v>133</v>
      </c>
      <c r="U203" s="11">
        <v>104</v>
      </c>
      <c r="V203" s="11">
        <v>154</v>
      </c>
      <c r="W203" s="11">
        <v>13</v>
      </c>
      <c r="X203" s="25" t="s">
        <v>886</v>
      </c>
    </row>
    <row r="204" spans="1:24" ht="14.25" customHeight="1" x14ac:dyDescent="0.25">
      <c r="A204" s="11"/>
      <c r="B204" s="11">
        <v>18</v>
      </c>
      <c r="C204" s="11" t="s">
        <v>148</v>
      </c>
      <c r="D204" s="11"/>
      <c r="E204" s="11"/>
      <c r="F204" s="11" t="s">
        <v>886</v>
      </c>
      <c r="G204" s="11">
        <v>0</v>
      </c>
      <c r="H204" s="11" t="s">
        <v>480</v>
      </c>
      <c r="I204" s="11" t="s">
        <v>233</v>
      </c>
      <c r="J204" s="11" t="s">
        <v>760</v>
      </c>
      <c r="K204" s="11" t="s">
        <v>903</v>
      </c>
      <c r="L204" s="11">
        <v>0</v>
      </c>
      <c r="M204" s="11">
        <v>17</v>
      </c>
      <c r="N204" s="11">
        <v>198</v>
      </c>
      <c r="O204" s="11">
        <v>198</v>
      </c>
      <c r="P204" s="11">
        <v>0</v>
      </c>
      <c r="Q204" s="11" t="s">
        <v>36</v>
      </c>
      <c r="R204" s="11">
        <v>192</v>
      </c>
      <c r="S204" s="11">
        <v>222</v>
      </c>
      <c r="T204" s="11">
        <v>229</v>
      </c>
      <c r="U204" s="11">
        <v>192</v>
      </c>
      <c r="V204" s="11">
        <v>205</v>
      </c>
      <c r="W204" s="11">
        <v>18</v>
      </c>
      <c r="X204" s="25" t="s">
        <v>886</v>
      </c>
    </row>
    <row r="205" spans="1:24" ht="14.25" customHeight="1" x14ac:dyDescent="0.25">
      <c r="A205" s="11"/>
      <c r="B205" s="11">
        <v>17</v>
      </c>
      <c r="C205" s="11" t="s">
        <v>148</v>
      </c>
      <c r="D205" s="11"/>
      <c r="E205" s="11"/>
      <c r="F205" s="11" t="s">
        <v>886</v>
      </c>
      <c r="G205" s="11">
        <v>0</v>
      </c>
      <c r="H205" s="11" t="s">
        <v>476</v>
      </c>
      <c r="I205" s="11" t="s">
        <v>52</v>
      </c>
      <c r="J205" s="11" t="s">
        <v>1080</v>
      </c>
      <c r="K205" s="11">
        <v>0</v>
      </c>
      <c r="L205" s="11">
        <v>0</v>
      </c>
      <c r="M205" s="11">
        <v>17</v>
      </c>
      <c r="N205" s="11">
        <v>197</v>
      </c>
      <c r="O205" s="11" t="s">
        <v>36</v>
      </c>
      <c r="P205" s="11" t="e">
        <v>#VALUE!</v>
      </c>
      <c r="Q205" s="11">
        <v>196</v>
      </c>
      <c r="R205" s="11">
        <v>142</v>
      </c>
      <c r="S205" s="11">
        <v>268</v>
      </c>
      <c r="T205" s="11">
        <v>183</v>
      </c>
      <c r="U205" s="11">
        <v>179</v>
      </c>
      <c r="V205" s="11">
        <v>194</v>
      </c>
      <c r="W205" s="11">
        <v>17</v>
      </c>
      <c r="X205" s="25" t="s">
        <v>886</v>
      </c>
    </row>
    <row r="206" spans="1:24" ht="14.25" customHeight="1" x14ac:dyDescent="0.25">
      <c r="A206" s="11"/>
      <c r="B206" s="11">
        <v>15</v>
      </c>
      <c r="C206" s="11" t="s">
        <v>148</v>
      </c>
      <c r="D206" s="11"/>
      <c r="E206" s="11"/>
      <c r="F206" s="11" t="s">
        <v>886</v>
      </c>
      <c r="G206" s="11">
        <v>0</v>
      </c>
      <c r="H206" s="11" t="s">
        <v>560</v>
      </c>
      <c r="I206" s="11" t="s">
        <v>116</v>
      </c>
      <c r="J206" s="11" t="s">
        <v>1084</v>
      </c>
      <c r="K206" s="11">
        <v>0</v>
      </c>
      <c r="L206" s="11">
        <v>0</v>
      </c>
      <c r="M206" s="11">
        <v>17</v>
      </c>
      <c r="N206" s="11">
        <v>201</v>
      </c>
      <c r="O206" s="11" t="s">
        <v>36</v>
      </c>
      <c r="P206" s="11" t="e">
        <v>#VALUE!</v>
      </c>
      <c r="Q206" s="11">
        <v>198</v>
      </c>
      <c r="R206" s="11">
        <v>184</v>
      </c>
      <c r="S206" s="11">
        <v>234</v>
      </c>
      <c r="T206" s="11">
        <v>162</v>
      </c>
      <c r="U206" s="11">
        <v>86</v>
      </c>
      <c r="V206" s="11">
        <v>177</v>
      </c>
      <c r="W206" s="11">
        <v>15</v>
      </c>
      <c r="X206" s="25" t="s">
        <v>886</v>
      </c>
    </row>
    <row r="207" spans="1:24" ht="14.25" customHeight="1" x14ac:dyDescent="0.25">
      <c r="A207" s="11"/>
      <c r="B207" s="11">
        <v>14</v>
      </c>
      <c r="C207" s="11" t="s">
        <v>148</v>
      </c>
      <c r="D207" s="11"/>
      <c r="E207" s="11"/>
      <c r="F207" s="11" t="s">
        <v>886</v>
      </c>
      <c r="G207" s="11">
        <v>0</v>
      </c>
      <c r="H207" s="11" t="s">
        <v>1090</v>
      </c>
      <c r="I207" s="11" t="s">
        <v>233</v>
      </c>
      <c r="J207" s="11" t="s">
        <v>1084</v>
      </c>
      <c r="K207" s="11">
        <v>0</v>
      </c>
      <c r="L207" s="11">
        <v>0</v>
      </c>
      <c r="M207" s="11">
        <v>17</v>
      </c>
      <c r="N207" s="11">
        <v>203</v>
      </c>
      <c r="O207" s="11" t="s">
        <v>36</v>
      </c>
      <c r="P207" s="11" t="e">
        <v>#VALUE!</v>
      </c>
      <c r="Q207" s="11">
        <v>201</v>
      </c>
      <c r="R207" s="11">
        <v>145</v>
      </c>
      <c r="S207" s="11">
        <v>247</v>
      </c>
      <c r="T207" s="11">
        <v>134</v>
      </c>
      <c r="U207" s="11">
        <v>69</v>
      </c>
      <c r="V207" s="11">
        <v>166</v>
      </c>
      <c r="W207" s="11">
        <v>14</v>
      </c>
      <c r="X207" s="25" t="s">
        <v>886</v>
      </c>
    </row>
    <row r="208" spans="1:24" ht="14.25" customHeight="1" x14ac:dyDescent="0.25">
      <c r="A208" s="11"/>
      <c r="B208" s="11">
        <v>22</v>
      </c>
      <c r="C208" s="11" t="s">
        <v>148</v>
      </c>
      <c r="D208" s="11"/>
      <c r="E208" s="11"/>
      <c r="F208" s="11" t="s">
        <v>886</v>
      </c>
      <c r="G208" s="11">
        <v>0</v>
      </c>
      <c r="H208" s="11" t="s">
        <v>824</v>
      </c>
      <c r="I208" s="11" t="s">
        <v>126</v>
      </c>
      <c r="J208" s="11" t="s">
        <v>769</v>
      </c>
      <c r="K208" s="11">
        <v>0</v>
      </c>
      <c r="L208" s="11">
        <v>0</v>
      </c>
      <c r="M208" s="11">
        <v>17</v>
      </c>
      <c r="N208" s="11">
        <v>200</v>
      </c>
      <c r="O208" s="11">
        <v>203</v>
      </c>
      <c r="P208" s="11">
        <v>-3</v>
      </c>
      <c r="Q208" s="11" t="s">
        <v>36</v>
      </c>
      <c r="R208" s="11" t="s">
        <v>36</v>
      </c>
      <c r="S208" s="11">
        <v>201</v>
      </c>
      <c r="T208" s="11">
        <v>267</v>
      </c>
      <c r="U208" s="11">
        <v>294</v>
      </c>
      <c r="V208" s="11">
        <v>233</v>
      </c>
      <c r="W208" s="11">
        <v>20</v>
      </c>
      <c r="X208" s="25" t="s">
        <v>886</v>
      </c>
    </row>
    <row r="209" spans="1:24" ht="14.25" customHeight="1" x14ac:dyDescent="0.25">
      <c r="A209" s="11"/>
      <c r="B209" s="11">
        <v>10</v>
      </c>
      <c r="C209" s="11" t="s">
        <v>148</v>
      </c>
      <c r="D209" s="11"/>
      <c r="E209" s="11">
        <v>2</v>
      </c>
      <c r="F209" s="11" t="s">
        <v>886</v>
      </c>
      <c r="G209" s="11">
        <v>0</v>
      </c>
      <c r="H209" s="11" t="s">
        <v>898</v>
      </c>
      <c r="I209" s="11" t="s">
        <v>184</v>
      </c>
      <c r="J209" s="11" t="s">
        <v>762</v>
      </c>
      <c r="K209" s="11" t="s">
        <v>878</v>
      </c>
      <c r="L209" s="11">
        <v>49</v>
      </c>
      <c r="M209" s="11">
        <v>9</v>
      </c>
      <c r="N209" s="11">
        <v>104</v>
      </c>
      <c r="O209" s="11">
        <v>135</v>
      </c>
      <c r="P209" s="11">
        <v>-31</v>
      </c>
      <c r="Q209" s="11">
        <v>86</v>
      </c>
      <c r="R209" s="11">
        <v>96</v>
      </c>
      <c r="S209" s="11">
        <v>109</v>
      </c>
      <c r="T209" s="11">
        <v>130</v>
      </c>
      <c r="U209" s="11">
        <v>143</v>
      </c>
      <c r="V209" s="11">
        <v>114</v>
      </c>
      <c r="W209" s="11">
        <v>10</v>
      </c>
      <c r="X209" s="25" t="s">
        <v>886</v>
      </c>
    </row>
    <row r="210" spans="1:24" ht="14.25" customHeight="1" x14ac:dyDescent="0.25">
      <c r="A210" s="11"/>
      <c r="B210" s="11">
        <v>13</v>
      </c>
      <c r="C210" s="11" t="s">
        <v>148</v>
      </c>
      <c r="D210" s="11"/>
      <c r="E210" s="11">
        <v>0</v>
      </c>
      <c r="F210" s="11" t="s">
        <v>886</v>
      </c>
      <c r="G210" s="11">
        <v>0</v>
      </c>
      <c r="H210" s="11" t="s">
        <v>446</v>
      </c>
      <c r="I210" s="11" t="s">
        <v>145</v>
      </c>
      <c r="J210" s="11" t="s">
        <v>762</v>
      </c>
      <c r="K210" s="11" t="s">
        <v>878</v>
      </c>
      <c r="L210" s="11">
        <v>50</v>
      </c>
      <c r="M210" s="11">
        <v>8</v>
      </c>
      <c r="N210" s="11">
        <v>89</v>
      </c>
      <c r="O210" s="11">
        <v>129</v>
      </c>
      <c r="P210" s="11">
        <v>-40</v>
      </c>
      <c r="Q210" s="11">
        <v>127</v>
      </c>
      <c r="R210" s="11">
        <v>156</v>
      </c>
      <c r="S210" s="11">
        <v>108</v>
      </c>
      <c r="T210" s="11">
        <v>153</v>
      </c>
      <c r="U210" s="11">
        <v>197</v>
      </c>
      <c r="V210" s="11">
        <v>137</v>
      </c>
      <c r="W210" s="11">
        <v>12</v>
      </c>
      <c r="X210" s="25" t="s">
        <v>1044</v>
      </c>
    </row>
    <row r="211" spans="1:24" ht="14.25" customHeight="1" x14ac:dyDescent="0.25">
      <c r="A211" s="11"/>
      <c r="B211" s="11">
        <v>16</v>
      </c>
      <c r="C211" s="11" t="s">
        <v>148</v>
      </c>
      <c r="D211" s="11"/>
      <c r="E211" s="11"/>
      <c r="F211" s="11" t="s">
        <v>886</v>
      </c>
      <c r="G211" s="11">
        <v>0</v>
      </c>
      <c r="H211" s="11" t="s">
        <v>927</v>
      </c>
      <c r="I211" s="11" t="s">
        <v>160</v>
      </c>
      <c r="J211" s="11" t="s">
        <v>764</v>
      </c>
      <c r="K211" s="11" t="s">
        <v>854</v>
      </c>
      <c r="L211" s="11">
        <v>54</v>
      </c>
      <c r="M211" s="11">
        <v>15</v>
      </c>
      <c r="N211" s="11">
        <v>170</v>
      </c>
      <c r="O211" s="11">
        <v>161</v>
      </c>
      <c r="P211" s="11">
        <v>9</v>
      </c>
      <c r="Q211" s="11">
        <v>203</v>
      </c>
      <c r="R211" s="11">
        <v>148</v>
      </c>
      <c r="S211" s="11">
        <v>171</v>
      </c>
      <c r="T211" s="11">
        <v>196</v>
      </c>
      <c r="U211" s="11">
        <v>208</v>
      </c>
      <c r="V211" s="11">
        <v>179</v>
      </c>
      <c r="W211" s="11">
        <v>15</v>
      </c>
      <c r="X211" s="25" t="s">
        <v>1048</v>
      </c>
    </row>
    <row r="212" spans="1:24" ht="14.25" customHeight="1" x14ac:dyDescent="0.25">
      <c r="A212" s="11"/>
      <c r="B212" s="11">
        <v>20</v>
      </c>
      <c r="C212" s="11" t="s">
        <v>148</v>
      </c>
      <c r="D212" s="11"/>
      <c r="E212" s="11"/>
      <c r="F212" s="11" t="s">
        <v>886</v>
      </c>
      <c r="G212" s="11">
        <v>0</v>
      </c>
      <c r="H212" s="11" t="s">
        <v>813</v>
      </c>
      <c r="I212" s="11" t="s">
        <v>60</v>
      </c>
      <c r="J212" s="11" t="s">
        <v>760</v>
      </c>
      <c r="K212" s="11" t="s">
        <v>890</v>
      </c>
      <c r="L212" s="11">
        <v>0</v>
      </c>
      <c r="M212" s="11">
        <v>16</v>
      </c>
      <c r="N212" s="11" t="s">
        <v>36</v>
      </c>
      <c r="O212" s="11">
        <v>231</v>
      </c>
      <c r="P212" s="11" t="e">
        <v>#VALUE!</v>
      </c>
      <c r="Q212" s="11" t="s">
        <v>36</v>
      </c>
      <c r="R212" s="11">
        <v>241</v>
      </c>
      <c r="S212" s="11">
        <v>248</v>
      </c>
      <c r="T212" s="11">
        <v>224</v>
      </c>
      <c r="U212" s="11">
        <v>228</v>
      </c>
      <c r="V212" s="11">
        <v>234</v>
      </c>
      <c r="W212" s="11">
        <v>20</v>
      </c>
      <c r="X212" s="25" t="s">
        <v>886</v>
      </c>
    </row>
    <row r="213" spans="1:24" ht="14.25" customHeight="1" x14ac:dyDescent="0.25">
      <c r="A213" s="11"/>
      <c r="B213" s="11">
        <v>10</v>
      </c>
      <c r="C213" s="11" t="s">
        <v>148</v>
      </c>
      <c r="D213" s="11"/>
      <c r="E213" s="11">
        <v>3</v>
      </c>
      <c r="F213" s="11" t="s">
        <v>886</v>
      </c>
      <c r="G213" s="11" t="s">
        <v>148</v>
      </c>
      <c r="H213" s="11" t="s">
        <v>298</v>
      </c>
      <c r="I213" s="11" t="s">
        <v>184</v>
      </c>
      <c r="J213" s="11" t="s">
        <v>762</v>
      </c>
      <c r="K213" s="11" t="s">
        <v>1091</v>
      </c>
      <c r="L213" s="11">
        <v>51</v>
      </c>
      <c r="M213" s="11">
        <v>9</v>
      </c>
      <c r="N213" s="11">
        <v>100</v>
      </c>
      <c r="O213" s="11">
        <v>99</v>
      </c>
      <c r="P213" s="11">
        <v>1</v>
      </c>
      <c r="Q213" s="11">
        <v>76</v>
      </c>
      <c r="R213" s="11">
        <v>87</v>
      </c>
      <c r="S213" s="11">
        <v>90</v>
      </c>
      <c r="T213" s="11">
        <v>179</v>
      </c>
      <c r="U213" s="11">
        <v>148</v>
      </c>
      <c r="V213" s="11">
        <v>111</v>
      </c>
      <c r="W213" s="11">
        <v>10</v>
      </c>
      <c r="X213" s="25" t="s">
        <v>1092</v>
      </c>
    </row>
    <row r="214" spans="1:24" ht="14.25" customHeight="1" x14ac:dyDescent="0.25">
      <c r="A214" s="11"/>
      <c r="B214" s="11">
        <v>21</v>
      </c>
      <c r="C214" s="11" t="s">
        <v>148</v>
      </c>
      <c r="D214" s="11"/>
      <c r="E214" s="11"/>
      <c r="F214" s="11" t="s">
        <v>886</v>
      </c>
      <c r="G214" s="11">
        <v>0</v>
      </c>
      <c r="H214" s="11" t="s">
        <v>495</v>
      </c>
      <c r="I214" s="44" t="s">
        <v>60</v>
      </c>
      <c r="J214" s="11" t="s">
        <v>764</v>
      </c>
      <c r="K214" s="11">
        <v>0</v>
      </c>
      <c r="L214" s="11">
        <v>0</v>
      </c>
      <c r="M214" s="11">
        <v>21</v>
      </c>
      <c r="N214" s="11">
        <v>247</v>
      </c>
      <c r="O214" s="11">
        <v>215</v>
      </c>
      <c r="P214" s="11">
        <v>32</v>
      </c>
      <c r="Q214" s="11" t="s">
        <v>36</v>
      </c>
      <c r="R214" s="11" t="s">
        <v>36</v>
      </c>
      <c r="S214" s="11">
        <v>252</v>
      </c>
      <c r="T214" s="11">
        <v>251</v>
      </c>
      <c r="U214" s="11" t="s">
        <v>36</v>
      </c>
      <c r="V214" s="11">
        <v>241</v>
      </c>
      <c r="W214" s="11">
        <v>21</v>
      </c>
      <c r="X214" s="25" t="s">
        <v>1053</v>
      </c>
    </row>
    <row r="215" spans="1:24" ht="14.25" customHeight="1" x14ac:dyDescent="0.25">
      <c r="A215" s="11"/>
      <c r="B215" s="11">
        <v>22</v>
      </c>
      <c r="C215" s="11" t="s">
        <v>148</v>
      </c>
      <c r="D215" s="11"/>
      <c r="E215" s="11"/>
      <c r="F215" s="11" t="s">
        <v>886</v>
      </c>
      <c r="G215" s="11">
        <v>0</v>
      </c>
      <c r="H215" s="11" t="s">
        <v>953</v>
      </c>
      <c r="I215" s="11" t="s">
        <v>233</v>
      </c>
      <c r="J215" s="11" t="s">
        <v>764</v>
      </c>
      <c r="K215" s="11">
        <v>0</v>
      </c>
      <c r="L215" s="11">
        <v>0</v>
      </c>
      <c r="M215" s="11">
        <v>20</v>
      </c>
      <c r="N215" s="11">
        <v>237</v>
      </c>
      <c r="O215" s="11">
        <v>220</v>
      </c>
      <c r="P215" s="11">
        <v>17</v>
      </c>
      <c r="Q215" s="11" t="s">
        <v>36</v>
      </c>
      <c r="R215" s="11" t="s">
        <v>36</v>
      </c>
      <c r="S215" s="11">
        <v>242</v>
      </c>
      <c r="T215" s="11">
        <v>269</v>
      </c>
      <c r="U215" s="11" t="s">
        <v>36</v>
      </c>
      <c r="V215" s="11">
        <v>242</v>
      </c>
      <c r="W215" s="11">
        <v>21</v>
      </c>
      <c r="X215" s="25" t="s">
        <v>886</v>
      </c>
    </row>
    <row r="216" spans="1:24" ht="14.25" customHeight="1" x14ac:dyDescent="0.25">
      <c r="A216" s="11"/>
      <c r="B216" s="11">
        <v>20</v>
      </c>
      <c r="C216" s="11" t="s">
        <v>148</v>
      </c>
      <c r="D216" s="11"/>
      <c r="E216" s="11"/>
      <c r="F216" s="11" t="s">
        <v>886</v>
      </c>
      <c r="G216" s="11">
        <v>0</v>
      </c>
      <c r="H216" s="11" t="s">
        <v>469</v>
      </c>
      <c r="I216" s="11" t="s">
        <v>49</v>
      </c>
      <c r="J216" s="11" t="s">
        <v>1080</v>
      </c>
      <c r="K216" s="11">
        <v>0</v>
      </c>
      <c r="L216" s="11">
        <v>0</v>
      </c>
      <c r="M216" s="11">
        <v>18</v>
      </c>
      <c r="N216" s="11">
        <v>212</v>
      </c>
      <c r="O216" s="11" t="s">
        <v>36</v>
      </c>
      <c r="P216" s="11" t="e">
        <v>#VALUE!</v>
      </c>
      <c r="Q216" s="11">
        <v>216</v>
      </c>
      <c r="R216" s="11">
        <v>238</v>
      </c>
      <c r="S216" s="11">
        <v>253</v>
      </c>
      <c r="T216" s="11">
        <v>248</v>
      </c>
      <c r="U216" s="11">
        <v>195</v>
      </c>
      <c r="V216" s="11">
        <v>227</v>
      </c>
      <c r="W216" s="11">
        <v>19</v>
      </c>
      <c r="X216" s="25" t="s">
        <v>886</v>
      </c>
    </row>
    <row r="217" spans="1:24" ht="14.25" customHeight="1" x14ac:dyDescent="0.25">
      <c r="A217" s="11"/>
      <c r="B217" s="11">
        <v>18</v>
      </c>
      <c r="C217" s="11" t="s">
        <v>148</v>
      </c>
      <c r="D217" s="11"/>
      <c r="E217" s="11"/>
      <c r="F217" s="11" t="s">
        <v>886</v>
      </c>
      <c r="G217" s="11">
        <v>0</v>
      </c>
      <c r="H217" s="11" t="s">
        <v>901</v>
      </c>
      <c r="I217" s="11" t="s">
        <v>91</v>
      </c>
      <c r="J217" s="11" t="s">
        <v>764</v>
      </c>
      <c r="K217" s="11">
        <v>0</v>
      </c>
      <c r="L217" s="11">
        <v>0</v>
      </c>
      <c r="M217" s="11">
        <v>21</v>
      </c>
      <c r="N217" s="11">
        <v>243</v>
      </c>
      <c r="O217" s="11">
        <v>206</v>
      </c>
      <c r="P217" s="11">
        <v>37</v>
      </c>
      <c r="Q217" s="11" t="s">
        <v>36</v>
      </c>
      <c r="R217" s="11" t="s">
        <v>36</v>
      </c>
      <c r="S217" s="11">
        <v>229</v>
      </c>
      <c r="T217" s="11">
        <v>205</v>
      </c>
      <c r="U217" s="11">
        <v>191</v>
      </c>
      <c r="V217" s="11">
        <v>214</v>
      </c>
      <c r="W217" s="11">
        <v>18</v>
      </c>
      <c r="X217" s="25" t="s">
        <v>886</v>
      </c>
    </row>
    <row r="218" spans="1:24" ht="14.25" customHeight="1" x14ac:dyDescent="0.25">
      <c r="A218" s="11"/>
      <c r="B218" s="11">
        <v>19</v>
      </c>
      <c r="C218" s="11" t="s">
        <v>148</v>
      </c>
      <c r="D218" s="11"/>
      <c r="E218" s="11"/>
      <c r="F218" s="11" t="s">
        <v>886</v>
      </c>
      <c r="G218" s="11">
        <v>0</v>
      </c>
      <c r="H218" s="11" t="s">
        <v>625</v>
      </c>
      <c r="I218" s="11" t="s">
        <v>44</v>
      </c>
      <c r="J218" s="11" t="s">
        <v>769</v>
      </c>
      <c r="K218" s="11">
        <v>0</v>
      </c>
      <c r="L218" s="11">
        <v>0</v>
      </c>
      <c r="M218" s="11">
        <v>20</v>
      </c>
      <c r="N218" s="11">
        <v>233</v>
      </c>
      <c r="O218" s="11">
        <v>194</v>
      </c>
      <c r="P218" s="11">
        <v>39</v>
      </c>
      <c r="Q218" s="11" t="s">
        <v>36</v>
      </c>
      <c r="R218" s="11" t="s">
        <v>36</v>
      </c>
      <c r="S218" s="11">
        <v>180</v>
      </c>
      <c r="T218" s="11">
        <v>209</v>
      </c>
      <c r="U218" s="11">
        <v>265</v>
      </c>
      <c r="V218" s="11">
        <v>216</v>
      </c>
      <c r="W218" s="11">
        <v>19</v>
      </c>
      <c r="X218" s="25" t="s">
        <v>886</v>
      </c>
    </row>
    <row r="219" spans="1:24" ht="14.25" customHeight="1" x14ac:dyDescent="0.25">
      <c r="A219" s="11"/>
      <c r="B219" s="11">
        <v>22</v>
      </c>
      <c r="C219" s="11" t="s">
        <v>148</v>
      </c>
      <c r="D219" s="11"/>
      <c r="E219" s="11"/>
      <c r="F219" s="11" t="s">
        <v>886</v>
      </c>
      <c r="G219" s="11">
        <v>0</v>
      </c>
      <c r="H219" s="11" t="s">
        <v>1093</v>
      </c>
      <c r="I219" s="11" t="s">
        <v>85</v>
      </c>
      <c r="J219" s="11" t="s">
        <v>764</v>
      </c>
      <c r="K219" s="11">
        <v>0</v>
      </c>
      <c r="L219" s="11">
        <v>0</v>
      </c>
      <c r="M219" s="11">
        <v>18</v>
      </c>
      <c r="N219" s="11">
        <v>213</v>
      </c>
      <c r="O219" s="11">
        <v>239</v>
      </c>
      <c r="P219" s="11">
        <v>-26</v>
      </c>
      <c r="Q219" s="11" t="s">
        <v>36</v>
      </c>
      <c r="R219" s="11" t="s">
        <v>36</v>
      </c>
      <c r="S219" s="11">
        <v>279</v>
      </c>
      <c r="T219" s="11">
        <v>244</v>
      </c>
      <c r="U219" s="11" t="s">
        <v>36</v>
      </c>
      <c r="V219" s="11">
        <v>243</v>
      </c>
      <c r="W219" s="11">
        <v>21</v>
      </c>
      <c r="X219" s="25" t="s">
        <v>886</v>
      </c>
    </row>
    <row r="220" spans="1:24" ht="14.25" customHeight="1" x14ac:dyDescent="0.25">
      <c r="A220" s="11"/>
      <c r="B220" s="11">
        <v>17</v>
      </c>
      <c r="C220" s="11" t="s">
        <v>148</v>
      </c>
      <c r="D220" s="11"/>
      <c r="E220" s="11"/>
      <c r="F220" s="11" t="s">
        <v>886</v>
      </c>
      <c r="G220" s="11">
        <v>0</v>
      </c>
      <c r="H220" s="11" t="s">
        <v>690</v>
      </c>
      <c r="I220" s="11" t="s">
        <v>168</v>
      </c>
      <c r="J220" s="11" t="s">
        <v>1084</v>
      </c>
      <c r="K220" s="11">
        <v>0</v>
      </c>
      <c r="L220" s="11">
        <v>0</v>
      </c>
      <c r="M220" s="11">
        <v>18</v>
      </c>
      <c r="N220" s="11">
        <v>214</v>
      </c>
      <c r="O220" s="11" t="s">
        <v>36</v>
      </c>
      <c r="P220" s="11" t="e">
        <v>#VALUE!</v>
      </c>
      <c r="Q220" s="11">
        <v>209</v>
      </c>
      <c r="R220" s="11">
        <v>218</v>
      </c>
      <c r="S220" s="11">
        <v>235</v>
      </c>
      <c r="T220" s="11">
        <v>180</v>
      </c>
      <c r="U220" s="11">
        <v>133</v>
      </c>
      <c r="V220" s="11">
        <v>198</v>
      </c>
      <c r="W220" s="11">
        <v>17</v>
      </c>
      <c r="X220" s="25" t="s">
        <v>886</v>
      </c>
    </row>
    <row r="221" spans="1:24" ht="14.25" customHeight="1" x14ac:dyDescent="0.25">
      <c r="A221" s="11"/>
      <c r="B221" s="11">
        <v>19</v>
      </c>
      <c r="C221" s="11" t="s">
        <v>148</v>
      </c>
      <c r="D221" s="11"/>
      <c r="E221" s="11"/>
      <c r="F221" s="11" t="s">
        <v>886</v>
      </c>
      <c r="G221" s="11">
        <v>0</v>
      </c>
      <c r="H221" s="11" t="s">
        <v>644</v>
      </c>
      <c r="I221" s="11" t="s">
        <v>187</v>
      </c>
      <c r="J221" s="11" t="s">
        <v>1080</v>
      </c>
      <c r="K221" s="11">
        <v>0</v>
      </c>
      <c r="L221" s="11">
        <v>0</v>
      </c>
      <c r="M221" s="11">
        <v>19</v>
      </c>
      <c r="N221" s="11">
        <v>217</v>
      </c>
      <c r="O221" s="11" t="s">
        <v>36</v>
      </c>
      <c r="P221" s="11" t="e">
        <v>#VALUE!</v>
      </c>
      <c r="Q221" s="11" t="s">
        <v>36</v>
      </c>
      <c r="R221" s="11">
        <v>215</v>
      </c>
      <c r="S221" s="11">
        <v>318</v>
      </c>
      <c r="T221" s="11" t="s">
        <v>36</v>
      </c>
      <c r="U221" s="11">
        <v>125</v>
      </c>
      <c r="V221" s="11">
        <v>218</v>
      </c>
      <c r="W221" s="11">
        <v>19</v>
      </c>
      <c r="X221" s="25" t="s">
        <v>886</v>
      </c>
    </row>
    <row r="222" spans="1:24" ht="14.25" customHeight="1" x14ac:dyDescent="0.25">
      <c r="A222" s="11"/>
      <c r="B222" s="11">
        <v>18</v>
      </c>
      <c r="C222" s="11" t="s">
        <v>148</v>
      </c>
      <c r="D222" s="11"/>
      <c r="E222" s="11"/>
      <c r="F222" s="11" t="s">
        <v>886</v>
      </c>
      <c r="G222" s="11">
        <v>0</v>
      </c>
      <c r="H222" s="11" t="s">
        <v>656</v>
      </c>
      <c r="I222" s="11" t="s">
        <v>145</v>
      </c>
      <c r="J222" s="11" t="s">
        <v>769</v>
      </c>
      <c r="K222" s="11">
        <v>0</v>
      </c>
      <c r="L222" s="11">
        <v>0</v>
      </c>
      <c r="M222" s="11">
        <v>19</v>
      </c>
      <c r="N222" s="11">
        <v>219</v>
      </c>
      <c r="O222" s="11">
        <v>184</v>
      </c>
      <c r="P222" s="11">
        <v>35</v>
      </c>
      <c r="Q222" s="11" t="s">
        <v>36</v>
      </c>
      <c r="R222" s="11" t="s">
        <v>36</v>
      </c>
      <c r="S222" s="11">
        <v>160</v>
      </c>
      <c r="T222" s="11">
        <v>197</v>
      </c>
      <c r="U222" s="11">
        <v>271</v>
      </c>
      <c r="V222" s="11">
        <v>206</v>
      </c>
      <c r="W222" s="11">
        <v>18</v>
      </c>
      <c r="X222" s="25" t="s">
        <v>1094</v>
      </c>
    </row>
    <row r="223" spans="1:24" ht="14.25" customHeight="1" x14ac:dyDescent="0.25">
      <c r="A223" s="11"/>
      <c r="B223" s="11">
        <v>17</v>
      </c>
      <c r="C223" s="11" t="s">
        <v>148</v>
      </c>
      <c r="D223" s="11"/>
      <c r="E223" s="11"/>
      <c r="F223" s="11" t="s">
        <v>886</v>
      </c>
      <c r="G223" s="11">
        <v>0</v>
      </c>
      <c r="H223" s="11" t="s">
        <v>598</v>
      </c>
      <c r="I223" s="11" t="s">
        <v>44</v>
      </c>
      <c r="J223" s="11" t="s">
        <v>1084</v>
      </c>
      <c r="K223" s="11">
        <v>0</v>
      </c>
      <c r="L223" s="11">
        <v>0</v>
      </c>
      <c r="M223" s="11">
        <v>19</v>
      </c>
      <c r="N223" s="11">
        <v>218</v>
      </c>
      <c r="O223" s="11" t="s">
        <v>36</v>
      </c>
      <c r="P223" s="11" t="e">
        <v>#VALUE!</v>
      </c>
      <c r="Q223" s="11">
        <v>189</v>
      </c>
      <c r="R223" s="11">
        <v>197</v>
      </c>
      <c r="S223" s="11">
        <v>261</v>
      </c>
      <c r="T223" s="11">
        <v>163</v>
      </c>
      <c r="U223" s="11">
        <v>188</v>
      </c>
      <c r="V223" s="11">
        <v>202</v>
      </c>
      <c r="W223" s="11">
        <v>17</v>
      </c>
      <c r="X223" s="25" t="s">
        <v>886</v>
      </c>
    </row>
    <row r="224" spans="1:24" ht="14.25" customHeight="1" x14ac:dyDescent="0.25">
      <c r="A224" s="11"/>
      <c r="B224" s="11">
        <v>17</v>
      </c>
      <c r="C224" s="11" t="s">
        <v>148</v>
      </c>
      <c r="D224" s="11"/>
      <c r="E224" s="11"/>
      <c r="F224" s="11" t="s">
        <v>886</v>
      </c>
      <c r="G224" s="11">
        <v>0</v>
      </c>
      <c r="H224" s="11" t="s">
        <v>547</v>
      </c>
      <c r="I224" s="11" t="s">
        <v>214</v>
      </c>
      <c r="J224" s="11" t="s">
        <v>1080</v>
      </c>
      <c r="K224" s="11">
        <v>0</v>
      </c>
      <c r="L224" s="11">
        <v>0</v>
      </c>
      <c r="M224" s="11">
        <v>19</v>
      </c>
      <c r="N224" s="11">
        <v>220</v>
      </c>
      <c r="O224" s="11" t="s">
        <v>36</v>
      </c>
      <c r="P224" s="11" t="e">
        <v>#VALUE!</v>
      </c>
      <c r="Q224" s="11">
        <v>136</v>
      </c>
      <c r="R224" s="11">
        <v>171</v>
      </c>
      <c r="S224" s="11">
        <v>258</v>
      </c>
      <c r="T224" s="11">
        <v>243</v>
      </c>
      <c r="U224" s="11">
        <v>170</v>
      </c>
      <c r="V224" s="11">
        <v>199</v>
      </c>
      <c r="W224" s="11">
        <v>17</v>
      </c>
      <c r="X224" s="25" t="s">
        <v>886</v>
      </c>
    </row>
    <row r="225" spans="1:24" ht="14.25" customHeight="1" x14ac:dyDescent="0.25">
      <c r="A225" s="11"/>
      <c r="B225" s="11">
        <v>13</v>
      </c>
      <c r="C225" s="11" t="s">
        <v>148</v>
      </c>
      <c r="D225" s="11"/>
      <c r="E225" s="11"/>
      <c r="F225" s="11" t="s">
        <v>886</v>
      </c>
      <c r="G225" s="11">
        <v>0</v>
      </c>
      <c r="H225" s="11" t="s">
        <v>719</v>
      </c>
      <c r="I225" s="11" t="s">
        <v>163</v>
      </c>
      <c r="J225" s="11" t="s">
        <v>1084</v>
      </c>
      <c r="K225" s="11">
        <v>0</v>
      </c>
      <c r="L225" s="11">
        <v>0</v>
      </c>
      <c r="M225" s="11">
        <v>19</v>
      </c>
      <c r="N225" s="11">
        <v>221</v>
      </c>
      <c r="O225" s="11" t="s">
        <v>36</v>
      </c>
      <c r="P225" s="11" t="e">
        <v>#VALUE!</v>
      </c>
      <c r="Q225" s="11">
        <v>160</v>
      </c>
      <c r="R225" s="11">
        <v>114</v>
      </c>
      <c r="S225" s="11">
        <v>228</v>
      </c>
      <c r="T225" s="11">
        <v>135</v>
      </c>
      <c r="U225" s="11">
        <v>112</v>
      </c>
      <c r="V225" s="11">
        <v>161</v>
      </c>
      <c r="W225" s="11">
        <v>14</v>
      </c>
      <c r="X225" s="25" t="s">
        <v>886</v>
      </c>
    </row>
    <row r="226" spans="1:24" ht="14.25" customHeight="1" x14ac:dyDescent="0.25">
      <c r="A226" s="11"/>
      <c r="B226" s="11">
        <v>18</v>
      </c>
      <c r="C226" s="11" t="s">
        <v>148</v>
      </c>
      <c r="D226" s="11"/>
      <c r="E226" s="11"/>
      <c r="F226" s="11" t="s">
        <v>886</v>
      </c>
      <c r="G226" s="11">
        <v>0</v>
      </c>
      <c r="H226" s="11" t="s">
        <v>576</v>
      </c>
      <c r="I226" s="11" t="s">
        <v>168</v>
      </c>
      <c r="J226" s="11" t="s">
        <v>764</v>
      </c>
      <c r="K226" s="11">
        <v>0</v>
      </c>
      <c r="L226" s="11">
        <v>0</v>
      </c>
      <c r="M226" s="11">
        <v>18</v>
      </c>
      <c r="N226" s="11">
        <v>208</v>
      </c>
      <c r="O226" s="11">
        <v>178</v>
      </c>
      <c r="P226" s="11">
        <v>30</v>
      </c>
      <c r="Q226" s="11" t="s">
        <v>36</v>
      </c>
      <c r="R226" s="11" t="s">
        <v>36</v>
      </c>
      <c r="S226" s="11">
        <v>192</v>
      </c>
      <c r="T226" s="11">
        <v>230</v>
      </c>
      <c r="U226" s="11" t="s">
        <v>36</v>
      </c>
      <c r="V226" s="11">
        <v>202</v>
      </c>
      <c r="W226" s="11">
        <v>17</v>
      </c>
      <c r="X226" s="25" t="s">
        <v>1095</v>
      </c>
    </row>
    <row r="227" spans="1:24" ht="14.25" customHeight="1" x14ac:dyDescent="0.25">
      <c r="A227" s="11"/>
      <c r="B227" s="11">
        <v>18</v>
      </c>
      <c r="C227" s="11" t="s">
        <v>148</v>
      </c>
      <c r="D227" s="11"/>
      <c r="E227" s="11"/>
      <c r="F227" s="11" t="s">
        <v>886</v>
      </c>
      <c r="G227" s="11">
        <v>0</v>
      </c>
      <c r="H227" s="11" t="s">
        <v>431</v>
      </c>
      <c r="I227" s="11" t="s">
        <v>52</v>
      </c>
      <c r="J227" s="11" t="s">
        <v>760</v>
      </c>
      <c r="K227" s="11" t="s">
        <v>903</v>
      </c>
      <c r="L227" s="11">
        <v>0</v>
      </c>
      <c r="M227" s="11">
        <v>19</v>
      </c>
      <c r="N227" s="11">
        <v>222</v>
      </c>
      <c r="O227" s="11">
        <v>181</v>
      </c>
      <c r="P227" s="11">
        <v>41</v>
      </c>
      <c r="Q227" s="11" t="s">
        <v>36</v>
      </c>
      <c r="R227" s="11">
        <v>204</v>
      </c>
      <c r="S227" s="11">
        <v>213</v>
      </c>
      <c r="T227" s="11">
        <v>226</v>
      </c>
      <c r="U227" s="11">
        <v>201</v>
      </c>
      <c r="V227" s="11">
        <v>207</v>
      </c>
      <c r="W227" s="11">
        <v>18</v>
      </c>
      <c r="X227" s="25" t="s">
        <v>886</v>
      </c>
    </row>
    <row r="228" spans="1:24" ht="14.25" customHeight="1" x14ac:dyDescent="0.25">
      <c r="A228" s="11"/>
      <c r="B228" s="11">
        <v>19</v>
      </c>
      <c r="C228" s="11" t="s">
        <v>148</v>
      </c>
      <c r="D228" s="11"/>
      <c r="E228" s="11"/>
      <c r="F228" s="11" t="s">
        <v>886</v>
      </c>
      <c r="G228" s="11">
        <v>0</v>
      </c>
      <c r="H228" s="11" t="s">
        <v>708</v>
      </c>
      <c r="I228" s="11" t="s">
        <v>52</v>
      </c>
      <c r="J228" s="11" t="s">
        <v>769</v>
      </c>
      <c r="K228" s="11">
        <v>0</v>
      </c>
      <c r="L228" s="11">
        <v>0</v>
      </c>
      <c r="M228" s="11">
        <v>20</v>
      </c>
      <c r="N228" s="11">
        <v>235</v>
      </c>
      <c r="O228" s="11">
        <v>213</v>
      </c>
      <c r="P228" s="11">
        <v>22</v>
      </c>
      <c r="Q228" s="11" t="s">
        <v>36</v>
      </c>
      <c r="R228" s="11" t="s">
        <v>36</v>
      </c>
      <c r="S228" s="11">
        <v>187</v>
      </c>
      <c r="T228" s="11">
        <v>219</v>
      </c>
      <c r="U228" s="11">
        <v>272</v>
      </c>
      <c r="V228" s="11">
        <v>225</v>
      </c>
      <c r="W228" s="11">
        <v>19</v>
      </c>
      <c r="X228" s="25" t="s">
        <v>1096</v>
      </c>
    </row>
    <row r="229" spans="1:24" ht="14.25" customHeight="1" x14ac:dyDescent="0.25">
      <c r="A229" s="11"/>
      <c r="B229" s="11">
        <v>17</v>
      </c>
      <c r="C229" s="11" t="s">
        <v>148</v>
      </c>
      <c r="D229" s="11"/>
      <c r="E229" s="11"/>
      <c r="F229" s="11" t="s">
        <v>886</v>
      </c>
      <c r="G229" s="11">
        <v>0</v>
      </c>
      <c r="H229" s="11" t="s">
        <v>951</v>
      </c>
      <c r="I229" s="11" t="s">
        <v>81</v>
      </c>
      <c r="J229" s="11" t="s">
        <v>1084</v>
      </c>
      <c r="K229" s="11">
        <v>0</v>
      </c>
      <c r="L229" s="11">
        <v>0</v>
      </c>
      <c r="M229" s="11">
        <v>19</v>
      </c>
      <c r="N229" s="11">
        <v>224</v>
      </c>
      <c r="O229" s="11" t="s">
        <v>36</v>
      </c>
      <c r="P229" s="11" t="e">
        <v>#VALUE!</v>
      </c>
      <c r="Q229" s="11">
        <v>188</v>
      </c>
      <c r="R229" s="11">
        <v>175</v>
      </c>
      <c r="S229" s="11">
        <v>316</v>
      </c>
      <c r="T229" s="11" t="s">
        <v>36</v>
      </c>
      <c r="U229" s="11">
        <v>108</v>
      </c>
      <c r="V229" s="11">
        <v>202</v>
      </c>
      <c r="W229" s="11">
        <v>17</v>
      </c>
      <c r="X229" s="25" t="s">
        <v>886</v>
      </c>
    </row>
    <row r="230" spans="1:24" ht="14.25" customHeight="1" x14ac:dyDescent="0.25">
      <c r="A230" s="11"/>
      <c r="B230" s="11">
        <v>15</v>
      </c>
      <c r="C230" s="11" t="s">
        <v>148</v>
      </c>
      <c r="D230" s="11"/>
      <c r="E230" s="11"/>
      <c r="F230" s="11" t="s">
        <v>886</v>
      </c>
      <c r="G230" s="11">
        <v>0</v>
      </c>
      <c r="H230" s="11" t="s">
        <v>636</v>
      </c>
      <c r="I230" s="11" t="s">
        <v>85</v>
      </c>
      <c r="J230" s="11" t="s">
        <v>1084</v>
      </c>
      <c r="K230" s="11">
        <v>0</v>
      </c>
      <c r="L230" s="11">
        <v>0</v>
      </c>
      <c r="M230" s="11">
        <v>19</v>
      </c>
      <c r="N230" s="11">
        <v>226</v>
      </c>
      <c r="O230" s="11" t="s">
        <v>36</v>
      </c>
      <c r="P230" s="11" t="e">
        <v>#VALUE!</v>
      </c>
      <c r="Q230" s="11">
        <v>185</v>
      </c>
      <c r="R230" s="11">
        <v>149</v>
      </c>
      <c r="S230" s="11">
        <v>232</v>
      </c>
      <c r="T230" s="11">
        <v>161</v>
      </c>
      <c r="U230" s="11">
        <v>146</v>
      </c>
      <c r="V230" s="11">
        <v>183</v>
      </c>
      <c r="W230" s="11">
        <v>16</v>
      </c>
      <c r="X230" s="25" t="s">
        <v>886</v>
      </c>
    </row>
    <row r="231" spans="1:24" ht="14.25" customHeight="1" x14ac:dyDescent="0.25">
      <c r="A231" s="11"/>
      <c r="B231" s="11">
        <v>10</v>
      </c>
      <c r="C231" s="11" t="s">
        <v>148</v>
      </c>
      <c r="D231" s="11"/>
      <c r="E231" s="11">
        <v>0</v>
      </c>
      <c r="F231" s="11" t="s">
        <v>886</v>
      </c>
      <c r="G231" s="11" t="s">
        <v>119</v>
      </c>
      <c r="H231" s="11" t="s">
        <v>141</v>
      </c>
      <c r="I231" s="11" t="s">
        <v>69</v>
      </c>
      <c r="J231" s="11" t="s">
        <v>762</v>
      </c>
      <c r="K231" s="11" t="s">
        <v>878</v>
      </c>
      <c r="L231" s="11">
        <v>52</v>
      </c>
      <c r="M231" s="11">
        <v>10</v>
      </c>
      <c r="N231" s="11">
        <v>112</v>
      </c>
      <c r="O231" s="11">
        <v>128</v>
      </c>
      <c r="P231" s="11">
        <v>-16</v>
      </c>
      <c r="Q231" s="11">
        <v>108</v>
      </c>
      <c r="R231" s="11">
        <v>103</v>
      </c>
      <c r="S231" s="11">
        <v>106</v>
      </c>
      <c r="T231" s="11">
        <v>100</v>
      </c>
      <c r="U231" s="11">
        <v>150</v>
      </c>
      <c r="V231" s="11">
        <v>115</v>
      </c>
      <c r="W231" s="11">
        <v>10</v>
      </c>
      <c r="X231" s="25" t="s">
        <v>886</v>
      </c>
    </row>
    <row r="232" spans="1:24" ht="14.25" customHeight="1" x14ac:dyDescent="0.25">
      <c r="A232" s="11"/>
      <c r="B232" s="11">
        <v>17</v>
      </c>
      <c r="C232" s="11" t="s">
        <v>148</v>
      </c>
      <c r="D232" s="11"/>
      <c r="E232" s="11"/>
      <c r="F232" s="11" t="s">
        <v>886</v>
      </c>
      <c r="G232" s="11">
        <v>0</v>
      </c>
      <c r="H232" s="11" t="s">
        <v>536</v>
      </c>
      <c r="I232" s="11" t="s">
        <v>233</v>
      </c>
      <c r="J232" s="11" t="s">
        <v>769</v>
      </c>
      <c r="K232" s="11">
        <v>0</v>
      </c>
      <c r="L232" s="11">
        <v>0</v>
      </c>
      <c r="M232" s="11">
        <v>20</v>
      </c>
      <c r="N232" s="11">
        <v>228</v>
      </c>
      <c r="O232" s="11">
        <v>226</v>
      </c>
      <c r="P232" s="11">
        <v>2</v>
      </c>
      <c r="Q232" s="11" t="s">
        <v>36</v>
      </c>
      <c r="R232" s="11">
        <v>198</v>
      </c>
      <c r="S232" s="11">
        <v>196</v>
      </c>
      <c r="T232" s="11">
        <v>202</v>
      </c>
      <c r="U232" s="11">
        <v>176</v>
      </c>
      <c r="V232" s="11">
        <v>204</v>
      </c>
      <c r="W232" s="11">
        <v>18</v>
      </c>
      <c r="X232" s="25" t="s">
        <v>886</v>
      </c>
    </row>
    <row r="233" spans="1:24" ht="14.25" customHeight="1" x14ac:dyDescent="0.25">
      <c r="A233" s="11"/>
      <c r="B233" s="11">
        <v>19</v>
      </c>
      <c r="C233" s="11" t="s">
        <v>148</v>
      </c>
      <c r="D233" s="11"/>
      <c r="E233" s="11">
        <v>1</v>
      </c>
      <c r="F233" s="11" t="s">
        <v>886</v>
      </c>
      <c r="G233" s="11" t="s">
        <v>148</v>
      </c>
      <c r="H233" s="11" t="s">
        <v>384</v>
      </c>
      <c r="I233" s="11" t="s">
        <v>91</v>
      </c>
      <c r="J233" s="11" t="s">
        <v>762</v>
      </c>
      <c r="K233" s="11" t="s">
        <v>913</v>
      </c>
      <c r="L233" s="11">
        <v>52</v>
      </c>
      <c r="M233" s="11">
        <v>18</v>
      </c>
      <c r="N233" s="11">
        <v>205</v>
      </c>
      <c r="O233" s="11">
        <v>183</v>
      </c>
      <c r="P233" s="11">
        <v>22</v>
      </c>
      <c r="Q233" s="11" t="s">
        <v>36</v>
      </c>
      <c r="R233" s="11" t="s">
        <v>36</v>
      </c>
      <c r="S233" s="11">
        <v>166</v>
      </c>
      <c r="T233" s="11">
        <v>223</v>
      </c>
      <c r="U233" s="11">
        <v>283</v>
      </c>
      <c r="V233" s="11">
        <v>212</v>
      </c>
      <c r="W233" s="11">
        <v>18</v>
      </c>
      <c r="X233" s="25" t="s">
        <v>1097</v>
      </c>
    </row>
    <row r="234" spans="1:24" ht="14.25" customHeight="1" x14ac:dyDescent="0.25">
      <c r="A234" s="11"/>
      <c r="B234" s="11">
        <v>23</v>
      </c>
      <c r="C234" s="11" t="s">
        <v>148</v>
      </c>
      <c r="D234" s="11"/>
      <c r="E234" s="11"/>
      <c r="F234" s="11" t="s">
        <v>886</v>
      </c>
      <c r="G234" s="11">
        <v>0</v>
      </c>
      <c r="H234" s="11" t="s">
        <v>967</v>
      </c>
      <c r="I234" s="11" t="s">
        <v>160</v>
      </c>
      <c r="J234" s="11" t="s">
        <v>769</v>
      </c>
      <c r="K234" s="11">
        <v>0</v>
      </c>
      <c r="L234" s="11">
        <v>0</v>
      </c>
      <c r="M234" s="11">
        <v>20</v>
      </c>
      <c r="N234" s="11">
        <v>231</v>
      </c>
      <c r="O234" s="11">
        <v>193</v>
      </c>
      <c r="P234" s="11">
        <v>38</v>
      </c>
      <c r="Q234" s="11" t="s">
        <v>36</v>
      </c>
      <c r="R234" s="11">
        <v>347</v>
      </c>
      <c r="S234" s="11">
        <v>204</v>
      </c>
      <c r="T234" s="11">
        <v>254</v>
      </c>
      <c r="U234" s="11" t="s">
        <v>36</v>
      </c>
      <c r="V234" s="11">
        <v>245</v>
      </c>
      <c r="W234" s="11">
        <v>21</v>
      </c>
      <c r="X234" s="25" t="s">
        <v>886</v>
      </c>
    </row>
    <row r="235" spans="1:24" ht="14.25" customHeight="1" x14ac:dyDescent="0.25">
      <c r="A235" s="11"/>
      <c r="B235" s="11">
        <v>16</v>
      </c>
      <c r="C235" s="11" t="s">
        <v>148</v>
      </c>
      <c r="D235" s="11"/>
      <c r="E235" s="11"/>
      <c r="F235" s="11" t="s">
        <v>886</v>
      </c>
      <c r="G235" s="11">
        <v>0</v>
      </c>
      <c r="H235" s="11" t="s">
        <v>950</v>
      </c>
      <c r="I235" s="11" t="s">
        <v>78</v>
      </c>
      <c r="J235" s="11" t="s">
        <v>1084</v>
      </c>
      <c r="K235" s="11">
        <v>0</v>
      </c>
      <c r="L235" s="11">
        <v>0</v>
      </c>
      <c r="M235" s="11">
        <v>20</v>
      </c>
      <c r="N235" s="11">
        <v>234</v>
      </c>
      <c r="O235" s="11" t="s">
        <v>36</v>
      </c>
      <c r="P235" s="11" t="e">
        <v>#VALUE!</v>
      </c>
      <c r="Q235" s="11">
        <v>182</v>
      </c>
      <c r="R235" s="11">
        <v>143</v>
      </c>
      <c r="S235" s="11">
        <v>244</v>
      </c>
      <c r="T235" s="11">
        <v>214</v>
      </c>
      <c r="U235" s="11">
        <v>135</v>
      </c>
      <c r="V235" s="11">
        <v>192</v>
      </c>
      <c r="W235" s="11">
        <v>17</v>
      </c>
      <c r="X235" s="25" t="s">
        <v>886</v>
      </c>
    </row>
    <row r="236" spans="1:24" ht="14.25" customHeight="1" x14ac:dyDescent="0.25">
      <c r="A236" s="11"/>
      <c r="B236" s="11">
        <v>17</v>
      </c>
      <c r="C236" s="11" t="s">
        <v>148</v>
      </c>
      <c r="D236" s="11"/>
      <c r="E236" s="11"/>
      <c r="F236" s="11" t="s">
        <v>886</v>
      </c>
      <c r="G236" s="11">
        <v>0</v>
      </c>
      <c r="H236" s="11" t="s">
        <v>642</v>
      </c>
      <c r="I236" s="11" t="s">
        <v>81</v>
      </c>
      <c r="J236" s="11" t="s">
        <v>769</v>
      </c>
      <c r="K236" s="11">
        <v>0</v>
      </c>
      <c r="L236" s="11">
        <v>0</v>
      </c>
      <c r="M236" s="11">
        <v>19</v>
      </c>
      <c r="N236" s="11">
        <v>225</v>
      </c>
      <c r="O236" s="11">
        <v>217</v>
      </c>
      <c r="P236" s="11">
        <v>8</v>
      </c>
      <c r="Q236" s="11">
        <v>194</v>
      </c>
      <c r="R236" s="11">
        <v>185</v>
      </c>
      <c r="S236" s="11">
        <v>188</v>
      </c>
      <c r="T236" s="11">
        <v>217</v>
      </c>
      <c r="U236" s="11">
        <v>186</v>
      </c>
      <c r="V236" s="11">
        <v>201</v>
      </c>
      <c r="W236" s="11">
        <v>17</v>
      </c>
      <c r="X236" s="25" t="s">
        <v>886</v>
      </c>
    </row>
    <row r="237" spans="1:24" ht="14.25" customHeight="1" x14ac:dyDescent="0.25">
      <c r="A237" s="11"/>
      <c r="B237" s="11">
        <v>15</v>
      </c>
      <c r="C237" s="11" t="s">
        <v>148</v>
      </c>
      <c r="D237" s="11"/>
      <c r="E237" s="11"/>
      <c r="F237" s="11" t="s">
        <v>886</v>
      </c>
      <c r="G237" s="11">
        <v>0</v>
      </c>
      <c r="H237" s="11" t="s">
        <v>326</v>
      </c>
      <c r="I237" s="11" t="s">
        <v>91</v>
      </c>
      <c r="J237" s="11" t="s">
        <v>769</v>
      </c>
      <c r="K237" s="11">
        <v>0</v>
      </c>
      <c r="L237" s="11">
        <v>0</v>
      </c>
      <c r="M237" s="11">
        <v>21</v>
      </c>
      <c r="N237" s="11">
        <v>242</v>
      </c>
      <c r="O237" s="11">
        <v>176</v>
      </c>
      <c r="P237" s="11">
        <v>66</v>
      </c>
      <c r="Q237" s="11">
        <v>187</v>
      </c>
      <c r="R237" s="11">
        <v>203</v>
      </c>
      <c r="S237" s="11">
        <v>157</v>
      </c>
      <c r="T237" s="11">
        <v>175</v>
      </c>
      <c r="U237" s="11">
        <v>160</v>
      </c>
      <c r="V237" s="11">
        <v>185</v>
      </c>
      <c r="W237" s="11">
        <v>16</v>
      </c>
      <c r="X237" s="25" t="s">
        <v>886</v>
      </c>
    </row>
    <row r="238" spans="1:24" ht="14.25" customHeight="1" x14ac:dyDescent="0.25">
      <c r="A238" s="11"/>
      <c r="B238" s="11">
        <v>22</v>
      </c>
      <c r="C238" s="11" t="s">
        <v>148</v>
      </c>
      <c r="D238" s="11"/>
      <c r="E238" s="11"/>
      <c r="F238" s="11" t="s">
        <v>886</v>
      </c>
      <c r="G238" s="11">
        <v>0</v>
      </c>
      <c r="H238" s="11" t="s">
        <v>286</v>
      </c>
      <c r="I238" s="11" t="s">
        <v>60</v>
      </c>
      <c r="J238" s="11" t="s">
        <v>764</v>
      </c>
      <c r="K238" s="11">
        <v>0</v>
      </c>
      <c r="L238" s="11">
        <v>0</v>
      </c>
      <c r="M238" s="11">
        <v>18</v>
      </c>
      <c r="N238" s="11">
        <v>210</v>
      </c>
      <c r="O238" s="11">
        <v>204</v>
      </c>
      <c r="P238" s="11">
        <v>6</v>
      </c>
      <c r="Q238" s="11" t="s">
        <v>36</v>
      </c>
      <c r="R238" s="11" t="s">
        <v>36</v>
      </c>
      <c r="S238" s="11">
        <v>260</v>
      </c>
      <c r="T238" s="11">
        <v>242</v>
      </c>
      <c r="U238" s="11">
        <v>256</v>
      </c>
      <c r="V238" s="11">
        <v>234</v>
      </c>
      <c r="W238" s="11">
        <v>20</v>
      </c>
      <c r="X238" s="25" t="s">
        <v>886</v>
      </c>
    </row>
    <row r="239" spans="1:24" ht="14.25" customHeight="1" x14ac:dyDescent="0.25">
      <c r="A239" s="11"/>
      <c r="B239" s="11">
        <v>23</v>
      </c>
      <c r="C239" s="11" t="s">
        <v>148</v>
      </c>
      <c r="D239" s="11"/>
      <c r="E239" s="11">
        <v>0</v>
      </c>
      <c r="F239" s="11" t="s">
        <v>886</v>
      </c>
      <c r="G239" s="11">
        <v>0</v>
      </c>
      <c r="H239" s="11" t="s">
        <v>342</v>
      </c>
      <c r="I239" s="11" t="s">
        <v>214</v>
      </c>
      <c r="J239" s="11" t="s">
        <v>762</v>
      </c>
      <c r="K239" s="11" t="s">
        <v>913</v>
      </c>
      <c r="L239" s="11">
        <v>53</v>
      </c>
      <c r="M239" s="11">
        <v>18</v>
      </c>
      <c r="N239" s="11">
        <v>207</v>
      </c>
      <c r="O239" s="11">
        <v>304</v>
      </c>
      <c r="P239" s="11">
        <v>-97</v>
      </c>
      <c r="Q239" s="11" t="s">
        <v>36</v>
      </c>
      <c r="R239" s="11" t="s">
        <v>36</v>
      </c>
      <c r="S239" s="11">
        <v>255</v>
      </c>
      <c r="T239" s="11">
        <v>247</v>
      </c>
      <c r="U239" s="11">
        <v>315</v>
      </c>
      <c r="V239" s="11">
        <v>265</v>
      </c>
      <c r="W239" s="11">
        <v>23</v>
      </c>
      <c r="X239" s="25" t="s">
        <v>1050</v>
      </c>
    </row>
    <row r="240" spans="1:24" ht="14.25" customHeight="1" x14ac:dyDescent="0.25">
      <c r="A240" s="11"/>
      <c r="B240" s="11">
        <v>22</v>
      </c>
      <c r="C240" s="11" t="s">
        <v>148</v>
      </c>
      <c r="D240" s="11"/>
      <c r="E240" s="11"/>
      <c r="F240" s="11" t="s">
        <v>886</v>
      </c>
      <c r="G240" s="11">
        <v>0</v>
      </c>
      <c r="H240" s="11" t="s">
        <v>1098</v>
      </c>
      <c r="I240" s="11" t="s">
        <v>199</v>
      </c>
      <c r="J240" s="11" t="s">
        <v>764</v>
      </c>
      <c r="K240" s="11">
        <v>0</v>
      </c>
      <c r="L240" s="11">
        <v>0</v>
      </c>
      <c r="M240" s="11">
        <v>16</v>
      </c>
      <c r="N240" s="11" t="s">
        <v>36</v>
      </c>
      <c r="O240" s="11">
        <v>197</v>
      </c>
      <c r="P240" s="11" t="e">
        <v>#VALUE!</v>
      </c>
      <c r="Q240" s="11" t="s">
        <v>36</v>
      </c>
      <c r="R240" s="11" t="s">
        <v>36</v>
      </c>
      <c r="S240" s="11">
        <v>250</v>
      </c>
      <c r="T240" s="11">
        <v>261</v>
      </c>
      <c r="U240" s="11" t="s">
        <v>36</v>
      </c>
      <c r="V240" s="11">
        <v>236</v>
      </c>
      <c r="W240" s="11">
        <v>20</v>
      </c>
      <c r="X240" s="25" t="s">
        <v>886</v>
      </c>
    </row>
    <row r="241" spans="1:24" ht="14.25" customHeight="1" x14ac:dyDescent="0.25">
      <c r="A241" s="11"/>
      <c r="B241" s="11">
        <v>16</v>
      </c>
      <c r="C241" s="11" t="s">
        <v>148</v>
      </c>
      <c r="D241" s="11"/>
      <c r="E241" s="11"/>
      <c r="F241" s="11" t="s">
        <v>886</v>
      </c>
      <c r="G241" s="11">
        <v>0</v>
      </c>
      <c r="H241" s="11" t="s">
        <v>961</v>
      </c>
      <c r="I241" s="11" t="s">
        <v>66</v>
      </c>
      <c r="J241" s="11" t="s">
        <v>1084</v>
      </c>
      <c r="K241" s="11">
        <v>0</v>
      </c>
      <c r="L241" s="11">
        <v>0</v>
      </c>
      <c r="M241" s="11">
        <v>20</v>
      </c>
      <c r="N241" s="11">
        <v>239</v>
      </c>
      <c r="O241" s="11" t="s">
        <v>36</v>
      </c>
      <c r="P241" s="11" t="e">
        <v>#VALUE!</v>
      </c>
      <c r="Q241" s="11">
        <v>158</v>
      </c>
      <c r="R241" s="11">
        <v>140</v>
      </c>
      <c r="S241" s="11">
        <v>271</v>
      </c>
      <c r="T241" s="11">
        <v>185</v>
      </c>
      <c r="U241" s="11">
        <v>147</v>
      </c>
      <c r="V241" s="11">
        <v>190</v>
      </c>
      <c r="W241" s="11">
        <v>16</v>
      </c>
      <c r="X241" s="25" t="s">
        <v>886</v>
      </c>
    </row>
    <row r="242" spans="1:24" ht="14.25" customHeight="1" x14ac:dyDescent="0.25">
      <c r="A242" s="11"/>
      <c r="B242" s="11">
        <v>23</v>
      </c>
      <c r="C242" s="11" t="s">
        <v>148</v>
      </c>
      <c r="D242" s="11"/>
      <c r="E242" s="11"/>
      <c r="F242" s="11" t="s">
        <v>886</v>
      </c>
      <c r="G242" s="11">
        <v>0</v>
      </c>
      <c r="H242" s="11" t="s">
        <v>268</v>
      </c>
      <c r="I242" s="11" t="s">
        <v>123</v>
      </c>
      <c r="J242" s="11" t="s">
        <v>764</v>
      </c>
      <c r="K242" s="11">
        <v>0</v>
      </c>
      <c r="L242" s="11">
        <v>0</v>
      </c>
      <c r="M242" s="11">
        <v>21</v>
      </c>
      <c r="N242" s="11">
        <v>241</v>
      </c>
      <c r="O242" s="11">
        <v>195</v>
      </c>
      <c r="P242" s="11">
        <v>46</v>
      </c>
      <c r="Q242" s="11" t="s">
        <v>36</v>
      </c>
      <c r="R242" s="11" t="s">
        <v>36</v>
      </c>
      <c r="S242" s="11">
        <v>218</v>
      </c>
      <c r="T242" s="11">
        <v>252</v>
      </c>
      <c r="U242" s="11">
        <v>335</v>
      </c>
      <c r="V242" s="11">
        <v>248</v>
      </c>
      <c r="W242" s="11">
        <v>21</v>
      </c>
      <c r="X242" s="25" t="s">
        <v>886</v>
      </c>
    </row>
    <row r="243" spans="1:24" ht="14.25" customHeight="1" x14ac:dyDescent="0.25">
      <c r="A243" s="11"/>
      <c r="B243" s="11">
        <v>19</v>
      </c>
      <c r="C243" s="11" t="s">
        <v>148</v>
      </c>
      <c r="D243" s="11"/>
      <c r="E243" s="11"/>
      <c r="F243" s="11" t="s">
        <v>886</v>
      </c>
      <c r="G243" s="11">
        <v>0</v>
      </c>
      <c r="H243" s="11" t="s">
        <v>566</v>
      </c>
      <c r="I243" s="11" t="s">
        <v>69</v>
      </c>
      <c r="J243" s="11" t="s">
        <v>1080</v>
      </c>
      <c r="K243" s="11">
        <v>0</v>
      </c>
      <c r="L243" s="11">
        <v>0</v>
      </c>
      <c r="M243" s="11">
        <v>21</v>
      </c>
      <c r="N243" s="11">
        <v>240</v>
      </c>
      <c r="O243" s="11" t="s">
        <v>36</v>
      </c>
      <c r="P243" s="11" t="e">
        <v>#VALUE!</v>
      </c>
      <c r="Q243" s="11">
        <v>173</v>
      </c>
      <c r="R243" s="11">
        <v>201</v>
      </c>
      <c r="S243" s="11">
        <v>278</v>
      </c>
      <c r="T243" s="11">
        <v>285</v>
      </c>
      <c r="U243" s="11">
        <v>165</v>
      </c>
      <c r="V243" s="11">
        <v>223</v>
      </c>
      <c r="W243" s="11">
        <v>19</v>
      </c>
      <c r="X243" s="25" t="s">
        <v>886</v>
      </c>
    </row>
    <row r="244" spans="1:24" ht="14.25" customHeight="1" x14ac:dyDescent="0.25">
      <c r="A244" s="11"/>
      <c r="B244" s="11">
        <v>18</v>
      </c>
      <c r="C244" s="11" t="s">
        <v>148</v>
      </c>
      <c r="D244" s="11"/>
      <c r="E244" s="11"/>
      <c r="F244" s="11" t="s">
        <v>886</v>
      </c>
      <c r="G244" s="11" t="s">
        <v>148</v>
      </c>
      <c r="H244" s="11" t="s">
        <v>1099</v>
      </c>
      <c r="I244" s="11" t="s">
        <v>94</v>
      </c>
      <c r="J244" s="11" t="s">
        <v>764</v>
      </c>
      <c r="K244" s="11" t="s">
        <v>1100</v>
      </c>
      <c r="L244" s="11">
        <v>0</v>
      </c>
      <c r="M244" s="11">
        <v>18</v>
      </c>
      <c r="N244" s="11">
        <v>211</v>
      </c>
      <c r="O244" s="11">
        <v>157</v>
      </c>
      <c r="P244" s="11">
        <v>54</v>
      </c>
      <c r="Q244" s="11" t="s">
        <v>36</v>
      </c>
      <c r="R244" s="11" t="s">
        <v>36</v>
      </c>
      <c r="S244" s="11">
        <v>174</v>
      </c>
      <c r="T244" s="11">
        <v>186</v>
      </c>
      <c r="U244" s="11">
        <v>264</v>
      </c>
      <c r="V244" s="11">
        <v>198</v>
      </c>
      <c r="W244" s="11">
        <v>17</v>
      </c>
      <c r="X244" s="25" t="s">
        <v>1101</v>
      </c>
    </row>
    <row r="245" spans="1:24" ht="14.25" customHeight="1" x14ac:dyDescent="0.25">
      <c r="A245" s="11"/>
      <c r="B245" s="11">
        <v>18</v>
      </c>
      <c r="C245" s="11" t="s">
        <v>148</v>
      </c>
      <c r="D245" s="11"/>
      <c r="E245" s="11"/>
      <c r="F245" s="11" t="s">
        <v>886</v>
      </c>
      <c r="G245" s="11">
        <v>0</v>
      </c>
      <c r="H245" s="11" t="s">
        <v>497</v>
      </c>
      <c r="I245" s="11" t="s">
        <v>104</v>
      </c>
      <c r="J245" s="11" t="s">
        <v>1080</v>
      </c>
      <c r="K245" s="11">
        <v>0</v>
      </c>
      <c r="L245" s="11">
        <v>0</v>
      </c>
      <c r="M245" s="11">
        <v>21</v>
      </c>
      <c r="N245" s="11">
        <v>244</v>
      </c>
      <c r="O245" s="11" t="s">
        <v>36</v>
      </c>
      <c r="P245" s="11" t="e">
        <v>#VALUE!</v>
      </c>
      <c r="Q245" s="11" t="s">
        <v>36</v>
      </c>
      <c r="R245" s="11">
        <v>152</v>
      </c>
      <c r="S245" s="11">
        <v>265</v>
      </c>
      <c r="T245" s="11">
        <v>240</v>
      </c>
      <c r="U245" s="11">
        <v>190</v>
      </c>
      <c r="V245" s="11">
        <v>218</v>
      </c>
      <c r="W245" s="11">
        <v>19</v>
      </c>
      <c r="X245" s="25" t="s">
        <v>886</v>
      </c>
    </row>
    <row r="246" spans="1:24" ht="14.25" customHeight="1" x14ac:dyDescent="0.25">
      <c r="A246" s="11"/>
      <c r="B246" s="11">
        <v>23</v>
      </c>
      <c r="C246" s="11" t="s">
        <v>148</v>
      </c>
      <c r="D246" s="11"/>
      <c r="E246" s="11"/>
      <c r="F246" s="11" t="s">
        <v>886</v>
      </c>
      <c r="G246" s="11">
        <v>0</v>
      </c>
      <c r="H246" s="11" t="s">
        <v>827</v>
      </c>
      <c r="I246" s="11" t="s">
        <v>126</v>
      </c>
      <c r="J246" s="11" t="s">
        <v>764</v>
      </c>
      <c r="K246" s="11">
        <v>0</v>
      </c>
      <c r="L246" s="11">
        <v>0</v>
      </c>
      <c r="M246" s="11">
        <v>16</v>
      </c>
      <c r="N246" s="11" t="s">
        <v>36</v>
      </c>
      <c r="O246" s="11">
        <v>188</v>
      </c>
      <c r="P246" s="11" t="e">
        <v>#VALUE!</v>
      </c>
      <c r="Q246" s="11" t="s">
        <v>36</v>
      </c>
      <c r="R246" s="11" t="s">
        <v>36</v>
      </c>
      <c r="S246" s="11">
        <v>237</v>
      </c>
      <c r="T246" s="11">
        <v>268</v>
      </c>
      <c r="U246" s="11">
        <v>311</v>
      </c>
      <c r="V246" s="11">
        <v>251</v>
      </c>
      <c r="W246" s="11">
        <v>21</v>
      </c>
      <c r="X246" s="25" t="s">
        <v>886</v>
      </c>
    </row>
    <row r="247" spans="1:24" ht="14.25" customHeight="1" x14ac:dyDescent="0.25">
      <c r="A247" s="11"/>
      <c r="B247" s="11">
        <v>17</v>
      </c>
      <c r="C247" s="11" t="s">
        <v>148</v>
      </c>
      <c r="D247" s="11"/>
      <c r="E247" s="11"/>
      <c r="F247" s="11" t="s">
        <v>886</v>
      </c>
      <c r="G247" s="11">
        <v>0</v>
      </c>
      <c r="H247" s="11" t="s">
        <v>962</v>
      </c>
      <c r="I247" s="11" t="s">
        <v>39</v>
      </c>
      <c r="J247" s="11" t="s">
        <v>1084</v>
      </c>
      <c r="K247" s="11">
        <v>0</v>
      </c>
      <c r="L247" s="11">
        <v>0</v>
      </c>
      <c r="M247" s="11">
        <v>21</v>
      </c>
      <c r="N247" s="11">
        <v>246</v>
      </c>
      <c r="O247" s="11" t="s">
        <v>36</v>
      </c>
      <c r="P247" s="11" t="e">
        <v>#VALUE!</v>
      </c>
      <c r="Q247" s="11">
        <v>193</v>
      </c>
      <c r="R247" s="11">
        <v>196</v>
      </c>
      <c r="S247" s="11">
        <v>269</v>
      </c>
      <c r="T247" s="11">
        <v>159</v>
      </c>
      <c r="U247" s="11">
        <v>171</v>
      </c>
      <c r="V247" s="11">
        <v>205</v>
      </c>
      <c r="W247" s="11">
        <v>18</v>
      </c>
      <c r="X247" s="25" t="s">
        <v>886</v>
      </c>
    </row>
    <row r="248" spans="1:24" ht="14.25" customHeight="1" x14ac:dyDescent="0.25">
      <c r="A248" s="11"/>
      <c r="B248" s="11">
        <v>22</v>
      </c>
      <c r="C248" s="11" t="s">
        <v>148</v>
      </c>
      <c r="D248" s="11"/>
      <c r="E248" s="11"/>
      <c r="F248" s="11" t="s">
        <v>886</v>
      </c>
      <c r="G248" s="11">
        <v>0</v>
      </c>
      <c r="H248" s="11" t="s">
        <v>817</v>
      </c>
      <c r="I248" s="11" t="s">
        <v>229</v>
      </c>
      <c r="J248" s="11" t="s">
        <v>764</v>
      </c>
      <c r="K248" s="11">
        <v>0</v>
      </c>
      <c r="L248" s="11">
        <v>0</v>
      </c>
      <c r="M248" s="11">
        <v>18</v>
      </c>
      <c r="N248" s="11">
        <v>209</v>
      </c>
      <c r="O248" s="11">
        <v>180</v>
      </c>
      <c r="P248" s="11">
        <v>29</v>
      </c>
      <c r="Q248" s="11" t="s">
        <v>36</v>
      </c>
      <c r="R248" s="11" t="s">
        <v>36</v>
      </c>
      <c r="S248" s="11">
        <v>211</v>
      </c>
      <c r="T248" s="11">
        <v>221</v>
      </c>
      <c r="U248" s="11">
        <v>330</v>
      </c>
      <c r="V248" s="11">
        <v>230</v>
      </c>
      <c r="W248" s="11">
        <v>20</v>
      </c>
      <c r="X248" s="25" t="s">
        <v>886</v>
      </c>
    </row>
    <row r="249" spans="1:24" ht="14.25" customHeight="1" x14ac:dyDescent="0.25">
      <c r="A249" s="11"/>
      <c r="B249" s="11" t="e">
        <v>#N/A</v>
      </c>
      <c r="C249" s="11" t="s">
        <v>148</v>
      </c>
      <c r="D249" s="11"/>
      <c r="E249" s="11"/>
      <c r="F249" s="11" t="s">
        <v>886</v>
      </c>
      <c r="G249" s="11">
        <v>0</v>
      </c>
      <c r="H249" s="11" t="s">
        <v>631</v>
      </c>
      <c r="I249" s="11" t="e">
        <v>#N/A</v>
      </c>
      <c r="J249" s="11" t="e">
        <v>#N/A</v>
      </c>
      <c r="K249" s="11">
        <v>0</v>
      </c>
      <c r="L249" s="11">
        <v>0</v>
      </c>
      <c r="M249" s="11">
        <v>16</v>
      </c>
      <c r="N249" s="11" t="e">
        <v>#N/A</v>
      </c>
      <c r="O249" s="11" t="e">
        <v>#N/A</v>
      </c>
      <c r="P249" s="11" t="e">
        <v>#N/A</v>
      </c>
      <c r="Q249" s="11" t="e">
        <v>#N/A</v>
      </c>
      <c r="R249" s="11" t="e">
        <v>#N/A</v>
      </c>
      <c r="S249" s="11" t="e">
        <v>#N/A</v>
      </c>
      <c r="T249" s="11" t="e">
        <v>#N/A</v>
      </c>
      <c r="U249" s="11" t="e">
        <v>#N/A</v>
      </c>
      <c r="V249" s="11" t="e">
        <v>#N/A</v>
      </c>
      <c r="W249" s="11">
        <v>16</v>
      </c>
      <c r="X249" s="25" t="s">
        <v>886</v>
      </c>
    </row>
    <row r="250" spans="1:24" ht="14.25" customHeight="1" x14ac:dyDescent="0.25">
      <c r="A250" s="11"/>
      <c r="B250" s="11">
        <v>17</v>
      </c>
      <c r="C250" s="11" t="s">
        <v>148</v>
      </c>
      <c r="D250" s="11"/>
      <c r="E250" s="11">
        <v>0</v>
      </c>
      <c r="F250" s="11" t="s">
        <v>886</v>
      </c>
      <c r="G250" s="11" t="s">
        <v>148</v>
      </c>
      <c r="H250" s="11" t="s">
        <v>613</v>
      </c>
      <c r="I250" s="60" t="s">
        <v>81</v>
      </c>
      <c r="J250" s="11" t="s">
        <v>762</v>
      </c>
      <c r="K250" s="11" t="s">
        <v>913</v>
      </c>
      <c r="L250" s="11">
        <v>54</v>
      </c>
      <c r="M250" s="11">
        <v>16</v>
      </c>
      <c r="N250" s="11">
        <v>189</v>
      </c>
      <c r="O250" s="11">
        <v>237</v>
      </c>
      <c r="P250" s="11">
        <v>-48</v>
      </c>
      <c r="Q250" s="11" t="s">
        <v>36</v>
      </c>
      <c r="R250" s="11">
        <v>194</v>
      </c>
      <c r="S250" s="11">
        <v>185</v>
      </c>
      <c r="T250" s="11">
        <v>172</v>
      </c>
      <c r="U250" s="11">
        <v>241</v>
      </c>
      <c r="V250" s="11">
        <v>203</v>
      </c>
      <c r="W250" s="11">
        <v>17</v>
      </c>
      <c r="X250" s="25" t="s">
        <v>1044</v>
      </c>
    </row>
    <row r="251" spans="1:24" ht="14.25" customHeight="1" x14ac:dyDescent="0.25">
      <c r="A251" s="11"/>
      <c r="B251" s="11">
        <v>23</v>
      </c>
      <c r="C251" s="11" t="s">
        <v>148</v>
      </c>
      <c r="D251" s="11"/>
      <c r="E251" s="11"/>
      <c r="F251" s="11" t="s">
        <v>886</v>
      </c>
      <c r="G251" s="11">
        <v>0</v>
      </c>
      <c r="H251" s="11" t="s">
        <v>994</v>
      </c>
      <c r="I251" s="11" t="s">
        <v>49</v>
      </c>
      <c r="J251" s="11" t="s">
        <v>769</v>
      </c>
      <c r="K251" s="11">
        <v>0</v>
      </c>
      <c r="L251" s="11">
        <v>0</v>
      </c>
      <c r="M251" s="11">
        <v>16</v>
      </c>
      <c r="N251" s="11" t="s">
        <v>36</v>
      </c>
      <c r="O251" s="11">
        <v>242</v>
      </c>
      <c r="P251" s="11" t="e">
        <v>#VALUE!</v>
      </c>
      <c r="Q251" s="11" t="s">
        <v>36</v>
      </c>
      <c r="R251" s="11" t="s">
        <v>36</v>
      </c>
      <c r="S251" s="11">
        <v>241</v>
      </c>
      <c r="T251" s="11">
        <v>270</v>
      </c>
      <c r="U251" s="11">
        <v>282</v>
      </c>
      <c r="V251" s="11">
        <v>258</v>
      </c>
      <c r="W251" s="11">
        <v>22</v>
      </c>
      <c r="X251" s="25" t="s">
        <v>886</v>
      </c>
    </row>
    <row r="252" spans="1:24" ht="14.25" customHeight="1" x14ac:dyDescent="0.25">
      <c r="A252" s="11"/>
      <c r="B252" s="11" t="e">
        <v>#N/A</v>
      </c>
      <c r="C252" s="11" t="s">
        <v>148</v>
      </c>
      <c r="D252" s="11"/>
      <c r="E252" s="11"/>
      <c r="F252" s="11" t="s">
        <v>886</v>
      </c>
      <c r="G252" s="11">
        <v>0</v>
      </c>
      <c r="H252" s="11" t="s">
        <v>897</v>
      </c>
      <c r="I252" s="44" t="e">
        <v>#N/A</v>
      </c>
      <c r="J252" s="11" t="e">
        <v>#N/A</v>
      </c>
      <c r="K252" s="11">
        <v>0</v>
      </c>
      <c r="L252" s="11">
        <v>0</v>
      </c>
      <c r="M252" s="11">
        <v>16</v>
      </c>
      <c r="N252" s="11" t="e">
        <v>#N/A</v>
      </c>
      <c r="O252" s="11" t="e">
        <v>#N/A</v>
      </c>
      <c r="P252" s="11" t="e">
        <v>#N/A</v>
      </c>
      <c r="Q252" s="11" t="e">
        <v>#N/A</v>
      </c>
      <c r="R252" s="11" t="e">
        <v>#N/A</v>
      </c>
      <c r="S252" s="11" t="e">
        <v>#N/A</v>
      </c>
      <c r="T252" s="11" t="e">
        <v>#N/A</v>
      </c>
      <c r="U252" s="11" t="e">
        <v>#N/A</v>
      </c>
      <c r="V252" s="11" t="e">
        <v>#N/A</v>
      </c>
      <c r="W252" s="11">
        <v>16</v>
      </c>
      <c r="X252" s="25" t="s">
        <v>886</v>
      </c>
    </row>
    <row r="253" spans="1:24" ht="14.25" customHeight="1" x14ac:dyDescent="0.25">
      <c r="A253" s="11"/>
      <c r="B253" s="11">
        <v>14</v>
      </c>
      <c r="C253" s="11" t="s">
        <v>148</v>
      </c>
      <c r="D253" s="11"/>
      <c r="E253" s="11"/>
      <c r="F253" s="11" t="s">
        <v>886</v>
      </c>
      <c r="G253" s="11">
        <v>0</v>
      </c>
      <c r="H253" s="11" t="s">
        <v>658</v>
      </c>
      <c r="I253" s="11" t="s">
        <v>55</v>
      </c>
      <c r="J253" s="11" t="s">
        <v>1080</v>
      </c>
      <c r="K253" s="11">
        <v>0</v>
      </c>
      <c r="L253" s="11">
        <v>0</v>
      </c>
      <c r="M253" s="11">
        <v>16</v>
      </c>
      <c r="N253" s="11" t="s">
        <v>36</v>
      </c>
      <c r="O253" s="11" t="s">
        <v>36</v>
      </c>
      <c r="P253" s="11" t="e">
        <v>#VALUE!</v>
      </c>
      <c r="Q253" s="11">
        <v>181</v>
      </c>
      <c r="R253" s="11">
        <v>188</v>
      </c>
      <c r="S253" s="11">
        <v>230</v>
      </c>
      <c r="T253" s="11">
        <v>156</v>
      </c>
      <c r="U253" s="11">
        <v>76</v>
      </c>
      <c r="V253" s="11">
        <v>166</v>
      </c>
      <c r="W253" s="11">
        <v>14</v>
      </c>
      <c r="X253" s="25" t="s">
        <v>886</v>
      </c>
    </row>
    <row r="254" spans="1:24" ht="14.25" customHeight="1" x14ac:dyDescent="0.25">
      <c r="A254" s="11"/>
      <c r="B254" s="11">
        <v>18</v>
      </c>
      <c r="C254" s="11" t="s">
        <v>148</v>
      </c>
      <c r="D254" s="11"/>
      <c r="E254" s="11"/>
      <c r="F254" s="11" t="s">
        <v>886</v>
      </c>
      <c r="G254" s="11" t="s">
        <v>148</v>
      </c>
      <c r="H254" s="11" t="s">
        <v>590</v>
      </c>
      <c r="I254" s="11" t="s">
        <v>35</v>
      </c>
      <c r="J254" s="11" t="s">
        <v>764</v>
      </c>
      <c r="K254" s="11" t="s">
        <v>912</v>
      </c>
      <c r="L254" s="11">
        <v>63</v>
      </c>
      <c r="M254" s="11">
        <v>19</v>
      </c>
      <c r="N254" s="11">
        <v>216</v>
      </c>
      <c r="O254" s="11">
        <v>163</v>
      </c>
      <c r="P254" s="11">
        <v>53</v>
      </c>
      <c r="Q254" s="11" t="s">
        <v>36</v>
      </c>
      <c r="R254" s="11">
        <v>214</v>
      </c>
      <c r="S254" s="11">
        <v>190</v>
      </c>
      <c r="T254" s="11">
        <v>216</v>
      </c>
      <c r="U254" s="11">
        <v>221</v>
      </c>
      <c r="V254" s="11">
        <v>203</v>
      </c>
      <c r="W254" s="11">
        <v>17</v>
      </c>
      <c r="X254" s="25" t="s">
        <v>1103</v>
      </c>
    </row>
    <row r="255" spans="1:24" ht="14.25" customHeight="1" x14ac:dyDescent="0.25">
      <c r="A255" s="11"/>
      <c r="B255" s="11">
        <v>19</v>
      </c>
      <c r="C255" s="11" t="s">
        <v>148</v>
      </c>
      <c r="D255" s="11"/>
      <c r="E255" s="11"/>
      <c r="F255" s="11" t="s">
        <v>886</v>
      </c>
      <c r="G255" s="11">
        <v>0</v>
      </c>
      <c r="H255" s="11" t="s">
        <v>660</v>
      </c>
      <c r="I255" s="11" t="s">
        <v>94</v>
      </c>
      <c r="J255" s="11" t="s">
        <v>764</v>
      </c>
      <c r="K255" s="11">
        <v>0</v>
      </c>
      <c r="L255" s="11">
        <v>0</v>
      </c>
      <c r="M255" s="11">
        <v>16</v>
      </c>
      <c r="N255" s="11" t="s">
        <v>36</v>
      </c>
      <c r="O255" s="11">
        <v>235</v>
      </c>
      <c r="P255" s="11" t="e">
        <v>#VALUE!</v>
      </c>
      <c r="Q255" s="11" t="s">
        <v>36</v>
      </c>
      <c r="R255" s="11" t="s">
        <v>36</v>
      </c>
      <c r="S255" s="11">
        <v>238</v>
      </c>
      <c r="T255" s="11">
        <v>176</v>
      </c>
      <c r="U255" s="11">
        <v>239</v>
      </c>
      <c r="V255" s="11">
        <v>222</v>
      </c>
      <c r="W255" s="11">
        <v>19</v>
      </c>
      <c r="X255" s="25" t="s">
        <v>1104</v>
      </c>
    </row>
    <row r="256" spans="1:24" ht="14.25" customHeight="1" x14ac:dyDescent="0.25">
      <c r="A256" s="11"/>
      <c r="B256" s="11">
        <v>17</v>
      </c>
      <c r="C256" s="11" t="s">
        <v>148</v>
      </c>
      <c r="D256" s="11"/>
      <c r="E256" s="11"/>
      <c r="F256" s="11" t="s">
        <v>886</v>
      </c>
      <c r="G256" s="11">
        <v>0</v>
      </c>
      <c r="H256" s="11" t="s">
        <v>532</v>
      </c>
      <c r="I256" s="11" t="s">
        <v>163</v>
      </c>
      <c r="J256" s="11" t="s">
        <v>769</v>
      </c>
      <c r="K256" s="11">
        <v>0</v>
      </c>
      <c r="L256" s="11">
        <v>0</v>
      </c>
      <c r="M256" s="11">
        <v>16</v>
      </c>
      <c r="N256" s="11" t="s">
        <v>36</v>
      </c>
      <c r="O256" s="11">
        <v>182</v>
      </c>
      <c r="P256" s="11" t="e">
        <v>#VALUE!</v>
      </c>
      <c r="Q256" s="11" t="s">
        <v>36</v>
      </c>
      <c r="R256" s="11">
        <v>200</v>
      </c>
      <c r="S256" s="11">
        <v>167</v>
      </c>
      <c r="T256" s="11">
        <v>227</v>
      </c>
      <c r="U256" s="11">
        <v>211</v>
      </c>
      <c r="V256" s="11">
        <v>197</v>
      </c>
      <c r="W256" s="11">
        <v>17</v>
      </c>
      <c r="X256" s="25" t="s">
        <v>886</v>
      </c>
    </row>
    <row r="257" spans="1:24" ht="14.25" customHeight="1" x14ac:dyDescent="0.25">
      <c r="A257" s="11"/>
      <c r="B257" s="11">
        <v>17</v>
      </c>
      <c r="C257" s="11" t="s">
        <v>148</v>
      </c>
      <c r="D257" s="11"/>
      <c r="E257" s="11"/>
      <c r="F257" s="11" t="s">
        <v>886</v>
      </c>
      <c r="G257" s="11">
        <v>0</v>
      </c>
      <c r="H257" s="11" t="s">
        <v>609</v>
      </c>
      <c r="I257" s="11" t="s">
        <v>155</v>
      </c>
      <c r="J257" s="11" t="s">
        <v>1080</v>
      </c>
      <c r="K257" s="11">
        <v>0</v>
      </c>
      <c r="L257" s="11">
        <v>0</v>
      </c>
      <c r="M257" s="11">
        <v>16</v>
      </c>
      <c r="N257" s="11" t="s">
        <v>36</v>
      </c>
      <c r="O257" s="11" t="s">
        <v>36</v>
      </c>
      <c r="P257" s="11" t="e">
        <v>#VALUE!</v>
      </c>
      <c r="Q257" s="11">
        <v>212</v>
      </c>
      <c r="R257" s="11">
        <v>220</v>
      </c>
      <c r="S257" s="11">
        <v>296</v>
      </c>
      <c r="T257" s="11" t="s">
        <v>36</v>
      </c>
      <c r="U257" s="11">
        <v>83</v>
      </c>
      <c r="V257" s="11">
        <v>202</v>
      </c>
      <c r="W257" s="11">
        <v>17</v>
      </c>
      <c r="X257" s="25" t="s">
        <v>886</v>
      </c>
    </row>
    <row r="258" spans="1:24" ht="14.25" customHeight="1" x14ac:dyDescent="0.25">
      <c r="A258" s="11"/>
      <c r="B258" s="11">
        <v>16</v>
      </c>
      <c r="C258" s="11" t="s">
        <v>148</v>
      </c>
      <c r="D258" s="11"/>
      <c r="E258" s="11">
        <v>0</v>
      </c>
      <c r="F258" s="11" t="s">
        <v>886</v>
      </c>
      <c r="G258" s="11">
        <v>0</v>
      </c>
      <c r="H258" s="11" t="s">
        <v>258</v>
      </c>
      <c r="I258" s="11" t="s">
        <v>160</v>
      </c>
      <c r="J258" s="11" t="s">
        <v>762</v>
      </c>
      <c r="K258" s="11" t="s">
        <v>913</v>
      </c>
      <c r="L258" s="11">
        <v>55</v>
      </c>
      <c r="M258" s="11">
        <v>14</v>
      </c>
      <c r="N258" s="11">
        <v>157</v>
      </c>
      <c r="O258" s="11">
        <v>179</v>
      </c>
      <c r="P258" s="11">
        <v>-22</v>
      </c>
      <c r="Q258" s="11">
        <v>210</v>
      </c>
      <c r="R258" s="11" t="s">
        <v>36</v>
      </c>
      <c r="S258" s="11">
        <v>165</v>
      </c>
      <c r="T258" s="11">
        <v>158</v>
      </c>
      <c r="U258" s="11">
        <v>220</v>
      </c>
      <c r="V258" s="11">
        <v>181</v>
      </c>
      <c r="W258" s="11">
        <v>16</v>
      </c>
      <c r="X258" s="25" t="s">
        <v>886</v>
      </c>
    </row>
    <row r="259" spans="1:24" ht="14.25" customHeight="1" x14ac:dyDescent="0.25">
      <c r="A259" s="11"/>
      <c r="B259" s="11">
        <v>17</v>
      </c>
      <c r="C259" s="11" t="s">
        <v>148</v>
      </c>
      <c r="D259" s="11"/>
      <c r="E259" s="11"/>
      <c r="F259" s="11" t="s">
        <v>886</v>
      </c>
      <c r="G259" s="11">
        <v>0</v>
      </c>
      <c r="H259" s="11" t="s">
        <v>1105</v>
      </c>
      <c r="I259" s="11" t="s">
        <v>184</v>
      </c>
      <c r="J259" s="11" t="s">
        <v>1080</v>
      </c>
      <c r="K259" s="11">
        <v>0</v>
      </c>
      <c r="L259" s="11">
        <v>0</v>
      </c>
      <c r="M259" s="11">
        <v>16</v>
      </c>
      <c r="N259" s="11" t="s">
        <v>36</v>
      </c>
      <c r="O259" s="11" t="s">
        <v>36</v>
      </c>
      <c r="P259" s="11" t="e">
        <v>#VALUE!</v>
      </c>
      <c r="Q259" s="11">
        <v>206</v>
      </c>
      <c r="R259" s="11">
        <v>211</v>
      </c>
      <c r="S259" s="11">
        <v>275</v>
      </c>
      <c r="T259" s="11">
        <v>150</v>
      </c>
      <c r="U259" s="11">
        <v>168</v>
      </c>
      <c r="V259" s="11">
        <v>202</v>
      </c>
      <c r="W259" s="11">
        <v>17</v>
      </c>
      <c r="X259" s="25" t="s">
        <v>886</v>
      </c>
    </row>
    <row r="260" spans="1:24" ht="14.25" customHeight="1" x14ac:dyDescent="0.25">
      <c r="A260" s="11"/>
      <c r="B260" s="11">
        <v>15</v>
      </c>
      <c r="C260" s="11" t="s">
        <v>148</v>
      </c>
      <c r="D260" s="11"/>
      <c r="E260" s="11">
        <v>0</v>
      </c>
      <c r="F260" s="11" t="s">
        <v>886</v>
      </c>
      <c r="G260" s="11">
        <v>0</v>
      </c>
      <c r="H260" s="11" t="s">
        <v>905</v>
      </c>
      <c r="I260" s="11" t="s">
        <v>187</v>
      </c>
      <c r="J260" s="11" t="s">
        <v>762</v>
      </c>
      <c r="K260" s="11" t="s">
        <v>906</v>
      </c>
      <c r="L260" s="11">
        <v>56</v>
      </c>
      <c r="M260" s="11">
        <v>11</v>
      </c>
      <c r="N260" s="11">
        <v>123</v>
      </c>
      <c r="O260" s="11">
        <v>171</v>
      </c>
      <c r="P260" s="11">
        <v>-48</v>
      </c>
      <c r="Q260" s="11">
        <v>147</v>
      </c>
      <c r="R260" s="11">
        <v>147</v>
      </c>
      <c r="S260" s="11">
        <v>146</v>
      </c>
      <c r="T260" s="11">
        <v>157</v>
      </c>
      <c r="U260" s="11">
        <v>244</v>
      </c>
      <c r="V260" s="11">
        <v>162</v>
      </c>
      <c r="W260" s="11">
        <v>14</v>
      </c>
      <c r="X260" s="25" t="s">
        <v>886</v>
      </c>
    </row>
    <row r="261" spans="1:24" ht="14.25" customHeight="1" x14ac:dyDescent="0.25">
      <c r="A261" s="11"/>
      <c r="B261" s="11">
        <v>17</v>
      </c>
      <c r="C261" s="11" t="s">
        <v>148</v>
      </c>
      <c r="D261" s="11"/>
      <c r="E261" s="11"/>
      <c r="F261" s="11" t="s">
        <v>886</v>
      </c>
      <c r="G261" s="11">
        <v>0</v>
      </c>
      <c r="H261" s="11" t="s">
        <v>1106</v>
      </c>
      <c r="I261" s="11" t="s">
        <v>123</v>
      </c>
      <c r="J261" s="11" t="s">
        <v>1080</v>
      </c>
      <c r="K261" s="11">
        <v>0</v>
      </c>
      <c r="L261" s="11">
        <v>0</v>
      </c>
      <c r="M261" s="11">
        <v>16</v>
      </c>
      <c r="N261" s="11" t="s">
        <v>36</v>
      </c>
      <c r="O261" s="11" t="s">
        <v>36</v>
      </c>
      <c r="P261" s="11" t="e">
        <v>#VALUE!</v>
      </c>
      <c r="Q261" s="11">
        <v>217</v>
      </c>
      <c r="R261" s="11">
        <v>208</v>
      </c>
      <c r="S261" s="11">
        <v>233</v>
      </c>
      <c r="T261" s="11" t="s">
        <v>36</v>
      </c>
      <c r="U261" s="11">
        <v>157</v>
      </c>
      <c r="V261" s="11">
        <v>203</v>
      </c>
      <c r="W261" s="11">
        <v>17</v>
      </c>
      <c r="X261" s="25" t="s">
        <v>886</v>
      </c>
    </row>
    <row r="262" spans="1:24" ht="14.25" customHeight="1" x14ac:dyDescent="0.25">
      <c r="A262" s="11"/>
      <c r="B262" s="11">
        <v>20</v>
      </c>
      <c r="C262" s="11" t="s">
        <v>148</v>
      </c>
      <c r="D262" s="11"/>
      <c r="E262" s="11"/>
      <c r="F262" s="11" t="s">
        <v>886</v>
      </c>
      <c r="G262" s="11">
        <v>0</v>
      </c>
      <c r="H262" s="11" t="s">
        <v>405</v>
      </c>
      <c r="I262" s="11" t="s">
        <v>116</v>
      </c>
      <c r="J262" s="11" t="s">
        <v>769</v>
      </c>
      <c r="K262" s="11">
        <v>0</v>
      </c>
      <c r="L262" s="11">
        <v>0</v>
      </c>
      <c r="M262" s="11">
        <v>20</v>
      </c>
      <c r="N262" s="11">
        <v>230</v>
      </c>
      <c r="O262" s="11">
        <v>223</v>
      </c>
      <c r="P262" s="11">
        <v>7</v>
      </c>
      <c r="Q262" s="11" t="s">
        <v>36</v>
      </c>
      <c r="R262" s="11">
        <v>267</v>
      </c>
      <c r="S262" s="11">
        <v>210</v>
      </c>
      <c r="T262" s="11">
        <v>241</v>
      </c>
      <c r="U262" s="11">
        <v>216</v>
      </c>
      <c r="V262" s="11">
        <v>231</v>
      </c>
      <c r="W262" s="11">
        <v>20</v>
      </c>
      <c r="X262" s="25" t="s">
        <v>886</v>
      </c>
    </row>
    <row r="263" spans="1:24" ht="14.25" customHeight="1" x14ac:dyDescent="0.25">
      <c r="A263" s="11"/>
      <c r="B263" s="11">
        <v>22</v>
      </c>
      <c r="C263" s="11" t="s">
        <v>148</v>
      </c>
      <c r="D263" s="11"/>
      <c r="E263" s="11"/>
      <c r="F263" s="11" t="s">
        <v>886</v>
      </c>
      <c r="G263" s="11" t="s">
        <v>148</v>
      </c>
      <c r="H263" s="11" t="s">
        <v>596</v>
      </c>
      <c r="I263" s="11" t="s">
        <v>116</v>
      </c>
      <c r="J263" s="11" t="s">
        <v>764</v>
      </c>
      <c r="K263" s="11" t="s">
        <v>912</v>
      </c>
      <c r="L263" s="11">
        <v>64</v>
      </c>
      <c r="M263" s="11">
        <v>21</v>
      </c>
      <c r="N263" s="11">
        <v>248</v>
      </c>
      <c r="O263" s="11">
        <v>208</v>
      </c>
      <c r="P263" s="11">
        <v>40</v>
      </c>
      <c r="Q263" s="11" t="s">
        <v>36</v>
      </c>
      <c r="R263" s="11" t="s">
        <v>36</v>
      </c>
      <c r="S263" s="11">
        <v>270</v>
      </c>
      <c r="T263" s="11">
        <v>253</v>
      </c>
      <c r="U263" s="11" t="s">
        <v>36</v>
      </c>
      <c r="V263" s="11">
        <v>244</v>
      </c>
      <c r="W263" s="11">
        <v>21</v>
      </c>
      <c r="X263" s="25" t="s">
        <v>1107</v>
      </c>
    </row>
    <row r="264" spans="1:24" ht="14.25" customHeight="1" x14ac:dyDescent="0.25">
      <c r="A264" s="11"/>
      <c r="B264" s="11">
        <v>18</v>
      </c>
      <c r="C264" s="11" t="s">
        <v>148</v>
      </c>
      <c r="D264" s="11"/>
      <c r="E264" s="11"/>
      <c r="F264" s="11" t="s">
        <v>886</v>
      </c>
      <c r="G264" s="11">
        <v>0</v>
      </c>
      <c r="H264" s="11" t="s">
        <v>701</v>
      </c>
      <c r="I264" s="11" t="s">
        <v>126</v>
      </c>
      <c r="J264" s="11" t="s">
        <v>1080</v>
      </c>
      <c r="K264" s="11">
        <v>0</v>
      </c>
      <c r="L264" s="11">
        <v>0</v>
      </c>
      <c r="M264" s="11">
        <v>16</v>
      </c>
      <c r="N264" s="11" t="s">
        <v>36</v>
      </c>
      <c r="O264" s="11" t="s">
        <v>36</v>
      </c>
      <c r="P264" s="11" t="e">
        <v>#VALUE!</v>
      </c>
      <c r="Q264" s="11">
        <v>169</v>
      </c>
      <c r="R264" s="11">
        <v>199</v>
      </c>
      <c r="S264" s="11">
        <v>281</v>
      </c>
      <c r="T264" s="11">
        <v>239</v>
      </c>
      <c r="U264" s="11">
        <v>187</v>
      </c>
      <c r="V264" s="11">
        <v>215</v>
      </c>
      <c r="W264" s="11">
        <v>18</v>
      </c>
      <c r="X264" s="25" t="s">
        <v>886</v>
      </c>
    </row>
    <row r="265" spans="1:24" ht="14.25" customHeight="1" x14ac:dyDescent="0.25">
      <c r="A265" s="11"/>
      <c r="B265" s="11">
        <v>19</v>
      </c>
      <c r="C265" s="11" t="s">
        <v>148</v>
      </c>
      <c r="D265" s="11"/>
      <c r="E265" s="11"/>
      <c r="F265" s="11" t="s">
        <v>886</v>
      </c>
      <c r="G265" s="11">
        <v>0</v>
      </c>
      <c r="H265" s="11" t="s">
        <v>908</v>
      </c>
      <c r="I265" s="11" t="s">
        <v>229</v>
      </c>
      <c r="J265" s="11" t="s">
        <v>764</v>
      </c>
      <c r="K265" s="11">
        <v>0</v>
      </c>
      <c r="L265" s="11">
        <v>0</v>
      </c>
      <c r="M265" s="11">
        <v>16</v>
      </c>
      <c r="N265" s="11" t="s">
        <v>36</v>
      </c>
      <c r="O265" s="11">
        <v>227</v>
      </c>
      <c r="P265" s="11" t="e">
        <v>#VALUE!</v>
      </c>
      <c r="Q265" s="11" t="s">
        <v>36</v>
      </c>
      <c r="R265" s="11" t="s">
        <v>36</v>
      </c>
      <c r="S265" s="11">
        <v>202</v>
      </c>
      <c r="T265" s="11">
        <v>235</v>
      </c>
      <c r="U265" s="11">
        <v>238</v>
      </c>
      <c r="V265" s="11">
        <v>225</v>
      </c>
      <c r="W265" s="11">
        <v>19</v>
      </c>
      <c r="X265" s="25" t="s">
        <v>886</v>
      </c>
    </row>
    <row r="266" spans="1:24" ht="14.25" customHeight="1" x14ac:dyDescent="0.25">
      <c r="A266" s="11"/>
      <c r="B266" s="11">
        <v>19</v>
      </c>
      <c r="C266" s="11" t="s">
        <v>148</v>
      </c>
      <c r="D266" s="11"/>
      <c r="E266" s="11"/>
      <c r="F266" s="11" t="s">
        <v>886</v>
      </c>
      <c r="G266" s="11">
        <v>0</v>
      </c>
      <c r="H266" s="11" t="s">
        <v>300</v>
      </c>
      <c r="I266" s="11" t="s">
        <v>126</v>
      </c>
      <c r="J266" s="11" t="s">
        <v>760</v>
      </c>
      <c r="K266" s="11">
        <v>0</v>
      </c>
      <c r="L266" s="11">
        <v>0</v>
      </c>
      <c r="M266" s="11">
        <v>16</v>
      </c>
      <c r="N266" s="11" t="s">
        <v>36</v>
      </c>
      <c r="O266" s="11">
        <v>202</v>
      </c>
      <c r="P266" s="11" t="e">
        <v>#VALUE!</v>
      </c>
      <c r="Q266" s="11" t="s">
        <v>36</v>
      </c>
      <c r="R266" s="11">
        <v>209</v>
      </c>
      <c r="S266" s="11">
        <v>219</v>
      </c>
      <c r="T266" s="11">
        <v>238</v>
      </c>
      <c r="U266" s="11">
        <v>237</v>
      </c>
      <c r="V266" s="11">
        <v>221</v>
      </c>
      <c r="W266" s="11">
        <v>19</v>
      </c>
      <c r="X266" s="25" t="s">
        <v>886</v>
      </c>
    </row>
    <row r="267" spans="1:24" ht="14.25" customHeight="1" x14ac:dyDescent="0.25">
      <c r="A267" s="11"/>
      <c r="B267" s="11">
        <v>21</v>
      </c>
      <c r="C267" s="11" t="s">
        <v>148</v>
      </c>
      <c r="D267" s="11"/>
      <c r="E267" s="11"/>
      <c r="F267" s="11" t="s">
        <v>886</v>
      </c>
      <c r="G267" s="11">
        <v>0</v>
      </c>
      <c r="H267" s="11" t="s">
        <v>949</v>
      </c>
      <c r="I267" s="11" t="s">
        <v>126</v>
      </c>
      <c r="J267" s="11" t="s">
        <v>760</v>
      </c>
      <c r="K267" s="11">
        <v>0</v>
      </c>
      <c r="L267" s="11">
        <v>0</v>
      </c>
      <c r="M267" s="11">
        <v>16</v>
      </c>
      <c r="N267" s="11" t="s">
        <v>36</v>
      </c>
      <c r="O267" s="11">
        <v>232</v>
      </c>
      <c r="P267" s="11" t="e">
        <v>#VALUE!</v>
      </c>
      <c r="Q267" s="11" t="s">
        <v>36</v>
      </c>
      <c r="R267" s="11">
        <v>239</v>
      </c>
      <c r="S267" s="11">
        <v>243</v>
      </c>
      <c r="T267" s="11">
        <v>265</v>
      </c>
      <c r="U267" s="11">
        <v>225</v>
      </c>
      <c r="V267" s="11">
        <v>240</v>
      </c>
      <c r="W267" s="11">
        <v>21</v>
      </c>
      <c r="X267" s="25" t="s">
        <v>886</v>
      </c>
    </row>
    <row r="268" spans="1:24" ht="14.25" customHeight="1" x14ac:dyDescent="0.25">
      <c r="A268" s="11"/>
      <c r="B268" s="11">
        <v>20</v>
      </c>
      <c r="C268" s="11" t="s">
        <v>148</v>
      </c>
      <c r="D268" s="11"/>
      <c r="E268" s="11"/>
      <c r="F268" s="11" t="s">
        <v>886</v>
      </c>
      <c r="G268" s="11">
        <v>0</v>
      </c>
      <c r="H268" s="11" t="s">
        <v>611</v>
      </c>
      <c r="I268" s="11" t="s">
        <v>187</v>
      </c>
      <c r="J268" s="11" t="s">
        <v>760</v>
      </c>
      <c r="K268" s="11">
        <v>0</v>
      </c>
      <c r="L268" s="11">
        <v>0</v>
      </c>
      <c r="M268" s="11">
        <v>16</v>
      </c>
      <c r="N268" s="11" t="s">
        <v>36</v>
      </c>
      <c r="O268" s="11">
        <v>276</v>
      </c>
      <c r="P268" s="11" t="e">
        <v>#VALUE!</v>
      </c>
      <c r="Q268" s="11" t="s">
        <v>36</v>
      </c>
      <c r="R268" s="11">
        <v>210</v>
      </c>
      <c r="S268" s="11">
        <v>292</v>
      </c>
      <c r="T268" s="11">
        <v>220</v>
      </c>
      <c r="U268" s="11">
        <v>214</v>
      </c>
      <c r="V268" s="11">
        <v>242</v>
      </c>
      <c r="W268" s="11">
        <v>21</v>
      </c>
      <c r="X268" s="25" t="s">
        <v>886</v>
      </c>
    </row>
    <row r="269" spans="1:24" ht="14.25" customHeight="1" x14ac:dyDescent="0.25">
      <c r="A269" s="11"/>
      <c r="B269" s="11">
        <v>20</v>
      </c>
      <c r="C269" s="11" t="s">
        <v>148</v>
      </c>
      <c r="D269" s="11"/>
      <c r="E269" s="11">
        <v>0</v>
      </c>
      <c r="F269" s="11" t="s">
        <v>886</v>
      </c>
      <c r="G269" s="11" t="s">
        <v>148</v>
      </c>
      <c r="H269" s="11" t="s">
        <v>316</v>
      </c>
      <c r="I269" s="11" t="s">
        <v>155</v>
      </c>
      <c r="J269" s="11" t="s">
        <v>762</v>
      </c>
      <c r="K269" s="11" t="s">
        <v>1042</v>
      </c>
      <c r="L269" s="11">
        <v>56</v>
      </c>
      <c r="M269" s="11">
        <v>16</v>
      </c>
      <c r="N269" s="11">
        <v>184</v>
      </c>
      <c r="O269" s="11">
        <v>200</v>
      </c>
      <c r="P269" s="11">
        <v>-16</v>
      </c>
      <c r="Q269" s="11" t="s">
        <v>36</v>
      </c>
      <c r="R269" s="11" t="s">
        <v>36</v>
      </c>
      <c r="S269" s="11">
        <v>184</v>
      </c>
      <c r="T269" s="11">
        <v>211</v>
      </c>
      <c r="U269" s="11">
        <v>324</v>
      </c>
      <c r="V269" s="11">
        <v>220</v>
      </c>
      <c r="W269" s="11">
        <v>19</v>
      </c>
      <c r="X269" s="25" t="s">
        <v>1108</v>
      </c>
    </row>
    <row r="270" spans="1:24" ht="14.25" customHeight="1" x14ac:dyDescent="0.25">
      <c r="A270" s="11"/>
      <c r="B270" s="11">
        <v>23</v>
      </c>
      <c r="C270" s="11" t="s">
        <v>148</v>
      </c>
      <c r="D270" s="11"/>
      <c r="E270" s="11"/>
      <c r="F270" s="11" t="s">
        <v>886</v>
      </c>
      <c r="G270" s="11">
        <v>0</v>
      </c>
      <c r="H270" s="11" t="s">
        <v>990</v>
      </c>
      <c r="I270" s="11" t="s">
        <v>233</v>
      </c>
      <c r="J270" s="11" t="s">
        <v>764</v>
      </c>
      <c r="K270" s="11">
        <v>0</v>
      </c>
      <c r="L270" s="11">
        <v>0</v>
      </c>
      <c r="M270" s="11">
        <v>16</v>
      </c>
      <c r="N270" s="11" t="s">
        <v>36</v>
      </c>
      <c r="O270" s="11">
        <v>238</v>
      </c>
      <c r="P270" s="11" t="e">
        <v>#VALUE!</v>
      </c>
      <c r="Q270" s="11" t="s">
        <v>36</v>
      </c>
      <c r="R270" s="11" t="s">
        <v>36</v>
      </c>
      <c r="S270" s="11">
        <v>262</v>
      </c>
      <c r="T270" s="11">
        <v>274</v>
      </c>
      <c r="U270" s="11">
        <v>277</v>
      </c>
      <c r="V270" s="11">
        <v>262</v>
      </c>
      <c r="W270" s="11">
        <v>22</v>
      </c>
      <c r="X270" s="25" t="s">
        <v>886</v>
      </c>
    </row>
    <row r="271" spans="1:24" ht="14.25" customHeight="1" x14ac:dyDescent="0.25">
      <c r="A271" s="11"/>
      <c r="B271" s="11">
        <v>21</v>
      </c>
      <c r="C271" s="11" t="s">
        <v>148</v>
      </c>
      <c r="D271" s="11"/>
      <c r="E271" s="11"/>
      <c r="F271" s="11" t="s">
        <v>886</v>
      </c>
      <c r="G271" s="11">
        <v>0</v>
      </c>
      <c r="H271" s="11" t="s">
        <v>811</v>
      </c>
      <c r="I271" s="11" t="s">
        <v>155</v>
      </c>
      <c r="J271" s="11" t="s">
        <v>769</v>
      </c>
      <c r="K271" s="11">
        <v>0</v>
      </c>
      <c r="L271" s="11">
        <v>0</v>
      </c>
      <c r="M271" s="11">
        <v>16</v>
      </c>
      <c r="N271" s="11" t="s">
        <v>36</v>
      </c>
      <c r="O271" s="11">
        <v>249</v>
      </c>
      <c r="P271" s="11" t="e">
        <v>#VALUE!</v>
      </c>
      <c r="Q271" s="11" t="s">
        <v>36</v>
      </c>
      <c r="R271" s="11">
        <v>225</v>
      </c>
      <c r="S271" s="11">
        <v>259</v>
      </c>
      <c r="T271" s="11">
        <v>271</v>
      </c>
      <c r="U271" s="11">
        <v>229</v>
      </c>
      <c r="V271" s="11">
        <v>246</v>
      </c>
      <c r="W271" s="11">
        <v>21</v>
      </c>
      <c r="X271" s="25" t="s">
        <v>886</v>
      </c>
    </row>
    <row r="272" spans="1:24" ht="14.25" customHeight="1" x14ac:dyDescent="0.25">
      <c r="A272" s="11"/>
      <c r="B272" s="11">
        <v>22</v>
      </c>
      <c r="C272" s="11" t="s">
        <v>148</v>
      </c>
      <c r="D272" s="11"/>
      <c r="E272" s="11"/>
      <c r="F272" s="11" t="s">
        <v>886</v>
      </c>
      <c r="G272" s="11">
        <v>0</v>
      </c>
      <c r="H272" s="11" t="s">
        <v>379</v>
      </c>
      <c r="I272" s="11" t="s">
        <v>129</v>
      </c>
      <c r="J272" s="11" t="s">
        <v>769</v>
      </c>
      <c r="K272" s="11">
        <v>0</v>
      </c>
      <c r="L272" s="11">
        <v>0</v>
      </c>
      <c r="M272" s="11">
        <v>16</v>
      </c>
      <c r="N272" s="11" t="s">
        <v>36</v>
      </c>
      <c r="O272" s="11">
        <v>216</v>
      </c>
      <c r="P272" s="11" t="e">
        <v>#VALUE!</v>
      </c>
      <c r="Q272" s="11" t="s">
        <v>36</v>
      </c>
      <c r="R272" s="11" t="s">
        <v>36</v>
      </c>
      <c r="S272" s="11">
        <v>223</v>
      </c>
      <c r="T272" s="11">
        <v>273</v>
      </c>
      <c r="U272" s="11">
        <v>279</v>
      </c>
      <c r="V272" s="11">
        <v>247</v>
      </c>
      <c r="W272" s="11">
        <v>21</v>
      </c>
      <c r="X272" s="25" t="s">
        <v>886</v>
      </c>
    </row>
    <row r="273" spans="1:24" ht="14.25" customHeight="1" x14ac:dyDescent="0.25">
      <c r="A273" s="11"/>
      <c r="B273" s="11">
        <v>21</v>
      </c>
      <c r="C273" s="11" t="s">
        <v>148</v>
      </c>
      <c r="D273" s="11"/>
      <c r="E273" s="11"/>
      <c r="F273" s="11" t="s">
        <v>886</v>
      </c>
      <c r="G273" s="11">
        <v>0</v>
      </c>
      <c r="H273" s="11" t="s">
        <v>975</v>
      </c>
      <c r="I273" s="11" t="s">
        <v>85</v>
      </c>
      <c r="J273" s="11" t="s">
        <v>769</v>
      </c>
      <c r="K273" s="11">
        <v>0</v>
      </c>
      <c r="L273" s="11">
        <v>0</v>
      </c>
      <c r="M273" s="11">
        <v>16</v>
      </c>
      <c r="N273" s="11" t="s">
        <v>36</v>
      </c>
      <c r="O273" s="11">
        <v>246</v>
      </c>
      <c r="P273" s="11" t="e">
        <v>#VALUE!</v>
      </c>
      <c r="Q273" s="11" t="s">
        <v>36</v>
      </c>
      <c r="R273" s="11">
        <v>233</v>
      </c>
      <c r="S273" s="11">
        <v>249</v>
      </c>
      <c r="T273" s="11">
        <v>276</v>
      </c>
      <c r="U273" s="11">
        <v>240</v>
      </c>
      <c r="V273" s="11">
        <v>248</v>
      </c>
      <c r="W273" s="11">
        <v>21</v>
      </c>
      <c r="X273" s="25" t="s">
        <v>886</v>
      </c>
    </row>
    <row r="274" spans="1:24" ht="14.25" customHeight="1" x14ac:dyDescent="0.25">
      <c r="A274" s="11"/>
      <c r="B274" s="11">
        <v>21</v>
      </c>
      <c r="C274" s="11" t="s">
        <v>148</v>
      </c>
      <c r="D274" s="11"/>
      <c r="E274" s="11"/>
      <c r="F274" s="11" t="s">
        <v>886</v>
      </c>
      <c r="G274" s="11">
        <v>0</v>
      </c>
      <c r="H274" s="11" t="s">
        <v>256</v>
      </c>
      <c r="I274" s="11" t="s">
        <v>187</v>
      </c>
      <c r="J274" s="11" t="s">
        <v>769</v>
      </c>
      <c r="K274" s="11">
        <v>0</v>
      </c>
      <c r="L274" s="11">
        <v>0</v>
      </c>
      <c r="M274" s="11">
        <v>16</v>
      </c>
      <c r="N274" s="11" t="s">
        <v>36</v>
      </c>
      <c r="O274" s="11">
        <v>190</v>
      </c>
      <c r="P274" s="11" t="e">
        <v>#VALUE!</v>
      </c>
      <c r="Q274" s="11" t="s">
        <v>36</v>
      </c>
      <c r="R274" s="11">
        <v>269</v>
      </c>
      <c r="S274" s="11">
        <v>199</v>
      </c>
      <c r="T274" s="11">
        <v>272</v>
      </c>
      <c r="U274" s="11" t="s">
        <v>36</v>
      </c>
      <c r="V274" s="11">
        <v>232</v>
      </c>
      <c r="W274" s="11">
        <v>20</v>
      </c>
      <c r="X274" s="25" t="s">
        <v>1109</v>
      </c>
    </row>
    <row r="275" spans="1:24" ht="14.25" customHeight="1" x14ac:dyDescent="0.25">
      <c r="A275" s="11"/>
      <c r="B275" s="11">
        <v>22</v>
      </c>
      <c r="C275" s="11" t="s">
        <v>148</v>
      </c>
      <c r="D275" s="11"/>
      <c r="E275" s="11"/>
      <c r="F275" s="11" t="s">
        <v>886</v>
      </c>
      <c r="G275" s="11">
        <v>0</v>
      </c>
      <c r="H275" s="11" t="s">
        <v>828</v>
      </c>
      <c r="I275" s="11" t="s">
        <v>44</v>
      </c>
      <c r="J275" s="11" t="s">
        <v>764</v>
      </c>
      <c r="K275" s="11">
        <v>0</v>
      </c>
      <c r="L275" s="11">
        <v>0</v>
      </c>
      <c r="M275" s="11">
        <v>16</v>
      </c>
      <c r="N275" s="11" t="s">
        <v>36</v>
      </c>
      <c r="O275" s="11">
        <v>207</v>
      </c>
      <c r="P275" s="11" t="e">
        <v>#VALUE!</v>
      </c>
      <c r="Q275" s="11" t="s">
        <v>36</v>
      </c>
      <c r="R275" s="11" t="s">
        <v>36</v>
      </c>
      <c r="S275" s="11">
        <v>245</v>
      </c>
      <c r="T275" s="11">
        <v>262</v>
      </c>
      <c r="U275" s="11">
        <v>267</v>
      </c>
      <c r="V275" s="11">
        <v>245</v>
      </c>
      <c r="W275" s="11">
        <v>21</v>
      </c>
      <c r="X275" s="25" t="s">
        <v>886</v>
      </c>
    </row>
    <row r="276" spans="1:24" ht="14.25" customHeight="1" x14ac:dyDescent="0.25">
      <c r="A276" s="11"/>
      <c r="B276" s="11">
        <v>15</v>
      </c>
      <c r="C276" s="11" t="s">
        <v>148</v>
      </c>
      <c r="D276" s="11"/>
      <c r="E276" s="11">
        <v>0</v>
      </c>
      <c r="F276" s="11" t="s">
        <v>886</v>
      </c>
      <c r="G276" s="11">
        <v>0</v>
      </c>
      <c r="H276" s="11" t="s">
        <v>506</v>
      </c>
      <c r="I276" s="69" t="s">
        <v>66</v>
      </c>
      <c r="J276" s="11" t="s">
        <v>762</v>
      </c>
      <c r="K276" s="11" t="s">
        <v>930</v>
      </c>
      <c r="L276" s="11">
        <v>57</v>
      </c>
      <c r="M276" s="11">
        <v>12</v>
      </c>
      <c r="N276" s="11">
        <v>138</v>
      </c>
      <c r="O276" s="11">
        <v>142</v>
      </c>
      <c r="P276" s="11">
        <v>-4</v>
      </c>
      <c r="Q276" s="11">
        <v>164</v>
      </c>
      <c r="R276" s="11">
        <v>190</v>
      </c>
      <c r="S276" s="11">
        <v>143</v>
      </c>
      <c r="T276" s="11">
        <v>149</v>
      </c>
      <c r="U276" s="11">
        <v>215</v>
      </c>
      <c r="V276" s="11">
        <v>163</v>
      </c>
      <c r="W276" s="11">
        <v>14</v>
      </c>
      <c r="X276" s="25" t="s">
        <v>1044</v>
      </c>
    </row>
    <row r="277" spans="1:24" ht="14.25" customHeight="1" x14ac:dyDescent="0.25">
      <c r="A277" s="11"/>
      <c r="B277" s="11">
        <v>20</v>
      </c>
      <c r="C277" s="11" t="s">
        <v>148</v>
      </c>
      <c r="D277" s="11"/>
      <c r="E277" s="11">
        <v>0</v>
      </c>
      <c r="F277" s="11" t="s">
        <v>886</v>
      </c>
      <c r="G277" s="11" t="s">
        <v>148</v>
      </c>
      <c r="H277" s="11" t="s">
        <v>368</v>
      </c>
      <c r="I277" s="11" t="s">
        <v>116</v>
      </c>
      <c r="J277" s="11" t="s">
        <v>762</v>
      </c>
      <c r="K277" s="11" t="s">
        <v>1042</v>
      </c>
      <c r="L277" s="11">
        <v>57</v>
      </c>
      <c r="M277" s="11">
        <v>16</v>
      </c>
      <c r="N277" s="11">
        <v>182</v>
      </c>
      <c r="O277" s="11">
        <v>175</v>
      </c>
      <c r="P277" s="11">
        <v>7</v>
      </c>
      <c r="Q277" s="11" t="s">
        <v>36</v>
      </c>
      <c r="R277" s="11" t="s">
        <v>36</v>
      </c>
      <c r="S277" s="11">
        <v>156</v>
      </c>
      <c r="T277" s="11">
        <v>194</v>
      </c>
      <c r="U277" s="11">
        <v>336</v>
      </c>
      <c r="V277" s="11">
        <v>208</v>
      </c>
      <c r="W277" s="11">
        <v>18</v>
      </c>
      <c r="X277" s="25" t="s">
        <v>1111</v>
      </c>
    </row>
    <row r="278" spans="1:24" ht="14.25" customHeight="1" x14ac:dyDescent="0.25">
      <c r="A278" s="11"/>
      <c r="B278" s="11" t="e">
        <v>#N/A</v>
      </c>
      <c r="C278" s="11" t="s">
        <v>148</v>
      </c>
      <c r="D278" s="11"/>
      <c r="E278" s="11"/>
      <c r="F278" s="11" t="s">
        <v>886</v>
      </c>
      <c r="G278" s="11">
        <v>0</v>
      </c>
      <c r="H278" s="11" t="s">
        <v>1113</v>
      </c>
      <c r="I278" s="11" t="e">
        <v>#N/A</v>
      </c>
      <c r="J278" s="11" t="e">
        <v>#N/A</v>
      </c>
      <c r="K278" s="11">
        <v>0</v>
      </c>
      <c r="L278" s="11">
        <v>0</v>
      </c>
      <c r="M278" s="11">
        <v>16</v>
      </c>
      <c r="N278" s="11" t="e">
        <v>#N/A</v>
      </c>
      <c r="O278" s="11" t="e">
        <v>#N/A</v>
      </c>
      <c r="P278" s="11" t="e">
        <v>#N/A</v>
      </c>
      <c r="Q278" s="11" t="e">
        <v>#N/A</v>
      </c>
      <c r="R278" s="11" t="e">
        <v>#N/A</v>
      </c>
      <c r="S278" s="11" t="e">
        <v>#N/A</v>
      </c>
      <c r="T278" s="11" t="e">
        <v>#N/A</v>
      </c>
      <c r="U278" s="11" t="e">
        <v>#N/A</v>
      </c>
      <c r="V278" s="11" t="e">
        <v>#N/A</v>
      </c>
      <c r="W278" s="11">
        <v>16</v>
      </c>
      <c r="X278" s="25" t="s">
        <v>1114</v>
      </c>
    </row>
    <row r="279" spans="1:24" ht="14.25" customHeight="1" x14ac:dyDescent="0.25">
      <c r="A279" s="11"/>
      <c r="B279" s="11">
        <v>22</v>
      </c>
      <c r="C279" s="11" t="s">
        <v>148</v>
      </c>
      <c r="D279" s="11"/>
      <c r="E279" s="11"/>
      <c r="F279" s="11" t="s">
        <v>886</v>
      </c>
      <c r="G279" s="11">
        <v>0</v>
      </c>
      <c r="H279" s="11" t="s">
        <v>834</v>
      </c>
      <c r="I279" s="11" t="s">
        <v>187</v>
      </c>
      <c r="J279" s="11" t="s">
        <v>760</v>
      </c>
      <c r="K279" s="11">
        <v>0</v>
      </c>
      <c r="L279" s="11">
        <v>0</v>
      </c>
      <c r="M279" s="11">
        <v>16</v>
      </c>
      <c r="N279" s="11" t="s">
        <v>36</v>
      </c>
      <c r="O279" s="11">
        <v>224</v>
      </c>
      <c r="P279" s="11" t="e">
        <v>#VALUE!</v>
      </c>
      <c r="Q279" s="11" t="s">
        <v>36</v>
      </c>
      <c r="R279" s="11">
        <v>249</v>
      </c>
      <c r="S279" s="11">
        <v>251</v>
      </c>
      <c r="T279" s="11">
        <v>283</v>
      </c>
      <c r="U279" s="11">
        <v>261</v>
      </c>
      <c r="V279" s="11">
        <v>253</v>
      </c>
      <c r="W279" s="11">
        <v>22</v>
      </c>
      <c r="X279" s="25" t="s">
        <v>886</v>
      </c>
    </row>
    <row r="280" spans="1:24" ht="14.25" customHeight="1" x14ac:dyDescent="0.25">
      <c r="A280" s="11"/>
      <c r="B280" s="11" t="e">
        <v>#N/A</v>
      </c>
      <c r="C280" s="11" t="s">
        <v>148</v>
      </c>
      <c r="D280" s="11"/>
      <c r="E280" s="11"/>
      <c r="F280" s="11" t="s">
        <v>886</v>
      </c>
      <c r="G280" s="11">
        <v>0</v>
      </c>
      <c r="H280" s="11" t="s">
        <v>932</v>
      </c>
      <c r="I280" s="11" t="e">
        <v>#N/A</v>
      </c>
      <c r="J280" s="11" t="e">
        <v>#N/A</v>
      </c>
      <c r="K280" s="11">
        <v>0</v>
      </c>
      <c r="L280" s="11">
        <v>0</v>
      </c>
      <c r="M280" s="11">
        <v>16</v>
      </c>
      <c r="N280" s="11" t="e">
        <v>#N/A</v>
      </c>
      <c r="O280" s="11" t="e">
        <v>#N/A</v>
      </c>
      <c r="P280" s="11" t="e">
        <v>#N/A</v>
      </c>
      <c r="Q280" s="11" t="e">
        <v>#N/A</v>
      </c>
      <c r="R280" s="11" t="e">
        <v>#N/A</v>
      </c>
      <c r="S280" s="11" t="e">
        <v>#N/A</v>
      </c>
      <c r="T280" s="11" t="e">
        <v>#N/A</v>
      </c>
      <c r="U280" s="11" t="e">
        <v>#N/A</v>
      </c>
      <c r="V280" s="11" t="e">
        <v>#N/A</v>
      </c>
      <c r="W280" s="11">
        <v>16</v>
      </c>
      <c r="X280" s="25" t="s">
        <v>886</v>
      </c>
    </row>
    <row r="281" spans="1:24" ht="14.25" customHeight="1" x14ac:dyDescent="0.25">
      <c r="A281" s="11"/>
      <c r="B281" s="11">
        <v>23</v>
      </c>
      <c r="C281" s="11" t="s">
        <v>148</v>
      </c>
      <c r="D281" s="11"/>
      <c r="E281" s="11"/>
      <c r="F281" s="11" t="s">
        <v>886</v>
      </c>
      <c r="G281" s="11">
        <v>0</v>
      </c>
      <c r="H281" s="11" t="s">
        <v>358</v>
      </c>
      <c r="I281" s="11" t="s">
        <v>160</v>
      </c>
      <c r="J281" s="11" t="s">
        <v>764</v>
      </c>
      <c r="K281" s="11">
        <v>0</v>
      </c>
      <c r="L281" s="11">
        <v>0</v>
      </c>
      <c r="M281" s="11">
        <v>16</v>
      </c>
      <c r="N281" s="11">
        <v>183</v>
      </c>
      <c r="O281" s="11">
        <v>168</v>
      </c>
      <c r="P281" s="11">
        <v>15</v>
      </c>
      <c r="Q281" s="11" t="s">
        <v>36</v>
      </c>
      <c r="R281" s="11" t="s">
        <v>36</v>
      </c>
      <c r="S281" s="11">
        <v>207</v>
      </c>
      <c r="T281" s="11">
        <v>264</v>
      </c>
      <c r="U281" s="11">
        <v>329</v>
      </c>
      <c r="V281" s="11">
        <v>230</v>
      </c>
      <c r="W281" s="11">
        <v>20</v>
      </c>
      <c r="X281" s="25" t="s">
        <v>886</v>
      </c>
    </row>
    <row r="282" spans="1:24" ht="14.25" customHeight="1" x14ac:dyDescent="0.25">
      <c r="A282" s="11"/>
      <c r="B282" s="11">
        <v>21</v>
      </c>
      <c r="C282" s="11" t="s">
        <v>148</v>
      </c>
      <c r="D282" s="11"/>
      <c r="E282" s="11"/>
      <c r="F282" s="11" t="s">
        <v>886</v>
      </c>
      <c r="G282" s="11" t="s">
        <v>148</v>
      </c>
      <c r="H282" s="11" t="s">
        <v>403</v>
      </c>
      <c r="I282" s="11" t="s">
        <v>60</v>
      </c>
      <c r="J282" s="11" t="s">
        <v>760</v>
      </c>
      <c r="K282" s="11" t="s">
        <v>942</v>
      </c>
      <c r="L282" s="11">
        <v>25</v>
      </c>
      <c r="M282" s="11">
        <v>21</v>
      </c>
      <c r="N282" s="11">
        <v>245</v>
      </c>
      <c r="O282" s="11">
        <v>201</v>
      </c>
      <c r="P282" s="11">
        <v>44</v>
      </c>
      <c r="Q282" s="11">
        <v>156</v>
      </c>
      <c r="R282" s="11" t="s">
        <v>36</v>
      </c>
      <c r="S282" s="11">
        <v>231</v>
      </c>
      <c r="T282" s="11">
        <v>277</v>
      </c>
      <c r="U282" s="11">
        <v>310</v>
      </c>
      <c r="V282" s="11">
        <v>236</v>
      </c>
      <c r="W282" s="11">
        <v>20</v>
      </c>
      <c r="X282" s="25" t="s">
        <v>1115</v>
      </c>
    </row>
    <row r="283" spans="1:24" ht="14.25" customHeight="1" x14ac:dyDescent="0.25">
      <c r="A283" s="11"/>
      <c r="B283" s="11">
        <v>19</v>
      </c>
      <c r="C283" s="11" t="s">
        <v>148</v>
      </c>
      <c r="D283" s="11"/>
      <c r="E283" s="11"/>
      <c r="F283" s="11" t="s">
        <v>886</v>
      </c>
      <c r="G283" s="11">
        <v>0</v>
      </c>
      <c r="H283" s="11" t="s">
        <v>810</v>
      </c>
      <c r="I283" s="11" t="s">
        <v>94</v>
      </c>
      <c r="J283" s="11" t="s">
        <v>764</v>
      </c>
      <c r="K283" s="11">
        <v>0</v>
      </c>
      <c r="L283" s="11">
        <v>0</v>
      </c>
      <c r="M283" s="11">
        <v>21</v>
      </c>
      <c r="N283" s="11">
        <v>250</v>
      </c>
      <c r="O283" s="11">
        <v>192</v>
      </c>
      <c r="P283" s="11">
        <v>58</v>
      </c>
      <c r="Q283" s="11">
        <v>143</v>
      </c>
      <c r="R283" s="11">
        <v>189</v>
      </c>
      <c r="S283" s="11">
        <v>227</v>
      </c>
      <c r="T283" s="11">
        <v>250</v>
      </c>
      <c r="U283" s="11">
        <v>290</v>
      </c>
      <c r="V283" s="11">
        <v>220</v>
      </c>
      <c r="W283" s="11">
        <v>19</v>
      </c>
      <c r="X283" s="25" t="s">
        <v>886</v>
      </c>
    </row>
    <row r="284" spans="1:24" ht="14.25" customHeight="1" x14ac:dyDescent="0.25">
      <c r="A284" s="11"/>
      <c r="B284" s="11">
        <v>23</v>
      </c>
      <c r="C284" s="11" t="s">
        <v>148</v>
      </c>
      <c r="D284" s="11"/>
      <c r="E284" s="11">
        <v>0</v>
      </c>
      <c r="F284" s="11" t="s">
        <v>886</v>
      </c>
      <c r="G284" s="11" t="s">
        <v>148</v>
      </c>
      <c r="H284" s="11" t="s">
        <v>833</v>
      </c>
      <c r="I284" s="11" t="s">
        <v>129</v>
      </c>
      <c r="J284" s="11" t="s">
        <v>762</v>
      </c>
      <c r="K284" s="11" t="s">
        <v>1042</v>
      </c>
      <c r="L284" s="11">
        <v>58</v>
      </c>
      <c r="M284" s="11">
        <v>16</v>
      </c>
      <c r="N284" s="11" t="s">
        <v>36</v>
      </c>
      <c r="O284" s="11">
        <v>282</v>
      </c>
      <c r="P284" s="11" t="e">
        <v>#VALUE!</v>
      </c>
      <c r="Q284" s="11" t="s">
        <v>36</v>
      </c>
      <c r="R284" s="11" t="s">
        <v>36</v>
      </c>
      <c r="S284" s="11">
        <v>299</v>
      </c>
      <c r="T284" s="11">
        <v>249</v>
      </c>
      <c r="U284" s="11" t="s">
        <v>36</v>
      </c>
      <c r="V284" s="11">
        <v>276</v>
      </c>
      <c r="W284" s="11">
        <v>24</v>
      </c>
      <c r="X284" s="25" t="s">
        <v>1116</v>
      </c>
    </row>
    <row r="285" spans="1:24" ht="14.25" customHeight="1" x14ac:dyDescent="0.25">
      <c r="A285" s="11"/>
      <c r="B285" s="11">
        <v>23</v>
      </c>
      <c r="C285" s="11" t="s">
        <v>148</v>
      </c>
      <c r="D285" s="11"/>
      <c r="E285" s="11"/>
      <c r="F285" s="11" t="s">
        <v>886</v>
      </c>
      <c r="G285" s="11">
        <v>0</v>
      </c>
      <c r="H285" s="11" t="s">
        <v>372</v>
      </c>
      <c r="I285" s="11" t="s">
        <v>129</v>
      </c>
      <c r="J285" s="11" t="s">
        <v>760</v>
      </c>
      <c r="K285" s="11">
        <v>0</v>
      </c>
      <c r="L285" s="11">
        <v>0</v>
      </c>
      <c r="M285" s="11">
        <v>16</v>
      </c>
      <c r="N285" s="11" t="s">
        <v>36</v>
      </c>
      <c r="O285" s="11">
        <v>264</v>
      </c>
      <c r="P285" s="11" t="e">
        <v>#VALUE!</v>
      </c>
      <c r="Q285" s="11" t="s">
        <v>36</v>
      </c>
      <c r="R285" s="11" t="s">
        <v>36</v>
      </c>
      <c r="S285" s="11">
        <v>274</v>
      </c>
      <c r="T285" s="11">
        <v>275</v>
      </c>
      <c r="U285" s="11" t="s">
        <v>36</v>
      </c>
      <c r="V285" s="11">
        <v>271</v>
      </c>
      <c r="W285" s="11">
        <v>23</v>
      </c>
      <c r="X285" s="25" t="s">
        <v>886</v>
      </c>
    </row>
    <row r="286" spans="1:24" ht="14.25" customHeight="1" x14ac:dyDescent="0.25">
      <c r="A286" s="11"/>
      <c r="B286" s="11">
        <v>26</v>
      </c>
      <c r="C286" s="11" t="s">
        <v>148</v>
      </c>
      <c r="D286" s="11"/>
      <c r="E286" s="11"/>
      <c r="F286" s="11" t="s">
        <v>886</v>
      </c>
      <c r="G286" s="11">
        <v>0</v>
      </c>
      <c r="H286" s="11" t="s">
        <v>1117</v>
      </c>
      <c r="I286" s="11" t="s">
        <v>39</v>
      </c>
      <c r="J286" s="11" t="s">
        <v>764</v>
      </c>
      <c r="K286" s="11">
        <v>0</v>
      </c>
      <c r="L286" s="11">
        <v>0</v>
      </c>
      <c r="M286" s="11">
        <v>16</v>
      </c>
      <c r="N286" s="11" t="s">
        <v>36</v>
      </c>
      <c r="O286" s="11">
        <v>229</v>
      </c>
      <c r="P286" s="11" t="e">
        <v>#VALUE!</v>
      </c>
      <c r="Q286" s="11" t="s">
        <v>36</v>
      </c>
      <c r="R286" s="11" t="s">
        <v>36</v>
      </c>
      <c r="S286" s="11">
        <v>263</v>
      </c>
      <c r="T286" s="11" t="s">
        <v>36</v>
      </c>
      <c r="U286" s="11">
        <v>345</v>
      </c>
      <c r="V286" s="11">
        <v>279</v>
      </c>
      <c r="W286" s="11">
        <v>24</v>
      </c>
      <c r="X286" s="25" t="s">
        <v>886</v>
      </c>
    </row>
    <row r="287" spans="1:24" ht="14.25" customHeight="1" x14ac:dyDescent="0.25">
      <c r="A287" s="11"/>
      <c r="B287" s="11">
        <v>25</v>
      </c>
      <c r="C287" s="11" t="s">
        <v>148</v>
      </c>
      <c r="D287" s="11"/>
      <c r="E287" s="11"/>
      <c r="F287" s="11" t="s">
        <v>886</v>
      </c>
      <c r="G287" s="11">
        <v>0</v>
      </c>
      <c r="H287" s="11" t="s">
        <v>1118</v>
      </c>
      <c r="I287" s="11" t="s">
        <v>52</v>
      </c>
      <c r="J287" s="11" t="s">
        <v>760</v>
      </c>
      <c r="K287" s="11">
        <v>0</v>
      </c>
      <c r="L287" s="11">
        <v>0</v>
      </c>
      <c r="M287" s="11">
        <v>16</v>
      </c>
      <c r="N287" s="11" t="s">
        <v>36</v>
      </c>
      <c r="O287" s="11">
        <v>257</v>
      </c>
      <c r="P287" s="11" t="e">
        <v>#VALUE!</v>
      </c>
      <c r="Q287" s="11" t="s">
        <v>36</v>
      </c>
      <c r="R287" s="11">
        <v>279</v>
      </c>
      <c r="S287" s="11">
        <v>295</v>
      </c>
      <c r="T287" s="11">
        <v>278</v>
      </c>
      <c r="U287" s="11">
        <v>305</v>
      </c>
      <c r="V287" s="11">
        <v>282</v>
      </c>
      <c r="W287" s="11">
        <v>24</v>
      </c>
      <c r="X287" s="25" t="s">
        <v>886</v>
      </c>
    </row>
    <row r="288" spans="1:24" ht="14.25" customHeight="1" x14ac:dyDescent="0.25">
      <c r="A288" s="11"/>
      <c r="B288" s="11" t="e">
        <v>#N/A</v>
      </c>
      <c r="C288" s="11" t="s">
        <v>148</v>
      </c>
      <c r="D288" s="11"/>
      <c r="E288" s="11"/>
      <c r="F288" s="11" t="s">
        <v>886</v>
      </c>
      <c r="G288" s="11">
        <v>0</v>
      </c>
      <c r="H288" s="11" t="s">
        <v>444</v>
      </c>
      <c r="I288" s="11" t="e">
        <v>#N/A</v>
      </c>
      <c r="J288" s="11" t="e">
        <v>#N/A</v>
      </c>
      <c r="K288" s="11">
        <v>0</v>
      </c>
      <c r="L288" s="11">
        <v>0</v>
      </c>
      <c r="M288" s="11">
        <v>16</v>
      </c>
      <c r="N288" s="11" t="e">
        <v>#N/A</v>
      </c>
      <c r="O288" s="11" t="e">
        <v>#N/A</v>
      </c>
      <c r="P288" s="11" t="e">
        <v>#N/A</v>
      </c>
      <c r="Q288" s="11" t="e">
        <v>#N/A</v>
      </c>
      <c r="R288" s="11" t="e">
        <v>#N/A</v>
      </c>
      <c r="S288" s="11" t="e">
        <v>#N/A</v>
      </c>
      <c r="T288" s="11" t="e">
        <v>#N/A</v>
      </c>
      <c r="U288" s="11" t="e">
        <v>#N/A</v>
      </c>
      <c r="V288" s="11" t="e">
        <v>#N/A</v>
      </c>
      <c r="W288" s="11">
        <v>16</v>
      </c>
      <c r="X288" s="25" t="s">
        <v>886</v>
      </c>
    </row>
    <row r="289" spans="1:24" ht="14.25" customHeight="1" x14ac:dyDescent="0.25">
      <c r="A289" s="11"/>
      <c r="B289" s="11">
        <v>25</v>
      </c>
      <c r="C289" s="11" t="s">
        <v>148</v>
      </c>
      <c r="D289" s="11"/>
      <c r="E289" s="11"/>
      <c r="F289" s="11" t="s">
        <v>886</v>
      </c>
      <c r="G289" s="11">
        <v>0</v>
      </c>
      <c r="H289" s="11" t="s">
        <v>923</v>
      </c>
      <c r="I289" s="11" t="s">
        <v>88</v>
      </c>
      <c r="J289" s="11" t="s">
        <v>769</v>
      </c>
      <c r="K289" s="11">
        <v>0</v>
      </c>
      <c r="L289" s="11">
        <v>0</v>
      </c>
      <c r="M289" s="11">
        <v>16</v>
      </c>
      <c r="N289" s="11" t="s">
        <v>36</v>
      </c>
      <c r="O289" s="11">
        <v>284</v>
      </c>
      <c r="P289" s="11" t="e">
        <v>#VALUE!</v>
      </c>
      <c r="Q289" s="11" t="s">
        <v>36</v>
      </c>
      <c r="R289" s="11">
        <v>326</v>
      </c>
      <c r="S289" s="11">
        <v>291</v>
      </c>
      <c r="T289" s="11">
        <v>311</v>
      </c>
      <c r="U289" s="11">
        <v>262</v>
      </c>
      <c r="V289" s="11">
        <v>294</v>
      </c>
      <c r="W289" s="11">
        <v>25</v>
      </c>
      <c r="X289" s="25" t="s">
        <v>886</v>
      </c>
    </row>
    <row r="290" spans="1:24" ht="14.25" customHeight="1" x14ac:dyDescent="0.25">
      <c r="A290" s="11"/>
      <c r="B290" s="11">
        <v>21</v>
      </c>
      <c r="C290" s="11" t="s">
        <v>148</v>
      </c>
      <c r="D290" s="11"/>
      <c r="E290" s="11"/>
      <c r="F290" s="11" t="s">
        <v>886</v>
      </c>
      <c r="G290" s="11">
        <v>0</v>
      </c>
      <c r="H290" s="11" t="s">
        <v>623</v>
      </c>
      <c r="I290" s="11" t="s">
        <v>168</v>
      </c>
      <c r="J290" s="11" t="s">
        <v>764</v>
      </c>
      <c r="K290" s="11">
        <v>0</v>
      </c>
      <c r="L290" s="11">
        <v>0</v>
      </c>
      <c r="M290" s="11">
        <v>20</v>
      </c>
      <c r="N290" s="11">
        <v>238</v>
      </c>
      <c r="O290" s="11">
        <v>185</v>
      </c>
      <c r="P290" s="11">
        <v>53</v>
      </c>
      <c r="Q290" s="11" t="s">
        <v>36</v>
      </c>
      <c r="R290" s="11" t="s">
        <v>36</v>
      </c>
      <c r="S290" s="11">
        <v>206</v>
      </c>
      <c r="T290" s="11">
        <v>259</v>
      </c>
      <c r="U290" s="11">
        <v>289</v>
      </c>
      <c r="V290" s="11">
        <v>235</v>
      </c>
      <c r="W290" s="11">
        <v>20</v>
      </c>
      <c r="X290" s="25" t="s">
        <v>886</v>
      </c>
    </row>
    <row r="291" spans="1:24" ht="14.25" customHeight="1" x14ac:dyDescent="0.25">
      <c r="A291" s="11"/>
      <c r="B291" s="11">
        <v>26</v>
      </c>
      <c r="C291" s="11" t="s">
        <v>148</v>
      </c>
      <c r="D291" s="11"/>
      <c r="E291" s="11"/>
      <c r="F291" s="11" t="s">
        <v>886</v>
      </c>
      <c r="G291" s="11">
        <v>0</v>
      </c>
      <c r="H291" s="11" t="s">
        <v>493</v>
      </c>
      <c r="I291" s="11" t="s">
        <v>214</v>
      </c>
      <c r="J291" s="11" t="s">
        <v>764</v>
      </c>
      <c r="K291" s="11">
        <v>0</v>
      </c>
      <c r="L291" s="11">
        <v>0</v>
      </c>
      <c r="M291" s="11">
        <v>16</v>
      </c>
      <c r="N291" s="11" t="s">
        <v>36</v>
      </c>
      <c r="O291" s="11">
        <v>228</v>
      </c>
      <c r="P291" s="11" t="e">
        <v>#VALUE!</v>
      </c>
      <c r="Q291" s="11" t="s">
        <v>36</v>
      </c>
      <c r="R291" s="11" t="s">
        <v>36</v>
      </c>
      <c r="S291" s="11">
        <v>322</v>
      </c>
      <c r="T291" s="11">
        <v>284</v>
      </c>
      <c r="U291" s="11">
        <v>326</v>
      </c>
      <c r="V291" s="11">
        <v>290</v>
      </c>
      <c r="W291" s="11">
        <v>25</v>
      </c>
      <c r="X291" s="25" t="s">
        <v>886</v>
      </c>
    </row>
    <row r="292" spans="1:24" ht="14.25" customHeight="1" x14ac:dyDescent="0.25">
      <c r="A292" s="11"/>
      <c r="B292" s="11">
        <v>27</v>
      </c>
      <c r="C292" s="11" t="s">
        <v>148</v>
      </c>
      <c r="D292" s="11"/>
      <c r="E292" s="11"/>
      <c r="F292" s="11" t="s">
        <v>886</v>
      </c>
      <c r="G292" s="11">
        <v>0</v>
      </c>
      <c r="H292" s="11" t="s">
        <v>1119</v>
      </c>
      <c r="I292" s="11" t="s">
        <v>49</v>
      </c>
      <c r="J292" s="11" t="s">
        <v>764</v>
      </c>
      <c r="K292" s="11">
        <v>0</v>
      </c>
      <c r="L292" s="11">
        <v>0</v>
      </c>
      <c r="M292" s="11">
        <v>16</v>
      </c>
      <c r="N292" s="11" t="s">
        <v>36</v>
      </c>
      <c r="O292" s="11">
        <v>243</v>
      </c>
      <c r="P292" s="11" t="e">
        <v>#VALUE!</v>
      </c>
      <c r="Q292" s="11" t="s">
        <v>36</v>
      </c>
      <c r="R292" s="11" t="s">
        <v>36</v>
      </c>
      <c r="S292" s="11">
        <v>288</v>
      </c>
      <c r="T292" s="11" t="s">
        <v>36</v>
      </c>
      <c r="U292" s="11">
        <v>337</v>
      </c>
      <c r="V292" s="11">
        <v>289</v>
      </c>
      <c r="W292" s="11">
        <v>25</v>
      </c>
      <c r="X292" s="25" t="s">
        <v>886</v>
      </c>
    </row>
    <row r="293" spans="1:24" ht="14.25" customHeight="1" x14ac:dyDescent="0.25">
      <c r="A293" s="11"/>
      <c r="B293" s="11" t="e">
        <v>#N/A</v>
      </c>
      <c r="C293" s="11" t="s">
        <v>148</v>
      </c>
      <c r="D293" s="11"/>
      <c r="E293" s="11"/>
      <c r="F293" s="11" t="s">
        <v>886</v>
      </c>
      <c r="G293" s="11">
        <v>0</v>
      </c>
      <c r="H293" s="11" t="s">
        <v>971</v>
      </c>
      <c r="I293" s="11" t="e">
        <v>#N/A</v>
      </c>
      <c r="J293" s="11" t="e">
        <v>#N/A</v>
      </c>
      <c r="K293" s="11">
        <v>0</v>
      </c>
      <c r="L293" s="11">
        <v>0</v>
      </c>
      <c r="M293" s="11">
        <v>16</v>
      </c>
      <c r="N293" s="11" t="e">
        <v>#N/A</v>
      </c>
      <c r="O293" s="11" t="e">
        <v>#N/A</v>
      </c>
      <c r="P293" s="11" t="e">
        <v>#N/A</v>
      </c>
      <c r="Q293" s="11" t="e">
        <v>#N/A</v>
      </c>
      <c r="R293" s="11" t="e">
        <v>#N/A</v>
      </c>
      <c r="S293" s="11" t="e">
        <v>#N/A</v>
      </c>
      <c r="T293" s="11" t="e">
        <v>#N/A</v>
      </c>
      <c r="U293" s="11" t="e">
        <v>#N/A</v>
      </c>
      <c r="V293" s="11" t="e">
        <v>#N/A</v>
      </c>
      <c r="W293" s="11">
        <v>16</v>
      </c>
      <c r="X293" s="25" t="s">
        <v>886</v>
      </c>
    </row>
    <row r="294" spans="1:24" ht="14.25" customHeight="1" x14ac:dyDescent="0.25">
      <c r="A294" s="11"/>
      <c r="B294" s="11">
        <v>27</v>
      </c>
      <c r="C294" s="11" t="s">
        <v>148</v>
      </c>
      <c r="D294" s="11"/>
      <c r="E294" s="11"/>
      <c r="F294" s="11" t="s">
        <v>886</v>
      </c>
      <c r="G294" s="11">
        <v>0</v>
      </c>
      <c r="H294" s="11" t="s">
        <v>941</v>
      </c>
      <c r="I294" s="11" t="s">
        <v>69</v>
      </c>
      <c r="J294" s="11" t="s">
        <v>764</v>
      </c>
      <c r="K294" s="11">
        <v>0</v>
      </c>
      <c r="L294" s="11">
        <v>0</v>
      </c>
      <c r="M294" s="11">
        <v>16</v>
      </c>
      <c r="N294" s="11" t="s">
        <v>36</v>
      </c>
      <c r="O294" s="11">
        <v>260</v>
      </c>
      <c r="P294" s="11" t="e">
        <v>#VALUE!</v>
      </c>
      <c r="Q294" s="11" t="s">
        <v>36</v>
      </c>
      <c r="R294" s="11" t="s">
        <v>36</v>
      </c>
      <c r="S294" s="11">
        <v>340</v>
      </c>
      <c r="T294" s="11">
        <v>319</v>
      </c>
      <c r="U294" s="11">
        <v>284</v>
      </c>
      <c r="V294" s="11">
        <v>300</v>
      </c>
      <c r="W294" s="11">
        <v>26</v>
      </c>
      <c r="X294" s="25" t="s">
        <v>886</v>
      </c>
    </row>
    <row r="295" spans="1:24" ht="14.25" customHeight="1" x14ac:dyDescent="0.25">
      <c r="A295" s="11"/>
      <c r="B295" s="11" t="e">
        <v>#N/A</v>
      </c>
      <c r="C295" s="11" t="s">
        <v>148</v>
      </c>
      <c r="D295" s="11"/>
      <c r="E295" s="11"/>
      <c r="F295" s="11" t="s">
        <v>886</v>
      </c>
      <c r="G295" s="11" t="e">
        <v>#N/A</v>
      </c>
      <c r="H295" s="11" t="s">
        <v>959</v>
      </c>
      <c r="I295" s="11" t="e">
        <v>#N/A</v>
      </c>
      <c r="J295" s="11" t="e">
        <v>#N/A</v>
      </c>
      <c r="K295" s="11" t="e">
        <v>#N/A</v>
      </c>
      <c r="L295" s="11" t="e">
        <v>#N/A</v>
      </c>
      <c r="M295" s="11">
        <v>16</v>
      </c>
      <c r="N295" s="11" t="e">
        <v>#N/A</v>
      </c>
      <c r="O295" s="11" t="e">
        <v>#N/A</v>
      </c>
      <c r="P295" s="11" t="e">
        <v>#N/A</v>
      </c>
      <c r="Q295" s="11" t="e">
        <v>#N/A</v>
      </c>
      <c r="R295" s="11" t="e">
        <v>#N/A</v>
      </c>
      <c r="S295" s="11" t="e">
        <v>#N/A</v>
      </c>
      <c r="T295" s="11" t="e">
        <v>#N/A</v>
      </c>
      <c r="U295" s="11" t="e">
        <v>#N/A</v>
      </c>
      <c r="V295" s="11" t="e">
        <v>#N/A</v>
      </c>
      <c r="W295" s="11">
        <v>16</v>
      </c>
      <c r="X295" s="25" t="e">
        <v>#N/A</v>
      </c>
    </row>
    <row r="296" spans="1:24" ht="14.25" customHeight="1" x14ac:dyDescent="0.25">
      <c r="A296" s="11"/>
      <c r="B296" s="11">
        <v>17</v>
      </c>
      <c r="C296" s="11" t="s">
        <v>148</v>
      </c>
      <c r="D296" s="11"/>
      <c r="E296" s="11"/>
      <c r="F296" s="11" t="s">
        <v>886</v>
      </c>
      <c r="G296" s="11" t="e">
        <v>#N/A</v>
      </c>
      <c r="H296" s="11" t="s">
        <v>985</v>
      </c>
      <c r="I296" s="11" t="s">
        <v>184</v>
      </c>
      <c r="J296" s="11" t="s">
        <v>1084</v>
      </c>
      <c r="K296" s="11" t="e">
        <v>#N/A</v>
      </c>
      <c r="L296" s="11" t="e">
        <v>#N/A</v>
      </c>
      <c r="M296" s="11">
        <v>16</v>
      </c>
      <c r="N296" s="11" t="s">
        <v>36</v>
      </c>
      <c r="O296" s="11" t="s">
        <v>36</v>
      </c>
      <c r="P296" s="11" t="e">
        <v>#VALUE!</v>
      </c>
      <c r="Q296" s="11">
        <v>153</v>
      </c>
      <c r="R296" s="11">
        <v>183</v>
      </c>
      <c r="S296" s="11">
        <v>236</v>
      </c>
      <c r="T296" s="11">
        <v>257</v>
      </c>
      <c r="U296" s="11">
        <v>181</v>
      </c>
      <c r="V296" s="11">
        <v>202</v>
      </c>
      <c r="W296" s="11">
        <v>17</v>
      </c>
      <c r="X296" s="25" t="e">
        <v>#N/A</v>
      </c>
    </row>
    <row r="297" spans="1:24" ht="14.25" customHeight="1" x14ac:dyDescent="0.25">
      <c r="A297" s="11"/>
      <c r="B297" s="11" t="e">
        <v>#N/A</v>
      </c>
      <c r="C297" s="11" t="s">
        <v>148</v>
      </c>
      <c r="D297" s="11"/>
      <c r="E297" s="11"/>
      <c r="F297" s="11" t="s">
        <v>886</v>
      </c>
      <c r="G297" s="11" t="e">
        <v>#N/A</v>
      </c>
      <c r="H297" s="11" t="s">
        <v>900</v>
      </c>
      <c r="I297" s="11" t="e">
        <v>#N/A</v>
      </c>
      <c r="J297" s="11" t="e">
        <v>#N/A</v>
      </c>
      <c r="K297" s="11" t="e">
        <v>#N/A</v>
      </c>
      <c r="L297" s="11" t="e">
        <v>#N/A</v>
      </c>
      <c r="M297" s="11">
        <v>16</v>
      </c>
      <c r="N297" s="11" t="e">
        <v>#N/A</v>
      </c>
      <c r="O297" s="11" t="e">
        <v>#N/A</v>
      </c>
      <c r="P297" s="11" t="e">
        <v>#N/A</v>
      </c>
      <c r="Q297" s="11" t="e">
        <v>#N/A</v>
      </c>
      <c r="R297" s="11" t="e">
        <v>#N/A</v>
      </c>
      <c r="S297" s="11" t="e">
        <v>#N/A</v>
      </c>
      <c r="T297" s="11" t="e">
        <v>#N/A</v>
      </c>
      <c r="U297" s="11" t="e">
        <v>#N/A</v>
      </c>
      <c r="V297" s="11" t="e">
        <v>#N/A</v>
      </c>
      <c r="W297" s="11">
        <v>16</v>
      </c>
      <c r="X297" s="25" t="e">
        <v>#N/A</v>
      </c>
    </row>
    <row r="298" spans="1:24" ht="14.25" customHeight="1" x14ac:dyDescent="0.25">
      <c r="A298" s="11"/>
      <c r="B298" s="11" t="e">
        <v>#N/A</v>
      </c>
      <c r="C298" s="11" t="s">
        <v>148</v>
      </c>
      <c r="D298" s="11"/>
      <c r="E298" s="11"/>
      <c r="F298" s="11" t="s">
        <v>886</v>
      </c>
      <c r="G298" s="11" t="e">
        <v>#N/A</v>
      </c>
      <c r="H298" s="11" t="s">
        <v>1120</v>
      </c>
      <c r="I298" s="11" t="e">
        <v>#N/A</v>
      </c>
      <c r="J298" s="11" t="e">
        <v>#N/A</v>
      </c>
      <c r="K298" s="11" t="e">
        <v>#N/A</v>
      </c>
      <c r="L298" s="11" t="e">
        <v>#N/A</v>
      </c>
      <c r="M298" s="11">
        <v>16</v>
      </c>
      <c r="N298" s="11" t="e">
        <v>#N/A</v>
      </c>
      <c r="O298" s="11" t="e">
        <v>#N/A</v>
      </c>
      <c r="P298" s="11" t="e">
        <v>#N/A</v>
      </c>
      <c r="Q298" s="11" t="e">
        <v>#N/A</v>
      </c>
      <c r="R298" s="11" t="e">
        <v>#N/A</v>
      </c>
      <c r="S298" s="11" t="e">
        <v>#N/A</v>
      </c>
      <c r="T298" s="11" t="e">
        <v>#N/A</v>
      </c>
      <c r="U298" s="11" t="e">
        <v>#N/A</v>
      </c>
      <c r="V298" s="11" t="e">
        <v>#N/A</v>
      </c>
      <c r="W298" s="11">
        <v>16</v>
      </c>
      <c r="X298" s="25" t="e">
        <v>#N/A</v>
      </c>
    </row>
    <row r="299" spans="1:24" ht="14.25" customHeight="1" x14ac:dyDescent="0.25">
      <c r="A299" s="11"/>
      <c r="B299" s="11" t="e">
        <v>#N/A</v>
      </c>
      <c r="C299" s="11" t="s">
        <v>148</v>
      </c>
      <c r="D299" s="11"/>
      <c r="E299" s="11"/>
      <c r="F299" s="11" t="s">
        <v>886</v>
      </c>
      <c r="G299" s="11" t="e">
        <v>#N/A</v>
      </c>
      <c r="H299" s="11" t="s">
        <v>499</v>
      </c>
      <c r="I299" s="11" t="e">
        <v>#N/A</v>
      </c>
      <c r="J299" s="11" t="e">
        <v>#N/A</v>
      </c>
      <c r="K299" s="11" t="e">
        <v>#N/A</v>
      </c>
      <c r="L299" s="11" t="e">
        <v>#N/A</v>
      </c>
      <c r="M299" s="11">
        <v>16</v>
      </c>
      <c r="N299" s="11" t="e">
        <v>#N/A</v>
      </c>
      <c r="O299" s="11" t="e">
        <v>#N/A</v>
      </c>
      <c r="P299" s="11" t="e">
        <v>#N/A</v>
      </c>
      <c r="Q299" s="11" t="e">
        <v>#N/A</v>
      </c>
      <c r="R299" s="11" t="e">
        <v>#N/A</v>
      </c>
      <c r="S299" s="11" t="e">
        <v>#N/A</v>
      </c>
      <c r="T299" s="11" t="e">
        <v>#N/A</v>
      </c>
      <c r="U299" s="11" t="e">
        <v>#N/A</v>
      </c>
      <c r="V299" s="11" t="e">
        <v>#N/A</v>
      </c>
      <c r="W299" s="11">
        <v>16</v>
      </c>
      <c r="X299" s="25" t="e">
        <v>#N/A</v>
      </c>
    </row>
    <row r="300" spans="1:24" ht="14.25" customHeight="1" x14ac:dyDescent="0.25">
      <c r="A300" s="11"/>
      <c r="B300" s="11">
        <v>25</v>
      </c>
      <c r="C300" s="11" t="s">
        <v>148</v>
      </c>
      <c r="D300" s="11"/>
      <c r="E300" s="11">
        <v>0</v>
      </c>
      <c r="F300" s="11" t="s">
        <v>886</v>
      </c>
      <c r="G300" s="11" t="e">
        <v>#N/A</v>
      </c>
      <c r="H300" s="11" t="s">
        <v>820</v>
      </c>
      <c r="I300" s="11" t="s">
        <v>66</v>
      </c>
      <c r="J300" s="11" t="s">
        <v>762</v>
      </c>
      <c r="K300" s="11" t="e">
        <v>#N/A</v>
      </c>
      <c r="L300" s="11" t="e">
        <v>#N/A</v>
      </c>
      <c r="M300" s="11">
        <v>16</v>
      </c>
      <c r="N300" s="11" t="s">
        <v>36</v>
      </c>
      <c r="O300" s="11">
        <v>269</v>
      </c>
      <c r="P300" s="11" t="e">
        <v>#VALUE!</v>
      </c>
      <c r="Q300" s="11" t="s">
        <v>36</v>
      </c>
      <c r="R300" s="11" t="s">
        <v>36</v>
      </c>
      <c r="S300" s="11">
        <v>276</v>
      </c>
      <c r="T300" s="11" t="s">
        <v>36</v>
      </c>
      <c r="U300" s="11">
        <v>317</v>
      </c>
      <c r="V300" s="11">
        <v>287</v>
      </c>
      <c r="W300" s="11">
        <v>24</v>
      </c>
      <c r="X300" s="25" t="e">
        <v>#N/A</v>
      </c>
    </row>
    <row r="301" spans="1:24" ht="14.25" customHeight="1" x14ac:dyDescent="0.25">
      <c r="A301" s="11"/>
      <c r="B301" s="11" t="e">
        <v>#N/A</v>
      </c>
      <c r="C301" s="11" t="s">
        <v>148</v>
      </c>
      <c r="D301" s="11"/>
      <c r="E301" s="11"/>
      <c r="F301" s="11" t="s">
        <v>886</v>
      </c>
      <c r="G301" s="11" t="e">
        <v>#N/A</v>
      </c>
      <c r="H301" s="11" t="s">
        <v>426</v>
      </c>
      <c r="I301" s="11" t="e">
        <v>#N/A</v>
      </c>
      <c r="J301" s="11" t="e">
        <v>#N/A</v>
      </c>
      <c r="K301" s="11" t="e">
        <v>#N/A</v>
      </c>
      <c r="L301" s="11" t="e">
        <v>#N/A</v>
      </c>
      <c r="M301" s="11">
        <v>16</v>
      </c>
      <c r="N301" s="11" t="e">
        <v>#N/A</v>
      </c>
      <c r="O301" s="11" t="e">
        <v>#N/A</v>
      </c>
      <c r="P301" s="11" t="e">
        <v>#N/A</v>
      </c>
      <c r="Q301" s="11" t="e">
        <v>#N/A</v>
      </c>
      <c r="R301" s="11" t="e">
        <v>#N/A</v>
      </c>
      <c r="S301" s="11" t="e">
        <v>#N/A</v>
      </c>
      <c r="T301" s="11" t="e">
        <v>#N/A</v>
      </c>
      <c r="U301" s="11" t="e">
        <v>#N/A</v>
      </c>
      <c r="V301" s="11" t="e">
        <v>#N/A</v>
      </c>
      <c r="W301" s="11">
        <v>16</v>
      </c>
      <c r="X301" s="25" t="e">
        <v>#N/A</v>
      </c>
    </row>
    <row r="302" spans="1:24" ht="14.25" customHeight="1" x14ac:dyDescent="0.25">
      <c r="A302" s="11"/>
      <c r="B302" s="11">
        <v>24</v>
      </c>
      <c r="C302" s="11" t="s">
        <v>148</v>
      </c>
      <c r="D302" s="11"/>
      <c r="E302" s="11"/>
      <c r="F302" s="11" t="s">
        <v>886</v>
      </c>
      <c r="G302" s="11" t="e">
        <v>#N/A</v>
      </c>
      <c r="H302" s="11" t="s">
        <v>1121</v>
      </c>
      <c r="I302" s="11" t="s">
        <v>88</v>
      </c>
      <c r="J302" s="11" t="s">
        <v>764</v>
      </c>
      <c r="K302" s="11" t="e">
        <v>#N/A</v>
      </c>
      <c r="L302" s="11" t="e">
        <v>#N/A</v>
      </c>
      <c r="M302" s="11">
        <v>16</v>
      </c>
      <c r="N302" s="11" t="s">
        <v>36</v>
      </c>
      <c r="O302" s="11">
        <v>225</v>
      </c>
      <c r="P302" s="11" t="e">
        <v>#VALUE!</v>
      </c>
      <c r="Q302" s="11" t="s">
        <v>36</v>
      </c>
      <c r="R302" s="11">
        <v>271</v>
      </c>
      <c r="S302" s="11">
        <v>284</v>
      </c>
      <c r="T302" s="11" t="s">
        <v>36</v>
      </c>
      <c r="U302" s="11" t="s">
        <v>36</v>
      </c>
      <c r="V302" s="11">
        <v>260</v>
      </c>
      <c r="W302" s="11">
        <v>22</v>
      </c>
      <c r="X302" s="25" t="e">
        <v>#N/A</v>
      </c>
    </row>
    <row r="303" spans="1:24" ht="14.25" customHeight="1" x14ac:dyDescent="0.25">
      <c r="B303" s="11" t="e">
        <v>#N/A</v>
      </c>
      <c r="C303" s="11" t="s">
        <v>148</v>
      </c>
      <c r="D303" s="11"/>
      <c r="E303" s="11"/>
      <c r="F303" s="11" t="s">
        <v>886</v>
      </c>
      <c r="G303" s="11" t="e">
        <v>#N/A</v>
      </c>
      <c r="H303" s="11" t="s">
        <v>1122</v>
      </c>
      <c r="I303" s="11" t="e">
        <v>#N/A</v>
      </c>
      <c r="J303" s="11" t="e">
        <v>#N/A</v>
      </c>
      <c r="K303" s="11" t="e">
        <v>#N/A</v>
      </c>
      <c r="L303" s="11" t="e">
        <v>#N/A</v>
      </c>
      <c r="M303" s="11">
        <v>16</v>
      </c>
      <c r="N303" s="11" t="e">
        <v>#N/A</v>
      </c>
      <c r="O303" s="11" t="e">
        <v>#N/A</v>
      </c>
      <c r="P303" s="11" t="e">
        <v>#N/A</v>
      </c>
      <c r="Q303" s="11" t="e">
        <v>#N/A</v>
      </c>
      <c r="R303" s="11" t="e">
        <v>#N/A</v>
      </c>
      <c r="S303" s="11" t="e">
        <v>#N/A</v>
      </c>
      <c r="T303" s="11" t="e">
        <v>#N/A</v>
      </c>
      <c r="U303" s="11" t="e">
        <v>#N/A</v>
      </c>
      <c r="V303" s="11" t="e">
        <v>#N/A</v>
      </c>
      <c r="W303" s="11">
        <v>16</v>
      </c>
      <c r="X303" s="25" t="e">
        <v>#N/A</v>
      </c>
    </row>
    <row r="304" spans="1:24" ht="14.25" customHeight="1" x14ac:dyDescent="0.25">
      <c r="B304" s="11" t="e">
        <v>#N/A</v>
      </c>
      <c r="C304" s="11" t="s">
        <v>148</v>
      </c>
      <c r="D304" s="11"/>
      <c r="E304" s="11"/>
      <c r="F304" s="11" t="s">
        <v>886</v>
      </c>
      <c r="G304" s="11" t="e">
        <v>#N/A</v>
      </c>
      <c r="H304" s="11" t="s">
        <v>1123</v>
      </c>
      <c r="I304" s="11" t="e">
        <v>#N/A</v>
      </c>
      <c r="J304" s="11" t="e">
        <v>#N/A</v>
      </c>
      <c r="K304" s="11" t="e">
        <v>#N/A</v>
      </c>
      <c r="L304" s="11" t="e">
        <v>#N/A</v>
      </c>
      <c r="M304" s="11">
        <v>16</v>
      </c>
      <c r="N304" s="11" t="e">
        <v>#N/A</v>
      </c>
      <c r="O304" s="11" t="e">
        <v>#N/A</v>
      </c>
      <c r="P304" s="11" t="e">
        <v>#N/A</v>
      </c>
      <c r="Q304" s="11" t="e">
        <v>#N/A</v>
      </c>
      <c r="R304" s="11" t="e">
        <v>#N/A</v>
      </c>
      <c r="S304" s="11" t="e">
        <v>#N/A</v>
      </c>
      <c r="T304" s="11" t="e">
        <v>#N/A</v>
      </c>
      <c r="U304" s="11" t="e">
        <v>#N/A</v>
      </c>
      <c r="V304" s="11" t="e">
        <v>#N/A</v>
      </c>
      <c r="W304" s="11">
        <v>16</v>
      </c>
      <c r="X304" s="25" t="e">
        <v>#N/A</v>
      </c>
    </row>
    <row r="305" spans="2:24" ht="14.25" customHeight="1" x14ac:dyDescent="0.25">
      <c r="B305" s="11">
        <v>22</v>
      </c>
      <c r="C305" s="11" t="s">
        <v>148</v>
      </c>
      <c r="D305" s="11"/>
      <c r="E305" s="11"/>
      <c r="F305" s="11" t="s">
        <v>886</v>
      </c>
      <c r="G305" s="11">
        <v>0</v>
      </c>
      <c r="H305" s="11" t="s">
        <v>440</v>
      </c>
      <c r="I305" s="11" t="s">
        <v>49</v>
      </c>
      <c r="J305" s="11" t="s">
        <v>769</v>
      </c>
      <c r="K305" s="11">
        <v>0</v>
      </c>
      <c r="L305" s="11">
        <v>0</v>
      </c>
      <c r="M305" s="11">
        <v>16</v>
      </c>
      <c r="N305" s="11" t="s">
        <v>36</v>
      </c>
      <c r="O305" s="11">
        <v>247</v>
      </c>
      <c r="P305" s="11" t="e">
        <v>#VALUE!</v>
      </c>
      <c r="Q305" s="11" t="s">
        <v>36</v>
      </c>
      <c r="R305" s="11">
        <v>259</v>
      </c>
      <c r="S305" s="11">
        <v>264</v>
      </c>
      <c r="T305" s="11">
        <v>256</v>
      </c>
      <c r="U305" s="11" t="s">
        <v>36</v>
      </c>
      <c r="V305" s="11">
        <v>256</v>
      </c>
      <c r="W305" s="11">
        <v>22</v>
      </c>
      <c r="X305" s="25" t="s">
        <v>886</v>
      </c>
    </row>
    <row r="306" spans="2:24" ht="14.25" customHeight="1" x14ac:dyDescent="0.25">
      <c r="H306" s="11" t="s">
        <v>627</v>
      </c>
      <c r="J306" s="27"/>
    </row>
    <row r="307" spans="2:24" ht="14.25" customHeight="1" x14ac:dyDescent="0.25">
      <c r="J307" s="27"/>
    </row>
    <row r="308" spans="2:24" ht="14.25" customHeight="1" x14ac:dyDescent="0.25">
      <c r="J308" s="27"/>
    </row>
    <row r="309" spans="2:24" ht="14.25" customHeight="1" x14ac:dyDescent="0.25"/>
    <row r="310" spans="2:24" ht="14.25" customHeight="1" x14ac:dyDescent="0.25"/>
    <row r="311" spans="2:24" ht="14.25" customHeight="1" x14ac:dyDescent="0.25"/>
    <row r="312" spans="2:24" ht="14.25" customHeight="1" x14ac:dyDescent="0.25"/>
    <row r="313" spans="2:24" ht="14.25" customHeight="1" x14ac:dyDescent="0.25"/>
    <row r="314" spans="2:24" ht="14.25" customHeight="1" x14ac:dyDescent="0.25"/>
    <row r="315" spans="2:24" ht="14.25" customHeight="1" x14ac:dyDescent="0.25"/>
    <row r="316" spans="2:24" ht="14.25" customHeight="1" x14ac:dyDescent="0.25"/>
    <row r="317" spans="2:24" ht="14.25" customHeight="1" x14ac:dyDescent="0.25"/>
    <row r="318" spans="2:24" ht="14.25" customHeight="1" x14ac:dyDescent="0.25"/>
    <row r="319" spans="2:24" ht="14.25" customHeight="1" x14ac:dyDescent="0.25"/>
    <row r="320" spans="2:24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6:X306" xr:uid="{00000000-0009-0000-0000-000007000000}">
    <sortState xmlns:xlrd2="http://schemas.microsoft.com/office/spreadsheetml/2017/richdata2" ref="A6:X306">
      <sortCondition ref="L6:L306"/>
    </sortState>
  </autoFilter>
  <mergeCells count="4">
    <mergeCell ref="A1:C1"/>
    <mergeCell ref="L1:M1"/>
    <mergeCell ref="M2:M3"/>
    <mergeCell ref="M4:M5"/>
  </mergeCells>
  <conditionalFormatting sqref="B7:G305">
    <cfRule type="expression" dxfId="42" priority="1">
      <formula>$C7="No"</formula>
    </cfRule>
  </conditionalFormatting>
  <conditionalFormatting sqref="H7:H296">
    <cfRule type="expression" dxfId="41" priority="2">
      <formula>$C7="No"</formula>
    </cfRule>
  </conditionalFormatting>
  <conditionalFormatting sqref="K7:K305">
    <cfRule type="expression" dxfId="40" priority="3">
      <formula>$C7="No"</formula>
    </cfRule>
  </conditionalFormatting>
  <conditionalFormatting sqref="M7:M305">
    <cfRule type="cellIs" dxfId="39" priority="4" operator="lessThan">
      <formula>C7</formula>
    </cfRule>
    <cfRule type="cellIs" dxfId="38" priority="5" operator="greaterThan">
      <formula>C7</formula>
    </cfRule>
  </conditionalFormatting>
  <conditionalFormatting sqref="O2:AE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AE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7:P305">
    <cfRule type="colorScale" priority="8">
      <colorScale>
        <cfvo type="min"/>
        <cfvo type="formula" val="0"/>
        <cfvo type="max"/>
        <color rgb="FFF8696B"/>
        <color rgb="FFFCFCFF"/>
        <color rgb="FF63BE7B"/>
      </colorScale>
    </cfRule>
  </conditionalFormatting>
  <conditionalFormatting sqref="X7:X305">
    <cfRule type="expression" dxfId="37" priority="9">
      <formula>$C7="No"</formula>
    </cfRule>
  </conditionalFormatting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1000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14.42578125" defaultRowHeight="15" customHeight="1" x14ac:dyDescent="0.25"/>
  <cols>
    <col min="1" max="2" width="8.7109375" customWidth="1"/>
    <col min="3" max="6" width="9.7109375" customWidth="1"/>
    <col min="7" max="7" width="8" customWidth="1"/>
    <col min="8" max="8" width="17.85546875" customWidth="1"/>
    <col min="9" max="10" width="8.7109375" customWidth="1"/>
    <col min="11" max="11" width="20" customWidth="1"/>
    <col min="12" max="40" width="8.7109375" customWidth="1"/>
  </cols>
  <sheetData>
    <row r="1" spans="1:40" ht="14.25" customHeight="1" x14ac:dyDescent="0.35">
      <c r="A1" s="97" t="s">
        <v>1102</v>
      </c>
      <c r="B1" s="96"/>
      <c r="C1" s="96"/>
      <c r="D1" s="62"/>
      <c r="E1" s="2"/>
      <c r="F1" s="2"/>
      <c r="G1" s="2"/>
      <c r="H1" s="2"/>
      <c r="I1" s="3"/>
      <c r="J1" s="3" t="s">
        <v>997</v>
      </c>
      <c r="K1" s="63">
        <v>8</v>
      </c>
      <c r="L1" s="98" t="s">
        <v>998</v>
      </c>
      <c r="M1" s="99"/>
      <c r="N1" s="4" t="s">
        <v>999</v>
      </c>
      <c r="O1" s="4" t="s">
        <v>1000</v>
      </c>
      <c r="P1" s="4" t="s">
        <v>1001</v>
      </c>
      <c r="Q1" s="4" t="s">
        <v>1002</v>
      </c>
      <c r="R1" s="4" t="s">
        <v>1003</v>
      </c>
      <c r="S1" s="4" t="s">
        <v>1004</v>
      </c>
      <c r="T1" s="4" t="s">
        <v>653</v>
      </c>
      <c r="U1" s="4" t="s">
        <v>776</v>
      </c>
      <c r="V1" s="4" t="s">
        <v>1005</v>
      </c>
      <c r="W1" s="4" t="s">
        <v>1006</v>
      </c>
      <c r="X1" s="4" t="s">
        <v>1007</v>
      </c>
      <c r="Y1" s="4" t="s">
        <v>1008</v>
      </c>
      <c r="Z1" s="64" t="s">
        <v>1009</v>
      </c>
      <c r="AA1" s="64" t="s">
        <v>1010</v>
      </c>
      <c r="AB1" s="4" t="s">
        <v>1011</v>
      </c>
      <c r="AC1" s="4" t="s">
        <v>1012</v>
      </c>
      <c r="AD1" s="64" t="s">
        <v>1013</v>
      </c>
      <c r="AE1" s="4" t="s">
        <v>1014</v>
      </c>
      <c r="AF1" s="65" t="s">
        <v>1015</v>
      </c>
      <c r="AG1" s="65" t="s">
        <v>760</v>
      </c>
      <c r="AH1" s="65">
        <v>25</v>
      </c>
      <c r="AI1" s="65" t="s">
        <v>1016</v>
      </c>
      <c r="AJ1" s="65" t="s">
        <v>769</v>
      </c>
      <c r="AK1" s="65">
        <v>14</v>
      </c>
      <c r="AL1" s="1" t="s">
        <v>885</v>
      </c>
      <c r="AM1" s="1">
        <f>SUM(AH1:AH6, AK1:AK6, AN3:AN6)</f>
        <v>197</v>
      </c>
    </row>
    <row r="2" spans="1:40" ht="14.25" customHeight="1" x14ac:dyDescent="0.25">
      <c r="B2" s="2"/>
      <c r="C2" s="2"/>
      <c r="D2" s="2"/>
      <c r="E2" s="2"/>
      <c r="F2" s="2"/>
      <c r="G2" s="2"/>
      <c r="H2" s="2"/>
      <c r="I2" s="3"/>
      <c r="J2" s="3" t="s">
        <v>1017</v>
      </c>
      <c r="K2" s="63">
        <v>3</v>
      </c>
      <c r="M2" s="100" t="s">
        <v>1018</v>
      </c>
      <c r="N2" s="66" t="s">
        <v>1019</v>
      </c>
      <c r="O2" s="34">
        <v>70</v>
      </c>
      <c r="P2" s="34">
        <v>64</v>
      </c>
      <c r="Q2" s="34">
        <v>71</v>
      </c>
      <c r="R2" s="34">
        <v>37</v>
      </c>
      <c r="S2" s="34">
        <v>27</v>
      </c>
      <c r="T2" s="34">
        <v>15</v>
      </c>
      <c r="U2" s="34">
        <v>3</v>
      </c>
      <c r="V2" s="34">
        <v>74</v>
      </c>
      <c r="W2" s="34">
        <v>28</v>
      </c>
      <c r="X2" s="34">
        <v>6</v>
      </c>
      <c r="Y2" s="34">
        <v>4</v>
      </c>
      <c r="Z2" s="34">
        <v>39</v>
      </c>
      <c r="AA2" s="34">
        <v>23</v>
      </c>
      <c r="AB2" s="34">
        <v>16</v>
      </c>
      <c r="AC2" s="34">
        <v>52</v>
      </c>
      <c r="AD2" s="34">
        <v>18</v>
      </c>
      <c r="AE2" s="34">
        <v>3</v>
      </c>
      <c r="AF2" s="65" t="s">
        <v>1020</v>
      </c>
      <c r="AG2" s="65" t="s">
        <v>762</v>
      </c>
      <c r="AH2" s="65">
        <v>17</v>
      </c>
      <c r="AI2" s="65" t="s">
        <v>1021</v>
      </c>
      <c r="AJ2" s="65" t="s">
        <v>1022</v>
      </c>
      <c r="AK2" s="65">
        <v>8</v>
      </c>
    </row>
    <row r="3" spans="1:40" ht="14.25" customHeight="1" x14ac:dyDescent="0.25">
      <c r="B3" s="2"/>
      <c r="C3" s="2"/>
      <c r="D3" s="2"/>
      <c r="E3" s="2"/>
      <c r="F3" s="2"/>
      <c r="G3" s="2"/>
      <c r="H3" s="2"/>
      <c r="I3" s="3"/>
      <c r="J3" s="3" t="s">
        <v>1023</v>
      </c>
      <c r="K3" s="67">
        <f>((K1)/K2)</f>
        <v>2.6666666666666665</v>
      </c>
      <c r="L3" s="2"/>
      <c r="M3" s="101"/>
      <c r="N3" s="66" t="s">
        <v>1024</v>
      </c>
      <c r="O3" s="34">
        <v>67</v>
      </c>
      <c r="P3" s="34">
        <v>45</v>
      </c>
      <c r="Q3" s="34">
        <v>13</v>
      </c>
      <c r="R3" s="34">
        <v>15</v>
      </c>
      <c r="S3" s="34">
        <v>13</v>
      </c>
      <c r="T3" s="34">
        <v>1</v>
      </c>
      <c r="U3" s="34">
        <v>1</v>
      </c>
      <c r="V3" s="34">
        <v>36</v>
      </c>
      <c r="W3" s="34">
        <v>10</v>
      </c>
      <c r="X3" s="34">
        <v>2</v>
      </c>
      <c r="Y3" s="34">
        <v>0</v>
      </c>
      <c r="Z3" s="34">
        <v>30</v>
      </c>
      <c r="AA3" s="34">
        <v>18</v>
      </c>
      <c r="AB3" s="34">
        <v>3</v>
      </c>
      <c r="AC3" s="34">
        <v>31</v>
      </c>
      <c r="AD3" s="34">
        <v>8</v>
      </c>
      <c r="AE3" s="34">
        <v>1</v>
      </c>
      <c r="AF3" s="65" t="s">
        <v>1025</v>
      </c>
      <c r="AG3" s="65" t="s">
        <v>762</v>
      </c>
      <c r="AH3" s="65">
        <v>15</v>
      </c>
      <c r="AI3" s="65" t="s">
        <v>1026</v>
      </c>
      <c r="AJ3" s="65" t="s">
        <v>1027</v>
      </c>
      <c r="AK3" s="65">
        <v>6</v>
      </c>
      <c r="AM3" s="1" t="s">
        <v>772</v>
      </c>
      <c r="AN3" s="1">
        <v>2</v>
      </c>
    </row>
    <row r="4" spans="1:40" ht="14.25" customHeight="1" x14ac:dyDescent="0.25">
      <c r="C4" s="2"/>
      <c r="D4" s="2"/>
      <c r="E4" s="2"/>
      <c r="F4" s="2"/>
      <c r="G4" s="2"/>
      <c r="H4" s="2"/>
      <c r="I4" s="3"/>
      <c r="J4" s="2"/>
      <c r="K4" s="2"/>
      <c r="L4" s="2"/>
      <c r="M4" s="102" t="s">
        <v>1028</v>
      </c>
      <c r="N4" s="15" t="s">
        <v>1019</v>
      </c>
      <c r="O4" s="34">
        <v>70</v>
      </c>
      <c r="P4" s="34">
        <v>68</v>
      </c>
      <c r="Q4" s="34">
        <v>56</v>
      </c>
      <c r="R4" s="34">
        <v>47</v>
      </c>
      <c r="S4" s="34">
        <v>35</v>
      </c>
      <c r="T4" s="34">
        <v>24</v>
      </c>
      <c r="U4" s="34">
        <v>25</v>
      </c>
      <c r="V4" s="34">
        <v>66</v>
      </c>
      <c r="W4" s="34">
        <v>32</v>
      </c>
      <c r="X4" s="34">
        <v>15</v>
      </c>
      <c r="Y4" s="34">
        <v>6</v>
      </c>
      <c r="Z4" s="34">
        <v>23</v>
      </c>
      <c r="AA4" s="34">
        <v>11</v>
      </c>
      <c r="AB4" s="34">
        <v>7</v>
      </c>
      <c r="AC4" s="34">
        <v>39</v>
      </c>
      <c r="AD4" s="34">
        <v>16</v>
      </c>
      <c r="AE4" s="34">
        <v>3</v>
      </c>
      <c r="AF4" s="65" t="s">
        <v>1029</v>
      </c>
      <c r="AG4" s="65" t="s">
        <v>764</v>
      </c>
      <c r="AH4" s="65">
        <v>53</v>
      </c>
      <c r="AI4" s="65" t="s">
        <v>1030</v>
      </c>
      <c r="AJ4" s="65" t="s">
        <v>1027</v>
      </c>
      <c r="AK4" s="65">
        <v>2</v>
      </c>
      <c r="AM4" s="1" t="s">
        <v>773</v>
      </c>
      <c r="AN4" s="1">
        <v>2</v>
      </c>
    </row>
    <row r="5" spans="1:40" ht="14.25" customHeight="1" x14ac:dyDescent="0.25">
      <c r="C5" s="2"/>
      <c r="D5" s="2"/>
      <c r="E5" s="2"/>
      <c r="F5" s="2"/>
      <c r="G5" s="2"/>
      <c r="H5" s="2"/>
      <c r="I5" s="3"/>
      <c r="J5" s="2"/>
      <c r="K5" s="2"/>
      <c r="L5" s="2"/>
      <c r="M5" s="101"/>
      <c r="N5" s="15" t="s">
        <v>1024</v>
      </c>
      <c r="O5" s="34">
        <v>67</v>
      </c>
      <c r="P5" s="34">
        <v>58</v>
      </c>
      <c r="Q5" s="34">
        <v>37</v>
      </c>
      <c r="R5" s="34">
        <v>29</v>
      </c>
      <c r="S5" s="34">
        <v>9</v>
      </c>
      <c r="T5" s="34">
        <v>3</v>
      </c>
      <c r="U5" s="34">
        <v>1</v>
      </c>
      <c r="V5" s="34">
        <v>25</v>
      </c>
      <c r="W5" s="34">
        <v>13</v>
      </c>
      <c r="X5" s="34">
        <v>5</v>
      </c>
      <c r="Y5" s="34">
        <v>1</v>
      </c>
      <c r="Z5" s="34">
        <v>13</v>
      </c>
      <c r="AA5" s="34">
        <v>9</v>
      </c>
      <c r="AB5" s="34">
        <v>2</v>
      </c>
      <c r="AC5" s="34">
        <v>23</v>
      </c>
      <c r="AD5" s="34">
        <v>3</v>
      </c>
      <c r="AE5" s="34">
        <v>2</v>
      </c>
      <c r="AF5" s="65" t="s">
        <v>1031</v>
      </c>
      <c r="AG5" s="65" t="s">
        <v>764</v>
      </c>
      <c r="AH5" s="65">
        <v>28</v>
      </c>
      <c r="AI5" s="65" t="s">
        <v>1032</v>
      </c>
      <c r="AJ5" s="65" t="s">
        <v>1027</v>
      </c>
      <c r="AK5" s="65">
        <v>1</v>
      </c>
      <c r="AL5" s="65" t="s">
        <v>1033</v>
      </c>
      <c r="AM5" s="65" t="s">
        <v>1034</v>
      </c>
      <c r="AN5" s="65">
        <v>1</v>
      </c>
    </row>
    <row r="6" spans="1:40" ht="14.25" customHeight="1" x14ac:dyDescent="0.25">
      <c r="A6" s="15" t="s">
        <v>95</v>
      </c>
      <c r="B6" s="16" t="s">
        <v>96</v>
      </c>
      <c r="C6" s="17" t="s">
        <v>99</v>
      </c>
      <c r="D6" s="17" t="s">
        <v>1035</v>
      </c>
      <c r="E6" s="17" t="s">
        <v>1036</v>
      </c>
      <c r="F6" s="17" t="s">
        <v>1037</v>
      </c>
      <c r="G6" s="17" t="s">
        <v>27</v>
      </c>
      <c r="H6" s="4" t="s">
        <v>5</v>
      </c>
      <c r="I6" s="4" t="s">
        <v>8</v>
      </c>
      <c r="J6" s="4" t="s">
        <v>7</v>
      </c>
      <c r="K6" s="4" t="s">
        <v>28</v>
      </c>
      <c r="L6" s="4" t="s">
        <v>29</v>
      </c>
      <c r="M6" s="18" t="s">
        <v>102</v>
      </c>
      <c r="N6" s="18" t="s">
        <v>18</v>
      </c>
      <c r="O6" s="15" t="s">
        <v>22</v>
      </c>
      <c r="P6" s="19" t="s">
        <v>106</v>
      </c>
      <c r="Q6" s="15" t="s">
        <v>9</v>
      </c>
      <c r="R6" s="15" t="s">
        <v>10</v>
      </c>
      <c r="S6" s="15" t="s">
        <v>12</v>
      </c>
      <c r="T6" s="15" t="s">
        <v>19</v>
      </c>
      <c r="U6" s="15" t="s">
        <v>15</v>
      </c>
      <c r="V6" s="16" t="s">
        <v>110</v>
      </c>
      <c r="W6" s="16" t="s">
        <v>1038</v>
      </c>
      <c r="X6" s="4" t="s">
        <v>30</v>
      </c>
      <c r="AF6" s="65" t="s">
        <v>1039</v>
      </c>
      <c r="AG6" s="65" t="s">
        <v>874</v>
      </c>
      <c r="AH6" s="65">
        <v>19</v>
      </c>
      <c r="AI6" s="65" t="s">
        <v>1040</v>
      </c>
      <c r="AJ6" s="65" t="s">
        <v>1034</v>
      </c>
      <c r="AK6" s="65">
        <v>3</v>
      </c>
      <c r="AL6" s="65" t="s">
        <v>1041</v>
      </c>
      <c r="AM6" s="65" t="s">
        <v>1027</v>
      </c>
      <c r="AN6" s="65">
        <v>1</v>
      </c>
    </row>
    <row r="7" spans="1:40" ht="14.25" customHeight="1" x14ac:dyDescent="0.25">
      <c r="A7" s="11"/>
      <c r="B7" s="11">
        <v>1</v>
      </c>
      <c r="C7" s="11" t="s">
        <v>119</v>
      </c>
      <c r="D7" s="11">
        <v>69</v>
      </c>
      <c r="E7" s="11">
        <v>60</v>
      </c>
      <c r="F7" s="11">
        <v>9</v>
      </c>
      <c r="G7" s="11"/>
      <c r="H7" s="11" t="s">
        <v>54</v>
      </c>
      <c r="I7" s="11" t="s">
        <v>55</v>
      </c>
      <c r="J7" s="11" t="s">
        <v>762</v>
      </c>
      <c r="K7" s="11"/>
      <c r="L7" s="11"/>
      <c r="M7" s="11">
        <v>1</v>
      </c>
      <c r="N7" s="11">
        <v>10</v>
      </c>
      <c r="O7" s="11">
        <v>8</v>
      </c>
      <c r="P7" s="11">
        <v>2</v>
      </c>
      <c r="Q7" s="11">
        <v>7</v>
      </c>
      <c r="R7" s="11">
        <v>7</v>
      </c>
      <c r="S7" s="11">
        <v>8</v>
      </c>
      <c r="T7" s="11">
        <v>7</v>
      </c>
      <c r="U7" s="11">
        <v>11</v>
      </c>
      <c r="V7" s="11">
        <v>8</v>
      </c>
      <c r="W7" s="11">
        <v>-1</v>
      </c>
      <c r="X7" s="11">
        <v>4</v>
      </c>
    </row>
    <row r="8" spans="1:40" ht="14.25" customHeight="1" x14ac:dyDescent="0.25">
      <c r="A8" s="11"/>
      <c r="B8" s="11">
        <v>1</v>
      </c>
      <c r="C8" s="11" t="s">
        <v>119</v>
      </c>
      <c r="D8" s="11">
        <v>66</v>
      </c>
      <c r="E8" s="11">
        <v>45</v>
      </c>
      <c r="F8" s="11">
        <v>21</v>
      </c>
      <c r="G8" s="11" t="s">
        <v>1110</v>
      </c>
      <c r="H8" s="11" t="s">
        <v>68</v>
      </c>
      <c r="I8" s="11" t="s">
        <v>69</v>
      </c>
      <c r="J8" s="11" t="s">
        <v>764</v>
      </c>
      <c r="K8" s="11"/>
      <c r="L8" s="11"/>
      <c r="M8" s="11">
        <v>1</v>
      </c>
      <c r="N8" s="11">
        <v>6</v>
      </c>
      <c r="O8" s="11">
        <v>5</v>
      </c>
      <c r="P8" s="11">
        <v>1</v>
      </c>
      <c r="Q8" s="11">
        <v>6</v>
      </c>
      <c r="R8" s="11">
        <v>5</v>
      </c>
      <c r="S8" s="11">
        <v>4</v>
      </c>
      <c r="T8" s="11">
        <v>4</v>
      </c>
      <c r="U8" s="11">
        <v>3</v>
      </c>
      <c r="V8" s="11">
        <v>4</v>
      </c>
      <c r="W8" s="11">
        <v>1</v>
      </c>
      <c r="X8" s="11">
        <v>3</v>
      </c>
    </row>
    <row r="9" spans="1:40" ht="14.25" customHeight="1" x14ac:dyDescent="0.25">
      <c r="A9" s="11"/>
      <c r="B9" s="11">
        <v>3</v>
      </c>
      <c r="C9" s="11" t="s">
        <v>119</v>
      </c>
      <c r="D9" s="11">
        <v>65</v>
      </c>
      <c r="E9" s="11">
        <v>45</v>
      </c>
      <c r="F9" s="11">
        <v>20</v>
      </c>
      <c r="G9" s="11" t="s">
        <v>1112</v>
      </c>
      <c r="H9" s="11" t="s">
        <v>190</v>
      </c>
      <c r="I9" s="11" t="s">
        <v>81</v>
      </c>
      <c r="J9" s="11" t="s">
        <v>764</v>
      </c>
      <c r="K9" s="11"/>
      <c r="L9" s="11"/>
      <c r="M9" s="11">
        <v>3</v>
      </c>
      <c r="N9" s="11">
        <v>27</v>
      </c>
      <c r="O9" s="11">
        <v>39</v>
      </c>
      <c r="P9" s="11">
        <v>-12</v>
      </c>
      <c r="Q9" s="11">
        <v>31</v>
      </c>
      <c r="R9" s="11">
        <v>36</v>
      </c>
      <c r="S9" s="11">
        <v>36</v>
      </c>
      <c r="T9" s="11">
        <v>33</v>
      </c>
      <c r="U9" s="11">
        <v>36</v>
      </c>
      <c r="V9" s="11">
        <v>34</v>
      </c>
      <c r="W9" s="11">
        <v>2</v>
      </c>
      <c r="X9" s="11">
        <v>16</v>
      </c>
    </row>
    <row r="10" spans="1:40" ht="14.25" customHeight="1" x14ac:dyDescent="0.25">
      <c r="A10" s="11"/>
      <c r="B10" s="11">
        <v>4</v>
      </c>
      <c r="C10" s="11" t="s">
        <v>119</v>
      </c>
      <c r="D10" s="11">
        <v>64</v>
      </c>
      <c r="E10" s="11">
        <v>55</v>
      </c>
      <c r="F10" s="11">
        <v>9</v>
      </c>
      <c r="G10" s="11"/>
      <c r="H10" s="11" t="s">
        <v>143</v>
      </c>
      <c r="I10" s="11" t="s">
        <v>145</v>
      </c>
      <c r="J10" s="11" t="s">
        <v>762</v>
      </c>
      <c r="K10" s="11"/>
      <c r="L10" s="11"/>
      <c r="M10" s="11">
        <v>3</v>
      </c>
      <c r="N10" s="11">
        <v>32</v>
      </c>
      <c r="O10" s="11">
        <v>41</v>
      </c>
      <c r="P10" s="11">
        <v>-9</v>
      </c>
      <c r="Q10" s="11">
        <v>51</v>
      </c>
      <c r="R10" s="11">
        <v>41</v>
      </c>
      <c r="S10" s="11">
        <v>42</v>
      </c>
      <c r="T10" s="11">
        <v>39</v>
      </c>
      <c r="U10" s="11">
        <v>31</v>
      </c>
      <c r="V10" s="11">
        <v>39</v>
      </c>
      <c r="W10" s="11">
        <v>2</v>
      </c>
      <c r="X10" s="11">
        <v>16</v>
      </c>
    </row>
    <row r="11" spans="1:40" ht="14.25" customHeight="1" x14ac:dyDescent="0.25">
      <c r="A11" s="11"/>
      <c r="B11" s="11">
        <v>1</v>
      </c>
      <c r="C11" s="11" t="s">
        <v>119</v>
      </c>
      <c r="D11" s="11">
        <v>64</v>
      </c>
      <c r="E11" s="11">
        <v>55</v>
      </c>
      <c r="F11" s="11">
        <v>9</v>
      </c>
      <c r="G11" s="11"/>
      <c r="H11" s="11" t="s">
        <v>38</v>
      </c>
      <c r="I11" s="11" t="s">
        <v>39</v>
      </c>
      <c r="J11" s="11" t="s">
        <v>762</v>
      </c>
      <c r="K11" s="11"/>
      <c r="L11" s="11"/>
      <c r="M11" s="11">
        <v>1</v>
      </c>
      <c r="N11" s="11">
        <v>3</v>
      </c>
      <c r="O11" s="11">
        <v>2</v>
      </c>
      <c r="P11" s="11">
        <v>1</v>
      </c>
      <c r="Q11" s="11">
        <v>2</v>
      </c>
      <c r="R11" s="11">
        <v>2</v>
      </c>
      <c r="S11" s="11">
        <v>2</v>
      </c>
      <c r="T11" s="11">
        <v>2</v>
      </c>
      <c r="U11" s="11">
        <v>2</v>
      </c>
      <c r="V11" s="11">
        <v>2</v>
      </c>
      <c r="W11" s="11">
        <v>0</v>
      </c>
      <c r="X11" s="11">
        <v>1</v>
      </c>
    </row>
    <row r="12" spans="1:40" ht="14.25" customHeight="1" x14ac:dyDescent="0.25">
      <c r="A12" s="11"/>
      <c r="B12" s="11">
        <v>1</v>
      </c>
      <c r="C12" s="11" t="s">
        <v>119</v>
      </c>
      <c r="D12" s="11">
        <v>67</v>
      </c>
      <c r="E12" s="11">
        <v>45</v>
      </c>
      <c r="F12" s="11">
        <v>22</v>
      </c>
      <c r="G12" s="11" t="s">
        <v>148</v>
      </c>
      <c r="H12" s="11" t="s">
        <v>63</v>
      </c>
      <c r="I12" s="11" t="s">
        <v>35</v>
      </c>
      <c r="J12" s="11" t="s">
        <v>764</v>
      </c>
      <c r="K12" s="11"/>
      <c r="L12" s="11"/>
      <c r="M12" s="11">
        <v>1</v>
      </c>
      <c r="N12" s="11">
        <v>8</v>
      </c>
      <c r="O12" s="11">
        <v>12</v>
      </c>
      <c r="P12" s="11">
        <v>-4</v>
      </c>
      <c r="Q12" s="11">
        <v>8</v>
      </c>
      <c r="R12" s="11">
        <v>11</v>
      </c>
      <c r="S12" s="11">
        <v>11</v>
      </c>
      <c r="T12" s="11">
        <v>9</v>
      </c>
      <c r="U12" s="11">
        <v>8</v>
      </c>
      <c r="V12" s="11">
        <v>9</v>
      </c>
      <c r="W12" s="11">
        <v>2</v>
      </c>
      <c r="X12" s="11">
        <v>6</v>
      </c>
    </row>
    <row r="13" spans="1:40" ht="14.25" customHeight="1" x14ac:dyDescent="0.25">
      <c r="A13" s="11" t="s">
        <v>148</v>
      </c>
      <c r="B13" s="11">
        <v>1</v>
      </c>
      <c r="C13" s="11" t="s">
        <v>119</v>
      </c>
      <c r="D13" s="11">
        <v>53</v>
      </c>
      <c r="E13" s="11">
        <v>45</v>
      </c>
      <c r="F13" s="11">
        <v>8</v>
      </c>
      <c r="G13" s="11" t="s">
        <v>148</v>
      </c>
      <c r="H13" s="11" t="s">
        <v>71</v>
      </c>
      <c r="I13" s="11" t="s">
        <v>72</v>
      </c>
      <c r="J13" s="11" t="s">
        <v>764</v>
      </c>
      <c r="K13" s="11"/>
      <c r="L13" s="11"/>
      <c r="M13" s="11">
        <v>1</v>
      </c>
      <c r="N13" s="11">
        <v>5</v>
      </c>
      <c r="O13" s="11">
        <v>6</v>
      </c>
      <c r="P13" s="11">
        <v>-1</v>
      </c>
      <c r="Q13" s="11">
        <v>4</v>
      </c>
      <c r="R13" s="11">
        <v>3</v>
      </c>
      <c r="S13" s="11">
        <v>6</v>
      </c>
      <c r="T13" s="11">
        <v>6</v>
      </c>
      <c r="U13" s="11">
        <v>5</v>
      </c>
      <c r="V13" s="11">
        <v>5</v>
      </c>
      <c r="W13" s="11">
        <v>-2</v>
      </c>
      <c r="X13" s="11">
        <v>2</v>
      </c>
    </row>
    <row r="14" spans="1:40" ht="14.25" customHeight="1" x14ac:dyDescent="0.25">
      <c r="A14" s="11"/>
      <c r="B14" s="11">
        <v>2</v>
      </c>
      <c r="C14" s="11" t="s">
        <v>119</v>
      </c>
      <c r="D14" s="11">
        <v>58</v>
      </c>
      <c r="E14" s="11">
        <v>45</v>
      </c>
      <c r="F14" s="11">
        <v>13</v>
      </c>
      <c r="G14" s="11" t="s">
        <v>148</v>
      </c>
      <c r="H14" s="11" t="s">
        <v>103</v>
      </c>
      <c r="I14" s="11" t="s">
        <v>78</v>
      </c>
      <c r="J14" s="11" t="s">
        <v>764</v>
      </c>
      <c r="K14" s="11"/>
      <c r="L14" s="11"/>
      <c r="M14" s="11">
        <v>2</v>
      </c>
      <c r="N14" s="11">
        <v>18</v>
      </c>
      <c r="O14" s="11">
        <v>27</v>
      </c>
      <c r="P14" s="11">
        <v>-9</v>
      </c>
      <c r="Q14" s="11">
        <v>18</v>
      </c>
      <c r="R14" s="11">
        <v>22</v>
      </c>
      <c r="S14" s="11">
        <v>23</v>
      </c>
      <c r="T14" s="11">
        <v>21</v>
      </c>
      <c r="U14" s="11">
        <v>15</v>
      </c>
      <c r="V14" s="11">
        <v>20</v>
      </c>
      <c r="W14" s="11">
        <v>2</v>
      </c>
      <c r="X14" s="11">
        <v>11</v>
      </c>
    </row>
    <row r="15" spans="1:40" ht="14.25" customHeight="1" x14ac:dyDescent="0.25">
      <c r="A15" s="11"/>
      <c r="B15" s="11">
        <v>1</v>
      </c>
      <c r="C15" s="11" t="s">
        <v>119</v>
      </c>
      <c r="D15" s="11">
        <v>59</v>
      </c>
      <c r="E15" s="11">
        <v>40</v>
      </c>
      <c r="F15" s="11">
        <v>19</v>
      </c>
      <c r="G15" s="11"/>
      <c r="H15" s="11" t="s">
        <v>43</v>
      </c>
      <c r="I15" s="11" t="s">
        <v>44</v>
      </c>
      <c r="J15" s="11" t="s">
        <v>764</v>
      </c>
      <c r="K15" s="11"/>
      <c r="L15" s="11"/>
      <c r="M15" s="11">
        <v>1</v>
      </c>
      <c r="N15" s="11">
        <v>1</v>
      </c>
      <c r="O15" s="11">
        <v>1</v>
      </c>
      <c r="P15" s="11">
        <v>0</v>
      </c>
      <c r="Q15" s="11">
        <v>1</v>
      </c>
      <c r="R15" s="11">
        <v>1</v>
      </c>
      <c r="S15" s="11">
        <v>1</v>
      </c>
      <c r="T15" s="11">
        <v>1</v>
      </c>
      <c r="U15" s="11">
        <v>1</v>
      </c>
      <c r="V15" s="11">
        <v>1</v>
      </c>
      <c r="W15" s="11">
        <v>0</v>
      </c>
      <c r="X15" s="11">
        <v>1</v>
      </c>
    </row>
    <row r="16" spans="1:40" ht="14.25" customHeight="1" x14ac:dyDescent="0.25">
      <c r="A16" s="11"/>
      <c r="B16" s="11">
        <v>2</v>
      </c>
      <c r="C16" s="11" t="s">
        <v>119</v>
      </c>
      <c r="D16" s="11">
        <v>60</v>
      </c>
      <c r="E16" s="11">
        <v>50</v>
      </c>
      <c r="F16" s="11">
        <v>10</v>
      </c>
      <c r="G16" s="11"/>
      <c r="H16" s="11" t="s">
        <v>58</v>
      </c>
      <c r="I16" s="11" t="s">
        <v>60</v>
      </c>
      <c r="J16" s="11" t="s">
        <v>762</v>
      </c>
      <c r="K16" s="11"/>
      <c r="L16" s="11"/>
      <c r="M16" s="11">
        <v>2</v>
      </c>
      <c r="N16" s="11">
        <v>20</v>
      </c>
      <c r="O16" s="11">
        <v>21</v>
      </c>
      <c r="P16" s="11">
        <v>-1</v>
      </c>
      <c r="Q16" s="11">
        <v>15</v>
      </c>
      <c r="R16" s="11">
        <v>20</v>
      </c>
      <c r="S16" s="11">
        <v>21</v>
      </c>
      <c r="T16" s="11">
        <v>20</v>
      </c>
      <c r="U16" s="11">
        <v>22</v>
      </c>
      <c r="V16" s="11">
        <v>19</v>
      </c>
      <c r="W16" s="11">
        <v>1</v>
      </c>
      <c r="X16" s="11">
        <v>12</v>
      </c>
    </row>
    <row r="17" spans="1:24" ht="14.25" customHeight="1" x14ac:dyDescent="0.25">
      <c r="A17" s="11"/>
      <c r="B17" s="11">
        <v>4</v>
      </c>
      <c r="C17" s="11" t="s">
        <v>119</v>
      </c>
      <c r="D17" s="11">
        <v>48</v>
      </c>
      <c r="E17" s="11">
        <v>35</v>
      </c>
      <c r="F17" s="11">
        <v>13</v>
      </c>
      <c r="G17" s="11"/>
      <c r="H17" s="11" t="s">
        <v>152</v>
      </c>
      <c r="I17" s="11" t="s">
        <v>145</v>
      </c>
      <c r="J17" s="11" t="s">
        <v>764</v>
      </c>
      <c r="K17" s="11"/>
      <c r="L17" s="11"/>
      <c r="M17" s="11">
        <v>3</v>
      </c>
      <c r="N17" s="11">
        <v>34</v>
      </c>
      <c r="O17" s="11">
        <v>51</v>
      </c>
      <c r="P17" s="11">
        <v>-17</v>
      </c>
      <c r="Q17" s="11">
        <v>41</v>
      </c>
      <c r="R17" s="11">
        <v>37</v>
      </c>
      <c r="S17" s="11">
        <v>39</v>
      </c>
      <c r="T17" s="11">
        <v>30</v>
      </c>
      <c r="U17" s="11">
        <v>37</v>
      </c>
      <c r="V17" s="11">
        <v>38</v>
      </c>
      <c r="W17" s="11">
        <v>-1</v>
      </c>
      <c r="X17" s="11">
        <v>17</v>
      </c>
    </row>
    <row r="18" spans="1:24" ht="14.25" customHeight="1" x14ac:dyDescent="0.25">
      <c r="A18" s="11"/>
      <c r="B18" s="11">
        <v>1</v>
      </c>
      <c r="C18" s="11" t="s">
        <v>119</v>
      </c>
      <c r="D18" s="11">
        <v>44</v>
      </c>
      <c r="E18" s="11">
        <v>48</v>
      </c>
      <c r="F18" s="11">
        <v>-4</v>
      </c>
      <c r="G18" s="11"/>
      <c r="H18" s="11" t="s">
        <v>34</v>
      </c>
      <c r="I18" s="11" t="s">
        <v>35</v>
      </c>
      <c r="J18" s="11" t="s">
        <v>762</v>
      </c>
      <c r="K18" s="11"/>
      <c r="L18" s="11"/>
      <c r="M18" s="11">
        <v>1</v>
      </c>
      <c r="N18" s="11">
        <v>4</v>
      </c>
      <c r="O18" s="11">
        <v>4</v>
      </c>
      <c r="P18" s="11">
        <v>0</v>
      </c>
      <c r="Q18" s="11">
        <v>5</v>
      </c>
      <c r="R18" s="11">
        <v>4</v>
      </c>
      <c r="S18" s="11">
        <v>3</v>
      </c>
      <c r="T18" s="11">
        <v>3</v>
      </c>
      <c r="U18" s="11">
        <v>6</v>
      </c>
      <c r="V18" s="11">
        <v>4</v>
      </c>
      <c r="W18" s="11">
        <v>0</v>
      </c>
      <c r="X18" s="11">
        <v>3</v>
      </c>
    </row>
    <row r="19" spans="1:24" ht="14.25" customHeight="1" x14ac:dyDescent="0.25">
      <c r="A19" s="11"/>
      <c r="B19" s="11">
        <v>1</v>
      </c>
      <c r="C19" s="11" t="s">
        <v>119</v>
      </c>
      <c r="D19" s="11">
        <v>49</v>
      </c>
      <c r="E19" s="11">
        <v>35</v>
      </c>
      <c r="F19" s="11">
        <v>14</v>
      </c>
      <c r="G19" s="11"/>
      <c r="H19" s="11" t="s">
        <v>48</v>
      </c>
      <c r="I19" s="11" t="s">
        <v>49</v>
      </c>
      <c r="J19" s="11" t="s">
        <v>764</v>
      </c>
      <c r="K19" s="11"/>
      <c r="L19" s="11"/>
      <c r="M19" s="11">
        <v>1</v>
      </c>
      <c r="N19" s="11">
        <v>11</v>
      </c>
      <c r="O19" s="11">
        <v>14</v>
      </c>
      <c r="P19" s="11">
        <v>-3</v>
      </c>
      <c r="Q19" s="11">
        <v>9</v>
      </c>
      <c r="R19" s="11">
        <v>8</v>
      </c>
      <c r="S19" s="11">
        <v>15</v>
      </c>
      <c r="T19" s="11">
        <v>14</v>
      </c>
      <c r="U19" s="11">
        <v>7</v>
      </c>
      <c r="V19" s="11">
        <v>11</v>
      </c>
      <c r="W19" s="11">
        <v>-3</v>
      </c>
      <c r="X19" s="11">
        <v>9</v>
      </c>
    </row>
    <row r="20" spans="1:24" ht="14.25" customHeight="1" x14ac:dyDescent="0.25">
      <c r="A20" s="11"/>
      <c r="B20" s="11">
        <v>2</v>
      </c>
      <c r="C20" s="11" t="s">
        <v>119</v>
      </c>
      <c r="D20" s="11">
        <v>47</v>
      </c>
      <c r="E20" s="11">
        <v>48</v>
      </c>
      <c r="F20" s="11">
        <v>-1</v>
      </c>
      <c r="G20" s="11"/>
      <c r="H20" s="11" t="s">
        <v>90</v>
      </c>
      <c r="I20" s="11" t="s">
        <v>91</v>
      </c>
      <c r="J20" s="11" t="s">
        <v>762</v>
      </c>
      <c r="K20" s="11"/>
      <c r="L20" s="11"/>
      <c r="M20" s="11">
        <v>1</v>
      </c>
      <c r="N20" s="11">
        <v>7</v>
      </c>
      <c r="O20" s="11">
        <v>7</v>
      </c>
      <c r="P20" s="11">
        <v>0</v>
      </c>
      <c r="Q20" s="11">
        <v>12</v>
      </c>
      <c r="R20" s="11">
        <v>13</v>
      </c>
      <c r="S20" s="11">
        <v>14</v>
      </c>
      <c r="T20" s="11">
        <v>13</v>
      </c>
      <c r="U20" s="11">
        <v>10</v>
      </c>
      <c r="V20" s="11">
        <v>10</v>
      </c>
      <c r="W20" s="11">
        <v>3</v>
      </c>
      <c r="X20" s="11">
        <v>8</v>
      </c>
    </row>
    <row r="21" spans="1:24" ht="14.25" customHeight="1" x14ac:dyDescent="0.25">
      <c r="A21" s="11"/>
      <c r="B21" s="11">
        <v>4</v>
      </c>
      <c r="C21" s="11" t="s">
        <v>119</v>
      </c>
      <c r="D21" s="11">
        <v>33</v>
      </c>
      <c r="E21" s="11">
        <v>30</v>
      </c>
      <c r="F21" s="11">
        <v>3</v>
      </c>
      <c r="G21" s="11"/>
      <c r="H21" s="11" t="s">
        <v>226</v>
      </c>
      <c r="I21" s="11" t="s">
        <v>123</v>
      </c>
      <c r="J21" s="11" t="s">
        <v>764</v>
      </c>
      <c r="K21" s="11"/>
      <c r="L21" s="11"/>
      <c r="M21" s="11">
        <v>4</v>
      </c>
      <c r="N21" s="11">
        <v>36</v>
      </c>
      <c r="O21" s="11">
        <v>46</v>
      </c>
      <c r="P21" s="11">
        <v>-10</v>
      </c>
      <c r="Q21" s="11">
        <v>44</v>
      </c>
      <c r="R21" s="11">
        <v>39</v>
      </c>
      <c r="S21" s="11">
        <v>41</v>
      </c>
      <c r="T21" s="11">
        <v>34</v>
      </c>
      <c r="U21" s="11">
        <v>41</v>
      </c>
      <c r="V21" s="11">
        <v>40</v>
      </c>
      <c r="W21" s="11">
        <v>-1</v>
      </c>
      <c r="X21" s="11">
        <v>14</v>
      </c>
    </row>
    <row r="22" spans="1:24" ht="14.25" customHeight="1" x14ac:dyDescent="0.25">
      <c r="A22" s="11"/>
      <c r="B22" s="11">
        <v>6</v>
      </c>
      <c r="C22" s="11" t="s">
        <v>119</v>
      </c>
      <c r="D22" s="11">
        <v>42</v>
      </c>
      <c r="E22" s="11">
        <v>48</v>
      </c>
      <c r="F22" s="11">
        <v>-6</v>
      </c>
      <c r="G22" s="11"/>
      <c r="H22" s="11" t="s">
        <v>415</v>
      </c>
      <c r="I22" s="11" t="s">
        <v>85</v>
      </c>
      <c r="J22" s="11" t="s">
        <v>762</v>
      </c>
      <c r="K22" s="11"/>
      <c r="L22" s="11"/>
      <c r="M22" s="11">
        <v>6</v>
      </c>
      <c r="N22" s="11">
        <v>61</v>
      </c>
      <c r="O22" s="11">
        <v>66</v>
      </c>
      <c r="P22" s="11">
        <v>-5</v>
      </c>
      <c r="Q22" s="11">
        <v>63</v>
      </c>
      <c r="R22" s="11">
        <v>77</v>
      </c>
      <c r="S22" s="11">
        <v>62</v>
      </c>
      <c r="T22" s="11">
        <v>67</v>
      </c>
      <c r="U22" s="11">
        <v>59</v>
      </c>
      <c r="V22" s="11">
        <v>65</v>
      </c>
      <c r="W22" s="11">
        <v>12</v>
      </c>
      <c r="X22" s="11">
        <v>23</v>
      </c>
    </row>
    <row r="23" spans="1:24" ht="14.25" customHeight="1" x14ac:dyDescent="0.25">
      <c r="A23" s="11"/>
      <c r="B23" s="11">
        <v>1</v>
      </c>
      <c r="C23" s="11" t="s">
        <v>119</v>
      </c>
      <c r="D23" s="11">
        <v>54</v>
      </c>
      <c r="E23" s="11">
        <v>47</v>
      </c>
      <c r="F23" s="11">
        <v>7</v>
      </c>
      <c r="G23" s="11"/>
      <c r="H23" s="11" t="s">
        <v>77</v>
      </c>
      <c r="I23" s="11" t="s">
        <v>78</v>
      </c>
      <c r="J23" s="11" t="s">
        <v>762</v>
      </c>
      <c r="K23" s="11"/>
      <c r="L23" s="11"/>
      <c r="M23" s="11">
        <v>1</v>
      </c>
      <c r="N23" s="11">
        <v>2</v>
      </c>
      <c r="O23" s="11">
        <v>3</v>
      </c>
      <c r="P23" s="11">
        <v>-1</v>
      </c>
      <c r="Q23" s="11">
        <v>3</v>
      </c>
      <c r="R23" s="11">
        <v>6</v>
      </c>
      <c r="S23" s="11">
        <v>5</v>
      </c>
      <c r="T23" s="11">
        <v>5</v>
      </c>
      <c r="U23" s="11">
        <v>4</v>
      </c>
      <c r="V23" s="11">
        <v>4</v>
      </c>
      <c r="W23" s="11">
        <v>2</v>
      </c>
      <c r="X23" s="11">
        <v>2</v>
      </c>
    </row>
    <row r="24" spans="1:24" ht="14.25" customHeight="1" x14ac:dyDescent="0.25">
      <c r="A24" s="11"/>
      <c r="B24" s="11">
        <v>4</v>
      </c>
      <c r="C24" s="11" t="s">
        <v>119</v>
      </c>
      <c r="D24" s="11">
        <v>30</v>
      </c>
      <c r="E24" s="11">
        <v>30</v>
      </c>
      <c r="F24" s="11">
        <v>0</v>
      </c>
      <c r="G24" s="11"/>
      <c r="H24" s="11" t="s">
        <v>192</v>
      </c>
      <c r="I24" s="11" t="s">
        <v>49</v>
      </c>
      <c r="J24" s="11" t="s">
        <v>764</v>
      </c>
      <c r="K24" s="11"/>
      <c r="L24" s="11"/>
      <c r="M24" s="11">
        <v>4</v>
      </c>
      <c r="N24" s="11">
        <v>44</v>
      </c>
      <c r="O24" s="11">
        <v>34</v>
      </c>
      <c r="P24" s="11">
        <v>10</v>
      </c>
      <c r="Q24" s="11">
        <v>34</v>
      </c>
      <c r="R24" s="11">
        <v>47</v>
      </c>
      <c r="S24" s="11">
        <v>43</v>
      </c>
      <c r="T24" s="11">
        <v>37</v>
      </c>
      <c r="U24" s="11">
        <v>48</v>
      </c>
      <c r="V24" s="11">
        <v>41</v>
      </c>
      <c r="W24" s="11">
        <v>6</v>
      </c>
      <c r="X24" s="11">
        <v>19</v>
      </c>
    </row>
    <row r="25" spans="1:24" ht="14.25" customHeight="1" x14ac:dyDescent="0.25">
      <c r="A25" s="11"/>
      <c r="B25" s="11">
        <v>3</v>
      </c>
      <c r="C25" s="11" t="s">
        <v>119</v>
      </c>
      <c r="D25" s="11">
        <v>52</v>
      </c>
      <c r="E25" s="11">
        <v>45</v>
      </c>
      <c r="F25" s="11">
        <v>7</v>
      </c>
      <c r="G25" s="11" t="s">
        <v>1112</v>
      </c>
      <c r="H25" s="11" t="s">
        <v>135</v>
      </c>
      <c r="I25" s="11" t="s">
        <v>49</v>
      </c>
      <c r="J25" s="11" t="s">
        <v>762</v>
      </c>
      <c r="K25" s="11"/>
      <c r="L25" s="11"/>
      <c r="M25" s="11">
        <v>3</v>
      </c>
      <c r="N25" s="11">
        <v>25</v>
      </c>
      <c r="O25" s="11">
        <v>18</v>
      </c>
      <c r="P25" s="11">
        <v>7</v>
      </c>
      <c r="Q25" s="11">
        <v>29</v>
      </c>
      <c r="R25" s="11">
        <v>30</v>
      </c>
      <c r="S25" s="11">
        <v>26</v>
      </c>
      <c r="T25" s="11">
        <v>27</v>
      </c>
      <c r="U25" s="11">
        <v>25</v>
      </c>
      <c r="V25" s="11">
        <v>25</v>
      </c>
      <c r="W25" s="11">
        <v>5</v>
      </c>
      <c r="X25" s="11">
        <v>11</v>
      </c>
    </row>
    <row r="26" spans="1:24" ht="14.25" customHeight="1" x14ac:dyDescent="0.25">
      <c r="A26" s="11"/>
      <c r="B26" s="11">
        <v>9</v>
      </c>
      <c r="C26" s="11" t="s">
        <v>119</v>
      </c>
      <c r="D26" s="11">
        <v>41</v>
      </c>
      <c r="E26" s="11">
        <v>35</v>
      </c>
      <c r="F26" s="11">
        <v>6</v>
      </c>
      <c r="G26" s="11"/>
      <c r="H26" s="11" t="s">
        <v>157</v>
      </c>
      <c r="I26" s="11" t="s">
        <v>199</v>
      </c>
      <c r="J26" s="11" t="s">
        <v>762</v>
      </c>
      <c r="K26" s="11"/>
      <c r="L26" s="11"/>
      <c r="M26" s="11">
        <v>8</v>
      </c>
      <c r="N26" s="11">
        <v>85</v>
      </c>
      <c r="O26" s="11">
        <v>90</v>
      </c>
      <c r="P26" s="11">
        <v>-5</v>
      </c>
      <c r="Q26" s="11">
        <v>116</v>
      </c>
      <c r="R26" s="11">
        <v>102</v>
      </c>
      <c r="S26" s="11">
        <v>94</v>
      </c>
      <c r="T26" s="11">
        <v>90</v>
      </c>
      <c r="U26" s="11">
        <v>121</v>
      </c>
      <c r="V26" s="11">
        <v>99</v>
      </c>
      <c r="W26" s="11">
        <v>3</v>
      </c>
      <c r="X26" s="11">
        <v>33</v>
      </c>
    </row>
    <row r="27" spans="1:24" ht="14.25" customHeight="1" x14ac:dyDescent="0.25">
      <c r="A27" s="11"/>
      <c r="B27" s="44">
        <v>2</v>
      </c>
      <c r="C27" s="11" t="s">
        <v>119</v>
      </c>
      <c r="D27" s="11">
        <v>32</v>
      </c>
      <c r="E27" s="11">
        <v>30</v>
      </c>
      <c r="F27" s="11">
        <v>2</v>
      </c>
      <c r="G27" s="44" t="s">
        <v>1112</v>
      </c>
      <c r="H27" s="11" t="s">
        <v>109</v>
      </c>
      <c r="I27" s="11" t="s">
        <v>39</v>
      </c>
      <c r="J27" s="11" t="s">
        <v>764</v>
      </c>
      <c r="K27" s="11"/>
      <c r="L27" s="11"/>
      <c r="M27" s="11">
        <v>2</v>
      </c>
      <c r="N27" s="11">
        <v>17</v>
      </c>
      <c r="O27" s="11">
        <v>23</v>
      </c>
      <c r="P27" s="11">
        <v>-6</v>
      </c>
      <c r="Q27" s="11">
        <v>21</v>
      </c>
      <c r="R27" s="11">
        <v>16</v>
      </c>
      <c r="S27" s="11">
        <v>19</v>
      </c>
      <c r="T27" s="11">
        <v>15</v>
      </c>
      <c r="U27" s="11">
        <v>20</v>
      </c>
      <c r="V27" s="11">
        <v>18</v>
      </c>
      <c r="W27" s="11">
        <v>-2</v>
      </c>
      <c r="X27" s="11">
        <v>7</v>
      </c>
    </row>
    <row r="28" spans="1:24" ht="14.25" customHeight="1" x14ac:dyDescent="0.25">
      <c r="A28" s="11"/>
      <c r="B28" s="11">
        <v>7</v>
      </c>
      <c r="C28" s="11" t="s">
        <v>119</v>
      </c>
      <c r="D28" s="11">
        <v>39</v>
      </c>
      <c r="E28" s="11">
        <v>30</v>
      </c>
      <c r="F28" s="11">
        <v>9</v>
      </c>
      <c r="G28" s="11"/>
      <c r="H28" s="11" t="s">
        <v>128</v>
      </c>
      <c r="I28" s="11" t="s">
        <v>129</v>
      </c>
      <c r="J28" s="11" t="s">
        <v>764</v>
      </c>
      <c r="K28" s="11"/>
      <c r="L28" s="11"/>
      <c r="M28" s="11">
        <v>7</v>
      </c>
      <c r="N28" s="11">
        <v>73</v>
      </c>
      <c r="O28" s="11">
        <v>101</v>
      </c>
      <c r="P28" s="11">
        <v>-28</v>
      </c>
      <c r="Q28" s="11">
        <v>84</v>
      </c>
      <c r="R28" s="11">
        <v>78</v>
      </c>
      <c r="S28" s="11">
        <v>82</v>
      </c>
      <c r="T28" s="11">
        <v>72</v>
      </c>
      <c r="U28" s="11">
        <v>87</v>
      </c>
      <c r="V28" s="11">
        <v>82</v>
      </c>
      <c r="W28" s="11">
        <v>-4</v>
      </c>
      <c r="X28" s="11">
        <v>32</v>
      </c>
    </row>
    <row r="29" spans="1:24" ht="14.25" customHeight="1" x14ac:dyDescent="0.25">
      <c r="A29" s="11"/>
      <c r="B29" s="11">
        <v>2</v>
      </c>
      <c r="C29" s="11" t="s">
        <v>119</v>
      </c>
      <c r="D29" s="11">
        <v>36</v>
      </c>
      <c r="E29" s="11">
        <v>30</v>
      </c>
      <c r="F29" s="11">
        <v>6</v>
      </c>
      <c r="G29" s="11" t="s">
        <v>148</v>
      </c>
      <c r="H29" s="11" t="s">
        <v>80</v>
      </c>
      <c r="I29" s="11" t="s">
        <v>81</v>
      </c>
      <c r="J29" s="11" t="s">
        <v>762</v>
      </c>
      <c r="K29" s="11"/>
      <c r="L29" s="11"/>
      <c r="M29" s="11">
        <v>2</v>
      </c>
      <c r="N29" s="11">
        <v>14</v>
      </c>
      <c r="O29" s="11">
        <v>16</v>
      </c>
      <c r="P29" s="11">
        <v>-2</v>
      </c>
      <c r="Q29" s="11">
        <v>14</v>
      </c>
      <c r="R29" s="11">
        <v>15</v>
      </c>
      <c r="S29" s="11">
        <v>18</v>
      </c>
      <c r="T29" s="11">
        <v>16</v>
      </c>
      <c r="U29" s="11">
        <v>14</v>
      </c>
      <c r="V29" s="11">
        <v>15</v>
      </c>
      <c r="W29" s="11">
        <v>0</v>
      </c>
      <c r="X29" s="11">
        <v>6</v>
      </c>
    </row>
    <row r="30" spans="1:24" ht="14.25" customHeight="1" x14ac:dyDescent="0.25">
      <c r="A30" s="11"/>
      <c r="B30" s="11">
        <v>8</v>
      </c>
      <c r="C30" s="11" t="s">
        <v>119</v>
      </c>
      <c r="D30" s="11">
        <v>39</v>
      </c>
      <c r="E30" s="11">
        <v>30</v>
      </c>
      <c r="F30" s="11">
        <v>9</v>
      </c>
      <c r="G30" s="11"/>
      <c r="H30" s="11" t="s">
        <v>362</v>
      </c>
      <c r="I30" s="11" t="s">
        <v>184</v>
      </c>
      <c r="J30" s="11" t="s">
        <v>764</v>
      </c>
      <c r="K30" s="11"/>
      <c r="L30" s="11"/>
      <c r="M30" s="11">
        <v>8</v>
      </c>
      <c r="N30" s="11">
        <v>84</v>
      </c>
      <c r="O30" s="11">
        <v>75</v>
      </c>
      <c r="P30" s="11">
        <v>9</v>
      </c>
      <c r="Q30" s="11">
        <v>95</v>
      </c>
      <c r="R30" s="11">
        <v>83</v>
      </c>
      <c r="S30" s="11">
        <v>83</v>
      </c>
      <c r="T30" s="11">
        <v>75</v>
      </c>
      <c r="U30" s="11">
        <v>96</v>
      </c>
      <c r="V30" s="11">
        <v>84</v>
      </c>
      <c r="W30" s="11">
        <v>-1</v>
      </c>
      <c r="X30" s="11">
        <v>41</v>
      </c>
    </row>
    <row r="31" spans="1:24" ht="14.25" customHeight="1" x14ac:dyDescent="0.25">
      <c r="A31" s="11"/>
      <c r="B31" s="11">
        <v>6</v>
      </c>
      <c r="C31" s="11" t="s">
        <v>119</v>
      </c>
      <c r="D31" s="11">
        <v>24</v>
      </c>
      <c r="E31" s="11">
        <v>20</v>
      </c>
      <c r="F31" s="11">
        <v>4</v>
      </c>
      <c r="G31" s="11" t="s">
        <v>1112</v>
      </c>
      <c r="H31" s="11" t="s">
        <v>312</v>
      </c>
      <c r="I31" s="11" t="s">
        <v>85</v>
      </c>
      <c r="J31" s="11" t="s">
        <v>769</v>
      </c>
      <c r="K31" s="11"/>
      <c r="L31" s="11"/>
      <c r="M31" s="11">
        <v>6</v>
      </c>
      <c r="N31" s="11">
        <v>67</v>
      </c>
      <c r="O31" s="11">
        <v>61</v>
      </c>
      <c r="P31" s="11">
        <v>6</v>
      </c>
      <c r="Q31" s="11">
        <v>57</v>
      </c>
      <c r="R31" s="11">
        <v>88</v>
      </c>
      <c r="S31" s="11">
        <v>63</v>
      </c>
      <c r="T31" s="11">
        <v>82</v>
      </c>
      <c r="U31" s="11">
        <v>58</v>
      </c>
      <c r="V31" s="11">
        <v>68</v>
      </c>
      <c r="W31" s="11">
        <v>20</v>
      </c>
      <c r="X31" s="11">
        <v>9</v>
      </c>
    </row>
    <row r="32" spans="1:24" ht="14.25" customHeight="1" x14ac:dyDescent="0.25">
      <c r="A32" s="11" t="s">
        <v>148</v>
      </c>
      <c r="B32" s="11">
        <v>9</v>
      </c>
      <c r="C32" s="11" t="s">
        <v>119</v>
      </c>
      <c r="D32" s="11">
        <v>28</v>
      </c>
      <c r="E32" s="11">
        <v>30</v>
      </c>
      <c r="F32" s="11">
        <v>-2</v>
      </c>
      <c r="G32" s="11" t="s">
        <v>148</v>
      </c>
      <c r="H32" s="11" t="s">
        <v>450</v>
      </c>
      <c r="I32" s="11" t="s">
        <v>52</v>
      </c>
      <c r="J32" s="11" t="s">
        <v>764</v>
      </c>
      <c r="K32" s="11"/>
      <c r="L32" s="11"/>
      <c r="M32" s="11">
        <v>8</v>
      </c>
      <c r="N32" s="11">
        <v>88</v>
      </c>
      <c r="O32" s="11">
        <v>95</v>
      </c>
      <c r="P32" s="11">
        <v>-7</v>
      </c>
      <c r="Q32" s="11">
        <v>86</v>
      </c>
      <c r="R32" s="11">
        <v>97</v>
      </c>
      <c r="S32" s="11">
        <v>101</v>
      </c>
      <c r="T32" s="11">
        <v>91</v>
      </c>
      <c r="U32" s="11">
        <v>109</v>
      </c>
      <c r="V32" s="11">
        <v>95</v>
      </c>
      <c r="W32" s="11">
        <v>2</v>
      </c>
      <c r="X32" s="11">
        <v>55</v>
      </c>
    </row>
    <row r="33" spans="1:24" ht="14.25" customHeight="1" x14ac:dyDescent="0.25">
      <c r="A33" s="11"/>
      <c r="B33" s="11">
        <v>2</v>
      </c>
      <c r="C33" s="11" t="s">
        <v>119</v>
      </c>
      <c r="D33" s="11">
        <v>29</v>
      </c>
      <c r="E33" s="11">
        <v>25</v>
      </c>
      <c r="F33" s="11">
        <v>4</v>
      </c>
      <c r="G33" s="11"/>
      <c r="H33" s="11" t="s">
        <v>131</v>
      </c>
      <c r="I33" s="11" t="s">
        <v>66</v>
      </c>
      <c r="J33" s="11" t="s">
        <v>760</v>
      </c>
      <c r="K33" s="11"/>
      <c r="L33" s="11"/>
      <c r="M33" s="11">
        <v>2</v>
      </c>
      <c r="N33" s="11">
        <v>21</v>
      </c>
      <c r="O33" s="11">
        <v>15</v>
      </c>
      <c r="P33" s="11">
        <v>6</v>
      </c>
      <c r="Q33" s="11">
        <v>19</v>
      </c>
      <c r="R33" s="11">
        <v>27</v>
      </c>
      <c r="S33" s="11">
        <v>27</v>
      </c>
      <c r="T33" s="11">
        <v>25</v>
      </c>
      <c r="U33" s="11">
        <v>21</v>
      </c>
      <c r="V33" s="11">
        <v>22</v>
      </c>
      <c r="W33" s="11">
        <v>5</v>
      </c>
      <c r="X33" s="11">
        <v>2</v>
      </c>
    </row>
    <row r="34" spans="1:24" ht="14.25" customHeight="1" x14ac:dyDescent="0.25">
      <c r="A34" s="11"/>
      <c r="B34" s="11">
        <v>5</v>
      </c>
      <c r="C34" s="11" t="s">
        <v>119</v>
      </c>
      <c r="D34" s="11">
        <v>35</v>
      </c>
      <c r="E34" s="11">
        <v>25</v>
      </c>
      <c r="F34" s="11">
        <v>10</v>
      </c>
      <c r="G34" s="11"/>
      <c r="H34" s="11" t="s">
        <v>248</v>
      </c>
      <c r="I34" s="11" t="s">
        <v>233</v>
      </c>
      <c r="J34" s="11" t="s">
        <v>764</v>
      </c>
      <c r="K34" s="11"/>
      <c r="L34" s="11"/>
      <c r="M34" s="11">
        <v>4</v>
      </c>
      <c r="N34" s="11">
        <v>46</v>
      </c>
      <c r="O34" s="11">
        <v>48</v>
      </c>
      <c r="P34" s="11">
        <v>-2</v>
      </c>
      <c r="Q34" s="11">
        <v>45</v>
      </c>
      <c r="R34" s="11">
        <v>63</v>
      </c>
      <c r="S34" s="11">
        <v>52</v>
      </c>
      <c r="T34" s="11">
        <v>50</v>
      </c>
      <c r="U34" s="11">
        <v>52</v>
      </c>
      <c r="V34" s="11">
        <v>50</v>
      </c>
      <c r="W34" s="11">
        <v>13</v>
      </c>
      <c r="X34" s="11">
        <v>20</v>
      </c>
    </row>
    <row r="35" spans="1:24" ht="14.25" customHeight="1" x14ac:dyDescent="0.25">
      <c r="A35" s="11" t="s">
        <v>148</v>
      </c>
      <c r="B35" s="11">
        <v>10</v>
      </c>
      <c r="C35" s="11" t="s">
        <v>119</v>
      </c>
      <c r="D35" s="11">
        <v>19</v>
      </c>
      <c r="E35" s="11">
        <v>25</v>
      </c>
      <c r="F35" s="11">
        <v>-6</v>
      </c>
      <c r="G35" s="11"/>
      <c r="H35" s="11" t="s">
        <v>284</v>
      </c>
      <c r="I35" s="11" t="s">
        <v>60</v>
      </c>
      <c r="J35" s="11" t="s">
        <v>764</v>
      </c>
      <c r="K35" s="44"/>
      <c r="L35" s="11"/>
      <c r="M35" s="11">
        <v>10</v>
      </c>
      <c r="N35" s="11">
        <v>114</v>
      </c>
      <c r="O35" s="11">
        <v>94</v>
      </c>
      <c r="P35" s="11">
        <v>20</v>
      </c>
      <c r="Q35" s="11">
        <v>92</v>
      </c>
      <c r="R35" s="11">
        <v>113</v>
      </c>
      <c r="S35" s="11">
        <v>99</v>
      </c>
      <c r="T35" s="11">
        <v>97</v>
      </c>
      <c r="U35" s="11">
        <v>164</v>
      </c>
      <c r="V35" s="11">
        <v>110</v>
      </c>
      <c r="W35" s="11">
        <v>3</v>
      </c>
      <c r="X35" s="11">
        <v>47</v>
      </c>
    </row>
    <row r="36" spans="1:24" ht="14.25" customHeight="1" x14ac:dyDescent="0.25">
      <c r="A36" s="11"/>
      <c r="B36" s="11">
        <v>5</v>
      </c>
      <c r="C36" s="11" t="s">
        <v>119</v>
      </c>
      <c r="D36" s="11">
        <v>26</v>
      </c>
      <c r="E36" s="11">
        <v>20</v>
      </c>
      <c r="F36" s="11">
        <v>6</v>
      </c>
      <c r="G36" s="11"/>
      <c r="H36" s="11" t="s">
        <v>246</v>
      </c>
      <c r="I36" s="11" t="s">
        <v>35</v>
      </c>
      <c r="J36" s="11" t="s">
        <v>769</v>
      </c>
      <c r="K36" s="11"/>
      <c r="L36" s="11"/>
      <c r="M36" s="11">
        <v>5</v>
      </c>
      <c r="N36" s="11">
        <v>51</v>
      </c>
      <c r="O36" s="11">
        <v>58</v>
      </c>
      <c r="P36" s="11">
        <v>-7</v>
      </c>
      <c r="Q36" s="11">
        <v>49</v>
      </c>
      <c r="R36" s="11">
        <v>67</v>
      </c>
      <c r="S36" s="11">
        <v>53</v>
      </c>
      <c r="T36" s="11">
        <v>71</v>
      </c>
      <c r="U36" s="11">
        <v>43</v>
      </c>
      <c r="V36" s="11">
        <v>56</v>
      </c>
      <c r="W36" s="11">
        <v>11</v>
      </c>
      <c r="X36" s="11">
        <v>4</v>
      </c>
    </row>
    <row r="37" spans="1:24" ht="14.25" customHeight="1" x14ac:dyDescent="0.25">
      <c r="A37" s="11"/>
      <c r="B37" s="11">
        <v>4</v>
      </c>
      <c r="C37" s="11" t="s">
        <v>119</v>
      </c>
      <c r="D37" s="11">
        <v>22</v>
      </c>
      <c r="E37" s="11">
        <v>20</v>
      </c>
      <c r="F37" s="11">
        <v>2</v>
      </c>
      <c r="G37" s="11" t="s">
        <v>1112</v>
      </c>
      <c r="H37" s="11" t="s">
        <v>235</v>
      </c>
      <c r="I37" s="11" t="s">
        <v>78</v>
      </c>
      <c r="J37" s="11" t="s">
        <v>760</v>
      </c>
      <c r="K37" s="11"/>
      <c r="L37" s="11"/>
      <c r="M37" s="11">
        <v>4</v>
      </c>
      <c r="N37" s="11">
        <v>37</v>
      </c>
      <c r="O37" s="11">
        <v>31</v>
      </c>
      <c r="P37" s="11">
        <v>6</v>
      </c>
      <c r="Q37" s="11">
        <v>28</v>
      </c>
      <c r="R37" s="11">
        <v>51</v>
      </c>
      <c r="S37" s="11">
        <v>40</v>
      </c>
      <c r="T37" s="11">
        <v>43</v>
      </c>
      <c r="U37" s="11">
        <v>34</v>
      </c>
      <c r="V37" s="11">
        <v>37</v>
      </c>
      <c r="W37" s="11">
        <v>14</v>
      </c>
      <c r="X37" s="11">
        <v>3</v>
      </c>
    </row>
    <row r="38" spans="1:24" ht="14.25" customHeight="1" x14ac:dyDescent="0.25">
      <c r="A38" s="11"/>
      <c r="B38" s="44">
        <v>5</v>
      </c>
      <c r="C38" s="11" t="s">
        <v>119</v>
      </c>
      <c r="D38" s="11">
        <v>23</v>
      </c>
      <c r="E38" s="11">
        <v>25</v>
      </c>
      <c r="F38" s="11">
        <v>-2</v>
      </c>
      <c r="G38" s="11" t="s">
        <v>148</v>
      </c>
      <c r="H38" s="11" t="s">
        <v>310</v>
      </c>
      <c r="I38" s="11" t="s">
        <v>85</v>
      </c>
      <c r="J38" s="11" t="s">
        <v>760</v>
      </c>
      <c r="K38" s="11"/>
      <c r="L38" s="11"/>
      <c r="M38" s="11">
        <v>5</v>
      </c>
      <c r="N38" s="11">
        <v>57</v>
      </c>
      <c r="O38" s="11">
        <v>47</v>
      </c>
      <c r="P38" s="11">
        <v>10</v>
      </c>
      <c r="Q38" s="11">
        <v>42</v>
      </c>
      <c r="R38" s="11">
        <v>69</v>
      </c>
      <c r="S38" s="11">
        <v>73</v>
      </c>
      <c r="T38" s="11">
        <v>66</v>
      </c>
      <c r="U38" s="11">
        <v>42</v>
      </c>
      <c r="V38" s="11">
        <v>56</v>
      </c>
      <c r="W38" s="11">
        <v>13</v>
      </c>
      <c r="X38" s="11">
        <v>9</v>
      </c>
    </row>
    <row r="39" spans="1:24" ht="14.25" customHeight="1" x14ac:dyDescent="0.25">
      <c r="A39" s="11"/>
      <c r="B39" s="11">
        <v>13</v>
      </c>
      <c r="C39" s="11" t="s">
        <v>119</v>
      </c>
      <c r="D39" s="11">
        <v>33</v>
      </c>
      <c r="E39" s="11">
        <v>20</v>
      </c>
      <c r="F39" s="11">
        <v>13</v>
      </c>
      <c r="G39" s="11"/>
      <c r="H39" s="11" t="s">
        <v>684</v>
      </c>
      <c r="I39" s="11" t="s">
        <v>55</v>
      </c>
      <c r="J39" s="11" t="s">
        <v>764</v>
      </c>
      <c r="K39" s="11"/>
      <c r="L39" s="11"/>
      <c r="M39" s="11">
        <v>10</v>
      </c>
      <c r="N39" s="11">
        <v>115</v>
      </c>
      <c r="O39" s="11">
        <v>162</v>
      </c>
      <c r="P39" s="11">
        <v>-47</v>
      </c>
      <c r="Q39" s="11">
        <v>169</v>
      </c>
      <c r="R39" s="11">
        <v>165</v>
      </c>
      <c r="S39" s="11">
        <v>154</v>
      </c>
      <c r="T39" s="11">
        <v>148</v>
      </c>
      <c r="U39" s="11">
        <v>127</v>
      </c>
      <c r="V39" s="11">
        <v>148</v>
      </c>
      <c r="W39" s="11">
        <v>17</v>
      </c>
      <c r="X39" s="11">
        <v>48</v>
      </c>
    </row>
    <row r="40" spans="1:24" ht="14.25" customHeight="1" x14ac:dyDescent="0.25">
      <c r="A40" s="11"/>
      <c r="B40" s="11">
        <v>4</v>
      </c>
      <c r="C40" s="11" t="s">
        <v>119</v>
      </c>
      <c r="D40" s="11">
        <v>35</v>
      </c>
      <c r="E40" s="11">
        <v>20</v>
      </c>
      <c r="F40" s="11">
        <v>15</v>
      </c>
      <c r="G40" s="11"/>
      <c r="H40" s="11" t="s">
        <v>220</v>
      </c>
      <c r="I40" s="11" t="s">
        <v>163</v>
      </c>
      <c r="J40" s="11" t="s">
        <v>764</v>
      </c>
      <c r="K40" s="11"/>
      <c r="L40" s="11"/>
      <c r="M40" s="11">
        <v>4</v>
      </c>
      <c r="N40" s="11">
        <v>39</v>
      </c>
      <c r="O40" s="11">
        <v>36</v>
      </c>
      <c r="P40" s="11">
        <v>3</v>
      </c>
      <c r="Q40" s="11">
        <v>43</v>
      </c>
      <c r="R40" s="11">
        <v>44</v>
      </c>
      <c r="S40" s="11">
        <v>38</v>
      </c>
      <c r="T40" s="11">
        <v>38</v>
      </c>
      <c r="U40" s="11">
        <v>32</v>
      </c>
      <c r="V40" s="11">
        <v>38</v>
      </c>
      <c r="W40" s="11">
        <v>6</v>
      </c>
      <c r="X40" s="11">
        <v>15</v>
      </c>
    </row>
    <row r="41" spans="1:24" ht="14.25" customHeight="1" x14ac:dyDescent="0.25">
      <c r="A41" s="11"/>
      <c r="B41" s="44">
        <v>2</v>
      </c>
      <c r="C41" s="11" t="s">
        <v>119</v>
      </c>
      <c r="D41" s="11">
        <v>34</v>
      </c>
      <c r="E41" s="11">
        <v>20</v>
      </c>
      <c r="F41" s="11">
        <v>14</v>
      </c>
      <c r="G41" s="11" t="s">
        <v>148</v>
      </c>
      <c r="H41" s="11" t="s">
        <v>218</v>
      </c>
      <c r="I41" s="11" t="s">
        <v>214</v>
      </c>
      <c r="J41" s="11" t="s">
        <v>762</v>
      </c>
      <c r="K41" s="11"/>
      <c r="L41" s="11"/>
      <c r="M41" s="11">
        <v>2</v>
      </c>
      <c r="N41" s="11">
        <v>15</v>
      </c>
      <c r="O41" s="11">
        <v>10</v>
      </c>
      <c r="P41" s="11">
        <v>5</v>
      </c>
      <c r="Q41" s="11">
        <v>17</v>
      </c>
      <c r="R41" s="11">
        <v>23</v>
      </c>
      <c r="S41" s="11">
        <v>22</v>
      </c>
      <c r="T41" s="11">
        <v>22</v>
      </c>
      <c r="U41" s="11">
        <v>19</v>
      </c>
      <c r="V41" s="11">
        <v>18</v>
      </c>
      <c r="W41" s="11">
        <v>5</v>
      </c>
      <c r="X41" s="11">
        <v>7</v>
      </c>
    </row>
    <row r="42" spans="1:24" ht="14.25" customHeight="1" x14ac:dyDescent="0.25">
      <c r="A42" s="11"/>
      <c r="B42" s="44">
        <v>6</v>
      </c>
      <c r="C42" s="11" t="s">
        <v>119</v>
      </c>
      <c r="D42" s="11">
        <v>23</v>
      </c>
      <c r="E42" s="11">
        <v>20</v>
      </c>
      <c r="F42" s="11">
        <v>3</v>
      </c>
      <c r="G42" s="44" t="s">
        <v>1110</v>
      </c>
      <c r="H42" s="44" t="s">
        <v>167</v>
      </c>
      <c r="I42" s="44" t="s">
        <v>81</v>
      </c>
      <c r="J42" s="11" t="s">
        <v>764</v>
      </c>
      <c r="K42" s="44"/>
      <c r="L42" s="11"/>
      <c r="M42" s="11">
        <v>6</v>
      </c>
      <c r="N42" s="11">
        <v>70</v>
      </c>
      <c r="O42" s="11">
        <v>79</v>
      </c>
      <c r="P42" s="11">
        <v>-9</v>
      </c>
      <c r="Q42" s="11">
        <v>64</v>
      </c>
      <c r="R42" s="11">
        <v>70</v>
      </c>
      <c r="S42" s="11">
        <v>66</v>
      </c>
      <c r="T42" s="11">
        <v>58</v>
      </c>
      <c r="U42" s="11">
        <v>84</v>
      </c>
      <c r="V42" s="11">
        <v>70</v>
      </c>
      <c r="W42" s="11">
        <v>0</v>
      </c>
      <c r="X42" s="11">
        <v>31</v>
      </c>
    </row>
    <row r="43" spans="1:24" ht="14.25" customHeight="1" x14ac:dyDescent="0.25">
      <c r="A43" s="11"/>
      <c r="B43" s="44">
        <v>3</v>
      </c>
      <c r="C43" s="11" t="s">
        <v>119</v>
      </c>
      <c r="D43" s="11">
        <v>28</v>
      </c>
      <c r="E43" s="11">
        <v>20</v>
      </c>
      <c r="F43" s="11">
        <v>8</v>
      </c>
      <c r="G43" s="11" t="s">
        <v>148</v>
      </c>
      <c r="H43" s="11" t="s">
        <v>65</v>
      </c>
      <c r="I43" s="11" t="s">
        <v>66</v>
      </c>
      <c r="J43" s="11" t="s">
        <v>762</v>
      </c>
      <c r="K43" s="11"/>
      <c r="L43" s="11"/>
      <c r="M43" s="11">
        <v>3</v>
      </c>
      <c r="N43" s="11">
        <v>30</v>
      </c>
      <c r="O43" s="11">
        <v>26</v>
      </c>
      <c r="P43" s="11">
        <v>4</v>
      </c>
      <c r="Q43" s="11">
        <v>32</v>
      </c>
      <c r="R43" s="11">
        <v>40</v>
      </c>
      <c r="S43" s="11">
        <v>33</v>
      </c>
      <c r="T43" s="11">
        <v>36</v>
      </c>
      <c r="U43" s="11">
        <v>30</v>
      </c>
      <c r="V43" s="11">
        <v>32</v>
      </c>
      <c r="W43" s="11">
        <v>8</v>
      </c>
      <c r="X43" s="11">
        <v>15</v>
      </c>
    </row>
    <row r="44" spans="1:24" ht="14.25" customHeight="1" x14ac:dyDescent="0.25">
      <c r="A44" s="11"/>
      <c r="B44" s="44">
        <v>2</v>
      </c>
      <c r="C44" s="11" t="s">
        <v>119</v>
      </c>
      <c r="D44" s="11">
        <v>38</v>
      </c>
      <c r="E44" s="11">
        <v>20</v>
      </c>
      <c r="F44" s="11">
        <v>18</v>
      </c>
      <c r="G44" s="11"/>
      <c r="H44" s="11" t="s">
        <v>115</v>
      </c>
      <c r="I44" s="11" t="s">
        <v>116</v>
      </c>
      <c r="J44" s="11" t="s">
        <v>764</v>
      </c>
      <c r="K44" s="11"/>
      <c r="L44" s="11"/>
      <c r="M44" s="11">
        <v>2</v>
      </c>
      <c r="N44" s="11">
        <v>13</v>
      </c>
      <c r="O44" s="11">
        <v>13</v>
      </c>
      <c r="P44" s="11">
        <v>0</v>
      </c>
      <c r="Q44" s="11">
        <v>13</v>
      </c>
      <c r="R44" s="11">
        <v>12</v>
      </c>
      <c r="S44" s="11">
        <v>12</v>
      </c>
      <c r="T44" s="11">
        <v>12</v>
      </c>
      <c r="U44" s="11">
        <v>16</v>
      </c>
      <c r="V44" s="11">
        <v>13</v>
      </c>
      <c r="W44" s="11">
        <v>-1</v>
      </c>
      <c r="X44" s="11">
        <v>4</v>
      </c>
    </row>
    <row r="45" spans="1:24" ht="14.25" customHeight="1" x14ac:dyDescent="0.25">
      <c r="A45" s="11"/>
      <c r="B45" s="11">
        <v>1</v>
      </c>
      <c r="C45" s="11" t="s">
        <v>119</v>
      </c>
      <c r="D45" s="11">
        <v>20</v>
      </c>
      <c r="E45" s="11">
        <v>20</v>
      </c>
      <c r="F45" s="11">
        <v>0</v>
      </c>
      <c r="G45" s="11" t="s">
        <v>148</v>
      </c>
      <c r="H45" s="11" t="s">
        <v>125</v>
      </c>
      <c r="I45" s="11" t="s">
        <v>126</v>
      </c>
      <c r="J45" s="11" t="s">
        <v>764</v>
      </c>
      <c r="K45" s="11"/>
      <c r="L45" s="11"/>
      <c r="M45" s="11">
        <v>2</v>
      </c>
      <c r="N45" s="11">
        <v>12</v>
      </c>
      <c r="O45" s="11">
        <v>11</v>
      </c>
      <c r="P45" s="11">
        <v>1</v>
      </c>
      <c r="Q45" s="11">
        <v>10</v>
      </c>
      <c r="R45" s="11">
        <v>9</v>
      </c>
      <c r="S45" s="11">
        <v>10</v>
      </c>
      <c r="T45" s="11">
        <v>8</v>
      </c>
      <c r="U45" s="11">
        <v>9</v>
      </c>
      <c r="V45" s="11">
        <v>9</v>
      </c>
      <c r="W45" s="11">
        <v>0</v>
      </c>
      <c r="X45" s="11">
        <v>5</v>
      </c>
    </row>
    <row r="46" spans="1:24" ht="14.25" customHeight="1" x14ac:dyDescent="0.25">
      <c r="A46" s="11"/>
      <c r="B46" s="11">
        <v>4</v>
      </c>
      <c r="C46" s="11" t="s">
        <v>119</v>
      </c>
      <c r="D46" s="11">
        <v>40</v>
      </c>
      <c r="E46" s="11">
        <v>20</v>
      </c>
      <c r="F46" s="11">
        <v>20</v>
      </c>
      <c r="G46" s="11" t="s">
        <v>1110</v>
      </c>
      <c r="H46" s="11" t="s">
        <v>84</v>
      </c>
      <c r="I46" s="11" t="s">
        <v>52</v>
      </c>
      <c r="J46" s="11" t="s">
        <v>762</v>
      </c>
      <c r="K46" s="11"/>
      <c r="L46" s="11"/>
      <c r="M46" s="11">
        <v>4</v>
      </c>
      <c r="N46" s="11">
        <v>43</v>
      </c>
      <c r="O46" s="11">
        <v>33</v>
      </c>
      <c r="P46" s="11">
        <v>10</v>
      </c>
      <c r="Q46" s="11">
        <v>47</v>
      </c>
      <c r="R46" s="11">
        <v>55</v>
      </c>
      <c r="S46" s="11">
        <v>34</v>
      </c>
      <c r="T46" s="11">
        <v>41</v>
      </c>
      <c r="U46" s="11">
        <v>40</v>
      </c>
      <c r="V46" s="11">
        <v>41</v>
      </c>
      <c r="W46" s="11">
        <v>14</v>
      </c>
      <c r="X46" s="11">
        <v>13</v>
      </c>
    </row>
    <row r="47" spans="1:24" ht="14.25" customHeight="1" x14ac:dyDescent="0.25">
      <c r="A47" s="11"/>
      <c r="B47" s="11">
        <v>8</v>
      </c>
      <c r="C47" s="11" t="s">
        <v>119</v>
      </c>
      <c r="D47" s="11">
        <v>10</v>
      </c>
      <c r="E47" s="11">
        <v>18</v>
      </c>
      <c r="F47" s="11">
        <v>-8</v>
      </c>
      <c r="G47" s="11" t="s">
        <v>1112</v>
      </c>
      <c r="H47" s="44" t="s">
        <v>288</v>
      </c>
      <c r="I47" s="44" t="s">
        <v>104</v>
      </c>
      <c r="J47" s="11" t="s">
        <v>764</v>
      </c>
      <c r="K47" s="44"/>
      <c r="L47" s="11"/>
      <c r="M47" s="11">
        <v>8</v>
      </c>
      <c r="N47" s="11">
        <v>89</v>
      </c>
      <c r="O47" s="11">
        <v>91</v>
      </c>
      <c r="P47" s="11">
        <v>-2</v>
      </c>
      <c r="Q47" s="11">
        <v>88</v>
      </c>
      <c r="R47" s="11">
        <v>89</v>
      </c>
      <c r="S47" s="11">
        <v>85</v>
      </c>
      <c r="T47" s="11">
        <v>77</v>
      </c>
      <c r="U47" s="11">
        <v>95</v>
      </c>
      <c r="V47" s="11">
        <v>87</v>
      </c>
      <c r="W47" s="11">
        <v>2</v>
      </c>
      <c r="X47" s="11">
        <v>38</v>
      </c>
    </row>
    <row r="48" spans="1:24" ht="14.25" customHeight="1" x14ac:dyDescent="0.25">
      <c r="A48" s="11" t="s">
        <v>148</v>
      </c>
      <c r="B48" s="11">
        <v>3</v>
      </c>
      <c r="C48" s="11" t="s">
        <v>119</v>
      </c>
      <c r="D48" s="11">
        <v>25</v>
      </c>
      <c r="E48" s="11">
        <v>25</v>
      </c>
      <c r="F48" s="11">
        <v>0</v>
      </c>
      <c r="G48" s="11"/>
      <c r="H48" s="11" t="s">
        <v>174</v>
      </c>
      <c r="I48" s="11" t="s">
        <v>91</v>
      </c>
      <c r="J48" s="11" t="s">
        <v>760</v>
      </c>
      <c r="K48" s="11"/>
      <c r="L48" s="11"/>
      <c r="M48" s="11">
        <v>2</v>
      </c>
      <c r="N48" s="11">
        <v>23</v>
      </c>
      <c r="O48" s="11">
        <v>17</v>
      </c>
      <c r="P48" s="11">
        <v>6</v>
      </c>
      <c r="Q48" s="11">
        <v>23</v>
      </c>
      <c r="R48" s="11">
        <v>31</v>
      </c>
      <c r="S48" s="11">
        <v>29</v>
      </c>
      <c r="T48" s="11">
        <v>24</v>
      </c>
      <c r="U48" s="11">
        <v>18</v>
      </c>
      <c r="V48" s="11">
        <v>23</v>
      </c>
      <c r="W48" s="11">
        <v>8</v>
      </c>
      <c r="X48" s="11">
        <v>1</v>
      </c>
    </row>
    <row r="49" spans="1:24" ht="14.25" customHeight="1" x14ac:dyDescent="0.25">
      <c r="A49" s="11"/>
      <c r="B49" s="11">
        <v>2</v>
      </c>
      <c r="C49" s="11" t="s">
        <v>119</v>
      </c>
      <c r="D49" s="11">
        <v>11</v>
      </c>
      <c r="E49" s="11">
        <v>20</v>
      </c>
      <c r="F49" s="11">
        <v>-9</v>
      </c>
      <c r="G49" s="11"/>
      <c r="H49" s="11" t="s">
        <v>122</v>
      </c>
      <c r="I49" s="11" t="s">
        <v>123</v>
      </c>
      <c r="J49" s="11" t="s">
        <v>769</v>
      </c>
      <c r="K49" s="11"/>
      <c r="L49" s="11"/>
      <c r="M49" s="11">
        <v>3</v>
      </c>
      <c r="N49" s="11">
        <v>26</v>
      </c>
      <c r="O49" s="11">
        <v>35</v>
      </c>
      <c r="P49" s="11">
        <v>-9</v>
      </c>
      <c r="Q49" s="11">
        <v>25</v>
      </c>
      <c r="R49" s="11">
        <v>28</v>
      </c>
      <c r="S49" s="11">
        <v>13</v>
      </c>
      <c r="T49" s="11">
        <v>26</v>
      </c>
      <c r="U49" s="11">
        <v>27</v>
      </c>
      <c r="V49" s="11">
        <v>25</v>
      </c>
      <c r="W49" s="11">
        <v>3</v>
      </c>
      <c r="X49" s="11">
        <v>2</v>
      </c>
    </row>
    <row r="50" spans="1:24" ht="14.25" customHeight="1" x14ac:dyDescent="0.25">
      <c r="A50" s="11"/>
      <c r="B50" s="11">
        <v>6</v>
      </c>
      <c r="C50" s="11" t="s">
        <v>119</v>
      </c>
      <c r="D50" s="11">
        <v>19</v>
      </c>
      <c r="E50" s="11">
        <v>18</v>
      </c>
      <c r="F50" s="11">
        <v>1</v>
      </c>
      <c r="G50" s="11" t="s">
        <v>148</v>
      </c>
      <c r="H50" s="44" t="s">
        <v>133</v>
      </c>
      <c r="I50" s="44" t="s">
        <v>85</v>
      </c>
      <c r="J50" s="11" t="s">
        <v>764</v>
      </c>
      <c r="K50" s="44"/>
      <c r="L50" s="11"/>
      <c r="M50" s="11">
        <v>5</v>
      </c>
      <c r="N50" s="11">
        <v>49</v>
      </c>
      <c r="O50" s="11">
        <v>84</v>
      </c>
      <c r="P50" s="11">
        <v>-35</v>
      </c>
      <c r="Q50" s="11">
        <v>71</v>
      </c>
      <c r="R50" s="11">
        <v>98</v>
      </c>
      <c r="S50" s="11">
        <v>72</v>
      </c>
      <c r="T50" s="11">
        <v>60</v>
      </c>
      <c r="U50" s="11">
        <v>47</v>
      </c>
      <c r="V50" s="11">
        <v>68</v>
      </c>
      <c r="W50" s="11">
        <v>30</v>
      </c>
      <c r="X50" s="11">
        <v>29</v>
      </c>
    </row>
    <row r="51" spans="1:24" ht="14.25" customHeight="1" x14ac:dyDescent="0.25">
      <c r="A51" s="11"/>
      <c r="B51" s="11">
        <v>7</v>
      </c>
      <c r="C51" s="11" t="s">
        <v>119</v>
      </c>
      <c r="D51" s="11">
        <v>19</v>
      </c>
      <c r="E51" s="11">
        <v>20</v>
      </c>
      <c r="F51" s="11">
        <v>-1</v>
      </c>
      <c r="G51" s="11" t="s">
        <v>1110</v>
      </c>
      <c r="H51" s="11" t="s">
        <v>349</v>
      </c>
      <c r="I51" s="11" t="s">
        <v>91</v>
      </c>
      <c r="J51" s="11" t="s">
        <v>769</v>
      </c>
      <c r="K51" s="11"/>
      <c r="L51" s="11"/>
      <c r="M51" s="11">
        <v>7</v>
      </c>
      <c r="N51" s="11">
        <v>77</v>
      </c>
      <c r="O51" s="11">
        <v>73</v>
      </c>
      <c r="P51" s="11">
        <v>4</v>
      </c>
      <c r="Q51" s="11">
        <v>73</v>
      </c>
      <c r="R51" s="11">
        <v>95</v>
      </c>
      <c r="S51" s="11">
        <v>79</v>
      </c>
      <c r="T51" s="11">
        <v>93</v>
      </c>
      <c r="U51" s="11">
        <v>53</v>
      </c>
      <c r="V51" s="11">
        <v>77</v>
      </c>
      <c r="W51" s="11">
        <v>18</v>
      </c>
      <c r="X51" s="11">
        <v>7</v>
      </c>
    </row>
    <row r="52" spans="1:24" ht="14.25" customHeight="1" x14ac:dyDescent="0.25">
      <c r="A52" s="11"/>
      <c r="B52" s="11">
        <v>4</v>
      </c>
      <c r="C52" s="11" t="s">
        <v>119</v>
      </c>
      <c r="D52" s="11">
        <v>21</v>
      </c>
      <c r="E52" s="11">
        <v>20</v>
      </c>
      <c r="F52" s="11">
        <v>1</v>
      </c>
      <c r="G52" s="11"/>
      <c r="H52" s="11" t="s">
        <v>417</v>
      </c>
      <c r="I52" s="11" t="s">
        <v>129</v>
      </c>
      <c r="J52" s="11" t="s">
        <v>762</v>
      </c>
      <c r="K52" s="11"/>
      <c r="L52" s="11"/>
      <c r="M52" s="11">
        <v>4</v>
      </c>
      <c r="N52" s="11">
        <v>40</v>
      </c>
      <c r="O52" s="11">
        <v>28</v>
      </c>
      <c r="P52" s="11">
        <v>12</v>
      </c>
      <c r="Q52" s="11">
        <v>38</v>
      </c>
      <c r="R52" s="11">
        <v>53</v>
      </c>
      <c r="S52" s="11">
        <v>37</v>
      </c>
      <c r="T52" s="11">
        <v>49</v>
      </c>
      <c r="U52" s="11">
        <v>44</v>
      </c>
      <c r="V52" s="11">
        <v>41</v>
      </c>
      <c r="W52" s="11">
        <v>12</v>
      </c>
      <c r="X52" s="11">
        <v>18</v>
      </c>
    </row>
    <row r="53" spans="1:24" ht="14.25" customHeight="1" x14ac:dyDescent="0.25">
      <c r="A53" s="11" t="s">
        <v>148</v>
      </c>
      <c r="B53" s="11">
        <v>5</v>
      </c>
      <c r="C53" s="11" t="s">
        <v>119</v>
      </c>
      <c r="D53" s="11">
        <v>17</v>
      </c>
      <c r="E53" s="11">
        <v>20</v>
      </c>
      <c r="F53" s="11">
        <v>-3</v>
      </c>
      <c r="G53" s="11" t="s">
        <v>148</v>
      </c>
      <c r="H53" s="11" t="s">
        <v>562</v>
      </c>
      <c r="I53" s="11" t="s">
        <v>123</v>
      </c>
      <c r="J53" s="11" t="s">
        <v>762</v>
      </c>
      <c r="K53" s="11"/>
      <c r="L53" s="11"/>
      <c r="M53" s="11">
        <v>4</v>
      </c>
      <c r="N53" s="11">
        <v>47</v>
      </c>
      <c r="O53" s="11">
        <v>42</v>
      </c>
      <c r="P53" s="11">
        <v>5</v>
      </c>
      <c r="Q53" s="11">
        <v>46</v>
      </c>
      <c r="R53" s="11">
        <v>65</v>
      </c>
      <c r="S53" s="11">
        <v>49</v>
      </c>
      <c r="T53" s="11">
        <v>55</v>
      </c>
      <c r="U53" s="11">
        <v>49</v>
      </c>
      <c r="V53" s="11">
        <v>50</v>
      </c>
      <c r="W53" s="11">
        <v>15</v>
      </c>
      <c r="X53" s="11">
        <v>19</v>
      </c>
    </row>
    <row r="54" spans="1:24" ht="14.25" customHeight="1" x14ac:dyDescent="0.25">
      <c r="A54" s="11"/>
      <c r="B54" s="11">
        <v>5</v>
      </c>
      <c r="C54" s="11" t="s">
        <v>119</v>
      </c>
      <c r="D54" s="11">
        <v>20</v>
      </c>
      <c r="E54" s="11">
        <v>15</v>
      </c>
      <c r="F54" s="11">
        <v>5</v>
      </c>
      <c r="G54" s="11" t="s">
        <v>1112</v>
      </c>
      <c r="H54" s="11" t="s">
        <v>139</v>
      </c>
      <c r="I54" s="11" t="s">
        <v>78</v>
      </c>
      <c r="J54" s="11" t="s">
        <v>764</v>
      </c>
      <c r="K54" s="11"/>
      <c r="L54" s="11"/>
      <c r="M54" s="11">
        <v>5</v>
      </c>
      <c r="N54" s="11">
        <v>53</v>
      </c>
      <c r="O54" s="11">
        <v>60</v>
      </c>
      <c r="P54" s="11">
        <v>-7</v>
      </c>
      <c r="Q54" s="11">
        <v>61</v>
      </c>
      <c r="R54" s="11">
        <v>62</v>
      </c>
      <c r="S54" s="11">
        <v>60</v>
      </c>
      <c r="T54" s="11">
        <v>56</v>
      </c>
      <c r="U54" s="11">
        <v>60</v>
      </c>
      <c r="V54" s="11">
        <v>58</v>
      </c>
      <c r="W54" s="11">
        <v>4</v>
      </c>
      <c r="X54" s="11">
        <v>18</v>
      </c>
    </row>
    <row r="55" spans="1:24" ht="14.25" customHeight="1" x14ac:dyDescent="0.25">
      <c r="A55" s="11"/>
      <c r="B55" s="11">
        <v>13</v>
      </c>
      <c r="C55" s="11" t="s">
        <v>119</v>
      </c>
      <c r="D55" s="11">
        <v>30</v>
      </c>
      <c r="E55" s="11">
        <v>18</v>
      </c>
      <c r="F55" s="11">
        <v>12</v>
      </c>
      <c r="G55" s="11"/>
      <c r="H55" s="11" t="s">
        <v>329</v>
      </c>
      <c r="I55" s="11" t="s">
        <v>163</v>
      </c>
      <c r="J55" s="11" t="s">
        <v>762</v>
      </c>
      <c r="K55" s="11"/>
      <c r="L55" s="11"/>
      <c r="M55" s="11">
        <v>11</v>
      </c>
      <c r="N55" s="11">
        <v>129</v>
      </c>
      <c r="O55" s="11">
        <v>133</v>
      </c>
      <c r="P55" s="11">
        <v>-4</v>
      </c>
      <c r="Q55" s="11">
        <v>150</v>
      </c>
      <c r="R55" s="11">
        <v>167</v>
      </c>
      <c r="S55" s="11">
        <v>149</v>
      </c>
      <c r="T55" s="11">
        <v>153</v>
      </c>
      <c r="U55" s="11">
        <v>149</v>
      </c>
      <c r="V55" s="11">
        <v>147</v>
      </c>
      <c r="W55" s="11">
        <v>20</v>
      </c>
      <c r="X55" s="11">
        <v>48</v>
      </c>
    </row>
    <row r="56" spans="1:24" ht="14.25" customHeight="1" x14ac:dyDescent="0.25">
      <c r="A56" s="11" t="s">
        <v>148</v>
      </c>
      <c r="B56" s="11">
        <v>11</v>
      </c>
      <c r="C56" s="11" t="s">
        <v>119</v>
      </c>
      <c r="D56" s="11">
        <v>14</v>
      </c>
      <c r="E56" s="11">
        <v>15</v>
      </c>
      <c r="F56" s="11">
        <v>-1</v>
      </c>
      <c r="G56" s="11" t="s">
        <v>1112</v>
      </c>
      <c r="H56" s="11" t="s">
        <v>324</v>
      </c>
      <c r="I56" s="11" t="s">
        <v>66</v>
      </c>
      <c r="J56" s="11" t="s">
        <v>769</v>
      </c>
      <c r="K56" s="11"/>
      <c r="L56" s="11"/>
      <c r="M56" s="11">
        <v>10</v>
      </c>
      <c r="N56" s="11">
        <v>119</v>
      </c>
      <c r="O56" s="11">
        <v>142</v>
      </c>
      <c r="P56" s="11">
        <v>-23</v>
      </c>
      <c r="Q56" s="11">
        <v>126</v>
      </c>
      <c r="R56" s="11">
        <v>142</v>
      </c>
      <c r="S56" s="11">
        <v>107</v>
      </c>
      <c r="T56" s="11">
        <v>133</v>
      </c>
      <c r="U56" s="11">
        <v>128</v>
      </c>
      <c r="V56" s="11">
        <v>128</v>
      </c>
      <c r="W56" s="11">
        <v>14</v>
      </c>
      <c r="X56" s="11" t="s">
        <v>886</v>
      </c>
    </row>
    <row r="57" spans="1:24" ht="14.25" customHeight="1" x14ac:dyDescent="0.25">
      <c r="A57" s="11"/>
      <c r="B57" s="11">
        <v>21</v>
      </c>
      <c r="C57" s="11" t="s">
        <v>119</v>
      </c>
      <c r="D57" s="11">
        <v>11</v>
      </c>
      <c r="E57" s="11">
        <v>15</v>
      </c>
      <c r="F57" s="11">
        <v>-4</v>
      </c>
      <c r="G57" s="11" t="s">
        <v>1112</v>
      </c>
      <c r="H57" s="44" t="s">
        <v>810</v>
      </c>
      <c r="I57" s="44" t="s">
        <v>94</v>
      </c>
      <c r="J57" s="11" t="s">
        <v>764</v>
      </c>
      <c r="K57" s="44"/>
      <c r="L57" s="11"/>
      <c r="M57" s="11">
        <v>21</v>
      </c>
      <c r="N57" s="11">
        <v>250</v>
      </c>
      <c r="O57" s="11">
        <v>143</v>
      </c>
      <c r="P57" s="11">
        <v>107</v>
      </c>
      <c r="Q57" s="11">
        <v>189</v>
      </c>
      <c r="R57" s="11">
        <v>308</v>
      </c>
      <c r="S57" s="11">
        <v>227</v>
      </c>
      <c r="T57" s="11">
        <v>229</v>
      </c>
      <c r="U57" s="11">
        <v>290</v>
      </c>
      <c r="V57" s="11">
        <v>233</v>
      </c>
      <c r="W57" s="11">
        <v>75</v>
      </c>
      <c r="X57" s="11" t="s">
        <v>886</v>
      </c>
    </row>
    <row r="58" spans="1:24" ht="14.25" customHeight="1" x14ac:dyDescent="0.25">
      <c r="A58" s="11"/>
      <c r="B58" s="11">
        <v>12</v>
      </c>
      <c r="C58" s="11" t="s">
        <v>119</v>
      </c>
      <c r="D58" s="11">
        <v>12</v>
      </c>
      <c r="E58" s="11">
        <v>15</v>
      </c>
      <c r="F58" s="11">
        <v>-3</v>
      </c>
      <c r="G58" s="11"/>
      <c r="H58" s="11" t="s">
        <v>411</v>
      </c>
      <c r="I58" s="11" t="s">
        <v>116</v>
      </c>
      <c r="J58" s="11" t="s">
        <v>760</v>
      </c>
      <c r="K58" s="11"/>
      <c r="L58" s="11"/>
      <c r="M58" s="11">
        <v>11</v>
      </c>
      <c r="N58" s="11">
        <v>125</v>
      </c>
      <c r="O58" s="11">
        <v>135</v>
      </c>
      <c r="P58" s="11">
        <v>-10</v>
      </c>
      <c r="Q58" s="11">
        <v>127</v>
      </c>
      <c r="R58" s="11">
        <v>141</v>
      </c>
      <c r="S58" s="11">
        <v>142</v>
      </c>
      <c r="T58" s="11">
        <v>131</v>
      </c>
      <c r="U58" s="11">
        <v>132</v>
      </c>
      <c r="V58" s="11">
        <v>133</v>
      </c>
      <c r="W58" s="11">
        <v>8</v>
      </c>
      <c r="X58" s="11">
        <v>18</v>
      </c>
    </row>
    <row r="59" spans="1:24" ht="14.25" customHeight="1" x14ac:dyDescent="0.25">
      <c r="A59" s="11"/>
      <c r="B59" s="11">
        <v>21</v>
      </c>
      <c r="C59" s="11" t="s">
        <v>119</v>
      </c>
      <c r="D59" s="11">
        <v>9</v>
      </c>
      <c r="E59" s="11">
        <v>15</v>
      </c>
      <c r="F59" s="11">
        <v>-6</v>
      </c>
      <c r="G59" s="11" t="s">
        <v>1110</v>
      </c>
      <c r="H59" s="11" t="s">
        <v>813</v>
      </c>
      <c r="I59" s="11" t="s">
        <v>60</v>
      </c>
      <c r="J59" s="11" t="s">
        <v>760</v>
      </c>
      <c r="K59" s="11"/>
      <c r="L59" s="11"/>
      <c r="M59" s="11">
        <v>19</v>
      </c>
      <c r="N59" s="11">
        <v>224</v>
      </c>
      <c r="O59" s="11" t="s">
        <v>36</v>
      </c>
      <c r="P59" s="11" t="e">
        <v>#VALUE!</v>
      </c>
      <c r="Q59" s="11">
        <v>241</v>
      </c>
      <c r="R59" s="11">
        <v>284</v>
      </c>
      <c r="S59" s="11">
        <v>248</v>
      </c>
      <c r="T59" s="11">
        <v>230</v>
      </c>
      <c r="U59" s="11">
        <v>228</v>
      </c>
      <c r="V59" s="11">
        <v>242</v>
      </c>
      <c r="W59" s="11">
        <v>42</v>
      </c>
      <c r="X59" s="11" t="s">
        <v>886</v>
      </c>
    </row>
    <row r="60" spans="1:24" ht="14.25" customHeight="1" x14ac:dyDescent="0.25">
      <c r="A60" s="11"/>
      <c r="B60" s="11" t="e">
        <v>#N/A</v>
      </c>
      <c r="C60" s="11" t="s">
        <v>119</v>
      </c>
      <c r="D60" s="11">
        <v>14</v>
      </c>
      <c r="E60" s="11">
        <v>18</v>
      </c>
      <c r="F60" s="11">
        <v>-4</v>
      </c>
      <c r="G60" s="11" t="s">
        <v>148</v>
      </c>
      <c r="H60" s="44" t="s">
        <v>465</v>
      </c>
      <c r="I60" s="44" t="e">
        <v>#N/A</v>
      </c>
      <c r="J60" s="11" t="e">
        <v>#N/A</v>
      </c>
      <c r="K60" s="44"/>
      <c r="L60" s="11"/>
      <c r="M60" s="11">
        <v>16</v>
      </c>
      <c r="N60" s="11" t="e">
        <v>#N/A</v>
      </c>
      <c r="O60" s="11" t="e">
        <v>#N/A</v>
      </c>
      <c r="P60" s="11" t="e">
        <v>#N/A</v>
      </c>
      <c r="Q60" s="11" t="e">
        <v>#N/A</v>
      </c>
      <c r="R60" s="11" t="e">
        <v>#N/A</v>
      </c>
      <c r="S60" s="11" t="e">
        <v>#N/A</v>
      </c>
      <c r="T60" s="11" t="e">
        <v>#N/A</v>
      </c>
      <c r="U60" s="11" t="e">
        <v>#N/A</v>
      </c>
      <c r="V60" s="11" t="e">
        <v>#N/A</v>
      </c>
      <c r="W60" s="11" t="e">
        <v>#N/A</v>
      </c>
      <c r="X60" s="11" t="e">
        <v>#N/A</v>
      </c>
    </row>
    <row r="61" spans="1:24" ht="14.25" customHeight="1" x14ac:dyDescent="0.25">
      <c r="A61" s="11"/>
      <c r="B61" s="11">
        <v>3</v>
      </c>
      <c r="C61" s="11" t="s">
        <v>119</v>
      </c>
      <c r="D61" s="11">
        <v>19</v>
      </c>
      <c r="E61" s="11">
        <v>15</v>
      </c>
      <c r="F61" s="11">
        <v>4</v>
      </c>
      <c r="G61" s="11"/>
      <c r="H61" s="11" t="s">
        <v>150</v>
      </c>
      <c r="I61" s="11" t="s">
        <v>44</v>
      </c>
      <c r="J61" s="11" t="s">
        <v>764</v>
      </c>
      <c r="K61" s="11"/>
      <c r="L61" s="11"/>
      <c r="M61" s="11">
        <v>3</v>
      </c>
      <c r="N61" s="11">
        <v>31</v>
      </c>
      <c r="O61" s="11">
        <v>32</v>
      </c>
      <c r="P61" s="11">
        <v>-1</v>
      </c>
      <c r="Q61" s="11">
        <v>26</v>
      </c>
      <c r="R61" s="11">
        <v>33</v>
      </c>
      <c r="S61" s="11">
        <v>30</v>
      </c>
      <c r="T61" s="11">
        <v>29</v>
      </c>
      <c r="U61" s="11">
        <v>33</v>
      </c>
      <c r="V61" s="11">
        <v>30</v>
      </c>
      <c r="W61" s="11">
        <v>3</v>
      </c>
      <c r="X61" s="11">
        <v>12</v>
      </c>
    </row>
    <row r="62" spans="1:24" ht="14.25" customHeight="1" x14ac:dyDescent="0.25">
      <c r="A62" s="11"/>
      <c r="B62" s="11">
        <v>4</v>
      </c>
      <c r="C62" s="11" t="s">
        <v>119</v>
      </c>
      <c r="D62" s="11">
        <v>9</v>
      </c>
      <c r="E62" s="11">
        <v>15</v>
      </c>
      <c r="F62" s="11">
        <v>-6</v>
      </c>
      <c r="G62" s="11"/>
      <c r="H62" s="11" t="s">
        <v>274</v>
      </c>
      <c r="I62" s="11" t="s">
        <v>55</v>
      </c>
      <c r="J62" s="11" t="s">
        <v>769</v>
      </c>
      <c r="K62" s="11"/>
      <c r="L62" s="11"/>
      <c r="M62" s="11">
        <v>4</v>
      </c>
      <c r="N62" s="11">
        <v>38</v>
      </c>
      <c r="O62" s="11">
        <v>38</v>
      </c>
      <c r="P62" s="11">
        <v>0</v>
      </c>
      <c r="Q62" s="11">
        <v>35</v>
      </c>
      <c r="R62" s="11">
        <v>49</v>
      </c>
      <c r="S62" s="11">
        <v>24</v>
      </c>
      <c r="T62" s="11">
        <v>40</v>
      </c>
      <c r="U62" s="11">
        <v>38</v>
      </c>
      <c r="V62" s="11">
        <v>37</v>
      </c>
      <c r="W62" s="11">
        <v>12</v>
      </c>
      <c r="X62" s="11">
        <v>3</v>
      </c>
    </row>
    <row r="63" spans="1:24" ht="14.25" customHeight="1" x14ac:dyDescent="0.25">
      <c r="A63" s="11"/>
      <c r="B63" s="11">
        <v>4</v>
      </c>
      <c r="C63" s="11" t="s">
        <v>119</v>
      </c>
      <c r="D63" s="11">
        <v>13</v>
      </c>
      <c r="E63" s="11">
        <v>15</v>
      </c>
      <c r="F63" s="11">
        <v>-2</v>
      </c>
      <c r="G63" s="11" t="s">
        <v>1110</v>
      </c>
      <c r="H63" s="44" t="s">
        <v>183</v>
      </c>
      <c r="I63" s="44" t="s">
        <v>184</v>
      </c>
      <c r="J63" s="11" t="s">
        <v>764</v>
      </c>
      <c r="K63" s="44"/>
      <c r="L63" s="11"/>
      <c r="M63" s="11">
        <v>4</v>
      </c>
      <c r="N63" s="11">
        <v>42</v>
      </c>
      <c r="O63" s="11">
        <v>45</v>
      </c>
      <c r="P63" s="11">
        <v>-3</v>
      </c>
      <c r="Q63" s="11">
        <v>36</v>
      </c>
      <c r="R63" s="11">
        <v>56</v>
      </c>
      <c r="S63" s="11">
        <v>46</v>
      </c>
      <c r="T63" s="11">
        <v>44</v>
      </c>
      <c r="U63" s="11">
        <v>28</v>
      </c>
      <c r="V63" s="11">
        <v>42</v>
      </c>
      <c r="W63" s="11">
        <v>14</v>
      </c>
      <c r="X63" s="11">
        <v>17</v>
      </c>
    </row>
    <row r="64" spans="1:24" ht="14.25" customHeight="1" x14ac:dyDescent="0.25">
      <c r="A64" s="11"/>
      <c r="B64" s="11">
        <v>6</v>
      </c>
      <c r="C64" s="11" t="s">
        <v>119</v>
      </c>
      <c r="D64" s="11">
        <v>20</v>
      </c>
      <c r="E64" s="11">
        <v>15</v>
      </c>
      <c r="F64" s="11">
        <v>5</v>
      </c>
      <c r="G64" s="11" t="s">
        <v>148</v>
      </c>
      <c r="H64" s="11" t="s">
        <v>478</v>
      </c>
      <c r="I64" s="11" t="s">
        <v>229</v>
      </c>
      <c r="J64" s="11" t="s">
        <v>764</v>
      </c>
      <c r="K64" s="11"/>
      <c r="L64" s="11"/>
      <c r="M64" s="11">
        <v>7</v>
      </c>
      <c r="N64" s="11">
        <v>72</v>
      </c>
      <c r="O64" s="11">
        <v>67</v>
      </c>
      <c r="P64" s="11">
        <v>5</v>
      </c>
      <c r="Q64" s="11">
        <v>60</v>
      </c>
      <c r="R64" s="11">
        <v>72</v>
      </c>
      <c r="S64" s="11">
        <v>59</v>
      </c>
      <c r="T64" s="11">
        <v>54</v>
      </c>
      <c r="U64" s="11">
        <v>66</v>
      </c>
      <c r="V64" s="11">
        <v>64</v>
      </c>
      <c r="W64" s="11">
        <v>8</v>
      </c>
      <c r="X64" s="11">
        <v>25</v>
      </c>
    </row>
    <row r="65" spans="1:36" ht="14.25" customHeight="1" x14ac:dyDescent="0.25">
      <c r="A65" s="11"/>
      <c r="B65" s="11">
        <v>6</v>
      </c>
      <c r="C65" s="11" t="s">
        <v>119</v>
      </c>
      <c r="D65" s="11">
        <v>18</v>
      </c>
      <c r="E65" s="11">
        <v>13</v>
      </c>
      <c r="F65" s="11">
        <v>5</v>
      </c>
      <c r="G65" s="11"/>
      <c r="H65" s="11" t="s">
        <v>147</v>
      </c>
      <c r="I65" s="11" t="s">
        <v>91</v>
      </c>
      <c r="J65" s="11" t="s">
        <v>764</v>
      </c>
      <c r="K65" s="11"/>
      <c r="L65" s="11"/>
      <c r="M65" s="11">
        <v>5</v>
      </c>
      <c r="N65" s="11">
        <v>55</v>
      </c>
      <c r="O65" s="11">
        <v>63</v>
      </c>
      <c r="P65" s="11">
        <v>-8</v>
      </c>
      <c r="Q65" s="11">
        <v>55</v>
      </c>
      <c r="R65" s="11">
        <v>66</v>
      </c>
      <c r="S65" s="11">
        <v>65</v>
      </c>
      <c r="T65" s="11">
        <v>57</v>
      </c>
      <c r="U65" s="11">
        <v>73</v>
      </c>
      <c r="V65" s="11">
        <v>62</v>
      </c>
      <c r="W65" s="11">
        <v>4</v>
      </c>
      <c r="X65" s="11">
        <v>27</v>
      </c>
    </row>
    <row r="66" spans="1:36" ht="14.25" customHeight="1" x14ac:dyDescent="0.25">
      <c r="A66" s="11"/>
      <c r="B66" s="11">
        <v>12</v>
      </c>
      <c r="C66" s="11" t="s">
        <v>119</v>
      </c>
      <c r="D66" s="11">
        <v>5</v>
      </c>
      <c r="E66" s="11">
        <v>15</v>
      </c>
      <c r="F66" s="11">
        <v>-10</v>
      </c>
      <c r="G66" s="11"/>
      <c r="H66" s="11" t="s">
        <v>250</v>
      </c>
      <c r="I66" s="11" t="s">
        <v>39</v>
      </c>
      <c r="J66" s="11" t="s">
        <v>769</v>
      </c>
      <c r="K66" s="11"/>
      <c r="L66" s="11"/>
      <c r="M66" s="11">
        <v>11</v>
      </c>
      <c r="N66" s="11">
        <v>121</v>
      </c>
      <c r="O66" s="11">
        <v>148</v>
      </c>
      <c r="P66" s="11">
        <v>-27</v>
      </c>
      <c r="Q66" s="11">
        <v>141</v>
      </c>
      <c r="R66" s="11">
        <v>166</v>
      </c>
      <c r="S66" s="11">
        <v>114</v>
      </c>
      <c r="T66" s="11">
        <v>136</v>
      </c>
      <c r="U66" s="11">
        <v>129</v>
      </c>
      <c r="V66" s="11">
        <v>136</v>
      </c>
      <c r="W66" s="11">
        <v>30</v>
      </c>
      <c r="X66" s="11">
        <v>15</v>
      </c>
    </row>
    <row r="67" spans="1:36" ht="14.25" customHeight="1" x14ac:dyDescent="0.25">
      <c r="A67" s="11"/>
      <c r="B67" s="11">
        <v>12</v>
      </c>
      <c r="C67" s="11" t="s">
        <v>119</v>
      </c>
      <c r="D67" s="11">
        <v>24</v>
      </c>
      <c r="E67" s="11">
        <v>18</v>
      </c>
      <c r="F67" s="11">
        <v>6</v>
      </c>
      <c r="G67" s="11"/>
      <c r="H67" s="11" t="s">
        <v>804</v>
      </c>
      <c r="I67" s="11" t="s">
        <v>116</v>
      </c>
      <c r="J67" s="11" t="s">
        <v>762</v>
      </c>
      <c r="K67" s="11"/>
      <c r="L67" s="11"/>
      <c r="M67" s="11">
        <v>6</v>
      </c>
      <c r="N67" s="11">
        <v>63</v>
      </c>
      <c r="O67" s="11">
        <v>81</v>
      </c>
      <c r="P67" s="11">
        <v>-18</v>
      </c>
      <c r="Q67" s="11">
        <v>121</v>
      </c>
      <c r="R67" s="11">
        <v>262</v>
      </c>
      <c r="S67" s="11">
        <v>115</v>
      </c>
      <c r="T67" s="11">
        <v>110</v>
      </c>
      <c r="U67" s="11">
        <v>65</v>
      </c>
      <c r="V67" s="11">
        <v>116</v>
      </c>
      <c r="W67" s="11">
        <v>146</v>
      </c>
      <c r="X67" s="11">
        <v>22</v>
      </c>
    </row>
    <row r="68" spans="1:36" ht="14.25" customHeight="1" x14ac:dyDescent="0.25">
      <c r="A68" s="11"/>
      <c r="B68" s="11">
        <v>6</v>
      </c>
      <c r="C68" s="11" t="s">
        <v>119</v>
      </c>
      <c r="D68" s="11">
        <v>13</v>
      </c>
      <c r="E68" s="11">
        <v>18</v>
      </c>
      <c r="F68" s="11">
        <v>-5</v>
      </c>
      <c r="G68" s="11"/>
      <c r="H68" s="11" t="s">
        <v>178</v>
      </c>
      <c r="I68" s="11" t="s">
        <v>35</v>
      </c>
      <c r="J68" s="11" t="s">
        <v>762</v>
      </c>
      <c r="K68" s="11"/>
      <c r="L68" s="11"/>
      <c r="M68" s="11">
        <v>5</v>
      </c>
      <c r="N68" s="11">
        <v>52</v>
      </c>
      <c r="O68" s="11">
        <v>57</v>
      </c>
      <c r="P68" s="11">
        <v>-5</v>
      </c>
      <c r="Q68" s="11">
        <v>59</v>
      </c>
      <c r="R68" s="11">
        <v>74</v>
      </c>
      <c r="S68" s="11">
        <v>68</v>
      </c>
      <c r="T68" s="11">
        <v>70</v>
      </c>
      <c r="U68" s="11">
        <v>67</v>
      </c>
      <c r="V68" s="11">
        <v>63</v>
      </c>
      <c r="W68" s="11">
        <v>11</v>
      </c>
      <c r="X68" s="11">
        <v>21</v>
      </c>
    </row>
    <row r="69" spans="1:36" ht="14.25" customHeight="1" x14ac:dyDescent="0.25">
      <c r="A69" s="11"/>
      <c r="B69" s="11">
        <v>8</v>
      </c>
      <c r="C69" s="11" t="s">
        <v>119</v>
      </c>
      <c r="D69" s="11">
        <v>2</v>
      </c>
      <c r="E69" s="11">
        <v>8</v>
      </c>
      <c r="F69" s="11">
        <v>-6</v>
      </c>
      <c r="G69" s="11"/>
      <c r="H69" s="11" t="s">
        <v>648</v>
      </c>
      <c r="I69" s="11" t="s">
        <v>168</v>
      </c>
      <c r="J69" s="11" t="s">
        <v>769</v>
      </c>
      <c r="K69" s="11"/>
      <c r="L69" s="11"/>
      <c r="M69" s="11">
        <v>8</v>
      </c>
      <c r="N69" s="11">
        <v>87</v>
      </c>
      <c r="O69" s="11">
        <v>97</v>
      </c>
      <c r="P69" s="11">
        <v>-10</v>
      </c>
      <c r="Q69" s="11">
        <v>78</v>
      </c>
      <c r="R69" s="11">
        <v>103</v>
      </c>
      <c r="S69" s="11">
        <v>75</v>
      </c>
      <c r="T69" s="11">
        <v>95</v>
      </c>
      <c r="U69" s="11">
        <v>74</v>
      </c>
      <c r="V69" s="11">
        <v>87</v>
      </c>
      <c r="W69" s="11">
        <v>16</v>
      </c>
      <c r="X69" s="11">
        <v>8</v>
      </c>
      <c r="AJ69" s="68" t="s">
        <v>1059</v>
      </c>
    </row>
    <row r="70" spans="1:36" ht="14.25" customHeight="1" x14ac:dyDescent="0.25">
      <c r="A70" s="11"/>
      <c r="B70" s="11">
        <v>6</v>
      </c>
      <c r="C70" s="11" t="s">
        <v>119</v>
      </c>
      <c r="D70" s="11">
        <v>5</v>
      </c>
      <c r="E70" s="11">
        <v>13</v>
      </c>
      <c r="F70" s="11">
        <v>-8</v>
      </c>
      <c r="G70" s="11"/>
      <c r="H70" s="44" t="s">
        <v>118</v>
      </c>
      <c r="I70" s="44" t="s">
        <v>69</v>
      </c>
      <c r="J70" s="11" t="s">
        <v>764</v>
      </c>
      <c r="K70" s="44"/>
      <c r="L70" s="11"/>
      <c r="M70" s="11">
        <v>6</v>
      </c>
      <c r="N70" s="11">
        <v>62</v>
      </c>
      <c r="O70" s="11">
        <v>62</v>
      </c>
      <c r="P70" s="11">
        <v>0</v>
      </c>
      <c r="Q70" s="11">
        <v>67</v>
      </c>
      <c r="R70" s="11">
        <v>73</v>
      </c>
      <c r="S70" s="11">
        <v>54</v>
      </c>
      <c r="T70" s="11">
        <v>52</v>
      </c>
      <c r="U70" s="11">
        <v>75</v>
      </c>
      <c r="V70" s="11">
        <v>63</v>
      </c>
      <c r="W70" s="11">
        <v>10</v>
      </c>
      <c r="X70" s="11">
        <v>21</v>
      </c>
    </row>
    <row r="71" spans="1:36" ht="14.25" customHeight="1" x14ac:dyDescent="0.25">
      <c r="A71" s="11"/>
      <c r="B71" s="11">
        <v>7</v>
      </c>
      <c r="C71" s="11" t="s">
        <v>119</v>
      </c>
      <c r="D71" s="11">
        <v>10</v>
      </c>
      <c r="E71" s="11">
        <v>16</v>
      </c>
      <c r="F71" s="11">
        <v>-6</v>
      </c>
      <c r="G71" s="11"/>
      <c r="H71" s="11" t="s">
        <v>338</v>
      </c>
      <c r="I71" s="11" t="s">
        <v>72</v>
      </c>
      <c r="J71" s="11" t="s">
        <v>762</v>
      </c>
      <c r="K71" s="11"/>
      <c r="L71" s="11"/>
      <c r="M71" s="11">
        <v>6</v>
      </c>
      <c r="N71" s="11">
        <v>65</v>
      </c>
      <c r="O71" s="11">
        <v>56</v>
      </c>
      <c r="P71" s="11">
        <v>9</v>
      </c>
      <c r="Q71" s="11">
        <v>70</v>
      </c>
      <c r="R71" s="11">
        <v>76</v>
      </c>
      <c r="S71" s="11">
        <v>70</v>
      </c>
      <c r="T71" s="11">
        <v>74</v>
      </c>
      <c r="U71" s="11">
        <v>77</v>
      </c>
      <c r="V71" s="11">
        <v>69</v>
      </c>
      <c r="W71" s="11">
        <v>7</v>
      </c>
      <c r="X71" s="11">
        <v>25</v>
      </c>
    </row>
    <row r="72" spans="1:36" ht="14.25" customHeight="1" x14ac:dyDescent="0.25">
      <c r="A72" s="11"/>
      <c r="B72" s="11">
        <v>8</v>
      </c>
      <c r="C72" s="11" t="s">
        <v>119</v>
      </c>
      <c r="D72" s="11">
        <v>8</v>
      </c>
      <c r="E72" s="11">
        <v>18</v>
      </c>
      <c r="F72" s="11">
        <v>-10</v>
      </c>
      <c r="G72" s="11"/>
      <c r="H72" s="11" t="s">
        <v>355</v>
      </c>
      <c r="I72" s="11" t="s">
        <v>123</v>
      </c>
      <c r="J72" s="11" t="s">
        <v>760</v>
      </c>
      <c r="K72" s="11"/>
      <c r="L72" s="11"/>
      <c r="M72" s="11">
        <v>8</v>
      </c>
      <c r="N72" s="11">
        <v>91</v>
      </c>
      <c r="O72" s="11">
        <v>82</v>
      </c>
      <c r="P72" s="11">
        <v>9</v>
      </c>
      <c r="Q72" s="11">
        <v>77</v>
      </c>
      <c r="R72" s="11">
        <v>101</v>
      </c>
      <c r="S72" s="11">
        <v>105</v>
      </c>
      <c r="T72" s="11">
        <v>104</v>
      </c>
      <c r="U72" s="11">
        <v>81</v>
      </c>
      <c r="V72" s="11">
        <v>91</v>
      </c>
      <c r="W72" s="11">
        <v>10</v>
      </c>
      <c r="X72" s="11">
        <v>8</v>
      </c>
    </row>
    <row r="73" spans="1:36" ht="14.25" customHeight="1" x14ac:dyDescent="0.25">
      <c r="A73" s="11"/>
      <c r="B73" s="11">
        <v>4</v>
      </c>
      <c r="C73" s="11" t="s">
        <v>119</v>
      </c>
      <c r="D73" s="11">
        <v>7</v>
      </c>
      <c r="E73" s="11">
        <v>15</v>
      </c>
      <c r="F73" s="11">
        <v>-8</v>
      </c>
      <c r="G73" s="11"/>
      <c r="H73" s="11" t="s">
        <v>211</v>
      </c>
      <c r="I73" s="11" t="s">
        <v>44</v>
      </c>
      <c r="J73" s="11" t="s">
        <v>760</v>
      </c>
      <c r="K73" s="11"/>
      <c r="L73" s="11"/>
      <c r="M73" s="11">
        <v>4</v>
      </c>
      <c r="N73" s="11">
        <v>41</v>
      </c>
      <c r="O73" s="11">
        <v>25</v>
      </c>
      <c r="P73" s="11">
        <v>16</v>
      </c>
      <c r="Q73" s="11">
        <v>33</v>
      </c>
      <c r="R73" s="11">
        <v>45</v>
      </c>
      <c r="S73" s="11">
        <v>45</v>
      </c>
      <c r="T73" s="11">
        <v>32</v>
      </c>
      <c r="U73" s="11">
        <v>35</v>
      </c>
      <c r="V73" s="11">
        <v>36</v>
      </c>
      <c r="W73" s="11">
        <v>9</v>
      </c>
      <c r="X73" s="11">
        <v>5</v>
      </c>
    </row>
    <row r="74" spans="1:36" ht="14.25" customHeight="1" x14ac:dyDescent="0.25">
      <c r="A74" s="11"/>
      <c r="B74" s="11">
        <v>5</v>
      </c>
      <c r="C74" s="11" t="s">
        <v>119</v>
      </c>
      <c r="D74" s="11">
        <v>29</v>
      </c>
      <c r="E74" s="11">
        <v>10</v>
      </c>
      <c r="F74" s="11">
        <v>19</v>
      </c>
      <c r="G74" s="11"/>
      <c r="H74" s="11" t="s">
        <v>176</v>
      </c>
      <c r="I74" s="11" t="s">
        <v>155</v>
      </c>
      <c r="J74" s="11" t="s">
        <v>764</v>
      </c>
      <c r="K74" s="11"/>
      <c r="L74" s="11"/>
      <c r="M74" s="11">
        <v>5</v>
      </c>
      <c r="N74" s="11">
        <v>48</v>
      </c>
      <c r="O74" s="11">
        <v>52</v>
      </c>
      <c r="P74" s="11">
        <v>-4</v>
      </c>
      <c r="Q74" s="11">
        <v>54</v>
      </c>
      <c r="R74" s="11">
        <v>54</v>
      </c>
      <c r="S74" s="11">
        <v>55</v>
      </c>
      <c r="T74" s="11">
        <v>48</v>
      </c>
      <c r="U74" s="11">
        <v>46</v>
      </c>
      <c r="V74" s="11">
        <v>51</v>
      </c>
      <c r="W74" s="11">
        <v>3</v>
      </c>
      <c r="X74" s="11">
        <v>28</v>
      </c>
    </row>
    <row r="75" spans="1:36" ht="14.25" customHeight="1" x14ac:dyDescent="0.25">
      <c r="A75" s="11" t="s">
        <v>148</v>
      </c>
      <c r="B75" s="11">
        <v>6</v>
      </c>
      <c r="C75" s="11" t="s">
        <v>119</v>
      </c>
      <c r="D75" s="11">
        <v>15</v>
      </c>
      <c r="E75" s="11">
        <v>14</v>
      </c>
      <c r="F75" s="11">
        <v>1</v>
      </c>
      <c r="G75" s="11"/>
      <c r="H75" s="11" t="s">
        <v>172</v>
      </c>
      <c r="I75" s="11" t="s">
        <v>155</v>
      </c>
      <c r="J75" s="11" t="s">
        <v>762</v>
      </c>
      <c r="K75" s="11"/>
      <c r="L75" s="11"/>
      <c r="M75" s="11">
        <v>6</v>
      </c>
      <c r="N75" s="11">
        <v>68</v>
      </c>
      <c r="O75" s="11">
        <v>49</v>
      </c>
      <c r="P75" s="11">
        <v>19</v>
      </c>
      <c r="Q75" s="11">
        <v>53</v>
      </c>
      <c r="R75" s="11">
        <v>80</v>
      </c>
      <c r="S75" s="11">
        <v>56</v>
      </c>
      <c r="T75" s="11">
        <v>59</v>
      </c>
      <c r="U75" s="11">
        <v>57</v>
      </c>
      <c r="V75" s="11">
        <v>60</v>
      </c>
      <c r="W75" s="11">
        <v>20</v>
      </c>
      <c r="X75" s="11">
        <v>26</v>
      </c>
    </row>
    <row r="76" spans="1:36" ht="14.25" customHeight="1" x14ac:dyDescent="0.25">
      <c r="A76" s="11"/>
      <c r="B76" s="11">
        <v>9</v>
      </c>
      <c r="C76" s="11" t="s">
        <v>119</v>
      </c>
      <c r="D76" s="11">
        <v>4</v>
      </c>
      <c r="E76" s="11">
        <v>10</v>
      </c>
      <c r="F76" s="11">
        <v>-6</v>
      </c>
      <c r="G76" s="11"/>
      <c r="H76" s="11" t="s">
        <v>254</v>
      </c>
      <c r="I76" s="11" t="s">
        <v>69</v>
      </c>
      <c r="J76" s="11" t="s">
        <v>760</v>
      </c>
      <c r="K76" s="11"/>
      <c r="L76" s="11"/>
      <c r="M76" s="11">
        <v>10</v>
      </c>
      <c r="N76" s="11">
        <v>117</v>
      </c>
      <c r="O76" s="11">
        <v>77</v>
      </c>
      <c r="P76" s="11">
        <v>40</v>
      </c>
      <c r="Q76" s="11">
        <v>99</v>
      </c>
      <c r="R76" s="11">
        <v>120</v>
      </c>
      <c r="S76" s="11">
        <v>97</v>
      </c>
      <c r="T76" s="11">
        <v>87</v>
      </c>
      <c r="U76" s="11">
        <v>117</v>
      </c>
      <c r="V76" s="11">
        <v>102</v>
      </c>
      <c r="W76" s="11">
        <v>18</v>
      </c>
      <c r="X76" s="11">
        <v>11</v>
      </c>
    </row>
    <row r="77" spans="1:36" ht="14.25" customHeight="1" x14ac:dyDescent="0.25">
      <c r="A77" s="11"/>
      <c r="B77" s="11">
        <v>21</v>
      </c>
      <c r="C77" s="11" t="s">
        <v>119</v>
      </c>
      <c r="D77" s="11">
        <v>9</v>
      </c>
      <c r="E77" s="11">
        <v>14</v>
      </c>
      <c r="F77" s="11">
        <v>-5</v>
      </c>
      <c r="G77" s="11" t="s">
        <v>148</v>
      </c>
      <c r="H77" s="11" t="s">
        <v>896</v>
      </c>
      <c r="I77" s="11" t="s">
        <v>94</v>
      </c>
      <c r="J77" s="11" t="s">
        <v>762</v>
      </c>
      <c r="K77" s="11"/>
      <c r="L77" s="11"/>
      <c r="M77" s="11">
        <v>22</v>
      </c>
      <c r="N77" s="11">
        <v>260</v>
      </c>
      <c r="O77" s="11">
        <v>191</v>
      </c>
      <c r="P77" s="11">
        <v>69</v>
      </c>
      <c r="Q77" s="11" t="s">
        <v>36</v>
      </c>
      <c r="R77" s="11">
        <v>288</v>
      </c>
      <c r="S77" s="11">
        <v>221</v>
      </c>
      <c r="T77" s="11">
        <v>242</v>
      </c>
      <c r="U77" s="11">
        <v>247</v>
      </c>
      <c r="V77" s="11">
        <v>241</v>
      </c>
      <c r="W77" s="11">
        <v>47</v>
      </c>
      <c r="X77" s="11" t="s">
        <v>886</v>
      </c>
    </row>
    <row r="78" spans="1:36" ht="14.25" customHeight="1" x14ac:dyDescent="0.25">
      <c r="A78" s="11"/>
      <c r="B78" s="11">
        <v>11</v>
      </c>
      <c r="C78" s="11" t="s">
        <v>119</v>
      </c>
      <c r="D78" s="11">
        <v>10</v>
      </c>
      <c r="E78" s="11">
        <v>12</v>
      </c>
      <c r="F78" s="11">
        <v>-2</v>
      </c>
      <c r="G78" s="11"/>
      <c r="H78" s="11" t="s">
        <v>222</v>
      </c>
      <c r="I78" s="11" t="s">
        <v>104</v>
      </c>
      <c r="J78" s="11" t="s">
        <v>762</v>
      </c>
      <c r="K78" s="11"/>
      <c r="L78" s="11"/>
      <c r="M78" s="11">
        <v>10</v>
      </c>
      <c r="N78" s="11">
        <v>111</v>
      </c>
      <c r="O78" s="11">
        <v>109</v>
      </c>
      <c r="P78" s="11">
        <v>2</v>
      </c>
      <c r="Q78" s="11">
        <v>107</v>
      </c>
      <c r="R78" s="11">
        <v>118</v>
      </c>
      <c r="S78" s="11">
        <v>126</v>
      </c>
      <c r="T78" s="11">
        <v>121</v>
      </c>
      <c r="U78" s="11">
        <v>130</v>
      </c>
      <c r="V78" s="11">
        <v>117</v>
      </c>
      <c r="W78" s="11">
        <v>1</v>
      </c>
      <c r="X78" s="11">
        <v>37</v>
      </c>
    </row>
    <row r="79" spans="1:36" ht="14.25" customHeight="1" x14ac:dyDescent="0.25">
      <c r="A79" s="11"/>
      <c r="B79" s="11">
        <v>12</v>
      </c>
      <c r="C79" s="11" t="s">
        <v>119</v>
      </c>
      <c r="D79" s="11">
        <v>5</v>
      </c>
      <c r="E79" s="11">
        <v>5</v>
      </c>
      <c r="F79" s="11">
        <v>0</v>
      </c>
      <c r="G79" s="11"/>
      <c r="H79" s="44" t="s">
        <v>664</v>
      </c>
      <c r="I79" s="44" t="s">
        <v>116</v>
      </c>
      <c r="J79" s="11" t="s">
        <v>764</v>
      </c>
      <c r="K79" s="44"/>
      <c r="L79" s="11"/>
      <c r="M79" s="11">
        <v>13</v>
      </c>
      <c r="N79" s="11">
        <v>148</v>
      </c>
      <c r="O79" s="11">
        <v>137</v>
      </c>
      <c r="P79" s="11">
        <v>11</v>
      </c>
      <c r="Q79" s="11">
        <v>178</v>
      </c>
      <c r="R79" s="11">
        <v>124</v>
      </c>
      <c r="S79" s="11">
        <v>131</v>
      </c>
      <c r="T79" s="11">
        <v>108</v>
      </c>
      <c r="U79" s="11">
        <v>172</v>
      </c>
      <c r="V79" s="11">
        <v>142</v>
      </c>
      <c r="W79" s="11">
        <v>-18</v>
      </c>
      <c r="X79" s="11">
        <v>57</v>
      </c>
    </row>
    <row r="80" spans="1:36" ht="14.25" customHeight="1" x14ac:dyDescent="0.25">
      <c r="A80" s="11"/>
      <c r="B80" s="11" t="e">
        <v>#N/A</v>
      </c>
      <c r="C80" s="11" t="s">
        <v>119</v>
      </c>
      <c r="D80" s="11">
        <v>9</v>
      </c>
      <c r="E80" s="11">
        <v>14</v>
      </c>
      <c r="F80" s="11">
        <v>-5</v>
      </c>
      <c r="G80" s="11" t="s">
        <v>148</v>
      </c>
      <c r="H80" s="11" t="s">
        <v>850</v>
      </c>
      <c r="I80" s="11" t="e">
        <v>#N/A</v>
      </c>
      <c r="J80" s="11" t="e">
        <v>#N/A</v>
      </c>
      <c r="K80" s="11"/>
      <c r="L80" s="11"/>
      <c r="M80" s="11">
        <v>16</v>
      </c>
      <c r="N80" s="11" t="e">
        <v>#N/A</v>
      </c>
      <c r="O80" s="11" t="e">
        <v>#N/A</v>
      </c>
      <c r="P80" s="11" t="e">
        <v>#N/A</v>
      </c>
      <c r="Q80" s="11" t="e">
        <v>#N/A</v>
      </c>
      <c r="R80" s="11" t="e">
        <v>#N/A</v>
      </c>
      <c r="S80" s="11" t="e">
        <v>#N/A</v>
      </c>
      <c r="T80" s="11" t="e">
        <v>#N/A</v>
      </c>
      <c r="U80" s="11" t="e">
        <v>#N/A</v>
      </c>
      <c r="V80" s="11" t="e">
        <v>#N/A</v>
      </c>
      <c r="W80" s="11" t="e">
        <v>#N/A</v>
      </c>
      <c r="X80" s="11" t="e">
        <v>#N/A</v>
      </c>
    </row>
    <row r="81" spans="1:24" ht="14.25" customHeight="1" x14ac:dyDescent="0.25">
      <c r="A81" s="11"/>
      <c r="B81" s="11">
        <v>9</v>
      </c>
      <c r="C81" s="11" t="s">
        <v>119</v>
      </c>
      <c r="D81" s="11">
        <v>8</v>
      </c>
      <c r="E81" s="11">
        <v>5</v>
      </c>
      <c r="F81" s="11">
        <v>3</v>
      </c>
      <c r="G81" s="11"/>
      <c r="H81" s="11" t="s">
        <v>264</v>
      </c>
      <c r="I81" s="11" t="s">
        <v>163</v>
      </c>
      <c r="J81" s="11" t="s">
        <v>764</v>
      </c>
      <c r="K81" s="11"/>
      <c r="L81" s="11"/>
      <c r="M81" s="11">
        <v>8</v>
      </c>
      <c r="N81" s="11">
        <v>90</v>
      </c>
      <c r="O81" s="11">
        <v>107</v>
      </c>
      <c r="P81" s="11">
        <v>-17</v>
      </c>
      <c r="Q81" s="11">
        <v>102</v>
      </c>
      <c r="R81" s="11">
        <v>127</v>
      </c>
      <c r="S81" s="11">
        <v>118</v>
      </c>
      <c r="T81" s="11">
        <v>100</v>
      </c>
      <c r="U81" s="11">
        <v>90</v>
      </c>
      <c r="V81" s="11">
        <v>104</v>
      </c>
      <c r="W81" s="11">
        <v>23</v>
      </c>
      <c r="X81" s="11">
        <v>42</v>
      </c>
    </row>
    <row r="82" spans="1:24" ht="14.25" customHeight="1" x14ac:dyDescent="0.25">
      <c r="A82" s="11" t="s">
        <v>148</v>
      </c>
      <c r="B82" s="11">
        <v>12</v>
      </c>
      <c r="C82" s="11" t="s">
        <v>119</v>
      </c>
      <c r="D82" s="11">
        <v>8</v>
      </c>
      <c r="E82" s="11">
        <v>10</v>
      </c>
      <c r="F82" s="11">
        <v>-2</v>
      </c>
      <c r="G82" s="11"/>
      <c r="H82" s="11" t="s">
        <v>360</v>
      </c>
      <c r="I82" s="11" t="s">
        <v>214</v>
      </c>
      <c r="J82" s="11" t="s">
        <v>760</v>
      </c>
      <c r="K82" s="11"/>
      <c r="L82" s="11"/>
      <c r="M82" s="11">
        <v>12</v>
      </c>
      <c r="N82" s="11">
        <v>142</v>
      </c>
      <c r="O82" s="11">
        <v>123</v>
      </c>
      <c r="P82" s="11">
        <v>19</v>
      </c>
      <c r="Q82" s="11">
        <v>125</v>
      </c>
      <c r="R82" s="11">
        <v>160</v>
      </c>
      <c r="S82" s="11">
        <v>147</v>
      </c>
      <c r="T82" s="11">
        <v>127</v>
      </c>
      <c r="U82" s="11">
        <v>140</v>
      </c>
      <c r="V82" s="11">
        <v>137</v>
      </c>
      <c r="W82" s="11">
        <v>23</v>
      </c>
      <c r="X82" s="11">
        <v>15</v>
      </c>
    </row>
    <row r="83" spans="1:24" ht="14.25" customHeight="1" x14ac:dyDescent="0.25">
      <c r="A83" s="11"/>
      <c r="B83" s="11">
        <v>12</v>
      </c>
      <c r="C83" s="11" t="s">
        <v>119</v>
      </c>
      <c r="D83" s="11">
        <v>9</v>
      </c>
      <c r="E83" s="11">
        <v>12</v>
      </c>
      <c r="F83" s="11">
        <v>-3</v>
      </c>
      <c r="G83" s="11"/>
      <c r="H83" s="11" t="s">
        <v>634</v>
      </c>
      <c r="I83" s="11" t="s">
        <v>88</v>
      </c>
      <c r="J83" s="11" t="s">
        <v>762</v>
      </c>
      <c r="K83" s="11"/>
      <c r="L83" s="11"/>
      <c r="M83" s="11">
        <v>10</v>
      </c>
      <c r="N83" s="11">
        <v>108</v>
      </c>
      <c r="O83" s="11">
        <v>138</v>
      </c>
      <c r="P83" s="11">
        <v>-30</v>
      </c>
      <c r="Q83" s="11">
        <v>162</v>
      </c>
      <c r="R83" s="11">
        <v>150</v>
      </c>
      <c r="S83" s="11">
        <v>148</v>
      </c>
      <c r="T83" s="11">
        <v>137</v>
      </c>
      <c r="U83" s="11">
        <v>118</v>
      </c>
      <c r="V83" s="11">
        <v>137</v>
      </c>
      <c r="W83" s="11">
        <v>13</v>
      </c>
      <c r="X83" s="11">
        <v>39</v>
      </c>
    </row>
    <row r="84" spans="1:24" ht="14.25" customHeight="1" x14ac:dyDescent="0.25">
      <c r="A84" s="11"/>
      <c r="B84" s="11">
        <v>11</v>
      </c>
      <c r="C84" s="11" t="s">
        <v>119</v>
      </c>
      <c r="D84" s="11">
        <v>4</v>
      </c>
      <c r="E84" s="11">
        <v>5</v>
      </c>
      <c r="F84" s="11">
        <v>-1</v>
      </c>
      <c r="G84" s="11" t="s">
        <v>1110</v>
      </c>
      <c r="H84" s="44" t="s">
        <v>296</v>
      </c>
      <c r="I84" s="44" t="s">
        <v>214</v>
      </c>
      <c r="J84" s="11" t="s">
        <v>764</v>
      </c>
      <c r="K84" s="44"/>
      <c r="L84" s="11"/>
      <c r="M84" s="11">
        <v>9</v>
      </c>
      <c r="N84" s="11">
        <v>99</v>
      </c>
      <c r="O84" s="11">
        <v>134</v>
      </c>
      <c r="P84" s="11">
        <v>-35</v>
      </c>
      <c r="Q84" s="11">
        <v>128</v>
      </c>
      <c r="R84" s="11">
        <v>145</v>
      </c>
      <c r="S84" s="11">
        <v>116</v>
      </c>
      <c r="T84" s="11">
        <v>105</v>
      </c>
      <c r="U84" s="11">
        <v>134</v>
      </c>
      <c r="V84" s="11">
        <v>123</v>
      </c>
      <c r="W84" s="11">
        <v>22</v>
      </c>
      <c r="X84" s="11">
        <v>43</v>
      </c>
    </row>
    <row r="85" spans="1:24" ht="14.25" customHeight="1" x14ac:dyDescent="0.25">
      <c r="A85" s="11"/>
      <c r="B85" s="11">
        <v>12</v>
      </c>
      <c r="C85" s="11" t="s">
        <v>119</v>
      </c>
      <c r="D85" s="11">
        <v>3</v>
      </c>
      <c r="E85" s="11">
        <v>3</v>
      </c>
      <c r="F85" s="11">
        <v>0</v>
      </c>
      <c r="G85" s="11" t="s">
        <v>148</v>
      </c>
      <c r="H85" s="11" t="s">
        <v>340</v>
      </c>
      <c r="I85" s="11" t="s">
        <v>69</v>
      </c>
      <c r="J85" s="11" t="s">
        <v>769</v>
      </c>
      <c r="K85" s="11"/>
      <c r="L85" s="11"/>
      <c r="M85" s="11">
        <v>12</v>
      </c>
      <c r="N85" s="11">
        <v>137</v>
      </c>
      <c r="O85" s="11">
        <v>139</v>
      </c>
      <c r="P85" s="11">
        <v>-2</v>
      </c>
      <c r="Q85" s="11">
        <v>137</v>
      </c>
      <c r="R85" s="11">
        <v>163</v>
      </c>
      <c r="S85" s="11">
        <v>100</v>
      </c>
      <c r="T85" s="11">
        <v>130</v>
      </c>
      <c r="U85" s="11">
        <v>159</v>
      </c>
      <c r="V85" s="11">
        <v>137</v>
      </c>
      <c r="W85" s="11">
        <v>26</v>
      </c>
      <c r="X85" s="11">
        <v>14</v>
      </c>
    </row>
    <row r="86" spans="1:24" ht="14.25" customHeight="1" x14ac:dyDescent="0.25">
      <c r="A86" s="11"/>
      <c r="B86" s="11">
        <v>5</v>
      </c>
      <c r="C86" s="11" t="s">
        <v>119</v>
      </c>
      <c r="D86" s="11">
        <v>5</v>
      </c>
      <c r="E86" s="11">
        <v>4</v>
      </c>
      <c r="F86" s="11">
        <v>1</v>
      </c>
      <c r="G86" s="11" t="s">
        <v>148</v>
      </c>
      <c r="H86" s="44" t="s">
        <v>344</v>
      </c>
      <c r="I86" s="44" t="s">
        <v>85</v>
      </c>
      <c r="J86" s="11" t="s">
        <v>764</v>
      </c>
      <c r="K86" s="44"/>
      <c r="L86" s="11"/>
      <c r="M86" s="11">
        <v>5</v>
      </c>
      <c r="N86" s="11">
        <v>58</v>
      </c>
      <c r="O86" s="11">
        <v>50</v>
      </c>
      <c r="P86" s="11">
        <v>8</v>
      </c>
      <c r="Q86" s="11">
        <v>50</v>
      </c>
      <c r="R86" s="11">
        <v>57</v>
      </c>
      <c r="S86" s="11">
        <v>48</v>
      </c>
      <c r="T86" s="11">
        <v>45</v>
      </c>
      <c r="U86" s="11">
        <v>68</v>
      </c>
      <c r="V86" s="11">
        <v>53</v>
      </c>
      <c r="W86" s="11">
        <v>4</v>
      </c>
      <c r="X86" s="11">
        <v>22</v>
      </c>
    </row>
    <row r="87" spans="1:24" ht="14.25" customHeight="1" x14ac:dyDescent="0.25">
      <c r="A87" s="11"/>
      <c r="B87" s="11">
        <v>13</v>
      </c>
      <c r="C87" s="11" t="s">
        <v>119</v>
      </c>
      <c r="D87" s="11">
        <v>4</v>
      </c>
      <c r="E87" s="11">
        <v>3</v>
      </c>
      <c r="F87" s="11">
        <v>1</v>
      </c>
      <c r="G87" s="11"/>
      <c r="H87" s="11" t="s">
        <v>409</v>
      </c>
      <c r="I87" s="11" t="s">
        <v>88</v>
      </c>
      <c r="J87" s="11" t="s">
        <v>764</v>
      </c>
      <c r="K87" s="11"/>
      <c r="L87" s="11"/>
      <c r="M87" s="11">
        <v>14</v>
      </c>
      <c r="N87" s="11">
        <v>164</v>
      </c>
      <c r="O87" s="11">
        <v>150</v>
      </c>
      <c r="P87" s="11">
        <v>14</v>
      </c>
      <c r="Q87" s="11">
        <v>118</v>
      </c>
      <c r="R87" s="11">
        <v>136</v>
      </c>
      <c r="S87" s="11">
        <v>134</v>
      </c>
      <c r="T87" s="11">
        <v>122</v>
      </c>
      <c r="U87" s="11">
        <v>222</v>
      </c>
      <c r="V87" s="11">
        <v>149</v>
      </c>
      <c r="W87" s="11">
        <v>-13</v>
      </c>
      <c r="X87" s="11">
        <v>58</v>
      </c>
    </row>
    <row r="88" spans="1:24" ht="14.25" customHeight="1" x14ac:dyDescent="0.25">
      <c r="A88" s="11" t="s">
        <v>148</v>
      </c>
      <c r="B88" s="11" t="e">
        <v>#N/A</v>
      </c>
      <c r="C88" s="11" t="s">
        <v>119</v>
      </c>
      <c r="D88" s="11">
        <v>6</v>
      </c>
      <c r="E88" s="11">
        <v>3</v>
      </c>
      <c r="F88" s="11">
        <v>3</v>
      </c>
      <c r="G88" s="11" t="s">
        <v>1112</v>
      </c>
      <c r="H88" s="11" t="s">
        <v>897</v>
      </c>
      <c r="I88" s="11" t="e">
        <v>#N/A</v>
      </c>
      <c r="J88" s="11" t="e">
        <v>#N/A</v>
      </c>
      <c r="K88" s="44"/>
      <c r="L88" s="11"/>
      <c r="M88" s="11">
        <v>16</v>
      </c>
      <c r="N88" s="11" t="e">
        <v>#N/A</v>
      </c>
      <c r="O88" s="11" t="e">
        <v>#N/A</v>
      </c>
      <c r="P88" s="11" t="e">
        <v>#N/A</v>
      </c>
      <c r="Q88" s="11" t="e">
        <v>#N/A</v>
      </c>
      <c r="R88" s="11" t="e">
        <v>#N/A</v>
      </c>
      <c r="S88" s="11" t="e">
        <v>#N/A</v>
      </c>
      <c r="T88" s="11" t="e">
        <v>#N/A</v>
      </c>
      <c r="U88" s="11" t="e">
        <v>#N/A</v>
      </c>
      <c r="V88" s="11" t="e">
        <v>#N/A</v>
      </c>
      <c r="W88" s="11" t="e">
        <v>#N/A</v>
      </c>
      <c r="X88" s="11" t="s">
        <v>886</v>
      </c>
    </row>
    <row r="89" spans="1:24" ht="14.25" customHeight="1" x14ac:dyDescent="0.25">
      <c r="A89" s="11"/>
      <c r="B89" s="11">
        <v>6</v>
      </c>
      <c r="C89" s="11" t="s">
        <v>119</v>
      </c>
      <c r="D89" s="11">
        <v>7</v>
      </c>
      <c r="E89" s="11">
        <v>5</v>
      </c>
      <c r="F89" s="11">
        <v>2</v>
      </c>
      <c r="G89" s="11"/>
      <c r="H89" s="11" t="s">
        <v>252</v>
      </c>
      <c r="I89" s="11" t="s">
        <v>229</v>
      </c>
      <c r="J89" s="11" t="s">
        <v>762</v>
      </c>
      <c r="K89" s="11"/>
      <c r="L89" s="11"/>
      <c r="M89" s="11">
        <v>6</v>
      </c>
      <c r="N89" s="11">
        <v>69</v>
      </c>
      <c r="O89" s="11">
        <v>59</v>
      </c>
      <c r="P89" s="11">
        <v>10</v>
      </c>
      <c r="Q89" s="11">
        <v>69</v>
      </c>
      <c r="R89" s="11">
        <v>79</v>
      </c>
      <c r="S89" s="11">
        <v>58</v>
      </c>
      <c r="T89" s="11">
        <v>69</v>
      </c>
      <c r="U89" s="11">
        <v>78</v>
      </c>
      <c r="V89" s="11">
        <v>68</v>
      </c>
      <c r="W89" s="11">
        <v>11</v>
      </c>
      <c r="X89" s="11">
        <v>24</v>
      </c>
    </row>
    <row r="90" spans="1:24" ht="14.25" customHeight="1" x14ac:dyDescent="0.25">
      <c r="A90" s="11"/>
      <c r="B90" s="11">
        <v>8</v>
      </c>
      <c r="C90" s="11" t="s">
        <v>119</v>
      </c>
      <c r="D90" s="11">
        <v>5</v>
      </c>
      <c r="E90" s="11">
        <v>5</v>
      </c>
      <c r="F90" s="11">
        <v>0</v>
      </c>
      <c r="G90" s="57" t="s">
        <v>1124</v>
      </c>
      <c r="H90" s="11" t="s">
        <v>231</v>
      </c>
      <c r="I90" s="11" t="s">
        <v>233</v>
      </c>
      <c r="J90" s="11" t="s">
        <v>762</v>
      </c>
      <c r="K90" s="11"/>
      <c r="L90" s="11"/>
      <c r="M90" s="11">
        <v>8</v>
      </c>
      <c r="N90" s="11">
        <v>86</v>
      </c>
      <c r="O90" s="11">
        <v>88</v>
      </c>
      <c r="P90" s="11">
        <v>-2</v>
      </c>
      <c r="Q90" s="11">
        <v>85</v>
      </c>
      <c r="R90" s="11">
        <v>96</v>
      </c>
      <c r="S90" s="11">
        <v>84</v>
      </c>
      <c r="T90" s="11">
        <v>86</v>
      </c>
      <c r="U90" s="11">
        <v>107</v>
      </c>
      <c r="V90" s="11">
        <v>90</v>
      </c>
      <c r="W90" s="11">
        <v>6</v>
      </c>
      <c r="X90" s="11">
        <v>35</v>
      </c>
    </row>
    <row r="91" spans="1:24" ht="14.25" customHeight="1" x14ac:dyDescent="0.25">
      <c r="A91" s="11"/>
      <c r="B91" s="11">
        <v>8</v>
      </c>
      <c r="C91" s="11" t="s">
        <v>119</v>
      </c>
      <c r="D91" s="11">
        <v>6</v>
      </c>
      <c r="E91" s="11">
        <v>1</v>
      </c>
      <c r="F91" s="11">
        <v>5</v>
      </c>
      <c r="G91" s="11"/>
      <c r="H91" s="11" t="s">
        <v>555</v>
      </c>
      <c r="I91" s="11" t="s">
        <v>187</v>
      </c>
      <c r="J91" s="11" t="s">
        <v>769</v>
      </c>
      <c r="K91" s="11"/>
      <c r="L91" s="11"/>
      <c r="M91" s="11">
        <v>8</v>
      </c>
      <c r="N91" s="11">
        <v>92</v>
      </c>
      <c r="O91" s="11">
        <v>74</v>
      </c>
      <c r="P91" s="11">
        <v>18</v>
      </c>
      <c r="Q91" s="11">
        <v>72</v>
      </c>
      <c r="R91" s="11">
        <v>108</v>
      </c>
      <c r="S91" s="11">
        <v>76</v>
      </c>
      <c r="T91" s="11">
        <v>101</v>
      </c>
      <c r="U91" s="11">
        <v>85</v>
      </c>
      <c r="V91" s="11">
        <v>86</v>
      </c>
      <c r="W91" s="11">
        <v>22</v>
      </c>
      <c r="X91" s="11">
        <v>10</v>
      </c>
    </row>
    <row r="92" spans="1:24" ht="14.25" customHeight="1" x14ac:dyDescent="0.25">
      <c r="A92" s="11"/>
      <c r="B92" s="11">
        <v>3</v>
      </c>
      <c r="C92" s="11" t="s">
        <v>119</v>
      </c>
      <c r="D92" s="11">
        <v>6</v>
      </c>
      <c r="E92" s="11">
        <v>3</v>
      </c>
      <c r="F92" s="11">
        <v>3</v>
      </c>
      <c r="G92" s="11"/>
      <c r="H92" s="11" t="s">
        <v>51</v>
      </c>
      <c r="I92" s="11" t="s">
        <v>52</v>
      </c>
      <c r="J92" s="11" t="s">
        <v>764</v>
      </c>
      <c r="K92" s="11"/>
      <c r="L92" s="11"/>
      <c r="M92" s="11">
        <v>3</v>
      </c>
      <c r="N92" s="11">
        <v>29</v>
      </c>
      <c r="O92" s="11">
        <v>40</v>
      </c>
      <c r="P92" s="11">
        <v>-11</v>
      </c>
      <c r="Q92" s="11">
        <v>37</v>
      </c>
      <c r="R92" s="11">
        <v>32</v>
      </c>
      <c r="S92" s="11">
        <v>31</v>
      </c>
      <c r="T92" s="11">
        <v>28</v>
      </c>
      <c r="U92" s="11">
        <v>39</v>
      </c>
      <c r="V92" s="11">
        <v>33</v>
      </c>
      <c r="W92" s="11">
        <v>-1</v>
      </c>
      <c r="X92" s="11">
        <v>13</v>
      </c>
    </row>
    <row r="93" spans="1:24" ht="14.25" customHeight="1" x14ac:dyDescent="0.25">
      <c r="A93" s="11"/>
      <c r="B93" s="11">
        <v>12</v>
      </c>
      <c r="C93" s="11" t="s">
        <v>119</v>
      </c>
      <c r="D93" s="11">
        <v>7</v>
      </c>
      <c r="E93" s="11">
        <v>5</v>
      </c>
      <c r="F93" s="11">
        <v>2</v>
      </c>
      <c r="G93" s="11" t="s">
        <v>148</v>
      </c>
      <c r="H93" s="60" t="s">
        <v>413</v>
      </c>
      <c r="I93" s="60" t="s">
        <v>55</v>
      </c>
      <c r="J93" s="11" t="s">
        <v>762</v>
      </c>
      <c r="K93" s="60"/>
      <c r="L93" s="11"/>
      <c r="M93" s="11">
        <v>7</v>
      </c>
      <c r="N93" s="11">
        <v>78</v>
      </c>
      <c r="O93" s="11">
        <v>125</v>
      </c>
      <c r="P93" s="11">
        <v>-47</v>
      </c>
      <c r="Q93" s="11">
        <v>168</v>
      </c>
      <c r="R93" s="11">
        <v>177</v>
      </c>
      <c r="S93" s="11">
        <v>125</v>
      </c>
      <c r="T93" s="11">
        <v>102</v>
      </c>
      <c r="U93" s="11">
        <v>103</v>
      </c>
      <c r="V93" s="11">
        <v>125</v>
      </c>
      <c r="W93" s="11">
        <v>52</v>
      </c>
      <c r="X93" s="11">
        <v>36</v>
      </c>
    </row>
    <row r="94" spans="1:24" ht="14.25" customHeight="1" x14ac:dyDescent="0.25">
      <c r="A94" s="11"/>
      <c r="B94" s="11">
        <v>3</v>
      </c>
      <c r="C94" s="11" t="s">
        <v>119</v>
      </c>
      <c r="D94" s="11">
        <v>2</v>
      </c>
      <c r="E94" s="11">
        <v>3</v>
      </c>
      <c r="F94" s="11">
        <v>-1</v>
      </c>
      <c r="G94" s="11" t="s">
        <v>148</v>
      </c>
      <c r="H94" s="44" t="s">
        <v>165</v>
      </c>
      <c r="I94" s="44" t="s">
        <v>88</v>
      </c>
      <c r="J94" s="11" t="s">
        <v>764</v>
      </c>
      <c r="K94" s="44"/>
      <c r="L94" s="11"/>
      <c r="M94" s="11">
        <v>3</v>
      </c>
      <c r="N94" s="11">
        <v>24</v>
      </c>
      <c r="O94" s="11">
        <v>29</v>
      </c>
      <c r="P94" s="11">
        <v>-5</v>
      </c>
      <c r="Q94" s="11">
        <v>30</v>
      </c>
      <c r="R94" s="11">
        <v>24</v>
      </c>
      <c r="S94" s="11">
        <v>25</v>
      </c>
      <c r="T94" s="11">
        <v>23</v>
      </c>
      <c r="U94" s="11">
        <v>23</v>
      </c>
      <c r="V94" s="11">
        <v>25</v>
      </c>
      <c r="W94" s="11">
        <v>-1</v>
      </c>
      <c r="X94" s="11">
        <v>10</v>
      </c>
    </row>
    <row r="95" spans="1:24" ht="14.25" customHeight="1" x14ac:dyDescent="0.25">
      <c r="A95" s="11"/>
      <c r="B95" s="11">
        <v>9</v>
      </c>
      <c r="C95" s="11" t="s">
        <v>119</v>
      </c>
      <c r="D95" s="11">
        <v>2</v>
      </c>
      <c r="E95" s="11">
        <v>5</v>
      </c>
      <c r="F95" s="11">
        <v>-3</v>
      </c>
      <c r="G95" s="11" t="s">
        <v>148</v>
      </c>
      <c r="H95" s="11" t="s">
        <v>308</v>
      </c>
      <c r="I95" s="11" t="s">
        <v>55</v>
      </c>
      <c r="J95" s="11" t="s">
        <v>760</v>
      </c>
      <c r="K95" s="11"/>
      <c r="L95" s="11"/>
      <c r="M95" s="11">
        <v>10</v>
      </c>
      <c r="N95" s="11">
        <v>112</v>
      </c>
      <c r="O95" s="11">
        <v>89</v>
      </c>
      <c r="P95" s="11">
        <v>23</v>
      </c>
      <c r="Q95" s="11">
        <v>79</v>
      </c>
      <c r="R95" s="11">
        <v>111</v>
      </c>
      <c r="S95" s="11">
        <v>110</v>
      </c>
      <c r="T95" s="11">
        <v>107</v>
      </c>
      <c r="U95" s="11">
        <v>106</v>
      </c>
      <c r="V95" s="11">
        <v>102</v>
      </c>
      <c r="W95" s="11">
        <v>9</v>
      </c>
      <c r="X95" s="11">
        <v>12</v>
      </c>
    </row>
    <row r="96" spans="1:24" ht="14.25" customHeight="1" x14ac:dyDescent="0.25">
      <c r="A96" s="11"/>
      <c r="B96" s="11" t="e">
        <v>#N/A</v>
      </c>
      <c r="C96" s="11" t="s">
        <v>119</v>
      </c>
      <c r="D96" s="11">
        <v>6</v>
      </c>
      <c r="E96" s="11">
        <v>3</v>
      </c>
      <c r="F96" s="11">
        <v>3</v>
      </c>
      <c r="G96" s="11"/>
      <c r="H96" s="44" t="s">
        <v>213</v>
      </c>
      <c r="I96" s="44" t="e">
        <v>#N/A</v>
      </c>
      <c r="J96" s="11" t="e">
        <v>#N/A</v>
      </c>
      <c r="K96" s="44"/>
      <c r="L96" s="11"/>
      <c r="M96" s="11">
        <v>16</v>
      </c>
      <c r="N96" s="11" t="e">
        <v>#N/A</v>
      </c>
      <c r="O96" s="11" t="e">
        <v>#N/A</v>
      </c>
      <c r="P96" s="11" t="e">
        <v>#N/A</v>
      </c>
      <c r="Q96" s="11" t="e">
        <v>#N/A</v>
      </c>
      <c r="R96" s="11" t="e">
        <v>#N/A</v>
      </c>
      <c r="S96" s="11" t="e">
        <v>#N/A</v>
      </c>
      <c r="T96" s="11" t="e">
        <v>#N/A</v>
      </c>
      <c r="U96" s="11" t="e">
        <v>#N/A</v>
      </c>
      <c r="V96" s="11" t="e">
        <v>#N/A</v>
      </c>
      <c r="W96" s="11" t="e">
        <v>#N/A</v>
      </c>
      <c r="X96" s="11" t="e">
        <v>#N/A</v>
      </c>
    </row>
    <row r="97" spans="1:24" ht="14.25" customHeight="1" x14ac:dyDescent="0.25">
      <c r="A97" s="11"/>
      <c r="B97" s="11">
        <v>2</v>
      </c>
      <c r="C97" s="11" t="s">
        <v>119</v>
      </c>
      <c r="D97" s="11">
        <v>5</v>
      </c>
      <c r="E97" s="11">
        <v>5</v>
      </c>
      <c r="F97" s="11">
        <v>0</v>
      </c>
      <c r="G97" s="11" t="s">
        <v>148</v>
      </c>
      <c r="H97" s="69" t="s">
        <v>75</v>
      </c>
      <c r="I97" s="69" t="s">
        <v>44</v>
      </c>
      <c r="J97" s="11" t="s">
        <v>762</v>
      </c>
      <c r="K97" s="69"/>
      <c r="L97" s="11"/>
      <c r="M97" s="11">
        <v>3</v>
      </c>
      <c r="N97" s="11">
        <v>28</v>
      </c>
      <c r="O97" s="11">
        <v>19</v>
      </c>
      <c r="P97" s="11">
        <v>9</v>
      </c>
      <c r="Q97" s="11">
        <v>24</v>
      </c>
      <c r="R97" s="11">
        <v>18</v>
      </c>
      <c r="S97" s="11">
        <v>17</v>
      </c>
      <c r="T97" s="11">
        <v>17</v>
      </c>
      <c r="U97" s="11">
        <v>26</v>
      </c>
      <c r="V97" s="11">
        <v>21</v>
      </c>
      <c r="W97" s="11">
        <v>-3</v>
      </c>
      <c r="X97" s="11">
        <v>10</v>
      </c>
    </row>
    <row r="98" spans="1:24" ht="14.25" customHeight="1" x14ac:dyDescent="0.25">
      <c r="A98" s="11"/>
      <c r="B98" s="11">
        <v>3</v>
      </c>
      <c r="C98" s="11" t="s">
        <v>119</v>
      </c>
      <c r="D98" s="11">
        <v>3</v>
      </c>
      <c r="E98" s="11">
        <v>10</v>
      </c>
      <c r="F98" s="11">
        <v>-7</v>
      </c>
      <c r="G98" s="11" t="s">
        <v>1110</v>
      </c>
      <c r="H98" s="11" t="s">
        <v>224</v>
      </c>
      <c r="I98" s="11" t="s">
        <v>184</v>
      </c>
      <c r="J98" s="11" t="s">
        <v>760</v>
      </c>
      <c r="K98" s="11"/>
      <c r="L98" s="11"/>
      <c r="M98" s="11">
        <v>3</v>
      </c>
      <c r="N98" s="11">
        <v>33</v>
      </c>
      <c r="O98" s="11">
        <v>30</v>
      </c>
      <c r="P98" s="11">
        <v>3</v>
      </c>
      <c r="Q98" s="11">
        <v>27</v>
      </c>
      <c r="R98" s="11">
        <v>42</v>
      </c>
      <c r="S98" s="11">
        <v>35</v>
      </c>
      <c r="T98" s="11">
        <v>35</v>
      </c>
      <c r="U98" s="11">
        <v>29</v>
      </c>
      <c r="V98" s="11">
        <v>33</v>
      </c>
      <c r="W98" s="11">
        <v>9</v>
      </c>
      <c r="X98" s="11">
        <v>4</v>
      </c>
    </row>
    <row r="99" spans="1:24" ht="14.25" customHeight="1" x14ac:dyDescent="0.25">
      <c r="A99" s="11"/>
      <c r="B99" s="11">
        <v>16</v>
      </c>
      <c r="C99" s="11" t="s">
        <v>119</v>
      </c>
      <c r="D99" s="11">
        <v>4</v>
      </c>
      <c r="E99" s="11">
        <v>4</v>
      </c>
      <c r="F99" s="11">
        <v>0</v>
      </c>
      <c r="G99" s="11" t="s">
        <v>1110</v>
      </c>
      <c r="H99" s="11" t="s">
        <v>381</v>
      </c>
      <c r="I99" s="11" t="s">
        <v>229</v>
      </c>
      <c r="J99" s="11" t="s">
        <v>762</v>
      </c>
      <c r="K99" s="11"/>
      <c r="L99" s="11"/>
      <c r="M99" s="11">
        <v>11</v>
      </c>
      <c r="N99" s="11">
        <v>123</v>
      </c>
      <c r="O99" s="11">
        <v>163</v>
      </c>
      <c r="P99" s="11">
        <v>-40</v>
      </c>
      <c r="Q99" s="11">
        <v>165</v>
      </c>
      <c r="R99" s="11">
        <v>253</v>
      </c>
      <c r="S99" s="11">
        <v>152</v>
      </c>
      <c r="T99" s="11">
        <v>149</v>
      </c>
      <c r="U99" s="11">
        <v>198</v>
      </c>
      <c r="V99" s="11">
        <v>171</v>
      </c>
      <c r="W99" s="11">
        <v>82</v>
      </c>
      <c r="X99" s="11">
        <v>40</v>
      </c>
    </row>
    <row r="100" spans="1:24" ht="14.25" customHeight="1" x14ac:dyDescent="0.25">
      <c r="A100" s="11"/>
      <c r="B100" s="11" t="e">
        <v>#N/A</v>
      </c>
      <c r="C100" s="11" t="s">
        <v>119</v>
      </c>
      <c r="D100" s="11">
        <v>4</v>
      </c>
      <c r="E100" s="11">
        <v>2</v>
      </c>
      <c r="F100" s="11">
        <v>2</v>
      </c>
      <c r="G100" s="11" t="s">
        <v>148</v>
      </c>
      <c r="H100" s="11" t="s">
        <v>899</v>
      </c>
      <c r="I100" s="11" t="e">
        <v>#N/A</v>
      </c>
      <c r="J100" s="11" t="e">
        <v>#N/A</v>
      </c>
      <c r="K100" s="11"/>
      <c r="L100" s="11"/>
      <c r="M100" s="11">
        <v>16</v>
      </c>
      <c r="N100" s="11" t="e">
        <v>#N/A</v>
      </c>
      <c r="O100" s="11" t="e">
        <v>#N/A</v>
      </c>
      <c r="P100" s="11" t="e">
        <v>#N/A</v>
      </c>
      <c r="Q100" s="11" t="e">
        <v>#N/A</v>
      </c>
      <c r="R100" s="11" t="e">
        <v>#N/A</v>
      </c>
      <c r="S100" s="11" t="e">
        <v>#N/A</v>
      </c>
      <c r="T100" s="11" t="e">
        <v>#N/A</v>
      </c>
      <c r="U100" s="11" t="e">
        <v>#N/A</v>
      </c>
      <c r="V100" s="11" t="e">
        <v>#N/A</v>
      </c>
      <c r="W100" s="11" t="e">
        <v>#N/A</v>
      </c>
      <c r="X100" s="11" t="e">
        <v>#N/A</v>
      </c>
    </row>
    <row r="101" spans="1:24" ht="14.25" customHeight="1" x14ac:dyDescent="0.25">
      <c r="A101" s="11"/>
      <c r="B101" s="11">
        <v>12</v>
      </c>
      <c r="C101" s="11" t="s">
        <v>119</v>
      </c>
      <c r="D101" s="11">
        <v>4</v>
      </c>
      <c r="E101" s="11">
        <v>2</v>
      </c>
      <c r="F101" s="11">
        <v>2</v>
      </c>
      <c r="G101" s="11"/>
      <c r="H101" s="11" t="s">
        <v>898</v>
      </c>
      <c r="I101" s="11" t="s">
        <v>184</v>
      </c>
      <c r="J101" s="11" t="s">
        <v>762</v>
      </c>
      <c r="K101" s="11"/>
      <c r="L101" s="11"/>
      <c r="M101" s="11">
        <v>11</v>
      </c>
      <c r="N101" s="11">
        <v>130</v>
      </c>
      <c r="O101" s="11">
        <v>86</v>
      </c>
      <c r="P101" s="11">
        <v>44</v>
      </c>
      <c r="Q101" s="11">
        <v>96</v>
      </c>
      <c r="R101" s="11">
        <v>172</v>
      </c>
      <c r="S101" s="11">
        <v>109</v>
      </c>
      <c r="T101" s="11">
        <v>142</v>
      </c>
      <c r="U101" s="11">
        <v>143</v>
      </c>
      <c r="V101" s="11">
        <v>125</v>
      </c>
      <c r="W101" s="11">
        <v>47</v>
      </c>
      <c r="X101" s="11">
        <v>49</v>
      </c>
    </row>
    <row r="102" spans="1:24" ht="14.25" customHeight="1" x14ac:dyDescent="0.25">
      <c r="A102" s="11" t="s">
        <v>148</v>
      </c>
      <c r="B102" s="11">
        <v>2</v>
      </c>
      <c r="C102" s="11" t="s">
        <v>119</v>
      </c>
      <c r="D102" s="11">
        <v>1</v>
      </c>
      <c r="E102" s="11">
        <v>3</v>
      </c>
      <c r="F102" s="11">
        <v>-2</v>
      </c>
      <c r="G102" s="11" t="s">
        <v>148</v>
      </c>
      <c r="H102" s="11" t="s">
        <v>239</v>
      </c>
      <c r="I102" s="11" t="s">
        <v>199</v>
      </c>
      <c r="J102" s="11" t="s">
        <v>764</v>
      </c>
      <c r="K102" s="44"/>
      <c r="L102" s="11"/>
      <c r="M102" s="11">
        <v>2</v>
      </c>
      <c r="N102" s="11">
        <v>16</v>
      </c>
      <c r="O102" s="11">
        <v>20</v>
      </c>
      <c r="P102" s="11">
        <v>-4</v>
      </c>
      <c r="Q102" s="11">
        <v>16</v>
      </c>
      <c r="R102" s="11">
        <v>14</v>
      </c>
      <c r="S102" s="11">
        <v>16</v>
      </c>
      <c r="T102" s="11">
        <v>11</v>
      </c>
      <c r="U102" s="11">
        <v>13</v>
      </c>
      <c r="V102" s="11">
        <v>15</v>
      </c>
      <c r="W102" s="11">
        <v>-1</v>
      </c>
      <c r="X102" s="11">
        <v>8</v>
      </c>
    </row>
    <row r="103" spans="1:24" ht="14.25" customHeight="1" x14ac:dyDescent="0.25">
      <c r="A103" s="11"/>
      <c r="B103" s="11" t="e">
        <v>#N/A</v>
      </c>
      <c r="C103" s="11" t="s">
        <v>119</v>
      </c>
      <c r="D103" s="11">
        <v>6</v>
      </c>
      <c r="E103" s="11">
        <v>2</v>
      </c>
      <c r="F103" s="11">
        <v>4</v>
      </c>
      <c r="G103" s="11"/>
      <c r="H103" s="69" t="s">
        <v>900</v>
      </c>
      <c r="I103" s="69" t="e">
        <v>#N/A</v>
      </c>
      <c r="J103" s="11" t="e">
        <v>#N/A</v>
      </c>
      <c r="K103" s="69"/>
      <c r="L103" s="11"/>
      <c r="M103" s="11">
        <v>16</v>
      </c>
      <c r="N103" s="11" t="e">
        <v>#N/A</v>
      </c>
      <c r="O103" s="11" t="e">
        <v>#N/A</v>
      </c>
      <c r="P103" s="11" t="e">
        <v>#N/A</v>
      </c>
      <c r="Q103" s="11" t="e">
        <v>#N/A</v>
      </c>
      <c r="R103" s="11" t="e">
        <v>#N/A</v>
      </c>
      <c r="S103" s="11" t="e">
        <v>#N/A</v>
      </c>
      <c r="T103" s="11" t="e">
        <v>#N/A</v>
      </c>
      <c r="U103" s="11" t="e">
        <v>#N/A</v>
      </c>
      <c r="V103" s="11" t="e">
        <v>#N/A</v>
      </c>
      <c r="W103" s="11" t="e">
        <v>#N/A</v>
      </c>
      <c r="X103" s="11" t="e">
        <v>#N/A</v>
      </c>
    </row>
    <row r="104" spans="1:24" ht="14.25" customHeight="1" x14ac:dyDescent="0.25">
      <c r="A104" s="11" t="s">
        <v>148</v>
      </c>
      <c r="B104" s="11" t="e">
        <v>#N/A</v>
      </c>
      <c r="C104" s="11" t="s">
        <v>119</v>
      </c>
      <c r="D104" s="11">
        <v>3</v>
      </c>
      <c r="E104" s="11">
        <v>3</v>
      </c>
      <c r="F104" s="11">
        <v>0</v>
      </c>
      <c r="G104" s="11" t="s">
        <v>1112</v>
      </c>
      <c r="H104" s="11" t="s">
        <v>244</v>
      </c>
      <c r="I104" s="11" t="e">
        <v>#N/A</v>
      </c>
      <c r="J104" s="11" t="e">
        <v>#N/A</v>
      </c>
      <c r="K104" s="60"/>
      <c r="L104" s="11"/>
      <c r="M104" s="11">
        <v>16</v>
      </c>
      <c r="N104" s="11" t="e">
        <v>#N/A</v>
      </c>
      <c r="O104" s="11" t="e">
        <v>#N/A</v>
      </c>
      <c r="P104" s="11" t="e">
        <v>#N/A</v>
      </c>
      <c r="Q104" s="11" t="e">
        <v>#N/A</v>
      </c>
      <c r="R104" s="11" t="e">
        <v>#N/A</v>
      </c>
      <c r="S104" s="11" t="e">
        <v>#N/A</v>
      </c>
      <c r="T104" s="11" t="e">
        <v>#N/A</v>
      </c>
      <c r="U104" s="11" t="e">
        <v>#N/A</v>
      </c>
      <c r="V104" s="11" t="e">
        <v>#N/A</v>
      </c>
      <c r="W104" s="11" t="e">
        <v>#N/A</v>
      </c>
      <c r="X104" s="11" t="e">
        <v>#N/A</v>
      </c>
    </row>
    <row r="105" spans="1:24" ht="14.25" customHeight="1" x14ac:dyDescent="0.25">
      <c r="A105" s="11"/>
      <c r="B105" s="11">
        <v>2</v>
      </c>
      <c r="C105" s="11" t="s">
        <v>119</v>
      </c>
      <c r="D105" s="11">
        <v>1</v>
      </c>
      <c r="E105" s="11">
        <v>3</v>
      </c>
      <c r="F105" s="11">
        <v>-2</v>
      </c>
      <c r="G105" s="11" t="s">
        <v>148</v>
      </c>
      <c r="H105" s="11" t="s">
        <v>98</v>
      </c>
      <c r="I105" s="11" t="s">
        <v>94</v>
      </c>
      <c r="J105" s="11" t="s">
        <v>769</v>
      </c>
      <c r="K105" s="11"/>
      <c r="L105" s="11"/>
      <c r="M105" s="11">
        <v>2</v>
      </c>
      <c r="N105" s="11">
        <v>19</v>
      </c>
      <c r="O105" s="11">
        <v>24</v>
      </c>
      <c r="P105" s="11">
        <v>-5</v>
      </c>
      <c r="Q105" s="11">
        <v>20</v>
      </c>
      <c r="R105" s="11">
        <v>19</v>
      </c>
      <c r="S105" s="11">
        <v>7</v>
      </c>
      <c r="T105" s="11">
        <v>18</v>
      </c>
      <c r="U105" s="11">
        <v>17</v>
      </c>
      <c r="V105" s="11">
        <v>17</v>
      </c>
      <c r="W105" s="11">
        <v>2</v>
      </c>
      <c r="X105" s="11">
        <v>1</v>
      </c>
    </row>
    <row r="106" spans="1:24" ht="14.25" customHeight="1" x14ac:dyDescent="0.25">
      <c r="A106" s="11"/>
      <c r="B106" s="11">
        <v>7</v>
      </c>
      <c r="C106" s="11" t="s">
        <v>119</v>
      </c>
      <c r="D106" s="11">
        <v>6</v>
      </c>
      <c r="E106" s="11">
        <v>2</v>
      </c>
      <c r="F106" s="11">
        <v>4</v>
      </c>
      <c r="G106" s="11"/>
      <c r="H106" s="11" t="s">
        <v>202</v>
      </c>
      <c r="I106" s="11" t="s">
        <v>155</v>
      </c>
      <c r="J106" s="11" t="s">
        <v>764</v>
      </c>
      <c r="K106" s="11"/>
      <c r="L106" s="11"/>
      <c r="M106" s="11">
        <v>7</v>
      </c>
      <c r="N106" s="11">
        <v>80</v>
      </c>
      <c r="O106" s="11">
        <v>99</v>
      </c>
      <c r="P106" s="11">
        <v>-19</v>
      </c>
      <c r="Q106" s="11">
        <v>76</v>
      </c>
      <c r="R106" s="11">
        <v>75</v>
      </c>
      <c r="S106" s="11">
        <v>77</v>
      </c>
      <c r="T106" s="11">
        <v>64</v>
      </c>
      <c r="U106" s="11">
        <v>89</v>
      </c>
      <c r="V106" s="11">
        <v>80</v>
      </c>
      <c r="W106" s="11">
        <v>-5</v>
      </c>
      <c r="X106" s="11">
        <v>33</v>
      </c>
    </row>
    <row r="107" spans="1:24" ht="14.25" customHeight="1" x14ac:dyDescent="0.25">
      <c r="A107" s="11"/>
      <c r="B107" s="11">
        <v>14</v>
      </c>
      <c r="C107" s="11" t="s">
        <v>148</v>
      </c>
      <c r="D107" s="11"/>
      <c r="E107" s="11">
        <v>2</v>
      </c>
      <c r="F107" s="11" t="s">
        <v>886</v>
      </c>
      <c r="G107" s="11"/>
      <c r="H107" s="11" t="s">
        <v>823</v>
      </c>
      <c r="I107" s="11" t="s">
        <v>85</v>
      </c>
      <c r="J107" s="11" t="s">
        <v>764</v>
      </c>
      <c r="K107" s="11"/>
      <c r="L107" s="11"/>
      <c r="M107" s="11">
        <v>16</v>
      </c>
      <c r="N107" s="11">
        <v>190</v>
      </c>
      <c r="O107" s="11">
        <v>214</v>
      </c>
      <c r="P107" s="11">
        <v>-24</v>
      </c>
      <c r="Q107" s="11">
        <v>170</v>
      </c>
      <c r="R107" s="11">
        <v>211</v>
      </c>
      <c r="S107" s="11">
        <v>162</v>
      </c>
      <c r="T107" s="11">
        <v>150</v>
      </c>
      <c r="U107" s="11">
        <v>126</v>
      </c>
      <c r="V107" s="11">
        <v>174</v>
      </c>
      <c r="W107" s="11">
        <v>37</v>
      </c>
      <c r="X107" s="11" t="s">
        <v>886</v>
      </c>
    </row>
    <row r="108" spans="1:24" ht="14.25" customHeight="1" x14ac:dyDescent="0.25">
      <c r="A108" s="11" t="s">
        <v>148</v>
      </c>
      <c r="B108" s="11">
        <v>5</v>
      </c>
      <c r="C108" s="11" t="s">
        <v>119</v>
      </c>
      <c r="D108" s="11">
        <v>2</v>
      </c>
      <c r="E108" s="11">
        <v>2</v>
      </c>
      <c r="F108" s="11">
        <v>0</v>
      </c>
      <c r="G108" s="11"/>
      <c r="H108" s="11" t="s">
        <v>260</v>
      </c>
      <c r="I108" s="11" t="s">
        <v>168</v>
      </c>
      <c r="J108" s="11" t="s">
        <v>764</v>
      </c>
      <c r="K108" s="11"/>
      <c r="L108" s="11"/>
      <c r="M108" s="11">
        <v>5</v>
      </c>
      <c r="N108" s="11">
        <v>50</v>
      </c>
      <c r="O108" s="11">
        <v>53</v>
      </c>
      <c r="P108" s="11">
        <v>-3</v>
      </c>
      <c r="Q108" s="11">
        <v>58</v>
      </c>
      <c r="R108" s="11">
        <v>59</v>
      </c>
      <c r="S108" s="11">
        <v>50</v>
      </c>
      <c r="T108" s="11">
        <v>47</v>
      </c>
      <c r="U108" s="11">
        <v>56</v>
      </c>
      <c r="V108" s="11">
        <v>53</v>
      </c>
      <c r="W108" s="11">
        <v>6</v>
      </c>
      <c r="X108" s="11">
        <v>26</v>
      </c>
    </row>
    <row r="109" spans="1:24" ht="14.25" customHeight="1" x14ac:dyDescent="0.25">
      <c r="A109" s="11"/>
      <c r="B109" s="11">
        <v>12</v>
      </c>
      <c r="C109" s="11" t="s">
        <v>119</v>
      </c>
      <c r="D109" s="11">
        <v>3</v>
      </c>
      <c r="E109" s="11">
        <v>2</v>
      </c>
      <c r="F109" s="11">
        <v>1</v>
      </c>
      <c r="G109" s="11" t="s">
        <v>148</v>
      </c>
      <c r="H109" s="44" t="s">
        <v>901</v>
      </c>
      <c r="I109" s="44" t="s">
        <v>91</v>
      </c>
      <c r="J109" s="11" t="s">
        <v>764</v>
      </c>
      <c r="K109" s="44"/>
      <c r="L109" s="11"/>
      <c r="M109" s="11">
        <v>18</v>
      </c>
      <c r="N109" s="11">
        <v>205</v>
      </c>
      <c r="O109" s="11" t="s">
        <v>36</v>
      </c>
      <c r="P109" s="11" t="e">
        <v>#VALUE!</v>
      </c>
      <c r="Q109" s="11" t="s">
        <v>36</v>
      </c>
      <c r="R109" s="11">
        <v>319</v>
      </c>
      <c r="S109" s="11">
        <v>229</v>
      </c>
      <c r="T109" s="11">
        <v>218</v>
      </c>
      <c r="U109" s="11">
        <v>191</v>
      </c>
      <c r="V109" s="11">
        <v>232</v>
      </c>
      <c r="W109" s="11">
        <v>87</v>
      </c>
      <c r="X109" s="11" t="s">
        <v>886</v>
      </c>
    </row>
    <row r="110" spans="1:24" ht="14.25" customHeight="1" x14ac:dyDescent="0.25">
      <c r="A110" s="11"/>
      <c r="B110" s="11">
        <v>8</v>
      </c>
      <c r="C110" s="11" t="s">
        <v>119</v>
      </c>
      <c r="D110" s="11">
        <v>3</v>
      </c>
      <c r="E110" s="11">
        <v>2</v>
      </c>
      <c r="F110" s="11">
        <v>1</v>
      </c>
      <c r="G110" s="11" t="s">
        <v>148</v>
      </c>
      <c r="H110" s="11" t="s">
        <v>294</v>
      </c>
      <c r="I110" s="11" t="s">
        <v>72</v>
      </c>
      <c r="J110" s="11" t="s">
        <v>764</v>
      </c>
      <c r="K110" s="11"/>
      <c r="L110" s="11"/>
      <c r="M110" s="11">
        <v>7</v>
      </c>
      <c r="N110" s="11">
        <v>81</v>
      </c>
      <c r="O110" s="11">
        <v>103</v>
      </c>
      <c r="P110" s="11">
        <v>-22</v>
      </c>
      <c r="Q110" s="11">
        <v>110</v>
      </c>
      <c r="R110" s="11">
        <v>93</v>
      </c>
      <c r="S110" s="11">
        <v>95</v>
      </c>
      <c r="T110" s="11">
        <v>84</v>
      </c>
      <c r="U110" s="11">
        <v>94</v>
      </c>
      <c r="V110" s="11">
        <v>94</v>
      </c>
      <c r="W110" s="11">
        <v>-1</v>
      </c>
      <c r="X110" s="11">
        <v>36</v>
      </c>
    </row>
    <row r="111" spans="1:24" ht="14.25" customHeight="1" x14ac:dyDescent="0.25">
      <c r="A111" s="11"/>
      <c r="B111" s="11">
        <v>11</v>
      </c>
      <c r="C111" s="11" t="s">
        <v>119</v>
      </c>
      <c r="D111" s="11">
        <v>5</v>
      </c>
      <c r="E111" s="11">
        <v>3</v>
      </c>
      <c r="F111" s="11">
        <v>2</v>
      </c>
      <c r="G111" s="11"/>
      <c r="H111" s="11" t="s">
        <v>241</v>
      </c>
      <c r="I111" s="11" t="s">
        <v>155</v>
      </c>
      <c r="J111" s="11" t="s">
        <v>760</v>
      </c>
      <c r="K111" s="11"/>
      <c r="L111" s="11"/>
      <c r="M111" s="11">
        <v>11</v>
      </c>
      <c r="N111" s="11">
        <v>126</v>
      </c>
      <c r="O111" s="11">
        <v>120</v>
      </c>
      <c r="P111" s="11">
        <v>6</v>
      </c>
      <c r="Q111" s="11">
        <v>112</v>
      </c>
      <c r="R111" s="11">
        <v>155</v>
      </c>
      <c r="S111" s="11">
        <v>124</v>
      </c>
      <c r="T111" s="11">
        <v>109</v>
      </c>
      <c r="U111" s="11">
        <v>114</v>
      </c>
      <c r="V111" s="11">
        <v>122</v>
      </c>
      <c r="W111" s="11">
        <v>33</v>
      </c>
      <c r="X111" s="11">
        <v>13</v>
      </c>
    </row>
    <row r="112" spans="1:24" ht="14.25" customHeight="1" x14ac:dyDescent="0.25">
      <c r="A112" s="11"/>
      <c r="B112" s="11">
        <v>10</v>
      </c>
      <c r="C112" s="11" t="s">
        <v>148</v>
      </c>
      <c r="D112" s="11"/>
      <c r="E112" s="11">
        <v>2</v>
      </c>
      <c r="F112" s="11" t="s">
        <v>886</v>
      </c>
      <c r="G112" s="11"/>
      <c r="H112" s="11" t="s">
        <v>386</v>
      </c>
      <c r="I112" s="11" t="s">
        <v>52</v>
      </c>
      <c r="J112" s="11" t="s">
        <v>762</v>
      </c>
      <c r="K112" s="11"/>
      <c r="L112" s="11"/>
      <c r="M112" s="11">
        <v>9</v>
      </c>
      <c r="N112" s="11">
        <v>104</v>
      </c>
      <c r="O112" s="11">
        <v>92</v>
      </c>
      <c r="P112" s="11">
        <v>12</v>
      </c>
      <c r="Q112" s="11">
        <v>129</v>
      </c>
      <c r="R112" s="11">
        <v>114</v>
      </c>
      <c r="S112" s="11">
        <v>86</v>
      </c>
      <c r="T112" s="11">
        <v>92</v>
      </c>
      <c r="U112" s="11">
        <v>153</v>
      </c>
      <c r="V112" s="11">
        <v>110</v>
      </c>
      <c r="W112" s="11">
        <v>4</v>
      </c>
      <c r="X112" s="11">
        <v>31</v>
      </c>
    </row>
    <row r="113" spans="1:24" ht="14.25" customHeight="1" x14ac:dyDescent="0.25">
      <c r="A113" s="11"/>
      <c r="B113" s="11">
        <v>5</v>
      </c>
      <c r="C113" s="11" t="s">
        <v>119</v>
      </c>
      <c r="D113" s="11">
        <v>1</v>
      </c>
      <c r="E113" s="11">
        <v>2</v>
      </c>
      <c r="F113" s="11">
        <v>-1</v>
      </c>
      <c r="G113" s="11" t="s">
        <v>148</v>
      </c>
      <c r="H113" s="44" t="s">
        <v>196</v>
      </c>
      <c r="I113" s="44" t="s">
        <v>35</v>
      </c>
      <c r="J113" s="11" t="s">
        <v>764</v>
      </c>
      <c r="K113" s="44"/>
      <c r="L113" s="11"/>
      <c r="M113" s="11">
        <v>6</v>
      </c>
      <c r="N113" s="11">
        <v>60</v>
      </c>
      <c r="O113" s="11">
        <v>64</v>
      </c>
      <c r="P113" s="11">
        <v>-4</v>
      </c>
      <c r="Q113" s="11">
        <v>65</v>
      </c>
      <c r="R113" s="11">
        <v>64</v>
      </c>
      <c r="S113" s="11">
        <v>57</v>
      </c>
      <c r="T113" s="11">
        <v>53</v>
      </c>
      <c r="U113" s="11">
        <v>51</v>
      </c>
      <c r="V113" s="11">
        <v>59</v>
      </c>
      <c r="W113" s="11">
        <v>5</v>
      </c>
      <c r="X113" s="11">
        <v>23</v>
      </c>
    </row>
    <row r="114" spans="1:24" ht="14.25" customHeight="1" x14ac:dyDescent="0.25">
      <c r="A114" s="11"/>
      <c r="B114" s="11">
        <v>12</v>
      </c>
      <c r="C114" s="11" t="s">
        <v>119</v>
      </c>
      <c r="D114" s="11">
        <v>3</v>
      </c>
      <c r="E114" s="11">
        <v>1</v>
      </c>
      <c r="F114" s="11">
        <v>2</v>
      </c>
      <c r="G114" s="11"/>
      <c r="H114" s="11" t="s">
        <v>322</v>
      </c>
      <c r="I114" s="11" t="s">
        <v>78</v>
      </c>
      <c r="J114" s="11" t="s">
        <v>769</v>
      </c>
      <c r="K114" s="11"/>
      <c r="L114" s="11"/>
      <c r="M114" s="11">
        <v>12</v>
      </c>
      <c r="N114" s="11">
        <v>138</v>
      </c>
      <c r="O114" s="11">
        <v>124</v>
      </c>
      <c r="P114" s="11">
        <v>14</v>
      </c>
      <c r="Q114" s="11">
        <v>131</v>
      </c>
      <c r="R114" s="11">
        <v>170</v>
      </c>
      <c r="S114" s="11">
        <v>123</v>
      </c>
      <c r="T114" s="11">
        <v>152</v>
      </c>
      <c r="U114" s="11">
        <v>142</v>
      </c>
      <c r="V114" s="11">
        <v>140</v>
      </c>
      <c r="W114" s="11">
        <v>30</v>
      </c>
      <c r="X114" s="11" t="s">
        <v>886</v>
      </c>
    </row>
    <row r="115" spans="1:24" ht="14.25" customHeight="1" x14ac:dyDescent="0.25">
      <c r="A115" s="11"/>
      <c r="B115" s="11">
        <v>10</v>
      </c>
      <c r="C115" s="11" t="s">
        <v>119</v>
      </c>
      <c r="D115" s="11">
        <v>2</v>
      </c>
      <c r="E115" s="11">
        <v>1</v>
      </c>
      <c r="F115" s="11">
        <v>1</v>
      </c>
      <c r="G115" s="11"/>
      <c r="H115" s="11" t="s">
        <v>652</v>
      </c>
      <c r="I115" s="11" t="s">
        <v>66</v>
      </c>
      <c r="J115" s="11" t="s">
        <v>764</v>
      </c>
      <c r="K115" s="11"/>
      <c r="L115" s="11"/>
      <c r="M115" s="11">
        <v>10</v>
      </c>
      <c r="N115" s="11">
        <v>118</v>
      </c>
      <c r="O115" s="11">
        <v>113</v>
      </c>
      <c r="P115" s="11">
        <v>5</v>
      </c>
      <c r="Q115" s="11">
        <v>111</v>
      </c>
      <c r="R115" s="11">
        <v>126</v>
      </c>
      <c r="S115" s="11">
        <v>102</v>
      </c>
      <c r="T115" s="11">
        <v>99</v>
      </c>
      <c r="U115" s="11">
        <v>139</v>
      </c>
      <c r="V115" s="11">
        <v>115</v>
      </c>
      <c r="W115" s="11">
        <v>11</v>
      </c>
      <c r="X115" s="11">
        <v>51</v>
      </c>
    </row>
    <row r="116" spans="1:24" ht="14.25" customHeight="1" x14ac:dyDescent="0.25">
      <c r="A116" s="11" t="s">
        <v>148</v>
      </c>
      <c r="B116" s="11">
        <v>15</v>
      </c>
      <c r="C116" s="11" t="s">
        <v>119</v>
      </c>
      <c r="D116" s="11">
        <v>1</v>
      </c>
      <c r="E116" s="11">
        <v>1</v>
      </c>
      <c r="F116" s="11">
        <v>0</v>
      </c>
      <c r="G116" s="11" t="s">
        <v>1112</v>
      </c>
      <c r="H116" s="11" t="s">
        <v>905</v>
      </c>
      <c r="I116" s="11" t="s">
        <v>187</v>
      </c>
      <c r="J116" s="11" t="s">
        <v>762</v>
      </c>
      <c r="K116" s="69"/>
      <c r="L116" s="11"/>
      <c r="M116" s="11">
        <v>14</v>
      </c>
      <c r="N116" s="11">
        <v>157</v>
      </c>
      <c r="O116" s="11">
        <v>147</v>
      </c>
      <c r="P116" s="11">
        <v>10</v>
      </c>
      <c r="Q116" s="11">
        <v>147</v>
      </c>
      <c r="R116" s="11">
        <v>181</v>
      </c>
      <c r="S116" s="11">
        <v>146</v>
      </c>
      <c r="T116" s="11">
        <v>151</v>
      </c>
      <c r="U116" s="11">
        <v>244</v>
      </c>
      <c r="V116" s="11">
        <v>167</v>
      </c>
      <c r="W116" s="11">
        <v>14</v>
      </c>
      <c r="X116" s="11">
        <v>56</v>
      </c>
    </row>
    <row r="117" spans="1:24" ht="14.25" customHeight="1" x14ac:dyDescent="0.25">
      <c r="A117" s="11"/>
      <c r="B117" s="11">
        <v>16</v>
      </c>
      <c r="C117" s="11" t="s">
        <v>148</v>
      </c>
      <c r="D117" s="11"/>
      <c r="E117" s="11">
        <v>5</v>
      </c>
      <c r="F117" s="11" t="s">
        <v>886</v>
      </c>
      <c r="G117" s="11" t="s">
        <v>148</v>
      </c>
      <c r="H117" s="11" t="s">
        <v>619</v>
      </c>
      <c r="I117" s="11" t="s">
        <v>81</v>
      </c>
      <c r="J117" s="11" t="s">
        <v>760</v>
      </c>
      <c r="K117" s="11"/>
      <c r="L117" s="11"/>
      <c r="M117" s="11">
        <v>17</v>
      </c>
      <c r="N117" s="11">
        <v>198</v>
      </c>
      <c r="O117" s="11">
        <v>154</v>
      </c>
      <c r="P117" s="11">
        <v>44</v>
      </c>
      <c r="Q117" s="11">
        <v>166</v>
      </c>
      <c r="R117" s="11">
        <v>217</v>
      </c>
      <c r="S117" s="11">
        <v>183</v>
      </c>
      <c r="T117" s="11">
        <v>174</v>
      </c>
      <c r="U117" s="11">
        <v>193</v>
      </c>
      <c r="V117" s="11">
        <v>183</v>
      </c>
      <c r="W117" s="11">
        <v>34</v>
      </c>
      <c r="X117" s="11">
        <v>20</v>
      </c>
    </row>
    <row r="118" spans="1:24" ht="14.25" customHeight="1" x14ac:dyDescent="0.25">
      <c r="A118" s="11"/>
      <c r="B118" s="11">
        <v>10</v>
      </c>
      <c r="C118" s="11" t="s">
        <v>119</v>
      </c>
      <c r="D118" s="11">
        <v>1</v>
      </c>
      <c r="E118" s="11">
        <v>5</v>
      </c>
      <c r="F118" s="11">
        <v>-4</v>
      </c>
      <c r="G118" s="11" t="s">
        <v>148</v>
      </c>
      <c r="H118" s="11" t="s">
        <v>333</v>
      </c>
      <c r="I118" s="11" t="s">
        <v>35</v>
      </c>
      <c r="J118" s="11" t="s">
        <v>760</v>
      </c>
      <c r="K118" s="11"/>
      <c r="L118" s="11"/>
      <c r="M118" s="11">
        <v>9</v>
      </c>
      <c r="N118" s="11">
        <v>97</v>
      </c>
      <c r="O118" s="11">
        <v>93</v>
      </c>
      <c r="P118" s="11">
        <v>4</v>
      </c>
      <c r="Q118" s="11">
        <v>123</v>
      </c>
      <c r="R118" s="11">
        <v>115</v>
      </c>
      <c r="S118" s="11">
        <v>132</v>
      </c>
      <c r="T118" s="11">
        <v>103</v>
      </c>
      <c r="U118" s="11">
        <v>105</v>
      </c>
      <c r="V118" s="11">
        <v>109</v>
      </c>
      <c r="W118" s="11">
        <v>6</v>
      </c>
      <c r="X118" s="11">
        <v>16</v>
      </c>
    </row>
    <row r="119" spans="1:24" ht="14.25" customHeight="1" x14ac:dyDescent="0.25">
      <c r="A119" s="11"/>
      <c r="B119" s="11">
        <v>10</v>
      </c>
      <c r="C119" s="11" t="s">
        <v>119</v>
      </c>
      <c r="D119" s="11">
        <v>2</v>
      </c>
      <c r="E119" s="11">
        <v>1</v>
      </c>
      <c r="F119" s="11">
        <v>1</v>
      </c>
      <c r="G119" s="11" t="s">
        <v>1112</v>
      </c>
      <c r="H119" s="11" t="s">
        <v>276</v>
      </c>
      <c r="I119" s="11" t="s">
        <v>168</v>
      </c>
      <c r="J119" s="11" t="s">
        <v>762</v>
      </c>
      <c r="K119" s="11"/>
      <c r="L119" s="11"/>
      <c r="M119" s="11">
        <v>9</v>
      </c>
      <c r="N119" s="11">
        <v>107</v>
      </c>
      <c r="O119" s="11">
        <v>102</v>
      </c>
      <c r="P119" s="11">
        <v>5</v>
      </c>
      <c r="Q119" s="11">
        <v>98</v>
      </c>
      <c r="R119" s="11">
        <v>119</v>
      </c>
      <c r="S119" s="11">
        <v>93</v>
      </c>
      <c r="T119" s="11">
        <v>98</v>
      </c>
      <c r="U119" s="11">
        <v>136</v>
      </c>
      <c r="V119" s="11">
        <v>107</v>
      </c>
      <c r="W119" s="11">
        <v>12</v>
      </c>
      <c r="X119" s="11">
        <v>29</v>
      </c>
    </row>
    <row r="120" spans="1:24" ht="14.25" customHeight="1" x14ac:dyDescent="0.25">
      <c r="A120" s="11"/>
      <c r="B120" s="11" t="e">
        <v>#N/A</v>
      </c>
      <c r="C120" s="11" t="s">
        <v>119</v>
      </c>
      <c r="D120" s="11">
        <v>2</v>
      </c>
      <c r="E120" s="11">
        <v>1</v>
      </c>
      <c r="F120" s="11">
        <v>1</v>
      </c>
      <c r="G120" s="11" t="s">
        <v>1112</v>
      </c>
      <c r="H120" s="11" t="s">
        <v>904</v>
      </c>
      <c r="I120" s="11" t="e">
        <v>#N/A</v>
      </c>
      <c r="J120" s="11" t="e">
        <v>#N/A</v>
      </c>
      <c r="K120" s="11"/>
      <c r="L120" s="11"/>
      <c r="M120" s="11">
        <v>16</v>
      </c>
      <c r="N120" s="11" t="e">
        <v>#N/A</v>
      </c>
      <c r="O120" s="11" t="e">
        <v>#N/A</v>
      </c>
      <c r="P120" s="11" t="e">
        <v>#N/A</v>
      </c>
      <c r="Q120" s="11" t="e">
        <v>#N/A</v>
      </c>
      <c r="R120" s="11" t="e">
        <v>#N/A</v>
      </c>
      <c r="S120" s="11" t="e">
        <v>#N/A</v>
      </c>
      <c r="T120" s="11" t="e">
        <v>#N/A</v>
      </c>
      <c r="U120" s="11" t="e">
        <v>#N/A</v>
      </c>
      <c r="V120" s="11" t="e">
        <v>#N/A</v>
      </c>
      <c r="W120" s="11" t="e">
        <v>#N/A</v>
      </c>
      <c r="X120" s="11" t="e">
        <v>#N/A</v>
      </c>
    </row>
    <row r="121" spans="1:24" ht="14.25" customHeight="1" x14ac:dyDescent="0.25">
      <c r="A121" s="11"/>
      <c r="B121" s="11" t="e">
        <v>#N/A</v>
      </c>
      <c r="C121" s="11" t="s">
        <v>119</v>
      </c>
      <c r="D121" s="11">
        <v>3</v>
      </c>
      <c r="E121" s="11">
        <v>1</v>
      </c>
      <c r="F121" s="11">
        <v>2</v>
      </c>
      <c r="G121" s="11"/>
      <c r="H121" s="11" t="s">
        <v>907</v>
      </c>
      <c r="I121" s="11" t="e">
        <v>#N/A</v>
      </c>
      <c r="J121" s="11" t="e">
        <v>#N/A</v>
      </c>
      <c r="K121" s="11"/>
      <c r="L121" s="11"/>
      <c r="M121" s="11">
        <v>16</v>
      </c>
      <c r="N121" s="11" t="e">
        <v>#N/A</v>
      </c>
      <c r="O121" s="11" t="e">
        <v>#N/A</v>
      </c>
      <c r="P121" s="11" t="e">
        <v>#N/A</v>
      </c>
      <c r="Q121" s="11" t="e">
        <v>#N/A</v>
      </c>
      <c r="R121" s="11" t="e">
        <v>#N/A</v>
      </c>
      <c r="S121" s="11" t="e">
        <v>#N/A</v>
      </c>
      <c r="T121" s="11" t="e">
        <v>#N/A</v>
      </c>
      <c r="U121" s="11" t="e">
        <v>#N/A</v>
      </c>
      <c r="V121" s="11" t="e">
        <v>#N/A</v>
      </c>
      <c r="W121" s="11" t="e">
        <v>#N/A</v>
      </c>
      <c r="X121" s="11" t="e">
        <v>#N/A</v>
      </c>
    </row>
    <row r="122" spans="1:24" ht="14.25" customHeight="1" x14ac:dyDescent="0.25">
      <c r="A122" s="11"/>
      <c r="B122" s="11">
        <v>14</v>
      </c>
      <c r="C122" s="11" t="s">
        <v>148</v>
      </c>
      <c r="D122" s="11"/>
      <c r="E122" s="11">
        <v>3</v>
      </c>
      <c r="F122" s="11" t="s">
        <v>886</v>
      </c>
      <c r="G122" s="11"/>
      <c r="H122" s="11" t="s">
        <v>266</v>
      </c>
      <c r="I122" s="11" t="s">
        <v>199</v>
      </c>
      <c r="J122" s="11" t="s">
        <v>760</v>
      </c>
      <c r="K122" s="11"/>
      <c r="L122" s="11"/>
      <c r="M122" s="11">
        <v>15</v>
      </c>
      <c r="N122" s="11">
        <v>168</v>
      </c>
      <c r="O122" s="11">
        <v>151</v>
      </c>
      <c r="P122" s="11">
        <v>17</v>
      </c>
      <c r="Q122" s="11">
        <v>172</v>
      </c>
      <c r="R122" s="11">
        <v>162</v>
      </c>
      <c r="S122" s="11">
        <v>144</v>
      </c>
      <c r="T122" s="11">
        <v>138</v>
      </c>
      <c r="U122" s="11">
        <v>178</v>
      </c>
      <c r="V122" s="11">
        <v>159</v>
      </c>
      <c r="W122" s="11">
        <v>3</v>
      </c>
      <c r="X122" s="11">
        <v>19</v>
      </c>
    </row>
    <row r="123" spans="1:24" ht="14.25" customHeight="1" x14ac:dyDescent="0.25">
      <c r="A123" s="11"/>
      <c r="B123" s="11">
        <v>9</v>
      </c>
      <c r="C123" s="11" t="s">
        <v>119</v>
      </c>
      <c r="D123" s="11">
        <v>1</v>
      </c>
      <c r="E123" s="11">
        <v>1</v>
      </c>
      <c r="F123" s="11">
        <v>0</v>
      </c>
      <c r="G123" s="11" t="s">
        <v>148</v>
      </c>
      <c r="H123" s="11" t="s">
        <v>366</v>
      </c>
      <c r="I123" s="11" t="s">
        <v>66</v>
      </c>
      <c r="J123" s="11" t="s">
        <v>764</v>
      </c>
      <c r="K123" s="11"/>
      <c r="L123" s="11"/>
      <c r="M123" s="11">
        <v>8</v>
      </c>
      <c r="N123" s="11">
        <v>93</v>
      </c>
      <c r="O123" s="11">
        <v>118</v>
      </c>
      <c r="P123" s="11">
        <v>-25</v>
      </c>
      <c r="Q123" s="11">
        <v>108</v>
      </c>
      <c r="R123" s="11">
        <v>116</v>
      </c>
      <c r="S123" s="11">
        <v>103</v>
      </c>
      <c r="T123" s="11">
        <v>88</v>
      </c>
      <c r="U123" s="11">
        <v>102</v>
      </c>
      <c r="V123" s="11">
        <v>104</v>
      </c>
      <c r="W123" s="11">
        <v>12</v>
      </c>
      <c r="X123" s="11">
        <v>45</v>
      </c>
    </row>
    <row r="124" spans="1:24" ht="14.25" customHeight="1" x14ac:dyDescent="0.25">
      <c r="A124" s="11"/>
      <c r="B124" s="11">
        <v>21</v>
      </c>
      <c r="C124" s="11" t="s">
        <v>148</v>
      </c>
      <c r="D124" s="11"/>
      <c r="E124" s="11"/>
      <c r="F124" s="11" t="s">
        <v>886</v>
      </c>
      <c r="G124" s="11"/>
      <c r="H124" s="11" t="s">
        <v>405</v>
      </c>
      <c r="I124" s="11" t="s">
        <v>116</v>
      </c>
      <c r="J124" s="11" t="s">
        <v>769</v>
      </c>
      <c r="K124" s="11"/>
      <c r="L124" s="11"/>
      <c r="M124" s="11">
        <v>21</v>
      </c>
      <c r="N124" s="11">
        <v>241</v>
      </c>
      <c r="O124" s="11" t="s">
        <v>36</v>
      </c>
      <c r="P124" s="11" t="e">
        <v>#VALUE!</v>
      </c>
      <c r="Q124" s="11">
        <v>267</v>
      </c>
      <c r="R124" s="11">
        <v>287</v>
      </c>
      <c r="S124" s="11">
        <v>210</v>
      </c>
      <c r="T124" s="11">
        <v>248</v>
      </c>
      <c r="U124" s="11">
        <v>216</v>
      </c>
      <c r="V124" s="11">
        <v>244</v>
      </c>
      <c r="W124" s="11">
        <v>43</v>
      </c>
      <c r="X124" s="11" t="s">
        <v>886</v>
      </c>
    </row>
    <row r="125" spans="1:24" ht="14.25" customHeight="1" x14ac:dyDescent="0.25">
      <c r="A125" s="11"/>
      <c r="B125" s="11">
        <v>15</v>
      </c>
      <c r="C125" s="11" t="s">
        <v>119</v>
      </c>
      <c r="D125" s="11">
        <v>1</v>
      </c>
      <c r="E125" s="11">
        <v>1</v>
      </c>
      <c r="F125" s="11">
        <v>0</v>
      </c>
      <c r="G125" s="11" t="s">
        <v>148</v>
      </c>
      <c r="H125" s="11" t="s">
        <v>370</v>
      </c>
      <c r="I125" s="11" t="s">
        <v>39</v>
      </c>
      <c r="J125" s="11" t="s">
        <v>762</v>
      </c>
      <c r="K125" s="11"/>
      <c r="L125" s="11"/>
      <c r="M125" s="11">
        <v>14</v>
      </c>
      <c r="N125" s="11">
        <v>167</v>
      </c>
      <c r="O125" s="11">
        <v>172</v>
      </c>
      <c r="P125" s="11">
        <v>-5</v>
      </c>
      <c r="Q125" s="11">
        <v>161</v>
      </c>
      <c r="R125" s="11">
        <v>199</v>
      </c>
      <c r="S125" s="11">
        <v>151</v>
      </c>
      <c r="T125" s="11">
        <v>154</v>
      </c>
      <c r="U125" s="11">
        <v>184</v>
      </c>
      <c r="V125" s="11">
        <v>169</v>
      </c>
      <c r="W125" s="11">
        <v>30</v>
      </c>
      <c r="X125" s="11">
        <v>46</v>
      </c>
    </row>
    <row r="126" spans="1:24" ht="14.25" customHeight="1" x14ac:dyDescent="0.25">
      <c r="A126" s="11"/>
      <c r="B126" s="11">
        <v>17</v>
      </c>
      <c r="C126" s="11" t="s">
        <v>148</v>
      </c>
      <c r="D126" s="11"/>
      <c r="E126" s="11">
        <v>1</v>
      </c>
      <c r="F126" s="11" t="s">
        <v>886</v>
      </c>
      <c r="G126" s="11"/>
      <c r="H126" s="11" t="s">
        <v>346</v>
      </c>
      <c r="I126" s="11" t="s">
        <v>214</v>
      </c>
      <c r="J126" s="11" t="s">
        <v>764</v>
      </c>
      <c r="K126" s="11"/>
      <c r="L126" s="11"/>
      <c r="M126" s="11">
        <v>18</v>
      </c>
      <c r="N126" s="11">
        <v>210</v>
      </c>
      <c r="O126" s="11">
        <v>205</v>
      </c>
      <c r="P126" s="11">
        <v>5</v>
      </c>
      <c r="Q126" s="11" t="s">
        <v>36</v>
      </c>
      <c r="R126" s="11">
        <v>219</v>
      </c>
      <c r="S126" s="11">
        <v>172</v>
      </c>
      <c r="T126" s="11">
        <v>163</v>
      </c>
      <c r="U126" s="11">
        <v>223</v>
      </c>
      <c r="V126" s="11">
        <v>198</v>
      </c>
      <c r="W126" s="11">
        <v>21</v>
      </c>
      <c r="X126" s="11" t="s">
        <v>886</v>
      </c>
    </row>
    <row r="127" spans="1:24" ht="14.25" customHeight="1" x14ac:dyDescent="0.25">
      <c r="A127" s="11"/>
      <c r="B127" s="11">
        <v>18</v>
      </c>
      <c r="C127" s="11" t="s">
        <v>119</v>
      </c>
      <c r="D127" s="11">
        <v>1</v>
      </c>
      <c r="E127" s="11">
        <v>1</v>
      </c>
      <c r="F127" s="11">
        <v>0</v>
      </c>
      <c r="G127" s="11"/>
      <c r="H127" s="11" t="s">
        <v>536</v>
      </c>
      <c r="I127" s="11" t="s">
        <v>233</v>
      </c>
      <c r="J127" s="11" t="s">
        <v>769</v>
      </c>
      <c r="K127" s="11"/>
      <c r="L127" s="11"/>
      <c r="M127" s="11">
        <v>17</v>
      </c>
      <c r="N127" s="11">
        <v>202</v>
      </c>
      <c r="O127" s="11" t="s">
        <v>36</v>
      </c>
      <c r="P127" s="11" t="e">
        <v>#VALUE!</v>
      </c>
      <c r="Q127" s="11">
        <v>198</v>
      </c>
      <c r="R127" s="11">
        <v>239</v>
      </c>
      <c r="S127" s="11">
        <v>196</v>
      </c>
      <c r="T127" s="11">
        <v>221</v>
      </c>
      <c r="U127" s="11">
        <v>176</v>
      </c>
      <c r="V127" s="11">
        <v>205</v>
      </c>
      <c r="W127" s="11">
        <v>34</v>
      </c>
      <c r="X127" s="11" t="s">
        <v>886</v>
      </c>
    </row>
    <row r="128" spans="1:24" ht="14.25" customHeight="1" x14ac:dyDescent="0.25">
      <c r="A128" s="11"/>
      <c r="B128" s="11">
        <v>8</v>
      </c>
      <c r="C128" s="11" t="s">
        <v>148</v>
      </c>
      <c r="D128" s="11"/>
      <c r="E128" s="11">
        <v>1</v>
      </c>
      <c r="F128" s="11" t="s">
        <v>886</v>
      </c>
      <c r="G128" s="11"/>
      <c r="H128" s="11" t="s">
        <v>335</v>
      </c>
      <c r="I128" s="11" t="s">
        <v>94</v>
      </c>
      <c r="J128" s="11" t="s">
        <v>764</v>
      </c>
      <c r="K128" s="11"/>
      <c r="L128" s="11"/>
      <c r="M128" s="11">
        <v>7</v>
      </c>
      <c r="N128" s="11">
        <v>83</v>
      </c>
      <c r="O128" s="11">
        <v>85</v>
      </c>
      <c r="P128" s="11">
        <v>-2</v>
      </c>
      <c r="Q128" s="11">
        <v>82</v>
      </c>
      <c r="R128" s="11">
        <v>86</v>
      </c>
      <c r="S128" s="11">
        <v>87</v>
      </c>
      <c r="T128" s="11">
        <v>73</v>
      </c>
      <c r="U128" s="11">
        <v>119</v>
      </c>
      <c r="V128" s="11">
        <v>87</v>
      </c>
      <c r="W128" s="11">
        <v>-1</v>
      </c>
      <c r="X128" s="11">
        <v>35</v>
      </c>
    </row>
    <row r="129" spans="1:24" ht="14.25" customHeight="1" x14ac:dyDescent="0.25">
      <c r="A129" s="11"/>
      <c r="B129" s="11">
        <v>10</v>
      </c>
      <c r="C129" s="11" t="s">
        <v>119</v>
      </c>
      <c r="D129" s="11">
        <v>2</v>
      </c>
      <c r="E129" s="11"/>
      <c r="F129" s="11">
        <v>2</v>
      </c>
      <c r="G129" s="11"/>
      <c r="H129" s="11" t="s">
        <v>262</v>
      </c>
      <c r="I129" s="11" t="s">
        <v>88</v>
      </c>
      <c r="J129" s="11" t="s">
        <v>760</v>
      </c>
      <c r="K129" s="11"/>
      <c r="L129" s="11"/>
      <c r="M129" s="11">
        <v>10</v>
      </c>
      <c r="N129" s="11">
        <v>109</v>
      </c>
      <c r="O129" s="11">
        <v>122</v>
      </c>
      <c r="P129" s="11">
        <v>-13</v>
      </c>
      <c r="Q129" s="11">
        <v>91</v>
      </c>
      <c r="R129" s="11">
        <v>122</v>
      </c>
      <c r="S129" s="11">
        <v>135</v>
      </c>
      <c r="T129" s="11">
        <v>120</v>
      </c>
      <c r="U129" s="11">
        <v>124</v>
      </c>
      <c r="V129" s="11">
        <v>117</v>
      </c>
      <c r="W129" s="11">
        <v>5</v>
      </c>
      <c r="X129" s="11">
        <v>17</v>
      </c>
    </row>
    <row r="130" spans="1:24" ht="14.25" customHeight="1" x14ac:dyDescent="0.25">
      <c r="A130" s="11"/>
      <c r="B130" s="11">
        <v>18</v>
      </c>
      <c r="C130" s="11" t="s">
        <v>119</v>
      </c>
      <c r="D130" s="11">
        <v>1</v>
      </c>
      <c r="E130" s="11">
        <v>1</v>
      </c>
      <c r="F130" s="11">
        <v>0</v>
      </c>
      <c r="G130" s="11"/>
      <c r="H130" s="69" t="s">
        <v>613</v>
      </c>
      <c r="I130" s="69" t="s">
        <v>81</v>
      </c>
      <c r="J130" s="11" t="s">
        <v>762</v>
      </c>
      <c r="K130" s="69"/>
      <c r="L130" s="11"/>
      <c r="M130" s="11">
        <v>15</v>
      </c>
      <c r="N130" s="11">
        <v>172</v>
      </c>
      <c r="O130" s="11" t="s">
        <v>36</v>
      </c>
      <c r="P130" s="11" t="e">
        <v>#VALUE!</v>
      </c>
      <c r="Q130" s="11">
        <v>194</v>
      </c>
      <c r="R130" s="11">
        <v>226</v>
      </c>
      <c r="S130" s="11">
        <v>185</v>
      </c>
      <c r="T130" s="11">
        <v>175</v>
      </c>
      <c r="U130" s="11">
        <v>241</v>
      </c>
      <c r="V130" s="11">
        <v>198</v>
      </c>
      <c r="W130" s="11">
        <v>28</v>
      </c>
      <c r="X130" s="11">
        <v>54</v>
      </c>
    </row>
    <row r="131" spans="1:24" ht="14.25" customHeight="1" x14ac:dyDescent="0.25">
      <c r="A131" s="11"/>
      <c r="B131" s="11">
        <v>12</v>
      </c>
      <c r="C131" s="11" t="s">
        <v>148</v>
      </c>
      <c r="D131" s="11"/>
      <c r="E131" s="11">
        <v>1</v>
      </c>
      <c r="F131" s="11" t="s">
        <v>886</v>
      </c>
      <c r="G131" s="11" t="s">
        <v>148</v>
      </c>
      <c r="H131" s="11" t="s">
        <v>377</v>
      </c>
      <c r="I131" s="11" t="s">
        <v>129</v>
      </c>
      <c r="J131" s="11" t="s">
        <v>764</v>
      </c>
      <c r="K131" s="11"/>
      <c r="L131" s="11"/>
      <c r="M131" s="11">
        <v>11</v>
      </c>
      <c r="N131" s="11">
        <v>124</v>
      </c>
      <c r="O131" s="11">
        <v>161</v>
      </c>
      <c r="P131" s="11">
        <v>-37</v>
      </c>
      <c r="Q131" s="11">
        <v>134</v>
      </c>
      <c r="R131" s="11">
        <v>133</v>
      </c>
      <c r="S131" s="11">
        <v>127</v>
      </c>
      <c r="T131" s="11">
        <v>117</v>
      </c>
      <c r="U131" s="11">
        <v>177</v>
      </c>
      <c r="V131" s="11">
        <v>139</v>
      </c>
      <c r="W131" s="11">
        <v>-6</v>
      </c>
      <c r="X131" s="11">
        <v>44</v>
      </c>
    </row>
    <row r="132" spans="1:24" ht="14.25" customHeight="1" x14ac:dyDescent="0.25">
      <c r="A132" s="11"/>
      <c r="B132" s="11">
        <v>6</v>
      </c>
      <c r="C132" s="11" t="s">
        <v>148</v>
      </c>
      <c r="D132" s="11"/>
      <c r="E132" s="11"/>
      <c r="F132" s="11" t="s">
        <v>886</v>
      </c>
      <c r="G132" s="11"/>
      <c r="H132" s="11" t="s">
        <v>422</v>
      </c>
      <c r="I132" s="11" t="s">
        <v>72</v>
      </c>
      <c r="J132" s="11" t="s">
        <v>769</v>
      </c>
      <c r="K132" s="11"/>
      <c r="L132" s="11"/>
      <c r="M132" s="11">
        <v>6</v>
      </c>
      <c r="N132" s="11">
        <v>64</v>
      </c>
      <c r="O132" s="11">
        <v>71</v>
      </c>
      <c r="P132" s="11">
        <v>-7</v>
      </c>
      <c r="Q132" s="11">
        <v>56</v>
      </c>
      <c r="R132" s="11">
        <v>82</v>
      </c>
      <c r="S132" s="11">
        <v>64</v>
      </c>
      <c r="T132" s="11">
        <v>80</v>
      </c>
      <c r="U132" s="11">
        <v>50</v>
      </c>
      <c r="V132" s="11">
        <v>66</v>
      </c>
      <c r="W132" s="11">
        <v>16</v>
      </c>
      <c r="X132" s="11">
        <v>5</v>
      </c>
    </row>
    <row r="133" spans="1:24" ht="14.25" customHeight="1" x14ac:dyDescent="0.25">
      <c r="A133" s="11"/>
      <c r="B133" s="11" t="e">
        <v>#N/A</v>
      </c>
      <c r="C133" s="11" t="s">
        <v>148</v>
      </c>
      <c r="D133" s="11"/>
      <c r="E133" s="11">
        <v>1</v>
      </c>
      <c r="F133" s="11" t="s">
        <v>886</v>
      </c>
      <c r="G133" s="11" t="s">
        <v>148</v>
      </c>
      <c r="H133" s="11" t="s">
        <v>909</v>
      </c>
      <c r="I133" s="11" t="e">
        <v>#N/A</v>
      </c>
      <c r="J133" s="11" t="e">
        <v>#N/A</v>
      </c>
      <c r="K133" s="11"/>
      <c r="L133" s="11"/>
      <c r="M133" s="11">
        <v>16</v>
      </c>
      <c r="N133" s="11" t="e">
        <v>#N/A</v>
      </c>
      <c r="O133" s="11" t="e">
        <v>#N/A</v>
      </c>
      <c r="P133" s="11" t="e">
        <v>#N/A</v>
      </c>
      <c r="Q133" s="11" t="e">
        <v>#N/A</v>
      </c>
      <c r="R133" s="11" t="e">
        <v>#N/A</v>
      </c>
      <c r="S133" s="11" t="e">
        <v>#N/A</v>
      </c>
      <c r="T133" s="11" t="e">
        <v>#N/A</v>
      </c>
      <c r="U133" s="11" t="e">
        <v>#N/A</v>
      </c>
      <c r="V133" s="11" t="e">
        <v>#N/A</v>
      </c>
      <c r="W133" s="11" t="e">
        <v>#N/A</v>
      </c>
      <c r="X133" s="11" t="e">
        <v>#N/A</v>
      </c>
    </row>
    <row r="134" spans="1:24" ht="14.25" customHeight="1" x14ac:dyDescent="0.25">
      <c r="A134" s="11"/>
      <c r="B134" s="11">
        <v>23</v>
      </c>
      <c r="C134" s="11" t="s">
        <v>119</v>
      </c>
      <c r="D134" s="11">
        <v>1</v>
      </c>
      <c r="E134" s="11">
        <v>4</v>
      </c>
      <c r="F134" s="11">
        <v>-3</v>
      </c>
      <c r="G134" s="11"/>
      <c r="H134" s="11" t="s">
        <v>627</v>
      </c>
      <c r="I134" s="11" t="s">
        <v>39</v>
      </c>
      <c r="J134" s="11" t="s">
        <v>760</v>
      </c>
      <c r="K134" s="11"/>
      <c r="L134" s="11"/>
      <c r="M134" s="11">
        <v>16</v>
      </c>
      <c r="N134" s="11" t="s">
        <v>36</v>
      </c>
      <c r="O134" s="11" t="s">
        <v>36</v>
      </c>
      <c r="P134" s="11" t="e">
        <v>#VALUE!</v>
      </c>
      <c r="Q134" s="11">
        <v>231</v>
      </c>
      <c r="R134" s="11" t="s">
        <v>36</v>
      </c>
      <c r="S134" s="11">
        <v>312</v>
      </c>
      <c r="T134" s="11" t="s">
        <v>36</v>
      </c>
      <c r="U134" s="11">
        <v>281</v>
      </c>
      <c r="V134" s="11">
        <v>274</v>
      </c>
      <c r="W134" s="11" t="e">
        <v>#VALUE!</v>
      </c>
      <c r="X134" s="11" t="s">
        <v>886</v>
      </c>
    </row>
    <row r="135" spans="1:24" ht="14.25" customHeight="1" x14ac:dyDescent="0.25">
      <c r="A135" s="11"/>
      <c r="B135" s="11">
        <v>23</v>
      </c>
      <c r="C135" s="11" t="s">
        <v>119</v>
      </c>
      <c r="D135" s="11">
        <v>1</v>
      </c>
      <c r="E135" s="11">
        <v>1</v>
      </c>
      <c r="F135" s="11">
        <v>0</v>
      </c>
      <c r="G135" s="11" t="s">
        <v>1110</v>
      </c>
      <c r="H135" s="11" t="s">
        <v>342</v>
      </c>
      <c r="I135" s="11" t="s">
        <v>214</v>
      </c>
      <c r="J135" s="11" t="s">
        <v>762</v>
      </c>
      <c r="K135" s="11"/>
      <c r="L135" s="11"/>
      <c r="M135" s="11">
        <v>21</v>
      </c>
      <c r="N135" s="11">
        <v>247</v>
      </c>
      <c r="O135" s="11" t="s">
        <v>36</v>
      </c>
      <c r="P135" s="11" t="e">
        <v>#VALUE!</v>
      </c>
      <c r="Q135" s="11" t="s">
        <v>36</v>
      </c>
      <c r="R135" s="11">
        <v>296</v>
      </c>
      <c r="S135" s="11">
        <v>255</v>
      </c>
      <c r="T135" s="11">
        <v>235</v>
      </c>
      <c r="U135" s="11">
        <v>315</v>
      </c>
      <c r="V135" s="11">
        <v>269</v>
      </c>
      <c r="W135" s="11">
        <v>27</v>
      </c>
      <c r="X135" s="11">
        <v>53</v>
      </c>
    </row>
    <row r="136" spans="1:24" ht="14.25" customHeight="1" x14ac:dyDescent="0.25">
      <c r="A136" s="11"/>
      <c r="B136" s="11">
        <v>12</v>
      </c>
      <c r="C136" s="11" t="s">
        <v>119</v>
      </c>
      <c r="D136" s="11">
        <v>1</v>
      </c>
      <c r="E136" s="11">
        <v>1</v>
      </c>
      <c r="F136" s="11">
        <v>0</v>
      </c>
      <c r="G136" s="11" t="s">
        <v>1110</v>
      </c>
      <c r="H136" s="11" t="s">
        <v>621</v>
      </c>
      <c r="I136" s="11" t="s">
        <v>39</v>
      </c>
      <c r="J136" s="11" t="s">
        <v>764</v>
      </c>
      <c r="K136" s="11"/>
      <c r="L136" s="11"/>
      <c r="M136" s="11">
        <v>11</v>
      </c>
      <c r="N136" s="11">
        <v>120</v>
      </c>
      <c r="O136" s="11">
        <v>121</v>
      </c>
      <c r="P136" s="11">
        <v>-1</v>
      </c>
      <c r="Q136" s="11">
        <v>139</v>
      </c>
      <c r="R136" s="11">
        <v>132</v>
      </c>
      <c r="S136" s="11">
        <v>137</v>
      </c>
      <c r="T136" s="11">
        <v>119</v>
      </c>
      <c r="U136" s="11">
        <v>183</v>
      </c>
      <c r="V136" s="11">
        <v>135</v>
      </c>
      <c r="W136" s="11">
        <v>-3</v>
      </c>
      <c r="X136" s="11">
        <v>56</v>
      </c>
    </row>
    <row r="137" spans="1:24" ht="14.25" customHeight="1" x14ac:dyDescent="0.25">
      <c r="A137" s="11"/>
      <c r="B137" s="11">
        <v>18</v>
      </c>
      <c r="C137" s="11" t="s">
        <v>119</v>
      </c>
      <c r="D137" s="11">
        <v>2</v>
      </c>
      <c r="E137" s="11"/>
      <c r="F137" s="11">
        <v>2</v>
      </c>
      <c r="G137" s="11"/>
      <c r="H137" s="11" t="s">
        <v>480</v>
      </c>
      <c r="I137" s="11" t="s">
        <v>233</v>
      </c>
      <c r="J137" s="11" t="s">
        <v>760</v>
      </c>
      <c r="K137" s="11"/>
      <c r="L137" s="11"/>
      <c r="M137" s="11">
        <v>20</v>
      </c>
      <c r="N137" s="11">
        <v>229</v>
      </c>
      <c r="O137" s="11" t="s">
        <v>36</v>
      </c>
      <c r="P137" s="11" t="e">
        <v>#VALUE!</v>
      </c>
      <c r="Q137" s="11">
        <v>192</v>
      </c>
      <c r="R137" s="11">
        <v>240</v>
      </c>
      <c r="S137" s="11">
        <v>222</v>
      </c>
      <c r="T137" s="11">
        <v>222</v>
      </c>
      <c r="U137" s="11">
        <v>192</v>
      </c>
      <c r="V137" s="11">
        <v>216</v>
      </c>
      <c r="W137" s="11">
        <v>24</v>
      </c>
      <c r="X137" s="11" t="s">
        <v>886</v>
      </c>
    </row>
    <row r="138" spans="1:24" ht="14.25" customHeight="1" x14ac:dyDescent="0.25">
      <c r="A138" s="11"/>
      <c r="B138" s="11">
        <v>2</v>
      </c>
      <c r="C138" s="11" t="s">
        <v>148</v>
      </c>
      <c r="D138" s="11"/>
      <c r="E138" s="11">
        <v>1</v>
      </c>
      <c r="F138" s="11" t="s">
        <v>886</v>
      </c>
      <c r="G138" s="11" t="s">
        <v>1110</v>
      </c>
      <c r="H138" s="60" t="s">
        <v>189</v>
      </c>
      <c r="I138" s="60" t="s">
        <v>163</v>
      </c>
      <c r="J138" s="11" t="s">
        <v>762</v>
      </c>
      <c r="K138" s="60"/>
      <c r="L138" s="11"/>
      <c r="M138" s="11">
        <v>2</v>
      </c>
      <c r="N138" s="11">
        <v>22</v>
      </c>
      <c r="O138" s="11">
        <v>22</v>
      </c>
      <c r="P138" s="11">
        <v>0</v>
      </c>
      <c r="Q138" s="11">
        <v>22</v>
      </c>
      <c r="R138" s="11">
        <v>25</v>
      </c>
      <c r="S138" s="11">
        <v>20</v>
      </c>
      <c r="T138" s="11">
        <v>19</v>
      </c>
      <c r="U138" s="11">
        <v>24</v>
      </c>
      <c r="V138" s="11">
        <v>22</v>
      </c>
      <c r="W138" s="11">
        <v>3</v>
      </c>
      <c r="X138" s="11">
        <v>9</v>
      </c>
    </row>
    <row r="139" spans="1:24" ht="14.25" customHeight="1" x14ac:dyDescent="0.25">
      <c r="A139" s="11"/>
      <c r="B139" s="11">
        <v>15</v>
      </c>
      <c r="C139" s="11" t="s">
        <v>148</v>
      </c>
      <c r="D139" s="11"/>
      <c r="E139" s="11">
        <v>1</v>
      </c>
      <c r="F139" s="11" t="s">
        <v>886</v>
      </c>
      <c r="G139" s="11"/>
      <c r="H139" s="11" t="s">
        <v>506</v>
      </c>
      <c r="I139" s="11" t="s">
        <v>66</v>
      </c>
      <c r="J139" s="11" t="s">
        <v>762</v>
      </c>
      <c r="K139" s="11"/>
      <c r="L139" s="11"/>
      <c r="M139" s="11">
        <v>13</v>
      </c>
      <c r="N139" s="11">
        <v>149</v>
      </c>
      <c r="O139" s="11">
        <v>164</v>
      </c>
      <c r="P139" s="11">
        <v>-15</v>
      </c>
      <c r="Q139" s="11">
        <v>190</v>
      </c>
      <c r="R139" s="11">
        <v>171</v>
      </c>
      <c r="S139" s="11">
        <v>143</v>
      </c>
      <c r="T139" s="11">
        <v>141</v>
      </c>
      <c r="U139" s="11">
        <v>215</v>
      </c>
      <c r="V139" s="11">
        <v>167</v>
      </c>
      <c r="W139" s="11">
        <v>4</v>
      </c>
      <c r="X139" s="11">
        <v>57</v>
      </c>
    </row>
    <row r="140" spans="1:24" ht="14.25" customHeight="1" x14ac:dyDescent="0.25">
      <c r="A140" s="11"/>
      <c r="B140" s="11">
        <v>16</v>
      </c>
      <c r="C140" s="11" t="s">
        <v>148</v>
      </c>
      <c r="D140" s="11"/>
      <c r="E140" s="11">
        <v>3</v>
      </c>
      <c r="F140" s="11" t="s">
        <v>886</v>
      </c>
      <c r="G140" s="11"/>
      <c r="H140" s="11" t="s">
        <v>306</v>
      </c>
      <c r="I140" s="11" t="s">
        <v>49</v>
      </c>
      <c r="J140" s="11" t="s">
        <v>760</v>
      </c>
      <c r="K140" s="11"/>
      <c r="L140" s="11"/>
      <c r="M140" s="11">
        <v>18</v>
      </c>
      <c r="N140" s="11">
        <v>207</v>
      </c>
      <c r="O140" s="11">
        <v>168</v>
      </c>
      <c r="P140" s="11">
        <v>39</v>
      </c>
      <c r="Q140" s="11">
        <v>160</v>
      </c>
      <c r="R140" s="11">
        <v>232</v>
      </c>
      <c r="S140" s="11">
        <v>197</v>
      </c>
      <c r="T140" s="11">
        <v>195</v>
      </c>
      <c r="U140" s="11">
        <v>167</v>
      </c>
      <c r="V140" s="11">
        <v>189</v>
      </c>
      <c r="W140" s="11">
        <v>43</v>
      </c>
      <c r="X140" s="11" t="s">
        <v>886</v>
      </c>
    </row>
    <row r="141" spans="1:24" ht="14.25" customHeight="1" x14ac:dyDescent="0.25">
      <c r="A141" s="11"/>
      <c r="B141" s="11" t="e">
        <v>#N/A</v>
      </c>
      <c r="C141" s="11" t="s">
        <v>148</v>
      </c>
      <c r="D141" s="11"/>
      <c r="E141" s="11"/>
      <c r="F141" s="11" t="s">
        <v>886</v>
      </c>
      <c r="G141" s="11"/>
      <c r="H141" s="11" t="s">
        <v>915</v>
      </c>
      <c r="I141" s="11" t="e">
        <v>#N/A</v>
      </c>
      <c r="J141" s="11" t="e">
        <v>#N/A</v>
      </c>
      <c r="K141" s="11"/>
      <c r="L141" s="11"/>
      <c r="M141" s="11">
        <v>16</v>
      </c>
      <c r="N141" s="11" t="e">
        <v>#N/A</v>
      </c>
      <c r="O141" s="11" t="e">
        <v>#N/A</v>
      </c>
      <c r="P141" s="11" t="e">
        <v>#N/A</v>
      </c>
      <c r="Q141" s="11" t="e">
        <v>#N/A</v>
      </c>
      <c r="R141" s="11" t="e">
        <v>#N/A</v>
      </c>
      <c r="S141" s="11" t="e">
        <v>#N/A</v>
      </c>
      <c r="T141" s="11" t="e">
        <v>#N/A</v>
      </c>
      <c r="U141" s="11" t="e">
        <v>#N/A</v>
      </c>
      <c r="V141" s="11" t="e">
        <v>#N/A</v>
      </c>
      <c r="W141" s="11" t="e">
        <v>#N/A</v>
      </c>
      <c r="X141" s="11" t="e">
        <v>#N/A</v>
      </c>
    </row>
    <row r="142" spans="1:24" ht="14.25" customHeight="1" x14ac:dyDescent="0.25">
      <c r="A142" s="11"/>
      <c r="B142" s="11">
        <v>19</v>
      </c>
      <c r="C142" s="11" t="s">
        <v>148</v>
      </c>
      <c r="D142" s="11"/>
      <c r="E142" s="11">
        <v>1</v>
      </c>
      <c r="F142" s="11" t="s">
        <v>886</v>
      </c>
      <c r="G142" s="11"/>
      <c r="H142" s="11" t="s">
        <v>530</v>
      </c>
      <c r="I142" s="11" t="s">
        <v>91</v>
      </c>
      <c r="J142" s="11" t="s">
        <v>762</v>
      </c>
      <c r="K142" s="11"/>
      <c r="L142" s="11"/>
      <c r="M142" s="11">
        <v>18</v>
      </c>
      <c r="N142" s="11">
        <v>213</v>
      </c>
      <c r="O142" s="11" t="s">
        <v>36</v>
      </c>
      <c r="P142" s="11" t="e">
        <v>#VALUE!</v>
      </c>
      <c r="Q142" s="11" t="s">
        <v>36</v>
      </c>
      <c r="R142" s="11">
        <v>278</v>
      </c>
      <c r="S142" s="11">
        <v>193</v>
      </c>
      <c r="T142" s="11">
        <v>190</v>
      </c>
      <c r="U142" s="11">
        <v>232</v>
      </c>
      <c r="V142" s="11">
        <v>221</v>
      </c>
      <c r="W142" s="11">
        <v>57</v>
      </c>
      <c r="X142" s="11" t="s">
        <v>886</v>
      </c>
    </row>
    <row r="143" spans="1:24" ht="14.25" customHeight="1" x14ac:dyDescent="0.25">
      <c r="A143" s="11"/>
      <c r="B143" s="11">
        <v>22</v>
      </c>
      <c r="C143" s="11" t="s">
        <v>148</v>
      </c>
      <c r="D143" s="11"/>
      <c r="E143" s="11"/>
      <c r="F143" s="11" t="s">
        <v>886</v>
      </c>
      <c r="G143" s="11"/>
      <c r="H143" s="11" t="s">
        <v>811</v>
      </c>
      <c r="I143" s="11" t="s">
        <v>155</v>
      </c>
      <c r="J143" s="11" t="s">
        <v>769</v>
      </c>
      <c r="K143" s="11"/>
      <c r="L143" s="11"/>
      <c r="M143" s="11">
        <v>23</v>
      </c>
      <c r="N143" s="11">
        <v>271</v>
      </c>
      <c r="O143" s="11" t="s">
        <v>36</v>
      </c>
      <c r="P143" s="11" t="e">
        <v>#VALUE!</v>
      </c>
      <c r="Q143" s="11">
        <v>225</v>
      </c>
      <c r="R143" s="11">
        <v>290</v>
      </c>
      <c r="S143" s="11">
        <v>259</v>
      </c>
      <c r="T143" s="11">
        <v>266</v>
      </c>
      <c r="U143" s="11">
        <v>229</v>
      </c>
      <c r="V143" s="11">
        <v>256</v>
      </c>
      <c r="W143" s="11">
        <v>34</v>
      </c>
      <c r="X143" s="11" t="s">
        <v>886</v>
      </c>
    </row>
    <row r="144" spans="1:24" ht="14.25" customHeight="1" x14ac:dyDescent="0.25">
      <c r="A144" s="11" t="s">
        <v>148</v>
      </c>
      <c r="B144" s="11">
        <v>15</v>
      </c>
      <c r="C144" s="11" t="s">
        <v>119</v>
      </c>
      <c r="D144" s="11"/>
      <c r="E144" s="11">
        <v>1</v>
      </c>
      <c r="F144" s="11" t="s">
        <v>886</v>
      </c>
      <c r="G144" s="11" t="s">
        <v>148</v>
      </c>
      <c r="H144" s="11" t="s">
        <v>572</v>
      </c>
      <c r="I144" s="11" t="s">
        <v>91</v>
      </c>
      <c r="J144" s="11" t="s">
        <v>764</v>
      </c>
      <c r="K144" s="44"/>
      <c r="L144" s="11"/>
      <c r="M144" s="11">
        <v>13</v>
      </c>
      <c r="N144" s="11">
        <v>152</v>
      </c>
      <c r="O144" s="11">
        <v>144</v>
      </c>
      <c r="P144" s="11">
        <v>8</v>
      </c>
      <c r="Q144" s="11">
        <v>176</v>
      </c>
      <c r="R144" s="11">
        <v>198</v>
      </c>
      <c r="S144" s="11">
        <v>153</v>
      </c>
      <c r="T144" s="11">
        <v>128</v>
      </c>
      <c r="U144" s="11">
        <v>185</v>
      </c>
      <c r="V144" s="11">
        <v>162</v>
      </c>
      <c r="W144" s="11">
        <v>36</v>
      </c>
      <c r="X144" s="11">
        <v>52</v>
      </c>
    </row>
    <row r="145" spans="1:24" ht="14.25" customHeight="1" x14ac:dyDescent="0.25">
      <c r="A145" s="11"/>
      <c r="B145" s="11" t="e">
        <v>#N/A</v>
      </c>
      <c r="C145" s="11" t="s">
        <v>148</v>
      </c>
      <c r="D145" s="11"/>
      <c r="E145" s="11">
        <v>1</v>
      </c>
      <c r="F145" s="11" t="s">
        <v>886</v>
      </c>
      <c r="G145" s="11" t="s">
        <v>148</v>
      </c>
      <c r="H145" s="11" t="s">
        <v>916</v>
      </c>
      <c r="I145" s="11" t="e">
        <v>#N/A</v>
      </c>
      <c r="J145" s="11" t="e">
        <v>#N/A</v>
      </c>
      <c r="K145" s="11"/>
      <c r="L145" s="11"/>
      <c r="M145" s="11">
        <v>16</v>
      </c>
      <c r="N145" s="11" t="e">
        <v>#N/A</v>
      </c>
      <c r="O145" s="11" t="e">
        <v>#N/A</v>
      </c>
      <c r="P145" s="11" t="e">
        <v>#N/A</v>
      </c>
      <c r="Q145" s="11" t="e">
        <v>#N/A</v>
      </c>
      <c r="R145" s="11" t="e">
        <v>#N/A</v>
      </c>
      <c r="S145" s="11" t="e">
        <v>#N/A</v>
      </c>
      <c r="T145" s="11" t="e">
        <v>#N/A</v>
      </c>
      <c r="U145" s="11" t="e">
        <v>#N/A</v>
      </c>
      <c r="V145" s="11" t="e">
        <v>#N/A</v>
      </c>
      <c r="W145" s="11" t="e">
        <v>#N/A</v>
      </c>
      <c r="X145" s="11" t="e">
        <v>#N/A</v>
      </c>
    </row>
    <row r="146" spans="1:24" ht="14.25" customHeight="1" x14ac:dyDescent="0.25">
      <c r="A146" s="11"/>
      <c r="B146" s="11" t="e">
        <v>#N/A</v>
      </c>
      <c r="C146" s="11" t="s">
        <v>148</v>
      </c>
      <c r="D146" s="11"/>
      <c r="E146" s="11"/>
      <c r="F146" s="11" t="s">
        <v>886</v>
      </c>
      <c r="G146" s="11"/>
      <c r="H146" s="11" t="s">
        <v>695</v>
      </c>
      <c r="I146" s="11" t="e">
        <v>#N/A</v>
      </c>
      <c r="J146" s="11" t="e">
        <v>#N/A</v>
      </c>
      <c r="K146" s="11"/>
      <c r="L146" s="11"/>
      <c r="M146" s="11">
        <v>16</v>
      </c>
      <c r="N146" s="11" t="e">
        <v>#N/A</v>
      </c>
      <c r="O146" s="11" t="e">
        <v>#N/A</v>
      </c>
      <c r="P146" s="11" t="e">
        <v>#N/A</v>
      </c>
      <c r="Q146" s="11" t="e">
        <v>#N/A</v>
      </c>
      <c r="R146" s="11" t="e">
        <v>#N/A</v>
      </c>
      <c r="S146" s="11" t="e">
        <v>#N/A</v>
      </c>
      <c r="T146" s="11" t="e">
        <v>#N/A</v>
      </c>
      <c r="U146" s="11" t="e">
        <v>#N/A</v>
      </c>
      <c r="V146" s="11" t="e">
        <v>#N/A</v>
      </c>
      <c r="W146" s="11" t="e">
        <v>#N/A</v>
      </c>
      <c r="X146" s="11" t="e">
        <v>#N/A</v>
      </c>
    </row>
    <row r="147" spans="1:24" ht="14.25" customHeight="1" x14ac:dyDescent="0.25">
      <c r="A147" s="11"/>
      <c r="B147" s="11">
        <v>10</v>
      </c>
      <c r="C147" s="11" t="s">
        <v>119</v>
      </c>
      <c r="D147" s="11">
        <v>5</v>
      </c>
      <c r="E147" s="11">
        <v>0</v>
      </c>
      <c r="F147" s="11">
        <v>5</v>
      </c>
      <c r="G147" s="11"/>
      <c r="H147" s="11" t="s">
        <v>141</v>
      </c>
      <c r="I147" s="11" t="s">
        <v>69</v>
      </c>
      <c r="J147" s="11" t="s">
        <v>762</v>
      </c>
      <c r="K147" s="11"/>
      <c r="L147" s="11"/>
      <c r="M147" s="11">
        <v>9</v>
      </c>
      <c r="N147" s="11">
        <v>100</v>
      </c>
      <c r="O147" s="11">
        <v>108</v>
      </c>
      <c r="P147" s="11">
        <v>-8</v>
      </c>
      <c r="Q147" s="11">
        <v>103</v>
      </c>
      <c r="R147" s="11">
        <v>117</v>
      </c>
      <c r="S147" s="11">
        <v>106</v>
      </c>
      <c r="T147" s="11">
        <v>106</v>
      </c>
      <c r="U147" s="11">
        <v>150</v>
      </c>
      <c r="V147" s="11">
        <v>112</v>
      </c>
      <c r="W147" s="11">
        <v>5</v>
      </c>
      <c r="X147" s="11">
        <v>52</v>
      </c>
    </row>
    <row r="148" spans="1:24" ht="14.25" customHeight="1" x14ac:dyDescent="0.25">
      <c r="A148" s="11"/>
      <c r="B148" s="11" t="e">
        <v>#N/A</v>
      </c>
      <c r="C148" s="11" t="s">
        <v>119</v>
      </c>
      <c r="D148" s="11">
        <v>1</v>
      </c>
      <c r="E148" s="11">
        <v>0</v>
      </c>
      <c r="F148" s="11">
        <v>1</v>
      </c>
      <c r="G148" s="11"/>
      <c r="H148" s="11" t="s">
        <v>917</v>
      </c>
      <c r="I148" s="11" t="e">
        <v>#N/A</v>
      </c>
      <c r="J148" s="11" t="e">
        <v>#N/A</v>
      </c>
      <c r="K148" s="11"/>
      <c r="L148" s="11"/>
      <c r="M148" s="11">
        <v>16</v>
      </c>
      <c r="N148" s="11" t="e">
        <v>#N/A</v>
      </c>
      <c r="O148" s="11" t="e">
        <v>#N/A</v>
      </c>
      <c r="P148" s="11" t="e">
        <v>#N/A</v>
      </c>
      <c r="Q148" s="11" t="e">
        <v>#N/A</v>
      </c>
      <c r="R148" s="11" t="e">
        <v>#N/A</v>
      </c>
      <c r="S148" s="11" t="e">
        <v>#N/A</v>
      </c>
      <c r="T148" s="11" t="e">
        <v>#N/A</v>
      </c>
      <c r="U148" s="11" t="e">
        <v>#N/A</v>
      </c>
      <c r="V148" s="11" t="e">
        <v>#N/A</v>
      </c>
      <c r="W148" s="11" t="e">
        <v>#N/A</v>
      </c>
      <c r="X148" s="11" t="e">
        <v>#N/A</v>
      </c>
    </row>
    <row r="149" spans="1:24" ht="14.25" customHeight="1" x14ac:dyDescent="0.25">
      <c r="A149" s="11"/>
      <c r="B149" s="11">
        <v>21</v>
      </c>
      <c r="C149" s="11" t="s">
        <v>148</v>
      </c>
      <c r="D149" s="11"/>
      <c r="E149" s="11">
        <v>0</v>
      </c>
      <c r="F149" s="11" t="s">
        <v>886</v>
      </c>
      <c r="G149" s="11"/>
      <c r="H149" s="11" t="s">
        <v>908</v>
      </c>
      <c r="I149" s="11" t="s">
        <v>229</v>
      </c>
      <c r="J149" s="11" t="s">
        <v>764</v>
      </c>
      <c r="K149" s="11"/>
      <c r="L149" s="11"/>
      <c r="M149" s="11">
        <v>20</v>
      </c>
      <c r="N149" s="11">
        <v>235</v>
      </c>
      <c r="O149" s="11" t="s">
        <v>36</v>
      </c>
      <c r="P149" s="11" t="e">
        <v>#VALUE!</v>
      </c>
      <c r="Q149" s="11" t="s">
        <v>36</v>
      </c>
      <c r="R149" s="11">
        <v>316</v>
      </c>
      <c r="S149" s="11">
        <v>202</v>
      </c>
      <c r="T149" s="11">
        <v>228</v>
      </c>
      <c r="U149" s="11">
        <v>238</v>
      </c>
      <c r="V149" s="11">
        <v>243</v>
      </c>
      <c r="W149" s="11">
        <v>73</v>
      </c>
      <c r="X149" s="11" t="s">
        <v>886</v>
      </c>
    </row>
    <row r="150" spans="1:24" ht="14.25" customHeight="1" x14ac:dyDescent="0.25">
      <c r="A150" s="11"/>
      <c r="B150" s="11" t="e">
        <v>#N/A</v>
      </c>
      <c r="C150" s="11" t="s">
        <v>148</v>
      </c>
      <c r="D150" s="11"/>
      <c r="E150" s="11">
        <v>1</v>
      </c>
      <c r="F150" s="11" t="s">
        <v>886</v>
      </c>
      <c r="G150" s="11"/>
      <c r="H150" s="11" t="s">
        <v>918</v>
      </c>
      <c r="I150" s="11" t="e">
        <v>#N/A</v>
      </c>
      <c r="J150" s="11" t="e">
        <v>#N/A</v>
      </c>
      <c r="K150" s="11"/>
      <c r="L150" s="11"/>
      <c r="M150" s="11">
        <v>16</v>
      </c>
      <c r="N150" s="11" t="e">
        <v>#N/A</v>
      </c>
      <c r="O150" s="11" t="e">
        <v>#N/A</v>
      </c>
      <c r="P150" s="11" t="e">
        <v>#N/A</v>
      </c>
      <c r="Q150" s="11" t="e">
        <v>#N/A</v>
      </c>
      <c r="R150" s="11" t="e">
        <v>#N/A</v>
      </c>
      <c r="S150" s="11" t="e">
        <v>#N/A</v>
      </c>
      <c r="T150" s="11" t="e">
        <v>#N/A</v>
      </c>
      <c r="U150" s="11" t="e">
        <v>#N/A</v>
      </c>
      <c r="V150" s="11" t="e">
        <v>#N/A</v>
      </c>
      <c r="W150" s="11" t="e">
        <v>#N/A</v>
      </c>
      <c r="X150" s="11" t="s">
        <v>886</v>
      </c>
    </row>
    <row r="151" spans="1:24" ht="14.25" customHeight="1" x14ac:dyDescent="0.25">
      <c r="A151" s="11"/>
      <c r="B151" s="11">
        <v>26</v>
      </c>
      <c r="C151" s="11" t="s">
        <v>148</v>
      </c>
      <c r="D151" s="11"/>
      <c r="E151" s="11">
        <v>0</v>
      </c>
      <c r="F151" s="11" t="s">
        <v>886</v>
      </c>
      <c r="G151" s="11" t="s">
        <v>148</v>
      </c>
      <c r="H151" s="11" t="s">
        <v>493</v>
      </c>
      <c r="I151" s="11" t="s">
        <v>214</v>
      </c>
      <c r="J151" s="11" t="s">
        <v>764</v>
      </c>
      <c r="K151" s="11"/>
      <c r="L151" s="11"/>
      <c r="M151" s="11">
        <v>24</v>
      </c>
      <c r="N151" s="11">
        <v>284</v>
      </c>
      <c r="O151" s="11" t="s">
        <v>36</v>
      </c>
      <c r="P151" s="11" t="e">
        <v>#VALUE!</v>
      </c>
      <c r="Q151" s="11" t="s">
        <v>36</v>
      </c>
      <c r="R151" s="11">
        <v>291</v>
      </c>
      <c r="S151" s="11">
        <v>322</v>
      </c>
      <c r="T151" s="11">
        <v>277</v>
      </c>
      <c r="U151" s="11">
        <v>326</v>
      </c>
      <c r="V151" s="11">
        <v>300</v>
      </c>
      <c r="W151" s="11">
        <v>-9</v>
      </c>
      <c r="X151" s="11" t="s">
        <v>886</v>
      </c>
    </row>
    <row r="152" spans="1:24" ht="14.25" customHeight="1" x14ac:dyDescent="0.25">
      <c r="A152" s="11"/>
      <c r="B152" s="11" t="e">
        <v>#N/A</v>
      </c>
      <c r="C152" s="11" t="s">
        <v>148</v>
      </c>
      <c r="D152" s="11"/>
      <c r="E152" s="11"/>
      <c r="F152" s="11" t="s">
        <v>886</v>
      </c>
      <c r="G152" s="11"/>
      <c r="H152" s="11" t="s">
        <v>919</v>
      </c>
      <c r="I152" s="11" t="e">
        <v>#N/A</v>
      </c>
      <c r="J152" s="11" t="e">
        <v>#N/A</v>
      </c>
      <c r="K152" s="11"/>
      <c r="L152" s="11"/>
      <c r="M152" s="11">
        <v>16</v>
      </c>
      <c r="N152" s="11" t="e">
        <v>#N/A</v>
      </c>
      <c r="O152" s="11" t="e">
        <v>#N/A</v>
      </c>
      <c r="P152" s="11" t="e">
        <v>#N/A</v>
      </c>
      <c r="Q152" s="11" t="e">
        <v>#N/A</v>
      </c>
      <c r="R152" s="11" t="e">
        <v>#N/A</v>
      </c>
      <c r="S152" s="11" t="e">
        <v>#N/A</v>
      </c>
      <c r="T152" s="11" t="e">
        <v>#N/A</v>
      </c>
      <c r="U152" s="11" t="e">
        <v>#N/A</v>
      </c>
      <c r="V152" s="11" t="e">
        <v>#N/A</v>
      </c>
      <c r="W152" s="11" t="e">
        <v>#N/A</v>
      </c>
      <c r="X152" s="11" t="e">
        <v>#N/A</v>
      </c>
    </row>
    <row r="153" spans="1:24" ht="14.25" customHeight="1" x14ac:dyDescent="0.25">
      <c r="A153" s="11"/>
      <c r="B153" s="11">
        <v>7</v>
      </c>
      <c r="C153" s="11" t="s">
        <v>148</v>
      </c>
      <c r="D153" s="11"/>
      <c r="E153" s="11"/>
      <c r="F153" s="11" t="s">
        <v>886</v>
      </c>
      <c r="G153" s="11"/>
      <c r="H153" s="11" t="s">
        <v>364</v>
      </c>
      <c r="I153" s="11" t="s">
        <v>163</v>
      </c>
      <c r="J153" s="11" t="s">
        <v>760</v>
      </c>
      <c r="K153" s="11"/>
      <c r="L153" s="11"/>
      <c r="M153" s="11">
        <v>6</v>
      </c>
      <c r="N153" s="11">
        <v>71</v>
      </c>
      <c r="O153" s="11">
        <v>54</v>
      </c>
      <c r="P153" s="11">
        <v>17</v>
      </c>
      <c r="Q153" s="11">
        <v>52</v>
      </c>
      <c r="R153" s="11">
        <v>85</v>
      </c>
      <c r="S153" s="11">
        <v>92</v>
      </c>
      <c r="T153" s="11">
        <v>78</v>
      </c>
      <c r="U153" s="11">
        <v>61</v>
      </c>
      <c r="V153" s="11">
        <v>70</v>
      </c>
      <c r="W153" s="11">
        <v>15</v>
      </c>
      <c r="X153" s="11">
        <v>6</v>
      </c>
    </row>
    <row r="154" spans="1:24" ht="14.25" customHeight="1" x14ac:dyDescent="0.25">
      <c r="A154" s="11"/>
      <c r="B154" s="11">
        <v>22</v>
      </c>
      <c r="C154" s="11" t="s">
        <v>148</v>
      </c>
      <c r="D154" s="11"/>
      <c r="E154" s="11">
        <v>0</v>
      </c>
      <c r="F154" s="11" t="s">
        <v>886</v>
      </c>
      <c r="G154" s="11" t="s">
        <v>148</v>
      </c>
      <c r="H154" s="44" t="s">
        <v>828</v>
      </c>
      <c r="I154" s="44" t="s">
        <v>44</v>
      </c>
      <c r="J154" s="11" t="s">
        <v>764</v>
      </c>
      <c r="K154" s="44"/>
      <c r="L154" s="11"/>
      <c r="M154" s="11">
        <v>22</v>
      </c>
      <c r="N154" s="11">
        <v>262</v>
      </c>
      <c r="O154" s="11" t="s">
        <v>36</v>
      </c>
      <c r="P154" s="11" t="e">
        <v>#VALUE!</v>
      </c>
      <c r="Q154" s="11" t="s">
        <v>36</v>
      </c>
      <c r="R154" s="11">
        <v>324</v>
      </c>
      <c r="S154" s="11">
        <v>245</v>
      </c>
      <c r="T154" s="11">
        <v>217</v>
      </c>
      <c r="U154" s="11">
        <v>267</v>
      </c>
      <c r="V154" s="11">
        <v>263</v>
      </c>
      <c r="W154" s="11">
        <v>61</v>
      </c>
      <c r="X154" s="11" t="s">
        <v>886</v>
      </c>
    </row>
    <row r="155" spans="1:24" ht="14.25" customHeight="1" x14ac:dyDescent="0.25">
      <c r="A155" s="11"/>
      <c r="B155" s="11">
        <v>17</v>
      </c>
      <c r="C155" s="11" t="s">
        <v>148</v>
      </c>
      <c r="D155" s="11"/>
      <c r="E155" s="11"/>
      <c r="F155" s="11" t="s">
        <v>886</v>
      </c>
      <c r="G155" s="11"/>
      <c r="H155" s="11" t="s">
        <v>911</v>
      </c>
      <c r="I155" s="11" t="s">
        <v>66</v>
      </c>
      <c r="J155" s="11" t="s">
        <v>764</v>
      </c>
      <c r="K155" s="11"/>
      <c r="L155" s="11"/>
      <c r="M155" s="11">
        <v>15</v>
      </c>
      <c r="N155" s="11">
        <v>174</v>
      </c>
      <c r="O155" s="11" t="s">
        <v>36</v>
      </c>
      <c r="P155" s="11" t="e">
        <v>#VALUE!</v>
      </c>
      <c r="Q155" s="11" t="s">
        <v>36</v>
      </c>
      <c r="R155" s="11">
        <v>221</v>
      </c>
      <c r="S155" s="11">
        <v>158</v>
      </c>
      <c r="T155" s="11">
        <v>155</v>
      </c>
      <c r="U155" s="11">
        <v>235</v>
      </c>
      <c r="V155" s="11">
        <v>188</v>
      </c>
      <c r="W155" s="11">
        <v>33</v>
      </c>
      <c r="X155" s="11">
        <v>61</v>
      </c>
    </row>
    <row r="156" spans="1:24" ht="14.25" customHeight="1" x14ac:dyDescent="0.25">
      <c r="A156" s="11"/>
      <c r="B156" s="11" t="e">
        <v>#N/A</v>
      </c>
      <c r="C156" s="11" t="s">
        <v>148</v>
      </c>
      <c r="D156" s="11"/>
      <c r="E156" s="11"/>
      <c r="F156" s="11" t="s">
        <v>886</v>
      </c>
      <c r="G156" s="11"/>
      <c r="H156" s="11" t="s">
        <v>921</v>
      </c>
      <c r="I156" s="11" t="e">
        <v>#N/A</v>
      </c>
      <c r="J156" s="11" t="e">
        <v>#N/A</v>
      </c>
      <c r="K156" s="11"/>
      <c r="L156" s="11"/>
      <c r="M156" s="11">
        <v>16</v>
      </c>
      <c r="N156" s="11" t="e">
        <v>#N/A</v>
      </c>
      <c r="O156" s="11" t="e">
        <v>#N/A</v>
      </c>
      <c r="P156" s="11" t="e">
        <v>#N/A</v>
      </c>
      <c r="Q156" s="11" t="e">
        <v>#N/A</v>
      </c>
      <c r="R156" s="11" t="e">
        <v>#N/A</v>
      </c>
      <c r="S156" s="11" t="e">
        <v>#N/A</v>
      </c>
      <c r="T156" s="11" t="e">
        <v>#N/A</v>
      </c>
      <c r="U156" s="11" t="e">
        <v>#N/A</v>
      </c>
      <c r="V156" s="11" t="e">
        <v>#N/A</v>
      </c>
      <c r="W156" s="11" t="e">
        <v>#N/A</v>
      </c>
      <c r="X156" s="11" t="e">
        <v>#N/A</v>
      </c>
    </row>
    <row r="157" spans="1:24" ht="14.25" customHeight="1" x14ac:dyDescent="0.25">
      <c r="A157" s="11"/>
      <c r="B157" s="11">
        <v>13</v>
      </c>
      <c r="C157" s="11" t="s">
        <v>119</v>
      </c>
      <c r="D157" s="11">
        <v>2</v>
      </c>
      <c r="E157" s="11">
        <v>0</v>
      </c>
      <c r="F157" s="11">
        <v>2</v>
      </c>
      <c r="G157" s="11"/>
      <c r="H157" s="11" t="s">
        <v>902</v>
      </c>
      <c r="I157" s="11" t="s">
        <v>116</v>
      </c>
      <c r="J157" s="11" t="s">
        <v>762</v>
      </c>
      <c r="K157" s="11"/>
      <c r="L157" s="11"/>
      <c r="M157" s="11">
        <v>12</v>
      </c>
      <c r="N157" s="11">
        <v>141</v>
      </c>
      <c r="O157" s="11">
        <v>111</v>
      </c>
      <c r="P157" s="11">
        <v>30</v>
      </c>
      <c r="Q157" s="11">
        <v>133</v>
      </c>
      <c r="R157" s="11">
        <v>194</v>
      </c>
      <c r="S157" s="11">
        <v>128</v>
      </c>
      <c r="T157" s="11">
        <v>147</v>
      </c>
      <c r="U157" s="11">
        <v>175</v>
      </c>
      <c r="V157" s="11">
        <v>147</v>
      </c>
      <c r="W157" s="11">
        <v>47</v>
      </c>
      <c r="X157" s="11">
        <v>47</v>
      </c>
    </row>
    <row r="158" spans="1:24" ht="14.25" customHeight="1" x14ac:dyDescent="0.25">
      <c r="A158" s="11"/>
      <c r="B158" s="11">
        <v>7</v>
      </c>
      <c r="C158" s="11" t="s">
        <v>148</v>
      </c>
      <c r="D158" s="11"/>
      <c r="E158" s="11"/>
      <c r="F158" s="11" t="s">
        <v>886</v>
      </c>
      <c r="G158" s="11"/>
      <c r="H158" s="11" t="s">
        <v>429</v>
      </c>
      <c r="I158" s="11" t="s">
        <v>187</v>
      </c>
      <c r="J158" s="11" t="s">
        <v>764</v>
      </c>
      <c r="K158" s="11"/>
      <c r="L158" s="11"/>
      <c r="M158" s="11">
        <v>7</v>
      </c>
      <c r="N158" s="11">
        <v>75</v>
      </c>
      <c r="O158" s="11">
        <v>69</v>
      </c>
      <c r="P158" s="11">
        <v>6</v>
      </c>
      <c r="Q158" s="11">
        <v>68</v>
      </c>
      <c r="R158" s="11">
        <v>81</v>
      </c>
      <c r="S158" s="11">
        <v>74</v>
      </c>
      <c r="T158" s="11">
        <v>62</v>
      </c>
      <c r="U158" s="11">
        <v>98</v>
      </c>
      <c r="V158" s="11">
        <v>75</v>
      </c>
      <c r="W158" s="11">
        <v>6</v>
      </c>
      <c r="X158" s="11">
        <v>37</v>
      </c>
    </row>
    <row r="159" spans="1:24" ht="14.25" customHeight="1" x14ac:dyDescent="0.25">
      <c r="A159" s="11"/>
      <c r="B159" s="11" t="e">
        <v>#N/A</v>
      </c>
      <c r="C159" s="11" t="s">
        <v>148</v>
      </c>
      <c r="D159" s="11"/>
      <c r="E159" s="11"/>
      <c r="F159" s="11" t="s">
        <v>886</v>
      </c>
      <c r="G159" s="11"/>
      <c r="H159" s="11" t="s">
        <v>922</v>
      </c>
      <c r="I159" s="11" t="e">
        <v>#N/A</v>
      </c>
      <c r="J159" s="11" t="e">
        <v>#N/A</v>
      </c>
      <c r="K159" s="11"/>
      <c r="L159" s="11"/>
      <c r="M159" s="11">
        <v>16</v>
      </c>
      <c r="N159" s="11" t="e">
        <v>#N/A</v>
      </c>
      <c r="O159" s="11" t="e">
        <v>#N/A</v>
      </c>
      <c r="P159" s="11" t="e">
        <v>#N/A</v>
      </c>
      <c r="Q159" s="11" t="e">
        <v>#N/A</v>
      </c>
      <c r="R159" s="11" t="e">
        <v>#N/A</v>
      </c>
      <c r="S159" s="11" t="e">
        <v>#N/A</v>
      </c>
      <c r="T159" s="11" t="e">
        <v>#N/A</v>
      </c>
      <c r="U159" s="11" t="e">
        <v>#N/A</v>
      </c>
      <c r="V159" s="11" t="e">
        <v>#N/A</v>
      </c>
      <c r="W159" s="11" t="e">
        <v>#N/A</v>
      </c>
      <c r="X159" s="11" t="e">
        <v>#N/A</v>
      </c>
    </row>
    <row r="160" spans="1:24" ht="14.25" customHeight="1" x14ac:dyDescent="0.25">
      <c r="A160" s="11"/>
      <c r="B160" s="11">
        <v>25</v>
      </c>
      <c r="C160" s="11" t="s">
        <v>148</v>
      </c>
      <c r="D160" s="11"/>
      <c r="E160" s="11"/>
      <c r="F160" s="11" t="s">
        <v>886</v>
      </c>
      <c r="G160" s="11"/>
      <c r="H160" s="11" t="s">
        <v>923</v>
      </c>
      <c r="I160" s="11" t="s">
        <v>88</v>
      </c>
      <c r="J160" s="11" t="s">
        <v>769</v>
      </c>
      <c r="K160" s="11"/>
      <c r="L160" s="11"/>
      <c r="M160" s="11">
        <v>26</v>
      </c>
      <c r="N160" s="11">
        <v>311</v>
      </c>
      <c r="O160" s="11" t="s">
        <v>36</v>
      </c>
      <c r="P160" s="11" t="e">
        <v>#VALUE!</v>
      </c>
      <c r="Q160" s="11">
        <v>326</v>
      </c>
      <c r="R160" s="11" t="s">
        <v>36</v>
      </c>
      <c r="S160" s="11">
        <v>291</v>
      </c>
      <c r="T160" s="11" t="s">
        <v>36</v>
      </c>
      <c r="U160" s="11">
        <v>262</v>
      </c>
      <c r="V160" s="11">
        <v>297</v>
      </c>
      <c r="W160" s="11" t="e">
        <v>#VALUE!</v>
      </c>
      <c r="X160" s="11" t="s">
        <v>886</v>
      </c>
    </row>
    <row r="161" spans="1:24" ht="14.25" customHeight="1" x14ac:dyDescent="0.25">
      <c r="A161" s="11"/>
      <c r="B161" s="11">
        <v>18</v>
      </c>
      <c r="C161" s="11" t="s">
        <v>148</v>
      </c>
      <c r="D161" s="11"/>
      <c r="E161" s="11"/>
      <c r="F161" s="11" t="s">
        <v>886</v>
      </c>
      <c r="G161" s="11"/>
      <c r="H161" s="11" t="s">
        <v>588</v>
      </c>
      <c r="I161" s="11" t="s">
        <v>94</v>
      </c>
      <c r="J161" s="11" t="s">
        <v>760</v>
      </c>
      <c r="K161" s="11"/>
      <c r="L161" s="11"/>
      <c r="M161" s="11">
        <v>20</v>
      </c>
      <c r="N161" s="11">
        <v>228</v>
      </c>
      <c r="O161" s="11">
        <v>176</v>
      </c>
      <c r="P161" s="11">
        <v>52</v>
      </c>
      <c r="Q161" s="11">
        <v>207</v>
      </c>
      <c r="R161" s="11">
        <v>238</v>
      </c>
      <c r="S161" s="11">
        <v>198</v>
      </c>
      <c r="T161" s="11">
        <v>191</v>
      </c>
      <c r="U161" s="11">
        <v>205</v>
      </c>
      <c r="V161" s="11">
        <v>206</v>
      </c>
      <c r="W161" s="11">
        <v>32</v>
      </c>
      <c r="X161" s="11" t="s">
        <v>886</v>
      </c>
    </row>
    <row r="162" spans="1:24" ht="14.25" customHeight="1" x14ac:dyDescent="0.25">
      <c r="A162" s="11"/>
      <c r="B162" s="11" t="e">
        <v>#N/A</v>
      </c>
      <c r="C162" s="11" t="s">
        <v>148</v>
      </c>
      <c r="D162" s="11"/>
      <c r="E162" s="11"/>
      <c r="F162" s="11" t="s">
        <v>886</v>
      </c>
      <c r="G162" s="11"/>
      <c r="H162" s="11" t="s">
        <v>924</v>
      </c>
      <c r="I162" s="11" t="e">
        <v>#N/A</v>
      </c>
      <c r="J162" s="11" t="e">
        <v>#N/A</v>
      </c>
      <c r="K162" s="11"/>
      <c r="L162" s="11"/>
      <c r="M162" s="11">
        <v>16</v>
      </c>
      <c r="N162" s="11" t="e">
        <v>#N/A</v>
      </c>
      <c r="O162" s="11" t="e">
        <v>#N/A</v>
      </c>
      <c r="P162" s="11" t="e">
        <v>#N/A</v>
      </c>
      <c r="Q162" s="11" t="e">
        <v>#N/A</v>
      </c>
      <c r="R162" s="11" t="e">
        <v>#N/A</v>
      </c>
      <c r="S162" s="11" t="e">
        <v>#N/A</v>
      </c>
      <c r="T162" s="11" t="e">
        <v>#N/A</v>
      </c>
      <c r="U162" s="11" t="e">
        <v>#N/A</v>
      </c>
      <c r="V162" s="11" t="e">
        <v>#N/A</v>
      </c>
      <c r="W162" s="11" t="e">
        <v>#N/A</v>
      </c>
      <c r="X162" s="11" t="e">
        <v>#N/A</v>
      </c>
    </row>
    <row r="163" spans="1:24" ht="14.25" customHeight="1" x14ac:dyDescent="0.25">
      <c r="A163" s="11"/>
      <c r="B163" s="11">
        <v>17</v>
      </c>
      <c r="C163" s="11" t="s">
        <v>148</v>
      </c>
      <c r="D163" s="11"/>
      <c r="E163" s="11"/>
      <c r="F163" s="11" t="s">
        <v>886</v>
      </c>
      <c r="G163" s="11"/>
      <c r="H163" s="11" t="s">
        <v>326</v>
      </c>
      <c r="I163" s="11" t="s">
        <v>91</v>
      </c>
      <c r="J163" s="11" t="s">
        <v>769</v>
      </c>
      <c r="K163" s="11"/>
      <c r="L163" s="11"/>
      <c r="M163" s="11">
        <v>15</v>
      </c>
      <c r="N163" s="11">
        <v>175</v>
      </c>
      <c r="O163" s="11">
        <v>187</v>
      </c>
      <c r="P163" s="11">
        <v>-12</v>
      </c>
      <c r="Q163" s="11">
        <v>203</v>
      </c>
      <c r="R163" s="11">
        <v>261</v>
      </c>
      <c r="S163" s="11">
        <v>157</v>
      </c>
      <c r="T163" s="11">
        <v>182</v>
      </c>
      <c r="U163" s="11">
        <v>160</v>
      </c>
      <c r="V163" s="11">
        <v>189</v>
      </c>
      <c r="W163" s="11">
        <v>72</v>
      </c>
      <c r="X163" s="11" t="s">
        <v>886</v>
      </c>
    </row>
    <row r="164" spans="1:24" ht="14.25" customHeight="1" x14ac:dyDescent="0.25">
      <c r="A164" s="11"/>
      <c r="B164" s="11" t="e">
        <v>#N/A</v>
      </c>
      <c r="C164" s="11" t="s">
        <v>148</v>
      </c>
      <c r="D164" s="11"/>
      <c r="E164" s="11"/>
      <c r="F164" s="11" t="s">
        <v>886</v>
      </c>
      <c r="G164" s="11"/>
      <c r="H164" s="11" t="s">
        <v>926</v>
      </c>
      <c r="I164" s="11" t="e">
        <v>#N/A</v>
      </c>
      <c r="J164" s="11" t="e">
        <v>#N/A</v>
      </c>
      <c r="K164" s="11"/>
      <c r="L164" s="11"/>
      <c r="M164" s="11">
        <v>16</v>
      </c>
      <c r="N164" s="11" t="e">
        <v>#N/A</v>
      </c>
      <c r="O164" s="11" t="e">
        <v>#N/A</v>
      </c>
      <c r="P164" s="11" t="e">
        <v>#N/A</v>
      </c>
      <c r="Q164" s="11" t="e">
        <v>#N/A</v>
      </c>
      <c r="R164" s="11" t="e">
        <v>#N/A</v>
      </c>
      <c r="S164" s="11" t="e">
        <v>#N/A</v>
      </c>
      <c r="T164" s="11" t="e">
        <v>#N/A</v>
      </c>
      <c r="U164" s="11" t="e">
        <v>#N/A</v>
      </c>
      <c r="V164" s="11" t="e">
        <v>#N/A</v>
      </c>
      <c r="W164" s="11" t="e">
        <v>#N/A</v>
      </c>
      <c r="X164" s="11" t="e">
        <v>#N/A</v>
      </c>
    </row>
    <row r="165" spans="1:24" ht="14.25" customHeight="1" x14ac:dyDescent="0.25">
      <c r="A165" s="11"/>
      <c r="B165" s="11">
        <v>18</v>
      </c>
      <c r="C165" s="11" t="s">
        <v>148</v>
      </c>
      <c r="D165" s="11"/>
      <c r="E165" s="11">
        <v>0</v>
      </c>
      <c r="F165" s="11" t="s">
        <v>886</v>
      </c>
      <c r="G165" s="11"/>
      <c r="H165" s="11" t="s">
        <v>278</v>
      </c>
      <c r="I165" s="11" t="s">
        <v>49</v>
      </c>
      <c r="J165" s="11" t="s">
        <v>762</v>
      </c>
      <c r="K165" s="11"/>
      <c r="L165" s="11"/>
      <c r="M165" s="11">
        <v>17</v>
      </c>
      <c r="N165" s="11">
        <v>200</v>
      </c>
      <c r="O165" s="11" t="s">
        <v>36</v>
      </c>
      <c r="P165" s="11" t="e">
        <v>#VALUE!</v>
      </c>
      <c r="Q165" s="11" t="s">
        <v>36</v>
      </c>
      <c r="R165" s="11">
        <v>248</v>
      </c>
      <c r="S165" s="11">
        <v>176</v>
      </c>
      <c r="T165" s="11">
        <v>181</v>
      </c>
      <c r="U165" s="11">
        <v>245</v>
      </c>
      <c r="V165" s="11">
        <v>210</v>
      </c>
      <c r="W165" s="11">
        <v>38</v>
      </c>
      <c r="X165" s="11" t="s">
        <v>886</v>
      </c>
    </row>
    <row r="166" spans="1:24" ht="14.25" customHeight="1" x14ac:dyDescent="0.25">
      <c r="A166" s="11"/>
      <c r="B166" s="11">
        <v>16</v>
      </c>
      <c r="C166" s="11" t="s">
        <v>148</v>
      </c>
      <c r="D166" s="11"/>
      <c r="E166" s="11"/>
      <c r="F166" s="11" t="s">
        <v>886</v>
      </c>
      <c r="G166" s="11"/>
      <c r="H166" s="11" t="s">
        <v>658</v>
      </c>
      <c r="I166" s="11" t="s">
        <v>55</v>
      </c>
      <c r="J166" s="11" t="s">
        <v>1080</v>
      </c>
      <c r="K166" s="11"/>
      <c r="L166" s="11"/>
      <c r="M166" s="11">
        <v>14</v>
      </c>
      <c r="N166" s="11">
        <v>156</v>
      </c>
      <c r="O166" s="11">
        <v>181</v>
      </c>
      <c r="P166" s="11">
        <v>-25</v>
      </c>
      <c r="Q166" s="11">
        <v>188</v>
      </c>
      <c r="R166" s="11">
        <v>229</v>
      </c>
      <c r="S166" s="11">
        <v>230</v>
      </c>
      <c r="T166" s="11">
        <v>185</v>
      </c>
      <c r="U166" s="11">
        <v>76</v>
      </c>
      <c r="V166" s="11">
        <v>177</v>
      </c>
      <c r="W166" s="11">
        <v>52</v>
      </c>
      <c r="X166" s="11" t="s">
        <v>886</v>
      </c>
    </row>
    <row r="167" spans="1:24" ht="14.25" customHeight="1" x14ac:dyDescent="0.25">
      <c r="A167" s="11"/>
      <c r="B167" s="11">
        <v>14</v>
      </c>
      <c r="C167" s="11" t="s">
        <v>148</v>
      </c>
      <c r="D167" s="11"/>
      <c r="E167" s="11">
        <v>0</v>
      </c>
      <c r="F167" s="11" t="s">
        <v>886</v>
      </c>
      <c r="G167" s="11"/>
      <c r="H167" s="11" t="s">
        <v>826</v>
      </c>
      <c r="I167" s="11" t="s">
        <v>123</v>
      </c>
      <c r="J167" s="11" t="s">
        <v>762</v>
      </c>
      <c r="K167" s="11"/>
      <c r="L167" s="11"/>
      <c r="M167" s="11">
        <v>12</v>
      </c>
      <c r="N167" s="11">
        <v>143</v>
      </c>
      <c r="O167" s="11">
        <v>149</v>
      </c>
      <c r="P167" s="11">
        <v>-6</v>
      </c>
      <c r="Q167" s="11">
        <v>151</v>
      </c>
      <c r="R167" s="11">
        <v>159</v>
      </c>
      <c r="S167" s="11">
        <v>121</v>
      </c>
      <c r="T167" s="11">
        <v>123</v>
      </c>
      <c r="U167" s="11">
        <v>227</v>
      </c>
      <c r="V167" s="11">
        <v>153</v>
      </c>
      <c r="W167" s="11">
        <v>6</v>
      </c>
      <c r="X167" s="11">
        <v>44</v>
      </c>
    </row>
    <row r="168" spans="1:24" ht="14.25" customHeight="1" x14ac:dyDescent="0.25">
      <c r="A168" s="11"/>
      <c r="B168" s="11" t="e">
        <v>#N/A</v>
      </c>
      <c r="C168" s="11" t="s">
        <v>148</v>
      </c>
      <c r="D168" s="11"/>
      <c r="E168" s="11"/>
      <c r="F168" s="11" t="s">
        <v>886</v>
      </c>
      <c r="G168" s="11"/>
      <c r="H168" s="11" t="s">
        <v>928</v>
      </c>
      <c r="I168" s="11" t="e">
        <v>#N/A</v>
      </c>
      <c r="J168" s="11" t="e">
        <v>#N/A</v>
      </c>
      <c r="K168" s="11"/>
      <c r="L168" s="11"/>
      <c r="M168" s="11">
        <v>16</v>
      </c>
      <c r="N168" s="11" t="e">
        <v>#N/A</v>
      </c>
      <c r="O168" s="11" t="e">
        <v>#N/A</v>
      </c>
      <c r="P168" s="11" t="e">
        <v>#N/A</v>
      </c>
      <c r="Q168" s="11" t="e">
        <v>#N/A</v>
      </c>
      <c r="R168" s="11" t="e">
        <v>#N/A</v>
      </c>
      <c r="S168" s="11" t="e">
        <v>#N/A</v>
      </c>
      <c r="T168" s="11" t="e">
        <v>#N/A</v>
      </c>
      <c r="U168" s="11" t="e">
        <v>#N/A</v>
      </c>
      <c r="V168" s="11" t="e">
        <v>#N/A</v>
      </c>
      <c r="W168" s="11" t="e">
        <v>#N/A</v>
      </c>
      <c r="X168" s="11" t="e">
        <v>#N/A</v>
      </c>
    </row>
    <row r="169" spans="1:24" ht="14.25" customHeight="1" x14ac:dyDescent="0.25">
      <c r="A169" s="11"/>
      <c r="B169" s="11">
        <v>15</v>
      </c>
      <c r="C169" s="11" t="s">
        <v>148</v>
      </c>
      <c r="D169" s="11"/>
      <c r="E169" s="11"/>
      <c r="F169" s="11" t="s">
        <v>886</v>
      </c>
      <c r="G169" s="11"/>
      <c r="H169" s="11" t="s">
        <v>920</v>
      </c>
      <c r="I169" s="11" t="s">
        <v>72</v>
      </c>
      <c r="J169" s="11" t="s">
        <v>764</v>
      </c>
      <c r="K169" s="11"/>
      <c r="L169" s="11"/>
      <c r="M169" s="11">
        <v>15</v>
      </c>
      <c r="N169" s="11">
        <v>171</v>
      </c>
      <c r="O169" s="11">
        <v>167</v>
      </c>
      <c r="P169" s="11">
        <v>4</v>
      </c>
      <c r="Q169" s="11">
        <v>159</v>
      </c>
      <c r="R169" s="11">
        <v>175</v>
      </c>
      <c r="S169" s="11">
        <v>168</v>
      </c>
      <c r="T169" s="11">
        <v>156</v>
      </c>
      <c r="U169" s="11">
        <v>203</v>
      </c>
      <c r="V169" s="11">
        <v>171</v>
      </c>
      <c r="W169" s="11">
        <v>4</v>
      </c>
      <c r="X169" s="11">
        <v>65</v>
      </c>
    </row>
    <row r="170" spans="1:24" ht="14.25" customHeight="1" x14ac:dyDescent="0.25">
      <c r="A170" s="11"/>
      <c r="B170" s="11">
        <v>7</v>
      </c>
      <c r="C170" s="11" t="s">
        <v>148</v>
      </c>
      <c r="D170" s="11"/>
      <c r="E170" s="11"/>
      <c r="F170" s="11" t="s">
        <v>886</v>
      </c>
      <c r="G170" s="11"/>
      <c r="H170" s="11" t="s">
        <v>318</v>
      </c>
      <c r="I170" s="11" t="s">
        <v>168</v>
      </c>
      <c r="J170" s="11" t="s">
        <v>760</v>
      </c>
      <c r="K170" s="11"/>
      <c r="L170" s="11"/>
      <c r="M170" s="11">
        <v>7</v>
      </c>
      <c r="N170" s="11">
        <v>79</v>
      </c>
      <c r="O170" s="11">
        <v>68</v>
      </c>
      <c r="P170" s="11">
        <v>11</v>
      </c>
      <c r="Q170" s="11">
        <v>66</v>
      </c>
      <c r="R170" s="11">
        <v>87</v>
      </c>
      <c r="S170" s="11">
        <v>89</v>
      </c>
      <c r="T170" s="11">
        <v>83</v>
      </c>
      <c r="U170" s="11">
        <v>64</v>
      </c>
      <c r="V170" s="11">
        <v>76</v>
      </c>
      <c r="W170" s="11">
        <v>11</v>
      </c>
      <c r="X170" s="11">
        <v>7</v>
      </c>
    </row>
    <row r="171" spans="1:24" ht="14.25" customHeight="1" x14ac:dyDescent="0.25">
      <c r="A171" s="11"/>
      <c r="B171" s="11">
        <v>23</v>
      </c>
      <c r="C171" s="11" t="s">
        <v>148</v>
      </c>
      <c r="D171" s="11"/>
      <c r="E171" s="11"/>
      <c r="F171" s="11" t="s">
        <v>886</v>
      </c>
      <c r="G171" s="11"/>
      <c r="H171" s="11" t="s">
        <v>495</v>
      </c>
      <c r="I171" s="11" t="s">
        <v>60</v>
      </c>
      <c r="J171" s="11" t="s">
        <v>764</v>
      </c>
      <c r="K171" s="11"/>
      <c r="L171" s="11"/>
      <c r="M171" s="11">
        <v>21</v>
      </c>
      <c r="N171" s="11">
        <v>251</v>
      </c>
      <c r="O171" s="11" t="s">
        <v>36</v>
      </c>
      <c r="P171" s="11" t="e">
        <v>#VALUE!</v>
      </c>
      <c r="Q171" s="11" t="s">
        <v>36</v>
      </c>
      <c r="R171" s="11">
        <v>307</v>
      </c>
      <c r="S171" s="11">
        <v>252</v>
      </c>
      <c r="T171" s="11">
        <v>252</v>
      </c>
      <c r="U171" s="11" t="s">
        <v>36</v>
      </c>
      <c r="V171" s="11">
        <v>265</v>
      </c>
      <c r="W171" s="11">
        <v>42</v>
      </c>
      <c r="X171" s="11" t="s">
        <v>886</v>
      </c>
    </row>
    <row r="172" spans="1:24" ht="14.25" customHeight="1" x14ac:dyDescent="0.25">
      <c r="A172" s="11"/>
      <c r="B172" s="11">
        <v>13</v>
      </c>
      <c r="C172" s="11" t="s">
        <v>148</v>
      </c>
      <c r="D172" s="11"/>
      <c r="E172" s="11"/>
      <c r="F172" s="11" t="s">
        <v>886</v>
      </c>
      <c r="G172" s="11"/>
      <c r="H172" s="11" t="s">
        <v>502</v>
      </c>
      <c r="I172" s="11" t="s">
        <v>91</v>
      </c>
      <c r="J172" s="11" t="s">
        <v>1080</v>
      </c>
      <c r="K172" s="11"/>
      <c r="L172" s="11"/>
      <c r="M172" s="11">
        <v>16</v>
      </c>
      <c r="N172" s="11">
        <v>181</v>
      </c>
      <c r="O172" s="11">
        <v>112</v>
      </c>
      <c r="P172" s="11">
        <v>69</v>
      </c>
      <c r="Q172" s="11">
        <v>109</v>
      </c>
      <c r="R172" s="11">
        <v>129</v>
      </c>
      <c r="S172" s="11">
        <v>212</v>
      </c>
      <c r="T172" s="11">
        <v>166</v>
      </c>
      <c r="U172" s="11">
        <v>123</v>
      </c>
      <c r="V172" s="11">
        <v>147</v>
      </c>
      <c r="W172" s="11">
        <v>-18</v>
      </c>
      <c r="X172" s="11" t="s">
        <v>886</v>
      </c>
    </row>
    <row r="173" spans="1:24" ht="14.25" customHeight="1" x14ac:dyDescent="0.25">
      <c r="A173" s="11"/>
      <c r="B173" s="11">
        <v>16</v>
      </c>
      <c r="C173" s="11" t="s">
        <v>119</v>
      </c>
      <c r="D173" s="11">
        <v>1</v>
      </c>
      <c r="E173" s="11">
        <v>0</v>
      </c>
      <c r="F173" s="11">
        <v>1</v>
      </c>
      <c r="G173" s="57" t="s">
        <v>1124</v>
      </c>
      <c r="H173" s="69" t="s">
        <v>258</v>
      </c>
      <c r="I173" s="69" t="s">
        <v>160</v>
      </c>
      <c r="J173" s="11" t="s">
        <v>762</v>
      </c>
      <c r="K173" s="69"/>
      <c r="L173" s="11"/>
      <c r="M173" s="11">
        <v>14</v>
      </c>
      <c r="N173" s="11">
        <v>158</v>
      </c>
      <c r="O173" s="11">
        <v>210</v>
      </c>
      <c r="P173" s="11">
        <v>-52</v>
      </c>
      <c r="Q173" s="11" t="s">
        <v>36</v>
      </c>
      <c r="R173" s="11">
        <v>201</v>
      </c>
      <c r="S173" s="11">
        <v>165</v>
      </c>
      <c r="T173" s="11">
        <v>164</v>
      </c>
      <c r="U173" s="11">
        <v>220</v>
      </c>
      <c r="V173" s="11">
        <v>186</v>
      </c>
      <c r="W173" s="11">
        <v>15</v>
      </c>
      <c r="X173" s="11">
        <v>55</v>
      </c>
    </row>
    <row r="174" spans="1:24" ht="14.25" customHeight="1" x14ac:dyDescent="0.25">
      <c r="A174" s="11"/>
      <c r="B174" s="11">
        <v>21</v>
      </c>
      <c r="C174" s="11" t="s">
        <v>148</v>
      </c>
      <c r="D174" s="11"/>
      <c r="E174" s="11"/>
      <c r="F174" s="11" t="s">
        <v>886</v>
      </c>
      <c r="G174" s="11"/>
      <c r="H174" s="11" t="s">
        <v>566</v>
      </c>
      <c r="I174" s="11" t="s">
        <v>69</v>
      </c>
      <c r="J174" s="11" t="s">
        <v>1080</v>
      </c>
      <c r="K174" s="11"/>
      <c r="L174" s="11"/>
      <c r="M174" s="11">
        <v>24</v>
      </c>
      <c r="N174" s="11">
        <v>285</v>
      </c>
      <c r="O174" s="11">
        <v>173</v>
      </c>
      <c r="P174" s="11">
        <v>112</v>
      </c>
      <c r="Q174" s="11">
        <v>201</v>
      </c>
      <c r="R174" s="11">
        <v>344</v>
      </c>
      <c r="S174" s="11">
        <v>278</v>
      </c>
      <c r="T174" s="11">
        <v>239</v>
      </c>
      <c r="U174" s="11">
        <v>165</v>
      </c>
      <c r="V174" s="11">
        <v>240</v>
      </c>
      <c r="W174" s="11">
        <v>104</v>
      </c>
      <c r="X174" s="11" t="s">
        <v>886</v>
      </c>
    </row>
    <row r="175" spans="1:24" ht="14.25" customHeight="1" x14ac:dyDescent="0.25">
      <c r="A175" s="11"/>
      <c r="B175" s="11">
        <v>21</v>
      </c>
      <c r="C175" s="11" t="s">
        <v>148</v>
      </c>
      <c r="D175" s="11"/>
      <c r="E175" s="11"/>
      <c r="F175" s="11" t="s">
        <v>886</v>
      </c>
      <c r="G175" s="11"/>
      <c r="H175" s="11" t="s">
        <v>914</v>
      </c>
      <c r="I175" s="11" t="s">
        <v>145</v>
      </c>
      <c r="J175" s="11" t="s">
        <v>1080</v>
      </c>
      <c r="K175" s="11"/>
      <c r="L175" s="11"/>
      <c r="M175" s="11">
        <v>20</v>
      </c>
      <c r="N175" s="11">
        <v>236</v>
      </c>
      <c r="O175" s="11">
        <v>192</v>
      </c>
      <c r="P175" s="11">
        <v>44</v>
      </c>
      <c r="Q175" s="11">
        <v>206</v>
      </c>
      <c r="R175" s="11">
        <v>329</v>
      </c>
      <c r="S175" s="11">
        <v>272</v>
      </c>
      <c r="T175" s="11">
        <v>234</v>
      </c>
      <c r="U175" s="11">
        <v>213</v>
      </c>
      <c r="V175" s="11">
        <v>240</v>
      </c>
      <c r="W175" s="11">
        <v>89</v>
      </c>
      <c r="X175" s="11" t="s">
        <v>886</v>
      </c>
    </row>
    <row r="176" spans="1:24" ht="14.25" customHeight="1" x14ac:dyDescent="0.25">
      <c r="A176" s="11"/>
      <c r="B176" s="11">
        <v>20</v>
      </c>
      <c r="C176" s="11" t="s">
        <v>148</v>
      </c>
      <c r="D176" s="11"/>
      <c r="E176" s="11"/>
      <c r="F176" s="11" t="s">
        <v>886</v>
      </c>
      <c r="G176" s="11"/>
      <c r="H176" s="11" t="s">
        <v>644</v>
      </c>
      <c r="I176" s="11" t="s">
        <v>187</v>
      </c>
      <c r="J176" s="11" t="s">
        <v>1080</v>
      </c>
      <c r="K176" s="11"/>
      <c r="L176" s="11"/>
      <c r="M176" s="11">
        <v>16</v>
      </c>
      <c r="N176" s="11" t="s">
        <v>36</v>
      </c>
      <c r="O176" s="11" t="s">
        <v>36</v>
      </c>
      <c r="P176" s="11" t="e">
        <v>#VALUE!</v>
      </c>
      <c r="Q176" s="11">
        <v>215</v>
      </c>
      <c r="R176" s="11" t="s">
        <v>36</v>
      </c>
      <c r="S176" s="11">
        <v>318</v>
      </c>
      <c r="T176" s="11">
        <v>261</v>
      </c>
      <c r="U176" s="11">
        <v>125</v>
      </c>
      <c r="V176" s="11">
        <v>229</v>
      </c>
      <c r="W176" s="11" t="e">
        <v>#VALUE!</v>
      </c>
      <c r="X176" s="11" t="s">
        <v>886</v>
      </c>
    </row>
    <row r="177" spans="1:24" ht="14.25" customHeight="1" x14ac:dyDescent="0.25">
      <c r="A177" s="11"/>
      <c r="B177" s="11" t="e">
        <v>#N/A</v>
      </c>
      <c r="C177" s="11" t="s">
        <v>148</v>
      </c>
      <c r="D177" s="11"/>
      <c r="E177" s="11"/>
      <c r="F177" s="11" t="s">
        <v>886</v>
      </c>
      <c r="G177" s="11"/>
      <c r="H177" s="11" t="s">
        <v>936</v>
      </c>
      <c r="I177" s="11" t="e">
        <v>#N/A</v>
      </c>
      <c r="J177" s="11" t="e">
        <v>#N/A</v>
      </c>
      <c r="K177" s="11"/>
      <c r="L177" s="11"/>
      <c r="M177" s="11">
        <v>16</v>
      </c>
      <c r="N177" s="11" t="e">
        <v>#N/A</v>
      </c>
      <c r="O177" s="11" t="e">
        <v>#N/A</v>
      </c>
      <c r="P177" s="11" t="e">
        <v>#N/A</v>
      </c>
      <c r="Q177" s="11" t="e">
        <v>#N/A</v>
      </c>
      <c r="R177" s="11" t="e">
        <v>#N/A</v>
      </c>
      <c r="S177" s="11" t="e">
        <v>#N/A</v>
      </c>
      <c r="T177" s="11" t="e">
        <v>#N/A</v>
      </c>
      <c r="U177" s="11" t="e">
        <v>#N/A</v>
      </c>
      <c r="V177" s="11" t="e">
        <v>#N/A</v>
      </c>
      <c r="W177" s="11" t="e">
        <v>#N/A</v>
      </c>
      <c r="X177" s="11" t="e">
        <v>#N/A</v>
      </c>
    </row>
    <row r="178" spans="1:24" ht="14.25" customHeight="1" x14ac:dyDescent="0.25">
      <c r="A178" s="11"/>
      <c r="B178" s="11">
        <v>14</v>
      </c>
      <c r="C178" s="11" t="s">
        <v>148</v>
      </c>
      <c r="D178" s="11"/>
      <c r="E178" s="11"/>
      <c r="F178" s="11" t="s">
        <v>886</v>
      </c>
      <c r="G178" s="11"/>
      <c r="H178" s="11" t="s">
        <v>947</v>
      </c>
      <c r="I178" s="11" t="s">
        <v>184</v>
      </c>
      <c r="J178" s="11" t="s">
        <v>769</v>
      </c>
      <c r="K178" s="11"/>
      <c r="L178" s="11"/>
      <c r="M178" s="11">
        <v>14</v>
      </c>
      <c r="N178" s="11">
        <v>165</v>
      </c>
      <c r="O178" s="11">
        <v>115</v>
      </c>
      <c r="P178" s="11">
        <v>50</v>
      </c>
      <c r="Q178" s="11">
        <v>154</v>
      </c>
      <c r="R178" s="11">
        <v>207</v>
      </c>
      <c r="S178" s="11">
        <v>133</v>
      </c>
      <c r="T178" s="11">
        <v>165</v>
      </c>
      <c r="U178" s="11">
        <v>162</v>
      </c>
      <c r="V178" s="11">
        <v>157</v>
      </c>
      <c r="W178" s="11">
        <v>50</v>
      </c>
      <c r="X178" s="11" t="s">
        <v>886</v>
      </c>
    </row>
    <row r="179" spans="1:24" ht="14.25" customHeight="1" x14ac:dyDescent="0.25">
      <c r="A179" s="11"/>
      <c r="B179" s="11">
        <v>17</v>
      </c>
      <c r="C179" s="11" t="s">
        <v>148</v>
      </c>
      <c r="D179" s="11"/>
      <c r="E179" s="11"/>
      <c r="F179" s="11" t="s">
        <v>886</v>
      </c>
      <c r="G179" s="11"/>
      <c r="H179" s="11" t="s">
        <v>551</v>
      </c>
      <c r="I179" s="11" t="s">
        <v>85</v>
      </c>
      <c r="J179" s="11" t="s">
        <v>1080</v>
      </c>
      <c r="K179" s="11"/>
      <c r="L179" s="11"/>
      <c r="M179" s="11">
        <v>16</v>
      </c>
      <c r="N179" s="11">
        <v>191</v>
      </c>
      <c r="O179" s="11">
        <v>179</v>
      </c>
      <c r="P179" s="11">
        <v>12</v>
      </c>
      <c r="Q179" s="11">
        <v>187</v>
      </c>
      <c r="R179" s="11">
        <v>235</v>
      </c>
      <c r="S179" s="11">
        <v>239</v>
      </c>
      <c r="T179" s="11">
        <v>202</v>
      </c>
      <c r="U179" s="11">
        <v>137</v>
      </c>
      <c r="V179" s="11">
        <v>195</v>
      </c>
      <c r="W179" s="11">
        <v>40</v>
      </c>
      <c r="X179" s="11" t="s">
        <v>886</v>
      </c>
    </row>
    <row r="180" spans="1:24" ht="14.25" customHeight="1" x14ac:dyDescent="0.25">
      <c r="A180" s="11"/>
      <c r="B180" s="11">
        <v>14</v>
      </c>
      <c r="C180" s="11" t="s">
        <v>148</v>
      </c>
      <c r="D180" s="11"/>
      <c r="E180" s="11"/>
      <c r="F180" s="11" t="s">
        <v>886</v>
      </c>
      <c r="G180" s="11"/>
      <c r="H180" s="11" t="s">
        <v>489</v>
      </c>
      <c r="I180" s="11" t="s">
        <v>233</v>
      </c>
      <c r="J180" s="11" t="s">
        <v>1080</v>
      </c>
      <c r="K180" s="11"/>
      <c r="L180" s="11"/>
      <c r="M180" s="11">
        <v>13</v>
      </c>
      <c r="N180" s="11">
        <v>154</v>
      </c>
      <c r="O180" s="11">
        <v>132</v>
      </c>
      <c r="P180" s="11">
        <v>22</v>
      </c>
      <c r="Q180" s="11">
        <v>90</v>
      </c>
      <c r="R180" s="11">
        <v>213</v>
      </c>
      <c r="S180" s="11">
        <v>215</v>
      </c>
      <c r="T180" s="11">
        <v>167</v>
      </c>
      <c r="U180" s="11">
        <v>131</v>
      </c>
      <c r="V180" s="11">
        <v>157</v>
      </c>
      <c r="W180" s="11">
        <v>56</v>
      </c>
      <c r="X180" s="11" t="s">
        <v>886</v>
      </c>
    </row>
    <row r="181" spans="1:24" ht="14.25" customHeight="1" x14ac:dyDescent="0.25">
      <c r="A181" s="11"/>
      <c r="B181" s="11">
        <v>15</v>
      </c>
      <c r="C181" s="11" t="s">
        <v>148</v>
      </c>
      <c r="D181" s="11"/>
      <c r="E181" s="11"/>
      <c r="F181" s="11" t="s">
        <v>886</v>
      </c>
      <c r="G181" s="11"/>
      <c r="H181" s="11" t="s">
        <v>602</v>
      </c>
      <c r="I181" s="11" t="s">
        <v>66</v>
      </c>
      <c r="J181" s="11" t="s">
        <v>1080</v>
      </c>
      <c r="K181" s="11"/>
      <c r="L181" s="11"/>
      <c r="M181" s="11">
        <v>20</v>
      </c>
      <c r="N181" s="11">
        <v>231</v>
      </c>
      <c r="O181" s="11">
        <v>128</v>
      </c>
      <c r="P181" s="11">
        <v>103</v>
      </c>
      <c r="Q181" s="11">
        <v>153</v>
      </c>
      <c r="R181" s="11">
        <v>218</v>
      </c>
      <c r="S181" s="11">
        <v>224</v>
      </c>
      <c r="T181" s="11">
        <v>179</v>
      </c>
      <c r="U181" s="11">
        <v>92</v>
      </c>
      <c r="V181" s="11">
        <v>175</v>
      </c>
      <c r="W181" s="11">
        <v>43</v>
      </c>
      <c r="X181" s="11" t="s">
        <v>886</v>
      </c>
    </row>
    <row r="182" spans="1:24" ht="14.25" customHeight="1" x14ac:dyDescent="0.25">
      <c r="A182" s="11"/>
      <c r="B182" s="11">
        <v>15</v>
      </c>
      <c r="C182" s="11" t="s">
        <v>148</v>
      </c>
      <c r="D182" s="11"/>
      <c r="E182" s="11"/>
      <c r="F182" s="11" t="s">
        <v>886</v>
      </c>
      <c r="G182" s="11"/>
      <c r="H182" s="11" t="s">
        <v>397</v>
      </c>
      <c r="I182" s="11" t="s">
        <v>104</v>
      </c>
      <c r="J182" s="11" t="s">
        <v>769</v>
      </c>
      <c r="K182" s="11"/>
      <c r="L182" s="11"/>
      <c r="M182" s="11">
        <v>15</v>
      </c>
      <c r="N182" s="11">
        <v>169</v>
      </c>
      <c r="O182" s="11">
        <v>155</v>
      </c>
      <c r="P182" s="11">
        <v>14</v>
      </c>
      <c r="Q182" s="11">
        <v>155</v>
      </c>
      <c r="R182" s="11">
        <v>225</v>
      </c>
      <c r="S182" s="11">
        <v>140</v>
      </c>
      <c r="T182" s="11">
        <v>168</v>
      </c>
      <c r="U182" s="11">
        <v>173</v>
      </c>
      <c r="V182" s="11">
        <v>169</v>
      </c>
      <c r="W182" s="11">
        <v>56</v>
      </c>
      <c r="X182" s="11" t="s">
        <v>886</v>
      </c>
    </row>
    <row r="183" spans="1:24" ht="14.25" customHeight="1" x14ac:dyDescent="0.25">
      <c r="A183" s="11"/>
      <c r="B183" s="11">
        <v>18</v>
      </c>
      <c r="C183" s="11" t="s">
        <v>148</v>
      </c>
      <c r="D183" s="11"/>
      <c r="E183" s="11"/>
      <c r="F183" s="11" t="s">
        <v>886</v>
      </c>
      <c r="G183" s="11"/>
      <c r="H183" s="11" t="s">
        <v>609</v>
      </c>
      <c r="I183" s="11" t="s">
        <v>155</v>
      </c>
      <c r="J183" s="11" t="s">
        <v>1080</v>
      </c>
      <c r="K183" s="11"/>
      <c r="L183" s="11"/>
      <c r="M183" s="11">
        <v>16</v>
      </c>
      <c r="N183" s="11" t="s">
        <v>36</v>
      </c>
      <c r="O183" s="11">
        <v>212</v>
      </c>
      <c r="P183" s="11" t="e">
        <v>#VALUE!</v>
      </c>
      <c r="Q183" s="11">
        <v>220</v>
      </c>
      <c r="R183" s="11" t="s">
        <v>36</v>
      </c>
      <c r="S183" s="11">
        <v>296</v>
      </c>
      <c r="T183" s="11">
        <v>246</v>
      </c>
      <c r="U183" s="11">
        <v>83</v>
      </c>
      <c r="V183" s="11">
        <v>211</v>
      </c>
      <c r="W183" s="11" t="e">
        <v>#VALUE!</v>
      </c>
      <c r="X183" s="11" t="s">
        <v>886</v>
      </c>
    </row>
    <row r="184" spans="1:24" ht="14.25" customHeight="1" x14ac:dyDescent="0.25">
      <c r="A184" s="11"/>
      <c r="B184" s="11">
        <v>19</v>
      </c>
      <c r="C184" s="11" t="s">
        <v>148</v>
      </c>
      <c r="D184" s="11"/>
      <c r="E184" s="11">
        <v>0</v>
      </c>
      <c r="F184" s="11" t="s">
        <v>886</v>
      </c>
      <c r="G184" s="11"/>
      <c r="H184" s="11" t="s">
        <v>960</v>
      </c>
      <c r="I184" s="11" t="s">
        <v>78</v>
      </c>
      <c r="J184" s="11" t="s">
        <v>762</v>
      </c>
      <c r="K184" s="11"/>
      <c r="L184" s="11"/>
      <c r="M184" s="11">
        <v>18</v>
      </c>
      <c r="N184" s="11">
        <v>204</v>
      </c>
      <c r="O184" s="11">
        <v>211</v>
      </c>
      <c r="P184" s="11">
        <v>-7</v>
      </c>
      <c r="Q184" s="11">
        <v>213</v>
      </c>
      <c r="R184" s="11">
        <v>258</v>
      </c>
      <c r="S184" s="11">
        <v>163</v>
      </c>
      <c r="T184" s="11">
        <v>173</v>
      </c>
      <c r="U184" s="11">
        <v>302</v>
      </c>
      <c r="V184" s="11">
        <v>217</v>
      </c>
      <c r="W184" s="11">
        <v>41</v>
      </c>
      <c r="X184" s="11" t="s">
        <v>886</v>
      </c>
    </row>
    <row r="185" spans="1:24" ht="14.25" customHeight="1" x14ac:dyDescent="0.25">
      <c r="A185" s="11"/>
      <c r="B185" s="11">
        <v>24</v>
      </c>
      <c r="C185" s="11" t="s">
        <v>148</v>
      </c>
      <c r="D185" s="11"/>
      <c r="E185" s="11"/>
      <c r="F185" s="11" t="s">
        <v>886</v>
      </c>
      <c r="G185" s="11"/>
      <c r="H185" s="11" t="s">
        <v>929</v>
      </c>
      <c r="I185" s="11" t="s">
        <v>81</v>
      </c>
      <c r="J185" s="11" t="s">
        <v>1080</v>
      </c>
      <c r="K185" s="11"/>
      <c r="L185" s="11"/>
      <c r="M185" s="11">
        <v>21</v>
      </c>
      <c r="N185" s="11">
        <v>245</v>
      </c>
      <c r="O185" s="11" t="s">
        <v>36</v>
      </c>
      <c r="P185" s="11" t="e">
        <v>#VALUE!</v>
      </c>
      <c r="Q185" s="11">
        <v>248</v>
      </c>
      <c r="R185" s="11">
        <v>343</v>
      </c>
      <c r="S185" s="11">
        <v>333</v>
      </c>
      <c r="T185" s="11">
        <v>273</v>
      </c>
      <c r="U185" s="11">
        <v>217</v>
      </c>
      <c r="V185" s="11">
        <v>276</v>
      </c>
      <c r="W185" s="11">
        <v>67</v>
      </c>
      <c r="X185" s="11" t="e">
        <v>#N/A</v>
      </c>
    </row>
    <row r="186" spans="1:24" ht="14.25" customHeight="1" x14ac:dyDescent="0.25">
      <c r="A186" s="11"/>
      <c r="B186" s="11">
        <v>5</v>
      </c>
      <c r="C186" s="11" t="s">
        <v>119</v>
      </c>
      <c r="D186" s="11">
        <v>2</v>
      </c>
      <c r="E186" s="11"/>
      <c r="F186" s="11">
        <v>2</v>
      </c>
      <c r="G186" s="11"/>
      <c r="H186" s="11" t="s">
        <v>280</v>
      </c>
      <c r="I186" s="11" t="s">
        <v>160</v>
      </c>
      <c r="J186" s="11" t="s">
        <v>762</v>
      </c>
      <c r="K186" s="11"/>
      <c r="L186" s="11"/>
      <c r="M186" s="11">
        <v>4</v>
      </c>
      <c r="N186" s="11">
        <v>45</v>
      </c>
      <c r="O186" s="11">
        <v>44</v>
      </c>
      <c r="P186" s="11">
        <v>1</v>
      </c>
      <c r="Q186" s="11">
        <v>40</v>
      </c>
      <c r="R186" s="11">
        <v>60</v>
      </c>
      <c r="S186" s="11">
        <v>47</v>
      </c>
      <c r="T186" s="11">
        <v>51</v>
      </c>
      <c r="U186" s="11">
        <v>55</v>
      </c>
      <c r="V186" s="11">
        <v>48</v>
      </c>
      <c r="W186" s="11">
        <v>12</v>
      </c>
      <c r="X186" s="11">
        <v>17</v>
      </c>
    </row>
    <row r="187" spans="1:24" ht="14.25" customHeight="1" x14ac:dyDescent="0.25">
      <c r="A187" s="11"/>
      <c r="B187" s="11">
        <v>13</v>
      </c>
      <c r="C187" s="11" t="s">
        <v>148</v>
      </c>
      <c r="D187" s="11"/>
      <c r="E187" s="11"/>
      <c r="F187" s="11" t="s">
        <v>886</v>
      </c>
      <c r="G187" s="11"/>
      <c r="H187" s="11" t="s">
        <v>487</v>
      </c>
      <c r="I187" s="11" t="s">
        <v>78</v>
      </c>
      <c r="J187" s="11" t="s">
        <v>1080</v>
      </c>
      <c r="K187" s="11"/>
      <c r="L187" s="11"/>
      <c r="M187" s="11">
        <v>13</v>
      </c>
      <c r="N187" s="11">
        <v>144</v>
      </c>
      <c r="O187" s="11">
        <v>87</v>
      </c>
      <c r="P187" s="11">
        <v>57</v>
      </c>
      <c r="Q187" s="11">
        <v>130</v>
      </c>
      <c r="R187" s="11">
        <v>164</v>
      </c>
      <c r="S187" s="11">
        <v>214</v>
      </c>
      <c r="T187" s="11">
        <v>160</v>
      </c>
      <c r="U187" s="11">
        <v>93</v>
      </c>
      <c r="V187" s="11">
        <v>141</v>
      </c>
      <c r="W187" s="11">
        <v>23</v>
      </c>
      <c r="X187" s="11" t="s">
        <v>886</v>
      </c>
    </row>
    <row r="188" spans="1:24" ht="14.25" customHeight="1" x14ac:dyDescent="0.25">
      <c r="A188" s="11"/>
      <c r="B188" s="11">
        <v>14</v>
      </c>
      <c r="C188" s="11" t="s">
        <v>148</v>
      </c>
      <c r="D188" s="11"/>
      <c r="E188" s="11"/>
      <c r="F188" s="11" t="s">
        <v>886</v>
      </c>
      <c r="G188" s="11"/>
      <c r="H188" s="11" t="s">
        <v>462</v>
      </c>
      <c r="I188" s="11" t="s">
        <v>116</v>
      </c>
      <c r="J188" s="11" t="s">
        <v>1080</v>
      </c>
      <c r="K188" s="11"/>
      <c r="L188" s="11"/>
      <c r="M188" s="11">
        <v>16</v>
      </c>
      <c r="N188" s="11">
        <v>188</v>
      </c>
      <c r="O188" s="11">
        <v>145</v>
      </c>
      <c r="P188" s="11">
        <v>43</v>
      </c>
      <c r="Q188" s="11">
        <v>100</v>
      </c>
      <c r="R188" s="11">
        <v>190</v>
      </c>
      <c r="S188" s="11">
        <v>216</v>
      </c>
      <c r="T188" s="11">
        <v>176</v>
      </c>
      <c r="U188" s="11">
        <v>145</v>
      </c>
      <c r="V188" s="11">
        <v>165</v>
      </c>
      <c r="W188" s="11">
        <v>25</v>
      </c>
      <c r="X188" s="11" t="s">
        <v>886</v>
      </c>
    </row>
    <row r="189" spans="1:24" ht="14.25" customHeight="1" x14ac:dyDescent="0.25">
      <c r="A189" s="11" t="s">
        <v>148</v>
      </c>
      <c r="B189" s="11">
        <v>19</v>
      </c>
      <c r="C189" s="11" t="s">
        <v>119</v>
      </c>
      <c r="D189" s="11"/>
      <c r="E189" s="11"/>
      <c r="F189" s="11" t="s">
        <v>886</v>
      </c>
      <c r="G189" s="11"/>
      <c r="H189" s="11" t="s">
        <v>931</v>
      </c>
      <c r="I189" s="11" t="s">
        <v>44</v>
      </c>
      <c r="J189" s="11" t="s">
        <v>1080</v>
      </c>
      <c r="K189" s="11"/>
      <c r="L189" s="11"/>
      <c r="M189" s="11">
        <v>16</v>
      </c>
      <c r="N189" s="11" t="s">
        <v>36</v>
      </c>
      <c r="O189" s="11" t="s">
        <v>36</v>
      </c>
      <c r="P189" s="11" t="e">
        <v>#VALUE!</v>
      </c>
      <c r="Q189" s="11">
        <v>223</v>
      </c>
      <c r="R189" s="11" t="s">
        <v>36</v>
      </c>
      <c r="S189" s="11">
        <v>323</v>
      </c>
      <c r="T189" s="11">
        <v>267</v>
      </c>
      <c r="U189" s="11">
        <v>97</v>
      </c>
      <c r="V189" s="11">
        <v>227</v>
      </c>
      <c r="W189" s="11" t="e">
        <v>#VALUE!</v>
      </c>
      <c r="X189" s="11" t="e">
        <v>#N/A</v>
      </c>
    </row>
    <row r="190" spans="1:24" ht="14.25" customHeight="1" x14ac:dyDescent="0.25">
      <c r="A190" s="11"/>
      <c r="B190" s="11">
        <v>17</v>
      </c>
      <c r="C190" s="11" t="s">
        <v>148</v>
      </c>
      <c r="D190" s="11"/>
      <c r="E190" s="11"/>
      <c r="F190" s="11" t="s">
        <v>886</v>
      </c>
      <c r="G190" s="11"/>
      <c r="H190" s="11" t="s">
        <v>433</v>
      </c>
      <c r="I190" s="11" t="s">
        <v>229</v>
      </c>
      <c r="J190" s="11" t="s">
        <v>769</v>
      </c>
      <c r="K190" s="11"/>
      <c r="L190" s="11"/>
      <c r="M190" s="11">
        <v>18</v>
      </c>
      <c r="N190" s="11">
        <v>208</v>
      </c>
      <c r="O190" s="11" t="s">
        <v>36</v>
      </c>
      <c r="P190" s="11" t="e">
        <v>#VALUE!</v>
      </c>
      <c r="Q190" s="11" t="s">
        <v>36</v>
      </c>
      <c r="R190" s="11">
        <v>249</v>
      </c>
      <c r="S190" s="11">
        <v>150</v>
      </c>
      <c r="T190" s="11">
        <v>187</v>
      </c>
      <c r="U190" s="11">
        <v>218</v>
      </c>
      <c r="V190" s="11">
        <v>202</v>
      </c>
      <c r="W190" s="11">
        <v>47</v>
      </c>
      <c r="X190" s="11" t="s">
        <v>886</v>
      </c>
    </row>
    <row r="191" spans="1:24" ht="14.25" customHeight="1" x14ac:dyDescent="0.25">
      <c r="A191" s="11"/>
      <c r="B191" s="11" t="e">
        <v>#N/A</v>
      </c>
      <c r="C191" s="11" t="s">
        <v>148</v>
      </c>
      <c r="D191" s="11"/>
      <c r="E191" s="11"/>
      <c r="F191" s="11" t="s">
        <v>886</v>
      </c>
      <c r="G191" s="11"/>
      <c r="H191" s="11" t="s">
        <v>925</v>
      </c>
      <c r="I191" s="11" t="e">
        <v>#N/A</v>
      </c>
      <c r="J191" s="11" t="e">
        <v>#N/A</v>
      </c>
      <c r="K191" s="11"/>
      <c r="L191" s="11"/>
      <c r="M191" s="11">
        <v>16</v>
      </c>
      <c r="N191" s="11" t="e">
        <v>#N/A</v>
      </c>
      <c r="O191" s="11" t="e">
        <v>#N/A</v>
      </c>
      <c r="P191" s="11" t="e">
        <v>#N/A</v>
      </c>
      <c r="Q191" s="11" t="e">
        <v>#N/A</v>
      </c>
      <c r="R191" s="11" t="e">
        <v>#N/A</v>
      </c>
      <c r="S191" s="11" t="e">
        <v>#N/A</v>
      </c>
      <c r="T191" s="11" t="e">
        <v>#N/A</v>
      </c>
      <c r="U191" s="11" t="e">
        <v>#N/A</v>
      </c>
      <c r="V191" s="11" t="e">
        <v>#N/A</v>
      </c>
      <c r="W191" s="11" t="e">
        <v>#N/A</v>
      </c>
      <c r="X191" s="11" t="e">
        <v>#N/A</v>
      </c>
    </row>
    <row r="192" spans="1:24" ht="14.25" customHeight="1" x14ac:dyDescent="0.25">
      <c r="A192" s="11"/>
      <c r="B192" s="11">
        <v>16</v>
      </c>
      <c r="C192" s="11" t="s">
        <v>148</v>
      </c>
      <c r="D192" s="11"/>
      <c r="E192" s="11"/>
      <c r="F192" s="11" t="s">
        <v>886</v>
      </c>
      <c r="G192" s="11"/>
      <c r="H192" s="11" t="s">
        <v>467</v>
      </c>
      <c r="I192" s="11" t="s">
        <v>160</v>
      </c>
      <c r="J192" s="11" t="s">
        <v>760</v>
      </c>
      <c r="K192" s="11"/>
      <c r="L192" s="11"/>
      <c r="M192" s="11">
        <v>17</v>
      </c>
      <c r="N192" s="11">
        <v>201</v>
      </c>
      <c r="O192" s="11">
        <v>190</v>
      </c>
      <c r="P192" s="11">
        <v>11</v>
      </c>
      <c r="Q192" s="11">
        <v>193</v>
      </c>
      <c r="R192" s="11">
        <v>187</v>
      </c>
      <c r="S192" s="11">
        <v>170</v>
      </c>
      <c r="T192" s="11">
        <v>157</v>
      </c>
      <c r="U192" s="11">
        <v>194</v>
      </c>
      <c r="V192" s="11">
        <v>184</v>
      </c>
      <c r="W192" s="11">
        <v>3</v>
      </c>
      <c r="X192" s="11">
        <v>21</v>
      </c>
    </row>
    <row r="193" spans="1:24" ht="14.25" customHeight="1" x14ac:dyDescent="0.25">
      <c r="A193" s="11"/>
      <c r="B193" s="11" t="e">
        <v>#N/A</v>
      </c>
      <c r="C193" s="11" t="s">
        <v>148</v>
      </c>
      <c r="D193" s="11"/>
      <c r="E193" s="11"/>
      <c r="F193" s="11" t="s">
        <v>886</v>
      </c>
      <c r="G193" s="11"/>
      <c r="H193" s="11" t="s">
        <v>937</v>
      </c>
      <c r="I193" s="11" t="e">
        <v>#N/A</v>
      </c>
      <c r="J193" s="11" t="e">
        <v>#N/A</v>
      </c>
      <c r="K193" s="11"/>
      <c r="L193" s="11"/>
      <c r="M193" s="11">
        <v>16</v>
      </c>
      <c r="N193" s="11" t="e">
        <v>#N/A</v>
      </c>
      <c r="O193" s="11" t="e">
        <v>#N/A</v>
      </c>
      <c r="P193" s="11" t="e">
        <v>#N/A</v>
      </c>
      <c r="Q193" s="11" t="e">
        <v>#N/A</v>
      </c>
      <c r="R193" s="11" t="e">
        <v>#N/A</v>
      </c>
      <c r="S193" s="11" t="e">
        <v>#N/A</v>
      </c>
      <c r="T193" s="11" t="e">
        <v>#N/A</v>
      </c>
      <c r="U193" s="11" t="e">
        <v>#N/A</v>
      </c>
      <c r="V193" s="11" t="e">
        <v>#N/A</v>
      </c>
      <c r="W193" s="11" t="e">
        <v>#N/A</v>
      </c>
      <c r="X193" s="11" t="e">
        <v>#N/A</v>
      </c>
    </row>
    <row r="194" spans="1:24" ht="14.25" customHeight="1" x14ac:dyDescent="0.25">
      <c r="A194" s="11"/>
      <c r="B194" s="11">
        <v>14</v>
      </c>
      <c r="C194" s="11" t="s">
        <v>148</v>
      </c>
      <c r="D194" s="11"/>
      <c r="E194" s="11"/>
      <c r="F194" s="11" t="s">
        <v>886</v>
      </c>
      <c r="G194" s="11"/>
      <c r="H194" s="11" t="s">
        <v>938</v>
      </c>
      <c r="I194" s="11" t="s">
        <v>233</v>
      </c>
      <c r="J194" s="11" t="s">
        <v>769</v>
      </c>
      <c r="K194" s="11"/>
      <c r="L194" s="11"/>
      <c r="M194" s="11">
        <v>10</v>
      </c>
      <c r="N194" s="11">
        <v>110</v>
      </c>
      <c r="O194" s="11">
        <v>183</v>
      </c>
      <c r="P194" s="11">
        <v>-73</v>
      </c>
      <c r="Q194" s="11">
        <v>186</v>
      </c>
      <c r="R194" s="11">
        <v>203</v>
      </c>
      <c r="S194" s="11">
        <v>161</v>
      </c>
      <c r="T194" s="11">
        <v>169</v>
      </c>
      <c r="U194" s="11">
        <v>91</v>
      </c>
      <c r="V194" s="11">
        <v>157</v>
      </c>
      <c r="W194" s="11">
        <v>46</v>
      </c>
      <c r="X194" s="11" t="s">
        <v>886</v>
      </c>
    </row>
    <row r="195" spans="1:24" ht="14.25" customHeight="1" x14ac:dyDescent="0.25">
      <c r="A195" s="11"/>
      <c r="B195" s="11">
        <v>9</v>
      </c>
      <c r="C195" s="11" t="s">
        <v>148</v>
      </c>
      <c r="D195" s="11"/>
      <c r="E195" s="11"/>
      <c r="F195" s="11" t="s">
        <v>886</v>
      </c>
      <c r="G195" s="11"/>
      <c r="H195" s="11" t="s">
        <v>292</v>
      </c>
      <c r="I195" s="11" t="s">
        <v>72</v>
      </c>
      <c r="J195" s="11" t="s">
        <v>762</v>
      </c>
      <c r="K195" s="11"/>
      <c r="L195" s="11"/>
      <c r="M195" s="11">
        <v>9</v>
      </c>
      <c r="N195" s="11">
        <v>103</v>
      </c>
      <c r="O195" s="11">
        <v>98</v>
      </c>
      <c r="P195" s="11">
        <v>5</v>
      </c>
      <c r="Q195" s="11">
        <v>122</v>
      </c>
      <c r="R195" s="11">
        <v>107</v>
      </c>
      <c r="S195" s="11">
        <v>88</v>
      </c>
      <c r="T195" s="11">
        <v>89</v>
      </c>
      <c r="U195" s="11">
        <v>122</v>
      </c>
      <c r="V195" s="11">
        <v>104</v>
      </c>
      <c r="W195" s="11">
        <v>3</v>
      </c>
      <c r="X195" s="11">
        <v>28</v>
      </c>
    </row>
    <row r="196" spans="1:24" ht="14.25" customHeight="1" x14ac:dyDescent="0.25">
      <c r="A196" s="11"/>
      <c r="B196" s="11">
        <v>17</v>
      </c>
      <c r="C196" s="11" t="s">
        <v>148</v>
      </c>
      <c r="D196" s="11"/>
      <c r="E196" s="11"/>
      <c r="F196" s="11" t="s">
        <v>886</v>
      </c>
      <c r="G196" s="11"/>
      <c r="H196" s="11" t="s">
        <v>636</v>
      </c>
      <c r="I196" s="11" t="s">
        <v>85</v>
      </c>
      <c r="J196" s="11" t="s">
        <v>1084</v>
      </c>
      <c r="K196" s="11"/>
      <c r="L196" s="11"/>
      <c r="M196" s="11">
        <v>14</v>
      </c>
      <c r="N196" s="11">
        <v>161</v>
      </c>
      <c r="O196" s="11">
        <v>185</v>
      </c>
      <c r="P196" s="11">
        <v>-24</v>
      </c>
      <c r="Q196" s="11">
        <v>149</v>
      </c>
      <c r="R196" s="11">
        <v>266</v>
      </c>
      <c r="S196" s="11">
        <v>232</v>
      </c>
      <c r="T196" s="11" t="s">
        <v>36</v>
      </c>
      <c r="U196" s="11">
        <v>146</v>
      </c>
      <c r="V196" s="11">
        <v>189</v>
      </c>
      <c r="W196" s="11">
        <v>77</v>
      </c>
      <c r="X196" s="11" t="s">
        <v>886</v>
      </c>
    </row>
    <row r="197" spans="1:24" ht="14.25" customHeight="1" x14ac:dyDescent="0.25">
      <c r="A197" s="11"/>
      <c r="B197" s="11">
        <v>12</v>
      </c>
      <c r="C197" s="11" t="s">
        <v>148</v>
      </c>
      <c r="D197" s="11"/>
      <c r="E197" s="11"/>
      <c r="F197" s="11" t="s">
        <v>886</v>
      </c>
      <c r="G197" s="11"/>
      <c r="H197" s="11" t="s">
        <v>527</v>
      </c>
      <c r="I197" s="11" t="s">
        <v>69</v>
      </c>
      <c r="J197" s="11" t="s">
        <v>1084</v>
      </c>
      <c r="K197" s="11"/>
      <c r="L197" s="11"/>
      <c r="M197" s="11">
        <v>11</v>
      </c>
      <c r="N197" s="11">
        <v>131</v>
      </c>
      <c r="O197" s="11">
        <v>104</v>
      </c>
      <c r="P197" s="11">
        <v>27</v>
      </c>
      <c r="Q197" s="11">
        <v>104</v>
      </c>
      <c r="R197" s="11">
        <v>154</v>
      </c>
      <c r="S197" s="11">
        <v>205</v>
      </c>
      <c r="T197" s="11" t="s">
        <v>36</v>
      </c>
      <c r="U197" s="11">
        <v>71</v>
      </c>
      <c r="V197" s="11">
        <v>128</v>
      </c>
      <c r="W197" s="11">
        <v>26</v>
      </c>
      <c r="X197" s="11" t="s">
        <v>886</v>
      </c>
    </row>
    <row r="198" spans="1:24" ht="14.25" customHeight="1" x14ac:dyDescent="0.25">
      <c r="A198" s="11"/>
      <c r="B198" s="11">
        <v>18</v>
      </c>
      <c r="C198" s="11" t="s">
        <v>148</v>
      </c>
      <c r="D198" s="11"/>
      <c r="E198" s="11"/>
      <c r="F198" s="11" t="s">
        <v>886</v>
      </c>
      <c r="G198" s="11"/>
      <c r="H198" s="11" t="s">
        <v>431</v>
      </c>
      <c r="I198" s="11" t="s">
        <v>52</v>
      </c>
      <c r="J198" s="11" t="s">
        <v>760</v>
      </c>
      <c r="K198" s="11"/>
      <c r="L198" s="11"/>
      <c r="M198" s="11">
        <v>19</v>
      </c>
      <c r="N198" s="11">
        <v>226</v>
      </c>
      <c r="O198" s="11" t="s">
        <v>36</v>
      </c>
      <c r="P198" s="11" t="e">
        <v>#VALUE!</v>
      </c>
      <c r="Q198" s="11">
        <v>204</v>
      </c>
      <c r="R198" s="11">
        <v>222</v>
      </c>
      <c r="S198" s="11">
        <v>213</v>
      </c>
      <c r="T198" s="11">
        <v>196</v>
      </c>
      <c r="U198" s="11">
        <v>201</v>
      </c>
      <c r="V198" s="11">
        <v>210</v>
      </c>
      <c r="W198" s="11">
        <v>12</v>
      </c>
      <c r="X198" s="11" t="s">
        <v>886</v>
      </c>
    </row>
    <row r="199" spans="1:24" ht="14.25" customHeight="1" x14ac:dyDescent="0.25">
      <c r="A199" s="11"/>
      <c r="B199" s="11">
        <v>19</v>
      </c>
      <c r="C199" s="11" t="s">
        <v>148</v>
      </c>
      <c r="D199" s="11"/>
      <c r="E199" s="11"/>
      <c r="F199" s="11" t="s">
        <v>886</v>
      </c>
      <c r="G199" s="11"/>
      <c r="H199" s="11" t="s">
        <v>625</v>
      </c>
      <c r="I199" s="11" t="s">
        <v>44</v>
      </c>
      <c r="J199" s="11" t="s">
        <v>769</v>
      </c>
      <c r="K199" s="11"/>
      <c r="L199" s="11"/>
      <c r="M199" s="11">
        <v>18</v>
      </c>
      <c r="N199" s="11">
        <v>209</v>
      </c>
      <c r="O199" s="11" t="s">
        <v>36</v>
      </c>
      <c r="P199" s="11" t="e">
        <v>#VALUE!</v>
      </c>
      <c r="Q199" s="11" t="s">
        <v>36</v>
      </c>
      <c r="R199" s="11">
        <v>237</v>
      </c>
      <c r="S199" s="11">
        <v>180</v>
      </c>
      <c r="T199" s="11">
        <v>220</v>
      </c>
      <c r="U199" s="11">
        <v>265</v>
      </c>
      <c r="V199" s="11">
        <v>222</v>
      </c>
      <c r="W199" s="11">
        <v>15</v>
      </c>
      <c r="X199" s="11" t="s">
        <v>886</v>
      </c>
    </row>
    <row r="200" spans="1:24" ht="14.25" customHeight="1" x14ac:dyDescent="0.25">
      <c r="A200" s="11"/>
      <c r="B200" s="11">
        <v>12</v>
      </c>
      <c r="C200" s="11" t="s">
        <v>148</v>
      </c>
      <c r="D200" s="11"/>
      <c r="E200" s="11"/>
      <c r="F200" s="11" t="s">
        <v>886</v>
      </c>
      <c r="G200" s="11"/>
      <c r="H200" s="11" t="s">
        <v>446</v>
      </c>
      <c r="I200" s="11" t="s">
        <v>145</v>
      </c>
      <c r="J200" s="11" t="s">
        <v>762</v>
      </c>
      <c r="K200" s="11"/>
      <c r="L200" s="11"/>
      <c r="M200" s="11">
        <v>13</v>
      </c>
      <c r="N200" s="11">
        <v>153</v>
      </c>
      <c r="O200" s="11">
        <v>127</v>
      </c>
      <c r="P200" s="11">
        <v>26</v>
      </c>
      <c r="Q200" s="11">
        <v>156</v>
      </c>
      <c r="R200" s="11">
        <v>109</v>
      </c>
      <c r="S200" s="11">
        <v>108</v>
      </c>
      <c r="T200" s="11">
        <v>132</v>
      </c>
      <c r="U200" s="11">
        <v>197</v>
      </c>
      <c r="V200" s="11">
        <v>140</v>
      </c>
      <c r="W200" s="11">
        <v>-31</v>
      </c>
      <c r="X200" s="11">
        <v>50</v>
      </c>
    </row>
    <row r="201" spans="1:24" ht="14.25" customHeight="1" x14ac:dyDescent="0.25">
      <c r="A201" s="11"/>
      <c r="B201" s="11" t="e">
        <v>#N/A</v>
      </c>
      <c r="C201" s="11" t="s">
        <v>148</v>
      </c>
      <c r="D201" s="11"/>
      <c r="E201" s="11"/>
      <c r="F201" s="11" t="s">
        <v>886</v>
      </c>
      <c r="G201" s="11"/>
      <c r="H201" s="11" t="s">
        <v>282</v>
      </c>
      <c r="I201" s="11" t="e">
        <v>#N/A</v>
      </c>
      <c r="J201" s="11" t="e">
        <v>#N/A</v>
      </c>
      <c r="K201" s="11"/>
      <c r="L201" s="11"/>
      <c r="M201" s="11">
        <v>16</v>
      </c>
      <c r="N201" s="11" t="e">
        <v>#N/A</v>
      </c>
      <c r="O201" s="11" t="e">
        <v>#N/A</v>
      </c>
      <c r="P201" s="11" t="e">
        <v>#N/A</v>
      </c>
      <c r="Q201" s="11" t="e">
        <v>#N/A</v>
      </c>
      <c r="R201" s="11" t="e">
        <v>#N/A</v>
      </c>
      <c r="S201" s="11" t="e">
        <v>#N/A</v>
      </c>
      <c r="T201" s="11" t="e">
        <v>#N/A</v>
      </c>
      <c r="U201" s="11" t="e">
        <v>#N/A</v>
      </c>
      <c r="V201" s="11" t="e">
        <v>#N/A</v>
      </c>
      <c r="W201" s="11" t="e">
        <v>#N/A</v>
      </c>
      <c r="X201" s="11" t="e">
        <v>#N/A</v>
      </c>
    </row>
    <row r="202" spans="1:24" ht="14.25" customHeight="1" x14ac:dyDescent="0.25">
      <c r="A202" s="11"/>
      <c r="B202" s="11">
        <v>18</v>
      </c>
      <c r="C202" s="11" t="s">
        <v>148</v>
      </c>
      <c r="D202" s="11"/>
      <c r="E202" s="11"/>
      <c r="F202" s="11" t="s">
        <v>886</v>
      </c>
      <c r="G202" s="11"/>
      <c r="H202" s="11" t="s">
        <v>962</v>
      </c>
      <c r="I202" s="11" t="s">
        <v>39</v>
      </c>
      <c r="J202" s="11" t="s">
        <v>1084</v>
      </c>
      <c r="K202" s="11"/>
      <c r="L202" s="11"/>
      <c r="M202" s="11">
        <v>14</v>
      </c>
      <c r="N202" s="11">
        <v>159</v>
      </c>
      <c r="O202" s="11">
        <v>193</v>
      </c>
      <c r="P202" s="11">
        <v>-34</v>
      </c>
      <c r="Q202" s="11">
        <v>196</v>
      </c>
      <c r="R202" s="11" t="s">
        <v>36</v>
      </c>
      <c r="S202" s="11">
        <v>269</v>
      </c>
      <c r="T202" s="11" t="s">
        <v>36</v>
      </c>
      <c r="U202" s="11">
        <v>171</v>
      </c>
      <c r="V202" s="11">
        <v>197</v>
      </c>
      <c r="W202" s="11" t="e">
        <v>#VALUE!</v>
      </c>
      <c r="X202" s="11" t="s">
        <v>886</v>
      </c>
    </row>
    <row r="203" spans="1:24" ht="14.25" customHeight="1" x14ac:dyDescent="0.25">
      <c r="A203" s="11"/>
      <c r="B203" s="11">
        <v>15</v>
      </c>
      <c r="C203" s="11" t="s">
        <v>148</v>
      </c>
      <c r="D203" s="11"/>
      <c r="E203" s="11"/>
      <c r="F203" s="11" t="s">
        <v>886</v>
      </c>
      <c r="G203" s="11"/>
      <c r="H203" s="11" t="s">
        <v>927</v>
      </c>
      <c r="I203" s="11" t="s">
        <v>160</v>
      </c>
      <c r="J203" s="11" t="s">
        <v>764</v>
      </c>
      <c r="K203" s="11"/>
      <c r="L203" s="11"/>
      <c r="M203" s="11">
        <v>17</v>
      </c>
      <c r="N203" s="11">
        <v>196</v>
      </c>
      <c r="O203" s="11">
        <v>203</v>
      </c>
      <c r="P203" s="11">
        <v>-7</v>
      </c>
      <c r="Q203" s="11">
        <v>148</v>
      </c>
      <c r="R203" s="11">
        <v>197</v>
      </c>
      <c r="S203" s="11">
        <v>171</v>
      </c>
      <c r="T203" s="11">
        <v>161</v>
      </c>
      <c r="U203" s="11">
        <v>208</v>
      </c>
      <c r="V203" s="11">
        <v>183</v>
      </c>
      <c r="W203" s="11">
        <v>14</v>
      </c>
      <c r="X203" s="11">
        <v>54</v>
      </c>
    </row>
    <row r="204" spans="1:24" ht="14.25" customHeight="1" x14ac:dyDescent="0.25">
      <c r="A204" s="11"/>
      <c r="B204" s="11">
        <v>17</v>
      </c>
      <c r="C204" s="11" t="s">
        <v>148</v>
      </c>
      <c r="D204" s="11"/>
      <c r="E204" s="11"/>
      <c r="F204" s="11" t="s">
        <v>886</v>
      </c>
      <c r="G204" s="11"/>
      <c r="H204" s="11" t="s">
        <v>950</v>
      </c>
      <c r="I204" s="11" t="s">
        <v>78</v>
      </c>
      <c r="J204" s="11" t="s">
        <v>1084</v>
      </c>
      <c r="K204" s="11"/>
      <c r="L204" s="11"/>
      <c r="M204" s="11">
        <v>18</v>
      </c>
      <c r="N204" s="11">
        <v>214</v>
      </c>
      <c r="O204" s="11">
        <v>182</v>
      </c>
      <c r="P204" s="11">
        <v>32</v>
      </c>
      <c r="Q204" s="11">
        <v>143</v>
      </c>
      <c r="R204" s="11">
        <v>260</v>
      </c>
      <c r="S204" s="11">
        <v>244</v>
      </c>
      <c r="T204" s="11" t="s">
        <v>36</v>
      </c>
      <c r="U204" s="11">
        <v>135</v>
      </c>
      <c r="V204" s="11">
        <v>196</v>
      </c>
      <c r="W204" s="11">
        <v>64</v>
      </c>
      <c r="X204" s="11" t="s">
        <v>886</v>
      </c>
    </row>
    <row r="205" spans="1:24" ht="14.25" customHeight="1" x14ac:dyDescent="0.25">
      <c r="A205" s="11"/>
      <c r="B205" s="11" t="e">
        <v>#N/A</v>
      </c>
      <c r="C205" s="11" t="s">
        <v>148</v>
      </c>
      <c r="D205" s="11"/>
      <c r="E205" s="11"/>
      <c r="F205" s="11" t="s">
        <v>886</v>
      </c>
      <c r="G205" s="11"/>
      <c r="H205" s="11" t="s">
        <v>677</v>
      </c>
      <c r="I205" s="11" t="e">
        <v>#N/A</v>
      </c>
      <c r="J205" s="11" t="e">
        <v>#N/A</v>
      </c>
      <c r="K205" s="11"/>
      <c r="L205" s="11"/>
      <c r="M205" s="11">
        <v>16</v>
      </c>
      <c r="N205" s="11" t="e">
        <v>#N/A</v>
      </c>
      <c r="O205" s="11" t="e">
        <v>#N/A</v>
      </c>
      <c r="P205" s="11" t="e">
        <v>#N/A</v>
      </c>
      <c r="Q205" s="11" t="e">
        <v>#N/A</v>
      </c>
      <c r="R205" s="11" t="e">
        <v>#N/A</v>
      </c>
      <c r="S205" s="11" t="e">
        <v>#N/A</v>
      </c>
      <c r="T205" s="11" t="e">
        <v>#N/A</v>
      </c>
      <c r="U205" s="11" t="e">
        <v>#N/A</v>
      </c>
      <c r="V205" s="11" t="e">
        <v>#N/A</v>
      </c>
      <c r="W205" s="11" t="e">
        <v>#N/A</v>
      </c>
      <c r="X205" s="11" t="e">
        <v>#N/A</v>
      </c>
    </row>
    <row r="206" spans="1:24" ht="14.25" customHeight="1" x14ac:dyDescent="0.25">
      <c r="A206" s="11" t="s">
        <v>148</v>
      </c>
      <c r="B206" s="11">
        <v>20</v>
      </c>
      <c r="C206" s="11" t="s">
        <v>119</v>
      </c>
      <c r="D206" s="11"/>
      <c r="E206" s="11"/>
      <c r="F206" s="11" t="s">
        <v>886</v>
      </c>
      <c r="G206" s="11"/>
      <c r="H206" s="11" t="s">
        <v>598</v>
      </c>
      <c r="I206" s="11" t="s">
        <v>44</v>
      </c>
      <c r="J206" s="11" t="s">
        <v>1084</v>
      </c>
      <c r="K206" s="11"/>
      <c r="L206" s="11"/>
      <c r="M206" s="11">
        <v>14</v>
      </c>
      <c r="N206" s="11">
        <v>163</v>
      </c>
      <c r="O206" s="11">
        <v>189</v>
      </c>
      <c r="P206" s="11">
        <v>-26</v>
      </c>
      <c r="Q206" s="11">
        <v>197</v>
      </c>
      <c r="R206" s="11">
        <v>292</v>
      </c>
      <c r="S206" s="11">
        <v>261</v>
      </c>
      <c r="T206" s="11" t="s">
        <v>36</v>
      </c>
      <c r="U206" s="11">
        <v>188</v>
      </c>
      <c r="V206" s="11">
        <v>215</v>
      </c>
      <c r="W206" s="11">
        <v>77</v>
      </c>
      <c r="X206" s="11" t="s">
        <v>886</v>
      </c>
    </row>
    <row r="207" spans="1:24" ht="14.25" customHeight="1" x14ac:dyDescent="0.25">
      <c r="A207" s="11"/>
      <c r="B207" s="11">
        <v>18</v>
      </c>
      <c r="C207" s="11" t="s">
        <v>148</v>
      </c>
      <c r="D207" s="11"/>
      <c r="E207" s="11"/>
      <c r="F207" s="11" t="s">
        <v>886</v>
      </c>
      <c r="G207" s="11"/>
      <c r="H207" s="11" t="s">
        <v>532</v>
      </c>
      <c r="I207" s="11" t="s">
        <v>163</v>
      </c>
      <c r="J207" s="11" t="s">
        <v>769</v>
      </c>
      <c r="K207" s="11"/>
      <c r="L207" s="11"/>
      <c r="M207" s="11">
        <v>19</v>
      </c>
      <c r="N207" s="11">
        <v>227</v>
      </c>
      <c r="O207" s="11" t="s">
        <v>36</v>
      </c>
      <c r="P207" s="11" t="e">
        <v>#VALUE!</v>
      </c>
      <c r="Q207" s="11">
        <v>200</v>
      </c>
      <c r="R207" s="11">
        <v>242</v>
      </c>
      <c r="S207" s="11">
        <v>167</v>
      </c>
      <c r="T207" s="11">
        <v>215</v>
      </c>
      <c r="U207" s="11">
        <v>211</v>
      </c>
      <c r="V207" s="11">
        <v>210</v>
      </c>
      <c r="W207" s="11">
        <v>32</v>
      </c>
      <c r="X207" s="11" t="s">
        <v>886</v>
      </c>
    </row>
    <row r="208" spans="1:24" ht="14.25" customHeight="1" x14ac:dyDescent="0.25">
      <c r="A208" s="11"/>
      <c r="B208" s="11">
        <v>16</v>
      </c>
      <c r="C208" s="11" t="s">
        <v>148</v>
      </c>
      <c r="D208" s="11"/>
      <c r="E208" s="11"/>
      <c r="F208" s="11" t="s">
        <v>886</v>
      </c>
      <c r="G208" s="11"/>
      <c r="H208" s="11" t="s">
        <v>560</v>
      </c>
      <c r="I208" s="11" t="s">
        <v>116</v>
      </c>
      <c r="J208" s="11" t="s">
        <v>1084</v>
      </c>
      <c r="K208" s="11"/>
      <c r="L208" s="11"/>
      <c r="M208" s="11">
        <v>14</v>
      </c>
      <c r="N208" s="11">
        <v>162</v>
      </c>
      <c r="O208" s="11">
        <v>198</v>
      </c>
      <c r="P208" s="11">
        <v>-36</v>
      </c>
      <c r="Q208" s="11">
        <v>184</v>
      </c>
      <c r="R208" s="11">
        <v>250</v>
      </c>
      <c r="S208" s="11">
        <v>234</v>
      </c>
      <c r="T208" s="11" t="s">
        <v>36</v>
      </c>
      <c r="U208" s="11">
        <v>86</v>
      </c>
      <c r="V208" s="11">
        <v>185</v>
      </c>
      <c r="W208" s="11">
        <v>65</v>
      </c>
      <c r="X208" s="11" t="s">
        <v>886</v>
      </c>
    </row>
    <row r="209" spans="1:24" ht="14.25" customHeight="1" x14ac:dyDescent="0.25">
      <c r="A209" s="11"/>
      <c r="B209" s="11">
        <v>18</v>
      </c>
      <c r="C209" s="11" t="s">
        <v>148</v>
      </c>
      <c r="D209" s="11"/>
      <c r="E209" s="11"/>
      <c r="F209" s="11" t="s">
        <v>886</v>
      </c>
      <c r="G209" s="11"/>
      <c r="H209" s="11" t="s">
        <v>721</v>
      </c>
      <c r="I209" s="11" t="s">
        <v>104</v>
      </c>
      <c r="J209" s="11" t="s">
        <v>764</v>
      </c>
      <c r="K209" s="11"/>
      <c r="L209" s="11"/>
      <c r="M209" s="11">
        <v>17</v>
      </c>
      <c r="N209" s="11">
        <v>199</v>
      </c>
      <c r="O209" s="11">
        <v>199</v>
      </c>
      <c r="P209" s="11">
        <v>0</v>
      </c>
      <c r="Q209" s="11">
        <v>224</v>
      </c>
      <c r="R209" s="11">
        <v>231</v>
      </c>
      <c r="S209" s="11">
        <v>159</v>
      </c>
      <c r="T209" s="11">
        <v>145</v>
      </c>
      <c r="U209" s="11">
        <v>263</v>
      </c>
      <c r="V209" s="11">
        <v>202</v>
      </c>
      <c r="W209" s="11">
        <v>29</v>
      </c>
      <c r="X209" s="11">
        <v>59</v>
      </c>
    </row>
    <row r="210" spans="1:24" ht="14.25" customHeight="1" x14ac:dyDescent="0.25">
      <c r="A210" s="11"/>
      <c r="B210" s="11">
        <v>11</v>
      </c>
      <c r="C210" s="11" t="s">
        <v>148</v>
      </c>
      <c r="D210" s="11"/>
      <c r="E210" s="11"/>
      <c r="F210" s="11" t="s">
        <v>886</v>
      </c>
      <c r="G210" s="11"/>
      <c r="H210" s="11" t="s">
        <v>290</v>
      </c>
      <c r="I210" s="11" t="s">
        <v>60</v>
      </c>
      <c r="J210" s="11" t="s">
        <v>764</v>
      </c>
      <c r="K210" s="11"/>
      <c r="L210" s="11"/>
      <c r="M210" s="11">
        <v>9</v>
      </c>
      <c r="N210" s="11">
        <v>106</v>
      </c>
      <c r="O210" s="11">
        <v>129</v>
      </c>
      <c r="P210" s="11">
        <v>-23</v>
      </c>
      <c r="Q210" s="11">
        <v>135</v>
      </c>
      <c r="R210" s="11">
        <v>128</v>
      </c>
      <c r="S210" s="11">
        <v>112</v>
      </c>
      <c r="T210" s="11">
        <v>96</v>
      </c>
      <c r="U210" s="11">
        <v>141</v>
      </c>
      <c r="V210" s="11">
        <v>121</v>
      </c>
      <c r="W210" s="11">
        <v>7</v>
      </c>
      <c r="X210" s="11">
        <v>46</v>
      </c>
    </row>
    <row r="211" spans="1:24" ht="14.25" customHeight="1" x14ac:dyDescent="0.25">
      <c r="A211" s="11"/>
      <c r="B211" s="11" t="e">
        <v>#N/A</v>
      </c>
      <c r="C211" s="11" t="s">
        <v>148</v>
      </c>
      <c r="D211" s="11"/>
      <c r="E211" s="11"/>
      <c r="F211" s="11" t="s">
        <v>886</v>
      </c>
      <c r="G211" s="11"/>
      <c r="H211" s="11" t="s">
        <v>956</v>
      </c>
      <c r="I211" s="11" t="e">
        <v>#N/A</v>
      </c>
      <c r="J211" s="11" t="e">
        <v>#N/A</v>
      </c>
      <c r="K211" s="11"/>
      <c r="L211" s="11"/>
      <c r="M211" s="11">
        <v>16</v>
      </c>
      <c r="N211" s="11" t="e">
        <v>#N/A</v>
      </c>
      <c r="O211" s="11" t="e">
        <v>#N/A</v>
      </c>
      <c r="P211" s="11" t="e">
        <v>#N/A</v>
      </c>
      <c r="Q211" s="11" t="e">
        <v>#N/A</v>
      </c>
      <c r="R211" s="11" t="e">
        <v>#N/A</v>
      </c>
      <c r="S211" s="11" t="e">
        <v>#N/A</v>
      </c>
      <c r="T211" s="11" t="e">
        <v>#N/A</v>
      </c>
      <c r="U211" s="11" t="e">
        <v>#N/A</v>
      </c>
      <c r="V211" s="11" t="e">
        <v>#N/A</v>
      </c>
      <c r="W211" s="11" t="e">
        <v>#N/A</v>
      </c>
      <c r="X211" s="11" t="e">
        <v>#N/A</v>
      </c>
    </row>
    <row r="212" spans="1:24" ht="14.25" customHeight="1" x14ac:dyDescent="0.25">
      <c r="A212" s="11"/>
      <c r="B212" s="11" t="e">
        <v>#N/A</v>
      </c>
      <c r="C212" s="11" t="s">
        <v>148</v>
      </c>
      <c r="D212" s="11"/>
      <c r="E212" s="11"/>
      <c r="F212" s="11" t="s">
        <v>886</v>
      </c>
      <c r="G212" s="11"/>
      <c r="H212" s="11" t="s">
        <v>932</v>
      </c>
      <c r="I212" s="11" t="e">
        <v>#N/A</v>
      </c>
      <c r="J212" s="11" t="e">
        <v>#N/A</v>
      </c>
      <c r="K212" s="11"/>
      <c r="L212" s="11"/>
      <c r="M212" s="11">
        <v>16</v>
      </c>
      <c r="N212" s="11" t="e">
        <v>#N/A</v>
      </c>
      <c r="O212" s="11" t="e">
        <v>#N/A</v>
      </c>
      <c r="P212" s="11" t="e">
        <v>#N/A</v>
      </c>
      <c r="Q212" s="11" t="e">
        <v>#N/A</v>
      </c>
      <c r="R212" s="11" t="e">
        <v>#N/A</v>
      </c>
      <c r="S212" s="11" t="e">
        <v>#N/A</v>
      </c>
      <c r="T212" s="11" t="e">
        <v>#N/A</v>
      </c>
      <c r="U212" s="11" t="e">
        <v>#N/A</v>
      </c>
      <c r="V212" s="11" t="e">
        <v>#N/A</v>
      </c>
      <c r="W212" s="11" t="e">
        <v>#N/A</v>
      </c>
      <c r="X212" s="11" t="s">
        <v>886</v>
      </c>
    </row>
    <row r="213" spans="1:24" ht="14.25" customHeight="1" x14ac:dyDescent="0.25">
      <c r="A213" s="11"/>
      <c r="B213" s="11">
        <v>23</v>
      </c>
      <c r="C213" s="11" t="s">
        <v>148</v>
      </c>
      <c r="D213" s="11"/>
      <c r="E213" s="11"/>
      <c r="F213" s="11" t="s">
        <v>886</v>
      </c>
      <c r="G213" s="11"/>
      <c r="H213" s="11" t="s">
        <v>268</v>
      </c>
      <c r="I213" s="11" t="s">
        <v>123</v>
      </c>
      <c r="J213" s="11" t="s">
        <v>764</v>
      </c>
      <c r="K213" s="11"/>
      <c r="L213" s="11"/>
      <c r="M213" s="11">
        <v>22</v>
      </c>
      <c r="N213" s="11">
        <v>252</v>
      </c>
      <c r="O213" s="11" t="s">
        <v>36</v>
      </c>
      <c r="P213" s="11" t="e">
        <v>#VALUE!</v>
      </c>
      <c r="Q213" s="11" t="s">
        <v>36</v>
      </c>
      <c r="R213" s="11">
        <v>304</v>
      </c>
      <c r="S213" s="11">
        <v>218</v>
      </c>
      <c r="T213" s="11">
        <v>213</v>
      </c>
      <c r="U213" s="11">
        <v>335</v>
      </c>
      <c r="V213" s="11">
        <v>264</v>
      </c>
      <c r="W213" s="11">
        <v>40</v>
      </c>
      <c r="X213" s="11" t="s">
        <v>886</v>
      </c>
    </row>
    <row r="214" spans="1:24" ht="14.25" customHeight="1" x14ac:dyDescent="0.25">
      <c r="A214" s="11"/>
      <c r="B214" s="11" t="e">
        <v>#N/A</v>
      </c>
      <c r="C214" s="11" t="s">
        <v>148</v>
      </c>
      <c r="D214" s="11"/>
      <c r="E214" s="11">
        <v>1</v>
      </c>
      <c r="F214" s="11" t="s">
        <v>886</v>
      </c>
      <c r="G214" s="11"/>
      <c r="H214" s="44" t="s">
        <v>525</v>
      </c>
      <c r="I214" s="44" t="e">
        <v>#N/A</v>
      </c>
      <c r="J214" s="11" t="e">
        <v>#N/A</v>
      </c>
      <c r="K214" s="44"/>
      <c r="L214" s="11"/>
      <c r="M214" s="11">
        <v>16</v>
      </c>
      <c r="N214" s="11" t="e">
        <v>#N/A</v>
      </c>
      <c r="O214" s="11" t="e">
        <v>#N/A</v>
      </c>
      <c r="P214" s="11" t="e">
        <v>#N/A</v>
      </c>
      <c r="Q214" s="11" t="e">
        <v>#N/A</v>
      </c>
      <c r="R214" s="11" t="e">
        <v>#N/A</v>
      </c>
      <c r="S214" s="11" t="e">
        <v>#N/A</v>
      </c>
      <c r="T214" s="11" t="e">
        <v>#N/A</v>
      </c>
      <c r="U214" s="11" t="e">
        <v>#N/A</v>
      </c>
      <c r="V214" s="11" t="e">
        <v>#N/A</v>
      </c>
      <c r="W214" s="11" t="e">
        <v>#N/A</v>
      </c>
      <c r="X214" s="11" t="e">
        <v>#N/A</v>
      </c>
    </row>
    <row r="215" spans="1:24" ht="14.25" customHeight="1" x14ac:dyDescent="0.25">
      <c r="A215" s="11"/>
      <c r="B215" s="11">
        <v>8</v>
      </c>
      <c r="C215" s="11" t="s">
        <v>148</v>
      </c>
      <c r="D215" s="11"/>
      <c r="E215" s="11"/>
      <c r="F215" s="11" t="s">
        <v>886</v>
      </c>
      <c r="G215" s="11"/>
      <c r="H215" s="11" t="s">
        <v>778</v>
      </c>
      <c r="I215" s="11" t="s">
        <v>55</v>
      </c>
      <c r="J215" s="11" t="s">
        <v>764</v>
      </c>
      <c r="K215" s="11"/>
      <c r="L215" s="11"/>
      <c r="M215" s="11">
        <v>8</v>
      </c>
      <c r="N215" s="11">
        <v>94</v>
      </c>
      <c r="O215" s="11">
        <v>72</v>
      </c>
      <c r="P215" s="11">
        <v>22</v>
      </c>
      <c r="Q215" s="11">
        <v>93</v>
      </c>
      <c r="R215" s="11">
        <v>106</v>
      </c>
      <c r="S215" s="11">
        <v>67</v>
      </c>
      <c r="T215" s="11">
        <v>65</v>
      </c>
      <c r="U215" s="11">
        <v>110</v>
      </c>
      <c r="V215" s="11">
        <v>86</v>
      </c>
      <c r="W215" s="11">
        <v>20</v>
      </c>
      <c r="X215" s="11">
        <v>32</v>
      </c>
    </row>
    <row r="216" spans="1:24" ht="14.25" customHeight="1" x14ac:dyDescent="0.25">
      <c r="A216" s="11"/>
      <c r="B216" s="11" t="e">
        <v>#N/A</v>
      </c>
      <c r="C216" s="11" t="s">
        <v>148</v>
      </c>
      <c r="D216" s="11"/>
      <c r="E216" s="11"/>
      <c r="F216" s="11" t="s">
        <v>886</v>
      </c>
      <c r="G216" s="11"/>
      <c r="H216" s="11" t="s">
        <v>935</v>
      </c>
      <c r="I216" s="11" t="e">
        <v>#N/A</v>
      </c>
      <c r="J216" s="11" t="e">
        <v>#N/A</v>
      </c>
      <c r="K216" s="11"/>
      <c r="L216" s="11"/>
      <c r="M216" s="11">
        <v>16</v>
      </c>
      <c r="N216" s="11" t="e">
        <v>#N/A</v>
      </c>
      <c r="O216" s="11" t="e">
        <v>#N/A</v>
      </c>
      <c r="P216" s="11" t="e">
        <v>#N/A</v>
      </c>
      <c r="Q216" s="11" t="e">
        <v>#N/A</v>
      </c>
      <c r="R216" s="11" t="e">
        <v>#N/A</v>
      </c>
      <c r="S216" s="11" t="e">
        <v>#N/A</v>
      </c>
      <c r="T216" s="11" t="e">
        <v>#N/A</v>
      </c>
      <c r="U216" s="11" t="e">
        <v>#N/A</v>
      </c>
      <c r="V216" s="11" t="e">
        <v>#N/A</v>
      </c>
      <c r="W216" s="11" t="e">
        <v>#N/A</v>
      </c>
      <c r="X216" s="11" t="e">
        <v>#N/A</v>
      </c>
    </row>
    <row r="217" spans="1:24" ht="14.25" customHeight="1" x14ac:dyDescent="0.25">
      <c r="A217" s="11"/>
      <c r="B217" s="11" t="e">
        <v>#N/A</v>
      </c>
      <c r="C217" s="11" t="s">
        <v>148</v>
      </c>
      <c r="D217" s="11"/>
      <c r="E217" s="11"/>
      <c r="F217" s="11" t="s">
        <v>886</v>
      </c>
      <c r="G217" s="11"/>
      <c r="H217" s="11" t="s">
        <v>934</v>
      </c>
      <c r="I217" s="11" t="e">
        <v>#N/A</v>
      </c>
      <c r="J217" s="11" t="e">
        <v>#N/A</v>
      </c>
      <c r="K217" s="11"/>
      <c r="L217" s="11"/>
      <c r="M217" s="11">
        <v>16</v>
      </c>
      <c r="N217" s="11" t="e">
        <v>#N/A</v>
      </c>
      <c r="O217" s="11" t="e">
        <v>#N/A</v>
      </c>
      <c r="P217" s="11" t="e">
        <v>#N/A</v>
      </c>
      <c r="Q217" s="11" t="e">
        <v>#N/A</v>
      </c>
      <c r="R217" s="11" t="e">
        <v>#N/A</v>
      </c>
      <c r="S217" s="11" t="e">
        <v>#N/A</v>
      </c>
      <c r="T217" s="11" t="e">
        <v>#N/A</v>
      </c>
      <c r="U217" s="11" t="e">
        <v>#N/A</v>
      </c>
      <c r="V217" s="11" t="e">
        <v>#N/A</v>
      </c>
      <c r="W217" s="11" t="e">
        <v>#N/A</v>
      </c>
      <c r="X217" s="11" t="e">
        <v>#N/A</v>
      </c>
    </row>
    <row r="218" spans="1:24" ht="14.25" customHeight="1" x14ac:dyDescent="0.25">
      <c r="A218" s="11"/>
      <c r="B218" s="11">
        <v>13</v>
      </c>
      <c r="C218" s="11" t="s">
        <v>148</v>
      </c>
      <c r="D218" s="11"/>
      <c r="E218" s="11"/>
      <c r="F218" s="11" t="s">
        <v>886</v>
      </c>
      <c r="G218" s="11"/>
      <c r="H218" s="11" t="s">
        <v>933</v>
      </c>
      <c r="I218" s="11" t="s">
        <v>168</v>
      </c>
      <c r="J218" s="11" t="s">
        <v>764</v>
      </c>
      <c r="K218" s="11"/>
      <c r="L218" s="11"/>
      <c r="M218" s="11">
        <v>12</v>
      </c>
      <c r="N218" s="11">
        <v>140</v>
      </c>
      <c r="O218" s="11">
        <v>171</v>
      </c>
      <c r="P218" s="11">
        <v>-31</v>
      </c>
      <c r="Q218" s="11">
        <v>167</v>
      </c>
      <c r="R218" s="11">
        <v>131</v>
      </c>
      <c r="S218" s="11">
        <v>136</v>
      </c>
      <c r="T218" s="11">
        <v>113</v>
      </c>
      <c r="U218" s="11">
        <v>174</v>
      </c>
      <c r="V218" s="11">
        <v>147</v>
      </c>
      <c r="W218" s="11">
        <v>-16</v>
      </c>
      <c r="X218" s="11">
        <v>60</v>
      </c>
    </row>
    <row r="219" spans="1:24" ht="14.25" customHeight="1" x14ac:dyDescent="0.25">
      <c r="A219" s="11"/>
      <c r="B219" s="11">
        <v>16</v>
      </c>
      <c r="C219" s="11" t="s">
        <v>148</v>
      </c>
      <c r="D219" s="11"/>
      <c r="E219" s="11"/>
      <c r="F219" s="11" t="s">
        <v>886</v>
      </c>
      <c r="G219" s="11"/>
      <c r="H219" s="11" t="s">
        <v>302</v>
      </c>
      <c r="I219" s="11" t="s">
        <v>126</v>
      </c>
      <c r="J219" s="11" t="s">
        <v>764</v>
      </c>
      <c r="K219" s="11"/>
      <c r="L219" s="11"/>
      <c r="M219" s="11">
        <v>18</v>
      </c>
      <c r="N219" s="11">
        <v>206</v>
      </c>
      <c r="O219" s="11">
        <v>165</v>
      </c>
      <c r="P219" s="11">
        <v>41</v>
      </c>
      <c r="Q219" s="11">
        <v>174</v>
      </c>
      <c r="R219" s="11">
        <v>206</v>
      </c>
      <c r="S219" s="11">
        <v>169</v>
      </c>
      <c r="T219" s="11">
        <v>146</v>
      </c>
      <c r="U219" s="11">
        <v>249</v>
      </c>
      <c r="V219" s="11">
        <v>187</v>
      </c>
      <c r="W219" s="11">
        <v>19</v>
      </c>
      <c r="X219" s="11" t="s">
        <v>886</v>
      </c>
    </row>
    <row r="220" spans="1:24" ht="14.25" customHeight="1" x14ac:dyDescent="0.25">
      <c r="A220" s="11"/>
      <c r="B220" s="11">
        <v>17</v>
      </c>
      <c r="C220" s="11" t="s">
        <v>148</v>
      </c>
      <c r="D220" s="11"/>
      <c r="E220" s="11"/>
      <c r="F220" s="11" t="s">
        <v>886</v>
      </c>
      <c r="G220" s="11"/>
      <c r="H220" s="11" t="s">
        <v>523</v>
      </c>
      <c r="I220" s="11" t="s">
        <v>35</v>
      </c>
      <c r="J220" s="11" t="s">
        <v>1080</v>
      </c>
      <c r="K220" s="11"/>
      <c r="L220" s="11"/>
      <c r="M220" s="11">
        <v>16</v>
      </c>
      <c r="N220" s="11">
        <v>187</v>
      </c>
      <c r="O220" s="11">
        <v>178</v>
      </c>
      <c r="P220" s="11">
        <v>9</v>
      </c>
      <c r="Q220" s="11">
        <v>136</v>
      </c>
      <c r="R220" s="11">
        <v>257</v>
      </c>
      <c r="S220" s="11">
        <v>254</v>
      </c>
      <c r="T220" s="11">
        <v>201</v>
      </c>
      <c r="U220" s="11">
        <v>152</v>
      </c>
      <c r="V220" s="11">
        <v>195</v>
      </c>
      <c r="W220" s="11">
        <v>62</v>
      </c>
      <c r="X220" s="11" t="s">
        <v>886</v>
      </c>
    </row>
    <row r="221" spans="1:24" ht="14.25" customHeight="1" x14ac:dyDescent="0.25">
      <c r="A221" s="11"/>
      <c r="B221" s="11">
        <v>9</v>
      </c>
      <c r="C221" s="11" t="s">
        <v>148</v>
      </c>
      <c r="D221" s="11"/>
      <c r="E221" s="11"/>
      <c r="F221" s="11" t="s">
        <v>886</v>
      </c>
      <c r="G221" s="11"/>
      <c r="H221" s="11" t="s">
        <v>812</v>
      </c>
      <c r="I221" s="11" t="s">
        <v>145</v>
      </c>
      <c r="J221" s="11" t="s">
        <v>760</v>
      </c>
      <c r="K221" s="11"/>
      <c r="L221" s="11"/>
      <c r="M221" s="11">
        <v>12</v>
      </c>
      <c r="N221" s="11">
        <v>136</v>
      </c>
      <c r="O221" s="11">
        <v>116</v>
      </c>
      <c r="P221" s="11">
        <v>20</v>
      </c>
      <c r="Q221" s="11">
        <v>120</v>
      </c>
      <c r="R221" s="11">
        <v>121</v>
      </c>
      <c r="S221" s="11">
        <v>119</v>
      </c>
      <c r="T221" s="11">
        <v>112</v>
      </c>
      <c r="U221" s="11">
        <v>63</v>
      </c>
      <c r="V221" s="11">
        <v>112</v>
      </c>
      <c r="W221" s="11">
        <v>9</v>
      </c>
      <c r="X221" s="11">
        <v>10</v>
      </c>
    </row>
    <row r="222" spans="1:24" ht="14.25" customHeight="1" x14ac:dyDescent="0.25">
      <c r="A222" s="11"/>
      <c r="B222" s="11">
        <v>17</v>
      </c>
      <c r="C222" s="11" t="s">
        <v>148</v>
      </c>
      <c r="D222" s="11"/>
      <c r="E222" s="11"/>
      <c r="F222" s="11" t="s">
        <v>886</v>
      </c>
      <c r="G222" s="11"/>
      <c r="H222" s="11" t="s">
        <v>961</v>
      </c>
      <c r="I222" s="11" t="s">
        <v>66</v>
      </c>
      <c r="J222" s="11" t="s">
        <v>1084</v>
      </c>
      <c r="K222" s="11"/>
      <c r="L222" s="11"/>
      <c r="M222" s="11">
        <v>16</v>
      </c>
      <c r="N222" s="11">
        <v>185</v>
      </c>
      <c r="O222" s="11">
        <v>158</v>
      </c>
      <c r="P222" s="11">
        <v>27</v>
      </c>
      <c r="Q222" s="11">
        <v>140</v>
      </c>
      <c r="R222" s="11">
        <v>241</v>
      </c>
      <c r="S222" s="11">
        <v>271</v>
      </c>
      <c r="T222" s="11" t="s">
        <v>36</v>
      </c>
      <c r="U222" s="11">
        <v>147</v>
      </c>
      <c r="V222" s="11">
        <v>190</v>
      </c>
      <c r="W222" s="11">
        <v>51</v>
      </c>
      <c r="X222" s="11" t="s">
        <v>886</v>
      </c>
    </row>
    <row r="223" spans="1:24" ht="14.25" customHeight="1" x14ac:dyDescent="0.25">
      <c r="A223" s="11"/>
      <c r="B223" s="11">
        <v>8</v>
      </c>
      <c r="C223" s="11" t="s">
        <v>148</v>
      </c>
      <c r="D223" s="11"/>
      <c r="E223" s="11"/>
      <c r="F223" s="11" t="s">
        <v>886</v>
      </c>
      <c r="G223" s="11"/>
      <c r="H223" s="11" t="s">
        <v>435</v>
      </c>
      <c r="I223" s="11" t="s">
        <v>126</v>
      </c>
      <c r="J223" s="11" t="s">
        <v>762</v>
      </c>
      <c r="K223" s="11"/>
      <c r="L223" s="11"/>
      <c r="M223" s="11">
        <v>7</v>
      </c>
      <c r="N223" s="11">
        <v>82</v>
      </c>
      <c r="O223" s="11">
        <v>70</v>
      </c>
      <c r="P223" s="11">
        <v>12</v>
      </c>
      <c r="Q223" s="11">
        <v>81</v>
      </c>
      <c r="R223" s="11">
        <v>90</v>
      </c>
      <c r="S223" s="11">
        <v>80</v>
      </c>
      <c r="T223" s="11">
        <v>81</v>
      </c>
      <c r="U223" s="11">
        <v>101</v>
      </c>
      <c r="V223" s="11">
        <v>83</v>
      </c>
      <c r="W223" s="11">
        <v>7</v>
      </c>
      <c r="X223" s="11">
        <v>34</v>
      </c>
    </row>
    <row r="224" spans="1:24" ht="14.25" customHeight="1" x14ac:dyDescent="0.25">
      <c r="A224" s="11"/>
      <c r="B224" s="11" t="e">
        <v>#N/A</v>
      </c>
      <c r="C224" s="11" t="s">
        <v>148</v>
      </c>
      <c r="D224" s="11"/>
      <c r="E224" s="11"/>
      <c r="F224" s="11" t="s">
        <v>886</v>
      </c>
      <c r="G224" s="11"/>
      <c r="H224" s="11" t="s">
        <v>939</v>
      </c>
      <c r="I224" s="11" t="e">
        <v>#N/A</v>
      </c>
      <c r="J224" s="11" t="e">
        <v>#N/A</v>
      </c>
      <c r="K224" s="11"/>
      <c r="L224" s="11"/>
      <c r="M224" s="11">
        <v>16</v>
      </c>
      <c r="N224" s="11" t="e">
        <v>#N/A</v>
      </c>
      <c r="O224" s="11" t="e">
        <v>#N/A</v>
      </c>
      <c r="P224" s="11" t="e">
        <v>#N/A</v>
      </c>
      <c r="Q224" s="11" t="e">
        <v>#N/A</v>
      </c>
      <c r="R224" s="11" t="e">
        <v>#N/A</v>
      </c>
      <c r="S224" s="11" t="e">
        <v>#N/A</v>
      </c>
      <c r="T224" s="11" t="e">
        <v>#N/A</v>
      </c>
      <c r="U224" s="11" t="e">
        <v>#N/A</v>
      </c>
      <c r="V224" s="11" t="e">
        <v>#N/A</v>
      </c>
      <c r="W224" s="11" t="e">
        <v>#N/A</v>
      </c>
      <c r="X224" s="11" t="e">
        <v>#N/A</v>
      </c>
    </row>
    <row r="225" spans="1:24" ht="14.25" customHeight="1" x14ac:dyDescent="0.25">
      <c r="A225" s="11"/>
      <c r="B225" s="11">
        <v>19</v>
      </c>
      <c r="C225" s="11" t="s">
        <v>148</v>
      </c>
      <c r="D225" s="11"/>
      <c r="E225" s="11"/>
      <c r="F225" s="11" t="s">
        <v>886</v>
      </c>
      <c r="G225" s="11"/>
      <c r="H225" s="11" t="s">
        <v>270</v>
      </c>
      <c r="I225" s="11" t="s">
        <v>88</v>
      </c>
      <c r="J225" s="11" t="s">
        <v>764</v>
      </c>
      <c r="K225" s="11"/>
      <c r="L225" s="11"/>
      <c r="M225" s="11">
        <v>18</v>
      </c>
      <c r="N225" s="11">
        <v>212</v>
      </c>
      <c r="O225" s="11">
        <v>197</v>
      </c>
      <c r="P225" s="11">
        <v>15</v>
      </c>
      <c r="Q225" s="11" t="s">
        <v>36</v>
      </c>
      <c r="R225" s="11">
        <v>227</v>
      </c>
      <c r="S225" s="11">
        <v>226</v>
      </c>
      <c r="T225" s="11">
        <v>180</v>
      </c>
      <c r="U225" s="11">
        <v>278</v>
      </c>
      <c r="V225" s="11">
        <v>220</v>
      </c>
      <c r="W225" s="11">
        <v>7</v>
      </c>
      <c r="X225" s="11" t="s">
        <v>886</v>
      </c>
    </row>
    <row r="226" spans="1:24" ht="14.25" customHeight="1" x14ac:dyDescent="0.25">
      <c r="A226" s="11"/>
      <c r="B226" s="11">
        <v>23</v>
      </c>
      <c r="C226" s="11" t="s">
        <v>148</v>
      </c>
      <c r="D226" s="11"/>
      <c r="E226" s="11"/>
      <c r="F226" s="11" t="s">
        <v>886</v>
      </c>
      <c r="G226" s="11"/>
      <c r="H226" s="11" t="s">
        <v>403</v>
      </c>
      <c r="I226" s="11" t="s">
        <v>60</v>
      </c>
      <c r="J226" s="11" t="s">
        <v>760</v>
      </c>
      <c r="K226" s="11"/>
      <c r="L226" s="11"/>
      <c r="M226" s="11">
        <v>24</v>
      </c>
      <c r="N226" s="11">
        <v>277</v>
      </c>
      <c r="O226" s="11">
        <v>156</v>
      </c>
      <c r="P226" s="11">
        <v>121</v>
      </c>
      <c r="Q226" s="11" t="s">
        <v>36</v>
      </c>
      <c r="R226" s="11">
        <v>310</v>
      </c>
      <c r="S226" s="11">
        <v>231</v>
      </c>
      <c r="T226" s="11">
        <v>236</v>
      </c>
      <c r="U226" s="11">
        <v>310</v>
      </c>
      <c r="V226" s="11">
        <v>253</v>
      </c>
      <c r="W226" s="11">
        <v>57</v>
      </c>
      <c r="X226" s="11">
        <v>25</v>
      </c>
    </row>
    <row r="227" spans="1:24" ht="14.25" customHeight="1" x14ac:dyDescent="0.25">
      <c r="A227" s="11"/>
      <c r="B227" s="11">
        <v>19</v>
      </c>
      <c r="C227" s="11" t="s">
        <v>148</v>
      </c>
      <c r="D227" s="11"/>
      <c r="E227" s="11"/>
      <c r="F227" s="11" t="s">
        <v>886</v>
      </c>
      <c r="G227" s="11"/>
      <c r="H227" s="11" t="s">
        <v>943</v>
      </c>
      <c r="I227" s="11" t="s">
        <v>163</v>
      </c>
      <c r="J227" s="11" t="s">
        <v>1080</v>
      </c>
      <c r="K227" s="11"/>
      <c r="L227" s="11"/>
      <c r="M227" s="11">
        <v>16</v>
      </c>
      <c r="N227" s="11">
        <v>184</v>
      </c>
      <c r="O227" s="11" t="s">
        <v>36</v>
      </c>
      <c r="P227" s="11" t="e">
        <v>#VALUE!</v>
      </c>
      <c r="Q227" s="11">
        <v>202</v>
      </c>
      <c r="R227" s="11">
        <v>228</v>
      </c>
      <c r="S227" s="11">
        <v>317</v>
      </c>
      <c r="T227" s="11">
        <v>254</v>
      </c>
      <c r="U227" s="11">
        <v>138</v>
      </c>
      <c r="V227" s="11">
        <v>220</v>
      </c>
      <c r="W227" s="11">
        <v>8</v>
      </c>
      <c r="X227" s="11" t="s">
        <v>886</v>
      </c>
    </row>
    <row r="228" spans="1:24" ht="14.25" customHeight="1" x14ac:dyDescent="0.25">
      <c r="A228" s="11"/>
      <c r="B228" s="11" t="e">
        <v>#N/A</v>
      </c>
      <c r="C228" s="11" t="s">
        <v>148</v>
      </c>
      <c r="D228" s="11"/>
      <c r="E228" s="11">
        <v>0</v>
      </c>
      <c r="F228" s="11" t="s">
        <v>886</v>
      </c>
      <c r="G228" s="11" t="s">
        <v>148</v>
      </c>
      <c r="H228" s="11" t="s">
        <v>944</v>
      </c>
      <c r="I228" s="11" t="e">
        <v>#N/A</v>
      </c>
      <c r="J228" s="11" t="e">
        <v>#N/A</v>
      </c>
      <c r="K228" s="11"/>
      <c r="L228" s="11"/>
      <c r="M228" s="11">
        <v>16</v>
      </c>
      <c r="N228" s="11" t="e">
        <v>#N/A</v>
      </c>
      <c r="O228" s="11" t="e">
        <v>#N/A</v>
      </c>
      <c r="P228" s="11" t="e">
        <v>#N/A</v>
      </c>
      <c r="Q228" s="11" t="e">
        <v>#N/A</v>
      </c>
      <c r="R228" s="11" t="e">
        <v>#N/A</v>
      </c>
      <c r="S228" s="11" t="e">
        <v>#N/A</v>
      </c>
      <c r="T228" s="11" t="e">
        <v>#N/A</v>
      </c>
      <c r="U228" s="11" t="e">
        <v>#N/A</v>
      </c>
      <c r="V228" s="11" t="e">
        <v>#N/A</v>
      </c>
      <c r="W228" s="11" t="e">
        <v>#N/A</v>
      </c>
      <c r="X228" s="11" t="e">
        <v>#N/A</v>
      </c>
    </row>
    <row r="229" spans="1:24" ht="14.25" customHeight="1" x14ac:dyDescent="0.25">
      <c r="A229" s="11"/>
      <c r="B229" s="11">
        <v>18</v>
      </c>
      <c r="C229" s="11" t="s">
        <v>148</v>
      </c>
      <c r="D229" s="11"/>
      <c r="E229" s="11"/>
      <c r="F229" s="11" t="s">
        <v>886</v>
      </c>
      <c r="G229" s="11"/>
      <c r="H229" s="11" t="s">
        <v>662</v>
      </c>
      <c r="I229" s="11" t="s">
        <v>129</v>
      </c>
      <c r="J229" s="11" t="s">
        <v>762</v>
      </c>
      <c r="K229" s="11"/>
      <c r="L229" s="11"/>
      <c r="M229" s="11">
        <v>23</v>
      </c>
      <c r="N229" s="11">
        <v>266</v>
      </c>
      <c r="O229" s="11">
        <v>202</v>
      </c>
      <c r="P229" s="11">
        <v>64</v>
      </c>
      <c r="Q229" s="11" t="s">
        <v>36</v>
      </c>
      <c r="R229" s="11">
        <v>233</v>
      </c>
      <c r="S229" s="11">
        <v>189</v>
      </c>
      <c r="T229" s="11">
        <v>206</v>
      </c>
      <c r="U229" s="11" t="s">
        <v>36</v>
      </c>
      <c r="V229" s="11">
        <v>219</v>
      </c>
      <c r="W229" s="11">
        <v>14</v>
      </c>
      <c r="X229" s="11" t="s">
        <v>886</v>
      </c>
    </row>
    <row r="230" spans="1:24" ht="14.25" customHeight="1" x14ac:dyDescent="0.25">
      <c r="A230" s="11"/>
      <c r="B230" s="11">
        <v>22</v>
      </c>
      <c r="C230" s="11" t="s">
        <v>148</v>
      </c>
      <c r="D230" s="11"/>
      <c r="E230" s="11"/>
      <c r="F230" s="11" t="s">
        <v>886</v>
      </c>
      <c r="G230" s="11"/>
      <c r="H230" s="11" t="s">
        <v>946</v>
      </c>
      <c r="I230" s="11" t="s">
        <v>60</v>
      </c>
      <c r="J230" s="11" t="s">
        <v>1080</v>
      </c>
      <c r="K230" s="11"/>
      <c r="L230" s="11"/>
      <c r="M230" s="11">
        <v>25</v>
      </c>
      <c r="N230" s="11">
        <v>290</v>
      </c>
      <c r="O230" s="11" t="s">
        <v>36</v>
      </c>
      <c r="P230" s="11" t="e">
        <v>#VALUE!</v>
      </c>
      <c r="Q230" s="11">
        <v>180</v>
      </c>
      <c r="R230" s="11" t="s">
        <v>36</v>
      </c>
      <c r="S230" s="11">
        <v>331</v>
      </c>
      <c r="T230" s="11">
        <v>271</v>
      </c>
      <c r="U230" s="11">
        <v>234</v>
      </c>
      <c r="V230" s="11">
        <v>261</v>
      </c>
      <c r="W230" s="11" t="e">
        <v>#VALUE!</v>
      </c>
      <c r="X230" s="11" t="s">
        <v>886</v>
      </c>
    </row>
    <row r="231" spans="1:24" ht="14.25" customHeight="1" x14ac:dyDescent="0.25">
      <c r="A231" s="11"/>
      <c r="B231" s="11">
        <v>21</v>
      </c>
      <c r="C231" s="11" t="s">
        <v>148</v>
      </c>
      <c r="D231" s="11"/>
      <c r="E231" s="11"/>
      <c r="F231" s="11" t="s">
        <v>886</v>
      </c>
      <c r="G231" s="11"/>
      <c r="H231" s="11" t="s">
        <v>940</v>
      </c>
      <c r="I231" s="11" t="s">
        <v>116</v>
      </c>
      <c r="J231" s="11" t="s">
        <v>762</v>
      </c>
      <c r="K231" s="11"/>
      <c r="L231" s="11"/>
      <c r="M231" s="11">
        <v>16</v>
      </c>
      <c r="N231" s="11" t="s">
        <v>36</v>
      </c>
      <c r="O231" s="11" t="s">
        <v>36</v>
      </c>
      <c r="P231" s="11" t="e">
        <v>#VALUE!</v>
      </c>
      <c r="Q231" s="11" t="s">
        <v>36</v>
      </c>
      <c r="R231" s="11" t="s">
        <v>36</v>
      </c>
      <c r="S231" s="11">
        <v>209</v>
      </c>
      <c r="T231" s="11">
        <v>237</v>
      </c>
      <c r="U231" s="11">
        <v>295</v>
      </c>
      <c r="V231" s="11">
        <v>247</v>
      </c>
      <c r="W231" s="11" t="e">
        <v>#VALUE!</v>
      </c>
      <c r="X231" s="11" t="s">
        <v>886</v>
      </c>
    </row>
    <row r="232" spans="1:24" ht="14.25" customHeight="1" x14ac:dyDescent="0.25">
      <c r="A232" s="11"/>
      <c r="B232" s="11">
        <v>20</v>
      </c>
      <c r="C232" s="11" t="s">
        <v>148</v>
      </c>
      <c r="D232" s="11"/>
      <c r="E232" s="11"/>
      <c r="F232" s="11" t="s">
        <v>886</v>
      </c>
      <c r="G232" s="11"/>
      <c r="H232" s="11" t="s">
        <v>945</v>
      </c>
      <c r="I232" s="11" t="s">
        <v>155</v>
      </c>
      <c r="J232" s="11" t="s">
        <v>762</v>
      </c>
      <c r="K232" s="11"/>
      <c r="L232" s="11"/>
      <c r="M232" s="11">
        <v>17</v>
      </c>
      <c r="N232" s="11">
        <v>203</v>
      </c>
      <c r="O232" s="11">
        <v>213</v>
      </c>
      <c r="P232" s="11">
        <v>-10</v>
      </c>
      <c r="Q232" s="11" t="s">
        <v>36</v>
      </c>
      <c r="R232" s="11">
        <v>275</v>
      </c>
      <c r="S232" s="11">
        <v>186</v>
      </c>
      <c r="T232" s="11">
        <v>188</v>
      </c>
      <c r="U232" s="11">
        <v>304</v>
      </c>
      <c r="V232" s="11">
        <v>228</v>
      </c>
      <c r="W232" s="11">
        <v>47</v>
      </c>
      <c r="X232" s="11" t="s">
        <v>886</v>
      </c>
    </row>
    <row r="233" spans="1:24" ht="14.25" customHeight="1" x14ac:dyDescent="0.25">
      <c r="A233" s="11"/>
      <c r="B233" s="11">
        <v>21</v>
      </c>
      <c r="C233" s="11" t="s">
        <v>148</v>
      </c>
      <c r="D233" s="11"/>
      <c r="E233" s="11"/>
      <c r="F233" s="11" t="s">
        <v>886</v>
      </c>
      <c r="G233" s="11"/>
      <c r="H233" s="11" t="s">
        <v>949</v>
      </c>
      <c r="I233" s="11" t="s">
        <v>126</v>
      </c>
      <c r="J233" s="11" t="s">
        <v>760</v>
      </c>
      <c r="K233" s="11"/>
      <c r="L233" s="11"/>
      <c r="M233" s="11">
        <v>23</v>
      </c>
      <c r="N233" s="11">
        <v>265</v>
      </c>
      <c r="O233" s="11" t="s">
        <v>36</v>
      </c>
      <c r="P233" s="11" t="e">
        <v>#VALUE!</v>
      </c>
      <c r="Q233" s="11">
        <v>239</v>
      </c>
      <c r="R233" s="11">
        <v>264</v>
      </c>
      <c r="S233" s="11">
        <v>243</v>
      </c>
      <c r="T233" s="11">
        <v>238</v>
      </c>
      <c r="U233" s="11">
        <v>225</v>
      </c>
      <c r="V233" s="11">
        <v>245</v>
      </c>
      <c r="W233" s="11">
        <v>19</v>
      </c>
      <c r="X233" s="11" t="s">
        <v>886</v>
      </c>
    </row>
    <row r="234" spans="1:24" ht="14.25" customHeight="1" x14ac:dyDescent="0.25">
      <c r="A234" s="11"/>
      <c r="B234" s="11">
        <v>11</v>
      </c>
      <c r="C234" s="11" t="s">
        <v>148</v>
      </c>
      <c r="D234" s="11"/>
      <c r="E234" s="11"/>
      <c r="F234" s="11" t="s">
        <v>886</v>
      </c>
      <c r="G234" s="11"/>
      <c r="H234" s="11" t="s">
        <v>204</v>
      </c>
      <c r="I234" s="11" t="s">
        <v>104</v>
      </c>
      <c r="J234" s="11" t="s">
        <v>760</v>
      </c>
      <c r="K234" s="11"/>
      <c r="L234" s="11"/>
      <c r="M234" s="11">
        <v>11</v>
      </c>
      <c r="N234" s="11">
        <v>127</v>
      </c>
      <c r="O234" s="11">
        <v>130</v>
      </c>
      <c r="P234" s="11">
        <v>-3</v>
      </c>
      <c r="Q234" s="11">
        <v>124</v>
      </c>
      <c r="R234" s="11">
        <v>130</v>
      </c>
      <c r="S234" s="11">
        <v>117</v>
      </c>
      <c r="T234" s="11">
        <v>114</v>
      </c>
      <c r="U234" s="11">
        <v>144</v>
      </c>
      <c r="V234" s="11">
        <v>126</v>
      </c>
      <c r="W234" s="11">
        <v>4</v>
      </c>
      <c r="X234" s="11">
        <v>14</v>
      </c>
    </row>
    <row r="235" spans="1:24" ht="14.25" customHeight="1" x14ac:dyDescent="0.25">
      <c r="A235" s="11"/>
      <c r="B235" s="11">
        <v>23</v>
      </c>
      <c r="C235" s="11" t="s">
        <v>148</v>
      </c>
      <c r="D235" s="11"/>
      <c r="E235" s="11"/>
      <c r="F235" s="11" t="s">
        <v>886</v>
      </c>
      <c r="G235" s="11"/>
      <c r="H235" s="11" t="s">
        <v>379</v>
      </c>
      <c r="I235" s="11" t="s">
        <v>129</v>
      </c>
      <c r="J235" s="11" t="s">
        <v>769</v>
      </c>
      <c r="K235" s="11"/>
      <c r="L235" s="11"/>
      <c r="M235" s="11">
        <v>23</v>
      </c>
      <c r="N235" s="11">
        <v>273</v>
      </c>
      <c r="O235" s="11" t="s">
        <v>36</v>
      </c>
      <c r="P235" s="11" t="e">
        <v>#VALUE!</v>
      </c>
      <c r="Q235" s="11" t="s">
        <v>36</v>
      </c>
      <c r="R235" s="11">
        <v>311</v>
      </c>
      <c r="S235" s="11">
        <v>223</v>
      </c>
      <c r="T235" s="11">
        <v>256</v>
      </c>
      <c r="U235" s="11">
        <v>279</v>
      </c>
      <c r="V235" s="11">
        <v>268</v>
      </c>
      <c r="W235" s="11">
        <v>43</v>
      </c>
      <c r="X235" s="11" t="s">
        <v>886</v>
      </c>
    </row>
    <row r="236" spans="1:24" ht="14.25" customHeight="1" x14ac:dyDescent="0.25">
      <c r="A236" s="11"/>
      <c r="B236" s="11">
        <v>19</v>
      </c>
      <c r="C236" s="11" t="s">
        <v>148</v>
      </c>
      <c r="D236" s="11"/>
      <c r="E236" s="11"/>
      <c r="F236" s="11" t="s">
        <v>886</v>
      </c>
      <c r="G236" s="11"/>
      <c r="H236" s="11" t="s">
        <v>476</v>
      </c>
      <c r="I236" s="11" t="s">
        <v>52</v>
      </c>
      <c r="J236" s="11" t="s">
        <v>1080</v>
      </c>
      <c r="K236" s="11"/>
      <c r="L236" s="11"/>
      <c r="M236" s="11">
        <v>16</v>
      </c>
      <c r="N236" s="11">
        <v>183</v>
      </c>
      <c r="O236" s="11">
        <v>196</v>
      </c>
      <c r="P236" s="11">
        <v>-13</v>
      </c>
      <c r="Q236" s="11">
        <v>142</v>
      </c>
      <c r="R236" s="11">
        <v>273</v>
      </c>
      <c r="S236" s="11">
        <v>268</v>
      </c>
      <c r="T236" s="11">
        <v>225</v>
      </c>
      <c r="U236" s="11">
        <v>179</v>
      </c>
      <c r="V236" s="11">
        <v>209</v>
      </c>
      <c r="W236" s="11">
        <v>64</v>
      </c>
      <c r="X236" s="11" t="s">
        <v>886</v>
      </c>
    </row>
    <row r="237" spans="1:24" ht="14.25" customHeight="1" x14ac:dyDescent="0.25">
      <c r="A237" s="11"/>
      <c r="B237" s="11">
        <v>19</v>
      </c>
      <c r="C237" s="11" t="s">
        <v>148</v>
      </c>
      <c r="D237" s="11"/>
      <c r="E237" s="11"/>
      <c r="F237" s="11" t="s">
        <v>886</v>
      </c>
      <c r="G237" s="11"/>
      <c r="H237" s="11" t="s">
        <v>519</v>
      </c>
      <c r="I237" s="11" t="s">
        <v>88</v>
      </c>
      <c r="J237" s="11" t="s">
        <v>1080</v>
      </c>
      <c r="K237" s="11"/>
      <c r="L237" s="11"/>
      <c r="M237" s="11">
        <v>21</v>
      </c>
      <c r="N237" s="11">
        <v>246</v>
      </c>
      <c r="O237" s="11">
        <v>174</v>
      </c>
      <c r="P237" s="11">
        <v>72</v>
      </c>
      <c r="Q237" s="11">
        <v>244</v>
      </c>
      <c r="R237" s="11">
        <v>251</v>
      </c>
      <c r="S237" s="11">
        <v>273</v>
      </c>
      <c r="T237" s="11">
        <v>197</v>
      </c>
      <c r="U237" s="11">
        <v>158</v>
      </c>
      <c r="V237" s="11">
        <v>220</v>
      </c>
      <c r="W237" s="11">
        <v>31</v>
      </c>
      <c r="X237" s="11" t="s">
        <v>886</v>
      </c>
    </row>
    <row r="238" spans="1:24" ht="14.25" customHeight="1" x14ac:dyDescent="0.25">
      <c r="A238" s="11"/>
      <c r="B238" s="11">
        <v>25</v>
      </c>
      <c r="C238" s="11" t="s">
        <v>148</v>
      </c>
      <c r="D238" s="11"/>
      <c r="E238" s="11"/>
      <c r="F238" s="11" t="s">
        <v>886</v>
      </c>
      <c r="G238" s="11"/>
      <c r="H238" s="11" t="s">
        <v>941</v>
      </c>
      <c r="I238" s="11" t="s">
        <v>69</v>
      </c>
      <c r="J238" s="11" t="s">
        <v>764</v>
      </c>
      <c r="K238" s="11"/>
      <c r="L238" s="11"/>
      <c r="M238" s="11">
        <v>27</v>
      </c>
      <c r="N238" s="11">
        <v>319</v>
      </c>
      <c r="O238" s="11" t="s">
        <v>36</v>
      </c>
      <c r="P238" s="11" t="e">
        <v>#VALUE!</v>
      </c>
      <c r="Q238" s="11" t="s">
        <v>36</v>
      </c>
      <c r="R238" s="11" t="s">
        <v>36</v>
      </c>
      <c r="S238" s="11">
        <v>340</v>
      </c>
      <c r="T238" s="11">
        <v>270</v>
      </c>
      <c r="U238" s="11">
        <v>284</v>
      </c>
      <c r="V238" s="11">
        <v>303</v>
      </c>
      <c r="W238" s="11" t="e">
        <v>#VALUE!</v>
      </c>
      <c r="X238" s="11" t="s">
        <v>886</v>
      </c>
    </row>
    <row r="239" spans="1:24" ht="14.25" customHeight="1" x14ac:dyDescent="0.25">
      <c r="A239" s="11"/>
      <c r="B239" s="11" t="e">
        <v>#N/A</v>
      </c>
      <c r="C239" s="11" t="s">
        <v>148</v>
      </c>
      <c r="D239" s="11"/>
      <c r="E239" s="11"/>
      <c r="F239" s="11" t="s">
        <v>886</v>
      </c>
      <c r="G239" s="11"/>
      <c r="H239" s="11" t="s">
        <v>710</v>
      </c>
      <c r="I239" s="11" t="e">
        <v>#N/A</v>
      </c>
      <c r="J239" s="11" t="s">
        <v>1080</v>
      </c>
      <c r="K239" s="11"/>
      <c r="L239" s="11"/>
      <c r="M239" s="11">
        <v>16</v>
      </c>
      <c r="N239" s="11" t="e">
        <v>#N/A</v>
      </c>
      <c r="O239" s="11" t="e">
        <v>#N/A</v>
      </c>
      <c r="P239" s="11" t="e">
        <v>#N/A</v>
      </c>
      <c r="Q239" s="11" t="e">
        <v>#N/A</v>
      </c>
      <c r="R239" s="11" t="e">
        <v>#N/A</v>
      </c>
      <c r="S239" s="11" t="e">
        <v>#N/A</v>
      </c>
      <c r="T239" s="11" t="e">
        <v>#N/A</v>
      </c>
      <c r="U239" s="11" t="e">
        <v>#N/A</v>
      </c>
      <c r="V239" s="11" t="e">
        <v>#N/A</v>
      </c>
      <c r="W239" s="11" t="e">
        <v>#N/A</v>
      </c>
      <c r="X239" s="11" t="s">
        <v>886</v>
      </c>
    </row>
    <row r="240" spans="1:24" ht="14.25" customHeight="1" x14ac:dyDescent="0.25">
      <c r="A240" s="11"/>
      <c r="B240" s="11">
        <v>20</v>
      </c>
      <c r="C240" s="11" t="s">
        <v>148</v>
      </c>
      <c r="D240" s="11"/>
      <c r="E240" s="11"/>
      <c r="F240" s="11" t="s">
        <v>886</v>
      </c>
      <c r="G240" s="11"/>
      <c r="H240" s="11" t="s">
        <v>442</v>
      </c>
      <c r="I240" s="11" t="s">
        <v>163</v>
      </c>
      <c r="J240" s="11" t="s">
        <v>764</v>
      </c>
      <c r="K240" s="11"/>
      <c r="L240" s="11"/>
      <c r="M240" s="11">
        <v>15</v>
      </c>
      <c r="N240" s="11">
        <v>177</v>
      </c>
      <c r="O240" s="11" t="s">
        <v>36</v>
      </c>
      <c r="P240" s="11" t="e">
        <v>#VALUE!</v>
      </c>
      <c r="Q240" s="11" t="s">
        <v>36</v>
      </c>
      <c r="R240" s="11" t="s">
        <v>36</v>
      </c>
      <c r="S240" s="11">
        <v>277</v>
      </c>
      <c r="T240" s="11">
        <v>205</v>
      </c>
      <c r="U240" s="11">
        <v>231</v>
      </c>
      <c r="V240" s="11">
        <v>222</v>
      </c>
      <c r="W240" s="11" t="e">
        <v>#VALUE!</v>
      </c>
      <c r="X240" s="11" t="s">
        <v>886</v>
      </c>
    </row>
    <row r="241" spans="1:24" ht="14.25" customHeight="1" x14ac:dyDescent="0.25">
      <c r="A241" s="11"/>
      <c r="B241" s="11" t="e">
        <v>#N/A</v>
      </c>
      <c r="C241" s="11" t="s">
        <v>148</v>
      </c>
      <c r="D241" s="11"/>
      <c r="E241" s="11"/>
      <c r="F241" s="11" t="s">
        <v>886</v>
      </c>
      <c r="G241" s="11"/>
      <c r="H241" s="11" t="s">
        <v>954</v>
      </c>
      <c r="I241" s="11" t="e">
        <v>#N/A</v>
      </c>
      <c r="J241" s="11" t="e">
        <v>#N/A</v>
      </c>
      <c r="K241" s="11"/>
      <c r="L241" s="11"/>
      <c r="M241" s="11">
        <v>16</v>
      </c>
      <c r="N241" s="11" t="e">
        <v>#N/A</v>
      </c>
      <c r="O241" s="11" t="e">
        <v>#N/A</v>
      </c>
      <c r="P241" s="11" t="e">
        <v>#N/A</v>
      </c>
      <c r="Q241" s="11" t="e">
        <v>#N/A</v>
      </c>
      <c r="R241" s="11" t="e">
        <v>#N/A</v>
      </c>
      <c r="S241" s="11" t="e">
        <v>#N/A</v>
      </c>
      <c r="T241" s="11" t="e">
        <v>#N/A</v>
      </c>
      <c r="U241" s="11" t="e">
        <v>#N/A</v>
      </c>
      <c r="V241" s="11" t="e">
        <v>#N/A</v>
      </c>
      <c r="W241" s="11" t="e">
        <v>#N/A</v>
      </c>
      <c r="X241" s="11" t="e">
        <v>#N/A</v>
      </c>
    </row>
    <row r="242" spans="1:24" ht="14.25" customHeight="1" x14ac:dyDescent="0.25">
      <c r="A242" s="11"/>
      <c r="B242" s="11">
        <v>19</v>
      </c>
      <c r="C242" s="11" t="s">
        <v>148</v>
      </c>
      <c r="D242" s="11"/>
      <c r="E242" s="11"/>
      <c r="F242" s="11" t="s">
        <v>886</v>
      </c>
      <c r="G242" s="11"/>
      <c r="H242" s="11" t="s">
        <v>951</v>
      </c>
      <c r="I242" s="11" t="s">
        <v>81</v>
      </c>
      <c r="J242" s="11" t="s">
        <v>1084</v>
      </c>
      <c r="K242" s="11"/>
      <c r="L242" s="11"/>
      <c r="M242" s="11">
        <v>16</v>
      </c>
      <c r="N242" s="11" t="s">
        <v>36</v>
      </c>
      <c r="O242" s="11">
        <v>188</v>
      </c>
      <c r="P242" s="11" t="e">
        <v>#VALUE!</v>
      </c>
      <c r="Q242" s="11">
        <v>175</v>
      </c>
      <c r="R242" s="11">
        <v>270</v>
      </c>
      <c r="S242" s="11">
        <v>316</v>
      </c>
      <c r="T242" s="11" t="s">
        <v>36</v>
      </c>
      <c r="U242" s="11">
        <v>108</v>
      </c>
      <c r="V242" s="11">
        <v>211</v>
      </c>
      <c r="W242" s="11">
        <v>59</v>
      </c>
      <c r="X242" s="11" t="s">
        <v>886</v>
      </c>
    </row>
    <row r="243" spans="1:24" ht="14.25" customHeight="1" x14ac:dyDescent="0.25">
      <c r="A243" s="11"/>
      <c r="B243" s="11" t="e">
        <v>#N/A</v>
      </c>
      <c r="C243" s="11" t="s">
        <v>148</v>
      </c>
      <c r="D243" s="11"/>
      <c r="E243" s="11"/>
      <c r="F243" s="11" t="s">
        <v>886</v>
      </c>
      <c r="G243" s="11"/>
      <c r="H243" s="11" t="s">
        <v>570</v>
      </c>
      <c r="I243" s="11" t="e">
        <v>#N/A</v>
      </c>
      <c r="J243" s="11" t="e">
        <v>#N/A</v>
      </c>
      <c r="K243" s="11"/>
      <c r="L243" s="11"/>
      <c r="M243" s="11">
        <v>16</v>
      </c>
      <c r="N243" s="11" t="e">
        <v>#N/A</v>
      </c>
      <c r="O243" s="11" t="e">
        <v>#N/A</v>
      </c>
      <c r="P243" s="11" t="e">
        <v>#N/A</v>
      </c>
      <c r="Q243" s="11" t="e">
        <v>#N/A</v>
      </c>
      <c r="R243" s="11" t="e">
        <v>#N/A</v>
      </c>
      <c r="S243" s="11" t="e">
        <v>#N/A</v>
      </c>
      <c r="T243" s="11" t="e">
        <v>#N/A</v>
      </c>
      <c r="U243" s="11" t="e">
        <v>#N/A</v>
      </c>
      <c r="V243" s="11" t="e">
        <v>#N/A</v>
      </c>
      <c r="W243" s="11" t="e">
        <v>#N/A</v>
      </c>
      <c r="X243" s="11" t="e">
        <v>#N/A</v>
      </c>
    </row>
    <row r="244" spans="1:24" ht="14.25" customHeight="1" x14ac:dyDescent="0.25">
      <c r="A244" s="11"/>
      <c r="B244" s="11" t="e">
        <v>#N/A</v>
      </c>
      <c r="C244" s="11" t="s">
        <v>148</v>
      </c>
      <c r="D244" s="11"/>
      <c r="E244" s="11"/>
      <c r="F244" s="11" t="s">
        <v>886</v>
      </c>
      <c r="G244" s="11"/>
      <c r="H244" s="11" t="s">
        <v>825</v>
      </c>
      <c r="I244" s="11" t="e">
        <v>#N/A</v>
      </c>
      <c r="J244" s="11" t="e">
        <v>#N/A</v>
      </c>
      <c r="K244" s="11"/>
      <c r="L244" s="11"/>
      <c r="M244" s="11">
        <v>16</v>
      </c>
      <c r="N244" s="11" t="e">
        <v>#N/A</v>
      </c>
      <c r="O244" s="11" t="e">
        <v>#N/A</v>
      </c>
      <c r="P244" s="11" t="e">
        <v>#N/A</v>
      </c>
      <c r="Q244" s="11" t="e">
        <v>#N/A</v>
      </c>
      <c r="R244" s="11" t="e">
        <v>#N/A</v>
      </c>
      <c r="S244" s="11" t="e">
        <v>#N/A</v>
      </c>
      <c r="T244" s="11" t="e">
        <v>#N/A</v>
      </c>
      <c r="U244" s="11" t="e">
        <v>#N/A</v>
      </c>
      <c r="V244" s="11" t="e">
        <v>#N/A</v>
      </c>
      <c r="W244" s="11" t="e">
        <v>#N/A</v>
      </c>
      <c r="X244" s="11" t="e">
        <v>#N/A</v>
      </c>
    </row>
    <row r="245" spans="1:24" ht="14.25" customHeight="1" x14ac:dyDescent="0.25">
      <c r="A245" s="11"/>
      <c r="B245" s="11" t="e">
        <v>#N/A</v>
      </c>
      <c r="C245" s="11" t="s">
        <v>148</v>
      </c>
      <c r="D245" s="11"/>
      <c r="E245" s="11"/>
      <c r="F245" s="11" t="s">
        <v>886</v>
      </c>
      <c r="G245" s="11"/>
      <c r="H245" s="11" t="s">
        <v>715</v>
      </c>
      <c r="I245" s="11" t="e">
        <v>#N/A</v>
      </c>
      <c r="J245" s="11" t="e">
        <v>#N/A</v>
      </c>
      <c r="K245" s="11"/>
      <c r="L245" s="11"/>
      <c r="M245" s="11">
        <v>16</v>
      </c>
      <c r="N245" s="11" t="e">
        <v>#N/A</v>
      </c>
      <c r="O245" s="11" t="e">
        <v>#N/A</v>
      </c>
      <c r="P245" s="11" t="e">
        <v>#N/A</v>
      </c>
      <c r="Q245" s="11" t="e">
        <v>#N/A</v>
      </c>
      <c r="R245" s="11" t="e">
        <v>#N/A</v>
      </c>
      <c r="S245" s="11" t="e">
        <v>#N/A</v>
      </c>
      <c r="T245" s="11" t="e">
        <v>#N/A</v>
      </c>
      <c r="U245" s="11" t="e">
        <v>#N/A</v>
      </c>
      <c r="V245" s="11" t="e">
        <v>#N/A</v>
      </c>
      <c r="W245" s="11" t="e">
        <v>#N/A</v>
      </c>
      <c r="X245" s="11" t="e">
        <v>#N/A</v>
      </c>
    </row>
    <row r="246" spans="1:24" ht="14.25" customHeight="1" x14ac:dyDescent="0.25">
      <c r="A246" s="11"/>
      <c r="B246" s="11" t="e">
        <v>#N/A</v>
      </c>
      <c r="C246" s="11" t="s">
        <v>148</v>
      </c>
      <c r="D246" s="11"/>
      <c r="E246" s="11"/>
      <c r="F246" s="11" t="s">
        <v>886</v>
      </c>
      <c r="G246" s="11"/>
      <c r="H246" s="11" t="s">
        <v>1126</v>
      </c>
      <c r="I246" s="11" t="e">
        <v>#N/A</v>
      </c>
      <c r="J246" s="11" t="e">
        <v>#N/A</v>
      </c>
      <c r="K246" s="11"/>
      <c r="L246" s="11"/>
      <c r="M246" s="11">
        <v>16</v>
      </c>
      <c r="N246" s="11" t="e">
        <v>#N/A</v>
      </c>
      <c r="O246" s="11" t="e">
        <v>#N/A</v>
      </c>
      <c r="P246" s="11" t="e">
        <v>#N/A</v>
      </c>
      <c r="Q246" s="11" t="e">
        <v>#N/A</v>
      </c>
      <c r="R246" s="11" t="e">
        <v>#N/A</v>
      </c>
      <c r="S246" s="11" t="e">
        <v>#N/A</v>
      </c>
      <c r="T246" s="11" t="e">
        <v>#N/A</v>
      </c>
      <c r="U246" s="11" t="e">
        <v>#N/A</v>
      </c>
      <c r="V246" s="11" t="e">
        <v>#N/A</v>
      </c>
      <c r="W246" s="11" t="e">
        <v>#N/A</v>
      </c>
      <c r="X246" s="11" t="e">
        <v>#N/A</v>
      </c>
    </row>
    <row r="247" spans="1:24" ht="14.25" customHeight="1" x14ac:dyDescent="0.25">
      <c r="A247" s="11"/>
      <c r="B247" s="11" t="e">
        <v>#N/A</v>
      </c>
      <c r="C247" s="11" t="s">
        <v>148</v>
      </c>
      <c r="D247" s="11"/>
      <c r="E247" s="11"/>
      <c r="F247" s="11" t="s">
        <v>886</v>
      </c>
      <c r="G247" s="11"/>
      <c r="H247" s="11" t="s">
        <v>958</v>
      </c>
      <c r="I247" s="11" t="e">
        <v>#N/A</v>
      </c>
      <c r="J247" s="11" t="e">
        <v>#N/A</v>
      </c>
      <c r="K247" s="11"/>
      <c r="L247" s="11"/>
      <c r="M247" s="11">
        <v>16</v>
      </c>
      <c r="N247" s="11" t="e">
        <v>#N/A</v>
      </c>
      <c r="O247" s="11" t="e">
        <v>#N/A</v>
      </c>
      <c r="P247" s="11" t="e">
        <v>#N/A</v>
      </c>
      <c r="Q247" s="11" t="e">
        <v>#N/A</v>
      </c>
      <c r="R247" s="11" t="e">
        <v>#N/A</v>
      </c>
      <c r="S247" s="11" t="e">
        <v>#N/A</v>
      </c>
      <c r="T247" s="11" t="e">
        <v>#N/A</v>
      </c>
      <c r="U247" s="11" t="e">
        <v>#N/A</v>
      </c>
      <c r="V247" s="11" t="e">
        <v>#N/A</v>
      </c>
      <c r="W247" s="11" t="e">
        <v>#N/A</v>
      </c>
      <c r="X247" s="11" t="e">
        <v>#N/A</v>
      </c>
    </row>
    <row r="248" spans="1:24" ht="14.25" customHeight="1" x14ac:dyDescent="0.25">
      <c r="A248" s="11"/>
      <c r="B248" s="11">
        <v>15</v>
      </c>
      <c r="C248" s="11" t="s">
        <v>148</v>
      </c>
      <c r="D248" s="11"/>
      <c r="E248" s="11"/>
      <c r="F248" s="11" t="s">
        <v>886</v>
      </c>
      <c r="G248" s="11"/>
      <c r="H248" s="11" t="s">
        <v>512</v>
      </c>
      <c r="I248" s="11" t="s">
        <v>72</v>
      </c>
      <c r="J248" s="11" t="s">
        <v>1080</v>
      </c>
      <c r="K248" s="11"/>
      <c r="L248" s="11"/>
      <c r="M248" s="11">
        <v>14</v>
      </c>
      <c r="N248" s="11">
        <v>160</v>
      </c>
      <c r="O248" s="11">
        <v>141</v>
      </c>
      <c r="P248" s="11">
        <v>19</v>
      </c>
      <c r="Q248" s="11">
        <v>119</v>
      </c>
      <c r="R248" s="11">
        <v>193</v>
      </c>
      <c r="S248" s="11">
        <v>220</v>
      </c>
      <c r="T248" s="11">
        <v>172</v>
      </c>
      <c r="U248" s="11">
        <v>151</v>
      </c>
      <c r="V248" s="11">
        <v>165</v>
      </c>
      <c r="W248" s="11">
        <v>28</v>
      </c>
      <c r="X248" s="11" t="s">
        <v>886</v>
      </c>
    </row>
    <row r="249" spans="1:24" ht="14.25" customHeight="1" x14ac:dyDescent="0.25">
      <c r="A249" s="11"/>
      <c r="B249" s="11">
        <v>11</v>
      </c>
      <c r="C249" s="11" t="s">
        <v>148</v>
      </c>
      <c r="D249" s="11"/>
      <c r="E249" s="11"/>
      <c r="F249" s="11" t="s">
        <v>886</v>
      </c>
      <c r="G249" s="11"/>
      <c r="H249" s="11" t="s">
        <v>471</v>
      </c>
      <c r="I249" s="11" t="s">
        <v>168</v>
      </c>
      <c r="J249" s="11" t="s">
        <v>1080</v>
      </c>
      <c r="K249" s="11"/>
      <c r="L249" s="11"/>
      <c r="M249" s="11">
        <v>13</v>
      </c>
      <c r="N249" s="11">
        <v>147</v>
      </c>
      <c r="O249" s="11">
        <v>106</v>
      </c>
      <c r="P249" s="11">
        <v>41</v>
      </c>
      <c r="Q249" s="11">
        <v>94</v>
      </c>
      <c r="R249" s="11">
        <v>134</v>
      </c>
      <c r="S249" s="11">
        <v>203</v>
      </c>
      <c r="T249" s="11">
        <v>140</v>
      </c>
      <c r="U249" s="11">
        <v>82</v>
      </c>
      <c r="V249" s="11">
        <v>129</v>
      </c>
      <c r="W249" s="11">
        <v>5</v>
      </c>
      <c r="X249" s="11" t="s">
        <v>886</v>
      </c>
    </row>
    <row r="250" spans="1:24" ht="14.25" customHeight="1" x14ac:dyDescent="0.25">
      <c r="A250" s="11"/>
      <c r="B250" s="11" t="e">
        <v>#N/A</v>
      </c>
      <c r="C250" s="11" t="s">
        <v>148</v>
      </c>
      <c r="D250" s="11"/>
      <c r="E250" s="11"/>
      <c r="F250" s="11" t="s">
        <v>886</v>
      </c>
      <c r="G250" s="11"/>
      <c r="H250" s="11" t="s">
        <v>1127</v>
      </c>
      <c r="I250" s="11" t="e">
        <v>#N/A</v>
      </c>
      <c r="J250" s="11" t="e">
        <v>#N/A</v>
      </c>
      <c r="K250" s="11"/>
      <c r="L250" s="11"/>
      <c r="M250" s="11">
        <v>16</v>
      </c>
      <c r="N250" s="11" t="e">
        <v>#N/A</v>
      </c>
      <c r="O250" s="11" t="e">
        <v>#N/A</v>
      </c>
      <c r="P250" s="11" t="e">
        <v>#N/A</v>
      </c>
      <c r="Q250" s="11" t="e">
        <v>#N/A</v>
      </c>
      <c r="R250" s="11" t="e">
        <v>#N/A</v>
      </c>
      <c r="S250" s="11" t="e">
        <v>#N/A</v>
      </c>
      <c r="T250" s="11" t="e">
        <v>#N/A</v>
      </c>
      <c r="U250" s="11" t="e">
        <v>#N/A</v>
      </c>
      <c r="V250" s="11" t="e">
        <v>#N/A</v>
      </c>
      <c r="W250" s="11" t="e">
        <v>#N/A</v>
      </c>
      <c r="X250" s="11" t="e">
        <v>#N/A</v>
      </c>
    </row>
    <row r="251" spans="1:24" ht="14.25" customHeight="1" x14ac:dyDescent="0.25">
      <c r="A251" s="11"/>
      <c r="B251" s="11">
        <v>12</v>
      </c>
      <c r="C251" s="11" t="s">
        <v>148</v>
      </c>
      <c r="D251" s="11"/>
      <c r="E251" s="11"/>
      <c r="F251" s="11" t="s">
        <v>886</v>
      </c>
      <c r="G251" s="11"/>
      <c r="H251" s="11" t="s">
        <v>399</v>
      </c>
      <c r="I251" s="11" t="s">
        <v>199</v>
      </c>
      <c r="J251" s="11" t="s">
        <v>762</v>
      </c>
      <c r="K251" s="11"/>
      <c r="L251" s="11"/>
      <c r="M251" s="11">
        <v>11</v>
      </c>
      <c r="N251" s="11">
        <v>122</v>
      </c>
      <c r="O251" s="11">
        <v>105</v>
      </c>
      <c r="P251" s="11">
        <v>17</v>
      </c>
      <c r="Q251" s="11">
        <v>132</v>
      </c>
      <c r="R251" s="11">
        <v>139</v>
      </c>
      <c r="S251" s="11">
        <v>120</v>
      </c>
      <c r="T251" s="11">
        <v>118</v>
      </c>
      <c r="U251" s="11">
        <v>209</v>
      </c>
      <c r="V251" s="11">
        <v>135</v>
      </c>
      <c r="W251" s="11">
        <v>4</v>
      </c>
      <c r="X251" s="11">
        <v>38</v>
      </c>
    </row>
    <row r="252" spans="1:24" ht="14.25" customHeight="1" x14ac:dyDescent="0.25">
      <c r="A252" s="11"/>
      <c r="B252" s="11">
        <v>21</v>
      </c>
      <c r="C252" s="11" t="s">
        <v>148</v>
      </c>
      <c r="D252" s="11"/>
      <c r="E252" s="11"/>
      <c r="F252" s="11" t="s">
        <v>886</v>
      </c>
      <c r="G252" s="11"/>
      <c r="H252" s="11" t="s">
        <v>953</v>
      </c>
      <c r="I252" s="11" t="s">
        <v>233</v>
      </c>
      <c r="J252" s="11" t="s">
        <v>764</v>
      </c>
      <c r="K252" s="11"/>
      <c r="L252" s="11"/>
      <c r="M252" s="11">
        <v>23</v>
      </c>
      <c r="N252" s="11">
        <v>269</v>
      </c>
      <c r="O252" s="11" t="s">
        <v>36</v>
      </c>
      <c r="P252" s="11" t="e">
        <v>#VALUE!</v>
      </c>
      <c r="Q252" s="11" t="s">
        <v>36</v>
      </c>
      <c r="R252" s="11" t="s">
        <v>36</v>
      </c>
      <c r="S252" s="11">
        <v>242</v>
      </c>
      <c r="T252" s="11">
        <v>245</v>
      </c>
      <c r="U252" s="11" t="s">
        <v>36</v>
      </c>
      <c r="V252" s="11">
        <v>252</v>
      </c>
      <c r="W252" s="11" t="e">
        <v>#VALUE!</v>
      </c>
      <c r="X252" s="11" t="s">
        <v>886</v>
      </c>
    </row>
    <row r="253" spans="1:24" ht="14.25" customHeight="1" x14ac:dyDescent="0.25">
      <c r="A253" s="11"/>
      <c r="B253" s="11" t="e">
        <v>#N/A</v>
      </c>
      <c r="C253" s="11" t="s">
        <v>148</v>
      </c>
      <c r="D253" s="11"/>
      <c r="E253" s="11"/>
      <c r="F253" s="11" t="s">
        <v>886</v>
      </c>
      <c r="G253" s="11"/>
      <c r="H253" s="11" t="s">
        <v>964</v>
      </c>
      <c r="I253" s="11" t="e">
        <v>#N/A</v>
      </c>
      <c r="J253" s="11" t="e">
        <v>#N/A</v>
      </c>
      <c r="K253" s="11"/>
      <c r="L253" s="11"/>
      <c r="M253" s="11">
        <v>16</v>
      </c>
      <c r="N253" s="11" t="e">
        <v>#N/A</v>
      </c>
      <c r="O253" s="11" t="e">
        <v>#N/A</v>
      </c>
      <c r="P253" s="11" t="e">
        <v>#N/A</v>
      </c>
      <c r="Q253" s="11" t="e">
        <v>#N/A</v>
      </c>
      <c r="R253" s="11" t="e">
        <v>#N/A</v>
      </c>
      <c r="S253" s="11" t="e">
        <v>#N/A</v>
      </c>
      <c r="T253" s="11" t="e">
        <v>#N/A</v>
      </c>
      <c r="U253" s="11" t="e">
        <v>#N/A</v>
      </c>
      <c r="V253" s="11" t="e">
        <v>#N/A</v>
      </c>
      <c r="W253" s="11" t="e">
        <v>#N/A</v>
      </c>
      <c r="X253" s="11" t="e">
        <v>#N/A</v>
      </c>
    </row>
    <row r="254" spans="1:24" ht="14.25" customHeight="1" x14ac:dyDescent="0.25">
      <c r="A254" s="11"/>
      <c r="B254" s="11" t="e">
        <v>#N/A</v>
      </c>
      <c r="C254" s="11" t="s">
        <v>148</v>
      </c>
      <c r="D254" s="11"/>
      <c r="E254" s="11"/>
      <c r="F254" s="11" t="s">
        <v>886</v>
      </c>
      <c r="G254" s="11"/>
      <c r="H254" s="11" t="s">
        <v>1128</v>
      </c>
      <c r="I254" s="11" t="e">
        <v>#N/A</v>
      </c>
      <c r="J254" s="11" t="e">
        <v>#N/A</v>
      </c>
      <c r="K254" s="11"/>
      <c r="L254" s="11"/>
      <c r="M254" s="11">
        <v>16</v>
      </c>
      <c r="N254" s="11" t="e">
        <v>#N/A</v>
      </c>
      <c r="O254" s="11" t="e">
        <v>#N/A</v>
      </c>
      <c r="P254" s="11" t="e">
        <v>#N/A</v>
      </c>
      <c r="Q254" s="11" t="e">
        <v>#N/A</v>
      </c>
      <c r="R254" s="11" t="e">
        <v>#N/A</v>
      </c>
      <c r="S254" s="11" t="e">
        <v>#N/A</v>
      </c>
      <c r="T254" s="11" t="e">
        <v>#N/A</v>
      </c>
      <c r="U254" s="11" t="e">
        <v>#N/A</v>
      </c>
      <c r="V254" s="11" t="e">
        <v>#N/A</v>
      </c>
      <c r="W254" s="11" t="e">
        <v>#N/A</v>
      </c>
      <c r="X254" s="11" t="e">
        <v>#N/A</v>
      </c>
    </row>
    <row r="255" spans="1:24" ht="14.25" customHeight="1" x14ac:dyDescent="0.25">
      <c r="A255" s="11"/>
      <c r="B255" s="11">
        <v>23</v>
      </c>
      <c r="C255" s="11" t="s">
        <v>148</v>
      </c>
      <c r="D255" s="11"/>
      <c r="E255" s="11"/>
      <c r="F255" s="11" t="s">
        <v>886</v>
      </c>
      <c r="G255" s="11"/>
      <c r="H255" s="11" t="s">
        <v>827</v>
      </c>
      <c r="I255" s="11" t="s">
        <v>126</v>
      </c>
      <c r="J255" s="11" t="s">
        <v>764</v>
      </c>
      <c r="K255" s="11"/>
      <c r="L255" s="11"/>
      <c r="M255" s="11">
        <v>23</v>
      </c>
      <c r="N255" s="11">
        <v>268</v>
      </c>
      <c r="O255" s="11" t="s">
        <v>36</v>
      </c>
      <c r="P255" s="11" t="e">
        <v>#VALUE!</v>
      </c>
      <c r="Q255" s="11" t="s">
        <v>36</v>
      </c>
      <c r="R255" s="11">
        <v>309</v>
      </c>
      <c r="S255" s="11">
        <v>237</v>
      </c>
      <c r="T255" s="11">
        <v>231</v>
      </c>
      <c r="U255" s="11">
        <v>311</v>
      </c>
      <c r="V255" s="11">
        <v>271</v>
      </c>
      <c r="W255" s="11">
        <v>38</v>
      </c>
      <c r="X255" s="11" t="s">
        <v>886</v>
      </c>
    </row>
    <row r="256" spans="1:24" ht="14.25" customHeight="1" x14ac:dyDescent="0.25">
      <c r="A256" s="11"/>
      <c r="B256" s="11" t="e">
        <v>#N/A</v>
      </c>
      <c r="C256" s="11" t="s">
        <v>148</v>
      </c>
      <c r="D256" s="11"/>
      <c r="E256" s="11"/>
      <c r="F256" s="11" t="s">
        <v>886</v>
      </c>
      <c r="G256" s="11"/>
      <c r="H256" s="11" t="s">
        <v>693</v>
      </c>
      <c r="I256" s="11" t="e">
        <v>#N/A</v>
      </c>
      <c r="J256" s="11" t="e">
        <v>#N/A</v>
      </c>
      <c r="K256" s="11"/>
      <c r="L256" s="11"/>
      <c r="M256" s="11">
        <v>16</v>
      </c>
      <c r="N256" s="11" t="e">
        <v>#N/A</v>
      </c>
      <c r="O256" s="11" t="e">
        <v>#N/A</v>
      </c>
      <c r="P256" s="11" t="e">
        <v>#N/A</v>
      </c>
      <c r="Q256" s="11" t="e">
        <v>#N/A</v>
      </c>
      <c r="R256" s="11" t="e">
        <v>#N/A</v>
      </c>
      <c r="S256" s="11" t="e">
        <v>#N/A</v>
      </c>
      <c r="T256" s="11" t="e">
        <v>#N/A</v>
      </c>
      <c r="U256" s="11" t="e">
        <v>#N/A</v>
      </c>
      <c r="V256" s="11" t="e">
        <v>#N/A</v>
      </c>
      <c r="W256" s="11" t="e">
        <v>#N/A</v>
      </c>
      <c r="X256" s="11" t="e">
        <v>#N/A</v>
      </c>
    </row>
    <row r="257" spans="1:24" ht="14.25" customHeight="1" x14ac:dyDescent="0.25">
      <c r="A257" s="11"/>
      <c r="B257" s="11" t="e">
        <v>#N/A</v>
      </c>
      <c r="C257" s="11" t="s">
        <v>148</v>
      </c>
      <c r="D257" s="11"/>
      <c r="E257" s="11"/>
      <c r="F257" s="11" t="s">
        <v>886</v>
      </c>
      <c r="G257" s="11"/>
      <c r="H257" s="11" t="s">
        <v>966</v>
      </c>
      <c r="I257" s="11" t="e">
        <v>#N/A</v>
      </c>
      <c r="J257" s="11" t="e">
        <v>#N/A</v>
      </c>
      <c r="K257" s="11"/>
      <c r="L257" s="11"/>
      <c r="M257" s="11">
        <v>16</v>
      </c>
      <c r="N257" s="11" t="e">
        <v>#N/A</v>
      </c>
      <c r="O257" s="11" t="e">
        <v>#N/A</v>
      </c>
      <c r="P257" s="11" t="e">
        <v>#N/A</v>
      </c>
      <c r="Q257" s="11" t="e">
        <v>#N/A</v>
      </c>
      <c r="R257" s="11" t="e">
        <v>#N/A</v>
      </c>
      <c r="S257" s="11" t="e">
        <v>#N/A</v>
      </c>
      <c r="T257" s="11" t="e">
        <v>#N/A</v>
      </c>
      <c r="U257" s="11" t="e">
        <v>#N/A</v>
      </c>
      <c r="V257" s="11" t="e">
        <v>#N/A</v>
      </c>
      <c r="W257" s="11" t="e">
        <v>#N/A</v>
      </c>
      <c r="X257" s="11" t="e">
        <v>#N/A</v>
      </c>
    </row>
    <row r="258" spans="1:24" ht="14.25" customHeight="1" x14ac:dyDescent="0.25">
      <c r="A258" s="11"/>
      <c r="B258" s="11">
        <v>24</v>
      </c>
      <c r="C258" s="11" t="s">
        <v>148</v>
      </c>
      <c r="D258" s="11"/>
      <c r="E258" s="11"/>
      <c r="F258" s="11" t="s">
        <v>886</v>
      </c>
      <c r="G258" s="11"/>
      <c r="H258" s="11" t="s">
        <v>967</v>
      </c>
      <c r="I258" s="11" t="s">
        <v>160</v>
      </c>
      <c r="J258" s="11" t="s">
        <v>769</v>
      </c>
      <c r="K258" s="11"/>
      <c r="L258" s="11"/>
      <c r="M258" s="11">
        <v>22</v>
      </c>
      <c r="N258" s="11">
        <v>254</v>
      </c>
      <c r="O258" s="11" t="s">
        <v>36</v>
      </c>
      <c r="P258" s="11" t="e">
        <v>#VALUE!</v>
      </c>
      <c r="Q258" s="11">
        <v>347</v>
      </c>
      <c r="R258" s="11">
        <v>318</v>
      </c>
      <c r="S258" s="11">
        <v>204</v>
      </c>
      <c r="T258" s="11">
        <v>247</v>
      </c>
      <c r="U258" s="11" t="s">
        <v>36</v>
      </c>
      <c r="V258" s="11">
        <v>274</v>
      </c>
      <c r="W258" s="11">
        <v>44</v>
      </c>
      <c r="X258" s="11" t="s">
        <v>886</v>
      </c>
    </row>
    <row r="259" spans="1:24" ht="14.25" customHeight="1" x14ac:dyDescent="0.25">
      <c r="A259" s="11"/>
      <c r="B259" s="11" t="e">
        <v>#N/A</v>
      </c>
      <c r="C259" s="11" t="s">
        <v>148</v>
      </c>
      <c r="D259" s="11"/>
      <c r="E259" s="11"/>
      <c r="F259" s="11" t="s">
        <v>886</v>
      </c>
      <c r="G259" s="11"/>
      <c r="H259" s="11" t="s">
        <v>969</v>
      </c>
      <c r="I259" s="11" t="e">
        <v>#N/A</v>
      </c>
      <c r="J259" s="11" t="e">
        <v>#N/A</v>
      </c>
      <c r="K259" s="11"/>
      <c r="L259" s="11"/>
      <c r="M259" s="11">
        <v>16</v>
      </c>
      <c r="N259" s="11" t="e">
        <v>#N/A</v>
      </c>
      <c r="O259" s="11" t="e">
        <v>#N/A</v>
      </c>
      <c r="P259" s="11" t="e">
        <v>#N/A</v>
      </c>
      <c r="Q259" s="11" t="e">
        <v>#N/A</v>
      </c>
      <c r="R259" s="11" t="e">
        <v>#N/A</v>
      </c>
      <c r="S259" s="11" t="e">
        <v>#N/A</v>
      </c>
      <c r="T259" s="11" t="e">
        <v>#N/A</v>
      </c>
      <c r="U259" s="11" t="e">
        <v>#N/A</v>
      </c>
      <c r="V259" s="11" t="e">
        <v>#N/A</v>
      </c>
      <c r="W259" s="11" t="e">
        <v>#N/A</v>
      </c>
      <c r="X259" s="11" t="e">
        <v>#N/A</v>
      </c>
    </row>
    <row r="260" spans="1:24" ht="14.25" customHeight="1" x14ac:dyDescent="0.25">
      <c r="A260" s="11"/>
      <c r="B260" s="11" t="e">
        <v>#N/A</v>
      </c>
      <c r="C260" s="11" t="s">
        <v>148</v>
      </c>
      <c r="D260" s="11"/>
      <c r="E260" s="11"/>
      <c r="F260" s="11" t="s">
        <v>886</v>
      </c>
      <c r="G260" s="11"/>
      <c r="H260" s="11" t="s">
        <v>971</v>
      </c>
      <c r="I260" s="11" t="e">
        <v>#N/A</v>
      </c>
      <c r="J260" s="11" t="e">
        <v>#N/A</v>
      </c>
      <c r="K260" s="11"/>
      <c r="L260" s="11"/>
      <c r="M260" s="11">
        <v>16</v>
      </c>
      <c r="N260" s="11" t="e">
        <v>#N/A</v>
      </c>
      <c r="O260" s="11" t="e">
        <v>#N/A</v>
      </c>
      <c r="P260" s="11" t="e">
        <v>#N/A</v>
      </c>
      <c r="Q260" s="11" t="e">
        <v>#N/A</v>
      </c>
      <c r="R260" s="11" t="e">
        <v>#N/A</v>
      </c>
      <c r="S260" s="11" t="e">
        <v>#N/A</v>
      </c>
      <c r="T260" s="11" t="e">
        <v>#N/A</v>
      </c>
      <c r="U260" s="11" t="e">
        <v>#N/A</v>
      </c>
      <c r="V260" s="11" t="e">
        <v>#N/A</v>
      </c>
      <c r="W260" s="11" t="e">
        <v>#N/A</v>
      </c>
      <c r="X260" s="11" t="s">
        <v>886</v>
      </c>
    </row>
    <row r="261" spans="1:24" ht="14.25" customHeight="1" x14ac:dyDescent="0.25">
      <c r="A261" s="11"/>
      <c r="B261" s="11">
        <v>24</v>
      </c>
      <c r="C261" s="11" t="s">
        <v>148</v>
      </c>
      <c r="D261" s="11"/>
      <c r="E261" s="11"/>
      <c r="F261" s="11" t="s">
        <v>886</v>
      </c>
      <c r="G261" s="11"/>
      <c r="H261" s="11" t="s">
        <v>948</v>
      </c>
      <c r="I261" s="11" t="s">
        <v>85</v>
      </c>
      <c r="J261" s="11" t="s">
        <v>762</v>
      </c>
      <c r="K261" s="11"/>
      <c r="L261" s="11"/>
      <c r="M261" s="11">
        <v>24</v>
      </c>
      <c r="N261" s="11">
        <v>287</v>
      </c>
      <c r="O261" s="11" t="s">
        <v>36</v>
      </c>
      <c r="P261" s="11" t="e">
        <v>#VALUE!</v>
      </c>
      <c r="Q261" s="11" t="s">
        <v>36</v>
      </c>
      <c r="R261" s="11">
        <v>313</v>
      </c>
      <c r="S261" s="11">
        <v>293</v>
      </c>
      <c r="T261" s="11">
        <v>268</v>
      </c>
      <c r="U261" s="11">
        <v>252</v>
      </c>
      <c r="V261" s="11">
        <v>282</v>
      </c>
      <c r="W261" s="11">
        <v>31</v>
      </c>
      <c r="X261" s="11" t="s">
        <v>886</v>
      </c>
    </row>
    <row r="262" spans="1:24" ht="14.25" customHeight="1" x14ac:dyDescent="0.25">
      <c r="A262" s="11"/>
      <c r="B262" s="11" t="e">
        <v>#N/A</v>
      </c>
      <c r="C262" s="11" t="s">
        <v>148</v>
      </c>
      <c r="D262" s="11"/>
      <c r="E262" s="11"/>
      <c r="F262" s="11" t="s">
        <v>886</v>
      </c>
      <c r="G262" s="11"/>
      <c r="H262" s="11" t="s">
        <v>972</v>
      </c>
      <c r="I262" s="11" t="e">
        <v>#N/A</v>
      </c>
      <c r="J262" s="11" t="e">
        <v>#N/A</v>
      </c>
      <c r="K262" s="11"/>
      <c r="L262" s="11"/>
      <c r="M262" s="11">
        <v>16</v>
      </c>
      <c r="N262" s="11" t="e">
        <v>#N/A</v>
      </c>
      <c r="O262" s="11" t="e">
        <v>#N/A</v>
      </c>
      <c r="P262" s="11" t="e">
        <v>#N/A</v>
      </c>
      <c r="Q262" s="11" t="e">
        <v>#N/A</v>
      </c>
      <c r="R262" s="11" t="e">
        <v>#N/A</v>
      </c>
      <c r="S262" s="11" t="e">
        <v>#N/A</v>
      </c>
      <c r="T262" s="11" t="e">
        <v>#N/A</v>
      </c>
      <c r="U262" s="11" t="e">
        <v>#N/A</v>
      </c>
      <c r="V262" s="11" t="e">
        <v>#N/A</v>
      </c>
      <c r="W262" s="11" t="e">
        <v>#N/A</v>
      </c>
      <c r="X262" s="11" t="e">
        <v>#N/A</v>
      </c>
    </row>
    <row r="263" spans="1:24" ht="14.25" customHeight="1" x14ac:dyDescent="0.25">
      <c r="A263" s="11"/>
      <c r="B263" s="11" t="e">
        <v>#N/A</v>
      </c>
      <c r="C263" s="11" t="s">
        <v>148</v>
      </c>
      <c r="D263" s="11"/>
      <c r="E263" s="11"/>
      <c r="F263" s="11" t="s">
        <v>886</v>
      </c>
      <c r="G263" s="11"/>
      <c r="H263" s="11" t="s">
        <v>973</v>
      </c>
      <c r="I263" s="11" t="e">
        <v>#N/A</v>
      </c>
      <c r="J263" s="11" t="e">
        <v>#N/A</v>
      </c>
      <c r="K263" s="11"/>
      <c r="L263" s="11"/>
      <c r="M263" s="11">
        <v>16</v>
      </c>
      <c r="N263" s="11" t="e">
        <v>#N/A</v>
      </c>
      <c r="O263" s="11" t="e">
        <v>#N/A</v>
      </c>
      <c r="P263" s="11" t="e">
        <v>#N/A</v>
      </c>
      <c r="Q263" s="11" t="e">
        <v>#N/A</v>
      </c>
      <c r="R263" s="11" t="e">
        <v>#N/A</v>
      </c>
      <c r="S263" s="11" t="e">
        <v>#N/A</v>
      </c>
      <c r="T263" s="11" t="e">
        <v>#N/A</v>
      </c>
      <c r="U263" s="11" t="e">
        <v>#N/A</v>
      </c>
      <c r="V263" s="11" t="e">
        <v>#N/A</v>
      </c>
      <c r="W263" s="11" t="e">
        <v>#N/A</v>
      </c>
      <c r="X263" s="11" t="e">
        <v>#N/A</v>
      </c>
    </row>
    <row r="264" spans="1:24" ht="14.25" customHeight="1" x14ac:dyDescent="0.25">
      <c r="A264" s="11"/>
      <c r="B264" s="11" t="e">
        <v>#N/A</v>
      </c>
      <c r="C264" s="11" t="s">
        <v>148</v>
      </c>
      <c r="D264" s="11"/>
      <c r="E264" s="11"/>
      <c r="F264" s="11" t="s">
        <v>886</v>
      </c>
      <c r="G264" s="11"/>
      <c r="H264" s="11" t="s">
        <v>1129</v>
      </c>
      <c r="I264" s="11" t="e">
        <v>#N/A</v>
      </c>
      <c r="J264" s="11" t="e">
        <v>#N/A</v>
      </c>
      <c r="K264" s="11"/>
      <c r="L264" s="11"/>
      <c r="M264" s="11">
        <v>16</v>
      </c>
      <c r="N264" s="11" t="e">
        <v>#N/A</v>
      </c>
      <c r="O264" s="11" t="e">
        <v>#N/A</v>
      </c>
      <c r="P264" s="11" t="e">
        <v>#N/A</v>
      </c>
      <c r="Q264" s="11" t="e">
        <v>#N/A</v>
      </c>
      <c r="R264" s="11" t="e">
        <v>#N/A</v>
      </c>
      <c r="S264" s="11" t="e">
        <v>#N/A</v>
      </c>
      <c r="T264" s="11" t="e">
        <v>#N/A</v>
      </c>
      <c r="U264" s="11" t="e">
        <v>#N/A</v>
      </c>
      <c r="V264" s="11" t="e">
        <v>#N/A</v>
      </c>
      <c r="W264" s="11" t="e">
        <v>#N/A</v>
      </c>
      <c r="X264" s="11" t="e">
        <v>#N/A</v>
      </c>
    </row>
    <row r="265" spans="1:24" ht="14.25" customHeight="1" x14ac:dyDescent="0.25">
      <c r="A265" s="11"/>
      <c r="B265" s="11" t="e">
        <v>#N/A</v>
      </c>
      <c r="C265" s="11" t="s">
        <v>148</v>
      </c>
      <c r="D265" s="11"/>
      <c r="E265" s="11"/>
      <c r="F265" s="11" t="s">
        <v>886</v>
      </c>
      <c r="G265" s="11"/>
      <c r="H265" s="11" t="s">
        <v>976</v>
      </c>
      <c r="I265" s="11" t="e">
        <v>#N/A</v>
      </c>
      <c r="J265" s="11" t="e">
        <v>#N/A</v>
      </c>
      <c r="K265" s="11"/>
      <c r="L265" s="11"/>
      <c r="M265" s="11">
        <v>16</v>
      </c>
      <c r="N265" s="11" t="e">
        <v>#N/A</v>
      </c>
      <c r="O265" s="11" t="e">
        <v>#N/A</v>
      </c>
      <c r="P265" s="11" t="e">
        <v>#N/A</v>
      </c>
      <c r="Q265" s="11" t="e">
        <v>#N/A</v>
      </c>
      <c r="R265" s="11" t="e">
        <v>#N/A</v>
      </c>
      <c r="S265" s="11" t="e">
        <v>#N/A</v>
      </c>
      <c r="T265" s="11" t="e">
        <v>#N/A</v>
      </c>
      <c r="U265" s="11" t="e">
        <v>#N/A</v>
      </c>
      <c r="V265" s="11" t="e">
        <v>#N/A</v>
      </c>
      <c r="W265" s="11" t="e">
        <v>#N/A</v>
      </c>
      <c r="X265" s="11" t="e">
        <v>#N/A</v>
      </c>
    </row>
    <row r="266" spans="1:24" ht="14.25" customHeight="1" x14ac:dyDescent="0.25">
      <c r="A266" s="11"/>
      <c r="B266" s="11">
        <v>9</v>
      </c>
      <c r="C266" s="11" t="s">
        <v>148</v>
      </c>
      <c r="D266" s="11"/>
      <c r="E266" s="11"/>
      <c r="F266" s="11" t="s">
        <v>886</v>
      </c>
      <c r="G266" s="11"/>
      <c r="H266" s="11" t="s">
        <v>458</v>
      </c>
      <c r="I266" s="11" t="s">
        <v>55</v>
      </c>
      <c r="J266" s="11" t="s">
        <v>764</v>
      </c>
      <c r="K266" s="11"/>
      <c r="L266" s="11"/>
      <c r="M266" s="11">
        <v>9</v>
      </c>
      <c r="N266" s="11">
        <v>102</v>
      </c>
      <c r="O266" s="11">
        <v>119</v>
      </c>
      <c r="P266" s="11">
        <v>-17</v>
      </c>
      <c r="Q266" s="11">
        <v>115</v>
      </c>
      <c r="R266" s="11">
        <v>110</v>
      </c>
      <c r="S266" s="11">
        <v>98</v>
      </c>
      <c r="T266" s="11">
        <v>85</v>
      </c>
      <c r="U266" s="11">
        <v>111</v>
      </c>
      <c r="V266" s="11">
        <v>105</v>
      </c>
      <c r="W266" s="11">
        <v>5</v>
      </c>
      <c r="X266" s="11">
        <v>40</v>
      </c>
    </row>
    <row r="267" spans="1:24" ht="14.25" customHeight="1" x14ac:dyDescent="0.25">
      <c r="A267" s="11"/>
      <c r="B267" s="11">
        <v>22</v>
      </c>
      <c r="C267" s="11" t="s">
        <v>148</v>
      </c>
      <c r="D267" s="11"/>
      <c r="E267" s="11"/>
      <c r="F267" s="11" t="s">
        <v>886</v>
      </c>
      <c r="G267" s="11"/>
      <c r="H267" s="11" t="s">
        <v>508</v>
      </c>
      <c r="I267" s="11" t="s">
        <v>81</v>
      </c>
      <c r="J267" s="11" t="s">
        <v>764</v>
      </c>
      <c r="K267" s="11"/>
      <c r="L267" s="11"/>
      <c r="M267" s="11">
        <v>16</v>
      </c>
      <c r="N267" s="11" t="s">
        <v>36</v>
      </c>
      <c r="O267" s="11" t="s">
        <v>36</v>
      </c>
      <c r="P267" s="11" t="e">
        <v>#VALUE!</v>
      </c>
      <c r="Q267" s="11" t="s">
        <v>36</v>
      </c>
      <c r="R267" s="11" t="s">
        <v>36</v>
      </c>
      <c r="S267" s="11">
        <v>246</v>
      </c>
      <c r="T267" s="11">
        <v>259</v>
      </c>
      <c r="U267" s="11" t="s">
        <v>36</v>
      </c>
      <c r="V267" s="11">
        <v>252</v>
      </c>
      <c r="W267" s="11" t="e">
        <v>#VALUE!</v>
      </c>
      <c r="X267" s="11" t="e">
        <v>#N/A</v>
      </c>
    </row>
    <row r="268" spans="1:24" ht="14.25" customHeight="1" x14ac:dyDescent="0.25">
      <c r="A268" s="11"/>
      <c r="B268" s="11">
        <v>14</v>
      </c>
      <c r="C268" s="11" t="s">
        <v>148</v>
      </c>
      <c r="D268" s="11"/>
      <c r="E268" s="11"/>
      <c r="F268" s="11" t="s">
        <v>886</v>
      </c>
      <c r="G268" s="11"/>
      <c r="H268" s="11" t="s">
        <v>568</v>
      </c>
      <c r="I268" s="11" t="s">
        <v>88</v>
      </c>
      <c r="J268" s="11" t="s">
        <v>1084</v>
      </c>
      <c r="K268" s="11"/>
      <c r="L268" s="11"/>
      <c r="M268" s="11">
        <v>12</v>
      </c>
      <c r="N268" s="11">
        <v>132</v>
      </c>
      <c r="O268" s="11">
        <v>157</v>
      </c>
      <c r="P268" s="11">
        <v>-25</v>
      </c>
      <c r="Q268" s="11">
        <v>117</v>
      </c>
      <c r="R268" s="11">
        <v>214</v>
      </c>
      <c r="S268" s="11">
        <v>217</v>
      </c>
      <c r="T268" s="11" t="s">
        <v>36</v>
      </c>
      <c r="U268" s="11">
        <v>79</v>
      </c>
      <c r="V268" s="11">
        <v>152</v>
      </c>
      <c r="W268" s="11">
        <v>62</v>
      </c>
      <c r="X268" s="11" t="s">
        <v>886</v>
      </c>
    </row>
    <row r="269" spans="1:24" ht="14.25" customHeight="1" x14ac:dyDescent="0.25">
      <c r="A269" s="11"/>
      <c r="B269" s="11" t="e">
        <v>#N/A</v>
      </c>
      <c r="C269" s="11" t="s">
        <v>148</v>
      </c>
      <c r="D269" s="11"/>
      <c r="E269" s="11"/>
      <c r="F269" s="11" t="s">
        <v>886</v>
      </c>
      <c r="G269" s="11"/>
      <c r="H269" s="11" t="s">
        <v>984</v>
      </c>
      <c r="I269" s="11" t="e">
        <v>#N/A</v>
      </c>
      <c r="J269" s="11" t="e">
        <v>#N/A</v>
      </c>
      <c r="K269" s="11"/>
      <c r="L269" s="11"/>
      <c r="M269" s="11">
        <v>16</v>
      </c>
      <c r="N269" s="11" t="e">
        <v>#N/A</v>
      </c>
      <c r="O269" s="11" t="e">
        <v>#N/A</v>
      </c>
      <c r="P269" s="11" t="e">
        <v>#N/A</v>
      </c>
      <c r="Q269" s="11" t="e">
        <v>#N/A</v>
      </c>
      <c r="R269" s="11" t="e">
        <v>#N/A</v>
      </c>
      <c r="S269" s="11" t="e">
        <v>#N/A</v>
      </c>
      <c r="T269" s="11" t="e">
        <v>#N/A</v>
      </c>
      <c r="U269" s="11" t="e">
        <v>#N/A</v>
      </c>
      <c r="V269" s="11" t="e">
        <v>#N/A</v>
      </c>
      <c r="W269" s="11" t="e">
        <v>#N/A</v>
      </c>
      <c r="X269" s="11" t="e">
        <v>#N/A</v>
      </c>
    </row>
    <row r="270" spans="1:24" ht="14.25" customHeight="1" x14ac:dyDescent="0.25">
      <c r="A270" s="11"/>
      <c r="B270" s="11">
        <v>19</v>
      </c>
      <c r="C270" s="11" t="s">
        <v>148</v>
      </c>
      <c r="D270" s="11"/>
      <c r="E270" s="11"/>
      <c r="F270" s="11" t="s">
        <v>886</v>
      </c>
      <c r="G270" s="11"/>
      <c r="H270" s="11" t="s">
        <v>985</v>
      </c>
      <c r="I270" s="11" t="s">
        <v>184</v>
      </c>
      <c r="J270" s="11" t="s">
        <v>1084</v>
      </c>
      <c r="K270" s="11"/>
      <c r="L270" s="11"/>
      <c r="M270" s="11">
        <v>22</v>
      </c>
      <c r="N270" s="11">
        <v>257</v>
      </c>
      <c r="O270" s="11">
        <v>153</v>
      </c>
      <c r="P270" s="11">
        <v>104</v>
      </c>
      <c r="Q270" s="11">
        <v>183</v>
      </c>
      <c r="R270" s="11">
        <v>269</v>
      </c>
      <c r="S270" s="11">
        <v>236</v>
      </c>
      <c r="T270" s="11" t="s">
        <v>36</v>
      </c>
      <c r="U270" s="11">
        <v>181</v>
      </c>
      <c r="V270" s="11">
        <v>213</v>
      </c>
      <c r="W270" s="11">
        <v>56</v>
      </c>
      <c r="X270" s="11" t="e">
        <v>#N/A</v>
      </c>
    </row>
    <row r="271" spans="1:24" ht="14.25" customHeight="1" x14ac:dyDescent="0.25">
      <c r="A271" s="11"/>
      <c r="B271" s="11" t="e">
        <v>#N/A</v>
      </c>
      <c r="C271" s="11" t="s">
        <v>148</v>
      </c>
      <c r="D271" s="11"/>
      <c r="E271" s="11"/>
      <c r="F271" s="11" t="s">
        <v>886</v>
      </c>
      <c r="G271" s="11"/>
      <c r="H271" s="11" t="s">
        <v>564</v>
      </c>
      <c r="I271" s="11" t="e">
        <v>#N/A</v>
      </c>
      <c r="J271" s="11" t="e">
        <v>#N/A</v>
      </c>
      <c r="K271" s="11"/>
      <c r="L271" s="11"/>
      <c r="M271" s="11">
        <v>16</v>
      </c>
      <c r="N271" s="11" t="e">
        <v>#N/A</v>
      </c>
      <c r="O271" s="11" t="e">
        <v>#N/A</v>
      </c>
      <c r="P271" s="11" t="e">
        <v>#N/A</v>
      </c>
      <c r="Q271" s="11" t="e">
        <v>#N/A</v>
      </c>
      <c r="R271" s="11" t="e">
        <v>#N/A</v>
      </c>
      <c r="S271" s="11" t="e">
        <v>#N/A</v>
      </c>
      <c r="T271" s="11" t="e">
        <v>#N/A</v>
      </c>
      <c r="U271" s="11" t="e">
        <v>#N/A</v>
      </c>
      <c r="V271" s="11" t="e">
        <v>#N/A</v>
      </c>
      <c r="W271" s="11" t="e">
        <v>#N/A</v>
      </c>
      <c r="X271" s="11" t="e">
        <v>#N/A</v>
      </c>
    </row>
    <row r="272" spans="1:24" ht="14.25" customHeight="1" x14ac:dyDescent="0.25">
      <c r="A272" s="11"/>
      <c r="B272" s="11" t="e">
        <v>#N/A</v>
      </c>
      <c r="C272" s="11" t="s">
        <v>148</v>
      </c>
      <c r="D272" s="11"/>
      <c r="E272" s="11"/>
      <c r="F272" s="11" t="s">
        <v>886</v>
      </c>
      <c r="G272" s="11"/>
      <c r="H272" s="11" t="s">
        <v>604</v>
      </c>
      <c r="I272" s="11" t="e">
        <v>#N/A</v>
      </c>
      <c r="J272" s="11" t="e">
        <v>#N/A</v>
      </c>
      <c r="K272" s="11"/>
      <c r="L272" s="11"/>
      <c r="M272" s="11">
        <v>16</v>
      </c>
      <c r="N272" s="11" t="e">
        <v>#N/A</v>
      </c>
      <c r="O272" s="11" t="e">
        <v>#N/A</v>
      </c>
      <c r="P272" s="11" t="e">
        <v>#N/A</v>
      </c>
      <c r="Q272" s="11" t="e">
        <v>#N/A</v>
      </c>
      <c r="R272" s="11" t="e">
        <v>#N/A</v>
      </c>
      <c r="S272" s="11" t="e">
        <v>#N/A</v>
      </c>
      <c r="T272" s="11" t="e">
        <v>#N/A</v>
      </c>
      <c r="U272" s="11" t="e">
        <v>#N/A</v>
      </c>
      <c r="V272" s="11" t="e">
        <v>#N/A</v>
      </c>
      <c r="W272" s="11" t="e">
        <v>#N/A</v>
      </c>
      <c r="X272" s="11" t="e">
        <v>#N/A</v>
      </c>
    </row>
    <row r="273" spans="1:24" ht="14.25" customHeight="1" x14ac:dyDescent="0.25">
      <c r="A273" s="11"/>
      <c r="B273" s="11">
        <v>22</v>
      </c>
      <c r="C273" s="11" t="s">
        <v>148</v>
      </c>
      <c r="D273" s="11"/>
      <c r="E273" s="11"/>
      <c r="F273" s="11" t="s">
        <v>886</v>
      </c>
      <c r="G273" s="11"/>
      <c r="H273" s="11" t="s">
        <v>970</v>
      </c>
      <c r="I273" s="11" t="s">
        <v>69</v>
      </c>
      <c r="J273" s="11" t="s">
        <v>762</v>
      </c>
      <c r="K273" s="11"/>
      <c r="L273" s="11"/>
      <c r="M273" s="11">
        <v>19</v>
      </c>
      <c r="N273" s="11">
        <v>222</v>
      </c>
      <c r="O273" s="11" t="s">
        <v>36</v>
      </c>
      <c r="P273" s="11" t="e">
        <v>#VALUE!</v>
      </c>
      <c r="Q273" s="11" t="s">
        <v>36</v>
      </c>
      <c r="R273" s="11">
        <v>276</v>
      </c>
      <c r="S273" s="11">
        <v>256</v>
      </c>
      <c r="T273" s="11">
        <v>233</v>
      </c>
      <c r="U273" s="11">
        <v>276</v>
      </c>
      <c r="V273" s="11">
        <v>252</v>
      </c>
      <c r="W273" s="11">
        <v>24</v>
      </c>
      <c r="X273" s="11" t="s">
        <v>886</v>
      </c>
    </row>
    <row r="274" spans="1:24" ht="14.25" customHeight="1" x14ac:dyDescent="0.25">
      <c r="A274" s="11"/>
      <c r="B274" s="11" t="e">
        <v>#N/A</v>
      </c>
      <c r="C274" s="11" t="s">
        <v>148</v>
      </c>
      <c r="D274" s="11"/>
      <c r="E274" s="11"/>
      <c r="F274" s="11" t="s">
        <v>886</v>
      </c>
      <c r="G274" s="11"/>
      <c r="H274" s="11" t="s">
        <v>952</v>
      </c>
      <c r="I274" s="11" t="e">
        <v>#N/A</v>
      </c>
      <c r="J274" s="11" t="e">
        <v>#N/A</v>
      </c>
      <c r="K274" s="11"/>
      <c r="L274" s="11"/>
      <c r="M274" s="11">
        <v>16</v>
      </c>
      <c r="N274" s="11" t="e">
        <v>#N/A</v>
      </c>
      <c r="O274" s="11" t="e">
        <v>#N/A</v>
      </c>
      <c r="P274" s="11" t="e">
        <v>#N/A</v>
      </c>
      <c r="Q274" s="11" t="e">
        <v>#N/A</v>
      </c>
      <c r="R274" s="11" t="e">
        <v>#N/A</v>
      </c>
      <c r="S274" s="11" t="e">
        <v>#N/A</v>
      </c>
      <c r="T274" s="11" t="e">
        <v>#N/A</v>
      </c>
      <c r="U274" s="11" t="e">
        <v>#N/A</v>
      </c>
      <c r="V274" s="11" t="e">
        <v>#N/A</v>
      </c>
      <c r="W274" s="11" t="e">
        <v>#N/A</v>
      </c>
      <c r="X274" s="11" t="e">
        <v>#N/A</v>
      </c>
    </row>
    <row r="275" spans="1:24" ht="14.25" customHeight="1" x14ac:dyDescent="0.25">
      <c r="A275" s="11"/>
      <c r="B275" s="11">
        <v>18</v>
      </c>
      <c r="C275" s="11" t="s">
        <v>148</v>
      </c>
      <c r="D275" s="11"/>
      <c r="E275" s="11"/>
      <c r="F275" s="11" t="s">
        <v>886</v>
      </c>
      <c r="G275" s="11"/>
      <c r="H275" s="11" t="s">
        <v>547</v>
      </c>
      <c r="I275" s="11" t="s">
        <v>214</v>
      </c>
      <c r="J275" s="11" t="s">
        <v>1080</v>
      </c>
      <c r="K275" s="11"/>
      <c r="L275" s="11"/>
      <c r="M275" s="11">
        <v>21</v>
      </c>
      <c r="N275" s="11">
        <v>243</v>
      </c>
      <c r="O275" s="11">
        <v>136</v>
      </c>
      <c r="P275" s="11">
        <v>107</v>
      </c>
      <c r="Q275" s="11">
        <v>171</v>
      </c>
      <c r="R275" s="11">
        <v>247</v>
      </c>
      <c r="S275" s="11">
        <v>258</v>
      </c>
      <c r="T275" s="11">
        <v>199</v>
      </c>
      <c r="U275" s="11">
        <v>170</v>
      </c>
      <c r="V275" s="11">
        <v>203</v>
      </c>
      <c r="W275" s="11">
        <v>44</v>
      </c>
      <c r="X275" s="11" t="s">
        <v>886</v>
      </c>
    </row>
    <row r="276" spans="1:24" ht="14.25" customHeight="1" x14ac:dyDescent="0.25">
      <c r="A276" s="11"/>
      <c r="B276" s="11" t="e">
        <v>#N/A</v>
      </c>
      <c r="C276" s="11" t="s">
        <v>148</v>
      </c>
      <c r="D276" s="11"/>
      <c r="E276" s="11"/>
      <c r="F276" s="11" t="s">
        <v>886</v>
      </c>
      <c r="G276" s="11"/>
      <c r="H276" s="11" t="s">
        <v>955</v>
      </c>
      <c r="I276" s="11" t="e">
        <v>#N/A</v>
      </c>
      <c r="J276" s="11" t="e">
        <v>#N/A</v>
      </c>
      <c r="K276" s="11"/>
      <c r="L276" s="11"/>
      <c r="M276" s="11">
        <v>16</v>
      </c>
      <c r="N276" s="11" t="e">
        <v>#N/A</v>
      </c>
      <c r="O276" s="11" t="e">
        <v>#N/A</v>
      </c>
      <c r="P276" s="11" t="e">
        <v>#N/A</v>
      </c>
      <c r="Q276" s="11" t="e">
        <v>#N/A</v>
      </c>
      <c r="R276" s="11" t="e">
        <v>#N/A</v>
      </c>
      <c r="S276" s="11" t="e">
        <v>#N/A</v>
      </c>
      <c r="T276" s="11" t="e">
        <v>#N/A</v>
      </c>
      <c r="U276" s="11" t="e">
        <v>#N/A</v>
      </c>
      <c r="V276" s="11" t="e">
        <v>#N/A</v>
      </c>
      <c r="W276" s="11" t="e">
        <v>#N/A</v>
      </c>
      <c r="X276" s="11" t="e">
        <v>#N/A</v>
      </c>
    </row>
    <row r="277" spans="1:24" ht="14.25" customHeight="1" x14ac:dyDescent="0.25">
      <c r="A277" s="11"/>
      <c r="B277" s="11" t="e">
        <v>#N/A</v>
      </c>
      <c r="C277" s="11" t="s">
        <v>148</v>
      </c>
      <c r="D277" s="11"/>
      <c r="E277" s="11"/>
      <c r="F277" s="11" t="s">
        <v>886</v>
      </c>
      <c r="G277" s="11"/>
      <c r="H277" s="11" t="s">
        <v>957</v>
      </c>
      <c r="I277" s="11" t="e">
        <v>#N/A</v>
      </c>
      <c r="J277" s="11" t="e">
        <v>#N/A</v>
      </c>
      <c r="K277" s="11"/>
      <c r="L277" s="11"/>
      <c r="M277" s="11">
        <v>16</v>
      </c>
      <c r="N277" s="11" t="e">
        <v>#N/A</v>
      </c>
      <c r="O277" s="11" t="e">
        <v>#N/A</v>
      </c>
      <c r="P277" s="11" t="e">
        <v>#N/A</v>
      </c>
      <c r="Q277" s="11" t="e">
        <v>#N/A</v>
      </c>
      <c r="R277" s="11" t="e">
        <v>#N/A</v>
      </c>
      <c r="S277" s="11" t="e">
        <v>#N/A</v>
      </c>
      <c r="T277" s="11" t="e">
        <v>#N/A</v>
      </c>
      <c r="U277" s="11" t="e">
        <v>#N/A</v>
      </c>
      <c r="V277" s="11" t="e">
        <v>#N/A</v>
      </c>
      <c r="W277" s="11" t="e">
        <v>#N/A</v>
      </c>
      <c r="X277" s="11" t="e">
        <v>#N/A</v>
      </c>
    </row>
    <row r="278" spans="1:24" ht="14.25" customHeight="1" x14ac:dyDescent="0.25">
      <c r="A278" s="11"/>
      <c r="B278" s="11" t="e">
        <v>#N/A</v>
      </c>
      <c r="C278" s="11" t="s">
        <v>148</v>
      </c>
      <c r="D278" s="11"/>
      <c r="E278" s="11"/>
      <c r="F278" s="11" t="s">
        <v>886</v>
      </c>
      <c r="G278" s="11"/>
      <c r="H278" s="11" t="s">
        <v>473</v>
      </c>
      <c r="I278" s="11" t="e">
        <v>#N/A</v>
      </c>
      <c r="J278" s="11" t="e">
        <v>#N/A</v>
      </c>
      <c r="K278" s="11"/>
      <c r="L278" s="11"/>
      <c r="M278" s="11">
        <v>16</v>
      </c>
      <c r="N278" s="11" t="e">
        <v>#N/A</v>
      </c>
      <c r="O278" s="11" t="e">
        <v>#N/A</v>
      </c>
      <c r="P278" s="11" t="e">
        <v>#N/A</v>
      </c>
      <c r="Q278" s="11" t="e">
        <v>#N/A</v>
      </c>
      <c r="R278" s="11" t="e">
        <v>#N/A</v>
      </c>
      <c r="S278" s="11" t="e">
        <v>#N/A</v>
      </c>
      <c r="T278" s="11" t="e">
        <v>#N/A</v>
      </c>
      <c r="U278" s="11" t="e">
        <v>#N/A</v>
      </c>
      <c r="V278" s="11" t="e">
        <v>#N/A</v>
      </c>
      <c r="W278" s="11" t="e">
        <v>#N/A</v>
      </c>
      <c r="X278" s="11" t="e">
        <v>#N/A</v>
      </c>
    </row>
    <row r="279" spans="1:24" ht="14.25" customHeight="1" x14ac:dyDescent="0.25">
      <c r="A279" s="11"/>
      <c r="B279" s="11" t="e">
        <v>#N/A</v>
      </c>
      <c r="C279" s="11" t="s">
        <v>148</v>
      </c>
      <c r="D279" s="11"/>
      <c r="E279" s="11">
        <v>1</v>
      </c>
      <c r="F279" s="11" t="s">
        <v>886</v>
      </c>
      <c r="G279" s="11" t="s">
        <v>148</v>
      </c>
      <c r="H279" s="11" t="s">
        <v>959</v>
      </c>
      <c r="I279" s="11" t="e">
        <v>#N/A</v>
      </c>
      <c r="J279" s="11" t="e">
        <v>#N/A</v>
      </c>
      <c r="K279" s="11"/>
      <c r="L279" s="11"/>
      <c r="M279" s="11">
        <v>16</v>
      </c>
      <c r="N279" s="11" t="e">
        <v>#N/A</v>
      </c>
      <c r="O279" s="11" t="e">
        <v>#N/A</v>
      </c>
      <c r="P279" s="11" t="e">
        <v>#N/A</v>
      </c>
      <c r="Q279" s="11" t="e">
        <v>#N/A</v>
      </c>
      <c r="R279" s="11" t="e">
        <v>#N/A</v>
      </c>
      <c r="S279" s="11" t="e">
        <v>#N/A</v>
      </c>
      <c r="T279" s="11" t="e">
        <v>#N/A</v>
      </c>
      <c r="U279" s="11" t="e">
        <v>#N/A</v>
      </c>
      <c r="V279" s="11" t="e">
        <v>#N/A</v>
      </c>
      <c r="W279" s="11" t="e">
        <v>#N/A</v>
      </c>
      <c r="X279" s="11" t="e">
        <v>#N/A</v>
      </c>
    </row>
    <row r="280" spans="1:24" ht="14.25" customHeight="1" x14ac:dyDescent="0.25">
      <c r="A280" s="11"/>
      <c r="B280" s="11">
        <v>22</v>
      </c>
      <c r="C280" s="11" t="s">
        <v>148</v>
      </c>
      <c r="D280" s="11"/>
      <c r="E280" s="11"/>
      <c r="F280" s="11" t="s">
        <v>886</v>
      </c>
      <c r="G280" s="11"/>
      <c r="H280" s="11" t="s">
        <v>1098</v>
      </c>
      <c r="I280" s="11" t="s">
        <v>199</v>
      </c>
      <c r="J280" s="11" t="s">
        <v>764</v>
      </c>
      <c r="K280" s="11"/>
      <c r="L280" s="11"/>
      <c r="M280" s="11">
        <v>22</v>
      </c>
      <c r="N280" s="11">
        <v>261</v>
      </c>
      <c r="O280" s="11" t="s">
        <v>36</v>
      </c>
      <c r="P280" s="11" t="e">
        <v>#VALUE!</v>
      </c>
      <c r="Q280" s="11" t="s">
        <v>36</v>
      </c>
      <c r="R280" s="11">
        <v>305</v>
      </c>
      <c r="S280" s="11">
        <v>250</v>
      </c>
      <c r="T280" s="11">
        <v>232</v>
      </c>
      <c r="U280" s="11" t="s">
        <v>36</v>
      </c>
      <c r="V280" s="11">
        <v>262</v>
      </c>
      <c r="W280" s="11">
        <v>43</v>
      </c>
      <c r="X280" s="11" t="s">
        <v>886</v>
      </c>
    </row>
    <row r="281" spans="1:24" ht="14.25" customHeight="1" x14ac:dyDescent="0.25">
      <c r="A281" s="11"/>
      <c r="B281" s="11" t="e">
        <v>#N/A</v>
      </c>
      <c r="C281" s="11" t="s">
        <v>148</v>
      </c>
      <c r="D281" s="11"/>
      <c r="E281" s="11"/>
      <c r="F281" s="11" t="s">
        <v>886</v>
      </c>
      <c r="G281" s="11"/>
      <c r="H281" s="11" t="s">
        <v>963</v>
      </c>
      <c r="I281" s="11" t="e">
        <v>#N/A</v>
      </c>
      <c r="J281" s="11" t="e">
        <v>#N/A</v>
      </c>
      <c r="K281" s="11"/>
      <c r="L281" s="11"/>
      <c r="M281" s="11">
        <v>16</v>
      </c>
      <c r="N281" s="11" t="e">
        <v>#N/A</v>
      </c>
      <c r="O281" s="11" t="e">
        <v>#N/A</v>
      </c>
      <c r="P281" s="11" t="e">
        <v>#N/A</v>
      </c>
      <c r="Q281" s="11" t="e">
        <v>#N/A</v>
      </c>
      <c r="R281" s="11" t="e">
        <v>#N/A</v>
      </c>
      <c r="S281" s="11" t="e">
        <v>#N/A</v>
      </c>
      <c r="T281" s="11" t="e">
        <v>#N/A</v>
      </c>
      <c r="U281" s="11" t="e">
        <v>#N/A</v>
      </c>
      <c r="V281" s="11" t="e">
        <v>#N/A</v>
      </c>
      <c r="W281" s="11" t="e">
        <v>#N/A</v>
      </c>
      <c r="X281" s="11" t="e">
        <v>#N/A</v>
      </c>
    </row>
    <row r="282" spans="1:24" ht="14.25" customHeight="1" x14ac:dyDescent="0.25">
      <c r="A282" s="11"/>
      <c r="B282" s="11" t="e">
        <v>#N/A</v>
      </c>
      <c r="C282" s="11" t="s">
        <v>148</v>
      </c>
      <c r="D282" s="11"/>
      <c r="E282" s="11"/>
      <c r="F282" s="11" t="s">
        <v>886</v>
      </c>
      <c r="G282" s="11"/>
      <c r="H282" s="11" t="s">
        <v>516</v>
      </c>
      <c r="I282" s="11" t="e">
        <v>#N/A</v>
      </c>
      <c r="J282" s="11" t="e">
        <v>#N/A</v>
      </c>
      <c r="K282" s="11"/>
      <c r="L282" s="11"/>
      <c r="M282" s="11">
        <v>16</v>
      </c>
      <c r="N282" s="11" t="e">
        <v>#N/A</v>
      </c>
      <c r="O282" s="11" t="e">
        <v>#N/A</v>
      </c>
      <c r="P282" s="11" t="e">
        <v>#N/A</v>
      </c>
      <c r="Q282" s="11" t="e">
        <v>#N/A</v>
      </c>
      <c r="R282" s="11" t="e">
        <v>#N/A</v>
      </c>
      <c r="S282" s="11" t="e">
        <v>#N/A</v>
      </c>
      <c r="T282" s="11" t="e">
        <v>#N/A</v>
      </c>
      <c r="U282" s="11" t="e">
        <v>#N/A</v>
      </c>
      <c r="V282" s="11" t="e">
        <v>#N/A</v>
      </c>
      <c r="W282" s="11" t="e">
        <v>#N/A</v>
      </c>
      <c r="X282" s="11" t="e">
        <v>#N/A</v>
      </c>
    </row>
    <row r="283" spans="1:24" ht="14.25" customHeight="1" x14ac:dyDescent="0.25">
      <c r="A283" s="11"/>
      <c r="B283" s="11">
        <v>10</v>
      </c>
      <c r="C283" s="11" t="s">
        <v>148</v>
      </c>
      <c r="D283" s="11"/>
      <c r="E283" s="11"/>
      <c r="F283" s="11" t="s">
        <v>886</v>
      </c>
      <c r="G283" s="11"/>
      <c r="H283" s="11" t="s">
        <v>237</v>
      </c>
      <c r="I283" s="11" t="s">
        <v>214</v>
      </c>
      <c r="J283" s="11" t="s">
        <v>769</v>
      </c>
      <c r="K283" s="11"/>
      <c r="L283" s="11"/>
      <c r="M283" s="11">
        <v>9</v>
      </c>
      <c r="N283" s="11">
        <v>105</v>
      </c>
      <c r="O283" s="11">
        <v>114</v>
      </c>
      <c r="P283" s="11">
        <v>-9</v>
      </c>
      <c r="Q283" s="11">
        <v>106</v>
      </c>
      <c r="R283" s="11">
        <v>123</v>
      </c>
      <c r="S283" s="11">
        <v>91</v>
      </c>
      <c r="T283" s="11">
        <v>111</v>
      </c>
      <c r="U283" s="11">
        <v>116</v>
      </c>
      <c r="V283" s="11">
        <v>109</v>
      </c>
      <c r="W283" s="11">
        <v>14</v>
      </c>
      <c r="X283" s="11">
        <v>12</v>
      </c>
    </row>
    <row r="284" spans="1:24" ht="14.25" customHeight="1" x14ac:dyDescent="0.25">
      <c r="A284" s="11"/>
      <c r="B284" s="11" t="e">
        <v>#N/A</v>
      </c>
      <c r="C284" s="11" t="s">
        <v>148</v>
      </c>
      <c r="D284" s="11"/>
      <c r="E284" s="11"/>
      <c r="F284" s="11" t="s">
        <v>886</v>
      </c>
      <c r="G284" s="11"/>
      <c r="H284" s="11" t="s">
        <v>986</v>
      </c>
      <c r="I284" s="11" t="e">
        <v>#N/A</v>
      </c>
      <c r="J284" s="11" t="e">
        <v>#N/A</v>
      </c>
      <c r="K284" s="11"/>
      <c r="L284" s="11"/>
      <c r="M284" s="11">
        <v>16</v>
      </c>
      <c r="N284" s="11" t="e">
        <v>#N/A</v>
      </c>
      <c r="O284" s="11" t="e">
        <v>#N/A</v>
      </c>
      <c r="P284" s="11" t="e">
        <v>#N/A</v>
      </c>
      <c r="Q284" s="11" t="e">
        <v>#N/A</v>
      </c>
      <c r="R284" s="11" t="e">
        <v>#N/A</v>
      </c>
      <c r="S284" s="11" t="e">
        <v>#N/A</v>
      </c>
      <c r="T284" s="11" t="e">
        <v>#N/A</v>
      </c>
      <c r="U284" s="11" t="e">
        <v>#N/A</v>
      </c>
      <c r="V284" s="11" t="e">
        <v>#N/A</v>
      </c>
      <c r="W284" s="11" t="e">
        <v>#N/A</v>
      </c>
      <c r="X284" s="11" t="e">
        <v>#N/A</v>
      </c>
    </row>
    <row r="285" spans="1:24" ht="14.25" customHeight="1" x14ac:dyDescent="0.25">
      <c r="A285" s="11"/>
      <c r="B285" s="11" t="e">
        <v>#N/A</v>
      </c>
      <c r="C285" s="11" t="s">
        <v>148</v>
      </c>
      <c r="D285" s="11"/>
      <c r="E285" s="11"/>
      <c r="F285" s="11" t="s">
        <v>886</v>
      </c>
      <c r="G285" s="11"/>
      <c r="H285" s="11" t="s">
        <v>1130</v>
      </c>
      <c r="I285" s="11" t="e">
        <v>#N/A</v>
      </c>
      <c r="J285" s="11" t="e">
        <v>#N/A</v>
      </c>
      <c r="K285" s="11"/>
      <c r="L285" s="11"/>
      <c r="M285" s="11">
        <v>16</v>
      </c>
      <c r="N285" s="11" t="e">
        <v>#N/A</v>
      </c>
      <c r="O285" s="11" t="e">
        <v>#N/A</v>
      </c>
      <c r="P285" s="11" t="e">
        <v>#N/A</v>
      </c>
      <c r="Q285" s="11" t="e">
        <v>#N/A</v>
      </c>
      <c r="R285" s="11" t="e">
        <v>#N/A</v>
      </c>
      <c r="S285" s="11" t="e">
        <v>#N/A</v>
      </c>
      <c r="T285" s="11" t="e">
        <v>#N/A</v>
      </c>
      <c r="U285" s="11" t="e">
        <v>#N/A</v>
      </c>
      <c r="V285" s="11" t="e">
        <v>#N/A</v>
      </c>
      <c r="W285" s="11" t="e">
        <v>#N/A</v>
      </c>
      <c r="X285" s="11" t="e">
        <v>#N/A</v>
      </c>
    </row>
    <row r="286" spans="1:24" ht="14.25" customHeight="1" x14ac:dyDescent="0.25">
      <c r="A286" s="11"/>
      <c r="B286" s="11">
        <v>18</v>
      </c>
      <c r="C286" s="11" t="s">
        <v>148</v>
      </c>
      <c r="D286" s="11"/>
      <c r="E286" s="11"/>
      <c r="F286" s="11" t="s">
        <v>886</v>
      </c>
      <c r="G286" s="11"/>
      <c r="H286" s="11" t="s">
        <v>497</v>
      </c>
      <c r="I286" s="11" t="s">
        <v>104</v>
      </c>
      <c r="J286" s="11" t="s">
        <v>1080</v>
      </c>
      <c r="K286" s="11"/>
      <c r="L286" s="11"/>
      <c r="M286" s="11">
        <v>21</v>
      </c>
      <c r="N286" s="11">
        <v>240</v>
      </c>
      <c r="O286" s="11" t="s">
        <v>36</v>
      </c>
      <c r="P286" s="11" t="e">
        <v>#VALUE!</v>
      </c>
      <c r="Q286" s="11">
        <v>152</v>
      </c>
      <c r="R286" s="11" t="s">
        <v>36</v>
      </c>
      <c r="S286" s="11">
        <v>265</v>
      </c>
      <c r="T286" s="11">
        <v>226</v>
      </c>
      <c r="U286" s="11">
        <v>190</v>
      </c>
      <c r="V286" s="11">
        <v>214</v>
      </c>
      <c r="W286" s="11" t="e">
        <v>#VALUE!</v>
      </c>
      <c r="X286" s="11" t="s">
        <v>886</v>
      </c>
    </row>
    <row r="287" spans="1:24" ht="14.25" customHeight="1" x14ac:dyDescent="0.25">
      <c r="A287" s="11"/>
      <c r="B287" s="11">
        <v>21</v>
      </c>
      <c r="C287" s="11" t="s">
        <v>148</v>
      </c>
      <c r="D287" s="11"/>
      <c r="E287" s="11"/>
      <c r="F287" s="11" t="s">
        <v>886</v>
      </c>
      <c r="G287" s="11"/>
      <c r="H287" s="11" t="s">
        <v>623</v>
      </c>
      <c r="I287" s="11" t="s">
        <v>168</v>
      </c>
      <c r="J287" s="11" t="s">
        <v>764</v>
      </c>
      <c r="K287" s="11"/>
      <c r="L287" s="11"/>
      <c r="M287" s="11">
        <v>22</v>
      </c>
      <c r="N287" s="11">
        <v>259</v>
      </c>
      <c r="O287" s="11" t="s">
        <v>36</v>
      </c>
      <c r="P287" s="11" t="e">
        <v>#VALUE!</v>
      </c>
      <c r="Q287" s="11" t="s">
        <v>36</v>
      </c>
      <c r="R287" s="11" t="s">
        <v>36</v>
      </c>
      <c r="S287" s="11">
        <v>206</v>
      </c>
      <c r="T287" s="11">
        <v>227</v>
      </c>
      <c r="U287" s="11">
        <v>289</v>
      </c>
      <c r="V287" s="11">
        <v>245</v>
      </c>
      <c r="W287" s="11" t="e">
        <v>#VALUE!</v>
      </c>
      <c r="X287" s="11" t="s">
        <v>886</v>
      </c>
    </row>
    <row r="288" spans="1:24" ht="14.25" customHeight="1" x14ac:dyDescent="0.25">
      <c r="A288" s="11"/>
      <c r="B288" s="11" t="e">
        <v>#N/A</v>
      </c>
      <c r="C288" s="11" t="s">
        <v>148</v>
      </c>
      <c r="D288" s="11"/>
      <c r="E288" s="11"/>
      <c r="F288" s="11" t="s">
        <v>886</v>
      </c>
      <c r="G288" s="11"/>
      <c r="H288" s="11" t="s">
        <v>606</v>
      </c>
      <c r="I288" s="11" t="e">
        <v>#N/A</v>
      </c>
      <c r="J288" s="11" t="e">
        <v>#N/A</v>
      </c>
      <c r="K288" s="11"/>
      <c r="L288" s="11"/>
      <c r="M288" s="11">
        <v>16</v>
      </c>
      <c r="N288" s="11" t="e">
        <v>#N/A</v>
      </c>
      <c r="O288" s="11" t="e">
        <v>#N/A</v>
      </c>
      <c r="P288" s="11" t="e">
        <v>#N/A</v>
      </c>
      <c r="Q288" s="11" t="e">
        <v>#N/A</v>
      </c>
      <c r="R288" s="11" t="e">
        <v>#N/A</v>
      </c>
      <c r="S288" s="11" t="e">
        <v>#N/A</v>
      </c>
      <c r="T288" s="11" t="e">
        <v>#N/A</v>
      </c>
      <c r="U288" s="11" t="e">
        <v>#N/A</v>
      </c>
      <c r="V288" s="11" t="e">
        <v>#N/A</v>
      </c>
      <c r="W288" s="11" t="e">
        <v>#N/A</v>
      </c>
      <c r="X288" s="11" t="e">
        <v>#N/A</v>
      </c>
    </row>
    <row r="289" spans="1:24" ht="14.25" customHeight="1" x14ac:dyDescent="0.25">
      <c r="A289" s="11"/>
      <c r="B289" s="11" t="e">
        <v>#N/A</v>
      </c>
      <c r="C289" s="11" t="s">
        <v>148</v>
      </c>
      <c r="D289" s="11"/>
      <c r="E289" s="11"/>
      <c r="F289" s="11" t="s">
        <v>886</v>
      </c>
      <c r="G289" s="11"/>
      <c r="H289" s="11" t="s">
        <v>965</v>
      </c>
      <c r="I289" s="11" t="e">
        <v>#N/A</v>
      </c>
      <c r="J289" s="11" t="e">
        <v>#N/A</v>
      </c>
      <c r="K289" s="11"/>
      <c r="L289" s="11"/>
      <c r="M289" s="11">
        <v>16</v>
      </c>
      <c r="N289" s="11" t="e">
        <v>#N/A</v>
      </c>
      <c r="O289" s="11" t="e">
        <v>#N/A</v>
      </c>
      <c r="P289" s="11" t="e">
        <v>#N/A</v>
      </c>
      <c r="Q289" s="11" t="e">
        <v>#N/A</v>
      </c>
      <c r="R289" s="11" t="e">
        <v>#N/A</v>
      </c>
      <c r="S289" s="11" t="e">
        <v>#N/A</v>
      </c>
      <c r="T289" s="11" t="e">
        <v>#N/A</v>
      </c>
      <c r="U289" s="11" t="e">
        <v>#N/A</v>
      </c>
      <c r="V289" s="11" t="e">
        <v>#N/A</v>
      </c>
      <c r="W289" s="11" t="e">
        <v>#N/A</v>
      </c>
      <c r="X289" s="11" t="e">
        <v>#N/A</v>
      </c>
    </row>
    <row r="290" spans="1:24" ht="14.25" customHeight="1" x14ac:dyDescent="0.25">
      <c r="A290" s="11"/>
      <c r="B290" s="11">
        <v>20</v>
      </c>
      <c r="C290" s="11" t="s">
        <v>148</v>
      </c>
      <c r="D290" s="11"/>
      <c r="E290" s="11"/>
      <c r="F290" s="11" t="s">
        <v>886</v>
      </c>
      <c r="G290" s="11"/>
      <c r="H290" s="11" t="s">
        <v>384</v>
      </c>
      <c r="I290" s="11" t="s">
        <v>91</v>
      </c>
      <c r="J290" s="11" t="s">
        <v>762</v>
      </c>
      <c r="K290" s="11"/>
      <c r="L290" s="11"/>
      <c r="M290" s="11">
        <v>19</v>
      </c>
      <c r="N290" s="11">
        <v>223</v>
      </c>
      <c r="O290" s="11" t="s">
        <v>36</v>
      </c>
      <c r="P290" s="11" t="e">
        <v>#VALUE!</v>
      </c>
      <c r="Q290" s="11" t="s">
        <v>36</v>
      </c>
      <c r="R290" s="11">
        <v>312</v>
      </c>
      <c r="S290" s="11">
        <v>166</v>
      </c>
      <c r="T290" s="11">
        <v>184</v>
      </c>
      <c r="U290" s="11">
        <v>283</v>
      </c>
      <c r="V290" s="11">
        <v>233</v>
      </c>
      <c r="W290" s="11">
        <v>79</v>
      </c>
      <c r="X290" s="11">
        <v>52</v>
      </c>
    </row>
    <row r="291" spans="1:24" ht="14.25" customHeight="1" x14ac:dyDescent="0.25">
      <c r="A291" s="11"/>
      <c r="B291" s="11" t="e">
        <v>#N/A</v>
      </c>
      <c r="C291" s="11" t="s">
        <v>148</v>
      </c>
      <c r="D291" s="11"/>
      <c r="E291" s="11"/>
      <c r="F291" s="11" t="s">
        <v>886</v>
      </c>
      <c r="G291" s="11"/>
      <c r="H291" s="11" t="s">
        <v>968</v>
      </c>
      <c r="I291" s="11" t="e">
        <v>#N/A</v>
      </c>
      <c r="J291" s="11" t="e">
        <v>#N/A</v>
      </c>
      <c r="K291" s="11"/>
      <c r="L291" s="11"/>
      <c r="M291" s="11">
        <v>16</v>
      </c>
      <c r="N291" s="11" t="e">
        <v>#N/A</v>
      </c>
      <c r="O291" s="11" t="e">
        <v>#N/A</v>
      </c>
      <c r="P291" s="11" t="e">
        <v>#N/A</v>
      </c>
      <c r="Q291" s="11" t="e">
        <v>#N/A</v>
      </c>
      <c r="R291" s="11" t="e">
        <v>#N/A</v>
      </c>
      <c r="S291" s="11" t="e">
        <v>#N/A</v>
      </c>
      <c r="T291" s="11" t="e">
        <v>#N/A</v>
      </c>
      <c r="U291" s="11" t="e">
        <v>#N/A</v>
      </c>
      <c r="V291" s="11" t="e">
        <v>#N/A</v>
      </c>
      <c r="W291" s="11" t="e">
        <v>#N/A</v>
      </c>
      <c r="X291" s="11" t="e">
        <v>#N/A</v>
      </c>
    </row>
    <row r="292" spans="1:24" ht="14.25" customHeight="1" x14ac:dyDescent="0.25">
      <c r="A292" s="11"/>
      <c r="B292" s="11">
        <v>20</v>
      </c>
      <c r="C292" s="11" t="s">
        <v>148</v>
      </c>
      <c r="D292" s="11"/>
      <c r="E292" s="11"/>
      <c r="F292" s="11" t="s">
        <v>886</v>
      </c>
      <c r="G292" s="11"/>
      <c r="H292" s="11" t="s">
        <v>469</v>
      </c>
      <c r="I292" s="11" t="s">
        <v>49</v>
      </c>
      <c r="J292" s="11" t="s">
        <v>1080</v>
      </c>
      <c r="K292" s="11"/>
      <c r="L292" s="11"/>
      <c r="M292" s="11">
        <v>21</v>
      </c>
      <c r="N292" s="11">
        <v>248</v>
      </c>
      <c r="O292" s="11">
        <v>216</v>
      </c>
      <c r="P292" s="11">
        <v>32</v>
      </c>
      <c r="Q292" s="11">
        <v>238</v>
      </c>
      <c r="R292" s="11">
        <v>289</v>
      </c>
      <c r="S292" s="11">
        <v>253</v>
      </c>
      <c r="T292" s="11">
        <v>211</v>
      </c>
      <c r="U292" s="11">
        <v>195</v>
      </c>
      <c r="V292" s="11">
        <v>235</v>
      </c>
      <c r="W292" s="11">
        <v>54</v>
      </c>
      <c r="X292" s="11" t="s">
        <v>886</v>
      </c>
    </row>
    <row r="293" spans="1:24" ht="14.25" customHeight="1" x14ac:dyDescent="0.25">
      <c r="A293" s="11"/>
      <c r="B293" s="11" t="e">
        <v>#N/A</v>
      </c>
      <c r="C293" s="11" t="s">
        <v>148</v>
      </c>
      <c r="D293" s="11"/>
      <c r="E293" s="11"/>
      <c r="F293" s="11" t="s">
        <v>886</v>
      </c>
      <c r="G293" s="11"/>
      <c r="H293" s="11" t="s">
        <v>837</v>
      </c>
      <c r="I293" s="11" t="e">
        <v>#N/A</v>
      </c>
      <c r="J293" s="11" t="e">
        <v>#N/A</v>
      </c>
      <c r="K293" s="11"/>
      <c r="L293" s="11"/>
      <c r="M293" s="11">
        <v>16</v>
      </c>
      <c r="N293" s="11" t="e">
        <v>#N/A</v>
      </c>
      <c r="O293" s="11" t="e">
        <v>#N/A</v>
      </c>
      <c r="P293" s="11" t="e">
        <v>#N/A</v>
      </c>
      <c r="Q293" s="11" t="e">
        <v>#N/A</v>
      </c>
      <c r="R293" s="11" t="e">
        <v>#N/A</v>
      </c>
      <c r="S293" s="11" t="e">
        <v>#N/A</v>
      </c>
      <c r="T293" s="11" t="e">
        <v>#N/A</v>
      </c>
      <c r="U293" s="11" t="e">
        <v>#N/A</v>
      </c>
      <c r="V293" s="11" t="e">
        <v>#N/A</v>
      </c>
      <c r="W293" s="11" t="e">
        <v>#N/A</v>
      </c>
      <c r="X293" s="11" t="e">
        <v>#N/A</v>
      </c>
    </row>
    <row r="294" spans="1:24" ht="14.25" customHeight="1" x14ac:dyDescent="0.25">
      <c r="A294" s="11"/>
      <c r="B294" s="11" t="e">
        <v>#N/A</v>
      </c>
      <c r="C294" s="11" t="s">
        <v>148</v>
      </c>
      <c r="D294" s="11"/>
      <c r="E294" s="11"/>
      <c r="F294" s="11" t="s">
        <v>886</v>
      </c>
      <c r="G294" s="11"/>
      <c r="H294" s="11" t="s">
        <v>1131</v>
      </c>
      <c r="I294" s="11" t="e">
        <v>#N/A</v>
      </c>
      <c r="J294" s="11" t="e">
        <v>#N/A</v>
      </c>
      <c r="K294" s="11"/>
      <c r="L294" s="11"/>
      <c r="M294" s="11">
        <v>16</v>
      </c>
      <c r="N294" s="11" t="e">
        <v>#N/A</v>
      </c>
      <c r="O294" s="11" t="e">
        <v>#N/A</v>
      </c>
      <c r="P294" s="11" t="e">
        <v>#N/A</v>
      </c>
      <c r="Q294" s="11" t="e">
        <v>#N/A</v>
      </c>
      <c r="R294" s="11" t="e">
        <v>#N/A</v>
      </c>
      <c r="S294" s="11" t="e">
        <v>#N/A</v>
      </c>
      <c r="T294" s="11" t="e">
        <v>#N/A</v>
      </c>
      <c r="U294" s="11" t="e">
        <v>#N/A</v>
      </c>
      <c r="V294" s="11" t="e">
        <v>#N/A</v>
      </c>
      <c r="W294" s="11" t="e">
        <v>#N/A</v>
      </c>
      <c r="X294" s="11" t="e">
        <v>#N/A</v>
      </c>
    </row>
    <row r="295" spans="1:24" ht="14.25" customHeight="1" x14ac:dyDescent="0.25">
      <c r="A295" s="11"/>
      <c r="B295" s="11" t="e">
        <v>#N/A</v>
      </c>
      <c r="C295" s="11" t="s">
        <v>148</v>
      </c>
      <c r="D295" s="11"/>
      <c r="E295" s="11"/>
      <c r="F295" s="11" t="s">
        <v>886</v>
      </c>
      <c r="G295" s="11"/>
      <c r="H295" s="11" t="s">
        <v>401</v>
      </c>
      <c r="I295" s="11" t="e">
        <v>#N/A</v>
      </c>
      <c r="J295" s="11">
        <v>0</v>
      </c>
      <c r="K295" s="11"/>
      <c r="L295" s="11"/>
      <c r="M295" s="11">
        <v>16</v>
      </c>
      <c r="N295" s="11" t="e">
        <v>#N/A</v>
      </c>
      <c r="O295" s="11" t="e">
        <v>#N/A</v>
      </c>
      <c r="P295" s="11" t="e">
        <v>#N/A</v>
      </c>
      <c r="Q295" s="11" t="e">
        <v>#N/A</v>
      </c>
      <c r="R295" s="11" t="e">
        <v>#N/A</v>
      </c>
      <c r="S295" s="11" t="e">
        <v>#N/A</v>
      </c>
      <c r="T295" s="11" t="e">
        <v>#N/A</v>
      </c>
      <c r="U295" s="11" t="e">
        <v>#N/A</v>
      </c>
      <c r="V295" s="11" t="e">
        <v>#N/A</v>
      </c>
      <c r="W295" s="11" t="e">
        <v>#N/A</v>
      </c>
      <c r="X295" s="11" t="s">
        <v>886</v>
      </c>
    </row>
    <row r="296" spans="1:24" ht="14.25" customHeight="1" x14ac:dyDescent="0.25">
      <c r="A296" s="11"/>
      <c r="B296" s="11" t="e">
        <v>#N/A</v>
      </c>
      <c r="C296" s="11" t="s">
        <v>148</v>
      </c>
      <c r="D296" s="11"/>
      <c r="E296" s="11"/>
      <c r="F296" s="11" t="s">
        <v>886</v>
      </c>
      <c r="G296" s="11"/>
      <c r="H296" s="11" t="s">
        <v>974</v>
      </c>
      <c r="I296" s="11" t="e">
        <v>#N/A</v>
      </c>
      <c r="J296" s="11" t="e">
        <v>#N/A</v>
      </c>
      <c r="K296" s="11"/>
      <c r="L296" s="11"/>
      <c r="M296" s="11">
        <v>16</v>
      </c>
      <c r="N296" s="11" t="e">
        <v>#N/A</v>
      </c>
      <c r="O296" s="11" t="e">
        <v>#N/A</v>
      </c>
      <c r="P296" s="11" t="e">
        <v>#N/A</v>
      </c>
      <c r="Q296" s="11" t="e">
        <v>#N/A</v>
      </c>
      <c r="R296" s="11" t="e">
        <v>#N/A</v>
      </c>
      <c r="S296" s="11" t="e">
        <v>#N/A</v>
      </c>
      <c r="T296" s="11" t="e">
        <v>#N/A</v>
      </c>
      <c r="U296" s="11" t="e">
        <v>#N/A</v>
      </c>
      <c r="V296" s="11" t="e">
        <v>#N/A</v>
      </c>
      <c r="W296" s="11" t="e">
        <v>#N/A</v>
      </c>
      <c r="X296" s="11" t="e">
        <v>#N/A</v>
      </c>
    </row>
    <row r="297" spans="1:24" ht="14.25" customHeight="1" x14ac:dyDescent="0.25">
      <c r="A297" s="11"/>
      <c r="B297" s="11">
        <v>21</v>
      </c>
      <c r="C297" s="11" t="s">
        <v>148</v>
      </c>
      <c r="D297" s="11"/>
      <c r="E297" s="11"/>
      <c r="F297" s="11" t="s">
        <v>886</v>
      </c>
      <c r="G297" s="11"/>
      <c r="H297" s="11" t="s">
        <v>975</v>
      </c>
      <c r="I297" s="11" t="s">
        <v>85</v>
      </c>
      <c r="J297" s="11" t="s">
        <v>769</v>
      </c>
      <c r="K297" s="11"/>
      <c r="L297" s="11"/>
      <c r="M297" s="11">
        <v>24</v>
      </c>
      <c r="N297" s="11">
        <v>276</v>
      </c>
      <c r="O297" s="11" t="s">
        <v>36</v>
      </c>
      <c r="P297" s="11" t="e">
        <v>#VALUE!</v>
      </c>
      <c r="Q297" s="11">
        <v>233</v>
      </c>
      <c r="R297" s="11" t="s">
        <v>36</v>
      </c>
      <c r="S297" s="11">
        <v>249</v>
      </c>
      <c r="T297" s="11">
        <v>263</v>
      </c>
      <c r="U297" s="11">
        <v>240</v>
      </c>
      <c r="V297" s="11">
        <v>252</v>
      </c>
      <c r="W297" s="11" t="e">
        <v>#VALUE!</v>
      </c>
      <c r="X297" s="11" t="s">
        <v>886</v>
      </c>
    </row>
    <row r="298" spans="1:24" ht="14.25" customHeight="1" x14ac:dyDescent="0.25">
      <c r="A298" s="11"/>
      <c r="B298" s="11" t="e">
        <v>#N/A</v>
      </c>
      <c r="C298" s="11" t="s">
        <v>148</v>
      </c>
      <c r="D298" s="11"/>
      <c r="E298" s="11"/>
      <c r="F298" s="11" t="s">
        <v>886</v>
      </c>
      <c r="G298" s="11"/>
      <c r="H298" s="11" t="s">
        <v>1132</v>
      </c>
      <c r="I298" s="11" t="e">
        <v>#N/A</v>
      </c>
      <c r="J298" s="11" t="e">
        <v>#N/A</v>
      </c>
      <c r="K298" s="11"/>
      <c r="L298" s="11"/>
      <c r="M298" s="11">
        <v>16</v>
      </c>
      <c r="N298" s="11" t="e">
        <v>#N/A</v>
      </c>
      <c r="O298" s="11" t="e">
        <v>#N/A</v>
      </c>
      <c r="P298" s="11" t="e">
        <v>#N/A</v>
      </c>
      <c r="Q298" s="11" t="e">
        <v>#N/A</v>
      </c>
      <c r="R298" s="11" t="e">
        <v>#N/A</v>
      </c>
      <c r="S298" s="11" t="e">
        <v>#N/A</v>
      </c>
      <c r="T298" s="11" t="e">
        <v>#N/A</v>
      </c>
      <c r="U298" s="11" t="e">
        <v>#N/A</v>
      </c>
      <c r="V298" s="11" t="e">
        <v>#N/A</v>
      </c>
      <c r="W298" s="11" t="e">
        <v>#N/A</v>
      </c>
      <c r="X298" s="11" t="e">
        <v>#N/A</v>
      </c>
    </row>
    <row r="299" spans="1:24" ht="14.25" customHeight="1" x14ac:dyDescent="0.25">
      <c r="A299" s="11"/>
      <c r="B299" s="11" t="e">
        <v>#N/A</v>
      </c>
      <c r="C299" s="11" t="s">
        <v>148</v>
      </c>
      <c r="D299" s="11"/>
      <c r="E299" s="11"/>
      <c r="F299" s="11" t="s">
        <v>886</v>
      </c>
      <c r="G299" s="11"/>
      <c r="H299" s="11" t="s">
        <v>977</v>
      </c>
      <c r="I299" s="11" t="e">
        <v>#N/A</v>
      </c>
      <c r="J299" s="11" t="e">
        <v>#N/A</v>
      </c>
      <c r="K299" s="11"/>
      <c r="L299" s="11"/>
      <c r="M299" s="11">
        <v>16</v>
      </c>
      <c r="N299" s="11" t="e">
        <v>#N/A</v>
      </c>
      <c r="O299" s="11" t="e">
        <v>#N/A</v>
      </c>
      <c r="P299" s="11" t="e">
        <v>#N/A</v>
      </c>
      <c r="Q299" s="11" t="e">
        <v>#N/A</v>
      </c>
      <c r="R299" s="11" t="e">
        <v>#N/A</v>
      </c>
      <c r="S299" s="11" t="e">
        <v>#N/A</v>
      </c>
      <c r="T299" s="11" t="e">
        <v>#N/A</v>
      </c>
      <c r="U299" s="11" t="e">
        <v>#N/A</v>
      </c>
      <c r="V299" s="11" t="e">
        <v>#N/A</v>
      </c>
      <c r="W299" s="11" t="e">
        <v>#N/A</v>
      </c>
      <c r="X299" s="11" t="e">
        <v>#N/A</v>
      </c>
    </row>
    <row r="300" spans="1:24" ht="14.25" customHeight="1" x14ac:dyDescent="0.25">
      <c r="A300" s="11"/>
      <c r="B300" s="11">
        <v>16</v>
      </c>
      <c r="C300" s="11" t="s">
        <v>148</v>
      </c>
      <c r="D300" s="11"/>
      <c r="E300" s="11"/>
      <c r="F300" s="11" t="s">
        <v>886</v>
      </c>
      <c r="G300" s="11"/>
      <c r="H300" s="11" t="s">
        <v>688</v>
      </c>
      <c r="I300" s="11" t="s">
        <v>39</v>
      </c>
      <c r="J300" s="11" t="s">
        <v>760</v>
      </c>
      <c r="K300" s="11"/>
      <c r="L300" s="11"/>
      <c r="M300" s="11">
        <v>16</v>
      </c>
      <c r="N300" s="11">
        <v>189</v>
      </c>
      <c r="O300" s="11">
        <v>177</v>
      </c>
      <c r="P300" s="11">
        <v>12</v>
      </c>
      <c r="Q300" s="11">
        <v>181</v>
      </c>
      <c r="R300" s="11">
        <v>236</v>
      </c>
      <c r="S300" s="11">
        <v>164</v>
      </c>
      <c r="T300" s="11">
        <v>159</v>
      </c>
      <c r="U300" s="11">
        <v>189</v>
      </c>
      <c r="V300" s="11">
        <v>185</v>
      </c>
      <c r="W300" s="11">
        <v>51</v>
      </c>
      <c r="X300" s="11">
        <v>24</v>
      </c>
    </row>
    <row r="301" spans="1:24" ht="14.25" customHeight="1" x14ac:dyDescent="0.25">
      <c r="A301" s="11"/>
      <c r="B301" s="11" t="e">
        <v>#N/A</v>
      </c>
      <c r="C301" s="11" t="s">
        <v>148</v>
      </c>
      <c r="D301" s="11"/>
      <c r="E301" s="11"/>
      <c r="F301" s="11" t="s">
        <v>886</v>
      </c>
      <c r="G301" s="11"/>
      <c r="H301" s="11" t="s">
        <v>978</v>
      </c>
      <c r="I301" s="11" t="e">
        <v>#N/A</v>
      </c>
      <c r="J301" s="11" t="e">
        <v>#N/A</v>
      </c>
      <c r="K301" s="11"/>
      <c r="L301" s="11"/>
      <c r="M301" s="11">
        <v>16</v>
      </c>
      <c r="N301" s="11" t="e">
        <v>#N/A</v>
      </c>
      <c r="O301" s="11" t="e">
        <v>#N/A</v>
      </c>
      <c r="P301" s="11" t="e">
        <v>#N/A</v>
      </c>
      <c r="Q301" s="11" t="e">
        <v>#N/A</v>
      </c>
      <c r="R301" s="11" t="e">
        <v>#N/A</v>
      </c>
      <c r="S301" s="11" t="e">
        <v>#N/A</v>
      </c>
      <c r="T301" s="11" t="e">
        <v>#N/A</v>
      </c>
      <c r="U301" s="11" t="e">
        <v>#N/A</v>
      </c>
      <c r="V301" s="11" t="e">
        <v>#N/A</v>
      </c>
      <c r="W301" s="11" t="e">
        <v>#N/A</v>
      </c>
      <c r="X301" s="11" t="e">
        <v>#N/A</v>
      </c>
    </row>
    <row r="302" spans="1:24" ht="14.25" customHeight="1" x14ac:dyDescent="0.25">
      <c r="A302" s="11"/>
      <c r="B302" s="11" t="e">
        <v>#N/A</v>
      </c>
      <c r="C302" s="11" t="s">
        <v>148</v>
      </c>
      <c r="D302" s="11"/>
      <c r="E302" s="11"/>
      <c r="F302" s="11" t="s">
        <v>886</v>
      </c>
      <c r="G302" s="11"/>
      <c r="H302" s="11" t="s">
        <v>1133</v>
      </c>
      <c r="I302" s="11" t="e">
        <v>#N/A</v>
      </c>
      <c r="J302" s="11" t="e">
        <v>#N/A</v>
      </c>
      <c r="K302" s="11"/>
      <c r="L302" s="11"/>
      <c r="M302" s="11">
        <v>16</v>
      </c>
      <c r="N302" s="11" t="e">
        <v>#N/A</v>
      </c>
      <c r="O302" s="11" t="e">
        <v>#N/A</v>
      </c>
      <c r="P302" s="11" t="e">
        <v>#N/A</v>
      </c>
      <c r="Q302" s="11" t="e">
        <v>#N/A</v>
      </c>
      <c r="R302" s="11" t="e">
        <v>#N/A</v>
      </c>
      <c r="S302" s="11" t="e">
        <v>#N/A</v>
      </c>
      <c r="T302" s="11" t="e">
        <v>#N/A</v>
      </c>
      <c r="U302" s="11" t="e">
        <v>#N/A</v>
      </c>
      <c r="V302" s="11" t="e">
        <v>#N/A</v>
      </c>
      <c r="W302" s="11" t="e">
        <v>#N/A</v>
      </c>
      <c r="X302" s="11" t="e">
        <v>#N/A</v>
      </c>
    </row>
    <row r="303" spans="1:24" ht="14.25" customHeight="1" x14ac:dyDescent="0.25">
      <c r="B303" s="11" t="e">
        <v>#N/A</v>
      </c>
      <c r="C303" s="11" t="s">
        <v>148</v>
      </c>
      <c r="D303" s="11"/>
      <c r="E303" s="11"/>
      <c r="F303" s="11" t="s">
        <v>886</v>
      </c>
      <c r="G303" s="11"/>
      <c r="H303" s="11" t="s">
        <v>1134</v>
      </c>
      <c r="I303" s="11" t="e">
        <v>#N/A</v>
      </c>
      <c r="J303" s="11" t="e">
        <v>#N/A</v>
      </c>
      <c r="K303" s="11"/>
      <c r="L303" s="11"/>
      <c r="M303" s="11">
        <v>16</v>
      </c>
      <c r="N303" s="11" t="e">
        <v>#N/A</v>
      </c>
      <c r="O303" s="11" t="e">
        <v>#N/A</v>
      </c>
      <c r="P303" s="11" t="e">
        <v>#N/A</v>
      </c>
      <c r="Q303" s="11" t="e">
        <v>#N/A</v>
      </c>
      <c r="R303" s="11" t="e">
        <v>#N/A</v>
      </c>
      <c r="S303" s="11" t="e">
        <v>#N/A</v>
      </c>
      <c r="T303" s="11" t="e">
        <v>#N/A</v>
      </c>
      <c r="U303" s="11" t="e">
        <v>#N/A</v>
      </c>
      <c r="V303" s="11" t="e">
        <v>#N/A</v>
      </c>
      <c r="W303" s="11" t="e">
        <v>#N/A</v>
      </c>
      <c r="X303" s="11" t="e">
        <v>#N/A</v>
      </c>
    </row>
    <row r="304" spans="1:24" ht="14.25" customHeight="1" x14ac:dyDescent="0.25">
      <c r="B304" s="11" t="e">
        <v>#N/A</v>
      </c>
      <c r="C304" s="11" t="s">
        <v>148</v>
      </c>
      <c r="D304" s="11"/>
      <c r="E304" s="11"/>
      <c r="F304" s="11" t="s">
        <v>886</v>
      </c>
      <c r="G304" s="11"/>
      <c r="H304" s="11" t="s">
        <v>979</v>
      </c>
      <c r="I304" s="11" t="e">
        <v>#N/A</v>
      </c>
      <c r="J304" s="11" t="e">
        <v>#N/A</v>
      </c>
      <c r="K304" s="11"/>
      <c r="L304" s="11"/>
      <c r="M304" s="11">
        <v>16</v>
      </c>
      <c r="N304" s="11" t="e">
        <v>#N/A</v>
      </c>
      <c r="O304" s="11" t="e">
        <v>#N/A</v>
      </c>
      <c r="P304" s="11" t="e">
        <v>#N/A</v>
      </c>
      <c r="Q304" s="11" t="e">
        <v>#N/A</v>
      </c>
      <c r="R304" s="11" t="e">
        <v>#N/A</v>
      </c>
      <c r="S304" s="11" t="e">
        <v>#N/A</v>
      </c>
      <c r="T304" s="11" t="e">
        <v>#N/A</v>
      </c>
      <c r="U304" s="11" t="e">
        <v>#N/A</v>
      </c>
      <c r="V304" s="11" t="e">
        <v>#N/A</v>
      </c>
      <c r="W304" s="11" t="e">
        <v>#N/A</v>
      </c>
      <c r="X304" s="11" t="e">
        <v>#N/A</v>
      </c>
    </row>
    <row r="305" spans="2:24" ht="14.25" customHeight="1" x14ac:dyDescent="0.25">
      <c r="B305" s="11">
        <v>22</v>
      </c>
      <c r="C305" s="11" t="s">
        <v>148</v>
      </c>
      <c r="D305" s="11"/>
      <c r="E305" s="11"/>
      <c r="F305" s="11" t="s">
        <v>886</v>
      </c>
      <c r="G305" s="11"/>
      <c r="H305" s="11" t="s">
        <v>834</v>
      </c>
      <c r="I305" s="11" t="s">
        <v>187</v>
      </c>
      <c r="J305" s="11" t="s">
        <v>760</v>
      </c>
      <c r="K305" s="11"/>
      <c r="L305" s="11"/>
      <c r="M305" s="11">
        <v>24</v>
      </c>
      <c r="N305" s="11">
        <v>283</v>
      </c>
      <c r="O305" s="11" t="s">
        <v>36</v>
      </c>
      <c r="P305" s="11" t="e">
        <v>#VALUE!</v>
      </c>
      <c r="Q305" s="11">
        <v>249</v>
      </c>
      <c r="R305" s="11" t="s">
        <v>36</v>
      </c>
      <c r="S305" s="11">
        <v>251</v>
      </c>
      <c r="T305" s="11">
        <v>255</v>
      </c>
      <c r="U305" s="11">
        <v>261</v>
      </c>
      <c r="V305" s="11">
        <v>259</v>
      </c>
      <c r="W305" s="11" t="e">
        <v>#VALUE!</v>
      </c>
      <c r="X305" s="11" t="s">
        <v>886</v>
      </c>
    </row>
    <row r="306" spans="2:24" ht="14.25" customHeight="1" x14ac:dyDescent="0.25">
      <c r="J306" s="27"/>
    </row>
    <row r="307" spans="2:24" ht="14.25" customHeight="1" x14ac:dyDescent="0.25">
      <c r="J307" s="27"/>
    </row>
    <row r="308" spans="2:24" ht="14.25" customHeight="1" x14ac:dyDescent="0.25">
      <c r="J308" s="27"/>
    </row>
    <row r="309" spans="2:24" ht="14.25" customHeight="1" x14ac:dyDescent="0.25"/>
    <row r="310" spans="2:24" ht="14.25" customHeight="1" x14ac:dyDescent="0.25"/>
    <row r="311" spans="2:24" ht="14.25" customHeight="1" x14ac:dyDescent="0.25"/>
    <row r="312" spans="2:24" ht="14.25" customHeight="1" x14ac:dyDescent="0.25"/>
    <row r="313" spans="2:24" ht="14.25" customHeight="1" x14ac:dyDescent="0.25"/>
    <row r="314" spans="2:24" ht="14.25" customHeight="1" x14ac:dyDescent="0.25"/>
    <row r="315" spans="2:24" ht="14.25" customHeight="1" x14ac:dyDescent="0.25"/>
    <row r="316" spans="2:24" ht="14.25" customHeight="1" x14ac:dyDescent="0.25"/>
    <row r="317" spans="2:24" ht="14.25" customHeight="1" x14ac:dyDescent="0.25"/>
    <row r="318" spans="2:24" ht="14.25" customHeight="1" x14ac:dyDescent="0.25"/>
    <row r="319" spans="2:24" ht="14.25" customHeight="1" x14ac:dyDescent="0.25"/>
    <row r="320" spans="2:24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6:X305" xr:uid="{00000000-0009-0000-0000-000008000000}">
    <sortState xmlns:xlrd2="http://schemas.microsoft.com/office/spreadsheetml/2017/richdata2" ref="A6:X305">
      <sortCondition descending="1" ref="E6:E305"/>
    </sortState>
  </autoFilter>
  <mergeCells count="4">
    <mergeCell ref="A1:C1"/>
    <mergeCell ref="L1:M1"/>
    <mergeCell ref="M2:M3"/>
    <mergeCell ref="M4:M5"/>
  </mergeCells>
  <conditionalFormatting sqref="B7:G305">
    <cfRule type="expression" dxfId="36" priority="1">
      <formula>$C7="No"</formula>
    </cfRule>
  </conditionalFormatting>
  <conditionalFormatting sqref="H7:H296">
    <cfRule type="expression" dxfId="35" priority="2">
      <formula>$D7="No"</formula>
    </cfRule>
  </conditionalFormatting>
  <conditionalFormatting sqref="K7:L305 X7:X305">
    <cfRule type="expression" dxfId="34" priority="3">
      <formula>$C7="No"</formula>
    </cfRule>
  </conditionalFormatting>
  <conditionalFormatting sqref="M7:M305">
    <cfRule type="cellIs" dxfId="33" priority="4" operator="lessThan">
      <formula>B7</formula>
    </cfRule>
    <cfRule type="cellIs" dxfId="32" priority="5" operator="greaterThan">
      <formula>B7</formula>
    </cfRule>
  </conditionalFormatting>
  <conditionalFormatting sqref="O2:AE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AE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7:P305">
    <cfRule type="colorScale" priority="8">
      <colorScale>
        <cfvo type="min"/>
        <cfvo type="formula" val="0"/>
        <cfvo type="max"/>
        <color rgb="FFF8696B"/>
        <color rgb="FFFCFCFF"/>
        <color rgb="FF63BE7B"/>
      </colorScale>
    </cfRule>
  </conditionalFormatting>
  <conditionalFormatting sqref="W7:W305">
    <cfRule type="colorScale" priority="9">
      <colorScale>
        <cfvo type="formula" val="-15"/>
        <cfvo type="formula" val="0"/>
        <cfvo type="formula" val="15"/>
        <color rgb="FFF8696B"/>
        <color theme="0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  <cfRule type="expression" dxfId="31" priority="11">
      <formula>$C7="No"</formula>
    </cfRule>
  </conditionalFormatting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1000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14.42578125" defaultRowHeight="15" customHeight="1" x14ac:dyDescent="0.25"/>
  <cols>
    <col min="1" max="2" width="8.7109375" customWidth="1"/>
    <col min="3" max="5" width="9.7109375" customWidth="1"/>
    <col min="6" max="6" width="8.7109375" customWidth="1"/>
    <col min="7" max="7" width="21.140625" customWidth="1"/>
    <col min="8" max="9" width="8.7109375" customWidth="1"/>
    <col min="10" max="10" width="27.42578125" customWidth="1"/>
    <col min="11" max="31" width="8.7109375" customWidth="1"/>
  </cols>
  <sheetData>
    <row r="1" spans="1:31" ht="14.25" customHeight="1" x14ac:dyDescent="0.35">
      <c r="A1" s="95" t="s">
        <v>1125</v>
      </c>
      <c r="B1" s="96"/>
      <c r="C1" s="96"/>
      <c r="D1" s="2"/>
      <c r="E1" s="5"/>
      <c r="F1" s="2"/>
      <c r="G1" s="2"/>
      <c r="H1" s="3"/>
      <c r="I1" s="2"/>
      <c r="J1" s="2" t="s">
        <v>4</v>
      </c>
      <c r="K1" s="4">
        <v>1</v>
      </c>
      <c r="L1" s="4">
        <v>2</v>
      </c>
      <c r="M1" s="4">
        <v>3</v>
      </c>
      <c r="N1" s="4">
        <v>4</v>
      </c>
      <c r="O1" s="4">
        <v>5</v>
      </c>
      <c r="P1" s="4">
        <v>6</v>
      </c>
      <c r="Q1" s="4">
        <v>7</v>
      </c>
      <c r="R1" s="4">
        <v>8</v>
      </c>
      <c r="S1" s="4">
        <v>9</v>
      </c>
      <c r="T1" s="4">
        <v>10</v>
      </c>
      <c r="U1" s="4">
        <v>11</v>
      </c>
      <c r="V1" s="4">
        <v>12</v>
      </c>
      <c r="W1" s="4">
        <v>13</v>
      </c>
      <c r="X1" s="4">
        <v>14</v>
      </c>
      <c r="Y1" s="4">
        <v>15</v>
      </c>
      <c r="Z1" s="4">
        <v>16</v>
      </c>
      <c r="AA1" s="4"/>
      <c r="AB1" s="4"/>
      <c r="AC1" s="4"/>
      <c r="AE1" s="2"/>
    </row>
    <row r="2" spans="1:31" ht="14.25" customHeight="1" x14ac:dyDescent="0.25">
      <c r="A2" s="1" t="s">
        <v>14</v>
      </c>
      <c r="B2" s="2" t="s">
        <v>17</v>
      </c>
      <c r="C2" s="2"/>
      <c r="D2" s="2"/>
      <c r="E2" s="5"/>
      <c r="F2" s="2"/>
      <c r="G2" s="2"/>
      <c r="H2" s="3"/>
      <c r="I2" s="2"/>
      <c r="J2" s="2" t="s">
        <v>23</v>
      </c>
      <c r="K2" s="2">
        <f t="shared" ref="K2:Z2" si="0">COUNTIF($D$7:$D$301, K1)</f>
        <v>9</v>
      </c>
      <c r="L2" s="2">
        <f t="shared" si="0"/>
        <v>8</v>
      </c>
      <c r="M2" s="2">
        <f t="shared" si="0"/>
        <v>13</v>
      </c>
      <c r="N2" s="2">
        <f t="shared" si="0"/>
        <v>12</v>
      </c>
      <c r="O2" s="12">
        <f t="shared" si="0"/>
        <v>9</v>
      </c>
      <c r="P2" s="2">
        <f t="shared" si="0"/>
        <v>12</v>
      </c>
      <c r="Q2" s="2">
        <f t="shared" si="0"/>
        <v>12</v>
      </c>
      <c r="R2" s="2">
        <f t="shared" si="0"/>
        <v>10</v>
      </c>
      <c r="S2" s="2">
        <f t="shared" si="0"/>
        <v>6</v>
      </c>
      <c r="T2" s="12">
        <f t="shared" si="0"/>
        <v>1</v>
      </c>
      <c r="U2" s="2">
        <f t="shared" si="0"/>
        <v>1</v>
      </c>
      <c r="V2" s="2">
        <f t="shared" si="0"/>
        <v>0</v>
      </c>
      <c r="W2" s="2">
        <f t="shared" si="0"/>
        <v>0</v>
      </c>
      <c r="X2" s="2">
        <f t="shared" si="0"/>
        <v>1</v>
      </c>
      <c r="Y2" s="2">
        <f t="shared" si="0"/>
        <v>0</v>
      </c>
      <c r="Z2" s="2">
        <f t="shared" si="0"/>
        <v>0</v>
      </c>
      <c r="AA2" s="2"/>
      <c r="AB2" s="2"/>
      <c r="AC2" s="2"/>
      <c r="AE2" s="2"/>
    </row>
    <row r="3" spans="1:31" ht="14.25" customHeight="1" x14ac:dyDescent="0.25">
      <c r="B3" s="2" t="s">
        <v>56</v>
      </c>
      <c r="C3" s="2"/>
      <c r="D3" s="2"/>
      <c r="E3" s="5"/>
      <c r="F3" s="2"/>
      <c r="G3" s="2"/>
      <c r="H3" s="3"/>
      <c r="I3" s="2"/>
      <c r="J3" s="2" t="s">
        <v>46</v>
      </c>
      <c r="K3" s="2">
        <f>K2</f>
        <v>9</v>
      </c>
      <c r="L3" s="2">
        <f t="shared" ref="L3:Z3" si="1">K3+L2</f>
        <v>17</v>
      </c>
      <c r="M3" s="2">
        <f t="shared" si="1"/>
        <v>30</v>
      </c>
      <c r="N3" s="2">
        <f t="shared" si="1"/>
        <v>42</v>
      </c>
      <c r="O3" s="2">
        <f t="shared" si="1"/>
        <v>51</v>
      </c>
      <c r="P3" s="2">
        <f t="shared" si="1"/>
        <v>63</v>
      </c>
      <c r="Q3" s="2">
        <f t="shared" si="1"/>
        <v>75</v>
      </c>
      <c r="R3" s="2">
        <f t="shared" si="1"/>
        <v>85</v>
      </c>
      <c r="S3" s="2">
        <f t="shared" si="1"/>
        <v>91</v>
      </c>
      <c r="T3" s="2">
        <f t="shared" si="1"/>
        <v>92</v>
      </c>
      <c r="U3" s="2">
        <f t="shared" si="1"/>
        <v>93</v>
      </c>
      <c r="V3" s="2">
        <f t="shared" si="1"/>
        <v>93</v>
      </c>
      <c r="W3" s="2">
        <f t="shared" si="1"/>
        <v>93</v>
      </c>
      <c r="X3" s="2">
        <f t="shared" si="1"/>
        <v>94</v>
      </c>
      <c r="Y3" s="2">
        <f t="shared" si="1"/>
        <v>94</v>
      </c>
      <c r="Z3" s="2">
        <f t="shared" si="1"/>
        <v>94</v>
      </c>
      <c r="AA3" s="2"/>
      <c r="AB3" s="2"/>
      <c r="AC3" s="2"/>
      <c r="AE3" s="2"/>
    </row>
    <row r="4" spans="1:31" ht="14.25" customHeight="1" x14ac:dyDescent="0.25">
      <c r="B4" s="1" t="s">
        <v>59</v>
      </c>
      <c r="C4" s="2"/>
      <c r="D4" s="2"/>
      <c r="E4" s="5"/>
      <c r="G4" s="2"/>
      <c r="H4" s="3"/>
      <c r="I4" s="2"/>
      <c r="J4" s="2" t="s">
        <v>61</v>
      </c>
      <c r="K4" s="2">
        <v>7</v>
      </c>
      <c r="L4" s="2">
        <f>K4+10</f>
        <v>17</v>
      </c>
      <c r="M4" s="2">
        <f>L4+12</f>
        <v>29</v>
      </c>
      <c r="N4" s="2">
        <f>M4+10</f>
        <v>39</v>
      </c>
      <c r="O4" s="2">
        <f>N4+12</f>
        <v>51</v>
      </c>
      <c r="P4" s="2">
        <f>O4+10</f>
        <v>61</v>
      </c>
      <c r="Q4" s="2">
        <f>P4+12</f>
        <v>73</v>
      </c>
      <c r="R4" s="2">
        <f>Q4+10</f>
        <v>83</v>
      </c>
      <c r="S4" s="2">
        <f>R4+12</f>
        <v>95</v>
      </c>
      <c r="T4" s="2">
        <f>S4+10</f>
        <v>105</v>
      </c>
      <c r="U4" s="2">
        <f>T4+12</f>
        <v>117</v>
      </c>
      <c r="V4" s="2">
        <f>U4+10</f>
        <v>127</v>
      </c>
      <c r="W4" s="2">
        <f>V4+12</f>
        <v>139</v>
      </c>
      <c r="X4" s="2">
        <f>W4+10</f>
        <v>149</v>
      </c>
      <c r="Y4" s="2">
        <f>X4+12</f>
        <v>161</v>
      </c>
      <c r="Z4" s="2">
        <f>Y4+10</f>
        <v>171</v>
      </c>
      <c r="AA4" s="2"/>
      <c r="AB4" s="2"/>
      <c r="AC4" s="2"/>
      <c r="AE4" s="2"/>
    </row>
    <row r="5" spans="1:31" ht="14.25" customHeight="1" x14ac:dyDescent="0.25">
      <c r="C5" s="2"/>
      <c r="D5" s="2"/>
      <c r="E5" s="5"/>
      <c r="F5" s="2"/>
      <c r="G5" s="2"/>
      <c r="H5" s="3"/>
      <c r="I5" s="2"/>
      <c r="J5" s="2" t="s">
        <v>82</v>
      </c>
      <c r="K5" s="2">
        <f t="shared" ref="K5:Z5" si="2">K3-K4</f>
        <v>2</v>
      </c>
      <c r="L5" s="2">
        <f t="shared" si="2"/>
        <v>0</v>
      </c>
      <c r="M5" s="2">
        <f t="shared" si="2"/>
        <v>1</v>
      </c>
      <c r="N5" s="2">
        <f t="shared" si="2"/>
        <v>3</v>
      </c>
      <c r="O5" s="2">
        <f t="shared" si="2"/>
        <v>0</v>
      </c>
      <c r="P5" s="2">
        <f t="shared" si="2"/>
        <v>2</v>
      </c>
      <c r="Q5" s="2">
        <f t="shared" si="2"/>
        <v>2</v>
      </c>
      <c r="R5" s="2">
        <f t="shared" si="2"/>
        <v>2</v>
      </c>
      <c r="S5" s="2">
        <f t="shared" si="2"/>
        <v>-4</v>
      </c>
      <c r="T5" s="2">
        <f t="shared" si="2"/>
        <v>-13</v>
      </c>
      <c r="U5" s="2">
        <f t="shared" si="2"/>
        <v>-24</v>
      </c>
      <c r="V5" s="2">
        <f t="shared" si="2"/>
        <v>-34</v>
      </c>
      <c r="W5" s="2">
        <f t="shared" si="2"/>
        <v>-46</v>
      </c>
      <c r="X5" s="2">
        <f t="shared" si="2"/>
        <v>-55</v>
      </c>
      <c r="Y5" s="2">
        <f t="shared" si="2"/>
        <v>-67</v>
      </c>
      <c r="Z5" s="2">
        <f t="shared" si="2"/>
        <v>-77</v>
      </c>
      <c r="AA5" s="2"/>
      <c r="AB5" s="2"/>
      <c r="AC5" s="2"/>
      <c r="AE5" s="2"/>
    </row>
    <row r="6" spans="1:31" ht="14.25" customHeight="1" x14ac:dyDescent="0.25">
      <c r="A6" s="15" t="s">
        <v>95</v>
      </c>
      <c r="B6" s="16" t="s">
        <v>96</v>
      </c>
      <c r="C6" s="17" t="s">
        <v>99</v>
      </c>
      <c r="D6" s="17" t="s">
        <v>26</v>
      </c>
      <c r="E6" s="20" t="s">
        <v>100</v>
      </c>
      <c r="F6" s="17" t="s">
        <v>27</v>
      </c>
      <c r="G6" s="4" t="s">
        <v>5</v>
      </c>
      <c r="H6" s="4" t="s">
        <v>8</v>
      </c>
      <c r="I6" s="4" t="s">
        <v>7</v>
      </c>
      <c r="J6" s="4" t="s">
        <v>28</v>
      </c>
      <c r="K6" s="4" t="s">
        <v>29</v>
      </c>
      <c r="L6" s="18" t="s">
        <v>102</v>
      </c>
      <c r="M6" s="18" t="s">
        <v>18</v>
      </c>
      <c r="N6" s="15" t="s">
        <v>22</v>
      </c>
      <c r="O6" s="19" t="s">
        <v>106</v>
      </c>
      <c r="P6" s="15" t="s">
        <v>9</v>
      </c>
      <c r="Q6" s="15" t="s">
        <v>10</v>
      </c>
      <c r="R6" s="15" t="s">
        <v>12</v>
      </c>
      <c r="S6" s="15" t="s">
        <v>16</v>
      </c>
      <c r="T6" s="15" t="s">
        <v>15</v>
      </c>
      <c r="U6" s="16" t="s">
        <v>110</v>
      </c>
      <c r="V6" s="16" t="s">
        <v>111</v>
      </c>
      <c r="W6" s="16" t="s">
        <v>112</v>
      </c>
      <c r="X6" s="16" t="s">
        <v>113</v>
      </c>
      <c r="Y6" s="4" t="s">
        <v>30</v>
      </c>
    </row>
    <row r="7" spans="1:31" ht="14.25" customHeight="1" x14ac:dyDescent="0.25">
      <c r="A7" s="11"/>
      <c r="B7" s="11">
        <v>1</v>
      </c>
      <c r="C7" s="11" t="s">
        <v>148</v>
      </c>
      <c r="D7" s="11">
        <v>1</v>
      </c>
      <c r="E7" s="23">
        <v>1.01</v>
      </c>
      <c r="F7" s="25" t="s">
        <v>886</v>
      </c>
      <c r="G7" s="11" t="s">
        <v>43</v>
      </c>
      <c r="H7" s="11" t="s">
        <v>44</v>
      </c>
      <c r="I7" s="11" t="s">
        <v>764</v>
      </c>
      <c r="J7" s="21" t="s">
        <v>73</v>
      </c>
      <c r="K7" s="11">
        <v>1</v>
      </c>
      <c r="L7" s="11">
        <v>1</v>
      </c>
      <c r="M7" s="11">
        <v>1</v>
      </c>
      <c r="N7" s="11">
        <v>1</v>
      </c>
      <c r="O7" s="11">
        <v>0</v>
      </c>
      <c r="P7" s="11">
        <v>1</v>
      </c>
      <c r="Q7" s="11">
        <v>1</v>
      </c>
      <c r="R7" s="11">
        <v>1</v>
      </c>
      <c r="S7" s="11">
        <v>1</v>
      </c>
      <c r="T7" s="11">
        <v>1</v>
      </c>
      <c r="U7" s="11">
        <v>1</v>
      </c>
      <c r="V7" s="11">
        <v>1</v>
      </c>
      <c r="W7" s="11"/>
      <c r="X7" s="11">
        <v>0</v>
      </c>
      <c r="Y7" s="25" t="s">
        <v>886</v>
      </c>
    </row>
    <row r="8" spans="1:31" ht="14.25" customHeight="1" x14ac:dyDescent="0.25">
      <c r="A8" s="11"/>
      <c r="B8" s="11">
        <v>1</v>
      </c>
      <c r="C8" s="11" t="s">
        <v>148</v>
      </c>
      <c r="D8" s="11">
        <v>1</v>
      </c>
      <c r="E8" s="23">
        <v>1.02</v>
      </c>
      <c r="F8" s="25" t="s">
        <v>886</v>
      </c>
      <c r="G8" s="11" t="s">
        <v>38</v>
      </c>
      <c r="H8" s="11" t="s">
        <v>39</v>
      </c>
      <c r="I8" s="11" t="s">
        <v>762</v>
      </c>
      <c r="J8" s="70" t="s">
        <v>839</v>
      </c>
      <c r="K8" s="11">
        <v>1</v>
      </c>
      <c r="L8" s="11">
        <v>1</v>
      </c>
      <c r="M8" s="11">
        <v>2</v>
      </c>
      <c r="N8" s="11">
        <v>2</v>
      </c>
      <c r="O8" s="11">
        <v>0</v>
      </c>
      <c r="P8" s="11">
        <v>2</v>
      </c>
      <c r="Q8" s="11">
        <v>2</v>
      </c>
      <c r="R8" s="11">
        <v>2</v>
      </c>
      <c r="S8" s="11">
        <v>3</v>
      </c>
      <c r="T8" s="11">
        <v>2</v>
      </c>
      <c r="U8" s="11">
        <v>2</v>
      </c>
      <c r="V8" s="11">
        <v>1</v>
      </c>
      <c r="W8" s="11"/>
      <c r="X8" s="11">
        <v>0</v>
      </c>
      <c r="Y8" s="25" t="s">
        <v>886</v>
      </c>
    </row>
    <row r="9" spans="1:31" ht="14.25" customHeight="1" x14ac:dyDescent="0.25">
      <c r="A9" s="11"/>
      <c r="B9" s="11">
        <v>1</v>
      </c>
      <c r="C9" s="11" t="s">
        <v>148</v>
      </c>
      <c r="D9" s="11">
        <v>1</v>
      </c>
      <c r="E9" s="23">
        <v>1.03</v>
      </c>
      <c r="F9" s="25" t="s">
        <v>886</v>
      </c>
      <c r="G9" s="11" t="s">
        <v>77</v>
      </c>
      <c r="H9" s="11" t="s">
        <v>78</v>
      </c>
      <c r="I9" s="11" t="s">
        <v>762</v>
      </c>
      <c r="J9" s="70" t="s">
        <v>839</v>
      </c>
      <c r="K9" s="11">
        <v>2</v>
      </c>
      <c r="L9" s="11">
        <v>1</v>
      </c>
      <c r="M9" s="11">
        <v>3</v>
      </c>
      <c r="N9" s="11">
        <v>5</v>
      </c>
      <c r="O9" s="11">
        <v>-2</v>
      </c>
      <c r="P9" s="11">
        <v>3</v>
      </c>
      <c r="Q9" s="11">
        <v>3</v>
      </c>
      <c r="R9" s="11">
        <v>5</v>
      </c>
      <c r="S9" s="11">
        <v>2</v>
      </c>
      <c r="T9" s="11">
        <v>4</v>
      </c>
      <c r="U9" s="11">
        <v>3</v>
      </c>
      <c r="V9" s="11">
        <v>1</v>
      </c>
      <c r="W9" s="11"/>
      <c r="X9" s="11">
        <v>0</v>
      </c>
      <c r="Y9" s="25" t="s">
        <v>886</v>
      </c>
    </row>
    <row r="10" spans="1:31" ht="14.25" customHeight="1" x14ac:dyDescent="0.25">
      <c r="A10" s="11"/>
      <c r="B10" s="11">
        <v>1</v>
      </c>
      <c r="C10" s="11" t="s">
        <v>148</v>
      </c>
      <c r="D10" s="11">
        <v>1</v>
      </c>
      <c r="E10" s="23">
        <v>1.04</v>
      </c>
      <c r="F10" s="25" t="s">
        <v>886</v>
      </c>
      <c r="G10" s="11" t="s">
        <v>34</v>
      </c>
      <c r="H10" s="11" t="s">
        <v>35</v>
      </c>
      <c r="I10" s="11" t="s">
        <v>762</v>
      </c>
      <c r="J10" s="70" t="s">
        <v>839</v>
      </c>
      <c r="K10" s="11">
        <v>3</v>
      </c>
      <c r="L10" s="11">
        <v>1</v>
      </c>
      <c r="M10" s="11">
        <v>4</v>
      </c>
      <c r="N10" s="11">
        <v>4</v>
      </c>
      <c r="O10" s="11">
        <v>0</v>
      </c>
      <c r="P10" s="11">
        <v>4</v>
      </c>
      <c r="Q10" s="11">
        <v>5</v>
      </c>
      <c r="R10" s="11">
        <v>3</v>
      </c>
      <c r="S10" s="11">
        <v>4</v>
      </c>
      <c r="T10" s="11">
        <v>6</v>
      </c>
      <c r="U10" s="11">
        <v>4</v>
      </c>
      <c r="V10" s="11">
        <v>1</v>
      </c>
      <c r="W10" s="11"/>
      <c r="X10" s="11">
        <v>0</v>
      </c>
      <c r="Y10" s="25" t="s">
        <v>886</v>
      </c>
    </row>
    <row r="11" spans="1:31" ht="14.25" customHeight="1" x14ac:dyDescent="0.25">
      <c r="A11" s="11"/>
      <c r="B11" s="11">
        <v>1</v>
      </c>
      <c r="C11" s="11" t="s">
        <v>148</v>
      </c>
      <c r="D11" s="11">
        <v>1</v>
      </c>
      <c r="E11" s="23">
        <v>1.05</v>
      </c>
      <c r="F11" s="25" t="s">
        <v>886</v>
      </c>
      <c r="G11" s="11" t="s">
        <v>71</v>
      </c>
      <c r="H11" s="11" t="s">
        <v>72</v>
      </c>
      <c r="I11" s="11" t="s">
        <v>764</v>
      </c>
      <c r="J11" s="21" t="s">
        <v>73</v>
      </c>
      <c r="K11" s="11">
        <v>2</v>
      </c>
      <c r="L11" s="11">
        <v>1</v>
      </c>
      <c r="M11" s="11">
        <v>6</v>
      </c>
      <c r="N11" s="11">
        <v>6</v>
      </c>
      <c r="O11" s="11">
        <v>0</v>
      </c>
      <c r="P11" s="11">
        <v>6</v>
      </c>
      <c r="Q11" s="11">
        <v>4</v>
      </c>
      <c r="R11" s="11">
        <v>6</v>
      </c>
      <c r="S11" s="11">
        <v>5</v>
      </c>
      <c r="T11" s="11">
        <v>5</v>
      </c>
      <c r="U11" s="11">
        <v>5</v>
      </c>
      <c r="V11" s="11">
        <v>1</v>
      </c>
      <c r="W11" s="11"/>
      <c r="X11" s="11">
        <v>1</v>
      </c>
      <c r="Y11" s="25" t="s">
        <v>886</v>
      </c>
    </row>
    <row r="12" spans="1:31" ht="14.25" customHeight="1" x14ac:dyDescent="0.25">
      <c r="A12" s="11"/>
      <c r="B12" s="11">
        <v>1</v>
      </c>
      <c r="C12" s="11" t="s">
        <v>148</v>
      </c>
      <c r="D12" s="11">
        <v>1</v>
      </c>
      <c r="E12" s="23">
        <v>1.06</v>
      </c>
      <c r="F12" s="25" t="s">
        <v>886</v>
      </c>
      <c r="G12" s="11" t="s">
        <v>68</v>
      </c>
      <c r="H12" s="11" t="s">
        <v>69</v>
      </c>
      <c r="I12" s="11" t="s">
        <v>764</v>
      </c>
      <c r="J12" s="21" t="s">
        <v>73</v>
      </c>
      <c r="K12" s="11">
        <v>3</v>
      </c>
      <c r="L12" s="11">
        <v>1</v>
      </c>
      <c r="M12" s="11">
        <v>5</v>
      </c>
      <c r="N12" s="11">
        <v>3</v>
      </c>
      <c r="O12" s="11">
        <v>2</v>
      </c>
      <c r="P12" s="11">
        <v>5</v>
      </c>
      <c r="Q12" s="11">
        <v>6</v>
      </c>
      <c r="R12" s="11">
        <v>4</v>
      </c>
      <c r="S12" s="11">
        <v>6</v>
      </c>
      <c r="T12" s="11">
        <v>3</v>
      </c>
      <c r="U12" s="11">
        <v>4</v>
      </c>
      <c r="V12" s="11">
        <v>1</v>
      </c>
      <c r="W12" s="11"/>
      <c r="X12" s="11">
        <v>1</v>
      </c>
      <c r="Y12" s="25" t="s">
        <v>886</v>
      </c>
    </row>
    <row r="13" spans="1:31" ht="14.25" customHeight="1" x14ac:dyDescent="0.25">
      <c r="A13" s="11"/>
      <c r="B13" s="11">
        <v>2</v>
      </c>
      <c r="C13" s="11" t="s">
        <v>148</v>
      </c>
      <c r="D13" s="11"/>
      <c r="E13" s="23"/>
      <c r="F13" s="25" t="s">
        <v>886</v>
      </c>
      <c r="G13" s="11" t="s">
        <v>115</v>
      </c>
      <c r="H13" s="11" t="s">
        <v>116</v>
      </c>
      <c r="I13" s="11" t="s">
        <v>764</v>
      </c>
      <c r="J13" s="21" t="s">
        <v>843</v>
      </c>
      <c r="K13" s="11">
        <v>4</v>
      </c>
      <c r="L13" s="11">
        <v>1</v>
      </c>
      <c r="M13" s="11">
        <v>7</v>
      </c>
      <c r="N13" s="11">
        <v>8</v>
      </c>
      <c r="O13" s="11">
        <v>-1</v>
      </c>
      <c r="P13" s="11">
        <v>13</v>
      </c>
      <c r="Q13" s="11">
        <v>13</v>
      </c>
      <c r="R13" s="11">
        <v>12</v>
      </c>
      <c r="S13" s="11">
        <v>13</v>
      </c>
      <c r="T13" s="11">
        <v>16</v>
      </c>
      <c r="U13" s="11">
        <v>11</v>
      </c>
      <c r="V13" s="11">
        <v>1</v>
      </c>
      <c r="W13" s="11"/>
      <c r="X13" s="11">
        <v>-4</v>
      </c>
      <c r="Y13" s="25" t="s">
        <v>1047</v>
      </c>
    </row>
    <row r="14" spans="1:31" ht="14.25" customHeight="1" x14ac:dyDescent="0.25">
      <c r="A14" s="11"/>
      <c r="B14" s="11">
        <v>1</v>
      </c>
      <c r="C14" s="11" t="s">
        <v>148</v>
      </c>
      <c r="D14" s="11">
        <v>1</v>
      </c>
      <c r="E14" s="23">
        <v>1.08</v>
      </c>
      <c r="F14" s="25" t="s">
        <v>886</v>
      </c>
      <c r="G14" s="11" t="s">
        <v>54</v>
      </c>
      <c r="H14" s="11" t="s">
        <v>55</v>
      </c>
      <c r="I14" s="11" t="s">
        <v>762</v>
      </c>
      <c r="J14" s="71" t="s">
        <v>839</v>
      </c>
      <c r="K14" s="11">
        <v>4</v>
      </c>
      <c r="L14" s="11">
        <v>1</v>
      </c>
      <c r="M14" s="11">
        <v>9</v>
      </c>
      <c r="N14" s="11">
        <v>7</v>
      </c>
      <c r="O14" s="11">
        <v>2</v>
      </c>
      <c r="P14" s="11">
        <v>8</v>
      </c>
      <c r="Q14" s="11">
        <v>7</v>
      </c>
      <c r="R14" s="11">
        <v>8</v>
      </c>
      <c r="S14" s="11">
        <v>10</v>
      </c>
      <c r="T14" s="11">
        <v>11</v>
      </c>
      <c r="U14" s="11">
        <v>8</v>
      </c>
      <c r="V14" s="11">
        <v>1</v>
      </c>
      <c r="W14" s="11"/>
      <c r="X14" s="11">
        <v>1</v>
      </c>
      <c r="Y14" s="25" t="s">
        <v>886</v>
      </c>
    </row>
    <row r="15" spans="1:31" ht="14.25" customHeight="1" x14ac:dyDescent="0.25">
      <c r="A15" s="11"/>
      <c r="B15" s="11">
        <v>1</v>
      </c>
      <c r="C15" s="11" t="s">
        <v>148</v>
      </c>
      <c r="D15" s="11">
        <v>1</v>
      </c>
      <c r="E15" s="23">
        <v>1.0900000000000001</v>
      </c>
      <c r="F15" s="25" t="s">
        <v>886</v>
      </c>
      <c r="G15" s="11" t="s">
        <v>63</v>
      </c>
      <c r="H15" s="11" t="s">
        <v>35</v>
      </c>
      <c r="I15" s="11" t="s">
        <v>764</v>
      </c>
      <c r="J15" s="72" t="s">
        <v>843</v>
      </c>
      <c r="K15" s="11">
        <v>6</v>
      </c>
      <c r="L15" s="11">
        <v>1</v>
      </c>
      <c r="M15" s="11">
        <v>8</v>
      </c>
      <c r="N15" s="11">
        <v>10</v>
      </c>
      <c r="O15" s="11">
        <v>-2</v>
      </c>
      <c r="P15" s="11">
        <v>12</v>
      </c>
      <c r="Q15" s="11">
        <v>8</v>
      </c>
      <c r="R15" s="11">
        <v>11</v>
      </c>
      <c r="S15" s="11">
        <v>8</v>
      </c>
      <c r="T15" s="11">
        <v>8</v>
      </c>
      <c r="U15" s="11">
        <v>9</v>
      </c>
      <c r="V15" s="11">
        <v>1</v>
      </c>
      <c r="W15" s="11"/>
      <c r="X15" s="11">
        <v>-1</v>
      </c>
      <c r="Y15" s="25" t="s">
        <v>886</v>
      </c>
    </row>
    <row r="16" spans="1:31" ht="14.25" customHeight="1" x14ac:dyDescent="0.25">
      <c r="A16" s="11"/>
      <c r="B16" s="11">
        <v>1</v>
      </c>
      <c r="C16" s="11" t="s">
        <v>148</v>
      </c>
      <c r="D16" s="11">
        <v>1</v>
      </c>
      <c r="E16" s="23">
        <v>1.07</v>
      </c>
      <c r="F16" s="25" t="s">
        <v>886</v>
      </c>
      <c r="G16" s="11" t="s">
        <v>125</v>
      </c>
      <c r="H16" s="11" t="s">
        <v>126</v>
      </c>
      <c r="I16" s="11" t="s">
        <v>764</v>
      </c>
      <c r="J16" s="72" t="s">
        <v>843</v>
      </c>
      <c r="K16" s="11">
        <v>5</v>
      </c>
      <c r="L16" s="11">
        <v>1</v>
      </c>
      <c r="M16" s="11">
        <v>10</v>
      </c>
      <c r="N16" s="11">
        <v>9</v>
      </c>
      <c r="O16" s="11">
        <v>1</v>
      </c>
      <c r="P16" s="11">
        <v>11</v>
      </c>
      <c r="Q16" s="11">
        <v>10</v>
      </c>
      <c r="R16" s="11">
        <v>10</v>
      </c>
      <c r="S16" s="11">
        <v>12</v>
      </c>
      <c r="T16" s="11">
        <v>9</v>
      </c>
      <c r="U16" s="11">
        <v>10</v>
      </c>
      <c r="V16" s="11">
        <v>1</v>
      </c>
      <c r="W16" s="11"/>
      <c r="X16" s="11">
        <v>0</v>
      </c>
      <c r="Y16" s="25" t="s">
        <v>1048</v>
      </c>
    </row>
    <row r="17" spans="1:25" ht="14.25" customHeight="1" x14ac:dyDescent="0.25">
      <c r="A17" s="11"/>
      <c r="B17" s="11">
        <v>1</v>
      </c>
      <c r="C17" s="11" t="s">
        <v>148</v>
      </c>
      <c r="D17" s="11">
        <v>2</v>
      </c>
      <c r="E17" s="23">
        <v>1.1000000000000001</v>
      </c>
      <c r="F17" s="25" t="s">
        <v>886</v>
      </c>
      <c r="G17" s="11" t="s">
        <v>90</v>
      </c>
      <c r="H17" s="11" t="s">
        <v>91</v>
      </c>
      <c r="I17" s="11" t="s">
        <v>762</v>
      </c>
      <c r="J17" s="73" t="s">
        <v>844</v>
      </c>
      <c r="K17" s="11">
        <v>8</v>
      </c>
      <c r="L17" s="11">
        <v>1</v>
      </c>
      <c r="M17" s="11">
        <v>11</v>
      </c>
      <c r="N17" s="11">
        <v>14</v>
      </c>
      <c r="O17" s="11">
        <v>-3</v>
      </c>
      <c r="P17" s="11">
        <v>7</v>
      </c>
      <c r="Q17" s="11">
        <v>12</v>
      </c>
      <c r="R17" s="11">
        <v>14</v>
      </c>
      <c r="S17" s="11">
        <v>7</v>
      </c>
      <c r="T17" s="11">
        <v>10</v>
      </c>
      <c r="U17" s="11">
        <v>10</v>
      </c>
      <c r="V17" s="11">
        <v>1</v>
      </c>
      <c r="W17" s="11"/>
      <c r="X17" s="11">
        <v>1</v>
      </c>
      <c r="Y17" s="25" t="s">
        <v>886</v>
      </c>
    </row>
    <row r="18" spans="1:25" ht="14.25" customHeight="1" x14ac:dyDescent="0.25">
      <c r="A18" s="11"/>
      <c r="B18" s="11">
        <v>2</v>
      </c>
      <c r="C18" s="11" t="s">
        <v>148</v>
      </c>
      <c r="D18" s="11"/>
      <c r="E18" s="23"/>
      <c r="F18" s="25" t="s">
        <v>886</v>
      </c>
      <c r="G18" s="11" t="s">
        <v>239</v>
      </c>
      <c r="H18" s="11" t="s">
        <v>199</v>
      </c>
      <c r="I18" s="11" t="s">
        <v>764</v>
      </c>
      <c r="J18" s="21" t="s">
        <v>843</v>
      </c>
      <c r="K18" s="11">
        <v>8</v>
      </c>
      <c r="L18" s="11">
        <v>2</v>
      </c>
      <c r="M18" s="11">
        <v>13</v>
      </c>
      <c r="N18" s="11">
        <v>12</v>
      </c>
      <c r="O18" s="11">
        <v>1</v>
      </c>
      <c r="P18" s="11">
        <v>20</v>
      </c>
      <c r="Q18" s="11">
        <v>16</v>
      </c>
      <c r="R18" s="11">
        <v>16</v>
      </c>
      <c r="S18" s="11">
        <v>16</v>
      </c>
      <c r="T18" s="11">
        <v>13</v>
      </c>
      <c r="U18" s="11">
        <v>15</v>
      </c>
      <c r="V18" s="11">
        <v>2</v>
      </c>
      <c r="W18" s="11"/>
      <c r="X18" s="11">
        <v>-2</v>
      </c>
      <c r="Y18" s="25" t="s">
        <v>1048</v>
      </c>
    </row>
    <row r="19" spans="1:25" ht="14.25" customHeight="1" x14ac:dyDescent="0.25">
      <c r="A19" s="11"/>
      <c r="B19" s="11">
        <v>2</v>
      </c>
      <c r="C19" s="11" t="s">
        <v>148</v>
      </c>
      <c r="D19" s="11"/>
      <c r="E19" s="23"/>
      <c r="F19" s="25" t="s">
        <v>886</v>
      </c>
      <c r="G19" s="11" t="s">
        <v>109</v>
      </c>
      <c r="H19" s="11" t="s">
        <v>39</v>
      </c>
      <c r="I19" s="11" t="s">
        <v>764</v>
      </c>
      <c r="J19" s="21" t="s">
        <v>843</v>
      </c>
      <c r="K19" s="11">
        <v>7</v>
      </c>
      <c r="L19" s="11">
        <v>2</v>
      </c>
      <c r="M19" s="11">
        <v>12</v>
      </c>
      <c r="N19" s="11">
        <v>15</v>
      </c>
      <c r="O19" s="11">
        <v>-3</v>
      </c>
      <c r="P19" s="11">
        <v>23</v>
      </c>
      <c r="Q19" s="11">
        <v>21</v>
      </c>
      <c r="R19" s="11">
        <v>19</v>
      </c>
      <c r="S19" s="11">
        <v>17</v>
      </c>
      <c r="T19" s="11">
        <v>20</v>
      </c>
      <c r="U19" s="11">
        <v>18</v>
      </c>
      <c r="V19" s="11">
        <v>2</v>
      </c>
      <c r="W19" s="11"/>
      <c r="X19" s="11">
        <v>-6</v>
      </c>
      <c r="Y19" s="25" t="s">
        <v>886</v>
      </c>
    </row>
    <row r="20" spans="1:25" ht="14.25" customHeight="1" x14ac:dyDescent="0.25">
      <c r="A20" s="11"/>
      <c r="B20" s="11">
        <v>1</v>
      </c>
      <c r="C20" s="11" t="s">
        <v>148</v>
      </c>
      <c r="D20" s="11">
        <v>2</v>
      </c>
      <c r="E20" s="23">
        <v>1.1100000000000001</v>
      </c>
      <c r="F20" s="25" t="s">
        <v>886</v>
      </c>
      <c r="G20" s="11" t="s">
        <v>93</v>
      </c>
      <c r="H20" s="11" t="s">
        <v>94</v>
      </c>
      <c r="I20" s="11" t="s">
        <v>762</v>
      </c>
      <c r="J20" s="71" t="s">
        <v>839</v>
      </c>
      <c r="K20" s="11">
        <v>5</v>
      </c>
      <c r="L20" s="11">
        <v>2</v>
      </c>
      <c r="M20" s="11">
        <v>14</v>
      </c>
      <c r="N20" s="11">
        <v>13</v>
      </c>
      <c r="O20" s="11">
        <v>1</v>
      </c>
      <c r="P20" s="11">
        <v>9</v>
      </c>
      <c r="Q20" s="11">
        <v>11</v>
      </c>
      <c r="R20" s="11">
        <v>9</v>
      </c>
      <c r="S20" s="11">
        <v>9</v>
      </c>
      <c r="T20" s="11">
        <v>12</v>
      </c>
      <c r="U20" s="11">
        <v>11</v>
      </c>
      <c r="V20" s="11">
        <v>1</v>
      </c>
      <c r="W20" s="11">
        <v>1</v>
      </c>
      <c r="X20" s="11">
        <v>3</v>
      </c>
      <c r="Y20" s="25" t="s">
        <v>1057</v>
      </c>
    </row>
    <row r="21" spans="1:25" ht="14.25" customHeight="1" x14ac:dyDescent="0.25">
      <c r="A21" s="11"/>
      <c r="B21" s="11">
        <v>2</v>
      </c>
      <c r="C21" s="11" t="s">
        <v>148</v>
      </c>
      <c r="D21" s="11">
        <v>2</v>
      </c>
      <c r="E21" s="23">
        <v>2.12</v>
      </c>
      <c r="F21" s="25" t="s">
        <v>886</v>
      </c>
      <c r="G21" s="11" t="s">
        <v>218</v>
      </c>
      <c r="H21" s="11" t="s">
        <v>214</v>
      </c>
      <c r="I21" s="11" t="s">
        <v>762</v>
      </c>
      <c r="J21" s="73" t="s">
        <v>844</v>
      </c>
      <c r="K21" s="11">
        <v>7</v>
      </c>
      <c r="L21" s="11">
        <v>2</v>
      </c>
      <c r="M21" s="11">
        <v>15</v>
      </c>
      <c r="N21" s="11">
        <v>23</v>
      </c>
      <c r="O21" s="11">
        <v>-8</v>
      </c>
      <c r="P21" s="11">
        <v>10</v>
      </c>
      <c r="Q21" s="11">
        <v>17</v>
      </c>
      <c r="R21" s="11">
        <v>22</v>
      </c>
      <c r="S21" s="11">
        <v>15</v>
      </c>
      <c r="T21" s="11">
        <v>19</v>
      </c>
      <c r="U21" s="11">
        <v>17</v>
      </c>
      <c r="V21" s="11">
        <v>2</v>
      </c>
      <c r="W21" s="11"/>
      <c r="X21" s="11">
        <v>-2</v>
      </c>
      <c r="Y21" s="25" t="s">
        <v>886</v>
      </c>
    </row>
    <row r="22" spans="1:25" ht="14.25" customHeight="1" x14ac:dyDescent="0.25">
      <c r="A22" s="11"/>
      <c r="B22" s="11">
        <v>1</v>
      </c>
      <c r="C22" s="11" t="s">
        <v>148</v>
      </c>
      <c r="D22" s="11">
        <v>2</v>
      </c>
      <c r="E22" s="23">
        <v>1.1200000000000001</v>
      </c>
      <c r="F22" s="25" t="s">
        <v>886</v>
      </c>
      <c r="G22" s="11" t="s">
        <v>48</v>
      </c>
      <c r="H22" s="11" t="s">
        <v>49</v>
      </c>
      <c r="I22" s="11" t="s">
        <v>764</v>
      </c>
      <c r="J22" s="72" t="s">
        <v>843</v>
      </c>
      <c r="K22" s="11">
        <v>9</v>
      </c>
      <c r="L22" s="11">
        <v>2</v>
      </c>
      <c r="M22" s="11">
        <v>16</v>
      </c>
      <c r="N22" s="11">
        <v>11</v>
      </c>
      <c r="O22" s="11">
        <v>5</v>
      </c>
      <c r="P22" s="11">
        <v>14</v>
      </c>
      <c r="Q22" s="11">
        <v>9</v>
      </c>
      <c r="R22" s="11">
        <v>15</v>
      </c>
      <c r="S22" s="11">
        <v>11</v>
      </c>
      <c r="T22" s="11">
        <v>7</v>
      </c>
      <c r="U22" s="11">
        <v>11</v>
      </c>
      <c r="V22" s="11">
        <v>1</v>
      </c>
      <c r="W22" s="11"/>
      <c r="X22" s="11">
        <v>5</v>
      </c>
      <c r="Y22" s="25" t="s">
        <v>886</v>
      </c>
    </row>
    <row r="23" spans="1:25" ht="14.25" customHeight="1" x14ac:dyDescent="0.25">
      <c r="A23" s="11"/>
      <c r="B23" s="11">
        <v>2</v>
      </c>
      <c r="C23" s="11" t="s">
        <v>148</v>
      </c>
      <c r="D23" s="11"/>
      <c r="E23" s="23"/>
      <c r="F23" s="25" t="s">
        <v>886</v>
      </c>
      <c r="G23" s="11" t="s">
        <v>80</v>
      </c>
      <c r="H23" s="11" t="s">
        <v>81</v>
      </c>
      <c r="I23" s="11" t="s">
        <v>762</v>
      </c>
      <c r="J23" s="11" t="s">
        <v>844</v>
      </c>
      <c r="K23" s="11">
        <v>6</v>
      </c>
      <c r="L23" s="11">
        <v>2</v>
      </c>
      <c r="M23" s="11">
        <v>20</v>
      </c>
      <c r="N23" s="11">
        <v>16</v>
      </c>
      <c r="O23" s="11">
        <v>4</v>
      </c>
      <c r="P23" s="11">
        <v>16</v>
      </c>
      <c r="Q23" s="11">
        <v>14</v>
      </c>
      <c r="R23" s="11">
        <v>18</v>
      </c>
      <c r="S23" s="11">
        <v>14</v>
      </c>
      <c r="T23" s="11">
        <v>14</v>
      </c>
      <c r="U23" s="11">
        <v>16</v>
      </c>
      <c r="V23" s="11">
        <v>2</v>
      </c>
      <c r="W23" s="11"/>
      <c r="X23" s="11">
        <v>4</v>
      </c>
      <c r="Y23" s="25" t="s">
        <v>886</v>
      </c>
    </row>
    <row r="24" spans="1:25" ht="14.25" customHeight="1" x14ac:dyDescent="0.25">
      <c r="A24" s="11"/>
      <c r="B24" s="11">
        <v>2</v>
      </c>
      <c r="C24" s="11" t="s">
        <v>148</v>
      </c>
      <c r="D24" s="11">
        <v>3</v>
      </c>
      <c r="E24" s="23">
        <v>2.11</v>
      </c>
      <c r="F24" s="25" t="s">
        <v>119</v>
      </c>
      <c r="G24" s="11" t="s">
        <v>58</v>
      </c>
      <c r="H24" s="11" t="s">
        <v>60</v>
      </c>
      <c r="I24" s="11" t="s">
        <v>762</v>
      </c>
      <c r="J24" s="73" t="s">
        <v>844</v>
      </c>
      <c r="K24" s="11">
        <v>12</v>
      </c>
      <c r="L24" s="11">
        <v>2</v>
      </c>
      <c r="M24" s="11">
        <v>19</v>
      </c>
      <c r="N24" s="11">
        <v>22</v>
      </c>
      <c r="O24" s="11">
        <v>-3</v>
      </c>
      <c r="P24" s="11">
        <v>21</v>
      </c>
      <c r="Q24" s="11">
        <v>15</v>
      </c>
      <c r="R24" s="11">
        <v>21</v>
      </c>
      <c r="S24" s="11">
        <v>20</v>
      </c>
      <c r="T24" s="11">
        <v>22</v>
      </c>
      <c r="U24" s="11">
        <v>20</v>
      </c>
      <c r="V24" s="11">
        <v>2</v>
      </c>
      <c r="W24" s="11"/>
      <c r="X24" s="11">
        <v>-1</v>
      </c>
      <c r="Y24" s="25" t="s">
        <v>886</v>
      </c>
    </row>
    <row r="25" spans="1:25" ht="14.25" customHeight="1" x14ac:dyDescent="0.25">
      <c r="A25" s="11" t="s">
        <v>148</v>
      </c>
      <c r="B25" s="11">
        <v>2</v>
      </c>
      <c r="C25" s="11" t="s">
        <v>148</v>
      </c>
      <c r="D25" s="11"/>
      <c r="E25" s="23"/>
      <c r="F25" s="25" t="s">
        <v>886</v>
      </c>
      <c r="G25" s="11" t="s">
        <v>189</v>
      </c>
      <c r="H25" s="11" t="s">
        <v>163</v>
      </c>
      <c r="I25" s="11" t="s">
        <v>762</v>
      </c>
      <c r="J25" s="11" t="s">
        <v>844</v>
      </c>
      <c r="K25" s="11">
        <v>9</v>
      </c>
      <c r="L25" s="11">
        <v>2</v>
      </c>
      <c r="M25" s="11">
        <v>17</v>
      </c>
      <c r="N25" s="11">
        <v>20</v>
      </c>
      <c r="O25" s="11">
        <v>-3</v>
      </c>
      <c r="P25" s="11">
        <v>22</v>
      </c>
      <c r="Q25" s="11">
        <v>22</v>
      </c>
      <c r="R25" s="11">
        <v>20</v>
      </c>
      <c r="S25" s="11">
        <v>22</v>
      </c>
      <c r="T25" s="11">
        <v>24</v>
      </c>
      <c r="U25" s="11">
        <v>21</v>
      </c>
      <c r="V25" s="11">
        <v>2</v>
      </c>
      <c r="W25" s="11"/>
      <c r="X25" s="11">
        <v>-4</v>
      </c>
      <c r="Y25" s="25" t="s">
        <v>1044</v>
      </c>
    </row>
    <row r="26" spans="1:25" ht="14.25" customHeight="1" x14ac:dyDescent="0.25">
      <c r="A26" s="11"/>
      <c r="B26" s="11">
        <v>2</v>
      </c>
      <c r="C26" s="11" t="s">
        <v>148</v>
      </c>
      <c r="D26" s="11"/>
      <c r="E26" s="23"/>
      <c r="F26" s="25" t="s">
        <v>148</v>
      </c>
      <c r="G26" s="11" t="s">
        <v>75</v>
      </c>
      <c r="H26" s="11" t="s">
        <v>44</v>
      </c>
      <c r="I26" s="11" t="s">
        <v>762</v>
      </c>
      <c r="J26" s="11" t="s">
        <v>844</v>
      </c>
      <c r="K26" s="11">
        <v>10</v>
      </c>
      <c r="L26" s="11">
        <v>2</v>
      </c>
      <c r="M26" s="11">
        <v>21</v>
      </c>
      <c r="N26" s="11">
        <v>19</v>
      </c>
      <c r="O26" s="11">
        <v>2</v>
      </c>
      <c r="P26" s="11">
        <v>19</v>
      </c>
      <c r="Q26" s="11">
        <v>24</v>
      </c>
      <c r="R26" s="11">
        <v>17</v>
      </c>
      <c r="S26" s="11">
        <v>28</v>
      </c>
      <c r="T26" s="11">
        <v>26</v>
      </c>
      <c r="U26" s="11">
        <v>22</v>
      </c>
      <c r="V26" s="11">
        <v>2</v>
      </c>
      <c r="W26" s="11">
        <v>-2</v>
      </c>
      <c r="X26" s="11">
        <v>-1</v>
      </c>
      <c r="Y26" s="25" t="s">
        <v>1060</v>
      </c>
    </row>
    <row r="27" spans="1:25" ht="14.25" customHeight="1" x14ac:dyDescent="0.25">
      <c r="A27" s="11"/>
      <c r="B27" s="11">
        <v>2</v>
      </c>
      <c r="C27" s="11" t="s">
        <v>148</v>
      </c>
      <c r="D27" s="11">
        <v>2</v>
      </c>
      <c r="E27" s="23">
        <v>2.1</v>
      </c>
      <c r="F27" s="25" t="s">
        <v>886</v>
      </c>
      <c r="G27" s="11" t="s">
        <v>103</v>
      </c>
      <c r="H27" s="11" t="s">
        <v>78</v>
      </c>
      <c r="I27" s="11" t="s">
        <v>764</v>
      </c>
      <c r="J27" s="39" t="s">
        <v>842</v>
      </c>
      <c r="K27" s="11">
        <v>11</v>
      </c>
      <c r="L27" s="11">
        <v>2</v>
      </c>
      <c r="M27" s="11">
        <v>18</v>
      </c>
      <c r="N27" s="11">
        <v>17</v>
      </c>
      <c r="O27" s="11">
        <v>1</v>
      </c>
      <c r="P27" s="11">
        <v>27</v>
      </c>
      <c r="Q27" s="11">
        <v>18</v>
      </c>
      <c r="R27" s="11">
        <v>23</v>
      </c>
      <c r="S27" s="11">
        <v>18</v>
      </c>
      <c r="T27" s="11">
        <v>15</v>
      </c>
      <c r="U27" s="11">
        <v>19</v>
      </c>
      <c r="V27" s="11">
        <v>2</v>
      </c>
      <c r="W27" s="11"/>
      <c r="X27" s="11">
        <v>-1</v>
      </c>
      <c r="Y27" s="25" t="s">
        <v>886</v>
      </c>
    </row>
    <row r="28" spans="1:25" ht="14.25" customHeight="1" x14ac:dyDescent="0.25">
      <c r="A28" s="11"/>
      <c r="B28" s="11">
        <v>3</v>
      </c>
      <c r="C28" s="11" t="s">
        <v>148</v>
      </c>
      <c r="D28" s="11"/>
      <c r="E28" s="23"/>
      <c r="F28" s="25" t="s">
        <v>886</v>
      </c>
      <c r="G28" s="11" t="s">
        <v>165</v>
      </c>
      <c r="H28" s="11" t="s">
        <v>88</v>
      </c>
      <c r="I28" s="11" t="s">
        <v>764</v>
      </c>
      <c r="J28" s="39" t="s">
        <v>842</v>
      </c>
      <c r="K28" s="11">
        <v>10</v>
      </c>
      <c r="L28" s="11">
        <v>2</v>
      </c>
      <c r="M28" s="11">
        <v>22</v>
      </c>
      <c r="N28" s="11">
        <v>21</v>
      </c>
      <c r="O28" s="11">
        <v>1</v>
      </c>
      <c r="P28" s="11">
        <v>29</v>
      </c>
      <c r="Q28" s="11">
        <v>30</v>
      </c>
      <c r="R28" s="11">
        <v>25</v>
      </c>
      <c r="S28" s="11">
        <v>24</v>
      </c>
      <c r="T28" s="11">
        <v>23</v>
      </c>
      <c r="U28" s="11">
        <v>24</v>
      </c>
      <c r="V28" s="11">
        <v>3</v>
      </c>
      <c r="W28" s="11"/>
      <c r="X28" s="11">
        <v>-2</v>
      </c>
      <c r="Y28" s="25" t="s">
        <v>1053</v>
      </c>
    </row>
    <row r="29" spans="1:25" ht="14.25" customHeight="1" x14ac:dyDescent="0.25">
      <c r="A29" s="11"/>
      <c r="B29" s="11">
        <v>2</v>
      </c>
      <c r="C29" s="11" t="s">
        <v>148</v>
      </c>
      <c r="D29" s="11"/>
      <c r="E29" s="23"/>
      <c r="F29" s="25" t="s">
        <v>886</v>
      </c>
      <c r="G29" s="11" t="s">
        <v>98</v>
      </c>
      <c r="H29" s="11" t="s">
        <v>94</v>
      </c>
      <c r="I29" s="11" t="s">
        <v>769</v>
      </c>
      <c r="J29" s="11" t="s">
        <v>209</v>
      </c>
      <c r="K29" s="11">
        <v>1</v>
      </c>
      <c r="L29" s="11">
        <v>2</v>
      </c>
      <c r="M29" s="11">
        <v>23</v>
      </c>
      <c r="N29" s="11">
        <v>18</v>
      </c>
      <c r="O29" s="11">
        <v>5</v>
      </c>
      <c r="P29" s="11">
        <v>24</v>
      </c>
      <c r="Q29" s="11">
        <v>20</v>
      </c>
      <c r="R29" s="11">
        <v>7</v>
      </c>
      <c r="S29" s="11">
        <v>19</v>
      </c>
      <c r="T29" s="11">
        <v>17</v>
      </c>
      <c r="U29" s="11">
        <v>18</v>
      </c>
      <c r="V29" s="11">
        <v>2</v>
      </c>
      <c r="W29" s="11">
        <v>-2</v>
      </c>
      <c r="X29" s="11">
        <v>5</v>
      </c>
      <c r="Y29" s="25" t="s">
        <v>886</v>
      </c>
    </row>
    <row r="30" spans="1:25" ht="14.25" customHeight="1" x14ac:dyDescent="0.25">
      <c r="A30" s="11"/>
      <c r="B30" s="11">
        <v>3</v>
      </c>
      <c r="C30" s="11" t="s">
        <v>148</v>
      </c>
      <c r="D30" s="11">
        <v>2</v>
      </c>
      <c r="E30" s="23">
        <v>2.9</v>
      </c>
      <c r="F30" s="25" t="s">
        <v>886</v>
      </c>
      <c r="G30" s="11" t="s">
        <v>122</v>
      </c>
      <c r="H30" s="11" t="s">
        <v>123</v>
      </c>
      <c r="I30" s="11" t="s">
        <v>769</v>
      </c>
      <c r="J30" s="41" t="s">
        <v>209</v>
      </c>
      <c r="K30" s="11">
        <v>2</v>
      </c>
      <c r="L30" s="11">
        <v>3</v>
      </c>
      <c r="M30" s="11">
        <v>24</v>
      </c>
      <c r="N30" s="11">
        <v>25</v>
      </c>
      <c r="O30" s="11">
        <v>-1</v>
      </c>
      <c r="P30" s="11">
        <v>35</v>
      </c>
      <c r="Q30" s="11">
        <v>25</v>
      </c>
      <c r="R30" s="11">
        <v>13</v>
      </c>
      <c r="S30" s="11">
        <v>26</v>
      </c>
      <c r="T30" s="11">
        <v>27</v>
      </c>
      <c r="U30" s="11">
        <v>25</v>
      </c>
      <c r="V30" s="11">
        <v>3</v>
      </c>
      <c r="W30" s="11"/>
      <c r="X30" s="11">
        <v>-1</v>
      </c>
      <c r="Y30" s="25" t="s">
        <v>886</v>
      </c>
    </row>
    <row r="31" spans="1:25" ht="14.25" customHeight="1" x14ac:dyDescent="0.25">
      <c r="A31" s="11" t="s">
        <v>148</v>
      </c>
      <c r="B31" s="11">
        <v>3</v>
      </c>
      <c r="C31" s="11" t="s">
        <v>148</v>
      </c>
      <c r="D31" s="11">
        <v>2</v>
      </c>
      <c r="E31" s="23">
        <v>2.8</v>
      </c>
      <c r="F31" s="25" t="s">
        <v>886</v>
      </c>
      <c r="G31" s="11" t="s">
        <v>274</v>
      </c>
      <c r="H31" s="11" t="s">
        <v>55</v>
      </c>
      <c r="I31" s="11" t="s">
        <v>769</v>
      </c>
      <c r="J31" s="74" t="s">
        <v>209</v>
      </c>
      <c r="K31" s="11">
        <v>3</v>
      </c>
      <c r="L31" s="11">
        <v>3</v>
      </c>
      <c r="M31" s="11">
        <v>25</v>
      </c>
      <c r="N31" s="11">
        <v>34</v>
      </c>
      <c r="O31" s="11">
        <v>-9</v>
      </c>
      <c r="P31" s="11">
        <v>38</v>
      </c>
      <c r="Q31" s="11">
        <v>35</v>
      </c>
      <c r="R31" s="11">
        <v>24</v>
      </c>
      <c r="S31" s="11">
        <v>38</v>
      </c>
      <c r="T31" s="11">
        <v>38</v>
      </c>
      <c r="U31" s="11">
        <v>33</v>
      </c>
      <c r="V31" s="11">
        <v>3</v>
      </c>
      <c r="W31" s="11"/>
      <c r="X31" s="11">
        <v>-8</v>
      </c>
      <c r="Y31" s="25" t="s">
        <v>886</v>
      </c>
    </row>
    <row r="32" spans="1:25" ht="14.25" customHeight="1" x14ac:dyDescent="0.25">
      <c r="A32" s="11"/>
      <c r="B32" s="11">
        <v>2</v>
      </c>
      <c r="C32" s="11" t="s">
        <v>148</v>
      </c>
      <c r="D32" s="11">
        <v>3</v>
      </c>
      <c r="E32" s="23">
        <v>2.6</v>
      </c>
      <c r="F32" s="25" t="s">
        <v>886</v>
      </c>
      <c r="G32" s="11" t="s">
        <v>174</v>
      </c>
      <c r="H32" s="11" t="s">
        <v>91</v>
      </c>
      <c r="I32" s="11" t="s">
        <v>760</v>
      </c>
      <c r="J32" s="75" t="s">
        <v>327</v>
      </c>
      <c r="K32" s="11">
        <v>1</v>
      </c>
      <c r="L32" s="11">
        <v>3</v>
      </c>
      <c r="M32" s="11">
        <v>26</v>
      </c>
      <c r="N32" s="11">
        <v>29</v>
      </c>
      <c r="O32" s="11">
        <v>-3</v>
      </c>
      <c r="P32" s="11">
        <v>17</v>
      </c>
      <c r="Q32" s="11">
        <v>23</v>
      </c>
      <c r="R32" s="11">
        <v>29</v>
      </c>
      <c r="S32" s="11">
        <v>23</v>
      </c>
      <c r="T32" s="11">
        <v>18</v>
      </c>
      <c r="U32" s="11">
        <v>23</v>
      </c>
      <c r="V32" s="11">
        <v>2</v>
      </c>
      <c r="W32" s="11"/>
      <c r="X32" s="11">
        <v>3</v>
      </c>
      <c r="Y32" s="25" t="s">
        <v>886</v>
      </c>
    </row>
    <row r="33" spans="1:25" ht="14.25" customHeight="1" x14ac:dyDescent="0.25">
      <c r="A33" s="11"/>
      <c r="B33" s="11">
        <v>3</v>
      </c>
      <c r="C33" s="11" t="s">
        <v>148</v>
      </c>
      <c r="D33" s="11">
        <v>3</v>
      </c>
      <c r="E33" s="23">
        <v>2.5</v>
      </c>
      <c r="F33" s="25" t="s">
        <v>886</v>
      </c>
      <c r="G33" s="11" t="s">
        <v>135</v>
      </c>
      <c r="H33" s="11" t="s">
        <v>49</v>
      </c>
      <c r="I33" s="11" t="s">
        <v>762</v>
      </c>
      <c r="J33" s="73" t="s">
        <v>844</v>
      </c>
      <c r="K33" s="11">
        <v>11</v>
      </c>
      <c r="L33" s="11">
        <v>3</v>
      </c>
      <c r="M33" s="11">
        <v>27</v>
      </c>
      <c r="N33" s="11">
        <v>31</v>
      </c>
      <c r="O33" s="11">
        <v>-4</v>
      </c>
      <c r="P33" s="11">
        <v>18</v>
      </c>
      <c r="Q33" s="11">
        <v>29</v>
      </c>
      <c r="R33" s="11">
        <v>26</v>
      </c>
      <c r="S33" s="11">
        <v>25</v>
      </c>
      <c r="T33" s="11">
        <v>25</v>
      </c>
      <c r="U33" s="11">
        <v>25</v>
      </c>
      <c r="V33" s="11">
        <v>3</v>
      </c>
      <c r="W33" s="11"/>
      <c r="X33" s="11">
        <v>2</v>
      </c>
      <c r="Y33" s="25" t="s">
        <v>886</v>
      </c>
    </row>
    <row r="34" spans="1:25" ht="14.25" customHeight="1" x14ac:dyDescent="0.25">
      <c r="A34" s="11"/>
      <c r="B34" s="11">
        <v>2</v>
      </c>
      <c r="C34" s="11" t="s">
        <v>148</v>
      </c>
      <c r="D34" s="11">
        <v>3</v>
      </c>
      <c r="E34" s="23">
        <v>2.4</v>
      </c>
      <c r="F34" s="25" t="s">
        <v>886</v>
      </c>
      <c r="G34" s="11" t="s">
        <v>131</v>
      </c>
      <c r="H34" s="11" t="s">
        <v>66</v>
      </c>
      <c r="I34" s="11" t="s">
        <v>760</v>
      </c>
      <c r="J34" s="75" t="s">
        <v>327</v>
      </c>
      <c r="K34" s="11">
        <v>2</v>
      </c>
      <c r="L34" s="11">
        <v>3</v>
      </c>
      <c r="M34" s="11">
        <v>28</v>
      </c>
      <c r="N34" s="11">
        <v>28</v>
      </c>
      <c r="O34" s="11">
        <v>0</v>
      </c>
      <c r="P34" s="11">
        <v>15</v>
      </c>
      <c r="Q34" s="11">
        <v>19</v>
      </c>
      <c r="R34" s="11">
        <v>27</v>
      </c>
      <c r="S34" s="11">
        <v>21</v>
      </c>
      <c r="T34" s="11">
        <v>21</v>
      </c>
      <c r="U34" s="11">
        <v>22</v>
      </c>
      <c r="V34" s="11">
        <v>2</v>
      </c>
      <c r="W34" s="11"/>
      <c r="X34" s="11">
        <v>6</v>
      </c>
      <c r="Y34" s="25" t="s">
        <v>886</v>
      </c>
    </row>
    <row r="35" spans="1:25" ht="14.25" customHeight="1" x14ac:dyDescent="0.25">
      <c r="A35" s="11"/>
      <c r="B35" s="11">
        <v>3</v>
      </c>
      <c r="C35" s="11" t="s">
        <v>148</v>
      </c>
      <c r="D35" s="11">
        <v>2</v>
      </c>
      <c r="E35" s="23">
        <v>2.7</v>
      </c>
      <c r="F35" s="25" t="s">
        <v>886</v>
      </c>
      <c r="G35" s="11" t="s">
        <v>150</v>
      </c>
      <c r="H35" s="11" t="s">
        <v>44</v>
      </c>
      <c r="I35" s="11" t="s">
        <v>764</v>
      </c>
      <c r="J35" s="39" t="s">
        <v>842</v>
      </c>
      <c r="K35" s="11">
        <v>12</v>
      </c>
      <c r="L35" s="11">
        <v>3</v>
      </c>
      <c r="M35" s="11">
        <v>29</v>
      </c>
      <c r="N35" s="11">
        <v>24</v>
      </c>
      <c r="O35" s="11">
        <v>5</v>
      </c>
      <c r="P35" s="11">
        <v>32</v>
      </c>
      <c r="Q35" s="11">
        <v>26</v>
      </c>
      <c r="R35" s="11">
        <v>30</v>
      </c>
      <c r="S35" s="11">
        <v>31</v>
      </c>
      <c r="T35" s="11">
        <v>33</v>
      </c>
      <c r="U35" s="11">
        <v>29</v>
      </c>
      <c r="V35" s="11">
        <v>3</v>
      </c>
      <c r="W35" s="11"/>
      <c r="X35" s="11">
        <v>0</v>
      </c>
      <c r="Y35" s="25" t="s">
        <v>886</v>
      </c>
    </row>
    <row r="36" spans="1:25" ht="14.25" customHeight="1" x14ac:dyDescent="0.25">
      <c r="A36" s="11"/>
      <c r="B36" s="11">
        <v>3</v>
      </c>
      <c r="C36" s="11" t="s">
        <v>148</v>
      </c>
      <c r="D36" s="11">
        <v>3</v>
      </c>
      <c r="E36" s="23">
        <v>2.2999999999999998</v>
      </c>
      <c r="F36" s="25" t="s">
        <v>886</v>
      </c>
      <c r="G36" s="11" t="s">
        <v>51</v>
      </c>
      <c r="H36" s="11" t="s">
        <v>52</v>
      </c>
      <c r="I36" s="11" t="s">
        <v>764</v>
      </c>
      <c r="J36" s="46" t="s">
        <v>840</v>
      </c>
      <c r="K36" s="11">
        <v>13</v>
      </c>
      <c r="L36" s="11">
        <v>3</v>
      </c>
      <c r="M36" s="11">
        <v>33</v>
      </c>
      <c r="N36" s="11">
        <v>32</v>
      </c>
      <c r="O36" s="11">
        <v>1</v>
      </c>
      <c r="P36" s="11">
        <v>40</v>
      </c>
      <c r="Q36" s="11">
        <v>37</v>
      </c>
      <c r="R36" s="11">
        <v>31</v>
      </c>
      <c r="S36" s="11">
        <v>29</v>
      </c>
      <c r="T36" s="11">
        <v>39</v>
      </c>
      <c r="U36" s="11">
        <v>34</v>
      </c>
      <c r="V36" s="11">
        <v>3</v>
      </c>
      <c r="W36" s="11"/>
      <c r="X36" s="11">
        <v>-1</v>
      </c>
      <c r="Y36" s="25" t="s">
        <v>886</v>
      </c>
    </row>
    <row r="37" spans="1:25" ht="14.25" customHeight="1" x14ac:dyDescent="0.25">
      <c r="A37" s="11" t="s">
        <v>148</v>
      </c>
      <c r="B37" s="11">
        <v>3</v>
      </c>
      <c r="C37" s="11" t="s">
        <v>148</v>
      </c>
      <c r="D37" s="11"/>
      <c r="E37" s="23"/>
      <c r="F37" s="25" t="s">
        <v>886</v>
      </c>
      <c r="G37" s="11" t="s">
        <v>224</v>
      </c>
      <c r="H37" s="11" t="s">
        <v>184</v>
      </c>
      <c r="I37" s="11" t="s">
        <v>760</v>
      </c>
      <c r="J37" s="11" t="s">
        <v>871</v>
      </c>
      <c r="K37" s="11">
        <v>4</v>
      </c>
      <c r="L37" s="11">
        <v>3</v>
      </c>
      <c r="M37" s="11">
        <v>30</v>
      </c>
      <c r="N37" s="11">
        <v>37</v>
      </c>
      <c r="O37" s="11">
        <v>-7</v>
      </c>
      <c r="P37" s="11">
        <v>30</v>
      </c>
      <c r="Q37" s="11">
        <v>27</v>
      </c>
      <c r="R37" s="11">
        <v>35</v>
      </c>
      <c r="S37" s="11">
        <v>33</v>
      </c>
      <c r="T37" s="11">
        <v>29</v>
      </c>
      <c r="U37" s="11">
        <v>31</v>
      </c>
      <c r="V37" s="11">
        <v>3</v>
      </c>
      <c r="W37" s="11"/>
      <c r="X37" s="11">
        <v>-1</v>
      </c>
      <c r="Y37" s="25" t="s">
        <v>886</v>
      </c>
    </row>
    <row r="38" spans="1:25" ht="14.25" customHeight="1" x14ac:dyDescent="0.25">
      <c r="A38" s="11"/>
      <c r="B38" s="11">
        <v>4</v>
      </c>
      <c r="C38" s="11" t="s">
        <v>148</v>
      </c>
      <c r="D38" s="11">
        <v>3</v>
      </c>
      <c r="E38" s="23">
        <v>2.2000000000000002</v>
      </c>
      <c r="F38" s="25" t="s">
        <v>886</v>
      </c>
      <c r="G38" s="11" t="s">
        <v>87</v>
      </c>
      <c r="H38" s="11" t="s">
        <v>88</v>
      </c>
      <c r="I38" s="11" t="s">
        <v>762</v>
      </c>
      <c r="J38" s="73" t="s">
        <v>844</v>
      </c>
      <c r="K38" s="11">
        <v>12</v>
      </c>
      <c r="L38" s="11">
        <v>3</v>
      </c>
      <c r="M38" s="11">
        <v>31</v>
      </c>
      <c r="N38" s="11">
        <v>27</v>
      </c>
      <c r="O38" s="11">
        <v>4</v>
      </c>
      <c r="P38" s="11">
        <v>37</v>
      </c>
      <c r="Q38" s="11">
        <v>39</v>
      </c>
      <c r="R38" s="11">
        <v>28</v>
      </c>
      <c r="S38" s="11">
        <v>35</v>
      </c>
      <c r="T38" s="11">
        <v>45</v>
      </c>
      <c r="U38" s="11">
        <v>34</v>
      </c>
      <c r="V38" s="11">
        <v>3</v>
      </c>
      <c r="W38" s="11"/>
      <c r="X38" s="11">
        <v>-3</v>
      </c>
      <c r="Y38" s="25" t="s">
        <v>1062</v>
      </c>
    </row>
    <row r="39" spans="1:25" ht="14.25" customHeight="1" x14ac:dyDescent="0.25">
      <c r="A39" s="11"/>
      <c r="B39" s="11">
        <v>4</v>
      </c>
      <c r="C39" s="11" t="s">
        <v>148</v>
      </c>
      <c r="D39" s="11">
        <v>3</v>
      </c>
      <c r="E39" s="23">
        <v>2.1</v>
      </c>
      <c r="F39" s="25" t="s">
        <v>886</v>
      </c>
      <c r="G39" s="11" t="s">
        <v>220</v>
      </c>
      <c r="H39" s="11" t="s">
        <v>163</v>
      </c>
      <c r="I39" s="11" t="s">
        <v>764</v>
      </c>
      <c r="J39" s="46" t="s">
        <v>840</v>
      </c>
      <c r="K39" s="11">
        <v>15</v>
      </c>
      <c r="L39" s="11">
        <v>3</v>
      </c>
      <c r="M39" s="11">
        <v>32</v>
      </c>
      <c r="N39" s="11">
        <v>33</v>
      </c>
      <c r="O39" s="11">
        <v>-1</v>
      </c>
      <c r="P39" s="11">
        <v>36</v>
      </c>
      <c r="Q39" s="11">
        <v>43</v>
      </c>
      <c r="R39" s="11">
        <v>38</v>
      </c>
      <c r="S39" s="11">
        <v>39</v>
      </c>
      <c r="T39" s="11">
        <v>32</v>
      </c>
      <c r="U39" s="11">
        <v>36</v>
      </c>
      <c r="V39" s="11">
        <v>4</v>
      </c>
      <c r="W39" s="11"/>
      <c r="X39" s="11">
        <v>-4</v>
      </c>
      <c r="Y39" s="25" t="s">
        <v>886</v>
      </c>
    </row>
    <row r="40" spans="1:25" ht="14.25" customHeight="1" x14ac:dyDescent="0.25">
      <c r="A40" s="11"/>
      <c r="B40" s="11">
        <v>3</v>
      </c>
      <c r="C40" s="11" t="s">
        <v>148</v>
      </c>
      <c r="D40" s="11">
        <v>4</v>
      </c>
      <c r="E40" s="23">
        <v>3.1</v>
      </c>
      <c r="F40" s="25" t="s">
        <v>886</v>
      </c>
      <c r="G40" s="11" t="s">
        <v>65</v>
      </c>
      <c r="H40" s="11" t="s">
        <v>66</v>
      </c>
      <c r="I40" s="11" t="s">
        <v>762</v>
      </c>
      <c r="J40" s="76" t="s">
        <v>841</v>
      </c>
      <c r="K40" s="11">
        <v>15</v>
      </c>
      <c r="L40" s="11">
        <v>3</v>
      </c>
      <c r="M40" s="11">
        <v>34</v>
      </c>
      <c r="N40" s="11">
        <v>39</v>
      </c>
      <c r="O40" s="11">
        <v>-5</v>
      </c>
      <c r="P40" s="11">
        <v>26</v>
      </c>
      <c r="Q40" s="11">
        <v>32</v>
      </c>
      <c r="R40" s="11">
        <v>33</v>
      </c>
      <c r="S40" s="11">
        <v>30</v>
      </c>
      <c r="T40" s="11">
        <v>30</v>
      </c>
      <c r="U40" s="11">
        <v>32</v>
      </c>
      <c r="V40" s="11">
        <v>3</v>
      </c>
      <c r="W40" s="11"/>
      <c r="X40" s="11">
        <v>2</v>
      </c>
      <c r="Y40" s="25" t="s">
        <v>886</v>
      </c>
    </row>
    <row r="41" spans="1:25" ht="14.25" customHeight="1" x14ac:dyDescent="0.25">
      <c r="A41" s="11"/>
      <c r="B41" s="11">
        <v>3</v>
      </c>
      <c r="C41" s="11" t="s">
        <v>148</v>
      </c>
      <c r="D41" s="11">
        <v>3</v>
      </c>
      <c r="E41" s="23">
        <v>3.4</v>
      </c>
      <c r="F41" s="25" t="s">
        <v>148</v>
      </c>
      <c r="G41" s="11" t="s">
        <v>190</v>
      </c>
      <c r="H41" s="11" t="s">
        <v>81</v>
      </c>
      <c r="I41" s="11" t="s">
        <v>764</v>
      </c>
      <c r="J41" s="46" t="s">
        <v>840</v>
      </c>
      <c r="K41" s="11">
        <v>16</v>
      </c>
      <c r="L41" s="11">
        <v>4</v>
      </c>
      <c r="M41" s="11">
        <v>42</v>
      </c>
      <c r="N41" s="11">
        <v>26</v>
      </c>
      <c r="O41" s="11">
        <v>16</v>
      </c>
      <c r="P41" s="11">
        <v>39</v>
      </c>
      <c r="Q41" s="11">
        <v>31</v>
      </c>
      <c r="R41" s="11">
        <v>36</v>
      </c>
      <c r="S41" s="11">
        <v>27</v>
      </c>
      <c r="T41" s="11">
        <v>36</v>
      </c>
      <c r="U41" s="11">
        <v>33</v>
      </c>
      <c r="V41" s="11">
        <v>3</v>
      </c>
      <c r="W41" s="11"/>
      <c r="X41" s="11">
        <v>9</v>
      </c>
      <c r="Y41" s="25" t="s">
        <v>1054</v>
      </c>
    </row>
    <row r="42" spans="1:25" ht="14.25" customHeight="1" x14ac:dyDescent="0.25">
      <c r="A42" s="11"/>
      <c r="B42" s="11">
        <v>3</v>
      </c>
      <c r="C42" s="11" t="s">
        <v>148</v>
      </c>
      <c r="D42" s="11">
        <v>4</v>
      </c>
      <c r="E42" s="23">
        <v>3.2</v>
      </c>
      <c r="F42" s="25" t="s">
        <v>886</v>
      </c>
      <c r="G42" s="11" t="s">
        <v>235</v>
      </c>
      <c r="H42" s="11" t="s">
        <v>78</v>
      </c>
      <c r="I42" s="11" t="s">
        <v>760</v>
      </c>
      <c r="J42" s="28" t="s">
        <v>871</v>
      </c>
      <c r="K42" s="11">
        <v>3</v>
      </c>
      <c r="L42" s="11">
        <v>3</v>
      </c>
      <c r="M42" s="11">
        <v>35</v>
      </c>
      <c r="N42" s="11">
        <v>44</v>
      </c>
      <c r="O42" s="11">
        <v>-9</v>
      </c>
      <c r="P42" s="11">
        <v>31</v>
      </c>
      <c r="Q42" s="11">
        <v>28</v>
      </c>
      <c r="R42" s="11">
        <v>40</v>
      </c>
      <c r="S42" s="11">
        <v>37</v>
      </c>
      <c r="T42" s="11">
        <v>34</v>
      </c>
      <c r="U42" s="11">
        <v>35</v>
      </c>
      <c r="V42" s="11">
        <v>3</v>
      </c>
      <c r="W42" s="11"/>
      <c r="X42" s="11">
        <v>0</v>
      </c>
      <c r="Y42" s="25" t="s">
        <v>886</v>
      </c>
    </row>
    <row r="43" spans="1:25" ht="14.25" customHeight="1" x14ac:dyDescent="0.25">
      <c r="A43" s="11"/>
      <c r="B43" s="11">
        <v>4</v>
      </c>
      <c r="C43" s="11" t="s">
        <v>148</v>
      </c>
      <c r="D43" s="11"/>
      <c r="E43" s="23"/>
      <c r="F43" s="25" t="s">
        <v>886</v>
      </c>
      <c r="G43" s="11" t="s">
        <v>152</v>
      </c>
      <c r="H43" s="11" t="s">
        <v>145</v>
      </c>
      <c r="I43" s="11" t="s">
        <v>764</v>
      </c>
      <c r="J43" s="46" t="s">
        <v>840</v>
      </c>
      <c r="K43" s="11">
        <v>17</v>
      </c>
      <c r="L43" s="11">
        <v>4</v>
      </c>
      <c r="M43" s="11">
        <v>39</v>
      </c>
      <c r="N43" s="11">
        <v>35</v>
      </c>
      <c r="O43" s="11">
        <v>4</v>
      </c>
      <c r="P43" s="11">
        <v>51</v>
      </c>
      <c r="Q43" s="11">
        <v>41</v>
      </c>
      <c r="R43" s="11">
        <v>39</v>
      </c>
      <c r="S43" s="11">
        <v>34</v>
      </c>
      <c r="T43" s="11">
        <v>37</v>
      </c>
      <c r="U43" s="11">
        <v>39</v>
      </c>
      <c r="V43" s="11">
        <v>4</v>
      </c>
      <c r="W43" s="11">
        <v>-4</v>
      </c>
      <c r="X43" s="11">
        <v>0</v>
      </c>
      <c r="Y43" s="25" t="s">
        <v>886</v>
      </c>
    </row>
    <row r="44" spans="1:25" ht="14.25" customHeight="1" x14ac:dyDescent="0.25">
      <c r="A44" s="11"/>
      <c r="B44" s="11">
        <v>4</v>
      </c>
      <c r="C44" s="11" t="s">
        <v>148</v>
      </c>
      <c r="D44" s="11">
        <v>4</v>
      </c>
      <c r="E44" s="23">
        <v>3.5</v>
      </c>
      <c r="F44" s="25" t="s">
        <v>886</v>
      </c>
      <c r="G44" s="11" t="s">
        <v>84</v>
      </c>
      <c r="H44" s="11" t="s">
        <v>52</v>
      </c>
      <c r="I44" s="11" t="s">
        <v>762</v>
      </c>
      <c r="J44" s="76" t="s">
        <v>841</v>
      </c>
      <c r="K44" s="11">
        <v>13</v>
      </c>
      <c r="L44" s="11">
        <v>4</v>
      </c>
      <c r="M44" s="11">
        <v>38</v>
      </c>
      <c r="N44" s="11">
        <v>47</v>
      </c>
      <c r="O44" s="11">
        <v>-9</v>
      </c>
      <c r="P44" s="11">
        <v>33</v>
      </c>
      <c r="Q44" s="11">
        <v>47</v>
      </c>
      <c r="R44" s="11">
        <v>34</v>
      </c>
      <c r="S44" s="11">
        <v>43</v>
      </c>
      <c r="T44" s="11">
        <v>40</v>
      </c>
      <c r="U44" s="11">
        <v>40</v>
      </c>
      <c r="V44" s="11">
        <v>4</v>
      </c>
      <c r="W44" s="11"/>
      <c r="X44" s="11">
        <v>-2</v>
      </c>
      <c r="Y44" s="25" t="s">
        <v>886</v>
      </c>
    </row>
    <row r="45" spans="1:25" ht="14.25" customHeight="1" x14ac:dyDescent="0.25">
      <c r="A45" s="11"/>
      <c r="B45" s="11">
        <v>4</v>
      </c>
      <c r="C45" s="11" t="s">
        <v>148</v>
      </c>
      <c r="D45" s="11">
        <v>3</v>
      </c>
      <c r="E45" s="23">
        <v>3.3</v>
      </c>
      <c r="F45" s="25" t="s">
        <v>148</v>
      </c>
      <c r="G45" s="11" t="s">
        <v>226</v>
      </c>
      <c r="H45" s="11" t="s">
        <v>123</v>
      </c>
      <c r="I45" s="11" t="s">
        <v>764</v>
      </c>
      <c r="J45" s="46" t="s">
        <v>840</v>
      </c>
      <c r="K45" s="11">
        <v>14</v>
      </c>
      <c r="L45" s="11">
        <v>4</v>
      </c>
      <c r="M45" s="11">
        <v>37</v>
      </c>
      <c r="N45" s="11">
        <v>30</v>
      </c>
      <c r="O45" s="11">
        <v>7</v>
      </c>
      <c r="P45" s="11">
        <v>46</v>
      </c>
      <c r="Q45" s="11">
        <v>44</v>
      </c>
      <c r="R45" s="11">
        <v>41</v>
      </c>
      <c r="S45" s="11">
        <v>36</v>
      </c>
      <c r="T45" s="11">
        <v>41</v>
      </c>
      <c r="U45" s="11">
        <v>39</v>
      </c>
      <c r="V45" s="11">
        <v>4</v>
      </c>
      <c r="W45" s="11"/>
      <c r="X45" s="11">
        <v>-2</v>
      </c>
      <c r="Y45" s="25" t="s">
        <v>1048</v>
      </c>
    </row>
    <row r="46" spans="1:25" ht="14.25" customHeight="1" x14ac:dyDescent="0.25">
      <c r="A46" s="11"/>
      <c r="B46" s="11">
        <v>4</v>
      </c>
      <c r="C46" s="11" t="s">
        <v>148</v>
      </c>
      <c r="D46" s="11"/>
      <c r="E46" s="23"/>
      <c r="F46" s="25" t="s">
        <v>886</v>
      </c>
      <c r="G46" s="11" t="s">
        <v>280</v>
      </c>
      <c r="H46" s="11" t="s">
        <v>160</v>
      </c>
      <c r="I46" s="11" t="s">
        <v>762</v>
      </c>
      <c r="J46" s="11" t="s">
        <v>841</v>
      </c>
      <c r="K46" s="11">
        <v>17</v>
      </c>
      <c r="L46" s="11">
        <v>4</v>
      </c>
      <c r="M46" s="11">
        <v>40</v>
      </c>
      <c r="N46" s="11">
        <v>54</v>
      </c>
      <c r="O46" s="11">
        <v>-14</v>
      </c>
      <c r="P46" s="11">
        <v>44</v>
      </c>
      <c r="Q46" s="11">
        <v>40</v>
      </c>
      <c r="R46" s="11">
        <v>47</v>
      </c>
      <c r="S46" s="11">
        <v>45</v>
      </c>
      <c r="T46" s="11">
        <v>55</v>
      </c>
      <c r="U46" s="11">
        <v>46</v>
      </c>
      <c r="V46" s="11">
        <v>4</v>
      </c>
      <c r="W46" s="11"/>
      <c r="X46" s="11">
        <v>-6</v>
      </c>
      <c r="Y46" s="25" t="s">
        <v>886</v>
      </c>
    </row>
    <row r="47" spans="1:25" ht="14.25" customHeight="1" x14ac:dyDescent="0.25">
      <c r="A47" s="11"/>
      <c r="B47" s="11">
        <v>4</v>
      </c>
      <c r="C47" s="11" t="s">
        <v>148</v>
      </c>
      <c r="D47" s="11">
        <v>4</v>
      </c>
      <c r="E47" s="23">
        <v>3.1</v>
      </c>
      <c r="F47" s="25" t="s">
        <v>886</v>
      </c>
      <c r="G47" s="11" t="s">
        <v>417</v>
      </c>
      <c r="H47" s="11" t="s">
        <v>129</v>
      </c>
      <c r="I47" s="11" t="s">
        <v>762</v>
      </c>
      <c r="J47" s="76" t="s">
        <v>841</v>
      </c>
      <c r="K47" s="11">
        <v>18</v>
      </c>
      <c r="L47" s="11">
        <v>4</v>
      </c>
      <c r="M47" s="11">
        <v>41</v>
      </c>
      <c r="N47" s="11">
        <v>58</v>
      </c>
      <c r="O47" s="11">
        <v>-17</v>
      </c>
      <c r="P47" s="11">
        <v>28</v>
      </c>
      <c r="Q47" s="11">
        <v>38</v>
      </c>
      <c r="R47" s="11">
        <v>37</v>
      </c>
      <c r="S47" s="11">
        <v>40</v>
      </c>
      <c r="T47" s="11">
        <v>44</v>
      </c>
      <c r="U47" s="11">
        <v>40</v>
      </c>
      <c r="V47" s="11">
        <v>4</v>
      </c>
      <c r="W47" s="11"/>
      <c r="X47" s="11">
        <v>1</v>
      </c>
      <c r="Y47" s="25" t="s">
        <v>886</v>
      </c>
    </row>
    <row r="48" spans="1:25" ht="14.25" customHeight="1" x14ac:dyDescent="0.25">
      <c r="A48" s="11"/>
      <c r="B48" s="11">
        <v>4</v>
      </c>
      <c r="C48" s="11" t="s">
        <v>148</v>
      </c>
      <c r="D48" s="11">
        <v>3</v>
      </c>
      <c r="E48" s="23">
        <v>3.6</v>
      </c>
      <c r="F48" s="25" t="s">
        <v>886</v>
      </c>
      <c r="G48" s="11" t="s">
        <v>183</v>
      </c>
      <c r="H48" s="11" t="s">
        <v>184</v>
      </c>
      <c r="I48" s="11" t="s">
        <v>764</v>
      </c>
      <c r="J48" s="44" t="s">
        <v>847</v>
      </c>
      <c r="K48" s="11">
        <v>17</v>
      </c>
      <c r="L48" s="11">
        <v>4</v>
      </c>
      <c r="M48" s="11">
        <v>36</v>
      </c>
      <c r="N48" s="11">
        <v>41</v>
      </c>
      <c r="O48" s="11">
        <v>-5</v>
      </c>
      <c r="P48" s="11">
        <v>45</v>
      </c>
      <c r="Q48" s="11">
        <v>36</v>
      </c>
      <c r="R48" s="11">
        <v>46</v>
      </c>
      <c r="S48" s="11">
        <v>42</v>
      </c>
      <c r="T48" s="11">
        <v>28</v>
      </c>
      <c r="U48" s="11">
        <v>39</v>
      </c>
      <c r="V48" s="11">
        <v>4</v>
      </c>
      <c r="W48" s="11"/>
      <c r="X48" s="11">
        <v>-3</v>
      </c>
      <c r="Y48" s="25" t="s">
        <v>1056</v>
      </c>
    </row>
    <row r="49" spans="1:25" ht="14.25" customHeight="1" x14ac:dyDescent="0.25">
      <c r="A49" s="11"/>
      <c r="B49" s="11">
        <v>4</v>
      </c>
      <c r="C49" s="11" t="s">
        <v>148</v>
      </c>
      <c r="D49" s="11">
        <v>4</v>
      </c>
      <c r="E49" s="23">
        <v>3.9</v>
      </c>
      <c r="F49" s="25" t="s">
        <v>886</v>
      </c>
      <c r="G49" s="11" t="s">
        <v>562</v>
      </c>
      <c r="H49" s="11" t="s">
        <v>123</v>
      </c>
      <c r="I49" s="11" t="s">
        <v>762</v>
      </c>
      <c r="J49" s="76" t="s">
        <v>841</v>
      </c>
      <c r="K49" s="11">
        <v>19</v>
      </c>
      <c r="L49" s="11">
        <v>4</v>
      </c>
      <c r="M49" s="11">
        <v>44</v>
      </c>
      <c r="N49" s="11">
        <v>62</v>
      </c>
      <c r="O49" s="11">
        <v>-18</v>
      </c>
      <c r="P49" s="11">
        <v>42</v>
      </c>
      <c r="Q49" s="11">
        <v>46</v>
      </c>
      <c r="R49" s="11">
        <v>49</v>
      </c>
      <c r="S49" s="11">
        <v>47</v>
      </c>
      <c r="T49" s="11">
        <v>49</v>
      </c>
      <c r="U49" s="11">
        <v>48</v>
      </c>
      <c r="V49" s="11">
        <v>5</v>
      </c>
      <c r="W49" s="11">
        <v>-1</v>
      </c>
      <c r="X49" s="11">
        <v>-4</v>
      </c>
      <c r="Y49" s="25" t="s">
        <v>886</v>
      </c>
    </row>
    <row r="50" spans="1:25" ht="14.25" customHeight="1" x14ac:dyDescent="0.25">
      <c r="A50" s="11"/>
      <c r="B50" s="11">
        <v>4</v>
      </c>
      <c r="C50" s="11" t="s">
        <v>148</v>
      </c>
      <c r="D50" s="11">
        <v>3</v>
      </c>
      <c r="E50" s="23">
        <v>3.8</v>
      </c>
      <c r="F50" s="25" t="s">
        <v>886</v>
      </c>
      <c r="G50" s="11" t="s">
        <v>192</v>
      </c>
      <c r="H50" s="11" t="s">
        <v>49</v>
      </c>
      <c r="I50" s="11" t="s">
        <v>764</v>
      </c>
      <c r="J50" s="44" t="s">
        <v>847</v>
      </c>
      <c r="K50" s="11">
        <v>19</v>
      </c>
      <c r="L50" s="11">
        <v>4</v>
      </c>
      <c r="M50" s="11">
        <v>43</v>
      </c>
      <c r="N50" s="11">
        <v>36</v>
      </c>
      <c r="O50" s="11">
        <v>7</v>
      </c>
      <c r="P50" s="11">
        <v>34</v>
      </c>
      <c r="Q50" s="11">
        <v>34</v>
      </c>
      <c r="R50" s="11">
        <v>43</v>
      </c>
      <c r="S50" s="11">
        <v>44</v>
      </c>
      <c r="T50" s="11">
        <v>48</v>
      </c>
      <c r="U50" s="11">
        <v>40</v>
      </c>
      <c r="V50" s="11">
        <v>4</v>
      </c>
      <c r="W50" s="11"/>
      <c r="X50" s="11">
        <v>3</v>
      </c>
      <c r="Y50" s="25" t="s">
        <v>886</v>
      </c>
    </row>
    <row r="51" spans="1:25" ht="14.25" customHeight="1" x14ac:dyDescent="0.25">
      <c r="A51" s="11" t="s">
        <v>95</v>
      </c>
      <c r="B51" s="11">
        <v>4</v>
      </c>
      <c r="C51" s="11" t="s">
        <v>148</v>
      </c>
      <c r="D51" s="11">
        <v>4</v>
      </c>
      <c r="E51" s="23">
        <v>3.7</v>
      </c>
      <c r="F51" s="25" t="s">
        <v>886</v>
      </c>
      <c r="G51" s="11" t="s">
        <v>143</v>
      </c>
      <c r="H51" s="11" t="s">
        <v>145</v>
      </c>
      <c r="I51" s="11" t="s">
        <v>762</v>
      </c>
      <c r="J51" s="76" t="s">
        <v>841</v>
      </c>
      <c r="K51" s="11">
        <v>16</v>
      </c>
      <c r="L51" s="11">
        <v>5</v>
      </c>
      <c r="M51" s="11">
        <v>50</v>
      </c>
      <c r="N51" s="11">
        <v>46</v>
      </c>
      <c r="O51" s="11">
        <v>4</v>
      </c>
      <c r="P51" s="11">
        <v>41</v>
      </c>
      <c r="Q51" s="11">
        <v>51</v>
      </c>
      <c r="R51" s="11">
        <v>42</v>
      </c>
      <c r="S51" s="11">
        <v>32</v>
      </c>
      <c r="T51" s="11">
        <v>31</v>
      </c>
      <c r="U51" s="11">
        <v>41</v>
      </c>
      <c r="V51" s="11">
        <v>4</v>
      </c>
      <c r="W51" s="11"/>
      <c r="X51" s="11">
        <v>9</v>
      </c>
      <c r="Y51" s="25" t="s">
        <v>886</v>
      </c>
    </row>
    <row r="52" spans="1:25" ht="14.25" customHeight="1" x14ac:dyDescent="0.25">
      <c r="A52" s="11"/>
      <c r="B52" s="11">
        <v>3</v>
      </c>
      <c r="C52" s="11" t="s">
        <v>148</v>
      </c>
      <c r="D52" s="11">
        <v>5</v>
      </c>
      <c r="E52" s="23">
        <v>4.5</v>
      </c>
      <c r="F52" s="25" t="s">
        <v>886</v>
      </c>
      <c r="G52" s="11" t="s">
        <v>211</v>
      </c>
      <c r="H52" s="11" t="s">
        <v>44</v>
      </c>
      <c r="I52" s="11" t="s">
        <v>760</v>
      </c>
      <c r="J52" s="28" t="s">
        <v>871</v>
      </c>
      <c r="K52" s="11">
        <v>5</v>
      </c>
      <c r="L52" s="11">
        <v>5</v>
      </c>
      <c r="M52" s="11">
        <v>53</v>
      </c>
      <c r="N52" s="11">
        <v>63</v>
      </c>
      <c r="O52" s="11">
        <v>-10</v>
      </c>
      <c r="P52" s="11">
        <v>25</v>
      </c>
      <c r="Q52" s="11">
        <v>33</v>
      </c>
      <c r="R52" s="11">
        <v>45</v>
      </c>
      <c r="S52" s="11">
        <v>41</v>
      </c>
      <c r="T52" s="11">
        <v>35</v>
      </c>
      <c r="U52" s="11">
        <v>42</v>
      </c>
      <c r="V52" s="11">
        <v>4</v>
      </c>
      <c r="W52" s="11"/>
      <c r="X52" s="11">
        <v>11</v>
      </c>
      <c r="Y52" s="25" t="s">
        <v>886</v>
      </c>
    </row>
    <row r="53" spans="1:25" ht="14.25" customHeight="1" x14ac:dyDescent="0.25">
      <c r="A53" s="11"/>
      <c r="B53" s="11">
        <v>4</v>
      </c>
      <c r="C53" s="11" t="s">
        <v>148</v>
      </c>
      <c r="D53" s="11">
        <v>4</v>
      </c>
      <c r="E53" s="23">
        <v>4.2</v>
      </c>
      <c r="F53" s="25" t="s">
        <v>148</v>
      </c>
      <c r="G53" s="11" t="s">
        <v>216</v>
      </c>
      <c r="H53" s="11" t="s">
        <v>104</v>
      </c>
      <c r="I53" s="11" t="s">
        <v>762</v>
      </c>
      <c r="J53" s="76" t="s">
        <v>841</v>
      </c>
      <c r="K53" s="11">
        <v>14</v>
      </c>
      <c r="L53" s="11">
        <v>4</v>
      </c>
      <c r="M53" s="11">
        <v>46</v>
      </c>
      <c r="N53" s="11">
        <v>43</v>
      </c>
      <c r="O53" s="11">
        <v>3</v>
      </c>
      <c r="P53" s="11">
        <v>43</v>
      </c>
      <c r="Q53" s="11">
        <v>48</v>
      </c>
      <c r="R53" s="11">
        <v>32</v>
      </c>
      <c r="S53" s="11">
        <v>54</v>
      </c>
      <c r="T53" s="11">
        <v>54</v>
      </c>
      <c r="U53" s="11">
        <v>45</v>
      </c>
      <c r="V53" s="11">
        <v>4</v>
      </c>
      <c r="W53" s="11"/>
      <c r="X53" s="11">
        <v>1</v>
      </c>
      <c r="Y53" s="25" t="s">
        <v>1064</v>
      </c>
    </row>
    <row r="54" spans="1:25" ht="14.25" customHeight="1" x14ac:dyDescent="0.25">
      <c r="A54" s="11"/>
      <c r="B54" s="11">
        <v>5</v>
      </c>
      <c r="C54" s="11" t="s">
        <v>148</v>
      </c>
      <c r="D54" s="11">
        <v>3</v>
      </c>
      <c r="E54" s="23">
        <v>4.1100000000000003</v>
      </c>
      <c r="F54" s="25" t="s">
        <v>886</v>
      </c>
      <c r="G54" s="11" t="s">
        <v>248</v>
      </c>
      <c r="H54" s="11" t="s">
        <v>233</v>
      </c>
      <c r="I54" s="11" t="s">
        <v>764</v>
      </c>
      <c r="J54" s="44" t="s">
        <v>847</v>
      </c>
      <c r="K54" s="11">
        <v>20</v>
      </c>
      <c r="L54" s="11">
        <v>5</v>
      </c>
      <c r="M54" s="11">
        <v>49</v>
      </c>
      <c r="N54" s="11">
        <v>50</v>
      </c>
      <c r="O54" s="11">
        <v>-1</v>
      </c>
      <c r="P54" s="11">
        <v>48</v>
      </c>
      <c r="Q54" s="11">
        <v>45</v>
      </c>
      <c r="R54" s="11">
        <v>52</v>
      </c>
      <c r="S54" s="11">
        <v>46</v>
      </c>
      <c r="T54" s="11">
        <v>52</v>
      </c>
      <c r="U54" s="11">
        <v>48</v>
      </c>
      <c r="V54" s="11">
        <v>5</v>
      </c>
      <c r="W54" s="11"/>
      <c r="X54" s="11">
        <v>1</v>
      </c>
      <c r="Y54" s="25" t="s">
        <v>886</v>
      </c>
    </row>
    <row r="55" spans="1:25" ht="14.25" customHeight="1" x14ac:dyDescent="0.25">
      <c r="A55" s="11"/>
      <c r="B55" s="11">
        <v>5</v>
      </c>
      <c r="C55" s="11" t="s">
        <v>148</v>
      </c>
      <c r="D55" s="11">
        <v>5</v>
      </c>
      <c r="E55" s="23">
        <v>4.7</v>
      </c>
      <c r="F55" s="25" t="s">
        <v>886</v>
      </c>
      <c r="G55" s="11" t="s">
        <v>176</v>
      </c>
      <c r="H55" s="11" t="s">
        <v>155</v>
      </c>
      <c r="I55" s="11" t="s">
        <v>764</v>
      </c>
      <c r="J55" s="58" t="s">
        <v>879</v>
      </c>
      <c r="K55" s="11">
        <v>28</v>
      </c>
      <c r="L55" s="11">
        <v>6</v>
      </c>
      <c r="M55" s="11">
        <v>60</v>
      </c>
      <c r="N55" s="11">
        <v>49</v>
      </c>
      <c r="O55" s="11">
        <v>11</v>
      </c>
      <c r="P55" s="11">
        <v>52</v>
      </c>
      <c r="Q55" s="11">
        <v>54</v>
      </c>
      <c r="R55" s="11">
        <v>55</v>
      </c>
      <c r="S55" s="11">
        <v>48</v>
      </c>
      <c r="T55" s="11">
        <v>46</v>
      </c>
      <c r="U55" s="11">
        <v>52</v>
      </c>
      <c r="V55" s="11">
        <v>5</v>
      </c>
      <c r="W55" s="11">
        <v>0</v>
      </c>
      <c r="X55" s="11">
        <v>8</v>
      </c>
      <c r="Y55" s="25" t="s">
        <v>886</v>
      </c>
    </row>
    <row r="56" spans="1:25" ht="14.25" customHeight="1" x14ac:dyDescent="0.25">
      <c r="A56" s="11"/>
      <c r="B56" s="11">
        <v>5</v>
      </c>
      <c r="C56" s="11" t="s">
        <v>148</v>
      </c>
      <c r="D56" s="11">
        <v>5</v>
      </c>
      <c r="E56" s="23">
        <v>4.0999999999999996</v>
      </c>
      <c r="F56" s="25" t="s">
        <v>886</v>
      </c>
      <c r="G56" s="11" t="s">
        <v>344</v>
      </c>
      <c r="H56" s="11" t="s">
        <v>85</v>
      </c>
      <c r="I56" s="11" t="s">
        <v>764</v>
      </c>
      <c r="J56" s="44" t="s">
        <v>847</v>
      </c>
      <c r="K56" s="11">
        <v>22</v>
      </c>
      <c r="L56" s="11">
        <v>5</v>
      </c>
      <c r="M56" s="11">
        <v>51</v>
      </c>
      <c r="N56" s="11">
        <v>40</v>
      </c>
      <c r="O56" s="11">
        <v>11</v>
      </c>
      <c r="P56" s="11">
        <v>50</v>
      </c>
      <c r="Q56" s="11">
        <v>50</v>
      </c>
      <c r="R56" s="11">
        <v>48</v>
      </c>
      <c r="S56" s="11">
        <v>58</v>
      </c>
      <c r="T56" s="11">
        <v>68</v>
      </c>
      <c r="U56" s="11">
        <v>52</v>
      </c>
      <c r="V56" s="11">
        <v>5</v>
      </c>
      <c r="W56" s="11"/>
      <c r="X56" s="11">
        <v>-1</v>
      </c>
      <c r="Y56" s="25" t="s">
        <v>1048</v>
      </c>
    </row>
    <row r="57" spans="1:25" ht="14.25" customHeight="1" x14ac:dyDescent="0.25">
      <c r="A57" s="11"/>
      <c r="B57" s="11">
        <v>5</v>
      </c>
      <c r="C57" s="11" t="s">
        <v>148</v>
      </c>
      <c r="D57" s="11">
        <v>4</v>
      </c>
      <c r="E57" s="23">
        <v>3.11</v>
      </c>
      <c r="F57" s="25" t="s">
        <v>886</v>
      </c>
      <c r="G57" s="11" t="s">
        <v>139</v>
      </c>
      <c r="H57" s="11" t="s">
        <v>78</v>
      </c>
      <c r="I57" s="11" t="s">
        <v>764</v>
      </c>
      <c r="J57" s="44" t="s">
        <v>847</v>
      </c>
      <c r="K57" s="11">
        <v>18</v>
      </c>
      <c r="L57" s="11">
        <v>4</v>
      </c>
      <c r="M57" s="11">
        <v>45</v>
      </c>
      <c r="N57" s="11">
        <v>52</v>
      </c>
      <c r="O57" s="11">
        <v>-7</v>
      </c>
      <c r="P57" s="11">
        <v>60</v>
      </c>
      <c r="Q57" s="11">
        <v>61</v>
      </c>
      <c r="R57" s="11">
        <v>60</v>
      </c>
      <c r="S57" s="11">
        <v>53</v>
      </c>
      <c r="T57" s="11">
        <v>60</v>
      </c>
      <c r="U57" s="11">
        <v>55</v>
      </c>
      <c r="V57" s="11">
        <v>5</v>
      </c>
      <c r="W57" s="11"/>
      <c r="X57" s="11">
        <v>-10</v>
      </c>
      <c r="Y57" s="25" t="s">
        <v>886</v>
      </c>
    </row>
    <row r="58" spans="1:25" ht="14.25" customHeight="1" x14ac:dyDescent="0.25">
      <c r="A58" s="11"/>
      <c r="B58" s="11">
        <v>5</v>
      </c>
      <c r="C58" s="11" t="s">
        <v>148</v>
      </c>
      <c r="D58" s="11">
        <v>4</v>
      </c>
      <c r="E58" s="23">
        <v>4.3</v>
      </c>
      <c r="F58" s="25" t="s">
        <v>886</v>
      </c>
      <c r="G58" s="11" t="s">
        <v>196</v>
      </c>
      <c r="H58" s="11" t="s">
        <v>35</v>
      </c>
      <c r="I58" s="11" t="s">
        <v>764</v>
      </c>
      <c r="J58" s="58" t="s">
        <v>879</v>
      </c>
      <c r="K58" s="11">
        <v>23</v>
      </c>
      <c r="L58" s="11">
        <v>5</v>
      </c>
      <c r="M58" s="11">
        <v>57</v>
      </c>
      <c r="N58" s="11">
        <v>45</v>
      </c>
      <c r="O58" s="11">
        <v>12</v>
      </c>
      <c r="P58" s="11">
        <v>64</v>
      </c>
      <c r="Q58" s="11">
        <v>65</v>
      </c>
      <c r="R58" s="11">
        <v>57</v>
      </c>
      <c r="S58" s="11">
        <v>60</v>
      </c>
      <c r="T58" s="11">
        <v>51</v>
      </c>
      <c r="U58" s="11">
        <v>57</v>
      </c>
      <c r="V58" s="11">
        <v>5</v>
      </c>
      <c r="W58" s="11"/>
      <c r="X58" s="11">
        <v>0</v>
      </c>
      <c r="Y58" s="25" t="s">
        <v>886</v>
      </c>
    </row>
    <row r="59" spans="1:25" ht="14.25" customHeight="1" x14ac:dyDescent="0.25">
      <c r="A59" s="11"/>
      <c r="B59" s="11">
        <v>6</v>
      </c>
      <c r="C59" s="11" t="s">
        <v>148</v>
      </c>
      <c r="D59" s="11">
        <v>3</v>
      </c>
      <c r="E59" s="23">
        <v>4.12</v>
      </c>
      <c r="F59" s="25" t="s">
        <v>148</v>
      </c>
      <c r="G59" s="11" t="s">
        <v>118</v>
      </c>
      <c r="H59" s="11" t="s">
        <v>69</v>
      </c>
      <c r="I59" s="11" t="s">
        <v>764</v>
      </c>
      <c r="J59" s="44" t="s">
        <v>847</v>
      </c>
      <c r="K59" s="11">
        <v>21</v>
      </c>
      <c r="L59" s="11">
        <v>4</v>
      </c>
      <c r="M59" s="11">
        <v>47</v>
      </c>
      <c r="N59" s="11">
        <v>42</v>
      </c>
      <c r="O59" s="11">
        <v>5</v>
      </c>
      <c r="P59" s="11">
        <v>62</v>
      </c>
      <c r="Q59" s="11">
        <v>67</v>
      </c>
      <c r="R59" s="11">
        <v>54</v>
      </c>
      <c r="S59" s="11">
        <v>62</v>
      </c>
      <c r="T59" s="11">
        <v>75</v>
      </c>
      <c r="U59" s="11">
        <v>58</v>
      </c>
      <c r="V59" s="11">
        <v>5</v>
      </c>
      <c r="W59" s="11">
        <v>-2</v>
      </c>
      <c r="X59" s="11">
        <v>-11</v>
      </c>
      <c r="Y59" s="25" t="s">
        <v>886</v>
      </c>
    </row>
    <row r="60" spans="1:25" ht="14.25" customHeight="1" x14ac:dyDescent="0.25">
      <c r="A60" s="11"/>
      <c r="B60" s="11">
        <v>6</v>
      </c>
      <c r="C60" s="11" t="s">
        <v>148</v>
      </c>
      <c r="D60" s="11">
        <v>4</v>
      </c>
      <c r="E60" s="23">
        <v>5.0999999999999996</v>
      </c>
      <c r="F60" s="25" t="s">
        <v>148</v>
      </c>
      <c r="G60" s="11" t="s">
        <v>159</v>
      </c>
      <c r="H60" s="11" t="s">
        <v>160</v>
      </c>
      <c r="I60" s="11" t="s">
        <v>764</v>
      </c>
      <c r="J60" s="58" t="s">
        <v>879</v>
      </c>
      <c r="K60" s="11">
        <v>24</v>
      </c>
      <c r="L60" s="11">
        <v>5</v>
      </c>
      <c r="M60" s="11">
        <v>55</v>
      </c>
      <c r="N60" s="11">
        <v>38</v>
      </c>
      <c r="O60" s="11">
        <v>17</v>
      </c>
      <c r="P60" s="11">
        <v>65</v>
      </c>
      <c r="Q60" s="11">
        <v>62</v>
      </c>
      <c r="R60" s="11">
        <v>44</v>
      </c>
      <c r="S60" s="11">
        <v>59</v>
      </c>
      <c r="T60" s="11">
        <v>72</v>
      </c>
      <c r="U60" s="11">
        <v>56</v>
      </c>
      <c r="V60" s="11">
        <v>5</v>
      </c>
      <c r="W60" s="11"/>
      <c r="X60" s="11">
        <v>-1</v>
      </c>
      <c r="Y60" s="25" t="s">
        <v>1058</v>
      </c>
    </row>
    <row r="61" spans="1:25" ht="14.25" customHeight="1" x14ac:dyDescent="0.25">
      <c r="A61" s="11"/>
      <c r="B61" s="11">
        <v>6</v>
      </c>
      <c r="C61" s="11" t="s">
        <v>148</v>
      </c>
      <c r="D61" s="11">
        <v>5</v>
      </c>
      <c r="E61" s="23">
        <v>4.8</v>
      </c>
      <c r="F61" s="25" t="s">
        <v>886</v>
      </c>
      <c r="G61" s="11" t="s">
        <v>147</v>
      </c>
      <c r="H61" s="11" t="s">
        <v>91</v>
      </c>
      <c r="I61" s="11" t="s">
        <v>764</v>
      </c>
      <c r="J61" s="58" t="s">
        <v>879</v>
      </c>
      <c r="K61" s="11">
        <v>27</v>
      </c>
      <c r="L61" s="11">
        <v>5</v>
      </c>
      <c r="M61" s="11">
        <v>52</v>
      </c>
      <c r="N61" s="11">
        <v>57</v>
      </c>
      <c r="O61" s="11">
        <v>-5</v>
      </c>
      <c r="P61" s="11">
        <v>63</v>
      </c>
      <c r="Q61" s="11">
        <v>55</v>
      </c>
      <c r="R61" s="11">
        <v>65</v>
      </c>
      <c r="S61" s="11">
        <v>55</v>
      </c>
      <c r="T61" s="11">
        <v>73</v>
      </c>
      <c r="U61" s="11">
        <v>60</v>
      </c>
      <c r="V61" s="11">
        <v>6</v>
      </c>
      <c r="W61" s="11"/>
      <c r="X61" s="11">
        <v>-8</v>
      </c>
      <c r="Y61" s="25" t="s">
        <v>886</v>
      </c>
    </row>
    <row r="62" spans="1:25" ht="14.25" customHeight="1" x14ac:dyDescent="0.25">
      <c r="A62" s="11"/>
      <c r="B62" s="11">
        <v>5</v>
      </c>
      <c r="C62" s="11" t="s">
        <v>148</v>
      </c>
      <c r="D62" s="11">
        <v>7</v>
      </c>
      <c r="E62" s="23">
        <v>6.11</v>
      </c>
      <c r="F62" s="25" t="s">
        <v>886</v>
      </c>
      <c r="G62" s="11" t="s">
        <v>310</v>
      </c>
      <c r="H62" s="11" t="s">
        <v>85</v>
      </c>
      <c r="I62" s="11" t="s">
        <v>760</v>
      </c>
      <c r="J62" s="43" t="s">
        <v>852</v>
      </c>
      <c r="K62" s="11">
        <v>9</v>
      </c>
      <c r="L62" s="11">
        <v>7</v>
      </c>
      <c r="M62" s="11">
        <v>76</v>
      </c>
      <c r="N62" s="11">
        <v>80</v>
      </c>
      <c r="O62" s="11">
        <v>-4</v>
      </c>
      <c r="P62" s="11">
        <v>47</v>
      </c>
      <c r="Q62" s="11">
        <v>42</v>
      </c>
      <c r="R62" s="11">
        <v>73</v>
      </c>
      <c r="S62" s="11">
        <v>57</v>
      </c>
      <c r="T62" s="11">
        <v>42</v>
      </c>
      <c r="U62" s="11">
        <v>59</v>
      </c>
      <c r="V62" s="11">
        <v>5</v>
      </c>
      <c r="W62" s="11"/>
      <c r="X62" s="11">
        <v>17</v>
      </c>
      <c r="Y62" s="25" t="s">
        <v>886</v>
      </c>
    </row>
    <row r="63" spans="1:25" ht="14.25" customHeight="1" x14ac:dyDescent="0.25">
      <c r="A63" s="11"/>
      <c r="B63" s="11">
        <v>6</v>
      </c>
      <c r="C63" s="11" t="s">
        <v>148</v>
      </c>
      <c r="D63" s="11">
        <v>4</v>
      </c>
      <c r="E63" s="23">
        <v>4.4000000000000004</v>
      </c>
      <c r="F63" s="25" t="s">
        <v>148</v>
      </c>
      <c r="G63" s="11" t="s">
        <v>272</v>
      </c>
      <c r="H63" s="11" t="s">
        <v>168</v>
      </c>
      <c r="I63" s="11" t="s">
        <v>762</v>
      </c>
      <c r="J63" s="69" t="s">
        <v>846</v>
      </c>
      <c r="K63" s="11">
        <v>20</v>
      </c>
      <c r="L63" s="11">
        <v>5</v>
      </c>
      <c r="M63" s="11">
        <v>56</v>
      </c>
      <c r="N63" s="11">
        <v>61</v>
      </c>
      <c r="O63" s="11">
        <v>-5</v>
      </c>
      <c r="P63" s="11">
        <v>55</v>
      </c>
      <c r="Q63" s="11">
        <v>75</v>
      </c>
      <c r="R63" s="11">
        <v>51</v>
      </c>
      <c r="S63" s="11">
        <v>56</v>
      </c>
      <c r="T63" s="11">
        <v>70</v>
      </c>
      <c r="U63" s="11">
        <v>60</v>
      </c>
      <c r="V63" s="11">
        <v>6</v>
      </c>
      <c r="W63" s="11"/>
      <c r="X63" s="11">
        <v>-4</v>
      </c>
      <c r="Y63" s="25" t="s">
        <v>1066</v>
      </c>
    </row>
    <row r="64" spans="1:25" ht="14.25" customHeight="1" x14ac:dyDescent="0.25">
      <c r="A64" s="11"/>
      <c r="B64" s="11">
        <v>5</v>
      </c>
      <c r="C64" s="11" t="s">
        <v>148</v>
      </c>
      <c r="D64" s="11">
        <v>5</v>
      </c>
      <c r="E64" s="23">
        <v>5.6</v>
      </c>
      <c r="F64" s="25" t="s">
        <v>119</v>
      </c>
      <c r="G64" s="11" t="s">
        <v>172</v>
      </c>
      <c r="H64" s="11" t="s">
        <v>155</v>
      </c>
      <c r="I64" s="11" t="s">
        <v>762</v>
      </c>
      <c r="J64" s="69" t="s">
        <v>846</v>
      </c>
      <c r="K64" s="11">
        <v>26</v>
      </c>
      <c r="L64" s="11">
        <v>6</v>
      </c>
      <c r="M64" s="11">
        <v>64</v>
      </c>
      <c r="N64" s="11">
        <v>70</v>
      </c>
      <c r="O64" s="11">
        <v>-6</v>
      </c>
      <c r="P64" s="11">
        <v>49</v>
      </c>
      <c r="Q64" s="11">
        <v>53</v>
      </c>
      <c r="R64" s="11">
        <v>56</v>
      </c>
      <c r="S64" s="11">
        <v>68</v>
      </c>
      <c r="T64" s="11">
        <v>57</v>
      </c>
      <c r="U64" s="11">
        <v>59</v>
      </c>
      <c r="V64" s="11">
        <v>5</v>
      </c>
      <c r="W64" s="11"/>
      <c r="X64" s="11">
        <v>5</v>
      </c>
      <c r="Y64" s="25" t="s">
        <v>886</v>
      </c>
    </row>
    <row r="65" spans="1:25" ht="14.25" customHeight="1" x14ac:dyDescent="0.25">
      <c r="A65" s="11"/>
      <c r="B65" s="11">
        <v>5</v>
      </c>
      <c r="C65" s="11" t="s">
        <v>148</v>
      </c>
      <c r="D65" s="11">
        <v>5</v>
      </c>
      <c r="E65" s="23"/>
      <c r="F65" s="25" t="s">
        <v>148</v>
      </c>
      <c r="G65" s="11" t="s">
        <v>260</v>
      </c>
      <c r="H65" s="11" t="s">
        <v>168</v>
      </c>
      <c r="I65" s="11" t="s">
        <v>764</v>
      </c>
      <c r="J65" s="58" t="s">
        <v>879</v>
      </c>
      <c r="K65" s="11">
        <v>26</v>
      </c>
      <c r="L65" s="11">
        <v>5</v>
      </c>
      <c r="M65" s="11">
        <v>59</v>
      </c>
      <c r="N65" s="11">
        <v>48</v>
      </c>
      <c r="O65" s="11">
        <v>11</v>
      </c>
      <c r="P65" s="11">
        <v>53</v>
      </c>
      <c r="Q65" s="11">
        <v>58</v>
      </c>
      <c r="R65" s="11">
        <v>50</v>
      </c>
      <c r="S65" s="11">
        <v>50</v>
      </c>
      <c r="T65" s="11">
        <v>56</v>
      </c>
      <c r="U65" s="11">
        <v>53</v>
      </c>
      <c r="V65" s="11">
        <v>5</v>
      </c>
      <c r="W65" s="11"/>
      <c r="X65" s="11">
        <v>6</v>
      </c>
      <c r="Y65" s="25" t="s">
        <v>886</v>
      </c>
    </row>
    <row r="66" spans="1:25" ht="14.25" customHeight="1" x14ac:dyDescent="0.25">
      <c r="A66" s="11"/>
      <c r="B66" s="11">
        <v>6</v>
      </c>
      <c r="C66" s="11" t="s">
        <v>148</v>
      </c>
      <c r="D66" s="11">
        <v>4</v>
      </c>
      <c r="E66" s="23">
        <v>4.0999999999999996</v>
      </c>
      <c r="F66" s="25" t="s">
        <v>148</v>
      </c>
      <c r="G66" s="11" t="s">
        <v>478</v>
      </c>
      <c r="H66" s="11" t="s">
        <v>229</v>
      </c>
      <c r="I66" s="11" t="s">
        <v>764</v>
      </c>
      <c r="J66" s="58" t="s">
        <v>879</v>
      </c>
      <c r="K66" s="11">
        <v>25</v>
      </c>
      <c r="L66" s="11">
        <v>5</v>
      </c>
      <c r="M66" s="11">
        <v>58</v>
      </c>
      <c r="N66" s="11">
        <v>51</v>
      </c>
      <c r="O66" s="11">
        <v>7</v>
      </c>
      <c r="P66" s="11">
        <v>67</v>
      </c>
      <c r="Q66" s="11">
        <v>60</v>
      </c>
      <c r="R66" s="11">
        <v>59</v>
      </c>
      <c r="S66" s="11">
        <v>72</v>
      </c>
      <c r="T66" s="11">
        <v>66</v>
      </c>
      <c r="U66" s="11">
        <v>61</v>
      </c>
      <c r="V66" s="11">
        <v>6</v>
      </c>
      <c r="W66" s="11"/>
      <c r="X66" s="11">
        <v>-3</v>
      </c>
      <c r="Y66" s="25" t="s">
        <v>886</v>
      </c>
    </row>
    <row r="67" spans="1:25" ht="14.25" customHeight="1" x14ac:dyDescent="0.25">
      <c r="A67" s="11"/>
      <c r="B67" s="11">
        <v>6</v>
      </c>
      <c r="C67" s="11" t="s">
        <v>148</v>
      </c>
      <c r="D67" s="11">
        <v>5</v>
      </c>
      <c r="E67" s="23">
        <v>5.2</v>
      </c>
      <c r="F67" s="25" t="s">
        <v>886</v>
      </c>
      <c r="G67" s="11" t="s">
        <v>178</v>
      </c>
      <c r="H67" s="11" t="s">
        <v>35</v>
      </c>
      <c r="I67" s="11" t="s">
        <v>762</v>
      </c>
      <c r="J67" s="69" t="s">
        <v>846</v>
      </c>
      <c r="K67" s="11">
        <v>21</v>
      </c>
      <c r="L67" s="11">
        <v>6</v>
      </c>
      <c r="M67" s="11">
        <v>61</v>
      </c>
      <c r="N67" s="11">
        <v>75</v>
      </c>
      <c r="O67" s="11">
        <v>-14</v>
      </c>
      <c r="P67" s="11">
        <v>57</v>
      </c>
      <c r="Q67" s="11">
        <v>59</v>
      </c>
      <c r="R67" s="11">
        <v>68</v>
      </c>
      <c r="S67" s="11">
        <v>52</v>
      </c>
      <c r="T67" s="11">
        <v>67</v>
      </c>
      <c r="U67" s="11">
        <v>62</v>
      </c>
      <c r="V67" s="11">
        <v>6</v>
      </c>
      <c r="W67" s="11"/>
      <c r="X67" s="11">
        <v>-1</v>
      </c>
      <c r="Y67" s="25" t="s">
        <v>886</v>
      </c>
    </row>
    <row r="68" spans="1:25" ht="14.25" customHeight="1" x14ac:dyDescent="0.25">
      <c r="A68" s="11"/>
      <c r="B68" s="11">
        <v>6</v>
      </c>
      <c r="C68" s="11" t="s">
        <v>148</v>
      </c>
      <c r="D68" s="11">
        <v>6</v>
      </c>
      <c r="E68" s="23">
        <v>5.0999999999999996</v>
      </c>
      <c r="F68" s="25" t="s">
        <v>148</v>
      </c>
      <c r="G68" s="11" t="s">
        <v>456</v>
      </c>
      <c r="H68" s="11" t="s">
        <v>199</v>
      </c>
      <c r="I68" s="11" t="s">
        <v>764</v>
      </c>
      <c r="J68" s="58" t="s">
        <v>879</v>
      </c>
      <c r="K68" s="11">
        <v>30</v>
      </c>
      <c r="L68" s="11">
        <v>6</v>
      </c>
      <c r="M68" s="11">
        <v>62</v>
      </c>
      <c r="N68" s="11">
        <v>55</v>
      </c>
      <c r="O68" s="11">
        <v>7</v>
      </c>
      <c r="P68" s="11">
        <v>83</v>
      </c>
      <c r="Q68" s="11">
        <v>74</v>
      </c>
      <c r="R68" s="11">
        <v>71</v>
      </c>
      <c r="S68" s="11">
        <v>66</v>
      </c>
      <c r="T68" s="11">
        <v>62</v>
      </c>
      <c r="U68" s="11">
        <v>67</v>
      </c>
      <c r="V68" s="11">
        <v>6</v>
      </c>
      <c r="W68" s="11"/>
      <c r="X68" s="11">
        <v>-5</v>
      </c>
      <c r="Y68" s="25" t="s">
        <v>1061</v>
      </c>
    </row>
    <row r="69" spans="1:25" ht="14.25" customHeight="1" x14ac:dyDescent="0.25">
      <c r="A69" s="11"/>
      <c r="B69" s="11">
        <v>8</v>
      </c>
      <c r="C69" s="11" t="s">
        <v>148</v>
      </c>
      <c r="D69" s="11">
        <v>6</v>
      </c>
      <c r="E69" s="23">
        <v>5.3</v>
      </c>
      <c r="F69" s="25" t="s">
        <v>886</v>
      </c>
      <c r="G69" s="11" t="s">
        <v>202</v>
      </c>
      <c r="H69" s="11" t="s">
        <v>155</v>
      </c>
      <c r="I69" s="11" t="s">
        <v>764</v>
      </c>
      <c r="J69" s="46" t="s">
        <v>845</v>
      </c>
      <c r="K69" s="11">
        <v>33</v>
      </c>
      <c r="L69" s="11">
        <v>6</v>
      </c>
      <c r="M69" s="11">
        <v>63</v>
      </c>
      <c r="N69" s="11">
        <v>64</v>
      </c>
      <c r="O69" s="11">
        <v>-1</v>
      </c>
      <c r="P69" s="11">
        <v>99</v>
      </c>
      <c r="Q69" s="11">
        <v>76</v>
      </c>
      <c r="R69" s="11">
        <v>77</v>
      </c>
      <c r="S69" s="11">
        <v>80</v>
      </c>
      <c r="T69" s="11">
        <v>89</v>
      </c>
      <c r="U69" s="11">
        <v>78</v>
      </c>
      <c r="V69" s="11">
        <v>7</v>
      </c>
      <c r="W69" s="11"/>
      <c r="X69" s="11">
        <v>-15</v>
      </c>
      <c r="Y69" s="25" t="s">
        <v>1048</v>
      </c>
    </row>
    <row r="70" spans="1:25" ht="14.25" customHeight="1" x14ac:dyDescent="0.25">
      <c r="A70" s="11"/>
      <c r="B70" s="11">
        <v>6</v>
      </c>
      <c r="C70" s="11" t="s">
        <v>148</v>
      </c>
      <c r="D70" s="11">
        <v>5</v>
      </c>
      <c r="E70" s="23">
        <v>4.5999999999999996</v>
      </c>
      <c r="F70" s="25" t="s">
        <v>886</v>
      </c>
      <c r="G70" s="11" t="s">
        <v>252</v>
      </c>
      <c r="H70" s="11" t="s">
        <v>229</v>
      </c>
      <c r="I70" s="11" t="s">
        <v>762</v>
      </c>
      <c r="J70" s="69" t="s">
        <v>846</v>
      </c>
      <c r="K70" s="11">
        <v>24</v>
      </c>
      <c r="L70" s="11">
        <v>5</v>
      </c>
      <c r="M70" s="11">
        <v>54</v>
      </c>
      <c r="N70" s="11">
        <v>68</v>
      </c>
      <c r="O70" s="11">
        <v>-14</v>
      </c>
      <c r="P70" s="11">
        <v>59</v>
      </c>
      <c r="Q70" s="11">
        <v>69</v>
      </c>
      <c r="R70" s="11">
        <v>58</v>
      </c>
      <c r="S70" s="11">
        <v>69</v>
      </c>
      <c r="T70" s="11">
        <v>78</v>
      </c>
      <c r="U70" s="11">
        <v>65</v>
      </c>
      <c r="V70" s="11">
        <v>6</v>
      </c>
      <c r="W70" s="11"/>
      <c r="X70" s="11">
        <v>-11</v>
      </c>
      <c r="Y70" s="25" t="s">
        <v>886</v>
      </c>
    </row>
    <row r="71" spans="1:25" ht="14.25" customHeight="1" x14ac:dyDescent="0.25">
      <c r="A71" s="11"/>
      <c r="B71" s="11">
        <v>7</v>
      </c>
      <c r="C71" s="11" t="s">
        <v>148</v>
      </c>
      <c r="D71" s="11">
        <v>5</v>
      </c>
      <c r="E71" s="23">
        <v>3.12</v>
      </c>
      <c r="F71" s="25" t="s">
        <v>119</v>
      </c>
      <c r="G71" s="11" t="s">
        <v>167</v>
      </c>
      <c r="H71" s="11" t="s">
        <v>81</v>
      </c>
      <c r="I71" s="11" t="s">
        <v>764</v>
      </c>
      <c r="J71" s="46" t="s">
        <v>845</v>
      </c>
      <c r="K71" s="11">
        <v>31</v>
      </c>
      <c r="L71" s="11">
        <v>5</v>
      </c>
      <c r="M71" s="11">
        <v>48</v>
      </c>
      <c r="N71" s="11">
        <v>53</v>
      </c>
      <c r="O71" s="11">
        <v>-5</v>
      </c>
      <c r="P71" s="11">
        <v>79</v>
      </c>
      <c r="Q71" s="11">
        <v>64</v>
      </c>
      <c r="R71" s="11">
        <v>66</v>
      </c>
      <c r="S71" s="11">
        <v>70</v>
      </c>
      <c r="T71" s="11">
        <v>84</v>
      </c>
      <c r="U71" s="11">
        <v>66</v>
      </c>
      <c r="V71" s="11">
        <v>6</v>
      </c>
      <c r="W71" s="11"/>
      <c r="X71" s="11">
        <v>-18</v>
      </c>
      <c r="Y71" s="25" t="s">
        <v>886</v>
      </c>
    </row>
    <row r="72" spans="1:25" ht="14.25" customHeight="1" x14ac:dyDescent="0.25">
      <c r="A72" s="11"/>
      <c r="B72" s="11">
        <v>8</v>
      </c>
      <c r="C72" s="11" t="s">
        <v>148</v>
      </c>
      <c r="D72" s="11">
        <v>6</v>
      </c>
      <c r="E72" s="23">
        <v>5.4</v>
      </c>
      <c r="F72" s="25" t="s">
        <v>886</v>
      </c>
      <c r="G72" s="11" t="s">
        <v>128</v>
      </c>
      <c r="H72" s="11" t="s">
        <v>129</v>
      </c>
      <c r="I72" s="11" t="s">
        <v>764</v>
      </c>
      <c r="J72" s="46" t="s">
        <v>845</v>
      </c>
      <c r="K72" s="11">
        <v>32</v>
      </c>
      <c r="L72" s="11">
        <v>6</v>
      </c>
      <c r="M72" s="11">
        <v>66</v>
      </c>
      <c r="N72" s="11">
        <v>67</v>
      </c>
      <c r="O72" s="11">
        <v>-1</v>
      </c>
      <c r="P72" s="11">
        <v>101</v>
      </c>
      <c r="Q72" s="11">
        <v>84</v>
      </c>
      <c r="R72" s="11">
        <v>82</v>
      </c>
      <c r="S72" s="11">
        <v>73</v>
      </c>
      <c r="T72" s="11">
        <v>87</v>
      </c>
      <c r="U72" s="11">
        <v>80</v>
      </c>
      <c r="V72" s="11">
        <v>7</v>
      </c>
      <c r="W72" s="11"/>
      <c r="X72" s="11">
        <v>-14</v>
      </c>
      <c r="Y72" s="25" t="s">
        <v>886</v>
      </c>
    </row>
    <row r="73" spans="1:25" ht="14.25" customHeight="1" x14ac:dyDescent="0.25">
      <c r="A73" s="11"/>
      <c r="B73" s="11">
        <v>6</v>
      </c>
      <c r="C73" s="11" t="s">
        <v>148</v>
      </c>
      <c r="D73" s="11">
        <v>6</v>
      </c>
      <c r="E73" s="23">
        <v>5.5</v>
      </c>
      <c r="F73" s="25" t="s">
        <v>886</v>
      </c>
      <c r="G73" s="11" t="s">
        <v>415</v>
      </c>
      <c r="H73" s="11" t="s">
        <v>85</v>
      </c>
      <c r="I73" s="11" t="s">
        <v>762</v>
      </c>
      <c r="J73" s="69" t="s">
        <v>846</v>
      </c>
      <c r="K73" s="11">
        <v>23</v>
      </c>
      <c r="L73" s="11">
        <v>6</v>
      </c>
      <c r="M73" s="11">
        <v>65</v>
      </c>
      <c r="N73" s="11">
        <v>71</v>
      </c>
      <c r="O73" s="11">
        <v>-6</v>
      </c>
      <c r="P73" s="11">
        <v>66</v>
      </c>
      <c r="Q73" s="11">
        <v>63</v>
      </c>
      <c r="R73" s="11">
        <v>62</v>
      </c>
      <c r="S73" s="11">
        <v>61</v>
      </c>
      <c r="T73" s="11">
        <v>59</v>
      </c>
      <c r="U73" s="11">
        <v>63</v>
      </c>
      <c r="V73" s="11">
        <v>6</v>
      </c>
      <c r="W73" s="11"/>
      <c r="X73" s="11">
        <v>2</v>
      </c>
      <c r="Y73" s="25" t="s">
        <v>886</v>
      </c>
    </row>
    <row r="74" spans="1:25" ht="14.25" customHeight="1" x14ac:dyDescent="0.25">
      <c r="A74" s="11"/>
      <c r="B74" s="11">
        <v>5</v>
      </c>
      <c r="C74" s="11" t="s">
        <v>148</v>
      </c>
      <c r="D74" s="11"/>
      <c r="E74" s="23"/>
      <c r="F74" s="25" t="s">
        <v>886</v>
      </c>
      <c r="G74" s="11" t="s">
        <v>246</v>
      </c>
      <c r="H74" s="11" t="s">
        <v>35</v>
      </c>
      <c r="I74" s="11" t="s">
        <v>769</v>
      </c>
      <c r="J74" s="11" t="s">
        <v>863</v>
      </c>
      <c r="K74" s="11">
        <v>4</v>
      </c>
      <c r="L74" s="11">
        <v>6</v>
      </c>
      <c r="M74" s="11">
        <v>68</v>
      </c>
      <c r="N74" s="11">
        <v>77</v>
      </c>
      <c r="O74" s="11">
        <v>-9</v>
      </c>
      <c r="P74" s="11">
        <v>58</v>
      </c>
      <c r="Q74" s="11">
        <v>49</v>
      </c>
      <c r="R74" s="11">
        <v>53</v>
      </c>
      <c r="S74" s="11">
        <v>51</v>
      </c>
      <c r="T74" s="11">
        <v>43</v>
      </c>
      <c r="U74" s="11">
        <v>57</v>
      </c>
      <c r="V74" s="11">
        <v>5</v>
      </c>
      <c r="W74" s="11"/>
      <c r="X74" s="11">
        <v>11</v>
      </c>
      <c r="Y74" s="25" t="s">
        <v>886</v>
      </c>
    </row>
    <row r="75" spans="1:25" ht="14.25" customHeight="1" x14ac:dyDescent="0.25">
      <c r="A75" s="11"/>
      <c r="B75" s="11">
        <v>7</v>
      </c>
      <c r="C75" s="11" t="s">
        <v>148</v>
      </c>
      <c r="D75" s="11">
        <v>7</v>
      </c>
      <c r="E75" s="23">
        <v>5.7</v>
      </c>
      <c r="F75" s="25" t="s">
        <v>886</v>
      </c>
      <c r="G75" s="11" t="s">
        <v>435</v>
      </c>
      <c r="H75" s="11" t="s">
        <v>126</v>
      </c>
      <c r="I75" s="11" t="s">
        <v>762</v>
      </c>
      <c r="J75" s="11" t="s">
        <v>848</v>
      </c>
      <c r="K75" s="11">
        <v>34</v>
      </c>
      <c r="L75" s="11">
        <v>6</v>
      </c>
      <c r="M75" s="11">
        <v>67</v>
      </c>
      <c r="N75" s="11">
        <v>84</v>
      </c>
      <c r="O75" s="11">
        <v>-17</v>
      </c>
      <c r="P75" s="11">
        <v>70</v>
      </c>
      <c r="Q75" s="11">
        <v>81</v>
      </c>
      <c r="R75" s="11">
        <v>80</v>
      </c>
      <c r="S75" s="11">
        <v>82</v>
      </c>
      <c r="T75" s="11">
        <v>101</v>
      </c>
      <c r="U75" s="11">
        <v>80</v>
      </c>
      <c r="V75" s="11">
        <v>7</v>
      </c>
      <c r="W75" s="11"/>
      <c r="X75" s="11">
        <v>-13</v>
      </c>
      <c r="Y75" s="25" t="s">
        <v>1077</v>
      </c>
    </row>
    <row r="76" spans="1:25" ht="14.25" customHeight="1" x14ac:dyDescent="0.25">
      <c r="A76" s="11"/>
      <c r="B76" s="11">
        <v>6</v>
      </c>
      <c r="C76" s="11" t="s">
        <v>148</v>
      </c>
      <c r="D76" s="11">
        <v>6</v>
      </c>
      <c r="E76" s="23">
        <v>5.8</v>
      </c>
      <c r="F76" s="25" t="s">
        <v>886</v>
      </c>
      <c r="G76" s="11" t="s">
        <v>338</v>
      </c>
      <c r="H76" s="11" t="s">
        <v>72</v>
      </c>
      <c r="I76" s="11" t="s">
        <v>762</v>
      </c>
      <c r="J76" s="69" t="s">
        <v>846</v>
      </c>
      <c r="K76" s="11">
        <v>25</v>
      </c>
      <c r="L76" s="11">
        <v>6</v>
      </c>
      <c r="M76" s="11">
        <v>70</v>
      </c>
      <c r="N76" s="11">
        <v>78</v>
      </c>
      <c r="O76" s="11">
        <v>-8</v>
      </c>
      <c r="P76" s="11">
        <v>56</v>
      </c>
      <c r="Q76" s="11">
        <v>70</v>
      </c>
      <c r="R76" s="11">
        <v>70</v>
      </c>
      <c r="S76" s="11">
        <v>65</v>
      </c>
      <c r="T76" s="11">
        <v>77</v>
      </c>
      <c r="U76" s="11">
        <v>69</v>
      </c>
      <c r="V76" s="11">
        <v>6</v>
      </c>
      <c r="W76" s="11"/>
      <c r="X76" s="11">
        <v>1</v>
      </c>
      <c r="Y76" s="25" t="s">
        <v>886</v>
      </c>
    </row>
    <row r="77" spans="1:25" ht="14.25" customHeight="1" x14ac:dyDescent="0.25">
      <c r="A77" s="11"/>
      <c r="B77" s="11">
        <v>7</v>
      </c>
      <c r="C77" s="11" t="s">
        <v>148</v>
      </c>
      <c r="D77" s="11">
        <v>6</v>
      </c>
      <c r="E77" s="23">
        <v>5.9</v>
      </c>
      <c r="F77" s="25" t="s">
        <v>886</v>
      </c>
      <c r="G77" s="11" t="s">
        <v>615</v>
      </c>
      <c r="H77" s="11" t="s">
        <v>233</v>
      </c>
      <c r="I77" s="11" t="s">
        <v>762</v>
      </c>
      <c r="J77" s="77" t="s">
        <v>910</v>
      </c>
      <c r="K77" s="11">
        <v>27</v>
      </c>
      <c r="L77" s="11">
        <v>8</v>
      </c>
      <c r="M77" s="11">
        <v>95</v>
      </c>
      <c r="N77" s="11">
        <v>79</v>
      </c>
      <c r="O77" s="11">
        <v>16</v>
      </c>
      <c r="P77" s="11">
        <v>78</v>
      </c>
      <c r="Q77" s="11">
        <v>97</v>
      </c>
      <c r="R77" s="11">
        <v>78</v>
      </c>
      <c r="S77" s="11">
        <v>76</v>
      </c>
      <c r="T77" s="11">
        <v>80</v>
      </c>
      <c r="U77" s="11">
        <v>83</v>
      </c>
      <c r="V77" s="11">
        <v>7</v>
      </c>
      <c r="W77" s="11"/>
      <c r="X77" s="11">
        <v>12</v>
      </c>
      <c r="Y77" s="25" t="s">
        <v>1070</v>
      </c>
    </row>
    <row r="78" spans="1:25" ht="14.25" customHeight="1" x14ac:dyDescent="0.25">
      <c r="A78" s="11"/>
      <c r="B78" s="11">
        <v>6</v>
      </c>
      <c r="C78" s="11" t="s">
        <v>148</v>
      </c>
      <c r="D78" s="11"/>
      <c r="E78" s="23"/>
      <c r="F78" s="25" t="s">
        <v>886</v>
      </c>
      <c r="G78" s="11" t="s">
        <v>422</v>
      </c>
      <c r="H78" s="11" t="s">
        <v>72</v>
      </c>
      <c r="I78" s="11" t="s">
        <v>769</v>
      </c>
      <c r="J78" s="11" t="s">
        <v>863</v>
      </c>
      <c r="K78" s="11">
        <v>5</v>
      </c>
      <c r="L78" s="11">
        <v>7</v>
      </c>
      <c r="M78" s="11">
        <v>73</v>
      </c>
      <c r="N78" s="11">
        <v>87</v>
      </c>
      <c r="O78" s="11">
        <v>-14</v>
      </c>
      <c r="P78" s="11">
        <v>71</v>
      </c>
      <c r="Q78" s="11">
        <v>56</v>
      </c>
      <c r="R78" s="11">
        <v>64</v>
      </c>
      <c r="S78" s="11">
        <v>64</v>
      </c>
      <c r="T78" s="11">
        <v>50</v>
      </c>
      <c r="U78" s="11">
        <v>66</v>
      </c>
      <c r="V78" s="11">
        <v>6</v>
      </c>
      <c r="W78" s="11"/>
      <c r="X78" s="11">
        <v>7</v>
      </c>
      <c r="Y78" s="25" t="s">
        <v>886</v>
      </c>
    </row>
    <row r="79" spans="1:25" ht="14.25" customHeight="1" x14ac:dyDescent="0.25">
      <c r="A79" s="11"/>
      <c r="B79" s="11">
        <v>8</v>
      </c>
      <c r="C79" s="11" t="s">
        <v>148</v>
      </c>
      <c r="D79" s="11">
        <v>6</v>
      </c>
      <c r="E79" s="23">
        <v>5.0999999999999996</v>
      </c>
      <c r="F79" s="25" t="s">
        <v>886</v>
      </c>
      <c r="G79" s="11" t="s">
        <v>778</v>
      </c>
      <c r="H79" s="11" t="s">
        <v>55</v>
      </c>
      <c r="I79" s="11" t="s">
        <v>764</v>
      </c>
      <c r="J79" s="46" t="s">
        <v>845</v>
      </c>
      <c r="K79" s="11">
        <v>32</v>
      </c>
      <c r="L79" s="11">
        <v>6</v>
      </c>
      <c r="M79" s="11">
        <v>69</v>
      </c>
      <c r="N79" s="11">
        <v>59</v>
      </c>
      <c r="O79" s="11">
        <v>10</v>
      </c>
      <c r="P79" s="11">
        <v>72</v>
      </c>
      <c r="Q79" s="11">
        <v>93</v>
      </c>
      <c r="R79" s="11">
        <v>67</v>
      </c>
      <c r="S79" s="11">
        <v>94</v>
      </c>
      <c r="T79" s="11">
        <v>110</v>
      </c>
      <c r="U79" s="11">
        <v>80</v>
      </c>
      <c r="V79" s="11">
        <v>7</v>
      </c>
      <c r="W79" s="11"/>
      <c r="X79" s="11">
        <v>-11</v>
      </c>
      <c r="Y79" s="25" t="s">
        <v>1048</v>
      </c>
    </row>
    <row r="80" spans="1:25" ht="14.25" customHeight="1" x14ac:dyDescent="0.25">
      <c r="A80" s="11" t="s">
        <v>95</v>
      </c>
      <c r="B80" s="11">
        <v>9</v>
      </c>
      <c r="C80" s="11" t="s">
        <v>148</v>
      </c>
      <c r="D80" s="11">
        <v>8</v>
      </c>
      <c r="E80" s="23">
        <v>5.12</v>
      </c>
      <c r="F80" s="25" t="s">
        <v>148</v>
      </c>
      <c r="G80" s="11" t="s">
        <v>292</v>
      </c>
      <c r="H80" s="11" t="s">
        <v>72</v>
      </c>
      <c r="I80" s="11" t="s">
        <v>762</v>
      </c>
      <c r="J80" s="77" t="s">
        <v>910</v>
      </c>
      <c r="K80" s="11">
        <v>28</v>
      </c>
      <c r="L80" s="11">
        <v>6</v>
      </c>
      <c r="M80" s="11">
        <v>71</v>
      </c>
      <c r="N80" s="11">
        <v>82</v>
      </c>
      <c r="O80" s="11">
        <v>-11</v>
      </c>
      <c r="P80" s="11">
        <v>98</v>
      </c>
      <c r="Q80" s="11">
        <v>122</v>
      </c>
      <c r="R80" s="11">
        <v>88</v>
      </c>
      <c r="S80" s="11">
        <v>103</v>
      </c>
      <c r="T80" s="11">
        <v>122</v>
      </c>
      <c r="U80" s="11">
        <v>98</v>
      </c>
      <c r="V80" s="11">
        <v>9</v>
      </c>
      <c r="W80" s="11">
        <v>-1</v>
      </c>
      <c r="X80" s="11">
        <v>-27</v>
      </c>
      <c r="Y80" s="25" t="s">
        <v>1071</v>
      </c>
    </row>
    <row r="81" spans="1:25" ht="14.25" customHeight="1" x14ac:dyDescent="0.25">
      <c r="A81" s="11"/>
      <c r="B81" s="11">
        <v>6</v>
      </c>
      <c r="C81" s="11" t="s">
        <v>148</v>
      </c>
      <c r="D81" s="11">
        <v>7</v>
      </c>
      <c r="E81" s="23">
        <v>7.4</v>
      </c>
      <c r="F81" s="25" t="s">
        <v>886</v>
      </c>
      <c r="G81" s="11" t="s">
        <v>364</v>
      </c>
      <c r="H81" s="11" t="s">
        <v>163</v>
      </c>
      <c r="I81" s="11" t="s">
        <v>760</v>
      </c>
      <c r="J81" s="40" t="s">
        <v>893</v>
      </c>
      <c r="K81" s="11">
        <v>6</v>
      </c>
      <c r="L81" s="11">
        <v>8</v>
      </c>
      <c r="M81" s="11">
        <v>90</v>
      </c>
      <c r="N81" s="11">
        <v>93</v>
      </c>
      <c r="O81" s="11">
        <v>-3</v>
      </c>
      <c r="P81" s="11">
        <v>54</v>
      </c>
      <c r="Q81" s="11">
        <v>52</v>
      </c>
      <c r="R81" s="11">
        <v>92</v>
      </c>
      <c r="S81" s="11">
        <v>71</v>
      </c>
      <c r="T81" s="11">
        <v>61</v>
      </c>
      <c r="U81" s="11">
        <v>73</v>
      </c>
      <c r="V81" s="11">
        <v>7</v>
      </c>
      <c r="W81" s="11"/>
      <c r="X81" s="11">
        <v>17</v>
      </c>
      <c r="Y81" s="25" t="s">
        <v>886</v>
      </c>
    </row>
    <row r="82" spans="1:25" ht="14.25" customHeight="1" x14ac:dyDescent="0.25">
      <c r="A82" s="11"/>
      <c r="B82" s="11">
        <v>6</v>
      </c>
      <c r="C82" s="11" t="s">
        <v>148</v>
      </c>
      <c r="D82" s="11">
        <v>7</v>
      </c>
      <c r="E82" s="23">
        <v>6.1</v>
      </c>
      <c r="F82" s="25" t="s">
        <v>119</v>
      </c>
      <c r="G82" s="11" t="s">
        <v>349</v>
      </c>
      <c r="H82" s="11" t="s">
        <v>91</v>
      </c>
      <c r="I82" s="11" t="s">
        <v>769</v>
      </c>
      <c r="J82" s="47" t="s">
        <v>849</v>
      </c>
      <c r="K82" s="11">
        <v>7</v>
      </c>
      <c r="L82" s="11">
        <v>7</v>
      </c>
      <c r="M82" s="11">
        <v>79</v>
      </c>
      <c r="N82" s="11">
        <v>95</v>
      </c>
      <c r="O82" s="11">
        <v>-16</v>
      </c>
      <c r="P82" s="11">
        <v>73</v>
      </c>
      <c r="Q82" s="11">
        <v>73</v>
      </c>
      <c r="R82" s="11">
        <v>79</v>
      </c>
      <c r="S82" s="11">
        <v>77</v>
      </c>
      <c r="T82" s="11">
        <v>53</v>
      </c>
      <c r="U82" s="11">
        <v>75</v>
      </c>
      <c r="V82" s="11">
        <v>7</v>
      </c>
      <c r="W82" s="11"/>
      <c r="X82" s="11">
        <v>4</v>
      </c>
      <c r="Y82" s="25" t="s">
        <v>886</v>
      </c>
    </row>
    <row r="83" spans="1:25" ht="14.25" customHeight="1" x14ac:dyDescent="0.25">
      <c r="A83" s="11"/>
      <c r="B83" s="11">
        <v>8</v>
      </c>
      <c r="C83" s="11" t="s">
        <v>148</v>
      </c>
      <c r="D83" s="11">
        <v>7</v>
      </c>
      <c r="E83" s="23">
        <v>6.9</v>
      </c>
      <c r="F83" s="25" t="s">
        <v>886</v>
      </c>
      <c r="G83" s="11" t="s">
        <v>288</v>
      </c>
      <c r="H83" s="11" t="s">
        <v>104</v>
      </c>
      <c r="I83" s="11" t="s">
        <v>764</v>
      </c>
      <c r="J83" s="44" t="s">
        <v>884</v>
      </c>
      <c r="K83" s="11">
        <v>38</v>
      </c>
      <c r="L83" s="11">
        <v>7</v>
      </c>
      <c r="M83" s="11">
        <v>77</v>
      </c>
      <c r="N83" s="11">
        <v>69</v>
      </c>
      <c r="O83" s="11">
        <v>8</v>
      </c>
      <c r="P83" s="11">
        <v>91</v>
      </c>
      <c r="Q83" s="11">
        <v>88</v>
      </c>
      <c r="R83" s="11">
        <v>85</v>
      </c>
      <c r="S83" s="11">
        <v>89</v>
      </c>
      <c r="T83" s="11">
        <v>95</v>
      </c>
      <c r="U83" s="11">
        <v>84</v>
      </c>
      <c r="V83" s="11">
        <v>8</v>
      </c>
      <c r="W83" s="11"/>
      <c r="X83" s="11">
        <v>-7</v>
      </c>
      <c r="Y83" s="25" t="s">
        <v>886</v>
      </c>
    </row>
    <row r="84" spans="1:25" ht="14.25" customHeight="1" x14ac:dyDescent="0.25">
      <c r="A84" s="11"/>
      <c r="B84" s="11">
        <v>8</v>
      </c>
      <c r="C84" s="11" t="s">
        <v>148</v>
      </c>
      <c r="D84" s="11">
        <v>7</v>
      </c>
      <c r="E84" s="23">
        <v>6.8</v>
      </c>
      <c r="F84" s="25" t="s">
        <v>886</v>
      </c>
      <c r="G84" s="11" t="s">
        <v>335</v>
      </c>
      <c r="H84" s="11" t="s">
        <v>94</v>
      </c>
      <c r="I84" s="11" t="s">
        <v>764</v>
      </c>
      <c r="J84" s="44" t="s">
        <v>884</v>
      </c>
      <c r="K84" s="11">
        <v>35</v>
      </c>
      <c r="L84" s="11">
        <v>8</v>
      </c>
      <c r="M84" s="11">
        <v>87</v>
      </c>
      <c r="N84" s="11">
        <v>73</v>
      </c>
      <c r="O84" s="11">
        <v>14</v>
      </c>
      <c r="P84" s="11">
        <v>85</v>
      </c>
      <c r="Q84" s="11">
        <v>82</v>
      </c>
      <c r="R84" s="11">
        <v>87</v>
      </c>
      <c r="S84" s="11">
        <v>83</v>
      </c>
      <c r="T84" s="11">
        <v>119</v>
      </c>
      <c r="U84" s="11">
        <v>88</v>
      </c>
      <c r="V84" s="11">
        <v>8</v>
      </c>
      <c r="W84" s="11"/>
      <c r="X84" s="11">
        <v>-1</v>
      </c>
      <c r="Y84" s="25" t="s">
        <v>886</v>
      </c>
    </row>
    <row r="85" spans="1:25" ht="14.25" customHeight="1" x14ac:dyDescent="0.25">
      <c r="A85" s="11"/>
      <c r="B85" s="11">
        <v>8</v>
      </c>
      <c r="C85" s="11" t="s">
        <v>148</v>
      </c>
      <c r="D85" s="11">
        <v>6</v>
      </c>
      <c r="E85" s="23">
        <v>5.1100000000000003</v>
      </c>
      <c r="F85" s="25" t="s">
        <v>148</v>
      </c>
      <c r="G85" s="11" t="s">
        <v>162</v>
      </c>
      <c r="H85" s="11" t="s">
        <v>163</v>
      </c>
      <c r="I85" s="11" t="s">
        <v>764</v>
      </c>
      <c r="J85" s="46" t="s">
        <v>845</v>
      </c>
      <c r="K85" s="11">
        <v>34</v>
      </c>
      <c r="L85" s="11">
        <v>7</v>
      </c>
      <c r="M85" s="11">
        <v>72</v>
      </c>
      <c r="N85" s="11">
        <v>56</v>
      </c>
      <c r="O85" s="11">
        <v>16</v>
      </c>
      <c r="P85" s="11">
        <v>80</v>
      </c>
      <c r="Q85" s="11">
        <v>83</v>
      </c>
      <c r="R85" s="11">
        <v>61</v>
      </c>
      <c r="S85" s="11">
        <v>101</v>
      </c>
      <c r="T85" s="11">
        <v>120</v>
      </c>
      <c r="U85" s="11">
        <v>81</v>
      </c>
      <c r="V85" s="11">
        <v>7</v>
      </c>
      <c r="W85" s="11"/>
      <c r="X85" s="11">
        <v>-9</v>
      </c>
      <c r="Y85" s="25" t="s">
        <v>1061</v>
      </c>
    </row>
    <row r="86" spans="1:25" ht="14.25" customHeight="1" x14ac:dyDescent="0.25">
      <c r="A86" s="11"/>
      <c r="B86" s="11">
        <v>6</v>
      </c>
      <c r="C86" s="11" t="s">
        <v>148</v>
      </c>
      <c r="D86" s="11">
        <v>6</v>
      </c>
      <c r="E86" s="23">
        <v>6.7</v>
      </c>
      <c r="F86" s="25" t="s">
        <v>148</v>
      </c>
      <c r="G86" s="11" t="s">
        <v>133</v>
      </c>
      <c r="H86" s="11" t="s">
        <v>85</v>
      </c>
      <c r="I86" s="11" t="s">
        <v>764</v>
      </c>
      <c r="J86" s="58" t="s">
        <v>879</v>
      </c>
      <c r="K86" s="11">
        <v>29</v>
      </c>
      <c r="L86" s="11">
        <v>7</v>
      </c>
      <c r="M86" s="11">
        <v>74</v>
      </c>
      <c r="N86" s="11">
        <v>60</v>
      </c>
      <c r="O86" s="11">
        <v>14</v>
      </c>
      <c r="P86" s="11">
        <v>84</v>
      </c>
      <c r="Q86" s="11">
        <v>71</v>
      </c>
      <c r="R86" s="11">
        <v>72</v>
      </c>
      <c r="S86" s="11">
        <v>49</v>
      </c>
      <c r="T86" s="11">
        <v>47</v>
      </c>
      <c r="U86" s="11">
        <v>65</v>
      </c>
      <c r="V86" s="11">
        <v>6</v>
      </c>
      <c r="W86" s="11"/>
      <c r="X86" s="11">
        <v>9</v>
      </c>
      <c r="Y86" s="25" t="s">
        <v>1063</v>
      </c>
    </row>
    <row r="87" spans="1:25" ht="14.25" customHeight="1" x14ac:dyDescent="0.25">
      <c r="A87" s="11"/>
      <c r="B87" s="11">
        <v>7</v>
      </c>
      <c r="C87" s="11" t="s">
        <v>148</v>
      </c>
      <c r="D87" s="11"/>
      <c r="E87" s="23"/>
      <c r="F87" s="25" t="s">
        <v>886</v>
      </c>
      <c r="G87" s="11" t="s">
        <v>429</v>
      </c>
      <c r="H87" s="11" t="s">
        <v>187</v>
      </c>
      <c r="I87" s="11" t="s">
        <v>764</v>
      </c>
      <c r="J87" s="11" t="s">
        <v>884</v>
      </c>
      <c r="K87" s="11">
        <v>37</v>
      </c>
      <c r="L87" s="11">
        <v>7</v>
      </c>
      <c r="M87" s="11">
        <v>81</v>
      </c>
      <c r="N87" s="11">
        <v>72</v>
      </c>
      <c r="O87" s="11">
        <v>9</v>
      </c>
      <c r="P87" s="11">
        <v>69</v>
      </c>
      <c r="Q87" s="11">
        <v>68</v>
      </c>
      <c r="R87" s="11">
        <v>74</v>
      </c>
      <c r="S87" s="11">
        <v>75</v>
      </c>
      <c r="T87" s="11">
        <v>98</v>
      </c>
      <c r="U87" s="11">
        <v>76</v>
      </c>
      <c r="V87" s="11">
        <v>7</v>
      </c>
      <c r="W87" s="11"/>
      <c r="X87" s="11">
        <v>5</v>
      </c>
      <c r="Y87" s="25" t="s">
        <v>886</v>
      </c>
    </row>
    <row r="88" spans="1:25" ht="14.25" customHeight="1" x14ac:dyDescent="0.25">
      <c r="A88" s="11"/>
      <c r="B88" s="11">
        <v>7</v>
      </c>
      <c r="C88" s="11" t="s">
        <v>148</v>
      </c>
      <c r="D88" s="11">
        <v>7</v>
      </c>
      <c r="E88" s="23">
        <v>6.6</v>
      </c>
      <c r="F88" s="25" t="s">
        <v>886</v>
      </c>
      <c r="G88" s="11" t="s">
        <v>318</v>
      </c>
      <c r="H88" s="11" t="s">
        <v>168</v>
      </c>
      <c r="I88" s="11" t="s">
        <v>760</v>
      </c>
      <c r="J88" s="40" t="s">
        <v>893</v>
      </c>
      <c r="K88" s="11">
        <v>7</v>
      </c>
      <c r="L88" s="11">
        <v>7</v>
      </c>
      <c r="M88" s="11">
        <v>83</v>
      </c>
      <c r="N88" s="11">
        <v>96</v>
      </c>
      <c r="O88" s="11">
        <v>-13</v>
      </c>
      <c r="P88" s="11">
        <v>68</v>
      </c>
      <c r="Q88" s="11">
        <v>66</v>
      </c>
      <c r="R88" s="11">
        <v>89</v>
      </c>
      <c r="S88" s="11">
        <v>79</v>
      </c>
      <c r="T88" s="11">
        <v>64</v>
      </c>
      <c r="U88" s="11">
        <v>77</v>
      </c>
      <c r="V88" s="11">
        <v>7</v>
      </c>
      <c r="W88" s="11"/>
      <c r="X88" s="11">
        <v>6</v>
      </c>
      <c r="Y88" s="25" t="s">
        <v>886</v>
      </c>
    </row>
    <row r="89" spans="1:25" ht="14.25" customHeight="1" x14ac:dyDescent="0.25">
      <c r="A89" s="11"/>
      <c r="B89" s="11">
        <v>8</v>
      </c>
      <c r="C89" s="11" t="s">
        <v>148</v>
      </c>
      <c r="D89" s="11">
        <v>8</v>
      </c>
      <c r="E89" s="23">
        <v>6.12</v>
      </c>
      <c r="F89" s="25" t="s">
        <v>886</v>
      </c>
      <c r="G89" s="11" t="s">
        <v>231</v>
      </c>
      <c r="H89" s="11" t="s">
        <v>233</v>
      </c>
      <c r="I89" s="11" t="s">
        <v>762</v>
      </c>
      <c r="J89" s="11" t="s">
        <v>848</v>
      </c>
      <c r="K89" s="11">
        <v>35</v>
      </c>
      <c r="L89" s="11">
        <v>7</v>
      </c>
      <c r="M89" s="11">
        <v>75</v>
      </c>
      <c r="N89" s="11">
        <v>88</v>
      </c>
      <c r="O89" s="11">
        <v>-13</v>
      </c>
      <c r="P89" s="11">
        <v>88</v>
      </c>
      <c r="Q89" s="11">
        <v>85</v>
      </c>
      <c r="R89" s="11">
        <v>84</v>
      </c>
      <c r="S89" s="11">
        <v>86</v>
      </c>
      <c r="T89" s="11">
        <v>107</v>
      </c>
      <c r="U89" s="11">
        <v>87</v>
      </c>
      <c r="V89" s="11">
        <v>8</v>
      </c>
      <c r="W89" s="11"/>
      <c r="X89" s="11">
        <v>-12</v>
      </c>
      <c r="Y89" s="25" t="s">
        <v>886</v>
      </c>
    </row>
    <row r="90" spans="1:25" ht="14.25" customHeight="1" x14ac:dyDescent="0.25">
      <c r="A90" s="11"/>
      <c r="B90" s="11">
        <v>7</v>
      </c>
      <c r="C90" s="11" t="s">
        <v>148</v>
      </c>
      <c r="D90" s="11">
        <v>7</v>
      </c>
      <c r="E90" s="23">
        <v>7.5</v>
      </c>
      <c r="F90" s="25" t="s">
        <v>119</v>
      </c>
      <c r="G90" s="11" t="s">
        <v>648</v>
      </c>
      <c r="H90" s="11" t="s">
        <v>168</v>
      </c>
      <c r="I90" s="11" t="s">
        <v>769</v>
      </c>
      <c r="J90" s="47" t="s">
        <v>849</v>
      </c>
      <c r="K90" s="11">
        <v>8</v>
      </c>
      <c r="L90" s="11">
        <v>8</v>
      </c>
      <c r="M90" s="11">
        <v>92</v>
      </c>
      <c r="N90" s="11">
        <v>107</v>
      </c>
      <c r="O90" s="11">
        <v>-15</v>
      </c>
      <c r="P90" s="11">
        <v>97</v>
      </c>
      <c r="Q90" s="11">
        <v>78</v>
      </c>
      <c r="R90" s="11">
        <v>75</v>
      </c>
      <c r="S90" s="11">
        <v>87</v>
      </c>
      <c r="T90" s="11">
        <v>74</v>
      </c>
      <c r="U90" s="11">
        <v>87</v>
      </c>
      <c r="V90" s="11">
        <v>8</v>
      </c>
      <c r="W90" s="11"/>
      <c r="X90" s="11">
        <v>5</v>
      </c>
      <c r="Y90" s="25" t="s">
        <v>886</v>
      </c>
    </row>
    <row r="91" spans="1:25" ht="14.25" customHeight="1" x14ac:dyDescent="0.25">
      <c r="A91" s="11"/>
      <c r="B91" s="11">
        <v>7</v>
      </c>
      <c r="C91" s="11" t="s">
        <v>148</v>
      </c>
      <c r="D91" s="11">
        <v>8</v>
      </c>
      <c r="E91" s="23">
        <v>7.6</v>
      </c>
      <c r="F91" s="25" t="s">
        <v>886</v>
      </c>
      <c r="G91" s="11" t="s">
        <v>555</v>
      </c>
      <c r="H91" s="11" t="s">
        <v>187</v>
      </c>
      <c r="I91" s="11" t="s">
        <v>769</v>
      </c>
      <c r="J91" s="47" t="s">
        <v>849</v>
      </c>
      <c r="K91" s="11">
        <v>10</v>
      </c>
      <c r="L91" s="11">
        <v>9</v>
      </c>
      <c r="M91" s="11">
        <v>97</v>
      </c>
      <c r="N91" s="11">
        <v>118</v>
      </c>
      <c r="O91" s="11">
        <v>-21</v>
      </c>
      <c r="P91" s="11">
        <v>74</v>
      </c>
      <c r="Q91" s="11">
        <v>72</v>
      </c>
      <c r="R91" s="11">
        <v>76</v>
      </c>
      <c r="S91" s="11">
        <v>92</v>
      </c>
      <c r="T91" s="11">
        <v>85</v>
      </c>
      <c r="U91" s="11">
        <v>87</v>
      </c>
      <c r="V91" s="11">
        <v>8</v>
      </c>
      <c r="W91" s="11"/>
      <c r="X91" s="11">
        <v>10</v>
      </c>
      <c r="Y91" s="25" t="s">
        <v>886</v>
      </c>
    </row>
    <row r="92" spans="1:25" ht="14.25" customHeight="1" x14ac:dyDescent="0.25">
      <c r="A92" s="11"/>
      <c r="B92" s="11">
        <v>8</v>
      </c>
      <c r="C92" s="11" t="s">
        <v>148</v>
      </c>
      <c r="D92" s="11">
        <v>7</v>
      </c>
      <c r="E92" s="23">
        <v>7.1</v>
      </c>
      <c r="F92" s="25" t="s">
        <v>886</v>
      </c>
      <c r="G92" s="11" t="s">
        <v>355</v>
      </c>
      <c r="H92" s="11" t="s">
        <v>123</v>
      </c>
      <c r="I92" s="11" t="s">
        <v>760</v>
      </c>
      <c r="J92" s="40" t="s">
        <v>893</v>
      </c>
      <c r="K92" s="11">
        <v>8</v>
      </c>
      <c r="L92" s="11">
        <v>9</v>
      </c>
      <c r="M92" s="11">
        <v>98</v>
      </c>
      <c r="N92" s="11">
        <v>98</v>
      </c>
      <c r="O92" s="11">
        <v>0</v>
      </c>
      <c r="P92" s="11">
        <v>82</v>
      </c>
      <c r="Q92" s="11">
        <v>77</v>
      </c>
      <c r="R92" s="11">
        <v>105</v>
      </c>
      <c r="S92" s="11">
        <v>91</v>
      </c>
      <c r="T92" s="11">
        <v>81</v>
      </c>
      <c r="U92" s="11">
        <v>90</v>
      </c>
      <c r="V92" s="11">
        <v>8</v>
      </c>
      <c r="W92" s="11"/>
      <c r="X92" s="11">
        <v>8</v>
      </c>
      <c r="Y92" s="25" t="s">
        <v>886</v>
      </c>
    </row>
    <row r="93" spans="1:25" ht="14.25" customHeight="1" x14ac:dyDescent="0.25">
      <c r="A93" s="11"/>
      <c r="B93" s="11">
        <v>6</v>
      </c>
      <c r="C93" s="11" t="s">
        <v>148</v>
      </c>
      <c r="D93" s="11">
        <v>7</v>
      </c>
      <c r="E93" s="23">
        <v>6.1</v>
      </c>
      <c r="F93" s="25" t="s">
        <v>119</v>
      </c>
      <c r="G93" s="11" t="s">
        <v>312</v>
      </c>
      <c r="H93" s="11" t="s">
        <v>85</v>
      </c>
      <c r="I93" s="11" t="s">
        <v>769</v>
      </c>
      <c r="J93" s="47" t="s">
        <v>849</v>
      </c>
      <c r="K93" s="11">
        <v>9</v>
      </c>
      <c r="L93" s="11">
        <v>7</v>
      </c>
      <c r="M93" s="11">
        <v>82</v>
      </c>
      <c r="N93" s="11">
        <v>91</v>
      </c>
      <c r="O93" s="11">
        <v>-9</v>
      </c>
      <c r="P93" s="11">
        <v>61</v>
      </c>
      <c r="Q93" s="11">
        <v>57</v>
      </c>
      <c r="R93" s="11">
        <v>63</v>
      </c>
      <c r="S93" s="11">
        <v>67</v>
      </c>
      <c r="T93" s="11">
        <v>58</v>
      </c>
      <c r="U93" s="11">
        <v>68</v>
      </c>
      <c r="V93" s="11">
        <v>6</v>
      </c>
      <c r="W93" s="11"/>
      <c r="X93" s="11">
        <v>14</v>
      </c>
      <c r="Y93" s="25" t="s">
        <v>886</v>
      </c>
    </row>
    <row r="94" spans="1:25" ht="14.25" customHeight="1" x14ac:dyDescent="0.25">
      <c r="A94" s="11" t="s">
        <v>95</v>
      </c>
      <c r="B94" s="11">
        <v>8</v>
      </c>
      <c r="C94" s="11" t="s">
        <v>148</v>
      </c>
      <c r="D94" s="11">
        <v>10</v>
      </c>
      <c r="E94" s="23"/>
      <c r="F94" s="25" t="s">
        <v>886</v>
      </c>
      <c r="G94" s="11" t="s">
        <v>804</v>
      </c>
      <c r="H94" s="11" t="s">
        <v>116</v>
      </c>
      <c r="I94" s="11" t="s">
        <v>762</v>
      </c>
      <c r="J94" s="69" t="s">
        <v>846</v>
      </c>
      <c r="K94" s="11">
        <v>22</v>
      </c>
      <c r="L94" s="11">
        <v>14</v>
      </c>
      <c r="M94" s="11">
        <v>161</v>
      </c>
      <c r="N94" s="11">
        <v>122</v>
      </c>
      <c r="O94" s="11">
        <v>39</v>
      </c>
      <c r="P94" s="11">
        <v>81</v>
      </c>
      <c r="Q94" s="11">
        <v>121</v>
      </c>
      <c r="R94" s="11">
        <v>115</v>
      </c>
      <c r="S94" s="11">
        <v>63</v>
      </c>
      <c r="T94" s="11">
        <v>65</v>
      </c>
      <c r="U94" s="11">
        <v>104</v>
      </c>
      <c r="V94" s="11">
        <v>9</v>
      </c>
      <c r="W94" s="11"/>
      <c r="X94" s="11">
        <v>57</v>
      </c>
      <c r="Y94" s="25" t="s">
        <v>1067</v>
      </c>
    </row>
    <row r="95" spans="1:25" ht="14.25" customHeight="1" x14ac:dyDescent="0.25">
      <c r="A95" s="11"/>
      <c r="B95" s="11">
        <v>9</v>
      </c>
      <c r="C95" s="11" t="s">
        <v>148</v>
      </c>
      <c r="D95" s="11">
        <v>6</v>
      </c>
      <c r="E95" s="23">
        <v>6.5</v>
      </c>
      <c r="F95" s="25" t="s">
        <v>886</v>
      </c>
      <c r="G95" s="11" t="s">
        <v>294</v>
      </c>
      <c r="H95" s="11" t="s">
        <v>72</v>
      </c>
      <c r="I95" s="11" t="s">
        <v>764</v>
      </c>
      <c r="J95" s="44" t="s">
        <v>884</v>
      </c>
      <c r="K95" s="11">
        <v>36</v>
      </c>
      <c r="L95" s="11">
        <v>8</v>
      </c>
      <c r="M95" s="11">
        <v>84</v>
      </c>
      <c r="N95" s="11">
        <v>74</v>
      </c>
      <c r="O95" s="11">
        <v>10</v>
      </c>
      <c r="P95" s="11">
        <v>103</v>
      </c>
      <c r="Q95" s="11">
        <v>110</v>
      </c>
      <c r="R95" s="11">
        <v>95</v>
      </c>
      <c r="S95" s="11">
        <v>81</v>
      </c>
      <c r="T95" s="11">
        <v>94</v>
      </c>
      <c r="U95" s="11">
        <v>91</v>
      </c>
      <c r="V95" s="11">
        <v>8</v>
      </c>
      <c r="W95" s="11"/>
      <c r="X95" s="11">
        <v>-7</v>
      </c>
      <c r="Y95" s="25" t="s">
        <v>886</v>
      </c>
    </row>
    <row r="96" spans="1:25" ht="14.25" customHeight="1" x14ac:dyDescent="0.25">
      <c r="A96" s="11"/>
      <c r="B96" s="11">
        <v>8</v>
      </c>
      <c r="C96" s="11" t="s">
        <v>148</v>
      </c>
      <c r="D96" s="11">
        <v>8</v>
      </c>
      <c r="E96" s="23">
        <v>8.1</v>
      </c>
      <c r="F96" s="25" t="s">
        <v>148</v>
      </c>
      <c r="G96" s="11" t="s">
        <v>194</v>
      </c>
      <c r="H96" s="11" t="s">
        <v>60</v>
      </c>
      <c r="I96" s="11" t="s">
        <v>769</v>
      </c>
      <c r="J96" s="49" t="s">
        <v>891</v>
      </c>
      <c r="K96" s="11">
        <v>11</v>
      </c>
      <c r="L96" s="11">
        <v>10</v>
      </c>
      <c r="M96" s="11">
        <v>117</v>
      </c>
      <c r="N96" s="11">
        <v>89</v>
      </c>
      <c r="O96" s="11">
        <v>28</v>
      </c>
      <c r="P96" s="11">
        <v>96</v>
      </c>
      <c r="Q96" s="11">
        <v>89</v>
      </c>
      <c r="R96" s="11">
        <v>69</v>
      </c>
      <c r="S96" s="11">
        <v>96</v>
      </c>
      <c r="T96" s="11">
        <v>88</v>
      </c>
      <c r="U96" s="11">
        <v>92</v>
      </c>
      <c r="V96" s="11">
        <v>8</v>
      </c>
      <c r="W96" s="11"/>
      <c r="X96" s="11">
        <v>25</v>
      </c>
      <c r="Y96" s="25" t="s">
        <v>1073</v>
      </c>
    </row>
    <row r="97" spans="1:25" ht="14.25" customHeight="1" x14ac:dyDescent="0.25">
      <c r="A97" s="11"/>
      <c r="B97" s="11">
        <v>9</v>
      </c>
      <c r="C97" s="11" t="s">
        <v>148</v>
      </c>
      <c r="D97" s="11">
        <v>8</v>
      </c>
      <c r="E97" s="23">
        <v>6.2</v>
      </c>
      <c r="F97" s="25" t="s">
        <v>886</v>
      </c>
      <c r="G97" s="11" t="s">
        <v>308</v>
      </c>
      <c r="H97" s="11" t="s">
        <v>55</v>
      </c>
      <c r="I97" s="11" t="s">
        <v>760</v>
      </c>
      <c r="J97" s="43" t="s">
        <v>852</v>
      </c>
      <c r="K97" s="11">
        <v>12</v>
      </c>
      <c r="L97" s="11">
        <v>8</v>
      </c>
      <c r="M97" s="11">
        <v>86</v>
      </c>
      <c r="N97" s="11">
        <v>101</v>
      </c>
      <c r="O97" s="11">
        <v>-15</v>
      </c>
      <c r="P97" s="11">
        <v>89</v>
      </c>
      <c r="Q97" s="11">
        <v>79</v>
      </c>
      <c r="R97" s="11">
        <v>110</v>
      </c>
      <c r="S97" s="11">
        <v>112</v>
      </c>
      <c r="T97" s="11">
        <v>106</v>
      </c>
      <c r="U97" s="11">
        <v>97</v>
      </c>
      <c r="V97" s="11">
        <v>9</v>
      </c>
      <c r="W97" s="11"/>
      <c r="X97" s="11">
        <v>-11</v>
      </c>
      <c r="Y97" s="25" t="s">
        <v>886</v>
      </c>
    </row>
    <row r="98" spans="1:25" ht="14.25" customHeight="1" x14ac:dyDescent="0.25">
      <c r="A98" s="11"/>
      <c r="B98" s="11">
        <v>9</v>
      </c>
      <c r="C98" s="11" t="s">
        <v>148</v>
      </c>
      <c r="D98" s="11">
        <v>9</v>
      </c>
      <c r="E98" s="23"/>
      <c r="F98" s="25" t="s">
        <v>886</v>
      </c>
      <c r="G98" s="11" t="s">
        <v>276</v>
      </c>
      <c r="H98" s="11" t="s">
        <v>168</v>
      </c>
      <c r="I98" s="11" t="s">
        <v>762</v>
      </c>
      <c r="J98" s="77" t="s">
        <v>910</v>
      </c>
      <c r="K98" s="11">
        <v>29</v>
      </c>
      <c r="L98" s="11">
        <v>7</v>
      </c>
      <c r="M98" s="11">
        <v>80</v>
      </c>
      <c r="N98" s="11">
        <v>97</v>
      </c>
      <c r="O98" s="11">
        <v>-17</v>
      </c>
      <c r="P98" s="11">
        <v>102</v>
      </c>
      <c r="Q98" s="11">
        <v>98</v>
      </c>
      <c r="R98" s="11">
        <v>93</v>
      </c>
      <c r="S98" s="11">
        <v>107</v>
      </c>
      <c r="T98" s="11">
        <v>136</v>
      </c>
      <c r="U98" s="11">
        <v>101</v>
      </c>
      <c r="V98" s="11">
        <v>9</v>
      </c>
      <c r="W98" s="11"/>
      <c r="X98" s="11">
        <v>-21</v>
      </c>
      <c r="Y98" s="25" t="s">
        <v>886</v>
      </c>
    </row>
    <row r="99" spans="1:25" ht="14.25" customHeight="1" x14ac:dyDescent="0.25">
      <c r="A99" s="11"/>
      <c r="B99" s="11">
        <v>8</v>
      </c>
      <c r="C99" s="11" t="s">
        <v>148</v>
      </c>
      <c r="D99" s="11"/>
      <c r="E99" s="23"/>
      <c r="F99" s="25" t="s">
        <v>886</v>
      </c>
      <c r="G99" s="11" t="s">
        <v>450</v>
      </c>
      <c r="H99" s="11" t="s">
        <v>52</v>
      </c>
      <c r="I99" s="11" t="s">
        <v>764</v>
      </c>
      <c r="J99" s="11" t="s">
        <v>875</v>
      </c>
      <c r="K99" s="11">
        <v>55</v>
      </c>
      <c r="L99" s="11">
        <v>11</v>
      </c>
      <c r="M99" s="11">
        <v>121</v>
      </c>
      <c r="N99" s="11">
        <v>100</v>
      </c>
      <c r="O99" s="11">
        <v>21</v>
      </c>
      <c r="P99" s="11">
        <v>95</v>
      </c>
      <c r="Q99" s="11">
        <v>86</v>
      </c>
      <c r="R99" s="11">
        <v>101</v>
      </c>
      <c r="S99" s="11">
        <v>88</v>
      </c>
      <c r="T99" s="11">
        <v>109</v>
      </c>
      <c r="U99" s="11">
        <v>100</v>
      </c>
      <c r="V99" s="11">
        <v>9</v>
      </c>
      <c r="W99" s="11"/>
      <c r="X99" s="11">
        <v>21</v>
      </c>
      <c r="Y99" s="25" t="s">
        <v>886</v>
      </c>
    </row>
    <row r="100" spans="1:25" ht="14.25" customHeight="1" x14ac:dyDescent="0.25">
      <c r="A100" s="11"/>
      <c r="B100" s="11">
        <v>10</v>
      </c>
      <c r="C100" s="11" t="s">
        <v>148</v>
      </c>
      <c r="D100" s="11">
        <v>6</v>
      </c>
      <c r="E100" s="23">
        <v>6.4</v>
      </c>
      <c r="F100" s="25" t="s">
        <v>886</v>
      </c>
      <c r="G100" s="11" t="s">
        <v>458</v>
      </c>
      <c r="H100" s="11" t="s">
        <v>55</v>
      </c>
      <c r="I100" s="11" t="s">
        <v>764</v>
      </c>
      <c r="J100" s="44" t="s">
        <v>851</v>
      </c>
      <c r="K100" s="11">
        <v>40</v>
      </c>
      <c r="L100" s="11">
        <v>8</v>
      </c>
      <c r="M100" s="11">
        <v>93</v>
      </c>
      <c r="N100" s="11">
        <v>76</v>
      </c>
      <c r="O100" s="11">
        <v>17</v>
      </c>
      <c r="P100" s="11">
        <v>119</v>
      </c>
      <c r="Q100" s="11">
        <v>115</v>
      </c>
      <c r="R100" s="11">
        <v>98</v>
      </c>
      <c r="S100" s="11">
        <v>102</v>
      </c>
      <c r="T100" s="11">
        <v>111</v>
      </c>
      <c r="U100" s="11">
        <v>102</v>
      </c>
      <c r="V100" s="11">
        <v>9</v>
      </c>
      <c r="W100" s="11"/>
      <c r="X100" s="11">
        <v>-9</v>
      </c>
      <c r="Y100" s="25" t="s">
        <v>886</v>
      </c>
    </row>
    <row r="101" spans="1:25" ht="14.25" customHeight="1" x14ac:dyDescent="0.25">
      <c r="A101" s="11"/>
      <c r="B101" s="11">
        <v>8</v>
      </c>
      <c r="C101" s="11" t="s">
        <v>148</v>
      </c>
      <c r="D101" s="11">
        <v>6</v>
      </c>
      <c r="E101" s="23">
        <v>7.7</v>
      </c>
      <c r="F101" s="25" t="s">
        <v>148</v>
      </c>
      <c r="G101" s="11" t="s">
        <v>320</v>
      </c>
      <c r="H101" s="11" t="s">
        <v>214</v>
      </c>
      <c r="I101" s="11" t="s">
        <v>764</v>
      </c>
      <c r="J101" s="44" t="s">
        <v>851</v>
      </c>
      <c r="K101" s="11">
        <v>39</v>
      </c>
      <c r="L101" s="11">
        <v>8</v>
      </c>
      <c r="M101" s="11">
        <v>91</v>
      </c>
      <c r="N101" s="11">
        <v>66</v>
      </c>
      <c r="O101" s="11">
        <v>25</v>
      </c>
      <c r="P101" s="11">
        <v>100</v>
      </c>
      <c r="Q101" s="11">
        <v>80</v>
      </c>
      <c r="R101" s="11">
        <v>81</v>
      </c>
      <c r="S101" s="11">
        <v>95</v>
      </c>
      <c r="T101" s="11">
        <v>115</v>
      </c>
      <c r="U101" s="11">
        <v>89</v>
      </c>
      <c r="V101" s="11">
        <v>8</v>
      </c>
      <c r="W101" s="11"/>
      <c r="X101" s="11">
        <v>2</v>
      </c>
      <c r="Y101" s="25" t="s">
        <v>1061</v>
      </c>
    </row>
    <row r="102" spans="1:25" ht="14.25" customHeight="1" x14ac:dyDescent="0.25">
      <c r="A102" s="11"/>
      <c r="B102" s="11">
        <v>9</v>
      </c>
      <c r="C102" s="11" t="s">
        <v>148</v>
      </c>
      <c r="D102" s="11">
        <v>8</v>
      </c>
      <c r="E102" s="23">
        <v>7.2</v>
      </c>
      <c r="F102" s="25" t="s">
        <v>886</v>
      </c>
      <c r="G102" s="11" t="s">
        <v>254</v>
      </c>
      <c r="H102" s="11" t="s">
        <v>69</v>
      </c>
      <c r="I102" s="11" t="s">
        <v>760</v>
      </c>
      <c r="J102" s="43" t="s">
        <v>852</v>
      </c>
      <c r="K102" s="11">
        <v>11</v>
      </c>
      <c r="L102" s="11">
        <v>8</v>
      </c>
      <c r="M102" s="11">
        <v>88</v>
      </c>
      <c r="N102" s="11">
        <v>103</v>
      </c>
      <c r="O102" s="11">
        <v>-15</v>
      </c>
      <c r="P102" s="11">
        <v>77</v>
      </c>
      <c r="Q102" s="11">
        <v>99</v>
      </c>
      <c r="R102" s="11">
        <v>97</v>
      </c>
      <c r="S102" s="11">
        <v>117</v>
      </c>
      <c r="T102" s="11">
        <v>117</v>
      </c>
      <c r="U102" s="11">
        <v>99</v>
      </c>
      <c r="V102" s="11">
        <v>9</v>
      </c>
      <c r="W102" s="11"/>
      <c r="X102" s="11">
        <v>-11</v>
      </c>
      <c r="Y102" s="25" t="s">
        <v>886</v>
      </c>
    </row>
    <row r="103" spans="1:25" ht="14.25" customHeight="1" x14ac:dyDescent="0.25">
      <c r="A103" s="11"/>
      <c r="B103" s="11">
        <v>9</v>
      </c>
      <c r="C103" s="11" t="s">
        <v>148</v>
      </c>
      <c r="D103" s="11"/>
      <c r="E103" s="23">
        <v>7.8</v>
      </c>
      <c r="F103" s="25" t="s">
        <v>886</v>
      </c>
      <c r="G103" s="11" t="s">
        <v>157</v>
      </c>
      <c r="H103" s="11" t="s">
        <v>199</v>
      </c>
      <c r="I103" s="11" t="s">
        <v>762</v>
      </c>
      <c r="J103" s="11" t="s">
        <v>848</v>
      </c>
      <c r="K103" s="11">
        <v>33</v>
      </c>
      <c r="L103" s="11">
        <v>9</v>
      </c>
      <c r="M103" s="11">
        <v>96</v>
      </c>
      <c r="N103" s="11">
        <v>106</v>
      </c>
      <c r="O103" s="11">
        <v>-10</v>
      </c>
      <c r="P103" s="11">
        <v>90</v>
      </c>
      <c r="Q103" s="11">
        <v>116</v>
      </c>
      <c r="R103" s="11">
        <v>94</v>
      </c>
      <c r="S103" s="11">
        <v>85</v>
      </c>
      <c r="T103" s="11">
        <v>121</v>
      </c>
      <c r="U103" s="11">
        <v>101</v>
      </c>
      <c r="V103" s="11">
        <v>9</v>
      </c>
      <c r="W103" s="11"/>
      <c r="X103" s="11">
        <v>-5</v>
      </c>
      <c r="Y103" s="25" t="s">
        <v>886</v>
      </c>
    </row>
    <row r="104" spans="1:25" ht="14.25" customHeight="1" x14ac:dyDescent="0.25">
      <c r="A104" s="11"/>
      <c r="B104" s="11">
        <v>9</v>
      </c>
      <c r="C104" s="11" t="s">
        <v>148</v>
      </c>
      <c r="D104" s="11"/>
      <c r="E104" s="23">
        <v>8.6999999999999993</v>
      </c>
      <c r="F104" s="25" t="s">
        <v>886</v>
      </c>
      <c r="G104" s="11" t="s">
        <v>366</v>
      </c>
      <c r="H104" s="11" t="s">
        <v>66</v>
      </c>
      <c r="I104" s="11" t="s">
        <v>764</v>
      </c>
      <c r="J104" s="44" t="s">
        <v>873</v>
      </c>
      <c r="K104" s="11">
        <v>45</v>
      </c>
      <c r="L104" s="11">
        <v>9</v>
      </c>
      <c r="M104" s="11">
        <v>106</v>
      </c>
      <c r="N104" s="11">
        <v>81</v>
      </c>
      <c r="O104" s="11">
        <v>25</v>
      </c>
      <c r="P104" s="11">
        <v>118</v>
      </c>
      <c r="Q104" s="11">
        <v>108</v>
      </c>
      <c r="R104" s="11">
        <v>103</v>
      </c>
      <c r="S104" s="11">
        <v>93</v>
      </c>
      <c r="T104" s="11">
        <v>102</v>
      </c>
      <c r="U104" s="11">
        <v>101</v>
      </c>
      <c r="V104" s="11">
        <v>9</v>
      </c>
      <c r="W104" s="11"/>
      <c r="X104" s="11">
        <v>5</v>
      </c>
      <c r="Y104" s="25" t="s">
        <v>886</v>
      </c>
    </row>
    <row r="105" spans="1:25" ht="14.25" customHeight="1" x14ac:dyDescent="0.25">
      <c r="A105" s="11"/>
      <c r="B105" s="11">
        <v>8</v>
      </c>
      <c r="C105" s="11" t="s">
        <v>148</v>
      </c>
      <c r="D105" s="11">
        <v>7</v>
      </c>
      <c r="E105" s="23">
        <v>7.11</v>
      </c>
      <c r="F105" s="25" t="s">
        <v>148</v>
      </c>
      <c r="G105" s="11" t="s">
        <v>362</v>
      </c>
      <c r="H105" s="11" t="s">
        <v>184</v>
      </c>
      <c r="I105" s="11" t="s">
        <v>764</v>
      </c>
      <c r="J105" s="44" t="s">
        <v>851</v>
      </c>
      <c r="K105" s="11">
        <v>41</v>
      </c>
      <c r="L105" s="11">
        <v>8</v>
      </c>
      <c r="M105" s="11">
        <v>94</v>
      </c>
      <c r="N105" s="11">
        <v>65</v>
      </c>
      <c r="O105" s="11">
        <v>29</v>
      </c>
      <c r="P105" s="11">
        <v>75</v>
      </c>
      <c r="Q105" s="11">
        <v>95</v>
      </c>
      <c r="R105" s="11">
        <v>83</v>
      </c>
      <c r="S105" s="11">
        <v>84</v>
      </c>
      <c r="T105" s="11">
        <v>96</v>
      </c>
      <c r="U105" s="11">
        <v>84</v>
      </c>
      <c r="V105" s="11">
        <v>8</v>
      </c>
      <c r="W105" s="11">
        <v>-1</v>
      </c>
      <c r="X105" s="11">
        <v>10</v>
      </c>
      <c r="Y105" s="25" t="s">
        <v>1065</v>
      </c>
    </row>
    <row r="106" spans="1:25" ht="14.25" customHeight="1" x14ac:dyDescent="0.25">
      <c r="A106" s="11"/>
      <c r="B106" s="11">
        <v>9</v>
      </c>
      <c r="C106" s="11" t="s">
        <v>148</v>
      </c>
      <c r="D106" s="11">
        <v>8</v>
      </c>
      <c r="E106" s="23"/>
      <c r="F106" s="25" t="s">
        <v>886</v>
      </c>
      <c r="G106" s="11" t="s">
        <v>264</v>
      </c>
      <c r="H106" s="11" t="s">
        <v>163</v>
      </c>
      <c r="I106" s="11" t="s">
        <v>764</v>
      </c>
      <c r="J106" s="44" t="s">
        <v>851</v>
      </c>
      <c r="K106" s="11">
        <v>42</v>
      </c>
      <c r="L106" s="11">
        <v>11</v>
      </c>
      <c r="M106" s="11">
        <v>127</v>
      </c>
      <c r="N106" s="11">
        <v>104</v>
      </c>
      <c r="O106" s="11">
        <v>23</v>
      </c>
      <c r="P106" s="11">
        <v>107</v>
      </c>
      <c r="Q106" s="11">
        <v>102</v>
      </c>
      <c r="R106" s="11">
        <v>118</v>
      </c>
      <c r="S106" s="11">
        <v>90</v>
      </c>
      <c r="T106" s="11">
        <v>90</v>
      </c>
      <c r="U106" s="11">
        <v>105</v>
      </c>
      <c r="V106" s="11">
        <v>9</v>
      </c>
      <c r="W106" s="11"/>
      <c r="X106" s="11">
        <v>22</v>
      </c>
      <c r="Y106" s="25" t="s">
        <v>886</v>
      </c>
    </row>
    <row r="107" spans="1:25" ht="14.25" customHeight="1" x14ac:dyDescent="0.25">
      <c r="A107" s="11"/>
      <c r="B107" s="11">
        <v>9</v>
      </c>
      <c r="C107" s="11" t="s">
        <v>148</v>
      </c>
      <c r="D107" s="11">
        <v>8</v>
      </c>
      <c r="E107" s="23">
        <v>6.3</v>
      </c>
      <c r="F107" s="25" t="s">
        <v>148</v>
      </c>
      <c r="G107" s="11" t="s">
        <v>237</v>
      </c>
      <c r="H107" s="11" t="s">
        <v>214</v>
      </c>
      <c r="I107" s="11" t="s">
        <v>769</v>
      </c>
      <c r="J107" s="49" t="s">
        <v>891</v>
      </c>
      <c r="K107" s="11">
        <v>12</v>
      </c>
      <c r="L107" s="11">
        <v>8</v>
      </c>
      <c r="M107" s="11">
        <v>85</v>
      </c>
      <c r="N107" s="11">
        <v>112</v>
      </c>
      <c r="O107" s="11">
        <v>-27</v>
      </c>
      <c r="P107" s="11">
        <v>114</v>
      </c>
      <c r="Q107" s="11">
        <v>106</v>
      </c>
      <c r="R107" s="11">
        <v>91</v>
      </c>
      <c r="S107" s="11">
        <v>105</v>
      </c>
      <c r="T107" s="11">
        <v>116</v>
      </c>
      <c r="U107" s="11">
        <v>104</v>
      </c>
      <c r="V107" s="11">
        <v>9</v>
      </c>
      <c r="W107" s="11"/>
      <c r="X107" s="11">
        <v>-19</v>
      </c>
      <c r="Y107" s="25" t="s">
        <v>886</v>
      </c>
    </row>
    <row r="108" spans="1:25" ht="14.25" customHeight="1" x14ac:dyDescent="0.25">
      <c r="A108" s="11"/>
      <c r="B108" s="11">
        <v>10</v>
      </c>
      <c r="C108" s="11" t="s">
        <v>148</v>
      </c>
      <c r="D108" s="11">
        <v>8</v>
      </c>
      <c r="E108" s="23">
        <v>8.1199999999999992</v>
      </c>
      <c r="F108" s="25" t="s">
        <v>886</v>
      </c>
      <c r="G108" s="11" t="s">
        <v>812</v>
      </c>
      <c r="H108" s="11" t="s">
        <v>145</v>
      </c>
      <c r="I108" s="11" t="s">
        <v>760</v>
      </c>
      <c r="J108" s="43" t="s">
        <v>852</v>
      </c>
      <c r="K108" s="11">
        <v>10</v>
      </c>
      <c r="L108" s="11">
        <v>9</v>
      </c>
      <c r="M108" s="11">
        <v>102</v>
      </c>
      <c r="N108" s="11">
        <v>109</v>
      </c>
      <c r="O108" s="11">
        <v>-7</v>
      </c>
      <c r="P108" s="11">
        <v>116</v>
      </c>
      <c r="Q108" s="11">
        <v>120</v>
      </c>
      <c r="R108" s="11">
        <v>119</v>
      </c>
      <c r="S108" s="11">
        <v>136</v>
      </c>
      <c r="T108" s="11">
        <v>63</v>
      </c>
      <c r="U108" s="11">
        <v>109</v>
      </c>
      <c r="V108" s="11">
        <v>10</v>
      </c>
      <c r="W108" s="11"/>
      <c r="X108" s="11">
        <v>-7</v>
      </c>
      <c r="Y108" s="25" t="s">
        <v>886</v>
      </c>
    </row>
    <row r="109" spans="1:25" ht="14.25" customHeight="1" x14ac:dyDescent="0.25">
      <c r="A109" s="11"/>
      <c r="B109" s="11">
        <v>10</v>
      </c>
      <c r="C109" s="11" t="s">
        <v>148</v>
      </c>
      <c r="D109" s="11"/>
      <c r="E109" s="23">
        <v>7.9</v>
      </c>
      <c r="F109" s="25" t="s">
        <v>886</v>
      </c>
      <c r="G109" s="11" t="s">
        <v>386</v>
      </c>
      <c r="H109" s="11" t="s">
        <v>52</v>
      </c>
      <c r="I109" s="11" t="s">
        <v>762</v>
      </c>
      <c r="J109" s="77" t="s">
        <v>910</v>
      </c>
      <c r="K109" s="11">
        <v>31</v>
      </c>
      <c r="L109" s="11">
        <v>7</v>
      </c>
      <c r="M109" s="11">
        <v>78</v>
      </c>
      <c r="N109" s="11">
        <v>94</v>
      </c>
      <c r="O109" s="11">
        <v>-16</v>
      </c>
      <c r="P109" s="11">
        <v>92</v>
      </c>
      <c r="Q109" s="11">
        <v>129</v>
      </c>
      <c r="R109" s="11">
        <v>86</v>
      </c>
      <c r="S109" s="11">
        <v>104</v>
      </c>
      <c r="T109" s="11">
        <v>153</v>
      </c>
      <c r="U109" s="11">
        <v>105</v>
      </c>
      <c r="V109" s="11">
        <v>9</v>
      </c>
      <c r="W109" s="11"/>
      <c r="X109" s="11">
        <v>-27</v>
      </c>
      <c r="Y109" s="25" t="s">
        <v>886</v>
      </c>
    </row>
    <row r="110" spans="1:25" ht="14.25" customHeight="1" x14ac:dyDescent="0.25">
      <c r="A110" s="11"/>
      <c r="B110" s="11">
        <v>10</v>
      </c>
      <c r="C110" s="11" t="s">
        <v>148</v>
      </c>
      <c r="D110" s="11"/>
      <c r="E110" s="23">
        <v>8.3000000000000007</v>
      </c>
      <c r="F110" s="25" t="s">
        <v>886</v>
      </c>
      <c r="G110" s="11" t="s">
        <v>333</v>
      </c>
      <c r="H110" s="11" t="s">
        <v>35</v>
      </c>
      <c r="I110" s="11" t="s">
        <v>760</v>
      </c>
      <c r="J110" s="11" t="s">
        <v>889</v>
      </c>
      <c r="K110" s="11">
        <v>16</v>
      </c>
      <c r="L110" s="11">
        <v>10</v>
      </c>
      <c r="M110" s="11">
        <v>113</v>
      </c>
      <c r="N110" s="11">
        <v>120</v>
      </c>
      <c r="O110" s="11">
        <v>-7</v>
      </c>
      <c r="P110" s="11">
        <v>93</v>
      </c>
      <c r="Q110" s="11">
        <v>123</v>
      </c>
      <c r="R110" s="11">
        <v>132</v>
      </c>
      <c r="S110" s="11">
        <v>97</v>
      </c>
      <c r="T110" s="11">
        <v>105</v>
      </c>
      <c r="U110" s="11">
        <v>111</v>
      </c>
      <c r="V110" s="11">
        <v>10</v>
      </c>
      <c r="W110" s="11"/>
      <c r="X110" s="11">
        <v>2</v>
      </c>
      <c r="Y110" s="25" t="s">
        <v>886</v>
      </c>
    </row>
    <row r="111" spans="1:25" ht="14.25" customHeight="1" x14ac:dyDescent="0.25">
      <c r="A111" s="11"/>
      <c r="B111" s="11">
        <v>10</v>
      </c>
      <c r="C111" s="11" t="s">
        <v>148</v>
      </c>
      <c r="D111" s="11"/>
      <c r="E111" s="23"/>
      <c r="F111" s="25" t="s">
        <v>119</v>
      </c>
      <c r="G111" s="11" t="s">
        <v>284</v>
      </c>
      <c r="H111" s="11" t="s">
        <v>60</v>
      </c>
      <c r="I111" s="11" t="s">
        <v>764</v>
      </c>
      <c r="J111" s="44" t="s">
        <v>873</v>
      </c>
      <c r="K111" s="11">
        <v>47</v>
      </c>
      <c r="L111" s="11">
        <v>10</v>
      </c>
      <c r="M111" s="11">
        <v>114</v>
      </c>
      <c r="N111" s="11">
        <v>90</v>
      </c>
      <c r="O111" s="11">
        <v>24</v>
      </c>
      <c r="P111" s="11">
        <v>94</v>
      </c>
      <c r="Q111" s="11">
        <v>92</v>
      </c>
      <c r="R111" s="11">
        <v>99</v>
      </c>
      <c r="S111" s="11">
        <v>114</v>
      </c>
      <c r="T111" s="11">
        <v>164</v>
      </c>
      <c r="U111" s="11">
        <v>109</v>
      </c>
      <c r="V111" s="11">
        <v>10</v>
      </c>
      <c r="W111" s="11"/>
      <c r="X111" s="11">
        <v>5</v>
      </c>
      <c r="Y111" s="25" t="s">
        <v>886</v>
      </c>
    </row>
    <row r="112" spans="1:25" ht="14.25" customHeight="1" x14ac:dyDescent="0.25">
      <c r="A112" s="11"/>
      <c r="B112" s="11">
        <v>9</v>
      </c>
      <c r="C112" s="11" t="s">
        <v>148</v>
      </c>
      <c r="D112" s="11"/>
      <c r="E112" s="23"/>
      <c r="F112" s="25" t="s">
        <v>886</v>
      </c>
      <c r="G112" s="11" t="s">
        <v>170</v>
      </c>
      <c r="H112" s="11" t="s">
        <v>126</v>
      </c>
      <c r="I112" s="11" t="s">
        <v>762</v>
      </c>
      <c r="J112" s="11" t="s">
        <v>848</v>
      </c>
      <c r="K112" s="11">
        <v>32</v>
      </c>
      <c r="L112" s="11">
        <v>12</v>
      </c>
      <c r="M112" s="11">
        <v>135</v>
      </c>
      <c r="N112" s="11">
        <v>116</v>
      </c>
      <c r="O112" s="11">
        <v>19</v>
      </c>
      <c r="P112" s="11">
        <v>117</v>
      </c>
      <c r="Q112" s="11">
        <v>105</v>
      </c>
      <c r="R112" s="11">
        <v>104</v>
      </c>
      <c r="S112" s="11">
        <v>98</v>
      </c>
      <c r="T112" s="11">
        <v>100</v>
      </c>
      <c r="U112" s="11">
        <v>110</v>
      </c>
      <c r="V112" s="11">
        <v>10</v>
      </c>
      <c r="W112" s="11"/>
      <c r="X112" s="11">
        <v>25</v>
      </c>
      <c r="Y112" s="25" t="s">
        <v>1075</v>
      </c>
    </row>
    <row r="113" spans="1:25" ht="14.25" customHeight="1" x14ac:dyDescent="0.25">
      <c r="A113" s="11"/>
      <c r="B113" s="11">
        <v>11</v>
      </c>
      <c r="C113" s="11" t="s">
        <v>148</v>
      </c>
      <c r="D113" s="11">
        <v>9</v>
      </c>
      <c r="E113" s="23">
        <v>8.9</v>
      </c>
      <c r="F113" s="25" t="s">
        <v>886</v>
      </c>
      <c r="G113" s="11" t="s">
        <v>296</v>
      </c>
      <c r="H113" s="11" t="s">
        <v>214</v>
      </c>
      <c r="I113" s="11" t="s">
        <v>764</v>
      </c>
      <c r="J113" s="44" t="s">
        <v>873</v>
      </c>
      <c r="K113" s="11">
        <v>43</v>
      </c>
      <c r="L113" s="11">
        <v>10</v>
      </c>
      <c r="M113" s="11">
        <v>110</v>
      </c>
      <c r="N113" s="11">
        <v>86</v>
      </c>
      <c r="O113" s="11">
        <v>24</v>
      </c>
      <c r="P113" s="11">
        <v>134</v>
      </c>
      <c r="Q113" s="11">
        <v>128</v>
      </c>
      <c r="R113" s="11">
        <v>116</v>
      </c>
      <c r="S113" s="11">
        <v>99</v>
      </c>
      <c r="T113" s="11">
        <v>134</v>
      </c>
      <c r="U113" s="11">
        <v>115</v>
      </c>
      <c r="V113" s="11">
        <v>10</v>
      </c>
      <c r="W113" s="11"/>
      <c r="X113" s="11">
        <v>-5</v>
      </c>
      <c r="Y113" s="25" t="s">
        <v>886</v>
      </c>
    </row>
    <row r="114" spans="1:25" ht="14.25" customHeight="1" x14ac:dyDescent="0.25">
      <c r="A114" s="11"/>
      <c r="B114" s="11">
        <v>10</v>
      </c>
      <c r="C114" s="11" t="s">
        <v>148</v>
      </c>
      <c r="D114" s="11"/>
      <c r="E114" s="23">
        <v>8.8000000000000007</v>
      </c>
      <c r="F114" s="25" t="s">
        <v>886</v>
      </c>
      <c r="G114" s="11" t="s">
        <v>262</v>
      </c>
      <c r="H114" s="11" t="s">
        <v>88</v>
      </c>
      <c r="I114" s="11" t="s">
        <v>760</v>
      </c>
      <c r="J114" s="11" t="s">
        <v>889</v>
      </c>
      <c r="K114" s="11">
        <v>17</v>
      </c>
      <c r="L114" s="11">
        <v>9</v>
      </c>
      <c r="M114" s="11">
        <v>105</v>
      </c>
      <c r="N114" s="11">
        <v>126</v>
      </c>
      <c r="O114" s="11">
        <v>-21</v>
      </c>
      <c r="P114" s="11">
        <v>122</v>
      </c>
      <c r="Q114" s="11">
        <v>91</v>
      </c>
      <c r="R114" s="11">
        <v>135</v>
      </c>
      <c r="S114" s="11">
        <v>109</v>
      </c>
      <c r="T114" s="11">
        <v>124</v>
      </c>
      <c r="U114" s="11">
        <v>116</v>
      </c>
      <c r="V114" s="11">
        <v>10</v>
      </c>
      <c r="W114" s="11"/>
      <c r="X114" s="11">
        <v>-11</v>
      </c>
      <c r="Y114" s="25" t="s">
        <v>886</v>
      </c>
    </row>
    <row r="115" spans="1:25" ht="14.25" customHeight="1" x14ac:dyDescent="0.25">
      <c r="A115" s="11"/>
      <c r="B115" s="11">
        <v>10</v>
      </c>
      <c r="C115" s="11" t="s">
        <v>148</v>
      </c>
      <c r="D115" s="11"/>
      <c r="E115" s="23"/>
      <c r="F115" s="25" t="s">
        <v>886</v>
      </c>
      <c r="G115" s="11" t="s">
        <v>652</v>
      </c>
      <c r="H115" s="11" t="s">
        <v>66</v>
      </c>
      <c r="I115" s="11" t="s">
        <v>764</v>
      </c>
      <c r="J115" s="58" t="s">
        <v>854</v>
      </c>
      <c r="K115" s="11">
        <v>51</v>
      </c>
      <c r="L115" s="11">
        <v>11</v>
      </c>
      <c r="M115" s="11">
        <v>122</v>
      </c>
      <c r="N115" s="11">
        <v>85</v>
      </c>
      <c r="O115" s="11">
        <v>37</v>
      </c>
      <c r="P115" s="11">
        <v>113</v>
      </c>
      <c r="Q115" s="11">
        <v>111</v>
      </c>
      <c r="R115" s="11">
        <v>102</v>
      </c>
      <c r="S115" s="11">
        <v>118</v>
      </c>
      <c r="T115" s="11">
        <v>139</v>
      </c>
      <c r="U115" s="11">
        <v>112</v>
      </c>
      <c r="V115" s="11">
        <v>10</v>
      </c>
      <c r="W115" s="11"/>
      <c r="X115" s="11">
        <v>10</v>
      </c>
      <c r="Y115" s="25" t="s">
        <v>1053</v>
      </c>
    </row>
    <row r="116" spans="1:25" ht="14.25" customHeight="1" x14ac:dyDescent="0.25">
      <c r="A116" s="11"/>
      <c r="B116" s="11">
        <v>12</v>
      </c>
      <c r="C116" s="11" t="s">
        <v>148</v>
      </c>
      <c r="D116" s="11">
        <v>11</v>
      </c>
      <c r="E116" s="23"/>
      <c r="F116" s="25" t="s">
        <v>886</v>
      </c>
      <c r="G116" s="11" t="s">
        <v>360</v>
      </c>
      <c r="H116" s="11" t="s">
        <v>214</v>
      </c>
      <c r="I116" s="11" t="s">
        <v>760</v>
      </c>
      <c r="J116" s="45" t="s">
        <v>895</v>
      </c>
      <c r="K116" s="11">
        <v>15</v>
      </c>
      <c r="L116" s="11">
        <v>10</v>
      </c>
      <c r="M116" s="11">
        <v>111</v>
      </c>
      <c r="N116" s="11">
        <v>127</v>
      </c>
      <c r="O116" s="11">
        <v>-16</v>
      </c>
      <c r="P116" s="11">
        <v>123</v>
      </c>
      <c r="Q116" s="11">
        <v>125</v>
      </c>
      <c r="R116" s="11">
        <v>147</v>
      </c>
      <c r="S116" s="11">
        <v>142</v>
      </c>
      <c r="T116" s="11">
        <v>140</v>
      </c>
      <c r="U116" s="11">
        <v>130</v>
      </c>
      <c r="V116" s="11">
        <v>11</v>
      </c>
      <c r="W116" s="11"/>
      <c r="X116" s="11">
        <v>-19</v>
      </c>
      <c r="Y116" s="25" t="s">
        <v>886</v>
      </c>
    </row>
    <row r="117" spans="1:25" ht="14.25" customHeight="1" x14ac:dyDescent="0.25">
      <c r="A117" s="11"/>
      <c r="B117" s="11">
        <v>10</v>
      </c>
      <c r="C117" s="11" t="s">
        <v>148</v>
      </c>
      <c r="D117" s="11"/>
      <c r="E117" s="23"/>
      <c r="F117" s="25" t="s">
        <v>148</v>
      </c>
      <c r="G117" s="11" t="s">
        <v>154</v>
      </c>
      <c r="H117" s="11" t="s">
        <v>155</v>
      </c>
      <c r="I117" s="11" t="s">
        <v>769</v>
      </c>
      <c r="J117" s="49" t="s">
        <v>891</v>
      </c>
      <c r="K117" s="11">
        <v>13</v>
      </c>
      <c r="L117" s="11">
        <v>11</v>
      </c>
      <c r="M117" s="11">
        <v>128</v>
      </c>
      <c r="N117" s="11">
        <v>108</v>
      </c>
      <c r="O117" s="11">
        <v>20</v>
      </c>
      <c r="P117" s="11">
        <v>131</v>
      </c>
      <c r="Q117" s="11">
        <v>113</v>
      </c>
      <c r="R117" s="11">
        <v>96</v>
      </c>
      <c r="S117" s="11">
        <v>113</v>
      </c>
      <c r="T117" s="11">
        <v>113</v>
      </c>
      <c r="U117" s="11">
        <v>114</v>
      </c>
      <c r="V117" s="11">
        <v>10</v>
      </c>
      <c r="W117" s="11"/>
      <c r="X117" s="11">
        <v>14</v>
      </c>
      <c r="Y117" s="25" t="s">
        <v>1068</v>
      </c>
    </row>
    <row r="118" spans="1:25" ht="14.25" customHeight="1" x14ac:dyDescent="0.25">
      <c r="A118" s="11" t="s">
        <v>95</v>
      </c>
      <c r="B118" s="11">
        <v>10</v>
      </c>
      <c r="C118" s="11" t="s">
        <v>148</v>
      </c>
      <c r="D118" s="11">
        <v>9</v>
      </c>
      <c r="E118" s="23">
        <v>8.11</v>
      </c>
      <c r="F118" s="25" t="s">
        <v>886</v>
      </c>
      <c r="G118" s="11" t="s">
        <v>241</v>
      </c>
      <c r="H118" s="11" t="s">
        <v>155</v>
      </c>
      <c r="I118" s="11" t="s">
        <v>760</v>
      </c>
      <c r="J118" s="45" t="s">
        <v>895</v>
      </c>
      <c r="K118" s="11">
        <v>13</v>
      </c>
      <c r="L118" s="11">
        <v>9</v>
      </c>
      <c r="M118" s="11">
        <v>103</v>
      </c>
      <c r="N118" s="11">
        <v>113</v>
      </c>
      <c r="O118" s="11">
        <v>-10</v>
      </c>
      <c r="P118" s="11">
        <v>120</v>
      </c>
      <c r="Q118" s="11">
        <v>112</v>
      </c>
      <c r="R118" s="11">
        <v>124</v>
      </c>
      <c r="S118" s="11">
        <v>126</v>
      </c>
      <c r="T118" s="11">
        <v>114</v>
      </c>
      <c r="U118" s="11">
        <v>116</v>
      </c>
      <c r="V118" s="11">
        <v>10</v>
      </c>
      <c r="W118" s="11"/>
      <c r="X118" s="11">
        <v>-13</v>
      </c>
      <c r="Y118" s="25" t="s">
        <v>886</v>
      </c>
    </row>
    <row r="119" spans="1:25" ht="14.25" customHeight="1" x14ac:dyDescent="0.25">
      <c r="A119" s="11"/>
      <c r="B119" s="11">
        <v>10</v>
      </c>
      <c r="C119" s="11" t="s">
        <v>148</v>
      </c>
      <c r="D119" s="11"/>
      <c r="E119" s="23"/>
      <c r="F119" s="25" t="s">
        <v>886</v>
      </c>
      <c r="G119" s="11" t="s">
        <v>186</v>
      </c>
      <c r="H119" s="11" t="s">
        <v>187</v>
      </c>
      <c r="I119" s="11" t="s">
        <v>762</v>
      </c>
      <c r="J119" s="77" t="s">
        <v>910</v>
      </c>
      <c r="K119" s="11">
        <v>30</v>
      </c>
      <c r="L119" s="11">
        <v>15</v>
      </c>
      <c r="M119" s="11">
        <v>175</v>
      </c>
      <c r="N119" s="11">
        <v>144</v>
      </c>
      <c r="O119" s="11">
        <v>31</v>
      </c>
      <c r="P119" s="11">
        <v>110</v>
      </c>
      <c r="Q119" s="11">
        <v>146</v>
      </c>
      <c r="R119" s="11">
        <v>111</v>
      </c>
      <c r="S119" s="11">
        <v>74</v>
      </c>
      <c r="T119" s="11">
        <v>99</v>
      </c>
      <c r="U119" s="11">
        <v>122</v>
      </c>
      <c r="V119" s="11">
        <v>11</v>
      </c>
      <c r="W119" s="11"/>
      <c r="X119" s="11">
        <v>53</v>
      </c>
      <c r="Y119" s="25" t="s">
        <v>1072</v>
      </c>
    </row>
    <row r="120" spans="1:25" ht="14.25" customHeight="1" x14ac:dyDescent="0.25">
      <c r="A120" s="11"/>
      <c r="B120" s="11">
        <v>10</v>
      </c>
      <c r="C120" s="11" t="s">
        <v>148</v>
      </c>
      <c r="D120" s="11">
        <v>9</v>
      </c>
      <c r="E120" s="23">
        <v>8.1</v>
      </c>
      <c r="F120" s="25" t="s">
        <v>886</v>
      </c>
      <c r="G120" s="11" t="s">
        <v>222</v>
      </c>
      <c r="H120" s="11" t="s">
        <v>104</v>
      </c>
      <c r="I120" s="11" t="s">
        <v>762</v>
      </c>
      <c r="J120" s="11" t="s">
        <v>848</v>
      </c>
      <c r="K120" s="11">
        <v>37</v>
      </c>
      <c r="L120" s="11">
        <v>10</v>
      </c>
      <c r="M120" s="11">
        <v>116</v>
      </c>
      <c r="N120" s="11">
        <v>125</v>
      </c>
      <c r="O120" s="11">
        <v>-9</v>
      </c>
      <c r="P120" s="11">
        <v>109</v>
      </c>
      <c r="Q120" s="11">
        <v>107</v>
      </c>
      <c r="R120" s="11">
        <v>126</v>
      </c>
      <c r="S120" s="11">
        <v>111</v>
      </c>
      <c r="T120" s="11">
        <v>130</v>
      </c>
      <c r="U120" s="11">
        <v>117</v>
      </c>
      <c r="V120" s="11">
        <v>10</v>
      </c>
      <c r="W120" s="11"/>
      <c r="X120" s="11">
        <v>-1</v>
      </c>
      <c r="Y120" s="25" t="s">
        <v>886</v>
      </c>
    </row>
    <row r="121" spans="1:25" ht="14.25" customHeight="1" x14ac:dyDescent="0.25">
      <c r="A121" s="11"/>
      <c r="B121" s="11">
        <v>11</v>
      </c>
      <c r="C121" s="11" t="s">
        <v>148</v>
      </c>
      <c r="D121" s="11"/>
      <c r="E121" s="23">
        <v>8.6</v>
      </c>
      <c r="F121" s="25" t="s">
        <v>119</v>
      </c>
      <c r="G121" s="11" t="s">
        <v>290</v>
      </c>
      <c r="H121" s="11" t="s">
        <v>60</v>
      </c>
      <c r="I121" s="11" t="s">
        <v>764</v>
      </c>
      <c r="J121" s="44" t="s">
        <v>873</v>
      </c>
      <c r="K121" s="11">
        <v>46</v>
      </c>
      <c r="L121" s="11">
        <v>9</v>
      </c>
      <c r="M121" s="11">
        <v>107</v>
      </c>
      <c r="N121" s="11">
        <v>83</v>
      </c>
      <c r="O121" s="11">
        <v>24</v>
      </c>
      <c r="P121" s="11">
        <v>129</v>
      </c>
      <c r="Q121" s="11">
        <v>135</v>
      </c>
      <c r="R121" s="11">
        <v>112</v>
      </c>
      <c r="S121" s="11">
        <v>106</v>
      </c>
      <c r="T121" s="11">
        <v>141</v>
      </c>
      <c r="U121" s="11">
        <v>116</v>
      </c>
      <c r="V121" s="11">
        <v>10</v>
      </c>
      <c r="W121" s="11"/>
      <c r="X121" s="11">
        <v>-9</v>
      </c>
      <c r="Y121" s="25" t="s">
        <v>886</v>
      </c>
    </row>
    <row r="122" spans="1:25" ht="14.25" customHeight="1" x14ac:dyDescent="0.25">
      <c r="A122" s="11"/>
      <c r="B122" s="11">
        <v>10</v>
      </c>
      <c r="C122" s="11" t="s">
        <v>148</v>
      </c>
      <c r="D122" s="11"/>
      <c r="E122" s="23"/>
      <c r="F122" s="25" t="s">
        <v>119</v>
      </c>
      <c r="G122" s="11" t="s">
        <v>141</v>
      </c>
      <c r="H122" s="11" t="s">
        <v>69</v>
      </c>
      <c r="I122" s="11" t="s">
        <v>762</v>
      </c>
      <c r="J122" s="11" t="s">
        <v>878</v>
      </c>
      <c r="K122" s="11">
        <v>52</v>
      </c>
      <c r="L122" s="11">
        <v>10</v>
      </c>
      <c r="M122" s="11">
        <v>112</v>
      </c>
      <c r="N122" s="11">
        <v>128</v>
      </c>
      <c r="O122" s="11">
        <v>-16</v>
      </c>
      <c r="P122" s="11">
        <v>108</v>
      </c>
      <c r="Q122" s="11">
        <v>103</v>
      </c>
      <c r="R122" s="11">
        <v>106</v>
      </c>
      <c r="S122" s="11">
        <v>100</v>
      </c>
      <c r="T122" s="11">
        <v>150</v>
      </c>
      <c r="U122" s="11">
        <v>115</v>
      </c>
      <c r="V122" s="11">
        <v>10</v>
      </c>
      <c r="W122" s="11"/>
      <c r="X122" s="11">
        <v>-3</v>
      </c>
      <c r="Y122" s="25" t="s">
        <v>886</v>
      </c>
    </row>
    <row r="123" spans="1:25" ht="14.25" customHeight="1" x14ac:dyDescent="0.25">
      <c r="A123" s="11"/>
      <c r="B123" s="11">
        <v>10</v>
      </c>
      <c r="C123" s="11" t="s">
        <v>148</v>
      </c>
      <c r="D123" s="11"/>
      <c r="E123" s="23"/>
      <c r="F123" s="25" t="s">
        <v>148</v>
      </c>
      <c r="G123" s="11" t="s">
        <v>298</v>
      </c>
      <c r="H123" s="11" t="s">
        <v>184</v>
      </c>
      <c r="I123" s="11" t="s">
        <v>762</v>
      </c>
      <c r="J123" s="11" t="s">
        <v>1091</v>
      </c>
      <c r="K123" s="11">
        <v>51</v>
      </c>
      <c r="L123" s="11">
        <v>9</v>
      </c>
      <c r="M123" s="11">
        <v>100</v>
      </c>
      <c r="N123" s="11">
        <v>99</v>
      </c>
      <c r="O123" s="11">
        <v>1</v>
      </c>
      <c r="P123" s="11">
        <v>76</v>
      </c>
      <c r="Q123" s="11">
        <v>87</v>
      </c>
      <c r="R123" s="11">
        <v>90</v>
      </c>
      <c r="S123" s="11">
        <v>179</v>
      </c>
      <c r="T123" s="11">
        <v>148</v>
      </c>
      <c r="U123" s="11">
        <v>111</v>
      </c>
      <c r="V123" s="11">
        <v>10</v>
      </c>
      <c r="W123" s="11"/>
      <c r="X123" s="11">
        <v>-11</v>
      </c>
      <c r="Y123" s="25" t="s">
        <v>1092</v>
      </c>
    </row>
    <row r="124" spans="1:25" ht="14.25" customHeight="1" x14ac:dyDescent="0.25">
      <c r="A124" s="11"/>
      <c r="B124" s="11">
        <v>10</v>
      </c>
      <c r="C124" s="11" t="s">
        <v>148</v>
      </c>
      <c r="D124" s="11">
        <v>7</v>
      </c>
      <c r="E124" s="23">
        <v>6.9</v>
      </c>
      <c r="F124" s="25" t="s">
        <v>886</v>
      </c>
      <c r="G124" s="11" t="s">
        <v>413</v>
      </c>
      <c r="H124" s="11" t="s">
        <v>55</v>
      </c>
      <c r="I124" s="11" t="s">
        <v>762</v>
      </c>
      <c r="J124" s="11" t="s">
        <v>848</v>
      </c>
      <c r="K124" s="11">
        <v>36</v>
      </c>
      <c r="L124" s="11">
        <v>13</v>
      </c>
      <c r="M124" s="11">
        <v>147</v>
      </c>
      <c r="N124" s="11">
        <v>133</v>
      </c>
      <c r="O124" s="11">
        <v>14</v>
      </c>
      <c r="P124" s="11">
        <v>125</v>
      </c>
      <c r="Q124" s="11">
        <v>168</v>
      </c>
      <c r="R124" s="11">
        <v>125</v>
      </c>
      <c r="S124" s="11">
        <v>78</v>
      </c>
      <c r="T124" s="11">
        <v>103</v>
      </c>
      <c r="U124" s="11">
        <v>125</v>
      </c>
      <c r="V124" s="11">
        <v>11</v>
      </c>
      <c r="W124" s="11"/>
      <c r="X124" s="11">
        <v>22</v>
      </c>
      <c r="Y124" s="25" t="s">
        <v>886</v>
      </c>
    </row>
    <row r="125" spans="1:25" ht="14.25" customHeight="1" x14ac:dyDescent="0.25">
      <c r="A125" s="11"/>
      <c r="B125" s="11">
        <v>10</v>
      </c>
      <c r="C125" s="11" t="s">
        <v>148</v>
      </c>
      <c r="D125" s="11"/>
      <c r="E125" s="23"/>
      <c r="F125" s="25" t="s">
        <v>886</v>
      </c>
      <c r="G125" s="11" t="s">
        <v>898</v>
      </c>
      <c r="H125" s="11" t="s">
        <v>184</v>
      </c>
      <c r="I125" s="11" t="s">
        <v>762</v>
      </c>
      <c r="J125" s="11" t="s">
        <v>878</v>
      </c>
      <c r="K125" s="11">
        <v>49</v>
      </c>
      <c r="L125" s="11">
        <v>9</v>
      </c>
      <c r="M125" s="11">
        <v>104</v>
      </c>
      <c r="N125" s="11">
        <v>135</v>
      </c>
      <c r="O125" s="11">
        <v>-31</v>
      </c>
      <c r="P125" s="11">
        <v>86</v>
      </c>
      <c r="Q125" s="11">
        <v>96</v>
      </c>
      <c r="R125" s="11">
        <v>109</v>
      </c>
      <c r="S125" s="11">
        <v>130</v>
      </c>
      <c r="T125" s="11">
        <v>143</v>
      </c>
      <c r="U125" s="11">
        <v>114</v>
      </c>
      <c r="V125" s="11">
        <v>10</v>
      </c>
      <c r="W125" s="11"/>
      <c r="X125" s="11">
        <v>-10</v>
      </c>
      <c r="Y125" s="25" t="s">
        <v>886</v>
      </c>
    </row>
    <row r="126" spans="1:25" ht="14.25" customHeight="1" x14ac:dyDescent="0.25">
      <c r="A126" s="11"/>
      <c r="B126" s="11">
        <v>11</v>
      </c>
      <c r="C126" s="11" t="s">
        <v>148</v>
      </c>
      <c r="D126" s="11">
        <v>9</v>
      </c>
      <c r="E126" s="23">
        <v>7.12</v>
      </c>
      <c r="F126" s="25" t="s">
        <v>886</v>
      </c>
      <c r="G126" s="11" t="s">
        <v>204</v>
      </c>
      <c r="H126" s="11" t="s">
        <v>104</v>
      </c>
      <c r="I126" s="11" t="s">
        <v>760</v>
      </c>
      <c r="J126" s="45" t="s">
        <v>895</v>
      </c>
      <c r="K126" s="11">
        <v>14</v>
      </c>
      <c r="L126" s="11">
        <v>9</v>
      </c>
      <c r="M126" s="11">
        <v>99</v>
      </c>
      <c r="N126" s="11">
        <v>110</v>
      </c>
      <c r="O126" s="11">
        <v>-11</v>
      </c>
      <c r="P126" s="11">
        <v>130</v>
      </c>
      <c r="Q126" s="11">
        <v>124</v>
      </c>
      <c r="R126" s="11">
        <v>117</v>
      </c>
      <c r="S126" s="11">
        <v>127</v>
      </c>
      <c r="T126" s="11">
        <v>144</v>
      </c>
      <c r="U126" s="11">
        <v>121</v>
      </c>
      <c r="V126" s="11">
        <v>11</v>
      </c>
      <c r="W126" s="11"/>
      <c r="X126" s="11">
        <v>-22</v>
      </c>
      <c r="Y126" s="25" t="s">
        <v>886</v>
      </c>
    </row>
    <row r="127" spans="1:25" ht="14.25" customHeight="1" x14ac:dyDescent="0.25">
      <c r="A127" s="11"/>
      <c r="B127" s="11">
        <v>11</v>
      </c>
      <c r="C127" s="11" t="s">
        <v>148</v>
      </c>
      <c r="D127" s="11"/>
      <c r="E127" s="23"/>
      <c r="F127" s="25" t="s">
        <v>886</v>
      </c>
      <c r="G127" s="11" t="s">
        <v>324</v>
      </c>
      <c r="H127" s="11" t="s">
        <v>66</v>
      </c>
      <c r="I127" s="11" t="s">
        <v>769</v>
      </c>
      <c r="J127" s="11"/>
      <c r="K127" s="11"/>
      <c r="L127" s="11">
        <v>11</v>
      </c>
      <c r="M127" s="11">
        <v>120</v>
      </c>
      <c r="N127" s="11">
        <v>132</v>
      </c>
      <c r="O127" s="11">
        <v>-12</v>
      </c>
      <c r="P127" s="11">
        <v>142</v>
      </c>
      <c r="Q127" s="11">
        <v>126</v>
      </c>
      <c r="R127" s="11">
        <v>107</v>
      </c>
      <c r="S127" s="11">
        <v>119</v>
      </c>
      <c r="T127" s="11">
        <v>128</v>
      </c>
      <c r="U127" s="11">
        <v>124</v>
      </c>
      <c r="V127" s="11">
        <v>11</v>
      </c>
      <c r="W127" s="11"/>
      <c r="X127" s="11">
        <v>-4</v>
      </c>
      <c r="Y127" s="25" t="s">
        <v>886</v>
      </c>
    </row>
    <row r="128" spans="1:25" ht="14.25" customHeight="1" x14ac:dyDescent="0.25">
      <c r="A128" s="11"/>
      <c r="B128" s="11">
        <v>12</v>
      </c>
      <c r="C128" s="11" t="s">
        <v>148</v>
      </c>
      <c r="D128" s="11">
        <v>8</v>
      </c>
      <c r="E128" s="23">
        <v>7.3</v>
      </c>
      <c r="F128" s="25" t="s">
        <v>886</v>
      </c>
      <c r="G128" s="11" t="s">
        <v>399</v>
      </c>
      <c r="H128" s="11" t="s">
        <v>199</v>
      </c>
      <c r="I128" s="11" t="s">
        <v>762</v>
      </c>
      <c r="J128" s="11" t="s">
        <v>894</v>
      </c>
      <c r="K128" s="11">
        <v>38</v>
      </c>
      <c r="L128" s="11">
        <v>9</v>
      </c>
      <c r="M128" s="11">
        <v>101</v>
      </c>
      <c r="N128" s="11">
        <v>121</v>
      </c>
      <c r="O128" s="11">
        <v>-20</v>
      </c>
      <c r="P128" s="11">
        <v>105</v>
      </c>
      <c r="Q128" s="11">
        <v>132</v>
      </c>
      <c r="R128" s="11">
        <v>120</v>
      </c>
      <c r="S128" s="11">
        <v>122</v>
      </c>
      <c r="T128" s="11">
        <v>209</v>
      </c>
      <c r="U128" s="11">
        <v>130</v>
      </c>
      <c r="V128" s="11">
        <v>11</v>
      </c>
      <c r="W128" s="11"/>
      <c r="X128" s="11">
        <v>-29</v>
      </c>
      <c r="Y128" s="25" t="s">
        <v>886</v>
      </c>
    </row>
    <row r="129" spans="1:25" ht="14.25" customHeight="1" x14ac:dyDescent="0.25">
      <c r="A129" s="11"/>
      <c r="B129" s="11">
        <v>12</v>
      </c>
      <c r="C129" s="11" t="s">
        <v>148</v>
      </c>
      <c r="D129" s="11">
        <v>9</v>
      </c>
      <c r="E129" s="23">
        <v>8.1999999999999993</v>
      </c>
      <c r="F129" s="25" t="s">
        <v>148</v>
      </c>
      <c r="G129" s="11" t="s">
        <v>340</v>
      </c>
      <c r="H129" s="11" t="s">
        <v>69</v>
      </c>
      <c r="I129" s="11" t="s">
        <v>769</v>
      </c>
      <c r="J129" s="49" t="s">
        <v>891</v>
      </c>
      <c r="K129" s="11">
        <v>14</v>
      </c>
      <c r="L129" s="11">
        <v>10</v>
      </c>
      <c r="M129" s="11">
        <v>115</v>
      </c>
      <c r="N129" s="11">
        <v>137</v>
      </c>
      <c r="O129" s="11">
        <v>-22</v>
      </c>
      <c r="P129" s="11">
        <v>139</v>
      </c>
      <c r="Q129" s="11">
        <v>137</v>
      </c>
      <c r="R129" s="11">
        <v>100</v>
      </c>
      <c r="S129" s="11">
        <v>137</v>
      </c>
      <c r="T129" s="11">
        <v>159</v>
      </c>
      <c r="U129" s="11">
        <v>132</v>
      </c>
      <c r="V129" s="11">
        <v>12</v>
      </c>
      <c r="W129" s="11"/>
      <c r="X129" s="11">
        <v>-17</v>
      </c>
      <c r="Y129" s="25" t="s">
        <v>886</v>
      </c>
    </row>
    <row r="130" spans="1:25" ht="14.25" customHeight="1" x14ac:dyDescent="0.25">
      <c r="A130" s="11"/>
      <c r="B130" s="11">
        <v>11</v>
      </c>
      <c r="C130" s="11" t="s">
        <v>148</v>
      </c>
      <c r="D130" s="11"/>
      <c r="E130" s="23"/>
      <c r="F130" s="25" t="s">
        <v>886</v>
      </c>
      <c r="G130" s="11" t="s">
        <v>322</v>
      </c>
      <c r="H130" s="11" t="s">
        <v>78</v>
      </c>
      <c r="I130" s="11" t="s">
        <v>769</v>
      </c>
      <c r="J130" s="11"/>
      <c r="K130" s="11"/>
      <c r="L130" s="11">
        <v>10</v>
      </c>
      <c r="M130" s="11">
        <v>118</v>
      </c>
      <c r="N130" s="11">
        <v>141</v>
      </c>
      <c r="O130" s="11">
        <v>-23</v>
      </c>
      <c r="P130" s="11">
        <v>124</v>
      </c>
      <c r="Q130" s="11">
        <v>131</v>
      </c>
      <c r="R130" s="11">
        <v>123</v>
      </c>
      <c r="S130" s="11">
        <v>138</v>
      </c>
      <c r="T130" s="11">
        <v>142</v>
      </c>
      <c r="U130" s="11">
        <v>131</v>
      </c>
      <c r="V130" s="11">
        <v>11</v>
      </c>
      <c r="W130" s="11"/>
      <c r="X130" s="11">
        <v>-13</v>
      </c>
      <c r="Y130" s="25" t="s">
        <v>886</v>
      </c>
    </row>
    <row r="131" spans="1:25" ht="14.25" customHeight="1" x14ac:dyDescent="0.25">
      <c r="A131" s="11"/>
      <c r="B131" s="11">
        <v>11</v>
      </c>
      <c r="C131" s="11" t="s">
        <v>148</v>
      </c>
      <c r="D131" s="11"/>
      <c r="E131" s="23"/>
      <c r="F131" s="25" t="s">
        <v>886</v>
      </c>
      <c r="G131" s="11" t="s">
        <v>527</v>
      </c>
      <c r="H131" s="11" t="s">
        <v>69</v>
      </c>
      <c r="I131" s="11" t="s">
        <v>1084</v>
      </c>
      <c r="J131" s="11"/>
      <c r="K131" s="11"/>
      <c r="L131" s="11">
        <v>16</v>
      </c>
      <c r="M131" s="11">
        <v>181</v>
      </c>
      <c r="N131" s="11" t="s">
        <v>36</v>
      </c>
      <c r="O131" s="11" t="e">
        <v>#VALUE!</v>
      </c>
      <c r="P131" s="11">
        <v>104</v>
      </c>
      <c r="Q131" s="11">
        <v>104</v>
      </c>
      <c r="R131" s="11">
        <v>205</v>
      </c>
      <c r="S131" s="11">
        <v>131</v>
      </c>
      <c r="T131" s="11">
        <v>71</v>
      </c>
      <c r="U131" s="11">
        <v>132</v>
      </c>
      <c r="V131" s="11">
        <v>12</v>
      </c>
      <c r="W131" s="11"/>
      <c r="X131" s="11">
        <v>49</v>
      </c>
      <c r="Y131" s="25" t="s">
        <v>886</v>
      </c>
    </row>
    <row r="132" spans="1:25" ht="14.25" customHeight="1" x14ac:dyDescent="0.25">
      <c r="A132" s="11"/>
      <c r="B132" s="11">
        <v>13</v>
      </c>
      <c r="C132" s="11" t="s">
        <v>148</v>
      </c>
      <c r="D132" s="11"/>
      <c r="E132" s="23">
        <v>8.5</v>
      </c>
      <c r="F132" s="25" t="s">
        <v>886</v>
      </c>
      <c r="G132" s="11" t="s">
        <v>377</v>
      </c>
      <c r="H132" s="11" t="s">
        <v>129</v>
      </c>
      <c r="I132" s="11" t="s">
        <v>764</v>
      </c>
      <c r="J132" s="44" t="s">
        <v>873</v>
      </c>
      <c r="K132" s="11">
        <v>44</v>
      </c>
      <c r="L132" s="11">
        <v>10</v>
      </c>
      <c r="M132" s="11">
        <v>108</v>
      </c>
      <c r="N132" s="11">
        <v>102</v>
      </c>
      <c r="O132" s="11">
        <v>6</v>
      </c>
      <c r="P132" s="11">
        <v>161</v>
      </c>
      <c r="Q132" s="11">
        <v>134</v>
      </c>
      <c r="R132" s="11">
        <v>127</v>
      </c>
      <c r="S132" s="11">
        <v>124</v>
      </c>
      <c r="T132" s="11">
        <v>177</v>
      </c>
      <c r="U132" s="11">
        <v>133</v>
      </c>
      <c r="V132" s="11">
        <v>12</v>
      </c>
      <c r="W132" s="11"/>
      <c r="X132" s="11">
        <v>-25</v>
      </c>
      <c r="Y132" s="25" t="s">
        <v>886</v>
      </c>
    </row>
    <row r="133" spans="1:25" ht="14.25" customHeight="1" x14ac:dyDescent="0.25">
      <c r="A133" s="11"/>
      <c r="B133" s="11">
        <v>12</v>
      </c>
      <c r="C133" s="11" t="s">
        <v>148</v>
      </c>
      <c r="D133" s="11"/>
      <c r="E133" s="23"/>
      <c r="F133" s="25" t="s">
        <v>886</v>
      </c>
      <c r="G133" s="11" t="s">
        <v>621</v>
      </c>
      <c r="H133" s="11" t="s">
        <v>39</v>
      </c>
      <c r="I133" s="11" t="s">
        <v>764</v>
      </c>
      <c r="J133" s="11" t="s">
        <v>875</v>
      </c>
      <c r="K133" s="11">
        <v>56</v>
      </c>
      <c r="L133" s="11">
        <v>11</v>
      </c>
      <c r="M133" s="11">
        <v>130</v>
      </c>
      <c r="N133" s="11">
        <v>105</v>
      </c>
      <c r="O133" s="11">
        <v>25</v>
      </c>
      <c r="P133" s="11">
        <v>121</v>
      </c>
      <c r="Q133" s="11">
        <v>139</v>
      </c>
      <c r="R133" s="11">
        <v>137</v>
      </c>
      <c r="S133" s="11">
        <v>120</v>
      </c>
      <c r="T133" s="11">
        <v>183</v>
      </c>
      <c r="U133" s="11">
        <v>133</v>
      </c>
      <c r="V133" s="11">
        <v>12</v>
      </c>
      <c r="W133" s="11">
        <v>-12</v>
      </c>
      <c r="X133" s="11">
        <v>-3</v>
      </c>
      <c r="Y133" s="25" t="s">
        <v>1069</v>
      </c>
    </row>
    <row r="134" spans="1:25" ht="14.25" customHeight="1" x14ac:dyDescent="0.25">
      <c r="A134" s="11"/>
      <c r="B134" s="11">
        <v>11</v>
      </c>
      <c r="C134" s="11" t="s">
        <v>148</v>
      </c>
      <c r="D134" s="11"/>
      <c r="E134" s="23"/>
      <c r="F134" s="25" t="s">
        <v>886</v>
      </c>
      <c r="G134" s="11" t="s">
        <v>471</v>
      </c>
      <c r="H134" s="11" t="s">
        <v>168</v>
      </c>
      <c r="I134" s="11" t="s">
        <v>1080</v>
      </c>
      <c r="J134" s="11"/>
      <c r="K134" s="11"/>
      <c r="L134" s="11">
        <v>14</v>
      </c>
      <c r="M134" s="11">
        <v>158</v>
      </c>
      <c r="N134" s="11" t="s">
        <v>36</v>
      </c>
      <c r="O134" s="11" t="e">
        <v>#VALUE!</v>
      </c>
      <c r="P134" s="11">
        <v>106</v>
      </c>
      <c r="Q134" s="11">
        <v>94</v>
      </c>
      <c r="R134" s="11">
        <v>203</v>
      </c>
      <c r="S134" s="11">
        <v>147</v>
      </c>
      <c r="T134" s="11">
        <v>82</v>
      </c>
      <c r="U134" s="11">
        <v>131</v>
      </c>
      <c r="V134" s="11">
        <v>11</v>
      </c>
      <c r="W134" s="11"/>
      <c r="X134" s="11">
        <v>27</v>
      </c>
      <c r="Y134" s="25" t="s">
        <v>886</v>
      </c>
    </row>
    <row r="135" spans="1:25" ht="14.25" customHeight="1" x14ac:dyDescent="0.25">
      <c r="A135" s="11"/>
      <c r="B135" s="11">
        <v>12</v>
      </c>
      <c r="C135" s="11" t="s">
        <v>148</v>
      </c>
      <c r="D135" s="11"/>
      <c r="E135" s="23"/>
      <c r="F135" s="25" t="s">
        <v>886</v>
      </c>
      <c r="G135" s="11" t="s">
        <v>411</v>
      </c>
      <c r="H135" s="11" t="s">
        <v>116</v>
      </c>
      <c r="I135" s="11" t="s">
        <v>760</v>
      </c>
      <c r="J135" s="11" t="s">
        <v>889</v>
      </c>
      <c r="K135" s="11">
        <v>18</v>
      </c>
      <c r="L135" s="11">
        <v>11</v>
      </c>
      <c r="M135" s="11">
        <v>129</v>
      </c>
      <c r="N135" s="11">
        <v>134</v>
      </c>
      <c r="O135" s="11">
        <v>-5</v>
      </c>
      <c r="P135" s="11">
        <v>135</v>
      </c>
      <c r="Q135" s="11">
        <v>127</v>
      </c>
      <c r="R135" s="11">
        <v>142</v>
      </c>
      <c r="S135" s="11">
        <v>125</v>
      </c>
      <c r="T135" s="11">
        <v>132</v>
      </c>
      <c r="U135" s="11">
        <v>132</v>
      </c>
      <c r="V135" s="11">
        <v>12</v>
      </c>
      <c r="W135" s="11"/>
      <c r="X135" s="11">
        <v>-3</v>
      </c>
      <c r="Y135" s="25" t="s">
        <v>886</v>
      </c>
    </row>
    <row r="136" spans="1:25" ht="14.25" customHeight="1" x14ac:dyDescent="0.25">
      <c r="A136" s="11"/>
      <c r="B136" s="11">
        <v>11</v>
      </c>
      <c r="C136" s="11" t="s">
        <v>148</v>
      </c>
      <c r="D136" s="11"/>
      <c r="E136" s="23"/>
      <c r="F136" s="25" t="s">
        <v>148</v>
      </c>
      <c r="G136" s="11" t="s">
        <v>250</v>
      </c>
      <c r="H136" s="11" t="s">
        <v>39</v>
      </c>
      <c r="I136" s="11" t="s">
        <v>769</v>
      </c>
      <c r="J136" s="49" t="s">
        <v>891</v>
      </c>
      <c r="K136" s="11">
        <v>15</v>
      </c>
      <c r="L136" s="11">
        <v>14</v>
      </c>
      <c r="M136" s="11">
        <v>159</v>
      </c>
      <c r="N136" s="11">
        <v>140</v>
      </c>
      <c r="O136" s="11">
        <v>19</v>
      </c>
      <c r="P136" s="11">
        <v>148</v>
      </c>
      <c r="Q136" s="11">
        <v>141</v>
      </c>
      <c r="R136" s="11">
        <v>114</v>
      </c>
      <c r="S136" s="11">
        <v>121</v>
      </c>
      <c r="T136" s="11">
        <v>129</v>
      </c>
      <c r="U136" s="11">
        <v>136</v>
      </c>
      <c r="V136" s="11">
        <v>12</v>
      </c>
      <c r="W136" s="11"/>
      <c r="X136" s="11">
        <v>23</v>
      </c>
      <c r="Y136" s="25" t="s">
        <v>886</v>
      </c>
    </row>
    <row r="137" spans="1:25" ht="14.25" customHeight="1" x14ac:dyDescent="0.25">
      <c r="A137" s="11"/>
      <c r="B137" s="11">
        <v>13</v>
      </c>
      <c r="C137" s="11" t="s">
        <v>148</v>
      </c>
      <c r="D137" s="11"/>
      <c r="E137" s="23">
        <v>7.1</v>
      </c>
      <c r="F137" s="25" t="s">
        <v>886</v>
      </c>
      <c r="G137" s="11" t="s">
        <v>446</v>
      </c>
      <c r="H137" s="11" t="s">
        <v>145</v>
      </c>
      <c r="I137" s="11" t="s">
        <v>762</v>
      </c>
      <c r="J137" s="11" t="s">
        <v>878</v>
      </c>
      <c r="K137" s="11">
        <v>50</v>
      </c>
      <c r="L137" s="11">
        <v>8</v>
      </c>
      <c r="M137" s="11">
        <v>89</v>
      </c>
      <c r="N137" s="11">
        <v>129</v>
      </c>
      <c r="O137" s="11">
        <v>-40</v>
      </c>
      <c r="P137" s="11">
        <v>127</v>
      </c>
      <c r="Q137" s="11">
        <v>156</v>
      </c>
      <c r="R137" s="11">
        <v>108</v>
      </c>
      <c r="S137" s="11">
        <v>153</v>
      </c>
      <c r="T137" s="11">
        <v>197</v>
      </c>
      <c r="U137" s="11">
        <v>137</v>
      </c>
      <c r="V137" s="11">
        <v>12</v>
      </c>
      <c r="W137" s="11">
        <v>-12</v>
      </c>
      <c r="X137" s="11">
        <v>-48</v>
      </c>
      <c r="Y137" s="25" t="s">
        <v>1044</v>
      </c>
    </row>
    <row r="138" spans="1:25" ht="14.25" customHeight="1" x14ac:dyDescent="0.25">
      <c r="A138" s="11"/>
      <c r="B138" s="11">
        <v>13</v>
      </c>
      <c r="C138" s="11" t="s">
        <v>148</v>
      </c>
      <c r="D138" s="11"/>
      <c r="E138" s="23"/>
      <c r="F138" s="25" t="s">
        <v>886</v>
      </c>
      <c r="G138" s="11" t="s">
        <v>808</v>
      </c>
      <c r="H138" s="11" t="s">
        <v>72</v>
      </c>
      <c r="I138" s="11" t="s">
        <v>760</v>
      </c>
      <c r="J138" s="11" t="s">
        <v>981</v>
      </c>
      <c r="K138" s="11">
        <v>23</v>
      </c>
      <c r="L138" s="11">
        <v>11</v>
      </c>
      <c r="M138" s="11">
        <v>125</v>
      </c>
      <c r="N138" s="11">
        <v>123</v>
      </c>
      <c r="O138" s="11">
        <v>2</v>
      </c>
      <c r="P138" s="11">
        <v>152</v>
      </c>
      <c r="Q138" s="11">
        <v>138</v>
      </c>
      <c r="R138" s="11">
        <v>139</v>
      </c>
      <c r="S138" s="11">
        <v>146</v>
      </c>
      <c r="T138" s="11">
        <v>154</v>
      </c>
      <c r="U138" s="11">
        <v>139</v>
      </c>
      <c r="V138" s="11">
        <v>12</v>
      </c>
      <c r="W138" s="11"/>
      <c r="X138" s="11">
        <v>-14</v>
      </c>
      <c r="Y138" s="25" t="s">
        <v>886</v>
      </c>
    </row>
    <row r="139" spans="1:25" ht="14.25" customHeight="1" x14ac:dyDescent="0.25">
      <c r="A139" s="11"/>
      <c r="B139" s="11">
        <v>12</v>
      </c>
      <c r="C139" s="11" t="s">
        <v>148</v>
      </c>
      <c r="D139" s="11"/>
      <c r="E139" s="23"/>
      <c r="F139" s="25" t="s">
        <v>148</v>
      </c>
      <c r="G139" s="11" t="s">
        <v>521</v>
      </c>
      <c r="H139" s="11" t="s">
        <v>69</v>
      </c>
      <c r="I139" s="11" t="s">
        <v>762</v>
      </c>
      <c r="J139" s="11" t="s">
        <v>894</v>
      </c>
      <c r="K139" s="11">
        <v>41</v>
      </c>
      <c r="L139" s="11">
        <v>12</v>
      </c>
      <c r="M139" s="11">
        <v>143</v>
      </c>
      <c r="N139" s="11">
        <v>146</v>
      </c>
      <c r="O139" s="11">
        <v>-3</v>
      </c>
      <c r="P139" s="11">
        <v>140</v>
      </c>
      <c r="Q139" s="11">
        <v>158</v>
      </c>
      <c r="R139" s="11">
        <v>113</v>
      </c>
      <c r="S139" s="11">
        <v>128</v>
      </c>
      <c r="T139" s="11">
        <v>155</v>
      </c>
      <c r="U139" s="11">
        <v>140</v>
      </c>
      <c r="V139" s="11">
        <v>12</v>
      </c>
      <c r="W139" s="11"/>
      <c r="X139" s="11">
        <v>3</v>
      </c>
      <c r="Y139" s="25" t="s">
        <v>1082</v>
      </c>
    </row>
    <row r="140" spans="1:25" ht="14.25" customHeight="1" x14ac:dyDescent="0.25">
      <c r="A140" s="11"/>
      <c r="B140" s="11">
        <v>12</v>
      </c>
      <c r="C140" s="11" t="s">
        <v>148</v>
      </c>
      <c r="D140" s="11"/>
      <c r="E140" s="23"/>
      <c r="F140" s="25" t="s">
        <v>886</v>
      </c>
      <c r="G140" s="11" t="s">
        <v>487</v>
      </c>
      <c r="H140" s="11" t="s">
        <v>78</v>
      </c>
      <c r="I140" s="11" t="s">
        <v>1080</v>
      </c>
      <c r="J140" s="11"/>
      <c r="K140" s="11"/>
      <c r="L140" s="11">
        <v>14</v>
      </c>
      <c r="M140" s="11">
        <v>165</v>
      </c>
      <c r="N140" s="11" t="s">
        <v>36</v>
      </c>
      <c r="O140" s="11" t="e">
        <v>#VALUE!</v>
      </c>
      <c r="P140" s="11">
        <v>87</v>
      </c>
      <c r="Q140" s="11">
        <v>130</v>
      </c>
      <c r="R140" s="11">
        <v>214</v>
      </c>
      <c r="S140" s="11">
        <v>144</v>
      </c>
      <c r="T140" s="11">
        <v>93</v>
      </c>
      <c r="U140" s="11">
        <v>138</v>
      </c>
      <c r="V140" s="11">
        <v>12</v>
      </c>
      <c r="W140" s="11"/>
      <c r="X140" s="11">
        <v>27</v>
      </c>
      <c r="Y140" s="25" t="s">
        <v>886</v>
      </c>
    </row>
    <row r="141" spans="1:25" ht="14.25" customHeight="1" x14ac:dyDescent="0.25">
      <c r="A141" s="11"/>
      <c r="B141" s="11">
        <v>13</v>
      </c>
      <c r="C141" s="11" t="s">
        <v>148</v>
      </c>
      <c r="D141" s="11"/>
      <c r="E141" s="23"/>
      <c r="F141" s="25" t="s">
        <v>148</v>
      </c>
      <c r="G141" s="11" t="s">
        <v>684</v>
      </c>
      <c r="H141" s="11" t="s">
        <v>55</v>
      </c>
      <c r="I141" s="11" t="s">
        <v>764</v>
      </c>
      <c r="J141" s="58" t="s">
        <v>854</v>
      </c>
      <c r="K141" s="11">
        <v>48</v>
      </c>
      <c r="L141" s="11">
        <v>12</v>
      </c>
      <c r="M141" s="11">
        <v>141</v>
      </c>
      <c r="N141" s="11">
        <v>131</v>
      </c>
      <c r="O141" s="11">
        <v>10</v>
      </c>
      <c r="P141" s="11">
        <v>162</v>
      </c>
      <c r="Q141" s="11">
        <v>169</v>
      </c>
      <c r="R141" s="11">
        <v>154</v>
      </c>
      <c r="S141" s="11">
        <v>115</v>
      </c>
      <c r="T141" s="11">
        <v>127</v>
      </c>
      <c r="U141" s="11">
        <v>142</v>
      </c>
      <c r="V141" s="11">
        <v>12</v>
      </c>
      <c r="W141" s="11"/>
      <c r="X141" s="11">
        <v>-1</v>
      </c>
      <c r="Y141" s="25" t="s">
        <v>1076</v>
      </c>
    </row>
    <row r="142" spans="1:25" ht="14.25" customHeight="1" x14ac:dyDescent="0.25">
      <c r="A142" s="11"/>
      <c r="B142" s="11">
        <v>13</v>
      </c>
      <c r="C142" s="11" t="s">
        <v>148</v>
      </c>
      <c r="D142" s="11"/>
      <c r="E142" s="23"/>
      <c r="F142" s="25" t="s">
        <v>886</v>
      </c>
      <c r="G142" s="11" t="s">
        <v>686</v>
      </c>
      <c r="H142" s="11" t="s">
        <v>116</v>
      </c>
      <c r="I142" s="11" t="s">
        <v>764</v>
      </c>
      <c r="J142" s="58" t="s">
        <v>854</v>
      </c>
      <c r="K142" s="11">
        <v>50</v>
      </c>
      <c r="L142" s="11">
        <v>13</v>
      </c>
      <c r="M142" s="11">
        <v>148</v>
      </c>
      <c r="N142" s="11">
        <v>92</v>
      </c>
      <c r="O142" s="11">
        <v>56</v>
      </c>
      <c r="P142" s="11">
        <v>166</v>
      </c>
      <c r="Q142" s="11">
        <v>144</v>
      </c>
      <c r="R142" s="11">
        <v>129</v>
      </c>
      <c r="S142" s="11">
        <v>116</v>
      </c>
      <c r="T142" s="11">
        <v>207</v>
      </c>
      <c r="U142" s="11">
        <v>143</v>
      </c>
      <c r="V142" s="11">
        <v>12</v>
      </c>
      <c r="W142" s="11"/>
      <c r="X142" s="11">
        <v>5</v>
      </c>
      <c r="Y142" s="25" t="s">
        <v>1074</v>
      </c>
    </row>
    <row r="143" spans="1:25" ht="14.25" customHeight="1" x14ac:dyDescent="0.25">
      <c r="A143" s="11"/>
      <c r="B143" s="11">
        <v>12</v>
      </c>
      <c r="C143" s="11" t="s">
        <v>148</v>
      </c>
      <c r="D143" s="11"/>
      <c r="E143" s="23"/>
      <c r="F143" s="25" t="s">
        <v>886</v>
      </c>
      <c r="G143" s="11" t="s">
        <v>329</v>
      </c>
      <c r="H143" s="11" t="s">
        <v>163</v>
      </c>
      <c r="I143" s="11" t="s">
        <v>762</v>
      </c>
      <c r="J143" s="11" t="s">
        <v>878</v>
      </c>
      <c r="K143" s="11">
        <v>48</v>
      </c>
      <c r="L143" s="11">
        <v>11</v>
      </c>
      <c r="M143" s="11">
        <v>124</v>
      </c>
      <c r="N143" s="11">
        <v>167</v>
      </c>
      <c r="O143" s="11">
        <v>-43</v>
      </c>
      <c r="P143" s="11">
        <v>133</v>
      </c>
      <c r="Q143" s="11">
        <v>150</v>
      </c>
      <c r="R143" s="11">
        <v>149</v>
      </c>
      <c r="S143" s="11">
        <v>129</v>
      </c>
      <c r="T143" s="11">
        <v>149</v>
      </c>
      <c r="U143" s="11">
        <v>143</v>
      </c>
      <c r="V143" s="11">
        <v>12</v>
      </c>
      <c r="W143" s="11"/>
      <c r="X143" s="11">
        <v>-19</v>
      </c>
      <c r="Y143" s="25" t="s">
        <v>886</v>
      </c>
    </row>
    <row r="144" spans="1:25" ht="14.25" customHeight="1" x14ac:dyDescent="0.25">
      <c r="A144" s="11"/>
      <c r="B144" s="11">
        <v>13</v>
      </c>
      <c r="C144" s="11" t="s">
        <v>148</v>
      </c>
      <c r="D144" s="11"/>
      <c r="E144" s="23">
        <v>8.4</v>
      </c>
      <c r="F144" s="25" t="s">
        <v>886</v>
      </c>
      <c r="G144" s="11" t="s">
        <v>198</v>
      </c>
      <c r="H144" s="11" t="s">
        <v>199</v>
      </c>
      <c r="I144" s="11" t="s">
        <v>762</v>
      </c>
      <c r="J144" s="11" t="s">
        <v>894</v>
      </c>
      <c r="K144" s="11">
        <v>42</v>
      </c>
      <c r="L144" s="11">
        <v>10</v>
      </c>
      <c r="M144" s="11">
        <v>109</v>
      </c>
      <c r="N144" s="11">
        <v>124</v>
      </c>
      <c r="O144" s="11">
        <v>-15</v>
      </c>
      <c r="P144" s="11">
        <v>146</v>
      </c>
      <c r="Q144" s="11">
        <v>157</v>
      </c>
      <c r="R144" s="11">
        <v>122</v>
      </c>
      <c r="S144" s="11">
        <v>155</v>
      </c>
      <c r="T144" s="11">
        <v>163</v>
      </c>
      <c r="U144" s="11">
        <v>139</v>
      </c>
      <c r="V144" s="11">
        <v>12</v>
      </c>
      <c r="W144" s="11">
        <v>-12</v>
      </c>
      <c r="X144" s="11">
        <v>-30</v>
      </c>
      <c r="Y144" s="25" t="s">
        <v>1083</v>
      </c>
    </row>
    <row r="145" spans="1:25" ht="14.25" customHeight="1" x14ac:dyDescent="0.25">
      <c r="A145" s="11"/>
      <c r="B145" s="11">
        <v>13</v>
      </c>
      <c r="C145" s="11" t="s">
        <v>148</v>
      </c>
      <c r="D145" s="11"/>
      <c r="E145" s="23"/>
      <c r="F145" s="25" t="s">
        <v>886</v>
      </c>
      <c r="G145" s="11" t="s">
        <v>664</v>
      </c>
      <c r="H145" s="11" t="s">
        <v>116</v>
      </c>
      <c r="I145" s="11" t="s">
        <v>764</v>
      </c>
      <c r="J145" s="11" t="s">
        <v>875</v>
      </c>
      <c r="K145" s="11">
        <v>57</v>
      </c>
      <c r="L145" s="11">
        <v>12</v>
      </c>
      <c r="M145" s="11">
        <v>133</v>
      </c>
      <c r="N145" s="11">
        <v>115</v>
      </c>
      <c r="O145" s="11">
        <v>18</v>
      </c>
      <c r="P145" s="11">
        <v>137</v>
      </c>
      <c r="Q145" s="11">
        <v>178</v>
      </c>
      <c r="R145" s="11">
        <v>131</v>
      </c>
      <c r="S145" s="11">
        <v>148</v>
      </c>
      <c r="T145" s="11">
        <v>172</v>
      </c>
      <c r="U145" s="11">
        <v>144</v>
      </c>
      <c r="V145" s="11">
        <v>13</v>
      </c>
      <c r="W145" s="11"/>
      <c r="X145" s="11">
        <v>-11</v>
      </c>
      <c r="Y145" s="25" t="s">
        <v>886</v>
      </c>
    </row>
    <row r="146" spans="1:25" ht="14.25" customHeight="1" x14ac:dyDescent="0.25">
      <c r="A146" s="11" t="s">
        <v>95</v>
      </c>
      <c r="B146" s="11">
        <v>12</v>
      </c>
      <c r="C146" s="11" t="s">
        <v>148</v>
      </c>
      <c r="D146" s="11"/>
      <c r="E146" s="23"/>
      <c r="F146" s="25" t="s">
        <v>886</v>
      </c>
      <c r="G146" s="11" t="s">
        <v>634</v>
      </c>
      <c r="H146" s="11" t="s">
        <v>88</v>
      </c>
      <c r="I146" s="11" t="s">
        <v>762</v>
      </c>
      <c r="J146" s="11" t="s">
        <v>894</v>
      </c>
      <c r="K146" s="11">
        <v>39</v>
      </c>
      <c r="L146" s="11">
        <v>13</v>
      </c>
      <c r="M146" s="11">
        <v>155</v>
      </c>
      <c r="N146" s="11">
        <v>160</v>
      </c>
      <c r="O146" s="11">
        <v>-5</v>
      </c>
      <c r="P146" s="11">
        <v>138</v>
      </c>
      <c r="Q146" s="11">
        <v>162</v>
      </c>
      <c r="R146" s="11">
        <v>148</v>
      </c>
      <c r="S146" s="11">
        <v>108</v>
      </c>
      <c r="T146" s="11">
        <v>118</v>
      </c>
      <c r="U146" s="11">
        <v>141</v>
      </c>
      <c r="V146" s="11">
        <v>12</v>
      </c>
      <c r="W146" s="11"/>
      <c r="X146" s="11">
        <v>14</v>
      </c>
      <c r="Y146" s="25" t="s">
        <v>886</v>
      </c>
    </row>
    <row r="147" spans="1:25" ht="14.25" customHeight="1" x14ac:dyDescent="0.25">
      <c r="A147" s="11"/>
      <c r="B147" s="11">
        <v>13</v>
      </c>
      <c r="C147" s="11" t="s">
        <v>148</v>
      </c>
      <c r="D147" s="11"/>
      <c r="E147" s="23"/>
      <c r="F147" s="25" t="s">
        <v>886</v>
      </c>
      <c r="G147" s="11" t="s">
        <v>947</v>
      </c>
      <c r="H147" s="11" t="s">
        <v>184</v>
      </c>
      <c r="I147" s="11" t="s">
        <v>769</v>
      </c>
      <c r="J147" s="11"/>
      <c r="K147" s="11"/>
      <c r="L147" s="11">
        <v>13</v>
      </c>
      <c r="M147" s="11">
        <v>153</v>
      </c>
      <c r="N147" s="11">
        <v>165</v>
      </c>
      <c r="O147" s="11">
        <v>-12</v>
      </c>
      <c r="P147" s="11">
        <v>115</v>
      </c>
      <c r="Q147" s="11">
        <v>154</v>
      </c>
      <c r="R147" s="11">
        <v>133</v>
      </c>
      <c r="S147" s="11">
        <v>165</v>
      </c>
      <c r="T147" s="11">
        <v>162</v>
      </c>
      <c r="U147" s="11">
        <v>149</v>
      </c>
      <c r="V147" s="11">
        <v>13</v>
      </c>
      <c r="W147" s="11"/>
      <c r="X147" s="11">
        <v>4</v>
      </c>
      <c r="Y147" s="25" t="s">
        <v>886</v>
      </c>
    </row>
    <row r="148" spans="1:25" ht="14.25" customHeight="1" x14ac:dyDescent="0.25">
      <c r="A148" s="11"/>
      <c r="B148" s="11">
        <v>12</v>
      </c>
      <c r="C148" s="11" t="s">
        <v>148</v>
      </c>
      <c r="D148" s="11"/>
      <c r="E148" s="23"/>
      <c r="F148" s="25" t="s">
        <v>886</v>
      </c>
      <c r="G148" s="11" t="s">
        <v>902</v>
      </c>
      <c r="H148" s="11" t="s">
        <v>116</v>
      </c>
      <c r="I148" s="11" t="s">
        <v>762</v>
      </c>
      <c r="J148" s="11" t="s">
        <v>878</v>
      </c>
      <c r="K148" s="11">
        <v>47</v>
      </c>
      <c r="L148" s="11">
        <v>12</v>
      </c>
      <c r="M148" s="11">
        <v>139</v>
      </c>
      <c r="N148" s="11">
        <v>154</v>
      </c>
      <c r="O148" s="11">
        <v>-15</v>
      </c>
      <c r="P148" s="11">
        <v>111</v>
      </c>
      <c r="Q148" s="11">
        <v>133</v>
      </c>
      <c r="R148" s="11">
        <v>128</v>
      </c>
      <c r="S148" s="11">
        <v>141</v>
      </c>
      <c r="T148" s="11">
        <v>175</v>
      </c>
      <c r="U148" s="11">
        <v>140</v>
      </c>
      <c r="V148" s="11">
        <v>12</v>
      </c>
      <c r="W148" s="11"/>
      <c r="X148" s="11">
        <v>-1</v>
      </c>
      <c r="Y148" s="25" t="s">
        <v>886</v>
      </c>
    </row>
    <row r="149" spans="1:25" ht="14.25" customHeight="1" x14ac:dyDescent="0.25">
      <c r="A149" s="11"/>
      <c r="B149" s="11">
        <v>14</v>
      </c>
      <c r="C149" s="11" t="s">
        <v>148</v>
      </c>
      <c r="D149" s="11"/>
      <c r="E149" s="23"/>
      <c r="F149" s="25" t="s">
        <v>886</v>
      </c>
      <c r="G149" s="11" t="s">
        <v>572</v>
      </c>
      <c r="H149" s="11" t="s">
        <v>91</v>
      </c>
      <c r="I149" s="11" t="s">
        <v>764</v>
      </c>
      <c r="J149" s="58" t="s">
        <v>854</v>
      </c>
      <c r="K149" s="11">
        <v>52</v>
      </c>
      <c r="L149" s="11">
        <v>11</v>
      </c>
      <c r="M149" s="11">
        <v>126</v>
      </c>
      <c r="N149" s="11">
        <v>114</v>
      </c>
      <c r="O149" s="11">
        <v>12</v>
      </c>
      <c r="P149" s="11">
        <v>144</v>
      </c>
      <c r="Q149" s="11">
        <v>176</v>
      </c>
      <c r="R149" s="11">
        <v>153</v>
      </c>
      <c r="S149" s="11">
        <v>152</v>
      </c>
      <c r="T149" s="11">
        <v>185</v>
      </c>
      <c r="U149" s="11">
        <v>150</v>
      </c>
      <c r="V149" s="11">
        <v>13</v>
      </c>
      <c r="W149" s="11"/>
      <c r="X149" s="11">
        <v>-24</v>
      </c>
      <c r="Y149" s="25" t="s">
        <v>886</v>
      </c>
    </row>
    <row r="150" spans="1:25" ht="14.25" customHeight="1" x14ac:dyDescent="0.25">
      <c r="A150" s="11"/>
      <c r="B150" s="11">
        <v>13</v>
      </c>
      <c r="C150" s="11" t="s">
        <v>148</v>
      </c>
      <c r="D150" s="11"/>
      <c r="E150" s="23"/>
      <c r="F150" s="25" t="s">
        <v>886</v>
      </c>
      <c r="G150" s="11" t="s">
        <v>489</v>
      </c>
      <c r="H150" s="11" t="s">
        <v>233</v>
      </c>
      <c r="I150" s="11" t="s">
        <v>1080</v>
      </c>
      <c r="J150" s="11"/>
      <c r="K150" s="11"/>
      <c r="L150" s="11">
        <v>14</v>
      </c>
      <c r="M150" s="11">
        <v>166</v>
      </c>
      <c r="N150" s="11" t="s">
        <v>36</v>
      </c>
      <c r="O150" s="11" t="e">
        <v>#VALUE!</v>
      </c>
      <c r="P150" s="11">
        <v>132</v>
      </c>
      <c r="Q150" s="11">
        <v>90</v>
      </c>
      <c r="R150" s="11">
        <v>215</v>
      </c>
      <c r="S150" s="11">
        <v>154</v>
      </c>
      <c r="T150" s="11">
        <v>131</v>
      </c>
      <c r="U150" s="11">
        <v>148</v>
      </c>
      <c r="V150" s="11">
        <v>13</v>
      </c>
      <c r="W150" s="11"/>
      <c r="X150" s="11">
        <v>18</v>
      </c>
      <c r="Y150" s="25" t="s">
        <v>886</v>
      </c>
    </row>
    <row r="151" spans="1:25" ht="14.25" customHeight="1" x14ac:dyDescent="0.25">
      <c r="A151" s="11"/>
      <c r="B151" s="11">
        <v>14</v>
      </c>
      <c r="C151" s="11" t="s">
        <v>148</v>
      </c>
      <c r="D151" s="11"/>
      <c r="E151" s="23"/>
      <c r="F151" s="25" t="s">
        <v>886</v>
      </c>
      <c r="G151" s="11" t="s">
        <v>381</v>
      </c>
      <c r="H151" s="11" t="s">
        <v>229</v>
      </c>
      <c r="I151" s="11" t="s">
        <v>762</v>
      </c>
      <c r="J151" s="11" t="s">
        <v>894</v>
      </c>
      <c r="K151" s="11">
        <v>40</v>
      </c>
      <c r="L151" s="11">
        <v>11</v>
      </c>
      <c r="M151" s="11">
        <v>131</v>
      </c>
      <c r="N151" s="11">
        <v>172</v>
      </c>
      <c r="O151" s="11">
        <v>-41</v>
      </c>
      <c r="P151" s="11">
        <v>163</v>
      </c>
      <c r="Q151" s="11">
        <v>165</v>
      </c>
      <c r="R151" s="11">
        <v>152</v>
      </c>
      <c r="S151" s="11">
        <v>123</v>
      </c>
      <c r="T151" s="11">
        <v>198</v>
      </c>
      <c r="U151" s="11">
        <v>157</v>
      </c>
      <c r="V151" s="11">
        <v>14</v>
      </c>
      <c r="W151" s="11"/>
      <c r="X151" s="11">
        <v>-26</v>
      </c>
      <c r="Y151" s="25" t="s">
        <v>886</v>
      </c>
    </row>
    <row r="152" spans="1:25" ht="14.25" customHeight="1" x14ac:dyDescent="0.25">
      <c r="A152" s="11"/>
      <c r="B152" s="11">
        <v>13</v>
      </c>
      <c r="C152" s="11" t="s">
        <v>148</v>
      </c>
      <c r="D152" s="11"/>
      <c r="E152" s="23"/>
      <c r="F152" s="25" t="s">
        <v>886</v>
      </c>
      <c r="G152" s="11" t="s">
        <v>938</v>
      </c>
      <c r="H152" s="11" t="s">
        <v>233</v>
      </c>
      <c r="I152" s="11" t="s">
        <v>769</v>
      </c>
      <c r="J152" s="11"/>
      <c r="K152" s="11"/>
      <c r="L152" s="11">
        <v>14</v>
      </c>
      <c r="M152" s="11">
        <v>160</v>
      </c>
      <c r="N152" s="11">
        <v>187</v>
      </c>
      <c r="O152" s="11">
        <v>-27</v>
      </c>
      <c r="P152" s="11">
        <v>183</v>
      </c>
      <c r="Q152" s="11">
        <v>186</v>
      </c>
      <c r="R152" s="11">
        <v>161</v>
      </c>
      <c r="S152" s="11">
        <v>110</v>
      </c>
      <c r="T152" s="11">
        <v>91</v>
      </c>
      <c r="U152" s="11">
        <v>154</v>
      </c>
      <c r="V152" s="11">
        <v>13</v>
      </c>
      <c r="W152" s="11"/>
      <c r="X152" s="11">
        <v>6</v>
      </c>
      <c r="Y152" s="25" t="s">
        <v>886</v>
      </c>
    </row>
    <row r="153" spans="1:25" ht="14.25" customHeight="1" x14ac:dyDescent="0.25">
      <c r="A153" s="11"/>
      <c r="B153" s="11">
        <v>12</v>
      </c>
      <c r="C153" s="11" t="s">
        <v>148</v>
      </c>
      <c r="D153" s="11"/>
      <c r="E153" s="23"/>
      <c r="F153" s="25" t="s">
        <v>886</v>
      </c>
      <c r="G153" s="11" t="s">
        <v>568</v>
      </c>
      <c r="H153" s="11" t="s">
        <v>88</v>
      </c>
      <c r="I153" s="11" t="s">
        <v>1084</v>
      </c>
      <c r="J153" s="11"/>
      <c r="K153" s="11"/>
      <c r="L153" s="11">
        <v>17</v>
      </c>
      <c r="M153" s="11">
        <v>193</v>
      </c>
      <c r="N153" s="11" t="s">
        <v>36</v>
      </c>
      <c r="O153" s="11" t="e">
        <v>#VALUE!</v>
      </c>
      <c r="P153" s="11">
        <v>157</v>
      </c>
      <c r="Q153" s="11">
        <v>117</v>
      </c>
      <c r="R153" s="11">
        <v>217</v>
      </c>
      <c r="S153" s="11">
        <v>132</v>
      </c>
      <c r="T153" s="11">
        <v>79</v>
      </c>
      <c r="U153" s="11">
        <v>149</v>
      </c>
      <c r="V153" s="11">
        <v>13</v>
      </c>
      <c r="W153" s="11"/>
      <c r="X153" s="11">
        <v>44</v>
      </c>
      <c r="Y153" s="25" t="s">
        <v>886</v>
      </c>
    </row>
    <row r="154" spans="1:25" ht="14.25" customHeight="1" x14ac:dyDescent="0.25">
      <c r="A154" s="11"/>
      <c r="B154" s="11">
        <v>14</v>
      </c>
      <c r="C154" s="11" t="s">
        <v>148</v>
      </c>
      <c r="D154" s="11"/>
      <c r="E154" s="23"/>
      <c r="F154" s="25" t="s">
        <v>886</v>
      </c>
      <c r="G154" s="11" t="s">
        <v>409</v>
      </c>
      <c r="H154" s="11" t="s">
        <v>88</v>
      </c>
      <c r="I154" s="11" t="s">
        <v>764</v>
      </c>
      <c r="J154" s="11" t="s">
        <v>875</v>
      </c>
      <c r="K154" s="11">
        <v>58</v>
      </c>
      <c r="L154" s="11">
        <v>12</v>
      </c>
      <c r="M154" s="11">
        <v>140</v>
      </c>
      <c r="N154" s="11">
        <v>119</v>
      </c>
      <c r="O154" s="11">
        <v>21</v>
      </c>
      <c r="P154" s="11">
        <v>150</v>
      </c>
      <c r="Q154" s="11">
        <v>118</v>
      </c>
      <c r="R154" s="11">
        <v>134</v>
      </c>
      <c r="S154" s="11">
        <v>164</v>
      </c>
      <c r="T154" s="11">
        <v>222</v>
      </c>
      <c r="U154" s="11">
        <v>149</v>
      </c>
      <c r="V154" s="11">
        <v>13</v>
      </c>
      <c r="W154" s="11"/>
      <c r="X154" s="11">
        <v>-9</v>
      </c>
      <c r="Y154" s="25" t="s">
        <v>886</v>
      </c>
    </row>
    <row r="155" spans="1:25" ht="14.25" customHeight="1" x14ac:dyDescent="0.25">
      <c r="A155" s="11"/>
      <c r="B155" s="11">
        <v>14</v>
      </c>
      <c r="C155" s="11" t="s">
        <v>148</v>
      </c>
      <c r="D155" s="11"/>
      <c r="E155" s="23"/>
      <c r="F155" s="25" t="s">
        <v>886</v>
      </c>
      <c r="G155" s="11" t="s">
        <v>933</v>
      </c>
      <c r="H155" s="11" t="s">
        <v>168</v>
      </c>
      <c r="I155" s="11" t="s">
        <v>764</v>
      </c>
      <c r="J155" s="11" t="s">
        <v>912</v>
      </c>
      <c r="K155" s="11">
        <v>60</v>
      </c>
      <c r="L155" s="11">
        <v>13</v>
      </c>
      <c r="M155" s="11">
        <v>154</v>
      </c>
      <c r="N155" s="11">
        <v>117</v>
      </c>
      <c r="O155" s="11">
        <v>37</v>
      </c>
      <c r="P155" s="11">
        <v>171</v>
      </c>
      <c r="Q155" s="11">
        <v>167</v>
      </c>
      <c r="R155" s="11">
        <v>136</v>
      </c>
      <c r="S155" s="11">
        <v>140</v>
      </c>
      <c r="T155" s="11">
        <v>174</v>
      </c>
      <c r="U155" s="11">
        <v>151</v>
      </c>
      <c r="V155" s="11">
        <v>13</v>
      </c>
      <c r="W155" s="11">
        <v>-13</v>
      </c>
      <c r="X155" s="11">
        <v>3</v>
      </c>
      <c r="Y155" s="25" t="s">
        <v>886</v>
      </c>
    </row>
    <row r="156" spans="1:25" ht="14.25" customHeight="1" x14ac:dyDescent="0.25">
      <c r="A156" s="11"/>
      <c r="B156" s="11">
        <v>14</v>
      </c>
      <c r="C156" s="11" t="s">
        <v>148</v>
      </c>
      <c r="D156" s="11"/>
      <c r="E156" s="23"/>
      <c r="F156" s="25" t="s">
        <v>886</v>
      </c>
      <c r="G156" s="11" t="s">
        <v>266</v>
      </c>
      <c r="H156" s="11" t="s">
        <v>199</v>
      </c>
      <c r="I156" s="11" t="s">
        <v>760</v>
      </c>
      <c r="J156" s="11" t="s">
        <v>889</v>
      </c>
      <c r="K156" s="11">
        <v>19</v>
      </c>
      <c r="L156" s="11">
        <v>12</v>
      </c>
      <c r="M156" s="11">
        <v>132</v>
      </c>
      <c r="N156" s="11">
        <v>130</v>
      </c>
      <c r="O156" s="11">
        <v>2</v>
      </c>
      <c r="P156" s="11">
        <v>151</v>
      </c>
      <c r="Q156" s="11">
        <v>172</v>
      </c>
      <c r="R156" s="11">
        <v>144</v>
      </c>
      <c r="S156" s="11">
        <v>168</v>
      </c>
      <c r="T156" s="11">
        <v>178</v>
      </c>
      <c r="U156" s="11">
        <v>153</v>
      </c>
      <c r="V156" s="11">
        <v>13</v>
      </c>
      <c r="W156" s="11"/>
      <c r="X156" s="11">
        <v>-21</v>
      </c>
      <c r="Y156" s="25" t="s">
        <v>886</v>
      </c>
    </row>
    <row r="157" spans="1:25" ht="14.25" customHeight="1" x14ac:dyDescent="0.25">
      <c r="A157" s="11"/>
      <c r="B157" s="11">
        <v>13</v>
      </c>
      <c r="C157" s="11" t="s">
        <v>148</v>
      </c>
      <c r="D157" s="11"/>
      <c r="E157" s="23"/>
      <c r="F157" s="25" t="s">
        <v>886</v>
      </c>
      <c r="G157" s="11" t="s">
        <v>502</v>
      </c>
      <c r="H157" s="11" t="s">
        <v>91</v>
      </c>
      <c r="I157" s="11" t="s">
        <v>1080</v>
      </c>
      <c r="J157" s="11"/>
      <c r="K157" s="11"/>
      <c r="L157" s="11">
        <v>15</v>
      </c>
      <c r="M157" s="11">
        <v>169</v>
      </c>
      <c r="N157" s="11" t="s">
        <v>36</v>
      </c>
      <c r="O157" s="11" t="e">
        <v>#VALUE!</v>
      </c>
      <c r="P157" s="11">
        <v>112</v>
      </c>
      <c r="Q157" s="11">
        <v>109</v>
      </c>
      <c r="R157" s="11">
        <v>212</v>
      </c>
      <c r="S157" s="11">
        <v>181</v>
      </c>
      <c r="T157" s="11">
        <v>123</v>
      </c>
      <c r="U157" s="11">
        <v>151</v>
      </c>
      <c r="V157" s="11">
        <v>13</v>
      </c>
      <c r="W157" s="11"/>
      <c r="X157" s="11">
        <v>18</v>
      </c>
      <c r="Y157" s="25" t="s">
        <v>886</v>
      </c>
    </row>
    <row r="158" spans="1:25" ht="14.25" customHeight="1" x14ac:dyDescent="0.25">
      <c r="A158" s="11"/>
      <c r="B158" s="11">
        <v>14</v>
      </c>
      <c r="C158" s="11" t="s">
        <v>148</v>
      </c>
      <c r="D158" s="11"/>
      <c r="E158" s="23"/>
      <c r="F158" s="25" t="s">
        <v>886</v>
      </c>
      <c r="G158" s="11" t="s">
        <v>397</v>
      </c>
      <c r="H158" s="11" t="s">
        <v>104</v>
      </c>
      <c r="I158" s="11" t="s">
        <v>769</v>
      </c>
      <c r="J158" s="11"/>
      <c r="K158" s="11"/>
      <c r="L158" s="11">
        <v>12</v>
      </c>
      <c r="M158" s="11">
        <v>134</v>
      </c>
      <c r="N158" s="11">
        <v>162</v>
      </c>
      <c r="O158" s="11">
        <v>-28</v>
      </c>
      <c r="P158" s="11">
        <v>155</v>
      </c>
      <c r="Q158" s="11">
        <v>155</v>
      </c>
      <c r="R158" s="11">
        <v>140</v>
      </c>
      <c r="S158" s="11">
        <v>169</v>
      </c>
      <c r="T158" s="11">
        <v>173</v>
      </c>
      <c r="U158" s="11">
        <v>155</v>
      </c>
      <c r="V158" s="11">
        <v>13</v>
      </c>
      <c r="W158" s="11"/>
      <c r="X158" s="11">
        <v>-21</v>
      </c>
      <c r="Y158" s="25" t="s">
        <v>886</v>
      </c>
    </row>
    <row r="159" spans="1:25" ht="14.25" customHeight="1" x14ac:dyDescent="0.25">
      <c r="A159" s="11"/>
      <c r="B159" s="11">
        <v>14</v>
      </c>
      <c r="C159" s="11" t="s">
        <v>148</v>
      </c>
      <c r="D159" s="11"/>
      <c r="E159" s="23"/>
      <c r="F159" s="25" t="s">
        <v>886</v>
      </c>
      <c r="G159" s="11" t="s">
        <v>826</v>
      </c>
      <c r="H159" s="11" t="s">
        <v>123</v>
      </c>
      <c r="I159" s="11" t="s">
        <v>762</v>
      </c>
      <c r="J159" s="11" t="s">
        <v>894</v>
      </c>
      <c r="K159" s="11">
        <v>44</v>
      </c>
      <c r="L159" s="11">
        <v>12</v>
      </c>
      <c r="M159" s="11">
        <v>137</v>
      </c>
      <c r="N159" s="11">
        <v>139</v>
      </c>
      <c r="O159" s="11">
        <v>-2</v>
      </c>
      <c r="P159" s="11">
        <v>149</v>
      </c>
      <c r="Q159" s="11">
        <v>151</v>
      </c>
      <c r="R159" s="11">
        <v>121</v>
      </c>
      <c r="S159" s="11">
        <v>143</v>
      </c>
      <c r="T159" s="11">
        <v>227</v>
      </c>
      <c r="U159" s="11">
        <v>152</v>
      </c>
      <c r="V159" s="11">
        <v>13</v>
      </c>
      <c r="W159" s="11"/>
      <c r="X159" s="11">
        <v>-15</v>
      </c>
      <c r="Y159" s="25" t="s">
        <v>1050</v>
      </c>
    </row>
    <row r="160" spans="1:25" ht="14.25" customHeight="1" x14ac:dyDescent="0.25">
      <c r="A160" s="11"/>
      <c r="B160" s="11">
        <v>13</v>
      </c>
      <c r="C160" s="11" t="s">
        <v>148</v>
      </c>
      <c r="D160" s="11"/>
      <c r="E160" s="23"/>
      <c r="F160" s="25" t="s">
        <v>886</v>
      </c>
      <c r="G160" s="11" t="s">
        <v>578</v>
      </c>
      <c r="H160" s="11" t="s">
        <v>35</v>
      </c>
      <c r="I160" s="11" t="s">
        <v>1084</v>
      </c>
      <c r="J160" s="11"/>
      <c r="K160" s="11"/>
      <c r="L160" s="11">
        <v>17</v>
      </c>
      <c r="M160" s="11">
        <v>196</v>
      </c>
      <c r="N160" s="11" t="s">
        <v>36</v>
      </c>
      <c r="O160" s="11" t="e">
        <v>#VALUE!</v>
      </c>
      <c r="P160" s="11">
        <v>170</v>
      </c>
      <c r="Q160" s="11">
        <v>101</v>
      </c>
      <c r="R160" s="11">
        <v>225</v>
      </c>
      <c r="S160" s="11">
        <v>133</v>
      </c>
      <c r="T160" s="11">
        <v>104</v>
      </c>
      <c r="U160" s="11">
        <v>154</v>
      </c>
      <c r="V160" s="11">
        <v>13</v>
      </c>
      <c r="W160" s="11"/>
      <c r="X160" s="11">
        <v>42</v>
      </c>
      <c r="Y160" s="25" t="s">
        <v>886</v>
      </c>
    </row>
    <row r="161" spans="1:25" ht="14.25" customHeight="1" x14ac:dyDescent="0.25">
      <c r="A161" s="11"/>
      <c r="B161" s="11">
        <v>15</v>
      </c>
      <c r="C161" s="11" t="s">
        <v>148</v>
      </c>
      <c r="D161" s="11"/>
      <c r="E161" s="23"/>
      <c r="F161" s="25" t="s">
        <v>886</v>
      </c>
      <c r="G161" s="11" t="s">
        <v>181</v>
      </c>
      <c r="H161" s="11" t="s">
        <v>155</v>
      </c>
      <c r="I161" s="11" t="s">
        <v>764</v>
      </c>
      <c r="J161" s="58" t="s">
        <v>854</v>
      </c>
      <c r="K161" s="11">
        <v>49</v>
      </c>
      <c r="L161" s="11">
        <v>14</v>
      </c>
      <c r="M161" s="11">
        <v>162</v>
      </c>
      <c r="N161" s="11">
        <v>111</v>
      </c>
      <c r="O161" s="11">
        <v>51</v>
      </c>
      <c r="P161" s="11">
        <v>175</v>
      </c>
      <c r="Q161" s="11">
        <v>195</v>
      </c>
      <c r="R161" s="11">
        <v>141</v>
      </c>
      <c r="S161" s="11">
        <v>145</v>
      </c>
      <c r="T161" s="11">
        <v>210</v>
      </c>
      <c r="U161" s="11">
        <v>162</v>
      </c>
      <c r="V161" s="11">
        <v>14</v>
      </c>
      <c r="W161" s="11"/>
      <c r="X161" s="11">
        <v>0</v>
      </c>
      <c r="Y161" s="25" t="s">
        <v>1079</v>
      </c>
    </row>
    <row r="162" spans="1:25" ht="14.25" customHeight="1" x14ac:dyDescent="0.25">
      <c r="A162" s="11"/>
      <c r="B162" s="11">
        <v>15</v>
      </c>
      <c r="C162" s="11" t="s">
        <v>148</v>
      </c>
      <c r="D162" s="11"/>
      <c r="E162" s="23"/>
      <c r="F162" s="25" t="s">
        <v>886</v>
      </c>
      <c r="G162" s="11" t="s">
        <v>506</v>
      </c>
      <c r="H162" s="11" t="s">
        <v>66</v>
      </c>
      <c r="I162" s="11" t="s">
        <v>762</v>
      </c>
      <c r="J162" s="11" t="s">
        <v>930</v>
      </c>
      <c r="K162" s="11">
        <v>57</v>
      </c>
      <c r="L162" s="11">
        <v>12</v>
      </c>
      <c r="M162" s="11">
        <v>138</v>
      </c>
      <c r="N162" s="11">
        <v>142</v>
      </c>
      <c r="O162" s="11">
        <v>-4</v>
      </c>
      <c r="P162" s="11">
        <v>164</v>
      </c>
      <c r="Q162" s="11">
        <v>190</v>
      </c>
      <c r="R162" s="11">
        <v>143</v>
      </c>
      <c r="S162" s="11">
        <v>149</v>
      </c>
      <c r="T162" s="11">
        <v>215</v>
      </c>
      <c r="U162" s="11">
        <v>163</v>
      </c>
      <c r="V162" s="11">
        <v>14</v>
      </c>
      <c r="W162" s="11"/>
      <c r="X162" s="11">
        <v>-25</v>
      </c>
      <c r="Y162" s="25" t="s">
        <v>1044</v>
      </c>
    </row>
    <row r="163" spans="1:25" ht="14.25" customHeight="1" x14ac:dyDescent="0.25">
      <c r="A163" s="11"/>
      <c r="B163" s="11">
        <v>14</v>
      </c>
      <c r="C163" s="11" t="s">
        <v>148</v>
      </c>
      <c r="D163" s="11"/>
      <c r="E163" s="23"/>
      <c r="F163" s="25" t="s">
        <v>886</v>
      </c>
      <c r="G163" s="11" t="s">
        <v>370</v>
      </c>
      <c r="H163" s="11" t="s">
        <v>39</v>
      </c>
      <c r="I163" s="11" t="s">
        <v>762</v>
      </c>
      <c r="J163" s="11" t="s">
        <v>894</v>
      </c>
      <c r="K163" s="11">
        <v>46</v>
      </c>
      <c r="L163" s="11">
        <v>13</v>
      </c>
      <c r="M163" s="11">
        <v>146</v>
      </c>
      <c r="N163" s="11">
        <v>156</v>
      </c>
      <c r="O163" s="11">
        <v>-10</v>
      </c>
      <c r="P163" s="11">
        <v>172</v>
      </c>
      <c r="Q163" s="11">
        <v>161</v>
      </c>
      <c r="R163" s="11">
        <v>151</v>
      </c>
      <c r="S163" s="11">
        <v>167</v>
      </c>
      <c r="T163" s="11">
        <v>184</v>
      </c>
      <c r="U163" s="11">
        <v>162</v>
      </c>
      <c r="V163" s="11">
        <v>14</v>
      </c>
      <c r="W163" s="11"/>
      <c r="X163" s="11">
        <v>-16</v>
      </c>
      <c r="Y163" s="25" t="s">
        <v>886</v>
      </c>
    </row>
    <row r="164" spans="1:25" ht="14.25" customHeight="1" x14ac:dyDescent="0.25">
      <c r="A164" s="11"/>
      <c r="B164" s="11">
        <v>14</v>
      </c>
      <c r="C164" s="11" t="s">
        <v>148</v>
      </c>
      <c r="D164" s="11"/>
      <c r="E164" s="23"/>
      <c r="F164" s="25" t="s">
        <v>886</v>
      </c>
      <c r="G164" s="11" t="s">
        <v>512</v>
      </c>
      <c r="H164" s="11" t="s">
        <v>72</v>
      </c>
      <c r="I164" s="11" t="s">
        <v>1080</v>
      </c>
      <c r="J164" s="11"/>
      <c r="K164" s="11"/>
      <c r="L164" s="11">
        <v>15</v>
      </c>
      <c r="M164" s="11">
        <v>172</v>
      </c>
      <c r="N164" s="11" t="s">
        <v>36</v>
      </c>
      <c r="O164" s="11" t="e">
        <v>#VALUE!</v>
      </c>
      <c r="P164" s="11">
        <v>141</v>
      </c>
      <c r="Q164" s="11">
        <v>119</v>
      </c>
      <c r="R164" s="11">
        <v>220</v>
      </c>
      <c r="S164" s="11">
        <v>160</v>
      </c>
      <c r="T164" s="11">
        <v>151</v>
      </c>
      <c r="U164" s="11">
        <v>160</v>
      </c>
      <c r="V164" s="11">
        <v>14</v>
      </c>
      <c r="W164" s="11"/>
      <c r="X164" s="11">
        <v>12</v>
      </c>
      <c r="Y164" s="25" t="s">
        <v>886</v>
      </c>
    </row>
    <row r="165" spans="1:25" ht="14.25" customHeight="1" x14ac:dyDescent="0.25">
      <c r="A165" s="11"/>
      <c r="B165" s="11">
        <v>14</v>
      </c>
      <c r="C165" s="11" t="s">
        <v>148</v>
      </c>
      <c r="D165" s="11"/>
      <c r="E165" s="23"/>
      <c r="F165" s="25" t="s">
        <v>886</v>
      </c>
      <c r="G165" s="11" t="s">
        <v>504</v>
      </c>
      <c r="H165" s="11" t="s">
        <v>88</v>
      </c>
      <c r="I165" s="11" t="s">
        <v>764</v>
      </c>
      <c r="J165" s="11" t="s">
        <v>912</v>
      </c>
      <c r="K165" s="11">
        <v>62</v>
      </c>
      <c r="L165" s="11">
        <v>16</v>
      </c>
      <c r="M165" s="11">
        <v>185</v>
      </c>
      <c r="N165" s="11">
        <v>159</v>
      </c>
      <c r="O165" s="11">
        <v>26</v>
      </c>
      <c r="P165" s="11" t="s">
        <v>36</v>
      </c>
      <c r="Q165" s="11" t="s">
        <v>36</v>
      </c>
      <c r="R165" s="11">
        <v>181</v>
      </c>
      <c r="S165" s="11">
        <v>139</v>
      </c>
      <c r="T165" s="11">
        <v>169</v>
      </c>
      <c r="U165" s="11">
        <v>166</v>
      </c>
      <c r="V165" s="11">
        <v>14</v>
      </c>
      <c r="W165" s="11"/>
      <c r="X165" s="11">
        <v>19</v>
      </c>
      <c r="Y165" s="25" t="s">
        <v>1086</v>
      </c>
    </row>
    <row r="166" spans="1:25" ht="14.25" customHeight="1" x14ac:dyDescent="0.25">
      <c r="A166" s="11"/>
      <c r="B166" s="11">
        <v>13</v>
      </c>
      <c r="C166" s="11" t="s">
        <v>148</v>
      </c>
      <c r="D166" s="11"/>
      <c r="E166" s="23"/>
      <c r="F166" s="25" t="s">
        <v>886</v>
      </c>
      <c r="G166" s="11" t="s">
        <v>719</v>
      </c>
      <c r="H166" s="11" t="s">
        <v>163</v>
      </c>
      <c r="I166" s="11" t="s">
        <v>1084</v>
      </c>
      <c r="J166" s="11"/>
      <c r="K166" s="11"/>
      <c r="L166" s="11">
        <v>19</v>
      </c>
      <c r="M166" s="11">
        <v>221</v>
      </c>
      <c r="N166" s="11" t="s">
        <v>36</v>
      </c>
      <c r="O166" s="11" t="e">
        <v>#VALUE!</v>
      </c>
      <c r="P166" s="11">
        <v>160</v>
      </c>
      <c r="Q166" s="11">
        <v>114</v>
      </c>
      <c r="R166" s="11">
        <v>228</v>
      </c>
      <c r="S166" s="11">
        <v>135</v>
      </c>
      <c r="T166" s="11">
        <v>112</v>
      </c>
      <c r="U166" s="11">
        <v>161</v>
      </c>
      <c r="V166" s="11">
        <v>14</v>
      </c>
      <c r="W166" s="11"/>
      <c r="X166" s="11">
        <v>60</v>
      </c>
      <c r="Y166" s="25" t="s">
        <v>886</v>
      </c>
    </row>
    <row r="167" spans="1:25" ht="14.25" customHeight="1" x14ac:dyDescent="0.25">
      <c r="A167" s="11"/>
      <c r="B167" s="11">
        <v>14</v>
      </c>
      <c r="C167" s="11" t="s">
        <v>148</v>
      </c>
      <c r="D167" s="11"/>
      <c r="E167" s="23"/>
      <c r="F167" s="25" t="s">
        <v>886</v>
      </c>
      <c r="G167" s="11" t="s">
        <v>462</v>
      </c>
      <c r="H167" s="11" t="s">
        <v>116</v>
      </c>
      <c r="I167" s="11" t="s">
        <v>1080</v>
      </c>
      <c r="J167" s="11"/>
      <c r="K167" s="11"/>
      <c r="L167" s="11">
        <v>16</v>
      </c>
      <c r="M167" s="11">
        <v>188</v>
      </c>
      <c r="N167" s="11" t="s">
        <v>36</v>
      </c>
      <c r="O167" s="11" t="e">
        <v>#VALUE!</v>
      </c>
      <c r="P167" s="11">
        <v>145</v>
      </c>
      <c r="Q167" s="11">
        <v>100</v>
      </c>
      <c r="R167" s="11">
        <v>216</v>
      </c>
      <c r="S167" s="11">
        <v>188</v>
      </c>
      <c r="T167" s="11">
        <v>145</v>
      </c>
      <c r="U167" s="11">
        <v>163</v>
      </c>
      <c r="V167" s="11">
        <v>14</v>
      </c>
      <c r="W167" s="11"/>
      <c r="X167" s="11">
        <v>25</v>
      </c>
      <c r="Y167" s="25" t="s">
        <v>886</v>
      </c>
    </row>
    <row r="168" spans="1:25" ht="14.25" customHeight="1" x14ac:dyDescent="0.25">
      <c r="A168" s="11"/>
      <c r="B168" s="11">
        <v>15</v>
      </c>
      <c r="C168" s="11" t="s">
        <v>148</v>
      </c>
      <c r="D168" s="11"/>
      <c r="E168" s="23"/>
      <c r="F168" s="25" t="s">
        <v>886</v>
      </c>
      <c r="G168" s="11" t="s">
        <v>905</v>
      </c>
      <c r="H168" s="11" t="s">
        <v>187</v>
      </c>
      <c r="I168" s="11" t="s">
        <v>762</v>
      </c>
      <c r="J168" s="11" t="s">
        <v>906</v>
      </c>
      <c r="K168" s="11">
        <v>56</v>
      </c>
      <c r="L168" s="11">
        <v>11</v>
      </c>
      <c r="M168" s="11">
        <v>123</v>
      </c>
      <c r="N168" s="11">
        <v>171</v>
      </c>
      <c r="O168" s="11">
        <v>-48</v>
      </c>
      <c r="P168" s="11">
        <v>147</v>
      </c>
      <c r="Q168" s="11">
        <v>147</v>
      </c>
      <c r="R168" s="11">
        <v>146</v>
      </c>
      <c r="S168" s="11">
        <v>157</v>
      </c>
      <c r="T168" s="11">
        <v>244</v>
      </c>
      <c r="U168" s="11">
        <v>162</v>
      </c>
      <c r="V168" s="11">
        <v>14</v>
      </c>
      <c r="W168" s="11"/>
      <c r="X168" s="11">
        <v>-39</v>
      </c>
      <c r="Y168" s="25" t="s">
        <v>886</v>
      </c>
    </row>
    <row r="169" spans="1:25" ht="14.25" customHeight="1" x14ac:dyDescent="0.25">
      <c r="A169" s="11"/>
      <c r="B169" s="11">
        <v>16</v>
      </c>
      <c r="C169" s="11" t="s">
        <v>148</v>
      </c>
      <c r="D169" s="11"/>
      <c r="E169" s="23"/>
      <c r="F169" s="25" t="s">
        <v>148</v>
      </c>
      <c r="G169" s="11" t="s">
        <v>407</v>
      </c>
      <c r="H169" s="11" t="s">
        <v>187</v>
      </c>
      <c r="I169" s="11" t="s">
        <v>762</v>
      </c>
      <c r="J169" s="11" t="s">
        <v>894</v>
      </c>
      <c r="K169" s="11">
        <v>45</v>
      </c>
      <c r="L169" s="11">
        <v>10</v>
      </c>
      <c r="M169" s="11">
        <v>119</v>
      </c>
      <c r="N169" s="11">
        <v>138</v>
      </c>
      <c r="O169" s="11">
        <v>-19</v>
      </c>
      <c r="P169" s="11">
        <v>159</v>
      </c>
      <c r="Q169" s="11">
        <v>191</v>
      </c>
      <c r="R169" s="11">
        <v>130</v>
      </c>
      <c r="S169" s="11">
        <v>173</v>
      </c>
      <c r="T169" s="11">
        <v>255</v>
      </c>
      <c r="U169" s="11">
        <v>166</v>
      </c>
      <c r="V169" s="11">
        <v>14</v>
      </c>
      <c r="W169" s="11"/>
      <c r="X169" s="11">
        <v>-47</v>
      </c>
      <c r="Y169" s="25" t="s">
        <v>1089</v>
      </c>
    </row>
    <row r="170" spans="1:25" ht="14.25" customHeight="1" x14ac:dyDescent="0.25">
      <c r="A170" s="11"/>
      <c r="B170" s="11">
        <v>16</v>
      </c>
      <c r="C170" s="11" t="s">
        <v>148</v>
      </c>
      <c r="D170" s="11"/>
      <c r="E170" s="23"/>
      <c r="F170" s="25" t="s">
        <v>886</v>
      </c>
      <c r="G170" s="11" t="s">
        <v>688</v>
      </c>
      <c r="H170" s="11" t="s">
        <v>39</v>
      </c>
      <c r="I170" s="11" t="s">
        <v>760</v>
      </c>
      <c r="J170" s="11" t="s">
        <v>903</v>
      </c>
      <c r="K170" s="11">
        <v>24</v>
      </c>
      <c r="L170" s="11">
        <v>12</v>
      </c>
      <c r="M170" s="11">
        <v>142</v>
      </c>
      <c r="N170" s="11">
        <v>143</v>
      </c>
      <c r="O170" s="11">
        <v>-1</v>
      </c>
      <c r="P170" s="11">
        <v>177</v>
      </c>
      <c r="Q170" s="11">
        <v>181</v>
      </c>
      <c r="R170" s="11">
        <v>164</v>
      </c>
      <c r="S170" s="11">
        <v>189</v>
      </c>
      <c r="T170" s="11">
        <v>189</v>
      </c>
      <c r="U170" s="11">
        <v>169</v>
      </c>
      <c r="V170" s="11">
        <v>15</v>
      </c>
      <c r="W170" s="11"/>
      <c r="X170" s="11">
        <v>-27</v>
      </c>
      <c r="Y170" s="25" t="s">
        <v>886</v>
      </c>
    </row>
    <row r="171" spans="1:25" ht="14.25" customHeight="1" x14ac:dyDescent="0.25">
      <c r="A171" s="11"/>
      <c r="B171" s="11">
        <v>14</v>
      </c>
      <c r="C171" s="11" t="s">
        <v>148</v>
      </c>
      <c r="D171" s="11"/>
      <c r="E171" s="23"/>
      <c r="F171" s="25" t="s">
        <v>886</v>
      </c>
      <c r="G171" s="11" t="s">
        <v>1090</v>
      </c>
      <c r="H171" s="11" t="s">
        <v>233</v>
      </c>
      <c r="I171" s="11" t="s">
        <v>1084</v>
      </c>
      <c r="J171" s="11"/>
      <c r="K171" s="11"/>
      <c r="L171" s="11">
        <v>17</v>
      </c>
      <c r="M171" s="11">
        <v>203</v>
      </c>
      <c r="N171" s="11" t="s">
        <v>36</v>
      </c>
      <c r="O171" s="11" t="e">
        <v>#VALUE!</v>
      </c>
      <c r="P171" s="11">
        <v>201</v>
      </c>
      <c r="Q171" s="11">
        <v>145</v>
      </c>
      <c r="R171" s="11">
        <v>247</v>
      </c>
      <c r="S171" s="11">
        <v>134</v>
      </c>
      <c r="T171" s="11">
        <v>69</v>
      </c>
      <c r="U171" s="11">
        <v>166</v>
      </c>
      <c r="V171" s="11">
        <v>14</v>
      </c>
      <c r="W171" s="11"/>
      <c r="X171" s="11">
        <v>37</v>
      </c>
      <c r="Y171" s="25" t="s">
        <v>886</v>
      </c>
    </row>
    <row r="172" spans="1:25" ht="14.25" customHeight="1" x14ac:dyDescent="0.25">
      <c r="A172" s="11"/>
      <c r="B172" s="11">
        <v>14</v>
      </c>
      <c r="C172" s="11" t="s">
        <v>148</v>
      </c>
      <c r="D172" s="11"/>
      <c r="E172" s="23"/>
      <c r="F172" s="25" t="s">
        <v>886</v>
      </c>
      <c r="G172" s="11" t="s">
        <v>658</v>
      </c>
      <c r="H172" s="11" t="s">
        <v>55</v>
      </c>
      <c r="I172" s="11" t="s">
        <v>1080</v>
      </c>
      <c r="J172" s="11"/>
      <c r="K172" s="11"/>
      <c r="L172" s="11">
        <v>16</v>
      </c>
      <c r="M172" s="11" t="s">
        <v>36</v>
      </c>
      <c r="N172" s="11" t="s">
        <v>36</v>
      </c>
      <c r="O172" s="11" t="e">
        <v>#VALUE!</v>
      </c>
      <c r="P172" s="11">
        <v>181</v>
      </c>
      <c r="Q172" s="11">
        <v>188</v>
      </c>
      <c r="R172" s="11">
        <v>230</v>
      </c>
      <c r="S172" s="11">
        <v>156</v>
      </c>
      <c r="T172" s="11">
        <v>76</v>
      </c>
      <c r="U172" s="11">
        <v>166</v>
      </c>
      <c r="V172" s="11">
        <v>14</v>
      </c>
      <c r="W172" s="11"/>
      <c r="X172" s="11" t="e">
        <v>#VALUE!</v>
      </c>
      <c r="Y172" s="25" t="s">
        <v>886</v>
      </c>
    </row>
    <row r="173" spans="1:25" ht="14.25" customHeight="1" x14ac:dyDescent="0.25">
      <c r="A173" s="11"/>
      <c r="B173" s="11">
        <v>15</v>
      </c>
      <c r="C173" s="11" t="s">
        <v>148</v>
      </c>
      <c r="D173" s="11"/>
      <c r="E173" s="23"/>
      <c r="F173" s="25" t="s">
        <v>886</v>
      </c>
      <c r="G173" s="11" t="s">
        <v>823</v>
      </c>
      <c r="H173" s="11" t="s">
        <v>85</v>
      </c>
      <c r="I173" s="11" t="s">
        <v>764</v>
      </c>
      <c r="J173" s="11"/>
      <c r="K173" s="11"/>
      <c r="L173" s="11">
        <v>15</v>
      </c>
      <c r="M173" s="11">
        <v>174</v>
      </c>
      <c r="N173" s="11">
        <v>145</v>
      </c>
      <c r="O173" s="11">
        <v>29</v>
      </c>
      <c r="P173" s="11">
        <v>214</v>
      </c>
      <c r="Q173" s="11">
        <v>170</v>
      </c>
      <c r="R173" s="11">
        <v>162</v>
      </c>
      <c r="S173" s="11">
        <v>190</v>
      </c>
      <c r="T173" s="11">
        <v>126</v>
      </c>
      <c r="U173" s="11">
        <v>168</v>
      </c>
      <c r="V173" s="11">
        <v>15</v>
      </c>
      <c r="W173" s="11"/>
      <c r="X173" s="11">
        <v>6</v>
      </c>
      <c r="Y173" s="25" t="s">
        <v>886</v>
      </c>
    </row>
    <row r="174" spans="1:25" ht="14.25" customHeight="1" x14ac:dyDescent="0.25">
      <c r="A174" s="11"/>
      <c r="B174" s="11">
        <v>15</v>
      </c>
      <c r="C174" s="11" t="s">
        <v>148</v>
      </c>
      <c r="D174" s="11"/>
      <c r="E174" s="23"/>
      <c r="F174" s="25" t="s">
        <v>886</v>
      </c>
      <c r="G174" s="11" t="s">
        <v>460</v>
      </c>
      <c r="H174" s="11" t="s">
        <v>229</v>
      </c>
      <c r="I174" s="11" t="s">
        <v>760</v>
      </c>
      <c r="J174" s="45" t="s">
        <v>890</v>
      </c>
      <c r="K174" s="11">
        <v>22</v>
      </c>
      <c r="L174" s="11">
        <v>15</v>
      </c>
      <c r="M174" s="11">
        <v>177</v>
      </c>
      <c r="N174" s="11">
        <v>151</v>
      </c>
      <c r="O174" s="11">
        <v>26</v>
      </c>
      <c r="P174" s="11">
        <v>184</v>
      </c>
      <c r="Q174" s="11">
        <v>173</v>
      </c>
      <c r="R174" s="11">
        <v>175</v>
      </c>
      <c r="S174" s="11">
        <v>170</v>
      </c>
      <c r="T174" s="11">
        <v>166</v>
      </c>
      <c r="U174" s="11">
        <v>170</v>
      </c>
      <c r="V174" s="11">
        <v>15</v>
      </c>
      <c r="W174" s="11"/>
      <c r="X174" s="11">
        <v>7</v>
      </c>
      <c r="Y174" s="25" t="s">
        <v>886</v>
      </c>
    </row>
    <row r="175" spans="1:25" ht="14.25" customHeight="1" x14ac:dyDescent="0.25">
      <c r="A175" s="11"/>
      <c r="B175" s="11">
        <v>14</v>
      </c>
      <c r="C175" s="11" t="s">
        <v>148</v>
      </c>
      <c r="D175" s="11"/>
      <c r="E175" s="23"/>
      <c r="F175" s="25" t="s">
        <v>886</v>
      </c>
      <c r="G175" s="11" t="s">
        <v>602</v>
      </c>
      <c r="H175" s="11" t="s">
        <v>66</v>
      </c>
      <c r="I175" s="11" t="s">
        <v>1080</v>
      </c>
      <c r="J175" s="11"/>
      <c r="K175" s="11"/>
      <c r="L175" s="11">
        <v>16</v>
      </c>
      <c r="M175" s="11">
        <v>190</v>
      </c>
      <c r="N175" s="11" t="s">
        <v>36</v>
      </c>
      <c r="O175" s="11" t="e">
        <v>#VALUE!</v>
      </c>
      <c r="P175" s="11">
        <v>128</v>
      </c>
      <c r="Q175" s="11">
        <v>153</v>
      </c>
      <c r="R175" s="11">
        <v>224</v>
      </c>
      <c r="S175" s="11">
        <v>231</v>
      </c>
      <c r="T175" s="11">
        <v>92</v>
      </c>
      <c r="U175" s="11">
        <v>169</v>
      </c>
      <c r="V175" s="11">
        <v>15</v>
      </c>
      <c r="W175" s="11"/>
      <c r="X175" s="11">
        <v>21</v>
      </c>
      <c r="Y175" s="25" t="s">
        <v>886</v>
      </c>
    </row>
    <row r="176" spans="1:25" ht="14.25" customHeight="1" x14ac:dyDescent="0.25">
      <c r="A176" s="11"/>
      <c r="B176" s="11">
        <v>16</v>
      </c>
      <c r="C176" s="11" t="s">
        <v>148</v>
      </c>
      <c r="D176" s="11"/>
      <c r="E176" s="23"/>
      <c r="F176" s="25" t="s">
        <v>886</v>
      </c>
      <c r="G176" s="11" t="s">
        <v>911</v>
      </c>
      <c r="H176" s="11" t="s">
        <v>66</v>
      </c>
      <c r="I176" s="11" t="s">
        <v>764</v>
      </c>
      <c r="J176" s="11" t="s">
        <v>912</v>
      </c>
      <c r="K176" s="11">
        <v>61</v>
      </c>
      <c r="L176" s="11">
        <v>13</v>
      </c>
      <c r="M176" s="11">
        <v>150</v>
      </c>
      <c r="N176" s="11">
        <v>136</v>
      </c>
      <c r="O176" s="11">
        <v>14</v>
      </c>
      <c r="P176" s="11" t="s">
        <v>36</v>
      </c>
      <c r="Q176" s="11" t="s">
        <v>36</v>
      </c>
      <c r="R176" s="11">
        <v>158</v>
      </c>
      <c r="S176" s="11">
        <v>174</v>
      </c>
      <c r="T176" s="11">
        <v>235</v>
      </c>
      <c r="U176" s="11">
        <v>170</v>
      </c>
      <c r="V176" s="11">
        <v>15</v>
      </c>
      <c r="W176" s="11"/>
      <c r="X176" s="11">
        <v>-20</v>
      </c>
      <c r="Y176" s="25" t="s">
        <v>886</v>
      </c>
    </row>
    <row r="177" spans="1:25" ht="14.25" customHeight="1" x14ac:dyDescent="0.25">
      <c r="A177" s="11"/>
      <c r="B177" s="11">
        <v>15</v>
      </c>
      <c r="C177" s="11" t="s">
        <v>148</v>
      </c>
      <c r="D177" s="11"/>
      <c r="E177" s="23"/>
      <c r="F177" s="25" t="s">
        <v>886</v>
      </c>
      <c r="G177" s="11" t="s">
        <v>619</v>
      </c>
      <c r="H177" s="11" t="s">
        <v>81</v>
      </c>
      <c r="I177" s="11" t="s">
        <v>760</v>
      </c>
      <c r="J177" s="11" t="s">
        <v>903</v>
      </c>
      <c r="K177" s="11">
        <v>20</v>
      </c>
      <c r="L177" s="11">
        <v>13</v>
      </c>
      <c r="M177" s="11">
        <v>152</v>
      </c>
      <c r="N177" s="11">
        <v>158</v>
      </c>
      <c r="O177" s="11">
        <v>-6</v>
      </c>
      <c r="P177" s="11">
        <v>154</v>
      </c>
      <c r="Q177" s="11">
        <v>166</v>
      </c>
      <c r="R177" s="11">
        <v>183</v>
      </c>
      <c r="S177" s="11">
        <v>198</v>
      </c>
      <c r="T177" s="11">
        <v>193</v>
      </c>
      <c r="U177" s="11">
        <v>172</v>
      </c>
      <c r="V177" s="11">
        <v>15</v>
      </c>
      <c r="W177" s="11"/>
      <c r="X177" s="11">
        <v>-20</v>
      </c>
      <c r="Y177" s="25" t="s">
        <v>886</v>
      </c>
    </row>
    <row r="178" spans="1:25" ht="14.25" customHeight="1" x14ac:dyDescent="0.25">
      <c r="A178" s="11"/>
      <c r="B178" s="11">
        <v>15</v>
      </c>
      <c r="C178" s="11" t="s">
        <v>148</v>
      </c>
      <c r="D178" s="11"/>
      <c r="E178" s="23"/>
      <c r="F178" s="25" t="s">
        <v>886</v>
      </c>
      <c r="G178" s="11" t="s">
        <v>920</v>
      </c>
      <c r="H178" s="11" t="s">
        <v>72</v>
      </c>
      <c r="I178" s="11" t="s">
        <v>764</v>
      </c>
      <c r="J178" s="11" t="s">
        <v>912</v>
      </c>
      <c r="K178" s="11">
        <v>65</v>
      </c>
      <c r="L178" s="11">
        <v>16</v>
      </c>
      <c r="M178" s="11">
        <v>191</v>
      </c>
      <c r="N178" s="11">
        <v>169</v>
      </c>
      <c r="O178" s="11">
        <v>22</v>
      </c>
      <c r="P178" s="11">
        <v>167</v>
      </c>
      <c r="Q178" s="11">
        <v>159</v>
      </c>
      <c r="R178" s="11">
        <v>168</v>
      </c>
      <c r="S178" s="11">
        <v>171</v>
      </c>
      <c r="T178" s="11">
        <v>203</v>
      </c>
      <c r="U178" s="11">
        <v>175</v>
      </c>
      <c r="V178" s="11">
        <v>15</v>
      </c>
      <c r="W178" s="11"/>
      <c r="X178" s="11">
        <v>16</v>
      </c>
      <c r="Y178" s="25" t="s">
        <v>1081</v>
      </c>
    </row>
    <row r="179" spans="1:25" ht="14.25" customHeight="1" x14ac:dyDescent="0.25">
      <c r="A179" s="11"/>
      <c r="B179" s="11">
        <v>16</v>
      </c>
      <c r="C179" s="11" t="s">
        <v>148</v>
      </c>
      <c r="D179" s="11"/>
      <c r="E179" s="23"/>
      <c r="F179" s="25" t="s">
        <v>886</v>
      </c>
      <c r="G179" s="11" t="s">
        <v>467</v>
      </c>
      <c r="H179" s="11" t="s">
        <v>160</v>
      </c>
      <c r="I179" s="11" t="s">
        <v>760</v>
      </c>
      <c r="J179" s="45" t="s">
        <v>890</v>
      </c>
      <c r="K179" s="11">
        <v>21</v>
      </c>
      <c r="L179" s="11">
        <v>12</v>
      </c>
      <c r="M179" s="11">
        <v>136</v>
      </c>
      <c r="N179" s="11">
        <v>150</v>
      </c>
      <c r="O179" s="11">
        <v>-14</v>
      </c>
      <c r="P179" s="11">
        <v>190</v>
      </c>
      <c r="Q179" s="11">
        <v>193</v>
      </c>
      <c r="R179" s="11">
        <v>170</v>
      </c>
      <c r="S179" s="11">
        <v>201</v>
      </c>
      <c r="T179" s="11">
        <v>194</v>
      </c>
      <c r="U179" s="11">
        <v>176</v>
      </c>
      <c r="V179" s="11">
        <v>15</v>
      </c>
      <c r="W179" s="11">
        <v>-15</v>
      </c>
      <c r="X179" s="11">
        <v>-40</v>
      </c>
      <c r="Y179" s="25" t="s">
        <v>886</v>
      </c>
    </row>
    <row r="180" spans="1:25" ht="14.25" customHeight="1" x14ac:dyDescent="0.25">
      <c r="A180" s="11"/>
      <c r="B180" s="11">
        <v>15</v>
      </c>
      <c r="C180" s="11" t="s">
        <v>148</v>
      </c>
      <c r="D180" s="11"/>
      <c r="E180" s="23"/>
      <c r="F180" s="25" t="s">
        <v>886</v>
      </c>
      <c r="G180" s="11" t="s">
        <v>306</v>
      </c>
      <c r="H180" s="11" t="s">
        <v>49</v>
      </c>
      <c r="I180" s="11" t="s">
        <v>760</v>
      </c>
      <c r="J180" s="11" t="s">
        <v>903</v>
      </c>
      <c r="K180" s="11"/>
      <c r="L180" s="11">
        <v>13</v>
      </c>
      <c r="M180" s="11">
        <v>151</v>
      </c>
      <c r="N180" s="11">
        <v>177</v>
      </c>
      <c r="O180" s="11">
        <v>-26</v>
      </c>
      <c r="P180" s="11">
        <v>168</v>
      </c>
      <c r="Q180" s="11">
        <v>160</v>
      </c>
      <c r="R180" s="11">
        <v>197</v>
      </c>
      <c r="S180" s="11">
        <v>207</v>
      </c>
      <c r="T180" s="11">
        <v>167</v>
      </c>
      <c r="U180" s="11">
        <v>175</v>
      </c>
      <c r="V180" s="11">
        <v>15</v>
      </c>
      <c r="W180" s="11"/>
      <c r="X180" s="11">
        <v>-24</v>
      </c>
      <c r="Y180" s="25" t="s">
        <v>886</v>
      </c>
    </row>
    <row r="181" spans="1:25" ht="14.25" customHeight="1" x14ac:dyDescent="0.25">
      <c r="A181" s="11"/>
      <c r="B181" s="11">
        <v>15</v>
      </c>
      <c r="C181" s="11" t="s">
        <v>148</v>
      </c>
      <c r="D181" s="11"/>
      <c r="E181" s="23"/>
      <c r="F181" s="25" t="s">
        <v>886</v>
      </c>
      <c r="G181" s="11" t="s">
        <v>560</v>
      </c>
      <c r="H181" s="11" t="s">
        <v>116</v>
      </c>
      <c r="I181" s="11" t="s">
        <v>1084</v>
      </c>
      <c r="J181" s="11"/>
      <c r="K181" s="11"/>
      <c r="L181" s="11">
        <v>17</v>
      </c>
      <c r="M181" s="11">
        <v>201</v>
      </c>
      <c r="N181" s="11" t="s">
        <v>36</v>
      </c>
      <c r="O181" s="11" t="e">
        <v>#VALUE!</v>
      </c>
      <c r="P181" s="11">
        <v>198</v>
      </c>
      <c r="Q181" s="11">
        <v>184</v>
      </c>
      <c r="R181" s="11">
        <v>234</v>
      </c>
      <c r="S181" s="11">
        <v>162</v>
      </c>
      <c r="T181" s="11">
        <v>86</v>
      </c>
      <c r="U181" s="11">
        <v>177</v>
      </c>
      <c r="V181" s="11">
        <v>15</v>
      </c>
      <c r="W181" s="11"/>
      <c r="X181" s="11">
        <v>24</v>
      </c>
      <c r="Y181" s="25" t="s">
        <v>886</v>
      </c>
    </row>
    <row r="182" spans="1:25" ht="14.25" customHeight="1" x14ac:dyDescent="0.25">
      <c r="A182" s="11"/>
      <c r="B182" s="11">
        <v>17</v>
      </c>
      <c r="C182" s="11" t="s">
        <v>148</v>
      </c>
      <c r="D182" s="11"/>
      <c r="E182" s="23"/>
      <c r="F182" s="25" t="s">
        <v>886</v>
      </c>
      <c r="G182" s="11" t="s">
        <v>433</v>
      </c>
      <c r="H182" s="11" t="s">
        <v>229</v>
      </c>
      <c r="I182" s="11" t="s">
        <v>769</v>
      </c>
      <c r="J182" s="11"/>
      <c r="K182" s="11"/>
      <c r="L182" s="11">
        <v>13</v>
      </c>
      <c r="M182" s="11">
        <v>144</v>
      </c>
      <c r="N182" s="11">
        <v>166</v>
      </c>
      <c r="O182" s="11">
        <v>-22</v>
      </c>
      <c r="P182" s="11" t="s">
        <v>36</v>
      </c>
      <c r="Q182" s="11" t="s">
        <v>36</v>
      </c>
      <c r="R182" s="11">
        <v>150</v>
      </c>
      <c r="S182" s="11">
        <v>208</v>
      </c>
      <c r="T182" s="11">
        <v>218</v>
      </c>
      <c r="U182" s="11">
        <v>177</v>
      </c>
      <c r="V182" s="11">
        <v>15</v>
      </c>
      <c r="W182" s="11"/>
      <c r="X182" s="11">
        <v>-33</v>
      </c>
      <c r="Y182" s="25" t="s">
        <v>886</v>
      </c>
    </row>
    <row r="183" spans="1:25" ht="14.25" customHeight="1" x14ac:dyDescent="0.25">
      <c r="A183" s="11"/>
      <c r="B183" s="11">
        <v>16</v>
      </c>
      <c r="C183" s="11" t="s">
        <v>148</v>
      </c>
      <c r="D183" s="11"/>
      <c r="E183" s="23"/>
      <c r="F183" s="25" t="s">
        <v>886</v>
      </c>
      <c r="G183" s="11" t="s">
        <v>1087</v>
      </c>
      <c r="H183" s="11" t="s">
        <v>104</v>
      </c>
      <c r="I183" s="11" t="s">
        <v>764</v>
      </c>
      <c r="J183" s="58" t="s">
        <v>854</v>
      </c>
      <c r="K183" s="11">
        <v>53</v>
      </c>
      <c r="L183" s="11">
        <v>17</v>
      </c>
      <c r="M183" s="11">
        <v>192</v>
      </c>
      <c r="N183" s="11">
        <v>153</v>
      </c>
      <c r="O183" s="11">
        <v>39</v>
      </c>
      <c r="P183" s="11" t="s">
        <v>36</v>
      </c>
      <c r="Q183" s="11" t="s">
        <v>36</v>
      </c>
      <c r="R183" s="11">
        <v>179</v>
      </c>
      <c r="S183" s="11">
        <v>166</v>
      </c>
      <c r="T183" s="11">
        <v>226</v>
      </c>
      <c r="U183" s="11">
        <v>183</v>
      </c>
      <c r="V183" s="11">
        <v>16</v>
      </c>
      <c r="W183" s="11"/>
      <c r="X183" s="11">
        <v>9</v>
      </c>
      <c r="Y183" s="25" t="s">
        <v>1088</v>
      </c>
    </row>
    <row r="184" spans="1:25" ht="14.25" customHeight="1" x14ac:dyDescent="0.25">
      <c r="A184" s="11"/>
      <c r="B184" s="11">
        <v>16</v>
      </c>
      <c r="C184" s="11" t="s">
        <v>148</v>
      </c>
      <c r="D184" s="11"/>
      <c r="E184" s="23"/>
      <c r="F184" s="25" t="s">
        <v>886</v>
      </c>
      <c r="G184" s="11" t="s">
        <v>258</v>
      </c>
      <c r="H184" s="11" t="s">
        <v>160</v>
      </c>
      <c r="I184" s="11" t="s">
        <v>762</v>
      </c>
      <c r="J184" s="11" t="s">
        <v>913</v>
      </c>
      <c r="K184" s="11">
        <v>55</v>
      </c>
      <c r="L184" s="11">
        <v>14</v>
      </c>
      <c r="M184" s="11">
        <v>157</v>
      </c>
      <c r="N184" s="11">
        <v>179</v>
      </c>
      <c r="O184" s="11">
        <v>-22</v>
      </c>
      <c r="P184" s="11">
        <v>210</v>
      </c>
      <c r="Q184" s="11" t="s">
        <v>36</v>
      </c>
      <c r="R184" s="11">
        <v>165</v>
      </c>
      <c r="S184" s="11">
        <v>158</v>
      </c>
      <c r="T184" s="11">
        <v>220</v>
      </c>
      <c r="U184" s="11">
        <v>181</v>
      </c>
      <c r="V184" s="11">
        <v>16</v>
      </c>
      <c r="W184" s="11"/>
      <c r="X184" s="11">
        <v>-24</v>
      </c>
      <c r="Y184" s="25" t="s">
        <v>886</v>
      </c>
    </row>
    <row r="185" spans="1:25" ht="14.25" customHeight="1" x14ac:dyDescent="0.25">
      <c r="A185" s="11"/>
      <c r="B185" s="11">
        <v>16</v>
      </c>
      <c r="C185" s="11" t="s">
        <v>148</v>
      </c>
      <c r="D185" s="11"/>
      <c r="E185" s="23"/>
      <c r="F185" s="25" t="s">
        <v>886</v>
      </c>
      <c r="G185" s="11" t="s">
        <v>523</v>
      </c>
      <c r="H185" s="11" t="s">
        <v>35</v>
      </c>
      <c r="I185" s="11" t="s">
        <v>1080</v>
      </c>
      <c r="J185" s="11"/>
      <c r="K185" s="11"/>
      <c r="L185" s="11">
        <v>16</v>
      </c>
      <c r="M185" s="11">
        <v>186</v>
      </c>
      <c r="N185" s="11" t="s">
        <v>36</v>
      </c>
      <c r="O185" s="11" t="e">
        <v>#VALUE!</v>
      </c>
      <c r="P185" s="11">
        <v>178</v>
      </c>
      <c r="Q185" s="11">
        <v>136</v>
      </c>
      <c r="R185" s="11">
        <v>254</v>
      </c>
      <c r="S185" s="11">
        <v>187</v>
      </c>
      <c r="T185" s="11">
        <v>152</v>
      </c>
      <c r="U185" s="11">
        <v>182</v>
      </c>
      <c r="V185" s="11">
        <v>16</v>
      </c>
      <c r="W185" s="11"/>
      <c r="X185" s="11">
        <v>4</v>
      </c>
      <c r="Y185" s="25" t="s">
        <v>886</v>
      </c>
    </row>
    <row r="186" spans="1:25" ht="14.25" customHeight="1" x14ac:dyDescent="0.25">
      <c r="A186" s="11"/>
      <c r="B186" s="11">
        <v>15</v>
      </c>
      <c r="C186" s="11" t="s">
        <v>148</v>
      </c>
      <c r="D186" s="11"/>
      <c r="E186" s="23"/>
      <c r="F186" s="25" t="s">
        <v>886</v>
      </c>
      <c r="G186" s="11" t="s">
        <v>636</v>
      </c>
      <c r="H186" s="11" t="s">
        <v>85</v>
      </c>
      <c r="I186" s="11" t="s">
        <v>1084</v>
      </c>
      <c r="J186" s="11"/>
      <c r="K186" s="11"/>
      <c r="L186" s="11">
        <v>19</v>
      </c>
      <c r="M186" s="11">
        <v>226</v>
      </c>
      <c r="N186" s="11" t="s">
        <v>36</v>
      </c>
      <c r="O186" s="11" t="e">
        <v>#VALUE!</v>
      </c>
      <c r="P186" s="11">
        <v>185</v>
      </c>
      <c r="Q186" s="11">
        <v>149</v>
      </c>
      <c r="R186" s="11">
        <v>232</v>
      </c>
      <c r="S186" s="11">
        <v>161</v>
      </c>
      <c r="T186" s="11">
        <v>146</v>
      </c>
      <c r="U186" s="11">
        <v>183</v>
      </c>
      <c r="V186" s="11">
        <v>16</v>
      </c>
      <c r="W186" s="11"/>
      <c r="X186" s="11">
        <v>43</v>
      </c>
      <c r="Y186" s="25" t="s">
        <v>886</v>
      </c>
    </row>
    <row r="187" spans="1:25" ht="14.25" customHeight="1" x14ac:dyDescent="0.25">
      <c r="A187" s="11"/>
      <c r="B187" s="11">
        <v>15</v>
      </c>
      <c r="C187" s="11" t="s">
        <v>148</v>
      </c>
      <c r="D187" s="11"/>
      <c r="E187" s="23"/>
      <c r="F187" s="25" t="s">
        <v>886</v>
      </c>
      <c r="G187" s="11" t="s">
        <v>326</v>
      </c>
      <c r="H187" s="11" t="s">
        <v>91</v>
      </c>
      <c r="I187" s="11" t="s">
        <v>769</v>
      </c>
      <c r="J187" s="11"/>
      <c r="K187" s="11"/>
      <c r="L187" s="11">
        <v>21</v>
      </c>
      <c r="M187" s="11">
        <v>242</v>
      </c>
      <c r="N187" s="11">
        <v>176</v>
      </c>
      <c r="O187" s="11">
        <v>66</v>
      </c>
      <c r="P187" s="11">
        <v>187</v>
      </c>
      <c r="Q187" s="11">
        <v>203</v>
      </c>
      <c r="R187" s="11">
        <v>157</v>
      </c>
      <c r="S187" s="11">
        <v>175</v>
      </c>
      <c r="T187" s="11">
        <v>160</v>
      </c>
      <c r="U187" s="11">
        <v>185</v>
      </c>
      <c r="V187" s="11">
        <v>16</v>
      </c>
      <c r="W187" s="11"/>
      <c r="X187" s="11">
        <v>57</v>
      </c>
      <c r="Y187" s="25" t="s">
        <v>886</v>
      </c>
    </row>
    <row r="188" spans="1:25" ht="14.25" customHeight="1" x14ac:dyDescent="0.25">
      <c r="A188" s="11"/>
      <c r="B188" s="11">
        <v>15</v>
      </c>
      <c r="C188" s="11" t="s">
        <v>148</v>
      </c>
      <c r="D188" s="11">
        <v>14</v>
      </c>
      <c r="E188" s="23"/>
      <c r="F188" s="25" t="s">
        <v>119</v>
      </c>
      <c r="G188" s="11" t="s">
        <v>1085</v>
      </c>
      <c r="H188" s="11" t="s">
        <v>55</v>
      </c>
      <c r="I188" s="11" t="s">
        <v>762</v>
      </c>
      <c r="J188" s="11" t="s">
        <v>894</v>
      </c>
      <c r="K188" s="11">
        <v>43</v>
      </c>
      <c r="L188" s="11">
        <v>16</v>
      </c>
      <c r="M188" s="11">
        <v>180</v>
      </c>
      <c r="N188" s="11">
        <v>218</v>
      </c>
      <c r="O188" s="11">
        <v>-38</v>
      </c>
      <c r="P188" s="11">
        <v>180</v>
      </c>
      <c r="Q188" s="11" t="s">
        <v>36</v>
      </c>
      <c r="R188" s="11">
        <v>182</v>
      </c>
      <c r="S188" s="11">
        <v>151</v>
      </c>
      <c r="T188" s="11">
        <v>199</v>
      </c>
      <c r="U188" s="11">
        <v>185</v>
      </c>
      <c r="V188" s="11">
        <v>16</v>
      </c>
      <c r="W188" s="11"/>
      <c r="X188" s="11">
        <v>-5</v>
      </c>
      <c r="Y188" s="25" t="s">
        <v>1044</v>
      </c>
    </row>
    <row r="189" spans="1:25" ht="14.25" customHeight="1" x14ac:dyDescent="0.25">
      <c r="A189" s="11"/>
      <c r="B189" s="11">
        <v>17</v>
      </c>
      <c r="C189" s="11" t="s">
        <v>148</v>
      </c>
      <c r="D189" s="11"/>
      <c r="E189" s="23"/>
      <c r="F189" s="25" t="s">
        <v>886</v>
      </c>
      <c r="G189" s="11" t="s">
        <v>302</v>
      </c>
      <c r="H189" s="11" t="s">
        <v>126</v>
      </c>
      <c r="I189" s="11" t="s">
        <v>764</v>
      </c>
      <c r="J189" s="11"/>
      <c r="K189" s="11"/>
      <c r="L189" s="11">
        <v>15</v>
      </c>
      <c r="M189" s="11">
        <v>168</v>
      </c>
      <c r="N189" s="11">
        <v>170</v>
      </c>
      <c r="O189" s="11">
        <v>-2</v>
      </c>
      <c r="P189" s="11">
        <v>165</v>
      </c>
      <c r="Q189" s="11">
        <v>174</v>
      </c>
      <c r="R189" s="11">
        <v>169</v>
      </c>
      <c r="S189" s="11">
        <v>206</v>
      </c>
      <c r="T189" s="11">
        <v>249</v>
      </c>
      <c r="U189" s="11">
        <v>185</v>
      </c>
      <c r="V189" s="11">
        <v>16</v>
      </c>
      <c r="W189" s="11"/>
      <c r="X189" s="11">
        <v>-17</v>
      </c>
      <c r="Y189" s="25" t="s">
        <v>886</v>
      </c>
    </row>
    <row r="190" spans="1:25" ht="14.25" customHeight="1" x14ac:dyDescent="0.25">
      <c r="A190" s="11"/>
      <c r="B190" s="11">
        <v>16</v>
      </c>
      <c r="C190" s="11" t="s">
        <v>148</v>
      </c>
      <c r="D190" s="11"/>
      <c r="E190" s="23"/>
      <c r="F190" s="25" t="s">
        <v>886</v>
      </c>
      <c r="G190" s="11" t="s">
        <v>551</v>
      </c>
      <c r="H190" s="11" t="s">
        <v>85</v>
      </c>
      <c r="I190" s="11" t="s">
        <v>1080</v>
      </c>
      <c r="J190" s="11"/>
      <c r="K190" s="11"/>
      <c r="L190" s="11">
        <v>15</v>
      </c>
      <c r="M190" s="11">
        <v>173</v>
      </c>
      <c r="N190" s="11" t="s">
        <v>36</v>
      </c>
      <c r="O190" s="11" t="e">
        <v>#VALUE!</v>
      </c>
      <c r="P190" s="11">
        <v>179</v>
      </c>
      <c r="Q190" s="11">
        <v>187</v>
      </c>
      <c r="R190" s="11">
        <v>239</v>
      </c>
      <c r="S190" s="11">
        <v>191</v>
      </c>
      <c r="T190" s="11">
        <v>137</v>
      </c>
      <c r="U190" s="11">
        <v>184</v>
      </c>
      <c r="V190" s="11">
        <v>16</v>
      </c>
      <c r="W190" s="11"/>
      <c r="X190" s="11">
        <v>-11</v>
      </c>
      <c r="Y190" s="25" t="s">
        <v>886</v>
      </c>
    </row>
    <row r="191" spans="1:25" ht="14.25" customHeight="1" x14ac:dyDescent="0.25">
      <c r="A191" s="11"/>
      <c r="B191" s="11">
        <v>16</v>
      </c>
      <c r="C191" s="11" t="s">
        <v>148</v>
      </c>
      <c r="D191" s="11"/>
      <c r="E191" s="23"/>
      <c r="F191" s="25" t="s">
        <v>886</v>
      </c>
      <c r="G191" s="11" t="s">
        <v>927</v>
      </c>
      <c r="H191" s="11" t="s">
        <v>160</v>
      </c>
      <c r="I191" s="11" t="s">
        <v>764</v>
      </c>
      <c r="J191" s="58" t="s">
        <v>854</v>
      </c>
      <c r="K191" s="11">
        <v>54</v>
      </c>
      <c r="L191" s="11">
        <v>15</v>
      </c>
      <c r="M191" s="11">
        <v>170</v>
      </c>
      <c r="N191" s="11">
        <v>161</v>
      </c>
      <c r="O191" s="11">
        <v>9</v>
      </c>
      <c r="P191" s="11">
        <v>203</v>
      </c>
      <c r="Q191" s="11">
        <v>148</v>
      </c>
      <c r="R191" s="11">
        <v>171</v>
      </c>
      <c r="S191" s="11">
        <v>196</v>
      </c>
      <c r="T191" s="11">
        <v>208</v>
      </c>
      <c r="U191" s="11">
        <v>179</v>
      </c>
      <c r="V191" s="11">
        <v>15</v>
      </c>
      <c r="W191" s="11"/>
      <c r="X191" s="11">
        <v>-9</v>
      </c>
      <c r="Y191" s="25" t="s">
        <v>1048</v>
      </c>
    </row>
    <row r="192" spans="1:25" ht="14.25" customHeight="1" x14ac:dyDescent="0.25">
      <c r="A192" s="11"/>
      <c r="B192" s="11">
        <v>18</v>
      </c>
      <c r="C192" s="11" t="s">
        <v>148</v>
      </c>
      <c r="D192" s="11"/>
      <c r="E192" s="23"/>
      <c r="F192" s="25" t="s">
        <v>886</v>
      </c>
      <c r="G192" s="11" t="s">
        <v>721</v>
      </c>
      <c r="H192" s="11" t="s">
        <v>104</v>
      </c>
      <c r="I192" s="11" t="s">
        <v>764</v>
      </c>
      <c r="J192" s="11" t="s">
        <v>875</v>
      </c>
      <c r="K192" s="11">
        <v>59</v>
      </c>
      <c r="L192" s="11">
        <v>14</v>
      </c>
      <c r="M192" s="11">
        <v>156</v>
      </c>
      <c r="N192" s="11">
        <v>148</v>
      </c>
      <c r="O192" s="11">
        <v>8</v>
      </c>
      <c r="P192" s="11">
        <v>199</v>
      </c>
      <c r="Q192" s="11">
        <v>224</v>
      </c>
      <c r="R192" s="11">
        <v>159</v>
      </c>
      <c r="S192" s="11">
        <v>199</v>
      </c>
      <c r="T192" s="11">
        <v>263</v>
      </c>
      <c r="U192" s="11">
        <v>192</v>
      </c>
      <c r="V192" s="11">
        <v>17</v>
      </c>
      <c r="W192" s="11"/>
      <c r="X192" s="11">
        <v>-36</v>
      </c>
      <c r="Y192" s="25" t="s">
        <v>886</v>
      </c>
    </row>
    <row r="193" spans="1:25" ht="14.25" customHeight="1" x14ac:dyDescent="0.25">
      <c r="A193" s="11"/>
      <c r="B193" s="11">
        <v>17</v>
      </c>
      <c r="C193" s="11" t="s">
        <v>148</v>
      </c>
      <c r="D193" s="11"/>
      <c r="E193" s="23"/>
      <c r="F193" s="25" t="s">
        <v>886</v>
      </c>
      <c r="G193" s="11" t="s">
        <v>393</v>
      </c>
      <c r="H193" s="11" t="s">
        <v>199</v>
      </c>
      <c r="I193" s="11" t="s">
        <v>769</v>
      </c>
      <c r="J193" s="11"/>
      <c r="K193" s="11"/>
      <c r="L193" s="11">
        <v>14</v>
      </c>
      <c r="M193" s="11">
        <v>163</v>
      </c>
      <c r="N193" s="11">
        <v>155</v>
      </c>
      <c r="O193" s="11">
        <v>8</v>
      </c>
      <c r="P193" s="11">
        <v>186</v>
      </c>
      <c r="Q193" s="11">
        <v>205</v>
      </c>
      <c r="R193" s="11">
        <v>138</v>
      </c>
      <c r="S193" s="11">
        <v>195</v>
      </c>
      <c r="T193" s="11">
        <v>254</v>
      </c>
      <c r="U193" s="11">
        <v>185</v>
      </c>
      <c r="V193" s="11">
        <v>16</v>
      </c>
      <c r="W193" s="11"/>
      <c r="X193" s="11">
        <v>-22</v>
      </c>
      <c r="Y193" s="25" t="s">
        <v>886</v>
      </c>
    </row>
    <row r="194" spans="1:25" ht="14.25" customHeight="1" x14ac:dyDescent="0.25">
      <c r="A194" s="11"/>
      <c r="B194" s="11">
        <v>17</v>
      </c>
      <c r="C194" s="11" t="s">
        <v>148</v>
      </c>
      <c r="D194" s="11"/>
      <c r="E194" s="23"/>
      <c r="F194" s="25" t="s">
        <v>886</v>
      </c>
      <c r="G194" s="11" t="s">
        <v>588</v>
      </c>
      <c r="H194" s="11" t="s">
        <v>94</v>
      </c>
      <c r="I194" s="11" t="s">
        <v>760</v>
      </c>
      <c r="J194" s="11" t="s">
        <v>903</v>
      </c>
      <c r="K194" s="11"/>
      <c r="L194" s="11">
        <v>13</v>
      </c>
      <c r="M194" s="11">
        <v>145</v>
      </c>
      <c r="N194" s="11">
        <v>164</v>
      </c>
      <c r="O194" s="11">
        <v>-19</v>
      </c>
      <c r="P194" s="11">
        <v>176</v>
      </c>
      <c r="Q194" s="11">
        <v>207</v>
      </c>
      <c r="R194" s="11">
        <v>198</v>
      </c>
      <c r="S194" s="11">
        <v>228</v>
      </c>
      <c r="T194" s="11">
        <v>205</v>
      </c>
      <c r="U194" s="11">
        <v>189</v>
      </c>
      <c r="V194" s="11">
        <v>16</v>
      </c>
      <c r="W194" s="11"/>
      <c r="X194" s="11">
        <v>-44</v>
      </c>
      <c r="Y194" s="25" t="s">
        <v>886</v>
      </c>
    </row>
    <row r="195" spans="1:25" ht="14.25" customHeight="1" x14ac:dyDescent="0.25">
      <c r="A195" s="11"/>
      <c r="B195" s="11">
        <v>16</v>
      </c>
      <c r="C195" s="11" t="s">
        <v>148</v>
      </c>
      <c r="D195" s="11"/>
      <c r="E195" s="23"/>
      <c r="F195" s="25" t="s">
        <v>148</v>
      </c>
      <c r="G195" s="11" t="s">
        <v>806</v>
      </c>
      <c r="H195" s="11" t="s">
        <v>81</v>
      </c>
      <c r="I195" s="11" t="s">
        <v>762</v>
      </c>
      <c r="J195" s="11"/>
      <c r="K195" s="11"/>
      <c r="L195" s="11">
        <v>15</v>
      </c>
      <c r="M195" s="11">
        <v>176</v>
      </c>
      <c r="N195" s="11">
        <v>147</v>
      </c>
      <c r="O195" s="11">
        <v>29</v>
      </c>
      <c r="P195" s="11">
        <v>126</v>
      </c>
      <c r="Q195" s="11">
        <v>182</v>
      </c>
      <c r="R195" s="11">
        <v>145</v>
      </c>
      <c r="S195" s="11">
        <v>218</v>
      </c>
      <c r="T195" s="11">
        <v>243</v>
      </c>
      <c r="U195" s="11">
        <v>176</v>
      </c>
      <c r="V195" s="11">
        <v>15</v>
      </c>
      <c r="W195" s="11"/>
      <c r="X195" s="11">
        <v>0</v>
      </c>
      <c r="Y195" s="25" t="s">
        <v>1043</v>
      </c>
    </row>
    <row r="196" spans="1:25" ht="14.25" customHeight="1" x14ac:dyDescent="0.25">
      <c r="A196" s="11"/>
      <c r="B196" s="11">
        <v>18</v>
      </c>
      <c r="C196" s="11" t="s">
        <v>148</v>
      </c>
      <c r="D196" s="11"/>
      <c r="E196" s="23"/>
      <c r="F196" s="25" t="s">
        <v>886</v>
      </c>
      <c r="G196" s="11" t="s">
        <v>1078</v>
      </c>
      <c r="H196" s="11" t="s">
        <v>187</v>
      </c>
      <c r="I196" s="11" t="s">
        <v>764</v>
      </c>
      <c r="J196" s="11"/>
      <c r="K196" s="11"/>
      <c r="L196" s="11">
        <v>13</v>
      </c>
      <c r="M196" s="11">
        <v>149</v>
      </c>
      <c r="N196" s="11">
        <v>152</v>
      </c>
      <c r="O196" s="11">
        <v>-3</v>
      </c>
      <c r="P196" s="11">
        <v>204</v>
      </c>
      <c r="Q196" s="11">
        <v>163</v>
      </c>
      <c r="R196" s="11">
        <v>155</v>
      </c>
      <c r="S196" s="11">
        <v>192</v>
      </c>
      <c r="T196" s="11">
        <v>309</v>
      </c>
      <c r="U196" s="11">
        <v>189</v>
      </c>
      <c r="V196" s="11">
        <v>16</v>
      </c>
      <c r="W196" s="11"/>
      <c r="X196" s="11">
        <v>-40</v>
      </c>
      <c r="Y196" s="25" t="s">
        <v>886</v>
      </c>
    </row>
    <row r="197" spans="1:25" ht="14.25" customHeight="1" x14ac:dyDescent="0.25">
      <c r="A197" s="11"/>
      <c r="B197" s="11">
        <v>17</v>
      </c>
      <c r="C197" s="11" t="s">
        <v>148</v>
      </c>
      <c r="D197" s="11"/>
      <c r="E197" s="23"/>
      <c r="F197" s="25" t="s">
        <v>886</v>
      </c>
      <c r="G197" s="11" t="s">
        <v>346</v>
      </c>
      <c r="H197" s="11" t="s">
        <v>214</v>
      </c>
      <c r="I197" s="11" t="s">
        <v>764</v>
      </c>
      <c r="J197" s="11"/>
      <c r="K197" s="11"/>
      <c r="L197" s="11">
        <v>15</v>
      </c>
      <c r="M197" s="11">
        <v>178</v>
      </c>
      <c r="N197" s="11">
        <v>149</v>
      </c>
      <c r="O197" s="11">
        <v>29</v>
      </c>
      <c r="P197" s="11">
        <v>205</v>
      </c>
      <c r="Q197" s="11" t="s">
        <v>36</v>
      </c>
      <c r="R197" s="11">
        <v>172</v>
      </c>
      <c r="S197" s="11">
        <v>210</v>
      </c>
      <c r="T197" s="11">
        <v>223</v>
      </c>
      <c r="U197" s="11">
        <v>189</v>
      </c>
      <c r="V197" s="11">
        <v>16</v>
      </c>
      <c r="W197" s="11"/>
      <c r="X197" s="11">
        <v>-11</v>
      </c>
      <c r="Y197" s="25" t="s">
        <v>886</v>
      </c>
    </row>
    <row r="198" spans="1:25" ht="14.25" customHeight="1" x14ac:dyDescent="0.25">
      <c r="A198" s="11"/>
      <c r="B198" s="11">
        <v>17</v>
      </c>
      <c r="C198" s="11" t="s">
        <v>148</v>
      </c>
      <c r="D198" s="11"/>
      <c r="E198" s="23"/>
      <c r="F198" s="25" t="s">
        <v>148</v>
      </c>
      <c r="G198" s="11" t="s">
        <v>613</v>
      </c>
      <c r="H198" s="11" t="s">
        <v>81</v>
      </c>
      <c r="I198" s="11" t="s">
        <v>762</v>
      </c>
      <c r="J198" s="11" t="s">
        <v>913</v>
      </c>
      <c r="K198" s="11">
        <v>54</v>
      </c>
      <c r="L198" s="11">
        <v>16</v>
      </c>
      <c r="M198" s="11">
        <v>189</v>
      </c>
      <c r="N198" s="11">
        <v>237</v>
      </c>
      <c r="O198" s="11">
        <v>-48</v>
      </c>
      <c r="P198" s="11" t="s">
        <v>36</v>
      </c>
      <c r="Q198" s="11">
        <v>194</v>
      </c>
      <c r="R198" s="11">
        <v>185</v>
      </c>
      <c r="S198" s="11">
        <v>172</v>
      </c>
      <c r="T198" s="11">
        <v>241</v>
      </c>
      <c r="U198" s="11">
        <v>203</v>
      </c>
      <c r="V198" s="11">
        <v>17</v>
      </c>
      <c r="W198" s="11"/>
      <c r="X198" s="11">
        <v>-14</v>
      </c>
      <c r="Y198" s="25" t="s">
        <v>1044</v>
      </c>
    </row>
    <row r="199" spans="1:25" ht="14.25" customHeight="1" x14ac:dyDescent="0.25">
      <c r="A199" s="11"/>
      <c r="B199" s="11">
        <v>16</v>
      </c>
      <c r="C199" s="11" t="s">
        <v>148</v>
      </c>
      <c r="D199" s="11"/>
      <c r="E199" s="23"/>
      <c r="F199" s="25" t="s">
        <v>886</v>
      </c>
      <c r="G199" s="11" t="s">
        <v>950</v>
      </c>
      <c r="H199" s="11" t="s">
        <v>78</v>
      </c>
      <c r="I199" s="11" t="s">
        <v>1084</v>
      </c>
      <c r="J199" s="11"/>
      <c r="K199" s="11"/>
      <c r="L199" s="11">
        <v>20</v>
      </c>
      <c r="M199" s="11">
        <v>234</v>
      </c>
      <c r="N199" s="11" t="s">
        <v>36</v>
      </c>
      <c r="O199" s="11" t="e">
        <v>#VALUE!</v>
      </c>
      <c r="P199" s="11">
        <v>182</v>
      </c>
      <c r="Q199" s="11">
        <v>143</v>
      </c>
      <c r="R199" s="11">
        <v>244</v>
      </c>
      <c r="S199" s="11">
        <v>214</v>
      </c>
      <c r="T199" s="11">
        <v>135</v>
      </c>
      <c r="U199" s="11">
        <v>192</v>
      </c>
      <c r="V199" s="11">
        <v>17</v>
      </c>
      <c r="W199" s="11"/>
      <c r="X199" s="11">
        <v>42</v>
      </c>
      <c r="Y199" s="25" t="s">
        <v>886</v>
      </c>
    </row>
    <row r="200" spans="1:25" ht="14.25" customHeight="1" x14ac:dyDescent="0.25">
      <c r="A200" s="11"/>
      <c r="B200" s="11">
        <v>16</v>
      </c>
      <c r="C200" s="11" t="s">
        <v>148</v>
      </c>
      <c r="D200" s="11"/>
      <c r="E200" s="23"/>
      <c r="F200" s="25" t="s">
        <v>886</v>
      </c>
      <c r="G200" s="11" t="s">
        <v>961</v>
      </c>
      <c r="H200" s="11" t="s">
        <v>66</v>
      </c>
      <c r="I200" s="11" t="s">
        <v>1084</v>
      </c>
      <c r="J200" s="11"/>
      <c r="K200" s="11"/>
      <c r="L200" s="11">
        <v>20</v>
      </c>
      <c r="M200" s="11">
        <v>239</v>
      </c>
      <c r="N200" s="11" t="s">
        <v>36</v>
      </c>
      <c r="O200" s="11" t="e">
        <v>#VALUE!</v>
      </c>
      <c r="P200" s="11">
        <v>158</v>
      </c>
      <c r="Q200" s="11">
        <v>140</v>
      </c>
      <c r="R200" s="11">
        <v>271</v>
      </c>
      <c r="S200" s="11">
        <v>185</v>
      </c>
      <c r="T200" s="11">
        <v>147</v>
      </c>
      <c r="U200" s="11">
        <v>190</v>
      </c>
      <c r="V200" s="11">
        <v>16</v>
      </c>
      <c r="W200" s="11"/>
      <c r="X200" s="11">
        <v>49</v>
      </c>
      <c r="Y200" s="25" t="s">
        <v>886</v>
      </c>
    </row>
    <row r="201" spans="1:25" ht="14.25" customHeight="1" x14ac:dyDescent="0.25">
      <c r="A201" s="11"/>
      <c r="B201" s="11">
        <v>17</v>
      </c>
      <c r="C201" s="11" t="s">
        <v>148</v>
      </c>
      <c r="D201" s="11"/>
      <c r="E201" s="23"/>
      <c r="F201" s="25" t="s">
        <v>886</v>
      </c>
      <c r="G201" s="11" t="s">
        <v>532</v>
      </c>
      <c r="H201" s="11" t="s">
        <v>163</v>
      </c>
      <c r="I201" s="11" t="s">
        <v>769</v>
      </c>
      <c r="J201" s="11"/>
      <c r="K201" s="11"/>
      <c r="L201" s="11">
        <v>16</v>
      </c>
      <c r="M201" s="11" t="s">
        <v>36</v>
      </c>
      <c r="N201" s="11">
        <v>182</v>
      </c>
      <c r="O201" s="11" t="e">
        <v>#VALUE!</v>
      </c>
      <c r="P201" s="11" t="s">
        <v>36</v>
      </c>
      <c r="Q201" s="11">
        <v>200</v>
      </c>
      <c r="R201" s="11">
        <v>167</v>
      </c>
      <c r="S201" s="11">
        <v>227</v>
      </c>
      <c r="T201" s="11">
        <v>211</v>
      </c>
      <c r="U201" s="11">
        <v>197</v>
      </c>
      <c r="V201" s="11">
        <v>17</v>
      </c>
      <c r="W201" s="11">
        <v>-17</v>
      </c>
      <c r="X201" s="11" t="e">
        <v>#VALUE!</v>
      </c>
      <c r="Y201" s="25" t="s">
        <v>886</v>
      </c>
    </row>
    <row r="202" spans="1:25" ht="14.25" customHeight="1" x14ac:dyDescent="0.25">
      <c r="A202" s="11"/>
      <c r="B202" s="11">
        <v>17</v>
      </c>
      <c r="C202" s="11" t="s">
        <v>148</v>
      </c>
      <c r="D202" s="11"/>
      <c r="E202" s="23"/>
      <c r="F202" s="25" t="s">
        <v>886</v>
      </c>
      <c r="G202" s="11" t="s">
        <v>476</v>
      </c>
      <c r="H202" s="11" t="s">
        <v>52</v>
      </c>
      <c r="I202" s="11" t="s">
        <v>1080</v>
      </c>
      <c r="J202" s="11"/>
      <c r="K202" s="11"/>
      <c r="L202" s="11">
        <v>17</v>
      </c>
      <c r="M202" s="11">
        <v>197</v>
      </c>
      <c r="N202" s="11" t="s">
        <v>36</v>
      </c>
      <c r="O202" s="11" t="e">
        <v>#VALUE!</v>
      </c>
      <c r="P202" s="11">
        <v>196</v>
      </c>
      <c r="Q202" s="11">
        <v>142</v>
      </c>
      <c r="R202" s="11">
        <v>268</v>
      </c>
      <c r="S202" s="11">
        <v>183</v>
      </c>
      <c r="T202" s="11">
        <v>179</v>
      </c>
      <c r="U202" s="11">
        <v>194</v>
      </c>
      <c r="V202" s="11">
        <v>17</v>
      </c>
      <c r="W202" s="11"/>
      <c r="X202" s="11">
        <v>3</v>
      </c>
      <c r="Y202" s="25" t="s">
        <v>886</v>
      </c>
    </row>
    <row r="203" spans="1:25" ht="14.25" customHeight="1" x14ac:dyDescent="0.25">
      <c r="A203" s="11"/>
      <c r="B203" s="11">
        <v>17</v>
      </c>
      <c r="C203" s="11" t="s">
        <v>148</v>
      </c>
      <c r="D203" s="11"/>
      <c r="E203" s="23"/>
      <c r="F203" s="25" t="s">
        <v>886</v>
      </c>
      <c r="G203" s="11" t="s">
        <v>951</v>
      </c>
      <c r="H203" s="11" t="s">
        <v>81</v>
      </c>
      <c r="I203" s="11" t="s">
        <v>1084</v>
      </c>
      <c r="J203" s="11"/>
      <c r="K203" s="11"/>
      <c r="L203" s="11">
        <v>19</v>
      </c>
      <c r="M203" s="11">
        <v>224</v>
      </c>
      <c r="N203" s="11" t="s">
        <v>36</v>
      </c>
      <c r="O203" s="11" t="e">
        <v>#VALUE!</v>
      </c>
      <c r="P203" s="11">
        <v>188</v>
      </c>
      <c r="Q203" s="11">
        <v>175</v>
      </c>
      <c r="R203" s="11">
        <v>316</v>
      </c>
      <c r="S203" s="11" t="s">
        <v>36</v>
      </c>
      <c r="T203" s="11">
        <v>108</v>
      </c>
      <c r="U203" s="11">
        <v>202</v>
      </c>
      <c r="V203" s="11">
        <v>17</v>
      </c>
      <c r="W203" s="11"/>
      <c r="X203" s="11">
        <v>22</v>
      </c>
      <c r="Y203" s="25" t="s">
        <v>886</v>
      </c>
    </row>
    <row r="204" spans="1:25" ht="14.25" customHeight="1" x14ac:dyDescent="0.25">
      <c r="A204" s="11"/>
      <c r="B204" s="11">
        <v>17</v>
      </c>
      <c r="C204" s="11" t="s">
        <v>148</v>
      </c>
      <c r="D204" s="11"/>
      <c r="E204" s="23"/>
      <c r="F204" s="25" t="s">
        <v>886</v>
      </c>
      <c r="G204" s="11" t="s">
        <v>690</v>
      </c>
      <c r="H204" s="11" t="s">
        <v>168</v>
      </c>
      <c r="I204" s="11" t="s">
        <v>1084</v>
      </c>
      <c r="J204" s="11"/>
      <c r="K204" s="11"/>
      <c r="L204" s="11">
        <v>18</v>
      </c>
      <c r="M204" s="11">
        <v>214</v>
      </c>
      <c r="N204" s="11" t="s">
        <v>36</v>
      </c>
      <c r="O204" s="11" t="e">
        <v>#VALUE!</v>
      </c>
      <c r="P204" s="11">
        <v>209</v>
      </c>
      <c r="Q204" s="11">
        <v>218</v>
      </c>
      <c r="R204" s="11">
        <v>235</v>
      </c>
      <c r="S204" s="11">
        <v>180</v>
      </c>
      <c r="T204" s="11">
        <v>133</v>
      </c>
      <c r="U204" s="11">
        <v>198</v>
      </c>
      <c r="V204" s="11">
        <v>17</v>
      </c>
      <c r="W204" s="11"/>
      <c r="X204" s="11">
        <v>16</v>
      </c>
      <c r="Y204" s="25" t="s">
        <v>886</v>
      </c>
    </row>
    <row r="205" spans="1:25" ht="14.25" customHeight="1" x14ac:dyDescent="0.25">
      <c r="A205" s="11"/>
      <c r="B205" s="11">
        <v>18</v>
      </c>
      <c r="C205" s="11" t="s">
        <v>148</v>
      </c>
      <c r="D205" s="11"/>
      <c r="E205" s="23"/>
      <c r="F205" s="25" t="s">
        <v>886</v>
      </c>
      <c r="G205" s="11" t="s">
        <v>576</v>
      </c>
      <c r="H205" s="11" t="s">
        <v>168</v>
      </c>
      <c r="I205" s="11" t="s">
        <v>764</v>
      </c>
      <c r="J205" s="11"/>
      <c r="K205" s="11"/>
      <c r="L205" s="11">
        <v>18</v>
      </c>
      <c r="M205" s="11">
        <v>208</v>
      </c>
      <c r="N205" s="11">
        <v>178</v>
      </c>
      <c r="O205" s="11">
        <v>30</v>
      </c>
      <c r="P205" s="11" t="s">
        <v>36</v>
      </c>
      <c r="Q205" s="11" t="s">
        <v>36</v>
      </c>
      <c r="R205" s="11">
        <v>192</v>
      </c>
      <c r="S205" s="11">
        <v>230</v>
      </c>
      <c r="T205" s="11" t="s">
        <v>36</v>
      </c>
      <c r="U205" s="11">
        <v>202</v>
      </c>
      <c r="V205" s="11">
        <v>17</v>
      </c>
      <c r="W205" s="11"/>
      <c r="X205" s="11">
        <v>6</v>
      </c>
      <c r="Y205" s="25" t="s">
        <v>1095</v>
      </c>
    </row>
    <row r="206" spans="1:25" ht="14.25" customHeight="1" x14ac:dyDescent="0.25">
      <c r="A206" s="11"/>
      <c r="B206" s="11">
        <v>17</v>
      </c>
      <c r="C206" s="11" t="s">
        <v>148</v>
      </c>
      <c r="D206" s="11"/>
      <c r="E206" s="23"/>
      <c r="F206" s="25" t="s">
        <v>886</v>
      </c>
      <c r="G206" s="11" t="s">
        <v>609</v>
      </c>
      <c r="H206" s="11" t="s">
        <v>155</v>
      </c>
      <c r="I206" s="11" t="s">
        <v>1080</v>
      </c>
      <c r="J206" s="11"/>
      <c r="K206" s="11"/>
      <c r="L206" s="11">
        <v>16</v>
      </c>
      <c r="M206" s="11" t="s">
        <v>36</v>
      </c>
      <c r="N206" s="11" t="s">
        <v>36</v>
      </c>
      <c r="O206" s="11" t="e">
        <v>#VALUE!</v>
      </c>
      <c r="P206" s="11">
        <v>212</v>
      </c>
      <c r="Q206" s="11">
        <v>220</v>
      </c>
      <c r="R206" s="11">
        <v>296</v>
      </c>
      <c r="S206" s="11" t="s">
        <v>36</v>
      </c>
      <c r="T206" s="11">
        <v>83</v>
      </c>
      <c r="U206" s="11">
        <v>202</v>
      </c>
      <c r="V206" s="11">
        <v>17</v>
      </c>
      <c r="W206" s="11"/>
      <c r="X206" s="11" t="e">
        <v>#VALUE!</v>
      </c>
      <c r="Y206" s="25" t="s">
        <v>886</v>
      </c>
    </row>
    <row r="207" spans="1:25" ht="14.25" customHeight="1" x14ac:dyDescent="0.25">
      <c r="A207" s="11"/>
      <c r="B207" s="11">
        <v>17</v>
      </c>
      <c r="C207" s="11" t="s">
        <v>148</v>
      </c>
      <c r="D207" s="11"/>
      <c r="E207" s="23"/>
      <c r="F207" s="25" t="s">
        <v>886</v>
      </c>
      <c r="G207" s="11" t="s">
        <v>598</v>
      </c>
      <c r="H207" s="11" t="s">
        <v>44</v>
      </c>
      <c r="I207" s="11" t="s">
        <v>1084</v>
      </c>
      <c r="J207" s="11"/>
      <c r="K207" s="11"/>
      <c r="L207" s="11">
        <v>19</v>
      </c>
      <c r="M207" s="11">
        <v>218</v>
      </c>
      <c r="N207" s="11" t="s">
        <v>36</v>
      </c>
      <c r="O207" s="11" t="e">
        <v>#VALUE!</v>
      </c>
      <c r="P207" s="11">
        <v>189</v>
      </c>
      <c r="Q207" s="11">
        <v>197</v>
      </c>
      <c r="R207" s="11">
        <v>261</v>
      </c>
      <c r="S207" s="11">
        <v>163</v>
      </c>
      <c r="T207" s="11">
        <v>188</v>
      </c>
      <c r="U207" s="11">
        <v>202</v>
      </c>
      <c r="V207" s="11">
        <v>17</v>
      </c>
      <c r="W207" s="11"/>
      <c r="X207" s="11">
        <v>16</v>
      </c>
      <c r="Y207" s="25" t="s">
        <v>886</v>
      </c>
    </row>
    <row r="208" spans="1:25" ht="14.25" customHeight="1" x14ac:dyDescent="0.25">
      <c r="A208" s="11"/>
      <c r="B208" s="11">
        <v>17</v>
      </c>
      <c r="C208" s="11" t="s">
        <v>148</v>
      </c>
      <c r="D208" s="11"/>
      <c r="E208" s="23"/>
      <c r="F208" s="25" t="s">
        <v>886</v>
      </c>
      <c r="G208" s="11" t="s">
        <v>642</v>
      </c>
      <c r="H208" s="11" t="s">
        <v>81</v>
      </c>
      <c r="I208" s="11" t="s">
        <v>769</v>
      </c>
      <c r="J208" s="11"/>
      <c r="K208" s="11"/>
      <c r="L208" s="11">
        <v>19</v>
      </c>
      <c r="M208" s="11">
        <v>225</v>
      </c>
      <c r="N208" s="11">
        <v>217</v>
      </c>
      <c r="O208" s="11">
        <v>8</v>
      </c>
      <c r="P208" s="11">
        <v>194</v>
      </c>
      <c r="Q208" s="11">
        <v>185</v>
      </c>
      <c r="R208" s="11">
        <v>188</v>
      </c>
      <c r="S208" s="11">
        <v>217</v>
      </c>
      <c r="T208" s="11">
        <v>186</v>
      </c>
      <c r="U208" s="11">
        <v>201</v>
      </c>
      <c r="V208" s="11">
        <v>17</v>
      </c>
      <c r="W208" s="11"/>
      <c r="X208" s="11">
        <v>24</v>
      </c>
      <c r="Y208" s="25" t="s">
        <v>886</v>
      </c>
    </row>
    <row r="209" spans="1:25" ht="14.25" customHeight="1" x14ac:dyDescent="0.25">
      <c r="A209" s="11"/>
      <c r="B209" s="11">
        <v>18</v>
      </c>
      <c r="C209" s="11" t="s">
        <v>148</v>
      </c>
      <c r="D209" s="11"/>
      <c r="E209" s="23"/>
      <c r="F209" s="25" t="s">
        <v>886</v>
      </c>
      <c r="G209" s="11" t="s">
        <v>480</v>
      </c>
      <c r="H209" s="11" t="s">
        <v>233</v>
      </c>
      <c r="I209" s="11" t="s">
        <v>760</v>
      </c>
      <c r="J209" s="11" t="s">
        <v>903</v>
      </c>
      <c r="K209" s="11"/>
      <c r="L209" s="11">
        <v>17</v>
      </c>
      <c r="M209" s="11">
        <v>198</v>
      </c>
      <c r="N209" s="11">
        <v>198</v>
      </c>
      <c r="O209" s="11">
        <v>0</v>
      </c>
      <c r="P209" s="11" t="s">
        <v>36</v>
      </c>
      <c r="Q209" s="11">
        <v>192</v>
      </c>
      <c r="R209" s="11">
        <v>222</v>
      </c>
      <c r="S209" s="11">
        <v>229</v>
      </c>
      <c r="T209" s="11">
        <v>192</v>
      </c>
      <c r="U209" s="11">
        <v>205</v>
      </c>
      <c r="V209" s="11">
        <v>18</v>
      </c>
      <c r="W209" s="11"/>
      <c r="X209" s="11">
        <v>-7</v>
      </c>
      <c r="Y209" s="25" t="s">
        <v>886</v>
      </c>
    </row>
    <row r="210" spans="1:25" ht="14.25" customHeight="1" x14ac:dyDescent="0.25">
      <c r="A210" s="11"/>
      <c r="B210" s="11">
        <v>17</v>
      </c>
      <c r="C210" s="11" t="s">
        <v>148</v>
      </c>
      <c r="D210" s="11"/>
      <c r="E210" s="23"/>
      <c r="F210" s="25" t="s">
        <v>886</v>
      </c>
      <c r="G210" s="11" t="s">
        <v>832</v>
      </c>
      <c r="H210" s="11" t="s">
        <v>44</v>
      </c>
      <c r="I210" s="11" t="s">
        <v>762</v>
      </c>
      <c r="J210" s="11"/>
      <c r="K210" s="11"/>
      <c r="L210" s="11">
        <v>18</v>
      </c>
      <c r="M210" s="11">
        <v>204</v>
      </c>
      <c r="N210" s="11">
        <v>199</v>
      </c>
      <c r="O210" s="11">
        <v>5</v>
      </c>
      <c r="P210" s="11">
        <v>200</v>
      </c>
      <c r="Q210" s="11" t="s">
        <v>36</v>
      </c>
      <c r="R210" s="11">
        <v>173</v>
      </c>
      <c r="S210" s="11">
        <v>232</v>
      </c>
      <c r="T210" s="11" t="s">
        <v>36</v>
      </c>
      <c r="U210" s="11">
        <v>201</v>
      </c>
      <c r="V210" s="11">
        <v>17</v>
      </c>
      <c r="W210" s="11"/>
      <c r="X210" s="11">
        <v>3</v>
      </c>
      <c r="Y210" s="25" t="s">
        <v>1051</v>
      </c>
    </row>
    <row r="211" spans="1:25" ht="14.25" customHeight="1" x14ac:dyDescent="0.25">
      <c r="A211" s="11"/>
      <c r="B211" s="11">
        <v>17</v>
      </c>
      <c r="C211" s="11" t="s">
        <v>148</v>
      </c>
      <c r="D211" s="11"/>
      <c r="E211" s="23"/>
      <c r="F211" s="25" t="s">
        <v>886</v>
      </c>
      <c r="G211" s="11" t="s">
        <v>536</v>
      </c>
      <c r="H211" s="11" t="s">
        <v>233</v>
      </c>
      <c r="I211" s="11" t="s">
        <v>769</v>
      </c>
      <c r="J211" s="11"/>
      <c r="K211" s="11"/>
      <c r="L211" s="11">
        <v>20</v>
      </c>
      <c r="M211" s="11">
        <v>228</v>
      </c>
      <c r="N211" s="11">
        <v>226</v>
      </c>
      <c r="O211" s="11">
        <v>2</v>
      </c>
      <c r="P211" s="11" t="s">
        <v>36</v>
      </c>
      <c r="Q211" s="11">
        <v>198</v>
      </c>
      <c r="R211" s="11">
        <v>196</v>
      </c>
      <c r="S211" s="11">
        <v>202</v>
      </c>
      <c r="T211" s="11">
        <v>176</v>
      </c>
      <c r="U211" s="11">
        <v>204</v>
      </c>
      <c r="V211" s="11">
        <v>18</v>
      </c>
      <c r="W211" s="11">
        <v>-18</v>
      </c>
      <c r="X211" s="11">
        <v>24</v>
      </c>
      <c r="Y211" s="25" t="s">
        <v>886</v>
      </c>
    </row>
    <row r="212" spans="1:25" ht="14.25" customHeight="1" x14ac:dyDescent="0.25">
      <c r="A212" s="11"/>
      <c r="B212" s="11">
        <v>18</v>
      </c>
      <c r="C212" s="11" t="s">
        <v>148</v>
      </c>
      <c r="D212" s="11"/>
      <c r="E212" s="23"/>
      <c r="F212" s="25" t="s">
        <v>886</v>
      </c>
      <c r="G212" s="11" t="s">
        <v>682</v>
      </c>
      <c r="H212" s="11" t="s">
        <v>85</v>
      </c>
      <c r="I212" s="11" t="s">
        <v>762</v>
      </c>
      <c r="J212" s="11"/>
      <c r="K212" s="11"/>
      <c r="L212" s="11">
        <v>16</v>
      </c>
      <c r="M212" s="11" t="s">
        <v>36</v>
      </c>
      <c r="N212" s="11">
        <v>209</v>
      </c>
      <c r="O212" s="11" t="e">
        <v>#VALUE!</v>
      </c>
      <c r="P212" s="11">
        <v>215</v>
      </c>
      <c r="Q212" s="11">
        <v>255</v>
      </c>
      <c r="R212" s="11">
        <v>191</v>
      </c>
      <c r="S212" s="11">
        <v>193</v>
      </c>
      <c r="T212" s="11">
        <v>204</v>
      </c>
      <c r="U212" s="11">
        <v>211</v>
      </c>
      <c r="V212" s="11">
        <v>18</v>
      </c>
      <c r="W212" s="11"/>
      <c r="X212" s="11" t="e">
        <v>#VALUE!</v>
      </c>
      <c r="Y212" s="25" t="s">
        <v>886</v>
      </c>
    </row>
    <row r="213" spans="1:25" ht="14.25" customHeight="1" x14ac:dyDescent="0.25">
      <c r="A213" s="11"/>
      <c r="B213" s="11">
        <v>17</v>
      </c>
      <c r="C213" s="11" t="s">
        <v>148</v>
      </c>
      <c r="D213" s="11"/>
      <c r="E213" s="23"/>
      <c r="F213" s="25" t="s">
        <v>886</v>
      </c>
      <c r="G213" s="11" t="s">
        <v>1105</v>
      </c>
      <c r="H213" s="11" t="s">
        <v>184</v>
      </c>
      <c r="I213" s="11" t="s">
        <v>1080</v>
      </c>
      <c r="J213" s="11"/>
      <c r="K213" s="11"/>
      <c r="L213" s="11">
        <v>16</v>
      </c>
      <c r="M213" s="11" t="s">
        <v>36</v>
      </c>
      <c r="N213" s="11" t="s">
        <v>36</v>
      </c>
      <c r="O213" s="11" t="e">
        <v>#VALUE!</v>
      </c>
      <c r="P213" s="11">
        <v>206</v>
      </c>
      <c r="Q213" s="11">
        <v>211</v>
      </c>
      <c r="R213" s="11">
        <v>275</v>
      </c>
      <c r="S213" s="11">
        <v>150</v>
      </c>
      <c r="T213" s="11">
        <v>168</v>
      </c>
      <c r="U213" s="11">
        <v>202</v>
      </c>
      <c r="V213" s="11">
        <v>17</v>
      </c>
      <c r="W213" s="11"/>
      <c r="X213" s="11" t="e">
        <v>#VALUE!</v>
      </c>
      <c r="Y213" s="25" t="s">
        <v>886</v>
      </c>
    </row>
    <row r="214" spans="1:25" ht="14.25" customHeight="1" x14ac:dyDescent="0.25">
      <c r="A214" s="11"/>
      <c r="B214" s="11">
        <v>17</v>
      </c>
      <c r="C214" s="11" t="s">
        <v>148</v>
      </c>
      <c r="D214" s="11"/>
      <c r="E214" s="23"/>
      <c r="F214" s="25" t="e">
        <v>#N/A</v>
      </c>
      <c r="G214" s="11" t="s">
        <v>985</v>
      </c>
      <c r="H214" s="11"/>
      <c r="I214" s="11"/>
      <c r="J214" s="11" t="e">
        <v>#N/A</v>
      </c>
      <c r="K214" s="11" t="e">
        <v>#N/A</v>
      </c>
      <c r="L214" s="11">
        <v>16</v>
      </c>
      <c r="M214" s="11" t="s">
        <v>36</v>
      </c>
      <c r="N214" s="11" t="s">
        <v>36</v>
      </c>
      <c r="O214" s="11" t="e">
        <v>#VALUE!</v>
      </c>
      <c r="P214" s="11">
        <v>153</v>
      </c>
      <c r="Q214" s="11">
        <v>183</v>
      </c>
      <c r="R214" s="11">
        <v>236</v>
      </c>
      <c r="S214" s="11">
        <v>257</v>
      </c>
      <c r="T214" s="11">
        <v>181</v>
      </c>
      <c r="U214" s="11">
        <v>202</v>
      </c>
      <c r="V214" s="11">
        <v>17</v>
      </c>
      <c r="W214" s="11"/>
      <c r="X214" s="11" t="e">
        <v>#N/A</v>
      </c>
      <c r="Y214" s="25" t="e">
        <v>#N/A</v>
      </c>
    </row>
    <row r="215" spans="1:25" ht="14.25" customHeight="1" x14ac:dyDescent="0.25">
      <c r="A215" s="11"/>
      <c r="B215" s="11">
        <v>18</v>
      </c>
      <c r="C215" s="11" t="s">
        <v>148</v>
      </c>
      <c r="D215" s="11"/>
      <c r="E215" s="23"/>
      <c r="F215" s="25" t="s">
        <v>886</v>
      </c>
      <c r="G215" s="11" t="s">
        <v>278</v>
      </c>
      <c r="H215" s="11" t="s">
        <v>49</v>
      </c>
      <c r="I215" s="11" t="s">
        <v>762</v>
      </c>
      <c r="J215" s="11"/>
      <c r="K215" s="11"/>
      <c r="L215" s="11">
        <v>15</v>
      </c>
      <c r="M215" s="11">
        <v>179</v>
      </c>
      <c r="N215" s="11">
        <v>210</v>
      </c>
      <c r="O215" s="11">
        <v>-31</v>
      </c>
      <c r="P215" s="11" t="s">
        <v>36</v>
      </c>
      <c r="Q215" s="11" t="s">
        <v>36</v>
      </c>
      <c r="R215" s="11">
        <v>176</v>
      </c>
      <c r="S215" s="11">
        <v>200</v>
      </c>
      <c r="T215" s="11">
        <v>245</v>
      </c>
      <c r="U215" s="11">
        <v>202</v>
      </c>
      <c r="V215" s="11">
        <v>17</v>
      </c>
      <c r="W215" s="11"/>
      <c r="X215" s="11">
        <v>-23</v>
      </c>
      <c r="Y215" s="25" t="s">
        <v>1050</v>
      </c>
    </row>
    <row r="216" spans="1:25" ht="14.25" customHeight="1" x14ac:dyDescent="0.25">
      <c r="A216" s="11"/>
      <c r="B216" s="11">
        <v>19</v>
      </c>
      <c r="C216" s="11" t="s">
        <v>148</v>
      </c>
      <c r="D216" s="11"/>
      <c r="E216" s="23"/>
      <c r="F216" s="25" t="s">
        <v>886</v>
      </c>
      <c r="G216" s="11" t="s">
        <v>960</v>
      </c>
      <c r="H216" s="11" t="s">
        <v>78</v>
      </c>
      <c r="I216" s="11" t="s">
        <v>762</v>
      </c>
      <c r="J216" s="11" t="s">
        <v>930</v>
      </c>
      <c r="K216" s="11"/>
      <c r="L216" s="11">
        <v>14</v>
      </c>
      <c r="M216" s="11">
        <v>167</v>
      </c>
      <c r="N216" s="11">
        <v>173</v>
      </c>
      <c r="O216" s="11">
        <v>-6</v>
      </c>
      <c r="P216" s="11">
        <v>211</v>
      </c>
      <c r="Q216" s="11">
        <v>213</v>
      </c>
      <c r="R216" s="11">
        <v>163</v>
      </c>
      <c r="S216" s="11">
        <v>204</v>
      </c>
      <c r="T216" s="11">
        <v>302</v>
      </c>
      <c r="U216" s="11">
        <v>204</v>
      </c>
      <c r="V216" s="11">
        <v>18</v>
      </c>
      <c r="W216" s="11"/>
      <c r="X216" s="11">
        <v>-37</v>
      </c>
      <c r="Y216" s="25" t="s">
        <v>1044</v>
      </c>
    </row>
    <row r="217" spans="1:25" ht="14.25" customHeight="1" x14ac:dyDescent="0.25">
      <c r="A217" s="11"/>
      <c r="B217" s="11">
        <v>18</v>
      </c>
      <c r="C217" s="11" t="s">
        <v>148</v>
      </c>
      <c r="D217" s="11"/>
      <c r="E217" s="23"/>
      <c r="F217" s="25" t="s">
        <v>886</v>
      </c>
      <c r="G217" s="11" t="s">
        <v>656</v>
      </c>
      <c r="H217" s="11" t="s">
        <v>145</v>
      </c>
      <c r="I217" s="11" t="s">
        <v>769</v>
      </c>
      <c r="J217" s="11"/>
      <c r="K217" s="11"/>
      <c r="L217" s="11">
        <v>19</v>
      </c>
      <c r="M217" s="11">
        <v>219</v>
      </c>
      <c r="N217" s="11">
        <v>184</v>
      </c>
      <c r="O217" s="11">
        <v>35</v>
      </c>
      <c r="P217" s="11" t="s">
        <v>36</v>
      </c>
      <c r="Q217" s="11" t="s">
        <v>36</v>
      </c>
      <c r="R217" s="11">
        <v>160</v>
      </c>
      <c r="S217" s="11">
        <v>197</v>
      </c>
      <c r="T217" s="11">
        <v>271</v>
      </c>
      <c r="U217" s="11">
        <v>206</v>
      </c>
      <c r="V217" s="11">
        <v>18</v>
      </c>
      <c r="W217" s="11"/>
      <c r="X217" s="11">
        <v>13</v>
      </c>
      <c r="Y217" s="25" t="s">
        <v>1094</v>
      </c>
    </row>
    <row r="218" spans="1:25" ht="14.25" customHeight="1" x14ac:dyDescent="0.25">
      <c r="A218" s="11"/>
      <c r="B218" s="11">
        <v>18</v>
      </c>
      <c r="C218" s="11" t="s">
        <v>148</v>
      </c>
      <c r="D218" s="11"/>
      <c r="E218" s="23"/>
      <c r="F218" s="25" t="s">
        <v>886</v>
      </c>
      <c r="G218" s="11" t="s">
        <v>431</v>
      </c>
      <c r="H218" s="11" t="s">
        <v>52</v>
      </c>
      <c r="I218" s="11" t="s">
        <v>760</v>
      </c>
      <c r="J218" s="11" t="s">
        <v>903</v>
      </c>
      <c r="K218" s="11"/>
      <c r="L218" s="11">
        <v>19</v>
      </c>
      <c r="M218" s="11">
        <v>222</v>
      </c>
      <c r="N218" s="11">
        <v>181</v>
      </c>
      <c r="O218" s="11">
        <v>41</v>
      </c>
      <c r="P218" s="11" t="s">
        <v>36</v>
      </c>
      <c r="Q218" s="11">
        <v>204</v>
      </c>
      <c r="R218" s="11">
        <v>213</v>
      </c>
      <c r="S218" s="11">
        <v>226</v>
      </c>
      <c r="T218" s="11">
        <v>201</v>
      </c>
      <c r="U218" s="11">
        <v>207</v>
      </c>
      <c r="V218" s="11">
        <v>18</v>
      </c>
      <c r="W218" s="11"/>
      <c r="X218" s="11">
        <v>15</v>
      </c>
      <c r="Y218" s="25" t="s">
        <v>886</v>
      </c>
    </row>
    <row r="219" spans="1:25" ht="14.25" customHeight="1" x14ac:dyDescent="0.25">
      <c r="A219" s="11"/>
      <c r="B219" s="11">
        <v>18</v>
      </c>
      <c r="C219" s="11" t="s">
        <v>148</v>
      </c>
      <c r="D219" s="11"/>
      <c r="E219" s="23"/>
      <c r="F219" s="25" t="s">
        <v>148</v>
      </c>
      <c r="G219" s="11" t="s">
        <v>1099</v>
      </c>
      <c r="H219" s="11" t="s">
        <v>94</v>
      </c>
      <c r="I219" s="11" t="s">
        <v>764</v>
      </c>
      <c r="J219" s="11"/>
      <c r="K219" s="11"/>
      <c r="L219" s="11">
        <v>18</v>
      </c>
      <c r="M219" s="11">
        <v>211</v>
      </c>
      <c r="N219" s="11">
        <v>157</v>
      </c>
      <c r="O219" s="11">
        <v>54</v>
      </c>
      <c r="P219" s="11" t="s">
        <v>36</v>
      </c>
      <c r="Q219" s="11" t="s">
        <v>36</v>
      </c>
      <c r="R219" s="11">
        <v>174</v>
      </c>
      <c r="S219" s="11">
        <v>186</v>
      </c>
      <c r="T219" s="11">
        <v>264</v>
      </c>
      <c r="U219" s="11">
        <v>198</v>
      </c>
      <c r="V219" s="11">
        <v>17</v>
      </c>
      <c r="W219" s="11"/>
      <c r="X219" s="11">
        <v>13</v>
      </c>
      <c r="Y219" s="25" t="s">
        <v>1101</v>
      </c>
    </row>
    <row r="220" spans="1:25" ht="14.25" customHeight="1" x14ac:dyDescent="0.25">
      <c r="A220" s="11"/>
      <c r="B220" s="11">
        <v>22</v>
      </c>
      <c r="C220" s="11" t="s">
        <v>148</v>
      </c>
      <c r="D220" s="11"/>
      <c r="E220" s="23"/>
      <c r="F220" s="25" t="s">
        <v>886</v>
      </c>
      <c r="G220" s="11" t="s">
        <v>817</v>
      </c>
      <c r="H220" s="11" t="s">
        <v>229</v>
      </c>
      <c r="I220" s="11" t="s">
        <v>764</v>
      </c>
      <c r="J220" s="11"/>
      <c r="K220" s="11"/>
      <c r="L220" s="11">
        <v>18</v>
      </c>
      <c r="M220" s="11">
        <v>209</v>
      </c>
      <c r="N220" s="11">
        <v>180</v>
      </c>
      <c r="O220" s="11">
        <v>29</v>
      </c>
      <c r="P220" s="11" t="s">
        <v>36</v>
      </c>
      <c r="Q220" s="11" t="s">
        <v>36</v>
      </c>
      <c r="R220" s="11">
        <v>211</v>
      </c>
      <c r="S220" s="11">
        <v>221</v>
      </c>
      <c r="T220" s="11">
        <v>330</v>
      </c>
      <c r="U220" s="11">
        <v>230</v>
      </c>
      <c r="V220" s="11">
        <v>20</v>
      </c>
      <c r="W220" s="11"/>
      <c r="X220" s="11">
        <v>-21</v>
      </c>
      <c r="Y220" s="25" t="s">
        <v>886</v>
      </c>
    </row>
    <row r="221" spans="1:25" ht="14.25" customHeight="1" x14ac:dyDescent="0.25">
      <c r="A221" s="11"/>
      <c r="B221" s="11">
        <v>18</v>
      </c>
      <c r="C221" s="11" t="s">
        <v>148</v>
      </c>
      <c r="D221" s="11"/>
      <c r="E221" s="23"/>
      <c r="F221" s="25" t="s">
        <v>886</v>
      </c>
      <c r="G221" s="11" t="s">
        <v>901</v>
      </c>
      <c r="H221" s="11" t="s">
        <v>91</v>
      </c>
      <c r="I221" s="11" t="s">
        <v>764</v>
      </c>
      <c r="J221" s="11"/>
      <c r="K221" s="11"/>
      <c r="L221" s="11">
        <v>21</v>
      </c>
      <c r="M221" s="11">
        <v>243</v>
      </c>
      <c r="N221" s="11">
        <v>206</v>
      </c>
      <c r="O221" s="11">
        <v>37</v>
      </c>
      <c r="P221" s="11" t="s">
        <v>36</v>
      </c>
      <c r="Q221" s="11" t="s">
        <v>36</v>
      </c>
      <c r="R221" s="11">
        <v>229</v>
      </c>
      <c r="S221" s="11">
        <v>205</v>
      </c>
      <c r="T221" s="11">
        <v>191</v>
      </c>
      <c r="U221" s="11">
        <v>214</v>
      </c>
      <c r="V221" s="11">
        <v>18</v>
      </c>
      <c r="W221" s="11"/>
      <c r="X221" s="11">
        <v>29</v>
      </c>
      <c r="Y221" s="25" t="s">
        <v>886</v>
      </c>
    </row>
    <row r="222" spans="1:25" ht="14.25" customHeight="1" x14ac:dyDescent="0.25">
      <c r="A222" s="11"/>
      <c r="B222" s="11">
        <v>17</v>
      </c>
      <c r="C222" s="11" t="s">
        <v>148</v>
      </c>
      <c r="D222" s="11"/>
      <c r="E222" s="23"/>
      <c r="F222" s="25" t="s">
        <v>886</v>
      </c>
      <c r="G222" s="11" t="s">
        <v>962</v>
      </c>
      <c r="H222" s="11" t="s">
        <v>39</v>
      </c>
      <c r="I222" s="11" t="s">
        <v>1084</v>
      </c>
      <c r="J222" s="11"/>
      <c r="K222" s="11"/>
      <c r="L222" s="11">
        <v>21</v>
      </c>
      <c r="M222" s="11">
        <v>246</v>
      </c>
      <c r="N222" s="11" t="s">
        <v>36</v>
      </c>
      <c r="O222" s="11" t="e">
        <v>#VALUE!</v>
      </c>
      <c r="P222" s="11">
        <v>193</v>
      </c>
      <c r="Q222" s="11">
        <v>196</v>
      </c>
      <c r="R222" s="11">
        <v>269</v>
      </c>
      <c r="S222" s="11">
        <v>159</v>
      </c>
      <c r="T222" s="11">
        <v>171</v>
      </c>
      <c r="U222" s="11">
        <v>205</v>
      </c>
      <c r="V222" s="11">
        <v>18</v>
      </c>
      <c r="W222" s="11"/>
      <c r="X222" s="11">
        <v>41</v>
      </c>
      <c r="Y222" s="25" t="s">
        <v>886</v>
      </c>
    </row>
    <row r="223" spans="1:25" ht="14.25" customHeight="1" x14ac:dyDescent="0.25">
      <c r="A223" s="11"/>
      <c r="B223" s="11">
        <v>17</v>
      </c>
      <c r="C223" s="11" t="s">
        <v>148</v>
      </c>
      <c r="D223" s="11"/>
      <c r="E223" s="23"/>
      <c r="F223" s="25" t="s">
        <v>886</v>
      </c>
      <c r="G223" s="11" t="s">
        <v>1106</v>
      </c>
      <c r="H223" s="11" t="s">
        <v>123</v>
      </c>
      <c r="I223" s="11" t="s">
        <v>1080</v>
      </c>
      <c r="J223" s="11"/>
      <c r="K223" s="11"/>
      <c r="L223" s="11">
        <v>16</v>
      </c>
      <c r="M223" s="11" t="s">
        <v>36</v>
      </c>
      <c r="N223" s="11" t="s">
        <v>36</v>
      </c>
      <c r="O223" s="11" t="e">
        <v>#VALUE!</v>
      </c>
      <c r="P223" s="11">
        <v>217</v>
      </c>
      <c r="Q223" s="11">
        <v>208</v>
      </c>
      <c r="R223" s="11">
        <v>233</v>
      </c>
      <c r="S223" s="11" t="s">
        <v>36</v>
      </c>
      <c r="T223" s="11">
        <v>157</v>
      </c>
      <c r="U223" s="11">
        <v>203</v>
      </c>
      <c r="V223" s="11">
        <v>17</v>
      </c>
      <c r="W223" s="11"/>
      <c r="X223" s="11" t="e">
        <v>#VALUE!</v>
      </c>
      <c r="Y223" s="25" t="s">
        <v>886</v>
      </c>
    </row>
    <row r="224" spans="1:25" ht="14.25" customHeight="1" x14ac:dyDescent="0.25">
      <c r="A224" s="11"/>
      <c r="B224" s="11">
        <v>20</v>
      </c>
      <c r="C224" s="11" t="s">
        <v>148</v>
      </c>
      <c r="D224" s="11"/>
      <c r="E224" s="23"/>
      <c r="F224" s="25" t="s">
        <v>148</v>
      </c>
      <c r="G224" s="11" t="s">
        <v>368</v>
      </c>
      <c r="H224" s="11" t="s">
        <v>116</v>
      </c>
      <c r="I224" s="11" t="s">
        <v>762</v>
      </c>
      <c r="J224" s="11" t="s">
        <v>1042</v>
      </c>
      <c r="K224" s="11">
        <v>57</v>
      </c>
      <c r="L224" s="11">
        <v>16</v>
      </c>
      <c r="M224" s="11">
        <v>182</v>
      </c>
      <c r="N224" s="11">
        <v>175</v>
      </c>
      <c r="O224" s="11">
        <v>7</v>
      </c>
      <c r="P224" s="11" t="s">
        <v>36</v>
      </c>
      <c r="Q224" s="11" t="s">
        <v>36</v>
      </c>
      <c r="R224" s="11">
        <v>156</v>
      </c>
      <c r="S224" s="11">
        <v>194</v>
      </c>
      <c r="T224" s="11">
        <v>336</v>
      </c>
      <c r="U224" s="11">
        <v>208</v>
      </c>
      <c r="V224" s="11">
        <v>18</v>
      </c>
      <c r="W224" s="11"/>
      <c r="X224" s="11">
        <v>-26</v>
      </c>
      <c r="Y224" s="25" t="s">
        <v>1111</v>
      </c>
    </row>
    <row r="225" spans="1:25" ht="14.25" customHeight="1" x14ac:dyDescent="0.25">
      <c r="A225" s="11"/>
      <c r="B225" s="11">
        <v>18</v>
      </c>
      <c r="C225" s="11" t="s">
        <v>148</v>
      </c>
      <c r="D225" s="11"/>
      <c r="E225" s="23"/>
      <c r="F225" s="25" t="s">
        <v>148</v>
      </c>
      <c r="G225" s="11" t="s">
        <v>590</v>
      </c>
      <c r="H225" s="11" t="s">
        <v>35</v>
      </c>
      <c r="I225" s="11" t="s">
        <v>764</v>
      </c>
      <c r="J225" s="11" t="s">
        <v>912</v>
      </c>
      <c r="K225" s="11">
        <v>63</v>
      </c>
      <c r="L225" s="11">
        <v>19</v>
      </c>
      <c r="M225" s="11">
        <v>216</v>
      </c>
      <c r="N225" s="11">
        <v>163</v>
      </c>
      <c r="O225" s="11">
        <v>53</v>
      </c>
      <c r="P225" s="11" t="s">
        <v>36</v>
      </c>
      <c r="Q225" s="11">
        <v>214</v>
      </c>
      <c r="R225" s="11">
        <v>190</v>
      </c>
      <c r="S225" s="11">
        <v>216</v>
      </c>
      <c r="T225" s="11">
        <v>221</v>
      </c>
      <c r="U225" s="11">
        <v>203</v>
      </c>
      <c r="V225" s="11">
        <v>17</v>
      </c>
      <c r="W225" s="11"/>
      <c r="X225" s="11">
        <v>13</v>
      </c>
      <c r="Y225" s="25" t="s">
        <v>1103</v>
      </c>
    </row>
    <row r="226" spans="1:25" ht="14.25" customHeight="1" x14ac:dyDescent="0.25">
      <c r="A226" s="11"/>
      <c r="B226" s="11">
        <v>19</v>
      </c>
      <c r="C226" s="11" t="s">
        <v>148</v>
      </c>
      <c r="D226" s="11"/>
      <c r="E226" s="23"/>
      <c r="F226" s="25" t="s">
        <v>886</v>
      </c>
      <c r="G226" s="11" t="s">
        <v>945</v>
      </c>
      <c r="H226" s="11" t="s">
        <v>155</v>
      </c>
      <c r="I226" s="11" t="s">
        <v>762</v>
      </c>
      <c r="J226" s="11"/>
      <c r="K226" s="11"/>
      <c r="L226" s="11">
        <v>15</v>
      </c>
      <c r="M226" s="11">
        <v>171</v>
      </c>
      <c r="N226" s="11">
        <v>219</v>
      </c>
      <c r="O226" s="11">
        <v>-48</v>
      </c>
      <c r="P226" s="11">
        <v>213</v>
      </c>
      <c r="Q226" s="11" t="s">
        <v>36</v>
      </c>
      <c r="R226" s="11">
        <v>186</v>
      </c>
      <c r="S226" s="11">
        <v>203</v>
      </c>
      <c r="T226" s="11">
        <v>304</v>
      </c>
      <c r="U226" s="11">
        <v>216</v>
      </c>
      <c r="V226" s="11">
        <v>19</v>
      </c>
      <c r="W226" s="11"/>
      <c r="X226" s="11">
        <v>-45</v>
      </c>
      <c r="Y226" s="25" t="s">
        <v>886</v>
      </c>
    </row>
    <row r="227" spans="1:25" ht="14.25" customHeight="1" x14ac:dyDescent="0.25">
      <c r="A227" s="11"/>
      <c r="B227" s="11">
        <v>20</v>
      </c>
      <c r="C227" s="11" t="s">
        <v>148</v>
      </c>
      <c r="D227" s="11"/>
      <c r="E227" s="23"/>
      <c r="F227" s="25" t="s">
        <v>886</v>
      </c>
      <c r="G227" s="11" t="s">
        <v>270</v>
      </c>
      <c r="H227" s="11" t="s">
        <v>88</v>
      </c>
      <c r="I227" s="11" t="s">
        <v>764</v>
      </c>
      <c r="J227" s="11"/>
      <c r="K227" s="11"/>
      <c r="L227" s="11">
        <v>20</v>
      </c>
      <c r="M227" s="11">
        <v>236</v>
      </c>
      <c r="N227" s="11">
        <v>191</v>
      </c>
      <c r="O227" s="11">
        <v>45</v>
      </c>
      <c r="P227" s="11">
        <v>197</v>
      </c>
      <c r="Q227" s="11" t="s">
        <v>36</v>
      </c>
      <c r="R227" s="11">
        <v>226</v>
      </c>
      <c r="S227" s="11">
        <v>212</v>
      </c>
      <c r="T227" s="11">
        <v>278</v>
      </c>
      <c r="U227" s="11">
        <v>223</v>
      </c>
      <c r="V227" s="11">
        <v>19</v>
      </c>
      <c r="W227" s="11"/>
      <c r="X227" s="11">
        <v>13</v>
      </c>
      <c r="Y227" s="25" t="s">
        <v>886</v>
      </c>
    </row>
    <row r="228" spans="1:25" ht="14.25" customHeight="1" x14ac:dyDescent="0.25">
      <c r="A228" s="11"/>
      <c r="B228" s="11">
        <v>17</v>
      </c>
      <c r="C228" s="11" t="s">
        <v>148</v>
      </c>
      <c r="D228" s="11"/>
      <c r="E228" s="23"/>
      <c r="F228" s="25" t="s">
        <v>886</v>
      </c>
      <c r="G228" s="11" t="s">
        <v>547</v>
      </c>
      <c r="H228" s="11" t="s">
        <v>214</v>
      </c>
      <c r="I228" s="11" t="s">
        <v>1080</v>
      </c>
      <c r="J228" s="11"/>
      <c r="K228" s="11"/>
      <c r="L228" s="11">
        <v>19</v>
      </c>
      <c r="M228" s="11">
        <v>220</v>
      </c>
      <c r="N228" s="11" t="s">
        <v>36</v>
      </c>
      <c r="O228" s="11" t="e">
        <v>#VALUE!</v>
      </c>
      <c r="P228" s="11">
        <v>136</v>
      </c>
      <c r="Q228" s="11">
        <v>171</v>
      </c>
      <c r="R228" s="11">
        <v>258</v>
      </c>
      <c r="S228" s="11">
        <v>243</v>
      </c>
      <c r="T228" s="11">
        <v>170</v>
      </c>
      <c r="U228" s="11">
        <v>199</v>
      </c>
      <c r="V228" s="11">
        <v>17</v>
      </c>
      <c r="W228" s="11"/>
      <c r="X228" s="11">
        <v>21</v>
      </c>
      <c r="Y228" s="25" t="s">
        <v>886</v>
      </c>
    </row>
    <row r="229" spans="1:25" ht="14.25" customHeight="1" x14ac:dyDescent="0.25">
      <c r="A229" s="11"/>
      <c r="B229" s="11">
        <v>19</v>
      </c>
      <c r="C229" s="11" t="s">
        <v>148</v>
      </c>
      <c r="D229" s="11"/>
      <c r="E229" s="23"/>
      <c r="F229" s="25" t="s">
        <v>886</v>
      </c>
      <c r="G229" s="11" t="s">
        <v>519</v>
      </c>
      <c r="H229" s="11" t="s">
        <v>88</v>
      </c>
      <c r="I229" s="11" t="s">
        <v>1080</v>
      </c>
      <c r="J229" s="11"/>
      <c r="K229" s="11"/>
      <c r="L229" s="11">
        <v>16</v>
      </c>
      <c r="M229" s="11">
        <v>187</v>
      </c>
      <c r="N229" s="11" t="s">
        <v>36</v>
      </c>
      <c r="O229" s="11" t="e">
        <v>#VALUE!</v>
      </c>
      <c r="P229" s="11">
        <v>174</v>
      </c>
      <c r="Q229" s="11">
        <v>244</v>
      </c>
      <c r="R229" s="11">
        <v>273</v>
      </c>
      <c r="S229" s="11">
        <v>246</v>
      </c>
      <c r="T229" s="11">
        <v>158</v>
      </c>
      <c r="U229" s="11">
        <v>213</v>
      </c>
      <c r="V229" s="11">
        <v>18</v>
      </c>
      <c r="W229" s="11"/>
      <c r="X229" s="11">
        <v>-26</v>
      </c>
      <c r="Y229" s="25" t="s">
        <v>886</v>
      </c>
    </row>
    <row r="230" spans="1:25" ht="14.25" customHeight="1" x14ac:dyDescent="0.25">
      <c r="A230" s="11"/>
      <c r="B230" s="11">
        <v>19</v>
      </c>
      <c r="C230" s="11" t="s">
        <v>148</v>
      </c>
      <c r="D230" s="11"/>
      <c r="E230" s="23"/>
      <c r="F230" s="25" t="s">
        <v>886</v>
      </c>
      <c r="G230" s="11" t="s">
        <v>660</v>
      </c>
      <c r="H230" s="11" t="s">
        <v>94</v>
      </c>
      <c r="I230" s="11" t="s">
        <v>764</v>
      </c>
      <c r="J230" s="11"/>
      <c r="K230" s="11"/>
      <c r="L230" s="11">
        <v>16</v>
      </c>
      <c r="M230" s="11" t="s">
        <v>36</v>
      </c>
      <c r="N230" s="11">
        <v>235</v>
      </c>
      <c r="O230" s="11" t="e">
        <v>#VALUE!</v>
      </c>
      <c r="P230" s="11" t="s">
        <v>36</v>
      </c>
      <c r="Q230" s="11" t="s">
        <v>36</v>
      </c>
      <c r="R230" s="11">
        <v>238</v>
      </c>
      <c r="S230" s="11">
        <v>176</v>
      </c>
      <c r="T230" s="11">
        <v>239</v>
      </c>
      <c r="U230" s="11">
        <v>222</v>
      </c>
      <c r="V230" s="11">
        <v>19</v>
      </c>
      <c r="W230" s="11"/>
      <c r="X230" s="11" t="e">
        <v>#VALUE!</v>
      </c>
      <c r="Y230" s="25" t="s">
        <v>1104</v>
      </c>
    </row>
    <row r="231" spans="1:25" ht="14.25" customHeight="1" x14ac:dyDescent="0.25">
      <c r="A231" s="11"/>
      <c r="B231" s="11">
        <v>19</v>
      </c>
      <c r="C231" s="11" t="s">
        <v>148</v>
      </c>
      <c r="D231" s="11"/>
      <c r="E231" s="23"/>
      <c r="F231" s="25" t="s">
        <v>886</v>
      </c>
      <c r="G231" s="11" t="s">
        <v>625</v>
      </c>
      <c r="H231" s="11" t="s">
        <v>44</v>
      </c>
      <c r="I231" s="11" t="s">
        <v>769</v>
      </c>
      <c r="J231" s="11"/>
      <c r="K231" s="11"/>
      <c r="L231" s="11">
        <v>20</v>
      </c>
      <c r="M231" s="11">
        <v>233</v>
      </c>
      <c r="N231" s="11">
        <v>194</v>
      </c>
      <c r="O231" s="11">
        <v>39</v>
      </c>
      <c r="P231" s="11" t="s">
        <v>36</v>
      </c>
      <c r="Q231" s="11" t="s">
        <v>36</v>
      </c>
      <c r="R231" s="11">
        <v>180</v>
      </c>
      <c r="S231" s="11">
        <v>209</v>
      </c>
      <c r="T231" s="11">
        <v>265</v>
      </c>
      <c r="U231" s="11">
        <v>216</v>
      </c>
      <c r="V231" s="11">
        <v>19</v>
      </c>
      <c r="W231" s="11"/>
      <c r="X231" s="11">
        <v>17</v>
      </c>
      <c r="Y231" s="25" t="s">
        <v>886</v>
      </c>
    </row>
    <row r="232" spans="1:25" ht="14.25" customHeight="1" x14ac:dyDescent="0.25">
      <c r="A232" s="11"/>
      <c r="B232" s="11">
        <v>18</v>
      </c>
      <c r="C232" s="11" t="s">
        <v>148</v>
      </c>
      <c r="D232" s="11"/>
      <c r="E232" s="23"/>
      <c r="F232" s="25" t="s">
        <v>886</v>
      </c>
      <c r="G232" s="11" t="s">
        <v>701</v>
      </c>
      <c r="H232" s="11" t="s">
        <v>126</v>
      </c>
      <c r="I232" s="11" t="s">
        <v>1080</v>
      </c>
      <c r="J232" s="11"/>
      <c r="K232" s="11"/>
      <c r="L232" s="11">
        <v>16</v>
      </c>
      <c r="M232" s="11" t="s">
        <v>36</v>
      </c>
      <c r="N232" s="11" t="s">
        <v>36</v>
      </c>
      <c r="O232" s="11" t="e">
        <v>#VALUE!</v>
      </c>
      <c r="P232" s="11">
        <v>169</v>
      </c>
      <c r="Q232" s="11">
        <v>199</v>
      </c>
      <c r="R232" s="11">
        <v>281</v>
      </c>
      <c r="S232" s="11">
        <v>239</v>
      </c>
      <c r="T232" s="11">
        <v>187</v>
      </c>
      <c r="U232" s="11">
        <v>215</v>
      </c>
      <c r="V232" s="11">
        <v>18</v>
      </c>
      <c r="W232" s="11"/>
      <c r="X232" s="11" t="e">
        <v>#VALUE!</v>
      </c>
      <c r="Y232" s="25" t="s">
        <v>886</v>
      </c>
    </row>
    <row r="233" spans="1:25" ht="14.25" customHeight="1" x14ac:dyDescent="0.25">
      <c r="A233" s="11"/>
      <c r="B233" s="11">
        <v>18</v>
      </c>
      <c r="C233" s="11" t="s">
        <v>148</v>
      </c>
      <c r="D233" s="11"/>
      <c r="E233" s="23"/>
      <c r="F233" s="25" t="s">
        <v>886</v>
      </c>
      <c r="G233" s="11" t="s">
        <v>530</v>
      </c>
      <c r="H233" s="11" t="s">
        <v>91</v>
      </c>
      <c r="I233" s="11" t="s">
        <v>762</v>
      </c>
      <c r="J233" s="11"/>
      <c r="K233" s="11"/>
      <c r="L233" s="11">
        <v>16</v>
      </c>
      <c r="M233" s="11" t="s">
        <v>36</v>
      </c>
      <c r="N233" s="11">
        <v>221</v>
      </c>
      <c r="O233" s="11" t="e">
        <v>#VALUE!</v>
      </c>
      <c r="P233" s="11" t="s">
        <v>36</v>
      </c>
      <c r="Q233" s="11" t="s">
        <v>36</v>
      </c>
      <c r="R233" s="11">
        <v>193</v>
      </c>
      <c r="S233" s="11">
        <v>213</v>
      </c>
      <c r="T233" s="11">
        <v>232</v>
      </c>
      <c r="U233" s="11">
        <v>214</v>
      </c>
      <c r="V233" s="11">
        <v>18</v>
      </c>
      <c r="W233" s="11"/>
      <c r="X233" s="11" t="e">
        <v>#VALUE!</v>
      </c>
      <c r="Y233" s="25" t="s">
        <v>886</v>
      </c>
    </row>
    <row r="234" spans="1:25" ht="14.25" customHeight="1" x14ac:dyDescent="0.25">
      <c r="A234" s="11"/>
      <c r="B234" s="11">
        <v>19</v>
      </c>
      <c r="C234" s="11" t="s">
        <v>148</v>
      </c>
      <c r="D234" s="11"/>
      <c r="E234" s="23"/>
      <c r="F234" s="25" t="s">
        <v>886</v>
      </c>
      <c r="G234" s="11" t="s">
        <v>810</v>
      </c>
      <c r="H234" s="11" t="s">
        <v>94</v>
      </c>
      <c r="I234" s="11" t="s">
        <v>764</v>
      </c>
      <c r="J234" s="11"/>
      <c r="K234" s="11"/>
      <c r="L234" s="11">
        <v>21</v>
      </c>
      <c r="M234" s="11">
        <v>250</v>
      </c>
      <c r="N234" s="11">
        <v>192</v>
      </c>
      <c r="O234" s="11">
        <v>58</v>
      </c>
      <c r="P234" s="11">
        <v>143</v>
      </c>
      <c r="Q234" s="11">
        <v>189</v>
      </c>
      <c r="R234" s="11">
        <v>227</v>
      </c>
      <c r="S234" s="11">
        <v>250</v>
      </c>
      <c r="T234" s="11">
        <v>290</v>
      </c>
      <c r="U234" s="11">
        <v>220</v>
      </c>
      <c r="V234" s="11">
        <v>19</v>
      </c>
      <c r="W234" s="11"/>
      <c r="X234" s="11">
        <v>30</v>
      </c>
      <c r="Y234" s="25" t="s">
        <v>886</v>
      </c>
    </row>
    <row r="235" spans="1:25" ht="14.25" customHeight="1" x14ac:dyDescent="0.25">
      <c r="A235" s="11"/>
      <c r="B235" s="11">
        <v>19</v>
      </c>
      <c r="C235" s="11" t="s">
        <v>148</v>
      </c>
      <c r="D235" s="11"/>
      <c r="E235" s="23"/>
      <c r="F235" s="25" t="s">
        <v>148</v>
      </c>
      <c r="G235" s="11" t="s">
        <v>384</v>
      </c>
      <c r="H235" s="11" t="s">
        <v>91</v>
      </c>
      <c r="I235" s="11" t="s">
        <v>762</v>
      </c>
      <c r="J235" s="11" t="s">
        <v>913</v>
      </c>
      <c r="K235" s="11">
        <v>52</v>
      </c>
      <c r="L235" s="11">
        <v>18</v>
      </c>
      <c r="M235" s="11">
        <v>205</v>
      </c>
      <c r="N235" s="11">
        <v>183</v>
      </c>
      <c r="O235" s="11">
        <v>22</v>
      </c>
      <c r="P235" s="11" t="s">
        <v>36</v>
      </c>
      <c r="Q235" s="11" t="s">
        <v>36</v>
      </c>
      <c r="R235" s="11">
        <v>166</v>
      </c>
      <c r="S235" s="11">
        <v>223</v>
      </c>
      <c r="T235" s="11">
        <v>283</v>
      </c>
      <c r="U235" s="11">
        <v>212</v>
      </c>
      <c r="V235" s="11">
        <v>18</v>
      </c>
      <c r="W235" s="11"/>
      <c r="X235" s="11">
        <v>-7</v>
      </c>
      <c r="Y235" s="25" t="s">
        <v>1097</v>
      </c>
    </row>
    <row r="236" spans="1:25" ht="14.25" customHeight="1" x14ac:dyDescent="0.25">
      <c r="A236" s="11"/>
      <c r="B236" s="11">
        <v>19</v>
      </c>
      <c r="C236" s="11" t="s">
        <v>148</v>
      </c>
      <c r="D236" s="11"/>
      <c r="E236" s="23"/>
      <c r="F236" s="25" t="s">
        <v>886</v>
      </c>
      <c r="G236" s="11" t="s">
        <v>914</v>
      </c>
      <c r="H236" s="11" t="s">
        <v>145</v>
      </c>
      <c r="I236" s="11" t="s">
        <v>1080</v>
      </c>
      <c r="J236" s="11"/>
      <c r="K236" s="11"/>
      <c r="L236" s="11">
        <v>17</v>
      </c>
      <c r="M236" s="11">
        <v>194</v>
      </c>
      <c r="N236" s="11" t="s">
        <v>36</v>
      </c>
      <c r="O236" s="11" t="e">
        <v>#VALUE!</v>
      </c>
      <c r="P236" s="11">
        <v>192</v>
      </c>
      <c r="Q236" s="11">
        <v>206</v>
      </c>
      <c r="R236" s="11">
        <v>272</v>
      </c>
      <c r="S236" s="11">
        <v>236</v>
      </c>
      <c r="T236" s="11">
        <v>213</v>
      </c>
      <c r="U236" s="11">
        <v>218</v>
      </c>
      <c r="V236" s="11">
        <v>19</v>
      </c>
      <c r="W236" s="11"/>
      <c r="X236" s="11">
        <v>-24</v>
      </c>
      <c r="Y236" s="25" t="s">
        <v>886</v>
      </c>
    </row>
    <row r="237" spans="1:25" ht="14.25" customHeight="1" x14ac:dyDescent="0.25">
      <c r="A237" s="11"/>
      <c r="B237" s="11">
        <v>19</v>
      </c>
      <c r="C237" s="11" t="s">
        <v>148</v>
      </c>
      <c r="D237" s="11"/>
      <c r="E237" s="23"/>
      <c r="F237" s="25" t="s">
        <v>886</v>
      </c>
      <c r="G237" s="11" t="s">
        <v>644</v>
      </c>
      <c r="H237" s="11" t="s">
        <v>187</v>
      </c>
      <c r="I237" s="11" t="s">
        <v>1080</v>
      </c>
      <c r="J237" s="11"/>
      <c r="K237" s="11"/>
      <c r="L237" s="11">
        <v>19</v>
      </c>
      <c r="M237" s="11">
        <v>217</v>
      </c>
      <c r="N237" s="11" t="s">
        <v>36</v>
      </c>
      <c r="O237" s="11" t="e">
        <v>#VALUE!</v>
      </c>
      <c r="P237" s="11" t="s">
        <v>36</v>
      </c>
      <c r="Q237" s="11">
        <v>215</v>
      </c>
      <c r="R237" s="11">
        <v>318</v>
      </c>
      <c r="S237" s="11" t="s">
        <v>36</v>
      </c>
      <c r="T237" s="11">
        <v>125</v>
      </c>
      <c r="U237" s="11">
        <v>218</v>
      </c>
      <c r="V237" s="11">
        <v>19</v>
      </c>
      <c r="W237" s="11"/>
      <c r="X237" s="11">
        <v>-1</v>
      </c>
      <c r="Y237" s="25" t="s">
        <v>886</v>
      </c>
    </row>
    <row r="238" spans="1:25" ht="14.25" customHeight="1" x14ac:dyDescent="0.25">
      <c r="A238" s="11"/>
      <c r="B238" s="11">
        <v>18</v>
      </c>
      <c r="C238" s="11" t="s">
        <v>148</v>
      </c>
      <c r="D238" s="11"/>
      <c r="E238" s="23"/>
      <c r="F238" s="25" t="s">
        <v>886</v>
      </c>
      <c r="G238" s="11" t="s">
        <v>497</v>
      </c>
      <c r="H238" s="11" t="s">
        <v>104</v>
      </c>
      <c r="I238" s="11" t="s">
        <v>1080</v>
      </c>
      <c r="J238" s="11"/>
      <c r="K238" s="11"/>
      <c r="L238" s="11">
        <v>21</v>
      </c>
      <c r="M238" s="11">
        <v>244</v>
      </c>
      <c r="N238" s="11" t="s">
        <v>36</v>
      </c>
      <c r="O238" s="11" t="e">
        <v>#VALUE!</v>
      </c>
      <c r="P238" s="11" t="s">
        <v>36</v>
      </c>
      <c r="Q238" s="11">
        <v>152</v>
      </c>
      <c r="R238" s="11">
        <v>265</v>
      </c>
      <c r="S238" s="11">
        <v>240</v>
      </c>
      <c r="T238" s="11">
        <v>190</v>
      </c>
      <c r="U238" s="11">
        <v>218</v>
      </c>
      <c r="V238" s="11">
        <v>19</v>
      </c>
      <c r="W238" s="11"/>
      <c r="X238" s="11">
        <v>26</v>
      </c>
      <c r="Y238" s="25" t="s">
        <v>886</v>
      </c>
    </row>
    <row r="239" spans="1:25" ht="14.25" customHeight="1" x14ac:dyDescent="0.25">
      <c r="A239" s="11"/>
      <c r="B239" s="11">
        <v>18</v>
      </c>
      <c r="C239" s="11" t="s">
        <v>148</v>
      </c>
      <c r="D239" s="11"/>
      <c r="E239" s="23"/>
      <c r="F239" s="25" t="s">
        <v>886</v>
      </c>
      <c r="G239" s="11" t="s">
        <v>1049</v>
      </c>
      <c r="H239" s="11" t="s">
        <v>85</v>
      </c>
      <c r="I239" s="11" t="s">
        <v>762</v>
      </c>
      <c r="J239" s="11"/>
      <c r="K239" s="11"/>
      <c r="L239" s="11">
        <v>20</v>
      </c>
      <c r="M239" s="11">
        <v>232</v>
      </c>
      <c r="N239" s="11">
        <v>212</v>
      </c>
      <c r="O239" s="11">
        <v>20</v>
      </c>
      <c r="P239" s="11" t="s">
        <v>36</v>
      </c>
      <c r="Q239" s="11" t="s">
        <v>36</v>
      </c>
      <c r="R239" s="11">
        <v>194</v>
      </c>
      <c r="S239" s="11">
        <v>234</v>
      </c>
      <c r="T239" s="11" t="s">
        <v>36</v>
      </c>
      <c r="U239" s="11">
        <v>218</v>
      </c>
      <c r="V239" s="11">
        <v>19</v>
      </c>
      <c r="W239" s="11"/>
      <c r="X239" s="11">
        <v>14</v>
      </c>
      <c r="Y239" s="25" t="s">
        <v>886</v>
      </c>
    </row>
    <row r="240" spans="1:25" ht="14.25" customHeight="1" x14ac:dyDescent="0.25">
      <c r="A240" s="11"/>
      <c r="B240" s="11">
        <v>20</v>
      </c>
      <c r="C240" s="11" t="s">
        <v>148</v>
      </c>
      <c r="D240" s="11"/>
      <c r="E240" s="23"/>
      <c r="F240" s="25" t="s">
        <v>886</v>
      </c>
      <c r="G240" s="11" t="s">
        <v>442</v>
      </c>
      <c r="H240" s="11" t="s">
        <v>163</v>
      </c>
      <c r="I240" s="11" t="s">
        <v>764</v>
      </c>
      <c r="J240" s="11"/>
      <c r="K240" s="11"/>
      <c r="L240" s="11">
        <v>16</v>
      </c>
      <c r="M240" s="11" t="s">
        <v>36</v>
      </c>
      <c r="N240" s="11">
        <v>234</v>
      </c>
      <c r="O240" s="11" t="e">
        <v>#VALUE!</v>
      </c>
      <c r="P240" s="11" t="s">
        <v>36</v>
      </c>
      <c r="Q240" s="11" t="s">
        <v>36</v>
      </c>
      <c r="R240" s="11">
        <v>277</v>
      </c>
      <c r="S240" s="11">
        <v>177</v>
      </c>
      <c r="T240" s="11">
        <v>231</v>
      </c>
      <c r="U240" s="11">
        <v>229</v>
      </c>
      <c r="V240" s="11">
        <v>20</v>
      </c>
      <c r="W240" s="11"/>
      <c r="X240" s="11" t="e">
        <v>#VALUE!</v>
      </c>
      <c r="Y240" s="25" t="s">
        <v>1050</v>
      </c>
    </row>
    <row r="241" spans="1:25" ht="14.25" customHeight="1" x14ac:dyDescent="0.25">
      <c r="A241" s="11"/>
      <c r="B241" s="11">
        <v>19</v>
      </c>
      <c r="C241" s="11" t="s">
        <v>148</v>
      </c>
      <c r="D241" s="11"/>
      <c r="E241" s="23"/>
      <c r="F241" s="25" t="s">
        <v>886</v>
      </c>
      <c r="G241" s="11" t="s">
        <v>300</v>
      </c>
      <c r="H241" s="11" t="s">
        <v>126</v>
      </c>
      <c r="I241" s="11" t="s">
        <v>760</v>
      </c>
      <c r="J241" s="11"/>
      <c r="K241" s="11"/>
      <c r="L241" s="11">
        <v>16</v>
      </c>
      <c r="M241" s="11" t="s">
        <v>36</v>
      </c>
      <c r="N241" s="11">
        <v>202</v>
      </c>
      <c r="O241" s="11" t="e">
        <v>#VALUE!</v>
      </c>
      <c r="P241" s="11" t="s">
        <v>36</v>
      </c>
      <c r="Q241" s="11">
        <v>209</v>
      </c>
      <c r="R241" s="11">
        <v>219</v>
      </c>
      <c r="S241" s="11">
        <v>238</v>
      </c>
      <c r="T241" s="11">
        <v>237</v>
      </c>
      <c r="U241" s="11">
        <v>221</v>
      </c>
      <c r="V241" s="11">
        <v>19</v>
      </c>
      <c r="W241" s="11"/>
      <c r="X241" s="11" t="e">
        <v>#VALUE!</v>
      </c>
      <c r="Y241" s="25" t="s">
        <v>886</v>
      </c>
    </row>
    <row r="242" spans="1:25" ht="14.25" customHeight="1" x14ac:dyDescent="0.25">
      <c r="A242" s="11"/>
      <c r="B242" s="11">
        <v>20</v>
      </c>
      <c r="C242" s="11" t="s">
        <v>148</v>
      </c>
      <c r="D242" s="11"/>
      <c r="E242" s="23"/>
      <c r="F242" s="25" t="s">
        <v>148</v>
      </c>
      <c r="G242" s="11" t="s">
        <v>316</v>
      </c>
      <c r="H242" s="11" t="s">
        <v>155</v>
      </c>
      <c r="I242" s="11" t="s">
        <v>762</v>
      </c>
      <c r="J242" s="11" t="s">
        <v>1042</v>
      </c>
      <c r="K242" s="11">
        <v>56</v>
      </c>
      <c r="L242" s="11">
        <v>16</v>
      </c>
      <c r="M242" s="11">
        <v>184</v>
      </c>
      <c r="N242" s="11">
        <v>200</v>
      </c>
      <c r="O242" s="11">
        <v>-16</v>
      </c>
      <c r="P242" s="11" t="s">
        <v>36</v>
      </c>
      <c r="Q242" s="11" t="s">
        <v>36</v>
      </c>
      <c r="R242" s="11">
        <v>184</v>
      </c>
      <c r="S242" s="11">
        <v>211</v>
      </c>
      <c r="T242" s="11">
        <v>324</v>
      </c>
      <c r="U242" s="11">
        <v>220</v>
      </c>
      <c r="V242" s="11">
        <v>19</v>
      </c>
      <c r="W242" s="11"/>
      <c r="X242" s="11">
        <v>-36</v>
      </c>
      <c r="Y242" s="25" t="s">
        <v>1108</v>
      </c>
    </row>
    <row r="243" spans="1:25" ht="14.25" customHeight="1" x14ac:dyDescent="0.25">
      <c r="A243" s="11"/>
      <c r="B243" s="11">
        <v>19</v>
      </c>
      <c r="C243" s="11" t="s">
        <v>148</v>
      </c>
      <c r="D243" s="11"/>
      <c r="E243" s="23"/>
      <c r="F243" s="25" t="s">
        <v>886</v>
      </c>
      <c r="G243" s="11" t="s">
        <v>662</v>
      </c>
      <c r="H243" s="11" t="s">
        <v>129</v>
      </c>
      <c r="I243" s="11" t="s">
        <v>762</v>
      </c>
      <c r="J243" s="11"/>
      <c r="K243" s="11"/>
      <c r="L243" s="11">
        <v>19</v>
      </c>
      <c r="M243" s="11">
        <v>227</v>
      </c>
      <c r="N243" s="11">
        <v>205</v>
      </c>
      <c r="O243" s="11">
        <v>22</v>
      </c>
      <c r="P243" s="11">
        <v>202</v>
      </c>
      <c r="Q243" s="11" t="s">
        <v>36</v>
      </c>
      <c r="R243" s="11">
        <v>189</v>
      </c>
      <c r="S243" s="11">
        <v>266</v>
      </c>
      <c r="T243" s="11" t="s">
        <v>36</v>
      </c>
      <c r="U243" s="11">
        <v>217</v>
      </c>
      <c r="V243" s="11">
        <v>19</v>
      </c>
      <c r="W243" s="11"/>
      <c r="X243" s="11">
        <v>10</v>
      </c>
      <c r="Y243" s="25" t="s">
        <v>886</v>
      </c>
    </row>
    <row r="244" spans="1:25" ht="14.25" customHeight="1" x14ac:dyDescent="0.25">
      <c r="A244" s="11"/>
      <c r="B244" s="11">
        <v>19</v>
      </c>
      <c r="C244" s="11" t="s">
        <v>148</v>
      </c>
      <c r="D244" s="11"/>
      <c r="E244" s="23"/>
      <c r="F244" s="25" t="s">
        <v>886</v>
      </c>
      <c r="G244" s="11" t="s">
        <v>566</v>
      </c>
      <c r="H244" s="11" t="s">
        <v>69</v>
      </c>
      <c r="I244" s="11" t="s">
        <v>1080</v>
      </c>
      <c r="J244" s="11"/>
      <c r="K244" s="11"/>
      <c r="L244" s="11">
        <v>21</v>
      </c>
      <c r="M244" s="11">
        <v>240</v>
      </c>
      <c r="N244" s="11" t="s">
        <v>36</v>
      </c>
      <c r="O244" s="11" t="e">
        <v>#VALUE!</v>
      </c>
      <c r="P244" s="11">
        <v>173</v>
      </c>
      <c r="Q244" s="11">
        <v>201</v>
      </c>
      <c r="R244" s="11">
        <v>278</v>
      </c>
      <c r="S244" s="11">
        <v>285</v>
      </c>
      <c r="T244" s="11">
        <v>165</v>
      </c>
      <c r="U244" s="11">
        <v>223</v>
      </c>
      <c r="V244" s="11">
        <v>19</v>
      </c>
      <c r="W244" s="11"/>
      <c r="X244" s="11">
        <v>17</v>
      </c>
      <c r="Y244" s="25" t="s">
        <v>886</v>
      </c>
    </row>
    <row r="245" spans="1:25" ht="14.25" customHeight="1" x14ac:dyDescent="0.25">
      <c r="A245" s="11"/>
      <c r="B245" s="11">
        <v>19</v>
      </c>
      <c r="C245" s="11" t="s">
        <v>148</v>
      </c>
      <c r="D245" s="11"/>
      <c r="E245" s="23"/>
      <c r="F245" s="25" t="s">
        <v>886</v>
      </c>
      <c r="G245" s="11" t="s">
        <v>708</v>
      </c>
      <c r="H245" s="11" t="s">
        <v>52</v>
      </c>
      <c r="I245" s="11" t="s">
        <v>769</v>
      </c>
      <c r="J245" s="11"/>
      <c r="K245" s="11"/>
      <c r="L245" s="11">
        <v>20</v>
      </c>
      <c r="M245" s="11">
        <v>235</v>
      </c>
      <c r="N245" s="11">
        <v>213</v>
      </c>
      <c r="O245" s="11">
        <v>22</v>
      </c>
      <c r="P245" s="11" t="s">
        <v>36</v>
      </c>
      <c r="Q245" s="11" t="s">
        <v>36</v>
      </c>
      <c r="R245" s="11">
        <v>187</v>
      </c>
      <c r="S245" s="11">
        <v>219</v>
      </c>
      <c r="T245" s="11">
        <v>272</v>
      </c>
      <c r="U245" s="11">
        <v>225</v>
      </c>
      <c r="V245" s="11">
        <v>19</v>
      </c>
      <c r="W245" s="11"/>
      <c r="X245" s="11">
        <v>10</v>
      </c>
      <c r="Y245" s="25" t="s">
        <v>1096</v>
      </c>
    </row>
    <row r="246" spans="1:25" ht="14.25" customHeight="1" x14ac:dyDescent="0.25">
      <c r="A246" s="11"/>
      <c r="B246" s="11">
        <v>20</v>
      </c>
      <c r="C246" s="11" t="s">
        <v>148</v>
      </c>
      <c r="D246" s="11"/>
      <c r="E246" s="23"/>
      <c r="F246" s="25" t="s">
        <v>886</v>
      </c>
      <c r="G246" s="11" t="s">
        <v>405</v>
      </c>
      <c r="H246" s="11" t="s">
        <v>116</v>
      </c>
      <c r="I246" s="11" t="s">
        <v>769</v>
      </c>
      <c r="J246" s="11"/>
      <c r="K246" s="11"/>
      <c r="L246" s="11">
        <v>20</v>
      </c>
      <c r="M246" s="11">
        <v>230</v>
      </c>
      <c r="N246" s="11">
        <v>223</v>
      </c>
      <c r="O246" s="11">
        <v>7</v>
      </c>
      <c r="P246" s="11" t="s">
        <v>36</v>
      </c>
      <c r="Q246" s="11">
        <v>267</v>
      </c>
      <c r="R246" s="11">
        <v>210</v>
      </c>
      <c r="S246" s="11">
        <v>241</v>
      </c>
      <c r="T246" s="11">
        <v>216</v>
      </c>
      <c r="U246" s="11">
        <v>231</v>
      </c>
      <c r="V246" s="11">
        <v>20</v>
      </c>
      <c r="W246" s="11"/>
      <c r="X246" s="11">
        <v>-1</v>
      </c>
      <c r="Y246" s="25" t="s">
        <v>886</v>
      </c>
    </row>
    <row r="247" spans="1:25" ht="14.25" customHeight="1" x14ac:dyDescent="0.25">
      <c r="A247" s="11"/>
      <c r="B247" s="11">
        <v>21</v>
      </c>
      <c r="C247" s="11" t="s">
        <v>148</v>
      </c>
      <c r="D247" s="11"/>
      <c r="E247" s="23"/>
      <c r="F247" s="25" t="s">
        <v>886</v>
      </c>
      <c r="G247" s="11" t="s">
        <v>805</v>
      </c>
      <c r="H247" s="11" t="s">
        <v>60</v>
      </c>
      <c r="I247" s="11" t="s">
        <v>762</v>
      </c>
      <c r="J247" s="11" t="s">
        <v>930</v>
      </c>
      <c r="K247" s="11"/>
      <c r="L247" s="11">
        <v>17</v>
      </c>
      <c r="M247" s="11">
        <v>202</v>
      </c>
      <c r="N247" s="11">
        <v>189</v>
      </c>
      <c r="O247" s="11">
        <v>13</v>
      </c>
      <c r="P247" s="11" t="s">
        <v>36</v>
      </c>
      <c r="Q247" s="11" t="s">
        <v>36</v>
      </c>
      <c r="R247" s="11">
        <v>178</v>
      </c>
      <c r="S247" s="11">
        <v>237</v>
      </c>
      <c r="T247" s="11">
        <v>316</v>
      </c>
      <c r="U247" s="11">
        <v>224</v>
      </c>
      <c r="V247" s="11">
        <v>19</v>
      </c>
      <c r="W247" s="11"/>
      <c r="X247" s="11">
        <v>-22</v>
      </c>
      <c r="Y247" s="25" t="s">
        <v>1055</v>
      </c>
    </row>
    <row r="248" spans="1:25" ht="14.25" customHeight="1" x14ac:dyDescent="0.25">
      <c r="A248" s="11"/>
      <c r="B248" s="11">
        <v>20</v>
      </c>
      <c r="C248" s="11" t="s">
        <v>148</v>
      </c>
      <c r="D248" s="11"/>
      <c r="E248" s="23"/>
      <c r="F248" s="25" t="s">
        <v>886</v>
      </c>
      <c r="G248" s="11" t="s">
        <v>1045</v>
      </c>
      <c r="H248" s="11" t="s">
        <v>49</v>
      </c>
      <c r="I248" s="11" t="s">
        <v>762</v>
      </c>
      <c r="J248" s="11"/>
      <c r="K248" s="11"/>
      <c r="L248" s="11">
        <v>17</v>
      </c>
      <c r="M248" s="11">
        <v>199</v>
      </c>
      <c r="N248" s="11">
        <v>236</v>
      </c>
      <c r="O248" s="11">
        <v>-37</v>
      </c>
      <c r="P248" s="11" t="s">
        <v>36</v>
      </c>
      <c r="Q248" s="11" t="s">
        <v>36</v>
      </c>
      <c r="R248" s="11">
        <v>208</v>
      </c>
      <c r="S248" s="11">
        <v>263</v>
      </c>
      <c r="T248" s="11" t="s">
        <v>36</v>
      </c>
      <c r="U248" s="11">
        <v>226</v>
      </c>
      <c r="V248" s="11">
        <v>19</v>
      </c>
      <c r="W248" s="11"/>
      <c r="X248" s="11">
        <v>-27</v>
      </c>
      <c r="Y248" s="25" t="s">
        <v>1046</v>
      </c>
    </row>
    <row r="249" spans="1:25" ht="14.25" customHeight="1" x14ac:dyDescent="0.25">
      <c r="A249" s="11"/>
      <c r="B249" s="11">
        <v>20</v>
      </c>
      <c r="C249" s="11" t="s">
        <v>148</v>
      </c>
      <c r="D249" s="11"/>
      <c r="E249" s="23"/>
      <c r="F249" s="25" t="s">
        <v>886</v>
      </c>
      <c r="G249" s="11" t="s">
        <v>469</v>
      </c>
      <c r="H249" s="11" t="s">
        <v>49</v>
      </c>
      <c r="I249" s="11" t="s">
        <v>1080</v>
      </c>
      <c r="J249" s="11"/>
      <c r="K249" s="11"/>
      <c r="L249" s="11">
        <v>18</v>
      </c>
      <c r="M249" s="11">
        <v>212</v>
      </c>
      <c r="N249" s="11" t="s">
        <v>36</v>
      </c>
      <c r="O249" s="11" t="e">
        <v>#VALUE!</v>
      </c>
      <c r="P249" s="11">
        <v>216</v>
      </c>
      <c r="Q249" s="11">
        <v>238</v>
      </c>
      <c r="R249" s="11">
        <v>253</v>
      </c>
      <c r="S249" s="11">
        <v>248</v>
      </c>
      <c r="T249" s="11">
        <v>195</v>
      </c>
      <c r="U249" s="11">
        <v>227</v>
      </c>
      <c r="V249" s="11">
        <v>19</v>
      </c>
      <c r="W249" s="11"/>
      <c r="X249" s="11">
        <v>-15</v>
      </c>
      <c r="Y249" s="25" t="s">
        <v>886</v>
      </c>
    </row>
    <row r="250" spans="1:25" ht="14.25" customHeight="1" x14ac:dyDescent="0.25">
      <c r="A250" s="11"/>
      <c r="B250" s="11">
        <v>19</v>
      </c>
      <c r="C250" s="11" t="s">
        <v>148</v>
      </c>
      <c r="D250" s="11"/>
      <c r="E250" s="23"/>
      <c r="F250" s="25" t="s">
        <v>886</v>
      </c>
      <c r="G250" s="11" t="s">
        <v>908</v>
      </c>
      <c r="H250" s="11" t="s">
        <v>229</v>
      </c>
      <c r="I250" s="11" t="s">
        <v>764</v>
      </c>
      <c r="J250" s="11"/>
      <c r="K250" s="11"/>
      <c r="L250" s="11">
        <v>16</v>
      </c>
      <c r="M250" s="11" t="s">
        <v>36</v>
      </c>
      <c r="N250" s="11">
        <v>227</v>
      </c>
      <c r="O250" s="11" t="e">
        <v>#VALUE!</v>
      </c>
      <c r="P250" s="11" t="s">
        <v>36</v>
      </c>
      <c r="Q250" s="11" t="s">
        <v>36</v>
      </c>
      <c r="R250" s="11">
        <v>202</v>
      </c>
      <c r="S250" s="11">
        <v>235</v>
      </c>
      <c r="T250" s="11">
        <v>238</v>
      </c>
      <c r="U250" s="11">
        <v>225</v>
      </c>
      <c r="V250" s="11">
        <v>19</v>
      </c>
      <c r="W250" s="11"/>
      <c r="X250" s="11" t="e">
        <v>#VALUE!</v>
      </c>
      <c r="Y250" s="25" t="s">
        <v>886</v>
      </c>
    </row>
    <row r="251" spans="1:25" ht="14.25" customHeight="1" x14ac:dyDescent="0.25">
      <c r="A251" s="11"/>
      <c r="B251" s="11">
        <v>20</v>
      </c>
      <c r="C251" s="11" t="s">
        <v>148</v>
      </c>
      <c r="D251" s="11"/>
      <c r="E251" s="23"/>
      <c r="F251" s="25" t="s">
        <v>886</v>
      </c>
      <c r="G251" s="11" t="s">
        <v>813</v>
      </c>
      <c r="H251" s="11" t="s">
        <v>60</v>
      </c>
      <c r="I251" s="11" t="s">
        <v>760</v>
      </c>
      <c r="J251" s="11" t="s">
        <v>890</v>
      </c>
      <c r="K251" s="11"/>
      <c r="L251" s="11">
        <v>16</v>
      </c>
      <c r="M251" s="11" t="s">
        <v>36</v>
      </c>
      <c r="N251" s="11">
        <v>231</v>
      </c>
      <c r="O251" s="11" t="e">
        <v>#VALUE!</v>
      </c>
      <c r="P251" s="11" t="s">
        <v>36</v>
      </c>
      <c r="Q251" s="11">
        <v>241</v>
      </c>
      <c r="R251" s="11">
        <v>248</v>
      </c>
      <c r="S251" s="11">
        <v>224</v>
      </c>
      <c r="T251" s="11">
        <v>228</v>
      </c>
      <c r="U251" s="11">
        <v>234</v>
      </c>
      <c r="V251" s="11">
        <v>20</v>
      </c>
      <c r="W251" s="11"/>
      <c r="X251" s="11" t="e">
        <v>#VALUE!</v>
      </c>
      <c r="Y251" s="25" t="s">
        <v>886</v>
      </c>
    </row>
    <row r="252" spans="1:25" ht="14.25" customHeight="1" x14ac:dyDescent="0.25">
      <c r="A252" s="11"/>
      <c r="B252" s="11">
        <v>22</v>
      </c>
      <c r="C252" s="11" t="s">
        <v>148</v>
      </c>
      <c r="D252" s="11"/>
      <c r="E252" s="23"/>
      <c r="F252" s="25" t="s">
        <v>886</v>
      </c>
      <c r="G252" s="11" t="s">
        <v>558</v>
      </c>
      <c r="H252" s="11" t="s">
        <v>163</v>
      </c>
      <c r="I252" s="11" t="s">
        <v>762</v>
      </c>
      <c r="J252" s="11"/>
      <c r="K252" s="11"/>
      <c r="L252" s="11">
        <v>18</v>
      </c>
      <c r="M252" s="11">
        <v>206</v>
      </c>
      <c r="N252" s="11">
        <v>222</v>
      </c>
      <c r="O252" s="11">
        <v>-16</v>
      </c>
      <c r="P252" s="11" t="s">
        <v>36</v>
      </c>
      <c r="Q252" s="11" t="s">
        <v>36</v>
      </c>
      <c r="R252" s="11">
        <v>195</v>
      </c>
      <c r="S252" s="11" t="s">
        <v>36</v>
      </c>
      <c r="T252" s="11">
        <v>318</v>
      </c>
      <c r="U252" s="11">
        <v>235</v>
      </c>
      <c r="V252" s="11">
        <v>20</v>
      </c>
      <c r="W252" s="11"/>
      <c r="X252" s="11">
        <v>-29</v>
      </c>
      <c r="Y252" s="25" t="s">
        <v>886</v>
      </c>
    </row>
    <row r="253" spans="1:25" ht="14.25" customHeight="1" x14ac:dyDescent="0.25">
      <c r="A253" s="11"/>
      <c r="B253" s="11">
        <v>23</v>
      </c>
      <c r="C253" s="11" t="s">
        <v>148</v>
      </c>
      <c r="D253" s="11"/>
      <c r="E253" s="23"/>
      <c r="F253" s="25" t="s">
        <v>886</v>
      </c>
      <c r="G253" s="11" t="s">
        <v>967</v>
      </c>
      <c r="H253" s="11" t="s">
        <v>160</v>
      </c>
      <c r="I253" s="11" t="s">
        <v>769</v>
      </c>
      <c r="J253" s="11"/>
      <c r="K253" s="11"/>
      <c r="L253" s="11">
        <v>20</v>
      </c>
      <c r="M253" s="11">
        <v>231</v>
      </c>
      <c r="N253" s="11">
        <v>193</v>
      </c>
      <c r="O253" s="11">
        <v>38</v>
      </c>
      <c r="P253" s="11" t="s">
        <v>36</v>
      </c>
      <c r="Q253" s="11">
        <v>347</v>
      </c>
      <c r="R253" s="11">
        <v>204</v>
      </c>
      <c r="S253" s="11">
        <v>254</v>
      </c>
      <c r="T253" s="11" t="s">
        <v>36</v>
      </c>
      <c r="U253" s="11">
        <v>245</v>
      </c>
      <c r="V253" s="11">
        <v>21</v>
      </c>
      <c r="W253" s="11"/>
      <c r="X253" s="11">
        <v>-14</v>
      </c>
      <c r="Y253" s="25" t="s">
        <v>886</v>
      </c>
    </row>
    <row r="254" spans="1:25" ht="14.25" customHeight="1" x14ac:dyDescent="0.25">
      <c r="A254" s="11"/>
      <c r="B254" s="11">
        <v>20</v>
      </c>
      <c r="C254" s="11" t="s">
        <v>148</v>
      </c>
      <c r="D254" s="11"/>
      <c r="E254" s="23"/>
      <c r="F254" s="25" t="s">
        <v>886</v>
      </c>
      <c r="G254" s="11" t="s">
        <v>896</v>
      </c>
      <c r="H254" s="11" t="s">
        <v>94</v>
      </c>
      <c r="I254" s="11" t="s">
        <v>762</v>
      </c>
      <c r="J254" s="11"/>
      <c r="K254" s="11"/>
      <c r="L254" s="11">
        <v>16</v>
      </c>
      <c r="M254" s="11" t="s">
        <v>36</v>
      </c>
      <c r="N254" s="11">
        <v>252</v>
      </c>
      <c r="O254" s="11" t="e">
        <v>#VALUE!</v>
      </c>
      <c r="P254" s="11">
        <v>191</v>
      </c>
      <c r="Q254" s="11" t="s">
        <v>36</v>
      </c>
      <c r="R254" s="11">
        <v>221</v>
      </c>
      <c r="S254" s="11">
        <v>260</v>
      </c>
      <c r="T254" s="11">
        <v>247</v>
      </c>
      <c r="U254" s="11">
        <v>234</v>
      </c>
      <c r="V254" s="11">
        <v>20</v>
      </c>
      <c r="W254" s="11"/>
      <c r="X254" s="11" t="e">
        <v>#VALUE!</v>
      </c>
      <c r="Y254" s="25" t="s">
        <v>886</v>
      </c>
    </row>
    <row r="255" spans="1:25" ht="14.25" customHeight="1" x14ac:dyDescent="0.25">
      <c r="A255" s="11"/>
      <c r="B255" s="11">
        <v>22</v>
      </c>
      <c r="C255" s="11" t="s">
        <v>148</v>
      </c>
      <c r="D255" s="11"/>
      <c r="E255" s="23"/>
      <c r="F255" s="25" t="s">
        <v>886</v>
      </c>
      <c r="G255" s="11" t="s">
        <v>286</v>
      </c>
      <c r="H255" s="11" t="s">
        <v>60</v>
      </c>
      <c r="I255" s="11" t="s">
        <v>764</v>
      </c>
      <c r="J255" s="11"/>
      <c r="K255" s="11"/>
      <c r="L255" s="11">
        <v>18</v>
      </c>
      <c r="M255" s="11">
        <v>210</v>
      </c>
      <c r="N255" s="11">
        <v>204</v>
      </c>
      <c r="O255" s="11">
        <v>6</v>
      </c>
      <c r="P255" s="11" t="s">
        <v>36</v>
      </c>
      <c r="Q255" s="11" t="s">
        <v>36</v>
      </c>
      <c r="R255" s="11">
        <v>260</v>
      </c>
      <c r="S255" s="11">
        <v>242</v>
      </c>
      <c r="T255" s="11">
        <v>256</v>
      </c>
      <c r="U255" s="11">
        <v>234</v>
      </c>
      <c r="V255" s="11">
        <v>20</v>
      </c>
      <c r="W255" s="11"/>
      <c r="X255" s="11">
        <v>-24</v>
      </c>
      <c r="Y255" s="25" t="s">
        <v>886</v>
      </c>
    </row>
    <row r="256" spans="1:25" ht="14.25" customHeight="1" x14ac:dyDescent="0.25">
      <c r="A256" s="11"/>
      <c r="B256" s="11">
        <v>22</v>
      </c>
      <c r="C256" s="11" t="s">
        <v>148</v>
      </c>
      <c r="D256" s="11"/>
      <c r="E256" s="23"/>
      <c r="F256" s="25" t="s">
        <v>886</v>
      </c>
      <c r="G256" s="11" t="s">
        <v>1098</v>
      </c>
      <c r="H256" s="11" t="s">
        <v>199</v>
      </c>
      <c r="I256" s="11" t="s">
        <v>764</v>
      </c>
      <c r="J256" s="11"/>
      <c r="K256" s="11"/>
      <c r="L256" s="11">
        <v>16</v>
      </c>
      <c r="M256" s="11" t="s">
        <v>36</v>
      </c>
      <c r="N256" s="11">
        <v>197</v>
      </c>
      <c r="O256" s="11" t="e">
        <v>#VALUE!</v>
      </c>
      <c r="P256" s="11" t="s">
        <v>36</v>
      </c>
      <c r="Q256" s="11" t="s">
        <v>36</v>
      </c>
      <c r="R256" s="11">
        <v>250</v>
      </c>
      <c r="S256" s="11">
        <v>261</v>
      </c>
      <c r="T256" s="11" t="s">
        <v>36</v>
      </c>
      <c r="U256" s="11">
        <v>236</v>
      </c>
      <c r="V256" s="11">
        <v>20</v>
      </c>
      <c r="W256" s="11"/>
      <c r="X256" s="11" t="e">
        <v>#VALUE!</v>
      </c>
      <c r="Y256" s="25" t="s">
        <v>886</v>
      </c>
    </row>
    <row r="257" spans="1:25" ht="14.25" customHeight="1" x14ac:dyDescent="0.25">
      <c r="A257" s="11"/>
      <c r="B257" s="11">
        <v>22</v>
      </c>
      <c r="C257" s="11" t="s">
        <v>148</v>
      </c>
      <c r="D257" s="11"/>
      <c r="E257" s="23"/>
      <c r="F257" s="25" t="s">
        <v>886</v>
      </c>
      <c r="G257" s="11" t="s">
        <v>824</v>
      </c>
      <c r="H257" s="11" t="s">
        <v>126</v>
      </c>
      <c r="I257" s="11" t="s">
        <v>769</v>
      </c>
      <c r="J257" s="11"/>
      <c r="K257" s="11"/>
      <c r="L257" s="11">
        <v>17</v>
      </c>
      <c r="M257" s="11">
        <v>200</v>
      </c>
      <c r="N257" s="11">
        <v>203</v>
      </c>
      <c r="O257" s="11">
        <v>-3</v>
      </c>
      <c r="P257" s="11" t="s">
        <v>36</v>
      </c>
      <c r="Q257" s="11" t="s">
        <v>36</v>
      </c>
      <c r="R257" s="11">
        <v>201</v>
      </c>
      <c r="S257" s="11">
        <v>267</v>
      </c>
      <c r="T257" s="11">
        <v>294</v>
      </c>
      <c r="U257" s="11">
        <v>233</v>
      </c>
      <c r="V257" s="11">
        <v>20</v>
      </c>
      <c r="W257" s="11"/>
      <c r="X257" s="11">
        <v>-33</v>
      </c>
      <c r="Y257" s="25" t="s">
        <v>886</v>
      </c>
    </row>
    <row r="258" spans="1:25" ht="14.25" customHeight="1" x14ac:dyDescent="0.25">
      <c r="A258" s="11"/>
      <c r="B258" s="11">
        <v>21</v>
      </c>
      <c r="C258" s="11" t="s">
        <v>148</v>
      </c>
      <c r="D258" s="11"/>
      <c r="E258" s="23"/>
      <c r="F258" s="25" t="s">
        <v>886</v>
      </c>
      <c r="G258" s="11" t="s">
        <v>970</v>
      </c>
      <c r="H258" s="11" t="s">
        <v>69</v>
      </c>
      <c r="I258" s="11" t="s">
        <v>762</v>
      </c>
      <c r="J258" s="11"/>
      <c r="K258" s="11"/>
      <c r="L258" s="11">
        <v>18</v>
      </c>
      <c r="M258" s="11">
        <v>215</v>
      </c>
      <c r="N258" s="11">
        <v>245</v>
      </c>
      <c r="O258" s="11">
        <v>-30</v>
      </c>
      <c r="P258" s="11" t="s">
        <v>36</v>
      </c>
      <c r="Q258" s="11" t="s">
        <v>36</v>
      </c>
      <c r="R258" s="11">
        <v>256</v>
      </c>
      <c r="S258" s="11">
        <v>222</v>
      </c>
      <c r="T258" s="11">
        <v>276</v>
      </c>
      <c r="U258" s="11">
        <v>242</v>
      </c>
      <c r="V258" s="11">
        <v>21</v>
      </c>
      <c r="W258" s="11"/>
      <c r="X258" s="11">
        <v>-27</v>
      </c>
      <c r="Y258" s="25" t="s">
        <v>886</v>
      </c>
    </row>
    <row r="259" spans="1:25" ht="14.25" customHeight="1" x14ac:dyDescent="0.25">
      <c r="A259" s="11"/>
      <c r="B259" s="11">
        <v>21</v>
      </c>
      <c r="C259" s="11" t="s">
        <v>148</v>
      </c>
      <c r="D259" s="11"/>
      <c r="E259" s="23"/>
      <c r="F259" s="25" t="s">
        <v>148</v>
      </c>
      <c r="G259" s="11" t="s">
        <v>403</v>
      </c>
      <c r="H259" s="11" t="s">
        <v>60</v>
      </c>
      <c r="I259" s="11" t="s">
        <v>760</v>
      </c>
      <c r="J259" s="45" t="s">
        <v>942</v>
      </c>
      <c r="K259" s="11">
        <v>25</v>
      </c>
      <c r="L259" s="11">
        <v>21</v>
      </c>
      <c r="M259" s="11">
        <v>245</v>
      </c>
      <c r="N259" s="11">
        <v>201</v>
      </c>
      <c r="O259" s="11">
        <v>44</v>
      </c>
      <c r="P259" s="11">
        <v>156</v>
      </c>
      <c r="Q259" s="11" t="s">
        <v>36</v>
      </c>
      <c r="R259" s="11">
        <v>231</v>
      </c>
      <c r="S259" s="11">
        <v>277</v>
      </c>
      <c r="T259" s="11">
        <v>310</v>
      </c>
      <c r="U259" s="11">
        <v>236</v>
      </c>
      <c r="V259" s="11">
        <v>20</v>
      </c>
      <c r="W259" s="11"/>
      <c r="X259" s="11">
        <v>9</v>
      </c>
      <c r="Y259" s="25" t="s">
        <v>1115</v>
      </c>
    </row>
    <row r="260" spans="1:25" ht="14.25" customHeight="1" x14ac:dyDescent="0.25">
      <c r="A260" s="11"/>
      <c r="B260" s="11">
        <v>20</v>
      </c>
      <c r="C260" s="11" t="s">
        <v>148</v>
      </c>
      <c r="D260" s="11"/>
      <c r="E260" s="23"/>
      <c r="F260" s="25" t="s">
        <v>886</v>
      </c>
      <c r="G260" s="11" t="s">
        <v>611</v>
      </c>
      <c r="H260" s="11" t="s">
        <v>187</v>
      </c>
      <c r="I260" s="11" t="s">
        <v>760</v>
      </c>
      <c r="J260" s="11"/>
      <c r="K260" s="11"/>
      <c r="L260" s="11">
        <v>16</v>
      </c>
      <c r="M260" s="11" t="s">
        <v>36</v>
      </c>
      <c r="N260" s="11">
        <v>276</v>
      </c>
      <c r="O260" s="11" t="e">
        <v>#VALUE!</v>
      </c>
      <c r="P260" s="11" t="s">
        <v>36</v>
      </c>
      <c r="Q260" s="11">
        <v>210</v>
      </c>
      <c r="R260" s="11">
        <v>292</v>
      </c>
      <c r="S260" s="11">
        <v>220</v>
      </c>
      <c r="T260" s="11">
        <v>214</v>
      </c>
      <c r="U260" s="11">
        <v>242</v>
      </c>
      <c r="V260" s="11">
        <v>21</v>
      </c>
      <c r="W260" s="11"/>
      <c r="X260" s="11" t="e">
        <v>#VALUE!</v>
      </c>
      <c r="Y260" s="25" t="s">
        <v>886</v>
      </c>
    </row>
    <row r="261" spans="1:25" ht="14.25" customHeight="1" x14ac:dyDescent="0.25">
      <c r="A261" s="11"/>
      <c r="B261" s="11">
        <v>21</v>
      </c>
      <c r="C261" s="11" t="s">
        <v>148</v>
      </c>
      <c r="D261" s="11"/>
      <c r="E261" s="23"/>
      <c r="F261" s="25" t="s">
        <v>886</v>
      </c>
      <c r="G261" s="11" t="s">
        <v>256</v>
      </c>
      <c r="H261" s="11" t="s">
        <v>187</v>
      </c>
      <c r="I261" s="11" t="s">
        <v>769</v>
      </c>
      <c r="J261" s="11"/>
      <c r="K261" s="11"/>
      <c r="L261" s="11">
        <v>16</v>
      </c>
      <c r="M261" s="11" t="s">
        <v>36</v>
      </c>
      <c r="N261" s="11">
        <v>190</v>
      </c>
      <c r="O261" s="11" t="e">
        <v>#VALUE!</v>
      </c>
      <c r="P261" s="11" t="s">
        <v>36</v>
      </c>
      <c r="Q261" s="11">
        <v>269</v>
      </c>
      <c r="R261" s="11">
        <v>199</v>
      </c>
      <c r="S261" s="11">
        <v>272</v>
      </c>
      <c r="T261" s="11" t="s">
        <v>36</v>
      </c>
      <c r="U261" s="11">
        <v>232</v>
      </c>
      <c r="V261" s="11">
        <v>20</v>
      </c>
      <c r="W261" s="11"/>
      <c r="X261" s="11" t="e">
        <v>#VALUE!</v>
      </c>
      <c r="Y261" s="25" t="s">
        <v>1109</v>
      </c>
    </row>
    <row r="262" spans="1:25" ht="14.25" customHeight="1" x14ac:dyDescent="0.25">
      <c r="A262" s="11"/>
      <c r="B262" s="11">
        <v>21</v>
      </c>
      <c r="C262" s="11" t="s">
        <v>148</v>
      </c>
      <c r="D262" s="11"/>
      <c r="E262" s="23"/>
      <c r="F262" s="25" t="s">
        <v>886</v>
      </c>
      <c r="G262" s="11" t="s">
        <v>623</v>
      </c>
      <c r="H262" s="11" t="s">
        <v>168</v>
      </c>
      <c r="I262" s="11" t="s">
        <v>764</v>
      </c>
      <c r="J262" s="11"/>
      <c r="K262" s="11"/>
      <c r="L262" s="11">
        <v>20</v>
      </c>
      <c r="M262" s="11">
        <v>238</v>
      </c>
      <c r="N262" s="11">
        <v>185</v>
      </c>
      <c r="O262" s="11">
        <v>53</v>
      </c>
      <c r="P262" s="11" t="s">
        <v>36</v>
      </c>
      <c r="Q262" s="11" t="s">
        <v>36</v>
      </c>
      <c r="R262" s="11">
        <v>206</v>
      </c>
      <c r="S262" s="11">
        <v>259</v>
      </c>
      <c r="T262" s="11">
        <v>289</v>
      </c>
      <c r="U262" s="11">
        <v>235</v>
      </c>
      <c r="V262" s="11">
        <v>20</v>
      </c>
      <c r="W262" s="11"/>
      <c r="X262" s="11">
        <v>3</v>
      </c>
      <c r="Y262" s="25" t="s">
        <v>886</v>
      </c>
    </row>
    <row r="263" spans="1:25" ht="14.25" customHeight="1" x14ac:dyDescent="0.25">
      <c r="A263" s="11"/>
      <c r="B263" s="11">
        <v>22</v>
      </c>
      <c r="C263" s="11" t="s">
        <v>148</v>
      </c>
      <c r="D263" s="11"/>
      <c r="E263" s="23"/>
      <c r="F263" s="25" t="s">
        <v>886</v>
      </c>
      <c r="G263" s="11" t="s">
        <v>1093</v>
      </c>
      <c r="H263" s="11" t="s">
        <v>85</v>
      </c>
      <c r="I263" s="11" t="s">
        <v>764</v>
      </c>
      <c r="J263" s="11"/>
      <c r="K263" s="11"/>
      <c r="L263" s="11">
        <v>18</v>
      </c>
      <c r="M263" s="11">
        <v>213</v>
      </c>
      <c r="N263" s="11">
        <v>239</v>
      </c>
      <c r="O263" s="11">
        <v>-26</v>
      </c>
      <c r="P263" s="11" t="s">
        <v>36</v>
      </c>
      <c r="Q263" s="11" t="s">
        <v>36</v>
      </c>
      <c r="R263" s="11">
        <v>279</v>
      </c>
      <c r="S263" s="11">
        <v>244</v>
      </c>
      <c r="T263" s="11" t="s">
        <v>36</v>
      </c>
      <c r="U263" s="11">
        <v>243</v>
      </c>
      <c r="V263" s="11">
        <v>21</v>
      </c>
      <c r="W263" s="11"/>
      <c r="X263" s="11">
        <v>-30</v>
      </c>
      <c r="Y263" s="25" t="s">
        <v>886</v>
      </c>
    </row>
    <row r="264" spans="1:25" ht="14.25" customHeight="1" x14ac:dyDescent="0.25">
      <c r="A264" s="11"/>
      <c r="B264" s="11">
        <v>21</v>
      </c>
      <c r="C264" s="11" t="s">
        <v>148</v>
      </c>
      <c r="D264" s="11"/>
      <c r="E264" s="23"/>
      <c r="F264" s="25" t="s">
        <v>886</v>
      </c>
      <c r="G264" s="11" t="s">
        <v>949</v>
      </c>
      <c r="H264" s="11" t="s">
        <v>126</v>
      </c>
      <c r="I264" s="11" t="s">
        <v>760</v>
      </c>
      <c r="J264" s="11"/>
      <c r="K264" s="11"/>
      <c r="L264" s="11">
        <v>16</v>
      </c>
      <c r="M264" s="11" t="s">
        <v>36</v>
      </c>
      <c r="N264" s="11">
        <v>232</v>
      </c>
      <c r="O264" s="11" t="e">
        <v>#VALUE!</v>
      </c>
      <c r="P264" s="11" t="s">
        <v>36</v>
      </c>
      <c r="Q264" s="11">
        <v>239</v>
      </c>
      <c r="R264" s="11">
        <v>243</v>
      </c>
      <c r="S264" s="11">
        <v>265</v>
      </c>
      <c r="T264" s="11">
        <v>225</v>
      </c>
      <c r="U264" s="11">
        <v>240</v>
      </c>
      <c r="V264" s="11">
        <v>21</v>
      </c>
      <c r="W264" s="11"/>
      <c r="X264" s="11" t="e">
        <v>#VALUE!</v>
      </c>
      <c r="Y264" s="25" t="s">
        <v>886</v>
      </c>
    </row>
    <row r="265" spans="1:25" ht="14.25" customHeight="1" x14ac:dyDescent="0.25">
      <c r="A265" s="11"/>
      <c r="B265" s="11">
        <v>23</v>
      </c>
      <c r="C265" s="11" t="s">
        <v>148</v>
      </c>
      <c r="D265" s="11"/>
      <c r="E265" s="23"/>
      <c r="F265" s="25" t="s">
        <v>886</v>
      </c>
      <c r="G265" s="11" t="s">
        <v>342</v>
      </c>
      <c r="H265" s="11" t="s">
        <v>214</v>
      </c>
      <c r="I265" s="11" t="s">
        <v>762</v>
      </c>
      <c r="J265" s="11" t="s">
        <v>913</v>
      </c>
      <c r="K265" s="11">
        <v>53</v>
      </c>
      <c r="L265" s="11">
        <v>18</v>
      </c>
      <c r="M265" s="11">
        <v>207</v>
      </c>
      <c r="N265" s="11">
        <v>304</v>
      </c>
      <c r="O265" s="11">
        <v>-97</v>
      </c>
      <c r="P265" s="11" t="s">
        <v>36</v>
      </c>
      <c r="Q265" s="11" t="s">
        <v>36</v>
      </c>
      <c r="R265" s="11">
        <v>255</v>
      </c>
      <c r="S265" s="11">
        <v>247</v>
      </c>
      <c r="T265" s="11">
        <v>315</v>
      </c>
      <c r="U265" s="11">
        <v>265</v>
      </c>
      <c r="V265" s="11">
        <v>23</v>
      </c>
      <c r="W265" s="11"/>
      <c r="X265" s="11">
        <v>-58</v>
      </c>
      <c r="Y265" s="25" t="s">
        <v>1050</v>
      </c>
    </row>
    <row r="266" spans="1:25" ht="14.25" customHeight="1" x14ac:dyDescent="0.25">
      <c r="A266" s="11"/>
      <c r="B266" s="11">
        <v>22</v>
      </c>
      <c r="C266" s="11" t="s">
        <v>148</v>
      </c>
      <c r="D266" s="11"/>
      <c r="E266" s="23"/>
      <c r="F266" s="25" t="s">
        <v>886</v>
      </c>
      <c r="G266" s="11" t="s">
        <v>953</v>
      </c>
      <c r="H266" s="11" t="s">
        <v>233</v>
      </c>
      <c r="I266" s="11" t="s">
        <v>764</v>
      </c>
      <c r="J266" s="11"/>
      <c r="K266" s="11"/>
      <c r="L266" s="11">
        <v>20</v>
      </c>
      <c r="M266" s="11">
        <v>237</v>
      </c>
      <c r="N266" s="11">
        <v>220</v>
      </c>
      <c r="O266" s="11">
        <v>17</v>
      </c>
      <c r="P266" s="11" t="s">
        <v>36</v>
      </c>
      <c r="Q266" s="11" t="s">
        <v>36</v>
      </c>
      <c r="R266" s="11">
        <v>242</v>
      </c>
      <c r="S266" s="11">
        <v>269</v>
      </c>
      <c r="T266" s="11" t="s">
        <v>36</v>
      </c>
      <c r="U266" s="11">
        <v>242</v>
      </c>
      <c r="V266" s="11">
        <v>21</v>
      </c>
      <c r="W266" s="11"/>
      <c r="X266" s="11">
        <v>-5</v>
      </c>
      <c r="Y266" s="25" t="s">
        <v>886</v>
      </c>
    </row>
    <row r="267" spans="1:25" ht="14.25" customHeight="1" x14ac:dyDescent="0.25">
      <c r="A267" s="11"/>
      <c r="B267" s="11">
        <v>21</v>
      </c>
      <c r="C267" s="11" t="s">
        <v>148</v>
      </c>
      <c r="D267" s="11"/>
      <c r="E267" s="23"/>
      <c r="F267" s="25" t="s">
        <v>886</v>
      </c>
      <c r="G267" s="11" t="s">
        <v>811</v>
      </c>
      <c r="H267" s="11" t="s">
        <v>155</v>
      </c>
      <c r="I267" s="11" t="s">
        <v>769</v>
      </c>
      <c r="J267" s="11"/>
      <c r="K267" s="11"/>
      <c r="L267" s="11">
        <v>16</v>
      </c>
      <c r="M267" s="11" t="s">
        <v>36</v>
      </c>
      <c r="N267" s="11">
        <v>249</v>
      </c>
      <c r="O267" s="11" t="e">
        <v>#VALUE!</v>
      </c>
      <c r="P267" s="11" t="s">
        <v>36</v>
      </c>
      <c r="Q267" s="11">
        <v>225</v>
      </c>
      <c r="R267" s="11">
        <v>259</v>
      </c>
      <c r="S267" s="11">
        <v>271</v>
      </c>
      <c r="T267" s="11">
        <v>229</v>
      </c>
      <c r="U267" s="11">
        <v>246</v>
      </c>
      <c r="V267" s="11">
        <v>21</v>
      </c>
      <c r="W267" s="11"/>
      <c r="X267" s="11" t="e">
        <v>#VALUE!</v>
      </c>
      <c r="Y267" s="25" t="s">
        <v>886</v>
      </c>
    </row>
    <row r="268" spans="1:25" ht="14.25" customHeight="1" x14ac:dyDescent="0.25">
      <c r="A268" s="11"/>
      <c r="B268" s="11">
        <v>22</v>
      </c>
      <c r="C268" s="11" t="s">
        <v>148</v>
      </c>
      <c r="D268" s="11"/>
      <c r="E268" s="23"/>
      <c r="F268" s="25" t="s">
        <v>886</v>
      </c>
      <c r="G268" s="11" t="s">
        <v>828</v>
      </c>
      <c r="H268" s="11" t="s">
        <v>44</v>
      </c>
      <c r="I268" s="11" t="s">
        <v>764</v>
      </c>
      <c r="J268" s="11"/>
      <c r="K268" s="11"/>
      <c r="L268" s="11">
        <v>16</v>
      </c>
      <c r="M268" s="11" t="s">
        <v>36</v>
      </c>
      <c r="N268" s="11">
        <v>207</v>
      </c>
      <c r="O268" s="11" t="e">
        <v>#VALUE!</v>
      </c>
      <c r="P268" s="11" t="s">
        <v>36</v>
      </c>
      <c r="Q268" s="11" t="s">
        <v>36</v>
      </c>
      <c r="R268" s="11">
        <v>245</v>
      </c>
      <c r="S268" s="11">
        <v>262</v>
      </c>
      <c r="T268" s="11">
        <v>267</v>
      </c>
      <c r="U268" s="11">
        <v>245</v>
      </c>
      <c r="V268" s="11">
        <v>21</v>
      </c>
      <c r="W268" s="11"/>
      <c r="X268" s="11" t="e">
        <v>#VALUE!</v>
      </c>
      <c r="Y268" s="25" t="s">
        <v>886</v>
      </c>
    </row>
    <row r="269" spans="1:25" ht="14.25" customHeight="1" x14ac:dyDescent="0.25">
      <c r="A269" s="11"/>
      <c r="B269" s="11">
        <v>23</v>
      </c>
      <c r="C269" s="11" t="s">
        <v>148</v>
      </c>
      <c r="D269" s="11"/>
      <c r="E269" s="23"/>
      <c r="F269" s="25" t="s">
        <v>886</v>
      </c>
      <c r="G269" s="11" t="s">
        <v>268</v>
      </c>
      <c r="H269" s="11" t="s">
        <v>123</v>
      </c>
      <c r="I269" s="11" t="s">
        <v>764</v>
      </c>
      <c r="J269" s="11"/>
      <c r="K269" s="11"/>
      <c r="L269" s="11">
        <v>21</v>
      </c>
      <c r="M269" s="11">
        <v>241</v>
      </c>
      <c r="N269" s="11">
        <v>195</v>
      </c>
      <c r="O269" s="11">
        <v>46</v>
      </c>
      <c r="P269" s="11" t="s">
        <v>36</v>
      </c>
      <c r="Q269" s="11" t="s">
        <v>36</v>
      </c>
      <c r="R269" s="11">
        <v>218</v>
      </c>
      <c r="S269" s="11">
        <v>252</v>
      </c>
      <c r="T269" s="11">
        <v>335</v>
      </c>
      <c r="U269" s="11">
        <v>248</v>
      </c>
      <c r="V269" s="11">
        <v>21</v>
      </c>
      <c r="W269" s="11"/>
      <c r="X269" s="11">
        <v>-7</v>
      </c>
      <c r="Y269" s="25" t="s">
        <v>886</v>
      </c>
    </row>
    <row r="270" spans="1:25" ht="14.25" customHeight="1" x14ac:dyDescent="0.25">
      <c r="A270" s="11"/>
      <c r="B270" s="11">
        <v>22</v>
      </c>
      <c r="C270" s="11" t="s">
        <v>148</v>
      </c>
      <c r="D270" s="11"/>
      <c r="E270" s="23"/>
      <c r="F270" s="25" t="s">
        <v>886</v>
      </c>
      <c r="G270" s="11" t="s">
        <v>379</v>
      </c>
      <c r="H270" s="11" t="s">
        <v>129</v>
      </c>
      <c r="I270" s="11" t="s">
        <v>769</v>
      </c>
      <c r="J270" s="11"/>
      <c r="K270" s="11"/>
      <c r="L270" s="11">
        <v>16</v>
      </c>
      <c r="M270" s="11" t="s">
        <v>36</v>
      </c>
      <c r="N270" s="11">
        <v>216</v>
      </c>
      <c r="O270" s="11" t="e">
        <v>#VALUE!</v>
      </c>
      <c r="P270" s="11" t="s">
        <v>36</v>
      </c>
      <c r="Q270" s="11" t="s">
        <v>36</v>
      </c>
      <c r="R270" s="11">
        <v>223</v>
      </c>
      <c r="S270" s="11">
        <v>273</v>
      </c>
      <c r="T270" s="11">
        <v>279</v>
      </c>
      <c r="U270" s="11">
        <v>247</v>
      </c>
      <c r="V270" s="11">
        <v>21</v>
      </c>
      <c r="W270" s="11"/>
      <c r="X270" s="11" t="e">
        <v>#VALUE!</v>
      </c>
      <c r="Y270" s="25" t="s">
        <v>886</v>
      </c>
    </row>
    <row r="271" spans="1:25" ht="14.25" customHeight="1" x14ac:dyDescent="0.25">
      <c r="A271" s="11"/>
      <c r="B271" s="11">
        <v>21</v>
      </c>
      <c r="C271" s="11" t="s">
        <v>148</v>
      </c>
      <c r="D271" s="11"/>
      <c r="E271" s="23"/>
      <c r="F271" s="25" t="s">
        <v>886</v>
      </c>
      <c r="G271" s="11" t="s">
        <v>975</v>
      </c>
      <c r="H271" s="11" t="s">
        <v>85</v>
      </c>
      <c r="I271" s="11" t="s">
        <v>769</v>
      </c>
      <c r="J271" s="11"/>
      <c r="K271" s="11"/>
      <c r="L271" s="11">
        <v>16</v>
      </c>
      <c r="M271" s="11" t="s">
        <v>36</v>
      </c>
      <c r="N271" s="11">
        <v>246</v>
      </c>
      <c r="O271" s="11" t="e">
        <v>#VALUE!</v>
      </c>
      <c r="P271" s="11" t="s">
        <v>36</v>
      </c>
      <c r="Q271" s="11">
        <v>233</v>
      </c>
      <c r="R271" s="11">
        <v>249</v>
      </c>
      <c r="S271" s="11">
        <v>276</v>
      </c>
      <c r="T271" s="11">
        <v>240</v>
      </c>
      <c r="U271" s="11">
        <v>248</v>
      </c>
      <c r="V271" s="11">
        <v>21</v>
      </c>
      <c r="W271" s="11"/>
      <c r="X271" s="11" t="e">
        <v>#VALUE!</v>
      </c>
      <c r="Y271" s="25" t="s">
        <v>886</v>
      </c>
    </row>
    <row r="272" spans="1:25" ht="14.25" customHeight="1" x14ac:dyDescent="0.25">
      <c r="A272" s="11"/>
      <c r="B272" s="11">
        <v>23</v>
      </c>
      <c r="C272" s="11" t="s">
        <v>148</v>
      </c>
      <c r="D272" s="11"/>
      <c r="E272" s="23"/>
      <c r="F272" s="25" t="s">
        <v>886</v>
      </c>
      <c r="G272" s="11" t="s">
        <v>827</v>
      </c>
      <c r="H272" s="11" t="s">
        <v>126</v>
      </c>
      <c r="I272" s="11" t="s">
        <v>764</v>
      </c>
      <c r="J272" s="11"/>
      <c r="K272" s="11"/>
      <c r="L272" s="11">
        <v>16</v>
      </c>
      <c r="M272" s="11" t="s">
        <v>36</v>
      </c>
      <c r="N272" s="11">
        <v>188</v>
      </c>
      <c r="O272" s="11" t="e">
        <v>#VALUE!</v>
      </c>
      <c r="P272" s="11" t="s">
        <v>36</v>
      </c>
      <c r="Q272" s="11" t="s">
        <v>36</v>
      </c>
      <c r="R272" s="11">
        <v>237</v>
      </c>
      <c r="S272" s="11">
        <v>268</v>
      </c>
      <c r="T272" s="11">
        <v>311</v>
      </c>
      <c r="U272" s="11">
        <v>251</v>
      </c>
      <c r="V272" s="11">
        <v>21</v>
      </c>
      <c r="W272" s="11"/>
      <c r="X272" s="11" t="e">
        <v>#VALUE!</v>
      </c>
      <c r="Y272" s="25" t="s">
        <v>886</v>
      </c>
    </row>
    <row r="273" spans="1:25" ht="14.25" customHeight="1" x14ac:dyDescent="0.25">
      <c r="A273" s="11"/>
      <c r="B273" s="11">
        <v>21</v>
      </c>
      <c r="C273" s="11" t="s">
        <v>148</v>
      </c>
      <c r="D273" s="11"/>
      <c r="E273" s="23"/>
      <c r="F273" s="25" t="s">
        <v>886</v>
      </c>
      <c r="G273" s="11" t="s">
        <v>495</v>
      </c>
      <c r="H273" s="11" t="s">
        <v>60</v>
      </c>
      <c r="I273" s="11" t="s">
        <v>764</v>
      </c>
      <c r="J273" s="11"/>
      <c r="K273" s="11"/>
      <c r="L273" s="11">
        <v>21</v>
      </c>
      <c r="M273" s="11">
        <v>247</v>
      </c>
      <c r="N273" s="11">
        <v>215</v>
      </c>
      <c r="O273" s="11">
        <v>32</v>
      </c>
      <c r="P273" s="11" t="s">
        <v>36</v>
      </c>
      <c r="Q273" s="11" t="s">
        <v>36</v>
      </c>
      <c r="R273" s="11">
        <v>252</v>
      </c>
      <c r="S273" s="11">
        <v>251</v>
      </c>
      <c r="T273" s="11" t="s">
        <v>36</v>
      </c>
      <c r="U273" s="11">
        <v>241</v>
      </c>
      <c r="V273" s="11">
        <v>21</v>
      </c>
      <c r="W273" s="11"/>
      <c r="X273" s="11">
        <v>6</v>
      </c>
      <c r="Y273" s="25" t="s">
        <v>1053</v>
      </c>
    </row>
    <row r="274" spans="1:25" ht="14.25" customHeight="1" x14ac:dyDescent="0.25">
      <c r="A274" s="11"/>
      <c r="B274" s="11">
        <v>22</v>
      </c>
      <c r="C274" s="11" t="s">
        <v>148</v>
      </c>
      <c r="D274" s="11"/>
      <c r="E274" s="23"/>
      <c r="F274" s="25" t="s">
        <v>886</v>
      </c>
      <c r="G274" s="11" t="s">
        <v>834</v>
      </c>
      <c r="H274" s="11" t="s">
        <v>187</v>
      </c>
      <c r="I274" s="11" t="s">
        <v>760</v>
      </c>
      <c r="J274" s="11"/>
      <c r="K274" s="11"/>
      <c r="L274" s="11">
        <v>16</v>
      </c>
      <c r="M274" s="11" t="s">
        <v>36</v>
      </c>
      <c r="N274" s="11">
        <v>224</v>
      </c>
      <c r="O274" s="11" t="e">
        <v>#VALUE!</v>
      </c>
      <c r="P274" s="11" t="s">
        <v>36</v>
      </c>
      <c r="Q274" s="11">
        <v>249</v>
      </c>
      <c r="R274" s="11">
        <v>251</v>
      </c>
      <c r="S274" s="11">
        <v>283</v>
      </c>
      <c r="T274" s="11">
        <v>261</v>
      </c>
      <c r="U274" s="11">
        <v>253</v>
      </c>
      <c r="V274" s="11">
        <v>22</v>
      </c>
      <c r="W274" s="11"/>
      <c r="X274" s="11" t="e">
        <v>#VALUE!</v>
      </c>
      <c r="Y274" s="25" t="s">
        <v>886</v>
      </c>
    </row>
    <row r="275" spans="1:25" ht="14.25" customHeight="1" x14ac:dyDescent="0.25">
      <c r="A275" s="11"/>
      <c r="B275" s="11">
        <v>23</v>
      </c>
      <c r="C275" s="11" t="s">
        <v>148</v>
      </c>
      <c r="D275" s="11"/>
      <c r="E275" s="23"/>
      <c r="F275" s="25" t="s">
        <v>886</v>
      </c>
      <c r="G275" s="11" t="s">
        <v>358</v>
      </c>
      <c r="H275" s="11" t="s">
        <v>160</v>
      </c>
      <c r="I275" s="11" t="s">
        <v>764</v>
      </c>
      <c r="J275" s="11"/>
      <c r="K275" s="11"/>
      <c r="L275" s="11">
        <v>16</v>
      </c>
      <c r="M275" s="11">
        <v>183</v>
      </c>
      <c r="N275" s="11">
        <v>168</v>
      </c>
      <c r="O275" s="11">
        <v>15</v>
      </c>
      <c r="P275" s="11" t="s">
        <v>36</v>
      </c>
      <c r="Q275" s="11" t="s">
        <v>36</v>
      </c>
      <c r="R275" s="11">
        <v>207</v>
      </c>
      <c r="S275" s="11">
        <v>264</v>
      </c>
      <c r="T275" s="11">
        <v>329</v>
      </c>
      <c r="U275" s="11">
        <v>230</v>
      </c>
      <c r="V275" s="11">
        <v>20</v>
      </c>
      <c r="W275" s="11"/>
      <c r="X275" s="11">
        <v>-47</v>
      </c>
      <c r="Y275" s="25" t="s">
        <v>886</v>
      </c>
    </row>
    <row r="276" spans="1:25" ht="14.25" customHeight="1" x14ac:dyDescent="0.25">
      <c r="A276" s="11"/>
      <c r="B276" s="11">
        <v>23</v>
      </c>
      <c r="C276" s="11" t="s">
        <v>148</v>
      </c>
      <c r="D276" s="11"/>
      <c r="E276" s="23"/>
      <c r="F276" s="25" t="s">
        <v>886</v>
      </c>
      <c r="G276" s="11" t="s">
        <v>990</v>
      </c>
      <c r="H276" s="11" t="s">
        <v>233</v>
      </c>
      <c r="I276" s="11" t="s">
        <v>764</v>
      </c>
      <c r="J276" s="11"/>
      <c r="K276" s="11"/>
      <c r="L276" s="11">
        <v>16</v>
      </c>
      <c r="M276" s="11" t="s">
        <v>36</v>
      </c>
      <c r="N276" s="11">
        <v>238</v>
      </c>
      <c r="O276" s="11" t="e">
        <v>#VALUE!</v>
      </c>
      <c r="P276" s="11" t="s">
        <v>36</v>
      </c>
      <c r="Q276" s="11" t="s">
        <v>36</v>
      </c>
      <c r="R276" s="11">
        <v>262</v>
      </c>
      <c r="S276" s="11">
        <v>274</v>
      </c>
      <c r="T276" s="11">
        <v>277</v>
      </c>
      <c r="U276" s="11">
        <v>262</v>
      </c>
      <c r="V276" s="11">
        <v>22</v>
      </c>
      <c r="W276" s="11"/>
      <c r="X276" s="11" t="e">
        <v>#VALUE!</v>
      </c>
      <c r="Y276" s="25" t="s">
        <v>886</v>
      </c>
    </row>
    <row r="277" spans="1:25" ht="14.25" customHeight="1" x14ac:dyDescent="0.25">
      <c r="A277" s="11"/>
      <c r="B277" s="11">
        <v>23</v>
      </c>
      <c r="C277" s="11" t="s">
        <v>148</v>
      </c>
      <c r="D277" s="11"/>
      <c r="E277" s="23"/>
      <c r="F277" s="25" t="s">
        <v>886</v>
      </c>
      <c r="G277" s="11" t="s">
        <v>994</v>
      </c>
      <c r="H277" s="11" t="s">
        <v>49</v>
      </c>
      <c r="I277" s="11" t="s">
        <v>769</v>
      </c>
      <c r="J277" s="11"/>
      <c r="K277" s="11"/>
      <c r="L277" s="11">
        <v>16</v>
      </c>
      <c r="M277" s="11" t="s">
        <v>36</v>
      </c>
      <c r="N277" s="11">
        <v>242</v>
      </c>
      <c r="O277" s="11" t="e">
        <v>#VALUE!</v>
      </c>
      <c r="P277" s="11" t="s">
        <v>36</v>
      </c>
      <c r="Q277" s="11" t="s">
        <v>36</v>
      </c>
      <c r="R277" s="11">
        <v>241</v>
      </c>
      <c r="S277" s="11">
        <v>270</v>
      </c>
      <c r="T277" s="11">
        <v>282</v>
      </c>
      <c r="U277" s="11">
        <v>258</v>
      </c>
      <c r="V277" s="11">
        <v>22</v>
      </c>
      <c r="W277" s="11"/>
      <c r="X277" s="11" t="e">
        <v>#VALUE!</v>
      </c>
      <c r="Y277" s="25" t="s">
        <v>886</v>
      </c>
    </row>
    <row r="278" spans="1:25" ht="14.25" customHeight="1" x14ac:dyDescent="0.25">
      <c r="A278" s="11"/>
      <c r="B278" s="11">
        <v>24</v>
      </c>
      <c r="C278" s="11" t="s">
        <v>148</v>
      </c>
      <c r="D278" s="11"/>
      <c r="E278" s="23"/>
      <c r="F278" s="25" t="e">
        <v>#N/A</v>
      </c>
      <c r="G278" s="11" t="s">
        <v>1121</v>
      </c>
      <c r="H278" s="11"/>
      <c r="I278" s="11"/>
      <c r="J278" s="11" t="e">
        <v>#N/A</v>
      </c>
      <c r="K278" s="11" t="e">
        <v>#N/A</v>
      </c>
      <c r="L278" s="11">
        <v>16</v>
      </c>
      <c r="M278" s="11" t="s">
        <v>36</v>
      </c>
      <c r="N278" s="11">
        <v>225</v>
      </c>
      <c r="O278" s="11" t="e">
        <v>#VALUE!</v>
      </c>
      <c r="P278" s="11" t="s">
        <v>36</v>
      </c>
      <c r="Q278" s="11">
        <v>271</v>
      </c>
      <c r="R278" s="11">
        <v>284</v>
      </c>
      <c r="S278" s="11" t="s">
        <v>36</v>
      </c>
      <c r="T278" s="11" t="s">
        <v>36</v>
      </c>
      <c r="U278" s="11">
        <v>260</v>
      </c>
      <c r="V278" s="11">
        <v>22</v>
      </c>
      <c r="W278" s="11"/>
      <c r="X278" s="11" t="e">
        <v>#N/A</v>
      </c>
      <c r="Y278" s="25" t="e">
        <v>#N/A</v>
      </c>
    </row>
    <row r="279" spans="1:25" ht="14.25" customHeight="1" x14ac:dyDescent="0.25">
      <c r="A279" s="11"/>
      <c r="B279" s="11"/>
      <c r="C279" s="11" t="s">
        <v>148</v>
      </c>
      <c r="D279" s="11"/>
      <c r="E279" s="23"/>
      <c r="F279" s="25" t="s">
        <v>886</v>
      </c>
      <c r="G279" s="11" t="s">
        <v>372</v>
      </c>
      <c r="H279" s="11" t="s">
        <v>129</v>
      </c>
      <c r="I279" s="11" t="s">
        <v>760</v>
      </c>
      <c r="J279" s="11"/>
      <c r="K279" s="11"/>
      <c r="L279" s="11">
        <v>16</v>
      </c>
      <c r="M279" s="11" t="s">
        <v>36</v>
      </c>
      <c r="N279" s="11">
        <v>264</v>
      </c>
      <c r="O279" s="11" t="e">
        <v>#VALUE!</v>
      </c>
      <c r="P279" s="11" t="s">
        <v>36</v>
      </c>
      <c r="Q279" s="11" t="s">
        <v>36</v>
      </c>
      <c r="R279" s="11">
        <v>274</v>
      </c>
      <c r="S279" s="11">
        <v>275</v>
      </c>
      <c r="T279" s="11" t="s">
        <v>36</v>
      </c>
      <c r="U279" s="11">
        <v>271</v>
      </c>
      <c r="V279" s="11">
        <v>23</v>
      </c>
      <c r="W279" s="11"/>
      <c r="X279" s="11" t="e">
        <v>#VALUE!</v>
      </c>
      <c r="Y279" s="25" t="s">
        <v>886</v>
      </c>
    </row>
    <row r="280" spans="1:25" ht="14.25" customHeight="1" x14ac:dyDescent="0.25">
      <c r="A280" s="11"/>
      <c r="B280" s="11">
        <v>22</v>
      </c>
      <c r="C280" s="11" t="s">
        <v>148</v>
      </c>
      <c r="D280" s="11"/>
      <c r="E280" s="23"/>
      <c r="F280" s="25" t="s">
        <v>148</v>
      </c>
      <c r="G280" s="11" t="s">
        <v>596</v>
      </c>
      <c r="H280" s="11" t="s">
        <v>116</v>
      </c>
      <c r="I280" s="11" t="s">
        <v>764</v>
      </c>
      <c r="J280" s="11" t="s">
        <v>912</v>
      </c>
      <c r="K280" s="11">
        <v>64</v>
      </c>
      <c r="L280" s="11">
        <v>21</v>
      </c>
      <c r="M280" s="11">
        <v>248</v>
      </c>
      <c r="N280" s="11">
        <v>208</v>
      </c>
      <c r="O280" s="11">
        <v>40</v>
      </c>
      <c r="P280" s="11" t="s">
        <v>36</v>
      </c>
      <c r="Q280" s="11" t="s">
        <v>36</v>
      </c>
      <c r="R280" s="11">
        <v>270</v>
      </c>
      <c r="S280" s="11">
        <v>253</v>
      </c>
      <c r="T280" s="11" t="s">
        <v>36</v>
      </c>
      <c r="U280" s="11">
        <v>244</v>
      </c>
      <c r="V280" s="11">
        <v>21</v>
      </c>
      <c r="W280" s="11"/>
      <c r="X280" s="11">
        <v>4</v>
      </c>
      <c r="Y280" s="25" t="s">
        <v>1107</v>
      </c>
    </row>
    <row r="281" spans="1:25" ht="14.25" customHeight="1" x14ac:dyDescent="0.25">
      <c r="A281" s="11"/>
      <c r="B281" s="11">
        <v>25</v>
      </c>
      <c r="C281" s="11" t="s">
        <v>148</v>
      </c>
      <c r="D281" s="11"/>
      <c r="E281" s="23"/>
      <c r="F281" s="25" t="e">
        <v>#N/A</v>
      </c>
      <c r="G281" s="11" t="s">
        <v>820</v>
      </c>
      <c r="H281" s="11"/>
      <c r="I281" s="11"/>
      <c r="J281" s="11" t="e">
        <v>#N/A</v>
      </c>
      <c r="K281" s="11" t="e">
        <v>#N/A</v>
      </c>
      <c r="L281" s="11">
        <v>16</v>
      </c>
      <c r="M281" s="11" t="s">
        <v>36</v>
      </c>
      <c r="N281" s="11">
        <v>269</v>
      </c>
      <c r="O281" s="11" t="e">
        <v>#VALUE!</v>
      </c>
      <c r="P281" s="11" t="s">
        <v>36</v>
      </c>
      <c r="Q281" s="11" t="s">
        <v>36</v>
      </c>
      <c r="R281" s="11">
        <v>276</v>
      </c>
      <c r="S281" s="11" t="s">
        <v>36</v>
      </c>
      <c r="T281" s="11">
        <v>317</v>
      </c>
      <c r="U281" s="11">
        <v>287</v>
      </c>
      <c r="V281" s="11">
        <v>24</v>
      </c>
      <c r="W281" s="11"/>
      <c r="X281" s="11" t="e">
        <v>#N/A</v>
      </c>
      <c r="Y281" s="25" t="e">
        <v>#N/A</v>
      </c>
    </row>
    <row r="282" spans="1:25" ht="14.25" customHeight="1" x14ac:dyDescent="0.25">
      <c r="A282" s="11"/>
      <c r="B282" s="11">
        <v>23</v>
      </c>
      <c r="C282" s="11" t="s">
        <v>148</v>
      </c>
      <c r="D282" s="11"/>
      <c r="E282" s="23"/>
      <c r="F282" s="25" t="s">
        <v>148</v>
      </c>
      <c r="G282" s="11" t="s">
        <v>833</v>
      </c>
      <c r="H282" s="11" t="s">
        <v>129</v>
      </c>
      <c r="I282" s="11" t="s">
        <v>762</v>
      </c>
      <c r="J282" s="11" t="s">
        <v>1042</v>
      </c>
      <c r="K282" s="11">
        <v>58</v>
      </c>
      <c r="L282" s="11">
        <v>16</v>
      </c>
      <c r="M282" s="11" t="s">
        <v>36</v>
      </c>
      <c r="N282" s="11">
        <v>282</v>
      </c>
      <c r="O282" s="11" t="e">
        <v>#VALUE!</v>
      </c>
      <c r="P282" s="11" t="s">
        <v>36</v>
      </c>
      <c r="Q282" s="11" t="s">
        <v>36</v>
      </c>
      <c r="R282" s="11">
        <v>299</v>
      </c>
      <c r="S282" s="11">
        <v>249</v>
      </c>
      <c r="T282" s="11" t="s">
        <v>36</v>
      </c>
      <c r="U282" s="11">
        <v>276</v>
      </c>
      <c r="V282" s="11">
        <v>24</v>
      </c>
      <c r="W282" s="11"/>
      <c r="X282" s="11" t="e">
        <v>#VALUE!</v>
      </c>
      <c r="Y282" s="25" t="s">
        <v>1116</v>
      </c>
    </row>
    <row r="283" spans="1:25" ht="14.25" customHeight="1" x14ac:dyDescent="0.25">
      <c r="A283" s="11"/>
      <c r="B283" s="11">
        <v>24</v>
      </c>
      <c r="C283" s="11" t="s">
        <v>148</v>
      </c>
      <c r="D283" s="11"/>
      <c r="E283" s="23"/>
      <c r="F283" s="25" t="s">
        <v>886</v>
      </c>
      <c r="G283" s="11" t="s">
        <v>948</v>
      </c>
      <c r="H283" s="11" t="s">
        <v>85</v>
      </c>
      <c r="I283" s="11" t="s">
        <v>762</v>
      </c>
      <c r="J283" s="11"/>
      <c r="K283" s="11"/>
      <c r="L283" s="11">
        <v>16</v>
      </c>
      <c r="M283" s="11" t="s">
        <v>36</v>
      </c>
      <c r="N283" s="11">
        <v>300</v>
      </c>
      <c r="O283" s="11" t="e">
        <v>#VALUE!</v>
      </c>
      <c r="P283" s="11" t="s">
        <v>36</v>
      </c>
      <c r="Q283" s="11" t="s">
        <v>36</v>
      </c>
      <c r="R283" s="11">
        <v>293</v>
      </c>
      <c r="S283" s="11">
        <v>287</v>
      </c>
      <c r="T283" s="11">
        <v>252</v>
      </c>
      <c r="U283" s="11">
        <v>283</v>
      </c>
      <c r="V283" s="11">
        <v>24</v>
      </c>
      <c r="W283" s="11"/>
      <c r="X283" s="11" t="e">
        <v>#VALUE!</v>
      </c>
      <c r="Y283" s="25" t="s">
        <v>886</v>
      </c>
    </row>
    <row r="284" spans="1:25" ht="14.25" customHeight="1" x14ac:dyDescent="0.25">
      <c r="A284" s="11"/>
      <c r="B284" s="11">
        <v>26</v>
      </c>
      <c r="C284" s="11" t="s">
        <v>148</v>
      </c>
      <c r="D284" s="11"/>
      <c r="E284" s="23"/>
      <c r="F284" s="25" t="s">
        <v>886</v>
      </c>
      <c r="G284" s="11" t="s">
        <v>1117</v>
      </c>
      <c r="H284" s="11" t="s">
        <v>39</v>
      </c>
      <c r="I284" s="11" t="s">
        <v>764</v>
      </c>
      <c r="J284" s="11"/>
      <c r="K284" s="11"/>
      <c r="L284" s="11">
        <v>16</v>
      </c>
      <c r="M284" s="11" t="s">
        <v>36</v>
      </c>
      <c r="N284" s="11">
        <v>229</v>
      </c>
      <c r="O284" s="11" t="e">
        <v>#VALUE!</v>
      </c>
      <c r="P284" s="11" t="s">
        <v>36</v>
      </c>
      <c r="Q284" s="11" t="s">
        <v>36</v>
      </c>
      <c r="R284" s="11">
        <v>263</v>
      </c>
      <c r="S284" s="11" t="s">
        <v>36</v>
      </c>
      <c r="T284" s="11">
        <v>345</v>
      </c>
      <c r="U284" s="11">
        <v>279</v>
      </c>
      <c r="V284" s="11">
        <v>24</v>
      </c>
      <c r="W284" s="11"/>
      <c r="X284" s="11" t="e">
        <v>#VALUE!</v>
      </c>
      <c r="Y284" s="25" t="s">
        <v>886</v>
      </c>
    </row>
    <row r="285" spans="1:25" ht="14.25" customHeight="1" x14ac:dyDescent="0.25">
      <c r="A285" s="11"/>
      <c r="B285" s="11">
        <v>25</v>
      </c>
      <c r="C285" s="11" t="s">
        <v>148</v>
      </c>
      <c r="D285" s="11"/>
      <c r="E285" s="23"/>
      <c r="F285" s="25" t="s">
        <v>886</v>
      </c>
      <c r="G285" s="11" t="s">
        <v>1118</v>
      </c>
      <c r="H285" s="11" t="s">
        <v>52</v>
      </c>
      <c r="I285" s="11" t="s">
        <v>760</v>
      </c>
      <c r="J285" s="11"/>
      <c r="K285" s="11"/>
      <c r="L285" s="11">
        <v>16</v>
      </c>
      <c r="M285" s="11" t="s">
        <v>36</v>
      </c>
      <c r="N285" s="11">
        <v>257</v>
      </c>
      <c r="O285" s="11" t="e">
        <v>#VALUE!</v>
      </c>
      <c r="P285" s="11" t="s">
        <v>36</v>
      </c>
      <c r="Q285" s="11">
        <v>279</v>
      </c>
      <c r="R285" s="11">
        <v>295</v>
      </c>
      <c r="S285" s="11">
        <v>278</v>
      </c>
      <c r="T285" s="11">
        <v>305</v>
      </c>
      <c r="U285" s="11">
        <v>282</v>
      </c>
      <c r="V285" s="11">
        <v>24</v>
      </c>
      <c r="W285" s="11"/>
      <c r="X285" s="11" t="e">
        <v>#VALUE!</v>
      </c>
      <c r="Y285" s="25" t="s">
        <v>886</v>
      </c>
    </row>
    <row r="286" spans="1:25" ht="14.25" customHeight="1" x14ac:dyDescent="0.25">
      <c r="A286" s="11"/>
      <c r="B286" s="11" t="e">
        <v>#N/A</v>
      </c>
      <c r="C286" s="11" t="s">
        <v>148</v>
      </c>
      <c r="D286" s="11"/>
      <c r="E286" s="23"/>
      <c r="F286" s="25" t="s">
        <v>886</v>
      </c>
      <c r="G286" s="11" t="s">
        <v>897</v>
      </c>
      <c r="H286" s="11" t="e">
        <v>#N/A</v>
      </c>
      <c r="I286" s="11" t="e">
        <v>#N/A</v>
      </c>
      <c r="J286" s="11"/>
      <c r="K286" s="11"/>
      <c r="L286" s="11">
        <v>16</v>
      </c>
      <c r="M286" s="11" t="e">
        <v>#N/A</v>
      </c>
      <c r="N286" s="11" t="e">
        <v>#N/A</v>
      </c>
      <c r="O286" s="11" t="e">
        <v>#N/A</v>
      </c>
      <c r="P286" s="11" t="e">
        <v>#N/A</v>
      </c>
      <c r="Q286" s="11" t="e">
        <v>#N/A</v>
      </c>
      <c r="R286" s="11" t="e">
        <v>#N/A</v>
      </c>
      <c r="S286" s="11" t="e">
        <v>#N/A</v>
      </c>
      <c r="T286" s="11" t="e">
        <v>#N/A</v>
      </c>
      <c r="U286" s="11" t="e">
        <v>#N/A</v>
      </c>
      <c r="V286" s="11">
        <v>16</v>
      </c>
      <c r="W286" s="11"/>
      <c r="X286" s="11" t="e">
        <v>#N/A</v>
      </c>
      <c r="Y286" s="25" t="s">
        <v>886</v>
      </c>
    </row>
    <row r="287" spans="1:25" ht="14.25" customHeight="1" x14ac:dyDescent="0.25">
      <c r="A287" s="11"/>
      <c r="B287" s="11"/>
      <c r="C287" s="11" t="s">
        <v>148</v>
      </c>
      <c r="D287" s="11"/>
      <c r="E287" s="23"/>
      <c r="F287" s="25" t="s">
        <v>886</v>
      </c>
      <c r="G287" s="11" t="s">
        <v>627</v>
      </c>
      <c r="H287" s="11"/>
      <c r="I287" s="11"/>
      <c r="J287" s="11"/>
      <c r="K287" s="11"/>
      <c r="L287" s="11">
        <v>16</v>
      </c>
      <c r="M287" s="11" t="s">
        <v>36</v>
      </c>
      <c r="N287" s="11">
        <v>327</v>
      </c>
      <c r="O287" s="11" t="e">
        <v>#VALUE!</v>
      </c>
      <c r="P287" s="11" t="s">
        <v>36</v>
      </c>
      <c r="Q287" s="11">
        <v>231</v>
      </c>
      <c r="R287" s="11">
        <v>312</v>
      </c>
      <c r="S287" s="11" t="s">
        <v>36</v>
      </c>
      <c r="T287" s="11">
        <v>281</v>
      </c>
      <c r="U287" s="11">
        <v>287</v>
      </c>
      <c r="V287" s="11">
        <v>24</v>
      </c>
      <c r="W287" s="11"/>
      <c r="X287" s="11" t="e">
        <v>#VALUE!</v>
      </c>
      <c r="Y287" s="25" t="s">
        <v>886</v>
      </c>
    </row>
    <row r="288" spans="1:25" ht="14.25" customHeight="1" x14ac:dyDescent="0.25">
      <c r="A288" s="11"/>
      <c r="B288" s="11">
        <v>27</v>
      </c>
      <c r="C288" s="11" t="s">
        <v>148</v>
      </c>
      <c r="D288" s="11"/>
      <c r="E288" s="23"/>
      <c r="F288" s="25" t="s">
        <v>886</v>
      </c>
      <c r="G288" s="11" t="s">
        <v>1119</v>
      </c>
      <c r="H288" s="11" t="s">
        <v>49</v>
      </c>
      <c r="I288" s="11" t="s">
        <v>764</v>
      </c>
      <c r="J288" s="11"/>
      <c r="K288" s="11"/>
      <c r="L288" s="11">
        <v>16</v>
      </c>
      <c r="M288" s="11" t="s">
        <v>36</v>
      </c>
      <c r="N288" s="11">
        <v>243</v>
      </c>
      <c r="O288" s="11" t="e">
        <v>#VALUE!</v>
      </c>
      <c r="P288" s="11" t="s">
        <v>36</v>
      </c>
      <c r="Q288" s="11" t="s">
        <v>36</v>
      </c>
      <c r="R288" s="11">
        <v>288</v>
      </c>
      <c r="S288" s="11" t="s">
        <v>36</v>
      </c>
      <c r="T288" s="11">
        <v>337</v>
      </c>
      <c r="U288" s="11">
        <v>289</v>
      </c>
      <c r="V288" s="11">
        <v>25</v>
      </c>
      <c r="W288" s="11"/>
      <c r="X288" s="11" t="e">
        <v>#VALUE!</v>
      </c>
      <c r="Y288" s="25" t="s">
        <v>886</v>
      </c>
    </row>
    <row r="289" spans="1:25" ht="14.25" customHeight="1" x14ac:dyDescent="0.25">
      <c r="A289" s="11"/>
      <c r="B289" s="11" t="e">
        <v>#N/A</v>
      </c>
      <c r="C289" s="11" t="s">
        <v>148</v>
      </c>
      <c r="D289" s="11"/>
      <c r="E289" s="23"/>
      <c r="F289" s="25" t="s">
        <v>886</v>
      </c>
      <c r="G289" s="11" t="s">
        <v>491</v>
      </c>
      <c r="H289" s="11" t="e">
        <v>#N/A</v>
      </c>
      <c r="I289" s="11" t="e">
        <v>#N/A</v>
      </c>
      <c r="J289" s="11"/>
      <c r="K289" s="11"/>
      <c r="L289" s="11">
        <v>16</v>
      </c>
      <c r="M289" s="11" t="e">
        <v>#N/A</v>
      </c>
      <c r="N289" s="11" t="e">
        <v>#N/A</v>
      </c>
      <c r="O289" s="11" t="e">
        <v>#N/A</v>
      </c>
      <c r="P289" s="11" t="e">
        <v>#N/A</v>
      </c>
      <c r="Q289" s="11" t="e">
        <v>#N/A</v>
      </c>
      <c r="R289" s="11" t="e">
        <v>#N/A</v>
      </c>
      <c r="S289" s="11" t="e">
        <v>#N/A</v>
      </c>
      <c r="T289" s="11" t="e">
        <v>#N/A</v>
      </c>
      <c r="U289" s="11" t="e">
        <v>#N/A</v>
      </c>
      <c r="V289" s="11">
        <v>16</v>
      </c>
      <c r="W289" s="11"/>
      <c r="X289" s="11" t="e">
        <v>#N/A</v>
      </c>
      <c r="Y289" s="25" t="s">
        <v>1052</v>
      </c>
    </row>
    <row r="290" spans="1:25" ht="14.25" customHeight="1" x14ac:dyDescent="0.25">
      <c r="A290" s="11"/>
      <c r="B290" s="11" t="e">
        <v>#N/A</v>
      </c>
      <c r="C290" s="11" t="s">
        <v>148</v>
      </c>
      <c r="D290" s="11"/>
      <c r="E290" s="23"/>
      <c r="F290" s="25" t="s">
        <v>886</v>
      </c>
      <c r="G290" s="11" t="s">
        <v>444</v>
      </c>
      <c r="H290" s="11" t="e">
        <v>#N/A</v>
      </c>
      <c r="I290" s="11" t="e">
        <v>#N/A</v>
      </c>
      <c r="J290" s="11"/>
      <c r="K290" s="11"/>
      <c r="L290" s="11">
        <v>16</v>
      </c>
      <c r="M290" s="11" t="e">
        <v>#N/A</v>
      </c>
      <c r="N290" s="11" t="e">
        <v>#N/A</v>
      </c>
      <c r="O290" s="11" t="e">
        <v>#N/A</v>
      </c>
      <c r="P290" s="11" t="e">
        <v>#N/A</v>
      </c>
      <c r="Q290" s="11" t="e">
        <v>#N/A</v>
      </c>
      <c r="R290" s="11" t="e">
        <v>#N/A</v>
      </c>
      <c r="S290" s="11" t="e">
        <v>#N/A</v>
      </c>
      <c r="T290" s="11" t="e">
        <v>#N/A</v>
      </c>
      <c r="U290" s="11" t="e">
        <v>#N/A</v>
      </c>
      <c r="V290" s="11">
        <v>16</v>
      </c>
      <c r="W290" s="11"/>
      <c r="X290" s="11" t="e">
        <v>#N/A</v>
      </c>
      <c r="Y290" s="25" t="s">
        <v>886</v>
      </c>
    </row>
    <row r="291" spans="1:25" ht="14.25" customHeight="1" x14ac:dyDescent="0.25">
      <c r="A291" s="11"/>
      <c r="B291" s="11"/>
      <c r="C291" s="11" t="s">
        <v>148</v>
      </c>
      <c r="D291" s="11"/>
      <c r="E291" s="23"/>
      <c r="F291" s="25" t="s">
        <v>886</v>
      </c>
      <c r="G291" s="11" t="s">
        <v>923</v>
      </c>
      <c r="H291" s="11" t="s">
        <v>88</v>
      </c>
      <c r="I291" s="11" t="s">
        <v>769</v>
      </c>
      <c r="J291" s="11"/>
      <c r="K291" s="11"/>
      <c r="L291" s="11">
        <v>16</v>
      </c>
      <c r="M291" s="11" t="s">
        <v>36</v>
      </c>
      <c r="N291" s="11">
        <v>284</v>
      </c>
      <c r="O291" s="11" t="e">
        <v>#VALUE!</v>
      </c>
      <c r="P291" s="11" t="s">
        <v>36</v>
      </c>
      <c r="Q291" s="11">
        <v>326</v>
      </c>
      <c r="R291" s="11">
        <v>291</v>
      </c>
      <c r="S291" s="11">
        <v>311</v>
      </c>
      <c r="T291" s="11">
        <v>262</v>
      </c>
      <c r="U291" s="11">
        <v>294</v>
      </c>
      <c r="V291" s="11">
        <v>25</v>
      </c>
      <c r="W291" s="11"/>
      <c r="X291" s="11" t="e">
        <v>#VALUE!</v>
      </c>
      <c r="Y291" s="25" t="s">
        <v>886</v>
      </c>
    </row>
    <row r="292" spans="1:25" ht="14.25" customHeight="1" x14ac:dyDescent="0.25">
      <c r="A292" s="11"/>
      <c r="B292" s="11">
        <v>26</v>
      </c>
      <c r="C292" s="11" t="s">
        <v>148</v>
      </c>
      <c r="D292" s="11"/>
      <c r="E292" s="23"/>
      <c r="F292" s="25" t="s">
        <v>886</v>
      </c>
      <c r="G292" s="11" t="s">
        <v>493</v>
      </c>
      <c r="H292" s="11" t="s">
        <v>214</v>
      </c>
      <c r="I292" s="11" t="s">
        <v>764</v>
      </c>
      <c r="J292" s="11"/>
      <c r="K292" s="11"/>
      <c r="L292" s="11">
        <v>16</v>
      </c>
      <c r="M292" s="11" t="s">
        <v>36</v>
      </c>
      <c r="N292" s="11">
        <v>228</v>
      </c>
      <c r="O292" s="11" t="e">
        <v>#VALUE!</v>
      </c>
      <c r="P292" s="11" t="s">
        <v>36</v>
      </c>
      <c r="Q292" s="11" t="s">
        <v>36</v>
      </c>
      <c r="R292" s="11">
        <v>322</v>
      </c>
      <c r="S292" s="11">
        <v>284</v>
      </c>
      <c r="T292" s="11">
        <v>326</v>
      </c>
      <c r="U292" s="11">
        <v>290</v>
      </c>
      <c r="V292" s="11">
        <v>25</v>
      </c>
      <c r="W292" s="11"/>
      <c r="X292" s="11" t="e">
        <v>#VALUE!</v>
      </c>
      <c r="Y292" s="25" t="s">
        <v>886</v>
      </c>
    </row>
    <row r="293" spans="1:25" ht="14.25" customHeight="1" x14ac:dyDescent="0.25">
      <c r="A293" s="11"/>
      <c r="B293" s="11">
        <v>27</v>
      </c>
      <c r="C293" s="11" t="s">
        <v>148</v>
      </c>
      <c r="D293" s="11"/>
      <c r="E293" s="23"/>
      <c r="F293" s="25" t="s">
        <v>886</v>
      </c>
      <c r="G293" s="11" t="s">
        <v>941</v>
      </c>
      <c r="H293" s="11" t="s">
        <v>69</v>
      </c>
      <c r="I293" s="11" t="s">
        <v>764</v>
      </c>
      <c r="J293" s="11"/>
      <c r="K293" s="11"/>
      <c r="L293" s="11">
        <v>16</v>
      </c>
      <c r="M293" s="11" t="s">
        <v>36</v>
      </c>
      <c r="N293" s="11">
        <v>260</v>
      </c>
      <c r="O293" s="11" t="e">
        <v>#VALUE!</v>
      </c>
      <c r="P293" s="11" t="s">
        <v>36</v>
      </c>
      <c r="Q293" s="11" t="s">
        <v>36</v>
      </c>
      <c r="R293" s="11">
        <v>340</v>
      </c>
      <c r="S293" s="11">
        <v>319</v>
      </c>
      <c r="T293" s="11">
        <v>284</v>
      </c>
      <c r="U293" s="11">
        <v>300</v>
      </c>
      <c r="V293" s="11">
        <v>26</v>
      </c>
      <c r="W293" s="11"/>
      <c r="X293" s="11" t="e">
        <v>#VALUE!</v>
      </c>
      <c r="Y293" s="25" t="s">
        <v>886</v>
      </c>
    </row>
    <row r="294" spans="1:25" ht="14.25" customHeight="1" x14ac:dyDescent="0.25">
      <c r="A294" s="11"/>
      <c r="B294" s="11" t="e">
        <v>#N/A</v>
      </c>
      <c r="C294" s="11" t="s">
        <v>148</v>
      </c>
      <c r="D294" s="11"/>
      <c r="E294" s="23"/>
      <c r="F294" s="25" t="s">
        <v>886</v>
      </c>
      <c r="G294" s="11" t="s">
        <v>918</v>
      </c>
      <c r="H294" s="11" t="e">
        <v>#N/A</v>
      </c>
      <c r="I294" s="11" t="e">
        <v>#N/A</v>
      </c>
      <c r="J294" s="11"/>
      <c r="K294" s="11"/>
      <c r="L294" s="11">
        <v>16</v>
      </c>
      <c r="M294" s="11" t="e">
        <v>#N/A</v>
      </c>
      <c r="N294" s="11" t="e">
        <v>#N/A</v>
      </c>
      <c r="O294" s="11" t="e">
        <v>#N/A</v>
      </c>
      <c r="P294" s="11" t="e">
        <v>#N/A</v>
      </c>
      <c r="Q294" s="11" t="e">
        <v>#N/A</v>
      </c>
      <c r="R294" s="11" t="e">
        <v>#N/A</v>
      </c>
      <c r="S294" s="11" t="e">
        <v>#N/A</v>
      </c>
      <c r="T294" s="11" t="e">
        <v>#N/A</v>
      </c>
      <c r="U294" s="11" t="e">
        <v>#N/A</v>
      </c>
      <c r="V294" s="11">
        <v>16</v>
      </c>
      <c r="W294" s="11"/>
      <c r="X294" s="11" t="e">
        <v>#N/A</v>
      </c>
      <c r="Y294" s="25" t="s">
        <v>886</v>
      </c>
    </row>
    <row r="295" spans="1:25" ht="14.25" customHeight="1" x14ac:dyDescent="0.25">
      <c r="A295" s="11"/>
      <c r="B295" s="11" t="e">
        <v>#N/A</v>
      </c>
      <c r="C295" s="11" t="s">
        <v>148</v>
      </c>
      <c r="D295" s="11"/>
      <c r="E295" s="23"/>
      <c r="F295" s="25" t="s">
        <v>886</v>
      </c>
      <c r="G295" s="11" t="s">
        <v>631</v>
      </c>
      <c r="H295" s="11" t="e">
        <v>#N/A</v>
      </c>
      <c r="I295" s="11" t="e">
        <v>#N/A</v>
      </c>
      <c r="J295" s="11"/>
      <c r="K295" s="11"/>
      <c r="L295" s="11">
        <v>16</v>
      </c>
      <c r="M295" s="11" t="e">
        <v>#N/A</v>
      </c>
      <c r="N295" s="11" t="e">
        <v>#N/A</v>
      </c>
      <c r="O295" s="11" t="e">
        <v>#N/A</v>
      </c>
      <c r="P295" s="11" t="e">
        <v>#N/A</v>
      </c>
      <c r="Q295" s="11" t="e">
        <v>#N/A</v>
      </c>
      <c r="R295" s="11" t="e">
        <v>#N/A</v>
      </c>
      <c r="S295" s="11" t="e">
        <v>#N/A</v>
      </c>
      <c r="T295" s="11" t="e">
        <v>#N/A</v>
      </c>
      <c r="U295" s="11" t="e">
        <v>#N/A</v>
      </c>
      <c r="V295" s="11">
        <v>16</v>
      </c>
      <c r="W295" s="11"/>
      <c r="X295" s="11" t="e">
        <v>#N/A</v>
      </c>
      <c r="Y295" s="25" t="s">
        <v>886</v>
      </c>
    </row>
    <row r="296" spans="1:25" ht="14.25" customHeight="1" x14ac:dyDescent="0.25">
      <c r="A296" s="11"/>
      <c r="B296" s="11" t="e">
        <v>#N/A</v>
      </c>
      <c r="C296" s="11" t="s">
        <v>148</v>
      </c>
      <c r="D296" s="11"/>
      <c r="E296" s="23"/>
      <c r="F296" s="25" t="s">
        <v>886</v>
      </c>
      <c r="G296" s="11" t="s">
        <v>1113</v>
      </c>
      <c r="H296" s="11" t="e">
        <v>#N/A</v>
      </c>
      <c r="I296" s="11" t="e">
        <v>#N/A</v>
      </c>
      <c r="J296" s="11"/>
      <c r="K296" s="11"/>
      <c r="L296" s="11">
        <v>16</v>
      </c>
      <c r="M296" s="11" t="e">
        <v>#N/A</v>
      </c>
      <c r="N296" s="11" t="e">
        <v>#N/A</v>
      </c>
      <c r="O296" s="11" t="e">
        <v>#N/A</v>
      </c>
      <c r="P296" s="11" t="e">
        <v>#N/A</v>
      </c>
      <c r="Q296" s="11" t="e">
        <v>#N/A</v>
      </c>
      <c r="R296" s="11" t="e">
        <v>#N/A</v>
      </c>
      <c r="S296" s="11" t="e">
        <v>#N/A</v>
      </c>
      <c r="T296" s="11" t="e">
        <v>#N/A</v>
      </c>
      <c r="U296" s="11" t="e">
        <v>#N/A</v>
      </c>
      <c r="V296" s="11">
        <v>16</v>
      </c>
      <c r="W296" s="11"/>
      <c r="X296" s="11" t="e">
        <v>#N/A</v>
      </c>
      <c r="Y296" s="25" t="s">
        <v>1114</v>
      </c>
    </row>
    <row r="297" spans="1:25" ht="14.25" customHeight="1" x14ac:dyDescent="0.25">
      <c r="A297" s="11"/>
      <c r="B297" s="11" t="e">
        <v>#N/A</v>
      </c>
      <c r="C297" s="11" t="s">
        <v>148</v>
      </c>
      <c r="D297" s="11"/>
      <c r="E297" s="23"/>
      <c r="F297" s="25" t="s">
        <v>886</v>
      </c>
      <c r="G297" s="11" t="s">
        <v>932</v>
      </c>
      <c r="H297" s="11" t="e">
        <v>#N/A</v>
      </c>
      <c r="I297" s="11" t="e">
        <v>#N/A</v>
      </c>
      <c r="J297" s="11"/>
      <c r="K297" s="11"/>
      <c r="L297" s="11">
        <v>16</v>
      </c>
      <c r="M297" s="11" t="e">
        <v>#N/A</v>
      </c>
      <c r="N297" s="11" t="e">
        <v>#N/A</v>
      </c>
      <c r="O297" s="11" t="e">
        <v>#N/A</v>
      </c>
      <c r="P297" s="11" t="e">
        <v>#N/A</v>
      </c>
      <c r="Q297" s="11" t="e">
        <v>#N/A</v>
      </c>
      <c r="R297" s="11" t="e">
        <v>#N/A</v>
      </c>
      <c r="S297" s="11" t="e">
        <v>#N/A</v>
      </c>
      <c r="T297" s="11" t="e">
        <v>#N/A</v>
      </c>
      <c r="U297" s="11" t="e">
        <v>#N/A</v>
      </c>
      <c r="V297" s="11">
        <v>16</v>
      </c>
      <c r="W297" s="11"/>
      <c r="X297" s="11" t="e">
        <v>#N/A</v>
      </c>
      <c r="Y297" s="25" t="s">
        <v>886</v>
      </c>
    </row>
    <row r="298" spans="1:25" ht="14.25" customHeight="1" x14ac:dyDescent="0.25">
      <c r="A298" s="11"/>
      <c r="B298" s="11" t="e">
        <v>#N/A</v>
      </c>
      <c r="C298" s="11" t="s">
        <v>148</v>
      </c>
      <c r="D298" s="11"/>
      <c r="E298" s="23"/>
      <c r="F298" s="25" t="s">
        <v>886</v>
      </c>
      <c r="G298" s="11" t="s">
        <v>971</v>
      </c>
      <c r="H298" s="11" t="e">
        <v>#N/A</v>
      </c>
      <c r="I298" s="11" t="e">
        <v>#N/A</v>
      </c>
      <c r="J298" s="11"/>
      <c r="K298" s="11"/>
      <c r="L298" s="11">
        <v>16</v>
      </c>
      <c r="M298" s="11" t="e">
        <v>#N/A</v>
      </c>
      <c r="N298" s="11" t="e">
        <v>#N/A</v>
      </c>
      <c r="O298" s="11" t="e">
        <v>#N/A</v>
      </c>
      <c r="P298" s="11" t="e">
        <v>#N/A</v>
      </c>
      <c r="Q298" s="11" t="e">
        <v>#N/A</v>
      </c>
      <c r="R298" s="11" t="e">
        <v>#N/A</v>
      </c>
      <c r="S298" s="11" t="e">
        <v>#N/A</v>
      </c>
      <c r="T298" s="11" t="e">
        <v>#N/A</v>
      </c>
      <c r="U298" s="11" t="e">
        <v>#N/A</v>
      </c>
      <c r="V298" s="11">
        <v>16</v>
      </c>
      <c r="W298" s="11"/>
      <c r="X298" s="11" t="e">
        <v>#N/A</v>
      </c>
      <c r="Y298" s="25" t="s">
        <v>886</v>
      </c>
    </row>
    <row r="299" spans="1:25" ht="14.25" customHeight="1" x14ac:dyDescent="0.25">
      <c r="A299" s="11"/>
      <c r="B299" s="11" t="e">
        <v>#N/A</v>
      </c>
      <c r="C299" s="11" t="s">
        <v>148</v>
      </c>
      <c r="D299" s="11"/>
      <c r="E299" s="23"/>
      <c r="F299" s="25" t="e">
        <v>#N/A</v>
      </c>
      <c r="G299" s="11" t="s">
        <v>959</v>
      </c>
      <c r="H299" s="11"/>
      <c r="I299" s="11"/>
      <c r="J299" s="11" t="e">
        <v>#N/A</v>
      </c>
      <c r="K299" s="11" t="e">
        <v>#N/A</v>
      </c>
      <c r="L299" s="11">
        <v>16</v>
      </c>
      <c r="M299" s="11" t="e">
        <v>#N/A</v>
      </c>
      <c r="N299" s="11" t="e">
        <v>#N/A</v>
      </c>
      <c r="O299" s="11" t="e">
        <v>#N/A</v>
      </c>
      <c r="P299" s="11" t="e">
        <v>#N/A</v>
      </c>
      <c r="Q299" s="11" t="e">
        <v>#N/A</v>
      </c>
      <c r="R299" s="11" t="e">
        <v>#N/A</v>
      </c>
      <c r="S299" s="11" t="e">
        <v>#N/A</v>
      </c>
      <c r="T299" s="11" t="e">
        <v>#N/A</v>
      </c>
      <c r="U299" s="11" t="e">
        <v>#N/A</v>
      </c>
      <c r="V299" s="11">
        <v>16</v>
      </c>
      <c r="W299" s="11"/>
      <c r="X299" s="11" t="e">
        <v>#N/A</v>
      </c>
      <c r="Y299" s="25" t="e">
        <v>#N/A</v>
      </c>
    </row>
    <row r="300" spans="1:25" ht="14.25" customHeight="1" x14ac:dyDescent="0.25">
      <c r="A300" s="11"/>
      <c r="B300" s="11" t="e">
        <v>#N/A</v>
      </c>
      <c r="C300" s="11" t="s">
        <v>148</v>
      </c>
      <c r="D300" s="11"/>
      <c r="E300" s="23"/>
      <c r="F300" s="25" t="e">
        <v>#N/A</v>
      </c>
      <c r="G300" s="11" t="s">
        <v>900</v>
      </c>
      <c r="H300" s="11"/>
      <c r="I300" s="11"/>
      <c r="J300" s="11" t="e">
        <v>#N/A</v>
      </c>
      <c r="K300" s="11" t="e">
        <v>#N/A</v>
      </c>
      <c r="L300" s="11">
        <v>16</v>
      </c>
      <c r="M300" s="11" t="e">
        <v>#N/A</v>
      </c>
      <c r="N300" s="11" t="e">
        <v>#N/A</v>
      </c>
      <c r="O300" s="11" t="e">
        <v>#N/A</v>
      </c>
      <c r="P300" s="11" t="e">
        <v>#N/A</v>
      </c>
      <c r="Q300" s="11" t="e">
        <v>#N/A</v>
      </c>
      <c r="R300" s="11" t="e">
        <v>#N/A</v>
      </c>
      <c r="S300" s="11" t="e">
        <v>#N/A</v>
      </c>
      <c r="T300" s="11" t="e">
        <v>#N/A</v>
      </c>
      <c r="U300" s="11" t="e">
        <v>#N/A</v>
      </c>
      <c r="V300" s="11">
        <v>16</v>
      </c>
      <c r="W300" s="11"/>
      <c r="X300" s="11" t="e">
        <v>#N/A</v>
      </c>
      <c r="Y300" s="25" t="e">
        <v>#N/A</v>
      </c>
    </row>
    <row r="301" spans="1:25" ht="14.25" customHeight="1" x14ac:dyDescent="0.25">
      <c r="A301" s="11"/>
      <c r="B301" s="11" t="e">
        <v>#N/A</v>
      </c>
      <c r="C301" s="11" t="s">
        <v>148</v>
      </c>
      <c r="D301" s="11"/>
      <c r="E301" s="23"/>
      <c r="F301" s="25" t="e">
        <v>#N/A</v>
      </c>
      <c r="G301" s="11" t="s">
        <v>1120</v>
      </c>
      <c r="H301" s="11"/>
      <c r="I301" s="11"/>
      <c r="J301" s="11" t="e">
        <v>#N/A</v>
      </c>
      <c r="K301" s="11" t="e">
        <v>#N/A</v>
      </c>
      <c r="L301" s="11">
        <v>16</v>
      </c>
      <c r="M301" s="11" t="e">
        <v>#N/A</v>
      </c>
      <c r="N301" s="11" t="e">
        <v>#N/A</v>
      </c>
      <c r="O301" s="11" t="e">
        <v>#N/A</v>
      </c>
      <c r="P301" s="11" t="e">
        <v>#N/A</v>
      </c>
      <c r="Q301" s="11" t="e">
        <v>#N/A</v>
      </c>
      <c r="R301" s="11" t="e">
        <v>#N/A</v>
      </c>
      <c r="S301" s="11" t="e">
        <v>#N/A</v>
      </c>
      <c r="T301" s="11" t="e">
        <v>#N/A</v>
      </c>
      <c r="U301" s="11" t="e">
        <v>#N/A</v>
      </c>
      <c r="V301" s="11">
        <v>16</v>
      </c>
      <c r="W301" s="11"/>
      <c r="X301" s="11" t="e">
        <v>#N/A</v>
      </c>
      <c r="Y301" s="25" t="e">
        <v>#N/A</v>
      </c>
    </row>
    <row r="302" spans="1:25" ht="14.25" customHeight="1" x14ac:dyDescent="0.25">
      <c r="A302" s="11"/>
      <c r="B302" s="11" t="e">
        <v>#N/A</v>
      </c>
      <c r="C302" s="11" t="s">
        <v>148</v>
      </c>
      <c r="D302" s="11"/>
      <c r="E302" s="23"/>
      <c r="F302" s="25" t="e">
        <v>#N/A</v>
      </c>
      <c r="G302" s="11" t="s">
        <v>499</v>
      </c>
      <c r="H302" s="11"/>
      <c r="I302" s="11"/>
      <c r="J302" s="11" t="e">
        <v>#N/A</v>
      </c>
      <c r="K302" s="11" t="e">
        <v>#N/A</v>
      </c>
      <c r="L302" s="11">
        <v>16</v>
      </c>
      <c r="M302" s="11" t="e">
        <v>#N/A</v>
      </c>
      <c r="N302" s="11" t="e">
        <v>#N/A</v>
      </c>
      <c r="O302" s="11" t="e">
        <v>#N/A</v>
      </c>
      <c r="P302" s="11" t="e">
        <v>#N/A</v>
      </c>
      <c r="Q302" s="11" t="e">
        <v>#N/A</v>
      </c>
      <c r="R302" s="11" t="e">
        <v>#N/A</v>
      </c>
      <c r="S302" s="11" t="e">
        <v>#N/A</v>
      </c>
      <c r="T302" s="11" t="e">
        <v>#N/A</v>
      </c>
      <c r="U302" s="11" t="e">
        <v>#N/A</v>
      </c>
      <c r="V302" s="11">
        <v>16</v>
      </c>
      <c r="W302" s="11"/>
      <c r="X302" s="11" t="e">
        <v>#N/A</v>
      </c>
      <c r="Y302" s="25" t="e">
        <v>#N/A</v>
      </c>
    </row>
    <row r="303" spans="1:25" ht="14.25" customHeight="1" x14ac:dyDescent="0.25">
      <c r="A303" s="11"/>
      <c r="B303" s="11" t="e">
        <v>#N/A</v>
      </c>
      <c r="C303" s="11" t="s">
        <v>148</v>
      </c>
      <c r="D303" s="11"/>
      <c r="E303" s="23"/>
      <c r="F303" s="25" t="e">
        <v>#N/A</v>
      </c>
      <c r="G303" s="11" t="s">
        <v>426</v>
      </c>
      <c r="H303" s="11"/>
      <c r="I303" s="11"/>
      <c r="J303" s="11" t="e">
        <v>#N/A</v>
      </c>
      <c r="K303" s="11" t="e">
        <v>#N/A</v>
      </c>
      <c r="L303" s="11">
        <v>16</v>
      </c>
      <c r="M303" s="11" t="e">
        <v>#N/A</v>
      </c>
      <c r="N303" s="11" t="e">
        <v>#N/A</v>
      </c>
      <c r="O303" s="11" t="e">
        <v>#N/A</v>
      </c>
      <c r="P303" s="11" t="e">
        <v>#N/A</v>
      </c>
      <c r="Q303" s="11" t="e">
        <v>#N/A</v>
      </c>
      <c r="R303" s="11" t="e">
        <v>#N/A</v>
      </c>
      <c r="S303" s="11" t="e">
        <v>#N/A</v>
      </c>
      <c r="T303" s="11" t="e">
        <v>#N/A</v>
      </c>
      <c r="U303" s="11" t="e">
        <v>#N/A</v>
      </c>
      <c r="V303" s="11">
        <v>16</v>
      </c>
      <c r="W303" s="11"/>
      <c r="X303" s="11" t="e">
        <v>#N/A</v>
      </c>
      <c r="Y303" s="25" t="e">
        <v>#N/A</v>
      </c>
    </row>
    <row r="304" spans="1:25" ht="14.25" customHeight="1" x14ac:dyDescent="0.25">
      <c r="A304" s="11"/>
      <c r="B304" s="11" t="e">
        <v>#N/A</v>
      </c>
      <c r="C304" s="11" t="s">
        <v>148</v>
      </c>
      <c r="D304" s="11"/>
      <c r="E304" s="23"/>
      <c r="F304" s="25" t="e">
        <v>#N/A</v>
      </c>
      <c r="G304" s="11" t="s">
        <v>1122</v>
      </c>
      <c r="H304" s="11"/>
      <c r="I304" s="11"/>
      <c r="J304" s="11" t="e">
        <v>#N/A</v>
      </c>
      <c r="K304" s="11" t="e">
        <v>#N/A</v>
      </c>
      <c r="L304" s="11">
        <v>16</v>
      </c>
      <c r="M304" s="11" t="e">
        <v>#N/A</v>
      </c>
      <c r="N304" s="11" t="e">
        <v>#N/A</v>
      </c>
      <c r="O304" s="11" t="e">
        <v>#N/A</v>
      </c>
      <c r="P304" s="11" t="e">
        <v>#N/A</v>
      </c>
      <c r="Q304" s="11" t="e">
        <v>#N/A</v>
      </c>
      <c r="R304" s="11" t="e">
        <v>#N/A</v>
      </c>
      <c r="S304" s="11" t="e">
        <v>#N/A</v>
      </c>
      <c r="T304" s="11" t="e">
        <v>#N/A</v>
      </c>
      <c r="U304" s="11" t="e">
        <v>#N/A</v>
      </c>
      <c r="V304" s="11">
        <v>16</v>
      </c>
      <c r="W304" s="11"/>
      <c r="X304" s="11" t="e">
        <v>#N/A</v>
      </c>
      <c r="Y304" s="25" t="e">
        <v>#N/A</v>
      </c>
    </row>
    <row r="305" spans="1:25" ht="14.25" customHeight="1" x14ac:dyDescent="0.25">
      <c r="A305" s="11"/>
      <c r="B305" s="11" t="e">
        <v>#N/A</v>
      </c>
      <c r="C305" s="11" t="s">
        <v>148</v>
      </c>
      <c r="D305" s="11"/>
      <c r="E305" s="23"/>
      <c r="F305" s="25" t="e">
        <v>#N/A</v>
      </c>
      <c r="G305" s="11" t="s">
        <v>1123</v>
      </c>
      <c r="H305" s="11"/>
      <c r="I305" s="11"/>
      <c r="J305" s="11" t="e">
        <v>#N/A</v>
      </c>
      <c r="K305" s="11" t="e">
        <v>#N/A</v>
      </c>
      <c r="L305" s="11">
        <v>16</v>
      </c>
      <c r="M305" s="11" t="e">
        <v>#N/A</v>
      </c>
      <c r="N305" s="11" t="e">
        <v>#N/A</v>
      </c>
      <c r="O305" s="11" t="e">
        <v>#N/A</v>
      </c>
      <c r="P305" s="11" t="e">
        <v>#N/A</v>
      </c>
      <c r="Q305" s="11" t="e">
        <v>#N/A</v>
      </c>
      <c r="R305" s="11" t="e">
        <v>#N/A</v>
      </c>
      <c r="S305" s="11" t="e">
        <v>#N/A</v>
      </c>
      <c r="T305" s="11" t="e">
        <v>#N/A</v>
      </c>
      <c r="U305" s="11" t="e">
        <v>#N/A</v>
      </c>
      <c r="V305" s="11">
        <v>16</v>
      </c>
      <c r="W305" s="11"/>
      <c r="X305" s="11" t="e">
        <v>#N/A</v>
      </c>
      <c r="Y305" s="25" t="e">
        <v>#N/A</v>
      </c>
    </row>
    <row r="306" spans="1:25" ht="14.25" customHeight="1" x14ac:dyDescent="0.25">
      <c r="A306" s="11"/>
      <c r="B306" s="11">
        <v>22</v>
      </c>
      <c r="C306" s="11" t="s">
        <v>148</v>
      </c>
      <c r="D306" s="11"/>
      <c r="E306" s="23"/>
      <c r="F306" s="25" t="s">
        <v>886</v>
      </c>
      <c r="G306" s="11" t="s">
        <v>440</v>
      </c>
      <c r="H306" s="11" t="s">
        <v>49</v>
      </c>
      <c r="I306" s="11" t="s">
        <v>769</v>
      </c>
      <c r="J306" s="11"/>
      <c r="K306" s="11"/>
      <c r="L306" s="11">
        <v>16</v>
      </c>
      <c r="M306" s="11" t="s">
        <v>36</v>
      </c>
      <c r="N306" s="11">
        <v>247</v>
      </c>
      <c r="O306" s="11" t="e">
        <v>#VALUE!</v>
      </c>
      <c r="P306" s="11" t="s">
        <v>36</v>
      </c>
      <c r="Q306" s="11">
        <v>259</v>
      </c>
      <c r="R306" s="11">
        <v>264</v>
      </c>
      <c r="S306" s="11">
        <v>256</v>
      </c>
      <c r="T306" s="11" t="s">
        <v>36</v>
      </c>
      <c r="U306" s="11">
        <v>256</v>
      </c>
      <c r="V306" s="11">
        <v>22</v>
      </c>
      <c r="W306" s="11"/>
      <c r="X306" s="11" t="e">
        <v>#VALUE!</v>
      </c>
      <c r="Y306" s="25" t="s">
        <v>886</v>
      </c>
    </row>
    <row r="307" spans="1:25" ht="14.25" customHeight="1" x14ac:dyDescent="0.25">
      <c r="E307" s="78"/>
    </row>
    <row r="308" spans="1:25" ht="14.25" customHeight="1" x14ac:dyDescent="0.25">
      <c r="E308" s="78"/>
    </row>
    <row r="309" spans="1:25" ht="14.25" customHeight="1" x14ac:dyDescent="0.25">
      <c r="E309" s="78"/>
    </row>
    <row r="310" spans="1:25" ht="14.25" customHeight="1" x14ac:dyDescent="0.25">
      <c r="E310" s="78"/>
    </row>
    <row r="311" spans="1:25" ht="14.25" customHeight="1" x14ac:dyDescent="0.25">
      <c r="E311" s="78"/>
    </row>
    <row r="312" spans="1:25" ht="14.25" customHeight="1" x14ac:dyDescent="0.25">
      <c r="E312" s="78"/>
      <c r="F312" s="1" t="s">
        <v>33</v>
      </c>
    </row>
    <row r="313" spans="1:25" ht="14.25" customHeight="1" x14ac:dyDescent="0.25">
      <c r="E313" s="78"/>
    </row>
    <row r="314" spans="1:25" ht="14.25" customHeight="1" x14ac:dyDescent="0.25">
      <c r="E314" s="78"/>
    </row>
    <row r="315" spans="1:25" ht="14.25" customHeight="1" x14ac:dyDescent="0.25">
      <c r="E315" s="78"/>
    </row>
    <row r="316" spans="1:25" ht="14.25" customHeight="1" x14ac:dyDescent="0.25">
      <c r="E316" s="78"/>
    </row>
    <row r="317" spans="1:25" ht="14.25" customHeight="1" x14ac:dyDescent="0.25">
      <c r="E317" s="78"/>
    </row>
    <row r="318" spans="1:25" ht="14.25" customHeight="1" x14ac:dyDescent="0.25">
      <c r="E318" s="78"/>
    </row>
    <row r="319" spans="1:25" ht="14.25" customHeight="1" x14ac:dyDescent="0.25">
      <c r="E319" s="78"/>
    </row>
    <row r="320" spans="1:25" ht="14.25" customHeight="1" x14ac:dyDescent="0.25">
      <c r="E320" s="78"/>
    </row>
    <row r="321" spans="5:5" ht="14.25" customHeight="1" x14ac:dyDescent="0.25">
      <c r="E321" s="78"/>
    </row>
    <row r="322" spans="5:5" ht="14.25" customHeight="1" x14ac:dyDescent="0.25">
      <c r="E322" s="78"/>
    </row>
    <row r="323" spans="5:5" ht="14.25" customHeight="1" x14ac:dyDescent="0.25">
      <c r="E323" s="78"/>
    </row>
    <row r="324" spans="5:5" ht="14.25" customHeight="1" x14ac:dyDescent="0.25">
      <c r="E324" s="78"/>
    </row>
    <row r="325" spans="5:5" ht="14.25" customHeight="1" x14ac:dyDescent="0.25">
      <c r="E325" s="78"/>
    </row>
    <row r="326" spans="5:5" ht="14.25" customHeight="1" x14ac:dyDescent="0.25">
      <c r="E326" s="78"/>
    </row>
    <row r="327" spans="5:5" ht="14.25" customHeight="1" x14ac:dyDescent="0.25">
      <c r="E327" s="78"/>
    </row>
    <row r="328" spans="5:5" ht="14.25" customHeight="1" x14ac:dyDescent="0.25">
      <c r="E328" s="78"/>
    </row>
    <row r="329" spans="5:5" ht="14.25" customHeight="1" x14ac:dyDescent="0.25">
      <c r="E329" s="78"/>
    </row>
    <row r="330" spans="5:5" ht="14.25" customHeight="1" x14ac:dyDescent="0.25">
      <c r="E330" s="78"/>
    </row>
    <row r="331" spans="5:5" ht="14.25" customHeight="1" x14ac:dyDescent="0.25">
      <c r="E331" s="78"/>
    </row>
    <row r="332" spans="5:5" ht="14.25" customHeight="1" x14ac:dyDescent="0.25">
      <c r="E332" s="78"/>
    </row>
    <row r="333" spans="5:5" ht="14.25" customHeight="1" x14ac:dyDescent="0.25">
      <c r="E333" s="78"/>
    </row>
    <row r="334" spans="5:5" ht="14.25" customHeight="1" x14ac:dyDescent="0.25">
      <c r="E334" s="78"/>
    </row>
    <row r="335" spans="5:5" ht="14.25" customHeight="1" x14ac:dyDescent="0.25">
      <c r="E335" s="78"/>
    </row>
    <row r="336" spans="5:5" ht="14.25" customHeight="1" x14ac:dyDescent="0.25">
      <c r="E336" s="78"/>
    </row>
    <row r="337" spans="5:5" ht="14.25" customHeight="1" x14ac:dyDescent="0.25">
      <c r="E337" s="78"/>
    </row>
    <row r="338" spans="5:5" ht="14.25" customHeight="1" x14ac:dyDescent="0.25">
      <c r="E338" s="78"/>
    </row>
    <row r="339" spans="5:5" ht="14.25" customHeight="1" x14ac:dyDescent="0.25">
      <c r="E339" s="78"/>
    </row>
    <row r="340" spans="5:5" ht="14.25" customHeight="1" x14ac:dyDescent="0.25">
      <c r="E340" s="78"/>
    </row>
    <row r="341" spans="5:5" ht="14.25" customHeight="1" x14ac:dyDescent="0.25">
      <c r="E341" s="78"/>
    </row>
    <row r="342" spans="5:5" ht="14.25" customHeight="1" x14ac:dyDescent="0.25">
      <c r="E342" s="78"/>
    </row>
    <row r="343" spans="5:5" ht="14.25" customHeight="1" x14ac:dyDescent="0.25">
      <c r="E343" s="78"/>
    </row>
    <row r="344" spans="5:5" ht="14.25" customHeight="1" x14ac:dyDescent="0.25">
      <c r="E344" s="78"/>
    </row>
    <row r="345" spans="5:5" ht="14.25" customHeight="1" x14ac:dyDescent="0.25">
      <c r="E345" s="78"/>
    </row>
    <row r="346" spans="5:5" ht="14.25" customHeight="1" x14ac:dyDescent="0.25">
      <c r="E346" s="78"/>
    </row>
    <row r="347" spans="5:5" ht="14.25" customHeight="1" x14ac:dyDescent="0.25">
      <c r="E347" s="78"/>
    </row>
    <row r="348" spans="5:5" ht="14.25" customHeight="1" x14ac:dyDescent="0.25">
      <c r="E348" s="78"/>
    </row>
    <row r="349" spans="5:5" ht="14.25" customHeight="1" x14ac:dyDescent="0.25">
      <c r="E349" s="78"/>
    </row>
    <row r="350" spans="5:5" ht="14.25" customHeight="1" x14ac:dyDescent="0.25">
      <c r="E350" s="78"/>
    </row>
    <row r="351" spans="5:5" ht="14.25" customHeight="1" x14ac:dyDescent="0.25">
      <c r="E351" s="78"/>
    </row>
    <row r="352" spans="5:5" ht="14.25" customHeight="1" x14ac:dyDescent="0.25">
      <c r="E352" s="78"/>
    </row>
    <row r="353" spans="5:5" ht="14.25" customHeight="1" x14ac:dyDescent="0.25">
      <c r="E353" s="78"/>
    </row>
    <row r="354" spans="5:5" ht="14.25" customHeight="1" x14ac:dyDescent="0.25">
      <c r="E354" s="78"/>
    </row>
    <row r="355" spans="5:5" ht="14.25" customHeight="1" x14ac:dyDescent="0.25">
      <c r="E355" s="78"/>
    </row>
    <row r="356" spans="5:5" ht="14.25" customHeight="1" x14ac:dyDescent="0.25">
      <c r="E356" s="78"/>
    </row>
    <row r="357" spans="5:5" ht="14.25" customHeight="1" x14ac:dyDescent="0.25">
      <c r="E357" s="78"/>
    </row>
    <row r="358" spans="5:5" ht="14.25" customHeight="1" x14ac:dyDescent="0.25">
      <c r="E358" s="78"/>
    </row>
    <row r="359" spans="5:5" ht="14.25" customHeight="1" x14ac:dyDescent="0.25">
      <c r="E359" s="78"/>
    </row>
    <row r="360" spans="5:5" ht="14.25" customHeight="1" x14ac:dyDescent="0.25">
      <c r="E360" s="78"/>
    </row>
    <row r="361" spans="5:5" ht="14.25" customHeight="1" x14ac:dyDescent="0.25">
      <c r="E361" s="78"/>
    </row>
    <row r="362" spans="5:5" ht="14.25" customHeight="1" x14ac:dyDescent="0.25">
      <c r="E362" s="78"/>
    </row>
    <row r="363" spans="5:5" ht="14.25" customHeight="1" x14ac:dyDescent="0.25">
      <c r="E363" s="78"/>
    </row>
    <row r="364" spans="5:5" ht="14.25" customHeight="1" x14ac:dyDescent="0.25">
      <c r="E364" s="78"/>
    </row>
    <row r="365" spans="5:5" ht="14.25" customHeight="1" x14ac:dyDescent="0.25">
      <c r="E365" s="78"/>
    </row>
    <row r="366" spans="5:5" ht="14.25" customHeight="1" x14ac:dyDescent="0.25">
      <c r="E366" s="78"/>
    </row>
    <row r="367" spans="5:5" ht="14.25" customHeight="1" x14ac:dyDescent="0.25">
      <c r="E367" s="78"/>
    </row>
    <row r="368" spans="5:5" ht="14.25" customHeight="1" x14ac:dyDescent="0.25">
      <c r="E368" s="78"/>
    </row>
    <row r="369" spans="5:5" ht="14.25" customHeight="1" x14ac:dyDescent="0.25">
      <c r="E369" s="78"/>
    </row>
    <row r="370" spans="5:5" ht="14.25" customHeight="1" x14ac:dyDescent="0.25">
      <c r="E370" s="78"/>
    </row>
    <row r="371" spans="5:5" ht="14.25" customHeight="1" x14ac:dyDescent="0.25">
      <c r="E371" s="78"/>
    </row>
    <row r="372" spans="5:5" ht="14.25" customHeight="1" x14ac:dyDescent="0.25">
      <c r="E372" s="78"/>
    </row>
    <row r="373" spans="5:5" ht="14.25" customHeight="1" x14ac:dyDescent="0.25">
      <c r="E373" s="78"/>
    </row>
    <row r="374" spans="5:5" ht="14.25" customHeight="1" x14ac:dyDescent="0.25">
      <c r="E374" s="78"/>
    </row>
    <row r="375" spans="5:5" ht="14.25" customHeight="1" x14ac:dyDescent="0.25">
      <c r="E375" s="78"/>
    </row>
    <row r="376" spans="5:5" ht="14.25" customHeight="1" x14ac:dyDescent="0.25">
      <c r="E376" s="78"/>
    </row>
    <row r="377" spans="5:5" ht="14.25" customHeight="1" x14ac:dyDescent="0.25">
      <c r="E377" s="78"/>
    </row>
    <row r="378" spans="5:5" ht="14.25" customHeight="1" x14ac:dyDescent="0.25">
      <c r="E378" s="78"/>
    </row>
    <row r="379" spans="5:5" ht="14.25" customHeight="1" x14ac:dyDescent="0.25">
      <c r="E379" s="78"/>
    </row>
    <row r="380" spans="5:5" ht="14.25" customHeight="1" x14ac:dyDescent="0.25">
      <c r="E380" s="78"/>
    </row>
    <row r="381" spans="5:5" ht="14.25" customHeight="1" x14ac:dyDescent="0.25">
      <c r="E381" s="78"/>
    </row>
    <row r="382" spans="5:5" ht="14.25" customHeight="1" x14ac:dyDescent="0.25">
      <c r="E382" s="78"/>
    </row>
    <row r="383" spans="5:5" ht="14.25" customHeight="1" x14ac:dyDescent="0.25">
      <c r="E383" s="78"/>
    </row>
    <row r="384" spans="5:5" ht="14.25" customHeight="1" x14ac:dyDescent="0.25">
      <c r="E384" s="78"/>
    </row>
    <row r="385" spans="5:5" ht="14.25" customHeight="1" x14ac:dyDescent="0.25">
      <c r="E385" s="78"/>
    </row>
    <row r="386" spans="5:5" ht="14.25" customHeight="1" x14ac:dyDescent="0.25">
      <c r="E386" s="78"/>
    </row>
    <row r="387" spans="5:5" ht="14.25" customHeight="1" x14ac:dyDescent="0.25">
      <c r="E387" s="78"/>
    </row>
    <row r="388" spans="5:5" ht="14.25" customHeight="1" x14ac:dyDescent="0.25">
      <c r="E388" s="78"/>
    </row>
    <row r="389" spans="5:5" ht="14.25" customHeight="1" x14ac:dyDescent="0.25">
      <c r="E389" s="78"/>
    </row>
    <row r="390" spans="5:5" ht="14.25" customHeight="1" x14ac:dyDescent="0.25">
      <c r="E390" s="78"/>
    </row>
    <row r="391" spans="5:5" ht="14.25" customHeight="1" x14ac:dyDescent="0.25">
      <c r="E391" s="78"/>
    </row>
    <row r="392" spans="5:5" ht="14.25" customHeight="1" x14ac:dyDescent="0.25">
      <c r="E392" s="78"/>
    </row>
    <row r="393" spans="5:5" ht="14.25" customHeight="1" x14ac:dyDescent="0.25">
      <c r="E393" s="78"/>
    </row>
    <row r="394" spans="5:5" ht="14.25" customHeight="1" x14ac:dyDescent="0.25">
      <c r="E394" s="78"/>
    </row>
    <row r="395" spans="5:5" ht="14.25" customHeight="1" x14ac:dyDescent="0.25">
      <c r="E395" s="78"/>
    </row>
    <row r="396" spans="5:5" ht="14.25" customHeight="1" x14ac:dyDescent="0.25">
      <c r="E396" s="78"/>
    </row>
    <row r="397" spans="5:5" ht="14.25" customHeight="1" x14ac:dyDescent="0.25">
      <c r="E397" s="78"/>
    </row>
    <row r="398" spans="5:5" ht="14.25" customHeight="1" x14ac:dyDescent="0.25">
      <c r="E398" s="78"/>
    </row>
    <row r="399" spans="5:5" ht="14.25" customHeight="1" x14ac:dyDescent="0.25">
      <c r="E399" s="78"/>
    </row>
    <row r="400" spans="5:5" ht="14.25" customHeight="1" x14ac:dyDescent="0.25">
      <c r="E400" s="78"/>
    </row>
    <row r="401" spans="5:5" ht="14.25" customHeight="1" x14ac:dyDescent="0.25">
      <c r="E401" s="78"/>
    </row>
    <row r="402" spans="5:5" ht="14.25" customHeight="1" x14ac:dyDescent="0.25">
      <c r="E402" s="78"/>
    </row>
    <row r="403" spans="5:5" ht="14.25" customHeight="1" x14ac:dyDescent="0.25">
      <c r="E403" s="78"/>
    </row>
    <row r="404" spans="5:5" ht="14.25" customHeight="1" x14ac:dyDescent="0.25">
      <c r="E404" s="78"/>
    </row>
    <row r="405" spans="5:5" ht="14.25" customHeight="1" x14ac:dyDescent="0.25">
      <c r="E405" s="78"/>
    </row>
    <row r="406" spans="5:5" ht="14.25" customHeight="1" x14ac:dyDescent="0.25">
      <c r="E406" s="78"/>
    </row>
    <row r="407" spans="5:5" ht="14.25" customHeight="1" x14ac:dyDescent="0.25">
      <c r="E407" s="78"/>
    </row>
    <row r="408" spans="5:5" ht="14.25" customHeight="1" x14ac:dyDescent="0.25">
      <c r="E408" s="78"/>
    </row>
    <row r="409" spans="5:5" ht="14.25" customHeight="1" x14ac:dyDescent="0.25">
      <c r="E409" s="78"/>
    </row>
    <row r="410" spans="5:5" ht="14.25" customHeight="1" x14ac:dyDescent="0.25">
      <c r="E410" s="78"/>
    </row>
    <row r="411" spans="5:5" ht="14.25" customHeight="1" x14ac:dyDescent="0.25">
      <c r="E411" s="78"/>
    </row>
    <row r="412" spans="5:5" ht="14.25" customHeight="1" x14ac:dyDescent="0.25">
      <c r="E412" s="78"/>
    </row>
    <row r="413" spans="5:5" ht="14.25" customHeight="1" x14ac:dyDescent="0.25">
      <c r="E413" s="78"/>
    </row>
    <row r="414" spans="5:5" ht="14.25" customHeight="1" x14ac:dyDescent="0.25">
      <c r="E414" s="78"/>
    </row>
    <row r="415" spans="5:5" ht="14.25" customHeight="1" x14ac:dyDescent="0.25">
      <c r="E415" s="78"/>
    </row>
    <row r="416" spans="5:5" ht="14.25" customHeight="1" x14ac:dyDescent="0.25">
      <c r="E416" s="78"/>
    </row>
    <row r="417" spans="5:5" ht="14.25" customHeight="1" x14ac:dyDescent="0.25">
      <c r="E417" s="78"/>
    </row>
    <row r="418" spans="5:5" ht="14.25" customHeight="1" x14ac:dyDescent="0.25">
      <c r="E418" s="78"/>
    </row>
    <row r="419" spans="5:5" ht="14.25" customHeight="1" x14ac:dyDescent="0.25">
      <c r="E419" s="78"/>
    </row>
    <row r="420" spans="5:5" ht="14.25" customHeight="1" x14ac:dyDescent="0.25">
      <c r="E420" s="78"/>
    </row>
    <row r="421" spans="5:5" ht="14.25" customHeight="1" x14ac:dyDescent="0.25">
      <c r="E421" s="78"/>
    </row>
    <row r="422" spans="5:5" ht="14.25" customHeight="1" x14ac:dyDescent="0.25">
      <c r="E422" s="78"/>
    </row>
    <row r="423" spans="5:5" ht="14.25" customHeight="1" x14ac:dyDescent="0.25">
      <c r="E423" s="78"/>
    </row>
    <row r="424" spans="5:5" ht="14.25" customHeight="1" x14ac:dyDescent="0.25">
      <c r="E424" s="78"/>
    </row>
    <row r="425" spans="5:5" ht="14.25" customHeight="1" x14ac:dyDescent="0.25">
      <c r="E425" s="78"/>
    </row>
    <row r="426" spans="5:5" ht="14.25" customHeight="1" x14ac:dyDescent="0.25">
      <c r="E426" s="78"/>
    </row>
    <row r="427" spans="5:5" ht="14.25" customHeight="1" x14ac:dyDescent="0.25">
      <c r="E427" s="78"/>
    </row>
    <row r="428" spans="5:5" ht="14.25" customHeight="1" x14ac:dyDescent="0.25">
      <c r="E428" s="78"/>
    </row>
    <row r="429" spans="5:5" ht="14.25" customHeight="1" x14ac:dyDescent="0.25">
      <c r="E429" s="78"/>
    </row>
    <row r="430" spans="5:5" ht="14.25" customHeight="1" x14ac:dyDescent="0.25">
      <c r="E430" s="78"/>
    </row>
    <row r="431" spans="5:5" ht="14.25" customHeight="1" x14ac:dyDescent="0.25">
      <c r="E431" s="78"/>
    </row>
    <row r="432" spans="5:5" ht="14.25" customHeight="1" x14ac:dyDescent="0.25">
      <c r="E432" s="78"/>
    </row>
    <row r="433" spans="5:5" ht="14.25" customHeight="1" x14ac:dyDescent="0.25">
      <c r="E433" s="78"/>
    </row>
    <row r="434" spans="5:5" ht="14.25" customHeight="1" x14ac:dyDescent="0.25">
      <c r="E434" s="78"/>
    </row>
    <row r="435" spans="5:5" ht="14.25" customHeight="1" x14ac:dyDescent="0.25">
      <c r="E435" s="78"/>
    </row>
    <row r="436" spans="5:5" ht="14.25" customHeight="1" x14ac:dyDescent="0.25">
      <c r="E436" s="78"/>
    </row>
    <row r="437" spans="5:5" ht="14.25" customHeight="1" x14ac:dyDescent="0.25">
      <c r="E437" s="78"/>
    </row>
    <row r="438" spans="5:5" ht="14.25" customHeight="1" x14ac:dyDescent="0.25">
      <c r="E438" s="78"/>
    </row>
    <row r="439" spans="5:5" ht="14.25" customHeight="1" x14ac:dyDescent="0.25">
      <c r="E439" s="78"/>
    </row>
    <row r="440" spans="5:5" ht="14.25" customHeight="1" x14ac:dyDescent="0.25">
      <c r="E440" s="78"/>
    </row>
    <row r="441" spans="5:5" ht="14.25" customHeight="1" x14ac:dyDescent="0.25">
      <c r="E441" s="78"/>
    </row>
    <row r="442" spans="5:5" ht="14.25" customHeight="1" x14ac:dyDescent="0.25">
      <c r="E442" s="78"/>
    </row>
    <row r="443" spans="5:5" ht="14.25" customHeight="1" x14ac:dyDescent="0.25">
      <c r="E443" s="78"/>
    </row>
    <row r="444" spans="5:5" ht="14.25" customHeight="1" x14ac:dyDescent="0.25">
      <c r="E444" s="78"/>
    </row>
    <row r="445" spans="5:5" ht="14.25" customHeight="1" x14ac:dyDescent="0.25">
      <c r="E445" s="78"/>
    </row>
    <row r="446" spans="5:5" ht="14.25" customHeight="1" x14ac:dyDescent="0.25">
      <c r="E446" s="78"/>
    </row>
    <row r="447" spans="5:5" ht="14.25" customHeight="1" x14ac:dyDescent="0.25">
      <c r="E447" s="78"/>
    </row>
    <row r="448" spans="5:5" ht="14.25" customHeight="1" x14ac:dyDescent="0.25">
      <c r="E448" s="78"/>
    </row>
    <row r="449" spans="5:5" ht="14.25" customHeight="1" x14ac:dyDescent="0.25">
      <c r="E449" s="78"/>
    </row>
    <row r="450" spans="5:5" ht="14.25" customHeight="1" x14ac:dyDescent="0.25">
      <c r="E450" s="78"/>
    </row>
    <row r="451" spans="5:5" ht="14.25" customHeight="1" x14ac:dyDescent="0.25">
      <c r="E451" s="78"/>
    </row>
    <row r="452" spans="5:5" ht="14.25" customHeight="1" x14ac:dyDescent="0.25">
      <c r="E452" s="78"/>
    </row>
    <row r="453" spans="5:5" ht="14.25" customHeight="1" x14ac:dyDescent="0.25">
      <c r="E453" s="78"/>
    </row>
    <row r="454" spans="5:5" ht="14.25" customHeight="1" x14ac:dyDescent="0.25">
      <c r="E454" s="78"/>
    </row>
    <row r="455" spans="5:5" ht="14.25" customHeight="1" x14ac:dyDescent="0.25">
      <c r="E455" s="78"/>
    </row>
    <row r="456" spans="5:5" ht="14.25" customHeight="1" x14ac:dyDescent="0.25">
      <c r="E456" s="78"/>
    </row>
    <row r="457" spans="5:5" ht="14.25" customHeight="1" x14ac:dyDescent="0.25">
      <c r="E457" s="78"/>
    </row>
    <row r="458" spans="5:5" ht="14.25" customHeight="1" x14ac:dyDescent="0.25">
      <c r="E458" s="78"/>
    </row>
    <row r="459" spans="5:5" ht="14.25" customHeight="1" x14ac:dyDescent="0.25">
      <c r="E459" s="78"/>
    </row>
    <row r="460" spans="5:5" ht="14.25" customHeight="1" x14ac:dyDescent="0.25">
      <c r="E460" s="78"/>
    </row>
    <row r="461" spans="5:5" ht="14.25" customHeight="1" x14ac:dyDescent="0.25">
      <c r="E461" s="78"/>
    </row>
    <row r="462" spans="5:5" ht="14.25" customHeight="1" x14ac:dyDescent="0.25">
      <c r="E462" s="78"/>
    </row>
    <row r="463" spans="5:5" ht="14.25" customHeight="1" x14ac:dyDescent="0.25">
      <c r="E463" s="78"/>
    </row>
    <row r="464" spans="5:5" ht="14.25" customHeight="1" x14ac:dyDescent="0.25">
      <c r="E464" s="78"/>
    </row>
    <row r="465" spans="5:5" ht="14.25" customHeight="1" x14ac:dyDescent="0.25">
      <c r="E465" s="78"/>
    </row>
    <row r="466" spans="5:5" ht="14.25" customHeight="1" x14ac:dyDescent="0.25">
      <c r="E466" s="78"/>
    </row>
    <row r="467" spans="5:5" ht="14.25" customHeight="1" x14ac:dyDescent="0.25">
      <c r="E467" s="78"/>
    </row>
    <row r="468" spans="5:5" ht="14.25" customHeight="1" x14ac:dyDescent="0.25">
      <c r="E468" s="78"/>
    </row>
    <row r="469" spans="5:5" ht="14.25" customHeight="1" x14ac:dyDescent="0.25">
      <c r="E469" s="78"/>
    </row>
    <row r="470" spans="5:5" ht="14.25" customHeight="1" x14ac:dyDescent="0.25">
      <c r="E470" s="78"/>
    </row>
    <row r="471" spans="5:5" ht="14.25" customHeight="1" x14ac:dyDescent="0.25">
      <c r="E471" s="78"/>
    </row>
    <row r="472" spans="5:5" ht="14.25" customHeight="1" x14ac:dyDescent="0.25">
      <c r="E472" s="78"/>
    </row>
    <row r="473" spans="5:5" ht="14.25" customHeight="1" x14ac:dyDescent="0.25">
      <c r="E473" s="78"/>
    </row>
    <row r="474" spans="5:5" ht="14.25" customHeight="1" x14ac:dyDescent="0.25">
      <c r="E474" s="78"/>
    </row>
    <row r="475" spans="5:5" ht="14.25" customHeight="1" x14ac:dyDescent="0.25">
      <c r="E475" s="78"/>
    </row>
    <row r="476" spans="5:5" ht="14.25" customHeight="1" x14ac:dyDescent="0.25">
      <c r="E476" s="78"/>
    </row>
    <row r="477" spans="5:5" ht="14.25" customHeight="1" x14ac:dyDescent="0.25">
      <c r="E477" s="78"/>
    </row>
    <row r="478" spans="5:5" ht="14.25" customHeight="1" x14ac:dyDescent="0.25">
      <c r="E478" s="78"/>
    </row>
    <row r="479" spans="5:5" ht="14.25" customHeight="1" x14ac:dyDescent="0.25">
      <c r="E479" s="78"/>
    </row>
    <row r="480" spans="5:5" ht="14.25" customHeight="1" x14ac:dyDescent="0.25">
      <c r="E480" s="78"/>
    </row>
    <row r="481" spans="5:5" ht="14.25" customHeight="1" x14ac:dyDescent="0.25">
      <c r="E481" s="78"/>
    </row>
    <row r="482" spans="5:5" ht="14.25" customHeight="1" x14ac:dyDescent="0.25">
      <c r="E482" s="78"/>
    </row>
    <row r="483" spans="5:5" ht="14.25" customHeight="1" x14ac:dyDescent="0.25">
      <c r="E483" s="78"/>
    </row>
    <row r="484" spans="5:5" ht="14.25" customHeight="1" x14ac:dyDescent="0.25">
      <c r="E484" s="78"/>
    </row>
    <row r="485" spans="5:5" ht="14.25" customHeight="1" x14ac:dyDescent="0.25">
      <c r="E485" s="78"/>
    </row>
    <row r="486" spans="5:5" ht="14.25" customHeight="1" x14ac:dyDescent="0.25">
      <c r="E486" s="78"/>
    </row>
    <row r="487" spans="5:5" ht="14.25" customHeight="1" x14ac:dyDescent="0.25">
      <c r="E487" s="78"/>
    </row>
    <row r="488" spans="5:5" ht="14.25" customHeight="1" x14ac:dyDescent="0.25">
      <c r="E488" s="78"/>
    </row>
    <row r="489" spans="5:5" ht="14.25" customHeight="1" x14ac:dyDescent="0.25">
      <c r="E489" s="78"/>
    </row>
    <row r="490" spans="5:5" ht="14.25" customHeight="1" x14ac:dyDescent="0.25">
      <c r="E490" s="78"/>
    </row>
    <row r="491" spans="5:5" ht="14.25" customHeight="1" x14ac:dyDescent="0.25">
      <c r="E491" s="78"/>
    </row>
    <row r="492" spans="5:5" ht="14.25" customHeight="1" x14ac:dyDescent="0.25">
      <c r="E492" s="78"/>
    </row>
    <row r="493" spans="5:5" ht="14.25" customHeight="1" x14ac:dyDescent="0.25">
      <c r="E493" s="78"/>
    </row>
    <row r="494" spans="5:5" ht="14.25" customHeight="1" x14ac:dyDescent="0.25">
      <c r="E494" s="78"/>
    </row>
    <row r="495" spans="5:5" ht="14.25" customHeight="1" x14ac:dyDescent="0.25">
      <c r="E495" s="78"/>
    </row>
    <row r="496" spans="5:5" ht="14.25" customHeight="1" x14ac:dyDescent="0.25">
      <c r="E496" s="78"/>
    </row>
    <row r="497" spans="5:5" ht="14.25" customHeight="1" x14ac:dyDescent="0.25">
      <c r="E497" s="78"/>
    </row>
    <row r="498" spans="5:5" ht="14.25" customHeight="1" x14ac:dyDescent="0.25">
      <c r="E498" s="78"/>
    </row>
    <row r="499" spans="5:5" ht="14.25" customHeight="1" x14ac:dyDescent="0.25">
      <c r="E499" s="78"/>
    </row>
    <row r="500" spans="5:5" ht="14.25" customHeight="1" x14ac:dyDescent="0.25">
      <c r="E500" s="78"/>
    </row>
    <row r="501" spans="5:5" ht="14.25" customHeight="1" x14ac:dyDescent="0.25">
      <c r="E501" s="78"/>
    </row>
    <row r="502" spans="5:5" ht="14.25" customHeight="1" x14ac:dyDescent="0.25">
      <c r="E502" s="78"/>
    </row>
    <row r="503" spans="5:5" ht="14.25" customHeight="1" x14ac:dyDescent="0.25">
      <c r="E503" s="78"/>
    </row>
    <row r="504" spans="5:5" ht="14.25" customHeight="1" x14ac:dyDescent="0.25">
      <c r="E504" s="78"/>
    </row>
    <row r="505" spans="5:5" ht="14.25" customHeight="1" x14ac:dyDescent="0.25">
      <c r="E505" s="78"/>
    </row>
    <row r="506" spans="5:5" ht="14.25" customHeight="1" x14ac:dyDescent="0.25">
      <c r="E506" s="78"/>
    </row>
    <row r="507" spans="5:5" ht="14.25" customHeight="1" x14ac:dyDescent="0.25">
      <c r="E507" s="78"/>
    </row>
    <row r="508" spans="5:5" ht="14.25" customHeight="1" x14ac:dyDescent="0.25">
      <c r="E508" s="78"/>
    </row>
    <row r="509" spans="5:5" ht="14.25" customHeight="1" x14ac:dyDescent="0.25">
      <c r="E509" s="78"/>
    </row>
    <row r="510" spans="5:5" ht="14.25" customHeight="1" x14ac:dyDescent="0.25">
      <c r="E510" s="78"/>
    </row>
    <row r="511" spans="5:5" ht="14.25" customHeight="1" x14ac:dyDescent="0.25">
      <c r="E511" s="78"/>
    </row>
    <row r="512" spans="5:5" ht="14.25" customHeight="1" x14ac:dyDescent="0.25">
      <c r="E512" s="78"/>
    </row>
    <row r="513" spans="5:5" ht="14.25" customHeight="1" x14ac:dyDescent="0.25">
      <c r="E513" s="78"/>
    </row>
    <row r="514" spans="5:5" ht="14.25" customHeight="1" x14ac:dyDescent="0.25">
      <c r="E514" s="78"/>
    </row>
    <row r="515" spans="5:5" ht="14.25" customHeight="1" x14ac:dyDescent="0.25">
      <c r="E515" s="78"/>
    </row>
    <row r="516" spans="5:5" ht="14.25" customHeight="1" x14ac:dyDescent="0.25">
      <c r="E516" s="78"/>
    </row>
    <row r="517" spans="5:5" ht="14.25" customHeight="1" x14ac:dyDescent="0.25">
      <c r="E517" s="78"/>
    </row>
    <row r="518" spans="5:5" ht="14.25" customHeight="1" x14ac:dyDescent="0.25">
      <c r="E518" s="78"/>
    </row>
    <row r="519" spans="5:5" ht="14.25" customHeight="1" x14ac:dyDescent="0.25">
      <c r="E519" s="78"/>
    </row>
    <row r="520" spans="5:5" ht="14.25" customHeight="1" x14ac:dyDescent="0.25">
      <c r="E520" s="78"/>
    </row>
    <row r="521" spans="5:5" ht="14.25" customHeight="1" x14ac:dyDescent="0.25">
      <c r="E521" s="78"/>
    </row>
    <row r="522" spans="5:5" ht="14.25" customHeight="1" x14ac:dyDescent="0.25">
      <c r="E522" s="78"/>
    </row>
    <row r="523" spans="5:5" ht="14.25" customHeight="1" x14ac:dyDescent="0.25">
      <c r="E523" s="78"/>
    </row>
    <row r="524" spans="5:5" ht="14.25" customHeight="1" x14ac:dyDescent="0.25">
      <c r="E524" s="78"/>
    </row>
    <row r="525" spans="5:5" ht="14.25" customHeight="1" x14ac:dyDescent="0.25">
      <c r="E525" s="78"/>
    </row>
    <row r="526" spans="5:5" ht="14.25" customHeight="1" x14ac:dyDescent="0.25">
      <c r="E526" s="78"/>
    </row>
    <row r="527" spans="5:5" ht="14.25" customHeight="1" x14ac:dyDescent="0.25">
      <c r="E527" s="78"/>
    </row>
    <row r="528" spans="5:5" ht="14.25" customHeight="1" x14ac:dyDescent="0.25">
      <c r="E528" s="78"/>
    </row>
    <row r="529" spans="5:5" ht="14.25" customHeight="1" x14ac:dyDescent="0.25">
      <c r="E529" s="78"/>
    </row>
    <row r="530" spans="5:5" ht="14.25" customHeight="1" x14ac:dyDescent="0.25">
      <c r="E530" s="78"/>
    </row>
    <row r="531" spans="5:5" ht="14.25" customHeight="1" x14ac:dyDescent="0.25">
      <c r="E531" s="78"/>
    </row>
    <row r="532" spans="5:5" ht="14.25" customHeight="1" x14ac:dyDescent="0.25">
      <c r="E532" s="78"/>
    </row>
    <row r="533" spans="5:5" ht="14.25" customHeight="1" x14ac:dyDescent="0.25">
      <c r="E533" s="78"/>
    </row>
    <row r="534" spans="5:5" ht="14.25" customHeight="1" x14ac:dyDescent="0.25">
      <c r="E534" s="78"/>
    </row>
    <row r="535" spans="5:5" ht="14.25" customHeight="1" x14ac:dyDescent="0.25">
      <c r="E535" s="78"/>
    </row>
    <row r="536" spans="5:5" ht="14.25" customHeight="1" x14ac:dyDescent="0.25">
      <c r="E536" s="78"/>
    </row>
    <row r="537" spans="5:5" ht="14.25" customHeight="1" x14ac:dyDescent="0.25">
      <c r="E537" s="78"/>
    </row>
    <row r="538" spans="5:5" ht="14.25" customHeight="1" x14ac:dyDescent="0.25">
      <c r="E538" s="78"/>
    </row>
    <row r="539" spans="5:5" ht="14.25" customHeight="1" x14ac:dyDescent="0.25">
      <c r="E539" s="78"/>
    </row>
    <row r="540" spans="5:5" ht="14.25" customHeight="1" x14ac:dyDescent="0.25">
      <c r="E540" s="78"/>
    </row>
    <row r="541" spans="5:5" ht="14.25" customHeight="1" x14ac:dyDescent="0.25">
      <c r="E541" s="78"/>
    </row>
    <row r="542" spans="5:5" ht="14.25" customHeight="1" x14ac:dyDescent="0.25">
      <c r="E542" s="78"/>
    </row>
    <row r="543" spans="5:5" ht="14.25" customHeight="1" x14ac:dyDescent="0.25">
      <c r="E543" s="78"/>
    </row>
    <row r="544" spans="5:5" ht="14.25" customHeight="1" x14ac:dyDescent="0.25">
      <c r="E544" s="78"/>
    </row>
    <row r="545" spans="5:5" ht="14.25" customHeight="1" x14ac:dyDescent="0.25">
      <c r="E545" s="78"/>
    </row>
    <row r="546" spans="5:5" ht="14.25" customHeight="1" x14ac:dyDescent="0.25">
      <c r="E546" s="78"/>
    </row>
    <row r="547" spans="5:5" ht="14.25" customHeight="1" x14ac:dyDescent="0.25">
      <c r="E547" s="78"/>
    </row>
    <row r="548" spans="5:5" ht="14.25" customHeight="1" x14ac:dyDescent="0.25">
      <c r="E548" s="78"/>
    </row>
    <row r="549" spans="5:5" ht="14.25" customHeight="1" x14ac:dyDescent="0.25">
      <c r="E549" s="78"/>
    </row>
    <row r="550" spans="5:5" ht="14.25" customHeight="1" x14ac:dyDescent="0.25">
      <c r="E550" s="78"/>
    </row>
    <row r="551" spans="5:5" ht="14.25" customHeight="1" x14ac:dyDescent="0.25">
      <c r="E551" s="78"/>
    </row>
    <row r="552" spans="5:5" ht="14.25" customHeight="1" x14ac:dyDescent="0.25">
      <c r="E552" s="78"/>
    </row>
    <row r="553" spans="5:5" ht="14.25" customHeight="1" x14ac:dyDescent="0.25">
      <c r="E553" s="78"/>
    </row>
    <row r="554" spans="5:5" ht="14.25" customHeight="1" x14ac:dyDescent="0.25">
      <c r="E554" s="78"/>
    </row>
    <row r="555" spans="5:5" ht="14.25" customHeight="1" x14ac:dyDescent="0.25">
      <c r="E555" s="78"/>
    </row>
    <row r="556" spans="5:5" ht="14.25" customHeight="1" x14ac:dyDescent="0.25">
      <c r="E556" s="78"/>
    </row>
    <row r="557" spans="5:5" ht="14.25" customHeight="1" x14ac:dyDescent="0.25">
      <c r="E557" s="78"/>
    </row>
    <row r="558" spans="5:5" ht="14.25" customHeight="1" x14ac:dyDescent="0.25">
      <c r="E558" s="78"/>
    </row>
    <row r="559" spans="5:5" ht="14.25" customHeight="1" x14ac:dyDescent="0.25">
      <c r="E559" s="78"/>
    </row>
    <row r="560" spans="5:5" ht="14.25" customHeight="1" x14ac:dyDescent="0.25">
      <c r="E560" s="78"/>
    </row>
    <row r="561" spans="5:5" ht="14.25" customHeight="1" x14ac:dyDescent="0.25">
      <c r="E561" s="78"/>
    </row>
    <row r="562" spans="5:5" ht="14.25" customHeight="1" x14ac:dyDescent="0.25">
      <c r="E562" s="78"/>
    </row>
    <row r="563" spans="5:5" ht="14.25" customHeight="1" x14ac:dyDescent="0.25">
      <c r="E563" s="78"/>
    </row>
    <row r="564" spans="5:5" ht="14.25" customHeight="1" x14ac:dyDescent="0.25">
      <c r="E564" s="78"/>
    </row>
    <row r="565" spans="5:5" ht="14.25" customHeight="1" x14ac:dyDescent="0.25">
      <c r="E565" s="78"/>
    </row>
    <row r="566" spans="5:5" ht="14.25" customHeight="1" x14ac:dyDescent="0.25">
      <c r="E566" s="78"/>
    </row>
    <row r="567" spans="5:5" ht="14.25" customHeight="1" x14ac:dyDescent="0.25">
      <c r="E567" s="78"/>
    </row>
    <row r="568" spans="5:5" ht="14.25" customHeight="1" x14ac:dyDescent="0.25">
      <c r="E568" s="78"/>
    </row>
    <row r="569" spans="5:5" ht="14.25" customHeight="1" x14ac:dyDescent="0.25">
      <c r="E569" s="78"/>
    </row>
    <row r="570" spans="5:5" ht="14.25" customHeight="1" x14ac:dyDescent="0.25">
      <c r="E570" s="78"/>
    </row>
    <row r="571" spans="5:5" ht="14.25" customHeight="1" x14ac:dyDescent="0.25">
      <c r="E571" s="78"/>
    </row>
    <row r="572" spans="5:5" ht="14.25" customHeight="1" x14ac:dyDescent="0.25">
      <c r="E572" s="78"/>
    </row>
    <row r="573" spans="5:5" ht="14.25" customHeight="1" x14ac:dyDescent="0.25">
      <c r="E573" s="78"/>
    </row>
    <row r="574" spans="5:5" ht="14.25" customHeight="1" x14ac:dyDescent="0.25">
      <c r="E574" s="78"/>
    </row>
    <row r="575" spans="5:5" ht="14.25" customHeight="1" x14ac:dyDescent="0.25">
      <c r="E575" s="78"/>
    </row>
    <row r="576" spans="5:5" ht="14.25" customHeight="1" x14ac:dyDescent="0.25">
      <c r="E576" s="78"/>
    </row>
    <row r="577" spans="5:5" ht="14.25" customHeight="1" x14ac:dyDescent="0.25">
      <c r="E577" s="78"/>
    </row>
    <row r="578" spans="5:5" ht="14.25" customHeight="1" x14ac:dyDescent="0.25">
      <c r="E578" s="78"/>
    </row>
    <row r="579" spans="5:5" ht="14.25" customHeight="1" x14ac:dyDescent="0.25">
      <c r="E579" s="78"/>
    </row>
    <row r="580" spans="5:5" ht="14.25" customHeight="1" x14ac:dyDescent="0.25">
      <c r="E580" s="78"/>
    </row>
    <row r="581" spans="5:5" ht="14.25" customHeight="1" x14ac:dyDescent="0.25">
      <c r="E581" s="78"/>
    </row>
    <row r="582" spans="5:5" ht="14.25" customHeight="1" x14ac:dyDescent="0.25">
      <c r="E582" s="78"/>
    </row>
    <row r="583" spans="5:5" ht="14.25" customHeight="1" x14ac:dyDescent="0.25">
      <c r="E583" s="78"/>
    </row>
    <row r="584" spans="5:5" ht="14.25" customHeight="1" x14ac:dyDescent="0.25">
      <c r="E584" s="78"/>
    </row>
    <row r="585" spans="5:5" ht="14.25" customHeight="1" x14ac:dyDescent="0.25">
      <c r="E585" s="78"/>
    </row>
    <row r="586" spans="5:5" ht="14.25" customHeight="1" x14ac:dyDescent="0.25">
      <c r="E586" s="78"/>
    </row>
    <row r="587" spans="5:5" ht="14.25" customHeight="1" x14ac:dyDescent="0.25">
      <c r="E587" s="78"/>
    </row>
    <row r="588" spans="5:5" ht="14.25" customHeight="1" x14ac:dyDescent="0.25">
      <c r="E588" s="78"/>
    </row>
    <row r="589" spans="5:5" ht="14.25" customHeight="1" x14ac:dyDescent="0.25">
      <c r="E589" s="78"/>
    </row>
    <row r="590" spans="5:5" ht="14.25" customHeight="1" x14ac:dyDescent="0.25">
      <c r="E590" s="78"/>
    </row>
    <row r="591" spans="5:5" ht="14.25" customHeight="1" x14ac:dyDescent="0.25">
      <c r="E591" s="78"/>
    </row>
    <row r="592" spans="5:5" ht="14.25" customHeight="1" x14ac:dyDescent="0.25">
      <c r="E592" s="78"/>
    </row>
    <row r="593" spans="5:5" ht="14.25" customHeight="1" x14ac:dyDescent="0.25">
      <c r="E593" s="78"/>
    </row>
    <row r="594" spans="5:5" ht="14.25" customHeight="1" x14ac:dyDescent="0.25">
      <c r="E594" s="78"/>
    </row>
    <row r="595" spans="5:5" ht="14.25" customHeight="1" x14ac:dyDescent="0.25">
      <c r="E595" s="78"/>
    </row>
    <row r="596" spans="5:5" ht="14.25" customHeight="1" x14ac:dyDescent="0.25">
      <c r="E596" s="78"/>
    </row>
    <row r="597" spans="5:5" ht="14.25" customHeight="1" x14ac:dyDescent="0.25">
      <c r="E597" s="78"/>
    </row>
    <row r="598" spans="5:5" ht="14.25" customHeight="1" x14ac:dyDescent="0.25">
      <c r="E598" s="78"/>
    </row>
    <row r="599" spans="5:5" ht="14.25" customHeight="1" x14ac:dyDescent="0.25">
      <c r="E599" s="78"/>
    </row>
    <row r="600" spans="5:5" ht="14.25" customHeight="1" x14ac:dyDescent="0.25">
      <c r="E600" s="78"/>
    </row>
    <row r="601" spans="5:5" ht="14.25" customHeight="1" x14ac:dyDescent="0.25">
      <c r="E601" s="78"/>
    </row>
    <row r="602" spans="5:5" ht="14.25" customHeight="1" x14ac:dyDescent="0.25">
      <c r="E602" s="78"/>
    </row>
    <row r="603" spans="5:5" ht="14.25" customHeight="1" x14ac:dyDescent="0.25">
      <c r="E603" s="78"/>
    </row>
    <row r="604" spans="5:5" ht="14.25" customHeight="1" x14ac:dyDescent="0.25">
      <c r="E604" s="78"/>
    </row>
    <row r="605" spans="5:5" ht="14.25" customHeight="1" x14ac:dyDescent="0.25">
      <c r="E605" s="78"/>
    </row>
    <row r="606" spans="5:5" ht="14.25" customHeight="1" x14ac:dyDescent="0.25">
      <c r="E606" s="78"/>
    </row>
    <row r="607" spans="5:5" ht="14.25" customHeight="1" x14ac:dyDescent="0.25">
      <c r="E607" s="78"/>
    </row>
    <row r="608" spans="5:5" ht="14.25" customHeight="1" x14ac:dyDescent="0.25">
      <c r="E608" s="78"/>
    </row>
    <row r="609" spans="5:5" ht="14.25" customHeight="1" x14ac:dyDescent="0.25">
      <c r="E609" s="78"/>
    </row>
    <row r="610" spans="5:5" ht="14.25" customHeight="1" x14ac:dyDescent="0.25">
      <c r="E610" s="78"/>
    </row>
    <row r="611" spans="5:5" ht="14.25" customHeight="1" x14ac:dyDescent="0.25">
      <c r="E611" s="78"/>
    </row>
    <row r="612" spans="5:5" ht="14.25" customHeight="1" x14ac:dyDescent="0.25">
      <c r="E612" s="78"/>
    </row>
    <row r="613" spans="5:5" ht="14.25" customHeight="1" x14ac:dyDescent="0.25">
      <c r="E613" s="78"/>
    </row>
    <row r="614" spans="5:5" ht="14.25" customHeight="1" x14ac:dyDescent="0.25">
      <c r="E614" s="78"/>
    </row>
    <row r="615" spans="5:5" ht="14.25" customHeight="1" x14ac:dyDescent="0.25">
      <c r="E615" s="78"/>
    </row>
    <row r="616" spans="5:5" ht="14.25" customHeight="1" x14ac:dyDescent="0.25">
      <c r="E616" s="78"/>
    </row>
    <row r="617" spans="5:5" ht="14.25" customHeight="1" x14ac:dyDescent="0.25">
      <c r="E617" s="78"/>
    </row>
    <row r="618" spans="5:5" ht="14.25" customHeight="1" x14ac:dyDescent="0.25">
      <c r="E618" s="78"/>
    </row>
    <row r="619" spans="5:5" ht="14.25" customHeight="1" x14ac:dyDescent="0.25">
      <c r="E619" s="78"/>
    </row>
    <row r="620" spans="5:5" ht="14.25" customHeight="1" x14ac:dyDescent="0.25">
      <c r="E620" s="78"/>
    </row>
    <row r="621" spans="5:5" ht="14.25" customHeight="1" x14ac:dyDescent="0.25">
      <c r="E621" s="78"/>
    </row>
    <row r="622" spans="5:5" ht="14.25" customHeight="1" x14ac:dyDescent="0.25">
      <c r="E622" s="78"/>
    </row>
    <row r="623" spans="5:5" ht="14.25" customHeight="1" x14ac:dyDescent="0.25">
      <c r="E623" s="78"/>
    </row>
    <row r="624" spans="5:5" ht="14.25" customHeight="1" x14ac:dyDescent="0.25">
      <c r="E624" s="78"/>
    </row>
    <row r="625" spans="5:5" ht="14.25" customHeight="1" x14ac:dyDescent="0.25">
      <c r="E625" s="78"/>
    </row>
    <row r="626" spans="5:5" ht="14.25" customHeight="1" x14ac:dyDescent="0.25">
      <c r="E626" s="78"/>
    </row>
    <row r="627" spans="5:5" ht="14.25" customHeight="1" x14ac:dyDescent="0.25">
      <c r="E627" s="78"/>
    </row>
    <row r="628" spans="5:5" ht="14.25" customHeight="1" x14ac:dyDescent="0.25">
      <c r="E628" s="78"/>
    </row>
    <row r="629" spans="5:5" ht="14.25" customHeight="1" x14ac:dyDescent="0.25">
      <c r="E629" s="78"/>
    </row>
    <row r="630" spans="5:5" ht="14.25" customHeight="1" x14ac:dyDescent="0.25">
      <c r="E630" s="78"/>
    </row>
    <row r="631" spans="5:5" ht="14.25" customHeight="1" x14ac:dyDescent="0.25">
      <c r="E631" s="78"/>
    </row>
    <row r="632" spans="5:5" ht="14.25" customHeight="1" x14ac:dyDescent="0.25">
      <c r="E632" s="78"/>
    </row>
    <row r="633" spans="5:5" ht="14.25" customHeight="1" x14ac:dyDescent="0.25">
      <c r="E633" s="78"/>
    </row>
    <row r="634" spans="5:5" ht="14.25" customHeight="1" x14ac:dyDescent="0.25">
      <c r="E634" s="78"/>
    </row>
    <row r="635" spans="5:5" ht="14.25" customHeight="1" x14ac:dyDescent="0.25">
      <c r="E635" s="78"/>
    </row>
    <row r="636" spans="5:5" ht="14.25" customHeight="1" x14ac:dyDescent="0.25">
      <c r="E636" s="78"/>
    </row>
    <row r="637" spans="5:5" ht="14.25" customHeight="1" x14ac:dyDescent="0.25">
      <c r="E637" s="78"/>
    </row>
    <row r="638" spans="5:5" ht="14.25" customHeight="1" x14ac:dyDescent="0.25">
      <c r="E638" s="78"/>
    </row>
    <row r="639" spans="5:5" ht="14.25" customHeight="1" x14ac:dyDescent="0.25">
      <c r="E639" s="78"/>
    </row>
    <row r="640" spans="5:5" ht="14.25" customHeight="1" x14ac:dyDescent="0.25">
      <c r="E640" s="78"/>
    </row>
    <row r="641" spans="5:5" ht="14.25" customHeight="1" x14ac:dyDescent="0.25">
      <c r="E641" s="78"/>
    </row>
    <row r="642" spans="5:5" ht="14.25" customHeight="1" x14ac:dyDescent="0.25">
      <c r="E642" s="78"/>
    </row>
    <row r="643" spans="5:5" ht="14.25" customHeight="1" x14ac:dyDescent="0.25">
      <c r="E643" s="78"/>
    </row>
    <row r="644" spans="5:5" ht="14.25" customHeight="1" x14ac:dyDescent="0.25">
      <c r="E644" s="78"/>
    </row>
    <row r="645" spans="5:5" ht="14.25" customHeight="1" x14ac:dyDescent="0.25">
      <c r="E645" s="78"/>
    </row>
    <row r="646" spans="5:5" ht="14.25" customHeight="1" x14ac:dyDescent="0.25">
      <c r="E646" s="78"/>
    </row>
    <row r="647" spans="5:5" ht="14.25" customHeight="1" x14ac:dyDescent="0.25">
      <c r="E647" s="78"/>
    </row>
    <row r="648" spans="5:5" ht="14.25" customHeight="1" x14ac:dyDescent="0.25">
      <c r="E648" s="78"/>
    </row>
    <row r="649" spans="5:5" ht="14.25" customHeight="1" x14ac:dyDescent="0.25">
      <c r="E649" s="78"/>
    </row>
    <row r="650" spans="5:5" ht="14.25" customHeight="1" x14ac:dyDescent="0.25">
      <c r="E650" s="78"/>
    </row>
    <row r="651" spans="5:5" ht="14.25" customHeight="1" x14ac:dyDescent="0.25">
      <c r="E651" s="78"/>
    </row>
    <row r="652" spans="5:5" ht="14.25" customHeight="1" x14ac:dyDescent="0.25">
      <c r="E652" s="78"/>
    </row>
    <row r="653" spans="5:5" ht="14.25" customHeight="1" x14ac:dyDescent="0.25">
      <c r="E653" s="78"/>
    </row>
    <row r="654" spans="5:5" ht="14.25" customHeight="1" x14ac:dyDescent="0.25">
      <c r="E654" s="78"/>
    </row>
    <row r="655" spans="5:5" ht="14.25" customHeight="1" x14ac:dyDescent="0.25">
      <c r="E655" s="78"/>
    </row>
    <row r="656" spans="5:5" ht="14.25" customHeight="1" x14ac:dyDescent="0.25">
      <c r="E656" s="78"/>
    </row>
    <row r="657" spans="5:5" ht="14.25" customHeight="1" x14ac:dyDescent="0.25">
      <c r="E657" s="78"/>
    </row>
    <row r="658" spans="5:5" ht="14.25" customHeight="1" x14ac:dyDescent="0.25">
      <c r="E658" s="78"/>
    </row>
    <row r="659" spans="5:5" ht="14.25" customHeight="1" x14ac:dyDescent="0.25">
      <c r="E659" s="78"/>
    </row>
    <row r="660" spans="5:5" ht="14.25" customHeight="1" x14ac:dyDescent="0.25">
      <c r="E660" s="78"/>
    </row>
    <row r="661" spans="5:5" ht="14.25" customHeight="1" x14ac:dyDescent="0.25">
      <c r="E661" s="78"/>
    </row>
    <row r="662" spans="5:5" ht="14.25" customHeight="1" x14ac:dyDescent="0.25">
      <c r="E662" s="78"/>
    </row>
    <row r="663" spans="5:5" ht="14.25" customHeight="1" x14ac:dyDescent="0.25">
      <c r="E663" s="78"/>
    </row>
    <row r="664" spans="5:5" ht="14.25" customHeight="1" x14ac:dyDescent="0.25">
      <c r="E664" s="78"/>
    </row>
    <row r="665" spans="5:5" ht="14.25" customHeight="1" x14ac:dyDescent="0.25">
      <c r="E665" s="78"/>
    </row>
    <row r="666" spans="5:5" ht="14.25" customHeight="1" x14ac:dyDescent="0.25">
      <c r="E666" s="78"/>
    </row>
    <row r="667" spans="5:5" ht="14.25" customHeight="1" x14ac:dyDescent="0.25">
      <c r="E667" s="78"/>
    </row>
    <row r="668" spans="5:5" ht="14.25" customHeight="1" x14ac:dyDescent="0.25">
      <c r="E668" s="78"/>
    </row>
    <row r="669" spans="5:5" ht="14.25" customHeight="1" x14ac:dyDescent="0.25">
      <c r="E669" s="78"/>
    </row>
    <row r="670" spans="5:5" ht="14.25" customHeight="1" x14ac:dyDescent="0.25">
      <c r="E670" s="78"/>
    </row>
    <row r="671" spans="5:5" ht="14.25" customHeight="1" x14ac:dyDescent="0.25">
      <c r="E671" s="78"/>
    </row>
    <row r="672" spans="5:5" ht="14.25" customHeight="1" x14ac:dyDescent="0.25">
      <c r="E672" s="78"/>
    </row>
    <row r="673" spans="5:5" ht="14.25" customHeight="1" x14ac:dyDescent="0.25">
      <c r="E673" s="78"/>
    </row>
    <row r="674" spans="5:5" ht="14.25" customHeight="1" x14ac:dyDescent="0.25">
      <c r="E674" s="78"/>
    </row>
    <row r="675" spans="5:5" ht="14.25" customHeight="1" x14ac:dyDescent="0.25">
      <c r="E675" s="78"/>
    </row>
    <row r="676" spans="5:5" ht="14.25" customHeight="1" x14ac:dyDescent="0.25">
      <c r="E676" s="78"/>
    </row>
    <row r="677" spans="5:5" ht="14.25" customHeight="1" x14ac:dyDescent="0.25">
      <c r="E677" s="78"/>
    </row>
    <row r="678" spans="5:5" ht="14.25" customHeight="1" x14ac:dyDescent="0.25">
      <c r="E678" s="78"/>
    </row>
    <row r="679" spans="5:5" ht="14.25" customHeight="1" x14ac:dyDescent="0.25">
      <c r="E679" s="78"/>
    </row>
    <row r="680" spans="5:5" ht="14.25" customHeight="1" x14ac:dyDescent="0.25">
      <c r="E680" s="78"/>
    </row>
    <row r="681" spans="5:5" ht="14.25" customHeight="1" x14ac:dyDescent="0.25">
      <c r="E681" s="78"/>
    </row>
    <row r="682" spans="5:5" ht="14.25" customHeight="1" x14ac:dyDescent="0.25">
      <c r="E682" s="78"/>
    </row>
    <row r="683" spans="5:5" ht="14.25" customHeight="1" x14ac:dyDescent="0.25">
      <c r="E683" s="78"/>
    </row>
    <row r="684" spans="5:5" ht="14.25" customHeight="1" x14ac:dyDescent="0.25">
      <c r="E684" s="78"/>
    </row>
    <row r="685" spans="5:5" ht="14.25" customHeight="1" x14ac:dyDescent="0.25">
      <c r="E685" s="78"/>
    </row>
    <row r="686" spans="5:5" ht="14.25" customHeight="1" x14ac:dyDescent="0.25">
      <c r="E686" s="78"/>
    </row>
    <row r="687" spans="5:5" ht="14.25" customHeight="1" x14ac:dyDescent="0.25">
      <c r="E687" s="78"/>
    </row>
    <row r="688" spans="5:5" ht="14.25" customHeight="1" x14ac:dyDescent="0.25">
      <c r="E688" s="78"/>
    </row>
    <row r="689" spans="5:5" ht="14.25" customHeight="1" x14ac:dyDescent="0.25">
      <c r="E689" s="78"/>
    </row>
    <row r="690" spans="5:5" ht="14.25" customHeight="1" x14ac:dyDescent="0.25">
      <c r="E690" s="78"/>
    </row>
    <row r="691" spans="5:5" ht="14.25" customHeight="1" x14ac:dyDescent="0.25">
      <c r="E691" s="78"/>
    </row>
    <row r="692" spans="5:5" ht="14.25" customHeight="1" x14ac:dyDescent="0.25">
      <c r="E692" s="78"/>
    </row>
    <row r="693" spans="5:5" ht="14.25" customHeight="1" x14ac:dyDescent="0.25">
      <c r="E693" s="78"/>
    </row>
    <row r="694" spans="5:5" ht="14.25" customHeight="1" x14ac:dyDescent="0.25">
      <c r="E694" s="78"/>
    </row>
    <row r="695" spans="5:5" ht="14.25" customHeight="1" x14ac:dyDescent="0.25">
      <c r="E695" s="78"/>
    </row>
    <row r="696" spans="5:5" ht="14.25" customHeight="1" x14ac:dyDescent="0.25">
      <c r="E696" s="78"/>
    </row>
    <row r="697" spans="5:5" ht="14.25" customHeight="1" x14ac:dyDescent="0.25">
      <c r="E697" s="78"/>
    </row>
    <row r="698" spans="5:5" ht="14.25" customHeight="1" x14ac:dyDescent="0.25">
      <c r="E698" s="78"/>
    </row>
    <row r="699" spans="5:5" ht="14.25" customHeight="1" x14ac:dyDescent="0.25">
      <c r="E699" s="78"/>
    </row>
    <row r="700" spans="5:5" ht="14.25" customHeight="1" x14ac:dyDescent="0.25">
      <c r="E700" s="78"/>
    </row>
    <row r="701" spans="5:5" ht="14.25" customHeight="1" x14ac:dyDescent="0.25">
      <c r="E701" s="78"/>
    </row>
    <row r="702" spans="5:5" ht="14.25" customHeight="1" x14ac:dyDescent="0.25">
      <c r="E702" s="78"/>
    </row>
    <row r="703" spans="5:5" ht="14.25" customHeight="1" x14ac:dyDescent="0.25">
      <c r="E703" s="78"/>
    </row>
    <row r="704" spans="5:5" ht="14.25" customHeight="1" x14ac:dyDescent="0.25">
      <c r="E704" s="78"/>
    </row>
    <row r="705" spans="5:5" ht="14.25" customHeight="1" x14ac:dyDescent="0.25">
      <c r="E705" s="78"/>
    </row>
    <row r="706" spans="5:5" ht="14.25" customHeight="1" x14ac:dyDescent="0.25">
      <c r="E706" s="78"/>
    </row>
    <row r="707" spans="5:5" ht="14.25" customHeight="1" x14ac:dyDescent="0.25">
      <c r="E707" s="78"/>
    </row>
    <row r="708" spans="5:5" ht="14.25" customHeight="1" x14ac:dyDescent="0.25">
      <c r="E708" s="78"/>
    </row>
    <row r="709" spans="5:5" ht="14.25" customHeight="1" x14ac:dyDescent="0.25">
      <c r="E709" s="78"/>
    </row>
    <row r="710" spans="5:5" ht="14.25" customHeight="1" x14ac:dyDescent="0.25">
      <c r="E710" s="78"/>
    </row>
    <row r="711" spans="5:5" ht="14.25" customHeight="1" x14ac:dyDescent="0.25">
      <c r="E711" s="78"/>
    </row>
    <row r="712" spans="5:5" ht="14.25" customHeight="1" x14ac:dyDescent="0.25">
      <c r="E712" s="78"/>
    </row>
    <row r="713" spans="5:5" ht="14.25" customHeight="1" x14ac:dyDescent="0.25">
      <c r="E713" s="78"/>
    </row>
    <row r="714" spans="5:5" ht="14.25" customHeight="1" x14ac:dyDescent="0.25">
      <c r="E714" s="78"/>
    </row>
    <row r="715" spans="5:5" ht="14.25" customHeight="1" x14ac:dyDescent="0.25">
      <c r="E715" s="78"/>
    </row>
    <row r="716" spans="5:5" ht="14.25" customHeight="1" x14ac:dyDescent="0.25">
      <c r="E716" s="78"/>
    </row>
    <row r="717" spans="5:5" ht="14.25" customHeight="1" x14ac:dyDescent="0.25">
      <c r="E717" s="78"/>
    </row>
    <row r="718" spans="5:5" ht="14.25" customHeight="1" x14ac:dyDescent="0.25">
      <c r="E718" s="78"/>
    </row>
    <row r="719" spans="5:5" ht="14.25" customHeight="1" x14ac:dyDescent="0.25">
      <c r="E719" s="78"/>
    </row>
    <row r="720" spans="5:5" ht="14.25" customHeight="1" x14ac:dyDescent="0.25">
      <c r="E720" s="78"/>
    </row>
    <row r="721" spans="5:5" ht="14.25" customHeight="1" x14ac:dyDescent="0.25">
      <c r="E721" s="78"/>
    </row>
    <row r="722" spans="5:5" ht="14.25" customHeight="1" x14ac:dyDescent="0.25">
      <c r="E722" s="78"/>
    </row>
    <row r="723" spans="5:5" ht="14.25" customHeight="1" x14ac:dyDescent="0.25">
      <c r="E723" s="78"/>
    </row>
    <row r="724" spans="5:5" ht="14.25" customHeight="1" x14ac:dyDescent="0.25">
      <c r="E724" s="78"/>
    </row>
    <row r="725" spans="5:5" ht="14.25" customHeight="1" x14ac:dyDescent="0.25">
      <c r="E725" s="78"/>
    </row>
    <row r="726" spans="5:5" ht="14.25" customHeight="1" x14ac:dyDescent="0.25">
      <c r="E726" s="78"/>
    </row>
    <row r="727" spans="5:5" ht="14.25" customHeight="1" x14ac:dyDescent="0.25">
      <c r="E727" s="78"/>
    </row>
    <row r="728" spans="5:5" ht="14.25" customHeight="1" x14ac:dyDescent="0.25">
      <c r="E728" s="78"/>
    </row>
    <row r="729" spans="5:5" ht="14.25" customHeight="1" x14ac:dyDescent="0.25">
      <c r="E729" s="78"/>
    </row>
    <row r="730" spans="5:5" ht="14.25" customHeight="1" x14ac:dyDescent="0.25">
      <c r="E730" s="78"/>
    </row>
    <row r="731" spans="5:5" ht="14.25" customHeight="1" x14ac:dyDescent="0.25">
      <c r="E731" s="78"/>
    </row>
    <row r="732" spans="5:5" ht="14.25" customHeight="1" x14ac:dyDescent="0.25">
      <c r="E732" s="78"/>
    </row>
    <row r="733" spans="5:5" ht="14.25" customHeight="1" x14ac:dyDescent="0.25">
      <c r="E733" s="78"/>
    </row>
    <row r="734" spans="5:5" ht="14.25" customHeight="1" x14ac:dyDescent="0.25">
      <c r="E734" s="78"/>
    </row>
    <row r="735" spans="5:5" ht="14.25" customHeight="1" x14ac:dyDescent="0.25">
      <c r="E735" s="78"/>
    </row>
    <row r="736" spans="5:5" ht="14.25" customHeight="1" x14ac:dyDescent="0.25">
      <c r="E736" s="78"/>
    </row>
    <row r="737" spans="5:5" ht="14.25" customHeight="1" x14ac:dyDescent="0.25">
      <c r="E737" s="78"/>
    </row>
    <row r="738" spans="5:5" ht="14.25" customHeight="1" x14ac:dyDescent="0.25">
      <c r="E738" s="78"/>
    </row>
    <row r="739" spans="5:5" ht="14.25" customHeight="1" x14ac:dyDescent="0.25">
      <c r="E739" s="78"/>
    </row>
    <row r="740" spans="5:5" ht="14.25" customHeight="1" x14ac:dyDescent="0.25">
      <c r="E740" s="78"/>
    </row>
    <row r="741" spans="5:5" ht="14.25" customHeight="1" x14ac:dyDescent="0.25">
      <c r="E741" s="78"/>
    </row>
    <row r="742" spans="5:5" ht="14.25" customHeight="1" x14ac:dyDescent="0.25">
      <c r="E742" s="78"/>
    </row>
    <row r="743" spans="5:5" ht="14.25" customHeight="1" x14ac:dyDescent="0.25">
      <c r="E743" s="78"/>
    </row>
    <row r="744" spans="5:5" ht="14.25" customHeight="1" x14ac:dyDescent="0.25">
      <c r="E744" s="78"/>
    </row>
    <row r="745" spans="5:5" ht="14.25" customHeight="1" x14ac:dyDescent="0.25">
      <c r="E745" s="78"/>
    </row>
    <row r="746" spans="5:5" ht="14.25" customHeight="1" x14ac:dyDescent="0.25">
      <c r="E746" s="78"/>
    </row>
    <row r="747" spans="5:5" ht="14.25" customHeight="1" x14ac:dyDescent="0.25">
      <c r="E747" s="78"/>
    </row>
    <row r="748" spans="5:5" ht="14.25" customHeight="1" x14ac:dyDescent="0.25">
      <c r="E748" s="78"/>
    </row>
    <row r="749" spans="5:5" ht="14.25" customHeight="1" x14ac:dyDescent="0.25">
      <c r="E749" s="78"/>
    </row>
    <row r="750" spans="5:5" ht="14.25" customHeight="1" x14ac:dyDescent="0.25">
      <c r="E750" s="78"/>
    </row>
    <row r="751" spans="5:5" ht="14.25" customHeight="1" x14ac:dyDescent="0.25">
      <c r="E751" s="78"/>
    </row>
    <row r="752" spans="5:5" ht="14.25" customHeight="1" x14ac:dyDescent="0.25">
      <c r="E752" s="78"/>
    </row>
    <row r="753" spans="5:5" ht="14.25" customHeight="1" x14ac:dyDescent="0.25">
      <c r="E753" s="78"/>
    </row>
    <row r="754" spans="5:5" ht="14.25" customHeight="1" x14ac:dyDescent="0.25">
      <c r="E754" s="78"/>
    </row>
    <row r="755" spans="5:5" ht="14.25" customHeight="1" x14ac:dyDescent="0.25">
      <c r="E755" s="78"/>
    </row>
    <row r="756" spans="5:5" ht="14.25" customHeight="1" x14ac:dyDescent="0.25">
      <c r="E756" s="78"/>
    </row>
    <row r="757" spans="5:5" ht="14.25" customHeight="1" x14ac:dyDescent="0.25">
      <c r="E757" s="78"/>
    </row>
    <row r="758" spans="5:5" ht="14.25" customHeight="1" x14ac:dyDescent="0.25">
      <c r="E758" s="78"/>
    </row>
    <row r="759" spans="5:5" ht="14.25" customHeight="1" x14ac:dyDescent="0.25">
      <c r="E759" s="78"/>
    </row>
    <row r="760" spans="5:5" ht="14.25" customHeight="1" x14ac:dyDescent="0.25">
      <c r="E760" s="78"/>
    </row>
    <row r="761" spans="5:5" ht="14.25" customHeight="1" x14ac:dyDescent="0.25">
      <c r="E761" s="78"/>
    </row>
    <row r="762" spans="5:5" ht="14.25" customHeight="1" x14ac:dyDescent="0.25">
      <c r="E762" s="78"/>
    </row>
    <row r="763" spans="5:5" ht="14.25" customHeight="1" x14ac:dyDescent="0.25">
      <c r="E763" s="78"/>
    </row>
    <row r="764" spans="5:5" ht="14.25" customHeight="1" x14ac:dyDescent="0.25">
      <c r="E764" s="78"/>
    </row>
    <row r="765" spans="5:5" ht="14.25" customHeight="1" x14ac:dyDescent="0.25">
      <c r="E765" s="78"/>
    </row>
    <row r="766" spans="5:5" ht="14.25" customHeight="1" x14ac:dyDescent="0.25">
      <c r="E766" s="78"/>
    </row>
    <row r="767" spans="5:5" ht="14.25" customHeight="1" x14ac:dyDescent="0.25">
      <c r="E767" s="78"/>
    </row>
    <row r="768" spans="5:5" ht="14.25" customHeight="1" x14ac:dyDescent="0.25">
      <c r="E768" s="78"/>
    </row>
    <row r="769" spans="5:5" ht="14.25" customHeight="1" x14ac:dyDescent="0.25">
      <c r="E769" s="78"/>
    </row>
    <row r="770" spans="5:5" ht="14.25" customHeight="1" x14ac:dyDescent="0.25">
      <c r="E770" s="78"/>
    </row>
    <row r="771" spans="5:5" ht="14.25" customHeight="1" x14ac:dyDescent="0.25">
      <c r="E771" s="78"/>
    </row>
    <row r="772" spans="5:5" ht="14.25" customHeight="1" x14ac:dyDescent="0.25">
      <c r="E772" s="78"/>
    </row>
    <row r="773" spans="5:5" ht="14.25" customHeight="1" x14ac:dyDescent="0.25">
      <c r="E773" s="78"/>
    </row>
    <row r="774" spans="5:5" ht="14.25" customHeight="1" x14ac:dyDescent="0.25">
      <c r="E774" s="78"/>
    </row>
    <row r="775" spans="5:5" ht="14.25" customHeight="1" x14ac:dyDescent="0.25">
      <c r="E775" s="78"/>
    </row>
    <row r="776" spans="5:5" ht="14.25" customHeight="1" x14ac:dyDescent="0.25">
      <c r="E776" s="78"/>
    </row>
    <row r="777" spans="5:5" ht="14.25" customHeight="1" x14ac:dyDescent="0.25">
      <c r="E777" s="78"/>
    </row>
    <row r="778" spans="5:5" ht="14.25" customHeight="1" x14ac:dyDescent="0.25">
      <c r="E778" s="78"/>
    </row>
    <row r="779" spans="5:5" ht="14.25" customHeight="1" x14ac:dyDescent="0.25">
      <c r="E779" s="78"/>
    </row>
    <row r="780" spans="5:5" ht="14.25" customHeight="1" x14ac:dyDescent="0.25">
      <c r="E780" s="78"/>
    </row>
    <row r="781" spans="5:5" ht="14.25" customHeight="1" x14ac:dyDescent="0.25">
      <c r="E781" s="78"/>
    </row>
    <row r="782" spans="5:5" ht="14.25" customHeight="1" x14ac:dyDescent="0.25">
      <c r="E782" s="78"/>
    </row>
    <row r="783" spans="5:5" ht="14.25" customHeight="1" x14ac:dyDescent="0.25">
      <c r="E783" s="78"/>
    </row>
    <row r="784" spans="5:5" ht="14.25" customHeight="1" x14ac:dyDescent="0.25">
      <c r="E784" s="78"/>
    </row>
    <row r="785" spans="5:5" ht="14.25" customHeight="1" x14ac:dyDescent="0.25">
      <c r="E785" s="78"/>
    </row>
    <row r="786" spans="5:5" ht="14.25" customHeight="1" x14ac:dyDescent="0.25">
      <c r="E786" s="78"/>
    </row>
    <row r="787" spans="5:5" ht="14.25" customHeight="1" x14ac:dyDescent="0.25">
      <c r="E787" s="78"/>
    </row>
    <row r="788" spans="5:5" ht="14.25" customHeight="1" x14ac:dyDescent="0.25">
      <c r="E788" s="78"/>
    </row>
    <row r="789" spans="5:5" ht="14.25" customHeight="1" x14ac:dyDescent="0.25">
      <c r="E789" s="78"/>
    </row>
    <row r="790" spans="5:5" ht="14.25" customHeight="1" x14ac:dyDescent="0.25">
      <c r="E790" s="78"/>
    </row>
    <row r="791" spans="5:5" ht="14.25" customHeight="1" x14ac:dyDescent="0.25">
      <c r="E791" s="78"/>
    </row>
    <row r="792" spans="5:5" ht="14.25" customHeight="1" x14ac:dyDescent="0.25">
      <c r="E792" s="78"/>
    </row>
    <row r="793" spans="5:5" ht="14.25" customHeight="1" x14ac:dyDescent="0.25">
      <c r="E793" s="78"/>
    </row>
    <row r="794" spans="5:5" ht="14.25" customHeight="1" x14ac:dyDescent="0.25">
      <c r="E794" s="78"/>
    </row>
    <row r="795" spans="5:5" ht="14.25" customHeight="1" x14ac:dyDescent="0.25">
      <c r="E795" s="78"/>
    </row>
    <row r="796" spans="5:5" ht="14.25" customHeight="1" x14ac:dyDescent="0.25">
      <c r="E796" s="78"/>
    </row>
    <row r="797" spans="5:5" ht="14.25" customHeight="1" x14ac:dyDescent="0.25">
      <c r="E797" s="78"/>
    </row>
    <row r="798" spans="5:5" ht="14.25" customHeight="1" x14ac:dyDescent="0.25">
      <c r="E798" s="78"/>
    </row>
    <row r="799" spans="5:5" ht="14.25" customHeight="1" x14ac:dyDescent="0.25">
      <c r="E799" s="78"/>
    </row>
    <row r="800" spans="5:5" ht="14.25" customHeight="1" x14ac:dyDescent="0.25">
      <c r="E800" s="78"/>
    </row>
    <row r="801" spans="5:5" ht="14.25" customHeight="1" x14ac:dyDescent="0.25">
      <c r="E801" s="78"/>
    </row>
    <row r="802" spans="5:5" ht="14.25" customHeight="1" x14ac:dyDescent="0.25">
      <c r="E802" s="78"/>
    </row>
    <row r="803" spans="5:5" ht="14.25" customHeight="1" x14ac:dyDescent="0.25">
      <c r="E803" s="78"/>
    </row>
    <row r="804" spans="5:5" ht="14.25" customHeight="1" x14ac:dyDescent="0.25">
      <c r="E804" s="78"/>
    </row>
    <row r="805" spans="5:5" ht="14.25" customHeight="1" x14ac:dyDescent="0.25">
      <c r="E805" s="78"/>
    </row>
    <row r="806" spans="5:5" ht="14.25" customHeight="1" x14ac:dyDescent="0.25">
      <c r="E806" s="78"/>
    </row>
    <row r="807" spans="5:5" ht="14.25" customHeight="1" x14ac:dyDescent="0.25">
      <c r="E807" s="78"/>
    </row>
    <row r="808" spans="5:5" ht="14.25" customHeight="1" x14ac:dyDescent="0.25">
      <c r="E808" s="78"/>
    </row>
    <row r="809" spans="5:5" ht="14.25" customHeight="1" x14ac:dyDescent="0.25">
      <c r="E809" s="78"/>
    </row>
    <row r="810" spans="5:5" ht="14.25" customHeight="1" x14ac:dyDescent="0.25">
      <c r="E810" s="78"/>
    </row>
    <row r="811" spans="5:5" ht="14.25" customHeight="1" x14ac:dyDescent="0.25">
      <c r="E811" s="78"/>
    </row>
    <row r="812" spans="5:5" ht="14.25" customHeight="1" x14ac:dyDescent="0.25">
      <c r="E812" s="78"/>
    </row>
    <row r="813" spans="5:5" ht="14.25" customHeight="1" x14ac:dyDescent="0.25">
      <c r="E813" s="78"/>
    </row>
    <row r="814" spans="5:5" ht="14.25" customHeight="1" x14ac:dyDescent="0.25">
      <c r="E814" s="78"/>
    </row>
    <row r="815" spans="5:5" ht="14.25" customHeight="1" x14ac:dyDescent="0.25">
      <c r="E815" s="78"/>
    </row>
    <row r="816" spans="5:5" ht="14.25" customHeight="1" x14ac:dyDescent="0.25">
      <c r="E816" s="78"/>
    </row>
    <row r="817" spans="5:5" ht="14.25" customHeight="1" x14ac:dyDescent="0.25">
      <c r="E817" s="78"/>
    </row>
    <row r="818" spans="5:5" ht="14.25" customHeight="1" x14ac:dyDescent="0.25">
      <c r="E818" s="78"/>
    </row>
    <row r="819" spans="5:5" ht="14.25" customHeight="1" x14ac:dyDescent="0.25">
      <c r="E819" s="78"/>
    </row>
    <row r="820" spans="5:5" ht="14.25" customHeight="1" x14ac:dyDescent="0.25">
      <c r="E820" s="78"/>
    </row>
    <row r="821" spans="5:5" ht="14.25" customHeight="1" x14ac:dyDescent="0.25">
      <c r="E821" s="78"/>
    </row>
    <row r="822" spans="5:5" ht="14.25" customHeight="1" x14ac:dyDescent="0.25">
      <c r="E822" s="78"/>
    </row>
    <row r="823" spans="5:5" ht="14.25" customHeight="1" x14ac:dyDescent="0.25">
      <c r="E823" s="78"/>
    </row>
    <row r="824" spans="5:5" ht="14.25" customHeight="1" x14ac:dyDescent="0.25">
      <c r="E824" s="78"/>
    </row>
    <row r="825" spans="5:5" ht="14.25" customHeight="1" x14ac:dyDescent="0.25">
      <c r="E825" s="78"/>
    </row>
    <row r="826" spans="5:5" ht="14.25" customHeight="1" x14ac:dyDescent="0.25">
      <c r="E826" s="78"/>
    </row>
    <row r="827" spans="5:5" ht="14.25" customHeight="1" x14ac:dyDescent="0.25">
      <c r="E827" s="78"/>
    </row>
    <row r="828" spans="5:5" ht="14.25" customHeight="1" x14ac:dyDescent="0.25">
      <c r="E828" s="78"/>
    </row>
    <row r="829" spans="5:5" ht="14.25" customHeight="1" x14ac:dyDescent="0.25">
      <c r="E829" s="78"/>
    </row>
    <row r="830" spans="5:5" ht="14.25" customHeight="1" x14ac:dyDescent="0.25">
      <c r="E830" s="78"/>
    </row>
    <row r="831" spans="5:5" ht="14.25" customHeight="1" x14ac:dyDescent="0.25">
      <c r="E831" s="78"/>
    </row>
    <row r="832" spans="5:5" ht="14.25" customHeight="1" x14ac:dyDescent="0.25">
      <c r="E832" s="78"/>
    </row>
    <row r="833" spans="5:5" ht="14.25" customHeight="1" x14ac:dyDescent="0.25">
      <c r="E833" s="78"/>
    </row>
    <row r="834" spans="5:5" ht="14.25" customHeight="1" x14ac:dyDescent="0.25">
      <c r="E834" s="78"/>
    </row>
    <row r="835" spans="5:5" ht="14.25" customHeight="1" x14ac:dyDescent="0.25">
      <c r="E835" s="78"/>
    </row>
    <row r="836" spans="5:5" ht="14.25" customHeight="1" x14ac:dyDescent="0.25">
      <c r="E836" s="78"/>
    </row>
    <row r="837" spans="5:5" ht="14.25" customHeight="1" x14ac:dyDescent="0.25">
      <c r="E837" s="78"/>
    </row>
    <row r="838" spans="5:5" ht="14.25" customHeight="1" x14ac:dyDescent="0.25">
      <c r="E838" s="78"/>
    </row>
    <row r="839" spans="5:5" ht="14.25" customHeight="1" x14ac:dyDescent="0.25">
      <c r="E839" s="78"/>
    </row>
    <row r="840" spans="5:5" ht="14.25" customHeight="1" x14ac:dyDescent="0.25">
      <c r="E840" s="78"/>
    </row>
    <row r="841" spans="5:5" ht="14.25" customHeight="1" x14ac:dyDescent="0.25">
      <c r="E841" s="78"/>
    </row>
    <row r="842" spans="5:5" ht="14.25" customHeight="1" x14ac:dyDescent="0.25">
      <c r="E842" s="78"/>
    </row>
    <row r="843" spans="5:5" ht="14.25" customHeight="1" x14ac:dyDescent="0.25">
      <c r="E843" s="78"/>
    </row>
    <row r="844" spans="5:5" ht="14.25" customHeight="1" x14ac:dyDescent="0.25">
      <c r="E844" s="78"/>
    </row>
    <row r="845" spans="5:5" ht="14.25" customHeight="1" x14ac:dyDescent="0.25">
      <c r="E845" s="78"/>
    </row>
    <row r="846" spans="5:5" ht="14.25" customHeight="1" x14ac:dyDescent="0.25">
      <c r="E846" s="78"/>
    </row>
    <row r="847" spans="5:5" ht="14.25" customHeight="1" x14ac:dyDescent="0.25">
      <c r="E847" s="78"/>
    </row>
    <row r="848" spans="5:5" ht="14.25" customHeight="1" x14ac:dyDescent="0.25">
      <c r="E848" s="78"/>
    </row>
    <row r="849" spans="5:5" ht="14.25" customHeight="1" x14ac:dyDescent="0.25">
      <c r="E849" s="78"/>
    </row>
    <row r="850" spans="5:5" ht="14.25" customHeight="1" x14ac:dyDescent="0.25">
      <c r="E850" s="78"/>
    </row>
    <row r="851" spans="5:5" ht="14.25" customHeight="1" x14ac:dyDescent="0.25">
      <c r="E851" s="78"/>
    </row>
    <row r="852" spans="5:5" ht="14.25" customHeight="1" x14ac:dyDescent="0.25">
      <c r="E852" s="78"/>
    </row>
    <row r="853" spans="5:5" ht="14.25" customHeight="1" x14ac:dyDescent="0.25">
      <c r="E853" s="78"/>
    </row>
    <row r="854" spans="5:5" ht="14.25" customHeight="1" x14ac:dyDescent="0.25">
      <c r="E854" s="78"/>
    </row>
    <row r="855" spans="5:5" ht="14.25" customHeight="1" x14ac:dyDescent="0.25">
      <c r="E855" s="78"/>
    </row>
    <row r="856" spans="5:5" ht="14.25" customHeight="1" x14ac:dyDescent="0.25">
      <c r="E856" s="78"/>
    </row>
    <row r="857" spans="5:5" ht="14.25" customHeight="1" x14ac:dyDescent="0.25">
      <c r="E857" s="78"/>
    </row>
    <row r="858" spans="5:5" ht="14.25" customHeight="1" x14ac:dyDescent="0.25">
      <c r="E858" s="78"/>
    </row>
    <row r="859" spans="5:5" ht="14.25" customHeight="1" x14ac:dyDescent="0.25">
      <c r="E859" s="78"/>
    </row>
    <row r="860" spans="5:5" ht="14.25" customHeight="1" x14ac:dyDescent="0.25">
      <c r="E860" s="78"/>
    </row>
    <row r="861" spans="5:5" ht="14.25" customHeight="1" x14ac:dyDescent="0.25">
      <c r="E861" s="78"/>
    </row>
    <row r="862" spans="5:5" ht="14.25" customHeight="1" x14ac:dyDescent="0.25">
      <c r="E862" s="78"/>
    </row>
    <row r="863" spans="5:5" ht="14.25" customHeight="1" x14ac:dyDescent="0.25">
      <c r="E863" s="78"/>
    </row>
    <row r="864" spans="5:5" ht="14.25" customHeight="1" x14ac:dyDescent="0.25">
      <c r="E864" s="78"/>
    </row>
    <row r="865" spans="5:5" ht="14.25" customHeight="1" x14ac:dyDescent="0.25">
      <c r="E865" s="78"/>
    </row>
    <row r="866" spans="5:5" ht="14.25" customHeight="1" x14ac:dyDescent="0.25">
      <c r="E866" s="78"/>
    </row>
    <row r="867" spans="5:5" ht="14.25" customHeight="1" x14ac:dyDescent="0.25">
      <c r="E867" s="78"/>
    </row>
    <row r="868" spans="5:5" ht="14.25" customHeight="1" x14ac:dyDescent="0.25">
      <c r="E868" s="78"/>
    </row>
    <row r="869" spans="5:5" ht="14.25" customHeight="1" x14ac:dyDescent="0.25">
      <c r="E869" s="78"/>
    </row>
    <row r="870" spans="5:5" ht="14.25" customHeight="1" x14ac:dyDescent="0.25">
      <c r="E870" s="78"/>
    </row>
    <row r="871" spans="5:5" ht="14.25" customHeight="1" x14ac:dyDescent="0.25">
      <c r="E871" s="78"/>
    </row>
    <row r="872" spans="5:5" ht="14.25" customHeight="1" x14ac:dyDescent="0.25">
      <c r="E872" s="78"/>
    </row>
    <row r="873" spans="5:5" ht="14.25" customHeight="1" x14ac:dyDescent="0.25">
      <c r="E873" s="78"/>
    </row>
    <row r="874" spans="5:5" ht="14.25" customHeight="1" x14ac:dyDescent="0.25">
      <c r="E874" s="78"/>
    </row>
    <row r="875" spans="5:5" ht="14.25" customHeight="1" x14ac:dyDescent="0.25">
      <c r="E875" s="78"/>
    </row>
    <row r="876" spans="5:5" ht="14.25" customHeight="1" x14ac:dyDescent="0.25">
      <c r="E876" s="78"/>
    </row>
    <row r="877" spans="5:5" ht="14.25" customHeight="1" x14ac:dyDescent="0.25">
      <c r="E877" s="78"/>
    </row>
    <row r="878" spans="5:5" ht="14.25" customHeight="1" x14ac:dyDescent="0.25">
      <c r="E878" s="78"/>
    </row>
    <row r="879" spans="5:5" ht="14.25" customHeight="1" x14ac:dyDescent="0.25">
      <c r="E879" s="78"/>
    </row>
    <row r="880" spans="5:5" ht="14.25" customHeight="1" x14ac:dyDescent="0.25">
      <c r="E880" s="78"/>
    </row>
    <row r="881" spans="5:5" ht="14.25" customHeight="1" x14ac:dyDescent="0.25">
      <c r="E881" s="78"/>
    </row>
    <row r="882" spans="5:5" ht="14.25" customHeight="1" x14ac:dyDescent="0.25">
      <c r="E882" s="78"/>
    </row>
    <row r="883" spans="5:5" ht="14.25" customHeight="1" x14ac:dyDescent="0.25">
      <c r="E883" s="78"/>
    </row>
    <row r="884" spans="5:5" ht="14.25" customHeight="1" x14ac:dyDescent="0.25">
      <c r="E884" s="78"/>
    </row>
    <row r="885" spans="5:5" ht="14.25" customHeight="1" x14ac:dyDescent="0.25">
      <c r="E885" s="78"/>
    </row>
    <row r="886" spans="5:5" ht="14.25" customHeight="1" x14ac:dyDescent="0.25">
      <c r="E886" s="78"/>
    </row>
    <row r="887" spans="5:5" ht="14.25" customHeight="1" x14ac:dyDescent="0.25">
      <c r="E887" s="78"/>
    </row>
    <row r="888" spans="5:5" ht="14.25" customHeight="1" x14ac:dyDescent="0.25">
      <c r="E888" s="78"/>
    </row>
    <row r="889" spans="5:5" ht="14.25" customHeight="1" x14ac:dyDescent="0.25">
      <c r="E889" s="78"/>
    </row>
    <row r="890" spans="5:5" ht="14.25" customHeight="1" x14ac:dyDescent="0.25">
      <c r="E890" s="78"/>
    </row>
    <row r="891" spans="5:5" ht="14.25" customHeight="1" x14ac:dyDescent="0.25">
      <c r="E891" s="78"/>
    </row>
    <row r="892" spans="5:5" ht="14.25" customHeight="1" x14ac:dyDescent="0.25">
      <c r="E892" s="78"/>
    </row>
    <row r="893" spans="5:5" ht="14.25" customHeight="1" x14ac:dyDescent="0.25">
      <c r="E893" s="78"/>
    </row>
    <row r="894" spans="5:5" ht="14.25" customHeight="1" x14ac:dyDescent="0.25">
      <c r="E894" s="78"/>
    </row>
    <row r="895" spans="5:5" ht="14.25" customHeight="1" x14ac:dyDescent="0.25">
      <c r="E895" s="78"/>
    </row>
    <row r="896" spans="5:5" ht="14.25" customHeight="1" x14ac:dyDescent="0.25">
      <c r="E896" s="78"/>
    </row>
    <row r="897" spans="5:5" ht="14.25" customHeight="1" x14ac:dyDescent="0.25">
      <c r="E897" s="78"/>
    </row>
    <row r="898" spans="5:5" ht="14.25" customHeight="1" x14ac:dyDescent="0.25">
      <c r="E898" s="78"/>
    </row>
    <row r="899" spans="5:5" ht="14.25" customHeight="1" x14ac:dyDescent="0.25">
      <c r="E899" s="78"/>
    </row>
    <row r="900" spans="5:5" ht="14.25" customHeight="1" x14ac:dyDescent="0.25">
      <c r="E900" s="78"/>
    </row>
    <row r="901" spans="5:5" ht="14.25" customHeight="1" x14ac:dyDescent="0.25">
      <c r="E901" s="78"/>
    </row>
    <row r="902" spans="5:5" ht="14.25" customHeight="1" x14ac:dyDescent="0.25">
      <c r="E902" s="78"/>
    </row>
    <row r="903" spans="5:5" ht="14.25" customHeight="1" x14ac:dyDescent="0.25">
      <c r="E903" s="78"/>
    </row>
    <row r="904" spans="5:5" ht="14.25" customHeight="1" x14ac:dyDescent="0.25">
      <c r="E904" s="78"/>
    </row>
    <row r="905" spans="5:5" ht="14.25" customHeight="1" x14ac:dyDescent="0.25">
      <c r="E905" s="78"/>
    </row>
    <row r="906" spans="5:5" ht="14.25" customHeight="1" x14ac:dyDescent="0.25">
      <c r="E906" s="78"/>
    </row>
    <row r="907" spans="5:5" ht="14.25" customHeight="1" x14ac:dyDescent="0.25">
      <c r="E907" s="78"/>
    </row>
    <row r="908" spans="5:5" ht="14.25" customHeight="1" x14ac:dyDescent="0.25">
      <c r="E908" s="78"/>
    </row>
    <row r="909" spans="5:5" ht="14.25" customHeight="1" x14ac:dyDescent="0.25">
      <c r="E909" s="78"/>
    </row>
    <row r="910" spans="5:5" ht="14.25" customHeight="1" x14ac:dyDescent="0.25">
      <c r="E910" s="78"/>
    </row>
    <row r="911" spans="5:5" ht="14.25" customHeight="1" x14ac:dyDescent="0.25">
      <c r="E911" s="78"/>
    </row>
    <row r="912" spans="5:5" ht="14.25" customHeight="1" x14ac:dyDescent="0.25">
      <c r="E912" s="78"/>
    </row>
    <row r="913" spans="5:5" ht="14.25" customHeight="1" x14ac:dyDescent="0.25">
      <c r="E913" s="78"/>
    </row>
    <row r="914" spans="5:5" ht="14.25" customHeight="1" x14ac:dyDescent="0.25">
      <c r="E914" s="78"/>
    </row>
    <row r="915" spans="5:5" ht="14.25" customHeight="1" x14ac:dyDescent="0.25">
      <c r="E915" s="78"/>
    </row>
    <row r="916" spans="5:5" ht="14.25" customHeight="1" x14ac:dyDescent="0.25">
      <c r="E916" s="78"/>
    </row>
    <row r="917" spans="5:5" ht="14.25" customHeight="1" x14ac:dyDescent="0.25">
      <c r="E917" s="78"/>
    </row>
    <row r="918" spans="5:5" ht="14.25" customHeight="1" x14ac:dyDescent="0.25">
      <c r="E918" s="78"/>
    </row>
    <row r="919" spans="5:5" ht="14.25" customHeight="1" x14ac:dyDescent="0.25">
      <c r="E919" s="78"/>
    </row>
    <row r="920" spans="5:5" ht="14.25" customHeight="1" x14ac:dyDescent="0.25">
      <c r="E920" s="78"/>
    </row>
    <row r="921" spans="5:5" ht="14.25" customHeight="1" x14ac:dyDescent="0.25">
      <c r="E921" s="78"/>
    </row>
    <row r="922" spans="5:5" ht="14.25" customHeight="1" x14ac:dyDescent="0.25">
      <c r="E922" s="78"/>
    </row>
    <row r="923" spans="5:5" ht="14.25" customHeight="1" x14ac:dyDescent="0.25">
      <c r="E923" s="78"/>
    </row>
    <row r="924" spans="5:5" ht="14.25" customHeight="1" x14ac:dyDescent="0.25">
      <c r="E924" s="78"/>
    </row>
    <row r="925" spans="5:5" ht="14.25" customHeight="1" x14ac:dyDescent="0.25">
      <c r="E925" s="78"/>
    </row>
    <row r="926" spans="5:5" ht="14.25" customHeight="1" x14ac:dyDescent="0.25">
      <c r="E926" s="78"/>
    </row>
    <row r="927" spans="5:5" ht="14.25" customHeight="1" x14ac:dyDescent="0.25">
      <c r="E927" s="78"/>
    </row>
    <row r="928" spans="5:5" ht="14.25" customHeight="1" x14ac:dyDescent="0.25">
      <c r="E928" s="78"/>
    </row>
    <row r="929" spans="5:5" ht="14.25" customHeight="1" x14ac:dyDescent="0.25">
      <c r="E929" s="78"/>
    </row>
    <row r="930" spans="5:5" ht="14.25" customHeight="1" x14ac:dyDescent="0.25">
      <c r="E930" s="78"/>
    </row>
    <row r="931" spans="5:5" ht="14.25" customHeight="1" x14ac:dyDescent="0.25">
      <c r="E931" s="78"/>
    </row>
    <row r="932" spans="5:5" ht="14.25" customHeight="1" x14ac:dyDescent="0.25">
      <c r="E932" s="78"/>
    </row>
    <row r="933" spans="5:5" ht="14.25" customHeight="1" x14ac:dyDescent="0.25">
      <c r="E933" s="78"/>
    </row>
    <row r="934" spans="5:5" ht="14.25" customHeight="1" x14ac:dyDescent="0.25">
      <c r="E934" s="78"/>
    </row>
    <row r="935" spans="5:5" ht="14.25" customHeight="1" x14ac:dyDescent="0.25">
      <c r="E935" s="78"/>
    </row>
    <row r="936" spans="5:5" ht="14.25" customHeight="1" x14ac:dyDescent="0.25">
      <c r="E936" s="78"/>
    </row>
    <row r="937" spans="5:5" ht="14.25" customHeight="1" x14ac:dyDescent="0.25">
      <c r="E937" s="78"/>
    </row>
    <row r="938" spans="5:5" ht="14.25" customHeight="1" x14ac:dyDescent="0.25">
      <c r="E938" s="78"/>
    </row>
    <row r="939" spans="5:5" ht="14.25" customHeight="1" x14ac:dyDescent="0.25">
      <c r="E939" s="78"/>
    </row>
    <row r="940" spans="5:5" ht="14.25" customHeight="1" x14ac:dyDescent="0.25">
      <c r="E940" s="78"/>
    </row>
    <row r="941" spans="5:5" ht="14.25" customHeight="1" x14ac:dyDescent="0.25">
      <c r="E941" s="78"/>
    </row>
    <row r="942" spans="5:5" ht="14.25" customHeight="1" x14ac:dyDescent="0.25">
      <c r="E942" s="78"/>
    </row>
    <row r="943" spans="5:5" ht="14.25" customHeight="1" x14ac:dyDescent="0.25">
      <c r="E943" s="78"/>
    </row>
    <row r="944" spans="5:5" ht="14.25" customHeight="1" x14ac:dyDescent="0.25">
      <c r="E944" s="78"/>
    </row>
    <row r="945" spans="5:5" ht="14.25" customHeight="1" x14ac:dyDescent="0.25">
      <c r="E945" s="78"/>
    </row>
    <row r="946" spans="5:5" ht="14.25" customHeight="1" x14ac:dyDescent="0.25">
      <c r="E946" s="78"/>
    </row>
    <row r="947" spans="5:5" ht="14.25" customHeight="1" x14ac:dyDescent="0.25">
      <c r="E947" s="78"/>
    </row>
    <row r="948" spans="5:5" ht="14.25" customHeight="1" x14ac:dyDescent="0.25">
      <c r="E948" s="78"/>
    </row>
    <row r="949" spans="5:5" ht="14.25" customHeight="1" x14ac:dyDescent="0.25">
      <c r="E949" s="78"/>
    </row>
    <row r="950" spans="5:5" ht="14.25" customHeight="1" x14ac:dyDescent="0.25">
      <c r="E950" s="78"/>
    </row>
    <row r="951" spans="5:5" ht="14.25" customHeight="1" x14ac:dyDescent="0.25">
      <c r="E951" s="78"/>
    </row>
    <row r="952" spans="5:5" ht="14.25" customHeight="1" x14ac:dyDescent="0.25">
      <c r="E952" s="78"/>
    </row>
    <row r="953" spans="5:5" ht="14.25" customHeight="1" x14ac:dyDescent="0.25">
      <c r="E953" s="78"/>
    </row>
    <row r="954" spans="5:5" ht="14.25" customHeight="1" x14ac:dyDescent="0.25">
      <c r="E954" s="78"/>
    </row>
    <row r="955" spans="5:5" ht="14.25" customHeight="1" x14ac:dyDescent="0.25">
      <c r="E955" s="78"/>
    </row>
    <row r="956" spans="5:5" ht="14.25" customHeight="1" x14ac:dyDescent="0.25">
      <c r="E956" s="78"/>
    </row>
    <row r="957" spans="5:5" ht="14.25" customHeight="1" x14ac:dyDescent="0.25">
      <c r="E957" s="78"/>
    </row>
    <row r="958" spans="5:5" ht="14.25" customHeight="1" x14ac:dyDescent="0.25">
      <c r="E958" s="78"/>
    </row>
    <row r="959" spans="5:5" ht="14.25" customHeight="1" x14ac:dyDescent="0.25">
      <c r="E959" s="78"/>
    </row>
    <row r="960" spans="5:5" ht="14.25" customHeight="1" x14ac:dyDescent="0.25">
      <c r="E960" s="78"/>
    </row>
    <row r="961" spans="5:5" ht="14.25" customHeight="1" x14ac:dyDescent="0.25">
      <c r="E961" s="78"/>
    </row>
    <row r="962" spans="5:5" ht="14.25" customHeight="1" x14ac:dyDescent="0.25">
      <c r="E962" s="78"/>
    </row>
    <row r="963" spans="5:5" ht="14.25" customHeight="1" x14ac:dyDescent="0.25">
      <c r="E963" s="78"/>
    </row>
    <row r="964" spans="5:5" ht="14.25" customHeight="1" x14ac:dyDescent="0.25">
      <c r="E964" s="78"/>
    </row>
    <row r="965" spans="5:5" ht="14.25" customHeight="1" x14ac:dyDescent="0.25">
      <c r="E965" s="78"/>
    </row>
    <row r="966" spans="5:5" ht="14.25" customHeight="1" x14ac:dyDescent="0.25">
      <c r="E966" s="78"/>
    </row>
    <row r="967" spans="5:5" ht="14.25" customHeight="1" x14ac:dyDescent="0.25">
      <c r="E967" s="78"/>
    </row>
    <row r="968" spans="5:5" ht="14.25" customHeight="1" x14ac:dyDescent="0.25">
      <c r="E968" s="78"/>
    </row>
    <row r="969" spans="5:5" ht="14.25" customHeight="1" x14ac:dyDescent="0.25">
      <c r="E969" s="78"/>
    </row>
    <row r="970" spans="5:5" ht="14.25" customHeight="1" x14ac:dyDescent="0.25">
      <c r="E970" s="78"/>
    </row>
    <row r="971" spans="5:5" ht="14.25" customHeight="1" x14ac:dyDescent="0.25">
      <c r="E971" s="78"/>
    </row>
    <row r="972" spans="5:5" ht="14.25" customHeight="1" x14ac:dyDescent="0.25">
      <c r="E972" s="78"/>
    </row>
    <row r="973" spans="5:5" ht="14.25" customHeight="1" x14ac:dyDescent="0.25">
      <c r="E973" s="78"/>
    </row>
    <row r="974" spans="5:5" ht="14.25" customHeight="1" x14ac:dyDescent="0.25">
      <c r="E974" s="78"/>
    </row>
    <row r="975" spans="5:5" ht="14.25" customHeight="1" x14ac:dyDescent="0.25">
      <c r="E975" s="78"/>
    </row>
    <row r="976" spans="5:5" ht="14.25" customHeight="1" x14ac:dyDescent="0.25">
      <c r="E976" s="78"/>
    </row>
    <row r="977" spans="5:5" ht="14.25" customHeight="1" x14ac:dyDescent="0.25">
      <c r="E977" s="78"/>
    </row>
    <row r="978" spans="5:5" ht="14.25" customHeight="1" x14ac:dyDescent="0.25">
      <c r="E978" s="78"/>
    </row>
    <row r="979" spans="5:5" ht="14.25" customHeight="1" x14ac:dyDescent="0.25">
      <c r="E979" s="78"/>
    </row>
    <row r="980" spans="5:5" ht="14.25" customHeight="1" x14ac:dyDescent="0.25">
      <c r="E980" s="78"/>
    </row>
    <row r="981" spans="5:5" ht="14.25" customHeight="1" x14ac:dyDescent="0.25">
      <c r="E981" s="78"/>
    </row>
    <row r="982" spans="5:5" ht="14.25" customHeight="1" x14ac:dyDescent="0.25">
      <c r="E982" s="78"/>
    </row>
    <row r="983" spans="5:5" ht="14.25" customHeight="1" x14ac:dyDescent="0.25">
      <c r="E983" s="78"/>
    </row>
    <row r="984" spans="5:5" ht="14.25" customHeight="1" x14ac:dyDescent="0.25">
      <c r="E984" s="78"/>
    </row>
    <row r="985" spans="5:5" ht="14.25" customHeight="1" x14ac:dyDescent="0.25">
      <c r="E985" s="78"/>
    </row>
    <row r="986" spans="5:5" ht="14.25" customHeight="1" x14ac:dyDescent="0.25">
      <c r="E986" s="78"/>
    </row>
    <row r="987" spans="5:5" ht="14.25" customHeight="1" x14ac:dyDescent="0.25">
      <c r="E987" s="78"/>
    </row>
    <row r="988" spans="5:5" ht="14.25" customHeight="1" x14ac:dyDescent="0.25">
      <c r="E988" s="78"/>
    </row>
    <row r="989" spans="5:5" ht="14.25" customHeight="1" x14ac:dyDescent="0.25">
      <c r="E989" s="78"/>
    </row>
    <row r="990" spans="5:5" ht="14.25" customHeight="1" x14ac:dyDescent="0.25">
      <c r="E990" s="78"/>
    </row>
    <row r="991" spans="5:5" ht="14.25" customHeight="1" x14ac:dyDescent="0.25">
      <c r="E991" s="78"/>
    </row>
    <row r="992" spans="5:5" ht="14.25" customHeight="1" x14ac:dyDescent="0.25">
      <c r="E992" s="78"/>
    </row>
    <row r="993" spans="5:5" ht="14.25" customHeight="1" x14ac:dyDescent="0.25">
      <c r="E993" s="78"/>
    </row>
    <row r="994" spans="5:5" ht="14.25" customHeight="1" x14ac:dyDescent="0.25">
      <c r="E994" s="78"/>
    </row>
    <row r="995" spans="5:5" ht="14.25" customHeight="1" x14ac:dyDescent="0.25">
      <c r="E995" s="78"/>
    </row>
    <row r="996" spans="5:5" ht="14.25" customHeight="1" x14ac:dyDescent="0.25">
      <c r="E996" s="78"/>
    </row>
    <row r="997" spans="5:5" ht="14.25" customHeight="1" x14ac:dyDescent="0.25">
      <c r="E997" s="78"/>
    </row>
    <row r="998" spans="5:5" ht="14.25" customHeight="1" x14ac:dyDescent="0.25">
      <c r="E998" s="78"/>
    </row>
    <row r="999" spans="5:5" ht="14.25" customHeight="1" x14ac:dyDescent="0.25">
      <c r="E999" s="78"/>
    </row>
    <row r="1000" spans="5:5" ht="14.25" customHeight="1" x14ac:dyDescent="0.25">
      <c r="E1000" s="78"/>
    </row>
  </sheetData>
  <autoFilter ref="A6:Y306" xr:uid="{00000000-0009-0000-0000-000009000000}">
    <sortState xmlns:xlrd2="http://schemas.microsoft.com/office/spreadsheetml/2017/richdata2" ref="A6:Y306">
      <sortCondition ref="U6:U306"/>
    </sortState>
  </autoFilter>
  <mergeCells count="1">
    <mergeCell ref="A1:C1"/>
  </mergeCells>
  <conditionalFormatting sqref="K5:AB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:L306">
    <cfRule type="cellIs" dxfId="30" priority="2" operator="lessThan">
      <formula>B7</formula>
    </cfRule>
    <cfRule type="cellIs" dxfId="29" priority="3" operator="greaterThan">
      <formula>B7</formula>
    </cfRule>
  </conditionalFormatting>
  <conditionalFormatting sqref="O7:O306">
    <cfRule type="colorScale" priority="4">
      <colorScale>
        <cfvo type="min"/>
        <cfvo type="formula" val="0"/>
        <cfvo type="max"/>
        <color rgb="FFF8696B"/>
        <color rgb="FFFCFCFF"/>
        <color rgb="FF63BE7B"/>
      </colorScale>
    </cfRule>
  </conditionalFormatting>
  <conditionalFormatting sqref="W17:W17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18 W136 W138 W142 W144:W145 W148 W153:W154 W158 W161:W162 W168:W169 W172 W174:W175 W177 W180:W188 W190:W191 W193:W195 W197 W199:W210 W213:W235 W237:W239 W242:W246 W248:W272 W274:W298 W300:W306">
    <cfRule type="cellIs" dxfId="28" priority="6" operator="lessThan">
      <formula>M118</formula>
    </cfRule>
    <cfRule type="cellIs" dxfId="27" priority="7" operator="greaterThan">
      <formula>M118</formula>
    </cfRule>
  </conditionalFormatting>
  <conditionalFormatting sqref="X7:X306">
    <cfRule type="colorScale" priority="8">
      <colorScale>
        <cfvo type="formula" val="-12"/>
        <cfvo type="formula" val="0"/>
        <cfvo type="formula" val="12"/>
        <color rgb="FFF8696B"/>
        <color rgb="FFD8D8D8"/>
        <color rgb="FF63BE7B"/>
      </colorScale>
    </cfRule>
  </conditionalFormatting>
  <conditionalFormatting sqref="X7:Y306 B7:G7 F7:F306 J7:J306 G8:G296 B8:B302 D8:E302 C8:C306">
    <cfRule type="expression" dxfId="26" priority="9">
      <formula>$C7="No"</formula>
    </cfRule>
  </conditionalFormatting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2578125" defaultRowHeight="15" customHeight="1" x14ac:dyDescent="0.25"/>
  <cols>
    <col min="1" max="1" width="23.5703125" customWidth="1"/>
    <col min="2" max="2" width="9.85546875" customWidth="1"/>
    <col min="3" max="3" width="9.7109375" customWidth="1"/>
    <col min="4" max="4" width="18" customWidth="1"/>
    <col min="5" max="5" width="11.140625" customWidth="1"/>
    <col min="6" max="6" width="21.28515625" customWidth="1"/>
    <col min="7" max="7" width="16.28515625" customWidth="1"/>
    <col min="8" max="8" width="25.7109375" customWidth="1"/>
    <col min="9" max="9" width="11.28515625" customWidth="1"/>
    <col min="10" max="10" width="8.7109375" customWidth="1"/>
    <col min="11" max="11" width="20.28515625" customWidth="1"/>
    <col min="12" max="26" width="8.7109375" customWidth="1"/>
  </cols>
  <sheetData>
    <row r="1" spans="1:12" ht="14.25" customHeight="1" x14ac:dyDescent="0.2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10</v>
      </c>
    </row>
    <row r="2" spans="1:12" ht="14.25" customHeight="1" x14ac:dyDescent="0.25">
      <c r="A2" s="7" t="s">
        <v>5</v>
      </c>
      <c r="B2" s="7" t="s">
        <v>8</v>
      </c>
      <c r="C2" s="7" t="s">
        <v>7</v>
      </c>
      <c r="D2" s="9" t="s">
        <v>26</v>
      </c>
      <c r="E2" s="9" t="s">
        <v>27</v>
      </c>
      <c r="F2" s="9" t="s">
        <v>28</v>
      </c>
      <c r="G2" s="9" t="s">
        <v>29</v>
      </c>
      <c r="H2" s="9" t="s">
        <v>30</v>
      </c>
      <c r="I2" s="7" t="s">
        <v>22</v>
      </c>
      <c r="J2" s="7" t="s">
        <v>18</v>
      </c>
      <c r="K2" s="7" t="s">
        <v>1135</v>
      </c>
      <c r="L2" s="10" t="s">
        <v>33</v>
      </c>
    </row>
    <row r="3" spans="1:12" ht="14.25" customHeight="1" x14ac:dyDescent="0.25">
      <c r="A3" s="1" t="s">
        <v>43</v>
      </c>
      <c r="B3" s="11" t="str">
        <f>VLOOKUP($A3, 'ADP Data'!$C$3:$R$300, 2, FALSE)</f>
        <v>CIN</v>
      </c>
      <c r="C3" s="11" t="str">
        <f>VLOOKUP($A3, 'ADP Data'!$C$3:$R$300, 16, FALSE)</f>
        <v>WR</v>
      </c>
      <c r="D3" s="11"/>
      <c r="E3" s="11"/>
      <c r="F3" s="11" t="s">
        <v>73</v>
      </c>
      <c r="G3" s="11">
        <v>1</v>
      </c>
      <c r="H3" s="11"/>
      <c r="I3" s="11">
        <f>VLOOKUP($A3, 'ADP Data'!$C$3:$Q$300, 13, FALSE)</f>
        <v>1</v>
      </c>
      <c r="J3" s="11">
        <f>VLOOKUP($A3, 'ADP Data'!$C$3:$Q$300, 10, FALSE)</f>
        <v>1</v>
      </c>
      <c r="K3" s="11">
        <v>1</v>
      </c>
    </row>
    <row r="4" spans="1:12" ht="14.25" customHeight="1" x14ac:dyDescent="0.25">
      <c r="A4" s="1" t="s">
        <v>38</v>
      </c>
      <c r="B4" s="11" t="str">
        <f>VLOOKUP($A4, 'ADP Data'!$C$3:$R$300, 2, FALSE)</f>
        <v>ATL</v>
      </c>
      <c r="C4" s="11" t="str">
        <f>VLOOKUP($A4, 'ADP Data'!$C$3:$R$300, 16, FALSE)</f>
        <v>RB</v>
      </c>
      <c r="D4" s="11"/>
      <c r="E4" s="11"/>
      <c r="F4" s="11" t="s">
        <v>839</v>
      </c>
      <c r="G4" s="11">
        <v>1</v>
      </c>
      <c r="H4" s="11"/>
      <c r="I4" s="11">
        <f>VLOOKUP($A4, 'ADP Data'!$C$3:$Q$300, 13, FALSE)</f>
        <v>2</v>
      </c>
      <c r="J4" s="11">
        <f>VLOOKUP($A4, 'ADP Data'!$C$3:$Q$300, 10, FALSE)</f>
        <v>2</v>
      </c>
      <c r="K4" s="11">
        <v>2</v>
      </c>
    </row>
    <row r="5" spans="1:12" ht="14.25" customHeight="1" x14ac:dyDescent="0.25">
      <c r="A5" s="1" t="s">
        <v>77</v>
      </c>
      <c r="B5" s="11" t="str">
        <f>VLOOKUP($A5, 'ADP Data'!$C$3:$R$300, 2, FALSE)</f>
        <v>PHI</v>
      </c>
      <c r="C5" s="11" t="str">
        <f>VLOOKUP($A5, 'ADP Data'!$C$3:$R$300, 16, FALSE)</f>
        <v>RB</v>
      </c>
      <c r="D5" s="11"/>
      <c r="E5" s="11"/>
      <c r="F5" s="11" t="s">
        <v>839</v>
      </c>
      <c r="G5" s="11">
        <v>2</v>
      </c>
      <c r="H5" s="11"/>
      <c r="I5" s="11">
        <f>VLOOKUP($A5, 'ADP Data'!$C$3:$Q$300, 13, FALSE)</f>
        <v>5</v>
      </c>
      <c r="J5" s="11">
        <f>VLOOKUP($A5, 'ADP Data'!$C$3:$Q$300, 10, FALSE)</f>
        <v>3</v>
      </c>
      <c r="K5" s="11">
        <v>3</v>
      </c>
    </row>
    <row r="6" spans="1:12" ht="14.25" customHeight="1" x14ac:dyDescent="0.25">
      <c r="A6" s="1" t="s">
        <v>34</v>
      </c>
      <c r="B6" s="11" t="str">
        <f>VLOOKUP($A6, 'ADP Data'!$C$3:$R$300, 2, FALSE)</f>
        <v>DET</v>
      </c>
      <c r="C6" s="11" t="str">
        <f>VLOOKUP($A6, 'ADP Data'!$C$3:$R$300, 16, FALSE)</f>
        <v>RB</v>
      </c>
      <c r="D6" s="11"/>
      <c r="E6" s="11"/>
      <c r="F6" s="11" t="s">
        <v>839</v>
      </c>
      <c r="G6" s="11">
        <v>3</v>
      </c>
      <c r="H6" s="11"/>
      <c r="I6" s="11">
        <f>VLOOKUP($A6, 'ADP Data'!$C$3:$Q$300, 13, FALSE)</f>
        <v>4</v>
      </c>
      <c r="J6" s="11">
        <f>VLOOKUP($A6, 'ADP Data'!$C$3:$Q$300, 10, FALSE)</f>
        <v>4</v>
      </c>
      <c r="K6" s="11">
        <v>4</v>
      </c>
    </row>
    <row r="7" spans="1:12" ht="14.25" customHeight="1" x14ac:dyDescent="0.25">
      <c r="A7" s="1" t="s">
        <v>71</v>
      </c>
      <c r="B7" s="11" t="str">
        <f>VLOOKUP($A7, 'ADP Data'!$C$3:$R$300, 2, FALSE)</f>
        <v>MIN</v>
      </c>
      <c r="C7" s="11" t="str">
        <f>VLOOKUP($A7, 'ADP Data'!$C$3:$R$300, 16, FALSE)</f>
        <v>WR</v>
      </c>
      <c r="D7" s="11"/>
      <c r="E7" s="11"/>
      <c r="F7" s="11" t="s">
        <v>73</v>
      </c>
      <c r="G7" s="11">
        <v>2</v>
      </c>
      <c r="H7" s="11"/>
      <c r="I7" s="11">
        <f>VLOOKUP($A7, 'ADP Data'!$C$3:$Q$300, 13, FALSE)</f>
        <v>6</v>
      </c>
      <c r="J7" s="11">
        <f>VLOOKUP($A7, 'ADP Data'!$C$3:$Q$300, 10, FALSE)</f>
        <v>6</v>
      </c>
      <c r="K7" s="11">
        <v>5</v>
      </c>
    </row>
    <row r="8" spans="1:12" ht="14.25" customHeight="1" x14ac:dyDescent="0.25">
      <c r="A8" s="1" t="s">
        <v>68</v>
      </c>
      <c r="B8" s="11" t="str">
        <f>VLOOKUP($A8, 'ADP Data'!$C$3:$R$300, 2, FALSE)</f>
        <v>DAL</v>
      </c>
      <c r="C8" s="11" t="str">
        <f>VLOOKUP($A8, 'ADP Data'!$C$3:$R$300, 16, FALSE)</f>
        <v>WR</v>
      </c>
      <c r="D8" s="11"/>
      <c r="E8" s="11"/>
      <c r="F8" s="11" t="s">
        <v>73</v>
      </c>
      <c r="G8" s="11">
        <v>3</v>
      </c>
      <c r="H8" s="11"/>
      <c r="I8" s="11">
        <f>VLOOKUP($A8, 'ADP Data'!$C$3:$Q$300, 13, FALSE)</f>
        <v>3</v>
      </c>
      <c r="J8" s="11">
        <f>VLOOKUP($A8, 'ADP Data'!$C$3:$Q$300, 10, FALSE)</f>
        <v>5</v>
      </c>
      <c r="K8" s="11">
        <v>6</v>
      </c>
    </row>
    <row r="9" spans="1:12" ht="14.25" customHeight="1" x14ac:dyDescent="0.25">
      <c r="A9" s="1" t="s">
        <v>54</v>
      </c>
      <c r="B9" s="11" t="str">
        <f>VLOOKUP($A9, 'ADP Data'!$C$3:$R$300, 2, FALSE)</f>
        <v>SF</v>
      </c>
      <c r="C9" s="11" t="str">
        <f>VLOOKUP($A9, 'ADP Data'!$C$3:$R$300, 16, FALSE)</f>
        <v>RB</v>
      </c>
      <c r="D9" s="11"/>
      <c r="E9" s="11"/>
      <c r="F9" s="11" t="s">
        <v>839</v>
      </c>
      <c r="G9" s="11">
        <v>4</v>
      </c>
      <c r="H9" s="11"/>
      <c r="I9" s="11">
        <f>VLOOKUP($A9, 'ADP Data'!$C$3:$Q$300, 13, FALSE)</f>
        <v>7</v>
      </c>
      <c r="J9" s="11">
        <f>VLOOKUP($A9, 'ADP Data'!$C$3:$Q$300, 10, FALSE)</f>
        <v>9</v>
      </c>
      <c r="K9" s="11">
        <v>10</v>
      </c>
    </row>
    <row r="10" spans="1:12" ht="14.25" customHeight="1" x14ac:dyDescent="0.25">
      <c r="A10" s="1" t="s">
        <v>115</v>
      </c>
      <c r="B10" s="11" t="str">
        <f>VLOOKUP($A10, 'ADP Data'!$C$3:$R$300, 2, FALSE)</f>
        <v>HOU</v>
      </c>
      <c r="C10" s="11" t="str">
        <f>VLOOKUP($A10, 'ADP Data'!$C$3:$R$300, 16, FALSE)</f>
        <v>WR</v>
      </c>
      <c r="D10" s="11"/>
      <c r="E10" s="11"/>
      <c r="F10" s="11" t="s">
        <v>843</v>
      </c>
      <c r="G10" s="11">
        <v>4</v>
      </c>
      <c r="H10" s="11" t="s">
        <v>1047</v>
      </c>
      <c r="I10" s="11">
        <f>VLOOKUP($A10, 'ADP Data'!$C$3:$Q$300, 13, FALSE)</f>
        <v>8</v>
      </c>
      <c r="J10" s="11">
        <f>VLOOKUP($A10, 'ADP Data'!$C$3:$Q$300, 10, FALSE)</f>
        <v>7</v>
      </c>
      <c r="K10" s="11">
        <v>12</v>
      </c>
    </row>
    <row r="11" spans="1:12" ht="14.25" customHeight="1" x14ac:dyDescent="0.25">
      <c r="A11" s="1" t="s">
        <v>63</v>
      </c>
      <c r="B11" s="11" t="str">
        <f>VLOOKUP($A11, 'ADP Data'!$C$3:$R$300, 2, FALSE)</f>
        <v>DET</v>
      </c>
      <c r="C11" s="11" t="str">
        <f>VLOOKUP($A11, 'ADP Data'!$C$3:$R$300, 16, FALSE)</f>
        <v>WR</v>
      </c>
      <c r="D11" s="11"/>
      <c r="E11" s="11"/>
      <c r="F11" s="11" t="s">
        <v>843</v>
      </c>
      <c r="G11" s="11">
        <v>6</v>
      </c>
      <c r="H11" s="11"/>
      <c r="I11" s="11">
        <f>VLOOKUP($A11, 'ADP Data'!$C$3:$Q$300, 13, FALSE)</f>
        <v>10</v>
      </c>
      <c r="J11" s="11">
        <f>VLOOKUP($A11, 'ADP Data'!$C$3:$Q$300, 10, FALSE)</f>
        <v>8</v>
      </c>
      <c r="K11" s="11">
        <v>8</v>
      </c>
    </row>
    <row r="12" spans="1:12" ht="14.25" customHeight="1" x14ac:dyDescent="0.25">
      <c r="A12" s="1" t="s">
        <v>125</v>
      </c>
      <c r="B12" s="11" t="str">
        <f>VLOOKUP($A12, 'ADP Data'!$C$3:$R$300, 2, FALSE)</f>
        <v>NYG</v>
      </c>
      <c r="C12" s="11" t="str">
        <f>VLOOKUP($A12, 'ADP Data'!$C$3:$R$300, 16, FALSE)</f>
        <v>WR</v>
      </c>
      <c r="D12" s="11"/>
      <c r="E12" s="11"/>
      <c r="F12" s="11" t="s">
        <v>843</v>
      </c>
      <c r="G12" s="11">
        <v>5</v>
      </c>
      <c r="H12" s="11" t="s">
        <v>1048</v>
      </c>
      <c r="I12" s="11">
        <f>VLOOKUP($A12, 'ADP Data'!$C$3:$Q$300, 13, FALSE)</f>
        <v>9</v>
      </c>
      <c r="J12" s="11">
        <f>VLOOKUP($A12, 'ADP Data'!$C$3:$Q$300, 10, FALSE)</f>
        <v>10</v>
      </c>
      <c r="K12" s="11">
        <v>9</v>
      </c>
    </row>
    <row r="13" spans="1:12" ht="14.25" customHeight="1" x14ac:dyDescent="0.25">
      <c r="A13" s="1" t="s">
        <v>93</v>
      </c>
      <c r="B13" s="11" t="str">
        <f>VLOOKUP($A13, 'ADP Data'!$C$3:$R$300, 2, FALSE)</f>
        <v>LV</v>
      </c>
      <c r="C13" s="11" t="str">
        <f>VLOOKUP($A13, 'ADP Data'!$C$3:$R$300, 16, FALSE)</f>
        <v>RB</v>
      </c>
      <c r="D13" s="11"/>
      <c r="E13" s="11"/>
      <c r="F13" s="11" t="s">
        <v>839</v>
      </c>
      <c r="G13" s="11">
        <v>5</v>
      </c>
      <c r="H13" s="11" t="s">
        <v>1057</v>
      </c>
      <c r="I13" s="11">
        <f>VLOOKUP($A13, 'ADP Data'!$C$3:$Q$300, 13, FALSE)</f>
        <v>13</v>
      </c>
      <c r="J13" s="11">
        <f>VLOOKUP($A13, 'ADP Data'!$C$3:$Q$300, 10, FALSE)</f>
        <v>14</v>
      </c>
      <c r="K13" s="11">
        <v>13</v>
      </c>
    </row>
    <row r="14" spans="1:12" ht="14.25" customHeight="1" x14ac:dyDescent="0.25">
      <c r="A14" s="1" t="s">
        <v>90</v>
      </c>
      <c r="B14" s="11" t="str">
        <f>VLOOKUP($A14, 'ADP Data'!$C$3:$R$300, 2, FALSE)</f>
        <v>BAL</v>
      </c>
      <c r="C14" s="11" t="str">
        <f>VLOOKUP($A14, 'ADP Data'!$C$3:$R$300, 16, FALSE)</f>
        <v>RB</v>
      </c>
      <c r="D14" s="11"/>
      <c r="E14" s="11"/>
      <c r="F14" s="11" t="s">
        <v>844</v>
      </c>
      <c r="G14" s="11">
        <v>8</v>
      </c>
      <c r="H14" s="11"/>
      <c r="I14" s="11">
        <f>VLOOKUP($A14, 'ADP Data'!$C$3:$Q$300, 13, FALSE)</f>
        <v>14</v>
      </c>
      <c r="J14" s="11">
        <f>VLOOKUP($A14, 'ADP Data'!$C$3:$Q$300, 10, FALSE)</f>
        <v>11</v>
      </c>
      <c r="K14" s="11">
        <v>11</v>
      </c>
    </row>
    <row r="15" spans="1:12" ht="14.25" customHeight="1" x14ac:dyDescent="0.25">
      <c r="A15" s="1" t="s">
        <v>239</v>
      </c>
      <c r="B15" s="11" t="str">
        <f>VLOOKUP($A15, 'ADP Data'!$C$3:$R$300, 2, FALSE)</f>
        <v>JAX</v>
      </c>
      <c r="C15" s="11" t="str">
        <f>VLOOKUP($A15, 'ADP Data'!$C$3:$R$300, 16, FALSE)</f>
        <v>WR</v>
      </c>
      <c r="D15" s="11"/>
      <c r="E15" s="11"/>
      <c r="F15" s="11" t="s">
        <v>843</v>
      </c>
      <c r="G15" s="11">
        <v>8</v>
      </c>
      <c r="H15" s="11" t="s">
        <v>1048</v>
      </c>
      <c r="I15" s="11">
        <f>VLOOKUP($A15, 'ADP Data'!$C$3:$Q$300, 13, FALSE)</f>
        <v>12</v>
      </c>
      <c r="J15" s="11">
        <f>VLOOKUP($A15, 'ADP Data'!$C$3:$Q$300, 10, FALSE)</f>
        <v>13</v>
      </c>
      <c r="K15" s="11">
        <v>7</v>
      </c>
    </row>
    <row r="16" spans="1:12" ht="14.25" customHeight="1" x14ac:dyDescent="0.25">
      <c r="A16" s="1" t="s">
        <v>80</v>
      </c>
      <c r="B16" s="11" t="str">
        <f>VLOOKUP($A16, 'ADP Data'!$C$3:$R$300, 2, FALSE)</f>
        <v>MIA</v>
      </c>
      <c r="C16" s="11" t="str">
        <f>VLOOKUP($A16, 'ADP Data'!$C$3:$R$300, 16, FALSE)</f>
        <v>RB</v>
      </c>
      <c r="D16" s="11"/>
      <c r="E16" s="11"/>
      <c r="F16" s="11" t="s">
        <v>844</v>
      </c>
      <c r="G16" s="11">
        <v>6</v>
      </c>
      <c r="H16" s="11"/>
      <c r="I16" s="11">
        <f>VLOOKUP($A16, 'ADP Data'!$C$3:$Q$300, 13, FALSE)</f>
        <v>16</v>
      </c>
      <c r="J16" s="11">
        <f>VLOOKUP($A16, 'ADP Data'!$C$3:$Q$300, 10, FALSE)</f>
        <v>20</v>
      </c>
      <c r="K16" s="11">
        <v>16</v>
      </c>
    </row>
    <row r="17" spans="1:11" ht="14.25" customHeight="1" x14ac:dyDescent="0.25">
      <c r="A17" s="1" t="s">
        <v>109</v>
      </c>
      <c r="B17" s="11" t="str">
        <f>VLOOKUP($A17, 'ADP Data'!$C$3:$R$300, 2, FALSE)</f>
        <v>ATL</v>
      </c>
      <c r="C17" s="11" t="str">
        <f>VLOOKUP($A17, 'ADP Data'!$C$3:$R$300, 16, FALSE)</f>
        <v>WR</v>
      </c>
      <c r="D17" s="11"/>
      <c r="E17" s="11"/>
      <c r="F17" s="11" t="s">
        <v>843</v>
      </c>
      <c r="G17" s="11">
        <v>7</v>
      </c>
      <c r="H17" s="11"/>
      <c r="I17" s="11">
        <f>VLOOKUP($A17, 'ADP Data'!$C$3:$Q$300, 13, FALSE)</f>
        <v>15</v>
      </c>
      <c r="J17" s="11">
        <f>VLOOKUP($A17, 'ADP Data'!$C$3:$Q$300, 10, FALSE)</f>
        <v>12</v>
      </c>
      <c r="K17" s="11">
        <v>14</v>
      </c>
    </row>
    <row r="18" spans="1:11" ht="14.25" customHeight="1" x14ac:dyDescent="0.25">
      <c r="A18" s="1" t="s">
        <v>48</v>
      </c>
      <c r="B18" s="11" t="str">
        <f>VLOOKUP($A18, 'ADP Data'!$C$3:$R$300, 2, FALSE)</f>
        <v>LAR</v>
      </c>
      <c r="C18" s="11" t="str">
        <f>VLOOKUP($A18, 'ADP Data'!$C$3:$R$300, 16, FALSE)</f>
        <v>WR</v>
      </c>
      <c r="D18" s="11"/>
      <c r="E18" s="11"/>
      <c r="F18" s="11" t="s">
        <v>843</v>
      </c>
      <c r="G18" s="11">
        <v>9</v>
      </c>
      <c r="H18" s="11"/>
      <c r="I18" s="11">
        <f>VLOOKUP($A18, 'ADP Data'!$C$3:$Q$300, 13, FALSE)</f>
        <v>11</v>
      </c>
      <c r="J18" s="11">
        <f>VLOOKUP($A18, 'ADP Data'!$C$3:$Q$300, 10, FALSE)</f>
        <v>16</v>
      </c>
      <c r="K18" s="11">
        <v>18</v>
      </c>
    </row>
    <row r="19" spans="1:11" ht="14.25" customHeight="1" x14ac:dyDescent="0.25">
      <c r="A19" s="1" t="s">
        <v>98</v>
      </c>
      <c r="B19" s="11" t="str">
        <f>VLOOKUP($A19, 'ADP Data'!$C$3:$R$300, 2, FALSE)</f>
        <v>LV</v>
      </c>
      <c r="C19" s="11" t="str">
        <f>VLOOKUP($A19, 'ADP Data'!$C$3:$R$300, 16, FALSE)</f>
        <v>TE</v>
      </c>
      <c r="D19" s="11"/>
      <c r="E19" s="11"/>
      <c r="F19" s="11" t="s">
        <v>209</v>
      </c>
      <c r="G19" s="11">
        <v>1</v>
      </c>
      <c r="H19" s="11"/>
      <c r="I19" s="11">
        <f>VLOOKUP($A19, 'ADP Data'!$C$3:$Q$300, 13, FALSE)</f>
        <v>18</v>
      </c>
      <c r="J19" s="11">
        <f>VLOOKUP($A19, 'ADP Data'!$C$3:$Q$300, 10, FALSE)</f>
        <v>23</v>
      </c>
      <c r="K19" s="11">
        <v>21</v>
      </c>
    </row>
    <row r="20" spans="1:11" ht="14.25" customHeight="1" x14ac:dyDescent="0.25">
      <c r="A20" s="1" t="s">
        <v>103</v>
      </c>
      <c r="B20" s="11" t="str">
        <f>VLOOKUP($A20, 'ADP Data'!$C$3:$R$300, 2, FALSE)</f>
        <v>PHI</v>
      </c>
      <c r="C20" s="11" t="str">
        <f>VLOOKUP($A20, 'ADP Data'!$C$3:$R$300, 16, FALSE)</f>
        <v>WR</v>
      </c>
      <c r="D20" s="11"/>
      <c r="E20" s="11"/>
      <c r="F20" s="11" t="s">
        <v>842</v>
      </c>
      <c r="G20" s="11">
        <v>11</v>
      </c>
      <c r="H20" s="11"/>
      <c r="I20" s="11">
        <f>VLOOKUP($A20, 'ADP Data'!$C$3:$Q$300, 13, FALSE)</f>
        <v>17</v>
      </c>
      <c r="J20" s="11">
        <f>VLOOKUP($A20, 'ADP Data'!$C$3:$Q$300, 10, FALSE)</f>
        <v>18</v>
      </c>
      <c r="K20" s="11">
        <v>20</v>
      </c>
    </row>
    <row r="21" spans="1:11" ht="14.25" customHeight="1" x14ac:dyDescent="0.25">
      <c r="A21" s="1" t="s">
        <v>58</v>
      </c>
      <c r="B21" s="11" t="str">
        <f>VLOOKUP($A21, 'ADP Data'!$C$3:$R$300, 2, FALSE)</f>
        <v>IND</v>
      </c>
      <c r="C21" s="11" t="str">
        <f>VLOOKUP($A21, 'ADP Data'!$C$3:$R$300, 16, FALSE)</f>
        <v>RB</v>
      </c>
      <c r="D21" s="11"/>
      <c r="E21" s="11" t="s">
        <v>119</v>
      </c>
      <c r="F21" s="11" t="s">
        <v>844</v>
      </c>
      <c r="G21" s="11">
        <v>12</v>
      </c>
      <c r="H21" s="11"/>
      <c r="I21" s="11">
        <f>VLOOKUP($A21, 'ADP Data'!$C$3:$Q$300, 13, FALSE)</f>
        <v>22</v>
      </c>
      <c r="J21" s="11">
        <f>VLOOKUP($A21, 'ADP Data'!$C$3:$Q$300, 10, FALSE)</f>
        <v>19</v>
      </c>
      <c r="K21" s="11">
        <v>15</v>
      </c>
    </row>
    <row r="22" spans="1:11" ht="14.25" customHeight="1" x14ac:dyDescent="0.25">
      <c r="A22" s="1" t="s">
        <v>218</v>
      </c>
      <c r="B22" s="11" t="str">
        <f>VLOOKUP($A22, 'ADP Data'!$C$3:$R$300, 2, FALSE)</f>
        <v>GB</v>
      </c>
      <c r="C22" s="11" t="str">
        <f>VLOOKUP($A22, 'ADP Data'!$C$3:$R$300, 16, FALSE)</f>
        <v>RB</v>
      </c>
      <c r="D22" s="11"/>
      <c r="E22" s="11"/>
      <c r="F22" s="11" t="s">
        <v>844</v>
      </c>
      <c r="G22" s="11">
        <v>7</v>
      </c>
      <c r="H22" s="11"/>
      <c r="I22" s="11">
        <f>VLOOKUP($A22, 'ADP Data'!$C$3:$Q$300, 13, FALSE)</f>
        <v>23</v>
      </c>
      <c r="J22" s="11">
        <f>VLOOKUP($A22, 'ADP Data'!$C$3:$Q$300, 10, FALSE)</f>
        <v>15</v>
      </c>
      <c r="K22" s="11">
        <v>17</v>
      </c>
    </row>
    <row r="23" spans="1:11" ht="14.25" customHeight="1" x14ac:dyDescent="0.25">
      <c r="A23" s="1" t="s">
        <v>189</v>
      </c>
      <c r="B23" s="11" t="str">
        <f>VLOOKUP($A23, 'ADP Data'!$C$3:$R$300, 2, FALSE)</f>
        <v>TB</v>
      </c>
      <c r="C23" s="11" t="str">
        <f>VLOOKUP($A23, 'ADP Data'!$C$3:$R$300, 16, FALSE)</f>
        <v>RB</v>
      </c>
      <c r="D23" s="11"/>
      <c r="E23" s="11"/>
      <c r="F23" s="11" t="s">
        <v>844</v>
      </c>
      <c r="G23" s="11">
        <v>9</v>
      </c>
      <c r="H23" s="11" t="s">
        <v>1044</v>
      </c>
      <c r="I23" s="11">
        <f>VLOOKUP($A23, 'ADP Data'!$C$3:$Q$300, 13, FALSE)</f>
        <v>20</v>
      </c>
      <c r="J23" s="11">
        <f>VLOOKUP($A23, 'ADP Data'!$C$3:$Q$300, 10, FALSE)</f>
        <v>17</v>
      </c>
      <c r="K23" s="11">
        <v>22</v>
      </c>
    </row>
    <row r="24" spans="1:11" ht="14.25" customHeight="1" x14ac:dyDescent="0.25">
      <c r="A24" s="1" t="s">
        <v>165</v>
      </c>
      <c r="B24" s="11" t="str">
        <f>VLOOKUP($A24, 'ADP Data'!$C$3:$R$300, 2, FALSE)</f>
        <v>LAC</v>
      </c>
      <c r="C24" s="11" t="str">
        <f>VLOOKUP($A24, 'ADP Data'!$C$3:$R$300, 16, FALSE)</f>
        <v>WR</v>
      </c>
      <c r="D24" s="11"/>
      <c r="E24" s="11"/>
      <c r="F24" s="11" t="s">
        <v>842</v>
      </c>
      <c r="G24" s="11">
        <v>10</v>
      </c>
      <c r="H24" s="11" t="s">
        <v>1053</v>
      </c>
      <c r="I24" s="11">
        <f>VLOOKUP($A24, 'ADP Data'!$C$3:$Q$300, 13, FALSE)</f>
        <v>21</v>
      </c>
      <c r="J24" s="11">
        <f>VLOOKUP($A24, 'ADP Data'!$C$3:$Q$300, 10, FALSE)</f>
        <v>22</v>
      </c>
      <c r="K24" s="11">
        <v>19</v>
      </c>
    </row>
    <row r="25" spans="1:11" ht="14.25" customHeight="1" x14ac:dyDescent="0.25">
      <c r="A25" s="1" t="s">
        <v>174</v>
      </c>
      <c r="B25" s="11" t="str">
        <f>VLOOKUP($A25, 'ADP Data'!$C$3:$R$300, 2, FALSE)</f>
        <v>BAL</v>
      </c>
      <c r="C25" s="11" t="str">
        <f>VLOOKUP($A25, 'ADP Data'!$C$3:$R$300, 16, FALSE)</f>
        <v>QB</v>
      </c>
      <c r="D25" s="11"/>
      <c r="E25" s="11"/>
      <c r="F25" s="11" t="s">
        <v>327</v>
      </c>
      <c r="G25" s="11">
        <v>1</v>
      </c>
      <c r="H25" s="11"/>
      <c r="I25" s="11">
        <f>VLOOKUP($A25, 'ADP Data'!$C$3:$Q$300, 13, FALSE)</f>
        <v>29</v>
      </c>
      <c r="J25" s="11">
        <f>VLOOKUP($A25, 'ADP Data'!$C$3:$Q$300, 10, FALSE)</f>
        <v>26</v>
      </c>
      <c r="K25" s="11">
        <v>26</v>
      </c>
    </row>
    <row r="26" spans="1:11" ht="14.25" customHeight="1" x14ac:dyDescent="0.25">
      <c r="A26" s="1" t="s">
        <v>75</v>
      </c>
      <c r="B26" s="11" t="str">
        <f>VLOOKUP($A26, 'ADP Data'!$C$3:$R$300, 2, FALSE)</f>
        <v>CIN</v>
      </c>
      <c r="C26" s="11" t="str">
        <f>VLOOKUP($A26, 'ADP Data'!$C$3:$R$300, 16, FALSE)</f>
        <v>RB</v>
      </c>
      <c r="D26" s="11"/>
      <c r="E26" s="11" t="s">
        <v>148</v>
      </c>
      <c r="F26" s="11" t="s">
        <v>844</v>
      </c>
      <c r="G26" s="11">
        <v>10</v>
      </c>
      <c r="H26" s="11" t="s">
        <v>1060</v>
      </c>
      <c r="I26" s="11">
        <f>VLOOKUP($A26, 'ADP Data'!$C$3:$Q$300, 13, FALSE)</f>
        <v>19</v>
      </c>
      <c r="J26" s="11">
        <f>VLOOKUP($A26, 'ADP Data'!$C$3:$Q$300, 10, FALSE)</f>
        <v>21</v>
      </c>
      <c r="K26" s="11">
        <v>24</v>
      </c>
    </row>
    <row r="27" spans="1:11" ht="14.25" customHeight="1" x14ac:dyDescent="0.25">
      <c r="A27" s="1" t="s">
        <v>131</v>
      </c>
      <c r="B27" s="11" t="str">
        <f>VLOOKUP($A27, 'ADP Data'!$C$3:$R$300, 2, FALSE)</f>
        <v>BUF</v>
      </c>
      <c r="C27" s="11" t="str">
        <f>VLOOKUP($A27, 'ADP Data'!$C$3:$R$300, 16, FALSE)</f>
        <v>QB</v>
      </c>
      <c r="D27" s="11"/>
      <c r="E27" s="11"/>
      <c r="F27" s="11" t="s">
        <v>327</v>
      </c>
      <c r="G27" s="11">
        <v>2</v>
      </c>
      <c r="H27" s="11"/>
      <c r="I27" s="11">
        <f>VLOOKUP($A27, 'ADP Data'!$C$3:$Q$300, 13, FALSE)</f>
        <v>28</v>
      </c>
      <c r="J27" s="11">
        <f>VLOOKUP($A27, 'ADP Data'!$C$3:$Q$300, 10, FALSE)</f>
        <v>28</v>
      </c>
      <c r="K27" s="11">
        <v>28</v>
      </c>
    </row>
    <row r="28" spans="1:11" ht="14.25" customHeight="1" x14ac:dyDescent="0.25">
      <c r="A28" s="1" t="s">
        <v>122</v>
      </c>
      <c r="B28" s="11" t="str">
        <f>VLOOKUP($A28, 'ADP Data'!$C$3:$R$300, 2, FALSE)</f>
        <v>ARI</v>
      </c>
      <c r="C28" s="11" t="str">
        <f>VLOOKUP($A28, 'ADP Data'!$C$3:$R$300, 16, FALSE)</f>
        <v>TE</v>
      </c>
      <c r="D28" s="11"/>
      <c r="E28" s="11"/>
      <c r="F28" s="11" t="s">
        <v>209</v>
      </c>
      <c r="G28" s="11">
        <v>2</v>
      </c>
      <c r="H28" s="11"/>
      <c r="I28" s="11">
        <f>VLOOKUP($A28, 'ADP Data'!$C$3:$Q$300, 13, FALSE)</f>
        <v>25</v>
      </c>
      <c r="J28" s="11">
        <f>VLOOKUP($A28, 'ADP Data'!$C$3:$Q$300, 10, FALSE)</f>
        <v>24</v>
      </c>
      <c r="K28" s="11">
        <v>27</v>
      </c>
    </row>
    <row r="29" spans="1:11" ht="14.25" customHeight="1" x14ac:dyDescent="0.25">
      <c r="A29" s="1" t="s">
        <v>135</v>
      </c>
      <c r="B29" s="11" t="str">
        <f>VLOOKUP($A29, 'ADP Data'!$C$3:$R$300, 2, FALSE)</f>
        <v>LAR</v>
      </c>
      <c r="C29" s="11" t="str">
        <f>VLOOKUP($A29, 'ADP Data'!$C$3:$R$300, 16, FALSE)</f>
        <v>RB</v>
      </c>
      <c r="D29" s="11"/>
      <c r="E29" s="11"/>
      <c r="F29" s="11" t="s">
        <v>844</v>
      </c>
      <c r="G29" s="11">
        <v>11</v>
      </c>
      <c r="H29" s="11"/>
      <c r="I29" s="11">
        <f>VLOOKUP($A29, 'ADP Data'!$C$3:$Q$300, 13, FALSE)</f>
        <v>31</v>
      </c>
      <c r="J29" s="11">
        <f>VLOOKUP($A29, 'ADP Data'!$C$3:$Q$300, 10, FALSE)</f>
        <v>27</v>
      </c>
      <c r="K29" s="11">
        <v>25</v>
      </c>
    </row>
    <row r="30" spans="1:11" ht="14.25" customHeight="1" x14ac:dyDescent="0.25">
      <c r="A30" s="1" t="s">
        <v>150</v>
      </c>
      <c r="B30" s="11" t="str">
        <f>VLOOKUP($A30, 'ADP Data'!$C$3:$R$300, 2, FALSE)</f>
        <v>CIN</v>
      </c>
      <c r="C30" s="11" t="str">
        <f>VLOOKUP($A30, 'ADP Data'!$C$3:$R$300, 16, FALSE)</f>
        <v>WR</v>
      </c>
      <c r="D30" s="11"/>
      <c r="E30" s="11"/>
      <c r="F30" s="11" t="s">
        <v>842</v>
      </c>
      <c r="G30" s="11">
        <v>12</v>
      </c>
      <c r="H30" s="11"/>
      <c r="I30" s="11">
        <f>VLOOKUP($A30, 'ADP Data'!$C$3:$Q$300, 13, FALSE)</f>
        <v>24</v>
      </c>
      <c r="J30" s="11">
        <f>VLOOKUP($A30, 'ADP Data'!$C$3:$Q$300, 10, FALSE)</f>
        <v>29</v>
      </c>
      <c r="K30" s="11">
        <v>23</v>
      </c>
    </row>
    <row r="31" spans="1:11" ht="14.25" customHeight="1" x14ac:dyDescent="0.25">
      <c r="A31" s="1" t="s">
        <v>51</v>
      </c>
      <c r="B31" s="11" t="str">
        <f>VLOOKUP($A31, 'ADP Data'!$C$3:$R$300, 2, FALSE)</f>
        <v>SEA</v>
      </c>
      <c r="C31" s="11" t="str">
        <f>VLOOKUP($A31, 'ADP Data'!$C$3:$R$300, 16, FALSE)</f>
        <v>WR</v>
      </c>
      <c r="D31" s="11"/>
      <c r="E31" s="11"/>
      <c r="F31" s="11" t="s">
        <v>840</v>
      </c>
      <c r="G31" s="11">
        <v>13</v>
      </c>
      <c r="H31" s="11"/>
      <c r="I31" s="11">
        <f>VLOOKUP($A31, 'ADP Data'!$C$3:$Q$300, 13, FALSE)</f>
        <v>32</v>
      </c>
      <c r="J31" s="11">
        <f>VLOOKUP($A31, 'ADP Data'!$C$3:$Q$300, 10, FALSE)</f>
        <v>33</v>
      </c>
      <c r="K31" s="11">
        <v>36</v>
      </c>
    </row>
    <row r="32" spans="1:11" ht="14.25" customHeight="1" x14ac:dyDescent="0.25">
      <c r="A32" s="1" t="s">
        <v>152</v>
      </c>
      <c r="B32" s="11" t="str">
        <f>VLOOKUP($A32, 'ADP Data'!$C$3:$R$300, 2, FALSE)</f>
        <v>NYJ</v>
      </c>
      <c r="C32" s="11" t="str">
        <f>VLOOKUP($A32, 'ADP Data'!$C$3:$R$300, 16, FALSE)</f>
        <v>WR</v>
      </c>
      <c r="D32" s="11"/>
      <c r="E32" s="11"/>
      <c r="F32" s="11" t="s">
        <v>840</v>
      </c>
      <c r="G32" s="11">
        <v>17</v>
      </c>
      <c r="H32" s="11"/>
      <c r="I32" s="11">
        <f>VLOOKUP($A32, 'ADP Data'!$C$3:$Q$300, 13, FALSE)</f>
        <v>35</v>
      </c>
      <c r="J32" s="11">
        <f>VLOOKUP($A32, 'ADP Data'!$C$3:$Q$300, 10, FALSE)</f>
        <v>39</v>
      </c>
      <c r="K32" s="11">
        <v>29</v>
      </c>
    </row>
    <row r="33" spans="1:11" ht="14.25" customHeight="1" x14ac:dyDescent="0.25">
      <c r="A33" s="1" t="s">
        <v>220</v>
      </c>
      <c r="B33" s="11" t="str">
        <f>VLOOKUP($A33, 'ADP Data'!$C$3:$R$300, 2, FALSE)</f>
        <v>TB</v>
      </c>
      <c r="C33" s="11" t="str">
        <f>VLOOKUP($A33, 'ADP Data'!$C$3:$R$300, 16, FALSE)</f>
        <v>WR</v>
      </c>
      <c r="D33" s="11"/>
      <c r="E33" s="11"/>
      <c r="F33" s="11" t="s">
        <v>840</v>
      </c>
      <c r="G33" s="11">
        <v>15</v>
      </c>
      <c r="H33" s="11"/>
      <c r="I33" s="11">
        <f>VLOOKUP($A33, 'ADP Data'!$C$3:$Q$300, 13, FALSE)</f>
        <v>33</v>
      </c>
      <c r="J33" s="11">
        <f>VLOOKUP($A33, 'ADP Data'!$C$3:$Q$300, 10, FALSE)</f>
        <v>32</v>
      </c>
      <c r="K33" s="11">
        <v>31</v>
      </c>
    </row>
    <row r="34" spans="1:11" ht="14.25" customHeight="1" x14ac:dyDescent="0.25">
      <c r="A34" s="1" t="s">
        <v>224</v>
      </c>
      <c r="B34" s="11" t="str">
        <f>VLOOKUP($A34, 'ADP Data'!$C$3:$R$300, 2, FALSE)</f>
        <v>WAS</v>
      </c>
      <c r="C34" s="11" t="str">
        <f>VLOOKUP($A34, 'ADP Data'!$C$3:$R$300, 16, FALSE)</f>
        <v>QB</v>
      </c>
      <c r="D34" s="11"/>
      <c r="E34" s="11"/>
      <c r="F34" s="11" t="s">
        <v>871</v>
      </c>
      <c r="G34" s="11">
        <v>4</v>
      </c>
      <c r="H34" s="11"/>
      <c r="I34" s="11">
        <f>VLOOKUP($A34, 'ADP Data'!$C$3:$Q$300, 13, FALSE)</f>
        <v>37</v>
      </c>
      <c r="J34" s="11">
        <f>VLOOKUP($A34, 'ADP Data'!$C$3:$Q$300, 10, FALSE)</f>
        <v>30</v>
      </c>
      <c r="K34" s="11">
        <v>30</v>
      </c>
    </row>
    <row r="35" spans="1:11" ht="14.25" customHeight="1" x14ac:dyDescent="0.25">
      <c r="A35" s="1" t="s">
        <v>274</v>
      </c>
      <c r="B35" s="11" t="str">
        <f>VLOOKUP($A35, 'ADP Data'!$C$3:$R$300, 2, FALSE)</f>
        <v>SF</v>
      </c>
      <c r="C35" s="11" t="str">
        <f>VLOOKUP($A35, 'ADP Data'!$C$3:$R$300, 16, FALSE)</f>
        <v>TE</v>
      </c>
      <c r="D35" s="11"/>
      <c r="E35" s="11"/>
      <c r="F35" s="11" t="s">
        <v>209</v>
      </c>
      <c r="G35" s="11">
        <v>3</v>
      </c>
      <c r="H35" s="11"/>
      <c r="I35" s="11">
        <f>VLOOKUP($A35, 'ADP Data'!$C$3:$Q$300, 13, FALSE)</f>
        <v>34</v>
      </c>
      <c r="J35" s="11">
        <f>VLOOKUP($A35, 'ADP Data'!$C$3:$Q$300, 10, FALSE)</f>
        <v>25</v>
      </c>
      <c r="K35" s="11">
        <v>32</v>
      </c>
    </row>
    <row r="36" spans="1:11" ht="14.25" customHeight="1" x14ac:dyDescent="0.25">
      <c r="A36" s="1" t="s">
        <v>65</v>
      </c>
      <c r="B36" s="11" t="str">
        <f>VLOOKUP($A36, 'ADP Data'!$C$3:$R$300, 2, FALSE)</f>
        <v>BUF</v>
      </c>
      <c r="C36" s="11" t="str">
        <f>VLOOKUP($A36, 'ADP Data'!$C$3:$R$300, 16, FALSE)</f>
        <v>RB</v>
      </c>
      <c r="D36" s="11"/>
      <c r="E36" s="11"/>
      <c r="F36" s="11" t="s">
        <v>841</v>
      </c>
      <c r="G36" s="11">
        <v>15</v>
      </c>
      <c r="H36" s="11"/>
      <c r="I36" s="11">
        <f>VLOOKUP($A36, 'ADP Data'!$C$3:$Q$300, 13, FALSE)</f>
        <v>39</v>
      </c>
      <c r="J36" s="11">
        <f>VLOOKUP($A36, 'ADP Data'!$C$3:$Q$300, 10, FALSE)</f>
        <v>34</v>
      </c>
      <c r="K36" s="11">
        <v>34</v>
      </c>
    </row>
    <row r="37" spans="1:11" ht="14.25" customHeight="1" x14ac:dyDescent="0.25">
      <c r="A37" s="1" t="s">
        <v>87</v>
      </c>
      <c r="B37" s="11" t="str">
        <f>VLOOKUP($A37, 'ADP Data'!$C$3:$R$300, 2, FALSE)</f>
        <v>LAC</v>
      </c>
      <c r="C37" s="11" t="str">
        <f>VLOOKUP($A37, 'ADP Data'!$C$3:$R$300, 16, FALSE)</f>
        <v>RB</v>
      </c>
      <c r="D37" s="11"/>
      <c r="E37" s="11"/>
      <c r="F37" s="11" t="s">
        <v>844</v>
      </c>
      <c r="G37" s="11">
        <v>12</v>
      </c>
      <c r="H37" s="11" t="s">
        <v>1062</v>
      </c>
      <c r="I37" s="11">
        <f>VLOOKUP($A37, 'ADP Data'!$C$3:$Q$300, 13, FALSE)</f>
        <v>27</v>
      </c>
      <c r="J37" s="11">
        <f>VLOOKUP($A37, 'ADP Data'!$C$3:$Q$300, 10, FALSE)</f>
        <v>31</v>
      </c>
      <c r="K37" s="11">
        <v>44</v>
      </c>
    </row>
    <row r="38" spans="1:11" ht="14.25" customHeight="1" x14ac:dyDescent="0.25">
      <c r="A38" s="1" t="s">
        <v>143</v>
      </c>
      <c r="B38" s="11" t="str">
        <f>VLOOKUP($A38, 'ADP Data'!$C$3:$R$300, 2, FALSE)</f>
        <v>NYJ</v>
      </c>
      <c r="C38" s="11" t="str">
        <f>VLOOKUP($A38, 'ADP Data'!$C$3:$R$300, 16, FALSE)</f>
        <v>RB</v>
      </c>
      <c r="D38" s="11"/>
      <c r="E38" s="11"/>
      <c r="F38" s="11" t="s">
        <v>841</v>
      </c>
      <c r="G38" s="11">
        <v>16</v>
      </c>
      <c r="H38" s="11"/>
      <c r="I38" s="11">
        <f>VLOOKUP($A38, 'ADP Data'!$C$3:$Q$300, 13, FALSE)</f>
        <v>46</v>
      </c>
      <c r="J38" s="11">
        <f>VLOOKUP($A38, 'ADP Data'!$C$3:$Q$300, 10, FALSE)</f>
        <v>50</v>
      </c>
      <c r="K38" s="11">
        <v>39</v>
      </c>
    </row>
    <row r="39" spans="1:11" ht="14.25" customHeight="1" x14ac:dyDescent="0.25">
      <c r="A39" s="1" t="s">
        <v>226</v>
      </c>
      <c r="B39" s="11" t="str">
        <f>VLOOKUP($A39, 'ADP Data'!$C$3:$R$300, 2, FALSE)</f>
        <v>ARI</v>
      </c>
      <c r="C39" s="11" t="str">
        <f>VLOOKUP($A39, 'ADP Data'!$C$3:$R$300, 16, FALSE)</f>
        <v>WR</v>
      </c>
      <c r="D39" s="11"/>
      <c r="E39" s="11" t="s">
        <v>148</v>
      </c>
      <c r="F39" s="11" t="s">
        <v>840</v>
      </c>
      <c r="G39" s="11">
        <v>14</v>
      </c>
      <c r="H39" s="11" t="s">
        <v>1048</v>
      </c>
      <c r="I39" s="11">
        <f>VLOOKUP($A39, 'ADP Data'!$C$3:$Q$300, 13, FALSE)</f>
        <v>30</v>
      </c>
      <c r="J39" s="11">
        <f>VLOOKUP($A39, 'ADP Data'!$C$3:$Q$300, 10, FALSE)</f>
        <v>37</v>
      </c>
      <c r="K39" s="11">
        <v>42</v>
      </c>
    </row>
    <row r="40" spans="1:11" ht="14.25" customHeight="1" x14ac:dyDescent="0.25">
      <c r="A40" s="1" t="s">
        <v>190</v>
      </c>
      <c r="B40" s="11" t="str">
        <f>VLOOKUP($A40, 'ADP Data'!$C$3:$R$300, 2, FALSE)</f>
        <v>MIA</v>
      </c>
      <c r="C40" s="11" t="str">
        <f>VLOOKUP($A40, 'ADP Data'!$C$3:$R$300, 16, FALSE)</f>
        <v>WR</v>
      </c>
      <c r="D40" s="11"/>
      <c r="E40" s="11" t="s">
        <v>148</v>
      </c>
      <c r="F40" s="11" t="s">
        <v>840</v>
      </c>
      <c r="G40" s="11">
        <v>16</v>
      </c>
      <c r="H40" s="11" t="s">
        <v>1054</v>
      </c>
      <c r="I40" s="11">
        <f>VLOOKUP($A40, 'ADP Data'!$C$3:$Q$300, 13, FALSE)</f>
        <v>26</v>
      </c>
      <c r="J40" s="11">
        <f>VLOOKUP($A40, 'ADP Data'!$C$3:$Q$300, 10, FALSE)</f>
        <v>42</v>
      </c>
      <c r="K40" s="11">
        <v>35</v>
      </c>
    </row>
    <row r="41" spans="1:11" ht="14.25" customHeight="1" x14ac:dyDescent="0.25">
      <c r="A41" s="1" t="s">
        <v>235</v>
      </c>
      <c r="B41" s="11" t="str">
        <f>VLOOKUP($A41, 'ADP Data'!$C$3:$R$300, 2, FALSE)</f>
        <v>PHI</v>
      </c>
      <c r="C41" s="11" t="str">
        <f>VLOOKUP($A41, 'ADP Data'!$C$3:$R$300, 16, FALSE)</f>
        <v>QB</v>
      </c>
      <c r="D41" s="11"/>
      <c r="E41" s="11"/>
      <c r="F41" s="11" t="s">
        <v>871</v>
      </c>
      <c r="G41" s="27">
        <v>3</v>
      </c>
      <c r="H41" s="11"/>
      <c r="I41" s="11">
        <f>VLOOKUP($A41, 'ADP Data'!$C$3:$Q$300, 13, FALSE)</f>
        <v>44</v>
      </c>
      <c r="J41" s="11">
        <f>VLOOKUP($A41, 'ADP Data'!$C$3:$Q$300, 10, FALSE)</f>
        <v>35</v>
      </c>
      <c r="K41" s="11">
        <v>38</v>
      </c>
    </row>
    <row r="42" spans="1:11" ht="14.25" customHeight="1" x14ac:dyDescent="0.25">
      <c r="A42" s="1" t="s">
        <v>183</v>
      </c>
      <c r="B42" s="11" t="str">
        <f>VLOOKUP($A42, 'ADP Data'!$C$3:$R$300, 2, FALSE)</f>
        <v>WAS</v>
      </c>
      <c r="C42" s="11" t="str">
        <f>VLOOKUP($A42, 'ADP Data'!$C$3:$R$300, 16, FALSE)</f>
        <v>WR</v>
      </c>
      <c r="D42" s="11"/>
      <c r="E42" s="11"/>
      <c r="F42" s="11" t="s">
        <v>847</v>
      </c>
      <c r="G42" s="11">
        <v>17</v>
      </c>
      <c r="H42" s="11" t="s">
        <v>1056</v>
      </c>
      <c r="I42" s="11">
        <f>VLOOKUP($A42, 'ADP Data'!$C$3:$Q$300, 13, FALSE)</f>
        <v>41</v>
      </c>
      <c r="J42" s="11">
        <f>VLOOKUP($A42, 'ADP Data'!$C$3:$Q$300, 10, FALSE)</f>
        <v>36</v>
      </c>
      <c r="K42" s="11">
        <v>33</v>
      </c>
    </row>
    <row r="43" spans="1:11" ht="14.25" customHeight="1" x14ac:dyDescent="0.25">
      <c r="A43" s="1" t="s">
        <v>84</v>
      </c>
      <c r="B43" s="11" t="str">
        <f>VLOOKUP($A43, 'ADP Data'!$C$3:$R$300, 2, FALSE)</f>
        <v>SEA</v>
      </c>
      <c r="C43" s="11" t="str">
        <f>VLOOKUP($A43, 'ADP Data'!$C$3:$R$300, 16, FALSE)</f>
        <v>RB</v>
      </c>
      <c r="D43" s="11"/>
      <c r="E43" s="11"/>
      <c r="F43" s="11" t="s">
        <v>841</v>
      </c>
      <c r="G43" s="11">
        <v>13</v>
      </c>
      <c r="H43" s="11"/>
      <c r="I43" s="11">
        <f>VLOOKUP($A43, 'ADP Data'!$C$3:$Q$300, 13, FALSE)</f>
        <v>47</v>
      </c>
      <c r="J43" s="11">
        <f>VLOOKUP($A43, 'ADP Data'!$C$3:$Q$300, 10, FALSE)</f>
        <v>38</v>
      </c>
      <c r="K43" s="11">
        <v>41</v>
      </c>
    </row>
    <row r="44" spans="1:11" ht="14.25" customHeight="1" x14ac:dyDescent="0.25">
      <c r="A44" s="1" t="s">
        <v>211</v>
      </c>
      <c r="B44" s="11" t="str">
        <f>VLOOKUP($A44, 'ADP Data'!$C$3:$R$300, 2, FALSE)</f>
        <v>CIN</v>
      </c>
      <c r="C44" s="11" t="str">
        <f>VLOOKUP($A44, 'ADP Data'!$C$3:$R$300, 16, FALSE)</f>
        <v>QB</v>
      </c>
      <c r="D44" s="11"/>
      <c r="E44" s="11"/>
      <c r="F44" s="11" t="s">
        <v>871</v>
      </c>
      <c r="G44" s="11">
        <v>5</v>
      </c>
      <c r="H44" s="11"/>
      <c r="I44" s="11">
        <f>VLOOKUP($A44, 'ADP Data'!$C$3:$Q$300, 13, FALSE)</f>
        <v>63</v>
      </c>
      <c r="J44" s="11">
        <f>VLOOKUP($A44, 'ADP Data'!$C$3:$Q$300, 10, FALSE)</f>
        <v>53</v>
      </c>
      <c r="K44" s="11">
        <v>51</v>
      </c>
    </row>
    <row r="45" spans="1:11" ht="14.25" customHeight="1" x14ac:dyDescent="0.25">
      <c r="A45" s="1" t="s">
        <v>192</v>
      </c>
      <c r="B45" s="11" t="str">
        <f>VLOOKUP($A45, 'ADP Data'!$C$3:$R$300, 2, FALSE)</f>
        <v>LAR</v>
      </c>
      <c r="C45" s="11" t="str">
        <f>VLOOKUP($A45, 'ADP Data'!$C$3:$R$300, 16, FALSE)</f>
        <v>WR</v>
      </c>
      <c r="D45" s="11"/>
      <c r="E45" s="11"/>
      <c r="F45" s="11" t="s">
        <v>847</v>
      </c>
      <c r="G45" s="11">
        <v>19</v>
      </c>
      <c r="H45" s="11"/>
      <c r="I45" s="11">
        <f>VLOOKUP($A45, 'ADP Data'!$C$3:$Q$300, 13, FALSE)</f>
        <v>36</v>
      </c>
      <c r="J45" s="11">
        <f>VLOOKUP($A45, 'ADP Data'!$C$3:$Q$300, 10, FALSE)</f>
        <v>43</v>
      </c>
      <c r="K45" s="11">
        <v>37</v>
      </c>
    </row>
    <row r="46" spans="1:11" ht="14.25" customHeight="1" x14ac:dyDescent="0.25">
      <c r="A46" s="1" t="s">
        <v>417</v>
      </c>
      <c r="B46" s="11" t="str">
        <f>VLOOKUP($A46, 'ADP Data'!$C$3:$R$300, 2, FALSE)</f>
        <v>NO</v>
      </c>
      <c r="C46" s="11" t="str">
        <f>VLOOKUP($A46, 'ADP Data'!$C$3:$R$300, 16, FALSE)</f>
        <v>RB</v>
      </c>
      <c r="D46" s="11"/>
      <c r="E46" s="11"/>
      <c r="F46" s="11" t="s">
        <v>841</v>
      </c>
      <c r="G46" s="11">
        <v>18</v>
      </c>
      <c r="H46" s="11"/>
      <c r="I46" s="11">
        <f>VLOOKUP($A46, 'ADP Data'!$C$3:$Q$300, 13, FALSE)</f>
        <v>58</v>
      </c>
      <c r="J46" s="11">
        <f>VLOOKUP($A46, 'ADP Data'!$C$3:$Q$300, 10, FALSE)</f>
        <v>41</v>
      </c>
      <c r="K46" s="11">
        <v>43</v>
      </c>
    </row>
    <row r="47" spans="1:11" ht="14.25" customHeight="1" x14ac:dyDescent="0.25">
      <c r="A47" s="1" t="s">
        <v>139</v>
      </c>
      <c r="B47" s="11" t="str">
        <f>VLOOKUP($A47, 'ADP Data'!$C$3:$R$300, 2, FALSE)</f>
        <v>PHI</v>
      </c>
      <c r="C47" s="11" t="str">
        <f>VLOOKUP($A47, 'ADP Data'!$C$3:$R$300, 16, FALSE)</f>
        <v>WR</v>
      </c>
      <c r="D47" s="11"/>
      <c r="E47" s="11"/>
      <c r="F47" s="11" t="s">
        <v>847</v>
      </c>
      <c r="G47" s="11">
        <v>18</v>
      </c>
      <c r="H47" s="11"/>
      <c r="I47" s="11">
        <f>VLOOKUP($A47, 'ADP Data'!$C$3:$Q$300, 13, FALSE)</f>
        <v>52</v>
      </c>
      <c r="J47" s="11">
        <f>VLOOKUP($A47, 'ADP Data'!$C$3:$Q$300, 10, FALSE)</f>
        <v>45</v>
      </c>
      <c r="K47" s="11">
        <v>48</v>
      </c>
    </row>
    <row r="48" spans="1:11" ht="14.25" customHeight="1" x14ac:dyDescent="0.25">
      <c r="A48" s="1" t="s">
        <v>280</v>
      </c>
      <c r="B48" s="11" t="str">
        <f>VLOOKUP($A48, 'ADP Data'!$C$3:$R$300, 2, FALSE)</f>
        <v>CAR</v>
      </c>
      <c r="C48" s="11" t="str">
        <f>VLOOKUP($A48, 'ADP Data'!$C$3:$R$300, 16, FALSE)</f>
        <v>RB</v>
      </c>
      <c r="D48" s="11"/>
      <c r="E48" s="11"/>
      <c r="F48" s="11" t="s">
        <v>841</v>
      </c>
      <c r="G48" s="11">
        <v>17</v>
      </c>
      <c r="H48" s="11"/>
      <c r="I48" s="11">
        <f>VLOOKUP($A48, 'ADP Data'!$C$3:$Q$300, 13, FALSE)</f>
        <v>54</v>
      </c>
      <c r="J48" s="11">
        <f>VLOOKUP($A48, 'ADP Data'!$C$3:$Q$300, 10, FALSE)</f>
        <v>40</v>
      </c>
      <c r="K48" s="11">
        <v>40</v>
      </c>
    </row>
    <row r="49" spans="1:11" ht="14.25" customHeight="1" x14ac:dyDescent="0.25">
      <c r="A49" s="1" t="s">
        <v>167</v>
      </c>
      <c r="B49" s="11" t="str">
        <f>VLOOKUP($A49, 'ADP Data'!$C$3:$R$300, 2, FALSE)</f>
        <v>MIA</v>
      </c>
      <c r="C49" s="11" t="str">
        <f>VLOOKUP($A49, 'ADP Data'!$C$3:$R$300, 16, FALSE)</f>
        <v>WR</v>
      </c>
      <c r="D49" s="11"/>
      <c r="E49" s="11" t="s">
        <v>119</v>
      </c>
      <c r="F49" s="11" t="s">
        <v>845</v>
      </c>
      <c r="G49" s="11">
        <v>31</v>
      </c>
      <c r="H49" s="11"/>
      <c r="I49" s="11">
        <f>VLOOKUP($A49, 'ADP Data'!$C$3:$Q$300, 13, FALSE)</f>
        <v>53</v>
      </c>
      <c r="J49" s="11">
        <f>VLOOKUP($A49, 'ADP Data'!$C$3:$Q$300, 10, FALSE)</f>
        <v>48</v>
      </c>
      <c r="K49" s="11">
        <v>50</v>
      </c>
    </row>
    <row r="50" spans="1:11" ht="14.25" customHeight="1" x14ac:dyDescent="0.25">
      <c r="A50" s="1" t="s">
        <v>118</v>
      </c>
      <c r="B50" s="11" t="str">
        <f>VLOOKUP($A50, 'ADP Data'!$C$3:$R$300, 2, FALSE)</f>
        <v>DAL</v>
      </c>
      <c r="C50" s="11" t="str">
        <f>VLOOKUP($A50, 'ADP Data'!$C$3:$R$300, 16, FALSE)</f>
        <v>WR</v>
      </c>
      <c r="D50" s="11"/>
      <c r="E50" s="11" t="s">
        <v>148</v>
      </c>
      <c r="F50" s="11" t="s">
        <v>847</v>
      </c>
      <c r="G50" s="11">
        <v>21</v>
      </c>
      <c r="H50" s="11"/>
      <c r="I50" s="11">
        <f>VLOOKUP($A50, 'ADP Data'!$C$3:$Q$300, 13, FALSE)</f>
        <v>42</v>
      </c>
      <c r="J50" s="11">
        <f>VLOOKUP($A50, 'ADP Data'!$C$3:$Q$300, 10, FALSE)</f>
        <v>47</v>
      </c>
      <c r="K50" s="11">
        <v>47</v>
      </c>
    </row>
    <row r="51" spans="1:11" ht="14.25" customHeight="1" x14ac:dyDescent="0.25">
      <c r="A51" s="1" t="s">
        <v>248</v>
      </c>
      <c r="B51" s="11" t="str">
        <f>VLOOKUP($A51, 'ADP Data'!$C$3:$R$300, 2, FALSE)</f>
        <v>PIT</v>
      </c>
      <c r="C51" s="11" t="str">
        <f>VLOOKUP($A51, 'ADP Data'!$C$3:$R$300, 16, FALSE)</f>
        <v>WR</v>
      </c>
      <c r="D51" s="11"/>
      <c r="E51" s="11"/>
      <c r="F51" s="11" t="s">
        <v>847</v>
      </c>
      <c r="G51" s="11">
        <v>20</v>
      </c>
      <c r="H51" s="11"/>
      <c r="I51" s="11">
        <f>VLOOKUP($A51, 'ADP Data'!$C$3:$Q$300, 13, FALSE)</f>
        <v>50</v>
      </c>
      <c r="J51" s="11">
        <f>VLOOKUP($A51, 'ADP Data'!$C$3:$Q$300, 10, FALSE)</f>
        <v>49</v>
      </c>
      <c r="K51" s="11">
        <v>54</v>
      </c>
    </row>
    <row r="52" spans="1:11" ht="14.25" customHeight="1" x14ac:dyDescent="0.25">
      <c r="A52" s="1" t="s">
        <v>216</v>
      </c>
      <c r="B52" s="11" t="str">
        <f>VLOOKUP($A52, 'ADP Data'!$C$3:$R$300, 2, FALSE)</f>
        <v>NE</v>
      </c>
      <c r="C52" s="11" t="str">
        <f>VLOOKUP($A52, 'ADP Data'!$C$3:$R$300, 16, FALSE)</f>
        <v>RB</v>
      </c>
      <c r="D52" s="11"/>
      <c r="E52" s="11" t="s">
        <v>148</v>
      </c>
      <c r="F52" s="11" t="s">
        <v>841</v>
      </c>
      <c r="G52" s="11">
        <v>14</v>
      </c>
      <c r="H52" s="11" t="s">
        <v>1064</v>
      </c>
      <c r="I52" s="11">
        <f>VLOOKUP($A52, 'ADP Data'!$C$3:$Q$300, 13, FALSE)</f>
        <v>43</v>
      </c>
      <c r="J52" s="11">
        <f>VLOOKUP($A52, 'ADP Data'!$C$3:$Q$300, 10, FALSE)</f>
        <v>46</v>
      </c>
      <c r="K52" s="11">
        <v>71</v>
      </c>
    </row>
    <row r="53" spans="1:11" ht="14.25" customHeight="1" x14ac:dyDescent="0.25">
      <c r="A53" s="1" t="s">
        <v>562</v>
      </c>
      <c r="B53" s="11" t="str">
        <f>VLOOKUP($A53, 'ADP Data'!$C$3:$R$300, 2, FALSE)</f>
        <v>ARI</v>
      </c>
      <c r="C53" s="11" t="str">
        <f>VLOOKUP($A53, 'ADP Data'!$C$3:$R$300, 16, FALSE)</f>
        <v>RB</v>
      </c>
      <c r="D53" s="11"/>
      <c r="E53" s="11"/>
      <c r="F53" s="11" t="s">
        <v>841</v>
      </c>
      <c r="G53" s="11">
        <v>19</v>
      </c>
      <c r="H53" s="11"/>
      <c r="I53" s="11">
        <f>VLOOKUP($A53, 'ADP Data'!$C$3:$Q$300, 13, FALSE)</f>
        <v>62</v>
      </c>
      <c r="J53" s="11">
        <f>VLOOKUP($A53, 'ADP Data'!$C$3:$Q$300, 10, FALSE)</f>
        <v>44</v>
      </c>
      <c r="K53" s="11">
        <v>45</v>
      </c>
    </row>
    <row r="54" spans="1:11" ht="14.25" customHeight="1" x14ac:dyDescent="0.25">
      <c r="A54" s="1" t="s">
        <v>344</v>
      </c>
      <c r="B54" s="11" t="str">
        <f>VLOOKUP($A54, 'ADP Data'!$C$3:$R$300, 2, FALSE)</f>
        <v>KC</v>
      </c>
      <c r="C54" s="11" t="str">
        <f>VLOOKUP($A54, 'ADP Data'!$C$3:$R$300, 16, FALSE)</f>
        <v>WR</v>
      </c>
      <c r="D54" s="11"/>
      <c r="E54" s="11"/>
      <c r="F54" s="11" t="s">
        <v>847</v>
      </c>
      <c r="G54" s="11">
        <v>22</v>
      </c>
      <c r="H54" s="11" t="s">
        <v>1048</v>
      </c>
      <c r="I54" s="11">
        <f>VLOOKUP($A54, 'ADP Data'!$C$3:$Q$300, 13, FALSE)</f>
        <v>40</v>
      </c>
      <c r="J54" s="11">
        <f>VLOOKUP($A54, 'ADP Data'!$C$3:$Q$300, 10, FALSE)</f>
        <v>51</v>
      </c>
      <c r="K54" s="11">
        <v>52</v>
      </c>
    </row>
    <row r="55" spans="1:11" ht="14.25" customHeight="1" x14ac:dyDescent="0.25">
      <c r="A55" s="1" t="s">
        <v>147</v>
      </c>
      <c r="B55" s="11" t="str">
        <f>VLOOKUP($A55, 'ADP Data'!$C$3:$R$300, 2, FALSE)</f>
        <v>BAL</v>
      </c>
      <c r="C55" s="11" t="str">
        <f>VLOOKUP($A55, 'ADP Data'!$C$3:$R$300, 16, FALSE)</f>
        <v>WR</v>
      </c>
      <c r="D55" s="11"/>
      <c r="E55" s="11"/>
      <c r="F55" s="11" t="s">
        <v>879</v>
      </c>
      <c r="G55" s="11">
        <v>27</v>
      </c>
      <c r="H55" s="11"/>
      <c r="I55" s="11">
        <f>VLOOKUP($A55, 'ADP Data'!$C$3:$Q$300, 13, FALSE)</f>
        <v>57</v>
      </c>
      <c r="J55" s="11">
        <f>VLOOKUP($A55, 'ADP Data'!$C$3:$Q$300, 10, FALSE)</f>
        <v>52</v>
      </c>
      <c r="K55" s="11">
        <v>56</v>
      </c>
    </row>
    <row r="56" spans="1:11" ht="14.25" customHeight="1" x14ac:dyDescent="0.25">
      <c r="A56" s="1" t="s">
        <v>196</v>
      </c>
      <c r="B56" s="11" t="str">
        <f>VLOOKUP($A56, 'ADP Data'!$C$3:$R$300, 2, FALSE)</f>
        <v>DET</v>
      </c>
      <c r="C56" s="11" t="str">
        <f>VLOOKUP($A56, 'ADP Data'!$C$3:$R$300, 16, FALSE)</f>
        <v>WR</v>
      </c>
      <c r="D56" s="11"/>
      <c r="E56" s="11"/>
      <c r="F56" s="11" t="s">
        <v>879</v>
      </c>
      <c r="G56" s="11">
        <v>23</v>
      </c>
      <c r="H56" s="11"/>
      <c r="I56" s="11">
        <f>VLOOKUP($A56, 'ADP Data'!$C$3:$Q$300, 13, FALSE)</f>
        <v>45</v>
      </c>
      <c r="J56" s="11">
        <f>VLOOKUP($A56, 'ADP Data'!$C$3:$Q$300, 10, FALSE)</f>
        <v>57</v>
      </c>
      <c r="K56" s="11">
        <v>70</v>
      </c>
    </row>
    <row r="57" spans="1:11" ht="14.25" customHeight="1" x14ac:dyDescent="0.25">
      <c r="A57" s="1" t="s">
        <v>246</v>
      </c>
      <c r="B57" s="11" t="str">
        <f>VLOOKUP($A57, 'ADP Data'!$C$3:$R$300, 2, FALSE)</f>
        <v>DET</v>
      </c>
      <c r="C57" s="11" t="str">
        <f>VLOOKUP($A57, 'ADP Data'!$C$3:$R$300, 16, FALSE)</f>
        <v>TE</v>
      </c>
      <c r="D57" s="11"/>
      <c r="E57" s="11"/>
      <c r="F57" s="27" t="s">
        <v>863</v>
      </c>
      <c r="G57" s="11">
        <v>4</v>
      </c>
      <c r="H57" s="11"/>
      <c r="I57" s="11">
        <f>VLOOKUP($A57, 'ADP Data'!$C$3:$Q$300, 13, FALSE)</f>
        <v>77</v>
      </c>
      <c r="J57" s="11">
        <f>VLOOKUP($A57, 'ADP Data'!$C$3:$Q$300, 10, FALSE)</f>
        <v>68</v>
      </c>
      <c r="K57" s="11">
        <v>57</v>
      </c>
    </row>
    <row r="58" spans="1:11" ht="14.25" customHeight="1" x14ac:dyDescent="0.25">
      <c r="A58" s="1" t="s">
        <v>176</v>
      </c>
      <c r="B58" s="11" t="str">
        <f>VLOOKUP($A58, 'ADP Data'!$C$3:$R$300, 2, FALSE)</f>
        <v>CHI</v>
      </c>
      <c r="C58" s="11" t="str">
        <f>VLOOKUP($A58, 'ADP Data'!$C$3:$R$300, 16, FALSE)</f>
        <v>WR</v>
      </c>
      <c r="D58" s="11"/>
      <c r="E58" s="11"/>
      <c r="F58" s="11" t="s">
        <v>879</v>
      </c>
      <c r="G58" s="11">
        <v>28</v>
      </c>
      <c r="H58" s="11"/>
      <c r="I58" s="11">
        <f>VLOOKUP($A58, 'ADP Data'!$C$3:$Q$300, 13, FALSE)</f>
        <v>49</v>
      </c>
      <c r="J58" s="11">
        <f>VLOOKUP($A58, 'ADP Data'!$C$3:$Q$300, 10, FALSE)</f>
        <v>60</v>
      </c>
      <c r="K58" s="11">
        <v>60</v>
      </c>
    </row>
    <row r="59" spans="1:11" ht="14.25" customHeight="1" x14ac:dyDescent="0.25">
      <c r="A59" s="1" t="s">
        <v>478</v>
      </c>
      <c r="B59" s="11" t="str">
        <f>VLOOKUP($A59, 'ADP Data'!$C$3:$R$300, 2, FALSE)</f>
        <v>TEN</v>
      </c>
      <c r="C59" s="11" t="str">
        <f>VLOOKUP($A59, 'ADP Data'!$C$3:$R$300, 16, FALSE)</f>
        <v>WR</v>
      </c>
      <c r="D59" s="11"/>
      <c r="E59" s="11" t="s">
        <v>148</v>
      </c>
      <c r="F59" s="11" t="s">
        <v>879</v>
      </c>
      <c r="G59" s="11">
        <v>25</v>
      </c>
      <c r="H59" s="11"/>
      <c r="I59" s="11">
        <f>VLOOKUP($A59, 'ADP Data'!$C$3:$Q$300, 13, FALSE)</f>
        <v>51</v>
      </c>
      <c r="J59" s="11">
        <f>VLOOKUP($A59, 'ADP Data'!$C$3:$Q$300, 10, FALSE)</f>
        <v>58</v>
      </c>
      <c r="K59" s="11">
        <v>55</v>
      </c>
    </row>
    <row r="60" spans="1:11" ht="14.25" customHeight="1" x14ac:dyDescent="0.25">
      <c r="A60" s="1" t="s">
        <v>159</v>
      </c>
      <c r="B60" s="11" t="str">
        <f>VLOOKUP($A60, 'ADP Data'!$C$3:$R$300, 2, FALSE)</f>
        <v>CAR</v>
      </c>
      <c r="C60" s="11" t="str">
        <f>VLOOKUP($A60, 'ADP Data'!$C$3:$R$300, 16, FALSE)</f>
        <v>WR</v>
      </c>
      <c r="D60" s="11"/>
      <c r="E60" s="11" t="s">
        <v>148</v>
      </c>
      <c r="F60" s="11" t="s">
        <v>879</v>
      </c>
      <c r="G60" s="11">
        <v>24</v>
      </c>
      <c r="H60" s="11" t="s">
        <v>1058</v>
      </c>
      <c r="I60" s="11">
        <f>VLOOKUP($A60, 'ADP Data'!$C$3:$Q$300, 13, FALSE)</f>
        <v>38</v>
      </c>
      <c r="J60" s="11">
        <f>VLOOKUP($A60, 'ADP Data'!$C$3:$Q$300, 10, FALSE)</f>
        <v>55</v>
      </c>
      <c r="K60" s="11">
        <v>49</v>
      </c>
    </row>
    <row r="61" spans="1:11" ht="14.25" customHeight="1" x14ac:dyDescent="0.25">
      <c r="A61" s="1" t="s">
        <v>310</v>
      </c>
      <c r="B61" s="11" t="str">
        <f>VLOOKUP($A61, 'ADP Data'!$C$3:$R$300, 2, FALSE)</f>
        <v>KC</v>
      </c>
      <c r="C61" s="11" t="str">
        <f>VLOOKUP($A61, 'ADP Data'!$C$3:$R$300, 16, FALSE)</f>
        <v>QB</v>
      </c>
      <c r="D61" s="11"/>
      <c r="E61" s="11"/>
      <c r="F61" s="11" t="s">
        <v>852</v>
      </c>
      <c r="G61" s="11">
        <v>9</v>
      </c>
      <c r="H61" s="11"/>
      <c r="I61" s="11">
        <f>VLOOKUP($A61, 'ADP Data'!$C$3:$Q$300, 13, FALSE)</f>
        <v>80</v>
      </c>
      <c r="J61" s="11">
        <f>VLOOKUP($A61, 'ADP Data'!$C$3:$Q$300, 10, FALSE)</f>
        <v>76</v>
      </c>
      <c r="K61" s="11">
        <v>75</v>
      </c>
    </row>
    <row r="62" spans="1:11" ht="14.25" customHeight="1" x14ac:dyDescent="0.25">
      <c r="A62" s="1" t="s">
        <v>260</v>
      </c>
      <c r="B62" s="11" t="str">
        <f>VLOOKUP($A62, 'ADP Data'!$C$3:$R$300, 2, FALSE)</f>
        <v>DEN</v>
      </c>
      <c r="C62" s="11" t="str">
        <f>VLOOKUP($A62, 'ADP Data'!$C$3:$R$300, 16, FALSE)</f>
        <v>WR</v>
      </c>
      <c r="D62" s="11"/>
      <c r="E62" s="11" t="s">
        <v>148</v>
      </c>
      <c r="F62" s="11" t="s">
        <v>879</v>
      </c>
      <c r="G62" s="11">
        <v>26</v>
      </c>
      <c r="H62" s="11"/>
      <c r="I62" s="11">
        <f>VLOOKUP($A62, 'ADP Data'!$C$3:$Q$300, 13, FALSE)</f>
        <v>48</v>
      </c>
      <c r="J62" s="11">
        <f>VLOOKUP($A62, 'ADP Data'!$C$3:$Q$300, 10, FALSE)</f>
        <v>59</v>
      </c>
      <c r="K62" s="11">
        <v>63</v>
      </c>
    </row>
    <row r="63" spans="1:11" ht="14.25" customHeight="1" x14ac:dyDescent="0.25">
      <c r="A63" s="1" t="s">
        <v>172</v>
      </c>
      <c r="B63" s="11" t="str">
        <f>VLOOKUP($A63, 'ADP Data'!$C$3:$R$300, 2, FALSE)</f>
        <v>CHI</v>
      </c>
      <c r="C63" s="11" t="str">
        <f>VLOOKUP($A63, 'ADP Data'!$C$3:$R$300, 16, FALSE)</f>
        <v>RB</v>
      </c>
      <c r="D63" s="11"/>
      <c r="E63" s="11" t="s">
        <v>119</v>
      </c>
      <c r="F63" s="11" t="s">
        <v>846</v>
      </c>
      <c r="G63" s="11">
        <v>26</v>
      </c>
      <c r="H63" s="11"/>
      <c r="I63" s="11">
        <f>VLOOKUP($A63, 'ADP Data'!$C$3:$Q$300, 13, FALSE)</f>
        <v>70</v>
      </c>
      <c r="J63" s="11">
        <f>VLOOKUP($A63, 'ADP Data'!$C$3:$Q$300, 10, FALSE)</f>
        <v>64</v>
      </c>
      <c r="K63" s="11">
        <v>67</v>
      </c>
    </row>
    <row r="64" spans="1:11" ht="14.25" customHeight="1" x14ac:dyDescent="0.25">
      <c r="A64" s="1" t="s">
        <v>272</v>
      </c>
      <c r="B64" s="11" t="str">
        <f>VLOOKUP($A64, 'ADP Data'!$C$3:$R$300, 2, FALSE)</f>
        <v>DEN</v>
      </c>
      <c r="C64" s="11" t="str">
        <f>VLOOKUP($A64, 'ADP Data'!$C$3:$R$300, 16, FALSE)</f>
        <v>RB</v>
      </c>
      <c r="D64" s="11"/>
      <c r="E64" s="11" t="s">
        <v>148</v>
      </c>
      <c r="F64" s="11" t="s">
        <v>846</v>
      </c>
      <c r="G64" s="11">
        <v>20</v>
      </c>
      <c r="H64" s="11" t="s">
        <v>1066</v>
      </c>
      <c r="I64" s="11">
        <f>VLOOKUP($A64, 'ADP Data'!$C$3:$Q$300, 13, FALSE)</f>
        <v>61</v>
      </c>
      <c r="J64" s="11">
        <f>VLOOKUP($A64, 'ADP Data'!$C$3:$Q$300, 10, FALSE)</f>
        <v>56</v>
      </c>
      <c r="K64" s="11">
        <v>65</v>
      </c>
    </row>
    <row r="65" spans="1:11" ht="14.25" customHeight="1" x14ac:dyDescent="0.25">
      <c r="A65" s="1" t="s">
        <v>128</v>
      </c>
      <c r="B65" s="11" t="str">
        <f>VLOOKUP($A65, 'ADP Data'!$C$3:$R$300, 2, FALSE)</f>
        <v>NO</v>
      </c>
      <c r="C65" s="11" t="str">
        <f>VLOOKUP($A65, 'ADP Data'!$C$3:$R$300, 16, FALSE)</f>
        <v>WR</v>
      </c>
      <c r="D65" s="11"/>
      <c r="E65" s="11"/>
      <c r="F65" s="11" t="s">
        <v>845</v>
      </c>
      <c r="G65" s="11">
        <v>32</v>
      </c>
      <c r="H65" s="11"/>
      <c r="I65" s="11">
        <f>VLOOKUP($A65, 'ADP Data'!$C$3:$Q$300, 13, FALSE)</f>
        <v>67</v>
      </c>
      <c r="J65" s="11">
        <f>VLOOKUP($A65, 'ADP Data'!$C$3:$Q$300, 10, FALSE)</f>
        <v>66</v>
      </c>
      <c r="K65" s="11">
        <v>66</v>
      </c>
    </row>
    <row r="66" spans="1:11" ht="14.25" customHeight="1" x14ac:dyDescent="0.25">
      <c r="A66" s="1" t="s">
        <v>178</v>
      </c>
      <c r="B66" s="11" t="str">
        <f>VLOOKUP($A66, 'ADP Data'!$C$3:$R$300, 2, FALSE)</f>
        <v>DET</v>
      </c>
      <c r="C66" s="11" t="str">
        <f>VLOOKUP($A66, 'ADP Data'!$C$3:$R$300, 16, FALSE)</f>
        <v>RB</v>
      </c>
      <c r="D66" s="11"/>
      <c r="E66" s="11"/>
      <c r="F66" s="11" t="s">
        <v>846</v>
      </c>
      <c r="G66" s="11">
        <v>21</v>
      </c>
      <c r="H66" s="11"/>
      <c r="I66" s="11">
        <f>VLOOKUP($A66, 'ADP Data'!$C$3:$Q$300, 13, FALSE)</f>
        <v>75</v>
      </c>
      <c r="J66" s="11">
        <f>VLOOKUP($A66, 'ADP Data'!$C$3:$Q$300, 10, FALSE)</f>
        <v>61</v>
      </c>
      <c r="K66" s="11">
        <v>53</v>
      </c>
    </row>
    <row r="67" spans="1:11" ht="14.25" customHeight="1" x14ac:dyDescent="0.25">
      <c r="A67" s="1" t="s">
        <v>202</v>
      </c>
      <c r="B67" s="11" t="str">
        <f>VLOOKUP($A67, 'ADP Data'!$C$3:$R$300, 2, FALSE)</f>
        <v>CHI</v>
      </c>
      <c r="C67" s="11" t="str">
        <f>VLOOKUP($A67, 'ADP Data'!$C$3:$R$300, 16, FALSE)</f>
        <v>WR</v>
      </c>
      <c r="D67" s="11"/>
      <c r="E67" s="11"/>
      <c r="F67" s="11" t="s">
        <v>845</v>
      </c>
      <c r="G67" s="11">
        <v>33</v>
      </c>
      <c r="H67" s="11" t="s">
        <v>1048</v>
      </c>
      <c r="I67" s="11">
        <f>VLOOKUP($A67, 'ADP Data'!$C$3:$Q$300, 13, FALSE)</f>
        <v>64</v>
      </c>
      <c r="J67" s="11">
        <f>VLOOKUP($A67, 'ADP Data'!$C$3:$Q$300, 10, FALSE)</f>
        <v>63</v>
      </c>
      <c r="K67" s="11">
        <v>68</v>
      </c>
    </row>
    <row r="68" spans="1:11" ht="14.25" customHeight="1" x14ac:dyDescent="0.25">
      <c r="A68" s="1" t="s">
        <v>422</v>
      </c>
      <c r="B68" s="11" t="str">
        <f>VLOOKUP($A68, 'ADP Data'!$C$3:$R$300, 2, FALSE)</f>
        <v>MIN</v>
      </c>
      <c r="C68" s="11" t="str">
        <f>VLOOKUP($A68, 'ADP Data'!$C$3:$R$300, 16, FALSE)</f>
        <v>TE</v>
      </c>
      <c r="D68" s="11"/>
      <c r="E68" s="11"/>
      <c r="F68" s="27" t="s">
        <v>863</v>
      </c>
      <c r="G68" s="11">
        <v>5</v>
      </c>
      <c r="H68" s="11"/>
      <c r="I68" s="11">
        <f>VLOOKUP($A68, 'ADP Data'!$C$3:$Q$300, 13, FALSE)</f>
        <v>87</v>
      </c>
      <c r="J68" s="11">
        <f>VLOOKUP($A68, 'ADP Data'!$C$3:$Q$300, 10, FALSE)</f>
        <v>73</v>
      </c>
      <c r="K68" s="11">
        <v>74</v>
      </c>
    </row>
    <row r="69" spans="1:11" ht="14.25" customHeight="1" x14ac:dyDescent="0.25">
      <c r="A69" s="1" t="s">
        <v>415</v>
      </c>
      <c r="B69" s="11" t="str">
        <f>VLOOKUP($A69, 'ADP Data'!$C$3:$R$300, 2, FALSE)</f>
        <v>KC</v>
      </c>
      <c r="C69" s="11" t="str">
        <f>VLOOKUP($A69, 'ADP Data'!$C$3:$R$300, 16, FALSE)</f>
        <v>RB</v>
      </c>
      <c r="D69" s="11"/>
      <c r="E69" s="11"/>
      <c r="F69" s="11" t="s">
        <v>846</v>
      </c>
      <c r="G69" s="11">
        <v>23</v>
      </c>
      <c r="H69" s="11"/>
      <c r="I69" s="11">
        <f>VLOOKUP($A69, 'ADP Data'!$C$3:$Q$300, 13, FALSE)</f>
        <v>71</v>
      </c>
      <c r="J69" s="11">
        <f>VLOOKUP($A69, 'ADP Data'!$C$3:$Q$300, 10, FALSE)</f>
        <v>65</v>
      </c>
      <c r="K69" s="11">
        <v>64</v>
      </c>
    </row>
    <row r="70" spans="1:11" ht="14.25" customHeight="1" x14ac:dyDescent="0.25">
      <c r="A70" s="1" t="s">
        <v>252</v>
      </c>
      <c r="B70" s="11" t="str">
        <f>VLOOKUP($A70, 'ADP Data'!$C$3:$R$300, 2, FALSE)</f>
        <v>TEN</v>
      </c>
      <c r="C70" s="11" t="str">
        <f>VLOOKUP($A70, 'ADP Data'!$C$3:$R$300, 16, FALSE)</f>
        <v>RB</v>
      </c>
      <c r="D70" s="11"/>
      <c r="E70" s="11"/>
      <c r="F70" s="11" t="s">
        <v>846</v>
      </c>
      <c r="G70" s="11">
        <v>24</v>
      </c>
      <c r="H70" s="11"/>
      <c r="I70" s="11">
        <f>VLOOKUP($A70, 'ADP Data'!$C$3:$Q$300, 13, FALSE)</f>
        <v>68</v>
      </c>
      <c r="J70" s="11">
        <f>VLOOKUP($A70, 'ADP Data'!$C$3:$Q$300, 10, FALSE)</f>
        <v>54</v>
      </c>
      <c r="K70" s="11">
        <v>59</v>
      </c>
    </row>
    <row r="71" spans="1:11" ht="14.25" customHeight="1" x14ac:dyDescent="0.25">
      <c r="A71" s="1" t="s">
        <v>338</v>
      </c>
      <c r="B71" s="11" t="str">
        <f>VLOOKUP($A71, 'ADP Data'!$C$3:$R$300, 2, FALSE)</f>
        <v>MIN</v>
      </c>
      <c r="C71" s="11" t="str">
        <f>VLOOKUP($A71, 'ADP Data'!$C$3:$R$300, 16, FALSE)</f>
        <v>RB</v>
      </c>
      <c r="D71" s="11"/>
      <c r="E71" s="11"/>
      <c r="F71" s="11" t="s">
        <v>846</v>
      </c>
      <c r="G71" s="11">
        <v>25</v>
      </c>
      <c r="H71" s="11"/>
      <c r="I71" s="11">
        <f>VLOOKUP($A71, 'ADP Data'!$C$3:$Q$300, 13, FALSE)</f>
        <v>78</v>
      </c>
      <c r="J71" s="11">
        <f>VLOOKUP($A71, 'ADP Data'!$C$3:$Q$300, 10, FALSE)</f>
        <v>70</v>
      </c>
      <c r="K71" s="11">
        <v>69</v>
      </c>
    </row>
    <row r="72" spans="1:11" ht="14.25" customHeight="1" x14ac:dyDescent="0.25">
      <c r="A72" s="1" t="s">
        <v>312</v>
      </c>
      <c r="B72" s="11" t="str">
        <f>VLOOKUP($A72, 'ADP Data'!$C$3:$R$300, 2, FALSE)</f>
        <v>KC</v>
      </c>
      <c r="C72" s="11" t="str">
        <f>VLOOKUP($A72, 'ADP Data'!$C$3:$R$300, 16, FALSE)</f>
        <v>TE</v>
      </c>
      <c r="D72" s="11"/>
      <c r="E72" s="11" t="s">
        <v>119</v>
      </c>
      <c r="F72" s="11" t="s">
        <v>849</v>
      </c>
      <c r="G72" s="11">
        <v>9</v>
      </c>
      <c r="H72" s="11"/>
      <c r="I72" s="11">
        <f>VLOOKUP($A72, 'ADP Data'!$C$3:$Q$300, 13, FALSE)</f>
        <v>91</v>
      </c>
      <c r="J72" s="11">
        <f>VLOOKUP($A72, 'ADP Data'!$C$3:$Q$300, 10, FALSE)</f>
        <v>82</v>
      </c>
      <c r="K72" s="11">
        <v>86</v>
      </c>
    </row>
    <row r="73" spans="1:11" ht="14.25" customHeight="1" x14ac:dyDescent="0.25">
      <c r="A73" s="1" t="s">
        <v>456</v>
      </c>
      <c r="B73" s="11" t="str">
        <f>VLOOKUP($A73, 'ADP Data'!$C$3:$R$300, 2, FALSE)</f>
        <v>JAX</v>
      </c>
      <c r="C73" s="11" t="str">
        <f>VLOOKUP($A73, 'ADP Data'!$C$3:$R$300, 16, FALSE)</f>
        <v>WR</v>
      </c>
      <c r="D73" s="11"/>
      <c r="E73" s="11" t="s">
        <v>148</v>
      </c>
      <c r="F73" s="11" t="s">
        <v>879</v>
      </c>
      <c r="G73" s="11">
        <v>30</v>
      </c>
      <c r="H73" s="11" t="s">
        <v>1061</v>
      </c>
      <c r="I73" s="11">
        <f>VLOOKUP($A73, 'ADP Data'!$C$3:$Q$300, 13, FALSE)</f>
        <v>55</v>
      </c>
      <c r="J73" s="11">
        <f>VLOOKUP($A73, 'ADP Data'!$C$3:$Q$300, 10, FALSE)</f>
        <v>62</v>
      </c>
      <c r="K73" s="11">
        <v>72</v>
      </c>
    </row>
    <row r="74" spans="1:11" ht="14.25" customHeight="1" x14ac:dyDescent="0.25">
      <c r="A74" s="1" t="s">
        <v>133</v>
      </c>
      <c r="B74" s="11" t="str">
        <f>VLOOKUP($A74, 'ADP Data'!$C$3:$R$300, 2, FALSE)</f>
        <v>KC</v>
      </c>
      <c r="C74" s="11" t="str">
        <f>VLOOKUP($A74, 'ADP Data'!$C$3:$R$300, 16, FALSE)</f>
        <v>WR</v>
      </c>
      <c r="D74" s="11"/>
      <c r="E74" s="11" t="s">
        <v>148</v>
      </c>
      <c r="F74" s="11" t="s">
        <v>879</v>
      </c>
      <c r="G74" s="11">
        <v>29</v>
      </c>
      <c r="H74" s="8" t="s">
        <v>1063</v>
      </c>
      <c r="I74" s="11">
        <f>VLOOKUP($A74, 'ADP Data'!$C$3:$Q$300, 13, FALSE)</f>
        <v>60</v>
      </c>
      <c r="J74" s="11">
        <f>VLOOKUP($A74, 'ADP Data'!$C$3:$Q$300, 10, FALSE)</f>
        <v>74</v>
      </c>
      <c r="K74" s="11">
        <v>79</v>
      </c>
    </row>
    <row r="75" spans="1:11" ht="14.25" customHeight="1" x14ac:dyDescent="0.25">
      <c r="A75" s="1" t="s">
        <v>364</v>
      </c>
      <c r="B75" s="11" t="str">
        <f>VLOOKUP($A75, 'ADP Data'!$C$3:$R$300, 2, FALSE)</f>
        <v>TB</v>
      </c>
      <c r="C75" s="11" t="str">
        <f>VLOOKUP($A75, 'ADP Data'!$C$3:$R$300, 16, FALSE)</f>
        <v>QB</v>
      </c>
      <c r="D75" s="11"/>
      <c r="E75" s="11"/>
      <c r="F75" s="11" t="s">
        <v>893</v>
      </c>
      <c r="G75" s="11">
        <v>6</v>
      </c>
      <c r="H75" s="11"/>
      <c r="I75" s="11">
        <f>VLOOKUP($A75, 'ADP Data'!$C$3:$Q$300, 13, FALSE)</f>
        <v>93</v>
      </c>
      <c r="J75" s="11">
        <f>VLOOKUP($A75, 'ADP Data'!$C$3:$Q$300, 10, FALSE)</f>
        <v>90</v>
      </c>
      <c r="K75" s="11">
        <v>73</v>
      </c>
    </row>
    <row r="76" spans="1:11" ht="14.25" customHeight="1" x14ac:dyDescent="0.25">
      <c r="A76" s="1" t="s">
        <v>778</v>
      </c>
      <c r="B76" s="11" t="str">
        <f>VLOOKUP($A76, 'ADP Data'!$C$3:$R$300, 2, FALSE)</f>
        <v>SF</v>
      </c>
      <c r="C76" s="11" t="str">
        <f>VLOOKUP($A76, 'ADP Data'!$C$3:$R$300, 16, FALSE)</f>
        <v>WR</v>
      </c>
      <c r="D76" s="11"/>
      <c r="E76" s="11"/>
      <c r="F76" s="11" t="s">
        <v>845</v>
      </c>
      <c r="G76" s="11">
        <v>32</v>
      </c>
      <c r="H76" s="11" t="s">
        <v>1048</v>
      </c>
      <c r="I76" s="11">
        <f>VLOOKUP($A76, 'ADP Data'!$C$3:$Q$300, 13, FALSE)</f>
        <v>59</v>
      </c>
      <c r="J76" s="11">
        <f>VLOOKUP($A76, 'ADP Data'!$C$3:$Q$300, 10, FALSE)</f>
        <v>69</v>
      </c>
      <c r="K76" s="11">
        <v>58</v>
      </c>
    </row>
    <row r="77" spans="1:11" ht="14.25" customHeight="1" x14ac:dyDescent="0.25">
      <c r="A77" s="1" t="s">
        <v>615</v>
      </c>
      <c r="B77" s="11" t="str">
        <f>VLOOKUP($A77, 'ADP Data'!$C$3:$R$300, 2, FALSE)</f>
        <v>PIT</v>
      </c>
      <c r="C77" s="11" t="str">
        <f>VLOOKUP($A77, 'ADP Data'!$C$3:$R$300, 16, FALSE)</f>
        <v>RB</v>
      </c>
      <c r="D77" s="11"/>
      <c r="E77" s="11"/>
      <c r="F77" s="11" t="s">
        <v>910</v>
      </c>
      <c r="G77" s="11">
        <v>27</v>
      </c>
      <c r="H77" s="11" t="s">
        <v>1070</v>
      </c>
      <c r="I77" s="11">
        <f>VLOOKUP($A77, 'ADP Data'!$C$3:$Q$300, 13, FALSE)</f>
        <v>79</v>
      </c>
      <c r="J77" s="11">
        <f>VLOOKUP($A77, 'ADP Data'!$C$3:$Q$300, 10, FALSE)</f>
        <v>95</v>
      </c>
      <c r="K77" s="11">
        <v>62</v>
      </c>
    </row>
    <row r="78" spans="1:11" ht="14.25" customHeight="1" x14ac:dyDescent="0.25">
      <c r="A78" s="1" t="s">
        <v>349</v>
      </c>
      <c r="B78" s="11" t="str">
        <f>VLOOKUP($A78, 'ADP Data'!$C$3:$R$300, 2, FALSE)</f>
        <v>BAL</v>
      </c>
      <c r="C78" s="11" t="str">
        <f>VLOOKUP($A78, 'ADP Data'!$C$3:$R$300, 16, FALSE)</f>
        <v>TE</v>
      </c>
      <c r="D78" s="11"/>
      <c r="E78" s="11" t="s">
        <v>119</v>
      </c>
      <c r="F78" s="11" t="s">
        <v>849</v>
      </c>
      <c r="G78" s="11">
        <v>7</v>
      </c>
      <c r="H78" s="11"/>
      <c r="I78" s="11">
        <f>VLOOKUP($A78, 'ADP Data'!$C$3:$Q$300, 13, FALSE)</f>
        <v>95</v>
      </c>
      <c r="J78" s="11">
        <f>VLOOKUP($A78, 'ADP Data'!$C$3:$Q$300, 10, FALSE)</f>
        <v>79</v>
      </c>
      <c r="K78" s="11">
        <v>85</v>
      </c>
    </row>
    <row r="79" spans="1:11" ht="14.25" customHeight="1" x14ac:dyDescent="0.25">
      <c r="A79" s="1" t="s">
        <v>318</v>
      </c>
      <c r="B79" s="11" t="str">
        <f>VLOOKUP($A79, 'ADP Data'!$C$3:$R$300, 2, FALSE)</f>
        <v>DEN</v>
      </c>
      <c r="C79" s="11" t="str">
        <f>VLOOKUP($A79, 'ADP Data'!$C$3:$R$300, 16, FALSE)</f>
        <v>QB</v>
      </c>
      <c r="D79" s="11"/>
      <c r="E79" s="11"/>
      <c r="F79" s="11" t="s">
        <v>893</v>
      </c>
      <c r="G79" s="11">
        <v>7</v>
      </c>
      <c r="H79" s="11"/>
      <c r="I79" s="11">
        <f>VLOOKUP($A79, 'ADP Data'!$C$3:$Q$300, 13, FALSE)</f>
        <v>96</v>
      </c>
      <c r="J79" s="11">
        <f>VLOOKUP($A79, 'ADP Data'!$C$3:$Q$300, 10, FALSE)</f>
        <v>83</v>
      </c>
      <c r="K79" s="11">
        <v>77</v>
      </c>
    </row>
    <row r="80" spans="1:11" ht="14.25" customHeight="1" x14ac:dyDescent="0.25">
      <c r="A80" s="1" t="s">
        <v>804</v>
      </c>
      <c r="B80" s="11" t="str">
        <f>VLOOKUP($A80, 'ADP Data'!$C$3:$R$300, 2, FALSE)</f>
        <v>HOU</v>
      </c>
      <c r="C80" s="11" t="str">
        <f>VLOOKUP($A80, 'ADP Data'!$C$3:$R$300, 16, FALSE)</f>
        <v>RB</v>
      </c>
      <c r="D80" s="11"/>
      <c r="E80" s="11"/>
      <c r="F80" s="11" t="s">
        <v>846</v>
      </c>
      <c r="G80" s="11">
        <v>22</v>
      </c>
      <c r="H80" s="11" t="s">
        <v>1067</v>
      </c>
      <c r="I80" s="11">
        <f>VLOOKUP($A80, 'ADP Data'!$C$3:$Q$300, 13, FALSE)</f>
        <v>122</v>
      </c>
      <c r="J80" s="11">
        <f>VLOOKUP($A80, 'ADP Data'!$C$3:$Q$300, 10, FALSE)</f>
        <v>161</v>
      </c>
      <c r="K80" s="11">
        <v>46</v>
      </c>
    </row>
    <row r="81" spans="1:11" ht="14.25" customHeight="1" x14ac:dyDescent="0.25">
      <c r="A81" s="1" t="s">
        <v>294</v>
      </c>
      <c r="B81" s="11" t="str">
        <f>VLOOKUP($A81, 'ADP Data'!$C$3:$R$300, 2, FALSE)</f>
        <v>MIN</v>
      </c>
      <c r="C81" s="11" t="str">
        <f>VLOOKUP($A81, 'ADP Data'!$C$3:$R$300, 16, FALSE)</f>
        <v>WR</v>
      </c>
      <c r="D81" s="11"/>
      <c r="E81" s="11"/>
      <c r="F81" s="11" t="s">
        <v>884</v>
      </c>
      <c r="G81" s="11">
        <v>36</v>
      </c>
      <c r="H81" s="11"/>
      <c r="I81" s="11">
        <f>VLOOKUP($A81, 'ADP Data'!$C$3:$Q$300, 13, FALSE)</f>
        <v>74</v>
      </c>
      <c r="J81" s="11">
        <f>VLOOKUP($A81, 'ADP Data'!$C$3:$Q$300, 10, FALSE)</f>
        <v>84</v>
      </c>
      <c r="K81" s="11">
        <v>101</v>
      </c>
    </row>
    <row r="82" spans="1:11" ht="14.25" customHeight="1" x14ac:dyDescent="0.25">
      <c r="A82" s="1" t="s">
        <v>335</v>
      </c>
      <c r="B82" s="11" t="str">
        <f>VLOOKUP($A82, 'ADP Data'!$C$3:$R$300, 2, FALSE)</f>
        <v>LV</v>
      </c>
      <c r="C82" s="11" t="str">
        <f>VLOOKUP($A82, 'ADP Data'!$C$3:$R$300, 16, FALSE)</f>
        <v>WR</v>
      </c>
      <c r="D82" s="11"/>
      <c r="E82" s="11"/>
      <c r="F82" s="11" t="s">
        <v>884</v>
      </c>
      <c r="G82" s="11">
        <v>35</v>
      </c>
      <c r="H82" s="11"/>
      <c r="I82" s="11">
        <f>VLOOKUP($A82, 'ADP Data'!$C$3:$Q$300, 13, FALSE)</f>
        <v>73</v>
      </c>
      <c r="J82" s="11">
        <f>VLOOKUP($A82, 'ADP Data'!$C$3:$Q$300, 10, FALSE)</f>
        <v>87</v>
      </c>
      <c r="K82" s="11">
        <v>90</v>
      </c>
    </row>
    <row r="83" spans="1:11" ht="14.25" customHeight="1" x14ac:dyDescent="0.25">
      <c r="A83" s="1" t="s">
        <v>429</v>
      </c>
      <c r="B83" s="11" t="str">
        <f>VLOOKUP($A83, 'ADP Data'!$C$3:$R$300, 2, FALSE)</f>
        <v>CLE</v>
      </c>
      <c r="C83" s="11" t="str">
        <f>VLOOKUP($A83, 'ADP Data'!$C$3:$R$300, 16, FALSE)</f>
        <v>WR</v>
      </c>
      <c r="D83" s="11"/>
      <c r="E83" s="11"/>
      <c r="F83" s="11" t="s">
        <v>884</v>
      </c>
      <c r="G83" s="11">
        <v>37</v>
      </c>
      <c r="H83" s="11"/>
      <c r="I83" s="11">
        <f>VLOOKUP($A83, 'ADP Data'!$C$3:$Q$300, 13, FALSE)</f>
        <v>72</v>
      </c>
      <c r="J83" s="11">
        <f>VLOOKUP($A83, 'ADP Data'!$C$3:$Q$300, 10, FALSE)</f>
        <v>81</v>
      </c>
      <c r="K83" s="11">
        <v>104</v>
      </c>
    </row>
    <row r="84" spans="1:11" ht="14.25" customHeight="1" x14ac:dyDescent="0.25">
      <c r="A84" s="1" t="s">
        <v>288</v>
      </c>
      <c r="B84" s="11" t="str">
        <f>VLOOKUP($A84, 'ADP Data'!$C$3:$R$300, 2, FALSE)</f>
        <v>NE</v>
      </c>
      <c r="C84" s="11" t="str">
        <f>VLOOKUP($A84, 'ADP Data'!$C$3:$R$300, 16, FALSE)</f>
        <v>WR</v>
      </c>
      <c r="D84" s="11"/>
      <c r="E84" s="11"/>
      <c r="F84" s="11" t="s">
        <v>884</v>
      </c>
      <c r="G84" s="11">
        <v>38</v>
      </c>
      <c r="H84" s="11"/>
      <c r="I84" s="11">
        <f>VLOOKUP($A84, 'ADP Data'!$C$3:$Q$300, 13, FALSE)</f>
        <v>69</v>
      </c>
      <c r="J84" s="11">
        <f>VLOOKUP($A84, 'ADP Data'!$C$3:$Q$300, 10, FALSE)</f>
        <v>77</v>
      </c>
      <c r="K84" s="11">
        <v>78</v>
      </c>
    </row>
    <row r="85" spans="1:11" ht="14.25" customHeight="1" x14ac:dyDescent="0.25">
      <c r="A85" s="1" t="s">
        <v>413</v>
      </c>
      <c r="B85" s="11" t="str">
        <f>VLOOKUP($A85, 'ADP Data'!$C$3:$R$300, 2, FALSE)</f>
        <v>SF</v>
      </c>
      <c r="C85" s="11" t="str">
        <f>VLOOKUP($A85, 'ADP Data'!$C$3:$R$300, 16, FALSE)</f>
        <v>RB</v>
      </c>
      <c r="D85" s="11"/>
      <c r="E85" s="11"/>
      <c r="F85" s="11" t="s">
        <v>848</v>
      </c>
      <c r="G85" s="11">
        <v>36</v>
      </c>
      <c r="H85" s="11"/>
      <c r="I85" s="11">
        <f>VLOOKUP($A85, 'ADP Data'!$C$3:$Q$300, 13, FALSE)</f>
        <v>133</v>
      </c>
      <c r="J85" s="11">
        <f>VLOOKUP($A85, 'ADP Data'!$C$3:$Q$300, 10, FALSE)</f>
        <v>147</v>
      </c>
      <c r="K85" s="11">
        <v>76</v>
      </c>
    </row>
    <row r="86" spans="1:11" ht="14.25" customHeight="1" x14ac:dyDescent="0.25">
      <c r="A86" s="1" t="s">
        <v>162</v>
      </c>
      <c r="B86" s="11" t="str">
        <f>VLOOKUP($A86, 'ADP Data'!$C$3:$R$300, 2, FALSE)</f>
        <v>TB</v>
      </c>
      <c r="C86" s="11" t="str">
        <f>VLOOKUP($A86, 'ADP Data'!$C$3:$R$300, 16, FALSE)</f>
        <v>WR</v>
      </c>
      <c r="D86" s="11"/>
      <c r="E86" s="11" t="s">
        <v>148</v>
      </c>
      <c r="F86" s="11" t="s">
        <v>845</v>
      </c>
      <c r="G86" s="11">
        <v>34</v>
      </c>
      <c r="H86" s="11" t="s">
        <v>1061</v>
      </c>
      <c r="I86" s="11">
        <f>VLOOKUP($A86, 'ADP Data'!$C$3:$Q$300, 13, FALSE)</f>
        <v>56</v>
      </c>
      <c r="J86" s="11">
        <f>VLOOKUP($A86, 'ADP Data'!$C$3:$Q$300, 10, FALSE)</f>
        <v>72</v>
      </c>
      <c r="K86" s="11">
        <v>91</v>
      </c>
    </row>
    <row r="87" spans="1:11" ht="14.25" customHeight="1" x14ac:dyDescent="0.25">
      <c r="A87" s="1" t="s">
        <v>435</v>
      </c>
      <c r="B87" s="11" t="str">
        <f>VLOOKUP($A87, 'ADP Data'!$C$3:$R$300, 2, FALSE)</f>
        <v>NYG</v>
      </c>
      <c r="C87" s="11" t="str">
        <f>VLOOKUP($A87, 'ADP Data'!$C$3:$R$300, 16, FALSE)</f>
        <v>RB</v>
      </c>
      <c r="D87" s="11"/>
      <c r="E87" s="11"/>
      <c r="F87" s="11" t="s">
        <v>848</v>
      </c>
      <c r="G87" s="11">
        <v>34</v>
      </c>
      <c r="H87" s="11" t="s">
        <v>1077</v>
      </c>
      <c r="I87" s="11">
        <f>VLOOKUP($A87, 'ADP Data'!$C$3:$Q$300, 13, FALSE)</f>
        <v>84</v>
      </c>
      <c r="J87" s="11">
        <f>VLOOKUP($A87, 'ADP Data'!$C$3:$Q$300, 10, FALSE)</f>
        <v>67</v>
      </c>
      <c r="K87" s="11">
        <v>82</v>
      </c>
    </row>
    <row r="88" spans="1:11" ht="14.25" customHeight="1" x14ac:dyDescent="0.25">
      <c r="A88" s="1" t="s">
        <v>355</v>
      </c>
      <c r="B88" s="11" t="str">
        <f>VLOOKUP($A88, 'ADP Data'!$C$3:$R$300, 2, FALSE)</f>
        <v>ARI</v>
      </c>
      <c r="C88" s="11" t="str">
        <f>VLOOKUP($A88, 'ADP Data'!$C$3:$R$300, 16, FALSE)</f>
        <v>QB</v>
      </c>
      <c r="D88" s="11"/>
      <c r="E88" s="11"/>
      <c r="F88" s="11" t="s">
        <v>893</v>
      </c>
      <c r="G88" s="11">
        <v>8</v>
      </c>
      <c r="H88" s="11"/>
      <c r="I88" s="11">
        <f>VLOOKUP($A88, 'ADP Data'!$C$3:$Q$300, 13, FALSE)</f>
        <v>98</v>
      </c>
      <c r="J88" s="11">
        <f>VLOOKUP($A88, 'ADP Data'!$C$3:$Q$300, 10, FALSE)</f>
        <v>98</v>
      </c>
      <c r="K88" s="11">
        <v>96</v>
      </c>
    </row>
    <row r="89" spans="1:11" ht="14.25" customHeight="1" x14ac:dyDescent="0.25">
      <c r="A89" s="1" t="s">
        <v>231</v>
      </c>
      <c r="B89" s="11" t="str">
        <f>VLOOKUP($A89, 'ADP Data'!$C$3:$R$300, 2, FALSE)</f>
        <v>PIT</v>
      </c>
      <c r="C89" s="11" t="str">
        <f>VLOOKUP($A89, 'ADP Data'!$C$3:$R$300, 16, FALSE)</f>
        <v>RB</v>
      </c>
      <c r="D89" s="11"/>
      <c r="E89" s="11"/>
      <c r="F89" s="11" t="s">
        <v>848</v>
      </c>
      <c r="G89" s="11">
        <v>35</v>
      </c>
      <c r="H89" s="11"/>
      <c r="I89" s="11">
        <f>VLOOKUP($A89, 'ADP Data'!$C$3:$Q$300, 13, FALSE)</f>
        <v>88</v>
      </c>
      <c r="J89" s="11">
        <f>VLOOKUP($A89, 'ADP Data'!$C$3:$Q$300, 10, FALSE)</f>
        <v>75</v>
      </c>
      <c r="K89" s="11">
        <v>80</v>
      </c>
    </row>
    <row r="90" spans="1:11" ht="14.25" customHeight="1" x14ac:dyDescent="0.25">
      <c r="A90" s="1" t="s">
        <v>648</v>
      </c>
      <c r="B90" s="11" t="str">
        <f>VLOOKUP($A90, 'ADP Data'!$C$3:$R$300, 2, FALSE)</f>
        <v>DEN</v>
      </c>
      <c r="C90" s="11" t="str">
        <f>VLOOKUP($A90, 'ADP Data'!$C$3:$R$300, 16, FALSE)</f>
        <v>TE</v>
      </c>
      <c r="D90" s="11"/>
      <c r="E90" s="11" t="s">
        <v>119</v>
      </c>
      <c r="F90" s="11" t="s">
        <v>849</v>
      </c>
      <c r="G90" s="11">
        <v>8</v>
      </c>
      <c r="H90" s="11"/>
      <c r="I90" s="11">
        <f>VLOOKUP($A90, 'ADP Data'!$C$3:$Q$300, 13, FALSE)</f>
        <v>107</v>
      </c>
      <c r="J90" s="11">
        <f>VLOOKUP($A90, 'ADP Data'!$C$3:$Q$300, 10, FALSE)</f>
        <v>92</v>
      </c>
      <c r="K90" s="11">
        <v>89</v>
      </c>
    </row>
    <row r="91" spans="1:11" ht="14.25" customHeight="1" x14ac:dyDescent="0.25">
      <c r="A91" s="1" t="s">
        <v>458</v>
      </c>
      <c r="B91" s="11" t="str">
        <f>VLOOKUP($A91, 'ADP Data'!$C$3:$R$300, 2, FALSE)</f>
        <v>SF</v>
      </c>
      <c r="C91" s="11" t="str">
        <f>VLOOKUP($A91, 'ADP Data'!$C$3:$R$300, 16, FALSE)</f>
        <v>WR</v>
      </c>
      <c r="D91" s="11"/>
      <c r="E91" s="11"/>
      <c r="F91" s="11" t="s">
        <v>851</v>
      </c>
      <c r="G91" s="11">
        <v>40</v>
      </c>
      <c r="H91" s="11"/>
      <c r="I91" s="11">
        <f>VLOOKUP($A91, 'ADP Data'!$C$3:$Q$300, 13, FALSE)</f>
        <v>76</v>
      </c>
      <c r="J91" s="11">
        <f>VLOOKUP($A91, 'ADP Data'!$C$3:$Q$300, 10, FALSE)</f>
        <v>93</v>
      </c>
      <c r="K91" s="11">
        <v>92</v>
      </c>
    </row>
    <row r="92" spans="1:11" ht="14.25" customHeight="1" x14ac:dyDescent="0.25">
      <c r="A92" s="1" t="s">
        <v>555</v>
      </c>
      <c r="B92" s="11" t="str">
        <f>VLOOKUP($A92, 'ADP Data'!$C$3:$R$300, 2, FALSE)</f>
        <v>CLE</v>
      </c>
      <c r="C92" s="11" t="str">
        <f>VLOOKUP($A92, 'ADP Data'!$C$3:$R$300, 16, FALSE)</f>
        <v>TE</v>
      </c>
      <c r="D92" s="11"/>
      <c r="E92" s="11"/>
      <c r="F92" s="11" t="s">
        <v>849</v>
      </c>
      <c r="G92" s="11">
        <v>10</v>
      </c>
      <c r="H92" s="11"/>
      <c r="I92" s="11">
        <f>VLOOKUP($A92, 'ADP Data'!$C$3:$Q$300, 13, FALSE)</f>
        <v>118</v>
      </c>
      <c r="J92" s="11">
        <f>VLOOKUP($A92, 'ADP Data'!$C$3:$Q$300, 10, FALSE)</f>
        <v>97</v>
      </c>
      <c r="K92" s="11">
        <v>88</v>
      </c>
    </row>
    <row r="93" spans="1:11" ht="14.25" customHeight="1" x14ac:dyDescent="0.25">
      <c r="A93" s="1" t="s">
        <v>362</v>
      </c>
      <c r="B93" s="11" t="str">
        <f>VLOOKUP($A93, 'ADP Data'!$C$3:$R$300, 2, FALSE)</f>
        <v>WAS</v>
      </c>
      <c r="C93" s="11" t="str">
        <f>VLOOKUP($A93, 'ADP Data'!$C$3:$R$300, 16, FALSE)</f>
        <v>WR</v>
      </c>
      <c r="D93" s="11"/>
      <c r="E93" s="11" t="s">
        <v>148</v>
      </c>
      <c r="F93" s="11" t="s">
        <v>851</v>
      </c>
      <c r="G93" s="11">
        <v>41</v>
      </c>
      <c r="H93" s="11" t="s">
        <v>1065</v>
      </c>
      <c r="I93" s="11">
        <f>VLOOKUP($A93, 'ADP Data'!$C$3:$Q$300, 13, FALSE)</f>
        <v>65</v>
      </c>
      <c r="J93" s="11">
        <f>VLOOKUP($A93, 'ADP Data'!$C$3:$Q$300, 10, FALSE)</f>
        <v>94</v>
      </c>
      <c r="K93" s="11">
        <v>61</v>
      </c>
    </row>
    <row r="94" spans="1:11" ht="14.25" customHeight="1" x14ac:dyDescent="0.25">
      <c r="A94" s="1" t="s">
        <v>290</v>
      </c>
      <c r="B94" s="11" t="str">
        <f>VLOOKUP($A94, 'ADP Data'!$C$3:$R$300, 2, FALSE)</f>
        <v>IND</v>
      </c>
      <c r="C94" s="11" t="str">
        <f>VLOOKUP($A94, 'ADP Data'!$C$3:$R$300, 16, FALSE)</f>
        <v>WR</v>
      </c>
      <c r="D94" s="11"/>
      <c r="E94" s="11" t="s">
        <v>119</v>
      </c>
      <c r="F94" s="11" t="s">
        <v>873</v>
      </c>
      <c r="G94" s="11">
        <v>46</v>
      </c>
      <c r="H94" s="11"/>
      <c r="I94" s="11">
        <f>VLOOKUP($A94, 'ADP Data'!$C$3:$Q$300, 13, FALSE)</f>
        <v>83</v>
      </c>
      <c r="J94" s="11">
        <f>VLOOKUP($A94, 'ADP Data'!$C$3:$Q$300, 10, FALSE)</f>
        <v>107</v>
      </c>
      <c r="K94" s="11">
        <v>122</v>
      </c>
    </row>
    <row r="95" spans="1:11" ht="14.25" customHeight="1" x14ac:dyDescent="0.25">
      <c r="A95" s="1" t="s">
        <v>296</v>
      </c>
      <c r="B95" s="11" t="str">
        <f>VLOOKUP($A95, 'ADP Data'!$C$3:$R$300, 2, FALSE)</f>
        <v>GB</v>
      </c>
      <c r="C95" s="11" t="str">
        <f>VLOOKUP($A95, 'ADP Data'!$C$3:$R$300, 16, FALSE)</f>
        <v>WR</v>
      </c>
      <c r="D95" s="11"/>
      <c r="E95" s="11"/>
      <c r="F95" s="11" t="s">
        <v>873</v>
      </c>
      <c r="G95" s="11">
        <v>43</v>
      </c>
      <c r="H95" s="11"/>
      <c r="I95" s="11">
        <f>VLOOKUP($A95, 'ADP Data'!$C$3:$Q$300, 13, FALSE)</f>
        <v>86</v>
      </c>
      <c r="J95" s="11">
        <f>VLOOKUP($A95, 'ADP Data'!$C$3:$Q$300, 10, FALSE)</f>
        <v>110</v>
      </c>
      <c r="K95" s="11">
        <v>93</v>
      </c>
    </row>
    <row r="96" spans="1:11" ht="14.25" customHeight="1" x14ac:dyDescent="0.25">
      <c r="A96" s="1" t="s">
        <v>366</v>
      </c>
      <c r="B96" s="11" t="str">
        <f>VLOOKUP($A96, 'ADP Data'!$C$3:$R$300, 2, FALSE)</f>
        <v>BUF</v>
      </c>
      <c r="C96" s="11" t="str">
        <f>VLOOKUP($A96, 'ADP Data'!$C$3:$R$300, 16, FALSE)</f>
        <v>WR</v>
      </c>
      <c r="D96" s="11"/>
      <c r="E96" s="11"/>
      <c r="F96" s="11" t="s">
        <v>873</v>
      </c>
      <c r="G96" s="11">
        <v>45</v>
      </c>
      <c r="H96" s="11"/>
      <c r="I96" s="11">
        <f>VLOOKUP($A96, 'ADP Data'!$C$3:$Q$300, 13, FALSE)</f>
        <v>81</v>
      </c>
      <c r="J96" s="11">
        <f>VLOOKUP($A96, 'ADP Data'!$C$3:$Q$300, 10, FALSE)</f>
        <v>106</v>
      </c>
      <c r="K96" s="11">
        <v>130</v>
      </c>
    </row>
    <row r="97" spans="1:11" ht="14.25" customHeight="1" x14ac:dyDescent="0.25">
      <c r="A97" s="1" t="s">
        <v>320</v>
      </c>
      <c r="B97" s="11" t="str">
        <f>VLOOKUP($A97, 'ADP Data'!$C$3:$R$300, 2, FALSE)</f>
        <v>GB</v>
      </c>
      <c r="C97" s="11" t="str">
        <f>VLOOKUP($A97, 'ADP Data'!$C$3:$R$300, 16, FALSE)</f>
        <v>WR</v>
      </c>
      <c r="D97" s="11"/>
      <c r="E97" s="11" t="s">
        <v>148</v>
      </c>
      <c r="F97" s="11" t="s">
        <v>851</v>
      </c>
      <c r="G97" s="11">
        <v>39</v>
      </c>
      <c r="H97" s="11" t="s">
        <v>1061</v>
      </c>
      <c r="I97" s="11">
        <f>VLOOKUP($A97, 'ADP Data'!$C$3:$Q$300, 13, FALSE)</f>
        <v>66</v>
      </c>
      <c r="J97" s="11">
        <f>VLOOKUP($A97, 'ADP Data'!$C$3:$Q$300, 10, FALSE)</f>
        <v>91</v>
      </c>
      <c r="K97" s="11">
        <v>123</v>
      </c>
    </row>
    <row r="98" spans="1:11" ht="14.25" customHeight="1" x14ac:dyDescent="0.25">
      <c r="A98" s="1" t="s">
        <v>308</v>
      </c>
      <c r="B98" s="11" t="str">
        <f>VLOOKUP($A98, 'ADP Data'!$C$3:$R$300, 2, FALSE)</f>
        <v>SF</v>
      </c>
      <c r="C98" s="11" t="str">
        <f>VLOOKUP($A98, 'ADP Data'!$C$3:$R$300, 16, FALSE)</f>
        <v>QB</v>
      </c>
      <c r="D98" s="11"/>
      <c r="E98" s="11"/>
      <c r="F98" s="11" t="s">
        <v>852</v>
      </c>
      <c r="G98" s="11">
        <v>12</v>
      </c>
      <c r="H98" s="11"/>
      <c r="I98" s="11">
        <f>VLOOKUP($A98, 'ADP Data'!$C$3:$Q$300, 13, FALSE)</f>
        <v>101</v>
      </c>
      <c r="J98" s="11">
        <f>VLOOKUP($A98, 'ADP Data'!$C$3:$Q$300, 10, FALSE)</f>
        <v>86</v>
      </c>
      <c r="K98" s="11">
        <v>87</v>
      </c>
    </row>
    <row r="99" spans="1:11" ht="14.25" customHeight="1" x14ac:dyDescent="0.25">
      <c r="A99" s="1" t="s">
        <v>812</v>
      </c>
      <c r="B99" s="11" t="str">
        <f>VLOOKUP($A99, 'ADP Data'!$C$3:$R$300, 2, FALSE)</f>
        <v>NYJ</v>
      </c>
      <c r="C99" s="11" t="str">
        <f>VLOOKUP($A99, 'ADP Data'!$C$3:$R$300, 16, FALSE)</f>
        <v>QB</v>
      </c>
      <c r="D99" s="11"/>
      <c r="E99" s="11"/>
      <c r="F99" s="11" t="s">
        <v>852</v>
      </c>
      <c r="G99" s="11">
        <v>10</v>
      </c>
      <c r="H99" s="11"/>
      <c r="I99" s="11">
        <f>VLOOKUP($A99, 'ADP Data'!$C$3:$Q$300, 13, FALSE)</f>
        <v>109</v>
      </c>
      <c r="J99" s="11">
        <f>VLOOKUP($A99, 'ADP Data'!$C$3:$Q$300, 10, FALSE)</f>
        <v>102</v>
      </c>
      <c r="K99" s="11">
        <v>81</v>
      </c>
    </row>
    <row r="100" spans="1:11" ht="14.25" customHeight="1" x14ac:dyDescent="0.25">
      <c r="A100" s="1" t="s">
        <v>254</v>
      </c>
      <c r="B100" s="11" t="str">
        <f>VLOOKUP($A100, 'ADP Data'!$C$3:$R$300, 2, FALSE)</f>
        <v>DAL</v>
      </c>
      <c r="C100" s="11" t="str">
        <f>VLOOKUP($A100, 'ADP Data'!$C$3:$R$300, 16, FALSE)</f>
        <v>QB</v>
      </c>
      <c r="D100" s="11"/>
      <c r="E100" s="11"/>
      <c r="F100" s="11" t="s">
        <v>852</v>
      </c>
      <c r="G100" s="11">
        <v>11</v>
      </c>
      <c r="H100" s="11"/>
      <c r="I100" s="11">
        <f>VLOOKUP($A100, 'ADP Data'!$C$3:$Q$300, 13, FALSE)</f>
        <v>103</v>
      </c>
      <c r="J100" s="11">
        <f>VLOOKUP($A100, 'ADP Data'!$C$3:$Q$300, 10, FALSE)</f>
        <v>88</v>
      </c>
      <c r="K100" s="11">
        <v>102</v>
      </c>
    </row>
    <row r="101" spans="1:11" ht="14.25" customHeight="1" x14ac:dyDescent="0.25">
      <c r="A101" s="1" t="s">
        <v>292</v>
      </c>
      <c r="B101" s="11" t="str">
        <f>VLOOKUP($A101, 'ADP Data'!$C$3:$R$300, 2, FALSE)</f>
        <v>MIN</v>
      </c>
      <c r="C101" s="11" t="str">
        <f>VLOOKUP($A101, 'ADP Data'!$C$3:$R$300, 16, FALSE)</f>
        <v>RB</v>
      </c>
      <c r="D101" s="11"/>
      <c r="E101" s="11" t="s">
        <v>148</v>
      </c>
      <c r="F101" s="11" t="s">
        <v>910</v>
      </c>
      <c r="G101" s="11">
        <v>28</v>
      </c>
      <c r="H101" s="11" t="s">
        <v>1071</v>
      </c>
      <c r="I101" s="11">
        <f>VLOOKUP($A101, 'ADP Data'!$C$3:$Q$300, 13, FALSE)</f>
        <v>82</v>
      </c>
      <c r="J101" s="11">
        <f>VLOOKUP($A101, 'ADP Data'!$C$3:$Q$300, 10, FALSE)</f>
        <v>71</v>
      </c>
      <c r="K101" s="11">
        <v>84</v>
      </c>
    </row>
    <row r="102" spans="1:11" ht="14.25" customHeight="1" x14ac:dyDescent="0.25">
      <c r="A102" s="1" t="s">
        <v>157</v>
      </c>
      <c r="B102" s="11" t="str">
        <f>VLOOKUP($A102, 'ADP Data'!$C$3:$R$300, 2, FALSE)</f>
        <v>JAX</v>
      </c>
      <c r="C102" s="11" t="str">
        <f>VLOOKUP($A102, 'ADP Data'!$C$3:$R$300, 16, FALSE)</f>
        <v>RB</v>
      </c>
      <c r="D102" s="11"/>
      <c r="E102" s="11"/>
      <c r="F102" s="11" t="s">
        <v>848</v>
      </c>
      <c r="G102" s="11">
        <v>33</v>
      </c>
      <c r="H102" s="11"/>
      <c r="I102" s="11">
        <f>VLOOKUP($A102, 'ADP Data'!$C$3:$Q$300, 13, FALSE)</f>
        <v>106</v>
      </c>
      <c r="J102" s="11">
        <f>VLOOKUP($A102, 'ADP Data'!$C$3:$Q$300, 10, FALSE)</f>
        <v>96</v>
      </c>
      <c r="K102" s="11">
        <v>103</v>
      </c>
    </row>
    <row r="103" spans="1:11" ht="14.25" customHeight="1" x14ac:dyDescent="0.25">
      <c r="A103" s="1" t="s">
        <v>194</v>
      </c>
      <c r="B103" s="11" t="str">
        <f>VLOOKUP($A103, 'ADP Data'!$C$3:$R$300, 2, FALSE)</f>
        <v>IND</v>
      </c>
      <c r="C103" s="11" t="str">
        <f>VLOOKUP($A103, 'ADP Data'!$C$3:$R$300, 16, FALSE)</f>
        <v>TE</v>
      </c>
      <c r="D103" s="11"/>
      <c r="E103" s="11" t="s">
        <v>148</v>
      </c>
      <c r="F103" s="11" t="s">
        <v>891</v>
      </c>
      <c r="G103" s="11">
        <v>11</v>
      </c>
      <c r="H103" s="11" t="s">
        <v>1073</v>
      </c>
      <c r="I103" s="11">
        <f>VLOOKUP($A103, 'ADP Data'!$C$3:$Q$300, 13, FALSE)</f>
        <v>89</v>
      </c>
      <c r="J103" s="11">
        <f>VLOOKUP($A103, 'ADP Data'!$C$3:$Q$300, 10, FALSE)</f>
        <v>117</v>
      </c>
      <c r="K103" s="11">
        <v>160</v>
      </c>
    </row>
    <row r="104" spans="1:11" ht="14.25" customHeight="1" x14ac:dyDescent="0.25">
      <c r="A104" s="1" t="s">
        <v>264</v>
      </c>
      <c r="B104" s="11" t="str">
        <f>VLOOKUP($A104, 'ADP Data'!$C$3:$R$300, 2, FALSE)</f>
        <v>TB</v>
      </c>
      <c r="C104" s="11" t="str">
        <f>VLOOKUP($A104, 'ADP Data'!$C$3:$R$300, 16, FALSE)</f>
        <v>WR</v>
      </c>
      <c r="D104" s="11"/>
      <c r="E104" s="11"/>
      <c r="F104" s="11" t="s">
        <v>851</v>
      </c>
      <c r="G104" s="11">
        <v>42</v>
      </c>
      <c r="H104" s="11"/>
      <c r="I104" s="11">
        <f>VLOOKUP($A104, 'ADP Data'!$C$3:$Q$300, 13, FALSE)</f>
        <v>104</v>
      </c>
      <c r="J104" s="11">
        <f>VLOOKUP($A104, 'ADP Data'!$C$3:$Q$300, 10, FALSE)</f>
        <v>127</v>
      </c>
      <c r="K104" s="11">
        <v>83</v>
      </c>
    </row>
    <row r="105" spans="1:11" ht="14.25" customHeight="1" x14ac:dyDescent="0.25">
      <c r="A105" s="1" t="s">
        <v>333</v>
      </c>
      <c r="B105" s="11" t="str">
        <f>VLOOKUP($A105, 'ADP Data'!$C$3:$R$300, 2, FALSE)</f>
        <v>DET</v>
      </c>
      <c r="C105" s="11" t="str">
        <f>VLOOKUP($A105, 'ADP Data'!$C$3:$R$300, 16, FALSE)</f>
        <v>QB</v>
      </c>
      <c r="D105" s="11"/>
      <c r="E105" s="11"/>
      <c r="F105" s="11" t="s">
        <v>889</v>
      </c>
      <c r="G105" s="11">
        <v>16</v>
      </c>
      <c r="H105" s="11"/>
      <c r="I105" s="11">
        <f>VLOOKUP($A105, 'ADP Data'!$C$3:$Q$300, 13, FALSE)</f>
        <v>120</v>
      </c>
      <c r="J105" s="11">
        <f>VLOOKUP($A105, 'ADP Data'!$C$3:$Q$300, 10, FALSE)</f>
        <v>113</v>
      </c>
      <c r="K105" s="11">
        <v>109</v>
      </c>
    </row>
    <row r="106" spans="1:11" ht="14.25" customHeight="1" x14ac:dyDescent="0.25">
      <c r="A106" s="1" t="s">
        <v>276</v>
      </c>
      <c r="B106" s="11" t="str">
        <f>VLOOKUP($A106, 'ADP Data'!$C$3:$R$300, 2, FALSE)</f>
        <v>DEN</v>
      </c>
      <c r="C106" s="11" t="str">
        <f>VLOOKUP($A106, 'ADP Data'!$C$3:$R$300, 16, FALSE)</f>
        <v>RB</v>
      </c>
      <c r="D106" s="11"/>
      <c r="E106" s="11"/>
      <c r="F106" s="11" t="s">
        <v>910</v>
      </c>
      <c r="G106" s="11">
        <v>29</v>
      </c>
      <c r="H106" s="11"/>
      <c r="I106" s="11">
        <f>VLOOKUP($A106, 'ADP Data'!$C$3:$Q$300, 13, FALSE)</f>
        <v>97</v>
      </c>
      <c r="J106" s="11">
        <f>VLOOKUP($A106, 'ADP Data'!$C$3:$Q$300, 10, FALSE)</f>
        <v>80</v>
      </c>
      <c r="K106" s="11">
        <v>131</v>
      </c>
    </row>
    <row r="107" spans="1:11" ht="14.25" customHeight="1" x14ac:dyDescent="0.25">
      <c r="A107" s="1" t="s">
        <v>170</v>
      </c>
      <c r="B107" s="11" t="str">
        <f>VLOOKUP($A107, 'ADP Data'!$C$3:$R$300, 2, FALSE)</f>
        <v>NYG</v>
      </c>
      <c r="C107" s="11" t="str">
        <f>VLOOKUP($A107, 'ADP Data'!$C$3:$R$300, 16, FALSE)</f>
        <v>RB</v>
      </c>
      <c r="D107" s="11"/>
      <c r="E107" s="11"/>
      <c r="F107" s="11" t="s">
        <v>848</v>
      </c>
      <c r="G107" s="11">
        <v>32</v>
      </c>
      <c r="H107" s="11" t="s">
        <v>1075</v>
      </c>
      <c r="I107" s="11">
        <f>VLOOKUP($A107, 'ADP Data'!$C$3:$Q$300, 13, FALSE)</f>
        <v>116</v>
      </c>
      <c r="J107" s="11">
        <f>VLOOKUP($A107, 'ADP Data'!$C$3:$Q$300, 10, FALSE)</f>
        <v>135</v>
      </c>
      <c r="K107" s="11">
        <v>110</v>
      </c>
    </row>
    <row r="108" spans="1:11" ht="14.25" customHeight="1" x14ac:dyDescent="0.25">
      <c r="A108" s="1" t="s">
        <v>377</v>
      </c>
      <c r="B108" s="11" t="str">
        <f>VLOOKUP($A108, 'ADP Data'!$C$3:$R$300, 2, FALSE)</f>
        <v>NO</v>
      </c>
      <c r="C108" s="11" t="str">
        <f>VLOOKUP($A108, 'ADP Data'!$C$3:$R$300, 16, FALSE)</f>
        <v>WR</v>
      </c>
      <c r="D108" s="11"/>
      <c r="E108" s="11"/>
      <c r="F108" s="11" t="s">
        <v>873</v>
      </c>
      <c r="G108" s="11">
        <v>44</v>
      </c>
      <c r="H108" s="11"/>
      <c r="I108" s="11">
        <f>VLOOKUP($A108, 'ADP Data'!$C$3:$Q$300, 13, FALSE)</f>
        <v>102</v>
      </c>
      <c r="J108" s="11">
        <f>VLOOKUP($A108, 'ADP Data'!$C$3:$Q$300, 10, FALSE)</f>
        <v>108</v>
      </c>
      <c r="K108" s="11">
        <v>97</v>
      </c>
    </row>
    <row r="109" spans="1:11" ht="14.25" customHeight="1" x14ac:dyDescent="0.25">
      <c r="A109" s="1" t="s">
        <v>237</v>
      </c>
      <c r="B109" s="11" t="str">
        <f>VLOOKUP($A109, 'ADP Data'!$C$3:$R$300, 2, FALSE)</f>
        <v>GB</v>
      </c>
      <c r="C109" s="11" t="str">
        <f>VLOOKUP($A109, 'ADP Data'!$C$3:$R$300, 16, FALSE)</f>
        <v>TE</v>
      </c>
      <c r="D109" s="11"/>
      <c r="E109" s="11" t="s">
        <v>148</v>
      </c>
      <c r="F109" s="11" t="s">
        <v>891</v>
      </c>
      <c r="G109" s="11">
        <v>12</v>
      </c>
      <c r="H109" s="11"/>
      <c r="I109" s="11">
        <f>VLOOKUP($A109, 'ADP Data'!$C$3:$Q$300, 13, FALSE)</f>
        <v>112</v>
      </c>
      <c r="J109" s="11">
        <f>VLOOKUP($A109, 'ADP Data'!$C$3:$Q$300, 10, FALSE)</f>
        <v>85</v>
      </c>
      <c r="K109" s="11">
        <v>95</v>
      </c>
    </row>
    <row r="110" spans="1:11" ht="14.25" customHeight="1" x14ac:dyDescent="0.25">
      <c r="A110" s="1" t="s">
        <v>186</v>
      </c>
      <c r="B110" s="11" t="str">
        <f>VLOOKUP($A110, 'ADP Data'!$C$3:$R$300, 2, FALSE)</f>
        <v>CLE</v>
      </c>
      <c r="C110" s="11" t="str">
        <f>VLOOKUP($A110, 'ADP Data'!$C$3:$R$300, 16, FALSE)</f>
        <v>RB</v>
      </c>
      <c r="D110" s="11"/>
      <c r="E110" s="11"/>
      <c r="F110" s="11" t="s">
        <v>910</v>
      </c>
      <c r="G110" s="11">
        <v>30</v>
      </c>
      <c r="H110" s="11" t="s">
        <v>1072</v>
      </c>
      <c r="I110" s="11">
        <f>VLOOKUP($A110, 'ADP Data'!$C$3:$Q$300, 13, FALSE)</f>
        <v>144</v>
      </c>
      <c r="J110" s="11">
        <f>VLOOKUP($A110, 'ADP Data'!$C$3:$Q$300, 10, FALSE)</f>
        <v>175</v>
      </c>
      <c r="K110" s="11">
        <v>99</v>
      </c>
    </row>
    <row r="111" spans="1:11" ht="14.25" customHeight="1" x14ac:dyDescent="0.25">
      <c r="A111" s="1" t="s">
        <v>386</v>
      </c>
      <c r="B111" s="11" t="str">
        <f>VLOOKUP($A111, 'ADP Data'!$C$3:$R$300, 2, FALSE)</f>
        <v>SEA</v>
      </c>
      <c r="C111" s="11" t="str">
        <f>VLOOKUP($A111, 'ADP Data'!$C$3:$R$300, 16, FALSE)</f>
        <v>RB</v>
      </c>
      <c r="D111" s="11"/>
      <c r="E111" s="11"/>
      <c r="F111" s="11" t="s">
        <v>910</v>
      </c>
      <c r="G111" s="11">
        <v>31</v>
      </c>
      <c r="H111" s="11"/>
      <c r="I111" s="11">
        <f>VLOOKUP($A111, 'ADP Data'!$C$3:$Q$300, 13, FALSE)</f>
        <v>94</v>
      </c>
      <c r="J111" s="11">
        <f>VLOOKUP($A111, 'ADP Data'!$C$3:$Q$300, 10, FALSE)</f>
        <v>78</v>
      </c>
      <c r="K111" s="11">
        <v>94</v>
      </c>
    </row>
    <row r="112" spans="1:11" ht="14.25" customHeight="1" x14ac:dyDescent="0.25">
      <c r="A112" s="1" t="s">
        <v>262</v>
      </c>
      <c r="B112" s="11" t="str">
        <f>VLOOKUP($A112, 'ADP Data'!$C$3:$R$300, 2, FALSE)</f>
        <v>LAC</v>
      </c>
      <c r="C112" s="11" t="str">
        <f>VLOOKUP($A112, 'ADP Data'!$C$3:$R$300, 16, FALSE)</f>
        <v>QB</v>
      </c>
      <c r="D112" s="11"/>
      <c r="E112" s="11"/>
      <c r="F112" s="11" t="s">
        <v>889</v>
      </c>
      <c r="G112" s="11">
        <v>17</v>
      </c>
      <c r="H112" s="11"/>
      <c r="I112" s="11">
        <f>VLOOKUP($A112, 'ADP Data'!$C$3:$Q$300, 13, FALSE)</f>
        <v>126</v>
      </c>
      <c r="J112" s="11">
        <f>VLOOKUP($A112, 'ADP Data'!$C$3:$Q$300, 10, FALSE)</f>
        <v>105</v>
      </c>
      <c r="K112" s="11">
        <v>98</v>
      </c>
    </row>
    <row r="113" spans="1:11" ht="14.25" customHeight="1" x14ac:dyDescent="0.25">
      <c r="A113" s="1" t="s">
        <v>284</v>
      </c>
      <c r="B113" s="11" t="str">
        <f>VLOOKUP($A113, 'ADP Data'!$C$3:$R$300, 2, FALSE)</f>
        <v>IND</v>
      </c>
      <c r="C113" s="11" t="str">
        <f>VLOOKUP($A113, 'ADP Data'!$C$3:$R$300, 16, FALSE)</f>
        <v>WR</v>
      </c>
      <c r="D113" s="11"/>
      <c r="E113" s="11" t="s">
        <v>119</v>
      </c>
      <c r="F113" s="11" t="s">
        <v>873</v>
      </c>
      <c r="G113" s="11">
        <v>47</v>
      </c>
      <c r="H113" s="11"/>
      <c r="I113" s="11">
        <f>VLOOKUP($A113, 'ADP Data'!$C$3:$Q$300, 13, FALSE)</f>
        <v>90</v>
      </c>
      <c r="J113" s="11">
        <f>VLOOKUP($A113, 'ADP Data'!$C$3:$Q$300, 10, FALSE)</f>
        <v>114</v>
      </c>
      <c r="K113" s="11">
        <v>115</v>
      </c>
    </row>
    <row r="114" spans="1:11" ht="14.25" customHeight="1" x14ac:dyDescent="0.25">
      <c r="A114" s="1" t="s">
        <v>241</v>
      </c>
      <c r="B114" s="11" t="str">
        <f>VLOOKUP($A114, 'ADP Data'!$C$3:$R$300, 2, FALSE)</f>
        <v>CHI</v>
      </c>
      <c r="C114" s="11" t="str">
        <f>VLOOKUP($A114, 'ADP Data'!$C$3:$R$300, 16, FALSE)</f>
        <v>QB</v>
      </c>
      <c r="D114" s="11"/>
      <c r="E114" s="11"/>
      <c r="F114" s="11" t="s">
        <v>895</v>
      </c>
      <c r="G114" s="11">
        <v>13</v>
      </c>
      <c r="H114" s="11"/>
      <c r="I114" s="11">
        <f>VLOOKUP($A114, 'ADP Data'!$C$3:$Q$300, 13, FALSE)</f>
        <v>113</v>
      </c>
      <c r="J114" s="11">
        <f>VLOOKUP($A114, 'ADP Data'!$C$3:$Q$300, 10, FALSE)</f>
        <v>103</v>
      </c>
      <c r="K114" s="11">
        <v>100</v>
      </c>
    </row>
    <row r="115" spans="1:11" ht="14.25" customHeight="1" x14ac:dyDescent="0.25">
      <c r="A115" s="1" t="s">
        <v>222</v>
      </c>
      <c r="B115" s="11" t="str">
        <f>VLOOKUP($A115, 'ADP Data'!$C$3:$R$300, 2, FALSE)</f>
        <v>NE</v>
      </c>
      <c r="C115" s="11" t="str">
        <f>VLOOKUP($A115, 'ADP Data'!$C$3:$R$300, 16, FALSE)</f>
        <v>RB</v>
      </c>
      <c r="D115" s="11"/>
      <c r="E115" s="11"/>
      <c r="F115" s="11" t="s">
        <v>848</v>
      </c>
      <c r="G115" s="11">
        <v>37</v>
      </c>
      <c r="H115" s="11"/>
      <c r="I115" s="11">
        <f>VLOOKUP($A115, 'ADP Data'!$C$3:$Q$300, 13, FALSE)</f>
        <v>125</v>
      </c>
      <c r="J115" s="11">
        <f>VLOOKUP($A115, 'ADP Data'!$C$3:$Q$300, 10, FALSE)</f>
        <v>116</v>
      </c>
      <c r="K115" s="11">
        <v>108</v>
      </c>
    </row>
    <row r="116" spans="1:11" ht="14.25" customHeight="1" x14ac:dyDescent="0.25">
      <c r="A116" s="1" t="s">
        <v>450</v>
      </c>
      <c r="B116" s="11" t="str">
        <f>VLOOKUP($A116, 'ADP Data'!$C$3:$R$300, 2, FALSE)</f>
        <v>SEA</v>
      </c>
      <c r="C116" s="11" t="str">
        <f>VLOOKUP($A116, 'ADP Data'!$C$3:$R$300, 16, FALSE)</f>
        <v>WR</v>
      </c>
      <c r="D116" s="11"/>
      <c r="E116" s="11"/>
      <c r="F116" s="11" t="s">
        <v>875</v>
      </c>
      <c r="G116" s="11">
        <v>55</v>
      </c>
      <c r="H116" s="11"/>
      <c r="I116" s="11">
        <f>VLOOKUP($A116, 'ADP Data'!$C$3:$Q$300, 13, FALSE)</f>
        <v>100</v>
      </c>
      <c r="J116" s="11">
        <f>VLOOKUP($A116, 'ADP Data'!$C$3:$Q$300, 10, FALSE)</f>
        <v>121</v>
      </c>
      <c r="K116" s="11">
        <v>139</v>
      </c>
    </row>
    <row r="117" spans="1:11" ht="14.25" customHeight="1" x14ac:dyDescent="0.25">
      <c r="A117" s="1" t="s">
        <v>141</v>
      </c>
      <c r="B117" s="11" t="str">
        <f>VLOOKUP($A117, 'ADP Data'!$C$3:$R$300, 2, FALSE)</f>
        <v>DAL</v>
      </c>
      <c r="C117" s="11" t="str">
        <f>VLOOKUP($A117, 'ADP Data'!$C$3:$R$300, 16, FALSE)</f>
        <v>RB</v>
      </c>
      <c r="D117" s="11"/>
      <c r="E117" s="11" t="s">
        <v>119</v>
      </c>
      <c r="F117" s="11" t="s">
        <v>878</v>
      </c>
      <c r="G117" s="11">
        <v>52</v>
      </c>
      <c r="H117" s="11"/>
      <c r="I117" s="11">
        <f>VLOOKUP($A117, 'ADP Data'!$C$3:$Q$300, 13, FALSE)</f>
        <v>128</v>
      </c>
      <c r="J117" s="11">
        <f>VLOOKUP($A117, 'ADP Data'!$C$3:$Q$300, 10, FALSE)</f>
        <v>112</v>
      </c>
      <c r="K117" s="11">
        <v>112</v>
      </c>
    </row>
    <row r="118" spans="1:11" ht="14.25" customHeight="1" x14ac:dyDescent="0.25">
      <c r="A118" s="1" t="s">
        <v>204</v>
      </c>
      <c r="B118" s="11" t="str">
        <f>VLOOKUP($A118, 'ADP Data'!$C$3:$R$300, 2, FALSE)</f>
        <v>NE</v>
      </c>
      <c r="C118" s="11" t="str">
        <f>VLOOKUP($A118, 'ADP Data'!$C$3:$R$300, 16, FALSE)</f>
        <v>QB</v>
      </c>
      <c r="D118" s="11"/>
      <c r="E118" s="11"/>
      <c r="F118" s="11" t="s">
        <v>895</v>
      </c>
      <c r="G118" s="11">
        <v>14</v>
      </c>
      <c r="H118" s="11"/>
      <c r="I118" s="11">
        <f>VLOOKUP($A118, 'ADP Data'!$C$3:$Q$300, 13, FALSE)</f>
        <v>110</v>
      </c>
      <c r="J118" s="11">
        <f>VLOOKUP($A118, 'ADP Data'!$C$3:$Q$300, 10, FALSE)</f>
        <v>99</v>
      </c>
      <c r="K118" s="11">
        <v>105</v>
      </c>
    </row>
    <row r="119" spans="1:11" ht="14.25" customHeight="1" x14ac:dyDescent="0.25">
      <c r="A119" s="1" t="s">
        <v>154</v>
      </c>
      <c r="B119" s="11" t="str">
        <f>VLOOKUP($A119, 'ADP Data'!$C$3:$R$300, 2, FALSE)</f>
        <v>CHI</v>
      </c>
      <c r="C119" s="11" t="str">
        <f>VLOOKUP($A119, 'ADP Data'!$C$3:$R$300, 16, FALSE)</f>
        <v>TE</v>
      </c>
      <c r="D119" s="11"/>
      <c r="E119" s="11" t="s">
        <v>148</v>
      </c>
      <c r="F119" s="11" t="s">
        <v>891</v>
      </c>
      <c r="G119" s="11">
        <v>13</v>
      </c>
      <c r="H119" s="11" t="s">
        <v>1068</v>
      </c>
      <c r="I119" s="11">
        <f>VLOOKUP($A119, 'ADP Data'!$C$3:$Q$300, 13, FALSE)</f>
        <v>108</v>
      </c>
      <c r="J119" s="11">
        <f>VLOOKUP($A119, 'ADP Data'!$C$3:$Q$300, 10, FALSE)</f>
        <v>128</v>
      </c>
      <c r="K119" s="11">
        <v>133</v>
      </c>
    </row>
    <row r="120" spans="1:11" ht="14.25" customHeight="1" x14ac:dyDescent="0.25">
      <c r="A120" s="1" t="s">
        <v>324</v>
      </c>
      <c r="B120" s="11" t="str">
        <f>VLOOKUP($A120, 'ADP Data'!$C$3:$R$300, 2, FALSE)</f>
        <v>BUF</v>
      </c>
      <c r="C120" s="11" t="str">
        <f>VLOOKUP($A120, 'ADP Data'!$C$3:$R$300, 16, FALSE)</f>
        <v>TE</v>
      </c>
      <c r="D120" s="11"/>
      <c r="E120" s="11"/>
      <c r="F120" s="11"/>
      <c r="G120" s="11"/>
      <c r="H120" s="11"/>
      <c r="I120" s="11">
        <f>VLOOKUP($A120, 'ADP Data'!$C$3:$Q$300, 13, FALSE)</f>
        <v>132</v>
      </c>
      <c r="J120" s="11">
        <f>VLOOKUP($A120, 'ADP Data'!$C$3:$Q$300, 10, FALSE)</f>
        <v>120</v>
      </c>
      <c r="K120" s="11">
        <v>107</v>
      </c>
    </row>
    <row r="121" spans="1:11" ht="14.25" customHeight="1" x14ac:dyDescent="0.25">
      <c r="A121" s="1" t="s">
        <v>360</v>
      </c>
      <c r="B121" s="11" t="str">
        <f>VLOOKUP($A121, 'ADP Data'!$C$3:$R$300, 2, FALSE)</f>
        <v>GB</v>
      </c>
      <c r="C121" s="11" t="str">
        <f>VLOOKUP($A121, 'ADP Data'!$C$3:$R$300, 16, FALSE)</f>
        <v>QB</v>
      </c>
      <c r="D121" s="11"/>
      <c r="E121" s="11"/>
      <c r="F121" s="11" t="s">
        <v>895</v>
      </c>
      <c r="G121" s="11">
        <v>15</v>
      </c>
      <c r="H121" s="11"/>
      <c r="I121" s="11">
        <f>VLOOKUP($A121, 'ADP Data'!$C$3:$Q$300, 13, FALSE)</f>
        <v>127</v>
      </c>
      <c r="J121" s="11">
        <f>VLOOKUP($A121, 'ADP Data'!$C$3:$Q$300, 10, FALSE)</f>
        <v>111</v>
      </c>
      <c r="K121" s="11">
        <v>111</v>
      </c>
    </row>
    <row r="122" spans="1:11" ht="14.25" customHeight="1" x14ac:dyDescent="0.25">
      <c r="A122" s="1" t="s">
        <v>652</v>
      </c>
      <c r="B122" s="11" t="str">
        <f>VLOOKUP($A122, 'ADP Data'!$C$3:$R$300, 2, FALSE)</f>
        <v>BUF</v>
      </c>
      <c r="C122" s="11" t="str">
        <f>VLOOKUP($A122, 'ADP Data'!$C$3:$R$300, 16, FALSE)</f>
        <v>WR</v>
      </c>
      <c r="D122" s="11"/>
      <c r="E122" s="11"/>
      <c r="F122" s="11" t="s">
        <v>854</v>
      </c>
      <c r="G122" s="11">
        <v>51</v>
      </c>
      <c r="H122" s="11" t="s">
        <v>1053</v>
      </c>
      <c r="I122" s="11">
        <f>VLOOKUP($A122, 'ADP Data'!$C$3:$Q$300, 13, FALSE)</f>
        <v>85</v>
      </c>
      <c r="J122" s="11">
        <f>VLOOKUP($A122, 'ADP Data'!$C$3:$Q$300, 10, FALSE)</f>
        <v>122</v>
      </c>
      <c r="K122" s="11">
        <v>114</v>
      </c>
    </row>
    <row r="123" spans="1:11" ht="14.25" customHeight="1" x14ac:dyDescent="0.25">
      <c r="A123" s="1" t="s">
        <v>411</v>
      </c>
      <c r="B123" s="11" t="str">
        <f>VLOOKUP($A123, 'ADP Data'!$C$3:$R$300, 2, FALSE)</f>
        <v>HOU</v>
      </c>
      <c r="C123" s="11" t="str">
        <f>VLOOKUP($A123, 'ADP Data'!$C$3:$R$300, 16, FALSE)</f>
        <v>QB</v>
      </c>
      <c r="D123" s="11"/>
      <c r="E123" s="11"/>
      <c r="F123" s="11" t="s">
        <v>889</v>
      </c>
      <c r="G123" s="11">
        <v>18</v>
      </c>
      <c r="H123" s="11"/>
      <c r="I123" s="11">
        <f>VLOOKUP($A123, 'ADP Data'!$C$3:$Q$300, 13, FALSE)</f>
        <v>134</v>
      </c>
      <c r="J123" s="11">
        <f>VLOOKUP($A123, 'ADP Data'!$C$3:$Q$300, 10, FALSE)</f>
        <v>129</v>
      </c>
      <c r="K123" s="11">
        <v>118</v>
      </c>
    </row>
    <row r="124" spans="1:11" ht="14.25" customHeight="1" x14ac:dyDescent="0.25">
      <c r="A124" s="1" t="s">
        <v>621</v>
      </c>
      <c r="B124" s="11" t="str">
        <f>VLOOKUP($A124, 'ADP Data'!$C$3:$R$300, 2, FALSE)</f>
        <v>ATL</v>
      </c>
      <c r="C124" s="11" t="str">
        <f>VLOOKUP($A124, 'ADP Data'!$C$3:$R$300, 16, FALSE)</f>
        <v>WR</v>
      </c>
      <c r="D124" s="11"/>
      <c r="E124" s="11"/>
      <c r="F124" s="11" t="s">
        <v>875</v>
      </c>
      <c r="G124" s="11">
        <v>56</v>
      </c>
      <c r="H124" s="8" t="s">
        <v>1069</v>
      </c>
      <c r="I124" s="11">
        <f>VLOOKUP($A124, 'ADP Data'!$C$3:$Q$300, 13, FALSE)</f>
        <v>105</v>
      </c>
      <c r="J124" s="11">
        <f>VLOOKUP($A124, 'ADP Data'!$C$3:$Q$300, 10, FALSE)</f>
        <v>130</v>
      </c>
      <c r="K124" s="11">
        <v>141</v>
      </c>
    </row>
    <row r="125" spans="1:11" ht="14.25" customHeight="1" x14ac:dyDescent="0.25">
      <c r="A125" s="1" t="s">
        <v>399</v>
      </c>
      <c r="B125" s="11" t="str">
        <f>VLOOKUP($A125, 'ADP Data'!$C$3:$R$300, 2, FALSE)</f>
        <v>JAX</v>
      </c>
      <c r="C125" s="11" t="str">
        <f>VLOOKUP($A125, 'ADP Data'!$C$3:$R$300, 16, FALSE)</f>
        <v>RB</v>
      </c>
      <c r="D125" s="11"/>
      <c r="E125" s="11"/>
      <c r="F125" s="11" t="s">
        <v>894</v>
      </c>
      <c r="G125" s="11">
        <v>38</v>
      </c>
      <c r="H125" s="11"/>
      <c r="I125" s="11">
        <f>VLOOKUP($A125, 'ADP Data'!$C$3:$Q$300, 13, FALSE)</f>
        <v>121</v>
      </c>
      <c r="J125" s="11">
        <f>VLOOKUP($A125, 'ADP Data'!$C$3:$Q$300, 10, FALSE)</f>
        <v>101</v>
      </c>
      <c r="K125" s="11">
        <v>113</v>
      </c>
    </row>
    <row r="126" spans="1:11" ht="14.25" customHeight="1" x14ac:dyDescent="0.25">
      <c r="A126" s="1" t="s">
        <v>808</v>
      </c>
      <c r="B126" s="11" t="str">
        <f>VLOOKUP($A126, 'ADP Data'!$C$3:$R$300, 2, FALSE)</f>
        <v>MIN</v>
      </c>
      <c r="C126" s="11" t="str">
        <f>VLOOKUP($A126, 'ADP Data'!$C$3:$R$300, 16, FALSE)</f>
        <v>QB</v>
      </c>
      <c r="D126" s="11"/>
      <c r="E126" s="11"/>
      <c r="F126" s="11" t="s">
        <v>981</v>
      </c>
      <c r="G126" s="11">
        <v>23</v>
      </c>
      <c r="H126" s="11"/>
      <c r="I126" s="11">
        <f>VLOOKUP($A126, 'ADP Data'!$C$3:$Q$300, 13, FALSE)</f>
        <v>123</v>
      </c>
      <c r="J126" s="11">
        <f>VLOOKUP($A126, 'ADP Data'!$C$3:$Q$300, 10, FALSE)</f>
        <v>125</v>
      </c>
      <c r="K126" s="11">
        <v>127</v>
      </c>
    </row>
    <row r="127" spans="1:11" ht="14.25" customHeight="1" x14ac:dyDescent="0.25">
      <c r="A127" s="1" t="s">
        <v>572</v>
      </c>
      <c r="B127" s="11" t="str">
        <f>VLOOKUP($A127, 'ADP Data'!$C$3:$R$300, 2, FALSE)</f>
        <v>BAL</v>
      </c>
      <c r="C127" s="11" t="str">
        <f>VLOOKUP($A127, 'ADP Data'!$C$3:$R$300, 16, FALSE)</f>
        <v>WR</v>
      </c>
      <c r="D127" s="11"/>
      <c r="E127" s="11"/>
      <c r="F127" s="11" t="s">
        <v>854</v>
      </c>
      <c r="G127" s="11">
        <v>52</v>
      </c>
      <c r="H127" s="11"/>
      <c r="I127" s="11">
        <f>VLOOKUP($A127, 'ADP Data'!$C$3:$Q$300, 13, FALSE)</f>
        <v>114</v>
      </c>
      <c r="J127" s="11">
        <f>VLOOKUP($A127, 'ADP Data'!$C$3:$Q$300, 10, FALSE)</f>
        <v>126</v>
      </c>
      <c r="K127" s="11">
        <v>146</v>
      </c>
    </row>
    <row r="128" spans="1:11" ht="14.25" customHeight="1" x14ac:dyDescent="0.25">
      <c r="A128" s="1" t="s">
        <v>322</v>
      </c>
      <c r="B128" s="11" t="str">
        <f>VLOOKUP($A128, 'ADP Data'!$C$3:$R$300, 2, FALSE)</f>
        <v>PHI</v>
      </c>
      <c r="C128" s="11" t="str">
        <f>VLOOKUP($A128, 'ADP Data'!$C$3:$R$300, 16, FALSE)</f>
        <v>TE</v>
      </c>
      <c r="D128" s="11"/>
      <c r="E128" s="11"/>
      <c r="F128" s="11"/>
      <c r="G128" s="11"/>
      <c r="H128" s="11"/>
      <c r="I128" s="11">
        <f>VLOOKUP($A128, 'ADP Data'!$C$3:$Q$300, 13, FALSE)</f>
        <v>141</v>
      </c>
      <c r="J128" s="11">
        <f>VLOOKUP($A128, 'ADP Data'!$C$3:$Q$300, 10, FALSE)</f>
        <v>118</v>
      </c>
      <c r="K128" s="11">
        <v>121</v>
      </c>
    </row>
    <row r="129" spans="1:11" ht="14.25" customHeight="1" x14ac:dyDescent="0.25">
      <c r="A129" s="1" t="s">
        <v>340</v>
      </c>
      <c r="B129" s="11" t="str">
        <f>VLOOKUP($A129, 'ADP Data'!$C$3:$R$300, 2, FALSE)</f>
        <v>DAL</v>
      </c>
      <c r="C129" s="11" t="str">
        <f>VLOOKUP($A129, 'ADP Data'!$C$3:$R$300, 16, FALSE)</f>
        <v>TE</v>
      </c>
      <c r="D129" s="11"/>
      <c r="E129" s="11" t="s">
        <v>148</v>
      </c>
      <c r="F129" s="11" t="s">
        <v>891</v>
      </c>
      <c r="G129" s="11">
        <v>14</v>
      </c>
      <c r="H129" s="11"/>
      <c r="I129" s="11">
        <f>VLOOKUP($A129, 'ADP Data'!$C$3:$Q$300, 13, FALSE)</f>
        <v>137</v>
      </c>
      <c r="J129" s="11">
        <f>VLOOKUP($A129, 'ADP Data'!$C$3:$Q$300, 10, FALSE)</f>
        <v>115</v>
      </c>
      <c r="K129" s="11">
        <v>124</v>
      </c>
    </row>
    <row r="130" spans="1:11" ht="14.25" customHeight="1" x14ac:dyDescent="0.25">
      <c r="A130" s="1" t="s">
        <v>686</v>
      </c>
      <c r="B130" s="11" t="str">
        <f>VLOOKUP($A130, 'ADP Data'!$C$3:$R$300, 2, FALSE)</f>
        <v>HOU</v>
      </c>
      <c r="C130" s="11" t="str">
        <f>VLOOKUP($A130, 'ADP Data'!$C$3:$R$300, 16, FALSE)</f>
        <v>WR</v>
      </c>
      <c r="D130" s="11"/>
      <c r="E130" s="11"/>
      <c r="F130" s="11" t="s">
        <v>854</v>
      </c>
      <c r="G130" s="11">
        <v>50</v>
      </c>
      <c r="H130" s="11" t="s">
        <v>1074</v>
      </c>
      <c r="I130" s="11">
        <f>VLOOKUP($A130, 'ADP Data'!$C$3:$Q$300, 13, FALSE)</f>
        <v>92</v>
      </c>
      <c r="J130" s="11">
        <f>VLOOKUP($A130, 'ADP Data'!$C$3:$Q$300, 10, FALSE)</f>
        <v>148</v>
      </c>
      <c r="K130" s="11">
        <v>117</v>
      </c>
    </row>
    <row r="131" spans="1:11" ht="14.25" customHeight="1" x14ac:dyDescent="0.25">
      <c r="A131" s="1" t="s">
        <v>634</v>
      </c>
      <c r="B131" s="11" t="str">
        <f>VLOOKUP($A131, 'ADP Data'!$C$3:$R$300, 2, FALSE)</f>
        <v>LAC</v>
      </c>
      <c r="C131" s="11" t="str">
        <f>VLOOKUP($A131, 'ADP Data'!$C$3:$R$300, 16, FALSE)</f>
        <v>RB</v>
      </c>
      <c r="D131" s="11"/>
      <c r="E131" s="11"/>
      <c r="F131" s="11" t="s">
        <v>894</v>
      </c>
      <c r="G131" s="11">
        <v>39</v>
      </c>
      <c r="H131" s="11"/>
      <c r="I131" s="11">
        <f>VLOOKUP($A131, 'ADP Data'!$C$3:$Q$300, 13, FALSE)</f>
        <v>160</v>
      </c>
      <c r="J131" s="11">
        <f>VLOOKUP($A131, 'ADP Data'!$C$3:$Q$300, 10, FALSE)</f>
        <v>155</v>
      </c>
      <c r="K131" s="11">
        <v>106</v>
      </c>
    </row>
    <row r="132" spans="1:11" ht="14.25" customHeight="1" x14ac:dyDescent="0.25">
      <c r="A132" s="1" t="s">
        <v>381</v>
      </c>
      <c r="B132" s="11" t="str">
        <f>VLOOKUP($A132, 'ADP Data'!$C$3:$R$300, 2, FALSE)</f>
        <v>TEN</v>
      </c>
      <c r="C132" s="11" t="str">
        <f>VLOOKUP($A132, 'ADP Data'!$C$3:$R$300, 16, FALSE)</f>
        <v>RB</v>
      </c>
      <c r="D132" s="11"/>
      <c r="E132" s="11"/>
      <c r="F132" s="11" t="s">
        <v>894</v>
      </c>
      <c r="G132" s="11">
        <v>40</v>
      </c>
      <c r="H132" s="11"/>
      <c r="I132" s="11">
        <f>VLOOKUP($A132, 'ADP Data'!$C$3:$Q$300, 13, FALSE)</f>
        <v>172</v>
      </c>
      <c r="J132" s="11">
        <f>VLOOKUP($A132, 'ADP Data'!$C$3:$Q$300, 10, FALSE)</f>
        <v>131</v>
      </c>
      <c r="K132" s="11">
        <v>120</v>
      </c>
    </row>
    <row r="133" spans="1:11" ht="14.25" customHeight="1" x14ac:dyDescent="0.25">
      <c r="A133" s="1" t="s">
        <v>664</v>
      </c>
      <c r="B133" s="11" t="str">
        <f>VLOOKUP($A133, 'ADP Data'!$C$3:$R$300, 2, FALSE)</f>
        <v>HOU</v>
      </c>
      <c r="C133" s="11" t="str">
        <f>VLOOKUP($A133, 'ADP Data'!$C$3:$R$300, 16, FALSE)</f>
        <v>WR</v>
      </c>
      <c r="D133" s="11"/>
      <c r="E133" s="11"/>
      <c r="F133" s="11" t="s">
        <v>875</v>
      </c>
      <c r="G133" s="11">
        <v>57</v>
      </c>
      <c r="H133" s="11"/>
      <c r="I133" s="11">
        <f>VLOOKUP($A133, 'ADP Data'!$C$3:$Q$300, 13, FALSE)</f>
        <v>115</v>
      </c>
      <c r="J133" s="11">
        <f>VLOOKUP($A133, 'ADP Data'!$C$3:$Q$300, 10, FALSE)</f>
        <v>133</v>
      </c>
      <c r="K133" s="11">
        <v>136</v>
      </c>
    </row>
    <row r="134" spans="1:11" ht="14.25" customHeight="1" x14ac:dyDescent="0.25">
      <c r="A134" s="1" t="s">
        <v>250</v>
      </c>
      <c r="B134" s="11" t="str">
        <f>VLOOKUP($A134, 'ADP Data'!$C$3:$R$300, 2, FALSE)</f>
        <v>ATL</v>
      </c>
      <c r="C134" s="11" t="str">
        <f>VLOOKUP($A134, 'ADP Data'!$C$3:$R$300, 16, FALSE)</f>
        <v>TE</v>
      </c>
      <c r="D134" s="11"/>
      <c r="E134" s="11" t="s">
        <v>148</v>
      </c>
      <c r="F134" s="11" t="s">
        <v>891</v>
      </c>
      <c r="G134" s="11">
        <v>15</v>
      </c>
      <c r="H134" s="11"/>
      <c r="I134" s="11">
        <f>VLOOKUP($A134, 'ADP Data'!$C$3:$Q$300, 13, FALSE)</f>
        <v>140</v>
      </c>
      <c r="J134" s="11">
        <f>VLOOKUP($A134, 'ADP Data'!$C$3:$Q$300, 10, FALSE)</f>
        <v>159</v>
      </c>
      <c r="K134" s="11">
        <v>162</v>
      </c>
    </row>
    <row r="135" spans="1:11" ht="14.25" customHeight="1" x14ac:dyDescent="0.25">
      <c r="A135" s="1" t="s">
        <v>521</v>
      </c>
      <c r="B135" s="11" t="str">
        <f>VLOOKUP($A135, 'ADP Data'!$C$3:$R$300, 2, FALSE)</f>
        <v>DAL</v>
      </c>
      <c r="C135" s="11" t="str">
        <f>VLOOKUP($A135, 'ADP Data'!$C$3:$R$300, 16, FALSE)</f>
        <v>RB</v>
      </c>
      <c r="D135" s="11"/>
      <c r="E135" s="11" t="s">
        <v>148</v>
      </c>
      <c r="F135" s="11" t="s">
        <v>894</v>
      </c>
      <c r="G135" s="11">
        <v>41</v>
      </c>
      <c r="H135" s="11" t="s">
        <v>1082</v>
      </c>
      <c r="I135" s="11">
        <f>VLOOKUP($A135, 'ADP Data'!$C$3:$Q$300, 13, FALSE)</f>
        <v>146</v>
      </c>
      <c r="J135" s="11">
        <f>VLOOKUP($A135, 'ADP Data'!$C$3:$Q$300, 10, FALSE)</f>
        <v>143</v>
      </c>
      <c r="K135" s="11">
        <v>201</v>
      </c>
    </row>
    <row r="136" spans="1:11" ht="14.25" customHeight="1" x14ac:dyDescent="0.25">
      <c r="A136" s="1" t="s">
        <v>329</v>
      </c>
      <c r="B136" s="11" t="str">
        <f>VLOOKUP($A136, 'ADP Data'!$C$3:$R$300, 2, FALSE)</f>
        <v>TB</v>
      </c>
      <c r="C136" s="11" t="str">
        <f>VLOOKUP($A136, 'ADP Data'!$C$3:$R$300, 16, FALSE)</f>
        <v>RB</v>
      </c>
      <c r="D136" s="11"/>
      <c r="E136" s="11"/>
      <c r="F136" s="11" t="s">
        <v>878</v>
      </c>
      <c r="G136" s="11">
        <v>48</v>
      </c>
      <c r="H136" s="11"/>
      <c r="I136" s="11">
        <f>VLOOKUP($A136, 'ADP Data'!$C$3:$Q$300, 13, FALSE)</f>
        <v>167</v>
      </c>
      <c r="J136" s="11">
        <f>VLOOKUP($A136, 'ADP Data'!$C$3:$Q$300, 10, FALSE)</f>
        <v>124</v>
      </c>
      <c r="K136" s="11">
        <v>116</v>
      </c>
    </row>
    <row r="137" spans="1:11" ht="14.25" customHeight="1" x14ac:dyDescent="0.25">
      <c r="A137" s="1" t="s">
        <v>266</v>
      </c>
      <c r="B137" s="11" t="str">
        <f>VLOOKUP($A137, 'ADP Data'!$C$3:$R$300, 2, FALSE)</f>
        <v>JAX</v>
      </c>
      <c r="C137" s="11" t="str">
        <f>VLOOKUP($A137, 'ADP Data'!$C$3:$R$300, 16, FALSE)</f>
        <v>QB</v>
      </c>
      <c r="D137" s="11"/>
      <c r="E137" s="11"/>
      <c r="F137" s="11" t="s">
        <v>889</v>
      </c>
      <c r="G137" s="11">
        <v>19</v>
      </c>
      <c r="H137" s="11"/>
      <c r="I137" s="11">
        <f>VLOOKUP($A137, 'ADP Data'!$C$3:$Q$300, 13, FALSE)</f>
        <v>130</v>
      </c>
      <c r="J137" s="11">
        <f>VLOOKUP($A137, 'ADP Data'!$C$3:$Q$300, 10, FALSE)</f>
        <v>132</v>
      </c>
      <c r="K137" s="11">
        <v>125</v>
      </c>
    </row>
    <row r="138" spans="1:11" ht="14.25" customHeight="1" x14ac:dyDescent="0.25">
      <c r="A138" s="1" t="s">
        <v>684</v>
      </c>
      <c r="B138" s="11" t="str">
        <f>VLOOKUP($A138, 'ADP Data'!$C$3:$R$300, 2, FALSE)</f>
        <v>SF</v>
      </c>
      <c r="C138" s="11" t="str">
        <f>VLOOKUP($A138, 'ADP Data'!$C$3:$R$300, 16, FALSE)</f>
        <v>WR</v>
      </c>
      <c r="D138" s="11"/>
      <c r="E138" s="11" t="s">
        <v>148</v>
      </c>
      <c r="F138" s="11" t="s">
        <v>854</v>
      </c>
      <c r="G138" s="11">
        <v>48</v>
      </c>
      <c r="H138" s="8" t="s">
        <v>1076</v>
      </c>
      <c r="I138" s="11">
        <f>VLOOKUP($A138, 'ADP Data'!$C$3:$Q$300, 13, FALSE)</f>
        <v>131</v>
      </c>
      <c r="J138" s="11">
        <f>VLOOKUP($A138, 'ADP Data'!$C$3:$Q$300, 10, FALSE)</f>
        <v>141</v>
      </c>
      <c r="K138" s="11">
        <v>159</v>
      </c>
    </row>
    <row r="139" spans="1:11" ht="14.25" customHeight="1" x14ac:dyDescent="0.25">
      <c r="A139" s="1" t="s">
        <v>198</v>
      </c>
      <c r="B139" s="11" t="str">
        <f>VLOOKUP($A139, 'ADP Data'!$C$3:$R$300, 2, FALSE)</f>
        <v>JAX</v>
      </c>
      <c r="C139" s="11" t="str">
        <f>VLOOKUP($A139, 'ADP Data'!$C$3:$R$300, 16, FALSE)</f>
        <v>RB</v>
      </c>
      <c r="D139" s="11"/>
      <c r="E139" s="11"/>
      <c r="F139" s="11" t="s">
        <v>894</v>
      </c>
      <c r="G139" s="11">
        <v>42</v>
      </c>
      <c r="H139" s="11" t="s">
        <v>1083</v>
      </c>
      <c r="I139" s="11">
        <f>VLOOKUP($A139, 'ADP Data'!$C$3:$Q$300, 13, FALSE)</f>
        <v>124</v>
      </c>
      <c r="J139" s="11">
        <f>VLOOKUP($A139, 'ADP Data'!$C$3:$Q$300, 10, FALSE)</f>
        <v>109</v>
      </c>
      <c r="K139" s="11">
        <v>129</v>
      </c>
    </row>
    <row r="140" spans="1:11" ht="14.25" customHeight="1" x14ac:dyDescent="0.25">
      <c r="A140" s="1" t="s">
        <v>938</v>
      </c>
      <c r="B140" s="11" t="str">
        <f>VLOOKUP($A140, 'ADP Data'!$C$3:$R$300, 2, FALSE)</f>
        <v>PIT</v>
      </c>
      <c r="C140" s="11" t="str">
        <f>VLOOKUP($A140, 'ADP Data'!$C$3:$R$300, 16, FALSE)</f>
        <v>TE</v>
      </c>
      <c r="D140" s="11"/>
      <c r="E140" s="11"/>
      <c r="F140" s="11"/>
      <c r="G140" s="11"/>
      <c r="H140" s="11"/>
      <c r="I140" s="11">
        <f>VLOOKUP($A140, 'ADP Data'!$C$3:$Q$300, 13, FALSE)</f>
        <v>187</v>
      </c>
      <c r="J140" s="11">
        <f>VLOOKUP($A140, 'ADP Data'!$C$3:$Q$300, 10, FALSE)</f>
        <v>160</v>
      </c>
      <c r="K140" s="11">
        <v>148</v>
      </c>
    </row>
    <row r="141" spans="1:11" ht="14.25" customHeight="1" x14ac:dyDescent="0.25">
      <c r="A141" s="1" t="s">
        <v>409</v>
      </c>
      <c r="B141" s="11" t="str">
        <f>VLOOKUP($A141, 'ADP Data'!$C$3:$R$300, 2, FALSE)</f>
        <v>LAC</v>
      </c>
      <c r="C141" s="11" t="str">
        <f>VLOOKUP($A141, 'ADP Data'!$C$3:$R$300, 16, FALSE)</f>
        <v>WR</v>
      </c>
      <c r="D141" s="11"/>
      <c r="E141" s="11"/>
      <c r="F141" s="11" t="s">
        <v>875</v>
      </c>
      <c r="G141" s="11">
        <v>58</v>
      </c>
      <c r="H141" s="11"/>
      <c r="I141" s="11">
        <f>VLOOKUP($A141, 'ADP Data'!$C$3:$Q$300, 13, FALSE)</f>
        <v>119</v>
      </c>
      <c r="J141" s="11">
        <f>VLOOKUP($A141, 'ADP Data'!$C$3:$Q$300, 10, FALSE)</f>
        <v>140</v>
      </c>
      <c r="K141" s="11">
        <v>132</v>
      </c>
    </row>
    <row r="142" spans="1:11" ht="14.25" customHeight="1" x14ac:dyDescent="0.25">
      <c r="A142" s="1" t="s">
        <v>826</v>
      </c>
      <c r="B142" s="11" t="str">
        <f>VLOOKUP($A142, 'ADP Data'!$C$3:$R$300, 2, FALSE)</f>
        <v>ARI</v>
      </c>
      <c r="C142" s="11" t="str">
        <f>VLOOKUP($A142, 'ADP Data'!$C$3:$R$300, 16, FALSE)</f>
        <v>RB</v>
      </c>
      <c r="D142" s="11"/>
      <c r="E142" s="11"/>
      <c r="F142" s="11" t="s">
        <v>894</v>
      </c>
      <c r="G142" s="11">
        <v>44</v>
      </c>
      <c r="H142" s="11" t="s">
        <v>1050</v>
      </c>
      <c r="I142" s="11">
        <f>VLOOKUP($A142, 'ADP Data'!$C$3:$Q$300, 13, FALSE)</f>
        <v>139</v>
      </c>
      <c r="J142" s="11">
        <f>VLOOKUP($A142, 'ADP Data'!$C$3:$Q$300, 10, FALSE)</f>
        <v>137</v>
      </c>
      <c r="K142" s="11">
        <v>150</v>
      </c>
    </row>
    <row r="143" spans="1:11" ht="14.25" customHeight="1" x14ac:dyDescent="0.25">
      <c r="A143" s="1" t="s">
        <v>898</v>
      </c>
      <c r="B143" s="11" t="str">
        <f>VLOOKUP($A143, 'ADP Data'!$C$3:$R$300, 2, FALSE)</f>
        <v>WAS</v>
      </c>
      <c r="C143" s="11" t="str">
        <f>VLOOKUP($A143, 'ADP Data'!$C$3:$R$300, 16, FALSE)</f>
        <v>RB</v>
      </c>
      <c r="D143" s="11"/>
      <c r="E143" s="11"/>
      <c r="F143" s="11" t="s">
        <v>878</v>
      </c>
      <c r="G143" s="11">
        <v>49</v>
      </c>
      <c r="H143" s="11"/>
      <c r="I143" s="11">
        <f>VLOOKUP($A143, 'ADP Data'!$C$3:$Q$300, 13, FALSE)</f>
        <v>135</v>
      </c>
      <c r="J143" s="11">
        <f>VLOOKUP($A143, 'ADP Data'!$C$3:$Q$300, 10, FALSE)</f>
        <v>104</v>
      </c>
      <c r="K143" s="11">
        <v>142</v>
      </c>
    </row>
    <row r="144" spans="1:11" ht="14.25" customHeight="1" x14ac:dyDescent="0.25">
      <c r="A144" s="1" t="s">
        <v>721</v>
      </c>
      <c r="B144" s="11" t="str">
        <f>VLOOKUP($A144, 'ADP Data'!$C$3:$R$300, 2, FALSE)</f>
        <v>NE</v>
      </c>
      <c r="C144" s="11" t="str">
        <f>VLOOKUP($A144, 'ADP Data'!$C$3:$R$300, 16, FALSE)</f>
        <v>WR</v>
      </c>
      <c r="D144" s="11"/>
      <c r="E144" s="11"/>
      <c r="F144" s="11" t="s">
        <v>875</v>
      </c>
      <c r="G144" s="11">
        <v>59</v>
      </c>
      <c r="H144" s="11"/>
      <c r="I144" s="11">
        <f>VLOOKUP($A144, 'ADP Data'!$C$3:$Q$300, 13, FALSE)</f>
        <v>148</v>
      </c>
      <c r="J144" s="11">
        <f>VLOOKUP($A144, 'ADP Data'!$C$3:$Q$300, 10, FALSE)</f>
        <v>156</v>
      </c>
      <c r="K144" s="11">
        <v>157</v>
      </c>
    </row>
    <row r="145" spans="1:11" ht="14.25" customHeight="1" x14ac:dyDescent="0.25">
      <c r="A145" s="1" t="s">
        <v>446</v>
      </c>
      <c r="B145" s="11" t="str">
        <f>VLOOKUP($A145, 'ADP Data'!$C$3:$R$300, 2, FALSE)</f>
        <v>NYJ</v>
      </c>
      <c r="C145" s="11" t="str">
        <f>VLOOKUP($A145, 'ADP Data'!$C$3:$R$300, 16, FALSE)</f>
        <v>RB</v>
      </c>
      <c r="D145" s="11"/>
      <c r="E145" s="11"/>
      <c r="F145" s="11" t="s">
        <v>878</v>
      </c>
      <c r="G145" s="11">
        <v>50</v>
      </c>
      <c r="H145" s="11" t="s">
        <v>1044</v>
      </c>
      <c r="I145" s="11">
        <f>VLOOKUP($A145, 'ADP Data'!$C$3:$Q$300, 13, FALSE)</f>
        <v>129</v>
      </c>
      <c r="J145" s="11">
        <f>VLOOKUP($A145, 'ADP Data'!$C$3:$Q$300, 10, FALSE)</f>
        <v>89</v>
      </c>
      <c r="K145" s="11">
        <v>152</v>
      </c>
    </row>
    <row r="146" spans="1:11" ht="14.25" customHeight="1" x14ac:dyDescent="0.25">
      <c r="A146" s="1" t="s">
        <v>1078</v>
      </c>
      <c r="B146" s="11" t="str">
        <f>VLOOKUP($A146, 'ADP Data'!$C$3:$R$300, 2, FALSE)</f>
        <v>CLE</v>
      </c>
      <c r="C146" s="11" t="str">
        <f>VLOOKUP($A146, 'ADP Data'!$C$3:$R$300, 16, FALSE)</f>
        <v>WR</v>
      </c>
      <c r="D146" s="11"/>
      <c r="E146" s="11"/>
      <c r="F146" s="11"/>
      <c r="G146" s="11"/>
      <c r="H146" s="11"/>
      <c r="I146" s="11">
        <f>VLOOKUP($A146, 'ADP Data'!$C$3:$Q$300, 13, FALSE)</f>
        <v>152</v>
      </c>
      <c r="J146" s="11">
        <f>VLOOKUP($A146, 'ADP Data'!$C$3:$Q$300, 10, FALSE)</f>
        <v>149</v>
      </c>
      <c r="K146" s="11">
        <v>172</v>
      </c>
    </row>
    <row r="147" spans="1:11" ht="14.25" customHeight="1" x14ac:dyDescent="0.25">
      <c r="A147" s="1" t="s">
        <v>1085</v>
      </c>
      <c r="B147" s="11" t="str">
        <f>VLOOKUP($A147, 'ADP Data'!$C$3:$R$300, 2, FALSE)</f>
        <v>SF</v>
      </c>
      <c r="C147" s="11" t="str">
        <f>VLOOKUP($A147, 'ADP Data'!$C$3:$R$300, 16, FALSE)</f>
        <v>RB</v>
      </c>
      <c r="D147" s="11"/>
      <c r="E147" s="11" t="s">
        <v>119</v>
      </c>
      <c r="F147" s="11" t="s">
        <v>894</v>
      </c>
      <c r="G147" s="11">
        <v>43</v>
      </c>
      <c r="H147" s="11" t="s">
        <v>1044</v>
      </c>
      <c r="I147" s="11">
        <f>VLOOKUP($A147, 'ADP Data'!$C$3:$Q$300, 13, FALSE)</f>
        <v>218</v>
      </c>
      <c r="J147" s="11">
        <f>VLOOKUP($A147, 'ADP Data'!$C$3:$Q$300, 10, FALSE)</f>
        <v>180</v>
      </c>
      <c r="K147" s="11">
        <v>147</v>
      </c>
    </row>
    <row r="148" spans="1:11" ht="14.25" customHeight="1" x14ac:dyDescent="0.25">
      <c r="A148" s="1" t="s">
        <v>506</v>
      </c>
      <c r="B148" s="11" t="str">
        <f>VLOOKUP($A148, 'ADP Data'!$C$3:$R$300, 2, FALSE)</f>
        <v>BUF</v>
      </c>
      <c r="C148" s="11" t="str">
        <f>VLOOKUP($A148, 'ADP Data'!$C$3:$R$300, 16, FALSE)</f>
        <v>RB</v>
      </c>
      <c r="D148" s="11"/>
      <c r="E148" s="11"/>
      <c r="F148" s="11" t="s">
        <v>930</v>
      </c>
      <c r="G148" s="11">
        <v>57</v>
      </c>
      <c r="H148" s="11" t="s">
        <v>1044</v>
      </c>
      <c r="I148" s="11">
        <f>VLOOKUP($A148, 'ADP Data'!$C$3:$Q$300, 13, FALSE)</f>
        <v>142</v>
      </c>
      <c r="J148" s="11">
        <f>VLOOKUP($A148, 'ADP Data'!$C$3:$Q$300, 10, FALSE)</f>
        <v>138</v>
      </c>
      <c r="K148" s="11">
        <v>126</v>
      </c>
    </row>
    <row r="149" spans="1:11" ht="14.25" customHeight="1" x14ac:dyDescent="0.25">
      <c r="A149" s="1" t="s">
        <v>947</v>
      </c>
      <c r="B149" s="11" t="str">
        <f>VLOOKUP($A149, 'ADP Data'!$C$3:$R$300, 2, FALSE)</f>
        <v>WAS</v>
      </c>
      <c r="C149" s="11" t="str">
        <f>VLOOKUP($A149, 'ADP Data'!$C$3:$R$300, 16, FALSE)</f>
        <v>TE</v>
      </c>
      <c r="D149" s="11"/>
      <c r="E149" s="11"/>
      <c r="F149" s="11"/>
      <c r="G149" s="11"/>
      <c r="H149" s="11"/>
      <c r="I149" s="11">
        <f>VLOOKUP($A149, 'ADP Data'!$C$3:$Q$300, 13, FALSE)</f>
        <v>165</v>
      </c>
      <c r="J149" s="11">
        <f>VLOOKUP($A149, 'ADP Data'!$C$3:$Q$300, 10, FALSE)</f>
        <v>153</v>
      </c>
      <c r="K149" s="11">
        <v>161</v>
      </c>
    </row>
    <row r="150" spans="1:11" ht="14.25" customHeight="1" x14ac:dyDescent="0.25">
      <c r="A150" s="1" t="s">
        <v>933</v>
      </c>
      <c r="B150" s="11" t="str">
        <f>VLOOKUP($A150, 'ADP Data'!$C$3:$R$300, 2, FALSE)</f>
        <v>DEN</v>
      </c>
      <c r="C150" s="11" t="str">
        <f>VLOOKUP($A150, 'ADP Data'!$C$3:$R$300, 16, FALSE)</f>
        <v>WR</v>
      </c>
      <c r="D150" s="11"/>
      <c r="E150" s="11"/>
      <c r="F150" s="11" t="s">
        <v>912</v>
      </c>
      <c r="G150" s="11">
        <v>60</v>
      </c>
      <c r="H150" s="11"/>
      <c r="I150" s="11">
        <f>VLOOKUP($A150, 'ADP Data'!$C$3:$Q$300, 13, FALSE)</f>
        <v>117</v>
      </c>
      <c r="J150" s="11">
        <f>VLOOKUP($A150, 'ADP Data'!$C$3:$Q$300, 10, FALSE)</f>
        <v>154</v>
      </c>
      <c r="K150" s="11">
        <v>155</v>
      </c>
    </row>
    <row r="151" spans="1:11" ht="14.25" customHeight="1" x14ac:dyDescent="0.25">
      <c r="A151" s="1" t="s">
        <v>619</v>
      </c>
      <c r="B151" s="11" t="str">
        <f>VLOOKUP($A151, 'ADP Data'!$C$3:$R$300, 2, FALSE)</f>
        <v>MIA</v>
      </c>
      <c r="C151" s="11" t="str">
        <f>VLOOKUP($A151, 'ADP Data'!$C$3:$R$300, 16, FALSE)</f>
        <v>QB</v>
      </c>
      <c r="D151" s="11"/>
      <c r="E151" s="11"/>
      <c r="F151" s="11" t="s">
        <v>903</v>
      </c>
      <c r="G151" s="11">
        <v>20</v>
      </c>
      <c r="H151" s="11"/>
      <c r="I151" s="11">
        <f>VLOOKUP($A151, 'ADP Data'!$C$3:$Q$300, 13, FALSE)</f>
        <v>158</v>
      </c>
      <c r="J151" s="11">
        <f>VLOOKUP($A151, 'ADP Data'!$C$3:$Q$300, 10, FALSE)</f>
        <v>152</v>
      </c>
      <c r="K151" s="11">
        <v>144</v>
      </c>
    </row>
    <row r="152" spans="1:11" ht="14.25" customHeight="1" x14ac:dyDescent="0.25">
      <c r="A152" s="1" t="s">
        <v>397</v>
      </c>
      <c r="B152" s="11" t="str">
        <f>VLOOKUP($A152, 'ADP Data'!$C$3:$R$300, 2, FALSE)</f>
        <v>NE</v>
      </c>
      <c r="C152" s="11" t="str">
        <f>VLOOKUP($A152, 'ADP Data'!$C$3:$R$300, 16, FALSE)</f>
        <v>TE</v>
      </c>
      <c r="D152" s="11"/>
      <c r="E152" s="11"/>
      <c r="F152" s="11"/>
      <c r="G152" s="11"/>
      <c r="H152" s="11"/>
      <c r="I152" s="11">
        <f>VLOOKUP($A152, 'ADP Data'!$C$3:$Q$300, 13, FALSE)</f>
        <v>162</v>
      </c>
      <c r="J152" s="11">
        <f>VLOOKUP($A152, 'ADP Data'!$C$3:$Q$300, 10, FALSE)</f>
        <v>134</v>
      </c>
      <c r="K152" s="11">
        <v>119</v>
      </c>
    </row>
    <row r="153" spans="1:11" ht="14.25" customHeight="1" x14ac:dyDescent="0.25">
      <c r="A153" s="1" t="s">
        <v>370</v>
      </c>
      <c r="B153" s="11" t="str">
        <f>VLOOKUP($A153, 'ADP Data'!$C$3:$R$300, 2, FALSE)</f>
        <v>ATL</v>
      </c>
      <c r="C153" s="11" t="str">
        <f>VLOOKUP($A153, 'ADP Data'!$C$3:$R$300, 16, FALSE)</f>
        <v>RB</v>
      </c>
      <c r="D153" s="11"/>
      <c r="E153" s="11"/>
      <c r="F153" s="11" t="s">
        <v>894</v>
      </c>
      <c r="G153" s="11">
        <v>46</v>
      </c>
      <c r="H153" s="11"/>
      <c r="I153" s="11">
        <f>VLOOKUP($A153, 'ADP Data'!$C$3:$Q$300, 13, FALSE)</f>
        <v>156</v>
      </c>
      <c r="J153" s="11">
        <f>VLOOKUP($A153, 'ADP Data'!$C$3:$Q$300, 10, FALSE)</f>
        <v>146</v>
      </c>
      <c r="K153" s="11">
        <v>143</v>
      </c>
    </row>
    <row r="154" spans="1:11" ht="14.25" customHeight="1" x14ac:dyDescent="0.25">
      <c r="A154" s="1" t="s">
        <v>905</v>
      </c>
      <c r="B154" s="11" t="str">
        <f>VLOOKUP($A154, 'ADP Data'!$C$3:$R$300, 2, FALSE)</f>
        <v>CLE</v>
      </c>
      <c r="C154" s="11" t="str">
        <f>VLOOKUP($A154, 'ADP Data'!$C$3:$R$300, 16, FALSE)</f>
        <v>RB</v>
      </c>
      <c r="D154" s="11"/>
      <c r="E154" s="11"/>
      <c r="F154" s="11" t="s">
        <v>906</v>
      </c>
      <c r="G154" s="11">
        <v>56</v>
      </c>
      <c r="H154" s="11"/>
      <c r="I154" s="11">
        <f>VLOOKUP($A154, 'ADP Data'!$C$3:$Q$300, 13, FALSE)</f>
        <v>171</v>
      </c>
      <c r="J154" s="11">
        <f>VLOOKUP($A154, 'ADP Data'!$C$3:$Q$300, 10, FALSE)</f>
        <v>123</v>
      </c>
      <c r="K154" s="11">
        <v>149</v>
      </c>
    </row>
    <row r="155" spans="1:11" ht="14.25" customHeight="1" x14ac:dyDescent="0.25">
      <c r="A155" s="1" t="s">
        <v>688</v>
      </c>
      <c r="B155" s="11" t="str">
        <f>VLOOKUP($A155, 'ADP Data'!$C$3:$R$300, 2, FALSE)</f>
        <v>ATL</v>
      </c>
      <c r="C155" s="11" t="str">
        <f>VLOOKUP($A155, 'ADP Data'!$C$3:$R$300, 16, FALSE)</f>
        <v>QB</v>
      </c>
      <c r="D155" s="11"/>
      <c r="E155" s="11"/>
      <c r="F155" s="11" t="s">
        <v>903</v>
      </c>
      <c r="G155" s="11">
        <v>24</v>
      </c>
      <c r="H155" s="11"/>
      <c r="I155" s="11">
        <f>VLOOKUP($A155, 'ADP Data'!$C$3:$Q$300, 13, FALSE)</f>
        <v>143</v>
      </c>
      <c r="J155" s="11">
        <f>VLOOKUP($A155, 'ADP Data'!$C$3:$Q$300, 10, FALSE)</f>
        <v>142</v>
      </c>
      <c r="K155" s="11">
        <v>153</v>
      </c>
    </row>
    <row r="156" spans="1:11" ht="14.25" customHeight="1" x14ac:dyDescent="0.25">
      <c r="A156" s="1" t="s">
        <v>467</v>
      </c>
      <c r="B156" s="11" t="str">
        <f>VLOOKUP($A156, 'ADP Data'!$C$3:$R$300, 2, FALSE)</f>
        <v>CAR</v>
      </c>
      <c r="C156" s="11" t="str">
        <f>VLOOKUP($A156, 'ADP Data'!$C$3:$R$300, 16, FALSE)</f>
        <v>QB</v>
      </c>
      <c r="D156" s="11"/>
      <c r="E156" s="11"/>
      <c r="F156" s="11" t="s">
        <v>890</v>
      </c>
      <c r="G156" s="11">
        <v>21</v>
      </c>
      <c r="H156" s="11"/>
      <c r="I156" s="11">
        <f>VLOOKUP($A156, 'ADP Data'!$C$3:$Q$300, 13, FALSE)</f>
        <v>150</v>
      </c>
      <c r="J156" s="11">
        <f>VLOOKUP($A156, 'ADP Data'!$C$3:$Q$300, 10, FALSE)</f>
        <v>136</v>
      </c>
      <c r="K156" s="11">
        <v>137</v>
      </c>
    </row>
    <row r="157" spans="1:11" ht="14.25" customHeight="1" x14ac:dyDescent="0.25">
      <c r="A157" s="1" t="s">
        <v>407</v>
      </c>
      <c r="B157" s="11" t="str">
        <f>VLOOKUP($A157, 'ADP Data'!$C$3:$R$300, 2, FALSE)</f>
        <v>CLE</v>
      </c>
      <c r="C157" s="11" t="str">
        <f>VLOOKUP($A157, 'ADP Data'!$C$3:$R$300, 16, FALSE)</f>
        <v>RB</v>
      </c>
      <c r="D157" s="11"/>
      <c r="E157" s="11" t="s">
        <v>148</v>
      </c>
      <c r="F157" s="11" t="s">
        <v>894</v>
      </c>
      <c r="G157" s="11">
        <v>45</v>
      </c>
      <c r="H157" s="11" t="s">
        <v>1089</v>
      </c>
      <c r="I157" s="11">
        <f>VLOOKUP($A157, 'ADP Data'!$C$3:$Q$300, 13, FALSE)</f>
        <v>138</v>
      </c>
      <c r="J157" s="11">
        <f>VLOOKUP($A157, 'ADP Data'!$C$3:$Q$300, 10, FALSE)</f>
        <v>119</v>
      </c>
      <c r="K157" s="11">
        <v>179</v>
      </c>
    </row>
    <row r="158" spans="1:11" ht="14.25" customHeight="1" x14ac:dyDescent="0.25">
      <c r="A158" s="1" t="s">
        <v>460</v>
      </c>
      <c r="B158" s="11" t="str">
        <f>VLOOKUP($A158, 'ADP Data'!$C$3:$R$300, 2, FALSE)</f>
        <v>TEN</v>
      </c>
      <c r="C158" s="11" t="str">
        <f>VLOOKUP($A158, 'ADP Data'!$C$3:$R$300, 16, FALSE)</f>
        <v>QB</v>
      </c>
      <c r="D158" s="11"/>
      <c r="E158" s="11"/>
      <c r="F158" s="11" t="s">
        <v>890</v>
      </c>
      <c r="G158" s="11">
        <v>22</v>
      </c>
      <c r="H158" s="11"/>
      <c r="I158" s="11">
        <f>VLOOKUP($A158, 'ADP Data'!$C$3:$Q$300, 13, FALSE)</f>
        <v>151</v>
      </c>
      <c r="J158" s="11">
        <f>VLOOKUP($A158, 'ADP Data'!$C$3:$Q$300, 10, FALSE)</f>
        <v>177</v>
      </c>
      <c r="K158" s="11">
        <v>216</v>
      </c>
    </row>
    <row r="159" spans="1:11" ht="14.25" customHeight="1" x14ac:dyDescent="0.25">
      <c r="A159" s="1" t="s">
        <v>902</v>
      </c>
      <c r="B159" s="11" t="str">
        <f>VLOOKUP($A159, 'ADP Data'!$C$3:$R$300, 2, FALSE)</f>
        <v>HOU</v>
      </c>
      <c r="C159" s="11" t="str">
        <f>VLOOKUP($A159, 'ADP Data'!$C$3:$R$300, 16, FALSE)</f>
        <v>RB</v>
      </c>
      <c r="D159" s="11"/>
      <c r="E159" s="11"/>
      <c r="F159" s="11" t="s">
        <v>878</v>
      </c>
      <c r="G159" s="11">
        <v>47</v>
      </c>
      <c r="H159" s="11"/>
      <c r="I159" s="11">
        <f>VLOOKUP($A159, 'ADP Data'!$C$3:$Q$300, 13, FALSE)</f>
        <v>154</v>
      </c>
      <c r="J159" s="11">
        <f>VLOOKUP($A159, 'ADP Data'!$C$3:$Q$300, 10, FALSE)</f>
        <v>139</v>
      </c>
      <c r="K159" s="11">
        <v>178</v>
      </c>
    </row>
    <row r="160" spans="1:11" ht="14.25" customHeight="1" x14ac:dyDescent="0.25">
      <c r="A160" s="1" t="s">
        <v>181</v>
      </c>
      <c r="B160" s="11" t="str">
        <f>VLOOKUP($A160, 'ADP Data'!$C$3:$R$300, 2, FALSE)</f>
        <v>CHI</v>
      </c>
      <c r="C160" s="11" t="str">
        <f>VLOOKUP($A160, 'ADP Data'!$C$3:$R$300, 16, FALSE)</f>
        <v>WR</v>
      </c>
      <c r="D160" s="11"/>
      <c r="E160" s="11"/>
      <c r="F160" s="11" t="s">
        <v>854</v>
      </c>
      <c r="G160" s="11">
        <v>49</v>
      </c>
      <c r="H160" s="11" t="s">
        <v>1079</v>
      </c>
      <c r="I160" s="11">
        <f>VLOOKUP($A160, 'ADP Data'!$C$3:$Q$300, 13, FALSE)</f>
        <v>111</v>
      </c>
      <c r="J160" s="11">
        <f>VLOOKUP($A160, 'ADP Data'!$C$3:$Q$300, 10, FALSE)</f>
        <v>162</v>
      </c>
      <c r="K160" s="11">
        <v>182</v>
      </c>
    </row>
    <row r="161" spans="1:11" ht="14.25" customHeight="1" x14ac:dyDescent="0.25">
      <c r="A161" s="1" t="s">
        <v>306</v>
      </c>
      <c r="B161" s="11" t="str">
        <f>VLOOKUP($A161, 'ADP Data'!$C$3:$R$300, 2, FALSE)</f>
        <v>LAR</v>
      </c>
      <c r="C161" s="11" t="str">
        <f>VLOOKUP($A161, 'ADP Data'!$C$3:$R$300, 16, FALSE)</f>
        <v>QB</v>
      </c>
      <c r="D161" s="11"/>
      <c r="E161" s="11"/>
      <c r="F161" s="11" t="s">
        <v>903</v>
      </c>
      <c r="G161" s="11"/>
      <c r="H161" s="11"/>
      <c r="I161" s="11">
        <f>VLOOKUP($A161, 'ADP Data'!$C$3:$Q$300, 13, FALSE)</f>
        <v>177</v>
      </c>
      <c r="J161" s="11">
        <f>VLOOKUP($A161, 'ADP Data'!$C$3:$Q$300, 10, FALSE)</f>
        <v>151</v>
      </c>
      <c r="K161" s="11">
        <v>134</v>
      </c>
    </row>
    <row r="162" spans="1:11" ht="14.25" customHeight="1" x14ac:dyDescent="0.25">
      <c r="A162" s="1" t="s">
        <v>911</v>
      </c>
      <c r="B162" s="11" t="str">
        <f>VLOOKUP($A162, 'ADP Data'!$C$3:$R$300, 2, FALSE)</f>
        <v>BUF</v>
      </c>
      <c r="C162" s="11" t="str">
        <f>VLOOKUP($A162, 'ADP Data'!$C$3:$R$300, 16, FALSE)</f>
        <v>WR</v>
      </c>
      <c r="D162" s="11"/>
      <c r="E162" s="11"/>
      <c r="F162" s="11" t="s">
        <v>912</v>
      </c>
      <c r="G162" s="11">
        <v>61</v>
      </c>
      <c r="H162" s="11"/>
      <c r="I162" s="11">
        <f>VLOOKUP($A162, 'ADP Data'!$C$3:$Q$300, 13, FALSE)</f>
        <v>136</v>
      </c>
      <c r="J162" s="11">
        <f>VLOOKUP($A162, 'ADP Data'!$C$3:$Q$300, 10, FALSE)</f>
        <v>150</v>
      </c>
      <c r="K162" s="11">
        <v>154</v>
      </c>
    </row>
    <row r="163" spans="1:11" ht="14.25" customHeight="1" x14ac:dyDescent="0.25">
      <c r="A163" s="1" t="s">
        <v>613</v>
      </c>
      <c r="B163" s="11" t="str">
        <f>VLOOKUP($A163, 'ADP Data'!$C$3:$R$300, 2, FALSE)</f>
        <v>MIA</v>
      </c>
      <c r="C163" s="11" t="str">
        <f>VLOOKUP($A163, 'ADP Data'!$C$3:$R$300, 16, FALSE)</f>
        <v>RB</v>
      </c>
      <c r="D163" s="11"/>
      <c r="E163" s="11" t="s">
        <v>148</v>
      </c>
      <c r="F163" s="11" t="s">
        <v>913</v>
      </c>
      <c r="G163" s="11">
        <v>54</v>
      </c>
      <c r="H163" s="11" t="s">
        <v>1044</v>
      </c>
      <c r="I163" s="11">
        <f>VLOOKUP($A163, 'ADP Data'!$C$3:$Q$300, 13, FALSE)</f>
        <v>237</v>
      </c>
      <c r="J163" s="11">
        <f>VLOOKUP($A163, 'ADP Data'!$C$3:$Q$300, 10, FALSE)</f>
        <v>189</v>
      </c>
      <c r="K163" s="11">
        <v>135</v>
      </c>
    </row>
    <row r="164" spans="1:11" ht="14.25" customHeight="1" x14ac:dyDescent="0.25">
      <c r="A164" s="1" t="s">
        <v>588</v>
      </c>
      <c r="B164" s="11" t="str">
        <f>VLOOKUP($A164, 'ADP Data'!$C$3:$R$300, 2, FALSE)</f>
        <v>LV</v>
      </c>
      <c r="C164" s="11" t="str">
        <f>VLOOKUP($A164, 'ADP Data'!$C$3:$R$300, 16, FALSE)</f>
        <v>QB</v>
      </c>
      <c r="D164" s="11"/>
      <c r="E164" s="11"/>
      <c r="F164" s="11" t="s">
        <v>903</v>
      </c>
      <c r="G164" s="11"/>
      <c r="H164" s="11"/>
      <c r="I164" s="11">
        <f>VLOOKUP($A164, 'ADP Data'!$C$3:$Q$300, 13, FALSE)</f>
        <v>164</v>
      </c>
      <c r="J164" s="11">
        <f>VLOOKUP($A164, 'ADP Data'!$C$3:$Q$300, 10, FALSE)</f>
        <v>145</v>
      </c>
      <c r="K164" s="11">
        <v>138</v>
      </c>
    </row>
    <row r="165" spans="1:11" ht="14.25" customHeight="1" x14ac:dyDescent="0.25">
      <c r="A165" s="1" t="s">
        <v>346</v>
      </c>
      <c r="B165" s="11" t="str">
        <f>VLOOKUP($A165, 'ADP Data'!$C$3:$R$300, 2, FALSE)</f>
        <v>GB</v>
      </c>
      <c r="C165" s="11" t="str">
        <f>VLOOKUP($A165, 'ADP Data'!$C$3:$R$300, 16, FALSE)</f>
        <v>WR</v>
      </c>
      <c r="D165" s="11"/>
      <c r="E165" s="11"/>
      <c r="F165" s="11"/>
      <c r="G165" s="11"/>
      <c r="H165" s="11"/>
      <c r="I165" s="11">
        <f>VLOOKUP($A165, 'ADP Data'!$C$3:$Q$300, 13, FALSE)</f>
        <v>149</v>
      </c>
      <c r="J165" s="11">
        <f>VLOOKUP($A165, 'ADP Data'!$C$3:$Q$300, 10, FALSE)</f>
        <v>178</v>
      </c>
      <c r="K165" s="11">
        <v>207</v>
      </c>
    </row>
    <row r="166" spans="1:11" ht="14.25" customHeight="1" x14ac:dyDescent="0.25">
      <c r="A166" s="1" t="s">
        <v>302</v>
      </c>
      <c r="B166" s="11" t="str">
        <f>VLOOKUP($A166, 'ADP Data'!$C$3:$R$300, 2, FALSE)</f>
        <v>NYG</v>
      </c>
      <c r="C166" s="11" t="str">
        <f>VLOOKUP($A166, 'ADP Data'!$C$3:$R$300, 16, FALSE)</f>
        <v>WR</v>
      </c>
      <c r="D166" s="11"/>
      <c r="E166" s="11"/>
      <c r="F166" s="11"/>
      <c r="G166" s="11"/>
      <c r="H166" s="11"/>
      <c r="I166" s="11">
        <f>VLOOKUP($A166, 'ADP Data'!$C$3:$Q$300, 13, FALSE)</f>
        <v>170</v>
      </c>
      <c r="J166" s="11">
        <f>VLOOKUP($A166, 'ADP Data'!$C$3:$Q$300, 10, FALSE)</f>
        <v>168</v>
      </c>
      <c r="K166" s="11">
        <v>192</v>
      </c>
    </row>
    <row r="167" spans="1:11" ht="14.25" customHeight="1" x14ac:dyDescent="0.25">
      <c r="A167" s="1" t="s">
        <v>393</v>
      </c>
      <c r="B167" s="11" t="str">
        <f>VLOOKUP($A167, 'ADP Data'!$C$3:$R$300, 2, FALSE)</f>
        <v>JAX</v>
      </c>
      <c r="C167" s="11" t="str">
        <f>VLOOKUP($A167, 'ADP Data'!$C$3:$R$300, 16, FALSE)</f>
        <v>TE</v>
      </c>
      <c r="D167" s="11"/>
      <c r="E167" s="11"/>
      <c r="F167" s="11"/>
      <c r="G167" s="11"/>
      <c r="H167" s="11"/>
      <c r="I167" s="11">
        <f>VLOOKUP($A167, 'ADP Data'!$C$3:$Q$300, 13, FALSE)</f>
        <v>155</v>
      </c>
      <c r="J167" s="11">
        <f>VLOOKUP($A167, 'ADP Data'!$C$3:$Q$300, 10, FALSE)</f>
        <v>163</v>
      </c>
      <c r="K167" s="11">
        <v>176</v>
      </c>
    </row>
    <row r="168" spans="1:11" ht="14.25" customHeight="1" x14ac:dyDescent="0.25">
      <c r="A168" s="1" t="s">
        <v>326</v>
      </c>
      <c r="B168" s="11" t="str">
        <f>VLOOKUP($A168, 'ADP Data'!$C$3:$R$300, 2, FALSE)</f>
        <v>BAL</v>
      </c>
      <c r="C168" s="11" t="str">
        <f>VLOOKUP($A168, 'ADP Data'!$C$3:$R$300, 16, FALSE)</f>
        <v>TE</v>
      </c>
      <c r="D168" s="11"/>
      <c r="E168" s="11"/>
      <c r="F168" s="11"/>
      <c r="G168" s="11"/>
      <c r="H168" s="11"/>
      <c r="I168" s="11">
        <f>VLOOKUP($A168, 'ADP Data'!$C$3:$Q$300, 13, FALSE)</f>
        <v>176</v>
      </c>
      <c r="J168" s="11">
        <f>VLOOKUP($A168, 'ADP Data'!$C$3:$Q$300, 10, FALSE)</f>
        <v>242</v>
      </c>
      <c r="K168" s="11">
        <v>156</v>
      </c>
    </row>
    <row r="169" spans="1:11" ht="14.25" customHeight="1" x14ac:dyDescent="0.25">
      <c r="A169" s="1" t="s">
        <v>920</v>
      </c>
      <c r="B169" s="11" t="str">
        <f>VLOOKUP($A169, 'ADP Data'!$C$3:$R$300, 2, FALSE)</f>
        <v>MIN</v>
      </c>
      <c r="C169" s="11" t="str">
        <f>VLOOKUP($A169, 'ADP Data'!$C$3:$R$300, 16, FALSE)</f>
        <v>WR</v>
      </c>
      <c r="D169" s="11"/>
      <c r="E169" s="11"/>
      <c r="F169" s="11" t="s">
        <v>912</v>
      </c>
      <c r="G169" s="11">
        <v>65</v>
      </c>
      <c r="H169" s="11" t="s">
        <v>1081</v>
      </c>
      <c r="I169" s="11">
        <f>VLOOKUP($A169, 'ADP Data'!$C$3:$Q$300, 13, FALSE)</f>
        <v>169</v>
      </c>
      <c r="J169" s="11">
        <f>VLOOKUP($A169, 'ADP Data'!$C$3:$Q$300, 10, FALSE)</f>
        <v>191</v>
      </c>
      <c r="K169" s="11">
        <v>174</v>
      </c>
    </row>
    <row r="170" spans="1:11" ht="14.25" customHeight="1" x14ac:dyDescent="0.25">
      <c r="A170" s="1" t="s">
        <v>298</v>
      </c>
      <c r="B170" s="11" t="str">
        <f>VLOOKUP($A170, 'ADP Data'!$C$3:$R$300, 2, FALSE)</f>
        <v>WAS</v>
      </c>
      <c r="C170" s="11" t="str">
        <f>VLOOKUP($A170, 'ADP Data'!$C$3:$R$300, 16, FALSE)</f>
        <v>RB</v>
      </c>
      <c r="D170" s="11"/>
      <c r="E170" s="11" t="s">
        <v>148</v>
      </c>
      <c r="F170" s="11" t="s">
        <v>1091</v>
      </c>
      <c r="G170" s="11">
        <v>51</v>
      </c>
      <c r="H170" s="11" t="s">
        <v>1092</v>
      </c>
      <c r="I170" s="11">
        <f>VLOOKUP($A170, 'ADP Data'!$C$3:$Q$300, 13, FALSE)</f>
        <v>99</v>
      </c>
      <c r="J170" s="11">
        <f>VLOOKUP($A170, 'ADP Data'!$C$3:$Q$300, 10, FALSE)</f>
        <v>100</v>
      </c>
      <c r="K170" s="11">
        <v>240</v>
      </c>
    </row>
    <row r="171" spans="1:11" ht="14.25" customHeight="1" x14ac:dyDescent="0.25">
      <c r="A171" s="1" t="s">
        <v>471</v>
      </c>
      <c r="B171" s="11" t="str">
        <f>VLOOKUP($A171, 'ADP Data'!$C$3:$R$300, 2, FALSE)</f>
        <v>DEN</v>
      </c>
      <c r="C171" s="11" t="str">
        <f>VLOOKUP($A171, 'ADP Data'!$C$3:$R$300, 16, FALSE)</f>
        <v>DE</v>
      </c>
      <c r="D171" s="11"/>
      <c r="E171" s="11"/>
      <c r="F171" s="11"/>
      <c r="G171" s="11"/>
      <c r="H171" s="11"/>
      <c r="I171" s="11" t="str">
        <f>VLOOKUP($A171, 'ADP Data'!$C$3:$Q$300, 13, FALSE)</f>
        <v>-</v>
      </c>
      <c r="J171" s="11">
        <f>VLOOKUP($A171, 'ADP Data'!$C$3:$Q$300, 10, FALSE)</f>
        <v>158</v>
      </c>
      <c r="K171" s="11">
        <v>163</v>
      </c>
    </row>
    <row r="172" spans="1:11" ht="14.25" customHeight="1" x14ac:dyDescent="0.25">
      <c r="A172" s="1" t="s">
        <v>536</v>
      </c>
      <c r="B172" s="11" t="str">
        <f>VLOOKUP($A172, 'ADP Data'!$C$3:$R$300, 2, FALSE)</f>
        <v>PIT</v>
      </c>
      <c r="C172" s="11" t="str">
        <f>VLOOKUP($A172, 'ADP Data'!$C$3:$R$300, 16, FALSE)</f>
        <v>TE</v>
      </c>
      <c r="D172" s="11"/>
      <c r="E172" s="11"/>
      <c r="F172" s="11"/>
      <c r="G172" s="11"/>
      <c r="H172" s="11"/>
      <c r="I172" s="11">
        <f>VLOOKUP($A172, 'ADP Data'!$C$3:$Q$300, 13, FALSE)</f>
        <v>226</v>
      </c>
      <c r="J172" s="11">
        <f>VLOOKUP($A172, 'ADP Data'!$C$3:$Q$300, 10, FALSE)</f>
        <v>228</v>
      </c>
      <c r="K172" s="11">
        <v>190</v>
      </c>
    </row>
    <row r="173" spans="1:11" ht="14.25" customHeight="1" x14ac:dyDescent="0.25">
      <c r="A173" s="1" t="s">
        <v>258</v>
      </c>
      <c r="B173" s="11" t="str">
        <f>VLOOKUP($A173, 'ADP Data'!$C$3:$R$300, 2, FALSE)</f>
        <v>CAR</v>
      </c>
      <c r="C173" s="11" t="str">
        <f>VLOOKUP($A173, 'ADP Data'!$C$3:$R$300, 16, FALSE)</f>
        <v>RB</v>
      </c>
      <c r="D173" s="11"/>
      <c r="E173" s="11"/>
      <c r="F173" s="11" t="s">
        <v>913</v>
      </c>
      <c r="G173" s="11">
        <v>55</v>
      </c>
      <c r="H173" s="11"/>
      <c r="I173" s="11">
        <f>VLOOKUP($A173, 'ADP Data'!$C$3:$Q$300, 13, FALSE)</f>
        <v>179</v>
      </c>
      <c r="J173" s="11">
        <f>VLOOKUP($A173, 'ADP Data'!$C$3:$Q$300, 10, FALSE)</f>
        <v>157</v>
      </c>
      <c r="K173" s="11">
        <v>128</v>
      </c>
    </row>
    <row r="174" spans="1:11" ht="14.25" customHeight="1" x14ac:dyDescent="0.25">
      <c r="A174" s="1" t="s">
        <v>823</v>
      </c>
      <c r="B174" s="11" t="str">
        <f>VLOOKUP($A174, 'ADP Data'!$C$3:$R$300, 2, FALSE)</f>
        <v>KC</v>
      </c>
      <c r="C174" s="11" t="str">
        <f>VLOOKUP($A174, 'ADP Data'!$C$3:$R$300, 16, FALSE)</f>
        <v>WR</v>
      </c>
      <c r="D174" s="11"/>
      <c r="E174" s="11"/>
      <c r="F174" s="11"/>
      <c r="G174" s="11"/>
      <c r="H174" s="11"/>
      <c r="I174" s="11">
        <f>VLOOKUP($A174, 'ADP Data'!$C$3:$Q$300, 13, FALSE)</f>
        <v>145</v>
      </c>
      <c r="J174" s="11">
        <f>VLOOKUP($A174, 'ADP Data'!$C$3:$Q$300, 10, FALSE)</f>
        <v>174</v>
      </c>
      <c r="K174" s="11">
        <v>203</v>
      </c>
    </row>
    <row r="175" spans="1:11" ht="14.25" customHeight="1" x14ac:dyDescent="0.25">
      <c r="A175" s="1" t="s">
        <v>504</v>
      </c>
      <c r="B175" s="11" t="str">
        <f>VLOOKUP($A175, 'ADP Data'!$C$3:$R$300, 2, FALSE)</f>
        <v>LAC</v>
      </c>
      <c r="C175" s="11" t="str">
        <f>VLOOKUP($A175, 'ADP Data'!$C$3:$R$300, 16, FALSE)</f>
        <v>WR</v>
      </c>
      <c r="D175" s="11"/>
      <c r="E175" s="11"/>
      <c r="F175" s="11" t="s">
        <v>912</v>
      </c>
      <c r="G175" s="11">
        <v>62</v>
      </c>
      <c r="H175" s="11" t="s">
        <v>1086</v>
      </c>
      <c r="I175" s="11">
        <f>VLOOKUP($A175, 'ADP Data'!$C$3:$Q$300, 13, FALSE)</f>
        <v>159</v>
      </c>
      <c r="J175" s="11">
        <f>VLOOKUP($A175, 'ADP Data'!$C$3:$Q$300, 10, FALSE)</f>
        <v>185</v>
      </c>
      <c r="K175" s="11">
        <v>170</v>
      </c>
    </row>
    <row r="176" spans="1:11" ht="14.25" customHeight="1" x14ac:dyDescent="0.25">
      <c r="A176" s="1" t="s">
        <v>960</v>
      </c>
      <c r="B176" s="11" t="str">
        <f>VLOOKUP($A176, 'ADP Data'!$C$3:$R$300, 2, FALSE)</f>
        <v>PHI</v>
      </c>
      <c r="C176" s="11" t="str">
        <f>VLOOKUP($A176, 'ADP Data'!$C$3:$R$300, 16, FALSE)</f>
        <v>RB</v>
      </c>
      <c r="D176" s="11"/>
      <c r="E176" s="11"/>
      <c r="F176" s="11" t="s">
        <v>930</v>
      </c>
      <c r="G176" s="11"/>
      <c r="H176" s="11" t="s">
        <v>1044</v>
      </c>
      <c r="I176" s="11">
        <f>VLOOKUP($A176, 'ADP Data'!$C$3:$Q$300, 13, FALSE)</f>
        <v>173</v>
      </c>
      <c r="J176" s="11">
        <f>VLOOKUP($A176, 'ADP Data'!$C$3:$Q$300, 10, FALSE)</f>
        <v>167</v>
      </c>
      <c r="K176" s="11">
        <v>177</v>
      </c>
    </row>
    <row r="177" spans="1:11" ht="14.25" customHeight="1" x14ac:dyDescent="0.25">
      <c r="A177" s="1" t="s">
        <v>487</v>
      </c>
      <c r="B177" s="11" t="str">
        <f>VLOOKUP($A177, 'ADP Data'!$C$3:$R$300, 2, FALSE)</f>
        <v>PHI</v>
      </c>
      <c r="C177" s="11" t="str">
        <f>VLOOKUP($A177, 'ADP Data'!$C$3:$R$300, 16, FALSE)</f>
        <v>DE</v>
      </c>
      <c r="D177" s="11"/>
      <c r="E177" s="11"/>
      <c r="F177" s="11"/>
      <c r="G177" s="11"/>
      <c r="H177" s="11"/>
      <c r="I177" s="11" t="str">
        <f>VLOOKUP($A177, 'ADP Data'!$C$3:$Q$300, 13, FALSE)</f>
        <v>-</v>
      </c>
      <c r="J177" s="11">
        <f>VLOOKUP($A177, 'ADP Data'!$C$3:$Q$300, 10, FALSE)</f>
        <v>165</v>
      </c>
      <c r="K177" s="11">
        <v>166</v>
      </c>
    </row>
    <row r="178" spans="1:11" ht="14.25" customHeight="1" x14ac:dyDescent="0.25">
      <c r="A178" s="1" t="s">
        <v>502</v>
      </c>
      <c r="B178" s="11" t="str">
        <f>VLOOKUP($A178, 'ADP Data'!$C$3:$R$300, 2, FALSE)</f>
        <v>BAL</v>
      </c>
      <c r="C178" s="11" t="str">
        <f>VLOOKUP($A178, 'ADP Data'!$C$3:$R$300, 16, FALSE)</f>
        <v>DE</v>
      </c>
      <c r="D178" s="11"/>
      <c r="E178" s="11"/>
      <c r="F178" s="11"/>
      <c r="G178" s="11"/>
      <c r="H178" s="11"/>
      <c r="I178" s="11" t="str">
        <f>VLOOKUP($A178, 'ADP Data'!$C$3:$Q$300, 13, FALSE)</f>
        <v>-</v>
      </c>
      <c r="J178" s="11">
        <f>VLOOKUP($A178, 'ADP Data'!$C$3:$Q$300, 10, FALSE)</f>
        <v>169</v>
      </c>
      <c r="K178" s="11">
        <v>171</v>
      </c>
    </row>
    <row r="179" spans="1:11" ht="14.25" customHeight="1" x14ac:dyDescent="0.25">
      <c r="A179" s="1" t="s">
        <v>1087</v>
      </c>
      <c r="B179" s="11" t="str">
        <f>VLOOKUP($A179, 'ADP Data'!$C$3:$R$300, 2, FALSE)</f>
        <v>NE</v>
      </c>
      <c r="C179" s="11" t="str">
        <f>VLOOKUP($A179, 'ADP Data'!$C$3:$R$300, 16, FALSE)</f>
        <v>WR</v>
      </c>
      <c r="D179" s="11"/>
      <c r="E179" s="11"/>
      <c r="F179" s="11" t="s">
        <v>854</v>
      </c>
      <c r="G179" s="11">
        <v>53</v>
      </c>
      <c r="H179" s="11" t="s">
        <v>1088</v>
      </c>
      <c r="I179" s="11">
        <f>VLOOKUP($A179, 'ADP Data'!$C$3:$Q$300, 13, FALSE)</f>
        <v>153</v>
      </c>
      <c r="J179" s="11">
        <f>VLOOKUP($A179, 'ADP Data'!$C$3:$Q$300, 10, FALSE)</f>
        <v>192</v>
      </c>
      <c r="K179" s="11">
        <v>140</v>
      </c>
    </row>
    <row r="180" spans="1:11" ht="14.25" customHeight="1" x14ac:dyDescent="0.25">
      <c r="A180" s="1" t="s">
        <v>433</v>
      </c>
      <c r="B180" s="11" t="str">
        <f>VLOOKUP($A180, 'ADP Data'!$C$3:$R$300, 2, FALSE)</f>
        <v>TEN</v>
      </c>
      <c r="C180" s="11" t="str">
        <f>VLOOKUP($A180, 'ADP Data'!$C$3:$R$300, 16, FALSE)</f>
        <v>TE</v>
      </c>
      <c r="D180" s="11"/>
      <c r="E180" s="11"/>
      <c r="F180" s="11"/>
      <c r="G180" s="11"/>
      <c r="H180" s="11"/>
      <c r="I180" s="11">
        <f>VLOOKUP($A180, 'ADP Data'!$C$3:$Q$300, 13, FALSE)</f>
        <v>166</v>
      </c>
      <c r="J180" s="11">
        <f>VLOOKUP($A180, 'ADP Data'!$C$3:$Q$300, 10, FALSE)</f>
        <v>144</v>
      </c>
      <c r="K180" s="11">
        <v>181</v>
      </c>
    </row>
    <row r="181" spans="1:11" ht="14.25" customHeight="1" x14ac:dyDescent="0.25">
      <c r="A181" s="1" t="s">
        <v>431</v>
      </c>
      <c r="B181" s="11" t="str">
        <f>VLOOKUP($A181, 'ADP Data'!$C$3:$R$300, 2, FALSE)</f>
        <v>SEA</v>
      </c>
      <c r="C181" s="11" t="str">
        <f>VLOOKUP($A181, 'ADP Data'!$C$3:$R$300, 16, FALSE)</f>
        <v>QB</v>
      </c>
      <c r="D181" s="11"/>
      <c r="E181" s="11"/>
      <c r="F181" s="11" t="s">
        <v>903</v>
      </c>
      <c r="G181" s="11"/>
      <c r="H181" s="11"/>
      <c r="I181" s="11">
        <f>VLOOKUP($A181, 'ADP Data'!$C$3:$Q$300, 13, FALSE)</f>
        <v>181</v>
      </c>
      <c r="J181" s="11">
        <f>VLOOKUP($A181, 'ADP Data'!$C$3:$Q$300, 10, FALSE)</f>
        <v>222</v>
      </c>
      <c r="K181" s="11">
        <v>224</v>
      </c>
    </row>
    <row r="182" spans="1:11" ht="14.25" customHeight="1" x14ac:dyDescent="0.25">
      <c r="A182" s="1" t="s">
        <v>642</v>
      </c>
      <c r="B182" s="11" t="str">
        <f>VLOOKUP($A182, 'ADP Data'!$C$3:$R$300, 2, FALSE)</f>
        <v>MIA</v>
      </c>
      <c r="C182" s="11" t="str">
        <f>VLOOKUP($A182, 'ADP Data'!$C$3:$R$300, 16, FALSE)</f>
        <v>TE</v>
      </c>
      <c r="D182" s="11"/>
      <c r="E182" s="11"/>
      <c r="F182" s="11"/>
      <c r="G182" s="11"/>
      <c r="H182" s="11"/>
      <c r="I182" s="11">
        <f>VLOOKUP($A182, 'ADP Data'!$C$3:$Q$300, 13, FALSE)</f>
        <v>217</v>
      </c>
      <c r="J182" s="11">
        <f>VLOOKUP($A182, 'ADP Data'!$C$3:$Q$300, 10, FALSE)</f>
        <v>225</v>
      </c>
      <c r="K182" s="11">
        <v>199</v>
      </c>
    </row>
    <row r="183" spans="1:11" ht="14.25" customHeight="1" x14ac:dyDescent="0.25">
      <c r="A183" s="1" t="s">
        <v>489</v>
      </c>
      <c r="B183" s="11" t="str">
        <f>VLOOKUP($A183, 'ADP Data'!$C$3:$R$300, 2, FALSE)</f>
        <v>PIT</v>
      </c>
      <c r="C183" s="11" t="str">
        <f>VLOOKUP($A183, 'ADP Data'!$C$3:$R$300, 16, FALSE)</f>
        <v>DE</v>
      </c>
      <c r="D183" s="11"/>
      <c r="E183" s="11"/>
      <c r="F183" s="11"/>
      <c r="G183" s="11"/>
      <c r="H183" s="11"/>
      <c r="I183" s="11" t="str">
        <f>VLOOKUP($A183, 'ADP Data'!$C$3:$Q$300, 13, FALSE)</f>
        <v>-</v>
      </c>
      <c r="J183" s="11">
        <f>VLOOKUP($A183, 'ADP Data'!$C$3:$Q$300, 10, FALSE)</f>
        <v>166</v>
      </c>
      <c r="K183" s="11">
        <v>167</v>
      </c>
    </row>
    <row r="184" spans="1:11" ht="14.25" customHeight="1" x14ac:dyDescent="0.25">
      <c r="A184" s="1" t="s">
        <v>945</v>
      </c>
      <c r="B184" s="11" t="str">
        <f>VLOOKUP($A184, 'ADP Data'!$C$3:$R$300, 2, FALSE)</f>
        <v>CHI</v>
      </c>
      <c r="C184" s="11" t="str">
        <f>VLOOKUP($A184, 'ADP Data'!$C$3:$R$300, 16, FALSE)</f>
        <v>RB</v>
      </c>
      <c r="D184" s="11"/>
      <c r="E184" s="11"/>
      <c r="F184" s="11"/>
      <c r="G184" s="11"/>
      <c r="H184" s="11"/>
      <c r="I184" s="11">
        <f>VLOOKUP($A184, 'ADP Data'!$C$3:$Q$300, 13, FALSE)</f>
        <v>219</v>
      </c>
      <c r="J184" s="11">
        <f>VLOOKUP($A184, 'ADP Data'!$C$3:$Q$300, 10, FALSE)</f>
        <v>171</v>
      </c>
      <c r="K184" s="11">
        <v>164</v>
      </c>
    </row>
    <row r="185" spans="1:11" ht="14.25" customHeight="1" x14ac:dyDescent="0.25">
      <c r="A185" s="1" t="s">
        <v>480</v>
      </c>
      <c r="B185" s="11" t="str">
        <f>VLOOKUP($A185, 'ADP Data'!$C$3:$R$300, 2, FALSE)</f>
        <v>PIT</v>
      </c>
      <c r="C185" s="11" t="str">
        <f>VLOOKUP($A185, 'ADP Data'!$C$3:$R$300, 16, FALSE)</f>
        <v>QB</v>
      </c>
      <c r="D185" s="11"/>
      <c r="E185" s="11"/>
      <c r="F185" s="11" t="s">
        <v>903</v>
      </c>
      <c r="G185" s="11"/>
      <c r="H185" s="11"/>
      <c r="I185" s="11">
        <f>VLOOKUP($A185, 'ADP Data'!$C$3:$Q$300, 13, FALSE)</f>
        <v>198</v>
      </c>
      <c r="J185" s="11">
        <f>VLOOKUP($A185, 'ADP Data'!$C$3:$Q$300, 10, FALSE)</f>
        <v>198</v>
      </c>
      <c r="K185" s="11">
        <v>200</v>
      </c>
    </row>
    <row r="186" spans="1:11" ht="14.25" customHeight="1" x14ac:dyDescent="0.25">
      <c r="A186" s="1" t="s">
        <v>532</v>
      </c>
      <c r="B186" s="11" t="str">
        <f>VLOOKUP($A186, 'ADP Data'!$C$3:$R$300, 2, FALSE)</f>
        <v>TB</v>
      </c>
      <c r="C186" s="11" t="str">
        <f>VLOOKUP($A186, 'ADP Data'!$C$3:$R$300, 16, FALSE)</f>
        <v>TE</v>
      </c>
      <c r="D186" s="11"/>
      <c r="E186" s="11"/>
      <c r="F186" s="11"/>
      <c r="G186" s="11"/>
      <c r="H186" s="11"/>
      <c r="I186" s="11">
        <f>VLOOKUP($A186, 'ADP Data'!$C$3:$Q$300, 13, FALSE)</f>
        <v>182</v>
      </c>
      <c r="J186" s="11" t="str">
        <f>VLOOKUP($A186, 'ADP Data'!$C$3:$Q$300, 10, FALSE)</f>
        <v>-</v>
      </c>
      <c r="K186" s="11">
        <v>186</v>
      </c>
    </row>
    <row r="187" spans="1:11" ht="14.25" customHeight="1" x14ac:dyDescent="0.25">
      <c r="A187" s="1" t="s">
        <v>512</v>
      </c>
      <c r="B187" s="11" t="str">
        <f>VLOOKUP($A187, 'ADP Data'!$C$3:$R$300, 2, FALSE)</f>
        <v>MIN</v>
      </c>
      <c r="C187" s="11" t="str">
        <f>VLOOKUP($A187, 'ADP Data'!$C$3:$R$300, 16, FALSE)</f>
        <v>DE</v>
      </c>
      <c r="D187" s="11"/>
      <c r="E187" s="11"/>
      <c r="F187" s="11"/>
      <c r="G187" s="11"/>
      <c r="H187" s="11"/>
      <c r="I187" s="11" t="str">
        <f>VLOOKUP($A187, 'ADP Data'!$C$3:$Q$300, 13, FALSE)</f>
        <v>-</v>
      </c>
      <c r="J187" s="11">
        <f>VLOOKUP($A187, 'ADP Data'!$C$3:$Q$300, 10, FALSE)</f>
        <v>172</v>
      </c>
      <c r="K187" s="11">
        <v>175</v>
      </c>
    </row>
    <row r="188" spans="1:11" ht="14.25" customHeight="1" x14ac:dyDescent="0.25">
      <c r="A188" s="1" t="s">
        <v>813</v>
      </c>
      <c r="B188" s="11" t="str">
        <f>VLOOKUP($A188, 'ADP Data'!$C$3:$R$300, 2, FALSE)</f>
        <v>IND</v>
      </c>
      <c r="C188" s="11" t="str">
        <f>VLOOKUP($A188, 'ADP Data'!$C$3:$R$300, 16, FALSE)</f>
        <v>QB</v>
      </c>
      <c r="D188" s="11"/>
      <c r="E188" s="11"/>
      <c r="F188" s="11" t="s">
        <v>890</v>
      </c>
      <c r="G188" s="11"/>
      <c r="H188" s="11"/>
      <c r="I188" s="11">
        <f>VLOOKUP($A188, 'ADP Data'!$C$3:$Q$300, 13, FALSE)</f>
        <v>231</v>
      </c>
      <c r="J188" s="11" t="str">
        <f>VLOOKUP($A188, 'ADP Data'!$C$3:$Q$300, 10, FALSE)</f>
        <v>-</v>
      </c>
      <c r="K188" s="11">
        <v>189</v>
      </c>
    </row>
    <row r="189" spans="1:11" ht="14.25" customHeight="1" x14ac:dyDescent="0.25">
      <c r="A189" s="1" t="s">
        <v>442</v>
      </c>
      <c r="B189" s="11" t="str">
        <f>VLOOKUP($A189, 'ADP Data'!$C$3:$R$300, 2, FALSE)</f>
        <v>TB</v>
      </c>
      <c r="C189" s="11" t="str">
        <f>VLOOKUP($A189, 'ADP Data'!$C$3:$R$300, 16, FALSE)</f>
        <v>WR</v>
      </c>
      <c r="D189" s="11"/>
      <c r="E189" s="11"/>
      <c r="F189" s="11"/>
      <c r="G189" s="11"/>
      <c r="H189" s="11" t="s">
        <v>1050</v>
      </c>
      <c r="I189" s="11">
        <f>VLOOKUP($A189, 'ADP Data'!$C$3:$Q$300, 13, FALSE)</f>
        <v>234</v>
      </c>
      <c r="J189" s="11" t="str">
        <f>VLOOKUP($A189, 'ADP Data'!$C$3:$Q$300, 10, FALSE)</f>
        <v>-</v>
      </c>
      <c r="K189" s="11">
        <v>212</v>
      </c>
    </row>
    <row r="190" spans="1:11" ht="14.25" customHeight="1" x14ac:dyDescent="0.25">
      <c r="A190" s="1" t="s">
        <v>625</v>
      </c>
      <c r="B190" s="11" t="str">
        <f>VLOOKUP($A190, 'ADP Data'!$C$3:$R$300, 2, FALSE)</f>
        <v>CIN</v>
      </c>
      <c r="C190" s="11" t="str">
        <f>VLOOKUP($A190, 'ADP Data'!$C$3:$R$300, 16, FALSE)</f>
        <v>TE</v>
      </c>
      <c r="D190" s="11"/>
      <c r="E190" s="11"/>
      <c r="F190" s="11"/>
      <c r="G190" s="11"/>
      <c r="H190" s="11"/>
      <c r="I190" s="11">
        <f>VLOOKUP($A190, 'ADP Data'!$C$3:$Q$300, 13, FALSE)</f>
        <v>194</v>
      </c>
      <c r="J190" s="11">
        <f>VLOOKUP($A190, 'ADP Data'!$C$3:$Q$300, 10, FALSE)</f>
        <v>233</v>
      </c>
      <c r="K190" s="11">
        <v>241</v>
      </c>
    </row>
    <row r="191" spans="1:11" ht="14.25" customHeight="1" x14ac:dyDescent="0.25">
      <c r="A191" s="1" t="s">
        <v>462</v>
      </c>
      <c r="B191" s="11" t="str">
        <f>VLOOKUP($A191, 'ADP Data'!$C$3:$R$300, 2, FALSE)</f>
        <v>HOU</v>
      </c>
      <c r="C191" s="11" t="str">
        <f>VLOOKUP($A191, 'ADP Data'!$C$3:$R$300, 16, FALSE)</f>
        <v>DE</v>
      </c>
      <c r="D191" s="11"/>
      <c r="E191" s="11"/>
      <c r="F191" s="11"/>
      <c r="G191" s="11"/>
      <c r="H191" s="11"/>
      <c r="I191" s="11" t="str">
        <f>VLOOKUP($A191, 'ADP Data'!$C$3:$Q$300, 13, FALSE)</f>
        <v>-</v>
      </c>
      <c r="J191" s="11">
        <f>VLOOKUP($A191, 'ADP Data'!$C$3:$Q$300, 10, FALSE)</f>
        <v>188</v>
      </c>
      <c r="K191" s="11">
        <v>185</v>
      </c>
    </row>
    <row r="192" spans="1:11" ht="14.25" customHeight="1" x14ac:dyDescent="0.25">
      <c r="A192" s="1" t="s">
        <v>270</v>
      </c>
      <c r="B192" s="11" t="str">
        <f>VLOOKUP($A192, 'ADP Data'!$C$3:$R$300, 2, FALSE)</f>
        <v>LAC</v>
      </c>
      <c r="C192" s="11" t="str">
        <f>VLOOKUP($A192, 'ADP Data'!$C$3:$R$300, 16, FALSE)</f>
        <v>WR</v>
      </c>
      <c r="D192" s="11"/>
      <c r="E192" s="11"/>
      <c r="F192" s="11"/>
      <c r="G192" s="11"/>
      <c r="H192" s="11"/>
      <c r="I192" s="11">
        <f>VLOOKUP($A192, 'ADP Data'!$C$3:$Q$300, 13, FALSE)</f>
        <v>191</v>
      </c>
      <c r="J192" s="11">
        <f>VLOOKUP($A192, 'ADP Data'!$C$3:$Q$300, 10, FALSE)</f>
        <v>236</v>
      </c>
      <c r="K192" s="11">
        <v>145</v>
      </c>
    </row>
    <row r="193" spans="1:11" ht="14.25" customHeight="1" x14ac:dyDescent="0.25">
      <c r="A193" s="1" t="s">
        <v>927</v>
      </c>
      <c r="B193" s="11" t="str">
        <f>VLOOKUP($A193, 'ADP Data'!$C$3:$R$300, 2, FALSE)</f>
        <v>CAR</v>
      </c>
      <c r="C193" s="11" t="str">
        <f>VLOOKUP($A193, 'ADP Data'!$C$3:$R$300, 16, FALSE)</f>
        <v>WR</v>
      </c>
      <c r="D193" s="11"/>
      <c r="E193" s="11"/>
      <c r="F193" s="11" t="s">
        <v>854</v>
      </c>
      <c r="G193" s="11">
        <v>54</v>
      </c>
      <c r="H193" s="11" t="s">
        <v>1048</v>
      </c>
      <c r="I193" s="11">
        <f>VLOOKUP($A193, 'ADP Data'!$C$3:$Q$300, 13, FALSE)</f>
        <v>161</v>
      </c>
      <c r="J193" s="11">
        <f>VLOOKUP($A193, 'ADP Data'!$C$3:$Q$300, 10, FALSE)</f>
        <v>170</v>
      </c>
      <c r="K193" s="11">
        <v>210</v>
      </c>
    </row>
    <row r="194" spans="1:11" ht="14.25" customHeight="1" x14ac:dyDescent="0.25">
      <c r="A194" s="1" t="s">
        <v>602</v>
      </c>
      <c r="B194" s="11" t="str">
        <f>VLOOKUP($A194, 'ADP Data'!$C$3:$R$300, 2, FALSE)</f>
        <v>BUF</v>
      </c>
      <c r="C194" s="11" t="str">
        <f>VLOOKUP($A194, 'ADP Data'!$C$3:$R$300, 16, FALSE)</f>
        <v>DE</v>
      </c>
      <c r="D194" s="11"/>
      <c r="E194" s="11"/>
      <c r="F194" s="11"/>
      <c r="G194" s="11"/>
      <c r="H194" s="11"/>
      <c r="I194" s="11" t="str">
        <f>VLOOKUP($A194, 'ADP Data'!$C$3:$Q$300, 13, FALSE)</f>
        <v>-</v>
      </c>
      <c r="J194" s="11">
        <f>VLOOKUP($A194, 'ADP Data'!$C$3:$Q$300, 10, FALSE)</f>
        <v>190</v>
      </c>
      <c r="K194" s="11">
        <v>187</v>
      </c>
    </row>
    <row r="195" spans="1:11" ht="14.25" customHeight="1" x14ac:dyDescent="0.25">
      <c r="A195" s="1" t="s">
        <v>342</v>
      </c>
      <c r="B195" s="11" t="str">
        <f>VLOOKUP($A195, 'ADP Data'!$C$3:$R$300, 2, FALSE)</f>
        <v>GB</v>
      </c>
      <c r="C195" s="11" t="str">
        <f>VLOOKUP($A195, 'ADP Data'!$C$3:$R$300, 16, FALSE)</f>
        <v>RB</v>
      </c>
      <c r="D195" s="11"/>
      <c r="E195" s="11"/>
      <c r="F195" s="11" t="s">
        <v>913</v>
      </c>
      <c r="G195" s="11">
        <v>53</v>
      </c>
      <c r="H195" s="11" t="s">
        <v>1050</v>
      </c>
      <c r="I195" s="11">
        <f>VLOOKUP($A195, 'ADP Data'!$C$3:$Q$300, 13, FALSE)</f>
        <v>304</v>
      </c>
      <c r="J195" s="11">
        <f>VLOOKUP($A195, 'ADP Data'!$C$3:$Q$300, 10, FALSE)</f>
        <v>207</v>
      </c>
      <c r="K195" s="11">
        <v>151</v>
      </c>
    </row>
    <row r="196" spans="1:11" ht="14.25" customHeight="1" x14ac:dyDescent="0.25">
      <c r="A196" s="1" t="s">
        <v>708</v>
      </c>
      <c r="B196" s="11" t="str">
        <f>VLOOKUP($A196, 'ADP Data'!$C$3:$R$300, 2, FALSE)</f>
        <v>SEA</v>
      </c>
      <c r="C196" s="11" t="str">
        <f>VLOOKUP($A196, 'ADP Data'!$C$3:$R$300, 16, FALSE)</f>
        <v>TE</v>
      </c>
      <c r="D196" s="11"/>
      <c r="E196" s="11"/>
      <c r="F196" s="11"/>
      <c r="G196" s="11"/>
      <c r="H196" s="11" t="s">
        <v>1096</v>
      </c>
      <c r="I196" s="11">
        <f>VLOOKUP($A196, 'ADP Data'!$C$3:$Q$300, 13, FALSE)</f>
        <v>213</v>
      </c>
      <c r="J196" s="11">
        <f>VLOOKUP($A196, 'ADP Data'!$C$3:$Q$300, 10, FALSE)</f>
        <v>235</v>
      </c>
      <c r="K196" s="11" t="s">
        <v>36</v>
      </c>
    </row>
    <row r="197" spans="1:11" ht="14.25" customHeight="1" x14ac:dyDescent="0.25">
      <c r="A197" s="1" t="s">
        <v>658</v>
      </c>
      <c r="B197" s="11" t="str">
        <f>VLOOKUP($A197, 'ADP Data'!$C$3:$R$300, 2, FALSE)</f>
        <v>SF</v>
      </c>
      <c r="C197" s="11" t="str">
        <f>VLOOKUP($A197, 'ADP Data'!$C$3:$R$300, 16, FALSE)</f>
        <v>DE</v>
      </c>
      <c r="D197" s="11"/>
      <c r="E197" s="11"/>
      <c r="F197" s="11"/>
      <c r="G197" s="11"/>
      <c r="H197" s="11"/>
      <c r="I197" s="11" t="str">
        <f>VLOOKUP($A197, 'ADP Data'!$C$3:$Q$300, 13, FALSE)</f>
        <v>-</v>
      </c>
      <c r="J197" s="11" t="str">
        <f>VLOOKUP($A197, 'ADP Data'!$C$3:$Q$300, 10, FALSE)</f>
        <v>-</v>
      </c>
      <c r="K197" s="11" t="s">
        <v>36</v>
      </c>
    </row>
    <row r="198" spans="1:11" ht="14.25" customHeight="1" x14ac:dyDescent="0.25">
      <c r="A198" s="1" t="s">
        <v>551</v>
      </c>
      <c r="B198" s="11" t="str">
        <f>VLOOKUP($A198, 'ADP Data'!$C$3:$R$300, 2, FALSE)</f>
        <v>KC</v>
      </c>
      <c r="C198" s="11" t="str">
        <f>VLOOKUP($A198, 'ADP Data'!$C$3:$R$300, 16, FALSE)</f>
        <v>DE</v>
      </c>
      <c r="D198" s="11"/>
      <c r="E198" s="11"/>
      <c r="F198" s="11"/>
      <c r="G198" s="11"/>
      <c r="H198" s="11"/>
      <c r="I198" s="11" t="str">
        <f>VLOOKUP($A198, 'ADP Data'!$C$3:$Q$300, 13, FALSE)</f>
        <v>-</v>
      </c>
      <c r="J198" s="11">
        <f>VLOOKUP($A198, 'ADP Data'!$C$3:$Q$300, 10, FALSE)</f>
        <v>173</v>
      </c>
      <c r="K198" s="11">
        <v>173</v>
      </c>
    </row>
    <row r="199" spans="1:11" ht="14.25" customHeight="1" x14ac:dyDescent="0.25">
      <c r="A199" s="1" t="s">
        <v>523</v>
      </c>
      <c r="B199" s="11" t="str">
        <f>VLOOKUP($A199, 'ADP Data'!$C$3:$R$300, 2, FALSE)</f>
        <v>DET</v>
      </c>
      <c r="C199" s="11" t="str">
        <f>VLOOKUP($A199, 'ADP Data'!$C$3:$R$300, 16, FALSE)</f>
        <v>DE</v>
      </c>
      <c r="D199" s="11"/>
      <c r="E199" s="11"/>
      <c r="F199" s="11"/>
      <c r="G199" s="11"/>
      <c r="H199" s="11"/>
      <c r="I199" s="11" t="str">
        <f>VLOOKUP($A199, 'ADP Data'!$C$3:$Q$300, 13, FALSE)</f>
        <v>-</v>
      </c>
      <c r="J199" s="11">
        <f>VLOOKUP($A199, 'ADP Data'!$C$3:$Q$300, 10, FALSE)</f>
        <v>186</v>
      </c>
      <c r="K199" s="11">
        <v>183</v>
      </c>
    </row>
    <row r="200" spans="1:11" ht="14.25" customHeight="1" x14ac:dyDescent="0.25">
      <c r="A200" s="1" t="s">
        <v>967</v>
      </c>
      <c r="B200" s="11" t="str">
        <f>VLOOKUP($A200, 'ADP Data'!$C$3:$R$300, 2, FALSE)</f>
        <v>CAR</v>
      </c>
      <c r="C200" s="11" t="str">
        <f>VLOOKUP($A200, 'ADP Data'!$C$3:$R$300, 16, FALSE)</f>
        <v>TE</v>
      </c>
      <c r="D200" s="11"/>
      <c r="E200" s="11"/>
      <c r="F200" s="11"/>
      <c r="G200" s="11"/>
      <c r="H200" s="11"/>
      <c r="I200" s="11">
        <f>VLOOKUP($A200, 'ADP Data'!$C$3:$Q$300, 13, FALSE)</f>
        <v>193</v>
      </c>
      <c r="J200" s="11">
        <f>VLOOKUP($A200, 'ADP Data'!$C$3:$Q$300, 10, FALSE)</f>
        <v>231</v>
      </c>
      <c r="K200" s="11">
        <v>238</v>
      </c>
    </row>
    <row r="201" spans="1:11" ht="14.25" customHeight="1" x14ac:dyDescent="0.25">
      <c r="A201" s="1" t="s">
        <v>278</v>
      </c>
      <c r="B201" s="11" t="str">
        <f>VLOOKUP($A201, 'ADP Data'!$C$3:$R$300, 2, FALSE)</f>
        <v>LAR</v>
      </c>
      <c r="C201" s="11" t="str">
        <f>VLOOKUP($A201, 'ADP Data'!$C$3:$R$300, 16, FALSE)</f>
        <v>RB</v>
      </c>
      <c r="D201" s="11"/>
      <c r="E201" s="11"/>
      <c r="F201" s="11"/>
      <c r="G201" s="11"/>
      <c r="H201" s="11" t="s">
        <v>1050</v>
      </c>
      <c r="I201" s="11">
        <f>VLOOKUP($A201, 'ADP Data'!$C$3:$Q$300, 13, FALSE)</f>
        <v>210</v>
      </c>
      <c r="J201" s="11">
        <f>VLOOKUP($A201, 'ADP Data'!$C$3:$Q$300, 10, FALSE)</f>
        <v>179</v>
      </c>
      <c r="K201" s="11">
        <v>158</v>
      </c>
    </row>
    <row r="202" spans="1:11" ht="14.25" customHeight="1" x14ac:dyDescent="0.25">
      <c r="A202" s="1" t="s">
        <v>656</v>
      </c>
      <c r="B202" s="11" t="str">
        <f>VLOOKUP($A202, 'ADP Data'!$C$3:$R$300, 2, FALSE)</f>
        <v>NYJ</v>
      </c>
      <c r="C202" s="11" t="str">
        <f>VLOOKUP($A202, 'ADP Data'!$C$3:$R$300, 16, FALSE)</f>
        <v>TE</v>
      </c>
      <c r="D202" s="11"/>
      <c r="E202" s="11"/>
      <c r="F202" s="11"/>
      <c r="G202" s="11"/>
      <c r="H202" s="11" t="s">
        <v>1094</v>
      </c>
      <c r="I202" s="11">
        <f>VLOOKUP($A202, 'ADP Data'!$C$3:$Q$300, 13, FALSE)</f>
        <v>184</v>
      </c>
      <c r="J202" s="11">
        <f>VLOOKUP($A202, 'ADP Data'!$C$3:$Q$300, 10, FALSE)</f>
        <v>219</v>
      </c>
      <c r="K202" s="11">
        <v>247</v>
      </c>
    </row>
    <row r="203" spans="1:11" ht="14.25" customHeight="1" x14ac:dyDescent="0.25">
      <c r="A203" s="1" t="s">
        <v>476</v>
      </c>
      <c r="B203" s="11" t="str">
        <f>VLOOKUP($A203, 'ADP Data'!$C$3:$R$300, 2, FALSE)</f>
        <v>SEA</v>
      </c>
      <c r="C203" s="11" t="str">
        <f>VLOOKUP($A203, 'ADP Data'!$C$3:$R$300, 16, FALSE)</f>
        <v>DE</v>
      </c>
      <c r="D203" s="11"/>
      <c r="E203" s="11"/>
      <c r="F203" s="11"/>
      <c r="G203" s="11"/>
      <c r="H203" s="11"/>
      <c r="I203" s="11" t="str">
        <f>VLOOKUP($A203, 'ADP Data'!$C$3:$Q$300, 13, FALSE)</f>
        <v>-</v>
      </c>
      <c r="J203" s="11">
        <f>VLOOKUP($A203, 'ADP Data'!$C$3:$Q$300, 10, FALSE)</f>
        <v>197</v>
      </c>
      <c r="K203" s="11">
        <v>196</v>
      </c>
    </row>
    <row r="204" spans="1:11" ht="14.25" customHeight="1" x14ac:dyDescent="0.25">
      <c r="A204" s="1" t="s">
        <v>519</v>
      </c>
      <c r="B204" s="11" t="str">
        <f>VLOOKUP($A204, 'ADP Data'!$C$3:$R$300, 2, FALSE)</f>
        <v>LAC</v>
      </c>
      <c r="C204" s="11" t="str">
        <f>VLOOKUP($A204, 'ADP Data'!$C$3:$R$300, 16, FALSE)</f>
        <v>DE</v>
      </c>
      <c r="D204" s="11"/>
      <c r="E204" s="11"/>
      <c r="F204" s="11"/>
      <c r="G204" s="11"/>
      <c r="H204" s="11"/>
      <c r="I204" s="11" t="str">
        <f>VLOOKUP($A204, 'ADP Data'!$C$3:$Q$300, 13, FALSE)</f>
        <v>-</v>
      </c>
      <c r="J204" s="11">
        <f>VLOOKUP($A204, 'ADP Data'!$C$3:$Q$300, 10, FALSE)</f>
        <v>187</v>
      </c>
      <c r="K204" s="11">
        <v>184</v>
      </c>
    </row>
    <row r="205" spans="1:11" ht="14.25" customHeight="1" x14ac:dyDescent="0.25">
      <c r="A205" s="1" t="s">
        <v>495</v>
      </c>
      <c r="B205" s="11" t="str">
        <f>VLOOKUP($A205, 'ADP Data'!$C$3:$R$300, 2, FALSE)</f>
        <v>IND</v>
      </c>
      <c r="C205" s="11" t="str">
        <f>VLOOKUP($A205, 'ADP Data'!$C$3:$R$300, 16, FALSE)</f>
        <v>WR</v>
      </c>
      <c r="D205" s="11"/>
      <c r="E205" s="11"/>
      <c r="F205" s="11"/>
      <c r="G205" s="11"/>
      <c r="H205" s="11" t="s">
        <v>1053</v>
      </c>
      <c r="I205" s="11">
        <f>VLOOKUP($A205, 'ADP Data'!$C$3:$Q$300, 13, FALSE)</f>
        <v>215</v>
      </c>
      <c r="J205" s="11">
        <f>VLOOKUP($A205, 'ADP Data'!$C$3:$Q$300, 10, FALSE)</f>
        <v>247</v>
      </c>
      <c r="K205" s="11">
        <v>168</v>
      </c>
    </row>
    <row r="206" spans="1:11" ht="14.25" customHeight="1" x14ac:dyDescent="0.25">
      <c r="A206" s="1" t="s">
        <v>682</v>
      </c>
      <c r="B206" s="11" t="str">
        <f>VLOOKUP($A206, 'ADP Data'!$C$3:$R$300, 2, FALSE)</f>
        <v>KC</v>
      </c>
      <c r="C206" s="11" t="str">
        <f>VLOOKUP($A206, 'ADP Data'!$C$3:$R$300, 16, FALSE)</f>
        <v>RB</v>
      </c>
      <c r="D206" s="11"/>
      <c r="E206" s="11"/>
      <c r="F206" s="11"/>
      <c r="G206" s="11"/>
      <c r="H206" s="11"/>
      <c r="I206" s="11">
        <f>VLOOKUP($A206, 'ADP Data'!$C$3:$Q$300, 13, FALSE)</f>
        <v>209</v>
      </c>
      <c r="J206" s="11" t="str">
        <f>VLOOKUP($A206, 'ADP Data'!$C$3:$Q$300, 10, FALSE)</f>
        <v>-</v>
      </c>
      <c r="K206" s="11">
        <v>231</v>
      </c>
    </row>
    <row r="207" spans="1:11" ht="14.25" customHeight="1" x14ac:dyDescent="0.25">
      <c r="A207" s="1" t="s">
        <v>953</v>
      </c>
      <c r="B207" s="11" t="str">
        <f>VLOOKUP($A207, 'ADP Data'!$C$3:$R$300, 2, FALSE)</f>
        <v>PIT</v>
      </c>
      <c r="C207" s="11" t="str">
        <f>VLOOKUP($A207, 'ADP Data'!$C$3:$R$300, 16, FALSE)</f>
        <v>WR</v>
      </c>
      <c r="D207" s="11"/>
      <c r="E207" s="11"/>
      <c r="F207" s="11"/>
      <c r="G207" s="11"/>
      <c r="H207" s="11"/>
      <c r="I207" s="11">
        <f>VLOOKUP($A207, 'ADP Data'!$C$3:$Q$300, 13, FALSE)</f>
        <v>220</v>
      </c>
      <c r="J207" s="11">
        <f>VLOOKUP($A207, 'ADP Data'!$C$3:$Q$300, 10, FALSE)</f>
        <v>237</v>
      </c>
      <c r="K207" s="11" t="e">
        <v>#N/A</v>
      </c>
    </row>
    <row r="208" spans="1:11" ht="14.25" customHeight="1" x14ac:dyDescent="0.25">
      <c r="A208" s="1" t="s">
        <v>901</v>
      </c>
      <c r="B208" s="11" t="str">
        <f>VLOOKUP($A208, 'ADP Data'!$C$3:$R$300, 2, FALSE)</f>
        <v>BAL</v>
      </c>
      <c r="C208" s="11" t="str">
        <f>VLOOKUP($A208, 'ADP Data'!$C$3:$R$300, 16, FALSE)</f>
        <v>WR</v>
      </c>
      <c r="D208" s="11"/>
      <c r="E208" s="11"/>
      <c r="F208" s="11"/>
      <c r="G208" s="11"/>
      <c r="H208" s="11"/>
      <c r="I208" s="11">
        <f>VLOOKUP($A208, 'ADP Data'!$C$3:$Q$300, 13, FALSE)</f>
        <v>206</v>
      </c>
      <c r="J208" s="11">
        <f>VLOOKUP($A208, 'ADP Data'!$C$3:$Q$300, 10, FALSE)</f>
        <v>243</v>
      </c>
      <c r="K208" s="11">
        <v>229</v>
      </c>
    </row>
    <row r="209" spans="1:11" ht="14.25" customHeight="1" x14ac:dyDescent="0.25">
      <c r="A209" s="1" t="s">
        <v>547</v>
      </c>
      <c r="B209" s="11" t="str">
        <f>VLOOKUP($A209, 'ADP Data'!$C$3:$R$300, 2, FALSE)</f>
        <v>GB</v>
      </c>
      <c r="C209" s="11" t="str">
        <f>VLOOKUP($A209, 'ADP Data'!$C$3:$R$300, 16, FALSE)</f>
        <v>DE</v>
      </c>
      <c r="D209" s="11"/>
      <c r="E209" s="11"/>
      <c r="F209" s="11"/>
      <c r="G209" s="11"/>
      <c r="H209" s="11"/>
      <c r="I209" s="11" t="str">
        <f>VLOOKUP($A209, 'ADP Data'!$C$3:$Q$300, 13, FALSE)</f>
        <v>-</v>
      </c>
      <c r="J209" s="11">
        <f>VLOOKUP($A209, 'ADP Data'!$C$3:$Q$300, 10, FALSE)</f>
        <v>220</v>
      </c>
      <c r="K209" s="11">
        <v>220</v>
      </c>
    </row>
    <row r="210" spans="1:11" ht="14.25" customHeight="1" x14ac:dyDescent="0.25">
      <c r="A210" s="1" t="s">
        <v>1093</v>
      </c>
      <c r="B210" s="11" t="str">
        <f>VLOOKUP($A210, 'ADP Data'!$C$3:$R$300, 2, FALSE)</f>
        <v>KC</v>
      </c>
      <c r="C210" s="11" t="str">
        <f>VLOOKUP($A210, 'ADP Data'!$C$3:$R$300, 16, FALSE)</f>
        <v>WR</v>
      </c>
      <c r="D210" s="11"/>
      <c r="E210" s="11"/>
      <c r="F210" s="11"/>
      <c r="G210" s="11"/>
      <c r="H210" s="11"/>
      <c r="I210" s="11">
        <f>VLOOKUP($A210, 'ADP Data'!$C$3:$Q$300, 13, FALSE)</f>
        <v>239</v>
      </c>
      <c r="J210" s="11">
        <f>VLOOKUP($A210, 'ADP Data'!$C$3:$Q$300, 10, FALSE)</f>
        <v>213</v>
      </c>
      <c r="K210" s="11">
        <v>169</v>
      </c>
    </row>
    <row r="211" spans="1:11" ht="14.25" customHeight="1" x14ac:dyDescent="0.25">
      <c r="A211" s="1" t="s">
        <v>805</v>
      </c>
      <c r="B211" s="11" t="str">
        <f>VLOOKUP($A211, 'ADP Data'!$C$3:$R$300, 2, FALSE)</f>
        <v>IND</v>
      </c>
      <c r="C211" s="11" t="str">
        <f>VLOOKUP($A211, 'ADP Data'!$C$3:$R$300, 16, FALSE)</f>
        <v>RB</v>
      </c>
      <c r="D211" s="11"/>
      <c r="E211" s="11"/>
      <c r="F211" s="11" t="s">
        <v>930</v>
      </c>
      <c r="G211" s="11"/>
      <c r="H211" s="11" t="s">
        <v>1055</v>
      </c>
      <c r="I211" s="11">
        <f>VLOOKUP($A211, 'ADP Data'!$C$3:$Q$300, 13, FALSE)</f>
        <v>189</v>
      </c>
      <c r="J211" s="11">
        <f>VLOOKUP($A211, 'ADP Data'!$C$3:$Q$300, 10, FALSE)</f>
        <v>202</v>
      </c>
      <c r="K211" s="11">
        <v>223</v>
      </c>
    </row>
    <row r="212" spans="1:11" ht="14.25" customHeight="1" x14ac:dyDescent="0.25">
      <c r="A212" s="1" t="s">
        <v>405</v>
      </c>
      <c r="B212" s="11" t="str">
        <f>VLOOKUP($A212, 'ADP Data'!$C$3:$R$300, 2, FALSE)</f>
        <v>HOU</v>
      </c>
      <c r="C212" s="11" t="str">
        <f>VLOOKUP($A212, 'ADP Data'!$C$3:$R$300, 16, FALSE)</f>
        <v>TE</v>
      </c>
      <c r="D212" s="11"/>
      <c r="E212" s="11"/>
      <c r="F212" s="11"/>
      <c r="G212" s="11"/>
      <c r="H212" s="11"/>
      <c r="I212" s="11">
        <f>VLOOKUP($A212, 'ADP Data'!$C$3:$Q$300, 13, FALSE)</f>
        <v>223</v>
      </c>
      <c r="J212" s="11">
        <f>VLOOKUP($A212, 'ADP Data'!$C$3:$Q$300, 10, FALSE)</f>
        <v>230</v>
      </c>
      <c r="K212" s="11" t="s">
        <v>36</v>
      </c>
    </row>
    <row r="213" spans="1:11" ht="14.25" customHeight="1" x14ac:dyDescent="0.25">
      <c r="A213" s="1" t="s">
        <v>949</v>
      </c>
      <c r="B213" s="11" t="str">
        <f>VLOOKUP($A213, 'ADP Data'!$C$3:$R$300, 2, FALSE)</f>
        <v>NYG</v>
      </c>
      <c r="C213" s="11" t="str">
        <f>VLOOKUP($A213, 'ADP Data'!$C$3:$R$300, 16, FALSE)</f>
        <v>QB</v>
      </c>
      <c r="D213" s="11"/>
      <c r="E213" s="11"/>
      <c r="F213" s="11"/>
      <c r="G213" s="11"/>
      <c r="H213" s="11"/>
      <c r="I213" s="11">
        <f>VLOOKUP($A213, 'ADP Data'!$C$3:$Q$300, 13, FALSE)</f>
        <v>232</v>
      </c>
      <c r="J213" s="11" t="str">
        <f>VLOOKUP($A213, 'ADP Data'!$C$3:$Q$300, 10, FALSE)</f>
        <v>-</v>
      </c>
      <c r="K213" s="11" t="s">
        <v>36</v>
      </c>
    </row>
    <row r="214" spans="1:11" ht="14.25" customHeight="1" x14ac:dyDescent="0.25">
      <c r="A214" s="1" t="s">
        <v>994</v>
      </c>
      <c r="B214" s="11" t="str">
        <f>VLOOKUP($A214, 'ADP Data'!$C$3:$R$300, 2, FALSE)</f>
        <v>LAR</v>
      </c>
      <c r="C214" s="11" t="str">
        <f>VLOOKUP($A214, 'ADP Data'!$C$3:$R$300, 16, FALSE)</f>
        <v>TE</v>
      </c>
      <c r="D214" s="11"/>
      <c r="E214" s="11"/>
      <c r="F214" s="11"/>
      <c r="G214" s="11"/>
      <c r="H214" s="11"/>
      <c r="I214" s="11">
        <f>VLOOKUP($A214, 'ADP Data'!$C$3:$Q$300, 13, FALSE)</f>
        <v>242</v>
      </c>
      <c r="J214" s="11" t="str">
        <f>VLOOKUP($A214, 'ADP Data'!$C$3:$Q$300, 10, FALSE)</f>
        <v>-</v>
      </c>
      <c r="K214" s="11">
        <v>211</v>
      </c>
    </row>
    <row r="215" spans="1:11" ht="14.25" customHeight="1" x14ac:dyDescent="0.25">
      <c r="A215" s="1" t="s">
        <v>970</v>
      </c>
      <c r="B215" s="11" t="str">
        <f>VLOOKUP($A215, 'ADP Data'!$C$3:$R$300, 2, FALSE)</f>
        <v>DAL</v>
      </c>
      <c r="C215" s="11" t="str">
        <f>VLOOKUP($A215, 'ADP Data'!$C$3:$R$300, 16, FALSE)</f>
        <v>RB</v>
      </c>
      <c r="D215" s="11"/>
      <c r="E215" s="11"/>
      <c r="F215" s="11"/>
      <c r="G215" s="11"/>
      <c r="H215" s="11"/>
      <c r="I215" s="11">
        <f>VLOOKUP($A215, 'ADP Data'!$C$3:$Q$300, 13, FALSE)</f>
        <v>245</v>
      </c>
      <c r="J215" s="11">
        <f>VLOOKUP($A215, 'ADP Data'!$C$3:$Q$300, 10, FALSE)</f>
        <v>215</v>
      </c>
      <c r="K215" s="11">
        <v>232</v>
      </c>
    </row>
    <row r="216" spans="1:11" ht="14.25" customHeight="1" x14ac:dyDescent="0.25">
      <c r="A216" s="1" t="s">
        <v>469</v>
      </c>
      <c r="B216" s="11" t="str">
        <f>VLOOKUP($A216, 'ADP Data'!$C$3:$R$300, 2, FALSE)</f>
        <v>LAR</v>
      </c>
      <c r="C216" s="11" t="str">
        <f>VLOOKUP($A216, 'ADP Data'!$C$3:$R$300, 16, FALSE)</f>
        <v>DE</v>
      </c>
      <c r="D216" s="11"/>
      <c r="E216" s="11"/>
      <c r="F216" s="11"/>
      <c r="G216" s="11"/>
      <c r="H216" s="11"/>
      <c r="I216" s="11" t="str">
        <f>VLOOKUP($A216, 'ADP Data'!$C$3:$Q$300, 13, FALSE)</f>
        <v>-</v>
      </c>
      <c r="J216" s="11">
        <f>VLOOKUP($A216, 'ADP Data'!$C$3:$Q$300, 10, FALSE)</f>
        <v>212</v>
      </c>
      <c r="K216" s="11">
        <v>214</v>
      </c>
    </row>
    <row r="217" spans="1:11" ht="14.25" customHeight="1" x14ac:dyDescent="0.25">
      <c r="A217" s="1" t="s">
        <v>662</v>
      </c>
      <c r="B217" s="11" t="str">
        <f>VLOOKUP($A217, 'ADP Data'!$C$3:$R$300, 2, FALSE)</f>
        <v>NO</v>
      </c>
      <c r="C217" s="11" t="str">
        <f>VLOOKUP($A217, 'ADP Data'!$C$3:$R$300, 16, FALSE)</f>
        <v>RB</v>
      </c>
      <c r="D217" s="11"/>
      <c r="E217" s="11"/>
      <c r="F217" s="11"/>
      <c r="G217" s="11"/>
      <c r="H217" s="11"/>
      <c r="I217" s="11">
        <f>VLOOKUP($A217, 'ADP Data'!$C$3:$Q$300, 13, FALSE)</f>
        <v>205</v>
      </c>
      <c r="J217" s="11">
        <f>VLOOKUP($A217, 'ADP Data'!$C$3:$Q$300, 10, FALSE)</f>
        <v>227</v>
      </c>
      <c r="K217" s="11">
        <v>205</v>
      </c>
    </row>
    <row r="218" spans="1:11" ht="14.25" customHeight="1" x14ac:dyDescent="0.25">
      <c r="A218" s="1" t="s">
        <v>300</v>
      </c>
      <c r="B218" s="11" t="str">
        <f>VLOOKUP($A218, 'ADP Data'!$C$3:$R$300, 2, FALSE)</f>
        <v>NYG</v>
      </c>
      <c r="C218" s="11" t="str">
        <f>VLOOKUP($A218, 'ADP Data'!$C$3:$R$300, 16, FALSE)</f>
        <v>QB</v>
      </c>
      <c r="D218" s="11"/>
      <c r="E218" s="11"/>
      <c r="F218" s="11"/>
      <c r="G218" s="11"/>
      <c r="H218" s="11"/>
      <c r="I218" s="11">
        <f>VLOOKUP($A218, 'ADP Data'!$C$3:$Q$300, 13, FALSE)</f>
        <v>202</v>
      </c>
      <c r="J218" s="11" t="str">
        <f>VLOOKUP($A218, 'ADP Data'!$C$3:$Q$300, 10, FALSE)</f>
        <v>-</v>
      </c>
      <c r="K218" s="11" t="s">
        <v>36</v>
      </c>
    </row>
    <row r="219" spans="1:11" ht="14.25" customHeight="1" x14ac:dyDescent="0.25">
      <c r="A219" s="1" t="s">
        <v>384</v>
      </c>
      <c r="B219" s="11" t="str">
        <f>VLOOKUP($A219, 'ADP Data'!$C$3:$R$300, 2, FALSE)</f>
        <v>BAL</v>
      </c>
      <c r="C219" s="11" t="str">
        <f>VLOOKUP($A219, 'ADP Data'!$C$3:$R$300, 16, FALSE)</f>
        <v>RB</v>
      </c>
      <c r="D219" s="11"/>
      <c r="E219" s="11" t="s">
        <v>148</v>
      </c>
      <c r="F219" s="11" t="s">
        <v>913</v>
      </c>
      <c r="G219" s="11">
        <v>52</v>
      </c>
      <c r="H219" s="11" t="s">
        <v>1097</v>
      </c>
      <c r="I219" s="11">
        <f>VLOOKUP($A219, 'ADP Data'!$C$3:$Q$300, 13, FALSE)</f>
        <v>183</v>
      </c>
      <c r="J219" s="11">
        <f>VLOOKUP($A219, 'ADP Data'!$C$3:$Q$300, 10, FALSE)</f>
        <v>205</v>
      </c>
      <c r="K219" s="11" t="s">
        <v>36</v>
      </c>
    </row>
    <row r="220" spans="1:11" ht="14.25" customHeight="1" x14ac:dyDescent="0.25">
      <c r="A220" s="1" t="s">
        <v>914</v>
      </c>
      <c r="B220" s="11" t="str">
        <f>VLOOKUP($A220, 'ADP Data'!$C$3:$R$300, 2, FALSE)</f>
        <v>NYJ</v>
      </c>
      <c r="C220" s="11" t="str">
        <f>VLOOKUP($A220, 'ADP Data'!$C$3:$R$300, 16, FALSE)</f>
        <v>DE</v>
      </c>
      <c r="D220" s="11"/>
      <c r="E220" s="11"/>
      <c r="F220" s="11"/>
      <c r="G220" s="11"/>
      <c r="H220" s="11"/>
      <c r="I220" s="11" t="str">
        <f>VLOOKUP($A220, 'ADP Data'!$C$3:$Q$300, 13, FALSE)</f>
        <v>-</v>
      </c>
      <c r="J220" s="11">
        <f>VLOOKUP($A220, 'ADP Data'!$C$3:$Q$300, 10, FALSE)</f>
        <v>194</v>
      </c>
      <c r="K220" s="11">
        <v>194</v>
      </c>
    </row>
    <row r="221" spans="1:11" ht="14.25" customHeight="1" x14ac:dyDescent="0.25">
      <c r="A221" s="1" t="s">
        <v>576</v>
      </c>
      <c r="B221" s="11" t="str">
        <f>VLOOKUP($A221, 'ADP Data'!$C$3:$R$300, 2, FALSE)</f>
        <v>DEN</v>
      </c>
      <c r="C221" s="11" t="str">
        <f>VLOOKUP($A221, 'ADP Data'!$C$3:$R$300, 16, FALSE)</f>
        <v>WR</v>
      </c>
      <c r="D221" s="11"/>
      <c r="E221" s="11"/>
      <c r="F221" s="11"/>
      <c r="G221" s="11"/>
      <c r="H221" s="11" t="s">
        <v>1095</v>
      </c>
      <c r="I221" s="11">
        <f>VLOOKUP($A221, 'ADP Data'!$C$3:$Q$300, 13, FALSE)</f>
        <v>178</v>
      </c>
      <c r="J221" s="11">
        <f>VLOOKUP($A221, 'ADP Data'!$C$3:$Q$300, 10, FALSE)</f>
        <v>208</v>
      </c>
      <c r="K221" s="11">
        <v>221</v>
      </c>
    </row>
    <row r="222" spans="1:11" ht="14.25" customHeight="1" x14ac:dyDescent="0.25">
      <c r="A222" s="1" t="s">
        <v>566</v>
      </c>
      <c r="B222" s="11" t="str">
        <f>VLOOKUP($A222, 'ADP Data'!$C$3:$R$300, 2, FALSE)</f>
        <v>DAL</v>
      </c>
      <c r="C222" s="11" t="str">
        <f>VLOOKUP($A222, 'ADP Data'!$C$3:$R$300, 16, FALSE)</f>
        <v>DE</v>
      </c>
      <c r="D222" s="11"/>
      <c r="E222" s="11"/>
      <c r="F222" s="11"/>
      <c r="G222" s="11"/>
      <c r="H222" s="11"/>
      <c r="I222" s="11" t="str">
        <f>VLOOKUP($A222, 'ADP Data'!$C$3:$Q$300, 13, FALSE)</f>
        <v>-</v>
      </c>
      <c r="J222" s="11">
        <f>VLOOKUP($A222, 'ADP Data'!$C$3:$Q$300, 10, FALSE)</f>
        <v>240</v>
      </c>
      <c r="K222" s="11">
        <v>246</v>
      </c>
    </row>
    <row r="223" spans="1:11" ht="14.25" customHeight="1" x14ac:dyDescent="0.25">
      <c r="A223" s="1" t="s">
        <v>286</v>
      </c>
      <c r="B223" s="11" t="str">
        <f>VLOOKUP($A223, 'ADP Data'!$C$3:$R$300, 2, FALSE)</f>
        <v>IND</v>
      </c>
      <c r="C223" s="11" t="str">
        <f>VLOOKUP($A223, 'ADP Data'!$C$3:$R$300, 16, FALSE)</f>
        <v>WR</v>
      </c>
      <c r="D223" s="11"/>
      <c r="E223" s="11"/>
      <c r="F223" s="11"/>
      <c r="G223" s="11"/>
      <c r="H223" s="11"/>
      <c r="I223" s="11">
        <f>VLOOKUP($A223, 'ADP Data'!$C$3:$Q$300, 13, FALSE)</f>
        <v>204</v>
      </c>
      <c r="J223" s="11">
        <f>VLOOKUP($A223, 'ADP Data'!$C$3:$Q$300, 10, FALSE)</f>
        <v>210</v>
      </c>
      <c r="K223" s="11" t="s">
        <v>36</v>
      </c>
    </row>
    <row r="224" spans="1:11" ht="14.25" customHeight="1" x14ac:dyDescent="0.25">
      <c r="A224" s="1" t="s">
        <v>1098</v>
      </c>
      <c r="B224" s="11" t="str">
        <f>VLOOKUP($A224, 'ADP Data'!$C$3:$R$300, 2, FALSE)</f>
        <v>JAX</v>
      </c>
      <c r="C224" s="11" t="str">
        <f>VLOOKUP($A224, 'ADP Data'!$C$3:$R$300, 16, FALSE)</f>
        <v>WR</v>
      </c>
      <c r="D224" s="11"/>
      <c r="E224" s="11"/>
      <c r="F224" s="11"/>
      <c r="G224" s="11"/>
      <c r="H224" s="11"/>
      <c r="I224" s="11">
        <f>VLOOKUP($A224, 'ADP Data'!$C$3:$Q$300, 13, FALSE)</f>
        <v>197</v>
      </c>
      <c r="J224" s="11" t="str">
        <f>VLOOKUP($A224, 'ADP Data'!$C$3:$Q$300, 10, FALSE)</f>
        <v>-</v>
      </c>
      <c r="K224" s="11">
        <v>244</v>
      </c>
    </row>
    <row r="225" spans="1:11" ht="14.25" customHeight="1" x14ac:dyDescent="0.25">
      <c r="A225" s="1" t="s">
        <v>268</v>
      </c>
      <c r="B225" s="11" t="str">
        <f>VLOOKUP($A225, 'ADP Data'!$C$3:$R$300, 2, FALSE)</f>
        <v>ARI</v>
      </c>
      <c r="C225" s="11" t="str">
        <f>VLOOKUP($A225, 'ADP Data'!$C$3:$R$300, 16, FALSE)</f>
        <v>WR</v>
      </c>
      <c r="D225" s="11"/>
      <c r="E225" s="11"/>
      <c r="F225" s="11"/>
      <c r="G225" s="11"/>
      <c r="H225" s="11"/>
      <c r="I225" s="11">
        <f>VLOOKUP($A225, 'ADP Data'!$C$3:$Q$300, 13, FALSE)</f>
        <v>195</v>
      </c>
      <c r="J225" s="11">
        <f>VLOOKUP($A225, 'ADP Data'!$C$3:$Q$300, 10, FALSE)</f>
        <v>241</v>
      </c>
      <c r="K225" s="11">
        <v>206</v>
      </c>
    </row>
    <row r="226" spans="1:11" ht="14.25" customHeight="1" x14ac:dyDescent="0.25">
      <c r="A226" s="1" t="s">
        <v>824</v>
      </c>
      <c r="B226" s="11" t="str">
        <f>VLOOKUP($A226, 'ADP Data'!$C$3:$R$300, 2, FALSE)</f>
        <v>NYG</v>
      </c>
      <c r="C226" s="11" t="str">
        <f>VLOOKUP($A226, 'ADP Data'!$C$3:$R$300, 16, FALSE)</f>
        <v>TE</v>
      </c>
      <c r="D226" s="11"/>
      <c r="E226" s="11"/>
      <c r="F226" s="11"/>
      <c r="G226" s="11"/>
      <c r="H226" s="11"/>
      <c r="I226" s="11">
        <f>VLOOKUP($A226, 'ADP Data'!$C$3:$Q$300, 13, FALSE)</f>
        <v>203</v>
      </c>
      <c r="J226" s="11">
        <f>VLOOKUP($A226, 'ADP Data'!$C$3:$Q$300, 10, FALSE)</f>
        <v>200</v>
      </c>
      <c r="K226" s="11" t="s">
        <v>36</v>
      </c>
    </row>
    <row r="227" spans="1:11" ht="14.25" customHeight="1" x14ac:dyDescent="0.25">
      <c r="A227" s="1" t="s">
        <v>896</v>
      </c>
      <c r="B227" s="11" t="str">
        <f>VLOOKUP($A227, 'ADP Data'!$C$3:$R$300, 2, FALSE)</f>
        <v>LV</v>
      </c>
      <c r="C227" s="11" t="str">
        <f>VLOOKUP($A227, 'ADP Data'!$C$3:$R$300, 16, FALSE)</f>
        <v>RB</v>
      </c>
      <c r="D227" s="11"/>
      <c r="E227" s="11"/>
      <c r="F227" s="11"/>
      <c r="G227" s="11"/>
      <c r="H227" s="11"/>
      <c r="I227" s="11">
        <f>VLOOKUP($A227, 'ADP Data'!$C$3:$Q$300, 13, FALSE)</f>
        <v>252</v>
      </c>
      <c r="J227" s="11" t="str">
        <f>VLOOKUP($A227, 'ADP Data'!$C$3:$Q$300, 10, FALSE)</f>
        <v>-</v>
      </c>
      <c r="K227" s="11" t="s">
        <v>36</v>
      </c>
    </row>
    <row r="228" spans="1:11" ht="14.25" customHeight="1" x14ac:dyDescent="0.25">
      <c r="A228" s="1" t="s">
        <v>1099</v>
      </c>
      <c r="B228" s="11" t="str">
        <f>VLOOKUP($A228, 'ADP Data'!$C$3:$R$300, 2, FALSE)</f>
        <v>LV</v>
      </c>
      <c r="C228" s="11" t="str">
        <f>VLOOKUP($A228, 'ADP Data'!$C$3:$R$300, 16, FALSE)</f>
        <v>WR</v>
      </c>
      <c r="D228" s="11"/>
      <c r="E228" s="11" t="s">
        <v>148</v>
      </c>
      <c r="F228" s="11" t="s">
        <v>1100</v>
      </c>
      <c r="G228" s="11"/>
      <c r="H228" s="11" t="s">
        <v>1101</v>
      </c>
      <c r="I228" s="11">
        <f>VLOOKUP($A228, 'ADP Data'!$C$3:$Q$300, 13, FALSE)</f>
        <v>157</v>
      </c>
      <c r="J228" s="11">
        <f>VLOOKUP($A228, 'ADP Data'!$C$3:$Q$300, 10, FALSE)</f>
        <v>211</v>
      </c>
      <c r="K228" s="11" t="s">
        <v>36</v>
      </c>
    </row>
    <row r="229" spans="1:11" ht="14.25" customHeight="1" x14ac:dyDescent="0.25">
      <c r="A229" s="1" t="s">
        <v>811</v>
      </c>
      <c r="B229" s="11" t="str">
        <f>VLOOKUP($A229, 'ADP Data'!$C$3:$R$300, 2, FALSE)</f>
        <v>CHI</v>
      </c>
      <c r="C229" s="11" t="str">
        <f>VLOOKUP($A229, 'ADP Data'!$C$3:$R$300, 16, FALSE)</f>
        <v>TE</v>
      </c>
      <c r="D229" s="11"/>
      <c r="E229" s="11"/>
      <c r="F229" s="11"/>
      <c r="G229" s="11"/>
      <c r="H229" s="11"/>
      <c r="I229" s="11">
        <f>VLOOKUP($A229, 'ADP Data'!$C$3:$Q$300, 13, FALSE)</f>
        <v>249</v>
      </c>
      <c r="J229" s="11" t="str">
        <f>VLOOKUP($A229, 'ADP Data'!$C$3:$Q$300, 10, FALSE)</f>
        <v>-</v>
      </c>
      <c r="K229" s="11" t="s">
        <v>36</v>
      </c>
    </row>
    <row r="230" spans="1:11" ht="14.25" customHeight="1" x14ac:dyDescent="0.25">
      <c r="A230" s="1" t="s">
        <v>666</v>
      </c>
      <c r="B230" s="11" t="str">
        <f>VLOOKUP($A230, 'ADP Data'!$C$3:$R$300, 2, FALSE)</f>
        <v>SEA</v>
      </c>
      <c r="C230" s="11" t="str">
        <f>VLOOKUP($A230, 'ADP Data'!$C$3:$R$300, 16, FALSE)</f>
        <v>WR</v>
      </c>
      <c r="D230" s="11"/>
      <c r="E230" s="11"/>
      <c r="F230" s="11"/>
      <c r="G230" s="11"/>
      <c r="H230" s="11"/>
      <c r="I230" s="11">
        <f>VLOOKUP($A230, 'ADP Data'!$C$3:$Q$300, 13, FALSE)</f>
        <v>174</v>
      </c>
      <c r="J230" s="11">
        <f>VLOOKUP($A230, 'ADP Data'!$C$3:$Q$300, 10, FALSE)</f>
        <v>195</v>
      </c>
      <c r="K230" s="11">
        <v>193</v>
      </c>
    </row>
    <row r="231" spans="1:11" ht="14.25" customHeight="1" x14ac:dyDescent="0.25">
      <c r="A231" s="1" t="s">
        <v>530</v>
      </c>
      <c r="B231" s="11" t="str">
        <f>VLOOKUP($A231, 'ADP Data'!$C$3:$R$300, 2, FALSE)</f>
        <v>BAL</v>
      </c>
      <c r="C231" s="11" t="str">
        <f>VLOOKUP($A231, 'ADP Data'!$C$3:$R$300, 16, FALSE)</f>
        <v>RB</v>
      </c>
      <c r="D231" s="11"/>
      <c r="E231" s="11"/>
      <c r="F231" s="11"/>
      <c r="G231" s="11"/>
      <c r="H231" s="11"/>
      <c r="I231" s="11">
        <f>VLOOKUP($A231, 'ADP Data'!$C$3:$Q$300, 13, FALSE)</f>
        <v>221</v>
      </c>
      <c r="J231" s="11" t="str">
        <f>VLOOKUP($A231, 'ADP Data'!$C$3:$Q$300, 10, FALSE)</f>
        <v>-</v>
      </c>
      <c r="K231" s="11">
        <v>227</v>
      </c>
    </row>
    <row r="232" spans="1:11" ht="14.25" customHeight="1" x14ac:dyDescent="0.25">
      <c r="A232" s="1" t="s">
        <v>611</v>
      </c>
      <c r="B232" s="11" t="str">
        <f>VLOOKUP($A232, 'ADP Data'!$C$3:$R$300, 2, FALSE)</f>
        <v>CLE</v>
      </c>
      <c r="C232" s="11" t="str">
        <f>VLOOKUP($A232, 'ADP Data'!$C$3:$R$300, 16, FALSE)</f>
        <v>QB</v>
      </c>
      <c r="D232" s="11"/>
      <c r="E232" s="11"/>
      <c r="F232" s="11"/>
      <c r="G232" s="11"/>
      <c r="H232" s="11"/>
      <c r="I232" s="11">
        <f>VLOOKUP($A232, 'ADP Data'!$C$3:$Q$300, 13, FALSE)</f>
        <v>276</v>
      </c>
      <c r="J232" s="11" t="str">
        <f>VLOOKUP($A232, 'ADP Data'!$C$3:$Q$300, 10, FALSE)</f>
        <v>-</v>
      </c>
      <c r="K232" s="11" t="s">
        <v>36</v>
      </c>
    </row>
    <row r="233" spans="1:11" ht="14.25" customHeight="1" x14ac:dyDescent="0.25">
      <c r="A233" s="1" t="s">
        <v>527</v>
      </c>
      <c r="B233" s="11" t="str">
        <f>VLOOKUP($A233, 'ADP Data'!$C$3:$R$300, 2, FALSE)</f>
        <v>DAL</v>
      </c>
      <c r="C233" s="11" t="str">
        <f>VLOOKUP($A233, 'ADP Data'!$C$3:$R$300, 16, FALSE)</f>
        <v>K-</v>
      </c>
      <c r="D233" s="11"/>
      <c r="E233" s="11"/>
      <c r="F233" s="11"/>
      <c r="G233" s="11"/>
      <c r="H233" s="11"/>
      <c r="I233" s="11" t="str">
        <f>VLOOKUP($A233, 'ADP Data'!$C$3:$Q$300, 13, FALSE)</f>
        <v>-</v>
      </c>
      <c r="J233" s="11">
        <f>VLOOKUP($A233, 'ADP Data'!$C$3:$Q$300, 10, FALSE)</f>
        <v>181</v>
      </c>
      <c r="K233" s="11">
        <v>180</v>
      </c>
    </row>
    <row r="234" spans="1:11" ht="14.25" customHeight="1" x14ac:dyDescent="0.25">
      <c r="A234" s="1" t="s">
        <v>827</v>
      </c>
      <c r="B234" s="11" t="str">
        <f>VLOOKUP($A234, 'ADP Data'!$C$3:$R$300, 2, FALSE)</f>
        <v>NYG</v>
      </c>
      <c r="C234" s="11" t="str">
        <f>VLOOKUP($A234, 'ADP Data'!$C$3:$R$300, 16, FALSE)</f>
        <v>WR</v>
      </c>
      <c r="D234" s="11"/>
      <c r="E234" s="11"/>
      <c r="F234" s="11"/>
      <c r="G234" s="11"/>
      <c r="H234" s="11"/>
      <c r="I234" s="11">
        <f>VLOOKUP($A234, 'ADP Data'!$C$3:$Q$300, 13, FALSE)</f>
        <v>188</v>
      </c>
      <c r="J234" s="11" t="str">
        <f>VLOOKUP($A234, 'ADP Data'!$C$3:$Q$300, 10, FALSE)</f>
        <v>-</v>
      </c>
      <c r="K234" s="11">
        <v>191</v>
      </c>
    </row>
    <row r="235" spans="1:11" ht="14.25" customHeight="1" x14ac:dyDescent="0.25">
      <c r="A235" s="1" t="s">
        <v>975</v>
      </c>
      <c r="B235" s="11" t="str">
        <f>VLOOKUP($A235, 'ADP Data'!$C$3:$R$300, 2, FALSE)</f>
        <v>KC</v>
      </c>
      <c r="C235" s="11" t="str">
        <f>VLOOKUP($A235, 'ADP Data'!$C$3:$R$300, 16, FALSE)</f>
        <v>TE</v>
      </c>
      <c r="D235" s="11"/>
      <c r="E235" s="11"/>
      <c r="F235" s="11"/>
      <c r="G235" s="11"/>
      <c r="H235" s="11"/>
      <c r="I235" s="11">
        <f>VLOOKUP($A235, 'ADP Data'!$C$3:$Q$300, 13, FALSE)</f>
        <v>246</v>
      </c>
      <c r="J235" s="11" t="str">
        <f>VLOOKUP($A235, 'ADP Data'!$C$3:$Q$300, 10, FALSE)</f>
        <v>-</v>
      </c>
      <c r="K235" s="11" t="s">
        <v>36</v>
      </c>
    </row>
    <row r="236" spans="1:11" ht="14.25" customHeight="1" x14ac:dyDescent="0.25">
      <c r="A236" s="1" t="s">
        <v>817</v>
      </c>
      <c r="B236" s="11" t="str">
        <f>VLOOKUP($A236, 'ADP Data'!$C$3:$R$300, 2, FALSE)</f>
        <v>TEN</v>
      </c>
      <c r="C236" s="11" t="str">
        <f>VLOOKUP($A236, 'ADP Data'!$C$3:$R$300, 16, FALSE)</f>
        <v>WR</v>
      </c>
      <c r="D236" s="11"/>
      <c r="E236" s="11"/>
      <c r="F236" s="11"/>
      <c r="G236" s="11"/>
      <c r="H236" s="11"/>
      <c r="I236" s="11">
        <f>VLOOKUP($A236, 'ADP Data'!$C$3:$Q$300, 13, FALSE)</f>
        <v>180</v>
      </c>
      <c r="J236" s="11">
        <f>VLOOKUP($A236, 'ADP Data'!$C$3:$Q$300, 10, FALSE)</f>
        <v>209</v>
      </c>
      <c r="K236" s="11" t="s">
        <v>36</v>
      </c>
    </row>
    <row r="237" spans="1:11" ht="14.25" customHeight="1" x14ac:dyDescent="0.25">
      <c r="A237" s="1" t="s">
        <v>1049</v>
      </c>
      <c r="B237" s="11" t="str">
        <f>VLOOKUP($A237, 'ADP Data'!$C$3:$R$300, 2, FALSE)</f>
        <v>KC</v>
      </c>
      <c r="C237" s="11" t="str">
        <f>VLOOKUP($A237, 'ADP Data'!$C$3:$R$300, 16, FALSE)</f>
        <v>RB</v>
      </c>
      <c r="D237" s="11"/>
      <c r="E237" s="11"/>
      <c r="F237" s="11"/>
      <c r="G237" s="11"/>
      <c r="H237" s="11"/>
      <c r="I237" s="11">
        <f>VLOOKUP($A237, 'ADP Data'!$C$3:$Q$300, 13, FALSE)</f>
        <v>212</v>
      </c>
      <c r="J237" s="11">
        <f>VLOOKUP($A237, 'ADP Data'!$C$3:$Q$300, 10, FALSE)</f>
        <v>232</v>
      </c>
      <c r="K237" s="11">
        <v>202</v>
      </c>
    </row>
    <row r="238" spans="1:11" ht="14.25" customHeight="1" x14ac:dyDescent="0.25">
      <c r="A238" s="1" t="s">
        <v>491</v>
      </c>
      <c r="B238" s="11" t="e">
        <f>VLOOKUP($A238, 'ADP Data'!$C$3:$R$300, 2, FALSE)</f>
        <v>#N/A</v>
      </c>
      <c r="C238" s="11" t="e">
        <f>VLOOKUP($A238, 'ADP Data'!$C$3:$R$300, 16, FALSE)</f>
        <v>#N/A</v>
      </c>
      <c r="D238" s="11"/>
      <c r="E238" s="11"/>
      <c r="F238" s="11"/>
      <c r="G238" s="11"/>
      <c r="H238" s="11" t="s">
        <v>1052</v>
      </c>
      <c r="I238" s="11" t="e">
        <f>VLOOKUP($A238, 'ADP Data'!$C$3:$Q$300, 13, FALSE)</f>
        <v>#N/A</v>
      </c>
      <c r="J238" s="11" t="e">
        <f>VLOOKUP($A238, 'ADP Data'!$C$3:$Q$300, 10, FALSE)</f>
        <v>#N/A</v>
      </c>
      <c r="K238" s="11">
        <v>243</v>
      </c>
    </row>
    <row r="239" spans="1:11" ht="14.25" customHeight="1" x14ac:dyDescent="0.25">
      <c r="A239" s="1" t="s">
        <v>631</v>
      </c>
      <c r="B239" s="11" t="e">
        <f>VLOOKUP($A239, 'ADP Data'!$C$3:$R$300, 2, FALSE)</f>
        <v>#N/A</v>
      </c>
      <c r="C239" s="11" t="e">
        <f>VLOOKUP($A239, 'ADP Data'!$C$3:$R$300, 16, FALSE)</f>
        <v>#N/A</v>
      </c>
      <c r="D239" s="11"/>
      <c r="E239" s="11"/>
      <c r="F239" s="11"/>
      <c r="G239" s="11"/>
      <c r="H239" s="11"/>
      <c r="I239" s="11" t="e">
        <f>VLOOKUP($A239, 'ADP Data'!$C$3:$Q$300, 13, FALSE)</f>
        <v>#N/A</v>
      </c>
      <c r="J239" s="11" t="e">
        <f>VLOOKUP($A239, 'ADP Data'!$C$3:$Q$300, 10, FALSE)</f>
        <v>#N/A</v>
      </c>
      <c r="K239" s="11">
        <v>218</v>
      </c>
    </row>
    <row r="240" spans="1:11" ht="14.25" customHeight="1" x14ac:dyDescent="0.25">
      <c r="A240" s="1" t="s">
        <v>832</v>
      </c>
      <c r="B240" s="11" t="str">
        <f>VLOOKUP($A240, 'ADP Data'!$C$3:$R$300, 2, FALSE)</f>
        <v>CIN</v>
      </c>
      <c r="C240" s="11" t="str">
        <f>VLOOKUP($A240, 'ADP Data'!$C$3:$R$300, 16, FALSE)</f>
        <v>RB</v>
      </c>
      <c r="D240" s="11"/>
      <c r="E240" s="11"/>
      <c r="F240" s="11"/>
      <c r="G240" s="11"/>
      <c r="H240" s="11" t="s">
        <v>1051</v>
      </c>
      <c r="I240" s="11">
        <f>VLOOKUP($A240, 'ADP Data'!$C$3:$Q$300, 13, FALSE)</f>
        <v>199</v>
      </c>
      <c r="J240" s="11">
        <f>VLOOKUP($A240, 'ADP Data'!$C$3:$Q$300, 10, FALSE)</f>
        <v>204</v>
      </c>
      <c r="K240" s="11">
        <v>237</v>
      </c>
    </row>
    <row r="241" spans="1:11" ht="14.25" customHeight="1" x14ac:dyDescent="0.25">
      <c r="A241" s="1" t="s">
        <v>316</v>
      </c>
      <c r="B241" s="11" t="str">
        <f>VLOOKUP($A241, 'ADP Data'!$C$3:$R$300, 2, FALSE)</f>
        <v>CHI</v>
      </c>
      <c r="C241" s="11" t="str">
        <f>VLOOKUP($A241, 'ADP Data'!$C$3:$R$300, 16, FALSE)</f>
        <v>RB</v>
      </c>
      <c r="D241" s="11"/>
      <c r="E241" s="11" t="s">
        <v>148</v>
      </c>
      <c r="F241" s="11" t="s">
        <v>1042</v>
      </c>
      <c r="G241" s="11">
        <v>56</v>
      </c>
      <c r="H241" s="11" t="s">
        <v>1108</v>
      </c>
      <c r="I241" s="11">
        <f>VLOOKUP($A241, 'ADP Data'!$C$3:$Q$300, 13, FALSE)</f>
        <v>200</v>
      </c>
      <c r="J241" s="11">
        <f>VLOOKUP($A241, 'ADP Data'!$C$3:$Q$300, 10, FALSE)</f>
        <v>184</v>
      </c>
      <c r="K241" s="11">
        <v>230</v>
      </c>
    </row>
    <row r="242" spans="1:11" ht="14.25" customHeight="1" x14ac:dyDescent="0.25">
      <c r="A242" s="1" t="s">
        <v>1045</v>
      </c>
      <c r="B242" s="11" t="str">
        <f>VLOOKUP($A242, 'ADP Data'!$C$3:$R$300, 2, FALSE)</f>
        <v>LAR</v>
      </c>
      <c r="C242" s="11" t="str">
        <f>VLOOKUP($A242, 'ADP Data'!$C$3:$R$300, 16, FALSE)</f>
        <v>RB</v>
      </c>
      <c r="D242" s="11"/>
      <c r="E242" s="11"/>
      <c r="F242" s="11"/>
      <c r="G242" s="11"/>
      <c r="H242" s="11" t="s">
        <v>1046</v>
      </c>
      <c r="I242" s="11">
        <f>VLOOKUP($A242, 'ADP Data'!$C$3:$Q$300, 13, FALSE)</f>
        <v>236</v>
      </c>
      <c r="J242" s="11">
        <f>VLOOKUP($A242, 'ADP Data'!$C$3:$Q$300, 10, FALSE)</f>
        <v>199</v>
      </c>
      <c r="K242" s="11">
        <v>165</v>
      </c>
    </row>
    <row r="243" spans="1:11" ht="14.25" customHeight="1" x14ac:dyDescent="0.25">
      <c r="A243" s="1" t="s">
        <v>897</v>
      </c>
      <c r="B243" s="11" t="e">
        <f>VLOOKUP($A243, 'ADP Data'!$C$3:$R$300, 2, FALSE)</f>
        <v>#N/A</v>
      </c>
      <c r="C243" s="11" t="e">
        <f>VLOOKUP($A243, 'ADP Data'!$C$3:$R$300, 16, FALSE)</f>
        <v>#N/A</v>
      </c>
      <c r="D243" s="11"/>
      <c r="E243" s="11"/>
      <c r="F243" s="11"/>
      <c r="G243" s="11"/>
      <c r="H243" s="11"/>
      <c r="I243" s="11" t="e">
        <f>VLOOKUP($A243, 'ADP Data'!$C$3:$Q$300, 13, FALSE)</f>
        <v>#N/A</v>
      </c>
      <c r="J243" s="11" t="e">
        <f>VLOOKUP($A243, 'ADP Data'!$C$3:$Q$300, 10, FALSE)</f>
        <v>#N/A</v>
      </c>
      <c r="K243" s="11" t="s">
        <v>36</v>
      </c>
    </row>
    <row r="244" spans="1:11" ht="14.25" customHeight="1" x14ac:dyDescent="0.25">
      <c r="A244" s="1" t="s">
        <v>578</v>
      </c>
      <c r="B244" s="11" t="str">
        <f>VLOOKUP($A244, 'ADP Data'!$C$3:$R$300, 2, FALSE)</f>
        <v>DET</v>
      </c>
      <c r="C244" s="11" t="str">
        <f>VLOOKUP($A244, 'ADP Data'!$C$3:$R$300, 16, FALSE)</f>
        <v>K-</v>
      </c>
      <c r="D244" s="11"/>
      <c r="E244" s="11"/>
      <c r="F244" s="11"/>
      <c r="G244" s="11"/>
      <c r="H244" s="11"/>
      <c r="I244" s="11" t="str">
        <f>VLOOKUP($A244, 'ADP Data'!$C$3:$Q$300, 13, FALSE)</f>
        <v>-</v>
      </c>
      <c r="J244" s="11">
        <f>VLOOKUP($A244, 'ADP Data'!$C$3:$Q$300, 10, FALSE)</f>
        <v>196</v>
      </c>
      <c r="K244" s="11">
        <v>195</v>
      </c>
    </row>
    <row r="245" spans="1:11" ht="14.25" customHeight="1" x14ac:dyDescent="0.25">
      <c r="A245" s="1" t="s">
        <v>568</v>
      </c>
      <c r="B245" s="11" t="str">
        <f>VLOOKUP($A245, 'ADP Data'!$C$3:$R$300, 2, FALSE)</f>
        <v>LAC</v>
      </c>
      <c r="C245" s="11" t="str">
        <f>VLOOKUP($A245, 'ADP Data'!$C$3:$R$300, 16, FALSE)</f>
        <v>K-</v>
      </c>
      <c r="D245" s="11"/>
      <c r="E245" s="11"/>
      <c r="F245" s="11"/>
      <c r="G245" s="11"/>
      <c r="H245" s="11"/>
      <c r="I245" s="11" t="str">
        <f>VLOOKUP($A245, 'ADP Data'!$C$3:$Q$300, 13, FALSE)</f>
        <v>-</v>
      </c>
      <c r="J245" s="11">
        <f>VLOOKUP($A245, 'ADP Data'!$C$3:$Q$300, 10, FALSE)</f>
        <v>193</v>
      </c>
      <c r="K245" s="11">
        <v>188</v>
      </c>
    </row>
    <row r="246" spans="1:11" ht="14.25" customHeight="1" x14ac:dyDescent="0.25">
      <c r="A246" s="1" t="s">
        <v>590</v>
      </c>
      <c r="B246" s="11" t="str">
        <f>VLOOKUP($A246, 'ADP Data'!$C$3:$R$300, 2, FALSE)</f>
        <v>DET</v>
      </c>
      <c r="C246" s="11" t="str">
        <f>VLOOKUP($A246, 'ADP Data'!$C$3:$R$300, 16, FALSE)</f>
        <v>WR</v>
      </c>
      <c r="D246" s="11"/>
      <c r="E246" s="11" t="s">
        <v>148</v>
      </c>
      <c r="F246" s="11" t="s">
        <v>912</v>
      </c>
      <c r="G246" s="11">
        <v>63</v>
      </c>
      <c r="H246" s="11" t="s">
        <v>1103</v>
      </c>
      <c r="I246" s="11">
        <f>VLOOKUP($A246, 'ADP Data'!$C$3:$Q$300, 13, FALSE)</f>
        <v>163</v>
      </c>
      <c r="J246" s="11">
        <f>VLOOKUP($A246, 'ADP Data'!$C$3:$Q$300, 10, FALSE)</f>
        <v>216</v>
      </c>
      <c r="K246" s="11">
        <v>225</v>
      </c>
    </row>
    <row r="247" spans="1:11" ht="14.25" customHeight="1" x14ac:dyDescent="0.25">
      <c r="A247" s="1" t="s">
        <v>660</v>
      </c>
      <c r="B247" s="11" t="str">
        <f>VLOOKUP($A247, 'ADP Data'!$C$3:$R$300, 2, FALSE)</f>
        <v>LV</v>
      </c>
      <c r="C247" s="11" t="str">
        <f>VLOOKUP($A247, 'ADP Data'!$C$3:$R$300, 16, FALSE)</f>
        <v>WR</v>
      </c>
      <c r="D247" s="11"/>
      <c r="E247" s="11"/>
      <c r="F247" s="11"/>
      <c r="G247" s="11"/>
      <c r="H247" s="11" t="s">
        <v>1104</v>
      </c>
      <c r="I247" s="11">
        <f>VLOOKUP($A247, 'ADP Data'!$C$3:$Q$300, 13, FALSE)</f>
        <v>235</v>
      </c>
      <c r="J247" s="11" t="str">
        <f>VLOOKUP($A247, 'ADP Data'!$C$3:$Q$300, 10, FALSE)</f>
        <v>-</v>
      </c>
      <c r="K247" s="11" t="s">
        <v>36</v>
      </c>
    </row>
    <row r="248" spans="1:11" ht="14.25" customHeight="1" x14ac:dyDescent="0.25">
      <c r="A248" s="1" t="s">
        <v>990</v>
      </c>
      <c r="B248" s="11" t="str">
        <f>VLOOKUP($A248, 'ADP Data'!$C$3:$R$300, 2, FALSE)</f>
        <v>PIT</v>
      </c>
      <c r="C248" s="11" t="str">
        <f>VLOOKUP($A248, 'ADP Data'!$C$3:$R$300, 16, FALSE)</f>
        <v>WR</v>
      </c>
      <c r="D248" s="11"/>
      <c r="E248" s="11"/>
      <c r="F248" s="11"/>
      <c r="G248" s="11"/>
      <c r="H248" s="11"/>
      <c r="I248" s="11">
        <f>VLOOKUP($A248, 'ADP Data'!$C$3:$Q$300, 13, FALSE)</f>
        <v>238</v>
      </c>
      <c r="J248" s="11" t="str">
        <f>VLOOKUP($A248, 'ADP Data'!$C$3:$Q$300, 10, FALSE)</f>
        <v>-</v>
      </c>
      <c r="K248" s="11" t="s">
        <v>36</v>
      </c>
    </row>
    <row r="249" spans="1:11" ht="14.25" customHeight="1" x14ac:dyDescent="0.25">
      <c r="A249" s="1" t="s">
        <v>719</v>
      </c>
      <c r="B249" s="11" t="str">
        <f>VLOOKUP($A249, 'ADP Data'!$C$3:$R$300, 2, FALSE)</f>
        <v>TB</v>
      </c>
      <c r="C249" s="11" t="str">
        <f>VLOOKUP($A249, 'ADP Data'!$C$3:$R$300, 16, FALSE)</f>
        <v>K-</v>
      </c>
      <c r="D249" s="11"/>
      <c r="E249" s="11"/>
      <c r="F249" s="11"/>
      <c r="G249" s="11"/>
      <c r="H249" s="11"/>
      <c r="I249" s="11" t="str">
        <f>VLOOKUP($A249, 'ADP Data'!$C$3:$Q$300, 13, FALSE)</f>
        <v>-</v>
      </c>
      <c r="J249" s="11">
        <f>VLOOKUP($A249, 'ADP Data'!$C$3:$Q$300, 10, FALSE)</f>
        <v>221</v>
      </c>
      <c r="K249" s="11">
        <v>222</v>
      </c>
    </row>
    <row r="250" spans="1:11" ht="14.25" customHeight="1" x14ac:dyDescent="0.25">
      <c r="A250" s="1" t="s">
        <v>379</v>
      </c>
      <c r="B250" s="11" t="str">
        <f>VLOOKUP($A250, 'ADP Data'!$C$3:$R$300, 2, FALSE)</f>
        <v>NO</v>
      </c>
      <c r="C250" s="11" t="str">
        <f>VLOOKUP($A250, 'ADP Data'!$C$3:$R$300, 16, FALSE)</f>
        <v>TE</v>
      </c>
      <c r="D250" s="11"/>
      <c r="E250" s="11"/>
      <c r="F250" s="11"/>
      <c r="G250" s="11"/>
      <c r="H250" s="11"/>
      <c r="I250" s="11">
        <f>VLOOKUP($A250, 'ADP Data'!$C$3:$Q$300, 13, FALSE)</f>
        <v>216</v>
      </c>
      <c r="J250" s="11" t="str">
        <f>VLOOKUP($A250, 'ADP Data'!$C$3:$Q$300, 10, FALSE)</f>
        <v>-</v>
      </c>
      <c r="K250" s="11" t="s">
        <v>36</v>
      </c>
    </row>
    <row r="251" spans="1:11" ht="14.25" customHeight="1" x14ac:dyDescent="0.25">
      <c r="A251" s="1" t="s">
        <v>623</v>
      </c>
      <c r="B251" s="11" t="str">
        <f>VLOOKUP($A251, 'ADP Data'!$C$3:$R$300, 2, FALSE)</f>
        <v>DEN</v>
      </c>
      <c r="C251" s="11" t="str">
        <f>VLOOKUP($A251, 'ADP Data'!$C$3:$R$300, 16, FALSE)</f>
        <v>WR</v>
      </c>
      <c r="D251" s="11"/>
      <c r="E251" s="11"/>
      <c r="F251" s="11"/>
      <c r="G251" s="11"/>
      <c r="H251" s="11"/>
      <c r="I251" s="11">
        <f>VLOOKUP($A251, 'ADP Data'!$C$3:$Q$300, 13, FALSE)</f>
        <v>185</v>
      </c>
      <c r="J251" s="11">
        <f>VLOOKUP($A251, 'ADP Data'!$C$3:$Q$300, 10, FALSE)</f>
        <v>238</v>
      </c>
      <c r="K251" s="11" t="s">
        <v>36</v>
      </c>
    </row>
    <row r="252" spans="1:11" ht="14.25" customHeight="1" x14ac:dyDescent="0.25">
      <c r="A252" s="1" t="s">
        <v>908</v>
      </c>
      <c r="B252" s="11" t="str">
        <f>VLOOKUP($A252, 'ADP Data'!$C$3:$R$300, 2, FALSE)</f>
        <v>TEN</v>
      </c>
      <c r="C252" s="11" t="str">
        <f>VLOOKUP($A252, 'ADP Data'!$C$3:$R$300, 16, FALSE)</f>
        <v>WR</v>
      </c>
      <c r="D252" s="11"/>
      <c r="E252" s="11"/>
      <c r="F252" s="11"/>
      <c r="G252" s="11"/>
      <c r="H252" s="11"/>
      <c r="I252" s="11">
        <f>VLOOKUP($A252, 'ADP Data'!$C$3:$Q$300, 13, FALSE)</f>
        <v>227</v>
      </c>
      <c r="J252" s="11" t="str">
        <f>VLOOKUP($A252, 'ADP Data'!$C$3:$Q$300, 10, FALSE)</f>
        <v>-</v>
      </c>
      <c r="K252" s="11">
        <v>208</v>
      </c>
    </row>
    <row r="253" spans="1:11" ht="14.25" customHeight="1" x14ac:dyDescent="0.25">
      <c r="A253" s="1" t="s">
        <v>558</v>
      </c>
      <c r="B253" s="11" t="str">
        <f>VLOOKUP($A253, 'ADP Data'!$C$3:$R$300, 2, FALSE)</f>
        <v>TB</v>
      </c>
      <c r="C253" s="11" t="str">
        <f>VLOOKUP($A253, 'ADP Data'!$C$3:$R$300, 16, FALSE)</f>
        <v>RB</v>
      </c>
      <c r="D253" s="11"/>
      <c r="E253" s="11"/>
      <c r="F253" s="11"/>
      <c r="G253" s="11"/>
      <c r="H253" s="11"/>
      <c r="I253" s="11">
        <f>VLOOKUP($A253, 'ADP Data'!$C$3:$Q$300, 13, FALSE)</f>
        <v>222</v>
      </c>
      <c r="J253" s="11">
        <f>VLOOKUP($A253, 'ADP Data'!$C$3:$Q$300, 10, FALSE)</f>
        <v>206</v>
      </c>
      <c r="K253" s="11" t="s">
        <v>36</v>
      </c>
    </row>
    <row r="254" spans="1:11" ht="14.25" customHeight="1" x14ac:dyDescent="0.25">
      <c r="A254" s="1" t="s">
        <v>828</v>
      </c>
      <c r="B254" s="11" t="str">
        <f>VLOOKUP($A254, 'ADP Data'!$C$3:$R$300, 2, FALSE)</f>
        <v>CIN</v>
      </c>
      <c r="C254" s="11" t="str">
        <f>VLOOKUP($A254, 'ADP Data'!$C$3:$R$300, 16, FALSE)</f>
        <v>WR</v>
      </c>
      <c r="D254" s="11"/>
      <c r="E254" s="11"/>
      <c r="F254" s="11"/>
      <c r="G254" s="11"/>
      <c r="H254" s="11"/>
      <c r="I254" s="11">
        <f>VLOOKUP($A254, 'ADP Data'!$C$3:$Q$300, 13, FALSE)</f>
        <v>207</v>
      </c>
      <c r="J254" s="11" t="str">
        <f>VLOOKUP($A254, 'ADP Data'!$C$3:$Q$300, 10, FALSE)</f>
        <v>-</v>
      </c>
      <c r="K254" s="11">
        <v>239</v>
      </c>
    </row>
    <row r="255" spans="1:11" ht="14.25" customHeight="1" x14ac:dyDescent="0.25">
      <c r="A255" s="1" t="s">
        <v>1090</v>
      </c>
      <c r="B255" s="11" t="str">
        <f>VLOOKUP($A255, 'ADP Data'!$C$3:$R$300, 2, FALSE)</f>
        <v>PIT</v>
      </c>
      <c r="C255" s="11" t="str">
        <f>VLOOKUP($A255, 'ADP Data'!$C$3:$R$300, 16, FALSE)</f>
        <v>K-</v>
      </c>
      <c r="D255" s="11"/>
      <c r="E255" s="11"/>
      <c r="F255" s="11"/>
      <c r="G255" s="11"/>
      <c r="H255" s="11"/>
      <c r="I255" s="11" t="str">
        <f>VLOOKUP($A255, 'ADP Data'!$C$3:$Q$300, 13, FALSE)</f>
        <v>-</v>
      </c>
      <c r="J255" s="11">
        <f>VLOOKUP($A255, 'ADP Data'!$C$3:$Q$300, 10, FALSE)</f>
        <v>203</v>
      </c>
      <c r="K255" s="11">
        <v>198</v>
      </c>
    </row>
    <row r="256" spans="1:11" ht="14.25" customHeight="1" x14ac:dyDescent="0.25">
      <c r="A256" s="1" t="s">
        <v>403</v>
      </c>
      <c r="B256" s="11" t="str">
        <f>VLOOKUP($A256, 'ADP Data'!$C$3:$R$300, 2, FALSE)</f>
        <v>IND</v>
      </c>
      <c r="C256" s="11" t="str">
        <f>VLOOKUP($A256, 'ADP Data'!$C$3:$R$300, 16, FALSE)</f>
        <v>QB</v>
      </c>
      <c r="D256" s="11"/>
      <c r="E256" s="11" t="s">
        <v>148</v>
      </c>
      <c r="F256" s="11" t="s">
        <v>942</v>
      </c>
      <c r="G256" s="11">
        <v>25</v>
      </c>
      <c r="H256" s="11" t="s">
        <v>1115</v>
      </c>
      <c r="I256" s="11">
        <f>VLOOKUP($A256, 'ADP Data'!$C$3:$Q$300, 13, FALSE)</f>
        <v>201</v>
      </c>
      <c r="J256" s="11">
        <f>VLOOKUP($A256, 'ADP Data'!$C$3:$Q$300, 10, FALSE)</f>
        <v>245</v>
      </c>
      <c r="K256" s="11">
        <v>250</v>
      </c>
    </row>
    <row r="257" spans="1:11" ht="14.25" customHeight="1" x14ac:dyDescent="0.25">
      <c r="A257" s="1" t="s">
        <v>368</v>
      </c>
      <c r="B257" s="11" t="str">
        <f>VLOOKUP($A257, 'ADP Data'!$C$3:$R$300, 2, FALSE)</f>
        <v>HOU</v>
      </c>
      <c r="C257" s="11" t="str">
        <f>VLOOKUP($A257, 'ADP Data'!$C$3:$R$300, 16, FALSE)</f>
        <v>RB</v>
      </c>
      <c r="D257" s="11"/>
      <c r="E257" s="11" t="s">
        <v>148</v>
      </c>
      <c r="F257" s="11" t="s">
        <v>1042</v>
      </c>
      <c r="G257" s="11">
        <v>57</v>
      </c>
      <c r="H257" s="11" t="s">
        <v>1111</v>
      </c>
      <c r="I257" s="11">
        <f>VLOOKUP($A257, 'ADP Data'!$C$3:$Q$300, 13, FALSE)</f>
        <v>175</v>
      </c>
      <c r="J257" s="11">
        <f>VLOOKUP($A257, 'ADP Data'!$C$3:$Q$300, 10, FALSE)</f>
        <v>182</v>
      </c>
      <c r="K257" s="11" t="s">
        <v>36</v>
      </c>
    </row>
    <row r="258" spans="1:11" ht="14.25" customHeight="1" x14ac:dyDescent="0.25">
      <c r="A258" s="1" t="s">
        <v>372</v>
      </c>
      <c r="B258" s="11" t="str">
        <f>VLOOKUP($A258, 'ADP Data'!$C$3:$R$300, 2, FALSE)</f>
        <v>NO</v>
      </c>
      <c r="C258" s="11" t="str">
        <f>VLOOKUP($A258, 'ADP Data'!$C$3:$R$300, 16, FALSE)</f>
        <v>QB</v>
      </c>
      <c r="D258" s="11"/>
      <c r="E258" s="11"/>
      <c r="F258" s="11"/>
      <c r="G258" s="11"/>
      <c r="H258" s="11"/>
      <c r="I258" s="11">
        <f>VLOOKUP($A258, 'ADP Data'!$C$3:$Q$300, 13, FALSE)</f>
        <v>264</v>
      </c>
      <c r="J258" s="11" t="str">
        <f>VLOOKUP($A258, 'ADP Data'!$C$3:$Q$300, 10, FALSE)</f>
        <v>-</v>
      </c>
      <c r="K258" s="11" t="s">
        <v>36</v>
      </c>
    </row>
    <row r="259" spans="1:11" ht="14.25" customHeight="1" x14ac:dyDescent="0.25">
      <c r="A259" s="1" t="s">
        <v>560</v>
      </c>
      <c r="B259" s="11" t="str">
        <f>VLOOKUP($A259, 'ADP Data'!$C$3:$R$300, 2, FALSE)</f>
        <v>HOU</v>
      </c>
      <c r="C259" s="11" t="str">
        <f>VLOOKUP($A259, 'ADP Data'!$C$3:$R$300, 16, FALSE)</f>
        <v>K-</v>
      </c>
      <c r="D259" s="11"/>
      <c r="E259" s="11"/>
      <c r="F259" s="11"/>
      <c r="G259" s="11"/>
      <c r="H259" s="11"/>
      <c r="I259" s="11" t="str">
        <f>VLOOKUP($A259, 'ADP Data'!$C$3:$Q$300, 13, FALSE)</f>
        <v>-</v>
      </c>
      <c r="J259" s="11">
        <f>VLOOKUP($A259, 'ADP Data'!$C$3:$Q$300, 10, FALSE)</f>
        <v>201</v>
      </c>
      <c r="K259" s="11">
        <v>204</v>
      </c>
    </row>
    <row r="260" spans="1:11" ht="14.25" customHeight="1" x14ac:dyDescent="0.25">
      <c r="A260" s="1" t="s">
        <v>834</v>
      </c>
      <c r="B260" s="11" t="str">
        <f>VLOOKUP($A260, 'ADP Data'!$C$3:$R$300, 2, FALSE)</f>
        <v>CLE</v>
      </c>
      <c r="C260" s="11" t="str">
        <f>VLOOKUP($A260, 'ADP Data'!$C$3:$R$300, 16, FALSE)</f>
        <v>QB</v>
      </c>
      <c r="D260" s="11"/>
      <c r="E260" s="11"/>
      <c r="F260" s="11"/>
      <c r="G260" s="11"/>
      <c r="H260" s="11"/>
      <c r="I260" s="11">
        <f>VLOOKUP($A260, 'ADP Data'!$C$3:$Q$300, 13, FALSE)</f>
        <v>224</v>
      </c>
      <c r="J260" s="11" t="str">
        <f>VLOOKUP($A260, 'ADP Data'!$C$3:$Q$300, 10, FALSE)</f>
        <v>-</v>
      </c>
      <c r="K260" s="11" t="s">
        <v>36</v>
      </c>
    </row>
    <row r="261" spans="1:11" ht="14.25" customHeight="1" x14ac:dyDescent="0.25">
      <c r="A261" s="1" t="s">
        <v>948</v>
      </c>
      <c r="B261" s="11" t="str">
        <f>VLOOKUP($A261, 'ADP Data'!$C$3:$R$300, 2, FALSE)</f>
        <v>KC</v>
      </c>
      <c r="C261" s="11" t="str">
        <f>VLOOKUP($A261, 'ADP Data'!$C$3:$R$300, 16, FALSE)</f>
        <v>RB</v>
      </c>
      <c r="D261" s="11"/>
      <c r="E261" s="11"/>
      <c r="F261" s="11"/>
      <c r="G261" s="11"/>
      <c r="H261" s="11"/>
      <c r="I261" s="11">
        <f>VLOOKUP($A261, 'ADP Data'!$C$3:$Q$300, 13, FALSE)</f>
        <v>300</v>
      </c>
      <c r="J261" s="11" t="str">
        <f>VLOOKUP($A261, 'ADP Data'!$C$3:$Q$300, 10, FALSE)</f>
        <v>-</v>
      </c>
      <c r="K261" s="11" t="s">
        <v>36</v>
      </c>
    </row>
    <row r="262" spans="1:11" ht="14.25" customHeight="1" x14ac:dyDescent="0.25">
      <c r="A262" s="1" t="s">
        <v>951</v>
      </c>
      <c r="B262" s="11" t="str">
        <f>VLOOKUP($A262, 'ADP Data'!$C$3:$R$300, 2, FALSE)</f>
        <v>MIA</v>
      </c>
      <c r="C262" s="11" t="str">
        <f>VLOOKUP($A262, 'ADP Data'!$C$3:$R$300, 16, FALSE)</f>
        <v>K-</v>
      </c>
      <c r="D262" s="11"/>
      <c r="E262" s="11"/>
      <c r="F262" s="11"/>
      <c r="G262" s="11"/>
      <c r="H262" s="11"/>
      <c r="I262" s="11" t="str">
        <f>VLOOKUP($A262, 'ADP Data'!$C$3:$Q$300, 13, FALSE)</f>
        <v>-</v>
      </c>
      <c r="J262" s="11">
        <f>VLOOKUP($A262, 'ADP Data'!$C$3:$Q$300, 10, FALSE)</f>
        <v>224</v>
      </c>
      <c r="K262" s="11">
        <v>226</v>
      </c>
    </row>
    <row r="263" spans="1:11" ht="14.25" customHeight="1" x14ac:dyDescent="0.25">
      <c r="A263" s="1" t="s">
        <v>358</v>
      </c>
      <c r="B263" s="11" t="str">
        <f>VLOOKUP($A263, 'ADP Data'!$C$3:$R$300, 2, FALSE)</f>
        <v>CAR</v>
      </c>
      <c r="C263" s="11" t="str">
        <f>VLOOKUP($A263, 'ADP Data'!$C$3:$R$300, 16, FALSE)</f>
        <v>WR</v>
      </c>
      <c r="D263" s="11"/>
      <c r="E263" s="11"/>
      <c r="F263" s="11"/>
      <c r="G263" s="11"/>
      <c r="H263" s="11"/>
      <c r="I263" s="11">
        <f>VLOOKUP($A263, 'ADP Data'!$C$3:$Q$300, 13, FALSE)</f>
        <v>168</v>
      </c>
      <c r="J263" s="11">
        <f>VLOOKUP($A263, 'ADP Data'!$C$3:$Q$300, 10, FALSE)</f>
        <v>183</v>
      </c>
      <c r="K263" s="11" t="s">
        <v>36</v>
      </c>
    </row>
    <row r="264" spans="1:11" ht="14.25" customHeight="1" x14ac:dyDescent="0.25">
      <c r="A264" s="1" t="s">
        <v>636</v>
      </c>
      <c r="B264" s="11" t="str">
        <f>VLOOKUP($A264, 'ADP Data'!$C$3:$R$300, 2, FALSE)</f>
        <v>KC</v>
      </c>
      <c r="C264" s="11" t="str">
        <f>VLOOKUP($A264, 'ADP Data'!$C$3:$R$300, 16, FALSE)</f>
        <v>K-</v>
      </c>
      <c r="D264" s="11"/>
      <c r="E264" s="11"/>
      <c r="F264" s="11"/>
      <c r="G264" s="11"/>
      <c r="H264" s="11"/>
      <c r="I264" s="11" t="str">
        <f>VLOOKUP($A264, 'ADP Data'!$C$3:$Q$300, 13, FALSE)</f>
        <v>-</v>
      </c>
      <c r="J264" s="11">
        <f>VLOOKUP($A264, 'ADP Data'!$C$3:$Q$300, 10, FALSE)</f>
        <v>226</v>
      </c>
      <c r="K264" s="11">
        <v>228</v>
      </c>
    </row>
    <row r="265" spans="1:11" ht="14.25" customHeight="1" x14ac:dyDescent="0.25">
      <c r="A265" s="1" t="s">
        <v>950</v>
      </c>
      <c r="B265" s="11" t="str">
        <f>VLOOKUP($A265, 'ADP Data'!$C$3:$R$300, 2, FALSE)</f>
        <v>PHI</v>
      </c>
      <c r="C265" s="11" t="str">
        <f>VLOOKUP($A265, 'ADP Data'!$C$3:$R$300, 16, FALSE)</f>
        <v>K-</v>
      </c>
      <c r="D265" s="11"/>
      <c r="E265" s="11"/>
      <c r="F265" s="11"/>
      <c r="G265" s="11"/>
      <c r="H265" s="11"/>
      <c r="I265" s="11" t="str">
        <f>VLOOKUP($A265, 'ADP Data'!$C$3:$Q$300, 13, FALSE)</f>
        <v>-</v>
      </c>
      <c r="J265" s="11">
        <f>VLOOKUP($A265, 'ADP Data'!$C$3:$Q$300, 10, FALSE)</f>
        <v>234</v>
      </c>
      <c r="K265" s="11">
        <v>235</v>
      </c>
    </row>
    <row r="266" spans="1:11" ht="14.25" customHeight="1" x14ac:dyDescent="0.25">
      <c r="A266" s="1" t="s">
        <v>1118</v>
      </c>
      <c r="B266" s="11" t="str">
        <f>VLOOKUP($A266, 'ADP Data'!$C$3:$R$300, 2, FALSE)</f>
        <v>SEA</v>
      </c>
      <c r="C266" s="11" t="str">
        <f>VLOOKUP($A266, 'ADP Data'!$C$3:$R$300, 16, FALSE)</f>
        <v>QB</v>
      </c>
      <c r="D266" s="11"/>
      <c r="E266" s="11"/>
      <c r="F266" s="11"/>
      <c r="G266" s="11"/>
      <c r="H266" s="11"/>
      <c r="I266" s="11">
        <f>VLOOKUP($A266, 'ADP Data'!$C$3:$Q$300, 13, FALSE)</f>
        <v>257</v>
      </c>
      <c r="J266" s="11" t="str">
        <f>VLOOKUP($A266, 'ADP Data'!$C$3:$Q$300, 10, FALSE)</f>
        <v>-</v>
      </c>
      <c r="K266" s="11" t="s">
        <v>36</v>
      </c>
    </row>
    <row r="267" spans="1:11" ht="14.25" customHeight="1" x14ac:dyDescent="0.25">
      <c r="A267" s="1" t="s">
        <v>961</v>
      </c>
      <c r="B267" s="11" t="str">
        <f>VLOOKUP($A267, 'ADP Data'!$C$3:$R$300, 2, FALSE)</f>
        <v>BUF</v>
      </c>
      <c r="C267" s="11" t="str">
        <f>VLOOKUP($A267, 'ADP Data'!$C$3:$R$300, 16, FALSE)</f>
        <v>K-</v>
      </c>
      <c r="D267" s="11"/>
      <c r="E267" s="11"/>
      <c r="F267" s="11"/>
      <c r="G267" s="11"/>
      <c r="H267" s="11"/>
      <c r="I267" s="11" t="str">
        <f>VLOOKUP($A267, 'ADP Data'!$C$3:$Q$300, 13, FALSE)</f>
        <v>-</v>
      </c>
      <c r="J267" s="11">
        <f>VLOOKUP($A267, 'ADP Data'!$C$3:$Q$300, 10, FALSE)</f>
        <v>239</v>
      </c>
      <c r="K267" s="11">
        <v>245</v>
      </c>
    </row>
    <row r="268" spans="1:11" ht="14.25" customHeight="1" x14ac:dyDescent="0.25">
      <c r="A268" s="1" t="s">
        <v>493</v>
      </c>
      <c r="B268" s="11" t="str">
        <f>VLOOKUP($A268, 'ADP Data'!$C$3:$R$300, 2, FALSE)</f>
        <v>GB</v>
      </c>
      <c r="C268" s="11" t="str">
        <f>VLOOKUP($A268, 'ADP Data'!$C$3:$R$300, 16, FALSE)</f>
        <v>WR</v>
      </c>
      <c r="D268" s="11"/>
      <c r="E268" s="11"/>
      <c r="F268" s="11"/>
      <c r="G268" s="11"/>
      <c r="H268" s="11"/>
      <c r="I268" s="11">
        <f>VLOOKUP($A268, 'ADP Data'!$C$3:$Q$300, 13, FALSE)</f>
        <v>228</v>
      </c>
      <c r="J268" s="11" t="str">
        <f>VLOOKUP($A268, 'ADP Data'!$C$3:$Q$300, 10, FALSE)</f>
        <v>-</v>
      </c>
      <c r="K268" s="11">
        <v>233</v>
      </c>
    </row>
    <row r="269" spans="1:11" ht="14.25" customHeight="1" x14ac:dyDescent="0.25">
      <c r="A269" s="1" t="s">
        <v>943</v>
      </c>
      <c r="B269" s="11" t="str">
        <f>VLOOKUP($A269, 'ADP Data'!$C$3:$R$300, 2, FALSE)</f>
        <v>TB</v>
      </c>
      <c r="C269" s="11" t="str">
        <f>VLOOKUP($A269, 'ADP Data'!$C$3:$R$300, 16, FALSE)</f>
        <v>DE</v>
      </c>
      <c r="D269" s="11"/>
      <c r="E269" s="11"/>
      <c r="F269" s="11"/>
      <c r="G269" s="11"/>
      <c r="H269" s="11"/>
      <c r="I269" s="11" t="str">
        <f>VLOOKUP($A269, 'ADP Data'!$C$3:$Q$300, 13, FALSE)</f>
        <v>-</v>
      </c>
      <c r="J269" s="11" t="str">
        <f>VLOOKUP($A269, 'ADP Data'!$C$3:$Q$300, 10, FALSE)</f>
        <v>-</v>
      </c>
      <c r="K269" s="11" t="e">
        <v>#N/A</v>
      </c>
    </row>
    <row r="270" spans="1:11" ht="14.25" customHeight="1" x14ac:dyDescent="0.25">
      <c r="A270" s="1" t="s">
        <v>1105</v>
      </c>
      <c r="B270" s="11" t="str">
        <f>VLOOKUP($A270, 'ADP Data'!$C$3:$R$300, 2, FALSE)</f>
        <v>WAS</v>
      </c>
      <c r="C270" s="11" t="str">
        <f>VLOOKUP($A270, 'ADP Data'!$C$3:$R$300, 16, FALSE)</f>
        <v>DE</v>
      </c>
      <c r="D270" s="11"/>
      <c r="E270" s="11"/>
      <c r="F270" s="11"/>
      <c r="G270" s="11"/>
      <c r="H270" s="11"/>
      <c r="I270" s="11" t="str">
        <f>VLOOKUP($A270, 'ADP Data'!$C$3:$Q$300, 13, FALSE)</f>
        <v>-</v>
      </c>
      <c r="J270" s="11" t="str">
        <f>VLOOKUP($A270, 'ADP Data'!$C$3:$Q$300, 10, FALSE)</f>
        <v>-</v>
      </c>
      <c r="K270" s="11" t="s">
        <v>36</v>
      </c>
    </row>
    <row r="271" spans="1:11" ht="14.25" customHeight="1" x14ac:dyDescent="0.25">
      <c r="A271" s="1" t="s">
        <v>1113</v>
      </c>
      <c r="B271" s="11" t="e">
        <f>VLOOKUP($A271, 'ADP Data'!$C$3:$R$300, 2, FALSE)</f>
        <v>#N/A</v>
      </c>
      <c r="C271" s="11" t="e">
        <f>VLOOKUP($A271, 'ADP Data'!$C$3:$R$300, 16, FALSE)</f>
        <v>#N/A</v>
      </c>
      <c r="D271" s="11"/>
      <c r="E271" s="11"/>
      <c r="F271" s="11"/>
      <c r="G271" s="11"/>
      <c r="H271" s="11" t="s">
        <v>1114</v>
      </c>
      <c r="I271" s="11" t="e">
        <f>VLOOKUP($A271, 'ADP Data'!$C$3:$Q$300, 13, FALSE)</f>
        <v>#N/A</v>
      </c>
      <c r="J271" s="11" t="e">
        <f>VLOOKUP($A271, 'ADP Data'!$C$3:$Q$300, 10, FALSE)</f>
        <v>#N/A</v>
      </c>
      <c r="K271" s="11" t="s">
        <v>36</v>
      </c>
    </row>
    <row r="272" spans="1:11" ht="14.25" customHeight="1" x14ac:dyDescent="0.25">
      <c r="A272" s="1" t="s">
        <v>690</v>
      </c>
      <c r="B272" s="11" t="str">
        <f>VLOOKUP($A272, 'ADP Data'!$C$3:$R$300, 2, FALSE)</f>
        <v>DEN</v>
      </c>
      <c r="C272" s="11" t="str">
        <f>VLOOKUP($A272, 'ADP Data'!$C$3:$R$300, 16, FALSE)</f>
        <v>K-</v>
      </c>
      <c r="D272" s="11"/>
      <c r="E272" s="11"/>
      <c r="F272" s="11"/>
      <c r="G272" s="11"/>
      <c r="H272" s="11"/>
      <c r="I272" s="11" t="str">
        <f>VLOOKUP($A272, 'ADP Data'!$C$3:$Q$300, 13, FALSE)</f>
        <v>-</v>
      </c>
      <c r="J272" s="11">
        <f>VLOOKUP($A272, 'ADP Data'!$C$3:$Q$300, 10, FALSE)</f>
        <v>214</v>
      </c>
      <c r="K272" s="11">
        <v>215</v>
      </c>
    </row>
    <row r="273" spans="1:11" ht="14.25" customHeight="1" x14ac:dyDescent="0.25">
      <c r="A273" s="1" t="s">
        <v>923</v>
      </c>
      <c r="B273" s="11" t="str">
        <f>VLOOKUP($A273, 'ADP Data'!$C$3:$R$300, 2, FALSE)</f>
        <v>LAC</v>
      </c>
      <c r="C273" s="11" t="str">
        <f>VLOOKUP($A273, 'ADP Data'!$C$3:$R$300, 16, FALSE)</f>
        <v>TE</v>
      </c>
      <c r="D273" s="11"/>
      <c r="E273" s="11"/>
      <c r="F273" s="11"/>
      <c r="G273" s="11"/>
      <c r="H273" s="11"/>
      <c r="I273" s="11">
        <f>VLOOKUP($A273, 'ADP Data'!$C$3:$Q$300, 13, FALSE)</f>
        <v>284</v>
      </c>
      <c r="J273" s="11" t="str">
        <f>VLOOKUP($A273, 'ADP Data'!$C$3:$Q$300, 10, FALSE)</f>
        <v>-</v>
      </c>
      <c r="K273" s="11" t="s">
        <v>36</v>
      </c>
    </row>
    <row r="274" spans="1:11" ht="14.25" customHeight="1" x14ac:dyDescent="0.25">
      <c r="A274" s="1" t="s">
        <v>596</v>
      </c>
      <c r="B274" s="11" t="str">
        <f>VLOOKUP($A274, 'ADP Data'!$C$3:$R$300, 2, FALSE)</f>
        <v>HOU</v>
      </c>
      <c r="C274" s="11" t="str">
        <f>VLOOKUP($A274, 'ADP Data'!$C$3:$R$300, 16, FALSE)</f>
        <v>WR</v>
      </c>
      <c r="D274" s="11"/>
      <c r="E274" s="11" t="s">
        <v>148</v>
      </c>
      <c r="F274" s="11" t="s">
        <v>912</v>
      </c>
      <c r="G274" s="11">
        <v>64</v>
      </c>
      <c r="H274" s="11" t="s">
        <v>1107</v>
      </c>
      <c r="I274" s="11">
        <f>VLOOKUP($A274, 'ADP Data'!$C$3:$Q$300, 13, FALSE)</f>
        <v>208</v>
      </c>
      <c r="J274" s="11">
        <f>VLOOKUP($A274, 'ADP Data'!$C$3:$Q$300, 10, FALSE)</f>
        <v>248</v>
      </c>
      <c r="K274" s="11" t="s">
        <v>36</v>
      </c>
    </row>
    <row r="275" spans="1:11" ht="14.25" customHeight="1" x14ac:dyDescent="0.25">
      <c r="A275" s="1" t="s">
        <v>497</v>
      </c>
      <c r="B275" s="11" t="str">
        <f>VLOOKUP($A275, 'ADP Data'!$C$3:$R$300, 2, FALSE)</f>
        <v>NE</v>
      </c>
      <c r="C275" s="11" t="str">
        <f>VLOOKUP($A275, 'ADP Data'!$C$3:$R$300, 16, FALSE)</f>
        <v>DE</v>
      </c>
      <c r="D275" s="11"/>
      <c r="E275" s="11"/>
      <c r="F275" s="11"/>
      <c r="G275" s="11"/>
      <c r="H275" s="11"/>
      <c r="I275" s="11" t="str">
        <f>VLOOKUP($A275, 'ADP Data'!$C$3:$Q$300, 13, FALSE)</f>
        <v>-</v>
      </c>
      <c r="J275" s="11">
        <f>VLOOKUP($A275, 'ADP Data'!$C$3:$Q$300, 10, FALSE)</f>
        <v>244</v>
      </c>
      <c r="K275" s="11">
        <v>248</v>
      </c>
    </row>
    <row r="276" spans="1:11" ht="14.25" customHeight="1" x14ac:dyDescent="0.25">
      <c r="A276" s="1" t="s">
        <v>701</v>
      </c>
      <c r="B276" s="11" t="str">
        <f>VLOOKUP($A276, 'ADP Data'!$C$3:$R$300, 2, FALSE)</f>
        <v>NYG</v>
      </c>
      <c r="C276" s="11" t="str">
        <f>VLOOKUP($A276, 'ADP Data'!$C$3:$R$300, 16, FALSE)</f>
        <v>DE</v>
      </c>
      <c r="D276" s="11"/>
      <c r="E276" s="11"/>
      <c r="F276" s="11"/>
      <c r="G276" s="11"/>
      <c r="H276" s="11"/>
      <c r="I276" s="11" t="str">
        <f>VLOOKUP($A276, 'ADP Data'!$C$3:$Q$300, 13, FALSE)</f>
        <v>-</v>
      </c>
      <c r="J276" s="11" t="str">
        <f>VLOOKUP($A276, 'ADP Data'!$C$3:$Q$300, 10, FALSE)</f>
        <v>-</v>
      </c>
      <c r="K276" s="11" t="s">
        <v>36</v>
      </c>
    </row>
    <row r="277" spans="1:11" ht="14.25" customHeight="1" x14ac:dyDescent="0.25">
      <c r="A277" s="1" t="s">
        <v>1119</v>
      </c>
      <c r="B277" s="11" t="str">
        <f>VLOOKUP($A277, 'ADP Data'!$C$3:$R$300, 2, FALSE)</f>
        <v>LAR</v>
      </c>
      <c r="C277" s="11" t="str">
        <f>VLOOKUP($A277, 'ADP Data'!$C$3:$R$300, 16, FALSE)</f>
        <v>WR</v>
      </c>
      <c r="D277" s="11"/>
      <c r="E277" s="11"/>
      <c r="F277" s="11"/>
      <c r="G277" s="11"/>
      <c r="H277" s="11"/>
      <c r="I277" s="11">
        <f>VLOOKUP($A277, 'ADP Data'!$C$3:$Q$300, 13, FALSE)</f>
        <v>243</v>
      </c>
      <c r="J277" s="11" t="str">
        <f>VLOOKUP($A277, 'ADP Data'!$C$3:$Q$300, 10, FALSE)</f>
        <v>-</v>
      </c>
      <c r="K277" s="11" t="s">
        <v>36</v>
      </c>
    </row>
    <row r="278" spans="1:11" ht="14.25" customHeight="1" x14ac:dyDescent="0.25">
      <c r="A278" s="1" t="s">
        <v>598</v>
      </c>
      <c r="B278" s="11" t="str">
        <f>VLOOKUP($A278, 'ADP Data'!$C$3:$R$300, 2, FALSE)</f>
        <v>CIN</v>
      </c>
      <c r="C278" s="11" t="str">
        <f>VLOOKUP($A278, 'ADP Data'!$C$3:$R$300, 16, FALSE)</f>
        <v>K-</v>
      </c>
      <c r="D278" s="11"/>
      <c r="E278" s="11"/>
      <c r="F278" s="11"/>
      <c r="G278" s="11"/>
      <c r="H278" s="11"/>
      <c r="I278" s="11" t="str">
        <f>VLOOKUP($A278, 'ADP Data'!$C$3:$Q$300, 13, FALSE)</f>
        <v>-</v>
      </c>
      <c r="J278" s="11">
        <f>VLOOKUP($A278, 'ADP Data'!$C$3:$Q$300, 10, FALSE)</f>
        <v>218</v>
      </c>
      <c r="K278" s="11">
        <v>219</v>
      </c>
    </row>
    <row r="279" spans="1:11" ht="14.25" customHeight="1" x14ac:dyDescent="0.25">
      <c r="A279" s="1" t="s">
        <v>1106</v>
      </c>
      <c r="B279" s="11" t="str">
        <f>VLOOKUP($A279, 'ADP Data'!$C$3:$R$300, 2, FALSE)</f>
        <v>ARI</v>
      </c>
      <c r="C279" s="11" t="str">
        <f>VLOOKUP($A279, 'ADP Data'!$C$3:$R$300, 16, FALSE)</f>
        <v>DE</v>
      </c>
      <c r="D279" s="11"/>
      <c r="E279" s="11"/>
      <c r="F279" s="11"/>
      <c r="G279" s="11"/>
      <c r="H279" s="11"/>
      <c r="I279" s="11" t="str">
        <f>VLOOKUP($A279, 'ADP Data'!$C$3:$Q$300, 13, FALSE)</f>
        <v>-</v>
      </c>
      <c r="J279" s="11" t="str">
        <f>VLOOKUP($A279, 'ADP Data'!$C$3:$Q$300, 10, FALSE)</f>
        <v>-</v>
      </c>
      <c r="K279" s="11" t="s">
        <v>36</v>
      </c>
    </row>
    <row r="280" spans="1:11" ht="14.25" customHeight="1" x14ac:dyDescent="0.25">
      <c r="A280" s="1" t="s">
        <v>806</v>
      </c>
      <c r="B280" s="11" t="str">
        <f>VLOOKUP($A280, 'ADP Data'!$C$3:$R$300, 2, FALSE)</f>
        <v>MIA</v>
      </c>
      <c r="C280" s="11" t="str">
        <f>VLOOKUP($A280, 'ADP Data'!$C$3:$R$300, 16, FALSE)</f>
        <v>RB</v>
      </c>
      <c r="D280" s="11"/>
      <c r="E280" s="11" t="s">
        <v>148</v>
      </c>
      <c r="F280" s="11" t="s">
        <v>1042</v>
      </c>
      <c r="G280" s="11"/>
      <c r="H280" s="11" t="s">
        <v>1043</v>
      </c>
      <c r="I280" s="11">
        <f>VLOOKUP($A280, 'ADP Data'!$C$3:$Q$300, 13, FALSE)</f>
        <v>147</v>
      </c>
      <c r="J280" s="11">
        <f>VLOOKUP($A280, 'ADP Data'!$C$3:$Q$300, 10, FALSE)</f>
        <v>176</v>
      </c>
      <c r="K280" s="11" t="s">
        <v>36</v>
      </c>
    </row>
    <row r="281" spans="1:11" ht="14.25" customHeight="1" x14ac:dyDescent="0.25">
      <c r="A281" s="1" t="s">
        <v>962</v>
      </c>
      <c r="B281" s="11" t="str">
        <f>VLOOKUP($A281, 'ADP Data'!$C$3:$R$300, 2, FALSE)</f>
        <v>ATL</v>
      </c>
      <c r="C281" s="11" t="str">
        <f>VLOOKUP($A281, 'ADP Data'!$C$3:$R$300, 16, FALSE)</f>
        <v>K-</v>
      </c>
      <c r="D281" s="11"/>
      <c r="E281" s="11"/>
      <c r="F281" s="11"/>
      <c r="G281" s="11"/>
      <c r="H281" s="11"/>
      <c r="I281" s="11" t="str">
        <f>VLOOKUP($A281, 'ADP Data'!$C$3:$Q$300, 13, FALSE)</f>
        <v>-</v>
      </c>
      <c r="J281" s="11">
        <f>VLOOKUP($A281, 'ADP Data'!$C$3:$Q$300, 10, FALSE)</f>
        <v>246</v>
      </c>
      <c r="K281" s="11" t="s">
        <v>36</v>
      </c>
    </row>
    <row r="282" spans="1:11" ht="14.25" customHeight="1" x14ac:dyDescent="0.25">
      <c r="A282" s="1" t="s">
        <v>941</v>
      </c>
      <c r="B282" s="11" t="str">
        <f>VLOOKUP($A282, 'ADP Data'!$C$3:$R$300, 2, FALSE)</f>
        <v>DAL</v>
      </c>
      <c r="C282" s="11" t="str">
        <f>VLOOKUP($A282, 'ADP Data'!$C$3:$R$300, 16, FALSE)</f>
        <v>WR</v>
      </c>
      <c r="D282" s="11"/>
      <c r="E282" s="11"/>
      <c r="F282" s="11"/>
      <c r="G282" s="11"/>
      <c r="H282" s="11"/>
      <c r="I282" s="11">
        <f>VLOOKUP($A282, 'ADP Data'!$C$3:$Q$300, 13, FALSE)</f>
        <v>260</v>
      </c>
      <c r="J282" s="11" t="str">
        <f>VLOOKUP($A282, 'ADP Data'!$C$3:$Q$300, 10, FALSE)</f>
        <v>-</v>
      </c>
      <c r="K282" s="11">
        <v>213</v>
      </c>
    </row>
    <row r="283" spans="1:11" ht="14.25" customHeight="1" x14ac:dyDescent="0.25">
      <c r="A283" s="1" t="s">
        <v>833</v>
      </c>
      <c r="B283" s="11" t="str">
        <f>VLOOKUP($A283, 'ADP Data'!$C$3:$R$300, 2, FALSE)</f>
        <v>NO</v>
      </c>
      <c r="C283" s="11" t="str">
        <f>VLOOKUP($A283, 'ADP Data'!$C$3:$R$300, 16, FALSE)</f>
        <v>RB</v>
      </c>
      <c r="D283" s="11"/>
      <c r="E283" s="11" t="s">
        <v>148</v>
      </c>
      <c r="F283" s="11" t="s">
        <v>1042</v>
      </c>
      <c r="G283" s="11">
        <v>58</v>
      </c>
      <c r="H283" s="11" t="s">
        <v>1116</v>
      </c>
      <c r="I283" s="11">
        <f>VLOOKUP($A283, 'ADP Data'!$C$3:$Q$300, 13, FALSE)</f>
        <v>282</v>
      </c>
      <c r="J283" s="11" t="str">
        <f>VLOOKUP($A283, 'ADP Data'!$C$3:$Q$300, 10, FALSE)</f>
        <v>-</v>
      </c>
      <c r="K283" s="11">
        <v>249</v>
      </c>
    </row>
    <row r="284" spans="1:11" ht="14.25" customHeight="1" x14ac:dyDescent="0.25">
      <c r="A284" s="1" t="s">
        <v>256</v>
      </c>
      <c r="B284" s="11" t="str">
        <f>VLOOKUP($A284, 'ADP Data'!$C$3:$R$300, 2, FALSE)</f>
        <v>CLE</v>
      </c>
      <c r="C284" s="11" t="str">
        <f>VLOOKUP($A284, 'ADP Data'!$C$3:$R$300, 16, FALSE)</f>
        <v>TE</v>
      </c>
      <c r="D284" s="11"/>
      <c r="E284" s="11"/>
      <c r="F284" s="11"/>
      <c r="G284" s="11"/>
      <c r="H284" s="11" t="s">
        <v>1109</v>
      </c>
      <c r="I284" s="11">
        <f>VLOOKUP($A284, 'ADP Data'!$C$3:$Q$300, 13, FALSE)</f>
        <v>190</v>
      </c>
      <c r="J284" s="11" t="str">
        <f>VLOOKUP($A284, 'ADP Data'!$C$3:$Q$300, 10, FALSE)</f>
        <v>-</v>
      </c>
      <c r="K284" s="11" t="s">
        <v>36</v>
      </c>
    </row>
    <row r="285" spans="1:11" ht="14.25" customHeight="1" x14ac:dyDescent="0.25">
      <c r="A285" s="1" t="s">
        <v>810</v>
      </c>
      <c r="B285" s="11" t="str">
        <f>VLOOKUP($A285, 'ADP Data'!$C$3:$R$300, 2, FALSE)</f>
        <v>LV</v>
      </c>
      <c r="C285" s="11" t="str">
        <f>VLOOKUP($A285, 'ADP Data'!$C$3:$R$300, 16, FALSE)</f>
        <v>WR</v>
      </c>
      <c r="D285" s="11"/>
      <c r="E285" s="11"/>
      <c r="F285" s="11"/>
      <c r="G285" s="11"/>
      <c r="H285" s="11"/>
      <c r="I285" s="11">
        <f>VLOOKUP($A285, 'ADP Data'!$C$3:$Q$300, 13, FALSE)</f>
        <v>192</v>
      </c>
      <c r="J285" s="11">
        <f>VLOOKUP($A285, 'ADP Data'!$C$3:$Q$300, 10, FALSE)</f>
        <v>250</v>
      </c>
      <c r="K285" s="11" t="s">
        <v>36</v>
      </c>
    </row>
    <row r="286" spans="1:11" ht="14.25" customHeight="1" x14ac:dyDescent="0.25">
      <c r="A286" s="1" t="s">
        <v>1117</v>
      </c>
      <c r="B286" s="11" t="str">
        <f>VLOOKUP($A286, 'ADP Data'!$C$3:$R$300, 2, FALSE)</f>
        <v>ATL</v>
      </c>
      <c r="C286" s="11" t="str">
        <f>VLOOKUP($A286, 'ADP Data'!$C$3:$R$300, 16, FALSE)</f>
        <v>WR</v>
      </c>
      <c r="D286" s="11"/>
      <c r="E286" s="11"/>
      <c r="F286" s="11"/>
      <c r="G286" s="11"/>
      <c r="H286" s="11"/>
      <c r="I286" s="11">
        <f>VLOOKUP($A286, 'ADP Data'!$C$3:$Q$300, 13, FALSE)</f>
        <v>229</v>
      </c>
      <c r="J286" s="11" t="str">
        <f>VLOOKUP($A286, 'ADP Data'!$C$3:$Q$300, 10, FALSE)</f>
        <v>-</v>
      </c>
      <c r="K286" s="11" t="e">
        <v>#N/A</v>
      </c>
    </row>
    <row r="287" spans="1:11" ht="14.25" customHeight="1" x14ac:dyDescent="0.25">
      <c r="A287" s="1" t="s">
        <v>401</v>
      </c>
      <c r="B287" s="11" t="e">
        <f>VLOOKUP($A287, 'ADP Data'!$C$3:$R$300, 2, FALSE)</f>
        <v>#N/A</v>
      </c>
      <c r="C287" s="11" t="e">
        <f>VLOOKUP($A287, 'ADP Data'!$C$3:$R$300, 16, FALSE)</f>
        <v>#N/A</v>
      </c>
      <c r="D287" s="11"/>
      <c r="E287" s="11"/>
      <c r="F287" s="11"/>
      <c r="G287" s="11"/>
      <c r="H287" s="11"/>
      <c r="I287" s="11" t="e">
        <f>VLOOKUP($A287, 'ADP Data'!$C$3:$Q$300, 13, FALSE)</f>
        <v>#N/A</v>
      </c>
      <c r="J287" s="11" t="e">
        <f>VLOOKUP($A287, 'ADP Data'!$C$3:$Q$300, 10, FALSE)</f>
        <v>#N/A</v>
      </c>
      <c r="K287" s="11" t="s">
        <v>36</v>
      </c>
    </row>
    <row r="288" spans="1:11" ht="14.25" customHeight="1" x14ac:dyDescent="0.25">
      <c r="A288" s="1" t="s">
        <v>609</v>
      </c>
      <c r="B288" s="11" t="str">
        <f>VLOOKUP($A288, 'ADP Data'!$C$3:$R$300, 2, FALSE)</f>
        <v>CHI</v>
      </c>
      <c r="C288" s="11" t="str">
        <f>VLOOKUP($A288, 'ADP Data'!$C$3:$R$300, 16, FALSE)</f>
        <v>DE</v>
      </c>
      <c r="D288" s="11"/>
      <c r="E288" s="11"/>
      <c r="F288" s="11"/>
      <c r="G288" s="11"/>
      <c r="H288" s="11"/>
      <c r="I288" s="11" t="str">
        <f>VLOOKUP($A288, 'ADP Data'!$C$3:$Q$300, 13, FALSE)</f>
        <v>-</v>
      </c>
      <c r="J288" s="11" t="str">
        <f>VLOOKUP($A288, 'ADP Data'!$C$3:$Q$300, 10, FALSE)</f>
        <v>-</v>
      </c>
      <c r="K288" s="11" t="s">
        <v>36</v>
      </c>
    </row>
    <row r="289" spans="1:11" ht="14.25" customHeight="1" x14ac:dyDescent="0.25">
      <c r="A289" s="1" t="s">
        <v>444</v>
      </c>
      <c r="B289" s="11" t="e">
        <f>VLOOKUP($A289, 'ADP Data'!$C$3:$R$300, 2, FALSE)</f>
        <v>#N/A</v>
      </c>
      <c r="C289" s="11" t="e">
        <f>VLOOKUP($A289, 'ADP Data'!$C$3:$R$300, 16, FALSE)</f>
        <v>#N/A</v>
      </c>
      <c r="D289" s="11"/>
      <c r="E289" s="11"/>
      <c r="F289" s="11"/>
      <c r="G289" s="11"/>
      <c r="H289" s="11"/>
      <c r="I289" s="11" t="e">
        <f>VLOOKUP($A289, 'ADP Data'!$C$3:$Q$300, 13, FALSE)</f>
        <v>#N/A</v>
      </c>
      <c r="J289" s="11" t="e">
        <f>VLOOKUP($A289, 'ADP Data'!$C$3:$Q$300, 10, FALSE)</f>
        <v>#N/A</v>
      </c>
      <c r="K289" s="11">
        <v>234</v>
      </c>
    </row>
    <row r="290" spans="1:11" ht="14.25" customHeight="1" x14ac:dyDescent="0.25">
      <c r="A290" s="1" t="s">
        <v>971</v>
      </c>
      <c r="B290" s="11" t="e">
        <f>VLOOKUP($A290, 'ADP Data'!$C$3:$R$300, 2, FALSE)</f>
        <v>#N/A</v>
      </c>
      <c r="C290" s="11" t="e">
        <f>VLOOKUP($A290, 'ADP Data'!$C$3:$R$300, 16, FALSE)</f>
        <v>#N/A</v>
      </c>
      <c r="D290" s="11"/>
      <c r="E290" s="11"/>
      <c r="F290" s="11"/>
      <c r="G290" s="11"/>
      <c r="H290" s="11"/>
      <c r="I290" s="11" t="e">
        <f>VLOOKUP($A290, 'ADP Data'!$C$3:$Q$300, 13, FALSE)</f>
        <v>#N/A</v>
      </c>
      <c r="J290" s="11" t="e">
        <f>VLOOKUP($A290, 'ADP Data'!$C$3:$Q$300, 10, FALSE)</f>
        <v>#N/A</v>
      </c>
      <c r="K290" s="11">
        <v>209</v>
      </c>
    </row>
    <row r="291" spans="1:11" ht="14.25" customHeight="1" x14ac:dyDescent="0.25">
      <c r="A291" s="1" t="s">
        <v>454</v>
      </c>
      <c r="B291" s="11" t="e">
        <f>VLOOKUP($A291, 'ADP Data'!$C$3:$R$300, 2, FALSE)</f>
        <v>#N/A</v>
      </c>
      <c r="C291" s="11" t="e">
        <f>VLOOKUP($A291, 'ADP Data'!$C$3:$R$300, 16, FALSE)</f>
        <v>#N/A</v>
      </c>
      <c r="D291" s="11"/>
      <c r="E291" s="11"/>
      <c r="F291" s="11"/>
      <c r="G291" s="11"/>
      <c r="H291" s="11"/>
      <c r="I291" s="11" t="e">
        <f>VLOOKUP($A291, 'ADP Data'!$C$3:$Q$300, 13, FALSE)</f>
        <v>#N/A</v>
      </c>
      <c r="J291" s="11" t="e">
        <f>VLOOKUP($A291, 'ADP Data'!$C$3:$Q$300, 10, FALSE)</f>
        <v>#N/A</v>
      </c>
      <c r="K291" s="11" t="e">
        <v>#N/A</v>
      </c>
    </row>
    <row r="292" spans="1:11" ht="14.25" customHeight="1" x14ac:dyDescent="0.25">
      <c r="A292" s="1" t="s">
        <v>586</v>
      </c>
      <c r="B292" s="11" t="str">
        <f>VLOOKUP($A292, 'ADP Data'!$C$3:$R$300, 2, FALSE)</f>
        <v>BAL</v>
      </c>
      <c r="C292" s="11" t="str">
        <f>VLOOKUP($A292, 'ADP Data'!$C$3:$R$300, 16, FALSE)</f>
        <v>K-</v>
      </c>
      <c r="D292" s="11"/>
      <c r="E292" s="11"/>
      <c r="F292" s="11"/>
      <c r="G292" s="11"/>
      <c r="H292" s="11"/>
      <c r="I292" s="11" t="str">
        <f>VLOOKUP($A292, 'ADP Data'!$C$3:$Q$300, 13, FALSE)</f>
        <v>-</v>
      </c>
      <c r="J292" s="11" t="str">
        <f>VLOOKUP($A292, 'ADP Data'!$C$3:$Q$300, 10, FALSE)</f>
        <v>-</v>
      </c>
      <c r="K292" s="11" t="e">
        <v>#N/A</v>
      </c>
    </row>
    <row r="293" spans="1:11" ht="14.25" customHeight="1" x14ac:dyDescent="0.25">
      <c r="A293" s="1" t="s">
        <v>644</v>
      </c>
      <c r="B293" s="11" t="str">
        <f>VLOOKUP($A293, 'ADP Data'!$C$3:$R$300, 2, FALSE)</f>
        <v>CLE</v>
      </c>
      <c r="C293" s="11" t="str">
        <f>VLOOKUP($A293, 'ADP Data'!$C$3:$R$300, 16, FALSE)</f>
        <v>DE</v>
      </c>
      <c r="D293" s="11"/>
      <c r="E293" s="11"/>
      <c r="F293" s="11"/>
      <c r="G293" s="11"/>
      <c r="H293" s="11"/>
      <c r="I293" s="11" t="str">
        <f>VLOOKUP($A293, 'ADP Data'!$C$3:$Q$300, 13, FALSE)</f>
        <v>-</v>
      </c>
      <c r="J293" s="11">
        <f>VLOOKUP($A293, 'ADP Data'!$C$3:$Q$300, 10, FALSE)</f>
        <v>217</v>
      </c>
      <c r="K293" s="11">
        <v>217</v>
      </c>
    </row>
    <row r="294" spans="1:11" ht="14.25" customHeight="1" x14ac:dyDescent="0.25">
      <c r="A294" s="1" t="s">
        <v>932</v>
      </c>
      <c r="B294" s="11" t="e">
        <f>VLOOKUP($A294, 'ADP Data'!$C$3:$R$300, 2, FALSE)</f>
        <v>#N/A</v>
      </c>
      <c r="C294" s="11" t="e">
        <f>VLOOKUP($A294, 'ADP Data'!$C$3:$R$300, 16, FALSE)</f>
        <v>#N/A</v>
      </c>
      <c r="D294" s="11"/>
      <c r="E294" s="11"/>
      <c r="F294" s="11"/>
      <c r="G294" s="11"/>
      <c r="H294" s="11"/>
      <c r="I294" s="11" t="e">
        <f>VLOOKUP($A294, 'ADP Data'!$C$3:$Q$300, 13, FALSE)</f>
        <v>#N/A</v>
      </c>
      <c r="J294" s="11" t="e">
        <f>VLOOKUP($A294, 'ADP Data'!$C$3:$Q$300, 10, FALSE)</f>
        <v>#N/A</v>
      </c>
      <c r="K294" s="11" t="s">
        <v>36</v>
      </c>
    </row>
    <row r="295" spans="1:11" ht="14.25" customHeight="1" x14ac:dyDescent="0.25">
      <c r="A295" s="1" t="s">
        <v>946</v>
      </c>
      <c r="B295" s="11" t="str">
        <f>VLOOKUP($A295, 'ADP Data'!$C$3:$R$300, 2, FALSE)</f>
        <v>IND</v>
      </c>
      <c r="C295" s="11" t="str">
        <f>VLOOKUP($A295, 'ADP Data'!$C$3:$R$300, 16, FALSE)</f>
        <v>DE</v>
      </c>
      <c r="D295" s="11"/>
      <c r="E295" s="11"/>
      <c r="F295" s="11"/>
      <c r="G295" s="11"/>
      <c r="H295" s="11"/>
      <c r="I295" s="11" t="str">
        <f>VLOOKUP($A295, 'ADP Data'!$C$3:$Q$300, 13, FALSE)</f>
        <v>-</v>
      </c>
      <c r="J295" s="11" t="str">
        <f>VLOOKUP($A295, 'ADP Data'!$C$3:$Q$300, 10, FALSE)</f>
        <v>-</v>
      </c>
      <c r="K295" s="11" t="e">
        <v>#N/A</v>
      </c>
    </row>
    <row r="296" spans="1:11" ht="14.25" customHeight="1" x14ac:dyDescent="0.25">
      <c r="A296" s="1" t="s">
        <v>594</v>
      </c>
      <c r="B296" s="11" t="e">
        <f>VLOOKUP($A296, 'ADP Data'!$C$3:$R$300, 2, FALSE)</f>
        <v>#N/A</v>
      </c>
      <c r="C296" s="11" t="e">
        <f>VLOOKUP($A296, 'ADP Data'!$C$3:$R$300, 16, FALSE)</f>
        <v>#N/A</v>
      </c>
      <c r="D296" s="11"/>
      <c r="E296" s="11"/>
      <c r="F296" s="11"/>
      <c r="G296" s="11"/>
      <c r="H296" s="11"/>
      <c r="I296" s="11" t="e">
        <f>VLOOKUP($A296, 'ADP Data'!$C$3:$Q$300, 13, FALSE)</f>
        <v>#N/A</v>
      </c>
      <c r="J296" s="11" t="e">
        <f>VLOOKUP($A296, 'ADP Data'!$C$3:$Q$300, 10, FALSE)</f>
        <v>#N/A</v>
      </c>
      <c r="K296" s="11" t="e">
        <v>#N/A</v>
      </c>
    </row>
    <row r="297" spans="1:11" ht="14.25" customHeight="1" x14ac:dyDescent="0.25">
      <c r="A297" s="1" t="s">
        <v>918</v>
      </c>
      <c r="B297" s="11" t="e">
        <f>VLOOKUP($A297, 'ADP Data'!$C$3:$R$300, 2, FALSE)</f>
        <v>#N/A</v>
      </c>
      <c r="C297" s="11" t="e">
        <f>VLOOKUP($A297, 'ADP Data'!$C$3:$R$300, 16, FALSE)</f>
        <v>#N/A</v>
      </c>
      <c r="D297" s="11"/>
      <c r="E297" s="11"/>
      <c r="F297" s="11"/>
      <c r="G297" s="11"/>
      <c r="H297" s="11"/>
      <c r="I297" s="11" t="e">
        <f>VLOOKUP($A297, 'ADP Data'!$C$3:$Q$300, 13, FALSE)</f>
        <v>#N/A</v>
      </c>
      <c r="J297" s="11" t="e">
        <f>VLOOKUP($A297, 'ADP Data'!$C$3:$Q$300, 10, FALSE)</f>
        <v>#N/A</v>
      </c>
      <c r="K297" s="11">
        <v>197</v>
      </c>
    </row>
    <row r="298" spans="1:11" ht="14.25" customHeight="1" x14ac:dyDescent="0.25">
      <c r="A298" s="1" t="s">
        <v>940</v>
      </c>
      <c r="B298" s="11" t="str">
        <f>VLOOKUP($A298, 'ADP Data'!$C$3:$R$300, 2, FALSE)</f>
        <v>HOU</v>
      </c>
      <c r="C298" s="11" t="str">
        <f>VLOOKUP($A298, 'ADP Data'!$C$3:$R$300, 16, FALSE)</f>
        <v>RB</v>
      </c>
      <c r="D298" s="11"/>
      <c r="E298" s="11"/>
      <c r="F298" s="11"/>
      <c r="G298" s="11"/>
      <c r="H298" s="11"/>
      <c r="I298" s="11">
        <f>VLOOKUP($A298, 'ADP Data'!$C$3:$Q$300, 13, FALSE)</f>
        <v>211</v>
      </c>
      <c r="J298" s="11">
        <f>VLOOKUP($A298, 'ADP Data'!$C$3:$Q$300, 10, FALSE)</f>
        <v>229</v>
      </c>
      <c r="K298" s="11" t="e">
        <v>#N/A</v>
      </c>
    </row>
    <row r="299" spans="1:11" ht="14.25" customHeight="1" x14ac:dyDescent="0.25">
      <c r="A299" s="1" t="s">
        <v>710</v>
      </c>
      <c r="B299" s="11" t="e">
        <f>VLOOKUP($A299, 'ADP Data'!$C$3:$R$300, 2, FALSE)</f>
        <v>#N/A</v>
      </c>
      <c r="C299" s="11" t="e">
        <f>VLOOKUP($A299, 'ADP Data'!$C$3:$R$300, 16, FALSE)</f>
        <v>#N/A</v>
      </c>
      <c r="D299" s="11"/>
      <c r="E299" s="11"/>
      <c r="F299" s="11"/>
      <c r="G299" s="11"/>
      <c r="H299" s="11"/>
      <c r="I299" s="11" t="e">
        <f>VLOOKUP($A299, 'ADP Data'!$C$3:$Q$300, 13, FALSE)</f>
        <v>#N/A</v>
      </c>
      <c r="J299" s="11" t="e">
        <f>VLOOKUP($A299, 'ADP Data'!$C$3:$Q$300, 10, FALSE)</f>
        <v>#N/A</v>
      </c>
      <c r="K299" s="11" t="e">
        <v>#N/A</v>
      </c>
    </row>
    <row r="300" spans="1:11" ht="14.25" customHeight="1" x14ac:dyDescent="0.25">
      <c r="A300" s="1" t="s">
        <v>1136</v>
      </c>
      <c r="B300" s="11" t="str">
        <f>VLOOKUP($A300, 'ADP Data'!$C$3:$R$300, 2, FALSE)</f>
        <v>NE</v>
      </c>
      <c r="C300" s="11" t="str">
        <f>VLOOKUP($A300, 'ADP Data'!$C$3:$R$300, 16, FALSE)</f>
        <v>WR</v>
      </c>
      <c r="D300" s="11"/>
      <c r="E300" s="11"/>
      <c r="F300" s="11"/>
      <c r="G300" s="11"/>
      <c r="H300" s="11"/>
      <c r="I300" s="11">
        <f>VLOOKUP($A300, 'ADP Data'!$C$3:$Q$300, 13, FALSE)</f>
        <v>258</v>
      </c>
      <c r="J300" s="11" t="str">
        <f>VLOOKUP($A300, 'ADP Data'!$C$3:$Q$300, 10, FALSE)</f>
        <v>-</v>
      </c>
      <c r="K300" s="11" t="e">
        <v>#N/A</v>
      </c>
    </row>
    <row r="301" spans="1:11" ht="14.25" customHeight="1" x14ac:dyDescent="0.25">
      <c r="A301" s="1" t="s">
        <v>440</v>
      </c>
      <c r="B301" s="11" t="str">
        <f>VLOOKUP($A301, 'ADP Data'!$C$3:$R$300, 2, FALSE)</f>
        <v>LAR</v>
      </c>
      <c r="C301" s="11" t="str">
        <f>VLOOKUP($A301, 'ADP Data'!$C$3:$R$300, 16, FALSE)</f>
        <v>TE</v>
      </c>
      <c r="D301" s="11"/>
      <c r="E301" s="11"/>
      <c r="F301" s="11"/>
      <c r="G301" s="11"/>
      <c r="H301" s="11"/>
      <c r="I301" s="11">
        <f>VLOOKUP($A301, 'ADP Data'!$C$3:$Q$300, 13, FALSE)</f>
        <v>247</v>
      </c>
      <c r="J301" s="11" t="str">
        <f>VLOOKUP($A301, 'ADP Data'!$C$3:$Q$300, 10, FALSE)</f>
        <v>-</v>
      </c>
      <c r="K301" s="11">
        <v>236</v>
      </c>
    </row>
    <row r="302" spans="1:11" ht="14.25" customHeight="1" x14ac:dyDescent="0.25">
      <c r="A302" s="1" t="s">
        <v>627</v>
      </c>
      <c r="B302" s="11" t="str">
        <f>VLOOKUP($A302, 'ADP Data'!$C$3:$R$300, 2, FALSE)</f>
        <v>ATL</v>
      </c>
      <c r="C302" s="11" t="str">
        <f>VLOOKUP($A302, 'ADP Data'!$C$3:$R$300, 16, FALSE)</f>
        <v>QB</v>
      </c>
      <c r="D302" s="11"/>
      <c r="E302" s="11"/>
      <c r="F302" s="11"/>
      <c r="G302" s="11"/>
      <c r="H302" s="11"/>
      <c r="I302" s="11">
        <f>VLOOKUP($A302, 'ADP Data'!$C$3:$Q$300, 13, FALSE)</f>
        <v>327</v>
      </c>
      <c r="J302" s="11" t="str">
        <f>VLOOKUP($A302, 'ADP Data'!$C$3:$Q$300, 10, FALSE)</f>
        <v>-</v>
      </c>
      <c r="K302" s="11" t="s">
        <v>36</v>
      </c>
    </row>
    <row r="303" spans="1:11" ht="14.25" customHeight="1" x14ac:dyDescent="0.25">
      <c r="A303" s="11"/>
      <c r="B303" s="11" t="e">
        <f>VLOOKUP($A303, 'ADP Data'!$C$3:$R$300, 2, FALSE)</f>
        <v>#N/A</v>
      </c>
      <c r="C303" s="11" t="e">
        <f>VLOOKUP($A303, 'ADP Data'!$C$3:$R$300, 16, FALSE)</f>
        <v>#N/A</v>
      </c>
      <c r="D303" s="11"/>
      <c r="E303" s="11"/>
      <c r="F303" s="11"/>
      <c r="G303" s="11"/>
      <c r="H303" s="11"/>
      <c r="I303" s="11" t="e">
        <f>VLOOKUP($A303, 'ADP Data'!$C$3:$Q$300, 13, FALSE)</f>
        <v>#N/A</v>
      </c>
      <c r="J303" s="11" t="e">
        <f>VLOOKUP($A303, 'ADP Data'!$C$3:$Q$300, 10, FALSE)</f>
        <v>#N/A</v>
      </c>
      <c r="K303" s="11" t="e">
        <v>#N/A</v>
      </c>
    </row>
    <row r="304" spans="1:11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2:J303" xr:uid="{00000000-0009-0000-0000-00000A000000}">
    <sortState xmlns:xlrd2="http://schemas.microsoft.com/office/spreadsheetml/2017/richdata2" ref="A2:J303">
      <sortCondition ref="J2:J303"/>
    </sortState>
  </autoFilter>
  <conditionalFormatting sqref="A3:A292">
    <cfRule type="expression" dxfId="25" priority="1">
      <formula>$E3="No"</formula>
    </cfRule>
  </conditionalFormatting>
  <conditionalFormatting sqref="J3:J30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BFBFBF"/>
  </sheetPr>
  <dimension ref="A1:R10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4.42578125" defaultRowHeight="15" customHeight="1" x14ac:dyDescent="0.25"/>
  <cols>
    <col min="1" max="1" width="8.7109375" customWidth="1"/>
    <col min="2" max="2" width="11.7109375" customWidth="1"/>
    <col min="3" max="3" width="22.42578125" customWidth="1"/>
    <col min="4" max="26" width="8.7109375" customWidth="1"/>
  </cols>
  <sheetData>
    <row r="1" spans="1:18" ht="14.25" customHeight="1" x14ac:dyDescent="0.25">
      <c r="A1" s="1" t="s">
        <v>0</v>
      </c>
    </row>
    <row r="2" spans="1:18" ht="14.25" customHeight="1" x14ac:dyDescent="0.25">
      <c r="A2" s="1" t="s">
        <v>2</v>
      </c>
    </row>
    <row r="3" spans="1:18" ht="14.25" customHeight="1" x14ac:dyDescent="0.25">
      <c r="A3" s="1">
        <v>0</v>
      </c>
      <c r="B3" s="1">
        <v>0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</row>
    <row r="4" spans="1:18" ht="14.25" customHeight="1" x14ac:dyDescent="0.25">
      <c r="A4" s="6" t="s">
        <v>6</v>
      </c>
      <c r="B4" s="6" t="s">
        <v>7</v>
      </c>
      <c r="C4" s="6" t="s">
        <v>5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15</v>
      </c>
      <c r="K4" s="6" t="s">
        <v>16</v>
      </c>
      <c r="L4" s="6" t="s">
        <v>18</v>
      </c>
      <c r="M4" s="6" t="s">
        <v>19</v>
      </c>
      <c r="N4" s="6" t="s">
        <v>20</v>
      </c>
      <c r="O4" s="6" t="s">
        <v>22</v>
      </c>
      <c r="P4" s="6" t="s">
        <v>24</v>
      </c>
      <c r="Q4" s="6" t="s">
        <v>25</v>
      </c>
      <c r="R4" s="8" t="s">
        <v>7</v>
      </c>
    </row>
    <row r="5" spans="1:18" ht="14.25" customHeight="1" x14ac:dyDescent="0.25">
      <c r="A5" s="1">
        <v>1</v>
      </c>
      <c r="B5" s="1" t="s">
        <v>42</v>
      </c>
      <c r="C5" s="1" t="s">
        <v>43</v>
      </c>
      <c r="D5" s="1" t="s">
        <v>44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1.01</v>
      </c>
      <c r="Q5" s="1">
        <v>1.01</v>
      </c>
      <c r="R5" s="11" t="str">
        <f t="shared" ref="R5:R259" si="0">LEFT(B5, 2)</f>
        <v>WR</v>
      </c>
    </row>
    <row r="6" spans="1:18" ht="14.25" customHeight="1" x14ac:dyDescent="0.25">
      <c r="A6" s="1">
        <v>2</v>
      </c>
      <c r="B6" s="1" t="s">
        <v>31</v>
      </c>
      <c r="C6" s="1" t="s">
        <v>38</v>
      </c>
      <c r="D6" s="1" t="s">
        <v>39</v>
      </c>
      <c r="E6" s="1">
        <v>2</v>
      </c>
      <c r="F6" s="1">
        <v>2</v>
      </c>
      <c r="G6" s="1">
        <v>2</v>
      </c>
      <c r="H6" s="1">
        <v>2</v>
      </c>
      <c r="I6" s="1">
        <v>2</v>
      </c>
      <c r="J6" s="1">
        <v>2</v>
      </c>
      <c r="K6" s="1">
        <v>3</v>
      </c>
      <c r="L6" s="1">
        <v>2</v>
      </c>
      <c r="M6" s="1">
        <v>2</v>
      </c>
      <c r="N6" s="1">
        <v>2</v>
      </c>
      <c r="O6" s="1">
        <v>2</v>
      </c>
      <c r="P6" s="1">
        <v>1.02</v>
      </c>
      <c r="Q6" s="1">
        <v>1.02</v>
      </c>
      <c r="R6" s="11" t="str">
        <f t="shared" si="0"/>
        <v>RB</v>
      </c>
    </row>
    <row r="7" spans="1:18" ht="14.25" customHeight="1" x14ac:dyDescent="0.25">
      <c r="A7" s="1">
        <v>3</v>
      </c>
      <c r="B7" s="1" t="s">
        <v>37</v>
      </c>
      <c r="C7" s="1" t="s">
        <v>34</v>
      </c>
      <c r="D7" s="1" t="s">
        <v>35</v>
      </c>
      <c r="E7" s="1">
        <v>4</v>
      </c>
      <c r="F7" s="1">
        <v>5</v>
      </c>
      <c r="G7" s="1">
        <v>4</v>
      </c>
      <c r="H7" s="1">
        <v>3</v>
      </c>
      <c r="I7" s="1">
        <v>3</v>
      </c>
      <c r="J7" s="1">
        <v>6</v>
      </c>
      <c r="K7" s="1">
        <v>4</v>
      </c>
      <c r="L7" s="1">
        <v>4</v>
      </c>
      <c r="M7" s="1">
        <v>3</v>
      </c>
      <c r="N7" s="1">
        <v>4</v>
      </c>
      <c r="O7" s="1">
        <v>4</v>
      </c>
      <c r="P7" s="1">
        <v>1.03</v>
      </c>
      <c r="Q7" s="1">
        <v>1.03</v>
      </c>
      <c r="R7" s="11" t="str">
        <f t="shared" si="0"/>
        <v>RB</v>
      </c>
    </row>
    <row r="8" spans="1:18" ht="14.25" customHeight="1" x14ac:dyDescent="0.25">
      <c r="A8" s="1">
        <v>4</v>
      </c>
      <c r="B8" s="1" t="s">
        <v>53</v>
      </c>
      <c r="C8" s="1" t="s">
        <v>77</v>
      </c>
      <c r="D8" s="1" t="s">
        <v>78</v>
      </c>
      <c r="E8" s="1">
        <v>3</v>
      </c>
      <c r="F8" s="1">
        <v>3</v>
      </c>
      <c r="G8" s="1">
        <v>6</v>
      </c>
      <c r="H8" s="1">
        <v>5</v>
      </c>
      <c r="I8" s="1">
        <v>5</v>
      </c>
      <c r="J8" s="1">
        <v>4</v>
      </c>
      <c r="K8" s="1">
        <v>2</v>
      </c>
      <c r="L8" s="1">
        <v>3</v>
      </c>
      <c r="M8" s="1">
        <v>4</v>
      </c>
      <c r="N8" s="1">
        <v>6</v>
      </c>
      <c r="O8" s="1">
        <v>5</v>
      </c>
      <c r="P8" s="1">
        <v>1.04</v>
      </c>
      <c r="Q8" s="1">
        <v>1.04</v>
      </c>
      <c r="R8" s="11" t="str">
        <f t="shared" si="0"/>
        <v>RB</v>
      </c>
    </row>
    <row r="9" spans="1:18" ht="14.25" customHeight="1" x14ac:dyDescent="0.25">
      <c r="A9" s="1">
        <v>5</v>
      </c>
      <c r="B9" s="1" t="s">
        <v>47</v>
      </c>
      <c r="C9" s="1" t="s">
        <v>68</v>
      </c>
      <c r="D9" s="1" t="s">
        <v>69</v>
      </c>
      <c r="E9" s="1">
        <v>5</v>
      </c>
      <c r="F9" s="1">
        <v>6</v>
      </c>
      <c r="G9" s="1">
        <v>5</v>
      </c>
      <c r="H9" s="1">
        <v>4</v>
      </c>
      <c r="I9" s="1">
        <v>4</v>
      </c>
      <c r="J9" s="1">
        <v>3</v>
      </c>
      <c r="K9" s="1">
        <v>6</v>
      </c>
      <c r="L9" s="1">
        <v>5</v>
      </c>
      <c r="M9" s="1">
        <v>5</v>
      </c>
      <c r="N9" s="1">
        <v>3</v>
      </c>
      <c r="O9" s="1">
        <v>3</v>
      </c>
      <c r="P9" s="1">
        <v>1.05</v>
      </c>
      <c r="Q9" s="1">
        <v>1.05</v>
      </c>
      <c r="R9" s="11" t="str">
        <f t="shared" si="0"/>
        <v>WR</v>
      </c>
    </row>
    <row r="10" spans="1:18" ht="14.25" customHeight="1" x14ac:dyDescent="0.25">
      <c r="A10" s="1">
        <v>6</v>
      </c>
      <c r="B10" s="1" t="s">
        <v>50</v>
      </c>
      <c r="C10" s="1" t="s">
        <v>71</v>
      </c>
      <c r="D10" s="1" t="s">
        <v>72</v>
      </c>
      <c r="E10" s="1">
        <v>6</v>
      </c>
      <c r="F10" s="1">
        <v>4</v>
      </c>
      <c r="G10" s="1">
        <v>3</v>
      </c>
      <c r="H10" s="1">
        <v>6</v>
      </c>
      <c r="I10" s="1">
        <v>6</v>
      </c>
      <c r="J10" s="1">
        <v>5</v>
      </c>
      <c r="K10" s="1">
        <v>5</v>
      </c>
      <c r="L10" s="1">
        <v>6</v>
      </c>
      <c r="M10" s="1">
        <v>6</v>
      </c>
      <c r="N10" s="1">
        <v>5</v>
      </c>
      <c r="O10" s="1">
        <v>6</v>
      </c>
      <c r="P10" s="1">
        <v>1.06</v>
      </c>
      <c r="Q10" s="1">
        <v>1.06</v>
      </c>
      <c r="R10" s="11" t="str">
        <f t="shared" si="0"/>
        <v>WR</v>
      </c>
    </row>
    <row r="11" spans="1:18" ht="14.25" customHeight="1" x14ac:dyDescent="0.25">
      <c r="A11" s="1">
        <v>7</v>
      </c>
      <c r="B11" s="1" t="s">
        <v>57</v>
      </c>
      <c r="C11" s="1" t="s">
        <v>54</v>
      </c>
      <c r="D11" s="1" t="s">
        <v>55</v>
      </c>
      <c r="E11" s="1">
        <v>8</v>
      </c>
      <c r="F11" s="1">
        <v>7</v>
      </c>
      <c r="G11" s="1">
        <v>7</v>
      </c>
      <c r="H11" s="1">
        <v>8</v>
      </c>
      <c r="I11" s="1">
        <v>7</v>
      </c>
      <c r="J11" s="1">
        <v>11</v>
      </c>
      <c r="K11" s="1">
        <v>10</v>
      </c>
      <c r="L11" s="1">
        <v>9</v>
      </c>
      <c r="M11" s="1">
        <v>8</v>
      </c>
      <c r="N11" s="1">
        <v>7</v>
      </c>
      <c r="O11" s="1">
        <v>7</v>
      </c>
      <c r="P11" s="1">
        <v>1.07</v>
      </c>
      <c r="Q11" s="1">
        <v>1.07</v>
      </c>
      <c r="R11" s="11" t="str">
        <f t="shared" si="0"/>
        <v>RB</v>
      </c>
    </row>
    <row r="12" spans="1:18" ht="14.25" customHeight="1" x14ac:dyDescent="0.25">
      <c r="A12" s="1">
        <v>8</v>
      </c>
      <c r="B12" s="1" t="s">
        <v>62</v>
      </c>
      <c r="C12" s="1" t="s">
        <v>63</v>
      </c>
      <c r="D12" s="1" t="s">
        <v>35</v>
      </c>
      <c r="E12" s="1">
        <v>12</v>
      </c>
      <c r="F12" s="1">
        <v>8</v>
      </c>
      <c r="G12" s="1">
        <v>11</v>
      </c>
      <c r="H12" s="1">
        <v>11</v>
      </c>
      <c r="I12" s="1">
        <v>9</v>
      </c>
      <c r="J12" s="1">
        <v>8</v>
      </c>
      <c r="K12" s="1">
        <v>8</v>
      </c>
      <c r="L12" s="1">
        <v>8</v>
      </c>
      <c r="M12" s="1">
        <v>7</v>
      </c>
      <c r="N12" s="1">
        <v>9</v>
      </c>
      <c r="O12" s="1">
        <v>10</v>
      </c>
      <c r="P12" s="1">
        <v>1.08</v>
      </c>
      <c r="Q12" s="1">
        <v>1.08</v>
      </c>
      <c r="R12" s="11" t="str">
        <f t="shared" si="0"/>
        <v>WR</v>
      </c>
    </row>
    <row r="13" spans="1:18" ht="14.25" customHeight="1" x14ac:dyDescent="0.25">
      <c r="A13" s="1">
        <v>9</v>
      </c>
      <c r="B13" s="1" t="s">
        <v>67</v>
      </c>
      <c r="C13" s="1" t="s">
        <v>125</v>
      </c>
      <c r="D13" s="1" t="s">
        <v>126</v>
      </c>
      <c r="E13" s="1">
        <v>11</v>
      </c>
      <c r="F13" s="1">
        <v>10</v>
      </c>
      <c r="G13" s="1">
        <v>9</v>
      </c>
      <c r="H13" s="1">
        <v>10</v>
      </c>
      <c r="I13" s="1">
        <v>8</v>
      </c>
      <c r="J13" s="1">
        <v>9</v>
      </c>
      <c r="K13" s="1">
        <v>12</v>
      </c>
      <c r="L13" s="1">
        <v>10</v>
      </c>
      <c r="M13" s="1">
        <v>9</v>
      </c>
      <c r="N13" s="1">
        <v>10</v>
      </c>
      <c r="O13" s="1">
        <v>9</v>
      </c>
      <c r="P13" s="1">
        <v>1.0900000000000001</v>
      </c>
      <c r="Q13" s="1">
        <v>1.0900000000000001</v>
      </c>
      <c r="R13" s="11" t="str">
        <f t="shared" si="0"/>
        <v>WR</v>
      </c>
    </row>
    <row r="14" spans="1:18" ht="14.25" customHeight="1" x14ac:dyDescent="0.25">
      <c r="A14" s="1">
        <v>10</v>
      </c>
      <c r="B14" s="1" t="s">
        <v>64</v>
      </c>
      <c r="C14" s="1" t="s">
        <v>93</v>
      </c>
      <c r="D14" s="1" t="s">
        <v>94</v>
      </c>
      <c r="E14" s="1">
        <v>9</v>
      </c>
      <c r="F14" s="1">
        <v>11</v>
      </c>
      <c r="G14" s="1">
        <v>10</v>
      </c>
      <c r="H14" s="1">
        <v>9</v>
      </c>
      <c r="I14" s="1">
        <v>10</v>
      </c>
      <c r="J14" s="1">
        <v>12</v>
      </c>
      <c r="K14" s="1">
        <v>9</v>
      </c>
      <c r="L14" s="1">
        <v>14</v>
      </c>
      <c r="M14" s="1">
        <v>10</v>
      </c>
      <c r="N14" s="1">
        <v>12</v>
      </c>
      <c r="O14" s="1">
        <v>13</v>
      </c>
      <c r="P14" s="1">
        <v>1.1000000000000001</v>
      </c>
      <c r="Q14" s="1">
        <v>1.1000000000000001</v>
      </c>
      <c r="R14" s="11" t="str">
        <f t="shared" si="0"/>
        <v>RB</v>
      </c>
    </row>
    <row r="15" spans="1:18" ht="14.25" customHeight="1" x14ac:dyDescent="0.25">
      <c r="A15" s="1">
        <v>11</v>
      </c>
      <c r="B15" s="1" t="s">
        <v>74</v>
      </c>
      <c r="C15" s="1" t="s">
        <v>90</v>
      </c>
      <c r="D15" s="1" t="s">
        <v>91</v>
      </c>
      <c r="E15" s="1">
        <v>7</v>
      </c>
      <c r="F15" s="1">
        <v>12</v>
      </c>
      <c r="G15" s="1">
        <v>13</v>
      </c>
      <c r="H15" s="1">
        <v>14</v>
      </c>
      <c r="I15" s="1">
        <v>13</v>
      </c>
      <c r="J15" s="1">
        <v>10</v>
      </c>
      <c r="K15" s="1">
        <v>7</v>
      </c>
      <c r="L15" s="1">
        <v>11</v>
      </c>
      <c r="M15" s="1">
        <v>11</v>
      </c>
      <c r="N15" s="1">
        <v>15</v>
      </c>
      <c r="O15" s="1">
        <v>14</v>
      </c>
      <c r="P15" s="1">
        <v>2.0099999999999998</v>
      </c>
      <c r="Q15" s="1">
        <v>1.1100000000000001</v>
      </c>
      <c r="R15" s="11" t="str">
        <f t="shared" si="0"/>
        <v>RB</v>
      </c>
    </row>
    <row r="16" spans="1:18" ht="14.25" customHeight="1" x14ac:dyDescent="0.25">
      <c r="A16" s="1">
        <v>12</v>
      </c>
      <c r="B16" s="1" t="s">
        <v>70</v>
      </c>
      <c r="C16" s="1" t="s">
        <v>115</v>
      </c>
      <c r="D16" s="1" t="s">
        <v>116</v>
      </c>
      <c r="E16" s="1">
        <v>13</v>
      </c>
      <c r="F16" s="1">
        <v>13</v>
      </c>
      <c r="G16" s="1">
        <v>12</v>
      </c>
      <c r="H16" s="1">
        <v>12</v>
      </c>
      <c r="I16" s="1">
        <v>12</v>
      </c>
      <c r="J16" s="1">
        <v>16</v>
      </c>
      <c r="K16" s="1">
        <v>13</v>
      </c>
      <c r="L16" s="1">
        <v>7</v>
      </c>
      <c r="M16" s="1">
        <v>13</v>
      </c>
      <c r="N16" s="1">
        <v>8</v>
      </c>
      <c r="O16" s="1">
        <v>8</v>
      </c>
      <c r="P16" s="1">
        <v>2.02</v>
      </c>
      <c r="Q16" s="1">
        <v>1.1200000000000001</v>
      </c>
      <c r="R16" s="11" t="str">
        <f t="shared" si="0"/>
        <v>WR</v>
      </c>
    </row>
    <row r="17" spans="1:18" ht="14.25" customHeight="1" x14ac:dyDescent="0.25">
      <c r="A17" s="1">
        <v>13</v>
      </c>
      <c r="B17" s="1" t="s">
        <v>101</v>
      </c>
      <c r="C17" s="1" t="s">
        <v>48</v>
      </c>
      <c r="D17" s="1" t="s">
        <v>49</v>
      </c>
      <c r="E17" s="1">
        <v>14</v>
      </c>
      <c r="F17" s="1">
        <v>9</v>
      </c>
      <c r="G17" s="1">
        <v>8</v>
      </c>
      <c r="H17" s="1">
        <v>15</v>
      </c>
      <c r="I17" s="1">
        <v>14</v>
      </c>
      <c r="J17" s="1">
        <v>7</v>
      </c>
      <c r="K17" s="1">
        <v>11</v>
      </c>
      <c r="L17" s="1">
        <v>16</v>
      </c>
      <c r="M17" s="1">
        <v>12</v>
      </c>
      <c r="N17" s="1">
        <v>13</v>
      </c>
      <c r="O17" s="1">
        <v>11</v>
      </c>
      <c r="P17" s="1">
        <v>2.0299999999999998</v>
      </c>
      <c r="Q17" s="1">
        <v>2.0099999999999998</v>
      </c>
      <c r="R17" s="11" t="str">
        <f t="shared" si="0"/>
        <v>WR</v>
      </c>
    </row>
    <row r="18" spans="1:18" ht="14.25" customHeight="1" x14ac:dyDescent="0.25">
      <c r="A18" s="1">
        <v>14</v>
      </c>
      <c r="B18" s="1" t="s">
        <v>108</v>
      </c>
      <c r="C18" s="1" t="s">
        <v>239</v>
      </c>
      <c r="D18" s="1" t="s">
        <v>199</v>
      </c>
      <c r="E18" s="1">
        <v>20</v>
      </c>
      <c r="F18" s="1">
        <v>16</v>
      </c>
      <c r="G18" s="1">
        <v>14</v>
      </c>
      <c r="H18" s="1">
        <v>16</v>
      </c>
      <c r="I18" s="1">
        <v>11</v>
      </c>
      <c r="J18" s="1">
        <v>13</v>
      </c>
      <c r="K18" s="1">
        <v>16</v>
      </c>
      <c r="L18" s="1">
        <v>13</v>
      </c>
      <c r="M18" s="1">
        <v>14</v>
      </c>
      <c r="N18" s="1">
        <v>11</v>
      </c>
      <c r="O18" s="1">
        <v>12</v>
      </c>
      <c r="P18" s="1">
        <v>2.04</v>
      </c>
      <c r="Q18" s="1">
        <v>2.02</v>
      </c>
      <c r="R18" s="11" t="str">
        <f t="shared" si="0"/>
        <v>WR</v>
      </c>
    </row>
    <row r="19" spans="1:18" ht="14.25" customHeight="1" x14ac:dyDescent="0.25">
      <c r="A19" s="1">
        <v>15</v>
      </c>
      <c r="B19" s="1" t="s">
        <v>76</v>
      </c>
      <c r="C19" s="1" t="s">
        <v>80</v>
      </c>
      <c r="D19" s="1" t="s">
        <v>81</v>
      </c>
      <c r="E19" s="1">
        <v>16</v>
      </c>
      <c r="F19" s="1">
        <v>14</v>
      </c>
      <c r="G19" s="1">
        <v>15</v>
      </c>
      <c r="H19" s="1">
        <v>18</v>
      </c>
      <c r="I19" s="1">
        <v>16</v>
      </c>
      <c r="J19" s="1">
        <v>14</v>
      </c>
      <c r="K19" s="1">
        <v>14</v>
      </c>
      <c r="L19" s="1">
        <v>20</v>
      </c>
      <c r="M19" s="1">
        <v>15</v>
      </c>
      <c r="N19" s="1">
        <v>18</v>
      </c>
      <c r="O19" s="1">
        <v>16</v>
      </c>
      <c r="P19" s="1">
        <v>2.0499999999999998</v>
      </c>
      <c r="Q19" s="1">
        <v>2.0299999999999998</v>
      </c>
      <c r="R19" s="11" t="str">
        <f t="shared" si="0"/>
        <v>RB</v>
      </c>
    </row>
    <row r="20" spans="1:18" ht="14.25" customHeight="1" x14ac:dyDescent="0.25">
      <c r="A20" s="1">
        <v>16</v>
      </c>
      <c r="B20" s="1" t="s">
        <v>114</v>
      </c>
      <c r="C20" s="1" t="s">
        <v>109</v>
      </c>
      <c r="D20" s="1" t="s">
        <v>39</v>
      </c>
      <c r="E20" s="1">
        <v>23</v>
      </c>
      <c r="F20" s="1">
        <v>21</v>
      </c>
      <c r="G20" s="1">
        <v>16</v>
      </c>
      <c r="H20" s="1">
        <v>19</v>
      </c>
      <c r="I20" s="1">
        <v>15</v>
      </c>
      <c r="J20" s="1">
        <v>20</v>
      </c>
      <c r="K20" s="1">
        <v>17</v>
      </c>
      <c r="L20" s="1">
        <v>12</v>
      </c>
      <c r="M20" s="1">
        <v>17</v>
      </c>
      <c r="N20" s="1">
        <v>14</v>
      </c>
      <c r="O20" s="1">
        <v>15</v>
      </c>
      <c r="P20" s="1">
        <v>2.06</v>
      </c>
      <c r="Q20" s="1">
        <v>2.04</v>
      </c>
      <c r="R20" s="11" t="str">
        <f t="shared" si="0"/>
        <v>WR</v>
      </c>
    </row>
    <row r="21" spans="1:18" ht="14.25" customHeight="1" x14ac:dyDescent="0.25">
      <c r="A21" s="1">
        <v>17</v>
      </c>
      <c r="B21" s="1" t="s">
        <v>97</v>
      </c>
      <c r="C21" s="1" t="s">
        <v>98</v>
      </c>
      <c r="D21" s="1" t="s">
        <v>94</v>
      </c>
      <c r="E21" s="1">
        <v>24</v>
      </c>
      <c r="F21" s="1">
        <v>20</v>
      </c>
      <c r="G21" s="1">
        <v>19</v>
      </c>
      <c r="H21" s="1">
        <v>7</v>
      </c>
      <c r="I21" s="1">
        <v>18</v>
      </c>
      <c r="J21" s="1">
        <v>17</v>
      </c>
      <c r="K21" s="1">
        <v>19</v>
      </c>
      <c r="L21" s="1">
        <v>23</v>
      </c>
      <c r="M21" s="1">
        <v>16</v>
      </c>
      <c r="N21" s="1">
        <v>19</v>
      </c>
      <c r="O21" s="1">
        <v>18</v>
      </c>
      <c r="P21" s="1">
        <v>2.0699999999999998</v>
      </c>
      <c r="Q21" s="1">
        <v>2.0499999999999998</v>
      </c>
      <c r="R21" s="11" t="str">
        <f t="shared" si="0"/>
        <v>TE</v>
      </c>
    </row>
    <row r="22" spans="1:18" ht="14.25" customHeight="1" x14ac:dyDescent="0.25">
      <c r="A22" s="1">
        <v>18</v>
      </c>
      <c r="B22" s="1" t="s">
        <v>117</v>
      </c>
      <c r="C22" s="1" t="s">
        <v>103</v>
      </c>
      <c r="D22" s="1" t="s">
        <v>78</v>
      </c>
      <c r="E22" s="1">
        <v>27</v>
      </c>
      <c r="F22" s="1">
        <v>18</v>
      </c>
      <c r="G22" s="1">
        <v>22</v>
      </c>
      <c r="H22" s="1">
        <v>23</v>
      </c>
      <c r="I22" s="1">
        <v>21</v>
      </c>
      <c r="J22" s="1">
        <v>15</v>
      </c>
      <c r="K22" s="1">
        <v>18</v>
      </c>
      <c r="L22" s="1">
        <v>18</v>
      </c>
      <c r="M22" s="1">
        <v>19</v>
      </c>
      <c r="N22" s="1">
        <v>17</v>
      </c>
      <c r="O22" s="1">
        <v>17</v>
      </c>
      <c r="P22" s="1">
        <v>2.08</v>
      </c>
      <c r="Q22" s="1">
        <v>2.06</v>
      </c>
      <c r="R22" s="11" t="str">
        <f t="shared" si="0"/>
        <v>WR</v>
      </c>
    </row>
    <row r="23" spans="1:18" ht="14.25" customHeight="1" x14ac:dyDescent="0.25">
      <c r="A23" s="1">
        <v>19</v>
      </c>
      <c r="B23" s="1" t="s">
        <v>79</v>
      </c>
      <c r="C23" s="1" t="s">
        <v>218</v>
      </c>
      <c r="D23" s="1" t="s">
        <v>214</v>
      </c>
      <c r="E23" s="1">
        <v>10</v>
      </c>
      <c r="F23" s="1">
        <v>17</v>
      </c>
      <c r="G23" s="1">
        <v>23</v>
      </c>
      <c r="H23" s="1">
        <v>22</v>
      </c>
      <c r="I23" s="1">
        <v>22</v>
      </c>
      <c r="J23" s="1">
        <v>19</v>
      </c>
      <c r="K23" s="1">
        <v>15</v>
      </c>
      <c r="L23" s="1">
        <v>15</v>
      </c>
      <c r="M23" s="1">
        <v>26</v>
      </c>
      <c r="N23" s="1">
        <v>23</v>
      </c>
      <c r="O23" s="1">
        <v>23</v>
      </c>
      <c r="P23" s="1">
        <v>2.09</v>
      </c>
      <c r="Q23" s="1">
        <v>2.0699999999999998</v>
      </c>
      <c r="R23" s="11" t="str">
        <f t="shared" si="0"/>
        <v>RB</v>
      </c>
    </row>
    <row r="24" spans="1:18" ht="14.25" customHeight="1" x14ac:dyDescent="0.25">
      <c r="A24" s="1">
        <v>20</v>
      </c>
      <c r="B24" s="1" t="s">
        <v>83</v>
      </c>
      <c r="C24" s="1" t="s">
        <v>58</v>
      </c>
      <c r="D24" s="1" t="s">
        <v>60</v>
      </c>
      <c r="E24" s="1">
        <v>21</v>
      </c>
      <c r="F24" s="1">
        <v>15</v>
      </c>
      <c r="G24" s="1">
        <v>20</v>
      </c>
      <c r="H24" s="1">
        <v>21</v>
      </c>
      <c r="I24" s="1">
        <v>20</v>
      </c>
      <c r="J24" s="1">
        <v>22</v>
      </c>
      <c r="K24" s="1">
        <v>20</v>
      </c>
      <c r="L24" s="1">
        <v>19</v>
      </c>
      <c r="M24" s="1">
        <v>18</v>
      </c>
      <c r="N24" s="1">
        <v>20</v>
      </c>
      <c r="O24" s="1">
        <v>22</v>
      </c>
      <c r="P24" s="1">
        <v>2.1</v>
      </c>
      <c r="Q24" s="1">
        <v>2.08</v>
      </c>
      <c r="R24" s="11" t="str">
        <f t="shared" si="0"/>
        <v>RB</v>
      </c>
    </row>
    <row r="25" spans="1:18" ht="14.25" customHeight="1" x14ac:dyDescent="0.25">
      <c r="A25" s="1">
        <v>21</v>
      </c>
      <c r="B25" s="1" t="s">
        <v>86</v>
      </c>
      <c r="C25" s="1" t="s">
        <v>75</v>
      </c>
      <c r="D25" s="1" t="s">
        <v>44</v>
      </c>
      <c r="E25" s="1">
        <v>19</v>
      </c>
      <c r="F25" s="1">
        <v>24</v>
      </c>
      <c r="G25" s="1">
        <v>18</v>
      </c>
      <c r="H25" s="1">
        <v>17</v>
      </c>
      <c r="I25" s="1">
        <v>17</v>
      </c>
      <c r="J25" s="1">
        <v>26</v>
      </c>
      <c r="K25" s="1">
        <v>28</v>
      </c>
      <c r="L25" s="1">
        <v>21</v>
      </c>
      <c r="M25" s="1">
        <v>25</v>
      </c>
      <c r="N25" s="1">
        <v>16</v>
      </c>
      <c r="O25" s="1">
        <v>19</v>
      </c>
      <c r="P25" s="1">
        <v>3.01</v>
      </c>
      <c r="Q25" s="1">
        <v>2.09</v>
      </c>
      <c r="R25" s="11" t="str">
        <f t="shared" si="0"/>
        <v>RB</v>
      </c>
    </row>
    <row r="26" spans="1:18" ht="14.25" customHeight="1" x14ac:dyDescent="0.25">
      <c r="A26" s="1">
        <v>22</v>
      </c>
      <c r="B26" s="1" t="s">
        <v>89</v>
      </c>
      <c r="C26" s="1" t="s">
        <v>189</v>
      </c>
      <c r="D26" s="1" t="s">
        <v>163</v>
      </c>
      <c r="E26" s="1">
        <v>22</v>
      </c>
      <c r="F26" s="1">
        <v>22</v>
      </c>
      <c r="G26" s="1">
        <v>25</v>
      </c>
      <c r="H26" s="1">
        <v>20</v>
      </c>
      <c r="I26" s="1">
        <v>19</v>
      </c>
      <c r="J26" s="1">
        <v>24</v>
      </c>
      <c r="K26" s="1">
        <v>22</v>
      </c>
      <c r="L26" s="1">
        <v>17</v>
      </c>
      <c r="M26" s="1">
        <v>23</v>
      </c>
      <c r="N26" s="1">
        <v>21</v>
      </c>
      <c r="O26" s="1">
        <v>20</v>
      </c>
      <c r="P26" s="1">
        <v>3.02</v>
      </c>
      <c r="Q26" s="1">
        <v>2.1</v>
      </c>
      <c r="R26" s="11" t="str">
        <f t="shared" si="0"/>
        <v>RB</v>
      </c>
    </row>
    <row r="27" spans="1:18" ht="14.25" customHeight="1" x14ac:dyDescent="0.25">
      <c r="A27" s="1">
        <v>23</v>
      </c>
      <c r="B27" s="1" t="s">
        <v>130</v>
      </c>
      <c r="C27" s="1" t="s">
        <v>131</v>
      </c>
      <c r="D27" s="1" t="s">
        <v>66</v>
      </c>
      <c r="E27" s="1">
        <v>15</v>
      </c>
      <c r="F27" s="1">
        <v>19</v>
      </c>
      <c r="G27" s="1">
        <v>27</v>
      </c>
      <c r="H27" s="1">
        <v>27</v>
      </c>
      <c r="I27" s="1">
        <v>25</v>
      </c>
      <c r="J27" s="1">
        <v>21</v>
      </c>
      <c r="K27" s="1">
        <v>21</v>
      </c>
      <c r="L27" s="1">
        <v>28</v>
      </c>
      <c r="M27" s="1">
        <v>22</v>
      </c>
      <c r="N27" s="1">
        <v>26</v>
      </c>
      <c r="O27" s="1">
        <v>28</v>
      </c>
      <c r="P27" s="1">
        <v>3.03</v>
      </c>
      <c r="Q27" s="1">
        <v>2.11</v>
      </c>
      <c r="R27" s="11" t="str">
        <f t="shared" si="0"/>
        <v>QB</v>
      </c>
    </row>
    <row r="28" spans="1:18" ht="14.25" customHeight="1" x14ac:dyDescent="0.25">
      <c r="A28" s="1">
        <v>24</v>
      </c>
      <c r="B28" s="1" t="s">
        <v>124</v>
      </c>
      <c r="C28" s="1" t="s">
        <v>165</v>
      </c>
      <c r="D28" s="1" t="s">
        <v>88</v>
      </c>
      <c r="E28" s="1">
        <v>29</v>
      </c>
      <c r="F28" s="1">
        <v>30</v>
      </c>
      <c r="G28" s="1">
        <v>24</v>
      </c>
      <c r="H28" s="1">
        <v>25</v>
      </c>
      <c r="I28" s="1">
        <v>23</v>
      </c>
      <c r="J28" s="1">
        <v>23</v>
      </c>
      <c r="K28" s="1">
        <v>24</v>
      </c>
      <c r="L28" s="1">
        <v>22</v>
      </c>
      <c r="M28" s="1">
        <v>20</v>
      </c>
      <c r="N28" s="1">
        <v>22</v>
      </c>
      <c r="O28" s="1">
        <v>21</v>
      </c>
      <c r="P28" s="1">
        <v>3.04</v>
      </c>
      <c r="Q28" s="1">
        <v>2.12</v>
      </c>
      <c r="R28" s="11" t="str">
        <f t="shared" si="0"/>
        <v>WR</v>
      </c>
    </row>
    <row r="29" spans="1:18" ht="14.25" customHeight="1" x14ac:dyDescent="0.25">
      <c r="A29" s="1">
        <v>25</v>
      </c>
      <c r="B29" s="1" t="s">
        <v>173</v>
      </c>
      <c r="C29" s="1" t="s">
        <v>174</v>
      </c>
      <c r="D29" s="1" t="s">
        <v>91</v>
      </c>
      <c r="E29" s="1">
        <v>17</v>
      </c>
      <c r="F29" s="1">
        <v>23</v>
      </c>
      <c r="G29" s="1">
        <v>31</v>
      </c>
      <c r="H29" s="1">
        <v>29</v>
      </c>
      <c r="I29" s="1">
        <v>24</v>
      </c>
      <c r="J29" s="1">
        <v>18</v>
      </c>
      <c r="K29" s="1">
        <v>23</v>
      </c>
      <c r="L29" s="1">
        <v>26</v>
      </c>
      <c r="M29" s="1">
        <v>21</v>
      </c>
      <c r="N29" s="1">
        <v>30</v>
      </c>
      <c r="O29" s="1">
        <v>29</v>
      </c>
      <c r="P29" s="1">
        <v>3.05</v>
      </c>
      <c r="Q29" s="1">
        <v>3.01</v>
      </c>
      <c r="R29" s="11" t="str">
        <f t="shared" si="0"/>
        <v>QB</v>
      </c>
    </row>
    <row r="30" spans="1:18" ht="14.25" customHeight="1" x14ac:dyDescent="0.25">
      <c r="A30" s="1">
        <v>26</v>
      </c>
      <c r="B30" s="1" t="s">
        <v>121</v>
      </c>
      <c r="C30" s="1" t="s">
        <v>122</v>
      </c>
      <c r="D30" s="1" t="s">
        <v>123</v>
      </c>
      <c r="E30" s="1">
        <v>35</v>
      </c>
      <c r="F30" s="1">
        <v>25</v>
      </c>
      <c r="G30" s="1">
        <v>28</v>
      </c>
      <c r="H30" s="1">
        <v>13</v>
      </c>
      <c r="I30" s="1">
        <v>26</v>
      </c>
      <c r="J30" s="1">
        <v>27</v>
      </c>
      <c r="K30" s="1">
        <v>26</v>
      </c>
      <c r="L30" s="1">
        <v>24</v>
      </c>
      <c r="M30" s="1">
        <v>24</v>
      </c>
      <c r="N30" s="1">
        <v>24</v>
      </c>
      <c r="O30" s="1">
        <v>25</v>
      </c>
      <c r="P30" s="1">
        <v>3.06</v>
      </c>
      <c r="Q30" s="1">
        <v>3.02</v>
      </c>
      <c r="R30" s="11" t="str">
        <f t="shared" si="0"/>
        <v>TE</v>
      </c>
    </row>
    <row r="31" spans="1:18" ht="14.25" customHeight="1" x14ac:dyDescent="0.25">
      <c r="A31" s="1">
        <v>27</v>
      </c>
      <c r="B31" s="1" t="s">
        <v>92</v>
      </c>
      <c r="C31" s="1" t="s">
        <v>135</v>
      </c>
      <c r="D31" s="1" t="s">
        <v>49</v>
      </c>
      <c r="E31" s="1">
        <v>18</v>
      </c>
      <c r="F31" s="1">
        <v>29</v>
      </c>
      <c r="G31" s="1">
        <v>30</v>
      </c>
      <c r="H31" s="1">
        <v>26</v>
      </c>
      <c r="I31" s="1">
        <v>27</v>
      </c>
      <c r="J31" s="1">
        <v>25</v>
      </c>
      <c r="K31" s="1">
        <v>25</v>
      </c>
      <c r="L31" s="1">
        <v>27</v>
      </c>
      <c r="M31" s="1">
        <v>27</v>
      </c>
      <c r="N31" s="1">
        <v>31</v>
      </c>
      <c r="O31" s="1">
        <v>31</v>
      </c>
      <c r="P31" s="1">
        <v>3.07</v>
      </c>
      <c r="Q31" s="1">
        <v>3.03</v>
      </c>
      <c r="R31" s="11" t="str">
        <f t="shared" si="0"/>
        <v>RB</v>
      </c>
    </row>
    <row r="32" spans="1:18" ht="14.25" customHeight="1" x14ac:dyDescent="0.25">
      <c r="A32" s="1">
        <v>28</v>
      </c>
      <c r="B32" s="1" t="s">
        <v>127</v>
      </c>
      <c r="C32" s="1" t="s">
        <v>150</v>
      </c>
      <c r="D32" s="1" t="s">
        <v>44</v>
      </c>
      <c r="E32" s="1">
        <v>32</v>
      </c>
      <c r="F32" s="1">
        <v>26</v>
      </c>
      <c r="G32" s="1">
        <v>33</v>
      </c>
      <c r="H32" s="1">
        <v>30</v>
      </c>
      <c r="I32" s="1">
        <v>29</v>
      </c>
      <c r="J32" s="1">
        <v>33</v>
      </c>
      <c r="K32" s="1">
        <v>31</v>
      </c>
      <c r="L32" s="1">
        <v>29</v>
      </c>
      <c r="M32" s="1">
        <v>28</v>
      </c>
      <c r="N32" s="1">
        <v>25</v>
      </c>
      <c r="O32" s="1">
        <v>24</v>
      </c>
      <c r="P32" s="1">
        <v>3.08</v>
      </c>
      <c r="Q32" s="1">
        <v>3.04</v>
      </c>
      <c r="R32" s="11" t="str">
        <f t="shared" si="0"/>
        <v>WR</v>
      </c>
    </row>
    <row r="33" spans="1:18" ht="14.25" customHeight="1" x14ac:dyDescent="0.25">
      <c r="A33" s="1">
        <v>29</v>
      </c>
      <c r="B33" s="1" t="s">
        <v>132</v>
      </c>
      <c r="C33" s="1" t="s">
        <v>51</v>
      </c>
      <c r="D33" s="1" t="s">
        <v>52</v>
      </c>
      <c r="E33" s="1">
        <v>40</v>
      </c>
      <c r="F33" s="1">
        <v>37</v>
      </c>
      <c r="G33" s="1">
        <v>32</v>
      </c>
      <c r="H33" s="1">
        <v>31</v>
      </c>
      <c r="I33" s="1">
        <v>28</v>
      </c>
      <c r="J33" s="1">
        <v>39</v>
      </c>
      <c r="K33" s="1">
        <v>29</v>
      </c>
      <c r="L33" s="1">
        <v>33</v>
      </c>
      <c r="M33" s="1">
        <v>29</v>
      </c>
      <c r="N33" s="1">
        <v>29</v>
      </c>
      <c r="O33" s="1">
        <v>32</v>
      </c>
      <c r="P33" s="1">
        <v>3.09</v>
      </c>
      <c r="Q33" s="1">
        <v>3.05</v>
      </c>
      <c r="R33" s="11" t="str">
        <f t="shared" si="0"/>
        <v>WR</v>
      </c>
    </row>
    <row r="34" spans="1:18" ht="14.25" customHeight="1" x14ac:dyDescent="0.25">
      <c r="A34" s="1">
        <v>30</v>
      </c>
      <c r="B34" s="1" t="s">
        <v>203</v>
      </c>
      <c r="C34" s="1" t="s">
        <v>224</v>
      </c>
      <c r="D34" s="1" t="s">
        <v>184</v>
      </c>
      <c r="E34" s="1">
        <v>30</v>
      </c>
      <c r="F34" s="1">
        <v>27</v>
      </c>
      <c r="G34" s="1">
        <v>42</v>
      </c>
      <c r="H34" s="1">
        <v>35</v>
      </c>
      <c r="I34" s="1">
        <v>35</v>
      </c>
      <c r="J34" s="1">
        <v>29</v>
      </c>
      <c r="K34" s="1">
        <v>33</v>
      </c>
      <c r="L34" s="1">
        <v>30</v>
      </c>
      <c r="M34" s="1">
        <v>30</v>
      </c>
      <c r="N34" s="1">
        <v>36</v>
      </c>
      <c r="O34" s="1">
        <v>37</v>
      </c>
      <c r="P34" s="1">
        <v>3.1</v>
      </c>
      <c r="Q34" s="1">
        <v>3.06</v>
      </c>
      <c r="R34" s="11" t="str">
        <f t="shared" si="0"/>
        <v>QB</v>
      </c>
    </row>
    <row r="35" spans="1:18" ht="14.25" customHeight="1" x14ac:dyDescent="0.25">
      <c r="A35" s="1">
        <v>31</v>
      </c>
      <c r="B35" s="1" t="s">
        <v>134</v>
      </c>
      <c r="C35" s="1" t="s">
        <v>87</v>
      </c>
      <c r="D35" s="1" t="s">
        <v>88</v>
      </c>
      <c r="E35" s="1">
        <v>37</v>
      </c>
      <c r="F35" s="1">
        <v>39</v>
      </c>
      <c r="G35" s="1">
        <v>35</v>
      </c>
      <c r="H35" s="1">
        <v>28</v>
      </c>
      <c r="I35" s="1">
        <v>31</v>
      </c>
      <c r="J35" s="1">
        <v>45</v>
      </c>
      <c r="K35" s="1">
        <v>35</v>
      </c>
      <c r="L35" s="1">
        <v>31</v>
      </c>
      <c r="M35" s="1">
        <v>38</v>
      </c>
      <c r="N35" s="1">
        <v>27</v>
      </c>
      <c r="O35" s="1">
        <v>27</v>
      </c>
      <c r="P35" s="1">
        <v>4.01</v>
      </c>
      <c r="Q35" s="1">
        <v>3.07</v>
      </c>
      <c r="R35" s="11" t="str">
        <f t="shared" si="0"/>
        <v>RB</v>
      </c>
    </row>
    <row r="36" spans="1:18" ht="14.25" customHeight="1" x14ac:dyDescent="0.25">
      <c r="A36" s="1">
        <v>32</v>
      </c>
      <c r="B36" s="1" t="s">
        <v>138</v>
      </c>
      <c r="C36" s="1" t="s">
        <v>190</v>
      </c>
      <c r="D36" s="1" t="s">
        <v>81</v>
      </c>
      <c r="E36" s="1">
        <v>39</v>
      </c>
      <c r="F36" s="1">
        <v>31</v>
      </c>
      <c r="G36" s="1">
        <v>36</v>
      </c>
      <c r="H36" s="1">
        <v>36</v>
      </c>
      <c r="I36" s="1">
        <v>33</v>
      </c>
      <c r="J36" s="1">
        <v>36</v>
      </c>
      <c r="K36" s="1">
        <v>27</v>
      </c>
      <c r="L36" s="1">
        <v>42</v>
      </c>
      <c r="M36" s="1">
        <v>36</v>
      </c>
      <c r="N36" s="1">
        <v>33</v>
      </c>
      <c r="O36" s="1">
        <v>26</v>
      </c>
      <c r="P36" s="1">
        <v>4.0199999999999996</v>
      </c>
      <c r="Q36" s="1">
        <v>3.08</v>
      </c>
      <c r="R36" s="11" t="str">
        <f t="shared" si="0"/>
        <v>WR</v>
      </c>
    </row>
    <row r="37" spans="1:18" ht="14.25" customHeight="1" x14ac:dyDescent="0.25">
      <c r="A37" s="1">
        <v>33</v>
      </c>
      <c r="B37" s="1" t="s">
        <v>136</v>
      </c>
      <c r="C37" s="1" t="s">
        <v>65</v>
      </c>
      <c r="D37" s="1" t="s">
        <v>66</v>
      </c>
      <c r="E37" s="1">
        <v>26</v>
      </c>
      <c r="F37" s="1">
        <v>32</v>
      </c>
      <c r="G37" s="1">
        <v>40</v>
      </c>
      <c r="H37" s="1">
        <v>33</v>
      </c>
      <c r="I37" s="1">
        <v>36</v>
      </c>
      <c r="J37" s="1">
        <v>30</v>
      </c>
      <c r="K37" s="1">
        <v>30</v>
      </c>
      <c r="L37" s="1">
        <v>34</v>
      </c>
      <c r="M37" s="1">
        <v>37</v>
      </c>
      <c r="N37" s="1">
        <v>44</v>
      </c>
      <c r="O37" s="1">
        <v>39</v>
      </c>
      <c r="P37" s="1">
        <v>4.03</v>
      </c>
      <c r="Q37" s="1">
        <v>3.09</v>
      </c>
      <c r="R37" s="11" t="str">
        <f t="shared" si="0"/>
        <v>RB</v>
      </c>
    </row>
    <row r="38" spans="1:18" ht="14.25" customHeight="1" x14ac:dyDescent="0.25">
      <c r="A38" s="1">
        <v>34</v>
      </c>
      <c r="B38" s="1" t="s">
        <v>153</v>
      </c>
      <c r="C38" s="1" t="s">
        <v>274</v>
      </c>
      <c r="D38" s="1" t="s">
        <v>55</v>
      </c>
      <c r="E38" s="1">
        <v>38</v>
      </c>
      <c r="F38" s="1">
        <v>35</v>
      </c>
      <c r="G38" s="1">
        <v>49</v>
      </c>
      <c r="H38" s="1">
        <v>24</v>
      </c>
      <c r="I38" s="1">
        <v>40</v>
      </c>
      <c r="J38" s="1">
        <v>38</v>
      </c>
      <c r="K38" s="1">
        <v>38</v>
      </c>
      <c r="L38" s="1">
        <v>25</v>
      </c>
      <c r="M38" s="1">
        <v>32</v>
      </c>
      <c r="N38" s="1">
        <v>34</v>
      </c>
      <c r="O38" s="1">
        <v>34</v>
      </c>
      <c r="P38" s="1">
        <v>4.04</v>
      </c>
      <c r="Q38" s="1">
        <v>3.1</v>
      </c>
      <c r="R38" s="11" t="str">
        <f t="shared" si="0"/>
        <v>TE</v>
      </c>
    </row>
    <row r="39" spans="1:18" ht="14.25" customHeight="1" x14ac:dyDescent="0.25">
      <c r="A39" s="1">
        <v>35</v>
      </c>
      <c r="B39" s="1" t="s">
        <v>146</v>
      </c>
      <c r="C39" s="1" t="s">
        <v>220</v>
      </c>
      <c r="D39" s="1" t="s">
        <v>163</v>
      </c>
      <c r="E39" s="1">
        <v>36</v>
      </c>
      <c r="F39" s="1">
        <v>43</v>
      </c>
      <c r="G39" s="1">
        <v>44</v>
      </c>
      <c r="H39" s="1">
        <v>38</v>
      </c>
      <c r="I39" s="1">
        <v>38</v>
      </c>
      <c r="J39" s="1">
        <v>32</v>
      </c>
      <c r="K39" s="1">
        <v>39</v>
      </c>
      <c r="L39" s="1">
        <v>32</v>
      </c>
      <c r="M39" s="1">
        <v>35</v>
      </c>
      <c r="N39" s="1">
        <v>32</v>
      </c>
      <c r="O39" s="1">
        <v>33</v>
      </c>
      <c r="P39" s="1">
        <v>4.05</v>
      </c>
      <c r="Q39" s="1">
        <v>3.11</v>
      </c>
      <c r="R39" s="11" t="str">
        <f t="shared" si="0"/>
        <v>WR</v>
      </c>
    </row>
    <row r="40" spans="1:18" ht="14.25" customHeight="1" x14ac:dyDescent="0.25">
      <c r="A40" s="1">
        <v>36</v>
      </c>
      <c r="B40" s="1" t="s">
        <v>149</v>
      </c>
      <c r="C40" s="1" t="s">
        <v>152</v>
      </c>
      <c r="D40" s="1" t="s">
        <v>145</v>
      </c>
      <c r="E40" s="1">
        <v>51</v>
      </c>
      <c r="F40" s="1">
        <v>41</v>
      </c>
      <c r="G40" s="1">
        <v>37</v>
      </c>
      <c r="H40" s="1">
        <v>39</v>
      </c>
      <c r="I40" s="1">
        <v>30</v>
      </c>
      <c r="J40" s="1">
        <v>37</v>
      </c>
      <c r="K40" s="1">
        <v>34</v>
      </c>
      <c r="L40" s="1">
        <v>39</v>
      </c>
      <c r="M40" s="1">
        <v>33</v>
      </c>
      <c r="N40" s="1">
        <v>28</v>
      </c>
      <c r="O40" s="1">
        <v>35</v>
      </c>
      <c r="P40" s="1">
        <v>4.0599999999999996</v>
      </c>
      <c r="Q40" s="1">
        <v>3.12</v>
      </c>
      <c r="R40" s="11" t="str">
        <f t="shared" si="0"/>
        <v>WR</v>
      </c>
    </row>
    <row r="41" spans="1:18" ht="14.25" customHeight="1" x14ac:dyDescent="0.25">
      <c r="A41" s="1">
        <v>37</v>
      </c>
      <c r="B41" s="1" t="s">
        <v>210</v>
      </c>
      <c r="C41" s="1" t="s">
        <v>235</v>
      </c>
      <c r="D41" s="1" t="s">
        <v>78</v>
      </c>
      <c r="E41" s="1">
        <v>31</v>
      </c>
      <c r="F41" s="1">
        <v>28</v>
      </c>
      <c r="G41" s="1">
        <v>51</v>
      </c>
      <c r="H41" s="1">
        <v>40</v>
      </c>
      <c r="I41" s="1">
        <v>43</v>
      </c>
      <c r="J41" s="1">
        <v>34</v>
      </c>
      <c r="K41" s="1">
        <v>37</v>
      </c>
      <c r="L41" s="1">
        <v>35</v>
      </c>
      <c r="M41" s="1">
        <v>34</v>
      </c>
      <c r="N41" s="1">
        <v>42</v>
      </c>
      <c r="O41" s="1">
        <v>44</v>
      </c>
      <c r="P41" s="1">
        <v>4.07</v>
      </c>
      <c r="Q41" s="1">
        <v>4.01</v>
      </c>
      <c r="R41" s="11" t="str">
        <f t="shared" si="0"/>
        <v>QB</v>
      </c>
    </row>
    <row r="42" spans="1:18" ht="14.25" customHeight="1" x14ac:dyDescent="0.25">
      <c r="A42" s="1">
        <v>38</v>
      </c>
      <c r="B42" s="1" t="s">
        <v>151</v>
      </c>
      <c r="C42" s="1" t="s">
        <v>226</v>
      </c>
      <c r="D42" s="1" t="s">
        <v>123</v>
      </c>
      <c r="E42" s="1">
        <v>46</v>
      </c>
      <c r="F42" s="1">
        <v>44</v>
      </c>
      <c r="G42" s="1">
        <v>39</v>
      </c>
      <c r="H42" s="1">
        <v>41</v>
      </c>
      <c r="I42" s="1">
        <v>34</v>
      </c>
      <c r="J42" s="1">
        <v>41</v>
      </c>
      <c r="K42" s="1">
        <v>36</v>
      </c>
      <c r="L42" s="1">
        <v>37</v>
      </c>
      <c r="M42" s="1">
        <v>39</v>
      </c>
      <c r="N42" s="1">
        <v>37</v>
      </c>
      <c r="O42" s="1">
        <v>30</v>
      </c>
      <c r="P42" s="1">
        <v>4.08</v>
      </c>
      <c r="Q42" s="1">
        <v>4.0199999999999996</v>
      </c>
      <c r="R42" s="11" t="str">
        <f t="shared" si="0"/>
        <v>WR</v>
      </c>
    </row>
    <row r="43" spans="1:18" ht="14.25" customHeight="1" x14ac:dyDescent="0.25">
      <c r="A43" s="1">
        <v>39</v>
      </c>
      <c r="B43" s="1" t="s">
        <v>158</v>
      </c>
      <c r="C43" s="1" t="s">
        <v>192</v>
      </c>
      <c r="D43" s="1" t="s">
        <v>49</v>
      </c>
      <c r="E43" s="1">
        <v>34</v>
      </c>
      <c r="F43" s="1">
        <v>34</v>
      </c>
      <c r="G43" s="1">
        <v>47</v>
      </c>
      <c r="H43" s="1">
        <v>43</v>
      </c>
      <c r="I43" s="1">
        <v>37</v>
      </c>
      <c r="J43" s="1">
        <v>48</v>
      </c>
      <c r="K43" s="1">
        <v>44</v>
      </c>
      <c r="L43" s="1">
        <v>43</v>
      </c>
      <c r="M43" s="1">
        <v>45</v>
      </c>
      <c r="N43" s="1">
        <v>41</v>
      </c>
      <c r="O43" s="1">
        <v>36</v>
      </c>
      <c r="P43" s="1">
        <v>4.09</v>
      </c>
      <c r="Q43" s="1">
        <v>4.03</v>
      </c>
      <c r="R43" s="11" t="str">
        <f t="shared" si="0"/>
        <v>WR</v>
      </c>
    </row>
    <row r="44" spans="1:18" ht="14.25" customHeight="1" x14ac:dyDescent="0.25">
      <c r="A44" s="1">
        <v>40</v>
      </c>
      <c r="B44" s="1" t="s">
        <v>223</v>
      </c>
      <c r="C44" s="1" t="s">
        <v>211</v>
      </c>
      <c r="D44" s="1" t="s">
        <v>44</v>
      </c>
      <c r="E44" s="1">
        <v>25</v>
      </c>
      <c r="F44" s="1">
        <v>33</v>
      </c>
      <c r="G44" s="1">
        <v>45</v>
      </c>
      <c r="H44" s="1">
        <v>45</v>
      </c>
      <c r="I44" s="1">
        <v>32</v>
      </c>
      <c r="J44" s="1">
        <v>35</v>
      </c>
      <c r="K44" s="1">
        <v>41</v>
      </c>
      <c r="L44" s="1">
        <v>53</v>
      </c>
      <c r="M44" s="1">
        <v>31</v>
      </c>
      <c r="N44" s="1">
        <v>53</v>
      </c>
      <c r="O44" s="1">
        <v>63</v>
      </c>
      <c r="P44" s="1">
        <v>4.0999999999999996</v>
      </c>
      <c r="Q44" s="1">
        <v>4.04</v>
      </c>
      <c r="R44" s="11" t="str">
        <f t="shared" si="0"/>
        <v>QB</v>
      </c>
    </row>
    <row r="45" spans="1:18" ht="14.25" customHeight="1" x14ac:dyDescent="0.25">
      <c r="A45" s="1">
        <v>41</v>
      </c>
      <c r="B45" s="1" t="s">
        <v>161</v>
      </c>
      <c r="C45" s="1" t="s">
        <v>183</v>
      </c>
      <c r="D45" s="1" t="s">
        <v>184</v>
      </c>
      <c r="E45" s="1">
        <v>45</v>
      </c>
      <c r="F45" s="1">
        <v>36</v>
      </c>
      <c r="G45" s="1">
        <v>56</v>
      </c>
      <c r="H45" s="1">
        <v>46</v>
      </c>
      <c r="I45" s="1">
        <v>44</v>
      </c>
      <c r="J45" s="1">
        <v>28</v>
      </c>
      <c r="K45" s="1">
        <v>42</v>
      </c>
      <c r="L45" s="1">
        <v>36</v>
      </c>
      <c r="M45" s="1">
        <v>42</v>
      </c>
      <c r="N45" s="1">
        <v>40</v>
      </c>
      <c r="O45" s="1">
        <v>41</v>
      </c>
      <c r="P45" s="1">
        <v>5.01</v>
      </c>
      <c r="Q45" s="1">
        <v>4.05</v>
      </c>
      <c r="R45" s="11" t="str">
        <f t="shared" si="0"/>
        <v>WR</v>
      </c>
    </row>
    <row r="46" spans="1:18" ht="14.25" customHeight="1" x14ac:dyDescent="0.25">
      <c r="A46" s="1">
        <v>42</v>
      </c>
      <c r="B46" s="1" t="s">
        <v>140</v>
      </c>
      <c r="C46" s="1" t="s">
        <v>143</v>
      </c>
      <c r="D46" s="1" t="s">
        <v>145</v>
      </c>
      <c r="E46" s="1">
        <v>41</v>
      </c>
      <c r="F46" s="1">
        <v>51</v>
      </c>
      <c r="G46" s="1">
        <v>41</v>
      </c>
      <c r="H46" s="1">
        <v>42</v>
      </c>
      <c r="I46" s="1">
        <v>39</v>
      </c>
      <c r="J46" s="1">
        <v>31</v>
      </c>
      <c r="K46" s="1">
        <v>32</v>
      </c>
      <c r="L46" s="1">
        <v>50</v>
      </c>
      <c r="M46" s="1">
        <v>40</v>
      </c>
      <c r="N46" s="1">
        <v>47</v>
      </c>
      <c r="O46" s="1">
        <v>46</v>
      </c>
      <c r="P46" s="1">
        <v>5.0199999999999996</v>
      </c>
      <c r="Q46" s="1">
        <v>4.0599999999999996</v>
      </c>
      <c r="R46" s="11" t="str">
        <f t="shared" si="0"/>
        <v>RB</v>
      </c>
    </row>
    <row r="47" spans="1:18" ht="14.25" customHeight="1" x14ac:dyDescent="0.25">
      <c r="A47" s="1">
        <v>43</v>
      </c>
      <c r="B47" s="1" t="s">
        <v>142</v>
      </c>
      <c r="C47" s="1" t="s">
        <v>84</v>
      </c>
      <c r="D47" s="1" t="s">
        <v>52</v>
      </c>
      <c r="E47" s="1">
        <v>33</v>
      </c>
      <c r="F47" s="1">
        <v>47</v>
      </c>
      <c r="G47" s="1">
        <v>55</v>
      </c>
      <c r="H47" s="1">
        <v>34</v>
      </c>
      <c r="I47" s="1">
        <v>41</v>
      </c>
      <c r="J47" s="1">
        <v>40</v>
      </c>
      <c r="K47" s="1">
        <v>43</v>
      </c>
      <c r="L47" s="1">
        <v>38</v>
      </c>
      <c r="M47" s="1">
        <v>47</v>
      </c>
      <c r="N47" s="1">
        <v>39</v>
      </c>
      <c r="O47" s="1">
        <v>47</v>
      </c>
      <c r="P47" s="1">
        <v>5.03</v>
      </c>
      <c r="Q47" s="1">
        <v>4.07</v>
      </c>
      <c r="R47" s="11" t="str">
        <f t="shared" si="0"/>
        <v>RB</v>
      </c>
    </row>
    <row r="48" spans="1:18" ht="14.25" customHeight="1" x14ac:dyDescent="0.25">
      <c r="A48" s="1">
        <v>44</v>
      </c>
      <c r="B48" s="1" t="s">
        <v>156</v>
      </c>
      <c r="C48" s="1" t="s">
        <v>417</v>
      </c>
      <c r="D48" s="1" t="s">
        <v>129</v>
      </c>
      <c r="E48" s="1">
        <v>28</v>
      </c>
      <c r="F48" s="1">
        <v>38</v>
      </c>
      <c r="G48" s="1">
        <v>53</v>
      </c>
      <c r="H48" s="1">
        <v>37</v>
      </c>
      <c r="I48" s="1">
        <v>49</v>
      </c>
      <c r="J48" s="1">
        <v>44</v>
      </c>
      <c r="K48" s="1">
        <v>40</v>
      </c>
      <c r="L48" s="1">
        <v>41</v>
      </c>
      <c r="M48" s="1">
        <v>41</v>
      </c>
      <c r="N48" s="1">
        <v>52</v>
      </c>
      <c r="O48" s="1">
        <v>58</v>
      </c>
      <c r="P48" s="1">
        <v>5.04</v>
      </c>
      <c r="Q48" s="1">
        <v>4.08</v>
      </c>
      <c r="R48" s="11" t="str">
        <f t="shared" si="0"/>
        <v>RB</v>
      </c>
    </row>
    <row r="49" spans="1:18" ht="14.25" customHeight="1" x14ac:dyDescent="0.25">
      <c r="A49" s="1">
        <v>45</v>
      </c>
      <c r="B49" s="1" t="s">
        <v>169</v>
      </c>
      <c r="C49" s="1" t="s">
        <v>216</v>
      </c>
      <c r="D49" s="1" t="s">
        <v>104</v>
      </c>
      <c r="E49" s="1">
        <v>43</v>
      </c>
      <c r="F49" s="1">
        <v>48</v>
      </c>
      <c r="G49" s="1">
        <v>46</v>
      </c>
      <c r="H49" s="1">
        <v>32</v>
      </c>
      <c r="I49" s="1">
        <v>42</v>
      </c>
      <c r="J49" s="1">
        <v>54</v>
      </c>
      <c r="K49" s="1">
        <v>54</v>
      </c>
      <c r="L49" s="1">
        <v>46</v>
      </c>
      <c r="M49" s="1">
        <v>50</v>
      </c>
      <c r="N49" s="1">
        <v>35</v>
      </c>
      <c r="O49" s="1">
        <v>43</v>
      </c>
      <c r="P49" s="1">
        <v>5.05</v>
      </c>
      <c r="Q49" s="1">
        <v>4.09</v>
      </c>
      <c r="R49" s="11" t="str">
        <f t="shared" si="0"/>
        <v>RB</v>
      </c>
    </row>
    <row r="50" spans="1:18" ht="14.25" customHeight="1" x14ac:dyDescent="0.25">
      <c r="A50" s="1">
        <v>46</v>
      </c>
      <c r="B50" s="1" t="s">
        <v>171</v>
      </c>
      <c r="C50" s="1" t="s">
        <v>280</v>
      </c>
      <c r="D50" s="1" t="s">
        <v>160</v>
      </c>
      <c r="E50" s="1">
        <v>44</v>
      </c>
      <c r="F50" s="1">
        <v>40</v>
      </c>
      <c r="G50" s="1">
        <v>60</v>
      </c>
      <c r="H50" s="1">
        <v>47</v>
      </c>
      <c r="I50" s="1">
        <v>51</v>
      </c>
      <c r="J50" s="1">
        <v>55</v>
      </c>
      <c r="K50" s="1">
        <v>45</v>
      </c>
      <c r="L50" s="1">
        <v>40</v>
      </c>
      <c r="M50" s="1">
        <v>56</v>
      </c>
      <c r="N50" s="1">
        <v>60</v>
      </c>
      <c r="O50" s="1">
        <v>54</v>
      </c>
      <c r="P50" s="1">
        <v>5.0599999999999996</v>
      </c>
      <c r="Q50" s="1">
        <v>4.0999999999999996</v>
      </c>
      <c r="R50" s="11" t="str">
        <f t="shared" si="0"/>
        <v>RB</v>
      </c>
    </row>
    <row r="51" spans="1:18" ht="14.25" customHeight="1" x14ac:dyDescent="0.25">
      <c r="A51" s="1">
        <v>47</v>
      </c>
      <c r="B51" s="1" t="s">
        <v>164</v>
      </c>
      <c r="C51" s="1" t="s">
        <v>176</v>
      </c>
      <c r="D51" s="1" t="s">
        <v>155</v>
      </c>
      <c r="E51" s="1">
        <v>52</v>
      </c>
      <c r="F51" s="1">
        <v>54</v>
      </c>
      <c r="G51" s="1">
        <v>54</v>
      </c>
      <c r="H51" s="1">
        <v>55</v>
      </c>
      <c r="I51" s="1">
        <v>48</v>
      </c>
      <c r="J51" s="1">
        <v>46</v>
      </c>
      <c r="K51" s="1">
        <v>48</v>
      </c>
      <c r="L51" s="1">
        <v>60</v>
      </c>
      <c r="M51" s="1">
        <v>48</v>
      </c>
      <c r="N51" s="1">
        <v>50</v>
      </c>
      <c r="O51" s="1">
        <v>49</v>
      </c>
      <c r="P51" s="1">
        <v>5.07</v>
      </c>
      <c r="Q51" s="1">
        <v>4.1100000000000003</v>
      </c>
      <c r="R51" s="11" t="str">
        <f t="shared" si="0"/>
        <v>WR</v>
      </c>
    </row>
    <row r="52" spans="1:18" ht="14.25" customHeight="1" x14ac:dyDescent="0.25">
      <c r="A52" s="1">
        <v>48</v>
      </c>
      <c r="B52" s="1" t="s">
        <v>166</v>
      </c>
      <c r="C52" s="1" t="s">
        <v>344</v>
      </c>
      <c r="D52" s="1" t="s">
        <v>85</v>
      </c>
      <c r="E52" s="1">
        <v>50</v>
      </c>
      <c r="F52" s="1">
        <v>50</v>
      </c>
      <c r="G52" s="1">
        <v>57</v>
      </c>
      <c r="H52" s="1">
        <v>48</v>
      </c>
      <c r="I52" s="1">
        <v>45</v>
      </c>
      <c r="J52" s="1">
        <v>68</v>
      </c>
      <c r="K52" s="1">
        <v>58</v>
      </c>
      <c r="L52" s="1">
        <v>51</v>
      </c>
      <c r="M52" s="1">
        <v>54</v>
      </c>
      <c r="N52" s="1">
        <v>43</v>
      </c>
      <c r="O52" s="1">
        <v>40</v>
      </c>
      <c r="P52" s="1">
        <v>5.08</v>
      </c>
      <c r="Q52" s="1">
        <v>4.12</v>
      </c>
      <c r="R52" s="11" t="str">
        <f t="shared" si="0"/>
        <v>WR</v>
      </c>
    </row>
    <row r="53" spans="1:18" ht="14.25" customHeight="1" x14ac:dyDescent="0.25">
      <c r="A53" s="1">
        <v>49</v>
      </c>
      <c r="B53" s="1" t="s">
        <v>175</v>
      </c>
      <c r="C53" s="1" t="s">
        <v>248</v>
      </c>
      <c r="D53" s="1" t="s">
        <v>233</v>
      </c>
      <c r="E53" s="1">
        <v>48</v>
      </c>
      <c r="F53" s="1">
        <v>45</v>
      </c>
      <c r="G53" s="1">
        <v>63</v>
      </c>
      <c r="H53" s="1">
        <v>52</v>
      </c>
      <c r="I53" s="1">
        <v>50</v>
      </c>
      <c r="J53" s="1">
        <v>52</v>
      </c>
      <c r="K53" s="1">
        <v>46</v>
      </c>
      <c r="L53" s="1">
        <v>49</v>
      </c>
      <c r="M53" s="1">
        <v>55</v>
      </c>
      <c r="N53" s="1">
        <v>56</v>
      </c>
      <c r="O53" s="1">
        <v>50</v>
      </c>
      <c r="P53" s="1">
        <v>5.09</v>
      </c>
      <c r="Q53" s="1">
        <v>5.01</v>
      </c>
      <c r="R53" s="11" t="str">
        <f t="shared" si="0"/>
        <v>WR</v>
      </c>
    </row>
    <row r="54" spans="1:18" ht="14.25" customHeight="1" x14ac:dyDescent="0.25">
      <c r="A54" s="1">
        <v>50</v>
      </c>
      <c r="B54" s="1" t="s">
        <v>180</v>
      </c>
      <c r="C54" s="1" t="s">
        <v>260</v>
      </c>
      <c r="D54" s="1" t="s">
        <v>168</v>
      </c>
      <c r="E54" s="1">
        <v>53</v>
      </c>
      <c r="F54" s="1">
        <v>58</v>
      </c>
      <c r="G54" s="1">
        <v>59</v>
      </c>
      <c r="H54" s="1">
        <v>50</v>
      </c>
      <c r="I54" s="1">
        <v>47</v>
      </c>
      <c r="J54" s="1">
        <v>56</v>
      </c>
      <c r="K54" s="1">
        <v>50</v>
      </c>
      <c r="L54" s="1">
        <v>59</v>
      </c>
      <c r="M54" s="1">
        <v>46</v>
      </c>
      <c r="N54" s="1">
        <v>46</v>
      </c>
      <c r="O54" s="1">
        <v>48</v>
      </c>
      <c r="P54" s="1">
        <v>5.0999999999999996</v>
      </c>
      <c r="Q54" s="1">
        <v>5.0199999999999996</v>
      </c>
      <c r="R54" s="11" t="str">
        <f t="shared" si="0"/>
        <v>WR</v>
      </c>
    </row>
    <row r="55" spans="1:18" ht="14.25" customHeight="1" x14ac:dyDescent="0.25">
      <c r="A55" s="1">
        <v>51</v>
      </c>
      <c r="B55" s="1" t="s">
        <v>177</v>
      </c>
      <c r="C55" s="1" t="s">
        <v>562</v>
      </c>
      <c r="D55" s="1" t="s">
        <v>123</v>
      </c>
      <c r="E55" s="1">
        <v>42</v>
      </c>
      <c r="F55" s="1">
        <v>46</v>
      </c>
      <c r="G55" s="1">
        <v>65</v>
      </c>
      <c r="H55" s="1">
        <v>49</v>
      </c>
      <c r="I55" s="1">
        <v>55</v>
      </c>
      <c r="J55" s="1">
        <v>49</v>
      </c>
      <c r="K55" s="1">
        <v>47</v>
      </c>
      <c r="L55" s="1">
        <v>44</v>
      </c>
      <c r="M55" s="1">
        <v>64</v>
      </c>
      <c r="N55" s="1">
        <v>61</v>
      </c>
      <c r="O55" s="1">
        <v>62</v>
      </c>
      <c r="P55" s="1">
        <v>6.01</v>
      </c>
      <c r="Q55" s="1">
        <v>5.03</v>
      </c>
      <c r="R55" s="11" t="str">
        <f t="shared" si="0"/>
        <v>RB</v>
      </c>
    </row>
    <row r="56" spans="1:18" ht="14.25" customHeight="1" x14ac:dyDescent="0.25">
      <c r="A56" s="1">
        <v>52</v>
      </c>
      <c r="B56" s="1" t="s">
        <v>182</v>
      </c>
      <c r="C56" s="1" t="s">
        <v>159</v>
      </c>
      <c r="D56" s="1" t="s">
        <v>160</v>
      </c>
      <c r="E56" s="1">
        <v>65</v>
      </c>
      <c r="F56" s="1">
        <v>62</v>
      </c>
      <c r="G56" s="1">
        <v>48</v>
      </c>
      <c r="H56" s="1">
        <v>44</v>
      </c>
      <c r="I56" s="1">
        <v>46</v>
      </c>
      <c r="J56" s="1">
        <v>72</v>
      </c>
      <c r="K56" s="1">
        <v>59</v>
      </c>
      <c r="L56" s="1">
        <v>55</v>
      </c>
      <c r="M56" s="1">
        <v>59</v>
      </c>
      <c r="N56" s="1">
        <v>38</v>
      </c>
      <c r="O56" s="1">
        <v>38</v>
      </c>
      <c r="P56" s="1">
        <v>6.02</v>
      </c>
      <c r="Q56" s="1">
        <v>5.04</v>
      </c>
      <c r="R56" s="11" t="str">
        <f t="shared" si="0"/>
        <v>WR</v>
      </c>
    </row>
    <row r="57" spans="1:18" ht="14.25" customHeight="1" x14ac:dyDescent="0.25">
      <c r="A57" s="1">
        <v>53</v>
      </c>
      <c r="B57" s="1" t="s">
        <v>191</v>
      </c>
      <c r="C57" s="1" t="s">
        <v>139</v>
      </c>
      <c r="D57" s="1" t="s">
        <v>78</v>
      </c>
      <c r="E57" s="1">
        <v>60</v>
      </c>
      <c r="F57" s="1">
        <v>61</v>
      </c>
      <c r="G57" s="1">
        <v>62</v>
      </c>
      <c r="H57" s="1">
        <v>60</v>
      </c>
      <c r="I57" s="1">
        <v>56</v>
      </c>
      <c r="J57" s="1">
        <v>60</v>
      </c>
      <c r="K57" s="1">
        <v>53</v>
      </c>
      <c r="L57" s="1">
        <v>45</v>
      </c>
      <c r="M57" s="1">
        <v>53</v>
      </c>
      <c r="N57" s="1">
        <v>54</v>
      </c>
      <c r="O57" s="1">
        <v>52</v>
      </c>
      <c r="P57" s="1">
        <v>6.03</v>
      </c>
      <c r="Q57" s="1">
        <v>5.05</v>
      </c>
      <c r="R57" s="11" t="str">
        <f t="shared" si="0"/>
        <v>WR</v>
      </c>
    </row>
    <row r="58" spans="1:18" ht="14.25" customHeight="1" x14ac:dyDescent="0.25">
      <c r="A58" s="1">
        <v>54</v>
      </c>
      <c r="B58" s="1" t="s">
        <v>195</v>
      </c>
      <c r="C58" s="1" t="s">
        <v>196</v>
      </c>
      <c r="D58" s="1" t="s">
        <v>35</v>
      </c>
      <c r="E58" s="1">
        <v>64</v>
      </c>
      <c r="F58" s="1">
        <v>65</v>
      </c>
      <c r="G58" s="1">
        <v>64</v>
      </c>
      <c r="H58" s="1">
        <v>57</v>
      </c>
      <c r="I58" s="1">
        <v>53</v>
      </c>
      <c r="J58" s="1">
        <v>51</v>
      </c>
      <c r="K58" s="1">
        <v>60</v>
      </c>
      <c r="L58" s="1">
        <v>57</v>
      </c>
      <c r="M58" s="1">
        <v>58</v>
      </c>
      <c r="N58" s="1">
        <v>48</v>
      </c>
      <c r="O58" s="1">
        <v>45</v>
      </c>
      <c r="P58" s="1">
        <v>6.04</v>
      </c>
      <c r="Q58" s="1">
        <v>5.0599999999999996</v>
      </c>
      <c r="R58" s="11" t="str">
        <f t="shared" si="0"/>
        <v>WR</v>
      </c>
    </row>
    <row r="59" spans="1:18" ht="14.25" customHeight="1" x14ac:dyDescent="0.25">
      <c r="A59" s="1">
        <v>55</v>
      </c>
      <c r="B59" s="1" t="s">
        <v>201</v>
      </c>
      <c r="C59" s="1" t="s">
        <v>118</v>
      </c>
      <c r="D59" s="1" t="s">
        <v>69</v>
      </c>
      <c r="E59" s="1">
        <v>62</v>
      </c>
      <c r="F59" s="1">
        <v>67</v>
      </c>
      <c r="G59" s="1">
        <v>73</v>
      </c>
      <c r="H59" s="1">
        <v>54</v>
      </c>
      <c r="I59" s="1">
        <v>52</v>
      </c>
      <c r="J59" s="1">
        <v>75</v>
      </c>
      <c r="K59" s="1">
        <v>62</v>
      </c>
      <c r="L59" s="1">
        <v>47</v>
      </c>
      <c r="M59" s="1">
        <v>62</v>
      </c>
      <c r="N59" s="1">
        <v>45</v>
      </c>
      <c r="O59" s="1">
        <v>42</v>
      </c>
      <c r="P59" s="1">
        <v>6.05</v>
      </c>
      <c r="Q59" s="1">
        <v>5.07</v>
      </c>
      <c r="R59" s="11" t="str">
        <f t="shared" si="0"/>
        <v>WR</v>
      </c>
    </row>
    <row r="60" spans="1:18" ht="14.25" customHeight="1" x14ac:dyDescent="0.25">
      <c r="A60" s="1">
        <v>56</v>
      </c>
      <c r="B60" s="1" t="s">
        <v>193</v>
      </c>
      <c r="C60" s="1" t="s">
        <v>246</v>
      </c>
      <c r="D60" s="1" t="s">
        <v>35</v>
      </c>
      <c r="E60" s="1">
        <v>58</v>
      </c>
      <c r="F60" s="1">
        <v>49</v>
      </c>
      <c r="G60" s="1">
        <v>67</v>
      </c>
      <c r="H60" s="1">
        <v>53</v>
      </c>
      <c r="I60" s="1">
        <v>71</v>
      </c>
      <c r="J60" s="1">
        <v>43</v>
      </c>
      <c r="K60" s="1">
        <v>51</v>
      </c>
      <c r="L60" s="1">
        <v>68</v>
      </c>
      <c r="M60" s="1">
        <v>43</v>
      </c>
      <c r="N60" s="1">
        <v>73</v>
      </c>
      <c r="O60" s="1">
        <v>77</v>
      </c>
      <c r="P60" s="1">
        <v>6.06</v>
      </c>
      <c r="Q60" s="1">
        <v>5.08</v>
      </c>
      <c r="R60" s="11" t="str">
        <f t="shared" si="0"/>
        <v>TE</v>
      </c>
    </row>
    <row r="61" spans="1:18" ht="14.25" customHeight="1" x14ac:dyDescent="0.25">
      <c r="A61" s="1">
        <v>57</v>
      </c>
      <c r="B61" s="1" t="s">
        <v>207</v>
      </c>
      <c r="C61" s="1" t="s">
        <v>147</v>
      </c>
      <c r="D61" s="1" t="s">
        <v>91</v>
      </c>
      <c r="E61" s="1">
        <v>63</v>
      </c>
      <c r="F61" s="1">
        <v>55</v>
      </c>
      <c r="G61" s="1">
        <v>66</v>
      </c>
      <c r="H61" s="1">
        <v>65</v>
      </c>
      <c r="I61" s="1">
        <v>57</v>
      </c>
      <c r="J61" s="1">
        <v>73</v>
      </c>
      <c r="K61" s="1">
        <v>55</v>
      </c>
      <c r="L61" s="1">
        <v>52</v>
      </c>
      <c r="M61" s="1">
        <v>63</v>
      </c>
      <c r="N61" s="1">
        <v>59</v>
      </c>
      <c r="O61" s="1">
        <v>57</v>
      </c>
      <c r="P61" s="1">
        <v>6.07</v>
      </c>
      <c r="Q61" s="1">
        <v>5.09</v>
      </c>
      <c r="R61" s="11" t="str">
        <f t="shared" si="0"/>
        <v>WR</v>
      </c>
    </row>
    <row r="62" spans="1:18" ht="14.25" customHeight="1" x14ac:dyDescent="0.25">
      <c r="A62" s="1">
        <v>58</v>
      </c>
      <c r="B62" s="1" t="s">
        <v>234</v>
      </c>
      <c r="C62" s="1" t="s">
        <v>310</v>
      </c>
      <c r="D62" s="1" t="s">
        <v>85</v>
      </c>
      <c r="E62" s="1">
        <v>47</v>
      </c>
      <c r="F62" s="1">
        <v>42</v>
      </c>
      <c r="G62" s="1">
        <v>69</v>
      </c>
      <c r="H62" s="1">
        <v>73</v>
      </c>
      <c r="I62" s="1">
        <v>66</v>
      </c>
      <c r="J62" s="1">
        <v>42</v>
      </c>
      <c r="K62" s="1">
        <v>57</v>
      </c>
      <c r="L62" s="1">
        <v>76</v>
      </c>
      <c r="M62" s="1">
        <v>44</v>
      </c>
      <c r="N62" s="1">
        <v>76</v>
      </c>
      <c r="O62" s="1">
        <v>80</v>
      </c>
      <c r="P62" s="1">
        <v>6.08</v>
      </c>
      <c r="Q62" s="1">
        <v>5.0999999999999996</v>
      </c>
      <c r="R62" s="11" t="str">
        <f t="shared" si="0"/>
        <v>QB</v>
      </c>
    </row>
    <row r="63" spans="1:18" ht="14.25" customHeight="1" x14ac:dyDescent="0.25">
      <c r="A63" s="1">
        <v>59</v>
      </c>
      <c r="B63" s="1" t="s">
        <v>212</v>
      </c>
      <c r="C63" s="1" t="s">
        <v>478</v>
      </c>
      <c r="D63" s="1" t="s">
        <v>229</v>
      </c>
      <c r="E63" s="1">
        <v>67</v>
      </c>
      <c r="F63" s="1">
        <v>60</v>
      </c>
      <c r="G63" s="1">
        <v>72</v>
      </c>
      <c r="H63" s="1">
        <v>59</v>
      </c>
      <c r="I63" s="1">
        <v>54</v>
      </c>
      <c r="J63" s="1">
        <v>66</v>
      </c>
      <c r="K63" s="1">
        <v>72</v>
      </c>
      <c r="L63" s="1">
        <v>58</v>
      </c>
      <c r="M63" s="1">
        <v>65</v>
      </c>
      <c r="N63" s="1">
        <v>51</v>
      </c>
      <c r="O63" s="1">
        <v>51</v>
      </c>
      <c r="P63" s="1">
        <v>6.09</v>
      </c>
      <c r="Q63" s="1">
        <v>5.1100000000000003</v>
      </c>
      <c r="R63" s="11" t="str">
        <f t="shared" si="0"/>
        <v>WR</v>
      </c>
    </row>
    <row r="64" spans="1:18" ht="14.25" customHeight="1" x14ac:dyDescent="0.25">
      <c r="A64" s="1">
        <v>60</v>
      </c>
      <c r="B64" s="1" t="s">
        <v>185</v>
      </c>
      <c r="C64" s="1" t="s">
        <v>172</v>
      </c>
      <c r="D64" s="1" t="s">
        <v>155</v>
      </c>
      <c r="E64" s="1">
        <v>49</v>
      </c>
      <c r="F64" s="1">
        <v>53</v>
      </c>
      <c r="G64" s="1">
        <v>80</v>
      </c>
      <c r="H64" s="1">
        <v>56</v>
      </c>
      <c r="I64" s="1">
        <v>59</v>
      </c>
      <c r="J64" s="1">
        <v>57</v>
      </c>
      <c r="K64" s="1">
        <v>68</v>
      </c>
      <c r="L64" s="1">
        <v>64</v>
      </c>
      <c r="M64" s="1">
        <v>71</v>
      </c>
      <c r="N64" s="1">
        <v>58</v>
      </c>
      <c r="O64" s="1">
        <v>70</v>
      </c>
      <c r="P64" s="1">
        <v>6.1</v>
      </c>
      <c r="Q64" s="1">
        <v>5.12</v>
      </c>
      <c r="R64" s="11" t="str">
        <f t="shared" si="0"/>
        <v>RB</v>
      </c>
    </row>
    <row r="65" spans="1:18" ht="14.25" customHeight="1" x14ac:dyDescent="0.25">
      <c r="A65" s="1">
        <v>61</v>
      </c>
      <c r="B65" s="1" t="s">
        <v>188</v>
      </c>
      <c r="C65" s="1" t="s">
        <v>272</v>
      </c>
      <c r="D65" s="1" t="s">
        <v>168</v>
      </c>
      <c r="E65" s="1">
        <v>55</v>
      </c>
      <c r="F65" s="1">
        <v>75</v>
      </c>
      <c r="G65" s="1">
        <v>68</v>
      </c>
      <c r="H65" s="1">
        <v>51</v>
      </c>
      <c r="I65" s="1">
        <v>61</v>
      </c>
      <c r="J65" s="1">
        <v>70</v>
      </c>
      <c r="K65" s="1">
        <v>56</v>
      </c>
      <c r="L65" s="1">
        <v>56</v>
      </c>
      <c r="M65" s="1">
        <v>70</v>
      </c>
      <c r="N65" s="1">
        <v>64</v>
      </c>
      <c r="O65" s="1">
        <v>61</v>
      </c>
      <c r="P65" s="1">
        <v>7.01</v>
      </c>
      <c r="Q65" s="1">
        <v>6.01</v>
      </c>
      <c r="R65" s="11" t="str">
        <f t="shared" si="0"/>
        <v>RB</v>
      </c>
    </row>
    <row r="66" spans="1:18" ht="14.25" customHeight="1" x14ac:dyDescent="0.25">
      <c r="A66" s="1">
        <v>62</v>
      </c>
      <c r="B66" s="1" t="s">
        <v>219</v>
      </c>
      <c r="C66" s="1" t="s">
        <v>167</v>
      </c>
      <c r="D66" s="1" t="s">
        <v>81</v>
      </c>
      <c r="E66" s="1">
        <v>79</v>
      </c>
      <c r="F66" s="1">
        <v>64</v>
      </c>
      <c r="G66" s="1">
        <v>70</v>
      </c>
      <c r="H66" s="1">
        <v>66</v>
      </c>
      <c r="I66" s="1">
        <v>58</v>
      </c>
      <c r="J66" s="1">
        <v>84</v>
      </c>
      <c r="K66" s="1">
        <v>70</v>
      </c>
      <c r="L66" s="1">
        <v>48</v>
      </c>
      <c r="M66" s="1">
        <v>66</v>
      </c>
      <c r="N66" s="1">
        <v>57</v>
      </c>
      <c r="O66" s="1">
        <v>53</v>
      </c>
      <c r="P66" s="1">
        <v>7.02</v>
      </c>
      <c r="Q66" s="1">
        <v>6.02</v>
      </c>
      <c r="R66" s="11" t="str">
        <f t="shared" si="0"/>
        <v>WR</v>
      </c>
    </row>
    <row r="67" spans="1:18" ht="14.25" customHeight="1" x14ac:dyDescent="0.25">
      <c r="A67" s="1">
        <v>63</v>
      </c>
      <c r="B67" s="1" t="s">
        <v>197</v>
      </c>
      <c r="C67" s="1" t="s">
        <v>178</v>
      </c>
      <c r="D67" s="1" t="s">
        <v>35</v>
      </c>
      <c r="E67" s="1">
        <v>57</v>
      </c>
      <c r="F67" s="1">
        <v>59</v>
      </c>
      <c r="G67" s="1">
        <v>74</v>
      </c>
      <c r="H67" s="1">
        <v>68</v>
      </c>
      <c r="I67" s="1">
        <v>70</v>
      </c>
      <c r="J67" s="1">
        <v>67</v>
      </c>
      <c r="K67" s="1">
        <v>52</v>
      </c>
      <c r="L67" s="1">
        <v>61</v>
      </c>
      <c r="M67" s="1">
        <v>67</v>
      </c>
      <c r="N67" s="1">
        <v>74</v>
      </c>
      <c r="O67" s="1">
        <v>75</v>
      </c>
      <c r="P67" s="1">
        <v>7.03</v>
      </c>
      <c r="Q67" s="1">
        <v>6.03</v>
      </c>
      <c r="R67" s="11" t="str">
        <f t="shared" si="0"/>
        <v>RB</v>
      </c>
    </row>
    <row r="68" spans="1:18" ht="14.25" customHeight="1" x14ac:dyDescent="0.25">
      <c r="A68" s="1">
        <v>64</v>
      </c>
      <c r="B68" s="1" t="s">
        <v>205</v>
      </c>
      <c r="C68" s="1" t="s">
        <v>415</v>
      </c>
      <c r="D68" s="1" t="s">
        <v>85</v>
      </c>
      <c r="E68" s="1">
        <v>66</v>
      </c>
      <c r="F68" s="1">
        <v>63</v>
      </c>
      <c r="G68" s="1">
        <v>77</v>
      </c>
      <c r="H68" s="1">
        <v>62</v>
      </c>
      <c r="I68" s="1">
        <v>67</v>
      </c>
      <c r="J68" s="1">
        <v>59</v>
      </c>
      <c r="K68" s="1">
        <v>61</v>
      </c>
      <c r="L68" s="1">
        <v>65</v>
      </c>
      <c r="M68" s="1">
        <v>68</v>
      </c>
      <c r="N68" s="1">
        <v>68</v>
      </c>
      <c r="O68" s="1">
        <v>71</v>
      </c>
      <c r="P68" s="1">
        <v>7.04</v>
      </c>
      <c r="Q68" s="1">
        <v>6.04</v>
      </c>
      <c r="R68" s="11" t="str">
        <f t="shared" si="0"/>
        <v>RB</v>
      </c>
    </row>
    <row r="69" spans="1:18" ht="14.25" customHeight="1" x14ac:dyDescent="0.25">
      <c r="A69" s="1">
        <v>65</v>
      </c>
      <c r="B69" s="1" t="s">
        <v>215</v>
      </c>
      <c r="C69" s="1" t="s">
        <v>252</v>
      </c>
      <c r="D69" s="1" t="s">
        <v>229</v>
      </c>
      <c r="E69" s="1">
        <v>59</v>
      </c>
      <c r="F69" s="1">
        <v>69</v>
      </c>
      <c r="G69" s="1">
        <v>79</v>
      </c>
      <c r="H69" s="1">
        <v>58</v>
      </c>
      <c r="I69" s="1">
        <v>69</v>
      </c>
      <c r="J69" s="1">
        <v>78</v>
      </c>
      <c r="K69" s="1">
        <v>69</v>
      </c>
      <c r="L69" s="1">
        <v>54</v>
      </c>
      <c r="M69" s="1">
        <v>74</v>
      </c>
      <c r="N69" s="1">
        <v>62</v>
      </c>
      <c r="O69" s="1">
        <v>68</v>
      </c>
      <c r="P69" s="1">
        <v>7.05</v>
      </c>
      <c r="Q69" s="1">
        <v>6.05</v>
      </c>
      <c r="R69" s="11" t="str">
        <f t="shared" si="0"/>
        <v>RB</v>
      </c>
    </row>
    <row r="70" spans="1:18" ht="14.25" customHeight="1" x14ac:dyDescent="0.25">
      <c r="A70" s="1">
        <v>66</v>
      </c>
      <c r="B70" s="1" t="s">
        <v>225</v>
      </c>
      <c r="C70" s="1" t="s">
        <v>133</v>
      </c>
      <c r="D70" s="1" t="s">
        <v>85</v>
      </c>
      <c r="E70" s="1">
        <v>84</v>
      </c>
      <c r="F70" s="1">
        <v>71</v>
      </c>
      <c r="G70" s="1">
        <v>98</v>
      </c>
      <c r="H70" s="1">
        <v>72</v>
      </c>
      <c r="I70" s="1">
        <v>60</v>
      </c>
      <c r="J70" s="1">
        <v>47</v>
      </c>
      <c r="K70" s="1">
        <v>49</v>
      </c>
      <c r="L70" s="1">
        <v>74</v>
      </c>
      <c r="M70" s="1">
        <v>61</v>
      </c>
      <c r="N70" s="1">
        <v>70</v>
      </c>
      <c r="O70" s="1">
        <v>60</v>
      </c>
      <c r="P70" s="1">
        <v>7.06</v>
      </c>
      <c r="Q70" s="1">
        <v>6.06</v>
      </c>
      <c r="R70" s="11" t="str">
        <f t="shared" si="0"/>
        <v>WR</v>
      </c>
    </row>
    <row r="71" spans="1:18" ht="14.25" customHeight="1" x14ac:dyDescent="0.25">
      <c r="A71" s="1">
        <v>67</v>
      </c>
      <c r="B71" s="1" t="s">
        <v>227</v>
      </c>
      <c r="C71" s="1" t="s">
        <v>456</v>
      </c>
      <c r="D71" s="1" t="s">
        <v>199</v>
      </c>
      <c r="E71" s="1">
        <v>83</v>
      </c>
      <c r="F71" s="1">
        <v>74</v>
      </c>
      <c r="G71" s="1">
        <v>71</v>
      </c>
      <c r="H71" s="1">
        <v>71</v>
      </c>
      <c r="I71" s="1">
        <v>68</v>
      </c>
      <c r="J71" s="1">
        <v>62</v>
      </c>
      <c r="K71" s="1">
        <v>66</v>
      </c>
      <c r="L71" s="1">
        <v>62</v>
      </c>
      <c r="M71" s="1">
        <v>76</v>
      </c>
      <c r="N71" s="1">
        <v>63</v>
      </c>
      <c r="O71" s="1">
        <v>55</v>
      </c>
      <c r="P71" s="1">
        <v>7.07</v>
      </c>
      <c r="Q71" s="1">
        <v>6.07</v>
      </c>
      <c r="R71" s="11" t="str">
        <f t="shared" si="0"/>
        <v>WR</v>
      </c>
    </row>
    <row r="72" spans="1:18" ht="14.25" customHeight="1" x14ac:dyDescent="0.25">
      <c r="A72" s="1">
        <v>68</v>
      </c>
      <c r="B72" s="1" t="s">
        <v>236</v>
      </c>
      <c r="C72" s="1" t="s">
        <v>422</v>
      </c>
      <c r="D72" s="1" t="s">
        <v>72</v>
      </c>
      <c r="E72" s="1">
        <v>71</v>
      </c>
      <c r="F72" s="1">
        <v>56</v>
      </c>
      <c r="G72" s="1">
        <v>82</v>
      </c>
      <c r="H72" s="1">
        <v>64</v>
      </c>
      <c r="I72" s="1">
        <v>80</v>
      </c>
      <c r="J72" s="1">
        <v>50</v>
      </c>
      <c r="K72" s="1">
        <v>64</v>
      </c>
      <c r="L72" s="1">
        <v>73</v>
      </c>
      <c r="M72" s="1">
        <v>51</v>
      </c>
      <c r="N72" s="1">
        <v>87</v>
      </c>
      <c r="O72" s="1">
        <v>87</v>
      </c>
      <c r="P72" s="1">
        <v>7.08</v>
      </c>
      <c r="Q72" s="1">
        <v>6.08</v>
      </c>
      <c r="R72" s="11" t="str">
        <f t="shared" si="0"/>
        <v>TE</v>
      </c>
    </row>
    <row r="73" spans="1:18" ht="14.25" customHeight="1" x14ac:dyDescent="0.25">
      <c r="A73" s="1">
        <v>69</v>
      </c>
      <c r="B73" s="1" t="s">
        <v>245</v>
      </c>
      <c r="C73" s="1" t="s">
        <v>312</v>
      </c>
      <c r="D73" s="1" t="s">
        <v>85</v>
      </c>
      <c r="E73" s="1">
        <v>61</v>
      </c>
      <c r="F73" s="1">
        <v>57</v>
      </c>
      <c r="G73" s="1">
        <v>88</v>
      </c>
      <c r="H73" s="1">
        <v>63</v>
      </c>
      <c r="I73" s="1">
        <v>82</v>
      </c>
      <c r="J73" s="1">
        <v>58</v>
      </c>
      <c r="K73" s="1">
        <v>67</v>
      </c>
      <c r="L73" s="1">
        <v>82</v>
      </c>
      <c r="M73" s="1">
        <v>52</v>
      </c>
      <c r="N73" s="1">
        <v>79</v>
      </c>
      <c r="O73" s="1">
        <v>91</v>
      </c>
      <c r="P73" s="1">
        <v>7.09</v>
      </c>
      <c r="Q73" s="1">
        <v>6.09</v>
      </c>
      <c r="R73" s="11" t="str">
        <f t="shared" si="0"/>
        <v>TE</v>
      </c>
    </row>
    <row r="74" spans="1:18" ht="14.25" customHeight="1" x14ac:dyDescent="0.25">
      <c r="A74" s="1">
        <v>70</v>
      </c>
      <c r="B74" s="1" t="s">
        <v>217</v>
      </c>
      <c r="C74" s="1" t="s">
        <v>338</v>
      </c>
      <c r="D74" s="1" t="s">
        <v>72</v>
      </c>
      <c r="E74" s="1">
        <v>56</v>
      </c>
      <c r="F74" s="1">
        <v>70</v>
      </c>
      <c r="G74" s="1">
        <v>76</v>
      </c>
      <c r="H74" s="1">
        <v>70</v>
      </c>
      <c r="I74" s="1">
        <v>74</v>
      </c>
      <c r="J74" s="1">
        <v>77</v>
      </c>
      <c r="K74" s="1">
        <v>65</v>
      </c>
      <c r="L74" s="1">
        <v>70</v>
      </c>
      <c r="M74" s="1">
        <v>72</v>
      </c>
      <c r="N74" s="1">
        <v>75</v>
      </c>
      <c r="O74" s="1">
        <v>78</v>
      </c>
      <c r="P74" s="1">
        <v>7.1</v>
      </c>
      <c r="Q74" s="1">
        <v>6.1</v>
      </c>
      <c r="R74" s="11" t="str">
        <f t="shared" si="0"/>
        <v>RB</v>
      </c>
    </row>
    <row r="75" spans="1:18" ht="14.25" customHeight="1" x14ac:dyDescent="0.25">
      <c r="A75" s="1">
        <v>71</v>
      </c>
      <c r="B75" s="1" t="s">
        <v>238</v>
      </c>
      <c r="C75" s="1" t="s">
        <v>429</v>
      </c>
      <c r="D75" s="1" t="s">
        <v>187</v>
      </c>
      <c r="E75" s="1">
        <v>69</v>
      </c>
      <c r="F75" s="1">
        <v>68</v>
      </c>
      <c r="G75" s="1">
        <v>81</v>
      </c>
      <c r="H75" s="1">
        <v>74</v>
      </c>
      <c r="I75" s="1">
        <v>62</v>
      </c>
      <c r="J75" s="1">
        <v>98</v>
      </c>
      <c r="K75" s="1">
        <v>75</v>
      </c>
      <c r="L75" s="1">
        <v>81</v>
      </c>
      <c r="M75" s="1">
        <v>69</v>
      </c>
      <c r="N75" s="1">
        <v>72</v>
      </c>
      <c r="O75" s="1">
        <v>72</v>
      </c>
      <c r="P75" s="1">
        <v>8.01</v>
      </c>
      <c r="Q75" s="1">
        <v>6.11</v>
      </c>
      <c r="R75" s="11" t="str">
        <f t="shared" si="0"/>
        <v>WR</v>
      </c>
    </row>
    <row r="76" spans="1:18" ht="14.25" customHeight="1" x14ac:dyDescent="0.25">
      <c r="A76" s="1">
        <v>72</v>
      </c>
      <c r="B76" s="1" t="s">
        <v>240</v>
      </c>
      <c r="C76" s="1" t="s">
        <v>364</v>
      </c>
      <c r="D76" s="1" t="s">
        <v>163</v>
      </c>
      <c r="E76" s="1">
        <v>54</v>
      </c>
      <c r="F76" s="1">
        <v>52</v>
      </c>
      <c r="G76" s="1">
        <v>85</v>
      </c>
      <c r="H76" s="1">
        <v>92</v>
      </c>
      <c r="I76" s="1">
        <v>78</v>
      </c>
      <c r="J76" s="1">
        <v>61</v>
      </c>
      <c r="K76" s="1">
        <v>71</v>
      </c>
      <c r="L76" s="1">
        <v>90</v>
      </c>
      <c r="M76" s="1">
        <v>49</v>
      </c>
      <c r="N76" s="1">
        <v>99</v>
      </c>
      <c r="O76" s="1">
        <v>93</v>
      </c>
      <c r="P76" s="1">
        <v>8.02</v>
      </c>
      <c r="Q76" s="1">
        <v>6.12</v>
      </c>
      <c r="R76" s="11" t="str">
        <f t="shared" si="0"/>
        <v>QB</v>
      </c>
    </row>
    <row r="77" spans="1:18" ht="14.25" customHeight="1" x14ac:dyDescent="0.25">
      <c r="A77" s="1">
        <v>73</v>
      </c>
      <c r="B77" s="1" t="s">
        <v>247</v>
      </c>
      <c r="C77" s="1" t="s">
        <v>202</v>
      </c>
      <c r="D77" s="1" t="s">
        <v>155</v>
      </c>
      <c r="E77" s="1">
        <v>99</v>
      </c>
      <c r="F77" s="1">
        <v>76</v>
      </c>
      <c r="G77" s="1">
        <v>75</v>
      </c>
      <c r="H77" s="1">
        <v>77</v>
      </c>
      <c r="I77" s="1">
        <v>64</v>
      </c>
      <c r="J77" s="1">
        <v>89</v>
      </c>
      <c r="K77" s="1">
        <v>80</v>
      </c>
      <c r="L77" s="1">
        <v>63</v>
      </c>
      <c r="M77" s="1">
        <v>75</v>
      </c>
      <c r="N77" s="1">
        <v>66</v>
      </c>
      <c r="O77" s="1">
        <v>64</v>
      </c>
      <c r="P77" s="1">
        <v>8.0299999999999994</v>
      </c>
      <c r="Q77" s="1">
        <v>7.01</v>
      </c>
      <c r="R77" s="11" t="str">
        <f t="shared" si="0"/>
        <v>WR</v>
      </c>
    </row>
    <row r="78" spans="1:18" ht="14.25" customHeight="1" x14ac:dyDescent="0.25">
      <c r="A78" s="1">
        <v>74</v>
      </c>
      <c r="B78" s="1" t="s">
        <v>259</v>
      </c>
      <c r="C78" s="1" t="s">
        <v>128</v>
      </c>
      <c r="D78" s="1" t="s">
        <v>129</v>
      </c>
      <c r="E78" s="1">
        <v>101</v>
      </c>
      <c r="F78" s="1">
        <v>84</v>
      </c>
      <c r="G78" s="1">
        <v>78</v>
      </c>
      <c r="H78" s="1">
        <v>82</v>
      </c>
      <c r="I78" s="1">
        <v>72</v>
      </c>
      <c r="J78" s="1">
        <v>87</v>
      </c>
      <c r="K78" s="1">
        <v>73</v>
      </c>
      <c r="L78" s="1">
        <v>66</v>
      </c>
      <c r="M78" s="1">
        <v>80</v>
      </c>
      <c r="N78" s="1">
        <v>71</v>
      </c>
      <c r="O78" s="1">
        <v>67</v>
      </c>
      <c r="P78" s="1">
        <v>8.0399999999999991</v>
      </c>
      <c r="Q78" s="1">
        <v>7.02</v>
      </c>
      <c r="R78" s="11" t="str">
        <f t="shared" si="0"/>
        <v>WR</v>
      </c>
    </row>
    <row r="79" spans="1:18" ht="14.25" customHeight="1" x14ac:dyDescent="0.25">
      <c r="A79" s="1">
        <v>75</v>
      </c>
      <c r="B79" s="1" t="s">
        <v>253</v>
      </c>
      <c r="C79" s="1" t="s">
        <v>318</v>
      </c>
      <c r="D79" s="1" t="s">
        <v>168</v>
      </c>
      <c r="E79" s="1">
        <v>68</v>
      </c>
      <c r="F79" s="1">
        <v>66</v>
      </c>
      <c r="G79" s="1">
        <v>87</v>
      </c>
      <c r="H79" s="1">
        <v>89</v>
      </c>
      <c r="I79" s="1">
        <v>83</v>
      </c>
      <c r="J79" s="1">
        <v>64</v>
      </c>
      <c r="K79" s="1">
        <v>79</v>
      </c>
      <c r="L79" s="1">
        <v>83</v>
      </c>
      <c r="M79" s="1">
        <v>57</v>
      </c>
      <c r="N79" s="1">
        <v>91</v>
      </c>
      <c r="O79" s="1">
        <v>96</v>
      </c>
      <c r="P79" s="1">
        <v>8.0500000000000007</v>
      </c>
      <c r="Q79" s="1">
        <v>7.03</v>
      </c>
      <c r="R79" s="11" t="str">
        <f t="shared" si="0"/>
        <v>QB</v>
      </c>
    </row>
    <row r="80" spans="1:18" ht="14.25" customHeight="1" x14ac:dyDescent="0.25">
      <c r="A80" s="1">
        <v>76</v>
      </c>
      <c r="B80" s="1" t="s">
        <v>249</v>
      </c>
      <c r="C80" s="1" t="s">
        <v>349</v>
      </c>
      <c r="D80" s="1" t="s">
        <v>91</v>
      </c>
      <c r="E80" s="1">
        <v>73</v>
      </c>
      <c r="F80" s="1">
        <v>73</v>
      </c>
      <c r="G80" s="1">
        <v>95</v>
      </c>
      <c r="H80" s="1">
        <v>79</v>
      </c>
      <c r="I80" s="1">
        <v>93</v>
      </c>
      <c r="J80" s="1">
        <v>53</v>
      </c>
      <c r="K80" s="1">
        <v>77</v>
      </c>
      <c r="L80" s="1">
        <v>79</v>
      </c>
      <c r="M80" s="1">
        <v>60</v>
      </c>
      <c r="N80" s="1">
        <v>93</v>
      </c>
      <c r="O80" s="1">
        <v>95</v>
      </c>
      <c r="P80" s="1">
        <v>8.06</v>
      </c>
      <c r="Q80" s="1">
        <v>7.04</v>
      </c>
      <c r="R80" s="11" t="str">
        <f t="shared" si="0"/>
        <v>TE</v>
      </c>
    </row>
    <row r="81" spans="1:18" ht="14.25" customHeight="1" x14ac:dyDescent="0.25">
      <c r="A81" s="1">
        <v>77</v>
      </c>
      <c r="B81" s="1" t="s">
        <v>263</v>
      </c>
      <c r="C81" s="1" t="s">
        <v>778</v>
      </c>
      <c r="D81" s="1" t="s">
        <v>55</v>
      </c>
      <c r="E81" s="1">
        <v>72</v>
      </c>
      <c r="F81" s="1">
        <v>93</v>
      </c>
      <c r="G81" s="1">
        <v>106</v>
      </c>
      <c r="H81" s="1">
        <v>67</v>
      </c>
      <c r="I81" s="1">
        <v>65</v>
      </c>
      <c r="J81" s="1">
        <v>110</v>
      </c>
      <c r="K81" s="1">
        <v>94</v>
      </c>
      <c r="L81" s="1">
        <v>69</v>
      </c>
      <c r="M81" s="1">
        <v>81</v>
      </c>
      <c r="N81" s="1">
        <v>55</v>
      </c>
      <c r="O81" s="1">
        <v>59</v>
      </c>
      <c r="P81" s="1">
        <v>8.07</v>
      </c>
      <c r="Q81" s="1">
        <v>7.05</v>
      </c>
      <c r="R81" s="11" t="str">
        <f t="shared" si="0"/>
        <v>WR</v>
      </c>
    </row>
    <row r="82" spans="1:18" ht="14.25" customHeight="1" x14ac:dyDescent="0.25">
      <c r="A82" s="1">
        <v>78</v>
      </c>
      <c r="B82" s="1" t="s">
        <v>267</v>
      </c>
      <c r="C82" s="1" t="s">
        <v>162</v>
      </c>
      <c r="D82" s="1" t="s">
        <v>163</v>
      </c>
      <c r="E82" s="1">
        <v>80</v>
      </c>
      <c r="F82" s="1">
        <v>83</v>
      </c>
      <c r="G82" s="1">
        <v>99</v>
      </c>
      <c r="H82" s="1">
        <v>61</v>
      </c>
      <c r="I82" s="1">
        <v>63</v>
      </c>
      <c r="J82" s="1">
        <v>120</v>
      </c>
      <c r="K82" s="1">
        <v>101</v>
      </c>
      <c r="L82" s="1">
        <v>72</v>
      </c>
      <c r="M82" s="1">
        <v>87</v>
      </c>
      <c r="N82" s="1">
        <v>49</v>
      </c>
      <c r="O82" s="1">
        <v>56</v>
      </c>
      <c r="P82" s="1">
        <v>8.08</v>
      </c>
      <c r="Q82" s="1">
        <v>7.06</v>
      </c>
      <c r="R82" s="11" t="str">
        <f t="shared" si="0"/>
        <v>WR</v>
      </c>
    </row>
    <row r="83" spans="1:18" ht="14.25" customHeight="1" x14ac:dyDescent="0.25">
      <c r="A83" s="1">
        <v>79</v>
      </c>
      <c r="B83" s="1" t="s">
        <v>269</v>
      </c>
      <c r="C83" s="1" t="s">
        <v>362</v>
      </c>
      <c r="D83" s="1" t="s">
        <v>184</v>
      </c>
      <c r="E83" s="1">
        <v>75</v>
      </c>
      <c r="F83" s="1">
        <v>95</v>
      </c>
      <c r="G83" s="1">
        <v>83</v>
      </c>
      <c r="H83" s="1">
        <v>83</v>
      </c>
      <c r="I83" s="1">
        <v>75</v>
      </c>
      <c r="J83" s="1">
        <v>96</v>
      </c>
      <c r="K83" s="1">
        <v>84</v>
      </c>
      <c r="L83" s="1">
        <v>94</v>
      </c>
      <c r="M83" s="1">
        <v>82</v>
      </c>
      <c r="N83" s="1">
        <v>69</v>
      </c>
      <c r="O83" s="1">
        <v>65</v>
      </c>
      <c r="P83" s="1">
        <v>8.09</v>
      </c>
      <c r="Q83" s="1">
        <v>7.07</v>
      </c>
      <c r="R83" s="11" t="str">
        <f t="shared" si="0"/>
        <v>WR</v>
      </c>
    </row>
    <row r="84" spans="1:18" ht="14.25" customHeight="1" x14ac:dyDescent="0.25">
      <c r="A84" s="1">
        <v>80</v>
      </c>
      <c r="B84" s="1" t="s">
        <v>221</v>
      </c>
      <c r="C84" s="1" t="s">
        <v>615</v>
      </c>
      <c r="D84" s="1" t="s">
        <v>233</v>
      </c>
      <c r="E84" s="1">
        <v>78</v>
      </c>
      <c r="F84" s="1">
        <v>97</v>
      </c>
      <c r="G84" s="1">
        <v>84</v>
      </c>
      <c r="H84" s="1">
        <v>78</v>
      </c>
      <c r="I84" s="1">
        <v>76</v>
      </c>
      <c r="J84" s="1">
        <v>80</v>
      </c>
      <c r="K84" s="1">
        <v>76</v>
      </c>
      <c r="L84" s="1">
        <v>95</v>
      </c>
      <c r="M84" s="1">
        <v>78</v>
      </c>
      <c r="N84" s="1">
        <v>81</v>
      </c>
      <c r="O84" s="1">
        <v>79</v>
      </c>
      <c r="P84" s="1">
        <v>8.1</v>
      </c>
      <c r="Q84" s="1">
        <v>7.08</v>
      </c>
      <c r="R84" s="11" t="str">
        <f t="shared" si="0"/>
        <v>RB</v>
      </c>
    </row>
    <row r="85" spans="1:18" ht="14.25" customHeight="1" x14ac:dyDescent="0.25">
      <c r="A85" s="1">
        <v>81</v>
      </c>
      <c r="B85" s="1" t="s">
        <v>230</v>
      </c>
      <c r="C85" s="1" t="s">
        <v>435</v>
      </c>
      <c r="D85" s="1" t="s">
        <v>126</v>
      </c>
      <c r="E85" s="1">
        <v>70</v>
      </c>
      <c r="F85" s="1">
        <v>81</v>
      </c>
      <c r="G85" s="1">
        <v>90</v>
      </c>
      <c r="H85" s="1">
        <v>80</v>
      </c>
      <c r="I85" s="1">
        <v>81</v>
      </c>
      <c r="J85" s="1">
        <v>101</v>
      </c>
      <c r="K85" s="1">
        <v>82</v>
      </c>
      <c r="L85" s="1">
        <v>67</v>
      </c>
      <c r="M85" s="1">
        <v>85</v>
      </c>
      <c r="N85" s="1">
        <v>88</v>
      </c>
      <c r="O85" s="1">
        <v>84</v>
      </c>
      <c r="P85" s="1">
        <v>9.01</v>
      </c>
      <c r="Q85" s="1">
        <v>7.09</v>
      </c>
      <c r="R85" s="11" t="str">
        <f t="shared" si="0"/>
        <v>RB</v>
      </c>
    </row>
    <row r="86" spans="1:18" ht="14.25" customHeight="1" x14ac:dyDescent="0.25">
      <c r="A86" s="1">
        <v>82</v>
      </c>
      <c r="B86" s="1" t="s">
        <v>283</v>
      </c>
      <c r="C86" s="1" t="s">
        <v>288</v>
      </c>
      <c r="D86" s="1" t="s">
        <v>104</v>
      </c>
      <c r="E86" s="1">
        <v>91</v>
      </c>
      <c r="F86" s="1">
        <v>88</v>
      </c>
      <c r="G86" s="1">
        <v>89</v>
      </c>
      <c r="H86" s="1">
        <v>85</v>
      </c>
      <c r="I86" s="1">
        <v>77</v>
      </c>
      <c r="J86" s="1">
        <v>95</v>
      </c>
      <c r="K86" s="1">
        <v>89</v>
      </c>
      <c r="L86" s="1">
        <v>77</v>
      </c>
      <c r="M86" s="1">
        <v>91</v>
      </c>
      <c r="N86" s="1">
        <v>67</v>
      </c>
      <c r="O86" s="1">
        <v>69</v>
      </c>
      <c r="P86" s="1">
        <v>9.02</v>
      </c>
      <c r="Q86" s="1">
        <v>7.1</v>
      </c>
      <c r="R86" s="11" t="str">
        <f t="shared" si="0"/>
        <v>WR</v>
      </c>
    </row>
    <row r="87" spans="1:18" ht="14.25" customHeight="1" x14ac:dyDescent="0.25">
      <c r="A87" s="1">
        <v>83</v>
      </c>
      <c r="B87" s="1" t="s">
        <v>285</v>
      </c>
      <c r="C87" s="1" t="s">
        <v>335</v>
      </c>
      <c r="D87" s="1" t="s">
        <v>94</v>
      </c>
      <c r="E87" s="1">
        <v>85</v>
      </c>
      <c r="F87" s="1">
        <v>82</v>
      </c>
      <c r="G87" s="1">
        <v>86</v>
      </c>
      <c r="H87" s="1">
        <v>87</v>
      </c>
      <c r="I87" s="1">
        <v>73</v>
      </c>
      <c r="J87" s="1">
        <v>119</v>
      </c>
      <c r="K87" s="1">
        <v>83</v>
      </c>
      <c r="L87" s="1">
        <v>87</v>
      </c>
      <c r="M87" s="1">
        <v>84</v>
      </c>
      <c r="N87" s="1">
        <v>77</v>
      </c>
      <c r="O87" s="1">
        <v>73</v>
      </c>
      <c r="P87" s="1">
        <v>9.0299999999999994</v>
      </c>
      <c r="Q87" s="1">
        <v>7.11</v>
      </c>
      <c r="R87" s="11" t="str">
        <f t="shared" si="0"/>
        <v>WR</v>
      </c>
    </row>
    <row r="88" spans="1:18" ht="14.25" customHeight="1" x14ac:dyDescent="0.25">
      <c r="A88" s="1">
        <v>84</v>
      </c>
      <c r="B88" s="1" t="s">
        <v>242</v>
      </c>
      <c r="C88" s="1" t="s">
        <v>231</v>
      </c>
      <c r="D88" s="1" t="s">
        <v>233</v>
      </c>
      <c r="E88" s="1">
        <v>88</v>
      </c>
      <c r="F88" s="1">
        <v>85</v>
      </c>
      <c r="G88" s="1">
        <v>96</v>
      </c>
      <c r="H88" s="1">
        <v>84</v>
      </c>
      <c r="I88" s="1">
        <v>86</v>
      </c>
      <c r="J88" s="1">
        <v>107</v>
      </c>
      <c r="K88" s="1">
        <v>86</v>
      </c>
      <c r="L88" s="1">
        <v>75</v>
      </c>
      <c r="M88" s="1">
        <v>94</v>
      </c>
      <c r="N88" s="1">
        <v>86</v>
      </c>
      <c r="O88" s="1">
        <v>88</v>
      </c>
      <c r="P88" s="1">
        <v>9.0399999999999991</v>
      </c>
      <c r="Q88" s="1">
        <v>7.12</v>
      </c>
      <c r="R88" s="11" t="str">
        <f t="shared" si="0"/>
        <v>RB</v>
      </c>
    </row>
    <row r="89" spans="1:18" ht="14.25" customHeight="1" x14ac:dyDescent="0.25">
      <c r="A89" s="1">
        <v>85</v>
      </c>
      <c r="B89" s="1" t="s">
        <v>287</v>
      </c>
      <c r="C89" s="1" t="s">
        <v>320</v>
      </c>
      <c r="D89" s="1" t="s">
        <v>214</v>
      </c>
      <c r="E89" s="1">
        <v>100</v>
      </c>
      <c r="F89" s="1">
        <v>80</v>
      </c>
      <c r="G89" s="1">
        <v>104</v>
      </c>
      <c r="H89" s="1">
        <v>81</v>
      </c>
      <c r="I89" s="1">
        <v>79</v>
      </c>
      <c r="J89" s="1">
        <v>115</v>
      </c>
      <c r="K89" s="1">
        <v>95</v>
      </c>
      <c r="L89" s="1">
        <v>91</v>
      </c>
      <c r="M89" s="1">
        <v>100</v>
      </c>
      <c r="N89" s="1">
        <v>65</v>
      </c>
      <c r="O89" s="1">
        <v>66</v>
      </c>
      <c r="P89" s="1">
        <v>9.0500000000000007</v>
      </c>
      <c r="Q89" s="1">
        <v>8.01</v>
      </c>
      <c r="R89" s="11" t="str">
        <f t="shared" si="0"/>
        <v>WR</v>
      </c>
    </row>
    <row r="90" spans="1:18" ht="14.25" customHeight="1" x14ac:dyDescent="0.25">
      <c r="A90" s="1">
        <v>86</v>
      </c>
      <c r="B90" s="1" t="s">
        <v>255</v>
      </c>
      <c r="C90" s="1" t="s">
        <v>648</v>
      </c>
      <c r="D90" s="1" t="s">
        <v>168</v>
      </c>
      <c r="E90" s="1">
        <v>97</v>
      </c>
      <c r="F90" s="1">
        <v>78</v>
      </c>
      <c r="G90" s="1">
        <v>103</v>
      </c>
      <c r="H90" s="1">
        <v>75</v>
      </c>
      <c r="I90" s="1">
        <v>95</v>
      </c>
      <c r="J90" s="1">
        <v>74</v>
      </c>
      <c r="K90" s="1">
        <v>87</v>
      </c>
      <c r="L90" s="1">
        <v>92</v>
      </c>
      <c r="M90" s="1">
        <v>79</v>
      </c>
      <c r="N90" s="1">
        <v>100</v>
      </c>
      <c r="O90" s="1">
        <v>107</v>
      </c>
      <c r="P90" s="1">
        <v>9.06</v>
      </c>
      <c r="Q90" s="1">
        <v>8.02</v>
      </c>
      <c r="R90" s="11" t="str">
        <f t="shared" si="0"/>
        <v>TE</v>
      </c>
    </row>
    <row r="91" spans="1:18" ht="14.25" customHeight="1" x14ac:dyDescent="0.25">
      <c r="A91" s="1">
        <v>87</v>
      </c>
      <c r="B91" s="1" t="s">
        <v>289</v>
      </c>
      <c r="C91" s="1" t="s">
        <v>294</v>
      </c>
      <c r="D91" s="1" t="s">
        <v>72</v>
      </c>
      <c r="E91" s="1">
        <v>103</v>
      </c>
      <c r="F91" s="1">
        <v>110</v>
      </c>
      <c r="G91" s="1">
        <v>93</v>
      </c>
      <c r="H91" s="1">
        <v>95</v>
      </c>
      <c r="I91" s="1">
        <v>84</v>
      </c>
      <c r="J91" s="1">
        <v>94</v>
      </c>
      <c r="K91" s="1">
        <v>81</v>
      </c>
      <c r="L91" s="1">
        <v>84</v>
      </c>
      <c r="M91" s="1">
        <v>88</v>
      </c>
      <c r="N91" s="1">
        <v>82</v>
      </c>
      <c r="O91" s="1">
        <v>74</v>
      </c>
      <c r="P91" s="1">
        <v>9.07</v>
      </c>
      <c r="Q91" s="1">
        <v>8.0299999999999994</v>
      </c>
      <c r="R91" s="11" t="str">
        <f t="shared" si="0"/>
        <v>WR</v>
      </c>
    </row>
    <row r="92" spans="1:18" ht="14.25" customHeight="1" x14ac:dyDescent="0.25">
      <c r="A92" s="1">
        <v>88</v>
      </c>
      <c r="B92" s="1" t="s">
        <v>273</v>
      </c>
      <c r="C92" s="1" t="s">
        <v>194</v>
      </c>
      <c r="D92" s="1" t="s">
        <v>60</v>
      </c>
      <c r="E92" s="1">
        <v>96</v>
      </c>
      <c r="F92" s="1">
        <v>89</v>
      </c>
      <c r="G92" s="1">
        <v>105</v>
      </c>
      <c r="H92" s="1">
        <v>69</v>
      </c>
      <c r="I92" s="1">
        <v>94</v>
      </c>
      <c r="J92" s="1">
        <v>88</v>
      </c>
      <c r="K92" s="1">
        <v>96</v>
      </c>
      <c r="L92" s="1">
        <v>117</v>
      </c>
      <c r="M92" s="1">
        <v>89</v>
      </c>
      <c r="N92" s="1">
        <v>80</v>
      </c>
      <c r="O92" s="1">
        <v>89</v>
      </c>
      <c r="P92" s="1">
        <v>9.08</v>
      </c>
      <c r="Q92" s="1">
        <v>8.0399999999999991</v>
      </c>
      <c r="R92" s="11" t="str">
        <f t="shared" si="0"/>
        <v>TE</v>
      </c>
    </row>
    <row r="93" spans="1:18" ht="14.25" customHeight="1" x14ac:dyDescent="0.25">
      <c r="A93" s="1">
        <v>89</v>
      </c>
      <c r="B93" s="1" t="s">
        <v>261</v>
      </c>
      <c r="C93" s="1" t="s">
        <v>355</v>
      </c>
      <c r="D93" s="1" t="s">
        <v>123</v>
      </c>
      <c r="E93" s="1">
        <v>82</v>
      </c>
      <c r="F93" s="1">
        <v>77</v>
      </c>
      <c r="G93" s="1">
        <v>101</v>
      </c>
      <c r="H93" s="1">
        <v>105</v>
      </c>
      <c r="I93" s="1">
        <v>104</v>
      </c>
      <c r="J93" s="1">
        <v>81</v>
      </c>
      <c r="K93" s="1">
        <v>91</v>
      </c>
      <c r="L93" s="1">
        <v>98</v>
      </c>
      <c r="M93" s="1">
        <v>73</v>
      </c>
      <c r="N93" s="1">
        <v>104</v>
      </c>
      <c r="O93" s="1">
        <v>98</v>
      </c>
      <c r="P93" s="1">
        <v>9.09</v>
      </c>
      <c r="Q93" s="1">
        <v>8.0500000000000007</v>
      </c>
      <c r="R93" s="11" t="str">
        <f t="shared" si="0"/>
        <v>QB</v>
      </c>
    </row>
    <row r="94" spans="1:18" ht="14.25" customHeight="1" x14ac:dyDescent="0.25">
      <c r="A94" s="1">
        <v>90</v>
      </c>
      <c r="B94" s="1" t="s">
        <v>311</v>
      </c>
      <c r="C94" s="1" t="s">
        <v>555</v>
      </c>
      <c r="D94" s="1" t="s">
        <v>187</v>
      </c>
      <c r="E94" s="1">
        <v>74</v>
      </c>
      <c r="F94" s="1">
        <v>72</v>
      </c>
      <c r="G94" s="1">
        <v>108</v>
      </c>
      <c r="H94" s="1">
        <v>76</v>
      </c>
      <c r="I94" s="1">
        <v>101</v>
      </c>
      <c r="J94" s="1">
        <v>85</v>
      </c>
      <c r="K94" s="1">
        <v>92</v>
      </c>
      <c r="L94" s="1">
        <v>97</v>
      </c>
      <c r="M94" s="1">
        <v>90</v>
      </c>
      <c r="N94" s="1">
        <v>105</v>
      </c>
      <c r="O94" s="1">
        <v>118</v>
      </c>
      <c r="P94" s="1">
        <v>9.1</v>
      </c>
      <c r="Q94" s="1">
        <v>8.06</v>
      </c>
      <c r="R94" s="11" t="str">
        <f t="shared" si="0"/>
        <v>TE</v>
      </c>
    </row>
    <row r="95" spans="1:18" ht="14.25" customHeight="1" x14ac:dyDescent="0.25">
      <c r="A95" s="1">
        <v>91</v>
      </c>
      <c r="B95" s="1" t="s">
        <v>251</v>
      </c>
      <c r="C95" s="1" t="s">
        <v>292</v>
      </c>
      <c r="D95" s="1" t="s">
        <v>72</v>
      </c>
      <c r="E95" s="1">
        <v>98</v>
      </c>
      <c r="F95" s="1">
        <v>122</v>
      </c>
      <c r="G95" s="1">
        <v>107</v>
      </c>
      <c r="H95" s="1">
        <v>88</v>
      </c>
      <c r="I95" s="1">
        <v>89</v>
      </c>
      <c r="J95" s="1">
        <v>122</v>
      </c>
      <c r="K95" s="1">
        <v>103</v>
      </c>
      <c r="L95" s="1">
        <v>71</v>
      </c>
      <c r="M95" s="1">
        <v>99</v>
      </c>
      <c r="N95" s="1">
        <v>83</v>
      </c>
      <c r="O95" s="1">
        <v>82</v>
      </c>
      <c r="P95" s="1">
        <v>10.01</v>
      </c>
      <c r="Q95" s="1">
        <v>8.07</v>
      </c>
      <c r="R95" s="11" t="str">
        <f t="shared" si="0"/>
        <v>RB</v>
      </c>
    </row>
    <row r="96" spans="1:18" ht="14.25" customHeight="1" x14ac:dyDescent="0.25">
      <c r="A96" s="1">
        <v>92</v>
      </c>
      <c r="B96" s="1" t="s">
        <v>293</v>
      </c>
      <c r="C96" s="1" t="s">
        <v>458</v>
      </c>
      <c r="D96" s="1" t="s">
        <v>55</v>
      </c>
      <c r="E96" s="1">
        <v>119</v>
      </c>
      <c r="F96" s="1">
        <v>115</v>
      </c>
      <c r="G96" s="1">
        <v>110</v>
      </c>
      <c r="H96" s="1">
        <v>98</v>
      </c>
      <c r="I96" s="1">
        <v>85</v>
      </c>
      <c r="J96" s="1">
        <v>111</v>
      </c>
      <c r="K96" s="1">
        <v>102</v>
      </c>
      <c r="L96" s="1">
        <v>93</v>
      </c>
      <c r="M96" s="1">
        <v>93</v>
      </c>
      <c r="N96" s="1">
        <v>84</v>
      </c>
      <c r="O96" s="1">
        <v>76</v>
      </c>
      <c r="P96" s="1">
        <v>10.02</v>
      </c>
      <c r="Q96" s="1">
        <v>8.08</v>
      </c>
      <c r="R96" s="11" t="str">
        <f t="shared" si="0"/>
        <v>WR</v>
      </c>
    </row>
    <row r="97" spans="1:18" ht="14.25" customHeight="1" x14ac:dyDescent="0.25">
      <c r="A97" s="1">
        <v>93</v>
      </c>
      <c r="B97" s="1" t="s">
        <v>265</v>
      </c>
      <c r="C97" s="1" t="s">
        <v>254</v>
      </c>
      <c r="D97" s="1" t="s">
        <v>69</v>
      </c>
      <c r="E97" s="1">
        <v>77</v>
      </c>
      <c r="F97" s="1">
        <v>99</v>
      </c>
      <c r="G97" s="1">
        <v>120</v>
      </c>
      <c r="H97" s="1">
        <v>97</v>
      </c>
      <c r="I97" s="1">
        <v>87</v>
      </c>
      <c r="J97" s="1">
        <v>117</v>
      </c>
      <c r="K97" s="1">
        <v>117</v>
      </c>
      <c r="L97" s="1">
        <v>88</v>
      </c>
      <c r="M97" s="1">
        <v>92</v>
      </c>
      <c r="N97" s="1">
        <v>94</v>
      </c>
      <c r="O97" s="1">
        <v>103</v>
      </c>
      <c r="P97" s="1">
        <v>10.029999999999999</v>
      </c>
      <c r="Q97" s="1">
        <v>8.09</v>
      </c>
      <c r="R97" s="11" t="str">
        <f t="shared" si="0"/>
        <v>QB</v>
      </c>
    </row>
    <row r="98" spans="1:18" ht="14.25" customHeight="1" x14ac:dyDescent="0.25">
      <c r="A98" s="1">
        <v>94</v>
      </c>
      <c r="B98" s="1" t="s">
        <v>299</v>
      </c>
      <c r="C98" s="1" t="s">
        <v>308</v>
      </c>
      <c r="D98" s="1" t="s">
        <v>55</v>
      </c>
      <c r="E98" s="1">
        <v>89</v>
      </c>
      <c r="F98" s="1">
        <v>79</v>
      </c>
      <c r="G98" s="1">
        <v>111</v>
      </c>
      <c r="H98" s="1">
        <v>110</v>
      </c>
      <c r="I98" s="1">
        <v>107</v>
      </c>
      <c r="J98" s="1">
        <v>106</v>
      </c>
      <c r="K98" s="1">
        <v>112</v>
      </c>
      <c r="L98" s="1">
        <v>86</v>
      </c>
      <c r="M98" s="1">
        <v>86</v>
      </c>
      <c r="N98" s="1">
        <v>106</v>
      </c>
      <c r="O98" s="1">
        <v>101</v>
      </c>
      <c r="P98" s="1">
        <v>10.039999999999999</v>
      </c>
      <c r="Q98" s="1">
        <v>8.1</v>
      </c>
      <c r="R98" s="11" t="str">
        <f t="shared" si="0"/>
        <v>QB</v>
      </c>
    </row>
    <row r="99" spans="1:18" ht="14.25" customHeight="1" x14ac:dyDescent="0.25">
      <c r="A99" s="1">
        <v>95</v>
      </c>
      <c r="B99" s="1" t="s">
        <v>295</v>
      </c>
      <c r="C99" s="1" t="s">
        <v>450</v>
      </c>
      <c r="D99" s="1" t="s">
        <v>52</v>
      </c>
      <c r="E99" s="1">
        <v>95</v>
      </c>
      <c r="F99" s="1">
        <v>86</v>
      </c>
      <c r="G99" s="1">
        <v>97</v>
      </c>
      <c r="H99" s="1">
        <v>101</v>
      </c>
      <c r="I99" s="1">
        <v>91</v>
      </c>
      <c r="J99" s="1">
        <v>109</v>
      </c>
      <c r="K99" s="1">
        <v>88</v>
      </c>
      <c r="L99" s="1">
        <v>121</v>
      </c>
      <c r="M99" s="1">
        <v>108</v>
      </c>
      <c r="N99" s="1">
        <v>97</v>
      </c>
      <c r="O99" s="1">
        <v>100</v>
      </c>
      <c r="P99" s="1">
        <v>10.050000000000001</v>
      </c>
      <c r="Q99" s="1">
        <v>8.11</v>
      </c>
      <c r="R99" s="11" t="str">
        <f t="shared" si="0"/>
        <v>WR</v>
      </c>
    </row>
    <row r="100" spans="1:18" ht="14.25" customHeight="1" x14ac:dyDescent="0.25">
      <c r="A100" s="1">
        <v>96</v>
      </c>
      <c r="B100" s="1" t="s">
        <v>301</v>
      </c>
      <c r="C100" s="1" t="s">
        <v>366</v>
      </c>
      <c r="D100" s="1" t="s">
        <v>66</v>
      </c>
      <c r="E100" s="1">
        <v>118</v>
      </c>
      <c r="F100" s="1">
        <v>108</v>
      </c>
      <c r="G100" s="1">
        <v>116</v>
      </c>
      <c r="H100" s="1">
        <v>103</v>
      </c>
      <c r="I100" s="1">
        <v>88</v>
      </c>
      <c r="J100" s="1">
        <v>102</v>
      </c>
      <c r="K100" s="1">
        <v>93</v>
      </c>
      <c r="L100" s="1">
        <v>106</v>
      </c>
      <c r="M100" s="1">
        <v>96</v>
      </c>
      <c r="N100" s="1">
        <v>92</v>
      </c>
      <c r="O100" s="1">
        <v>81</v>
      </c>
      <c r="P100" s="1">
        <v>10.06</v>
      </c>
      <c r="Q100" s="1">
        <v>8.1199999999999992</v>
      </c>
      <c r="R100" s="11" t="str">
        <f t="shared" si="0"/>
        <v>WR</v>
      </c>
    </row>
    <row r="101" spans="1:18" ht="14.25" customHeight="1" x14ac:dyDescent="0.25">
      <c r="A101" s="1">
        <v>97</v>
      </c>
      <c r="B101" s="1" t="s">
        <v>257</v>
      </c>
      <c r="C101" s="1" t="s">
        <v>157</v>
      </c>
      <c r="D101" s="1" t="s">
        <v>199</v>
      </c>
      <c r="E101" s="1">
        <v>90</v>
      </c>
      <c r="F101" s="1">
        <v>116</v>
      </c>
      <c r="G101" s="1">
        <v>102</v>
      </c>
      <c r="H101" s="1">
        <v>94</v>
      </c>
      <c r="I101" s="1">
        <v>90</v>
      </c>
      <c r="J101" s="1">
        <v>121</v>
      </c>
      <c r="K101" s="1">
        <v>85</v>
      </c>
      <c r="L101" s="1">
        <v>96</v>
      </c>
      <c r="M101" s="1">
        <v>110</v>
      </c>
      <c r="N101" s="1">
        <v>101</v>
      </c>
      <c r="O101" s="1">
        <v>106</v>
      </c>
      <c r="P101" s="1">
        <v>10.07</v>
      </c>
      <c r="Q101" s="1">
        <v>9.01</v>
      </c>
      <c r="R101" s="11" t="str">
        <f t="shared" si="0"/>
        <v>RB</v>
      </c>
    </row>
    <row r="102" spans="1:18" ht="14.25" customHeight="1" x14ac:dyDescent="0.25">
      <c r="A102" s="1">
        <v>98</v>
      </c>
      <c r="B102" s="1" t="s">
        <v>271</v>
      </c>
      <c r="C102" s="1" t="s">
        <v>276</v>
      </c>
      <c r="D102" s="1" t="s">
        <v>168</v>
      </c>
      <c r="E102" s="1">
        <v>102</v>
      </c>
      <c r="F102" s="1">
        <v>98</v>
      </c>
      <c r="G102" s="1">
        <v>119</v>
      </c>
      <c r="H102" s="1">
        <v>93</v>
      </c>
      <c r="I102" s="1">
        <v>98</v>
      </c>
      <c r="J102" s="1">
        <v>136</v>
      </c>
      <c r="K102" s="1">
        <v>107</v>
      </c>
      <c r="L102" s="1">
        <v>80</v>
      </c>
      <c r="M102" s="1">
        <v>104</v>
      </c>
      <c r="N102" s="1">
        <v>95</v>
      </c>
      <c r="O102" s="1">
        <v>97</v>
      </c>
      <c r="P102" s="1">
        <v>10.08</v>
      </c>
      <c r="Q102" s="1">
        <v>9.02</v>
      </c>
      <c r="R102" s="11" t="str">
        <f t="shared" si="0"/>
        <v>RB</v>
      </c>
    </row>
    <row r="103" spans="1:18" ht="14.25" customHeight="1" x14ac:dyDescent="0.25">
      <c r="A103" s="1">
        <v>99</v>
      </c>
      <c r="B103" s="1" t="s">
        <v>275</v>
      </c>
      <c r="C103" s="1" t="s">
        <v>386</v>
      </c>
      <c r="D103" s="1" t="s">
        <v>52</v>
      </c>
      <c r="E103" s="1">
        <v>92</v>
      </c>
      <c r="F103" s="1">
        <v>129</v>
      </c>
      <c r="G103" s="1">
        <v>114</v>
      </c>
      <c r="H103" s="1">
        <v>86</v>
      </c>
      <c r="I103" s="1">
        <v>92</v>
      </c>
      <c r="J103" s="1">
        <v>153</v>
      </c>
      <c r="K103" s="1">
        <v>104</v>
      </c>
      <c r="L103" s="1">
        <v>78</v>
      </c>
      <c r="M103" s="1">
        <v>103</v>
      </c>
      <c r="N103" s="1">
        <v>90</v>
      </c>
      <c r="O103" s="1">
        <v>94</v>
      </c>
      <c r="P103" s="1">
        <v>10.09</v>
      </c>
      <c r="Q103" s="1">
        <v>9.0299999999999994</v>
      </c>
      <c r="R103" s="11" t="str">
        <f t="shared" si="0"/>
        <v>RB</v>
      </c>
    </row>
    <row r="104" spans="1:18" ht="14.25" customHeight="1" x14ac:dyDescent="0.25">
      <c r="A104" s="1">
        <v>100</v>
      </c>
      <c r="B104" s="1" t="s">
        <v>303</v>
      </c>
      <c r="C104" s="1" t="s">
        <v>284</v>
      </c>
      <c r="D104" s="1" t="s">
        <v>60</v>
      </c>
      <c r="E104" s="1">
        <v>94</v>
      </c>
      <c r="F104" s="1">
        <v>92</v>
      </c>
      <c r="G104" s="1">
        <v>113</v>
      </c>
      <c r="H104" s="1">
        <v>99</v>
      </c>
      <c r="I104" s="1">
        <v>97</v>
      </c>
      <c r="J104" s="1">
        <v>164</v>
      </c>
      <c r="K104" s="1">
        <v>114</v>
      </c>
      <c r="L104" s="1">
        <v>114</v>
      </c>
      <c r="M104" s="1">
        <v>113</v>
      </c>
      <c r="N104" s="1">
        <v>85</v>
      </c>
      <c r="O104" s="1">
        <v>90</v>
      </c>
      <c r="P104" s="1">
        <v>10.1</v>
      </c>
      <c r="Q104" s="1">
        <v>9.0399999999999991</v>
      </c>
      <c r="R104" s="11" t="str">
        <f t="shared" si="0"/>
        <v>WR</v>
      </c>
    </row>
    <row r="105" spans="1:18" ht="14.25" customHeight="1" x14ac:dyDescent="0.25">
      <c r="A105" s="1">
        <v>101</v>
      </c>
      <c r="B105" s="1" t="s">
        <v>313</v>
      </c>
      <c r="C105" s="1" t="s">
        <v>264</v>
      </c>
      <c r="D105" s="1" t="s">
        <v>163</v>
      </c>
      <c r="E105" s="1">
        <v>107</v>
      </c>
      <c r="F105" s="1">
        <v>102</v>
      </c>
      <c r="G105" s="1">
        <v>127</v>
      </c>
      <c r="H105" s="1">
        <v>118</v>
      </c>
      <c r="I105" s="1">
        <v>100</v>
      </c>
      <c r="J105" s="1">
        <v>90</v>
      </c>
      <c r="K105" s="1">
        <v>90</v>
      </c>
      <c r="L105" s="1">
        <v>127</v>
      </c>
      <c r="M105" s="1">
        <v>97</v>
      </c>
      <c r="N105" s="1">
        <v>117</v>
      </c>
      <c r="O105" s="1">
        <v>104</v>
      </c>
      <c r="P105" s="1">
        <v>11.01</v>
      </c>
      <c r="Q105" s="1">
        <v>9.0500000000000007</v>
      </c>
      <c r="R105" s="11" t="str">
        <f t="shared" si="0"/>
        <v>WR</v>
      </c>
    </row>
    <row r="106" spans="1:18" ht="14.25" customHeight="1" x14ac:dyDescent="0.25">
      <c r="A106" s="1">
        <v>102</v>
      </c>
      <c r="B106" s="1" t="s">
        <v>321</v>
      </c>
      <c r="C106" s="1" t="s">
        <v>237</v>
      </c>
      <c r="D106" s="1" t="s">
        <v>214</v>
      </c>
      <c r="E106" s="1">
        <v>114</v>
      </c>
      <c r="F106" s="1">
        <v>106</v>
      </c>
      <c r="G106" s="1">
        <v>123</v>
      </c>
      <c r="H106" s="1">
        <v>91</v>
      </c>
      <c r="I106" s="1">
        <v>111</v>
      </c>
      <c r="J106" s="1">
        <v>116</v>
      </c>
      <c r="K106" s="1">
        <v>105</v>
      </c>
      <c r="L106" s="1">
        <v>85</v>
      </c>
      <c r="M106" s="1">
        <v>107</v>
      </c>
      <c r="N106" s="1">
        <v>112</v>
      </c>
      <c r="O106" s="1">
        <v>112</v>
      </c>
      <c r="P106" s="1">
        <v>11.02</v>
      </c>
      <c r="Q106" s="1">
        <v>9.06</v>
      </c>
      <c r="R106" s="11" t="str">
        <f t="shared" si="0"/>
        <v>TE</v>
      </c>
    </row>
    <row r="107" spans="1:18" ht="14.25" customHeight="1" x14ac:dyDescent="0.25">
      <c r="A107" s="1">
        <v>103</v>
      </c>
      <c r="B107" s="1" t="s">
        <v>305</v>
      </c>
      <c r="C107" s="1" t="s">
        <v>812</v>
      </c>
      <c r="D107" s="1" t="s">
        <v>145</v>
      </c>
      <c r="E107" s="1">
        <v>116</v>
      </c>
      <c r="F107" s="1">
        <v>120</v>
      </c>
      <c r="G107" s="1">
        <v>121</v>
      </c>
      <c r="H107" s="1">
        <v>119</v>
      </c>
      <c r="I107" s="1">
        <v>112</v>
      </c>
      <c r="J107" s="1">
        <v>63</v>
      </c>
      <c r="K107" s="1">
        <v>136</v>
      </c>
      <c r="L107" s="1">
        <v>102</v>
      </c>
      <c r="M107" s="1">
        <v>95</v>
      </c>
      <c r="N107" s="1">
        <v>98</v>
      </c>
      <c r="O107" s="1">
        <v>109</v>
      </c>
      <c r="P107" s="1">
        <v>11.03</v>
      </c>
      <c r="Q107" s="1">
        <v>9.07</v>
      </c>
      <c r="R107" s="11" t="str">
        <f t="shared" si="0"/>
        <v>QB</v>
      </c>
    </row>
    <row r="108" spans="1:18" ht="14.25" customHeight="1" x14ac:dyDescent="0.25">
      <c r="A108" s="1">
        <v>104</v>
      </c>
      <c r="B108" s="1" t="s">
        <v>307</v>
      </c>
      <c r="C108" s="1" t="s">
        <v>333</v>
      </c>
      <c r="D108" s="1" t="s">
        <v>35</v>
      </c>
      <c r="E108" s="1">
        <v>93</v>
      </c>
      <c r="F108" s="1">
        <v>123</v>
      </c>
      <c r="G108" s="1">
        <v>115</v>
      </c>
      <c r="H108" s="1">
        <v>132</v>
      </c>
      <c r="I108" s="1">
        <v>103</v>
      </c>
      <c r="J108" s="1">
        <v>105</v>
      </c>
      <c r="K108" s="1">
        <v>97</v>
      </c>
      <c r="L108" s="1">
        <v>113</v>
      </c>
      <c r="M108" s="1">
        <v>77</v>
      </c>
      <c r="N108" s="1">
        <v>119</v>
      </c>
      <c r="O108" s="1">
        <v>120</v>
      </c>
      <c r="P108" s="1">
        <v>11.04</v>
      </c>
      <c r="Q108" s="1">
        <v>9.08</v>
      </c>
      <c r="R108" s="11" t="str">
        <f t="shared" si="0"/>
        <v>QB</v>
      </c>
    </row>
    <row r="109" spans="1:18" ht="14.25" customHeight="1" x14ac:dyDescent="0.25">
      <c r="A109" s="1">
        <v>105</v>
      </c>
      <c r="B109" s="1" t="s">
        <v>319</v>
      </c>
      <c r="C109" s="1" t="s">
        <v>652</v>
      </c>
      <c r="D109" s="1" t="s">
        <v>66</v>
      </c>
      <c r="E109" s="1">
        <v>113</v>
      </c>
      <c r="F109" s="1">
        <v>111</v>
      </c>
      <c r="G109" s="1">
        <v>126</v>
      </c>
      <c r="H109" s="1">
        <v>102</v>
      </c>
      <c r="I109" s="1">
        <v>99</v>
      </c>
      <c r="J109" s="1">
        <v>139</v>
      </c>
      <c r="K109" s="1">
        <v>118</v>
      </c>
      <c r="L109" s="1">
        <v>122</v>
      </c>
      <c r="M109" s="1">
        <v>115</v>
      </c>
      <c r="N109" s="1">
        <v>78</v>
      </c>
      <c r="O109" s="1">
        <v>85</v>
      </c>
      <c r="P109" s="1">
        <v>11.05</v>
      </c>
      <c r="Q109" s="1">
        <v>9.09</v>
      </c>
      <c r="R109" s="11" t="str">
        <f t="shared" si="0"/>
        <v>WR</v>
      </c>
    </row>
    <row r="110" spans="1:18" ht="14.25" customHeight="1" x14ac:dyDescent="0.25">
      <c r="A110" s="1">
        <v>106</v>
      </c>
      <c r="B110" s="1" t="s">
        <v>277</v>
      </c>
      <c r="C110" s="1" t="s">
        <v>170</v>
      </c>
      <c r="D110" s="1" t="s">
        <v>126</v>
      </c>
      <c r="E110" s="1">
        <v>117</v>
      </c>
      <c r="F110" s="1">
        <v>105</v>
      </c>
      <c r="G110" s="1">
        <v>112</v>
      </c>
      <c r="H110" s="1">
        <v>104</v>
      </c>
      <c r="I110" s="1">
        <v>115</v>
      </c>
      <c r="J110" s="1">
        <v>100</v>
      </c>
      <c r="K110" s="1">
        <v>98</v>
      </c>
      <c r="L110" s="1">
        <v>135</v>
      </c>
      <c r="M110" s="1">
        <v>116</v>
      </c>
      <c r="N110" s="1">
        <v>120</v>
      </c>
      <c r="O110" s="1">
        <v>116</v>
      </c>
      <c r="P110" s="1">
        <v>11.06</v>
      </c>
      <c r="Q110" s="1">
        <v>9.1</v>
      </c>
      <c r="R110" s="11" t="str">
        <f t="shared" si="0"/>
        <v>RB</v>
      </c>
    </row>
    <row r="111" spans="1:18" ht="14.25" customHeight="1" x14ac:dyDescent="0.25">
      <c r="A111" s="1">
        <v>107</v>
      </c>
      <c r="B111" s="1" t="s">
        <v>330</v>
      </c>
      <c r="C111" s="1" t="s">
        <v>290</v>
      </c>
      <c r="D111" s="1" t="s">
        <v>60</v>
      </c>
      <c r="E111" s="1">
        <v>129</v>
      </c>
      <c r="F111" s="1">
        <v>135</v>
      </c>
      <c r="G111" s="1">
        <v>128</v>
      </c>
      <c r="H111" s="1">
        <v>112</v>
      </c>
      <c r="I111" s="1">
        <v>96</v>
      </c>
      <c r="J111" s="1">
        <v>141</v>
      </c>
      <c r="K111" s="1">
        <v>106</v>
      </c>
      <c r="L111" s="1">
        <v>107</v>
      </c>
      <c r="M111" s="1">
        <v>109</v>
      </c>
      <c r="N111" s="1">
        <v>96</v>
      </c>
      <c r="O111" s="1">
        <v>83</v>
      </c>
      <c r="P111" s="1">
        <v>11.07</v>
      </c>
      <c r="Q111" s="1">
        <v>9.11</v>
      </c>
      <c r="R111" s="11" t="str">
        <f t="shared" si="0"/>
        <v>WR</v>
      </c>
    </row>
    <row r="112" spans="1:18" ht="14.25" customHeight="1" x14ac:dyDescent="0.25">
      <c r="A112" s="1">
        <v>108</v>
      </c>
      <c r="B112" s="1" t="s">
        <v>279</v>
      </c>
      <c r="C112" s="1" t="s">
        <v>298</v>
      </c>
      <c r="D112" s="1" t="s">
        <v>184</v>
      </c>
      <c r="E112" s="1">
        <v>76</v>
      </c>
      <c r="F112" s="1">
        <v>87</v>
      </c>
      <c r="G112" s="1">
        <v>100</v>
      </c>
      <c r="H112" s="1">
        <v>90</v>
      </c>
      <c r="I112" s="1">
        <v>125</v>
      </c>
      <c r="J112" s="1">
        <v>148</v>
      </c>
      <c r="K112" s="1">
        <v>179</v>
      </c>
      <c r="L112" s="1">
        <v>100</v>
      </c>
      <c r="M112" s="1">
        <v>156</v>
      </c>
      <c r="N112" s="1">
        <v>89</v>
      </c>
      <c r="O112" s="1">
        <v>99</v>
      </c>
      <c r="P112" s="1">
        <v>11.08</v>
      </c>
      <c r="Q112" s="1">
        <v>9.1199999999999992</v>
      </c>
      <c r="R112" s="11" t="str">
        <f t="shared" si="0"/>
        <v>RB</v>
      </c>
    </row>
    <row r="113" spans="1:18" ht="14.25" customHeight="1" x14ac:dyDescent="0.25">
      <c r="A113" s="1">
        <v>109</v>
      </c>
      <c r="B113" s="1" t="s">
        <v>334</v>
      </c>
      <c r="C113" s="1" t="s">
        <v>296</v>
      </c>
      <c r="D113" s="1" t="s">
        <v>214</v>
      </c>
      <c r="E113" s="1">
        <v>134</v>
      </c>
      <c r="F113" s="1">
        <v>128</v>
      </c>
      <c r="G113" s="1">
        <v>145</v>
      </c>
      <c r="H113" s="1">
        <v>116</v>
      </c>
      <c r="I113" s="1">
        <v>105</v>
      </c>
      <c r="J113" s="1">
        <v>134</v>
      </c>
      <c r="K113" s="1">
        <v>99</v>
      </c>
      <c r="L113" s="1">
        <v>110</v>
      </c>
      <c r="M113" s="1">
        <v>106</v>
      </c>
      <c r="N113" s="1">
        <v>107</v>
      </c>
      <c r="O113" s="1">
        <v>86</v>
      </c>
      <c r="P113" s="1">
        <v>11.09</v>
      </c>
      <c r="Q113" s="1">
        <v>10.01</v>
      </c>
      <c r="R113" s="11" t="str">
        <f t="shared" si="0"/>
        <v>WR</v>
      </c>
    </row>
    <row r="114" spans="1:18" ht="14.25" customHeight="1" x14ac:dyDescent="0.25">
      <c r="A114" s="1">
        <v>110</v>
      </c>
      <c r="B114" s="1" t="s">
        <v>281</v>
      </c>
      <c r="C114" s="1" t="s">
        <v>141</v>
      </c>
      <c r="D114" s="1" t="s">
        <v>69</v>
      </c>
      <c r="E114" s="1">
        <v>108</v>
      </c>
      <c r="F114" s="1">
        <v>103</v>
      </c>
      <c r="G114" s="1">
        <v>117</v>
      </c>
      <c r="H114" s="1">
        <v>106</v>
      </c>
      <c r="I114" s="1">
        <v>106</v>
      </c>
      <c r="J114" s="1">
        <v>150</v>
      </c>
      <c r="K114" s="1">
        <v>100</v>
      </c>
      <c r="L114" s="1">
        <v>112</v>
      </c>
      <c r="M114" s="1">
        <v>118</v>
      </c>
      <c r="N114" s="1">
        <v>122</v>
      </c>
      <c r="O114" s="1">
        <v>128</v>
      </c>
      <c r="P114" s="1">
        <v>11.1</v>
      </c>
      <c r="Q114" s="1">
        <v>10.02</v>
      </c>
      <c r="R114" s="11" t="str">
        <f t="shared" si="0"/>
        <v>RB</v>
      </c>
    </row>
    <row r="115" spans="1:18" ht="14.25" customHeight="1" x14ac:dyDescent="0.25">
      <c r="A115" s="1">
        <v>111</v>
      </c>
      <c r="B115" s="1" t="s">
        <v>309</v>
      </c>
      <c r="C115" s="1" t="s">
        <v>262</v>
      </c>
      <c r="D115" s="1" t="s">
        <v>88</v>
      </c>
      <c r="E115" s="1">
        <v>122</v>
      </c>
      <c r="F115" s="1">
        <v>91</v>
      </c>
      <c r="G115" s="1">
        <v>122</v>
      </c>
      <c r="H115" s="1">
        <v>135</v>
      </c>
      <c r="I115" s="1">
        <v>120</v>
      </c>
      <c r="J115" s="1">
        <v>124</v>
      </c>
      <c r="K115" s="1">
        <v>109</v>
      </c>
      <c r="L115" s="1">
        <v>105</v>
      </c>
      <c r="M115" s="1">
        <v>102</v>
      </c>
      <c r="N115" s="1">
        <v>128</v>
      </c>
      <c r="O115" s="1">
        <v>126</v>
      </c>
      <c r="P115" s="1">
        <v>12.01</v>
      </c>
      <c r="Q115" s="1">
        <v>10.029999999999999</v>
      </c>
      <c r="R115" s="11" t="str">
        <f t="shared" si="0"/>
        <v>QB</v>
      </c>
    </row>
    <row r="116" spans="1:18" ht="14.25" customHeight="1" x14ac:dyDescent="0.25">
      <c r="A116" s="1">
        <v>112</v>
      </c>
      <c r="B116" s="1" t="s">
        <v>317</v>
      </c>
      <c r="C116" s="1" t="s">
        <v>241</v>
      </c>
      <c r="D116" s="1" t="s">
        <v>155</v>
      </c>
      <c r="E116" s="1">
        <v>120</v>
      </c>
      <c r="F116" s="1">
        <v>112</v>
      </c>
      <c r="G116" s="1">
        <v>155</v>
      </c>
      <c r="H116" s="1">
        <v>124</v>
      </c>
      <c r="I116" s="1">
        <v>109</v>
      </c>
      <c r="J116" s="1">
        <v>114</v>
      </c>
      <c r="K116" s="1">
        <v>126</v>
      </c>
      <c r="L116" s="1">
        <v>103</v>
      </c>
      <c r="M116" s="1">
        <v>101</v>
      </c>
      <c r="N116" s="1">
        <v>108</v>
      </c>
      <c r="O116" s="1">
        <v>113</v>
      </c>
      <c r="P116" s="1">
        <v>12.02</v>
      </c>
      <c r="Q116" s="1">
        <v>10.039999999999999</v>
      </c>
      <c r="R116" s="11" t="str">
        <f t="shared" si="0"/>
        <v>QB</v>
      </c>
    </row>
    <row r="117" spans="1:18" ht="14.25" customHeight="1" x14ac:dyDescent="0.25">
      <c r="A117" s="1">
        <v>113</v>
      </c>
      <c r="B117" s="1" t="s">
        <v>323</v>
      </c>
      <c r="C117" s="1" t="s">
        <v>154</v>
      </c>
      <c r="D117" s="1" t="s">
        <v>155</v>
      </c>
      <c r="E117" s="1">
        <v>131</v>
      </c>
      <c r="F117" s="1">
        <v>113</v>
      </c>
      <c r="G117" s="1">
        <v>137</v>
      </c>
      <c r="H117" s="1">
        <v>96</v>
      </c>
      <c r="I117" s="1">
        <v>124</v>
      </c>
      <c r="J117" s="1">
        <v>113</v>
      </c>
      <c r="K117" s="1">
        <v>113</v>
      </c>
      <c r="L117" s="1">
        <v>128</v>
      </c>
      <c r="M117" s="1">
        <v>124</v>
      </c>
      <c r="N117" s="1">
        <v>111</v>
      </c>
      <c r="O117" s="1">
        <v>108</v>
      </c>
      <c r="P117" s="1">
        <v>12.03</v>
      </c>
      <c r="Q117" s="1">
        <v>10.050000000000001</v>
      </c>
      <c r="R117" s="11" t="str">
        <f t="shared" si="0"/>
        <v>TE</v>
      </c>
    </row>
    <row r="118" spans="1:18" ht="14.25" customHeight="1" x14ac:dyDescent="0.25">
      <c r="A118" s="1">
        <v>114</v>
      </c>
      <c r="B118" s="1" t="s">
        <v>332</v>
      </c>
      <c r="C118" s="1" t="s">
        <v>204</v>
      </c>
      <c r="D118" s="1" t="s">
        <v>104</v>
      </c>
      <c r="E118" s="1">
        <v>130</v>
      </c>
      <c r="F118" s="1">
        <v>124</v>
      </c>
      <c r="G118" s="1">
        <v>130</v>
      </c>
      <c r="H118" s="1">
        <v>117</v>
      </c>
      <c r="I118" s="1">
        <v>114</v>
      </c>
      <c r="J118" s="1">
        <v>144</v>
      </c>
      <c r="K118" s="1">
        <v>127</v>
      </c>
      <c r="L118" s="1">
        <v>99</v>
      </c>
      <c r="M118" s="1">
        <v>111</v>
      </c>
      <c r="N118" s="1">
        <v>110</v>
      </c>
      <c r="O118" s="1">
        <v>110</v>
      </c>
      <c r="P118" s="1">
        <v>12.04</v>
      </c>
      <c r="Q118" s="1">
        <v>10.06</v>
      </c>
      <c r="R118" s="11" t="str">
        <f t="shared" si="0"/>
        <v>QB</v>
      </c>
    </row>
    <row r="119" spans="1:18" ht="14.25" customHeight="1" x14ac:dyDescent="0.25">
      <c r="A119" s="1">
        <v>115</v>
      </c>
      <c r="B119" s="1" t="s">
        <v>291</v>
      </c>
      <c r="C119" s="1" t="s">
        <v>222</v>
      </c>
      <c r="D119" s="1" t="s">
        <v>104</v>
      </c>
      <c r="E119" s="1">
        <v>109</v>
      </c>
      <c r="F119" s="1">
        <v>107</v>
      </c>
      <c r="G119" s="1">
        <v>118</v>
      </c>
      <c r="H119" s="1">
        <v>126</v>
      </c>
      <c r="I119" s="1">
        <v>121</v>
      </c>
      <c r="J119" s="1">
        <v>130</v>
      </c>
      <c r="K119" s="1">
        <v>111</v>
      </c>
      <c r="L119" s="1">
        <v>116</v>
      </c>
      <c r="M119" s="1">
        <v>121</v>
      </c>
      <c r="N119" s="1">
        <v>135</v>
      </c>
      <c r="O119" s="1">
        <v>125</v>
      </c>
      <c r="P119" s="1">
        <v>12.05</v>
      </c>
      <c r="Q119" s="1">
        <v>10.07</v>
      </c>
      <c r="R119" s="11" t="str">
        <f t="shared" si="0"/>
        <v>RB</v>
      </c>
    </row>
    <row r="120" spans="1:18" ht="14.25" customHeight="1" x14ac:dyDescent="0.25">
      <c r="A120" s="1">
        <v>116</v>
      </c>
      <c r="B120" s="1" t="s">
        <v>297</v>
      </c>
      <c r="C120" s="1" t="s">
        <v>804</v>
      </c>
      <c r="D120" s="1" t="s">
        <v>116</v>
      </c>
      <c r="E120" s="1">
        <v>81</v>
      </c>
      <c r="F120" s="1">
        <v>121</v>
      </c>
      <c r="G120" s="1">
        <v>262</v>
      </c>
      <c r="H120" s="1">
        <v>115</v>
      </c>
      <c r="I120" s="1">
        <v>110</v>
      </c>
      <c r="J120" s="1">
        <v>65</v>
      </c>
      <c r="K120" s="1">
        <v>63</v>
      </c>
      <c r="L120" s="1">
        <v>161</v>
      </c>
      <c r="M120" s="1">
        <v>83</v>
      </c>
      <c r="N120" s="1">
        <v>162</v>
      </c>
      <c r="O120" s="1">
        <v>122</v>
      </c>
      <c r="P120" s="1">
        <v>12.06</v>
      </c>
      <c r="Q120" s="1">
        <v>10.08</v>
      </c>
      <c r="R120" s="11" t="str">
        <f t="shared" si="0"/>
        <v>RB</v>
      </c>
    </row>
    <row r="121" spans="1:18" ht="14.25" customHeight="1" x14ac:dyDescent="0.25">
      <c r="A121" s="1">
        <v>117</v>
      </c>
      <c r="B121" s="1" t="s">
        <v>315</v>
      </c>
      <c r="C121" s="1" t="s">
        <v>898</v>
      </c>
      <c r="D121" s="1" t="s">
        <v>184</v>
      </c>
      <c r="E121" s="1">
        <v>86</v>
      </c>
      <c r="F121" s="1">
        <v>96</v>
      </c>
      <c r="G121" s="1">
        <v>172</v>
      </c>
      <c r="H121" s="1">
        <v>109</v>
      </c>
      <c r="I121" s="1">
        <v>142</v>
      </c>
      <c r="J121" s="1">
        <v>143</v>
      </c>
      <c r="K121" s="1">
        <v>130</v>
      </c>
      <c r="L121" s="1">
        <v>104</v>
      </c>
      <c r="M121" s="1">
        <v>148</v>
      </c>
      <c r="N121" s="1">
        <v>124</v>
      </c>
      <c r="O121" s="1">
        <v>135</v>
      </c>
      <c r="P121" s="1">
        <v>12.07</v>
      </c>
      <c r="Q121" s="1">
        <v>10.09</v>
      </c>
      <c r="R121" s="11" t="str">
        <f t="shared" si="0"/>
        <v>RB</v>
      </c>
    </row>
    <row r="122" spans="1:18" ht="14.25" customHeight="1" x14ac:dyDescent="0.25">
      <c r="A122" s="1">
        <v>118</v>
      </c>
      <c r="B122" s="1" t="s">
        <v>328</v>
      </c>
      <c r="C122" s="1" t="s">
        <v>413</v>
      </c>
      <c r="D122" s="1" t="s">
        <v>55</v>
      </c>
      <c r="E122" s="1">
        <v>125</v>
      </c>
      <c r="F122" s="1">
        <v>168</v>
      </c>
      <c r="G122" s="1">
        <v>177</v>
      </c>
      <c r="H122" s="1">
        <v>125</v>
      </c>
      <c r="I122" s="1">
        <v>102</v>
      </c>
      <c r="J122" s="1">
        <v>103</v>
      </c>
      <c r="K122" s="1">
        <v>78</v>
      </c>
      <c r="L122" s="1">
        <v>147</v>
      </c>
      <c r="M122" s="1">
        <v>98</v>
      </c>
      <c r="N122" s="1">
        <v>148</v>
      </c>
      <c r="O122" s="1">
        <v>133</v>
      </c>
      <c r="P122" s="1">
        <v>12.08</v>
      </c>
      <c r="Q122" s="1">
        <v>10.1</v>
      </c>
      <c r="R122" s="11" t="str">
        <f t="shared" si="0"/>
        <v>RB</v>
      </c>
    </row>
    <row r="123" spans="1:18" ht="14.25" customHeight="1" x14ac:dyDescent="0.25">
      <c r="A123" s="1">
        <v>119</v>
      </c>
      <c r="B123" s="1" t="s">
        <v>325</v>
      </c>
      <c r="C123" s="1" t="s">
        <v>324</v>
      </c>
      <c r="D123" s="1" t="s">
        <v>66</v>
      </c>
      <c r="E123" s="1">
        <v>142</v>
      </c>
      <c r="F123" s="1">
        <v>126</v>
      </c>
      <c r="G123" s="1">
        <v>142</v>
      </c>
      <c r="H123" s="1">
        <v>107</v>
      </c>
      <c r="I123" s="1">
        <v>133</v>
      </c>
      <c r="J123" s="1">
        <v>128</v>
      </c>
      <c r="K123" s="1">
        <v>119</v>
      </c>
      <c r="L123" s="1">
        <v>120</v>
      </c>
      <c r="M123" s="1">
        <v>132</v>
      </c>
      <c r="N123" s="1">
        <v>131</v>
      </c>
      <c r="O123" s="1">
        <v>132</v>
      </c>
      <c r="P123" s="1">
        <v>12.09</v>
      </c>
      <c r="Q123" s="1">
        <v>10.11</v>
      </c>
      <c r="R123" s="11" t="str">
        <f t="shared" si="0"/>
        <v>TE</v>
      </c>
    </row>
    <row r="124" spans="1:18" ht="14.25" customHeight="1" x14ac:dyDescent="0.25">
      <c r="A124" s="1">
        <v>120</v>
      </c>
      <c r="B124" s="1" t="s">
        <v>343</v>
      </c>
      <c r="C124" s="1" t="s">
        <v>377</v>
      </c>
      <c r="D124" s="1" t="s">
        <v>129</v>
      </c>
      <c r="E124" s="1">
        <v>161</v>
      </c>
      <c r="F124" s="1">
        <v>134</v>
      </c>
      <c r="G124" s="1">
        <v>133</v>
      </c>
      <c r="H124" s="1">
        <v>127</v>
      </c>
      <c r="I124" s="1">
        <v>117</v>
      </c>
      <c r="J124" s="1">
        <v>177</v>
      </c>
      <c r="K124" s="1">
        <v>124</v>
      </c>
      <c r="L124" s="1">
        <v>108</v>
      </c>
      <c r="M124" s="1">
        <v>128</v>
      </c>
      <c r="N124" s="1">
        <v>102</v>
      </c>
      <c r="O124" s="1">
        <v>102</v>
      </c>
      <c r="P124" s="1">
        <v>12.1</v>
      </c>
      <c r="Q124" s="1">
        <v>10.119999999999999</v>
      </c>
      <c r="R124" s="11" t="str">
        <f t="shared" si="0"/>
        <v>WR</v>
      </c>
    </row>
    <row r="125" spans="1:18" ht="14.25" customHeight="1" x14ac:dyDescent="0.25">
      <c r="A125" s="1">
        <v>121</v>
      </c>
      <c r="B125" s="1" t="s">
        <v>337</v>
      </c>
      <c r="C125" s="1" t="s">
        <v>399</v>
      </c>
      <c r="D125" s="1" t="s">
        <v>199</v>
      </c>
      <c r="E125" s="1">
        <v>105</v>
      </c>
      <c r="F125" s="1">
        <v>132</v>
      </c>
      <c r="G125" s="1">
        <v>139</v>
      </c>
      <c r="H125" s="1">
        <v>120</v>
      </c>
      <c r="I125" s="1">
        <v>118</v>
      </c>
      <c r="J125" s="1">
        <v>209</v>
      </c>
      <c r="K125" s="1">
        <v>122</v>
      </c>
      <c r="L125" s="1">
        <v>101</v>
      </c>
      <c r="M125" s="1">
        <v>123</v>
      </c>
      <c r="N125" s="1">
        <v>126</v>
      </c>
      <c r="O125" s="1">
        <v>121</v>
      </c>
      <c r="P125" s="1">
        <v>13.01</v>
      </c>
      <c r="Q125" s="1">
        <v>11.01</v>
      </c>
      <c r="R125" s="11" t="str">
        <f t="shared" si="0"/>
        <v>RB</v>
      </c>
    </row>
    <row r="126" spans="1:18" ht="14.25" customHeight="1" x14ac:dyDescent="0.25">
      <c r="A126" s="1">
        <v>122</v>
      </c>
      <c r="B126" s="1" t="s">
        <v>345</v>
      </c>
      <c r="C126" s="1" t="s">
        <v>621</v>
      </c>
      <c r="D126" s="1" t="s">
        <v>39</v>
      </c>
      <c r="E126" s="1">
        <v>121</v>
      </c>
      <c r="F126" s="1">
        <v>139</v>
      </c>
      <c r="G126" s="1">
        <v>132</v>
      </c>
      <c r="H126" s="1">
        <v>137</v>
      </c>
      <c r="I126" s="1">
        <v>119</v>
      </c>
      <c r="J126" s="1">
        <v>183</v>
      </c>
      <c r="K126" s="1">
        <v>120</v>
      </c>
      <c r="L126" s="1">
        <v>130</v>
      </c>
      <c r="M126" s="1">
        <v>127</v>
      </c>
      <c r="N126" s="1">
        <v>118</v>
      </c>
      <c r="O126" s="1">
        <v>105</v>
      </c>
      <c r="P126" s="1">
        <v>13.02</v>
      </c>
      <c r="Q126" s="1">
        <v>11.02</v>
      </c>
      <c r="R126" s="11" t="str">
        <f t="shared" si="0"/>
        <v>WR</v>
      </c>
    </row>
    <row r="127" spans="1:18" ht="14.25" customHeight="1" x14ac:dyDescent="0.25">
      <c r="A127" s="1">
        <v>123</v>
      </c>
      <c r="B127" s="1" t="s">
        <v>341</v>
      </c>
      <c r="C127" s="1" t="s">
        <v>186</v>
      </c>
      <c r="D127" s="1" t="s">
        <v>187</v>
      </c>
      <c r="E127" s="1">
        <v>110</v>
      </c>
      <c r="F127" s="1">
        <v>146</v>
      </c>
      <c r="G127" s="1">
        <v>189</v>
      </c>
      <c r="H127" s="1">
        <v>111</v>
      </c>
      <c r="I127" s="1">
        <v>129</v>
      </c>
      <c r="J127" s="1">
        <v>99</v>
      </c>
      <c r="K127" s="1">
        <v>74</v>
      </c>
      <c r="L127" s="1">
        <v>175</v>
      </c>
      <c r="M127" s="1">
        <v>112</v>
      </c>
      <c r="N127" s="1">
        <v>149</v>
      </c>
      <c r="O127" s="1">
        <v>144</v>
      </c>
      <c r="P127" s="1">
        <v>13.03</v>
      </c>
      <c r="Q127" s="1">
        <v>11.03</v>
      </c>
      <c r="R127" s="11" t="str">
        <f t="shared" si="0"/>
        <v>RB</v>
      </c>
    </row>
    <row r="128" spans="1:18" ht="14.25" customHeight="1" x14ac:dyDescent="0.25">
      <c r="A128" s="1">
        <v>124</v>
      </c>
      <c r="B128" s="1" t="s">
        <v>354</v>
      </c>
      <c r="C128" s="1" t="s">
        <v>411</v>
      </c>
      <c r="D128" s="1" t="s">
        <v>116</v>
      </c>
      <c r="E128" s="1">
        <v>135</v>
      </c>
      <c r="F128" s="1">
        <v>127</v>
      </c>
      <c r="G128" s="1">
        <v>141</v>
      </c>
      <c r="H128" s="1">
        <v>142</v>
      </c>
      <c r="I128" s="1">
        <v>131</v>
      </c>
      <c r="J128" s="1">
        <v>132</v>
      </c>
      <c r="K128" s="1">
        <v>125</v>
      </c>
      <c r="L128" s="1">
        <v>129</v>
      </c>
      <c r="M128" s="1">
        <v>117</v>
      </c>
      <c r="N128" s="1">
        <v>129</v>
      </c>
      <c r="O128" s="1">
        <v>134</v>
      </c>
      <c r="P128" s="1">
        <v>13.04</v>
      </c>
      <c r="Q128" s="1">
        <v>11.04</v>
      </c>
      <c r="R128" s="11" t="str">
        <f t="shared" si="0"/>
        <v>QB</v>
      </c>
    </row>
    <row r="129" spans="1:18" ht="14.25" customHeight="1" x14ac:dyDescent="0.25">
      <c r="A129" s="1">
        <v>125</v>
      </c>
      <c r="B129" s="1" t="s">
        <v>359</v>
      </c>
      <c r="C129" s="1" t="s">
        <v>360</v>
      </c>
      <c r="D129" s="1" t="s">
        <v>214</v>
      </c>
      <c r="E129" s="1">
        <v>123</v>
      </c>
      <c r="F129" s="1">
        <v>125</v>
      </c>
      <c r="G129" s="1">
        <v>160</v>
      </c>
      <c r="H129" s="1">
        <v>147</v>
      </c>
      <c r="I129" s="1">
        <v>127</v>
      </c>
      <c r="J129" s="1">
        <v>140</v>
      </c>
      <c r="K129" s="1">
        <v>142</v>
      </c>
      <c r="L129" s="1">
        <v>111</v>
      </c>
      <c r="M129" s="1">
        <v>114</v>
      </c>
      <c r="N129" s="1">
        <v>133</v>
      </c>
      <c r="O129" s="1">
        <v>127</v>
      </c>
      <c r="P129" s="1">
        <v>13.05</v>
      </c>
      <c r="Q129" s="1">
        <v>11.05</v>
      </c>
      <c r="R129" s="11" t="str">
        <f t="shared" si="0"/>
        <v>QB</v>
      </c>
    </row>
    <row r="130" spans="1:18" ht="14.25" customHeight="1" x14ac:dyDescent="0.25">
      <c r="A130" s="1">
        <v>126</v>
      </c>
      <c r="B130" s="1" t="s">
        <v>352</v>
      </c>
      <c r="C130" s="1" t="s">
        <v>446</v>
      </c>
      <c r="D130" s="1" t="s">
        <v>145</v>
      </c>
      <c r="E130" s="1">
        <v>127</v>
      </c>
      <c r="F130" s="1">
        <v>156</v>
      </c>
      <c r="G130" s="1">
        <v>109</v>
      </c>
      <c r="H130" s="1">
        <v>108</v>
      </c>
      <c r="I130" s="1">
        <v>132</v>
      </c>
      <c r="J130" s="1">
        <v>197</v>
      </c>
      <c r="K130" s="1">
        <v>153</v>
      </c>
      <c r="L130" s="1">
        <v>89</v>
      </c>
      <c r="M130" s="1">
        <v>146</v>
      </c>
      <c r="N130" s="1">
        <v>109</v>
      </c>
      <c r="O130" s="1">
        <v>129</v>
      </c>
      <c r="P130" s="1">
        <v>13.06</v>
      </c>
      <c r="Q130" s="1">
        <v>11.06</v>
      </c>
      <c r="R130" s="11" t="str">
        <f t="shared" si="0"/>
        <v>RB</v>
      </c>
    </row>
    <row r="131" spans="1:18" ht="14.25" customHeight="1" x14ac:dyDescent="0.25">
      <c r="A131" s="1">
        <v>127</v>
      </c>
      <c r="B131" s="1" t="s">
        <v>350</v>
      </c>
      <c r="C131" s="1" t="s">
        <v>664</v>
      </c>
      <c r="D131" s="1" t="s">
        <v>116</v>
      </c>
      <c r="E131" s="1">
        <v>137</v>
      </c>
      <c r="F131" s="1">
        <v>178</v>
      </c>
      <c r="G131" s="1">
        <v>124</v>
      </c>
      <c r="H131" s="1">
        <v>131</v>
      </c>
      <c r="I131" s="1">
        <v>108</v>
      </c>
      <c r="J131" s="1">
        <v>172</v>
      </c>
      <c r="K131" s="1">
        <v>148</v>
      </c>
      <c r="L131" s="1">
        <v>133</v>
      </c>
      <c r="M131" s="1">
        <v>129</v>
      </c>
      <c r="N131" s="1">
        <v>103</v>
      </c>
      <c r="O131" s="1">
        <v>115</v>
      </c>
      <c r="P131" s="1">
        <v>13.07</v>
      </c>
      <c r="Q131" s="1">
        <v>11.07</v>
      </c>
      <c r="R131" s="11" t="str">
        <f t="shared" si="0"/>
        <v>WR</v>
      </c>
    </row>
    <row r="132" spans="1:18" ht="14.25" customHeight="1" x14ac:dyDescent="0.25">
      <c r="A132" s="1">
        <v>128</v>
      </c>
      <c r="B132" s="1" t="s">
        <v>339</v>
      </c>
      <c r="C132" s="1" t="s">
        <v>340</v>
      </c>
      <c r="D132" s="1" t="s">
        <v>69</v>
      </c>
      <c r="E132" s="1">
        <v>139</v>
      </c>
      <c r="F132" s="1">
        <v>137</v>
      </c>
      <c r="G132" s="1">
        <v>163</v>
      </c>
      <c r="H132" s="1">
        <v>100</v>
      </c>
      <c r="I132" s="1">
        <v>130</v>
      </c>
      <c r="J132" s="1">
        <v>159</v>
      </c>
      <c r="K132" s="1">
        <v>137</v>
      </c>
      <c r="L132" s="1">
        <v>115</v>
      </c>
      <c r="M132" s="1">
        <v>131</v>
      </c>
      <c r="N132" s="1">
        <v>138</v>
      </c>
      <c r="O132" s="1">
        <v>137</v>
      </c>
      <c r="P132" s="1">
        <v>13.08</v>
      </c>
      <c r="Q132" s="1">
        <v>11.08</v>
      </c>
      <c r="R132" s="11" t="str">
        <f t="shared" si="0"/>
        <v>TE</v>
      </c>
    </row>
    <row r="133" spans="1:18" ht="14.25" customHeight="1" x14ac:dyDescent="0.25">
      <c r="A133" s="1">
        <v>129</v>
      </c>
      <c r="B133" s="1" t="s">
        <v>357</v>
      </c>
      <c r="C133" s="1" t="s">
        <v>686</v>
      </c>
      <c r="D133" s="1" t="s">
        <v>116</v>
      </c>
      <c r="E133" s="1">
        <v>166</v>
      </c>
      <c r="F133" s="1">
        <v>144</v>
      </c>
      <c r="G133" s="1">
        <v>135</v>
      </c>
      <c r="H133" s="1">
        <v>129</v>
      </c>
      <c r="I133" s="1">
        <v>116</v>
      </c>
      <c r="J133" s="1">
        <v>207</v>
      </c>
      <c r="K133" s="1">
        <v>116</v>
      </c>
      <c r="L133" s="1">
        <v>148</v>
      </c>
      <c r="M133" s="1">
        <v>140</v>
      </c>
      <c r="N133" s="1">
        <v>114</v>
      </c>
      <c r="O133" s="1">
        <v>92</v>
      </c>
      <c r="P133" s="1">
        <v>13.09</v>
      </c>
      <c r="Q133" s="1">
        <v>11.09</v>
      </c>
      <c r="R133" s="11" t="str">
        <f t="shared" si="0"/>
        <v>WR</v>
      </c>
    </row>
    <row r="134" spans="1:18" ht="14.25" customHeight="1" x14ac:dyDescent="0.25">
      <c r="A134" s="1">
        <v>130</v>
      </c>
      <c r="B134" s="1" t="s">
        <v>363</v>
      </c>
      <c r="C134" s="1" t="s">
        <v>808</v>
      </c>
      <c r="D134" s="1" t="s">
        <v>72</v>
      </c>
      <c r="E134" s="1">
        <v>152</v>
      </c>
      <c r="F134" s="1">
        <v>138</v>
      </c>
      <c r="G134" s="1">
        <v>157</v>
      </c>
      <c r="H134" s="1">
        <v>139</v>
      </c>
      <c r="I134" s="1">
        <v>135</v>
      </c>
      <c r="J134" s="1">
        <v>154</v>
      </c>
      <c r="K134" s="1">
        <v>146</v>
      </c>
      <c r="L134" s="1">
        <v>125</v>
      </c>
      <c r="M134" s="1">
        <v>119</v>
      </c>
      <c r="N134" s="1">
        <v>125</v>
      </c>
      <c r="O134" s="1">
        <v>123</v>
      </c>
      <c r="P134" s="1">
        <v>13.1</v>
      </c>
      <c r="Q134" s="1">
        <v>11.1</v>
      </c>
      <c r="R134" s="11" t="str">
        <f t="shared" si="0"/>
        <v>QB</v>
      </c>
    </row>
    <row r="135" spans="1:18" ht="14.25" customHeight="1" x14ac:dyDescent="0.25">
      <c r="A135" s="1">
        <v>131</v>
      </c>
      <c r="B135" s="1" t="s">
        <v>348</v>
      </c>
      <c r="C135" s="1" t="s">
        <v>322</v>
      </c>
      <c r="D135" s="1" t="s">
        <v>78</v>
      </c>
      <c r="E135" s="1">
        <v>124</v>
      </c>
      <c r="F135" s="1">
        <v>131</v>
      </c>
      <c r="G135" s="1">
        <v>170</v>
      </c>
      <c r="H135" s="1">
        <v>123</v>
      </c>
      <c r="I135" s="1">
        <v>152</v>
      </c>
      <c r="J135" s="1">
        <v>142</v>
      </c>
      <c r="K135" s="1">
        <v>138</v>
      </c>
      <c r="L135" s="1">
        <v>118</v>
      </c>
      <c r="M135" s="1">
        <v>138</v>
      </c>
      <c r="N135" s="1">
        <v>144</v>
      </c>
      <c r="O135" s="1">
        <v>141</v>
      </c>
      <c r="P135" s="1">
        <v>14.01</v>
      </c>
      <c r="Q135" s="1">
        <v>11.11</v>
      </c>
      <c r="R135" s="11" t="str">
        <f t="shared" si="0"/>
        <v>TE</v>
      </c>
    </row>
    <row r="136" spans="1:18" ht="14.25" customHeight="1" x14ac:dyDescent="0.25">
      <c r="A136" s="1">
        <v>132</v>
      </c>
      <c r="B136" s="1" t="s">
        <v>378</v>
      </c>
      <c r="C136" s="1" t="s">
        <v>250</v>
      </c>
      <c r="D136" s="1" t="s">
        <v>39</v>
      </c>
      <c r="E136" s="1">
        <v>148</v>
      </c>
      <c r="F136" s="1">
        <v>141</v>
      </c>
      <c r="G136" s="1">
        <v>166</v>
      </c>
      <c r="H136" s="1">
        <v>114</v>
      </c>
      <c r="I136" s="1">
        <v>136</v>
      </c>
      <c r="J136" s="1">
        <v>129</v>
      </c>
      <c r="K136" s="1">
        <v>121</v>
      </c>
      <c r="L136" s="1">
        <v>159</v>
      </c>
      <c r="M136" s="1">
        <v>135</v>
      </c>
      <c r="N136" s="1">
        <v>137</v>
      </c>
      <c r="O136" s="1">
        <v>140</v>
      </c>
      <c r="P136" s="1">
        <v>14.02</v>
      </c>
      <c r="Q136" s="1">
        <v>11.12</v>
      </c>
      <c r="R136" s="11" t="str">
        <f t="shared" si="0"/>
        <v>TE</v>
      </c>
    </row>
    <row r="137" spans="1:18" ht="14.25" customHeight="1" x14ac:dyDescent="0.25">
      <c r="A137" s="1">
        <v>133</v>
      </c>
      <c r="B137" s="1" t="s">
        <v>367</v>
      </c>
      <c r="C137" s="1" t="s">
        <v>521</v>
      </c>
      <c r="D137" s="1" t="s">
        <v>69</v>
      </c>
      <c r="E137" s="1">
        <v>140</v>
      </c>
      <c r="F137" s="1">
        <v>158</v>
      </c>
      <c r="G137" s="1">
        <v>168</v>
      </c>
      <c r="H137" s="1">
        <v>113</v>
      </c>
      <c r="I137" s="1">
        <v>134</v>
      </c>
      <c r="J137" s="1">
        <v>155</v>
      </c>
      <c r="K137" s="1">
        <v>128</v>
      </c>
      <c r="L137" s="1">
        <v>143</v>
      </c>
      <c r="M137" s="1">
        <v>142</v>
      </c>
      <c r="N137" s="1">
        <v>116</v>
      </c>
      <c r="O137" s="1">
        <v>146</v>
      </c>
      <c r="P137" s="1">
        <v>14.03</v>
      </c>
      <c r="Q137" s="1">
        <v>12.01</v>
      </c>
      <c r="R137" s="11" t="str">
        <f t="shared" si="0"/>
        <v>RB</v>
      </c>
    </row>
    <row r="138" spans="1:18" ht="14.25" customHeight="1" x14ac:dyDescent="0.25">
      <c r="A138" s="1">
        <v>134</v>
      </c>
      <c r="B138" s="1" t="s">
        <v>361</v>
      </c>
      <c r="C138" s="1" t="s">
        <v>933</v>
      </c>
      <c r="D138" s="1" t="s">
        <v>168</v>
      </c>
      <c r="E138" s="1">
        <v>171</v>
      </c>
      <c r="F138" s="1">
        <v>167</v>
      </c>
      <c r="G138" s="1">
        <v>131</v>
      </c>
      <c r="H138" s="1">
        <v>136</v>
      </c>
      <c r="I138" s="1">
        <v>113</v>
      </c>
      <c r="J138" s="1">
        <v>174</v>
      </c>
      <c r="K138" s="1">
        <v>140</v>
      </c>
      <c r="L138" s="1">
        <v>154</v>
      </c>
      <c r="M138" s="1">
        <v>133</v>
      </c>
      <c r="N138" s="1">
        <v>115</v>
      </c>
      <c r="O138" s="1">
        <v>117</v>
      </c>
      <c r="P138" s="1">
        <v>14.04</v>
      </c>
      <c r="Q138" s="1">
        <v>12.02</v>
      </c>
      <c r="R138" s="11" t="str">
        <f t="shared" si="0"/>
        <v>WR</v>
      </c>
    </row>
    <row r="139" spans="1:18" ht="14.25" customHeight="1" x14ac:dyDescent="0.25">
      <c r="A139" s="1">
        <v>135</v>
      </c>
      <c r="B139" s="1" t="s">
        <v>369</v>
      </c>
      <c r="C139" s="1" t="s">
        <v>198</v>
      </c>
      <c r="D139" s="1" t="s">
        <v>199</v>
      </c>
      <c r="E139" s="1">
        <v>146</v>
      </c>
      <c r="F139" s="1">
        <v>157</v>
      </c>
      <c r="G139" s="1">
        <v>158</v>
      </c>
      <c r="H139" s="1">
        <v>122</v>
      </c>
      <c r="I139" s="1">
        <v>143</v>
      </c>
      <c r="J139" s="1">
        <v>163</v>
      </c>
      <c r="K139" s="1">
        <v>155</v>
      </c>
      <c r="L139" s="1">
        <v>109</v>
      </c>
      <c r="M139" s="1">
        <v>151</v>
      </c>
      <c r="N139" s="1">
        <v>130</v>
      </c>
      <c r="O139" s="1">
        <v>124</v>
      </c>
      <c r="P139" s="1">
        <v>14.05</v>
      </c>
      <c r="Q139" s="1">
        <v>12.03</v>
      </c>
      <c r="R139" s="11" t="str">
        <f t="shared" si="0"/>
        <v>RB</v>
      </c>
    </row>
    <row r="140" spans="1:18" ht="14.25" customHeight="1" x14ac:dyDescent="0.25">
      <c r="A140" s="1">
        <v>136</v>
      </c>
      <c r="B140" s="1" t="s">
        <v>373</v>
      </c>
      <c r="C140" s="1" t="s">
        <v>634</v>
      </c>
      <c r="D140" s="1" t="s">
        <v>88</v>
      </c>
      <c r="E140" s="1">
        <v>138</v>
      </c>
      <c r="F140" s="1">
        <v>162</v>
      </c>
      <c r="G140" s="1">
        <v>150</v>
      </c>
      <c r="H140" s="1">
        <v>148</v>
      </c>
      <c r="I140" s="1">
        <v>137</v>
      </c>
      <c r="J140" s="1">
        <v>118</v>
      </c>
      <c r="K140" s="1">
        <v>108</v>
      </c>
      <c r="L140" s="1">
        <v>155</v>
      </c>
      <c r="M140" s="1">
        <v>126</v>
      </c>
      <c r="N140" s="1">
        <v>157</v>
      </c>
      <c r="O140" s="1">
        <v>160</v>
      </c>
      <c r="P140" s="1">
        <v>14.06</v>
      </c>
      <c r="Q140" s="1">
        <v>12.04</v>
      </c>
      <c r="R140" s="11" t="str">
        <f t="shared" si="0"/>
        <v>RB</v>
      </c>
    </row>
    <row r="141" spans="1:18" ht="14.25" customHeight="1" x14ac:dyDescent="0.25">
      <c r="A141" s="1">
        <v>137</v>
      </c>
      <c r="B141" s="1" t="s">
        <v>365</v>
      </c>
      <c r="C141" s="1" t="s">
        <v>409</v>
      </c>
      <c r="D141" s="1" t="s">
        <v>88</v>
      </c>
      <c r="E141" s="1">
        <v>150</v>
      </c>
      <c r="F141" s="1">
        <v>118</v>
      </c>
      <c r="G141" s="1">
        <v>136</v>
      </c>
      <c r="H141" s="1">
        <v>134</v>
      </c>
      <c r="I141" s="1">
        <v>122</v>
      </c>
      <c r="J141" s="1">
        <v>222</v>
      </c>
      <c r="K141" s="1">
        <v>164</v>
      </c>
      <c r="L141" s="1">
        <v>140</v>
      </c>
      <c r="M141" s="1">
        <v>144</v>
      </c>
      <c r="N141" s="1">
        <v>113</v>
      </c>
      <c r="O141" s="1">
        <v>119</v>
      </c>
      <c r="P141" s="1">
        <v>14.07</v>
      </c>
      <c r="Q141" s="1">
        <v>12.05</v>
      </c>
      <c r="R141" s="11" t="str">
        <f t="shared" si="0"/>
        <v>WR</v>
      </c>
    </row>
    <row r="142" spans="1:18" ht="14.25" customHeight="1" x14ac:dyDescent="0.25">
      <c r="A142" s="1">
        <v>138</v>
      </c>
      <c r="B142" s="1" t="s">
        <v>375</v>
      </c>
      <c r="C142" s="1" t="s">
        <v>684</v>
      </c>
      <c r="D142" s="1" t="s">
        <v>55</v>
      </c>
      <c r="E142" s="1">
        <v>162</v>
      </c>
      <c r="F142" s="1">
        <v>169</v>
      </c>
      <c r="G142" s="1">
        <v>165</v>
      </c>
      <c r="H142" s="1">
        <v>154</v>
      </c>
      <c r="I142" s="1">
        <v>148</v>
      </c>
      <c r="J142" s="1">
        <v>127</v>
      </c>
      <c r="K142" s="1">
        <v>115</v>
      </c>
      <c r="L142" s="1">
        <v>141</v>
      </c>
      <c r="M142" s="1">
        <v>145</v>
      </c>
      <c r="N142" s="1">
        <v>152</v>
      </c>
      <c r="O142" s="1">
        <v>131</v>
      </c>
      <c r="P142" s="1">
        <v>14.08</v>
      </c>
      <c r="Q142" s="1">
        <v>12.06</v>
      </c>
      <c r="R142" s="11" t="str">
        <f t="shared" si="0"/>
        <v>WR</v>
      </c>
    </row>
    <row r="143" spans="1:18" ht="14.25" customHeight="1" x14ac:dyDescent="0.25">
      <c r="A143" s="1">
        <v>139</v>
      </c>
      <c r="B143" s="1" t="s">
        <v>380</v>
      </c>
      <c r="C143" s="1" t="s">
        <v>826</v>
      </c>
      <c r="D143" s="1" t="s">
        <v>123</v>
      </c>
      <c r="E143" s="1">
        <v>149</v>
      </c>
      <c r="F143" s="1">
        <v>151</v>
      </c>
      <c r="G143" s="1">
        <v>159</v>
      </c>
      <c r="H143" s="1">
        <v>121</v>
      </c>
      <c r="I143" s="1">
        <v>123</v>
      </c>
      <c r="J143" s="1">
        <v>227</v>
      </c>
      <c r="K143" s="1">
        <v>143</v>
      </c>
      <c r="L143" s="1">
        <v>137</v>
      </c>
      <c r="M143" s="1">
        <v>130</v>
      </c>
      <c r="N143" s="1">
        <v>139</v>
      </c>
      <c r="O143" s="1">
        <v>139</v>
      </c>
      <c r="P143" s="1">
        <v>14.09</v>
      </c>
      <c r="Q143" s="1">
        <v>12.07</v>
      </c>
      <c r="R143" s="11" t="str">
        <f t="shared" si="0"/>
        <v>RB</v>
      </c>
    </row>
    <row r="144" spans="1:18" ht="14.25" customHeight="1" x14ac:dyDescent="0.25">
      <c r="A144" s="1">
        <v>140</v>
      </c>
      <c r="B144" s="1" t="s">
        <v>371</v>
      </c>
      <c r="C144" s="1" t="s">
        <v>266</v>
      </c>
      <c r="D144" s="1" t="s">
        <v>199</v>
      </c>
      <c r="E144" s="1">
        <v>151</v>
      </c>
      <c r="F144" s="1">
        <v>172</v>
      </c>
      <c r="G144" s="1">
        <v>162</v>
      </c>
      <c r="H144" s="1">
        <v>144</v>
      </c>
      <c r="I144" s="1">
        <v>138</v>
      </c>
      <c r="J144" s="1">
        <v>178</v>
      </c>
      <c r="K144" s="1">
        <v>168</v>
      </c>
      <c r="L144" s="1">
        <v>132</v>
      </c>
      <c r="M144" s="1">
        <v>122</v>
      </c>
      <c r="N144" s="1">
        <v>132</v>
      </c>
      <c r="O144" s="1">
        <v>130</v>
      </c>
      <c r="P144" s="1">
        <v>14.1</v>
      </c>
      <c r="Q144" s="1">
        <v>12.08</v>
      </c>
      <c r="R144" s="11" t="str">
        <f t="shared" si="0"/>
        <v>QB</v>
      </c>
    </row>
    <row r="145" spans="1:18" ht="14.25" customHeight="1" x14ac:dyDescent="0.25">
      <c r="A145" s="1">
        <v>141</v>
      </c>
      <c r="B145" s="1" t="s">
        <v>382</v>
      </c>
      <c r="C145" s="1" t="s">
        <v>902</v>
      </c>
      <c r="D145" s="1" t="s">
        <v>116</v>
      </c>
      <c r="E145" s="1">
        <v>111</v>
      </c>
      <c r="F145" s="1">
        <v>133</v>
      </c>
      <c r="G145" s="1">
        <v>194</v>
      </c>
      <c r="H145" s="1">
        <v>128</v>
      </c>
      <c r="I145" s="1">
        <v>147</v>
      </c>
      <c r="J145" s="1">
        <v>175</v>
      </c>
      <c r="K145" s="1">
        <v>141</v>
      </c>
      <c r="L145" s="1">
        <v>139</v>
      </c>
      <c r="M145" s="1">
        <v>167</v>
      </c>
      <c r="N145" s="1">
        <v>145</v>
      </c>
      <c r="O145" s="1">
        <v>154</v>
      </c>
      <c r="P145" s="1">
        <v>15.01</v>
      </c>
      <c r="Q145" s="1">
        <v>12.09</v>
      </c>
      <c r="R145" s="11" t="str">
        <f t="shared" si="0"/>
        <v>RB</v>
      </c>
    </row>
    <row r="146" spans="1:18" ht="14.25" customHeight="1" x14ac:dyDescent="0.25">
      <c r="A146" s="1">
        <v>142</v>
      </c>
      <c r="B146" s="1" t="s">
        <v>394</v>
      </c>
      <c r="C146" s="1" t="s">
        <v>572</v>
      </c>
      <c r="D146" s="1" t="s">
        <v>91</v>
      </c>
      <c r="E146" s="1">
        <v>144</v>
      </c>
      <c r="F146" s="1">
        <v>176</v>
      </c>
      <c r="G146" s="1">
        <v>198</v>
      </c>
      <c r="H146" s="1">
        <v>153</v>
      </c>
      <c r="I146" s="1">
        <v>128</v>
      </c>
      <c r="J146" s="1">
        <v>185</v>
      </c>
      <c r="K146" s="1">
        <v>152</v>
      </c>
      <c r="L146" s="1">
        <v>126</v>
      </c>
      <c r="M146" s="1">
        <v>141</v>
      </c>
      <c r="N146" s="1">
        <v>123</v>
      </c>
      <c r="O146" s="1">
        <v>114</v>
      </c>
      <c r="P146" s="1">
        <v>15.02</v>
      </c>
      <c r="Q146" s="1">
        <v>12.1</v>
      </c>
      <c r="R146" s="11" t="str">
        <f t="shared" si="0"/>
        <v>WR</v>
      </c>
    </row>
    <row r="147" spans="1:18" ht="14.25" customHeight="1" x14ac:dyDescent="0.25">
      <c r="A147" s="1">
        <v>143</v>
      </c>
      <c r="B147" s="1" t="s">
        <v>385</v>
      </c>
      <c r="C147" s="1" t="s">
        <v>329</v>
      </c>
      <c r="D147" s="1" t="s">
        <v>163</v>
      </c>
      <c r="E147" s="1">
        <v>133</v>
      </c>
      <c r="F147" s="1">
        <v>150</v>
      </c>
      <c r="G147" s="1">
        <v>167</v>
      </c>
      <c r="H147" s="1">
        <v>149</v>
      </c>
      <c r="I147" s="1">
        <v>153</v>
      </c>
      <c r="J147" s="1">
        <v>149</v>
      </c>
      <c r="K147" s="1">
        <v>129</v>
      </c>
      <c r="L147" s="1">
        <v>124</v>
      </c>
      <c r="M147" s="1">
        <v>153</v>
      </c>
      <c r="N147" s="1">
        <v>169</v>
      </c>
      <c r="O147" s="1">
        <v>167</v>
      </c>
      <c r="P147" s="1">
        <v>15.03</v>
      </c>
      <c r="Q147" s="1">
        <v>12.11</v>
      </c>
      <c r="R147" s="11" t="str">
        <f t="shared" si="0"/>
        <v>RB</v>
      </c>
    </row>
    <row r="148" spans="1:18" ht="14.25" customHeight="1" x14ac:dyDescent="0.25">
      <c r="A148" s="1">
        <v>144</v>
      </c>
      <c r="B148" s="1" t="s">
        <v>400</v>
      </c>
      <c r="C148" s="1" t="s">
        <v>181</v>
      </c>
      <c r="D148" s="1" t="s">
        <v>155</v>
      </c>
      <c r="E148" s="1">
        <v>175</v>
      </c>
      <c r="F148" s="1">
        <v>195</v>
      </c>
      <c r="G148" s="1">
        <v>169</v>
      </c>
      <c r="H148" s="1">
        <v>141</v>
      </c>
      <c r="I148" s="1">
        <v>126</v>
      </c>
      <c r="J148" s="1">
        <v>210</v>
      </c>
      <c r="K148" s="1">
        <v>145</v>
      </c>
      <c r="L148" s="1">
        <v>162</v>
      </c>
      <c r="M148" s="1">
        <v>137</v>
      </c>
      <c r="N148" s="1">
        <v>121</v>
      </c>
      <c r="O148" s="1">
        <v>111</v>
      </c>
      <c r="P148" s="1">
        <v>15.04</v>
      </c>
      <c r="Q148" s="1">
        <v>12.12</v>
      </c>
      <c r="R148" s="11" t="str">
        <f t="shared" si="0"/>
        <v>WR</v>
      </c>
    </row>
    <row r="149" spans="1:18" ht="14.25" customHeight="1" x14ac:dyDescent="0.25">
      <c r="A149" s="1">
        <v>145</v>
      </c>
      <c r="B149" s="1" t="s">
        <v>392</v>
      </c>
      <c r="C149" s="1" t="s">
        <v>947</v>
      </c>
      <c r="D149" s="1" t="s">
        <v>184</v>
      </c>
      <c r="E149" s="1">
        <v>115</v>
      </c>
      <c r="F149" s="1">
        <v>154</v>
      </c>
      <c r="G149" s="1">
        <v>207</v>
      </c>
      <c r="H149" s="1">
        <v>133</v>
      </c>
      <c r="I149" s="1">
        <v>165</v>
      </c>
      <c r="J149" s="1">
        <v>162</v>
      </c>
      <c r="K149" s="1">
        <v>165</v>
      </c>
      <c r="L149" s="1">
        <v>153</v>
      </c>
      <c r="M149" s="1">
        <v>158</v>
      </c>
      <c r="N149" s="1">
        <v>158</v>
      </c>
      <c r="O149" s="1">
        <v>165</v>
      </c>
      <c r="P149" s="1">
        <v>15.05</v>
      </c>
      <c r="Q149" s="1">
        <v>13.01</v>
      </c>
      <c r="R149" s="11" t="str">
        <f t="shared" si="0"/>
        <v>TE</v>
      </c>
    </row>
    <row r="150" spans="1:18" ht="14.25" customHeight="1" x14ac:dyDescent="0.25">
      <c r="A150" s="1">
        <v>146</v>
      </c>
      <c r="B150" s="1" t="s">
        <v>387</v>
      </c>
      <c r="C150" s="1" t="s">
        <v>407</v>
      </c>
      <c r="D150" s="1" t="s">
        <v>187</v>
      </c>
      <c r="E150" s="1">
        <v>159</v>
      </c>
      <c r="F150" s="1">
        <v>191</v>
      </c>
      <c r="G150" s="1">
        <v>147</v>
      </c>
      <c r="H150" s="1">
        <v>130</v>
      </c>
      <c r="I150" s="1">
        <v>139</v>
      </c>
      <c r="J150" s="1">
        <v>255</v>
      </c>
      <c r="K150" s="1">
        <v>173</v>
      </c>
      <c r="L150" s="1">
        <v>119</v>
      </c>
      <c r="M150" s="1">
        <v>154</v>
      </c>
      <c r="N150" s="1">
        <v>134</v>
      </c>
      <c r="O150" s="1">
        <v>138</v>
      </c>
      <c r="P150" s="1">
        <v>15.06</v>
      </c>
      <c r="Q150" s="1">
        <v>13.02</v>
      </c>
      <c r="R150" s="11" t="str">
        <f t="shared" si="0"/>
        <v>RB</v>
      </c>
    </row>
    <row r="151" spans="1:18" ht="14.25" customHeight="1" x14ac:dyDescent="0.25">
      <c r="A151" s="1">
        <v>147</v>
      </c>
      <c r="B151" s="1" t="s">
        <v>398</v>
      </c>
      <c r="C151" s="1" t="s">
        <v>506</v>
      </c>
      <c r="D151" s="1" t="s">
        <v>66</v>
      </c>
      <c r="E151" s="1">
        <v>164</v>
      </c>
      <c r="F151" s="1">
        <v>190</v>
      </c>
      <c r="G151" s="1">
        <v>171</v>
      </c>
      <c r="H151" s="1">
        <v>143</v>
      </c>
      <c r="I151" s="1">
        <v>141</v>
      </c>
      <c r="J151" s="1">
        <v>215</v>
      </c>
      <c r="K151" s="1">
        <v>149</v>
      </c>
      <c r="L151" s="1">
        <v>138</v>
      </c>
      <c r="M151" s="1">
        <v>152</v>
      </c>
      <c r="N151" s="1">
        <v>150</v>
      </c>
      <c r="O151" s="1">
        <v>142</v>
      </c>
      <c r="P151" s="1">
        <v>15.07</v>
      </c>
      <c r="Q151" s="1">
        <v>13.03</v>
      </c>
      <c r="R151" s="11" t="str">
        <f t="shared" si="0"/>
        <v>RB</v>
      </c>
    </row>
    <row r="152" spans="1:18" ht="14.25" customHeight="1" x14ac:dyDescent="0.25">
      <c r="A152" s="1">
        <v>148</v>
      </c>
      <c r="B152" s="1" t="s">
        <v>396</v>
      </c>
      <c r="C152" s="1" t="s">
        <v>938</v>
      </c>
      <c r="D152" s="1" t="s">
        <v>233</v>
      </c>
      <c r="E152" s="1">
        <v>183</v>
      </c>
      <c r="F152" s="1">
        <v>186</v>
      </c>
      <c r="G152" s="1">
        <v>203</v>
      </c>
      <c r="H152" s="1">
        <v>161</v>
      </c>
      <c r="I152" s="1">
        <v>169</v>
      </c>
      <c r="J152" s="1">
        <v>91</v>
      </c>
      <c r="K152" s="1">
        <v>110</v>
      </c>
      <c r="L152" s="1">
        <v>160</v>
      </c>
      <c r="M152" s="1">
        <v>150</v>
      </c>
      <c r="N152" s="1">
        <v>189</v>
      </c>
      <c r="O152" s="1">
        <v>187</v>
      </c>
      <c r="P152" s="1">
        <v>15.08</v>
      </c>
      <c r="Q152" s="1">
        <v>13.04</v>
      </c>
      <c r="R152" s="11" t="str">
        <f t="shared" si="0"/>
        <v>TE</v>
      </c>
    </row>
    <row r="153" spans="1:18" ht="14.25" customHeight="1" x14ac:dyDescent="0.25">
      <c r="A153" s="1">
        <v>149</v>
      </c>
      <c r="B153" s="1" t="s">
        <v>406</v>
      </c>
      <c r="C153" s="1" t="s">
        <v>905</v>
      </c>
      <c r="D153" s="1" t="s">
        <v>187</v>
      </c>
      <c r="E153" s="1">
        <v>147</v>
      </c>
      <c r="F153" s="1">
        <v>147</v>
      </c>
      <c r="G153" s="1">
        <v>181</v>
      </c>
      <c r="H153" s="1">
        <v>146</v>
      </c>
      <c r="I153" s="1">
        <v>151</v>
      </c>
      <c r="J153" s="1">
        <v>244</v>
      </c>
      <c r="K153" s="1">
        <v>157</v>
      </c>
      <c r="L153" s="1">
        <v>123</v>
      </c>
      <c r="M153" s="1">
        <v>160</v>
      </c>
      <c r="N153" s="1">
        <v>168</v>
      </c>
      <c r="O153" s="1">
        <v>171</v>
      </c>
      <c r="P153" s="1">
        <v>15.09</v>
      </c>
      <c r="Q153" s="1">
        <v>13.05</v>
      </c>
      <c r="R153" s="11" t="str">
        <f t="shared" si="0"/>
        <v>RB</v>
      </c>
    </row>
    <row r="154" spans="1:18" ht="14.25" customHeight="1" x14ac:dyDescent="0.25">
      <c r="A154" s="1">
        <v>150</v>
      </c>
      <c r="B154" s="1" t="s">
        <v>404</v>
      </c>
      <c r="C154" s="1" t="s">
        <v>397</v>
      </c>
      <c r="D154" s="1" t="s">
        <v>104</v>
      </c>
      <c r="E154" s="1">
        <v>155</v>
      </c>
      <c r="F154" s="1">
        <v>155</v>
      </c>
      <c r="G154" s="1">
        <v>225</v>
      </c>
      <c r="H154" s="1">
        <v>140</v>
      </c>
      <c r="I154" s="1">
        <v>168</v>
      </c>
      <c r="J154" s="1">
        <v>173</v>
      </c>
      <c r="K154" s="1">
        <v>169</v>
      </c>
      <c r="L154" s="1">
        <v>134</v>
      </c>
      <c r="M154" s="1">
        <v>168</v>
      </c>
      <c r="N154" s="1">
        <v>160</v>
      </c>
      <c r="O154" s="1">
        <v>162</v>
      </c>
      <c r="P154" s="1">
        <v>15.1</v>
      </c>
      <c r="Q154" s="1">
        <v>13.06</v>
      </c>
      <c r="R154" s="11" t="str">
        <f t="shared" si="0"/>
        <v>TE</v>
      </c>
    </row>
    <row r="155" spans="1:18" ht="14.25" customHeight="1" x14ac:dyDescent="0.25">
      <c r="A155" s="1">
        <v>151</v>
      </c>
      <c r="B155" s="1" t="s">
        <v>412</v>
      </c>
      <c r="C155" s="1" t="s">
        <v>370</v>
      </c>
      <c r="D155" s="1" t="s">
        <v>39</v>
      </c>
      <c r="E155" s="1">
        <v>172</v>
      </c>
      <c r="F155" s="1">
        <v>161</v>
      </c>
      <c r="G155" s="1">
        <v>199</v>
      </c>
      <c r="H155" s="1">
        <v>151</v>
      </c>
      <c r="I155" s="1">
        <v>154</v>
      </c>
      <c r="J155" s="1">
        <v>184</v>
      </c>
      <c r="K155" s="1">
        <v>167</v>
      </c>
      <c r="L155" s="1">
        <v>146</v>
      </c>
      <c r="M155" s="1">
        <v>174</v>
      </c>
      <c r="N155" s="1">
        <v>156</v>
      </c>
      <c r="O155" s="1">
        <v>156</v>
      </c>
      <c r="P155" s="1">
        <v>16.010000000000002</v>
      </c>
      <c r="Q155" s="1">
        <v>13.07</v>
      </c>
      <c r="R155" s="11" t="str">
        <f t="shared" si="0"/>
        <v>RB</v>
      </c>
    </row>
    <row r="156" spans="1:18" ht="14.25" customHeight="1" x14ac:dyDescent="0.25">
      <c r="A156" s="1">
        <v>152</v>
      </c>
      <c r="B156" s="1" t="s">
        <v>414</v>
      </c>
      <c r="C156" s="1" t="s">
        <v>381</v>
      </c>
      <c r="D156" s="1" t="s">
        <v>229</v>
      </c>
      <c r="E156" s="1">
        <v>163</v>
      </c>
      <c r="F156" s="1">
        <v>165</v>
      </c>
      <c r="G156" s="1">
        <v>253</v>
      </c>
      <c r="H156" s="1">
        <v>152</v>
      </c>
      <c r="I156" s="1">
        <v>149</v>
      </c>
      <c r="J156" s="1">
        <v>198</v>
      </c>
      <c r="K156" s="1">
        <v>123</v>
      </c>
      <c r="L156" s="1">
        <v>131</v>
      </c>
      <c r="M156" s="1">
        <v>149</v>
      </c>
      <c r="N156" s="1">
        <v>181</v>
      </c>
      <c r="O156" s="1">
        <v>172</v>
      </c>
      <c r="P156" s="1">
        <v>16.02</v>
      </c>
      <c r="Q156" s="1">
        <v>13.08</v>
      </c>
      <c r="R156" s="11" t="str">
        <f t="shared" si="0"/>
        <v>RB</v>
      </c>
    </row>
    <row r="157" spans="1:18" ht="14.25" customHeight="1" x14ac:dyDescent="0.25">
      <c r="A157" s="1">
        <v>153</v>
      </c>
      <c r="B157" s="1" t="s">
        <v>408</v>
      </c>
      <c r="C157" s="1" t="s">
        <v>823</v>
      </c>
      <c r="D157" s="1" t="s">
        <v>85</v>
      </c>
      <c r="E157" s="1">
        <v>214</v>
      </c>
      <c r="F157" s="1">
        <v>170</v>
      </c>
      <c r="G157" s="1">
        <v>211</v>
      </c>
      <c r="H157" s="1">
        <v>162</v>
      </c>
      <c r="I157" s="1">
        <v>150</v>
      </c>
      <c r="J157" s="1">
        <v>126</v>
      </c>
      <c r="K157" s="1">
        <v>190</v>
      </c>
      <c r="L157" s="1">
        <v>174</v>
      </c>
      <c r="M157" s="1">
        <v>159</v>
      </c>
      <c r="N157" s="1">
        <v>151</v>
      </c>
      <c r="O157" s="1">
        <v>145</v>
      </c>
      <c r="P157" s="1">
        <v>16.03</v>
      </c>
      <c r="Q157" s="1">
        <v>13.09</v>
      </c>
      <c r="R157" s="11" t="str">
        <f t="shared" si="0"/>
        <v>WR</v>
      </c>
    </row>
    <row r="158" spans="1:18" ht="14.25" customHeight="1" x14ac:dyDescent="0.25">
      <c r="A158" s="1">
        <v>154</v>
      </c>
      <c r="B158" s="1" t="s">
        <v>390</v>
      </c>
      <c r="C158" s="1" t="s">
        <v>688</v>
      </c>
      <c r="D158" s="1" t="s">
        <v>39</v>
      </c>
      <c r="E158" s="1">
        <v>177</v>
      </c>
      <c r="F158" s="1">
        <v>181</v>
      </c>
      <c r="G158" s="1">
        <v>236</v>
      </c>
      <c r="H158" s="1">
        <v>164</v>
      </c>
      <c r="I158" s="1">
        <v>159</v>
      </c>
      <c r="J158" s="1">
        <v>189</v>
      </c>
      <c r="K158" s="1">
        <v>189</v>
      </c>
      <c r="L158" s="1">
        <v>142</v>
      </c>
      <c r="M158" s="1">
        <v>139</v>
      </c>
      <c r="N158" s="1">
        <v>143</v>
      </c>
      <c r="O158" s="1">
        <v>143</v>
      </c>
      <c r="P158" s="1">
        <v>16.04</v>
      </c>
      <c r="Q158" s="1">
        <v>13.1</v>
      </c>
      <c r="R158" s="11" t="str">
        <f t="shared" si="0"/>
        <v>QB</v>
      </c>
    </row>
    <row r="159" spans="1:18" ht="14.25" customHeight="1" x14ac:dyDescent="0.25">
      <c r="A159" s="1">
        <v>155</v>
      </c>
      <c r="B159" s="1" t="s">
        <v>402</v>
      </c>
      <c r="C159" s="1" t="s">
        <v>467</v>
      </c>
      <c r="D159" s="1" t="s">
        <v>160</v>
      </c>
      <c r="E159" s="1">
        <v>190</v>
      </c>
      <c r="F159" s="1">
        <v>193</v>
      </c>
      <c r="G159" s="1">
        <v>187</v>
      </c>
      <c r="H159" s="1">
        <v>170</v>
      </c>
      <c r="I159" s="1">
        <v>157</v>
      </c>
      <c r="J159" s="1">
        <v>194</v>
      </c>
      <c r="K159" s="1">
        <v>201</v>
      </c>
      <c r="L159" s="1">
        <v>136</v>
      </c>
      <c r="M159" s="1">
        <v>147</v>
      </c>
      <c r="N159" s="1">
        <v>146</v>
      </c>
      <c r="O159" s="1">
        <v>150</v>
      </c>
      <c r="P159" s="1">
        <v>16.05</v>
      </c>
      <c r="Q159" s="1">
        <v>13.11</v>
      </c>
      <c r="R159" s="11" t="str">
        <f t="shared" si="0"/>
        <v>QB</v>
      </c>
    </row>
    <row r="160" spans="1:18" ht="14.25" customHeight="1" x14ac:dyDescent="0.25">
      <c r="A160" s="1">
        <v>156</v>
      </c>
      <c r="B160" s="1" t="s">
        <v>410</v>
      </c>
      <c r="C160" s="1" t="s">
        <v>619</v>
      </c>
      <c r="D160" s="1" t="s">
        <v>81</v>
      </c>
      <c r="E160" s="1">
        <v>154</v>
      </c>
      <c r="F160" s="1">
        <v>166</v>
      </c>
      <c r="G160" s="1">
        <v>217</v>
      </c>
      <c r="H160" s="1">
        <v>183</v>
      </c>
      <c r="I160" s="1">
        <v>174</v>
      </c>
      <c r="J160" s="1">
        <v>193</v>
      </c>
      <c r="K160" s="1">
        <v>198</v>
      </c>
      <c r="L160" s="1">
        <v>152</v>
      </c>
      <c r="M160" s="1">
        <v>134</v>
      </c>
      <c r="N160" s="1">
        <v>153</v>
      </c>
      <c r="O160" s="1">
        <v>158</v>
      </c>
      <c r="P160" s="1">
        <v>16.059999999999999</v>
      </c>
      <c r="Q160" s="1">
        <v>13.12</v>
      </c>
      <c r="R160" s="11" t="str">
        <f t="shared" si="0"/>
        <v>QB</v>
      </c>
    </row>
    <row r="161" spans="1:18" ht="14.25" customHeight="1" x14ac:dyDescent="0.25">
      <c r="A161" s="1">
        <v>157</v>
      </c>
      <c r="B161" s="1" t="s">
        <v>430</v>
      </c>
      <c r="C161" s="1" t="s">
        <v>460</v>
      </c>
      <c r="D161" s="1" t="s">
        <v>229</v>
      </c>
      <c r="E161" s="1">
        <v>184</v>
      </c>
      <c r="F161" s="1">
        <v>173</v>
      </c>
      <c r="G161" s="1">
        <v>196</v>
      </c>
      <c r="H161" s="1">
        <v>175</v>
      </c>
      <c r="I161" s="1">
        <v>183</v>
      </c>
      <c r="J161" s="1">
        <v>166</v>
      </c>
      <c r="K161" s="1">
        <v>170</v>
      </c>
      <c r="L161" s="1">
        <v>177</v>
      </c>
      <c r="M161" s="1">
        <v>162</v>
      </c>
      <c r="N161" s="1">
        <v>147</v>
      </c>
      <c r="O161" s="1">
        <v>151</v>
      </c>
      <c r="P161" s="1">
        <v>16.07</v>
      </c>
      <c r="Q161" s="1">
        <v>14.01</v>
      </c>
      <c r="R161" s="11" t="str">
        <f t="shared" si="0"/>
        <v>QB</v>
      </c>
    </row>
    <row r="162" spans="1:18" ht="14.25" customHeight="1" x14ac:dyDescent="0.25">
      <c r="A162" s="1">
        <v>158</v>
      </c>
      <c r="B162" s="1" t="s">
        <v>428</v>
      </c>
      <c r="C162" s="1" t="s">
        <v>920</v>
      </c>
      <c r="D162" s="1" t="s">
        <v>72</v>
      </c>
      <c r="E162" s="1">
        <v>167</v>
      </c>
      <c r="F162" s="1">
        <v>159</v>
      </c>
      <c r="G162" s="1">
        <v>175</v>
      </c>
      <c r="H162" s="1">
        <v>168</v>
      </c>
      <c r="I162" s="1">
        <v>156</v>
      </c>
      <c r="J162" s="1">
        <v>203</v>
      </c>
      <c r="K162" s="1">
        <v>171</v>
      </c>
      <c r="L162" s="1">
        <v>191</v>
      </c>
      <c r="M162" s="1">
        <v>169</v>
      </c>
      <c r="N162" s="1">
        <v>164</v>
      </c>
      <c r="O162" s="1">
        <v>169</v>
      </c>
      <c r="P162" s="1">
        <v>16.079999999999998</v>
      </c>
      <c r="Q162" s="1">
        <v>14.02</v>
      </c>
      <c r="R162" s="11" t="str">
        <f t="shared" si="0"/>
        <v>WR</v>
      </c>
    </row>
    <row r="163" spans="1:18" ht="14.25" customHeight="1" x14ac:dyDescent="0.25">
      <c r="A163" s="1">
        <v>159</v>
      </c>
      <c r="B163" s="1" t="s">
        <v>416</v>
      </c>
      <c r="C163" s="1" t="s">
        <v>806</v>
      </c>
      <c r="D163" s="1" t="s">
        <v>81</v>
      </c>
      <c r="E163" s="1">
        <v>126</v>
      </c>
      <c r="F163" s="1">
        <v>182</v>
      </c>
      <c r="G163" s="1">
        <v>185</v>
      </c>
      <c r="H163" s="1">
        <v>145</v>
      </c>
      <c r="I163" s="1">
        <v>178</v>
      </c>
      <c r="J163" s="1">
        <v>243</v>
      </c>
      <c r="K163" s="1">
        <v>218</v>
      </c>
      <c r="L163" s="1">
        <v>176</v>
      </c>
      <c r="M163" s="1">
        <v>188</v>
      </c>
      <c r="N163" s="1">
        <v>140</v>
      </c>
      <c r="O163" s="1">
        <v>147</v>
      </c>
      <c r="P163" s="1">
        <v>16.09</v>
      </c>
      <c r="Q163" s="1">
        <v>14.03</v>
      </c>
      <c r="R163" s="11" t="str">
        <f t="shared" si="0"/>
        <v>RB</v>
      </c>
    </row>
    <row r="164" spans="1:18" ht="14.25" customHeight="1" x14ac:dyDescent="0.25">
      <c r="A164" s="1">
        <v>160</v>
      </c>
      <c r="B164" s="1" t="s">
        <v>437</v>
      </c>
      <c r="C164" s="1" t="s">
        <v>927</v>
      </c>
      <c r="D164" s="1" t="s">
        <v>160</v>
      </c>
      <c r="E164" s="1">
        <v>203</v>
      </c>
      <c r="F164" s="1">
        <v>148</v>
      </c>
      <c r="G164" s="1">
        <v>197</v>
      </c>
      <c r="H164" s="1">
        <v>171</v>
      </c>
      <c r="I164" s="1">
        <v>161</v>
      </c>
      <c r="J164" s="1">
        <v>208</v>
      </c>
      <c r="K164" s="1">
        <v>196</v>
      </c>
      <c r="L164" s="1">
        <v>170</v>
      </c>
      <c r="M164" s="1">
        <v>179</v>
      </c>
      <c r="N164" s="1">
        <v>161</v>
      </c>
      <c r="O164" s="1">
        <v>161</v>
      </c>
      <c r="P164" s="1">
        <v>16.100000000000001</v>
      </c>
      <c r="Q164" s="1">
        <v>14.04</v>
      </c>
      <c r="R164" s="11" t="str">
        <f t="shared" si="0"/>
        <v>WR</v>
      </c>
    </row>
    <row r="165" spans="1:18" ht="14.25" customHeight="1" x14ac:dyDescent="0.25">
      <c r="A165" s="1">
        <v>161</v>
      </c>
      <c r="B165" s="1" t="s">
        <v>441</v>
      </c>
      <c r="C165" s="1" t="s">
        <v>1078</v>
      </c>
      <c r="D165" s="1" t="s">
        <v>187</v>
      </c>
      <c r="E165" s="1">
        <v>204</v>
      </c>
      <c r="F165" s="1">
        <v>163</v>
      </c>
      <c r="G165" s="1">
        <v>195</v>
      </c>
      <c r="H165" s="1">
        <v>155</v>
      </c>
      <c r="I165" s="1">
        <v>144</v>
      </c>
      <c r="J165" s="1">
        <v>309</v>
      </c>
      <c r="K165" s="1">
        <v>192</v>
      </c>
      <c r="L165" s="1">
        <v>149</v>
      </c>
      <c r="M165" s="1">
        <v>157</v>
      </c>
      <c r="N165" s="1">
        <v>136</v>
      </c>
      <c r="O165" s="1">
        <v>152</v>
      </c>
      <c r="P165" s="1">
        <v>17.010000000000002</v>
      </c>
      <c r="Q165" s="1">
        <v>14.05</v>
      </c>
      <c r="R165" s="11" t="str">
        <f t="shared" si="0"/>
        <v>WR</v>
      </c>
    </row>
    <row r="166" spans="1:18" ht="14.25" customHeight="1" x14ac:dyDescent="0.25">
      <c r="A166" s="1">
        <v>162</v>
      </c>
      <c r="B166" s="1" t="s">
        <v>443</v>
      </c>
      <c r="C166" s="1" t="s">
        <v>302</v>
      </c>
      <c r="D166" s="1" t="s">
        <v>126</v>
      </c>
      <c r="E166" s="1">
        <v>165</v>
      </c>
      <c r="F166" s="1">
        <v>174</v>
      </c>
      <c r="G166" s="1">
        <v>206</v>
      </c>
      <c r="H166" s="1">
        <v>169</v>
      </c>
      <c r="I166" s="1">
        <v>146</v>
      </c>
      <c r="J166" s="1">
        <v>249</v>
      </c>
      <c r="K166" s="1">
        <v>206</v>
      </c>
      <c r="L166" s="1">
        <v>168</v>
      </c>
      <c r="M166" s="1">
        <v>171</v>
      </c>
      <c r="N166" s="1">
        <v>166</v>
      </c>
      <c r="O166" s="1">
        <v>170</v>
      </c>
      <c r="P166" s="1">
        <v>17.02</v>
      </c>
      <c r="Q166" s="1">
        <v>14.06</v>
      </c>
      <c r="R166" s="11" t="str">
        <f t="shared" si="0"/>
        <v>WR</v>
      </c>
    </row>
    <row r="167" spans="1:18" ht="14.25" customHeight="1" x14ac:dyDescent="0.25">
      <c r="A167" s="1">
        <v>163</v>
      </c>
      <c r="B167" s="1" t="s">
        <v>459</v>
      </c>
      <c r="C167" s="1" t="s">
        <v>306</v>
      </c>
      <c r="D167" s="1" t="s">
        <v>49</v>
      </c>
      <c r="E167" s="1">
        <v>168</v>
      </c>
      <c r="F167" s="1">
        <v>160</v>
      </c>
      <c r="G167" s="1">
        <v>232</v>
      </c>
      <c r="H167" s="1">
        <v>197</v>
      </c>
      <c r="I167" s="1">
        <v>195</v>
      </c>
      <c r="J167" s="1">
        <v>167</v>
      </c>
      <c r="K167" s="1">
        <v>207</v>
      </c>
      <c r="L167" s="1">
        <v>151</v>
      </c>
      <c r="M167" s="1">
        <v>161</v>
      </c>
      <c r="N167" s="1">
        <v>176</v>
      </c>
      <c r="O167" s="1">
        <v>177</v>
      </c>
      <c r="P167" s="1">
        <v>17.03</v>
      </c>
      <c r="Q167" s="1">
        <v>14.07</v>
      </c>
      <c r="R167" s="11" t="str">
        <f t="shared" si="0"/>
        <v>QB</v>
      </c>
    </row>
    <row r="168" spans="1:18" ht="14.25" customHeight="1" x14ac:dyDescent="0.25">
      <c r="A168" s="1">
        <v>164</v>
      </c>
      <c r="B168" s="1" t="s">
        <v>418</v>
      </c>
      <c r="C168" s="1" t="s">
        <v>393</v>
      </c>
      <c r="D168" s="1" t="s">
        <v>199</v>
      </c>
      <c r="E168" s="1">
        <v>186</v>
      </c>
      <c r="F168" s="1">
        <v>205</v>
      </c>
      <c r="G168" s="1">
        <v>224</v>
      </c>
      <c r="H168" s="1">
        <v>138</v>
      </c>
      <c r="I168" s="1">
        <v>171</v>
      </c>
      <c r="J168" s="1">
        <v>254</v>
      </c>
      <c r="K168" s="1">
        <v>195</v>
      </c>
      <c r="L168" s="1">
        <v>163</v>
      </c>
      <c r="M168" s="1">
        <v>176</v>
      </c>
      <c r="N168" s="1">
        <v>154</v>
      </c>
      <c r="O168" s="1">
        <v>155</v>
      </c>
      <c r="P168" s="1">
        <v>17.04</v>
      </c>
      <c r="Q168" s="1">
        <v>14.08</v>
      </c>
      <c r="R168" s="11" t="str">
        <f t="shared" si="0"/>
        <v>TE</v>
      </c>
    </row>
    <row r="169" spans="1:18" ht="14.25" customHeight="1" x14ac:dyDescent="0.25">
      <c r="A169" s="1">
        <v>165</v>
      </c>
      <c r="B169" s="1" t="s">
        <v>447</v>
      </c>
      <c r="C169" s="1" t="s">
        <v>721</v>
      </c>
      <c r="D169" s="1" t="s">
        <v>104</v>
      </c>
      <c r="E169" s="1">
        <v>199</v>
      </c>
      <c r="F169" s="1">
        <v>224</v>
      </c>
      <c r="G169" s="1">
        <v>231</v>
      </c>
      <c r="H169" s="1">
        <v>159</v>
      </c>
      <c r="I169" s="1">
        <v>145</v>
      </c>
      <c r="J169" s="1">
        <v>263</v>
      </c>
      <c r="K169" s="1">
        <v>199</v>
      </c>
      <c r="L169" s="1">
        <v>156</v>
      </c>
      <c r="M169" s="1">
        <v>166</v>
      </c>
      <c r="N169" s="1">
        <v>141</v>
      </c>
      <c r="O169" s="1">
        <v>148</v>
      </c>
      <c r="P169" s="1">
        <v>17.05</v>
      </c>
      <c r="Q169" s="1">
        <v>14.09</v>
      </c>
      <c r="R169" s="11" t="str">
        <f t="shared" si="0"/>
        <v>WR</v>
      </c>
    </row>
    <row r="170" spans="1:18" ht="14.25" customHeight="1" x14ac:dyDescent="0.25">
      <c r="A170" s="1">
        <v>166</v>
      </c>
      <c r="B170" s="1" t="s">
        <v>466</v>
      </c>
      <c r="C170" s="1" t="s">
        <v>588</v>
      </c>
      <c r="D170" s="1" t="s">
        <v>94</v>
      </c>
      <c r="E170" s="1">
        <v>176</v>
      </c>
      <c r="F170" s="1">
        <v>207</v>
      </c>
      <c r="G170" s="1">
        <v>238</v>
      </c>
      <c r="H170" s="1">
        <v>198</v>
      </c>
      <c r="I170" s="1">
        <v>191</v>
      </c>
      <c r="J170" s="1">
        <v>205</v>
      </c>
      <c r="K170" s="1">
        <v>228</v>
      </c>
      <c r="L170" s="1">
        <v>145</v>
      </c>
      <c r="M170" s="1">
        <v>155</v>
      </c>
      <c r="N170" s="1">
        <v>163</v>
      </c>
      <c r="O170" s="1">
        <v>164</v>
      </c>
      <c r="P170" s="1">
        <v>17.059999999999999</v>
      </c>
      <c r="Q170" s="1">
        <v>14.1</v>
      </c>
      <c r="R170" s="11" t="str">
        <f t="shared" si="0"/>
        <v>QB</v>
      </c>
    </row>
    <row r="171" spans="1:18" ht="14.25" customHeight="1" x14ac:dyDescent="0.25">
      <c r="A171" s="1">
        <v>167</v>
      </c>
      <c r="B171" s="1" t="s">
        <v>421</v>
      </c>
      <c r="C171" s="1" t="s">
        <v>326</v>
      </c>
      <c r="D171" s="1" t="s">
        <v>91</v>
      </c>
      <c r="E171" s="1">
        <v>187</v>
      </c>
      <c r="F171" s="1">
        <v>203</v>
      </c>
      <c r="G171" s="1">
        <v>261</v>
      </c>
      <c r="H171" s="1">
        <v>157</v>
      </c>
      <c r="I171" s="1">
        <v>182</v>
      </c>
      <c r="J171" s="1">
        <v>160</v>
      </c>
      <c r="K171" s="1">
        <v>175</v>
      </c>
      <c r="L171" s="1">
        <v>242</v>
      </c>
      <c r="M171" s="1">
        <v>177</v>
      </c>
      <c r="N171" s="1">
        <v>186</v>
      </c>
      <c r="O171" s="1">
        <v>176</v>
      </c>
      <c r="P171" s="1">
        <v>17.07</v>
      </c>
      <c r="Q171" s="1">
        <v>14.11</v>
      </c>
      <c r="R171" s="11" t="str">
        <f t="shared" si="0"/>
        <v>TE</v>
      </c>
    </row>
    <row r="172" spans="1:18" ht="14.25" customHeight="1" x14ac:dyDescent="0.25">
      <c r="A172" s="1">
        <v>168</v>
      </c>
      <c r="B172" s="1" t="s">
        <v>461</v>
      </c>
      <c r="C172" s="1" t="s">
        <v>471</v>
      </c>
      <c r="D172" s="1" t="s">
        <v>168</v>
      </c>
      <c r="E172" s="1">
        <v>106</v>
      </c>
      <c r="F172" s="1">
        <v>94</v>
      </c>
      <c r="G172" s="1">
        <v>134</v>
      </c>
      <c r="H172" s="1">
        <v>203</v>
      </c>
      <c r="I172" s="1">
        <v>140</v>
      </c>
      <c r="J172" s="1">
        <v>82</v>
      </c>
      <c r="K172" s="1">
        <v>147</v>
      </c>
      <c r="L172" s="1">
        <v>158</v>
      </c>
      <c r="M172" s="1">
        <v>105</v>
      </c>
      <c r="N172" s="1" t="s">
        <v>36</v>
      </c>
      <c r="O172" s="1" t="s">
        <v>36</v>
      </c>
      <c r="P172" s="1">
        <v>17.079999999999998</v>
      </c>
      <c r="Q172" s="1">
        <v>14.12</v>
      </c>
      <c r="R172" s="11" t="str">
        <f t="shared" si="0"/>
        <v>DE</v>
      </c>
    </row>
    <row r="173" spans="1:18" ht="14.25" customHeight="1" x14ac:dyDescent="0.25">
      <c r="A173" s="1">
        <v>169</v>
      </c>
      <c r="B173" s="1" t="s">
        <v>423</v>
      </c>
      <c r="C173" s="1" t="s">
        <v>960</v>
      </c>
      <c r="D173" s="1" t="s">
        <v>78</v>
      </c>
      <c r="E173" s="1">
        <v>211</v>
      </c>
      <c r="F173" s="1">
        <v>213</v>
      </c>
      <c r="G173" s="1">
        <v>258</v>
      </c>
      <c r="H173" s="1">
        <v>163</v>
      </c>
      <c r="I173" s="1">
        <v>173</v>
      </c>
      <c r="J173" s="1">
        <v>302</v>
      </c>
      <c r="K173" s="1">
        <v>204</v>
      </c>
      <c r="L173" s="1">
        <v>167</v>
      </c>
      <c r="M173" s="1">
        <v>196</v>
      </c>
      <c r="N173" s="1">
        <v>167</v>
      </c>
      <c r="O173" s="1">
        <v>173</v>
      </c>
      <c r="P173" s="1">
        <v>17.09</v>
      </c>
      <c r="Q173" s="1">
        <v>15.01</v>
      </c>
      <c r="R173" s="11" t="str">
        <f t="shared" si="0"/>
        <v>RB</v>
      </c>
    </row>
    <row r="174" spans="1:18" ht="14.25" customHeight="1" x14ac:dyDescent="0.25">
      <c r="A174" s="1">
        <v>170</v>
      </c>
      <c r="B174" s="1" t="s">
        <v>468</v>
      </c>
      <c r="C174" s="1" t="s">
        <v>487</v>
      </c>
      <c r="D174" s="1" t="s">
        <v>78</v>
      </c>
      <c r="E174" s="1">
        <v>87</v>
      </c>
      <c r="F174" s="1">
        <v>130</v>
      </c>
      <c r="G174" s="1">
        <v>164</v>
      </c>
      <c r="H174" s="1">
        <v>214</v>
      </c>
      <c r="I174" s="1">
        <v>160</v>
      </c>
      <c r="J174" s="1">
        <v>93</v>
      </c>
      <c r="K174" s="1">
        <v>144</v>
      </c>
      <c r="L174" s="1">
        <v>165</v>
      </c>
      <c r="M174" s="1">
        <v>120</v>
      </c>
      <c r="N174" s="1" t="s">
        <v>36</v>
      </c>
      <c r="O174" s="1" t="s">
        <v>36</v>
      </c>
      <c r="P174" s="1">
        <v>17.100000000000001</v>
      </c>
      <c r="Q174" s="1">
        <v>15.02</v>
      </c>
      <c r="R174" s="11" t="str">
        <f t="shared" si="0"/>
        <v>DE</v>
      </c>
    </row>
    <row r="175" spans="1:18" ht="14.25" customHeight="1" x14ac:dyDescent="0.25">
      <c r="A175" s="1">
        <v>171</v>
      </c>
      <c r="B175" s="1" t="s">
        <v>434</v>
      </c>
      <c r="C175" s="1" t="s">
        <v>258</v>
      </c>
      <c r="D175" s="1" t="s">
        <v>160</v>
      </c>
      <c r="E175" s="1">
        <v>210</v>
      </c>
      <c r="F175" s="1" t="s">
        <v>36</v>
      </c>
      <c r="G175" s="1">
        <v>201</v>
      </c>
      <c r="H175" s="1">
        <v>165</v>
      </c>
      <c r="I175" s="1">
        <v>164</v>
      </c>
      <c r="J175" s="1">
        <v>220</v>
      </c>
      <c r="K175" s="1">
        <v>158</v>
      </c>
      <c r="L175" s="1">
        <v>157</v>
      </c>
      <c r="M175" s="1">
        <v>172</v>
      </c>
      <c r="N175" s="1">
        <v>178</v>
      </c>
      <c r="O175" s="1">
        <v>179</v>
      </c>
      <c r="P175" s="1">
        <v>18.010000000000002</v>
      </c>
      <c r="Q175" s="1">
        <v>15.03</v>
      </c>
      <c r="R175" s="11" t="str">
        <f t="shared" si="0"/>
        <v>RB</v>
      </c>
    </row>
    <row r="176" spans="1:18" ht="14.25" customHeight="1" x14ac:dyDescent="0.25">
      <c r="A176" s="1">
        <v>172</v>
      </c>
      <c r="B176" s="1" t="s">
        <v>449</v>
      </c>
      <c r="C176" s="1" t="s">
        <v>346</v>
      </c>
      <c r="D176" s="1" t="s">
        <v>214</v>
      </c>
      <c r="E176" s="1">
        <v>205</v>
      </c>
      <c r="F176" s="1" t="s">
        <v>36</v>
      </c>
      <c r="G176" s="1">
        <v>219</v>
      </c>
      <c r="H176" s="1">
        <v>172</v>
      </c>
      <c r="I176" s="1">
        <v>163</v>
      </c>
      <c r="J176" s="1">
        <v>223</v>
      </c>
      <c r="K176" s="1">
        <v>210</v>
      </c>
      <c r="L176" s="1">
        <v>178</v>
      </c>
      <c r="M176" s="1">
        <v>173</v>
      </c>
      <c r="N176" s="1">
        <v>142</v>
      </c>
      <c r="O176" s="1">
        <v>149</v>
      </c>
      <c r="P176" s="1">
        <v>18.02</v>
      </c>
      <c r="Q176" s="1">
        <v>15.04</v>
      </c>
      <c r="R176" s="11" t="str">
        <f t="shared" si="0"/>
        <v>WR</v>
      </c>
    </row>
    <row r="177" spans="1:18" ht="14.25" customHeight="1" x14ac:dyDescent="0.25">
      <c r="A177" s="1">
        <v>173</v>
      </c>
      <c r="B177" s="1" t="s">
        <v>470</v>
      </c>
      <c r="C177" s="1" t="s">
        <v>502</v>
      </c>
      <c r="D177" s="1" t="s">
        <v>91</v>
      </c>
      <c r="E177" s="1">
        <v>112</v>
      </c>
      <c r="F177" s="1">
        <v>109</v>
      </c>
      <c r="G177" s="1">
        <v>129</v>
      </c>
      <c r="H177" s="1">
        <v>212</v>
      </c>
      <c r="I177" s="1">
        <v>166</v>
      </c>
      <c r="J177" s="1">
        <v>123</v>
      </c>
      <c r="K177" s="1">
        <v>181</v>
      </c>
      <c r="L177" s="1">
        <v>169</v>
      </c>
      <c r="M177" s="1">
        <v>125</v>
      </c>
      <c r="N177" s="1" t="s">
        <v>36</v>
      </c>
      <c r="O177" s="1" t="s">
        <v>36</v>
      </c>
      <c r="P177" s="1">
        <v>18.03</v>
      </c>
      <c r="Q177" s="1">
        <v>15.05</v>
      </c>
      <c r="R177" s="11" t="str">
        <f t="shared" si="0"/>
        <v>DE</v>
      </c>
    </row>
    <row r="178" spans="1:18" ht="14.25" customHeight="1" x14ac:dyDescent="0.25">
      <c r="A178" s="1">
        <v>174</v>
      </c>
      <c r="B178" s="1" t="s">
        <v>425</v>
      </c>
      <c r="C178" s="1" t="s">
        <v>642</v>
      </c>
      <c r="D178" s="1" t="s">
        <v>81</v>
      </c>
      <c r="E178" s="1">
        <v>194</v>
      </c>
      <c r="F178" s="1">
        <v>185</v>
      </c>
      <c r="G178" s="1">
        <v>268</v>
      </c>
      <c r="H178" s="1">
        <v>188</v>
      </c>
      <c r="I178" s="1">
        <v>251</v>
      </c>
      <c r="J178" s="1">
        <v>186</v>
      </c>
      <c r="K178" s="1">
        <v>217</v>
      </c>
      <c r="L178" s="1">
        <v>225</v>
      </c>
      <c r="M178" s="1">
        <v>257</v>
      </c>
      <c r="N178" s="1">
        <v>234</v>
      </c>
      <c r="O178" s="1">
        <v>217</v>
      </c>
      <c r="P178" s="1">
        <v>18.04</v>
      </c>
      <c r="Q178" s="1">
        <v>15.06</v>
      </c>
      <c r="R178" s="11" t="str">
        <f t="shared" si="0"/>
        <v>TE</v>
      </c>
    </row>
    <row r="179" spans="1:18" ht="14.25" customHeight="1" x14ac:dyDescent="0.25">
      <c r="A179" s="1">
        <v>175</v>
      </c>
      <c r="B179" s="1" t="s">
        <v>475</v>
      </c>
      <c r="C179" s="1" t="s">
        <v>489</v>
      </c>
      <c r="D179" s="1" t="s">
        <v>233</v>
      </c>
      <c r="E179" s="1">
        <v>132</v>
      </c>
      <c r="F179" s="1">
        <v>90</v>
      </c>
      <c r="G179" s="1">
        <v>213</v>
      </c>
      <c r="H179" s="1">
        <v>215</v>
      </c>
      <c r="I179" s="1">
        <v>167</v>
      </c>
      <c r="J179" s="1">
        <v>131</v>
      </c>
      <c r="K179" s="1">
        <v>154</v>
      </c>
      <c r="L179" s="1">
        <v>166</v>
      </c>
      <c r="M179" s="1">
        <v>136</v>
      </c>
      <c r="N179" s="1" t="s">
        <v>36</v>
      </c>
      <c r="O179" s="1" t="s">
        <v>36</v>
      </c>
      <c r="P179" s="1">
        <v>18.05</v>
      </c>
      <c r="Q179" s="1">
        <v>15.07</v>
      </c>
      <c r="R179" s="11" t="str">
        <f t="shared" si="0"/>
        <v>DE</v>
      </c>
    </row>
    <row r="180" spans="1:18" ht="14.25" customHeight="1" x14ac:dyDescent="0.25">
      <c r="A180" s="1">
        <v>176</v>
      </c>
      <c r="B180" s="1" t="s">
        <v>445</v>
      </c>
      <c r="C180" s="1" t="s">
        <v>1085</v>
      </c>
      <c r="D180" s="1" t="s">
        <v>55</v>
      </c>
      <c r="E180" s="1">
        <v>180</v>
      </c>
      <c r="F180" s="1" t="s">
        <v>36</v>
      </c>
      <c r="G180" s="1">
        <v>294</v>
      </c>
      <c r="H180" s="1">
        <v>182</v>
      </c>
      <c r="I180" s="1">
        <v>162</v>
      </c>
      <c r="J180" s="1">
        <v>199</v>
      </c>
      <c r="K180" s="1">
        <v>151</v>
      </c>
      <c r="L180" s="1">
        <v>180</v>
      </c>
      <c r="M180" s="1">
        <v>170</v>
      </c>
      <c r="N180" s="1">
        <v>211</v>
      </c>
      <c r="O180" s="1">
        <v>218</v>
      </c>
      <c r="P180" s="1">
        <v>18.059999999999999</v>
      </c>
      <c r="Q180" s="1">
        <v>15.08</v>
      </c>
      <c r="R180" s="11" t="str">
        <f t="shared" si="0"/>
        <v>RB</v>
      </c>
    </row>
    <row r="181" spans="1:18" ht="14.25" customHeight="1" x14ac:dyDescent="0.25">
      <c r="A181" s="1">
        <v>177</v>
      </c>
      <c r="B181" s="1" t="s">
        <v>453</v>
      </c>
      <c r="C181" s="1" t="s">
        <v>810</v>
      </c>
      <c r="D181" s="1" t="s">
        <v>94</v>
      </c>
      <c r="E181" s="1">
        <v>143</v>
      </c>
      <c r="F181" s="1">
        <v>189</v>
      </c>
      <c r="G181" s="1">
        <v>308</v>
      </c>
      <c r="H181" s="1">
        <v>227</v>
      </c>
      <c r="I181" s="1">
        <v>229</v>
      </c>
      <c r="J181" s="1">
        <v>290</v>
      </c>
      <c r="K181" s="1">
        <v>250</v>
      </c>
      <c r="L181" s="1">
        <v>250</v>
      </c>
      <c r="M181" s="1">
        <v>222</v>
      </c>
      <c r="N181" s="1">
        <v>197</v>
      </c>
      <c r="O181" s="1">
        <v>192</v>
      </c>
      <c r="P181" s="1">
        <v>18.07</v>
      </c>
      <c r="Q181" s="1">
        <v>15.09</v>
      </c>
      <c r="R181" s="11" t="str">
        <f t="shared" si="0"/>
        <v>WR</v>
      </c>
    </row>
    <row r="182" spans="1:18" ht="14.25" customHeight="1" x14ac:dyDescent="0.25">
      <c r="A182" s="1">
        <v>178</v>
      </c>
      <c r="B182" s="1" t="s">
        <v>486</v>
      </c>
      <c r="C182" s="1" t="s">
        <v>512</v>
      </c>
      <c r="D182" s="1" t="s">
        <v>72</v>
      </c>
      <c r="E182" s="1">
        <v>141</v>
      </c>
      <c r="F182" s="1">
        <v>119</v>
      </c>
      <c r="G182" s="1">
        <v>193</v>
      </c>
      <c r="H182" s="1">
        <v>220</v>
      </c>
      <c r="I182" s="1">
        <v>172</v>
      </c>
      <c r="J182" s="1">
        <v>151</v>
      </c>
      <c r="K182" s="1">
        <v>160</v>
      </c>
      <c r="L182" s="1">
        <v>172</v>
      </c>
      <c r="M182" s="1">
        <v>143</v>
      </c>
      <c r="N182" s="1" t="s">
        <v>36</v>
      </c>
      <c r="O182" s="1" t="s">
        <v>36</v>
      </c>
      <c r="P182" s="1">
        <v>18.079999999999998</v>
      </c>
      <c r="Q182" s="1">
        <v>15.1</v>
      </c>
      <c r="R182" s="11" t="str">
        <f t="shared" si="0"/>
        <v>DE</v>
      </c>
    </row>
    <row r="183" spans="1:18" ht="14.25" customHeight="1" x14ac:dyDescent="0.25">
      <c r="A183" s="1">
        <v>179</v>
      </c>
      <c r="B183" s="1" t="s">
        <v>479</v>
      </c>
      <c r="C183" s="1" t="s">
        <v>431</v>
      </c>
      <c r="D183" s="1" t="s">
        <v>52</v>
      </c>
      <c r="E183" s="1" t="s">
        <v>36</v>
      </c>
      <c r="F183" s="1">
        <v>204</v>
      </c>
      <c r="G183" s="1">
        <v>222</v>
      </c>
      <c r="H183" s="1">
        <v>213</v>
      </c>
      <c r="I183" s="1">
        <v>196</v>
      </c>
      <c r="J183" s="1">
        <v>201</v>
      </c>
      <c r="K183" s="1">
        <v>226</v>
      </c>
      <c r="L183" s="1">
        <v>222</v>
      </c>
      <c r="M183" s="1">
        <v>165</v>
      </c>
      <c r="N183" s="1">
        <v>173</v>
      </c>
      <c r="O183" s="1">
        <v>181</v>
      </c>
      <c r="P183" s="1">
        <v>18.09</v>
      </c>
      <c r="Q183" s="1">
        <v>15.11</v>
      </c>
      <c r="R183" s="11" t="str">
        <f t="shared" si="0"/>
        <v>QB</v>
      </c>
    </row>
    <row r="184" spans="1:18" ht="14.25" customHeight="1" x14ac:dyDescent="0.25">
      <c r="A184" s="1">
        <v>180</v>
      </c>
      <c r="B184" s="1" t="s">
        <v>451</v>
      </c>
      <c r="C184" s="1" t="s">
        <v>613</v>
      </c>
      <c r="D184" s="1" t="s">
        <v>81</v>
      </c>
      <c r="E184" s="1" t="s">
        <v>36</v>
      </c>
      <c r="F184" s="1">
        <v>194</v>
      </c>
      <c r="G184" s="1">
        <v>226</v>
      </c>
      <c r="H184" s="1">
        <v>185</v>
      </c>
      <c r="I184" s="1">
        <v>175</v>
      </c>
      <c r="J184" s="1">
        <v>241</v>
      </c>
      <c r="K184" s="1">
        <v>172</v>
      </c>
      <c r="L184" s="1">
        <v>189</v>
      </c>
      <c r="M184" s="1">
        <v>182</v>
      </c>
      <c r="N184" s="1">
        <v>230</v>
      </c>
      <c r="O184" s="1">
        <v>237</v>
      </c>
      <c r="P184" s="1">
        <v>18.100000000000001</v>
      </c>
      <c r="Q184" s="1">
        <v>15.12</v>
      </c>
      <c r="R184" s="11" t="str">
        <f t="shared" si="0"/>
        <v>RB</v>
      </c>
    </row>
    <row r="185" spans="1:18" ht="14.25" customHeight="1" x14ac:dyDescent="0.25">
      <c r="A185" s="1">
        <v>181</v>
      </c>
      <c r="B185" s="1" t="s">
        <v>488</v>
      </c>
      <c r="C185" s="1" t="s">
        <v>462</v>
      </c>
      <c r="D185" s="1" t="s">
        <v>116</v>
      </c>
      <c r="E185" s="1">
        <v>145</v>
      </c>
      <c r="F185" s="1">
        <v>100</v>
      </c>
      <c r="G185" s="1">
        <v>190</v>
      </c>
      <c r="H185" s="1">
        <v>216</v>
      </c>
      <c r="I185" s="1">
        <v>176</v>
      </c>
      <c r="J185" s="1">
        <v>145</v>
      </c>
      <c r="K185" s="1">
        <v>188</v>
      </c>
      <c r="L185" s="1">
        <v>188</v>
      </c>
      <c r="M185" s="1">
        <v>164</v>
      </c>
      <c r="N185" s="1" t="s">
        <v>36</v>
      </c>
      <c r="O185" s="1" t="s">
        <v>36</v>
      </c>
      <c r="P185" s="1">
        <v>19.010000000000002</v>
      </c>
      <c r="Q185" s="1">
        <v>16.010000000000002</v>
      </c>
      <c r="R185" s="11" t="str">
        <f t="shared" si="0"/>
        <v>DE</v>
      </c>
    </row>
    <row r="186" spans="1:18" ht="14.25" customHeight="1" x14ac:dyDescent="0.25">
      <c r="A186" s="1">
        <v>182</v>
      </c>
      <c r="B186" s="1" t="s">
        <v>481</v>
      </c>
      <c r="C186" s="1" t="s">
        <v>480</v>
      </c>
      <c r="D186" s="1" t="s">
        <v>233</v>
      </c>
      <c r="E186" s="1" t="s">
        <v>36</v>
      </c>
      <c r="F186" s="1">
        <v>192</v>
      </c>
      <c r="G186" s="1">
        <v>240</v>
      </c>
      <c r="H186" s="1">
        <v>222</v>
      </c>
      <c r="I186" s="1">
        <v>222</v>
      </c>
      <c r="J186" s="1">
        <v>192</v>
      </c>
      <c r="K186" s="1">
        <v>229</v>
      </c>
      <c r="L186" s="1">
        <v>198</v>
      </c>
      <c r="M186" s="1">
        <v>180</v>
      </c>
      <c r="N186" s="1">
        <v>191</v>
      </c>
      <c r="O186" s="1">
        <v>198</v>
      </c>
      <c r="P186" s="1">
        <v>19.02</v>
      </c>
      <c r="Q186" s="1">
        <v>16.02</v>
      </c>
      <c r="R186" s="11" t="str">
        <f t="shared" si="0"/>
        <v>QB</v>
      </c>
    </row>
    <row r="187" spans="1:18" ht="14.25" customHeight="1" x14ac:dyDescent="0.25">
      <c r="A187" s="1">
        <v>183</v>
      </c>
      <c r="B187" s="1" t="s">
        <v>455</v>
      </c>
      <c r="C187" s="1" t="s">
        <v>911</v>
      </c>
      <c r="D187" s="1" t="s">
        <v>66</v>
      </c>
      <c r="E187" s="1" t="s">
        <v>36</v>
      </c>
      <c r="F187" s="1" t="s">
        <v>36</v>
      </c>
      <c r="G187" s="1">
        <v>221</v>
      </c>
      <c r="H187" s="1">
        <v>158</v>
      </c>
      <c r="I187" s="1">
        <v>155</v>
      </c>
      <c r="J187" s="1">
        <v>235</v>
      </c>
      <c r="K187" s="1">
        <v>174</v>
      </c>
      <c r="L187" s="1">
        <v>150</v>
      </c>
      <c r="M187" s="1">
        <v>175</v>
      </c>
      <c r="N187" s="1">
        <v>127</v>
      </c>
      <c r="O187" s="1">
        <v>136</v>
      </c>
      <c r="P187" s="1">
        <v>19.03</v>
      </c>
      <c r="Q187" s="1">
        <v>16.03</v>
      </c>
      <c r="R187" s="11" t="str">
        <f t="shared" si="0"/>
        <v>WR</v>
      </c>
    </row>
    <row r="188" spans="1:18" ht="14.25" customHeight="1" x14ac:dyDescent="0.25">
      <c r="A188" s="1">
        <v>184</v>
      </c>
      <c r="B188" s="1" t="s">
        <v>457</v>
      </c>
      <c r="C188" s="1" t="s">
        <v>504</v>
      </c>
      <c r="D188" s="1" t="s">
        <v>88</v>
      </c>
      <c r="E188" s="1" t="s">
        <v>36</v>
      </c>
      <c r="F188" s="1" t="s">
        <v>36</v>
      </c>
      <c r="G188" s="1">
        <v>202</v>
      </c>
      <c r="H188" s="1">
        <v>181</v>
      </c>
      <c r="I188" s="1">
        <v>158</v>
      </c>
      <c r="J188" s="1">
        <v>169</v>
      </c>
      <c r="K188" s="1">
        <v>139</v>
      </c>
      <c r="L188" s="1">
        <v>185</v>
      </c>
      <c r="M188" s="1">
        <v>178</v>
      </c>
      <c r="N188" s="1">
        <v>180</v>
      </c>
      <c r="O188" s="1">
        <v>159</v>
      </c>
      <c r="P188" s="1">
        <v>19.04</v>
      </c>
      <c r="Q188" s="1">
        <v>16.04</v>
      </c>
      <c r="R188" s="11" t="str">
        <f t="shared" si="0"/>
        <v>WR</v>
      </c>
    </row>
    <row r="189" spans="1:18" ht="14.25" customHeight="1" x14ac:dyDescent="0.25">
      <c r="A189" s="1">
        <v>185</v>
      </c>
      <c r="B189" s="1" t="s">
        <v>432</v>
      </c>
      <c r="C189" s="1" t="s">
        <v>536</v>
      </c>
      <c r="D189" s="1" t="s">
        <v>233</v>
      </c>
      <c r="E189" s="1" t="s">
        <v>36</v>
      </c>
      <c r="F189" s="1">
        <v>198</v>
      </c>
      <c r="G189" s="1">
        <v>239</v>
      </c>
      <c r="H189" s="1">
        <v>196</v>
      </c>
      <c r="I189" s="1">
        <v>221</v>
      </c>
      <c r="J189" s="1">
        <v>176</v>
      </c>
      <c r="K189" s="1">
        <v>202</v>
      </c>
      <c r="L189" s="1">
        <v>228</v>
      </c>
      <c r="M189" s="1">
        <v>185</v>
      </c>
      <c r="N189" s="1">
        <v>228</v>
      </c>
      <c r="O189" s="1">
        <v>226</v>
      </c>
      <c r="P189" s="1">
        <v>19.05</v>
      </c>
      <c r="Q189" s="1">
        <v>16.05</v>
      </c>
      <c r="R189" s="11" t="str">
        <f t="shared" si="0"/>
        <v>TE</v>
      </c>
    </row>
    <row r="190" spans="1:18" ht="14.25" customHeight="1" x14ac:dyDescent="0.25">
      <c r="A190" s="1">
        <v>186</v>
      </c>
      <c r="B190" s="1" t="s">
        <v>496</v>
      </c>
      <c r="C190" s="1" t="s">
        <v>602</v>
      </c>
      <c r="D190" s="1" t="s">
        <v>66</v>
      </c>
      <c r="E190" s="1">
        <v>128</v>
      </c>
      <c r="F190" s="1">
        <v>153</v>
      </c>
      <c r="G190" s="1">
        <v>218</v>
      </c>
      <c r="H190" s="1">
        <v>224</v>
      </c>
      <c r="I190" s="1">
        <v>179</v>
      </c>
      <c r="J190" s="1">
        <v>92</v>
      </c>
      <c r="K190" s="1">
        <v>231</v>
      </c>
      <c r="L190" s="1">
        <v>190</v>
      </c>
      <c r="M190" s="1">
        <v>163</v>
      </c>
      <c r="N190" s="1" t="s">
        <v>36</v>
      </c>
      <c r="O190" s="1" t="s">
        <v>36</v>
      </c>
      <c r="P190" s="1">
        <v>19.059999999999999</v>
      </c>
      <c r="Q190" s="1">
        <v>16.059999999999999</v>
      </c>
      <c r="R190" s="11" t="str">
        <f t="shared" si="0"/>
        <v>DE</v>
      </c>
    </row>
    <row r="191" spans="1:18" ht="14.25" customHeight="1" x14ac:dyDescent="0.25">
      <c r="A191" s="1">
        <v>187</v>
      </c>
      <c r="B191" s="1" t="s">
        <v>464</v>
      </c>
      <c r="C191" s="1" t="s">
        <v>270</v>
      </c>
      <c r="D191" s="1" t="s">
        <v>88</v>
      </c>
      <c r="E191" s="1">
        <v>197</v>
      </c>
      <c r="F191" s="1" t="s">
        <v>36</v>
      </c>
      <c r="G191" s="1">
        <v>227</v>
      </c>
      <c r="H191" s="1">
        <v>226</v>
      </c>
      <c r="I191" s="1">
        <v>180</v>
      </c>
      <c r="J191" s="1">
        <v>278</v>
      </c>
      <c r="K191" s="1">
        <v>212</v>
      </c>
      <c r="L191" s="1">
        <v>236</v>
      </c>
      <c r="M191" s="1">
        <v>181</v>
      </c>
      <c r="N191" s="1">
        <v>204</v>
      </c>
      <c r="O191" s="1">
        <v>191</v>
      </c>
      <c r="P191" s="1">
        <v>19.07</v>
      </c>
      <c r="Q191" s="1">
        <v>16.07</v>
      </c>
      <c r="R191" s="11" t="str">
        <f t="shared" si="0"/>
        <v>WR</v>
      </c>
    </row>
    <row r="192" spans="1:18" ht="14.25" customHeight="1" x14ac:dyDescent="0.25">
      <c r="A192" s="1">
        <v>188</v>
      </c>
      <c r="B192" s="1" t="s">
        <v>490</v>
      </c>
      <c r="C192" s="1" t="s">
        <v>682</v>
      </c>
      <c r="D192" s="1" t="s">
        <v>85</v>
      </c>
      <c r="E192" s="1">
        <v>215</v>
      </c>
      <c r="F192" s="1">
        <v>255</v>
      </c>
      <c r="G192" s="1">
        <v>271</v>
      </c>
      <c r="H192" s="1">
        <v>191</v>
      </c>
      <c r="I192" s="1">
        <v>194</v>
      </c>
      <c r="J192" s="1">
        <v>204</v>
      </c>
      <c r="K192" s="1">
        <v>193</v>
      </c>
      <c r="L192" s="1" t="s">
        <v>36</v>
      </c>
      <c r="M192" s="1">
        <v>213</v>
      </c>
      <c r="N192" s="1">
        <v>215</v>
      </c>
      <c r="O192" s="1">
        <v>209</v>
      </c>
      <c r="P192" s="1">
        <v>19.079999999999998</v>
      </c>
      <c r="Q192" s="1">
        <v>16.079999999999998</v>
      </c>
      <c r="R192" s="11" t="str">
        <f t="shared" si="0"/>
        <v>RB</v>
      </c>
    </row>
    <row r="193" spans="1:18" ht="14.25" customHeight="1" x14ac:dyDescent="0.25">
      <c r="A193" s="1">
        <v>189</v>
      </c>
      <c r="B193" s="1" t="s">
        <v>505</v>
      </c>
      <c r="C193" s="1" t="s">
        <v>945</v>
      </c>
      <c r="D193" s="1" t="s">
        <v>155</v>
      </c>
      <c r="E193" s="1">
        <v>213</v>
      </c>
      <c r="F193" s="1" t="s">
        <v>36</v>
      </c>
      <c r="G193" s="1">
        <v>275</v>
      </c>
      <c r="H193" s="1">
        <v>186</v>
      </c>
      <c r="I193" s="1">
        <v>188</v>
      </c>
      <c r="J193" s="1">
        <v>304</v>
      </c>
      <c r="K193" s="1">
        <v>203</v>
      </c>
      <c r="L193" s="1">
        <v>171</v>
      </c>
      <c r="M193" s="1">
        <v>198</v>
      </c>
      <c r="N193" s="1">
        <v>220</v>
      </c>
      <c r="O193" s="1">
        <v>219</v>
      </c>
      <c r="P193" s="1">
        <v>19.09</v>
      </c>
      <c r="Q193" s="1">
        <v>16.09</v>
      </c>
      <c r="R193" s="11" t="str">
        <f t="shared" si="0"/>
        <v>RB</v>
      </c>
    </row>
    <row r="194" spans="1:18" ht="14.25" customHeight="1" x14ac:dyDescent="0.25">
      <c r="A194" s="1">
        <v>190</v>
      </c>
      <c r="B194" s="1" t="s">
        <v>477</v>
      </c>
      <c r="C194" s="1" t="s">
        <v>590</v>
      </c>
      <c r="D194" s="1" t="s">
        <v>35</v>
      </c>
      <c r="E194" s="1" t="s">
        <v>36</v>
      </c>
      <c r="F194" s="1">
        <v>214</v>
      </c>
      <c r="G194" s="1">
        <v>350</v>
      </c>
      <c r="H194" s="1">
        <v>190</v>
      </c>
      <c r="I194" s="1">
        <v>210</v>
      </c>
      <c r="J194" s="1">
        <v>221</v>
      </c>
      <c r="K194" s="1">
        <v>216</v>
      </c>
      <c r="L194" s="1">
        <v>216</v>
      </c>
      <c r="M194" s="1">
        <v>229</v>
      </c>
      <c r="N194" s="1">
        <v>170</v>
      </c>
      <c r="O194" s="1">
        <v>163</v>
      </c>
      <c r="P194" s="1">
        <v>19.100000000000001</v>
      </c>
      <c r="Q194" s="1">
        <v>16.100000000000001</v>
      </c>
      <c r="R194" s="11" t="str">
        <f t="shared" si="0"/>
        <v>WR</v>
      </c>
    </row>
    <row r="195" spans="1:18" ht="14.25" customHeight="1" x14ac:dyDescent="0.25">
      <c r="A195" s="1">
        <v>191</v>
      </c>
      <c r="B195" s="1" t="s">
        <v>492</v>
      </c>
      <c r="C195" s="1" t="s">
        <v>1087</v>
      </c>
      <c r="D195" s="1" t="s">
        <v>104</v>
      </c>
      <c r="E195" s="1" t="s">
        <v>36</v>
      </c>
      <c r="F195" s="1" t="s">
        <v>36</v>
      </c>
      <c r="G195" s="1">
        <v>220</v>
      </c>
      <c r="H195" s="1">
        <v>179</v>
      </c>
      <c r="I195" s="1">
        <v>170</v>
      </c>
      <c r="J195" s="1">
        <v>226</v>
      </c>
      <c r="K195" s="1">
        <v>166</v>
      </c>
      <c r="L195" s="1">
        <v>192</v>
      </c>
      <c r="M195" s="1">
        <v>184</v>
      </c>
      <c r="N195" s="1">
        <v>175</v>
      </c>
      <c r="O195" s="1">
        <v>153</v>
      </c>
      <c r="P195" s="1">
        <v>20.010000000000002</v>
      </c>
      <c r="Q195" s="1">
        <v>16.11</v>
      </c>
      <c r="R195" s="11" t="str">
        <f t="shared" si="0"/>
        <v>WR</v>
      </c>
    </row>
    <row r="196" spans="1:18" ht="14.25" customHeight="1" x14ac:dyDescent="0.25">
      <c r="A196" s="1">
        <v>192</v>
      </c>
      <c r="B196" s="1" t="s">
        <v>439</v>
      </c>
      <c r="C196" s="1" t="s">
        <v>433</v>
      </c>
      <c r="D196" s="1" t="s">
        <v>229</v>
      </c>
      <c r="E196" s="1" t="s">
        <v>36</v>
      </c>
      <c r="F196" s="1" t="s">
        <v>36</v>
      </c>
      <c r="G196" s="1">
        <v>249</v>
      </c>
      <c r="H196" s="1">
        <v>150</v>
      </c>
      <c r="I196" s="1">
        <v>187</v>
      </c>
      <c r="J196" s="1">
        <v>218</v>
      </c>
      <c r="K196" s="1">
        <v>208</v>
      </c>
      <c r="L196" s="1">
        <v>144</v>
      </c>
      <c r="M196" s="1">
        <v>183</v>
      </c>
      <c r="N196" s="1">
        <v>165</v>
      </c>
      <c r="O196" s="1">
        <v>166</v>
      </c>
      <c r="P196" s="1">
        <v>20.02</v>
      </c>
      <c r="Q196" s="1">
        <v>16.12</v>
      </c>
      <c r="R196" s="11" t="str">
        <f t="shared" si="0"/>
        <v>TE</v>
      </c>
    </row>
    <row r="197" spans="1:18" ht="14.25" customHeight="1" x14ac:dyDescent="0.25">
      <c r="A197" s="1">
        <v>193</v>
      </c>
      <c r="B197" s="1" t="s">
        <v>501</v>
      </c>
      <c r="C197" s="1" t="s">
        <v>551</v>
      </c>
      <c r="D197" s="1" t="s">
        <v>85</v>
      </c>
      <c r="E197" s="1">
        <v>179</v>
      </c>
      <c r="F197" s="1">
        <v>187</v>
      </c>
      <c r="G197" s="1">
        <v>235</v>
      </c>
      <c r="H197" s="1">
        <v>239</v>
      </c>
      <c r="I197" s="1">
        <v>202</v>
      </c>
      <c r="J197" s="1">
        <v>137</v>
      </c>
      <c r="K197" s="1">
        <v>191</v>
      </c>
      <c r="L197" s="1">
        <v>173</v>
      </c>
      <c r="M197" s="1">
        <v>191</v>
      </c>
      <c r="N197" s="1" t="s">
        <v>36</v>
      </c>
      <c r="O197" s="1" t="s">
        <v>36</v>
      </c>
      <c r="P197" s="1">
        <v>20.03</v>
      </c>
      <c r="Q197" s="1">
        <v>17.010000000000002</v>
      </c>
      <c r="R197" s="11" t="str">
        <f t="shared" si="0"/>
        <v>DE</v>
      </c>
    </row>
    <row r="198" spans="1:18" ht="14.25" customHeight="1" x14ac:dyDescent="0.25">
      <c r="A198" s="1">
        <v>194</v>
      </c>
      <c r="B198" s="1" t="s">
        <v>511</v>
      </c>
      <c r="C198" s="1" t="s">
        <v>523</v>
      </c>
      <c r="D198" s="1" t="s">
        <v>35</v>
      </c>
      <c r="E198" s="1">
        <v>178</v>
      </c>
      <c r="F198" s="1">
        <v>136</v>
      </c>
      <c r="G198" s="1">
        <v>257</v>
      </c>
      <c r="H198" s="1">
        <v>254</v>
      </c>
      <c r="I198" s="1">
        <v>201</v>
      </c>
      <c r="J198" s="1">
        <v>152</v>
      </c>
      <c r="K198" s="1">
        <v>187</v>
      </c>
      <c r="L198" s="1">
        <v>186</v>
      </c>
      <c r="M198" s="1">
        <v>199</v>
      </c>
      <c r="N198" s="1" t="s">
        <v>36</v>
      </c>
      <c r="O198" s="1" t="s">
        <v>36</v>
      </c>
      <c r="P198" s="1">
        <v>20.04</v>
      </c>
      <c r="Q198" s="1">
        <v>17.02</v>
      </c>
      <c r="R198" s="11" t="str">
        <f t="shared" si="0"/>
        <v>DE</v>
      </c>
    </row>
    <row r="199" spans="1:18" ht="14.25" customHeight="1" x14ac:dyDescent="0.25">
      <c r="A199" s="1">
        <v>195</v>
      </c>
      <c r="B199" s="1" t="s">
        <v>484</v>
      </c>
      <c r="C199" s="1" t="s">
        <v>403</v>
      </c>
      <c r="D199" s="1" t="s">
        <v>60</v>
      </c>
      <c r="E199" s="1">
        <v>156</v>
      </c>
      <c r="F199" s="1" t="s">
        <v>36</v>
      </c>
      <c r="G199" s="1">
        <v>310</v>
      </c>
      <c r="H199" s="1">
        <v>231</v>
      </c>
      <c r="I199" s="1">
        <v>236</v>
      </c>
      <c r="J199" s="1">
        <v>310</v>
      </c>
      <c r="K199" s="1">
        <v>277</v>
      </c>
      <c r="L199" s="1">
        <v>245</v>
      </c>
      <c r="M199" s="1">
        <v>200</v>
      </c>
      <c r="N199" s="1">
        <v>188</v>
      </c>
      <c r="O199" s="1">
        <v>201</v>
      </c>
      <c r="P199" s="1">
        <v>20.05</v>
      </c>
      <c r="Q199" s="1">
        <v>17.03</v>
      </c>
      <c r="R199" s="11" t="str">
        <f t="shared" si="0"/>
        <v>QB</v>
      </c>
    </row>
    <row r="200" spans="1:18" ht="14.25" customHeight="1" x14ac:dyDescent="0.25">
      <c r="A200" s="1">
        <v>196</v>
      </c>
      <c r="B200" s="1" t="s">
        <v>520</v>
      </c>
      <c r="C200" s="1" t="s">
        <v>368</v>
      </c>
      <c r="D200" s="1" t="s">
        <v>116</v>
      </c>
      <c r="E200" s="1" t="s">
        <v>36</v>
      </c>
      <c r="F200" s="1" t="s">
        <v>36</v>
      </c>
      <c r="G200" s="1">
        <v>215</v>
      </c>
      <c r="H200" s="1">
        <v>156</v>
      </c>
      <c r="I200" s="1">
        <v>177</v>
      </c>
      <c r="J200" s="1">
        <v>336</v>
      </c>
      <c r="K200" s="1">
        <v>194</v>
      </c>
      <c r="L200" s="1">
        <v>182</v>
      </c>
      <c r="M200" s="1">
        <v>192</v>
      </c>
      <c r="N200" s="1">
        <v>174</v>
      </c>
      <c r="O200" s="1">
        <v>175</v>
      </c>
      <c r="P200" s="1">
        <v>20.059999999999999</v>
      </c>
      <c r="Q200" s="1">
        <v>17.04</v>
      </c>
      <c r="R200" s="11" t="str">
        <f t="shared" si="0"/>
        <v>RB</v>
      </c>
    </row>
    <row r="201" spans="1:18" ht="14.25" customHeight="1" x14ac:dyDescent="0.25">
      <c r="A201" s="1">
        <v>197</v>
      </c>
      <c r="B201" s="1" t="s">
        <v>472</v>
      </c>
      <c r="C201" s="1" t="s">
        <v>405</v>
      </c>
      <c r="D201" s="1" t="s">
        <v>116</v>
      </c>
      <c r="E201" s="1" t="s">
        <v>36</v>
      </c>
      <c r="F201" s="1">
        <v>267</v>
      </c>
      <c r="G201" s="1">
        <v>287</v>
      </c>
      <c r="H201" s="1">
        <v>210</v>
      </c>
      <c r="I201" s="1">
        <v>248</v>
      </c>
      <c r="J201" s="1">
        <v>216</v>
      </c>
      <c r="K201" s="1">
        <v>241</v>
      </c>
      <c r="L201" s="1">
        <v>230</v>
      </c>
      <c r="M201" s="1">
        <v>221</v>
      </c>
      <c r="N201" s="1">
        <v>226</v>
      </c>
      <c r="O201" s="1">
        <v>223</v>
      </c>
      <c r="P201" s="1">
        <v>20.07</v>
      </c>
      <c r="Q201" s="1">
        <v>17.05</v>
      </c>
      <c r="R201" s="11" t="str">
        <f t="shared" si="0"/>
        <v>TE</v>
      </c>
    </row>
    <row r="202" spans="1:18" ht="14.25" customHeight="1" x14ac:dyDescent="0.25">
      <c r="A202" s="1">
        <v>198</v>
      </c>
      <c r="B202" s="1" t="s">
        <v>498</v>
      </c>
      <c r="C202" s="1" t="s">
        <v>532</v>
      </c>
      <c r="D202" s="1" t="s">
        <v>163</v>
      </c>
      <c r="E202" s="1" t="s">
        <v>36</v>
      </c>
      <c r="F202" s="1">
        <v>200</v>
      </c>
      <c r="G202" s="1">
        <v>242</v>
      </c>
      <c r="H202" s="1">
        <v>167</v>
      </c>
      <c r="I202" s="1">
        <v>215</v>
      </c>
      <c r="J202" s="1">
        <v>211</v>
      </c>
      <c r="K202" s="1">
        <v>227</v>
      </c>
      <c r="L202" s="1" t="s">
        <v>36</v>
      </c>
      <c r="M202" s="1">
        <v>186</v>
      </c>
      <c r="N202" s="1">
        <v>190</v>
      </c>
      <c r="O202" s="1">
        <v>182</v>
      </c>
      <c r="P202" s="1">
        <v>20.079999999999998</v>
      </c>
      <c r="Q202" s="1">
        <v>17.059999999999999</v>
      </c>
      <c r="R202" s="11" t="str">
        <f t="shared" si="0"/>
        <v>TE</v>
      </c>
    </row>
    <row r="203" spans="1:18" ht="14.25" customHeight="1" x14ac:dyDescent="0.25">
      <c r="A203" s="1">
        <v>199</v>
      </c>
      <c r="B203" s="1" t="s">
        <v>515</v>
      </c>
      <c r="C203" s="1" t="s">
        <v>547</v>
      </c>
      <c r="D203" s="1" t="s">
        <v>214</v>
      </c>
      <c r="E203" s="1">
        <v>136</v>
      </c>
      <c r="F203" s="1">
        <v>171</v>
      </c>
      <c r="G203" s="1">
        <v>247</v>
      </c>
      <c r="H203" s="1">
        <v>258</v>
      </c>
      <c r="I203" s="1">
        <v>199</v>
      </c>
      <c r="J203" s="1">
        <v>170</v>
      </c>
      <c r="K203" s="1">
        <v>243</v>
      </c>
      <c r="L203" s="1">
        <v>220</v>
      </c>
      <c r="M203" s="1">
        <v>194</v>
      </c>
      <c r="N203" s="1" t="s">
        <v>36</v>
      </c>
      <c r="O203" s="1" t="s">
        <v>36</v>
      </c>
      <c r="P203" s="1">
        <v>20.09</v>
      </c>
      <c r="Q203" s="1">
        <v>17.07</v>
      </c>
      <c r="R203" s="11" t="str">
        <f t="shared" si="0"/>
        <v>DE</v>
      </c>
    </row>
    <row r="204" spans="1:18" ht="14.25" customHeight="1" x14ac:dyDescent="0.25">
      <c r="A204" s="1">
        <v>200</v>
      </c>
      <c r="B204" s="1" t="s">
        <v>494</v>
      </c>
      <c r="C204" s="1" t="s">
        <v>1099</v>
      </c>
      <c r="D204" s="1" t="s">
        <v>94</v>
      </c>
      <c r="E204" s="1" t="s">
        <v>36</v>
      </c>
      <c r="F204" s="1" t="s">
        <v>36</v>
      </c>
      <c r="G204" s="1">
        <v>314</v>
      </c>
      <c r="H204" s="1">
        <v>174</v>
      </c>
      <c r="I204" s="1">
        <v>186</v>
      </c>
      <c r="J204" s="1">
        <v>264</v>
      </c>
      <c r="K204" s="1">
        <v>186</v>
      </c>
      <c r="L204" s="1">
        <v>211</v>
      </c>
      <c r="M204" s="1">
        <v>204</v>
      </c>
      <c r="N204" s="1">
        <v>155</v>
      </c>
      <c r="O204" s="1">
        <v>157</v>
      </c>
      <c r="P204" s="1">
        <v>20.100000000000001</v>
      </c>
      <c r="Q204" s="1">
        <v>17.079999999999998</v>
      </c>
      <c r="R204" s="11" t="str">
        <f t="shared" si="0"/>
        <v>WR</v>
      </c>
    </row>
    <row r="205" spans="1:18" ht="14.25" customHeight="1" x14ac:dyDescent="0.25">
      <c r="A205" s="1">
        <v>201</v>
      </c>
      <c r="B205" s="1" t="s">
        <v>524</v>
      </c>
      <c r="C205" s="1" t="s">
        <v>278</v>
      </c>
      <c r="D205" s="1" t="s">
        <v>49</v>
      </c>
      <c r="E205" s="1" t="s">
        <v>36</v>
      </c>
      <c r="F205" s="1" t="s">
        <v>36</v>
      </c>
      <c r="G205" s="1">
        <v>248</v>
      </c>
      <c r="H205" s="1">
        <v>176</v>
      </c>
      <c r="I205" s="1">
        <v>181</v>
      </c>
      <c r="J205" s="1">
        <v>245</v>
      </c>
      <c r="K205" s="1">
        <v>200</v>
      </c>
      <c r="L205" s="1">
        <v>179</v>
      </c>
      <c r="M205" s="1">
        <v>202</v>
      </c>
      <c r="N205" s="1">
        <v>216</v>
      </c>
      <c r="O205" s="1">
        <v>210</v>
      </c>
      <c r="P205" s="1">
        <v>21.01</v>
      </c>
      <c r="Q205" s="1">
        <v>17.09</v>
      </c>
      <c r="R205" s="11" t="str">
        <f t="shared" si="0"/>
        <v>RB</v>
      </c>
    </row>
    <row r="206" spans="1:18" ht="14.25" customHeight="1" x14ac:dyDescent="0.25">
      <c r="A206" s="1">
        <v>202</v>
      </c>
      <c r="B206" s="1" t="s">
        <v>518</v>
      </c>
      <c r="C206" s="1" t="s">
        <v>476</v>
      </c>
      <c r="D206" s="1" t="s">
        <v>52</v>
      </c>
      <c r="E206" s="1">
        <v>196</v>
      </c>
      <c r="F206" s="1">
        <v>142</v>
      </c>
      <c r="G206" s="1">
        <v>273</v>
      </c>
      <c r="H206" s="1">
        <v>268</v>
      </c>
      <c r="I206" s="1">
        <v>225</v>
      </c>
      <c r="J206" s="1">
        <v>179</v>
      </c>
      <c r="K206" s="1">
        <v>183</v>
      </c>
      <c r="L206" s="1">
        <v>197</v>
      </c>
      <c r="M206" s="1">
        <v>209</v>
      </c>
      <c r="N206" s="1" t="s">
        <v>36</v>
      </c>
      <c r="O206" s="1" t="s">
        <v>36</v>
      </c>
      <c r="P206" s="1">
        <v>21.02</v>
      </c>
      <c r="Q206" s="1">
        <v>17.100000000000001</v>
      </c>
      <c r="R206" s="11" t="str">
        <f t="shared" si="0"/>
        <v>DE</v>
      </c>
    </row>
    <row r="207" spans="1:18" ht="14.25" customHeight="1" x14ac:dyDescent="0.25">
      <c r="A207" s="1">
        <v>203</v>
      </c>
      <c r="B207" s="1" t="s">
        <v>531</v>
      </c>
      <c r="C207" s="1" t="s">
        <v>656</v>
      </c>
      <c r="D207" s="1" t="s">
        <v>145</v>
      </c>
      <c r="E207" s="1" t="s">
        <v>36</v>
      </c>
      <c r="F207" s="1" t="s">
        <v>36</v>
      </c>
      <c r="G207" s="1">
        <v>282</v>
      </c>
      <c r="H207" s="1">
        <v>160</v>
      </c>
      <c r="I207" s="1">
        <v>198</v>
      </c>
      <c r="J207" s="1">
        <v>271</v>
      </c>
      <c r="K207" s="1">
        <v>197</v>
      </c>
      <c r="L207" s="1">
        <v>219</v>
      </c>
      <c r="M207" s="1">
        <v>190</v>
      </c>
      <c r="N207" s="1">
        <v>177</v>
      </c>
      <c r="O207" s="1">
        <v>184</v>
      </c>
      <c r="P207" s="1">
        <v>21.03</v>
      </c>
      <c r="Q207" s="1">
        <v>17.11</v>
      </c>
      <c r="R207" s="11" t="str">
        <f t="shared" si="0"/>
        <v>TE</v>
      </c>
    </row>
    <row r="208" spans="1:18" ht="14.25" customHeight="1" x14ac:dyDescent="0.25">
      <c r="A208" s="1">
        <v>204</v>
      </c>
      <c r="B208" s="1" t="s">
        <v>522</v>
      </c>
      <c r="C208" s="1" t="s">
        <v>519</v>
      </c>
      <c r="D208" s="1" t="s">
        <v>88</v>
      </c>
      <c r="E208" s="1">
        <v>174</v>
      </c>
      <c r="F208" s="1">
        <v>244</v>
      </c>
      <c r="G208" s="1">
        <v>251</v>
      </c>
      <c r="H208" s="1">
        <v>273</v>
      </c>
      <c r="I208" s="1">
        <v>197</v>
      </c>
      <c r="J208" s="1">
        <v>158</v>
      </c>
      <c r="K208" s="1">
        <v>246</v>
      </c>
      <c r="L208" s="1">
        <v>187</v>
      </c>
      <c r="M208" s="1">
        <v>195</v>
      </c>
      <c r="N208" s="1" t="s">
        <v>36</v>
      </c>
      <c r="O208" s="1" t="s">
        <v>36</v>
      </c>
      <c r="P208" s="1">
        <v>21.04</v>
      </c>
      <c r="Q208" s="1">
        <v>17.12</v>
      </c>
      <c r="R208" s="11" t="str">
        <f t="shared" si="0"/>
        <v>DE</v>
      </c>
    </row>
    <row r="209" spans="1:18" ht="14.25" customHeight="1" x14ac:dyDescent="0.25">
      <c r="A209" s="1">
        <v>205</v>
      </c>
      <c r="B209" s="1" t="s">
        <v>535</v>
      </c>
      <c r="C209" s="1" t="s">
        <v>625</v>
      </c>
      <c r="D209" s="1" t="s">
        <v>44</v>
      </c>
      <c r="E209" s="1" t="s">
        <v>36</v>
      </c>
      <c r="F209" s="1" t="s">
        <v>36</v>
      </c>
      <c r="G209" s="1">
        <v>237</v>
      </c>
      <c r="H209" s="1">
        <v>180</v>
      </c>
      <c r="I209" s="1">
        <v>220</v>
      </c>
      <c r="J209" s="1">
        <v>265</v>
      </c>
      <c r="K209" s="1">
        <v>209</v>
      </c>
      <c r="L209" s="1">
        <v>233</v>
      </c>
      <c r="M209" s="1">
        <v>189</v>
      </c>
      <c r="N209" s="1">
        <v>206</v>
      </c>
      <c r="O209" s="1">
        <v>194</v>
      </c>
      <c r="P209" s="1">
        <v>21.05</v>
      </c>
      <c r="Q209" s="1">
        <v>18.010000000000002</v>
      </c>
      <c r="R209" s="11" t="str">
        <f t="shared" si="0"/>
        <v>TE</v>
      </c>
    </row>
    <row r="210" spans="1:18" ht="14.25" customHeight="1" x14ac:dyDescent="0.25">
      <c r="A210" s="1">
        <v>206</v>
      </c>
      <c r="B210" s="1" t="s">
        <v>529</v>
      </c>
      <c r="C210" s="1" t="s">
        <v>832</v>
      </c>
      <c r="D210" s="1" t="s">
        <v>44</v>
      </c>
      <c r="E210" s="1">
        <v>200</v>
      </c>
      <c r="F210" s="1" t="s">
        <v>36</v>
      </c>
      <c r="G210" s="1">
        <v>317</v>
      </c>
      <c r="H210" s="1">
        <v>173</v>
      </c>
      <c r="I210" s="1">
        <v>193</v>
      </c>
      <c r="J210" s="1" t="s">
        <v>36</v>
      </c>
      <c r="K210" s="1">
        <v>232</v>
      </c>
      <c r="L210" s="1">
        <v>204</v>
      </c>
      <c r="M210" s="1">
        <v>234</v>
      </c>
      <c r="N210" s="1">
        <v>193</v>
      </c>
      <c r="O210" s="1">
        <v>199</v>
      </c>
      <c r="P210" s="1">
        <v>21.06</v>
      </c>
      <c r="Q210" s="1">
        <v>18.02</v>
      </c>
      <c r="R210" s="11" t="str">
        <f t="shared" si="0"/>
        <v>RB</v>
      </c>
    </row>
    <row r="211" spans="1:18" ht="14.25" customHeight="1" x14ac:dyDescent="0.25">
      <c r="A211" s="1">
        <v>207</v>
      </c>
      <c r="B211" s="1" t="s">
        <v>542</v>
      </c>
      <c r="C211" s="1" t="s">
        <v>384</v>
      </c>
      <c r="D211" s="1" t="s">
        <v>91</v>
      </c>
      <c r="E211" s="1" t="s">
        <v>36</v>
      </c>
      <c r="F211" s="1" t="s">
        <v>36</v>
      </c>
      <c r="G211" s="1">
        <v>312</v>
      </c>
      <c r="H211" s="1">
        <v>166</v>
      </c>
      <c r="I211" s="1">
        <v>184</v>
      </c>
      <c r="J211" s="1">
        <v>283</v>
      </c>
      <c r="K211" s="1">
        <v>223</v>
      </c>
      <c r="L211" s="1">
        <v>205</v>
      </c>
      <c r="M211" s="1">
        <v>228</v>
      </c>
      <c r="N211" s="1">
        <v>184</v>
      </c>
      <c r="O211" s="1">
        <v>183</v>
      </c>
      <c r="P211" s="1">
        <v>21.07</v>
      </c>
      <c r="Q211" s="1">
        <v>18.03</v>
      </c>
      <c r="R211" s="11" t="str">
        <f t="shared" si="0"/>
        <v>RB</v>
      </c>
    </row>
    <row r="212" spans="1:18" ht="14.25" customHeight="1" x14ac:dyDescent="0.25">
      <c r="A212" s="1">
        <v>208</v>
      </c>
      <c r="B212" s="1" t="s">
        <v>544</v>
      </c>
      <c r="C212" s="1" t="s">
        <v>805</v>
      </c>
      <c r="D212" s="1" t="s">
        <v>60</v>
      </c>
      <c r="E212" s="1" t="s">
        <v>36</v>
      </c>
      <c r="F212" s="1" t="s">
        <v>36</v>
      </c>
      <c r="G212" s="1">
        <v>255</v>
      </c>
      <c r="H212" s="1">
        <v>178</v>
      </c>
      <c r="I212" s="1">
        <v>192</v>
      </c>
      <c r="J212" s="1">
        <v>316</v>
      </c>
      <c r="K212" s="1">
        <v>237</v>
      </c>
      <c r="L212" s="1">
        <v>202</v>
      </c>
      <c r="M212" s="1">
        <v>230</v>
      </c>
      <c r="N212" s="1">
        <v>192</v>
      </c>
      <c r="O212" s="1">
        <v>189</v>
      </c>
      <c r="P212" s="1">
        <v>21.08</v>
      </c>
      <c r="Q212" s="1">
        <v>18.04</v>
      </c>
      <c r="R212" s="11" t="str">
        <f t="shared" si="0"/>
        <v>RB</v>
      </c>
    </row>
    <row r="213" spans="1:18" ht="14.25" customHeight="1" x14ac:dyDescent="0.25">
      <c r="A213" s="1">
        <v>209</v>
      </c>
      <c r="B213" s="1" t="s">
        <v>557</v>
      </c>
      <c r="C213" s="1" t="s">
        <v>662</v>
      </c>
      <c r="D213" s="1" t="s">
        <v>129</v>
      </c>
      <c r="E213" s="1">
        <v>202</v>
      </c>
      <c r="F213" s="1" t="s">
        <v>36</v>
      </c>
      <c r="G213" s="1">
        <v>233</v>
      </c>
      <c r="H213" s="1">
        <v>189</v>
      </c>
      <c r="I213" s="1">
        <v>206</v>
      </c>
      <c r="J213" s="1" t="s">
        <v>36</v>
      </c>
      <c r="K213" s="1">
        <v>266</v>
      </c>
      <c r="L213" s="1">
        <v>227</v>
      </c>
      <c r="M213" s="1">
        <v>259</v>
      </c>
      <c r="N213" s="1">
        <v>209</v>
      </c>
      <c r="O213" s="1">
        <v>205</v>
      </c>
      <c r="P213" s="1">
        <v>21.09</v>
      </c>
      <c r="Q213" s="1">
        <v>18.05</v>
      </c>
      <c r="R213" s="11" t="str">
        <f t="shared" si="0"/>
        <v>RB</v>
      </c>
    </row>
    <row r="214" spans="1:18" ht="14.25" customHeight="1" x14ac:dyDescent="0.25">
      <c r="A214" s="1">
        <v>210</v>
      </c>
      <c r="B214" s="1" t="s">
        <v>503</v>
      </c>
      <c r="C214" s="1" t="s">
        <v>358</v>
      </c>
      <c r="D214" s="1" t="s">
        <v>160</v>
      </c>
      <c r="E214" s="1" t="s">
        <v>36</v>
      </c>
      <c r="F214" s="1" t="s">
        <v>36</v>
      </c>
      <c r="G214" s="1">
        <v>272</v>
      </c>
      <c r="H214" s="1">
        <v>207</v>
      </c>
      <c r="I214" s="1">
        <v>219</v>
      </c>
      <c r="J214" s="1">
        <v>329</v>
      </c>
      <c r="K214" s="1">
        <v>264</v>
      </c>
      <c r="L214" s="1">
        <v>183</v>
      </c>
      <c r="M214" s="1">
        <v>208</v>
      </c>
      <c r="N214" s="1">
        <v>171</v>
      </c>
      <c r="O214" s="1">
        <v>168</v>
      </c>
      <c r="P214" s="1">
        <v>21.1</v>
      </c>
      <c r="Q214" s="1">
        <v>18.059999999999999</v>
      </c>
      <c r="R214" s="11" t="str">
        <f t="shared" si="0"/>
        <v>WR</v>
      </c>
    </row>
    <row r="215" spans="1:18" ht="14.25" customHeight="1" x14ac:dyDescent="0.25">
      <c r="A215" s="1">
        <v>211</v>
      </c>
      <c r="B215" s="1" t="s">
        <v>507</v>
      </c>
      <c r="C215" s="1" t="s">
        <v>817</v>
      </c>
      <c r="D215" s="1" t="s">
        <v>229</v>
      </c>
      <c r="E215" s="1" t="s">
        <v>36</v>
      </c>
      <c r="F215" s="1" t="s">
        <v>36</v>
      </c>
      <c r="G215" s="1">
        <v>274</v>
      </c>
      <c r="H215" s="1">
        <v>211</v>
      </c>
      <c r="I215" s="1">
        <v>204</v>
      </c>
      <c r="J215" s="1">
        <v>330</v>
      </c>
      <c r="K215" s="1">
        <v>221</v>
      </c>
      <c r="L215" s="1">
        <v>209</v>
      </c>
      <c r="M215" s="1">
        <v>223</v>
      </c>
      <c r="N215" s="1">
        <v>183</v>
      </c>
      <c r="O215" s="1">
        <v>180</v>
      </c>
      <c r="P215" s="1">
        <v>22.01</v>
      </c>
      <c r="Q215" s="1">
        <v>18.07</v>
      </c>
      <c r="R215" s="11" t="str">
        <f t="shared" si="0"/>
        <v>WR</v>
      </c>
    </row>
    <row r="216" spans="1:18" ht="14.25" customHeight="1" x14ac:dyDescent="0.25">
      <c r="A216" s="1">
        <v>212</v>
      </c>
      <c r="B216" s="1" t="s">
        <v>546</v>
      </c>
      <c r="C216" s="1" t="s">
        <v>658</v>
      </c>
      <c r="D216" s="1" t="s">
        <v>55</v>
      </c>
      <c r="E216" s="1">
        <v>181</v>
      </c>
      <c r="F216" s="1">
        <v>188</v>
      </c>
      <c r="G216" s="1">
        <v>229</v>
      </c>
      <c r="H216" s="1">
        <v>230</v>
      </c>
      <c r="I216" s="1">
        <v>185</v>
      </c>
      <c r="J216" s="1">
        <v>76</v>
      </c>
      <c r="K216" s="1">
        <v>156</v>
      </c>
      <c r="L216" s="1" t="s">
        <v>36</v>
      </c>
      <c r="M216" s="1">
        <v>201</v>
      </c>
      <c r="N216" s="1" t="s">
        <v>36</v>
      </c>
      <c r="O216" s="1" t="s">
        <v>36</v>
      </c>
      <c r="P216" s="1">
        <v>22.02</v>
      </c>
      <c r="Q216" s="1">
        <v>18.079999999999998</v>
      </c>
      <c r="R216" s="11" t="str">
        <f t="shared" si="0"/>
        <v>DE</v>
      </c>
    </row>
    <row r="217" spans="1:18" ht="14.25" customHeight="1" x14ac:dyDescent="0.25">
      <c r="A217" s="1">
        <v>213</v>
      </c>
      <c r="B217" s="1" t="s">
        <v>587</v>
      </c>
      <c r="C217" s="1" t="s">
        <v>300</v>
      </c>
      <c r="D217" s="1" t="s">
        <v>126</v>
      </c>
      <c r="E217" s="1" t="s">
        <v>36</v>
      </c>
      <c r="F217" s="1">
        <v>209</v>
      </c>
      <c r="G217" s="1">
        <v>295</v>
      </c>
      <c r="H217" s="1">
        <v>219</v>
      </c>
      <c r="I217" s="1">
        <v>241</v>
      </c>
      <c r="J217" s="1">
        <v>237</v>
      </c>
      <c r="K217" s="1">
        <v>238</v>
      </c>
      <c r="L217" s="1" t="s">
        <v>36</v>
      </c>
      <c r="M217" s="1">
        <v>207</v>
      </c>
      <c r="N217" s="1">
        <v>196</v>
      </c>
      <c r="O217" s="1">
        <v>202</v>
      </c>
      <c r="P217" s="1">
        <v>22.03</v>
      </c>
      <c r="Q217" s="1">
        <v>18.09</v>
      </c>
      <c r="R217" s="11" t="str">
        <f t="shared" si="0"/>
        <v>QB</v>
      </c>
    </row>
    <row r="218" spans="1:18" ht="14.25" customHeight="1" x14ac:dyDescent="0.25">
      <c r="A218" s="1">
        <v>214</v>
      </c>
      <c r="B218" s="1" t="s">
        <v>509</v>
      </c>
      <c r="C218" s="1" t="s">
        <v>286</v>
      </c>
      <c r="D218" s="1" t="s">
        <v>60</v>
      </c>
      <c r="E218" s="1" t="s">
        <v>36</v>
      </c>
      <c r="F218" s="1" t="s">
        <v>36</v>
      </c>
      <c r="G218" s="1">
        <v>259</v>
      </c>
      <c r="H218" s="1">
        <v>260</v>
      </c>
      <c r="I218" s="1">
        <v>212</v>
      </c>
      <c r="J218" s="1">
        <v>256</v>
      </c>
      <c r="K218" s="1">
        <v>242</v>
      </c>
      <c r="L218" s="1">
        <v>210</v>
      </c>
      <c r="M218" s="1">
        <v>205</v>
      </c>
      <c r="N218" s="1">
        <v>200</v>
      </c>
      <c r="O218" s="1">
        <v>204</v>
      </c>
      <c r="P218" s="1">
        <v>22.04</v>
      </c>
      <c r="Q218" s="1">
        <v>18.100000000000001</v>
      </c>
      <c r="R218" s="11" t="str">
        <f t="shared" si="0"/>
        <v>WR</v>
      </c>
    </row>
    <row r="219" spans="1:18" ht="14.25" customHeight="1" x14ac:dyDescent="0.25">
      <c r="A219" s="1">
        <v>215</v>
      </c>
      <c r="B219" s="1" t="s">
        <v>513</v>
      </c>
      <c r="C219" s="1" t="s">
        <v>901</v>
      </c>
      <c r="D219" s="1" t="s">
        <v>91</v>
      </c>
      <c r="E219" s="1" t="s">
        <v>36</v>
      </c>
      <c r="F219" s="1" t="s">
        <v>36</v>
      </c>
      <c r="G219" s="1">
        <v>319</v>
      </c>
      <c r="H219" s="1">
        <v>229</v>
      </c>
      <c r="I219" s="1">
        <v>218</v>
      </c>
      <c r="J219" s="1">
        <v>191</v>
      </c>
      <c r="K219" s="1">
        <v>205</v>
      </c>
      <c r="L219" s="1">
        <v>243</v>
      </c>
      <c r="M219" s="1">
        <v>214</v>
      </c>
      <c r="N219" s="1">
        <v>225</v>
      </c>
      <c r="O219" s="1">
        <v>206</v>
      </c>
      <c r="P219" s="1">
        <v>22.05</v>
      </c>
      <c r="Q219" s="1">
        <v>18.11</v>
      </c>
      <c r="R219" s="11" t="str">
        <f t="shared" si="0"/>
        <v>WR</v>
      </c>
    </row>
    <row r="220" spans="1:18" ht="14.25" customHeight="1" x14ac:dyDescent="0.25">
      <c r="A220" s="1">
        <v>216</v>
      </c>
      <c r="B220" s="1" t="s">
        <v>550</v>
      </c>
      <c r="C220" s="1" t="s">
        <v>469</v>
      </c>
      <c r="D220" s="1" t="s">
        <v>49</v>
      </c>
      <c r="E220" s="1">
        <v>216</v>
      </c>
      <c r="F220" s="1">
        <v>238</v>
      </c>
      <c r="G220" s="1">
        <v>289</v>
      </c>
      <c r="H220" s="1">
        <v>253</v>
      </c>
      <c r="I220" s="1">
        <v>211</v>
      </c>
      <c r="J220" s="1">
        <v>195</v>
      </c>
      <c r="K220" s="1">
        <v>248</v>
      </c>
      <c r="L220" s="1">
        <v>212</v>
      </c>
      <c r="M220" s="1">
        <v>203</v>
      </c>
      <c r="N220" s="1" t="s">
        <v>36</v>
      </c>
      <c r="O220" s="1" t="s">
        <v>36</v>
      </c>
      <c r="P220" s="1">
        <v>22.06</v>
      </c>
      <c r="Q220" s="1">
        <v>18.12</v>
      </c>
      <c r="R220" s="11" t="str">
        <f t="shared" si="0"/>
        <v>DE</v>
      </c>
    </row>
    <row r="221" spans="1:18" ht="14.25" customHeight="1" x14ac:dyDescent="0.25">
      <c r="A221" s="1">
        <v>217</v>
      </c>
      <c r="B221" s="1" t="s">
        <v>540</v>
      </c>
      <c r="C221" s="1" t="s">
        <v>708</v>
      </c>
      <c r="D221" s="1" t="s">
        <v>52</v>
      </c>
      <c r="E221" s="1" t="s">
        <v>36</v>
      </c>
      <c r="F221" s="1" t="s">
        <v>36</v>
      </c>
      <c r="G221" s="1">
        <v>263</v>
      </c>
      <c r="H221" s="1">
        <v>187</v>
      </c>
      <c r="I221" s="1">
        <v>240</v>
      </c>
      <c r="J221" s="1">
        <v>272</v>
      </c>
      <c r="K221" s="1">
        <v>219</v>
      </c>
      <c r="L221" s="1">
        <v>235</v>
      </c>
      <c r="M221" s="1">
        <v>231</v>
      </c>
      <c r="N221" s="1">
        <v>208</v>
      </c>
      <c r="O221" s="1">
        <v>213</v>
      </c>
      <c r="P221" s="1">
        <v>22.07</v>
      </c>
      <c r="Q221" s="1">
        <v>19.010000000000002</v>
      </c>
      <c r="R221" s="11" t="str">
        <f t="shared" si="0"/>
        <v>TE</v>
      </c>
    </row>
    <row r="222" spans="1:18" ht="14.25" customHeight="1" x14ac:dyDescent="0.25">
      <c r="A222" s="1">
        <v>218</v>
      </c>
      <c r="B222" s="1" t="s">
        <v>533</v>
      </c>
      <c r="C222" s="1" t="s">
        <v>666</v>
      </c>
      <c r="D222" s="1" t="s">
        <v>52</v>
      </c>
      <c r="E222" s="1" t="s">
        <v>36</v>
      </c>
      <c r="F222" s="1" t="s">
        <v>36</v>
      </c>
      <c r="G222" s="1">
        <v>333</v>
      </c>
      <c r="H222" s="1">
        <v>200</v>
      </c>
      <c r="I222" s="1">
        <v>224</v>
      </c>
      <c r="J222" s="1">
        <v>331</v>
      </c>
      <c r="K222" s="1">
        <v>225</v>
      </c>
      <c r="L222" s="1">
        <v>195</v>
      </c>
      <c r="M222" s="1">
        <v>220</v>
      </c>
      <c r="N222" s="1">
        <v>182</v>
      </c>
      <c r="O222" s="1">
        <v>174</v>
      </c>
      <c r="P222" s="1">
        <v>22.08</v>
      </c>
      <c r="Q222" s="1">
        <v>19.02</v>
      </c>
      <c r="R222" s="11" t="str">
        <f t="shared" si="0"/>
        <v>WR</v>
      </c>
    </row>
    <row r="223" spans="1:18" ht="14.25" customHeight="1" x14ac:dyDescent="0.25">
      <c r="A223" s="1">
        <v>219</v>
      </c>
      <c r="B223" s="1" t="s">
        <v>565</v>
      </c>
      <c r="C223" s="1" t="s">
        <v>914</v>
      </c>
      <c r="D223" s="1" t="s">
        <v>145</v>
      </c>
      <c r="E223" s="1">
        <v>192</v>
      </c>
      <c r="F223" s="1">
        <v>206</v>
      </c>
      <c r="G223" s="1">
        <v>329</v>
      </c>
      <c r="H223" s="1">
        <v>272</v>
      </c>
      <c r="I223" s="1">
        <v>234</v>
      </c>
      <c r="J223" s="1">
        <v>213</v>
      </c>
      <c r="K223" s="1">
        <v>236</v>
      </c>
      <c r="L223" s="1">
        <v>194</v>
      </c>
      <c r="M223" s="1">
        <v>224</v>
      </c>
      <c r="N223" s="1" t="s">
        <v>36</v>
      </c>
      <c r="O223" s="1" t="s">
        <v>36</v>
      </c>
      <c r="P223" s="1">
        <v>22.09</v>
      </c>
      <c r="Q223" s="1">
        <v>19.03</v>
      </c>
      <c r="R223" s="11" t="str">
        <f t="shared" si="0"/>
        <v>DE</v>
      </c>
    </row>
    <row r="224" spans="1:18" ht="14.25" customHeight="1" x14ac:dyDescent="0.25">
      <c r="A224" s="1">
        <v>220</v>
      </c>
      <c r="B224" s="1" t="s">
        <v>610</v>
      </c>
      <c r="C224" s="1" t="s">
        <v>813</v>
      </c>
      <c r="D224" s="1" t="s">
        <v>60</v>
      </c>
      <c r="E224" s="1" t="s">
        <v>36</v>
      </c>
      <c r="F224" s="1">
        <v>241</v>
      </c>
      <c r="G224" s="1">
        <v>284</v>
      </c>
      <c r="H224" s="1">
        <v>248</v>
      </c>
      <c r="I224" s="1">
        <v>230</v>
      </c>
      <c r="J224" s="1">
        <v>228</v>
      </c>
      <c r="K224" s="1">
        <v>224</v>
      </c>
      <c r="L224" s="1" t="s">
        <v>36</v>
      </c>
      <c r="M224" s="1">
        <v>193</v>
      </c>
      <c r="N224" s="1">
        <v>227</v>
      </c>
      <c r="O224" s="1">
        <v>231</v>
      </c>
      <c r="P224" s="1">
        <v>22.1</v>
      </c>
      <c r="Q224" s="1">
        <v>19.04</v>
      </c>
      <c r="R224" s="11" t="str">
        <f t="shared" si="0"/>
        <v>QB</v>
      </c>
    </row>
    <row r="225" spans="1:18" ht="14.25" customHeight="1" x14ac:dyDescent="0.25">
      <c r="A225" s="1">
        <v>221</v>
      </c>
      <c r="B225" s="1" t="s">
        <v>618</v>
      </c>
      <c r="C225" s="1" t="s">
        <v>949</v>
      </c>
      <c r="D225" s="1" t="s">
        <v>126</v>
      </c>
      <c r="E225" s="1" t="s">
        <v>36</v>
      </c>
      <c r="F225" s="1">
        <v>239</v>
      </c>
      <c r="G225" s="1">
        <v>264</v>
      </c>
      <c r="H225" s="1">
        <v>243</v>
      </c>
      <c r="I225" s="1">
        <v>238</v>
      </c>
      <c r="J225" s="1">
        <v>225</v>
      </c>
      <c r="K225" s="1">
        <v>265</v>
      </c>
      <c r="L225" s="1" t="s">
        <v>36</v>
      </c>
      <c r="M225" s="1">
        <v>206</v>
      </c>
      <c r="N225" s="1">
        <v>217</v>
      </c>
      <c r="O225" s="1">
        <v>232</v>
      </c>
      <c r="P225" s="1">
        <v>23.01</v>
      </c>
      <c r="Q225" s="1">
        <v>19.05</v>
      </c>
      <c r="R225" s="11" t="str">
        <f t="shared" si="0"/>
        <v>QB</v>
      </c>
    </row>
    <row r="226" spans="1:18" ht="14.25" customHeight="1" x14ac:dyDescent="0.25">
      <c r="A226" s="1">
        <v>222</v>
      </c>
      <c r="B226" s="1" t="s">
        <v>601</v>
      </c>
      <c r="C226" s="1" t="s">
        <v>566</v>
      </c>
      <c r="D226" s="1" t="s">
        <v>69</v>
      </c>
      <c r="E226" s="1">
        <v>173</v>
      </c>
      <c r="F226" s="1">
        <v>201</v>
      </c>
      <c r="G226" s="1">
        <v>344</v>
      </c>
      <c r="H226" s="1">
        <v>278</v>
      </c>
      <c r="I226" s="1">
        <v>239</v>
      </c>
      <c r="J226" s="1">
        <v>165</v>
      </c>
      <c r="K226" s="1">
        <v>285</v>
      </c>
      <c r="L226" s="1">
        <v>240</v>
      </c>
      <c r="M226" s="1">
        <v>217</v>
      </c>
      <c r="N226" s="1" t="s">
        <v>36</v>
      </c>
      <c r="O226" s="1" t="s">
        <v>36</v>
      </c>
      <c r="P226" s="1">
        <v>23.02</v>
      </c>
      <c r="Q226" s="1">
        <v>19.059999999999999</v>
      </c>
      <c r="R226" s="11" t="str">
        <f t="shared" si="0"/>
        <v>DE</v>
      </c>
    </row>
    <row r="227" spans="1:18" ht="14.25" customHeight="1" x14ac:dyDescent="0.25">
      <c r="A227" s="1">
        <v>223</v>
      </c>
      <c r="B227" s="1" t="s">
        <v>554</v>
      </c>
      <c r="C227" s="1" t="s">
        <v>824</v>
      </c>
      <c r="D227" s="1" t="s">
        <v>126</v>
      </c>
      <c r="E227" s="1" t="s">
        <v>36</v>
      </c>
      <c r="F227" s="1" t="s">
        <v>36</v>
      </c>
      <c r="G227" s="1">
        <v>328</v>
      </c>
      <c r="H227" s="1">
        <v>201</v>
      </c>
      <c r="I227" s="1">
        <v>243</v>
      </c>
      <c r="J227" s="1">
        <v>294</v>
      </c>
      <c r="K227" s="1">
        <v>267</v>
      </c>
      <c r="L227" s="1">
        <v>200</v>
      </c>
      <c r="M227" s="1">
        <v>215</v>
      </c>
      <c r="N227" s="1">
        <v>207</v>
      </c>
      <c r="O227" s="1">
        <v>203</v>
      </c>
      <c r="P227" s="1">
        <v>23.03</v>
      </c>
      <c r="Q227" s="1">
        <v>19.07</v>
      </c>
      <c r="R227" s="11" t="str">
        <f t="shared" si="0"/>
        <v>TE</v>
      </c>
    </row>
    <row r="228" spans="1:18" ht="14.25" customHeight="1" x14ac:dyDescent="0.25">
      <c r="A228" s="1">
        <v>224</v>
      </c>
      <c r="B228" s="1" t="s">
        <v>526</v>
      </c>
      <c r="C228" s="1" t="s">
        <v>527</v>
      </c>
      <c r="D228" s="1" t="s">
        <v>69</v>
      </c>
      <c r="E228" s="1">
        <v>104</v>
      </c>
      <c r="F228" s="1">
        <v>104</v>
      </c>
      <c r="G228" s="1">
        <v>154</v>
      </c>
      <c r="H228" s="1">
        <v>205</v>
      </c>
      <c r="I228" s="1" t="s">
        <v>36</v>
      </c>
      <c r="J228" s="1">
        <v>71</v>
      </c>
      <c r="K228" s="1">
        <v>131</v>
      </c>
      <c r="L228" s="1">
        <v>181</v>
      </c>
      <c r="M228" s="1" t="s">
        <v>36</v>
      </c>
      <c r="N228" s="1" t="s">
        <v>36</v>
      </c>
      <c r="O228" s="1" t="s">
        <v>36</v>
      </c>
      <c r="P228" s="1">
        <v>23.04</v>
      </c>
      <c r="Q228" s="1">
        <v>19.079999999999998</v>
      </c>
      <c r="R228" s="11" t="str">
        <f t="shared" si="0"/>
        <v>K-</v>
      </c>
    </row>
    <row r="229" spans="1:18" ht="14.25" customHeight="1" x14ac:dyDescent="0.25">
      <c r="A229" s="1">
        <v>225</v>
      </c>
      <c r="B229" s="1" t="s">
        <v>538</v>
      </c>
      <c r="C229" s="1" t="s">
        <v>268</v>
      </c>
      <c r="D229" s="1" t="s">
        <v>123</v>
      </c>
      <c r="E229" s="1" t="s">
        <v>36</v>
      </c>
      <c r="F229" s="1" t="s">
        <v>36</v>
      </c>
      <c r="G229" s="1">
        <v>304</v>
      </c>
      <c r="H229" s="1">
        <v>218</v>
      </c>
      <c r="I229" s="1">
        <v>213</v>
      </c>
      <c r="J229" s="1">
        <v>335</v>
      </c>
      <c r="K229" s="1">
        <v>252</v>
      </c>
      <c r="L229" s="1">
        <v>241</v>
      </c>
      <c r="M229" s="1">
        <v>210</v>
      </c>
      <c r="N229" s="1">
        <v>219</v>
      </c>
      <c r="O229" s="1">
        <v>195</v>
      </c>
      <c r="P229" s="1">
        <v>23.05</v>
      </c>
      <c r="Q229" s="1">
        <v>19.09</v>
      </c>
      <c r="R229" s="11" t="str">
        <f t="shared" si="0"/>
        <v>WR</v>
      </c>
    </row>
    <row r="230" spans="1:18" ht="14.25" customHeight="1" x14ac:dyDescent="0.25">
      <c r="A230" s="1">
        <v>226</v>
      </c>
      <c r="B230" s="1" t="s">
        <v>561</v>
      </c>
      <c r="C230" s="1" t="s">
        <v>896</v>
      </c>
      <c r="D230" s="1" t="s">
        <v>94</v>
      </c>
      <c r="E230" s="1">
        <v>191</v>
      </c>
      <c r="F230" s="1" t="s">
        <v>36</v>
      </c>
      <c r="G230" s="1">
        <v>288</v>
      </c>
      <c r="H230" s="1">
        <v>221</v>
      </c>
      <c r="I230" s="1">
        <v>242</v>
      </c>
      <c r="J230" s="1">
        <v>247</v>
      </c>
      <c r="K230" s="1">
        <v>260</v>
      </c>
      <c r="L230" s="1" t="s">
        <v>36</v>
      </c>
      <c r="M230" s="1">
        <v>272</v>
      </c>
      <c r="N230" s="1">
        <v>245</v>
      </c>
      <c r="O230" s="1">
        <v>252</v>
      </c>
      <c r="P230" s="1">
        <v>23.06</v>
      </c>
      <c r="Q230" s="1">
        <v>19.100000000000001</v>
      </c>
      <c r="R230" s="11" t="str">
        <f t="shared" si="0"/>
        <v>RB</v>
      </c>
    </row>
    <row r="231" spans="1:18" ht="14.25" customHeight="1" x14ac:dyDescent="0.25">
      <c r="A231" s="1">
        <v>227</v>
      </c>
      <c r="B231" s="1" t="s">
        <v>569</v>
      </c>
      <c r="C231" s="1" t="s">
        <v>967</v>
      </c>
      <c r="D231" s="1" t="s">
        <v>160</v>
      </c>
      <c r="E231" s="1" t="s">
        <v>36</v>
      </c>
      <c r="F231" s="1">
        <v>347</v>
      </c>
      <c r="G231" s="1">
        <v>318</v>
      </c>
      <c r="H231" s="1">
        <v>204</v>
      </c>
      <c r="I231" s="1">
        <v>247</v>
      </c>
      <c r="J231" s="1" t="s">
        <v>36</v>
      </c>
      <c r="K231" s="1">
        <v>254</v>
      </c>
      <c r="L231" s="1">
        <v>231</v>
      </c>
      <c r="M231" s="1">
        <v>233</v>
      </c>
      <c r="N231" s="1">
        <v>198</v>
      </c>
      <c r="O231" s="1">
        <v>193</v>
      </c>
      <c r="P231" s="1">
        <v>23.07</v>
      </c>
      <c r="Q231" s="1">
        <v>19.11</v>
      </c>
      <c r="R231" s="11" t="str">
        <f t="shared" si="0"/>
        <v>TE</v>
      </c>
    </row>
    <row r="232" spans="1:18" ht="14.25" customHeight="1" x14ac:dyDescent="0.25">
      <c r="A232" s="1">
        <v>228</v>
      </c>
      <c r="B232" s="1" t="s">
        <v>591</v>
      </c>
      <c r="C232" s="1" t="s">
        <v>970</v>
      </c>
      <c r="D232" s="1" t="s">
        <v>69</v>
      </c>
      <c r="E232" s="1" t="s">
        <v>36</v>
      </c>
      <c r="F232" s="1" t="s">
        <v>36</v>
      </c>
      <c r="G232" s="1">
        <v>276</v>
      </c>
      <c r="H232" s="1">
        <v>256</v>
      </c>
      <c r="I232" s="1">
        <v>233</v>
      </c>
      <c r="J232" s="1">
        <v>276</v>
      </c>
      <c r="K232" s="1">
        <v>222</v>
      </c>
      <c r="L232" s="1">
        <v>215</v>
      </c>
      <c r="M232" s="1">
        <v>261</v>
      </c>
      <c r="N232" s="1">
        <v>249</v>
      </c>
      <c r="O232" s="1">
        <v>245</v>
      </c>
      <c r="P232" s="1">
        <v>23.08</v>
      </c>
      <c r="Q232" s="1">
        <v>19.12</v>
      </c>
      <c r="R232" s="11" t="str">
        <f t="shared" si="0"/>
        <v>RB</v>
      </c>
    </row>
    <row r="233" spans="1:18" ht="14.25" customHeight="1" x14ac:dyDescent="0.25">
      <c r="A233" s="1">
        <v>229</v>
      </c>
      <c r="B233" s="1" t="s">
        <v>624</v>
      </c>
      <c r="C233" s="1" t="s">
        <v>811</v>
      </c>
      <c r="D233" s="1" t="s">
        <v>155</v>
      </c>
      <c r="E233" s="1" t="s">
        <v>36</v>
      </c>
      <c r="F233" s="1">
        <v>225</v>
      </c>
      <c r="G233" s="1">
        <v>290</v>
      </c>
      <c r="H233" s="1">
        <v>259</v>
      </c>
      <c r="I233" s="1">
        <v>266</v>
      </c>
      <c r="J233" s="1">
        <v>229</v>
      </c>
      <c r="K233" s="1">
        <v>271</v>
      </c>
      <c r="L233" s="1" t="s">
        <v>36</v>
      </c>
      <c r="M233" s="1">
        <v>244</v>
      </c>
      <c r="N233" s="1">
        <v>258</v>
      </c>
      <c r="O233" s="1">
        <v>249</v>
      </c>
      <c r="P233" s="1">
        <v>23.09</v>
      </c>
      <c r="Q233" s="1">
        <v>20.010000000000002</v>
      </c>
      <c r="R233" s="11" t="str">
        <f t="shared" si="0"/>
        <v>TE</v>
      </c>
    </row>
    <row r="234" spans="1:18" ht="14.25" customHeight="1" x14ac:dyDescent="0.25">
      <c r="A234" s="1">
        <v>230</v>
      </c>
      <c r="B234" s="1" t="s">
        <v>548</v>
      </c>
      <c r="C234" s="1" t="s">
        <v>576</v>
      </c>
      <c r="D234" s="1" t="s">
        <v>168</v>
      </c>
      <c r="E234" s="1" t="s">
        <v>36</v>
      </c>
      <c r="F234" s="1" t="s">
        <v>36</v>
      </c>
      <c r="G234" s="1">
        <v>321</v>
      </c>
      <c r="H234" s="1">
        <v>192</v>
      </c>
      <c r="I234" s="1">
        <v>189</v>
      </c>
      <c r="J234" s="1" t="s">
        <v>36</v>
      </c>
      <c r="K234" s="1">
        <v>230</v>
      </c>
      <c r="L234" s="1">
        <v>208</v>
      </c>
      <c r="M234" s="1">
        <v>211</v>
      </c>
      <c r="N234" s="1">
        <v>159</v>
      </c>
      <c r="O234" s="1">
        <v>178</v>
      </c>
      <c r="P234" s="1">
        <v>23.1</v>
      </c>
      <c r="Q234" s="1">
        <v>20.02</v>
      </c>
      <c r="R234" s="11" t="str">
        <f t="shared" si="0"/>
        <v>WR</v>
      </c>
    </row>
    <row r="235" spans="1:18" ht="14.25" customHeight="1" x14ac:dyDescent="0.25">
      <c r="A235" s="1">
        <v>231</v>
      </c>
      <c r="B235" s="1" t="s">
        <v>559</v>
      </c>
      <c r="C235" s="1" t="s">
        <v>578</v>
      </c>
      <c r="D235" s="1" t="s">
        <v>35</v>
      </c>
      <c r="E235" s="1">
        <v>170</v>
      </c>
      <c r="F235" s="1">
        <v>101</v>
      </c>
      <c r="G235" s="1">
        <v>152</v>
      </c>
      <c r="H235" s="1">
        <v>225</v>
      </c>
      <c r="I235" s="1" t="s">
        <v>36</v>
      </c>
      <c r="J235" s="1">
        <v>104</v>
      </c>
      <c r="K235" s="1">
        <v>133</v>
      </c>
      <c r="L235" s="1">
        <v>196</v>
      </c>
      <c r="M235" s="1" t="s">
        <v>36</v>
      </c>
      <c r="N235" s="1" t="s">
        <v>36</v>
      </c>
      <c r="O235" s="1" t="s">
        <v>36</v>
      </c>
      <c r="P235" s="1">
        <v>24.01</v>
      </c>
      <c r="Q235" s="1">
        <v>20.03</v>
      </c>
      <c r="R235" s="11" t="str">
        <f t="shared" si="0"/>
        <v>K-</v>
      </c>
    </row>
    <row r="236" spans="1:18" ht="14.25" customHeight="1" x14ac:dyDescent="0.25">
      <c r="A236" s="1">
        <v>232</v>
      </c>
      <c r="B236" s="1" t="s">
        <v>599</v>
      </c>
      <c r="C236" s="1" t="s">
        <v>530</v>
      </c>
      <c r="D236" s="1" t="s">
        <v>91</v>
      </c>
      <c r="E236" s="1" t="s">
        <v>36</v>
      </c>
      <c r="F236" s="1" t="s">
        <v>36</v>
      </c>
      <c r="G236" s="1">
        <v>278</v>
      </c>
      <c r="H236" s="1">
        <v>193</v>
      </c>
      <c r="I236" s="1">
        <v>190</v>
      </c>
      <c r="J236" s="1">
        <v>232</v>
      </c>
      <c r="K236" s="1">
        <v>213</v>
      </c>
      <c r="L236" s="1" t="s">
        <v>36</v>
      </c>
      <c r="M236" s="1">
        <v>197</v>
      </c>
      <c r="N236" s="1">
        <v>205</v>
      </c>
      <c r="O236" s="1">
        <v>221</v>
      </c>
      <c r="P236" s="1">
        <v>24.02</v>
      </c>
      <c r="Q236" s="1">
        <v>20.04</v>
      </c>
      <c r="R236" s="11" t="str">
        <f t="shared" si="0"/>
        <v>RB</v>
      </c>
    </row>
    <row r="237" spans="1:18" ht="14.25" customHeight="1" x14ac:dyDescent="0.25">
      <c r="A237" s="1">
        <v>233</v>
      </c>
      <c r="B237" s="1" t="s">
        <v>605</v>
      </c>
      <c r="C237" s="1" t="s">
        <v>316</v>
      </c>
      <c r="D237" s="1" t="s">
        <v>155</v>
      </c>
      <c r="E237" s="1" t="s">
        <v>36</v>
      </c>
      <c r="F237" s="1" t="s">
        <v>36</v>
      </c>
      <c r="G237" s="1" t="s">
        <v>36</v>
      </c>
      <c r="H237" s="1">
        <v>184</v>
      </c>
      <c r="I237" s="1">
        <v>203</v>
      </c>
      <c r="J237" s="1">
        <v>324</v>
      </c>
      <c r="K237" s="1">
        <v>211</v>
      </c>
      <c r="L237" s="1">
        <v>184</v>
      </c>
      <c r="M237" s="1">
        <v>232</v>
      </c>
      <c r="N237" s="1">
        <v>201</v>
      </c>
      <c r="O237" s="1">
        <v>200</v>
      </c>
      <c r="P237" s="1">
        <v>24.03</v>
      </c>
      <c r="Q237" s="1">
        <v>20.05</v>
      </c>
      <c r="R237" s="11" t="str">
        <f t="shared" si="0"/>
        <v>RB</v>
      </c>
    </row>
    <row r="238" spans="1:18" ht="14.25" customHeight="1" x14ac:dyDescent="0.25">
      <c r="A238" s="1">
        <v>234</v>
      </c>
      <c r="B238" s="1" t="s">
        <v>563</v>
      </c>
      <c r="C238" s="1" t="s">
        <v>568</v>
      </c>
      <c r="D238" s="1" t="s">
        <v>88</v>
      </c>
      <c r="E238" s="1">
        <v>157</v>
      </c>
      <c r="F238" s="1">
        <v>117</v>
      </c>
      <c r="G238" s="1">
        <v>214</v>
      </c>
      <c r="H238" s="1">
        <v>217</v>
      </c>
      <c r="I238" s="1" t="s">
        <v>36</v>
      </c>
      <c r="J238" s="1">
        <v>79</v>
      </c>
      <c r="K238" s="1">
        <v>132</v>
      </c>
      <c r="L238" s="1">
        <v>193</v>
      </c>
      <c r="M238" s="1" t="s">
        <v>36</v>
      </c>
      <c r="N238" s="1" t="s">
        <v>36</v>
      </c>
      <c r="O238" s="1" t="s">
        <v>36</v>
      </c>
      <c r="P238" s="1">
        <v>24.04</v>
      </c>
      <c r="Q238" s="1">
        <v>20.059999999999999</v>
      </c>
      <c r="R238" s="11" t="str">
        <f t="shared" si="0"/>
        <v>K-</v>
      </c>
    </row>
    <row r="239" spans="1:18" ht="14.25" customHeight="1" x14ac:dyDescent="0.25">
      <c r="A239" s="1">
        <v>235</v>
      </c>
      <c r="B239" s="1" t="s">
        <v>612</v>
      </c>
      <c r="C239" s="1" t="s">
        <v>342</v>
      </c>
      <c r="D239" s="1" t="s">
        <v>214</v>
      </c>
      <c r="E239" s="1" t="s">
        <v>36</v>
      </c>
      <c r="F239" s="1" t="s">
        <v>36</v>
      </c>
      <c r="G239" s="1">
        <v>296</v>
      </c>
      <c r="H239" s="1">
        <v>255</v>
      </c>
      <c r="I239" s="1">
        <v>235</v>
      </c>
      <c r="J239" s="1">
        <v>315</v>
      </c>
      <c r="K239" s="1">
        <v>247</v>
      </c>
      <c r="L239" s="1">
        <v>207</v>
      </c>
      <c r="M239" s="1">
        <v>245</v>
      </c>
      <c r="N239" s="1">
        <v>280</v>
      </c>
      <c r="O239" s="1">
        <v>304</v>
      </c>
      <c r="P239" s="1">
        <v>24.05</v>
      </c>
      <c r="Q239" s="1">
        <v>20.07</v>
      </c>
      <c r="R239" s="11" t="str">
        <f t="shared" si="0"/>
        <v>RB</v>
      </c>
    </row>
    <row r="240" spans="1:18" ht="14.25" customHeight="1" x14ac:dyDescent="0.25">
      <c r="A240" s="1">
        <v>236</v>
      </c>
      <c r="B240" s="1" t="s">
        <v>567</v>
      </c>
      <c r="C240" s="1" t="s">
        <v>719</v>
      </c>
      <c r="D240" s="1" t="s">
        <v>163</v>
      </c>
      <c r="E240" s="1">
        <v>160</v>
      </c>
      <c r="F240" s="1">
        <v>114</v>
      </c>
      <c r="G240" s="1">
        <v>212</v>
      </c>
      <c r="H240" s="1">
        <v>228</v>
      </c>
      <c r="I240" s="1" t="s">
        <v>36</v>
      </c>
      <c r="J240" s="1">
        <v>112</v>
      </c>
      <c r="K240" s="1">
        <v>135</v>
      </c>
      <c r="L240" s="1">
        <v>221</v>
      </c>
      <c r="M240" s="1" t="s">
        <v>36</v>
      </c>
      <c r="N240" s="1" t="s">
        <v>36</v>
      </c>
      <c r="O240" s="1" t="s">
        <v>36</v>
      </c>
      <c r="P240" s="1">
        <v>24.06</v>
      </c>
      <c r="Q240" s="1">
        <v>20.079999999999998</v>
      </c>
      <c r="R240" s="11" t="str">
        <f t="shared" si="0"/>
        <v>K-</v>
      </c>
    </row>
    <row r="241" spans="1:18" ht="14.25" customHeight="1" x14ac:dyDescent="0.25">
      <c r="A241" s="1">
        <v>237</v>
      </c>
      <c r="B241" s="1" t="s">
        <v>614</v>
      </c>
      <c r="C241" s="1" t="s">
        <v>1049</v>
      </c>
      <c r="D241" s="1" t="s">
        <v>85</v>
      </c>
      <c r="E241" s="1" t="s">
        <v>36</v>
      </c>
      <c r="F241" s="1" t="s">
        <v>36</v>
      </c>
      <c r="G241" s="1">
        <v>286</v>
      </c>
      <c r="H241" s="1">
        <v>194</v>
      </c>
      <c r="I241" s="1">
        <v>200</v>
      </c>
      <c r="J241" s="1" t="s">
        <v>36</v>
      </c>
      <c r="K241" s="1">
        <v>234</v>
      </c>
      <c r="L241" s="1">
        <v>232</v>
      </c>
      <c r="M241" s="1">
        <v>247</v>
      </c>
      <c r="N241" s="1">
        <v>221</v>
      </c>
      <c r="O241" s="1">
        <v>212</v>
      </c>
      <c r="P241" s="1">
        <v>24.07</v>
      </c>
      <c r="Q241" s="1">
        <v>20.09</v>
      </c>
      <c r="R241" s="11" t="str">
        <f t="shared" si="0"/>
        <v>RB</v>
      </c>
    </row>
    <row r="242" spans="1:18" ht="14.25" customHeight="1" x14ac:dyDescent="0.25">
      <c r="A242" s="1">
        <v>238</v>
      </c>
      <c r="B242" s="1" t="s">
        <v>552</v>
      </c>
      <c r="C242" s="1" t="s">
        <v>623</v>
      </c>
      <c r="D242" s="1" t="s">
        <v>168</v>
      </c>
      <c r="E242" s="1" t="s">
        <v>36</v>
      </c>
      <c r="F242" s="1" t="s">
        <v>36</v>
      </c>
      <c r="G242" s="1" t="s">
        <v>36</v>
      </c>
      <c r="H242" s="1">
        <v>206</v>
      </c>
      <c r="I242" s="1">
        <v>227</v>
      </c>
      <c r="J242" s="1">
        <v>289</v>
      </c>
      <c r="K242" s="1">
        <v>259</v>
      </c>
      <c r="L242" s="1">
        <v>238</v>
      </c>
      <c r="M242" s="1">
        <v>240</v>
      </c>
      <c r="N242" s="1">
        <v>187</v>
      </c>
      <c r="O242" s="1">
        <v>185</v>
      </c>
      <c r="P242" s="1">
        <v>24.08</v>
      </c>
      <c r="Q242" s="1">
        <v>20.100000000000001</v>
      </c>
      <c r="R242" s="11" t="str">
        <f t="shared" si="0"/>
        <v>WR</v>
      </c>
    </row>
    <row r="243" spans="1:18" ht="14.25" customHeight="1" x14ac:dyDescent="0.25">
      <c r="A243" s="1">
        <v>239</v>
      </c>
      <c r="B243" s="1" t="s">
        <v>571</v>
      </c>
      <c r="C243" s="1" t="s">
        <v>660</v>
      </c>
      <c r="D243" s="1" t="s">
        <v>94</v>
      </c>
      <c r="E243" s="1" t="s">
        <v>36</v>
      </c>
      <c r="F243" s="1" t="s">
        <v>36</v>
      </c>
      <c r="G243" s="1">
        <v>280</v>
      </c>
      <c r="H243" s="1">
        <v>238</v>
      </c>
      <c r="I243" s="1">
        <v>216</v>
      </c>
      <c r="J243" s="1">
        <v>239</v>
      </c>
      <c r="K243" s="1">
        <v>176</v>
      </c>
      <c r="L243" s="1" t="s">
        <v>36</v>
      </c>
      <c r="M243" s="1">
        <v>212</v>
      </c>
      <c r="N243" s="1">
        <v>251</v>
      </c>
      <c r="O243" s="1">
        <v>235</v>
      </c>
      <c r="P243" s="1">
        <v>24.09</v>
      </c>
      <c r="Q243" s="1">
        <v>20.11</v>
      </c>
      <c r="R243" s="11" t="str">
        <f t="shared" si="0"/>
        <v>WR</v>
      </c>
    </row>
    <row r="244" spans="1:18" ht="14.25" customHeight="1" x14ac:dyDescent="0.25">
      <c r="A244" s="1">
        <v>240</v>
      </c>
      <c r="B244" s="1" t="s">
        <v>573</v>
      </c>
      <c r="C244" s="1" t="s">
        <v>1090</v>
      </c>
      <c r="D244" s="1" t="s">
        <v>233</v>
      </c>
      <c r="E244" s="1">
        <v>201</v>
      </c>
      <c r="F244" s="1">
        <v>145</v>
      </c>
      <c r="G244" s="1">
        <v>243</v>
      </c>
      <c r="H244" s="1">
        <v>247</v>
      </c>
      <c r="I244" s="1" t="s">
        <v>36</v>
      </c>
      <c r="J244" s="1">
        <v>69</v>
      </c>
      <c r="K244" s="1">
        <v>134</v>
      </c>
      <c r="L244" s="1">
        <v>203</v>
      </c>
      <c r="M244" s="1" t="s">
        <v>36</v>
      </c>
      <c r="N244" s="1" t="s">
        <v>36</v>
      </c>
      <c r="O244" s="1" t="s">
        <v>36</v>
      </c>
      <c r="P244" s="1">
        <v>24.1</v>
      </c>
      <c r="Q244" s="1">
        <v>20.12</v>
      </c>
      <c r="R244" s="11" t="str">
        <f t="shared" si="0"/>
        <v>K-</v>
      </c>
    </row>
    <row r="245" spans="1:18" ht="14.25" customHeight="1" x14ac:dyDescent="0.25">
      <c r="A245" s="1">
        <v>241</v>
      </c>
      <c r="B245" s="1" t="s">
        <v>633</v>
      </c>
      <c r="C245" s="1" t="s">
        <v>1045</v>
      </c>
      <c r="D245" s="1" t="s">
        <v>49</v>
      </c>
      <c r="E245" s="1" t="s">
        <v>36</v>
      </c>
      <c r="F245" s="1" t="s">
        <v>36</v>
      </c>
      <c r="G245" s="1">
        <v>301</v>
      </c>
      <c r="H245" s="1">
        <v>208</v>
      </c>
      <c r="I245" s="1">
        <v>207</v>
      </c>
      <c r="J245" s="1" t="s">
        <v>36</v>
      </c>
      <c r="K245" s="1">
        <v>263</v>
      </c>
      <c r="L245" s="1">
        <v>199</v>
      </c>
      <c r="M245" s="1">
        <v>254</v>
      </c>
      <c r="N245" s="1">
        <v>229</v>
      </c>
      <c r="O245" s="1">
        <v>236</v>
      </c>
      <c r="P245" s="1">
        <v>25.01</v>
      </c>
      <c r="Q245" s="1">
        <v>21.01</v>
      </c>
      <c r="R245" s="11" t="str">
        <f t="shared" si="0"/>
        <v>RB</v>
      </c>
    </row>
    <row r="246" spans="1:18" ht="14.25" customHeight="1" x14ac:dyDescent="0.25">
      <c r="A246" s="1">
        <v>242</v>
      </c>
      <c r="B246" s="1" t="s">
        <v>575</v>
      </c>
      <c r="C246" s="1" t="s">
        <v>908</v>
      </c>
      <c r="D246" s="1" t="s">
        <v>229</v>
      </c>
      <c r="E246" s="1" t="s">
        <v>36</v>
      </c>
      <c r="F246" s="1" t="s">
        <v>36</v>
      </c>
      <c r="G246" s="1">
        <v>316</v>
      </c>
      <c r="H246" s="1">
        <v>202</v>
      </c>
      <c r="I246" s="1">
        <v>228</v>
      </c>
      <c r="J246" s="1">
        <v>238</v>
      </c>
      <c r="K246" s="1">
        <v>235</v>
      </c>
      <c r="L246" s="1" t="s">
        <v>36</v>
      </c>
      <c r="M246" s="1">
        <v>239</v>
      </c>
      <c r="N246" s="1">
        <v>223</v>
      </c>
      <c r="O246" s="1">
        <v>227</v>
      </c>
      <c r="P246" s="1">
        <v>25.02</v>
      </c>
      <c r="Q246" s="1">
        <v>21.02</v>
      </c>
      <c r="R246" s="11" t="str">
        <f t="shared" si="0"/>
        <v>WR</v>
      </c>
    </row>
    <row r="247" spans="1:18" ht="14.25" customHeight="1" x14ac:dyDescent="0.25">
      <c r="A247" s="1">
        <v>243</v>
      </c>
      <c r="B247" s="1" t="s">
        <v>579</v>
      </c>
      <c r="C247" s="1" t="s">
        <v>596</v>
      </c>
      <c r="D247" s="1" t="s">
        <v>116</v>
      </c>
      <c r="E247" s="1" t="s">
        <v>36</v>
      </c>
      <c r="F247" s="1" t="s">
        <v>36</v>
      </c>
      <c r="G247" s="1">
        <v>265</v>
      </c>
      <c r="H247" s="1">
        <v>270</v>
      </c>
      <c r="I247" s="1">
        <v>223</v>
      </c>
      <c r="J247" s="1" t="s">
        <v>36</v>
      </c>
      <c r="K247" s="1">
        <v>253</v>
      </c>
      <c r="L247" s="1">
        <v>248</v>
      </c>
      <c r="M247" s="1">
        <v>249</v>
      </c>
      <c r="N247" s="1">
        <v>214</v>
      </c>
      <c r="O247" s="1">
        <v>208</v>
      </c>
      <c r="P247" s="1">
        <v>25.03</v>
      </c>
      <c r="Q247" s="1">
        <v>21.03</v>
      </c>
      <c r="R247" s="11" t="str">
        <f t="shared" si="0"/>
        <v>WR</v>
      </c>
    </row>
    <row r="248" spans="1:18" ht="14.25" customHeight="1" x14ac:dyDescent="0.25">
      <c r="A248" s="1">
        <v>244</v>
      </c>
      <c r="B248" s="1" t="s">
        <v>637</v>
      </c>
      <c r="C248" s="1" t="s">
        <v>558</v>
      </c>
      <c r="D248" s="1" t="s">
        <v>163</v>
      </c>
      <c r="E248" s="1" t="s">
        <v>36</v>
      </c>
      <c r="F248" s="1" t="s">
        <v>36</v>
      </c>
      <c r="G248" s="1">
        <v>348</v>
      </c>
      <c r="H248" s="1">
        <v>195</v>
      </c>
      <c r="I248" s="1">
        <v>214</v>
      </c>
      <c r="J248" s="1">
        <v>318</v>
      </c>
      <c r="K248" s="1" t="s">
        <v>36</v>
      </c>
      <c r="L248" s="1">
        <v>206</v>
      </c>
      <c r="M248" s="1">
        <v>237</v>
      </c>
      <c r="N248" s="1">
        <v>210</v>
      </c>
      <c r="O248" s="1">
        <v>222</v>
      </c>
      <c r="P248" s="1">
        <v>25.04</v>
      </c>
      <c r="Q248" s="1">
        <v>21.04</v>
      </c>
      <c r="R248" s="11" t="str">
        <f t="shared" si="0"/>
        <v>RB</v>
      </c>
    </row>
    <row r="249" spans="1:18" ht="14.25" customHeight="1" x14ac:dyDescent="0.25">
      <c r="A249" s="1">
        <v>245</v>
      </c>
      <c r="B249" s="1" t="s">
        <v>583</v>
      </c>
      <c r="C249" s="1" t="s">
        <v>827</v>
      </c>
      <c r="D249" s="1" t="s">
        <v>126</v>
      </c>
      <c r="E249" s="1" t="s">
        <v>36</v>
      </c>
      <c r="F249" s="1" t="s">
        <v>36</v>
      </c>
      <c r="G249" s="1">
        <v>309</v>
      </c>
      <c r="H249" s="1">
        <v>237</v>
      </c>
      <c r="I249" s="1">
        <v>231</v>
      </c>
      <c r="J249" s="1">
        <v>311</v>
      </c>
      <c r="K249" s="1">
        <v>268</v>
      </c>
      <c r="L249" s="1" t="s">
        <v>36</v>
      </c>
      <c r="M249" s="1">
        <v>226</v>
      </c>
      <c r="N249" s="1">
        <v>185</v>
      </c>
      <c r="O249" s="1">
        <v>188</v>
      </c>
      <c r="P249" s="1">
        <v>25.05</v>
      </c>
      <c r="Q249" s="1">
        <v>21.05</v>
      </c>
      <c r="R249" s="11" t="str">
        <f t="shared" si="0"/>
        <v>WR</v>
      </c>
    </row>
    <row r="250" spans="1:18" ht="14.25" customHeight="1" x14ac:dyDescent="0.25">
      <c r="A250" s="1">
        <v>246</v>
      </c>
      <c r="B250" s="1" t="s">
        <v>589</v>
      </c>
      <c r="C250" s="1" t="s">
        <v>828</v>
      </c>
      <c r="D250" s="1" t="s">
        <v>44</v>
      </c>
      <c r="E250" s="1" t="s">
        <v>36</v>
      </c>
      <c r="F250" s="1" t="s">
        <v>36</v>
      </c>
      <c r="G250" s="1">
        <v>324</v>
      </c>
      <c r="H250" s="1">
        <v>245</v>
      </c>
      <c r="I250" s="1">
        <v>217</v>
      </c>
      <c r="J250" s="1">
        <v>267</v>
      </c>
      <c r="K250" s="1">
        <v>262</v>
      </c>
      <c r="L250" s="1" t="s">
        <v>36</v>
      </c>
      <c r="M250" s="1">
        <v>241</v>
      </c>
      <c r="N250" s="1">
        <v>199</v>
      </c>
      <c r="O250" s="1">
        <v>207</v>
      </c>
      <c r="P250" s="1">
        <v>25.06</v>
      </c>
      <c r="Q250" s="1">
        <v>21.06</v>
      </c>
      <c r="R250" s="11" t="str">
        <f t="shared" si="0"/>
        <v>WR</v>
      </c>
    </row>
    <row r="251" spans="1:18" ht="14.25" customHeight="1" x14ac:dyDescent="0.25">
      <c r="A251" s="1">
        <v>247</v>
      </c>
      <c r="B251" s="1" t="s">
        <v>626</v>
      </c>
      <c r="C251" s="1" t="s">
        <v>834</v>
      </c>
      <c r="D251" s="1" t="s">
        <v>187</v>
      </c>
      <c r="E251" s="1" t="s">
        <v>36</v>
      </c>
      <c r="F251" s="1">
        <v>249</v>
      </c>
      <c r="G251" s="1" t="s">
        <v>36</v>
      </c>
      <c r="H251" s="1">
        <v>251</v>
      </c>
      <c r="I251" s="1">
        <v>255</v>
      </c>
      <c r="J251" s="1">
        <v>261</v>
      </c>
      <c r="K251" s="1">
        <v>283</v>
      </c>
      <c r="L251" s="1" t="s">
        <v>36</v>
      </c>
      <c r="M251" s="1">
        <v>236</v>
      </c>
      <c r="N251" s="1">
        <v>213</v>
      </c>
      <c r="O251" s="1">
        <v>224</v>
      </c>
      <c r="P251" s="1">
        <v>25.07</v>
      </c>
      <c r="Q251" s="1">
        <v>21.07</v>
      </c>
      <c r="R251" s="11" t="str">
        <f t="shared" si="0"/>
        <v>QB</v>
      </c>
    </row>
    <row r="252" spans="1:18" ht="14.25" customHeight="1" x14ac:dyDescent="0.25">
      <c r="A252" s="1">
        <v>248</v>
      </c>
      <c r="B252" s="1" t="s">
        <v>577</v>
      </c>
      <c r="C252" s="1" t="s">
        <v>560</v>
      </c>
      <c r="D252" s="1" t="s">
        <v>116</v>
      </c>
      <c r="E252" s="1">
        <v>198</v>
      </c>
      <c r="F252" s="1">
        <v>184</v>
      </c>
      <c r="G252" s="1">
        <v>250</v>
      </c>
      <c r="H252" s="1">
        <v>234</v>
      </c>
      <c r="I252" s="1" t="s">
        <v>36</v>
      </c>
      <c r="J252" s="1">
        <v>86</v>
      </c>
      <c r="K252" s="1">
        <v>162</v>
      </c>
      <c r="L252" s="1">
        <v>201</v>
      </c>
      <c r="M252" s="1" t="s">
        <v>36</v>
      </c>
      <c r="N252" s="1" t="s">
        <v>36</v>
      </c>
      <c r="O252" s="1" t="s">
        <v>36</v>
      </c>
      <c r="P252" s="1">
        <v>25.08</v>
      </c>
      <c r="Q252" s="1">
        <v>21.08</v>
      </c>
      <c r="R252" s="11" t="str">
        <f t="shared" si="0"/>
        <v>K-</v>
      </c>
    </row>
    <row r="253" spans="1:18" ht="14.25" customHeight="1" x14ac:dyDescent="0.25">
      <c r="A253" s="1">
        <v>249</v>
      </c>
      <c r="B253" s="1" t="s">
        <v>595</v>
      </c>
      <c r="C253" s="1" t="s">
        <v>495</v>
      </c>
      <c r="D253" s="1" t="s">
        <v>60</v>
      </c>
      <c r="E253" s="1" t="s">
        <v>36</v>
      </c>
      <c r="F253" s="1" t="s">
        <v>36</v>
      </c>
      <c r="G253" s="1">
        <v>307</v>
      </c>
      <c r="H253" s="1">
        <v>252</v>
      </c>
      <c r="I253" s="1">
        <v>252</v>
      </c>
      <c r="J253" s="1" t="s">
        <v>36</v>
      </c>
      <c r="K253" s="1">
        <v>251</v>
      </c>
      <c r="L253" s="1">
        <v>247</v>
      </c>
      <c r="M253" s="1">
        <v>238</v>
      </c>
      <c r="N253" s="1">
        <v>224</v>
      </c>
      <c r="O253" s="1">
        <v>215</v>
      </c>
      <c r="P253" s="1">
        <v>25.09</v>
      </c>
      <c r="Q253" s="1">
        <v>21.09</v>
      </c>
      <c r="R253" s="11" t="str">
        <f t="shared" si="0"/>
        <v>WR</v>
      </c>
    </row>
    <row r="254" spans="1:18" ht="14.25" customHeight="1" x14ac:dyDescent="0.25">
      <c r="A254" s="1">
        <v>250</v>
      </c>
      <c r="B254" s="1" t="s">
        <v>641</v>
      </c>
      <c r="C254" s="1" t="s">
        <v>379</v>
      </c>
      <c r="D254" s="1" t="s">
        <v>129</v>
      </c>
      <c r="E254" s="1" t="s">
        <v>36</v>
      </c>
      <c r="F254" s="1" t="s">
        <v>36</v>
      </c>
      <c r="G254" s="1">
        <v>311</v>
      </c>
      <c r="H254" s="1">
        <v>223</v>
      </c>
      <c r="I254" s="1">
        <v>256</v>
      </c>
      <c r="J254" s="1">
        <v>279</v>
      </c>
      <c r="K254" s="1">
        <v>273</v>
      </c>
      <c r="L254" s="1" t="s">
        <v>36</v>
      </c>
      <c r="M254" s="1">
        <v>218</v>
      </c>
      <c r="N254" s="1">
        <v>212</v>
      </c>
      <c r="O254" s="1">
        <v>216</v>
      </c>
      <c r="P254" s="1">
        <v>25.1</v>
      </c>
      <c r="Q254" s="1">
        <v>21.1</v>
      </c>
      <c r="R254" s="11" t="str">
        <f t="shared" si="0"/>
        <v>TE</v>
      </c>
    </row>
    <row r="255" spans="1:18" ht="14.25" customHeight="1" x14ac:dyDescent="0.25">
      <c r="A255" s="1">
        <v>251</v>
      </c>
      <c r="B255" s="1" t="s">
        <v>616</v>
      </c>
      <c r="C255" s="1" t="s">
        <v>1093</v>
      </c>
      <c r="D255" s="1" t="s">
        <v>85</v>
      </c>
      <c r="E255" s="1" t="s">
        <v>36</v>
      </c>
      <c r="F255" s="1" t="s">
        <v>36</v>
      </c>
      <c r="G255" s="1">
        <v>297</v>
      </c>
      <c r="H255" s="1">
        <v>279</v>
      </c>
      <c r="I255" s="1">
        <v>253</v>
      </c>
      <c r="J255" s="1" t="s">
        <v>36</v>
      </c>
      <c r="K255" s="1">
        <v>244</v>
      </c>
      <c r="L255" s="1">
        <v>213</v>
      </c>
      <c r="M255" s="1">
        <v>263</v>
      </c>
      <c r="N255" s="1">
        <v>240</v>
      </c>
      <c r="O255" s="1">
        <v>239</v>
      </c>
      <c r="P255" s="1">
        <v>26.01</v>
      </c>
      <c r="Q255" s="1">
        <v>21.11</v>
      </c>
      <c r="R255" s="11" t="str">
        <f t="shared" si="0"/>
        <v>WR</v>
      </c>
    </row>
    <row r="256" spans="1:18" ht="14.25" customHeight="1" x14ac:dyDescent="0.25">
      <c r="A256" s="1">
        <v>252</v>
      </c>
      <c r="B256" s="1" t="s">
        <v>581</v>
      </c>
      <c r="C256" s="1" t="s">
        <v>636</v>
      </c>
      <c r="D256" s="1" t="s">
        <v>85</v>
      </c>
      <c r="E256" s="1">
        <v>185</v>
      </c>
      <c r="F256" s="1">
        <v>149</v>
      </c>
      <c r="G256" s="1">
        <v>266</v>
      </c>
      <c r="H256" s="1">
        <v>232</v>
      </c>
      <c r="I256" s="1" t="s">
        <v>36</v>
      </c>
      <c r="J256" s="1">
        <v>146</v>
      </c>
      <c r="K256" s="1">
        <v>161</v>
      </c>
      <c r="L256" s="1">
        <v>226</v>
      </c>
      <c r="M256" s="1" t="s">
        <v>36</v>
      </c>
      <c r="N256" s="1" t="s">
        <v>36</v>
      </c>
      <c r="O256" s="1" t="s">
        <v>36</v>
      </c>
      <c r="P256" s="1">
        <v>26.02</v>
      </c>
      <c r="Q256" s="1">
        <v>21.12</v>
      </c>
      <c r="R256" s="11" t="str">
        <f t="shared" si="0"/>
        <v>K-</v>
      </c>
    </row>
    <row r="257" spans="1:18" ht="14.25" customHeight="1" x14ac:dyDescent="0.25">
      <c r="A257" s="1">
        <v>253</v>
      </c>
      <c r="B257" s="1" t="s">
        <v>687</v>
      </c>
      <c r="C257" s="1" t="s">
        <v>611</v>
      </c>
      <c r="D257" s="1" t="s">
        <v>187</v>
      </c>
      <c r="E257" s="1" t="s">
        <v>36</v>
      </c>
      <c r="F257" s="1">
        <v>210</v>
      </c>
      <c r="G257" s="1" t="s">
        <v>36</v>
      </c>
      <c r="H257" s="1">
        <v>292</v>
      </c>
      <c r="I257" s="1">
        <v>337</v>
      </c>
      <c r="J257" s="1">
        <v>214</v>
      </c>
      <c r="K257" s="1">
        <v>220</v>
      </c>
      <c r="L257" s="1" t="s">
        <v>36</v>
      </c>
      <c r="M257" s="1">
        <v>255</v>
      </c>
      <c r="N257" s="1">
        <v>236</v>
      </c>
      <c r="O257" s="1">
        <v>276</v>
      </c>
      <c r="P257" s="1">
        <v>26.03</v>
      </c>
      <c r="Q257" s="1">
        <v>22.01</v>
      </c>
      <c r="R257" s="11" t="str">
        <f t="shared" si="0"/>
        <v>QB</v>
      </c>
    </row>
    <row r="258" spans="1:18" ht="14.25" customHeight="1" x14ac:dyDescent="0.25">
      <c r="A258" s="1">
        <v>254</v>
      </c>
      <c r="B258" s="1" t="s">
        <v>645</v>
      </c>
      <c r="C258" s="1" t="s">
        <v>975</v>
      </c>
      <c r="D258" s="1" t="s">
        <v>85</v>
      </c>
      <c r="E258" s="1" t="s">
        <v>36</v>
      </c>
      <c r="F258" s="1">
        <v>233</v>
      </c>
      <c r="G258" s="1" t="s">
        <v>36</v>
      </c>
      <c r="H258" s="1">
        <v>249</v>
      </c>
      <c r="I258" s="1">
        <v>263</v>
      </c>
      <c r="J258" s="1">
        <v>240</v>
      </c>
      <c r="K258" s="1">
        <v>276</v>
      </c>
      <c r="L258" s="1" t="s">
        <v>36</v>
      </c>
      <c r="M258" s="1">
        <v>258</v>
      </c>
      <c r="N258" s="1">
        <v>279</v>
      </c>
      <c r="O258" s="1">
        <v>246</v>
      </c>
      <c r="P258" s="1">
        <v>26.04</v>
      </c>
      <c r="Q258" s="1">
        <v>22.02</v>
      </c>
      <c r="R258" s="11" t="str">
        <f t="shared" si="0"/>
        <v>TE</v>
      </c>
    </row>
    <row r="259" spans="1:18" ht="14.25" customHeight="1" x14ac:dyDescent="0.25">
      <c r="A259" s="1">
        <v>255</v>
      </c>
      <c r="B259" s="1" t="s">
        <v>585</v>
      </c>
      <c r="C259" s="1" t="s">
        <v>961</v>
      </c>
      <c r="D259" s="1" t="s">
        <v>66</v>
      </c>
      <c r="E259" s="1">
        <v>158</v>
      </c>
      <c r="F259" s="1">
        <v>140</v>
      </c>
      <c r="G259" s="1">
        <v>241</v>
      </c>
      <c r="H259" s="1">
        <v>271</v>
      </c>
      <c r="I259" s="1" t="s">
        <v>36</v>
      </c>
      <c r="J259" s="1">
        <v>147</v>
      </c>
      <c r="K259" s="1">
        <v>185</v>
      </c>
      <c r="L259" s="1">
        <v>239</v>
      </c>
      <c r="M259" s="1" t="s">
        <v>36</v>
      </c>
      <c r="N259" s="1" t="s">
        <v>36</v>
      </c>
      <c r="O259" s="1" t="s">
        <v>36</v>
      </c>
      <c r="P259" s="1">
        <v>26.05</v>
      </c>
      <c r="Q259" s="1">
        <v>22.03</v>
      </c>
      <c r="R259" s="11" t="str">
        <f t="shared" si="0"/>
        <v>K-</v>
      </c>
    </row>
    <row r="260" spans="1:18" ht="14.25" customHeight="1" x14ac:dyDescent="0.25">
      <c r="A260" s="1">
        <v>256</v>
      </c>
      <c r="B260" s="1" t="s">
        <v>593</v>
      </c>
      <c r="C260" s="1" t="s">
        <v>950</v>
      </c>
      <c r="D260" s="1" t="s">
        <v>78</v>
      </c>
      <c r="E260" s="1">
        <v>182</v>
      </c>
      <c r="F260" s="1">
        <v>143</v>
      </c>
      <c r="G260" s="1">
        <v>260</v>
      </c>
      <c r="H260" s="1">
        <v>244</v>
      </c>
      <c r="I260" s="1" t="s">
        <v>36</v>
      </c>
      <c r="J260" s="1">
        <v>135</v>
      </c>
      <c r="K260" s="1">
        <v>214</v>
      </c>
      <c r="L260" s="1">
        <v>234</v>
      </c>
      <c r="M260" s="1" t="s">
        <v>36</v>
      </c>
      <c r="N260" s="1" t="s">
        <v>36</v>
      </c>
      <c r="O260" s="1" t="s">
        <v>36</v>
      </c>
      <c r="P260" s="1">
        <v>26.06</v>
      </c>
      <c r="Q260" s="1">
        <v>22.04</v>
      </c>
      <c r="R260" s="11" t="str">
        <f t="shared" ref="R260:R303" si="1">LEFT(B260, 2)</f>
        <v>K-</v>
      </c>
    </row>
    <row r="261" spans="1:18" ht="14.25" customHeight="1" x14ac:dyDescent="0.25">
      <c r="A261" s="1">
        <v>257</v>
      </c>
      <c r="B261" s="1" t="s">
        <v>620</v>
      </c>
      <c r="C261" s="1" t="s">
        <v>990</v>
      </c>
      <c r="D261" s="1" t="s">
        <v>233</v>
      </c>
      <c r="E261" s="1" t="s">
        <v>36</v>
      </c>
      <c r="F261" s="1" t="s">
        <v>36</v>
      </c>
      <c r="G261" s="1">
        <v>302</v>
      </c>
      <c r="H261" s="1">
        <v>262</v>
      </c>
      <c r="I261" s="1">
        <v>250</v>
      </c>
      <c r="J261" s="1">
        <v>277</v>
      </c>
      <c r="K261" s="1">
        <v>274</v>
      </c>
      <c r="L261" s="1" t="s">
        <v>36</v>
      </c>
      <c r="M261" s="1">
        <v>250</v>
      </c>
      <c r="N261" s="1">
        <v>250</v>
      </c>
      <c r="O261" s="1">
        <v>238</v>
      </c>
      <c r="P261" s="1">
        <v>26.07</v>
      </c>
      <c r="Q261" s="1">
        <v>22.05</v>
      </c>
      <c r="R261" s="11" t="str">
        <f t="shared" si="1"/>
        <v>WR</v>
      </c>
    </row>
    <row r="262" spans="1:18" ht="14.25" customHeight="1" x14ac:dyDescent="0.25">
      <c r="A262" s="1">
        <v>258</v>
      </c>
      <c r="B262" s="1" t="s">
        <v>597</v>
      </c>
      <c r="C262" s="1" t="s">
        <v>690</v>
      </c>
      <c r="D262" s="1" t="s">
        <v>168</v>
      </c>
      <c r="E262" s="1">
        <v>209</v>
      </c>
      <c r="F262" s="1">
        <v>218</v>
      </c>
      <c r="G262" s="1">
        <v>277</v>
      </c>
      <c r="H262" s="1">
        <v>235</v>
      </c>
      <c r="I262" s="1" t="s">
        <v>36</v>
      </c>
      <c r="J262" s="1">
        <v>133</v>
      </c>
      <c r="K262" s="1">
        <v>180</v>
      </c>
      <c r="L262" s="1">
        <v>214</v>
      </c>
      <c r="M262" s="1" t="s">
        <v>36</v>
      </c>
      <c r="N262" s="1" t="s">
        <v>36</v>
      </c>
      <c r="O262" s="1" t="s">
        <v>36</v>
      </c>
      <c r="P262" s="1">
        <v>26.08</v>
      </c>
      <c r="Q262" s="1">
        <v>22.06</v>
      </c>
      <c r="R262" s="11" t="str">
        <f t="shared" si="1"/>
        <v>K-</v>
      </c>
    </row>
    <row r="263" spans="1:18" ht="14.25" customHeight="1" x14ac:dyDescent="0.25">
      <c r="A263" s="1">
        <v>259</v>
      </c>
      <c r="B263" s="1" t="s">
        <v>608</v>
      </c>
      <c r="C263" s="1" t="s">
        <v>1105</v>
      </c>
      <c r="D263" s="1" t="s">
        <v>184</v>
      </c>
      <c r="E263" s="1">
        <v>206</v>
      </c>
      <c r="F263" s="1">
        <v>211</v>
      </c>
      <c r="G263" s="1" t="s">
        <v>36</v>
      </c>
      <c r="H263" s="1">
        <v>275</v>
      </c>
      <c r="I263" s="1">
        <v>244</v>
      </c>
      <c r="J263" s="1">
        <v>168</v>
      </c>
      <c r="K263" s="1">
        <v>150</v>
      </c>
      <c r="L263" s="1" t="s">
        <v>36</v>
      </c>
      <c r="M263" s="1">
        <v>243</v>
      </c>
      <c r="N263" s="1" t="s">
        <v>36</v>
      </c>
      <c r="O263" s="1" t="s">
        <v>36</v>
      </c>
      <c r="P263" s="1">
        <v>26.09</v>
      </c>
      <c r="Q263" s="1">
        <v>22.07</v>
      </c>
      <c r="R263" s="11" t="str">
        <f t="shared" si="1"/>
        <v>DE</v>
      </c>
    </row>
    <row r="264" spans="1:18" ht="14.25" customHeight="1" x14ac:dyDescent="0.25">
      <c r="A264" s="1">
        <v>260</v>
      </c>
      <c r="B264" s="1" t="s">
        <v>603</v>
      </c>
      <c r="C264" s="1" t="s">
        <v>598</v>
      </c>
      <c r="D264" s="1" t="s">
        <v>44</v>
      </c>
      <c r="E264" s="1">
        <v>189</v>
      </c>
      <c r="F264" s="1">
        <v>197</v>
      </c>
      <c r="G264" s="1">
        <v>292</v>
      </c>
      <c r="H264" s="1">
        <v>261</v>
      </c>
      <c r="I264" s="1" t="s">
        <v>36</v>
      </c>
      <c r="J264" s="1">
        <v>188</v>
      </c>
      <c r="K264" s="1">
        <v>163</v>
      </c>
      <c r="L264" s="1">
        <v>218</v>
      </c>
      <c r="M264" s="1" t="s">
        <v>36</v>
      </c>
      <c r="N264" s="1" t="s">
        <v>36</v>
      </c>
      <c r="O264" s="1" t="s">
        <v>36</v>
      </c>
      <c r="P264" s="1">
        <v>26.1</v>
      </c>
      <c r="Q264" s="1">
        <v>22.08</v>
      </c>
      <c r="R264" s="11" t="str">
        <f t="shared" si="1"/>
        <v>K-</v>
      </c>
    </row>
    <row r="265" spans="1:18" ht="14.25" customHeight="1" x14ac:dyDescent="0.25">
      <c r="A265" s="1">
        <v>261</v>
      </c>
      <c r="B265" s="1" t="s">
        <v>643</v>
      </c>
      <c r="C265" s="1" t="s">
        <v>497</v>
      </c>
      <c r="D265" s="1" t="s">
        <v>104</v>
      </c>
      <c r="E265" s="1" t="s">
        <v>36</v>
      </c>
      <c r="F265" s="1">
        <v>152</v>
      </c>
      <c r="G265" s="1" t="s">
        <v>36</v>
      </c>
      <c r="H265" s="1">
        <v>265</v>
      </c>
      <c r="I265" s="1">
        <v>226</v>
      </c>
      <c r="J265" s="1">
        <v>190</v>
      </c>
      <c r="K265" s="1">
        <v>240</v>
      </c>
      <c r="L265" s="1">
        <v>244</v>
      </c>
      <c r="M265" s="1">
        <v>216</v>
      </c>
      <c r="N265" s="1" t="s">
        <v>36</v>
      </c>
      <c r="O265" s="1" t="s">
        <v>36</v>
      </c>
      <c r="P265" s="1">
        <v>27.01</v>
      </c>
      <c r="Q265" s="1">
        <v>22.09</v>
      </c>
      <c r="R265" s="11" t="str">
        <f t="shared" si="1"/>
        <v>DE</v>
      </c>
    </row>
    <row r="266" spans="1:18" ht="14.25" customHeight="1" x14ac:dyDescent="0.25">
      <c r="A266" s="1">
        <v>262</v>
      </c>
      <c r="B266" s="1" t="s">
        <v>622</v>
      </c>
      <c r="C266" s="1" t="s">
        <v>442</v>
      </c>
      <c r="D266" s="1" t="s">
        <v>163</v>
      </c>
      <c r="E266" s="1" t="s">
        <v>36</v>
      </c>
      <c r="F266" s="1" t="s">
        <v>36</v>
      </c>
      <c r="G266" s="1" t="s">
        <v>36</v>
      </c>
      <c r="H266" s="1">
        <v>277</v>
      </c>
      <c r="I266" s="1">
        <v>205</v>
      </c>
      <c r="J266" s="1">
        <v>231</v>
      </c>
      <c r="K266" s="1">
        <v>177</v>
      </c>
      <c r="L266" s="1" t="s">
        <v>36</v>
      </c>
      <c r="M266" s="1">
        <v>187</v>
      </c>
      <c r="N266" s="1">
        <v>237</v>
      </c>
      <c r="O266" s="1">
        <v>234</v>
      </c>
      <c r="P266" s="1">
        <v>27.02</v>
      </c>
      <c r="Q266" s="1">
        <v>22.1</v>
      </c>
      <c r="R266" s="11" t="str">
        <f t="shared" si="1"/>
        <v>WR</v>
      </c>
    </row>
    <row r="267" spans="1:18" ht="14.25" customHeight="1" x14ac:dyDescent="0.25">
      <c r="A267" s="1">
        <v>263</v>
      </c>
      <c r="B267" s="1" t="s">
        <v>657</v>
      </c>
      <c r="C267" s="1" t="s">
        <v>943</v>
      </c>
      <c r="D267" s="1" t="s">
        <v>163</v>
      </c>
      <c r="E267" s="1" t="s">
        <v>36</v>
      </c>
      <c r="F267" s="1">
        <v>202</v>
      </c>
      <c r="G267" s="1">
        <v>228</v>
      </c>
      <c r="H267" s="1">
        <v>317</v>
      </c>
      <c r="I267" s="1">
        <v>254</v>
      </c>
      <c r="J267" s="1">
        <v>138</v>
      </c>
      <c r="K267" s="1">
        <v>184</v>
      </c>
      <c r="L267" s="1" t="s">
        <v>36</v>
      </c>
      <c r="M267" s="1">
        <v>225</v>
      </c>
      <c r="N267" s="1" t="s">
        <v>36</v>
      </c>
      <c r="O267" s="1" t="s">
        <v>36</v>
      </c>
      <c r="P267" s="1">
        <v>27.03</v>
      </c>
      <c r="Q267" s="1">
        <v>22.11</v>
      </c>
      <c r="R267" s="11" t="str">
        <f t="shared" si="1"/>
        <v>DE</v>
      </c>
    </row>
    <row r="268" spans="1:18" ht="14.25" customHeight="1" x14ac:dyDescent="0.25">
      <c r="A268" s="1">
        <v>264</v>
      </c>
      <c r="B268" s="1" t="s">
        <v>630</v>
      </c>
      <c r="C268" s="1" t="s">
        <v>493</v>
      </c>
      <c r="D268" s="1" t="s">
        <v>214</v>
      </c>
      <c r="E268" s="1" t="s">
        <v>36</v>
      </c>
      <c r="F268" s="1" t="s">
        <v>36</v>
      </c>
      <c r="G268" s="1">
        <v>291</v>
      </c>
      <c r="H268" s="1">
        <v>322</v>
      </c>
      <c r="I268" s="1">
        <v>277</v>
      </c>
      <c r="J268" s="1">
        <v>326</v>
      </c>
      <c r="K268" s="1">
        <v>284</v>
      </c>
      <c r="L268" s="1" t="s">
        <v>36</v>
      </c>
      <c r="M268" s="1">
        <v>271</v>
      </c>
      <c r="N268" s="1">
        <v>246</v>
      </c>
      <c r="O268" s="1">
        <v>228</v>
      </c>
      <c r="P268" s="1">
        <v>27.04</v>
      </c>
      <c r="Q268" s="1">
        <v>22.12</v>
      </c>
      <c r="R268" s="11" t="str">
        <f t="shared" si="1"/>
        <v>WR</v>
      </c>
    </row>
    <row r="269" spans="1:18" ht="14.25" customHeight="1" x14ac:dyDescent="0.25">
      <c r="A269" s="1">
        <v>265</v>
      </c>
      <c r="B269" s="1" t="s">
        <v>700</v>
      </c>
      <c r="C269" s="1" t="s">
        <v>701</v>
      </c>
      <c r="D269" s="1" t="s">
        <v>126</v>
      </c>
      <c r="E269" s="1">
        <v>169</v>
      </c>
      <c r="F269" s="1">
        <v>199</v>
      </c>
      <c r="G269" s="1" t="s">
        <v>36</v>
      </c>
      <c r="H269" s="1">
        <v>281</v>
      </c>
      <c r="I269" s="1">
        <v>249</v>
      </c>
      <c r="J269" s="1">
        <v>187</v>
      </c>
      <c r="K269" s="1">
        <v>239</v>
      </c>
      <c r="L269" s="1" t="s">
        <v>36</v>
      </c>
      <c r="M269" s="1">
        <v>235</v>
      </c>
      <c r="N269" s="1" t="s">
        <v>36</v>
      </c>
      <c r="O269" s="1" t="s">
        <v>36</v>
      </c>
      <c r="P269" s="1">
        <v>27.05</v>
      </c>
      <c r="Q269" s="1">
        <v>23.01</v>
      </c>
      <c r="R269" s="11" t="str">
        <f t="shared" si="1"/>
        <v>DE</v>
      </c>
    </row>
    <row r="270" spans="1:18" ht="14.25" customHeight="1" x14ac:dyDescent="0.25">
      <c r="A270" s="1">
        <v>266</v>
      </c>
      <c r="B270" s="1" t="s">
        <v>709</v>
      </c>
      <c r="C270" s="1" t="s">
        <v>1106</v>
      </c>
      <c r="D270" s="1" t="s">
        <v>123</v>
      </c>
      <c r="E270" s="1">
        <v>217</v>
      </c>
      <c r="F270" s="1">
        <v>208</v>
      </c>
      <c r="G270" s="1">
        <v>299</v>
      </c>
      <c r="H270" s="1">
        <v>233</v>
      </c>
      <c r="I270" s="1">
        <v>209</v>
      </c>
      <c r="J270" s="1">
        <v>157</v>
      </c>
      <c r="K270" s="1" t="s">
        <v>36</v>
      </c>
      <c r="L270" s="1" t="s">
        <v>36</v>
      </c>
      <c r="M270" s="1">
        <v>242</v>
      </c>
      <c r="N270" s="1" t="s">
        <v>36</v>
      </c>
      <c r="O270" s="1" t="s">
        <v>36</v>
      </c>
      <c r="P270" s="1">
        <v>27.06</v>
      </c>
      <c r="Q270" s="1">
        <v>23.02</v>
      </c>
      <c r="R270" s="11" t="str">
        <f t="shared" si="1"/>
        <v>DE</v>
      </c>
    </row>
    <row r="271" spans="1:18" ht="14.25" customHeight="1" x14ac:dyDescent="0.25">
      <c r="A271" s="1">
        <v>267</v>
      </c>
      <c r="B271" s="1" t="s">
        <v>639</v>
      </c>
      <c r="C271" s="1" t="s">
        <v>940</v>
      </c>
      <c r="D271" s="1" t="s">
        <v>116</v>
      </c>
      <c r="E271" s="1" t="s">
        <v>36</v>
      </c>
      <c r="F271" s="1" t="s">
        <v>36</v>
      </c>
      <c r="G271" s="1" t="s">
        <v>36</v>
      </c>
      <c r="H271" s="1">
        <v>209</v>
      </c>
      <c r="I271" s="1">
        <v>237</v>
      </c>
      <c r="J271" s="1">
        <v>295</v>
      </c>
      <c r="K271" s="1" t="s">
        <v>36</v>
      </c>
      <c r="L271" s="1">
        <v>229</v>
      </c>
      <c r="M271" s="1">
        <v>252</v>
      </c>
      <c r="N271" s="1">
        <v>202</v>
      </c>
      <c r="O271" s="1">
        <v>211</v>
      </c>
      <c r="P271" s="1">
        <v>27.07</v>
      </c>
      <c r="Q271" s="1">
        <v>23.03</v>
      </c>
      <c r="R271" s="11" t="str">
        <f t="shared" si="1"/>
        <v>RB</v>
      </c>
    </row>
    <row r="272" spans="1:18" ht="14.25" customHeight="1" x14ac:dyDescent="0.25">
      <c r="A272" s="1">
        <v>268</v>
      </c>
      <c r="B272" s="1" t="s">
        <v>647</v>
      </c>
      <c r="C272" s="1" t="s">
        <v>256</v>
      </c>
      <c r="D272" s="1" t="s">
        <v>187</v>
      </c>
      <c r="E272" s="1" t="s">
        <v>36</v>
      </c>
      <c r="F272" s="1">
        <v>269</v>
      </c>
      <c r="G272" s="1" t="s">
        <v>36</v>
      </c>
      <c r="H272" s="1">
        <v>199</v>
      </c>
      <c r="I272" s="1">
        <v>264</v>
      </c>
      <c r="J272" s="1" t="s">
        <v>36</v>
      </c>
      <c r="K272" s="1">
        <v>272</v>
      </c>
      <c r="L272" s="1" t="s">
        <v>36</v>
      </c>
      <c r="M272" s="1">
        <v>256</v>
      </c>
      <c r="N272" s="1">
        <v>195</v>
      </c>
      <c r="O272" s="1">
        <v>190</v>
      </c>
      <c r="P272" s="1">
        <v>27.08</v>
      </c>
      <c r="Q272" s="1">
        <v>23.04</v>
      </c>
      <c r="R272" s="11" t="str">
        <f t="shared" si="1"/>
        <v>TE</v>
      </c>
    </row>
    <row r="273" spans="1:18" ht="14.25" customHeight="1" x14ac:dyDescent="0.25">
      <c r="A273" s="1">
        <v>269</v>
      </c>
      <c r="B273" s="1" t="s">
        <v>649</v>
      </c>
      <c r="C273" s="1" t="s">
        <v>953</v>
      </c>
      <c r="D273" s="1" t="s">
        <v>233</v>
      </c>
      <c r="E273" s="1" t="s">
        <v>36</v>
      </c>
      <c r="F273" s="1" t="s">
        <v>36</v>
      </c>
      <c r="G273" s="1" t="s">
        <v>36</v>
      </c>
      <c r="H273" s="1">
        <v>242</v>
      </c>
      <c r="I273" s="1">
        <v>245</v>
      </c>
      <c r="J273" s="1" t="s">
        <v>36</v>
      </c>
      <c r="K273" s="1">
        <v>269</v>
      </c>
      <c r="L273" s="1">
        <v>237</v>
      </c>
      <c r="M273" s="1">
        <v>260</v>
      </c>
      <c r="N273" s="1">
        <v>179</v>
      </c>
      <c r="O273" s="1">
        <v>220</v>
      </c>
      <c r="P273" s="1">
        <v>27.09</v>
      </c>
      <c r="Q273" s="1">
        <v>23.05</v>
      </c>
      <c r="R273" s="11" t="str">
        <f t="shared" si="1"/>
        <v>WR</v>
      </c>
    </row>
    <row r="274" spans="1:18" ht="14.25" customHeight="1" x14ac:dyDescent="0.25">
      <c r="A274" s="1">
        <v>270</v>
      </c>
      <c r="B274" s="1" t="s">
        <v>651</v>
      </c>
      <c r="C274" s="1" t="s">
        <v>1098</v>
      </c>
      <c r="D274" s="1" t="s">
        <v>199</v>
      </c>
      <c r="E274" s="1" t="s">
        <v>36</v>
      </c>
      <c r="F274" s="1" t="s">
        <v>36</v>
      </c>
      <c r="G274" s="1">
        <v>305</v>
      </c>
      <c r="H274" s="1">
        <v>250</v>
      </c>
      <c r="I274" s="1">
        <v>232</v>
      </c>
      <c r="J274" s="1" t="s">
        <v>36</v>
      </c>
      <c r="K274" s="1">
        <v>261</v>
      </c>
      <c r="L274" s="1" t="s">
        <v>36</v>
      </c>
      <c r="M274" s="1">
        <v>246</v>
      </c>
      <c r="N274" s="1">
        <v>203</v>
      </c>
      <c r="O274" s="1">
        <v>197</v>
      </c>
      <c r="P274" s="1">
        <v>27.1</v>
      </c>
      <c r="Q274" s="1">
        <v>23.06</v>
      </c>
      <c r="R274" s="11" t="str">
        <f t="shared" si="1"/>
        <v>WR</v>
      </c>
    </row>
    <row r="275" spans="1:18" ht="14.25" customHeight="1" x14ac:dyDescent="0.25">
      <c r="A275" s="1">
        <v>271</v>
      </c>
      <c r="B275" s="1" t="s">
        <v>655</v>
      </c>
      <c r="C275" s="1" t="s">
        <v>994</v>
      </c>
      <c r="D275" s="1" t="s">
        <v>49</v>
      </c>
      <c r="E275" s="1" t="s">
        <v>36</v>
      </c>
      <c r="F275" s="1" t="s">
        <v>36</v>
      </c>
      <c r="G275" s="1" t="s">
        <v>36</v>
      </c>
      <c r="H275" s="1">
        <v>241</v>
      </c>
      <c r="I275" s="1">
        <v>274</v>
      </c>
      <c r="J275" s="1">
        <v>282</v>
      </c>
      <c r="K275" s="1">
        <v>270</v>
      </c>
      <c r="L275" s="1" t="s">
        <v>36</v>
      </c>
      <c r="M275" s="1">
        <v>286</v>
      </c>
      <c r="N275" s="1">
        <v>238</v>
      </c>
      <c r="O275" s="1">
        <v>242</v>
      </c>
      <c r="P275" s="1">
        <v>28.01</v>
      </c>
      <c r="Q275" s="1">
        <v>23.07</v>
      </c>
      <c r="R275" s="11" t="str">
        <f t="shared" si="1"/>
        <v>TE</v>
      </c>
    </row>
    <row r="276" spans="1:18" ht="14.25" customHeight="1" x14ac:dyDescent="0.25">
      <c r="A276" s="1">
        <v>272</v>
      </c>
      <c r="B276" s="1" t="s">
        <v>694</v>
      </c>
      <c r="C276" s="1" t="s">
        <v>372</v>
      </c>
      <c r="D276" s="1" t="s">
        <v>129</v>
      </c>
      <c r="E276" s="1" t="s">
        <v>36</v>
      </c>
      <c r="F276" s="1" t="s">
        <v>36</v>
      </c>
      <c r="G276" s="1">
        <v>298</v>
      </c>
      <c r="H276" s="1">
        <v>274</v>
      </c>
      <c r="I276" s="1">
        <v>269</v>
      </c>
      <c r="J276" s="1" t="s">
        <v>36</v>
      </c>
      <c r="K276" s="1">
        <v>275</v>
      </c>
      <c r="L276" s="1" t="s">
        <v>36</v>
      </c>
      <c r="M276" s="1">
        <v>251</v>
      </c>
      <c r="N276" s="1">
        <v>231</v>
      </c>
      <c r="O276" s="1">
        <v>264</v>
      </c>
      <c r="P276" s="1">
        <v>28.02</v>
      </c>
      <c r="Q276" s="1">
        <v>23.08</v>
      </c>
      <c r="R276" s="11" t="str">
        <f t="shared" si="1"/>
        <v>QB</v>
      </c>
    </row>
    <row r="277" spans="1:18" ht="14.25" customHeight="1" x14ac:dyDescent="0.25">
      <c r="A277" s="1">
        <v>273</v>
      </c>
      <c r="B277" s="1" t="s">
        <v>661</v>
      </c>
      <c r="C277" s="1" t="s">
        <v>353</v>
      </c>
      <c r="D277" s="1" t="s">
        <v>184</v>
      </c>
      <c r="E277" s="1" t="s">
        <v>36</v>
      </c>
      <c r="F277" s="1" t="s">
        <v>36</v>
      </c>
      <c r="G277" s="1" t="s">
        <v>36</v>
      </c>
      <c r="H277" s="1">
        <v>177</v>
      </c>
      <c r="I277" s="1">
        <v>208</v>
      </c>
      <c r="J277" s="1" t="s">
        <v>36</v>
      </c>
      <c r="K277" s="1" t="s">
        <v>36</v>
      </c>
      <c r="L277" s="1">
        <v>164</v>
      </c>
      <c r="M277" s="1">
        <v>219</v>
      </c>
      <c r="N277" s="1">
        <v>172</v>
      </c>
      <c r="O277" s="1">
        <v>186</v>
      </c>
      <c r="P277" s="1">
        <v>28.03</v>
      </c>
      <c r="Q277" s="1">
        <v>23.09</v>
      </c>
      <c r="R277" s="11" t="str">
        <f t="shared" si="1"/>
        <v>RB</v>
      </c>
    </row>
    <row r="278" spans="1:18" ht="14.25" customHeight="1" x14ac:dyDescent="0.25">
      <c r="A278" s="1">
        <v>274</v>
      </c>
      <c r="B278" s="1" t="s">
        <v>654</v>
      </c>
      <c r="C278" s="1" t="s">
        <v>1136</v>
      </c>
      <c r="D278" s="1" t="s">
        <v>104</v>
      </c>
      <c r="E278" s="1" t="s">
        <v>36</v>
      </c>
      <c r="F278" s="1">
        <v>245</v>
      </c>
      <c r="G278" s="1" t="s">
        <v>36</v>
      </c>
      <c r="H278" s="1">
        <v>303</v>
      </c>
      <c r="I278" s="1">
        <v>278</v>
      </c>
      <c r="J278" s="1">
        <v>307</v>
      </c>
      <c r="K278" s="1" t="s">
        <v>36</v>
      </c>
      <c r="L278" s="1" t="s">
        <v>36</v>
      </c>
      <c r="M278" s="1">
        <v>283</v>
      </c>
      <c r="N278" s="1">
        <v>254</v>
      </c>
      <c r="O278" s="1">
        <v>258</v>
      </c>
      <c r="P278" s="1">
        <v>28.04</v>
      </c>
      <c r="Q278" s="1">
        <v>23.1</v>
      </c>
      <c r="R278" s="11" t="str">
        <f t="shared" si="1"/>
        <v>WR</v>
      </c>
    </row>
    <row r="279" spans="1:18" ht="14.25" customHeight="1" x14ac:dyDescent="0.25">
      <c r="A279" s="1">
        <v>275</v>
      </c>
      <c r="B279" s="1" t="s">
        <v>1137</v>
      </c>
      <c r="C279" s="1" t="s">
        <v>1118</v>
      </c>
      <c r="D279" s="1" t="s">
        <v>52</v>
      </c>
      <c r="E279" s="1" t="s">
        <v>36</v>
      </c>
      <c r="F279" s="1">
        <v>279</v>
      </c>
      <c r="G279" s="1" t="s">
        <v>36</v>
      </c>
      <c r="H279" s="1">
        <v>295</v>
      </c>
      <c r="I279" s="1" t="s">
        <v>36</v>
      </c>
      <c r="J279" s="1">
        <v>305</v>
      </c>
      <c r="K279" s="1">
        <v>278</v>
      </c>
      <c r="L279" s="1" t="s">
        <v>36</v>
      </c>
      <c r="M279" s="1">
        <v>276</v>
      </c>
      <c r="N279" s="1">
        <v>241</v>
      </c>
      <c r="O279" s="1">
        <v>257</v>
      </c>
      <c r="P279" s="1">
        <v>28.05</v>
      </c>
      <c r="Q279" s="1">
        <v>23.11</v>
      </c>
      <c r="R279" s="11" t="str">
        <f t="shared" si="1"/>
        <v>QB</v>
      </c>
    </row>
    <row r="280" spans="1:18" ht="14.25" customHeight="1" x14ac:dyDescent="0.25">
      <c r="A280" s="1">
        <v>276</v>
      </c>
      <c r="B280" s="1" t="s">
        <v>628</v>
      </c>
      <c r="C280" s="1" t="s">
        <v>574</v>
      </c>
      <c r="D280" s="1" t="s">
        <v>199</v>
      </c>
      <c r="E280" s="1">
        <v>195</v>
      </c>
      <c r="F280" s="1">
        <v>164</v>
      </c>
      <c r="G280" s="1">
        <v>256</v>
      </c>
      <c r="H280" s="1">
        <v>240</v>
      </c>
      <c r="I280" s="1" t="s">
        <v>36</v>
      </c>
      <c r="J280" s="1">
        <v>156</v>
      </c>
      <c r="K280" s="1">
        <v>178</v>
      </c>
      <c r="L280" s="1" t="s">
        <v>36</v>
      </c>
      <c r="M280" s="1" t="s">
        <v>36</v>
      </c>
      <c r="N280" s="1" t="s">
        <v>36</v>
      </c>
      <c r="O280" s="1" t="s">
        <v>36</v>
      </c>
      <c r="P280" s="1">
        <v>28.06</v>
      </c>
      <c r="Q280" s="1">
        <v>23.12</v>
      </c>
      <c r="R280" s="11" t="str">
        <f t="shared" si="1"/>
        <v>K-</v>
      </c>
    </row>
    <row r="281" spans="1:18" ht="14.25" customHeight="1" x14ac:dyDescent="0.25">
      <c r="A281" s="1">
        <v>277</v>
      </c>
      <c r="B281" s="1" t="s">
        <v>1138</v>
      </c>
      <c r="C281" s="1" t="s">
        <v>929</v>
      </c>
      <c r="D281" s="1" t="s">
        <v>81</v>
      </c>
      <c r="E281" s="1" t="s">
        <v>36</v>
      </c>
      <c r="F281" s="1">
        <v>248</v>
      </c>
      <c r="G281" s="1">
        <v>343</v>
      </c>
      <c r="H281" s="1">
        <v>333</v>
      </c>
      <c r="I281" s="1">
        <v>273</v>
      </c>
      <c r="J281" s="1">
        <v>217</v>
      </c>
      <c r="K281" s="1">
        <v>245</v>
      </c>
      <c r="L281" s="1" t="s">
        <v>36</v>
      </c>
      <c r="M281" s="1">
        <v>282</v>
      </c>
      <c r="N281" s="1" t="s">
        <v>36</v>
      </c>
      <c r="O281" s="1" t="s">
        <v>36</v>
      </c>
      <c r="P281" s="1">
        <v>28.07</v>
      </c>
      <c r="Q281" s="1">
        <v>24.01</v>
      </c>
      <c r="R281" s="11" t="str">
        <f t="shared" si="1"/>
        <v>DE</v>
      </c>
    </row>
    <row r="282" spans="1:18" ht="14.25" customHeight="1" x14ac:dyDescent="0.25">
      <c r="A282" s="1">
        <v>278</v>
      </c>
      <c r="B282" s="1" t="s">
        <v>635</v>
      </c>
      <c r="C282" s="1" t="s">
        <v>962</v>
      </c>
      <c r="D282" s="1" t="s">
        <v>39</v>
      </c>
      <c r="E282" s="1">
        <v>193</v>
      </c>
      <c r="F282" s="1">
        <v>196</v>
      </c>
      <c r="G282" s="1" t="s">
        <v>36</v>
      </c>
      <c r="H282" s="1">
        <v>269</v>
      </c>
      <c r="I282" s="1" t="s">
        <v>36</v>
      </c>
      <c r="J282" s="1">
        <v>171</v>
      </c>
      <c r="K282" s="1">
        <v>159</v>
      </c>
      <c r="L282" s="1">
        <v>246</v>
      </c>
      <c r="M282" s="1" t="s">
        <v>36</v>
      </c>
      <c r="N282" s="1" t="s">
        <v>36</v>
      </c>
      <c r="O282" s="1" t="s">
        <v>36</v>
      </c>
      <c r="P282" s="1">
        <v>28.08</v>
      </c>
      <c r="Q282" s="1">
        <v>24.02</v>
      </c>
      <c r="R282" s="11" t="str">
        <f t="shared" si="1"/>
        <v>K-</v>
      </c>
    </row>
    <row r="283" spans="1:18" ht="14.25" customHeight="1" x14ac:dyDescent="0.25">
      <c r="A283" s="1">
        <v>279</v>
      </c>
      <c r="B283" s="1" t="s">
        <v>674</v>
      </c>
      <c r="C283" s="1" t="s">
        <v>948</v>
      </c>
      <c r="D283" s="1" t="s">
        <v>85</v>
      </c>
      <c r="E283" s="1" t="s">
        <v>36</v>
      </c>
      <c r="F283" s="1" t="s">
        <v>36</v>
      </c>
      <c r="G283" s="1">
        <v>313</v>
      </c>
      <c r="H283" s="1">
        <v>293</v>
      </c>
      <c r="I283" s="1">
        <v>268</v>
      </c>
      <c r="J283" s="1">
        <v>252</v>
      </c>
      <c r="K283" s="1">
        <v>287</v>
      </c>
      <c r="L283" s="1" t="s">
        <v>36</v>
      </c>
      <c r="M283" s="1" t="s">
        <v>36</v>
      </c>
      <c r="N283" s="1">
        <v>283</v>
      </c>
      <c r="O283" s="1">
        <v>300</v>
      </c>
      <c r="P283" s="1">
        <v>28.09</v>
      </c>
      <c r="Q283" s="1">
        <v>24.03</v>
      </c>
      <c r="R283" s="11" t="str">
        <f t="shared" si="1"/>
        <v>RB</v>
      </c>
    </row>
    <row r="284" spans="1:18" ht="14.25" customHeight="1" x14ac:dyDescent="0.25">
      <c r="A284" s="1">
        <v>280</v>
      </c>
      <c r="B284" s="1" t="s">
        <v>689</v>
      </c>
      <c r="C284" s="1" t="s">
        <v>586</v>
      </c>
      <c r="D284" s="1" t="s">
        <v>91</v>
      </c>
      <c r="E284" s="1">
        <v>208</v>
      </c>
      <c r="F284" s="1">
        <v>177</v>
      </c>
      <c r="G284" s="1">
        <v>230</v>
      </c>
      <c r="H284" s="1">
        <v>257</v>
      </c>
      <c r="I284" s="1" t="s">
        <v>36</v>
      </c>
      <c r="J284" s="1">
        <v>200</v>
      </c>
      <c r="K284" s="1">
        <v>182</v>
      </c>
      <c r="L284" s="1" t="s">
        <v>36</v>
      </c>
      <c r="M284" s="1" t="s">
        <v>36</v>
      </c>
      <c r="N284" s="1" t="s">
        <v>36</v>
      </c>
      <c r="O284" s="1" t="s">
        <v>36</v>
      </c>
      <c r="P284" s="1">
        <v>28.1</v>
      </c>
      <c r="Q284" s="1">
        <v>24.04</v>
      </c>
      <c r="R284" s="11" t="str">
        <f t="shared" si="1"/>
        <v>K-</v>
      </c>
    </row>
    <row r="285" spans="1:18" ht="14.25" customHeight="1" x14ac:dyDescent="0.25">
      <c r="A285" s="1">
        <v>281</v>
      </c>
      <c r="B285" s="1" t="s">
        <v>659</v>
      </c>
      <c r="C285" s="1" t="s">
        <v>941</v>
      </c>
      <c r="D285" s="1" t="s">
        <v>69</v>
      </c>
      <c r="E285" s="1" t="s">
        <v>36</v>
      </c>
      <c r="F285" s="1" t="s">
        <v>36</v>
      </c>
      <c r="G285" s="1" t="s">
        <v>36</v>
      </c>
      <c r="H285" s="1">
        <v>340</v>
      </c>
      <c r="I285" s="1">
        <v>270</v>
      </c>
      <c r="J285" s="1">
        <v>284</v>
      </c>
      <c r="K285" s="1">
        <v>319</v>
      </c>
      <c r="L285" s="1" t="s">
        <v>36</v>
      </c>
      <c r="M285" s="1">
        <v>268</v>
      </c>
      <c r="N285" s="1">
        <v>284</v>
      </c>
      <c r="O285" s="1">
        <v>260</v>
      </c>
      <c r="P285" s="1">
        <v>29.01</v>
      </c>
      <c r="Q285" s="1">
        <v>24.05</v>
      </c>
      <c r="R285" s="11" t="str">
        <f t="shared" si="1"/>
        <v>WR</v>
      </c>
    </row>
    <row r="286" spans="1:18" ht="14.25" customHeight="1" x14ac:dyDescent="0.25">
      <c r="A286" s="1">
        <v>282</v>
      </c>
      <c r="B286" s="1" t="s">
        <v>696</v>
      </c>
      <c r="C286" s="1" t="s">
        <v>985</v>
      </c>
      <c r="D286" s="1" t="s">
        <v>184</v>
      </c>
      <c r="E286" s="1">
        <v>153</v>
      </c>
      <c r="F286" s="1">
        <v>183</v>
      </c>
      <c r="G286" s="1">
        <v>269</v>
      </c>
      <c r="H286" s="1">
        <v>236</v>
      </c>
      <c r="I286" s="1" t="s">
        <v>36</v>
      </c>
      <c r="J286" s="1">
        <v>181</v>
      </c>
      <c r="K286" s="1">
        <v>257</v>
      </c>
      <c r="L286" s="1" t="s">
        <v>36</v>
      </c>
      <c r="M286" s="1" t="s">
        <v>36</v>
      </c>
      <c r="N286" s="1" t="s">
        <v>36</v>
      </c>
      <c r="O286" s="1" t="s">
        <v>36</v>
      </c>
      <c r="P286" s="1">
        <v>29.02</v>
      </c>
      <c r="Q286" s="1">
        <v>24.06</v>
      </c>
      <c r="R286" s="11" t="str">
        <f t="shared" si="1"/>
        <v>K-</v>
      </c>
    </row>
    <row r="287" spans="1:18" ht="14.25" customHeight="1" x14ac:dyDescent="0.25">
      <c r="A287" s="1">
        <v>283</v>
      </c>
      <c r="B287" s="1" t="s">
        <v>718</v>
      </c>
      <c r="C287" s="1" t="s">
        <v>951</v>
      </c>
      <c r="D287" s="1" t="s">
        <v>81</v>
      </c>
      <c r="E287" s="1">
        <v>188</v>
      </c>
      <c r="F287" s="1">
        <v>175</v>
      </c>
      <c r="G287" s="1">
        <v>270</v>
      </c>
      <c r="H287" s="1">
        <v>316</v>
      </c>
      <c r="I287" s="1" t="s">
        <v>36</v>
      </c>
      <c r="J287" s="1">
        <v>108</v>
      </c>
      <c r="K287" s="1" t="s">
        <v>36</v>
      </c>
      <c r="L287" s="1">
        <v>224</v>
      </c>
      <c r="M287" s="1" t="s">
        <v>36</v>
      </c>
      <c r="N287" s="1" t="s">
        <v>36</v>
      </c>
      <c r="O287" s="1" t="s">
        <v>36</v>
      </c>
      <c r="P287" s="1">
        <v>29.03</v>
      </c>
      <c r="Q287" s="1">
        <v>24.07</v>
      </c>
      <c r="R287" s="11" t="str">
        <f t="shared" si="1"/>
        <v>K-</v>
      </c>
    </row>
    <row r="288" spans="1:18" ht="14.25" customHeight="1" x14ac:dyDescent="0.25">
      <c r="A288" s="1">
        <v>284</v>
      </c>
      <c r="B288" s="1" t="s">
        <v>1139</v>
      </c>
      <c r="C288" s="1" t="s">
        <v>609</v>
      </c>
      <c r="D288" s="1" t="s">
        <v>155</v>
      </c>
      <c r="E288" s="1">
        <v>212</v>
      </c>
      <c r="F288" s="1">
        <v>220</v>
      </c>
      <c r="G288" s="1" t="s">
        <v>36</v>
      </c>
      <c r="H288" s="1">
        <v>296</v>
      </c>
      <c r="I288" s="1">
        <v>246</v>
      </c>
      <c r="J288" s="1">
        <v>83</v>
      </c>
      <c r="K288" s="1" t="s">
        <v>36</v>
      </c>
      <c r="L288" s="1" t="s">
        <v>36</v>
      </c>
      <c r="M288" s="1">
        <v>227</v>
      </c>
      <c r="N288" s="1" t="s">
        <v>36</v>
      </c>
      <c r="O288" s="1" t="s">
        <v>36</v>
      </c>
      <c r="P288" s="1">
        <v>29.04</v>
      </c>
      <c r="Q288" s="1">
        <v>24.08</v>
      </c>
      <c r="R288" s="11" t="str">
        <f t="shared" si="1"/>
        <v>DE</v>
      </c>
    </row>
    <row r="289" spans="1:18" ht="14.25" customHeight="1" x14ac:dyDescent="0.25">
      <c r="A289" s="1">
        <v>285</v>
      </c>
      <c r="B289" s="1" t="s">
        <v>1140</v>
      </c>
      <c r="C289" s="1" t="s">
        <v>644</v>
      </c>
      <c r="D289" s="1" t="s">
        <v>187</v>
      </c>
      <c r="E289" s="1" t="s">
        <v>36</v>
      </c>
      <c r="F289" s="1">
        <v>215</v>
      </c>
      <c r="G289" s="1" t="s">
        <v>36</v>
      </c>
      <c r="H289" s="1">
        <v>318</v>
      </c>
      <c r="I289" s="1">
        <v>261</v>
      </c>
      <c r="J289" s="1">
        <v>125</v>
      </c>
      <c r="K289" s="1" t="s">
        <v>36</v>
      </c>
      <c r="L289" s="1">
        <v>217</v>
      </c>
      <c r="M289" s="1">
        <v>253</v>
      </c>
      <c r="N289" s="1" t="s">
        <v>36</v>
      </c>
      <c r="O289" s="1" t="s">
        <v>36</v>
      </c>
      <c r="P289" s="1">
        <v>29.05</v>
      </c>
      <c r="Q289" s="1">
        <v>24.09</v>
      </c>
      <c r="R289" s="11" t="str">
        <f t="shared" si="1"/>
        <v>DE</v>
      </c>
    </row>
    <row r="290" spans="1:18" ht="14.25" customHeight="1" x14ac:dyDescent="0.25">
      <c r="A290" s="1">
        <v>286</v>
      </c>
      <c r="B290" s="1" t="s">
        <v>663</v>
      </c>
      <c r="C290" s="1" t="s">
        <v>508</v>
      </c>
      <c r="D290" s="1" t="s">
        <v>81</v>
      </c>
      <c r="E290" s="1" t="s">
        <v>36</v>
      </c>
      <c r="F290" s="1" t="s">
        <v>36</v>
      </c>
      <c r="G290" s="1" t="s">
        <v>36</v>
      </c>
      <c r="H290" s="1">
        <v>246</v>
      </c>
      <c r="I290" s="1">
        <v>259</v>
      </c>
      <c r="J290" s="1" t="s">
        <v>36</v>
      </c>
      <c r="K290" s="1" t="s">
        <v>36</v>
      </c>
      <c r="L290" s="1">
        <v>249</v>
      </c>
      <c r="M290" s="1">
        <v>277</v>
      </c>
      <c r="N290" s="1">
        <v>194</v>
      </c>
      <c r="O290" s="1">
        <v>196</v>
      </c>
      <c r="P290" s="1">
        <v>29.06</v>
      </c>
      <c r="Q290" s="1">
        <v>24.1</v>
      </c>
      <c r="R290" s="11" t="str">
        <f t="shared" si="1"/>
        <v>WR</v>
      </c>
    </row>
    <row r="291" spans="1:18" ht="14.25" customHeight="1" x14ac:dyDescent="0.25">
      <c r="A291" s="1">
        <v>287</v>
      </c>
      <c r="B291" s="1" t="s">
        <v>1141</v>
      </c>
      <c r="C291" s="1" t="s">
        <v>946</v>
      </c>
      <c r="D291" s="1" t="s">
        <v>60</v>
      </c>
      <c r="E291" s="1" t="s">
        <v>36</v>
      </c>
      <c r="F291" s="1">
        <v>180</v>
      </c>
      <c r="G291" s="1" t="s">
        <v>36</v>
      </c>
      <c r="H291" s="1">
        <v>331</v>
      </c>
      <c r="I291" s="1">
        <v>271</v>
      </c>
      <c r="J291" s="1">
        <v>234</v>
      </c>
      <c r="K291" s="1">
        <v>290</v>
      </c>
      <c r="L291" s="1" t="s">
        <v>36</v>
      </c>
      <c r="M291" s="1">
        <v>264</v>
      </c>
      <c r="N291" s="1" t="s">
        <v>36</v>
      </c>
      <c r="O291" s="1" t="s">
        <v>36</v>
      </c>
      <c r="P291" s="1">
        <v>29.07</v>
      </c>
      <c r="Q291" s="1">
        <v>24.11</v>
      </c>
      <c r="R291" s="11" t="str">
        <f t="shared" si="1"/>
        <v>DE</v>
      </c>
    </row>
    <row r="292" spans="1:18" ht="14.25" customHeight="1" x14ac:dyDescent="0.25">
      <c r="A292" s="1">
        <v>288</v>
      </c>
      <c r="B292" s="1" t="s">
        <v>665</v>
      </c>
      <c r="C292" s="1" t="s">
        <v>1117</v>
      </c>
      <c r="D292" s="1" t="s">
        <v>39</v>
      </c>
      <c r="E292" s="1" t="s">
        <v>36</v>
      </c>
      <c r="F292" s="1" t="s">
        <v>36</v>
      </c>
      <c r="G292" s="1" t="s">
        <v>36</v>
      </c>
      <c r="H292" s="1">
        <v>263</v>
      </c>
      <c r="I292" s="1">
        <v>258</v>
      </c>
      <c r="J292" s="1">
        <v>345</v>
      </c>
      <c r="K292" s="1" t="s">
        <v>36</v>
      </c>
      <c r="L292" s="1" t="s">
        <v>36</v>
      </c>
      <c r="M292" s="1">
        <v>265</v>
      </c>
      <c r="N292" s="1">
        <v>218</v>
      </c>
      <c r="O292" s="1">
        <v>229</v>
      </c>
      <c r="P292" s="1">
        <v>29.08</v>
      </c>
      <c r="Q292" s="1">
        <v>24.12</v>
      </c>
      <c r="R292" s="11" t="str">
        <f t="shared" si="1"/>
        <v>WR</v>
      </c>
    </row>
    <row r="293" spans="1:18" ht="14.25" customHeight="1" x14ac:dyDescent="0.25">
      <c r="A293" s="1">
        <v>289</v>
      </c>
      <c r="B293" s="1" t="s">
        <v>667</v>
      </c>
      <c r="C293" s="1" t="s">
        <v>440</v>
      </c>
      <c r="D293" s="1" t="s">
        <v>49</v>
      </c>
      <c r="E293" s="1" t="s">
        <v>36</v>
      </c>
      <c r="F293" s="1">
        <v>259</v>
      </c>
      <c r="G293" s="1" t="s">
        <v>36</v>
      </c>
      <c r="H293" s="1">
        <v>264</v>
      </c>
      <c r="I293" s="1" t="s">
        <v>36</v>
      </c>
      <c r="J293" s="1" t="s">
        <v>36</v>
      </c>
      <c r="K293" s="1">
        <v>256</v>
      </c>
      <c r="L293" s="1" t="s">
        <v>36</v>
      </c>
      <c r="M293" s="1">
        <v>292</v>
      </c>
      <c r="N293" s="1">
        <v>263</v>
      </c>
      <c r="O293" s="1">
        <v>247</v>
      </c>
      <c r="P293" s="1">
        <v>29.09</v>
      </c>
      <c r="Q293" s="1">
        <v>25.01</v>
      </c>
      <c r="R293" s="11" t="str">
        <f t="shared" si="1"/>
        <v>TE</v>
      </c>
    </row>
    <row r="294" spans="1:18" ht="14.25" customHeight="1" x14ac:dyDescent="0.25">
      <c r="A294" s="1">
        <v>290</v>
      </c>
      <c r="B294" s="1" t="s">
        <v>669</v>
      </c>
      <c r="C294" s="1" t="s">
        <v>1121</v>
      </c>
      <c r="D294" s="1" t="s">
        <v>88</v>
      </c>
      <c r="E294" s="1" t="s">
        <v>36</v>
      </c>
      <c r="F294" s="1">
        <v>271</v>
      </c>
      <c r="G294" s="1" t="s">
        <v>36</v>
      </c>
      <c r="H294" s="1">
        <v>284</v>
      </c>
      <c r="I294" s="1">
        <v>276</v>
      </c>
      <c r="J294" s="1" t="s">
        <v>36</v>
      </c>
      <c r="K294" s="1" t="s">
        <v>36</v>
      </c>
      <c r="L294" s="1" t="s">
        <v>36</v>
      </c>
      <c r="M294" s="1">
        <v>284</v>
      </c>
      <c r="N294" s="1">
        <v>243</v>
      </c>
      <c r="O294" s="1">
        <v>225</v>
      </c>
      <c r="P294" s="1">
        <v>29.1</v>
      </c>
      <c r="Q294" s="1">
        <v>25.02</v>
      </c>
      <c r="R294" s="11" t="str">
        <f t="shared" si="1"/>
        <v>WR</v>
      </c>
    </row>
    <row r="295" spans="1:18" ht="14.25" customHeight="1" x14ac:dyDescent="0.25">
      <c r="A295" s="1">
        <v>291</v>
      </c>
      <c r="B295" s="1" t="s">
        <v>679</v>
      </c>
      <c r="C295" s="1" t="s">
        <v>833</v>
      </c>
      <c r="D295" s="1" t="s">
        <v>129</v>
      </c>
      <c r="E295" s="1" t="s">
        <v>36</v>
      </c>
      <c r="F295" s="1" t="s">
        <v>36</v>
      </c>
      <c r="G295" s="1" t="s">
        <v>36</v>
      </c>
      <c r="H295" s="1">
        <v>299</v>
      </c>
      <c r="I295" s="1">
        <v>265</v>
      </c>
      <c r="J295" s="1" t="s">
        <v>36</v>
      </c>
      <c r="K295" s="1">
        <v>249</v>
      </c>
      <c r="L295" s="1" t="s">
        <v>36</v>
      </c>
      <c r="M295" s="1">
        <v>248</v>
      </c>
      <c r="N295" s="1">
        <v>253</v>
      </c>
      <c r="O295" s="1">
        <v>282</v>
      </c>
      <c r="P295" s="1">
        <v>30.01</v>
      </c>
      <c r="Q295" s="1">
        <v>25.03</v>
      </c>
      <c r="R295" s="11" t="str">
        <f t="shared" si="1"/>
        <v>RB</v>
      </c>
    </row>
    <row r="296" spans="1:18" ht="14.25" customHeight="1" x14ac:dyDescent="0.25">
      <c r="A296" s="1">
        <v>292</v>
      </c>
      <c r="B296" s="1" t="s">
        <v>1142</v>
      </c>
      <c r="C296" s="1" t="s">
        <v>627</v>
      </c>
      <c r="D296" s="1" t="s">
        <v>39</v>
      </c>
      <c r="E296" s="1" t="s">
        <v>36</v>
      </c>
      <c r="F296" s="1">
        <v>231</v>
      </c>
      <c r="G296" s="1" t="s">
        <v>36</v>
      </c>
      <c r="H296" s="1">
        <v>312</v>
      </c>
      <c r="I296" s="1" t="s">
        <v>36</v>
      </c>
      <c r="J296" s="1">
        <v>281</v>
      </c>
      <c r="K296" s="1" t="s">
        <v>36</v>
      </c>
      <c r="L296" s="1" t="s">
        <v>36</v>
      </c>
      <c r="M296" s="1">
        <v>274</v>
      </c>
      <c r="N296" s="1">
        <v>248</v>
      </c>
      <c r="O296" s="1">
        <v>327</v>
      </c>
      <c r="P296" s="1">
        <v>30.02</v>
      </c>
      <c r="Q296" s="1">
        <v>25.04</v>
      </c>
      <c r="R296" s="11" t="str">
        <f t="shared" si="1"/>
        <v>QB</v>
      </c>
    </row>
    <row r="297" spans="1:18" ht="14.25" customHeight="1" x14ac:dyDescent="0.25">
      <c r="A297" s="1">
        <v>293</v>
      </c>
      <c r="B297" s="1" t="s">
        <v>681</v>
      </c>
      <c r="C297" s="1" t="s">
        <v>820</v>
      </c>
      <c r="D297" s="1" t="s">
        <v>66</v>
      </c>
      <c r="E297" s="1" t="s">
        <v>36</v>
      </c>
      <c r="F297" s="1" t="s">
        <v>36</v>
      </c>
      <c r="G297" s="1" t="s">
        <v>36</v>
      </c>
      <c r="H297" s="1">
        <v>276</v>
      </c>
      <c r="I297" s="1">
        <v>318</v>
      </c>
      <c r="J297" s="1">
        <v>317</v>
      </c>
      <c r="K297" s="1" t="s">
        <v>36</v>
      </c>
      <c r="L297" s="1" t="s">
        <v>36</v>
      </c>
      <c r="M297" s="1">
        <v>275</v>
      </c>
      <c r="N297" s="1">
        <v>266</v>
      </c>
      <c r="O297" s="1">
        <v>269</v>
      </c>
      <c r="P297" s="1">
        <v>30.03</v>
      </c>
      <c r="Q297" s="1">
        <v>25.05</v>
      </c>
      <c r="R297" s="11" t="str">
        <f t="shared" si="1"/>
        <v>RB</v>
      </c>
    </row>
    <row r="298" spans="1:18" ht="14.25" customHeight="1" x14ac:dyDescent="0.25">
      <c r="A298" s="1">
        <v>294</v>
      </c>
      <c r="B298" s="1" t="s">
        <v>671</v>
      </c>
      <c r="C298" s="1" t="s">
        <v>1119</v>
      </c>
      <c r="D298" s="1" t="s">
        <v>49</v>
      </c>
      <c r="E298" s="1" t="s">
        <v>36</v>
      </c>
      <c r="F298" s="1" t="s">
        <v>36</v>
      </c>
      <c r="G298" s="1">
        <v>327</v>
      </c>
      <c r="H298" s="1">
        <v>288</v>
      </c>
      <c r="I298" s="1" t="s">
        <v>36</v>
      </c>
      <c r="J298" s="1">
        <v>337</v>
      </c>
      <c r="K298" s="1" t="s">
        <v>36</v>
      </c>
      <c r="L298" s="1" t="s">
        <v>36</v>
      </c>
      <c r="M298" s="1">
        <v>270</v>
      </c>
      <c r="N298" s="1">
        <v>278</v>
      </c>
      <c r="O298" s="1">
        <v>243</v>
      </c>
      <c r="P298" s="1">
        <v>30.04</v>
      </c>
      <c r="Q298" s="1">
        <v>25.06</v>
      </c>
      <c r="R298" s="11" t="str">
        <f t="shared" si="1"/>
        <v>WR</v>
      </c>
    </row>
    <row r="299" spans="1:18" ht="14.25" customHeight="1" x14ac:dyDescent="0.25">
      <c r="A299" s="1">
        <v>295</v>
      </c>
      <c r="B299" s="1" t="s">
        <v>692</v>
      </c>
      <c r="C299" s="1" t="s">
        <v>923</v>
      </c>
      <c r="D299" s="1" t="s">
        <v>88</v>
      </c>
      <c r="E299" s="1" t="s">
        <v>36</v>
      </c>
      <c r="F299" s="1">
        <v>326</v>
      </c>
      <c r="G299" s="1" t="s">
        <v>36</v>
      </c>
      <c r="H299" s="1">
        <v>291</v>
      </c>
      <c r="I299" s="1" t="s">
        <v>36</v>
      </c>
      <c r="J299" s="1">
        <v>262</v>
      </c>
      <c r="K299" s="1">
        <v>311</v>
      </c>
      <c r="L299" s="1" t="s">
        <v>36</v>
      </c>
      <c r="M299" s="1" t="s">
        <v>36</v>
      </c>
      <c r="N299" s="1">
        <v>270</v>
      </c>
      <c r="O299" s="1">
        <v>284</v>
      </c>
      <c r="P299" s="1">
        <v>30.05</v>
      </c>
      <c r="Q299" s="1">
        <v>25.07</v>
      </c>
      <c r="R299" s="11" t="str">
        <f t="shared" si="1"/>
        <v>TE</v>
      </c>
    </row>
    <row r="300" spans="1:18" ht="14.25" customHeight="1" x14ac:dyDescent="0.25">
      <c r="A300" s="1">
        <v>296</v>
      </c>
      <c r="B300" s="1" t="s">
        <v>1143</v>
      </c>
      <c r="C300" s="1" t="s">
        <v>931</v>
      </c>
      <c r="D300" s="1" t="s">
        <v>44</v>
      </c>
      <c r="E300" s="1" t="s">
        <v>36</v>
      </c>
      <c r="F300" s="1">
        <v>223</v>
      </c>
      <c r="G300" s="1" t="s">
        <v>36</v>
      </c>
      <c r="H300" s="1">
        <v>323</v>
      </c>
      <c r="I300" s="1">
        <v>267</v>
      </c>
      <c r="J300" s="1">
        <v>97</v>
      </c>
      <c r="K300" s="1" t="s">
        <v>36</v>
      </c>
      <c r="L300" s="1" t="s">
        <v>36</v>
      </c>
      <c r="M300" s="1">
        <v>281</v>
      </c>
      <c r="N300" s="1" t="s">
        <v>36</v>
      </c>
      <c r="O300" s="1" t="s">
        <v>36</v>
      </c>
      <c r="P300" s="1">
        <v>30.06</v>
      </c>
      <c r="Q300" s="1">
        <v>25.08</v>
      </c>
      <c r="R300" s="11" t="str">
        <f t="shared" si="1"/>
        <v>DE</v>
      </c>
    </row>
    <row r="301" spans="1:18" ht="14.25" customHeight="1" x14ac:dyDescent="0.25">
      <c r="A301" s="1">
        <v>297</v>
      </c>
      <c r="B301" s="1" t="s">
        <v>1144</v>
      </c>
      <c r="C301" s="1" t="s">
        <v>1145</v>
      </c>
      <c r="D301" s="1" t="s">
        <v>94</v>
      </c>
      <c r="E301" s="1" t="s">
        <v>36</v>
      </c>
      <c r="F301" s="1">
        <v>217</v>
      </c>
      <c r="G301" s="1">
        <v>315</v>
      </c>
      <c r="H301" s="1">
        <v>305</v>
      </c>
      <c r="I301" s="1" t="s">
        <v>36</v>
      </c>
      <c r="J301" s="1">
        <v>161</v>
      </c>
      <c r="K301" s="1">
        <v>215</v>
      </c>
      <c r="L301" s="1" t="s">
        <v>36</v>
      </c>
      <c r="M301" s="1" t="s">
        <v>36</v>
      </c>
      <c r="N301" s="1" t="s">
        <v>36</v>
      </c>
      <c r="O301" s="1" t="s">
        <v>36</v>
      </c>
      <c r="P301" s="1">
        <v>30.07</v>
      </c>
      <c r="Q301" s="1">
        <v>25.09</v>
      </c>
      <c r="R301" s="11" t="str">
        <f t="shared" si="1"/>
        <v>K-</v>
      </c>
    </row>
    <row r="302" spans="1:18" ht="14.25" customHeight="1" x14ac:dyDescent="0.25">
      <c r="A302" s="1">
        <v>298</v>
      </c>
      <c r="B302" s="1" t="s">
        <v>1146</v>
      </c>
      <c r="C302" s="1" t="s">
        <v>594</v>
      </c>
      <c r="D302" s="1" t="s">
        <v>72</v>
      </c>
      <c r="E302" s="1" t="s">
        <v>36</v>
      </c>
      <c r="F302" s="1">
        <v>221</v>
      </c>
      <c r="G302" s="1">
        <v>334</v>
      </c>
      <c r="H302" s="1">
        <v>285</v>
      </c>
      <c r="I302" s="1" t="s">
        <v>36</v>
      </c>
      <c r="J302" s="1">
        <v>196</v>
      </c>
      <c r="K302" s="1">
        <v>258</v>
      </c>
      <c r="L302" s="1" t="s">
        <v>36</v>
      </c>
      <c r="M302" s="1" t="s">
        <v>36</v>
      </c>
      <c r="N302" s="1" t="s">
        <v>36</v>
      </c>
      <c r="O302" s="1" t="s">
        <v>36</v>
      </c>
      <c r="P302" s="1">
        <v>30.08</v>
      </c>
      <c r="Q302" s="1">
        <v>25.1</v>
      </c>
      <c r="R302" s="11" t="str">
        <f t="shared" si="1"/>
        <v>K-</v>
      </c>
    </row>
    <row r="303" spans="1:18" ht="14.25" customHeight="1" x14ac:dyDescent="0.25">
      <c r="A303" s="1">
        <v>299</v>
      </c>
      <c r="B303" s="1" t="s">
        <v>1147</v>
      </c>
      <c r="C303" s="1" t="s">
        <v>710</v>
      </c>
      <c r="D303" s="1" t="s">
        <v>39</v>
      </c>
      <c r="E303" s="1" t="s">
        <v>36</v>
      </c>
      <c r="F303" s="1">
        <v>236</v>
      </c>
      <c r="G303" s="1">
        <v>293</v>
      </c>
      <c r="H303" s="1" t="s">
        <v>36</v>
      </c>
      <c r="I303" s="1">
        <v>272</v>
      </c>
      <c r="J303" s="1">
        <v>224</v>
      </c>
      <c r="K303" s="1" t="s">
        <v>36</v>
      </c>
      <c r="L303" s="1" t="s">
        <v>36</v>
      </c>
      <c r="M303" s="1">
        <v>273</v>
      </c>
      <c r="N303" s="1" t="s">
        <v>36</v>
      </c>
      <c r="O303" s="1" t="s">
        <v>36</v>
      </c>
      <c r="P303" s="1">
        <v>30.09</v>
      </c>
      <c r="Q303" s="1">
        <v>25.11</v>
      </c>
      <c r="R303" s="11" t="str">
        <f t="shared" si="1"/>
        <v>DE</v>
      </c>
    </row>
    <row r="304" spans="1:18" ht="14.25" customHeight="1" x14ac:dyDescent="0.25">
      <c r="A304" s="1">
        <v>300</v>
      </c>
      <c r="B304" s="1" t="s">
        <v>676</v>
      </c>
      <c r="C304" s="1" t="s">
        <v>401</v>
      </c>
      <c r="D304" s="1" t="s">
        <v>94</v>
      </c>
      <c r="E304" s="1" t="s">
        <v>36</v>
      </c>
      <c r="F304" s="1" t="s">
        <v>36</v>
      </c>
      <c r="G304" s="1" t="s">
        <v>36</v>
      </c>
      <c r="H304" s="1">
        <v>313</v>
      </c>
      <c r="I304" s="1">
        <v>257</v>
      </c>
      <c r="J304" s="1" t="s">
        <v>36</v>
      </c>
      <c r="K304" s="1" t="s">
        <v>36</v>
      </c>
      <c r="L304" s="1" t="s">
        <v>36</v>
      </c>
      <c r="M304" s="1">
        <v>266</v>
      </c>
      <c r="N304" s="1">
        <v>244</v>
      </c>
      <c r="O304" s="1">
        <v>233</v>
      </c>
      <c r="P304" s="1">
        <v>30.1</v>
      </c>
      <c r="Q304" s="1">
        <v>25.12</v>
      </c>
    </row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4:R302" xr:uid="{00000000-0009-0000-0000-00000B000000}">
    <sortState xmlns:xlrd2="http://schemas.microsoft.com/office/spreadsheetml/2017/richdata2" ref="A4:R302">
      <sortCondition ref="F4:F302"/>
    </sortState>
  </autoFilter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1000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14.42578125" defaultRowHeight="15" customHeight="1" x14ac:dyDescent="0.25"/>
  <cols>
    <col min="1" max="2" width="8.7109375" customWidth="1"/>
    <col min="3" max="5" width="9.7109375" customWidth="1"/>
    <col min="6" max="6" width="8.7109375" customWidth="1"/>
    <col min="7" max="7" width="21.140625" customWidth="1"/>
    <col min="8" max="9" width="8.7109375" customWidth="1"/>
    <col min="10" max="10" width="21" customWidth="1"/>
    <col min="11" max="14" width="8.7109375" customWidth="1"/>
    <col min="15" max="21" width="8.85546875" customWidth="1"/>
    <col min="22" max="32" width="8.7109375" customWidth="1"/>
  </cols>
  <sheetData>
    <row r="1" spans="1:32" ht="14.25" customHeight="1" x14ac:dyDescent="0.35">
      <c r="A1" s="95" t="s">
        <v>1</v>
      </c>
      <c r="B1" s="96"/>
      <c r="C1" s="96"/>
      <c r="D1" s="2"/>
      <c r="E1" s="2"/>
      <c r="F1" s="2"/>
      <c r="G1" s="2"/>
      <c r="H1" s="3"/>
      <c r="I1" s="2"/>
      <c r="J1" s="2" t="s">
        <v>4</v>
      </c>
      <c r="K1" s="4">
        <v>1</v>
      </c>
      <c r="L1" s="4">
        <v>2</v>
      </c>
      <c r="M1" s="4">
        <v>3</v>
      </c>
      <c r="N1" s="4">
        <v>4</v>
      </c>
      <c r="O1" s="4">
        <v>5</v>
      </c>
      <c r="P1" s="4">
        <v>6</v>
      </c>
      <c r="Q1" s="4">
        <v>7</v>
      </c>
      <c r="R1" s="4">
        <v>8</v>
      </c>
      <c r="S1" s="4">
        <v>9</v>
      </c>
      <c r="T1" s="4">
        <v>10</v>
      </c>
      <c r="U1" s="4">
        <v>11</v>
      </c>
      <c r="V1" s="4">
        <v>12</v>
      </c>
      <c r="W1" s="4">
        <v>13</v>
      </c>
      <c r="X1" s="4">
        <v>14</v>
      </c>
      <c r="Y1" s="4">
        <v>15</v>
      </c>
      <c r="Z1" s="4">
        <v>16</v>
      </c>
      <c r="AB1" s="4"/>
      <c r="AC1" s="4"/>
      <c r="AD1" s="4"/>
      <c r="AF1" s="2"/>
    </row>
    <row r="2" spans="1:32" ht="14.25" customHeight="1" x14ac:dyDescent="0.25">
      <c r="A2" s="1" t="s">
        <v>14</v>
      </c>
      <c r="B2" s="2" t="s">
        <v>17</v>
      </c>
      <c r="C2" s="2"/>
      <c r="D2" s="2"/>
      <c r="E2" s="2"/>
      <c r="F2" s="2"/>
      <c r="G2" s="2"/>
      <c r="H2" s="3" t="s">
        <v>21</v>
      </c>
      <c r="I2" s="2">
        <v>3</v>
      </c>
      <c r="J2" s="2" t="s">
        <v>23</v>
      </c>
      <c r="K2" s="2">
        <f t="shared" ref="K2:Z2" si="0">COUNTIF($D$7:$D$301, K1)</f>
        <v>3</v>
      </c>
      <c r="L2" s="2">
        <f t="shared" si="0"/>
        <v>19</v>
      </c>
      <c r="M2" s="2">
        <f t="shared" si="0"/>
        <v>5</v>
      </c>
      <c r="N2" s="2">
        <f t="shared" si="0"/>
        <v>19</v>
      </c>
      <c r="O2" s="2">
        <f t="shared" si="0"/>
        <v>5</v>
      </c>
      <c r="P2" s="2">
        <f t="shared" si="0"/>
        <v>17</v>
      </c>
      <c r="Q2" s="2">
        <f t="shared" si="0"/>
        <v>8</v>
      </c>
      <c r="R2" s="12">
        <f t="shared" si="0"/>
        <v>0</v>
      </c>
      <c r="S2" s="2">
        <f t="shared" si="0"/>
        <v>21</v>
      </c>
      <c r="T2" s="2">
        <f t="shared" si="0"/>
        <v>3</v>
      </c>
      <c r="U2" s="2">
        <f t="shared" si="0"/>
        <v>4</v>
      </c>
      <c r="V2" s="2">
        <f t="shared" si="0"/>
        <v>1</v>
      </c>
      <c r="W2" s="2">
        <f t="shared" si="0"/>
        <v>1</v>
      </c>
      <c r="X2" s="12">
        <f t="shared" si="0"/>
        <v>0</v>
      </c>
      <c r="Y2" s="2">
        <f t="shared" si="0"/>
        <v>0</v>
      </c>
      <c r="Z2" s="2">
        <f t="shared" si="0"/>
        <v>0</v>
      </c>
      <c r="AD2" s="2"/>
      <c r="AF2" s="2"/>
    </row>
    <row r="3" spans="1:32" ht="14.25" customHeight="1" x14ac:dyDescent="0.25">
      <c r="B3" s="2" t="s">
        <v>40</v>
      </c>
      <c r="C3" s="2"/>
      <c r="D3" s="2"/>
      <c r="E3" s="2"/>
      <c r="F3" s="2"/>
      <c r="G3" s="2"/>
      <c r="H3" s="3" t="s">
        <v>41</v>
      </c>
      <c r="I3" s="2">
        <f>24-I2+1</f>
        <v>22</v>
      </c>
      <c r="J3" s="2" t="s">
        <v>46</v>
      </c>
      <c r="K3" s="2">
        <f>K2</f>
        <v>3</v>
      </c>
      <c r="L3" s="2">
        <f t="shared" ref="L3:Z3" si="1">K3+L2</f>
        <v>22</v>
      </c>
      <c r="M3" s="2">
        <f t="shared" si="1"/>
        <v>27</v>
      </c>
      <c r="N3" s="2">
        <f t="shared" si="1"/>
        <v>46</v>
      </c>
      <c r="O3" s="2">
        <f t="shared" si="1"/>
        <v>51</v>
      </c>
      <c r="P3" s="2">
        <f t="shared" si="1"/>
        <v>68</v>
      </c>
      <c r="Q3" s="2">
        <f t="shared" si="1"/>
        <v>76</v>
      </c>
      <c r="R3" s="2">
        <f t="shared" si="1"/>
        <v>76</v>
      </c>
      <c r="S3" s="2">
        <f t="shared" si="1"/>
        <v>97</v>
      </c>
      <c r="T3" s="2">
        <f t="shared" si="1"/>
        <v>100</v>
      </c>
      <c r="U3" s="2">
        <f t="shared" si="1"/>
        <v>104</v>
      </c>
      <c r="V3" s="2">
        <f t="shared" si="1"/>
        <v>105</v>
      </c>
      <c r="W3" s="2">
        <f t="shared" si="1"/>
        <v>106</v>
      </c>
      <c r="X3" s="2">
        <f t="shared" si="1"/>
        <v>106</v>
      </c>
      <c r="Y3" s="2">
        <f t="shared" si="1"/>
        <v>106</v>
      </c>
      <c r="Z3" s="2">
        <f t="shared" si="1"/>
        <v>106</v>
      </c>
      <c r="AD3" s="2"/>
      <c r="AF3" s="2"/>
    </row>
    <row r="4" spans="1:32" ht="14.25" customHeight="1" x14ac:dyDescent="0.25">
      <c r="B4" s="1" t="s">
        <v>59</v>
      </c>
      <c r="C4" s="2"/>
      <c r="D4" s="2"/>
      <c r="E4" s="2"/>
      <c r="G4" s="2"/>
      <c r="H4" s="3"/>
      <c r="I4" s="2"/>
      <c r="J4" s="2" t="s">
        <v>61</v>
      </c>
      <c r="K4" s="2">
        <f>I2</f>
        <v>3</v>
      </c>
      <c r="L4" s="2">
        <f>I3</f>
        <v>22</v>
      </c>
      <c r="M4" s="2">
        <f>L4+5</f>
        <v>27</v>
      </c>
      <c r="N4" s="2">
        <f>M4+19</f>
        <v>46</v>
      </c>
      <c r="O4" s="2">
        <f>N4+5</f>
        <v>51</v>
      </c>
      <c r="P4" s="2">
        <f>O4+19</f>
        <v>70</v>
      </c>
      <c r="Q4" s="2">
        <f>P4+5</f>
        <v>75</v>
      </c>
      <c r="R4" s="2">
        <f>Q4+19</f>
        <v>94</v>
      </c>
      <c r="S4" s="2">
        <f>R4+5</f>
        <v>99</v>
      </c>
      <c r="T4" s="2">
        <f>S4+19</f>
        <v>118</v>
      </c>
      <c r="U4" s="2">
        <f>T4+5</f>
        <v>123</v>
      </c>
      <c r="V4" s="2">
        <f>U4+19</f>
        <v>142</v>
      </c>
      <c r="W4" s="2">
        <f>V4+5</f>
        <v>147</v>
      </c>
      <c r="X4" s="2">
        <f>W4+19</f>
        <v>166</v>
      </c>
      <c r="Y4" s="2">
        <f>X4+5</f>
        <v>171</v>
      </c>
      <c r="Z4" s="2">
        <f>Y4+19</f>
        <v>190</v>
      </c>
      <c r="AD4" s="2"/>
      <c r="AF4" s="2"/>
    </row>
    <row r="5" spans="1:32" ht="14.25" customHeight="1" x14ac:dyDescent="0.25">
      <c r="C5" s="2"/>
      <c r="D5" s="2"/>
      <c r="E5" s="2"/>
      <c r="F5" s="2"/>
      <c r="G5" s="2"/>
      <c r="H5" s="3"/>
      <c r="I5" s="2"/>
      <c r="J5" s="2" t="s">
        <v>82</v>
      </c>
      <c r="K5" s="2">
        <f t="shared" ref="K5:Z5" si="2">K3-K4</f>
        <v>0</v>
      </c>
      <c r="L5" s="2">
        <f t="shared" si="2"/>
        <v>0</v>
      </c>
      <c r="M5" s="2">
        <f t="shared" si="2"/>
        <v>0</v>
      </c>
      <c r="N5" s="2">
        <f t="shared" si="2"/>
        <v>0</v>
      </c>
      <c r="O5" s="2">
        <f t="shared" si="2"/>
        <v>0</v>
      </c>
      <c r="P5" s="2">
        <f t="shared" si="2"/>
        <v>-2</v>
      </c>
      <c r="Q5" s="2">
        <f t="shared" si="2"/>
        <v>1</v>
      </c>
      <c r="R5" s="2">
        <f t="shared" si="2"/>
        <v>-18</v>
      </c>
      <c r="S5" s="2">
        <f t="shared" si="2"/>
        <v>-2</v>
      </c>
      <c r="T5" s="2">
        <f t="shared" si="2"/>
        <v>-18</v>
      </c>
      <c r="U5" s="2">
        <f t="shared" si="2"/>
        <v>-19</v>
      </c>
      <c r="V5" s="2">
        <f t="shared" si="2"/>
        <v>-37</v>
      </c>
      <c r="W5" s="2">
        <f t="shared" si="2"/>
        <v>-41</v>
      </c>
      <c r="X5" s="2">
        <f t="shared" si="2"/>
        <v>-60</v>
      </c>
      <c r="Y5" s="2">
        <f t="shared" si="2"/>
        <v>-65</v>
      </c>
      <c r="Z5" s="2">
        <f t="shared" si="2"/>
        <v>-84</v>
      </c>
      <c r="AD5" s="2"/>
      <c r="AF5" s="2"/>
    </row>
    <row r="6" spans="1:32" ht="14.25" customHeight="1" x14ac:dyDescent="0.25">
      <c r="A6" s="15" t="s">
        <v>95</v>
      </c>
      <c r="B6" s="16" t="s">
        <v>96</v>
      </c>
      <c r="C6" s="17" t="s">
        <v>99</v>
      </c>
      <c r="D6" s="17" t="s">
        <v>26</v>
      </c>
      <c r="E6" s="17" t="s">
        <v>100</v>
      </c>
      <c r="F6" s="17" t="s">
        <v>27</v>
      </c>
      <c r="G6" s="4" t="s">
        <v>5</v>
      </c>
      <c r="H6" s="4" t="s">
        <v>8</v>
      </c>
      <c r="I6" s="4" t="s">
        <v>7</v>
      </c>
      <c r="J6" s="4" t="s">
        <v>28</v>
      </c>
      <c r="K6" s="4" t="s">
        <v>29</v>
      </c>
      <c r="L6" s="18" t="s">
        <v>102</v>
      </c>
      <c r="M6" s="18" t="s">
        <v>18</v>
      </c>
      <c r="N6" s="16" t="s">
        <v>105</v>
      </c>
      <c r="O6" s="15" t="s">
        <v>22</v>
      </c>
      <c r="P6" s="19" t="s">
        <v>106</v>
      </c>
      <c r="Q6" s="15" t="s">
        <v>9</v>
      </c>
      <c r="R6" s="15" t="s">
        <v>10</v>
      </c>
      <c r="S6" s="15" t="s">
        <v>12</v>
      </c>
      <c r="T6" s="15" t="s">
        <v>19</v>
      </c>
      <c r="U6" s="15" t="s">
        <v>15</v>
      </c>
      <c r="V6" s="16" t="s">
        <v>110</v>
      </c>
      <c r="W6" s="16" t="s">
        <v>111</v>
      </c>
      <c r="X6" s="16" t="s">
        <v>112</v>
      </c>
      <c r="Y6" s="16" t="s">
        <v>113</v>
      </c>
      <c r="Z6" s="4" t="s">
        <v>30</v>
      </c>
    </row>
    <row r="7" spans="1:32" ht="14.25" customHeight="1" x14ac:dyDescent="0.25">
      <c r="A7" s="11"/>
      <c r="B7" s="11">
        <f t="shared" ref="B7:B261" si="3">IFERROR(INT(AVERAGE(Q7:U7)/12)+1, INT(AVERAGE(M7)/12)+1)</f>
        <v>1</v>
      </c>
      <c r="C7" s="11" t="s">
        <v>119</v>
      </c>
      <c r="D7" s="11">
        <v>1</v>
      </c>
      <c r="E7" s="11"/>
      <c r="F7" s="11">
        <f>VLOOKUP(G7, SeanRanks!$A$2:$E$302, 4, FALSE)</f>
        <v>0</v>
      </c>
      <c r="G7" s="11" t="s">
        <v>54</v>
      </c>
      <c r="H7" s="11" t="str">
        <f>VLOOKUP($G7, 'ADP Data'!$C$4:$Q$300, 2, FALSE)</f>
        <v>SF</v>
      </c>
      <c r="I7" s="11">
        <f>VLOOKUP(G7, 'ADP Data'!$C$4:$R$498, 12, FALSE)</f>
        <v>7</v>
      </c>
      <c r="J7" s="21">
        <f>VLOOKUP($G7, SeanRanks!$A$2:$H$303, 5, FALSE)</f>
        <v>0</v>
      </c>
      <c r="K7" s="11" t="str">
        <f>VLOOKUP($G7, SeanRanks!$A$2:$H$303, 6, FALSE)</f>
        <v>RB1 - 1 - Elite floor/ceiling</v>
      </c>
      <c r="L7" s="11">
        <f t="shared" ref="L7:L261" si="4">IFERROR(INT(M7/12)+1, 16)</f>
        <v>1</v>
      </c>
      <c r="M7" s="11">
        <f>VLOOKUP($G7, 'ADP Data'!$C$4:$Q$300, 9, FALSE)</f>
        <v>10</v>
      </c>
      <c r="N7" s="11">
        <f t="shared" ref="N7:N261" si="5">M7-V7</f>
        <v>2</v>
      </c>
      <c r="O7" s="11">
        <f>VLOOKUP($G7, 'ADP Data'!$C$4:$Q$300, 3, FALSE)</f>
        <v>8</v>
      </c>
      <c r="P7" s="11">
        <f t="shared" ref="P7:P261" si="6">M7-O7</f>
        <v>2</v>
      </c>
      <c r="Q7" s="11">
        <f>VLOOKUP($G7, 'ADP Data'!$C$4:$Q$300, 4, FALSE)</f>
        <v>7</v>
      </c>
      <c r="R7" s="11">
        <f>VLOOKUP($G7, 'ADP Data'!$C$4:$Q$300, 5, FALSE)</f>
        <v>7</v>
      </c>
      <c r="S7" s="11">
        <f>VLOOKUP($G7, 'ADP Data'!$C$4:$Q$300, 6, FALSE)</f>
        <v>8</v>
      </c>
      <c r="T7" s="11">
        <f>VLOOKUP($G7, 'ADP Data'!$C$4:$Q$300, 7, FALSE)</f>
        <v>7</v>
      </c>
      <c r="U7" s="11">
        <f>VLOOKUP($G7, 'ADP Data'!$C$4:$Q$300, 8, FALSE)</f>
        <v>11</v>
      </c>
      <c r="V7" s="11">
        <f t="shared" ref="V7:V261" si="7">INT(AVERAGE(M7, O7,Q7:U7))</f>
        <v>8</v>
      </c>
      <c r="W7" s="11">
        <f t="shared" ref="W7:W261" si="8">IFERROR(INT(V7/12)+1, 16)</f>
        <v>1</v>
      </c>
      <c r="X7" s="11">
        <f t="shared" ref="X7:X261" si="9">D7-W7</f>
        <v>0</v>
      </c>
      <c r="Y7" s="11">
        <f>VLOOKUP($G7, SeanRanks!$A$2:$K$303, 10, FALSE)-V7</f>
        <v>1</v>
      </c>
      <c r="Z7" s="25">
        <f>IF(VLOOKUP($G7, SeanRanks!$A$2:$H$303, 7, FALSE)=0, "", VLOOKUP($G7, SeanRanks!$A$2:$H$303, 7, FALSE))</f>
        <v>4</v>
      </c>
    </row>
    <row r="8" spans="1:32" ht="14.25" customHeight="1" x14ac:dyDescent="0.25">
      <c r="A8" s="11"/>
      <c r="B8" s="11">
        <f t="shared" si="3"/>
        <v>3</v>
      </c>
      <c r="C8" s="11" t="s">
        <v>119</v>
      </c>
      <c r="D8" s="11">
        <v>1</v>
      </c>
      <c r="E8" s="11"/>
      <c r="F8" s="11">
        <f>VLOOKUP(G8, SeanRanks!$A$2:$E$302, 4, FALSE)</f>
        <v>0</v>
      </c>
      <c r="G8" s="11" t="s">
        <v>190</v>
      </c>
      <c r="H8" s="11" t="str">
        <f>VLOOKUP($G8, 'ADP Data'!$C$4:$Q$300, 2, FALSE)</f>
        <v>MIA</v>
      </c>
      <c r="I8" s="11">
        <f>VLOOKUP(G8, 'ADP Data'!$C$4:$R$498, 12, FALSE)</f>
        <v>33</v>
      </c>
      <c r="J8" s="26" t="str">
        <f>VLOOKUP($G8, SeanRanks!$A$2:$H$303, 5, FALSE)</f>
        <v>Yes</v>
      </c>
      <c r="K8" s="11" t="str">
        <f>IF(VLOOKUP($G8, SeanRanks!$A$2:$H$303, 6, FALSE)=0, "", VLOOKUP($G8, SeanRanks!$A$2:$H$303, 6, FALSE))</f>
        <v>WR2 - 1 - WR1 upside</v>
      </c>
      <c r="L8" s="11">
        <f t="shared" si="4"/>
        <v>3</v>
      </c>
      <c r="M8" s="11">
        <f>VLOOKUP($G8, 'ADP Data'!$C$4:$Q$300, 9, FALSE)</f>
        <v>27</v>
      </c>
      <c r="N8" s="11">
        <f t="shared" si="5"/>
        <v>-7</v>
      </c>
      <c r="O8" s="11">
        <f>VLOOKUP($G8, 'ADP Data'!$C$4:$Q$300, 3, FALSE)</f>
        <v>39</v>
      </c>
      <c r="P8" s="11">
        <f t="shared" si="6"/>
        <v>-12</v>
      </c>
      <c r="Q8" s="11">
        <f>VLOOKUP($G8, 'ADP Data'!$C$4:$Q$300, 4, FALSE)</f>
        <v>31</v>
      </c>
      <c r="R8" s="11">
        <f>VLOOKUP($G8, 'ADP Data'!$C$4:$Q$300, 5, FALSE)</f>
        <v>36</v>
      </c>
      <c r="S8" s="11">
        <f>VLOOKUP($G8, 'ADP Data'!$C$4:$Q$300, 6, FALSE)</f>
        <v>36</v>
      </c>
      <c r="T8" s="11">
        <f>VLOOKUP($G8, 'ADP Data'!$C$4:$Q$300, 7, FALSE)</f>
        <v>33</v>
      </c>
      <c r="U8" s="11">
        <f>VLOOKUP($G8, 'ADP Data'!$C$4:$Q$300, 8, FALSE)</f>
        <v>36</v>
      </c>
      <c r="V8" s="11">
        <f t="shared" si="7"/>
        <v>34</v>
      </c>
      <c r="W8" s="11">
        <f t="shared" si="8"/>
        <v>3</v>
      </c>
      <c r="X8" s="11">
        <f t="shared" si="9"/>
        <v>-2</v>
      </c>
      <c r="Y8" s="11">
        <f>VLOOKUP($G8, SeanRanks!$A$2:$K$303, 10, FALSE)-V8</f>
        <v>8</v>
      </c>
      <c r="Z8" s="25">
        <f>IF(VLOOKUP($G8, SeanRanks!$A$2:$H$303, 7, FALSE)=0, "", VLOOKUP($G8, SeanRanks!$A$2:$H$303, 7, FALSE))</f>
        <v>16</v>
      </c>
    </row>
    <row r="9" spans="1:32" ht="14.25" customHeight="1" x14ac:dyDescent="0.25">
      <c r="A9" s="11" t="s">
        <v>148</v>
      </c>
      <c r="B9" s="11">
        <f t="shared" si="3"/>
        <v>1</v>
      </c>
      <c r="C9" s="11" t="s">
        <v>119</v>
      </c>
      <c r="D9" s="11">
        <v>1</v>
      </c>
      <c r="E9" s="11" t="s">
        <v>243</v>
      </c>
      <c r="F9" s="11">
        <f>VLOOKUP(G9, SeanRanks!$A$2:$E$302, 4, FALSE)</f>
        <v>0</v>
      </c>
      <c r="G9" s="11" t="s">
        <v>68</v>
      </c>
      <c r="H9" s="11" t="str">
        <f>VLOOKUP($G9, 'ADP Data'!$C$4:$Q$300, 2, FALSE)</f>
        <v>DAL</v>
      </c>
      <c r="I9" s="11">
        <f>VLOOKUP(G9, 'ADP Data'!$C$4:$R$498, 12, FALSE)</f>
        <v>3</v>
      </c>
      <c r="J9" s="26">
        <f>VLOOKUP($G9, SeanRanks!$A$2:$H$303, 5, FALSE)</f>
        <v>0</v>
      </c>
      <c r="K9" s="11" t="str">
        <f>IF(VLOOKUP($G9, SeanRanks!$A$2:$H$303, 6, FALSE)=0, "", VLOOKUP($G9, SeanRanks!$A$2:$H$303, 6, FALSE))</f>
        <v>WR1 - 1 - Elite</v>
      </c>
      <c r="L9" s="11">
        <f t="shared" si="4"/>
        <v>1</v>
      </c>
      <c r="M9" s="11">
        <f>VLOOKUP($G9, 'ADP Data'!$C$4:$Q$300, 9, FALSE)</f>
        <v>6</v>
      </c>
      <c r="N9" s="11">
        <f t="shared" si="5"/>
        <v>2</v>
      </c>
      <c r="O9" s="11">
        <f>VLOOKUP($G9, 'ADP Data'!$C$4:$Q$300, 3, FALSE)</f>
        <v>5</v>
      </c>
      <c r="P9" s="11">
        <f t="shared" si="6"/>
        <v>1</v>
      </c>
      <c r="Q9" s="11">
        <f>VLOOKUP($G9, 'ADP Data'!$C$4:$Q$300, 4, FALSE)</f>
        <v>6</v>
      </c>
      <c r="R9" s="11">
        <f>VLOOKUP($G9, 'ADP Data'!$C$4:$Q$300, 5, FALSE)</f>
        <v>5</v>
      </c>
      <c r="S9" s="11">
        <f>VLOOKUP($G9, 'ADP Data'!$C$4:$Q$300, 6, FALSE)</f>
        <v>4</v>
      </c>
      <c r="T9" s="11">
        <f>VLOOKUP($G9, 'ADP Data'!$C$4:$Q$300, 7, FALSE)</f>
        <v>4</v>
      </c>
      <c r="U9" s="11">
        <f>VLOOKUP($G9, 'ADP Data'!$C$4:$Q$300, 8, FALSE)</f>
        <v>3</v>
      </c>
      <c r="V9" s="11">
        <f t="shared" si="7"/>
        <v>4</v>
      </c>
      <c r="W9" s="11">
        <f t="shared" si="8"/>
        <v>1</v>
      </c>
      <c r="X9" s="11">
        <f t="shared" si="9"/>
        <v>0</v>
      </c>
      <c r="Y9" s="11">
        <f>VLOOKUP($G9, SeanRanks!$A$2:$K$303, 10, FALSE)-V9</f>
        <v>1</v>
      </c>
      <c r="Z9" s="25">
        <f>IF(VLOOKUP($G9, SeanRanks!$A$2:$H$303, 7, FALSE)=0, "", VLOOKUP($G9, SeanRanks!$A$2:$H$303, 7, FALSE))</f>
        <v>3</v>
      </c>
    </row>
    <row r="10" spans="1:32" ht="14.25" customHeight="1" x14ac:dyDescent="0.25">
      <c r="A10" s="11"/>
      <c r="B10" s="11">
        <f t="shared" si="3"/>
        <v>4</v>
      </c>
      <c r="C10" s="11" t="s">
        <v>119</v>
      </c>
      <c r="D10" s="11">
        <v>2</v>
      </c>
      <c r="E10" s="11"/>
      <c r="F10" s="11">
        <f>VLOOKUP(G10, SeanRanks!$A$2:$E$302, 4, FALSE)</f>
        <v>0</v>
      </c>
      <c r="G10" s="11" t="s">
        <v>143</v>
      </c>
      <c r="H10" s="11" t="str">
        <f>VLOOKUP($G10, 'ADP Data'!$C$4:$Q$300, 2, FALSE)</f>
        <v>NYJ</v>
      </c>
      <c r="I10" s="11">
        <f>VLOOKUP(G10, 'ADP Data'!$C$4:$R$498, 12, FALSE)</f>
        <v>47</v>
      </c>
      <c r="J10" s="21">
        <f>VLOOKUP($G10, SeanRanks!$A$2:$H$303, 5, FALSE)</f>
        <v>0</v>
      </c>
      <c r="K10" s="11" t="str">
        <f>IF(VLOOKUP($G10, SeanRanks!$A$2:$H$303, 6, FALSE)=0, "", VLOOKUP($G10, SeanRanks!$A$2:$H$303, 6, FALSE))</f>
        <v>RB2 - 1 - Clear path to spikes</v>
      </c>
      <c r="L10" s="11">
        <f t="shared" si="4"/>
        <v>3</v>
      </c>
      <c r="M10" s="11">
        <f>VLOOKUP($G10, 'ADP Data'!$C$4:$Q$300, 9, FALSE)</f>
        <v>32</v>
      </c>
      <c r="N10" s="11">
        <f t="shared" si="5"/>
        <v>-7</v>
      </c>
      <c r="O10" s="11">
        <f>VLOOKUP($G10, 'ADP Data'!$C$4:$Q$300, 3, FALSE)</f>
        <v>41</v>
      </c>
      <c r="P10" s="11">
        <f t="shared" si="6"/>
        <v>-9</v>
      </c>
      <c r="Q10" s="11">
        <f>VLOOKUP($G10, 'ADP Data'!$C$4:$Q$300, 4, FALSE)</f>
        <v>51</v>
      </c>
      <c r="R10" s="11">
        <f>VLOOKUP($G10, 'ADP Data'!$C$4:$Q$300, 5, FALSE)</f>
        <v>41</v>
      </c>
      <c r="S10" s="11">
        <f>VLOOKUP($G10, 'ADP Data'!$C$4:$Q$300, 6, FALSE)</f>
        <v>42</v>
      </c>
      <c r="T10" s="11">
        <f>VLOOKUP($G10, 'ADP Data'!$C$4:$Q$300, 7, FALSE)</f>
        <v>39</v>
      </c>
      <c r="U10" s="11">
        <f>VLOOKUP($G10, 'ADP Data'!$C$4:$Q$300, 8, FALSE)</f>
        <v>31</v>
      </c>
      <c r="V10" s="11">
        <f t="shared" si="7"/>
        <v>39</v>
      </c>
      <c r="W10" s="11">
        <f t="shared" si="8"/>
        <v>4</v>
      </c>
      <c r="X10" s="11">
        <f t="shared" si="9"/>
        <v>-2</v>
      </c>
      <c r="Y10" s="11">
        <f>VLOOKUP($G10, SeanRanks!$A$2:$K$303, 10, FALSE)-V10</f>
        <v>11</v>
      </c>
      <c r="Z10" s="25">
        <f>IF(VLOOKUP($G10, SeanRanks!$A$2:$H$303, 7, FALSE)=0, "", VLOOKUP($G10, SeanRanks!$A$2:$H$303, 7, FALSE))</f>
        <v>16</v>
      </c>
    </row>
    <row r="11" spans="1:32" ht="14.25" customHeight="1" x14ac:dyDescent="0.25">
      <c r="A11" s="11"/>
      <c r="B11" s="11">
        <f t="shared" si="3"/>
        <v>1</v>
      </c>
      <c r="C11" s="11" t="s">
        <v>119</v>
      </c>
      <c r="D11" s="11">
        <v>2</v>
      </c>
      <c r="E11" s="11"/>
      <c r="F11" s="11">
        <f>VLOOKUP(G11, SeanRanks!$A$2:$E$302, 4, FALSE)</f>
        <v>0</v>
      </c>
      <c r="G11" s="11" t="s">
        <v>38</v>
      </c>
      <c r="H11" s="11" t="str">
        <f>VLOOKUP($G11, 'ADP Data'!$C$4:$Q$300, 2, FALSE)</f>
        <v>ATL</v>
      </c>
      <c r="I11" s="11">
        <f>VLOOKUP(G11, 'ADP Data'!$C$4:$R$498, 12, FALSE)</f>
        <v>2</v>
      </c>
      <c r="J11" s="21">
        <f>VLOOKUP($G11, SeanRanks!$A$2:$H$303, 5, FALSE)</f>
        <v>0</v>
      </c>
      <c r="K11" s="11" t="str">
        <f>IF(VLOOKUP($G11, SeanRanks!$A$2:$H$303, 6, FALSE)=0, "", VLOOKUP($G11, SeanRanks!$A$2:$H$303, 6, FALSE))</f>
        <v>RB1 - 1 - Elite floor/ceiling</v>
      </c>
      <c r="L11" s="11">
        <f t="shared" si="4"/>
        <v>1</v>
      </c>
      <c r="M11" s="11">
        <f>VLOOKUP($G11, 'ADP Data'!$C$4:$Q$300, 9, FALSE)</f>
        <v>3</v>
      </c>
      <c r="N11" s="11">
        <f t="shared" si="5"/>
        <v>1</v>
      </c>
      <c r="O11" s="11">
        <f>VLOOKUP($G11, 'ADP Data'!$C$4:$Q$300, 3, FALSE)</f>
        <v>2</v>
      </c>
      <c r="P11" s="11">
        <f t="shared" si="6"/>
        <v>1</v>
      </c>
      <c r="Q11" s="11">
        <f>VLOOKUP($G11, 'ADP Data'!$C$4:$Q$300, 4, FALSE)</f>
        <v>2</v>
      </c>
      <c r="R11" s="11">
        <f>VLOOKUP($G11, 'ADP Data'!$C$4:$Q$300, 5, FALSE)</f>
        <v>2</v>
      </c>
      <c r="S11" s="11">
        <f>VLOOKUP($G11, 'ADP Data'!$C$4:$Q$300, 6, FALSE)</f>
        <v>2</v>
      </c>
      <c r="T11" s="11">
        <f>VLOOKUP($G11, 'ADP Data'!$C$4:$Q$300, 7, FALSE)</f>
        <v>2</v>
      </c>
      <c r="U11" s="11">
        <f>VLOOKUP($G11, 'ADP Data'!$C$4:$Q$300, 8, FALSE)</f>
        <v>2</v>
      </c>
      <c r="V11" s="11">
        <f t="shared" si="7"/>
        <v>2</v>
      </c>
      <c r="W11" s="11">
        <f t="shared" si="8"/>
        <v>1</v>
      </c>
      <c r="X11" s="11">
        <f t="shared" si="9"/>
        <v>1</v>
      </c>
      <c r="Y11" s="11">
        <f>VLOOKUP($G11, SeanRanks!$A$2:$K$303, 10, FALSE)-V11</f>
        <v>0</v>
      </c>
      <c r="Z11" s="25">
        <f>IF(VLOOKUP($G11, SeanRanks!$A$2:$H$303, 7, FALSE)=0, "", VLOOKUP($G11, SeanRanks!$A$2:$H$303, 7, FALSE))</f>
        <v>1</v>
      </c>
    </row>
    <row r="12" spans="1:32" ht="14.25" customHeight="1" x14ac:dyDescent="0.25">
      <c r="A12" s="11"/>
      <c r="B12" s="11">
        <f t="shared" si="3"/>
        <v>1</v>
      </c>
      <c r="C12" s="11" t="s">
        <v>119</v>
      </c>
      <c r="D12" s="11">
        <v>2</v>
      </c>
      <c r="E12" s="11"/>
      <c r="F12" s="11">
        <f>VLOOKUP(G12, SeanRanks!$A$2:$E$302, 4, FALSE)</f>
        <v>0</v>
      </c>
      <c r="G12" s="11" t="s">
        <v>43</v>
      </c>
      <c r="H12" s="11" t="str">
        <f>VLOOKUP($G12, 'ADP Data'!$C$4:$Q$300, 2, FALSE)</f>
        <v>CIN</v>
      </c>
      <c r="I12" s="11">
        <f>VLOOKUP(G12, 'ADP Data'!$C$4:$R$498, 12, FALSE)</f>
        <v>1</v>
      </c>
      <c r="J12" s="26">
        <f>VLOOKUP($G12, SeanRanks!$A$2:$H$303, 5, FALSE)</f>
        <v>0</v>
      </c>
      <c r="K12" s="11" t="str">
        <f>IF(VLOOKUP($G12, SeanRanks!$A$2:$H$303, 6, FALSE)=0, "", VLOOKUP($G12, SeanRanks!$A$2:$H$303, 6, FALSE))</f>
        <v>WR1 - 1 - Elite</v>
      </c>
      <c r="L12" s="11">
        <f t="shared" si="4"/>
        <v>1</v>
      </c>
      <c r="M12" s="11">
        <f>VLOOKUP($G12, 'ADP Data'!$C$4:$Q$300, 9, FALSE)</f>
        <v>1</v>
      </c>
      <c r="N12" s="11">
        <f t="shared" si="5"/>
        <v>0</v>
      </c>
      <c r="O12" s="11">
        <f>VLOOKUP($G12, 'ADP Data'!$C$4:$Q$300, 3, FALSE)</f>
        <v>1</v>
      </c>
      <c r="P12" s="11">
        <f t="shared" si="6"/>
        <v>0</v>
      </c>
      <c r="Q12" s="11">
        <f>VLOOKUP($G12, 'ADP Data'!$C$4:$Q$300, 4, FALSE)</f>
        <v>1</v>
      </c>
      <c r="R12" s="11">
        <f>VLOOKUP($G12, 'ADP Data'!$C$4:$Q$300, 5, FALSE)</f>
        <v>1</v>
      </c>
      <c r="S12" s="11">
        <f>VLOOKUP($G12, 'ADP Data'!$C$4:$Q$300, 6, FALSE)</f>
        <v>1</v>
      </c>
      <c r="T12" s="11">
        <f>VLOOKUP($G12, 'ADP Data'!$C$4:$Q$300, 7, FALSE)</f>
        <v>1</v>
      </c>
      <c r="U12" s="11">
        <f>VLOOKUP($G12, 'ADP Data'!$C$4:$Q$300, 8, FALSE)</f>
        <v>1</v>
      </c>
      <c r="V12" s="11">
        <f t="shared" si="7"/>
        <v>1</v>
      </c>
      <c r="W12" s="11">
        <f t="shared" si="8"/>
        <v>1</v>
      </c>
      <c r="X12" s="11">
        <f t="shared" si="9"/>
        <v>1</v>
      </c>
      <c r="Y12" s="11">
        <f>VLOOKUP($G12, SeanRanks!$A$2:$K$303, 10, FALSE)-V12</f>
        <v>0</v>
      </c>
      <c r="Z12" s="25">
        <f>IF(VLOOKUP($G12, SeanRanks!$A$2:$H$303, 7, FALSE)=0, "", VLOOKUP($G12, SeanRanks!$A$2:$H$303, 7, FALSE))</f>
        <v>1</v>
      </c>
    </row>
    <row r="13" spans="1:32" ht="14.25" customHeight="1" x14ac:dyDescent="0.25">
      <c r="A13" s="11"/>
      <c r="B13" s="11">
        <f t="shared" si="3"/>
        <v>1</v>
      </c>
      <c r="C13" s="11" t="s">
        <v>119</v>
      </c>
      <c r="D13" s="11">
        <v>2</v>
      </c>
      <c r="E13" s="11"/>
      <c r="F13" s="11">
        <f>VLOOKUP(G13, SeanRanks!$A$2:$E$302, 4, FALSE)</f>
        <v>0</v>
      </c>
      <c r="G13" s="11" t="s">
        <v>63</v>
      </c>
      <c r="H13" s="11" t="str">
        <f>VLOOKUP($G13, 'ADP Data'!$C$4:$Q$300, 2, FALSE)</f>
        <v>DET</v>
      </c>
      <c r="I13" s="11">
        <f>VLOOKUP(G13, 'ADP Data'!$C$4:$R$498, 12, FALSE)</f>
        <v>9</v>
      </c>
      <c r="J13" s="26">
        <f>VLOOKUP($G13, SeanRanks!$A$2:$H$303, 5, FALSE)</f>
        <v>0</v>
      </c>
      <c r="K13" s="11" t="str">
        <f>IF(VLOOKUP($G13, SeanRanks!$A$2:$H$303, 6, FALSE)=0, "", VLOOKUP($G13, SeanRanks!$A$2:$H$303, 6, FALSE))</f>
        <v>WR1 - 2 - High Floor</v>
      </c>
      <c r="L13" s="11">
        <f t="shared" si="4"/>
        <v>1</v>
      </c>
      <c r="M13" s="11">
        <f>VLOOKUP($G13, 'ADP Data'!$C$4:$Q$300, 9, FALSE)</f>
        <v>8</v>
      </c>
      <c r="N13" s="11">
        <f t="shared" si="5"/>
        <v>-1</v>
      </c>
      <c r="O13" s="11">
        <f>VLOOKUP($G13, 'ADP Data'!$C$4:$Q$300, 3, FALSE)</f>
        <v>12</v>
      </c>
      <c r="P13" s="11">
        <f t="shared" si="6"/>
        <v>-4</v>
      </c>
      <c r="Q13" s="11">
        <f>VLOOKUP($G13, 'ADP Data'!$C$4:$Q$300, 4, FALSE)</f>
        <v>8</v>
      </c>
      <c r="R13" s="11">
        <f>VLOOKUP($G13, 'ADP Data'!$C$4:$Q$300, 5, FALSE)</f>
        <v>11</v>
      </c>
      <c r="S13" s="11">
        <f>VLOOKUP($G13, 'ADP Data'!$C$4:$Q$300, 6, FALSE)</f>
        <v>11</v>
      </c>
      <c r="T13" s="11">
        <f>VLOOKUP($G13, 'ADP Data'!$C$4:$Q$300, 7, FALSE)</f>
        <v>9</v>
      </c>
      <c r="U13" s="11">
        <f>VLOOKUP($G13, 'ADP Data'!$C$4:$Q$300, 8, FALSE)</f>
        <v>8</v>
      </c>
      <c r="V13" s="11">
        <f t="shared" si="7"/>
        <v>9</v>
      </c>
      <c r="W13" s="11">
        <f t="shared" si="8"/>
        <v>1</v>
      </c>
      <c r="X13" s="11">
        <f t="shared" si="9"/>
        <v>1</v>
      </c>
      <c r="Y13" s="11">
        <f>VLOOKUP($G13, SeanRanks!$A$2:$K$303, 10, FALSE)-V13</f>
        <v>-1</v>
      </c>
      <c r="Z13" s="25">
        <f>IF(VLOOKUP($G13, SeanRanks!$A$2:$H$303, 7, FALSE)=0, "", VLOOKUP($G13, SeanRanks!$A$2:$H$303, 7, FALSE))</f>
        <v>6</v>
      </c>
    </row>
    <row r="14" spans="1:32" ht="14.25" customHeight="1" x14ac:dyDescent="0.25">
      <c r="A14" s="11"/>
      <c r="B14" s="11">
        <f t="shared" si="3"/>
        <v>1</v>
      </c>
      <c r="C14" s="11" t="s">
        <v>119</v>
      </c>
      <c r="D14" s="11"/>
      <c r="E14" s="11"/>
      <c r="F14" s="11">
        <f>VLOOKUP(G14, SeanRanks!$A$2:$E$302, 4, FALSE)</f>
        <v>0</v>
      </c>
      <c r="G14" s="11" t="s">
        <v>71</v>
      </c>
      <c r="H14" s="11" t="str">
        <f>VLOOKUP($G14, 'ADP Data'!$C$4:$Q$300, 2, FALSE)</f>
        <v>MIN</v>
      </c>
      <c r="I14" s="11">
        <f>VLOOKUP(G14, 'ADP Data'!$C$4:$R$498, 12, FALSE)</f>
        <v>5</v>
      </c>
      <c r="J14" s="26">
        <f>VLOOKUP($G14, SeanRanks!$A$2:$H$303, 5, FALSE)</f>
        <v>0</v>
      </c>
      <c r="K14" s="11" t="str">
        <f>IF(VLOOKUP($G14, SeanRanks!$A$2:$H$303, 6, FALSE)=0, "", VLOOKUP($G14, SeanRanks!$A$2:$H$303, 6, FALSE))</f>
        <v>WR1 - 1 - Elite</v>
      </c>
      <c r="L14" s="11">
        <f t="shared" si="4"/>
        <v>1</v>
      </c>
      <c r="M14" s="11">
        <f>VLOOKUP($G14, 'ADP Data'!$C$4:$Q$300, 9, FALSE)</f>
        <v>5</v>
      </c>
      <c r="N14" s="11">
        <f t="shared" si="5"/>
        <v>0</v>
      </c>
      <c r="O14" s="11">
        <f>VLOOKUP($G14, 'ADP Data'!$C$4:$Q$300, 3, FALSE)</f>
        <v>6</v>
      </c>
      <c r="P14" s="11">
        <f t="shared" si="6"/>
        <v>-1</v>
      </c>
      <c r="Q14" s="11">
        <f>VLOOKUP($G14, 'ADP Data'!$C$4:$Q$300, 4, FALSE)</f>
        <v>4</v>
      </c>
      <c r="R14" s="11">
        <f>VLOOKUP($G14, 'ADP Data'!$C$4:$Q$300, 5, FALSE)</f>
        <v>3</v>
      </c>
      <c r="S14" s="11">
        <f>VLOOKUP($G14, 'ADP Data'!$C$4:$Q$300, 6, FALSE)</f>
        <v>6</v>
      </c>
      <c r="T14" s="11">
        <f>VLOOKUP($G14, 'ADP Data'!$C$4:$Q$300, 7, FALSE)</f>
        <v>6</v>
      </c>
      <c r="U14" s="11">
        <f>VLOOKUP($G14, 'ADP Data'!$C$4:$Q$300, 8, FALSE)</f>
        <v>5</v>
      </c>
      <c r="V14" s="11">
        <f t="shared" si="7"/>
        <v>5</v>
      </c>
      <c r="W14" s="11">
        <f t="shared" si="8"/>
        <v>1</v>
      </c>
      <c r="X14" s="11">
        <f t="shared" si="9"/>
        <v>-1</v>
      </c>
      <c r="Y14" s="11">
        <f>VLOOKUP($G14, SeanRanks!$A$2:$K$303, 10, FALSE)-V14</f>
        <v>1</v>
      </c>
      <c r="Z14" s="25">
        <f>IF(VLOOKUP($G14, SeanRanks!$A$2:$H$303, 7, FALSE)=0, "", VLOOKUP($G14, SeanRanks!$A$2:$H$303, 7, FALSE))</f>
        <v>2</v>
      </c>
    </row>
    <row r="15" spans="1:32" ht="14.25" customHeight="1" x14ac:dyDescent="0.25">
      <c r="A15" s="11"/>
      <c r="B15" s="11">
        <f t="shared" si="3"/>
        <v>2</v>
      </c>
      <c r="C15" s="11" t="s">
        <v>119</v>
      </c>
      <c r="D15" s="11"/>
      <c r="E15" s="11"/>
      <c r="F15" s="11">
        <f>VLOOKUP(G15, SeanRanks!$A$2:$E$302, 4, FALSE)</f>
        <v>0</v>
      </c>
      <c r="G15" s="11" t="s">
        <v>103</v>
      </c>
      <c r="H15" s="11" t="str">
        <f>VLOOKUP($G15, 'ADP Data'!$C$4:$Q$300, 2, FALSE)</f>
        <v>PHI</v>
      </c>
      <c r="I15" s="11">
        <f>VLOOKUP(G15, 'ADP Data'!$C$4:$R$498, 12, FALSE)</f>
        <v>17</v>
      </c>
      <c r="J15" s="26">
        <f>VLOOKUP($G15, SeanRanks!$A$2:$H$303, 5, FALSE)</f>
        <v>0</v>
      </c>
      <c r="K15" s="11" t="str">
        <f>IF(VLOOKUP($G15, SeanRanks!$A$2:$H$303, 6, FALSE)=0, "", VLOOKUP($G15, SeanRanks!$A$2:$H$303, 6, FALSE))</f>
        <v>WR1 - 3 - Inconsistent</v>
      </c>
      <c r="L15" s="11">
        <f t="shared" si="4"/>
        <v>2</v>
      </c>
      <c r="M15" s="11">
        <f>VLOOKUP($G15, 'ADP Data'!$C$4:$Q$300, 9, FALSE)</f>
        <v>18</v>
      </c>
      <c r="N15" s="11">
        <f t="shared" si="5"/>
        <v>-2</v>
      </c>
      <c r="O15" s="11">
        <f>VLOOKUP($G15, 'ADP Data'!$C$4:$Q$300, 3, FALSE)</f>
        <v>27</v>
      </c>
      <c r="P15" s="11">
        <f t="shared" si="6"/>
        <v>-9</v>
      </c>
      <c r="Q15" s="11">
        <f>VLOOKUP($G15, 'ADP Data'!$C$4:$Q$300, 4, FALSE)</f>
        <v>18</v>
      </c>
      <c r="R15" s="11">
        <f>VLOOKUP($G15, 'ADP Data'!$C$4:$Q$300, 5, FALSE)</f>
        <v>22</v>
      </c>
      <c r="S15" s="11">
        <f>VLOOKUP($G15, 'ADP Data'!$C$4:$Q$300, 6, FALSE)</f>
        <v>23</v>
      </c>
      <c r="T15" s="11">
        <f>VLOOKUP($G15, 'ADP Data'!$C$4:$Q$300, 7, FALSE)</f>
        <v>21</v>
      </c>
      <c r="U15" s="11">
        <f>VLOOKUP($G15, 'ADP Data'!$C$4:$Q$300, 8, FALSE)</f>
        <v>15</v>
      </c>
      <c r="V15" s="11">
        <f t="shared" si="7"/>
        <v>20</v>
      </c>
      <c r="W15" s="11">
        <f t="shared" si="8"/>
        <v>2</v>
      </c>
      <c r="X15" s="11">
        <f t="shared" si="9"/>
        <v>-2</v>
      </c>
      <c r="Y15" s="11">
        <f>VLOOKUP($G15, SeanRanks!$A$2:$K$303, 10, FALSE)-V15</f>
        <v>-2</v>
      </c>
      <c r="Z15" s="25">
        <f>IF(VLOOKUP($G15, SeanRanks!$A$2:$H$303, 7, FALSE)=0, "", VLOOKUP($G15, SeanRanks!$A$2:$H$303, 7, FALSE))</f>
        <v>11</v>
      </c>
    </row>
    <row r="16" spans="1:32" ht="14.25" customHeight="1" x14ac:dyDescent="0.25">
      <c r="A16" s="11"/>
      <c r="B16" s="11">
        <f t="shared" si="3"/>
        <v>2</v>
      </c>
      <c r="C16" s="11" t="s">
        <v>119</v>
      </c>
      <c r="D16" s="11"/>
      <c r="E16" s="11"/>
      <c r="F16" s="11">
        <f>VLOOKUP(G16, SeanRanks!$A$2:$E$302, 4, FALSE)</f>
        <v>0</v>
      </c>
      <c r="G16" s="11" t="s">
        <v>58</v>
      </c>
      <c r="H16" s="11" t="str">
        <f>VLOOKUP($G16, 'ADP Data'!$C$4:$Q$300, 2, FALSE)</f>
        <v>IND</v>
      </c>
      <c r="I16" s="11">
        <f>VLOOKUP(G16, 'ADP Data'!$C$4:$R$498, 12, FALSE)</f>
        <v>20</v>
      </c>
      <c r="J16" s="21" t="str">
        <f>VLOOKUP($G16, SeanRanks!$A$2:$H$303, 5, FALSE)</f>
        <v>No</v>
      </c>
      <c r="K16" s="11" t="str">
        <f>IF(VLOOKUP($G16, SeanRanks!$A$2:$H$303, 6, FALSE)=0, "", VLOOKUP($G16, SeanRanks!$A$2:$H$303, 6, FALSE))</f>
        <v>RB1 - 2 - Elite ceiling/questions</v>
      </c>
      <c r="L16" s="11">
        <f t="shared" si="4"/>
        <v>2</v>
      </c>
      <c r="M16" s="11">
        <f>VLOOKUP($G16, 'ADP Data'!$C$4:$Q$300, 9, FALSE)</f>
        <v>20</v>
      </c>
      <c r="N16" s="11">
        <f t="shared" si="5"/>
        <v>1</v>
      </c>
      <c r="O16" s="11">
        <f>VLOOKUP($G16, 'ADP Data'!$C$4:$Q$300, 3, FALSE)</f>
        <v>21</v>
      </c>
      <c r="P16" s="11">
        <f t="shared" si="6"/>
        <v>-1</v>
      </c>
      <c r="Q16" s="11">
        <f>VLOOKUP($G16, 'ADP Data'!$C$4:$Q$300, 4, FALSE)</f>
        <v>15</v>
      </c>
      <c r="R16" s="11">
        <f>VLOOKUP($G16, 'ADP Data'!$C$4:$Q$300, 5, FALSE)</f>
        <v>20</v>
      </c>
      <c r="S16" s="11">
        <f>VLOOKUP($G16, 'ADP Data'!$C$4:$Q$300, 6, FALSE)</f>
        <v>21</v>
      </c>
      <c r="T16" s="11">
        <f>VLOOKUP($G16, 'ADP Data'!$C$4:$Q$300, 7, FALSE)</f>
        <v>20</v>
      </c>
      <c r="U16" s="11">
        <f>VLOOKUP($G16, 'ADP Data'!$C$4:$Q$300, 8, FALSE)</f>
        <v>22</v>
      </c>
      <c r="V16" s="11">
        <f t="shared" si="7"/>
        <v>19</v>
      </c>
      <c r="W16" s="11">
        <f t="shared" si="8"/>
        <v>2</v>
      </c>
      <c r="X16" s="11">
        <f t="shared" si="9"/>
        <v>-2</v>
      </c>
      <c r="Y16" s="11">
        <f>VLOOKUP($G16, SeanRanks!$A$2:$K$303, 10, FALSE)-V16</f>
        <v>0</v>
      </c>
      <c r="Z16" s="25">
        <f>IF(VLOOKUP($G16, SeanRanks!$A$2:$H$303, 7, FALSE)=0, "", VLOOKUP($G16, SeanRanks!$A$2:$H$303, 7, FALSE))</f>
        <v>12</v>
      </c>
    </row>
    <row r="17" spans="1:26" ht="14.25" customHeight="1" x14ac:dyDescent="0.25">
      <c r="A17" s="11"/>
      <c r="B17" s="11">
        <f t="shared" si="3"/>
        <v>4</v>
      </c>
      <c r="C17" s="11" t="s">
        <v>119</v>
      </c>
      <c r="D17" s="11"/>
      <c r="E17" s="11"/>
      <c r="F17" s="11">
        <f>VLOOKUP(G17, SeanRanks!$A$2:$E$302, 4, FALSE)</f>
        <v>0</v>
      </c>
      <c r="G17" s="11" t="s">
        <v>152</v>
      </c>
      <c r="H17" s="11" t="str">
        <f>VLOOKUP($G17, 'ADP Data'!$C$4:$Q$300, 2, FALSE)</f>
        <v>NYJ</v>
      </c>
      <c r="I17" s="11">
        <f>VLOOKUP(G17, 'ADP Data'!$C$4:$R$498, 12, FALSE)</f>
        <v>28</v>
      </c>
      <c r="J17" s="28">
        <f>VLOOKUP($G17, SeanRanks!$A$2:$H$303, 5, FALSE)</f>
        <v>0</v>
      </c>
      <c r="K17" s="11" t="str">
        <f>IF(VLOOKUP($G17, SeanRanks!$A$2:$H$303, 6, FALSE)=0, "", VLOOKUP($G17, SeanRanks!$A$2:$H$303, 6, FALSE))</f>
        <v>WR2 - 1 - WR1 upside</v>
      </c>
      <c r="L17" s="11">
        <f t="shared" si="4"/>
        <v>3</v>
      </c>
      <c r="M17" s="11">
        <f>VLOOKUP($G17, 'ADP Data'!$C$4:$Q$300, 9, FALSE)</f>
        <v>34</v>
      </c>
      <c r="N17" s="11">
        <f t="shared" si="5"/>
        <v>-4</v>
      </c>
      <c r="O17" s="11">
        <f>VLOOKUP($G17, 'ADP Data'!$C$4:$Q$300, 3, FALSE)</f>
        <v>51</v>
      </c>
      <c r="P17" s="11">
        <f t="shared" si="6"/>
        <v>-17</v>
      </c>
      <c r="Q17" s="11">
        <f>VLOOKUP($G17, 'ADP Data'!$C$4:$Q$300, 4, FALSE)</f>
        <v>41</v>
      </c>
      <c r="R17" s="11">
        <f>VLOOKUP($G17, 'ADP Data'!$C$4:$Q$300, 5, FALSE)</f>
        <v>37</v>
      </c>
      <c r="S17" s="11">
        <f>VLOOKUP($G17, 'ADP Data'!$C$4:$Q$300, 6, FALSE)</f>
        <v>39</v>
      </c>
      <c r="T17" s="11">
        <f>VLOOKUP($G17, 'ADP Data'!$C$4:$Q$300, 7, FALSE)</f>
        <v>30</v>
      </c>
      <c r="U17" s="11">
        <f>VLOOKUP($G17, 'ADP Data'!$C$4:$Q$300, 8, FALSE)</f>
        <v>37</v>
      </c>
      <c r="V17" s="11">
        <f t="shared" si="7"/>
        <v>38</v>
      </c>
      <c r="W17" s="11">
        <f t="shared" si="8"/>
        <v>4</v>
      </c>
      <c r="X17" s="11">
        <f t="shared" si="9"/>
        <v>-4</v>
      </c>
      <c r="Y17" s="11">
        <f>VLOOKUP($G17, SeanRanks!$A$2:$K$303, 10, FALSE)-V17</f>
        <v>1</v>
      </c>
      <c r="Z17" s="25">
        <f>IF(VLOOKUP($G17, SeanRanks!$A$2:$H$303, 7, FALSE)=0, "", VLOOKUP($G17, SeanRanks!$A$2:$H$303, 7, FALSE))</f>
        <v>17</v>
      </c>
    </row>
    <row r="18" spans="1:26" ht="14.25" customHeight="1" x14ac:dyDescent="0.25">
      <c r="A18" s="11"/>
      <c r="B18" s="11">
        <f t="shared" si="3"/>
        <v>1</v>
      </c>
      <c r="C18" s="11" t="s">
        <v>119</v>
      </c>
      <c r="D18" s="11">
        <v>2</v>
      </c>
      <c r="E18" s="23"/>
      <c r="F18" s="11">
        <f>VLOOKUP(G18, SeanRanks!$A$2:$E$302, 4, FALSE)</f>
        <v>0</v>
      </c>
      <c r="G18" s="11" t="s">
        <v>48</v>
      </c>
      <c r="H18" s="11" t="str">
        <f>VLOOKUP($G18, 'ADP Data'!$C$4:$Q$300, 2, FALSE)</f>
        <v>LAR</v>
      </c>
      <c r="I18" s="11">
        <f>VLOOKUP(G18, 'ADP Data'!$C$4:$R$498, 12, FALSE)</f>
        <v>13</v>
      </c>
      <c r="J18" s="28">
        <f>VLOOKUP($G18, SeanRanks!$A$2:$H$303, 5, FALSE)</f>
        <v>0</v>
      </c>
      <c r="K18" s="11" t="str">
        <f>IF(VLOOKUP($G18, SeanRanks!$A$2:$H$303, 6, FALSE)=0, "", VLOOKUP($G18, SeanRanks!$A$2:$H$303, 6, FALSE))</f>
        <v>WR1 - 2 - High Floor</v>
      </c>
      <c r="L18" s="11">
        <f t="shared" si="4"/>
        <v>1</v>
      </c>
      <c r="M18" s="11">
        <f>VLOOKUP($G18, 'ADP Data'!$C$4:$Q$300, 9, FALSE)</f>
        <v>11</v>
      </c>
      <c r="N18" s="11">
        <f t="shared" si="5"/>
        <v>0</v>
      </c>
      <c r="O18" s="11">
        <f>VLOOKUP($G18, 'ADP Data'!$C$4:$Q$300, 3, FALSE)</f>
        <v>14</v>
      </c>
      <c r="P18" s="11">
        <f t="shared" si="6"/>
        <v>-3</v>
      </c>
      <c r="Q18" s="11">
        <f>VLOOKUP($G18, 'ADP Data'!$C$4:$Q$300, 4, FALSE)</f>
        <v>9</v>
      </c>
      <c r="R18" s="11">
        <f>VLOOKUP($G18, 'ADP Data'!$C$4:$Q$300, 5, FALSE)</f>
        <v>8</v>
      </c>
      <c r="S18" s="11">
        <f>VLOOKUP($G18, 'ADP Data'!$C$4:$Q$300, 6, FALSE)</f>
        <v>15</v>
      </c>
      <c r="T18" s="11">
        <f>VLOOKUP($G18, 'ADP Data'!$C$4:$Q$300, 7, FALSE)</f>
        <v>14</v>
      </c>
      <c r="U18" s="11">
        <f>VLOOKUP($G18, 'ADP Data'!$C$4:$Q$300, 8, FALSE)</f>
        <v>7</v>
      </c>
      <c r="V18" s="11">
        <f t="shared" si="7"/>
        <v>11</v>
      </c>
      <c r="W18" s="11">
        <f t="shared" si="8"/>
        <v>1</v>
      </c>
      <c r="X18" s="11">
        <f t="shared" si="9"/>
        <v>1</v>
      </c>
      <c r="Y18" s="11">
        <f>VLOOKUP($G18, SeanRanks!$A$2:$K$303, 10, FALSE)-V18</f>
        <v>5</v>
      </c>
      <c r="Z18" s="25">
        <f>IF(VLOOKUP($G18, SeanRanks!$A$2:$H$303, 7, FALSE)=0, "", VLOOKUP($G18, SeanRanks!$A$2:$H$303, 7, FALSE))</f>
        <v>9</v>
      </c>
    </row>
    <row r="19" spans="1:26" ht="14.25" customHeight="1" x14ac:dyDescent="0.25">
      <c r="A19" s="11"/>
      <c r="B19" s="11">
        <f t="shared" si="3"/>
        <v>1</v>
      </c>
      <c r="C19" s="11" t="s">
        <v>119</v>
      </c>
      <c r="D19" s="11">
        <v>2</v>
      </c>
      <c r="E19" s="11"/>
      <c r="F19" s="11">
        <f>VLOOKUP(G19, SeanRanks!$A$2:$E$302, 4, FALSE)</f>
        <v>0</v>
      </c>
      <c r="G19" s="11" t="s">
        <v>77</v>
      </c>
      <c r="H19" s="11" t="str">
        <f>VLOOKUP($G19, 'ADP Data'!$C$4:$Q$300, 2, FALSE)</f>
        <v>PHI</v>
      </c>
      <c r="I19" s="11">
        <f>VLOOKUP(G19, 'ADP Data'!$C$4:$R$498, 12, FALSE)</f>
        <v>6</v>
      </c>
      <c r="J19" s="21">
        <f>VLOOKUP($G19, SeanRanks!$A$2:$H$303, 5, FALSE)</f>
        <v>0</v>
      </c>
      <c r="K19" s="11" t="str">
        <f>IF(VLOOKUP($G19, SeanRanks!$A$2:$H$303, 6, FALSE)=0, "", VLOOKUP($G19, SeanRanks!$A$2:$H$303, 6, FALSE))</f>
        <v>RB1 - 1 - Elite floor/ceiling</v>
      </c>
      <c r="L19" s="11">
        <f t="shared" si="4"/>
        <v>1</v>
      </c>
      <c r="M19" s="11">
        <f>VLOOKUP($G19, 'ADP Data'!$C$4:$Q$300, 9, FALSE)</f>
        <v>2</v>
      </c>
      <c r="N19" s="11">
        <f t="shared" si="5"/>
        <v>-2</v>
      </c>
      <c r="O19" s="11">
        <f>VLOOKUP($G19, 'ADP Data'!$C$4:$Q$300, 3, FALSE)</f>
        <v>3</v>
      </c>
      <c r="P19" s="11">
        <f t="shared" si="6"/>
        <v>-1</v>
      </c>
      <c r="Q19" s="11">
        <f>VLOOKUP($G19, 'ADP Data'!$C$4:$Q$300, 4, FALSE)</f>
        <v>3</v>
      </c>
      <c r="R19" s="11">
        <f>VLOOKUP($G19, 'ADP Data'!$C$4:$Q$300, 5, FALSE)</f>
        <v>6</v>
      </c>
      <c r="S19" s="11">
        <f>VLOOKUP($G19, 'ADP Data'!$C$4:$Q$300, 6, FALSE)</f>
        <v>5</v>
      </c>
      <c r="T19" s="11">
        <f>VLOOKUP($G19, 'ADP Data'!$C$4:$Q$300, 7, FALSE)</f>
        <v>5</v>
      </c>
      <c r="U19" s="11">
        <f>VLOOKUP($G19, 'ADP Data'!$C$4:$Q$300, 8, FALSE)</f>
        <v>4</v>
      </c>
      <c r="V19" s="11">
        <f t="shared" si="7"/>
        <v>4</v>
      </c>
      <c r="W19" s="11">
        <f t="shared" si="8"/>
        <v>1</v>
      </c>
      <c r="X19" s="11">
        <f t="shared" si="9"/>
        <v>1</v>
      </c>
      <c r="Y19" s="11">
        <f>VLOOKUP($G19, SeanRanks!$A$2:$K$303, 10, FALSE)-V19</f>
        <v>-1</v>
      </c>
      <c r="Z19" s="25">
        <f>IF(VLOOKUP($G19, SeanRanks!$A$2:$H$303, 7, FALSE)=0, "", VLOOKUP($G19, SeanRanks!$A$2:$H$303, 7, FALSE))</f>
        <v>2</v>
      </c>
    </row>
    <row r="20" spans="1:26" ht="14.25" customHeight="1" x14ac:dyDescent="0.25">
      <c r="A20" s="11"/>
      <c r="B20" s="11">
        <f t="shared" si="3"/>
        <v>1</v>
      </c>
      <c r="C20" s="11" t="s">
        <v>119</v>
      </c>
      <c r="D20" s="11">
        <v>2</v>
      </c>
      <c r="E20" s="11"/>
      <c r="F20" s="11">
        <f>VLOOKUP(G20, SeanRanks!$A$2:$E$302, 4, FALSE)</f>
        <v>0</v>
      </c>
      <c r="G20" s="11" t="s">
        <v>34</v>
      </c>
      <c r="H20" s="11" t="str">
        <f>VLOOKUP($G20, 'ADP Data'!$C$4:$Q$300, 2, FALSE)</f>
        <v>DET</v>
      </c>
      <c r="I20" s="11">
        <f>VLOOKUP(G20, 'ADP Data'!$C$4:$R$498, 12, FALSE)</f>
        <v>4</v>
      </c>
      <c r="J20" s="21">
        <f>VLOOKUP($G20, SeanRanks!$A$2:$H$303, 5, FALSE)</f>
        <v>0</v>
      </c>
      <c r="K20" s="11" t="str">
        <f>IF(VLOOKUP($G20, SeanRanks!$A$2:$H$303, 6, FALSE)=0, "", VLOOKUP($G20, SeanRanks!$A$2:$H$303, 6, FALSE))</f>
        <v>RB1 - 1 - Elite floor/ceiling</v>
      </c>
      <c r="L20" s="11">
        <f t="shared" si="4"/>
        <v>1</v>
      </c>
      <c r="M20" s="11">
        <f>VLOOKUP($G20, 'ADP Data'!$C$4:$Q$300, 9, FALSE)</f>
        <v>4</v>
      </c>
      <c r="N20" s="11">
        <f t="shared" si="5"/>
        <v>0</v>
      </c>
      <c r="O20" s="11">
        <f>VLOOKUP($G20, 'ADP Data'!$C$4:$Q$300, 3, FALSE)</f>
        <v>4</v>
      </c>
      <c r="P20" s="11">
        <f t="shared" si="6"/>
        <v>0</v>
      </c>
      <c r="Q20" s="11">
        <f>VLOOKUP($G20, 'ADP Data'!$C$4:$Q$300, 4, FALSE)</f>
        <v>5</v>
      </c>
      <c r="R20" s="11">
        <f>VLOOKUP($G20, 'ADP Data'!$C$4:$Q$300, 5, FALSE)</f>
        <v>4</v>
      </c>
      <c r="S20" s="11">
        <f>VLOOKUP($G20, 'ADP Data'!$C$4:$Q$300, 6, FALSE)</f>
        <v>3</v>
      </c>
      <c r="T20" s="11">
        <f>VLOOKUP($G20, 'ADP Data'!$C$4:$Q$300, 7, FALSE)</f>
        <v>3</v>
      </c>
      <c r="U20" s="11">
        <f>VLOOKUP($G20, 'ADP Data'!$C$4:$Q$300, 8, FALSE)</f>
        <v>6</v>
      </c>
      <c r="V20" s="11">
        <f t="shared" si="7"/>
        <v>4</v>
      </c>
      <c r="W20" s="11">
        <f t="shared" si="8"/>
        <v>1</v>
      </c>
      <c r="X20" s="11">
        <f t="shared" si="9"/>
        <v>1</v>
      </c>
      <c r="Y20" s="11">
        <f>VLOOKUP($G20, SeanRanks!$A$2:$K$303, 10, FALSE)-V20</f>
        <v>0</v>
      </c>
      <c r="Z20" s="25">
        <f>IF(VLOOKUP($G20, SeanRanks!$A$2:$H$303, 7, FALSE)=0, "", VLOOKUP($G20, SeanRanks!$A$2:$H$303, 7, FALSE))</f>
        <v>3</v>
      </c>
    </row>
    <row r="21" spans="1:26" ht="14.25" customHeight="1" x14ac:dyDescent="0.25">
      <c r="A21" s="11"/>
      <c r="B21" s="11">
        <f t="shared" si="3"/>
        <v>4</v>
      </c>
      <c r="C21" s="11" t="s">
        <v>119</v>
      </c>
      <c r="D21" s="11">
        <v>2</v>
      </c>
      <c r="E21" s="11"/>
      <c r="F21" s="11">
        <f>VLOOKUP(G21, SeanRanks!$A$2:$E$302, 4, FALSE)</f>
        <v>0</v>
      </c>
      <c r="G21" s="11" t="s">
        <v>226</v>
      </c>
      <c r="H21" s="11" t="str">
        <f>VLOOKUP($G21, 'ADP Data'!$C$4:$Q$300, 2, FALSE)</f>
        <v>ARI</v>
      </c>
      <c r="I21" s="11">
        <f>VLOOKUP(G21, 'ADP Data'!$C$4:$R$498, 12, FALSE)</f>
        <v>37</v>
      </c>
      <c r="J21" s="28" t="str">
        <f>VLOOKUP($G21, SeanRanks!$A$2:$H$303, 5, FALSE)</f>
        <v>Yes</v>
      </c>
      <c r="K21" s="11" t="str">
        <f>IF(VLOOKUP($G21, SeanRanks!$A$2:$H$303, 6, FALSE)=0, "", VLOOKUP($G21, SeanRanks!$A$2:$H$303, 6, FALSE))</f>
        <v>WR2 - 1 - WR1 upside</v>
      </c>
      <c r="L21" s="11">
        <f t="shared" si="4"/>
        <v>4</v>
      </c>
      <c r="M21" s="11">
        <f>VLOOKUP($G21, 'ADP Data'!$C$4:$Q$300, 9, FALSE)</f>
        <v>36</v>
      </c>
      <c r="N21" s="11">
        <f t="shared" si="5"/>
        <v>-4</v>
      </c>
      <c r="O21" s="11">
        <f>VLOOKUP($G21, 'ADP Data'!$C$4:$Q$300, 3, FALSE)</f>
        <v>46</v>
      </c>
      <c r="P21" s="11">
        <f t="shared" si="6"/>
        <v>-10</v>
      </c>
      <c r="Q21" s="11">
        <f>VLOOKUP($G21, 'ADP Data'!$C$4:$Q$300, 4, FALSE)</f>
        <v>44</v>
      </c>
      <c r="R21" s="11">
        <f>VLOOKUP($G21, 'ADP Data'!$C$4:$Q$300, 5, FALSE)</f>
        <v>39</v>
      </c>
      <c r="S21" s="11">
        <f>VLOOKUP($G21, 'ADP Data'!$C$4:$Q$300, 6, FALSE)</f>
        <v>41</v>
      </c>
      <c r="T21" s="11">
        <f>VLOOKUP($G21, 'ADP Data'!$C$4:$Q$300, 7, FALSE)</f>
        <v>34</v>
      </c>
      <c r="U21" s="11">
        <f>VLOOKUP($G21, 'ADP Data'!$C$4:$Q$300, 8, FALSE)</f>
        <v>41</v>
      </c>
      <c r="V21" s="11">
        <f t="shared" si="7"/>
        <v>40</v>
      </c>
      <c r="W21" s="11">
        <f t="shared" si="8"/>
        <v>4</v>
      </c>
      <c r="X21" s="11">
        <f t="shared" si="9"/>
        <v>-2</v>
      </c>
      <c r="Y21" s="11">
        <f>VLOOKUP($G21, SeanRanks!$A$2:$K$303, 10, FALSE)-V21</f>
        <v>-3</v>
      </c>
      <c r="Z21" s="25">
        <f>IF(VLOOKUP($G21, SeanRanks!$A$2:$H$303, 7, FALSE)=0, "", VLOOKUP($G21, SeanRanks!$A$2:$H$303, 7, FALSE))</f>
        <v>14</v>
      </c>
    </row>
    <row r="22" spans="1:26" ht="14.25" customHeight="1" x14ac:dyDescent="0.25">
      <c r="A22" s="11"/>
      <c r="B22" s="11">
        <f t="shared" si="3"/>
        <v>3</v>
      </c>
      <c r="C22" s="11" t="s">
        <v>119</v>
      </c>
      <c r="D22" s="11">
        <v>2</v>
      </c>
      <c r="E22" s="11"/>
      <c r="F22" s="11">
        <f>VLOOKUP(G22, SeanRanks!$A$2:$E$302, 4, FALSE)</f>
        <v>0</v>
      </c>
      <c r="G22" s="11" t="s">
        <v>135</v>
      </c>
      <c r="H22" s="11" t="str">
        <f>VLOOKUP($G22, 'ADP Data'!$C$4:$Q$300, 2, FALSE)</f>
        <v>LAR</v>
      </c>
      <c r="I22" s="11">
        <f>VLOOKUP(G22, 'ADP Data'!$C$4:$R$498, 12, FALSE)</f>
        <v>31</v>
      </c>
      <c r="J22" s="21">
        <f>VLOOKUP($G22, SeanRanks!$A$2:$H$303, 5, FALSE)</f>
        <v>0</v>
      </c>
      <c r="K22" s="11" t="str">
        <f>IF(VLOOKUP($G22, SeanRanks!$A$2:$H$303, 6, FALSE)=0, "", VLOOKUP($G22, SeanRanks!$A$2:$H$303, 6, FALSE))</f>
        <v>RB1 - 2 - Elite ceiling/questions</v>
      </c>
      <c r="L22" s="11">
        <f t="shared" si="4"/>
        <v>3</v>
      </c>
      <c r="M22" s="11">
        <f>VLOOKUP($G22, 'ADP Data'!$C$4:$Q$300, 9, FALSE)</f>
        <v>25</v>
      </c>
      <c r="N22" s="11">
        <f t="shared" si="5"/>
        <v>0</v>
      </c>
      <c r="O22" s="11">
        <f>VLOOKUP($G22, 'ADP Data'!$C$4:$Q$300, 3, FALSE)</f>
        <v>18</v>
      </c>
      <c r="P22" s="11">
        <f t="shared" si="6"/>
        <v>7</v>
      </c>
      <c r="Q22" s="11">
        <f>VLOOKUP($G22, 'ADP Data'!$C$4:$Q$300, 4, FALSE)</f>
        <v>29</v>
      </c>
      <c r="R22" s="11">
        <f>VLOOKUP($G22, 'ADP Data'!$C$4:$Q$300, 5, FALSE)</f>
        <v>30</v>
      </c>
      <c r="S22" s="11">
        <f>VLOOKUP($G22, 'ADP Data'!$C$4:$Q$300, 6, FALSE)</f>
        <v>26</v>
      </c>
      <c r="T22" s="11">
        <f>VLOOKUP($G22, 'ADP Data'!$C$4:$Q$300, 7, FALSE)</f>
        <v>27</v>
      </c>
      <c r="U22" s="11">
        <f>VLOOKUP($G22, 'ADP Data'!$C$4:$Q$300, 8, FALSE)</f>
        <v>25</v>
      </c>
      <c r="V22" s="11">
        <f t="shared" si="7"/>
        <v>25</v>
      </c>
      <c r="W22" s="11">
        <f t="shared" si="8"/>
        <v>3</v>
      </c>
      <c r="X22" s="11">
        <f t="shared" si="9"/>
        <v>-1</v>
      </c>
      <c r="Y22" s="11">
        <f>VLOOKUP($G22, SeanRanks!$A$2:$K$303, 10, FALSE)-V22</f>
        <v>2</v>
      </c>
      <c r="Z22" s="25">
        <f>IF(VLOOKUP($G22, SeanRanks!$A$2:$H$303, 7, FALSE)=0, "", VLOOKUP($G22, SeanRanks!$A$2:$H$303, 7, FALSE))</f>
        <v>11</v>
      </c>
    </row>
    <row r="23" spans="1:26" ht="14.25" customHeight="1" x14ac:dyDescent="0.25">
      <c r="A23" s="11"/>
      <c r="B23" s="11">
        <f t="shared" si="3"/>
        <v>2</v>
      </c>
      <c r="C23" s="11" t="s">
        <v>119</v>
      </c>
      <c r="D23" s="11">
        <v>2</v>
      </c>
      <c r="E23" s="11"/>
      <c r="F23" s="11">
        <f>VLOOKUP(G23, SeanRanks!$A$2:$E$302, 4, FALSE)</f>
        <v>0</v>
      </c>
      <c r="G23" s="11" t="s">
        <v>90</v>
      </c>
      <c r="H23" s="11" t="str">
        <f>VLOOKUP($G23, 'ADP Data'!$C$4:$Q$300, 2, FALSE)</f>
        <v>BAL</v>
      </c>
      <c r="I23" s="11">
        <f>VLOOKUP(G23, 'ADP Data'!$C$4:$R$498, 12, FALSE)</f>
        <v>15</v>
      </c>
      <c r="J23" s="21">
        <f>VLOOKUP($G23, SeanRanks!$A$2:$H$303, 5, FALSE)</f>
        <v>0</v>
      </c>
      <c r="K23" s="11" t="str">
        <f>IF(VLOOKUP($G23, SeanRanks!$A$2:$H$303, 6, FALSE)=0, "", VLOOKUP($G23, SeanRanks!$A$2:$H$303, 6, FALSE))</f>
        <v>RB1 - 2 - Elite ceiling/questions</v>
      </c>
      <c r="L23" s="11">
        <f t="shared" si="4"/>
        <v>1</v>
      </c>
      <c r="M23" s="11">
        <f>VLOOKUP($G23, 'ADP Data'!$C$4:$Q$300, 9, FALSE)</f>
        <v>7</v>
      </c>
      <c r="N23" s="11">
        <f t="shared" si="5"/>
        <v>-3</v>
      </c>
      <c r="O23" s="11">
        <f>VLOOKUP($G23, 'ADP Data'!$C$4:$Q$300, 3, FALSE)</f>
        <v>7</v>
      </c>
      <c r="P23" s="11">
        <f t="shared" si="6"/>
        <v>0</v>
      </c>
      <c r="Q23" s="11">
        <f>VLOOKUP($G23, 'ADP Data'!$C$4:$Q$300, 4, FALSE)</f>
        <v>12</v>
      </c>
      <c r="R23" s="11">
        <f>VLOOKUP($G23, 'ADP Data'!$C$4:$Q$300, 5, FALSE)</f>
        <v>13</v>
      </c>
      <c r="S23" s="11">
        <f>VLOOKUP($G23, 'ADP Data'!$C$4:$Q$300, 6, FALSE)</f>
        <v>14</v>
      </c>
      <c r="T23" s="11">
        <f>VLOOKUP($G23, 'ADP Data'!$C$4:$Q$300, 7, FALSE)</f>
        <v>13</v>
      </c>
      <c r="U23" s="11">
        <f>VLOOKUP($G23, 'ADP Data'!$C$4:$Q$300, 8, FALSE)</f>
        <v>10</v>
      </c>
      <c r="V23" s="11">
        <f t="shared" si="7"/>
        <v>10</v>
      </c>
      <c r="W23" s="11">
        <f t="shared" si="8"/>
        <v>1</v>
      </c>
      <c r="X23" s="11">
        <f t="shared" si="9"/>
        <v>1</v>
      </c>
      <c r="Y23" s="11">
        <f>VLOOKUP($G23, SeanRanks!$A$2:$K$303, 10, FALSE)-V23</f>
        <v>1</v>
      </c>
      <c r="Z23" s="25">
        <f>IF(VLOOKUP($G23, SeanRanks!$A$2:$H$303, 7, FALSE)=0, "", VLOOKUP($G23, SeanRanks!$A$2:$H$303, 7, FALSE))</f>
        <v>8</v>
      </c>
    </row>
    <row r="24" spans="1:26" ht="14.25" customHeight="1" x14ac:dyDescent="0.25">
      <c r="A24" s="11"/>
      <c r="B24" s="11">
        <f t="shared" si="3"/>
        <v>4</v>
      </c>
      <c r="C24" s="11" t="s">
        <v>119</v>
      </c>
      <c r="D24" s="11">
        <v>2</v>
      </c>
      <c r="E24" s="11"/>
      <c r="F24" s="11">
        <f>VLOOKUP(G24, SeanRanks!$A$2:$E$302, 4, FALSE)</f>
        <v>0</v>
      </c>
      <c r="G24" s="11" t="s">
        <v>192</v>
      </c>
      <c r="H24" s="11" t="str">
        <f>VLOOKUP($G24, 'ADP Data'!$C$4:$Q$300, 2, FALSE)</f>
        <v>LAR</v>
      </c>
      <c r="I24" s="11">
        <f>VLOOKUP(G24, 'ADP Data'!$C$4:$R$498, 12, FALSE)</f>
        <v>41</v>
      </c>
      <c r="J24" s="28">
        <f>VLOOKUP($G24, SeanRanks!$A$2:$H$303, 5, FALSE)</f>
        <v>0</v>
      </c>
      <c r="K24" s="11" t="str">
        <f>IF(VLOOKUP($G24, SeanRanks!$A$2:$H$303, 6, FALSE)=0, "", VLOOKUP($G24, SeanRanks!$A$2:$H$303, 6, FALSE))</f>
        <v>WR2 - 2 - Upside with risk</v>
      </c>
      <c r="L24" s="11">
        <f t="shared" si="4"/>
        <v>4</v>
      </c>
      <c r="M24" s="11">
        <f>VLOOKUP($G24, 'ADP Data'!$C$4:$Q$300, 9, FALSE)</f>
        <v>44</v>
      </c>
      <c r="N24" s="11">
        <f t="shared" si="5"/>
        <v>3</v>
      </c>
      <c r="O24" s="11">
        <f>VLOOKUP($G24, 'ADP Data'!$C$4:$Q$300, 3, FALSE)</f>
        <v>34</v>
      </c>
      <c r="P24" s="11">
        <f t="shared" si="6"/>
        <v>10</v>
      </c>
      <c r="Q24" s="11">
        <f>VLOOKUP($G24, 'ADP Data'!$C$4:$Q$300, 4, FALSE)</f>
        <v>34</v>
      </c>
      <c r="R24" s="11">
        <f>VLOOKUP($G24, 'ADP Data'!$C$4:$Q$300, 5, FALSE)</f>
        <v>47</v>
      </c>
      <c r="S24" s="11">
        <f>VLOOKUP($G24, 'ADP Data'!$C$4:$Q$300, 6, FALSE)</f>
        <v>43</v>
      </c>
      <c r="T24" s="11">
        <f>VLOOKUP($G24, 'ADP Data'!$C$4:$Q$300, 7, FALSE)</f>
        <v>37</v>
      </c>
      <c r="U24" s="11">
        <f>VLOOKUP($G24, 'ADP Data'!$C$4:$Q$300, 8, FALSE)</f>
        <v>48</v>
      </c>
      <c r="V24" s="11">
        <f t="shared" si="7"/>
        <v>41</v>
      </c>
      <c r="W24" s="11">
        <f t="shared" si="8"/>
        <v>4</v>
      </c>
      <c r="X24" s="11">
        <f t="shared" si="9"/>
        <v>-2</v>
      </c>
      <c r="Y24" s="11">
        <f>VLOOKUP($G24, SeanRanks!$A$2:$K$303, 10, FALSE)-V24</f>
        <v>2</v>
      </c>
      <c r="Z24" s="25">
        <f>IF(VLOOKUP($G24, SeanRanks!$A$2:$H$303, 7, FALSE)=0, "", VLOOKUP($G24, SeanRanks!$A$2:$H$303, 7, FALSE))</f>
        <v>19</v>
      </c>
    </row>
    <row r="25" spans="1:26" ht="14.25" customHeight="1" x14ac:dyDescent="0.25">
      <c r="A25" s="11"/>
      <c r="B25" s="11">
        <f t="shared" si="3"/>
        <v>6</v>
      </c>
      <c r="C25" s="11" t="s">
        <v>119</v>
      </c>
      <c r="D25" s="11">
        <v>2</v>
      </c>
      <c r="E25" s="11"/>
      <c r="F25" s="11">
        <f>VLOOKUP(G25, SeanRanks!$A$2:$E$302, 4, FALSE)</f>
        <v>0</v>
      </c>
      <c r="G25" s="11" t="s">
        <v>415</v>
      </c>
      <c r="H25" s="11" t="str">
        <f>VLOOKUP($G25, 'ADP Data'!$C$4:$Q$300, 2, FALSE)</f>
        <v>KC</v>
      </c>
      <c r="I25" s="11">
        <f>VLOOKUP(G25, 'ADP Data'!$C$4:$R$498, 12, FALSE)</f>
        <v>68</v>
      </c>
      <c r="J25" s="21">
        <f>VLOOKUP($G25, SeanRanks!$A$2:$H$303, 5, FALSE)</f>
        <v>0</v>
      </c>
      <c r="K25" s="11" t="str">
        <f>IF(VLOOKUP($G25, SeanRanks!$A$2:$H$303, 6, FALSE)=0, "", VLOOKUP($G25, SeanRanks!$A$2:$H$303, 6, FALSE))</f>
        <v>RB2 - 2 - Path to spikes</v>
      </c>
      <c r="L25" s="11">
        <f t="shared" si="4"/>
        <v>6</v>
      </c>
      <c r="M25" s="11">
        <f>VLOOKUP($G25, 'ADP Data'!$C$4:$Q$300, 9, FALSE)</f>
        <v>61</v>
      </c>
      <c r="N25" s="11">
        <f t="shared" si="5"/>
        <v>-4</v>
      </c>
      <c r="O25" s="11">
        <f>VLOOKUP($G25, 'ADP Data'!$C$4:$Q$300, 3, FALSE)</f>
        <v>66</v>
      </c>
      <c r="P25" s="11">
        <f t="shared" si="6"/>
        <v>-5</v>
      </c>
      <c r="Q25" s="11">
        <f>VLOOKUP($G25, 'ADP Data'!$C$4:$Q$300, 4, FALSE)</f>
        <v>63</v>
      </c>
      <c r="R25" s="11">
        <f>VLOOKUP($G25, 'ADP Data'!$C$4:$Q$300, 5, FALSE)</f>
        <v>77</v>
      </c>
      <c r="S25" s="11">
        <f>VLOOKUP($G25, 'ADP Data'!$C$4:$Q$300, 6, FALSE)</f>
        <v>62</v>
      </c>
      <c r="T25" s="11">
        <f>VLOOKUP($G25, 'ADP Data'!$C$4:$Q$300, 7, FALSE)</f>
        <v>67</v>
      </c>
      <c r="U25" s="11">
        <f>VLOOKUP($G25, 'ADP Data'!$C$4:$Q$300, 8, FALSE)</f>
        <v>59</v>
      </c>
      <c r="V25" s="11">
        <f t="shared" si="7"/>
        <v>65</v>
      </c>
      <c r="W25" s="11">
        <f t="shared" si="8"/>
        <v>6</v>
      </c>
      <c r="X25" s="11">
        <f t="shared" si="9"/>
        <v>-4</v>
      </c>
      <c r="Y25" s="11">
        <f>VLOOKUP($G25, SeanRanks!$A$2:$K$303, 10, FALSE)-V25</f>
        <v>0</v>
      </c>
      <c r="Z25" s="25">
        <f>IF(VLOOKUP($G25, SeanRanks!$A$2:$H$303, 7, FALSE)=0, "", VLOOKUP($G25, SeanRanks!$A$2:$H$303, 7, FALSE))</f>
        <v>23</v>
      </c>
    </row>
    <row r="26" spans="1:26" ht="14.25" customHeight="1" x14ac:dyDescent="0.25">
      <c r="A26" s="11"/>
      <c r="B26" s="11">
        <f t="shared" si="3"/>
        <v>2</v>
      </c>
      <c r="C26" s="11" t="s">
        <v>119</v>
      </c>
      <c r="D26" s="11"/>
      <c r="E26" s="11"/>
      <c r="F26" s="11">
        <f>VLOOKUP(G26, SeanRanks!$A$2:$E$302, 4, FALSE)</f>
        <v>0</v>
      </c>
      <c r="G26" s="11" t="s">
        <v>109</v>
      </c>
      <c r="H26" s="11" t="str">
        <f>VLOOKUP($G26, 'ADP Data'!$C$4:$Q$300, 2, FALSE)</f>
        <v>ATL</v>
      </c>
      <c r="I26" s="11">
        <f>VLOOKUP(G26, 'ADP Data'!$C$4:$R$498, 12, FALSE)</f>
        <v>14</v>
      </c>
      <c r="J26" s="40">
        <f>VLOOKUP($G26, SeanRanks!$A$2:$H$303, 5, FALSE)</f>
        <v>0</v>
      </c>
      <c r="K26" s="11" t="str">
        <f>IF(VLOOKUP($G26, SeanRanks!$A$2:$H$303, 6, FALSE)=0, "", VLOOKUP($G26, SeanRanks!$A$2:$H$303, 6, FALSE))</f>
        <v>WR1 - 2 - High Floor</v>
      </c>
      <c r="L26" s="11">
        <f t="shared" si="4"/>
        <v>2</v>
      </c>
      <c r="M26" s="11">
        <f>VLOOKUP($G26, 'ADP Data'!$C$4:$Q$300, 9, FALSE)</f>
        <v>17</v>
      </c>
      <c r="N26" s="11">
        <f t="shared" si="5"/>
        <v>-1</v>
      </c>
      <c r="O26" s="11">
        <f>VLOOKUP($G26, 'ADP Data'!$C$4:$Q$300, 3, FALSE)</f>
        <v>23</v>
      </c>
      <c r="P26" s="11">
        <f t="shared" si="6"/>
        <v>-6</v>
      </c>
      <c r="Q26" s="11">
        <f>VLOOKUP($G26, 'ADP Data'!$C$4:$Q$300, 4, FALSE)</f>
        <v>21</v>
      </c>
      <c r="R26" s="11">
        <f>VLOOKUP($G26, 'ADP Data'!$C$4:$Q$300, 5, FALSE)</f>
        <v>16</v>
      </c>
      <c r="S26" s="11">
        <f>VLOOKUP($G26, 'ADP Data'!$C$4:$Q$300, 6, FALSE)</f>
        <v>19</v>
      </c>
      <c r="T26" s="11">
        <f>VLOOKUP($G26, 'ADP Data'!$C$4:$Q$300, 7, FALSE)</f>
        <v>15</v>
      </c>
      <c r="U26" s="11">
        <f>VLOOKUP($G26, 'ADP Data'!$C$4:$Q$300, 8, FALSE)</f>
        <v>20</v>
      </c>
      <c r="V26" s="11">
        <f t="shared" si="7"/>
        <v>18</v>
      </c>
      <c r="W26" s="11">
        <f t="shared" si="8"/>
        <v>2</v>
      </c>
      <c r="X26" s="11">
        <f t="shared" si="9"/>
        <v>-2</v>
      </c>
      <c r="Y26" s="11">
        <f>VLOOKUP($G26, SeanRanks!$A$2:$K$303, 10, FALSE)-V26</f>
        <v>-6</v>
      </c>
      <c r="Z26" s="25">
        <f>IF(VLOOKUP($G26, SeanRanks!$A$2:$H$303, 7, FALSE)=0, "", VLOOKUP($G26, SeanRanks!$A$2:$H$303, 7, FALSE))</f>
        <v>7</v>
      </c>
    </row>
    <row r="27" spans="1:26" ht="14.25" customHeight="1" x14ac:dyDescent="0.25">
      <c r="A27" s="11"/>
      <c r="B27" s="11">
        <f t="shared" si="3"/>
        <v>9</v>
      </c>
      <c r="C27" s="11" t="s">
        <v>119</v>
      </c>
      <c r="D27" s="11">
        <v>2</v>
      </c>
      <c r="E27" s="23"/>
      <c r="F27" s="11">
        <f>VLOOKUP(G27, SeanRanks!$A$2:$E$302, 4, FALSE)</f>
        <v>0</v>
      </c>
      <c r="G27" s="11" t="s">
        <v>157</v>
      </c>
      <c r="H27" s="11" t="str">
        <f>VLOOKUP($G27, 'ADP Data'!$C$4:$Q$300, 2, FALSE)</f>
        <v>JAX</v>
      </c>
      <c r="I27" s="11">
        <f>VLOOKUP(G27, 'ADP Data'!$C$4:$R$498, 12, FALSE)</f>
        <v>101</v>
      </c>
      <c r="J27" s="39">
        <f>VLOOKUP($G27, SeanRanks!$A$2:$H$303, 5, FALSE)</f>
        <v>0</v>
      </c>
      <c r="K27" s="11" t="str">
        <f>IF(VLOOKUP($G27, SeanRanks!$A$2:$H$303, 6, FALSE)=0, "", VLOOKUP($G27, SeanRanks!$A$2:$H$303, 6, FALSE))</f>
        <v>RB3 - 2 - low ceiling</v>
      </c>
      <c r="L27" s="11">
        <f t="shared" si="4"/>
        <v>8</v>
      </c>
      <c r="M27" s="11">
        <f>VLOOKUP($G27, 'ADP Data'!$C$4:$Q$300, 9, FALSE)</f>
        <v>85</v>
      </c>
      <c r="N27" s="11">
        <f t="shared" si="5"/>
        <v>-14</v>
      </c>
      <c r="O27" s="11">
        <f>VLOOKUP($G27, 'ADP Data'!$C$4:$Q$300, 3, FALSE)</f>
        <v>90</v>
      </c>
      <c r="P27" s="11">
        <f t="shared" si="6"/>
        <v>-5</v>
      </c>
      <c r="Q27" s="11">
        <f>VLOOKUP($G27, 'ADP Data'!$C$4:$Q$300, 4, FALSE)</f>
        <v>116</v>
      </c>
      <c r="R27" s="11">
        <f>VLOOKUP($G27, 'ADP Data'!$C$4:$Q$300, 5, FALSE)</f>
        <v>102</v>
      </c>
      <c r="S27" s="11">
        <f>VLOOKUP($G27, 'ADP Data'!$C$4:$Q$300, 6, FALSE)</f>
        <v>94</v>
      </c>
      <c r="T27" s="11">
        <f>VLOOKUP($G27, 'ADP Data'!$C$4:$Q$300, 7, FALSE)</f>
        <v>90</v>
      </c>
      <c r="U27" s="11">
        <f>VLOOKUP($G27, 'ADP Data'!$C$4:$Q$300, 8, FALSE)</f>
        <v>121</v>
      </c>
      <c r="V27" s="11">
        <f t="shared" si="7"/>
        <v>99</v>
      </c>
      <c r="W27" s="11">
        <f t="shared" si="8"/>
        <v>9</v>
      </c>
      <c r="X27" s="11">
        <f t="shared" si="9"/>
        <v>-7</v>
      </c>
      <c r="Y27" s="11">
        <f>VLOOKUP($G27, SeanRanks!$A$2:$K$303, 10, FALSE)-V27</f>
        <v>-3</v>
      </c>
      <c r="Z27" s="25">
        <f>IF(VLOOKUP($G27, SeanRanks!$A$2:$H$303, 7, FALSE)=0, "", VLOOKUP($G27, SeanRanks!$A$2:$H$303, 7, FALSE))</f>
        <v>33</v>
      </c>
    </row>
    <row r="28" spans="1:26" ht="14.25" customHeight="1" x14ac:dyDescent="0.25">
      <c r="A28" s="11"/>
      <c r="B28" s="11">
        <f t="shared" si="3"/>
        <v>7</v>
      </c>
      <c r="C28" s="11" t="s">
        <v>119</v>
      </c>
      <c r="D28" s="11"/>
      <c r="E28" s="11"/>
      <c r="F28" s="11">
        <f>VLOOKUP(G28, SeanRanks!$A$2:$E$302, 4, FALSE)</f>
        <v>0</v>
      </c>
      <c r="G28" s="11" t="s">
        <v>128</v>
      </c>
      <c r="H28" s="11" t="str">
        <f>VLOOKUP($G28, 'ADP Data'!$C$4:$Q$300, 2, FALSE)</f>
        <v>NO</v>
      </c>
      <c r="I28" s="11">
        <f>VLOOKUP(G28, 'ADP Data'!$C$4:$R$498, 12, FALSE)</f>
        <v>71</v>
      </c>
      <c r="J28" s="28">
        <f>VLOOKUP($G28, SeanRanks!$A$2:$H$303, 5, FALSE)</f>
        <v>0</v>
      </c>
      <c r="K28" s="11" t="str">
        <f>IF(VLOOKUP($G28, SeanRanks!$A$2:$H$303, 6, FALSE)=0, "", VLOOKUP($G28, SeanRanks!$A$2:$H$303, 6, FALSE))</f>
        <v>WR3 - 2 - mid, but path to big upside</v>
      </c>
      <c r="L28" s="11">
        <f t="shared" si="4"/>
        <v>7</v>
      </c>
      <c r="M28" s="11">
        <f>VLOOKUP($G28, 'ADP Data'!$C$4:$Q$300, 9, FALSE)</f>
        <v>73</v>
      </c>
      <c r="N28" s="11">
        <f t="shared" si="5"/>
        <v>-9</v>
      </c>
      <c r="O28" s="11">
        <f>VLOOKUP($G28, 'ADP Data'!$C$4:$Q$300, 3, FALSE)</f>
        <v>101</v>
      </c>
      <c r="P28" s="11">
        <f t="shared" si="6"/>
        <v>-28</v>
      </c>
      <c r="Q28" s="11">
        <f>VLOOKUP($G28, 'ADP Data'!$C$4:$Q$300, 4, FALSE)</f>
        <v>84</v>
      </c>
      <c r="R28" s="11">
        <f>VLOOKUP($G28, 'ADP Data'!$C$4:$Q$300, 5, FALSE)</f>
        <v>78</v>
      </c>
      <c r="S28" s="11">
        <f>VLOOKUP($G28, 'ADP Data'!$C$4:$Q$300, 6, FALSE)</f>
        <v>82</v>
      </c>
      <c r="T28" s="11">
        <f>VLOOKUP($G28, 'ADP Data'!$C$4:$Q$300, 7, FALSE)</f>
        <v>72</v>
      </c>
      <c r="U28" s="11">
        <f>VLOOKUP($G28, 'ADP Data'!$C$4:$Q$300, 8, FALSE)</f>
        <v>87</v>
      </c>
      <c r="V28" s="11">
        <f t="shared" si="7"/>
        <v>82</v>
      </c>
      <c r="W28" s="11">
        <f t="shared" si="8"/>
        <v>7</v>
      </c>
      <c r="X28" s="11">
        <f t="shared" si="9"/>
        <v>-7</v>
      </c>
      <c r="Y28" s="11">
        <f>VLOOKUP($G28, SeanRanks!$A$2:$K$303, 10, FALSE)-V28</f>
        <v>-16</v>
      </c>
      <c r="Z28" s="25">
        <f>IF(VLOOKUP($G28, SeanRanks!$A$2:$H$303, 7, FALSE)=0, "", VLOOKUP($G28, SeanRanks!$A$2:$H$303, 7, FALSE))</f>
        <v>32</v>
      </c>
    </row>
    <row r="29" spans="1:26" ht="14.25" customHeight="1" x14ac:dyDescent="0.25">
      <c r="A29" s="11"/>
      <c r="B29" s="11">
        <f t="shared" si="3"/>
        <v>2</v>
      </c>
      <c r="C29" s="11" t="s">
        <v>119</v>
      </c>
      <c r="D29" s="11"/>
      <c r="E29" s="11"/>
      <c r="F29" s="11">
        <f>VLOOKUP(G29, SeanRanks!$A$2:$E$302, 4, FALSE)</f>
        <v>0</v>
      </c>
      <c r="G29" s="11" t="s">
        <v>80</v>
      </c>
      <c r="H29" s="11" t="str">
        <f>VLOOKUP($G29, 'ADP Data'!$C$4:$Q$300, 2, FALSE)</f>
        <v>MIA</v>
      </c>
      <c r="I29" s="11">
        <f>VLOOKUP(G29, 'ADP Data'!$C$4:$R$498, 12, FALSE)</f>
        <v>18</v>
      </c>
      <c r="J29" s="21">
        <f>VLOOKUP($G29, SeanRanks!$A$2:$H$303, 5, FALSE)</f>
        <v>0</v>
      </c>
      <c r="K29" s="11" t="str">
        <f>IF(VLOOKUP($G29, SeanRanks!$A$2:$H$303, 6, FALSE)=0, "", VLOOKUP($G29, SeanRanks!$A$2:$H$303, 6, FALSE))</f>
        <v>RB1 - 2 - Elite ceiling/questions</v>
      </c>
      <c r="L29" s="11">
        <f t="shared" si="4"/>
        <v>2</v>
      </c>
      <c r="M29" s="11">
        <f>VLOOKUP($G29, 'ADP Data'!$C$4:$Q$300, 9, FALSE)</f>
        <v>14</v>
      </c>
      <c r="N29" s="11">
        <f t="shared" si="5"/>
        <v>-1</v>
      </c>
      <c r="O29" s="11">
        <f>VLOOKUP($G29, 'ADP Data'!$C$4:$Q$300, 3, FALSE)</f>
        <v>16</v>
      </c>
      <c r="P29" s="11">
        <f t="shared" si="6"/>
        <v>-2</v>
      </c>
      <c r="Q29" s="11">
        <f>VLOOKUP($G29, 'ADP Data'!$C$4:$Q$300, 4, FALSE)</f>
        <v>14</v>
      </c>
      <c r="R29" s="11">
        <f>VLOOKUP($G29, 'ADP Data'!$C$4:$Q$300, 5, FALSE)</f>
        <v>15</v>
      </c>
      <c r="S29" s="11">
        <f>VLOOKUP($G29, 'ADP Data'!$C$4:$Q$300, 6, FALSE)</f>
        <v>18</v>
      </c>
      <c r="T29" s="11">
        <f>VLOOKUP($G29, 'ADP Data'!$C$4:$Q$300, 7, FALSE)</f>
        <v>16</v>
      </c>
      <c r="U29" s="11">
        <f>VLOOKUP($G29, 'ADP Data'!$C$4:$Q$300, 8, FALSE)</f>
        <v>14</v>
      </c>
      <c r="V29" s="11">
        <f t="shared" si="7"/>
        <v>15</v>
      </c>
      <c r="W29" s="11">
        <f t="shared" si="8"/>
        <v>2</v>
      </c>
      <c r="X29" s="11">
        <f t="shared" si="9"/>
        <v>-2</v>
      </c>
      <c r="Y29" s="11">
        <f>VLOOKUP($G29, SeanRanks!$A$2:$K$303, 10, FALSE)-V29</f>
        <v>5</v>
      </c>
      <c r="Z29" s="25">
        <f>IF(VLOOKUP($G29, SeanRanks!$A$2:$H$303, 7, FALSE)=0, "", VLOOKUP($G29, SeanRanks!$A$2:$H$303, 7, FALSE))</f>
        <v>6</v>
      </c>
    </row>
    <row r="30" spans="1:26" ht="14.25" customHeight="1" x14ac:dyDescent="0.25">
      <c r="A30" s="11"/>
      <c r="B30" s="11">
        <f t="shared" si="3"/>
        <v>6</v>
      </c>
      <c r="C30" s="11" t="s">
        <v>119</v>
      </c>
      <c r="D30" s="11">
        <v>3</v>
      </c>
      <c r="E30" s="11"/>
      <c r="F30" s="11">
        <f>VLOOKUP(G30, SeanRanks!$A$2:$E$302, 4, FALSE)</f>
        <v>0</v>
      </c>
      <c r="G30" s="11" t="s">
        <v>312</v>
      </c>
      <c r="H30" s="11" t="str">
        <f>VLOOKUP($G30, 'ADP Data'!$C$4:$Q$300, 2, FALSE)</f>
        <v>KC</v>
      </c>
      <c r="I30" s="11">
        <f>VLOOKUP(G30, 'ADP Data'!$C$4:$R$498, 12, FALSE)</f>
        <v>79</v>
      </c>
      <c r="J30" s="41" t="str">
        <f>VLOOKUP($G30, SeanRanks!$A$2:$H$303, 5, FALSE)</f>
        <v>No</v>
      </c>
      <c r="K30" s="11" t="str">
        <f>IF(VLOOKUP($G30, SeanRanks!$A$2:$H$303, 6, FALSE)=0, "", VLOOKUP($G30, SeanRanks!$A$2:$H$303, 6, FALSE))</f>
        <v>TE1 - 3 - Weekly Start</v>
      </c>
      <c r="L30" s="11">
        <f t="shared" si="4"/>
        <v>6</v>
      </c>
      <c r="M30" s="11">
        <f>VLOOKUP($G30, 'ADP Data'!$C$4:$Q$300, 9, FALSE)</f>
        <v>67</v>
      </c>
      <c r="N30" s="11">
        <f t="shared" si="5"/>
        <v>-1</v>
      </c>
      <c r="O30" s="11">
        <f>VLOOKUP($G30, 'ADP Data'!$C$4:$Q$300, 3, FALSE)</f>
        <v>61</v>
      </c>
      <c r="P30" s="11">
        <f t="shared" si="6"/>
        <v>6</v>
      </c>
      <c r="Q30" s="11">
        <f>VLOOKUP($G30, 'ADP Data'!$C$4:$Q$300, 4, FALSE)</f>
        <v>57</v>
      </c>
      <c r="R30" s="11">
        <f>VLOOKUP($G30, 'ADP Data'!$C$4:$Q$300, 5, FALSE)</f>
        <v>88</v>
      </c>
      <c r="S30" s="11">
        <f>VLOOKUP($G30, 'ADP Data'!$C$4:$Q$300, 6, FALSE)</f>
        <v>63</v>
      </c>
      <c r="T30" s="11">
        <f>VLOOKUP($G30, 'ADP Data'!$C$4:$Q$300, 7, FALSE)</f>
        <v>82</v>
      </c>
      <c r="U30" s="11">
        <f>VLOOKUP($G30, 'ADP Data'!$C$4:$Q$300, 8, FALSE)</f>
        <v>58</v>
      </c>
      <c r="V30" s="11">
        <f t="shared" si="7"/>
        <v>68</v>
      </c>
      <c r="W30" s="11">
        <f t="shared" si="8"/>
        <v>6</v>
      </c>
      <c r="X30" s="11">
        <f t="shared" si="9"/>
        <v>-3</v>
      </c>
      <c r="Y30" s="11">
        <f>VLOOKUP($G30, SeanRanks!$A$2:$K$303, 10, FALSE)-V30</f>
        <v>14</v>
      </c>
      <c r="Z30" s="25">
        <f>IF(VLOOKUP($G30, SeanRanks!$A$2:$H$303, 7, FALSE)=0, "", VLOOKUP($G30, SeanRanks!$A$2:$H$303, 7, FALSE))</f>
        <v>9</v>
      </c>
    </row>
    <row r="31" spans="1:26" ht="14.25" customHeight="1" x14ac:dyDescent="0.25">
      <c r="A31" s="11"/>
      <c r="B31" s="11">
        <f t="shared" si="3"/>
        <v>2</v>
      </c>
      <c r="C31" s="11" t="s">
        <v>119</v>
      </c>
      <c r="D31" s="11"/>
      <c r="E31" s="23"/>
      <c r="F31" s="11">
        <f>VLOOKUP(G31, SeanRanks!$A$2:$E$302, 4, FALSE)</f>
        <v>0</v>
      </c>
      <c r="G31" s="11" t="s">
        <v>115</v>
      </c>
      <c r="H31" s="11" t="str">
        <f>VLOOKUP($G31, 'ADP Data'!$C$4:$Q$300, 2, FALSE)</f>
        <v>HOU</v>
      </c>
      <c r="I31" s="11">
        <f>VLOOKUP(G31, 'ADP Data'!$C$4:$R$498, 12, FALSE)</f>
        <v>8</v>
      </c>
      <c r="J31" s="40">
        <f>VLOOKUP($G31, SeanRanks!$A$2:$H$303, 5, FALSE)</f>
        <v>0</v>
      </c>
      <c r="K31" s="11" t="str">
        <f>IF(VLOOKUP($G31, SeanRanks!$A$2:$H$303, 6, FALSE)=0, "", VLOOKUP($G31, SeanRanks!$A$2:$H$303, 6, FALSE))</f>
        <v>WR1 - 2 - High Floor</v>
      </c>
      <c r="L31" s="11">
        <f t="shared" si="4"/>
        <v>2</v>
      </c>
      <c r="M31" s="11">
        <f>VLOOKUP($G31, 'ADP Data'!$C$4:$Q$300, 9, FALSE)</f>
        <v>13</v>
      </c>
      <c r="N31" s="11">
        <f t="shared" si="5"/>
        <v>0</v>
      </c>
      <c r="O31" s="11">
        <f>VLOOKUP($G31, 'ADP Data'!$C$4:$Q$300, 3, FALSE)</f>
        <v>13</v>
      </c>
      <c r="P31" s="11">
        <f t="shared" si="6"/>
        <v>0</v>
      </c>
      <c r="Q31" s="11">
        <f>VLOOKUP($G31, 'ADP Data'!$C$4:$Q$300, 4, FALSE)</f>
        <v>13</v>
      </c>
      <c r="R31" s="11">
        <f>VLOOKUP($G31, 'ADP Data'!$C$4:$Q$300, 5, FALSE)</f>
        <v>12</v>
      </c>
      <c r="S31" s="11">
        <f>VLOOKUP($G31, 'ADP Data'!$C$4:$Q$300, 6, FALSE)</f>
        <v>12</v>
      </c>
      <c r="T31" s="11">
        <f>VLOOKUP($G31, 'ADP Data'!$C$4:$Q$300, 7, FALSE)</f>
        <v>12</v>
      </c>
      <c r="U31" s="11">
        <f>VLOOKUP($G31, 'ADP Data'!$C$4:$Q$300, 8, FALSE)</f>
        <v>16</v>
      </c>
      <c r="V31" s="11">
        <f t="shared" si="7"/>
        <v>13</v>
      </c>
      <c r="W31" s="11">
        <f t="shared" si="8"/>
        <v>2</v>
      </c>
      <c r="X31" s="11">
        <f t="shared" si="9"/>
        <v>-2</v>
      </c>
      <c r="Y31" s="11">
        <f>VLOOKUP($G31, SeanRanks!$A$2:$K$303, 10, FALSE)-V31</f>
        <v>-6</v>
      </c>
      <c r="Z31" s="25">
        <f>IF(VLOOKUP($G31, SeanRanks!$A$2:$H$303, 7, FALSE)=0, "", VLOOKUP($G31, SeanRanks!$A$2:$H$303, 7, FALSE))</f>
        <v>4</v>
      </c>
    </row>
    <row r="32" spans="1:26" ht="14.25" customHeight="1" x14ac:dyDescent="0.25">
      <c r="A32" s="11"/>
      <c r="B32" s="11">
        <f t="shared" si="3"/>
        <v>4</v>
      </c>
      <c r="C32" s="11" t="s">
        <v>119</v>
      </c>
      <c r="D32" s="11">
        <v>2</v>
      </c>
      <c r="E32" s="11"/>
      <c r="F32" s="11">
        <f>VLOOKUP(G32, SeanRanks!$A$2:$E$302, 4, FALSE)</f>
        <v>0</v>
      </c>
      <c r="G32" s="11" t="s">
        <v>220</v>
      </c>
      <c r="H32" s="11" t="str">
        <f>VLOOKUP($G32, 'ADP Data'!$C$4:$Q$300, 2, FALSE)</f>
        <v>TB</v>
      </c>
      <c r="I32" s="11">
        <f>VLOOKUP(G32, 'ADP Data'!$C$4:$R$498, 12, FALSE)</f>
        <v>32</v>
      </c>
      <c r="J32" s="40">
        <f>VLOOKUP($G32, SeanRanks!$A$2:$H$303, 5, FALSE)</f>
        <v>0</v>
      </c>
      <c r="K32" s="11" t="str">
        <f>IF(VLOOKUP($G32, SeanRanks!$A$2:$H$303, 6, FALSE)=0, "", VLOOKUP($G32, SeanRanks!$A$2:$H$303, 6, FALSE))</f>
        <v>WR2 - 1 - WR1 upside</v>
      </c>
      <c r="L32" s="11">
        <f t="shared" si="4"/>
        <v>4</v>
      </c>
      <c r="M32" s="11">
        <f>VLOOKUP($G32, 'ADP Data'!$C$4:$Q$300, 9, FALSE)</f>
        <v>39</v>
      </c>
      <c r="N32" s="11">
        <f t="shared" si="5"/>
        <v>1</v>
      </c>
      <c r="O32" s="11">
        <f>VLOOKUP($G32, 'ADP Data'!$C$4:$Q$300, 3, FALSE)</f>
        <v>36</v>
      </c>
      <c r="P32" s="11">
        <f t="shared" si="6"/>
        <v>3</v>
      </c>
      <c r="Q32" s="11">
        <f>VLOOKUP($G32, 'ADP Data'!$C$4:$Q$300, 4, FALSE)</f>
        <v>43</v>
      </c>
      <c r="R32" s="11">
        <f>VLOOKUP($G32, 'ADP Data'!$C$4:$Q$300, 5, FALSE)</f>
        <v>44</v>
      </c>
      <c r="S32" s="11">
        <f>VLOOKUP($G32, 'ADP Data'!$C$4:$Q$300, 6, FALSE)</f>
        <v>38</v>
      </c>
      <c r="T32" s="11">
        <f>VLOOKUP($G32, 'ADP Data'!$C$4:$Q$300, 7, FALSE)</f>
        <v>38</v>
      </c>
      <c r="U32" s="11">
        <f>VLOOKUP($G32, 'ADP Data'!$C$4:$Q$300, 8, FALSE)</f>
        <v>32</v>
      </c>
      <c r="V32" s="11">
        <f t="shared" si="7"/>
        <v>38</v>
      </c>
      <c r="W32" s="11">
        <f t="shared" si="8"/>
        <v>4</v>
      </c>
      <c r="X32" s="11">
        <f t="shared" si="9"/>
        <v>-2</v>
      </c>
      <c r="Y32" s="11">
        <f>VLOOKUP($G32, SeanRanks!$A$2:$K$303, 10, FALSE)-V32</f>
        <v>-6</v>
      </c>
      <c r="Z32" s="25">
        <f>IF(VLOOKUP($G32, SeanRanks!$A$2:$H$303, 7, FALSE)=0, "", VLOOKUP($G32, SeanRanks!$A$2:$H$303, 7, FALSE))</f>
        <v>15</v>
      </c>
    </row>
    <row r="33" spans="1:26" ht="14.25" customHeight="1" x14ac:dyDescent="0.25">
      <c r="A33" s="11"/>
      <c r="B33" s="11">
        <f t="shared" si="3"/>
        <v>8</v>
      </c>
      <c r="C33" s="11" t="s">
        <v>119</v>
      </c>
      <c r="D33" s="11">
        <v>2</v>
      </c>
      <c r="E33" s="11"/>
      <c r="F33" s="11">
        <f>VLOOKUP(G33, SeanRanks!$A$2:$E$302, 4, FALSE)</f>
        <v>0</v>
      </c>
      <c r="G33" s="11" t="s">
        <v>362</v>
      </c>
      <c r="H33" s="11" t="str">
        <f>VLOOKUP($G33, 'ADP Data'!$C$4:$Q$300, 2, FALSE)</f>
        <v>WAS</v>
      </c>
      <c r="I33" s="11">
        <f>VLOOKUP(G33, 'ADP Data'!$C$4:$R$498, 12, FALSE)</f>
        <v>69</v>
      </c>
      <c r="J33" s="40" t="str">
        <f>VLOOKUP($G33, SeanRanks!$A$2:$H$303, 5, FALSE)</f>
        <v>Yes</v>
      </c>
      <c r="K33" s="11" t="str">
        <f>IF(VLOOKUP($G33, SeanRanks!$A$2:$H$303, 6, FALSE)=0, "", VLOOKUP($G33, SeanRanks!$A$2:$H$303, 6, FALSE))</f>
        <v>WR4 - 1 - path to WR2</v>
      </c>
      <c r="L33" s="11">
        <f t="shared" si="4"/>
        <v>8</v>
      </c>
      <c r="M33" s="11">
        <f>VLOOKUP($G33, 'ADP Data'!$C$4:$Q$300, 9, FALSE)</f>
        <v>84</v>
      </c>
      <c r="N33" s="11">
        <f t="shared" si="5"/>
        <v>0</v>
      </c>
      <c r="O33" s="11">
        <f>VLOOKUP($G33, 'ADP Data'!$C$4:$Q$300, 3, FALSE)</f>
        <v>75</v>
      </c>
      <c r="P33" s="11">
        <f t="shared" si="6"/>
        <v>9</v>
      </c>
      <c r="Q33" s="11">
        <f>VLOOKUP($G33, 'ADP Data'!$C$4:$Q$300, 4, FALSE)</f>
        <v>95</v>
      </c>
      <c r="R33" s="11">
        <f>VLOOKUP($G33, 'ADP Data'!$C$4:$Q$300, 5, FALSE)</f>
        <v>83</v>
      </c>
      <c r="S33" s="11">
        <f>VLOOKUP($G33, 'ADP Data'!$C$4:$Q$300, 6, FALSE)</f>
        <v>83</v>
      </c>
      <c r="T33" s="11">
        <f>VLOOKUP($G33, 'ADP Data'!$C$4:$Q$300, 7, FALSE)</f>
        <v>75</v>
      </c>
      <c r="U33" s="11">
        <f>VLOOKUP($G33, 'ADP Data'!$C$4:$Q$300, 8, FALSE)</f>
        <v>96</v>
      </c>
      <c r="V33" s="11">
        <f t="shared" si="7"/>
        <v>84</v>
      </c>
      <c r="W33" s="11">
        <f t="shared" si="8"/>
        <v>8</v>
      </c>
      <c r="X33" s="11">
        <f t="shared" si="9"/>
        <v>-6</v>
      </c>
      <c r="Y33" s="11">
        <f>VLOOKUP($G33, SeanRanks!$A$2:$K$303, 10, FALSE)-V33</f>
        <v>10</v>
      </c>
      <c r="Z33" s="25">
        <f>IF(VLOOKUP($G33, SeanRanks!$A$2:$H$303, 7, FALSE)=0, "", VLOOKUP($G33, SeanRanks!$A$2:$H$303, 7, FALSE))</f>
        <v>41</v>
      </c>
    </row>
    <row r="34" spans="1:26" ht="14.25" customHeight="1" x14ac:dyDescent="0.25">
      <c r="A34" s="11"/>
      <c r="B34" s="11">
        <f t="shared" si="3"/>
        <v>2</v>
      </c>
      <c r="C34" s="11" t="s">
        <v>119</v>
      </c>
      <c r="D34" s="11">
        <v>4</v>
      </c>
      <c r="E34" s="11"/>
      <c r="F34" s="11">
        <f>VLOOKUP(G34, SeanRanks!$A$2:$E$302, 4, FALSE)</f>
        <v>0</v>
      </c>
      <c r="G34" s="11" t="s">
        <v>131</v>
      </c>
      <c r="H34" s="11" t="str">
        <f>VLOOKUP($G34, 'ADP Data'!$C$4:$Q$300, 2, FALSE)</f>
        <v>BUF</v>
      </c>
      <c r="I34" s="11">
        <f>VLOOKUP(G34, 'ADP Data'!$C$4:$R$498, 12, FALSE)</f>
        <v>26</v>
      </c>
      <c r="J34" s="42">
        <f>VLOOKUP($G34, SeanRanks!$A$2:$H$303, 5, FALSE)</f>
        <v>0</v>
      </c>
      <c r="K34" s="11" t="str">
        <f>IF(VLOOKUP($G34, SeanRanks!$A$2:$H$303, 6, FALSE)=0, "", VLOOKUP($G34, SeanRanks!$A$2:$H$303, 6, FALSE))</f>
        <v>QB1 - 1 - Elite</v>
      </c>
      <c r="L34" s="11">
        <f t="shared" si="4"/>
        <v>2</v>
      </c>
      <c r="M34" s="11">
        <f>VLOOKUP($G34, 'ADP Data'!$C$4:$Q$300, 9, FALSE)</f>
        <v>21</v>
      </c>
      <c r="N34" s="11">
        <f t="shared" si="5"/>
        <v>-1</v>
      </c>
      <c r="O34" s="11">
        <f>VLOOKUP($G34, 'ADP Data'!$C$4:$Q$300, 3, FALSE)</f>
        <v>15</v>
      </c>
      <c r="P34" s="11">
        <f t="shared" si="6"/>
        <v>6</v>
      </c>
      <c r="Q34" s="11">
        <f>VLOOKUP($G34, 'ADP Data'!$C$4:$Q$300, 4, FALSE)</f>
        <v>19</v>
      </c>
      <c r="R34" s="11">
        <f>VLOOKUP($G34, 'ADP Data'!$C$4:$Q$300, 5, FALSE)</f>
        <v>27</v>
      </c>
      <c r="S34" s="11">
        <f>VLOOKUP($G34, 'ADP Data'!$C$4:$Q$300, 6, FALSE)</f>
        <v>27</v>
      </c>
      <c r="T34" s="11">
        <f>VLOOKUP($G34, 'ADP Data'!$C$4:$Q$300, 7, FALSE)</f>
        <v>25</v>
      </c>
      <c r="U34" s="11">
        <f>VLOOKUP($G34, 'ADP Data'!$C$4:$Q$300, 8, FALSE)</f>
        <v>21</v>
      </c>
      <c r="V34" s="11">
        <f t="shared" si="7"/>
        <v>22</v>
      </c>
      <c r="W34" s="11">
        <f t="shared" si="8"/>
        <v>2</v>
      </c>
      <c r="X34" s="11">
        <f t="shared" si="9"/>
        <v>2</v>
      </c>
      <c r="Y34" s="11">
        <f>VLOOKUP($G34, SeanRanks!$A$2:$K$303, 10, FALSE)-V34</f>
        <v>6</v>
      </c>
      <c r="Z34" s="25">
        <f>IF(VLOOKUP($G34, SeanRanks!$A$2:$H$303, 7, FALSE)=0, "", VLOOKUP($G34, SeanRanks!$A$2:$H$303, 7, FALSE))</f>
        <v>2</v>
      </c>
    </row>
    <row r="35" spans="1:26" ht="14.25" customHeight="1" x14ac:dyDescent="0.25">
      <c r="A35" s="11"/>
      <c r="B35" s="11">
        <f t="shared" si="3"/>
        <v>9</v>
      </c>
      <c r="C35" s="11" t="s">
        <v>119</v>
      </c>
      <c r="D35" s="11">
        <v>2</v>
      </c>
      <c r="E35" s="11"/>
      <c r="F35" s="11">
        <f>VLOOKUP(G35, SeanRanks!$A$2:$E$302, 4, FALSE)</f>
        <v>0</v>
      </c>
      <c r="G35" s="11" t="s">
        <v>450</v>
      </c>
      <c r="H35" s="11" t="str">
        <f>VLOOKUP($G35, 'ADP Data'!$C$4:$Q$300, 2, FALSE)</f>
        <v>SEA</v>
      </c>
      <c r="I35" s="11">
        <f>VLOOKUP(G35, 'ADP Data'!$C$4:$R$498, 12, FALSE)</f>
        <v>97</v>
      </c>
      <c r="J35" s="43">
        <f>VLOOKUP($G35, SeanRanks!$A$2:$H$303, 5, FALSE)</f>
        <v>0</v>
      </c>
      <c r="K35" s="11" t="str">
        <f>IF(VLOOKUP($G35, SeanRanks!$A$2:$H$303, 6, FALSE)=0, "", VLOOKUP($G35, SeanRanks!$A$2:$H$303, 6, FALSE))</f>
        <v>WR5 - 2 - floor play not league winner</v>
      </c>
      <c r="L35" s="11">
        <f t="shared" si="4"/>
        <v>8</v>
      </c>
      <c r="M35" s="11">
        <f>VLOOKUP($G35, 'ADP Data'!$C$4:$Q$300, 9, FALSE)</f>
        <v>88</v>
      </c>
      <c r="N35" s="11">
        <f t="shared" si="5"/>
        <v>-7</v>
      </c>
      <c r="O35" s="11">
        <f>VLOOKUP($G35, 'ADP Data'!$C$4:$Q$300, 3, FALSE)</f>
        <v>95</v>
      </c>
      <c r="P35" s="11">
        <f t="shared" si="6"/>
        <v>-7</v>
      </c>
      <c r="Q35" s="11">
        <f>VLOOKUP($G35, 'ADP Data'!$C$4:$Q$300, 4, FALSE)</f>
        <v>86</v>
      </c>
      <c r="R35" s="11">
        <f>VLOOKUP($G35, 'ADP Data'!$C$4:$Q$300, 5, FALSE)</f>
        <v>97</v>
      </c>
      <c r="S35" s="11">
        <f>VLOOKUP($G35, 'ADP Data'!$C$4:$Q$300, 6, FALSE)</f>
        <v>101</v>
      </c>
      <c r="T35" s="11">
        <f>VLOOKUP($G35, 'ADP Data'!$C$4:$Q$300, 7, FALSE)</f>
        <v>91</v>
      </c>
      <c r="U35" s="11">
        <f>VLOOKUP($G35, 'ADP Data'!$C$4:$Q$300, 8, FALSE)</f>
        <v>109</v>
      </c>
      <c r="V35" s="11">
        <f t="shared" si="7"/>
        <v>95</v>
      </c>
      <c r="W35" s="11">
        <f t="shared" si="8"/>
        <v>8</v>
      </c>
      <c r="X35" s="11">
        <f t="shared" si="9"/>
        <v>-6</v>
      </c>
      <c r="Y35" s="11">
        <f>VLOOKUP($G35, SeanRanks!$A$2:$K$303, 10, FALSE)-V35</f>
        <v>26</v>
      </c>
      <c r="Z35" s="25">
        <f>IF(VLOOKUP($G35, SeanRanks!$A$2:$H$303, 7, FALSE)=0, "", VLOOKUP($G35, SeanRanks!$A$2:$H$303, 7, FALSE))</f>
        <v>55</v>
      </c>
    </row>
    <row r="36" spans="1:26" ht="14.25" customHeight="1" x14ac:dyDescent="0.25">
      <c r="A36" s="11"/>
      <c r="B36" s="11">
        <f t="shared" si="3"/>
        <v>5</v>
      </c>
      <c r="C36" s="11" t="s">
        <v>119</v>
      </c>
      <c r="D36" s="11"/>
      <c r="E36" s="11"/>
      <c r="F36" s="11">
        <f>VLOOKUP(G36, SeanRanks!$A$2:$E$302, 4, FALSE)</f>
        <v>0</v>
      </c>
      <c r="G36" s="11" t="s">
        <v>246</v>
      </c>
      <c r="H36" s="11" t="str">
        <f>VLOOKUP($G36, 'ADP Data'!$C$4:$Q$300, 2, FALSE)</f>
        <v>DET</v>
      </c>
      <c r="I36" s="11">
        <f>VLOOKUP(G36, 'ADP Data'!$C$4:$R$498, 12, FALSE)</f>
        <v>73</v>
      </c>
      <c r="J36" s="41">
        <f>VLOOKUP($G36, SeanRanks!$A$2:$H$303, 5, FALSE)</f>
        <v>0</v>
      </c>
      <c r="K36" s="11" t="str">
        <f>IF(VLOOKUP($G36, SeanRanks!$A$2:$H$303, 6, FALSE)=0, "", VLOOKUP($G36, SeanRanks!$A$2:$H$303, 6, FALSE))</f>
        <v>TE1 - 2 - Very Good</v>
      </c>
      <c r="L36" s="11">
        <f t="shared" si="4"/>
        <v>5</v>
      </c>
      <c r="M36" s="11">
        <f>VLOOKUP($G36, 'ADP Data'!$C$4:$Q$300, 9, FALSE)</f>
        <v>51</v>
      </c>
      <c r="N36" s="11">
        <f t="shared" si="5"/>
        <v>-5</v>
      </c>
      <c r="O36" s="11">
        <f>VLOOKUP($G36, 'ADP Data'!$C$4:$Q$300, 3, FALSE)</f>
        <v>58</v>
      </c>
      <c r="P36" s="11">
        <f t="shared" si="6"/>
        <v>-7</v>
      </c>
      <c r="Q36" s="11">
        <f>VLOOKUP($G36, 'ADP Data'!$C$4:$Q$300, 4, FALSE)</f>
        <v>49</v>
      </c>
      <c r="R36" s="11">
        <f>VLOOKUP($G36, 'ADP Data'!$C$4:$Q$300, 5, FALSE)</f>
        <v>67</v>
      </c>
      <c r="S36" s="11">
        <f>VLOOKUP($G36, 'ADP Data'!$C$4:$Q$300, 6, FALSE)</f>
        <v>53</v>
      </c>
      <c r="T36" s="11">
        <f>VLOOKUP($G36, 'ADP Data'!$C$4:$Q$300, 7, FALSE)</f>
        <v>71</v>
      </c>
      <c r="U36" s="11">
        <f>VLOOKUP($G36, 'ADP Data'!$C$4:$Q$300, 8, FALSE)</f>
        <v>43</v>
      </c>
      <c r="V36" s="11">
        <f t="shared" si="7"/>
        <v>56</v>
      </c>
      <c r="W36" s="11">
        <f t="shared" si="8"/>
        <v>5</v>
      </c>
      <c r="X36" s="11">
        <f t="shared" si="9"/>
        <v>-5</v>
      </c>
      <c r="Y36" s="11">
        <f>VLOOKUP($G36, SeanRanks!$A$2:$K$303, 10, FALSE)-V36</f>
        <v>12</v>
      </c>
      <c r="Z36" s="25">
        <f>IF(VLOOKUP($G36, SeanRanks!$A$2:$H$303, 7, FALSE)=0, "", VLOOKUP($G36, SeanRanks!$A$2:$H$303, 7, FALSE))</f>
        <v>4</v>
      </c>
    </row>
    <row r="37" spans="1:26" ht="14.25" customHeight="1" x14ac:dyDescent="0.25">
      <c r="A37" s="11"/>
      <c r="B37" s="11">
        <f t="shared" si="3"/>
        <v>5</v>
      </c>
      <c r="C37" s="11" t="s">
        <v>119</v>
      </c>
      <c r="D37" s="11">
        <v>4</v>
      </c>
      <c r="E37" s="11"/>
      <c r="F37" s="11">
        <f>VLOOKUP(G37, SeanRanks!$A$2:$E$302, 4, FALSE)</f>
        <v>0</v>
      </c>
      <c r="G37" s="11" t="s">
        <v>310</v>
      </c>
      <c r="H37" s="11" t="str">
        <f>VLOOKUP($G37, 'ADP Data'!$C$4:$Q$300, 2, FALSE)</f>
        <v>KC</v>
      </c>
      <c r="I37" s="11">
        <f>VLOOKUP(G37, 'ADP Data'!$C$4:$R$498, 12, FALSE)</f>
        <v>76</v>
      </c>
      <c r="J37" s="42">
        <f>VLOOKUP($G37, SeanRanks!$A$2:$H$303, 5, FALSE)</f>
        <v>0</v>
      </c>
      <c r="K37" s="11" t="str">
        <f>IF(VLOOKUP($G37, SeanRanks!$A$2:$H$303, 6, FALSE)=0, "", VLOOKUP($G37, SeanRanks!$A$2:$H$303, 6, FALSE))</f>
        <v>QB1 - 4 - Weekly Start</v>
      </c>
      <c r="L37" s="11">
        <f t="shared" si="4"/>
        <v>5</v>
      </c>
      <c r="M37" s="11">
        <f>VLOOKUP($G37, 'ADP Data'!$C$4:$Q$300, 9, FALSE)</f>
        <v>57</v>
      </c>
      <c r="N37" s="11">
        <f t="shared" si="5"/>
        <v>1</v>
      </c>
      <c r="O37" s="11">
        <f>VLOOKUP($G37, 'ADP Data'!$C$4:$Q$300, 3, FALSE)</f>
        <v>47</v>
      </c>
      <c r="P37" s="11">
        <f t="shared" si="6"/>
        <v>10</v>
      </c>
      <c r="Q37" s="11">
        <f>VLOOKUP($G37, 'ADP Data'!$C$4:$Q$300, 4, FALSE)</f>
        <v>42</v>
      </c>
      <c r="R37" s="11">
        <f>VLOOKUP($G37, 'ADP Data'!$C$4:$Q$300, 5, FALSE)</f>
        <v>69</v>
      </c>
      <c r="S37" s="11">
        <f>VLOOKUP($G37, 'ADP Data'!$C$4:$Q$300, 6, FALSE)</f>
        <v>73</v>
      </c>
      <c r="T37" s="11">
        <f>VLOOKUP($G37, 'ADP Data'!$C$4:$Q$300, 7, FALSE)</f>
        <v>66</v>
      </c>
      <c r="U37" s="11">
        <f>VLOOKUP($G37, 'ADP Data'!$C$4:$Q$300, 8, FALSE)</f>
        <v>42</v>
      </c>
      <c r="V37" s="11">
        <f t="shared" si="7"/>
        <v>56</v>
      </c>
      <c r="W37" s="11">
        <f t="shared" si="8"/>
        <v>5</v>
      </c>
      <c r="X37" s="11">
        <f t="shared" si="9"/>
        <v>-1</v>
      </c>
      <c r="Y37" s="11">
        <f>VLOOKUP($G37, SeanRanks!$A$2:$K$303, 10, FALSE)-V37</f>
        <v>20</v>
      </c>
      <c r="Z37" s="25">
        <f>IF(VLOOKUP($G37, SeanRanks!$A$2:$H$303, 7, FALSE)=0, "", VLOOKUP($G37, SeanRanks!$A$2:$H$303, 7, FALSE))</f>
        <v>9</v>
      </c>
    </row>
    <row r="38" spans="1:26" ht="14.25" customHeight="1" x14ac:dyDescent="0.25">
      <c r="A38" s="11"/>
      <c r="B38" s="11">
        <f t="shared" si="3"/>
        <v>13</v>
      </c>
      <c r="C38" s="11" t="s">
        <v>119</v>
      </c>
      <c r="D38" s="11">
        <v>2</v>
      </c>
      <c r="E38" s="11"/>
      <c r="F38" s="11">
        <f>VLOOKUP(G38, SeanRanks!$A$2:$E$302, 4, FALSE)</f>
        <v>0</v>
      </c>
      <c r="G38" s="11" t="s">
        <v>684</v>
      </c>
      <c r="H38" s="11" t="str">
        <f>VLOOKUP($G38, 'ADP Data'!$C$4:$Q$300, 2, FALSE)</f>
        <v>SF</v>
      </c>
      <c r="I38" s="11">
        <f>VLOOKUP(G38, 'ADP Data'!$C$4:$R$498, 12, FALSE)</f>
        <v>152</v>
      </c>
      <c r="J38" s="40" t="str">
        <f>VLOOKUP($G38, SeanRanks!$A$2:$H$303, 5, FALSE)</f>
        <v>Yes</v>
      </c>
      <c r="K38" s="11" t="str">
        <f>IF(VLOOKUP($G38, SeanRanks!$A$2:$H$303, 6, FALSE)=0, "", VLOOKUP($G38, SeanRanks!$A$2:$H$303, 6, FALSE))</f>
        <v>WR5 - 1 - upside path</v>
      </c>
      <c r="L38" s="11">
        <f t="shared" si="4"/>
        <v>10</v>
      </c>
      <c r="M38" s="11">
        <f>VLOOKUP($G38, 'ADP Data'!$C$4:$Q$300, 9, FALSE)</f>
        <v>115</v>
      </c>
      <c r="N38" s="11">
        <f t="shared" si="5"/>
        <v>-33</v>
      </c>
      <c r="O38" s="11">
        <f>VLOOKUP($G38, 'ADP Data'!$C$4:$Q$300, 3, FALSE)</f>
        <v>162</v>
      </c>
      <c r="P38" s="11">
        <f t="shared" si="6"/>
        <v>-47</v>
      </c>
      <c r="Q38" s="11">
        <f>VLOOKUP($G38, 'ADP Data'!$C$4:$Q$300, 4, FALSE)</f>
        <v>169</v>
      </c>
      <c r="R38" s="11">
        <f>VLOOKUP($G38, 'ADP Data'!$C$4:$Q$300, 5, FALSE)</f>
        <v>165</v>
      </c>
      <c r="S38" s="11">
        <f>VLOOKUP($G38, 'ADP Data'!$C$4:$Q$300, 6, FALSE)</f>
        <v>154</v>
      </c>
      <c r="T38" s="11">
        <f>VLOOKUP($G38, 'ADP Data'!$C$4:$Q$300, 7, FALSE)</f>
        <v>148</v>
      </c>
      <c r="U38" s="11">
        <f>VLOOKUP($G38, 'ADP Data'!$C$4:$Q$300, 8, FALSE)</f>
        <v>127</v>
      </c>
      <c r="V38" s="11">
        <f t="shared" si="7"/>
        <v>148</v>
      </c>
      <c r="W38" s="11">
        <f t="shared" si="8"/>
        <v>13</v>
      </c>
      <c r="X38" s="11">
        <f t="shared" si="9"/>
        <v>-11</v>
      </c>
      <c r="Y38" s="11">
        <f>VLOOKUP($G38, SeanRanks!$A$2:$K$303, 10, FALSE)-V38</f>
        <v>-7</v>
      </c>
      <c r="Z38" s="25">
        <f>IF(VLOOKUP($G38, SeanRanks!$A$2:$H$303, 7, FALSE)=0, "", VLOOKUP($G38, SeanRanks!$A$2:$H$303, 7, FALSE))</f>
        <v>48</v>
      </c>
    </row>
    <row r="39" spans="1:26" ht="14.25" customHeight="1" x14ac:dyDescent="0.25">
      <c r="A39" s="11"/>
      <c r="B39" s="11">
        <f t="shared" si="3"/>
        <v>4</v>
      </c>
      <c r="C39" s="11" t="s">
        <v>119</v>
      </c>
      <c r="D39" s="11">
        <v>4</v>
      </c>
      <c r="E39" s="11"/>
      <c r="F39" s="11">
        <f>VLOOKUP(G39, SeanRanks!$A$2:$E$302, 4, FALSE)</f>
        <v>0</v>
      </c>
      <c r="G39" s="11" t="s">
        <v>235</v>
      </c>
      <c r="H39" s="11" t="str">
        <f>VLOOKUP($G39, 'ADP Data'!$C$4:$Q$300, 2, FALSE)</f>
        <v>PHI</v>
      </c>
      <c r="I39" s="11">
        <f>VLOOKUP(G39, 'ADP Data'!$C$4:$R$498, 12, FALSE)</f>
        <v>42</v>
      </c>
      <c r="J39" s="42">
        <f>VLOOKUP($G39, SeanRanks!$A$2:$H$303, 5, FALSE)</f>
        <v>0</v>
      </c>
      <c r="K39" s="11" t="str">
        <f>IF(VLOOKUP($G39, SeanRanks!$A$2:$H$303, 6, FALSE)=0, "", VLOOKUP($G39, SeanRanks!$A$2:$H$303, 6, FALSE))</f>
        <v>QB1 - 2 - QB1 Upside</v>
      </c>
      <c r="L39" s="11">
        <f t="shared" si="4"/>
        <v>4</v>
      </c>
      <c r="M39" s="11">
        <f>VLOOKUP($G39, 'ADP Data'!$C$4:$Q$300, 9, FALSE)</f>
        <v>37</v>
      </c>
      <c r="N39" s="11">
        <f t="shared" si="5"/>
        <v>0</v>
      </c>
      <c r="O39" s="11">
        <f>VLOOKUP($G39, 'ADP Data'!$C$4:$Q$300, 3, FALSE)</f>
        <v>31</v>
      </c>
      <c r="P39" s="11">
        <f t="shared" si="6"/>
        <v>6</v>
      </c>
      <c r="Q39" s="11">
        <f>VLOOKUP($G39, 'ADP Data'!$C$4:$Q$300, 4, FALSE)</f>
        <v>28</v>
      </c>
      <c r="R39" s="11">
        <f>VLOOKUP($G39, 'ADP Data'!$C$4:$Q$300, 5, FALSE)</f>
        <v>51</v>
      </c>
      <c r="S39" s="11">
        <f>VLOOKUP($G39, 'ADP Data'!$C$4:$Q$300, 6, FALSE)</f>
        <v>40</v>
      </c>
      <c r="T39" s="11">
        <f>VLOOKUP($G39, 'ADP Data'!$C$4:$Q$300, 7, FALSE)</f>
        <v>43</v>
      </c>
      <c r="U39" s="11">
        <f>VLOOKUP($G39, 'ADP Data'!$C$4:$Q$300, 8, FALSE)</f>
        <v>34</v>
      </c>
      <c r="V39" s="11">
        <f t="shared" si="7"/>
        <v>37</v>
      </c>
      <c r="W39" s="11">
        <f t="shared" si="8"/>
        <v>4</v>
      </c>
      <c r="X39" s="11">
        <f t="shared" si="9"/>
        <v>0</v>
      </c>
      <c r="Y39" s="11">
        <f>VLOOKUP($G39, SeanRanks!$A$2:$K$303, 10, FALSE)-V39</f>
        <v>-2</v>
      </c>
      <c r="Z39" s="25">
        <f>IF(VLOOKUP($G39, SeanRanks!$A$2:$H$303, 7, FALSE)=0, "", VLOOKUP($G39, SeanRanks!$A$2:$H$303, 7, FALSE))</f>
        <v>3</v>
      </c>
    </row>
    <row r="40" spans="1:26" ht="14.25" customHeight="1" x14ac:dyDescent="0.25">
      <c r="A40" s="11" t="s">
        <v>148</v>
      </c>
      <c r="B40" s="11">
        <f t="shared" si="3"/>
        <v>6</v>
      </c>
      <c r="C40" s="11" t="s">
        <v>119</v>
      </c>
      <c r="D40" s="11">
        <v>2</v>
      </c>
      <c r="E40" s="11" t="s">
        <v>243</v>
      </c>
      <c r="F40" s="11">
        <f>VLOOKUP(G40, SeanRanks!$A$2:$E$302, 4, FALSE)</f>
        <v>0</v>
      </c>
      <c r="G40" s="11" t="s">
        <v>167</v>
      </c>
      <c r="H40" s="11" t="str">
        <f>VLOOKUP($G40, 'ADP Data'!$C$4:$Q$300, 2, FALSE)</f>
        <v>MIA</v>
      </c>
      <c r="I40" s="11">
        <f>VLOOKUP(G40, 'ADP Data'!$C$4:$R$498, 12, FALSE)</f>
        <v>57</v>
      </c>
      <c r="J40" s="40" t="str">
        <f>VLOOKUP($G40, SeanRanks!$A$2:$H$303, 5, FALSE)</f>
        <v>No</v>
      </c>
      <c r="K40" s="11" t="str">
        <f>IF(VLOOKUP($G40, SeanRanks!$A$2:$H$303, 6, FALSE)=0, "", VLOOKUP($G40, SeanRanks!$A$2:$H$303, 6, FALSE))</f>
        <v>WR3 - 2 - mid, but path to big upside</v>
      </c>
      <c r="L40" s="11">
        <f t="shared" si="4"/>
        <v>6</v>
      </c>
      <c r="M40" s="11">
        <f>VLOOKUP($G40, 'ADP Data'!$C$4:$Q$300, 9, FALSE)</f>
        <v>70</v>
      </c>
      <c r="N40" s="11">
        <f t="shared" si="5"/>
        <v>0</v>
      </c>
      <c r="O40" s="11">
        <f>VLOOKUP($G40, 'ADP Data'!$C$4:$Q$300, 3, FALSE)</f>
        <v>79</v>
      </c>
      <c r="P40" s="11">
        <f t="shared" si="6"/>
        <v>-9</v>
      </c>
      <c r="Q40" s="11">
        <f>VLOOKUP($G40, 'ADP Data'!$C$4:$Q$300, 4, FALSE)</f>
        <v>64</v>
      </c>
      <c r="R40" s="11">
        <f>VLOOKUP($G40, 'ADP Data'!$C$4:$Q$300, 5, FALSE)</f>
        <v>70</v>
      </c>
      <c r="S40" s="11">
        <f>VLOOKUP($G40, 'ADP Data'!$C$4:$Q$300, 6, FALSE)</f>
        <v>66</v>
      </c>
      <c r="T40" s="11">
        <f>VLOOKUP($G40, 'ADP Data'!$C$4:$Q$300, 7, FALSE)</f>
        <v>58</v>
      </c>
      <c r="U40" s="11">
        <f>VLOOKUP($G40, 'ADP Data'!$C$4:$Q$300, 8, FALSE)</f>
        <v>84</v>
      </c>
      <c r="V40" s="11">
        <f t="shared" si="7"/>
        <v>70</v>
      </c>
      <c r="W40" s="11">
        <f t="shared" si="8"/>
        <v>6</v>
      </c>
      <c r="X40" s="11">
        <f t="shared" si="9"/>
        <v>-4</v>
      </c>
      <c r="Y40" s="11">
        <f>VLOOKUP($G40, SeanRanks!$A$2:$K$303, 10, FALSE)-V40</f>
        <v>-22</v>
      </c>
      <c r="Z40" s="25">
        <f>IF(VLOOKUP($G40, SeanRanks!$A$2:$H$303, 7, FALSE)=0, "", VLOOKUP($G40, SeanRanks!$A$2:$H$303, 7, FALSE))</f>
        <v>31</v>
      </c>
    </row>
    <row r="41" spans="1:26" ht="14.25" customHeight="1" x14ac:dyDescent="0.25">
      <c r="A41" s="11"/>
      <c r="B41" s="11">
        <f t="shared" si="3"/>
        <v>2</v>
      </c>
      <c r="C41" s="11" t="s">
        <v>119</v>
      </c>
      <c r="D41" s="11">
        <v>4</v>
      </c>
      <c r="E41" s="11"/>
      <c r="F41" s="11">
        <f>VLOOKUP(G41, SeanRanks!$A$2:$E$302, 4, FALSE)</f>
        <v>0</v>
      </c>
      <c r="G41" s="11" t="s">
        <v>218</v>
      </c>
      <c r="H41" s="11" t="str">
        <f>VLOOKUP($G41, 'ADP Data'!$C$4:$Q$300, 2, FALSE)</f>
        <v>GB</v>
      </c>
      <c r="I41" s="11">
        <f>VLOOKUP(G41, 'ADP Data'!$C$4:$R$498, 12, FALSE)</f>
        <v>23</v>
      </c>
      <c r="J41" s="39">
        <f>VLOOKUP($G41, SeanRanks!$A$2:$H$303, 5, FALSE)</f>
        <v>0</v>
      </c>
      <c r="K41" s="11" t="str">
        <f>IF(VLOOKUP($G41, SeanRanks!$A$2:$H$303, 6, FALSE)=0, "", VLOOKUP($G41, SeanRanks!$A$2:$H$303, 6, FALSE))</f>
        <v>RB1 - 2 - Elite ceiling/questions</v>
      </c>
      <c r="L41" s="11">
        <f t="shared" si="4"/>
        <v>2</v>
      </c>
      <c r="M41" s="11">
        <f>VLOOKUP($G41, 'ADP Data'!$C$4:$Q$300, 9, FALSE)</f>
        <v>15</v>
      </c>
      <c r="N41" s="11">
        <f t="shared" si="5"/>
        <v>-3</v>
      </c>
      <c r="O41" s="11">
        <f>VLOOKUP($G41, 'ADP Data'!$C$4:$Q$300, 3, FALSE)</f>
        <v>10</v>
      </c>
      <c r="P41" s="11">
        <f t="shared" si="6"/>
        <v>5</v>
      </c>
      <c r="Q41" s="11">
        <f>VLOOKUP($G41, 'ADP Data'!$C$4:$Q$300, 4, FALSE)</f>
        <v>17</v>
      </c>
      <c r="R41" s="11">
        <f>VLOOKUP($G41, 'ADP Data'!$C$4:$Q$300, 5, FALSE)</f>
        <v>23</v>
      </c>
      <c r="S41" s="11">
        <f>VLOOKUP($G41, 'ADP Data'!$C$4:$Q$300, 6, FALSE)</f>
        <v>22</v>
      </c>
      <c r="T41" s="11">
        <f>VLOOKUP($G41, 'ADP Data'!$C$4:$Q$300, 7, FALSE)</f>
        <v>22</v>
      </c>
      <c r="U41" s="11">
        <f>VLOOKUP($G41, 'ADP Data'!$C$4:$Q$300, 8, FALSE)</f>
        <v>19</v>
      </c>
      <c r="V41" s="11">
        <f t="shared" si="7"/>
        <v>18</v>
      </c>
      <c r="W41" s="11">
        <f t="shared" si="8"/>
        <v>2</v>
      </c>
      <c r="X41" s="11">
        <f t="shared" si="9"/>
        <v>2</v>
      </c>
      <c r="Y41" s="11">
        <f>VLOOKUP($G41, SeanRanks!$A$2:$K$303, 10, FALSE)-V41</f>
        <v>-3</v>
      </c>
      <c r="Z41" s="25">
        <f>IF(VLOOKUP($G41, SeanRanks!$A$2:$H$303, 7, FALSE)=0, "", VLOOKUP($G41, SeanRanks!$A$2:$H$303, 7, FALSE))</f>
        <v>7</v>
      </c>
    </row>
    <row r="42" spans="1:26" ht="14.25" customHeight="1" x14ac:dyDescent="0.25">
      <c r="A42" s="11"/>
      <c r="B42" s="11">
        <f t="shared" si="3"/>
        <v>10</v>
      </c>
      <c r="C42" s="11" t="s">
        <v>119</v>
      </c>
      <c r="D42" s="11">
        <v>3</v>
      </c>
      <c r="E42" s="11" t="s">
        <v>243</v>
      </c>
      <c r="F42" s="11">
        <f>VLOOKUP(G42, SeanRanks!$A$2:$E$302, 4, FALSE)</f>
        <v>0</v>
      </c>
      <c r="G42" s="11" t="s">
        <v>284</v>
      </c>
      <c r="H42" s="11" t="str">
        <f>VLOOKUP($G42, 'ADP Data'!$C$4:$Q$300, 2, FALSE)</f>
        <v>IND</v>
      </c>
      <c r="I42" s="11">
        <f>VLOOKUP(G42, 'ADP Data'!$C$4:$R$498, 12, FALSE)</f>
        <v>85</v>
      </c>
      <c r="J42" s="43" t="str">
        <f>VLOOKUP($G42, SeanRanks!$A$2:$H$303, 5, FALSE)</f>
        <v>No</v>
      </c>
      <c r="K42" s="11" t="str">
        <f>IF(VLOOKUP($G42, SeanRanks!$A$2:$H$303, 6, FALSE)=0, "", VLOOKUP($G42, SeanRanks!$A$2:$H$303, 6, FALSE))</f>
        <v>WR4 - 2 - unclear path to WR2</v>
      </c>
      <c r="L42" s="11">
        <f t="shared" si="4"/>
        <v>10</v>
      </c>
      <c r="M42" s="11">
        <f>VLOOKUP($G42, 'ADP Data'!$C$4:$Q$300, 9, FALSE)</f>
        <v>114</v>
      </c>
      <c r="N42" s="11">
        <f t="shared" si="5"/>
        <v>4</v>
      </c>
      <c r="O42" s="11">
        <f>VLOOKUP($G42, 'ADP Data'!$C$4:$Q$300, 3, FALSE)</f>
        <v>94</v>
      </c>
      <c r="P42" s="11">
        <f t="shared" si="6"/>
        <v>20</v>
      </c>
      <c r="Q42" s="11">
        <f>VLOOKUP($G42, 'ADP Data'!$C$4:$Q$300, 4, FALSE)</f>
        <v>92</v>
      </c>
      <c r="R42" s="11">
        <f>VLOOKUP($G42, 'ADP Data'!$C$4:$Q$300, 5, FALSE)</f>
        <v>113</v>
      </c>
      <c r="S42" s="11">
        <f>VLOOKUP($G42, 'ADP Data'!$C$4:$Q$300, 6, FALSE)</f>
        <v>99</v>
      </c>
      <c r="T42" s="11">
        <f>VLOOKUP($G42, 'ADP Data'!$C$4:$Q$300, 7, FALSE)</f>
        <v>97</v>
      </c>
      <c r="U42" s="11">
        <f>VLOOKUP($G42, 'ADP Data'!$C$4:$Q$300, 8, FALSE)</f>
        <v>164</v>
      </c>
      <c r="V42" s="11">
        <f t="shared" si="7"/>
        <v>110</v>
      </c>
      <c r="W42" s="11">
        <f t="shared" si="8"/>
        <v>10</v>
      </c>
      <c r="X42" s="11">
        <f t="shared" si="9"/>
        <v>-7</v>
      </c>
      <c r="Y42" s="11">
        <f>VLOOKUP($G42, SeanRanks!$A$2:$K$303, 10, FALSE)-V42</f>
        <v>4</v>
      </c>
      <c r="Z42" s="25">
        <f>IF(VLOOKUP($G42, SeanRanks!$A$2:$H$303, 7, FALSE)=0, "", VLOOKUP($G42, SeanRanks!$A$2:$H$303, 7, FALSE))</f>
        <v>47</v>
      </c>
    </row>
    <row r="43" spans="1:26" ht="14.25" customHeight="1" x14ac:dyDescent="0.25">
      <c r="A43" s="11"/>
      <c r="B43" s="11">
        <f t="shared" si="3"/>
        <v>5</v>
      </c>
      <c r="C43" s="11" t="s">
        <v>119</v>
      </c>
      <c r="D43" s="11">
        <v>3</v>
      </c>
      <c r="E43" s="11"/>
      <c r="F43" s="11">
        <f>VLOOKUP(G43, SeanRanks!$A$2:$E$302, 4, FALSE)</f>
        <v>0</v>
      </c>
      <c r="G43" s="11" t="s">
        <v>139</v>
      </c>
      <c r="H43" s="11" t="str">
        <f>VLOOKUP($G43, 'ADP Data'!$C$4:$Q$300, 2, FALSE)</f>
        <v>PHI</v>
      </c>
      <c r="I43" s="11">
        <f>VLOOKUP(G43, 'ADP Data'!$C$4:$R$498, 12, FALSE)</f>
        <v>54</v>
      </c>
      <c r="J43" s="43">
        <f>VLOOKUP($G43, SeanRanks!$A$2:$H$303, 5, FALSE)</f>
        <v>0</v>
      </c>
      <c r="K43" s="11" t="str">
        <f>IF(VLOOKUP($G43, SeanRanks!$A$2:$H$303, 6, FALSE)=0, "", VLOOKUP($G43, SeanRanks!$A$2:$H$303, 6, FALSE))</f>
        <v>WR2 - 2 - Upside with risk</v>
      </c>
      <c r="L43" s="11">
        <f t="shared" si="4"/>
        <v>5</v>
      </c>
      <c r="M43" s="11">
        <f>VLOOKUP($G43, 'ADP Data'!$C$4:$Q$300, 9, FALSE)</f>
        <v>53</v>
      </c>
      <c r="N43" s="11">
        <f t="shared" si="5"/>
        <v>-5</v>
      </c>
      <c r="O43" s="11">
        <f>VLOOKUP($G43, 'ADP Data'!$C$4:$Q$300, 3, FALSE)</f>
        <v>60</v>
      </c>
      <c r="P43" s="11">
        <f t="shared" si="6"/>
        <v>-7</v>
      </c>
      <c r="Q43" s="11">
        <f>VLOOKUP($G43, 'ADP Data'!$C$4:$Q$300, 4, FALSE)</f>
        <v>61</v>
      </c>
      <c r="R43" s="11">
        <f>VLOOKUP($G43, 'ADP Data'!$C$4:$Q$300, 5, FALSE)</f>
        <v>62</v>
      </c>
      <c r="S43" s="11">
        <f>VLOOKUP($G43, 'ADP Data'!$C$4:$Q$300, 6, FALSE)</f>
        <v>60</v>
      </c>
      <c r="T43" s="11">
        <f>VLOOKUP($G43, 'ADP Data'!$C$4:$Q$300, 7, FALSE)</f>
        <v>56</v>
      </c>
      <c r="U43" s="11">
        <f>VLOOKUP($G43, 'ADP Data'!$C$4:$Q$300, 8, FALSE)</f>
        <v>60</v>
      </c>
      <c r="V43" s="11">
        <f t="shared" si="7"/>
        <v>58</v>
      </c>
      <c r="W43" s="11">
        <f t="shared" si="8"/>
        <v>5</v>
      </c>
      <c r="X43" s="11">
        <f t="shared" si="9"/>
        <v>-2</v>
      </c>
      <c r="Y43" s="11">
        <f>VLOOKUP($G43, SeanRanks!$A$2:$K$303, 10, FALSE)-V43</f>
        <v>-13</v>
      </c>
      <c r="Z43" s="25">
        <f>IF(VLOOKUP($G43, SeanRanks!$A$2:$H$303, 7, FALSE)=0, "", VLOOKUP($G43, SeanRanks!$A$2:$H$303, 7, FALSE))</f>
        <v>18</v>
      </c>
    </row>
    <row r="44" spans="1:26" ht="14.25" customHeight="1" x14ac:dyDescent="0.25">
      <c r="A44" s="11"/>
      <c r="B44" s="11">
        <f t="shared" si="3"/>
        <v>3</v>
      </c>
      <c r="C44" s="11" t="s">
        <v>119</v>
      </c>
      <c r="D44" s="11"/>
      <c r="E44" s="11"/>
      <c r="F44" s="11">
        <f>VLOOKUP(G44, SeanRanks!$A$2:$E$302, 4, FALSE)</f>
        <v>0</v>
      </c>
      <c r="G44" s="11" t="s">
        <v>65</v>
      </c>
      <c r="H44" s="11" t="str">
        <f>VLOOKUP($G44, 'ADP Data'!$C$4:$Q$300, 2, FALSE)</f>
        <v>BUF</v>
      </c>
      <c r="I44" s="11">
        <f>VLOOKUP(G44, 'ADP Data'!$C$4:$R$498, 12, FALSE)</f>
        <v>44</v>
      </c>
      <c r="J44" s="39">
        <f>VLOOKUP($G44, SeanRanks!$A$2:$H$303, 5, FALSE)</f>
        <v>0</v>
      </c>
      <c r="K44" s="11" t="str">
        <f>IF(VLOOKUP($G44, SeanRanks!$A$2:$H$303, 6, FALSE)=0, "", VLOOKUP($G44, SeanRanks!$A$2:$H$303, 6, FALSE))</f>
        <v>RB2 - 1 - Clear path to spikes</v>
      </c>
      <c r="L44" s="11">
        <f t="shared" si="4"/>
        <v>3</v>
      </c>
      <c r="M44" s="11">
        <f>VLOOKUP($G44, 'ADP Data'!$C$4:$Q$300, 9, FALSE)</f>
        <v>30</v>
      </c>
      <c r="N44" s="11">
        <f t="shared" si="5"/>
        <v>-2</v>
      </c>
      <c r="O44" s="11">
        <f>VLOOKUP($G44, 'ADP Data'!$C$4:$Q$300, 3, FALSE)</f>
        <v>26</v>
      </c>
      <c r="P44" s="11">
        <f t="shared" si="6"/>
        <v>4</v>
      </c>
      <c r="Q44" s="11">
        <f>VLOOKUP($G44, 'ADP Data'!$C$4:$Q$300, 4, FALSE)</f>
        <v>32</v>
      </c>
      <c r="R44" s="11">
        <f>VLOOKUP($G44, 'ADP Data'!$C$4:$Q$300, 5, FALSE)</f>
        <v>40</v>
      </c>
      <c r="S44" s="11">
        <f>VLOOKUP($G44, 'ADP Data'!$C$4:$Q$300, 6, FALSE)</f>
        <v>33</v>
      </c>
      <c r="T44" s="11">
        <f>VLOOKUP($G44, 'ADP Data'!$C$4:$Q$300, 7, FALSE)</f>
        <v>36</v>
      </c>
      <c r="U44" s="11">
        <f>VLOOKUP($G44, 'ADP Data'!$C$4:$Q$300, 8, FALSE)</f>
        <v>30</v>
      </c>
      <c r="V44" s="11">
        <f t="shared" si="7"/>
        <v>32</v>
      </c>
      <c r="W44" s="11">
        <f t="shared" si="8"/>
        <v>3</v>
      </c>
      <c r="X44" s="11">
        <f t="shared" si="9"/>
        <v>-3</v>
      </c>
      <c r="Y44" s="11">
        <f>VLOOKUP($G44, SeanRanks!$A$2:$K$303, 10, FALSE)-V44</f>
        <v>2</v>
      </c>
      <c r="Z44" s="25">
        <f>IF(VLOOKUP($G44, SeanRanks!$A$2:$H$303, 7, FALSE)=0, "", VLOOKUP($G44, SeanRanks!$A$2:$H$303, 7, FALSE))</f>
        <v>15</v>
      </c>
    </row>
    <row r="45" spans="1:26" ht="14.25" customHeight="1" x14ac:dyDescent="0.25">
      <c r="A45" s="11"/>
      <c r="B45" s="11">
        <f t="shared" si="3"/>
        <v>5</v>
      </c>
      <c r="C45" s="11" t="s">
        <v>119</v>
      </c>
      <c r="D45" s="11">
        <v>2</v>
      </c>
      <c r="E45" s="11" t="s">
        <v>243</v>
      </c>
      <c r="F45" s="11">
        <f>VLOOKUP(G45, SeanRanks!$A$2:$E$302, 4, FALSE)</f>
        <v>0</v>
      </c>
      <c r="G45" s="11" t="s">
        <v>248</v>
      </c>
      <c r="H45" s="11" t="str">
        <f>VLOOKUP($G45, 'ADP Data'!$C$4:$Q$300, 2, FALSE)</f>
        <v>PIT</v>
      </c>
      <c r="I45" s="11">
        <f>VLOOKUP(G45, 'ADP Data'!$C$4:$R$498, 12, FALSE)</f>
        <v>56</v>
      </c>
      <c r="J45" s="40">
        <f>VLOOKUP($G45, SeanRanks!$A$2:$H$303, 5, FALSE)</f>
        <v>0</v>
      </c>
      <c r="K45" s="11" t="str">
        <f>IF(VLOOKUP($G45, SeanRanks!$A$2:$H$303, 6, FALSE)=0, "", VLOOKUP($G45, SeanRanks!$A$2:$H$303, 6, FALSE))</f>
        <v>WR2 - 2 - Upside with risk</v>
      </c>
      <c r="L45" s="11">
        <f t="shared" si="4"/>
        <v>4</v>
      </c>
      <c r="M45" s="11">
        <f>VLOOKUP($G45, 'ADP Data'!$C$4:$Q$300, 9, FALSE)</f>
        <v>46</v>
      </c>
      <c r="N45" s="11">
        <f t="shared" si="5"/>
        <v>-4</v>
      </c>
      <c r="O45" s="11">
        <f>VLOOKUP($G45, 'ADP Data'!$C$4:$Q$300, 3, FALSE)</f>
        <v>48</v>
      </c>
      <c r="P45" s="11">
        <f t="shared" si="6"/>
        <v>-2</v>
      </c>
      <c r="Q45" s="11">
        <f>VLOOKUP($G45, 'ADP Data'!$C$4:$Q$300, 4, FALSE)</f>
        <v>45</v>
      </c>
      <c r="R45" s="11">
        <f>VLOOKUP($G45, 'ADP Data'!$C$4:$Q$300, 5, FALSE)</f>
        <v>63</v>
      </c>
      <c r="S45" s="11">
        <f>VLOOKUP($G45, 'ADP Data'!$C$4:$Q$300, 6, FALSE)</f>
        <v>52</v>
      </c>
      <c r="T45" s="11">
        <f>VLOOKUP($G45, 'ADP Data'!$C$4:$Q$300, 7, FALSE)</f>
        <v>50</v>
      </c>
      <c r="U45" s="11">
        <f>VLOOKUP($G45, 'ADP Data'!$C$4:$Q$300, 8, FALSE)</f>
        <v>52</v>
      </c>
      <c r="V45" s="11">
        <f t="shared" si="7"/>
        <v>50</v>
      </c>
      <c r="W45" s="11">
        <f t="shared" si="8"/>
        <v>5</v>
      </c>
      <c r="X45" s="11">
        <f t="shared" si="9"/>
        <v>-3</v>
      </c>
      <c r="Y45" s="11">
        <f>VLOOKUP($G45, SeanRanks!$A$2:$K$303, 10, FALSE)-V45</f>
        <v>-1</v>
      </c>
      <c r="Z45" s="25">
        <f>IF(VLOOKUP($G45, SeanRanks!$A$2:$H$303, 7, FALSE)=0, "", VLOOKUP($G45, SeanRanks!$A$2:$H$303, 7, FALSE))</f>
        <v>20</v>
      </c>
    </row>
    <row r="46" spans="1:26" ht="14.25" customHeight="1" x14ac:dyDescent="0.25">
      <c r="A46" s="11"/>
      <c r="B46" s="11">
        <f t="shared" si="3"/>
        <v>13</v>
      </c>
      <c r="C46" s="11" t="s">
        <v>119</v>
      </c>
      <c r="D46" s="11">
        <v>4</v>
      </c>
      <c r="E46" s="11"/>
      <c r="F46" s="11">
        <f>VLOOKUP(G46, SeanRanks!$A$2:$E$302, 4, FALSE)</f>
        <v>0</v>
      </c>
      <c r="G46" s="11" t="s">
        <v>329</v>
      </c>
      <c r="H46" s="11" t="str">
        <f>VLOOKUP($G46, 'ADP Data'!$C$4:$Q$300, 2, FALSE)</f>
        <v>TB</v>
      </c>
      <c r="I46" s="11">
        <f>VLOOKUP(G46, 'ADP Data'!$C$4:$R$498, 12, FALSE)</f>
        <v>169</v>
      </c>
      <c r="J46" s="44">
        <f>VLOOKUP($G46, SeanRanks!$A$2:$H$303, 5, FALSE)</f>
        <v>0</v>
      </c>
      <c r="K46" s="11" t="str">
        <f>IF(VLOOKUP($G46, SeanRanks!$A$2:$H$303, 6, FALSE)=0, "", VLOOKUP($G46, SeanRanks!$A$2:$H$303, 6, FALSE))</f>
        <v>RB4 - 2 - low ceiling</v>
      </c>
      <c r="L46" s="11">
        <f t="shared" si="4"/>
        <v>11</v>
      </c>
      <c r="M46" s="11">
        <f>VLOOKUP($G46, 'ADP Data'!$C$4:$Q$300, 9, FALSE)</f>
        <v>129</v>
      </c>
      <c r="N46" s="11">
        <f t="shared" si="5"/>
        <v>-18</v>
      </c>
      <c r="O46" s="11">
        <f>VLOOKUP($G46, 'ADP Data'!$C$4:$Q$300, 3, FALSE)</f>
        <v>133</v>
      </c>
      <c r="P46" s="11">
        <f t="shared" si="6"/>
        <v>-4</v>
      </c>
      <c r="Q46" s="11">
        <f>VLOOKUP($G46, 'ADP Data'!$C$4:$Q$300, 4, FALSE)</f>
        <v>150</v>
      </c>
      <c r="R46" s="11">
        <f>VLOOKUP($G46, 'ADP Data'!$C$4:$Q$300, 5, FALSE)</f>
        <v>167</v>
      </c>
      <c r="S46" s="11">
        <f>VLOOKUP($G46, 'ADP Data'!$C$4:$Q$300, 6, FALSE)</f>
        <v>149</v>
      </c>
      <c r="T46" s="11">
        <f>VLOOKUP($G46, 'ADP Data'!$C$4:$Q$300, 7, FALSE)</f>
        <v>153</v>
      </c>
      <c r="U46" s="11">
        <f>VLOOKUP($G46, 'ADP Data'!$C$4:$Q$300, 8, FALSE)</f>
        <v>149</v>
      </c>
      <c r="V46" s="11">
        <f t="shared" si="7"/>
        <v>147</v>
      </c>
      <c r="W46" s="11">
        <f t="shared" si="8"/>
        <v>13</v>
      </c>
      <c r="X46" s="11">
        <f t="shared" si="9"/>
        <v>-9</v>
      </c>
      <c r="Y46" s="11">
        <f>VLOOKUP($G46, SeanRanks!$A$2:$K$303, 10, FALSE)-V46</f>
        <v>-23</v>
      </c>
      <c r="Z46" s="25">
        <f>IF(VLOOKUP($G46, SeanRanks!$A$2:$H$303, 7, FALSE)=0, "", VLOOKUP($G46, SeanRanks!$A$2:$H$303, 7, FALSE))</f>
        <v>48</v>
      </c>
    </row>
    <row r="47" spans="1:26" ht="14.25" customHeight="1" x14ac:dyDescent="0.25">
      <c r="A47" s="11"/>
      <c r="B47" s="11">
        <f t="shared" si="3"/>
        <v>5</v>
      </c>
      <c r="C47" s="11" t="s">
        <v>119</v>
      </c>
      <c r="D47" s="11">
        <v>4</v>
      </c>
      <c r="E47" s="11"/>
      <c r="F47" s="11">
        <f>VLOOKUP(G47, SeanRanks!$A$2:$E$302, 4, FALSE)</f>
        <v>0</v>
      </c>
      <c r="G47" s="11" t="s">
        <v>176</v>
      </c>
      <c r="H47" s="11" t="str">
        <f>VLOOKUP($G47, 'ADP Data'!$C$4:$Q$300, 2, FALSE)</f>
        <v>CHI</v>
      </c>
      <c r="I47" s="11">
        <f>VLOOKUP(G47, 'ADP Data'!$C$4:$R$498, 12, FALSE)</f>
        <v>50</v>
      </c>
      <c r="J47" s="45">
        <f>VLOOKUP($G47, SeanRanks!$A$2:$H$303, 5, FALSE)</f>
        <v>0</v>
      </c>
      <c r="K47" s="11" t="str">
        <f>IF(VLOOKUP($G47, SeanRanks!$A$2:$H$303, 6, FALSE)=0, "", VLOOKUP($G47, SeanRanks!$A$2:$H$303, 6, FALSE))</f>
        <v xml:space="preserve">WR3 - 1 - </v>
      </c>
      <c r="L47" s="11">
        <f t="shared" si="4"/>
        <v>5</v>
      </c>
      <c r="M47" s="11">
        <f>VLOOKUP($G47, 'ADP Data'!$C$4:$Q$300, 9, FALSE)</f>
        <v>48</v>
      </c>
      <c r="N47" s="11">
        <f t="shared" si="5"/>
        <v>-3</v>
      </c>
      <c r="O47" s="11">
        <f>VLOOKUP($G47, 'ADP Data'!$C$4:$Q$300, 3, FALSE)</f>
        <v>52</v>
      </c>
      <c r="P47" s="11">
        <f t="shared" si="6"/>
        <v>-4</v>
      </c>
      <c r="Q47" s="11">
        <f>VLOOKUP($G47, 'ADP Data'!$C$4:$Q$300, 4, FALSE)</f>
        <v>54</v>
      </c>
      <c r="R47" s="11">
        <f>VLOOKUP($G47, 'ADP Data'!$C$4:$Q$300, 5, FALSE)</f>
        <v>54</v>
      </c>
      <c r="S47" s="11">
        <f>VLOOKUP($G47, 'ADP Data'!$C$4:$Q$300, 6, FALSE)</f>
        <v>55</v>
      </c>
      <c r="T47" s="11">
        <f>VLOOKUP($G47, 'ADP Data'!$C$4:$Q$300, 7, FALSE)</f>
        <v>48</v>
      </c>
      <c r="U47" s="11">
        <f>VLOOKUP($G47, 'ADP Data'!$C$4:$Q$300, 8, FALSE)</f>
        <v>46</v>
      </c>
      <c r="V47" s="11">
        <f t="shared" si="7"/>
        <v>51</v>
      </c>
      <c r="W47" s="11">
        <f t="shared" si="8"/>
        <v>5</v>
      </c>
      <c r="X47" s="11">
        <f t="shared" si="9"/>
        <v>-1</v>
      </c>
      <c r="Y47" s="11">
        <f>VLOOKUP($G47, SeanRanks!$A$2:$K$303, 10, FALSE)-V47</f>
        <v>9</v>
      </c>
      <c r="Z47" s="25">
        <f>IF(VLOOKUP($G47, SeanRanks!$A$2:$H$303, 7, FALSE)=0, "", VLOOKUP($G47, SeanRanks!$A$2:$H$303, 7, FALSE))</f>
        <v>28</v>
      </c>
    </row>
    <row r="48" spans="1:26" ht="14.25" customHeight="1" x14ac:dyDescent="0.25">
      <c r="A48" s="11"/>
      <c r="B48" s="11">
        <f t="shared" si="3"/>
        <v>3</v>
      </c>
      <c r="C48" s="11" t="s">
        <v>119</v>
      </c>
      <c r="D48" s="11">
        <v>4</v>
      </c>
      <c r="E48" s="11"/>
      <c r="F48" s="11">
        <f>VLOOKUP(G48, SeanRanks!$A$2:$E$302, 4, FALSE)</f>
        <v>0</v>
      </c>
      <c r="G48" s="11" t="s">
        <v>174</v>
      </c>
      <c r="H48" s="11" t="str">
        <f>VLOOKUP($G48, 'ADP Data'!$C$4:$Q$300, 2, FALSE)</f>
        <v>BAL</v>
      </c>
      <c r="I48" s="11">
        <f>VLOOKUP(G48, 'ADP Data'!$C$4:$R$498, 12, FALSE)</f>
        <v>30</v>
      </c>
      <c r="J48" s="42">
        <f>VLOOKUP($G48, SeanRanks!$A$2:$H$303, 5, FALSE)</f>
        <v>0</v>
      </c>
      <c r="K48" s="11" t="str">
        <f>IF(VLOOKUP($G48, SeanRanks!$A$2:$H$303, 6, FALSE)=0, "", VLOOKUP($G48, SeanRanks!$A$2:$H$303, 6, FALSE))</f>
        <v>QB1 - 1 - Elite</v>
      </c>
      <c r="L48" s="11">
        <f t="shared" si="4"/>
        <v>2</v>
      </c>
      <c r="M48" s="11">
        <f>VLOOKUP($G48, 'ADP Data'!$C$4:$Q$300, 9, FALSE)</f>
        <v>23</v>
      </c>
      <c r="N48" s="11">
        <f t="shared" si="5"/>
        <v>0</v>
      </c>
      <c r="O48" s="11">
        <f>VLOOKUP($G48, 'ADP Data'!$C$4:$Q$300, 3, FALSE)</f>
        <v>17</v>
      </c>
      <c r="P48" s="11">
        <f t="shared" si="6"/>
        <v>6</v>
      </c>
      <c r="Q48" s="11">
        <f>VLOOKUP($G48, 'ADP Data'!$C$4:$Q$300, 4, FALSE)</f>
        <v>23</v>
      </c>
      <c r="R48" s="11">
        <f>VLOOKUP($G48, 'ADP Data'!$C$4:$Q$300, 5, FALSE)</f>
        <v>31</v>
      </c>
      <c r="S48" s="11">
        <f>VLOOKUP($G48, 'ADP Data'!$C$4:$Q$300, 6, FALSE)</f>
        <v>29</v>
      </c>
      <c r="T48" s="11">
        <f>VLOOKUP($G48, 'ADP Data'!$C$4:$Q$300, 7, FALSE)</f>
        <v>24</v>
      </c>
      <c r="U48" s="11">
        <f>VLOOKUP($G48, 'ADP Data'!$C$4:$Q$300, 8, FALSE)</f>
        <v>18</v>
      </c>
      <c r="V48" s="11">
        <f t="shared" si="7"/>
        <v>23</v>
      </c>
      <c r="W48" s="11">
        <f t="shared" si="8"/>
        <v>2</v>
      </c>
      <c r="X48" s="11">
        <f t="shared" si="9"/>
        <v>2</v>
      </c>
      <c r="Y48" s="11">
        <f>VLOOKUP($G48, SeanRanks!$A$2:$K$303, 10, FALSE)-V48</f>
        <v>3</v>
      </c>
      <c r="Z48" s="25">
        <f>IF(VLOOKUP($G48, SeanRanks!$A$2:$H$303, 7, FALSE)=0, "", VLOOKUP($G48, SeanRanks!$A$2:$H$303, 7, FALSE))</f>
        <v>1</v>
      </c>
    </row>
    <row r="49" spans="1:26" ht="14.25" customHeight="1" x14ac:dyDescent="0.25">
      <c r="A49" s="11"/>
      <c r="B49" s="11">
        <f t="shared" si="3"/>
        <v>2</v>
      </c>
      <c r="C49" s="11" t="s">
        <v>119</v>
      </c>
      <c r="D49" s="11">
        <v>4</v>
      </c>
      <c r="E49" s="11"/>
      <c r="F49" s="11">
        <f>VLOOKUP(G49, SeanRanks!$A$2:$E$302, 4, FALSE)</f>
        <v>0</v>
      </c>
      <c r="G49" s="11" t="s">
        <v>122</v>
      </c>
      <c r="H49" s="11" t="str">
        <f>VLOOKUP($G49, 'ADP Data'!$C$4:$Q$300, 2, FALSE)</f>
        <v>ARI</v>
      </c>
      <c r="I49" s="11">
        <f>VLOOKUP(G49, 'ADP Data'!$C$4:$R$498, 12, FALSE)</f>
        <v>24</v>
      </c>
      <c r="J49" s="41">
        <f>VLOOKUP($G49, SeanRanks!$A$2:$H$303, 5, FALSE)</f>
        <v>0</v>
      </c>
      <c r="K49" s="11" t="str">
        <f>IF(VLOOKUP($G49, SeanRanks!$A$2:$H$303, 6, FALSE)=0, "", VLOOKUP($G49, SeanRanks!$A$2:$H$303, 6, FALSE))</f>
        <v>TE1 - 1 - Elite</v>
      </c>
      <c r="L49" s="11">
        <f t="shared" si="4"/>
        <v>3</v>
      </c>
      <c r="M49" s="11">
        <f>VLOOKUP($G49, 'ADP Data'!$C$4:$Q$300, 9, FALSE)</f>
        <v>26</v>
      </c>
      <c r="N49" s="11">
        <f t="shared" si="5"/>
        <v>1</v>
      </c>
      <c r="O49" s="11">
        <f>VLOOKUP($G49, 'ADP Data'!$C$4:$Q$300, 3, FALSE)</f>
        <v>35</v>
      </c>
      <c r="P49" s="11">
        <f t="shared" si="6"/>
        <v>-9</v>
      </c>
      <c r="Q49" s="11">
        <f>VLOOKUP($G49, 'ADP Data'!$C$4:$Q$300, 4, FALSE)</f>
        <v>25</v>
      </c>
      <c r="R49" s="11">
        <f>VLOOKUP($G49, 'ADP Data'!$C$4:$Q$300, 5, FALSE)</f>
        <v>28</v>
      </c>
      <c r="S49" s="11">
        <f>VLOOKUP($G49, 'ADP Data'!$C$4:$Q$300, 6, FALSE)</f>
        <v>13</v>
      </c>
      <c r="T49" s="11">
        <f>VLOOKUP($G49, 'ADP Data'!$C$4:$Q$300, 7, FALSE)</f>
        <v>26</v>
      </c>
      <c r="U49" s="11">
        <f>VLOOKUP($G49, 'ADP Data'!$C$4:$Q$300, 8, FALSE)</f>
        <v>27</v>
      </c>
      <c r="V49" s="11">
        <f t="shared" si="7"/>
        <v>25</v>
      </c>
      <c r="W49" s="11">
        <f t="shared" si="8"/>
        <v>3</v>
      </c>
      <c r="X49" s="11">
        <f t="shared" si="9"/>
        <v>1</v>
      </c>
      <c r="Y49" s="11">
        <f>VLOOKUP($G49, SeanRanks!$A$2:$K$303, 10, FALSE)-V49</f>
        <v>-1</v>
      </c>
      <c r="Z49" s="25">
        <f>IF(VLOOKUP($G49, SeanRanks!$A$2:$H$303, 7, FALSE)=0, "", VLOOKUP($G49, SeanRanks!$A$2:$H$303, 7, FALSE))</f>
        <v>2</v>
      </c>
    </row>
    <row r="50" spans="1:26" ht="14.25" customHeight="1" x14ac:dyDescent="0.25">
      <c r="A50" s="11"/>
      <c r="B50" s="11">
        <f t="shared" si="3"/>
        <v>12</v>
      </c>
      <c r="C50" s="11" t="s">
        <v>119</v>
      </c>
      <c r="D50" s="11">
        <v>4</v>
      </c>
      <c r="E50" s="11"/>
      <c r="F50" s="11">
        <f>VLOOKUP(G50, SeanRanks!$A$2:$E$302, 4, FALSE)</f>
        <v>0</v>
      </c>
      <c r="G50" s="11" t="s">
        <v>804</v>
      </c>
      <c r="H50" s="11" t="str">
        <f>VLOOKUP($G50, 'ADP Data'!$C$4:$Q$300, 2, FALSE)</f>
        <v>HOU</v>
      </c>
      <c r="I50" s="11">
        <f>VLOOKUP(G50, 'ADP Data'!$C$4:$R$498, 12, FALSE)</f>
        <v>162</v>
      </c>
      <c r="J50" s="44">
        <f>VLOOKUP($G50, SeanRanks!$A$2:$H$303, 5, FALSE)</f>
        <v>0</v>
      </c>
      <c r="K50" s="11" t="str">
        <f>IF(VLOOKUP($G50, SeanRanks!$A$2:$H$303, 6, FALSE)=0, "", VLOOKUP($G50, SeanRanks!$A$2:$H$303, 6, FALSE))</f>
        <v>RB2 - 2 - Path to spikes</v>
      </c>
      <c r="L50" s="11">
        <f t="shared" si="4"/>
        <v>6</v>
      </c>
      <c r="M50" s="11">
        <f>VLOOKUP($G50, 'ADP Data'!$C$4:$Q$300, 9, FALSE)</f>
        <v>63</v>
      </c>
      <c r="N50" s="11">
        <f t="shared" si="5"/>
        <v>-53</v>
      </c>
      <c r="O50" s="11">
        <f>VLOOKUP($G50, 'ADP Data'!$C$4:$Q$300, 3, FALSE)</f>
        <v>81</v>
      </c>
      <c r="P50" s="11">
        <f t="shared" si="6"/>
        <v>-18</v>
      </c>
      <c r="Q50" s="11">
        <f>VLOOKUP($G50, 'ADP Data'!$C$4:$Q$300, 4, FALSE)</f>
        <v>121</v>
      </c>
      <c r="R50" s="11">
        <f>VLOOKUP($G50, 'ADP Data'!$C$4:$Q$300, 5, FALSE)</f>
        <v>262</v>
      </c>
      <c r="S50" s="11">
        <f>VLOOKUP($G50, 'ADP Data'!$C$4:$Q$300, 6, FALSE)</f>
        <v>115</v>
      </c>
      <c r="T50" s="11">
        <f>VLOOKUP($G50, 'ADP Data'!$C$4:$Q$300, 7, FALSE)</f>
        <v>110</v>
      </c>
      <c r="U50" s="11">
        <f>VLOOKUP($G50, 'ADP Data'!$C$4:$Q$300, 8, FALSE)</f>
        <v>65</v>
      </c>
      <c r="V50" s="11">
        <f t="shared" si="7"/>
        <v>116</v>
      </c>
      <c r="W50" s="11">
        <f t="shared" si="8"/>
        <v>10</v>
      </c>
      <c r="X50" s="11">
        <f t="shared" si="9"/>
        <v>-6</v>
      </c>
      <c r="Y50" s="11">
        <f>VLOOKUP($G50, SeanRanks!$A$2:$K$303, 10, FALSE)-V50</f>
        <v>45</v>
      </c>
      <c r="Z50" s="25">
        <f>IF(VLOOKUP($G50, SeanRanks!$A$2:$H$303, 7, FALSE)=0, "", VLOOKUP($G50, SeanRanks!$A$2:$H$303, 7, FALSE))</f>
        <v>22</v>
      </c>
    </row>
    <row r="51" spans="1:26" ht="14.25" customHeight="1" x14ac:dyDescent="0.25">
      <c r="A51" s="11" t="s">
        <v>148</v>
      </c>
      <c r="B51" s="11">
        <f t="shared" si="3"/>
        <v>7</v>
      </c>
      <c r="C51" s="11" t="s">
        <v>119</v>
      </c>
      <c r="D51" s="11">
        <v>4</v>
      </c>
      <c r="E51" s="11"/>
      <c r="F51" s="11">
        <f>VLOOKUP(G51, SeanRanks!$A$2:$E$302, 4, FALSE)</f>
        <v>0</v>
      </c>
      <c r="G51" s="11" t="s">
        <v>349</v>
      </c>
      <c r="H51" s="11" t="str">
        <f>VLOOKUP($G51, 'ADP Data'!$C$4:$Q$300, 2, FALSE)</f>
        <v>BAL</v>
      </c>
      <c r="I51" s="11">
        <f>VLOOKUP(G51, 'ADP Data'!$C$4:$R$498, 12, FALSE)</f>
        <v>93</v>
      </c>
      <c r="J51" s="41" t="str">
        <f>VLOOKUP($G51, SeanRanks!$A$2:$H$303, 5, FALSE)</f>
        <v>No</v>
      </c>
      <c r="K51" s="11" t="str">
        <f>IF(VLOOKUP($G51, SeanRanks!$A$2:$H$303, 6, FALSE)=0, "", VLOOKUP($G51, SeanRanks!$A$2:$H$303, 6, FALSE))</f>
        <v>TE1 - 3 - Weekly Start</v>
      </c>
      <c r="L51" s="11">
        <f t="shared" si="4"/>
        <v>7</v>
      </c>
      <c r="M51" s="11">
        <f>VLOOKUP($G51, 'ADP Data'!$C$4:$Q$300, 9, FALSE)</f>
        <v>77</v>
      </c>
      <c r="N51" s="11">
        <f t="shared" si="5"/>
        <v>0</v>
      </c>
      <c r="O51" s="11">
        <f>VLOOKUP($G51, 'ADP Data'!$C$4:$Q$300, 3, FALSE)</f>
        <v>73</v>
      </c>
      <c r="P51" s="11">
        <f t="shared" si="6"/>
        <v>4</v>
      </c>
      <c r="Q51" s="11">
        <f>VLOOKUP($G51, 'ADP Data'!$C$4:$Q$300, 4, FALSE)</f>
        <v>73</v>
      </c>
      <c r="R51" s="11">
        <f>VLOOKUP($G51, 'ADP Data'!$C$4:$Q$300, 5, FALSE)</f>
        <v>95</v>
      </c>
      <c r="S51" s="11">
        <f>VLOOKUP($G51, 'ADP Data'!$C$4:$Q$300, 6, FALSE)</f>
        <v>79</v>
      </c>
      <c r="T51" s="11">
        <f>VLOOKUP($G51, 'ADP Data'!$C$4:$Q$300, 7, FALSE)</f>
        <v>93</v>
      </c>
      <c r="U51" s="11">
        <f>VLOOKUP($G51, 'ADP Data'!$C$4:$Q$300, 8, FALSE)</f>
        <v>53</v>
      </c>
      <c r="V51" s="11">
        <f t="shared" si="7"/>
        <v>77</v>
      </c>
      <c r="W51" s="11">
        <f t="shared" si="8"/>
        <v>7</v>
      </c>
      <c r="X51" s="11">
        <f t="shared" si="9"/>
        <v>-3</v>
      </c>
      <c r="Y51" s="11">
        <f>VLOOKUP($G51, SeanRanks!$A$2:$K$303, 10, FALSE)-V51</f>
        <v>2</v>
      </c>
      <c r="Z51" s="25">
        <f>IF(VLOOKUP($G51, SeanRanks!$A$2:$H$303, 7, FALSE)=0, "", VLOOKUP($G51, SeanRanks!$A$2:$H$303, 7, FALSE))</f>
        <v>7</v>
      </c>
    </row>
    <row r="52" spans="1:26" ht="14.25" customHeight="1" x14ac:dyDescent="0.25">
      <c r="A52" s="11"/>
      <c r="B52" s="11">
        <f t="shared" si="3"/>
        <v>8</v>
      </c>
      <c r="C52" s="11" t="s">
        <v>119</v>
      </c>
      <c r="D52" s="11">
        <v>4</v>
      </c>
      <c r="E52" s="11"/>
      <c r="F52" s="11">
        <f>VLOOKUP(G52, SeanRanks!$A$2:$E$302, 4, FALSE)</f>
        <v>0</v>
      </c>
      <c r="G52" s="11" t="s">
        <v>288</v>
      </c>
      <c r="H52" s="11" t="str">
        <f>VLOOKUP($G52, 'ADP Data'!$C$4:$Q$300, 2, FALSE)</f>
        <v>NE</v>
      </c>
      <c r="I52" s="11">
        <f>VLOOKUP(G52, 'ADP Data'!$C$4:$R$498, 12, FALSE)</f>
        <v>67</v>
      </c>
      <c r="J52" s="45">
        <f>VLOOKUP($G52, SeanRanks!$A$2:$H$303, 5, FALSE)</f>
        <v>0</v>
      </c>
      <c r="K52" s="11" t="str">
        <f>IF(VLOOKUP($G52, SeanRanks!$A$2:$H$303, 6, FALSE)=0, "", VLOOKUP($G52, SeanRanks!$A$2:$H$303, 6, FALSE))</f>
        <v>WR3 - 3 - lower ceiling</v>
      </c>
      <c r="L52" s="11">
        <f t="shared" si="4"/>
        <v>8</v>
      </c>
      <c r="M52" s="11">
        <f>VLOOKUP($G52, 'ADP Data'!$C$4:$Q$300, 9, FALSE)</f>
        <v>89</v>
      </c>
      <c r="N52" s="11">
        <f t="shared" si="5"/>
        <v>2</v>
      </c>
      <c r="O52" s="11">
        <f>VLOOKUP($G52, 'ADP Data'!$C$4:$Q$300, 3, FALSE)</f>
        <v>91</v>
      </c>
      <c r="P52" s="11">
        <f t="shared" si="6"/>
        <v>-2</v>
      </c>
      <c r="Q52" s="11">
        <f>VLOOKUP($G52, 'ADP Data'!$C$4:$Q$300, 4, FALSE)</f>
        <v>88</v>
      </c>
      <c r="R52" s="11">
        <f>VLOOKUP($G52, 'ADP Data'!$C$4:$Q$300, 5, FALSE)</f>
        <v>89</v>
      </c>
      <c r="S52" s="11">
        <f>VLOOKUP($G52, 'ADP Data'!$C$4:$Q$300, 6, FALSE)</f>
        <v>85</v>
      </c>
      <c r="T52" s="11">
        <f>VLOOKUP($G52, 'ADP Data'!$C$4:$Q$300, 7, FALSE)</f>
        <v>77</v>
      </c>
      <c r="U52" s="11">
        <f>VLOOKUP($G52, 'ADP Data'!$C$4:$Q$300, 8, FALSE)</f>
        <v>95</v>
      </c>
      <c r="V52" s="11">
        <f t="shared" si="7"/>
        <v>87</v>
      </c>
      <c r="W52" s="11">
        <f t="shared" si="8"/>
        <v>8</v>
      </c>
      <c r="X52" s="11">
        <f t="shared" si="9"/>
        <v>-4</v>
      </c>
      <c r="Y52" s="11">
        <f>VLOOKUP($G52, SeanRanks!$A$2:$K$303, 10, FALSE)-V52</f>
        <v>-10</v>
      </c>
      <c r="Z52" s="25">
        <f>IF(VLOOKUP($G52, SeanRanks!$A$2:$H$303, 7, FALSE)=0, "", VLOOKUP($G52, SeanRanks!$A$2:$H$303, 7, FALSE))</f>
        <v>38</v>
      </c>
    </row>
    <row r="53" spans="1:26" ht="14.25" customHeight="1" x14ac:dyDescent="0.25">
      <c r="A53" s="11"/>
      <c r="B53" s="11">
        <f t="shared" si="3"/>
        <v>1</v>
      </c>
      <c r="C53" s="11" t="s">
        <v>119</v>
      </c>
      <c r="D53" s="11">
        <v>3</v>
      </c>
      <c r="E53" s="11" t="s">
        <v>243</v>
      </c>
      <c r="F53" s="11">
        <f>VLOOKUP(G53, SeanRanks!$A$2:$E$302, 4, FALSE)</f>
        <v>0</v>
      </c>
      <c r="G53" s="11" t="s">
        <v>125</v>
      </c>
      <c r="H53" s="11" t="str">
        <f>VLOOKUP($G53, 'ADP Data'!$C$4:$Q$300, 2, FALSE)</f>
        <v>NYG</v>
      </c>
      <c r="I53" s="11">
        <f>VLOOKUP(G53, 'ADP Data'!$C$4:$R$498, 12, FALSE)</f>
        <v>10</v>
      </c>
      <c r="J53" s="40">
        <f>VLOOKUP($G53, SeanRanks!$A$2:$H$303, 5, FALSE)</f>
        <v>0</v>
      </c>
      <c r="K53" s="11" t="str">
        <f>IF(VLOOKUP($G53, SeanRanks!$A$2:$H$303, 6, FALSE)=0, "", VLOOKUP($G53, SeanRanks!$A$2:$H$303, 6, FALSE))</f>
        <v>WR1 - 2 - High Floor</v>
      </c>
      <c r="L53" s="11">
        <f t="shared" si="4"/>
        <v>2</v>
      </c>
      <c r="M53" s="11">
        <f>VLOOKUP($G53, 'ADP Data'!$C$4:$Q$300, 9, FALSE)</f>
        <v>12</v>
      </c>
      <c r="N53" s="11">
        <f t="shared" si="5"/>
        <v>3</v>
      </c>
      <c r="O53" s="11">
        <f>VLOOKUP($G53, 'ADP Data'!$C$4:$Q$300, 3, FALSE)</f>
        <v>11</v>
      </c>
      <c r="P53" s="11">
        <f t="shared" si="6"/>
        <v>1</v>
      </c>
      <c r="Q53" s="11">
        <f>VLOOKUP($G53, 'ADP Data'!$C$4:$Q$300, 4, FALSE)</f>
        <v>10</v>
      </c>
      <c r="R53" s="11">
        <f>VLOOKUP($G53, 'ADP Data'!$C$4:$Q$300, 5, FALSE)</f>
        <v>9</v>
      </c>
      <c r="S53" s="11">
        <f>VLOOKUP($G53, 'ADP Data'!$C$4:$Q$300, 6, FALSE)</f>
        <v>10</v>
      </c>
      <c r="T53" s="11">
        <f>VLOOKUP($G53, 'ADP Data'!$C$4:$Q$300, 7, FALSE)</f>
        <v>8</v>
      </c>
      <c r="U53" s="11">
        <f>VLOOKUP($G53, 'ADP Data'!$C$4:$Q$300, 8, FALSE)</f>
        <v>9</v>
      </c>
      <c r="V53" s="11">
        <f t="shared" si="7"/>
        <v>9</v>
      </c>
      <c r="W53" s="11">
        <f t="shared" si="8"/>
        <v>1</v>
      </c>
      <c r="X53" s="11">
        <f t="shared" si="9"/>
        <v>2</v>
      </c>
      <c r="Y53" s="11">
        <f>VLOOKUP($G53, SeanRanks!$A$2:$K$303, 10, FALSE)-V53</f>
        <v>1</v>
      </c>
      <c r="Z53" s="25">
        <f>IF(VLOOKUP($G53, SeanRanks!$A$2:$H$303, 7, FALSE)=0, "", VLOOKUP($G53, SeanRanks!$A$2:$H$303, 7, FALSE))</f>
        <v>5</v>
      </c>
    </row>
    <row r="54" spans="1:26" ht="14.25" customHeight="1" x14ac:dyDescent="0.25">
      <c r="A54" s="11" t="s">
        <v>148</v>
      </c>
      <c r="B54" s="11">
        <f t="shared" si="3"/>
        <v>4</v>
      </c>
      <c r="C54" s="11" t="s">
        <v>119</v>
      </c>
      <c r="D54" s="11">
        <v>4</v>
      </c>
      <c r="E54" s="11" t="s">
        <v>243</v>
      </c>
      <c r="F54" s="11">
        <f>VLOOKUP(G54, SeanRanks!$A$2:$E$302, 4, FALSE)</f>
        <v>0</v>
      </c>
      <c r="G54" s="11" t="s">
        <v>84</v>
      </c>
      <c r="H54" s="11" t="str">
        <f>VLOOKUP($G54, 'ADP Data'!$C$4:$Q$300, 2, FALSE)</f>
        <v>SEA</v>
      </c>
      <c r="I54" s="11">
        <f>VLOOKUP(G54, 'ADP Data'!$C$4:$R$498, 12, FALSE)</f>
        <v>39</v>
      </c>
      <c r="J54" s="46">
        <f>VLOOKUP($G54, SeanRanks!$A$2:$H$303, 5, FALSE)</f>
        <v>0</v>
      </c>
      <c r="K54" s="11" t="str">
        <f>IF(VLOOKUP($G54, SeanRanks!$A$2:$H$303, 6, FALSE)=0, "", VLOOKUP($G54, SeanRanks!$A$2:$H$303, 6, FALSE))</f>
        <v>RB2 - 1 - Clear path to spikes</v>
      </c>
      <c r="L54" s="11">
        <f t="shared" si="4"/>
        <v>4</v>
      </c>
      <c r="M54" s="11">
        <f>VLOOKUP($G54, 'ADP Data'!$C$4:$Q$300, 9, FALSE)</f>
        <v>43</v>
      </c>
      <c r="N54" s="11">
        <f t="shared" si="5"/>
        <v>2</v>
      </c>
      <c r="O54" s="11">
        <f>VLOOKUP($G54, 'ADP Data'!$C$4:$Q$300, 3, FALSE)</f>
        <v>33</v>
      </c>
      <c r="P54" s="11">
        <f t="shared" si="6"/>
        <v>10</v>
      </c>
      <c r="Q54" s="11">
        <f>VLOOKUP($G54, 'ADP Data'!$C$4:$Q$300, 4, FALSE)</f>
        <v>47</v>
      </c>
      <c r="R54" s="11">
        <f>VLOOKUP($G54, 'ADP Data'!$C$4:$Q$300, 5, FALSE)</f>
        <v>55</v>
      </c>
      <c r="S54" s="11">
        <f>VLOOKUP($G54, 'ADP Data'!$C$4:$Q$300, 6, FALSE)</f>
        <v>34</v>
      </c>
      <c r="T54" s="11">
        <f>VLOOKUP($G54, 'ADP Data'!$C$4:$Q$300, 7, FALSE)</f>
        <v>41</v>
      </c>
      <c r="U54" s="11">
        <f>VLOOKUP($G54, 'ADP Data'!$C$4:$Q$300, 8, FALSE)</f>
        <v>40</v>
      </c>
      <c r="V54" s="11">
        <f t="shared" si="7"/>
        <v>41</v>
      </c>
      <c r="W54" s="11">
        <f t="shared" si="8"/>
        <v>4</v>
      </c>
      <c r="X54" s="11">
        <f t="shared" si="9"/>
        <v>0</v>
      </c>
      <c r="Y54" s="11">
        <f>VLOOKUP($G54, SeanRanks!$A$2:$K$303, 10, FALSE)-V54</f>
        <v>-3</v>
      </c>
      <c r="Z54" s="25">
        <f>IF(VLOOKUP($G54, SeanRanks!$A$2:$H$303, 7, FALSE)=0, "", VLOOKUP($G54, SeanRanks!$A$2:$H$303, 7, FALSE))</f>
        <v>13</v>
      </c>
    </row>
    <row r="55" spans="1:26" ht="14.25" customHeight="1" x14ac:dyDescent="0.25">
      <c r="A55" s="11"/>
      <c r="B55" s="11">
        <f t="shared" si="3"/>
        <v>4</v>
      </c>
      <c r="C55" s="11" t="s">
        <v>119</v>
      </c>
      <c r="D55" s="11">
        <v>4</v>
      </c>
      <c r="E55" s="11" t="s">
        <v>243</v>
      </c>
      <c r="F55" s="11">
        <f>VLOOKUP(G55, SeanRanks!$A$2:$E$302, 4, FALSE)</f>
        <v>0</v>
      </c>
      <c r="G55" s="11" t="s">
        <v>417</v>
      </c>
      <c r="H55" s="11" t="str">
        <f>VLOOKUP($G55, 'ADP Data'!$C$4:$Q$300, 2, FALSE)</f>
        <v>NO</v>
      </c>
      <c r="I55" s="11">
        <f>VLOOKUP(G55, 'ADP Data'!$C$4:$R$498, 12, FALSE)</f>
        <v>52</v>
      </c>
      <c r="J55" s="46">
        <f>VLOOKUP($G55, SeanRanks!$A$2:$H$303, 5, FALSE)</f>
        <v>0</v>
      </c>
      <c r="K55" s="11" t="str">
        <f>IF(VLOOKUP($G55, SeanRanks!$A$2:$H$303, 6, FALSE)=0, "", VLOOKUP($G55, SeanRanks!$A$2:$H$303, 6, FALSE))</f>
        <v>RB2 - 1 - Clear path to spikes</v>
      </c>
      <c r="L55" s="11">
        <f t="shared" si="4"/>
        <v>4</v>
      </c>
      <c r="M55" s="11">
        <f>VLOOKUP($G55, 'ADP Data'!$C$4:$Q$300, 9, FALSE)</f>
        <v>40</v>
      </c>
      <c r="N55" s="11">
        <f t="shared" si="5"/>
        <v>-1</v>
      </c>
      <c r="O55" s="11">
        <f>VLOOKUP($G55, 'ADP Data'!$C$4:$Q$300, 3, FALSE)</f>
        <v>28</v>
      </c>
      <c r="P55" s="11">
        <f t="shared" si="6"/>
        <v>12</v>
      </c>
      <c r="Q55" s="11">
        <f>VLOOKUP($G55, 'ADP Data'!$C$4:$Q$300, 4, FALSE)</f>
        <v>38</v>
      </c>
      <c r="R55" s="11">
        <f>VLOOKUP($G55, 'ADP Data'!$C$4:$Q$300, 5, FALSE)</f>
        <v>53</v>
      </c>
      <c r="S55" s="11">
        <f>VLOOKUP($G55, 'ADP Data'!$C$4:$Q$300, 6, FALSE)</f>
        <v>37</v>
      </c>
      <c r="T55" s="11">
        <f>VLOOKUP($G55, 'ADP Data'!$C$4:$Q$300, 7, FALSE)</f>
        <v>49</v>
      </c>
      <c r="U55" s="11">
        <f>VLOOKUP($G55, 'ADP Data'!$C$4:$Q$300, 8, FALSE)</f>
        <v>44</v>
      </c>
      <c r="V55" s="11">
        <f t="shared" si="7"/>
        <v>41</v>
      </c>
      <c r="W55" s="11">
        <f t="shared" si="8"/>
        <v>4</v>
      </c>
      <c r="X55" s="11">
        <f t="shared" si="9"/>
        <v>0</v>
      </c>
      <c r="Y55" s="11">
        <f>VLOOKUP($G55, SeanRanks!$A$2:$K$303, 10, FALSE)-V55</f>
        <v>0</v>
      </c>
      <c r="Z55" s="25">
        <f>IF(VLOOKUP($G55, SeanRanks!$A$2:$H$303, 7, FALSE)=0, "", VLOOKUP($G55, SeanRanks!$A$2:$H$303, 7, FALSE))</f>
        <v>18</v>
      </c>
    </row>
    <row r="56" spans="1:26" ht="14.25" customHeight="1" x14ac:dyDescent="0.25">
      <c r="A56" s="11"/>
      <c r="B56" s="11">
        <f t="shared" si="3"/>
        <v>11</v>
      </c>
      <c r="C56" s="11" t="s">
        <v>119</v>
      </c>
      <c r="D56" s="11">
        <v>5</v>
      </c>
      <c r="E56" s="11"/>
      <c r="F56" s="11">
        <f>VLOOKUP(G56, SeanRanks!$A$2:$E$302, 4, FALSE)</f>
        <v>0</v>
      </c>
      <c r="G56" s="11" t="s">
        <v>324</v>
      </c>
      <c r="H56" s="11" t="str">
        <f>VLOOKUP($G56, 'ADP Data'!$C$4:$Q$300, 2, FALSE)</f>
        <v>BUF</v>
      </c>
      <c r="I56" s="11">
        <f>VLOOKUP(G56, 'ADP Data'!$C$4:$R$498, 12, FALSE)</f>
        <v>131</v>
      </c>
      <c r="J56" s="47">
        <f>VLOOKUP($G56, SeanRanks!$A$2:$H$303, 5, FALSE)</f>
        <v>0</v>
      </c>
      <c r="K56" s="11" t="str">
        <f>IF(VLOOKUP($G56, SeanRanks!$A$2:$H$303, 6, FALSE)=0, "", VLOOKUP($G56, SeanRanks!$A$2:$H$303, 6, FALSE))</f>
        <v/>
      </c>
      <c r="L56" s="11">
        <f t="shared" si="4"/>
        <v>10</v>
      </c>
      <c r="M56" s="11">
        <f>VLOOKUP($G56, 'ADP Data'!$C$4:$Q$300, 9, FALSE)</f>
        <v>119</v>
      </c>
      <c r="N56" s="11">
        <f t="shared" si="5"/>
        <v>-9</v>
      </c>
      <c r="O56" s="11">
        <f>VLOOKUP($G56, 'ADP Data'!$C$4:$Q$300, 3, FALSE)</f>
        <v>142</v>
      </c>
      <c r="P56" s="11">
        <f t="shared" si="6"/>
        <v>-23</v>
      </c>
      <c r="Q56" s="11">
        <f>VLOOKUP($G56, 'ADP Data'!$C$4:$Q$300, 4, FALSE)</f>
        <v>126</v>
      </c>
      <c r="R56" s="11">
        <f>VLOOKUP($G56, 'ADP Data'!$C$4:$Q$300, 5, FALSE)</f>
        <v>142</v>
      </c>
      <c r="S56" s="11">
        <f>VLOOKUP($G56, 'ADP Data'!$C$4:$Q$300, 6, FALSE)</f>
        <v>107</v>
      </c>
      <c r="T56" s="11">
        <f>VLOOKUP($G56, 'ADP Data'!$C$4:$Q$300, 7, FALSE)</f>
        <v>133</v>
      </c>
      <c r="U56" s="11">
        <f>VLOOKUP($G56, 'ADP Data'!$C$4:$Q$300, 8, FALSE)</f>
        <v>128</v>
      </c>
      <c r="V56" s="11">
        <f t="shared" si="7"/>
        <v>128</v>
      </c>
      <c r="W56" s="11">
        <f t="shared" si="8"/>
        <v>11</v>
      </c>
      <c r="X56" s="11">
        <f t="shared" si="9"/>
        <v>-6</v>
      </c>
      <c r="Y56" s="11">
        <f>VLOOKUP($G56, SeanRanks!$A$2:$K$303, 10, FALSE)-V56</f>
        <v>-8</v>
      </c>
      <c r="Z56" s="25" t="str">
        <f>IF(VLOOKUP($G56, SeanRanks!$A$2:$H$303, 7, FALSE)=0, "", VLOOKUP($G56, SeanRanks!$A$2:$H$303, 7, FALSE))</f>
        <v/>
      </c>
    </row>
    <row r="57" spans="1:26" ht="14.25" customHeight="1" x14ac:dyDescent="0.25">
      <c r="A57" s="11"/>
      <c r="B57" s="11">
        <f t="shared" si="3"/>
        <v>12</v>
      </c>
      <c r="C57" s="11" t="s">
        <v>119</v>
      </c>
      <c r="D57" s="11">
        <v>6</v>
      </c>
      <c r="E57" s="11"/>
      <c r="F57" s="11">
        <f>VLOOKUP(G57, SeanRanks!$A$2:$E$302, 4, FALSE)</f>
        <v>0</v>
      </c>
      <c r="G57" s="11" t="s">
        <v>411</v>
      </c>
      <c r="H57" s="11" t="str">
        <f>VLOOKUP($G57, 'ADP Data'!$C$4:$Q$300, 2, FALSE)</f>
        <v>HOU</v>
      </c>
      <c r="I57" s="11">
        <f>VLOOKUP(G57, 'ADP Data'!$C$4:$R$498, 12, FALSE)</f>
        <v>129</v>
      </c>
      <c r="J57" s="48">
        <f>VLOOKUP($G57, SeanRanks!$A$2:$H$303, 5, FALSE)</f>
        <v>0</v>
      </c>
      <c r="K57" s="11" t="str">
        <f>IF(VLOOKUP($G57, SeanRanks!$A$2:$H$303, 6, FALSE)=0, "", VLOOKUP($G57, SeanRanks!$A$2:$H$303, 6, FALSE))</f>
        <v>QB2 - 2 - Not League Winner</v>
      </c>
      <c r="L57" s="11">
        <f t="shared" si="4"/>
        <v>11</v>
      </c>
      <c r="M57" s="11">
        <f>VLOOKUP($G57, 'ADP Data'!$C$4:$Q$300, 9, FALSE)</f>
        <v>125</v>
      </c>
      <c r="N57" s="11">
        <f t="shared" si="5"/>
        <v>-8</v>
      </c>
      <c r="O57" s="11">
        <f>VLOOKUP($G57, 'ADP Data'!$C$4:$Q$300, 3, FALSE)</f>
        <v>135</v>
      </c>
      <c r="P57" s="11">
        <f t="shared" si="6"/>
        <v>-10</v>
      </c>
      <c r="Q57" s="11">
        <f>VLOOKUP($G57, 'ADP Data'!$C$4:$Q$300, 4, FALSE)</f>
        <v>127</v>
      </c>
      <c r="R57" s="11">
        <f>VLOOKUP($G57, 'ADP Data'!$C$4:$Q$300, 5, FALSE)</f>
        <v>141</v>
      </c>
      <c r="S57" s="11">
        <f>VLOOKUP($G57, 'ADP Data'!$C$4:$Q$300, 6, FALSE)</f>
        <v>142</v>
      </c>
      <c r="T57" s="11">
        <f>VLOOKUP($G57, 'ADP Data'!$C$4:$Q$300, 7, FALSE)</f>
        <v>131</v>
      </c>
      <c r="U57" s="11">
        <f>VLOOKUP($G57, 'ADP Data'!$C$4:$Q$300, 8, FALSE)</f>
        <v>132</v>
      </c>
      <c r="V57" s="11">
        <f t="shared" si="7"/>
        <v>133</v>
      </c>
      <c r="W57" s="11">
        <f t="shared" si="8"/>
        <v>12</v>
      </c>
      <c r="X57" s="11">
        <f t="shared" si="9"/>
        <v>-6</v>
      </c>
      <c r="Y57" s="11">
        <f>VLOOKUP($G57, SeanRanks!$A$2:$K$303, 10, FALSE)-V57</f>
        <v>-4</v>
      </c>
      <c r="Z57" s="25">
        <f>IF(VLOOKUP($G57, SeanRanks!$A$2:$H$303, 7, FALSE)=0, "", VLOOKUP($G57, SeanRanks!$A$2:$H$303, 7, FALSE))</f>
        <v>18</v>
      </c>
    </row>
    <row r="58" spans="1:26" ht="14.25" customHeight="1" x14ac:dyDescent="0.25">
      <c r="A58" s="11"/>
      <c r="B58" s="11">
        <f t="shared" si="3"/>
        <v>21</v>
      </c>
      <c r="C58" s="11" t="s">
        <v>119</v>
      </c>
      <c r="D58" s="11">
        <v>3</v>
      </c>
      <c r="E58" s="11"/>
      <c r="F58" s="11">
        <f>VLOOKUP(G58, SeanRanks!$A$2:$E$302, 4, FALSE)</f>
        <v>0</v>
      </c>
      <c r="G58" s="11" t="s">
        <v>810</v>
      </c>
      <c r="H58" s="11" t="str">
        <f>VLOOKUP($G58, 'ADP Data'!$C$4:$Q$300, 2, FALSE)</f>
        <v>LV</v>
      </c>
      <c r="I58" s="11">
        <f>VLOOKUP(G58, 'ADP Data'!$C$4:$R$498, 12, FALSE)</f>
        <v>197</v>
      </c>
      <c r="J58" s="43">
        <f>VLOOKUP($G58, SeanRanks!$A$2:$H$303, 5, FALSE)</f>
        <v>0</v>
      </c>
      <c r="K58" s="11" t="str">
        <f>IF(VLOOKUP($G58, SeanRanks!$A$2:$H$303, 6, FALSE)=0, "", VLOOKUP($G58, SeanRanks!$A$2:$H$303, 6, FALSE))</f>
        <v/>
      </c>
      <c r="L58" s="11">
        <f t="shared" si="4"/>
        <v>21</v>
      </c>
      <c r="M58" s="11">
        <f>VLOOKUP($G58, 'ADP Data'!$C$4:$Q$300, 9, FALSE)</f>
        <v>250</v>
      </c>
      <c r="N58" s="11">
        <f t="shared" si="5"/>
        <v>17</v>
      </c>
      <c r="O58" s="11">
        <f>VLOOKUP($G58, 'ADP Data'!$C$4:$Q$300, 3, FALSE)</f>
        <v>143</v>
      </c>
      <c r="P58" s="11">
        <f t="shared" si="6"/>
        <v>107</v>
      </c>
      <c r="Q58" s="11">
        <f>VLOOKUP($G58, 'ADP Data'!$C$4:$Q$300, 4, FALSE)</f>
        <v>189</v>
      </c>
      <c r="R58" s="11">
        <f>VLOOKUP($G58, 'ADP Data'!$C$4:$Q$300, 5, FALSE)</f>
        <v>308</v>
      </c>
      <c r="S58" s="11">
        <f>VLOOKUP($G58, 'ADP Data'!$C$4:$Q$300, 6, FALSE)</f>
        <v>227</v>
      </c>
      <c r="T58" s="11">
        <f>VLOOKUP($G58, 'ADP Data'!$C$4:$Q$300, 7, FALSE)</f>
        <v>229</v>
      </c>
      <c r="U58" s="11">
        <f>VLOOKUP($G58, 'ADP Data'!$C$4:$Q$300, 8, FALSE)</f>
        <v>290</v>
      </c>
      <c r="V58" s="11">
        <f t="shared" si="7"/>
        <v>233</v>
      </c>
      <c r="W58" s="11">
        <f t="shared" si="8"/>
        <v>20</v>
      </c>
      <c r="X58" s="11">
        <f t="shared" si="9"/>
        <v>-17</v>
      </c>
      <c r="Y58" s="11">
        <f>VLOOKUP($G58, SeanRanks!$A$2:$K$303, 10, FALSE)-V58</f>
        <v>17</v>
      </c>
      <c r="Z58" s="25" t="str">
        <f>IF(VLOOKUP($G58, SeanRanks!$A$2:$H$303, 7, FALSE)=0, "", VLOOKUP($G58, SeanRanks!$A$2:$H$303, 7, FALSE))</f>
        <v/>
      </c>
    </row>
    <row r="59" spans="1:26" ht="14.25" customHeight="1" x14ac:dyDescent="0.25">
      <c r="A59" s="11" t="s">
        <v>148</v>
      </c>
      <c r="B59" s="11">
        <f t="shared" si="3"/>
        <v>21</v>
      </c>
      <c r="C59" s="11" t="s">
        <v>119</v>
      </c>
      <c r="D59" s="11"/>
      <c r="E59" s="23"/>
      <c r="F59" s="11">
        <f>VLOOKUP(G59, SeanRanks!$A$2:$E$302, 4, FALSE)</f>
        <v>0</v>
      </c>
      <c r="G59" s="11" t="s">
        <v>813</v>
      </c>
      <c r="H59" s="11" t="str">
        <f>VLOOKUP($G59, 'ADP Data'!$C$4:$Q$300, 2, FALSE)</f>
        <v>IND</v>
      </c>
      <c r="I59" s="11">
        <f>VLOOKUP(G59, 'ADP Data'!$C$4:$R$498, 12, FALSE)</f>
        <v>227</v>
      </c>
      <c r="J59" s="48">
        <f>VLOOKUP($G59, SeanRanks!$A$2:$H$303, 5, FALSE)</f>
        <v>0</v>
      </c>
      <c r="K59" s="11" t="str">
        <f>IF(VLOOKUP($G59, SeanRanks!$A$2:$H$303, 6, FALSE)=0, "", VLOOKUP($G59, SeanRanks!$A$2:$H$303, 6, FALSE))</f>
        <v>QB3 - League Winner?</v>
      </c>
      <c r="L59" s="11">
        <f t="shared" si="4"/>
        <v>19</v>
      </c>
      <c r="M59" s="11">
        <f>VLOOKUP($G59, 'ADP Data'!$C$4:$Q$300, 9, FALSE)</f>
        <v>224</v>
      </c>
      <c r="N59" s="11">
        <f t="shared" si="5"/>
        <v>-18</v>
      </c>
      <c r="O59" s="11" t="str">
        <f>VLOOKUP($G59, 'ADP Data'!$C$4:$Q$300, 3, FALSE)</f>
        <v>-</v>
      </c>
      <c r="P59" s="11" t="e">
        <f t="shared" si="6"/>
        <v>#VALUE!</v>
      </c>
      <c r="Q59" s="11">
        <f>VLOOKUP($G59, 'ADP Data'!$C$4:$Q$300, 4, FALSE)</f>
        <v>241</v>
      </c>
      <c r="R59" s="11">
        <f>VLOOKUP($G59, 'ADP Data'!$C$4:$Q$300, 5, FALSE)</f>
        <v>284</v>
      </c>
      <c r="S59" s="11">
        <f>VLOOKUP($G59, 'ADP Data'!$C$4:$Q$300, 6, FALSE)</f>
        <v>248</v>
      </c>
      <c r="T59" s="11">
        <f>VLOOKUP($G59, 'ADP Data'!$C$4:$Q$300, 7, FALSE)</f>
        <v>230</v>
      </c>
      <c r="U59" s="11">
        <f>VLOOKUP($G59, 'ADP Data'!$C$4:$Q$300, 8, FALSE)</f>
        <v>228</v>
      </c>
      <c r="V59" s="11">
        <f t="shared" si="7"/>
        <v>242</v>
      </c>
      <c r="W59" s="11">
        <f t="shared" si="8"/>
        <v>21</v>
      </c>
      <c r="X59" s="11">
        <f t="shared" si="9"/>
        <v>-21</v>
      </c>
      <c r="Y59" s="11" t="e">
        <f>VLOOKUP($G59, SeanRanks!$A$2:$K$303, 10, FALSE)-V59</f>
        <v>#VALUE!</v>
      </c>
      <c r="Z59" s="25" t="str">
        <f>IF(VLOOKUP($G59, SeanRanks!$A$2:$H$303, 7, FALSE)=0, "", VLOOKUP($G59, SeanRanks!$A$2:$H$303, 7, FALSE))</f>
        <v/>
      </c>
    </row>
    <row r="60" spans="1:26" ht="14.25" customHeight="1" x14ac:dyDescent="0.25">
      <c r="A60" s="11"/>
      <c r="B60" s="11" t="e">
        <f t="shared" si="3"/>
        <v>#N/A</v>
      </c>
      <c r="C60" s="11" t="s">
        <v>119</v>
      </c>
      <c r="D60" s="11"/>
      <c r="E60" s="11"/>
      <c r="F60" s="11" t="e">
        <f>VLOOKUP(G60, SeanRanks!$A$2:$E$302, 4, FALSE)</f>
        <v>#N/A</v>
      </c>
      <c r="G60" s="11" t="s">
        <v>465</v>
      </c>
      <c r="H60" s="11" t="e">
        <f>VLOOKUP($G60, 'ADP Data'!$C$4:$Q$300, 2, FALSE)</f>
        <v>#N/A</v>
      </c>
      <c r="I60" s="11" t="e">
        <f>VLOOKUP(G60, 'ADP Data'!$C$4:$R$498, 12, FALSE)</f>
        <v>#N/A</v>
      </c>
      <c r="J60" s="45" t="e">
        <f>VLOOKUP($G60, SeanRanks!$A$2:$H$303, 5, FALSE)</f>
        <v>#N/A</v>
      </c>
      <c r="K60" s="11" t="e">
        <f>IF(VLOOKUP($G60, SeanRanks!$A$2:$H$303, 6, FALSE)=0, "", VLOOKUP($G60, SeanRanks!$A$2:$H$303, 6, FALSE))</f>
        <v>#N/A</v>
      </c>
      <c r="L60" s="11">
        <f t="shared" si="4"/>
        <v>16</v>
      </c>
      <c r="M60" s="11" t="e">
        <f>VLOOKUP($G60, 'ADP Data'!$C$4:$Q$300, 9, FALSE)</f>
        <v>#N/A</v>
      </c>
      <c r="N60" s="11" t="e">
        <f t="shared" si="5"/>
        <v>#N/A</v>
      </c>
      <c r="O60" s="11" t="e">
        <f>VLOOKUP($G60, 'ADP Data'!$C$4:$Q$300, 3, FALSE)</f>
        <v>#N/A</v>
      </c>
      <c r="P60" s="11" t="e">
        <f t="shared" si="6"/>
        <v>#N/A</v>
      </c>
      <c r="Q60" s="11" t="e">
        <f>VLOOKUP($G60, 'ADP Data'!$C$4:$Q$300, 4, FALSE)</f>
        <v>#N/A</v>
      </c>
      <c r="R60" s="11" t="e">
        <f>VLOOKUP($G60, 'ADP Data'!$C$4:$Q$300, 5, FALSE)</f>
        <v>#N/A</v>
      </c>
      <c r="S60" s="11" t="e">
        <f>VLOOKUP($G60, 'ADP Data'!$C$4:$Q$300, 6, FALSE)</f>
        <v>#N/A</v>
      </c>
      <c r="T60" s="11" t="e">
        <f>VLOOKUP($G60, 'ADP Data'!$C$4:$Q$300, 7, FALSE)</f>
        <v>#N/A</v>
      </c>
      <c r="U60" s="11" t="e">
        <f>VLOOKUP($G60, 'ADP Data'!$C$4:$Q$300, 8, FALSE)</f>
        <v>#N/A</v>
      </c>
      <c r="V60" s="11" t="e">
        <f t="shared" si="7"/>
        <v>#N/A</v>
      </c>
      <c r="W60" s="11">
        <f t="shared" si="8"/>
        <v>16</v>
      </c>
      <c r="X60" s="11">
        <f t="shared" si="9"/>
        <v>-16</v>
      </c>
      <c r="Y60" s="11" t="e">
        <f>VLOOKUP($G60, SeanRanks!$A$2:$K$303, 10, FALSE)-V60</f>
        <v>#N/A</v>
      </c>
      <c r="Z60" s="25" t="e">
        <f>IF(VLOOKUP($G60, SeanRanks!$A$2:$H$303, 7, FALSE)=0, "", VLOOKUP($G60, SeanRanks!$A$2:$H$303, 7, FALSE))</f>
        <v>#N/A</v>
      </c>
    </row>
    <row r="61" spans="1:26" ht="14.25" customHeight="1" x14ac:dyDescent="0.25">
      <c r="A61" s="11"/>
      <c r="B61" s="11">
        <f t="shared" si="3"/>
        <v>6</v>
      </c>
      <c r="C61" s="11" t="s">
        <v>119</v>
      </c>
      <c r="D61" s="11">
        <v>4</v>
      </c>
      <c r="E61" s="11"/>
      <c r="F61" s="11">
        <f>VLOOKUP(G61, SeanRanks!$A$2:$E$302, 4, FALSE)</f>
        <v>0</v>
      </c>
      <c r="G61" s="11" t="s">
        <v>147</v>
      </c>
      <c r="H61" s="11" t="str">
        <f>VLOOKUP($G61, 'ADP Data'!$C$4:$Q$300, 2, FALSE)</f>
        <v>BAL</v>
      </c>
      <c r="I61" s="11">
        <f>VLOOKUP(G61, 'ADP Data'!$C$4:$R$498, 12, FALSE)</f>
        <v>59</v>
      </c>
      <c r="J61" s="45">
        <f>VLOOKUP($G61, SeanRanks!$A$2:$H$303, 5, FALSE)</f>
        <v>0</v>
      </c>
      <c r="K61" s="11" t="str">
        <f>IF(VLOOKUP($G61, SeanRanks!$A$2:$H$303, 6, FALSE)=0, "", VLOOKUP($G61, SeanRanks!$A$2:$H$303, 6, FALSE))</f>
        <v xml:space="preserve">WR3 - 1 - </v>
      </c>
      <c r="L61" s="11">
        <f t="shared" si="4"/>
        <v>5</v>
      </c>
      <c r="M61" s="11">
        <f>VLOOKUP($G61, 'ADP Data'!$C$4:$Q$300, 9, FALSE)</f>
        <v>55</v>
      </c>
      <c r="N61" s="11">
        <f t="shared" si="5"/>
        <v>-7</v>
      </c>
      <c r="O61" s="11">
        <f>VLOOKUP($G61, 'ADP Data'!$C$4:$Q$300, 3, FALSE)</f>
        <v>63</v>
      </c>
      <c r="P61" s="11">
        <f t="shared" si="6"/>
        <v>-8</v>
      </c>
      <c r="Q61" s="11">
        <f>VLOOKUP($G61, 'ADP Data'!$C$4:$Q$300, 4, FALSE)</f>
        <v>55</v>
      </c>
      <c r="R61" s="11">
        <f>VLOOKUP($G61, 'ADP Data'!$C$4:$Q$300, 5, FALSE)</f>
        <v>66</v>
      </c>
      <c r="S61" s="11">
        <f>VLOOKUP($G61, 'ADP Data'!$C$4:$Q$300, 6, FALSE)</f>
        <v>65</v>
      </c>
      <c r="T61" s="11">
        <f>VLOOKUP($G61, 'ADP Data'!$C$4:$Q$300, 7, FALSE)</f>
        <v>57</v>
      </c>
      <c r="U61" s="11">
        <f>VLOOKUP($G61, 'ADP Data'!$C$4:$Q$300, 8, FALSE)</f>
        <v>73</v>
      </c>
      <c r="V61" s="11">
        <f t="shared" si="7"/>
        <v>62</v>
      </c>
      <c r="W61" s="11">
        <f t="shared" si="8"/>
        <v>6</v>
      </c>
      <c r="X61" s="11">
        <f t="shared" si="9"/>
        <v>-2</v>
      </c>
      <c r="Y61" s="11">
        <f>VLOOKUP($G61, SeanRanks!$A$2:$K$303, 10, FALSE)-V61</f>
        <v>-10</v>
      </c>
      <c r="Z61" s="25">
        <f>IF(VLOOKUP($G61, SeanRanks!$A$2:$H$303, 7, FALSE)=0, "", VLOOKUP($G61, SeanRanks!$A$2:$H$303, 7, FALSE))</f>
        <v>27</v>
      </c>
    </row>
    <row r="62" spans="1:26" ht="14.25" customHeight="1" x14ac:dyDescent="0.25">
      <c r="A62" s="11"/>
      <c r="B62" s="11">
        <f t="shared" si="3"/>
        <v>4</v>
      </c>
      <c r="C62" s="11" t="s">
        <v>119</v>
      </c>
      <c r="D62" s="11">
        <v>5</v>
      </c>
      <c r="E62" s="11"/>
      <c r="F62" s="11">
        <f>VLOOKUP(G62, SeanRanks!$A$2:$E$302, 4, FALSE)</f>
        <v>0</v>
      </c>
      <c r="G62" s="11" t="s">
        <v>274</v>
      </c>
      <c r="H62" s="11" t="str">
        <f>VLOOKUP($G62, 'ADP Data'!$C$4:$Q$300, 2, FALSE)</f>
        <v>SF</v>
      </c>
      <c r="I62" s="11">
        <f>VLOOKUP(G62, 'ADP Data'!$C$4:$R$498, 12, FALSE)</f>
        <v>34</v>
      </c>
      <c r="J62" s="47">
        <f>VLOOKUP($G62, SeanRanks!$A$2:$H$303, 5, FALSE)</f>
        <v>0</v>
      </c>
      <c r="K62" s="11" t="str">
        <f>IF(VLOOKUP($G62, SeanRanks!$A$2:$H$303, 6, FALSE)=0, "", VLOOKUP($G62, SeanRanks!$A$2:$H$303, 6, FALSE))</f>
        <v>TE1 - 1 - Elite</v>
      </c>
      <c r="L62" s="11">
        <f t="shared" si="4"/>
        <v>4</v>
      </c>
      <c r="M62" s="11">
        <f>VLOOKUP($G62, 'ADP Data'!$C$4:$Q$300, 9, FALSE)</f>
        <v>38</v>
      </c>
      <c r="N62" s="11">
        <f t="shared" si="5"/>
        <v>1</v>
      </c>
      <c r="O62" s="11">
        <f>VLOOKUP($G62, 'ADP Data'!$C$4:$Q$300, 3, FALSE)</f>
        <v>38</v>
      </c>
      <c r="P62" s="11">
        <f t="shared" si="6"/>
        <v>0</v>
      </c>
      <c r="Q62" s="11">
        <f>VLOOKUP($G62, 'ADP Data'!$C$4:$Q$300, 4, FALSE)</f>
        <v>35</v>
      </c>
      <c r="R62" s="11">
        <f>VLOOKUP($G62, 'ADP Data'!$C$4:$Q$300, 5, FALSE)</f>
        <v>49</v>
      </c>
      <c r="S62" s="11">
        <f>VLOOKUP($G62, 'ADP Data'!$C$4:$Q$300, 6, FALSE)</f>
        <v>24</v>
      </c>
      <c r="T62" s="11">
        <f>VLOOKUP($G62, 'ADP Data'!$C$4:$Q$300, 7, FALSE)</f>
        <v>40</v>
      </c>
      <c r="U62" s="11">
        <f>VLOOKUP($G62, 'ADP Data'!$C$4:$Q$300, 8, FALSE)</f>
        <v>38</v>
      </c>
      <c r="V62" s="11">
        <f t="shared" si="7"/>
        <v>37</v>
      </c>
      <c r="W62" s="11">
        <f t="shared" si="8"/>
        <v>4</v>
      </c>
      <c r="X62" s="11">
        <f t="shared" si="9"/>
        <v>1</v>
      </c>
      <c r="Y62" s="11">
        <f>VLOOKUP($G62, SeanRanks!$A$2:$K$303, 10, FALSE)-V62</f>
        <v>-12</v>
      </c>
      <c r="Z62" s="25">
        <f>IF(VLOOKUP($G62, SeanRanks!$A$2:$H$303, 7, FALSE)=0, "", VLOOKUP($G62, SeanRanks!$A$2:$H$303, 7, FALSE))</f>
        <v>3</v>
      </c>
    </row>
    <row r="63" spans="1:26" ht="14.25" customHeight="1" x14ac:dyDescent="0.25">
      <c r="A63" s="11"/>
      <c r="B63" s="11">
        <f t="shared" si="3"/>
        <v>6</v>
      </c>
      <c r="C63" s="11" t="s">
        <v>119</v>
      </c>
      <c r="D63" s="11">
        <v>4</v>
      </c>
      <c r="E63" s="11"/>
      <c r="F63" s="11">
        <f>VLOOKUP(G63, SeanRanks!$A$2:$E$302, 4, FALSE)</f>
        <v>0</v>
      </c>
      <c r="G63" s="11" t="s">
        <v>118</v>
      </c>
      <c r="H63" s="11" t="str">
        <f>VLOOKUP($G63, 'ADP Data'!$C$4:$Q$300, 2, FALSE)</f>
        <v>DAL</v>
      </c>
      <c r="I63" s="11">
        <f>VLOOKUP(G63, 'ADP Data'!$C$4:$R$498, 12, FALSE)</f>
        <v>45</v>
      </c>
      <c r="J63" s="45" t="str">
        <f>VLOOKUP($G63, SeanRanks!$A$2:$H$303, 5, FALSE)</f>
        <v>Yes</v>
      </c>
      <c r="K63" s="11" t="str">
        <f>IF(VLOOKUP($G63, SeanRanks!$A$2:$H$303, 6, FALSE)=0, "", VLOOKUP($G63, SeanRanks!$A$2:$H$303, 6, FALSE))</f>
        <v>WR2 - 2 - Upside with risk</v>
      </c>
      <c r="L63" s="11">
        <f t="shared" si="4"/>
        <v>6</v>
      </c>
      <c r="M63" s="11">
        <f>VLOOKUP($G63, 'ADP Data'!$C$4:$Q$300, 9, FALSE)</f>
        <v>62</v>
      </c>
      <c r="N63" s="11">
        <f t="shared" si="5"/>
        <v>-1</v>
      </c>
      <c r="O63" s="11">
        <f>VLOOKUP($G63, 'ADP Data'!$C$4:$Q$300, 3, FALSE)</f>
        <v>62</v>
      </c>
      <c r="P63" s="11">
        <f t="shared" si="6"/>
        <v>0</v>
      </c>
      <c r="Q63" s="11">
        <f>VLOOKUP($G63, 'ADP Data'!$C$4:$Q$300, 4, FALSE)</f>
        <v>67</v>
      </c>
      <c r="R63" s="11">
        <f>VLOOKUP($G63, 'ADP Data'!$C$4:$Q$300, 5, FALSE)</f>
        <v>73</v>
      </c>
      <c r="S63" s="11">
        <f>VLOOKUP($G63, 'ADP Data'!$C$4:$Q$300, 6, FALSE)</f>
        <v>54</v>
      </c>
      <c r="T63" s="11">
        <f>VLOOKUP($G63, 'ADP Data'!$C$4:$Q$300, 7, FALSE)</f>
        <v>52</v>
      </c>
      <c r="U63" s="11">
        <f>VLOOKUP($G63, 'ADP Data'!$C$4:$Q$300, 8, FALSE)</f>
        <v>75</v>
      </c>
      <c r="V63" s="11">
        <f t="shared" si="7"/>
        <v>63</v>
      </c>
      <c r="W63" s="11">
        <f t="shared" si="8"/>
        <v>6</v>
      </c>
      <c r="X63" s="11">
        <f t="shared" si="9"/>
        <v>-2</v>
      </c>
      <c r="Y63" s="11">
        <f>VLOOKUP($G63, SeanRanks!$A$2:$K$303, 10, FALSE)-V63</f>
        <v>-16</v>
      </c>
      <c r="Z63" s="25">
        <f>IF(VLOOKUP($G63, SeanRanks!$A$2:$H$303, 7, FALSE)=0, "", VLOOKUP($G63, SeanRanks!$A$2:$H$303, 7, FALSE))</f>
        <v>21</v>
      </c>
    </row>
    <row r="64" spans="1:26" ht="14.25" customHeight="1" x14ac:dyDescent="0.25">
      <c r="A64" s="11"/>
      <c r="B64" s="11">
        <f t="shared" si="3"/>
        <v>3</v>
      </c>
      <c r="C64" s="11" t="s">
        <v>119</v>
      </c>
      <c r="D64" s="11">
        <v>4</v>
      </c>
      <c r="E64" s="11"/>
      <c r="F64" s="11">
        <f>VLOOKUP(G64, SeanRanks!$A$2:$E$302, 4, FALSE)</f>
        <v>0</v>
      </c>
      <c r="G64" s="11" t="s">
        <v>150</v>
      </c>
      <c r="H64" s="11" t="str">
        <f>VLOOKUP($G64, 'ADP Data'!$C$4:$Q$300, 2, FALSE)</f>
        <v>CIN</v>
      </c>
      <c r="I64" s="11">
        <f>VLOOKUP(G64, 'ADP Data'!$C$4:$R$498, 12, FALSE)</f>
        <v>25</v>
      </c>
      <c r="J64" s="26">
        <f>VLOOKUP($G64, SeanRanks!$A$2:$H$303, 5, FALSE)</f>
        <v>0</v>
      </c>
      <c r="K64" s="11" t="str">
        <f>IF(VLOOKUP($G64, SeanRanks!$A$2:$H$303, 6, FALSE)=0, "", VLOOKUP($G64, SeanRanks!$A$2:$H$303, 6, FALSE))</f>
        <v>WR1 - 3 - Inconsistent</v>
      </c>
      <c r="L64" s="11">
        <f t="shared" si="4"/>
        <v>3</v>
      </c>
      <c r="M64" s="11">
        <f>VLOOKUP($G64, 'ADP Data'!$C$4:$Q$300, 9, FALSE)</f>
        <v>31</v>
      </c>
      <c r="N64" s="11">
        <f t="shared" si="5"/>
        <v>1</v>
      </c>
      <c r="O64" s="11">
        <f>VLOOKUP($G64, 'ADP Data'!$C$4:$Q$300, 3, FALSE)</f>
        <v>32</v>
      </c>
      <c r="P64" s="11">
        <f t="shared" si="6"/>
        <v>-1</v>
      </c>
      <c r="Q64" s="11">
        <f>VLOOKUP($G64, 'ADP Data'!$C$4:$Q$300, 4, FALSE)</f>
        <v>26</v>
      </c>
      <c r="R64" s="11">
        <f>VLOOKUP($G64, 'ADP Data'!$C$4:$Q$300, 5, FALSE)</f>
        <v>33</v>
      </c>
      <c r="S64" s="11">
        <f>VLOOKUP($G64, 'ADP Data'!$C$4:$Q$300, 6, FALSE)</f>
        <v>30</v>
      </c>
      <c r="T64" s="11">
        <f>VLOOKUP($G64, 'ADP Data'!$C$4:$Q$300, 7, FALSE)</f>
        <v>29</v>
      </c>
      <c r="U64" s="11">
        <f>VLOOKUP($G64, 'ADP Data'!$C$4:$Q$300, 8, FALSE)</f>
        <v>33</v>
      </c>
      <c r="V64" s="11">
        <f t="shared" si="7"/>
        <v>30</v>
      </c>
      <c r="W64" s="11">
        <f t="shared" si="8"/>
        <v>3</v>
      </c>
      <c r="X64" s="11">
        <f t="shared" si="9"/>
        <v>1</v>
      </c>
      <c r="Y64" s="11">
        <f>VLOOKUP($G64, SeanRanks!$A$2:$K$303, 10, FALSE)-V64</f>
        <v>-1</v>
      </c>
      <c r="Z64" s="25">
        <f>IF(VLOOKUP($G64, SeanRanks!$A$2:$H$303, 7, FALSE)=0, "", VLOOKUP($G64, SeanRanks!$A$2:$H$303, 7, FALSE))</f>
        <v>12</v>
      </c>
    </row>
    <row r="65" spans="1:26" ht="14.25" customHeight="1" x14ac:dyDescent="0.25">
      <c r="A65" s="11"/>
      <c r="B65" s="11">
        <f t="shared" si="3"/>
        <v>12</v>
      </c>
      <c r="C65" s="11" t="s">
        <v>119</v>
      </c>
      <c r="D65" s="11">
        <v>6</v>
      </c>
      <c r="E65" s="11"/>
      <c r="F65" s="11">
        <f>VLOOKUP(G65, SeanRanks!$A$2:$E$302, 4, FALSE)</f>
        <v>0</v>
      </c>
      <c r="G65" s="11" t="s">
        <v>250</v>
      </c>
      <c r="H65" s="11" t="str">
        <f>VLOOKUP($G65, 'ADP Data'!$C$4:$Q$300, 2, FALSE)</f>
        <v>ATL</v>
      </c>
      <c r="I65" s="11">
        <f>VLOOKUP(G65, 'ADP Data'!$C$4:$R$498, 12, FALSE)</f>
        <v>137</v>
      </c>
      <c r="J65" s="49" t="str">
        <f>VLOOKUP($G65, SeanRanks!$A$2:$H$303, 5, FALSE)</f>
        <v>Yes</v>
      </c>
      <c r="K65" s="11" t="str">
        <f>IF(VLOOKUP($G65, SeanRanks!$A$2:$H$303, 6, FALSE)=0, "", VLOOKUP($G65, SeanRanks!$A$2:$H$303, 6, FALSE))</f>
        <v>TE2 - 1 - Big Upside</v>
      </c>
      <c r="L65" s="11">
        <f t="shared" si="4"/>
        <v>11</v>
      </c>
      <c r="M65" s="11">
        <f>VLOOKUP($G65, 'ADP Data'!$C$4:$Q$300, 9, FALSE)</f>
        <v>121</v>
      </c>
      <c r="N65" s="11">
        <f t="shared" si="5"/>
        <v>-15</v>
      </c>
      <c r="O65" s="11">
        <f>VLOOKUP($G65, 'ADP Data'!$C$4:$Q$300, 3, FALSE)</f>
        <v>148</v>
      </c>
      <c r="P65" s="11">
        <f t="shared" si="6"/>
        <v>-27</v>
      </c>
      <c r="Q65" s="11">
        <f>VLOOKUP($G65, 'ADP Data'!$C$4:$Q$300, 4, FALSE)</f>
        <v>141</v>
      </c>
      <c r="R65" s="11">
        <f>VLOOKUP($G65, 'ADP Data'!$C$4:$Q$300, 5, FALSE)</f>
        <v>166</v>
      </c>
      <c r="S65" s="11">
        <f>VLOOKUP($G65, 'ADP Data'!$C$4:$Q$300, 6, FALSE)</f>
        <v>114</v>
      </c>
      <c r="T65" s="11">
        <f>VLOOKUP($G65, 'ADP Data'!$C$4:$Q$300, 7, FALSE)</f>
        <v>136</v>
      </c>
      <c r="U65" s="11">
        <f>VLOOKUP($G65, 'ADP Data'!$C$4:$Q$300, 8, FALSE)</f>
        <v>129</v>
      </c>
      <c r="V65" s="11">
        <f t="shared" si="7"/>
        <v>136</v>
      </c>
      <c r="W65" s="11">
        <f t="shared" si="8"/>
        <v>12</v>
      </c>
      <c r="X65" s="11">
        <f t="shared" si="9"/>
        <v>-6</v>
      </c>
      <c r="Y65" s="11">
        <f>VLOOKUP($G65, SeanRanks!$A$2:$K$303, 10, FALSE)-V65</f>
        <v>23</v>
      </c>
      <c r="Z65" s="25">
        <f>IF(VLOOKUP($G65, SeanRanks!$A$2:$H$303, 7, FALSE)=0, "", VLOOKUP($G65, SeanRanks!$A$2:$H$303, 7, FALSE))</f>
        <v>15</v>
      </c>
    </row>
    <row r="66" spans="1:26" ht="14.25" customHeight="1" x14ac:dyDescent="0.25">
      <c r="A66" s="11"/>
      <c r="B66" s="11">
        <f t="shared" si="3"/>
        <v>6</v>
      </c>
      <c r="C66" s="11" t="s">
        <v>119</v>
      </c>
      <c r="D66" s="11">
        <v>4</v>
      </c>
      <c r="E66" s="11"/>
      <c r="F66" s="11">
        <f>VLOOKUP(G66, SeanRanks!$A$2:$E$302, 4, FALSE)</f>
        <v>0</v>
      </c>
      <c r="G66" s="11" t="s">
        <v>178</v>
      </c>
      <c r="H66" s="11" t="str">
        <f>VLOOKUP($G66, 'ADP Data'!$C$4:$Q$300, 2, FALSE)</f>
        <v>DET</v>
      </c>
      <c r="I66" s="11">
        <f>VLOOKUP(G66, 'ADP Data'!$C$4:$R$498, 12, FALSE)</f>
        <v>74</v>
      </c>
      <c r="J66" s="46">
        <f>VLOOKUP($G66, SeanRanks!$A$2:$H$303, 5, FALSE)</f>
        <v>0</v>
      </c>
      <c r="K66" s="11" t="str">
        <f>IF(VLOOKUP($G66, SeanRanks!$A$2:$H$303, 6, FALSE)=0, "", VLOOKUP($G66, SeanRanks!$A$2:$H$303, 6, FALSE))</f>
        <v>RB2 - 2 - Path to spikes</v>
      </c>
      <c r="L66" s="11">
        <f t="shared" si="4"/>
        <v>5</v>
      </c>
      <c r="M66" s="11">
        <f>VLOOKUP($G66, 'ADP Data'!$C$4:$Q$300, 9, FALSE)</f>
        <v>52</v>
      </c>
      <c r="N66" s="11">
        <f t="shared" si="5"/>
        <v>-11</v>
      </c>
      <c r="O66" s="11">
        <f>VLOOKUP($G66, 'ADP Data'!$C$4:$Q$300, 3, FALSE)</f>
        <v>57</v>
      </c>
      <c r="P66" s="11">
        <f t="shared" si="6"/>
        <v>-5</v>
      </c>
      <c r="Q66" s="11">
        <f>VLOOKUP($G66, 'ADP Data'!$C$4:$Q$300, 4, FALSE)</f>
        <v>59</v>
      </c>
      <c r="R66" s="11">
        <f>VLOOKUP($G66, 'ADP Data'!$C$4:$Q$300, 5, FALSE)</f>
        <v>74</v>
      </c>
      <c r="S66" s="11">
        <f>VLOOKUP($G66, 'ADP Data'!$C$4:$Q$300, 6, FALSE)</f>
        <v>68</v>
      </c>
      <c r="T66" s="11">
        <f>VLOOKUP($G66, 'ADP Data'!$C$4:$Q$300, 7, FALSE)</f>
        <v>70</v>
      </c>
      <c r="U66" s="11">
        <f>VLOOKUP($G66, 'ADP Data'!$C$4:$Q$300, 8, FALSE)</f>
        <v>67</v>
      </c>
      <c r="V66" s="11">
        <f t="shared" si="7"/>
        <v>63</v>
      </c>
      <c r="W66" s="11">
        <f t="shared" si="8"/>
        <v>6</v>
      </c>
      <c r="X66" s="11">
        <f t="shared" si="9"/>
        <v>-2</v>
      </c>
      <c r="Y66" s="11">
        <f>VLOOKUP($G66, SeanRanks!$A$2:$K$303, 10, FALSE)-V66</f>
        <v>-2</v>
      </c>
      <c r="Z66" s="25">
        <f>IF(VLOOKUP($G66, SeanRanks!$A$2:$H$303, 7, FALSE)=0, "", VLOOKUP($G66, SeanRanks!$A$2:$H$303, 7, FALSE))</f>
        <v>21</v>
      </c>
    </row>
    <row r="67" spans="1:26" ht="14.25" customHeight="1" x14ac:dyDescent="0.25">
      <c r="A67" s="11"/>
      <c r="B67" s="11">
        <f t="shared" si="3"/>
        <v>5</v>
      </c>
      <c r="C67" s="11" t="s">
        <v>119</v>
      </c>
      <c r="D67" s="11">
        <v>5</v>
      </c>
      <c r="E67" s="11" t="s">
        <v>243</v>
      </c>
      <c r="F67" s="11">
        <f>VLOOKUP(G67, SeanRanks!$A$2:$E$302, 4, FALSE)</f>
        <v>0</v>
      </c>
      <c r="G67" s="11" t="s">
        <v>562</v>
      </c>
      <c r="H67" s="11" t="str">
        <f>VLOOKUP($G67, 'ADP Data'!$C$4:$Q$300, 2, FALSE)</f>
        <v>ARI</v>
      </c>
      <c r="I67" s="11">
        <f>VLOOKUP(G67, 'ADP Data'!$C$4:$R$498, 12, FALSE)</f>
        <v>61</v>
      </c>
      <c r="J67" s="46">
        <f>VLOOKUP($G67, SeanRanks!$A$2:$H$303, 5, FALSE)</f>
        <v>0</v>
      </c>
      <c r="K67" s="11" t="str">
        <f>IF(VLOOKUP($G67, SeanRanks!$A$2:$H$303, 6, FALSE)=0, "", VLOOKUP($G67, SeanRanks!$A$2:$H$303, 6, FALSE))</f>
        <v>RB2 - 1 - Clear path to spikes</v>
      </c>
      <c r="L67" s="11">
        <f t="shared" si="4"/>
        <v>4</v>
      </c>
      <c r="M67" s="11">
        <f>VLOOKUP($G67, 'ADP Data'!$C$4:$Q$300, 9, FALSE)</f>
        <v>47</v>
      </c>
      <c r="N67" s="11">
        <f t="shared" si="5"/>
        <v>-3</v>
      </c>
      <c r="O67" s="11">
        <f>VLOOKUP($G67, 'ADP Data'!$C$4:$Q$300, 3, FALSE)</f>
        <v>42</v>
      </c>
      <c r="P67" s="11">
        <f t="shared" si="6"/>
        <v>5</v>
      </c>
      <c r="Q67" s="11">
        <f>VLOOKUP($G67, 'ADP Data'!$C$4:$Q$300, 4, FALSE)</f>
        <v>46</v>
      </c>
      <c r="R67" s="11">
        <f>VLOOKUP($G67, 'ADP Data'!$C$4:$Q$300, 5, FALSE)</f>
        <v>65</v>
      </c>
      <c r="S67" s="11">
        <f>VLOOKUP($G67, 'ADP Data'!$C$4:$Q$300, 6, FALSE)</f>
        <v>49</v>
      </c>
      <c r="T67" s="11">
        <f>VLOOKUP($G67, 'ADP Data'!$C$4:$Q$300, 7, FALSE)</f>
        <v>55</v>
      </c>
      <c r="U67" s="11">
        <f>VLOOKUP($G67, 'ADP Data'!$C$4:$Q$300, 8, FALSE)</f>
        <v>49</v>
      </c>
      <c r="V67" s="11">
        <f t="shared" si="7"/>
        <v>50</v>
      </c>
      <c r="W67" s="11">
        <f t="shared" si="8"/>
        <v>5</v>
      </c>
      <c r="X67" s="11">
        <f t="shared" si="9"/>
        <v>0</v>
      </c>
      <c r="Y67" s="11">
        <f>VLOOKUP($G67, SeanRanks!$A$2:$K$303, 10, FALSE)-V67</f>
        <v>-6</v>
      </c>
      <c r="Z67" s="25">
        <f>IF(VLOOKUP($G67, SeanRanks!$A$2:$H$303, 7, FALSE)=0, "", VLOOKUP($G67, SeanRanks!$A$2:$H$303, 7, FALSE))</f>
        <v>19</v>
      </c>
    </row>
    <row r="68" spans="1:26" ht="14.25" customHeight="1" x14ac:dyDescent="0.25">
      <c r="A68" s="11"/>
      <c r="B68" s="11">
        <f t="shared" si="3"/>
        <v>7</v>
      </c>
      <c r="C68" s="11" t="s">
        <v>119</v>
      </c>
      <c r="D68" s="11">
        <v>5</v>
      </c>
      <c r="E68" s="11"/>
      <c r="F68" s="11">
        <f>VLOOKUP(G68, SeanRanks!$A$2:$E$302, 4, FALSE)</f>
        <v>0</v>
      </c>
      <c r="G68" s="11" t="s">
        <v>338</v>
      </c>
      <c r="H68" s="11" t="str">
        <f>VLOOKUP($G68, 'ADP Data'!$C$4:$Q$300, 2, FALSE)</f>
        <v>MIN</v>
      </c>
      <c r="I68" s="11">
        <f>VLOOKUP(G68, 'ADP Data'!$C$4:$R$498, 12, FALSE)</f>
        <v>75</v>
      </c>
      <c r="J68" s="44">
        <f>VLOOKUP($G68, SeanRanks!$A$2:$H$303, 5, FALSE)</f>
        <v>0</v>
      </c>
      <c r="K68" s="11" t="str">
        <f>IF(VLOOKUP($G68, SeanRanks!$A$2:$H$303, 6, FALSE)=0, "", VLOOKUP($G68, SeanRanks!$A$2:$H$303, 6, FALSE))</f>
        <v>RB2 - 2 - Path to spikes</v>
      </c>
      <c r="L68" s="11">
        <f t="shared" si="4"/>
        <v>6</v>
      </c>
      <c r="M68" s="11">
        <f>VLOOKUP($G68, 'ADP Data'!$C$4:$Q$300, 9, FALSE)</f>
        <v>65</v>
      </c>
      <c r="N68" s="11">
        <f t="shared" si="5"/>
        <v>-4</v>
      </c>
      <c r="O68" s="11">
        <f>VLOOKUP($G68, 'ADP Data'!$C$4:$Q$300, 3, FALSE)</f>
        <v>56</v>
      </c>
      <c r="P68" s="11">
        <f t="shared" si="6"/>
        <v>9</v>
      </c>
      <c r="Q68" s="11">
        <f>VLOOKUP($G68, 'ADP Data'!$C$4:$Q$300, 4, FALSE)</f>
        <v>70</v>
      </c>
      <c r="R68" s="11">
        <f>VLOOKUP($G68, 'ADP Data'!$C$4:$Q$300, 5, FALSE)</f>
        <v>76</v>
      </c>
      <c r="S68" s="11">
        <f>VLOOKUP($G68, 'ADP Data'!$C$4:$Q$300, 6, FALSE)</f>
        <v>70</v>
      </c>
      <c r="T68" s="11">
        <f>VLOOKUP($G68, 'ADP Data'!$C$4:$Q$300, 7, FALSE)</f>
        <v>74</v>
      </c>
      <c r="U68" s="11">
        <f>VLOOKUP($G68, 'ADP Data'!$C$4:$Q$300, 8, FALSE)</f>
        <v>77</v>
      </c>
      <c r="V68" s="11">
        <f t="shared" si="7"/>
        <v>69</v>
      </c>
      <c r="W68" s="11">
        <f t="shared" si="8"/>
        <v>6</v>
      </c>
      <c r="X68" s="11">
        <f t="shared" si="9"/>
        <v>-1</v>
      </c>
      <c r="Y68" s="11">
        <f>VLOOKUP($G68, SeanRanks!$A$2:$K$303, 10, FALSE)-V68</f>
        <v>1</v>
      </c>
      <c r="Z68" s="25">
        <f>IF(VLOOKUP($G68, SeanRanks!$A$2:$H$303, 7, FALSE)=0, "", VLOOKUP($G68, SeanRanks!$A$2:$H$303, 7, FALSE))</f>
        <v>25</v>
      </c>
    </row>
    <row r="69" spans="1:26" ht="14.25" customHeight="1" x14ac:dyDescent="0.25">
      <c r="A69" s="11"/>
      <c r="B69" s="11">
        <f t="shared" si="3"/>
        <v>4</v>
      </c>
      <c r="C69" s="11" t="s">
        <v>119</v>
      </c>
      <c r="D69" s="11">
        <v>6</v>
      </c>
      <c r="E69" s="11"/>
      <c r="F69" s="11">
        <f>VLOOKUP(G69, SeanRanks!$A$2:$E$302, 4, FALSE)</f>
        <v>0</v>
      </c>
      <c r="G69" s="11" t="s">
        <v>211</v>
      </c>
      <c r="H69" s="11" t="str">
        <f>VLOOKUP($G69, 'ADP Data'!$C$4:$Q$300, 2, FALSE)</f>
        <v>CIN</v>
      </c>
      <c r="I69" s="11">
        <f>VLOOKUP(G69, 'ADP Data'!$C$4:$R$498, 12, FALSE)</f>
        <v>53</v>
      </c>
      <c r="J69" s="48">
        <f>VLOOKUP($G69, SeanRanks!$A$2:$H$303, 5, FALSE)</f>
        <v>0</v>
      </c>
      <c r="K69" s="11" t="str">
        <f>IF(VLOOKUP($G69, SeanRanks!$A$2:$H$303, 6, FALSE)=0, "", VLOOKUP($G69, SeanRanks!$A$2:$H$303, 6, FALSE))</f>
        <v>QB1 - 2 - QB1 Upside</v>
      </c>
      <c r="L69" s="11">
        <f t="shared" si="4"/>
        <v>4</v>
      </c>
      <c r="M69" s="11">
        <f>VLOOKUP($G69, 'ADP Data'!$C$4:$Q$300, 9, FALSE)</f>
        <v>41</v>
      </c>
      <c r="N69" s="11">
        <f t="shared" si="5"/>
        <v>5</v>
      </c>
      <c r="O69" s="11">
        <f>VLOOKUP($G69, 'ADP Data'!$C$4:$Q$300, 3, FALSE)</f>
        <v>25</v>
      </c>
      <c r="P69" s="11">
        <f t="shared" si="6"/>
        <v>16</v>
      </c>
      <c r="Q69" s="11">
        <f>VLOOKUP($G69, 'ADP Data'!$C$4:$Q$300, 4, FALSE)</f>
        <v>33</v>
      </c>
      <c r="R69" s="11">
        <f>VLOOKUP($G69, 'ADP Data'!$C$4:$Q$300, 5, FALSE)</f>
        <v>45</v>
      </c>
      <c r="S69" s="11">
        <f>VLOOKUP($G69, 'ADP Data'!$C$4:$Q$300, 6, FALSE)</f>
        <v>45</v>
      </c>
      <c r="T69" s="11">
        <f>VLOOKUP($G69, 'ADP Data'!$C$4:$Q$300, 7, FALSE)</f>
        <v>32</v>
      </c>
      <c r="U69" s="11">
        <f>VLOOKUP($G69, 'ADP Data'!$C$4:$Q$300, 8, FALSE)</f>
        <v>35</v>
      </c>
      <c r="V69" s="11">
        <f t="shared" si="7"/>
        <v>36</v>
      </c>
      <c r="W69" s="11">
        <f t="shared" si="8"/>
        <v>4</v>
      </c>
      <c r="X69" s="11">
        <f t="shared" si="9"/>
        <v>2</v>
      </c>
      <c r="Y69" s="11">
        <f>VLOOKUP($G69, SeanRanks!$A$2:$K$303, 10, FALSE)-V69</f>
        <v>17</v>
      </c>
      <c r="Z69" s="25">
        <f>IF(VLOOKUP($G69, SeanRanks!$A$2:$H$303, 7, FALSE)=0, "", VLOOKUP($G69, SeanRanks!$A$2:$H$303, 7, FALSE))</f>
        <v>5</v>
      </c>
    </row>
    <row r="70" spans="1:26" ht="14.25" customHeight="1" x14ac:dyDescent="0.25">
      <c r="A70" s="11"/>
      <c r="B70" s="11">
        <f t="shared" si="3"/>
        <v>6</v>
      </c>
      <c r="C70" s="11" t="s">
        <v>119</v>
      </c>
      <c r="D70" s="11">
        <v>4</v>
      </c>
      <c r="E70" s="11"/>
      <c r="F70" s="11">
        <f>VLOOKUP(G70, SeanRanks!$A$2:$E$302, 4, FALSE)</f>
        <v>0</v>
      </c>
      <c r="G70" s="11" t="s">
        <v>133</v>
      </c>
      <c r="H70" s="11" t="str">
        <f>VLOOKUP($G70, 'ADP Data'!$C$4:$Q$300, 2, FALSE)</f>
        <v>KC</v>
      </c>
      <c r="I70" s="11">
        <f>VLOOKUP(G70, 'ADP Data'!$C$4:$R$498, 12, FALSE)</f>
        <v>70</v>
      </c>
      <c r="J70" s="45" t="str">
        <f>VLOOKUP($G70, SeanRanks!$A$2:$H$303, 5, FALSE)</f>
        <v>Yes</v>
      </c>
      <c r="K70" s="11" t="str">
        <f>IF(VLOOKUP($G70, SeanRanks!$A$2:$H$303, 6, FALSE)=0, "", VLOOKUP($G70, SeanRanks!$A$2:$H$303, 6, FALSE))</f>
        <v xml:space="preserve">WR3 - 1 - </v>
      </c>
      <c r="L70" s="11">
        <f t="shared" si="4"/>
        <v>5</v>
      </c>
      <c r="M70" s="11">
        <f>VLOOKUP($G70, 'ADP Data'!$C$4:$Q$300, 9, FALSE)</f>
        <v>49</v>
      </c>
      <c r="N70" s="11">
        <f t="shared" si="5"/>
        <v>-19</v>
      </c>
      <c r="O70" s="11">
        <f>VLOOKUP($G70, 'ADP Data'!$C$4:$Q$300, 3, FALSE)</f>
        <v>84</v>
      </c>
      <c r="P70" s="11">
        <f t="shared" si="6"/>
        <v>-35</v>
      </c>
      <c r="Q70" s="11">
        <f>VLOOKUP($G70, 'ADP Data'!$C$4:$Q$300, 4, FALSE)</f>
        <v>71</v>
      </c>
      <c r="R70" s="11">
        <f>VLOOKUP($G70, 'ADP Data'!$C$4:$Q$300, 5, FALSE)</f>
        <v>98</v>
      </c>
      <c r="S70" s="11">
        <f>VLOOKUP($G70, 'ADP Data'!$C$4:$Q$300, 6, FALSE)</f>
        <v>72</v>
      </c>
      <c r="T70" s="11">
        <f>VLOOKUP($G70, 'ADP Data'!$C$4:$Q$300, 7, FALSE)</f>
        <v>60</v>
      </c>
      <c r="U70" s="11">
        <f>VLOOKUP($G70, 'ADP Data'!$C$4:$Q$300, 8, FALSE)</f>
        <v>47</v>
      </c>
      <c r="V70" s="11">
        <f t="shared" si="7"/>
        <v>68</v>
      </c>
      <c r="W70" s="11">
        <f t="shared" si="8"/>
        <v>6</v>
      </c>
      <c r="X70" s="11">
        <f t="shared" si="9"/>
        <v>-2</v>
      </c>
      <c r="Y70" s="11">
        <f>VLOOKUP($G70, SeanRanks!$A$2:$K$303, 10, FALSE)-V70</f>
        <v>6</v>
      </c>
      <c r="Z70" s="25">
        <f>IF(VLOOKUP($G70, SeanRanks!$A$2:$H$303, 7, FALSE)=0, "", VLOOKUP($G70, SeanRanks!$A$2:$H$303, 7, FALSE))</f>
        <v>29</v>
      </c>
    </row>
    <row r="71" spans="1:26" ht="14.25" customHeight="1" x14ac:dyDescent="0.25">
      <c r="A71" s="11"/>
      <c r="B71" s="11">
        <f t="shared" si="3"/>
        <v>8</v>
      </c>
      <c r="C71" s="11" t="s">
        <v>119</v>
      </c>
      <c r="D71" s="11">
        <v>5</v>
      </c>
      <c r="E71" s="11"/>
      <c r="F71" s="11">
        <f>VLOOKUP(G71, SeanRanks!$A$2:$E$302, 4, FALSE)</f>
        <v>0</v>
      </c>
      <c r="G71" s="11" t="s">
        <v>355</v>
      </c>
      <c r="H71" s="11" t="str">
        <f>VLOOKUP($G71, 'ADP Data'!$C$4:$Q$300, 2, FALSE)</f>
        <v>ARI</v>
      </c>
      <c r="I71" s="11">
        <f>VLOOKUP(G71, 'ADP Data'!$C$4:$R$498, 12, FALSE)</f>
        <v>104</v>
      </c>
      <c r="J71" s="48">
        <f>VLOOKUP($G71, SeanRanks!$A$2:$H$303, 5, FALSE)</f>
        <v>0</v>
      </c>
      <c r="K71" s="11" t="str">
        <f>IF(VLOOKUP($G71, SeanRanks!$A$2:$H$303, 6, FALSE)=0, "", VLOOKUP($G71, SeanRanks!$A$2:$H$303, 6, FALSE))</f>
        <v>QB1 - 3 - Top 5 Ceiling</v>
      </c>
      <c r="L71" s="11">
        <f t="shared" si="4"/>
        <v>8</v>
      </c>
      <c r="M71" s="11">
        <f>VLOOKUP($G71, 'ADP Data'!$C$4:$Q$300, 9, FALSE)</f>
        <v>91</v>
      </c>
      <c r="N71" s="11">
        <f t="shared" si="5"/>
        <v>0</v>
      </c>
      <c r="O71" s="11">
        <f>VLOOKUP($G71, 'ADP Data'!$C$4:$Q$300, 3, FALSE)</f>
        <v>82</v>
      </c>
      <c r="P71" s="11">
        <f t="shared" si="6"/>
        <v>9</v>
      </c>
      <c r="Q71" s="11">
        <f>VLOOKUP($G71, 'ADP Data'!$C$4:$Q$300, 4, FALSE)</f>
        <v>77</v>
      </c>
      <c r="R71" s="11">
        <f>VLOOKUP($G71, 'ADP Data'!$C$4:$Q$300, 5, FALSE)</f>
        <v>101</v>
      </c>
      <c r="S71" s="11">
        <f>VLOOKUP($G71, 'ADP Data'!$C$4:$Q$300, 6, FALSE)</f>
        <v>105</v>
      </c>
      <c r="T71" s="11">
        <f>VLOOKUP($G71, 'ADP Data'!$C$4:$Q$300, 7, FALSE)</f>
        <v>104</v>
      </c>
      <c r="U71" s="11">
        <f>VLOOKUP($G71, 'ADP Data'!$C$4:$Q$300, 8, FALSE)</f>
        <v>81</v>
      </c>
      <c r="V71" s="11">
        <f t="shared" si="7"/>
        <v>91</v>
      </c>
      <c r="W71" s="11">
        <f t="shared" si="8"/>
        <v>8</v>
      </c>
      <c r="X71" s="11">
        <f t="shared" si="9"/>
        <v>-3</v>
      </c>
      <c r="Y71" s="11">
        <f>VLOOKUP($G71, SeanRanks!$A$2:$K$303, 10, FALSE)-V71</f>
        <v>7</v>
      </c>
      <c r="Z71" s="25">
        <f>IF(VLOOKUP($G71, SeanRanks!$A$2:$H$303, 7, FALSE)=0, "", VLOOKUP($G71, SeanRanks!$A$2:$H$303, 7, FALSE))</f>
        <v>8</v>
      </c>
    </row>
    <row r="72" spans="1:26" ht="14.25" customHeight="1" x14ac:dyDescent="0.25">
      <c r="A72" s="11"/>
      <c r="B72" s="11">
        <f t="shared" si="3"/>
        <v>8</v>
      </c>
      <c r="C72" s="11" t="s">
        <v>119</v>
      </c>
      <c r="D72" s="11">
        <v>7</v>
      </c>
      <c r="E72" s="11"/>
      <c r="F72" s="11">
        <f>VLOOKUP(G72, SeanRanks!$A$2:$E$302, 4, FALSE)</f>
        <v>0</v>
      </c>
      <c r="G72" s="11" t="s">
        <v>648</v>
      </c>
      <c r="H72" s="11" t="str">
        <f>VLOOKUP($G72, 'ADP Data'!$C$4:$Q$300, 2, FALSE)</f>
        <v>DEN</v>
      </c>
      <c r="I72" s="11">
        <f>VLOOKUP(G72, 'ADP Data'!$C$4:$R$498, 12, FALSE)</f>
        <v>100</v>
      </c>
      <c r="J72" s="49" t="str">
        <f>VLOOKUP($G72, SeanRanks!$A$2:$H$303, 5, FALSE)</f>
        <v>No</v>
      </c>
      <c r="K72" s="11" t="str">
        <f>IF(VLOOKUP($G72, SeanRanks!$A$2:$H$303, 6, FALSE)=0, "", VLOOKUP($G72, SeanRanks!$A$2:$H$303, 6, FALSE))</f>
        <v>TE1 - 3 - Weekly Start</v>
      </c>
      <c r="L72" s="11">
        <f t="shared" si="4"/>
        <v>8</v>
      </c>
      <c r="M72" s="11">
        <f>VLOOKUP($G72, 'ADP Data'!$C$4:$Q$300, 9, FALSE)</f>
        <v>87</v>
      </c>
      <c r="N72" s="11">
        <f t="shared" si="5"/>
        <v>0</v>
      </c>
      <c r="O72" s="11">
        <f>VLOOKUP($G72, 'ADP Data'!$C$4:$Q$300, 3, FALSE)</f>
        <v>97</v>
      </c>
      <c r="P72" s="11">
        <f t="shared" si="6"/>
        <v>-10</v>
      </c>
      <c r="Q72" s="11">
        <f>VLOOKUP($G72, 'ADP Data'!$C$4:$Q$300, 4, FALSE)</f>
        <v>78</v>
      </c>
      <c r="R72" s="11">
        <f>VLOOKUP($G72, 'ADP Data'!$C$4:$Q$300, 5, FALSE)</f>
        <v>103</v>
      </c>
      <c r="S72" s="11">
        <f>VLOOKUP($G72, 'ADP Data'!$C$4:$Q$300, 6, FALSE)</f>
        <v>75</v>
      </c>
      <c r="T72" s="11">
        <f>VLOOKUP($G72, 'ADP Data'!$C$4:$Q$300, 7, FALSE)</f>
        <v>95</v>
      </c>
      <c r="U72" s="11">
        <f>VLOOKUP($G72, 'ADP Data'!$C$4:$Q$300, 8, FALSE)</f>
        <v>74</v>
      </c>
      <c r="V72" s="11">
        <f t="shared" si="7"/>
        <v>87</v>
      </c>
      <c r="W72" s="11">
        <f t="shared" si="8"/>
        <v>8</v>
      </c>
      <c r="X72" s="11">
        <f t="shared" si="9"/>
        <v>-1</v>
      </c>
      <c r="Y72" s="11">
        <f>VLOOKUP($G72, SeanRanks!$A$2:$K$303, 10, FALSE)-V72</f>
        <v>5</v>
      </c>
      <c r="Z72" s="25">
        <f>IF(VLOOKUP($G72, SeanRanks!$A$2:$H$303, 7, FALSE)=0, "", VLOOKUP($G72, SeanRanks!$A$2:$H$303, 7, FALSE))</f>
        <v>8</v>
      </c>
    </row>
    <row r="73" spans="1:26" ht="14.25" customHeight="1" x14ac:dyDescent="0.25">
      <c r="A73" s="11" t="s">
        <v>148</v>
      </c>
      <c r="B73" s="11">
        <f t="shared" si="3"/>
        <v>4</v>
      </c>
      <c r="C73" s="11" t="s">
        <v>119</v>
      </c>
      <c r="D73" s="11">
        <v>4</v>
      </c>
      <c r="E73" s="11"/>
      <c r="F73" s="11">
        <f>VLOOKUP(G73, SeanRanks!$A$2:$E$302, 4, FALSE)</f>
        <v>0</v>
      </c>
      <c r="G73" s="11" t="s">
        <v>183</v>
      </c>
      <c r="H73" s="11" t="str">
        <f>VLOOKUP($G73, 'ADP Data'!$C$4:$Q$300, 2, FALSE)</f>
        <v>WAS</v>
      </c>
      <c r="I73" s="11">
        <f>VLOOKUP(G73, 'ADP Data'!$C$4:$R$498, 12, FALSE)</f>
        <v>40</v>
      </c>
      <c r="J73" s="45">
        <f>VLOOKUP($G73, SeanRanks!$A$2:$H$303, 5, FALSE)</f>
        <v>0</v>
      </c>
      <c r="K73" s="11" t="str">
        <f>IF(VLOOKUP($G73, SeanRanks!$A$2:$H$303, 6, FALSE)=0, "", VLOOKUP($G73, SeanRanks!$A$2:$H$303, 6, FALSE))</f>
        <v>WR2 - 2 - Upside with risk</v>
      </c>
      <c r="L73" s="11">
        <f t="shared" si="4"/>
        <v>4</v>
      </c>
      <c r="M73" s="11">
        <f>VLOOKUP($G73, 'ADP Data'!$C$4:$Q$300, 9, FALSE)</f>
        <v>42</v>
      </c>
      <c r="N73" s="11">
        <f t="shared" si="5"/>
        <v>0</v>
      </c>
      <c r="O73" s="11">
        <f>VLOOKUP($G73, 'ADP Data'!$C$4:$Q$300, 3, FALSE)</f>
        <v>45</v>
      </c>
      <c r="P73" s="11">
        <f t="shared" si="6"/>
        <v>-3</v>
      </c>
      <c r="Q73" s="11">
        <f>VLOOKUP($G73, 'ADP Data'!$C$4:$Q$300, 4, FALSE)</f>
        <v>36</v>
      </c>
      <c r="R73" s="11">
        <f>VLOOKUP($G73, 'ADP Data'!$C$4:$Q$300, 5, FALSE)</f>
        <v>56</v>
      </c>
      <c r="S73" s="11">
        <f>VLOOKUP($G73, 'ADP Data'!$C$4:$Q$300, 6, FALSE)</f>
        <v>46</v>
      </c>
      <c r="T73" s="11">
        <f>VLOOKUP($G73, 'ADP Data'!$C$4:$Q$300, 7, FALSE)</f>
        <v>44</v>
      </c>
      <c r="U73" s="11">
        <f>VLOOKUP($G73, 'ADP Data'!$C$4:$Q$300, 8, FALSE)</f>
        <v>28</v>
      </c>
      <c r="V73" s="11">
        <f t="shared" si="7"/>
        <v>42</v>
      </c>
      <c r="W73" s="11">
        <f t="shared" si="8"/>
        <v>4</v>
      </c>
      <c r="X73" s="11">
        <f t="shared" si="9"/>
        <v>0</v>
      </c>
      <c r="Y73" s="11">
        <f>VLOOKUP($G73, SeanRanks!$A$2:$K$303, 10, FALSE)-V73</f>
        <v>-6</v>
      </c>
      <c r="Z73" s="25">
        <f>IF(VLOOKUP($G73, SeanRanks!$A$2:$H$303, 7, FALSE)=0, "", VLOOKUP($G73, SeanRanks!$A$2:$H$303, 7, FALSE))</f>
        <v>17</v>
      </c>
    </row>
    <row r="74" spans="1:26" ht="14.25" customHeight="1" x14ac:dyDescent="0.25">
      <c r="A74" s="11"/>
      <c r="B74" s="11">
        <f t="shared" si="3"/>
        <v>6</v>
      </c>
      <c r="C74" s="11" t="s">
        <v>119</v>
      </c>
      <c r="D74" s="11">
        <v>6</v>
      </c>
      <c r="E74" s="11"/>
      <c r="F74" s="11">
        <f>VLOOKUP(G74, SeanRanks!$A$2:$E$302, 4, FALSE)</f>
        <v>0</v>
      </c>
      <c r="G74" s="11" t="s">
        <v>478</v>
      </c>
      <c r="H74" s="11" t="str">
        <f>VLOOKUP($G74, 'ADP Data'!$C$4:$Q$300, 2, FALSE)</f>
        <v>TEN</v>
      </c>
      <c r="I74" s="11">
        <f>VLOOKUP(G74, 'ADP Data'!$C$4:$R$498, 12, FALSE)</f>
        <v>51</v>
      </c>
      <c r="J74" s="45" t="str">
        <f>VLOOKUP($G74, SeanRanks!$A$2:$H$303, 5, FALSE)</f>
        <v>Yes</v>
      </c>
      <c r="K74" s="11" t="str">
        <f>IF(VLOOKUP($G74, SeanRanks!$A$2:$H$303, 6, FALSE)=0, "", VLOOKUP($G74, SeanRanks!$A$2:$H$303, 6, FALSE))</f>
        <v xml:space="preserve">WR3 - 1 - </v>
      </c>
      <c r="L74" s="11">
        <f t="shared" si="4"/>
        <v>7</v>
      </c>
      <c r="M74" s="11">
        <f>VLOOKUP($G74, 'ADP Data'!$C$4:$Q$300, 9, FALSE)</f>
        <v>72</v>
      </c>
      <c r="N74" s="11">
        <f t="shared" si="5"/>
        <v>8</v>
      </c>
      <c r="O74" s="11">
        <f>VLOOKUP($G74, 'ADP Data'!$C$4:$Q$300, 3, FALSE)</f>
        <v>67</v>
      </c>
      <c r="P74" s="11">
        <f t="shared" si="6"/>
        <v>5</v>
      </c>
      <c r="Q74" s="11">
        <f>VLOOKUP($G74, 'ADP Data'!$C$4:$Q$300, 4, FALSE)</f>
        <v>60</v>
      </c>
      <c r="R74" s="11">
        <f>VLOOKUP($G74, 'ADP Data'!$C$4:$Q$300, 5, FALSE)</f>
        <v>72</v>
      </c>
      <c r="S74" s="11">
        <f>VLOOKUP($G74, 'ADP Data'!$C$4:$Q$300, 6, FALSE)</f>
        <v>59</v>
      </c>
      <c r="T74" s="11">
        <f>VLOOKUP($G74, 'ADP Data'!$C$4:$Q$300, 7, FALSE)</f>
        <v>54</v>
      </c>
      <c r="U74" s="11">
        <f>VLOOKUP($G74, 'ADP Data'!$C$4:$Q$300, 8, FALSE)</f>
        <v>66</v>
      </c>
      <c r="V74" s="11">
        <f t="shared" si="7"/>
        <v>64</v>
      </c>
      <c r="W74" s="11">
        <f t="shared" si="8"/>
        <v>6</v>
      </c>
      <c r="X74" s="11">
        <f t="shared" si="9"/>
        <v>0</v>
      </c>
      <c r="Y74" s="11">
        <f>VLOOKUP($G74, SeanRanks!$A$2:$K$303, 10, FALSE)-V74</f>
        <v>-6</v>
      </c>
      <c r="Z74" s="25">
        <f>IF(VLOOKUP($G74, SeanRanks!$A$2:$H$303, 7, FALSE)=0, "", VLOOKUP($G74, SeanRanks!$A$2:$H$303, 7, FALSE))</f>
        <v>25</v>
      </c>
    </row>
    <row r="75" spans="1:26" ht="14.25" customHeight="1" x14ac:dyDescent="0.25">
      <c r="A75" s="11"/>
      <c r="B75" s="11">
        <f t="shared" si="3"/>
        <v>11</v>
      </c>
      <c r="C75" s="11" t="s">
        <v>119</v>
      </c>
      <c r="D75" s="11">
        <v>6</v>
      </c>
      <c r="E75" s="11"/>
      <c r="F75" s="11">
        <f>VLOOKUP(G75, SeanRanks!$A$2:$E$302, 4, FALSE)</f>
        <v>0</v>
      </c>
      <c r="G75" s="11" t="s">
        <v>222</v>
      </c>
      <c r="H75" s="11" t="str">
        <f>VLOOKUP($G75, 'ADP Data'!$C$4:$Q$300, 2, FALSE)</f>
        <v>NE</v>
      </c>
      <c r="I75" s="11">
        <f>VLOOKUP(G75, 'ADP Data'!$C$4:$R$498, 12, FALSE)</f>
        <v>135</v>
      </c>
      <c r="J75" s="44">
        <f>VLOOKUP($G75, SeanRanks!$A$2:$H$303, 5, FALSE)</f>
        <v>0</v>
      </c>
      <c r="K75" s="11" t="str">
        <f>IF(VLOOKUP($G75, SeanRanks!$A$2:$H$303, 6, FALSE)=0, "", VLOOKUP($G75, SeanRanks!$A$2:$H$303, 6, FALSE))</f>
        <v>RB3 - 2 - low ceiling</v>
      </c>
      <c r="L75" s="11">
        <f t="shared" si="4"/>
        <v>10</v>
      </c>
      <c r="M75" s="11">
        <f>VLOOKUP($G75, 'ADP Data'!$C$4:$Q$300, 9, FALSE)</f>
        <v>111</v>
      </c>
      <c r="N75" s="11">
        <f t="shared" si="5"/>
        <v>-6</v>
      </c>
      <c r="O75" s="11">
        <f>VLOOKUP($G75, 'ADP Data'!$C$4:$Q$300, 3, FALSE)</f>
        <v>109</v>
      </c>
      <c r="P75" s="11">
        <f t="shared" si="6"/>
        <v>2</v>
      </c>
      <c r="Q75" s="11">
        <f>VLOOKUP($G75, 'ADP Data'!$C$4:$Q$300, 4, FALSE)</f>
        <v>107</v>
      </c>
      <c r="R75" s="11">
        <f>VLOOKUP($G75, 'ADP Data'!$C$4:$Q$300, 5, FALSE)</f>
        <v>118</v>
      </c>
      <c r="S75" s="11">
        <f>VLOOKUP($G75, 'ADP Data'!$C$4:$Q$300, 6, FALSE)</f>
        <v>126</v>
      </c>
      <c r="T75" s="11">
        <f>VLOOKUP($G75, 'ADP Data'!$C$4:$Q$300, 7, FALSE)</f>
        <v>121</v>
      </c>
      <c r="U75" s="11">
        <f>VLOOKUP($G75, 'ADP Data'!$C$4:$Q$300, 8, FALSE)</f>
        <v>130</v>
      </c>
      <c r="V75" s="11">
        <f t="shared" si="7"/>
        <v>117</v>
      </c>
      <c r="W75" s="11">
        <f t="shared" si="8"/>
        <v>10</v>
      </c>
      <c r="X75" s="11">
        <f t="shared" si="9"/>
        <v>-4</v>
      </c>
      <c r="Y75" s="11">
        <f>VLOOKUP($G75, SeanRanks!$A$2:$K$303, 10, FALSE)-V75</f>
        <v>-1</v>
      </c>
      <c r="Z75" s="25">
        <f>IF(VLOOKUP($G75, SeanRanks!$A$2:$H$303, 7, FALSE)=0, "", VLOOKUP($G75, SeanRanks!$A$2:$H$303, 7, FALSE))</f>
        <v>37</v>
      </c>
    </row>
    <row r="76" spans="1:26" ht="14.25" customHeight="1" x14ac:dyDescent="0.25">
      <c r="A76" s="11"/>
      <c r="B76" s="11" t="e">
        <f t="shared" si="3"/>
        <v>#N/A</v>
      </c>
      <c r="C76" s="11" t="s">
        <v>119</v>
      </c>
      <c r="D76" s="11">
        <v>7</v>
      </c>
      <c r="E76" s="11"/>
      <c r="F76" s="11" t="e">
        <f>VLOOKUP(G76, SeanRanks!$A$2:$E$302, 4, FALSE)</f>
        <v>#N/A</v>
      </c>
      <c r="G76" s="11" t="s">
        <v>850</v>
      </c>
      <c r="H76" s="11" t="e">
        <f>VLOOKUP($G76, 'ADP Data'!$C$4:$Q$300, 2, FALSE)</f>
        <v>#N/A</v>
      </c>
      <c r="I76" s="11" t="e">
        <f>VLOOKUP(G76, 'ADP Data'!$C$4:$R$498, 12, FALSE)</f>
        <v>#N/A</v>
      </c>
      <c r="J76" s="44" t="e">
        <f>VLOOKUP($G76, SeanRanks!$A$2:$H$303, 5, FALSE)</f>
        <v>#N/A</v>
      </c>
      <c r="K76" s="11" t="e">
        <f>IF(VLOOKUP($G76, SeanRanks!$A$2:$H$303, 6, FALSE)=0, "", VLOOKUP($G76, SeanRanks!$A$2:$H$303, 6, FALSE))</f>
        <v>#N/A</v>
      </c>
      <c r="L76" s="11">
        <f t="shared" si="4"/>
        <v>16</v>
      </c>
      <c r="M76" s="11" t="e">
        <f>VLOOKUP($G76, 'ADP Data'!$C$4:$Q$300, 9, FALSE)</f>
        <v>#N/A</v>
      </c>
      <c r="N76" s="11" t="e">
        <f t="shared" si="5"/>
        <v>#N/A</v>
      </c>
      <c r="O76" s="11" t="e">
        <f>VLOOKUP($G76, 'ADP Data'!$C$4:$Q$300, 3, FALSE)</f>
        <v>#N/A</v>
      </c>
      <c r="P76" s="11" t="e">
        <f t="shared" si="6"/>
        <v>#N/A</v>
      </c>
      <c r="Q76" s="11" t="e">
        <f>VLOOKUP($G76, 'ADP Data'!$C$4:$Q$300, 4, FALSE)</f>
        <v>#N/A</v>
      </c>
      <c r="R76" s="11" t="e">
        <f>VLOOKUP($G76, 'ADP Data'!$C$4:$Q$300, 5, FALSE)</f>
        <v>#N/A</v>
      </c>
      <c r="S76" s="11" t="e">
        <f>VLOOKUP($G76, 'ADP Data'!$C$4:$Q$300, 6, FALSE)</f>
        <v>#N/A</v>
      </c>
      <c r="T76" s="11" t="e">
        <f>VLOOKUP($G76, 'ADP Data'!$C$4:$Q$300, 7, FALSE)</f>
        <v>#N/A</v>
      </c>
      <c r="U76" s="11" t="e">
        <f>VLOOKUP($G76, 'ADP Data'!$C$4:$Q$300, 8, FALSE)</f>
        <v>#N/A</v>
      </c>
      <c r="V76" s="11" t="e">
        <f t="shared" si="7"/>
        <v>#N/A</v>
      </c>
      <c r="W76" s="11">
        <f t="shared" si="8"/>
        <v>16</v>
      </c>
      <c r="X76" s="11">
        <f t="shared" si="9"/>
        <v>-9</v>
      </c>
      <c r="Y76" s="11" t="e">
        <f>VLOOKUP($G76, SeanRanks!$A$2:$K$303, 10, FALSE)-V76</f>
        <v>#N/A</v>
      </c>
      <c r="Z76" s="25" t="e">
        <f>IF(VLOOKUP($G76, SeanRanks!$A$2:$H$303, 7, FALSE)=0, "", VLOOKUP($G76, SeanRanks!$A$2:$H$303, 7, FALSE))</f>
        <v>#N/A</v>
      </c>
    </row>
    <row r="77" spans="1:26" ht="14.25" customHeight="1" x14ac:dyDescent="0.25">
      <c r="A77" s="11"/>
      <c r="B77" s="11">
        <f t="shared" si="3"/>
        <v>9</v>
      </c>
      <c r="C77" s="11" t="s">
        <v>119</v>
      </c>
      <c r="D77" s="11">
        <v>7</v>
      </c>
      <c r="E77" s="11"/>
      <c r="F77" s="11">
        <f>VLOOKUP(G77, SeanRanks!$A$2:$E$302, 4, FALSE)</f>
        <v>0</v>
      </c>
      <c r="G77" s="11" t="s">
        <v>254</v>
      </c>
      <c r="H77" s="11" t="str">
        <f>VLOOKUP($G77, 'ADP Data'!$C$4:$Q$300, 2, FALSE)</f>
        <v>DAL</v>
      </c>
      <c r="I77" s="11">
        <f>VLOOKUP(G77, 'ADP Data'!$C$4:$R$498, 12, FALSE)</f>
        <v>94</v>
      </c>
      <c r="J77" s="50">
        <f>VLOOKUP($G77, SeanRanks!$A$2:$H$303, 5, FALSE)</f>
        <v>0</v>
      </c>
      <c r="K77" s="11" t="str">
        <f>IF(VLOOKUP($G77, SeanRanks!$A$2:$H$303, 6, FALSE)=0, "", VLOOKUP($G77, SeanRanks!$A$2:$H$303, 6, FALSE))</f>
        <v>QB1 - 4 - Weekly Start</v>
      </c>
      <c r="L77" s="11">
        <f t="shared" si="4"/>
        <v>10</v>
      </c>
      <c r="M77" s="11">
        <f>VLOOKUP($G77, 'ADP Data'!$C$4:$Q$300, 9, FALSE)</f>
        <v>117</v>
      </c>
      <c r="N77" s="11">
        <f t="shared" si="5"/>
        <v>15</v>
      </c>
      <c r="O77" s="11">
        <f>VLOOKUP($G77, 'ADP Data'!$C$4:$Q$300, 3, FALSE)</f>
        <v>77</v>
      </c>
      <c r="P77" s="11">
        <f t="shared" si="6"/>
        <v>40</v>
      </c>
      <c r="Q77" s="11">
        <f>VLOOKUP($G77, 'ADP Data'!$C$4:$Q$300, 4, FALSE)</f>
        <v>99</v>
      </c>
      <c r="R77" s="11">
        <f>VLOOKUP($G77, 'ADP Data'!$C$4:$Q$300, 5, FALSE)</f>
        <v>120</v>
      </c>
      <c r="S77" s="11">
        <f>VLOOKUP($G77, 'ADP Data'!$C$4:$Q$300, 6, FALSE)</f>
        <v>97</v>
      </c>
      <c r="T77" s="11">
        <f>VLOOKUP($G77, 'ADP Data'!$C$4:$Q$300, 7, FALSE)</f>
        <v>87</v>
      </c>
      <c r="U77" s="11">
        <f>VLOOKUP($G77, 'ADP Data'!$C$4:$Q$300, 8, FALSE)</f>
        <v>117</v>
      </c>
      <c r="V77" s="11">
        <f t="shared" si="7"/>
        <v>102</v>
      </c>
      <c r="W77" s="11">
        <f t="shared" si="8"/>
        <v>9</v>
      </c>
      <c r="X77" s="11">
        <f t="shared" si="9"/>
        <v>-2</v>
      </c>
      <c r="Y77" s="11">
        <f>VLOOKUP($G77, SeanRanks!$A$2:$K$303, 10, FALSE)-V77</f>
        <v>-14</v>
      </c>
      <c r="Z77" s="25">
        <f>IF(VLOOKUP($G77, SeanRanks!$A$2:$H$303, 7, FALSE)=0, "", VLOOKUP($G77, SeanRanks!$A$2:$H$303, 7, FALSE))</f>
        <v>11</v>
      </c>
    </row>
    <row r="78" spans="1:26" ht="14.25" customHeight="1" x14ac:dyDescent="0.25">
      <c r="A78" s="11"/>
      <c r="B78" s="11">
        <f t="shared" si="3"/>
        <v>13</v>
      </c>
      <c r="C78" s="11" t="s">
        <v>119</v>
      </c>
      <c r="D78" s="11">
        <v>6</v>
      </c>
      <c r="E78" s="11"/>
      <c r="F78" s="11">
        <f>VLOOKUP(G78, SeanRanks!$A$2:$E$302, 4, FALSE)</f>
        <v>0</v>
      </c>
      <c r="G78" s="11" t="s">
        <v>409</v>
      </c>
      <c r="H78" s="11" t="str">
        <f>VLOOKUP($G78, 'ADP Data'!$C$4:$Q$300, 2, FALSE)</f>
        <v>LAC</v>
      </c>
      <c r="I78" s="11">
        <f>VLOOKUP(G78, 'ADP Data'!$C$4:$R$498, 12, FALSE)</f>
        <v>113</v>
      </c>
      <c r="J78" s="26">
        <f>VLOOKUP($G78, SeanRanks!$A$2:$H$303, 5, FALSE)</f>
        <v>0</v>
      </c>
      <c r="K78" s="11" t="str">
        <f>IF(VLOOKUP($G78, SeanRanks!$A$2:$H$303, 6, FALSE)=0, "", VLOOKUP($G78, SeanRanks!$A$2:$H$303, 6, FALSE))</f>
        <v>WR5 - 2 - floor play not league winner</v>
      </c>
      <c r="L78" s="11">
        <f t="shared" si="4"/>
        <v>14</v>
      </c>
      <c r="M78" s="11">
        <f>VLOOKUP($G78, 'ADP Data'!$C$4:$Q$300, 9, FALSE)</f>
        <v>164</v>
      </c>
      <c r="N78" s="11">
        <f t="shared" si="5"/>
        <v>15</v>
      </c>
      <c r="O78" s="11">
        <f>VLOOKUP($G78, 'ADP Data'!$C$4:$Q$300, 3, FALSE)</f>
        <v>150</v>
      </c>
      <c r="P78" s="11">
        <f t="shared" si="6"/>
        <v>14</v>
      </c>
      <c r="Q78" s="11">
        <f>VLOOKUP($G78, 'ADP Data'!$C$4:$Q$300, 4, FALSE)</f>
        <v>118</v>
      </c>
      <c r="R78" s="11">
        <f>VLOOKUP($G78, 'ADP Data'!$C$4:$Q$300, 5, FALSE)</f>
        <v>136</v>
      </c>
      <c r="S78" s="11">
        <f>VLOOKUP($G78, 'ADP Data'!$C$4:$Q$300, 6, FALSE)</f>
        <v>134</v>
      </c>
      <c r="T78" s="11">
        <f>VLOOKUP($G78, 'ADP Data'!$C$4:$Q$300, 7, FALSE)</f>
        <v>122</v>
      </c>
      <c r="U78" s="11">
        <f>VLOOKUP($G78, 'ADP Data'!$C$4:$Q$300, 8, FALSE)</f>
        <v>222</v>
      </c>
      <c r="V78" s="11">
        <f t="shared" si="7"/>
        <v>149</v>
      </c>
      <c r="W78" s="11">
        <f t="shared" si="8"/>
        <v>13</v>
      </c>
      <c r="X78" s="11">
        <f t="shared" si="9"/>
        <v>-7</v>
      </c>
      <c r="Y78" s="11">
        <f>VLOOKUP($G78, SeanRanks!$A$2:$K$303, 10, FALSE)-V78</f>
        <v>-9</v>
      </c>
      <c r="Z78" s="25">
        <f>IF(VLOOKUP($G78, SeanRanks!$A$2:$H$303, 7, FALSE)=0, "", VLOOKUP($G78, SeanRanks!$A$2:$H$303, 7, FALSE))</f>
        <v>58</v>
      </c>
    </row>
    <row r="79" spans="1:26" ht="14.25" customHeight="1" x14ac:dyDescent="0.25">
      <c r="A79" s="11"/>
      <c r="B79" s="11">
        <f t="shared" si="3"/>
        <v>12</v>
      </c>
      <c r="C79" s="11" t="s">
        <v>119</v>
      </c>
      <c r="D79" s="11">
        <v>6</v>
      </c>
      <c r="E79" s="11"/>
      <c r="F79" s="11">
        <f>VLOOKUP(G79, SeanRanks!$A$2:$E$302, 4, FALSE)</f>
        <v>0</v>
      </c>
      <c r="G79" s="11" t="s">
        <v>664</v>
      </c>
      <c r="H79" s="11" t="str">
        <f>VLOOKUP($G79, 'ADP Data'!$C$4:$Q$300, 2, FALSE)</f>
        <v>HOU</v>
      </c>
      <c r="I79" s="11">
        <f>VLOOKUP(G79, 'ADP Data'!$C$4:$R$498, 12, FALSE)</f>
        <v>103</v>
      </c>
      <c r="J79" s="26">
        <f>VLOOKUP($G79, SeanRanks!$A$2:$H$303, 5, FALSE)</f>
        <v>0</v>
      </c>
      <c r="K79" s="11" t="str">
        <f>IF(VLOOKUP($G79, SeanRanks!$A$2:$H$303, 6, FALSE)=0, "", VLOOKUP($G79, SeanRanks!$A$2:$H$303, 6, FALSE))</f>
        <v>WR5 - 2 - floor play not league winner</v>
      </c>
      <c r="L79" s="11">
        <f t="shared" si="4"/>
        <v>13</v>
      </c>
      <c r="M79" s="11">
        <f>VLOOKUP($G79, 'ADP Data'!$C$4:$Q$300, 9, FALSE)</f>
        <v>148</v>
      </c>
      <c r="N79" s="11">
        <f t="shared" si="5"/>
        <v>6</v>
      </c>
      <c r="O79" s="11">
        <f>VLOOKUP($G79, 'ADP Data'!$C$4:$Q$300, 3, FALSE)</f>
        <v>137</v>
      </c>
      <c r="P79" s="11">
        <f t="shared" si="6"/>
        <v>11</v>
      </c>
      <c r="Q79" s="11">
        <f>VLOOKUP($G79, 'ADP Data'!$C$4:$Q$300, 4, FALSE)</f>
        <v>178</v>
      </c>
      <c r="R79" s="11">
        <f>VLOOKUP($G79, 'ADP Data'!$C$4:$Q$300, 5, FALSE)</f>
        <v>124</v>
      </c>
      <c r="S79" s="11">
        <f>VLOOKUP($G79, 'ADP Data'!$C$4:$Q$300, 6, FALSE)</f>
        <v>131</v>
      </c>
      <c r="T79" s="11">
        <f>VLOOKUP($G79, 'ADP Data'!$C$4:$Q$300, 7, FALSE)</f>
        <v>108</v>
      </c>
      <c r="U79" s="11">
        <f>VLOOKUP($G79, 'ADP Data'!$C$4:$Q$300, 8, FALSE)</f>
        <v>172</v>
      </c>
      <c r="V79" s="11">
        <f t="shared" si="7"/>
        <v>142</v>
      </c>
      <c r="W79" s="11">
        <f t="shared" si="8"/>
        <v>12</v>
      </c>
      <c r="X79" s="11">
        <f t="shared" si="9"/>
        <v>-6</v>
      </c>
      <c r="Y79" s="11">
        <f>VLOOKUP($G79, SeanRanks!$A$2:$K$303, 10, FALSE)-V79</f>
        <v>-9</v>
      </c>
      <c r="Z79" s="25">
        <f>IF(VLOOKUP($G79, SeanRanks!$A$2:$H$303, 7, FALSE)=0, "", VLOOKUP($G79, SeanRanks!$A$2:$H$303, 7, FALSE))</f>
        <v>57</v>
      </c>
    </row>
    <row r="80" spans="1:26" ht="14.25" customHeight="1" x14ac:dyDescent="0.25">
      <c r="A80" s="11"/>
      <c r="B80" s="11">
        <f t="shared" si="3"/>
        <v>12</v>
      </c>
      <c r="C80" s="11" t="s">
        <v>119</v>
      </c>
      <c r="D80" s="11" t="s">
        <v>883</v>
      </c>
      <c r="E80" s="11"/>
      <c r="F80" s="11">
        <f>VLOOKUP(G80, SeanRanks!$A$2:$E$302, 4, FALSE)</f>
        <v>0</v>
      </c>
      <c r="G80" s="11" t="s">
        <v>634</v>
      </c>
      <c r="H80" s="11" t="str">
        <f>VLOOKUP($G80, 'ADP Data'!$C$4:$Q$300, 2, FALSE)</f>
        <v>LAC</v>
      </c>
      <c r="I80" s="11">
        <f>VLOOKUP(G80, 'ADP Data'!$C$4:$R$498, 12, FALSE)</f>
        <v>157</v>
      </c>
      <c r="J80" s="44">
        <f>VLOOKUP($G80, SeanRanks!$A$2:$H$303, 5, FALSE)</f>
        <v>0</v>
      </c>
      <c r="K80" s="11" t="str">
        <f>IF(VLOOKUP($G80, SeanRanks!$A$2:$H$303, 6, FALSE)=0, "", VLOOKUP($G80, SeanRanks!$A$2:$H$303, 6, FALSE))</f>
        <v>RB4 - 1 - Path to spikes</v>
      </c>
      <c r="L80" s="11">
        <f t="shared" si="4"/>
        <v>10</v>
      </c>
      <c r="M80" s="11">
        <f>VLOOKUP($G80, 'ADP Data'!$C$4:$Q$300, 9, FALSE)</f>
        <v>108</v>
      </c>
      <c r="N80" s="11">
        <f t="shared" si="5"/>
        <v>-29</v>
      </c>
      <c r="O80" s="11">
        <f>VLOOKUP($G80, 'ADP Data'!$C$4:$Q$300, 3, FALSE)</f>
        <v>138</v>
      </c>
      <c r="P80" s="11">
        <f t="shared" si="6"/>
        <v>-30</v>
      </c>
      <c r="Q80" s="11">
        <f>VLOOKUP($G80, 'ADP Data'!$C$4:$Q$300, 4, FALSE)</f>
        <v>162</v>
      </c>
      <c r="R80" s="11">
        <f>VLOOKUP($G80, 'ADP Data'!$C$4:$Q$300, 5, FALSE)</f>
        <v>150</v>
      </c>
      <c r="S80" s="11">
        <f>VLOOKUP($G80, 'ADP Data'!$C$4:$Q$300, 6, FALSE)</f>
        <v>148</v>
      </c>
      <c r="T80" s="11">
        <f>VLOOKUP($G80, 'ADP Data'!$C$4:$Q$300, 7, FALSE)</f>
        <v>137</v>
      </c>
      <c r="U80" s="11">
        <f>VLOOKUP($G80, 'ADP Data'!$C$4:$Q$300, 8, FALSE)</f>
        <v>118</v>
      </c>
      <c r="V80" s="11">
        <f t="shared" si="7"/>
        <v>137</v>
      </c>
      <c r="W80" s="11">
        <f t="shared" si="8"/>
        <v>12</v>
      </c>
      <c r="X80" s="11" t="e">
        <f t="shared" si="9"/>
        <v>#VALUE!</v>
      </c>
      <c r="Y80" s="11">
        <f>VLOOKUP($G80, SeanRanks!$A$2:$K$303, 10, FALSE)-V80</f>
        <v>18</v>
      </c>
      <c r="Z80" s="25">
        <f>IF(VLOOKUP($G80, SeanRanks!$A$2:$H$303, 7, FALSE)=0, "", VLOOKUP($G80, SeanRanks!$A$2:$H$303, 7, FALSE))</f>
        <v>39</v>
      </c>
    </row>
    <row r="81" spans="1:26" ht="14.25" customHeight="1" x14ac:dyDescent="0.25">
      <c r="A81" s="11"/>
      <c r="B81" s="11">
        <f t="shared" si="3"/>
        <v>12</v>
      </c>
      <c r="C81" s="11" t="s">
        <v>119</v>
      </c>
      <c r="D81" s="11"/>
      <c r="E81" s="11"/>
      <c r="F81" s="11">
        <f>VLOOKUP(G81, SeanRanks!$A$2:$E$302, 4, FALSE)</f>
        <v>0</v>
      </c>
      <c r="G81" s="11" t="s">
        <v>360</v>
      </c>
      <c r="H81" s="11" t="str">
        <f>VLOOKUP($G81, 'ADP Data'!$C$4:$Q$300, 2, FALSE)</f>
        <v>GB</v>
      </c>
      <c r="I81" s="11">
        <f>VLOOKUP(G81, 'ADP Data'!$C$4:$R$498, 12, FALSE)</f>
        <v>133</v>
      </c>
      <c r="J81" s="50">
        <f>VLOOKUP($G81, SeanRanks!$A$2:$H$303, 5, FALSE)</f>
        <v>0</v>
      </c>
      <c r="K81" s="11" t="str">
        <f>IF(VLOOKUP($G81, SeanRanks!$A$2:$H$303, 6, FALSE)=0, "", VLOOKUP($G81, SeanRanks!$A$2:$H$303, 6, FALSE))</f>
        <v>QB2 - 1 - League Winner</v>
      </c>
      <c r="L81" s="11">
        <f t="shared" si="4"/>
        <v>12</v>
      </c>
      <c r="M81" s="11">
        <f>VLOOKUP($G81, 'ADP Data'!$C$4:$Q$300, 9, FALSE)</f>
        <v>142</v>
      </c>
      <c r="N81" s="11">
        <f t="shared" si="5"/>
        <v>5</v>
      </c>
      <c r="O81" s="11">
        <f>VLOOKUP($G81, 'ADP Data'!$C$4:$Q$300, 3, FALSE)</f>
        <v>123</v>
      </c>
      <c r="P81" s="11">
        <f t="shared" si="6"/>
        <v>19</v>
      </c>
      <c r="Q81" s="11">
        <f>VLOOKUP($G81, 'ADP Data'!$C$4:$Q$300, 4, FALSE)</f>
        <v>125</v>
      </c>
      <c r="R81" s="11">
        <f>VLOOKUP($G81, 'ADP Data'!$C$4:$Q$300, 5, FALSE)</f>
        <v>160</v>
      </c>
      <c r="S81" s="11">
        <f>VLOOKUP($G81, 'ADP Data'!$C$4:$Q$300, 6, FALSE)</f>
        <v>147</v>
      </c>
      <c r="T81" s="11">
        <f>VLOOKUP($G81, 'ADP Data'!$C$4:$Q$300, 7, FALSE)</f>
        <v>127</v>
      </c>
      <c r="U81" s="11">
        <f>VLOOKUP($G81, 'ADP Data'!$C$4:$Q$300, 8, FALSE)</f>
        <v>140</v>
      </c>
      <c r="V81" s="11">
        <f t="shared" si="7"/>
        <v>137</v>
      </c>
      <c r="W81" s="11">
        <f t="shared" si="8"/>
        <v>12</v>
      </c>
      <c r="X81" s="11">
        <f t="shared" si="9"/>
        <v>-12</v>
      </c>
      <c r="Y81" s="11">
        <f>VLOOKUP($G81, SeanRanks!$A$2:$K$303, 10, FALSE)-V81</f>
        <v>-26</v>
      </c>
      <c r="Z81" s="25">
        <f>IF(VLOOKUP($G81, SeanRanks!$A$2:$H$303, 7, FALSE)=0, "", VLOOKUP($G81, SeanRanks!$A$2:$H$303, 7, FALSE))</f>
        <v>15</v>
      </c>
    </row>
    <row r="82" spans="1:26" ht="14.25" customHeight="1" x14ac:dyDescent="0.25">
      <c r="A82" s="11"/>
      <c r="B82" s="11">
        <f t="shared" si="3"/>
        <v>6</v>
      </c>
      <c r="C82" s="11" t="s">
        <v>119</v>
      </c>
      <c r="D82" s="11">
        <v>6</v>
      </c>
      <c r="E82" s="11"/>
      <c r="F82" s="11">
        <f>VLOOKUP(G82, SeanRanks!$A$2:$E$302, 4, FALSE)</f>
        <v>0</v>
      </c>
      <c r="G82" s="11" t="s">
        <v>172</v>
      </c>
      <c r="H82" s="11" t="str">
        <f>VLOOKUP($G82, 'ADP Data'!$C$4:$Q$300, 2, FALSE)</f>
        <v>CHI</v>
      </c>
      <c r="I82" s="11">
        <f>VLOOKUP(G82, 'ADP Data'!$C$4:$R$498, 12, FALSE)</f>
        <v>58</v>
      </c>
      <c r="J82" s="46" t="str">
        <f>VLOOKUP($G82, SeanRanks!$A$2:$H$303, 5, FALSE)</f>
        <v>No</v>
      </c>
      <c r="K82" s="11" t="str">
        <f>IF(VLOOKUP($G82, SeanRanks!$A$2:$H$303, 6, FALSE)=0, "", VLOOKUP($G82, SeanRanks!$A$2:$H$303, 6, FALSE))</f>
        <v>RB2 - 2 - Path to spikes</v>
      </c>
      <c r="L82" s="11">
        <f t="shared" si="4"/>
        <v>6</v>
      </c>
      <c r="M82" s="11">
        <f>VLOOKUP($G82, 'ADP Data'!$C$4:$Q$300, 9, FALSE)</f>
        <v>68</v>
      </c>
      <c r="N82" s="11">
        <f t="shared" si="5"/>
        <v>8</v>
      </c>
      <c r="O82" s="11">
        <f>VLOOKUP($G82, 'ADP Data'!$C$4:$Q$300, 3, FALSE)</f>
        <v>49</v>
      </c>
      <c r="P82" s="11">
        <f t="shared" si="6"/>
        <v>19</v>
      </c>
      <c r="Q82" s="11">
        <f>VLOOKUP($G82, 'ADP Data'!$C$4:$Q$300, 4, FALSE)</f>
        <v>53</v>
      </c>
      <c r="R82" s="11">
        <f>VLOOKUP($G82, 'ADP Data'!$C$4:$Q$300, 5, FALSE)</f>
        <v>80</v>
      </c>
      <c r="S82" s="11">
        <f>VLOOKUP($G82, 'ADP Data'!$C$4:$Q$300, 6, FALSE)</f>
        <v>56</v>
      </c>
      <c r="T82" s="11">
        <f>VLOOKUP($G82, 'ADP Data'!$C$4:$Q$300, 7, FALSE)</f>
        <v>59</v>
      </c>
      <c r="U82" s="11">
        <f>VLOOKUP($G82, 'ADP Data'!$C$4:$Q$300, 8, FALSE)</f>
        <v>57</v>
      </c>
      <c r="V82" s="11">
        <f t="shared" si="7"/>
        <v>60</v>
      </c>
      <c r="W82" s="11">
        <f t="shared" si="8"/>
        <v>6</v>
      </c>
      <c r="X82" s="11">
        <f t="shared" si="9"/>
        <v>0</v>
      </c>
      <c r="Y82" s="11">
        <f>VLOOKUP($G82, SeanRanks!$A$2:$K$303, 10, FALSE)-V82</f>
        <v>4</v>
      </c>
      <c r="Z82" s="25">
        <f>IF(VLOOKUP($G82, SeanRanks!$A$2:$H$303, 7, FALSE)=0, "", VLOOKUP($G82, SeanRanks!$A$2:$H$303, 7, FALSE))</f>
        <v>26</v>
      </c>
    </row>
    <row r="83" spans="1:26" ht="14.25" customHeight="1" x14ac:dyDescent="0.25">
      <c r="A83" s="11"/>
      <c r="B83" s="11">
        <f t="shared" si="3"/>
        <v>21</v>
      </c>
      <c r="C83" s="11" t="s">
        <v>119</v>
      </c>
      <c r="D83" s="11">
        <v>6</v>
      </c>
      <c r="E83" s="11"/>
      <c r="F83" s="11">
        <f>VLOOKUP(G83, SeanRanks!$A$2:$E$302, 4, FALSE)</f>
        <v>0</v>
      </c>
      <c r="G83" s="11" t="s">
        <v>896</v>
      </c>
      <c r="H83" s="11" t="str">
        <f>VLOOKUP($G83, 'ADP Data'!$C$4:$Q$300, 2, FALSE)</f>
        <v>LV</v>
      </c>
      <c r="I83" s="11">
        <f>VLOOKUP(G83, 'ADP Data'!$C$4:$R$498, 12, FALSE)</f>
        <v>245</v>
      </c>
      <c r="J83" s="46">
        <f>VLOOKUP($G83, SeanRanks!$A$2:$H$303, 5, FALSE)</f>
        <v>0</v>
      </c>
      <c r="K83" s="11" t="str">
        <f>IF(VLOOKUP($G83, SeanRanks!$A$2:$H$303, 6, FALSE)=0, "", VLOOKUP($G83, SeanRanks!$A$2:$H$303, 6, FALSE))</f>
        <v/>
      </c>
      <c r="L83" s="11">
        <f t="shared" si="4"/>
        <v>22</v>
      </c>
      <c r="M83" s="11">
        <f>VLOOKUP($G83, 'ADP Data'!$C$4:$Q$300, 9, FALSE)</f>
        <v>260</v>
      </c>
      <c r="N83" s="11">
        <f t="shared" si="5"/>
        <v>19</v>
      </c>
      <c r="O83" s="11">
        <f>VLOOKUP($G83, 'ADP Data'!$C$4:$Q$300, 3, FALSE)</f>
        <v>191</v>
      </c>
      <c r="P83" s="11">
        <f t="shared" si="6"/>
        <v>69</v>
      </c>
      <c r="Q83" s="11" t="str">
        <f>VLOOKUP($G83, 'ADP Data'!$C$4:$Q$300, 4, FALSE)</f>
        <v>-</v>
      </c>
      <c r="R83" s="11">
        <f>VLOOKUP($G83, 'ADP Data'!$C$4:$Q$300, 5, FALSE)</f>
        <v>288</v>
      </c>
      <c r="S83" s="11">
        <f>VLOOKUP($G83, 'ADP Data'!$C$4:$Q$300, 6, FALSE)</f>
        <v>221</v>
      </c>
      <c r="T83" s="11">
        <f>VLOOKUP($G83, 'ADP Data'!$C$4:$Q$300, 7, FALSE)</f>
        <v>242</v>
      </c>
      <c r="U83" s="11">
        <f>VLOOKUP($G83, 'ADP Data'!$C$4:$Q$300, 8, FALSE)</f>
        <v>247</v>
      </c>
      <c r="V83" s="11">
        <f t="shared" si="7"/>
        <v>241</v>
      </c>
      <c r="W83" s="11">
        <f t="shared" si="8"/>
        <v>21</v>
      </c>
      <c r="X83" s="11">
        <f t="shared" si="9"/>
        <v>-15</v>
      </c>
      <c r="Y83" s="11" t="e">
        <f>VLOOKUP($G83, SeanRanks!$A$2:$K$303, 10, FALSE)-V83</f>
        <v>#VALUE!</v>
      </c>
      <c r="Z83" s="25" t="str">
        <f>IF(VLOOKUP($G83, SeanRanks!$A$2:$H$303, 7, FALSE)=0, "", VLOOKUP($G83, SeanRanks!$A$2:$H$303, 7, FALSE))</f>
        <v/>
      </c>
    </row>
    <row r="84" spans="1:26" ht="14.25" customHeight="1" x14ac:dyDescent="0.25">
      <c r="A84" s="11"/>
      <c r="B84" s="11">
        <f t="shared" si="3"/>
        <v>9</v>
      </c>
      <c r="C84" s="11" t="s">
        <v>119</v>
      </c>
      <c r="D84" s="11">
        <v>6</v>
      </c>
      <c r="E84" s="11"/>
      <c r="F84" s="11">
        <f>VLOOKUP(G84, SeanRanks!$A$2:$E$302, 4, FALSE)</f>
        <v>0</v>
      </c>
      <c r="G84" s="11" t="s">
        <v>264</v>
      </c>
      <c r="H84" s="11" t="str">
        <f>VLOOKUP($G84, 'ADP Data'!$C$4:$Q$300, 2, FALSE)</f>
        <v>TB</v>
      </c>
      <c r="I84" s="11">
        <f>VLOOKUP(G84, 'ADP Data'!$C$4:$R$498, 12, FALSE)</f>
        <v>117</v>
      </c>
      <c r="J84" s="26">
        <f>VLOOKUP($G84, SeanRanks!$A$2:$H$303, 5, FALSE)</f>
        <v>0</v>
      </c>
      <c r="K84" s="11" t="str">
        <f>IF(VLOOKUP($G84, SeanRanks!$A$2:$H$303, 6, FALSE)=0, "", VLOOKUP($G84, SeanRanks!$A$2:$H$303, 6, FALSE))</f>
        <v>WR4 - 1 - path to WR2</v>
      </c>
      <c r="L84" s="11">
        <f t="shared" si="4"/>
        <v>8</v>
      </c>
      <c r="M84" s="11">
        <f>VLOOKUP($G84, 'ADP Data'!$C$4:$Q$300, 9, FALSE)</f>
        <v>90</v>
      </c>
      <c r="N84" s="11">
        <f t="shared" si="5"/>
        <v>-14</v>
      </c>
      <c r="O84" s="11">
        <f>VLOOKUP($G84, 'ADP Data'!$C$4:$Q$300, 3, FALSE)</f>
        <v>107</v>
      </c>
      <c r="P84" s="11">
        <f t="shared" si="6"/>
        <v>-17</v>
      </c>
      <c r="Q84" s="11">
        <f>VLOOKUP($G84, 'ADP Data'!$C$4:$Q$300, 4, FALSE)</f>
        <v>102</v>
      </c>
      <c r="R84" s="11">
        <f>VLOOKUP($G84, 'ADP Data'!$C$4:$Q$300, 5, FALSE)</f>
        <v>127</v>
      </c>
      <c r="S84" s="11">
        <f>VLOOKUP($G84, 'ADP Data'!$C$4:$Q$300, 6, FALSE)</f>
        <v>118</v>
      </c>
      <c r="T84" s="11">
        <f>VLOOKUP($G84, 'ADP Data'!$C$4:$Q$300, 7, FALSE)</f>
        <v>100</v>
      </c>
      <c r="U84" s="11">
        <f>VLOOKUP($G84, 'ADP Data'!$C$4:$Q$300, 8, FALSE)</f>
        <v>90</v>
      </c>
      <c r="V84" s="11">
        <f t="shared" si="7"/>
        <v>104</v>
      </c>
      <c r="W84" s="11">
        <f t="shared" si="8"/>
        <v>9</v>
      </c>
      <c r="X84" s="11">
        <f t="shared" si="9"/>
        <v>-3</v>
      </c>
      <c r="Y84" s="11">
        <f>VLOOKUP($G84, SeanRanks!$A$2:$K$303, 10, FALSE)-V84</f>
        <v>23</v>
      </c>
      <c r="Z84" s="25">
        <f>IF(VLOOKUP($G84, SeanRanks!$A$2:$H$303, 7, FALSE)=0, "", VLOOKUP($G84, SeanRanks!$A$2:$H$303, 7, FALSE))</f>
        <v>42</v>
      </c>
    </row>
    <row r="85" spans="1:26" ht="14.25" customHeight="1" x14ac:dyDescent="0.25">
      <c r="A85" s="11" t="s">
        <v>148</v>
      </c>
      <c r="B85" s="11">
        <f t="shared" si="3"/>
        <v>11</v>
      </c>
      <c r="C85" s="11" t="s">
        <v>119</v>
      </c>
      <c r="D85" s="11">
        <v>6</v>
      </c>
      <c r="E85" s="23"/>
      <c r="F85" s="11">
        <f>VLOOKUP(G85, SeanRanks!$A$2:$E$302, 4, FALSE)</f>
        <v>0</v>
      </c>
      <c r="G85" s="11" t="s">
        <v>296</v>
      </c>
      <c r="H85" s="11" t="str">
        <f>VLOOKUP($G85, 'ADP Data'!$C$4:$Q$300, 2, FALSE)</f>
        <v>GB</v>
      </c>
      <c r="I85" s="11">
        <f>VLOOKUP(G85, 'ADP Data'!$C$4:$R$498, 12, FALSE)</f>
        <v>107</v>
      </c>
      <c r="J85" s="45">
        <f>VLOOKUP($G85, SeanRanks!$A$2:$H$303, 5, FALSE)</f>
        <v>0</v>
      </c>
      <c r="K85" s="11" t="str">
        <f>IF(VLOOKUP($G85, SeanRanks!$A$2:$H$303, 6, FALSE)=0, "", VLOOKUP($G85, SeanRanks!$A$2:$H$303, 6, FALSE))</f>
        <v>WR4 - 2 - unclear path to WR2</v>
      </c>
      <c r="L85" s="11">
        <f t="shared" si="4"/>
        <v>9</v>
      </c>
      <c r="M85" s="11">
        <f>VLOOKUP($G85, 'ADP Data'!$C$4:$Q$300, 9, FALSE)</f>
        <v>99</v>
      </c>
      <c r="N85" s="11">
        <f t="shared" si="5"/>
        <v>-24</v>
      </c>
      <c r="O85" s="11">
        <f>VLOOKUP($G85, 'ADP Data'!$C$4:$Q$300, 3, FALSE)</f>
        <v>134</v>
      </c>
      <c r="P85" s="11">
        <f t="shared" si="6"/>
        <v>-35</v>
      </c>
      <c r="Q85" s="11">
        <f>VLOOKUP($G85, 'ADP Data'!$C$4:$Q$300, 4, FALSE)</f>
        <v>128</v>
      </c>
      <c r="R85" s="11">
        <f>VLOOKUP($G85, 'ADP Data'!$C$4:$Q$300, 5, FALSE)</f>
        <v>145</v>
      </c>
      <c r="S85" s="11">
        <f>VLOOKUP($G85, 'ADP Data'!$C$4:$Q$300, 6, FALSE)</f>
        <v>116</v>
      </c>
      <c r="T85" s="11">
        <f>VLOOKUP($G85, 'ADP Data'!$C$4:$Q$300, 7, FALSE)</f>
        <v>105</v>
      </c>
      <c r="U85" s="11">
        <f>VLOOKUP($G85, 'ADP Data'!$C$4:$Q$300, 8, FALSE)</f>
        <v>134</v>
      </c>
      <c r="V85" s="11">
        <f t="shared" si="7"/>
        <v>123</v>
      </c>
      <c r="W85" s="11">
        <f t="shared" si="8"/>
        <v>11</v>
      </c>
      <c r="X85" s="11">
        <f t="shared" si="9"/>
        <v>-5</v>
      </c>
      <c r="Y85" s="11">
        <f>VLOOKUP($G85, SeanRanks!$A$2:$K$303, 10, FALSE)-V85</f>
        <v>-13</v>
      </c>
      <c r="Z85" s="25">
        <f>IF(VLOOKUP($G85, SeanRanks!$A$2:$H$303, 7, FALSE)=0, "", VLOOKUP($G85, SeanRanks!$A$2:$H$303, 7, FALSE))</f>
        <v>43</v>
      </c>
    </row>
    <row r="86" spans="1:26" ht="14.25" customHeight="1" x14ac:dyDescent="0.25">
      <c r="A86" s="11"/>
      <c r="B86" s="11">
        <f t="shared" si="3"/>
        <v>12</v>
      </c>
      <c r="C86" s="11" t="s">
        <v>119</v>
      </c>
      <c r="D86" s="11">
        <v>9</v>
      </c>
      <c r="E86" s="11"/>
      <c r="F86" s="11">
        <f>VLOOKUP(G86, SeanRanks!$A$2:$E$302, 4, FALSE)</f>
        <v>0</v>
      </c>
      <c r="G86" s="11" t="s">
        <v>340</v>
      </c>
      <c r="H86" s="11" t="str">
        <f>VLOOKUP($G86, 'ADP Data'!$C$4:$Q$300, 2, FALSE)</f>
        <v>DAL</v>
      </c>
      <c r="I86" s="11">
        <f>VLOOKUP(G86, 'ADP Data'!$C$4:$R$498, 12, FALSE)</f>
        <v>138</v>
      </c>
      <c r="J86" s="57" t="str">
        <f>VLOOKUP($G86, SeanRanks!$A$2:$H$303, 5, FALSE)</f>
        <v>Yes</v>
      </c>
      <c r="K86" s="11" t="str">
        <f>IF(VLOOKUP($G86, SeanRanks!$A$2:$H$303, 6, FALSE)=0, "", VLOOKUP($G86, SeanRanks!$A$2:$H$303, 6, FALSE))</f>
        <v>TE2 - 1 - Big Upside</v>
      </c>
      <c r="L86" s="11">
        <f t="shared" si="4"/>
        <v>12</v>
      </c>
      <c r="M86" s="11">
        <f>VLOOKUP($G86, 'ADP Data'!$C$4:$Q$300, 9, FALSE)</f>
        <v>137</v>
      </c>
      <c r="N86" s="11">
        <f t="shared" si="5"/>
        <v>0</v>
      </c>
      <c r="O86" s="11">
        <f>VLOOKUP($G86, 'ADP Data'!$C$4:$Q$300, 3, FALSE)</f>
        <v>139</v>
      </c>
      <c r="P86" s="11">
        <f t="shared" si="6"/>
        <v>-2</v>
      </c>
      <c r="Q86" s="11">
        <f>VLOOKUP($G86, 'ADP Data'!$C$4:$Q$300, 4, FALSE)</f>
        <v>137</v>
      </c>
      <c r="R86" s="11">
        <f>VLOOKUP($G86, 'ADP Data'!$C$4:$Q$300, 5, FALSE)</f>
        <v>163</v>
      </c>
      <c r="S86" s="11">
        <f>VLOOKUP($G86, 'ADP Data'!$C$4:$Q$300, 6, FALSE)</f>
        <v>100</v>
      </c>
      <c r="T86" s="11">
        <f>VLOOKUP($G86, 'ADP Data'!$C$4:$Q$300, 7, FALSE)</f>
        <v>130</v>
      </c>
      <c r="U86" s="11">
        <f>VLOOKUP($G86, 'ADP Data'!$C$4:$Q$300, 8, FALSE)</f>
        <v>159</v>
      </c>
      <c r="V86" s="11">
        <f t="shared" si="7"/>
        <v>137</v>
      </c>
      <c r="W86" s="11">
        <f t="shared" si="8"/>
        <v>12</v>
      </c>
      <c r="X86" s="11">
        <f t="shared" si="9"/>
        <v>-3</v>
      </c>
      <c r="Y86" s="11">
        <f>VLOOKUP($G86, SeanRanks!$A$2:$K$303, 10, FALSE)-V86</f>
        <v>-22</v>
      </c>
      <c r="Z86" s="25">
        <f>IF(VLOOKUP($G86, SeanRanks!$A$2:$H$303, 7, FALSE)=0, "", VLOOKUP($G86, SeanRanks!$A$2:$H$303, 7, FALSE))</f>
        <v>14</v>
      </c>
    </row>
    <row r="87" spans="1:26" ht="14.25" customHeight="1" x14ac:dyDescent="0.25">
      <c r="A87" s="11"/>
      <c r="B87" s="11" t="e">
        <f t="shared" si="3"/>
        <v>#N/A</v>
      </c>
      <c r="C87" s="11" t="s">
        <v>119</v>
      </c>
      <c r="D87" s="11">
        <v>6</v>
      </c>
      <c r="E87" s="11"/>
      <c r="F87" s="11">
        <f>VLOOKUP(G87, SeanRanks!$A$2:$E$302, 4, FALSE)</f>
        <v>0</v>
      </c>
      <c r="G87" s="11" t="s">
        <v>897</v>
      </c>
      <c r="H87" s="11" t="e">
        <f>VLOOKUP($G87, 'ADP Data'!$C$4:$Q$300, 2, FALSE)</f>
        <v>#N/A</v>
      </c>
      <c r="I87" s="11" t="e">
        <f>VLOOKUP(G87, 'ADP Data'!$C$4:$R$498, 12, FALSE)</f>
        <v>#N/A</v>
      </c>
      <c r="J87" s="26">
        <f>VLOOKUP($G87, SeanRanks!$A$2:$H$303, 5, FALSE)</f>
        <v>0</v>
      </c>
      <c r="K87" s="11" t="str">
        <f>IF(VLOOKUP($G87, SeanRanks!$A$2:$H$303, 6, FALSE)=0, "", VLOOKUP($G87, SeanRanks!$A$2:$H$303, 6, FALSE))</f>
        <v/>
      </c>
      <c r="L87" s="11">
        <f t="shared" si="4"/>
        <v>16</v>
      </c>
      <c r="M87" s="11" t="e">
        <f>VLOOKUP($G87, 'ADP Data'!$C$4:$Q$300, 9, FALSE)</f>
        <v>#N/A</v>
      </c>
      <c r="N87" s="11" t="e">
        <f t="shared" si="5"/>
        <v>#N/A</v>
      </c>
      <c r="O87" s="11" t="e">
        <f>VLOOKUP($G87, 'ADP Data'!$C$4:$Q$300, 3, FALSE)</f>
        <v>#N/A</v>
      </c>
      <c r="P87" s="11" t="e">
        <f t="shared" si="6"/>
        <v>#N/A</v>
      </c>
      <c r="Q87" s="11" t="e">
        <f>VLOOKUP($G87, 'ADP Data'!$C$4:$Q$300, 4, FALSE)</f>
        <v>#N/A</v>
      </c>
      <c r="R87" s="11" t="e">
        <f>VLOOKUP($G87, 'ADP Data'!$C$4:$Q$300, 5, FALSE)</f>
        <v>#N/A</v>
      </c>
      <c r="S87" s="11" t="e">
        <f>VLOOKUP($G87, 'ADP Data'!$C$4:$Q$300, 6, FALSE)</f>
        <v>#N/A</v>
      </c>
      <c r="T87" s="11" t="e">
        <f>VLOOKUP($G87, 'ADP Data'!$C$4:$Q$300, 7, FALSE)</f>
        <v>#N/A</v>
      </c>
      <c r="U87" s="11" t="e">
        <f>VLOOKUP($G87, 'ADP Data'!$C$4:$Q$300, 8, FALSE)</f>
        <v>#N/A</v>
      </c>
      <c r="V87" s="11" t="e">
        <f t="shared" si="7"/>
        <v>#N/A</v>
      </c>
      <c r="W87" s="11">
        <f t="shared" si="8"/>
        <v>16</v>
      </c>
      <c r="X87" s="11">
        <f t="shared" si="9"/>
        <v>-10</v>
      </c>
      <c r="Y87" s="11" t="e">
        <f>VLOOKUP($G87, SeanRanks!$A$2:$K$303, 10, FALSE)-V87</f>
        <v>#N/A</v>
      </c>
      <c r="Z87" s="25" t="str">
        <f>IF(VLOOKUP($G87, SeanRanks!$A$2:$H$303, 7, FALSE)=0, "", VLOOKUP($G87, SeanRanks!$A$2:$H$303, 7, FALSE))</f>
        <v/>
      </c>
    </row>
    <row r="88" spans="1:26" ht="14.25" customHeight="1" x14ac:dyDescent="0.25">
      <c r="A88" s="11"/>
      <c r="B88" s="11">
        <f t="shared" si="3"/>
        <v>8</v>
      </c>
      <c r="C88" s="11" t="s">
        <v>119</v>
      </c>
      <c r="D88" s="11">
        <v>9</v>
      </c>
      <c r="E88" s="11"/>
      <c r="F88" s="11">
        <f>VLOOKUP(G88, SeanRanks!$A$2:$E$302, 4, FALSE)</f>
        <v>0</v>
      </c>
      <c r="G88" s="11" t="s">
        <v>555</v>
      </c>
      <c r="H88" s="11" t="str">
        <f>VLOOKUP($G88, 'ADP Data'!$C$4:$Q$300, 2, FALSE)</f>
        <v>CLE</v>
      </c>
      <c r="I88" s="11">
        <f>VLOOKUP(G88, 'ADP Data'!$C$4:$R$498, 12, FALSE)</f>
        <v>105</v>
      </c>
      <c r="J88" s="57">
        <f>VLOOKUP($G88, SeanRanks!$A$2:$H$303, 5, FALSE)</f>
        <v>0</v>
      </c>
      <c r="K88" s="11" t="str">
        <f>IF(VLOOKUP($G88, SeanRanks!$A$2:$H$303, 6, FALSE)=0, "", VLOOKUP($G88, SeanRanks!$A$2:$H$303, 6, FALSE))</f>
        <v>TE1 - 3 - Weekly Start</v>
      </c>
      <c r="L88" s="11">
        <f t="shared" si="4"/>
        <v>8</v>
      </c>
      <c r="M88" s="11">
        <f>VLOOKUP($G88, 'ADP Data'!$C$4:$Q$300, 9, FALSE)</f>
        <v>92</v>
      </c>
      <c r="N88" s="11">
        <f t="shared" si="5"/>
        <v>6</v>
      </c>
      <c r="O88" s="11">
        <f>VLOOKUP($G88, 'ADP Data'!$C$4:$Q$300, 3, FALSE)</f>
        <v>74</v>
      </c>
      <c r="P88" s="11">
        <f t="shared" si="6"/>
        <v>18</v>
      </c>
      <c r="Q88" s="11">
        <f>VLOOKUP($G88, 'ADP Data'!$C$4:$Q$300, 4, FALSE)</f>
        <v>72</v>
      </c>
      <c r="R88" s="11">
        <f>VLOOKUP($G88, 'ADP Data'!$C$4:$Q$300, 5, FALSE)</f>
        <v>108</v>
      </c>
      <c r="S88" s="11">
        <f>VLOOKUP($G88, 'ADP Data'!$C$4:$Q$300, 6, FALSE)</f>
        <v>76</v>
      </c>
      <c r="T88" s="11">
        <f>VLOOKUP($G88, 'ADP Data'!$C$4:$Q$300, 7, FALSE)</f>
        <v>101</v>
      </c>
      <c r="U88" s="11">
        <f>VLOOKUP($G88, 'ADP Data'!$C$4:$Q$300, 8, FALSE)</f>
        <v>85</v>
      </c>
      <c r="V88" s="11">
        <f t="shared" si="7"/>
        <v>86</v>
      </c>
      <c r="W88" s="11">
        <f t="shared" si="8"/>
        <v>8</v>
      </c>
      <c r="X88" s="11">
        <f t="shared" si="9"/>
        <v>1</v>
      </c>
      <c r="Y88" s="11">
        <f>VLOOKUP($G88, SeanRanks!$A$2:$K$303, 10, FALSE)-V88</f>
        <v>11</v>
      </c>
      <c r="Z88" s="25">
        <f>IF(VLOOKUP($G88, SeanRanks!$A$2:$H$303, 7, FALSE)=0, "", VLOOKUP($G88, SeanRanks!$A$2:$H$303, 7, FALSE))</f>
        <v>10</v>
      </c>
    </row>
    <row r="89" spans="1:26" ht="14.25" customHeight="1" x14ac:dyDescent="0.25">
      <c r="A89" s="11"/>
      <c r="B89" s="11">
        <f t="shared" si="3"/>
        <v>6</v>
      </c>
      <c r="C89" s="11" t="s">
        <v>119</v>
      </c>
      <c r="D89" s="11">
        <v>6</v>
      </c>
      <c r="E89" s="11"/>
      <c r="F89" s="11">
        <f>VLOOKUP(G89, SeanRanks!$A$2:$E$302, 4, FALSE)</f>
        <v>0</v>
      </c>
      <c r="G89" s="11" t="s">
        <v>252</v>
      </c>
      <c r="H89" s="11" t="str">
        <f>VLOOKUP($G89, 'ADP Data'!$C$4:$Q$300, 2, FALSE)</f>
        <v>TEN</v>
      </c>
      <c r="I89" s="11">
        <f>VLOOKUP(G89, 'ADP Data'!$C$4:$R$498, 12, FALSE)</f>
        <v>62</v>
      </c>
      <c r="J89" s="58">
        <f>VLOOKUP($G89, SeanRanks!$A$2:$H$303, 5, FALSE)</f>
        <v>0</v>
      </c>
      <c r="K89" s="11" t="str">
        <f>IF(VLOOKUP($G89, SeanRanks!$A$2:$H$303, 6, FALSE)=0, "", VLOOKUP($G89, SeanRanks!$A$2:$H$303, 6, FALSE))</f>
        <v>RB2 - 2 - Path to spikes</v>
      </c>
      <c r="L89" s="11">
        <f t="shared" si="4"/>
        <v>6</v>
      </c>
      <c r="M89" s="11">
        <f>VLOOKUP($G89, 'ADP Data'!$C$4:$Q$300, 9, FALSE)</f>
        <v>69</v>
      </c>
      <c r="N89" s="11">
        <f t="shared" si="5"/>
        <v>1</v>
      </c>
      <c r="O89" s="11">
        <f>VLOOKUP($G89, 'ADP Data'!$C$4:$Q$300, 3, FALSE)</f>
        <v>59</v>
      </c>
      <c r="P89" s="11">
        <f t="shared" si="6"/>
        <v>10</v>
      </c>
      <c r="Q89" s="11">
        <f>VLOOKUP($G89, 'ADP Data'!$C$4:$Q$300, 4, FALSE)</f>
        <v>69</v>
      </c>
      <c r="R89" s="11">
        <f>VLOOKUP($G89, 'ADP Data'!$C$4:$Q$300, 5, FALSE)</f>
        <v>79</v>
      </c>
      <c r="S89" s="11">
        <f>VLOOKUP($G89, 'ADP Data'!$C$4:$Q$300, 6, FALSE)</f>
        <v>58</v>
      </c>
      <c r="T89" s="11">
        <f>VLOOKUP($G89, 'ADP Data'!$C$4:$Q$300, 7, FALSE)</f>
        <v>69</v>
      </c>
      <c r="U89" s="11">
        <f>VLOOKUP($G89, 'ADP Data'!$C$4:$Q$300, 8, FALSE)</f>
        <v>78</v>
      </c>
      <c r="V89" s="11">
        <f t="shared" si="7"/>
        <v>68</v>
      </c>
      <c r="W89" s="11">
        <f t="shared" si="8"/>
        <v>6</v>
      </c>
      <c r="X89" s="11">
        <f t="shared" si="9"/>
        <v>0</v>
      </c>
      <c r="Y89" s="11">
        <f>VLOOKUP($G89, SeanRanks!$A$2:$K$303, 10, FALSE)-V89</f>
        <v>-14</v>
      </c>
      <c r="Z89" s="25">
        <f>IF(VLOOKUP($G89, SeanRanks!$A$2:$H$303, 7, FALSE)=0, "", VLOOKUP($G89, SeanRanks!$A$2:$H$303, 7, FALSE))</f>
        <v>24</v>
      </c>
    </row>
    <row r="90" spans="1:26" ht="14.25" customHeight="1" x14ac:dyDescent="0.25">
      <c r="A90" s="11" t="s">
        <v>148</v>
      </c>
      <c r="B90" s="11">
        <f t="shared" si="3"/>
        <v>8</v>
      </c>
      <c r="C90" s="11" t="s">
        <v>119</v>
      </c>
      <c r="D90" s="11">
        <v>6</v>
      </c>
      <c r="E90" s="11"/>
      <c r="F90" s="11">
        <f>VLOOKUP(G90, SeanRanks!$A$2:$E$302, 4, FALSE)</f>
        <v>0</v>
      </c>
      <c r="G90" s="11" t="s">
        <v>231</v>
      </c>
      <c r="H90" s="11" t="str">
        <f>VLOOKUP($G90, 'ADP Data'!$C$4:$Q$300, 2, FALSE)</f>
        <v>PIT</v>
      </c>
      <c r="I90" s="11">
        <f>VLOOKUP(G90, 'ADP Data'!$C$4:$R$498, 12, FALSE)</f>
        <v>86</v>
      </c>
      <c r="J90" s="44">
        <f>VLOOKUP($G90, SeanRanks!$A$2:$H$303, 5, FALSE)</f>
        <v>0</v>
      </c>
      <c r="K90" s="11" t="str">
        <f>IF(VLOOKUP($G90, SeanRanks!$A$2:$H$303, 6, FALSE)=0, "", VLOOKUP($G90, SeanRanks!$A$2:$H$303, 6, FALSE))</f>
        <v>RB3 - 2 - low ceiling</v>
      </c>
      <c r="L90" s="11">
        <f t="shared" si="4"/>
        <v>8</v>
      </c>
      <c r="M90" s="11">
        <f>VLOOKUP($G90, 'ADP Data'!$C$4:$Q$300, 9, FALSE)</f>
        <v>86</v>
      </c>
      <c r="N90" s="11">
        <f t="shared" si="5"/>
        <v>-4</v>
      </c>
      <c r="O90" s="11">
        <f>VLOOKUP($G90, 'ADP Data'!$C$4:$Q$300, 3, FALSE)</f>
        <v>88</v>
      </c>
      <c r="P90" s="11">
        <f t="shared" si="6"/>
        <v>-2</v>
      </c>
      <c r="Q90" s="11">
        <f>VLOOKUP($G90, 'ADP Data'!$C$4:$Q$300, 4, FALSE)</f>
        <v>85</v>
      </c>
      <c r="R90" s="11">
        <f>VLOOKUP($G90, 'ADP Data'!$C$4:$Q$300, 5, FALSE)</f>
        <v>96</v>
      </c>
      <c r="S90" s="11">
        <f>VLOOKUP($G90, 'ADP Data'!$C$4:$Q$300, 6, FALSE)</f>
        <v>84</v>
      </c>
      <c r="T90" s="11">
        <f>VLOOKUP($G90, 'ADP Data'!$C$4:$Q$300, 7, FALSE)</f>
        <v>86</v>
      </c>
      <c r="U90" s="11">
        <f>VLOOKUP($G90, 'ADP Data'!$C$4:$Q$300, 8, FALSE)</f>
        <v>107</v>
      </c>
      <c r="V90" s="11">
        <f t="shared" si="7"/>
        <v>90</v>
      </c>
      <c r="W90" s="11">
        <f t="shared" si="8"/>
        <v>8</v>
      </c>
      <c r="X90" s="11">
        <f t="shared" si="9"/>
        <v>-2</v>
      </c>
      <c r="Y90" s="11">
        <f>VLOOKUP($G90, SeanRanks!$A$2:$K$303, 10, FALSE)-V90</f>
        <v>-15</v>
      </c>
      <c r="Z90" s="25">
        <f>IF(VLOOKUP($G90, SeanRanks!$A$2:$H$303, 7, FALSE)=0, "", VLOOKUP($G90, SeanRanks!$A$2:$H$303, 7, FALSE))</f>
        <v>35</v>
      </c>
    </row>
    <row r="91" spans="1:26" ht="14.25" customHeight="1" x14ac:dyDescent="0.25">
      <c r="A91" s="11"/>
      <c r="B91" s="11">
        <f t="shared" si="3"/>
        <v>5</v>
      </c>
      <c r="C91" s="11" t="s">
        <v>119</v>
      </c>
      <c r="D91" s="11">
        <v>7</v>
      </c>
      <c r="E91" s="11"/>
      <c r="F91" s="11">
        <f>VLOOKUP(G91, SeanRanks!$A$2:$E$302, 4, FALSE)</f>
        <v>0</v>
      </c>
      <c r="G91" s="11" t="s">
        <v>344</v>
      </c>
      <c r="H91" s="11" t="str">
        <f>VLOOKUP($G91, 'ADP Data'!$C$4:$Q$300, 2, FALSE)</f>
        <v>KC</v>
      </c>
      <c r="I91" s="11">
        <f>VLOOKUP(G91, 'ADP Data'!$C$4:$R$498, 12, FALSE)</f>
        <v>43</v>
      </c>
      <c r="J91" s="28">
        <f>VLOOKUP($G91, SeanRanks!$A$2:$H$303, 5, FALSE)</f>
        <v>0</v>
      </c>
      <c r="K91" s="11" t="str">
        <f>IF(VLOOKUP($G91, SeanRanks!$A$2:$H$303, 6, FALSE)=0, "", VLOOKUP($G91, SeanRanks!$A$2:$H$303, 6, FALSE))</f>
        <v>WR2 - 2 - Upside with risk</v>
      </c>
      <c r="L91" s="11">
        <f t="shared" si="4"/>
        <v>5</v>
      </c>
      <c r="M91" s="11">
        <f>VLOOKUP($G91, 'ADP Data'!$C$4:$Q$300, 9, FALSE)</f>
        <v>58</v>
      </c>
      <c r="N91" s="11">
        <f t="shared" si="5"/>
        <v>5</v>
      </c>
      <c r="O91" s="11">
        <f>VLOOKUP($G91, 'ADP Data'!$C$4:$Q$300, 3, FALSE)</f>
        <v>50</v>
      </c>
      <c r="P91" s="11">
        <f t="shared" si="6"/>
        <v>8</v>
      </c>
      <c r="Q91" s="11">
        <f>VLOOKUP($G91, 'ADP Data'!$C$4:$Q$300, 4, FALSE)</f>
        <v>50</v>
      </c>
      <c r="R91" s="11">
        <f>VLOOKUP($G91, 'ADP Data'!$C$4:$Q$300, 5, FALSE)</f>
        <v>57</v>
      </c>
      <c r="S91" s="11">
        <f>VLOOKUP($G91, 'ADP Data'!$C$4:$Q$300, 6, FALSE)</f>
        <v>48</v>
      </c>
      <c r="T91" s="11">
        <f>VLOOKUP($G91, 'ADP Data'!$C$4:$Q$300, 7, FALSE)</f>
        <v>45</v>
      </c>
      <c r="U91" s="11">
        <f>VLOOKUP($G91, 'ADP Data'!$C$4:$Q$300, 8, FALSE)</f>
        <v>68</v>
      </c>
      <c r="V91" s="11">
        <f t="shared" si="7"/>
        <v>53</v>
      </c>
      <c r="W91" s="11">
        <f t="shared" si="8"/>
        <v>5</v>
      </c>
      <c r="X91" s="11">
        <f t="shared" si="9"/>
        <v>2</v>
      </c>
      <c r="Y91" s="11">
        <f>VLOOKUP($G91, SeanRanks!$A$2:$K$303, 10, FALSE)-V91</f>
        <v>-2</v>
      </c>
      <c r="Z91" s="25">
        <f>IF(VLOOKUP($G91, SeanRanks!$A$2:$H$303, 7, FALSE)=0, "", VLOOKUP($G91, SeanRanks!$A$2:$H$303, 7, FALSE))</f>
        <v>22</v>
      </c>
    </row>
    <row r="92" spans="1:26" ht="14.25" customHeight="1" x14ac:dyDescent="0.25">
      <c r="A92" s="11"/>
      <c r="B92" s="11">
        <f t="shared" si="3"/>
        <v>10</v>
      </c>
      <c r="C92" s="11" t="s">
        <v>119</v>
      </c>
      <c r="D92" s="11">
        <v>7</v>
      </c>
      <c r="E92" s="11"/>
      <c r="F92" s="11">
        <f>VLOOKUP(G92, SeanRanks!$A$2:$E$302, 4, FALSE)</f>
        <v>0</v>
      </c>
      <c r="G92" s="11" t="s">
        <v>141</v>
      </c>
      <c r="H92" s="11" t="str">
        <f>VLOOKUP($G92, 'ADP Data'!$C$4:$Q$300, 2, FALSE)</f>
        <v>DAL</v>
      </c>
      <c r="I92" s="11">
        <f>VLOOKUP(G92, 'ADP Data'!$C$4:$R$498, 12, FALSE)</f>
        <v>122</v>
      </c>
      <c r="J92" s="59" t="str">
        <f>VLOOKUP($G92, SeanRanks!$A$2:$H$303, 5, FALSE)</f>
        <v>No</v>
      </c>
      <c r="K92" s="11" t="str">
        <f>IF(VLOOKUP($G92, SeanRanks!$A$2:$H$303, 6, FALSE)=0, "", VLOOKUP($G92, SeanRanks!$A$2:$H$303, 6, FALSE))</f>
        <v>RB4 - 2 - low ceiling</v>
      </c>
      <c r="L92" s="11">
        <f t="shared" si="4"/>
        <v>9</v>
      </c>
      <c r="M92" s="11">
        <f>VLOOKUP($G92, 'ADP Data'!$C$4:$Q$300, 9, FALSE)</f>
        <v>100</v>
      </c>
      <c r="N92" s="11">
        <f t="shared" si="5"/>
        <v>-12</v>
      </c>
      <c r="O92" s="11">
        <f>VLOOKUP($G92, 'ADP Data'!$C$4:$Q$300, 3, FALSE)</f>
        <v>108</v>
      </c>
      <c r="P92" s="11">
        <f t="shared" si="6"/>
        <v>-8</v>
      </c>
      <c r="Q92" s="11">
        <f>VLOOKUP($G92, 'ADP Data'!$C$4:$Q$300, 4, FALSE)</f>
        <v>103</v>
      </c>
      <c r="R92" s="11">
        <f>VLOOKUP($G92, 'ADP Data'!$C$4:$Q$300, 5, FALSE)</f>
        <v>117</v>
      </c>
      <c r="S92" s="11">
        <f>VLOOKUP($G92, 'ADP Data'!$C$4:$Q$300, 6, FALSE)</f>
        <v>106</v>
      </c>
      <c r="T92" s="11">
        <f>VLOOKUP($G92, 'ADP Data'!$C$4:$Q$300, 7, FALSE)</f>
        <v>106</v>
      </c>
      <c r="U92" s="11">
        <f>VLOOKUP($G92, 'ADP Data'!$C$4:$Q$300, 8, FALSE)</f>
        <v>150</v>
      </c>
      <c r="V92" s="11">
        <f t="shared" si="7"/>
        <v>112</v>
      </c>
      <c r="W92" s="11">
        <f t="shared" si="8"/>
        <v>10</v>
      </c>
      <c r="X92" s="11">
        <f t="shared" si="9"/>
        <v>-3</v>
      </c>
      <c r="Y92" s="11">
        <f>VLOOKUP($G92, SeanRanks!$A$2:$K$303, 10, FALSE)-V92</f>
        <v>0</v>
      </c>
      <c r="Z92" s="25">
        <f>IF(VLOOKUP($G92, SeanRanks!$A$2:$H$303, 7, FALSE)=0, "", VLOOKUP($G92, SeanRanks!$A$2:$H$303, 7, FALSE))</f>
        <v>52</v>
      </c>
    </row>
    <row r="93" spans="1:26" ht="14.25" customHeight="1" x14ac:dyDescent="0.25">
      <c r="A93" s="11"/>
      <c r="B93" s="11">
        <f t="shared" si="3"/>
        <v>7</v>
      </c>
      <c r="C93" s="11" t="s">
        <v>119</v>
      </c>
      <c r="D93" s="11">
        <v>9</v>
      </c>
      <c r="E93" s="11"/>
      <c r="F93" s="11">
        <f>VLOOKUP(G93, SeanRanks!$A$2:$E$302, 4, FALSE)</f>
        <v>0</v>
      </c>
      <c r="G93" s="11" t="s">
        <v>202</v>
      </c>
      <c r="H93" s="11" t="str">
        <f>VLOOKUP($G93, 'ADP Data'!$C$4:$Q$300, 2, FALSE)</f>
        <v>CHI</v>
      </c>
      <c r="I93" s="11">
        <f>VLOOKUP(G93, 'ADP Data'!$C$4:$R$498, 12, FALSE)</f>
        <v>66</v>
      </c>
      <c r="J93" s="28">
        <f>VLOOKUP($G93, SeanRanks!$A$2:$H$303, 5, FALSE)</f>
        <v>0</v>
      </c>
      <c r="K93" s="11" t="str">
        <f>IF(VLOOKUP($G93, SeanRanks!$A$2:$H$303, 6, FALSE)=0, "", VLOOKUP($G93, SeanRanks!$A$2:$H$303, 6, FALSE))</f>
        <v>WR3 - 2 - mid, but path to big upside</v>
      </c>
      <c r="L93" s="11">
        <f t="shared" si="4"/>
        <v>7</v>
      </c>
      <c r="M93" s="11">
        <f>VLOOKUP($G93, 'ADP Data'!$C$4:$Q$300, 9, FALSE)</f>
        <v>80</v>
      </c>
      <c r="N93" s="11">
        <f t="shared" si="5"/>
        <v>0</v>
      </c>
      <c r="O93" s="11">
        <f>VLOOKUP($G93, 'ADP Data'!$C$4:$Q$300, 3, FALSE)</f>
        <v>99</v>
      </c>
      <c r="P93" s="11">
        <f t="shared" si="6"/>
        <v>-19</v>
      </c>
      <c r="Q93" s="11">
        <f>VLOOKUP($G93, 'ADP Data'!$C$4:$Q$300, 4, FALSE)</f>
        <v>76</v>
      </c>
      <c r="R93" s="11">
        <f>VLOOKUP($G93, 'ADP Data'!$C$4:$Q$300, 5, FALSE)</f>
        <v>75</v>
      </c>
      <c r="S93" s="11">
        <f>VLOOKUP($G93, 'ADP Data'!$C$4:$Q$300, 6, FALSE)</f>
        <v>77</v>
      </c>
      <c r="T93" s="11">
        <f>VLOOKUP($G93, 'ADP Data'!$C$4:$Q$300, 7, FALSE)</f>
        <v>64</v>
      </c>
      <c r="U93" s="11">
        <f>VLOOKUP($G93, 'ADP Data'!$C$4:$Q$300, 8, FALSE)</f>
        <v>89</v>
      </c>
      <c r="V93" s="11">
        <f t="shared" si="7"/>
        <v>80</v>
      </c>
      <c r="W93" s="11">
        <f t="shared" si="8"/>
        <v>7</v>
      </c>
      <c r="X93" s="11">
        <f t="shared" si="9"/>
        <v>2</v>
      </c>
      <c r="Y93" s="11">
        <f>VLOOKUP($G93, SeanRanks!$A$2:$K$303, 10, FALSE)-V93</f>
        <v>-17</v>
      </c>
      <c r="Z93" s="25">
        <f>IF(VLOOKUP($G93, SeanRanks!$A$2:$H$303, 7, FALSE)=0, "", VLOOKUP($G93, SeanRanks!$A$2:$H$303, 7, FALSE))</f>
        <v>33</v>
      </c>
    </row>
    <row r="94" spans="1:26" ht="14.25" customHeight="1" x14ac:dyDescent="0.25">
      <c r="A94" s="11"/>
      <c r="B94" s="11">
        <f t="shared" si="3"/>
        <v>9</v>
      </c>
      <c r="C94" s="11" t="s">
        <v>119</v>
      </c>
      <c r="D94" s="11">
        <v>7</v>
      </c>
      <c r="E94" s="11"/>
      <c r="F94" s="11">
        <f>VLOOKUP(G94, SeanRanks!$A$2:$E$302, 4, FALSE)</f>
        <v>0</v>
      </c>
      <c r="G94" s="11" t="s">
        <v>308</v>
      </c>
      <c r="H94" s="11" t="str">
        <f>VLOOKUP($G94, 'ADP Data'!$C$4:$Q$300, 2, FALSE)</f>
        <v>SF</v>
      </c>
      <c r="I94" s="11">
        <f>VLOOKUP(G94, 'ADP Data'!$C$4:$R$498, 12, FALSE)</f>
        <v>106</v>
      </c>
      <c r="J94" s="60">
        <f>VLOOKUP($G94, SeanRanks!$A$2:$H$303, 5, FALSE)</f>
        <v>0</v>
      </c>
      <c r="K94" s="11" t="str">
        <f>IF(VLOOKUP($G94, SeanRanks!$A$2:$H$303, 6, FALSE)=0, "", VLOOKUP($G94, SeanRanks!$A$2:$H$303, 6, FALSE))</f>
        <v>QB1 - 4 - Weekly Start</v>
      </c>
      <c r="L94" s="11">
        <f t="shared" si="4"/>
        <v>10</v>
      </c>
      <c r="M94" s="11">
        <f>VLOOKUP($G94, 'ADP Data'!$C$4:$Q$300, 9, FALSE)</f>
        <v>112</v>
      </c>
      <c r="N94" s="11">
        <f t="shared" si="5"/>
        <v>10</v>
      </c>
      <c r="O94" s="11">
        <f>VLOOKUP($G94, 'ADP Data'!$C$4:$Q$300, 3, FALSE)</f>
        <v>89</v>
      </c>
      <c r="P94" s="11">
        <f t="shared" si="6"/>
        <v>23</v>
      </c>
      <c r="Q94" s="11">
        <f>VLOOKUP($G94, 'ADP Data'!$C$4:$Q$300, 4, FALSE)</f>
        <v>79</v>
      </c>
      <c r="R94" s="11">
        <f>VLOOKUP($G94, 'ADP Data'!$C$4:$Q$300, 5, FALSE)</f>
        <v>111</v>
      </c>
      <c r="S94" s="11">
        <f>VLOOKUP($G94, 'ADP Data'!$C$4:$Q$300, 6, FALSE)</f>
        <v>110</v>
      </c>
      <c r="T94" s="11">
        <f>VLOOKUP($G94, 'ADP Data'!$C$4:$Q$300, 7, FALSE)</f>
        <v>107</v>
      </c>
      <c r="U94" s="11">
        <f>VLOOKUP($G94, 'ADP Data'!$C$4:$Q$300, 8, FALSE)</f>
        <v>106</v>
      </c>
      <c r="V94" s="11">
        <f t="shared" si="7"/>
        <v>102</v>
      </c>
      <c r="W94" s="11">
        <f t="shared" si="8"/>
        <v>9</v>
      </c>
      <c r="X94" s="11">
        <f t="shared" si="9"/>
        <v>-2</v>
      </c>
      <c r="Y94" s="11">
        <f>VLOOKUP($G94, SeanRanks!$A$2:$K$303, 10, FALSE)-V94</f>
        <v>-16</v>
      </c>
      <c r="Z94" s="25">
        <f>IF(VLOOKUP($G94, SeanRanks!$A$2:$H$303, 7, FALSE)=0, "", VLOOKUP($G94, SeanRanks!$A$2:$H$303, 7, FALSE))</f>
        <v>12</v>
      </c>
    </row>
    <row r="95" spans="1:26" ht="14.25" customHeight="1" x14ac:dyDescent="0.25">
      <c r="A95" s="11"/>
      <c r="B95" s="11">
        <f t="shared" si="3"/>
        <v>3</v>
      </c>
      <c r="C95" s="11" t="s">
        <v>119</v>
      </c>
      <c r="D95" s="11">
        <v>6</v>
      </c>
      <c r="E95" s="11"/>
      <c r="F95" s="11">
        <f>VLOOKUP(G95, SeanRanks!$A$2:$E$302, 4, FALSE)</f>
        <v>0</v>
      </c>
      <c r="G95" s="11" t="s">
        <v>51</v>
      </c>
      <c r="H95" s="11" t="str">
        <f>VLOOKUP($G95, 'ADP Data'!$C$4:$Q$300, 2, FALSE)</f>
        <v>SEA</v>
      </c>
      <c r="I95" s="11">
        <f>VLOOKUP(G95, 'ADP Data'!$C$4:$R$498, 12, FALSE)</f>
        <v>29</v>
      </c>
      <c r="J95" s="28">
        <f>VLOOKUP($G95, SeanRanks!$A$2:$H$303, 5, FALSE)</f>
        <v>0</v>
      </c>
      <c r="K95" s="11" t="str">
        <f>IF(VLOOKUP($G95, SeanRanks!$A$2:$H$303, 6, FALSE)=0, "", VLOOKUP($G95, SeanRanks!$A$2:$H$303, 6, FALSE))</f>
        <v>WR2 - 1 - WR1 upside</v>
      </c>
      <c r="L95" s="11">
        <f t="shared" si="4"/>
        <v>3</v>
      </c>
      <c r="M95" s="11">
        <f>VLOOKUP($G95, 'ADP Data'!$C$4:$Q$300, 9, FALSE)</f>
        <v>29</v>
      </c>
      <c r="N95" s="11">
        <f t="shared" si="5"/>
        <v>-4</v>
      </c>
      <c r="O95" s="11">
        <f>VLOOKUP($G95, 'ADP Data'!$C$4:$Q$300, 3, FALSE)</f>
        <v>40</v>
      </c>
      <c r="P95" s="11">
        <f t="shared" si="6"/>
        <v>-11</v>
      </c>
      <c r="Q95" s="11">
        <f>VLOOKUP($G95, 'ADP Data'!$C$4:$Q$300, 4, FALSE)</f>
        <v>37</v>
      </c>
      <c r="R95" s="11">
        <f>VLOOKUP($G95, 'ADP Data'!$C$4:$Q$300, 5, FALSE)</f>
        <v>32</v>
      </c>
      <c r="S95" s="11">
        <f>VLOOKUP($G95, 'ADP Data'!$C$4:$Q$300, 6, FALSE)</f>
        <v>31</v>
      </c>
      <c r="T95" s="11">
        <f>VLOOKUP($G95, 'ADP Data'!$C$4:$Q$300, 7, FALSE)</f>
        <v>28</v>
      </c>
      <c r="U95" s="11">
        <f>VLOOKUP($G95, 'ADP Data'!$C$4:$Q$300, 8, FALSE)</f>
        <v>39</v>
      </c>
      <c r="V95" s="11">
        <f t="shared" si="7"/>
        <v>33</v>
      </c>
      <c r="W95" s="11">
        <f t="shared" si="8"/>
        <v>3</v>
      </c>
      <c r="X95" s="11">
        <f t="shared" si="9"/>
        <v>3</v>
      </c>
      <c r="Y95" s="11">
        <f>VLOOKUP($G95, SeanRanks!$A$2:$K$303, 10, FALSE)-V95</f>
        <v>0</v>
      </c>
      <c r="Z95" s="25">
        <f>IF(VLOOKUP($G95, SeanRanks!$A$2:$H$303, 7, FALSE)=0, "", VLOOKUP($G95, SeanRanks!$A$2:$H$303, 7, FALSE))</f>
        <v>13</v>
      </c>
    </row>
    <row r="96" spans="1:26" ht="14.25" customHeight="1" x14ac:dyDescent="0.25">
      <c r="A96" s="11"/>
      <c r="B96" s="11" t="e">
        <f t="shared" si="3"/>
        <v>#N/A</v>
      </c>
      <c r="C96" s="11" t="s">
        <v>119</v>
      </c>
      <c r="D96" s="11">
        <v>6</v>
      </c>
      <c r="E96" s="11"/>
      <c r="F96" s="11" t="e">
        <f>VLOOKUP(G96, SeanRanks!$A$2:$E$302, 4, FALSE)</f>
        <v>#N/A</v>
      </c>
      <c r="G96" s="11" t="s">
        <v>213</v>
      </c>
      <c r="H96" s="11" t="e">
        <f>VLOOKUP($G96, 'ADP Data'!$C$4:$Q$300, 2, FALSE)</f>
        <v>#N/A</v>
      </c>
      <c r="I96" s="11" t="e">
        <f>VLOOKUP(G96, 'ADP Data'!$C$4:$R$498, 12, FALSE)</f>
        <v>#N/A</v>
      </c>
      <c r="J96" s="28" t="e">
        <f>VLOOKUP($G96, SeanRanks!$A$2:$H$303, 5, FALSE)</f>
        <v>#N/A</v>
      </c>
      <c r="K96" s="11" t="e">
        <f>IF(VLOOKUP($G96, SeanRanks!$A$2:$H$303, 6, FALSE)=0, "", VLOOKUP($G96, SeanRanks!$A$2:$H$303, 6, FALSE))</f>
        <v>#N/A</v>
      </c>
      <c r="L96" s="11">
        <f t="shared" si="4"/>
        <v>16</v>
      </c>
      <c r="M96" s="11" t="e">
        <f>VLOOKUP($G96, 'ADP Data'!$C$4:$Q$300, 9, FALSE)</f>
        <v>#N/A</v>
      </c>
      <c r="N96" s="11" t="e">
        <f t="shared" si="5"/>
        <v>#N/A</v>
      </c>
      <c r="O96" s="11" t="e">
        <f>VLOOKUP($G96, 'ADP Data'!$C$4:$Q$300, 3, FALSE)</f>
        <v>#N/A</v>
      </c>
      <c r="P96" s="11" t="e">
        <f t="shared" si="6"/>
        <v>#N/A</v>
      </c>
      <c r="Q96" s="11" t="e">
        <f>VLOOKUP($G96, 'ADP Data'!$C$4:$Q$300, 4, FALSE)</f>
        <v>#N/A</v>
      </c>
      <c r="R96" s="11" t="e">
        <f>VLOOKUP($G96, 'ADP Data'!$C$4:$Q$300, 5, FALSE)</f>
        <v>#N/A</v>
      </c>
      <c r="S96" s="11" t="e">
        <f>VLOOKUP($G96, 'ADP Data'!$C$4:$Q$300, 6, FALSE)</f>
        <v>#N/A</v>
      </c>
      <c r="T96" s="11" t="e">
        <f>VLOOKUP($G96, 'ADP Data'!$C$4:$Q$300, 7, FALSE)</f>
        <v>#N/A</v>
      </c>
      <c r="U96" s="11" t="e">
        <f>VLOOKUP($G96, 'ADP Data'!$C$4:$Q$300, 8, FALSE)</f>
        <v>#N/A</v>
      </c>
      <c r="V96" s="11" t="e">
        <f t="shared" si="7"/>
        <v>#N/A</v>
      </c>
      <c r="W96" s="11">
        <f t="shared" si="8"/>
        <v>16</v>
      </c>
      <c r="X96" s="11">
        <f t="shared" si="9"/>
        <v>-10</v>
      </c>
      <c r="Y96" s="11" t="e">
        <f>VLOOKUP($G96, SeanRanks!$A$2:$K$303, 10, FALSE)-V96</f>
        <v>#N/A</v>
      </c>
      <c r="Z96" s="25" t="e">
        <f>IF(VLOOKUP($G96, SeanRanks!$A$2:$H$303, 7, FALSE)=0, "", VLOOKUP($G96, SeanRanks!$A$2:$H$303, 7, FALSE))</f>
        <v>#N/A</v>
      </c>
    </row>
    <row r="97" spans="1:26" ht="14.25" customHeight="1" x14ac:dyDescent="0.25">
      <c r="A97" s="11"/>
      <c r="B97" s="11" t="e">
        <f t="shared" si="3"/>
        <v>#N/A</v>
      </c>
      <c r="C97" s="11" t="s">
        <v>119</v>
      </c>
      <c r="D97" s="11">
        <v>9</v>
      </c>
      <c r="E97" s="11"/>
      <c r="F97" s="11" t="e">
        <f>VLOOKUP(G97, SeanRanks!$A$2:$E$302, 4, FALSE)</f>
        <v>#N/A</v>
      </c>
      <c r="G97" s="11" t="s">
        <v>244</v>
      </c>
      <c r="H97" s="11" t="e">
        <f>VLOOKUP($G97, 'ADP Data'!$C$4:$Q$300, 2, FALSE)</f>
        <v>#N/A</v>
      </c>
      <c r="I97" s="11" t="e">
        <f>VLOOKUP(G97, 'ADP Data'!$C$4:$R$498, 12, FALSE)</f>
        <v>#N/A</v>
      </c>
      <c r="J97" s="44" t="e">
        <f>VLOOKUP($G97, SeanRanks!$A$2:$H$303, 5, FALSE)</f>
        <v>#N/A</v>
      </c>
      <c r="K97" s="11" t="e">
        <f>IF(VLOOKUP($G97, SeanRanks!$A$2:$H$303, 6, FALSE)=0, "", VLOOKUP($G97, SeanRanks!$A$2:$H$303, 6, FALSE))</f>
        <v>#N/A</v>
      </c>
      <c r="L97" s="11">
        <f t="shared" si="4"/>
        <v>16</v>
      </c>
      <c r="M97" s="11" t="e">
        <f>VLOOKUP($G97, 'ADP Data'!$C$4:$Q$300, 9, FALSE)</f>
        <v>#N/A</v>
      </c>
      <c r="N97" s="11" t="e">
        <f t="shared" si="5"/>
        <v>#N/A</v>
      </c>
      <c r="O97" s="11" t="e">
        <f>VLOOKUP($G97, 'ADP Data'!$C$4:$Q$300, 3, FALSE)</f>
        <v>#N/A</v>
      </c>
      <c r="P97" s="11" t="e">
        <f t="shared" si="6"/>
        <v>#N/A</v>
      </c>
      <c r="Q97" s="11" t="e">
        <f>VLOOKUP($G97, 'ADP Data'!$C$4:$Q$300, 4, FALSE)</f>
        <v>#N/A</v>
      </c>
      <c r="R97" s="11" t="e">
        <f>VLOOKUP($G97, 'ADP Data'!$C$4:$Q$300, 5, FALSE)</f>
        <v>#N/A</v>
      </c>
      <c r="S97" s="11" t="e">
        <f>VLOOKUP($G97, 'ADP Data'!$C$4:$Q$300, 6, FALSE)</f>
        <v>#N/A</v>
      </c>
      <c r="T97" s="11" t="e">
        <f>VLOOKUP($G97, 'ADP Data'!$C$4:$Q$300, 7, FALSE)</f>
        <v>#N/A</v>
      </c>
      <c r="U97" s="11" t="e">
        <f>VLOOKUP($G97, 'ADP Data'!$C$4:$Q$300, 8, FALSE)</f>
        <v>#N/A</v>
      </c>
      <c r="V97" s="11" t="e">
        <f t="shared" si="7"/>
        <v>#N/A</v>
      </c>
      <c r="W97" s="11">
        <f t="shared" si="8"/>
        <v>16</v>
      </c>
      <c r="X97" s="11">
        <f t="shared" si="9"/>
        <v>-7</v>
      </c>
      <c r="Y97" s="11" t="e">
        <f>VLOOKUP($G97, SeanRanks!$A$2:$K$303, 10, FALSE)-V97</f>
        <v>#N/A</v>
      </c>
      <c r="Z97" s="25" t="e">
        <f>IF(VLOOKUP($G97, SeanRanks!$A$2:$H$303, 7, FALSE)=0, "", VLOOKUP($G97, SeanRanks!$A$2:$H$303, 7, FALSE))</f>
        <v>#N/A</v>
      </c>
    </row>
    <row r="98" spans="1:26" ht="14.25" customHeight="1" x14ac:dyDescent="0.25">
      <c r="A98" s="11" t="s">
        <v>148</v>
      </c>
      <c r="B98" s="11">
        <f t="shared" si="3"/>
        <v>3</v>
      </c>
      <c r="C98" s="11" t="s">
        <v>119</v>
      </c>
      <c r="D98" s="11">
        <v>7</v>
      </c>
      <c r="E98" s="11"/>
      <c r="F98" s="11">
        <f>VLOOKUP(G98, SeanRanks!$A$2:$E$302, 4, FALSE)</f>
        <v>0</v>
      </c>
      <c r="G98" s="11" t="s">
        <v>224</v>
      </c>
      <c r="H98" s="11" t="str">
        <f>VLOOKUP($G98, 'ADP Data'!$C$4:$Q$300, 2, FALSE)</f>
        <v>WAS</v>
      </c>
      <c r="I98" s="11">
        <f>VLOOKUP(G98, 'ADP Data'!$C$4:$R$498, 12, FALSE)</f>
        <v>36</v>
      </c>
      <c r="J98" s="60">
        <f>VLOOKUP($G98, SeanRanks!$A$2:$H$303, 5, FALSE)</f>
        <v>0</v>
      </c>
      <c r="K98" s="11" t="str">
        <f>IF(VLOOKUP($G98, SeanRanks!$A$2:$H$303, 6, FALSE)=0, "", VLOOKUP($G98, SeanRanks!$A$2:$H$303, 6, FALSE))</f>
        <v>QB1 - 2 - QB1 Upside</v>
      </c>
      <c r="L98" s="11">
        <f t="shared" si="4"/>
        <v>3</v>
      </c>
      <c r="M98" s="11">
        <f>VLOOKUP($G98, 'ADP Data'!$C$4:$Q$300, 9, FALSE)</f>
        <v>33</v>
      </c>
      <c r="N98" s="11">
        <f t="shared" si="5"/>
        <v>0</v>
      </c>
      <c r="O98" s="11">
        <f>VLOOKUP($G98, 'ADP Data'!$C$4:$Q$300, 3, FALSE)</f>
        <v>30</v>
      </c>
      <c r="P98" s="11">
        <f t="shared" si="6"/>
        <v>3</v>
      </c>
      <c r="Q98" s="11">
        <f>VLOOKUP($G98, 'ADP Data'!$C$4:$Q$300, 4, FALSE)</f>
        <v>27</v>
      </c>
      <c r="R98" s="11">
        <f>VLOOKUP($G98, 'ADP Data'!$C$4:$Q$300, 5, FALSE)</f>
        <v>42</v>
      </c>
      <c r="S98" s="11">
        <f>VLOOKUP($G98, 'ADP Data'!$C$4:$Q$300, 6, FALSE)</f>
        <v>35</v>
      </c>
      <c r="T98" s="11">
        <f>VLOOKUP($G98, 'ADP Data'!$C$4:$Q$300, 7, FALSE)</f>
        <v>35</v>
      </c>
      <c r="U98" s="11">
        <f>VLOOKUP($G98, 'ADP Data'!$C$4:$Q$300, 8, FALSE)</f>
        <v>29</v>
      </c>
      <c r="V98" s="11">
        <f t="shared" si="7"/>
        <v>33</v>
      </c>
      <c r="W98" s="11">
        <f t="shared" si="8"/>
        <v>3</v>
      </c>
      <c r="X98" s="11">
        <f t="shared" si="9"/>
        <v>4</v>
      </c>
      <c r="Y98" s="11">
        <f>VLOOKUP($G98, SeanRanks!$A$2:$K$303, 10, FALSE)-V98</f>
        <v>-3</v>
      </c>
      <c r="Z98" s="25">
        <f>IF(VLOOKUP($G98, SeanRanks!$A$2:$H$303, 7, FALSE)=0, "", VLOOKUP($G98, SeanRanks!$A$2:$H$303, 7, FALSE))</f>
        <v>4</v>
      </c>
    </row>
    <row r="99" spans="1:26" ht="14.25" customHeight="1" x14ac:dyDescent="0.25">
      <c r="A99" s="11"/>
      <c r="B99" s="11">
        <f t="shared" si="3"/>
        <v>14</v>
      </c>
      <c r="C99" s="11" t="s">
        <v>119</v>
      </c>
      <c r="D99" s="11">
        <v>9</v>
      </c>
      <c r="E99" s="11"/>
      <c r="F99" s="11">
        <f>VLOOKUP(G99, SeanRanks!$A$2:$E$302, 4, FALSE)</f>
        <v>0</v>
      </c>
      <c r="G99" s="11" t="s">
        <v>823</v>
      </c>
      <c r="H99" s="11" t="str">
        <f>VLOOKUP($G99, 'ADP Data'!$C$4:$Q$300, 2, FALSE)</f>
        <v>KC</v>
      </c>
      <c r="I99" s="11">
        <f>VLOOKUP(G99, 'ADP Data'!$C$4:$R$498, 12, FALSE)</f>
        <v>151</v>
      </c>
      <c r="J99" s="40">
        <f>VLOOKUP($G99, SeanRanks!$A$2:$H$303, 5, FALSE)</f>
        <v>0</v>
      </c>
      <c r="K99" s="11" t="str">
        <f>IF(VLOOKUP($G99, SeanRanks!$A$2:$H$303, 6, FALSE)=0, "", VLOOKUP($G99, SeanRanks!$A$2:$H$303, 6, FALSE))</f>
        <v/>
      </c>
      <c r="L99" s="11">
        <f t="shared" si="4"/>
        <v>16</v>
      </c>
      <c r="M99" s="11">
        <f>VLOOKUP($G99, 'ADP Data'!$C$4:$Q$300, 9, FALSE)</f>
        <v>190</v>
      </c>
      <c r="N99" s="11">
        <f t="shared" si="5"/>
        <v>16</v>
      </c>
      <c r="O99" s="11">
        <f>VLOOKUP($G99, 'ADP Data'!$C$4:$Q$300, 3, FALSE)</f>
        <v>214</v>
      </c>
      <c r="P99" s="11">
        <f t="shared" si="6"/>
        <v>-24</v>
      </c>
      <c r="Q99" s="11">
        <f>VLOOKUP($G99, 'ADP Data'!$C$4:$Q$300, 4, FALSE)</f>
        <v>170</v>
      </c>
      <c r="R99" s="11">
        <f>VLOOKUP($G99, 'ADP Data'!$C$4:$Q$300, 5, FALSE)</f>
        <v>211</v>
      </c>
      <c r="S99" s="11">
        <f>VLOOKUP($G99, 'ADP Data'!$C$4:$Q$300, 6, FALSE)</f>
        <v>162</v>
      </c>
      <c r="T99" s="11">
        <f>VLOOKUP($G99, 'ADP Data'!$C$4:$Q$300, 7, FALSE)</f>
        <v>150</v>
      </c>
      <c r="U99" s="11">
        <f>VLOOKUP($G99, 'ADP Data'!$C$4:$Q$300, 8, FALSE)</f>
        <v>126</v>
      </c>
      <c r="V99" s="11">
        <f t="shared" si="7"/>
        <v>174</v>
      </c>
      <c r="W99" s="11">
        <f t="shared" si="8"/>
        <v>15</v>
      </c>
      <c r="X99" s="11">
        <f t="shared" si="9"/>
        <v>-6</v>
      </c>
      <c r="Y99" s="11">
        <f>VLOOKUP($G99, SeanRanks!$A$2:$K$303, 10, FALSE)-V99</f>
        <v>0</v>
      </c>
      <c r="Z99" s="25" t="str">
        <f>IF(VLOOKUP($G99, SeanRanks!$A$2:$H$303, 7, FALSE)=0, "", VLOOKUP($G99, SeanRanks!$A$2:$H$303, 7, FALSE))</f>
        <v/>
      </c>
    </row>
    <row r="100" spans="1:26" ht="14.25" customHeight="1" x14ac:dyDescent="0.25">
      <c r="A100" s="11"/>
      <c r="B100" s="11" t="e">
        <f t="shared" si="3"/>
        <v>#N/A</v>
      </c>
      <c r="C100" s="11" t="s">
        <v>119</v>
      </c>
      <c r="D100" s="11">
        <v>9</v>
      </c>
      <c r="E100" s="11"/>
      <c r="F100" s="11" t="e">
        <f>VLOOKUP(G100, SeanRanks!$A$2:$E$302, 4, FALSE)</f>
        <v>#N/A</v>
      </c>
      <c r="G100" s="11" t="s">
        <v>900</v>
      </c>
      <c r="H100" s="11" t="e">
        <f>VLOOKUP($G100, 'ADP Data'!$C$4:$Q$300, 2, FALSE)</f>
        <v>#N/A</v>
      </c>
      <c r="I100" s="11" t="e">
        <f>VLOOKUP(G100, 'ADP Data'!$C$4:$R$498, 12, FALSE)</f>
        <v>#N/A</v>
      </c>
      <c r="J100" s="58" t="e">
        <f>VLOOKUP($G100, SeanRanks!$A$2:$H$303, 5, FALSE)</f>
        <v>#N/A</v>
      </c>
      <c r="K100" s="11" t="e">
        <f>IF(VLOOKUP($G100, SeanRanks!$A$2:$H$303, 6, FALSE)=0, "", VLOOKUP($G100, SeanRanks!$A$2:$H$303, 6, FALSE))</f>
        <v>#N/A</v>
      </c>
      <c r="L100" s="11">
        <f t="shared" si="4"/>
        <v>16</v>
      </c>
      <c r="M100" s="11" t="e">
        <f>VLOOKUP($G100, 'ADP Data'!$C$4:$Q$300, 9, FALSE)</f>
        <v>#N/A</v>
      </c>
      <c r="N100" s="11" t="e">
        <f t="shared" si="5"/>
        <v>#N/A</v>
      </c>
      <c r="O100" s="11" t="e">
        <f>VLOOKUP($G100, 'ADP Data'!$C$4:$Q$300, 3, FALSE)</f>
        <v>#N/A</v>
      </c>
      <c r="P100" s="11" t="e">
        <f t="shared" si="6"/>
        <v>#N/A</v>
      </c>
      <c r="Q100" s="11" t="e">
        <f>VLOOKUP($G100, 'ADP Data'!$C$4:$Q$300, 4, FALSE)</f>
        <v>#N/A</v>
      </c>
      <c r="R100" s="11" t="e">
        <f>VLOOKUP($G100, 'ADP Data'!$C$4:$Q$300, 5, FALSE)</f>
        <v>#N/A</v>
      </c>
      <c r="S100" s="11" t="e">
        <f>VLOOKUP($G100, 'ADP Data'!$C$4:$Q$300, 6, FALSE)</f>
        <v>#N/A</v>
      </c>
      <c r="T100" s="11" t="e">
        <f>VLOOKUP($G100, 'ADP Data'!$C$4:$Q$300, 7, FALSE)</f>
        <v>#N/A</v>
      </c>
      <c r="U100" s="11" t="e">
        <f>VLOOKUP($G100, 'ADP Data'!$C$4:$Q$300, 8, FALSE)</f>
        <v>#N/A</v>
      </c>
      <c r="V100" s="11" t="e">
        <f t="shared" si="7"/>
        <v>#N/A</v>
      </c>
      <c r="W100" s="11">
        <f t="shared" si="8"/>
        <v>16</v>
      </c>
      <c r="X100" s="11">
        <f t="shared" si="9"/>
        <v>-7</v>
      </c>
      <c r="Y100" s="11" t="e">
        <f>VLOOKUP($G100, SeanRanks!$A$2:$K$303, 10, FALSE)-V100</f>
        <v>#N/A</v>
      </c>
      <c r="Z100" s="25" t="e">
        <f>IF(VLOOKUP($G100, SeanRanks!$A$2:$H$303, 7, FALSE)=0, "", VLOOKUP($G100, SeanRanks!$A$2:$H$303, 7, FALSE))</f>
        <v>#N/A</v>
      </c>
    </row>
    <row r="101" spans="1:26" ht="14.25" customHeight="1" x14ac:dyDescent="0.25">
      <c r="A101" s="11" t="s">
        <v>148</v>
      </c>
      <c r="B101" s="11">
        <f t="shared" si="3"/>
        <v>16</v>
      </c>
      <c r="C101" s="11" t="s">
        <v>119</v>
      </c>
      <c r="D101" s="11"/>
      <c r="E101" s="11"/>
      <c r="F101" s="11">
        <f>VLOOKUP(G101, SeanRanks!$A$2:$E$302, 4, FALSE)</f>
        <v>0</v>
      </c>
      <c r="G101" s="11" t="s">
        <v>381</v>
      </c>
      <c r="H101" s="11" t="str">
        <f>VLOOKUP($G101, 'ADP Data'!$C$4:$Q$300, 2, FALSE)</f>
        <v>TEN</v>
      </c>
      <c r="I101" s="11">
        <f>VLOOKUP(G101, 'ADP Data'!$C$4:$R$498, 12, FALSE)</f>
        <v>181</v>
      </c>
      <c r="J101" s="58">
        <f>VLOOKUP($G101, SeanRanks!$A$2:$H$303, 5, FALSE)</f>
        <v>0</v>
      </c>
      <c r="K101" s="11" t="str">
        <f>IF(VLOOKUP($G101, SeanRanks!$A$2:$H$303, 6, FALSE)=0, "", VLOOKUP($G101, SeanRanks!$A$2:$H$303, 6, FALSE))</f>
        <v>RB4 - 1 - Path to spikes</v>
      </c>
      <c r="L101" s="11">
        <f t="shared" si="4"/>
        <v>11</v>
      </c>
      <c r="M101" s="11">
        <f>VLOOKUP($G101, 'ADP Data'!$C$4:$Q$300, 9, FALSE)</f>
        <v>123</v>
      </c>
      <c r="N101" s="11">
        <f t="shared" si="5"/>
        <v>-48</v>
      </c>
      <c r="O101" s="11">
        <f>VLOOKUP($G101, 'ADP Data'!$C$4:$Q$300, 3, FALSE)</f>
        <v>163</v>
      </c>
      <c r="P101" s="11">
        <f t="shared" si="6"/>
        <v>-40</v>
      </c>
      <c r="Q101" s="11">
        <f>VLOOKUP($G101, 'ADP Data'!$C$4:$Q$300, 4, FALSE)</f>
        <v>165</v>
      </c>
      <c r="R101" s="11">
        <f>VLOOKUP($G101, 'ADP Data'!$C$4:$Q$300, 5, FALSE)</f>
        <v>253</v>
      </c>
      <c r="S101" s="11">
        <f>VLOOKUP($G101, 'ADP Data'!$C$4:$Q$300, 6, FALSE)</f>
        <v>152</v>
      </c>
      <c r="T101" s="11">
        <f>VLOOKUP($G101, 'ADP Data'!$C$4:$Q$300, 7, FALSE)</f>
        <v>149</v>
      </c>
      <c r="U101" s="11">
        <f>VLOOKUP($G101, 'ADP Data'!$C$4:$Q$300, 8, FALSE)</f>
        <v>198</v>
      </c>
      <c r="V101" s="11">
        <f t="shared" si="7"/>
        <v>171</v>
      </c>
      <c r="W101" s="11">
        <f t="shared" si="8"/>
        <v>15</v>
      </c>
      <c r="X101" s="11">
        <f t="shared" si="9"/>
        <v>-15</v>
      </c>
      <c r="Y101" s="11">
        <f>VLOOKUP($G101, SeanRanks!$A$2:$K$303, 10, FALSE)-V101</f>
        <v>-40</v>
      </c>
      <c r="Z101" s="25">
        <f>IF(VLOOKUP($G101, SeanRanks!$A$2:$H$303, 7, FALSE)=0, "", VLOOKUP($G101, SeanRanks!$A$2:$H$303, 7, FALSE))</f>
        <v>40</v>
      </c>
    </row>
    <row r="102" spans="1:26" ht="14.25" customHeight="1" x14ac:dyDescent="0.25">
      <c r="A102" s="11"/>
      <c r="B102" s="11">
        <f t="shared" si="3"/>
        <v>12</v>
      </c>
      <c r="C102" s="11" t="s">
        <v>119</v>
      </c>
      <c r="D102" s="11">
        <v>9</v>
      </c>
      <c r="E102" s="11"/>
      <c r="F102" s="11">
        <f>VLOOKUP(G102, SeanRanks!$A$2:$E$302, 4, FALSE)</f>
        <v>0</v>
      </c>
      <c r="G102" s="11" t="s">
        <v>898</v>
      </c>
      <c r="H102" s="11" t="str">
        <f>VLOOKUP($G102, 'ADP Data'!$C$4:$Q$300, 2, FALSE)</f>
        <v>WAS</v>
      </c>
      <c r="I102" s="11">
        <f>VLOOKUP(G102, 'ADP Data'!$C$4:$R$498, 12, FALSE)</f>
        <v>124</v>
      </c>
      <c r="J102" s="58">
        <f>VLOOKUP($G102, SeanRanks!$A$2:$H$303, 5, FALSE)</f>
        <v>0</v>
      </c>
      <c r="K102" s="11" t="str">
        <f>IF(VLOOKUP($G102, SeanRanks!$A$2:$H$303, 6, FALSE)=0, "", VLOOKUP($G102, SeanRanks!$A$2:$H$303, 6, FALSE))</f>
        <v>RB4 - 2 - low ceiling</v>
      </c>
      <c r="L102" s="11">
        <f t="shared" si="4"/>
        <v>11</v>
      </c>
      <c r="M102" s="11">
        <f>VLOOKUP($G102, 'ADP Data'!$C$4:$Q$300, 9, FALSE)</f>
        <v>130</v>
      </c>
      <c r="N102" s="11">
        <f t="shared" si="5"/>
        <v>5</v>
      </c>
      <c r="O102" s="11">
        <f>VLOOKUP($G102, 'ADP Data'!$C$4:$Q$300, 3, FALSE)</f>
        <v>86</v>
      </c>
      <c r="P102" s="11">
        <f t="shared" si="6"/>
        <v>44</v>
      </c>
      <c r="Q102" s="11">
        <f>VLOOKUP($G102, 'ADP Data'!$C$4:$Q$300, 4, FALSE)</f>
        <v>96</v>
      </c>
      <c r="R102" s="11">
        <f>VLOOKUP($G102, 'ADP Data'!$C$4:$Q$300, 5, FALSE)</f>
        <v>172</v>
      </c>
      <c r="S102" s="11">
        <f>VLOOKUP($G102, 'ADP Data'!$C$4:$Q$300, 6, FALSE)</f>
        <v>109</v>
      </c>
      <c r="T102" s="11">
        <f>VLOOKUP($G102, 'ADP Data'!$C$4:$Q$300, 7, FALSE)</f>
        <v>142</v>
      </c>
      <c r="U102" s="11">
        <f>VLOOKUP($G102, 'ADP Data'!$C$4:$Q$300, 8, FALSE)</f>
        <v>143</v>
      </c>
      <c r="V102" s="11">
        <f t="shared" si="7"/>
        <v>125</v>
      </c>
      <c r="W102" s="11">
        <f t="shared" si="8"/>
        <v>11</v>
      </c>
      <c r="X102" s="11">
        <f t="shared" si="9"/>
        <v>-2</v>
      </c>
      <c r="Y102" s="11">
        <f>VLOOKUP($G102, SeanRanks!$A$2:$K$303, 10, FALSE)-V102</f>
        <v>-21</v>
      </c>
      <c r="Z102" s="25">
        <f>IF(VLOOKUP($G102, SeanRanks!$A$2:$H$303, 7, FALSE)=0, "", VLOOKUP($G102, SeanRanks!$A$2:$H$303, 7, FALSE))</f>
        <v>49</v>
      </c>
    </row>
    <row r="103" spans="1:26" ht="14.25" customHeight="1" x14ac:dyDescent="0.25">
      <c r="A103" s="11"/>
      <c r="B103" s="11">
        <f t="shared" si="3"/>
        <v>2</v>
      </c>
      <c r="C103" s="11" t="s">
        <v>119</v>
      </c>
      <c r="D103" s="11">
        <v>10</v>
      </c>
      <c r="E103" s="11"/>
      <c r="F103" s="11">
        <f>VLOOKUP(G103, SeanRanks!$A$2:$E$302, 4, FALSE)</f>
        <v>0</v>
      </c>
      <c r="G103" s="11" t="s">
        <v>98</v>
      </c>
      <c r="H103" s="11" t="str">
        <f>VLOOKUP($G103, 'ADP Data'!$C$4:$Q$300, 2, FALSE)</f>
        <v>LV</v>
      </c>
      <c r="I103" s="11">
        <f>VLOOKUP(G103, 'ADP Data'!$C$4:$R$498, 12, FALSE)</f>
        <v>19</v>
      </c>
      <c r="J103" s="57">
        <f>VLOOKUP($G103, SeanRanks!$A$2:$H$303, 5, FALSE)</f>
        <v>0</v>
      </c>
      <c r="K103" s="11" t="str">
        <f>IF(VLOOKUP($G103, SeanRanks!$A$2:$H$303, 6, FALSE)=0, "", VLOOKUP($G103, SeanRanks!$A$2:$H$303, 6, FALSE))</f>
        <v>TE1 - 1 - Elite</v>
      </c>
      <c r="L103" s="11">
        <f t="shared" si="4"/>
        <v>2</v>
      </c>
      <c r="M103" s="11">
        <f>VLOOKUP($G103, 'ADP Data'!$C$4:$Q$300, 9, FALSE)</f>
        <v>19</v>
      </c>
      <c r="N103" s="11">
        <f t="shared" si="5"/>
        <v>2</v>
      </c>
      <c r="O103" s="11">
        <f>VLOOKUP($G103, 'ADP Data'!$C$4:$Q$300, 3, FALSE)</f>
        <v>24</v>
      </c>
      <c r="P103" s="11">
        <f t="shared" si="6"/>
        <v>-5</v>
      </c>
      <c r="Q103" s="11">
        <f>VLOOKUP($G103, 'ADP Data'!$C$4:$Q$300, 4, FALSE)</f>
        <v>20</v>
      </c>
      <c r="R103" s="11">
        <f>VLOOKUP($G103, 'ADP Data'!$C$4:$Q$300, 5, FALSE)</f>
        <v>19</v>
      </c>
      <c r="S103" s="11">
        <f>VLOOKUP($G103, 'ADP Data'!$C$4:$Q$300, 6, FALSE)</f>
        <v>7</v>
      </c>
      <c r="T103" s="11">
        <f>VLOOKUP($G103, 'ADP Data'!$C$4:$Q$300, 7, FALSE)</f>
        <v>18</v>
      </c>
      <c r="U103" s="11">
        <f>VLOOKUP($G103, 'ADP Data'!$C$4:$Q$300, 8, FALSE)</f>
        <v>17</v>
      </c>
      <c r="V103" s="11">
        <f t="shared" si="7"/>
        <v>17</v>
      </c>
      <c r="W103" s="11">
        <f t="shared" si="8"/>
        <v>2</v>
      </c>
      <c r="X103" s="11">
        <f t="shared" si="9"/>
        <v>8</v>
      </c>
      <c r="Y103" s="11">
        <f>VLOOKUP($G103, SeanRanks!$A$2:$K$303, 10, FALSE)-V103</f>
        <v>6</v>
      </c>
      <c r="Z103" s="25">
        <f>IF(VLOOKUP($G103, SeanRanks!$A$2:$H$303, 7, FALSE)=0, "", VLOOKUP($G103, SeanRanks!$A$2:$H$303, 7, FALSE))</f>
        <v>1</v>
      </c>
    </row>
    <row r="104" spans="1:26" ht="14.25" customHeight="1" x14ac:dyDescent="0.25">
      <c r="A104" s="11"/>
      <c r="B104" s="11" t="e">
        <f t="shared" si="3"/>
        <v>#N/A</v>
      </c>
      <c r="C104" s="11" t="s">
        <v>119</v>
      </c>
      <c r="D104" s="11">
        <v>7</v>
      </c>
      <c r="E104" s="11"/>
      <c r="F104" s="11" t="e">
        <f>VLOOKUP(G104, SeanRanks!$A$2:$E$302, 4, FALSE)</f>
        <v>#N/A</v>
      </c>
      <c r="G104" s="11" t="s">
        <v>899</v>
      </c>
      <c r="H104" s="11" t="e">
        <f>VLOOKUP($G104, 'ADP Data'!$C$4:$Q$300, 2, FALSE)</f>
        <v>#N/A</v>
      </c>
      <c r="I104" s="11" t="e">
        <f>VLOOKUP(G104, 'ADP Data'!$C$4:$R$498, 12, FALSE)</f>
        <v>#N/A</v>
      </c>
      <c r="J104" s="59" t="e">
        <f>VLOOKUP($G104, SeanRanks!$A$2:$H$303, 5, FALSE)</f>
        <v>#N/A</v>
      </c>
      <c r="K104" s="11" t="e">
        <f>IF(VLOOKUP($G104, SeanRanks!$A$2:$H$303, 6, FALSE)=0, "", VLOOKUP($G104, SeanRanks!$A$2:$H$303, 6, FALSE))</f>
        <v>#N/A</v>
      </c>
      <c r="L104" s="11">
        <f t="shared" si="4"/>
        <v>16</v>
      </c>
      <c r="M104" s="11" t="e">
        <f>VLOOKUP($G104, 'ADP Data'!$C$4:$Q$300, 9, FALSE)</f>
        <v>#N/A</v>
      </c>
      <c r="N104" s="11" t="e">
        <f t="shared" si="5"/>
        <v>#N/A</v>
      </c>
      <c r="O104" s="11" t="e">
        <f>VLOOKUP($G104, 'ADP Data'!$C$4:$Q$300, 3, FALSE)</f>
        <v>#N/A</v>
      </c>
      <c r="P104" s="11" t="e">
        <f t="shared" si="6"/>
        <v>#N/A</v>
      </c>
      <c r="Q104" s="11" t="e">
        <f>VLOOKUP($G104, 'ADP Data'!$C$4:$Q$300, 4, FALSE)</f>
        <v>#N/A</v>
      </c>
      <c r="R104" s="11" t="e">
        <f>VLOOKUP($G104, 'ADP Data'!$C$4:$Q$300, 5, FALSE)</f>
        <v>#N/A</v>
      </c>
      <c r="S104" s="11" t="e">
        <f>VLOOKUP($G104, 'ADP Data'!$C$4:$Q$300, 6, FALSE)</f>
        <v>#N/A</v>
      </c>
      <c r="T104" s="11" t="e">
        <f>VLOOKUP($G104, 'ADP Data'!$C$4:$Q$300, 7, FALSE)</f>
        <v>#N/A</v>
      </c>
      <c r="U104" s="11" t="e">
        <f>VLOOKUP($G104, 'ADP Data'!$C$4:$Q$300, 8, FALSE)</f>
        <v>#N/A</v>
      </c>
      <c r="V104" s="11" t="e">
        <f t="shared" si="7"/>
        <v>#N/A</v>
      </c>
      <c r="W104" s="11">
        <f t="shared" si="8"/>
        <v>16</v>
      </c>
      <c r="X104" s="11">
        <f t="shared" si="9"/>
        <v>-9</v>
      </c>
      <c r="Y104" s="11" t="e">
        <f>VLOOKUP($G104, SeanRanks!$A$2:$K$303, 10, FALSE)-V104</f>
        <v>#N/A</v>
      </c>
      <c r="Z104" s="25" t="e">
        <f>IF(VLOOKUP($G104, SeanRanks!$A$2:$H$303, 7, FALSE)=0, "", VLOOKUP($G104, SeanRanks!$A$2:$H$303, 7, FALSE))</f>
        <v>#N/A</v>
      </c>
    </row>
    <row r="105" spans="1:26" ht="14.25" customHeight="1" x14ac:dyDescent="0.25">
      <c r="A105" s="11"/>
      <c r="B105" s="11">
        <f t="shared" si="3"/>
        <v>3</v>
      </c>
      <c r="C105" s="11" t="s">
        <v>119</v>
      </c>
      <c r="D105" s="11">
        <v>9</v>
      </c>
      <c r="E105" s="11"/>
      <c r="F105" s="11">
        <f>VLOOKUP(G105, SeanRanks!$A$2:$E$302, 4, FALSE)</f>
        <v>0</v>
      </c>
      <c r="G105" s="11" t="s">
        <v>165</v>
      </c>
      <c r="H105" s="11" t="str">
        <f>VLOOKUP($G105, 'ADP Data'!$C$4:$Q$300, 2, FALSE)</f>
        <v>LAC</v>
      </c>
      <c r="I105" s="11">
        <f>VLOOKUP(G105, 'ADP Data'!$C$4:$R$498, 12, FALSE)</f>
        <v>22</v>
      </c>
      <c r="J105" s="28">
        <f>VLOOKUP($G105, SeanRanks!$A$2:$H$303, 5, FALSE)</f>
        <v>0</v>
      </c>
      <c r="K105" s="11" t="str">
        <f>IF(VLOOKUP($G105, SeanRanks!$A$2:$H$303, 6, FALSE)=0, "", VLOOKUP($G105, SeanRanks!$A$2:$H$303, 6, FALSE))</f>
        <v>WR1 - 3 - Inconsistent</v>
      </c>
      <c r="L105" s="11">
        <f t="shared" si="4"/>
        <v>3</v>
      </c>
      <c r="M105" s="11">
        <f>VLOOKUP($G105, 'ADP Data'!$C$4:$Q$300, 9, FALSE)</f>
        <v>24</v>
      </c>
      <c r="N105" s="11">
        <f t="shared" si="5"/>
        <v>-1</v>
      </c>
      <c r="O105" s="11">
        <f>VLOOKUP($G105, 'ADP Data'!$C$4:$Q$300, 3, FALSE)</f>
        <v>29</v>
      </c>
      <c r="P105" s="11">
        <f t="shared" si="6"/>
        <v>-5</v>
      </c>
      <c r="Q105" s="11">
        <f>VLOOKUP($G105, 'ADP Data'!$C$4:$Q$300, 4, FALSE)</f>
        <v>30</v>
      </c>
      <c r="R105" s="11">
        <f>VLOOKUP($G105, 'ADP Data'!$C$4:$Q$300, 5, FALSE)</f>
        <v>24</v>
      </c>
      <c r="S105" s="11">
        <f>VLOOKUP($G105, 'ADP Data'!$C$4:$Q$300, 6, FALSE)</f>
        <v>25</v>
      </c>
      <c r="T105" s="11">
        <f>VLOOKUP($G105, 'ADP Data'!$C$4:$Q$300, 7, FALSE)</f>
        <v>23</v>
      </c>
      <c r="U105" s="11">
        <f>VLOOKUP($G105, 'ADP Data'!$C$4:$Q$300, 8, FALSE)</f>
        <v>23</v>
      </c>
      <c r="V105" s="11">
        <f t="shared" si="7"/>
        <v>25</v>
      </c>
      <c r="W105" s="11">
        <f t="shared" si="8"/>
        <v>3</v>
      </c>
      <c r="X105" s="11">
        <f t="shared" si="9"/>
        <v>6</v>
      </c>
      <c r="Y105" s="11">
        <f>VLOOKUP($G105, SeanRanks!$A$2:$K$303, 10, FALSE)-V105</f>
        <v>-3</v>
      </c>
      <c r="Z105" s="25">
        <f>IF(VLOOKUP($G105, SeanRanks!$A$2:$H$303, 7, FALSE)=0, "", VLOOKUP($G105, SeanRanks!$A$2:$H$303, 7, FALSE))</f>
        <v>10</v>
      </c>
    </row>
    <row r="106" spans="1:26" ht="14.25" customHeight="1" x14ac:dyDescent="0.25">
      <c r="A106" s="11"/>
      <c r="B106" s="11">
        <f t="shared" si="3"/>
        <v>20</v>
      </c>
      <c r="C106" s="11" t="s">
        <v>119</v>
      </c>
      <c r="D106" s="11">
        <v>9</v>
      </c>
      <c r="E106" s="11"/>
      <c r="F106" s="11">
        <f>VLOOKUP(G106, SeanRanks!$A$2:$E$302, 4, FALSE)</f>
        <v>0</v>
      </c>
      <c r="G106" s="11" t="s">
        <v>901</v>
      </c>
      <c r="H106" s="11" t="str">
        <f>VLOOKUP($G106, 'ADP Data'!$C$4:$Q$300, 2, FALSE)</f>
        <v>BAL</v>
      </c>
      <c r="I106" s="11">
        <f>VLOOKUP(G106, 'ADP Data'!$C$4:$R$498, 12, FALSE)</f>
        <v>225</v>
      </c>
      <c r="J106" s="40">
        <f>VLOOKUP($G106, SeanRanks!$A$2:$H$303, 5, FALSE)</f>
        <v>0</v>
      </c>
      <c r="K106" s="11" t="str">
        <f>IF(VLOOKUP($G106, SeanRanks!$A$2:$H$303, 6, FALSE)=0, "", VLOOKUP($G106, SeanRanks!$A$2:$H$303, 6, FALSE))</f>
        <v/>
      </c>
      <c r="L106" s="11">
        <f t="shared" si="4"/>
        <v>18</v>
      </c>
      <c r="M106" s="11">
        <f>VLOOKUP($G106, 'ADP Data'!$C$4:$Q$300, 9, FALSE)</f>
        <v>205</v>
      </c>
      <c r="N106" s="11">
        <f t="shared" si="5"/>
        <v>-27</v>
      </c>
      <c r="O106" s="11" t="str">
        <f>VLOOKUP($G106, 'ADP Data'!$C$4:$Q$300, 3, FALSE)</f>
        <v>-</v>
      </c>
      <c r="P106" s="11" t="e">
        <f t="shared" si="6"/>
        <v>#VALUE!</v>
      </c>
      <c r="Q106" s="11" t="str">
        <f>VLOOKUP($G106, 'ADP Data'!$C$4:$Q$300, 4, FALSE)</f>
        <v>-</v>
      </c>
      <c r="R106" s="11">
        <f>VLOOKUP($G106, 'ADP Data'!$C$4:$Q$300, 5, FALSE)</f>
        <v>319</v>
      </c>
      <c r="S106" s="11">
        <f>VLOOKUP($G106, 'ADP Data'!$C$4:$Q$300, 6, FALSE)</f>
        <v>229</v>
      </c>
      <c r="T106" s="11">
        <f>VLOOKUP($G106, 'ADP Data'!$C$4:$Q$300, 7, FALSE)</f>
        <v>218</v>
      </c>
      <c r="U106" s="11">
        <f>VLOOKUP($G106, 'ADP Data'!$C$4:$Q$300, 8, FALSE)</f>
        <v>191</v>
      </c>
      <c r="V106" s="11">
        <f t="shared" si="7"/>
        <v>232</v>
      </c>
      <c r="W106" s="11">
        <f t="shared" si="8"/>
        <v>20</v>
      </c>
      <c r="X106" s="11">
        <f t="shared" si="9"/>
        <v>-11</v>
      </c>
      <c r="Y106" s="11">
        <f>VLOOKUP($G106, SeanRanks!$A$2:$K$303, 10, FALSE)-V106</f>
        <v>11</v>
      </c>
      <c r="Z106" s="25" t="str">
        <f>IF(VLOOKUP($G106, SeanRanks!$A$2:$H$303, 7, FALSE)=0, "", VLOOKUP($G106, SeanRanks!$A$2:$H$303, 7, FALSE))</f>
        <v/>
      </c>
    </row>
    <row r="107" spans="1:26" ht="14.25" customHeight="1" x14ac:dyDescent="0.25">
      <c r="A107" s="11"/>
      <c r="B107" s="11">
        <f t="shared" si="3"/>
        <v>10</v>
      </c>
      <c r="C107" s="11" t="s">
        <v>119</v>
      </c>
      <c r="D107" s="11">
        <v>9</v>
      </c>
      <c r="E107" s="23"/>
      <c r="F107" s="11">
        <f>VLOOKUP(G107, SeanRanks!$A$2:$E$302, 4, FALSE)</f>
        <v>0</v>
      </c>
      <c r="G107" s="11" t="s">
        <v>652</v>
      </c>
      <c r="H107" s="11" t="str">
        <f>VLOOKUP($G107, 'ADP Data'!$C$4:$Q$300, 2, FALSE)</f>
        <v>BUF</v>
      </c>
      <c r="I107" s="11">
        <f>VLOOKUP(G107, 'ADP Data'!$C$4:$R$498, 12, FALSE)</f>
        <v>78</v>
      </c>
      <c r="J107" s="40">
        <f>VLOOKUP($G107, SeanRanks!$A$2:$H$303, 5, FALSE)</f>
        <v>0</v>
      </c>
      <c r="K107" s="11" t="str">
        <f>IF(VLOOKUP($G107, SeanRanks!$A$2:$H$303, 6, FALSE)=0, "", VLOOKUP($G107, SeanRanks!$A$2:$H$303, 6, FALSE))</f>
        <v>WR5 - 1 - upside path</v>
      </c>
      <c r="L107" s="11">
        <f t="shared" si="4"/>
        <v>10</v>
      </c>
      <c r="M107" s="11">
        <f>VLOOKUP($G107, 'ADP Data'!$C$4:$Q$300, 9, FALSE)</f>
        <v>118</v>
      </c>
      <c r="N107" s="11">
        <f t="shared" si="5"/>
        <v>3</v>
      </c>
      <c r="O107" s="11">
        <f>VLOOKUP($G107, 'ADP Data'!$C$4:$Q$300, 3, FALSE)</f>
        <v>113</v>
      </c>
      <c r="P107" s="11">
        <f t="shared" si="6"/>
        <v>5</v>
      </c>
      <c r="Q107" s="11">
        <f>VLOOKUP($G107, 'ADP Data'!$C$4:$Q$300, 4, FALSE)</f>
        <v>111</v>
      </c>
      <c r="R107" s="11">
        <f>VLOOKUP($G107, 'ADP Data'!$C$4:$Q$300, 5, FALSE)</f>
        <v>126</v>
      </c>
      <c r="S107" s="11">
        <f>VLOOKUP($G107, 'ADP Data'!$C$4:$Q$300, 6, FALSE)</f>
        <v>102</v>
      </c>
      <c r="T107" s="11">
        <f>VLOOKUP($G107, 'ADP Data'!$C$4:$Q$300, 7, FALSE)</f>
        <v>99</v>
      </c>
      <c r="U107" s="11">
        <f>VLOOKUP($G107, 'ADP Data'!$C$4:$Q$300, 8, FALSE)</f>
        <v>139</v>
      </c>
      <c r="V107" s="11">
        <f t="shared" si="7"/>
        <v>115</v>
      </c>
      <c r="W107" s="11">
        <f t="shared" si="8"/>
        <v>10</v>
      </c>
      <c r="X107" s="11">
        <f t="shared" si="9"/>
        <v>-1</v>
      </c>
      <c r="Y107" s="11">
        <f>VLOOKUP($G107, SeanRanks!$A$2:$K$303, 10, FALSE)-V107</f>
        <v>7</v>
      </c>
      <c r="Z107" s="25">
        <f>IF(VLOOKUP($G107, SeanRanks!$A$2:$H$303, 7, FALSE)=0, "", VLOOKUP($G107, SeanRanks!$A$2:$H$303, 7, FALSE))</f>
        <v>51</v>
      </c>
    </row>
    <row r="108" spans="1:26" ht="14.25" customHeight="1" x14ac:dyDescent="0.25">
      <c r="A108" s="11"/>
      <c r="B108" s="11">
        <f t="shared" si="3"/>
        <v>11</v>
      </c>
      <c r="C108" s="11" t="s">
        <v>119</v>
      </c>
      <c r="D108" s="11">
        <v>10</v>
      </c>
      <c r="E108" s="11"/>
      <c r="F108" s="11">
        <f>VLOOKUP(G108, SeanRanks!$A$2:$E$302, 4, FALSE)</f>
        <v>0</v>
      </c>
      <c r="G108" s="11" t="s">
        <v>241</v>
      </c>
      <c r="H108" s="11" t="str">
        <f>VLOOKUP($G108, 'ADP Data'!$C$4:$Q$300, 2, FALSE)</f>
        <v>CHI</v>
      </c>
      <c r="I108" s="11">
        <f>VLOOKUP(G108, 'ADP Data'!$C$4:$R$498, 12, FALSE)</f>
        <v>108</v>
      </c>
      <c r="J108" s="59">
        <f>VLOOKUP($G108, SeanRanks!$A$2:$H$303, 5, FALSE)</f>
        <v>0</v>
      </c>
      <c r="K108" s="11" t="str">
        <f>IF(VLOOKUP($G108, SeanRanks!$A$2:$H$303, 6, FALSE)=0, "", VLOOKUP($G108, SeanRanks!$A$2:$H$303, 6, FALSE))</f>
        <v>QB2 - 1 - League Winner</v>
      </c>
      <c r="L108" s="11">
        <f t="shared" si="4"/>
        <v>11</v>
      </c>
      <c r="M108" s="11">
        <f>VLOOKUP($G108, 'ADP Data'!$C$4:$Q$300, 9, FALSE)</f>
        <v>126</v>
      </c>
      <c r="N108" s="11">
        <f t="shared" si="5"/>
        <v>4</v>
      </c>
      <c r="O108" s="11">
        <f>VLOOKUP($G108, 'ADP Data'!$C$4:$Q$300, 3, FALSE)</f>
        <v>120</v>
      </c>
      <c r="P108" s="11">
        <f t="shared" si="6"/>
        <v>6</v>
      </c>
      <c r="Q108" s="11">
        <f>VLOOKUP($G108, 'ADP Data'!$C$4:$Q$300, 4, FALSE)</f>
        <v>112</v>
      </c>
      <c r="R108" s="11">
        <f>VLOOKUP($G108, 'ADP Data'!$C$4:$Q$300, 5, FALSE)</f>
        <v>155</v>
      </c>
      <c r="S108" s="11">
        <f>VLOOKUP($G108, 'ADP Data'!$C$4:$Q$300, 6, FALSE)</f>
        <v>124</v>
      </c>
      <c r="T108" s="11">
        <f>VLOOKUP($G108, 'ADP Data'!$C$4:$Q$300, 7, FALSE)</f>
        <v>109</v>
      </c>
      <c r="U108" s="11">
        <f>VLOOKUP($G108, 'ADP Data'!$C$4:$Q$300, 8, FALSE)</f>
        <v>114</v>
      </c>
      <c r="V108" s="11">
        <f t="shared" si="7"/>
        <v>122</v>
      </c>
      <c r="W108" s="11">
        <f t="shared" si="8"/>
        <v>11</v>
      </c>
      <c r="X108" s="11">
        <f t="shared" si="9"/>
        <v>-1</v>
      </c>
      <c r="Y108" s="11">
        <f>VLOOKUP($G108, SeanRanks!$A$2:$K$303, 10, FALSE)-V108</f>
        <v>-19</v>
      </c>
      <c r="Z108" s="25">
        <f>IF(VLOOKUP($G108, SeanRanks!$A$2:$H$303, 7, FALSE)=0, "", VLOOKUP($G108, SeanRanks!$A$2:$H$303, 7, FALSE))</f>
        <v>13</v>
      </c>
    </row>
    <row r="109" spans="1:26" ht="14.25" customHeight="1" x14ac:dyDescent="0.25">
      <c r="A109" s="11"/>
      <c r="B109" s="11">
        <f t="shared" si="3"/>
        <v>8</v>
      </c>
      <c r="C109" s="11" t="s">
        <v>119</v>
      </c>
      <c r="D109" s="11">
        <v>9</v>
      </c>
      <c r="E109" s="11"/>
      <c r="F109" s="11">
        <f>VLOOKUP(G109, SeanRanks!$A$2:$E$302, 4, FALSE)</f>
        <v>0</v>
      </c>
      <c r="G109" s="11" t="s">
        <v>294</v>
      </c>
      <c r="H109" s="11" t="str">
        <f>VLOOKUP($G109, 'ADP Data'!$C$4:$Q$300, 2, FALSE)</f>
        <v>MIN</v>
      </c>
      <c r="I109" s="11">
        <f>VLOOKUP(G109, 'ADP Data'!$C$4:$R$498, 12, FALSE)</f>
        <v>82</v>
      </c>
      <c r="J109" s="40">
        <f>VLOOKUP($G109, SeanRanks!$A$2:$H$303, 5, FALSE)</f>
        <v>0</v>
      </c>
      <c r="K109" s="11" t="str">
        <f>IF(VLOOKUP($G109, SeanRanks!$A$2:$H$303, 6, FALSE)=0, "", VLOOKUP($G109, SeanRanks!$A$2:$H$303, 6, FALSE))</f>
        <v>WR3 - 3 - lower ceiling</v>
      </c>
      <c r="L109" s="11">
        <f t="shared" si="4"/>
        <v>7</v>
      </c>
      <c r="M109" s="11">
        <f>VLOOKUP($G109, 'ADP Data'!$C$4:$Q$300, 9, FALSE)</f>
        <v>81</v>
      </c>
      <c r="N109" s="11">
        <f t="shared" si="5"/>
        <v>-13</v>
      </c>
      <c r="O109" s="11">
        <f>VLOOKUP($G109, 'ADP Data'!$C$4:$Q$300, 3, FALSE)</f>
        <v>103</v>
      </c>
      <c r="P109" s="11">
        <f t="shared" si="6"/>
        <v>-22</v>
      </c>
      <c r="Q109" s="11">
        <f>VLOOKUP($G109, 'ADP Data'!$C$4:$Q$300, 4, FALSE)</f>
        <v>110</v>
      </c>
      <c r="R109" s="11">
        <f>VLOOKUP($G109, 'ADP Data'!$C$4:$Q$300, 5, FALSE)</f>
        <v>93</v>
      </c>
      <c r="S109" s="11">
        <f>VLOOKUP($G109, 'ADP Data'!$C$4:$Q$300, 6, FALSE)</f>
        <v>95</v>
      </c>
      <c r="T109" s="11">
        <f>VLOOKUP($G109, 'ADP Data'!$C$4:$Q$300, 7, FALSE)</f>
        <v>84</v>
      </c>
      <c r="U109" s="11">
        <f>VLOOKUP($G109, 'ADP Data'!$C$4:$Q$300, 8, FALSE)</f>
        <v>94</v>
      </c>
      <c r="V109" s="11">
        <f t="shared" si="7"/>
        <v>94</v>
      </c>
      <c r="W109" s="11">
        <f t="shared" si="8"/>
        <v>8</v>
      </c>
      <c r="X109" s="11">
        <f t="shared" si="9"/>
        <v>1</v>
      </c>
      <c r="Y109" s="11">
        <f>VLOOKUP($G109, SeanRanks!$A$2:$K$303, 10, FALSE)-V109</f>
        <v>-10</v>
      </c>
      <c r="Z109" s="25">
        <f>IF(VLOOKUP($G109, SeanRanks!$A$2:$H$303, 7, FALSE)=0, "", VLOOKUP($G109, SeanRanks!$A$2:$H$303, 7, FALSE))</f>
        <v>36</v>
      </c>
    </row>
    <row r="110" spans="1:26" ht="14.25" customHeight="1" x14ac:dyDescent="0.25">
      <c r="A110" s="11"/>
      <c r="B110" s="11">
        <f t="shared" si="3"/>
        <v>12</v>
      </c>
      <c r="C110" s="11" t="s">
        <v>119</v>
      </c>
      <c r="D110" s="11">
        <v>9</v>
      </c>
      <c r="E110" s="11"/>
      <c r="F110" s="11">
        <f>VLOOKUP(G110, SeanRanks!$A$2:$E$302, 4, FALSE)</f>
        <v>0</v>
      </c>
      <c r="G110" s="11" t="s">
        <v>322</v>
      </c>
      <c r="H110" s="11" t="str">
        <f>VLOOKUP($G110, 'ADP Data'!$C$4:$Q$300, 2, FALSE)</f>
        <v>PHI</v>
      </c>
      <c r="I110" s="11">
        <f>VLOOKUP(G110, 'ADP Data'!$C$4:$R$498, 12, FALSE)</f>
        <v>144</v>
      </c>
      <c r="J110" s="57">
        <f>VLOOKUP($G110, SeanRanks!$A$2:$H$303, 5, FALSE)</f>
        <v>0</v>
      </c>
      <c r="K110" s="11" t="str">
        <f>IF(VLOOKUP($G110, SeanRanks!$A$2:$H$303, 6, FALSE)=0, "", VLOOKUP($G110, SeanRanks!$A$2:$H$303, 6, FALSE))</f>
        <v/>
      </c>
      <c r="L110" s="11">
        <f t="shared" si="4"/>
        <v>12</v>
      </c>
      <c r="M110" s="11">
        <f>VLOOKUP($G110, 'ADP Data'!$C$4:$Q$300, 9, FALSE)</f>
        <v>138</v>
      </c>
      <c r="N110" s="11">
        <f t="shared" si="5"/>
        <v>-2</v>
      </c>
      <c r="O110" s="11">
        <f>VLOOKUP($G110, 'ADP Data'!$C$4:$Q$300, 3, FALSE)</f>
        <v>124</v>
      </c>
      <c r="P110" s="11">
        <f t="shared" si="6"/>
        <v>14</v>
      </c>
      <c r="Q110" s="11">
        <f>VLOOKUP($G110, 'ADP Data'!$C$4:$Q$300, 4, FALSE)</f>
        <v>131</v>
      </c>
      <c r="R110" s="11">
        <f>VLOOKUP($G110, 'ADP Data'!$C$4:$Q$300, 5, FALSE)</f>
        <v>170</v>
      </c>
      <c r="S110" s="11">
        <f>VLOOKUP($G110, 'ADP Data'!$C$4:$Q$300, 6, FALSE)</f>
        <v>123</v>
      </c>
      <c r="T110" s="11">
        <f>VLOOKUP($G110, 'ADP Data'!$C$4:$Q$300, 7, FALSE)</f>
        <v>152</v>
      </c>
      <c r="U110" s="11">
        <f>VLOOKUP($G110, 'ADP Data'!$C$4:$Q$300, 8, FALSE)</f>
        <v>142</v>
      </c>
      <c r="V110" s="11">
        <f t="shared" si="7"/>
        <v>140</v>
      </c>
      <c r="W110" s="11">
        <f t="shared" si="8"/>
        <v>12</v>
      </c>
      <c r="X110" s="11">
        <f t="shared" si="9"/>
        <v>-3</v>
      </c>
      <c r="Y110" s="11">
        <f>VLOOKUP($G110, SeanRanks!$A$2:$K$303, 10, FALSE)-V110</f>
        <v>-22</v>
      </c>
      <c r="Z110" s="25" t="str">
        <f>IF(VLOOKUP($G110, SeanRanks!$A$2:$H$303, 7, FALSE)=0, "", VLOOKUP($G110, SeanRanks!$A$2:$H$303, 7, FALSE))</f>
        <v/>
      </c>
    </row>
    <row r="111" spans="1:26" ht="14.25" customHeight="1" x14ac:dyDescent="0.25">
      <c r="A111" s="11"/>
      <c r="B111" s="11">
        <f t="shared" si="3"/>
        <v>5</v>
      </c>
      <c r="C111" s="11" t="s">
        <v>119</v>
      </c>
      <c r="D111" s="11">
        <v>9</v>
      </c>
      <c r="E111" s="11"/>
      <c r="F111" s="11">
        <f>VLOOKUP(G111, SeanRanks!$A$2:$E$302, 4, FALSE)</f>
        <v>0</v>
      </c>
      <c r="G111" s="11" t="s">
        <v>260</v>
      </c>
      <c r="H111" s="11" t="str">
        <f>VLOOKUP($G111, 'ADP Data'!$C$4:$Q$300, 2, FALSE)</f>
        <v>DEN</v>
      </c>
      <c r="I111" s="11">
        <f>VLOOKUP(G111, 'ADP Data'!$C$4:$R$498, 12, FALSE)</f>
        <v>46</v>
      </c>
      <c r="J111" s="40" t="str">
        <f>VLOOKUP($G111, SeanRanks!$A$2:$H$303, 5, FALSE)</f>
        <v>Yes</v>
      </c>
      <c r="K111" s="11" t="str">
        <f>IF(VLOOKUP($G111, SeanRanks!$A$2:$H$303, 6, FALSE)=0, "", VLOOKUP($G111, SeanRanks!$A$2:$H$303, 6, FALSE))</f>
        <v xml:space="preserve">WR3 - 1 - </v>
      </c>
      <c r="L111" s="11">
        <f t="shared" si="4"/>
        <v>5</v>
      </c>
      <c r="M111" s="11">
        <f>VLOOKUP($G111, 'ADP Data'!$C$4:$Q$300, 9, FALSE)</f>
        <v>50</v>
      </c>
      <c r="N111" s="11">
        <f t="shared" si="5"/>
        <v>-3</v>
      </c>
      <c r="O111" s="11">
        <f>VLOOKUP($G111, 'ADP Data'!$C$4:$Q$300, 3, FALSE)</f>
        <v>53</v>
      </c>
      <c r="P111" s="11">
        <f t="shared" si="6"/>
        <v>-3</v>
      </c>
      <c r="Q111" s="11">
        <f>VLOOKUP($G111, 'ADP Data'!$C$4:$Q$300, 4, FALSE)</f>
        <v>58</v>
      </c>
      <c r="R111" s="11">
        <f>VLOOKUP($G111, 'ADP Data'!$C$4:$Q$300, 5, FALSE)</f>
        <v>59</v>
      </c>
      <c r="S111" s="11">
        <f>VLOOKUP($G111, 'ADP Data'!$C$4:$Q$300, 6, FALSE)</f>
        <v>50</v>
      </c>
      <c r="T111" s="11">
        <f>VLOOKUP($G111, 'ADP Data'!$C$4:$Q$300, 7, FALSE)</f>
        <v>47</v>
      </c>
      <c r="U111" s="11">
        <f>VLOOKUP($G111, 'ADP Data'!$C$4:$Q$300, 8, FALSE)</f>
        <v>56</v>
      </c>
      <c r="V111" s="11">
        <f t="shared" si="7"/>
        <v>53</v>
      </c>
      <c r="W111" s="11">
        <f t="shared" si="8"/>
        <v>5</v>
      </c>
      <c r="X111" s="11">
        <f t="shared" si="9"/>
        <v>4</v>
      </c>
      <c r="Y111" s="11">
        <f>VLOOKUP($G111, SeanRanks!$A$2:$K$303, 10, FALSE)-V111</f>
        <v>6</v>
      </c>
      <c r="Z111" s="25">
        <f>IF(VLOOKUP($G111, SeanRanks!$A$2:$H$303, 7, FALSE)=0, "", VLOOKUP($G111, SeanRanks!$A$2:$H$303, 7, FALSE))</f>
        <v>26</v>
      </c>
    </row>
    <row r="112" spans="1:26" ht="14.25" customHeight="1" x14ac:dyDescent="0.25">
      <c r="A112" s="11"/>
      <c r="B112" s="11">
        <f t="shared" si="3"/>
        <v>2</v>
      </c>
      <c r="C112" s="11" t="s">
        <v>119</v>
      </c>
      <c r="D112" s="11">
        <v>9</v>
      </c>
      <c r="E112" s="11"/>
      <c r="F112" s="11">
        <f>VLOOKUP(G112, SeanRanks!$A$2:$E$302, 4, FALSE)</f>
        <v>0</v>
      </c>
      <c r="G112" s="11" t="s">
        <v>75</v>
      </c>
      <c r="H112" s="11" t="str">
        <f>VLOOKUP($G112, 'ADP Data'!$C$4:$Q$300, 2, FALSE)</f>
        <v>CIN</v>
      </c>
      <c r="I112" s="11">
        <f>VLOOKUP(G112, 'ADP Data'!$C$4:$R$498, 12, FALSE)</f>
        <v>16</v>
      </c>
      <c r="J112" s="58" t="str">
        <f>VLOOKUP($G112, SeanRanks!$A$2:$H$303, 5, FALSE)</f>
        <v>Yes</v>
      </c>
      <c r="K112" s="11" t="str">
        <f>IF(VLOOKUP($G112, SeanRanks!$A$2:$H$303, 6, FALSE)=0, "", VLOOKUP($G112, SeanRanks!$A$2:$H$303, 6, FALSE))</f>
        <v>RB1 - 2 - Elite ceiling/questions</v>
      </c>
      <c r="L112" s="11">
        <f t="shared" si="4"/>
        <v>3</v>
      </c>
      <c r="M112" s="11">
        <f>VLOOKUP($G112, 'ADP Data'!$C$4:$Q$300, 9, FALSE)</f>
        <v>28</v>
      </c>
      <c r="N112" s="11">
        <f t="shared" si="5"/>
        <v>7</v>
      </c>
      <c r="O112" s="11">
        <f>VLOOKUP($G112, 'ADP Data'!$C$4:$Q$300, 3, FALSE)</f>
        <v>19</v>
      </c>
      <c r="P112" s="11">
        <f t="shared" si="6"/>
        <v>9</v>
      </c>
      <c r="Q112" s="11">
        <f>VLOOKUP($G112, 'ADP Data'!$C$4:$Q$300, 4, FALSE)</f>
        <v>24</v>
      </c>
      <c r="R112" s="11">
        <f>VLOOKUP($G112, 'ADP Data'!$C$4:$Q$300, 5, FALSE)</f>
        <v>18</v>
      </c>
      <c r="S112" s="11">
        <f>VLOOKUP($G112, 'ADP Data'!$C$4:$Q$300, 6, FALSE)</f>
        <v>17</v>
      </c>
      <c r="T112" s="11">
        <f>VLOOKUP($G112, 'ADP Data'!$C$4:$Q$300, 7, FALSE)</f>
        <v>17</v>
      </c>
      <c r="U112" s="11">
        <f>VLOOKUP($G112, 'ADP Data'!$C$4:$Q$300, 8, FALSE)</f>
        <v>26</v>
      </c>
      <c r="V112" s="11">
        <f t="shared" si="7"/>
        <v>21</v>
      </c>
      <c r="W112" s="11">
        <f t="shared" si="8"/>
        <v>2</v>
      </c>
      <c r="X112" s="11">
        <f t="shared" si="9"/>
        <v>7</v>
      </c>
      <c r="Y112" s="11">
        <f>VLOOKUP($G112, SeanRanks!$A$2:$K$303, 10, FALSE)-V112</f>
        <v>0</v>
      </c>
      <c r="Z112" s="25">
        <f>IF(VLOOKUP($G112, SeanRanks!$A$2:$H$303, 7, FALSE)=0, "", VLOOKUP($G112, SeanRanks!$A$2:$H$303, 7, FALSE))</f>
        <v>10</v>
      </c>
    </row>
    <row r="113" spans="1:26" ht="14.25" customHeight="1" x14ac:dyDescent="0.25">
      <c r="A113" s="11"/>
      <c r="B113" s="11">
        <f t="shared" si="3"/>
        <v>2</v>
      </c>
      <c r="C113" s="11" t="s">
        <v>119</v>
      </c>
      <c r="D113" s="11">
        <v>9</v>
      </c>
      <c r="E113" s="11"/>
      <c r="F113" s="11">
        <f>VLOOKUP(G113, SeanRanks!$A$2:$E$302, 4, FALSE)</f>
        <v>0</v>
      </c>
      <c r="G113" s="11" t="s">
        <v>239</v>
      </c>
      <c r="H113" s="11" t="str">
        <f>VLOOKUP($G113, 'ADP Data'!$C$4:$Q$300, 2, FALSE)</f>
        <v>JAX</v>
      </c>
      <c r="I113" s="11">
        <f>VLOOKUP(G113, 'ADP Data'!$C$4:$R$498, 12, FALSE)</f>
        <v>11</v>
      </c>
      <c r="J113" s="28">
        <f>VLOOKUP($G113, SeanRanks!$A$2:$H$303, 5, FALSE)</f>
        <v>0</v>
      </c>
      <c r="K113" s="11" t="str">
        <f>IF(VLOOKUP($G113, SeanRanks!$A$2:$H$303, 6, FALSE)=0, "", VLOOKUP($G113, SeanRanks!$A$2:$H$303, 6, FALSE))</f>
        <v>WR1 - 2 - High Floor</v>
      </c>
      <c r="L113" s="11">
        <f t="shared" si="4"/>
        <v>2</v>
      </c>
      <c r="M113" s="11">
        <f>VLOOKUP($G113, 'ADP Data'!$C$4:$Q$300, 9, FALSE)</f>
        <v>16</v>
      </c>
      <c r="N113" s="11">
        <f t="shared" si="5"/>
        <v>1</v>
      </c>
      <c r="O113" s="11">
        <f>VLOOKUP($G113, 'ADP Data'!$C$4:$Q$300, 3, FALSE)</f>
        <v>20</v>
      </c>
      <c r="P113" s="11">
        <f t="shared" si="6"/>
        <v>-4</v>
      </c>
      <c r="Q113" s="11">
        <f>VLOOKUP($G113, 'ADP Data'!$C$4:$Q$300, 4, FALSE)</f>
        <v>16</v>
      </c>
      <c r="R113" s="11">
        <f>VLOOKUP($G113, 'ADP Data'!$C$4:$Q$300, 5, FALSE)</f>
        <v>14</v>
      </c>
      <c r="S113" s="11">
        <f>VLOOKUP($G113, 'ADP Data'!$C$4:$Q$300, 6, FALSE)</f>
        <v>16</v>
      </c>
      <c r="T113" s="11">
        <f>VLOOKUP($G113, 'ADP Data'!$C$4:$Q$300, 7, FALSE)</f>
        <v>11</v>
      </c>
      <c r="U113" s="11">
        <f>VLOOKUP($G113, 'ADP Data'!$C$4:$Q$300, 8, FALSE)</f>
        <v>13</v>
      </c>
      <c r="V113" s="11">
        <f t="shared" si="7"/>
        <v>15</v>
      </c>
      <c r="W113" s="11">
        <f t="shared" si="8"/>
        <v>2</v>
      </c>
      <c r="X113" s="11">
        <f t="shared" si="9"/>
        <v>7</v>
      </c>
      <c r="Y113" s="11">
        <f>VLOOKUP($G113, SeanRanks!$A$2:$K$303, 10, FALSE)-V113</f>
        <v>-2</v>
      </c>
      <c r="Z113" s="25">
        <f>IF(VLOOKUP($G113, SeanRanks!$A$2:$H$303, 7, FALSE)=0, "", VLOOKUP($G113, SeanRanks!$A$2:$H$303, 7, FALSE))</f>
        <v>8</v>
      </c>
    </row>
    <row r="114" spans="1:26" ht="14.25" customHeight="1" x14ac:dyDescent="0.25">
      <c r="A114" s="11"/>
      <c r="B114" s="11">
        <f t="shared" si="3"/>
        <v>13</v>
      </c>
      <c r="C114" s="11" t="s">
        <v>119</v>
      </c>
      <c r="D114" s="11">
        <v>11</v>
      </c>
      <c r="E114" s="11"/>
      <c r="F114" s="11">
        <f>VLOOKUP(G114, SeanRanks!$A$2:$E$302, 4, FALSE)</f>
        <v>0</v>
      </c>
      <c r="G114" s="11" t="s">
        <v>902</v>
      </c>
      <c r="H114" s="11" t="str">
        <f>VLOOKUP($G114, 'ADP Data'!$C$4:$Q$300, 2, FALSE)</f>
        <v>HOU</v>
      </c>
      <c r="I114" s="11">
        <f>VLOOKUP(G114, 'ADP Data'!$C$4:$R$498, 12, FALSE)</f>
        <v>145</v>
      </c>
      <c r="J114" s="59">
        <f>VLOOKUP($G114, SeanRanks!$A$2:$H$303, 5, FALSE)</f>
        <v>0</v>
      </c>
      <c r="K114" s="11" t="str">
        <f>IF(VLOOKUP($G114, SeanRanks!$A$2:$H$303, 6, FALSE)=0, "", VLOOKUP($G114, SeanRanks!$A$2:$H$303, 6, FALSE))</f>
        <v>RB4 - 2 - low ceiling</v>
      </c>
      <c r="L114" s="11">
        <f t="shared" si="4"/>
        <v>12</v>
      </c>
      <c r="M114" s="11">
        <f>VLOOKUP($G114, 'ADP Data'!$C$4:$Q$300, 9, FALSE)</f>
        <v>141</v>
      </c>
      <c r="N114" s="11">
        <f t="shared" si="5"/>
        <v>-6</v>
      </c>
      <c r="O114" s="11">
        <f>VLOOKUP($G114, 'ADP Data'!$C$4:$Q$300, 3, FALSE)</f>
        <v>111</v>
      </c>
      <c r="P114" s="11">
        <f t="shared" si="6"/>
        <v>30</v>
      </c>
      <c r="Q114" s="11">
        <f>VLOOKUP($G114, 'ADP Data'!$C$4:$Q$300, 4, FALSE)</f>
        <v>133</v>
      </c>
      <c r="R114" s="11">
        <f>VLOOKUP($G114, 'ADP Data'!$C$4:$Q$300, 5, FALSE)</f>
        <v>194</v>
      </c>
      <c r="S114" s="11">
        <f>VLOOKUP($G114, 'ADP Data'!$C$4:$Q$300, 6, FALSE)</f>
        <v>128</v>
      </c>
      <c r="T114" s="11">
        <f>VLOOKUP($G114, 'ADP Data'!$C$4:$Q$300, 7, FALSE)</f>
        <v>147</v>
      </c>
      <c r="U114" s="11">
        <f>VLOOKUP($G114, 'ADP Data'!$C$4:$Q$300, 8, FALSE)</f>
        <v>175</v>
      </c>
      <c r="V114" s="11">
        <f t="shared" si="7"/>
        <v>147</v>
      </c>
      <c r="W114" s="11">
        <f t="shared" si="8"/>
        <v>13</v>
      </c>
      <c r="X114" s="11">
        <f t="shared" si="9"/>
        <v>-2</v>
      </c>
      <c r="Y114" s="11">
        <f>VLOOKUP($G114, SeanRanks!$A$2:$K$303, 10, FALSE)-V114</f>
        <v>-8</v>
      </c>
      <c r="Z114" s="25">
        <f>IF(VLOOKUP($G114, SeanRanks!$A$2:$H$303, 7, FALSE)=0, "", VLOOKUP($G114, SeanRanks!$A$2:$H$303, 7, FALSE))</f>
        <v>47</v>
      </c>
    </row>
    <row r="115" spans="1:26" ht="14.25" customHeight="1" x14ac:dyDescent="0.25">
      <c r="A115" s="11"/>
      <c r="B115" s="11">
        <f t="shared" si="3"/>
        <v>5</v>
      </c>
      <c r="C115" s="11" t="s">
        <v>119</v>
      </c>
      <c r="D115" s="11">
        <v>9</v>
      </c>
      <c r="E115" s="11"/>
      <c r="F115" s="11">
        <f>VLOOKUP(G115, SeanRanks!$A$2:$E$302, 4, FALSE)</f>
        <v>0</v>
      </c>
      <c r="G115" s="11" t="s">
        <v>196</v>
      </c>
      <c r="H115" s="11" t="str">
        <f>VLOOKUP($G115, 'ADP Data'!$C$4:$Q$300, 2, FALSE)</f>
        <v>DET</v>
      </c>
      <c r="I115" s="11">
        <f>VLOOKUP(G115, 'ADP Data'!$C$4:$R$498, 12, FALSE)</f>
        <v>48</v>
      </c>
      <c r="J115" s="43">
        <f>VLOOKUP($G115, SeanRanks!$A$2:$H$303, 5, FALSE)</f>
        <v>0</v>
      </c>
      <c r="K115" s="11" t="str">
        <f>IF(VLOOKUP($G115, SeanRanks!$A$2:$H$303, 6, FALSE)=0, "", VLOOKUP($G115, SeanRanks!$A$2:$H$303, 6, FALSE))</f>
        <v xml:space="preserve">WR3 - 1 - </v>
      </c>
      <c r="L115" s="11">
        <f t="shared" si="4"/>
        <v>6</v>
      </c>
      <c r="M115" s="11">
        <f>VLOOKUP($G115, 'ADP Data'!$C$4:$Q$300, 9, FALSE)</f>
        <v>60</v>
      </c>
      <c r="N115" s="11">
        <f t="shared" si="5"/>
        <v>1</v>
      </c>
      <c r="O115" s="11">
        <f>VLOOKUP($G115, 'ADP Data'!$C$4:$Q$300, 3, FALSE)</f>
        <v>64</v>
      </c>
      <c r="P115" s="11">
        <f t="shared" si="6"/>
        <v>-4</v>
      </c>
      <c r="Q115" s="11">
        <f>VLOOKUP($G115, 'ADP Data'!$C$4:$Q$300, 4, FALSE)</f>
        <v>65</v>
      </c>
      <c r="R115" s="11">
        <f>VLOOKUP($G115, 'ADP Data'!$C$4:$Q$300, 5, FALSE)</f>
        <v>64</v>
      </c>
      <c r="S115" s="11">
        <f>VLOOKUP($G115, 'ADP Data'!$C$4:$Q$300, 6, FALSE)</f>
        <v>57</v>
      </c>
      <c r="T115" s="11">
        <f>VLOOKUP($G115, 'ADP Data'!$C$4:$Q$300, 7, FALSE)</f>
        <v>53</v>
      </c>
      <c r="U115" s="11">
        <f>VLOOKUP($G115, 'ADP Data'!$C$4:$Q$300, 8, FALSE)</f>
        <v>51</v>
      </c>
      <c r="V115" s="11">
        <f t="shared" si="7"/>
        <v>59</v>
      </c>
      <c r="W115" s="11">
        <f t="shared" si="8"/>
        <v>5</v>
      </c>
      <c r="X115" s="11">
        <f t="shared" si="9"/>
        <v>4</v>
      </c>
      <c r="Y115" s="11">
        <f>VLOOKUP($G115, SeanRanks!$A$2:$K$303, 10, FALSE)-V115</f>
        <v>-2</v>
      </c>
      <c r="Z115" s="25">
        <f>IF(VLOOKUP($G115, SeanRanks!$A$2:$H$303, 7, FALSE)=0, "", VLOOKUP($G115, SeanRanks!$A$2:$H$303, 7, FALSE))</f>
        <v>23</v>
      </c>
    </row>
    <row r="116" spans="1:26" ht="14.25" customHeight="1" x14ac:dyDescent="0.25">
      <c r="A116" s="11"/>
      <c r="B116" s="11">
        <f t="shared" si="3"/>
        <v>10</v>
      </c>
      <c r="C116" s="11" t="s">
        <v>119</v>
      </c>
      <c r="D116" s="11">
        <v>9</v>
      </c>
      <c r="E116" s="11"/>
      <c r="F116" s="11">
        <f>VLOOKUP(G116, SeanRanks!$A$2:$E$302, 4, FALSE)</f>
        <v>0</v>
      </c>
      <c r="G116" s="11" t="s">
        <v>333</v>
      </c>
      <c r="H116" s="11" t="str">
        <f>VLOOKUP($G116, 'ADP Data'!$C$4:$Q$300, 2, FALSE)</f>
        <v>DET</v>
      </c>
      <c r="I116" s="11">
        <f>VLOOKUP(G116, 'ADP Data'!$C$4:$R$498, 12, FALSE)</f>
        <v>119</v>
      </c>
      <c r="J116" s="60">
        <f>VLOOKUP($G116, SeanRanks!$A$2:$H$303, 5, FALSE)</f>
        <v>0</v>
      </c>
      <c r="K116" s="11" t="str">
        <f>IF(VLOOKUP($G116, SeanRanks!$A$2:$H$303, 6, FALSE)=0, "", VLOOKUP($G116, SeanRanks!$A$2:$H$303, 6, FALSE))</f>
        <v>QB2 - 2 - Not League Winner</v>
      </c>
      <c r="L116" s="11">
        <f t="shared" si="4"/>
        <v>9</v>
      </c>
      <c r="M116" s="11">
        <f>VLOOKUP($G116, 'ADP Data'!$C$4:$Q$300, 9, FALSE)</f>
        <v>97</v>
      </c>
      <c r="N116" s="11">
        <f t="shared" si="5"/>
        <v>-12</v>
      </c>
      <c r="O116" s="11">
        <f>VLOOKUP($G116, 'ADP Data'!$C$4:$Q$300, 3, FALSE)</f>
        <v>93</v>
      </c>
      <c r="P116" s="11">
        <f t="shared" si="6"/>
        <v>4</v>
      </c>
      <c r="Q116" s="11">
        <f>VLOOKUP($G116, 'ADP Data'!$C$4:$Q$300, 4, FALSE)</f>
        <v>123</v>
      </c>
      <c r="R116" s="11">
        <f>VLOOKUP($G116, 'ADP Data'!$C$4:$Q$300, 5, FALSE)</f>
        <v>115</v>
      </c>
      <c r="S116" s="11">
        <f>VLOOKUP($G116, 'ADP Data'!$C$4:$Q$300, 6, FALSE)</f>
        <v>132</v>
      </c>
      <c r="T116" s="11">
        <f>VLOOKUP($G116, 'ADP Data'!$C$4:$Q$300, 7, FALSE)</f>
        <v>103</v>
      </c>
      <c r="U116" s="11">
        <f>VLOOKUP($G116, 'ADP Data'!$C$4:$Q$300, 8, FALSE)</f>
        <v>105</v>
      </c>
      <c r="V116" s="11">
        <f t="shared" si="7"/>
        <v>109</v>
      </c>
      <c r="W116" s="11">
        <f t="shared" si="8"/>
        <v>10</v>
      </c>
      <c r="X116" s="11">
        <f t="shared" si="9"/>
        <v>-1</v>
      </c>
      <c r="Y116" s="11">
        <f>VLOOKUP($G116, SeanRanks!$A$2:$K$303, 10, FALSE)-V116</f>
        <v>4</v>
      </c>
      <c r="Z116" s="25">
        <f>IF(VLOOKUP($G116, SeanRanks!$A$2:$H$303, 7, FALSE)=0, "", VLOOKUP($G116, SeanRanks!$A$2:$H$303, 7, FALSE))</f>
        <v>16</v>
      </c>
    </row>
    <row r="117" spans="1:26" ht="14.25" customHeight="1" x14ac:dyDescent="0.25">
      <c r="A117" s="11"/>
      <c r="B117" s="11">
        <f t="shared" si="3"/>
        <v>16</v>
      </c>
      <c r="C117" s="11" t="s">
        <v>119</v>
      </c>
      <c r="D117" s="11">
        <v>9</v>
      </c>
      <c r="E117" s="11"/>
      <c r="F117" s="11">
        <f>VLOOKUP(G117, SeanRanks!$A$2:$E$302, 4, FALSE)</f>
        <v>0</v>
      </c>
      <c r="G117" s="11" t="s">
        <v>619</v>
      </c>
      <c r="H117" s="11" t="str">
        <f>VLOOKUP($G117, 'ADP Data'!$C$4:$Q$300, 2, FALSE)</f>
        <v>MIA</v>
      </c>
      <c r="I117" s="11">
        <f>VLOOKUP(G117, 'ADP Data'!$C$4:$R$498, 12, FALSE)</f>
        <v>153</v>
      </c>
      <c r="J117" s="60">
        <f>VLOOKUP($G117, SeanRanks!$A$2:$H$303, 5, FALSE)</f>
        <v>0</v>
      </c>
      <c r="K117" s="11" t="str">
        <f>IF(VLOOKUP($G117, SeanRanks!$A$2:$H$303, 6, FALSE)=0, "", VLOOKUP($G117, SeanRanks!$A$2:$H$303, 6, FALSE))</f>
        <v>Don’t Draft - Streamer</v>
      </c>
      <c r="L117" s="11">
        <f t="shared" si="4"/>
        <v>17</v>
      </c>
      <c r="M117" s="11">
        <f>VLOOKUP($G117, 'ADP Data'!$C$4:$Q$300, 9, FALSE)</f>
        <v>198</v>
      </c>
      <c r="N117" s="11">
        <f t="shared" si="5"/>
        <v>15</v>
      </c>
      <c r="O117" s="11">
        <f>VLOOKUP($G117, 'ADP Data'!$C$4:$Q$300, 3, FALSE)</f>
        <v>154</v>
      </c>
      <c r="P117" s="11">
        <f t="shared" si="6"/>
        <v>44</v>
      </c>
      <c r="Q117" s="11">
        <f>VLOOKUP($G117, 'ADP Data'!$C$4:$Q$300, 4, FALSE)</f>
        <v>166</v>
      </c>
      <c r="R117" s="11">
        <f>VLOOKUP($G117, 'ADP Data'!$C$4:$Q$300, 5, FALSE)</f>
        <v>217</v>
      </c>
      <c r="S117" s="11">
        <f>VLOOKUP($G117, 'ADP Data'!$C$4:$Q$300, 6, FALSE)</f>
        <v>183</v>
      </c>
      <c r="T117" s="11">
        <f>VLOOKUP($G117, 'ADP Data'!$C$4:$Q$300, 7, FALSE)</f>
        <v>174</v>
      </c>
      <c r="U117" s="11">
        <f>VLOOKUP($G117, 'ADP Data'!$C$4:$Q$300, 8, FALSE)</f>
        <v>193</v>
      </c>
      <c r="V117" s="11">
        <f t="shared" si="7"/>
        <v>183</v>
      </c>
      <c r="W117" s="11">
        <f t="shared" si="8"/>
        <v>16</v>
      </c>
      <c r="X117" s="11">
        <f t="shared" si="9"/>
        <v>-7</v>
      </c>
      <c r="Y117" s="11">
        <f>VLOOKUP($G117, SeanRanks!$A$2:$K$303, 10, FALSE)-V117</f>
        <v>-31</v>
      </c>
      <c r="Z117" s="25">
        <f>IF(VLOOKUP($G117, SeanRanks!$A$2:$H$303, 7, FALSE)=0, "", VLOOKUP($G117, SeanRanks!$A$2:$H$303, 7, FALSE))</f>
        <v>20</v>
      </c>
    </row>
    <row r="118" spans="1:26" ht="14.25" customHeight="1" x14ac:dyDescent="0.25">
      <c r="A118" s="11"/>
      <c r="B118" s="11" t="e">
        <f t="shared" si="3"/>
        <v>#N/A</v>
      </c>
      <c r="C118" s="11" t="s">
        <v>119</v>
      </c>
      <c r="D118" s="11"/>
      <c r="E118" s="11"/>
      <c r="F118" s="11" t="e">
        <f>VLOOKUP(G118, SeanRanks!$A$2:$E$302, 4, FALSE)</f>
        <v>#N/A</v>
      </c>
      <c r="G118" s="11" t="s">
        <v>904</v>
      </c>
      <c r="H118" s="11" t="e">
        <f>VLOOKUP($G118, 'ADP Data'!$C$4:$Q$300, 2, FALSE)</f>
        <v>#N/A</v>
      </c>
      <c r="I118" s="11" t="e">
        <f>VLOOKUP(G118, 'ADP Data'!$C$4:$R$498, 12, FALSE)</f>
        <v>#N/A</v>
      </c>
      <c r="J118" s="58" t="e">
        <f>VLOOKUP($G118, SeanRanks!$A$2:$H$303, 5, FALSE)</f>
        <v>#N/A</v>
      </c>
      <c r="K118" s="11" t="e">
        <f>IF(VLOOKUP($G118, SeanRanks!$A$2:$H$303, 6, FALSE)=0, "", VLOOKUP($G118, SeanRanks!$A$2:$H$303, 6, FALSE))</f>
        <v>#N/A</v>
      </c>
      <c r="L118" s="11">
        <f t="shared" si="4"/>
        <v>16</v>
      </c>
      <c r="M118" s="11" t="e">
        <f>VLOOKUP($G118, 'ADP Data'!$C$4:$Q$300, 9, FALSE)</f>
        <v>#N/A</v>
      </c>
      <c r="N118" s="11" t="e">
        <f t="shared" si="5"/>
        <v>#N/A</v>
      </c>
      <c r="O118" s="11" t="e">
        <f>VLOOKUP($G118, 'ADP Data'!$C$4:$Q$300, 3, FALSE)</f>
        <v>#N/A</v>
      </c>
      <c r="P118" s="11" t="e">
        <f t="shared" si="6"/>
        <v>#N/A</v>
      </c>
      <c r="Q118" s="11" t="e">
        <f>VLOOKUP($G118, 'ADP Data'!$C$4:$Q$300, 4, FALSE)</f>
        <v>#N/A</v>
      </c>
      <c r="R118" s="11" t="e">
        <f>VLOOKUP($G118, 'ADP Data'!$C$4:$Q$300, 5, FALSE)</f>
        <v>#N/A</v>
      </c>
      <c r="S118" s="11" t="e">
        <f>VLOOKUP($G118, 'ADP Data'!$C$4:$Q$300, 6, FALSE)</f>
        <v>#N/A</v>
      </c>
      <c r="T118" s="11" t="e">
        <f>VLOOKUP($G118, 'ADP Data'!$C$4:$Q$300, 7, FALSE)</f>
        <v>#N/A</v>
      </c>
      <c r="U118" s="11" t="e">
        <f>VLOOKUP($G118, 'ADP Data'!$C$4:$Q$300, 8, FALSE)</f>
        <v>#N/A</v>
      </c>
      <c r="V118" s="11" t="e">
        <f t="shared" si="7"/>
        <v>#N/A</v>
      </c>
      <c r="W118" s="11">
        <f t="shared" si="8"/>
        <v>16</v>
      </c>
      <c r="X118" s="11">
        <f t="shared" si="9"/>
        <v>-16</v>
      </c>
      <c r="Y118" s="11" t="e">
        <f>VLOOKUP($G118, SeanRanks!$A$2:$K$303, 10, FALSE)-V118</f>
        <v>#N/A</v>
      </c>
      <c r="Z118" s="25" t="e">
        <f>IF(VLOOKUP($G118, SeanRanks!$A$2:$H$303, 7, FALSE)=0, "", VLOOKUP($G118, SeanRanks!$A$2:$H$303, 7, FALSE))</f>
        <v>#N/A</v>
      </c>
    </row>
    <row r="119" spans="1:26" ht="14.25" customHeight="1" x14ac:dyDescent="0.25">
      <c r="A119" s="11"/>
      <c r="B119" s="11">
        <f t="shared" si="3"/>
        <v>15</v>
      </c>
      <c r="C119" s="11" t="s">
        <v>119</v>
      </c>
      <c r="D119" s="11">
        <v>9</v>
      </c>
      <c r="E119" s="11"/>
      <c r="F119" s="11">
        <f>VLOOKUP(G119, SeanRanks!$A$2:$E$302, 4, FALSE)</f>
        <v>0</v>
      </c>
      <c r="G119" s="11" t="s">
        <v>905</v>
      </c>
      <c r="H119" s="11" t="str">
        <f>VLOOKUP($G119, 'ADP Data'!$C$4:$Q$300, 2, FALSE)</f>
        <v>CLE</v>
      </c>
      <c r="I119" s="11">
        <f>VLOOKUP(G119, 'ADP Data'!$C$4:$R$498, 12, FALSE)</f>
        <v>168</v>
      </c>
      <c r="J119" s="59">
        <f>VLOOKUP($G119, SeanRanks!$A$2:$H$303, 5, FALSE)</f>
        <v>0</v>
      </c>
      <c r="K119" s="11" t="str">
        <f>IF(VLOOKUP($G119, SeanRanks!$A$2:$H$303, 6, FALSE)=0, "", VLOOKUP($G119, SeanRanks!$A$2:$H$303, 6, FALSE))</f>
        <v>Don’t draft - replacement value</v>
      </c>
      <c r="L119" s="11">
        <f t="shared" si="4"/>
        <v>14</v>
      </c>
      <c r="M119" s="11">
        <f>VLOOKUP($G119, 'ADP Data'!$C$4:$Q$300, 9, FALSE)</f>
        <v>157</v>
      </c>
      <c r="N119" s="11">
        <f t="shared" si="5"/>
        <v>-10</v>
      </c>
      <c r="O119" s="11">
        <f>VLOOKUP($G119, 'ADP Data'!$C$4:$Q$300, 3, FALSE)</f>
        <v>147</v>
      </c>
      <c r="P119" s="11">
        <f t="shared" si="6"/>
        <v>10</v>
      </c>
      <c r="Q119" s="11">
        <f>VLOOKUP($G119, 'ADP Data'!$C$4:$Q$300, 4, FALSE)</f>
        <v>147</v>
      </c>
      <c r="R119" s="11">
        <f>VLOOKUP($G119, 'ADP Data'!$C$4:$Q$300, 5, FALSE)</f>
        <v>181</v>
      </c>
      <c r="S119" s="11">
        <f>VLOOKUP($G119, 'ADP Data'!$C$4:$Q$300, 6, FALSE)</f>
        <v>146</v>
      </c>
      <c r="T119" s="11">
        <f>VLOOKUP($G119, 'ADP Data'!$C$4:$Q$300, 7, FALSE)</f>
        <v>151</v>
      </c>
      <c r="U119" s="11">
        <f>VLOOKUP($G119, 'ADP Data'!$C$4:$Q$300, 8, FALSE)</f>
        <v>244</v>
      </c>
      <c r="V119" s="11">
        <f t="shared" si="7"/>
        <v>167</v>
      </c>
      <c r="W119" s="11">
        <f t="shared" si="8"/>
        <v>14</v>
      </c>
      <c r="X119" s="11">
        <f t="shared" si="9"/>
        <v>-5</v>
      </c>
      <c r="Y119" s="11">
        <f>VLOOKUP($G119, SeanRanks!$A$2:$K$303, 10, FALSE)-V119</f>
        <v>-44</v>
      </c>
      <c r="Z119" s="25">
        <f>IF(VLOOKUP($G119, SeanRanks!$A$2:$H$303, 7, FALSE)=0, "", VLOOKUP($G119, SeanRanks!$A$2:$H$303, 7, FALSE))</f>
        <v>56</v>
      </c>
    </row>
    <row r="120" spans="1:26" ht="14.25" customHeight="1" x14ac:dyDescent="0.25">
      <c r="A120" s="11"/>
      <c r="B120" s="11" t="e">
        <f t="shared" si="3"/>
        <v>#N/A</v>
      </c>
      <c r="C120" s="11" t="s">
        <v>119</v>
      </c>
      <c r="D120" s="11">
        <v>9</v>
      </c>
      <c r="E120" s="11"/>
      <c r="F120" s="11" t="e">
        <f>VLOOKUP(G120, SeanRanks!$A$2:$E$302, 4, FALSE)</f>
        <v>#N/A</v>
      </c>
      <c r="G120" s="11" t="s">
        <v>907</v>
      </c>
      <c r="H120" s="11" t="e">
        <f>VLOOKUP($G120, 'ADP Data'!$C$4:$Q$300, 2, FALSE)</f>
        <v>#N/A</v>
      </c>
      <c r="I120" s="11" t="e">
        <f>VLOOKUP(G120, 'ADP Data'!$C$4:$R$498, 12, FALSE)</f>
        <v>#N/A</v>
      </c>
      <c r="J120" s="58" t="e">
        <f>VLOOKUP($G120, SeanRanks!$A$2:$H$303, 5, FALSE)</f>
        <v>#N/A</v>
      </c>
      <c r="K120" s="11" t="e">
        <f>IF(VLOOKUP($G120, SeanRanks!$A$2:$H$303, 6, FALSE)=0, "", VLOOKUP($G120, SeanRanks!$A$2:$H$303, 6, FALSE))</f>
        <v>#N/A</v>
      </c>
      <c r="L120" s="11">
        <f t="shared" si="4"/>
        <v>16</v>
      </c>
      <c r="M120" s="11" t="e">
        <f>VLOOKUP($G120, 'ADP Data'!$C$4:$Q$300, 9, FALSE)</f>
        <v>#N/A</v>
      </c>
      <c r="N120" s="11" t="e">
        <f t="shared" si="5"/>
        <v>#N/A</v>
      </c>
      <c r="O120" s="11" t="e">
        <f>VLOOKUP($G120, 'ADP Data'!$C$4:$Q$300, 3, FALSE)</f>
        <v>#N/A</v>
      </c>
      <c r="P120" s="11" t="e">
        <f t="shared" si="6"/>
        <v>#N/A</v>
      </c>
      <c r="Q120" s="11" t="e">
        <f>VLOOKUP($G120, 'ADP Data'!$C$4:$Q$300, 4, FALSE)</f>
        <v>#N/A</v>
      </c>
      <c r="R120" s="11" t="e">
        <f>VLOOKUP($G120, 'ADP Data'!$C$4:$Q$300, 5, FALSE)</f>
        <v>#N/A</v>
      </c>
      <c r="S120" s="11" t="e">
        <f>VLOOKUP($G120, 'ADP Data'!$C$4:$Q$300, 6, FALSE)</f>
        <v>#N/A</v>
      </c>
      <c r="T120" s="11" t="e">
        <f>VLOOKUP($G120, 'ADP Data'!$C$4:$Q$300, 7, FALSE)</f>
        <v>#N/A</v>
      </c>
      <c r="U120" s="11" t="e">
        <f>VLOOKUP($G120, 'ADP Data'!$C$4:$Q$300, 8, FALSE)</f>
        <v>#N/A</v>
      </c>
      <c r="V120" s="11" t="e">
        <f t="shared" si="7"/>
        <v>#N/A</v>
      </c>
      <c r="W120" s="11">
        <f t="shared" si="8"/>
        <v>16</v>
      </c>
      <c r="X120" s="11">
        <f t="shared" si="9"/>
        <v>-7</v>
      </c>
      <c r="Y120" s="11" t="e">
        <f>VLOOKUP($G120, SeanRanks!$A$2:$K$303, 10, FALSE)-V120</f>
        <v>#N/A</v>
      </c>
      <c r="Z120" s="25" t="e">
        <f>IF(VLOOKUP($G120, SeanRanks!$A$2:$H$303, 7, FALSE)=0, "", VLOOKUP($G120, SeanRanks!$A$2:$H$303, 7, FALSE))</f>
        <v>#N/A</v>
      </c>
    </row>
    <row r="121" spans="1:26" ht="14.25" customHeight="1" x14ac:dyDescent="0.25">
      <c r="A121" s="11"/>
      <c r="B121" s="11">
        <f t="shared" si="3"/>
        <v>12</v>
      </c>
      <c r="C121" s="11" t="s">
        <v>119</v>
      </c>
      <c r="D121" s="11">
        <v>6</v>
      </c>
      <c r="E121" s="11"/>
      <c r="F121" s="11">
        <f>VLOOKUP(G121, SeanRanks!$A$2:$E$302, 4, FALSE)</f>
        <v>0</v>
      </c>
      <c r="G121" s="11" t="s">
        <v>413</v>
      </c>
      <c r="H121" s="11" t="str">
        <f>VLOOKUP($G121, 'ADP Data'!$C$4:$Q$300, 2, FALSE)</f>
        <v>SF</v>
      </c>
      <c r="I121" s="11">
        <f>VLOOKUP(G121, 'ADP Data'!$C$4:$R$498, 12, FALSE)</f>
        <v>148</v>
      </c>
      <c r="J121" s="58">
        <f>VLOOKUP($G121, SeanRanks!$A$2:$H$303, 5, FALSE)</f>
        <v>0</v>
      </c>
      <c r="K121" s="11" t="str">
        <f>IF(VLOOKUP($G121, SeanRanks!$A$2:$H$303, 6, FALSE)=0, "", VLOOKUP($G121, SeanRanks!$A$2:$H$303, 6, FALSE))</f>
        <v>RB3 - 2 - low ceiling</v>
      </c>
      <c r="L121" s="11">
        <f t="shared" si="4"/>
        <v>7</v>
      </c>
      <c r="M121" s="11">
        <f>VLOOKUP($G121, 'ADP Data'!$C$4:$Q$300, 9, FALSE)</f>
        <v>78</v>
      </c>
      <c r="N121" s="11">
        <f t="shared" si="5"/>
        <v>-47</v>
      </c>
      <c r="O121" s="11">
        <f>VLOOKUP($G121, 'ADP Data'!$C$4:$Q$300, 3, FALSE)</f>
        <v>125</v>
      </c>
      <c r="P121" s="11">
        <f t="shared" si="6"/>
        <v>-47</v>
      </c>
      <c r="Q121" s="11">
        <f>VLOOKUP($G121, 'ADP Data'!$C$4:$Q$300, 4, FALSE)</f>
        <v>168</v>
      </c>
      <c r="R121" s="11">
        <f>VLOOKUP($G121, 'ADP Data'!$C$4:$Q$300, 5, FALSE)</f>
        <v>177</v>
      </c>
      <c r="S121" s="11">
        <f>VLOOKUP($G121, 'ADP Data'!$C$4:$Q$300, 6, FALSE)</f>
        <v>125</v>
      </c>
      <c r="T121" s="11">
        <f>VLOOKUP($G121, 'ADP Data'!$C$4:$Q$300, 7, FALSE)</f>
        <v>102</v>
      </c>
      <c r="U121" s="11">
        <f>VLOOKUP($G121, 'ADP Data'!$C$4:$Q$300, 8, FALSE)</f>
        <v>103</v>
      </c>
      <c r="V121" s="11">
        <f t="shared" si="7"/>
        <v>125</v>
      </c>
      <c r="W121" s="11">
        <f t="shared" si="8"/>
        <v>11</v>
      </c>
      <c r="X121" s="11">
        <f t="shared" si="9"/>
        <v>-5</v>
      </c>
      <c r="Y121" s="11">
        <f>VLOOKUP($G121, SeanRanks!$A$2:$K$303, 10, FALSE)-V121</f>
        <v>22</v>
      </c>
      <c r="Z121" s="25">
        <f>IF(VLOOKUP($G121, SeanRanks!$A$2:$H$303, 7, FALSE)=0, "", VLOOKUP($G121, SeanRanks!$A$2:$H$303, 7, FALSE))</f>
        <v>36</v>
      </c>
    </row>
    <row r="122" spans="1:26" ht="14.25" customHeight="1" x14ac:dyDescent="0.25">
      <c r="A122" s="11"/>
      <c r="B122" s="11">
        <f t="shared" si="3"/>
        <v>14</v>
      </c>
      <c r="C122" s="11" t="s">
        <v>148</v>
      </c>
      <c r="D122" s="11">
        <v>10</v>
      </c>
      <c r="E122" s="11"/>
      <c r="F122" s="11">
        <f>VLOOKUP(G122, SeanRanks!$A$2:$E$302, 4, FALSE)</f>
        <v>0</v>
      </c>
      <c r="G122" s="11" t="s">
        <v>266</v>
      </c>
      <c r="H122" s="11" t="str">
        <f>VLOOKUP($G122, 'ADP Data'!$C$4:$Q$300, 2, FALSE)</f>
        <v>JAX</v>
      </c>
      <c r="I122" s="11">
        <f>VLOOKUP(G122, 'ADP Data'!$C$4:$R$498, 12, FALSE)</f>
        <v>132</v>
      </c>
      <c r="J122" s="59">
        <f>VLOOKUP($G122, SeanRanks!$A$2:$H$303, 5, FALSE)</f>
        <v>0</v>
      </c>
      <c r="K122" s="11" t="str">
        <f>IF(VLOOKUP($G122, SeanRanks!$A$2:$H$303, 6, FALSE)=0, "", VLOOKUP($G122, SeanRanks!$A$2:$H$303, 6, FALSE))</f>
        <v>QB2 - 2 - Not League Winner</v>
      </c>
      <c r="L122" s="11">
        <f t="shared" si="4"/>
        <v>15</v>
      </c>
      <c r="M122" s="11">
        <f>VLOOKUP($G122, 'ADP Data'!$C$4:$Q$300, 9, FALSE)</f>
        <v>168</v>
      </c>
      <c r="N122" s="11">
        <f t="shared" si="5"/>
        <v>9</v>
      </c>
      <c r="O122" s="11">
        <f>VLOOKUP($G122, 'ADP Data'!$C$4:$Q$300, 3, FALSE)</f>
        <v>151</v>
      </c>
      <c r="P122" s="11">
        <f t="shared" si="6"/>
        <v>17</v>
      </c>
      <c r="Q122" s="11">
        <f>VLOOKUP($G122, 'ADP Data'!$C$4:$Q$300, 4, FALSE)</f>
        <v>172</v>
      </c>
      <c r="R122" s="11">
        <f>VLOOKUP($G122, 'ADP Data'!$C$4:$Q$300, 5, FALSE)</f>
        <v>162</v>
      </c>
      <c r="S122" s="11">
        <f>VLOOKUP($G122, 'ADP Data'!$C$4:$Q$300, 6, FALSE)</f>
        <v>144</v>
      </c>
      <c r="T122" s="11">
        <f>VLOOKUP($G122, 'ADP Data'!$C$4:$Q$300, 7, FALSE)</f>
        <v>138</v>
      </c>
      <c r="U122" s="11">
        <f>VLOOKUP($G122, 'ADP Data'!$C$4:$Q$300, 8, FALSE)</f>
        <v>178</v>
      </c>
      <c r="V122" s="11">
        <f t="shared" si="7"/>
        <v>159</v>
      </c>
      <c r="W122" s="11">
        <f t="shared" si="8"/>
        <v>14</v>
      </c>
      <c r="X122" s="11">
        <f t="shared" si="9"/>
        <v>-4</v>
      </c>
      <c r="Y122" s="11">
        <f>VLOOKUP($G122, SeanRanks!$A$2:$K$303, 10, FALSE)-V122</f>
        <v>-27</v>
      </c>
      <c r="Z122" s="25">
        <f>IF(VLOOKUP($G122, SeanRanks!$A$2:$H$303, 7, FALSE)=0, "", VLOOKUP($G122, SeanRanks!$A$2:$H$303, 7, FALSE))</f>
        <v>19</v>
      </c>
    </row>
    <row r="123" spans="1:26" ht="14.25" customHeight="1" x14ac:dyDescent="0.25">
      <c r="A123" s="11"/>
      <c r="B123" s="11">
        <f t="shared" si="3"/>
        <v>9</v>
      </c>
      <c r="C123" s="11" t="s">
        <v>119</v>
      </c>
      <c r="D123" s="11"/>
      <c r="E123" s="11"/>
      <c r="F123" s="11">
        <f>VLOOKUP(G123, SeanRanks!$A$2:$E$302, 4, FALSE)</f>
        <v>0</v>
      </c>
      <c r="G123" s="11" t="s">
        <v>366</v>
      </c>
      <c r="H123" s="11" t="str">
        <f>VLOOKUP($G123, 'ADP Data'!$C$4:$Q$300, 2, FALSE)</f>
        <v>BUF</v>
      </c>
      <c r="I123" s="11">
        <f>VLOOKUP(G123, 'ADP Data'!$C$4:$R$498, 12, FALSE)</f>
        <v>92</v>
      </c>
      <c r="J123" s="45">
        <f>VLOOKUP($G123, SeanRanks!$A$2:$H$303, 5, FALSE)</f>
        <v>0</v>
      </c>
      <c r="K123" s="11" t="str">
        <f>IF(VLOOKUP($G123, SeanRanks!$A$2:$H$303, 6, FALSE)=0, "", VLOOKUP($G123, SeanRanks!$A$2:$H$303, 6, FALSE))</f>
        <v>WR4 - 2 - unclear path to WR2</v>
      </c>
      <c r="L123" s="11">
        <f t="shared" si="4"/>
        <v>8</v>
      </c>
      <c r="M123" s="11">
        <f>VLOOKUP($G123, 'ADP Data'!$C$4:$Q$300, 9, FALSE)</f>
        <v>93</v>
      </c>
      <c r="N123" s="11">
        <f t="shared" si="5"/>
        <v>-11</v>
      </c>
      <c r="O123" s="11">
        <f>VLOOKUP($G123, 'ADP Data'!$C$4:$Q$300, 3, FALSE)</f>
        <v>118</v>
      </c>
      <c r="P123" s="11">
        <f t="shared" si="6"/>
        <v>-25</v>
      </c>
      <c r="Q123" s="11">
        <f>VLOOKUP($G123, 'ADP Data'!$C$4:$Q$300, 4, FALSE)</f>
        <v>108</v>
      </c>
      <c r="R123" s="11">
        <f>VLOOKUP($G123, 'ADP Data'!$C$4:$Q$300, 5, FALSE)</f>
        <v>116</v>
      </c>
      <c r="S123" s="11">
        <f>VLOOKUP($G123, 'ADP Data'!$C$4:$Q$300, 6, FALSE)</f>
        <v>103</v>
      </c>
      <c r="T123" s="11">
        <f>VLOOKUP($G123, 'ADP Data'!$C$4:$Q$300, 7, FALSE)</f>
        <v>88</v>
      </c>
      <c r="U123" s="11">
        <f>VLOOKUP($G123, 'ADP Data'!$C$4:$Q$300, 8, FALSE)</f>
        <v>102</v>
      </c>
      <c r="V123" s="11">
        <f t="shared" si="7"/>
        <v>104</v>
      </c>
      <c r="W123" s="11">
        <f t="shared" si="8"/>
        <v>9</v>
      </c>
      <c r="X123" s="11">
        <f t="shared" si="9"/>
        <v>-9</v>
      </c>
      <c r="Y123" s="11">
        <f>VLOOKUP($G123, SeanRanks!$A$2:$K$303, 10, FALSE)-V123</f>
        <v>2</v>
      </c>
      <c r="Z123" s="25">
        <f>IF(VLOOKUP($G123, SeanRanks!$A$2:$H$303, 7, FALSE)=0, "", VLOOKUP($G123, SeanRanks!$A$2:$H$303, 7, FALSE))</f>
        <v>45</v>
      </c>
    </row>
    <row r="124" spans="1:26" ht="14.25" customHeight="1" x14ac:dyDescent="0.25">
      <c r="A124" s="11"/>
      <c r="B124" s="11">
        <f t="shared" si="3"/>
        <v>18</v>
      </c>
      <c r="C124" s="11" t="s">
        <v>119</v>
      </c>
      <c r="D124" s="11"/>
      <c r="E124" s="11"/>
      <c r="F124" s="11">
        <f>VLOOKUP(G124, SeanRanks!$A$2:$E$302, 4, FALSE)</f>
        <v>0</v>
      </c>
      <c r="G124" s="11" t="s">
        <v>278</v>
      </c>
      <c r="H124" s="11" t="str">
        <f>VLOOKUP($G124, 'ADP Data'!$C$4:$Q$300, 2, FALSE)</f>
        <v>LAR</v>
      </c>
      <c r="I124" s="11">
        <f>VLOOKUP(G124, 'ADP Data'!$C$4:$R$498, 12, FALSE)</f>
        <v>216</v>
      </c>
      <c r="J124" s="59">
        <f>VLOOKUP($G124, SeanRanks!$A$2:$H$303, 5, FALSE)</f>
        <v>0</v>
      </c>
      <c r="K124" s="11" t="str">
        <f>IF(VLOOKUP($G124, SeanRanks!$A$2:$H$303, 6, FALSE)=0, "", VLOOKUP($G124, SeanRanks!$A$2:$H$303, 6, FALSE))</f>
        <v/>
      </c>
      <c r="L124" s="11">
        <f t="shared" si="4"/>
        <v>17</v>
      </c>
      <c r="M124" s="11">
        <f>VLOOKUP($G124, 'ADP Data'!$C$4:$Q$300, 9, FALSE)</f>
        <v>200</v>
      </c>
      <c r="N124" s="11">
        <f t="shared" si="5"/>
        <v>-10</v>
      </c>
      <c r="O124" s="11" t="str">
        <f>VLOOKUP($G124, 'ADP Data'!$C$4:$Q$300, 3, FALSE)</f>
        <v>-</v>
      </c>
      <c r="P124" s="11" t="e">
        <f t="shared" si="6"/>
        <v>#VALUE!</v>
      </c>
      <c r="Q124" s="11" t="str">
        <f>VLOOKUP($G124, 'ADP Data'!$C$4:$Q$300, 4, FALSE)</f>
        <v>-</v>
      </c>
      <c r="R124" s="11">
        <f>VLOOKUP($G124, 'ADP Data'!$C$4:$Q$300, 5, FALSE)</f>
        <v>248</v>
      </c>
      <c r="S124" s="11">
        <f>VLOOKUP($G124, 'ADP Data'!$C$4:$Q$300, 6, FALSE)</f>
        <v>176</v>
      </c>
      <c r="T124" s="11">
        <f>VLOOKUP($G124, 'ADP Data'!$C$4:$Q$300, 7, FALSE)</f>
        <v>181</v>
      </c>
      <c r="U124" s="11">
        <f>VLOOKUP($G124, 'ADP Data'!$C$4:$Q$300, 8, FALSE)</f>
        <v>245</v>
      </c>
      <c r="V124" s="11">
        <f t="shared" si="7"/>
        <v>210</v>
      </c>
      <c r="W124" s="11">
        <f t="shared" si="8"/>
        <v>18</v>
      </c>
      <c r="X124" s="11">
        <f t="shared" si="9"/>
        <v>-18</v>
      </c>
      <c r="Y124" s="11">
        <f>VLOOKUP($G124, SeanRanks!$A$2:$K$303, 10, FALSE)-V124</f>
        <v>-31</v>
      </c>
      <c r="Z124" s="25" t="str">
        <f>IF(VLOOKUP($G124, SeanRanks!$A$2:$H$303, 7, FALSE)=0, "", VLOOKUP($G124, SeanRanks!$A$2:$H$303, 7, FALSE))</f>
        <v/>
      </c>
    </row>
    <row r="125" spans="1:26" ht="14.25" customHeight="1" x14ac:dyDescent="0.25">
      <c r="A125" s="11"/>
      <c r="B125" s="11">
        <f t="shared" si="3"/>
        <v>21</v>
      </c>
      <c r="C125" s="11" t="s">
        <v>119</v>
      </c>
      <c r="D125" s="11">
        <v>11</v>
      </c>
      <c r="E125" s="11"/>
      <c r="F125" s="11">
        <f>VLOOKUP(G125, SeanRanks!$A$2:$E$302, 4, FALSE)</f>
        <v>0</v>
      </c>
      <c r="G125" s="11" t="s">
        <v>908</v>
      </c>
      <c r="H125" s="11" t="str">
        <f>VLOOKUP($G125, 'ADP Data'!$C$4:$Q$300, 2, FALSE)</f>
        <v>TEN</v>
      </c>
      <c r="I125" s="11">
        <f>VLOOKUP(G125, 'ADP Data'!$C$4:$R$498, 12, FALSE)</f>
        <v>223</v>
      </c>
      <c r="J125" s="45">
        <f>VLOOKUP($G125, SeanRanks!$A$2:$H$303, 5, FALSE)</f>
        <v>0</v>
      </c>
      <c r="K125" s="11" t="str">
        <f>IF(VLOOKUP($G125, SeanRanks!$A$2:$H$303, 6, FALSE)=0, "", VLOOKUP($G125, SeanRanks!$A$2:$H$303, 6, FALSE))</f>
        <v/>
      </c>
      <c r="L125" s="11">
        <f t="shared" si="4"/>
        <v>20</v>
      </c>
      <c r="M125" s="11">
        <f>VLOOKUP($G125, 'ADP Data'!$C$4:$Q$300, 9, FALSE)</f>
        <v>235</v>
      </c>
      <c r="N125" s="11">
        <f t="shared" si="5"/>
        <v>-8</v>
      </c>
      <c r="O125" s="11" t="str">
        <f>VLOOKUP($G125, 'ADP Data'!$C$4:$Q$300, 3, FALSE)</f>
        <v>-</v>
      </c>
      <c r="P125" s="11" t="e">
        <f t="shared" si="6"/>
        <v>#VALUE!</v>
      </c>
      <c r="Q125" s="11" t="str">
        <f>VLOOKUP($G125, 'ADP Data'!$C$4:$Q$300, 4, FALSE)</f>
        <v>-</v>
      </c>
      <c r="R125" s="11">
        <f>VLOOKUP($G125, 'ADP Data'!$C$4:$Q$300, 5, FALSE)</f>
        <v>316</v>
      </c>
      <c r="S125" s="11">
        <f>VLOOKUP($G125, 'ADP Data'!$C$4:$Q$300, 6, FALSE)</f>
        <v>202</v>
      </c>
      <c r="T125" s="11">
        <f>VLOOKUP($G125, 'ADP Data'!$C$4:$Q$300, 7, FALSE)</f>
        <v>228</v>
      </c>
      <c r="U125" s="11">
        <f>VLOOKUP($G125, 'ADP Data'!$C$4:$Q$300, 8, FALSE)</f>
        <v>238</v>
      </c>
      <c r="V125" s="11">
        <f t="shared" si="7"/>
        <v>243</v>
      </c>
      <c r="W125" s="11">
        <f t="shared" si="8"/>
        <v>21</v>
      </c>
      <c r="X125" s="11">
        <f t="shared" si="9"/>
        <v>-10</v>
      </c>
      <c r="Y125" s="11" t="e">
        <f>VLOOKUP($G125, SeanRanks!$A$2:$K$303, 10, FALSE)-V125</f>
        <v>#VALUE!</v>
      </c>
      <c r="Z125" s="25" t="str">
        <f>IF(VLOOKUP($G125, SeanRanks!$A$2:$H$303, 7, FALSE)=0, "", VLOOKUP($G125, SeanRanks!$A$2:$H$303, 7, FALSE))</f>
        <v/>
      </c>
    </row>
    <row r="126" spans="1:26" ht="14.25" customHeight="1" x14ac:dyDescent="0.25">
      <c r="A126" s="11"/>
      <c r="B126" s="11">
        <f t="shared" si="3"/>
        <v>21</v>
      </c>
      <c r="C126" s="11" t="s">
        <v>148</v>
      </c>
      <c r="D126" s="11"/>
      <c r="E126" s="11"/>
      <c r="F126" s="11">
        <f>VLOOKUP(G126, SeanRanks!$A$2:$E$302, 4, FALSE)</f>
        <v>0</v>
      </c>
      <c r="G126" s="11" t="s">
        <v>405</v>
      </c>
      <c r="H126" s="11" t="str">
        <f>VLOOKUP($G126, 'ADP Data'!$C$4:$Q$300, 2, FALSE)</f>
        <v>HOU</v>
      </c>
      <c r="I126" s="11">
        <f>VLOOKUP(G126, 'ADP Data'!$C$4:$R$498, 12, FALSE)</f>
        <v>226</v>
      </c>
      <c r="J126" s="61">
        <f>VLOOKUP($G126, SeanRanks!$A$2:$H$303, 5, FALSE)</f>
        <v>0</v>
      </c>
      <c r="K126" s="11" t="str">
        <f>IF(VLOOKUP($G126, SeanRanks!$A$2:$H$303, 6, FALSE)=0, "", VLOOKUP($G126, SeanRanks!$A$2:$H$303, 6, FALSE))</f>
        <v/>
      </c>
      <c r="L126" s="11">
        <f t="shared" si="4"/>
        <v>21</v>
      </c>
      <c r="M126" s="11">
        <f>VLOOKUP($G126, 'ADP Data'!$C$4:$Q$300, 9, FALSE)</f>
        <v>241</v>
      </c>
      <c r="N126" s="11">
        <f t="shared" si="5"/>
        <v>-3</v>
      </c>
      <c r="O126" s="11" t="str">
        <f>VLOOKUP($G126, 'ADP Data'!$C$4:$Q$300, 3, FALSE)</f>
        <v>-</v>
      </c>
      <c r="P126" s="11" t="e">
        <f t="shared" si="6"/>
        <v>#VALUE!</v>
      </c>
      <c r="Q126" s="11">
        <f>VLOOKUP($G126, 'ADP Data'!$C$4:$Q$300, 4, FALSE)</f>
        <v>267</v>
      </c>
      <c r="R126" s="11">
        <f>VLOOKUP($G126, 'ADP Data'!$C$4:$Q$300, 5, FALSE)</f>
        <v>287</v>
      </c>
      <c r="S126" s="11">
        <f>VLOOKUP($G126, 'ADP Data'!$C$4:$Q$300, 6, FALSE)</f>
        <v>210</v>
      </c>
      <c r="T126" s="11">
        <f>VLOOKUP($G126, 'ADP Data'!$C$4:$Q$300, 7, FALSE)</f>
        <v>248</v>
      </c>
      <c r="U126" s="11">
        <f>VLOOKUP($G126, 'ADP Data'!$C$4:$Q$300, 8, FALSE)</f>
        <v>216</v>
      </c>
      <c r="V126" s="11">
        <f t="shared" si="7"/>
        <v>244</v>
      </c>
      <c r="W126" s="11">
        <f t="shared" si="8"/>
        <v>21</v>
      </c>
      <c r="X126" s="11">
        <f t="shared" si="9"/>
        <v>-21</v>
      </c>
      <c r="Y126" s="11">
        <f>VLOOKUP($G126, SeanRanks!$A$2:$K$303, 10, FALSE)-V126</f>
        <v>-14</v>
      </c>
      <c r="Z126" s="25" t="str">
        <f>IF(VLOOKUP($G126, SeanRanks!$A$2:$H$303, 7, FALSE)=0, "", VLOOKUP($G126, SeanRanks!$A$2:$H$303, 7, FALSE))</f>
        <v/>
      </c>
    </row>
    <row r="127" spans="1:26" ht="14.25" customHeight="1" x14ac:dyDescent="0.25">
      <c r="A127" s="11"/>
      <c r="B127" s="11">
        <f t="shared" si="3"/>
        <v>18</v>
      </c>
      <c r="C127" s="11" t="s">
        <v>119</v>
      </c>
      <c r="D127" s="11">
        <v>11</v>
      </c>
      <c r="E127" s="11"/>
      <c r="F127" s="11">
        <f>VLOOKUP(G127, SeanRanks!$A$2:$E$302, 4, FALSE)</f>
        <v>0</v>
      </c>
      <c r="G127" s="11" t="s">
        <v>536</v>
      </c>
      <c r="H127" s="11" t="str">
        <f>VLOOKUP($G127, 'ADP Data'!$C$4:$Q$300, 2, FALSE)</f>
        <v>PIT</v>
      </c>
      <c r="I127" s="11">
        <f>VLOOKUP(G127, 'ADP Data'!$C$4:$R$498, 12, FALSE)</f>
        <v>228</v>
      </c>
      <c r="J127" s="57">
        <f>VLOOKUP($G127, SeanRanks!$A$2:$H$303, 5, FALSE)</f>
        <v>0</v>
      </c>
      <c r="K127" s="11" t="str">
        <f>IF(VLOOKUP($G127, SeanRanks!$A$2:$H$303, 6, FALSE)=0, "", VLOOKUP($G127, SeanRanks!$A$2:$H$303, 6, FALSE))</f>
        <v/>
      </c>
      <c r="L127" s="11">
        <f t="shared" si="4"/>
        <v>17</v>
      </c>
      <c r="M127" s="11">
        <f>VLOOKUP($G127, 'ADP Data'!$C$4:$Q$300, 9, FALSE)</f>
        <v>202</v>
      </c>
      <c r="N127" s="11">
        <f t="shared" si="5"/>
        <v>-3</v>
      </c>
      <c r="O127" s="11" t="str">
        <f>VLOOKUP($G127, 'ADP Data'!$C$4:$Q$300, 3, FALSE)</f>
        <v>-</v>
      </c>
      <c r="P127" s="11" t="e">
        <f t="shared" si="6"/>
        <v>#VALUE!</v>
      </c>
      <c r="Q127" s="11">
        <f>VLOOKUP($G127, 'ADP Data'!$C$4:$Q$300, 4, FALSE)</f>
        <v>198</v>
      </c>
      <c r="R127" s="11">
        <f>VLOOKUP($G127, 'ADP Data'!$C$4:$Q$300, 5, FALSE)</f>
        <v>239</v>
      </c>
      <c r="S127" s="11">
        <f>VLOOKUP($G127, 'ADP Data'!$C$4:$Q$300, 6, FALSE)</f>
        <v>196</v>
      </c>
      <c r="T127" s="11">
        <f>VLOOKUP($G127, 'ADP Data'!$C$4:$Q$300, 7, FALSE)</f>
        <v>221</v>
      </c>
      <c r="U127" s="11">
        <f>VLOOKUP($G127, 'ADP Data'!$C$4:$Q$300, 8, FALSE)</f>
        <v>176</v>
      </c>
      <c r="V127" s="11">
        <f t="shared" si="7"/>
        <v>205</v>
      </c>
      <c r="W127" s="11">
        <f t="shared" si="8"/>
        <v>18</v>
      </c>
      <c r="X127" s="11">
        <f t="shared" si="9"/>
        <v>-7</v>
      </c>
      <c r="Y127" s="11">
        <f>VLOOKUP($G127, SeanRanks!$A$2:$K$303, 10, FALSE)-V127</f>
        <v>23</v>
      </c>
      <c r="Z127" s="25" t="str">
        <f>IF(VLOOKUP($G127, SeanRanks!$A$2:$H$303, 7, FALSE)=0, "", VLOOKUP($G127, SeanRanks!$A$2:$H$303, 7, FALSE))</f>
        <v/>
      </c>
    </row>
    <row r="128" spans="1:26" ht="14.25" customHeight="1" x14ac:dyDescent="0.25">
      <c r="A128" s="11"/>
      <c r="B128" s="11">
        <f t="shared" si="3"/>
        <v>14</v>
      </c>
      <c r="C128" s="11" t="s">
        <v>119</v>
      </c>
      <c r="D128" s="11"/>
      <c r="E128" s="11"/>
      <c r="F128" s="11">
        <f>VLOOKUP(G128, SeanRanks!$A$2:$E$302, 4, FALSE)</f>
        <v>0</v>
      </c>
      <c r="G128" s="11" t="s">
        <v>826</v>
      </c>
      <c r="H128" s="11" t="str">
        <f>VLOOKUP($G128, 'ADP Data'!$C$4:$Q$300, 2, FALSE)</f>
        <v>ARI</v>
      </c>
      <c r="I128" s="11">
        <f>VLOOKUP(G128, 'ADP Data'!$C$4:$R$498, 12, FALSE)</f>
        <v>139</v>
      </c>
      <c r="J128" s="59">
        <f>VLOOKUP($G128, SeanRanks!$A$2:$H$303, 5, FALSE)</f>
        <v>0</v>
      </c>
      <c r="K128" s="11" t="str">
        <f>IF(VLOOKUP($G128, SeanRanks!$A$2:$H$303, 6, FALSE)=0, "", VLOOKUP($G128, SeanRanks!$A$2:$H$303, 6, FALSE))</f>
        <v>RB4 - 1 - Path to spikes</v>
      </c>
      <c r="L128" s="11">
        <f t="shared" si="4"/>
        <v>12</v>
      </c>
      <c r="M128" s="11">
        <f>VLOOKUP($G128, 'ADP Data'!$C$4:$Q$300, 9, FALSE)</f>
        <v>143</v>
      </c>
      <c r="N128" s="11">
        <f t="shared" si="5"/>
        <v>-10</v>
      </c>
      <c r="O128" s="11">
        <f>VLOOKUP($G128, 'ADP Data'!$C$4:$Q$300, 3, FALSE)</f>
        <v>149</v>
      </c>
      <c r="P128" s="11">
        <f t="shared" si="6"/>
        <v>-6</v>
      </c>
      <c r="Q128" s="11">
        <f>VLOOKUP($G128, 'ADP Data'!$C$4:$Q$300, 4, FALSE)</f>
        <v>151</v>
      </c>
      <c r="R128" s="11">
        <f>VLOOKUP($G128, 'ADP Data'!$C$4:$Q$300, 5, FALSE)</f>
        <v>159</v>
      </c>
      <c r="S128" s="11">
        <f>VLOOKUP($G128, 'ADP Data'!$C$4:$Q$300, 6, FALSE)</f>
        <v>121</v>
      </c>
      <c r="T128" s="11">
        <f>VLOOKUP($G128, 'ADP Data'!$C$4:$Q$300, 7, FALSE)</f>
        <v>123</v>
      </c>
      <c r="U128" s="11">
        <f>VLOOKUP($G128, 'ADP Data'!$C$4:$Q$300, 8, FALSE)</f>
        <v>227</v>
      </c>
      <c r="V128" s="11">
        <f t="shared" si="7"/>
        <v>153</v>
      </c>
      <c r="W128" s="11">
        <f t="shared" si="8"/>
        <v>13</v>
      </c>
      <c r="X128" s="11">
        <f t="shared" si="9"/>
        <v>-13</v>
      </c>
      <c r="Y128" s="11">
        <f>VLOOKUP($G128, SeanRanks!$A$2:$K$303, 10, FALSE)-V128</f>
        <v>-16</v>
      </c>
      <c r="Z128" s="25">
        <f>IF(VLOOKUP($G128, SeanRanks!$A$2:$H$303, 7, FALSE)=0, "", VLOOKUP($G128, SeanRanks!$A$2:$H$303, 7, FALSE))</f>
        <v>44</v>
      </c>
    </row>
    <row r="129" spans="1:26" ht="14.25" customHeight="1" x14ac:dyDescent="0.25">
      <c r="A129" s="11" t="s">
        <v>243</v>
      </c>
      <c r="B129" s="11">
        <f t="shared" si="3"/>
        <v>16</v>
      </c>
      <c r="C129" s="11" t="s">
        <v>119</v>
      </c>
      <c r="D129" s="11"/>
      <c r="E129" s="11"/>
      <c r="F129" s="11">
        <f>VLOOKUP(G129, SeanRanks!$A$2:$E$302, 4, FALSE)</f>
        <v>0</v>
      </c>
      <c r="G129" s="11" t="s">
        <v>658</v>
      </c>
      <c r="H129" s="11" t="str">
        <f>VLOOKUP($G129, 'ADP Data'!$C$4:$Q$300, 2, FALSE)</f>
        <v>SF</v>
      </c>
      <c r="I129" s="11" t="str">
        <f>VLOOKUP(G129, 'ADP Data'!$C$4:$R$498, 12, FALSE)</f>
        <v>-</v>
      </c>
      <c r="J129" s="11">
        <f>VLOOKUP($G129, SeanRanks!$A$2:$H$303, 5, FALSE)</f>
        <v>0</v>
      </c>
      <c r="K129" s="11" t="str">
        <f>IF(VLOOKUP($G129, SeanRanks!$A$2:$H$303, 6, FALSE)=0, "", VLOOKUP($G129, SeanRanks!$A$2:$H$303, 6, FALSE))</f>
        <v/>
      </c>
      <c r="L129" s="11">
        <f t="shared" si="4"/>
        <v>14</v>
      </c>
      <c r="M129" s="11">
        <f>VLOOKUP($G129, 'ADP Data'!$C$4:$Q$300, 9, FALSE)</f>
        <v>156</v>
      </c>
      <c r="N129" s="11">
        <f t="shared" si="5"/>
        <v>-21</v>
      </c>
      <c r="O129" s="11">
        <f>VLOOKUP($G129, 'ADP Data'!$C$4:$Q$300, 3, FALSE)</f>
        <v>181</v>
      </c>
      <c r="P129" s="11">
        <f t="shared" si="6"/>
        <v>-25</v>
      </c>
      <c r="Q129" s="11">
        <f>VLOOKUP($G129, 'ADP Data'!$C$4:$Q$300, 4, FALSE)</f>
        <v>188</v>
      </c>
      <c r="R129" s="11">
        <f>VLOOKUP($G129, 'ADP Data'!$C$4:$Q$300, 5, FALSE)</f>
        <v>229</v>
      </c>
      <c r="S129" s="11">
        <f>VLOOKUP($G129, 'ADP Data'!$C$4:$Q$300, 6, FALSE)</f>
        <v>230</v>
      </c>
      <c r="T129" s="11">
        <f>VLOOKUP($G129, 'ADP Data'!$C$4:$Q$300, 7, FALSE)</f>
        <v>185</v>
      </c>
      <c r="U129" s="11">
        <f>VLOOKUP($G129, 'ADP Data'!$C$4:$Q$300, 8, FALSE)</f>
        <v>76</v>
      </c>
      <c r="V129" s="11">
        <f t="shared" si="7"/>
        <v>177</v>
      </c>
      <c r="W129" s="11">
        <f t="shared" si="8"/>
        <v>15</v>
      </c>
      <c r="X129" s="11">
        <f t="shared" si="9"/>
        <v>-15</v>
      </c>
      <c r="Y129" s="11" t="e">
        <f>VLOOKUP($G129, SeanRanks!$A$2:$K$303, 10, FALSE)-V129</f>
        <v>#VALUE!</v>
      </c>
      <c r="Z129" s="25" t="str">
        <f>IF(VLOOKUP($G129, SeanRanks!$A$2:$H$303, 7, FALSE)=0, "", VLOOKUP($G129, SeanRanks!$A$2:$H$303, 7, FALSE))</f>
        <v/>
      </c>
    </row>
    <row r="130" spans="1:26" ht="14.25" customHeight="1" x14ac:dyDescent="0.25">
      <c r="A130" s="11"/>
      <c r="B130" s="11">
        <f t="shared" si="3"/>
        <v>17</v>
      </c>
      <c r="C130" s="11" t="s">
        <v>119</v>
      </c>
      <c r="D130" s="11">
        <v>12</v>
      </c>
      <c r="E130" s="11"/>
      <c r="F130" s="11">
        <f>VLOOKUP(G130, SeanRanks!$A$2:$E$302, 4, FALSE)</f>
        <v>0</v>
      </c>
      <c r="G130" s="11" t="s">
        <v>346</v>
      </c>
      <c r="H130" s="11" t="str">
        <f>VLOOKUP($G130, 'ADP Data'!$C$4:$Q$300, 2, FALSE)</f>
        <v>GB</v>
      </c>
      <c r="I130" s="11">
        <f>VLOOKUP(G130, 'ADP Data'!$C$4:$R$498, 12, FALSE)</f>
        <v>142</v>
      </c>
      <c r="J130" s="45">
        <f>VLOOKUP($G130, SeanRanks!$A$2:$H$303, 5, FALSE)</f>
        <v>0</v>
      </c>
      <c r="K130" s="11" t="str">
        <f>IF(VLOOKUP($G130, SeanRanks!$A$2:$H$303, 6, FALSE)=0, "", VLOOKUP($G130, SeanRanks!$A$2:$H$303, 6, FALSE))</f>
        <v/>
      </c>
      <c r="L130" s="11">
        <f t="shared" si="4"/>
        <v>18</v>
      </c>
      <c r="M130" s="11">
        <f>VLOOKUP($G130, 'ADP Data'!$C$4:$Q$300, 9, FALSE)</f>
        <v>210</v>
      </c>
      <c r="N130" s="11">
        <f t="shared" si="5"/>
        <v>12</v>
      </c>
      <c r="O130" s="11">
        <f>VLOOKUP($G130, 'ADP Data'!$C$4:$Q$300, 3, FALSE)</f>
        <v>205</v>
      </c>
      <c r="P130" s="11">
        <f t="shared" si="6"/>
        <v>5</v>
      </c>
      <c r="Q130" s="11" t="str">
        <f>VLOOKUP($G130, 'ADP Data'!$C$4:$Q$300, 4, FALSE)</f>
        <v>-</v>
      </c>
      <c r="R130" s="11">
        <f>VLOOKUP($G130, 'ADP Data'!$C$4:$Q$300, 5, FALSE)</f>
        <v>219</v>
      </c>
      <c r="S130" s="11">
        <f>VLOOKUP($G130, 'ADP Data'!$C$4:$Q$300, 6, FALSE)</f>
        <v>172</v>
      </c>
      <c r="T130" s="11">
        <f>VLOOKUP($G130, 'ADP Data'!$C$4:$Q$300, 7, FALSE)</f>
        <v>163</v>
      </c>
      <c r="U130" s="11">
        <f>VLOOKUP($G130, 'ADP Data'!$C$4:$Q$300, 8, FALSE)</f>
        <v>223</v>
      </c>
      <c r="V130" s="11">
        <f t="shared" si="7"/>
        <v>198</v>
      </c>
      <c r="W130" s="11">
        <f t="shared" si="8"/>
        <v>17</v>
      </c>
      <c r="X130" s="11">
        <f t="shared" si="9"/>
        <v>-5</v>
      </c>
      <c r="Y130" s="11">
        <f>VLOOKUP($G130, SeanRanks!$A$2:$K$303, 10, FALSE)-V130</f>
        <v>-20</v>
      </c>
      <c r="Z130" s="25" t="str">
        <f>IF(VLOOKUP($G130, SeanRanks!$A$2:$H$303, 7, FALSE)=0, "", VLOOKUP($G130, SeanRanks!$A$2:$H$303, 7, FALSE))</f>
        <v/>
      </c>
    </row>
    <row r="131" spans="1:26" ht="14.25" customHeight="1" x14ac:dyDescent="0.25">
      <c r="A131" s="11"/>
      <c r="B131" s="11" t="e">
        <f t="shared" si="3"/>
        <v>#N/A</v>
      </c>
      <c r="C131" s="11" t="s">
        <v>119</v>
      </c>
      <c r="D131" s="11"/>
      <c r="E131" s="11"/>
      <c r="F131" s="11" t="e">
        <f>VLOOKUP(G131, SeanRanks!$A$2:$E$302, 4, FALSE)</f>
        <v>#N/A</v>
      </c>
      <c r="G131" s="11" t="s">
        <v>909</v>
      </c>
      <c r="H131" s="11" t="e">
        <f>VLOOKUP($G131, 'ADP Data'!$C$4:$Q$300, 2, FALSE)</f>
        <v>#N/A</v>
      </c>
      <c r="I131" s="11" t="e">
        <f>VLOOKUP(G131, 'ADP Data'!$C$4:$R$498, 12, FALSE)</f>
        <v>#N/A</v>
      </c>
      <c r="J131" s="45" t="e">
        <f>VLOOKUP($G131, SeanRanks!$A$2:$H$303, 5, FALSE)</f>
        <v>#N/A</v>
      </c>
      <c r="K131" s="11" t="e">
        <f>IF(VLOOKUP($G131, SeanRanks!$A$2:$H$303, 6, FALSE)=0, "", VLOOKUP($G131, SeanRanks!$A$2:$H$303, 6, FALSE))</f>
        <v>#N/A</v>
      </c>
      <c r="L131" s="11">
        <f t="shared" si="4"/>
        <v>16</v>
      </c>
      <c r="M131" s="11" t="e">
        <f>VLOOKUP($G131, 'ADP Data'!$C$4:$Q$300, 9, FALSE)</f>
        <v>#N/A</v>
      </c>
      <c r="N131" s="11" t="e">
        <f t="shared" si="5"/>
        <v>#N/A</v>
      </c>
      <c r="O131" s="11" t="e">
        <f>VLOOKUP($G131, 'ADP Data'!$C$4:$Q$300, 3, FALSE)</f>
        <v>#N/A</v>
      </c>
      <c r="P131" s="11" t="e">
        <f t="shared" si="6"/>
        <v>#N/A</v>
      </c>
      <c r="Q131" s="11" t="e">
        <f>VLOOKUP($G131, 'ADP Data'!$C$4:$Q$300, 4, FALSE)</f>
        <v>#N/A</v>
      </c>
      <c r="R131" s="11" t="e">
        <f>VLOOKUP($G131, 'ADP Data'!$C$4:$Q$300, 5, FALSE)</f>
        <v>#N/A</v>
      </c>
      <c r="S131" s="11" t="e">
        <f>VLOOKUP($G131, 'ADP Data'!$C$4:$Q$300, 6, FALSE)</f>
        <v>#N/A</v>
      </c>
      <c r="T131" s="11" t="e">
        <f>VLOOKUP($G131, 'ADP Data'!$C$4:$Q$300, 7, FALSE)</f>
        <v>#N/A</v>
      </c>
      <c r="U131" s="11" t="e">
        <f>VLOOKUP($G131, 'ADP Data'!$C$4:$Q$300, 8, FALSE)</f>
        <v>#N/A</v>
      </c>
      <c r="V131" s="11" t="e">
        <f t="shared" si="7"/>
        <v>#N/A</v>
      </c>
      <c r="W131" s="11">
        <f t="shared" si="8"/>
        <v>16</v>
      </c>
      <c r="X131" s="11">
        <f t="shared" si="9"/>
        <v>-16</v>
      </c>
      <c r="Y131" s="11" t="e">
        <f>VLOOKUP($G131, SeanRanks!$A$2:$K$303, 10, FALSE)-V131</f>
        <v>#N/A</v>
      </c>
      <c r="Z131" s="25" t="e">
        <f>IF(VLOOKUP($G131, SeanRanks!$A$2:$H$303, 7, FALSE)=0, "", VLOOKUP($G131, SeanRanks!$A$2:$H$303, 7, FALSE))</f>
        <v>#N/A</v>
      </c>
    </row>
    <row r="132" spans="1:26" ht="14.25" customHeight="1" x14ac:dyDescent="0.25">
      <c r="A132" s="11"/>
      <c r="B132" s="11">
        <f t="shared" si="3"/>
        <v>6</v>
      </c>
      <c r="C132" s="11" t="s">
        <v>148</v>
      </c>
      <c r="D132" s="11">
        <v>13</v>
      </c>
      <c r="E132" s="11"/>
      <c r="F132" s="11">
        <f>VLOOKUP(G132, SeanRanks!$A$2:$E$302, 4, FALSE)</f>
        <v>0</v>
      </c>
      <c r="G132" s="11" t="s">
        <v>422</v>
      </c>
      <c r="H132" s="11" t="str">
        <f>VLOOKUP($G132, 'ADP Data'!$C$4:$Q$300, 2, FALSE)</f>
        <v>MIN</v>
      </c>
      <c r="I132" s="11">
        <f>VLOOKUP(G132, 'ADP Data'!$C$4:$R$498, 12, FALSE)</f>
        <v>87</v>
      </c>
      <c r="J132" s="61">
        <f>VLOOKUP($G132, SeanRanks!$A$2:$H$303, 5, FALSE)</f>
        <v>0</v>
      </c>
      <c r="K132" s="11" t="str">
        <f>IF(VLOOKUP($G132, SeanRanks!$A$2:$H$303, 6, FALSE)=0, "", VLOOKUP($G132, SeanRanks!$A$2:$H$303, 6, FALSE))</f>
        <v>TE1 - 2 - Very Good</v>
      </c>
      <c r="L132" s="11">
        <f t="shared" si="4"/>
        <v>6</v>
      </c>
      <c r="M132" s="11">
        <f>VLOOKUP($G132, 'ADP Data'!$C$4:$Q$300, 9, FALSE)</f>
        <v>64</v>
      </c>
      <c r="N132" s="11">
        <f t="shared" si="5"/>
        <v>-2</v>
      </c>
      <c r="O132" s="11">
        <f>VLOOKUP($G132, 'ADP Data'!$C$4:$Q$300, 3, FALSE)</f>
        <v>71</v>
      </c>
      <c r="P132" s="11">
        <f t="shared" si="6"/>
        <v>-7</v>
      </c>
      <c r="Q132" s="11">
        <f>VLOOKUP($G132, 'ADP Data'!$C$4:$Q$300, 4, FALSE)</f>
        <v>56</v>
      </c>
      <c r="R132" s="11">
        <f>VLOOKUP($G132, 'ADP Data'!$C$4:$Q$300, 5, FALSE)</f>
        <v>82</v>
      </c>
      <c r="S132" s="11">
        <f>VLOOKUP($G132, 'ADP Data'!$C$4:$Q$300, 6, FALSE)</f>
        <v>64</v>
      </c>
      <c r="T132" s="11">
        <f>VLOOKUP($G132, 'ADP Data'!$C$4:$Q$300, 7, FALSE)</f>
        <v>80</v>
      </c>
      <c r="U132" s="11">
        <f>VLOOKUP($G132, 'ADP Data'!$C$4:$Q$300, 8, FALSE)</f>
        <v>50</v>
      </c>
      <c r="V132" s="11">
        <f t="shared" si="7"/>
        <v>66</v>
      </c>
      <c r="W132" s="11">
        <f t="shared" si="8"/>
        <v>6</v>
      </c>
      <c r="X132" s="11">
        <f t="shared" si="9"/>
        <v>7</v>
      </c>
      <c r="Y132" s="11">
        <f>VLOOKUP($G132, SeanRanks!$A$2:$K$303, 10, FALSE)-V132</f>
        <v>7</v>
      </c>
      <c r="Z132" s="25">
        <f>IF(VLOOKUP($G132, SeanRanks!$A$2:$H$303, 7, FALSE)=0, "", VLOOKUP($G132, SeanRanks!$A$2:$H$303, 7, FALSE))</f>
        <v>5</v>
      </c>
    </row>
    <row r="133" spans="1:26" ht="14.25" customHeight="1" x14ac:dyDescent="0.25">
      <c r="A133" s="11"/>
      <c r="B133" s="11">
        <f t="shared" si="3"/>
        <v>10</v>
      </c>
      <c r="C133" s="11" t="s">
        <v>148</v>
      </c>
      <c r="D133" s="11"/>
      <c r="E133" s="11"/>
      <c r="F133" s="11">
        <f>VLOOKUP(G133, SeanRanks!$A$2:$E$302, 4, FALSE)</f>
        <v>0</v>
      </c>
      <c r="G133" s="11" t="s">
        <v>262</v>
      </c>
      <c r="H133" s="11" t="str">
        <f>VLOOKUP($G133, 'ADP Data'!$C$4:$Q$300, 2, FALSE)</f>
        <v>LAC</v>
      </c>
      <c r="I133" s="11">
        <f>VLOOKUP(G133, 'ADP Data'!$C$4:$R$498, 12, FALSE)</f>
        <v>128</v>
      </c>
      <c r="J133" s="58">
        <f>VLOOKUP($G133, SeanRanks!$A$2:$H$303, 5, FALSE)</f>
        <v>0</v>
      </c>
      <c r="K133" s="11" t="str">
        <f>IF(VLOOKUP($G133, SeanRanks!$A$2:$H$303, 6, FALSE)=0, "", VLOOKUP($G133, SeanRanks!$A$2:$H$303, 6, FALSE))</f>
        <v>QB2 - 2 - Not League Winner</v>
      </c>
      <c r="L133" s="11">
        <f t="shared" si="4"/>
        <v>10</v>
      </c>
      <c r="M133" s="11">
        <f>VLOOKUP($G133, 'ADP Data'!$C$4:$Q$300, 9, FALSE)</f>
        <v>109</v>
      </c>
      <c r="N133" s="11">
        <f t="shared" si="5"/>
        <v>-8</v>
      </c>
      <c r="O133" s="11">
        <f>VLOOKUP($G133, 'ADP Data'!$C$4:$Q$300, 3, FALSE)</f>
        <v>122</v>
      </c>
      <c r="P133" s="11">
        <f t="shared" si="6"/>
        <v>-13</v>
      </c>
      <c r="Q133" s="11">
        <f>VLOOKUP($G133, 'ADP Data'!$C$4:$Q$300, 4, FALSE)</f>
        <v>91</v>
      </c>
      <c r="R133" s="11">
        <f>VLOOKUP($G133, 'ADP Data'!$C$4:$Q$300, 5, FALSE)</f>
        <v>122</v>
      </c>
      <c r="S133" s="11">
        <f>VLOOKUP($G133, 'ADP Data'!$C$4:$Q$300, 6, FALSE)</f>
        <v>135</v>
      </c>
      <c r="T133" s="11">
        <f>VLOOKUP($G133, 'ADP Data'!$C$4:$Q$300, 7, FALSE)</f>
        <v>120</v>
      </c>
      <c r="U133" s="11">
        <f>VLOOKUP($G133, 'ADP Data'!$C$4:$Q$300, 8, FALSE)</f>
        <v>124</v>
      </c>
      <c r="V133" s="11">
        <f t="shared" si="7"/>
        <v>117</v>
      </c>
      <c r="W133" s="11">
        <f t="shared" si="8"/>
        <v>10</v>
      </c>
      <c r="X133" s="11">
        <f t="shared" si="9"/>
        <v>-10</v>
      </c>
      <c r="Y133" s="11">
        <f>VLOOKUP($G133, SeanRanks!$A$2:$K$303, 10, FALSE)-V133</f>
        <v>-12</v>
      </c>
      <c r="Z133" s="25">
        <f>IF(VLOOKUP($G133, SeanRanks!$A$2:$H$303, 7, FALSE)=0, "", VLOOKUP($G133, SeanRanks!$A$2:$H$303, 7, FALSE))</f>
        <v>17</v>
      </c>
    </row>
    <row r="134" spans="1:26" ht="14.25" customHeight="1" x14ac:dyDescent="0.25">
      <c r="A134" s="11"/>
      <c r="B134" s="11">
        <f t="shared" si="3"/>
        <v>8</v>
      </c>
      <c r="C134" s="11" t="s">
        <v>119</v>
      </c>
      <c r="D134" s="11"/>
      <c r="E134" s="11"/>
      <c r="F134" s="11">
        <f>VLOOKUP(G134, SeanRanks!$A$2:$E$302, 4, FALSE)</f>
        <v>0</v>
      </c>
      <c r="G134" s="11" t="s">
        <v>335</v>
      </c>
      <c r="H134" s="11" t="str">
        <f>VLOOKUP($G134, 'ADP Data'!$C$4:$Q$300, 2, FALSE)</f>
        <v>LV</v>
      </c>
      <c r="I134" s="11">
        <f>VLOOKUP(G134, 'ADP Data'!$C$4:$R$498, 12, FALSE)</f>
        <v>77</v>
      </c>
      <c r="J134" s="45">
        <f>VLOOKUP($G134, SeanRanks!$A$2:$H$303, 5, FALSE)</f>
        <v>0</v>
      </c>
      <c r="K134" s="11" t="str">
        <f>IF(VLOOKUP($G134, SeanRanks!$A$2:$H$303, 6, FALSE)=0, "", VLOOKUP($G134, SeanRanks!$A$2:$H$303, 6, FALSE))</f>
        <v>WR3 - 3 - lower ceiling</v>
      </c>
      <c r="L134" s="11">
        <f t="shared" si="4"/>
        <v>7</v>
      </c>
      <c r="M134" s="11">
        <f>VLOOKUP($G134, 'ADP Data'!$C$4:$Q$300, 9, FALSE)</f>
        <v>83</v>
      </c>
      <c r="N134" s="11">
        <f t="shared" si="5"/>
        <v>-4</v>
      </c>
      <c r="O134" s="11">
        <f>VLOOKUP($G134, 'ADP Data'!$C$4:$Q$300, 3, FALSE)</f>
        <v>85</v>
      </c>
      <c r="P134" s="11">
        <f t="shared" si="6"/>
        <v>-2</v>
      </c>
      <c r="Q134" s="11">
        <f>VLOOKUP($G134, 'ADP Data'!$C$4:$Q$300, 4, FALSE)</f>
        <v>82</v>
      </c>
      <c r="R134" s="11">
        <f>VLOOKUP($G134, 'ADP Data'!$C$4:$Q$300, 5, FALSE)</f>
        <v>86</v>
      </c>
      <c r="S134" s="11">
        <f>VLOOKUP($G134, 'ADP Data'!$C$4:$Q$300, 6, FALSE)</f>
        <v>87</v>
      </c>
      <c r="T134" s="11">
        <f>VLOOKUP($G134, 'ADP Data'!$C$4:$Q$300, 7, FALSE)</f>
        <v>73</v>
      </c>
      <c r="U134" s="11">
        <f>VLOOKUP($G134, 'ADP Data'!$C$4:$Q$300, 8, FALSE)</f>
        <v>119</v>
      </c>
      <c r="V134" s="11">
        <f t="shared" si="7"/>
        <v>87</v>
      </c>
      <c r="W134" s="11">
        <f t="shared" si="8"/>
        <v>8</v>
      </c>
      <c r="X134" s="11">
        <f t="shared" si="9"/>
        <v>-8</v>
      </c>
      <c r="Y134" s="11">
        <f>VLOOKUP($G134, SeanRanks!$A$2:$K$303, 10, FALSE)-V134</f>
        <v>0</v>
      </c>
      <c r="Z134" s="25">
        <f>IF(VLOOKUP($G134, SeanRanks!$A$2:$H$303, 7, FALSE)=0, "", VLOOKUP($G134, SeanRanks!$A$2:$H$303, 7, FALSE))</f>
        <v>35</v>
      </c>
    </row>
    <row r="135" spans="1:26" ht="14.25" customHeight="1" x14ac:dyDescent="0.25">
      <c r="A135" s="11"/>
      <c r="B135" s="11">
        <f t="shared" si="3"/>
        <v>13</v>
      </c>
      <c r="C135" s="11" t="s">
        <v>148</v>
      </c>
      <c r="D135" s="11"/>
      <c r="E135" s="11"/>
      <c r="F135" s="11">
        <f>VLOOKUP(G135, SeanRanks!$A$2:$E$302, 4, FALSE)</f>
        <v>0</v>
      </c>
      <c r="G135" s="11" t="s">
        <v>502</v>
      </c>
      <c r="H135" s="11" t="str">
        <f>VLOOKUP($G135, 'ADP Data'!$C$4:$Q$300, 2, FALSE)</f>
        <v>BAL</v>
      </c>
      <c r="I135" s="11" t="str">
        <f>VLOOKUP(G135, 'ADP Data'!$C$4:$R$498, 12, FALSE)</f>
        <v>-</v>
      </c>
      <c r="J135" s="11">
        <f>VLOOKUP($G135, SeanRanks!$A$2:$H$303, 5, FALSE)</f>
        <v>0</v>
      </c>
      <c r="K135" s="11" t="str">
        <f>IF(VLOOKUP($G135, SeanRanks!$A$2:$H$303, 6, FALSE)=0, "", VLOOKUP($G135, SeanRanks!$A$2:$H$303, 6, FALSE))</f>
        <v/>
      </c>
      <c r="L135" s="11">
        <f t="shared" si="4"/>
        <v>16</v>
      </c>
      <c r="M135" s="11">
        <f>VLOOKUP($G135, 'ADP Data'!$C$4:$Q$300, 9, FALSE)</f>
        <v>181</v>
      </c>
      <c r="N135" s="11">
        <f t="shared" si="5"/>
        <v>34</v>
      </c>
      <c r="O135" s="11">
        <f>VLOOKUP($G135, 'ADP Data'!$C$4:$Q$300, 3, FALSE)</f>
        <v>112</v>
      </c>
      <c r="P135" s="11">
        <f t="shared" si="6"/>
        <v>69</v>
      </c>
      <c r="Q135" s="11">
        <f>VLOOKUP($G135, 'ADP Data'!$C$4:$Q$300, 4, FALSE)</f>
        <v>109</v>
      </c>
      <c r="R135" s="11">
        <f>VLOOKUP($G135, 'ADP Data'!$C$4:$Q$300, 5, FALSE)</f>
        <v>129</v>
      </c>
      <c r="S135" s="11">
        <f>VLOOKUP($G135, 'ADP Data'!$C$4:$Q$300, 6, FALSE)</f>
        <v>212</v>
      </c>
      <c r="T135" s="11">
        <f>VLOOKUP($G135, 'ADP Data'!$C$4:$Q$300, 7, FALSE)</f>
        <v>166</v>
      </c>
      <c r="U135" s="11">
        <f>VLOOKUP($G135, 'ADP Data'!$C$4:$Q$300, 8, FALSE)</f>
        <v>123</v>
      </c>
      <c r="V135" s="11">
        <f t="shared" si="7"/>
        <v>147</v>
      </c>
      <c r="W135" s="11">
        <f t="shared" si="8"/>
        <v>13</v>
      </c>
      <c r="X135" s="11">
        <f t="shared" si="9"/>
        <v>-13</v>
      </c>
      <c r="Y135" s="11">
        <f>VLOOKUP($G135, SeanRanks!$A$2:$K$303, 10, FALSE)-V135</f>
        <v>22</v>
      </c>
      <c r="Z135" s="25" t="str">
        <f>IF(VLOOKUP($G135, SeanRanks!$A$2:$H$303, 7, FALSE)=0, "", VLOOKUP($G135, SeanRanks!$A$2:$H$303, 7, FALSE))</f>
        <v/>
      </c>
    </row>
    <row r="136" spans="1:26" ht="14.25" customHeight="1" x14ac:dyDescent="0.25">
      <c r="A136" s="11"/>
      <c r="B136" s="11">
        <f t="shared" si="3"/>
        <v>23</v>
      </c>
      <c r="C136" s="11" t="s">
        <v>148</v>
      </c>
      <c r="D136" s="11"/>
      <c r="E136" s="11"/>
      <c r="F136" s="11">
        <f>VLOOKUP(G136, SeanRanks!$A$2:$E$302, 4, FALSE)</f>
        <v>0</v>
      </c>
      <c r="G136" s="11" t="s">
        <v>627</v>
      </c>
      <c r="H136" s="11" t="str">
        <f>VLOOKUP($G136, 'ADP Data'!$C$4:$Q$300, 2, FALSE)</f>
        <v>ATL</v>
      </c>
      <c r="I136" s="11">
        <f>VLOOKUP(G136, 'ADP Data'!$C$4:$R$498, 12, FALSE)</f>
        <v>248</v>
      </c>
      <c r="J136" s="59">
        <f>VLOOKUP($G136, SeanRanks!$A$2:$H$303, 5, FALSE)</f>
        <v>0</v>
      </c>
      <c r="K136" s="11" t="str">
        <f>IF(VLOOKUP($G136, SeanRanks!$A$2:$H$303, 6, FALSE)=0, "", VLOOKUP($G136, SeanRanks!$A$2:$H$303, 6, FALSE))</f>
        <v/>
      </c>
      <c r="L136" s="11">
        <f t="shared" si="4"/>
        <v>16</v>
      </c>
      <c r="M136" s="11" t="str">
        <f>VLOOKUP($G136, 'ADP Data'!$C$4:$Q$300, 9, FALSE)</f>
        <v>-</v>
      </c>
      <c r="N136" s="11" t="e">
        <f t="shared" si="5"/>
        <v>#VALUE!</v>
      </c>
      <c r="O136" s="11" t="str">
        <f>VLOOKUP($G136, 'ADP Data'!$C$4:$Q$300, 3, FALSE)</f>
        <v>-</v>
      </c>
      <c r="P136" s="11" t="e">
        <f t="shared" si="6"/>
        <v>#VALUE!</v>
      </c>
      <c r="Q136" s="11">
        <f>VLOOKUP($G136, 'ADP Data'!$C$4:$Q$300, 4, FALSE)</f>
        <v>231</v>
      </c>
      <c r="R136" s="11" t="str">
        <f>VLOOKUP($G136, 'ADP Data'!$C$4:$Q$300, 5, FALSE)</f>
        <v>-</v>
      </c>
      <c r="S136" s="11">
        <f>VLOOKUP($G136, 'ADP Data'!$C$4:$Q$300, 6, FALSE)</f>
        <v>312</v>
      </c>
      <c r="T136" s="11" t="str">
        <f>VLOOKUP($G136, 'ADP Data'!$C$4:$Q$300, 7, FALSE)</f>
        <v>-</v>
      </c>
      <c r="U136" s="11">
        <f>VLOOKUP($G136, 'ADP Data'!$C$4:$Q$300, 8, FALSE)</f>
        <v>281</v>
      </c>
      <c r="V136" s="11">
        <f t="shared" si="7"/>
        <v>274</v>
      </c>
      <c r="W136" s="11">
        <f t="shared" si="8"/>
        <v>23</v>
      </c>
      <c r="X136" s="11">
        <f t="shared" si="9"/>
        <v>-23</v>
      </c>
      <c r="Y136" s="11" t="e">
        <f>VLOOKUP($G136, SeanRanks!$A$2:$K$303, 10, FALSE)-V136</f>
        <v>#VALUE!</v>
      </c>
      <c r="Z136" s="25" t="str">
        <f>IF(VLOOKUP($G136, SeanRanks!$A$2:$H$303, 7, FALSE)=0, "", VLOOKUP($G136, SeanRanks!$A$2:$H$303, 7, FALSE))</f>
        <v/>
      </c>
    </row>
    <row r="137" spans="1:26" ht="14.25" customHeight="1" x14ac:dyDescent="0.25">
      <c r="A137" s="11"/>
      <c r="B137" s="11">
        <f t="shared" si="3"/>
        <v>10</v>
      </c>
      <c r="C137" s="11" t="s">
        <v>119</v>
      </c>
      <c r="D137" s="11"/>
      <c r="E137" s="11"/>
      <c r="F137" s="11">
        <f>VLOOKUP(G137, SeanRanks!$A$2:$E$302, 4, FALSE)</f>
        <v>0</v>
      </c>
      <c r="G137" s="11" t="s">
        <v>386</v>
      </c>
      <c r="H137" s="11" t="str">
        <f>VLOOKUP($G137, 'ADP Data'!$C$4:$Q$300, 2, FALSE)</f>
        <v>SEA</v>
      </c>
      <c r="I137" s="11">
        <f>VLOOKUP(G137, 'ADP Data'!$C$4:$R$498, 12, FALSE)</f>
        <v>90</v>
      </c>
      <c r="J137" s="59">
        <f>VLOOKUP($G137, SeanRanks!$A$2:$H$303, 5, FALSE)</f>
        <v>0</v>
      </c>
      <c r="K137" s="11" t="str">
        <f>IF(VLOOKUP($G137, SeanRanks!$A$2:$H$303, 6, FALSE)=0, "", VLOOKUP($G137, SeanRanks!$A$2:$H$303, 6, FALSE))</f>
        <v>RB3 - 1 - Upside</v>
      </c>
      <c r="L137" s="11">
        <f t="shared" si="4"/>
        <v>9</v>
      </c>
      <c r="M137" s="11">
        <f>VLOOKUP($G137, 'ADP Data'!$C$4:$Q$300, 9, FALSE)</f>
        <v>104</v>
      </c>
      <c r="N137" s="11">
        <f t="shared" si="5"/>
        <v>-6</v>
      </c>
      <c r="O137" s="11">
        <f>VLOOKUP($G137, 'ADP Data'!$C$4:$Q$300, 3, FALSE)</f>
        <v>92</v>
      </c>
      <c r="P137" s="11">
        <f t="shared" si="6"/>
        <v>12</v>
      </c>
      <c r="Q137" s="11">
        <f>VLOOKUP($G137, 'ADP Data'!$C$4:$Q$300, 4, FALSE)</f>
        <v>129</v>
      </c>
      <c r="R137" s="11">
        <f>VLOOKUP($G137, 'ADP Data'!$C$4:$Q$300, 5, FALSE)</f>
        <v>114</v>
      </c>
      <c r="S137" s="11">
        <f>VLOOKUP($G137, 'ADP Data'!$C$4:$Q$300, 6, FALSE)</f>
        <v>86</v>
      </c>
      <c r="T137" s="11">
        <f>VLOOKUP($G137, 'ADP Data'!$C$4:$Q$300, 7, FALSE)</f>
        <v>92</v>
      </c>
      <c r="U137" s="11">
        <f>VLOOKUP($G137, 'ADP Data'!$C$4:$Q$300, 8, FALSE)</f>
        <v>153</v>
      </c>
      <c r="V137" s="11">
        <f t="shared" si="7"/>
        <v>110</v>
      </c>
      <c r="W137" s="11">
        <f t="shared" si="8"/>
        <v>10</v>
      </c>
      <c r="X137" s="11">
        <f t="shared" si="9"/>
        <v>-10</v>
      </c>
      <c r="Y137" s="11">
        <f>VLOOKUP($G137, SeanRanks!$A$2:$K$303, 10, FALSE)-V137</f>
        <v>-32</v>
      </c>
      <c r="Z137" s="25">
        <f>IF(VLOOKUP($G137, SeanRanks!$A$2:$H$303, 7, FALSE)=0, "", VLOOKUP($G137, SeanRanks!$A$2:$H$303, 7, FALSE))</f>
        <v>31</v>
      </c>
    </row>
    <row r="138" spans="1:26" ht="14.25" customHeight="1" x14ac:dyDescent="0.25">
      <c r="A138" s="11"/>
      <c r="B138" s="11">
        <f t="shared" si="3"/>
        <v>18</v>
      </c>
      <c r="C138" s="11" t="s">
        <v>148</v>
      </c>
      <c r="D138" s="11"/>
      <c r="E138" s="11"/>
      <c r="F138" s="11">
        <f>VLOOKUP(G138, SeanRanks!$A$2:$E$302, 4, FALSE)</f>
        <v>0</v>
      </c>
      <c r="G138" s="11" t="s">
        <v>480</v>
      </c>
      <c r="H138" s="11" t="str">
        <f>VLOOKUP($G138, 'ADP Data'!$C$4:$Q$300, 2, FALSE)</f>
        <v>PIT</v>
      </c>
      <c r="I138" s="11">
        <f>VLOOKUP(G138, 'ADP Data'!$C$4:$R$498, 12, FALSE)</f>
        <v>191</v>
      </c>
      <c r="J138" s="11">
        <f>VLOOKUP($G138, SeanRanks!$A$2:$H$303, 5, FALSE)</f>
        <v>0</v>
      </c>
      <c r="K138" s="11" t="str">
        <f>IF(VLOOKUP($G138, SeanRanks!$A$2:$H$303, 6, FALSE)=0, "", VLOOKUP($G138, SeanRanks!$A$2:$H$303, 6, FALSE))</f>
        <v>Don’t Draft - Streamer</v>
      </c>
      <c r="L138" s="11">
        <f t="shared" si="4"/>
        <v>20</v>
      </c>
      <c r="M138" s="11">
        <f>VLOOKUP($G138, 'ADP Data'!$C$4:$Q$300, 9, FALSE)</f>
        <v>229</v>
      </c>
      <c r="N138" s="11">
        <f t="shared" si="5"/>
        <v>13</v>
      </c>
      <c r="O138" s="11" t="str">
        <f>VLOOKUP($G138, 'ADP Data'!$C$4:$Q$300, 3, FALSE)</f>
        <v>-</v>
      </c>
      <c r="P138" s="11" t="e">
        <f t="shared" si="6"/>
        <v>#VALUE!</v>
      </c>
      <c r="Q138" s="11">
        <f>VLOOKUP($G138, 'ADP Data'!$C$4:$Q$300, 4, FALSE)</f>
        <v>192</v>
      </c>
      <c r="R138" s="11">
        <f>VLOOKUP($G138, 'ADP Data'!$C$4:$Q$300, 5, FALSE)</f>
        <v>240</v>
      </c>
      <c r="S138" s="11">
        <f>VLOOKUP($G138, 'ADP Data'!$C$4:$Q$300, 6, FALSE)</f>
        <v>222</v>
      </c>
      <c r="T138" s="11">
        <f>VLOOKUP($G138, 'ADP Data'!$C$4:$Q$300, 7, FALSE)</f>
        <v>222</v>
      </c>
      <c r="U138" s="11">
        <f>VLOOKUP($G138, 'ADP Data'!$C$4:$Q$300, 8, FALSE)</f>
        <v>192</v>
      </c>
      <c r="V138" s="11">
        <f t="shared" si="7"/>
        <v>216</v>
      </c>
      <c r="W138" s="11">
        <f t="shared" si="8"/>
        <v>19</v>
      </c>
      <c r="X138" s="11">
        <f t="shared" si="9"/>
        <v>-19</v>
      </c>
      <c r="Y138" s="11">
        <f>VLOOKUP($G138, SeanRanks!$A$2:$K$303, 10, FALSE)-V138</f>
        <v>-18</v>
      </c>
      <c r="Z138" s="25" t="str">
        <f>IF(VLOOKUP($G138, SeanRanks!$A$2:$H$303, 7, FALSE)=0, "", VLOOKUP($G138, SeanRanks!$A$2:$H$303, 7, FALSE))</f>
        <v/>
      </c>
    </row>
    <row r="139" spans="1:26" ht="14.25" customHeight="1" x14ac:dyDescent="0.25">
      <c r="A139" s="11"/>
      <c r="B139" s="11">
        <f t="shared" si="3"/>
        <v>22</v>
      </c>
      <c r="C139" s="11" t="s">
        <v>148</v>
      </c>
      <c r="D139" s="11"/>
      <c r="E139" s="11"/>
      <c r="F139" s="11">
        <f>VLOOKUP(G139, SeanRanks!$A$2:$E$302, 4, FALSE)</f>
        <v>0</v>
      </c>
      <c r="G139" s="11" t="s">
        <v>811</v>
      </c>
      <c r="H139" s="11" t="str">
        <f>VLOOKUP($G139, 'ADP Data'!$C$4:$Q$300, 2, FALSE)</f>
        <v>CHI</v>
      </c>
      <c r="I139" s="11">
        <f>VLOOKUP(G139, 'ADP Data'!$C$4:$R$498, 12, FALSE)</f>
        <v>258</v>
      </c>
      <c r="J139" s="61">
        <f>VLOOKUP($G139, SeanRanks!$A$2:$H$303, 5, FALSE)</f>
        <v>0</v>
      </c>
      <c r="K139" s="11" t="str">
        <f>IF(VLOOKUP($G139, SeanRanks!$A$2:$H$303, 6, FALSE)=0, "", VLOOKUP($G139, SeanRanks!$A$2:$H$303, 6, FALSE))</f>
        <v/>
      </c>
      <c r="L139" s="11">
        <f t="shared" si="4"/>
        <v>23</v>
      </c>
      <c r="M139" s="11">
        <f>VLOOKUP($G139, 'ADP Data'!$C$4:$Q$300, 9, FALSE)</f>
        <v>271</v>
      </c>
      <c r="N139" s="11">
        <f t="shared" si="5"/>
        <v>15</v>
      </c>
      <c r="O139" s="11" t="str">
        <f>VLOOKUP($G139, 'ADP Data'!$C$4:$Q$300, 3, FALSE)</f>
        <v>-</v>
      </c>
      <c r="P139" s="11" t="e">
        <f t="shared" si="6"/>
        <v>#VALUE!</v>
      </c>
      <c r="Q139" s="11">
        <f>VLOOKUP($G139, 'ADP Data'!$C$4:$Q$300, 4, FALSE)</f>
        <v>225</v>
      </c>
      <c r="R139" s="11">
        <f>VLOOKUP($G139, 'ADP Data'!$C$4:$Q$300, 5, FALSE)</f>
        <v>290</v>
      </c>
      <c r="S139" s="11">
        <f>VLOOKUP($G139, 'ADP Data'!$C$4:$Q$300, 6, FALSE)</f>
        <v>259</v>
      </c>
      <c r="T139" s="11">
        <f>VLOOKUP($G139, 'ADP Data'!$C$4:$Q$300, 7, FALSE)</f>
        <v>266</v>
      </c>
      <c r="U139" s="11">
        <f>VLOOKUP($G139, 'ADP Data'!$C$4:$Q$300, 8, FALSE)</f>
        <v>229</v>
      </c>
      <c r="V139" s="11">
        <f t="shared" si="7"/>
        <v>256</v>
      </c>
      <c r="W139" s="11">
        <f t="shared" si="8"/>
        <v>22</v>
      </c>
      <c r="X139" s="11">
        <f t="shared" si="9"/>
        <v>-22</v>
      </c>
      <c r="Y139" s="11" t="e">
        <f>VLOOKUP($G139, SeanRanks!$A$2:$K$303, 10, FALSE)-V139</f>
        <v>#VALUE!</v>
      </c>
      <c r="Z139" s="25" t="str">
        <f>IF(VLOOKUP($G139, SeanRanks!$A$2:$H$303, 7, FALSE)=0, "", VLOOKUP($G139, SeanRanks!$A$2:$H$303, 7, FALSE))</f>
        <v/>
      </c>
    </row>
    <row r="140" spans="1:26" ht="14.25" customHeight="1" x14ac:dyDescent="0.25">
      <c r="A140" s="11"/>
      <c r="B140" s="11">
        <f t="shared" si="3"/>
        <v>16</v>
      </c>
      <c r="C140" s="11" t="s">
        <v>148</v>
      </c>
      <c r="D140" s="11"/>
      <c r="E140" s="11"/>
      <c r="F140" s="11">
        <f>VLOOKUP(G140, SeanRanks!$A$2:$E$302, 4, FALSE)</f>
        <v>0</v>
      </c>
      <c r="G140" s="11" t="s">
        <v>306</v>
      </c>
      <c r="H140" s="11" t="str">
        <f>VLOOKUP($G140, 'ADP Data'!$C$4:$Q$300, 2, FALSE)</f>
        <v>LAR</v>
      </c>
      <c r="I140" s="11">
        <f>VLOOKUP(G140, 'ADP Data'!$C$4:$R$498, 12, FALSE)</f>
        <v>176</v>
      </c>
      <c r="J140" s="59">
        <f>VLOOKUP($G140, SeanRanks!$A$2:$H$303, 5, FALSE)</f>
        <v>0</v>
      </c>
      <c r="K140" s="11" t="str">
        <f>IF(VLOOKUP($G140, SeanRanks!$A$2:$H$303, 6, FALSE)=0, "", VLOOKUP($G140, SeanRanks!$A$2:$H$303, 6, FALSE))</f>
        <v>Don’t Draft - Streamer</v>
      </c>
      <c r="L140" s="11">
        <f t="shared" si="4"/>
        <v>18</v>
      </c>
      <c r="M140" s="11">
        <f>VLOOKUP($G140, 'ADP Data'!$C$4:$Q$300, 9, FALSE)</f>
        <v>207</v>
      </c>
      <c r="N140" s="11">
        <f t="shared" si="5"/>
        <v>18</v>
      </c>
      <c r="O140" s="11">
        <f>VLOOKUP($G140, 'ADP Data'!$C$4:$Q$300, 3, FALSE)</f>
        <v>168</v>
      </c>
      <c r="P140" s="11">
        <f t="shared" si="6"/>
        <v>39</v>
      </c>
      <c r="Q140" s="11">
        <f>VLOOKUP($G140, 'ADP Data'!$C$4:$Q$300, 4, FALSE)</f>
        <v>160</v>
      </c>
      <c r="R140" s="11">
        <f>VLOOKUP($G140, 'ADP Data'!$C$4:$Q$300, 5, FALSE)</f>
        <v>232</v>
      </c>
      <c r="S140" s="11">
        <f>VLOOKUP($G140, 'ADP Data'!$C$4:$Q$300, 6, FALSE)</f>
        <v>197</v>
      </c>
      <c r="T140" s="11">
        <f>VLOOKUP($G140, 'ADP Data'!$C$4:$Q$300, 7, FALSE)</f>
        <v>195</v>
      </c>
      <c r="U140" s="11">
        <f>VLOOKUP($G140, 'ADP Data'!$C$4:$Q$300, 8, FALSE)</f>
        <v>167</v>
      </c>
      <c r="V140" s="11">
        <f t="shared" si="7"/>
        <v>189</v>
      </c>
      <c r="W140" s="11">
        <f t="shared" si="8"/>
        <v>16</v>
      </c>
      <c r="X140" s="11">
        <f t="shared" si="9"/>
        <v>-16</v>
      </c>
      <c r="Y140" s="11">
        <f>VLOOKUP($G140, SeanRanks!$A$2:$K$303, 10, FALSE)-V140</f>
        <v>-38</v>
      </c>
      <c r="Z140" s="25" t="str">
        <f>IF(VLOOKUP($G140, SeanRanks!$A$2:$H$303, 7, FALSE)=0, "", VLOOKUP($G140, SeanRanks!$A$2:$H$303, 7, FALSE))</f>
        <v/>
      </c>
    </row>
    <row r="141" spans="1:26" ht="14.25" customHeight="1" x14ac:dyDescent="0.25">
      <c r="A141" s="11"/>
      <c r="B141" s="11">
        <f t="shared" si="3"/>
        <v>21</v>
      </c>
      <c r="C141" s="11" t="s">
        <v>148</v>
      </c>
      <c r="D141" s="11"/>
      <c r="E141" s="11"/>
      <c r="F141" s="11">
        <f>VLOOKUP(G141, SeanRanks!$A$2:$E$302, 4, FALSE)</f>
        <v>0</v>
      </c>
      <c r="G141" s="11" t="s">
        <v>566</v>
      </c>
      <c r="H141" s="11" t="str">
        <f>VLOOKUP($G141, 'ADP Data'!$C$4:$Q$300, 2, FALSE)</f>
        <v>DAL</v>
      </c>
      <c r="I141" s="11" t="str">
        <f>VLOOKUP(G141, 'ADP Data'!$C$4:$R$498, 12, FALSE)</f>
        <v>-</v>
      </c>
      <c r="J141" s="11">
        <f>VLOOKUP($G141, SeanRanks!$A$2:$H$303, 5, FALSE)</f>
        <v>0</v>
      </c>
      <c r="K141" s="11" t="str">
        <f>IF(VLOOKUP($G141, SeanRanks!$A$2:$H$303, 6, FALSE)=0, "", VLOOKUP($G141, SeanRanks!$A$2:$H$303, 6, FALSE))</f>
        <v/>
      </c>
      <c r="L141" s="11">
        <f t="shared" si="4"/>
        <v>24</v>
      </c>
      <c r="M141" s="11">
        <f>VLOOKUP($G141, 'ADP Data'!$C$4:$Q$300, 9, FALSE)</f>
        <v>285</v>
      </c>
      <c r="N141" s="11">
        <f t="shared" si="5"/>
        <v>45</v>
      </c>
      <c r="O141" s="11">
        <f>VLOOKUP($G141, 'ADP Data'!$C$4:$Q$300, 3, FALSE)</f>
        <v>173</v>
      </c>
      <c r="P141" s="11">
        <f t="shared" si="6"/>
        <v>112</v>
      </c>
      <c r="Q141" s="11">
        <f>VLOOKUP($G141, 'ADP Data'!$C$4:$Q$300, 4, FALSE)</f>
        <v>201</v>
      </c>
      <c r="R141" s="11">
        <f>VLOOKUP($G141, 'ADP Data'!$C$4:$Q$300, 5, FALSE)</f>
        <v>344</v>
      </c>
      <c r="S141" s="11">
        <f>VLOOKUP($G141, 'ADP Data'!$C$4:$Q$300, 6, FALSE)</f>
        <v>278</v>
      </c>
      <c r="T141" s="11">
        <f>VLOOKUP($G141, 'ADP Data'!$C$4:$Q$300, 7, FALSE)</f>
        <v>239</v>
      </c>
      <c r="U141" s="11">
        <f>VLOOKUP($G141, 'ADP Data'!$C$4:$Q$300, 8, FALSE)</f>
        <v>165</v>
      </c>
      <c r="V141" s="11">
        <f t="shared" si="7"/>
        <v>240</v>
      </c>
      <c r="W141" s="11">
        <f t="shared" si="8"/>
        <v>21</v>
      </c>
      <c r="X141" s="11">
        <f t="shared" si="9"/>
        <v>-21</v>
      </c>
      <c r="Y141" s="11">
        <f>VLOOKUP($G141, SeanRanks!$A$2:$K$303, 10, FALSE)-V141</f>
        <v>0</v>
      </c>
      <c r="Z141" s="25" t="str">
        <f>IF(VLOOKUP($G141, SeanRanks!$A$2:$H$303, 7, FALSE)=0, "", VLOOKUP($G141, SeanRanks!$A$2:$H$303, 7, FALSE))</f>
        <v/>
      </c>
    </row>
    <row r="142" spans="1:26" ht="14.25" customHeight="1" x14ac:dyDescent="0.25">
      <c r="A142" s="11" t="s">
        <v>148</v>
      </c>
      <c r="B142" s="11">
        <f t="shared" si="3"/>
        <v>16</v>
      </c>
      <c r="C142" s="11" t="s">
        <v>119</v>
      </c>
      <c r="D142" s="11">
        <v>9</v>
      </c>
      <c r="E142" s="11"/>
      <c r="F142" s="11">
        <f>VLOOKUP(G142, SeanRanks!$A$2:$E$302, 4, FALSE)</f>
        <v>0</v>
      </c>
      <c r="G142" s="11" t="s">
        <v>258</v>
      </c>
      <c r="H142" s="11" t="str">
        <f>VLOOKUP($G142, 'ADP Data'!$C$4:$Q$300, 2, FALSE)</f>
        <v>CAR</v>
      </c>
      <c r="I142" s="11">
        <f>VLOOKUP(G142, 'ADP Data'!$C$4:$R$498, 12, FALSE)</f>
        <v>178</v>
      </c>
      <c r="J142" s="11">
        <f>VLOOKUP($G142, SeanRanks!$A$2:$H$303, 5, FALSE)</f>
        <v>0</v>
      </c>
      <c r="K142" s="11" t="str">
        <f>IF(VLOOKUP($G142, SeanRanks!$A$2:$H$303, 6, FALSE)=0, "", VLOOKUP($G142, SeanRanks!$A$2:$H$303, 6, FALSE))</f>
        <v>RB5 - 1 - upside</v>
      </c>
      <c r="L142" s="11">
        <f t="shared" si="4"/>
        <v>14</v>
      </c>
      <c r="M142" s="11">
        <f>VLOOKUP($G142, 'ADP Data'!$C$4:$Q$300, 9, FALSE)</f>
        <v>158</v>
      </c>
      <c r="N142" s="11">
        <f t="shared" si="5"/>
        <v>-28</v>
      </c>
      <c r="O142" s="11">
        <f>VLOOKUP($G142, 'ADP Data'!$C$4:$Q$300, 3, FALSE)</f>
        <v>210</v>
      </c>
      <c r="P142" s="11">
        <f t="shared" si="6"/>
        <v>-52</v>
      </c>
      <c r="Q142" s="11" t="str">
        <f>VLOOKUP($G142, 'ADP Data'!$C$4:$Q$300, 4, FALSE)</f>
        <v>-</v>
      </c>
      <c r="R142" s="11">
        <f>VLOOKUP($G142, 'ADP Data'!$C$4:$Q$300, 5, FALSE)</f>
        <v>201</v>
      </c>
      <c r="S142" s="11">
        <f>VLOOKUP($G142, 'ADP Data'!$C$4:$Q$300, 6, FALSE)</f>
        <v>165</v>
      </c>
      <c r="T142" s="11">
        <f>VLOOKUP($G142, 'ADP Data'!$C$4:$Q$300, 7, FALSE)</f>
        <v>164</v>
      </c>
      <c r="U142" s="11">
        <f>VLOOKUP($G142, 'ADP Data'!$C$4:$Q$300, 8, FALSE)</f>
        <v>220</v>
      </c>
      <c r="V142" s="11">
        <f t="shared" si="7"/>
        <v>186</v>
      </c>
      <c r="W142" s="11">
        <f t="shared" si="8"/>
        <v>16</v>
      </c>
      <c r="X142" s="11">
        <f t="shared" si="9"/>
        <v>-7</v>
      </c>
      <c r="Y142" s="11">
        <f>VLOOKUP($G142, SeanRanks!$A$2:$K$303, 10, FALSE)-V142</f>
        <v>-29</v>
      </c>
      <c r="Z142" s="25">
        <f>IF(VLOOKUP($G142, SeanRanks!$A$2:$H$303, 7, FALSE)=0, "", VLOOKUP($G142, SeanRanks!$A$2:$H$303, 7, FALSE))</f>
        <v>55</v>
      </c>
    </row>
    <row r="143" spans="1:26" ht="14.25" customHeight="1" x14ac:dyDescent="0.25">
      <c r="A143" s="11"/>
      <c r="B143" s="11" t="e">
        <f t="shared" si="3"/>
        <v>#N/A</v>
      </c>
      <c r="C143" s="11" t="s">
        <v>148</v>
      </c>
      <c r="D143" s="11"/>
      <c r="E143" s="11"/>
      <c r="F143" s="11" t="e">
        <f>VLOOKUP(G143, SeanRanks!$A$2:$E$302, 4, FALSE)</f>
        <v>#N/A</v>
      </c>
      <c r="G143" s="11" t="s">
        <v>915</v>
      </c>
      <c r="H143" s="11" t="e">
        <f>VLOOKUP($G143, 'ADP Data'!$C$4:$Q$300, 2, FALSE)</f>
        <v>#N/A</v>
      </c>
      <c r="I143" s="11" t="e">
        <f>VLOOKUP(G143, 'ADP Data'!$C$4:$R$498, 12, FALSE)</f>
        <v>#N/A</v>
      </c>
      <c r="J143" s="11" t="e">
        <f>VLOOKUP($G143, SeanRanks!$A$2:$H$303, 5, FALSE)</f>
        <v>#N/A</v>
      </c>
      <c r="K143" s="11" t="e">
        <f>IF(VLOOKUP($G143, SeanRanks!$A$2:$H$303, 6, FALSE)=0, "", VLOOKUP($G143, SeanRanks!$A$2:$H$303, 6, FALSE))</f>
        <v>#N/A</v>
      </c>
      <c r="L143" s="11">
        <f t="shared" si="4"/>
        <v>16</v>
      </c>
      <c r="M143" s="11" t="e">
        <f>VLOOKUP($G143, 'ADP Data'!$C$4:$Q$300, 9, FALSE)</f>
        <v>#N/A</v>
      </c>
      <c r="N143" s="11" t="e">
        <f t="shared" si="5"/>
        <v>#N/A</v>
      </c>
      <c r="O143" s="11" t="e">
        <f>VLOOKUP($G143, 'ADP Data'!$C$4:$Q$300, 3, FALSE)</f>
        <v>#N/A</v>
      </c>
      <c r="P143" s="11" t="e">
        <f t="shared" si="6"/>
        <v>#N/A</v>
      </c>
      <c r="Q143" s="11" t="e">
        <f>VLOOKUP($G143, 'ADP Data'!$C$4:$Q$300, 4, FALSE)</f>
        <v>#N/A</v>
      </c>
      <c r="R143" s="11" t="e">
        <f>VLOOKUP($G143, 'ADP Data'!$C$4:$Q$300, 5, FALSE)</f>
        <v>#N/A</v>
      </c>
      <c r="S143" s="11" t="e">
        <f>VLOOKUP($G143, 'ADP Data'!$C$4:$Q$300, 6, FALSE)</f>
        <v>#N/A</v>
      </c>
      <c r="T143" s="11" t="e">
        <f>VLOOKUP($G143, 'ADP Data'!$C$4:$Q$300, 7, FALSE)</f>
        <v>#N/A</v>
      </c>
      <c r="U143" s="11" t="e">
        <f>VLOOKUP($G143, 'ADP Data'!$C$4:$Q$300, 8, FALSE)</f>
        <v>#N/A</v>
      </c>
      <c r="V143" s="11" t="e">
        <f t="shared" si="7"/>
        <v>#N/A</v>
      </c>
      <c r="W143" s="11">
        <f t="shared" si="8"/>
        <v>16</v>
      </c>
      <c r="X143" s="11">
        <f t="shared" si="9"/>
        <v>-16</v>
      </c>
      <c r="Y143" s="11" t="e">
        <f>VLOOKUP($G143, SeanRanks!$A$2:$K$303, 10, FALSE)-V143</f>
        <v>#N/A</v>
      </c>
      <c r="Z143" s="25" t="e">
        <f>IF(VLOOKUP($G143, SeanRanks!$A$2:$H$303, 7, FALSE)=0, "", VLOOKUP($G143, SeanRanks!$A$2:$H$303, 7, FALSE))</f>
        <v>#N/A</v>
      </c>
    </row>
    <row r="144" spans="1:26" ht="14.25" customHeight="1" x14ac:dyDescent="0.25">
      <c r="A144" s="11"/>
      <c r="B144" s="11">
        <f t="shared" si="3"/>
        <v>20</v>
      </c>
      <c r="C144" s="11" t="s">
        <v>148</v>
      </c>
      <c r="D144" s="11"/>
      <c r="E144" s="11"/>
      <c r="F144" s="11">
        <f>VLOOKUP(G144, SeanRanks!$A$2:$E$302, 4, FALSE)</f>
        <v>0</v>
      </c>
      <c r="G144" s="11" t="s">
        <v>644</v>
      </c>
      <c r="H144" s="11" t="str">
        <f>VLOOKUP($G144, 'ADP Data'!$C$4:$Q$300, 2, FALSE)</f>
        <v>CLE</v>
      </c>
      <c r="I144" s="11" t="str">
        <f>VLOOKUP(G144, 'ADP Data'!$C$4:$R$498, 12, FALSE)</f>
        <v>-</v>
      </c>
      <c r="J144" s="11">
        <f>VLOOKUP($G144, SeanRanks!$A$2:$H$303, 5, FALSE)</f>
        <v>0</v>
      </c>
      <c r="K144" s="11" t="str">
        <f>IF(VLOOKUP($G144, SeanRanks!$A$2:$H$303, 6, FALSE)=0, "", VLOOKUP($G144, SeanRanks!$A$2:$H$303, 6, FALSE))</f>
        <v/>
      </c>
      <c r="L144" s="11">
        <f t="shared" si="4"/>
        <v>16</v>
      </c>
      <c r="M144" s="11" t="str">
        <f>VLOOKUP($G144, 'ADP Data'!$C$4:$Q$300, 9, FALSE)</f>
        <v>-</v>
      </c>
      <c r="N144" s="11" t="e">
        <f t="shared" si="5"/>
        <v>#VALUE!</v>
      </c>
      <c r="O144" s="11" t="str">
        <f>VLOOKUP($G144, 'ADP Data'!$C$4:$Q$300, 3, FALSE)</f>
        <v>-</v>
      </c>
      <c r="P144" s="11" t="e">
        <f t="shared" si="6"/>
        <v>#VALUE!</v>
      </c>
      <c r="Q144" s="11">
        <f>VLOOKUP($G144, 'ADP Data'!$C$4:$Q$300, 4, FALSE)</f>
        <v>215</v>
      </c>
      <c r="R144" s="11" t="str">
        <f>VLOOKUP($G144, 'ADP Data'!$C$4:$Q$300, 5, FALSE)</f>
        <v>-</v>
      </c>
      <c r="S144" s="11">
        <f>VLOOKUP($G144, 'ADP Data'!$C$4:$Q$300, 6, FALSE)</f>
        <v>318</v>
      </c>
      <c r="T144" s="11">
        <f>VLOOKUP($G144, 'ADP Data'!$C$4:$Q$300, 7, FALSE)</f>
        <v>261</v>
      </c>
      <c r="U144" s="11">
        <f>VLOOKUP($G144, 'ADP Data'!$C$4:$Q$300, 8, FALSE)</f>
        <v>125</v>
      </c>
      <c r="V144" s="11">
        <f t="shared" si="7"/>
        <v>229</v>
      </c>
      <c r="W144" s="11">
        <f t="shared" si="8"/>
        <v>20</v>
      </c>
      <c r="X144" s="11">
        <f t="shared" si="9"/>
        <v>-20</v>
      </c>
      <c r="Y144" s="11">
        <f>VLOOKUP($G144, SeanRanks!$A$2:$K$303, 10, FALSE)-V144</f>
        <v>-12</v>
      </c>
      <c r="Z144" s="25" t="str">
        <f>IF(VLOOKUP($G144, SeanRanks!$A$2:$H$303, 7, FALSE)=0, "", VLOOKUP($G144, SeanRanks!$A$2:$H$303, 7, FALSE))</f>
        <v/>
      </c>
    </row>
    <row r="145" spans="1:26" ht="14.25" customHeight="1" x14ac:dyDescent="0.25">
      <c r="A145" s="11"/>
      <c r="B145" s="11">
        <f t="shared" si="3"/>
        <v>10</v>
      </c>
      <c r="C145" s="11" t="s">
        <v>119</v>
      </c>
      <c r="D145" s="11"/>
      <c r="E145" s="11"/>
      <c r="F145" s="11">
        <f>VLOOKUP(G145, SeanRanks!$A$2:$E$302, 4, FALSE)</f>
        <v>0</v>
      </c>
      <c r="G145" s="11" t="s">
        <v>276</v>
      </c>
      <c r="H145" s="11" t="str">
        <f>VLOOKUP($G145, 'ADP Data'!$C$4:$Q$300, 2, FALSE)</f>
        <v>DEN</v>
      </c>
      <c r="I145" s="11">
        <f>VLOOKUP(G145, 'ADP Data'!$C$4:$R$498, 12, FALSE)</f>
        <v>95</v>
      </c>
      <c r="J145" s="59">
        <f>VLOOKUP($G145, SeanRanks!$A$2:$H$303, 5, FALSE)</f>
        <v>0</v>
      </c>
      <c r="K145" s="11" t="str">
        <f>IF(VLOOKUP($G145, SeanRanks!$A$2:$H$303, 6, FALSE)=0, "", VLOOKUP($G145, SeanRanks!$A$2:$H$303, 6, FALSE))</f>
        <v>RB3 - 1 - Upside</v>
      </c>
      <c r="L145" s="11">
        <f t="shared" si="4"/>
        <v>9</v>
      </c>
      <c r="M145" s="11">
        <f>VLOOKUP($G145, 'ADP Data'!$C$4:$Q$300, 9, FALSE)</f>
        <v>107</v>
      </c>
      <c r="N145" s="11">
        <f t="shared" si="5"/>
        <v>0</v>
      </c>
      <c r="O145" s="11">
        <f>VLOOKUP($G145, 'ADP Data'!$C$4:$Q$300, 3, FALSE)</f>
        <v>102</v>
      </c>
      <c r="P145" s="11">
        <f t="shared" si="6"/>
        <v>5</v>
      </c>
      <c r="Q145" s="11">
        <f>VLOOKUP($G145, 'ADP Data'!$C$4:$Q$300, 4, FALSE)</f>
        <v>98</v>
      </c>
      <c r="R145" s="11">
        <f>VLOOKUP($G145, 'ADP Data'!$C$4:$Q$300, 5, FALSE)</f>
        <v>119</v>
      </c>
      <c r="S145" s="11">
        <f>VLOOKUP($G145, 'ADP Data'!$C$4:$Q$300, 6, FALSE)</f>
        <v>93</v>
      </c>
      <c r="T145" s="11">
        <f>VLOOKUP($G145, 'ADP Data'!$C$4:$Q$300, 7, FALSE)</f>
        <v>98</v>
      </c>
      <c r="U145" s="11">
        <f>VLOOKUP($G145, 'ADP Data'!$C$4:$Q$300, 8, FALSE)</f>
        <v>136</v>
      </c>
      <c r="V145" s="11">
        <f t="shared" si="7"/>
        <v>107</v>
      </c>
      <c r="W145" s="11">
        <f t="shared" si="8"/>
        <v>9</v>
      </c>
      <c r="X145" s="11">
        <f t="shared" si="9"/>
        <v>-9</v>
      </c>
      <c r="Y145" s="11">
        <f>VLOOKUP($G145, SeanRanks!$A$2:$K$303, 10, FALSE)-V145</f>
        <v>-27</v>
      </c>
      <c r="Z145" s="25">
        <f>IF(VLOOKUP($G145, SeanRanks!$A$2:$H$303, 7, FALSE)=0, "", VLOOKUP($G145, SeanRanks!$A$2:$H$303, 7, FALSE))</f>
        <v>29</v>
      </c>
    </row>
    <row r="146" spans="1:26" ht="14.25" customHeight="1" x14ac:dyDescent="0.25">
      <c r="A146" s="11"/>
      <c r="B146" s="11">
        <f t="shared" si="3"/>
        <v>17</v>
      </c>
      <c r="C146" s="11" t="s">
        <v>119</v>
      </c>
      <c r="D146" s="11"/>
      <c r="E146" s="11"/>
      <c r="F146" s="11">
        <f>VLOOKUP(G146, SeanRanks!$A$2:$E$302, 4, FALSE)</f>
        <v>0</v>
      </c>
      <c r="G146" s="11" t="s">
        <v>911</v>
      </c>
      <c r="H146" s="11" t="str">
        <f>VLOOKUP($G146, 'ADP Data'!$C$4:$Q$300, 2, FALSE)</f>
        <v>BUF</v>
      </c>
      <c r="I146" s="11">
        <f>VLOOKUP(G146, 'ADP Data'!$C$4:$R$498, 12, FALSE)</f>
        <v>127</v>
      </c>
      <c r="J146" s="11">
        <f>VLOOKUP($G146, SeanRanks!$A$2:$H$303, 5, FALSE)</f>
        <v>0</v>
      </c>
      <c r="K146" s="11" t="str">
        <f>IF(VLOOKUP($G146, SeanRanks!$A$2:$H$303, 6, FALSE)=0, "", VLOOKUP($G146, SeanRanks!$A$2:$H$303, 6, FALSE))</f>
        <v>WR6 - dart throw upside</v>
      </c>
      <c r="L146" s="11">
        <f t="shared" si="4"/>
        <v>15</v>
      </c>
      <c r="M146" s="11">
        <f>VLOOKUP($G146, 'ADP Data'!$C$4:$Q$300, 9, FALSE)</f>
        <v>174</v>
      </c>
      <c r="N146" s="11">
        <f t="shared" si="5"/>
        <v>-14</v>
      </c>
      <c r="O146" s="11" t="str">
        <f>VLOOKUP($G146, 'ADP Data'!$C$4:$Q$300, 3, FALSE)</f>
        <v>-</v>
      </c>
      <c r="P146" s="11" t="e">
        <f t="shared" si="6"/>
        <v>#VALUE!</v>
      </c>
      <c r="Q146" s="11" t="str">
        <f>VLOOKUP($G146, 'ADP Data'!$C$4:$Q$300, 4, FALSE)</f>
        <v>-</v>
      </c>
      <c r="R146" s="11">
        <f>VLOOKUP($G146, 'ADP Data'!$C$4:$Q$300, 5, FALSE)</f>
        <v>221</v>
      </c>
      <c r="S146" s="11">
        <f>VLOOKUP($G146, 'ADP Data'!$C$4:$Q$300, 6, FALSE)</f>
        <v>158</v>
      </c>
      <c r="T146" s="11">
        <f>VLOOKUP($G146, 'ADP Data'!$C$4:$Q$300, 7, FALSE)</f>
        <v>155</v>
      </c>
      <c r="U146" s="11">
        <f>VLOOKUP($G146, 'ADP Data'!$C$4:$Q$300, 8, FALSE)</f>
        <v>235</v>
      </c>
      <c r="V146" s="11">
        <f t="shared" si="7"/>
        <v>188</v>
      </c>
      <c r="W146" s="11">
        <f t="shared" si="8"/>
        <v>16</v>
      </c>
      <c r="X146" s="11">
        <f t="shared" si="9"/>
        <v>-16</v>
      </c>
      <c r="Y146" s="11">
        <f>VLOOKUP($G146, SeanRanks!$A$2:$K$303, 10, FALSE)-V146</f>
        <v>-38</v>
      </c>
      <c r="Z146" s="25">
        <f>IF(VLOOKUP($G146, SeanRanks!$A$2:$H$303, 7, FALSE)=0, "", VLOOKUP($G146, SeanRanks!$A$2:$H$303, 7, FALSE))</f>
        <v>61</v>
      </c>
    </row>
    <row r="147" spans="1:26" ht="14.25" customHeight="1" x14ac:dyDescent="0.25">
      <c r="A147" s="11"/>
      <c r="B147" s="11">
        <f t="shared" si="3"/>
        <v>21</v>
      </c>
      <c r="C147" s="11" t="s">
        <v>148</v>
      </c>
      <c r="D147" s="11"/>
      <c r="E147" s="11"/>
      <c r="F147" s="11">
        <f>VLOOKUP(G147, SeanRanks!$A$2:$E$302, 4, FALSE)</f>
        <v>0</v>
      </c>
      <c r="G147" s="11" t="s">
        <v>914</v>
      </c>
      <c r="H147" s="11" t="str">
        <f>VLOOKUP($G147, 'ADP Data'!$C$4:$Q$300, 2, FALSE)</f>
        <v>NYJ</v>
      </c>
      <c r="I147" s="11" t="str">
        <f>VLOOKUP(G147, 'ADP Data'!$C$4:$R$498, 12, FALSE)</f>
        <v>-</v>
      </c>
      <c r="J147" s="11">
        <f>VLOOKUP($G147, SeanRanks!$A$2:$H$303, 5, FALSE)</f>
        <v>0</v>
      </c>
      <c r="K147" s="11" t="str">
        <f>IF(VLOOKUP($G147, SeanRanks!$A$2:$H$303, 6, FALSE)=0, "", VLOOKUP($G147, SeanRanks!$A$2:$H$303, 6, FALSE))</f>
        <v/>
      </c>
      <c r="L147" s="11">
        <f t="shared" si="4"/>
        <v>20</v>
      </c>
      <c r="M147" s="11">
        <f>VLOOKUP($G147, 'ADP Data'!$C$4:$Q$300, 9, FALSE)</f>
        <v>236</v>
      </c>
      <c r="N147" s="11">
        <f t="shared" si="5"/>
        <v>-4</v>
      </c>
      <c r="O147" s="11">
        <f>VLOOKUP($G147, 'ADP Data'!$C$4:$Q$300, 3, FALSE)</f>
        <v>192</v>
      </c>
      <c r="P147" s="11">
        <f t="shared" si="6"/>
        <v>44</v>
      </c>
      <c r="Q147" s="11">
        <f>VLOOKUP($G147, 'ADP Data'!$C$4:$Q$300, 4, FALSE)</f>
        <v>206</v>
      </c>
      <c r="R147" s="11">
        <f>VLOOKUP($G147, 'ADP Data'!$C$4:$Q$300, 5, FALSE)</f>
        <v>329</v>
      </c>
      <c r="S147" s="11">
        <f>VLOOKUP($G147, 'ADP Data'!$C$4:$Q$300, 6, FALSE)</f>
        <v>272</v>
      </c>
      <c r="T147" s="11">
        <f>VLOOKUP($G147, 'ADP Data'!$C$4:$Q$300, 7, FALSE)</f>
        <v>234</v>
      </c>
      <c r="U147" s="11">
        <f>VLOOKUP($G147, 'ADP Data'!$C$4:$Q$300, 8, FALSE)</f>
        <v>213</v>
      </c>
      <c r="V147" s="11">
        <f t="shared" si="7"/>
        <v>240</v>
      </c>
      <c r="W147" s="11">
        <f t="shared" si="8"/>
        <v>21</v>
      </c>
      <c r="X147" s="11">
        <f t="shared" si="9"/>
        <v>-21</v>
      </c>
      <c r="Y147" s="11">
        <f>VLOOKUP($G147, SeanRanks!$A$2:$K$303, 10, FALSE)-V147</f>
        <v>-46</v>
      </c>
      <c r="Z147" s="25" t="str">
        <f>IF(VLOOKUP($G147, SeanRanks!$A$2:$H$303, 7, FALSE)=0, "", VLOOKUP($G147, SeanRanks!$A$2:$H$303, 7, FALSE))</f>
        <v/>
      </c>
    </row>
    <row r="148" spans="1:26" ht="14.25" customHeight="1" x14ac:dyDescent="0.25">
      <c r="A148" s="11"/>
      <c r="B148" s="11">
        <f t="shared" si="3"/>
        <v>5</v>
      </c>
      <c r="C148" s="11" t="s">
        <v>148</v>
      </c>
      <c r="D148" s="11"/>
      <c r="E148" s="11"/>
      <c r="F148" s="11">
        <f>VLOOKUP(G148, SeanRanks!$A$2:$E$302, 4, FALSE)</f>
        <v>0</v>
      </c>
      <c r="G148" s="11" t="s">
        <v>280</v>
      </c>
      <c r="H148" s="11" t="str">
        <f>VLOOKUP($G148, 'ADP Data'!$C$4:$Q$300, 2, FALSE)</f>
        <v>CAR</v>
      </c>
      <c r="I148" s="11">
        <f>VLOOKUP(G148, 'ADP Data'!$C$4:$R$498, 12, FALSE)</f>
        <v>60</v>
      </c>
      <c r="J148" s="39">
        <f>VLOOKUP($G148, SeanRanks!$A$2:$H$303, 5, FALSE)</f>
        <v>0</v>
      </c>
      <c r="K148" s="11" t="str">
        <f>IF(VLOOKUP($G148, SeanRanks!$A$2:$H$303, 6, FALSE)=0, "", VLOOKUP($G148, SeanRanks!$A$2:$H$303, 6, FALSE))</f>
        <v>RB2 - 1 - Clear path to spikes</v>
      </c>
      <c r="L148" s="11">
        <f t="shared" si="4"/>
        <v>4</v>
      </c>
      <c r="M148" s="11">
        <f>VLOOKUP($G148, 'ADP Data'!$C$4:$Q$300, 9, FALSE)</f>
        <v>45</v>
      </c>
      <c r="N148" s="11">
        <f t="shared" si="5"/>
        <v>-3</v>
      </c>
      <c r="O148" s="11">
        <f>VLOOKUP($G148, 'ADP Data'!$C$4:$Q$300, 3, FALSE)</f>
        <v>44</v>
      </c>
      <c r="P148" s="11">
        <f t="shared" si="6"/>
        <v>1</v>
      </c>
      <c r="Q148" s="11">
        <f>VLOOKUP($G148, 'ADP Data'!$C$4:$Q$300, 4, FALSE)</f>
        <v>40</v>
      </c>
      <c r="R148" s="11">
        <f>VLOOKUP($G148, 'ADP Data'!$C$4:$Q$300, 5, FALSE)</f>
        <v>60</v>
      </c>
      <c r="S148" s="11">
        <f>VLOOKUP($G148, 'ADP Data'!$C$4:$Q$300, 6, FALSE)</f>
        <v>47</v>
      </c>
      <c r="T148" s="11">
        <f>VLOOKUP($G148, 'ADP Data'!$C$4:$Q$300, 7, FALSE)</f>
        <v>51</v>
      </c>
      <c r="U148" s="11">
        <f>VLOOKUP($G148, 'ADP Data'!$C$4:$Q$300, 8, FALSE)</f>
        <v>55</v>
      </c>
      <c r="V148" s="11">
        <f t="shared" si="7"/>
        <v>48</v>
      </c>
      <c r="W148" s="11">
        <f t="shared" si="8"/>
        <v>5</v>
      </c>
      <c r="X148" s="11">
        <f t="shared" si="9"/>
        <v>-5</v>
      </c>
      <c r="Y148" s="11">
        <f>VLOOKUP($G148, SeanRanks!$A$2:$K$303, 10, FALSE)-V148</f>
        <v>-8</v>
      </c>
      <c r="Z148" s="25">
        <f>IF(VLOOKUP($G148, SeanRanks!$A$2:$H$303, 7, FALSE)=0, "", VLOOKUP($G148, SeanRanks!$A$2:$H$303, 7, FALSE))</f>
        <v>17</v>
      </c>
    </row>
    <row r="149" spans="1:26" ht="14.25" customHeight="1" x14ac:dyDescent="0.25">
      <c r="A149" s="11"/>
      <c r="B149" s="11">
        <f t="shared" si="3"/>
        <v>7</v>
      </c>
      <c r="C149" s="11" t="s">
        <v>119</v>
      </c>
      <c r="D149" s="11"/>
      <c r="E149" s="11"/>
      <c r="F149" s="11">
        <f>VLOOKUP(G149, SeanRanks!$A$2:$E$302, 4, FALSE)</f>
        <v>0</v>
      </c>
      <c r="G149" s="11" t="s">
        <v>429</v>
      </c>
      <c r="H149" s="11" t="str">
        <f>VLOOKUP($G149, 'ADP Data'!$C$4:$Q$300, 2, FALSE)</f>
        <v>CLE</v>
      </c>
      <c r="I149" s="11">
        <f>VLOOKUP(G149, 'ADP Data'!$C$4:$R$498, 12, FALSE)</f>
        <v>72</v>
      </c>
      <c r="J149" s="11">
        <f>VLOOKUP($G149, SeanRanks!$A$2:$H$303, 5, FALSE)</f>
        <v>0</v>
      </c>
      <c r="K149" s="11" t="str">
        <f>IF(VLOOKUP($G149, SeanRanks!$A$2:$H$303, 6, FALSE)=0, "", VLOOKUP($G149, SeanRanks!$A$2:$H$303, 6, FALSE))</f>
        <v>WR3 - 3 - lower ceiling</v>
      </c>
      <c r="L149" s="11">
        <f t="shared" si="4"/>
        <v>7</v>
      </c>
      <c r="M149" s="11">
        <f>VLOOKUP($G149, 'ADP Data'!$C$4:$Q$300, 9, FALSE)</f>
        <v>75</v>
      </c>
      <c r="N149" s="11">
        <f t="shared" si="5"/>
        <v>0</v>
      </c>
      <c r="O149" s="11">
        <f>VLOOKUP($G149, 'ADP Data'!$C$4:$Q$300, 3, FALSE)</f>
        <v>69</v>
      </c>
      <c r="P149" s="11">
        <f t="shared" si="6"/>
        <v>6</v>
      </c>
      <c r="Q149" s="11">
        <f>VLOOKUP($G149, 'ADP Data'!$C$4:$Q$300, 4, FALSE)</f>
        <v>68</v>
      </c>
      <c r="R149" s="11">
        <f>VLOOKUP($G149, 'ADP Data'!$C$4:$Q$300, 5, FALSE)</f>
        <v>81</v>
      </c>
      <c r="S149" s="11">
        <f>VLOOKUP($G149, 'ADP Data'!$C$4:$Q$300, 6, FALSE)</f>
        <v>74</v>
      </c>
      <c r="T149" s="11">
        <f>VLOOKUP($G149, 'ADP Data'!$C$4:$Q$300, 7, FALSE)</f>
        <v>62</v>
      </c>
      <c r="U149" s="11">
        <f>VLOOKUP($G149, 'ADP Data'!$C$4:$Q$300, 8, FALSE)</f>
        <v>98</v>
      </c>
      <c r="V149" s="11">
        <f t="shared" si="7"/>
        <v>75</v>
      </c>
      <c r="W149" s="11">
        <f t="shared" si="8"/>
        <v>7</v>
      </c>
      <c r="X149" s="11">
        <f t="shared" si="9"/>
        <v>-7</v>
      </c>
      <c r="Y149" s="11">
        <f>VLOOKUP($G149, SeanRanks!$A$2:$K$303, 10, FALSE)-V149</f>
        <v>6</v>
      </c>
      <c r="Z149" s="25">
        <f>IF(VLOOKUP($G149, SeanRanks!$A$2:$H$303, 7, FALSE)=0, "", VLOOKUP($G149, SeanRanks!$A$2:$H$303, 7, FALSE))</f>
        <v>37</v>
      </c>
    </row>
    <row r="150" spans="1:26" ht="14.25" customHeight="1" x14ac:dyDescent="0.25">
      <c r="A150" s="11"/>
      <c r="B150" s="11" t="e">
        <f t="shared" si="3"/>
        <v>#N/A</v>
      </c>
      <c r="C150" s="11" t="s">
        <v>119</v>
      </c>
      <c r="D150" s="11"/>
      <c r="E150" s="11"/>
      <c r="F150" s="11" t="e">
        <f>VLOOKUP(G150, SeanRanks!$A$2:$E$302, 4, FALSE)</f>
        <v>#N/A</v>
      </c>
      <c r="G150" s="11" t="s">
        <v>916</v>
      </c>
      <c r="H150" s="11" t="e">
        <f>VLOOKUP($G150, 'ADP Data'!$C$4:$Q$300, 2, FALSE)</f>
        <v>#N/A</v>
      </c>
      <c r="I150" s="11" t="e">
        <f>VLOOKUP(G150, 'ADP Data'!$C$4:$R$498, 12, FALSE)</f>
        <v>#N/A</v>
      </c>
      <c r="J150" s="45" t="e">
        <f>VLOOKUP($G150, SeanRanks!$A$2:$H$303, 5, FALSE)</f>
        <v>#N/A</v>
      </c>
      <c r="K150" s="11" t="e">
        <f>IF(VLOOKUP($G150, SeanRanks!$A$2:$H$303, 6, FALSE)=0, "", VLOOKUP($G150, SeanRanks!$A$2:$H$303, 6, FALSE))</f>
        <v>#N/A</v>
      </c>
      <c r="L150" s="11">
        <f t="shared" si="4"/>
        <v>16</v>
      </c>
      <c r="M150" s="11" t="e">
        <f>VLOOKUP($G150, 'ADP Data'!$C$4:$Q$300, 9, FALSE)</f>
        <v>#N/A</v>
      </c>
      <c r="N150" s="11" t="e">
        <f t="shared" si="5"/>
        <v>#N/A</v>
      </c>
      <c r="O150" s="11" t="e">
        <f>VLOOKUP($G150, 'ADP Data'!$C$4:$Q$300, 3, FALSE)</f>
        <v>#N/A</v>
      </c>
      <c r="P150" s="11" t="e">
        <f t="shared" si="6"/>
        <v>#N/A</v>
      </c>
      <c r="Q150" s="11" t="e">
        <f>VLOOKUP($G150, 'ADP Data'!$C$4:$Q$300, 4, FALSE)</f>
        <v>#N/A</v>
      </c>
      <c r="R150" s="11" t="e">
        <f>VLOOKUP($G150, 'ADP Data'!$C$4:$Q$300, 5, FALSE)</f>
        <v>#N/A</v>
      </c>
      <c r="S150" s="11" t="e">
        <f>VLOOKUP($G150, 'ADP Data'!$C$4:$Q$300, 6, FALSE)</f>
        <v>#N/A</v>
      </c>
      <c r="T150" s="11" t="e">
        <f>VLOOKUP($G150, 'ADP Data'!$C$4:$Q$300, 7, FALSE)</f>
        <v>#N/A</v>
      </c>
      <c r="U150" s="11" t="e">
        <f>VLOOKUP($G150, 'ADP Data'!$C$4:$Q$300, 8, FALSE)</f>
        <v>#N/A</v>
      </c>
      <c r="V150" s="11" t="e">
        <f t="shared" si="7"/>
        <v>#N/A</v>
      </c>
      <c r="W150" s="11">
        <f t="shared" si="8"/>
        <v>16</v>
      </c>
      <c r="X150" s="11">
        <f t="shared" si="9"/>
        <v>-16</v>
      </c>
      <c r="Y150" s="11" t="e">
        <f>VLOOKUP($G150, SeanRanks!$A$2:$K$303, 10, FALSE)-V150</f>
        <v>#N/A</v>
      </c>
      <c r="Z150" s="25" t="e">
        <f>IF(VLOOKUP($G150, SeanRanks!$A$2:$H$303, 7, FALSE)=0, "", VLOOKUP($G150, SeanRanks!$A$2:$H$303, 7, FALSE))</f>
        <v>#N/A</v>
      </c>
    </row>
    <row r="151" spans="1:26" ht="14.25" customHeight="1" x14ac:dyDescent="0.25">
      <c r="A151" s="11"/>
      <c r="B151" s="11" t="e">
        <f t="shared" si="3"/>
        <v>#N/A</v>
      </c>
      <c r="C151" s="11" t="s">
        <v>148</v>
      </c>
      <c r="D151" s="11"/>
      <c r="E151" s="11"/>
      <c r="F151" s="11" t="e">
        <f>VLOOKUP(G151, SeanRanks!$A$2:$E$302, 4, FALSE)</f>
        <v>#N/A</v>
      </c>
      <c r="G151" s="11" t="s">
        <v>695</v>
      </c>
      <c r="H151" s="11" t="e">
        <f>VLOOKUP($G151, 'ADP Data'!$C$4:$Q$300, 2, FALSE)</f>
        <v>#N/A</v>
      </c>
      <c r="I151" s="11" t="e">
        <f>VLOOKUP(G151, 'ADP Data'!$C$4:$R$498, 12, FALSE)</f>
        <v>#N/A</v>
      </c>
      <c r="J151" s="11" t="e">
        <f>VLOOKUP($G151, SeanRanks!$A$2:$H$303, 5, FALSE)</f>
        <v>#N/A</v>
      </c>
      <c r="K151" s="11" t="e">
        <f>IF(VLOOKUP($G151, SeanRanks!$A$2:$H$303, 6, FALSE)=0, "", VLOOKUP($G151, SeanRanks!$A$2:$H$303, 6, FALSE))</f>
        <v>#N/A</v>
      </c>
      <c r="L151" s="11">
        <f t="shared" si="4"/>
        <v>16</v>
      </c>
      <c r="M151" s="11" t="e">
        <f>VLOOKUP($G151, 'ADP Data'!$C$4:$Q$300, 9, FALSE)</f>
        <v>#N/A</v>
      </c>
      <c r="N151" s="11" t="e">
        <f t="shared" si="5"/>
        <v>#N/A</v>
      </c>
      <c r="O151" s="11" t="e">
        <f>VLOOKUP($G151, 'ADP Data'!$C$4:$Q$300, 3, FALSE)</f>
        <v>#N/A</v>
      </c>
      <c r="P151" s="11" t="e">
        <f t="shared" si="6"/>
        <v>#N/A</v>
      </c>
      <c r="Q151" s="11" t="e">
        <f>VLOOKUP($G151, 'ADP Data'!$C$4:$Q$300, 4, FALSE)</f>
        <v>#N/A</v>
      </c>
      <c r="R151" s="11" t="e">
        <f>VLOOKUP($G151, 'ADP Data'!$C$4:$Q$300, 5, FALSE)</f>
        <v>#N/A</v>
      </c>
      <c r="S151" s="11" t="e">
        <f>VLOOKUP($G151, 'ADP Data'!$C$4:$Q$300, 6, FALSE)</f>
        <v>#N/A</v>
      </c>
      <c r="T151" s="11" t="e">
        <f>VLOOKUP($G151, 'ADP Data'!$C$4:$Q$300, 7, FALSE)</f>
        <v>#N/A</v>
      </c>
      <c r="U151" s="11" t="e">
        <f>VLOOKUP($G151, 'ADP Data'!$C$4:$Q$300, 8, FALSE)</f>
        <v>#N/A</v>
      </c>
      <c r="V151" s="11" t="e">
        <f t="shared" si="7"/>
        <v>#N/A</v>
      </c>
      <c r="W151" s="11">
        <f t="shared" si="8"/>
        <v>16</v>
      </c>
      <c r="X151" s="11">
        <f t="shared" si="9"/>
        <v>-16</v>
      </c>
      <c r="Y151" s="11" t="e">
        <f>VLOOKUP($G151, SeanRanks!$A$2:$K$303, 10, FALSE)-V151</f>
        <v>#N/A</v>
      </c>
      <c r="Z151" s="25" t="e">
        <f>IF(VLOOKUP($G151, SeanRanks!$A$2:$H$303, 7, FALSE)=0, "", VLOOKUP($G151, SeanRanks!$A$2:$H$303, 7, FALSE))</f>
        <v>#N/A</v>
      </c>
    </row>
    <row r="152" spans="1:26" ht="14.25" customHeight="1" x14ac:dyDescent="0.25">
      <c r="A152" s="11"/>
      <c r="B152" s="11">
        <f t="shared" si="3"/>
        <v>12</v>
      </c>
      <c r="C152" s="11" t="s">
        <v>119</v>
      </c>
      <c r="D152" s="11">
        <v>11</v>
      </c>
      <c r="E152" s="11"/>
      <c r="F152" s="11">
        <f>VLOOKUP(G152, SeanRanks!$A$2:$E$302, 4, FALSE)</f>
        <v>0</v>
      </c>
      <c r="G152" s="11" t="s">
        <v>377</v>
      </c>
      <c r="H152" s="11" t="str">
        <f>VLOOKUP($G152, 'ADP Data'!$C$4:$Q$300, 2, FALSE)</f>
        <v>NO</v>
      </c>
      <c r="I152" s="11">
        <f>VLOOKUP(G152, 'ADP Data'!$C$4:$R$498, 12, FALSE)</f>
        <v>102</v>
      </c>
      <c r="J152" s="43">
        <f>VLOOKUP($G152, SeanRanks!$A$2:$H$303, 5, FALSE)</f>
        <v>0</v>
      </c>
      <c r="K152" s="11" t="str">
        <f>IF(VLOOKUP($G152, SeanRanks!$A$2:$H$303, 6, FALSE)=0, "", VLOOKUP($G152, SeanRanks!$A$2:$H$303, 6, FALSE))</f>
        <v>WR4 - 2 - unclear path to WR2</v>
      </c>
      <c r="L152" s="11">
        <f t="shared" si="4"/>
        <v>11</v>
      </c>
      <c r="M152" s="11">
        <f>VLOOKUP($G152, 'ADP Data'!$C$4:$Q$300, 9, FALSE)</f>
        <v>124</v>
      </c>
      <c r="N152" s="11">
        <f t="shared" si="5"/>
        <v>-15</v>
      </c>
      <c r="O152" s="11">
        <f>VLOOKUP($G152, 'ADP Data'!$C$4:$Q$300, 3, FALSE)</f>
        <v>161</v>
      </c>
      <c r="P152" s="11">
        <f t="shared" si="6"/>
        <v>-37</v>
      </c>
      <c r="Q152" s="11">
        <f>VLOOKUP($G152, 'ADP Data'!$C$4:$Q$300, 4, FALSE)</f>
        <v>134</v>
      </c>
      <c r="R152" s="11">
        <f>VLOOKUP($G152, 'ADP Data'!$C$4:$Q$300, 5, FALSE)</f>
        <v>133</v>
      </c>
      <c r="S152" s="11">
        <f>VLOOKUP($G152, 'ADP Data'!$C$4:$Q$300, 6, FALSE)</f>
        <v>127</v>
      </c>
      <c r="T152" s="11">
        <f>VLOOKUP($G152, 'ADP Data'!$C$4:$Q$300, 7, FALSE)</f>
        <v>117</v>
      </c>
      <c r="U152" s="11">
        <f>VLOOKUP($G152, 'ADP Data'!$C$4:$Q$300, 8, FALSE)</f>
        <v>177</v>
      </c>
      <c r="V152" s="11">
        <f t="shared" si="7"/>
        <v>139</v>
      </c>
      <c r="W152" s="11">
        <f t="shared" si="8"/>
        <v>12</v>
      </c>
      <c r="X152" s="11">
        <f t="shared" si="9"/>
        <v>-1</v>
      </c>
      <c r="Y152" s="11">
        <f>VLOOKUP($G152, SeanRanks!$A$2:$K$303, 10, FALSE)-V152</f>
        <v>-31</v>
      </c>
      <c r="Z152" s="25">
        <f>IF(VLOOKUP($G152, SeanRanks!$A$2:$H$303, 7, FALSE)=0, "", VLOOKUP($G152, SeanRanks!$A$2:$H$303, 7, FALSE))</f>
        <v>44</v>
      </c>
    </row>
    <row r="153" spans="1:26" ht="14.25" customHeight="1" x14ac:dyDescent="0.25">
      <c r="A153" s="11"/>
      <c r="B153" s="11">
        <f t="shared" si="3"/>
        <v>15</v>
      </c>
      <c r="C153" s="11" t="s">
        <v>119</v>
      </c>
      <c r="D153" s="11"/>
      <c r="E153" s="11"/>
      <c r="F153" s="11">
        <f>VLOOKUP(G153, SeanRanks!$A$2:$E$302, 4, FALSE)</f>
        <v>0</v>
      </c>
      <c r="G153" s="11" t="s">
        <v>370</v>
      </c>
      <c r="H153" s="11" t="str">
        <f>VLOOKUP($G153, 'ADP Data'!$C$4:$Q$300, 2, FALSE)</f>
        <v>ATL</v>
      </c>
      <c r="I153" s="11">
        <f>VLOOKUP(G153, 'ADP Data'!$C$4:$R$498, 12, FALSE)</f>
        <v>156</v>
      </c>
      <c r="J153" s="59">
        <f>VLOOKUP($G153, SeanRanks!$A$2:$H$303, 5, FALSE)</f>
        <v>0</v>
      </c>
      <c r="K153" s="11" t="str">
        <f>IF(VLOOKUP($G153, SeanRanks!$A$2:$H$303, 6, FALSE)=0, "", VLOOKUP($G153, SeanRanks!$A$2:$H$303, 6, FALSE))</f>
        <v>RB4 - 1 - Path to spikes</v>
      </c>
      <c r="L153" s="11">
        <f t="shared" si="4"/>
        <v>14</v>
      </c>
      <c r="M153" s="11">
        <f>VLOOKUP($G153, 'ADP Data'!$C$4:$Q$300, 9, FALSE)</f>
        <v>167</v>
      </c>
      <c r="N153" s="11">
        <f t="shared" si="5"/>
        <v>-2</v>
      </c>
      <c r="O153" s="11">
        <f>VLOOKUP($G153, 'ADP Data'!$C$4:$Q$300, 3, FALSE)</f>
        <v>172</v>
      </c>
      <c r="P153" s="11">
        <f t="shared" si="6"/>
        <v>-5</v>
      </c>
      <c r="Q153" s="11">
        <f>VLOOKUP($G153, 'ADP Data'!$C$4:$Q$300, 4, FALSE)</f>
        <v>161</v>
      </c>
      <c r="R153" s="11">
        <f>VLOOKUP($G153, 'ADP Data'!$C$4:$Q$300, 5, FALSE)</f>
        <v>199</v>
      </c>
      <c r="S153" s="11">
        <f>VLOOKUP($G153, 'ADP Data'!$C$4:$Q$300, 6, FALSE)</f>
        <v>151</v>
      </c>
      <c r="T153" s="11">
        <f>VLOOKUP($G153, 'ADP Data'!$C$4:$Q$300, 7, FALSE)</f>
        <v>154</v>
      </c>
      <c r="U153" s="11">
        <f>VLOOKUP($G153, 'ADP Data'!$C$4:$Q$300, 8, FALSE)</f>
        <v>184</v>
      </c>
      <c r="V153" s="11">
        <f t="shared" si="7"/>
        <v>169</v>
      </c>
      <c r="W153" s="11">
        <f t="shared" si="8"/>
        <v>15</v>
      </c>
      <c r="X153" s="11">
        <f t="shared" si="9"/>
        <v>-15</v>
      </c>
      <c r="Y153" s="11">
        <f>VLOOKUP($G153, SeanRanks!$A$2:$K$303, 10, FALSE)-V153</f>
        <v>-23</v>
      </c>
      <c r="Z153" s="25">
        <f>IF(VLOOKUP($G153, SeanRanks!$A$2:$H$303, 7, FALSE)=0, "", VLOOKUP($G153, SeanRanks!$A$2:$H$303, 7, FALSE))</f>
        <v>46</v>
      </c>
    </row>
    <row r="154" spans="1:26" ht="14.25" customHeight="1" x14ac:dyDescent="0.25">
      <c r="A154" s="11"/>
      <c r="B154" s="11" t="e">
        <f t="shared" si="3"/>
        <v>#N/A</v>
      </c>
      <c r="C154" s="11" t="s">
        <v>119</v>
      </c>
      <c r="D154" s="11"/>
      <c r="E154" s="11"/>
      <c r="F154" s="11" t="e">
        <f>VLOOKUP(G154, SeanRanks!$A$2:$E$302, 4, FALSE)</f>
        <v>#N/A</v>
      </c>
      <c r="G154" s="11" t="s">
        <v>917</v>
      </c>
      <c r="H154" s="11" t="e">
        <f>VLOOKUP($G154, 'ADP Data'!$C$4:$Q$300, 2, FALSE)</f>
        <v>#N/A</v>
      </c>
      <c r="I154" s="11" t="e">
        <f>VLOOKUP(G154, 'ADP Data'!$C$4:$R$498, 12, FALSE)</f>
        <v>#N/A</v>
      </c>
      <c r="J154" s="11" t="e">
        <f>VLOOKUP($G154, SeanRanks!$A$2:$H$303, 5, FALSE)</f>
        <v>#N/A</v>
      </c>
      <c r="K154" s="11" t="e">
        <f>IF(VLOOKUP($G154, SeanRanks!$A$2:$H$303, 6, FALSE)=0, "", VLOOKUP($G154, SeanRanks!$A$2:$H$303, 6, FALSE))</f>
        <v>#N/A</v>
      </c>
      <c r="L154" s="11">
        <f t="shared" si="4"/>
        <v>16</v>
      </c>
      <c r="M154" s="11" t="e">
        <f>VLOOKUP($G154, 'ADP Data'!$C$4:$Q$300, 9, FALSE)</f>
        <v>#N/A</v>
      </c>
      <c r="N154" s="11" t="e">
        <f t="shared" si="5"/>
        <v>#N/A</v>
      </c>
      <c r="O154" s="11" t="e">
        <f>VLOOKUP($G154, 'ADP Data'!$C$4:$Q$300, 3, FALSE)</f>
        <v>#N/A</v>
      </c>
      <c r="P154" s="11" t="e">
        <f t="shared" si="6"/>
        <v>#N/A</v>
      </c>
      <c r="Q154" s="11" t="e">
        <f>VLOOKUP($G154, 'ADP Data'!$C$4:$Q$300, 4, FALSE)</f>
        <v>#N/A</v>
      </c>
      <c r="R154" s="11" t="e">
        <f>VLOOKUP($G154, 'ADP Data'!$C$4:$Q$300, 5, FALSE)</f>
        <v>#N/A</v>
      </c>
      <c r="S154" s="11" t="e">
        <f>VLOOKUP($G154, 'ADP Data'!$C$4:$Q$300, 6, FALSE)</f>
        <v>#N/A</v>
      </c>
      <c r="T154" s="11" t="e">
        <f>VLOOKUP($G154, 'ADP Data'!$C$4:$Q$300, 7, FALSE)</f>
        <v>#N/A</v>
      </c>
      <c r="U154" s="11" t="e">
        <f>VLOOKUP($G154, 'ADP Data'!$C$4:$Q$300, 8, FALSE)</f>
        <v>#N/A</v>
      </c>
      <c r="V154" s="11" t="e">
        <f t="shared" si="7"/>
        <v>#N/A</v>
      </c>
      <c r="W154" s="11">
        <f t="shared" si="8"/>
        <v>16</v>
      </c>
      <c r="X154" s="11">
        <f t="shared" si="9"/>
        <v>-16</v>
      </c>
      <c r="Y154" s="11" t="e">
        <f>VLOOKUP($G154, SeanRanks!$A$2:$K$303, 10, FALSE)-V154</f>
        <v>#N/A</v>
      </c>
      <c r="Z154" s="25" t="e">
        <f>IF(VLOOKUP($G154, SeanRanks!$A$2:$H$303, 7, FALSE)=0, "", VLOOKUP($G154, SeanRanks!$A$2:$H$303, 7, FALSE))</f>
        <v>#N/A</v>
      </c>
    </row>
    <row r="155" spans="1:26" ht="14.25" customHeight="1" x14ac:dyDescent="0.25">
      <c r="A155" s="11"/>
      <c r="B155" s="11">
        <f t="shared" si="3"/>
        <v>26</v>
      </c>
      <c r="C155" s="11" t="s">
        <v>119</v>
      </c>
      <c r="D155" s="11"/>
      <c r="E155" s="11"/>
      <c r="F155" s="11">
        <f>VLOOKUP(G155, SeanRanks!$A$2:$E$302, 4, FALSE)</f>
        <v>0</v>
      </c>
      <c r="G155" s="11" t="s">
        <v>493</v>
      </c>
      <c r="H155" s="11" t="str">
        <f>VLOOKUP($G155, 'ADP Data'!$C$4:$Q$300, 2, FALSE)</f>
        <v>GB</v>
      </c>
      <c r="I155" s="11">
        <f>VLOOKUP(G155, 'ADP Data'!$C$4:$R$498, 12, FALSE)</f>
        <v>246</v>
      </c>
      <c r="J155" s="43">
        <f>VLOOKUP($G155, SeanRanks!$A$2:$H$303, 5, FALSE)</f>
        <v>0</v>
      </c>
      <c r="K155" s="11" t="str">
        <f>IF(VLOOKUP($G155, SeanRanks!$A$2:$H$303, 6, FALSE)=0, "", VLOOKUP($G155, SeanRanks!$A$2:$H$303, 6, FALSE))</f>
        <v/>
      </c>
      <c r="L155" s="11">
        <f t="shared" si="4"/>
        <v>24</v>
      </c>
      <c r="M155" s="11">
        <f>VLOOKUP($G155, 'ADP Data'!$C$4:$Q$300, 9, FALSE)</f>
        <v>284</v>
      </c>
      <c r="N155" s="11">
        <f t="shared" si="5"/>
        <v>-16</v>
      </c>
      <c r="O155" s="11" t="str">
        <f>VLOOKUP($G155, 'ADP Data'!$C$4:$Q$300, 3, FALSE)</f>
        <v>-</v>
      </c>
      <c r="P155" s="11" t="e">
        <f t="shared" si="6"/>
        <v>#VALUE!</v>
      </c>
      <c r="Q155" s="11" t="str">
        <f>VLOOKUP($G155, 'ADP Data'!$C$4:$Q$300, 4, FALSE)</f>
        <v>-</v>
      </c>
      <c r="R155" s="11">
        <f>VLOOKUP($G155, 'ADP Data'!$C$4:$Q$300, 5, FALSE)</f>
        <v>291</v>
      </c>
      <c r="S155" s="11">
        <f>VLOOKUP($G155, 'ADP Data'!$C$4:$Q$300, 6, FALSE)</f>
        <v>322</v>
      </c>
      <c r="T155" s="11">
        <f>VLOOKUP($G155, 'ADP Data'!$C$4:$Q$300, 7, FALSE)</f>
        <v>277</v>
      </c>
      <c r="U155" s="11">
        <f>VLOOKUP($G155, 'ADP Data'!$C$4:$Q$300, 8, FALSE)</f>
        <v>326</v>
      </c>
      <c r="V155" s="11">
        <f t="shared" si="7"/>
        <v>300</v>
      </c>
      <c r="W155" s="11">
        <f t="shared" si="8"/>
        <v>26</v>
      </c>
      <c r="X155" s="11">
        <f t="shared" si="9"/>
        <v>-26</v>
      </c>
      <c r="Y155" s="11" t="e">
        <f>VLOOKUP($G155, SeanRanks!$A$2:$K$303, 10, FALSE)-V155</f>
        <v>#VALUE!</v>
      </c>
      <c r="Z155" s="25" t="str">
        <f>IF(VLOOKUP($G155, SeanRanks!$A$2:$H$303, 7, FALSE)=0, "", VLOOKUP($G155, SeanRanks!$A$2:$H$303, 7, FALSE))</f>
        <v/>
      </c>
    </row>
    <row r="156" spans="1:26" ht="14.25" customHeight="1" x14ac:dyDescent="0.25">
      <c r="A156" s="11"/>
      <c r="B156" s="11" t="e">
        <f t="shared" si="3"/>
        <v>#N/A</v>
      </c>
      <c r="C156" s="11" t="s">
        <v>119</v>
      </c>
      <c r="D156" s="11"/>
      <c r="E156" s="11"/>
      <c r="F156" s="11" t="e">
        <f>VLOOKUP(G156, SeanRanks!$A$2:$E$302, 4, FALSE)</f>
        <v>#N/A</v>
      </c>
      <c r="G156" s="11" t="s">
        <v>919</v>
      </c>
      <c r="H156" s="11" t="e">
        <f>VLOOKUP($G156, 'ADP Data'!$C$4:$Q$300, 2, FALSE)</f>
        <v>#N/A</v>
      </c>
      <c r="I156" s="11" t="e">
        <f>VLOOKUP(G156, 'ADP Data'!$C$4:$R$498, 12, FALSE)</f>
        <v>#N/A</v>
      </c>
      <c r="J156" s="11" t="e">
        <f>VLOOKUP($G156, SeanRanks!$A$2:$H$303, 5, FALSE)</f>
        <v>#N/A</v>
      </c>
      <c r="K156" s="11" t="e">
        <f>IF(VLOOKUP($G156, SeanRanks!$A$2:$H$303, 6, FALSE)=0, "", VLOOKUP($G156, SeanRanks!$A$2:$H$303, 6, FALSE))</f>
        <v>#N/A</v>
      </c>
      <c r="L156" s="11">
        <f t="shared" si="4"/>
        <v>16</v>
      </c>
      <c r="M156" s="11" t="e">
        <f>VLOOKUP($G156, 'ADP Data'!$C$4:$Q$300, 9, FALSE)</f>
        <v>#N/A</v>
      </c>
      <c r="N156" s="11" t="e">
        <f t="shared" si="5"/>
        <v>#N/A</v>
      </c>
      <c r="O156" s="11" t="e">
        <f>VLOOKUP($G156, 'ADP Data'!$C$4:$Q$300, 3, FALSE)</f>
        <v>#N/A</v>
      </c>
      <c r="P156" s="11" t="e">
        <f t="shared" si="6"/>
        <v>#N/A</v>
      </c>
      <c r="Q156" s="11" t="e">
        <f>VLOOKUP($G156, 'ADP Data'!$C$4:$Q$300, 4, FALSE)</f>
        <v>#N/A</v>
      </c>
      <c r="R156" s="11" t="e">
        <f>VLOOKUP($G156, 'ADP Data'!$C$4:$Q$300, 5, FALSE)</f>
        <v>#N/A</v>
      </c>
      <c r="S156" s="11" t="e">
        <f>VLOOKUP($G156, 'ADP Data'!$C$4:$Q$300, 6, FALSE)</f>
        <v>#N/A</v>
      </c>
      <c r="T156" s="11" t="e">
        <f>VLOOKUP($G156, 'ADP Data'!$C$4:$Q$300, 7, FALSE)</f>
        <v>#N/A</v>
      </c>
      <c r="U156" s="11" t="e">
        <f>VLOOKUP($G156, 'ADP Data'!$C$4:$Q$300, 8, FALSE)</f>
        <v>#N/A</v>
      </c>
      <c r="V156" s="11" t="e">
        <f t="shared" si="7"/>
        <v>#N/A</v>
      </c>
      <c r="W156" s="11">
        <f t="shared" si="8"/>
        <v>16</v>
      </c>
      <c r="X156" s="11">
        <f t="shared" si="9"/>
        <v>-16</v>
      </c>
      <c r="Y156" s="11" t="e">
        <f>VLOOKUP($G156, SeanRanks!$A$2:$K$303, 10, FALSE)-V156</f>
        <v>#N/A</v>
      </c>
      <c r="Z156" s="25" t="e">
        <f>IF(VLOOKUP($G156, SeanRanks!$A$2:$H$303, 7, FALSE)=0, "", VLOOKUP($G156, SeanRanks!$A$2:$H$303, 7, FALSE))</f>
        <v>#N/A</v>
      </c>
    </row>
    <row r="157" spans="1:26" ht="14.25" customHeight="1" x14ac:dyDescent="0.25">
      <c r="A157" s="11"/>
      <c r="B157" s="11">
        <f t="shared" si="3"/>
        <v>7</v>
      </c>
      <c r="C157" s="11" t="s">
        <v>148</v>
      </c>
      <c r="D157" s="11"/>
      <c r="E157" s="11"/>
      <c r="F157" s="11">
        <f>VLOOKUP(G157, SeanRanks!$A$2:$E$302, 4, FALSE)</f>
        <v>0</v>
      </c>
      <c r="G157" s="11" t="s">
        <v>364</v>
      </c>
      <c r="H157" s="11" t="str">
        <f>VLOOKUP($G157, 'ADP Data'!$C$4:$Q$300, 2, FALSE)</f>
        <v>TB</v>
      </c>
      <c r="I157" s="11">
        <f>VLOOKUP(G157, 'ADP Data'!$C$4:$R$498, 12, FALSE)</f>
        <v>99</v>
      </c>
      <c r="J157" s="11">
        <f>VLOOKUP($G157, SeanRanks!$A$2:$H$303, 5, FALSE)</f>
        <v>0</v>
      </c>
      <c r="K157" s="11" t="str">
        <f>IF(VLOOKUP($G157, SeanRanks!$A$2:$H$303, 6, FALSE)=0, "", VLOOKUP($G157, SeanRanks!$A$2:$H$303, 6, FALSE))</f>
        <v>QB1 - 3 - Top 5 Ceiling</v>
      </c>
      <c r="L157" s="11">
        <f t="shared" si="4"/>
        <v>6</v>
      </c>
      <c r="M157" s="11">
        <f>VLOOKUP($G157, 'ADP Data'!$C$4:$Q$300, 9, FALSE)</f>
        <v>71</v>
      </c>
      <c r="N157" s="11">
        <f t="shared" si="5"/>
        <v>1</v>
      </c>
      <c r="O157" s="11">
        <f>VLOOKUP($G157, 'ADP Data'!$C$4:$Q$300, 3, FALSE)</f>
        <v>54</v>
      </c>
      <c r="P157" s="11">
        <f t="shared" si="6"/>
        <v>17</v>
      </c>
      <c r="Q157" s="11">
        <f>VLOOKUP($G157, 'ADP Data'!$C$4:$Q$300, 4, FALSE)</f>
        <v>52</v>
      </c>
      <c r="R157" s="11">
        <f>VLOOKUP($G157, 'ADP Data'!$C$4:$Q$300, 5, FALSE)</f>
        <v>85</v>
      </c>
      <c r="S157" s="11">
        <f>VLOOKUP($G157, 'ADP Data'!$C$4:$Q$300, 6, FALSE)</f>
        <v>92</v>
      </c>
      <c r="T157" s="11">
        <f>VLOOKUP($G157, 'ADP Data'!$C$4:$Q$300, 7, FALSE)</f>
        <v>78</v>
      </c>
      <c r="U157" s="11">
        <f>VLOOKUP($G157, 'ADP Data'!$C$4:$Q$300, 8, FALSE)</f>
        <v>61</v>
      </c>
      <c r="V157" s="11">
        <f t="shared" si="7"/>
        <v>70</v>
      </c>
      <c r="W157" s="11">
        <f t="shared" si="8"/>
        <v>6</v>
      </c>
      <c r="X157" s="11">
        <f t="shared" si="9"/>
        <v>-6</v>
      </c>
      <c r="Y157" s="11">
        <f>VLOOKUP($G157, SeanRanks!$A$2:$K$303, 10, FALSE)-V157</f>
        <v>20</v>
      </c>
      <c r="Z157" s="25">
        <f>IF(VLOOKUP($G157, SeanRanks!$A$2:$H$303, 7, FALSE)=0, "", VLOOKUP($G157, SeanRanks!$A$2:$H$303, 7, FALSE))</f>
        <v>6</v>
      </c>
    </row>
    <row r="158" spans="1:26" ht="14.25" customHeight="1" x14ac:dyDescent="0.25">
      <c r="A158" s="11"/>
      <c r="B158" s="11" t="e">
        <f t="shared" si="3"/>
        <v>#N/A</v>
      </c>
      <c r="C158" s="11" t="s">
        <v>148</v>
      </c>
      <c r="D158" s="11"/>
      <c r="E158" s="11"/>
      <c r="F158" s="11" t="e">
        <f>VLOOKUP(G158, SeanRanks!$A$2:$E$302, 4, FALSE)</f>
        <v>#N/A</v>
      </c>
      <c r="G158" s="11" t="s">
        <v>921</v>
      </c>
      <c r="H158" s="11" t="e">
        <f>VLOOKUP($G158, 'ADP Data'!$C$4:$Q$300, 2, FALSE)</f>
        <v>#N/A</v>
      </c>
      <c r="I158" s="11" t="e">
        <f>VLOOKUP(G158, 'ADP Data'!$C$4:$R$498, 12, FALSE)</f>
        <v>#N/A</v>
      </c>
      <c r="J158" s="61" t="e">
        <f>VLOOKUP($G158, SeanRanks!$A$2:$H$303, 5, FALSE)</f>
        <v>#N/A</v>
      </c>
      <c r="K158" s="11" t="e">
        <f>IF(VLOOKUP($G158, SeanRanks!$A$2:$H$303, 6, FALSE)=0, "", VLOOKUP($G158, SeanRanks!$A$2:$H$303, 6, FALSE))</f>
        <v>#N/A</v>
      </c>
      <c r="L158" s="11">
        <f t="shared" si="4"/>
        <v>16</v>
      </c>
      <c r="M158" s="11" t="e">
        <f>VLOOKUP($G158, 'ADP Data'!$C$4:$Q$300, 9, FALSE)</f>
        <v>#N/A</v>
      </c>
      <c r="N158" s="11" t="e">
        <f t="shared" si="5"/>
        <v>#N/A</v>
      </c>
      <c r="O158" s="11" t="e">
        <f>VLOOKUP($G158, 'ADP Data'!$C$4:$Q$300, 3, FALSE)</f>
        <v>#N/A</v>
      </c>
      <c r="P158" s="11" t="e">
        <f t="shared" si="6"/>
        <v>#N/A</v>
      </c>
      <c r="Q158" s="11" t="e">
        <f>VLOOKUP($G158, 'ADP Data'!$C$4:$Q$300, 4, FALSE)</f>
        <v>#N/A</v>
      </c>
      <c r="R158" s="11" t="e">
        <f>VLOOKUP($G158, 'ADP Data'!$C$4:$Q$300, 5, FALSE)</f>
        <v>#N/A</v>
      </c>
      <c r="S158" s="11" t="e">
        <f>VLOOKUP($G158, 'ADP Data'!$C$4:$Q$300, 6, FALSE)</f>
        <v>#N/A</v>
      </c>
      <c r="T158" s="11" t="e">
        <f>VLOOKUP($G158, 'ADP Data'!$C$4:$Q$300, 7, FALSE)</f>
        <v>#N/A</v>
      </c>
      <c r="U158" s="11" t="e">
        <f>VLOOKUP($G158, 'ADP Data'!$C$4:$Q$300, 8, FALSE)</f>
        <v>#N/A</v>
      </c>
      <c r="V158" s="11" t="e">
        <f t="shared" si="7"/>
        <v>#N/A</v>
      </c>
      <c r="W158" s="11">
        <f t="shared" si="8"/>
        <v>16</v>
      </c>
      <c r="X158" s="11">
        <f t="shared" si="9"/>
        <v>-16</v>
      </c>
      <c r="Y158" s="11" t="e">
        <f>VLOOKUP($G158, SeanRanks!$A$2:$K$303, 10, FALSE)-V158</f>
        <v>#N/A</v>
      </c>
      <c r="Z158" s="25" t="e">
        <f>IF(VLOOKUP($G158, SeanRanks!$A$2:$H$303, 7, FALSE)=0, "", VLOOKUP($G158, SeanRanks!$A$2:$H$303, 7, FALSE))</f>
        <v>#N/A</v>
      </c>
    </row>
    <row r="159" spans="1:26" ht="14.25" customHeight="1" x14ac:dyDescent="0.25">
      <c r="A159" s="11"/>
      <c r="B159" s="11">
        <f t="shared" si="3"/>
        <v>15</v>
      </c>
      <c r="C159" s="11" t="s">
        <v>148</v>
      </c>
      <c r="D159" s="11"/>
      <c r="E159" s="11"/>
      <c r="F159" s="11">
        <f>VLOOKUP(G159, SeanRanks!$A$2:$E$302, 4, FALSE)</f>
        <v>0</v>
      </c>
      <c r="G159" s="11" t="s">
        <v>920</v>
      </c>
      <c r="H159" s="11" t="str">
        <f>VLOOKUP($G159, 'ADP Data'!$C$4:$Q$300, 2, FALSE)</f>
        <v>MIN</v>
      </c>
      <c r="I159" s="11">
        <f>VLOOKUP(G159, 'ADP Data'!$C$4:$R$498, 12, FALSE)</f>
        <v>164</v>
      </c>
      <c r="J159" s="11">
        <f>VLOOKUP($G159, SeanRanks!$A$2:$H$303, 5, FALSE)</f>
        <v>0</v>
      </c>
      <c r="K159" s="11" t="str">
        <f>IF(VLOOKUP($G159, SeanRanks!$A$2:$H$303, 6, FALSE)=0, "", VLOOKUP($G159, SeanRanks!$A$2:$H$303, 6, FALSE))</f>
        <v>WR6 - dart throw upside</v>
      </c>
      <c r="L159" s="11">
        <f t="shared" si="4"/>
        <v>15</v>
      </c>
      <c r="M159" s="11">
        <f>VLOOKUP($G159, 'ADP Data'!$C$4:$Q$300, 9, FALSE)</f>
        <v>171</v>
      </c>
      <c r="N159" s="11">
        <f t="shared" si="5"/>
        <v>0</v>
      </c>
      <c r="O159" s="11">
        <f>VLOOKUP($G159, 'ADP Data'!$C$4:$Q$300, 3, FALSE)</f>
        <v>167</v>
      </c>
      <c r="P159" s="11">
        <f t="shared" si="6"/>
        <v>4</v>
      </c>
      <c r="Q159" s="11">
        <f>VLOOKUP($G159, 'ADP Data'!$C$4:$Q$300, 4, FALSE)</f>
        <v>159</v>
      </c>
      <c r="R159" s="11">
        <f>VLOOKUP($G159, 'ADP Data'!$C$4:$Q$300, 5, FALSE)</f>
        <v>175</v>
      </c>
      <c r="S159" s="11">
        <f>VLOOKUP($G159, 'ADP Data'!$C$4:$Q$300, 6, FALSE)</f>
        <v>168</v>
      </c>
      <c r="T159" s="11">
        <f>VLOOKUP($G159, 'ADP Data'!$C$4:$Q$300, 7, FALSE)</f>
        <v>156</v>
      </c>
      <c r="U159" s="11">
        <f>VLOOKUP($G159, 'ADP Data'!$C$4:$Q$300, 8, FALSE)</f>
        <v>203</v>
      </c>
      <c r="V159" s="11">
        <f t="shared" si="7"/>
        <v>171</v>
      </c>
      <c r="W159" s="11">
        <f t="shared" si="8"/>
        <v>15</v>
      </c>
      <c r="X159" s="11">
        <f t="shared" si="9"/>
        <v>-15</v>
      </c>
      <c r="Y159" s="11">
        <f>VLOOKUP($G159, SeanRanks!$A$2:$K$303, 10, FALSE)-V159</f>
        <v>20</v>
      </c>
      <c r="Z159" s="25">
        <f>IF(VLOOKUP($G159, SeanRanks!$A$2:$H$303, 7, FALSE)=0, "", VLOOKUP($G159, SeanRanks!$A$2:$H$303, 7, FALSE))</f>
        <v>65</v>
      </c>
    </row>
    <row r="160" spans="1:26" ht="14.25" customHeight="1" x14ac:dyDescent="0.25">
      <c r="A160" s="11"/>
      <c r="B160" s="11" t="e">
        <f t="shared" si="3"/>
        <v>#N/A</v>
      </c>
      <c r="C160" s="11" t="s">
        <v>119</v>
      </c>
      <c r="D160" s="11"/>
      <c r="E160" s="11"/>
      <c r="F160" s="11">
        <f>VLOOKUP(G160, SeanRanks!$A$2:$E$302, 4, FALSE)</f>
        <v>0</v>
      </c>
      <c r="G160" s="11" t="s">
        <v>918</v>
      </c>
      <c r="H160" s="11" t="e">
        <f>VLOOKUP($G160, 'ADP Data'!$C$4:$Q$300, 2, FALSE)</f>
        <v>#N/A</v>
      </c>
      <c r="I160" s="11" t="e">
        <f>VLOOKUP(G160, 'ADP Data'!$C$4:$R$498, 12, FALSE)</f>
        <v>#N/A</v>
      </c>
      <c r="J160" s="11">
        <f>VLOOKUP($G160, SeanRanks!$A$2:$H$303, 5, FALSE)</f>
        <v>0</v>
      </c>
      <c r="K160" s="11" t="str">
        <f>IF(VLOOKUP($G160, SeanRanks!$A$2:$H$303, 6, FALSE)=0, "", VLOOKUP($G160, SeanRanks!$A$2:$H$303, 6, FALSE))</f>
        <v/>
      </c>
      <c r="L160" s="11">
        <f t="shared" si="4"/>
        <v>16</v>
      </c>
      <c r="M160" s="11" t="e">
        <f>VLOOKUP($G160, 'ADP Data'!$C$4:$Q$300, 9, FALSE)</f>
        <v>#N/A</v>
      </c>
      <c r="N160" s="11" t="e">
        <f t="shared" si="5"/>
        <v>#N/A</v>
      </c>
      <c r="O160" s="11" t="e">
        <f>VLOOKUP($G160, 'ADP Data'!$C$4:$Q$300, 3, FALSE)</f>
        <v>#N/A</v>
      </c>
      <c r="P160" s="11" t="e">
        <f t="shared" si="6"/>
        <v>#N/A</v>
      </c>
      <c r="Q160" s="11" t="e">
        <f>VLOOKUP($G160, 'ADP Data'!$C$4:$Q$300, 4, FALSE)</f>
        <v>#N/A</v>
      </c>
      <c r="R160" s="11" t="e">
        <f>VLOOKUP($G160, 'ADP Data'!$C$4:$Q$300, 5, FALSE)</f>
        <v>#N/A</v>
      </c>
      <c r="S160" s="11" t="e">
        <f>VLOOKUP($G160, 'ADP Data'!$C$4:$Q$300, 6, FALSE)</f>
        <v>#N/A</v>
      </c>
      <c r="T160" s="11" t="e">
        <f>VLOOKUP($G160, 'ADP Data'!$C$4:$Q$300, 7, FALSE)</f>
        <v>#N/A</v>
      </c>
      <c r="U160" s="11" t="e">
        <f>VLOOKUP($G160, 'ADP Data'!$C$4:$Q$300, 8, FALSE)</f>
        <v>#N/A</v>
      </c>
      <c r="V160" s="11" t="e">
        <f t="shared" si="7"/>
        <v>#N/A</v>
      </c>
      <c r="W160" s="11">
        <f t="shared" si="8"/>
        <v>16</v>
      </c>
      <c r="X160" s="11">
        <f t="shared" si="9"/>
        <v>-16</v>
      </c>
      <c r="Y160" s="11" t="e">
        <f>VLOOKUP($G160, SeanRanks!$A$2:$K$303, 10, FALSE)-V160</f>
        <v>#N/A</v>
      </c>
      <c r="Z160" s="25" t="str">
        <f>IF(VLOOKUP($G160, SeanRanks!$A$2:$H$303, 7, FALSE)=0, "", VLOOKUP($G160, SeanRanks!$A$2:$H$303, 7, FALSE))</f>
        <v/>
      </c>
    </row>
    <row r="161" spans="1:26" ht="14.25" customHeight="1" x14ac:dyDescent="0.25">
      <c r="A161" s="11"/>
      <c r="B161" s="11">
        <f t="shared" si="3"/>
        <v>11</v>
      </c>
      <c r="C161" s="11" t="s">
        <v>148</v>
      </c>
      <c r="D161" s="11"/>
      <c r="E161" s="11"/>
      <c r="F161" s="11">
        <f>VLOOKUP(G161, SeanRanks!$A$2:$E$302, 4, FALSE)</f>
        <v>0</v>
      </c>
      <c r="G161" s="11" t="s">
        <v>290</v>
      </c>
      <c r="H161" s="11" t="str">
        <f>VLOOKUP($G161, 'ADP Data'!$C$4:$Q$300, 2, FALSE)</f>
        <v>IND</v>
      </c>
      <c r="I161" s="11">
        <f>VLOOKUP(G161, 'ADP Data'!$C$4:$R$498, 12, FALSE)</f>
        <v>96</v>
      </c>
      <c r="J161" s="11" t="str">
        <f>VLOOKUP($G161, SeanRanks!$A$2:$H$303, 5, FALSE)</f>
        <v>No</v>
      </c>
      <c r="K161" s="11" t="str">
        <f>IF(VLOOKUP($G161, SeanRanks!$A$2:$H$303, 6, FALSE)=0, "", VLOOKUP($G161, SeanRanks!$A$2:$H$303, 6, FALSE))</f>
        <v>WR4 - 2 - unclear path to WR2</v>
      </c>
      <c r="L161" s="11">
        <f t="shared" si="4"/>
        <v>9</v>
      </c>
      <c r="M161" s="11">
        <f>VLOOKUP($G161, 'ADP Data'!$C$4:$Q$300, 9, FALSE)</f>
        <v>106</v>
      </c>
      <c r="N161" s="11">
        <f t="shared" si="5"/>
        <v>-15</v>
      </c>
      <c r="O161" s="11">
        <f>VLOOKUP($G161, 'ADP Data'!$C$4:$Q$300, 3, FALSE)</f>
        <v>129</v>
      </c>
      <c r="P161" s="11">
        <f t="shared" si="6"/>
        <v>-23</v>
      </c>
      <c r="Q161" s="11">
        <f>VLOOKUP($G161, 'ADP Data'!$C$4:$Q$300, 4, FALSE)</f>
        <v>135</v>
      </c>
      <c r="R161" s="11">
        <f>VLOOKUP($G161, 'ADP Data'!$C$4:$Q$300, 5, FALSE)</f>
        <v>128</v>
      </c>
      <c r="S161" s="11">
        <f>VLOOKUP($G161, 'ADP Data'!$C$4:$Q$300, 6, FALSE)</f>
        <v>112</v>
      </c>
      <c r="T161" s="11">
        <f>VLOOKUP($G161, 'ADP Data'!$C$4:$Q$300, 7, FALSE)</f>
        <v>96</v>
      </c>
      <c r="U161" s="11">
        <f>VLOOKUP($G161, 'ADP Data'!$C$4:$Q$300, 8, FALSE)</f>
        <v>141</v>
      </c>
      <c r="V161" s="11">
        <f t="shared" si="7"/>
        <v>121</v>
      </c>
      <c r="W161" s="11">
        <f t="shared" si="8"/>
        <v>11</v>
      </c>
      <c r="X161" s="11">
        <f t="shared" si="9"/>
        <v>-11</v>
      </c>
      <c r="Y161" s="11">
        <f>VLOOKUP($G161, SeanRanks!$A$2:$K$303, 10, FALSE)-V161</f>
        <v>-14</v>
      </c>
      <c r="Z161" s="25">
        <f>IF(VLOOKUP($G161, SeanRanks!$A$2:$H$303, 7, FALSE)=0, "", VLOOKUP($G161, SeanRanks!$A$2:$H$303, 7, FALSE))</f>
        <v>46</v>
      </c>
    </row>
    <row r="162" spans="1:26" ht="14.25" customHeight="1" x14ac:dyDescent="0.25">
      <c r="A162" s="11"/>
      <c r="B162" s="11">
        <f t="shared" si="3"/>
        <v>23</v>
      </c>
      <c r="C162" s="11" t="s">
        <v>148</v>
      </c>
      <c r="D162" s="11"/>
      <c r="E162" s="11"/>
      <c r="F162" s="11">
        <f>VLOOKUP(G162, SeanRanks!$A$2:$E$302, 4, FALSE)</f>
        <v>0</v>
      </c>
      <c r="G162" s="11" t="s">
        <v>495</v>
      </c>
      <c r="H162" s="11" t="str">
        <f>VLOOKUP($G162, 'ADP Data'!$C$4:$Q$300, 2, FALSE)</f>
        <v>IND</v>
      </c>
      <c r="I162" s="11">
        <f>VLOOKUP(G162, 'ADP Data'!$C$4:$R$498, 12, FALSE)</f>
        <v>224</v>
      </c>
      <c r="J162" s="11">
        <f>VLOOKUP($G162, SeanRanks!$A$2:$H$303, 5, FALSE)</f>
        <v>0</v>
      </c>
      <c r="K162" s="11" t="str">
        <f>IF(VLOOKUP($G162, SeanRanks!$A$2:$H$303, 6, FALSE)=0, "", VLOOKUP($G162, SeanRanks!$A$2:$H$303, 6, FALSE))</f>
        <v/>
      </c>
      <c r="L162" s="11">
        <f t="shared" si="4"/>
        <v>21</v>
      </c>
      <c r="M162" s="11">
        <f>VLOOKUP($G162, 'ADP Data'!$C$4:$Q$300, 9, FALSE)</f>
        <v>251</v>
      </c>
      <c r="N162" s="11">
        <f t="shared" si="5"/>
        <v>-14</v>
      </c>
      <c r="O162" s="11" t="str">
        <f>VLOOKUP($G162, 'ADP Data'!$C$4:$Q$300, 3, FALSE)</f>
        <v>-</v>
      </c>
      <c r="P162" s="11" t="e">
        <f t="shared" si="6"/>
        <v>#VALUE!</v>
      </c>
      <c r="Q162" s="11" t="str">
        <f>VLOOKUP($G162, 'ADP Data'!$C$4:$Q$300, 4, FALSE)</f>
        <v>-</v>
      </c>
      <c r="R162" s="11">
        <f>VLOOKUP($G162, 'ADP Data'!$C$4:$Q$300, 5, FALSE)</f>
        <v>307</v>
      </c>
      <c r="S162" s="11">
        <f>VLOOKUP($G162, 'ADP Data'!$C$4:$Q$300, 6, FALSE)</f>
        <v>252</v>
      </c>
      <c r="T162" s="11">
        <f>VLOOKUP($G162, 'ADP Data'!$C$4:$Q$300, 7, FALSE)</f>
        <v>252</v>
      </c>
      <c r="U162" s="11" t="str">
        <f>VLOOKUP($G162, 'ADP Data'!$C$4:$Q$300, 8, FALSE)</f>
        <v>-</v>
      </c>
      <c r="V162" s="11">
        <f t="shared" si="7"/>
        <v>265</v>
      </c>
      <c r="W162" s="11">
        <f t="shared" si="8"/>
        <v>23</v>
      </c>
      <c r="X162" s="11">
        <f t="shared" si="9"/>
        <v>-23</v>
      </c>
      <c r="Y162" s="11">
        <f>VLOOKUP($G162, SeanRanks!$A$2:$K$303, 10, FALSE)-V162</f>
        <v>-18</v>
      </c>
      <c r="Z162" s="25" t="str">
        <f>IF(VLOOKUP($G162, SeanRanks!$A$2:$H$303, 7, FALSE)=0, "", VLOOKUP($G162, SeanRanks!$A$2:$H$303, 7, FALSE))</f>
        <v/>
      </c>
    </row>
    <row r="163" spans="1:26" ht="14.25" customHeight="1" x14ac:dyDescent="0.25">
      <c r="A163" s="11"/>
      <c r="B163" s="11">
        <f t="shared" si="3"/>
        <v>18</v>
      </c>
      <c r="C163" s="11" t="s">
        <v>148</v>
      </c>
      <c r="D163" s="11"/>
      <c r="E163" s="11"/>
      <c r="F163" s="11">
        <f>VLOOKUP(G163, SeanRanks!$A$2:$E$302, 4, FALSE)</f>
        <v>0</v>
      </c>
      <c r="G163" s="11" t="s">
        <v>613</v>
      </c>
      <c r="H163" s="11" t="str">
        <f>VLOOKUP($G163, 'ADP Data'!$C$4:$Q$300, 2, FALSE)</f>
        <v>MIA</v>
      </c>
      <c r="I163" s="11">
        <f>VLOOKUP(G163, 'ADP Data'!$C$4:$R$498, 12, FALSE)</f>
        <v>230</v>
      </c>
      <c r="J163" s="11" t="str">
        <f>VLOOKUP($G163, SeanRanks!$A$2:$H$303, 5, FALSE)</f>
        <v>Yes</v>
      </c>
      <c r="K163" s="11" t="str">
        <f>IF(VLOOKUP($G163, SeanRanks!$A$2:$H$303, 6, FALSE)=0, "", VLOOKUP($G163, SeanRanks!$A$2:$H$303, 6, FALSE))</f>
        <v>RB5 - 1 - upside</v>
      </c>
      <c r="L163" s="11">
        <f t="shared" si="4"/>
        <v>15</v>
      </c>
      <c r="M163" s="11">
        <f>VLOOKUP($G163, 'ADP Data'!$C$4:$Q$300, 9, FALSE)</f>
        <v>172</v>
      </c>
      <c r="N163" s="11">
        <f t="shared" si="5"/>
        <v>-26</v>
      </c>
      <c r="O163" s="11" t="str">
        <f>VLOOKUP($G163, 'ADP Data'!$C$4:$Q$300, 3, FALSE)</f>
        <v>-</v>
      </c>
      <c r="P163" s="11" t="e">
        <f t="shared" si="6"/>
        <v>#VALUE!</v>
      </c>
      <c r="Q163" s="11">
        <f>VLOOKUP($G163, 'ADP Data'!$C$4:$Q$300, 4, FALSE)</f>
        <v>194</v>
      </c>
      <c r="R163" s="11">
        <f>VLOOKUP($G163, 'ADP Data'!$C$4:$Q$300, 5, FALSE)</f>
        <v>226</v>
      </c>
      <c r="S163" s="11">
        <f>VLOOKUP($G163, 'ADP Data'!$C$4:$Q$300, 6, FALSE)</f>
        <v>185</v>
      </c>
      <c r="T163" s="11">
        <f>VLOOKUP($G163, 'ADP Data'!$C$4:$Q$300, 7, FALSE)</f>
        <v>175</v>
      </c>
      <c r="U163" s="11">
        <f>VLOOKUP($G163, 'ADP Data'!$C$4:$Q$300, 8, FALSE)</f>
        <v>241</v>
      </c>
      <c r="V163" s="11">
        <f t="shared" si="7"/>
        <v>198</v>
      </c>
      <c r="W163" s="11">
        <f t="shared" si="8"/>
        <v>17</v>
      </c>
      <c r="X163" s="11">
        <f t="shared" si="9"/>
        <v>-17</v>
      </c>
      <c r="Y163" s="11">
        <f>VLOOKUP($G163, SeanRanks!$A$2:$K$303, 10, FALSE)-V163</f>
        <v>-9</v>
      </c>
      <c r="Z163" s="25">
        <f>IF(VLOOKUP($G163, SeanRanks!$A$2:$H$303, 7, FALSE)=0, "", VLOOKUP($G163, SeanRanks!$A$2:$H$303, 7, FALSE))</f>
        <v>54</v>
      </c>
    </row>
    <row r="164" spans="1:26" ht="14.25" customHeight="1" x14ac:dyDescent="0.25">
      <c r="A164" s="11"/>
      <c r="B164" s="11">
        <f t="shared" si="3"/>
        <v>17</v>
      </c>
      <c r="C164" s="11" t="s">
        <v>148</v>
      </c>
      <c r="D164" s="11"/>
      <c r="E164" s="11"/>
      <c r="F164" s="11">
        <f>VLOOKUP(G164, SeanRanks!$A$2:$E$302, 4, FALSE)</f>
        <v>0</v>
      </c>
      <c r="G164" s="11" t="s">
        <v>551</v>
      </c>
      <c r="H164" s="11" t="str">
        <f>VLOOKUP($G164, 'ADP Data'!$C$4:$Q$300, 2, FALSE)</f>
        <v>KC</v>
      </c>
      <c r="I164" s="11" t="str">
        <f>VLOOKUP(G164, 'ADP Data'!$C$4:$R$498, 12, FALSE)</f>
        <v>-</v>
      </c>
      <c r="J164" s="11">
        <f>VLOOKUP($G164, SeanRanks!$A$2:$H$303, 5, FALSE)</f>
        <v>0</v>
      </c>
      <c r="K164" s="11" t="str">
        <f>IF(VLOOKUP($G164, SeanRanks!$A$2:$H$303, 6, FALSE)=0, "", VLOOKUP($G164, SeanRanks!$A$2:$H$303, 6, FALSE))</f>
        <v/>
      </c>
      <c r="L164" s="11">
        <f t="shared" si="4"/>
        <v>16</v>
      </c>
      <c r="M164" s="11">
        <f>VLOOKUP($G164, 'ADP Data'!$C$4:$Q$300, 9, FALSE)</f>
        <v>191</v>
      </c>
      <c r="N164" s="11">
        <f t="shared" si="5"/>
        <v>-4</v>
      </c>
      <c r="O164" s="11">
        <f>VLOOKUP($G164, 'ADP Data'!$C$4:$Q$300, 3, FALSE)</f>
        <v>179</v>
      </c>
      <c r="P164" s="11">
        <f t="shared" si="6"/>
        <v>12</v>
      </c>
      <c r="Q164" s="11">
        <f>VLOOKUP($G164, 'ADP Data'!$C$4:$Q$300, 4, FALSE)</f>
        <v>187</v>
      </c>
      <c r="R164" s="11">
        <f>VLOOKUP($G164, 'ADP Data'!$C$4:$Q$300, 5, FALSE)</f>
        <v>235</v>
      </c>
      <c r="S164" s="11">
        <f>VLOOKUP($G164, 'ADP Data'!$C$4:$Q$300, 6, FALSE)</f>
        <v>239</v>
      </c>
      <c r="T164" s="11">
        <f>VLOOKUP($G164, 'ADP Data'!$C$4:$Q$300, 7, FALSE)</f>
        <v>202</v>
      </c>
      <c r="U164" s="11">
        <f>VLOOKUP($G164, 'ADP Data'!$C$4:$Q$300, 8, FALSE)</f>
        <v>137</v>
      </c>
      <c r="V164" s="11">
        <f t="shared" si="7"/>
        <v>195</v>
      </c>
      <c r="W164" s="11">
        <f t="shared" si="8"/>
        <v>17</v>
      </c>
      <c r="X164" s="11">
        <f t="shared" si="9"/>
        <v>-17</v>
      </c>
      <c r="Y164" s="11">
        <f>VLOOKUP($G164, SeanRanks!$A$2:$K$303, 10, FALSE)-V164</f>
        <v>-22</v>
      </c>
      <c r="Z164" s="25" t="str">
        <f>IF(VLOOKUP($G164, SeanRanks!$A$2:$H$303, 7, FALSE)=0, "", VLOOKUP($G164, SeanRanks!$A$2:$H$303, 7, FALSE))</f>
        <v/>
      </c>
    </row>
    <row r="165" spans="1:26" ht="14.25" customHeight="1" x14ac:dyDescent="0.25">
      <c r="A165" s="11"/>
      <c r="B165" s="11" t="e">
        <f t="shared" si="3"/>
        <v>#N/A</v>
      </c>
      <c r="C165" s="11" t="s">
        <v>148</v>
      </c>
      <c r="D165" s="11"/>
      <c r="E165" s="11"/>
      <c r="F165" s="11" t="e">
        <f>VLOOKUP(G165, SeanRanks!$A$2:$E$302, 4, FALSE)</f>
        <v>#N/A</v>
      </c>
      <c r="G165" s="11" t="s">
        <v>922</v>
      </c>
      <c r="H165" s="11" t="e">
        <f>VLOOKUP($G165, 'ADP Data'!$C$4:$Q$300, 2, FALSE)</f>
        <v>#N/A</v>
      </c>
      <c r="I165" s="11" t="e">
        <f>VLOOKUP(G165, 'ADP Data'!$C$4:$R$498, 12, FALSE)</f>
        <v>#N/A</v>
      </c>
      <c r="J165" s="11" t="e">
        <f>VLOOKUP($G165, SeanRanks!$A$2:$H$303, 5, FALSE)</f>
        <v>#N/A</v>
      </c>
      <c r="K165" s="11" t="e">
        <f>IF(VLOOKUP($G165, SeanRanks!$A$2:$H$303, 6, FALSE)=0, "", VLOOKUP($G165, SeanRanks!$A$2:$H$303, 6, FALSE))</f>
        <v>#N/A</v>
      </c>
      <c r="L165" s="11">
        <f t="shared" si="4"/>
        <v>16</v>
      </c>
      <c r="M165" s="11" t="e">
        <f>VLOOKUP($G165, 'ADP Data'!$C$4:$Q$300, 9, FALSE)</f>
        <v>#N/A</v>
      </c>
      <c r="N165" s="11" t="e">
        <f t="shared" si="5"/>
        <v>#N/A</v>
      </c>
      <c r="O165" s="11" t="e">
        <f>VLOOKUP($G165, 'ADP Data'!$C$4:$Q$300, 3, FALSE)</f>
        <v>#N/A</v>
      </c>
      <c r="P165" s="11" t="e">
        <f t="shared" si="6"/>
        <v>#N/A</v>
      </c>
      <c r="Q165" s="11" t="e">
        <f>VLOOKUP($G165, 'ADP Data'!$C$4:$Q$300, 4, FALSE)</f>
        <v>#N/A</v>
      </c>
      <c r="R165" s="11" t="e">
        <f>VLOOKUP($G165, 'ADP Data'!$C$4:$Q$300, 5, FALSE)</f>
        <v>#N/A</v>
      </c>
      <c r="S165" s="11" t="e">
        <f>VLOOKUP($G165, 'ADP Data'!$C$4:$Q$300, 6, FALSE)</f>
        <v>#N/A</v>
      </c>
      <c r="T165" s="11" t="e">
        <f>VLOOKUP($G165, 'ADP Data'!$C$4:$Q$300, 7, FALSE)</f>
        <v>#N/A</v>
      </c>
      <c r="U165" s="11" t="e">
        <f>VLOOKUP($G165, 'ADP Data'!$C$4:$Q$300, 8, FALSE)</f>
        <v>#N/A</v>
      </c>
      <c r="V165" s="11" t="e">
        <f t="shared" si="7"/>
        <v>#N/A</v>
      </c>
      <c r="W165" s="11">
        <f t="shared" si="8"/>
        <v>16</v>
      </c>
      <c r="X165" s="11">
        <f t="shared" si="9"/>
        <v>-16</v>
      </c>
      <c r="Y165" s="11" t="e">
        <f>VLOOKUP($G165, SeanRanks!$A$2:$K$303, 10, FALSE)-V165</f>
        <v>#N/A</v>
      </c>
      <c r="Z165" s="25" t="e">
        <f>IF(VLOOKUP($G165, SeanRanks!$A$2:$H$303, 7, FALSE)=0, "", VLOOKUP($G165, SeanRanks!$A$2:$H$303, 7, FALSE))</f>
        <v>#N/A</v>
      </c>
    </row>
    <row r="166" spans="1:26" ht="14.25" customHeight="1" x14ac:dyDescent="0.25">
      <c r="A166" s="11"/>
      <c r="B166" s="11" t="e">
        <f t="shared" si="3"/>
        <v>#N/A</v>
      </c>
      <c r="C166" s="11" t="s">
        <v>148</v>
      </c>
      <c r="D166" s="11"/>
      <c r="E166" s="11"/>
      <c r="F166" s="11" t="e">
        <f>VLOOKUP(G166, SeanRanks!$A$2:$E$302, 4, FALSE)</f>
        <v>#N/A</v>
      </c>
      <c r="G166" s="11" t="s">
        <v>926</v>
      </c>
      <c r="H166" s="11" t="e">
        <f>VLOOKUP($G166, 'ADP Data'!$C$4:$Q$300, 2, FALSE)</f>
        <v>#N/A</v>
      </c>
      <c r="I166" s="11" t="e">
        <f>VLOOKUP(G166, 'ADP Data'!$C$4:$R$498, 12, FALSE)</f>
        <v>#N/A</v>
      </c>
      <c r="J166" s="11" t="e">
        <f>VLOOKUP($G166, SeanRanks!$A$2:$H$303, 5, FALSE)</f>
        <v>#N/A</v>
      </c>
      <c r="K166" s="11" t="e">
        <f>IF(VLOOKUP($G166, SeanRanks!$A$2:$H$303, 6, FALSE)=0, "", VLOOKUP($G166, SeanRanks!$A$2:$H$303, 6, FALSE))</f>
        <v>#N/A</v>
      </c>
      <c r="L166" s="11">
        <f t="shared" si="4"/>
        <v>16</v>
      </c>
      <c r="M166" s="11" t="e">
        <f>VLOOKUP($G166, 'ADP Data'!$C$4:$Q$300, 9, FALSE)</f>
        <v>#N/A</v>
      </c>
      <c r="N166" s="11" t="e">
        <f t="shared" si="5"/>
        <v>#N/A</v>
      </c>
      <c r="O166" s="11" t="e">
        <f>VLOOKUP($G166, 'ADP Data'!$C$4:$Q$300, 3, FALSE)</f>
        <v>#N/A</v>
      </c>
      <c r="P166" s="11" t="e">
        <f t="shared" si="6"/>
        <v>#N/A</v>
      </c>
      <c r="Q166" s="11" t="e">
        <f>VLOOKUP($G166, 'ADP Data'!$C$4:$Q$300, 4, FALSE)</f>
        <v>#N/A</v>
      </c>
      <c r="R166" s="11" t="e">
        <f>VLOOKUP($G166, 'ADP Data'!$C$4:$Q$300, 5, FALSE)</f>
        <v>#N/A</v>
      </c>
      <c r="S166" s="11" t="e">
        <f>VLOOKUP($G166, 'ADP Data'!$C$4:$Q$300, 6, FALSE)</f>
        <v>#N/A</v>
      </c>
      <c r="T166" s="11" t="e">
        <f>VLOOKUP($G166, 'ADP Data'!$C$4:$Q$300, 7, FALSE)</f>
        <v>#N/A</v>
      </c>
      <c r="U166" s="11" t="e">
        <f>VLOOKUP($G166, 'ADP Data'!$C$4:$Q$300, 8, FALSE)</f>
        <v>#N/A</v>
      </c>
      <c r="V166" s="11" t="e">
        <f t="shared" si="7"/>
        <v>#N/A</v>
      </c>
      <c r="W166" s="11">
        <f t="shared" si="8"/>
        <v>16</v>
      </c>
      <c r="X166" s="11">
        <f t="shared" si="9"/>
        <v>-16</v>
      </c>
      <c r="Y166" s="11" t="e">
        <f>VLOOKUP($G166, SeanRanks!$A$2:$K$303, 10, FALSE)-V166</f>
        <v>#N/A</v>
      </c>
      <c r="Z166" s="25" t="e">
        <f>IF(VLOOKUP($G166, SeanRanks!$A$2:$H$303, 7, FALSE)=0, "", VLOOKUP($G166, SeanRanks!$A$2:$H$303, 7, FALSE))</f>
        <v>#N/A</v>
      </c>
    </row>
    <row r="167" spans="1:26" ht="14.25" customHeight="1" x14ac:dyDescent="0.25">
      <c r="A167" s="11"/>
      <c r="B167" s="11">
        <f t="shared" si="3"/>
        <v>12</v>
      </c>
      <c r="C167" s="11" t="s">
        <v>148</v>
      </c>
      <c r="D167" s="11"/>
      <c r="E167" s="11"/>
      <c r="F167" s="11">
        <f>VLOOKUP(G167, SeanRanks!$A$2:$E$302, 4, FALSE)</f>
        <v>0</v>
      </c>
      <c r="G167" s="11" t="s">
        <v>621</v>
      </c>
      <c r="H167" s="11" t="str">
        <f>VLOOKUP($G167, 'ADP Data'!$C$4:$Q$300, 2, FALSE)</f>
        <v>ATL</v>
      </c>
      <c r="I167" s="11">
        <f>VLOOKUP(G167, 'ADP Data'!$C$4:$R$498, 12, FALSE)</f>
        <v>118</v>
      </c>
      <c r="J167" s="11">
        <f>VLOOKUP($G167, SeanRanks!$A$2:$H$303, 5, FALSE)</f>
        <v>0</v>
      </c>
      <c r="K167" s="11" t="str">
        <f>IF(VLOOKUP($G167, SeanRanks!$A$2:$H$303, 6, FALSE)=0, "", VLOOKUP($G167, SeanRanks!$A$2:$H$303, 6, FALSE))</f>
        <v>WR5 - 2 - floor play not league winner</v>
      </c>
      <c r="L167" s="11">
        <f t="shared" si="4"/>
        <v>11</v>
      </c>
      <c r="M167" s="11">
        <f>VLOOKUP($G167, 'ADP Data'!$C$4:$Q$300, 9, FALSE)</f>
        <v>120</v>
      </c>
      <c r="N167" s="11">
        <f t="shared" si="5"/>
        <v>-15</v>
      </c>
      <c r="O167" s="11">
        <f>VLOOKUP($G167, 'ADP Data'!$C$4:$Q$300, 3, FALSE)</f>
        <v>121</v>
      </c>
      <c r="P167" s="11">
        <f t="shared" si="6"/>
        <v>-1</v>
      </c>
      <c r="Q167" s="11">
        <f>VLOOKUP($G167, 'ADP Data'!$C$4:$Q$300, 4, FALSE)</f>
        <v>139</v>
      </c>
      <c r="R167" s="11">
        <f>VLOOKUP($G167, 'ADP Data'!$C$4:$Q$300, 5, FALSE)</f>
        <v>132</v>
      </c>
      <c r="S167" s="11">
        <f>VLOOKUP($G167, 'ADP Data'!$C$4:$Q$300, 6, FALSE)</f>
        <v>137</v>
      </c>
      <c r="T167" s="11">
        <f>VLOOKUP($G167, 'ADP Data'!$C$4:$Q$300, 7, FALSE)</f>
        <v>119</v>
      </c>
      <c r="U167" s="11">
        <f>VLOOKUP($G167, 'ADP Data'!$C$4:$Q$300, 8, FALSE)</f>
        <v>183</v>
      </c>
      <c r="V167" s="11">
        <f t="shared" si="7"/>
        <v>135</v>
      </c>
      <c r="W167" s="11">
        <f t="shared" si="8"/>
        <v>12</v>
      </c>
      <c r="X167" s="11">
        <f t="shared" si="9"/>
        <v>-12</v>
      </c>
      <c r="Y167" s="11">
        <f>VLOOKUP($G167, SeanRanks!$A$2:$K$303, 10, FALSE)-V167</f>
        <v>-5</v>
      </c>
      <c r="Z167" s="25">
        <f>IF(VLOOKUP($G167, SeanRanks!$A$2:$H$303, 7, FALSE)=0, "", VLOOKUP($G167, SeanRanks!$A$2:$H$303, 7, FALSE))</f>
        <v>56</v>
      </c>
    </row>
    <row r="168" spans="1:26" ht="14.25" customHeight="1" x14ac:dyDescent="0.25">
      <c r="A168" s="11"/>
      <c r="B168" s="11">
        <f t="shared" si="3"/>
        <v>18</v>
      </c>
      <c r="C168" s="11" t="s">
        <v>148</v>
      </c>
      <c r="D168" s="11"/>
      <c r="E168" s="11"/>
      <c r="F168" s="11">
        <f>VLOOKUP(G168, SeanRanks!$A$2:$E$302, 4, FALSE)</f>
        <v>0</v>
      </c>
      <c r="G168" s="11" t="s">
        <v>588</v>
      </c>
      <c r="H168" s="11" t="str">
        <f>VLOOKUP($G168, 'ADP Data'!$C$4:$Q$300, 2, FALSE)</f>
        <v>LV</v>
      </c>
      <c r="I168" s="11">
        <f>VLOOKUP(G168, 'ADP Data'!$C$4:$R$498, 12, FALSE)</f>
        <v>163</v>
      </c>
      <c r="J168" s="11">
        <f>VLOOKUP($G168, SeanRanks!$A$2:$H$303, 5, FALSE)</f>
        <v>0</v>
      </c>
      <c r="K168" s="11" t="str">
        <f>IF(VLOOKUP($G168, SeanRanks!$A$2:$H$303, 6, FALSE)=0, "", VLOOKUP($G168, SeanRanks!$A$2:$H$303, 6, FALSE))</f>
        <v>Don’t Draft - Streamer</v>
      </c>
      <c r="L168" s="11">
        <f t="shared" si="4"/>
        <v>20</v>
      </c>
      <c r="M168" s="11">
        <f>VLOOKUP($G168, 'ADP Data'!$C$4:$Q$300, 9, FALSE)</f>
        <v>228</v>
      </c>
      <c r="N168" s="11">
        <f t="shared" si="5"/>
        <v>22</v>
      </c>
      <c r="O168" s="11">
        <f>VLOOKUP($G168, 'ADP Data'!$C$4:$Q$300, 3, FALSE)</f>
        <v>176</v>
      </c>
      <c r="P168" s="11">
        <f t="shared" si="6"/>
        <v>52</v>
      </c>
      <c r="Q168" s="11">
        <f>VLOOKUP($G168, 'ADP Data'!$C$4:$Q$300, 4, FALSE)</f>
        <v>207</v>
      </c>
      <c r="R168" s="11">
        <f>VLOOKUP($G168, 'ADP Data'!$C$4:$Q$300, 5, FALSE)</f>
        <v>238</v>
      </c>
      <c r="S168" s="11">
        <f>VLOOKUP($G168, 'ADP Data'!$C$4:$Q$300, 6, FALSE)</f>
        <v>198</v>
      </c>
      <c r="T168" s="11">
        <f>VLOOKUP($G168, 'ADP Data'!$C$4:$Q$300, 7, FALSE)</f>
        <v>191</v>
      </c>
      <c r="U168" s="11">
        <f>VLOOKUP($G168, 'ADP Data'!$C$4:$Q$300, 8, FALSE)</f>
        <v>205</v>
      </c>
      <c r="V168" s="11">
        <f t="shared" si="7"/>
        <v>206</v>
      </c>
      <c r="W168" s="11">
        <f t="shared" si="8"/>
        <v>18</v>
      </c>
      <c r="X168" s="11">
        <f t="shared" si="9"/>
        <v>-18</v>
      </c>
      <c r="Y168" s="11">
        <f>VLOOKUP($G168, SeanRanks!$A$2:$K$303, 10, FALSE)-V168</f>
        <v>-61</v>
      </c>
      <c r="Z168" s="25" t="str">
        <f>IF(VLOOKUP($G168, SeanRanks!$A$2:$H$303, 7, FALSE)=0, "", VLOOKUP($G168, SeanRanks!$A$2:$H$303, 7, FALSE))</f>
        <v/>
      </c>
    </row>
    <row r="169" spans="1:26" ht="14.25" customHeight="1" x14ac:dyDescent="0.25">
      <c r="A169" s="11"/>
      <c r="B169" s="11">
        <f t="shared" si="3"/>
        <v>14</v>
      </c>
      <c r="C169" s="11" t="s">
        <v>148</v>
      </c>
      <c r="D169" s="11"/>
      <c r="E169" s="11"/>
      <c r="F169" s="11">
        <f>VLOOKUP(G169, SeanRanks!$A$2:$E$302, 4, FALSE)</f>
        <v>0</v>
      </c>
      <c r="G169" s="11" t="s">
        <v>489</v>
      </c>
      <c r="H169" s="11" t="str">
        <f>VLOOKUP($G169, 'ADP Data'!$C$4:$Q$300, 2, FALSE)</f>
        <v>PIT</v>
      </c>
      <c r="I169" s="11" t="str">
        <f>VLOOKUP(G169, 'ADP Data'!$C$4:$R$498, 12, FALSE)</f>
        <v>-</v>
      </c>
      <c r="J169" s="11">
        <f>VLOOKUP($G169, SeanRanks!$A$2:$H$303, 5, FALSE)</f>
        <v>0</v>
      </c>
      <c r="K169" s="11" t="str">
        <f>IF(VLOOKUP($G169, SeanRanks!$A$2:$H$303, 6, FALSE)=0, "", VLOOKUP($G169, SeanRanks!$A$2:$H$303, 6, FALSE))</f>
        <v/>
      </c>
      <c r="L169" s="11">
        <f t="shared" si="4"/>
        <v>13</v>
      </c>
      <c r="M169" s="11">
        <f>VLOOKUP($G169, 'ADP Data'!$C$4:$Q$300, 9, FALSE)</f>
        <v>154</v>
      </c>
      <c r="N169" s="11">
        <f t="shared" si="5"/>
        <v>-3</v>
      </c>
      <c r="O169" s="11">
        <f>VLOOKUP($G169, 'ADP Data'!$C$4:$Q$300, 3, FALSE)</f>
        <v>132</v>
      </c>
      <c r="P169" s="11">
        <f t="shared" si="6"/>
        <v>22</v>
      </c>
      <c r="Q169" s="11">
        <f>VLOOKUP($G169, 'ADP Data'!$C$4:$Q$300, 4, FALSE)</f>
        <v>90</v>
      </c>
      <c r="R169" s="11">
        <f>VLOOKUP($G169, 'ADP Data'!$C$4:$Q$300, 5, FALSE)</f>
        <v>213</v>
      </c>
      <c r="S169" s="11">
        <f>VLOOKUP($G169, 'ADP Data'!$C$4:$Q$300, 6, FALSE)</f>
        <v>215</v>
      </c>
      <c r="T169" s="11">
        <f>VLOOKUP($G169, 'ADP Data'!$C$4:$Q$300, 7, FALSE)</f>
        <v>167</v>
      </c>
      <c r="U169" s="11">
        <f>VLOOKUP($G169, 'ADP Data'!$C$4:$Q$300, 8, FALSE)</f>
        <v>131</v>
      </c>
      <c r="V169" s="11">
        <f t="shared" si="7"/>
        <v>157</v>
      </c>
      <c r="W169" s="11">
        <f t="shared" si="8"/>
        <v>14</v>
      </c>
      <c r="X169" s="11">
        <f t="shared" si="9"/>
        <v>-14</v>
      </c>
      <c r="Y169" s="11">
        <f>VLOOKUP($G169, SeanRanks!$A$2:$K$303, 10, FALSE)-V169</f>
        <v>9</v>
      </c>
      <c r="Z169" s="25" t="str">
        <f>IF(VLOOKUP($G169, SeanRanks!$A$2:$H$303, 7, FALSE)=0, "", VLOOKUP($G169, SeanRanks!$A$2:$H$303, 7, FALSE))</f>
        <v/>
      </c>
    </row>
    <row r="170" spans="1:26" ht="14.25" customHeight="1" x14ac:dyDescent="0.25">
      <c r="A170" s="11"/>
      <c r="B170" s="11">
        <f t="shared" si="3"/>
        <v>15</v>
      </c>
      <c r="C170" s="11" t="s">
        <v>148</v>
      </c>
      <c r="D170" s="11"/>
      <c r="E170" s="11"/>
      <c r="F170" s="11">
        <f>VLOOKUP(G170, SeanRanks!$A$2:$E$302, 4, FALSE)</f>
        <v>0</v>
      </c>
      <c r="G170" s="11" t="s">
        <v>397</v>
      </c>
      <c r="H170" s="11" t="str">
        <f>VLOOKUP($G170, 'ADP Data'!$C$4:$Q$300, 2, FALSE)</f>
        <v>NE</v>
      </c>
      <c r="I170" s="11">
        <f>VLOOKUP(G170, 'ADP Data'!$C$4:$R$498, 12, FALSE)</f>
        <v>160</v>
      </c>
      <c r="J170" s="11">
        <f>VLOOKUP($G170, SeanRanks!$A$2:$H$303, 5, FALSE)</f>
        <v>0</v>
      </c>
      <c r="K170" s="11" t="str">
        <f>IF(VLOOKUP($G170, SeanRanks!$A$2:$H$303, 6, FALSE)=0, "", VLOOKUP($G170, SeanRanks!$A$2:$H$303, 6, FALSE))</f>
        <v/>
      </c>
      <c r="L170" s="11">
        <f t="shared" si="4"/>
        <v>15</v>
      </c>
      <c r="M170" s="11">
        <f>VLOOKUP($G170, 'ADP Data'!$C$4:$Q$300, 9, FALSE)</f>
        <v>169</v>
      </c>
      <c r="N170" s="11">
        <f t="shared" si="5"/>
        <v>0</v>
      </c>
      <c r="O170" s="11">
        <f>VLOOKUP($G170, 'ADP Data'!$C$4:$Q$300, 3, FALSE)</f>
        <v>155</v>
      </c>
      <c r="P170" s="11">
        <f t="shared" si="6"/>
        <v>14</v>
      </c>
      <c r="Q170" s="11">
        <f>VLOOKUP($G170, 'ADP Data'!$C$4:$Q$300, 4, FALSE)</f>
        <v>155</v>
      </c>
      <c r="R170" s="11">
        <f>VLOOKUP($G170, 'ADP Data'!$C$4:$Q$300, 5, FALSE)</f>
        <v>225</v>
      </c>
      <c r="S170" s="11">
        <f>VLOOKUP($G170, 'ADP Data'!$C$4:$Q$300, 6, FALSE)</f>
        <v>140</v>
      </c>
      <c r="T170" s="11">
        <f>VLOOKUP($G170, 'ADP Data'!$C$4:$Q$300, 7, FALSE)</f>
        <v>168</v>
      </c>
      <c r="U170" s="11">
        <f>VLOOKUP($G170, 'ADP Data'!$C$4:$Q$300, 8, FALSE)</f>
        <v>173</v>
      </c>
      <c r="V170" s="11">
        <f t="shared" si="7"/>
        <v>169</v>
      </c>
      <c r="W170" s="11">
        <f t="shared" si="8"/>
        <v>15</v>
      </c>
      <c r="X170" s="11">
        <f t="shared" si="9"/>
        <v>-15</v>
      </c>
      <c r="Y170" s="11">
        <f>VLOOKUP($G170, SeanRanks!$A$2:$K$303, 10, FALSE)-V170</f>
        <v>-35</v>
      </c>
      <c r="Z170" s="25" t="str">
        <f>IF(VLOOKUP($G170, SeanRanks!$A$2:$H$303, 7, FALSE)=0, "", VLOOKUP($G170, SeanRanks!$A$2:$H$303, 7, FALSE))</f>
        <v/>
      </c>
    </row>
    <row r="171" spans="1:26" ht="14.25" customHeight="1" x14ac:dyDescent="0.25">
      <c r="A171" s="11"/>
      <c r="B171" s="11">
        <f t="shared" si="3"/>
        <v>15</v>
      </c>
      <c r="C171" s="11" t="s">
        <v>148</v>
      </c>
      <c r="D171" s="11"/>
      <c r="E171" s="11"/>
      <c r="F171" s="11">
        <f>VLOOKUP(G171, SeanRanks!$A$2:$E$302, 4, FALSE)</f>
        <v>0</v>
      </c>
      <c r="G171" s="11" t="s">
        <v>602</v>
      </c>
      <c r="H171" s="11" t="str">
        <f>VLOOKUP($G171, 'ADP Data'!$C$4:$Q$300, 2, FALSE)</f>
        <v>BUF</v>
      </c>
      <c r="I171" s="11" t="str">
        <f>VLOOKUP(G171, 'ADP Data'!$C$4:$R$498, 12, FALSE)</f>
        <v>-</v>
      </c>
      <c r="J171" s="11">
        <f>VLOOKUP($G171, SeanRanks!$A$2:$H$303, 5, FALSE)</f>
        <v>0</v>
      </c>
      <c r="K171" s="11" t="str">
        <f>IF(VLOOKUP($G171, SeanRanks!$A$2:$H$303, 6, FALSE)=0, "", VLOOKUP($G171, SeanRanks!$A$2:$H$303, 6, FALSE))</f>
        <v/>
      </c>
      <c r="L171" s="11">
        <f t="shared" si="4"/>
        <v>20</v>
      </c>
      <c r="M171" s="11">
        <f>VLOOKUP($G171, 'ADP Data'!$C$4:$Q$300, 9, FALSE)</f>
        <v>231</v>
      </c>
      <c r="N171" s="11">
        <f t="shared" si="5"/>
        <v>56</v>
      </c>
      <c r="O171" s="11">
        <f>VLOOKUP($G171, 'ADP Data'!$C$4:$Q$300, 3, FALSE)</f>
        <v>128</v>
      </c>
      <c r="P171" s="11">
        <f t="shared" si="6"/>
        <v>103</v>
      </c>
      <c r="Q171" s="11">
        <f>VLOOKUP($G171, 'ADP Data'!$C$4:$Q$300, 4, FALSE)</f>
        <v>153</v>
      </c>
      <c r="R171" s="11">
        <f>VLOOKUP($G171, 'ADP Data'!$C$4:$Q$300, 5, FALSE)</f>
        <v>218</v>
      </c>
      <c r="S171" s="11">
        <f>VLOOKUP($G171, 'ADP Data'!$C$4:$Q$300, 6, FALSE)</f>
        <v>224</v>
      </c>
      <c r="T171" s="11">
        <f>VLOOKUP($G171, 'ADP Data'!$C$4:$Q$300, 7, FALSE)</f>
        <v>179</v>
      </c>
      <c r="U171" s="11">
        <f>VLOOKUP($G171, 'ADP Data'!$C$4:$Q$300, 8, FALSE)</f>
        <v>92</v>
      </c>
      <c r="V171" s="11">
        <f t="shared" si="7"/>
        <v>175</v>
      </c>
      <c r="W171" s="11">
        <f t="shared" si="8"/>
        <v>15</v>
      </c>
      <c r="X171" s="11">
        <f t="shared" si="9"/>
        <v>-15</v>
      </c>
      <c r="Y171" s="11">
        <f>VLOOKUP($G171, SeanRanks!$A$2:$K$303, 10, FALSE)-V171</f>
        <v>15</v>
      </c>
      <c r="Z171" s="25" t="str">
        <f>IF(VLOOKUP($G171, SeanRanks!$A$2:$H$303, 7, FALSE)=0, "", VLOOKUP($G171, SeanRanks!$A$2:$H$303, 7, FALSE))</f>
        <v/>
      </c>
    </row>
    <row r="172" spans="1:26" ht="14.25" customHeight="1" x14ac:dyDescent="0.25">
      <c r="A172" s="11"/>
      <c r="B172" s="11" t="e">
        <f t="shared" si="3"/>
        <v>#N/A</v>
      </c>
      <c r="C172" s="11" t="s">
        <v>119</v>
      </c>
      <c r="D172" s="11"/>
      <c r="E172" s="11"/>
      <c r="F172" s="11" t="e">
        <f>VLOOKUP(G172, SeanRanks!$A$2:$E$302, 4, FALSE)</f>
        <v>#N/A</v>
      </c>
      <c r="G172" s="11" t="s">
        <v>925</v>
      </c>
      <c r="H172" s="11" t="e">
        <f>VLOOKUP($G172, 'ADP Data'!$C$4:$Q$300, 2, FALSE)</f>
        <v>#N/A</v>
      </c>
      <c r="I172" s="11" t="e">
        <f>VLOOKUP(G172, 'ADP Data'!$C$4:$R$498, 12, FALSE)</f>
        <v>#N/A</v>
      </c>
      <c r="J172" s="11" t="e">
        <f>VLOOKUP($G172, SeanRanks!$A$2:$H$303, 5, FALSE)</f>
        <v>#N/A</v>
      </c>
      <c r="K172" s="11" t="e">
        <f>IF(VLOOKUP($G172, SeanRanks!$A$2:$H$303, 6, FALSE)=0, "", VLOOKUP($G172, SeanRanks!$A$2:$H$303, 6, FALSE))</f>
        <v>#N/A</v>
      </c>
      <c r="L172" s="11">
        <f t="shared" si="4"/>
        <v>16</v>
      </c>
      <c r="M172" s="11" t="e">
        <f>VLOOKUP($G172, 'ADP Data'!$C$4:$Q$300, 9, FALSE)</f>
        <v>#N/A</v>
      </c>
      <c r="N172" s="11" t="e">
        <f t="shared" si="5"/>
        <v>#N/A</v>
      </c>
      <c r="O172" s="11" t="e">
        <f>VLOOKUP($G172, 'ADP Data'!$C$4:$Q$300, 3, FALSE)</f>
        <v>#N/A</v>
      </c>
      <c r="P172" s="11" t="e">
        <f t="shared" si="6"/>
        <v>#N/A</v>
      </c>
      <c r="Q172" s="11"/>
      <c r="R172" s="11"/>
      <c r="S172" s="11"/>
      <c r="T172" s="11"/>
      <c r="U172" s="11"/>
      <c r="V172" s="11" t="e">
        <f t="shared" si="7"/>
        <v>#N/A</v>
      </c>
      <c r="W172" s="11">
        <f t="shared" si="8"/>
        <v>16</v>
      </c>
      <c r="X172" s="11">
        <f t="shared" si="9"/>
        <v>-16</v>
      </c>
      <c r="Y172" s="11" t="e">
        <f>VLOOKUP($G172, SeanRanks!$A$2:$K$303, 10, FALSE)-V172</f>
        <v>#N/A</v>
      </c>
      <c r="Z172" s="25" t="e">
        <f>IF(VLOOKUP($G172, SeanRanks!$A$2:$H$303, 7, FALSE)=0, "", VLOOKUP($G172, SeanRanks!$A$2:$H$303, 7, FALSE))</f>
        <v>#N/A</v>
      </c>
    </row>
    <row r="173" spans="1:26" ht="14.25" customHeight="1" x14ac:dyDescent="0.25">
      <c r="A173" s="11"/>
      <c r="B173" s="11">
        <f t="shared" si="3"/>
        <v>25</v>
      </c>
      <c r="C173" s="11" t="s">
        <v>148</v>
      </c>
      <c r="D173" s="11"/>
      <c r="E173" s="11"/>
      <c r="F173" s="11">
        <f>VLOOKUP(G173, SeanRanks!$A$2:$E$302, 4, FALSE)</f>
        <v>0</v>
      </c>
      <c r="G173" s="11" t="s">
        <v>923</v>
      </c>
      <c r="H173" s="11" t="str">
        <f>VLOOKUP($G173, 'ADP Data'!$C$4:$Q$300, 2, FALSE)</f>
        <v>LAC</v>
      </c>
      <c r="I173" s="11">
        <f>VLOOKUP(G173, 'ADP Data'!$C$4:$R$498, 12, FALSE)</f>
        <v>270</v>
      </c>
      <c r="J173" s="11">
        <f>VLOOKUP($G173, SeanRanks!$A$2:$H$303, 5, FALSE)</f>
        <v>0</v>
      </c>
      <c r="K173" s="11" t="str">
        <f>IF(VLOOKUP($G173, SeanRanks!$A$2:$H$303, 6, FALSE)=0, "", VLOOKUP($G173, SeanRanks!$A$2:$H$303, 6, FALSE))</f>
        <v/>
      </c>
      <c r="L173" s="11">
        <f t="shared" si="4"/>
        <v>26</v>
      </c>
      <c r="M173" s="11">
        <f>VLOOKUP($G173, 'ADP Data'!$C$4:$Q$300, 9, FALSE)</f>
        <v>311</v>
      </c>
      <c r="N173" s="11">
        <f t="shared" si="5"/>
        <v>14</v>
      </c>
      <c r="O173" s="11" t="str">
        <f>VLOOKUP($G173, 'ADP Data'!$C$4:$Q$300, 3, FALSE)</f>
        <v>-</v>
      </c>
      <c r="P173" s="11" t="e">
        <f t="shared" si="6"/>
        <v>#VALUE!</v>
      </c>
      <c r="Q173" s="11">
        <f>VLOOKUP($G173, 'ADP Data'!$C$4:$Q$300, 4, FALSE)</f>
        <v>326</v>
      </c>
      <c r="R173" s="11" t="str">
        <f>VLOOKUP($G173, 'ADP Data'!$C$4:$Q$300, 5, FALSE)</f>
        <v>-</v>
      </c>
      <c r="S173" s="11">
        <f>VLOOKUP($G173, 'ADP Data'!$C$4:$Q$300, 6, FALSE)</f>
        <v>291</v>
      </c>
      <c r="T173" s="11" t="str">
        <f>VLOOKUP($G173, 'ADP Data'!$C$4:$Q$300, 7, FALSE)</f>
        <v>-</v>
      </c>
      <c r="U173" s="11">
        <f>VLOOKUP($G173, 'ADP Data'!$C$4:$Q$300, 8, FALSE)</f>
        <v>262</v>
      </c>
      <c r="V173" s="11">
        <f t="shared" si="7"/>
        <v>297</v>
      </c>
      <c r="W173" s="11">
        <f t="shared" si="8"/>
        <v>25</v>
      </c>
      <c r="X173" s="11">
        <f t="shared" si="9"/>
        <v>-25</v>
      </c>
      <c r="Y173" s="11" t="e">
        <f>VLOOKUP($G173, SeanRanks!$A$2:$K$303, 10, FALSE)-V173</f>
        <v>#VALUE!</v>
      </c>
      <c r="Z173" s="25" t="str">
        <f>IF(VLOOKUP($G173, SeanRanks!$A$2:$H$303, 7, FALSE)=0, "", VLOOKUP($G173, SeanRanks!$A$2:$H$303, 7, FALSE))</f>
        <v/>
      </c>
    </row>
    <row r="174" spans="1:26" ht="14.25" customHeight="1" x14ac:dyDescent="0.25">
      <c r="A174" s="11" t="s">
        <v>148</v>
      </c>
      <c r="B174" s="11">
        <f t="shared" si="3"/>
        <v>23</v>
      </c>
      <c r="C174" s="11" t="s">
        <v>119</v>
      </c>
      <c r="D174" s="11"/>
      <c r="E174" s="11"/>
      <c r="F174" s="11">
        <f>VLOOKUP(G174, SeanRanks!$A$2:$E$302, 4, FALSE)</f>
        <v>0</v>
      </c>
      <c r="G174" s="11" t="s">
        <v>342</v>
      </c>
      <c r="H174" s="11" t="str">
        <f>VLOOKUP($G174, 'ADP Data'!$C$4:$Q$300, 2, FALSE)</f>
        <v>GB</v>
      </c>
      <c r="I174" s="11">
        <f>VLOOKUP(G174, 'ADP Data'!$C$4:$R$498, 12, FALSE)</f>
        <v>280</v>
      </c>
      <c r="J174" s="59">
        <f>VLOOKUP($G174, SeanRanks!$A$2:$H$303, 5, FALSE)</f>
        <v>0</v>
      </c>
      <c r="K174" s="11" t="str">
        <f>IF(VLOOKUP($G174, SeanRanks!$A$2:$H$303, 6, FALSE)=0, "", VLOOKUP($G174, SeanRanks!$A$2:$H$303, 6, FALSE))</f>
        <v>RB5 - 1 - upside</v>
      </c>
      <c r="L174" s="11">
        <f t="shared" si="4"/>
        <v>21</v>
      </c>
      <c r="M174" s="11">
        <f>VLOOKUP($G174, 'ADP Data'!$C$4:$Q$300, 9, FALSE)</f>
        <v>247</v>
      </c>
      <c r="N174" s="11">
        <f t="shared" si="5"/>
        <v>-22</v>
      </c>
      <c r="O174" s="11" t="str">
        <f>VLOOKUP($G174, 'ADP Data'!$C$4:$Q$300, 3, FALSE)</f>
        <v>-</v>
      </c>
      <c r="P174" s="11" t="e">
        <f t="shared" si="6"/>
        <v>#VALUE!</v>
      </c>
      <c r="Q174" s="11" t="str">
        <f>VLOOKUP($G174, 'ADP Data'!$C$4:$Q$300, 4, FALSE)</f>
        <v>-</v>
      </c>
      <c r="R174" s="11">
        <f>VLOOKUP($G174, 'ADP Data'!$C$4:$Q$300, 5, FALSE)</f>
        <v>296</v>
      </c>
      <c r="S174" s="11">
        <f>VLOOKUP($G174, 'ADP Data'!$C$4:$Q$300, 6, FALSE)</f>
        <v>255</v>
      </c>
      <c r="T174" s="11">
        <f>VLOOKUP($G174, 'ADP Data'!$C$4:$Q$300, 7, FALSE)</f>
        <v>235</v>
      </c>
      <c r="U174" s="11">
        <f>VLOOKUP($G174, 'ADP Data'!$C$4:$Q$300, 8, FALSE)</f>
        <v>315</v>
      </c>
      <c r="V174" s="11">
        <f t="shared" si="7"/>
        <v>269</v>
      </c>
      <c r="W174" s="11">
        <f t="shared" si="8"/>
        <v>23</v>
      </c>
      <c r="X174" s="11">
        <f t="shared" si="9"/>
        <v>-23</v>
      </c>
      <c r="Y174" s="11">
        <f>VLOOKUP($G174, SeanRanks!$A$2:$K$303, 10, FALSE)-V174</f>
        <v>-62</v>
      </c>
      <c r="Z174" s="25">
        <f>IF(VLOOKUP($G174, SeanRanks!$A$2:$H$303, 7, FALSE)=0, "", VLOOKUP($G174, SeanRanks!$A$2:$H$303, 7, FALSE))</f>
        <v>53</v>
      </c>
    </row>
    <row r="175" spans="1:26" ht="14.25" customHeight="1" x14ac:dyDescent="0.25">
      <c r="A175" s="11"/>
      <c r="B175" s="11">
        <f t="shared" si="3"/>
        <v>18</v>
      </c>
      <c r="C175" s="11" t="s">
        <v>148</v>
      </c>
      <c r="D175" s="11"/>
      <c r="E175" s="11"/>
      <c r="F175" s="11">
        <f>VLOOKUP(G175, SeanRanks!$A$2:$E$302, 4, FALSE)</f>
        <v>0</v>
      </c>
      <c r="G175" s="11" t="s">
        <v>532</v>
      </c>
      <c r="H175" s="11" t="str">
        <f>VLOOKUP($G175, 'ADP Data'!$C$4:$Q$300, 2, FALSE)</f>
        <v>TB</v>
      </c>
      <c r="I175" s="11">
        <f>VLOOKUP(G175, 'ADP Data'!$C$4:$R$498, 12, FALSE)</f>
        <v>190</v>
      </c>
      <c r="J175" s="11">
        <f>VLOOKUP($G175, SeanRanks!$A$2:$H$303, 5, FALSE)</f>
        <v>0</v>
      </c>
      <c r="K175" s="11" t="str">
        <f>IF(VLOOKUP($G175, SeanRanks!$A$2:$H$303, 6, FALSE)=0, "", VLOOKUP($G175, SeanRanks!$A$2:$H$303, 6, FALSE))</f>
        <v/>
      </c>
      <c r="L175" s="11">
        <f t="shared" si="4"/>
        <v>19</v>
      </c>
      <c r="M175" s="11">
        <f>VLOOKUP($G175, 'ADP Data'!$C$4:$Q$300, 9, FALSE)</f>
        <v>227</v>
      </c>
      <c r="N175" s="11">
        <f t="shared" si="5"/>
        <v>17</v>
      </c>
      <c r="O175" s="11" t="str">
        <f>VLOOKUP($G175, 'ADP Data'!$C$4:$Q$300, 3, FALSE)</f>
        <v>-</v>
      </c>
      <c r="P175" s="11" t="e">
        <f t="shared" si="6"/>
        <v>#VALUE!</v>
      </c>
      <c r="Q175" s="11">
        <f>VLOOKUP($G175, 'ADP Data'!$C$4:$Q$300, 4, FALSE)</f>
        <v>200</v>
      </c>
      <c r="R175" s="11">
        <f>VLOOKUP($G175, 'ADP Data'!$C$4:$Q$300, 5, FALSE)</f>
        <v>242</v>
      </c>
      <c r="S175" s="11">
        <f>VLOOKUP($G175, 'ADP Data'!$C$4:$Q$300, 6, FALSE)</f>
        <v>167</v>
      </c>
      <c r="T175" s="11">
        <f>VLOOKUP($G175, 'ADP Data'!$C$4:$Q$300, 7, FALSE)</f>
        <v>215</v>
      </c>
      <c r="U175" s="11">
        <f>VLOOKUP($G175, 'ADP Data'!$C$4:$Q$300, 8, FALSE)</f>
        <v>211</v>
      </c>
      <c r="V175" s="11">
        <f t="shared" si="7"/>
        <v>210</v>
      </c>
      <c r="W175" s="11">
        <f t="shared" si="8"/>
        <v>18</v>
      </c>
      <c r="X175" s="11">
        <f t="shared" si="9"/>
        <v>-18</v>
      </c>
      <c r="Y175" s="11" t="e">
        <f>VLOOKUP($G175, SeanRanks!$A$2:$K$303, 10, FALSE)-V175</f>
        <v>#VALUE!</v>
      </c>
      <c r="Z175" s="25" t="str">
        <f>IF(VLOOKUP($G175, SeanRanks!$A$2:$H$303, 7, FALSE)=0, "", VLOOKUP($G175, SeanRanks!$A$2:$H$303, 7, FALSE))</f>
        <v/>
      </c>
    </row>
    <row r="176" spans="1:26" ht="14.25" customHeight="1" x14ac:dyDescent="0.25">
      <c r="A176" s="11"/>
      <c r="B176" s="11" t="e">
        <f t="shared" si="3"/>
        <v>#N/A</v>
      </c>
      <c r="C176" s="11" t="s">
        <v>148</v>
      </c>
      <c r="D176" s="11"/>
      <c r="E176" s="11"/>
      <c r="F176" s="11" t="e">
        <f>VLOOKUP(G176, SeanRanks!$A$2:$E$302, 4, FALSE)</f>
        <v>#N/A</v>
      </c>
      <c r="G176" s="11" t="s">
        <v>677</v>
      </c>
      <c r="H176" s="11" t="e">
        <f>VLOOKUP($G176, 'ADP Data'!$C$4:$Q$300, 2, FALSE)</f>
        <v>#N/A</v>
      </c>
      <c r="I176" s="11" t="e">
        <f>VLOOKUP(G176, 'ADP Data'!$C$4:$R$498, 12, FALSE)</f>
        <v>#N/A</v>
      </c>
      <c r="J176" s="11" t="e">
        <f>VLOOKUP($G176, SeanRanks!$A$2:$H$303, 5, FALSE)</f>
        <v>#N/A</v>
      </c>
      <c r="K176" s="11" t="e">
        <f>IF(VLOOKUP($G176, SeanRanks!$A$2:$H$303, 6, FALSE)=0, "", VLOOKUP($G176, SeanRanks!$A$2:$H$303, 6, FALSE))</f>
        <v>#N/A</v>
      </c>
      <c r="L176" s="11">
        <f t="shared" si="4"/>
        <v>16</v>
      </c>
      <c r="M176" s="11" t="e">
        <f>VLOOKUP($G176, 'ADP Data'!$C$4:$Q$300, 9, FALSE)</f>
        <v>#N/A</v>
      </c>
      <c r="N176" s="11" t="e">
        <f t="shared" si="5"/>
        <v>#N/A</v>
      </c>
      <c r="O176" s="11" t="e">
        <f>VLOOKUP($G176, 'ADP Data'!$C$4:$Q$300, 3, FALSE)</f>
        <v>#N/A</v>
      </c>
      <c r="P176" s="11" t="e">
        <f t="shared" si="6"/>
        <v>#N/A</v>
      </c>
      <c r="Q176" s="11" t="e">
        <f>VLOOKUP($G176, 'ADP Data'!$C$4:$Q$300, 4, FALSE)</f>
        <v>#N/A</v>
      </c>
      <c r="R176" s="11" t="e">
        <f>VLOOKUP($G176, 'ADP Data'!$C$4:$Q$300, 5, FALSE)</f>
        <v>#N/A</v>
      </c>
      <c r="S176" s="11" t="e">
        <f>VLOOKUP($G176, 'ADP Data'!$C$4:$Q$300, 6, FALSE)</f>
        <v>#N/A</v>
      </c>
      <c r="T176" s="11" t="e">
        <f>VLOOKUP($G176, 'ADP Data'!$C$4:$Q$300, 7, FALSE)</f>
        <v>#N/A</v>
      </c>
      <c r="U176" s="11" t="e">
        <f>VLOOKUP($G176, 'ADP Data'!$C$4:$Q$300, 8, FALSE)</f>
        <v>#N/A</v>
      </c>
      <c r="V176" s="11" t="e">
        <f t="shared" si="7"/>
        <v>#N/A</v>
      </c>
      <c r="W176" s="11">
        <f t="shared" si="8"/>
        <v>16</v>
      </c>
      <c r="X176" s="11">
        <f t="shared" si="9"/>
        <v>-16</v>
      </c>
      <c r="Y176" s="11" t="e">
        <f>VLOOKUP($G176, SeanRanks!$A$2:$K$303, 10, FALSE)-V176</f>
        <v>#N/A</v>
      </c>
      <c r="Z176" s="25" t="e">
        <f>IF(VLOOKUP($G176, SeanRanks!$A$2:$H$303, 7, FALSE)=0, "", VLOOKUP($G176, SeanRanks!$A$2:$H$303, 7, FALSE))</f>
        <v>#N/A</v>
      </c>
    </row>
    <row r="177" spans="1:26" ht="14.25" customHeight="1" x14ac:dyDescent="0.25">
      <c r="A177" s="11"/>
      <c r="B177" s="11">
        <f t="shared" si="3"/>
        <v>17</v>
      </c>
      <c r="C177" s="11" t="s">
        <v>148</v>
      </c>
      <c r="D177" s="11"/>
      <c r="E177" s="11"/>
      <c r="F177" s="11">
        <f>VLOOKUP(G177, SeanRanks!$A$2:$E$302, 4, FALSE)</f>
        <v>0</v>
      </c>
      <c r="G177" s="11" t="s">
        <v>326</v>
      </c>
      <c r="H177" s="11" t="str">
        <f>VLOOKUP($G177, 'ADP Data'!$C$4:$Q$300, 2, FALSE)</f>
        <v>BAL</v>
      </c>
      <c r="I177" s="11">
        <f>VLOOKUP(G177, 'ADP Data'!$C$4:$R$498, 12, FALSE)</f>
        <v>186</v>
      </c>
      <c r="J177" s="11">
        <f>VLOOKUP($G177, SeanRanks!$A$2:$H$303, 5, FALSE)</f>
        <v>0</v>
      </c>
      <c r="K177" s="11" t="str">
        <f>IF(VLOOKUP($G177, SeanRanks!$A$2:$H$303, 6, FALSE)=0, "", VLOOKUP($G177, SeanRanks!$A$2:$H$303, 6, FALSE))</f>
        <v/>
      </c>
      <c r="L177" s="11">
        <f t="shared" si="4"/>
        <v>15</v>
      </c>
      <c r="M177" s="11">
        <f>VLOOKUP($G177, 'ADP Data'!$C$4:$Q$300, 9, FALSE)</f>
        <v>175</v>
      </c>
      <c r="N177" s="11">
        <f t="shared" si="5"/>
        <v>-14</v>
      </c>
      <c r="O177" s="11">
        <f>VLOOKUP($G177, 'ADP Data'!$C$4:$Q$300, 3, FALSE)</f>
        <v>187</v>
      </c>
      <c r="P177" s="11">
        <f t="shared" si="6"/>
        <v>-12</v>
      </c>
      <c r="Q177" s="11">
        <f>VLOOKUP($G177, 'ADP Data'!$C$4:$Q$300, 4, FALSE)</f>
        <v>203</v>
      </c>
      <c r="R177" s="11">
        <f>VLOOKUP($G177, 'ADP Data'!$C$4:$Q$300, 5, FALSE)</f>
        <v>261</v>
      </c>
      <c r="S177" s="11">
        <f>VLOOKUP($G177, 'ADP Data'!$C$4:$Q$300, 6, FALSE)</f>
        <v>157</v>
      </c>
      <c r="T177" s="11">
        <f>VLOOKUP($G177, 'ADP Data'!$C$4:$Q$300, 7, FALSE)</f>
        <v>182</v>
      </c>
      <c r="U177" s="11">
        <f>VLOOKUP($G177, 'ADP Data'!$C$4:$Q$300, 8, FALSE)</f>
        <v>160</v>
      </c>
      <c r="V177" s="11">
        <f t="shared" si="7"/>
        <v>189</v>
      </c>
      <c r="W177" s="11">
        <f t="shared" si="8"/>
        <v>16</v>
      </c>
      <c r="X177" s="11">
        <f t="shared" si="9"/>
        <v>-16</v>
      </c>
      <c r="Y177" s="11">
        <f>VLOOKUP($G177, SeanRanks!$A$2:$K$303, 10, FALSE)-V177</f>
        <v>53</v>
      </c>
      <c r="Z177" s="25" t="str">
        <f>IF(VLOOKUP($G177, SeanRanks!$A$2:$H$303, 7, FALSE)=0, "", VLOOKUP($G177, SeanRanks!$A$2:$H$303, 7, FALSE))</f>
        <v/>
      </c>
    </row>
    <row r="178" spans="1:26" ht="14.25" customHeight="1" x14ac:dyDescent="0.25">
      <c r="A178" s="11"/>
      <c r="B178" s="11">
        <f t="shared" si="3"/>
        <v>11</v>
      </c>
      <c r="C178" s="11" t="s">
        <v>148</v>
      </c>
      <c r="D178" s="11"/>
      <c r="E178" s="11"/>
      <c r="F178" s="11">
        <f>VLOOKUP(G178, SeanRanks!$A$2:$E$302, 4, FALSE)</f>
        <v>0</v>
      </c>
      <c r="G178" s="11" t="s">
        <v>527</v>
      </c>
      <c r="H178" s="11" t="str">
        <f>VLOOKUP($G178, 'ADP Data'!$C$4:$Q$300, 2, FALSE)</f>
        <v>DAL</v>
      </c>
      <c r="I178" s="11" t="str">
        <f>VLOOKUP(G178, 'ADP Data'!$C$4:$R$498, 12, FALSE)</f>
        <v>-</v>
      </c>
      <c r="J178" s="11">
        <f>VLOOKUP($G178, SeanRanks!$A$2:$H$303, 5, FALSE)</f>
        <v>0</v>
      </c>
      <c r="K178" s="11" t="str">
        <f>IF(VLOOKUP($G178, SeanRanks!$A$2:$H$303, 6, FALSE)=0, "", VLOOKUP($G178, SeanRanks!$A$2:$H$303, 6, FALSE))</f>
        <v/>
      </c>
      <c r="L178" s="11">
        <f t="shared" si="4"/>
        <v>11</v>
      </c>
      <c r="M178" s="11">
        <f>VLOOKUP($G178, 'ADP Data'!$C$4:$Q$300, 9, FALSE)</f>
        <v>131</v>
      </c>
      <c r="N178" s="11">
        <f t="shared" si="5"/>
        <v>14</v>
      </c>
      <c r="O178" s="11">
        <f>VLOOKUP($G178, 'ADP Data'!$C$4:$Q$300, 3, FALSE)</f>
        <v>104</v>
      </c>
      <c r="P178" s="11">
        <f t="shared" si="6"/>
        <v>27</v>
      </c>
      <c r="Q178" s="11"/>
      <c r="R178" s="11"/>
      <c r="S178" s="11"/>
      <c r="T178" s="11"/>
      <c r="U178" s="11"/>
      <c r="V178" s="11">
        <f t="shared" si="7"/>
        <v>117</v>
      </c>
      <c r="W178" s="11">
        <f t="shared" si="8"/>
        <v>10</v>
      </c>
      <c r="X178" s="11">
        <f t="shared" si="9"/>
        <v>-10</v>
      </c>
      <c r="Y178" s="11">
        <f>VLOOKUP($G178, SeanRanks!$A$2:$K$303, 10, FALSE)-V178</f>
        <v>64</v>
      </c>
      <c r="Z178" s="25" t="str">
        <f>IF(VLOOKUP($G178, SeanRanks!$A$2:$H$303, 7, FALSE)=0, "", VLOOKUP($G178, SeanRanks!$A$2:$H$303, 7, FALSE))</f>
        <v/>
      </c>
    </row>
    <row r="179" spans="1:26" ht="14.25" customHeight="1" x14ac:dyDescent="0.25">
      <c r="A179" s="11"/>
      <c r="B179" s="11" t="e">
        <f t="shared" si="3"/>
        <v>#N/A</v>
      </c>
      <c r="C179" s="11" t="s">
        <v>148</v>
      </c>
      <c r="D179" s="11"/>
      <c r="E179" s="11"/>
      <c r="F179" s="11" t="e">
        <f>VLOOKUP(G179, SeanRanks!$A$2:$E$302, 4, FALSE)</f>
        <v>#N/A</v>
      </c>
      <c r="G179" s="11" t="s">
        <v>924</v>
      </c>
      <c r="H179" s="11" t="e">
        <f>VLOOKUP($G179, 'ADP Data'!$C$4:$Q$300, 2, FALSE)</f>
        <v>#N/A</v>
      </c>
      <c r="I179" s="11" t="e">
        <f>VLOOKUP(G179, 'ADP Data'!$C$4:$R$498, 12, FALSE)</f>
        <v>#N/A</v>
      </c>
      <c r="J179" s="11" t="e">
        <f>VLOOKUP($G179, SeanRanks!$A$2:$H$303, 5, FALSE)</f>
        <v>#N/A</v>
      </c>
      <c r="K179" s="11" t="e">
        <f>IF(VLOOKUP($G179, SeanRanks!$A$2:$H$303, 6, FALSE)=0, "", VLOOKUP($G179, SeanRanks!$A$2:$H$303, 6, FALSE))</f>
        <v>#N/A</v>
      </c>
      <c r="L179" s="11">
        <f t="shared" si="4"/>
        <v>16</v>
      </c>
      <c r="M179" s="11" t="e">
        <f>VLOOKUP($G179, 'ADP Data'!$C$4:$Q$300, 9, FALSE)</f>
        <v>#N/A</v>
      </c>
      <c r="N179" s="11" t="e">
        <f t="shared" si="5"/>
        <v>#N/A</v>
      </c>
      <c r="O179" s="11" t="e">
        <f>VLOOKUP($G179, 'ADP Data'!$C$4:$Q$300, 3, FALSE)</f>
        <v>#N/A</v>
      </c>
      <c r="P179" s="11" t="e">
        <f t="shared" si="6"/>
        <v>#N/A</v>
      </c>
      <c r="Q179" s="11" t="e">
        <f>VLOOKUP($G179, 'ADP Data'!$C$4:$Q$300, 4, FALSE)</f>
        <v>#N/A</v>
      </c>
      <c r="R179" s="11" t="e">
        <f>VLOOKUP($G179, 'ADP Data'!$C$4:$Q$300, 5, FALSE)</f>
        <v>#N/A</v>
      </c>
      <c r="S179" s="11" t="e">
        <f>VLOOKUP($G179, 'ADP Data'!$C$4:$Q$300, 6, FALSE)</f>
        <v>#N/A</v>
      </c>
      <c r="T179" s="11" t="e">
        <f>VLOOKUP($G179, 'ADP Data'!$C$4:$Q$300, 7, FALSE)</f>
        <v>#N/A</v>
      </c>
      <c r="U179" s="11" t="e">
        <f>VLOOKUP($G179, 'ADP Data'!$C$4:$Q$300, 8, FALSE)</f>
        <v>#N/A</v>
      </c>
      <c r="V179" s="11" t="e">
        <f t="shared" si="7"/>
        <v>#N/A</v>
      </c>
      <c r="W179" s="11">
        <f t="shared" si="8"/>
        <v>16</v>
      </c>
      <c r="X179" s="11">
        <f t="shared" si="9"/>
        <v>-16</v>
      </c>
      <c r="Y179" s="11" t="e">
        <f>VLOOKUP($G179, SeanRanks!$A$2:$K$303, 10, FALSE)-V179</f>
        <v>#N/A</v>
      </c>
      <c r="Z179" s="25" t="e">
        <f>IF(VLOOKUP($G179, SeanRanks!$A$2:$H$303, 7, FALSE)=0, "", VLOOKUP($G179, SeanRanks!$A$2:$H$303, 7, FALSE))</f>
        <v>#N/A</v>
      </c>
    </row>
    <row r="180" spans="1:26" ht="14.25" customHeight="1" x14ac:dyDescent="0.25">
      <c r="A180" s="11"/>
      <c r="B180" s="11">
        <f t="shared" si="3"/>
        <v>23</v>
      </c>
      <c r="C180" s="11" t="s">
        <v>148</v>
      </c>
      <c r="D180" s="11"/>
      <c r="E180" s="11"/>
      <c r="F180" s="11">
        <f>VLOOKUP(G180, SeanRanks!$A$2:$E$302, 4, FALSE)</f>
        <v>0</v>
      </c>
      <c r="G180" s="11" t="s">
        <v>268</v>
      </c>
      <c r="H180" s="11" t="str">
        <f>VLOOKUP($G180, 'ADP Data'!$C$4:$Q$300, 2, FALSE)</f>
        <v>ARI</v>
      </c>
      <c r="I180" s="11">
        <f>VLOOKUP(G180, 'ADP Data'!$C$4:$R$498, 12, FALSE)</f>
        <v>219</v>
      </c>
      <c r="J180" s="11">
        <f>VLOOKUP($G180, SeanRanks!$A$2:$H$303, 5, FALSE)</f>
        <v>0</v>
      </c>
      <c r="K180" s="11" t="str">
        <f>IF(VLOOKUP($G180, SeanRanks!$A$2:$H$303, 6, FALSE)=0, "", VLOOKUP($G180, SeanRanks!$A$2:$H$303, 6, FALSE))</f>
        <v/>
      </c>
      <c r="L180" s="11">
        <f t="shared" si="4"/>
        <v>22</v>
      </c>
      <c r="M180" s="11">
        <f>VLOOKUP($G180, 'ADP Data'!$C$4:$Q$300, 9, FALSE)</f>
        <v>252</v>
      </c>
      <c r="N180" s="11">
        <f t="shared" si="5"/>
        <v>-12</v>
      </c>
      <c r="O180" s="11" t="str">
        <f>VLOOKUP($G180, 'ADP Data'!$C$4:$Q$300, 3, FALSE)</f>
        <v>-</v>
      </c>
      <c r="P180" s="11" t="e">
        <f t="shared" si="6"/>
        <v>#VALUE!</v>
      </c>
      <c r="Q180" s="11" t="str">
        <f>VLOOKUP($G180, 'ADP Data'!$C$4:$Q$300, 4, FALSE)</f>
        <v>-</v>
      </c>
      <c r="R180" s="11">
        <f>VLOOKUP($G180, 'ADP Data'!$C$4:$Q$300, 5, FALSE)</f>
        <v>304</v>
      </c>
      <c r="S180" s="11">
        <f>VLOOKUP($G180, 'ADP Data'!$C$4:$Q$300, 6, FALSE)</f>
        <v>218</v>
      </c>
      <c r="T180" s="11">
        <f>VLOOKUP($G180, 'ADP Data'!$C$4:$Q$300, 7, FALSE)</f>
        <v>213</v>
      </c>
      <c r="U180" s="11">
        <f>VLOOKUP($G180, 'ADP Data'!$C$4:$Q$300, 8, FALSE)</f>
        <v>335</v>
      </c>
      <c r="V180" s="11">
        <f t="shared" si="7"/>
        <v>264</v>
      </c>
      <c r="W180" s="11">
        <f t="shared" si="8"/>
        <v>23</v>
      </c>
      <c r="X180" s="11">
        <f t="shared" si="9"/>
        <v>-23</v>
      </c>
      <c r="Y180" s="11">
        <f>VLOOKUP($G180, SeanRanks!$A$2:$K$303, 10, FALSE)-V180</f>
        <v>-23</v>
      </c>
      <c r="Z180" s="25" t="str">
        <f>IF(VLOOKUP($G180, SeanRanks!$A$2:$H$303, 7, FALSE)=0, "", VLOOKUP($G180, SeanRanks!$A$2:$H$303, 7, FALSE))</f>
        <v/>
      </c>
    </row>
    <row r="181" spans="1:26" ht="14.25" customHeight="1" x14ac:dyDescent="0.25">
      <c r="A181" s="11"/>
      <c r="B181" s="11">
        <f t="shared" si="3"/>
        <v>15</v>
      </c>
      <c r="C181" s="11" t="s">
        <v>119</v>
      </c>
      <c r="D181" s="11"/>
      <c r="E181" s="11"/>
      <c r="F181" s="11">
        <f>VLOOKUP(G181, SeanRanks!$A$2:$E$302, 4, FALSE)</f>
        <v>0</v>
      </c>
      <c r="G181" s="11" t="s">
        <v>927</v>
      </c>
      <c r="H181" s="11" t="str">
        <f>VLOOKUP($G181, 'ADP Data'!$C$4:$Q$300, 2, FALSE)</f>
        <v>CAR</v>
      </c>
      <c r="I181" s="11">
        <f>VLOOKUP(G181, 'ADP Data'!$C$4:$R$498, 12, FALSE)</f>
        <v>161</v>
      </c>
      <c r="J181" s="11">
        <f>VLOOKUP($G181, SeanRanks!$A$2:$H$303, 5, FALSE)</f>
        <v>0</v>
      </c>
      <c r="K181" s="11" t="str">
        <f>IF(VLOOKUP($G181, SeanRanks!$A$2:$H$303, 6, FALSE)=0, "", VLOOKUP($G181, SeanRanks!$A$2:$H$303, 6, FALSE))</f>
        <v>WR5 - 1 - upside path</v>
      </c>
      <c r="L181" s="11">
        <f t="shared" si="4"/>
        <v>17</v>
      </c>
      <c r="M181" s="11">
        <f>VLOOKUP($G181, 'ADP Data'!$C$4:$Q$300, 9, FALSE)</f>
        <v>196</v>
      </c>
      <c r="N181" s="11">
        <f t="shared" si="5"/>
        <v>13</v>
      </c>
      <c r="O181" s="11">
        <f>VLOOKUP($G181, 'ADP Data'!$C$4:$Q$300, 3, FALSE)</f>
        <v>203</v>
      </c>
      <c r="P181" s="11">
        <f t="shared" si="6"/>
        <v>-7</v>
      </c>
      <c r="Q181" s="11">
        <f>VLOOKUP($G181, 'ADP Data'!$C$4:$Q$300, 4, FALSE)</f>
        <v>148</v>
      </c>
      <c r="R181" s="11">
        <f>VLOOKUP($G181, 'ADP Data'!$C$4:$Q$300, 5, FALSE)</f>
        <v>197</v>
      </c>
      <c r="S181" s="11">
        <f>VLOOKUP($G181, 'ADP Data'!$C$4:$Q$300, 6, FALSE)</f>
        <v>171</v>
      </c>
      <c r="T181" s="11">
        <f>VLOOKUP($G181, 'ADP Data'!$C$4:$Q$300, 7, FALSE)</f>
        <v>161</v>
      </c>
      <c r="U181" s="11">
        <f>VLOOKUP($G181, 'ADP Data'!$C$4:$Q$300, 8, FALSE)</f>
        <v>208</v>
      </c>
      <c r="V181" s="11">
        <f t="shared" si="7"/>
        <v>183</v>
      </c>
      <c r="W181" s="11">
        <f t="shared" si="8"/>
        <v>16</v>
      </c>
      <c r="X181" s="11">
        <f t="shared" si="9"/>
        <v>-16</v>
      </c>
      <c r="Y181" s="11">
        <f>VLOOKUP($G181, SeanRanks!$A$2:$K$303, 10, FALSE)-V181</f>
        <v>-13</v>
      </c>
      <c r="Z181" s="25">
        <f>IF(VLOOKUP($G181, SeanRanks!$A$2:$H$303, 7, FALSE)=0, "", VLOOKUP($G181, SeanRanks!$A$2:$H$303, 7, FALSE))</f>
        <v>54</v>
      </c>
    </row>
    <row r="182" spans="1:26" ht="14.25" customHeight="1" x14ac:dyDescent="0.25">
      <c r="A182" s="11" t="s">
        <v>148</v>
      </c>
      <c r="B182" s="11">
        <f t="shared" si="3"/>
        <v>2</v>
      </c>
      <c r="C182" s="11" t="s">
        <v>119</v>
      </c>
      <c r="D182" s="11"/>
      <c r="E182" s="11"/>
      <c r="F182" s="11">
        <f>VLOOKUP(G182, SeanRanks!$A$2:$E$302, 4, FALSE)</f>
        <v>0</v>
      </c>
      <c r="G182" s="11" t="s">
        <v>189</v>
      </c>
      <c r="H182" s="11" t="str">
        <f>VLOOKUP($G182, 'ADP Data'!$C$4:$Q$300, 2, FALSE)</f>
        <v>TB</v>
      </c>
      <c r="I182" s="11">
        <f>VLOOKUP(G182, 'ADP Data'!$C$4:$R$498, 12, FALSE)</f>
        <v>21</v>
      </c>
      <c r="J182" s="11">
        <f>VLOOKUP($G182, SeanRanks!$A$2:$H$303, 5, FALSE)</f>
        <v>0</v>
      </c>
      <c r="K182" s="11" t="str">
        <f>IF(VLOOKUP($G182, SeanRanks!$A$2:$H$303, 6, FALSE)=0, "", VLOOKUP($G182, SeanRanks!$A$2:$H$303, 6, FALSE))</f>
        <v>RB1 - 2 - Elite ceiling/questions</v>
      </c>
      <c r="L182" s="11">
        <f t="shared" si="4"/>
        <v>2</v>
      </c>
      <c r="M182" s="11">
        <f>VLOOKUP($G182, 'ADP Data'!$C$4:$Q$300, 9, FALSE)</f>
        <v>22</v>
      </c>
      <c r="N182" s="11">
        <f t="shared" si="5"/>
        <v>0</v>
      </c>
      <c r="O182" s="11">
        <f>VLOOKUP($G182, 'ADP Data'!$C$4:$Q$300, 3, FALSE)</f>
        <v>22</v>
      </c>
      <c r="P182" s="11">
        <f t="shared" si="6"/>
        <v>0</v>
      </c>
      <c r="Q182" s="11">
        <f>VLOOKUP($G182, 'ADP Data'!$C$4:$Q$300, 4, FALSE)</f>
        <v>22</v>
      </c>
      <c r="R182" s="11">
        <f>VLOOKUP($G182, 'ADP Data'!$C$4:$Q$300, 5, FALSE)</f>
        <v>25</v>
      </c>
      <c r="S182" s="11">
        <f>VLOOKUP($G182, 'ADP Data'!$C$4:$Q$300, 6, FALSE)</f>
        <v>20</v>
      </c>
      <c r="T182" s="11">
        <f>VLOOKUP($G182, 'ADP Data'!$C$4:$Q$300, 7, FALSE)</f>
        <v>19</v>
      </c>
      <c r="U182" s="11">
        <f>VLOOKUP($G182, 'ADP Data'!$C$4:$Q$300, 8, FALSE)</f>
        <v>24</v>
      </c>
      <c r="V182" s="11">
        <f t="shared" si="7"/>
        <v>22</v>
      </c>
      <c r="W182" s="11">
        <f t="shared" si="8"/>
        <v>2</v>
      </c>
      <c r="X182" s="11">
        <f t="shared" si="9"/>
        <v>-2</v>
      </c>
      <c r="Y182" s="11">
        <f>VLOOKUP($G182, SeanRanks!$A$2:$K$303, 10, FALSE)-V182</f>
        <v>-5</v>
      </c>
      <c r="Z182" s="25">
        <f>IF(VLOOKUP($G182, SeanRanks!$A$2:$H$303, 7, FALSE)=0, "", VLOOKUP($G182, SeanRanks!$A$2:$H$303, 7, FALSE))</f>
        <v>9</v>
      </c>
    </row>
    <row r="183" spans="1:26" ht="14.25" customHeight="1" x14ac:dyDescent="0.25">
      <c r="A183" s="11"/>
      <c r="B183" s="11" t="e">
        <f t="shared" si="3"/>
        <v>#N/A</v>
      </c>
      <c r="C183" s="11" t="s">
        <v>148</v>
      </c>
      <c r="D183" s="11"/>
      <c r="E183" s="11"/>
      <c r="F183" s="11" t="e">
        <f>VLOOKUP(G183, SeanRanks!$A$2:$E$302, 4, FALSE)</f>
        <v>#N/A</v>
      </c>
      <c r="G183" s="11" t="s">
        <v>928</v>
      </c>
      <c r="H183" s="11" t="e">
        <f>VLOOKUP($G183, 'ADP Data'!$C$4:$Q$300, 2, FALSE)</f>
        <v>#N/A</v>
      </c>
      <c r="I183" s="11" t="e">
        <f>VLOOKUP(G183, 'ADP Data'!$C$4:$R$498, 12, FALSE)</f>
        <v>#N/A</v>
      </c>
      <c r="J183" s="11" t="e">
        <f>VLOOKUP($G183, SeanRanks!$A$2:$H$303, 5, FALSE)</f>
        <v>#N/A</v>
      </c>
      <c r="K183" s="11" t="e">
        <f>IF(VLOOKUP($G183, SeanRanks!$A$2:$H$303, 6, FALSE)=0, "", VLOOKUP($G183, SeanRanks!$A$2:$H$303, 6, FALSE))</f>
        <v>#N/A</v>
      </c>
      <c r="L183" s="11">
        <f t="shared" si="4"/>
        <v>16</v>
      </c>
      <c r="M183" s="11" t="e">
        <f>VLOOKUP($G183, 'ADP Data'!$C$4:$Q$300, 9, FALSE)</f>
        <v>#N/A</v>
      </c>
      <c r="N183" s="11" t="e">
        <f t="shared" si="5"/>
        <v>#N/A</v>
      </c>
      <c r="O183" s="11" t="e">
        <f>VLOOKUP($G183, 'ADP Data'!$C$4:$Q$300, 3, FALSE)</f>
        <v>#N/A</v>
      </c>
      <c r="P183" s="11" t="e">
        <f t="shared" si="6"/>
        <v>#N/A</v>
      </c>
      <c r="Q183" s="11" t="e">
        <f>VLOOKUP($G183, 'ADP Data'!$C$4:$Q$300, 4, FALSE)</f>
        <v>#N/A</v>
      </c>
      <c r="R183" s="11" t="e">
        <f>VLOOKUP($G183, 'ADP Data'!$C$4:$Q$300, 5, FALSE)</f>
        <v>#N/A</v>
      </c>
      <c r="S183" s="11" t="e">
        <f>VLOOKUP($G183, 'ADP Data'!$C$4:$Q$300, 6, FALSE)</f>
        <v>#N/A</v>
      </c>
      <c r="T183" s="11" t="e">
        <f>VLOOKUP($G183, 'ADP Data'!$C$4:$Q$300, 7, FALSE)</f>
        <v>#N/A</v>
      </c>
      <c r="U183" s="11" t="e">
        <f>VLOOKUP($G183, 'ADP Data'!$C$4:$Q$300, 8, FALSE)</f>
        <v>#N/A</v>
      </c>
      <c r="V183" s="11" t="e">
        <f t="shared" si="7"/>
        <v>#N/A</v>
      </c>
      <c r="W183" s="11">
        <f t="shared" si="8"/>
        <v>16</v>
      </c>
      <c r="X183" s="11">
        <f t="shared" si="9"/>
        <v>-16</v>
      </c>
      <c r="Y183" s="11" t="e">
        <f>VLOOKUP($G183, SeanRanks!$A$2:$K$303, 10, FALSE)-V183</f>
        <v>#N/A</v>
      </c>
      <c r="Z183" s="25" t="e">
        <f>IF(VLOOKUP($G183, SeanRanks!$A$2:$H$303, 7, FALSE)=0, "", VLOOKUP($G183, SeanRanks!$A$2:$H$303, 7, FALSE))</f>
        <v>#N/A</v>
      </c>
    </row>
    <row r="184" spans="1:26" ht="14.25" customHeight="1" x14ac:dyDescent="0.25">
      <c r="A184" s="11"/>
      <c r="B184" s="11">
        <f t="shared" si="3"/>
        <v>15</v>
      </c>
      <c r="C184" s="11" t="s">
        <v>148</v>
      </c>
      <c r="D184" s="11"/>
      <c r="E184" s="11"/>
      <c r="F184" s="11">
        <f>VLOOKUP(G184, SeanRanks!$A$2:$E$302, 4, FALSE)</f>
        <v>0</v>
      </c>
      <c r="G184" s="11" t="s">
        <v>572</v>
      </c>
      <c r="H184" s="11" t="str">
        <f>VLOOKUP($G184, 'ADP Data'!$C$4:$Q$300, 2, FALSE)</f>
        <v>BAL</v>
      </c>
      <c r="I184" s="11">
        <f>VLOOKUP(G184, 'ADP Data'!$C$4:$R$498, 12, FALSE)</f>
        <v>123</v>
      </c>
      <c r="J184" s="11">
        <f>VLOOKUP($G184, SeanRanks!$A$2:$H$303, 5, FALSE)</f>
        <v>0</v>
      </c>
      <c r="K184" s="11" t="str">
        <f>IF(VLOOKUP($G184, SeanRanks!$A$2:$H$303, 6, FALSE)=0, "", VLOOKUP($G184, SeanRanks!$A$2:$H$303, 6, FALSE))</f>
        <v>WR5 - 1 - upside path</v>
      </c>
      <c r="L184" s="11">
        <f t="shared" si="4"/>
        <v>13</v>
      </c>
      <c r="M184" s="11">
        <f>VLOOKUP($G184, 'ADP Data'!$C$4:$Q$300, 9, FALSE)</f>
        <v>152</v>
      </c>
      <c r="N184" s="11">
        <f t="shared" si="5"/>
        <v>-10</v>
      </c>
      <c r="O184" s="11">
        <f>VLOOKUP($G184, 'ADP Data'!$C$4:$Q$300, 3, FALSE)</f>
        <v>144</v>
      </c>
      <c r="P184" s="11">
        <f t="shared" si="6"/>
        <v>8</v>
      </c>
      <c r="Q184" s="11">
        <f>VLOOKUP($G184, 'ADP Data'!$C$4:$Q$300, 4, FALSE)</f>
        <v>176</v>
      </c>
      <c r="R184" s="11">
        <f>VLOOKUP($G184, 'ADP Data'!$C$4:$Q$300, 5, FALSE)</f>
        <v>198</v>
      </c>
      <c r="S184" s="11">
        <f>VLOOKUP($G184, 'ADP Data'!$C$4:$Q$300, 6, FALSE)</f>
        <v>153</v>
      </c>
      <c r="T184" s="11">
        <f>VLOOKUP($G184, 'ADP Data'!$C$4:$Q$300, 7, FALSE)</f>
        <v>128</v>
      </c>
      <c r="U184" s="11">
        <f>VLOOKUP($G184, 'ADP Data'!$C$4:$Q$300, 8, FALSE)</f>
        <v>185</v>
      </c>
      <c r="V184" s="11">
        <f t="shared" si="7"/>
        <v>162</v>
      </c>
      <c r="W184" s="11">
        <f t="shared" si="8"/>
        <v>14</v>
      </c>
      <c r="X184" s="11">
        <f t="shared" si="9"/>
        <v>-14</v>
      </c>
      <c r="Y184" s="11">
        <f>VLOOKUP($G184, SeanRanks!$A$2:$K$303, 10, FALSE)-V184</f>
        <v>-36</v>
      </c>
      <c r="Z184" s="25">
        <f>IF(VLOOKUP($G184, SeanRanks!$A$2:$H$303, 7, FALSE)=0, "", VLOOKUP($G184, SeanRanks!$A$2:$H$303, 7, FALSE))</f>
        <v>52</v>
      </c>
    </row>
    <row r="185" spans="1:26" ht="14.25" customHeight="1" x14ac:dyDescent="0.25">
      <c r="A185" s="11"/>
      <c r="B185" s="11">
        <f t="shared" si="3"/>
        <v>12</v>
      </c>
      <c r="C185" s="11" t="s">
        <v>148</v>
      </c>
      <c r="D185" s="11"/>
      <c r="E185" s="11"/>
      <c r="F185" s="11">
        <f>VLOOKUP(G185, SeanRanks!$A$2:$E$302, 4, FALSE)</f>
        <v>0</v>
      </c>
      <c r="G185" s="11" t="s">
        <v>446</v>
      </c>
      <c r="H185" s="11" t="str">
        <f>VLOOKUP($G185, 'ADP Data'!$C$4:$Q$300, 2, FALSE)</f>
        <v>NYJ</v>
      </c>
      <c r="I185" s="11">
        <f>VLOOKUP(G185, 'ADP Data'!$C$4:$R$498, 12, FALSE)</f>
        <v>109</v>
      </c>
      <c r="J185" s="11">
        <f>VLOOKUP($G185, SeanRanks!$A$2:$H$303, 5, FALSE)</f>
        <v>0</v>
      </c>
      <c r="K185" s="11" t="str">
        <f>IF(VLOOKUP($G185, SeanRanks!$A$2:$H$303, 6, FALSE)=0, "", VLOOKUP($G185, SeanRanks!$A$2:$H$303, 6, FALSE))</f>
        <v>RB4 - 2 - low ceiling</v>
      </c>
      <c r="L185" s="11">
        <f t="shared" si="4"/>
        <v>13</v>
      </c>
      <c r="M185" s="11">
        <f>VLOOKUP($G185, 'ADP Data'!$C$4:$Q$300, 9, FALSE)</f>
        <v>153</v>
      </c>
      <c r="N185" s="11">
        <f t="shared" si="5"/>
        <v>13</v>
      </c>
      <c r="O185" s="11">
        <f>VLOOKUP($G185, 'ADP Data'!$C$4:$Q$300, 3, FALSE)</f>
        <v>127</v>
      </c>
      <c r="P185" s="11">
        <f t="shared" si="6"/>
        <v>26</v>
      </c>
      <c r="Q185" s="11">
        <f>VLOOKUP($G185, 'ADP Data'!$C$4:$Q$300, 4, FALSE)</f>
        <v>156</v>
      </c>
      <c r="R185" s="11">
        <f>VLOOKUP($G185, 'ADP Data'!$C$4:$Q$300, 5, FALSE)</f>
        <v>109</v>
      </c>
      <c r="S185" s="11">
        <f>VLOOKUP($G185, 'ADP Data'!$C$4:$Q$300, 6, FALSE)</f>
        <v>108</v>
      </c>
      <c r="T185" s="11">
        <f>VLOOKUP($G185, 'ADP Data'!$C$4:$Q$300, 7, FALSE)</f>
        <v>132</v>
      </c>
      <c r="U185" s="11">
        <f>VLOOKUP($G185, 'ADP Data'!$C$4:$Q$300, 8, FALSE)</f>
        <v>197</v>
      </c>
      <c r="V185" s="11">
        <f t="shared" si="7"/>
        <v>140</v>
      </c>
      <c r="W185" s="11">
        <f t="shared" si="8"/>
        <v>12</v>
      </c>
      <c r="X185" s="11">
        <f t="shared" si="9"/>
        <v>-12</v>
      </c>
      <c r="Y185" s="11">
        <f>VLOOKUP($G185, SeanRanks!$A$2:$K$303, 10, FALSE)-V185</f>
        <v>-51</v>
      </c>
      <c r="Z185" s="25">
        <f>IF(VLOOKUP($G185, SeanRanks!$A$2:$H$303, 7, FALSE)=0, "", VLOOKUP($G185, SeanRanks!$A$2:$H$303, 7, FALSE))</f>
        <v>50</v>
      </c>
    </row>
    <row r="186" spans="1:26" ht="14.25" customHeight="1" x14ac:dyDescent="0.25">
      <c r="A186" s="11"/>
      <c r="B186" s="11">
        <f t="shared" si="3"/>
        <v>14</v>
      </c>
      <c r="C186" s="11" t="s">
        <v>119</v>
      </c>
      <c r="D186" s="11"/>
      <c r="E186" s="11"/>
      <c r="F186" s="11">
        <f>VLOOKUP(G186, SeanRanks!$A$2:$E$302, 4, FALSE)</f>
        <v>0</v>
      </c>
      <c r="G186" s="11" t="s">
        <v>636</v>
      </c>
      <c r="H186" s="11" t="str">
        <f>VLOOKUP($G186, 'ADP Data'!$C$4:$Q$300, 2, FALSE)</f>
        <v>KC</v>
      </c>
      <c r="I186" s="11" t="str">
        <f>VLOOKUP(G186, 'ADP Data'!$C$4:$R$498, 12, FALSE)</f>
        <v>-</v>
      </c>
      <c r="J186" s="11">
        <f>VLOOKUP($G186, SeanRanks!$A$2:$H$303, 5, FALSE)</f>
        <v>0</v>
      </c>
      <c r="K186" s="11" t="str">
        <f>IF(VLOOKUP($G186, SeanRanks!$A$2:$H$303, 6, FALSE)=0, "", VLOOKUP($G186, SeanRanks!$A$2:$H$303, 6, FALSE))</f>
        <v/>
      </c>
      <c r="L186" s="11">
        <f t="shared" si="4"/>
        <v>14</v>
      </c>
      <c r="M186" s="11">
        <f>VLOOKUP($G186, 'ADP Data'!$C$4:$Q$300, 9, FALSE)</f>
        <v>161</v>
      </c>
      <c r="N186" s="11">
        <f t="shared" si="5"/>
        <v>-12</v>
      </c>
      <c r="O186" s="11">
        <f>VLOOKUP($G186, 'ADP Data'!$C$4:$Q$300, 3, FALSE)</f>
        <v>185</v>
      </c>
      <c r="P186" s="11">
        <f t="shared" si="6"/>
        <v>-24</v>
      </c>
      <c r="Q186" s="11"/>
      <c r="R186" s="11"/>
      <c r="S186" s="11"/>
      <c r="T186" s="11"/>
      <c r="U186" s="11"/>
      <c r="V186" s="11">
        <f t="shared" si="7"/>
        <v>173</v>
      </c>
      <c r="W186" s="11">
        <f t="shared" si="8"/>
        <v>15</v>
      </c>
      <c r="X186" s="11">
        <f t="shared" si="9"/>
        <v>-15</v>
      </c>
      <c r="Y186" s="11">
        <f>VLOOKUP($G186, SeanRanks!$A$2:$K$303, 10, FALSE)-V186</f>
        <v>53</v>
      </c>
      <c r="Z186" s="25" t="str">
        <f>IF(VLOOKUP($G186, SeanRanks!$A$2:$H$303, 7, FALSE)=0, "", VLOOKUP($G186, SeanRanks!$A$2:$H$303, 7, FALSE))</f>
        <v/>
      </c>
    </row>
    <row r="187" spans="1:26" ht="14.25" customHeight="1" x14ac:dyDescent="0.25">
      <c r="A187" s="11"/>
      <c r="B187" s="11">
        <f t="shared" si="3"/>
        <v>18</v>
      </c>
      <c r="C187" s="11" t="s">
        <v>148</v>
      </c>
      <c r="D187" s="11"/>
      <c r="E187" s="11"/>
      <c r="F187" s="11">
        <f>VLOOKUP(G187, SeanRanks!$A$2:$E$302, 4, FALSE)</f>
        <v>0</v>
      </c>
      <c r="G187" s="11" t="s">
        <v>609</v>
      </c>
      <c r="H187" s="11" t="str">
        <f>VLOOKUP($G187, 'ADP Data'!$C$4:$Q$300, 2, FALSE)</f>
        <v>CHI</v>
      </c>
      <c r="I187" s="11" t="str">
        <f>VLOOKUP(G187, 'ADP Data'!$C$4:$R$498, 12, FALSE)</f>
        <v>-</v>
      </c>
      <c r="J187" s="11">
        <f>VLOOKUP($G187, SeanRanks!$A$2:$H$303, 5, FALSE)</f>
        <v>0</v>
      </c>
      <c r="K187" s="11" t="str">
        <f>IF(VLOOKUP($G187, SeanRanks!$A$2:$H$303, 6, FALSE)=0, "", VLOOKUP($G187, SeanRanks!$A$2:$H$303, 6, FALSE))</f>
        <v/>
      </c>
      <c r="L187" s="11">
        <f t="shared" si="4"/>
        <v>16</v>
      </c>
      <c r="M187" s="11" t="str">
        <f>VLOOKUP($G187, 'ADP Data'!$C$4:$Q$300, 9, FALSE)</f>
        <v>-</v>
      </c>
      <c r="N187" s="11" t="e">
        <f t="shared" si="5"/>
        <v>#VALUE!</v>
      </c>
      <c r="O187" s="11">
        <f>VLOOKUP($G187, 'ADP Data'!$C$4:$Q$300, 3, FALSE)</f>
        <v>212</v>
      </c>
      <c r="P187" s="11" t="e">
        <f t="shared" si="6"/>
        <v>#VALUE!</v>
      </c>
      <c r="Q187" s="11">
        <f>VLOOKUP($G187, 'ADP Data'!$C$4:$Q$300, 4, FALSE)</f>
        <v>220</v>
      </c>
      <c r="R187" s="11" t="str">
        <f>VLOOKUP($G187, 'ADP Data'!$C$4:$Q$300, 5, FALSE)</f>
        <v>-</v>
      </c>
      <c r="S187" s="11">
        <f>VLOOKUP($G187, 'ADP Data'!$C$4:$Q$300, 6, FALSE)</f>
        <v>296</v>
      </c>
      <c r="T187" s="11">
        <f>VLOOKUP($G187, 'ADP Data'!$C$4:$Q$300, 7, FALSE)</f>
        <v>246</v>
      </c>
      <c r="U187" s="11">
        <f>VLOOKUP($G187, 'ADP Data'!$C$4:$Q$300, 8, FALSE)</f>
        <v>83</v>
      </c>
      <c r="V187" s="11">
        <f t="shared" si="7"/>
        <v>211</v>
      </c>
      <c r="W187" s="11">
        <f t="shared" si="8"/>
        <v>18</v>
      </c>
      <c r="X187" s="11">
        <f t="shared" si="9"/>
        <v>-18</v>
      </c>
      <c r="Y187" s="11" t="e">
        <f>VLOOKUP($G187, SeanRanks!$A$2:$K$303, 10, FALSE)-V187</f>
        <v>#VALUE!</v>
      </c>
      <c r="Z187" s="25" t="str">
        <f>IF(VLOOKUP($G187, SeanRanks!$A$2:$H$303, 7, FALSE)=0, "", VLOOKUP($G187, SeanRanks!$A$2:$H$303, 7, FALSE))</f>
        <v/>
      </c>
    </row>
    <row r="188" spans="1:26" ht="14.25" customHeight="1" x14ac:dyDescent="0.25">
      <c r="A188" s="11"/>
      <c r="B188" s="11">
        <f t="shared" si="3"/>
        <v>18</v>
      </c>
      <c r="C188" s="11" t="s">
        <v>148</v>
      </c>
      <c r="D188" s="11"/>
      <c r="E188" s="11"/>
      <c r="F188" s="11">
        <f>VLOOKUP(G188, SeanRanks!$A$2:$E$302, 4, FALSE)</f>
        <v>0</v>
      </c>
      <c r="G188" s="11" t="s">
        <v>721</v>
      </c>
      <c r="H188" s="11" t="str">
        <f>VLOOKUP($G188, 'ADP Data'!$C$4:$Q$300, 2, FALSE)</f>
        <v>NE</v>
      </c>
      <c r="I188" s="11">
        <f>VLOOKUP(G188, 'ADP Data'!$C$4:$R$498, 12, FALSE)</f>
        <v>141</v>
      </c>
      <c r="J188" s="11">
        <f>VLOOKUP($G188, SeanRanks!$A$2:$H$303, 5, FALSE)</f>
        <v>0</v>
      </c>
      <c r="K188" s="11" t="str">
        <f>IF(VLOOKUP($G188, SeanRanks!$A$2:$H$303, 6, FALSE)=0, "", VLOOKUP($G188, SeanRanks!$A$2:$H$303, 6, FALSE))</f>
        <v>WR5 - 2 - floor play not league winner</v>
      </c>
      <c r="L188" s="11">
        <f t="shared" si="4"/>
        <v>17</v>
      </c>
      <c r="M188" s="11">
        <f>VLOOKUP($G188, 'ADP Data'!$C$4:$Q$300, 9, FALSE)</f>
        <v>199</v>
      </c>
      <c r="N188" s="11">
        <f t="shared" si="5"/>
        <v>-3</v>
      </c>
      <c r="O188" s="11">
        <f>VLOOKUP($G188, 'ADP Data'!$C$4:$Q$300, 3, FALSE)</f>
        <v>199</v>
      </c>
      <c r="P188" s="11">
        <f t="shared" si="6"/>
        <v>0</v>
      </c>
      <c r="Q188" s="11">
        <f>VLOOKUP($G188, 'ADP Data'!$C$4:$Q$300, 4, FALSE)</f>
        <v>224</v>
      </c>
      <c r="R188" s="11">
        <f>VLOOKUP($G188, 'ADP Data'!$C$4:$Q$300, 5, FALSE)</f>
        <v>231</v>
      </c>
      <c r="S188" s="11">
        <f>VLOOKUP($G188, 'ADP Data'!$C$4:$Q$300, 6, FALSE)</f>
        <v>159</v>
      </c>
      <c r="T188" s="11">
        <f>VLOOKUP($G188, 'ADP Data'!$C$4:$Q$300, 7, FALSE)</f>
        <v>145</v>
      </c>
      <c r="U188" s="11">
        <f>VLOOKUP($G188, 'ADP Data'!$C$4:$Q$300, 8, FALSE)</f>
        <v>263</v>
      </c>
      <c r="V188" s="11">
        <f t="shared" si="7"/>
        <v>202</v>
      </c>
      <c r="W188" s="11">
        <f t="shared" si="8"/>
        <v>17</v>
      </c>
      <c r="X188" s="11">
        <f t="shared" si="9"/>
        <v>-17</v>
      </c>
      <c r="Y188" s="11">
        <f>VLOOKUP($G188, SeanRanks!$A$2:$K$303, 10, FALSE)-V188</f>
        <v>-46</v>
      </c>
      <c r="Z188" s="25">
        <f>IF(VLOOKUP($G188, SeanRanks!$A$2:$H$303, 7, FALSE)=0, "", VLOOKUP($G188, SeanRanks!$A$2:$H$303, 7, FALSE))</f>
        <v>59</v>
      </c>
    </row>
    <row r="189" spans="1:26" ht="14.25" customHeight="1" x14ac:dyDescent="0.25">
      <c r="A189" s="11"/>
      <c r="B189" s="11">
        <f t="shared" si="3"/>
        <v>8</v>
      </c>
      <c r="C189" s="11" t="s">
        <v>148</v>
      </c>
      <c r="D189" s="11"/>
      <c r="E189" s="11"/>
      <c r="F189" s="11">
        <f>VLOOKUP(G189, SeanRanks!$A$2:$E$302, 4, FALSE)</f>
        <v>0</v>
      </c>
      <c r="G189" s="11" t="s">
        <v>778</v>
      </c>
      <c r="H189" s="11" t="str">
        <f>VLOOKUP($G189, 'ADP Data'!$C$4:$Q$300, 2, FALSE)</f>
        <v>SF</v>
      </c>
      <c r="I189" s="11">
        <f>VLOOKUP(G189, 'ADP Data'!$C$4:$R$498, 12, FALSE)</f>
        <v>55</v>
      </c>
      <c r="J189" s="11">
        <f>VLOOKUP($G189, SeanRanks!$A$2:$H$303, 5, FALSE)</f>
        <v>0</v>
      </c>
      <c r="K189" s="11" t="str">
        <f>IF(VLOOKUP($G189, SeanRanks!$A$2:$H$303, 6, FALSE)=0, "", VLOOKUP($G189, SeanRanks!$A$2:$H$303, 6, FALSE))</f>
        <v>WR3 - 2 - mid, but path to big upside</v>
      </c>
      <c r="L189" s="11">
        <f t="shared" si="4"/>
        <v>8</v>
      </c>
      <c r="M189" s="11">
        <f>VLOOKUP($G189, 'ADP Data'!$C$4:$Q$300, 9, FALSE)</f>
        <v>94</v>
      </c>
      <c r="N189" s="11">
        <f t="shared" si="5"/>
        <v>8</v>
      </c>
      <c r="O189" s="11">
        <f>VLOOKUP($G189, 'ADP Data'!$C$4:$Q$300, 3, FALSE)</f>
        <v>72</v>
      </c>
      <c r="P189" s="11">
        <f t="shared" si="6"/>
        <v>22</v>
      </c>
      <c r="Q189" s="11">
        <f>VLOOKUP($G189, 'ADP Data'!$C$4:$Q$300, 4, FALSE)</f>
        <v>93</v>
      </c>
      <c r="R189" s="11">
        <f>VLOOKUP($G189, 'ADP Data'!$C$4:$Q$300, 5, FALSE)</f>
        <v>106</v>
      </c>
      <c r="S189" s="11">
        <f>VLOOKUP($G189, 'ADP Data'!$C$4:$Q$300, 6, FALSE)</f>
        <v>67</v>
      </c>
      <c r="T189" s="11">
        <f>VLOOKUP($G189, 'ADP Data'!$C$4:$Q$300, 7, FALSE)</f>
        <v>65</v>
      </c>
      <c r="U189" s="11">
        <f>VLOOKUP($G189, 'ADP Data'!$C$4:$Q$300, 8, FALSE)</f>
        <v>110</v>
      </c>
      <c r="V189" s="11">
        <f t="shared" si="7"/>
        <v>86</v>
      </c>
      <c r="W189" s="11">
        <f t="shared" si="8"/>
        <v>8</v>
      </c>
      <c r="X189" s="11">
        <f t="shared" si="9"/>
        <v>-8</v>
      </c>
      <c r="Y189" s="11">
        <f>VLOOKUP($G189, SeanRanks!$A$2:$K$303, 10, FALSE)-V189</f>
        <v>-17</v>
      </c>
      <c r="Z189" s="25">
        <f>IF(VLOOKUP($G189, SeanRanks!$A$2:$H$303, 7, FALSE)=0, "", VLOOKUP($G189, SeanRanks!$A$2:$H$303, 7, FALSE))</f>
        <v>32</v>
      </c>
    </row>
    <row r="190" spans="1:26" ht="14.25" customHeight="1" x14ac:dyDescent="0.25">
      <c r="A190" s="11"/>
      <c r="B190" s="11">
        <f t="shared" si="3"/>
        <v>13</v>
      </c>
      <c r="C190" s="11" t="s">
        <v>148</v>
      </c>
      <c r="D190" s="11"/>
      <c r="E190" s="11"/>
      <c r="F190" s="11">
        <f>VLOOKUP(G190, SeanRanks!$A$2:$E$302, 4, FALSE)</f>
        <v>0</v>
      </c>
      <c r="G190" s="11" t="s">
        <v>487</v>
      </c>
      <c r="H190" s="11" t="str">
        <f>VLOOKUP($G190, 'ADP Data'!$C$4:$Q$300, 2, FALSE)</f>
        <v>PHI</v>
      </c>
      <c r="I190" s="11" t="str">
        <f>VLOOKUP(G190, 'ADP Data'!$C$4:$R$498, 12, FALSE)</f>
        <v>-</v>
      </c>
      <c r="J190" s="11">
        <f>VLOOKUP($G190, SeanRanks!$A$2:$H$303, 5, FALSE)</f>
        <v>0</v>
      </c>
      <c r="K190" s="11" t="str">
        <f>IF(VLOOKUP($G190, SeanRanks!$A$2:$H$303, 6, FALSE)=0, "", VLOOKUP($G190, SeanRanks!$A$2:$H$303, 6, FALSE))</f>
        <v/>
      </c>
      <c r="L190" s="11">
        <f t="shared" si="4"/>
        <v>13</v>
      </c>
      <c r="M190" s="11">
        <f>VLOOKUP($G190, 'ADP Data'!$C$4:$Q$300, 9, FALSE)</f>
        <v>144</v>
      </c>
      <c r="N190" s="11">
        <f t="shared" si="5"/>
        <v>3</v>
      </c>
      <c r="O190" s="11">
        <f>VLOOKUP($G190, 'ADP Data'!$C$4:$Q$300, 3, FALSE)</f>
        <v>87</v>
      </c>
      <c r="P190" s="11">
        <f t="shared" si="6"/>
        <v>57</v>
      </c>
      <c r="Q190" s="11">
        <f>VLOOKUP($G190, 'ADP Data'!$C$4:$Q$300, 4, FALSE)</f>
        <v>130</v>
      </c>
      <c r="R190" s="11">
        <f>VLOOKUP($G190, 'ADP Data'!$C$4:$Q$300, 5, FALSE)</f>
        <v>164</v>
      </c>
      <c r="S190" s="11">
        <f>VLOOKUP($G190, 'ADP Data'!$C$4:$Q$300, 6, FALSE)</f>
        <v>214</v>
      </c>
      <c r="T190" s="11">
        <f>VLOOKUP($G190, 'ADP Data'!$C$4:$Q$300, 7, FALSE)</f>
        <v>160</v>
      </c>
      <c r="U190" s="11">
        <f>VLOOKUP($G190, 'ADP Data'!$C$4:$Q$300, 8, FALSE)</f>
        <v>93</v>
      </c>
      <c r="V190" s="11">
        <f t="shared" si="7"/>
        <v>141</v>
      </c>
      <c r="W190" s="11">
        <f t="shared" si="8"/>
        <v>12</v>
      </c>
      <c r="X190" s="11">
        <f t="shared" si="9"/>
        <v>-12</v>
      </c>
      <c r="Y190" s="11">
        <f>VLOOKUP($G190, SeanRanks!$A$2:$K$303, 10, FALSE)-V190</f>
        <v>24</v>
      </c>
      <c r="Z190" s="25" t="str">
        <f>IF(VLOOKUP($G190, SeanRanks!$A$2:$H$303, 7, FALSE)=0, "", VLOOKUP($G190, SeanRanks!$A$2:$H$303, 7, FALSE))</f>
        <v/>
      </c>
    </row>
    <row r="191" spans="1:26" ht="14.25" customHeight="1" x14ac:dyDescent="0.25">
      <c r="A191" s="11"/>
      <c r="B191" s="11">
        <f t="shared" si="3"/>
        <v>24</v>
      </c>
      <c r="C191" s="11" t="s">
        <v>148</v>
      </c>
      <c r="D191" s="11"/>
      <c r="E191" s="11"/>
      <c r="F191" s="11" t="e">
        <f>VLOOKUP(G191, SeanRanks!$A$2:$E$302, 4, FALSE)</f>
        <v>#N/A</v>
      </c>
      <c r="G191" s="11" t="s">
        <v>929</v>
      </c>
      <c r="H191" s="11" t="str">
        <f>VLOOKUP($G191, 'ADP Data'!$C$4:$Q$300, 2, FALSE)</f>
        <v>MIA</v>
      </c>
      <c r="I191" s="11" t="str">
        <f>VLOOKUP(G191, 'ADP Data'!$C$4:$R$498, 12, FALSE)</f>
        <v>-</v>
      </c>
      <c r="J191" s="11" t="e">
        <f>VLOOKUP($G191, SeanRanks!$A$2:$H$303, 5, FALSE)</f>
        <v>#N/A</v>
      </c>
      <c r="K191" s="11" t="e">
        <f>IF(VLOOKUP($G191, SeanRanks!$A$2:$H$303, 6, FALSE)=0, "", VLOOKUP($G191, SeanRanks!$A$2:$H$303, 6, FALSE))</f>
        <v>#N/A</v>
      </c>
      <c r="L191" s="11">
        <f t="shared" si="4"/>
        <v>21</v>
      </c>
      <c r="M191" s="11">
        <f>VLOOKUP($G191, 'ADP Data'!$C$4:$Q$300, 9, FALSE)</f>
        <v>245</v>
      </c>
      <c r="N191" s="11">
        <f t="shared" si="5"/>
        <v>-31</v>
      </c>
      <c r="O191" s="11" t="str">
        <f>VLOOKUP($G191, 'ADP Data'!$C$4:$Q$300, 3, FALSE)</f>
        <v>-</v>
      </c>
      <c r="P191" s="11" t="e">
        <f t="shared" si="6"/>
        <v>#VALUE!</v>
      </c>
      <c r="Q191" s="11">
        <f>VLOOKUP($G191, 'ADP Data'!$C$4:$Q$300, 4, FALSE)</f>
        <v>248</v>
      </c>
      <c r="R191" s="11">
        <f>VLOOKUP($G191, 'ADP Data'!$C$4:$Q$300, 5, FALSE)</f>
        <v>343</v>
      </c>
      <c r="S191" s="11">
        <f>VLOOKUP($G191, 'ADP Data'!$C$4:$Q$300, 6, FALSE)</f>
        <v>333</v>
      </c>
      <c r="T191" s="11">
        <f>VLOOKUP($G191, 'ADP Data'!$C$4:$Q$300, 7, FALSE)</f>
        <v>273</v>
      </c>
      <c r="U191" s="11">
        <f>VLOOKUP($G191, 'ADP Data'!$C$4:$Q$300, 8, FALSE)</f>
        <v>217</v>
      </c>
      <c r="V191" s="11">
        <f t="shared" si="7"/>
        <v>276</v>
      </c>
      <c r="W191" s="11">
        <f t="shared" si="8"/>
        <v>24</v>
      </c>
      <c r="X191" s="11">
        <f t="shared" si="9"/>
        <v>-24</v>
      </c>
      <c r="Y191" s="11" t="e">
        <f>VLOOKUP($G191, SeanRanks!$A$2:$K$303, 10, FALSE)-V191</f>
        <v>#N/A</v>
      </c>
      <c r="Z191" s="25" t="e">
        <f>IF(VLOOKUP($G191, SeanRanks!$A$2:$H$303, 7, FALSE)=0, "", VLOOKUP($G191, SeanRanks!$A$2:$H$303, 7, FALSE))</f>
        <v>#N/A</v>
      </c>
    </row>
    <row r="192" spans="1:26" ht="14.25" customHeight="1" x14ac:dyDescent="0.25">
      <c r="A192" s="11"/>
      <c r="B192" s="11">
        <f t="shared" si="3"/>
        <v>15</v>
      </c>
      <c r="C192" s="11" t="s">
        <v>148</v>
      </c>
      <c r="D192" s="11"/>
      <c r="E192" s="11"/>
      <c r="F192" s="11">
        <f>VLOOKUP(G192, SeanRanks!$A$2:$E$302, 4, FALSE)</f>
        <v>0</v>
      </c>
      <c r="G192" s="11" t="s">
        <v>506</v>
      </c>
      <c r="H192" s="11" t="str">
        <f>VLOOKUP($G192, 'ADP Data'!$C$4:$Q$300, 2, FALSE)</f>
        <v>BUF</v>
      </c>
      <c r="I192" s="11">
        <f>VLOOKUP(G192, 'ADP Data'!$C$4:$R$498, 12, FALSE)</f>
        <v>150</v>
      </c>
      <c r="J192" s="11">
        <f>VLOOKUP($G192, SeanRanks!$A$2:$H$303, 5, FALSE)</f>
        <v>0</v>
      </c>
      <c r="K192" s="11" t="str">
        <f>IF(VLOOKUP($G192, SeanRanks!$A$2:$H$303, 6, FALSE)=0, "", VLOOKUP($G192, SeanRanks!$A$2:$H$303, 6, FALSE))</f>
        <v>Handcuff only</v>
      </c>
      <c r="L192" s="11">
        <f t="shared" si="4"/>
        <v>13</v>
      </c>
      <c r="M192" s="11">
        <f>VLOOKUP($G192, 'ADP Data'!$C$4:$Q$300, 9, FALSE)</f>
        <v>149</v>
      </c>
      <c r="N192" s="11">
        <f t="shared" si="5"/>
        <v>-18</v>
      </c>
      <c r="O192" s="11">
        <f>VLOOKUP($G192, 'ADP Data'!$C$4:$Q$300, 3, FALSE)</f>
        <v>164</v>
      </c>
      <c r="P192" s="11">
        <f t="shared" si="6"/>
        <v>-15</v>
      </c>
      <c r="Q192" s="11">
        <f>VLOOKUP($G192, 'ADP Data'!$C$4:$Q$300, 4, FALSE)</f>
        <v>190</v>
      </c>
      <c r="R192" s="11">
        <f>VLOOKUP($G192, 'ADP Data'!$C$4:$Q$300, 5, FALSE)</f>
        <v>171</v>
      </c>
      <c r="S192" s="11">
        <f>VLOOKUP($G192, 'ADP Data'!$C$4:$Q$300, 6, FALSE)</f>
        <v>143</v>
      </c>
      <c r="T192" s="11">
        <f>VLOOKUP($G192, 'ADP Data'!$C$4:$Q$300, 7, FALSE)</f>
        <v>141</v>
      </c>
      <c r="U192" s="11">
        <f>VLOOKUP($G192, 'ADP Data'!$C$4:$Q$300, 8, FALSE)</f>
        <v>215</v>
      </c>
      <c r="V192" s="11">
        <f t="shared" si="7"/>
        <v>167</v>
      </c>
      <c r="W192" s="11">
        <f t="shared" si="8"/>
        <v>14</v>
      </c>
      <c r="X192" s="11">
        <f t="shared" si="9"/>
        <v>-14</v>
      </c>
      <c r="Y192" s="11">
        <f>VLOOKUP($G192, SeanRanks!$A$2:$K$303, 10, FALSE)-V192</f>
        <v>-29</v>
      </c>
      <c r="Z192" s="25">
        <f>IF(VLOOKUP($G192, SeanRanks!$A$2:$H$303, 7, FALSE)=0, "", VLOOKUP($G192, SeanRanks!$A$2:$H$303, 7, FALSE))</f>
        <v>57</v>
      </c>
    </row>
    <row r="193" spans="1:26" ht="14.25" customHeight="1" x14ac:dyDescent="0.25">
      <c r="A193" s="11"/>
      <c r="B193" s="11">
        <f t="shared" si="3"/>
        <v>7</v>
      </c>
      <c r="C193" s="11" t="s">
        <v>148</v>
      </c>
      <c r="D193" s="11"/>
      <c r="E193" s="11"/>
      <c r="F193" s="11">
        <f>VLOOKUP(G193, SeanRanks!$A$2:$E$302, 4, FALSE)</f>
        <v>0</v>
      </c>
      <c r="G193" s="11" t="s">
        <v>318</v>
      </c>
      <c r="H193" s="11" t="str">
        <f>VLOOKUP($G193, 'ADP Data'!$C$4:$Q$300, 2, FALSE)</f>
        <v>DEN</v>
      </c>
      <c r="I193" s="11">
        <f>VLOOKUP(G193, 'ADP Data'!$C$4:$R$498, 12, FALSE)</f>
        <v>91</v>
      </c>
      <c r="J193" s="11">
        <f>VLOOKUP($G193, SeanRanks!$A$2:$H$303, 5, FALSE)</f>
        <v>0</v>
      </c>
      <c r="K193" s="11" t="str">
        <f>IF(VLOOKUP($G193, SeanRanks!$A$2:$H$303, 6, FALSE)=0, "", VLOOKUP($G193, SeanRanks!$A$2:$H$303, 6, FALSE))</f>
        <v>QB1 - 3 - Top 5 Ceiling</v>
      </c>
      <c r="L193" s="11">
        <f t="shared" si="4"/>
        <v>7</v>
      </c>
      <c r="M193" s="11">
        <f>VLOOKUP($G193, 'ADP Data'!$C$4:$Q$300, 9, FALSE)</f>
        <v>79</v>
      </c>
      <c r="N193" s="11">
        <f t="shared" si="5"/>
        <v>3</v>
      </c>
      <c r="O193" s="11">
        <f>VLOOKUP($G193, 'ADP Data'!$C$4:$Q$300, 3, FALSE)</f>
        <v>68</v>
      </c>
      <c r="P193" s="11">
        <f t="shared" si="6"/>
        <v>11</v>
      </c>
      <c r="Q193" s="11">
        <f>VLOOKUP($G193, 'ADP Data'!$C$4:$Q$300, 4, FALSE)</f>
        <v>66</v>
      </c>
      <c r="R193" s="11">
        <f>VLOOKUP($G193, 'ADP Data'!$C$4:$Q$300, 5, FALSE)</f>
        <v>87</v>
      </c>
      <c r="S193" s="11">
        <f>VLOOKUP($G193, 'ADP Data'!$C$4:$Q$300, 6, FALSE)</f>
        <v>89</v>
      </c>
      <c r="T193" s="11">
        <f>VLOOKUP($G193, 'ADP Data'!$C$4:$Q$300, 7, FALSE)</f>
        <v>83</v>
      </c>
      <c r="U193" s="11">
        <f>VLOOKUP($G193, 'ADP Data'!$C$4:$Q$300, 8, FALSE)</f>
        <v>64</v>
      </c>
      <c r="V193" s="11">
        <f t="shared" si="7"/>
        <v>76</v>
      </c>
      <c r="W193" s="11">
        <f t="shared" si="8"/>
        <v>7</v>
      </c>
      <c r="X193" s="11">
        <f t="shared" si="9"/>
        <v>-7</v>
      </c>
      <c r="Y193" s="11">
        <f>VLOOKUP($G193, SeanRanks!$A$2:$K$303, 10, FALSE)-V193</f>
        <v>7</v>
      </c>
      <c r="Z193" s="25">
        <f>IF(VLOOKUP($G193, SeanRanks!$A$2:$H$303, 7, FALSE)=0, "", VLOOKUP($G193, SeanRanks!$A$2:$H$303, 7, FALSE))</f>
        <v>7</v>
      </c>
    </row>
    <row r="194" spans="1:26" ht="14.25" customHeight="1" x14ac:dyDescent="0.25">
      <c r="A194" s="11"/>
      <c r="B194" s="11">
        <f t="shared" si="3"/>
        <v>14</v>
      </c>
      <c r="C194" s="11" t="s">
        <v>148</v>
      </c>
      <c r="D194" s="11"/>
      <c r="E194" s="11"/>
      <c r="F194" s="11">
        <f>VLOOKUP(G194, SeanRanks!$A$2:$E$302, 4, FALSE)</f>
        <v>0</v>
      </c>
      <c r="G194" s="11" t="s">
        <v>462</v>
      </c>
      <c r="H194" s="11" t="str">
        <f>VLOOKUP($G194, 'ADP Data'!$C$4:$Q$300, 2, FALSE)</f>
        <v>HOU</v>
      </c>
      <c r="I194" s="11" t="str">
        <f>VLOOKUP(G194, 'ADP Data'!$C$4:$R$498, 12, FALSE)</f>
        <v>-</v>
      </c>
      <c r="J194" s="11">
        <f>VLOOKUP($G194, SeanRanks!$A$2:$H$303, 5, FALSE)</f>
        <v>0</v>
      </c>
      <c r="K194" s="11" t="str">
        <f>IF(VLOOKUP($G194, SeanRanks!$A$2:$H$303, 6, FALSE)=0, "", VLOOKUP($G194, SeanRanks!$A$2:$H$303, 6, FALSE))</f>
        <v/>
      </c>
      <c r="L194" s="11">
        <f t="shared" si="4"/>
        <v>16</v>
      </c>
      <c r="M194" s="11">
        <f>VLOOKUP($G194, 'ADP Data'!$C$4:$Q$300, 9, FALSE)</f>
        <v>188</v>
      </c>
      <c r="N194" s="11">
        <f t="shared" si="5"/>
        <v>23</v>
      </c>
      <c r="O194" s="11">
        <f>VLOOKUP($G194, 'ADP Data'!$C$4:$Q$300, 3, FALSE)</f>
        <v>145</v>
      </c>
      <c r="P194" s="11">
        <f t="shared" si="6"/>
        <v>43</v>
      </c>
      <c r="Q194" s="11">
        <f>VLOOKUP($G194, 'ADP Data'!$C$4:$Q$300, 4, FALSE)</f>
        <v>100</v>
      </c>
      <c r="R194" s="11">
        <f>VLOOKUP($G194, 'ADP Data'!$C$4:$Q$300, 5, FALSE)</f>
        <v>190</v>
      </c>
      <c r="S194" s="11">
        <f>VLOOKUP($G194, 'ADP Data'!$C$4:$Q$300, 6, FALSE)</f>
        <v>216</v>
      </c>
      <c r="T194" s="11">
        <f>VLOOKUP($G194, 'ADP Data'!$C$4:$Q$300, 7, FALSE)</f>
        <v>176</v>
      </c>
      <c r="U194" s="11">
        <f>VLOOKUP($G194, 'ADP Data'!$C$4:$Q$300, 8, FALSE)</f>
        <v>145</v>
      </c>
      <c r="V194" s="11">
        <f t="shared" si="7"/>
        <v>165</v>
      </c>
      <c r="W194" s="11">
        <f t="shared" si="8"/>
        <v>14</v>
      </c>
      <c r="X194" s="11">
        <f t="shared" si="9"/>
        <v>-14</v>
      </c>
      <c r="Y194" s="11">
        <f>VLOOKUP($G194, SeanRanks!$A$2:$K$303, 10, FALSE)-V194</f>
        <v>23</v>
      </c>
      <c r="Z194" s="25" t="str">
        <f>IF(VLOOKUP($G194, SeanRanks!$A$2:$H$303, 7, FALSE)=0, "", VLOOKUP($G194, SeanRanks!$A$2:$H$303, 7, FALSE))</f>
        <v/>
      </c>
    </row>
    <row r="195" spans="1:26" ht="14.25" customHeight="1" x14ac:dyDescent="0.25">
      <c r="A195" s="11"/>
      <c r="B195" s="11">
        <f t="shared" si="3"/>
        <v>17</v>
      </c>
      <c r="C195" s="11" t="s">
        <v>148</v>
      </c>
      <c r="D195" s="11"/>
      <c r="E195" s="11"/>
      <c r="F195" s="11">
        <f>VLOOKUP(G195, SeanRanks!$A$2:$E$302, 4, FALSE)</f>
        <v>0</v>
      </c>
      <c r="G195" s="11" t="s">
        <v>433</v>
      </c>
      <c r="H195" s="11" t="str">
        <f>VLOOKUP($G195, 'ADP Data'!$C$4:$Q$300, 2, FALSE)</f>
        <v>TEN</v>
      </c>
      <c r="I195" s="11">
        <f>VLOOKUP(G195, 'ADP Data'!$C$4:$R$498, 12, FALSE)</f>
        <v>165</v>
      </c>
      <c r="J195" s="11">
        <f>VLOOKUP($G195, SeanRanks!$A$2:$H$303, 5, FALSE)</f>
        <v>0</v>
      </c>
      <c r="K195" s="11" t="str">
        <f>IF(VLOOKUP($G195, SeanRanks!$A$2:$H$303, 6, FALSE)=0, "", VLOOKUP($G195, SeanRanks!$A$2:$H$303, 6, FALSE))</f>
        <v/>
      </c>
      <c r="L195" s="11">
        <f t="shared" si="4"/>
        <v>18</v>
      </c>
      <c r="M195" s="11">
        <f>VLOOKUP($G195, 'ADP Data'!$C$4:$Q$300, 9, FALSE)</f>
        <v>208</v>
      </c>
      <c r="N195" s="11">
        <f t="shared" si="5"/>
        <v>6</v>
      </c>
      <c r="O195" s="11" t="str">
        <f>VLOOKUP($G195, 'ADP Data'!$C$4:$Q$300, 3, FALSE)</f>
        <v>-</v>
      </c>
      <c r="P195" s="11" t="e">
        <f t="shared" si="6"/>
        <v>#VALUE!</v>
      </c>
      <c r="Q195" s="11" t="str">
        <f>VLOOKUP($G195, 'ADP Data'!$C$4:$Q$300, 4, FALSE)</f>
        <v>-</v>
      </c>
      <c r="R195" s="11">
        <f>VLOOKUP($G195, 'ADP Data'!$C$4:$Q$300, 5, FALSE)</f>
        <v>249</v>
      </c>
      <c r="S195" s="11">
        <f>VLOOKUP($G195, 'ADP Data'!$C$4:$Q$300, 6, FALSE)</f>
        <v>150</v>
      </c>
      <c r="T195" s="11">
        <f>VLOOKUP($G195, 'ADP Data'!$C$4:$Q$300, 7, FALSE)</f>
        <v>187</v>
      </c>
      <c r="U195" s="11">
        <f>VLOOKUP($G195, 'ADP Data'!$C$4:$Q$300, 8, FALSE)</f>
        <v>218</v>
      </c>
      <c r="V195" s="11">
        <f t="shared" si="7"/>
        <v>202</v>
      </c>
      <c r="W195" s="11">
        <f t="shared" si="8"/>
        <v>17</v>
      </c>
      <c r="X195" s="11">
        <f t="shared" si="9"/>
        <v>-17</v>
      </c>
      <c r="Y195" s="11">
        <f>VLOOKUP($G195, SeanRanks!$A$2:$K$303, 10, FALSE)-V195</f>
        <v>-58</v>
      </c>
      <c r="Z195" s="25" t="str">
        <f>IF(VLOOKUP($G195, SeanRanks!$A$2:$H$303, 7, FALSE)=0, "", VLOOKUP($G195, SeanRanks!$A$2:$H$303, 7, FALSE))</f>
        <v/>
      </c>
    </row>
    <row r="196" spans="1:26" ht="14.25" customHeight="1" x14ac:dyDescent="0.25">
      <c r="A196" s="11"/>
      <c r="B196" s="11">
        <f t="shared" si="3"/>
        <v>9</v>
      </c>
      <c r="C196" s="11" t="s">
        <v>148</v>
      </c>
      <c r="D196" s="11"/>
      <c r="E196" s="11"/>
      <c r="F196" s="11">
        <f>VLOOKUP(G196, SeanRanks!$A$2:$E$302, 4, FALSE)</f>
        <v>0</v>
      </c>
      <c r="G196" s="11" t="s">
        <v>292</v>
      </c>
      <c r="H196" s="11" t="str">
        <f>VLOOKUP($G196, 'ADP Data'!$C$4:$Q$300, 2, FALSE)</f>
        <v>MIN</v>
      </c>
      <c r="I196" s="11">
        <f>VLOOKUP(G196, 'ADP Data'!$C$4:$R$498, 12, FALSE)</f>
        <v>83</v>
      </c>
      <c r="J196" s="11" t="str">
        <f>VLOOKUP($G196, SeanRanks!$A$2:$H$303, 5, FALSE)</f>
        <v>Yes</v>
      </c>
      <c r="K196" s="11" t="str">
        <f>IF(VLOOKUP($G196, SeanRanks!$A$2:$H$303, 6, FALSE)=0, "", VLOOKUP($G196, SeanRanks!$A$2:$H$303, 6, FALSE))</f>
        <v>RB3 - 1 - Upside</v>
      </c>
      <c r="L196" s="11">
        <f t="shared" si="4"/>
        <v>9</v>
      </c>
      <c r="M196" s="11">
        <f>VLOOKUP($G196, 'ADP Data'!$C$4:$Q$300, 9, FALSE)</f>
        <v>103</v>
      </c>
      <c r="N196" s="11">
        <f t="shared" si="5"/>
        <v>-1</v>
      </c>
      <c r="O196" s="11">
        <f>VLOOKUP($G196, 'ADP Data'!$C$4:$Q$300, 3, FALSE)</f>
        <v>98</v>
      </c>
      <c r="P196" s="11">
        <f t="shared" si="6"/>
        <v>5</v>
      </c>
      <c r="Q196" s="11">
        <f>VLOOKUP($G196, 'ADP Data'!$C$4:$Q$300, 4, FALSE)</f>
        <v>122</v>
      </c>
      <c r="R196" s="11">
        <f>VLOOKUP($G196, 'ADP Data'!$C$4:$Q$300, 5, FALSE)</f>
        <v>107</v>
      </c>
      <c r="S196" s="11">
        <f>VLOOKUP($G196, 'ADP Data'!$C$4:$Q$300, 6, FALSE)</f>
        <v>88</v>
      </c>
      <c r="T196" s="11">
        <f>VLOOKUP($G196, 'ADP Data'!$C$4:$Q$300, 7, FALSE)</f>
        <v>89</v>
      </c>
      <c r="U196" s="11">
        <f>VLOOKUP($G196, 'ADP Data'!$C$4:$Q$300, 8, FALSE)</f>
        <v>122</v>
      </c>
      <c r="V196" s="11">
        <f t="shared" si="7"/>
        <v>104</v>
      </c>
      <c r="W196" s="11">
        <f t="shared" si="8"/>
        <v>9</v>
      </c>
      <c r="X196" s="11">
        <f t="shared" si="9"/>
        <v>-9</v>
      </c>
      <c r="Y196" s="11">
        <f>VLOOKUP($G196, SeanRanks!$A$2:$K$303, 10, FALSE)-V196</f>
        <v>-33</v>
      </c>
      <c r="Z196" s="25">
        <f>IF(VLOOKUP($G196, SeanRanks!$A$2:$H$303, 7, FALSE)=0, "", VLOOKUP($G196, SeanRanks!$A$2:$H$303, 7, FALSE))</f>
        <v>28</v>
      </c>
    </row>
    <row r="197" spans="1:26" ht="14.25" customHeight="1" x14ac:dyDescent="0.25">
      <c r="A197" s="11"/>
      <c r="B197" s="11" t="e">
        <f t="shared" si="3"/>
        <v>#N/A</v>
      </c>
      <c r="C197" s="11" t="s">
        <v>148</v>
      </c>
      <c r="D197" s="11"/>
      <c r="E197" s="11"/>
      <c r="F197" s="11" t="e">
        <f>VLOOKUP(G197, SeanRanks!$A$2:$E$302, 4, FALSE)</f>
        <v>#N/A</v>
      </c>
      <c r="G197" s="11" t="s">
        <v>936</v>
      </c>
      <c r="H197" s="11" t="e">
        <f>VLOOKUP($G197, 'ADP Data'!$C$4:$Q$300, 2, FALSE)</f>
        <v>#N/A</v>
      </c>
      <c r="I197" s="11" t="e">
        <f>VLOOKUP(G197, 'ADP Data'!$C$4:$R$498, 12, FALSE)</f>
        <v>#N/A</v>
      </c>
      <c r="J197" s="11" t="e">
        <f>VLOOKUP($G197, SeanRanks!$A$2:$H$303, 5, FALSE)</f>
        <v>#N/A</v>
      </c>
      <c r="K197" s="11" t="e">
        <f>IF(VLOOKUP($G197, SeanRanks!$A$2:$H$303, 6, FALSE)=0, "", VLOOKUP($G197, SeanRanks!$A$2:$H$303, 6, FALSE))</f>
        <v>#N/A</v>
      </c>
      <c r="L197" s="11">
        <f t="shared" si="4"/>
        <v>16</v>
      </c>
      <c r="M197" s="11" t="e">
        <f>VLOOKUP($G197, 'ADP Data'!$C$4:$Q$300, 9, FALSE)</f>
        <v>#N/A</v>
      </c>
      <c r="N197" s="11" t="e">
        <f t="shared" si="5"/>
        <v>#N/A</v>
      </c>
      <c r="O197" s="11" t="e">
        <f>VLOOKUP($G197, 'ADP Data'!$C$4:$Q$300, 3, FALSE)</f>
        <v>#N/A</v>
      </c>
      <c r="P197" s="11" t="e">
        <f t="shared" si="6"/>
        <v>#N/A</v>
      </c>
      <c r="Q197" s="11" t="e">
        <f>VLOOKUP($G197, 'ADP Data'!$C$4:$Q$300, 4, FALSE)</f>
        <v>#N/A</v>
      </c>
      <c r="R197" s="11" t="e">
        <f>VLOOKUP($G197, 'ADP Data'!$C$4:$Q$300, 5, FALSE)</f>
        <v>#N/A</v>
      </c>
      <c r="S197" s="11" t="e">
        <f>VLOOKUP($G197, 'ADP Data'!$C$4:$Q$300, 6, FALSE)</f>
        <v>#N/A</v>
      </c>
      <c r="T197" s="11" t="e">
        <f>VLOOKUP($G197, 'ADP Data'!$C$4:$Q$300, 7, FALSE)</f>
        <v>#N/A</v>
      </c>
      <c r="U197" s="11" t="e">
        <f>VLOOKUP($G197, 'ADP Data'!$C$4:$Q$300, 8, FALSE)</f>
        <v>#N/A</v>
      </c>
      <c r="V197" s="11" t="e">
        <f t="shared" si="7"/>
        <v>#N/A</v>
      </c>
      <c r="W197" s="11">
        <f t="shared" si="8"/>
        <v>16</v>
      </c>
      <c r="X197" s="11">
        <f t="shared" si="9"/>
        <v>-16</v>
      </c>
      <c r="Y197" s="11" t="e">
        <f>VLOOKUP($G197, SeanRanks!$A$2:$K$303, 10, FALSE)-V197</f>
        <v>#N/A</v>
      </c>
      <c r="Z197" s="25" t="e">
        <f>IF(VLOOKUP($G197, SeanRanks!$A$2:$H$303, 7, FALSE)=0, "", VLOOKUP($G197, SeanRanks!$A$2:$H$303, 7, FALSE))</f>
        <v>#N/A</v>
      </c>
    </row>
    <row r="198" spans="1:26" ht="14.25" customHeight="1" x14ac:dyDescent="0.25">
      <c r="A198" s="11"/>
      <c r="B198" s="11">
        <f t="shared" si="3"/>
        <v>13</v>
      </c>
      <c r="C198" s="11" t="s">
        <v>148</v>
      </c>
      <c r="D198" s="11"/>
      <c r="E198" s="11"/>
      <c r="F198" s="11">
        <f>VLOOKUP(G198, SeanRanks!$A$2:$E$302, 4, FALSE)</f>
        <v>0</v>
      </c>
      <c r="G198" s="11" t="s">
        <v>933</v>
      </c>
      <c r="H198" s="11" t="str">
        <f>VLOOKUP($G198, 'ADP Data'!$C$4:$Q$300, 2, FALSE)</f>
        <v>DEN</v>
      </c>
      <c r="I198" s="11">
        <f>VLOOKUP(G198, 'ADP Data'!$C$4:$R$498, 12, FALSE)</f>
        <v>115</v>
      </c>
      <c r="J198" s="11">
        <f>VLOOKUP($G198, SeanRanks!$A$2:$H$303, 5, FALSE)</f>
        <v>0</v>
      </c>
      <c r="K198" s="11" t="str">
        <f>IF(VLOOKUP($G198, SeanRanks!$A$2:$H$303, 6, FALSE)=0, "", VLOOKUP($G198, SeanRanks!$A$2:$H$303, 6, FALSE))</f>
        <v>WR6 - dart throw upside</v>
      </c>
      <c r="L198" s="11">
        <f t="shared" si="4"/>
        <v>12</v>
      </c>
      <c r="M198" s="11">
        <f>VLOOKUP($G198, 'ADP Data'!$C$4:$Q$300, 9, FALSE)</f>
        <v>140</v>
      </c>
      <c r="N198" s="11">
        <f t="shared" si="5"/>
        <v>-7</v>
      </c>
      <c r="O198" s="11">
        <f>VLOOKUP($G198, 'ADP Data'!$C$4:$Q$300, 3, FALSE)</f>
        <v>171</v>
      </c>
      <c r="P198" s="11">
        <f t="shared" si="6"/>
        <v>-31</v>
      </c>
      <c r="Q198" s="11">
        <f>VLOOKUP($G198, 'ADP Data'!$C$4:$Q$300, 4, FALSE)</f>
        <v>167</v>
      </c>
      <c r="R198" s="11">
        <f>VLOOKUP($G198, 'ADP Data'!$C$4:$Q$300, 5, FALSE)</f>
        <v>131</v>
      </c>
      <c r="S198" s="11">
        <f>VLOOKUP($G198, 'ADP Data'!$C$4:$Q$300, 6, FALSE)</f>
        <v>136</v>
      </c>
      <c r="T198" s="11">
        <f>VLOOKUP($G198, 'ADP Data'!$C$4:$Q$300, 7, FALSE)</f>
        <v>113</v>
      </c>
      <c r="U198" s="11">
        <f>VLOOKUP($G198, 'ADP Data'!$C$4:$Q$300, 8, FALSE)</f>
        <v>174</v>
      </c>
      <c r="V198" s="11">
        <f t="shared" si="7"/>
        <v>147</v>
      </c>
      <c r="W198" s="11">
        <f t="shared" si="8"/>
        <v>13</v>
      </c>
      <c r="X198" s="11">
        <f t="shared" si="9"/>
        <v>-13</v>
      </c>
      <c r="Y198" s="11">
        <f>VLOOKUP($G198, SeanRanks!$A$2:$K$303, 10, FALSE)-V198</f>
        <v>7</v>
      </c>
      <c r="Z198" s="25">
        <f>IF(VLOOKUP($G198, SeanRanks!$A$2:$H$303, 7, FALSE)=0, "", VLOOKUP($G198, SeanRanks!$A$2:$H$303, 7, FALSE))</f>
        <v>60</v>
      </c>
    </row>
    <row r="199" spans="1:26" ht="14.25" customHeight="1" x14ac:dyDescent="0.25">
      <c r="A199" s="11"/>
      <c r="B199" s="11">
        <f t="shared" si="3"/>
        <v>21</v>
      </c>
      <c r="C199" s="11" t="s">
        <v>148</v>
      </c>
      <c r="D199" s="11"/>
      <c r="E199" s="11"/>
      <c r="F199" s="11">
        <f>VLOOKUP(G199, SeanRanks!$A$2:$E$302, 4, FALSE)</f>
        <v>0</v>
      </c>
      <c r="G199" s="11" t="s">
        <v>940</v>
      </c>
      <c r="H199" s="11" t="str">
        <f>VLOOKUP($G199, 'ADP Data'!$C$4:$Q$300, 2, FALSE)</f>
        <v>HOU</v>
      </c>
      <c r="I199" s="11">
        <f>VLOOKUP(G199, 'ADP Data'!$C$4:$R$498, 12, FALSE)</f>
        <v>202</v>
      </c>
      <c r="J199" s="11">
        <f>VLOOKUP($G199, SeanRanks!$A$2:$H$303, 5, FALSE)</f>
        <v>0</v>
      </c>
      <c r="K199" s="11" t="str">
        <f>IF(VLOOKUP($G199, SeanRanks!$A$2:$H$303, 6, FALSE)=0, "", VLOOKUP($G199, SeanRanks!$A$2:$H$303, 6, FALSE))</f>
        <v/>
      </c>
      <c r="L199" s="11">
        <f t="shared" si="4"/>
        <v>16</v>
      </c>
      <c r="M199" s="11" t="str">
        <f>VLOOKUP($G199, 'ADP Data'!$C$4:$Q$300, 9, FALSE)</f>
        <v>-</v>
      </c>
      <c r="N199" s="11" t="e">
        <f t="shared" si="5"/>
        <v>#VALUE!</v>
      </c>
      <c r="O199" s="11" t="str">
        <f>VLOOKUP($G199, 'ADP Data'!$C$4:$Q$300, 3, FALSE)</f>
        <v>-</v>
      </c>
      <c r="P199" s="11" t="e">
        <f t="shared" si="6"/>
        <v>#VALUE!</v>
      </c>
      <c r="Q199" s="11" t="str">
        <f>VLOOKUP($G199, 'ADP Data'!$C$4:$Q$300, 4, FALSE)</f>
        <v>-</v>
      </c>
      <c r="R199" s="11" t="str">
        <f>VLOOKUP($G199, 'ADP Data'!$C$4:$Q$300, 5, FALSE)</f>
        <v>-</v>
      </c>
      <c r="S199" s="11">
        <f>VLOOKUP($G199, 'ADP Data'!$C$4:$Q$300, 6, FALSE)</f>
        <v>209</v>
      </c>
      <c r="T199" s="11">
        <f>VLOOKUP($G199, 'ADP Data'!$C$4:$Q$300, 7, FALSE)</f>
        <v>237</v>
      </c>
      <c r="U199" s="11">
        <f>VLOOKUP($G199, 'ADP Data'!$C$4:$Q$300, 8, FALSE)</f>
        <v>295</v>
      </c>
      <c r="V199" s="11">
        <f t="shared" si="7"/>
        <v>247</v>
      </c>
      <c r="W199" s="11">
        <f t="shared" si="8"/>
        <v>21</v>
      </c>
      <c r="X199" s="11">
        <f t="shared" si="9"/>
        <v>-21</v>
      </c>
      <c r="Y199" s="11">
        <f>VLOOKUP($G199, SeanRanks!$A$2:$K$303, 10, FALSE)-V199</f>
        <v>-18</v>
      </c>
      <c r="Z199" s="25" t="str">
        <f>IF(VLOOKUP($G199, SeanRanks!$A$2:$H$303, 7, FALSE)=0, "", VLOOKUP($G199, SeanRanks!$A$2:$H$303, 7, FALSE))</f>
        <v/>
      </c>
    </row>
    <row r="200" spans="1:26" ht="14.25" customHeight="1" x14ac:dyDescent="0.25">
      <c r="A200" s="11"/>
      <c r="B200" s="11">
        <f t="shared" si="3"/>
        <v>19</v>
      </c>
      <c r="C200" s="11" t="s">
        <v>148</v>
      </c>
      <c r="D200" s="11"/>
      <c r="E200" s="11"/>
      <c r="F200" s="11">
        <f>VLOOKUP(G200, SeanRanks!$A$2:$E$302, 4, FALSE)</f>
        <v>0</v>
      </c>
      <c r="G200" s="11" t="s">
        <v>270</v>
      </c>
      <c r="H200" s="11" t="str">
        <f>VLOOKUP($G200, 'ADP Data'!$C$4:$Q$300, 2, FALSE)</f>
        <v>LAC</v>
      </c>
      <c r="I200" s="11">
        <f>VLOOKUP(G200, 'ADP Data'!$C$4:$R$498, 12, FALSE)</f>
        <v>204</v>
      </c>
      <c r="J200" s="11">
        <f>VLOOKUP($G200, SeanRanks!$A$2:$H$303, 5, FALSE)</f>
        <v>0</v>
      </c>
      <c r="K200" s="11" t="str">
        <f>IF(VLOOKUP($G200, SeanRanks!$A$2:$H$303, 6, FALSE)=0, "", VLOOKUP($G200, SeanRanks!$A$2:$H$303, 6, FALSE))</f>
        <v/>
      </c>
      <c r="L200" s="11">
        <f t="shared" si="4"/>
        <v>18</v>
      </c>
      <c r="M200" s="11">
        <f>VLOOKUP($G200, 'ADP Data'!$C$4:$Q$300, 9, FALSE)</f>
        <v>212</v>
      </c>
      <c r="N200" s="11">
        <f t="shared" si="5"/>
        <v>-8</v>
      </c>
      <c r="O200" s="11">
        <f>VLOOKUP($G200, 'ADP Data'!$C$4:$Q$300, 3, FALSE)</f>
        <v>197</v>
      </c>
      <c r="P200" s="11">
        <f t="shared" si="6"/>
        <v>15</v>
      </c>
      <c r="Q200" s="11" t="str">
        <f>VLOOKUP($G200, 'ADP Data'!$C$4:$Q$300, 4, FALSE)</f>
        <v>-</v>
      </c>
      <c r="R200" s="11">
        <f>VLOOKUP($G200, 'ADP Data'!$C$4:$Q$300, 5, FALSE)</f>
        <v>227</v>
      </c>
      <c r="S200" s="11">
        <f>VLOOKUP($G200, 'ADP Data'!$C$4:$Q$300, 6, FALSE)</f>
        <v>226</v>
      </c>
      <c r="T200" s="11">
        <f>VLOOKUP($G200, 'ADP Data'!$C$4:$Q$300, 7, FALSE)</f>
        <v>180</v>
      </c>
      <c r="U200" s="11">
        <f>VLOOKUP($G200, 'ADP Data'!$C$4:$Q$300, 8, FALSE)</f>
        <v>278</v>
      </c>
      <c r="V200" s="11">
        <f t="shared" si="7"/>
        <v>220</v>
      </c>
      <c r="W200" s="11">
        <f t="shared" si="8"/>
        <v>19</v>
      </c>
      <c r="X200" s="11">
        <f t="shared" si="9"/>
        <v>-19</v>
      </c>
      <c r="Y200" s="11">
        <f>VLOOKUP($G200, SeanRanks!$A$2:$K$303, 10, FALSE)-V200</f>
        <v>16</v>
      </c>
      <c r="Z200" s="25" t="str">
        <f>IF(VLOOKUP($G200, SeanRanks!$A$2:$H$303, 7, FALSE)=0, "", VLOOKUP($G200, SeanRanks!$A$2:$H$303, 7, FALSE))</f>
        <v/>
      </c>
    </row>
    <row r="201" spans="1:26" ht="14.25" customHeight="1" x14ac:dyDescent="0.25">
      <c r="A201" s="11"/>
      <c r="B201" s="11">
        <f t="shared" si="3"/>
        <v>19</v>
      </c>
      <c r="C201" s="11" t="s">
        <v>148</v>
      </c>
      <c r="D201" s="11"/>
      <c r="E201" s="11"/>
      <c r="F201" s="11" t="e">
        <f>VLOOKUP(G201, SeanRanks!$A$2:$E$302, 4, FALSE)</f>
        <v>#N/A</v>
      </c>
      <c r="G201" s="11" t="s">
        <v>931</v>
      </c>
      <c r="H201" s="11" t="str">
        <f>VLOOKUP($G201, 'ADP Data'!$C$4:$Q$300, 2, FALSE)</f>
        <v>CIN</v>
      </c>
      <c r="I201" s="11" t="str">
        <f>VLOOKUP(G201, 'ADP Data'!$C$4:$R$498, 12, FALSE)</f>
        <v>-</v>
      </c>
      <c r="J201" s="11" t="e">
        <f>VLOOKUP($G201, SeanRanks!$A$2:$H$303, 5, FALSE)</f>
        <v>#N/A</v>
      </c>
      <c r="K201" s="11" t="e">
        <f>IF(VLOOKUP($G201, SeanRanks!$A$2:$H$303, 6, FALSE)=0, "", VLOOKUP($G201, SeanRanks!$A$2:$H$303, 6, FALSE))</f>
        <v>#N/A</v>
      </c>
      <c r="L201" s="11">
        <f t="shared" si="4"/>
        <v>16</v>
      </c>
      <c r="M201" s="11" t="str">
        <f>VLOOKUP($G201, 'ADP Data'!$C$4:$Q$300, 9, FALSE)</f>
        <v>-</v>
      </c>
      <c r="N201" s="11" t="e">
        <f t="shared" si="5"/>
        <v>#VALUE!</v>
      </c>
      <c r="O201" s="11" t="str">
        <f>VLOOKUP($G201, 'ADP Data'!$C$4:$Q$300, 3, FALSE)</f>
        <v>-</v>
      </c>
      <c r="P201" s="11" t="e">
        <f t="shared" si="6"/>
        <v>#VALUE!</v>
      </c>
      <c r="Q201" s="11">
        <f>VLOOKUP($G201, 'ADP Data'!$C$4:$Q$300, 4, FALSE)</f>
        <v>223</v>
      </c>
      <c r="R201" s="11" t="str">
        <f>VLOOKUP($G201, 'ADP Data'!$C$4:$Q$300, 5, FALSE)</f>
        <v>-</v>
      </c>
      <c r="S201" s="11">
        <f>VLOOKUP($G201, 'ADP Data'!$C$4:$Q$300, 6, FALSE)</f>
        <v>323</v>
      </c>
      <c r="T201" s="11">
        <f>VLOOKUP($G201, 'ADP Data'!$C$4:$Q$300, 7, FALSE)</f>
        <v>267</v>
      </c>
      <c r="U201" s="11">
        <f>VLOOKUP($G201, 'ADP Data'!$C$4:$Q$300, 8, FALSE)</f>
        <v>97</v>
      </c>
      <c r="V201" s="11">
        <f t="shared" si="7"/>
        <v>227</v>
      </c>
      <c r="W201" s="11">
        <f t="shared" si="8"/>
        <v>19</v>
      </c>
      <c r="X201" s="11">
        <f t="shared" si="9"/>
        <v>-19</v>
      </c>
      <c r="Y201" s="11" t="e">
        <f>VLOOKUP($G201, SeanRanks!$A$2:$K$303, 10, FALSE)-V201</f>
        <v>#N/A</v>
      </c>
      <c r="Z201" s="25" t="e">
        <f>IF(VLOOKUP($G201, SeanRanks!$A$2:$H$303, 7, FALSE)=0, "", VLOOKUP($G201, SeanRanks!$A$2:$H$303, 7, FALSE))</f>
        <v>#N/A</v>
      </c>
    </row>
    <row r="202" spans="1:26" ht="14.25" customHeight="1" x14ac:dyDescent="0.25">
      <c r="A202" s="11"/>
      <c r="B202" s="11" t="e">
        <f t="shared" si="3"/>
        <v>#N/A</v>
      </c>
      <c r="C202" s="11" t="s">
        <v>148</v>
      </c>
      <c r="D202" s="11"/>
      <c r="E202" s="11"/>
      <c r="F202" s="11" t="e">
        <f>VLOOKUP(G202, SeanRanks!$A$2:$E$302, 4, FALSE)</f>
        <v>#N/A</v>
      </c>
      <c r="G202" s="11" t="s">
        <v>934</v>
      </c>
      <c r="H202" s="11" t="e">
        <f>VLOOKUP($G202, 'ADP Data'!$C$4:$Q$300, 2, FALSE)</f>
        <v>#N/A</v>
      </c>
      <c r="I202" s="11" t="e">
        <f>VLOOKUP(G202, 'ADP Data'!$C$4:$R$498, 12, FALSE)</f>
        <v>#N/A</v>
      </c>
      <c r="J202" s="61" t="e">
        <f>VLOOKUP($G202, SeanRanks!$A$2:$H$303, 5, FALSE)</f>
        <v>#N/A</v>
      </c>
      <c r="K202" s="11" t="e">
        <f>IF(VLOOKUP($G202, SeanRanks!$A$2:$H$303, 6, FALSE)=0, "", VLOOKUP($G202, SeanRanks!$A$2:$H$303, 6, FALSE))</f>
        <v>#N/A</v>
      </c>
      <c r="L202" s="11">
        <f t="shared" si="4"/>
        <v>16</v>
      </c>
      <c r="M202" s="11" t="e">
        <f>VLOOKUP($G202, 'ADP Data'!$C$4:$Q$300, 9, FALSE)</f>
        <v>#N/A</v>
      </c>
      <c r="N202" s="11" t="e">
        <f t="shared" si="5"/>
        <v>#N/A</v>
      </c>
      <c r="O202" s="11" t="e">
        <f>VLOOKUP($G202, 'ADP Data'!$C$4:$Q$300, 3, FALSE)</f>
        <v>#N/A</v>
      </c>
      <c r="P202" s="11" t="e">
        <f t="shared" si="6"/>
        <v>#N/A</v>
      </c>
      <c r="Q202" s="11" t="e">
        <f>VLOOKUP($G202, 'ADP Data'!$C$4:$Q$300, 4, FALSE)</f>
        <v>#N/A</v>
      </c>
      <c r="R202" s="11" t="e">
        <f>VLOOKUP($G202, 'ADP Data'!$C$4:$Q$300, 5, FALSE)</f>
        <v>#N/A</v>
      </c>
      <c r="S202" s="11" t="e">
        <f>VLOOKUP($G202, 'ADP Data'!$C$4:$Q$300, 6, FALSE)</f>
        <v>#N/A</v>
      </c>
      <c r="T202" s="11" t="e">
        <f>VLOOKUP($G202, 'ADP Data'!$C$4:$Q$300, 7, FALSE)</f>
        <v>#N/A</v>
      </c>
      <c r="U202" s="11" t="e">
        <f>VLOOKUP($G202, 'ADP Data'!$C$4:$Q$300, 8, FALSE)</f>
        <v>#N/A</v>
      </c>
      <c r="V202" s="11" t="e">
        <f t="shared" si="7"/>
        <v>#N/A</v>
      </c>
      <c r="W202" s="11">
        <f t="shared" si="8"/>
        <v>16</v>
      </c>
      <c r="X202" s="11">
        <f t="shared" si="9"/>
        <v>-16</v>
      </c>
      <c r="Y202" s="11" t="e">
        <f>VLOOKUP($G202, SeanRanks!$A$2:$K$303, 10, FALSE)-V202</f>
        <v>#N/A</v>
      </c>
      <c r="Z202" s="25" t="e">
        <f>IF(VLOOKUP($G202, SeanRanks!$A$2:$H$303, 7, FALSE)=0, "", VLOOKUP($G202, SeanRanks!$A$2:$H$303, 7, FALSE))</f>
        <v>#N/A</v>
      </c>
    </row>
    <row r="203" spans="1:26" ht="14.25" customHeight="1" x14ac:dyDescent="0.25">
      <c r="A203" s="11"/>
      <c r="B203" s="11">
        <f t="shared" si="3"/>
        <v>16</v>
      </c>
      <c r="C203" s="11" t="s">
        <v>148</v>
      </c>
      <c r="D203" s="11"/>
      <c r="E203" s="11"/>
      <c r="F203" s="11">
        <f>VLOOKUP(G203, SeanRanks!$A$2:$E$302, 4, FALSE)</f>
        <v>0</v>
      </c>
      <c r="G203" s="11" t="s">
        <v>302</v>
      </c>
      <c r="H203" s="11" t="str">
        <f>VLOOKUP($G203, 'ADP Data'!$C$4:$Q$300, 2, FALSE)</f>
        <v>NYG</v>
      </c>
      <c r="I203" s="11">
        <f>VLOOKUP(G203, 'ADP Data'!$C$4:$R$498, 12, FALSE)</f>
        <v>166</v>
      </c>
      <c r="J203" s="11">
        <f>VLOOKUP($G203, SeanRanks!$A$2:$H$303, 5, FALSE)</f>
        <v>0</v>
      </c>
      <c r="K203" s="11" t="str">
        <f>IF(VLOOKUP($G203, SeanRanks!$A$2:$H$303, 6, FALSE)=0, "", VLOOKUP($G203, SeanRanks!$A$2:$H$303, 6, FALSE))</f>
        <v/>
      </c>
      <c r="L203" s="11">
        <f t="shared" si="4"/>
        <v>18</v>
      </c>
      <c r="M203" s="11">
        <f>VLOOKUP($G203, 'ADP Data'!$C$4:$Q$300, 9, FALSE)</f>
        <v>206</v>
      </c>
      <c r="N203" s="11">
        <f t="shared" si="5"/>
        <v>19</v>
      </c>
      <c r="O203" s="11">
        <f>VLOOKUP($G203, 'ADP Data'!$C$4:$Q$300, 3, FALSE)</f>
        <v>165</v>
      </c>
      <c r="P203" s="11">
        <f t="shared" si="6"/>
        <v>41</v>
      </c>
      <c r="Q203" s="11">
        <f>VLOOKUP($G203, 'ADP Data'!$C$4:$Q$300, 4, FALSE)</f>
        <v>174</v>
      </c>
      <c r="R203" s="11">
        <f>VLOOKUP($G203, 'ADP Data'!$C$4:$Q$300, 5, FALSE)</f>
        <v>206</v>
      </c>
      <c r="S203" s="11">
        <f>VLOOKUP($G203, 'ADP Data'!$C$4:$Q$300, 6, FALSE)</f>
        <v>169</v>
      </c>
      <c r="T203" s="11">
        <f>VLOOKUP($G203, 'ADP Data'!$C$4:$Q$300, 7, FALSE)</f>
        <v>146</v>
      </c>
      <c r="U203" s="11">
        <f>VLOOKUP($G203, 'ADP Data'!$C$4:$Q$300, 8, FALSE)</f>
        <v>249</v>
      </c>
      <c r="V203" s="11">
        <f t="shared" si="7"/>
        <v>187</v>
      </c>
      <c r="W203" s="11">
        <f t="shared" si="8"/>
        <v>16</v>
      </c>
      <c r="X203" s="11">
        <f t="shared" si="9"/>
        <v>-16</v>
      </c>
      <c r="Y203" s="11">
        <f>VLOOKUP($G203, SeanRanks!$A$2:$K$303, 10, FALSE)-V203</f>
        <v>-19</v>
      </c>
      <c r="Z203" s="25" t="str">
        <f>IF(VLOOKUP($G203, SeanRanks!$A$2:$H$303, 7, FALSE)=0, "", VLOOKUP($G203, SeanRanks!$A$2:$H$303, 7, FALSE))</f>
        <v/>
      </c>
    </row>
    <row r="204" spans="1:26" ht="14.25" customHeight="1" x14ac:dyDescent="0.25">
      <c r="A204" s="11"/>
      <c r="B204" s="11" t="e">
        <f t="shared" si="3"/>
        <v>#N/A</v>
      </c>
      <c r="C204" s="11" t="s">
        <v>148</v>
      </c>
      <c r="D204" s="11"/>
      <c r="E204" s="11"/>
      <c r="F204" s="11" t="e">
        <f>VLOOKUP(G204, SeanRanks!$A$2:$E$302, 4, FALSE)</f>
        <v>#N/A</v>
      </c>
      <c r="G204" s="11" t="s">
        <v>935</v>
      </c>
      <c r="H204" s="11" t="e">
        <f>VLOOKUP($G204, 'ADP Data'!$C$4:$Q$300, 2, FALSE)</f>
        <v>#N/A</v>
      </c>
      <c r="I204" s="11" t="e">
        <f>VLOOKUP(G204, 'ADP Data'!$C$4:$R$498, 12, FALSE)</f>
        <v>#N/A</v>
      </c>
      <c r="J204" s="11" t="e">
        <f>VLOOKUP($G204, SeanRanks!$A$2:$H$303, 5, FALSE)</f>
        <v>#N/A</v>
      </c>
      <c r="K204" s="11" t="e">
        <f>IF(VLOOKUP($G204, SeanRanks!$A$2:$H$303, 6, FALSE)=0, "", VLOOKUP($G204, SeanRanks!$A$2:$H$303, 6, FALSE))</f>
        <v>#N/A</v>
      </c>
      <c r="L204" s="11">
        <f t="shared" si="4"/>
        <v>16</v>
      </c>
      <c r="M204" s="11" t="e">
        <f>VLOOKUP($G204, 'ADP Data'!$C$4:$Q$300, 9, FALSE)</f>
        <v>#N/A</v>
      </c>
      <c r="N204" s="11" t="e">
        <f t="shared" si="5"/>
        <v>#N/A</v>
      </c>
      <c r="O204" s="11" t="e">
        <f>VLOOKUP($G204, 'ADP Data'!$C$4:$Q$300, 3, FALSE)</f>
        <v>#N/A</v>
      </c>
      <c r="P204" s="11" t="e">
        <f t="shared" si="6"/>
        <v>#N/A</v>
      </c>
      <c r="Q204" s="11" t="e">
        <f>VLOOKUP($G204, 'ADP Data'!$C$4:$Q$300, 4, FALSE)</f>
        <v>#N/A</v>
      </c>
      <c r="R204" s="11" t="e">
        <f>VLOOKUP($G204, 'ADP Data'!$C$4:$Q$300, 5, FALSE)</f>
        <v>#N/A</v>
      </c>
      <c r="S204" s="11" t="e">
        <f>VLOOKUP($G204, 'ADP Data'!$C$4:$Q$300, 6, FALSE)</f>
        <v>#N/A</v>
      </c>
      <c r="T204" s="11" t="e">
        <f>VLOOKUP($G204, 'ADP Data'!$C$4:$Q$300, 7, FALSE)</f>
        <v>#N/A</v>
      </c>
      <c r="U204" s="11" t="e">
        <f>VLOOKUP($G204, 'ADP Data'!$C$4:$Q$300, 8, FALSE)</f>
        <v>#N/A</v>
      </c>
      <c r="V204" s="11" t="e">
        <f t="shared" si="7"/>
        <v>#N/A</v>
      </c>
      <c r="W204" s="11">
        <f t="shared" si="8"/>
        <v>16</v>
      </c>
      <c r="X204" s="11">
        <f t="shared" si="9"/>
        <v>-16</v>
      </c>
      <c r="Y204" s="11" t="e">
        <f>VLOOKUP($G204, SeanRanks!$A$2:$K$303, 10, FALSE)-V204</f>
        <v>#N/A</v>
      </c>
      <c r="Z204" s="25" t="e">
        <f>IF(VLOOKUP($G204, SeanRanks!$A$2:$H$303, 7, FALSE)=0, "", VLOOKUP($G204, SeanRanks!$A$2:$H$303, 7, FALSE))</f>
        <v>#N/A</v>
      </c>
    </row>
    <row r="205" spans="1:26" ht="14.25" customHeight="1" x14ac:dyDescent="0.25">
      <c r="A205" s="11"/>
      <c r="B205" s="11">
        <f t="shared" si="3"/>
        <v>17</v>
      </c>
      <c r="C205" s="11" t="s">
        <v>148</v>
      </c>
      <c r="D205" s="11"/>
      <c r="E205" s="11"/>
      <c r="F205" s="11">
        <f>VLOOKUP(G205, SeanRanks!$A$2:$E$302, 4, FALSE)</f>
        <v>0</v>
      </c>
      <c r="G205" s="11" t="s">
        <v>523</v>
      </c>
      <c r="H205" s="11" t="str">
        <f>VLOOKUP($G205, 'ADP Data'!$C$4:$Q$300, 2, FALSE)</f>
        <v>DET</v>
      </c>
      <c r="I205" s="11" t="str">
        <f>VLOOKUP(G205, 'ADP Data'!$C$4:$R$498, 12, FALSE)</f>
        <v>-</v>
      </c>
      <c r="J205" s="11">
        <f>VLOOKUP($G205, SeanRanks!$A$2:$H$303, 5, FALSE)</f>
        <v>0</v>
      </c>
      <c r="K205" s="11" t="str">
        <f>IF(VLOOKUP($G205, SeanRanks!$A$2:$H$303, 6, FALSE)=0, "", VLOOKUP($G205, SeanRanks!$A$2:$H$303, 6, FALSE))</f>
        <v/>
      </c>
      <c r="L205" s="11">
        <f t="shared" si="4"/>
        <v>16</v>
      </c>
      <c r="M205" s="11">
        <f>VLOOKUP($G205, 'ADP Data'!$C$4:$Q$300, 9, FALSE)</f>
        <v>187</v>
      </c>
      <c r="N205" s="11">
        <f t="shared" si="5"/>
        <v>-8</v>
      </c>
      <c r="O205" s="11">
        <f>VLOOKUP($G205, 'ADP Data'!$C$4:$Q$300, 3, FALSE)</f>
        <v>178</v>
      </c>
      <c r="P205" s="11">
        <f t="shared" si="6"/>
        <v>9</v>
      </c>
      <c r="Q205" s="11">
        <f>VLOOKUP($G205, 'ADP Data'!$C$4:$Q$300, 4, FALSE)</f>
        <v>136</v>
      </c>
      <c r="R205" s="11">
        <f>VLOOKUP($G205, 'ADP Data'!$C$4:$Q$300, 5, FALSE)</f>
        <v>257</v>
      </c>
      <c r="S205" s="11">
        <f>VLOOKUP($G205, 'ADP Data'!$C$4:$Q$300, 6, FALSE)</f>
        <v>254</v>
      </c>
      <c r="T205" s="11">
        <f>VLOOKUP($G205, 'ADP Data'!$C$4:$Q$300, 7, FALSE)</f>
        <v>201</v>
      </c>
      <c r="U205" s="11">
        <f>VLOOKUP($G205, 'ADP Data'!$C$4:$Q$300, 8, FALSE)</f>
        <v>152</v>
      </c>
      <c r="V205" s="11">
        <f t="shared" si="7"/>
        <v>195</v>
      </c>
      <c r="W205" s="11">
        <f t="shared" si="8"/>
        <v>17</v>
      </c>
      <c r="X205" s="11">
        <f t="shared" si="9"/>
        <v>-17</v>
      </c>
      <c r="Y205" s="11">
        <f>VLOOKUP($G205, SeanRanks!$A$2:$K$303, 10, FALSE)-V205</f>
        <v>-9</v>
      </c>
      <c r="Z205" s="25" t="str">
        <f>IF(VLOOKUP($G205, SeanRanks!$A$2:$H$303, 7, FALSE)=0, "", VLOOKUP($G205, SeanRanks!$A$2:$H$303, 7, FALSE))</f>
        <v/>
      </c>
    </row>
    <row r="206" spans="1:26" ht="14.25" customHeight="1" x14ac:dyDescent="0.25">
      <c r="A206" s="11"/>
      <c r="B206" s="11">
        <f t="shared" si="3"/>
        <v>24</v>
      </c>
      <c r="C206" s="11" t="s">
        <v>148</v>
      </c>
      <c r="D206" s="11"/>
      <c r="E206" s="11"/>
      <c r="F206" s="11">
        <f>VLOOKUP(G206, SeanRanks!$A$2:$E$302, 4, FALSE)</f>
        <v>0</v>
      </c>
      <c r="G206" s="11" t="s">
        <v>948</v>
      </c>
      <c r="H206" s="11" t="str">
        <f>VLOOKUP($G206, 'ADP Data'!$C$4:$Q$300, 2, FALSE)</f>
        <v>KC</v>
      </c>
      <c r="I206" s="11">
        <f>VLOOKUP(G206, 'ADP Data'!$C$4:$R$498, 12, FALSE)</f>
        <v>283</v>
      </c>
      <c r="J206" s="11">
        <f>VLOOKUP($G206, SeanRanks!$A$2:$H$303, 5, FALSE)</f>
        <v>0</v>
      </c>
      <c r="K206" s="11" t="str">
        <f>IF(VLOOKUP($G206, SeanRanks!$A$2:$H$303, 6, FALSE)=0, "", VLOOKUP($G206, SeanRanks!$A$2:$H$303, 6, FALSE))</f>
        <v/>
      </c>
      <c r="L206" s="11">
        <f t="shared" si="4"/>
        <v>24</v>
      </c>
      <c r="M206" s="11">
        <f>VLOOKUP($G206, 'ADP Data'!$C$4:$Q$300, 9, FALSE)</f>
        <v>287</v>
      </c>
      <c r="N206" s="11">
        <f t="shared" si="5"/>
        <v>5</v>
      </c>
      <c r="O206" s="11" t="str">
        <f>VLOOKUP($G206, 'ADP Data'!$C$4:$Q$300, 3, FALSE)</f>
        <v>-</v>
      </c>
      <c r="P206" s="11" t="e">
        <f t="shared" si="6"/>
        <v>#VALUE!</v>
      </c>
      <c r="Q206" s="11" t="str">
        <f>VLOOKUP($G206, 'ADP Data'!$C$4:$Q$300, 4, FALSE)</f>
        <v>-</v>
      </c>
      <c r="R206" s="11">
        <f>VLOOKUP($G206, 'ADP Data'!$C$4:$Q$300, 5, FALSE)</f>
        <v>313</v>
      </c>
      <c r="S206" s="11">
        <f>VLOOKUP($G206, 'ADP Data'!$C$4:$Q$300, 6, FALSE)</f>
        <v>293</v>
      </c>
      <c r="T206" s="11">
        <f>VLOOKUP($G206, 'ADP Data'!$C$4:$Q$300, 7, FALSE)</f>
        <v>268</v>
      </c>
      <c r="U206" s="11">
        <f>VLOOKUP($G206, 'ADP Data'!$C$4:$Q$300, 8, FALSE)</f>
        <v>252</v>
      </c>
      <c r="V206" s="11">
        <f t="shared" si="7"/>
        <v>282</v>
      </c>
      <c r="W206" s="11">
        <f t="shared" si="8"/>
        <v>24</v>
      </c>
      <c r="X206" s="11">
        <f t="shared" si="9"/>
        <v>-24</v>
      </c>
      <c r="Y206" s="11" t="e">
        <f>VLOOKUP($G206, SeanRanks!$A$2:$K$303, 10, FALSE)-V206</f>
        <v>#VALUE!</v>
      </c>
      <c r="Z206" s="25" t="str">
        <f>IF(VLOOKUP($G206, SeanRanks!$A$2:$H$303, 7, FALSE)=0, "", VLOOKUP($G206, SeanRanks!$A$2:$H$303, 7, FALSE))</f>
        <v/>
      </c>
    </row>
    <row r="207" spans="1:26" ht="14.25" customHeight="1" x14ac:dyDescent="0.25">
      <c r="A207" s="11"/>
      <c r="B207" s="11" t="e">
        <f t="shared" si="3"/>
        <v>#N/A</v>
      </c>
      <c r="C207" s="11" t="s">
        <v>148</v>
      </c>
      <c r="D207" s="11"/>
      <c r="E207" s="11"/>
      <c r="F207" s="11" t="e">
        <f>VLOOKUP(G207, SeanRanks!$A$2:$E$302, 4, FALSE)</f>
        <v>#N/A</v>
      </c>
      <c r="G207" s="11" t="s">
        <v>939</v>
      </c>
      <c r="H207" s="11" t="e">
        <f>VLOOKUP($G207, 'ADP Data'!$C$4:$Q$300, 2, FALSE)</f>
        <v>#N/A</v>
      </c>
      <c r="I207" s="11" t="e">
        <f>VLOOKUP(G207, 'ADP Data'!$C$4:$R$498, 12, FALSE)</f>
        <v>#N/A</v>
      </c>
      <c r="J207" s="11" t="e">
        <f>VLOOKUP($G207, SeanRanks!$A$2:$H$303, 5, FALSE)</f>
        <v>#N/A</v>
      </c>
      <c r="K207" s="11" t="e">
        <f>IF(VLOOKUP($G207, SeanRanks!$A$2:$H$303, 6, FALSE)=0, "", VLOOKUP($G207, SeanRanks!$A$2:$H$303, 6, FALSE))</f>
        <v>#N/A</v>
      </c>
      <c r="L207" s="11">
        <f t="shared" si="4"/>
        <v>16</v>
      </c>
      <c r="M207" s="11" t="e">
        <f>VLOOKUP($G207, 'ADP Data'!$C$4:$Q$300, 9, FALSE)</f>
        <v>#N/A</v>
      </c>
      <c r="N207" s="11" t="e">
        <f t="shared" si="5"/>
        <v>#N/A</v>
      </c>
      <c r="O207" s="11" t="e">
        <f>VLOOKUP($G207, 'ADP Data'!$C$4:$Q$300, 3, FALSE)</f>
        <v>#N/A</v>
      </c>
      <c r="P207" s="11" t="e">
        <f t="shared" si="6"/>
        <v>#N/A</v>
      </c>
      <c r="Q207" s="11" t="e">
        <f>VLOOKUP($G207, 'ADP Data'!$C$4:$Q$300, 4, FALSE)</f>
        <v>#N/A</v>
      </c>
      <c r="R207" s="11" t="e">
        <f>VLOOKUP($G207, 'ADP Data'!$C$4:$Q$300, 5, FALSE)</f>
        <v>#N/A</v>
      </c>
      <c r="S207" s="11" t="e">
        <f>VLOOKUP($G207, 'ADP Data'!$C$4:$Q$300, 6, FALSE)</f>
        <v>#N/A</v>
      </c>
      <c r="T207" s="11" t="e">
        <f>VLOOKUP($G207, 'ADP Data'!$C$4:$Q$300, 7, FALSE)</f>
        <v>#N/A</v>
      </c>
      <c r="U207" s="11" t="e">
        <f>VLOOKUP($G207, 'ADP Data'!$C$4:$Q$300, 8, FALSE)</f>
        <v>#N/A</v>
      </c>
      <c r="V207" s="11" t="e">
        <f t="shared" si="7"/>
        <v>#N/A</v>
      </c>
      <c r="W207" s="11">
        <f t="shared" si="8"/>
        <v>16</v>
      </c>
      <c r="X207" s="11">
        <f t="shared" si="9"/>
        <v>-16</v>
      </c>
      <c r="Y207" s="11" t="e">
        <f>VLOOKUP($G207, SeanRanks!$A$2:$K$303, 10, FALSE)-V207</f>
        <v>#N/A</v>
      </c>
      <c r="Z207" s="25" t="e">
        <f>IF(VLOOKUP($G207, SeanRanks!$A$2:$H$303, 7, FALSE)=0, "", VLOOKUP($G207, SeanRanks!$A$2:$H$303, 7, FALSE))</f>
        <v>#N/A</v>
      </c>
    </row>
    <row r="208" spans="1:26" ht="14.25" customHeight="1" x14ac:dyDescent="0.25">
      <c r="A208" s="11"/>
      <c r="B208" s="11">
        <f t="shared" si="3"/>
        <v>9</v>
      </c>
      <c r="C208" s="11" t="s">
        <v>148</v>
      </c>
      <c r="D208" s="11"/>
      <c r="E208" s="11"/>
      <c r="F208" s="11">
        <f>VLOOKUP(G208, SeanRanks!$A$2:$E$302, 4, FALSE)</f>
        <v>0</v>
      </c>
      <c r="G208" s="11" t="s">
        <v>812</v>
      </c>
      <c r="H208" s="11" t="str">
        <f>VLOOKUP($G208, 'ADP Data'!$C$4:$Q$300, 2, FALSE)</f>
        <v>NYJ</v>
      </c>
      <c r="I208" s="11">
        <f>VLOOKUP(G208, 'ADP Data'!$C$4:$R$498, 12, FALSE)</f>
        <v>98</v>
      </c>
      <c r="J208" s="11">
        <f>VLOOKUP($G208, SeanRanks!$A$2:$H$303, 5, FALSE)</f>
        <v>0</v>
      </c>
      <c r="K208" s="11" t="str">
        <f>IF(VLOOKUP($G208, SeanRanks!$A$2:$H$303, 6, FALSE)=0, "", VLOOKUP($G208, SeanRanks!$A$2:$H$303, 6, FALSE))</f>
        <v>QB1 - 4 - Weekly Start</v>
      </c>
      <c r="L208" s="11">
        <f t="shared" si="4"/>
        <v>12</v>
      </c>
      <c r="M208" s="11">
        <f>VLOOKUP($G208, 'ADP Data'!$C$4:$Q$300, 9, FALSE)</f>
        <v>136</v>
      </c>
      <c r="N208" s="11">
        <f t="shared" si="5"/>
        <v>24</v>
      </c>
      <c r="O208" s="11">
        <f>VLOOKUP($G208, 'ADP Data'!$C$4:$Q$300, 3, FALSE)</f>
        <v>116</v>
      </c>
      <c r="P208" s="11">
        <f t="shared" si="6"/>
        <v>20</v>
      </c>
      <c r="Q208" s="11">
        <f>VLOOKUP($G208, 'ADP Data'!$C$4:$Q$300, 4, FALSE)</f>
        <v>120</v>
      </c>
      <c r="R208" s="11">
        <f>VLOOKUP($G208, 'ADP Data'!$C$4:$Q$300, 5, FALSE)</f>
        <v>121</v>
      </c>
      <c r="S208" s="11">
        <f>VLOOKUP($G208, 'ADP Data'!$C$4:$Q$300, 6, FALSE)</f>
        <v>119</v>
      </c>
      <c r="T208" s="11">
        <f>VLOOKUP($G208, 'ADP Data'!$C$4:$Q$300, 7, FALSE)</f>
        <v>112</v>
      </c>
      <c r="U208" s="11">
        <f>VLOOKUP($G208, 'ADP Data'!$C$4:$Q$300, 8, FALSE)</f>
        <v>63</v>
      </c>
      <c r="V208" s="11">
        <f t="shared" si="7"/>
        <v>112</v>
      </c>
      <c r="W208" s="11">
        <f t="shared" si="8"/>
        <v>10</v>
      </c>
      <c r="X208" s="11">
        <f t="shared" si="9"/>
        <v>-10</v>
      </c>
      <c r="Y208" s="11">
        <f>VLOOKUP($G208, SeanRanks!$A$2:$K$303, 10, FALSE)-V208</f>
        <v>-10</v>
      </c>
      <c r="Z208" s="25">
        <f>IF(VLOOKUP($G208, SeanRanks!$A$2:$H$303, 7, FALSE)=0, "", VLOOKUP($G208, SeanRanks!$A$2:$H$303, 7, FALSE))</f>
        <v>10</v>
      </c>
    </row>
    <row r="209" spans="1:26" ht="14.25" customHeight="1" x14ac:dyDescent="0.25">
      <c r="A209" s="11"/>
      <c r="B209" s="11">
        <f t="shared" si="3"/>
        <v>16</v>
      </c>
      <c r="C209" s="11" t="s">
        <v>148</v>
      </c>
      <c r="D209" s="11"/>
      <c r="E209" s="11"/>
      <c r="F209" s="11">
        <f>VLOOKUP(G209, SeanRanks!$A$2:$E$302, 4, FALSE)</f>
        <v>0</v>
      </c>
      <c r="G209" s="11" t="s">
        <v>467</v>
      </c>
      <c r="H209" s="11" t="str">
        <f>VLOOKUP($G209, 'ADP Data'!$C$4:$Q$300, 2, FALSE)</f>
        <v>CAR</v>
      </c>
      <c r="I209" s="11">
        <f>VLOOKUP(G209, 'ADP Data'!$C$4:$R$498, 12, FALSE)</f>
        <v>146</v>
      </c>
      <c r="J209" s="11">
        <f>VLOOKUP($G209, SeanRanks!$A$2:$H$303, 5, FALSE)</f>
        <v>0</v>
      </c>
      <c r="K209" s="11" t="str">
        <f>IF(VLOOKUP($G209, SeanRanks!$A$2:$H$303, 6, FALSE)=0, "", VLOOKUP($G209, SeanRanks!$A$2:$H$303, 6, FALSE))</f>
        <v>QB3 - League Winner?</v>
      </c>
      <c r="L209" s="11">
        <f t="shared" si="4"/>
        <v>17</v>
      </c>
      <c r="M209" s="11">
        <f>VLOOKUP($G209, 'ADP Data'!$C$4:$Q$300, 9, FALSE)</f>
        <v>201</v>
      </c>
      <c r="N209" s="11">
        <f t="shared" si="5"/>
        <v>17</v>
      </c>
      <c r="O209" s="11">
        <f>VLOOKUP($G209, 'ADP Data'!$C$4:$Q$300, 3, FALSE)</f>
        <v>190</v>
      </c>
      <c r="P209" s="11">
        <f t="shared" si="6"/>
        <v>11</v>
      </c>
      <c r="Q209" s="11">
        <f>VLOOKUP($G209, 'ADP Data'!$C$4:$Q$300, 4, FALSE)</f>
        <v>193</v>
      </c>
      <c r="R209" s="11">
        <f>VLOOKUP($G209, 'ADP Data'!$C$4:$Q$300, 5, FALSE)</f>
        <v>187</v>
      </c>
      <c r="S209" s="11">
        <f>VLOOKUP($G209, 'ADP Data'!$C$4:$Q$300, 6, FALSE)</f>
        <v>170</v>
      </c>
      <c r="T209" s="11">
        <f>VLOOKUP($G209, 'ADP Data'!$C$4:$Q$300, 7, FALSE)</f>
        <v>157</v>
      </c>
      <c r="U209" s="11">
        <f>VLOOKUP($G209, 'ADP Data'!$C$4:$Q$300, 8, FALSE)</f>
        <v>194</v>
      </c>
      <c r="V209" s="11">
        <f t="shared" si="7"/>
        <v>184</v>
      </c>
      <c r="W209" s="11">
        <f t="shared" si="8"/>
        <v>16</v>
      </c>
      <c r="X209" s="11">
        <f t="shared" si="9"/>
        <v>-16</v>
      </c>
      <c r="Y209" s="11">
        <f>VLOOKUP($G209, SeanRanks!$A$2:$K$303, 10, FALSE)-V209</f>
        <v>-48</v>
      </c>
      <c r="Z209" s="25">
        <f>IF(VLOOKUP($G209, SeanRanks!$A$2:$H$303, 7, FALSE)=0, "", VLOOKUP($G209, SeanRanks!$A$2:$H$303, 7, FALSE))</f>
        <v>21</v>
      </c>
    </row>
    <row r="210" spans="1:26" ht="14.25" customHeight="1" x14ac:dyDescent="0.25">
      <c r="A210" s="11"/>
      <c r="B210" s="11" t="e">
        <f t="shared" si="3"/>
        <v>#N/A</v>
      </c>
      <c r="C210" s="11" t="s">
        <v>148</v>
      </c>
      <c r="D210" s="11"/>
      <c r="E210" s="11"/>
      <c r="F210" s="11">
        <f>VLOOKUP(G210, SeanRanks!$A$2:$E$302, 4, FALSE)</f>
        <v>0</v>
      </c>
      <c r="G210" s="11" t="s">
        <v>932</v>
      </c>
      <c r="H210" s="11" t="e">
        <f>VLOOKUP($G210, 'ADP Data'!$C$4:$Q$300, 2, FALSE)</f>
        <v>#N/A</v>
      </c>
      <c r="I210" s="11" t="e">
        <f>VLOOKUP(G210, 'ADP Data'!$C$4:$R$498, 12, FALSE)</f>
        <v>#N/A</v>
      </c>
      <c r="J210" s="11">
        <f>VLOOKUP($G210, SeanRanks!$A$2:$H$303, 5, FALSE)</f>
        <v>0</v>
      </c>
      <c r="K210" s="11" t="str">
        <f>IF(VLOOKUP($G210, SeanRanks!$A$2:$H$303, 6, FALSE)=0, "", VLOOKUP($G210, SeanRanks!$A$2:$H$303, 6, FALSE))</f>
        <v/>
      </c>
      <c r="L210" s="11">
        <f t="shared" si="4"/>
        <v>16</v>
      </c>
      <c r="M210" s="11" t="e">
        <f>VLOOKUP($G210, 'ADP Data'!$C$4:$Q$300, 9, FALSE)</f>
        <v>#N/A</v>
      </c>
      <c r="N210" s="11" t="e">
        <f t="shared" si="5"/>
        <v>#N/A</v>
      </c>
      <c r="O210" s="11" t="e">
        <f>VLOOKUP($G210, 'ADP Data'!$C$4:$Q$300, 3, FALSE)</f>
        <v>#N/A</v>
      </c>
      <c r="P210" s="11" t="e">
        <f t="shared" si="6"/>
        <v>#N/A</v>
      </c>
      <c r="Q210" s="11" t="e">
        <f>VLOOKUP($G210, 'ADP Data'!$C$4:$Q$300, 4, FALSE)</f>
        <v>#N/A</v>
      </c>
      <c r="R210" s="11" t="e">
        <f>VLOOKUP($G210, 'ADP Data'!$C$4:$Q$300, 5, FALSE)</f>
        <v>#N/A</v>
      </c>
      <c r="S210" s="11" t="e">
        <f>VLOOKUP($G210, 'ADP Data'!$C$4:$Q$300, 6, FALSE)</f>
        <v>#N/A</v>
      </c>
      <c r="T210" s="11" t="e">
        <f>VLOOKUP($G210, 'ADP Data'!$C$4:$Q$300, 7, FALSE)</f>
        <v>#N/A</v>
      </c>
      <c r="U210" s="11" t="e">
        <f>VLOOKUP($G210, 'ADP Data'!$C$4:$Q$300, 8, FALSE)</f>
        <v>#N/A</v>
      </c>
      <c r="V210" s="11" t="e">
        <f t="shared" si="7"/>
        <v>#N/A</v>
      </c>
      <c r="W210" s="11">
        <f t="shared" si="8"/>
        <v>16</v>
      </c>
      <c r="X210" s="11">
        <f t="shared" si="9"/>
        <v>-16</v>
      </c>
      <c r="Y210" s="11" t="e">
        <f>VLOOKUP($G210, SeanRanks!$A$2:$K$303, 10, FALSE)-V210</f>
        <v>#N/A</v>
      </c>
      <c r="Z210" s="25" t="str">
        <f>IF(VLOOKUP($G210, SeanRanks!$A$2:$H$303, 7, FALSE)=0, "", VLOOKUP($G210, SeanRanks!$A$2:$H$303, 7, FALSE))</f>
        <v/>
      </c>
    </row>
    <row r="211" spans="1:26" ht="14.25" customHeight="1" x14ac:dyDescent="0.25">
      <c r="A211" s="11"/>
      <c r="B211" s="11">
        <f t="shared" si="3"/>
        <v>18</v>
      </c>
      <c r="C211" s="11" t="s">
        <v>148</v>
      </c>
      <c r="D211" s="11"/>
      <c r="E211" s="11"/>
      <c r="F211" s="11">
        <f>VLOOKUP(G211, SeanRanks!$A$2:$E$302, 4, FALSE)</f>
        <v>0</v>
      </c>
      <c r="G211" s="11" t="s">
        <v>662</v>
      </c>
      <c r="H211" s="11" t="str">
        <f>VLOOKUP($G211, 'ADP Data'!$C$4:$Q$300, 2, FALSE)</f>
        <v>NO</v>
      </c>
      <c r="I211" s="11">
        <f>VLOOKUP(G211, 'ADP Data'!$C$4:$R$498, 12, FALSE)</f>
        <v>209</v>
      </c>
      <c r="J211" s="11">
        <f>VLOOKUP($G211, SeanRanks!$A$2:$H$303, 5, FALSE)</f>
        <v>0</v>
      </c>
      <c r="K211" s="11" t="str">
        <f>IF(VLOOKUP($G211, SeanRanks!$A$2:$H$303, 6, FALSE)=0, "", VLOOKUP($G211, SeanRanks!$A$2:$H$303, 6, FALSE))</f>
        <v/>
      </c>
      <c r="L211" s="11">
        <f t="shared" si="4"/>
        <v>23</v>
      </c>
      <c r="M211" s="11">
        <f>VLOOKUP($G211, 'ADP Data'!$C$4:$Q$300, 9, FALSE)</f>
        <v>266</v>
      </c>
      <c r="N211" s="11">
        <f t="shared" si="5"/>
        <v>47</v>
      </c>
      <c r="O211" s="11">
        <f>VLOOKUP($G211, 'ADP Data'!$C$4:$Q$300, 3, FALSE)</f>
        <v>202</v>
      </c>
      <c r="P211" s="11">
        <f t="shared" si="6"/>
        <v>64</v>
      </c>
      <c r="Q211" s="11" t="str">
        <f>VLOOKUP($G211, 'ADP Data'!$C$4:$Q$300, 4, FALSE)</f>
        <v>-</v>
      </c>
      <c r="R211" s="11">
        <f>VLOOKUP($G211, 'ADP Data'!$C$4:$Q$300, 5, FALSE)</f>
        <v>233</v>
      </c>
      <c r="S211" s="11">
        <f>VLOOKUP($G211, 'ADP Data'!$C$4:$Q$300, 6, FALSE)</f>
        <v>189</v>
      </c>
      <c r="T211" s="11">
        <f>VLOOKUP($G211, 'ADP Data'!$C$4:$Q$300, 7, FALSE)</f>
        <v>206</v>
      </c>
      <c r="U211" s="11" t="str">
        <f>VLOOKUP($G211, 'ADP Data'!$C$4:$Q$300, 8, FALSE)</f>
        <v>-</v>
      </c>
      <c r="V211" s="11">
        <f t="shared" si="7"/>
        <v>219</v>
      </c>
      <c r="W211" s="11">
        <f t="shared" si="8"/>
        <v>19</v>
      </c>
      <c r="X211" s="11">
        <f t="shared" si="9"/>
        <v>-19</v>
      </c>
      <c r="Y211" s="11">
        <f>VLOOKUP($G211, SeanRanks!$A$2:$K$303, 10, FALSE)-V211</f>
        <v>8</v>
      </c>
      <c r="Z211" s="25" t="str">
        <f>IF(VLOOKUP($G211, SeanRanks!$A$2:$H$303, 7, FALSE)=0, "", VLOOKUP($G211, SeanRanks!$A$2:$H$303, 7, FALSE))</f>
        <v/>
      </c>
    </row>
    <row r="212" spans="1:26" ht="14.25" customHeight="1" x14ac:dyDescent="0.25">
      <c r="A212" s="11"/>
      <c r="B212" s="11" t="e">
        <f t="shared" si="3"/>
        <v>#N/A</v>
      </c>
      <c r="C212" s="11" t="s">
        <v>148</v>
      </c>
      <c r="D212" s="11"/>
      <c r="E212" s="11"/>
      <c r="F212" s="11" t="e">
        <f>VLOOKUP(G212, SeanRanks!$A$2:$E$302, 4, FALSE)</f>
        <v>#N/A</v>
      </c>
      <c r="G212" s="11" t="s">
        <v>937</v>
      </c>
      <c r="H212" s="11" t="e">
        <f>VLOOKUP($G212, 'ADP Data'!$C$4:$Q$300, 2, FALSE)</f>
        <v>#N/A</v>
      </c>
      <c r="I212" s="11" t="e">
        <f>VLOOKUP(G212, 'ADP Data'!$C$4:$R$498, 12, FALSE)</f>
        <v>#N/A</v>
      </c>
      <c r="J212" s="11" t="e">
        <f>VLOOKUP($G212, SeanRanks!$A$2:$H$303, 5, FALSE)</f>
        <v>#N/A</v>
      </c>
      <c r="K212" s="11" t="e">
        <f>IF(VLOOKUP($G212, SeanRanks!$A$2:$H$303, 6, FALSE)=0, "", VLOOKUP($G212, SeanRanks!$A$2:$H$303, 6, FALSE))</f>
        <v>#N/A</v>
      </c>
      <c r="L212" s="11">
        <f t="shared" si="4"/>
        <v>16</v>
      </c>
      <c r="M212" s="11" t="e">
        <f>VLOOKUP($G212, 'ADP Data'!$C$4:$Q$300, 9, FALSE)</f>
        <v>#N/A</v>
      </c>
      <c r="N212" s="11" t="e">
        <f t="shared" si="5"/>
        <v>#N/A</v>
      </c>
      <c r="O212" s="11" t="e">
        <f>VLOOKUP($G212, 'ADP Data'!$C$4:$Q$300, 3, FALSE)</f>
        <v>#N/A</v>
      </c>
      <c r="P212" s="11" t="e">
        <f t="shared" si="6"/>
        <v>#N/A</v>
      </c>
      <c r="Q212" s="11" t="e">
        <f>VLOOKUP($G212, 'ADP Data'!$C$4:$Q$300, 4, FALSE)</f>
        <v>#N/A</v>
      </c>
      <c r="R212" s="11" t="e">
        <f>VLOOKUP($G212, 'ADP Data'!$C$4:$Q$300, 5, FALSE)</f>
        <v>#N/A</v>
      </c>
      <c r="S212" s="11" t="e">
        <f>VLOOKUP($G212, 'ADP Data'!$C$4:$Q$300, 6, FALSE)</f>
        <v>#N/A</v>
      </c>
      <c r="T212" s="11" t="e">
        <f>VLOOKUP($G212, 'ADP Data'!$C$4:$Q$300, 7, FALSE)</f>
        <v>#N/A</v>
      </c>
      <c r="U212" s="11" t="e">
        <f>VLOOKUP($G212, 'ADP Data'!$C$4:$Q$300, 8, FALSE)</f>
        <v>#N/A</v>
      </c>
      <c r="V212" s="11" t="e">
        <f t="shared" si="7"/>
        <v>#N/A</v>
      </c>
      <c r="W212" s="11">
        <f t="shared" si="8"/>
        <v>16</v>
      </c>
      <c r="X212" s="11">
        <f t="shared" si="9"/>
        <v>-16</v>
      </c>
      <c r="Y212" s="11" t="e">
        <f>VLOOKUP($G212, SeanRanks!$A$2:$K$303, 10, FALSE)-V212</f>
        <v>#N/A</v>
      </c>
      <c r="Z212" s="25" t="e">
        <f>IF(VLOOKUP($G212, SeanRanks!$A$2:$H$303, 7, FALSE)=0, "", VLOOKUP($G212, SeanRanks!$A$2:$H$303, 7, FALSE))</f>
        <v>#N/A</v>
      </c>
    </row>
    <row r="213" spans="1:26" ht="14.25" customHeight="1" x14ac:dyDescent="0.25">
      <c r="A213" s="11"/>
      <c r="B213" s="11" t="e">
        <f t="shared" si="3"/>
        <v>#N/A</v>
      </c>
      <c r="C213" s="11" t="s">
        <v>148</v>
      </c>
      <c r="D213" s="11"/>
      <c r="E213" s="11"/>
      <c r="F213" s="11" t="e">
        <f>VLOOKUP(G213, SeanRanks!$A$2:$E$302, 4, FALSE)</f>
        <v>#N/A</v>
      </c>
      <c r="G213" s="11" t="s">
        <v>525</v>
      </c>
      <c r="H213" s="11" t="e">
        <f>VLOOKUP($G213, 'ADP Data'!$C$4:$Q$300, 2, FALSE)</f>
        <v>#N/A</v>
      </c>
      <c r="I213" s="11" t="e">
        <f>VLOOKUP(G213, 'ADP Data'!$C$4:$R$498, 12, FALSE)</f>
        <v>#N/A</v>
      </c>
      <c r="J213" s="11" t="e">
        <f>VLOOKUP($G213, SeanRanks!$A$2:$H$303, 5, FALSE)</f>
        <v>#N/A</v>
      </c>
      <c r="K213" s="11" t="e">
        <f>IF(VLOOKUP($G213, SeanRanks!$A$2:$H$303, 6, FALSE)=0, "", VLOOKUP($G213, SeanRanks!$A$2:$H$303, 6, FALSE))</f>
        <v>#N/A</v>
      </c>
      <c r="L213" s="11">
        <f t="shared" si="4"/>
        <v>16</v>
      </c>
      <c r="M213" s="11" t="e">
        <f>VLOOKUP($G213, 'ADP Data'!$C$4:$Q$300, 9, FALSE)</f>
        <v>#N/A</v>
      </c>
      <c r="N213" s="11" t="e">
        <f t="shared" si="5"/>
        <v>#N/A</v>
      </c>
      <c r="O213" s="11" t="e">
        <f>VLOOKUP($G213, 'ADP Data'!$C$4:$Q$300, 3, FALSE)</f>
        <v>#N/A</v>
      </c>
      <c r="P213" s="11" t="e">
        <f t="shared" si="6"/>
        <v>#N/A</v>
      </c>
      <c r="Q213" s="11" t="e">
        <f>VLOOKUP($G213, 'ADP Data'!$C$4:$Q$300, 4, FALSE)</f>
        <v>#N/A</v>
      </c>
      <c r="R213" s="11" t="e">
        <f>VLOOKUP($G213, 'ADP Data'!$C$4:$Q$300, 5, FALSE)</f>
        <v>#N/A</v>
      </c>
      <c r="S213" s="11" t="e">
        <f>VLOOKUP($G213, 'ADP Data'!$C$4:$Q$300, 6, FALSE)</f>
        <v>#N/A</v>
      </c>
      <c r="T213" s="11" t="e">
        <f>VLOOKUP($G213, 'ADP Data'!$C$4:$Q$300, 7, FALSE)</f>
        <v>#N/A</v>
      </c>
      <c r="U213" s="11" t="e">
        <f>VLOOKUP($G213, 'ADP Data'!$C$4:$Q$300, 8, FALSE)</f>
        <v>#N/A</v>
      </c>
      <c r="V213" s="11" t="e">
        <f t="shared" si="7"/>
        <v>#N/A</v>
      </c>
      <c r="W213" s="11">
        <f t="shared" si="8"/>
        <v>16</v>
      </c>
      <c r="X213" s="11">
        <f t="shared" si="9"/>
        <v>-16</v>
      </c>
      <c r="Y213" s="11" t="e">
        <f>VLOOKUP($G213, SeanRanks!$A$2:$K$303, 10, FALSE)-V213</f>
        <v>#N/A</v>
      </c>
      <c r="Z213" s="25" t="e">
        <f>IF(VLOOKUP($G213, SeanRanks!$A$2:$H$303, 7, FALSE)=0, "", VLOOKUP($G213, SeanRanks!$A$2:$H$303, 7, FALSE))</f>
        <v>#N/A</v>
      </c>
    </row>
    <row r="214" spans="1:26" ht="14.25" customHeight="1" x14ac:dyDescent="0.25">
      <c r="A214" s="11"/>
      <c r="B214" s="11">
        <f t="shared" si="3"/>
        <v>8</v>
      </c>
      <c r="C214" s="11" t="s">
        <v>148</v>
      </c>
      <c r="D214" s="11"/>
      <c r="E214" s="11"/>
      <c r="F214" s="11">
        <f>VLOOKUP(G214, SeanRanks!$A$2:$E$302, 4, FALSE)</f>
        <v>0</v>
      </c>
      <c r="G214" s="11" t="s">
        <v>435</v>
      </c>
      <c r="H214" s="11" t="str">
        <f>VLOOKUP($G214, 'ADP Data'!$C$4:$Q$300, 2, FALSE)</f>
        <v>NYG</v>
      </c>
      <c r="I214" s="11">
        <f>VLOOKUP(G214, 'ADP Data'!$C$4:$R$498, 12, FALSE)</f>
        <v>88</v>
      </c>
      <c r="J214" s="11">
        <f>VLOOKUP($G214, SeanRanks!$A$2:$H$303, 5, FALSE)</f>
        <v>0</v>
      </c>
      <c r="K214" s="11" t="str">
        <f>IF(VLOOKUP($G214, SeanRanks!$A$2:$H$303, 6, FALSE)=0, "", VLOOKUP($G214, SeanRanks!$A$2:$H$303, 6, FALSE))</f>
        <v>RB3 - 2 - low ceiling</v>
      </c>
      <c r="L214" s="11">
        <f t="shared" si="4"/>
        <v>7</v>
      </c>
      <c r="M214" s="11">
        <f>VLOOKUP($G214, 'ADP Data'!$C$4:$Q$300, 9, FALSE)</f>
        <v>82</v>
      </c>
      <c r="N214" s="11">
        <f t="shared" si="5"/>
        <v>-1</v>
      </c>
      <c r="O214" s="11">
        <f>VLOOKUP($G214, 'ADP Data'!$C$4:$Q$300, 3, FALSE)</f>
        <v>70</v>
      </c>
      <c r="P214" s="11">
        <f t="shared" si="6"/>
        <v>12</v>
      </c>
      <c r="Q214" s="11">
        <f>VLOOKUP($G214, 'ADP Data'!$C$4:$Q$300, 4, FALSE)</f>
        <v>81</v>
      </c>
      <c r="R214" s="11">
        <f>VLOOKUP($G214, 'ADP Data'!$C$4:$Q$300, 5, FALSE)</f>
        <v>90</v>
      </c>
      <c r="S214" s="11">
        <f>VLOOKUP($G214, 'ADP Data'!$C$4:$Q$300, 6, FALSE)</f>
        <v>80</v>
      </c>
      <c r="T214" s="11">
        <f>VLOOKUP($G214, 'ADP Data'!$C$4:$Q$300, 7, FALSE)</f>
        <v>81</v>
      </c>
      <c r="U214" s="11">
        <f>VLOOKUP($G214, 'ADP Data'!$C$4:$Q$300, 8, FALSE)</f>
        <v>101</v>
      </c>
      <c r="V214" s="11">
        <f t="shared" si="7"/>
        <v>83</v>
      </c>
      <c r="W214" s="11">
        <f t="shared" si="8"/>
        <v>7</v>
      </c>
      <c r="X214" s="11">
        <f t="shared" si="9"/>
        <v>-7</v>
      </c>
      <c r="Y214" s="11">
        <f>VLOOKUP($G214, SeanRanks!$A$2:$K$303, 10, FALSE)-V214</f>
        <v>-16</v>
      </c>
      <c r="Z214" s="25">
        <f>IF(VLOOKUP($G214, SeanRanks!$A$2:$H$303, 7, FALSE)=0, "", VLOOKUP($G214, SeanRanks!$A$2:$H$303, 7, FALSE))</f>
        <v>34</v>
      </c>
    </row>
    <row r="215" spans="1:26" ht="14.25" customHeight="1" x14ac:dyDescent="0.25">
      <c r="A215" s="11"/>
      <c r="B215" s="11">
        <f t="shared" si="3"/>
        <v>23</v>
      </c>
      <c r="C215" s="11" t="s">
        <v>148</v>
      </c>
      <c r="D215" s="11"/>
      <c r="E215" s="11"/>
      <c r="F215" s="11">
        <f>VLOOKUP(G215, SeanRanks!$A$2:$E$302, 4, FALSE)</f>
        <v>0</v>
      </c>
      <c r="G215" s="11" t="s">
        <v>403</v>
      </c>
      <c r="H215" s="11" t="str">
        <f>VLOOKUP($G215, 'ADP Data'!$C$4:$Q$300, 2, FALSE)</f>
        <v>IND</v>
      </c>
      <c r="I215" s="11">
        <f>VLOOKUP(G215, 'ADP Data'!$C$4:$R$498, 12, FALSE)</f>
        <v>188</v>
      </c>
      <c r="J215" s="11" t="str">
        <f>VLOOKUP($G215, SeanRanks!$A$2:$H$303, 5, FALSE)</f>
        <v>Yes</v>
      </c>
      <c r="K215" s="11" t="str">
        <f>IF(VLOOKUP($G215, SeanRanks!$A$2:$H$303, 6, FALSE)=0, "", VLOOKUP($G215, SeanRanks!$A$2:$H$303, 6, FALSE))</f>
        <v>Fine very late round pick</v>
      </c>
      <c r="L215" s="11">
        <f t="shared" si="4"/>
        <v>24</v>
      </c>
      <c r="M215" s="11">
        <f>VLOOKUP($G215, 'ADP Data'!$C$4:$Q$300, 9, FALSE)</f>
        <v>277</v>
      </c>
      <c r="N215" s="11">
        <f t="shared" si="5"/>
        <v>24</v>
      </c>
      <c r="O215" s="11">
        <f>VLOOKUP($G215, 'ADP Data'!$C$4:$Q$300, 3, FALSE)</f>
        <v>156</v>
      </c>
      <c r="P215" s="11">
        <f t="shared" si="6"/>
        <v>121</v>
      </c>
      <c r="Q215" s="11" t="str">
        <f>VLOOKUP($G215, 'ADP Data'!$C$4:$Q$300, 4, FALSE)</f>
        <v>-</v>
      </c>
      <c r="R215" s="11">
        <f>VLOOKUP($G215, 'ADP Data'!$C$4:$Q$300, 5, FALSE)</f>
        <v>310</v>
      </c>
      <c r="S215" s="11">
        <f>VLOOKUP($G215, 'ADP Data'!$C$4:$Q$300, 6, FALSE)</f>
        <v>231</v>
      </c>
      <c r="T215" s="11">
        <f>VLOOKUP($G215, 'ADP Data'!$C$4:$Q$300, 7, FALSE)</f>
        <v>236</v>
      </c>
      <c r="U215" s="11">
        <f>VLOOKUP($G215, 'ADP Data'!$C$4:$Q$300, 8, FALSE)</f>
        <v>310</v>
      </c>
      <c r="V215" s="11">
        <f t="shared" si="7"/>
        <v>253</v>
      </c>
      <c r="W215" s="11">
        <f t="shared" si="8"/>
        <v>22</v>
      </c>
      <c r="X215" s="11">
        <f t="shared" si="9"/>
        <v>-22</v>
      </c>
      <c r="Y215" s="11">
        <f>VLOOKUP($G215, SeanRanks!$A$2:$K$303, 10, FALSE)-V215</f>
        <v>-8</v>
      </c>
      <c r="Z215" s="25">
        <f>IF(VLOOKUP($G215, SeanRanks!$A$2:$H$303, 7, FALSE)=0, "", VLOOKUP($G215, SeanRanks!$A$2:$H$303, 7, FALSE))</f>
        <v>25</v>
      </c>
    </row>
    <row r="216" spans="1:26" ht="14.25" customHeight="1" x14ac:dyDescent="0.25">
      <c r="A216" s="11"/>
      <c r="B216" s="11">
        <f t="shared" si="3"/>
        <v>22</v>
      </c>
      <c r="C216" s="11" t="s">
        <v>148</v>
      </c>
      <c r="D216" s="11"/>
      <c r="E216" s="11"/>
      <c r="F216" s="11">
        <f>VLOOKUP(G216, SeanRanks!$A$2:$E$302, 4, FALSE)</f>
        <v>0</v>
      </c>
      <c r="G216" s="11" t="s">
        <v>946</v>
      </c>
      <c r="H216" s="11" t="str">
        <f>VLOOKUP($G216, 'ADP Data'!$C$4:$Q$300, 2, FALSE)</f>
        <v>IND</v>
      </c>
      <c r="I216" s="11" t="str">
        <f>VLOOKUP(G216, 'ADP Data'!$C$4:$R$498, 12, FALSE)</f>
        <v>-</v>
      </c>
      <c r="J216" s="11">
        <f>VLOOKUP($G216, SeanRanks!$A$2:$H$303, 5, FALSE)</f>
        <v>0</v>
      </c>
      <c r="K216" s="11" t="str">
        <f>IF(VLOOKUP($G216, SeanRanks!$A$2:$H$303, 6, FALSE)=0, "", VLOOKUP($G216, SeanRanks!$A$2:$H$303, 6, FALSE))</f>
        <v/>
      </c>
      <c r="L216" s="11">
        <f t="shared" si="4"/>
        <v>25</v>
      </c>
      <c r="M216" s="11">
        <f>VLOOKUP($G216, 'ADP Data'!$C$4:$Q$300, 9, FALSE)</f>
        <v>290</v>
      </c>
      <c r="N216" s="11">
        <f t="shared" si="5"/>
        <v>29</v>
      </c>
      <c r="O216" s="11" t="str">
        <f>VLOOKUP($G216, 'ADP Data'!$C$4:$Q$300, 3, FALSE)</f>
        <v>-</v>
      </c>
      <c r="P216" s="11" t="e">
        <f t="shared" si="6"/>
        <v>#VALUE!</v>
      </c>
      <c r="Q216" s="11">
        <f>VLOOKUP($G216, 'ADP Data'!$C$4:$Q$300, 4, FALSE)</f>
        <v>180</v>
      </c>
      <c r="R216" s="11" t="str">
        <f>VLOOKUP($G216, 'ADP Data'!$C$4:$Q$300, 5, FALSE)</f>
        <v>-</v>
      </c>
      <c r="S216" s="11">
        <f>VLOOKUP($G216, 'ADP Data'!$C$4:$Q$300, 6, FALSE)</f>
        <v>331</v>
      </c>
      <c r="T216" s="11">
        <f>VLOOKUP($G216, 'ADP Data'!$C$4:$Q$300, 7, FALSE)</f>
        <v>271</v>
      </c>
      <c r="U216" s="11">
        <f>VLOOKUP($G216, 'ADP Data'!$C$4:$Q$300, 8, FALSE)</f>
        <v>234</v>
      </c>
      <c r="V216" s="11">
        <f t="shared" si="7"/>
        <v>261</v>
      </c>
      <c r="W216" s="11">
        <f t="shared" si="8"/>
        <v>22</v>
      </c>
      <c r="X216" s="11">
        <f t="shared" si="9"/>
        <v>-22</v>
      </c>
      <c r="Y216" s="11" t="e">
        <f>VLOOKUP($G216, SeanRanks!$A$2:$K$303, 10, FALSE)-V216</f>
        <v>#VALUE!</v>
      </c>
      <c r="Z216" s="25" t="str">
        <f>IF(VLOOKUP($G216, SeanRanks!$A$2:$H$303, 7, FALSE)=0, "", VLOOKUP($G216, SeanRanks!$A$2:$H$303, 7, FALSE))</f>
        <v/>
      </c>
    </row>
    <row r="217" spans="1:26" ht="14.25" customHeight="1" x14ac:dyDescent="0.25">
      <c r="A217" s="11"/>
      <c r="B217" s="11">
        <f t="shared" si="3"/>
        <v>14</v>
      </c>
      <c r="C217" s="11" t="s">
        <v>148</v>
      </c>
      <c r="D217" s="11"/>
      <c r="E217" s="11"/>
      <c r="F217" s="11">
        <f>VLOOKUP(G217, SeanRanks!$A$2:$E$302, 4, FALSE)</f>
        <v>0</v>
      </c>
      <c r="G217" s="11" t="s">
        <v>938</v>
      </c>
      <c r="H217" s="11" t="str">
        <f>VLOOKUP($G217, 'ADP Data'!$C$4:$Q$300, 2, FALSE)</f>
        <v>PIT</v>
      </c>
      <c r="I217" s="11">
        <f>VLOOKUP(G217, 'ADP Data'!$C$4:$R$498, 12, FALSE)</f>
        <v>189</v>
      </c>
      <c r="J217" s="11">
        <f>VLOOKUP($G217, SeanRanks!$A$2:$H$303, 5, FALSE)</f>
        <v>0</v>
      </c>
      <c r="K217" s="11" t="str">
        <f>IF(VLOOKUP($G217, SeanRanks!$A$2:$H$303, 6, FALSE)=0, "", VLOOKUP($G217, SeanRanks!$A$2:$H$303, 6, FALSE))</f>
        <v/>
      </c>
      <c r="L217" s="11">
        <f t="shared" si="4"/>
        <v>10</v>
      </c>
      <c r="M217" s="11">
        <f>VLOOKUP($G217, 'ADP Data'!$C$4:$Q$300, 9, FALSE)</f>
        <v>110</v>
      </c>
      <c r="N217" s="11">
        <f t="shared" si="5"/>
        <v>-47</v>
      </c>
      <c r="O217" s="11">
        <f>VLOOKUP($G217, 'ADP Data'!$C$4:$Q$300, 3, FALSE)</f>
        <v>183</v>
      </c>
      <c r="P217" s="11">
        <f t="shared" si="6"/>
        <v>-73</v>
      </c>
      <c r="Q217" s="11">
        <f>VLOOKUP($G217, 'ADP Data'!$C$4:$Q$300, 4, FALSE)</f>
        <v>186</v>
      </c>
      <c r="R217" s="11">
        <f>VLOOKUP($G217, 'ADP Data'!$C$4:$Q$300, 5, FALSE)</f>
        <v>203</v>
      </c>
      <c r="S217" s="11">
        <f>VLOOKUP($G217, 'ADP Data'!$C$4:$Q$300, 6, FALSE)</f>
        <v>161</v>
      </c>
      <c r="T217" s="11">
        <f>VLOOKUP($G217, 'ADP Data'!$C$4:$Q$300, 7, FALSE)</f>
        <v>169</v>
      </c>
      <c r="U217" s="11">
        <f>VLOOKUP($G217, 'ADP Data'!$C$4:$Q$300, 8, FALSE)</f>
        <v>91</v>
      </c>
      <c r="V217" s="11">
        <f t="shared" si="7"/>
        <v>157</v>
      </c>
      <c r="W217" s="11">
        <f t="shared" si="8"/>
        <v>14</v>
      </c>
      <c r="X217" s="11">
        <f t="shared" si="9"/>
        <v>-14</v>
      </c>
      <c r="Y217" s="11">
        <f>VLOOKUP($G217, SeanRanks!$A$2:$K$303, 10, FALSE)-V217</f>
        <v>3</v>
      </c>
      <c r="Z217" s="25" t="str">
        <f>IF(VLOOKUP($G217, SeanRanks!$A$2:$H$303, 7, FALSE)=0, "", VLOOKUP($G217, SeanRanks!$A$2:$H$303, 7, FALSE))</f>
        <v/>
      </c>
    </row>
    <row r="218" spans="1:26" ht="14.25" customHeight="1" x14ac:dyDescent="0.25">
      <c r="A218" s="11"/>
      <c r="B218" s="11" t="e">
        <f t="shared" si="3"/>
        <v>#N/A</v>
      </c>
      <c r="C218" s="11" t="s">
        <v>148</v>
      </c>
      <c r="D218" s="11"/>
      <c r="E218" s="11"/>
      <c r="F218" s="11" t="e">
        <f>VLOOKUP(G218, SeanRanks!$A$2:$E$302, 4, FALSE)</f>
        <v>#N/A</v>
      </c>
      <c r="G218" s="11" t="s">
        <v>944</v>
      </c>
      <c r="H218" s="11" t="e">
        <f>VLOOKUP($G218, 'ADP Data'!$C$4:$Q$300, 2, FALSE)</f>
        <v>#N/A</v>
      </c>
      <c r="I218" s="11" t="e">
        <f>VLOOKUP(G218, 'ADP Data'!$C$4:$R$498, 12, FALSE)</f>
        <v>#N/A</v>
      </c>
      <c r="J218" s="11" t="e">
        <f>VLOOKUP($G218, SeanRanks!$A$2:$H$303, 5, FALSE)</f>
        <v>#N/A</v>
      </c>
      <c r="K218" s="11" t="e">
        <f>IF(VLOOKUP($G218, SeanRanks!$A$2:$H$303, 6, FALSE)=0, "", VLOOKUP($G218, SeanRanks!$A$2:$H$303, 6, FALSE))</f>
        <v>#N/A</v>
      </c>
      <c r="L218" s="11">
        <f t="shared" si="4"/>
        <v>16</v>
      </c>
      <c r="M218" s="11" t="e">
        <f>VLOOKUP($G218, 'ADP Data'!$C$4:$Q$300, 9, FALSE)</f>
        <v>#N/A</v>
      </c>
      <c r="N218" s="11" t="e">
        <f t="shared" si="5"/>
        <v>#N/A</v>
      </c>
      <c r="O218" s="11" t="e">
        <f>VLOOKUP($G218, 'ADP Data'!$C$4:$Q$300, 3, FALSE)</f>
        <v>#N/A</v>
      </c>
      <c r="P218" s="11" t="e">
        <f t="shared" si="6"/>
        <v>#N/A</v>
      </c>
      <c r="Q218" s="11" t="e">
        <f>VLOOKUP($G218, 'ADP Data'!$C$4:$Q$300, 4, FALSE)</f>
        <v>#N/A</v>
      </c>
      <c r="R218" s="11" t="e">
        <f>VLOOKUP($G218, 'ADP Data'!$C$4:$Q$300, 5, FALSE)</f>
        <v>#N/A</v>
      </c>
      <c r="S218" s="11" t="e">
        <f>VLOOKUP($G218, 'ADP Data'!$C$4:$Q$300, 6, FALSE)</f>
        <v>#N/A</v>
      </c>
      <c r="T218" s="11" t="e">
        <f>VLOOKUP($G218, 'ADP Data'!$C$4:$Q$300, 7, FALSE)</f>
        <v>#N/A</v>
      </c>
      <c r="U218" s="11" t="e">
        <f>VLOOKUP($G218, 'ADP Data'!$C$4:$Q$300, 8, FALSE)</f>
        <v>#N/A</v>
      </c>
      <c r="V218" s="11" t="e">
        <f t="shared" si="7"/>
        <v>#N/A</v>
      </c>
      <c r="W218" s="11">
        <f t="shared" si="8"/>
        <v>16</v>
      </c>
      <c r="X218" s="11">
        <f t="shared" si="9"/>
        <v>-16</v>
      </c>
      <c r="Y218" s="11" t="e">
        <f>VLOOKUP($G218, SeanRanks!$A$2:$K$303, 10, FALSE)-V218</f>
        <v>#N/A</v>
      </c>
      <c r="Z218" s="25" t="e">
        <f>IF(VLOOKUP($G218, SeanRanks!$A$2:$H$303, 7, FALSE)=0, "", VLOOKUP($G218, SeanRanks!$A$2:$H$303, 7, FALSE))</f>
        <v>#N/A</v>
      </c>
    </row>
    <row r="219" spans="1:26" ht="14.25" customHeight="1" x14ac:dyDescent="0.25">
      <c r="A219" s="11"/>
      <c r="B219" s="11">
        <f t="shared" si="3"/>
        <v>20</v>
      </c>
      <c r="C219" s="11" t="s">
        <v>148</v>
      </c>
      <c r="D219" s="11"/>
      <c r="E219" s="11"/>
      <c r="F219" s="11">
        <f>VLOOKUP(G219, SeanRanks!$A$2:$E$302, 4, FALSE)</f>
        <v>0</v>
      </c>
      <c r="G219" s="11" t="s">
        <v>945</v>
      </c>
      <c r="H219" s="11" t="str">
        <f>VLOOKUP($G219, 'ADP Data'!$C$4:$Q$300, 2, FALSE)</f>
        <v>CHI</v>
      </c>
      <c r="I219" s="11">
        <f>VLOOKUP(G219, 'ADP Data'!$C$4:$R$498, 12, FALSE)</f>
        <v>220</v>
      </c>
      <c r="J219" s="11">
        <f>VLOOKUP($G219, SeanRanks!$A$2:$H$303, 5, FALSE)</f>
        <v>0</v>
      </c>
      <c r="K219" s="11" t="str">
        <f>IF(VLOOKUP($G219, SeanRanks!$A$2:$H$303, 6, FALSE)=0, "", VLOOKUP($G219, SeanRanks!$A$2:$H$303, 6, FALSE))</f>
        <v/>
      </c>
      <c r="L219" s="11">
        <f t="shared" si="4"/>
        <v>17</v>
      </c>
      <c r="M219" s="11">
        <f>VLOOKUP($G219, 'ADP Data'!$C$4:$Q$300, 9, FALSE)</f>
        <v>203</v>
      </c>
      <c r="N219" s="11">
        <f t="shared" si="5"/>
        <v>-25</v>
      </c>
      <c r="O219" s="11">
        <f>VLOOKUP($G219, 'ADP Data'!$C$4:$Q$300, 3, FALSE)</f>
        <v>213</v>
      </c>
      <c r="P219" s="11">
        <f t="shared" si="6"/>
        <v>-10</v>
      </c>
      <c r="Q219" s="11" t="str">
        <f>VLOOKUP($G219, 'ADP Data'!$C$4:$Q$300, 4, FALSE)</f>
        <v>-</v>
      </c>
      <c r="R219" s="11">
        <f>VLOOKUP($G219, 'ADP Data'!$C$4:$Q$300, 5, FALSE)</f>
        <v>275</v>
      </c>
      <c r="S219" s="11">
        <f>VLOOKUP($G219, 'ADP Data'!$C$4:$Q$300, 6, FALSE)</f>
        <v>186</v>
      </c>
      <c r="T219" s="11">
        <f>VLOOKUP($G219, 'ADP Data'!$C$4:$Q$300, 7, FALSE)</f>
        <v>188</v>
      </c>
      <c r="U219" s="11">
        <f>VLOOKUP($G219, 'ADP Data'!$C$4:$Q$300, 8, FALSE)</f>
        <v>304</v>
      </c>
      <c r="V219" s="11">
        <f t="shared" si="7"/>
        <v>228</v>
      </c>
      <c r="W219" s="11">
        <f t="shared" si="8"/>
        <v>20</v>
      </c>
      <c r="X219" s="11">
        <f t="shared" si="9"/>
        <v>-20</v>
      </c>
      <c r="Y219" s="11">
        <f>VLOOKUP($G219, SeanRanks!$A$2:$K$303, 10, FALSE)-V219</f>
        <v>-57</v>
      </c>
      <c r="Z219" s="25" t="str">
        <f>IF(VLOOKUP($G219, SeanRanks!$A$2:$H$303, 7, FALSE)=0, "", VLOOKUP($G219, SeanRanks!$A$2:$H$303, 7, FALSE))</f>
        <v/>
      </c>
    </row>
    <row r="220" spans="1:26" ht="14.25" customHeight="1" x14ac:dyDescent="0.25">
      <c r="A220" s="11"/>
      <c r="B220" s="11" t="e">
        <f t="shared" si="3"/>
        <v>#N/A</v>
      </c>
      <c r="C220" s="11" t="s">
        <v>148</v>
      </c>
      <c r="D220" s="11"/>
      <c r="E220" s="11"/>
      <c r="F220" s="11" t="e">
        <f>VLOOKUP(G220, SeanRanks!$A$2:$E$302, 4, FALSE)</f>
        <v>#N/A</v>
      </c>
      <c r="G220" s="11" t="s">
        <v>954</v>
      </c>
      <c r="H220" s="11" t="e">
        <f>VLOOKUP($G220, 'ADP Data'!$C$4:$Q$300, 2, FALSE)</f>
        <v>#N/A</v>
      </c>
      <c r="I220" s="11" t="e">
        <f>VLOOKUP(G220, 'ADP Data'!$C$4:$R$498, 12, FALSE)</f>
        <v>#N/A</v>
      </c>
      <c r="J220" s="11" t="e">
        <f>VLOOKUP($G220, SeanRanks!$A$2:$H$303, 5, FALSE)</f>
        <v>#N/A</v>
      </c>
      <c r="K220" s="11" t="e">
        <f>IF(VLOOKUP($G220, SeanRanks!$A$2:$H$303, 6, FALSE)=0, "", VLOOKUP($G220, SeanRanks!$A$2:$H$303, 6, FALSE))</f>
        <v>#N/A</v>
      </c>
      <c r="L220" s="11">
        <f t="shared" si="4"/>
        <v>16</v>
      </c>
      <c r="M220" s="11" t="e">
        <f>VLOOKUP($G220, 'ADP Data'!$C$4:$Q$300, 9, FALSE)</f>
        <v>#N/A</v>
      </c>
      <c r="N220" s="11" t="e">
        <f t="shared" si="5"/>
        <v>#N/A</v>
      </c>
      <c r="O220" s="11" t="e">
        <f>VLOOKUP($G220, 'ADP Data'!$C$4:$Q$300, 3, FALSE)</f>
        <v>#N/A</v>
      </c>
      <c r="P220" s="11" t="e">
        <f t="shared" si="6"/>
        <v>#N/A</v>
      </c>
      <c r="Q220" s="11" t="e">
        <f>VLOOKUP($G220, 'ADP Data'!$C$4:$Q$300, 4, FALSE)</f>
        <v>#N/A</v>
      </c>
      <c r="R220" s="11" t="e">
        <f>VLOOKUP($G220, 'ADP Data'!$C$4:$Q$300, 5, FALSE)</f>
        <v>#N/A</v>
      </c>
      <c r="S220" s="11" t="e">
        <f>VLOOKUP($G220, 'ADP Data'!$C$4:$Q$300, 6, FALSE)</f>
        <v>#N/A</v>
      </c>
      <c r="T220" s="11" t="e">
        <f>VLOOKUP($G220, 'ADP Data'!$C$4:$Q$300, 7, FALSE)</f>
        <v>#N/A</v>
      </c>
      <c r="U220" s="11" t="e">
        <f>VLOOKUP($G220, 'ADP Data'!$C$4:$Q$300, 8, FALSE)</f>
        <v>#N/A</v>
      </c>
      <c r="V220" s="11" t="e">
        <f t="shared" si="7"/>
        <v>#N/A</v>
      </c>
      <c r="W220" s="11">
        <f t="shared" si="8"/>
        <v>16</v>
      </c>
      <c r="X220" s="11">
        <f t="shared" si="9"/>
        <v>-16</v>
      </c>
      <c r="Y220" s="11" t="e">
        <f>VLOOKUP($G220, SeanRanks!$A$2:$K$303, 10, FALSE)-V220</f>
        <v>#N/A</v>
      </c>
      <c r="Z220" s="25" t="e">
        <f>IF(VLOOKUP($G220, SeanRanks!$A$2:$H$303, 7, FALSE)=0, "", VLOOKUP($G220, SeanRanks!$A$2:$H$303, 7, FALSE))</f>
        <v>#N/A</v>
      </c>
    </row>
    <row r="221" spans="1:26" ht="14.25" customHeight="1" x14ac:dyDescent="0.25">
      <c r="A221" s="11"/>
      <c r="B221" s="11">
        <f t="shared" si="3"/>
        <v>19</v>
      </c>
      <c r="C221" s="11" t="s">
        <v>148</v>
      </c>
      <c r="D221" s="11"/>
      <c r="E221" s="11"/>
      <c r="F221" s="11">
        <f>VLOOKUP(G221, SeanRanks!$A$2:$E$302, 4, FALSE)</f>
        <v>0</v>
      </c>
      <c r="G221" s="11" t="s">
        <v>943</v>
      </c>
      <c r="H221" s="11" t="str">
        <f>VLOOKUP($G221, 'ADP Data'!$C$4:$Q$300, 2, FALSE)</f>
        <v>TB</v>
      </c>
      <c r="I221" s="11" t="str">
        <f>VLOOKUP(G221, 'ADP Data'!$C$4:$R$498, 12, FALSE)</f>
        <v>-</v>
      </c>
      <c r="J221" s="11">
        <f>VLOOKUP($G221, SeanRanks!$A$2:$H$303, 5, FALSE)</f>
        <v>0</v>
      </c>
      <c r="K221" s="11" t="str">
        <f>IF(VLOOKUP($G221, SeanRanks!$A$2:$H$303, 6, FALSE)=0, "", VLOOKUP($G221, SeanRanks!$A$2:$H$303, 6, FALSE))</f>
        <v/>
      </c>
      <c r="L221" s="11">
        <f t="shared" si="4"/>
        <v>16</v>
      </c>
      <c r="M221" s="11">
        <f>VLOOKUP($G221, 'ADP Data'!$C$4:$Q$300, 9, FALSE)</f>
        <v>184</v>
      </c>
      <c r="N221" s="11">
        <f t="shared" si="5"/>
        <v>-36</v>
      </c>
      <c r="O221" s="11" t="str">
        <f>VLOOKUP($G221, 'ADP Data'!$C$4:$Q$300, 3, FALSE)</f>
        <v>-</v>
      </c>
      <c r="P221" s="11" t="e">
        <f t="shared" si="6"/>
        <v>#VALUE!</v>
      </c>
      <c r="Q221" s="11">
        <f>VLOOKUP($G221, 'ADP Data'!$C$4:$Q$300, 4, FALSE)</f>
        <v>202</v>
      </c>
      <c r="R221" s="11">
        <f>VLOOKUP($G221, 'ADP Data'!$C$4:$Q$300, 5, FALSE)</f>
        <v>228</v>
      </c>
      <c r="S221" s="11">
        <f>VLOOKUP($G221, 'ADP Data'!$C$4:$Q$300, 6, FALSE)</f>
        <v>317</v>
      </c>
      <c r="T221" s="11">
        <f>VLOOKUP($G221, 'ADP Data'!$C$4:$Q$300, 7, FALSE)</f>
        <v>254</v>
      </c>
      <c r="U221" s="11">
        <f>VLOOKUP($G221, 'ADP Data'!$C$4:$Q$300, 8, FALSE)</f>
        <v>138</v>
      </c>
      <c r="V221" s="11">
        <f t="shared" si="7"/>
        <v>220</v>
      </c>
      <c r="W221" s="11">
        <f t="shared" si="8"/>
        <v>19</v>
      </c>
      <c r="X221" s="11">
        <f t="shared" si="9"/>
        <v>-19</v>
      </c>
      <c r="Y221" s="11" t="e">
        <f>VLOOKUP($G221, SeanRanks!$A$2:$K$303, 10, FALSE)-V221</f>
        <v>#VALUE!</v>
      </c>
      <c r="Z221" s="25" t="str">
        <f>IF(VLOOKUP($G221, SeanRanks!$A$2:$H$303, 7, FALSE)=0, "", VLOOKUP($G221, SeanRanks!$A$2:$H$303, 7, FALSE))</f>
        <v/>
      </c>
    </row>
    <row r="222" spans="1:26" ht="14.25" customHeight="1" x14ac:dyDescent="0.25">
      <c r="A222" s="11"/>
      <c r="B222" s="11">
        <f t="shared" si="3"/>
        <v>21</v>
      </c>
      <c r="C222" s="11" t="s">
        <v>148</v>
      </c>
      <c r="D222" s="11"/>
      <c r="E222" s="11"/>
      <c r="F222" s="11">
        <f>VLOOKUP(G222, SeanRanks!$A$2:$E$302, 4, FALSE)</f>
        <v>0</v>
      </c>
      <c r="G222" s="11" t="s">
        <v>949</v>
      </c>
      <c r="H222" s="11" t="str">
        <f>VLOOKUP($G222, 'ADP Data'!$C$4:$Q$300, 2, FALSE)</f>
        <v>NYG</v>
      </c>
      <c r="I222" s="11">
        <f>VLOOKUP(G222, 'ADP Data'!$C$4:$R$498, 12, FALSE)</f>
        <v>217</v>
      </c>
      <c r="J222" s="11">
        <f>VLOOKUP($G222, SeanRanks!$A$2:$H$303, 5, FALSE)</f>
        <v>0</v>
      </c>
      <c r="K222" s="11" t="str">
        <f>IF(VLOOKUP($G222, SeanRanks!$A$2:$H$303, 6, FALSE)=0, "", VLOOKUP($G222, SeanRanks!$A$2:$H$303, 6, FALSE))</f>
        <v/>
      </c>
      <c r="L222" s="11">
        <f t="shared" si="4"/>
        <v>23</v>
      </c>
      <c r="M222" s="11">
        <f>VLOOKUP($G222, 'ADP Data'!$C$4:$Q$300, 9, FALSE)</f>
        <v>265</v>
      </c>
      <c r="N222" s="11">
        <f t="shared" si="5"/>
        <v>20</v>
      </c>
      <c r="O222" s="11" t="str">
        <f>VLOOKUP($G222, 'ADP Data'!$C$4:$Q$300, 3, FALSE)</f>
        <v>-</v>
      </c>
      <c r="P222" s="11" t="e">
        <f t="shared" si="6"/>
        <v>#VALUE!</v>
      </c>
      <c r="Q222" s="11">
        <f>VLOOKUP($G222, 'ADP Data'!$C$4:$Q$300, 4, FALSE)</f>
        <v>239</v>
      </c>
      <c r="R222" s="11">
        <f>VLOOKUP($G222, 'ADP Data'!$C$4:$Q$300, 5, FALSE)</f>
        <v>264</v>
      </c>
      <c r="S222" s="11">
        <f>VLOOKUP($G222, 'ADP Data'!$C$4:$Q$300, 6, FALSE)</f>
        <v>243</v>
      </c>
      <c r="T222" s="11">
        <f>VLOOKUP($G222, 'ADP Data'!$C$4:$Q$300, 7, FALSE)</f>
        <v>238</v>
      </c>
      <c r="U222" s="11">
        <f>VLOOKUP($G222, 'ADP Data'!$C$4:$Q$300, 8, FALSE)</f>
        <v>225</v>
      </c>
      <c r="V222" s="11">
        <f t="shared" si="7"/>
        <v>245</v>
      </c>
      <c r="W222" s="11">
        <f t="shared" si="8"/>
        <v>21</v>
      </c>
      <c r="X222" s="11">
        <f t="shared" si="9"/>
        <v>-21</v>
      </c>
      <c r="Y222" s="11" t="e">
        <f>VLOOKUP($G222, SeanRanks!$A$2:$K$303, 10, FALSE)-V222</f>
        <v>#VALUE!</v>
      </c>
      <c r="Z222" s="25" t="str">
        <f>IF(VLOOKUP($G222, SeanRanks!$A$2:$H$303, 7, FALSE)=0, "", VLOOKUP($G222, SeanRanks!$A$2:$H$303, 7, FALSE))</f>
        <v/>
      </c>
    </row>
    <row r="223" spans="1:26" ht="14.25" customHeight="1" x14ac:dyDescent="0.25">
      <c r="A223" s="11"/>
      <c r="B223" s="11">
        <f t="shared" si="3"/>
        <v>21</v>
      </c>
      <c r="C223" s="11" t="s">
        <v>148</v>
      </c>
      <c r="D223" s="11"/>
      <c r="E223" s="11"/>
      <c r="F223" s="11">
        <f>VLOOKUP(G223, SeanRanks!$A$2:$E$302, 4, FALSE)</f>
        <v>0</v>
      </c>
      <c r="G223" s="11" t="s">
        <v>953</v>
      </c>
      <c r="H223" s="11" t="str">
        <f>VLOOKUP($G223, 'ADP Data'!$C$4:$Q$300, 2, FALSE)</f>
        <v>PIT</v>
      </c>
      <c r="I223" s="11">
        <f>VLOOKUP(G223, 'ADP Data'!$C$4:$R$498, 12, FALSE)</f>
        <v>179</v>
      </c>
      <c r="J223" s="11">
        <f>VLOOKUP($G223, SeanRanks!$A$2:$H$303, 5, FALSE)</f>
        <v>0</v>
      </c>
      <c r="K223" s="11" t="str">
        <f>IF(VLOOKUP($G223, SeanRanks!$A$2:$H$303, 6, FALSE)=0, "", VLOOKUP($G223, SeanRanks!$A$2:$H$303, 6, FALSE))</f>
        <v/>
      </c>
      <c r="L223" s="11">
        <f t="shared" si="4"/>
        <v>23</v>
      </c>
      <c r="M223" s="11">
        <f>VLOOKUP($G223, 'ADP Data'!$C$4:$Q$300, 9, FALSE)</f>
        <v>269</v>
      </c>
      <c r="N223" s="11">
        <f t="shared" si="5"/>
        <v>17</v>
      </c>
      <c r="O223" s="11" t="str">
        <f>VLOOKUP($G223, 'ADP Data'!$C$4:$Q$300, 3, FALSE)</f>
        <v>-</v>
      </c>
      <c r="P223" s="11" t="e">
        <f t="shared" si="6"/>
        <v>#VALUE!</v>
      </c>
      <c r="Q223" s="11" t="str">
        <f>VLOOKUP($G223, 'ADP Data'!$C$4:$Q$300, 4, FALSE)</f>
        <v>-</v>
      </c>
      <c r="R223" s="11" t="str">
        <f>VLOOKUP($G223, 'ADP Data'!$C$4:$Q$300, 5, FALSE)</f>
        <v>-</v>
      </c>
      <c r="S223" s="11">
        <f>VLOOKUP($G223, 'ADP Data'!$C$4:$Q$300, 6, FALSE)</f>
        <v>242</v>
      </c>
      <c r="T223" s="11">
        <f>VLOOKUP($G223, 'ADP Data'!$C$4:$Q$300, 7, FALSE)</f>
        <v>245</v>
      </c>
      <c r="U223" s="11" t="str">
        <f>VLOOKUP($G223, 'ADP Data'!$C$4:$Q$300, 8, FALSE)</f>
        <v>-</v>
      </c>
      <c r="V223" s="11">
        <f t="shared" si="7"/>
        <v>252</v>
      </c>
      <c r="W223" s="11">
        <f t="shared" si="8"/>
        <v>22</v>
      </c>
      <c r="X223" s="11">
        <f t="shared" si="9"/>
        <v>-22</v>
      </c>
      <c r="Y223" s="11">
        <f>VLOOKUP($G223, SeanRanks!$A$2:$K$303, 10, FALSE)-V223</f>
        <v>-15</v>
      </c>
      <c r="Z223" s="25" t="str">
        <f>IF(VLOOKUP($G223, SeanRanks!$A$2:$H$303, 7, FALSE)=0, "", VLOOKUP($G223, SeanRanks!$A$2:$H$303, 7, FALSE))</f>
        <v/>
      </c>
    </row>
    <row r="224" spans="1:26" ht="14.25" customHeight="1" x14ac:dyDescent="0.25">
      <c r="A224" s="11"/>
      <c r="B224" s="11">
        <f t="shared" si="3"/>
        <v>11</v>
      </c>
      <c r="C224" s="11" t="s">
        <v>148</v>
      </c>
      <c r="D224" s="11"/>
      <c r="E224" s="11"/>
      <c r="F224" s="11">
        <f>VLOOKUP(G224, SeanRanks!$A$2:$E$302, 4, FALSE)</f>
        <v>0</v>
      </c>
      <c r="G224" s="11" t="s">
        <v>204</v>
      </c>
      <c r="H224" s="11" t="str">
        <f>VLOOKUP($G224, 'ADP Data'!$C$4:$Q$300, 2, FALSE)</f>
        <v>NE</v>
      </c>
      <c r="I224" s="11">
        <f>VLOOKUP(G224, 'ADP Data'!$C$4:$R$498, 12, FALSE)</f>
        <v>110</v>
      </c>
      <c r="J224" s="11">
        <f>VLOOKUP($G224, SeanRanks!$A$2:$H$303, 5, FALSE)</f>
        <v>0</v>
      </c>
      <c r="K224" s="11" t="str">
        <f>IF(VLOOKUP($G224, SeanRanks!$A$2:$H$303, 6, FALSE)=0, "", VLOOKUP($G224, SeanRanks!$A$2:$H$303, 6, FALSE))</f>
        <v>QB2 - 1 - League Winner</v>
      </c>
      <c r="L224" s="11">
        <f t="shared" si="4"/>
        <v>11</v>
      </c>
      <c r="M224" s="11">
        <f>VLOOKUP($G224, 'ADP Data'!$C$4:$Q$300, 9, FALSE)</f>
        <v>127</v>
      </c>
      <c r="N224" s="11">
        <f t="shared" si="5"/>
        <v>1</v>
      </c>
      <c r="O224" s="11">
        <f>VLOOKUP($G224, 'ADP Data'!$C$4:$Q$300, 3, FALSE)</f>
        <v>130</v>
      </c>
      <c r="P224" s="11">
        <f t="shared" si="6"/>
        <v>-3</v>
      </c>
      <c r="Q224" s="11">
        <f>VLOOKUP($G224, 'ADP Data'!$C$4:$Q$300, 4, FALSE)</f>
        <v>124</v>
      </c>
      <c r="R224" s="11">
        <f>VLOOKUP($G224, 'ADP Data'!$C$4:$Q$300, 5, FALSE)</f>
        <v>130</v>
      </c>
      <c r="S224" s="11">
        <f>VLOOKUP($G224, 'ADP Data'!$C$4:$Q$300, 6, FALSE)</f>
        <v>117</v>
      </c>
      <c r="T224" s="11">
        <f>VLOOKUP($G224, 'ADP Data'!$C$4:$Q$300, 7, FALSE)</f>
        <v>114</v>
      </c>
      <c r="U224" s="11">
        <f>VLOOKUP($G224, 'ADP Data'!$C$4:$Q$300, 8, FALSE)</f>
        <v>144</v>
      </c>
      <c r="V224" s="11">
        <f t="shared" si="7"/>
        <v>126</v>
      </c>
      <c r="W224" s="11">
        <f t="shared" si="8"/>
        <v>11</v>
      </c>
      <c r="X224" s="11">
        <f t="shared" si="9"/>
        <v>-11</v>
      </c>
      <c r="Y224" s="11">
        <f>VLOOKUP($G224, SeanRanks!$A$2:$K$303, 10, FALSE)-V224</f>
        <v>-27</v>
      </c>
      <c r="Z224" s="25">
        <f>IF(VLOOKUP($G224, SeanRanks!$A$2:$H$303, 7, FALSE)=0, "", VLOOKUP($G224, SeanRanks!$A$2:$H$303, 7, FALSE))</f>
        <v>14</v>
      </c>
    </row>
    <row r="225" spans="1:26" ht="14.25" customHeight="1" x14ac:dyDescent="0.25">
      <c r="A225" s="11"/>
      <c r="B225" s="11">
        <f t="shared" si="3"/>
        <v>18</v>
      </c>
      <c r="C225" s="11" t="s">
        <v>148</v>
      </c>
      <c r="D225" s="11"/>
      <c r="E225" s="11"/>
      <c r="F225" s="11">
        <f>VLOOKUP(G225, SeanRanks!$A$2:$E$302, 4, FALSE)</f>
        <v>0</v>
      </c>
      <c r="G225" s="11" t="s">
        <v>431</v>
      </c>
      <c r="H225" s="11" t="str">
        <f>VLOOKUP($G225, 'ADP Data'!$C$4:$Q$300, 2, FALSE)</f>
        <v>SEA</v>
      </c>
      <c r="I225" s="11">
        <f>VLOOKUP(G225, 'ADP Data'!$C$4:$R$498, 12, FALSE)</f>
        <v>173</v>
      </c>
      <c r="J225" s="11">
        <f>VLOOKUP($G225, SeanRanks!$A$2:$H$303, 5, FALSE)</f>
        <v>0</v>
      </c>
      <c r="K225" s="11" t="str">
        <f>IF(VLOOKUP($G225, SeanRanks!$A$2:$H$303, 6, FALSE)=0, "", VLOOKUP($G225, SeanRanks!$A$2:$H$303, 6, FALSE))</f>
        <v>Don’t Draft - Streamer</v>
      </c>
      <c r="L225" s="11">
        <f t="shared" si="4"/>
        <v>19</v>
      </c>
      <c r="M225" s="11">
        <f>VLOOKUP($G225, 'ADP Data'!$C$4:$Q$300, 9, FALSE)</f>
        <v>226</v>
      </c>
      <c r="N225" s="11">
        <f t="shared" si="5"/>
        <v>16</v>
      </c>
      <c r="O225" s="11" t="str">
        <f>VLOOKUP($G225, 'ADP Data'!$C$4:$Q$300, 3, FALSE)</f>
        <v>-</v>
      </c>
      <c r="P225" s="11" t="e">
        <f t="shared" si="6"/>
        <v>#VALUE!</v>
      </c>
      <c r="Q225" s="11">
        <f>VLOOKUP($G225, 'ADP Data'!$C$4:$Q$300, 4, FALSE)</f>
        <v>204</v>
      </c>
      <c r="R225" s="11">
        <f>VLOOKUP($G225, 'ADP Data'!$C$4:$Q$300, 5, FALSE)</f>
        <v>222</v>
      </c>
      <c r="S225" s="11">
        <f>VLOOKUP($G225, 'ADP Data'!$C$4:$Q$300, 6, FALSE)</f>
        <v>213</v>
      </c>
      <c r="T225" s="11">
        <f>VLOOKUP($G225, 'ADP Data'!$C$4:$Q$300, 7, FALSE)</f>
        <v>196</v>
      </c>
      <c r="U225" s="11">
        <f>VLOOKUP($G225, 'ADP Data'!$C$4:$Q$300, 8, FALSE)</f>
        <v>201</v>
      </c>
      <c r="V225" s="11">
        <f t="shared" si="7"/>
        <v>210</v>
      </c>
      <c r="W225" s="11">
        <f t="shared" si="8"/>
        <v>18</v>
      </c>
      <c r="X225" s="11">
        <f t="shared" si="9"/>
        <v>-18</v>
      </c>
      <c r="Y225" s="11">
        <f>VLOOKUP($G225, SeanRanks!$A$2:$K$303, 10, FALSE)-V225</f>
        <v>12</v>
      </c>
      <c r="Z225" s="25" t="str">
        <f>IF(VLOOKUP($G225, SeanRanks!$A$2:$H$303, 7, FALSE)=0, "", VLOOKUP($G225, SeanRanks!$A$2:$H$303, 7, FALSE))</f>
        <v/>
      </c>
    </row>
    <row r="226" spans="1:26" ht="14.25" customHeight="1" x14ac:dyDescent="0.25">
      <c r="A226" s="11"/>
      <c r="B226" s="11">
        <f t="shared" si="3"/>
        <v>25</v>
      </c>
      <c r="C226" s="11" t="s">
        <v>148</v>
      </c>
      <c r="D226" s="11"/>
      <c r="E226" s="11"/>
      <c r="F226" s="11">
        <f>VLOOKUP(G226, SeanRanks!$A$2:$E$302, 4, FALSE)</f>
        <v>0</v>
      </c>
      <c r="G226" s="11" t="s">
        <v>941</v>
      </c>
      <c r="H226" s="11" t="str">
        <f>VLOOKUP($G226, 'ADP Data'!$C$4:$Q$300, 2, FALSE)</f>
        <v>DAL</v>
      </c>
      <c r="I226" s="11">
        <f>VLOOKUP(G226, 'ADP Data'!$C$4:$R$498, 12, FALSE)</f>
        <v>284</v>
      </c>
      <c r="J226" s="11">
        <f>VLOOKUP($G226, SeanRanks!$A$2:$H$303, 5, FALSE)</f>
        <v>0</v>
      </c>
      <c r="K226" s="11" t="str">
        <f>IF(VLOOKUP($G226, SeanRanks!$A$2:$H$303, 6, FALSE)=0, "", VLOOKUP($G226, SeanRanks!$A$2:$H$303, 6, FALSE))</f>
        <v/>
      </c>
      <c r="L226" s="11">
        <f t="shared" si="4"/>
        <v>27</v>
      </c>
      <c r="M226" s="11">
        <f>VLOOKUP($G226, 'ADP Data'!$C$4:$Q$300, 9, FALSE)</f>
        <v>319</v>
      </c>
      <c r="N226" s="11">
        <f t="shared" si="5"/>
        <v>16</v>
      </c>
      <c r="O226" s="11" t="str">
        <f>VLOOKUP($G226, 'ADP Data'!$C$4:$Q$300, 3, FALSE)</f>
        <v>-</v>
      </c>
      <c r="P226" s="11" t="e">
        <f t="shared" si="6"/>
        <v>#VALUE!</v>
      </c>
      <c r="Q226" s="11" t="str">
        <f>VLOOKUP($G226, 'ADP Data'!$C$4:$Q$300, 4, FALSE)</f>
        <v>-</v>
      </c>
      <c r="R226" s="11" t="str">
        <f>VLOOKUP($G226, 'ADP Data'!$C$4:$Q$300, 5, FALSE)</f>
        <v>-</v>
      </c>
      <c r="S226" s="11">
        <f>VLOOKUP($G226, 'ADP Data'!$C$4:$Q$300, 6, FALSE)</f>
        <v>340</v>
      </c>
      <c r="T226" s="11">
        <f>VLOOKUP($G226, 'ADP Data'!$C$4:$Q$300, 7, FALSE)</f>
        <v>270</v>
      </c>
      <c r="U226" s="11">
        <f>VLOOKUP($G226, 'ADP Data'!$C$4:$Q$300, 8, FALSE)</f>
        <v>284</v>
      </c>
      <c r="V226" s="11">
        <f t="shared" si="7"/>
        <v>303</v>
      </c>
      <c r="W226" s="11">
        <f t="shared" si="8"/>
        <v>26</v>
      </c>
      <c r="X226" s="11">
        <f t="shared" si="9"/>
        <v>-26</v>
      </c>
      <c r="Y226" s="11" t="e">
        <f>VLOOKUP($G226, SeanRanks!$A$2:$K$303, 10, FALSE)-V226</f>
        <v>#VALUE!</v>
      </c>
      <c r="Z226" s="25" t="str">
        <f>IF(VLOOKUP($G226, SeanRanks!$A$2:$H$303, 7, FALSE)=0, "", VLOOKUP($G226, SeanRanks!$A$2:$H$303, 7, FALSE))</f>
        <v/>
      </c>
    </row>
    <row r="227" spans="1:26" ht="14.25" customHeight="1" x14ac:dyDescent="0.25">
      <c r="A227" s="11"/>
      <c r="B227" s="11">
        <f t="shared" si="3"/>
        <v>19</v>
      </c>
      <c r="C227" s="11" t="s">
        <v>148</v>
      </c>
      <c r="D227" s="11"/>
      <c r="E227" s="11"/>
      <c r="F227" s="11">
        <f>VLOOKUP(G227, SeanRanks!$A$2:$E$302, 4, FALSE)</f>
        <v>0</v>
      </c>
      <c r="G227" s="11" t="s">
        <v>519</v>
      </c>
      <c r="H227" s="11" t="str">
        <f>VLOOKUP($G227, 'ADP Data'!$C$4:$Q$300, 2, FALSE)</f>
        <v>LAC</v>
      </c>
      <c r="I227" s="11" t="str">
        <f>VLOOKUP(G227, 'ADP Data'!$C$4:$R$498, 12, FALSE)</f>
        <v>-</v>
      </c>
      <c r="J227" s="11">
        <f>VLOOKUP($G227, SeanRanks!$A$2:$H$303, 5, FALSE)</f>
        <v>0</v>
      </c>
      <c r="K227" s="11" t="str">
        <f>IF(VLOOKUP($G227, SeanRanks!$A$2:$H$303, 6, FALSE)=0, "", VLOOKUP($G227, SeanRanks!$A$2:$H$303, 6, FALSE))</f>
        <v/>
      </c>
      <c r="L227" s="11">
        <f t="shared" si="4"/>
        <v>21</v>
      </c>
      <c r="M227" s="11">
        <f>VLOOKUP($G227, 'ADP Data'!$C$4:$Q$300, 9, FALSE)</f>
        <v>246</v>
      </c>
      <c r="N227" s="11">
        <f t="shared" si="5"/>
        <v>26</v>
      </c>
      <c r="O227" s="11">
        <f>VLOOKUP($G227, 'ADP Data'!$C$4:$Q$300, 3, FALSE)</f>
        <v>174</v>
      </c>
      <c r="P227" s="11">
        <f t="shared" si="6"/>
        <v>72</v>
      </c>
      <c r="Q227" s="11">
        <f>VLOOKUP($G227, 'ADP Data'!$C$4:$Q$300, 4, FALSE)</f>
        <v>244</v>
      </c>
      <c r="R227" s="11">
        <f>VLOOKUP($G227, 'ADP Data'!$C$4:$Q$300, 5, FALSE)</f>
        <v>251</v>
      </c>
      <c r="S227" s="11">
        <f>VLOOKUP($G227, 'ADP Data'!$C$4:$Q$300, 6, FALSE)</f>
        <v>273</v>
      </c>
      <c r="T227" s="11">
        <f>VLOOKUP($G227, 'ADP Data'!$C$4:$Q$300, 7, FALSE)</f>
        <v>197</v>
      </c>
      <c r="U227" s="11">
        <f>VLOOKUP($G227, 'ADP Data'!$C$4:$Q$300, 8, FALSE)</f>
        <v>158</v>
      </c>
      <c r="V227" s="11">
        <f t="shared" si="7"/>
        <v>220</v>
      </c>
      <c r="W227" s="11">
        <f t="shared" si="8"/>
        <v>19</v>
      </c>
      <c r="X227" s="11">
        <f t="shared" si="9"/>
        <v>-19</v>
      </c>
      <c r="Y227" s="11">
        <f>VLOOKUP($G227, SeanRanks!$A$2:$K$303, 10, FALSE)-V227</f>
        <v>-33</v>
      </c>
      <c r="Z227" s="25" t="str">
        <f>IF(VLOOKUP($G227, SeanRanks!$A$2:$H$303, 7, FALSE)=0, "", VLOOKUP($G227, SeanRanks!$A$2:$H$303, 7, FALSE))</f>
        <v/>
      </c>
    </row>
    <row r="228" spans="1:26" ht="14.25" customHeight="1" x14ac:dyDescent="0.25">
      <c r="A228" s="11"/>
      <c r="B228" s="11">
        <f t="shared" si="3"/>
        <v>19</v>
      </c>
      <c r="C228" s="11" t="s">
        <v>148</v>
      </c>
      <c r="D228" s="11"/>
      <c r="E228" s="11"/>
      <c r="F228" s="11">
        <f>VLOOKUP(G228, SeanRanks!$A$2:$E$302, 4, FALSE)</f>
        <v>0</v>
      </c>
      <c r="G228" s="11" t="s">
        <v>625</v>
      </c>
      <c r="H228" s="11" t="str">
        <f>VLOOKUP($G228, 'ADP Data'!$C$4:$Q$300, 2, FALSE)</f>
        <v>CIN</v>
      </c>
      <c r="I228" s="11">
        <f>VLOOKUP(G228, 'ADP Data'!$C$4:$R$498, 12, FALSE)</f>
        <v>206</v>
      </c>
      <c r="J228" s="11">
        <f>VLOOKUP($G228, SeanRanks!$A$2:$H$303, 5, FALSE)</f>
        <v>0</v>
      </c>
      <c r="K228" s="11" t="str">
        <f>IF(VLOOKUP($G228, SeanRanks!$A$2:$H$303, 6, FALSE)=0, "", VLOOKUP($G228, SeanRanks!$A$2:$H$303, 6, FALSE))</f>
        <v/>
      </c>
      <c r="L228" s="11">
        <f t="shared" si="4"/>
        <v>18</v>
      </c>
      <c r="M228" s="11">
        <f>VLOOKUP($G228, 'ADP Data'!$C$4:$Q$300, 9, FALSE)</f>
        <v>209</v>
      </c>
      <c r="N228" s="11">
        <f t="shared" si="5"/>
        <v>-13</v>
      </c>
      <c r="O228" s="11" t="str">
        <f>VLOOKUP($G228, 'ADP Data'!$C$4:$Q$300, 3, FALSE)</f>
        <v>-</v>
      </c>
      <c r="P228" s="11" t="e">
        <f t="shared" si="6"/>
        <v>#VALUE!</v>
      </c>
      <c r="Q228" s="11" t="str">
        <f>VLOOKUP($G228, 'ADP Data'!$C$4:$Q$300, 4, FALSE)</f>
        <v>-</v>
      </c>
      <c r="R228" s="11">
        <f>VLOOKUP($G228, 'ADP Data'!$C$4:$Q$300, 5, FALSE)</f>
        <v>237</v>
      </c>
      <c r="S228" s="11">
        <f>VLOOKUP($G228, 'ADP Data'!$C$4:$Q$300, 6, FALSE)</f>
        <v>180</v>
      </c>
      <c r="T228" s="11">
        <f>VLOOKUP($G228, 'ADP Data'!$C$4:$Q$300, 7, FALSE)</f>
        <v>220</v>
      </c>
      <c r="U228" s="11">
        <f>VLOOKUP($G228, 'ADP Data'!$C$4:$Q$300, 8, FALSE)</f>
        <v>265</v>
      </c>
      <c r="V228" s="11">
        <f t="shared" si="7"/>
        <v>222</v>
      </c>
      <c r="W228" s="11">
        <f t="shared" si="8"/>
        <v>19</v>
      </c>
      <c r="X228" s="11">
        <f t="shared" si="9"/>
        <v>-19</v>
      </c>
      <c r="Y228" s="11">
        <f>VLOOKUP($G228, SeanRanks!$A$2:$K$303, 10, FALSE)-V228</f>
        <v>11</v>
      </c>
      <c r="Z228" s="25" t="str">
        <f>IF(VLOOKUP($G228, SeanRanks!$A$2:$H$303, 7, FALSE)=0, "", VLOOKUP($G228, SeanRanks!$A$2:$H$303, 7, FALSE))</f>
        <v/>
      </c>
    </row>
    <row r="229" spans="1:26" ht="14.25" customHeight="1" x14ac:dyDescent="0.25">
      <c r="A229" s="11"/>
      <c r="B229" s="11" t="e">
        <f t="shared" si="3"/>
        <v>#DIV/0!</v>
      </c>
      <c r="C229" s="11" t="s">
        <v>148</v>
      </c>
      <c r="D229" s="11"/>
      <c r="E229" s="11"/>
      <c r="F229" s="11">
        <f>VLOOKUP(G229, SeanRanks!$A$2:$E$302, 4, FALSE)</f>
        <v>0</v>
      </c>
      <c r="G229" s="11" t="s">
        <v>951</v>
      </c>
      <c r="H229" s="11" t="str">
        <f>VLOOKUP($G229, 'ADP Data'!$C$4:$Q$300, 2, FALSE)</f>
        <v>MIA</v>
      </c>
      <c r="I229" s="11" t="str">
        <f>VLOOKUP(G229, 'ADP Data'!$C$4:$R$498, 12, FALSE)</f>
        <v>-</v>
      </c>
      <c r="J229" s="11">
        <f>VLOOKUP($G229, SeanRanks!$A$2:$H$303, 5, FALSE)</f>
        <v>0</v>
      </c>
      <c r="K229" s="11" t="str">
        <f>IF(VLOOKUP($G229, SeanRanks!$A$2:$H$303, 6, FALSE)=0, "", VLOOKUP($G229, SeanRanks!$A$2:$H$303, 6, FALSE))</f>
        <v/>
      </c>
      <c r="L229" s="11">
        <f t="shared" si="4"/>
        <v>16</v>
      </c>
      <c r="M229" s="11" t="str">
        <f>VLOOKUP($G229, 'ADP Data'!$C$4:$Q$300, 9, FALSE)</f>
        <v>-</v>
      </c>
      <c r="N229" s="11" t="e">
        <f t="shared" si="5"/>
        <v>#VALUE!</v>
      </c>
      <c r="O229" s="11">
        <f>VLOOKUP($G229, 'ADP Data'!$C$4:$Q$300, 3, FALSE)</f>
        <v>188</v>
      </c>
      <c r="P229" s="11" t="e">
        <f t="shared" si="6"/>
        <v>#VALUE!</v>
      </c>
      <c r="Q229" s="11"/>
      <c r="R229" s="11"/>
      <c r="S229" s="11"/>
      <c r="T229" s="11"/>
      <c r="U229" s="11"/>
      <c r="V229" s="11">
        <f t="shared" si="7"/>
        <v>188</v>
      </c>
      <c r="W229" s="11">
        <f t="shared" si="8"/>
        <v>16</v>
      </c>
      <c r="X229" s="11">
        <f t="shared" si="9"/>
        <v>-16</v>
      </c>
      <c r="Y229" s="11">
        <f>VLOOKUP($G229, SeanRanks!$A$2:$K$303, 10, FALSE)-V229</f>
        <v>36</v>
      </c>
      <c r="Z229" s="25" t="str">
        <f>IF(VLOOKUP($G229, SeanRanks!$A$2:$H$303, 7, FALSE)=0, "", VLOOKUP($G229, SeanRanks!$A$2:$H$303, 7, FALSE))</f>
        <v/>
      </c>
    </row>
    <row r="230" spans="1:26" ht="14.25" customHeight="1" x14ac:dyDescent="0.25">
      <c r="A230" s="11"/>
      <c r="B230" s="11">
        <f t="shared" si="3"/>
        <v>18</v>
      </c>
      <c r="C230" s="11" t="s">
        <v>148</v>
      </c>
      <c r="D230" s="11"/>
      <c r="E230" s="11"/>
      <c r="F230" s="11">
        <f>VLOOKUP(G230, SeanRanks!$A$2:$E$302, 4, FALSE)</f>
        <v>0</v>
      </c>
      <c r="G230" s="11" t="s">
        <v>547</v>
      </c>
      <c r="H230" s="11" t="str">
        <f>VLOOKUP($G230, 'ADP Data'!$C$4:$Q$300, 2, FALSE)</f>
        <v>GB</v>
      </c>
      <c r="I230" s="11" t="str">
        <f>VLOOKUP(G230, 'ADP Data'!$C$4:$R$498, 12, FALSE)</f>
        <v>-</v>
      </c>
      <c r="J230" s="11">
        <f>VLOOKUP($G230, SeanRanks!$A$2:$H$303, 5, FALSE)</f>
        <v>0</v>
      </c>
      <c r="K230" s="11" t="str">
        <f>IF(VLOOKUP($G230, SeanRanks!$A$2:$H$303, 6, FALSE)=0, "", VLOOKUP($G230, SeanRanks!$A$2:$H$303, 6, FALSE))</f>
        <v/>
      </c>
      <c r="L230" s="11">
        <f t="shared" si="4"/>
        <v>21</v>
      </c>
      <c r="M230" s="11">
        <f>VLOOKUP($G230, 'ADP Data'!$C$4:$Q$300, 9, FALSE)</f>
        <v>243</v>
      </c>
      <c r="N230" s="11">
        <f t="shared" si="5"/>
        <v>40</v>
      </c>
      <c r="O230" s="11">
        <f>VLOOKUP($G230, 'ADP Data'!$C$4:$Q$300, 3, FALSE)</f>
        <v>136</v>
      </c>
      <c r="P230" s="11">
        <f t="shared" si="6"/>
        <v>107</v>
      </c>
      <c r="Q230" s="11">
        <f>VLOOKUP($G230, 'ADP Data'!$C$4:$Q$300, 4, FALSE)</f>
        <v>171</v>
      </c>
      <c r="R230" s="11">
        <f>VLOOKUP($G230, 'ADP Data'!$C$4:$Q$300, 5, FALSE)</f>
        <v>247</v>
      </c>
      <c r="S230" s="11">
        <f>VLOOKUP($G230, 'ADP Data'!$C$4:$Q$300, 6, FALSE)</f>
        <v>258</v>
      </c>
      <c r="T230" s="11">
        <f>VLOOKUP($G230, 'ADP Data'!$C$4:$Q$300, 7, FALSE)</f>
        <v>199</v>
      </c>
      <c r="U230" s="11">
        <f>VLOOKUP($G230, 'ADP Data'!$C$4:$Q$300, 8, FALSE)</f>
        <v>170</v>
      </c>
      <c r="V230" s="11">
        <f t="shared" si="7"/>
        <v>203</v>
      </c>
      <c r="W230" s="11">
        <f t="shared" si="8"/>
        <v>17</v>
      </c>
      <c r="X230" s="11">
        <f t="shared" si="9"/>
        <v>-17</v>
      </c>
      <c r="Y230" s="11">
        <f>VLOOKUP($G230, SeanRanks!$A$2:$K$303, 10, FALSE)-V230</f>
        <v>17</v>
      </c>
      <c r="Z230" s="25" t="str">
        <f>IF(VLOOKUP($G230, SeanRanks!$A$2:$H$303, 7, FALSE)=0, "", VLOOKUP($G230, SeanRanks!$A$2:$H$303, 7, FALSE))</f>
        <v/>
      </c>
    </row>
    <row r="231" spans="1:26" ht="14.25" customHeight="1" x14ac:dyDescent="0.25">
      <c r="A231" s="11"/>
      <c r="B231" s="11" t="e">
        <f t="shared" si="3"/>
        <v>#N/A</v>
      </c>
      <c r="C231" s="11" t="s">
        <v>148</v>
      </c>
      <c r="D231" s="11"/>
      <c r="E231" s="11"/>
      <c r="F231" s="11" t="e">
        <f>VLOOKUP(G231, SeanRanks!$A$2:$E$302, 4, FALSE)</f>
        <v>#N/A</v>
      </c>
      <c r="G231" s="11" t="s">
        <v>957</v>
      </c>
      <c r="H231" s="11" t="e">
        <f>VLOOKUP($G231, 'ADP Data'!$C$4:$Q$300, 2, FALSE)</f>
        <v>#N/A</v>
      </c>
      <c r="I231" s="11" t="e">
        <f>VLOOKUP(G231, 'ADP Data'!$C$4:$R$498, 12, FALSE)</f>
        <v>#N/A</v>
      </c>
      <c r="J231" s="11" t="e">
        <f>VLOOKUP($G231, SeanRanks!$A$2:$H$303, 5, FALSE)</f>
        <v>#N/A</v>
      </c>
      <c r="K231" s="11" t="e">
        <f>IF(VLOOKUP($G231, SeanRanks!$A$2:$H$303, 6, FALSE)=0, "", VLOOKUP($G231, SeanRanks!$A$2:$H$303, 6, FALSE))</f>
        <v>#N/A</v>
      </c>
      <c r="L231" s="11">
        <f t="shared" si="4"/>
        <v>16</v>
      </c>
      <c r="M231" s="11" t="e">
        <f>VLOOKUP($G231, 'ADP Data'!$C$4:$Q$300, 9, FALSE)</f>
        <v>#N/A</v>
      </c>
      <c r="N231" s="11" t="e">
        <f t="shared" si="5"/>
        <v>#N/A</v>
      </c>
      <c r="O231" s="11" t="e">
        <f>VLOOKUP($G231, 'ADP Data'!$C$4:$Q$300, 3, FALSE)</f>
        <v>#N/A</v>
      </c>
      <c r="P231" s="11" t="e">
        <f t="shared" si="6"/>
        <v>#N/A</v>
      </c>
      <c r="Q231" s="11" t="e">
        <f>VLOOKUP($G231, 'ADP Data'!$C$4:$Q$300, 4, FALSE)</f>
        <v>#N/A</v>
      </c>
      <c r="R231" s="11" t="e">
        <f>VLOOKUP($G231, 'ADP Data'!$C$4:$Q$300, 5, FALSE)</f>
        <v>#N/A</v>
      </c>
      <c r="S231" s="11" t="e">
        <f>VLOOKUP($G231, 'ADP Data'!$C$4:$Q$300, 6, FALSE)</f>
        <v>#N/A</v>
      </c>
      <c r="T231" s="11" t="e">
        <f>VLOOKUP($G231, 'ADP Data'!$C$4:$Q$300, 7, FALSE)</f>
        <v>#N/A</v>
      </c>
      <c r="U231" s="11" t="e">
        <f>VLOOKUP($G231, 'ADP Data'!$C$4:$Q$300, 8, FALSE)</f>
        <v>#N/A</v>
      </c>
      <c r="V231" s="11" t="e">
        <f t="shared" si="7"/>
        <v>#N/A</v>
      </c>
      <c r="W231" s="11">
        <f t="shared" si="8"/>
        <v>16</v>
      </c>
      <c r="X231" s="11">
        <f t="shared" si="9"/>
        <v>-16</v>
      </c>
      <c r="Y231" s="11" t="e">
        <f>VLOOKUP($G231, SeanRanks!$A$2:$K$303, 10, FALSE)-V231</f>
        <v>#N/A</v>
      </c>
      <c r="Z231" s="25" t="e">
        <f>IF(VLOOKUP($G231, SeanRanks!$A$2:$H$303, 7, FALSE)=0, "", VLOOKUP($G231, SeanRanks!$A$2:$H$303, 7, FALSE))</f>
        <v>#N/A</v>
      </c>
    </row>
    <row r="232" spans="1:26" ht="14.25" customHeight="1" x14ac:dyDescent="0.25">
      <c r="A232" s="11"/>
      <c r="B232" s="11" t="e">
        <f t="shared" si="3"/>
        <v>#N/A</v>
      </c>
      <c r="C232" s="11" t="s">
        <v>148</v>
      </c>
      <c r="D232" s="11"/>
      <c r="E232" s="11"/>
      <c r="F232" s="11" t="e">
        <f>VLOOKUP(G232, SeanRanks!$A$2:$E$302, 4, FALSE)</f>
        <v>#N/A</v>
      </c>
      <c r="G232" s="11" t="s">
        <v>956</v>
      </c>
      <c r="H232" s="11" t="e">
        <f>VLOOKUP($G232, 'ADP Data'!$C$4:$Q$300, 2, FALSE)</f>
        <v>#N/A</v>
      </c>
      <c r="I232" s="11" t="e">
        <f>VLOOKUP(G232, 'ADP Data'!$C$4:$R$498, 12, FALSE)</f>
        <v>#N/A</v>
      </c>
      <c r="J232" s="11" t="e">
        <f>VLOOKUP($G232, SeanRanks!$A$2:$H$303, 5, FALSE)</f>
        <v>#N/A</v>
      </c>
      <c r="K232" s="11" t="e">
        <f>IF(VLOOKUP($G232, SeanRanks!$A$2:$H$303, 6, FALSE)=0, "", VLOOKUP($G232, SeanRanks!$A$2:$H$303, 6, FALSE))</f>
        <v>#N/A</v>
      </c>
      <c r="L232" s="11">
        <f t="shared" si="4"/>
        <v>16</v>
      </c>
      <c r="M232" s="11" t="e">
        <f>VLOOKUP($G232, 'ADP Data'!$C$4:$Q$300, 9, FALSE)</f>
        <v>#N/A</v>
      </c>
      <c r="N232" s="11" t="e">
        <f t="shared" si="5"/>
        <v>#N/A</v>
      </c>
      <c r="O232" s="11" t="e">
        <f>VLOOKUP($G232, 'ADP Data'!$C$4:$Q$300, 3, FALSE)</f>
        <v>#N/A</v>
      </c>
      <c r="P232" s="11" t="e">
        <f t="shared" si="6"/>
        <v>#N/A</v>
      </c>
      <c r="Q232" s="11"/>
      <c r="R232" s="11"/>
      <c r="S232" s="11"/>
      <c r="T232" s="11"/>
      <c r="U232" s="11"/>
      <c r="V232" s="11" t="e">
        <f t="shared" si="7"/>
        <v>#N/A</v>
      </c>
      <c r="W232" s="11">
        <f t="shared" si="8"/>
        <v>16</v>
      </c>
      <c r="X232" s="11">
        <f t="shared" si="9"/>
        <v>-16</v>
      </c>
      <c r="Y232" s="11" t="e">
        <f>VLOOKUP($G232, SeanRanks!$A$2:$K$303, 10, FALSE)-V232</f>
        <v>#N/A</v>
      </c>
      <c r="Z232" s="25" t="e">
        <f>IF(VLOOKUP($G232, SeanRanks!$A$2:$H$303, 7, FALSE)=0, "", VLOOKUP($G232, SeanRanks!$A$2:$H$303, 7, FALSE))</f>
        <v>#N/A</v>
      </c>
    </row>
    <row r="233" spans="1:26" ht="14.25" customHeight="1" x14ac:dyDescent="0.25">
      <c r="A233" s="11"/>
      <c r="B233" s="11">
        <f t="shared" si="3"/>
        <v>12</v>
      </c>
      <c r="C233" s="11" t="s">
        <v>148</v>
      </c>
      <c r="D233" s="11"/>
      <c r="E233" s="11"/>
      <c r="F233" s="11">
        <f>VLOOKUP(G233, SeanRanks!$A$2:$E$302, 4, FALSE)</f>
        <v>0</v>
      </c>
      <c r="G233" s="11" t="s">
        <v>399</v>
      </c>
      <c r="H233" s="11" t="str">
        <f>VLOOKUP($G233, 'ADP Data'!$C$4:$Q$300, 2, FALSE)</f>
        <v>JAX</v>
      </c>
      <c r="I233" s="11">
        <f>VLOOKUP(G233, 'ADP Data'!$C$4:$R$498, 12, FALSE)</f>
        <v>126</v>
      </c>
      <c r="J233" s="11">
        <f>VLOOKUP($G233, SeanRanks!$A$2:$H$303, 5, FALSE)</f>
        <v>0</v>
      </c>
      <c r="K233" s="11" t="str">
        <f>IF(VLOOKUP($G233, SeanRanks!$A$2:$H$303, 6, FALSE)=0, "", VLOOKUP($G233, SeanRanks!$A$2:$H$303, 6, FALSE))</f>
        <v>RB4 - 1 - Path to spikes</v>
      </c>
      <c r="L233" s="11">
        <f t="shared" si="4"/>
        <v>11</v>
      </c>
      <c r="M233" s="11">
        <f>VLOOKUP($G233, 'ADP Data'!$C$4:$Q$300, 9, FALSE)</f>
        <v>122</v>
      </c>
      <c r="N233" s="11">
        <f t="shared" si="5"/>
        <v>-13</v>
      </c>
      <c r="O233" s="11">
        <f>VLOOKUP($G233, 'ADP Data'!$C$4:$Q$300, 3, FALSE)</f>
        <v>105</v>
      </c>
      <c r="P233" s="11">
        <f t="shared" si="6"/>
        <v>17</v>
      </c>
      <c r="Q233" s="11">
        <f>VLOOKUP($G233, 'ADP Data'!$C$4:$Q$300, 4, FALSE)</f>
        <v>132</v>
      </c>
      <c r="R233" s="11">
        <f>VLOOKUP($G233, 'ADP Data'!$C$4:$Q$300, 5, FALSE)</f>
        <v>139</v>
      </c>
      <c r="S233" s="11">
        <f>VLOOKUP($G233, 'ADP Data'!$C$4:$Q$300, 6, FALSE)</f>
        <v>120</v>
      </c>
      <c r="T233" s="11">
        <f>VLOOKUP($G233, 'ADP Data'!$C$4:$Q$300, 7, FALSE)</f>
        <v>118</v>
      </c>
      <c r="U233" s="11">
        <f>VLOOKUP($G233, 'ADP Data'!$C$4:$Q$300, 8, FALSE)</f>
        <v>209</v>
      </c>
      <c r="V233" s="11">
        <f t="shared" si="7"/>
        <v>135</v>
      </c>
      <c r="W233" s="11">
        <f t="shared" si="8"/>
        <v>12</v>
      </c>
      <c r="X233" s="11">
        <f t="shared" si="9"/>
        <v>-12</v>
      </c>
      <c r="Y233" s="11">
        <f>VLOOKUP($G233, SeanRanks!$A$2:$K$303, 10, FALSE)-V233</f>
        <v>-34</v>
      </c>
      <c r="Z233" s="25">
        <f>IF(VLOOKUP($G233, SeanRanks!$A$2:$H$303, 7, FALSE)=0, "", VLOOKUP($G233, SeanRanks!$A$2:$H$303, 7, FALSE))</f>
        <v>38</v>
      </c>
    </row>
    <row r="234" spans="1:26" ht="14.25" customHeight="1" x14ac:dyDescent="0.25">
      <c r="A234" s="11"/>
      <c r="B234" s="11" t="e">
        <f t="shared" si="3"/>
        <v>#N/A</v>
      </c>
      <c r="C234" s="11" t="s">
        <v>148</v>
      </c>
      <c r="D234" s="11"/>
      <c r="E234" s="11"/>
      <c r="F234" s="11" t="e">
        <f>VLOOKUP(G234, SeanRanks!$A$2:$E$302, 4, FALSE)</f>
        <v>#N/A</v>
      </c>
      <c r="G234" s="11" t="s">
        <v>570</v>
      </c>
      <c r="H234" s="11" t="e">
        <f>VLOOKUP($G234, 'ADP Data'!$C$4:$Q$300, 2, FALSE)</f>
        <v>#N/A</v>
      </c>
      <c r="I234" s="11" t="e">
        <f>VLOOKUP(G234, 'ADP Data'!$C$4:$R$498, 12, FALSE)</f>
        <v>#N/A</v>
      </c>
      <c r="J234" s="11" t="e">
        <f>VLOOKUP($G234, SeanRanks!$A$2:$H$303, 5, FALSE)</f>
        <v>#N/A</v>
      </c>
      <c r="K234" s="11" t="e">
        <f>IF(VLOOKUP($G234, SeanRanks!$A$2:$H$303, 6, FALSE)=0, "", VLOOKUP($G234, SeanRanks!$A$2:$H$303, 6, FALSE))</f>
        <v>#N/A</v>
      </c>
      <c r="L234" s="11">
        <f t="shared" si="4"/>
        <v>16</v>
      </c>
      <c r="M234" s="11" t="e">
        <f>VLOOKUP($G234, 'ADP Data'!$C$4:$Q$300, 9, FALSE)</f>
        <v>#N/A</v>
      </c>
      <c r="N234" s="11" t="e">
        <f t="shared" si="5"/>
        <v>#N/A</v>
      </c>
      <c r="O234" s="11" t="e">
        <f>VLOOKUP($G234, 'ADP Data'!$C$4:$Q$300, 3, FALSE)</f>
        <v>#N/A</v>
      </c>
      <c r="P234" s="11" t="e">
        <f t="shared" si="6"/>
        <v>#N/A</v>
      </c>
      <c r="Q234" s="11" t="e">
        <f>VLOOKUP($G234, 'ADP Data'!$C$4:$Q$300, 4, FALSE)</f>
        <v>#N/A</v>
      </c>
      <c r="R234" s="11" t="e">
        <f>VLOOKUP($G234, 'ADP Data'!$C$4:$Q$300, 5, FALSE)</f>
        <v>#N/A</v>
      </c>
      <c r="S234" s="11" t="e">
        <f>VLOOKUP($G234, 'ADP Data'!$C$4:$Q$300, 6, FALSE)</f>
        <v>#N/A</v>
      </c>
      <c r="T234" s="11" t="e">
        <f>VLOOKUP($G234, 'ADP Data'!$C$4:$Q$300, 7, FALSE)</f>
        <v>#N/A</v>
      </c>
      <c r="U234" s="11" t="e">
        <f>VLOOKUP($G234, 'ADP Data'!$C$4:$Q$300, 8, FALSE)</f>
        <v>#N/A</v>
      </c>
      <c r="V234" s="11" t="e">
        <f t="shared" si="7"/>
        <v>#N/A</v>
      </c>
      <c r="W234" s="11">
        <f t="shared" si="8"/>
        <v>16</v>
      </c>
      <c r="X234" s="11">
        <f t="shared" si="9"/>
        <v>-16</v>
      </c>
      <c r="Y234" s="11" t="e">
        <f>VLOOKUP($G234, SeanRanks!$A$2:$K$303, 10, FALSE)-V234</f>
        <v>#N/A</v>
      </c>
      <c r="Z234" s="25" t="e">
        <f>IF(VLOOKUP($G234, SeanRanks!$A$2:$H$303, 7, FALSE)=0, "", VLOOKUP($G234, SeanRanks!$A$2:$H$303, 7, FALSE))</f>
        <v>#N/A</v>
      </c>
    </row>
    <row r="235" spans="1:26" ht="14.25" customHeight="1" x14ac:dyDescent="0.25">
      <c r="A235" s="11"/>
      <c r="B235" s="11">
        <f t="shared" si="3"/>
        <v>19</v>
      </c>
      <c r="C235" s="11" t="s">
        <v>148</v>
      </c>
      <c r="D235" s="11"/>
      <c r="E235" s="11"/>
      <c r="F235" s="11">
        <f>VLOOKUP(G235, SeanRanks!$A$2:$E$302, 4, FALSE)</f>
        <v>0</v>
      </c>
      <c r="G235" s="11" t="s">
        <v>530</v>
      </c>
      <c r="H235" s="11" t="str">
        <f>VLOOKUP($G235, 'ADP Data'!$C$4:$Q$300, 2, FALSE)</f>
        <v>BAL</v>
      </c>
      <c r="I235" s="11">
        <f>VLOOKUP(G235, 'ADP Data'!$C$4:$R$498, 12, FALSE)</f>
        <v>205</v>
      </c>
      <c r="J235" s="11">
        <f>VLOOKUP($G235, SeanRanks!$A$2:$H$303, 5, FALSE)</f>
        <v>0</v>
      </c>
      <c r="K235" s="11" t="str">
        <f>IF(VLOOKUP($G235, SeanRanks!$A$2:$H$303, 6, FALSE)=0, "", VLOOKUP($G235, SeanRanks!$A$2:$H$303, 6, FALSE))</f>
        <v/>
      </c>
      <c r="L235" s="11">
        <f t="shared" si="4"/>
        <v>18</v>
      </c>
      <c r="M235" s="11">
        <f>VLOOKUP($G235, 'ADP Data'!$C$4:$Q$300, 9, FALSE)</f>
        <v>213</v>
      </c>
      <c r="N235" s="11">
        <f t="shared" si="5"/>
        <v>-8</v>
      </c>
      <c r="O235" s="11" t="str">
        <f>VLOOKUP($G235, 'ADP Data'!$C$4:$Q$300, 3, FALSE)</f>
        <v>-</v>
      </c>
      <c r="P235" s="11" t="e">
        <f t="shared" si="6"/>
        <v>#VALUE!</v>
      </c>
      <c r="Q235" s="11" t="str">
        <f>VLOOKUP($G235, 'ADP Data'!$C$4:$Q$300, 4, FALSE)</f>
        <v>-</v>
      </c>
      <c r="R235" s="11">
        <f>VLOOKUP($G235, 'ADP Data'!$C$4:$Q$300, 5, FALSE)</f>
        <v>278</v>
      </c>
      <c r="S235" s="11">
        <f>VLOOKUP($G235, 'ADP Data'!$C$4:$Q$300, 6, FALSE)</f>
        <v>193</v>
      </c>
      <c r="T235" s="11">
        <f>VLOOKUP($G235, 'ADP Data'!$C$4:$Q$300, 7, FALSE)</f>
        <v>190</v>
      </c>
      <c r="U235" s="11">
        <f>VLOOKUP($G235, 'ADP Data'!$C$4:$Q$300, 8, FALSE)</f>
        <v>232</v>
      </c>
      <c r="V235" s="11">
        <f t="shared" si="7"/>
        <v>221</v>
      </c>
      <c r="W235" s="11">
        <f t="shared" si="8"/>
        <v>19</v>
      </c>
      <c r="X235" s="11">
        <f t="shared" si="9"/>
        <v>-19</v>
      </c>
      <c r="Y235" s="11" t="e">
        <f>VLOOKUP($G235, SeanRanks!$A$2:$K$303, 10, FALSE)-V235</f>
        <v>#VALUE!</v>
      </c>
      <c r="Z235" s="25" t="str">
        <f>IF(VLOOKUP($G235, SeanRanks!$A$2:$H$303, 7, FALSE)=0, "", VLOOKUP($G235, SeanRanks!$A$2:$H$303, 7, FALSE))</f>
        <v/>
      </c>
    </row>
    <row r="236" spans="1:26" ht="14.25" customHeight="1" x14ac:dyDescent="0.25">
      <c r="A236" s="11"/>
      <c r="B236" s="11">
        <f t="shared" si="3"/>
        <v>18</v>
      </c>
      <c r="C236" s="11" t="s">
        <v>148</v>
      </c>
      <c r="D236" s="11"/>
      <c r="E236" s="11"/>
      <c r="F236" s="11">
        <f>VLOOKUP(G236, SeanRanks!$A$2:$E$302, 4, FALSE)</f>
        <v>0</v>
      </c>
      <c r="G236" s="11" t="s">
        <v>950</v>
      </c>
      <c r="H236" s="11" t="str">
        <f>VLOOKUP($G236, 'ADP Data'!$C$4:$Q$300, 2, FALSE)</f>
        <v>PHI</v>
      </c>
      <c r="I236" s="11" t="str">
        <f>VLOOKUP(G236, 'ADP Data'!$C$4:$R$498, 12, FALSE)</f>
        <v>-</v>
      </c>
      <c r="J236" s="11">
        <f>VLOOKUP($G236, SeanRanks!$A$2:$H$303, 5, FALSE)</f>
        <v>0</v>
      </c>
      <c r="K236" s="11" t="str">
        <f>IF(VLOOKUP($G236, SeanRanks!$A$2:$H$303, 6, FALSE)=0, "", VLOOKUP($G236, SeanRanks!$A$2:$H$303, 6, FALSE))</f>
        <v/>
      </c>
      <c r="L236" s="11">
        <f t="shared" si="4"/>
        <v>18</v>
      </c>
      <c r="M236" s="11">
        <f>VLOOKUP($G236, 'ADP Data'!$C$4:$Q$300, 9, FALSE)</f>
        <v>214</v>
      </c>
      <c r="N236" s="11">
        <f t="shared" si="5"/>
        <v>16</v>
      </c>
      <c r="O236" s="11">
        <f>VLOOKUP($G236, 'ADP Data'!$C$4:$Q$300, 3, FALSE)</f>
        <v>182</v>
      </c>
      <c r="P236" s="11">
        <f t="shared" si="6"/>
        <v>32</v>
      </c>
      <c r="Q236" s="11"/>
      <c r="R236" s="11"/>
      <c r="S236" s="11"/>
      <c r="T236" s="11"/>
      <c r="U236" s="11"/>
      <c r="V236" s="11">
        <f t="shared" si="7"/>
        <v>198</v>
      </c>
      <c r="W236" s="11">
        <f t="shared" si="8"/>
        <v>17</v>
      </c>
      <c r="X236" s="11">
        <f t="shared" si="9"/>
        <v>-17</v>
      </c>
      <c r="Y236" s="11">
        <f>VLOOKUP($G236, SeanRanks!$A$2:$K$303, 10, FALSE)-V236</f>
        <v>36</v>
      </c>
      <c r="Z236" s="25" t="str">
        <f>IF(VLOOKUP($G236, SeanRanks!$A$2:$H$303, 7, FALSE)=0, "", VLOOKUP($G236, SeanRanks!$A$2:$H$303, 7, FALSE))</f>
        <v/>
      </c>
    </row>
    <row r="237" spans="1:26" ht="14.25" customHeight="1" x14ac:dyDescent="0.25">
      <c r="A237" s="11"/>
      <c r="B237" s="11">
        <f t="shared" si="3"/>
        <v>14</v>
      </c>
      <c r="C237" s="11" t="s">
        <v>148</v>
      </c>
      <c r="D237" s="11"/>
      <c r="E237" s="11"/>
      <c r="F237" s="11">
        <f>VLOOKUP(G237, SeanRanks!$A$2:$E$302, 4, FALSE)</f>
        <v>0</v>
      </c>
      <c r="G237" s="11" t="s">
        <v>947</v>
      </c>
      <c r="H237" s="11" t="str">
        <f>VLOOKUP($G237, 'ADP Data'!$C$4:$Q$300, 2, FALSE)</f>
        <v>WAS</v>
      </c>
      <c r="I237" s="11">
        <f>VLOOKUP(G237, 'ADP Data'!$C$4:$R$498, 12, FALSE)</f>
        <v>158</v>
      </c>
      <c r="J237" s="11">
        <f>VLOOKUP($G237, SeanRanks!$A$2:$H$303, 5, FALSE)</f>
        <v>0</v>
      </c>
      <c r="K237" s="11" t="str">
        <f>IF(VLOOKUP($G237, SeanRanks!$A$2:$H$303, 6, FALSE)=0, "", VLOOKUP($G237, SeanRanks!$A$2:$H$303, 6, FALSE))</f>
        <v/>
      </c>
      <c r="L237" s="11">
        <f t="shared" si="4"/>
        <v>14</v>
      </c>
      <c r="M237" s="11">
        <f>VLOOKUP($G237, 'ADP Data'!$C$4:$Q$300, 9, FALSE)</f>
        <v>165</v>
      </c>
      <c r="N237" s="11">
        <f t="shared" si="5"/>
        <v>8</v>
      </c>
      <c r="O237" s="11">
        <f>VLOOKUP($G237, 'ADP Data'!$C$4:$Q$300, 3, FALSE)</f>
        <v>115</v>
      </c>
      <c r="P237" s="11">
        <f t="shared" si="6"/>
        <v>50</v>
      </c>
      <c r="Q237" s="11">
        <f>VLOOKUP($G237, 'ADP Data'!$C$4:$Q$300, 4, FALSE)</f>
        <v>154</v>
      </c>
      <c r="R237" s="11">
        <f>VLOOKUP($G237, 'ADP Data'!$C$4:$Q$300, 5, FALSE)</f>
        <v>207</v>
      </c>
      <c r="S237" s="11">
        <f>VLOOKUP($G237, 'ADP Data'!$C$4:$Q$300, 6, FALSE)</f>
        <v>133</v>
      </c>
      <c r="T237" s="11">
        <f>VLOOKUP($G237, 'ADP Data'!$C$4:$Q$300, 7, FALSE)</f>
        <v>165</v>
      </c>
      <c r="U237" s="11">
        <f>VLOOKUP($G237, 'ADP Data'!$C$4:$Q$300, 8, FALSE)</f>
        <v>162</v>
      </c>
      <c r="V237" s="11">
        <f t="shared" si="7"/>
        <v>157</v>
      </c>
      <c r="W237" s="11">
        <f t="shared" si="8"/>
        <v>14</v>
      </c>
      <c r="X237" s="11">
        <f t="shared" si="9"/>
        <v>-14</v>
      </c>
      <c r="Y237" s="11">
        <f>VLOOKUP($G237, SeanRanks!$A$2:$K$303, 10, FALSE)-V237</f>
        <v>-4</v>
      </c>
      <c r="Z237" s="25" t="str">
        <f>IF(VLOOKUP($G237, SeanRanks!$A$2:$H$303, 7, FALSE)=0, "", VLOOKUP($G237, SeanRanks!$A$2:$H$303, 7, FALSE))</f>
        <v/>
      </c>
    </row>
    <row r="238" spans="1:26" ht="14.25" customHeight="1" x14ac:dyDescent="0.25">
      <c r="A238" s="11"/>
      <c r="B238" s="11" t="e">
        <f t="shared" si="3"/>
        <v>#N/A</v>
      </c>
      <c r="C238" s="11" t="s">
        <v>148</v>
      </c>
      <c r="D238" s="11"/>
      <c r="E238" s="11"/>
      <c r="F238" s="11" t="e">
        <f>VLOOKUP(G238, SeanRanks!$A$2:$E$302, 4, FALSE)</f>
        <v>#N/A</v>
      </c>
      <c r="G238" s="11" t="s">
        <v>955</v>
      </c>
      <c r="H238" s="11" t="e">
        <f>VLOOKUP($G238, 'ADP Data'!$C$4:$Q$300, 2, FALSE)</f>
        <v>#N/A</v>
      </c>
      <c r="I238" s="11" t="e">
        <f>VLOOKUP(G238, 'ADP Data'!$C$4:$R$498, 12, FALSE)</f>
        <v>#N/A</v>
      </c>
      <c r="J238" s="11" t="e">
        <f>VLOOKUP($G238, SeanRanks!$A$2:$H$303, 5, FALSE)</f>
        <v>#N/A</v>
      </c>
      <c r="K238" s="11" t="e">
        <f>IF(VLOOKUP($G238, SeanRanks!$A$2:$H$303, 6, FALSE)=0, "", VLOOKUP($G238, SeanRanks!$A$2:$H$303, 6, FALSE))</f>
        <v>#N/A</v>
      </c>
      <c r="L238" s="11">
        <f t="shared" si="4"/>
        <v>16</v>
      </c>
      <c r="M238" s="11" t="e">
        <f>VLOOKUP($G238, 'ADP Data'!$C$4:$Q$300, 9, FALSE)</f>
        <v>#N/A</v>
      </c>
      <c r="N238" s="11" t="e">
        <f t="shared" si="5"/>
        <v>#N/A</v>
      </c>
      <c r="O238" s="11" t="e">
        <f>VLOOKUP($G238, 'ADP Data'!$C$4:$Q$300, 3, FALSE)</f>
        <v>#N/A</v>
      </c>
      <c r="P238" s="11" t="e">
        <f t="shared" si="6"/>
        <v>#N/A</v>
      </c>
      <c r="Q238" s="11" t="e">
        <f>VLOOKUP($G238, 'ADP Data'!$C$4:$Q$300, 4, FALSE)</f>
        <v>#N/A</v>
      </c>
      <c r="R238" s="11" t="e">
        <f>VLOOKUP($G238, 'ADP Data'!$C$4:$Q$300, 5, FALSE)</f>
        <v>#N/A</v>
      </c>
      <c r="S238" s="11" t="e">
        <f>VLOOKUP($G238, 'ADP Data'!$C$4:$Q$300, 6, FALSE)</f>
        <v>#N/A</v>
      </c>
      <c r="T238" s="11" t="e">
        <f>VLOOKUP($G238, 'ADP Data'!$C$4:$Q$300, 7, FALSE)</f>
        <v>#N/A</v>
      </c>
      <c r="U238" s="11" t="e">
        <f>VLOOKUP($G238, 'ADP Data'!$C$4:$Q$300, 8, FALSE)</f>
        <v>#N/A</v>
      </c>
      <c r="V238" s="11" t="e">
        <f t="shared" si="7"/>
        <v>#N/A</v>
      </c>
      <c r="W238" s="11">
        <f t="shared" si="8"/>
        <v>16</v>
      </c>
      <c r="X238" s="11">
        <f t="shared" si="9"/>
        <v>-16</v>
      </c>
      <c r="Y238" s="11" t="e">
        <f>VLOOKUP($G238, SeanRanks!$A$2:$K$303, 10, FALSE)-V238</f>
        <v>#N/A</v>
      </c>
      <c r="Z238" s="25" t="e">
        <f>IF(VLOOKUP($G238, SeanRanks!$A$2:$H$303, 7, FALSE)=0, "", VLOOKUP($G238, SeanRanks!$A$2:$H$303, 7, FALSE))</f>
        <v>#N/A</v>
      </c>
    </row>
    <row r="239" spans="1:26" ht="14.25" customHeight="1" x14ac:dyDescent="0.25">
      <c r="A239" s="11"/>
      <c r="B239" s="11" t="e">
        <f t="shared" si="3"/>
        <v>#N/A</v>
      </c>
      <c r="C239" s="11" t="s">
        <v>148</v>
      </c>
      <c r="D239" s="11"/>
      <c r="E239" s="11"/>
      <c r="F239" s="11" t="e">
        <f>VLOOKUP(G239, SeanRanks!$A$2:$E$302, 4, FALSE)</f>
        <v>#N/A</v>
      </c>
      <c r="G239" s="11" t="s">
        <v>715</v>
      </c>
      <c r="H239" s="11" t="e">
        <f>VLOOKUP($G239, 'ADP Data'!$C$4:$Q$300, 2, FALSE)</f>
        <v>#N/A</v>
      </c>
      <c r="I239" s="11" t="e">
        <f>VLOOKUP(G239, 'ADP Data'!$C$4:$R$498, 12, FALSE)</f>
        <v>#N/A</v>
      </c>
      <c r="J239" s="11" t="e">
        <f>VLOOKUP($G239, SeanRanks!$A$2:$H$303, 5, FALSE)</f>
        <v>#N/A</v>
      </c>
      <c r="K239" s="11" t="e">
        <f>IF(VLOOKUP($G239, SeanRanks!$A$2:$H$303, 6, FALSE)=0, "", VLOOKUP($G239, SeanRanks!$A$2:$H$303, 6, FALSE))</f>
        <v>#N/A</v>
      </c>
      <c r="L239" s="11">
        <f t="shared" si="4"/>
        <v>16</v>
      </c>
      <c r="M239" s="11" t="e">
        <f>VLOOKUP($G239, 'ADP Data'!$C$4:$Q$300, 9, FALSE)</f>
        <v>#N/A</v>
      </c>
      <c r="N239" s="11" t="e">
        <f t="shared" si="5"/>
        <v>#N/A</v>
      </c>
      <c r="O239" s="11" t="e">
        <f>VLOOKUP($G239, 'ADP Data'!$C$4:$Q$300, 3, FALSE)</f>
        <v>#N/A</v>
      </c>
      <c r="P239" s="11" t="e">
        <f t="shared" si="6"/>
        <v>#N/A</v>
      </c>
      <c r="Q239" s="11" t="e">
        <f>VLOOKUP($G239, 'ADP Data'!$C$4:$Q$300, 4, FALSE)</f>
        <v>#N/A</v>
      </c>
      <c r="R239" s="11" t="e">
        <f>VLOOKUP($G239, 'ADP Data'!$C$4:$Q$300, 5, FALSE)</f>
        <v>#N/A</v>
      </c>
      <c r="S239" s="11" t="e">
        <f>VLOOKUP($G239, 'ADP Data'!$C$4:$Q$300, 6, FALSE)</f>
        <v>#N/A</v>
      </c>
      <c r="T239" s="11" t="e">
        <f>VLOOKUP($G239, 'ADP Data'!$C$4:$Q$300, 7, FALSE)</f>
        <v>#N/A</v>
      </c>
      <c r="U239" s="11" t="e">
        <f>VLOOKUP($G239, 'ADP Data'!$C$4:$Q$300, 8, FALSE)</f>
        <v>#N/A</v>
      </c>
      <c r="V239" s="11" t="e">
        <f t="shared" si="7"/>
        <v>#N/A</v>
      </c>
      <c r="W239" s="11">
        <f t="shared" si="8"/>
        <v>16</v>
      </c>
      <c r="X239" s="11">
        <f t="shared" si="9"/>
        <v>-16</v>
      </c>
      <c r="Y239" s="11" t="e">
        <f>VLOOKUP($G239, SeanRanks!$A$2:$K$303, 10, FALSE)-V239</f>
        <v>#N/A</v>
      </c>
      <c r="Z239" s="25" t="e">
        <f>IF(VLOOKUP($G239, SeanRanks!$A$2:$H$303, 7, FALSE)=0, "", VLOOKUP($G239, SeanRanks!$A$2:$H$303, 7, FALSE))</f>
        <v>#N/A</v>
      </c>
    </row>
    <row r="240" spans="1:26" ht="14.25" customHeight="1" x14ac:dyDescent="0.25">
      <c r="A240" s="11"/>
      <c r="B240" s="11">
        <f t="shared" si="3"/>
        <v>19</v>
      </c>
      <c r="C240" s="11" t="s">
        <v>148</v>
      </c>
      <c r="D240" s="11"/>
      <c r="E240" s="11"/>
      <c r="F240" s="11">
        <f>VLOOKUP(G240, SeanRanks!$A$2:$E$302, 4, FALSE)</f>
        <v>0</v>
      </c>
      <c r="G240" s="11" t="s">
        <v>476</v>
      </c>
      <c r="H240" s="11" t="str">
        <f>VLOOKUP($G240, 'ADP Data'!$C$4:$Q$300, 2, FALSE)</f>
        <v>SEA</v>
      </c>
      <c r="I240" s="11" t="str">
        <f>VLOOKUP(G240, 'ADP Data'!$C$4:$R$498, 12, FALSE)</f>
        <v>-</v>
      </c>
      <c r="J240" s="11">
        <f>VLOOKUP($G240, SeanRanks!$A$2:$H$303, 5, FALSE)</f>
        <v>0</v>
      </c>
      <c r="K240" s="11" t="str">
        <f>IF(VLOOKUP($G240, SeanRanks!$A$2:$H$303, 6, FALSE)=0, "", VLOOKUP($G240, SeanRanks!$A$2:$H$303, 6, FALSE))</f>
        <v/>
      </c>
      <c r="L240" s="11">
        <f t="shared" si="4"/>
        <v>16</v>
      </c>
      <c r="M240" s="11">
        <f>VLOOKUP($G240, 'ADP Data'!$C$4:$Q$300, 9, FALSE)</f>
        <v>183</v>
      </c>
      <c r="N240" s="11">
        <f t="shared" si="5"/>
        <v>-26</v>
      </c>
      <c r="O240" s="11">
        <f>VLOOKUP($G240, 'ADP Data'!$C$4:$Q$300, 3, FALSE)</f>
        <v>196</v>
      </c>
      <c r="P240" s="11">
        <f t="shared" si="6"/>
        <v>-13</v>
      </c>
      <c r="Q240" s="11">
        <f>VLOOKUP($G240, 'ADP Data'!$C$4:$Q$300, 4, FALSE)</f>
        <v>142</v>
      </c>
      <c r="R240" s="11">
        <f>VLOOKUP($G240, 'ADP Data'!$C$4:$Q$300, 5, FALSE)</f>
        <v>273</v>
      </c>
      <c r="S240" s="11">
        <f>VLOOKUP($G240, 'ADP Data'!$C$4:$Q$300, 6, FALSE)</f>
        <v>268</v>
      </c>
      <c r="T240" s="11">
        <f>VLOOKUP($G240, 'ADP Data'!$C$4:$Q$300, 7, FALSE)</f>
        <v>225</v>
      </c>
      <c r="U240" s="11">
        <f>VLOOKUP($G240, 'ADP Data'!$C$4:$Q$300, 8, FALSE)</f>
        <v>179</v>
      </c>
      <c r="V240" s="11">
        <f t="shared" si="7"/>
        <v>209</v>
      </c>
      <c r="W240" s="11">
        <f t="shared" si="8"/>
        <v>18</v>
      </c>
      <c r="X240" s="11">
        <f t="shared" si="9"/>
        <v>-18</v>
      </c>
      <c r="Y240" s="11">
        <f>VLOOKUP($G240, SeanRanks!$A$2:$K$303, 10, FALSE)-V240</f>
        <v>-12</v>
      </c>
      <c r="Z240" s="25" t="str">
        <f>IF(VLOOKUP($G240, SeanRanks!$A$2:$H$303, 7, FALSE)=0, "", VLOOKUP($G240, SeanRanks!$A$2:$H$303, 7, FALSE))</f>
        <v/>
      </c>
    </row>
    <row r="241" spans="1:26" ht="14.25" customHeight="1" x14ac:dyDescent="0.25">
      <c r="A241" s="11"/>
      <c r="B241" s="11">
        <f t="shared" si="3"/>
        <v>23</v>
      </c>
      <c r="C241" s="11" t="s">
        <v>148</v>
      </c>
      <c r="D241" s="11"/>
      <c r="E241" s="11"/>
      <c r="F241" s="11">
        <f>VLOOKUP(G241, SeanRanks!$A$2:$E$302, 4, FALSE)</f>
        <v>0</v>
      </c>
      <c r="G241" s="11" t="s">
        <v>379</v>
      </c>
      <c r="H241" s="11" t="str">
        <f>VLOOKUP($G241, 'ADP Data'!$C$4:$Q$300, 2, FALSE)</f>
        <v>NO</v>
      </c>
      <c r="I241" s="11">
        <f>VLOOKUP(G241, 'ADP Data'!$C$4:$R$498, 12, FALSE)</f>
        <v>212</v>
      </c>
      <c r="J241" s="11">
        <f>VLOOKUP($G241, SeanRanks!$A$2:$H$303, 5, FALSE)</f>
        <v>0</v>
      </c>
      <c r="K241" s="11" t="str">
        <f>IF(VLOOKUP($G241, SeanRanks!$A$2:$H$303, 6, FALSE)=0, "", VLOOKUP($G241, SeanRanks!$A$2:$H$303, 6, FALSE))</f>
        <v/>
      </c>
      <c r="L241" s="11">
        <f t="shared" si="4"/>
        <v>23</v>
      </c>
      <c r="M241" s="11">
        <f>VLOOKUP($G241, 'ADP Data'!$C$4:$Q$300, 9, FALSE)</f>
        <v>273</v>
      </c>
      <c r="N241" s="11">
        <f t="shared" si="5"/>
        <v>5</v>
      </c>
      <c r="O241" s="11" t="str">
        <f>VLOOKUP($G241, 'ADP Data'!$C$4:$Q$300, 3, FALSE)</f>
        <v>-</v>
      </c>
      <c r="P241" s="11" t="e">
        <f t="shared" si="6"/>
        <v>#VALUE!</v>
      </c>
      <c r="Q241" s="11" t="str">
        <f>VLOOKUP($G241, 'ADP Data'!$C$4:$Q$300, 4, FALSE)</f>
        <v>-</v>
      </c>
      <c r="R241" s="11">
        <f>VLOOKUP($G241, 'ADP Data'!$C$4:$Q$300, 5, FALSE)</f>
        <v>311</v>
      </c>
      <c r="S241" s="11">
        <f>VLOOKUP($G241, 'ADP Data'!$C$4:$Q$300, 6, FALSE)</f>
        <v>223</v>
      </c>
      <c r="T241" s="11">
        <f>VLOOKUP($G241, 'ADP Data'!$C$4:$Q$300, 7, FALSE)</f>
        <v>256</v>
      </c>
      <c r="U241" s="11">
        <f>VLOOKUP($G241, 'ADP Data'!$C$4:$Q$300, 8, FALSE)</f>
        <v>279</v>
      </c>
      <c r="V241" s="11">
        <f t="shared" si="7"/>
        <v>268</v>
      </c>
      <c r="W241" s="11">
        <f t="shared" si="8"/>
        <v>23</v>
      </c>
      <c r="X241" s="11">
        <f t="shared" si="9"/>
        <v>-23</v>
      </c>
      <c r="Y241" s="11" t="e">
        <f>VLOOKUP($G241, SeanRanks!$A$2:$K$303, 10, FALSE)-V241</f>
        <v>#VALUE!</v>
      </c>
      <c r="Z241" s="25" t="str">
        <f>IF(VLOOKUP($G241, SeanRanks!$A$2:$H$303, 7, FALSE)=0, "", VLOOKUP($G241, SeanRanks!$A$2:$H$303, 7, FALSE))</f>
        <v/>
      </c>
    </row>
    <row r="242" spans="1:26" ht="14.25" customHeight="1" x14ac:dyDescent="0.25">
      <c r="A242" s="11"/>
      <c r="B242" s="11" t="e">
        <f t="shared" si="3"/>
        <v>#N/A</v>
      </c>
      <c r="C242" s="11" t="s">
        <v>148</v>
      </c>
      <c r="D242" s="11"/>
      <c r="E242" s="11"/>
      <c r="F242" s="11" t="e">
        <f>VLOOKUP(G242, SeanRanks!$A$2:$E$302, 4, FALSE)</f>
        <v>#N/A</v>
      </c>
      <c r="G242" s="11" t="s">
        <v>964</v>
      </c>
      <c r="H242" s="11" t="e">
        <f>VLOOKUP($G242, 'ADP Data'!$C$4:$Q$300, 2, FALSE)</f>
        <v>#N/A</v>
      </c>
      <c r="I242" s="11" t="e">
        <f>VLOOKUP(G242, 'ADP Data'!$C$4:$R$498, 12, FALSE)</f>
        <v>#N/A</v>
      </c>
      <c r="J242" s="11" t="e">
        <f>VLOOKUP($G242, SeanRanks!$A$2:$H$303, 5, FALSE)</f>
        <v>#N/A</v>
      </c>
      <c r="K242" s="11" t="e">
        <f>IF(VLOOKUP($G242, SeanRanks!$A$2:$H$303, 6, FALSE)=0, "", VLOOKUP($G242, SeanRanks!$A$2:$H$303, 6, FALSE))</f>
        <v>#N/A</v>
      </c>
      <c r="L242" s="11">
        <f t="shared" si="4"/>
        <v>16</v>
      </c>
      <c r="M242" s="11" t="e">
        <f>VLOOKUP($G242, 'ADP Data'!$C$4:$Q$300, 9, FALSE)</f>
        <v>#N/A</v>
      </c>
      <c r="N242" s="11" t="e">
        <f t="shared" si="5"/>
        <v>#N/A</v>
      </c>
      <c r="O242" s="11" t="e">
        <f>VLOOKUP($G242, 'ADP Data'!$C$4:$Q$300, 3, FALSE)</f>
        <v>#N/A</v>
      </c>
      <c r="P242" s="11" t="e">
        <f t="shared" si="6"/>
        <v>#N/A</v>
      </c>
      <c r="Q242" s="11" t="e">
        <f>VLOOKUP($G242, 'ADP Data'!$C$4:$Q$300, 4, FALSE)</f>
        <v>#N/A</v>
      </c>
      <c r="R242" s="11" t="e">
        <f>VLOOKUP($G242, 'ADP Data'!$C$4:$Q$300, 5, FALSE)</f>
        <v>#N/A</v>
      </c>
      <c r="S242" s="11" t="e">
        <f>VLOOKUP($G242, 'ADP Data'!$C$4:$Q$300, 6, FALSE)</f>
        <v>#N/A</v>
      </c>
      <c r="T242" s="11" t="e">
        <f>VLOOKUP($G242, 'ADP Data'!$C$4:$Q$300, 7, FALSE)</f>
        <v>#N/A</v>
      </c>
      <c r="U242" s="11" t="e">
        <f>VLOOKUP($G242, 'ADP Data'!$C$4:$Q$300, 8, FALSE)</f>
        <v>#N/A</v>
      </c>
      <c r="V242" s="11" t="e">
        <f t="shared" si="7"/>
        <v>#N/A</v>
      </c>
      <c r="W242" s="11">
        <f t="shared" si="8"/>
        <v>16</v>
      </c>
      <c r="X242" s="11">
        <f t="shared" si="9"/>
        <v>-16</v>
      </c>
      <c r="Y242" s="11" t="e">
        <f>VLOOKUP($G242, SeanRanks!$A$2:$K$303, 10, FALSE)-V242</f>
        <v>#N/A</v>
      </c>
      <c r="Z242" s="25" t="e">
        <f>IF(VLOOKUP($G242, SeanRanks!$A$2:$H$303, 7, FALSE)=0, "", VLOOKUP($G242, SeanRanks!$A$2:$H$303, 7, FALSE))</f>
        <v>#N/A</v>
      </c>
    </row>
    <row r="243" spans="1:26" ht="14.25" customHeight="1" x14ac:dyDescent="0.25">
      <c r="A243" s="11"/>
      <c r="B243" s="11">
        <f t="shared" si="3"/>
        <v>20</v>
      </c>
      <c r="C243" s="11" t="s">
        <v>148</v>
      </c>
      <c r="D243" s="11"/>
      <c r="E243" s="11"/>
      <c r="F243" s="11">
        <f>VLOOKUP(G243, SeanRanks!$A$2:$E$302, 4, FALSE)</f>
        <v>0</v>
      </c>
      <c r="G243" s="11" t="s">
        <v>442</v>
      </c>
      <c r="H243" s="11" t="str">
        <f>VLOOKUP($G243, 'ADP Data'!$C$4:$Q$300, 2, FALSE)</f>
        <v>TB</v>
      </c>
      <c r="I243" s="11">
        <f>VLOOKUP(G243, 'ADP Data'!$C$4:$R$498, 12, FALSE)</f>
        <v>237</v>
      </c>
      <c r="J243" s="11">
        <f>VLOOKUP($G243, SeanRanks!$A$2:$H$303, 5, FALSE)</f>
        <v>0</v>
      </c>
      <c r="K243" s="11" t="str">
        <f>IF(VLOOKUP($G243, SeanRanks!$A$2:$H$303, 6, FALSE)=0, "", VLOOKUP($G243, SeanRanks!$A$2:$H$303, 6, FALSE))</f>
        <v/>
      </c>
      <c r="L243" s="11">
        <f t="shared" si="4"/>
        <v>15</v>
      </c>
      <c r="M243" s="11">
        <f>VLOOKUP($G243, 'ADP Data'!$C$4:$Q$300, 9, FALSE)</f>
        <v>177</v>
      </c>
      <c r="N243" s="11">
        <f t="shared" si="5"/>
        <v>-45</v>
      </c>
      <c r="O243" s="11" t="str">
        <f>VLOOKUP($G243, 'ADP Data'!$C$4:$Q$300, 3, FALSE)</f>
        <v>-</v>
      </c>
      <c r="P243" s="11" t="e">
        <f t="shared" si="6"/>
        <v>#VALUE!</v>
      </c>
      <c r="Q243" s="11" t="str">
        <f>VLOOKUP($G243, 'ADP Data'!$C$4:$Q$300, 4, FALSE)</f>
        <v>-</v>
      </c>
      <c r="R243" s="11" t="str">
        <f>VLOOKUP($G243, 'ADP Data'!$C$4:$Q$300, 5, FALSE)</f>
        <v>-</v>
      </c>
      <c r="S243" s="11">
        <f>VLOOKUP($G243, 'ADP Data'!$C$4:$Q$300, 6, FALSE)</f>
        <v>277</v>
      </c>
      <c r="T243" s="11">
        <f>VLOOKUP($G243, 'ADP Data'!$C$4:$Q$300, 7, FALSE)</f>
        <v>205</v>
      </c>
      <c r="U243" s="11">
        <f>VLOOKUP($G243, 'ADP Data'!$C$4:$Q$300, 8, FALSE)</f>
        <v>231</v>
      </c>
      <c r="V243" s="11">
        <f t="shared" si="7"/>
        <v>222</v>
      </c>
      <c r="W243" s="11">
        <f t="shared" si="8"/>
        <v>19</v>
      </c>
      <c r="X243" s="11">
        <f t="shared" si="9"/>
        <v>-19</v>
      </c>
      <c r="Y243" s="11" t="e">
        <f>VLOOKUP($G243, SeanRanks!$A$2:$K$303, 10, FALSE)-V243</f>
        <v>#VALUE!</v>
      </c>
      <c r="Z243" s="25" t="str">
        <f>IF(VLOOKUP($G243, SeanRanks!$A$2:$H$303, 7, FALSE)=0, "", VLOOKUP($G243, SeanRanks!$A$2:$H$303, 7, FALSE))</f>
        <v/>
      </c>
    </row>
    <row r="244" spans="1:26" ht="14.25" customHeight="1" x14ac:dyDescent="0.25">
      <c r="A244" s="11"/>
      <c r="B244" s="11" t="e">
        <f t="shared" si="3"/>
        <v>#N/A</v>
      </c>
      <c r="C244" s="11" t="s">
        <v>148</v>
      </c>
      <c r="D244" s="11"/>
      <c r="E244" s="11"/>
      <c r="F244" s="11" t="e">
        <f>VLOOKUP(G244, SeanRanks!$A$2:$E$302, 4, FALSE)</f>
        <v>#N/A</v>
      </c>
      <c r="G244" s="11" t="s">
        <v>959</v>
      </c>
      <c r="H244" s="11" t="e">
        <f>VLOOKUP($G244, 'ADP Data'!$C$4:$Q$300, 2, FALSE)</f>
        <v>#N/A</v>
      </c>
      <c r="I244" s="11" t="e">
        <f>VLOOKUP(G244, 'ADP Data'!$C$4:$R$498, 12, FALSE)</f>
        <v>#N/A</v>
      </c>
      <c r="J244" s="11" t="e">
        <f>VLOOKUP($G244, SeanRanks!$A$2:$H$303, 5, FALSE)</f>
        <v>#N/A</v>
      </c>
      <c r="K244" s="11" t="e">
        <f>IF(VLOOKUP($G244, SeanRanks!$A$2:$H$303, 6, FALSE)=0, "", VLOOKUP($G244, SeanRanks!$A$2:$H$303, 6, FALSE))</f>
        <v>#N/A</v>
      </c>
      <c r="L244" s="11">
        <f t="shared" si="4"/>
        <v>16</v>
      </c>
      <c r="M244" s="11" t="e">
        <f>VLOOKUP($G244, 'ADP Data'!$C$4:$Q$300, 9, FALSE)</f>
        <v>#N/A</v>
      </c>
      <c r="N244" s="11" t="e">
        <f t="shared" si="5"/>
        <v>#N/A</v>
      </c>
      <c r="O244" s="11" t="e">
        <f>VLOOKUP($G244, 'ADP Data'!$C$4:$Q$300, 3, FALSE)</f>
        <v>#N/A</v>
      </c>
      <c r="P244" s="11" t="e">
        <f t="shared" si="6"/>
        <v>#N/A</v>
      </c>
      <c r="Q244" s="11" t="e">
        <f>VLOOKUP($G244, 'ADP Data'!$C$4:$Q$300, 4, FALSE)</f>
        <v>#N/A</v>
      </c>
      <c r="R244" s="11" t="e">
        <f>VLOOKUP($G244, 'ADP Data'!$C$4:$Q$300, 5, FALSE)</f>
        <v>#N/A</v>
      </c>
      <c r="S244" s="11" t="e">
        <f>VLOOKUP($G244, 'ADP Data'!$C$4:$Q$300, 6, FALSE)</f>
        <v>#N/A</v>
      </c>
      <c r="T244" s="11" t="e">
        <f>VLOOKUP($G244, 'ADP Data'!$C$4:$Q$300, 7, FALSE)</f>
        <v>#N/A</v>
      </c>
      <c r="U244" s="11" t="e">
        <f>VLOOKUP($G244, 'ADP Data'!$C$4:$Q$300, 8, FALSE)</f>
        <v>#N/A</v>
      </c>
      <c r="V244" s="11" t="e">
        <f t="shared" si="7"/>
        <v>#N/A</v>
      </c>
      <c r="W244" s="11">
        <f t="shared" si="8"/>
        <v>16</v>
      </c>
      <c r="X244" s="11">
        <f t="shared" si="9"/>
        <v>-16</v>
      </c>
      <c r="Y244" s="11" t="e">
        <f>VLOOKUP($G244, SeanRanks!$A$2:$K$303, 10, FALSE)-V244</f>
        <v>#N/A</v>
      </c>
      <c r="Z244" s="25" t="e">
        <f>IF(VLOOKUP($G244, SeanRanks!$A$2:$H$303, 7, FALSE)=0, "", VLOOKUP($G244, SeanRanks!$A$2:$H$303, 7, FALSE))</f>
        <v>#N/A</v>
      </c>
    </row>
    <row r="245" spans="1:26" ht="14.25" customHeight="1" x14ac:dyDescent="0.25">
      <c r="A245" s="11"/>
      <c r="B245" s="11">
        <f t="shared" si="3"/>
        <v>14</v>
      </c>
      <c r="C245" s="11" t="s">
        <v>148</v>
      </c>
      <c r="D245" s="11"/>
      <c r="E245" s="11"/>
      <c r="F245" s="11">
        <f>VLOOKUP(G245, SeanRanks!$A$2:$E$302, 4, FALSE)</f>
        <v>0</v>
      </c>
      <c r="G245" s="11" t="s">
        <v>560</v>
      </c>
      <c r="H245" s="11" t="str">
        <f>VLOOKUP($G245, 'ADP Data'!$C$4:$Q$300, 2, FALSE)</f>
        <v>HOU</v>
      </c>
      <c r="I245" s="11" t="str">
        <f>VLOOKUP(G245, 'ADP Data'!$C$4:$R$498, 12, FALSE)</f>
        <v>-</v>
      </c>
      <c r="J245" s="11">
        <f>VLOOKUP($G245, SeanRanks!$A$2:$H$303, 5, FALSE)</f>
        <v>0</v>
      </c>
      <c r="K245" s="11" t="str">
        <f>IF(VLOOKUP($G245, SeanRanks!$A$2:$H$303, 6, FALSE)=0, "", VLOOKUP($G245, SeanRanks!$A$2:$H$303, 6, FALSE))</f>
        <v/>
      </c>
      <c r="L245" s="11">
        <f t="shared" si="4"/>
        <v>14</v>
      </c>
      <c r="M245" s="11">
        <f>VLOOKUP($G245, 'ADP Data'!$C$4:$Q$300, 9, FALSE)</f>
        <v>162</v>
      </c>
      <c r="N245" s="11">
        <f t="shared" si="5"/>
        <v>-18</v>
      </c>
      <c r="O245" s="11">
        <f>VLOOKUP($G245, 'ADP Data'!$C$4:$Q$300, 3, FALSE)</f>
        <v>198</v>
      </c>
      <c r="P245" s="11">
        <f t="shared" si="6"/>
        <v>-36</v>
      </c>
      <c r="Q245" s="11"/>
      <c r="R245" s="11"/>
      <c r="S245" s="11"/>
      <c r="T245" s="11"/>
      <c r="U245" s="11"/>
      <c r="V245" s="11">
        <f t="shared" si="7"/>
        <v>180</v>
      </c>
      <c r="W245" s="11">
        <f t="shared" si="8"/>
        <v>16</v>
      </c>
      <c r="X245" s="11">
        <f t="shared" si="9"/>
        <v>-16</v>
      </c>
      <c r="Y245" s="11">
        <f>VLOOKUP($G245, SeanRanks!$A$2:$K$303, 10, FALSE)-V245</f>
        <v>21</v>
      </c>
      <c r="Z245" s="25" t="str">
        <f>IF(VLOOKUP($G245, SeanRanks!$A$2:$H$303, 7, FALSE)=0, "", VLOOKUP($G245, SeanRanks!$A$2:$H$303, 7, FALSE))</f>
        <v/>
      </c>
    </row>
    <row r="246" spans="1:26" ht="14.25" customHeight="1" x14ac:dyDescent="0.25">
      <c r="A246" s="11"/>
      <c r="B246" s="11" t="e">
        <f t="shared" si="3"/>
        <v>#N/A</v>
      </c>
      <c r="C246" s="11" t="s">
        <v>148</v>
      </c>
      <c r="D246" s="11"/>
      <c r="E246" s="11"/>
      <c r="F246" s="11" t="e">
        <f>VLOOKUP(G246, SeanRanks!$A$2:$E$302, 4, FALSE)</f>
        <v>#N/A</v>
      </c>
      <c r="G246" s="11" t="s">
        <v>473</v>
      </c>
      <c r="H246" s="11" t="e">
        <f>VLOOKUP($G246, 'ADP Data'!$C$4:$Q$300, 2, FALSE)</f>
        <v>#N/A</v>
      </c>
      <c r="I246" s="11" t="e">
        <f>VLOOKUP(G246, 'ADP Data'!$C$4:$R$498, 12, FALSE)</f>
        <v>#N/A</v>
      </c>
      <c r="J246" s="11" t="e">
        <f>VLOOKUP($G246, SeanRanks!$A$2:$H$303, 5, FALSE)</f>
        <v>#N/A</v>
      </c>
      <c r="K246" s="11" t="e">
        <f>IF(VLOOKUP($G246, SeanRanks!$A$2:$H$303, 6, FALSE)=0, "", VLOOKUP($G246, SeanRanks!$A$2:$H$303, 6, FALSE))</f>
        <v>#N/A</v>
      </c>
      <c r="L246" s="11">
        <f t="shared" si="4"/>
        <v>16</v>
      </c>
      <c r="M246" s="11" t="e">
        <f>VLOOKUP($G246, 'ADP Data'!$C$4:$Q$300, 9, FALSE)</f>
        <v>#N/A</v>
      </c>
      <c r="N246" s="11" t="e">
        <f t="shared" si="5"/>
        <v>#N/A</v>
      </c>
      <c r="O246" s="11" t="e">
        <f>VLOOKUP($G246, 'ADP Data'!$C$4:$Q$300, 3, FALSE)</f>
        <v>#N/A</v>
      </c>
      <c r="P246" s="11" t="e">
        <f t="shared" si="6"/>
        <v>#N/A</v>
      </c>
      <c r="Q246" s="11" t="e">
        <f>VLOOKUP($G246, 'ADP Data'!$C$4:$Q$300, 4, FALSE)</f>
        <v>#N/A</v>
      </c>
      <c r="R246" s="11" t="e">
        <f>VLOOKUP($G246, 'ADP Data'!$C$4:$Q$300, 5, FALSE)</f>
        <v>#N/A</v>
      </c>
      <c r="S246" s="11" t="e">
        <f>VLOOKUP($G246, 'ADP Data'!$C$4:$Q$300, 6, FALSE)</f>
        <v>#N/A</v>
      </c>
      <c r="T246" s="11" t="e">
        <f>VLOOKUP($G246, 'ADP Data'!$C$4:$Q$300, 7, FALSE)</f>
        <v>#N/A</v>
      </c>
      <c r="U246" s="11" t="e">
        <f>VLOOKUP($G246, 'ADP Data'!$C$4:$Q$300, 8, FALSE)</f>
        <v>#N/A</v>
      </c>
      <c r="V246" s="11" t="e">
        <f t="shared" si="7"/>
        <v>#N/A</v>
      </c>
      <c r="W246" s="11">
        <f t="shared" si="8"/>
        <v>16</v>
      </c>
      <c r="X246" s="11">
        <f t="shared" si="9"/>
        <v>-16</v>
      </c>
      <c r="Y246" s="11" t="e">
        <f>VLOOKUP($G246, SeanRanks!$A$2:$K$303, 10, FALSE)-V246</f>
        <v>#N/A</v>
      </c>
      <c r="Z246" s="25" t="e">
        <f>IF(VLOOKUP($G246, SeanRanks!$A$2:$H$303, 7, FALSE)=0, "", VLOOKUP($G246, SeanRanks!$A$2:$H$303, 7, FALSE))</f>
        <v>#N/A</v>
      </c>
    </row>
    <row r="247" spans="1:26" ht="14.25" customHeight="1" x14ac:dyDescent="0.25">
      <c r="A247" s="11"/>
      <c r="B247" s="11" t="e">
        <f t="shared" si="3"/>
        <v>#N/A</v>
      </c>
      <c r="C247" s="11" t="s">
        <v>148</v>
      </c>
      <c r="D247" s="11"/>
      <c r="E247" s="11"/>
      <c r="F247" s="11" t="e">
        <f>VLOOKUP(G247, SeanRanks!$A$2:$E$302, 4, FALSE)</f>
        <v>#N/A</v>
      </c>
      <c r="G247" s="11" t="s">
        <v>974</v>
      </c>
      <c r="H247" s="11" t="e">
        <f>VLOOKUP($G247, 'ADP Data'!$C$4:$Q$300, 2, FALSE)</f>
        <v>#N/A</v>
      </c>
      <c r="I247" s="11" t="e">
        <f>VLOOKUP(G247, 'ADP Data'!$C$4:$R$498, 12, FALSE)</f>
        <v>#N/A</v>
      </c>
      <c r="J247" s="11" t="e">
        <f>VLOOKUP($G247, SeanRanks!$A$2:$H$303, 5, FALSE)</f>
        <v>#N/A</v>
      </c>
      <c r="K247" s="11" t="e">
        <f>IF(VLOOKUP($G247, SeanRanks!$A$2:$H$303, 6, FALSE)=0, "", VLOOKUP($G247, SeanRanks!$A$2:$H$303, 6, FALSE))</f>
        <v>#N/A</v>
      </c>
      <c r="L247" s="11">
        <f t="shared" si="4"/>
        <v>16</v>
      </c>
      <c r="M247" s="11" t="e">
        <f>VLOOKUP($G247, 'ADP Data'!$C$4:$Q$300, 9, FALSE)</f>
        <v>#N/A</v>
      </c>
      <c r="N247" s="11" t="e">
        <f t="shared" si="5"/>
        <v>#N/A</v>
      </c>
      <c r="O247" s="11" t="e">
        <f>VLOOKUP($G247, 'ADP Data'!$C$4:$Q$300, 3, FALSE)</f>
        <v>#N/A</v>
      </c>
      <c r="P247" s="11" t="e">
        <f t="shared" si="6"/>
        <v>#N/A</v>
      </c>
      <c r="Q247" s="11" t="e">
        <f>VLOOKUP($G247, 'ADP Data'!$C$4:$Q$300, 4, FALSE)</f>
        <v>#N/A</v>
      </c>
      <c r="R247" s="11" t="e">
        <f>VLOOKUP($G247, 'ADP Data'!$C$4:$Q$300, 5, FALSE)</f>
        <v>#N/A</v>
      </c>
      <c r="S247" s="11" t="e">
        <f>VLOOKUP($G247, 'ADP Data'!$C$4:$Q$300, 6, FALSE)</f>
        <v>#N/A</v>
      </c>
      <c r="T247" s="11" t="e">
        <f>VLOOKUP($G247, 'ADP Data'!$C$4:$Q$300, 7, FALSE)</f>
        <v>#N/A</v>
      </c>
      <c r="U247" s="11" t="e">
        <f>VLOOKUP($G247, 'ADP Data'!$C$4:$Q$300, 8, FALSE)</f>
        <v>#N/A</v>
      </c>
      <c r="V247" s="11" t="e">
        <f t="shared" si="7"/>
        <v>#N/A</v>
      </c>
      <c r="W247" s="11">
        <f t="shared" si="8"/>
        <v>16</v>
      </c>
      <c r="X247" s="11">
        <f t="shared" si="9"/>
        <v>-16</v>
      </c>
      <c r="Y247" s="11" t="e">
        <f>VLOOKUP($G247, SeanRanks!$A$2:$K$303, 10, FALSE)-V247</f>
        <v>#N/A</v>
      </c>
      <c r="Z247" s="25" t="e">
        <f>IF(VLOOKUP($G247, SeanRanks!$A$2:$H$303, 7, FALSE)=0, "", VLOOKUP($G247, SeanRanks!$A$2:$H$303, 7, FALSE))</f>
        <v>#N/A</v>
      </c>
    </row>
    <row r="248" spans="1:26" ht="14.25" customHeight="1" x14ac:dyDescent="0.25">
      <c r="A248" s="11"/>
      <c r="B248" s="11" t="e">
        <f t="shared" si="3"/>
        <v>#N/A</v>
      </c>
      <c r="C248" s="11" t="s">
        <v>148</v>
      </c>
      <c r="D248" s="11"/>
      <c r="E248" s="11"/>
      <c r="F248" s="11" t="e">
        <f>VLOOKUP(G248, SeanRanks!$A$2:$E$302, 4, FALSE)</f>
        <v>#N/A</v>
      </c>
      <c r="G248" s="11" t="s">
        <v>952</v>
      </c>
      <c r="H248" s="11" t="e">
        <f>VLOOKUP($G248, 'ADP Data'!$C$4:$Q$300, 2, FALSE)</f>
        <v>#N/A</v>
      </c>
      <c r="I248" s="11" t="e">
        <f>VLOOKUP(G248, 'ADP Data'!$C$4:$R$498, 12, FALSE)</f>
        <v>#N/A</v>
      </c>
      <c r="J248" s="11" t="e">
        <f>VLOOKUP($G248, SeanRanks!$A$2:$H$303, 5, FALSE)</f>
        <v>#N/A</v>
      </c>
      <c r="K248" s="11" t="e">
        <f>IF(VLOOKUP($G248, SeanRanks!$A$2:$H$303, 6, FALSE)=0, "", VLOOKUP($G248, SeanRanks!$A$2:$H$303, 6, FALSE))</f>
        <v>#N/A</v>
      </c>
      <c r="L248" s="11">
        <f t="shared" si="4"/>
        <v>16</v>
      </c>
      <c r="M248" s="11" t="e">
        <f>VLOOKUP($G248, 'ADP Data'!$C$4:$Q$300, 9, FALSE)</f>
        <v>#N/A</v>
      </c>
      <c r="N248" s="11" t="e">
        <f t="shared" si="5"/>
        <v>#N/A</v>
      </c>
      <c r="O248" s="11" t="e">
        <f>VLOOKUP($G248, 'ADP Data'!$C$4:$Q$300, 3, FALSE)</f>
        <v>#N/A</v>
      </c>
      <c r="P248" s="11" t="e">
        <f t="shared" si="6"/>
        <v>#N/A</v>
      </c>
      <c r="Q248" s="11" t="e">
        <f>VLOOKUP($G248, 'ADP Data'!$C$4:$Q$300, 4, FALSE)</f>
        <v>#N/A</v>
      </c>
      <c r="R248" s="11" t="e">
        <f>VLOOKUP($G248, 'ADP Data'!$C$4:$Q$300, 5, FALSE)</f>
        <v>#N/A</v>
      </c>
      <c r="S248" s="11" t="e">
        <f>VLOOKUP($G248, 'ADP Data'!$C$4:$Q$300, 6, FALSE)</f>
        <v>#N/A</v>
      </c>
      <c r="T248" s="11" t="e">
        <f>VLOOKUP($G248, 'ADP Data'!$C$4:$Q$300, 7, FALSE)</f>
        <v>#N/A</v>
      </c>
      <c r="U248" s="11" t="e">
        <f>VLOOKUP($G248, 'ADP Data'!$C$4:$Q$300, 8, FALSE)</f>
        <v>#N/A</v>
      </c>
      <c r="V248" s="11" t="e">
        <f t="shared" si="7"/>
        <v>#N/A</v>
      </c>
      <c r="W248" s="11">
        <f t="shared" si="8"/>
        <v>16</v>
      </c>
      <c r="X248" s="11">
        <f t="shared" si="9"/>
        <v>-16</v>
      </c>
      <c r="Y248" s="11" t="e">
        <f>VLOOKUP($G248, SeanRanks!$A$2:$K$303, 10, FALSE)-V248</f>
        <v>#N/A</v>
      </c>
      <c r="Z248" s="25" t="e">
        <f>IF(VLOOKUP($G248, SeanRanks!$A$2:$H$303, 7, FALSE)=0, "", VLOOKUP($G248, SeanRanks!$A$2:$H$303, 7, FALSE))</f>
        <v>#N/A</v>
      </c>
    </row>
    <row r="249" spans="1:26" ht="14.25" customHeight="1" x14ac:dyDescent="0.25">
      <c r="A249" s="11"/>
      <c r="B249" s="11" t="e">
        <f t="shared" si="3"/>
        <v>#N/A</v>
      </c>
      <c r="C249" s="11" t="s">
        <v>148</v>
      </c>
      <c r="D249" s="11"/>
      <c r="E249" s="11"/>
      <c r="F249" s="11" t="e">
        <f>VLOOKUP(G249, SeanRanks!$A$2:$E$302, 4, FALSE)</f>
        <v>#N/A</v>
      </c>
      <c r="G249" s="11" t="s">
        <v>282</v>
      </c>
      <c r="H249" s="11" t="e">
        <f>VLOOKUP($G249, 'ADP Data'!$C$4:$Q$300, 2, FALSE)</f>
        <v>#N/A</v>
      </c>
      <c r="I249" s="11" t="e">
        <f>VLOOKUP(G249, 'ADP Data'!$C$4:$R$498, 12, FALSE)</f>
        <v>#N/A</v>
      </c>
      <c r="J249" s="11" t="e">
        <f>VLOOKUP($G249, SeanRanks!$A$2:$H$303, 5, FALSE)</f>
        <v>#N/A</v>
      </c>
      <c r="K249" s="11" t="e">
        <f>IF(VLOOKUP($G249, SeanRanks!$A$2:$H$303, 6, FALSE)=0, "", VLOOKUP($G249, SeanRanks!$A$2:$H$303, 6, FALSE))</f>
        <v>#N/A</v>
      </c>
      <c r="L249" s="11">
        <f t="shared" si="4"/>
        <v>16</v>
      </c>
      <c r="M249" s="11" t="e">
        <f>VLOOKUP($G249, 'ADP Data'!$C$4:$Q$300, 9, FALSE)</f>
        <v>#N/A</v>
      </c>
      <c r="N249" s="11" t="e">
        <f t="shared" si="5"/>
        <v>#N/A</v>
      </c>
      <c r="O249" s="11" t="e">
        <f>VLOOKUP($G249, 'ADP Data'!$C$4:$Q$300, 3, FALSE)</f>
        <v>#N/A</v>
      </c>
      <c r="P249" s="11" t="e">
        <f t="shared" si="6"/>
        <v>#N/A</v>
      </c>
      <c r="Q249" s="11" t="e">
        <f>VLOOKUP($G249, 'ADP Data'!$C$4:$Q$300, 4, FALSE)</f>
        <v>#N/A</v>
      </c>
      <c r="R249" s="11" t="e">
        <f>VLOOKUP($G249, 'ADP Data'!$C$4:$Q$300, 5, FALSE)</f>
        <v>#N/A</v>
      </c>
      <c r="S249" s="11" t="e">
        <f>VLOOKUP($G249, 'ADP Data'!$C$4:$Q$300, 6, FALSE)</f>
        <v>#N/A</v>
      </c>
      <c r="T249" s="11" t="e">
        <f>VLOOKUP($G249, 'ADP Data'!$C$4:$Q$300, 7, FALSE)</f>
        <v>#N/A</v>
      </c>
      <c r="U249" s="11" t="e">
        <f>VLOOKUP($G249, 'ADP Data'!$C$4:$Q$300, 8, FALSE)</f>
        <v>#N/A</v>
      </c>
      <c r="V249" s="11" t="e">
        <f t="shared" si="7"/>
        <v>#N/A</v>
      </c>
      <c r="W249" s="11">
        <f t="shared" si="8"/>
        <v>16</v>
      </c>
      <c r="X249" s="11">
        <f t="shared" si="9"/>
        <v>-16</v>
      </c>
      <c r="Y249" s="11" t="e">
        <f>VLOOKUP($G249, SeanRanks!$A$2:$K$303, 10, FALSE)-V249</f>
        <v>#N/A</v>
      </c>
      <c r="Z249" s="25" t="e">
        <f>IF(VLOOKUP($G249, SeanRanks!$A$2:$H$303, 7, FALSE)=0, "", VLOOKUP($G249, SeanRanks!$A$2:$H$303, 7, FALSE))</f>
        <v>#N/A</v>
      </c>
    </row>
    <row r="250" spans="1:26" ht="14.25" customHeight="1" x14ac:dyDescent="0.25">
      <c r="A250" s="11"/>
      <c r="B250" s="11" t="e">
        <f t="shared" si="3"/>
        <v>#N/A</v>
      </c>
      <c r="C250" s="11" t="s">
        <v>148</v>
      </c>
      <c r="D250" s="11"/>
      <c r="E250" s="11"/>
      <c r="F250" s="11" t="e">
        <f>VLOOKUP(G250, SeanRanks!$A$2:$E$302, 4, FALSE)</f>
        <v>#N/A</v>
      </c>
      <c r="G250" s="11" t="s">
        <v>958</v>
      </c>
      <c r="H250" s="11" t="e">
        <f>VLOOKUP($G250, 'ADP Data'!$C$4:$Q$300, 2, FALSE)</f>
        <v>#N/A</v>
      </c>
      <c r="I250" s="11" t="e">
        <f>VLOOKUP(G250, 'ADP Data'!$C$4:$R$498, 12, FALSE)</f>
        <v>#N/A</v>
      </c>
      <c r="J250" s="11" t="e">
        <f>VLOOKUP($G250, SeanRanks!$A$2:$H$303, 5, FALSE)</f>
        <v>#N/A</v>
      </c>
      <c r="K250" s="11" t="e">
        <f>IF(VLOOKUP($G250, SeanRanks!$A$2:$H$303, 6, FALSE)=0, "", VLOOKUP($G250, SeanRanks!$A$2:$H$303, 6, FALSE))</f>
        <v>#N/A</v>
      </c>
      <c r="L250" s="11">
        <f t="shared" si="4"/>
        <v>16</v>
      </c>
      <c r="M250" s="11" t="e">
        <f>VLOOKUP($G250, 'ADP Data'!$C$4:$Q$300, 9, FALSE)</f>
        <v>#N/A</v>
      </c>
      <c r="N250" s="11" t="e">
        <f t="shared" si="5"/>
        <v>#N/A</v>
      </c>
      <c r="O250" s="11" t="e">
        <f>VLOOKUP($G250, 'ADP Data'!$C$4:$Q$300, 3, FALSE)</f>
        <v>#N/A</v>
      </c>
      <c r="P250" s="11" t="e">
        <f t="shared" si="6"/>
        <v>#N/A</v>
      </c>
      <c r="Q250" s="11" t="e">
        <f>VLOOKUP($G250, 'ADP Data'!$C$4:$Q$300, 4, FALSE)</f>
        <v>#N/A</v>
      </c>
      <c r="R250" s="11" t="e">
        <f>VLOOKUP($G250, 'ADP Data'!$C$4:$Q$300, 5, FALSE)</f>
        <v>#N/A</v>
      </c>
      <c r="S250" s="11" t="e">
        <f>VLOOKUP($G250, 'ADP Data'!$C$4:$Q$300, 6, FALSE)</f>
        <v>#N/A</v>
      </c>
      <c r="T250" s="11" t="e">
        <f>VLOOKUP($G250, 'ADP Data'!$C$4:$Q$300, 7, FALSE)</f>
        <v>#N/A</v>
      </c>
      <c r="U250" s="11" t="e">
        <f>VLOOKUP($G250, 'ADP Data'!$C$4:$Q$300, 8, FALSE)</f>
        <v>#N/A</v>
      </c>
      <c r="V250" s="11" t="e">
        <f t="shared" si="7"/>
        <v>#N/A</v>
      </c>
      <c r="W250" s="11">
        <f t="shared" si="8"/>
        <v>16</v>
      </c>
      <c r="X250" s="11">
        <f t="shared" si="9"/>
        <v>-16</v>
      </c>
      <c r="Y250" s="11" t="e">
        <f>VLOOKUP($G250, SeanRanks!$A$2:$K$303, 10, FALSE)-V250</f>
        <v>#N/A</v>
      </c>
      <c r="Z250" s="25" t="e">
        <f>IF(VLOOKUP($G250, SeanRanks!$A$2:$H$303, 7, FALSE)=0, "", VLOOKUP($G250, SeanRanks!$A$2:$H$303, 7, FALSE))</f>
        <v>#N/A</v>
      </c>
    </row>
    <row r="251" spans="1:26" ht="14.25" customHeight="1" x14ac:dyDescent="0.25">
      <c r="A251" s="11"/>
      <c r="B251" s="11">
        <f t="shared" si="3"/>
        <v>11</v>
      </c>
      <c r="C251" s="11" t="s">
        <v>148</v>
      </c>
      <c r="D251" s="11"/>
      <c r="E251" s="11"/>
      <c r="F251" s="11">
        <f>VLOOKUP(G251, SeanRanks!$A$2:$E$302, 4, FALSE)</f>
        <v>0</v>
      </c>
      <c r="G251" s="11" t="s">
        <v>471</v>
      </c>
      <c r="H251" s="11" t="str">
        <f>VLOOKUP($G251, 'ADP Data'!$C$4:$Q$300, 2, FALSE)</f>
        <v>DEN</v>
      </c>
      <c r="I251" s="11" t="str">
        <f>VLOOKUP(G251, 'ADP Data'!$C$4:$R$498, 12, FALSE)</f>
        <v>-</v>
      </c>
      <c r="J251" s="11">
        <f>VLOOKUP($G251, SeanRanks!$A$2:$H$303, 5, FALSE)</f>
        <v>0</v>
      </c>
      <c r="K251" s="11" t="str">
        <f>IF(VLOOKUP($G251, SeanRanks!$A$2:$H$303, 6, FALSE)=0, "", VLOOKUP($G251, SeanRanks!$A$2:$H$303, 6, FALSE))</f>
        <v/>
      </c>
      <c r="L251" s="11">
        <f t="shared" si="4"/>
        <v>13</v>
      </c>
      <c r="M251" s="11">
        <f>VLOOKUP($G251, 'ADP Data'!$C$4:$Q$300, 9, FALSE)</f>
        <v>147</v>
      </c>
      <c r="N251" s="11">
        <f t="shared" si="5"/>
        <v>18</v>
      </c>
      <c r="O251" s="11">
        <f>VLOOKUP($G251, 'ADP Data'!$C$4:$Q$300, 3, FALSE)</f>
        <v>106</v>
      </c>
      <c r="P251" s="11">
        <f t="shared" si="6"/>
        <v>41</v>
      </c>
      <c r="Q251" s="11">
        <f>VLOOKUP($G251, 'ADP Data'!$C$4:$Q$300, 4, FALSE)</f>
        <v>94</v>
      </c>
      <c r="R251" s="11">
        <f>VLOOKUP($G251, 'ADP Data'!$C$4:$Q$300, 5, FALSE)</f>
        <v>134</v>
      </c>
      <c r="S251" s="11">
        <f>VLOOKUP($G251, 'ADP Data'!$C$4:$Q$300, 6, FALSE)</f>
        <v>203</v>
      </c>
      <c r="T251" s="11">
        <f>VLOOKUP($G251, 'ADP Data'!$C$4:$Q$300, 7, FALSE)</f>
        <v>140</v>
      </c>
      <c r="U251" s="11">
        <f>VLOOKUP($G251, 'ADP Data'!$C$4:$Q$300, 8, FALSE)</f>
        <v>82</v>
      </c>
      <c r="V251" s="11">
        <f t="shared" si="7"/>
        <v>129</v>
      </c>
      <c r="W251" s="11">
        <f t="shared" si="8"/>
        <v>11</v>
      </c>
      <c r="X251" s="11">
        <f t="shared" si="9"/>
        <v>-11</v>
      </c>
      <c r="Y251" s="11">
        <f>VLOOKUP($G251, SeanRanks!$A$2:$K$303, 10, FALSE)-V251</f>
        <v>29</v>
      </c>
      <c r="Z251" s="25" t="str">
        <f>IF(VLOOKUP($G251, SeanRanks!$A$2:$H$303, 7, FALSE)=0, "", VLOOKUP($G251, SeanRanks!$A$2:$H$303, 7, FALSE))</f>
        <v/>
      </c>
    </row>
    <row r="252" spans="1:26" ht="14.25" customHeight="1" x14ac:dyDescent="0.25">
      <c r="A252" s="11"/>
      <c r="B252" s="11">
        <f t="shared" si="3"/>
        <v>19</v>
      </c>
      <c r="C252" s="11" t="s">
        <v>148</v>
      </c>
      <c r="D252" s="11"/>
      <c r="E252" s="11"/>
      <c r="F252" s="11">
        <f>VLOOKUP(G252, SeanRanks!$A$2:$E$302, 4, FALSE)</f>
        <v>0</v>
      </c>
      <c r="G252" s="11" t="s">
        <v>960</v>
      </c>
      <c r="H252" s="11" t="str">
        <f>VLOOKUP($G252, 'ADP Data'!$C$4:$Q$300, 2, FALSE)</f>
        <v>PHI</v>
      </c>
      <c r="I252" s="11">
        <f>VLOOKUP(G252, 'ADP Data'!$C$4:$R$498, 12, FALSE)</f>
        <v>167</v>
      </c>
      <c r="J252" s="11">
        <f>VLOOKUP($G252, SeanRanks!$A$2:$H$303, 5, FALSE)</f>
        <v>0</v>
      </c>
      <c r="K252" s="11" t="str">
        <f>IF(VLOOKUP($G252, SeanRanks!$A$2:$H$303, 6, FALSE)=0, "", VLOOKUP($G252, SeanRanks!$A$2:$H$303, 6, FALSE))</f>
        <v>Handcuff only</v>
      </c>
      <c r="L252" s="11">
        <f t="shared" si="4"/>
        <v>18</v>
      </c>
      <c r="M252" s="11">
        <f>VLOOKUP($G252, 'ADP Data'!$C$4:$Q$300, 9, FALSE)</f>
        <v>204</v>
      </c>
      <c r="N252" s="11">
        <f t="shared" si="5"/>
        <v>-13</v>
      </c>
      <c r="O252" s="11">
        <f>VLOOKUP($G252, 'ADP Data'!$C$4:$Q$300, 3, FALSE)</f>
        <v>211</v>
      </c>
      <c r="P252" s="11">
        <f t="shared" si="6"/>
        <v>-7</v>
      </c>
      <c r="Q252" s="11">
        <f>VLOOKUP($G252, 'ADP Data'!$C$4:$Q$300, 4, FALSE)</f>
        <v>213</v>
      </c>
      <c r="R252" s="11">
        <f>VLOOKUP($G252, 'ADP Data'!$C$4:$Q$300, 5, FALSE)</f>
        <v>258</v>
      </c>
      <c r="S252" s="11">
        <f>VLOOKUP($G252, 'ADP Data'!$C$4:$Q$300, 6, FALSE)</f>
        <v>163</v>
      </c>
      <c r="T252" s="11">
        <f>VLOOKUP($G252, 'ADP Data'!$C$4:$Q$300, 7, FALSE)</f>
        <v>173</v>
      </c>
      <c r="U252" s="11">
        <f>VLOOKUP($G252, 'ADP Data'!$C$4:$Q$300, 8, FALSE)</f>
        <v>302</v>
      </c>
      <c r="V252" s="11">
        <f t="shared" si="7"/>
        <v>217</v>
      </c>
      <c r="W252" s="11">
        <f t="shared" si="8"/>
        <v>19</v>
      </c>
      <c r="X252" s="11">
        <f t="shared" si="9"/>
        <v>-19</v>
      </c>
      <c r="Y252" s="11">
        <f>VLOOKUP($G252, SeanRanks!$A$2:$K$303, 10, FALSE)-V252</f>
        <v>-50</v>
      </c>
      <c r="Z252" s="25" t="str">
        <f>IF(VLOOKUP($G252, SeanRanks!$A$2:$H$303, 7, FALSE)=0, "", VLOOKUP($G252, SeanRanks!$A$2:$H$303, 7, FALSE))</f>
        <v/>
      </c>
    </row>
    <row r="253" spans="1:26" ht="14.25" customHeight="1" x14ac:dyDescent="0.25">
      <c r="A253" s="11"/>
      <c r="B253" s="11" t="e">
        <f t="shared" si="3"/>
        <v>#N/A</v>
      </c>
      <c r="C253" s="11" t="s">
        <v>148</v>
      </c>
      <c r="D253" s="11"/>
      <c r="E253" s="11"/>
      <c r="F253" s="11" t="e">
        <f>VLOOKUP(G253, SeanRanks!$A$2:$E$302, 4, FALSE)</f>
        <v>#N/A</v>
      </c>
      <c r="G253" s="11" t="s">
        <v>693</v>
      </c>
      <c r="H253" s="11" t="e">
        <f>VLOOKUP($G253, 'ADP Data'!$C$4:$Q$300, 2, FALSE)</f>
        <v>#N/A</v>
      </c>
      <c r="I253" s="11" t="e">
        <f>VLOOKUP(G253, 'ADP Data'!$C$4:$R$498, 12, FALSE)</f>
        <v>#N/A</v>
      </c>
      <c r="J253" s="11" t="e">
        <f>VLOOKUP($G253, SeanRanks!$A$2:$H$303, 5, FALSE)</f>
        <v>#N/A</v>
      </c>
      <c r="K253" s="11" t="e">
        <f>IF(VLOOKUP($G253, SeanRanks!$A$2:$H$303, 6, FALSE)=0, "", VLOOKUP($G253, SeanRanks!$A$2:$H$303, 6, FALSE))</f>
        <v>#N/A</v>
      </c>
      <c r="L253" s="11">
        <f t="shared" si="4"/>
        <v>16</v>
      </c>
      <c r="M253" s="11" t="e">
        <f>VLOOKUP($G253, 'ADP Data'!$C$4:$Q$300, 9, FALSE)</f>
        <v>#N/A</v>
      </c>
      <c r="N253" s="11" t="e">
        <f t="shared" si="5"/>
        <v>#N/A</v>
      </c>
      <c r="O253" s="11" t="e">
        <f>VLOOKUP($G253, 'ADP Data'!$C$4:$Q$300, 3, FALSE)</f>
        <v>#N/A</v>
      </c>
      <c r="P253" s="11" t="e">
        <f t="shared" si="6"/>
        <v>#N/A</v>
      </c>
      <c r="Q253" s="11" t="e">
        <f>VLOOKUP($G253, 'ADP Data'!$C$4:$Q$300, 4, FALSE)</f>
        <v>#N/A</v>
      </c>
      <c r="R253" s="11" t="e">
        <f>VLOOKUP($G253, 'ADP Data'!$C$4:$Q$300, 5, FALSE)</f>
        <v>#N/A</v>
      </c>
      <c r="S253" s="11" t="e">
        <f>VLOOKUP($G253, 'ADP Data'!$C$4:$Q$300, 6, FALSE)</f>
        <v>#N/A</v>
      </c>
      <c r="T253" s="11" t="e">
        <f>VLOOKUP($G253, 'ADP Data'!$C$4:$Q$300, 7, FALSE)</f>
        <v>#N/A</v>
      </c>
      <c r="U253" s="11" t="e">
        <f>VLOOKUP($G253, 'ADP Data'!$C$4:$Q$300, 8, FALSE)</f>
        <v>#N/A</v>
      </c>
      <c r="V253" s="11" t="e">
        <f t="shared" si="7"/>
        <v>#N/A</v>
      </c>
      <c r="W253" s="11">
        <f t="shared" si="8"/>
        <v>16</v>
      </c>
      <c r="X253" s="11">
        <f t="shared" si="9"/>
        <v>-16</v>
      </c>
      <c r="Y253" s="11" t="e">
        <f>VLOOKUP($G253, SeanRanks!$A$2:$K$303, 10, FALSE)-V253</f>
        <v>#N/A</v>
      </c>
      <c r="Z253" s="25" t="e">
        <f>IF(VLOOKUP($G253, SeanRanks!$A$2:$H$303, 7, FALSE)=0, "", VLOOKUP($G253, SeanRanks!$A$2:$H$303, 7, FALSE))</f>
        <v>#N/A</v>
      </c>
    </row>
    <row r="254" spans="1:26" ht="14.25" customHeight="1" x14ac:dyDescent="0.25">
      <c r="A254" s="11"/>
      <c r="B254" s="11">
        <f t="shared" si="3"/>
        <v>15</v>
      </c>
      <c r="C254" s="11" t="s">
        <v>148</v>
      </c>
      <c r="D254" s="11"/>
      <c r="E254" s="11"/>
      <c r="F254" s="11">
        <f>VLOOKUP(G254, SeanRanks!$A$2:$E$302, 4, FALSE)</f>
        <v>0</v>
      </c>
      <c r="G254" s="11" t="s">
        <v>512</v>
      </c>
      <c r="H254" s="11" t="str">
        <f>VLOOKUP($G254, 'ADP Data'!$C$4:$Q$300, 2, FALSE)</f>
        <v>MIN</v>
      </c>
      <c r="I254" s="11" t="str">
        <f>VLOOKUP(G254, 'ADP Data'!$C$4:$R$498, 12, FALSE)</f>
        <v>-</v>
      </c>
      <c r="J254" s="11">
        <f>VLOOKUP($G254, SeanRanks!$A$2:$H$303, 5, FALSE)</f>
        <v>0</v>
      </c>
      <c r="K254" s="11" t="str">
        <f>IF(VLOOKUP($G254, SeanRanks!$A$2:$H$303, 6, FALSE)=0, "", VLOOKUP($G254, SeanRanks!$A$2:$H$303, 6, FALSE))</f>
        <v/>
      </c>
      <c r="L254" s="11">
        <f t="shared" si="4"/>
        <v>14</v>
      </c>
      <c r="M254" s="11">
        <f>VLOOKUP($G254, 'ADP Data'!$C$4:$Q$300, 9, FALSE)</f>
        <v>160</v>
      </c>
      <c r="N254" s="11">
        <f t="shared" si="5"/>
        <v>-5</v>
      </c>
      <c r="O254" s="11">
        <f>VLOOKUP($G254, 'ADP Data'!$C$4:$Q$300, 3, FALSE)</f>
        <v>141</v>
      </c>
      <c r="P254" s="11">
        <f t="shared" si="6"/>
        <v>19</v>
      </c>
      <c r="Q254" s="11">
        <f>VLOOKUP($G254, 'ADP Data'!$C$4:$Q$300, 4, FALSE)</f>
        <v>119</v>
      </c>
      <c r="R254" s="11">
        <f>VLOOKUP($G254, 'ADP Data'!$C$4:$Q$300, 5, FALSE)</f>
        <v>193</v>
      </c>
      <c r="S254" s="11">
        <f>VLOOKUP($G254, 'ADP Data'!$C$4:$Q$300, 6, FALSE)</f>
        <v>220</v>
      </c>
      <c r="T254" s="11">
        <f>VLOOKUP($G254, 'ADP Data'!$C$4:$Q$300, 7, FALSE)</f>
        <v>172</v>
      </c>
      <c r="U254" s="11">
        <f>VLOOKUP($G254, 'ADP Data'!$C$4:$Q$300, 8, FALSE)</f>
        <v>151</v>
      </c>
      <c r="V254" s="11">
        <f t="shared" si="7"/>
        <v>165</v>
      </c>
      <c r="W254" s="11">
        <f t="shared" si="8"/>
        <v>14</v>
      </c>
      <c r="X254" s="11">
        <f t="shared" si="9"/>
        <v>-14</v>
      </c>
      <c r="Y254" s="11">
        <f>VLOOKUP($G254, SeanRanks!$A$2:$K$303, 10, FALSE)-V254</f>
        <v>7</v>
      </c>
      <c r="Z254" s="25" t="str">
        <f>IF(VLOOKUP($G254, SeanRanks!$A$2:$H$303, 7, FALSE)=0, "", VLOOKUP($G254, SeanRanks!$A$2:$H$303, 7, FALSE))</f>
        <v/>
      </c>
    </row>
    <row r="255" spans="1:26" ht="14.25" customHeight="1" x14ac:dyDescent="0.25">
      <c r="A255" s="11"/>
      <c r="B255" s="11">
        <f t="shared" si="3"/>
        <v>16</v>
      </c>
      <c r="C255" s="11" t="s">
        <v>148</v>
      </c>
      <c r="D255" s="11"/>
      <c r="E255" s="11"/>
      <c r="F255" s="11">
        <f>VLOOKUP(G255, SeanRanks!$A$2:$E$302, 4, FALSE)</f>
        <v>0</v>
      </c>
      <c r="G255" s="11" t="s">
        <v>961</v>
      </c>
      <c r="H255" s="11" t="str">
        <f>VLOOKUP($G255, 'ADP Data'!$C$4:$Q$300, 2, FALSE)</f>
        <v>BUF</v>
      </c>
      <c r="I255" s="11" t="str">
        <f>VLOOKUP(G255, 'ADP Data'!$C$4:$R$498, 12, FALSE)</f>
        <v>-</v>
      </c>
      <c r="J255" s="11">
        <f>VLOOKUP($G255, SeanRanks!$A$2:$H$303, 5, FALSE)</f>
        <v>0</v>
      </c>
      <c r="K255" s="11" t="str">
        <f>IF(VLOOKUP($G255, SeanRanks!$A$2:$H$303, 6, FALSE)=0, "", VLOOKUP($G255, SeanRanks!$A$2:$H$303, 6, FALSE))</f>
        <v/>
      </c>
      <c r="L255" s="11">
        <f t="shared" si="4"/>
        <v>16</v>
      </c>
      <c r="M255" s="11">
        <f>VLOOKUP($G255, 'ADP Data'!$C$4:$Q$300, 9, FALSE)</f>
        <v>185</v>
      </c>
      <c r="N255" s="11">
        <f t="shared" si="5"/>
        <v>14</v>
      </c>
      <c r="O255" s="11">
        <f>VLOOKUP($G255, 'ADP Data'!$C$4:$Q$300, 3, FALSE)</f>
        <v>158</v>
      </c>
      <c r="P255" s="11">
        <f t="shared" si="6"/>
        <v>27</v>
      </c>
      <c r="Q255" s="11"/>
      <c r="R255" s="11"/>
      <c r="S255" s="11"/>
      <c r="T255" s="11"/>
      <c r="U255" s="11"/>
      <c r="V255" s="11">
        <f t="shared" si="7"/>
        <v>171</v>
      </c>
      <c r="W255" s="11">
        <f t="shared" si="8"/>
        <v>15</v>
      </c>
      <c r="X255" s="11">
        <f t="shared" si="9"/>
        <v>-15</v>
      </c>
      <c r="Y255" s="11">
        <f>VLOOKUP($G255, SeanRanks!$A$2:$K$303, 10, FALSE)-V255</f>
        <v>68</v>
      </c>
      <c r="Z255" s="25" t="str">
        <f>IF(VLOOKUP($G255, SeanRanks!$A$2:$H$303, 7, FALSE)=0, "", VLOOKUP($G255, SeanRanks!$A$2:$H$303, 7, FALSE))</f>
        <v/>
      </c>
    </row>
    <row r="256" spans="1:26" ht="14.25" customHeight="1" x14ac:dyDescent="0.25">
      <c r="A256" s="11"/>
      <c r="B256" s="11" t="e">
        <f t="shared" si="3"/>
        <v>#N/A</v>
      </c>
      <c r="C256" s="11" t="s">
        <v>148</v>
      </c>
      <c r="D256" s="11"/>
      <c r="E256" s="11"/>
      <c r="F256" s="11" t="e">
        <f>VLOOKUP(G256, SeanRanks!$A$2:$E$302, 4, FALSE)</f>
        <v>#N/A</v>
      </c>
      <c r="G256" s="11" t="s">
        <v>966</v>
      </c>
      <c r="H256" s="11" t="e">
        <f>VLOOKUP($G256, 'ADP Data'!$C$4:$Q$300, 2, FALSE)</f>
        <v>#N/A</v>
      </c>
      <c r="I256" s="11" t="e">
        <f>VLOOKUP(G256, 'ADP Data'!$C$4:$R$498, 12, FALSE)</f>
        <v>#N/A</v>
      </c>
      <c r="J256" s="11" t="e">
        <f>VLOOKUP($G256, SeanRanks!$A$2:$H$303, 5, FALSE)</f>
        <v>#N/A</v>
      </c>
      <c r="K256" s="11" t="e">
        <f>IF(VLOOKUP($G256, SeanRanks!$A$2:$H$303, 6, FALSE)=0, "", VLOOKUP($G256, SeanRanks!$A$2:$H$303, 6, FALSE))</f>
        <v>#N/A</v>
      </c>
      <c r="L256" s="11">
        <f t="shared" si="4"/>
        <v>16</v>
      </c>
      <c r="M256" s="11" t="e">
        <f>VLOOKUP($G256, 'ADP Data'!$C$4:$Q$300, 9, FALSE)</f>
        <v>#N/A</v>
      </c>
      <c r="N256" s="11" t="e">
        <f t="shared" si="5"/>
        <v>#N/A</v>
      </c>
      <c r="O256" s="11" t="e">
        <f>VLOOKUP($G256, 'ADP Data'!$C$4:$Q$300, 3, FALSE)</f>
        <v>#N/A</v>
      </c>
      <c r="P256" s="11" t="e">
        <f t="shared" si="6"/>
        <v>#N/A</v>
      </c>
      <c r="Q256" s="11" t="e">
        <f>VLOOKUP($G256, 'ADP Data'!$C$4:$Q$300, 4, FALSE)</f>
        <v>#N/A</v>
      </c>
      <c r="R256" s="11" t="e">
        <f>VLOOKUP($G256, 'ADP Data'!$C$4:$Q$300, 5, FALSE)</f>
        <v>#N/A</v>
      </c>
      <c r="S256" s="11" t="e">
        <f>VLOOKUP($G256, 'ADP Data'!$C$4:$Q$300, 6, FALSE)</f>
        <v>#N/A</v>
      </c>
      <c r="T256" s="11" t="e">
        <f>VLOOKUP($G256, 'ADP Data'!$C$4:$Q$300, 7, FALSE)</f>
        <v>#N/A</v>
      </c>
      <c r="U256" s="11" t="e">
        <f>VLOOKUP($G256, 'ADP Data'!$C$4:$Q$300, 8, FALSE)</f>
        <v>#N/A</v>
      </c>
      <c r="V256" s="11" t="e">
        <f t="shared" si="7"/>
        <v>#N/A</v>
      </c>
      <c r="W256" s="11">
        <f t="shared" si="8"/>
        <v>16</v>
      </c>
      <c r="X256" s="11">
        <f t="shared" si="9"/>
        <v>-16</v>
      </c>
      <c r="Y256" s="11" t="e">
        <f>VLOOKUP($G256, SeanRanks!$A$2:$K$303, 10, FALSE)-V256</f>
        <v>#N/A</v>
      </c>
      <c r="Z256" s="25" t="e">
        <f>IF(VLOOKUP($G256, SeanRanks!$A$2:$H$303, 7, FALSE)=0, "", VLOOKUP($G256, SeanRanks!$A$2:$H$303, 7, FALSE))</f>
        <v>#N/A</v>
      </c>
    </row>
    <row r="257" spans="1:26" ht="14.25" customHeight="1" x14ac:dyDescent="0.25">
      <c r="A257" s="11"/>
      <c r="B257" s="11">
        <f t="shared" si="3"/>
        <v>14</v>
      </c>
      <c r="C257" s="11" t="s">
        <v>148</v>
      </c>
      <c r="D257" s="11"/>
      <c r="E257" s="11"/>
      <c r="F257" s="11">
        <f>VLOOKUP(G257, SeanRanks!$A$2:$E$302, 4, FALSE)</f>
        <v>0</v>
      </c>
      <c r="G257" s="11" t="s">
        <v>962</v>
      </c>
      <c r="H257" s="11" t="str">
        <f>VLOOKUP($G257, 'ADP Data'!$C$4:$Q$300, 2, FALSE)</f>
        <v>ATL</v>
      </c>
      <c r="I257" s="11" t="str">
        <f>VLOOKUP(G257, 'ADP Data'!$C$4:$R$498, 12, FALSE)</f>
        <v>-</v>
      </c>
      <c r="J257" s="11">
        <f>VLOOKUP($G257, SeanRanks!$A$2:$H$303, 5, FALSE)</f>
        <v>0</v>
      </c>
      <c r="K257" s="11" t="str">
        <f>IF(VLOOKUP($G257, SeanRanks!$A$2:$H$303, 6, FALSE)=0, "", VLOOKUP($G257, SeanRanks!$A$2:$H$303, 6, FALSE))</f>
        <v/>
      </c>
      <c r="L257" s="11">
        <f t="shared" si="4"/>
        <v>14</v>
      </c>
      <c r="M257" s="11">
        <f>VLOOKUP($G257, 'ADP Data'!$C$4:$Q$300, 9, FALSE)</f>
        <v>159</v>
      </c>
      <c r="N257" s="11">
        <f t="shared" si="5"/>
        <v>-17</v>
      </c>
      <c r="O257" s="11">
        <f>VLOOKUP($G257, 'ADP Data'!$C$4:$Q$300, 3, FALSE)</f>
        <v>193</v>
      </c>
      <c r="P257" s="11">
        <f t="shared" si="6"/>
        <v>-34</v>
      </c>
      <c r="Q257" s="11"/>
      <c r="R257" s="11"/>
      <c r="S257" s="11"/>
      <c r="T257" s="11"/>
      <c r="U257" s="11"/>
      <c r="V257" s="11">
        <f t="shared" si="7"/>
        <v>176</v>
      </c>
      <c r="W257" s="11">
        <f t="shared" si="8"/>
        <v>15</v>
      </c>
      <c r="X257" s="11">
        <f t="shared" si="9"/>
        <v>-15</v>
      </c>
      <c r="Y257" s="11">
        <f>VLOOKUP($G257, SeanRanks!$A$2:$K$303, 10, FALSE)-V257</f>
        <v>70</v>
      </c>
      <c r="Z257" s="25" t="str">
        <f>IF(VLOOKUP($G257, SeanRanks!$A$2:$H$303, 7, FALSE)=0, "", VLOOKUP($G257, SeanRanks!$A$2:$H$303, 7, FALSE))</f>
        <v/>
      </c>
    </row>
    <row r="258" spans="1:26" ht="14.25" customHeight="1" x14ac:dyDescent="0.25">
      <c r="A258" s="11"/>
      <c r="B258" s="11">
        <f t="shared" si="3"/>
        <v>22</v>
      </c>
      <c r="C258" s="11" t="s">
        <v>148</v>
      </c>
      <c r="D258" s="11"/>
      <c r="E258" s="11"/>
      <c r="F258" s="11">
        <f>VLOOKUP(G258, SeanRanks!$A$2:$E$302, 4, FALSE)</f>
        <v>0</v>
      </c>
      <c r="G258" s="11" t="s">
        <v>828</v>
      </c>
      <c r="H258" s="11" t="str">
        <f>VLOOKUP($G258, 'ADP Data'!$C$4:$Q$300, 2, FALSE)</f>
        <v>CIN</v>
      </c>
      <c r="I258" s="11">
        <f>VLOOKUP(G258, 'ADP Data'!$C$4:$R$498, 12, FALSE)</f>
        <v>199</v>
      </c>
      <c r="J258" s="11">
        <f>VLOOKUP($G258, SeanRanks!$A$2:$H$303, 5, FALSE)</f>
        <v>0</v>
      </c>
      <c r="K258" s="11" t="str">
        <f>IF(VLOOKUP($G258, SeanRanks!$A$2:$H$303, 6, FALSE)=0, "", VLOOKUP($G258, SeanRanks!$A$2:$H$303, 6, FALSE))</f>
        <v/>
      </c>
      <c r="L258" s="11">
        <f t="shared" si="4"/>
        <v>22</v>
      </c>
      <c r="M258" s="11">
        <f>VLOOKUP($G258, 'ADP Data'!$C$4:$Q$300, 9, FALSE)</f>
        <v>262</v>
      </c>
      <c r="N258" s="11">
        <f t="shared" si="5"/>
        <v>-1</v>
      </c>
      <c r="O258" s="11" t="str">
        <f>VLOOKUP($G258, 'ADP Data'!$C$4:$Q$300, 3, FALSE)</f>
        <v>-</v>
      </c>
      <c r="P258" s="11" t="e">
        <f t="shared" si="6"/>
        <v>#VALUE!</v>
      </c>
      <c r="Q258" s="11" t="str">
        <f>VLOOKUP($G258, 'ADP Data'!$C$4:$Q$300, 4, FALSE)</f>
        <v>-</v>
      </c>
      <c r="R258" s="11">
        <f>VLOOKUP($G258, 'ADP Data'!$C$4:$Q$300, 5, FALSE)</f>
        <v>324</v>
      </c>
      <c r="S258" s="11">
        <f>VLOOKUP($G258, 'ADP Data'!$C$4:$Q$300, 6, FALSE)</f>
        <v>245</v>
      </c>
      <c r="T258" s="11">
        <f>VLOOKUP($G258, 'ADP Data'!$C$4:$Q$300, 7, FALSE)</f>
        <v>217</v>
      </c>
      <c r="U258" s="11">
        <f>VLOOKUP($G258, 'ADP Data'!$C$4:$Q$300, 8, FALSE)</f>
        <v>267</v>
      </c>
      <c r="V258" s="11">
        <f t="shared" si="7"/>
        <v>263</v>
      </c>
      <c r="W258" s="11">
        <f t="shared" si="8"/>
        <v>22</v>
      </c>
      <c r="X258" s="11">
        <f t="shared" si="9"/>
        <v>-22</v>
      </c>
      <c r="Y258" s="11" t="e">
        <f>VLOOKUP($G258, SeanRanks!$A$2:$K$303, 10, FALSE)-V258</f>
        <v>#VALUE!</v>
      </c>
      <c r="Z258" s="25" t="str">
        <f>IF(VLOOKUP($G258, SeanRanks!$A$2:$H$303, 7, FALSE)=0, "", VLOOKUP($G258, SeanRanks!$A$2:$H$303, 7, FALSE))</f>
        <v/>
      </c>
    </row>
    <row r="259" spans="1:26" ht="14.25" customHeight="1" x14ac:dyDescent="0.25">
      <c r="A259" s="11"/>
      <c r="B259" s="11" t="e">
        <f t="shared" si="3"/>
        <v>#N/A</v>
      </c>
      <c r="C259" s="11" t="s">
        <v>148</v>
      </c>
      <c r="D259" s="11"/>
      <c r="E259" s="11"/>
      <c r="F259" s="11" t="e">
        <f>VLOOKUP(G259, SeanRanks!$A$2:$E$302, 4, FALSE)</f>
        <v>#N/A</v>
      </c>
      <c r="G259" s="11" t="s">
        <v>980</v>
      </c>
      <c r="H259" s="11" t="e">
        <f>VLOOKUP($G259, 'ADP Data'!$C$4:$Q$300, 2, FALSE)</f>
        <v>#N/A</v>
      </c>
      <c r="I259" s="11" t="e">
        <f>VLOOKUP(G259, 'ADP Data'!$C$4:$R$498, 12, FALSE)</f>
        <v>#N/A</v>
      </c>
      <c r="J259" s="11" t="e">
        <f>VLOOKUP($G259, SeanRanks!$A$2:$H$303, 5, FALSE)</f>
        <v>#N/A</v>
      </c>
      <c r="K259" s="11" t="e">
        <f>IF(VLOOKUP($G259, SeanRanks!$A$2:$H$303, 6, FALSE)=0, "", VLOOKUP($G259, SeanRanks!$A$2:$H$303, 6, FALSE))</f>
        <v>#N/A</v>
      </c>
      <c r="L259" s="11">
        <f t="shared" si="4"/>
        <v>16</v>
      </c>
      <c r="M259" s="11" t="e">
        <f>VLOOKUP($G259, 'ADP Data'!$C$4:$Q$300, 9, FALSE)</f>
        <v>#N/A</v>
      </c>
      <c r="N259" s="11" t="e">
        <f t="shared" si="5"/>
        <v>#N/A</v>
      </c>
      <c r="O259" s="11" t="e">
        <f>VLOOKUP($G259, 'ADP Data'!$C$4:$Q$300, 3, FALSE)</f>
        <v>#N/A</v>
      </c>
      <c r="P259" s="11" t="e">
        <f t="shared" si="6"/>
        <v>#N/A</v>
      </c>
      <c r="Q259" s="11"/>
      <c r="R259" s="11"/>
      <c r="S259" s="11"/>
      <c r="T259" s="11"/>
      <c r="U259" s="11"/>
      <c r="V259" s="11" t="e">
        <f t="shared" si="7"/>
        <v>#N/A</v>
      </c>
      <c r="W259" s="11">
        <f t="shared" si="8"/>
        <v>16</v>
      </c>
      <c r="X259" s="11">
        <f t="shared" si="9"/>
        <v>-16</v>
      </c>
      <c r="Y259" s="11" t="e">
        <f>VLOOKUP($G259, SeanRanks!$A$2:$K$303, 10, FALSE)-V259</f>
        <v>#N/A</v>
      </c>
      <c r="Z259" s="25" t="e">
        <f>IF(VLOOKUP($G259, SeanRanks!$A$2:$H$303, 7, FALSE)=0, "", VLOOKUP($G259, SeanRanks!$A$2:$H$303, 7, FALSE))</f>
        <v>#N/A</v>
      </c>
    </row>
    <row r="260" spans="1:26" ht="14.25" customHeight="1" x14ac:dyDescent="0.25">
      <c r="A260" s="11"/>
      <c r="B260" s="11">
        <f t="shared" si="3"/>
        <v>18</v>
      </c>
      <c r="C260" s="11" t="s">
        <v>148</v>
      </c>
      <c r="D260" s="11"/>
      <c r="E260" s="11"/>
      <c r="F260" s="11">
        <f>VLOOKUP(G260, SeanRanks!$A$2:$E$302, 4, FALSE)</f>
        <v>0</v>
      </c>
      <c r="G260" s="11" t="s">
        <v>497</v>
      </c>
      <c r="H260" s="11" t="str">
        <f>VLOOKUP($G260, 'ADP Data'!$C$4:$Q$300, 2, FALSE)</f>
        <v>NE</v>
      </c>
      <c r="I260" s="11" t="str">
        <f>VLOOKUP(G260, 'ADP Data'!$C$4:$R$498, 12, FALSE)</f>
        <v>-</v>
      </c>
      <c r="J260" s="11">
        <f>VLOOKUP($G260, SeanRanks!$A$2:$H$303, 5, FALSE)</f>
        <v>0</v>
      </c>
      <c r="K260" s="11" t="str">
        <f>IF(VLOOKUP($G260, SeanRanks!$A$2:$H$303, 6, FALSE)=0, "", VLOOKUP($G260, SeanRanks!$A$2:$H$303, 6, FALSE))</f>
        <v/>
      </c>
      <c r="L260" s="11">
        <f t="shared" si="4"/>
        <v>21</v>
      </c>
      <c r="M260" s="11">
        <f>VLOOKUP($G260, 'ADP Data'!$C$4:$Q$300, 9, FALSE)</f>
        <v>240</v>
      </c>
      <c r="N260" s="11">
        <f t="shared" si="5"/>
        <v>26</v>
      </c>
      <c r="O260" s="11" t="str">
        <f>VLOOKUP($G260, 'ADP Data'!$C$4:$Q$300, 3, FALSE)</f>
        <v>-</v>
      </c>
      <c r="P260" s="11" t="e">
        <f t="shared" si="6"/>
        <v>#VALUE!</v>
      </c>
      <c r="Q260" s="11">
        <f>VLOOKUP($G260, 'ADP Data'!$C$4:$Q$300, 4, FALSE)</f>
        <v>152</v>
      </c>
      <c r="R260" s="11" t="str">
        <f>VLOOKUP($G260, 'ADP Data'!$C$4:$Q$300, 5, FALSE)</f>
        <v>-</v>
      </c>
      <c r="S260" s="11">
        <f>VLOOKUP($G260, 'ADP Data'!$C$4:$Q$300, 6, FALSE)</f>
        <v>265</v>
      </c>
      <c r="T260" s="11">
        <f>VLOOKUP($G260, 'ADP Data'!$C$4:$Q$300, 7, FALSE)</f>
        <v>226</v>
      </c>
      <c r="U260" s="11">
        <f>VLOOKUP($G260, 'ADP Data'!$C$4:$Q$300, 8, FALSE)</f>
        <v>190</v>
      </c>
      <c r="V260" s="11">
        <f t="shared" si="7"/>
        <v>214</v>
      </c>
      <c r="W260" s="11">
        <f t="shared" si="8"/>
        <v>18</v>
      </c>
      <c r="X260" s="11">
        <f t="shared" si="9"/>
        <v>-18</v>
      </c>
      <c r="Y260" s="11">
        <f>VLOOKUP($G260, SeanRanks!$A$2:$K$303, 10, FALSE)-V260</f>
        <v>30</v>
      </c>
      <c r="Z260" s="25" t="str">
        <f>IF(VLOOKUP($G260, SeanRanks!$A$2:$H$303, 7, FALSE)=0, "", VLOOKUP($G260, SeanRanks!$A$2:$H$303, 7, FALSE))</f>
        <v/>
      </c>
    </row>
    <row r="261" spans="1:26" ht="14.25" customHeight="1" x14ac:dyDescent="0.25">
      <c r="A261" s="11"/>
      <c r="B261" s="11" t="e">
        <f t="shared" si="3"/>
        <v>#N/A</v>
      </c>
      <c r="C261" s="11" t="s">
        <v>148</v>
      </c>
      <c r="D261" s="11"/>
      <c r="E261" s="11"/>
      <c r="F261" s="11" t="e">
        <f>VLOOKUP(G261, SeanRanks!$A$2:$E$302, 4, FALSE)</f>
        <v>#N/A</v>
      </c>
      <c r="G261" s="11" t="s">
        <v>516</v>
      </c>
      <c r="H261" s="11" t="e">
        <f>VLOOKUP($G261, 'ADP Data'!$C$4:$Q$300, 2, FALSE)</f>
        <v>#N/A</v>
      </c>
      <c r="I261" s="11" t="e">
        <f>VLOOKUP(G261, 'ADP Data'!$C$4:$R$498, 12, FALSE)</f>
        <v>#N/A</v>
      </c>
      <c r="J261" s="11" t="e">
        <f>VLOOKUP($G261, SeanRanks!$A$2:$H$303, 5, FALSE)</f>
        <v>#N/A</v>
      </c>
      <c r="K261" s="11" t="e">
        <f>IF(VLOOKUP($G261, SeanRanks!$A$2:$H$303, 6, FALSE)=0, "", VLOOKUP($G261, SeanRanks!$A$2:$H$303, 6, FALSE))</f>
        <v>#N/A</v>
      </c>
      <c r="L261" s="11">
        <f t="shared" si="4"/>
        <v>16</v>
      </c>
      <c r="M261" s="11" t="e">
        <f>VLOOKUP($G261, 'ADP Data'!$C$4:$Q$300, 9, FALSE)</f>
        <v>#N/A</v>
      </c>
      <c r="N261" s="11" t="e">
        <f t="shared" si="5"/>
        <v>#N/A</v>
      </c>
      <c r="O261" s="11" t="e">
        <f>VLOOKUP($G261, 'ADP Data'!$C$4:$Q$300, 3, FALSE)</f>
        <v>#N/A</v>
      </c>
      <c r="P261" s="11" t="e">
        <f t="shared" si="6"/>
        <v>#N/A</v>
      </c>
      <c r="Q261" s="11" t="e">
        <f>VLOOKUP($G261, 'ADP Data'!$C$4:$Q$300, 4, FALSE)</f>
        <v>#N/A</v>
      </c>
      <c r="R261" s="11" t="e">
        <f>VLOOKUP($G261, 'ADP Data'!$C$4:$Q$300, 5, FALSE)</f>
        <v>#N/A</v>
      </c>
      <c r="S261" s="11" t="e">
        <f>VLOOKUP($G261, 'ADP Data'!$C$4:$Q$300, 6, FALSE)</f>
        <v>#N/A</v>
      </c>
      <c r="T261" s="11" t="e">
        <f>VLOOKUP($G261, 'ADP Data'!$C$4:$Q$300, 7, FALSE)</f>
        <v>#N/A</v>
      </c>
      <c r="U261" s="11" t="e">
        <f>VLOOKUP($G261, 'ADP Data'!$C$4:$Q$300, 8, FALSE)</f>
        <v>#N/A</v>
      </c>
      <c r="V261" s="11" t="e">
        <f t="shared" si="7"/>
        <v>#N/A</v>
      </c>
      <c r="W261" s="11">
        <f t="shared" si="8"/>
        <v>16</v>
      </c>
      <c r="X261" s="11">
        <f t="shared" si="9"/>
        <v>-16</v>
      </c>
      <c r="Y261" s="11" t="e">
        <f>VLOOKUP($G261, SeanRanks!$A$2:$K$303, 10, FALSE)-V261</f>
        <v>#N/A</v>
      </c>
      <c r="Z261" s="25" t="e">
        <f>IF(VLOOKUP($G261, SeanRanks!$A$2:$H$303, 7, FALSE)=0, "", VLOOKUP($G261, SeanRanks!$A$2:$H$303, 7, FALSE))</f>
        <v>#N/A</v>
      </c>
    </row>
    <row r="262" spans="1:26" ht="14.25" customHeight="1" x14ac:dyDescent="0.25">
      <c r="A262" s="11"/>
      <c r="B262" s="11">
        <f t="shared" ref="B262:B266" si="10">IFERROR(INT(AVERAGE(Q262:U262)/12)+1, INT(AVERAGE(M262)/12)+1)</f>
        <v>10</v>
      </c>
      <c r="C262" s="11" t="s">
        <v>148</v>
      </c>
      <c r="D262" s="11"/>
      <c r="E262" s="11"/>
      <c r="F262" s="11">
        <f>VLOOKUP(G262, SeanRanks!$A$2:$E$302, 4, FALSE)</f>
        <v>0</v>
      </c>
      <c r="G262" s="11" t="s">
        <v>237</v>
      </c>
      <c r="H262" s="11" t="str">
        <f>VLOOKUP($G262, 'ADP Data'!$C$4:$Q$300, 2, FALSE)</f>
        <v>GB</v>
      </c>
      <c r="I262" s="11">
        <f>VLOOKUP(G262, 'ADP Data'!$C$4:$R$498, 12, FALSE)</f>
        <v>112</v>
      </c>
      <c r="J262" s="11" t="str">
        <f>VLOOKUP($G262, SeanRanks!$A$2:$H$303, 5, FALSE)</f>
        <v>Yes</v>
      </c>
      <c r="K262" s="11" t="str">
        <f>IF(VLOOKUP($G262, SeanRanks!$A$2:$H$303, 6, FALSE)=0, "", VLOOKUP($G262, SeanRanks!$A$2:$H$303, 6, FALSE))</f>
        <v>TE2 - 1 - Big Upside</v>
      </c>
      <c r="L262" s="11">
        <f t="shared" ref="L262:L306" si="11">IFERROR(INT(M262/12)+1, 16)</f>
        <v>9</v>
      </c>
      <c r="M262" s="11">
        <f>VLOOKUP($G262, 'ADP Data'!$C$4:$Q$300, 9, FALSE)</f>
        <v>105</v>
      </c>
      <c r="N262" s="11">
        <f t="shared" ref="N262:N306" si="12">M262-V262</f>
        <v>-4</v>
      </c>
      <c r="O262" s="11">
        <f>VLOOKUP($G262, 'ADP Data'!$C$4:$Q$300, 3, FALSE)</f>
        <v>114</v>
      </c>
      <c r="P262" s="11">
        <f t="shared" ref="P262:P306" si="13">M262-O262</f>
        <v>-9</v>
      </c>
      <c r="Q262" s="11">
        <f>VLOOKUP($G262, 'ADP Data'!$C$4:$Q$300, 4, FALSE)</f>
        <v>106</v>
      </c>
      <c r="R262" s="11">
        <f>VLOOKUP($G262, 'ADP Data'!$C$4:$Q$300, 5, FALSE)</f>
        <v>123</v>
      </c>
      <c r="S262" s="11">
        <f>VLOOKUP($G262, 'ADP Data'!$C$4:$Q$300, 6, FALSE)</f>
        <v>91</v>
      </c>
      <c r="T262" s="11">
        <f>VLOOKUP($G262, 'ADP Data'!$C$4:$Q$300, 7, FALSE)</f>
        <v>111</v>
      </c>
      <c r="U262" s="11">
        <f>VLOOKUP($G262, 'ADP Data'!$C$4:$Q$300, 8, FALSE)</f>
        <v>116</v>
      </c>
      <c r="V262" s="11">
        <f t="shared" ref="V262:V306" si="14">INT(AVERAGE(M262, O262,Q262:U262))</f>
        <v>109</v>
      </c>
      <c r="W262" s="11">
        <f t="shared" ref="W262:W306" si="15">IFERROR(INT(V262/12)+1, 16)</f>
        <v>10</v>
      </c>
      <c r="X262" s="11">
        <f t="shared" ref="X262:X306" si="16">D262-W262</f>
        <v>-10</v>
      </c>
      <c r="Y262" s="11">
        <f>VLOOKUP($G262, SeanRanks!$A$2:$K$303, 10, FALSE)-V262</f>
        <v>-24</v>
      </c>
      <c r="Z262" s="25">
        <f>IF(VLOOKUP($G262, SeanRanks!$A$2:$H$303, 7, FALSE)=0, "", VLOOKUP($G262, SeanRanks!$A$2:$H$303, 7, FALSE))</f>
        <v>12</v>
      </c>
    </row>
    <row r="263" spans="1:26" ht="14.25" customHeight="1" x14ac:dyDescent="0.25">
      <c r="A263" s="11"/>
      <c r="B263" s="11">
        <f t="shared" si="10"/>
        <v>14</v>
      </c>
      <c r="C263" s="11" t="s">
        <v>148</v>
      </c>
      <c r="D263" s="11"/>
      <c r="E263" s="11"/>
      <c r="F263" s="11">
        <f>VLOOKUP(G263, SeanRanks!$A$2:$E$302, 4, FALSE)</f>
        <v>0</v>
      </c>
      <c r="G263" s="11" t="s">
        <v>598</v>
      </c>
      <c r="H263" s="11" t="str">
        <f>VLOOKUP($G263, 'ADP Data'!$C$4:$Q$300, 2, FALSE)</f>
        <v>CIN</v>
      </c>
      <c r="I263" s="11" t="str">
        <f>VLOOKUP(G263, 'ADP Data'!$C$4:$R$498, 12, FALSE)</f>
        <v>-</v>
      </c>
      <c r="J263" s="11">
        <f>VLOOKUP($G263, SeanRanks!$A$2:$H$303, 5, FALSE)</f>
        <v>0</v>
      </c>
      <c r="K263" s="11" t="str">
        <f>IF(VLOOKUP($G263, SeanRanks!$A$2:$H$303, 6, FALSE)=0, "", VLOOKUP($G263, SeanRanks!$A$2:$H$303, 6, FALSE))</f>
        <v/>
      </c>
      <c r="L263" s="11">
        <f t="shared" si="11"/>
        <v>14</v>
      </c>
      <c r="M263" s="11">
        <f>VLOOKUP($G263, 'ADP Data'!$C$4:$Q$300, 9, FALSE)</f>
        <v>163</v>
      </c>
      <c r="N263" s="11">
        <f t="shared" si="12"/>
        <v>-13</v>
      </c>
      <c r="O263" s="11">
        <f>VLOOKUP($G263, 'ADP Data'!$C$4:$Q$300, 3, FALSE)</f>
        <v>189</v>
      </c>
      <c r="P263" s="11">
        <f t="shared" si="13"/>
        <v>-26</v>
      </c>
      <c r="Q263" s="11"/>
      <c r="R263" s="11"/>
      <c r="S263" s="11"/>
      <c r="T263" s="11"/>
      <c r="U263" s="11"/>
      <c r="V263" s="11">
        <f t="shared" si="14"/>
        <v>176</v>
      </c>
      <c r="W263" s="11">
        <f t="shared" si="15"/>
        <v>15</v>
      </c>
      <c r="X263" s="11">
        <f t="shared" si="16"/>
        <v>-15</v>
      </c>
      <c r="Y263" s="11">
        <f>VLOOKUP($G263, SeanRanks!$A$2:$K$303, 10, FALSE)-V263</f>
        <v>42</v>
      </c>
      <c r="Z263" s="25" t="str">
        <f>IF(VLOOKUP($G263, SeanRanks!$A$2:$H$303, 7, FALSE)=0, "", VLOOKUP($G263, SeanRanks!$A$2:$H$303, 7, FALSE))</f>
        <v/>
      </c>
    </row>
    <row r="264" spans="1:26" ht="14.25" customHeight="1" x14ac:dyDescent="0.25">
      <c r="A264" s="11"/>
      <c r="B264" s="11">
        <f t="shared" si="10"/>
        <v>13</v>
      </c>
      <c r="C264" s="11" t="s">
        <v>148</v>
      </c>
      <c r="D264" s="11"/>
      <c r="E264" s="11"/>
      <c r="F264" s="11">
        <f>VLOOKUP(G264, SeanRanks!$A$2:$E$302, 4, FALSE)</f>
        <v>0</v>
      </c>
      <c r="G264" s="11" t="s">
        <v>808</v>
      </c>
      <c r="H264" s="11" t="str">
        <f>VLOOKUP($G264, 'ADP Data'!$C$4:$Q$300, 2, FALSE)</f>
        <v>MIN</v>
      </c>
      <c r="I264" s="11">
        <f>VLOOKUP(G264, 'ADP Data'!$C$4:$R$498, 12, FALSE)</f>
        <v>125</v>
      </c>
      <c r="J264" s="11">
        <f>VLOOKUP($G264, SeanRanks!$A$2:$H$303, 5, FALSE)</f>
        <v>0</v>
      </c>
      <c r="K264" s="11" t="str">
        <f>IF(VLOOKUP($G264, SeanRanks!$A$2:$H$303, 6, FALSE)=0, "", VLOOKUP($G264, SeanRanks!$A$2:$H$303, 6, FALSE))</f>
        <v>QB3 - Not League Winner</v>
      </c>
      <c r="L264" s="11">
        <f t="shared" si="11"/>
        <v>13</v>
      </c>
      <c r="M264" s="11">
        <f>VLOOKUP($G264, 'ADP Data'!$C$4:$Q$300, 9, FALSE)</f>
        <v>146</v>
      </c>
      <c r="N264" s="11">
        <f t="shared" si="12"/>
        <v>1</v>
      </c>
      <c r="O264" s="11">
        <f>VLOOKUP($G264, 'ADP Data'!$C$4:$Q$300, 3, FALSE)</f>
        <v>152</v>
      </c>
      <c r="P264" s="11">
        <f t="shared" si="13"/>
        <v>-6</v>
      </c>
      <c r="Q264" s="11">
        <f>VLOOKUP($G264, 'ADP Data'!$C$4:$Q$300, 4, FALSE)</f>
        <v>138</v>
      </c>
      <c r="R264" s="11">
        <f>VLOOKUP($G264, 'ADP Data'!$C$4:$Q$300, 5, FALSE)</f>
        <v>157</v>
      </c>
      <c r="S264" s="11">
        <f>VLOOKUP($G264, 'ADP Data'!$C$4:$Q$300, 6, FALSE)</f>
        <v>139</v>
      </c>
      <c r="T264" s="11">
        <f>VLOOKUP($G264, 'ADP Data'!$C$4:$Q$300, 7, FALSE)</f>
        <v>135</v>
      </c>
      <c r="U264" s="11">
        <f>VLOOKUP($G264, 'ADP Data'!$C$4:$Q$300, 8, FALSE)</f>
        <v>154</v>
      </c>
      <c r="V264" s="11">
        <f t="shared" si="14"/>
        <v>145</v>
      </c>
      <c r="W264" s="11">
        <f t="shared" si="15"/>
        <v>13</v>
      </c>
      <c r="X264" s="11">
        <f t="shared" si="16"/>
        <v>-13</v>
      </c>
      <c r="Y264" s="11">
        <f>VLOOKUP($G264, SeanRanks!$A$2:$K$303, 10, FALSE)-V264</f>
        <v>-20</v>
      </c>
      <c r="Z264" s="25">
        <f>IF(VLOOKUP($G264, SeanRanks!$A$2:$H$303, 7, FALSE)=0, "", VLOOKUP($G264, SeanRanks!$A$2:$H$303, 7, FALSE))</f>
        <v>23</v>
      </c>
    </row>
    <row r="265" spans="1:26" ht="14.25" customHeight="1" x14ac:dyDescent="0.25">
      <c r="A265" s="11"/>
      <c r="B265" s="11" t="e">
        <f t="shared" si="10"/>
        <v>#N/A</v>
      </c>
      <c r="C265" s="11" t="s">
        <v>148</v>
      </c>
      <c r="D265" s="11"/>
      <c r="E265" s="11"/>
      <c r="F265" s="11" t="e">
        <f>VLOOKUP(G265, SeanRanks!$A$2:$E$302, 4, FALSE)</f>
        <v>#N/A</v>
      </c>
      <c r="G265" s="11" t="s">
        <v>972</v>
      </c>
      <c r="H265" s="11" t="e">
        <f>VLOOKUP($G265, 'ADP Data'!$C$4:$Q$300, 2, FALSE)</f>
        <v>#N/A</v>
      </c>
      <c r="I265" s="11" t="e">
        <f>VLOOKUP(G265, 'ADP Data'!$C$4:$R$498, 12, FALSE)</f>
        <v>#N/A</v>
      </c>
      <c r="J265" s="11" t="e">
        <f>VLOOKUP($G265, SeanRanks!$A$2:$H$303, 5, FALSE)</f>
        <v>#N/A</v>
      </c>
      <c r="K265" s="11" t="e">
        <f>IF(VLOOKUP($G265, SeanRanks!$A$2:$H$303, 6, FALSE)=0, "", VLOOKUP($G265, SeanRanks!$A$2:$H$303, 6, FALSE))</f>
        <v>#N/A</v>
      </c>
      <c r="L265" s="11">
        <f t="shared" si="11"/>
        <v>16</v>
      </c>
      <c r="M265" s="11" t="e">
        <f>VLOOKUP($G265, 'ADP Data'!$C$4:$Q$300, 9, FALSE)</f>
        <v>#N/A</v>
      </c>
      <c r="N265" s="11" t="e">
        <f t="shared" si="12"/>
        <v>#N/A</v>
      </c>
      <c r="O265" s="11" t="e">
        <f>VLOOKUP($G265, 'ADP Data'!$C$4:$Q$300, 3, FALSE)</f>
        <v>#N/A</v>
      </c>
      <c r="P265" s="11" t="e">
        <f t="shared" si="13"/>
        <v>#N/A</v>
      </c>
      <c r="Q265" s="11" t="e">
        <f>VLOOKUP($G265, 'ADP Data'!$C$4:$Q$300, 4, FALSE)</f>
        <v>#N/A</v>
      </c>
      <c r="R265" s="11" t="e">
        <f>VLOOKUP($G265, 'ADP Data'!$C$4:$Q$300, 5, FALSE)</f>
        <v>#N/A</v>
      </c>
      <c r="S265" s="11" t="e">
        <f>VLOOKUP($G265, 'ADP Data'!$C$4:$Q$300, 6, FALSE)</f>
        <v>#N/A</v>
      </c>
      <c r="T265" s="11" t="e">
        <f>VLOOKUP($G265, 'ADP Data'!$C$4:$Q$300, 7, FALSE)</f>
        <v>#N/A</v>
      </c>
      <c r="U265" s="11" t="e">
        <f>VLOOKUP($G265, 'ADP Data'!$C$4:$Q$300, 8, FALSE)</f>
        <v>#N/A</v>
      </c>
      <c r="V265" s="11" t="e">
        <f t="shared" si="14"/>
        <v>#N/A</v>
      </c>
      <c r="W265" s="11">
        <f t="shared" si="15"/>
        <v>16</v>
      </c>
      <c r="X265" s="11">
        <f t="shared" si="16"/>
        <v>-16</v>
      </c>
      <c r="Y265" s="11" t="e">
        <f>VLOOKUP($G265, SeanRanks!$A$2:$K$303, 10, FALSE)-V265</f>
        <v>#N/A</v>
      </c>
      <c r="Z265" s="25" t="e">
        <f>IF(VLOOKUP($G265, SeanRanks!$A$2:$H$303, 7, FALSE)=0, "", VLOOKUP($G265, SeanRanks!$A$2:$H$303, 7, FALSE))</f>
        <v>#N/A</v>
      </c>
    </row>
    <row r="266" spans="1:26" ht="14.25" customHeight="1" x14ac:dyDescent="0.25">
      <c r="A266" s="11"/>
      <c r="B266" s="11">
        <f t="shared" si="10"/>
        <v>20</v>
      </c>
      <c r="C266" s="11" t="s">
        <v>148</v>
      </c>
      <c r="D266" s="11"/>
      <c r="E266" s="11"/>
      <c r="F266" s="11">
        <f>VLOOKUP(G266, SeanRanks!$A$2:$E$302, 4, FALSE)</f>
        <v>0</v>
      </c>
      <c r="G266" s="11" t="s">
        <v>384</v>
      </c>
      <c r="H266" s="11" t="str">
        <f>VLOOKUP($G266, 'ADP Data'!$C$4:$Q$300, 2, FALSE)</f>
        <v>BAL</v>
      </c>
      <c r="I266" s="11">
        <f>VLOOKUP(G266, 'ADP Data'!$C$4:$R$498, 12, FALSE)</f>
        <v>184</v>
      </c>
      <c r="J266" s="11" t="str">
        <f>VLOOKUP($G266, SeanRanks!$A$2:$H$303, 5, FALSE)</f>
        <v>Yes</v>
      </c>
      <c r="K266" s="11" t="str">
        <f>IF(VLOOKUP($G266, SeanRanks!$A$2:$H$303, 6, FALSE)=0, "", VLOOKUP($G266, SeanRanks!$A$2:$H$303, 6, FALSE))</f>
        <v>RB5 - 1 - upside</v>
      </c>
      <c r="L266" s="11">
        <f t="shared" si="11"/>
        <v>19</v>
      </c>
      <c r="M266" s="11">
        <f>VLOOKUP($G266, 'ADP Data'!$C$4:$Q$300, 9, FALSE)</f>
        <v>223</v>
      </c>
      <c r="N266" s="11">
        <f t="shared" si="12"/>
        <v>-10</v>
      </c>
      <c r="O266" s="11" t="str">
        <f>VLOOKUP($G266, 'ADP Data'!$C$4:$Q$300, 3, FALSE)</f>
        <v>-</v>
      </c>
      <c r="P266" s="11" t="e">
        <f t="shared" si="13"/>
        <v>#VALUE!</v>
      </c>
      <c r="Q266" s="11" t="str">
        <f>VLOOKUP($G266, 'ADP Data'!$C$4:$Q$300, 4, FALSE)</f>
        <v>-</v>
      </c>
      <c r="R266" s="11">
        <f>VLOOKUP($G266, 'ADP Data'!$C$4:$Q$300, 5, FALSE)</f>
        <v>312</v>
      </c>
      <c r="S266" s="11">
        <f>VLOOKUP($G266, 'ADP Data'!$C$4:$Q$300, 6, FALSE)</f>
        <v>166</v>
      </c>
      <c r="T266" s="11">
        <f>VLOOKUP($G266, 'ADP Data'!$C$4:$Q$300, 7, FALSE)</f>
        <v>184</v>
      </c>
      <c r="U266" s="11">
        <f>VLOOKUP($G266, 'ADP Data'!$C$4:$Q$300, 8, FALSE)</f>
        <v>283</v>
      </c>
      <c r="V266" s="11">
        <f t="shared" si="14"/>
        <v>233</v>
      </c>
      <c r="W266" s="11">
        <f t="shared" si="15"/>
        <v>20</v>
      </c>
      <c r="X266" s="11">
        <f t="shared" si="16"/>
        <v>-20</v>
      </c>
      <c r="Y266" s="11">
        <f>VLOOKUP($G266, SeanRanks!$A$2:$K$303, 10, FALSE)-V266</f>
        <v>-28</v>
      </c>
      <c r="Z266" s="25">
        <f>IF(VLOOKUP($G266, SeanRanks!$A$2:$H$303, 7, FALSE)=0, "", VLOOKUP($G266, SeanRanks!$A$2:$H$303, 7, FALSE))</f>
        <v>52</v>
      </c>
    </row>
    <row r="267" spans="1:26" ht="14.25" customHeight="1" x14ac:dyDescent="0.25">
      <c r="A267" s="11"/>
      <c r="B267" s="11"/>
      <c r="C267" s="11" t="s">
        <v>148</v>
      </c>
      <c r="D267" s="11"/>
      <c r="E267" s="11"/>
      <c r="F267" s="11" t="e">
        <f>VLOOKUP(G267, SeanRanks!$A$2:$E$302, 4, FALSE)</f>
        <v>#N/A</v>
      </c>
      <c r="G267" s="11" t="s">
        <v>965</v>
      </c>
      <c r="H267" s="11" t="e">
        <f>VLOOKUP($G267, 'ADP Data'!$C$4:$Q$300, 2, FALSE)</f>
        <v>#N/A</v>
      </c>
      <c r="I267" s="11" t="e">
        <f>VLOOKUP(G267, 'ADP Data'!$C$4:$R$498, 12, FALSE)</f>
        <v>#N/A</v>
      </c>
      <c r="J267" s="11" t="e">
        <f>VLOOKUP($G267, SeanRanks!$A$2:$H$303, 5, FALSE)</f>
        <v>#N/A</v>
      </c>
      <c r="K267" s="11" t="e">
        <f>IF(VLOOKUP($G267, SeanRanks!$A$2:$H$303, 6, FALSE)=0, "", VLOOKUP($G267, SeanRanks!$A$2:$H$303, 6, FALSE))</f>
        <v>#N/A</v>
      </c>
      <c r="L267" s="11">
        <f t="shared" si="11"/>
        <v>16</v>
      </c>
      <c r="M267" s="11" t="e">
        <f>VLOOKUP($G267, 'ADP Data'!$C$4:$Q$300, 9, FALSE)</f>
        <v>#N/A</v>
      </c>
      <c r="N267" s="11" t="e">
        <f t="shared" si="12"/>
        <v>#N/A</v>
      </c>
      <c r="O267" s="11" t="e">
        <f>VLOOKUP($G267, 'ADP Data'!$C$4:$Q$300, 3, FALSE)</f>
        <v>#N/A</v>
      </c>
      <c r="P267" s="11" t="e">
        <f t="shared" si="13"/>
        <v>#N/A</v>
      </c>
      <c r="Q267" s="11" t="e">
        <f>VLOOKUP($G267, 'ADP Data'!$C$4:$Q$300, 4, FALSE)</f>
        <v>#N/A</v>
      </c>
      <c r="R267" s="11" t="e">
        <f>VLOOKUP($G267, 'ADP Data'!$C$4:$Q$300, 5, FALSE)</f>
        <v>#N/A</v>
      </c>
      <c r="S267" s="11" t="e">
        <f>VLOOKUP($G267, 'ADP Data'!$C$4:$Q$300, 6, FALSE)</f>
        <v>#N/A</v>
      </c>
      <c r="T267" s="11" t="e">
        <f>VLOOKUP($G267, 'ADP Data'!$C$4:$Q$300, 7, FALSE)</f>
        <v>#N/A</v>
      </c>
      <c r="U267" s="11" t="e">
        <f>VLOOKUP($G267, 'ADP Data'!$C$4:$Q$300, 8, FALSE)</f>
        <v>#N/A</v>
      </c>
      <c r="V267" s="11" t="e">
        <f t="shared" si="14"/>
        <v>#N/A</v>
      </c>
      <c r="W267" s="11">
        <f t="shared" si="15"/>
        <v>16</v>
      </c>
      <c r="X267" s="11">
        <f t="shared" si="16"/>
        <v>-16</v>
      </c>
      <c r="Y267" s="11" t="e">
        <f>VLOOKUP($G267, SeanRanks!$A$2:$K$303, 10, FALSE)-V267</f>
        <v>#N/A</v>
      </c>
      <c r="Z267" s="25" t="e">
        <f>IF(VLOOKUP($G267, SeanRanks!$A$2:$H$303, 7, FALSE)=0, "", VLOOKUP($G267, SeanRanks!$A$2:$H$303, 7, FALSE))</f>
        <v>#N/A</v>
      </c>
    </row>
    <row r="268" spans="1:26" ht="14.25" customHeight="1" x14ac:dyDescent="0.25">
      <c r="A268" s="11"/>
      <c r="B268" s="11" t="e">
        <f t="shared" ref="B268:B294" si="17">IFERROR(INT(AVERAGE(Q268:U268)/12)+1, INT(AVERAGE(M268)/12)+1)</f>
        <v>#N/A</v>
      </c>
      <c r="C268" s="11" t="s">
        <v>148</v>
      </c>
      <c r="D268" s="11"/>
      <c r="E268" s="11"/>
      <c r="F268" s="11" t="e">
        <f>VLOOKUP(G268, SeanRanks!$A$2:$E$302, 4, FALSE)</f>
        <v>#N/A</v>
      </c>
      <c r="G268" s="11" t="s">
        <v>963</v>
      </c>
      <c r="H268" s="11" t="e">
        <f>VLOOKUP($G268, 'ADP Data'!$C$4:$Q$300, 2, FALSE)</f>
        <v>#N/A</v>
      </c>
      <c r="I268" s="11" t="e">
        <f>VLOOKUP(G268, 'ADP Data'!$C$4:$R$498, 12, FALSE)</f>
        <v>#N/A</v>
      </c>
      <c r="J268" s="11" t="e">
        <f>VLOOKUP($G268, SeanRanks!$A$2:$H$303, 5, FALSE)</f>
        <v>#N/A</v>
      </c>
      <c r="K268" s="11" t="e">
        <f>IF(VLOOKUP($G268, SeanRanks!$A$2:$H$303, 6, FALSE)=0, "", VLOOKUP($G268, SeanRanks!$A$2:$H$303, 6, FALSE))</f>
        <v>#N/A</v>
      </c>
      <c r="L268" s="11">
        <f t="shared" si="11"/>
        <v>16</v>
      </c>
      <c r="M268" s="11" t="e">
        <f>VLOOKUP($G268, 'ADP Data'!$C$4:$Q$300, 9, FALSE)</f>
        <v>#N/A</v>
      </c>
      <c r="N268" s="11" t="e">
        <f t="shared" si="12"/>
        <v>#N/A</v>
      </c>
      <c r="O268" s="11" t="e">
        <f>VLOOKUP($G268, 'ADP Data'!$C$4:$Q$300, 3, FALSE)</f>
        <v>#N/A</v>
      </c>
      <c r="P268" s="11" t="e">
        <f t="shared" si="13"/>
        <v>#N/A</v>
      </c>
      <c r="Q268" s="11" t="e">
        <f>VLOOKUP($G268, 'ADP Data'!$C$4:$Q$300, 4, FALSE)</f>
        <v>#N/A</v>
      </c>
      <c r="R268" s="11" t="e">
        <f>VLOOKUP($G268, 'ADP Data'!$C$4:$Q$300, 5, FALSE)</f>
        <v>#N/A</v>
      </c>
      <c r="S268" s="11" t="e">
        <f>VLOOKUP($G268, 'ADP Data'!$C$4:$Q$300, 6, FALSE)</f>
        <v>#N/A</v>
      </c>
      <c r="T268" s="11" t="e">
        <f>VLOOKUP($G268, 'ADP Data'!$C$4:$Q$300, 7, FALSE)</f>
        <v>#N/A</v>
      </c>
      <c r="U268" s="11" t="e">
        <f>VLOOKUP($G268, 'ADP Data'!$C$4:$Q$300, 8, FALSE)</f>
        <v>#N/A</v>
      </c>
      <c r="V268" s="11" t="e">
        <f t="shared" si="14"/>
        <v>#N/A</v>
      </c>
      <c r="W268" s="11">
        <f t="shared" si="15"/>
        <v>16</v>
      </c>
      <c r="X268" s="11">
        <f t="shared" si="16"/>
        <v>-16</v>
      </c>
      <c r="Y268" s="11" t="e">
        <f>VLOOKUP($G268, SeanRanks!$A$2:$K$303, 10, FALSE)-V268</f>
        <v>#N/A</v>
      </c>
      <c r="Z268" s="25" t="e">
        <f>IF(VLOOKUP($G268, SeanRanks!$A$2:$H$303, 7, FALSE)=0, "", VLOOKUP($G268, SeanRanks!$A$2:$H$303, 7, FALSE))</f>
        <v>#N/A</v>
      </c>
    </row>
    <row r="269" spans="1:26" ht="14.25" customHeight="1" x14ac:dyDescent="0.25">
      <c r="A269" s="11"/>
      <c r="B269" s="11" t="e">
        <f t="shared" si="17"/>
        <v>#N/A</v>
      </c>
      <c r="C269" s="11" t="s">
        <v>148</v>
      </c>
      <c r="D269" s="11"/>
      <c r="E269" s="11"/>
      <c r="F269" s="11" t="e">
        <f>VLOOKUP(G269, SeanRanks!$A$2:$E$302, 4, FALSE)</f>
        <v>#N/A</v>
      </c>
      <c r="G269" s="11" t="s">
        <v>968</v>
      </c>
      <c r="H269" s="11" t="e">
        <f>VLOOKUP($G269, 'ADP Data'!$C$4:$Q$300, 2, FALSE)</f>
        <v>#N/A</v>
      </c>
      <c r="I269" s="11" t="e">
        <f>VLOOKUP(G269, 'ADP Data'!$C$4:$R$498, 12, FALSE)</f>
        <v>#N/A</v>
      </c>
      <c r="J269" s="11" t="e">
        <f>VLOOKUP($G269, SeanRanks!$A$2:$H$303, 5, FALSE)</f>
        <v>#N/A</v>
      </c>
      <c r="K269" s="11" t="e">
        <f>IF(VLOOKUP($G269, SeanRanks!$A$2:$H$303, 6, FALSE)=0, "", VLOOKUP($G269, SeanRanks!$A$2:$H$303, 6, FALSE))</f>
        <v>#N/A</v>
      </c>
      <c r="L269" s="11">
        <f t="shared" si="11"/>
        <v>16</v>
      </c>
      <c r="M269" s="11" t="e">
        <f>VLOOKUP($G269, 'ADP Data'!$C$4:$Q$300, 9, FALSE)</f>
        <v>#N/A</v>
      </c>
      <c r="N269" s="11" t="e">
        <f t="shared" si="12"/>
        <v>#N/A</v>
      </c>
      <c r="O269" s="11" t="e">
        <f>VLOOKUP($G269, 'ADP Data'!$C$4:$Q$300, 3, FALSE)</f>
        <v>#N/A</v>
      </c>
      <c r="P269" s="11" t="e">
        <f t="shared" si="13"/>
        <v>#N/A</v>
      </c>
      <c r="Q269" s="11" t="e">
        <f>VLOOKUP($G269, 'ADP Data'!$C$4:$Q$300, 4, FALSE)</f>
        <v>#N/A</v>
      </c>
      <c r="R269" s="11" t="e">
        <f>VLOOKUP($G269, 'ADP Data'!$C$4:$Q$300, 5, FALSE)</f>
        <v>#N/A</v>
      </c>
      <c r="S269" s="11" t="e">
        <f>VLOOKUP($G269, 'ADP Data'!$C$4:$Q$300, 6, FALSE)</f>
        <v>#N/A</v>
      </c>
      <c r="T269" s="11" t="e">
        <f>VLOOKUP($G269, 'ADP Data'!$C$4:$Q$300, 7, FALSE)</f>
        <v>#N/A</v>
      </c>
      <c r="U269" s="11" t="e">
        <f>VLOOKUP($G269, 'ADP Data'!$C$4:$Q$300, 8, FALSE)</f>
        <v>#N/A</v>
      </c>
      <c r="V269" s="11" t="e">
        <f t="shared" si="14"/>
        <v>#N/A</v>
      </c>
      <c r="W269" s="11">
        <f t="shared" si="15"/>
        <v>16</v>
      </c>
      <c r="X269" s="11">
        <f t="shared" si="16"/>
        <v>-16</v>
      </c>
      <c r="Y269" s="11" t="e">
        <f>VLOOKUP($G269, SeanRanks!$A$2:$K$303, 10, FALSE)-V269</f>
        <v>#N/A</v>
      </c>
      <c r="Z269" s="25" t="e">
        <f>IF(VLOOKUP($G269, SeanRanks!$A$2:$H$303, 7, FALSE)=0, "", VLOOKUP($G269, SeanRanks!$A$2:$H$303, 7, FALSE))</f>
        <v>#N/A</v>
      </c>
    </row>
    <row r="270" spans="1:26" ht="14.25" customHeight="1" x14ac:dyDescent="0.25">
      <c r="A270" s="11"/>
      <c r="B270" s="11" t="e">
        <f t="shared" si="17"/>
        <v>#N/A</v>
      </c>
      <c r="C270" s="11" t="s">
        <v>148</v>
      </c>
      <c r="D270" s="11"/>
      <c r="E270" s="11"/>
      <c r="F270" s="11" t="e">
        <f>VLOOKUP(G270, SeanRanks!$A$2:$E$302, 4, FALSE)</f>
        <v>#N/A</v>
      </c>
      <c r="G270" s="11" t="s">
        <v>837</v>
      </c>
      <c r="H270" s="11" t="e">
        <f>VLOOKUP($G270, 'ADP Data'!$C$4:$Q$300, 2, FALSE)</f>
        <v>#N/A</v>
      </c>
      <c r="I270" s="11" t="e">
        <f>VLOOKUP(G270, 'ADP Data'!$C$4:$R$498, 12, FALSE)</f>
        <v>#N/A</v>
      </c>
      <c r="J270" s="11" t="e">
        <f>VLOOKUP($G270, SeanRanks!$A$2:$H$303, 5, FALSE)</f>
        <v>#N/A</v>
      </c>
      <c r="K270" s="11" t="e">
        <f>IF(VLOOKUP($G270, SeanRanks!$A$2:$H$303, 6, FALSE)=0, "", VLOOKUP($G270, SeanRanks!$A$2:$H$303, 6, FALSE))</f>
        <v>#N/A</v>
      </c>
      <c r="L270" s="11">
        <f t="shared" si="11"/>
        <v>16</v>
      </c>
      <c r="M270" s="11" t="e">
        <f>VLOOKUP($G270, 'ADP Data'!$C$4:$Q$300, 9, FALSE)</f>
        <v>#N/A</v>
      </c>
      <c r="N270" s="11" t="e">
        <f t="shared" si="12"/>
        <v>#N/A</v>
      </c>
      <c r="O270" s="11" t="e">
        <f>VLOOKUP($G270, 'ADP Data'!$C$4:$Q$300, 3, FALSE)</f>
        <v>#N/A</v>
      </c>
      <c r="P270" s="11" t="e">
        <f t="shared" si="13"/>
        <v>#N/A</v>
      </c>
      <c r="Q270" s="11" t="e">
        <f>VLOOKUP($G270, 'ADP Data'!$C$4:$Q$300, 4, FALSE)</f>
        <v>#N/A</v>
      </c>
      <c r="R270" s="11" t="e">
        <f>VLOOKUP($G270, 'ADP Data'!$C$4:$Q$300, 5, FALSE)</f>
        <v>#N/A</v>
      </c>
      <c r="S270" s="11" t="e">
        <f>VLOOKUP($G270, 'ADP Data'!$C$4:$Q$300, 6, FALSE)</f>
        <v>#N/A</v>
      </c>
      <c r="T270" s="11" t="e">
        <f>VLOOKUP($G270, 'ADP Data'!$C$4:$Q$300, 7, FALSE)</f>
        <v>#N/A</v>
      </c>
      <c r="U270" s="11" t="e">
        <f>VLOOKUP($G270, 'ADP Data'!$C$4:$Q$300, 8, FALSE)</f>
        <v>#N/A</v>
      </c>
      <c r="V270" s="11" t="e">
        <f t="shared" si="14"/>
        <v>#N/A</v>
      </c>
      <c r="W270" s="11">
        <f t="shared" si="15"/>
        <v>16</v>
      </c>
      <c r="X270" s="11">
        <f t="shared" si="16"/>
        <v>-16</v>
      </c>
      <c r="Y270" s="11" t="e">
        <f>VLOOKUP($G270, SeanRanks!$A$2:$K$303, 10, FALSE)-V270</f>
        <v>#N/A</v>
      </c>
      <c r="Z270" s="25" t="e">
        <f>IF(VLOOKUP($G270, SeanRanks!$A$2:$H$303, 7, FALSE)=0, "", VLOOKUP($G270, SeanRanks!$A$2:$H$303, 7, FALSE))</f>
        <v>#N/A</v>
      </c>
    </row>
    <row r="271" spans="1:26" ht="14.25" customHeight="1" x14ac:dyDescent="0.25">
      <c r="A271" s="11"/>
      <c r="B271" s="11" t="e">
        <f t="shared" si="17"/>
        <v>#N/A</v>
      </c>
      <c r="C271" s="11" t="s">
        <v>148</v>
      </c>
      <c r="D271" s="11"/>
      <c r="E271" s="11"/>
      <c r="F271" s="11" t="e">
        <f>VLOOKUP(G271, SeanRanks!$A$2:$E$302, 4, FALSE)</f>
        <v>#N/A</v>
      </c>
      <c r="G271" s="11" t="s">
        <v>672</v>
      </c>
      <c r="H271" s="11" t="e">
        <f>VLOOKUP($G271, 'ADP Data'!$C$4:$Q$300, 2, FALSE)</f>
        <v>#N/A</v>
      </c>
      <c r="I271" s="11" t="e">
        <f>VLOOKUP(G271, 'ADP Data'!$C$4:$R$498, 12, FALSE)</f>
        <v>#N/A</v>
      </c>
      <c r="J271" s="11" t="e">
        <f>VLOOKUP($G271, SeanRanks!$A$2:$H$303, 5, FALSE)</f>
        <v>#N/A</v>
      </c>
      <c r="K271" s="11" t="e">
        <f>IF(VLOOKUP($G271, SeanRanks!$A$2:$H$303, 6, FALSE)=0, "", VLOOKUP($G271, SeanRanks!$A$2:$H$303, 6, FALSE))</f>
        <v>#N/A</v>
      </c>
      <c r="L271" s="11">
        <f t="shared" si="11"/>
        <v>16</v>
      </c>
      <c r="M271" s="11" t="e">
        <f>VLOOKUP($G271, 'ADP Data'!$C$4:$Q$300, 9, FALSE)</f>
        <v>#N/A</v>
      </c>
      <c r="N271" s="11" t="e">
        <f t="shared" si="12"/>
        <v>#N/A</v>
      </c>
      <c r="O271" s="11" t="e">
        <f>VLOOKUP($G271, 'ADP Data'!$C$4:$Q$300, 3, FALSE)</f>
        <v>#N/A</v>
      </c>
      <c r="P271" s="11" t="e">
        <f t="shared" si="13"/>
        <v>#N/A</v>
      </c>
      <c r="Q271" s="11" t="e">
        <f>VLOOKUP($G271, 'ADP Data'!$C$4:$Q$300, 4, FALSE)</f>
        <v>#N/A</v>
      </c>
      <c r="R271" s="11" t="e">
        <f>VLOOKUP($G271, 'ADP Data'!$C$4:$Q$300, 5, FALSE)</f>
        <v>#N/A</v>
      </c>
      <c r="S271" s="11" t="e">
        <f>VLOOKUP($G271, 'ADP Data'!$C$4:$Q$300, 6, FALSE)</f>
        <v>#N/A</v>
      </c>
      <c r="T271" s="11" t="e">
        <f>VLOOKUP($G271, 'ADP Data'!$C$4:$Q$300, 7, FALSE)</f>
        <v>#N/A</v>
      </c>
      <c r="U271" s="11" t="e">
        <f>VLOOKUP($G271, 'ADP Data'!$C$4:$Q$300, 8, FALSE)</f>
        <v>#N/A</v>
      </c>
      <c r="V271" s="11" t="e">
        <f t="shared" si="14"/>
        <v>#N/A</v>
      </c>
      <c r="W271" s="11">
        <f t="shared" si="15"/>
        <v>16</v>
      </c>
      <c r="X271" s="11">
        <f t="shared" si="16"/>
        <v>-16</v>
      </c>
      <c r="Y271" s="11" t="e">
        <f>VLOOKUP($G271, SeanRanks!$A$2:$K$303, 10, FALSE)-V271</f>
        <v>#N/A</v>
      </c>
      <c r="Z271" s="25" t="e">
        <f>IF(VLOOKUP($G271, SeanRanks!$A$2:$H$303, 7, FALSE)=0, "", VLOOKUP($G271, SeanRanks!$A$2:$H$303, 7, FALSE))</f>
        <v>#N/A</v>
      </c>
    </row>
    <row r="272" spans="1:26" ht="14.25" customHeight="1" x14ac:dyDescent="0.25">
      <c r="A272" s="11"/>
      <c r="B272" s="11" t="e">
        <f t="shared" si="17"/>
        <v>#N/A</v>
      </c>
      <c r="C272" s="11" t="s">
        <v>148</v>
      </c>
      <c r="D272" s="11"/>
      <c r="E272" s="11"/>
      <c r="F272" s="11" t="e">
        <f>VLOOKUP(G272, SeanRanks!$A$2:$E$302, 4, FALSE)</f>
        <v>#N/A</v>
      </c>
      <c r="G272" s="11" t="s">
        <v>969</v>
      </c>
      <c r="H272" s="11" t="e">
        <f>VLOOKUP($G272, 'ADP Data'!$C$4:$Q$300, 2, FALSE)</f>
        <v>#N/A</v>
      </c>
      <c r="I272" s="11" t="e">
        <f>VLOOKUP(G272, 'ADP Data'!$C$4:$R$498, 12, FALSE)</f>
        <v>#N/A</v>
      </c>
      <c r="J272" s="11" t="e">
        <f>VLOOKUP($G272, SeanRanks!$A$2:$H$303, 5, FALSE)</f>
        <v>#N/A</v>
      </c>
      <c r="K272" s="11" t="e">
        <f>IF(VLOOKUP($G272, SeanRanks!$A$2:$H$303, 6, FALSE)=0, "", VLOOKUP($G272, SeanRanks!$A$2:$H$303, 6, FALSE))</f>
        <v>#N/A</v>
      </c>
      <c r="L272" s="11">
        <f t="shared" si="11"/>
        <v>16</v>
      </c>
      <c r="M272" s="11" t="e">
        <f>VLOOKUP($G272, 'ADP Data'!$C$4:$Q$300, 9, FALSE)</f>
        <v>#N/A</v>
      </c>
      <c r="N272" s="11" t="e">
        <f t="shared" si="12"/>
        <v>#N/A</v>
      </c>
      <c r="O272" s="11" t="e">
        <f>VLOOKUP($G272, 'ADP Data'!$C$4:$Q$300, 3, FALSE)</f>
        <v>#N/A</v>
      </c>
      <c r="P272" s="11" t="e">
        <f t="shared" si="13"/>
        <v>#N/A</v>
      </c>
      <c r="Q272" s="11" t="e">
        <f>VLOOKUP($G272, 'ADP Data'!$C$4:$Q$300, 4, FALSE)</f>
        <v>#N/A</v>
      </c>
      <c r="R272" s="11" t="e">
        <f>VLOOKUP($G272, 'ADP Data'!$C$4:$Q$300, 5, FALSE)</f>
        <v>#N/A</v>
      </c>
      <c r="S272" s="11" t="e">
        <f>VLOOKUP($G272, 'ADP Data'!$C$4:$Q$300, 6, FALSE)</f>
        <v>#N/A</v>
      </c>
      <c r="T272" s="11" t="e">
        <f>VLOOKUP($G272, 'ADP Data'!$C$4:$Q$300, 7, FALSE)</f>
        <v>#N/A</v>
      </c>
      <c r="U272" s="11" t="e">
        <f>VLOOKUP($G272, 'ADP Data'!$C$4:$Q$300, 8, FALSE)</f>
        <v>#N/A</v>
      </c>
      <c r="V272" s="11" t="e">
        <f t="shared" si="14"/>
        <v>#N/A</v>
      </c>
      <c r="W272" s="11">
        <f t="shared" si="15"/>
        <v>16</v>
      </c>
      <c r="X272" s="11">
        <f t="shared" si="16"/>
        <v>-16</v>
      </c>
      <c r="Y272" s="11" t="e">
        <f>VLOOKUP($G272, SeanRanks!$A$2:$K$303, 10, FALSE)-V272</f>
        <v>#N/A</v>
      </c>
      <c r="Z272" s="25" t="e">
        <f>IF(VLOOKUP($G272, SeanRanks!$A$2:$H$303, 7, FALSE)=0, "", VLOOKUP($G272, SeanRanks!$A$2:$H$303, 7, FALSE))</f>
        <v>#N/A</v>
      </c>
    </row>
    <row r="273" spans="1:26" ht="14.25" customHeight="1" x14ac:dyDescent="0.25">
      <c r="A273" s="11"/>
      <c r="B273" s="11">
        <f t="shared" si="17"/>
        <v>22</v>
      </c>
      <c r="C273" s="11" t="s">
        <v>148</v>
      </c>
      <c r="D273" s="11"/>
      <c r="E273" s="11"/>
      <c r="F273" s="11">
        <f>VLOOKUP(G273, SeanRanks!$A$2:$E$302, 4, FALSE)</f>
        <v>0</v>
      </c>
      <c r="G273" s="11" t="s">
        <v>970</v>
      </c>
      <c r="H273" s="11" t="str">
        <f>VLOOKUP($G273, 'ADP Data'!$C$4:$Q$300, 2, FALSE)</f>
        <v>DAL</v>
      </c>
      <c r="I273" s="11">
        <f>VLOOKUP(G273, 'ADP Data'!$C$4:$R$498, 12, FALSE)</f>
        <v>249</v>
      </c>
      <c r="J273" s="11">
        <f>VLOOKUP($G273, SeanRanks!$A$2:$H$303, 5, FALSE)</f>
        <v>0</v>
      </c>
      <c r="K273" s="11" t="str">
        <f>IF(VLOOKUP($G273, SeanRanks!$A$2:$H$303, 6, FALSE)=0, "", VLOOKUP($G273, SeanRanks!$A$2:$H$303, 6, FALSE))</f>
        <v/>
      </c>
      <c r="L273" s="11">
        <f t="shared" si="11"/>
        <v>19</v>
      </c>
      <c r="M273" s="11">
        <f>VLOOKUP($G273, 'ADP Data'!$C$4:$Q$300, 9, FALSE)</f>
        <v>222</v>
      </c>
      <c r="N273" s="11">
        <f t="shared" si="12"/>
        <v>-30</v>
      </c>
      <c r="O273" s="11" t="str">
        <f>VLOOKUP($G273, 'ADP Data'!$C$4:$Q$300, 3, FALSE)</f>
        <v>-</v>
      </c>
      <c r="P273" s="11" t="e">
        <f t="shared" si="13"/>
        <v>#VALUE!</v>
      </c>
      <c r="Q273" s="11" t="str">
        <f>VLOOKUP($G273, 'ADP Data'!$C$4:$Q$300, 4, FALSE)</f>
        <v>-</v>
      </c>
      <c r="R273" s="11">
        <f>VLOOKUP($G273, 'ADP Data'!$C$4:$Q$300, 5, FALSE)</f>
        <v>276</v>
      </c>
      <c r="S273" s="11">
        <f>VLOOKUP($G273, 'ADP Data'!$C$4:$Q$300, 6, FALSE)</f>
        <v>256</v>
      </c>
      <c r="T273" s="11">
        <f>VLOOKUP($G273, 'ADP Data'!$C$4:$Q$300, 7, FALSE)</f>
        <v>233</v>
      </c>
      <c r="U273" s="11">
        <f>VLOOKUP($G273, 'ADP Data'!$C$4:$Q$300, 8, FALSE)</f>
        <v>276</v>
      </c>
      <c r="V273" s="11">
        <f t="shared" si="14"/>
        <v>252</v>
      </c>
      <c r="W273" s="11">
        <f t="shared" si="15"/>
        <v>22</v>
      </c>
      <c r="X273" s="11">
        <f t="shared" si="16"/>
        <v>-22</v>
      </c>
      <c r="Y273" s="11">
        <f>VLOOKUP($G273, SeanRanks!$A$2:$K$303, 10, FALSE)-V273</f>
        <v>-37</v>
      </c>
      <c r="Z273" s="25" t="str">
        <f>IF(VLOOKUP($G273, SeanRanks!$A$2:$H$303, 7, FALSE)=0, "", VLOOKUP($G273, SeanRanks!$A$2:$H$303, 7, FALSE))</f>
        <v/>
      </c>
    </row>
    <row r="274" spans="1:26" ht="14.25" customHeight="1" x14ac:dyDescent="0.25">
      <c r="A274" s="11"/>
      <c r="B274" s="11">
        <f t="shared" si="17"/>
        <v>21</v>
      </c>
      <c r="C274" s="11" t="s">
        <v>148</v>
      </c>
      <c r="D274" s="11"/>
      <c r="E274" s="11"/>
      <c r="F274" s="11">
        <f>VLOOKUP(G274, SeanRanks!$A$2:$E$302, 4, FALSE)</f>
        <v>0</v>
      </c>
      <c r="G274" s="11" t="s">
        <v>623</v>
      </c>
      <c r="H274" s="11" t="str">
        <f>VLOOKUP($G274, 'ADP Data'!$C$4:$Q$300, 2, FALSE)</f>
        <v>DEN</v>
      </c>
      <c r="I274" s="11">
        <f>VLOOKUP(G274, 'ADP Data'!$C$4:$R$498, 12, FALSE)</f>
        <v>187</v>
      </c>
      <c r="J274" s="11">
        <f>VLOOKUP($G274, SeanRanks!$A$2:$H$303, 5, FALSE)</f>
        <v>0</v>
      </c>
      <c r="K274" s="11" t="str">
        <f>IF(VLOOKUP($G274, SeanRanks!$A$2:$H$303, 6, FALSE)=0, "", VLOOKUP($G274, SeanRanks!$A$2:$H$303, 6, FALSE))</f>
        <v/>
      </c>
      <c r="L274" s="11">
        <f t="shared" si="11"/>
        <v>22</v>
      </c>
      <c r="M274" s="11">
        <f>VLOOKUP($G274, 'ADP Data'!$C$4:$Q$300, 9, FALSE)</f>
        <v>259</v>
      </c>
      <c r="N274" s="11">
        <f t="shared" si="12"/>
        <v>14</v>
      </c>
      <c r="O274" s="11" t="str">
        <f>VLOOKUP($G274, 'ADP Data'!$C$4:$Q$300, 3, FALSE)</f>
        <v>-</v>
      </c>
      <c r="P274" s="11" t="e">
        <f t="shared" si="13"/>
        <v>#VALUE!</v>
      </c>
      <c r="Q274" s="11" t="str">
        <f>VLOOKUP($G274, 'ADP Data'!$C$4:$Q$300, 4, FALSE)</f>
        <v>-</v>
      </c>
      <c r="R274" s="11" t="str">
        <f>VLOOKUP($G274, 'ADP Data'!$C$4:$Q$300, 5, FALSE)</f>
        <v>-</v>
      </c>
      <c r="S274" s="11">
        <f>VLOOKUP($G274, 'ADP Data'!$C$4:$Q$300, 6, FALSE)</f>
        <v>206</v>
      </c>
      <c r="T274" s="11">
        <f>VLOOKUP($G274, 'ADP Data'!$C$4:$Q$300, 7, FALSE)</f>
        <v>227</v>
      </c>
      <c r="U274" s="11">
        <f>VLOOKUP($G274, 'ADP Data'!$C$4:$Q$300, 8, FALSE)</f>
        <v>289</v>
      </c>
      <c r="V274" s="11">
        <f t="shared" si="14"/>
        <v>245</v>
      </c>
      <c r="W274" s="11">
        <f t="shared" si="15"/>
        <v>21</v>
      </c>
      <c r="X274" s="11">
        <f t="shared" si="16"/>
        <v>-21</v>
      </c>
      <c r="Y274" s="11">
        <f>VLOOKUP($G274, SeanRanks!$A$2:$K$303, 10, FALSE)-V274</f>
        <v>-7</v>
      </c>
      <c r="Z274" s="25" t="str">
        <f>IF(VLOOKUP($G274, SeanRanks!$A$2:$H$303, 7, FALSE)=0, "", VLOOKUP($G274, SeanRanks!$A$2:$H$303, 7, FALSE))</f>
        <v/>
      </c>
    </row>
    <row r="275" spans="1:26" ht="14.25" customHeight="1" x14ac:dyDescent="0.25">
      <c r="A275" s="11"/>
      <c r="B275" s="11">
        <f t="shared" si="17"/>
        <v>24</v>
      </c>
      <c r="C275" s="11" t="s">
        <v>148</v>
      </c>
      <c r="D275" s="11"/>
      <c r="E275" s="11"/>
      <c r="F275" s="11">
        <f>VLOOKUP(G275, SeanRanks!$A$2:$E$302, 4, FALSE)</f>
        <v>0</v>
      </c>
      <c r="G275" s="11" t="s">
        <v>967</v>
      </c>
      <c r="H275" s="11" t="str">
        <f>VLOOKUP($G275, 'ADP Data'!$C$4:$Q$300, 2, FALSE)</f>
        <v>CAR</v>
      </c>
      <c r="I275" s="11">
        <f>VLOOKUP(G275, 'ADP Data'!$C$4:$R$498, 12, FALSE)</f>
        <v>198</v>
      </c>
      <c r="J275" s="11">
        <f>VLOOKUP($G275, SeanRanks!$A$2:$H$303, 5, FALSE)</f>
        <v>0</v>
      </c>
      <c r="K275" s="11" t="str">
        <f>IF(VLOOKUP($G275, SeanRanks!$A$2:$H$303, 6, FALSE)=0, "", VLOOKUP($G275, SeanRanks!$A$2:$H$303, 6, FALSE))</f>
        <v/>
      </c>
      <c r="L275" s="11">
        <f t="shared" si="11"/>
        <v>22</v>
      </c>
      <c r="M275" s="11">
        <f>VLOOKUP($G275, 'ADP Data'!$C$4:$Q$300, 9, FALSE)</f>
        <v>254</v>
      </c>
      <c r="N275" s="11">
        <f t="shared" si="12"/>
        <v>-20</v>
      </c>
      <c r="O275" s="11" t="str">
        <f>VLOOKUP($G275, 'ADP Data'!$C$4:$Q$300, 3, FALSE)</f>
        <v>-</v>
      </c>
      <c r="P275" s="11" t="e">
        <f t="shared" si="13"/>
        <v>#VALUE!</v>
      </c>
      <c r="Q275" s="11">
        <f>VLOOKUP($G275, 'ADP Data'!$C$4:$Q$300, 4, FALSE)</f>
        <v>347</v>
      </c>
      <c r="R275" s="11">
        <f>VLOOKUP($G275, 'ADP Data'!$C$4:$Q$300, 5, FALSE)</f>
        <v>318</v>
      </c>
      <c r="S275" s="11">
        <f>VLOOKUP($G275, 'ADP Data'!$C$4:$Q$300, 6, FALSE)</f>
        <v>204</v>
      </c>
      <c r="T275" s="11">
        <f>VLOOKUP($G275, 'ADP Data'!$C$4:$Q$300, 7, FALSE)</f>
        <v>247</v>
      </c>
      <c r="U275" s="11" t="str">
        <f>VLOOKUP($G275, 'ADP Data'!$C$4:$Q$300, 8, FALSE)</f>
        <v>-</v>
      </c>
      <c r="V275" s="11">
        <f t="shared" si="14"/>
        <v>274</v>
      </c>
      <c r="W275" s="11">
        <f t="shared" si="15"/>
        <v>23</v>
      </c>
      <c r="X275" s="11">
        <f t="shared" si="16"/>
        <v>-23</v>
      </c>
      <c r="Y275" s="11">
        <f>VLOOKUP($G275, SeanRanks!$A$2:$K$303, 10, FALSE)-V275</f>
        <v>-43</v>
      </c>
      <c r="Z275" s="25" t="str">
        <f>IF(VLOOKUP($G275, SeanRanks!$A$2:$H$303, 7, FALSE)=0, "", VLOOKUP($G275, SeanRanks!$A$2:$H$303, 7, FALSE))</f>
        <v/>
      </c>
    </row>
    <row r="276" spans="1:26" ht="14.25" customHeight="1" x14ac:dyDescent="0.25">
      <c r="A276" s="11"/>
      <c r="B276" s="11" t="e">
        <f t="shared" si="17"/>
        <v>#N/A</v>
      </c>
      <c r="C276" s="11" t="s">
        <v>148</v>
      </c>
      <c r="D276" s="11"/>
      <c r="E276" s="11"/>
      <c r="F276" s="11">
        <f>VLOOKUP(G276, SeanRanks!$A$2:$E$302, 4, FALSE)</f>
        <v>0</v>
      </c>
      <c r="G276" s="11" t="s">
        <v>971</v>
      </c>
      <c r="H276" s="11" t="e">
        <f>VLOOKUP($G276, 'ADP Data'!$C$4:$Q$300, 2, FALSE)</f>
        <v>#N/A</v>
      </c>
      <c r="I276" s="11" t="e">
        <f>VLOOKUP(G276, 'ADP Data'!$C$4:$R$498, 12, FALSE)</f>
        <v>#N/A</v>
      </c>
      <c r="J276" s="11">
        <f>VLOOKUP($G276, SeanRanks!$A$2:$H$303, 5, FALSE)</f>
        <v>0</v>
      </c>
      <c r="K276" s="11" t="str">
        <f>IF(VLOOKUP($G276, SeanRanks!$A$2:$H$303, 6, FALSE)=0, "", VLOOKUP($G276, SeanRanks!$A$2:$H$303, 6, FALSE))</f>
        <v/>
      </c>
      <c r="L276" s="11">
        <f t="shared" si="11"/>
        <v>16</v>
      </c>
      <c r="M276" s="11" t="e">
        <f>VLOOKUP($G276, 'ADP Data'!$C$4:$Q$300, 9, FALSE)</f>
        <v>#N/A</v>
      </c>
      <c r="N276" s="11" t="e">
        <f t="shared" si="12"/>
        <v>#N/A</v>
      </c>
      <c r="O276" s="11" t="e">
        <f>VLOOKUP($G276, 'ADP Data'!$C$4:$Q$300, 3, FALSE)</f>
        <v>#N/A</v>
      </c>
      <c r="P276" s="11" t="e">
        <f t="shared" si="13"/>
        <v>#N/A</v>
      </c>
      <c r="Q276" s="11" t="e">
        <f>VLOOKUP($G276, 'ADP Data'!$C$4:$Q$300, 4, FALSE)</f>
        <v>#N/A</v>
      </c>
      <c r="R276" s="11" t="e">
        <f>VLOOKUP($G276, 'ADP Data'!$C$4:$Q$300, 5, FALSE)</f>
        <v>#N/A</v>
      </c>
      <c r="S276" s="11" t="e">
        <f>VLOOKUP($G276, 'ADP Data'!$C$4:$Q$300, 6, FALSE)</f>
        <v>#N/A</v>
      </c>
      <c r="T276" s="11" t="e">
        <f>VLOOKUP($G276, 'ADP Data'!$C$4:$Q$300, 7, FALSE)</f>
        <v>#N/A</v>
      </c>
      <c r="U276" s="11" t="e">
        <f>VLOOKUP($G276, 'ADP Data'!$C$4:$Q$300, 8, FALSE)</f>
        <v>#N/A</v>
      </c>
      <c r="V276" s="11" t="e">
        <f t="shared" si="14"/>
        <v>#N/A</v>
      </c>
      <c r="W276" s="11">
        <f t="shared" si="15"/>
        <v>16</v>
      </c>
      <c r="X276" s="11">
        <f t="shared" si="16"/>
        <v>-16</v>
      </c>
      <c r="Y276" s="11" t="e">
        <f>VLOOKUP($G276, SeanRanks!$A$2:$K$303, 10, FALSE)-V276</f>
        <v>#N/A</v>
      </c>
      <c r="Z276" s="25" t="str">
        <f>IF(VLOOKUP($G276, SeanRanks!$A$2:$H$303, 7, FALSE)=0, "", VLOOKUP($G276, SeanRanks!$A$2:$H$303, 7, FALSE))</f>
        <v/>
      </c>
    </row>
    <row r="277" spans="1:26" ht="14.25" customHeight="1" x14ac:dyDescent="0.25">
      <c r="A277" s="11"/>
      <c r="B277" s="11">
        <f t="shared" si="17"/>
        <v>16</v>
      </c>
      <c r="C277" s="11" t="s">
        <v>148</v>
      </c>
      <c r="D277" s="11"/>
      <c r="E277" s="11"/>
      <c r="F277" s="11">
        <f>VLOOKUP(G277, SeanRanks!$A$2:$E$302, 4, FALSE)</f>
        <v>0</v>
      </c>
      <c r="G277" s="11" t="s">
        <v>688</v>
      </c>
      <c r="H277" s="11" t="str">
        <f>VLOOKUP($G277, 'ADP Data'!$C$4:$Q$300, 2, FALSE)</f>
        <v>ATL</v>
      </c>
      <c r="I277" s="11">
        <f>VLOOKUP(G277, 'ADP Data'!$C$4:$R$498, 12, FALSE)</f>
        <v>143</v>
      </c>
      <c r="J277" s="11">
        <f>VLOOKUP($G277, SeanRanks!$A$2:$H$303, 5, FALSE)</f>
        <v>0</v>
      </c>
      <c r="K277" s="11" t="str">
        <f>IF(VLOOKUP($G277, SeanRanks!$A$2:$H$303, 6, FALSE)=0, "", VLOOKUP($G277, SeanRanks!$A$2:$H$303, 6, FALSE))</f>
        <v>Don’t Draft - Streamer</v>
      </c>
      <c r="L277" s="11">
        <f t="shared" si="11"/>
        <v>16</v>
      </c>
      <c r="M277" s="11">
        <f>VLOOKUP($G277, 'ADP Data'!$C$4:$Q$300, 9, FALSE)</f>
        <v>189</v>
      </c>
      <c r="N277" s="11">
        <f t="shared" si="12"/>
        <v>4</v>
      </c>
      <c r="O277" s="11">
        <f>VLOOKUP($G277, 'ADP Data'!$C$4:$Q$300, 3, FALSE)</f>
        <v>177</v>
      </c>
      <c r="P277" s="11">
        <f t="shared" si="13"/>
        <v>12</v>
      </c>
      <c r="Q277" s="11">
        <f>VLOOKUP($G277, 'ADP Data'!$C$4:$Q$300, 4, FALSE)</f>
        <v>181</v>
      </c>
      <c r="R277" s="11">
        <f>VLOOKUP($G277, 'ADP Data'!$C$4:$Q$300, 5, FALSE)</f>
        <v>236</v>
      </c>
      <c r="S277" s="11">
        <f>VLOOKUP($G277, 'ADP Data'!$C$4:$Q$300, 6, FALSE)</f>
        <v>164</v>
      </c>
      <c r="T277" s="11">
        <f>VLOOKUP($G277, 'ADP Data'!$C$4:$Q$300, 7, FALSE)</f>
        <v>159</v>
      </c>
      <c r="U277" s="11">
        <f>VLOOKUP($G277, 'ADP Data'!$C$4:$Q$300, 8, FALSE)</f>
        <v>189</v>
      </c>
      <c r="V277" s="11">
        <f t="shared" si="14"/>
        <v>185</v>
      </c>
      <c r="W277" s="11">
        <f t="shared" si="15"/>
        <v>16</v>
      </c>
      <c r="X277" s="11">
        <f t="shared" si="16"/>
        <v>-16</v>
      </c>
      <c r="Y277" s="11">
        <f>VLOOKUP($G277, SeanRanks!$A$2:$K$303, 10, FALSE)-V277</f>
        <v>-43</v>
      </c>
      <c r="Z277" s="25">
        <f>IF(VLOOKUP($G277, SeanRanks!$A$2:$H$303, 7, FALSE)=0, "", VLOOKUP($G277, SeanRanks!$A$2:$H$303, 7, FALSE))</f>
        <v>24</v>
      </c>
    </row>
    <row r="278" spans="1:26" ht="14.25" customHeight="1" x14ac:dyDescent="0.25">
      <c r="A278" s="11"/>
      <c r="B278" s="11">
        <f t="shared" si="17"/>
        <v>9</v>
      </c>
      <c r="C278" s="11" t="s">
        <v>148</v>
      </c>
      <c r="D278" s="11"/>
      <c r="E278" s="11"/>
      <c r="F278" s="11">
        <f>VLOOKUP(G278, SeanRanks!$A$2:$E$302, 4, FALSE)</f>
        <v>0</v>
      </c>
      <c r="G278" s="11" t="s">
        <v>458</v>
      </c>
      <c r="H278" s="11" t="str">
        <f>VLOOKUP($G278, 'ADP Data'!$C$4:$Q$300, 2, FALSE)</f>
        <v>SF</v>
      </c>
      <c r="I278" s="11">
        <f>VLOOKUP(G278, 'ADP Data'!$C$4:$R$498, 12, FALSE)</f>
        <v>84</v>
      </c>
      <c r="J278" s="11">
        <f>VLOOKUP($G278, SeanRanks!$A$2:$H$303, 5, FALSE)</f>
        <v>0</v>
      </c>
      <c r="K278" s="11" t="str">
        <f>IF(VLOOKUP($G278, SeanRanks!$A$2:$H$303, 6, FALSE)=0, "", VLOOKUP($G278, SeanRanks!$A$2:$H$303, 6, FALSE))</f>
        <v>WR4 - 1 - path to WR2</v>
      </c>
      <c r="L278" s="11">
        <f t="shared" si="11"/>
        <v>9</v>
      </c>
      <c r="M278" s="11">
        <f>VLOOKUP($G278, 'ADP Data'!$C$4:$Q$300, 9, FALSE)</f>
        <v>102</v>
      </c>
      <c r="N278" s="11">
        <f t="shared" si="12"/>
        <v>-3</v>
      </c>
      <c r="O278" s="11">
        <f>VLOOKUP($G278, 'ADP Data'!$C$4:$Q$300, 3, FALSE)</f>
        <v>119</v>
      </c>
      <c r="P278" s="11">
        <f t="shared" si="13"/>
        <v>-17</v>
      </c>
      <c r="Q278" s="11">
        <f>VLOOKUP($G278, 'ADP Data'!$C$4:$Q$300, 4, FALSE)</f>
        <v>115</v>
      </c>
      <c r="R278" s="11">
        <f>VLOOKUP($G278, 'ADP Data'!$C$4:$Q$300, 5, FALSE)</f>
        <v>110</v>
      </c>
      <c r="S278" s="11">
        <f>VLOOKUP($G278, 'ADP Data'!$C$4:$Q$300, 6, FALSE)</f>
        <v>98</v>
      </c>
      <c r="T278" s="11">
        <f>VLOOKUP($G278, 'ADP Data'!$C$4:$Q$300, 7, FALSE)</f>
        <v>85</v>
      </c>
      <c r="U278" s="11">
        <f>VLOOKUP($G278, 'ADP Data'!$C$4:$Q$300, 8, FALSE)</f>
        <v>111</v>
      </c>
      <c r="V278" s="11">
        <f t="shared" si="14"/>
        <v>105</v>
      </c>
      <c r="W278" s="11">
        <f t="shared" si="15"/>
        <v>9</v>
      </c>
      <c r="X278" s="11">
        <f t="shared" si="16"/>
        <v>-9</v>
      </c>
      <c r="Y278" s="11">
        <f>VLOOKUP($G278, SeanRanks!$A$2:$K$303, 10, FALSE)-V278</f>
        <v>-12</v>
      </c>
      <c r="Z278" s="25">
        <f>IF(VLOOKUP($G278, SeanRanks!$A$2:$H$303, 7, FALSE)=0, "", VLOOKUP($G278, SeanRanks!$A$2:$H$303, 7, FALSE))</f>
        <v>40</v>
      </c>
    </row>
    <row r="279" spans="1:26" ht="14.25" customHeight="1" x14ac:dyDescent="0.25">
      <c r="A279" s="11"/>
      <c r="B279" s="11" t="e">
        <f t="shared" si="17"/>
        <v>#N/A</v>
      </c>
      <c r="C279" s="11" t="s">
        <v>148</v>
      </c>
      <c r="D279" s="11"/>
      <c r="E279" s="11"/>
      <c r="F279" s="11">
        <f>VLOOKUP(G279, SeanRanks!$A$2:$E$302, 4, FALSE)</f>
        <v>0</v>
      </c>
      <c r="G279" s="11" t="s">
        <v>401</v>
      </c>
      <c r="H279" s="11" t="e">
        <f>VLOOKUP($G279, 'ADP Data'!$C$4:$Q$300, 2, FALSE)</f>
        <v>#N/A</v>
      </c>
      <c r="I279" s="11">
        <f>VLOOKUP(G279, 'ADP Data'!$C$4:$R$498, 12, FALSE)</f>
        <v>244</v>
      </c>
      <c r="J279" s="11">
        <f>VLOOKUP($G279, SeanRanks!$A$2:$H$303, 5, FALSE)</f>
        <v>0</v>
      </c>
      <c r="K279" s="11" t="str">
        <f>IF(VLOOKUP($G279, SeanRanks!$A$2:$H$303, 6, FALSE)=0, "", VLOOKUP($G279, SeanRanks!$A$2:$H$303, 6, FALSE))</f>
        <v/>
      </c>
      <c r="L279" s="11">
        <f t="shared" si="11"/>
        <v>16</v>
      </c>
      <c r="M279" s="11" t="e">
        <f>VLOOKUP($G279, 'ADP Data'!$C$4:$Q$300, 9, FALSE)</f>
        <v>#N/A</v>
      </c>
      <c r="N279" s="11" t="e">
        <f t="shared" si="12"/>
        <v>#N/A</v>
      </c>
      <c r="O279" s="11" t="e">
        <f>VLOOKUP($G279, 'ADP Data'!$C$4:$Q$300, 3, FALSE)</f>
        <v>#N/A</v>
      </c>
      <c r="P279" s="11" t="e">
        <f t="shared" si="13"/>
        <v>#N/A</v>
      </c>
      <c r="Q279" s="11" t="e">
        <f>VLOOKUP($G279, 'ADP Data'!$C$4:$Q$300, 4, FALSE)</f>
        <v>#N/A</v>
      </c>
      <c r="R279" s="11" t="e">
        <f>VLOOKUP($G279, 'ADP Data'!$C$4:$Q$300, 5, FALSE)</f>
        <v>#N/A</v>
      </c>
      <c r="S279" s="11" t="e">
        <f>VLOOKUP($G279, 'ADP Data'!$C$4:$Q$300, 6, FALSE)</f>
        <v>#N/A</v>
      </c>
      <c r="T279" s="11" t="e">
        <f>VLOOKUP($G279, 'ADP Data'!$C$4:$Q$300, 7, FALSE)</f>
        <v>#N/A</v>
      </c>
      <c r="U279" s="11" t="e">
        <f>VLOOKUP($G279, 'ADP Data'!$C$4:$Q$300, 8, FALSE)</f>
        <v>#N/A</v>
      </c>
      <c r="V279" s="11" t="e">
        <f t="shared" si="14"/>
        <v>#N/A</v>
      </c>
      <c r="W279" s="11">
        <f t="shared" si="15"/>
        <v>16</v>
      </c>
      <c r="X279" s="11">
        <f t="shared" si="16"/>
        <v>-16</v>
      </c>
      <c r="Y279" s="11" t="e">
        <f>VLOOKUP($G279, SeanRanks!$A$2:$K$303, 10, FALSE)-V279</f>
        <v>#N/A</v>
      </c>
      <c r="Z279" s="25" t="str">
        <f>IF(VLOOKUP($G279, SeanRanks!$A$2:$H$303, 7, FALSE)=0, "", VLOOKUP($G279, SeanRanks!$A$2:$H$303, 7, FALSE))</f>
        <v/>
      </c>
    </row>
    <row r="280" spans="1:26" ht="14.25" customHeight="1" x14ac:dyDescent="0.25">
      <c r="A280" s="11"/>
      <c r="B280" s="11">
        <f t="shared" si="17"/>
        <v>23</v>
      </c>
      <c r="C280" s="11" t="s">
        <v>148</v>
      </c>
      <c r="D280" s="11"/>
      <c r="E280" s="11"/>
      <c r="F280" s="11">
        <f>VLOOKUP(G280, SeanRanks!$A$2:$E$302, 4, FALSE)</f>
        <v>0</v>
      </c>
      <c r="G280" s="11" t="s">
        <v>827</v>
      </c>
      <c r="H280" s="11" t="str">
        <f>VLOOKUP($G280, 'ADP Data'!$C$4:$Q$300, 2, FALSE)</f>
        <v>NYG</v>
      </c>
      <c r="I280" s="11">
        <f>VLOOKUP(G280, 'ADP Data'!$C$4:$R$498, 12, FALSE)</f>
        <v>185</v>
      </c>
      <c r="J280" s="11">
        <f>VLOOKUP($G280, SeanRanks!$A$2:$H$303, 5, FALSE)</f>
        <v>0</v>
      </c>
      <c r="K280" s="11" t="str">
        <f>IF(VLOOKUP($G280, SeanRanks!$A$2:$H$303, 6, FALSE)=0, "", VLOOKUP($G280, SeanRanks!$A$2:$H$303, 6, FALSE))</f>
        <v/>
      </c>
      <c r="L280" s="11">
        <f t="shared" si="11"/>
        <v>23</v>
      </c>
      <c r="M280" s="11">
        <f>VLOOKUP($G280, 'ADP Data'!$C$4:$Q$300, 9, FALSE)</f>
        <v>268</v>
      </c>
      <c r="N280" s="11">
        <f t="shared" si="12"/>
        <v>-3</v>
      </c>
      <c r="O280" s="11" t="str">
        <f>VLOOKUP($G280, 'ADP Data'!$C$4:$Q$300, 3, FALSE)</f>
        <v>-</v>
      </c>
      <c r="P280" s="11" t="e">
        <f t="shared" si="13"/>
        <v>#VALUE!</v>
      </c>
      <c r="Q280" s="11" t="str">
        <f>VLOOKUP($G280, 'ADP Data'!$C$4:$Q$300, 4, FALSE)</f>
        <v>-</v>
      </c>
      <c r="R280" s="11">
        <f>VLOOKUP($G280, 'ADP Data'!$C$4:$Q$300, 5, FALSE)</f>
        <v>309</v>
      </c>
      <c r="S280" s="11">
        <f>VLOOKUP($G280, 'ADP Data'!$C$4:$Q$300, 6, FALSE)</f>
        <v>237</v>
      </c>
      <c r="T280" s="11">
        <f>VLOOKUP($G280, 'ADP Data'!$C$4:$Q$300, 7, FALSE)</f>
        <v>231</v>
      </c>
      <c r="U280" s="11">
        <f>VLOOKUP($G280, 'ADP Data'!$C$4:$Q$300, 8, FALSE)</f>
        <v>311</v>
      </c>
      <c r="V280" s="11">
        <f t="shared" si="14"/>
        <v>271</v>
      </c>
      <c r="W280" s="11">
        <f t="shared" si="15"/>
        <v>23</v>
      </c>
      <c r="X280" s="11">
        <f t="shared" si="16"/>
        <v>-23</v>
      </c>
      <c r="Y280" s="11" t="e">
        <f>VLOOKUP($G280, SeanRanks!$A$2:$K$303, 10, FALSE)-V280</f>
        <v>#VALUE!</v>
      </c>
      <c r="Z280" s="25" t="str">
        <f>IF(VLOOKUP($G280, SeanRanks!$A$2:$H$303, 7, FALSE)=0, "", VLOOKUP($G280, SeanRanks!$A$2:$H$303, 7, FALSE))</f>
        <v/>
      </c>
    </row>
    <row r="281" spans="1:26" ht="14.25" customHeight="1" x14ac:dyDescent="0.25">
      <c r="A281" s="11"/>
      <c r="B281" s="11" t="e">
        <f t="shared" si="17"/>
        <v>#N/A</v>
      </c>
      <c r="C281" s="11" t="s">
        <v>148</v>
      </c>
      <c r="D281" s="11"/>
      <c r="E281" s="11"/>
      <c r="F281" s="11" t="e">
        <f>VLOOKUP(G281, SeanRanks!$A$2:$E$302, 4, FALSE)</f>
        <v>#N/A</v>
      </c>
      <c r="G281" s="11" t="s">
        <v>973</v>
      </c>
      <c r="H281" s="11" t="e">
        <f>VLOOKUP($G281, 'ADP Data'!$C$4:$Q$300, 2, FALSE)</f>
        <v>#N/A</v>
      </c>
      <c r="I281" s="11" t="e">
        <f>VLOOKUP(G281, 'ADP Data'!$C$4:$R$498, 12, FALSE)</f>
        <v>#N/A</v>
      </c>
      <c r="J281" s="11" t="e">
        <f>VLOOKUP($G281, SeanRanks!$A$2:$H$303, 5, FALSE)</f>
        <v>#N/A</v>
      </c>
      <c r="K281" s="11" t="e">
        <f>IF(VLOOKUP($G281, SeanRanks!$A$2:$H$303, 6, FALSE)=0, "", VLOOKUP($G281, SeanRanks!$A$2:$H$303, 6, FALSE))</f>
        <v>#N/A</v>
      </c>
      <c r="L281" s="11">
        <f t="shared" si="11"/>
        <v>16</v>
      </c>
      <c r="M281" s="11" t="e">
        <f>VLOOKUP($G281, 'ADP Data'!$C$4:$Q$300, 9, FALSE)</f>
        <v>#N/A</v>
      </c>
      <c r="N281" s="11" t="e">
        <f t="shared" si="12"/>
        <v>#N/A</v>
      </c>
      <c r="O281" s="11" t="e">
        <f>VLOOKUP($G281, 'ADP Data'!$C$4:$Q$300, 3, FALSE)</f>
        <v>#N/A</v>
      </c>
      <c r="P281" s="11" t="e">
        <f t="shared" si="13"/>
        <v>#N/A</v>
      </c>
      <c r="Q281" s="11" t="e">
        <f>VLOOKUP($G281, 'ADP Data'!$C$4:$Q$300, 4, FALSE)</f>
        <v>#N/A</v>
      </c>
      <c r="R281" s="11" t="e">
        <f>VLOOKUP($G281, 'ADP Data'!$C$4:$Q$300, 5, FALSE)</f>
        <v>#N/A</v>
      </c>
      <c r="S281" s="11" t="e">
        <f>VLOOKUP($G281, 'ADP Data'!$C$4:$Q$300, 6, FALSE)</f>
        <v>#N/A</v>
      </c>
      <c r="T281" s="11" t="e">
        <f>VLOOKUP($G281, 'ADP Data'!$C$4:$Q$300, 7, FALSE)</f>
        <v>#N/A</v>
      </c>
      <c r="U281" s="11" t="e">
        <f>VLOOKUP($G281, 'ADP Data'!$C$4:$Q$300, 8, FALSE)</f>
        <v>#N/A</v>
      </c>
      <c r="V281" s="11" t="e">
        <f t="shared" si="14"/>
        <v>#N/A</v>
      </c>
      <c r="W281" s="11">
        <f t="shared" si="15"/>
        <v>16</v>
      </c>
      <c r="X281" s="11">
        <f t="shared" si="16"/>
        <v>-16</v>
      </c>
      <c r="Y281" s="11" t="e">
        <f>VLOOKUP($G281, SeanRanks!$A$2:$K$303, 10, FALSE)-V281</f>
        <v>#N/A</v>
      </c>
      <c r="Z281" s="25" t="e">
        <f>IF(VLOOKUP($G281, SeanRanks!$A$2:$H$303, 7, FALSE)=0, "", VLOOKUP($G281, SeanRanks!$A$2:$H$303, 7, FALSE))</f>
        <v>#N/A</v>
      </c>
    </row>
    <row r="282" spans="1:26" ht="14.25" customHeight="1" x14ac:dyDescent="0.25">
      <c r="A282" s="11"/>
      <c r="B282" s="11">
        <f t="shared" si="17"/>
        <v>21</v>
      </c>
      <c r="C282" s="11" t="s">
        <v>148</v>
      </c>
      <c r="D282" s="11"/>
      <c r="E282" s="11"/>
      <c r="F282" s="11">
        <f>VLOOKUP(G282, SeanRanks!$A$2:$E$302, 4, FALSE)</f>
        <v>0</v>
      </c>
      <c r="G282" s="11" t="s">
        <v>975</v>
      </c>
      <c r="H282" s="11" t="str">
        <f>VLOOKUP($G282, 'ADP Data'!$C$4:$Q$300, 2, FALSE)</f>
        <v>KC</v>
      </c>
      <c r="I282" s="11">
        <f>VLOOKUP(G282, 'ADP Data'!$C$4:$R$498, 12, FALSE)</f>
        <v>279</v>
      </c>
      <c r="J282" s="11">
        <f>VLOOKUP($G282, SeanRanks!$A$2:$H$303, 5, FALSE)</f>
        <v>0</v>
      </c>
      <c r="K282" s="11" t="str">
        <f>IF(VLOOKUP($G282, SeanRanks!$A$2:$H$303, 6, FALSE)=0, "", VLOOKUP($G282, SeanRanks!$A$2:$H$303, 6, FALSE))</f>
        <v/>
      </c>
      <c r="L282" s="11">
        <f t="shared" si="11"/>
        <v>24</v>
      </c>
      <c r="M282" s="11">
        <f>VLOOKUP($G282, 'ADP Data'!$C$4:$Q$300, 9, FALSE)</f>
        <v>276</v>
      </c>
      <c r="N282" s="11">
        <f t="shared" si="12"/>
        <v>24</v>
      </c>
      <c r="O282" s="11" t="str">
        <f>VLOOKUP($G282, 'ADP Data'!$C$4:$Q$300, 3, FALSE)</f>
        <v>-</v>
      </c>
      <c r="P282" s="11" t="e">
        <f t="shared" si="13"/>
        <v>#VALUE!</v>
      </c>
      <c r="Q282" s="11">
        <f>VLOOKUP($G282, 'ADP Data'!$C$4:$Q$300, 4, FALSE)</f>
        <v>233</v>
      </c>
      <c r="R282" s="11" t="str">
        <f>VLOOKUP($G282, 'ADP Data'!$C$4:$Q$300, 5, FALSE)</f>
        <v>-</v>
      </c>
      <c r="S282" s="11">
        <f>VLOOKUP($G282, 'ADP Data'!$C$4:$Q$300, 6, FALSE)</f>
        <v>249</v>
      </c>
      <c r="T282" s="11">
        <f>VLOOKUP($G282, 'ADP Data'!$C$4:$Q$300, 7, FALSE)</f>
        <v>263</v>
      </c>
      <c r="U282" s="11">
        <f>VLOOKUP($G282, 'ADP Data'!$C$4:$Q$300, 8, FALSE)</f>
        <v>240</v>
      </c>
      <c r="V282" s="11">
        <f t="shared" si="14"/>
        <v>252</v>
      </c>
      <c r="W282" s="11">
        <f t="shared" si="15"/>
        <v>22</v>
      </c>
      <c r="X282" s="11">
        <f t="shared" si="16"/>
        <v>-22</v>
      </c>
      <c r="Y282" s="11" t="e">
        <f>VLOOKUP($G282, SeanRanks!$A$2:$K$303, 10, FALSE)-V282</f>
        <v>#VALUE!</v>
      </c>
      <c r="Z282" s="25" t="str">
        <f>IF(VLOOKUP($G282, SeanRanks!$A$2:$H$303, 7, FALSE)=0, "", VLOOKUP($G282, SeanRanks!$A$2:$H$303, 7, FALSE))</f>
        <v/>
      </c>
    </row>
    <row r="283" spans="1:26" ht="14.25" customHeight="1" x14ac:dyDescent="0.25">
      <c r="A283" s="11"/>
      <c r="B283" s="11" t="e">
        <f t="shared" si="17"/>
        <v>#N/A</v>
      </c>
      <c r="C283" s="11" t="s">
        <v>148</v>
      </c>
      <c r="D283" s="11"/>
      <c r="E283" s="11"/>
      <c r="F283" s="11" t="e">
        <f>VLOOKUP(G283, SeanRanks!$A$2:$E$302, 4, FALSE)</f>
        <v>#N/A</v>
      </c>
      <c r="G283" s="11" t="s">
        <v>982</v>
      </c>
      <c r="H283" s="11" t="e">
        <f>VLOOKUP($G283, 'ADP Data'!$C$4:$Q$300, 2, FALSE)</f>
        <v>#N/A</v>
      </c>
      <c r="I283" s="11" t="e">
        <f>VLOOKUP(G283, 'ADP Data'!$C$4:$R$498, 12, FALSE)</f>
        <v>#N/A</v>
      </c>
      <c r="J283" s="11" t="e">
        <f>VLOOKUP($G283, SeanRanks!$A$2:$H$303, 5, FALSE)</f>
        <v>#N/A</v>
      </c>
      <c r="K283" s="11" t="e">
        <f>IF(VLOOKUP($G283, SeanRanks!$A$2:$H$303, 6, FALSE)=0, "", VLOOKUP($G283, SeanRanks!$A$2:$H$303, 6, FALSE))</f>
        <v>#N/A</v>
      </c>
      <c r="L283" s="11">
        <f t="shared" si="11"/>
        <v>16</v>
      </c>
      <c r="M283" s="11" t="e">
        <f>VLOOKUP($G283, 'ADP Data'!$C$4:$Q$300, 9, FALSE)</f>
        <v>#N/A</v>
      </c>
      <c r="N283" s="11" t="e">
        <f t="shared" si="12"/>
        <v>#N/A</v>
      </c>
      <c r="O283" s="11" t="e">
        <f>VLOOKUP($G283, 'ADP Data'!$C$4:$Q$300, 3, FALSE)</f>
        <v>#N/A</v>
      </c>
      <c r="P283" s="11" t="e">
        <f t="shared" si="13"/>
        <v>#N/A</v>
      </c>
      <c r="Q283" s="11" t="e">
        <f>VLOOKUP($G283, 'ADP Data'!$C$4:$Q$300, 4, FALSE)</f>
        <v>#N/A</v>
      </c>
      <c r="R283" s="11" t="e">
        <f>VLOOKUP($G283, 'ADP Data'!$C$4:$Q$300, 5, FALSE)</f>
        <v>#N/A</v>
      </c>
      <c r="S283" s="11" t="e">
        <f>VLOOKUP($G283, 'ADP Data'!$C$4:$Q$300, 6, FALSE)</f>
        <v>#N/A</v>
      </c>
      <c r="T283" s="11" t="e">
        <f>VLOOKUP($G283, 'ADP Data'!$C$4:$Q$300, 7, FALSE)</f>
        <v>#N/A</v>
      </c>
      <c r="U283" s="11" t="e">
        <f>VLOOKUP($G283, 'ADP Data'!$C$4:$Q$300, 8, FALSE)</f>
        <v>#N/A</v>
      </c>
      <c r="V283" s="11" t="e">
        <f t="shared" si="14"/>
        <v>#N/A</v>
      </c>
      <c r="W283" s="11">
        <f t="shared" si="15"/>
        <v>16</v>
      </c>
      <c r="X283" s="11">
        <f t="shared" si="16"/>
        <v>-16</v>
      </c>
      <c r="Y283" s="11" t="e">
        <f>VLOOKUP($G283, SeanRanks!$A$2:$K$303, 10, FALSE)-V283</f>
        <v>#N/A</v>
      </c>
      <c r="Z283" s="25" t="e">
        <f>IF(VLOOKUP($G283, SeanRanks!$A$2:$H$303, 7, FALSE)=0, "", VLOOKUP($G283, SeanRanks!$A$2:$H$303, 7, FALSE))</f>
        <v>#N/A</v>
      </c>
    </row>
    <row r="284" spans="1:26" ht="14.25" customHeight="1" x14ac:dyDescent="0.25">
      <c r="A284" s="11"/>
      <c r="B284" s="11" t="e">
        <f t="shared" si="17"/>
        <v>#N/A</v>
      </c>
      <c r="C284" s="11" t="s">
        <v>148</v>
      </c>
      <c r="D284" s="11"/>
      <c r="E284" s="11"/>
      <c r="F284" s="11" t="e">
        <f>VLOOKUP(G284, SeanRanks!$A$2:$E$302, 4, FALSE)</f>
        <v>#N/A</v>
      </c>
      <c r="G284" s="11" t="s">
        <v>977</v>
      </c>
      <c r="H284" s="11" t="e">
        <f>VLOOKUP($G284, 'ADP Data'!$C$4:$Q$300, 2, FALSE)</f>
        <v>#N/A</v>
      </c>
      <c r="I284" s="11" t="e">
        <f>VLOOKUP(G284, 'ADP Data'!$C$4:$R$498, 12, FALSE)</f>
        <v>#N/A</v>
      </c>
      <c r="J284" s="11" t="e">
        <f>VLOOKUP($G284, SeanRanks!$A$2:$H$303, 5, FALSE)</f>
        <v>#N/A</v>
      </c>
      <c r="K284" s="11" t="e">
        <f>IF(VLOOKUP($G284, SeanRanks!$A$2:$H$303, 6, FALSE)=0, "", VLOOKUP($G284, SeanRanks!$A$2:$H$303, 6, FALSE))</f>
        <v>#N/A</v>
      </c>
      <c r="L284" s="11">
        <f t="shared" si="11"/>
        <v>16</v>
      </c>
      <c r="M284" s="11" t="e">
        <f>VLOOKUP($G284, 'ADP Data'!$C$4:$Q$300, 9, FALSE)</f>
        <v>#N/A</v>
      </c>
      <c r="N284" s="11" t="e">
        <f t="shared" si="12"/>
        <v>#N/A</v>
      </c>
      <c r="O284" s="11" t="e">
        <f>VLOOKUP($G284, 'ADP Data'!$C$4:$Q$300, 3, FALSE)</f>
        <v>#N/A</v>
      </c>
      <c r="P284" s="11" t="e">
        <f t="shared" si="13"/>
        <v>#N/A</v>
      </c>
      <c r="Q284" s="11" t="e">
        <f>VLOOKUP($G284, 'ADP Data'!$C$4:$Q$300, 4, FALSE)</f>
        <v>#N/A</v>
      </c>
      <c r="R284" s="11" t="e">
        <f>VLOOKUP($G284, 'ADP Data'!$C$4:$Q$300, 5, FALSE)</f>
        <v>#N/A</v>
      </c>
      <c r="S284" s="11" t="e">
        <f>VLOOKUP($G284, 'ADP Data'!$C$4:$Q$300, 6, FALSE)</f>
        <v>#N/A</v>
      </c>
      <c r="T284" s="11" t="e">
        <f>VLOOKUP($G284, 'ADP Data'!$C$4:$Q$300, 7, FALSE)</f>
        <v>#N/A</v>
      </c>
      <c r="U284" s="11" t="e">
        <f>VLOOKUP($G284, 'ADP Data'!$C$4:$Q$300, 8, FALSE)</f>
        <v>#N/A</v>
      </c>
      <c r="V284" s="11" t="e">
        <f t="shared" si="14"/>
        <v>#N/A</v>
      </c>
      <c r="W284" s="11">
        <f t="shared" si="15"/>
        <v>16</v>
      </c>
      <c r="X284" s="11">
        <f t="shared" si="16"/>
        <v>-16</v>
      </c>
      <c r="Y284" s="11" t="e">
        <f>VLOOKUP($G284, SeanRanks!$A$2:$K$303, 10, FALSE)-V284</f>
        <v>#N/A</v>
      </c>
      <c r="Z284" s="25" t="e">
        <f>IF(VLOOKUP($G284, SeanRanks!$A$2:$H$303, 7, FALSE)=0, "", VLOOKUP($G284, SeanRanks!$A$2:$H$303, 7, FALSE))</f>
        <v>#N/A</v>
      </c>
    </row>
    <row r="285" spans="1:26" ht="14.25" customHeight="1" x14ac:dyDescent="0.25">
      <c r="A285" s="11"/>
      <c r="B285" s="11" t="e">
        <f t="shared" si="17"/>
        <v>#N/A</v>
      </c>
      <c r="C285" s="11" t="s">
        <v>148</v>
      </c>
      <c r="D285" s="11"/>
      <c r="E285" s="11"/>
      <c r="F285" s="11" t="e">
        <f>VLOOKUP(G285, SeanRanks!$A$2:$E$302, 4, FALSE)</f>
        <v>#N/A</v>
      </c>
      <c r="G285" s="11" t="s">
        <v>825</v>
      </c>
      <c r="H285" s="11" t="e">
        <f>VLOOKUP($G285, 'ADP Data'!$C$4:$Q$300, 2, FALSE)</f>
        <v>#N/A</v>
      </c>
      <c r="I285" s="11" t="e">
        <f>VLOOKUP(G285, 'ADP Data'!$C$4:$R$498, 12, FALSE)</f>
        <v>#N/A</v>
      </c>
      <c r="J285" s="11" t="e">
        <f>VLOOKUP($G285, SeanRanks!$A$2:$H$303, 5, FALSE)</f>
        <v>#N/A</v>
      </c>
      <c r="K285" s="11" t="e">
        <f>IF(VLOOKUP($G285, SeanRanks!$A$2:$H$303, 6, FALSE)=0, "", VLOOKUP($G285, SeanRanks!$A$2:$H$303, 6, FALSE))</f>
        <v>#N/A</v>
      </c>
      <c r="L285" s="11">
        <f t="shared" si="11"/>
        <v>16</v>
      </c>
      <c r="M285" s="11" t="e">
        <f>VLOOKUP($G285, 'ADP Data'!$C$4:$Q$300, 9, FALSE)</f>
        <v>#N/A</v>
      </c>
      <c r="N285" s="11" t="e">
        <f t="shared" si="12"/>
        <v>#N/A</v>
      </c>
      <c r="O285" s="11" t="e">
        <f>VLOOKUP($G285, 'ADP Data'!$C$4:$Q$300, 3, FALSE)</f>
        <v>#N/A</v>
      </c>
      <c r="P285" s="11" t="e">
        <f t="shared" si="13"/>
        <v>#N/A</v>
      </c>
      <c r="Q285" s="11" t="e">
        <f>VLOOKUP($G285, 'ADP Data'!$C$4:$Q$300, 4, FALSE)</f>
        <v>#N/A</v>
      </c>
      <c r="R285" s="11" t="e">
        <f>VLOOKUP($G285, 'ADP Data'!$C$4:$Q$300, 5, FALSE)</f>
        <v>#N/A</v>
      </c>
      <c r="S285" s="11" t="e">
        <f>VLOOKUP($G285, 'ADP Data'!$C$4:$Q$300, 6, FALSE)</f>
        <v>#N/A</v>
      </c>
      <c r="T285" s="11" t="e">
        <f>VLOOKUP($G285, 'ADP Data'!$C$4:$Q$300, 7, FALSE)</f>
        <v>#N/A</v>
      </c>
      <c r="U285" s="11" t="e">
        <f>VLOOKUP($G285, 'ADP Data'!$C$4:$Q$300, 8, FALSE)</f>
        <v>#N/A</v>
      </c>
      <c r="V285" s="11" t="e">
        <f t="shared" si="14"/>
        <v>#N/A</v>
      </c>
      <c r="W285" s="11">
        <f t="shared" si="15"/>
        <v>16</v>
      </c>
      <c r="X285" s="11">
        <f t="shared" si="16"/>
        <v>-16</v>
      </c>
      <c r="Y285" s="11" t="e">
        <f>VLOOKUP($G285, SeanRanks!$A$2:$K$303, 10, FALSE)-V285</f>
        <v>#N/A</v>
      </c>
      <c r="Z285" s="25" t="e">
        <f>IF(VLOOKUP($G285, SeanRanks!$A$2:$H$303, 7, FALSE)=0, "", VLOOKUP($G285, SeanRanks!$A$2:$H$303, 7, FALSE))</f>
        <v>#N/A</v>
      </c>
    </row>
    <row r="286" spans="1:26" ht="14.25" customHeight="1" x14ac:dyDescent="0.25">
      <c r="A286" s="11"/>
      <c r="B286" s="11" t="e">
        <f t="shared" si="17"/>
        <v>#N/A</v>
      </c>
      <c r="C286" s="11" t="s">
        <v>148</v>
      </c>
      <c r="D286" s="11"/>
      <c r="E286" s="11"/>
      <c r="F286" s="11" t="e">
        <f>VLOOKUP(G286, SeanRanks!$A$2:$E$302, 4, FALSE)</f>
        <v>#N/A</v>
      </c>
      <c r="G286" s="11" t="s">
        <v>979</v>
      </c>
      <c r="H286" s="11" t="e">
        <f>VLOOKUP($G286, 'ADP Data'!$C$4:$Q$300, 2, FALSE)</f>
        <v>#N/A</v>
      </c>
      <c r="I286" s="11" t="e">
        <f>VLOOKUP(G286, 'ADP Data'!$C$4:$R$498, 12, FALSE)</f>
        <v>#N/A</v>
      </c>
      <c r="J286" s="11" t="e">
        <f>VLOOKUP($G286, SeanRanks!$A$2:$H$303, 5, FALSE)</f>
        <v>#N/A</v>
      </c>
      <c r="K286" s="11" t="e">
        <f>IF(VLOOKUP($G286, SeanRanks!$A$2:$H$303, 6, FALSE)=0, "", VLOOKUP($G286, SeanRanks!$A$2:$H$303, 6, FALSE))</f>
        <v>#N/A</v>
      </c>
      <c r="L286" s="11">
        <f t="shared" si="11"/>
        <v>16</v>
      </c>
      <c r="M286" s="11" t="e">
        <f>VLOOKUP($G286, 'ADP Data'!$C$4:$Q$300, 9, FALSE)</f>
        <v>#N/A</v>
      </c>
      <c r="N286" s="11" t="e">
        <f t="shared" si="12"/>
        <v>#N/A</v>
      </c>
      <c r="O286" s="11" t="e">
        <f>VLOOKUP($G286, 'ADP Data'!$C$4:$Q$300, 3, FALSE)</f>
        <v>#N/A</v>
      </c>
      <c r="P286" s="11" t="e">
        <f t="shared" si="13"/>
        <v>#N/A</v>
      </c>
      <c r="Q286" s="11" t="e">
        <f>VLOOKUP($G286, 'ADP Data'!$C$4:$Q$300, 4, FALSE)</f>
        <v>#N/A</v>
      </c>
      <c r="R286" s="11" t="e">
        <f>VLOOKUP($G286, 'ADP Data'!$C$4:$Q$300, 5, FALSE)</f>
        <v>#N/A</v>
      </c>
      <c r="S286" s="11" t="e">
        <f>VLOOKUP($G286, 'ADP Data'!$C$4:$Q$300, 6, FALSE)</f>
        <v>#N/A</v>
      </c>
      <c r="T286" s="11" t="e">
        <f>VLOOKUP($G286, 'ADP Data'!$C$4:$Q$300, 7, FALSE)</f>
        <v>#N/A</v>
      </c>
      <c r="U286" s="11" t="e">
        <f>VLOOKUP($G286, 'ADP Data'!$C$4:$Q$300, 8, FALSE)</f>
        <v>#N/A</v>
      </c>
      <c r="V286" s="11" t="e">
        <f t="shared" si="14"/>
        <v>#N/A</v>
      </c>
      <c r="W286" s="11">
        <f t="shared" si="15"/>
        <v>16</v>
      </c>
      <c r="X286" s="11">
        <f t="shared" si="16"/>
        <v>-16</v>
      </c>
      <c r="Y286" s="11" t="e">
        <f>VLOOKUP($G286, SeanRanks!$A$2:$K$303, 10, FALSE)-V286</f>
        <v>#N/A</v>
      </c>
      <c r="Z286" s="25" t="e">
        <f>IF(VLOOKUP($G286, SeanRanks!$A$2:$H$303, 7, FALSE)=0, "", VLOOKUP($G286, SeanRanks!$A$2:$H$303, 7, FALSE))</f>
        <v>#N/A</v>
      </c>
    </row>
    <row r="287" spans="1:26" ht="14.25" customHeight="1" x14ac:dyDescent="0.25">
      <c r="A287" s="11"/>
      <c r="B287" s="11" t="e">
        <f t="shared" si="17"/>
        <v>#N/A</v>
      </c>
      <c r="C287" s="11" t="s">
        <v>148</v>
      </c>
      <c r="D287" s="11"/>
      <c r="E287" s="11"/>
      <c r="F287" s="11" t="e">
        <f>VLOOKUP(G287, SeanRanks!$A$2:$E$302, 4, FALSE)</f>
        <v>#N/A</v>
      </c>
      <c r="G287" s="11" t="s">
        <v>976</v>
      </c>
      <c r="H287" s="11" t="e">
        <f>VLOOKUP($G287, 'ADP Data'!$C$4:$Q$300, 2, FALSE)</f>
        <v>#N/A</v>
      </c>
      <c r="I287" s="11" t="e">
        <f>VLOOKUP(G287, 'ADP Data'!$C$4:$R$498, 12, FALSE)</f>
        <v>#N/A</v>
      </c>
      <c r="J287" s="11" t="e">
        <f>VLOOKUP($G287, SeanRanks!$A$2:$H$303, 5, FALSE)</f>
        <v>#N/A</v>
      </c>
      <c r="K287" s="11" t="e">
        <f>IF(VLOOKUP($G287, SeanRanks!$A$2:$H$303, 6, FALSE)=0, "", VLOOKUP($G287, SeanRanks!$A$2:$H$303, 6, FALSE))</f>
        <v>#N/A</v>
      </c>
      <c r="L287" s="11">
        <f t="shared" si="11"/>
        <v>16</v>
      </c>
      <c r="M287" s="11" t="e">
        <f>VLOOKUP($G287, 'ADP Data'!$C$4:$Q$300, 9, FALSE)</f>
        <v>#N/A</v>
      </c>
      <c r="N287" s="11" t="e">
        <f t="shared" si="12"/>
        <v>#N/A</v>
      </c>
      <c r="O287" s="11" t="e">
        <f>VLOOKUP($G287, 'ADP Data'!$C$4:$Q$300, 3, FALSE)</f>
        <v>#N/A</v>
      </c>
      <c r="P287" s="11" t="e">
        <f t="shared" si="13"/>
        <v>#N/A</v>
      </c>
      <c r="Q287" s="11" t="e">
        <f>VLOOKUP($G287, 'ADP Data'!$C$4:$Q$300, 4, FALSE)</f>
        <v>#N/A</v>
      </c>
      <c r="R287" s="11" t="e">
        <f>VLOOKUP($G287, 'ADP Data'!$C$4:$Q$300, 5, FALSE)</f>
        <v>#N/A</v>
      </c>
      <c r="S287" s="11" t="e">
        <f>VLOOKUP($G287, 'ADP Data'!$C$4:$Q$300, 6, FALSE)</f>
        <v>#N/A</v>
      </c>
      <c r="T287" s="11" t="e">
        <f>VLOOKUP($G287, 'ADP Data'!$C$4:$Q$300, 7, FALSE)</f>
        <v>#N/A</v>
      </c>
      <c r="U287" s="11" t="e">
        <f>VLOOKUP($G287, 'ADP Data'!$C$4:$Q$300, 8, FALSE)</f>
        <v>#N/A</v>
      </c>
      <c r="V287" s="11" t="e">
        <f t="shared" si="14"/>
        <v>#N/A</v>
      </c>
      <c r="W287" s="11">
        <f t="shared" si="15"/>
        <v>16</v>
      </c>
      <c r="X287" s="11">
        <f t="shared" si="16"/>
        <v>-16</v>
      </c>
      <c r="Y287" s="11" t="e">
        <f>VLOOKUP($G287, SeanRanks!$A$2:$K$303, 10, FALSE)-V287</f>
        <v>#N/A</v>
      </c>
      <c r="Z287" s="25" t="e">
        <f>IF(VLOOKUP($G287, SeanRanks!$A$2:$H$303, 7, FALSE)=0, "", VLOOKUP($G287, SeanRanks!$A$2:$H$303, 7, FALSE))</f>
        <v>#N/A</v>
      </c>
    </row>
    <row r="288" spans="1:26" ht="14.25" customHeight="1" x14ac:dyDescent="0.25">
      <c r="A288" s="11"/>
      <c r="B288" s="11" t="e">
        <f t="shared" si="17"/>
        <v>#N/A</v>
      </c>
      <c r="C288" s="11" t="s">
        <v>148</v>
      </c>
      <c r="D288" s="11"/>
      <c r="E288" s="11"/>
      <c r="F288" s="11" t="e">
        <f>VLOOKUP(G288, SeanRanks!$A$2:$E$302, 4, FALSE)</f>
        <v>#N/A</v>
      </c>
      <c r="G288" s="11" t="s">
        <v>983</v>
      </c>
      <c r="H288" s="11" t="e">
        <f>VLOOKUP($G288, 'ADP Data'!$C$4:$Q$300, 2, FALSE)</f>
        <v>#N/A</v>
      </c>
      <c r="I288" s="11" t="e">
        <f>VLOOKUP(G288, 'ADP Data'!$C$4:$R$498, 12, FALSE)</f>
        <v>#N/A</v>
      </c>
      <c r="J288" s="11" t="e">
        <f>VLOOKUP($G288, SeanRanks!$A$2:$H$303, 5, FALSE)</f>
        <v>#N/A</v>
      </c>
      <c r="K288" s="11" t="e">
        <f>IF(VLOOKUP($G288, SeanRanks!$A$2:$H$303, 6, FALSE)=0, "", VLOOKUP($G288, SeanRanks!$A$2:$H$303, 6, FALSE))</f>
        <v>#N/A</v>
      </c>
      <c r="L288" s="11">
        <f t="shared" si="11"/>
        <v>16</v>
      </c>
      <c r="M288" s="11" t="e">
        <f>VLOOKUP($G288, 'ADP Data'!$C$4:$Q$300, 9, FALSE)</f>
        <v>#N/A</v>
      </c>
      <c r="N288" s="11" t="e">
        <f t="shared" si="12"/>
        <v>#N/A</v>
      </c>
      <c r="O288" s="11" t="e">
        <f>VLOOKUP($G288, 'ADP Data'!$C$4:$Q$300, 3, FALSE)</f>
        <v>#N/A</v>
      </c>
      <c r="P288" s="11" t="e">
        <f t="shared" si="13"/>
        <v>#N/A</v>
      </c>
      <c r="Q288" s="11" t="e">
        <f>VLOOKUP($G288, 'ADP Data'!$C$4:$Q$300, 4, FALSE)</f>
        <v>#N/A</v>
      </c>
      <c r="R288" s="11" t="e">
        <f>VLOOKUP($G288, 'ADP Data'!$C$4:$Q$300, 5, FALSE)</f>
        <v>#N/A</v>
      </c>
      <c r="S288" s="11" t="e">
        <f>VLOOKUP($G288, 'ADP Data'!$C$4:$Q$300, 6, FALSE)</f>
        <v>#N/A</v>
      </c>
      <c r="T288" s="11" t="e">
        <f>VLOOKUP($G288, 'ADP Data'!$C$4:$Q$300, 7, FALSE)</f>
        <v>#N/A</v>
      </c>
      <c r="U288" s="11" t="e">
        <f>VLOOKUP($G288, 'ADP Data'!$C$4:$Q$300, 8, FALSE)</f>
        <v>#N/A</v>
      </c>
      <c r="V288" s="11" t="e">
        <f t="shared" si="14"/>
        <v>#N/A</v>
      </c>
      <c r="W288" s="11">
        <f t="shared" si="15"/>
        <v>16</v>
      </c>
      <c r="X288" s="11">
        <f t="shared" si="16"/>
        <v>-16</v>
      </c>
      <c r="Y288" s="11" t="e">
        <f>VLOOKUP($G288, SeanRanks!$A$2:$K$303, 10, FALSE)-V288</f>
        <v>#N/A</v>
      </c>
      <c r="Z288" s="25" t="e">
        <f>IF(VLOOKUP($G288, SeanRanks!$A$2:$H$303, 7, FALSE)=0, "", VLOOKUP($G288, SeanRanks!$A$2:$H$303, 7, FALSE))</f>
        <v>#N/A</v>
      </c>
    </row>
    <row r="289" spans="1:26" ht="14.25" customHeight="1" x14ac:dyDescent="0.25">
      <c r="A289" s="11"/>
      <c r="B289" s="11">
        <f t="shared" si="17"/>
        <v>12</v>
      </c>
      <c r="C289" s="11" t="s">
        <v>148</v>
      </c>
      <c r="D289" s="11"/>
      <c r="E289" s="11"/>
      <c r="F289" s="11">
        <f>VLOOKUP(G289, SeanRanks!$A$2:$E$302, 4, FALSE)</f>
        <v>0</v>
      </c>
      <c r="G289" s="11" t="s">
        <v>568</v>
      </c>
      <c r="H289" s="11" t="str">
        <f>VLOOKUP($G289, 'ADP Data'!$C$4:$Q$300, 2, FALSE)</f>
        <v>LAC</v>
      </c>
      <c r="I289" s="11" t="str">
        <f>VLOOKUP(G289, 'ADP Data'!$C$4:$R$498, 12, FALSE)</f>
        <v>-</v>
      </c>
      <c r="J289" s="11">
        <f>VLOOKUP($G289, SeanRanks!$A$2:$H$303, 5, FALSE)</f>
        <v>0</v>
      </c>
      <c r="K289" s="11" t="str">
        <f>IF(VLOOKUP($G289, SeanRanks!$A$2:$H$303, 6, FALSE)=0, "", VLOOKUP($G289, SeanRanks!$A$2:$H$303, 6, FALSE))</f>
        <v/>
      </c>
      <c r="L289" s="11">
        <f t="shared" si="11"/>
        <v>12</v>
      </c>
      <c r="M289" s="11">
        <f>VLOOKUP($G289, 'ADP Data'!$C$4:$Q$300, 9, FALSE)</f>
        <v>132</v>
      </c>
      <c r="N289" s="11">
        <f t="shared" si="12"/>
        <v>-12</v>
      </c>
      <c r="O289" s="11">
        <f>VLOOKUP($G289, 'ADP Data'!$C$4:$Q$300, 3, FALSE)</f>
        <v>157</v>
      </c>
      <c r="P289" s="11">
        <f t="shared" si="13"/>
        <v>-25</v>
      </c>
      <c r="Q289" s="11"/>
      <c r="R289" s="11"/>
      <c r="S289" s="11"/>
      <c r="T289" s="11"/>
      <c r="U289" s="11"/>
      <c r="V289" s="11">
        <f t="shared" si="14"/>
        <v>144</v>
      </c>
      <c r="W289" s="11">
        <f t="shared" si="15"/>
        <v>13</v>
      </c>
      <c r="X289" s="11">
        <f t="shared" si="16"/>
        <v>-13</v>
      </c>
      <c r="Y289" s="11">
        <f>VLOOKUP($G289, SeanRanks!$A$2:$K$303, 10, FALSE)-V289</f>
        <v>49</v>
      </c>
      <c r="Z289" s="25" t="str">
        <f>IF(VLOOKUP($G289, SeanRanks!$A$2:$H$303, 7, FALSE)=0, "", VLOOKUP($G289, SeanRanks!$A$2:$H$303, 7, FALSE))</f>
        <v/>
      </c>
    </row>
    <row r="290" spans="1:26" ht="14.25" customHeight="1" x14ac:dyDescent="0.25">
      <c r="A290" s="11"/>
      <c r="B290" s="11" t="e">
        <f t="shared" si="17"/>
        <v>#N/A</v>
      </c>
      <c r="C290" s="11" t="s">
        <v>148</v>
      </c>
      <c r="D290" s="11"/>
      <c r="E290" s="11"/>
      <c r="F290" s="11" t="e">
        <f>VLOOKUP(G290, SeanRanks!$A$2:$E$302, 4, FALSE)</f>
        <v>#N/A</v>
      </c>
      <c r="G290" s="11" t="s">
        <v>984</v>
      </c>
      <c r="H290" s="11" t="e">
        <f>VLOOKUP($G290, 'ADP Data'!$C$4:$Q$300, 2, FALSE)</f>
        <v>#N/A</v>
      </c>
      <c r="I290" s="11" t="e">
        <f>VLOOKUP(G290, 'ADP Data'!$C$4:$R$498, 12, FALSE)</f>
        <v>#N/A</v>
      </c>
      <c r="J290" s="11" t="e">
        <f>VLOOKUP($G290, SeanRanks!$A$2:$H$303, 5, FALSE)</f>
        <v>#N/A</v>
      </c>
      <c r="K290" s="11" t="e">
        <f>IF(VLOOKUP($G290, SeanRanks!$A$2:$H$303, 6, FALSE)=0, "", VLOOKUP($G290, SeanRanks!$A$2:$H$303, 6, FALSE))</f>
        <v>#N/A</v>
      </c>
      <c r="L290" s="11">
        <f t="shared" si="11"/>
        <v>16</v>
      </c>
      <c r="M290" s="11" t="e">
        <f>VLOOKUP($G290, 'ADP Data'!$C$4:$Q$300, 9, FALSE)</f>
        <v>#N/A</v>
      </c>
      <c r="N290" s="11" t="e">
        <f t="shared" si="12"/>
        <v>#N/A</v>
      </c>
      <c r="O290" s="11" t="e">
        <f>VLOOKUP($G290, 'ADP Data'!$C$4:$Q$300, 3, FALSE)</f>
        <v>#N/A</v>
      </c>
      <c r="P290" s="11" t="e">
        <f t="shared" si="13"/>
        <v>#N/A</v>
      </c>
      <c r="Q290" s="11"/>
      <c r="R290" s="11"/>
      <c r="S290" s="11"/>
      <c r="T290" s="11"/>
      <c r="U290" s="11"/>
      <c r="V290" s="11" t="e">
        <f t="shared" si="14"/>
        <v>#N/A</v>
      </c>
      <c r="W290" s="11">
        <f t="shared" si="15"/>
        <v>16</v>
      </c>
      <c r="X290" s="11">
        <f t="shared" si="16"/>
        <v>-16</v>
      </c>
      <c r="Y290" s="11" t="e">
        <f>VLOOKUP($G290, SeanRanks!$A$2:$K$303, 10, FALSE)-V290</f>
        <v>#N/A</v>
      </c>
      <c r="Z290" s="25" t="e">
        <f>IF(VLOOKUP($G290, SeanRanks!$A$2:$H$303, 7, FALSE)=0, "", VLOOKUP($G290, SeanRanks!$A$2:$H$303, 7, FALSE))</f>
        <v>#N/A</v>
      </c>
    </row>
    <row r="291" spans="1:26" ht="14.25" customHeight="1" x14ac:dyDescent="0.25">
      <c r="A291" s="11"/>
      <c r="B291" s="11">
        <f t="shared" si="17"/>
        <v>22</v>
      </c>
      <c r="C291" s="11" t="s">
        <v>148</v>
      </c>
      <c r="D291" s="11"/>
      <c r="E291" s="11"/>
      <c r="F291" s="11" t="e">
        <f>VLOOKUP(G291, SeanRanks!$A$2:$E$302, 4, FALSE)</f>
        <v>#N/A</v>
      </c>
      <c r="G291" s="11" t="s">
        <v>985</v>
      </c>
      <c r="H291" s="11" t="str">
        <f>VLOOKUP($G291, 'ADP Data'!$C$4:$Q$300, 2, FALSE)</f>
        <v>WAS</v>
      </c>
      <c r="I291" s="11" t="str">
        <f>VLOOKUP(G291, 'ADP Data'!$C$4:$R$498, 12, FALSE)</f>
        <v>-</v>
      </c>
      <c r="J291" s="11" t="e">
        <f>VLOOKUP($G291, SeanRanks!$A$2:$H$303, 5, FALSE)</f>
        <v>#N/A</v>
      </c>
      <c r="K291" s="11" t="e">
        <f>IF(VLOOKUP($G291, SeanRanks!$A$2:$H$303, 6, FALSE)=0, "", VLOOKUP($G291, SeanRanks!$A$2:$H$303, 6, FALSE))</f>
        <v>#N/A</v>
      </c>
      <c r="L291" s="11">
        <f t="shared" si="11"/>
        <v>22</v>
      </c>
      <c r="M291" s="11">
        <f>VLOOKUP($G291, 'ADP Data'!$C$4:$Q$300, 9, FALSE)</f>
        <v>257</v>
      </c>
      <c r="N291" s="11">
        <f t="shared" si="12"/>
        <v>52</v>
      </c>
      <c r="O291" s="11">
        <f>VLOOKUP($G291, 'ADP Data'!$C$4:$Q$300, 3, FALSE)</f>
        <v>153</v>
      </c>
      <c r="P291" s="11">
        <f t="shared" si="13"/>
        <v>104</v>
      </c>
      <c r="Q291" s="11"/>
      <c r="R291" s="11"/>
      <c r="S291" s="11"/>
      <c r="T291" s="11"/>
      <c r="U291" s="11"/>
      <c r="V291" s="11">
        <f t="shared" si="14"/>
        <v>205</v>
      </c>
      <c r="W291" s="11">
        <f t="shared" si="15"/>
        <v>18</v>
      </c>
      <c r="X291" s="11">
        <f t="shared" si="16"/>
        <v>-18</v>
      </c>
      <c r="Y291" s="11" t="e">
        <f>VLOOKUP($G291, SeanRanks!$A$2:$K$303, 10, FALSE)-V291</f>
        <v>#N/A</v>
      </c>
      <c r="Z291" s="25" t="e">
        <f>IF(VLOOKUP($G291, SeanRanks!$A$2:$H$303, 7, FALSE)=0, "", VLOOKUP($G291, SeanRanks!$A$2:$H$303, 7, FALSE))</f>
        <v>#N/A</v>
      </c>
    </row>
    <row r="292" spans="1:26" ht="14.25" customHeight="1" x14ac:dyDescent="0.25">
      <c r="A292" s="11"/>
      <c r="B292" s="11" t="e">
        <f t="shared" si="17"/>
        <v>#N/A</v>
      </c>
      <c r="C292" s="11" t="s">
        <v>148</v>
      </c>
      <c r="D292" s="11"/>
      <c r="E292" s="11"/>
      <c r="F292" s="11" t="e">
        <f>VLOOKUP(G292, SeanRanks!$A$2:$E$302, 4, FALSE)</f>
        <v>#N/A</v>
      </c>
      <c r="G292" s="11" t="s">
        <v>564</v>
      </c>
      <c r="H292" s="11" t="e">
        <f>VLOOKUP($G292, 'ADP Data'!$C$4:$Q$300, 2, FALSE)</f>
        <v>#N/A</v>
      </c>
      <c r="I292" s="11" t="e">
        <f>VLOOKUP(G292, 'ADP Data'!$C$4:$R$498, 12, FALSE)</f>
        <v>#N/A</v>
      </c>
      <c r="J292" s="11" t="e">
        <f>VLOOKUP($G292, SeanRanks!$A$2:$H$303, 5, FALSE)</f>
        <v>#N/A</v>
      </c>
      <c r="K292" s="11" t="e">
        <f>IF(VLOOKUP($G292, SeanRanks!$A$2:$H$303, 6, FALSE)=0, "", VLOOKUP($G292, SeanRanks!$A$2:$H$303, 6, FALSE))</f>
        <v>#N/A</v>
      </c>
      <c r="L292" s="11">
        <f t="shared" si="11"/>
        <v>16</v>
      </c>
      <c r="M292" s="11" t="e">
        <f>VLOOKUP($G292, 'ADP Data'!$C$4:$Q$300, 9, FALSE)</f>
        <v>#N/A</v>
      </c>
      <c r="N292" s="11" t="e">
        <f t="shared" si="12"/>
        <v>#N/A</v>
      </c>
      <c r="O292" s="11" t="e">
        <f>VLOOKUP($G292, 'ADP Data'!$C$4:$Q$300, 3, FALSE)</f>
        <v>#N/A</v>
      </c>
      <c r="P292" s="11" t="e">
        <f t="shared" si="13"/>
        <v>#N/A</v>
      </c>
      <c r="Q292" s="11"/>
      <c r="R292" s="11"/>
      <c r="S292" s="11"/>
      <c r="T292" s="11"/>
      <c r="U292" s="11"/>
      <c r="V292" s="11" t="e">
        <f t="shared" si="14"/>
        <v>#N/A</v>
      </c>
      <c r="W292" s="11">
        <f t="shared" si="15"/>
        <v>16</v>
      </c>
      <c r="X292" s="11">
        <f t="shared" si="16"/>
        <v>-16</v>
      </c>
      <c r="Y292" s="11" t="e">
        <f>VLOOKUP($G292, SeanRanks!$A$2:$K$303, 10, FALSE)-V292</f>
        <v>#N/A</v>
      </c>
      <c r="Z292" s="25" t="e">
        <f>IF(VLOOKUP($G292, SeanRanks!$A$2:$H$303, 7, FALSE)=0, "", VLOOKUP($G292, SeanRanks!$A$2:$H$303, 7, FALSE))</f>
        <v>#N/A</v>
      </c>
    </row>
    <row r="293" spans="1:26" ht="14.25" customHeight="1" x14ac:dyDescent="0.25">
      <c r="A293" s="11"/>
      <c r="B293" s="11" t="e">
        <f t="shared" si="17"/>
        <v>#N/A</v>
      </c>
      <c r="C293" s="11" t="s">
        <v>148</v>
      </c>
      <c r="D293" s="11"/>
      <c r="E293" s="11"/>
      <c r="F293" s="11" t="e">
        <f>VLOOKUP(G293, SeanRanks!$A$2:$E$302, 4, FALSE)</f>
        <v>#N/A</v>
      </c>
      <c r="G293" s="11" t="s">
        <v>986</v>
      </c>
      <c r="H293" s="11" t="e">
        <f>VLOOKUP($G293, 'ADP Data'!$C$4:$Q$300, 2, FALSE)</f>
        <v>#N/A</v>
      </c>
      <c r="I293" s="11" t="e">
        <f>VLOOKUP(G293, 'ADP Data'!$C$4:$R$498, 12, FALSE)</f>
        <v>#N/A</v>
      </c>
      <c r="J293" s="11" t="e">
        <f>VLOOKUP($G293, SeanRanks!$A$2:$H$303, 5, FALSE)</f>
        <v>#N/A</v>
      </c>
      <c r="K293" s="11" t="e">
        <f>IF(VLOOKUP($G293, SeanRanks!$A$2:$H$303, 6, FALSE)=0, "", VLOOKUP($G293, SeanRanks!$A$2:$H$303, 6, FALSE))</f>
        <v>#N/A</v>
      </c>
      <c r="L293" s="11">
        <f t="shared" si="11"/>
        <v>16</v>
      </c>
      <c r="M293" s="11" t="e">
        <f>VLOOKUP($G293, 'ADP Data'!$C$4:$Q$300, 9, FALSE)</f>
        <v>#N/A</v>
      </c>
      <c r="N293" s="11" t="e">
        <f t="shared" si="12"/>
        <v>#N/A</v>
      </c>
      <c r="O293" s="11" t="e">
        <f>VLOOKUP($G293, 'ADP Data'!$C$4:$Q$300, 3, FALSE)</f>
        <v>#N/A</v>
      </c>
      <c r="P293" s="11" t="e">
        <f t="shared" si="13"/>
        <v>#N/A</v>
      </c>
      <c r="Q293" s="11"/>
      <c r="R293" s="11"/>
      <c r="S293" s="11"/>
      <c r="T293" s="11"/>
      <c r="U293" s="11"/>
      <c r="V293" s="11" t="e">
        <f t="shared" si="14"/>
        <v>#N/A</v>
      </c>
      <c r="W293" s="11">
        <f t="shared" si="15"/>
        <v>16</v>
      </c>
      <c r="X293" s="11">
        <f t="shared" si="16"/>
        <v>-16</v>
      </c>
      <c r="Y293" s="11" t="e">
        <f>VLOOKUP($G293, SeanRanks!$A$2:$K$303, 10, FALSE)-V293</f>
        <v>#N/A</v>
      </c>
      <c r="Z293" s="25" t="e">
        <f>IF(VLOOKUP($G293, SeanRanks!$A$2:$H$303, 7, FALSE)=0, "", VLOOKUP($G293, SeanRanks!$A$2:$H$303, 7, FALSE))</f>
        <v>#N/A</v>
      </c>
    </row>
    <row r="294" spans="1:26" ht="14.25" customHeight="1" x14ac:dyDescent="0.25">
      <c r="A294" s="11"/>
      <c r="B294" s="11" t="e">
        <f t="shared" si="17"/>
        <v>#N/A</v>
      </c>
      <c r="C294" s="11" t="s">
        <v>148</v>
      </c>
      <c r="D294" s="11"/>
      <c r="E294" s="11"/>
      <c r="F294" s="11" t="e">
        <f>VLOOKUP(G294, SeanRanks!$A$2:$E$302, 4, FALSE)</f>
        <v>#N/A</v>
      </c>
      <c r="G294" s="11" t="s">
        <v>987</v>
      </c>
      <c r="H294" s="11" t="e">
        <f>VLOOKUP($G294, 'ADP Data'!$C$4:$Q$300, 2, FALSE)</f>
        <v>#N/A</v>
      </c>
      <c r="I294" s="11" t="e">
        <f>VLOOKUP(G294, 'ADP Data'!$C$4:$R$498, 12, FALSE)</f>
        <v>#N/A</v>
      </c>
      <c r="J294" s="11" t="e">
        <f>VLOOKUP($G294, SeanRanks!$A$2:$H$303, 5, FALSE)</f>
        <v>#N/A</v>
      </c>
      <c r="K294" s="11" t="e">
        <f>IF(VLOOKUP($G294, SeanRanks!$A$2:$H$303, 6, FALSE)=0, "", VLOOKUP($G294, SeanRanks!$A$2:$H$303, 6, FALSE))</f>
        <v>#N/A</v>
      </c>
      <c r="L294" s="11">
        <f t="shared" si="11"/>
        <v>16</v>
      </c>
      <c r="M294" s="11" t="e">
        <f>VLOOKUP($G294, 'ADP Data'!$C$4:$Q$300, 9, FALSE)</f>
        <v>#N/A</v>
      </c>
      <c r="N294" s="11" t="e">
        <f t="shared" si="12"/>
        <v>#N/A</v>
      </c>
      <c r="O294" s="11" t="e">
        <f>VLOOKUP($G294, 'ADP Data'!$C$4:$Q$300, 3, FALSE)</f>
        <v>#N/A</v>
      </c>
      <c r="P294" s="11" t="e">
        <f t="shared" si="13"/>
        <v>#N/A</v>
      </c>
      <c r="Q294" s="11" t="e">
        <f>VLOOKUP($G294, 'ADP Data'!$C$4:$Q$300, 4, FALSE)</f>
        <v>#N/A</v>
      </c>
      <c r="R294" s="11" t="e">
        <f>VLOOKUP($G294, 'ADP Data'!$C$4:$Q$300, 5, FALSE)</f>
        <v>#N/A</v>
      </c>
      <c r="S294" s="11" t="e">
        <f>VLOOKUP($G294, 'ADP Data'!$C$4:$Q$300, 6, FALSE)</f>
        <v>#N/A</v>
      </c>
      <c r="T294" s="11" t="e">
        <f>VLOOKUP($G294, 'ADP Data'!$C$4:$Q$300, 7, FALSE)</f>
        <v>#N/A</v>
      </c>
      <c r="U294" s="11" t="e">
        <f>VLOOKUP($G294, 'ADP Data'!$C$4:$Q$300, 8, FALSE)</f>
        <v>#N/A</v>
      </c>
      <c r="V294" s="11" t="e">
        <f t="shared" si="14"/>
        <v>#N/A</v>
      </c>
      <c r="W294" s="11">
        <f t="shared" si="15"/>
        <v>16</v>
      </c>
      <c r="X294" s="11">
        <f t="shared" si="16"/>
        <v>-16</v>
      </c>
      <c r="Y294" s="11" t="e">
        <f>VLOOKUP($G294, SeanRanks!$A$2:$K$303, 10, FALSE)-V294</f>
        <v>#N/A</v>
      </c>
      <c r="Z294" s="25" t="e">
        <f>IF(VLOOKUP($G294, SeanRanks!$A$2:$H$303, 7, FALSE)=0, "", VLOOKUP($G294, SeanRanks!$A$2:$H$303, 7, FALSE))</f>
        <v>#N/A</v>
      </c>
    </row>
    <row r="295" spans="1:26" ht="14.25" customHeight="1" x14ac:dyDescent="0.25">
      <c r="A295" s="11"/>
      <c r="B295" s="11"/>
      <c r="C295" s="11" t="s">
        <v>148</v>
      </c>
      <c r="D295" s="11"/>
      <c r="E295" s="11"/>
      <c r="F295" s="11" t="e">
        <f>VLOOKUP(G295, SeanRanks!$A$2:$E$302, 4, FALSE)</f>
        <v>#N/A</v>
      </c>
      <c r="G295" s="11" t="s">
        <v>988</v>
      </c>
      <c r="H295" s="11" t="e">
        <f>VLOOKUP($G295, 'ADP Data'!$C$4:$Q$300, 2, FALSE)</f>
        <v>#N/A</v>
      </c>
      <c r="I295" s="11" t="e">
        <f>VLOOKUP(G295, 'ADP Data'!$C$4:$R$498, 12, FALSE)</f>
        <v>#N/A</v>
      </c>
      <c r="J295" s="11" t="e">
        <f>VLOOKUP($G295, SeanRanks!$A$2:$H$303, 5, FALSE)</f>
        <v>#N/A</v>
      </c>
      <c r="K295" s="11" t="e">
        <f>IF(VLOOKUP($G295, SeanRanks!$A$2:$H$303, 6, FALSE)=0, "", VLOOKUP($G295, SeanRanks!$A$2:$H$303, 6, FALSE))</f>
        <v>#N/A</v>
      </c>
      <c r="L295" s="11">
        <f t="shared" si="11"/>
        <v>16</v>
      </c>
      <c r="M295" s="11" t="e">
        <f>VLOOKUP($G295, 'ADP Data'!$C$4:$Q$300, 9, FALSE)</f>
        <v>#N/A</v>
      </c>
      <c r="N295" s="11" t="e">
        <f t="shared" si="12"/>
        <v>#N/A</v>
      </c>
      <c r="O295" s="11" t="e">
        <f>VLOOKUP($G295, 'ADP Data'!$C$4:$Q$300, 3, FALSE)</f>
        <v>#N/A</v>
      </c>
      <c r="P295" s="11" t="e">
        <f t="shared" si="13"/>
        <v>#N/A</v>
      </c>
      <c r="Q295" s="11" t="e">
        <f>VLOOKUP($G295, 'ADP Data'!$C$4:$Q$300, 4, FALSE)</f>
        <v>#N/A</v>
      </c>
      <c r="R295" s="11" t="e">
        <f>VLOOKUP($G295, 'ADP Data'!$C$4:$Q$300, 5, FALSE)</f>
        <v>#N/A</v>
      </c>
      <c r="S295" s="11" t="e">
        <f>VLOOKUP($G295, 'ADP Data'!$C$4:$Q$300, 6, FALSE)</f>
        <v>#N/A</v>
      </c>
      <c r="T295" s="11" t="e">
        <f>VLOOKUP($G295, 'ADP Data'!$C$4:$Q$300, 7, FALSE)</f>
        <v>#N/A</v>
      </c>
      <c r="U295" s="11" t="e">
        <f>VLOOKUP($G295, 'ADP Data'!$C$4:$Q$300, 8, FALSE)</f>
        <v>#N/A</v>
      </c>
      <c r="V295" s="11" t="e">
        <f t="shared" si="14"/>
        <v>#N/A</v>
      </c>
      <c r="W295" s="11">
        <f t="shared" si="15"/>
        <v>16</v>
      </c>
      <c r="X295" s="11">
        <f t="shared" si="16"/>
        <v>-16</v>
      </c>
      <c r="Y295" s="11" t="e">
        <f>VLOOKUP($G295, SeanRanks!$A$2:$K$303, 10, FALSE)-V295</f>
        <v>#N/A</v>
      </c>
      <c r="Z295" s="25" t="e">
        <f>IF(VLOOKUP($G295, SeanRanks!$A$2:$H$303, 7, FALSE)=0, "", VLOOKUP($G295, SeanRanks!$A$2:$H$303, 7, FALSE))</f>
        <v>#N/A</v>
      </c>
    </row>
    <row r="296" spans="1:26" ht="14.25" customHeight="1" x14ac:dyDescent="0.25">
      <c r="A296" s="11"/>
      <c r="B296" s="11">
        <f>IFERROR(INT(AVERAGE(Q296:U296)/12)+1, INT(AVERAGE(M296)/12)+1)</f>
        <v>23</v>
      </c>
      <c r="C296" s="11" t="s">
        <v>148</v>
      </c>
      <c r="D296" s="11"/>
      <c r="E296" s="11"/>
      <c r="F296" s="11">
        <f>VLOOKUP(G296, SeanRanks!$A$2:$E$302, 4, FALSE)</f>
        <v>0</v>
      </c>
      <c r="G296" s="11" t="s">
        <v>824</v>
      </c>
      <c r="H296" s="11" t="str">
        <f>VLOOKUP($G296, 'ADP Data'!$C$4:$Q$300, 2, FALSE)</f>
        <v>NYG</v>
      </c>
      <c r="I296" s="11">
        <f>VLOOKUP(G296, 'ADP Data'!$C$4:$R$498, 12, FALSE)</f>
        <v>207</v>
      </c>
      <c r="J296" s="11">
        <f>VLOOKUP($G296, SeanRanks!$A$2:$H$303, 5, FALSE)</f>
        <v>0</v>
      </c>
      <c r="K296" s="11" t="str">
        <f>IF(VLOOKUP($G296, SeanRanks!$A$2:$H$303, 6, FALSE)=0, "", VLOOKUP($G296, SeanRanks!$A$2:$H$303, 6, FALSE))</f>
        <v/>
      </c>
      <c r="L296" s="11">
        <f t="shared" si="11"/>
        <v>23</v>
      </c>
      <c r="M296" s="11">
        <f>VLOOKUP($G296, 'ADP Data'!$C$4:$Q$300, 9, FALSE)</f>
        <v>267</v>
      </c>
      <c r="N296" s="11">
        <f t="shared" si="12"/>
        <v>1</v>
      </c>
      <c r="O296" s="11" t="str">
        <f>VLOOKUP($G296, 'ADP Data'!$C$4:$Q$300, 3, FALSE)</f>
        <v>-</v>
      </c>
      <c r="P296" s="11" t="e">
        <f t="shared" si="13"/>
        <v>#VALUE!</v>
      </c>
      <c r="Q296" s="11" t="str">
        <f>VLOOKUP($G296, 'ADP Data'!$C$4:$Q$300, 4, FALSE)</f>
        <v>-</v>
      </c>
      <c r="R296" s="11">
        <f>VLOOKUP($G296, 'ADP Data'!$C$4:$Q$300, 5, FALSE)</f>
        <v>328</v>
      </c>
      <c r="S296" s="11">
        <f>VLOOKUP($G296, 'ADP Data'!$C$4:$Q$300, 6, FALSE)</f>
        <v>201</v>
      </c>
      <c r="T296" s="11">
        <f>VLOOKUP($G296, 'ADP Data'!$C$4:$Q$300, 7, FALSE)</f>
        <v>243</v>
      </c>
      <c r="U296" s="11">
        <f>VLOOKUP($G296, 'ADP Data'!$C$4:$Q$300, 8, FALSE)</f>
        <v>294</v>
      </c>
      <c r="V296" s="11">
        <f t="shared" si="14"/>
        <v>266</v>
      </c>
      <c r="W296" s="11">
        <f t="shared" si="15"/>
        <v>23</v>
      </c>
      <c r="X296" s="11">
        <f t="shared" si="16"/>
        <v>-23</v>
      </c>
      <c r="Y296" s="11">
        <f>VLOOKUP($G296, SeanRanks!$A$2:$K$303, 10, FALSE)-V296</f>
        <v>-66</v>
      </c>
      <c r="Z296" s="25" t="str">
        <f>IF(VLOOKUP($G296, SeanRanks!$A$2:$H$303, 7, FALSE)=0, "", VLOOKUP($G296, SeanRanks!$A$2:$H$303, 7, FALSE))</f>
        <v/>
      </c>
    </row>
    <row r="297" spans="1:26" ht="14.25" customHeight="1" x14ac:dyDescent="0.25">
      <c r="A297" s="11"/>
      <c r="B297" s="11"/>
      <c r="C297" s="11" t="s">
        <v>148</v>
      </c>
      <c r="D297" s="11"/>
      <c r="E297" s="11"/>
      <c r="F297" s="11" t="e">
        <f>VLOOKUP(G297, SeanRanks!$A$2:$E$302, 4, FALSE)</f>
        <v>#N/A</v>
      </c>
      <c r="G297" s="11" t="s">
        <v>989</v>
      </c>
      <c r="H297" s="11" t="e">
        <f>VLOOKUP($G297, 'ADP Data'!$C$4:$Q$300, 2, FALSE)</f>
        <v>#N/A</v>
      </c>
      <c r="I297" s="11" t="e">
        <f>VLOOKUP(G297, 'ADP Data'!$C$4:$R$498, 12, FALSE)</f>
        <v>#N/A</v>
      </c>
      <c r="J297" s="11" t="e">
        <f>VLOOKUP($G297, SeanRanks!$A$2:$H$303, 5, FALSE)</f>
        <v>#N/A</v>
      </c>
      <c r="K297" s="11" t="e">
        <f>IF(VLOOKUP($G297, SeanRanks!$A$2:$H$303, 6, FALSE)=0, "", VLOOKUP($G297, SeanRanks!$A$2:$H$303, 6, FALSE))</f>
        <v>#N/A</v>
      </c>
      <c r="L297" s="11">
        <f t="shared" si="11"/>
        <v>16</v>
      </c>
      <c r="M297" s="11" t="e">
        <f>VLOOKUP($G297, 'ADP Data'!$C$4:$Q$300, 9, FALSE)</f>
        <v>#N/A</v>
      </c>
      <c r="N297" s="11" t="e">
        <f t="shared" si="12"/>
        <v>#N/A</v>
      </c>
      <c r="O297" s="11" t="e">
        <f>VLOOKUP($G297, 'ADP Data'!$C$4:$Q$300, 3, FALSE)</f>
        <v>#N/A</v>
      </c>
      <c r="P297" s="11" t="e">
        <f t="shared" si="13"/>
        <v>#N/A</v>
      </c>
      <c r="Q297" s="11" t="e">
        <f>VLOOKUP($G297, 'ADP Data'!$C$4:$Q$300, 4, FALSE)</f>
        <v>#N/A</v>
      </c>
      <c r="R297" s="11" t="e">
        <f>VLOOKUP($G297, 'ADP Data'!$C$4:$Q$300, 5, FALSE)</f>
        <v>#N/A</v>
      </c>
      <c r="S297" s="11" t="e">
        <f>VLOOKUP($G297, 'ADP Data'!$C$4:$Q$300, 6, FALSE)</f>
        <v>#N/A</v>
      </c>
      <c r="T297" s="11" t="e">
        <f>VLOOKUP($G297, 'ADP Data'!$C$4:$Q$300, 7, FALSE)</f>
        <v>#N/A</v>
      </c>
      <c r="U297" s="11" t="e">
        <f>VLOOKUP($G297, 'ADP Data'!$C$4:$Q$300, 8, FALSE)</f>
        <v>#N/A</v>
      </c>
      <c r="V297" s="11" t="e">
        <f t="shared" si="14"/>
        <v>#N/A</v>
      </c>
      <c r="W297" s="11">
        <f t="shared" si="15"/>
        <v>16</v>
      </c>
      <c r="X297" s="11">
        <f t="shared" si="16"/>
        <v>-16</v>
      </c>
      <c r="Y297" s="11" t="e">
        <f>VLOOKUP($G297, SeanRanks!$A$2:$K$303, 10, FALSE)-V297</f>
        <v>#N/A</v>
      </c>
      <c r="Z297" s="25" t="e">
        <f>IF(VLOOKUP($G297, SeanRanks!$A$2:$H$303, 7, FALSE)=0, "", VLOOKUP($G297, SeanRanks!$A$2:$H$303, 7, FALSE))</f>
        <v>#N/A</v>
      </c>
    </row>
    <row r="298" spans="1:26" ht="14.25" customHeight="1" x14ac:dyDescent="0.25">
      <c r="A298" s="11"/>
      <c r="B298" s="11">
        <f t="shared" ref="B298:B300" si="18">IFERROR(INT(AVERAGE(Q298:U298)/12)+1, INT(AVERAGE(M298)/12)+1)</f>
        <v>23</v>
      </c>
      <c r="C298" s="11" t="s">
        <v>148</v>
      </c>
      <c r="D298" s="11"/>
      <c r="E298" s="11"/>
      <c r="F298" s="11">
        <f>VLOOKUP(G298, SeanRanks!$A$2:$E$302, 4, FALSE)</f>
        <v>0</v>
      </c>
      <c r="G298" s="11" t="s">
        <v>990</v>
      </c>
      <c r="H298" s="11" t="str">
        <f>VLOOKUP($G298, 'ADP Data'!$C$4:$Q$300, 2, FALSE)</f>
        <v>PIT</v>
      </c>
      <c r="I298" s="11">
        <f>VLOOKUP(G298, 'ADP Data'!$C$4:$R$498, 12, FALSE)</f>
        <v>250</v>
      </c>
      <c r="J298" s="11">
        <f>VLOOKUP($G298, SeanRanks!$A$2:$H$303, 5, FALSE)</f>
        <v>0</v>
      </c>
      <c r="K298" s="11" t="str">
        <f>IF(VLOOKUP($G298, SeanRanks!$A$2:$H$303, 6, FALSE)=0, "", VLOOKUP($G298, SeanRanks!$A$2:$H$303, 6, FALSE))</f>
        <v/>
      </c>
      <c r="L298" s="11">
        <f t="shared" si="11"/>
        <v>23</v>
      </c>
      <c r="M298" s="11">
        <f>VLOOKUP($G298, 'ADP Data'!$C$4:$Q$300, 9, FALSE)</f>
        <v>274</v>
      </c>
      <c r="N298" s="11">
        <f t="shared" si="12"/>
        <v>1</v>
      </c>
      <c r="O298" s="11" t="str">
        <f>VLOOKUP($G298, 'ADP Data'!$C$4:$Q$300, 3, FALSE)</f>
        <v>-</v>
      </c>
      <c r="P298" s="11" t="e">
        <f t="shared" si="13"/>
        <v>#VALUE!</v>
      </c>
      <c r="Q298" s="11" t="str">
        <f>VLOOKUP($G298, 'ADP Data'!$C$4:$Q$300, 4, FALSE)</f>
        <v>-</v>
      </c>
      <c r="R298" s="11">
        <f>VLOOKUP($G298, 'ADP Data'!$C$4:$Q$300, 5, FALSE)</f>
        <v>302</v>
      </c>
      <c r="S298" s="11">
        <f>VLOOKUP($G298, 'ADP Data'!$C$4:$Q$300, 6, FALSE)</f>
        <v>262</v>
      </c>
      <c r="T298" s="11">
        <f>VLOOKUP($G298, 'ADP Data'!$C$4:$Q$300, 7, FALSE)</f>
        <v>250</v>
      </c>
      <c r="U298" s="11">
        <f>VLOOKUP($G298, 'ADP Data'!$C$4:$Q$300, 8, FALSE)</f>
        <v>277</v>
      </c>
      <c r="V298" s="11">
        <f t="shared" si="14"/>
        <v>273</v>
      </c>
      <c r="W298" s="11">
        <f t="shared" si="15"/>
        <v>23</v>
      </c>
      <c r="X298" s="11">
        <f t="shared" si="16"/>
        <v>-23</v>
      </c>
      <c r="Y298" s="11" t="e">
        <f>VLOOKUP($G298, SeanRanks!$A$2:$K$303, 10, FALSE)-V298</f>
        <v>#VALUE!</v>
      </c>
      <c r="Z298" s="25" t="str">
        <f>IF(VLOOKUP($G298, SeanRanks!$A$2:$H$303, 7, FALSE)=0, "", VLOOKUP($G298, SeanRanks!$A$2:$H$303, 7, FALSE))</f>
        <v/>
      </c>
    </row>
    <row r="299" spans="1:26" ht="14.25" customHeight="1" x14ac:dyDescent="0.25">
      <c r="A299" s="11"/>
      <c r="B299" s="11" t="e">
        <f t="shared" si="18"/>
        <v>#N/A</v>
      </c>
      <c r="C299" s="11" t="s">
        <v>148</v>
      </c>
      <c r="D299" s="11"/>
      <c r="E299" s="11"/>
      <c r="F299" s="11" t="e">
        <f>VLOOKUP(G299, SeanRanks!$A$2:$E$302, 4, FALSE)</f>
        <v>#N/A</v>
      </c>
      <c r="G299" s="11" t="s">
        <v>991</v>
      </c>
      <c r="H299" s="11" t="e">
        <f>VLOOKUP($G299, 'ADP Data'!$C$4:$Q$300, 2, FALSE)</f>
        <v>#N/A</v>
      </c>
      <c r="I299" s="11" t="e">
        <f>VLOOKUP(G299, 'ADP Data'!$C$4:$R$498, 12, FALSE)</f>
        <v>#N/A</v>
      </c>
      <c r="J299" s="11" t="e">
        <f>VLOOKUP($G299, SeanRanks!$A$2:$H$303, 5, FALSE)</f>
        <v>#N/A</v>
      </c>
      <c r="K299" s="11" t="e">
        <f>IF(VLOOKUP($G299, SeanRanks!$A$2:$H$303, 6, FALSE)=0, "", VLOOKUP($G299, SeanRanks!$A$2:$H$303, 6, FALSE))</f>
        <v>#N/A</v>
      </c>
      <c r="L299" s="11">
        <f t="shared" si="11"/>
        <v>16</v>
      </c>
      <c r="M299" s="11" t="e">
        <f>VLOOKUP($G299, 'ADP Data'!$C$4:$Q$300, 9, FALSE)</f>
        <v>#N/A</v>
      </c>
      <c r="N299" s="11" t="e">
        <f t="shared" si="12"/>
        <v>#N/A</v>
      </c>
      <c r="O299" s="11" t="e">
        <f>VLOOKUP($G299, 'ADP Data'!$C$4:$Q$300, 3, FALSE)</f>
        <v>#N/A</v>
      </c>
      <c r="P299" s="11" t="e">
        <f t="shared" si="13"/>
        <v>#N/A</v>
      </c>
      <c r="Q299" s="11" t="e">
        <f>VLOOKUP($G299, 'ADP Data'!$C$4:$Q$300, 4, FALSE)</f>
        <v>#N/A</v>
      </c>
      <c r="R299" s="11" t="e">
        <f>VLOOKUP($G299, 'ADP Data'!$C$4:$Q$300, 5, FALSE)</f>
        <v>#N/A</v>
      </c>
      <c r="S299" s="11" t="e">
        <f>VLOOKUP($G299, 'ADP Data'!$C$4:$Q$300, 6, FALSE)</f>
        <v>#N/A</v>
      </c>
      <c r="T299" s="11" t="e">
        <f>VLOOKUP($G299, 'ADP Data'!$C$4:$Q$300, 7, FALSE)</f>
        <v>#N/A</v>
      </c>
      <c r="U299" s="11" t="e">
        <f>VLOOKUP($G299, 'ADP Data'!$C$4:$Q$300, 8, FALSE)</f>
        <v>#N/A</v>
      </c>
      <c r="V299" s="11" t="e">
        <f t="shared" si="14"/>
        <v>#N/A</v>
      </c>
      <c r="W299" s="11">
        <f t="shared" si="15"/>
        <v>16</v>
      </c>
      <c r="X299" s="11">
        <f t="shared" si="16"/>
        <v>-16</v>
      </c>
      <c r="Y299" s="11" t="e">
        <f>VLOOKUP($G299, SeanRanks!$A$2:$K$303, 10, FALSE)-V299</f>
        <v>#N/A</v>
      </c>
      <c r="Z299" s="25" t="e">
        <f>IF(VLOOKUP($G299, SeanRanks!$A$2:$H$303, 7, FALSE)=0, "", VLOOKUP($G299, SeanRanks!$A$2:$H$303, 7, FALSE))</f>
        <v>#N/A</v>
      </c>
    </row>
    <row r="300" spans="1:26" ht="14.25" customHeight="1" x14ac:dyDescent="0.25">
      <c r="A300" s="11"/>
      <c r="B300" s="11">
        <f t="shared" si="18"/>
        <v>20</v>
      </c>
      <c r="C300" s="11" t="s">
        <v>148</v>
      </c>
      <c r="D300" s="11"/>
      <c r="E300" s="11"/>
      <c r="F300" s="11">
        <f>VLOOKUP(G300, SeanRanks!$A$2:$E$302, 4, FALSE)</f>
        <v>0</v>
      </c>
      <c r="G300" s="11" t="s">
        <v>701</v>
      </c>
      <c r="H300" s="11" t="str">
        <f>VLOOKUP($G300, 'ADP Data'!$C$4:$Q$300, 2, FALSE)</f>
        <v>NYG</v>
      </c>
      <c r="I300" s="11" t="str">
        <f>VLOOKUP(G300, 'ADP Data'!$C$4:$R$498, 12, FALSE)</f>
        <v>-</v>
      </c>
      <c r="J300" s="11">
        <f>VLOOKUP($G300, SeanRanks!$A$2:$H$303, 5, FALSE)</f>
        <v>0</v>
      </c>
      <c r="K300" s="11" t="str">
        <f>IF(VLOOKUP($G300, SeanRanks!$A$2:$H$303, 6, FALSE)=0, "", VLOOKUP($G300, SeanRanks!$A$2:$H$303, 6, FALSE))</f>
        <v/>
      </c>
      <c r="L300" s="11">
        <f t="shared" si="11"/>
        <v>20</v>
      </c>
      <c r="M300" s="11">
        <f>VLOOKUP($G300, 'ADP Data'!$C$4:$Q$300, 9, FALSE)</f>
        <v>239</v>
      </c>
      <c r="N300" s="11">
        <f t="shared" si="12"/>
        <v>19</v>
      </c>
      <c r="O300" s="11">
        <f>VLOOKUP($G300, 'ADP Data'!$C$4:$Q$300, 3, FALSE)</f>
        <v>169</v>
      </c>
      <c r="P300" s="11">
        <f t="shared" si="13"/>
        <v>70</v>
      </c>
      <c r="Q300" s="11">
        <f>VLOOKUP($G300, 'ADP Data'!$C$4:$Q$300, 4, FALSE)</f>
        <v>199</v>
      </c>
      <c r="R300" s="11" t="str">
        <f>VLOOKUP($G300, 'ADP Data'!$C$4:$Q$300, 5, FALSE)</f>
        <v>-</v>
      </c>
      <c r="S300" s="11">
        <f>VLOOKUP($G300, 'ADP Data'!$C$4:$Q$300, 6, FALSE)</f>
        <v>281</v>
      </c>
      <c r="T300" s="11">
        <f>VLOOKUP($G300, 'ADP Data'!$C$4:$Q$300, 7, FALSE)</f>
        <v>249</v>
      </c>
      <c r="U300" s="11">
        <f>VLOOKUP($G300, 'ADP Data'!$C$4:$Q$300, 8, FALSE)</f>
        <v>187</v>
      </c>
      <c r="V300" s="11">
        <f t="shared" si="14"/>
        <v>220</v>
      </c>
      <c r="W300" s="11">
        <f t="shared" si="15"/>
        <v>19</v>
      </c>
      <c r="X300" s="11">
        <f t="shared" si="16"/>
        <v>-19</v>
      </c>
      <c r="Y300" s="11" t="e">
        <f>VLOOKUP($G300, SeanRanks!$A$2:$K$303, 10, FALSE)-V300</f>
        <v>#VALUE!</v>
      </c>
      <c r="Z300" s="25" t="str">
        <f>IF(VLOOKUP($G300, SeanRanks!$A$2:$H$303, 7, FALSE)=0, "", VLOOKUP($G300, SeanRanks!$A$2:$H$303, 7, FALSE))</f>
        <v/>
      </c>
    </row>
    <row r="301" spans="1:26" ht="14.25" customHeight="1" x14ac:dyDescent="0.25">
      <c r="A301" s="11"/>
      <c r="B301" s="11"/>
      <c r="C301" s="11" t="s">
        <v>148</v>
      </c>
      <c r="D301" s="11"/>
      <c r="E301" s="11"/>
      <c r="F301" s="11" t="e">
        <f>VLOOKUP(G301, SeanRanks!$A$2:$E$302, 4, FALSE)</f>
        <v>#N/A</v>
      </c>
      <c r="G301" s="11" t="s">
        <v>992</v>
      </c>
      <c r="H301" s="11" t="e">
        <f>VLOOKUP($G301, 'ADP Data'!$C$4:$Q$300, 2, FALSE)</f>
        <v>#N/A</v>
      </c>
      <c r="I301" s="11" t="e">
        <f>VLOOKUP(G301, 'ADP Data'!$C$4:$R$498, 12, FALSE)</f>
        <v>#N/A</v>
      </c>
      <c r="J301" s="11" t="e">
        <f>VLOOKUP($G301, SeanRanks!$A$2:$H$303, 5, FALSE)</f>
        <v>#N/A</v>
      </c>
      <c r="K301" s="11" t="e">
        <f>IF(VLOOKUP($G301, SeanRanks!$A$2:$H$303, 6, FALSE)=0, "", VLOOKUP($G301, SeanRanks!$A$2:$H$303, 6, FALSE))</f>
        <v>#N/A</v>
      </c>
      <c r="L301" s="11">
        <f t="shared" si="11"/>
        <v>16</v>
      </c>
      <c r="M301" s="11" t="e">
        <f>VLOOKUP($G301, 'ADP Data'!$C$4:$Q$300, 9, FALSE)</f>
        <v>#N/A</v>
      </c>
      <c r="N301" s="11" t="e">
        <f t="shared" si="12"/>
        <v>#N/A</v>
      </c>
      <c r="O301" s="11" t="e">
        <f>VLOOKUP($G301, 'ADP Data'!$C$4:$Q$300, 3, FALSE)</f>
        <v>#N/A</v>
      </c>
      <c r="P301" s="11" t="e">
        <f t="shared" si="13"/>
        <v>#N/A</v>
      </c>
      <c r="Q301" s="11" t="e">
        <f>VLOOKUP($G301, 'ADP Data'!$C$4:$Q$300, 4, FALSE)</f>
        <v>#N/A</v>
      </c>
      <c r="R301" s="11" t="e">
        <f>VLOOKUP($G301, 'ADP Data'!$C$4:$Q$300, 5, FALSE)</f>
        <v>#N/A</v>
      </c>
      <c r="S301" s="11" t="e">
        <f>VLOOKUP($G301, 'ADP Data'!$C$4:$Q$300, 6, FALSE)</f>
        <v>#N/A</v>
      </c>
      <c r="T301" s="11" t="e">
        <f>VLOOKUP($G301, 'ADP Data'!$C$4:$Q$300, 7, FALSE)</f>
        <v>#N/A</v>
      </c>
      <c r="U301" s="11" t="e">
        <f>VLOOKUP($G301, 'ADP Data'!$C$4:$Q$300, 8, FALSE)</f>
        <v>#N/A</v>
      </c>
      <c r="V301" s="11" t="e">
        <f t="shared" si="14"/>
        <v>#N/A</v>
      </c>
      <c r="W301" s="11">
        <f t="shared" si="15"/>
        <v>16</v>
      </c>
      <c r="X301" s="11">
        <f t="shared" si="16"/>
        <v>-16</v>
      </c>
      <c r="Y301" s="11" t="e">
        <f>VLOOKUP($G301, SeanRanks!$A$2:$K$303, 10, FALSE)-V301</f>
        <v>#N/A</v>
      </c>
      <c r="Z301" s="25" t="e">
        <f>IF(VLOOKUP($G301, SeanRanks!$A$2:$H$303, 7, FALSE)=0, "", VLOOKUP($G301, SeanRanks!$A$2:$H$303, 7, FALSE))</f>
        <v>#N/A</v>
      </c>
    </row>
    <row r="302" spans="1:26" ht="14.25" customHeight="1" x14ac:dyDescent="0.25">
      <c r="A302" s="11"/>
      <c r="B302" s="11" t="e">
        <f t="shared" ref="B302:B306" si="19">IFERROR(INT(AVERAGE(Q302:U302)/12)+1, INT(AVERAGE(M302)/12)+1)</f>
        <v>#N/A</v>
      </c>
      <c r="C302" s="11" t="s">
        <v>148</v>
      </c>
      <c r="D302" s="11"/>
      <c r="E302" s="11"/>
      <c r="F302" s="11" t="e">
        <f>VLOOKUP(G302, SeanRanks!$A$2:$E$302, 4, FALSE)</f>
        <v>#N/A</v>
      </c>
      <c r="G302" s="11" t="s">
        <v>993</v>
      </c>
      <c r="H302" s="11" t="e">
        <f>VLOOKUP($G302, 'ADP Data'!$C$4:$Q$300, 2, FALSE)</f>
        <v>#N/A</v>
      </c>
      <c r="I302" s="11" t="e">
        <f>VLOOKUP(G302, 'ADP Data'!$C$4:$R$498, 12, FALSE)</f>
        <v>#N/A</v>
      </c>
      <c r="J302" s="11" t="e">
        <f>VLOOKUP($G302, SeanRanks!$A$2:$H$303, 5, FALSE)</f>
        <v>#N/A</v>
      </c>
      <c r="K302" s="11" t="e">
        <f>IF(VLOOKUP($G302, SeanRanks!$A$2:$H$303, 6, FALSE)=0, "", VLOOKUP($G302, SeanRanks!$A$2:$H$303, 6, FALSE))</f>
        <v>#N/A</v>
      </c>
      <c r="L302" s="11">
        <f t="shared" si="11"/>
        <v>16</v>
      </c>
      <c r="M302" s="11" t="e">
        <f>VLOOKUP($G302, 'ADP Data'!$C$4:$Q$300, 9, FALSE)</f>
        <v>#N/A</v>
      </c>
      <c r="N302" s="11" t="e">
        <f t="shared" si="12"/>
        <v>#N/A</v>
      </c>
      <c r="O302" s="11" t="e">
        <f>VLOOKUP($G302, 'ADP Data'!$C$4:$Q$300, 3, FALSE)</f>
        <v>#N/A</v>
      </c>
      <c r="P302" s="11" t="e">
        <f t="shared" si="13"/>
        <v>#N/A</v>
      </c>
      <c r="Q302" s="11" t="e">
        <f>VLOOKUP($G302, 'ADP Data'!$C$4:$Q$300, 4, FALSE)</f>
        <v>#N/A</v>
      </c>
      <c r="R302" s="11" t="e">
        <f>VLOOKUP($G302, 'ADP Data'!$C$4:$Q$300, 5, FALSE)</f>
        <v>#N/A</v>
      </c>
      <c r="S302" s="11" t="e">
        <f>VLOOKUP($G302, 'ADP Data'!$C$4:$Q$300, 6, FALSE)</f>
        <v>#N/A</v>
      </c>
      <c r="T302" s="11" t="e">
        <f>VLOOKUP($G302, 'ADP Data'!$C$4:$Q$300, 7, FALSE)</f>
        <v>#N/A</v>
      </c>
      <c r="U302" s="11" t="e">
        <f>VLOOKUP($G302, 'ADP Data'!$C$4:$Q$300, 8, FALSE)</f>
        <v>#N/A</v>
      </c>
      <c r="V302" s="11" t="e">
        <f t="shared" si="14"/>
        <v>#N/A</v>
      </c>
      <c r="W302" s="11">
        <f t="shared" si="15"/>
        <v>16</v>
      </c>
      <c r="X302" s="11">
        <f t="shared" si="16"/>
        <v>-16</v>
      </c>
      <c r="Y302" s="11" t="e">
        <f>VLOOKUP($G302, SeanRanks!$A$2:$K$303, 10, FALSE)-V302</f>
        <v>#N/A</v>
      </c>
      <c r="Z302" s="25" t="e">
        <f>IF(VLOOKUP($G302, SeanRanks!$A$2:$H$303, 7, FALSE)=0, "", VLOOKUP($G302, SeanRanks!$A$2:$H$303, 7, FALSE))</f>
        <v>#N/A</v>
      </c>
    </row>
    <row r="303" spans="1:26" ht="14.25" customHeight="1" x14ac:dyDescent="0.25">
      <c r="A303" s="11"/>
      <c r="B303" s="11">
        <f t="shared" si="19"/>
        <v>23</v>
      </c>
      <c r="C303" s="11" t="s">
        <v>148</v>
      </c>
      <c r="D303" s="11"/>
      <c r="E303" s="11"/>
      <c r="F303" s="11">
        <f>VLOOKUP(G303, SeanRanks!$A$2:$E$302, 4, FALSE)</f>
        <v>0</v>
      </c>
      <c r="G303" s="11" t="s">
        <v>994</v>
      </c>
      <c r="H303" s="11" t="str">
        <f>VLOOKUP($G303, 'ADP Data'!$C$4:$Q$300, 2, FALSE)</f>
        <v>LAR</v>
      </c>
      <c r="I303" s="11">
        <f>VLOOKUP(G303, 'ADP Data'!$C$4:$R$498, 12, FALSE)</f>
        <v>238</v>
      </c>
      <c r="J303" s="11">
        <f>VLOOKUP($G303, SeanRanks!$A$2:$H$303, 5, FALSE)</f>
        <v>0</v>
      </c>
      <c r="K303" s="11" t="str">
        <f>IF(VLOOKUP($G303, SeanRanks!$A$2:$H$303, 6, FALSE)=0, "", VLOOKUP($G303, SeanRanks!$A$2:$H$303, 6, FALSE))</f>
        <v/>
      </c>
      <c r="L303" s="11">
        <f t="shared" si="11"/>
        <v>23</v>
      </c>
      <c r="M303" s="11">
        <f>VLOOKUP($G303, 'ADP Data'!$C$4:$Q$300, 9, FALSE)</f>
        <v>270</v>
      </c>
      <c r="N303" s="11">
        <f t="shared" si="12"/>
        <v>4</v>
      </c>
      <c r="O303" s="11" t="str">
        <f>VLOOKUP($G303, 'ADP Data'!$C$4:$Q$300, 3, FALSE)</f>
        <v>-</v>
      </c>
      <c r="P303" s="11" t="e">
        <f t="shared" si="13"/>
        <v>#VALUE!</v>
      </c>
      <c r="Q303" s="11" t="str">
        <f>VLOOKUP($G303, 'ADP Data'!$C$4:$Q$300, 4, FALSE)</f>
        <v>-</v>
      </c>
      <c r="R303" s="11" t="str">
        <f>VLOOKUP($G303, 'ADP Data'!$C$4:$Q$300, 5, FALSE)</f>
        <v>-</v>
      </c>
      <c r="S303" s="11">
        <f>VLOOKUP($G303, 'ADP Data'!$C$4:$Q$300, 6, FALSE)</f>
        <v>241</v>
      </c>
      <c r="T303" s="11">
        <f>VLOOKUP($G303, 'ADP Data'!$C$4:$Q$300, 7, FALSE)</f>
        <v>274</v>
      </c>
      <c r="U303" s="11">
        <f>VLOOKUP($G303, 'ADP Data'!$C$4:$Q$300, 8, FALSE)</f>
        <v>282</v>
      </c>
      <c r="V303" s="11">
        <f t="shared" si="14"/>
        <v>266</v>
      </c>
      <c r="W303" s="11">
        <f t="shared" si="15"/>
        <v>23</v>
      </c>
      <c r="X303" s="11">
        <f t="shared" si="16"/>
        <v>-23</v>
      </c>
      <c r="Y303" s="11" t="e">
        <f>VLOOKUP($G303, SeanRanks!$A$2:$K$303, 10, FALSE)-V303</f>
        <v>#VALUE!</v>
      </c>
      <c r="Z303" s="25" t="str">
        <f>IF(VLOOKUP($G303, SeanRanks!$A$2:$H$303, 7, FALSE)=0, "", VLOOKUP($G303, SeanRanks!$A$2:$H$303, 7, FALSE))</f>
        <v/>
      </c>
    </row>
    <row r="304" spans="1:26" ht="14.25" customHeight="1" x14ac:dyDescent="0.25">
      <c r="A304" s="11"/>
      <c r="B304" s="11" t="e">
        <f t="shared" si="19"/>
        <v>#N/A</v>
      </c>
      <c r="C304" s="11" t="s">
        <v>148</v>
      </c>
      <c r="D304" s="11"/>
      <c r="E304" s="11"/>
      <c r="F304" s="11" t="e">
        <f>VLOOKUP(G304, SeanRanks!$A$2:$E$302, 4, FALSE)</f>
        <v>#N/A</v>
      </c>
      <c r="G304" s="11" t="s">
        <v>995</v>
      </c>
      <c r="H304" s="11" t="e">
        <f>VLOOKUP($G304, 'ADP Data'!$C$4:$Q$300, 2, FALSE)</f>
        <v>#N/A</v>
      </c>
      <c r="I304" s="11" t="e">
        <f>VLOOKUP(G304, 'ADP Data'!$C$4:$R$498, 12, FALSE)</f>
        <v>#N/A</v>
      </c>
      <c r="J304" s="11" t="e">
        <f>VLOOKUP($G304, SeanRanks!$A$2:$H$303, 5, FALSE)</f>
        <v>#N/A</v>
      </c>
      <c r="K304" s="11" t="e">
        <f>IF(VLOOKUP($G304, SeanRanks!$A$2:$H$303, 6, FALSE)=0, "", VLOOKUP($G304, SeanRanks!$A$2:$H$303, 6, FALSE))</f>
        <v>#N/A</v>
      </c>
      <c r="L304" s="11">
        <f t="shared" si="11"/>
        <v>16</v>
      </c>
      <c r="M304" s="11" t="e">
        <f>VLOOKUP($G304, 'ADP Data'!$C$4:$Q$300, 9, FALSE)</f>
        <v>#N/A</v>
      </c>
      <c r="N304" s="11" t="e">
        <f t="shared" si="12"/>
        <v>#N/A</v>
      </c>
      <c r="O304" s="11" t="e">
        <f>VLOOKUP($G304, 'ADP Data'!$C$4:$Q$300, 3, FALSE)</f>
        <v>#N/A</v>
      </c>
      <c r="P304" s="11" t="e">
        <f t="shared" si="13"/>
        <v>#N/A</v>
      </c>
      <c r="Q304" s="11" t="e">
        <f>VLOOKUP($G304, 'ADP Data'!$C$4:$Q$300, 4, FALSE)</f>
        <v>#N/A</v>
      </c>
      <c r="R304" s="11" t="e">
        <f>VLOOKUP($G304, 'ADP Data'!$C$4:$Q$300, 5, FALSE)</f>
        <v>#N/A</v>
      </c>
      <c r="S304" s="11" t="e">
        <f>VLOOKUP($G304, 'ADP Data'!$C$4:$Q$300, 6, FALSE)</f>
        <v>#N/A</v>
      </c>
      <c r="T304" s="11" t="e">
        <f>VLOOKUP($G304, 'ADP Data'!$C$4:$Q$300, 7, FALSE)</f>
        <v>#N/A</v>
      </c>
      <c r="U304" s="11" t="e">
        <f>VLOOKUP($G304, 'ADP Data'!$C$4:$Q$300, 8, FALSE)</f>
        <v>#N/A</v>
      </c>
      <c r="V304" s="11" t="e">
        <f t="shared" si="14"/>
        <v>#N/A</v>
      </c>
      <c r="W304" s="11">
        <f t="shared" si="15"/>
        <v>16</v>
      </c>
      <c r="X304" s="11">
        <f t="shared" si="16"/>
        <v>-16</v>
      </c>
      <c r="Y304" s="11" t="e">
        <f>VLOOKUP($G304, SeanRanks!$A$2:$K$303, 10, FALSE)-V304</f>
        <v>#N/A</v>
      </c>
      <c r="Z304" s="25" t="e">
        <f>IF(VLOOKUP($G304, SeanRanks!$A$2:$H$303, 7, FALSE)=0, "", VLOOKUP($G304, SeanRanks!$A$2:$H$303, 7, FALSE))</f>
        <v>#N/A</v>
      </c>
    </row>
    <row r="305" spans="1:26" ht="14.25" customHeight="1" x14ac:dyDescent="0.25">
      <c r="A305" s="11"/>
      <c r="B305" s="11" t="e">
        <f t="shared" si="19"/>
        <v>#N/A</v>
      </c>
      <c r="C305" s="11" t="s">
        <v>148</v>
      </c>
      <c r="D305" s="11"/>
      <c r="E305" s="11"/>
      <c r="F305" s="11" t="e">
        <f>VLOOKUP(G305, SeanRanks!$A$2:$E$302, 4, FALSE)</f>
        <v>#N/A</v>
      </c>
      <c r="G305" s="11" t="s">
        <v>978</v>
      </c>
      <c r="H305" s="11" t="e">
        <f>VLOOKUP($G305, 'ADP Data'!$C$4:$Q$300, 2, FALSE)</f>
        <v>#N/A</v>
      </c>
      <c r="I305" s="11" t="e">
        <f>VLOOKUP(G305, 'ADP Data'!$C$4:$R$498, 12, FALSE)</f>
        <v>#N/A</v>
      </c>
      <c r="J305" s="11" t="e">
        <f>VLOOKUP($G305, SeanRanks!$A$2:$H$303, 5, FALSE)</f>
        <v>#N/A</v>
      </c>
      <c r="K305" s="11" t="e">
        <f>IF(VLOOKUP($G305, SeanRanks!$A$2:$H$303, 6, FALSE)=0, "", VLOOKUP($G305, SeanRanks!$A$2:$H$303, 6, FALSE))</f>
        <v>#N/A</v>
      </c>
      <c r="L305" s="11">
        <f t="shared" si="11"/>
        <v>16</v>
      </c>
      <c r="M305" s="11" t="e">
        <f>VLOOKUP($G305, 'ADP Data'!$C$4:$Q$300, 9, FALSE)</f>
        <v>#N/A</v>
      </c>
      <c r="N305" s="11" t="e">
        <f t="shared" si="12"/>
        <v>#N/A</v>
      </c>
      <c r="O305" s="11" t="e">
        <f>VLOOKUP($G305, 'ADP Data'!$C$4:$Q$300, 3, FALSE)</f>
        <v>#N/A</v>
      </c>
      <c r="P305" s="11" t="e">
        <f t="shared" si="13"/>
        <v>#N/A</v>
      </c>
      <c r="Q305" s="11" t="e">
        <f>VLOOKUP($G305, 'ADP Data'!$C$4:$Q$300, 4, FALSE)</f>
        <v>#N/A</v>
      </c>
      <c r="R305" s="11" t="e">
        <f>VLOOKUP($G305, 'ADP Data'!$C$4:$Q$300, 5, FALSE)</f>
        <v>#N/A</v>
      </c>
      <c r="S305" s="11" t="e">
        <f>VLOOKUP($G305, 'ADP Data'!$C$4:$Q$300, 6, FALSE)</f>
        <v>#N/A</v>
      </c>
      <c r="T305" s="11" t="e">
        <f>VLOOKUP($G305, 'ADP Data'!$C$4:$Q$300, 7, FALSE)</f>
        <v>#N/A</v>
      </c>
      <c r="U305" s="11" t="e">
        <f>VLOOKUP($G305, 'ADP Data'!$C$4:$Q$300, 8, FALSE)</f>
        <v>#N/A</v>
      </c>
      <c r="V305" s="11" t="e">
        <f t="shared" si="14"/>
        <v>#N/A</v>
      </c>
      <c r="W305" s="11">
        <f t="shared" si="15"/>
        <v>16</v>
      </c>
      <c r="X305" s="11">
        <f t="shared" si="16"/>
        <v>-16</v>
      </c>
      <c r="Y305" s="11" t="e">
        <f>VLOOKUP($G305, SeanRanks!$A$2:$K$303, 10, FALSE)-V305</f>
        <v>#N/A</v>
      </c>
      <c r="Z305" s="25" t="e">
        <f>IF(VLOOKUP($G305, SeanRanks!$A$2:$H$303, 7, FALSE)=0, "", VLOOKUP($G305, SeanRanks!$A$2:$H$303, 7, FALSE))</f>
        <v>#N/A</v>
      </c>
    </row>
    <row r="306" spans="1:26" ht="14.25" customHeight="1" x14ac:dyDescent="0.25">
      <c r="A306" s="11"/>
      <c r="B306" s="11" t="e">
        <f t="shared" si="19"/>
        <v>#N/A</v>
      </c>
      <c r="C306" s="11" t="s">
        <v>148</v>
      </c>
      <c r="D306" s="11"/>
      <c r="E306" s="11"/>
      <c r="F306" s="11" t="e">
        <f>VLOOKUP(G306, SeanRanks!$A$2:$E$302, 4, FALSE)</f>
        <v>#N/A</v>
      </c>
      <c r="G306" s="11" t="s">
        <v>485</v>
      </c>
      <c r="H306" s="11" t="e">
        <f>VLOOKUP($G306, 'ADP Data'!$C$4:$Q$300, 2, FALSE)</f>
        <v>#N/A</v>
      </c>
      <c r="I306" s="11" t="e">
        <f>VLOOKUP(G306, 'ADP Data'!$C$4:$R$498, 12, FALSE)</f>
        <v>#N/A</v>
      </c>
      <c r="J306" s="11" t="e">
        <f>VLOOKUP($G306, SeanRanks!$A$2:$H$303, 5, FALSE)</f>
        <v>#N/A</v>
      </c>
      <c r="K306" s="11" t="e">
        <f>IF(VLOOKUP($G306, SeanRanks!$A$2:$H$303, 6, FALSE)=0, "", VLOOKUP($G306, SeanRanks!$A$2:$H$303, 6, FALSE))</f>
        <v>#N/A</v>
      </c>
      <c r="L306" s="11">
        <f t="shared" si="11"/>
        <v>16</v>
      </c>
      <c r="M306" s="11" t="e">
        <f>VLOOKUP($G306, 'ADP Data'!$C$4:$Q$300, 9, FALSE)</f>
        <v>#N/A</v>
      </c>
      <c r="N306" s="11" t="e">
        <f t="shared" si="12"/>
        <v>#N/A</v>
      </c>
      <c r="O306" s="11" t="e">
        <f>VLOOKUP($G306, 'ADP Data'!$C$4:$Q$300, 3, FALSE)</f>
        <v>#N/A</v>
      </c>
      <c r="P306" s="11" t="e">
        <f t="shared" si="13"/>
        <v>#N/A</v>
      </c>
      <c r="Q306" s="11" t="e">
        <f>VLOOKUP($G306, 'ADP Data'!$C$4:$Q$300, 4, FALSE)</f>
        <v>#N/A</v>
      </c>
      <c r="R306" s="11" t="e">
        <f>VLOOKUP($G306, 'ADP Data'!$C$4:$Q$300, 5, FALSE)</f>
        <v>#N/A</v>
      </c>
      <c r="S306" s="11" t="e">
        <f>VLOOKUP($G306, 'ADP Data'!$C$4:$Q$300, 6, FALSE)</f>
        <v>#N/A</v>
      </c>
      <c r="T306" s="11" t="e">
        <f>VLOOKUP($G306, 'ADP Data'!$C$4:$Q$300, 7, FALSE)</f>
        <v>#N/A</v>
      </c>
      <c r="U306" s="11" t="e">
        <f>VLOOKUP($G306, 'ADP Data'!$C$4:$Q$300, 8, FALSE)</f>
        <v>#N/A</v>
      </c>
      <c r="V306" s="11" t="e">
        <f t="shared" si="14"/>
        <v>#N/A</v>
      </c>
      <c r="W306" s="11">
        <f t="shared" si="15"/>
        <v>16</v>
      </c>
      <c r="X306" s="11">
        <f t="shared" si="16"/>
        <v>-16</v>
      </c>
      <c r="Y306" s="11" t="e">
        <f>VLOOKUP($G306, SeanRanks!$A$2:$K$303, 10, FALSE)-V306</f>
        <v>#N/A</v>
      </c>
      <c r="Z306" s="25" t="e">
        <f>IF(VLOOKUP($G306, SeanRanks!$A$2:$H$303, 7, FALSE)=0, "", VLOOKUP($G306, SeanRanks!$A$2:$H$303, 7, FALSE))</f>
        <v>#N/A</v>
      </c>
    </row>
    <row r="307" spans="1:26" ht="14.25" customHeight="1" x14ac:dyDescent="0.25"/>
    <row r="308" spans="1:26" ht="14.25" customHeight="1" x14ac:dyDescent="0.25"/>
    <row r="309" spans="1:26" ht="14.25" customHeight="1" x14ac:dyDescent="0.25"/>
    <row r="310" spans="1:26" ht="14.25" customHeight="1" x14ac:dyDescent="0.25"/>
    <row r="311" spans="1:26" ht="14.25" customHeight="1" x14ac:dyDescent="0.25"/>
    <row r="312" spans="1:26" ht="14.25" customHeight="1" x14ac:dyDescent="0.25">
      <c r="F312" s="1" t="s">
        <v>33</v>
      </c>
    </row>
    <row r="313" spans="1:26" ht="14.25" customHeight="1" x14ac:dyDescent="0.25"/>
    <row r="314" spans="1:26" ht="14.25" customHeight="1" x14ac:dyDescent="0.25"/>
    <row r="315" spans="1:26" ht="14.25" customHeight="1" x14ac:dyDescent="0.25"/>
    <row r="316" spans="1:26" ht="14.25" customHeight="1" x14ac:dyDescent="0.25"/>
    <row r="317" spans="1:26" ht="14.25" customHeight="1" x14ac:dyDescent="0.25"/>
    <row r="318" spans="1:26" ht="14.25" customHeight="1" x14ac:dyDescent="0.25"/>
    <row r="319" spans="1:26" ht="14.25" customHeight="1" x14ac:dyDescent="0.25"/>
    <row r="320" spans="1:26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6:Z306" xr:uid="{00000000-0009-0000-0000-00000C000000}">
    <sortState xmlns:xlrd2="http://schemas.microsoft.com/office/spreadsheetml/2017/richdata2" ref="A6:Z306">
      <sortCondition ref="V6:V306"/>
    </sortState>
  </autoFilter>
  <mergeCells count="1">
    <mergeCell ref="A1:C1"/>
  </mergeCells>
  <conditionalFormatting sqref="K8:K306">
    <cfRule type="colorScale" priority="1">
      <colorScale>
        <cfvo type="formula" val="12"/>
        <cfvo type="percentile" val="50"/>
        <cfvo type="max"/>
        <color rgb="FF63BE7B"/>
        <color rgb="FFFFEB84"/>
        <color rgb="FFF8696B"/>
      </colorScale>
    </cfRule>
  </conditionalFormatting>
  <conditionalFormatting sqref="K5:Z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:L306">
    <cfRule type="cellIs" dxfId="24" priority="3" operator="lessThan">
      <formula>B7</formula>
    </cfRule>
    <cfRule type="cellIs" dxfId="23" priority="4" operator="greaterThan">
      <formula>B7</formula>
    </cfRule>
  </conditionalFormatting>
  <conditionalFormatting sqref="N7:N306">
    <cfRule type="colorScale" priority="5">
      <colorScale>
        <cfvo type="min"/>
        <cfvo type="formula" val="0"/>
        <cfvo type="max"/>
        <color rgb="FFF8696B"/>
        <color rgb="FFFCFCFF"/>
        <color rgb="FF63BE7B"/>
      </colorScale>
    </cfRule>
  </conditionalFormatting>
  <conditionalFormatting sqref="P7:P306">
    <cfRule type="colorScale" priority="6">
      <colorScale>
        <cfvo type="min"/>
        <cfvo type="formula" val="0"/>
        <cfvo type="max"/>
        <color rgb="FFF8696B"/>
        <color rgb="FFFCFCFF"/>
        <color rgb="FF63BE7B"/>
      </colorScale>
    </cfRule>
  </conditionalFormatting>
  <conditionalFormatting sqref="X7:X30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7:Y306">
    <cfRule type="colorScale" priority="8">
      <colorScale>
        <cfvo type="formula" val="-12"/>
        <cfvo type="formula" val="0"/>
        <cfvo type="formula" val="12"/>
        <color rgb="FFF8696B"/>
        <color rgb="FFD8D8D8"/>
        <color rgb="FF63BE7B"/>
      </colorScale>
    </cfRule>
  </conditionalFormatting>
  <conditionalFormatting sqref="Y7:Z306 J7:K306 B7:G7 B8:E262 G8:G296 F8:F306 B263:B302 D263:E302 C263:C306">
    <cfRule type="expression" dxfId="22" priority="9">
      <formula>$C7="No"</formula>
    </cfRule>
  </conditionalFormatting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AF1000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14.42578125" defaultRowHeight="15" customHeight="1" x14ac:dyDescent="0.25"/>
  <cols>
    <col min="1" max="2" width="8.7109375" customWidth="1"/>
    <col min="3" max="5" width="9.7109375" customWidth="1"/>
    <col min="6" max="6" width="8.7109375" customWidth="1"/>
    <col min="7" max="7" width="21.140625" customWidth="1"/>
    <col min="8" max="9" width="8.7109375" customWidth="1"/>
    <col min="10" max="10" width="21" customWidth="1"/>
    <col min="11" max="14" width="8.7109375" customWidth="1"/>
    <col min="15" max="21" width="8.85546875" customWidth="1"/>
    <col min="22" max="32" width="8.7109375" customWidth="1"/>
  </cols>
  <sheetData>
    <row r="1" spans="1:32" ht="14.25" customHeight="1" x14ac:dyDescent="0.35">
      <c r="A1" s="95" t="s">
        <v>1</v>
      </c>
      <c r="B1" s="96"/>
      <c r="C1" s="96"/>
      <c r="D1" s="2"/>
      <c r="E1" s="2"/>
      <c r="F1" s="2"/>
      <c r="G1" s="2"/>
      <c r="H1" s="3"/>
      <c r="I1" s="2"/>
      <c r="J1" s="2" t="s">
        <v>4</v>
      </c>
      <c r="K1" s="4">
        <v>1</v>
      </c>
      <c r="L1" s="4">
        <v>2</v>
      </c>
      <c r="M1" s="4">
        <v>3</v>
      </c>
      <c r="N1" s="4">
        <v>4</v>
      </c>
      <c r="O1" s="4">
        <v>5</v>
      </c>
      <c r="P1" s="4">
        <v>6</v>
      </c>
      <c r="Q1" s="4">
        <v>7</v>
      </c>
      <c r="R1" s="4">
        <v>8</v>
      </c>
      <c r="S1" s="4">
        <v>9</v>
      </c>
      <c r="T1" s="4">
        <v>10</v>
      </c>
      <c r="U1" s="4">
        <v>11</v>
      </c>
      <c r="V1" s="4">
        <v>12</v>
      </c>
      <c r="W1" s="4">
        <v>13</v>
      </c>
      <c r="X1" s="4">
        <v>14</v>
      </c>
      <c r="Y1" s="4">
        <v>15</v>
      </c>
      <c r="Z1" s="4">
        <v>16</v>
      </c>
      <c r="AB1" s="4"/>
      <c r="AC1" s="4"/>
      <c r="AD1" s="4"/>
      <c r="AF1" s="2"/>
    </row>
    <row r="2" spans="1:32" ht="14.25" customHeight="1" x14ac:dyDescent="0.25">
      <c r="A2" s="1" t="s">
        <v>14</v>
      </c>
      <c r="B2" s="2" t="s">
        <v>17</v>
      </c>
      <c r="C2" s="2"/>
      <c r="D2" s="2"/>
      <c r="E2" s="2"/>
      <c r="F2" s="2"/>
      <c r="G2" s="2"/>
      <c r="H2" s="3" t="s">
        <v>21</v>
      </c>
      <c r="I2" s="2">
        <v>3</v>
      </c>
      <c r="J2" s="2" t="s">
        <v>23</v>
      </c>
      <c r="K2" s="2">
        <f t="shared" ref="K2:Z2" si="0">COUNTIF($D$7:$D$301, K1)</f>
        <v>3</v>
      </c>
      <c r="L2" s="2">
        <f t="shared" si="0"/>
        <v>19</v>
      </c>
      <c r="M2" s="2">
        <f t="shared" si="0"/>
        <v>5</v>
      </c>
      <c r="N2" s="2">
        <f t="shared" si="0"/>
        <v>19</v>
      </c>
      <c r="O2" s="2">
        <f t="shared" si="0"/>
        <v>5</v>
      </c>
      <c r="P2" s="2">
        <f t="shared" si="0"/>
        <v>17</v>
      </c>
      <c r="Q2" s="2">
        <f t="shared" si="0"/>
        <v>8</v>
      </c>
      <c r="R2" s="12">
        <f t="shared" si="0"/>
        <v>0</v>
      </c>
      <c r="S2" s="2">
        <f t="shared" si="0"/>
        <v>21</v>
      </c>
      <c r="T2" s="2">
        <f t="shared" si="0"/>
        <v>3</v>
      </c>
      <c r="U2" s="2">
        <f t="shared" si="0"/>
        <v>4</v>
      </c>
      <c r="V2" s="2">
        <f t="shared" si="0"/>
        <v>1</v>
      </c>
      <c r="W2" s="2">
        <f t="shared" si="0"/>
        <v>1</v>
      </c>
      <c r="X2" s="12">
        <f t="shared" si="0"/>
        <v>0</v>
      </c>
      <c r="Y2" s="2">
        <f t="shared" si="0"/>
        <v>0</v>
      </c>
      <c r="Z2" s="2">
        <f t="shared" si="0"/>
        <v>0</v>
      </c>
      <c r="AD2" s="2"/>
      <c r="AF2" s="2"/>
    </row>
    <row r="3" spans="1:32" ht="14.25" customHeight="1" x14ac:dyDescent="0.25">
      <c r="B3" s="2" t="s">
        <v>40</v>
      </c>
      <c r="C3" s="2"/>
      <c r="D3" s="2"/>
      <c r="E3" s="2"/>
      <c r="F3" s="2"/>
      <c r="G3" s="2"/>
      <c r="H3" s="3" t="s">
        <v>41</v>
      </c>
      <c r="I3" s="2">
        <f>24-I2+1</f>
        <v>22</v>
      </c>
      <c r="J3" s="2" t="s">
        <v>46</v>
      </c>
      <c r="K3" s="2">
        <f>K2</f>
        <v>3</v>
      </c>
      <c r="L3" s="2">
        <f t="shared" ref="L3:Z3" si="1">K3+L2</f>
        <v>22</v>
      </c>
      <c r="M3" s="2">
        <f t="shared" si="1"/>
        <v>27</v>
      </c>
      <c r="N3" s="2">
        <f t="shared" si="1"/>
        <v>46</v>
      </c>
      <c r="O3" s="2">
        <f t="shared" si="1"/>
        <v>51</v>
      </c>
      <c r="P3" s="2">
        <f t="shared" si="1"/>
        <v>68</v>
      </c>
      <c r="Q3" s="2">
        <f t="shared" si="1"/>
        <v>76</v>
      </c>
      <c r="R3" s="2">
        <f t="shared" si="1"/>
        <v>76</v>
      </c>
      <c r="S3" s="2">
        <f t="shared" si="1"/>
        <v>97</v>
      </c>
      <c r="T3" s="2">
        <f t="shared" si="1"/>
        <v>100</v>
      </c>
      <c r="U3" s="2">
        <f t="shared" si="1"/>
        <v>104</v>
      </c>
      <c r="V3" s="2">
        <f t="shared" si="1"/>
        <v>105</v>
      </c>
      <c r="W3" s="2">
        <f t="shared" si="1"/>
        <v>106</v>
      </c>
      <c r="X3" s="2">
        <f t="shared" si="1"/>
        <v>106</v>
      </c>
      <c r="Y3" s="2">
        <f t="shared" si="1"/>
        <v>106</v>
      </c>
      <c r="Z3" s="2">
        <f t="shared" si="1"/>
        <v>106</v>
      </c>
      <c r="AD3" s="2"/>
      <c r="AF3" s="2"/>
    </row>
    <row r="4" spans="1:32" ht="14.25" customHeight="1" x14ac:dyDescent="0.25">
      <c r="B4" s="1" t="s">
        <v>59</v>
      </c>
      <c r="C4" s="2"/>
      <c r="D4" s="2"/>
      <c r="E4" s="2"/>
      <c r="G4" s="2"/>
      <c r="H4" s="3"/>
      <c r="I4" s="2"/>
      <c r="J4" s="2" t="s">
        <v>61</v>
      </c>
      <c r="K4" s="2">
        <f>I2</f>
        <v>3</v>
      </c>
      <c r="L4" s="2">
        <f>I3</f>
        <v>22</v>
      </c>
      <c r="M4" s="2">
        <f>L4+5</f>
        <v>27</v>
      </c>
      <c r="N4" s="2">
        <f>M4+19</f>
        <v>46</v>
      </c>
      <c r="O4" s="2">
        <f>N4+5</f>
        <v>51</v>
      </c>
      <c r="P4" s="2">
        <f>O4+19</f>
        <v>70</v>
      </c>
      <c r="Q4" s="2">
        <f>P4+5</f>
        <v>75</v>
      </c>
      <c r="R4" s="2">
        <f>Q4+19</f>
        <v>94</v>
      </c>
      <c r="S4" s="2">
        <f>R4+5</f>
        <v>99</v>
      </c>
      <c r="T4" s="2">
        <f>S4+19</f>
        <v>118</v>
      </c>
      <c r="U4" s="2">
        <f>T4+5</f>
        <v>123</v>
      </c>
      <c r="V4" s="2">
        <f>U4+19</f>
        <v>142</v>
      </c>
      <c r="W4" s="2">
        <f>V4+5</f>
        <v>147</v>
      </c>
      <c r="X4" s="2">
        <f>W4+19</f>
        <v>166</v>
      </c>
      <c r="Y4" s="2">
        <f>X4+5</f>
        <v>171</v>
      </c>
      <c r="Z4" s="2">
        <f>Y4+19</f>
        <v>190</v>
      </c>
      <c r="AD4" s="2"/>
      <c r="AF4" s="2"/>
    </row>
    <row r="5" spans="1:32" ht="14.25" customHeight="1" x14ac:dyDescent="0.25">
      <c r="C5" s="2"/>
      <c r="D5" s="2"/>
      <c r="E5" s="2"/>
      <c r="F5" s="2"/>
      <c r="G5" s="2"/>
      <c r="H5" s="3"/>
      <c r="I5" s="2"/>
      <c r="J5" s="2" t="s">
        <v>82</v>
      </c>
      <c r="K5" s="2">
        <f t="shared" ref="K5:Z5" si="2">K3-K4</f>
        <v>0</v>
      </c>
      <c r="L5" s="2">
        <f t="shared" si="2"/>
        <v>0</v>
      </c>
      <c r="M5" s="2">
        <f t="shared" si="2"/>
        <v>0</v>
      </c>
      <c r="N5" s="2">
        <f t="shared" si="2"/>
        <v>0</v>
      </c>
      <c r="O5" s="2">
        <f t="shared" si="2"/>
        <v>0</v>
      </c>
      <c r="P5" s="2">
        <f t="shared" si="2"/>
        <v>-2</v>
      </c>
      <c r="Q5" s="2">
        <f t="shared" si="2"/>
        <v>1</v>
      </c>
      <c r="R5" s="2">
        <f t="shared" si="2"/>
        <v>-18</v>
      </c>
      <c r="S5" s="2">
        <f t="shared" si="2"/>
        <v>-2</v>
      </c>
      <c r="T5" s="2">
        <f t="shared" si="2"/>
        <v>-18</v>
      </c>
      <c r="U5" s="2">
        <f t="shared" si="2"/>
        <v>-19</v>
      </c>
      <c r="V5" s="2">
        <f t="shared" si="2"/>
        <v>-37</v>
      </c>
      <c r="W5" s="2">
        <f t="shared" si="2"/>
        <v>-41</v>
      </c>
      <c r="X5" s="2">
        <f t="shared" si="2"/>
        <v>-60</v>
      </c>
      <c r="Y5" s="2">
        <f t="shared" si="2"/>
        <v>-65</v>
      </c>
      <c r="Z5" s="2">
        <f t="shared" si="2"/>
        <v>-84</v>
      </c>
      <c r="AD5" s="2"/>
      <c r="AF5" s="2"/>
    </row>
    <row r="6" spans="1:32" ht="14.25" customHeight="1" x14ac:dyDescent="0.25">
      <c r="A6" s="15" t="s">
        <v>95</v>
      </c>
      <c r="B6" s="16" t="s">
        <v>96</v>
      </c>
      <c r="C6" s="17" t="s">
        <v>99</v>
      </c>
      <c r="D6" s="17" t="s">
        <v>26</v>
      </c>
      <c r="E6" s="17" t="s">
        <v>100</v>
      </c>
      <c r="F6" s="17" t="s">
        <v>27</v>
      </c>
      <c r="G6" s="4" t="s">
        <v>5</v>
      </c>
      <c r="H6" s="4" t="s">
        <v>8</v>
      </c>
      <c r="I6" s="4" t="s">
        <v>7</v>
      </c>
      <c r="J6" s="4" t="s">
        <v>28</v>
      </c>
      <c r="K6" s="4" t="s">
        <v>29</v>
      </c>
      <c r="L6" s="18" t="s">
        <v>102</v>
      </c>
      <c r="M6" s="18" t="s">
        <v>18</v>
      </c>
      <c r="N6" s="16" t="s">
        <v>105</v>
      </c>
      <c r="O6" s="15" t="s">
        <v>22</v>
      </c>
      <c r="P6" s="19" t="s">
        <v>106</v>
      </c>
      <c r="Q6" s="15" t="s">
        <v>9</v>
      </c>
      <c r="R6" s="15" t="s">
        <v>10</v>
      </c>
      <c r="S6" s="15" t="s">
        <v>12</v>
      </c>
      <c r="T6" s="15" t="s">
        <v>19</v>
      </c>
      <c r="U6" s="15" t="s">
        <v>15</v>
      </c>
      <c r="V6" s="16" t="s">
        <v>110</v>
      </c>
      <c r="W6" s="16" t="s">
        <v>111</v>
      </c>
      <c r="X6" s="16" t="s">
        <v>112</v>
      </c>
      <c r="Y6" s="16" t="s">
        <v>113</v>
      </c>
      <c r="Z6" s="4" t="s">
        <v>30</v>
      </c>
    </row>
    <row r="7" spans="1:32" ht="14.25" hidden="1" customHeight="1" x14ac:dyDescent="0.25">
      <c r="A7" s="11"/>
      <c r="B7" s="11">
        <f t="shared" ref="B7:B261" si="3">IFERROR(INT(AVERAGE(Q7:U7)/12)+1, INT(AVERAGE(M7)/12)+1)</f>
        <v>1</v>
      </c>
      <c r="C7" s="11" t="s">
        <v>119</v>
      </c>
      <c r="D7" s="11">
        <v>1</v>
      </c>
      <c r="E7" s="11"/>
      <c r="F7" s="11">
        <f>VLOOKUP(G7, SeanRanks!$A$2:$E$302, 4, FALSE)</f>
        <v>0</v>
      </c>
      <c r="G7" s="11" t="s">
        <v>54</v>
      </c>
      <c r="H7" s="11" t="str">
        <f>VLOOKUP($G7, 'ADP Data'!$C$4:$Q$300, 2, FALSE)</f>
        <v>SF</v>
      </c>
      <c r="I7" s="11">
        <f>VLOOKUP(G7, 'ADP Data'!$C$4:$R$498, 12, FALSE)</f>
        <v>7</v>
      </c>
      <c r="J7" s="21">
        <f>VLOOKUP($G7, SeanRanks!$A$2:$H$303, 5, FALSE)</f>
        <v>0</v>
      </c>
      <c r="K7" s="11" t="str">
        <f>VLOOKUP($G7, SeanRanks!$A$2:$H$303, 6, FALSE)</f>
        <v>RB1 - 1 - Elite floor/ceiling</v>
      </c>
      <c r="L7" s="11">
        <f t="shared" ref="L7:L261" si="4">IFERROR(INT(M7/8)+1, 16)</f>
        <v>2</v>
      </c>
      <c r="M7" s="11">
        <f>VLOOKUP($G7, 'ADP Data'!$C$4:$Q$300, 9, FALSE)</f>
        <v>10</v>
      </c>
      <c r="N7" s="11">
        <f t="shared" ref="N7:N261" si="5">M7-V7</f>
        <v>2</v>
      </c>
      <c r="O7" s="11">
        <f>VLOOKUP($G7, 'ADP Data'!$C$4:$Q$300, 3, FALSE)</f>
        <v>8</v>
      </c>
      <c r="P7" s="11">
        <f t="shared" ref="P7:P261" si="6">M7-O7</f>
        <v>2</v>
      </c>
      <c r="Q7" s="11">
        <f>VLOOKUP($G7, 'ADP Data'!$C$4:$Q$300, 4, FALSE)</f>
        <v>7</v>
      </c>
      <c r="R7" s="11">
        <f>VLOOKUP($G7, 'ADP Data'!$C$4:$Q$300, 5, FALSE)</f>
        <v>7</v>
      </c>
      <c r="S7" s="11">
        <f>VLOOKUP($G7, 'ADP Data'!$C$4:$Q$300, 6, FALSE)</f>
        <v>8</v>
      </c>
      <c r="T7" s="11">
        <f>VLOOKUP($G7, 'ADP Data'!$C$4:$Q$300, 7, FALSE)</f>
        <v>7</v>
      </c>
      <c r="U7" s="11">
        <f>VLOOKUP($G7, 'ADP Data'!$C$4:$Q$300, 8, FALSE)</f>
        <v>11</v>
      </c>
      <c r="V7" s="11">
        <f t="shared" ref="V7:V261" si="7">INT(AVERAGE(M7, O7,Q7:U7))</f>
        <v>8</v>
      </c>
      <c r="W7" s="11">
        <f t="shared" ref="W7:W261" si="8">IFERROR(INT(V7/8)+1, 16)</f>
        <v>2</v>
      </c>
      <c r="X7" s="11">
        <f t="shared" ref="X7:X261" si="9">D7-W7</f>
        <v>-1</v>
      </c>
      <c r="Y7" s="11">
        <f>VLOOKUP($G7, SeanRanks!$A$2:$K$303, 10, FALSE)-V7</f>
        <v>1</v>
      </c>
      <c r="Z7" s="25">
        <f>IF(VLOOKUP($G7, SeanRanks!$A$2:$H$303, 7, FALSE)=0, "", VLOOKUP($G7, SeanRanks!$A$2:$H$303, 7, FALSE))</f>
        <v>4</v>
      </c>
    </row>
    <row r="8" spans="1:32" ht="14.25" hidden="1" customHeight="1" x14ac:dyDescent="0.25">
      <c r="A8" s="11" t="s">
        <v>148</v>
      </c>
      <c r="B8" s="11">
        <f t="shared" si="3"/>
        <v>3</v>
      </c>
      <c r="C8" s="11" t="s">
        <v>119</v>
      </c>
      <c r="D8" s="11">
        <v>1</v>
      </c>
      <c r="E8" s="11"/>
      <c r="F8" s="11">
        <f>VLOOKUP(G8, SeanRanks!$A$2:$E$302, 4, FALSE)</f>
        <v>0</v>
      </c>
      <c r="G8" s="11" t="s">
        <v>190</v>
      </c>
      <c r="H8" s="11" t="str">
        <f>VLOOKUP($G8, 'ADP Data'!$C$4:$Q$300, 2, FALSE)</f>
        <v>MIA</v>
      </c>
      <c r="I8" s="11">
        <f>VLOOKUP(G8, 'ADP Data'!$C$4:$R$498, 12, FALSE)</f>
        <v>33</v>
      </c>
      <c r="J8" s="26" t="str">
        <f>VLOOKUP($G8, SeanRanks!$A$2:$H$303, 5, FALSE)</f>
        <v>Yes</v>
      </c>
      <c r="K8" s="11" t="str">
        <f>IF(VLOOKUP($G8, SeanRanks!$A$2:$H$303, 6, FALSE)=0, "", VLOOKUP($G8, SeanRanks!$A$2:$H$303, 6, FALSE))</f>
        <v>WR2 - 1 - WR1 upside</v>
      </c>
      <c r="L8" s="11">
        <f t="shared" si="4"/>
        <v>4</v>
      </c>
      <c r="M8" s="11">
        <f>VLOOKUP($G8, 'ADP Data'!$C$4:$Q$300, 9, FALSE)</f>
        <v>27</v>
      </c>
      <c r="N8" s="11">
        <f t="shared" si="5"/>
        <v>-7</v>
      </c>
      <c r="O8" s="11">
        <f>VLOOKUP($G8, 'ADP Data'!$C$4:$Q$300, 3, FALSE)</f>
        <v>39</v>
      </c>
      <c r="P8" s="11">
        <f t="shared" si="6"/>
        <v>-12</v>
      </c>
      <c r="Q8" s="11">
        <f>VLOOKUP($G8, 'ADP Data'!$C$4:$Q$300, 4, FALSE)</f>
        <v>31</v>
      </c>
      <c r="R8" s="11">
        <f>VLOOKUP($G8, 'ADP Data'!$C$4:$Q$300, 5, FALSE)</f>
        <v>36</v>
      </c>
      <c r="S8" s="11">
        <f>VLOOKUP($G8, 'ADP Data'!$C$4:$Q$300, 6, FALSE)</f>
        <v>36</v>
      </c>
      <c r="T8" s="11">
        <f>VLOOKUP($G8, 'ADP Data'!$C$4:$Q$300, 7, FALSE)</f>
        <v>33</v>
      </c>
      <c r="U8" s="11">
        <f>VLOOKUP($G8, 'ADP Data'!$C$4:$Q$300, 8, FALSE)</f>
        <v>36</v>
      </c>
      <c r="V8" s="11">
        <f t="shared" si="7"/>
        <v>34</v>
      </c>
      <c r="W8" s="11">
        <f t="shared" si="8"/>
        <v>5</v>
      </c>
      <c r="X8" s="11">
        <f t="shared" si="9"/>
        <v>-4</v>
      </c>
      <c r="Y8" s="11">
        <f>VLOOKUP($G8, SeanRanks!$A$2:$K$303, 10, FALSE)-V8</f>
        <v>8</v>
      </c>
      <c r="Z8" s="25">
        <f>IF(VLOOKUP($G8, SeanRanks!$A$2:$H$303, 7, FALSE)=0, "", VLOOKUP($G8, SeanRanks!$A$2:$H$303, 7, FALSE))</f>
        <v>16</v>
      </c>
    </row>
    <row r="9" spans="1:32" ht="14.25" hidden="1" customHeight="1" x14ac:dyDescent="0.25">
      <c r="A9" s="11"/>
      <c r="B9" s="11">
        <f t="shared" si="3"/>
        <v>1</v>
      </c>
      <c r="C9" s="11" t="s">
        <v>119</v>
      </c>
      <c r="D9" s="11">
        <v>1</v>
      </c>
      <c r="E9" s="11" t="s">
        <v>243</v>
      </c>
      <c r="F9" s="11">
        <f>VLOOKUP(G9, SeanRanks!$A$2:$E$302, 4, FALSE)</f>
        <v>0</v>
      </c>
      <c r="G9" s="11" t="s">
        <v>68</v>
      </c>
      <c r="H9" s="11" t="str">
        <f>VLOOKUP($G9, 'ADP Data'!$C$4:$Q$300, 2, FALSE)</f>
        <v>DAL</v>
      </c>
      <c r="I9" s="11">
        <f>VLOOKUP(G9, 'ADP Data'!$C$4:$R$498, 12, FALSE)</f>
        <v>3</v>
      </c>
      <c r="J9" s="26">
        <f>VLOOKUP($G9, SeanRanks!$A$2:$H$303, 5, FALSE)</f>
        <v>0</v>
      </c>
      <c r="K9" s="11" t="str">
        <f>IF(VLOOKUP($G9, SeanRanks!$A$2:$H$303, 6, FALSE)=0, "", VLOOKUP($G9, SeanRanks!$A$2:$H$303, 6, FALSE))</f>
        <v>WR1 - 1 - Elite</v>
      </c>
      <c r="L9" s="11">
        <f t="shared" si="4"/>
        <v>1</v>
      </c>
      <c r="M9" s="11">
        <f>VLOOKUP($G9, 'ADP Data'!$C$4:$Q$300, 9, FALSE)</f>
        <v>6</v>
      </c>
      <c r="N9" s="11">
        <f t="shared" si="5"/>
        <v>2</v>
      </c>
      <c r="O9" s="11">
        <f>VLOOKUP($G9, 'ADP Data'!$C$4:$Q$300, 3, FALSE)</f>
        <v>5</v>
      </c>
      <c r="P9" s="11">
        <f t="shared" si="6"/>
        <v>1</v>
      </c>
      <c r="Q9" s="11">
        <f>VLOOKUP($G9, 'ADP Data'!$C$4:$Q$300, 4, FALSE)</f>
        <v>6</v>
      </c>
      <c r="R9" s="11">
        <f>VLOOKUP($G9, 'ADP Data'!$C$4:$Q$300, 5, FALSE)</f>
        <v>5</v>
      </c>
      <c r="S9" s="11">
        <f>VLOOKUP($G9, 'ADP Data'!$C$4:$Q$300, 6, FALSE)</f>
        <v>4</v>
      </c>
      <c r="T9" s="11">
        <f>VLOOKUP($G9, 'ADP Data'!$C$4:$Q$300, 7, FALSE)</f>
        <v>4</v>
      </c>
      <c r="U9" s="11">
        <f>VLOOKUP($G9, 'ADP Data'!$C$4:$Q$300, 8, FALSE)</f>
        <v>3</v>
      </c>
      <c r="V9" s="11">
        <f t="shared" si="7"/>
        <v>4</v>
      </c>
      <c r="W9" s="11">
        <f t="shared" si="8"/>
        <v>1</v>
      </c>
      <c r="X9" s="11">
        <f t="shared" si="9"/>
        <v>0</v>
      </c>
      <c r="Y9" s="11">
        <f>VLOOKUP($G9, SeanRanks!$A$2:$K$303, 10, FALSE)-V9</f>
        <v>1</v>
      </c>
      <c r="Z9" s="25">
        <f>IF(VLOOKUP($G9, SeanRanks!$A$2:$H$303, 7, FALSE)=0, "", VLOOKUP($G9, SeanRanks!$A$2:$H$303, 7, FALSE))</f>
        <v>3</v>
      </c>
    </row>
    <row r="10" spans="1:32" ht="14.25" hidden="1" customHeight="1" x14ac:dyDescent="0.25">
      <c r="A10" s="11"/>
      <c r="B10" s="11">
        <f t="shared" si="3"/>
        <v>4</v>
      </c>
      <c r="C10" s="11" t="s">
        <v>119</v>
      </c>
      <c r="D10" s="11">
        <v>2</v>
      </c>
      <c r="E10" s="11"/>
      <c r="F10" s="11">
        <f>VLOOKUP(G10, SeanRanks!$A$2:$E$302, 4, FALSE)</f>
        <v>0</v>
      </c>
      <c r="G10" s="11" t="s">
        <v>143</v>
      </c>
      <c r="H10" s="11" t="str">
        <f>VLOOKUP($G10, 'ADP Data'!$C$4:$Q$300, 2, FALSE)</f>
        <v>NYJ</v>
      </c>
      <c r="I10" s="11">
        <f>VLOOKUP(G10, 'ADP Data'!$C$4:$R$498, 12, FALSE)</f>
        <v>47</v>
      </c>
      <c r="J10" s="21">
        <f>VLOOKUP($G10, SeanRanks!$A$2:$H$303, 5, FALSE)</f>
        <v>0</v>
      </c>
      <c r="K10" s="11" t="str">
        <f>IF(VLOOKUP($G10, SeanRanks!$A$2:$H$303, 6, FALSE)=0, "", VLOOKUP($G10, SeanRanks!$A$2:$H$303, 6, FALSE))</f>
        <v>RB2 - 1 - Clear path to spikes</v>
      </c>
      <c r="L10" s="11">
        <f t="shared" si="4"/>
        <v>5</v>
      </c>
      <c r="M10" s="11">
        <f>VLOOKUP($G10, 'ADP Data'!$C$4:$Q$300, 9, FALSE)</f>
        <v>32</v>
      </c>
      <c r="N10" s="11">
        <f t="shared" si="5"/>
        <v>-7</v>
      </c>
      <c r="O10" s="11">
        <f>VLOOKUP($G10, 'ADP Data'!$C$4:$Q$300, 3, FALSE)</f>
        <v>41</v>
      </c>
      <c r="P10" s="11">
        <f t="shared" si="6"/>
        <v>-9</v>
      </c>
      <c r="Q10" s="11">
        <f>VLOOKUP($G10, 'ADP Data'!$C$4:$Q$300, 4, FALSE)</f>
        <v>51</v>
      </c>
      <c r="R10" s="11">
        <f>VLOOKUP($G10, 'ADP Data'!$C$4:$Q$300, 5, FALSE)</f>
        <v>41</v>
      </c>
      <c r="S10" s="11">
        <f>VLOOKUP($G10, 'ADP Data'!$C$4:$Q$300, 6, FALSE)</f>
        <v>42</v>
      </c>
      <c r="T10" s="11">
        <f>VLOOKUP($G10, 'ADP Data'!$C$4:$Q$300, 7, FALSE)</f>
        <v>39</v>
      </c>
      <c r="U10" s="11">
        <f>VLOOKUP($G10, 'ADP Data'!$C$4:$Q$300, 8, FALSE)</f>
        <v>31</v>
      </c>
      <c r="V10" s="11">
        <f t="shared" si="7"/>
        <v>39</v>
      </c>
      <c r="W10" s="11">
        <f t="shared" si="8"/>
        <v>5</v>
      </c>
      <c r="X10" s="11">
        <f t="shared" si="9"/>
        <v>-3</v>
      </c>
      <c r="Y10" s="11">
        <f>VLOOKUP($G10, SeanRanks!$A$2:$K$303, 10, FALSE)-V10</f>
        <v>11</v>
      </c>
      <c r="Z10" s="25">
        <f>IF(VLOOKUP($G10, SeanRanks!$A$2:$H$303, 7, FALSE)=0, "", VLOOKUP($G10, SeanRanks!$A$2:$H$303, 7, FALSE))</f>
        <v>16</v>
      </c>
    </row>
    <row r="11" spans="1:32" ht="14.25" hidden="1" customHeight="1" x14ac:dyDescent="0.25">
      <c r="A11" s="11"/>
      <c r="B11" s="11">
        <f t="shared" si="3"/>
        <v>1</v>
      </c>
      <c r="C11" s="11" t="s">
        <v>119</v>
      </c>
      <c r="D11" s="11">
        <v>2</v>
      </c>
      <c r="E11" s="11"/>
      <c r="F11" s="11">
        <f>VLOOKUP(G11, SeanRanks!$A$2:$E$302, 4, FALSE)</f>
        <v>0</v>
      </c>
      <c r="G11" s="11" t="s">
        <v>38</v>
      </c>
      <c r="H11" s="11" t="str">
        <f>VLOOKUP($G11, 'ADP Data'!$C$4:$Q$300, 2, FALSE)</f>
        <v>ATL</v>
      </c>
      <c r="I11" s="11">
        <f>VLOOKUP(G11, 'ADP Data'!$C$4:$R$498, 12, FALSE)</f>
        <v>2</v>
      </c>
      <c r="J11" s="21">
        <f>VLOOKUP($G11, SeanRanks!$A$2:$H$303, 5, FALSE)</f>
        <v>0</v>
      </c>
      <c r="K11" s="11" t="str">
        <f>IF(VLOOKUP($G11, SeanRanks!$A$2:$H$303, 6, FALSE)=0, "", VLOOKUP($G11, SeanRanks!$A$2:$H$303, 6, FALSE))</f>
        <v>RB1 - 1 - Elite floor/ceiling</v>
      </c>
      <c r="L11" s="11">
        <f t="shared" si="4"/>
        <v>1</v>
      </c>
      <c r="M11" s="11">
        <f>VLOOKUP($G11, 'ADP Data'!$C$4:$Q$300, 9, FALSE)</f>
        <v>3</v>
      </c>
      <c r="N11" s="11">
        <f t="shared" si="5"/>
        <v>1</v>
      </c>
      <c r="O11" s="11">
        <f>VLOOKUP($G11, 'ADP Data'!$C$4:$Q$300, 3, FALSE)</f>
        <v>2</v>
      </c>
      <c r="P11" s="11">
        <f t="shared" si="6"/>
        <v>1</v>
      </c>
      <c r="Q11" s="11">
        <f>VLOOKUP($G11, 'ADP Data'!$C$4:$Q$300, 4, FALSE)</f>
        <v>2</v>
      </c>
      <c r="R11" s="11">
        <f>VLOOKUP($G11, 'ADP Data'!$C$4:$Q$300, 5, FALSE)</f>
        <v>2</v>
      </c>
      <c r="S11" s="11">
        <f>VLOOKUP($G11, 'ADP Data'!$C$4:$Q$300, 6, FALSE)</f>
        <v>2</v>
      </c>
      <c r="T11" s="11">
        <f>VLOOKUP($G11, 'ADP Data'!$C$4:$Q$300, 7, FALSE)</f>
        <v>2</v>
      </c>
      <c r="U11" s="11">
        <f>VLOOKUP($G11, 'ADP Data'!$C$4:$Q$300, 8, FALSE)</f>
        <v>2</v>
      </c>
      <c r="V11" s="11">
        <f t="shared" si="7"/>
        <v>2</v>
      </c>
      <c r="W11" s="11">
        <f t="shared" si="8"/>
        <v>1</v>
      </c>
      <c r="X11" s="11">
        <f t="shared" si="9"/>
        <v>1</v>
      </c>
      <c r="Y11" s="11">
        <f>VLOOKUP($G11, SeanRanks!$A$2:$K$303, 10, FALSE)-V11</f>
        <v>0</v>
      </c>
      <c r="Z11" s="25">
        <f>IF(VLOOKUP($G11, SeanRanks!$A$2:$H$303, 7, FALSE)=0, "", VLOOKUP($G11, SeanRanks!$A$2:$H$303, 7, FALSE))</f>
        <v>1</v>
      </c>
    </row>
    <row r="12" spans="1:32" ht="14.25" hidden="1" customHeight="1" x14ac:dyDescent="0.25">
      <c r="A12" s="11"/>
      <c r="B12" s="11">
        <f t="shared" si="3"/>
        <v>1</v>
      </c>
      <c r="C12" s="11" t="s">
        <v>119</v>
      </c>
      <c r="D12" s="11">
        <v>2</v>
      </c>
      <c r="E12" s="11"/>
      <c r="F12" s="11">
        <f>VLOOKUP(G12, SeanRanks!$A$2:$E$302, 4, FALSE)</f>
        <v>0</v>
      </c>
      <c r="G12" s="11" t="s">
        <v>43</v>
      </c>
      <c r="H12" s="11" t="str">
        <f>VLOOKUP($G12, 'ADP Data'!$C$4:$Q$300, 2, FALSE)</f>
        <v>CIN</v>
      </c>
      <c r="I12" s="11">
        <f>VLOOKUP(G12, 'ADP Data'!$C$4:$R$498, 12, FALSE)</f>
        <v>1</v>
      </c>
      <c r="J12" s="26">
        <f>VLOOKUP($G12, SeanRanks!$A$2:$H$303, 5, FALSE)</f>
        <v>0</v>
      </c>
      <c r="K12" s="11" t="str">
        <f>IF(VLOOKUP($G12, SeanRanks!$A$2:$H$303, 6, FALSE)=0, "", VLOOKUP($G12, SeanRanks!$A$2:$H$303, 6, FALSE))</f>
        <v>WR1 - 1 - Elite</v>
      </c>
      <c r="L12" s="11">
        <f t="shared" si="4"/>
        <v>1</v>
      </c>
      <c r="M12" s="11">
        <f>VLOOKUP($G12, 'ADP Data'!$C$4:$Q$300, 9, FALSE)</f>
        <v>1</v>
      </c>
      <c r="N12" s="11">
        <f t="shared" si="5"/>
        <v>0</v>
      </c>
      <c r="O12" s="11">
        <f>VLOOKUP($G12, 'ADP Data'!$C$4:$Q$300, 3, FALSE)</f>
        <v>1</v>
      </c>
      <c r="P12" s="11">
        <f t="shared" si="6"/>
        <v>0</v>
      </c>
      <c r="Q12" s="11">
        <f>VLOOKUP($G12, 'ADP Data'!$C$4:$Q$300, 4, FALSE)</f>
        <v>1</v>
      </c>
      <c r="R12" s="11">
        <f>VLOOKUP($G12, 'ADP Data'!$C$4:$Q$300, 5, FALSE)</f>
        <v>1</v>
      </c>
      <c r="S12" s="11">
        <f>VLOOKUP($G12, 'ADP Data'!$C$4:$Q$300, 6, FALSE)</f>
        <v>1</v>
      </c>
      <c r="T12" s="11">
        <f>VLOOKUP($G12, 'ADP Data'!$C$4:$Q$300, 7, FALSE)</f>
        <v>1</v>
      </c>
      <c r="U12" s="11">
        <f>VLOOKUP($G12, 'ADP Data'!$C$4:$Q$300, 8, FALSE)</f>
        <v>1</v>
      </c>
      <c r="V12" s="11">
        <f t="shared" si="7"/>
        <v>1</v>
      </c>
      <c r="W12" s="11">
        <f t="shared" si="8"/>
        <v>1</v>
      </c>
      <c r="X12" s="11">
        <f t="shared" si="9"/>
        <v>1</v>
      </c>
      <c r="Y12" s="11">
        <f>VLOOKUP($G12, SeanRanks!$A$2:$K$303, 10, FALSE)-V12</f>
        <v>0</v>
      </c>
      <c r="Z12" s="25">
        <f>IF(VLOOKUP($G12, SeanRanks!$A$2:$H$303, 7, FALSE)=0, "", VLOOKUP($G12, SeanRanks!$A$2:$H$303, 7, FALSE))</f>
        <v>1</v>
      </c>
    </row>
    <row r="13" spans="1:32" ht="14.25" hidden="1" customHeight="1" x14ac:dyDescent="0.25">
      <c r="A13" s="11"/>
      <c r="B13" s="11">
        <f t="shared" si="3"/>
        <v>2</v>
      </c>
      <c r="C13" s="11" t="s">
        <v>119</v>
      </c>
      <c r="D13" s="11"/>
      <c r="E13" s="11"/>
      <c r="F13" s="11">
        <f>VLOOKUP(G13, SeanRanks!$A$2:$E$302, 4, FALSE)</f>
        <v>0</v>
      </c>
      <c r="G13" s="11" t="s">
        <v>103</v>
      </c>
      <c r="H13" s="11" t="str">
        <f>VLOOKUP($G13, 'ADP Data'!$C$4:$Q$300, 2, FALSE)</f>
        <v>PHI</v>
      </c>
      <c r="I13" s="11">
        <f>VLOOKUP(G13, 'ADP Data'!$C$4:$R$498, 12, FALSE)</f>
        <v>17</v>
      </c>
      <c r="J13" s="26">
        <f>VLOOKUP($G13, SeanRanks!$A$2:$H$303, 5, FALSE)</f>
        <v>0</v>
      </c>
      <c r="K13" s="11" t="str">
        <f>IF(VLOOKUP($G13, SeanRanks!$A$2:$H$303, 6, FALSE)=0, "", VLOOKUP($G13, SeanRanks!$A$2:$H$303, 6, FALSE))</f>
        <v>WR1 - 3 - Inconsistent</v>
      </c>
      <c r="L13" s="11">
        <f t="shared" si="4"/>
        <v>3</v>
      </c>
      <c r="M13" s="11">
        <f>VLOOKUP($G13, 'ADP Data'!$C$4:$Q$300, 9, FALSE)</f>
        <v>18</v>
      </c>
      <c r="N13" s="11">
        <f t="shared" si="5"/>
        <v>-2</v>
      </c>
      <c r="O13" s="11">
        <f>VLOOKUP($G13, 'ADP Data'!$C$4:$Q$300, 3, FALSE)</f>
        <v>27</v>
      </c>
      <c r="P13" s="11">
        <f t="shared" si="6"/>
        <v>-9</v>
      </c>
      <c r="Q13" s="11">
        <f>VLOOKUP($G13, 'ADP Data'!$C$4:$Q$300, 4, FALSE)</f>
        <v>18</v>
      </c>
      <c r="R13" s="11">
        <f>VLOOKUP($G13, 'ADP Data'!$C$4:$Q$300, 5, FALSE)</f>
        <v>22</v>
      </c>
      <c r="S13" s="11">
        <f>VLOOKUP($G13, 'ADP Data'!$C$4:$Q$300, 6, FALSE)</f>
        <v>23</v>
      </c>
      <c r="T13" s="11">
        <f>VLOOKUP($G13, 'ADP Data'!$C$4:$Q$300, 7, FALSE)</f>
        <v>21</v>
      </c>
      <c r="U13" s="11">
        <f>VLOOKUP($G13, 'ADP Data'!$C$4:$Q$300, 8, FALSE)</f>
        <v>15</v>
      </c>
      <c r="V13" s="11">
        <f t="shared" si="7"/>
        <v>20</v>
      </c>
      <c r="W13" s="11">
        <f t="shared" si="8"/>
        <v>3</v>
      </c>
      <c r="X13" s="11">
        <f t="shared" si="9"/>
        <v>-3</v>
      </c>
      <c r="Y13" s="11">
        <f>VLOOKUP($G13, SeanRanks!$A$2:$K$303, 10, FALSE)-V13</f>
        <v>-2</v>
      </c>
      <c r="Z13" s="25">
        <f>IF(VLOOKUP($G13, SeanRanks!$A$2:$H$303, 7, FALSE)=0, "", VLOOKUP($G13, SeanRanks!$A$2:$H$303, 7, FALSE))</f>
        <v>11</v>
      </c>
    </row>
    <row r="14" spans="1:32" ht="14.25" hidden="1" customHeight="1" x14ac:dyDescent="0.25">
      <c r="A14" s="11"/>
      <c r="B14" s="11">
        <f t="shared" si="3"/>
        <v>1</v>
      </c>
      <c r="C14" s="11" t="s">
        <v>119</v>
      </c>
      <c r="D14" s="11"/>
      <c r="E14" s="11"/>
      <c r="F14" s="11">
        <f>VLOOKUP(G14, SeanRanks!$A$2:$E$302, 4, FALSE)</f>
        <v>0</v>
      </c>
      <c r="G14" s="11" t="s">
        <v>71</v>
      </c>
      <c r="H14" s="11" t="str">
        <f>VLOOKUP($G14, 'ADP Data'!$C$4:$Q$300, 2, FALSE)</f>
        <v>MIN</v>
      </c>
      <c r="I14" s="11">
        <f>VLOOKUP(G14, 'ADP Data'!$C$4:$R$498, 12, FALSE)</f>
        <v>5</v>
      </c>
      <c r="J14" s="26">
        <f>VLOOKUP($G14, SeanRanks!$A$2:$H$303, 5, FALSE)</f>
        <v>0</v>
      </c>
      <c r="K14" s="11" t="str">
        <f>IF(VLOOKUP($G14, SeanRanks!$A$2:$H$303, 6, FALSE)=0, "", VLOOKUP($G14, SeanRanks!$A$2:$H$303, 6, FALSE))</f>
        <v>WR1 - 1 - Elite</v>
      </c>
      <c r="L14" s="11">
        <f t="shared" si="4"/>
        <v>1</v>
      </c>
      <c r="M14" s="11">
        <f>VLOOKUP($G14, 'ADP Data'!$C$4:$Q$300, 9, FALSE)</f>
        <v>5</v>
      </c>
      <c r="N14" s="11">
        <f t="shared" si="5"/>
        <v>0</v>
      </c>
      <c r="O14" s="11">
        <f>VLOOKUP($G14, 'ADP Data'!$C$4:$Q$300, 3, FALSE)</f>
        <v>6</v>
      </c>
      <c r="P14" s="11">
        <f t="shared" si="6"/>
        <v>-1</v>
      </c>
      <c r="Q14" s="11">
        <f>VLOOKUP($G14, 'ADP Data'!$C$4:$Q$300, 4, FALSE)</f>
        <v>4</v>
      </c>
      <c r="R14" s="11">
        <f>VLOOKUP($G14, 'ADP Data'!$C$4:$Q$300, 5, FALSE)</f>
        <v>3</v>
      </c>
      <c r="S14" s="11">
        <f>VLOOKUP($G14, 'ADP Data'!$C$4:$Q$300, 6, FALSE)</f>
        <v>6</v>
      </c>
      <c r="T14" s="11">
        <f>VLOOKUP($G14, 'ADP Data'!$C$4:$Q$300, 7, FALSE)</f>
        <v>6</v>
      </c>
      <c r="U14" s="11">
        <f>VLOOKUP($G14, 'ADP Data'!$C$4:$Q$300, 8, FALSE)</f>
        <v>5</v>
      </c>
      <c r="V14" s="11">
        <f t="shared" si="7"/>
        <v>5</v>
      </c>
      <c r="W14" s="11">
        <f t="shared" si="8"/>
        <v>1</v>
      </c>
      <c r="X14" s="11">
        <f t="shared" si="9"/>
        <v>-1</v>
      </c>
      <c r="Y14" s="11">
        <f>VLOOKUP($G14, SeanRanks!$A$2:$K$303, 10, FALSE)-V14</f>
        <v>1</v>
      </c>
      <c r="Z14" s="25">
        <f>IF(VLOOKUP($G14, SeanRanks!$A$2:$H$303, 7, FALSE)=0, "", VLOOKUP($G14, SeanRanks!$A$2:$H$303, 7, FALSE))</f>
        <v>2</v>
      </c>
    </row>
    <row r="15" spans="1:32" ht="14.25" hidden="1" customHeight="1" x14ac:dyDescent="0.25">
      <c r="A15" s="11"/>
      <c r="B15" s="11">
        <f t="shared" si="3"/>
        <v>1</v>
      </c>
      <c r="C15" s="11" t="s">
        <v>119</v>
      </c>
      <c r="D15" s="11">
        <v>2</v>
      </c>
      <c r="E15" s="11"/>
      <c r="F15" s="11">
        <f>VLOOKUP(G15, SeanRanks!$A$2:$E$302, 4, FALSE)</f>
        <v>0</v>
      </c>
      <c r="G15" s="11" t="s">
        <v>63</v>
      </c>
      <c r="H15" s="11" t="str">
        <f>VLOOKUP($G15, 'ADP Data'!$C$4:$Q$300, 2, FALSE)</f>
        <v>DET</v>
      </c>
      <c r="I15" s="11">
        <f>VLOOKUP(G15, 'ADP Data'!$C$4:$R$498, 12, FALSE)</f>
        <v>9</v>
      </c>
      <c r="J15" s="26">
        <f>VLOOKUP($G15, SeanRanks!$A$2:$H$303, 5, FALSE)</f>
        <v>0</v>
      </c>
      <c r="K15" s="11" t="str">
        <f>IF(VLOOKUP($G15, SeanRanks!$A$2:$H$303, 6, FALSE)=0, "", VLOOKUP($G15, SeanRanks!$A$2:$H$303, 6, FALSE))</f>
        <v>WR1 - 2 - High Floor</v>
      </c>
      <c r="L15" s="11">
        <f t="shared" si="4"/>
        <v>2</v>
      </c>
      <c r="M15" s="11">
        <f>VLOOKUP($G15, 'ADP Data'!$C$4:$Q$300, 9, FALSE)</f>
        <v>8</v>
      </c>
      <c r="N15" s="11">
        <f t="shared" si="5"/>
        <v>-1</v>
      </c>
      <c r="O15" s="11">
        <f>VLOOKUP($G15, 'ADP Data'!$C$4:$Q$300, 3, FALSE)</f>
        <v>12</v>
      </c>
      <c r="P15" s="11">
        <f t="shared" si="6"/>
        <v>-4</v>
      </c>
      <c r="Q15" s="11">
        <f>VLOOKUP($G15, 'ADP Data'!$C$4:$Q$300, 4, FALSE)</f>
        <v>8</v>
      </c>
      <c r="R15" s="11">
        <f>VLOOKUP($G15, 'ADP Data'!$C$4:$Q$300, 5, FALSE)</f>
        <v>11</v>
      </c>
      <c r="S15" s="11">
        <f>VLOOKUP($G15, 'ADP Data'!$C$4:$Q$300, 6, FALSE)</f>
        <v>11</v>
      </c>
      <c r="T15" s="11">
        <f>VLOOKUP($G15, 'ADP Data'!$C$4:$Q$300, 7, FALSE)</f>
        <v>9</v>
      </c>
      <c r="U15" s="11">
        <f>VLOOKUP($G15, 'ADP Data'!$C$4:$Q$300, 8, FALSE)</f>
        <v>8</v>
      </c>
      <c r="V15" s="11">
        <f t="shared" si="7"/>
        <v>9</v>
      </c>
      <c r="W15" s="11">
        <f t="shared" si="8"/>
        <v>2</v>
      </c>
      <c r="X15" s="11">
        <f t="shared" si="9"/>
        <v>0</v>
      </c>
      <c r="Y15" s="11">
        <f>VLOOKUP($G15, SeanRanks!$A$2:$K$303, 10, FALSE)-V15</f>
        <v>-1</v>
      </c>
      <c r="Z15" s="25">
        <f>IF(VLOOKUP($G15, SeanRanks!$A$2:$H$303, 7, FALSE)=0, "", VLOOKUP($G15, SeanRanks!$A$2:$H$303, 7, FALSE))</f>
        <v>6</v>
      </c>
    </row>
    <row r="16" spans="1:32" ht="14.25" hidden="1" customHeight="1" x14ac:dyDescent="0.25">
      <c r="A16" s="11"/>
      <c r="B16" s="11">
        <f t="shared" si="3"/>
        <v>2</v>
      </c>
      <c r="C16" s="11" t="s">
        <v>119</v>
      </c>
      <c r="D16" s="11"/>
      <c r="E16" s="11"/>
      <c r="F16" s="11">
        <f>VLOOKUP(G16, SeanRanks!$A$2:$E$302, 4, FALSE)</f>
        <v>0</v>
      </c>
      <c r="G16" s="11" t="s">
        <v>58</v>
      </c>
      <c r="H16" s="11" t="str">
        <f>VLOOKUP($G16, 'ADP Data'!$C$4:$Q$300, 2, FALSE)</f>
        <v>IND</v>
      </c>
      <c r="I16" s="11">
        <f>VLOOKUP(G16, 'ADP Data'!$C$4:$R$498, 12, FALSE)</f>
        <v>20</v>
      </c>
      <c r="J16" s="21" t="str">
        <f>VLOOKUP($G16, SeanRanks!$A$2:$H$303, 5, FALSE)</f>
        <v>No</v>
      </c>
      <c r="K16" s="11" t="str">
        <f>IF(VLOOKUP($G16, SeanRanks!$A$2:$H$303, 6, FALSE)=0, "", VLOOKUP($G16, SeanRanks!$A$2:$H$303, 6, FALSE))</f>
        <v>RB1 - 2 - Elite ceiling/questions</v>
      </c>
      <c r="L16" s="11">
        <f t="shared" si="4"/>
        <v>3</v>
      </c>
      <c r="M16" s="11">
        <f>VLOOKUP($G16, 'ADP Data'!$C$4:$Q$300, 9, FALSE)</f>
        <v>20</v>
      </c>
      <c r="N16" s="11">
        <f t="shared" si="5"/>
        <v>1</v>
      </c>
      <c r="O16" s="11">
        <f>VLOOKUP($G16, 'ADP Data'!$C$4:$Q$300, 3, FALSE)</f>
        <v>21</v>
      </c>
      <c r="P16" s="11">
        <f t="shared" si="6"/>
        <v>-1</v>
      </c>
      <c r="Q16" s="11">
        <f>VLOOKUP($G16, 'ADP Data'!$C$4:$Q$300, 4, FALSE)</f>
        <v>15</v>
      </c>
      <c r="R16" s="11">
        <f>VLOOKUP($G16, 'ADP Data'!$C$4:$Q$300, 5, FALSE)</f>
        <v>20</v>
      </c>
      <c r="S16" s="11">
        <f>VLOOKUP($G16, 'ADP Data'!$C$4:$Q$300, 6, FALSE)</f>
        <v>21</v>
      </c>
      <c r="T16" s="11">
        <f>VLOOKUP($G16, 'ADP Data'!$C$4:$Q$300, 7, FALSE)</f>
        <v>20</v>
      </c>
      <c r="U16" s="11">
        <f>VLOOKUP($G16, 'ADP Data'!$C$4:$Q$300, 8, FALSE)</f>
        <v>22</v>
      </c>
      <c r="V16" s="11">
        <f t="shared" si="7"/>
        <v>19</v>
      </c>
      <c r="W16" s="11">
        <f t="shared" si="8"/>
        <v>3</v>
      </c>
      <c r="X16" s="11">
        <f t="shared" si="9"/>
        <v>-3</v>
      </c>
      <c r="Y16" s="11">
        <f>VLOOKUP($G16, SeanRanks!$A$2:$K$303, 10, FALSE)-V16</f>
        <v>0</v>
      </c>
      <c r="Z16" s="25">
        <f>IF(VLOOKUP($G16, SeanRanks!$A$2:$H$303, 7, FALSE)=0, "", VLOOKUP($G16, SeanRanks!$A$2:$H$303, 7, FALSE))</f>
        <v>12</v>
      </c>
    </row>
    <row r="17" spans="1:26" ht="14.25" hidden="1" customHeight="1" x14ac:dyDescent="0.25">
      <c r="A17" s="11"/>
      <c r="B17" s="11">
        <f t="shared" si="3"/>
        <v>1</v>
      </c>
      <c r="C17" s="11" t="s">
        <v>119</v>
      </c>
      <c r="D17" s="11">
        <v>2</v>
      </c>
      <c r="E17" s="23"/>
      <c r="F17" s="11">
        <f>VLOOKUP(G17, SeanRanks!$A$2:$E$302, 4, FALSE)</f>
        <v>0</v>
      </c>
      <c r="G17" s="11" t="s">
        <v>48</v>
      </c>
      <c r="H17" s="11" t="str">
        <f>VLOOKUP($G17, 'ADP Data'!$C$4:$Q$300, 2, FALSE)</f>
        <v>LAR</v>
      </c>
      <c r="I17" s="11">
        <f>VLOOKUP(G17, 'ADP Data'!$C$4:$R$498, 12, FALSE)</f>
        <v>13</v>
      </c>
      <c r="J17" s="28">
        <f>VLOOKUP($G17, SeanRanks!$A$2:$H$303, 5, FALSE)</f>
        <v>0</v>
      </c>
      <c r="K17" s="11" t="str">
        <f>IF(VLOOKUP($G17, SeanRanks!$A$2:$H$303, 6, FALSE)=0, "", VLOOKUP($G17, SeanRanks!$A$2:$H$303, 6, FALSE))</f>
        <v>WR1 - 2 - High Floor</v>
      </c>
      <c r="L17" s="11">
        <f t="shared" si="4"/>
        <v>2</v>
      </c>
      <c r="M17" s="11">
        <f>VLOOKUP($G17, 'ADP Data'!$C$4:$Q$300, 9, FALSE)</f>
        <v>11</v>
      </c>
      <c r="N17" s="11">
        <f t="shared" si="5"/>
        <v>0</v>
      </c>
      <c r="O17" s="11">
        <f>VLOOKUP($G17, 'ADP Data'!$C$4:$Q$300, 3, FALSE)</f>
        <v>14</v>
      </c>
      <c r="P17" s="11">
        <f t="shared" si="6"/>
        <v>-3</v>
      </c>
      <c r="Q17" s="11">
        <f>VLOOKUP($G17, 'ADP Data'!$C$4:$Q$300, 4, FALSE)</f>
        <v>9</v>
      </c>
      <c r="R17" s="11">
        <f>VLOOKUP($G17, 'ADP Data'!$C$4:$Q$300, 5, FALSE)</f>
        <v>8</v>
      </c>
      <c r="S17" s="11">
        <f>VLOOKUP($G17, 'ADP Data'!$C$4:$Q$300, 6, FALSE)</f>
        <v>15</v>
      </c>
      <c r="T17" s="11">
        <f>VLOOKUP($G17, 'ADP Data'!$C$4:$Q$300, 7, FALSE)</f>
        <v>14</v>
      </c>
      <c r="U17" s="11">
        <f>VLOOKUP($G17, 'ADP Data'!$C$4:$Q$300, 8, FALSE)</f>
        <v>7</v>
      </c>
      <c r="V17" s="11">
        <f t="shared" si="7"/>
        <v>11</v>
      </c>
      <c r="W17" s="11">
        <f t="shared" si="8"/>
        <v>2</v>
      </c>
      <c r="X17" s="11">
        <f t="shared" si="9"/>
        <v>0</v>
      </c>
      <c r="Y17" s="11">
        <f>VLOOKUP($G17, SeanRanks!$A$2:$K$303, 10, FALSE)-V17</f>
        <v>5</v>
      </c>
      <c r="Z17" s="25">
        <f>IF(VLOOKUP($G17, SeanRanks!$A$2:$H$303, 7, FALSE)=0, "", VLOOKUP($G17, SeanRanks!$A$2:$H$303, 7, FALSE))</f>
        <v>9</v>
      </c>
    </row>
    <row r="18" spans="1:26" ht="14.25" hidden="1" customHeight="1" x14ac:dyDescent="0.25">
      <c r="A18" s="11"/>
      <c r="B18" s="11">
        <f t="shared" si="3"/>
        <v>4</v>
      </c>
      <c r="C18" s="11" t="s">
        <v>119</v>
      </c>
      <c r="D18" s="11"/>
      <c r="E18" s="11"/>
      <c r="F18" s="11">
        <f>VLOOKUP(G18, SeanRanks!$A$2:$E$302, 4, FALSE)</f>
        <v>0</v>
      </c>
      <c r="G18" s="11" t="s">
        <v>152</v>
      </c>
      <c r="H18" s="11" t="str">
        <f>VLOOKUP($G18, 'ADP Data'!$C$4:$Q$300, 2, FALSE)</f>
        <v>NYJ</v>
      </c>
      <c r="I18" s="11">
        <f>VLOOKUP(G18, 'ADP Data'!$C$4:$R$498, 12, FALSE)</f>
        <v>28</v>
      </c>
      <c r="J18" s="28">
        <f>VLOOKUP($G18, SeanRanks!$A$2:$H$303, 5, FALSE)</f>
        <v>0</v>
      </c>
      <c r="K18" s="11" t="str">
        <f>IF(VLOOKUP($G18, SeanRanks!$A$2:$H$303, 6, FALSE)=0, "", VLOOKUP($G18, SeanRanks!$A$2:$H$303, 6, FALSE))</f>
        <v>WR2 - 1 - WR1 upside</v>
      </c>
      <c r="L18" s="11">
        <f t="shared" si="4"/>
        <v>5</v>
      </c>
      <c r="M18" s="11">
        <f>VLOOKUP($G18, 'ADP Data'!$C$4:$Q$300, 9, FALSE)</f>
        <v>34</v>
      </c>
      <c r="N18" s="11">
        <f t="shared" si="5"/>
        <v>-4</v>
      </c>
      <c r="O18" s="11">
        <f>VLOOKUP($G18, 'ADP Data'!$C$4:$Q$300, 3, FALSE)</f>
        <v>51</v>
      </c>
      <c r="P18" s="11">
        <f t="shared" si="6"/>
        <v>-17</v>
      </c>
      <c r="Q18" s="11">
        <f>VLOOKUP($G18, 'ADP Data'!$C$4:$Q$300, 4, FALSE)</f>
        <v>41</v>
      </c>
      <c r="R18" s="11">
        <f>VLOOKUP($G18, 'ADP Data'!$C$4:$Q$300, 5, FALSE)</f>
        <v>37</v>
      </c>
      <c r="S18" s="11">
        <f>VLOOKUP($G18, 'ADP Data'!$C$4:$Q$300, 6, FALSE)</f>
        <v>39</v>
      </c>
      <c r="T18" s="11">
        <f>VLOOKUP($G18, 'ADP Data'!$C$4:$Q$300, 7, FALSE)</f>
        <v>30</v>
      </c>
      <c r="U18" s="11">
        <f>VLOOKUP($G18, 'ADP Data'!$C$4:$Q$300, 8, FALSE)</f>
        <v>37</v>
      </c>
      <c r="V18" s="11">
        <f t="shared" si="7"/>
        <v>38</v>
      </c>
      <c r="W18" s="11">
        <f t="shared" si="8"/>
        <v>5</v>
      </c>
      <c r="X18" s="11">
        <f t="shared" si="9"/>
        <v>-5</v>
      </c>
      <c r="Y18" s="11">
        <f>VLOOKUP($G18, SeanRanks!$A$2:$K$303, 10, FALSE)-V18</f>
        <v>1</v>
      </c>
      <c r="Z18" s="25">
        <f>IF(VLOOKUP($G18, SeanRanks!$A$2:$H$303, 7, FALSE)=0, "", VLOOKUP($G18, SeanRanks!$A$2:$H$303, 7, FALSE))</f>
        <v>17</v>
      </c>
    </row>
    <row r="19" spans="1:26" ht="14.25" hidden="1" customHeight="1" x14ac:dyDescent="0.25">
      <c r="A19" s="11"/>
      <c r="B19" s="11">
        <f t="shared" si="3"/>
        <v>1</v>
      </c>
      <c r="C19" s="11" t="s">
        <v>119</v>
      </c>
      <c r="D19" s="11">
        <v>2</v>
      </c>
      <c r="E19" s="11"/>
      <c r="F19" s="11">
        <f>VLOOKUP(G19, SeanRanks!$A$2:$E$302, 4, FALSE)</f>
        <v>0</v>
      </c>
      <c r="G19" s="11" t="s">
        <v>77</v>
      </c>
      <c r="H19" s="11" t="str">
        <f>VLOOKUP($G19, 'ADP Data'!$C$4:$Q$300, 2, FALSE)</f>
        <v>PHI</v>
      </c>
      <c r="I19" s="11">
        <f>VLOOKUP(G19, 'ADP Data'!$C$4:$R$498, 12, FALSE)</f>
        <v>6</v>
      </c>
      <c r="J19" s="21">
        <f>VLOOKUP($G19, SeanRanks!$A$2:$H$303, 5, FALSE)</f>
        <v>0</v>
      </c>
      <c r="K19" s="11" t="str">
        <f>IF(VLOOKUP($G19, SeanRanks!$A$2:$H$303, 6, FALSE)=0, "", VLOOKUP($G19, SeanRanks!$A$2:$H$303, 6, FALSE))</f>
        <v>RB1 - 1 - Elite floor/ceiling</v>
      </c>
      <c r="L19" s="11">
        <f t="shared" si="4"/>
        <v>1</v>
      </c>
      <c r="M19" s="11">
        <f>VLOOKUP($G19, 'ADP Data'!$C$4:$Q$300, 9, FALSE)</f>
        <v>2</v>
      </c>
      <c r="N19" s="11">
        <f t="shared" si="5"/>
        <v>-2</v>
      </c>
      <c r="O19" s="11">
        <f>VLOOKUP($G19, 'ADP Data'!$C$4:$Q$300, 3, FALSE)</f>
        <v>3</v>
      </c>
      <c r="P19" s="11">
        <f t="shared" si="6"/>
        <v>-1</v>
      </c>
      <c r="Q19" s="11">
        <f>VLOOKUP($G19, 'ADP Data'!$C$4:$Q$300, 4, FALSE)</f>
        <v>3</v>
      </c>
      <c r="R19" s="11">
        <f>VLOOKUP($G19, 'ADP Data'!$C$4:$Q$300, 5, FALSE)</f>
        <v>6</v>
      </c>
      <c r="S19" s="11">
        <f>VLOOKUP($G19, 'ADP Data'!$C$4:$Q$300, 6, FALSE)</f>
        <v>5</v>
      </c>
      <c r="T19" s="11">
        <f>VLOOKUP($G19, 'ADP Data'!$C$4:$Q$300, 7, FALSE)</f>
        <v>5</v>
      </c>
      <c r="U19" s="11">
        <f>VLOOKUP($G19, 'ADP Data'!$C$4:$Q$300, 8, FALSE)</f>
        <v>4</v>
      </c>
      <c r="V19" s="11">
        <f t="shared" si="7"/>
        <v>4</v>
      </c>
      <c r="W19" s="11">
        <f t="shared" si="8"/>
        <v>1</v>
      </c>
      <c r="X19" s="11">
        <f t="shared" si="9"/>
        <v>1</v>
      </c>
      <c r="Y19" s="11">
        <f>VLOOKUP($G19, SeanRanks!$A$2:$K$303, 10, FALSE)-V19</f>
        <v>-1</v>
      </c>
      <c r="Z19" s="25">
        <f>IF(VLOOKUP($G19, SeanRanks!$A$2:$H$303, 7, FALSE)=0, "", VLOOKUP($G19, SeanRanks!$A$2:$H$303, 7, FALSE))</f>
        <v>2</v>
      </c>
    </row>
    <row r="20" spans="1:26" ht="14.25" hidden="1" customHeight="1" x14ac:dyDescent="0.25">
      <c r="A20" s="11"/>
      <c r="B20" s="11">
        <f t="shared" si="3"/>
        <v>1</v>
      </c>
      <c r="C20" s="11" t="s">
        <v>119</v>
      </c>
      <c r="D20" s="11">
        <v>2</v>
      </c>
      <c r="E20" s="11"/>
      <c r="F20" s="11">
        <f>VLOOKUP(G20, SeanRanks!$A$2:$E$302, 4, FALSE)</f>
        <v>0</v>
      </c>
      <c r="G20" s="11" t="s">
        <v>34</v>
      </c>
      <c r="H20" s="11" t="str">
        <f>VLOOKUP($G20, 'ADP Data'!$C$4:$Q$300, 2, FALSE)</f>
        <v>DET</v>
      </c>
      <c r="I20" s="11">
        <f>VLOOKUP(G20, 'ADP Data'!$C$4:$R$498, 12, FALSE)</f>
        <v>4</v>
      </c>
      <c r="J20" s="21">
        <f>VLOOKUP($G20, SeanRanks!$A$2:$H$303, 5, FALSE)</f>
        <v>0</v>
      </c>
      <c r="K20" s="11" t="str">
        <f>IF(VLOOKUP($G20, SeanRanks!$A$2:$H$303, 6, FALSE)=0, "", VLOOKUP($G20, SeanRanks!$A$2:$H$303, 6, FALSE))</f>
        <v>RB1 - 1 - Elite floor/ceiling</v>
      </c>
      <c r="L20" s="11">
        <f t="shared" si="4"/>
        <v>1</v>
      </c>
      <c r="M20" s="11">
        <f>VLOOKUP($G20, 'ADP Data'!$C$4:$Q$300, 9, FALSE)</f>
        <v>4</v>
      </c>
      <c r="N20" s="11">
        <f t="shared" si="5"/>
        <v>0</v>
      </c>
      <c r="O20" s="11">
        <f>VLOOKUP($G20, 'ADP Data'!$C$4:$Q$300, 3, FALSE)</f>
        <v>4</v>
      </c>
      <c r="P20" s="11">
        <f t="shared" si="6"/>
        <v>0</v>
      </c>
      <c r="Q20" s="11">
        <f>VLOOKUP($G20, 'ADP Data'!$C$4:$Q$300, 4, FALSE)</f>
        <v>5</v>
      </c>
      <c r="R20" s="11">
        <f>VLOOKUP($G20, 'ADP Data'!$C$4:$Q$300, 5, FALSE)</f>
        <v>4</v>
      </c>
      <c r="S20" s="11">
        <f>VLOOKUP($G20, 'ADP Data'!$C$4:$Q$300, 6, FALSE)</f>
        <v>3</v>
      </c>
      <c r="T20" s="11">
        <f>VLOOKUP($G20, 'ADP Data'!$C$4:$Q$300, 7, FALSE)</f>
        <v>3</v>
      </c>
      <c r="U20" s="11">
        <f>VLOOKUP($G20, 'ADP Data'!$C$4:$Q$300, 8, FALSE)</f>
        <v>6</v>
      </c>
      <c r="V20" s="11">
        <f t="shared" si="7"/>
        <v>4</v>
      </c>
      <c r="W20" s="11">
        <f t="shared" si="8"/>
        <v>1</v>
      </c>
      <c r="X20" s="11">
        <f t="shared" si="9"/>
        <v>1</v>
      </c>
      <c r="Y20" s="11">
        <f>VLOOKUP($G20, SeanRanks!$A$2:$K$303, 10, FALSE)-V20</f>
        <v>0</v>
      </c>
      <c r="Z20" s="25">
        <f>IF(VLOOKUP($G20, SeanRanks!$A$2:$H$303, 7, FALSE)=0, "", VLOOKUP($G20, SeanRanks!$A$2:$H$303, 7, FALSE))</f>
        <v>3</v>
      </c>
    </row>
    <row r="21" spans="1:26" ht="14.25" hidden="1" customHeight="1" x14ac:dyDescent="0.25">
      <c r="A21" s="11"/>
      <c r="B21" s="11">
        <f t="shared" si="3"/>
        <v>4</v>
      </c>
      <c r="C21" s="11" t="s">
        <v>119</v>
      </c>
      <c r="D21" s="11">
        <v>2</v>
      </c>
      <c r="E21" s="11"/>
      <c r="F21" s="11">
        <f>VLOOKUP(G21, SeanRanks!$A$2:$E$302, 4, FALSE)</f>
        <v>0</v>
      </c>
      <c r="G21" s="11" t="s">
        <v>226</v>
      </c>
      <c r="H21" s="11" t="str">
        <f>VLOOKUP($G21, 'ADP Data'!$C$4:$Q$300, 2, FALSE)</f>
        <v>ARI</v>
      </c>
      <c r="I21" s="11">
        <f>VLOOKUP(G21, 'ADP Data'!$C$4:$R$498, 12, FALSE)</f>
        <v>37</v>
      </c>
      <c r="J21" s="28" t="str">
        <f>VLOOKUP($G21, SeanRanks!$A$2:$H$303, 5, FALSE)</f>
        <v>Yes</v>
      </c>
      <c r="K21" s="11" t="str">
        <f>IF(VLOOKUP($G21, SeanRanks!$A$2:$H$303, 6, FALSE)=0, "", VLOOKUP($G21, SeanRanks!$A$2:$H$303, 6, FALSE))</f>
        <v>WR2 - 1 - WR1 upside</v>
      </c>
      <c r="L21" s="11">
        <f t="shared" si="4"/>
        <v>5</v>
      </c>
      <c r="M21" s="11">
        <f>VLOOKUP($G21, 'ADP Data'!$C$4:$Q$300, 9, FALSE)</f>
        <v>36</v>
      </c>
      <c r="N21" s="11">
        <f t="shared" si="5"/>
        <v>-4</v>
      </c>
      <c r="O21" s="11">
        <f>VLOOKUP($G21, 'ADP Data'!$C$4:$Q$300, 3, FALSE)</f>
        <v>46</v>
      </c>
      <c r="P21" s="11">
        <f t="shared" si="6"/>
        <v>-10</v>
      </c>
      <c r="Q21" s="11">
        <f>VLOOKUP($G21, 'ADP Data'!$C$4:$Q$300, 4, FALSE)</f>
        <v>44</v>
      </c>
      <c r="R21" s="11">
        <f>VLOOKUP($G21, 'ADP Data'!$C$4:$Q$300, 5, FALSE)</f>
        <v>39</v>
      </c>
      <c r="S21" s="11">
        <f>VLOOKUP($G21, 'ADP Data'!$C$4:$Q$300, 6, FALSE)</f>
        <v>41</v>
      </c>
      <c r="T21" s="11">
        <f>VLOOKUP($G21, 'ADP Data'!$C$4:$Q$300, 7, FALSE)</f>
        <v>34</v>
      </c>
      <c r="U21" s="11">
        <f>VLOOKUP($G21, 'ADP Data'!$C$4:$Q$300, 8, FALSE)</f>
        <v>41</v>
      </c>
      <c r="V21" s="11">
        <f t="shared" si="7"/>
        <v>40</v>
      </c>
      <c r="W21" s="11">
        <f t="shared" si="8"/>
        <v>6</v>
      </c>
      <c r="X21" s="11">
        <f t="shared" si="9"/>
        <v>-4</v>
      </c>
      <c r="Y21" s="11">
        <f>VLOOKUP($G21, SeanRanks!$A$2:$K$303, 10, FALSE)-V21</f>
        <v>-3</v>
      </c>
      <c r="Z21" s="25">
        <f>IF(VLOOKUP($G21, SeanRanks!$A$2:$H$303, 7, FALSE)=0, "", VLOOKUP($G21, SeanRanks!$A$2:$H$303, 7, FALSE))</f>
        <v>14</v>
      </c>
    </row>
    <row r="22" spans="1:26" ht="14.25" hidden="1" customHeight="1" x14ac:dyDescent="0.25">
      <c r="A22" s="11" t="s">
        <v>148</v>
      </c>
      <c r="B22" s="11">
        <f t="shared" si="3"/>
        <v>3</v>
      </c>
      <c r="C22" s="11" t="s">
        <v>119</v>
      </c>
      <c r="D22" s="11">
        <v>2</v>
      </c>
      <c r="E22" s="11"/>
      <c r="F22" s="11">
        <f>VLOOKUP(G22, SeanRanks!$A$2:$E$302, 4, FALSE)</f>
        <v>0</v>
      </c>
      <c r="G22" s="11" t="s">
        <v>135</v>
      </c>
      <c r="H22" s="11" t="str">
        <f>VLOOKUP($G22, 'ADP Data'!$C$4:$Q$300, 2, FALSE)</f>
        <v>LAR</v>
      </c>
      <c r="I22" s="11">
        <f>VLOOKUP(G22, 'ADP Data'!$C$4:$R$498, 12, FALSE)</f>
        <v>31</v>
      </c>
      <c r="J22" s="21">
        <f>VLOOKUP($G22, SeanRanks!$A$2:$H$303, 5, FALSE)</f>
        <v>0</v>
      </c>
      <c r="K22" s="11" t="str">
        <f>IF(VLOOKUP($G22, SeanRanks!$A$2:$H$303, 6, FALSE)=0, "", VLOOKUP($G22, SeanRanks!$A$2:$H$303, 6, FALSE))</f>
        <v>RB1 - 2 - Elite ceiling/questions</v>
      </c>
      <c r="L22" s="11">
        <f t="shared" si="4"/>
        <v>4</v>
      </c>
      <c r="M22" s="11">
        <f>VLOOKUP($G22, 'ADP Data'!$C$4:$Q$300, 9, FALSE)</f>
        <v>25</v>
      </c>
      <c r="N22" s="11">
        <f t="shared" si="5"/>
        <v>0</v>
      </c>
      <c r="O22" s="11">
        <f>VLOOKUP($G22, 'ADP Data'!$C$4:$Q$300, 3, FALSE)</f>
        <v>18</v>
      </c>
      <c r="P22" s="11">
        <f t="shared" si="6"/>
        <v>7</v>
      </c>
      <c r="Q22" s="11">
        <f>VLOOKUP($G22, 'ADP Data'!$C$4:$Q$300, 4, FALSE)</f>
        <v>29</v>
      </c>
      <c r="R22" s="11">
        <f>VLOOKUP($G22, 'ADP Data'!$C$4:$Q$300, 5, FALSE)</f>
        <v>30</v>
      </c>
      <c r="S22" s="11">
        <f>VLOOKUP($G22, 'ADP Data'!$C$4:$Q$300, 6, FALSE)</f>
        <v>26</v>
      </c>
      <c r="T22" s="11">
        <f>VLOOKUP($G22, 'ADP Data'!$C$4:$Q$300, 7, FALSE)</f>
        <v>27</v>
      </c>
      <c r="U22" s="11">
        <f>VLOOKUP($G22, 'ADP Data'!$C$4:$Q$300, 8, FALSE)</f>
        <v>25</v>
      </c>
      <c r="V22" s="11">
        <f t="shared" si="7"/>
        <v>25</v>
      </c>
      <c r="W22" s="11">
        <f t="shared" si="8"/>
        <v>4</v>
      </c>
      <c r="X22" s="11">
        <f t="shared" si="9"/>
        <v>-2</v>
      </c>
      <c r="Y22" s="11">
        <f>VLOOKUP($G22, SeanRanks!$A$2:$K$303, 10, FALSE)-V22</f>
        <v>2</v>
      </c>
      <c r="Z22" s="25">
        <f>IF(VLOOKUP($G22, SeanRanks!$A$2:$H$303, 7, FALSE)=0, "", VLOOKUP($G22, SeanRanks!$A$2:$H$303, 7, FALSE))</f>
        <v>11</v>
      </c>
    </row>
    <row r="23" spans="1:26" ht="14.25" hidden="1" customHeight="1" x14ac:dyDescent="0.25">
      <c r="A23" s="11"/>
      <c r="B23" s="11">
        <f t="shared" si="3"/>
        <v>2</v>
      </c>
      <c r="C23" s="11" t="s">
        <v>119</v>
      </c>
      <c r="D23" s="11">
        <v>2</v>
      </c>
      <c r="E23" s="11"/>
      <c r="F23" s="11">
        <f>VLOOKUP(G23, SeanRanks!$A$2:$E$302, 4, FALSE)</f>
        <v>0</v>
      </c>
      <c r="G23" s="11" t="s">
        <v>90</v>
      </c>
      <c r="H23" s="11" t="str">
        <f>VLOOKUP($G23, 'ADP Data'!$C$4:$Q$300, 2, FALSE)</f>
        <v>BAL</v>
      </c>
      <c r="I23" s="11">
        <f>VLOOKUP(G23, 'ADP Data'!$C$4:$R$498, 12, FALSE)</f>
        <v>15</v>
      </c>
      <c r="J23" s="21">
        <f>VLOOKUP($G23, SeanRanks!$A$2:$H$303, 5, FALSE)</f>
        <v>0</v>
      </c>
      <c r="K23" s="11" t="str">
        <f>IF(VLOOKUP($G23, SeanRanks!$A$2:$H$303, 6, FALSE)=0, "", VLOOKUP($G23, SeanRanks!$A$2:$H$303, 6, FALSE))</f>
        <v>RB1 - 2 - Elite ceiling/questions</v>
      </c>
      <c r="L23" s="11">
        <f t="shared" si="4"/>
        <v>1</v>
      </c>
      <c r="M23" s="11">
        <f>VLOOKUP($G23, 'ADP Data'!$C$4:$Q$300, 9, FALSE)</f>
        <v>7</v>
      </c>
      <c r="N23" s="11">
        <f t="shared" si="5"/>
        <v>-3</v>
      </c>
      <c r="O23" s="11">
        <f>VLOOKUP($G23, 'ADP Data'!$C$4:$Q$300, 3, FALSE)</f>
        <v>7</v>
      </c>
      <c r="P23" s="11">
        <f t="shared" si="6"/>
        <v>0</v>
      </c>
      <c r="Q23" s="11">
        <f>VLOOKUP($G23, 'ADP Data'!$C$4:$Q$300, 4, FALSE)</f>
        <v>12</v>
      </c>
      <c r="R23" s="11">
        <f>VLOOKUP($G23, 'ADP Data'!$C$4:$Q$300, 5, FALSE)</f>
        <v>13</v>
      </c>
      <c r="S23" s="11">
        <f>VLOOKUP($G23, 'ADP Data'!$C$4:$Q$300, 6, FALSE)</f>
        <v>14</v>
      </c>
      <c r="T23" s="11">
        <f>VLOOKUP($G23, 'ADP Data'!$C$4:$Q$300, 7, FALSE)</f>
        <v>13</v>
      </c>
      <c r="U23" s="11">
        <f>VLOOKUP($G23, 'ADP Data'!$C$4:$Q$300, 8, FALSE)</f>
        <v>10</v>
      </c>
      <c r="V23" s="11">
        <f t="shared" si="7"/>
        <v>10</v>
      </c>
      <c r="W23" s="11">
        <f t="shared" si="8"/>
        <v>2</v>
      </c>
      <c r="X23" s="11">
        <f t="shared" si="9"/>
        <v>0</v>
      </c>
      <c r="Y23" s="11">
        <f>VLOOKUP($G23, SeanRanks!$A$2:$K$303, 10, FALSE)-V23</f>
        <v>1</v>
      </c>
      <c r="Z23" s="25">
        <f>IF(VLOOKUP($G23, SeanRanks!$A$2:$H$303, 7, FALSE)=0, "", VLOOKUP($G23, SeanRanks!$A$2:$H$303, 7, FALSE))</f>
        <v>8</v>
      </c>
    </row>
    <row r="24" spans="1:26" ht="14.25" hidden="1" customHeight="1" x14ac:dyDescent="0.25">
      <c r="A24" s="11"/>
      <c r="B24" s="11">
        <f t="shared" si="3"/>
        <v>7</v>
      </c>
      <c r="C24" s="11" t="s">
        <v>119</v>
      </c>
      <c r="D24" s="11"/>
      <c r="E24" s="11"/>
      <c r="F24" s="11">
        <f>VLOOKUP(G24, SeanRanks!$A$2:$E$302, 4, FALSE)</f>
        <v>0</v>
      </c>
      <c r="G24" s="11" t="s">
        <v>128</v>
      </c>
      <c r="H24" s="11" t="str">
        <f>VLOOKUP($G24, 'ADP Data'!$C$4:$Q$300, 2, FALSE)</f>
        <v>NO</v>
      </c>
      <c r="I24" s="11">
        <f>VLOOKUP(G24, 'ADP Data'!$C$4:$R$498, 12, FALSE)</f>
        <v>71</v>
      </c>
      <c r="J24" s="28">
        <f>VLOOKUP($G24, SeanRanks!$A$2:$H$303, 5, FALSE)</f>
        <v>0</v>
      </c>
      <c r="K24" s="11" t="str">
        <f>IF(VLOOKUP($G24, SeanRanks!$A$2:$H$303, 6, FALSE)=0, "", VLOOKUP($G24, SeanRanks!$A$2:$H$303, 6, FALSE))</f>
        <v>WR3 - 2 - mid, but path to big upside</v>
      </c>
      <c r="L24" s="11">
        <f t="shared" si="4"/>
        <v>10</v>
      </c>
      <c r="M24" s="11">
        <f>VLOOKUP($G24, 'ADP Data'!$C$4:$Q$300, 9, FALSE)</f>
        <v>73</v>
      </c>
      <c r="N24" s="11">
        <f t="shared" si="5"/>
        <v>-9</v>
      </c>
      <c r="O24" s="11">
        <f>VLOOKUP($G24, 'ADP Data'!$C$4:$Q$300, 3, FALSE)</f>
        <v>101</v>
      </c>
      <c r="P24" s="11">
        <f t="shared" si="6"/>
        <v>-28</v>
      </c>
      <c r="Q24" s="11">
        <f>VLOOKUP($G24, 'ADP Data'!$C$4:$Q$300, 4, FALSE)</f>
        <v>84</v>
      </c>
      <c r="R24" s="11">
        <f>VLOOKUP($G24, 'ADP Data'!$C$4:$Q$300, 5, FALSE)</f>
        <v>78</v>
      </c>
      <c r="S24" s="11">
        <f>VLOOKUP($G24, 'ADP Data'!$C$4:$Q$300, 6, FALSE)</f>
        <v>82</v>
      </c>
      <c r="T24" s="11">
        <f>VLOOKUP($G24, 'ADP Data'!$C$4:$Q$300, 7, FALSE)</f>
        <v>72</v>
      </c>
      <c r="U24" s="11">
        <f>VLOOKUP($G24, 'ADP Data'!$C$4:$Q$300, 8, FALSE)</f>
        <v>87</v>
      </c>
      <c r="V24" s="11">
        <f t="shared" si="7"/>
        <v>82</v>
      </c>
      <c r="W24" s="11">
        <f t="shared" si="8"/>
        <v>11</v>
      </c>
      <c r="X24" s="11">
        <f t="shared" si="9"/>
        <v>-11</v>
      </c>
      <c r="Y24" s="11">
        <f>VLOOKUP($G24, SeanRanks!$A$2:$K$303, 10, FALSE)-V24</f>
        <v>-16</v>
      </c>
      <c r="Z24" s="25">
        <f>IF(VLOOKUP($G24, SeanRanks!$A$2:$H$303, 7, FALSE)=0, "", VLOOKUP($G24, SeanRanks!$A$2:$H$303, 7, FALSE))</f>
        <v>32</v>
      </c>
    </row>
    <row r="25" spans="1:26" ht="14.25" hidden="1" customHeight="1" x14ac:dyDescent="0.25">
      <c r="A25" s="11"/>
      <c r="B25" s="11">
        <f t="shared" si="3"/>
        <v>6</v>
      </c>
      <c r="C25" s="11" t="s">
        <v>119</v>
      </c>
      <c r="D25" s="11">
        <v>2</v>
      </c>
      <c r="E25" s="11"/>
      <c r="F25" s="11">
        <f>VLOOKUP(G25, SeanRanks!$A$2:$E$302, 4, FALSE)</f>
        <v>0</v>
      </c>
      <c r="G25" s="11" t="s">
        <v>415</v>
      </c>
      <c r="H25" s="11" t="str">
        <f>VLOOKUP($G25, 'ADP Data'!$C$4:$Q$300, 2, FALSE)</f>
        <v>KC</v>
      </c>
      <c r="I25" s="11">
        <f>VLOOKUP(G25, 'ADP Data'!$C$4:$R$498, 12, FALSE)</f>
        <v>68</v>
      </c>
      <c r="J25" s="21">
        <f>VLOOKUP($G25, SeanRanks!$A$2:$H$303, 5, FALSE)</f>
        <v>0</v>
      </c>
      <c r="K25" s="11" t="str">
        <f>IF(VLOOKUP($G25, SeanRanks!$A$2:$H$303, 6, FALSE)=0, "", VLOOKUP($G25, SeanRanks!$A$2:$H$303, 6, FALSE))</f>
        <v>RB2 - 2 - Path to spikes</v>
      </c>
      <c r="L25" s="11">
        <f t="shared" si="4"/>
        <v>8</v>
      </c>
      <c r="M25" s="11">
        <f>VLOOKUP($G25, 'ADP Data'!$C$4:$Q$300, 9, FALSE)</f>
        <v>61</v>
      </c>
      <c r="N25" s="11">
        <f t="shared" si="5"/>
        <v>-4</v>
      </c>
      <c r="O25" s="11">
        <f>VLOOKUP($G25, 'ADP Data'!$C$4:$Q$300, 3, FALSE)</f>
        <v>66</v>
      </c>
      <c r="P25" s="11">
        <f t="shared" si="6"/>
        <v>-5</v>
      </c>
      <c r="Q25" s="11">
        <f>VLOOKUP($G25, 'ADP Data'!$C$4:$Q$300, 4, FALSE)</f>
        <v>63</v>
      </c>
      <c r="R25" s="11">
        <f>VLOOKUP($G25, 'ADP Data'!$C$4:$Q$300, 5, FALSE)</f>
        <v>77</v>
      </c>
      <c r="S25" s="11">
        <f>VLOOKUP($G25, 'ADP Data'!$C$4:$Q$300, 6, FALSE)</f>
        <v>62</v>
      </c>
      <c r="T25" s="11">
        <f>VLOOKUP($G25, 'ADP Data'!$C$4:$Q$300, 7, FALSE)</f>
        <v>67</v>
      </c>
      <c r="U25" s="11">
        <f>VLOOKUP($G25, 'ADP Data'!$C$4:$Q$300, 8, FALSE)</f>
        <v>59</v>
      </c>
      <c r="V25" s="11">
        <f t="shared" si="7"/>
        <v>65</v>
      </c>
      <c r="W25" s="11">
        <f t="shared" si="8"/>
        <v>9</v>
      </c>
      <c r="X25" s="11">
        <f t="shared" si="9"/>
        <v>-7</v>
      </c>
      <c r="Y25" s="11">
        <f>VLOOKUP($G25, SeanRanks!$A$2:$K$303, 10, FALSE)-V25</f>
        <v>0</v>
      </c>
      <c r="Z25" s="25">
        <f>IF(VLOOKUP($G25, SeanRanks!$A$2:$H$303, 7, FALSE)=0, "", VLOOKUP($G25, SeanRanks!$A$2:$H$303, 7, FALSE))</f>
        <v>23</v>
      </c>
    </row>
    <row r="26" spans="1:26" ht="14.25" hidden="1" customHeight="1" x14ac:dyDescent="0.25">
      <c r="A26" s="11"/>
      <c r="B26" s="11">
        <f t="shared" si="3"/>
        <v>4</v>
      </c>
      <c r="C26" s="11" t="s">
        <v>119</v>
      </c>
      <c r="D26" s="11">
        <v>2</v>
      </c>
      <c r="E26" s="11"/>
      <c r="F26" s="11">
        <f>VLOOKUP(G26, SeanRanks!$A$2:$E$302, 4, FALSE)</f>
        <v>0</v>
      </c>
      <c r="G26" s="11" t="s">
        <v>192</v>
      </c>
      <c r="H26" s="11" t="str">
        <f>VLOOKUP($G26, 'ADP Data'!$C$4:$Q$300, 2, FALSE)</f>
        <v>LAR</v>
      </c>
      <c r="I26" s="11">
        <f>VLOOKUP(G26, 'ADP Data'!$C$4:$R$498, 12, FALSE)</f>
        <v>41</v>
      </c>
      <c r="J26" s="28">
        <f>VLOOKUP($G26, SeanRanks!$A$2:$H$303, 5, FALSE)</f>
        <v>0</v>
      </c>
      <c r="K26" s="11" t="str">
        <f>IF(VLOOKUP($G26, SeanRanks!$A$2:$H$303, 6, FALSE)=0, "", VLOOKUP($G26, SeanRanks!$A$2:$H$303, 6, FALSE))</f>
        <v>WR2 - 2 - Upside with risk</v>
      </c>
      <c r="L26" s="11">
        <f t="shared" si="4"/>
        <v>6</v>
      </c>
      <c r="M26" s="11">
        <f>VLOOKUP($G26, 'ADP Data'!$C$4:$Q$300, 9, FALSE)</f>
        <v>44</v>
      </c>
      <c r="N26" s="11">
        <f t="shared" si="5"/>
        <v>3</v>
      </c>
      <c r="O26" s="11">
        <f>VLOOKUP($G26, 'ADP Data'!$C$4:$Q$300, 3, FALSE)</f>
        <v>34</v>
      </c>
      <c r="P26" s="11">
        <f t="shared" si="6"/>
        <v>10</v>
      </c>
      <c r="Q26" s="11">
        <f>VLOOKUP($G26, 'ADP Data'!$C$4:$Q$300, 4, FALSE)</f>
        <v>34</v>
      </c>
      <c r="R26" s="11">
        <f>VLOOKUP($G26, 'ADP Data'!$C$4:$Q$300, 5, FALSE)</f>
        <v>47</v>
      </c>
      <c r="S26" s="11">
        <f>VLOOKUP($G26, 'ADP Data'!$C$4:$Q$300, 6, FALSE)</f>
        <v>43</v>
      </c>
      <c r="T26" s="11">
        <f>VLOOKUP($G26, 'ADP Data'!$C$4:$Q$300, 7, FALSE)</f>
        <v>37</v>
      </c>
      <c r="U26" s="11">
        <f>VLOOKUP($G26, 'ADP Data'!$C$4:$Q$300, 8, FALSE)</f>
        <v>48</v>
      </c>
      <c r="V26" s="11">
        <f t="shared" si="7"/>
        <v>41</v>
      </c>
      <c r="W26" s="11">
        <f t="shared" si="8"/>
        <v>6</v>
      </c>
      <c r="X26" s="11">
        <f t="shared" si="9"/>
        <v>-4</v>
      </c>
      <c r="Y26" s="11">
        <f>VLOOKUP($G26, SeanRanks!$A$2:$K$303, 10, FALSE)-V26</f>
        <v>2</v>
      </c>
      <c r="Z26" s="25">
        <f>IF(VLOOKUP($G26, SeanRanks!$A$2:$H$303, 7, FALSE)=0, "", VLOOKUP($G26, SeanRanks!$A$2:$H$303, 7, FALSE))</f>
        <v>19</v>
      </c>
    </row>
    <row r="27" spans="1:26" ht="14.25" hidden="1" customHeight="1" x14ac:dyDescent="0.25">
      <c r="A27" s="11"/>
      <c r="B27" s="11">
        <f t="shared" si="3"/>
        <v>9</v>
      </c>
      <c r="C27" s="11" t="s">
        <v>119</v>
      </c>
      <c r="D27" s="11">
        <v>2</v>
      </c>
      <c r="E27" s="23"/>
      <c r="F27" s="11">
        <f>VLOOKUP(G27, SeanRanks!$A$2:$E$302, 4, FALSE)</f>
        <v>0</v>
      </c>
      <c r="G27" s="11" t="s">
        <v>157</v>
      </c>
      <c r="H27" s="11" t="str">
        <f>VLOOKUP($G27, 'ADP Data'!$C$4:$Q$300, 2, FALSE)</f>
        <v>JAX</v>
      </c>
      <c r="I27" s="11">
        <f>VLOOKUP(G27, 'ADP Data'!$C$4:$R$498, 12, FALSE)</f>
        <v>101</v>
      </c>
      <c r="J27" s="39">
        <f>VLOOKUP($G27, SeanRanks!$A$2:$H$303, 5, FALSE)</f>
        <v>0</v>
      </c>
      <c r="K27" s="11" t="str">
        <f>IF(VLOOKUP($G27, SeanRanks!$A$2:$H$303, 6, FALSE)=0, "", VLOOKUP($G27, SeanRanks!$A$2:$H$303, 6, FALSE))</f>
        <v>RB3 - 2 - low ceiling</v>
      </c>
      <c r="L27" s="11">
        <f t="shared" si="4"/>
        <v>11</v>
      </c>
      <c r="M27" s="11">
        <f>VLOOKUP($G27, 'ADP Data'!$C$4:$Q$300, 9, FALSE)</f>
        <v>85</v>
      </c>
      <c r="N27" s="11">
        <f t="shared" si="5"/>
        <v>-14</v>
      </c>
      <c r="O27" s="11">
        <f>VLOOKUP($G27, 'ADP Data'!$C$4:$Q$300, 3, FALSE)</f>
        <v>90</v>
      </c>
      <c r="P27" s="11">
        <f t="shared" si="6"/>
        <v>-5</v>
      </c>
      <c r="Q27" s="11">
        <f>VLOOKUP($G27, 'ADP Data'!$C$4:$Q$300, 4, FALSE)</f>
        <v>116</v>
      </c>
      <c r="R27" s="11">
        <f>VLOOKUP($G27, 'ADP Data'!$C$4:$Q$300, 5, FALSE)</f>
        <v>102</v>
      </c>
      <c r="S27" s="11">
        <f>VLOOKUP($G27, 'ADP Data'!$C$4:$Q$300, 6, FALSE)</f>
        <v>94</v>
      </c>
      <c r="T27" s="11">
        <f>VLOOKUP($G27, 'ADP Data'!$C$4:$Q$300, 7, FALSE)</f>
        <v>90</v>
      </c>
      <c r="U27" s="11">
        <f>VLOOKUP($G27, 'ADP Data'!$C$4:$Q$300, 8, FALSE)</f>
        <v>121</v>
      </c>
      <c r="V27" s="11">
        <f t="shared" si="7"/>
        <v>99</v>
      </c>
      <c r="W27" s="11">
        <f t="shared" si="8"/>
        <v>13</v>
      </c>
      <c r="X27" s="11">
        <f t="shared" si="9"/>
        <v>-11</v>
      </c>
      <c r="Y27" s="11">
        <f>VLOOKUP($G27, SeanRanks!$A$2:$K$303, 10, FALSE)-V27</f>
        <v>-3</v>
      </c>
      <c r="Z27" s="25">
        <f>IF(VLOOKUP($G27, SeanRanks!$A$2:$H$303, 7, FALSE)=0, "", VLOOKUP($G27, SeanRanks!$A$2:$H$303, 7, FALSE))</f>
        <v>33</v>
      </c>
    </row>
    <row r="28" spans="1:26" ht="14.25" hidden="1" customHeight="1" x14ac:dyDescent="0.25">
      <c r="A28" s="11" t="s">
        <v>148</v>
      </c>
      <c r="B28" s="11">
        <f t="shared" si="3"/>
        <v>2</v>
      </c>
      <c r="C28" s="11" t="s">
        <v>119</v>
      </c>
      <c r="D28" s="11"/>
      <c r="E28" s="11"/>
      <c r="F28" s="11">
        <f>VLOOKUP(G28, SeanRanks!$A$2:$E$302, 4, FALSE)</f>
        <v>0</v>
      </c>
      <c r="G28" s="11" t="s">
        <v>109</v>
      </c>
      <c r="H28" s="11" t="str">
        <f>VLOOKUP($G28, 'ADP Data'!$C$4:$Q$300, 2, FALSE)</f>
        <v>ATL</v>
      </c>
      <c r="I28" s="11">
        <f>VLOOKUP(G28, 'ADP Data'!$C$4:$R$498, 12, FALSE)</f>
        <v>14</v>
      </c>
      <c r="J28" s="40">
        <f>VLOOKUP($G28, SeanRanks!$A$2:$H$303, 5, FALSE)</f>
        <v>0</v>
      </c>
      <c r="K28" s="11" t="str">
        <f>IF(VLOOKUP($G28, SeanRanks!$A$2:$H$303, 6, FALSE)=0, "", VLOOKUP($G28, SeanRanks!$A$2:$H$303, 6, FALSE))</f>
        <v>WR1 - 2 - High Floor</v>
      </c>
      <c r="L28" s="11">
        <f t="shared" si="4"/>
        <v>3</v>
      </c>
      <c r="M28" s="11">
        <f>VLOOKUP($G28, 'ADP Data'!$C$4:$Q$300, 9, FALSE)</f>
        <v>17</v>
      </c>
      <c r="N28" s="11">
        <f t="shared" si="5"/>
        <v>-1</v>
      </c>
      <c r="O28" s="11">
        <f>VLOOKUP($G28, 'ADP Data'!$C$4:$Q$300, 3, FALSE)</f>
        <v>23</v>
      </c>
      <c r="P28" s="11">
        <f t="shared" si="6"/>
        <v>-6</v>
      </c>
      <c r="Q28" s="11">
        <f>VLOOKUP($G28, 'ADP Data'!$C$4:$Q$300, 4, FALSE)</f>
        <v>21</v>
      </c>
      <c r="R28" s="11">
        <f>VLOOKUP($G28, 'ADP Data'!$C$4:$Q$300, 5, FALSE)</f>
        <v>16</v>
      </c>
      <c r="S28" s="11">
        <f>VLOOKUP($G28, 'ADP Data'!$C$4:$Q$300, 6, FALSE)</f>
        <v>19</v>
      </c>
      <c r="T28" s="11">
        <f>VLOOKUP($G28, 'ADP Data'!$C$4:$Q$300, 7, FALSE)</f>
        <v>15</v>
      </c>
      <c r="U28" s="11">
        <f>VLOOKUP($G28, 'ADP Data'!$C$4:$Q$300, 8, FALSE)</f>
        <v>20</v>
      </c>
      <c r="V28" s="11">
        <f t="shared" si="7"/>
        <v>18</v>
      </c>
      <c r="W28" s="11">
        <f t="shared" si="8"/>
        <v>3</v>
      </c>
      <c r="X28" s="11">
        <f t="shared" si="9"/>
        <v>-3</v>
      </c>
      <c r="Y28" s="11">
        <f>VLOOKUP($G28, SeanRanks!$A$2:$K$303, 10, FALSE)-V28</f>
        <v>-6</v>
      </c>
      <c r="Z28" s="25">
        <f>IF(VLOOKUP($G28, SeanRanks!$A$2:$H$303, 7, FALSE)=0, "", VLOOKUP($G28, SeanRanks!$A$2:$H$303, 7, FALSE))</f>
        <v>7</v>
      </c>
    </row>
    <row r="29" spans="1:26" ht="14.25" hidden="1" customHeight="1" x14ac:dyDescent="0.25">
      <c r="A29" s="11"/>
      <c r="B29" s="11">
        <f t="shared" si="3"/>
        <v>2</v>
      </c>
      <c r="C29" s="11" t="s">
        <v>119</v>
      </c>
      <c r="D29" s="11"/>
      <c r="E29" s="11"/>
      <c r="F29" s="11">
        <f>VLOOKUP(G29, SeanRanks!$A$2:$E$302, 4, FALSE)</f>
        <v>0</v>
      </c>
      <c r="G29" s="11" t="s">
        <v>80</v>
      </c>
      <c r="H29" s="11" t="str">
        <f>VLOOKUP($G29, 'ADP Data'!$C$4:$Q$300, 2, FALSE)</f>
        <v>MIA</v>
      </c>
      <c r="I29" s="11">
        <f>VLOOKUP(G29, 'ADP Data'!$C$4:$R$498, 12, FALSE)</f>
        <v>18</v>
      </c>
      <c r="J29" s="21">
        <f>VLOOKUP($G29, SeanRanks!$A$2:$H$303, 5, FALSE)</f>
        <v>0</v>
      </c>
      <c r="K29" s="11" t="str">
        <f>IF(VLOOKUP($G29, SeanRanks!$A$2:$H$303, 6, FALSE)=0, "", VLOOKUP($G29, SeanRanks!$A$2:$H$303, 6, FALSE))</f>
        <v>RB1 - 2 - Elite ceiling/questions</v>
      </c>
      <c r="L29" s="11">
        <f t="shared" si="4"/>
        <v>2</v>
      </c>
      <c r="M29" s="11">
        <f>VLOOKUP($G29, 'ADP Data'!$C$4:$Q$300, 9, FALSE)</f>
        <v>14</v>
      </c>
      <c r="N29" s="11">
        <f t="shared" si="5"/>
        <v>-1</v>
      </c>
      <c r="O29" s="11">
        <f>VLOOKUP($G29, 'ADP Data'!$C$4:$Q$300, 3, FALSE)</f>
        <v>16</v>
      </c>
      <c r="P29" s="11">
        <f t="shared" si="6"/>
        <v>-2</v>
      </c>
      <c r="Q29" s="11">
        <f>VLOOKUP($G29, 'ADP Data'!$C$4:$Q$300, 4, FALSE)</f>
        <v>14</v>
      </c>
      <c r="R29" s="11">
        <f>VLOOKUP($G29, 'ADP Data'!$C$4:$Q$300, 5, FALSE)</f>
        <v>15</v>
      </c>
      <c r="S29" s="11">
        <f>VLOOKUP($G29, 'ADP Data'!$C$4:$Q$300, 6, FALSE)</f>
        <v>18</v>
      </c>
      <c r="T29" s="11">
        <f>VLOOKUP($G29, 'ADP Data'!$C$4:$Q$300, 7, FALSE)</f>
        <v>16</v>
      </c>
      <c r="U29" s="11">
        <f>VLOOKUP($G29, 'ADP Data'!$C$4:$Q$300, 8, FALSE)</f>
        <v>14</v>
      </c>
      <c r="V29" s="11">
        <f t="shared" si="7"/>
        <v>15</v>
      </c>
      <c r="W29" s="11">
        <f t="shared" si="8"/>
        <v>2</v>
      </c>
      <c r="X29" s="11">
        <f t="shared" si="9"/>
        <v>-2</v>
      </c>
      <c r="Y29" s="11">
        <f>VLOOKUP($G29, SeanRanks!$A$2:$K$303, 10, FALSE)-V29</f>
        <v>5</v>
      </c>
      <c r="Z29" s="25">
        <f>IF(VLOOKUP($G29, SeanRanks!$A$2:$H$303, 7, FALSE)=0, "", VLOOKUP($G29, SeanRanks!$A$2:$H$303, 7, FALSE))</f>
        <v>6</v>
      </c>
    </row>
    <row r="30" spans="1:26" ht="14.25" hidden="1" customHeight="1" x14ac:dyDescent="0.25">
      <c r="A30" s="11" t="s">
        <v>148</v>
      </c>
      <c r="B30" s="11">
        <f t="shared" si="3"/>
        <v>6</v>
      </c>
      <c r="C30" s="11" t="s">
        <v>119</v>
      </c>
      <c r="D30" s="11">
        <v>3</v>
      </c>
      <c r="E30" s="11"/>
      <c r="F30" s="11">
        <f>VLOOKUP(G30, SeanRanks!$A$2:$E$302, 4, FALSE)</f>
        <v>0</v>
      </c>
      <c r="G30" s="11" t="s">
        <v>312</v>
      </c>
      <c r="H30" s="11" t="str">
        <f>VLOOKUP($G30, 'ADP Data'!$C$4:$Q$300, 2, FALSE)</f>
        <v>KC</v>
      </c>
      <c r="I30" s="11">
        <f>VLOOKUP(G30, 'ADP Data'!$C$4:$R$498, 12, FALSE)</f>
        <v>79</v>
      </c>
      <c r="J30" s="41" t="str">
        <f>VLOOKUP($G30, SeanRanks!$A$2:$H$303, 5, FALSE)</f>
        <v>No</v>
      </c>
      <c r="K30" s="11" t="str">
        <f>IF(VLOOKUP($G30, SeanRanks!$A$2:$H$303, 6, FALSE)=0, "", VLOOKUP($G30, SeanRanks!$A$2:$H$303, 6, FALSE))</f>
        <v>TE1 - 3 - Weekly Start</v>
      </c>
      <c r="L30" s="11">
        <f t="shared" si="4"/>
        <v>9</v>
      </c>
      <c r="M30" s="11">
        <f>VLOOKUP($G30, 'ADP Data'!$C$4:$Q$300, 9, FALSE)</f>
        <v>67</v>
      </c>
      <c r="N30" s="11">
        <f t="shared" si="5"/>
        <v>-1</v>
      </c>
      <c r="O30" s="11">
        <f>VLOOKUP($G30, 'ADP Data'!$C$4:$Q$300, 3, FALSE)</f>
        <v>61</v>
      </c>
      <c r="P30" s="11">
        <f t="shared" si="6"/>
        <v>6</v>
      </c>
      <c r="Q30" s="11">
        <f>VLOOKUP($G30, 'ADP Data'!$C$4:$Q$300, 4, FALSE)</f>
        <v>57</v>
      </c>
      <c r="R30" s="11">
        <f>VLOOKUP($G30, 'ADP Data'!$C$4:$Q$300, 5, FALSE)</f>
        <v>88</v>
      </c>
      <c r="S30" s="11">
        <f>VLOOKUP($G30, 'ADP Data'!$C$4:$Q$300, 6, FALSE)</f>
        <v>63</v>
      </c>
      <c r="T30" s="11">
        <f>VLOOKUP($G30, 'ADP Data'!$C$4:$Q$300, 7, FALSE)</f>
        <v>82</v>
      </c>
      <c r="U30" s="11">
        <f>VLOOKUP($G30, 'ADP Data'!$C$4:$Q$300, 8, FALSE)</f>
        <v>58</v>
      </c>
      <c r="V30" s="11">
        <f t="shared" si="7"/>
        <v>68</v>
      </c>
      <c r="W30" s="11">
        <f t="shared" si="8"/>
        <v>9</v>
      </c>
      <c r="X30" s="11">
        <f t="shared" si="9"/>
        <v>-6</v>
      </c>
      <c r="Y30" s="11">
        <f>VLOOKUP($G30, SeanRanks!$A$2:$K$303, 10, FALSE)-V30</f>
        <v>14</v>
      </c>
      <c r="Z30" s="25">
        <f>IF(VLOOKUP($G30, SeanRanks!$A$2:$H$303, 7, FALSE)=0, "", VLOOKUP($G30, SeanRanks!$A$2:$H$303, 7, FALSE))</f>
        <v>9</v>
      </c>
    </row>
    <row r="31" spans="1:26" ht="14.25" hidden="1" customHeight="1" x14ac:dyDescent="0.25">
      <c r="A31" s="11"/>
      <c r="B31" s="11">
        <f t="shared" si="3"/>
        <v>8</v>
      </c>
      <c r="C31" s="11" t="s">
        <v>119</v>
      </c>
      <c r="D31" s="11">
        <v>2</v>
      </c>
      <c r="E31" s="11"/>
      <c r="F31" s="11">
        <f>VLOOKUP(G31, SeanRanks!$A$2:$E$302, 4, FALSE)</f>
        <v>0</v>
      </c>
      <c r="G31" s="11" t="s">
        <v>362</v>
      </c>
      <c r="H31" s="11" t="str">
        <f>VLOOKUP($G31, 'ADP Data'!$C$4:$Q$300, 2, FALSE)</f>
        <v>WAS</v>
      </c>
      <c r="I31" s="11">
        <f>VLOOKUP(G31, 'ADP Data'!$C$4:$R$498, 12, FALSE)</f>
        <v>69</v>
      </c>
      <c r="J31" s="40" t="str">
        <f>VLOOKUP($G31, SeanRanks!$A$2:$H$303, 5, FALSE)</f>
        <v>Yes</v>
      </c>
      <c r="K31" s="11" t="str">
        <f>IF(VLOOKUP($G31, SeanRanks!$A$2:$H$303, 6, FALSE)=0, "", VLOOKUP($G31, SeanRanks!$A$2:$H$303, 6, FALSE))</f>
        <v>WR4 - 1 - path to WR2</v>
      </c>
      <c r="L31" s="11">
        <f t="shared" si="4"/>
        <v>11</v>
      </c>
      <c r="M31" s="11">
        <f>VLOOKUP($G31, 'ADP Data'!$C$4:$Q$300, 9, FALSE)</f>
        <v>84</v>
      </c>
      <c r="N31" s="11">
        <f t="shared" si="5"/>
        <v>0</v>
      </c>
      <c r="O31" s="11">
        <f>VLOOKUP($G31, 'ADP Data'!$C$4:$Q$300, 3, FALSE)</f>
        <v>75</v>
      </c>
      <c r="P31" s="11">
        <f t="shared" si="6"/>
        <v>9</v>
      </c>
      <c r="Q31" s="11">
        <f>VLOOKUP($G31, 'ADP Data'!$C$4:$Q$300, 4, FALSE)</f>
        <v>95</v>
      </c>
      <c r="R31" s="11">
        <f>VLOOKUP($G31, 'ADP Data'!$C$4:$Q$300, 5, FALSE)</f>
        <v>83</v>
      </c>
      <c r="S31" s="11">
        <f>VLOOKUP($G31, 'ADP Data'!$C$4:$Q$300, 6, FALSE)</f>
        <v>83</v>
      </c>
      <c r="T31" s="11">
        <f>VLOOKUP($G31, 'ADP Data'!$C$4:$Q$300, 7, FALSE)</f>
        <v>75</v>
      </c>
      <c r="U31" s="11">
        <f>VLOOKUP($G31, 'ADP Data'!$C$4:$Q$300, 8, FALSE)</f>
        <v>96</v>
      </c>
      <c r="V31" s="11">
        <f t="shared" si="7"/>
        <v>84</v>
      </c>
      <c r="W31" s="11">
        <f t="shared" si="8"/>
        <v>11</v>
      </c>
      <c r="X31" s="11">
        <f t="shared" si="9"/>
        <v>-9</v>
      </c>
      <c r="Y31" s="11">
        <f>VLOOKUP($G31, SeanRanks!$A$2:$K$303, 10, FALSE)-V31</f>
        <v>10</v>
      </c>
      <c r="Z31" s="25">
        <f>IF(VLOOKUP($G31, SeanRanks!$A$2:$H$303, 7, FALSE)=0, "", VLOOKUP($G31, SeanRanks!$A$2:$H$303, 7, FALSE))</f>
        <v>41</v>
      </c>
    </row>
    <row r="32" spans="1:26" ht="14.25" hidden="1" customHeight="1" x14ac:dyDescent="0.25">
      <c r="A32" s="11"/>
      <c r="B32" s="11">
        <f t="shared" si="3"/>
        <v>2</v>
      </c>
      <c r="C32" s="11" t="s">
        <v>119</v>
      </c>
      <c r="D32" s="11">
        <v>4</v>
      </c>
      <c r="E32" s="11"/>
      <c r="F32" s="11">
        <f>VLOOKUP(G32, SeanRanks!$A$2:$E$302, 4, FALSE)</f>
        <v>0</v>
      </c>
      <c r="G32" s="11" t="s">
        <v>131</v>
      </c>
      <c r="H32" s="11" t="str">
        <f>VLOOKUP($G32, 'ADP Data'!$C$4:$Q$300, 2, FALSE)</f>
        <v>BUF</v>
      </c>
      <c r="I32" s="11">
        <f>VLOOKUP(G32, 'ADP Data'!$C$4:$R$498, 12, FALSE)</f>
        <v>26</v>
      </c>
      <c r="J32" s="42">
        <f>VLOOKUP($G32, SeanRanks!$A$2:$H$303, 5, FALSE)</f>
        <v>0</v>
      </c>
      <c r="K32" s="11" t="str">
        <f>IF(VLOOKUP($G32, SeanRanks!$A$2:$H$303, 6, FALSE)=0, "", VLOOKUP($G32, SeanRanks!$A$2:$H$303, 6, FALSE))</f>
        <v>QB1 - 1 - Elite</v>
      </c>
      <c r="L32" s="11">
        <f t="shared" si="4"/>
        <v>3</v>
      </c>
      <c r="M32" s="11">
        <f>VLOOKUP($G32, 'ADP Data'!$C$4:$Q$300, 9, FALSE)</f>
        <v>21</v>
      </c>
      <c r="N32" s="11">
        <f t="shared" si="5"/>
        <v>-1</v>
      </c>
      <c r="O32" s="11">
        <f>VLOOKUP($G32, 'ADP Data'!$C$4:$Q$300, 3, FALSE)</f>
        <v>15</v>
      </c>
      <c r="P32" s="11">
        <f t="shared" si="6"/>
        <v>6</v>
      </c>
      <c r="Q32" s="11">
        <f>VLOOKUP($G32, 'ADP Data'!$C$4:$Q$300, 4, FALSE)</f>
        <v>19</v>
      </c>
      <c r="R32" s="11">
        <f>VLOOKUP($G32, 'ADP Data'!$C$4:$Q$300, 5, FALSE)</f>
        <v>27</v>
      </c>
      <c r="S32" s="11">
        <f>VLOOKUP($G32, 'ADP Data'!$C$4:$Q$300, 6, FALSE)</f>
        <v>27</v>
      </c>
      <c r="T32" s="11">
        <f>VLOOKUP($G32, 'ADP Data'!$C$4:$Q$300, 7, FALSE)</f>
        <v>25</v>
      </c>
      <c r="U32" s="11">
        <f>VLOOKUP($G32, 'ADP Data'!$C$4:$Q$300, 8, FALSE)</f>
        <v>21</v>
      </c>
      <c r="V32" s="11">
        <f t="shared" si="7"/>
        <v>22</v>
      </c>
      <c r="W32" s="11">
        <f t="shared" si="8"/>
        <v>3</v>
      </c>
      <c r="X32" s="11">
        <f t="shared" si="9"/>
        <v>1</v>
      </c>
      <c r="Y32" s="11">
        <f>VLOOKUP($G32, SeanRanks!$A$2:$K$303, 10, FALSE)-V32</f>
        <v>6</v>
      </c>
      <c r="Z32" s="25">
        <f>IF(VLOOKUP($G32, SeanRanks!$A$2:$H$303, 7, FALSE)=0, "", VLOOKUP($G32, SeanRanks!$A$2:$H$303, 7, FALSE))</f>
        <v>2</v>
      </c>
    </row>
    <row r="33" spans="1:26" ht="14.25" hidden="1" customHeight="1" x14ac:dyDescent="0.25">
      <c r="A33" s="11"/>
      <c r="B33" s="11">
        <f t="shared" si="3"/>
        <v>4</v>
      </c>
      <c r="C33" s="11" t="s">
        <v>119</v>
      </c>
      <c r="D33" s="11">
        <v>2</v>
      </c>
      <c r="E33" s="11"/>
      <c r="F33" s="11">
        <f>VLOOKUP(G33, SeanRanks!$A$2:$E$302, 4, FALSE)</f>
        <v>0</v>
      </c>
      <c r="G33" s="11" t="s">
        <v>220</v>
      </c>
      <c r="H33" s="11" t="str">
        <f>VLOOKUP($G33, 'ADP Data'!$C$4:$Q$300, 2, FALSE)</f>
        <v>TB</v>
      </c>
      <c r="I33" s="11">
        <f>VLOOKUP(G33, 'ADP Data'!$C$4:$R$498, 12, FALSE)</f>
        <v>32</v>
      </c>
      <c r="J33" s="40">
        <f>VLOOKUP($G33, SeanRanks!$A$2:$H$303, 5, FALSE)</f>
        <v>0</v>
      </c>
      <c r="K33" s="11" t="str">
        <f>IF(VLOOKUP($G33, SeanRanks!$A$2:$H$303, 6, FALSE)=0, "", VLOOKUP($G33, SeanRanks!$A$2:$H$303, 6, FALSE))</f>
        <v>WR2 - 1 - WR1 upside</v>
      </c>
      <c r="L33" s="11">
        <f t="shared" si="4"/>
        <v>5</v>
      </c>
      <c r="M33" s="11">
        <f>VLOOKUP($G33, 'ADP Data'!$C$4:$Q$300, 9, FALSE)</f>
        <v>39</v>
      </c>
      <c r="N33" s="11">
        <f t="shared" si="5"/>
        <v>1</v>
      </c>
      <c r="O33" s="11">
        <f>VLOOKUP($G33, 'ADP Data'!$C$4:$Q$300, 3, FALSE)</f>
        <v>36</v>
      </c>
      <c r="P33" s="11">
        <f t="shared" si="6"/>
        <v>3</v>
      </c>
      <c r="Q33" s="11">
        <f>VLOOKUP($G33, 'ADP Data'!$C$4:$Q$300, 4, FALSE)</f>
        <v>43</v>
      </c>
      <c r="R33" s="11">
        <f>VLOOKUP($G33, 'ADP Data'!$C$4:$Q$300, 5, FALSE)</f>
        <v>44</v>
      </c>
      <c r="S33" s="11">
        <f>VLOOKUP($G33, 'ADP Data'!$C$4:$Q$300, 6, FALSE)</f>
        <v>38</v>
      </c>
      <c r="T33" s="11">
        <f>VLOOKUP($G33, 'ADP Data'!$C$4:$Q$300, 7, FALSE)</f>
        <v>38</v>
      </c>
      <c r="U33" s="11">
        <f>VLOOKUP($G33, 'ADP Data'!$C$4:$Q$300, 8, FALSE)</f>
        <v>32</v>
      </c>
      <c r="V33" s="11">
        <f t="shared" si="7"/>
        <v>38</v>
      </c>
      <c r="W33" s="11">
        <f t="shared" si="8"/>
        <v>5</v>
      </c>
      <c r="X33" s="11">
        <f t="shared" si="9"/>
        <v>-3</v>
      </c>
      <c r="Y33" s="11">
        <f>VLOOKUP($G33, SeanRanks!$A$2:$K$303, 10, FALSE)-V33</f>
        <v>-6</v>
      </c>
      <c r="Z33" s="25">
        <f>IF(VLOOKUP($G33, SeanRanks!$A$2:$H$303, 7, FALSE)=0, "", VLOOKUP($G33, SeanRanks!$A$2:$H$303, 7, FALSE))</f>
        <v>15</v>
      </c>
    </row>
    <row r="34" spans="1:26" ht="14.25" hidden="1" customHeight="1" x14ac:dyDescent="0.25">
      <c r="A34" s="11"/>
      <c r="B34" s="11">
        <f t="shared" si="3"/>
        <v>5</v>
      </c>
      <c r="C34" s="11" t="s">
        <v>119</v>
      </c>
      <c r="D34" s="11">
        <v>4</v>
      </c>
      <c r="E34" s="11"/>
      <c r="F34" s="11">
        <f>VLOOKUP(G34, SeanRanks!$A$2:$E$302, 4, FALSE)</f>
        <v>0</v>
      </c>
      <c r="G34" s="11" t="s">
        <v>310</v>
      </c>
      <c r="H34" s="11" t="str">
        <f>VLOOKUP($G34, 'ADP Data'!$C$4:$Q$300, 2, FALSE)</f>
        <v>KC</v>
      </c>
      <c r="I34" s="11">
        <f>VLOOKUP(G34, 'ADP Data'!$C$4:$R$498, 12, FALSE)</f>
        <v>76</v>
      </c>
      <c r="J34" s="42">
        <f>VLOOKUP($G34, SeanRanks!$A$2:$H$303, 5, FALSE)</f>
        <v>0</v>
      </c>
      <c r="K34" s="11" t="str">
        <f>IF(VLOOKUP($G34, SeanRanks!$A$2:$H$303, 6, FALSE)=0, "", VLOOKUP($G34, SeanRanks!$A$2:$H$303, 6, FALSE))</f>
        <v>QB1 - 4 - Weekly Start</v>
      </c>
      <c r="L34" s="11">
        <f t="shared" si="4"/>
        <v>8</v>
      </c>
      <c r="M34" s="11">
        <f>VLOOKUP($G34, 'ADP Data'!$C$4:$Q$300, 9, FALSE)</f>
        <v>57</v>
      </c>
      <c r="N34" s="11">
        <f t="shared" si="5"/>
        <v>1</v>
      </c>
      <c r="O34" s="11">
        <f>VLOOKUP($G34, 'ADP Data'!$C$4:$Q$300, 3, FALSE)</f>
        <v>47</v>
      </c>
      <c r="P34" s="11">
        <f t="shared" si="6"/>
        <v>10</v>
      </c>
      <c r="Q34" s="11">
        <f>VLOOKUP($G34, 'ADP Data'!$C$4:$Q$300, 4, FALSE)</f>
        <v>42</v>
      </c>
      <c r="R34" s="11">
        <f>VLOOKUP($G34, 'ADP Data'!$C$4:$Q$300, 5, FALSE)</f>
        <v>69</v>
      </c>
      <c r="S34" s="11">
        <f>VLOOKUP($G34, 'ADP Data'!$C$4:$Q$300, 6, FALSE)</f>
        <v>73</v>
      </c>
      <c r="T34" s="11">
        <f>VLOOKUP($G34, 'ADP Data'!$C$4:$Q$300, 7, FALSE)</f>
        <v>66</v>
      </c>
      <c r="U34" s="11">
        <f>VLOOKUP($G34, 'ADP Data'!$C$4:$Q$300, 8, FALSE)</f>
        <v>42</v>
      </c>
      <c r="V34" s="11">
        <f t="shared" si="7"/>
        <v>56</v>
      </c>
      <c r="W34" s="11">
        <f t="shared" si="8"/>
        <v>8</v>
      </c>
      <c r="X34" s="11">
        <f t="shared" si="9"/>
        <v>-4</v>
      </c>
      <c r="Y34" s="11">
        <f>VLOOKUP($G34, SeanRanks!$A$2:$K$303, 10, FALSE)-V34</f>
        <v>20</v>
      </c>
      <c r="Z34" s="25">
        <f>IF(VLOOKUP($G34, SeanRanks!$A$2:$H$303, 7, FALSE)=0, "", VLOOKUP($G34, SeanRanks!$A$2:$H$303, 7, FALSE))</f>
        <v>9</v>
      </c>
    </row>
    <row r="35" spans="1:26" ht="14.25" hidden="1" customHeight="1" x14ac:dyDescent="0.25">
      <c r="A35" s="11"/>
      <c r="B35" s="11">
        <f t="shared" si="3"/>
        <v>13</v>
      </c>
      <c r="C35" s="11" t="s">
        <v>119</v>
      </c>
      <c r="D35" s="11">
        <v>2</v>
      </c>
      <c r="E35" s="11"/>
      <c r="F35" s="11">
        <f>VLOOKUP(G35, SeanRanks!$A$2:$E$302, 4, FALSE)</f>
        <v>0</v>
      </c>
      <c r="G35" s="11" t="s">
        <v>684</v>
      </c>
      <c r="H35" s="11" t="str">
        <f>VLOOKUP($G35, 'ADP Data'!$C$4:$Q$300, 2, FALSE)</f>
        <v>SF</v>
      </c>
      <c r="I35" s="11">
        <f>VLOOKUP(G35, 'ADP Data'!$C$4:$R$498, 12, FALSE)</f>
        <v>152</v>
      </c>
      <c r="J35" s="40" t="str">
        <f>VLOOKUP($G35, SeanRanks!$A$2:$H$303, 5, FALSE)</f>
        <v>Yes</v>
      </c>
      <c r="K35" s="11" t="str">
        <f>IF(VLOOKUP($G35, SeanRanks!$A$2:$H$303, 6, FALSE)=0, "", VLOOKUP($G35, SeanRanks!$A$2:$H$303, 6, FALSE))</f>
        <v>WR5 - 1 - upside path</v>
      </c>
      <c r="L35" s="11">
        <f t="shared" si="4"/>
        <v>15</v>
      </c>
      <c r="M35" s="11">
        <f>VLOOKUP($G35, 'ADP Data'!$C$4:$Q$300, 9, FALSE)</f>
        <v>115</v>
      </c>
      <c r="N35" s="11">
        <f t="shared" si="5"/>
        <v>-33</v>
      </c>
      <c r="O35" s="11">
        <f>VLOOKUP($G35, 'ADP Data'!$C$4:$Q$300, 3, FALSE)</f>
        <v>162</v>
      </c>
      <c r="P35" s="11">
        <f t="shared" si="6"/>
        <v>-47</v>
      </c>
      <c r="Q35" s="11">
        <f>VLOOKUP($G35, 'ADP Data'!$C$4:$Q$300, 4, FALSE)</f>
        <v>169</v>
      </c>
      <c r="R35" s="11">
        <f>VLOOKUP($G35, 'ADP Data'!$C$4:$Q$300, 5, FALSE)</f>
        <v>165</v>
      </c>
      <c r="S35" s="11">
        <f>VLOOKUP($G35, 'ADP Data'!$C$4:$Q$300, 6, FALSE)</f>
        <v>154</v>
      </c>
      <c r="T35" s="11">
        <f>VLOOKUP($G35, 'ADP Data'!$C$4:$Q$300, 7, FALSE)</f>
        <v>148</v>
      </c>
      <c r="U35" s="11">
        <f>VLOOKUP($G35, 'ADP Data'!$C$4:$Q$300, 8, FALSE)</f>
        <v>127</v>
      </c>
      <c r="V35" s="11">
        <f t="shared" si="7"/>
        <v>148</v>
      </c>
      <c r="W35" s="11">
        <f t="shared" si="8"/>
        <v>19</v>
      </c>
      <c r="X35" s="11">
        <f t="shared" si="9"/>
        <v>-17</v>
      </c>
      <c r="Y35" s="11">
        <f>VLOOKUP($G35, SeanRanks!$A$2:$K$303, 10, FALSE)-V35</f>
        <v>-7</v>
      </c>
      <c r="Z35" s="25">
        <f>IF(VLOOKUP($G35, SeanRanks!$A$2:$H$303, 7, FALSE)=0, "", VLOOKUP($G35, SeanRanks!$A$2:$H$303, 7, FALSE))</f>
        <v>48</v>
      </c>
    </row>
    <row r="36" spans="1:26" ht="14.25" hidden="1" customHeight="1" x14ac:dyDescent="0.25">
      <c r="A36" s="11"/>
      <c r="B36" s="11">
        <f t="shared" si="3"/>
        <v>5</v>
      </c>
      <c r="C36" s="11" t="s">
        <v>119</v>
      </c>
      <c r="D36" s="11"/>
      <c r="E36" s="11"/>
      <c r="F36" s="11">
        <f>VLOOKUP(G36, SeanRanks!$A$2:$E$302, 4, FALSE)</f>
        <v>0</v>
      </c>
      <c r="G36" s="11" t="s">
        <v>246</v>
      </c>
      <c r="H36" s="11" t="str">
        <f>VLOOKUP($G36, 'ADP Data'!$C$4:$Q$300, 2, FALSE)</f>
        <v>DET</v>
      </c>
      <c r="I36" s="11">
        <f>VLOOKUP(G36, 'ADP Data'!$C$4:$R$498, 12, FALSE)</f>
        <v>73</v>
      </c>
      <c r="J36" s="41">
        <f>VLOOKUP($G36, SeanRanks!$A$2:$H$303, 5, FALSE)</f>
        <v>0</v>
      </c>
      <c r="K36" s="11" t="str">
        <f>IF(VLOOKUP($G36, SeanRanks!$A$2:$H$303, 6, FALSE)=0, "", VLOOKUP($G36, SeanRanks!$A$2:$H$303, 6, FALSE))</f>
        <v>TE1 - 2 - Very Good</v>
      </c>
      <c r="L36" s="11">
        <f t="shared" si="4"/>
        <v>7</v>
      </c>
      <c r="M36" s="11">
        <f>VLOOKUP($G36, 'ADP Data'!$C$4:$Q$300, 9, FALSE)</f>
        <v>51</v>
      </c>
      <c r="N36" s="11">
        <f t="shared" si="5"/>
        <v>-5</v>
      </c>
      <c r="O36" s="11">
        <f>VLOOKUP($G36, 'ADP Data'!$C$4:$Q$300, 3, FALSE)</f>
        <v>58</v>
      </c>
      <c r="P36" s="11">
        <f t="shared" si="6"/>
        <v>-7</v>
      </c>
      <c r="Q36" s="11">
        <f>VLOOKUP($G36, 'ADP Data'!$C$4:$Q$300, 4, FALSE)</f>
        <v>49</v>
      </c>
      <c r="R36" s="11">
        <f>VLOOKUP($G36, 'ADP Data'!$C$4:$Q$300, 5, FALSE)</f>
        <v>67</v>
      </c>
      <c r="S36" s="11">
        <f>VLOOKUP($G36, 'ADP Data'!$C$4:$Q$300, 6, FALSE)</f>
        <v>53</v>
      </c>
      <c r="T36" s="11">
        <f>VLOOKUP($G36, 'ADP Data'!$C$4:$Q$300, 7, FALSE)</f>
        <v>71</v>
      </c>
      <c r="U36" s="11">
        <f>VLOOKUP($G36, 'ADP Data'!$C$4:$Q$300, 8, FALSE)</f>
        <v>43</v>
      </c>
      <c r="V36" s="11">
        <f t="shared" si="7"/>
        <v>56</v>
      </c>
      <c r="W36" s="11">
        <f t="shared" si="8"/>
        <v>8</v>
      </c>
      <c r="X36" s="11">
        <f t="shared" si="9"/>
        <v>-8</v>
      </c>
      <c r="Y36" s="11">
        <f>VLOOKUP($G36, SeanRanks!$A$2:$K$303, 10, FALSE)-V36</f>
        <v>12</v>
      </c>
      <c r="Z36" s="25">
        <f>IF(VLOOKUP($G36, SeanRanks!$A$2:$H$303, 7, FALSE)=0, "", VLOOKUP($G36, SeanRanks!$A$2:$H$303, 7, FALSE))</f>
        <v>4</v>
      </c>
    </row>
    <row r="37" spans="1:26" ht="14.25" hidden="1" customHeight="1" x14ac:dyDescent="0.25">
      <c r="A37" s="11"/>
      <c r="B37" s="11">
        <f t="shared" si="3"/>
        <v>6</v>
      </c>
      <c r="C37" s="11" t="s">
        <v>119</v>
      </c>
      <c r="D37" s="11">
        <v>2</v>
      </c>
      <c r="E37" s="11" t="s">
        <v>243</v>
      </c>
      <c r="F37" s="11">
        <f>VLOOKUP(G37, SeanRanks!$A$2:$E$302, 4, FALSE)</f>
        <v>0</v>
      </c>
      <c r="G37" s="11" t="s">
        <v>167</v>
      </c>
      <c r="H37" s="11" t="str">
        <f>VLOOKUP($G37, 'ADP Data'!$C$4:$Q$300, 2, FALSE)</f>
        <v>MIA</v>
      </c>
      <c r="I37" s="11">
        <f>VLOOKUP(G37, 'ADP Data'!$C$4:$R$498, 12, FALSE)</f>
        <v>57</v>
      </c>
      <c r="J37" s="40" t="str">
        <f>VLOOKUP($G37, SeanRanks!$A$2:$H$303, 5, FALSE)</f>
        <v>No</v>
      </c>
      <c r="K37" s="11" t="str">
        <f>IF(VLOOKUP($G37, SeanRanks!$A$2:$H$303, 6, FALSE)=0, "", VLOOKUP($G37, SeanRanks!$A$2:$H$303, 6, FALSE))</f>
        <v>WR3 - 2 - mid, but path to big upside</v>
      </c>
      <c r="L37" s="11">
        <f t="shared" si="4"/>
        <v>9</v>
      </c>
      <c r="M37" s="11">
        <f>VLOOKUP($G37, 'ADP Data'!$C$4:$Q$300, 9, FALSE)</f>
        <v>70</v>
      </c>
      <c r="N37" s="11">
        <f t="shared" si="5"/>
        <v>0</v>
      </c>
      <c r="O37" s="11">
        <f>VLOOKUP($G37, 'ADP Data'!$C$4:$Q$300, 3, FALSE)</f>
        <v>79</v>
      </c>
      <c r="P37" s="11">
        <f t="shared" si="6"/>
        <v>-9</v>
      </c>
      <c r="Q37" s="11">
        <f>VLOOKUP($G37, 'ADP Data'!$C$4:$Q$300, 4, FALSE)</f>
        <v>64</v>
      </c>
      <c r="R37" s="11">
        <f>VLOOKUP($G37, 'ADP Data'!$C$4:$Q$300, 5, FALSE)</f>
        <v>70</v>
      </c>
      <c r="S37" s="11">
        <f>VLOOKUP($G37, 'ADP Data'!$C$4:$Q$300, 6, FALSE)</f>
        <v>66</v>
      </c>
      <c r="T37" s="11">
        <f>VLOOKUP($G37, 'ADP Data'!$C$4:$Q$300, 7, FALSE)</f>
        <v>58</v>
      </c>
      <c r="U37" s="11">
        <f>VLOOKUP($G37, 'ADP Data'!$C$4:$Q$300, 8, FALSE)</f>
        <v>84</v>
      </c>
      <c r="V37" s="11">
        <f t="shared" si="7"/>
        <v>70</v>
      </c>
      <c r="W37" s="11">
        <f t="shared" si="8"/>
        <v>9</v>
      </c>
      <c r="X37" s="11">
        <f t="shared" si="9"/>
        <v>-7</v>
      </c>
      <c r="Y37" s="11">
        <f>VLOOKUP($G37, SeanRanks!$A$2:$K$303, 10, FALSE)-V37</f>
        <v>-22</v>
      </c>
      <c r="Z37" s="25">
        <f>IF(VLOOKUP($G37, SeanRanks!$A$2:$H$303, 7, FALSE)=0, "", VLOOKUP($G37, SeanRanks!$A$2:$H$303, 7, FALSE))</f>
        <v>31</v>
      </c>
    </row>
    <row r="38" spans="1:26" ht="14.25" hidden="1" customHeight="1" x14ac:dyDescent="0.25">
      <c r="A38" s="11"/>
      <c r="B38" s="11">
        <f t="shared" si="3"/>
        <v>2</v>
      </c>
      <c r="C38" s="11" t="s">
        <v>119</v>
      </c>
      <c r="D38" s="11"/>
      <c r="E38" s="23"/>
      <c r="F38" s="11">
        <f>VLOOKUP(G38, SeanRanks!$A$2:$E$302, 4, FALSE)</f>
        <v>0</v>
      </c>
      <c r="G38" s="11" t="s">
        <v>115</v>
      </c>
      <c r="H38" s="11" t="str">
        <f>VLOOKUP($G38, 'ADP Data'!$C$4:$Q$300, 2, FALSE)</f>
        <v>HOU</v>
      </c>
      <c r="I38" s="11">
        <f>VLOOKUP(G38, 'ADP Data'!$C$4:$R$498, 12, FALSE)</f>
        <v>8</v>
      </c>
      <c r="J38" s="40">
        <f>VLOOKUP($G38, SeanRanks!$A$2:$H$303, 5, FALSE)</f>
        <v>0</v>
      </c>
      <c r="K38" s="11" t="str">
        <f>IF(VLOOKUP($G38, SeanRanks!$A$2:$H$303, 6, FALSE)=0, "", VLOOKUP($G38, SeanRanks!$A$2:$H$303, 6, FALSE))</f>
        <v>WR1 - 2 - High Floor</v>
      </c>
      <c r="L38" s="11">
        <f t="shared" si="4"/>
        <v>2</v>
      </c>
      <c r="M38" s="11">
        <f>VLOOKUP($G38, 'ADP Data'!$C$4:$Q$300, 9, FALSE)</f>
        <v>13</v>
      </c>
      <c r="N38" s="11">
        <f t="shared" si="5"/>
        <v>0</v>
      </c>
      <c r="O38" s="11">
        <f>VLOOKUP($G38, 'ADP Data'!$C$4:$Q$300, 3, FALSE)</f>
        <v>13</v>
      </c>
      <c r="P38" s="11">
        <f t="shared" si="6"/>
        <v>0</v>
      </c>
      <c r="Q38" s="11">
        <f>VLOOKUP($G38, 'ADP Data'!$C$4:$Q$300, 4, FALSE)</f>
        <v>13</v>
      </c>
      <c r="R38" s="11">
        <f>VLOOKUP($G38, 'ADP Data'!$C$4:$Q$300, 5, FALSE)</f>
        <v>12</v>
      </c>
      <c r="S38" s="11">
        <f>VLOOKUP($G38, 'ADP Data'!$C$4:$Q$300, 6, FALSE)</f>
        <v>12</v>
      </c>
      <c r="T38" s="11">
        <f>VLOOKUP($G38, 'ADP Data'!$C$4:$Q$300, 7, FALSE)</f>
        <v>12</v>
      </c>
      <c r="U38" s="11">
        <f>VLOOKUP($G38, 'ADP Data'!$C$4:$Q$300, 8, FALSE)</f>
        <v>16</v>
      </c>
      <c r="V38" s="11">
        <f t="shared" si="7"/>
        <v>13</v>
      </c>
      <c r="W38" s="11">
        <f t="shared" si="8"/>
        <v>2</v>
      </c>
      <c r="X38" s="11">
        <f t="shared" si="9"/>
        <v>-2</v>
      </c>
      <c r="Y38" s="11">
        <f>VLOOKUP($G38, SeanRanks!$A$2:$K$303, 10, FALSE)-V38</f>
        <v>-6</v>
      </c>
      <c r="Z38" s="25">
        <f>IF(VLOOKUP($G38, SeanRanks!$A$2:$H$303, 7, FALSE)=0, "", VLOOKUP($G38, SeanRanks!$A$2:$H$303, 7, FALSE))</f>
        <v>4</v>
      </c>
    </row>
    <row r="39" spans="1:26" ht="14.25" hidden="1" customHeight="1" x14ac:dyDescent="0.25">
      <c r="A39" s="11" t="s">
        <v>148</v>
      </c>
      <c r="B39" s="11">
        <f t="shared" si="3"/>
        <v>4</v>
      </c>
      <c r="C39" s="11" t="s">
        <v>119</v>
      </c>
      <c r="D39" s="11">
        <v>4</v>
      </c>
      <c r="E39" s="11"/>
      <c r="F39" s="11">
        <f>VLOOKUP(G39, SeanRanks!$A$2:$E$302, 4, FALSE)</f>
        <v>0</v>
      </c>
      <c r="G39" s="11" t="s">
        <v>235</v>
      </c>
      <c r="H39" s="11" t="str">
        <f>VLOOKUP($G39, 'ADP Data'!$C$4:$Q$300, 2, FALSE)</f>
        <v>PHI</v>
      </c>
      <c r="I39" s="11">
        <f>VLOOKUP(G39, 'ADP Data'!$C$4:$R$498, 12, FALSE)</f>
        <v>42</v>
      </c>
      <c r="J39" s="42">
        <f>VLOOKUP($G39, SeanRanks!$A$2:$H$303, 5, FALSE)</f>
        <v>0</v>
      </c>
      <c r="K39" s="11" t="str">
        <f>IF(VLOOKUP($G39, SeanRanks!$A$2:$H$303, 6, FALSE)=0, "", VLOOKUP($G39, SeanRanks!$A$2:$H$303, 6, FALSE))</f>
        <v>QB1 - 2 - QB1 Upside</v>
      </c>
      <c r="L39" s="11">
        <f t="shared" si="4"/>
        <v>5</v>
      </c>
      <c r="M39" s="11">
        <f>VLOOKUP($G39, 'ADP Data'!$C$4:$Q$300, 9, FALSE)</f>
        <v>37</v>
      </c>
      <c r="N39" s="11">
        <f t="shared" si="5"/>
        <v>0</v>
      </c>
      <c r="O39" s="11">
        <f>VLOOKUP($G39, 'ADP Data'!$C$4:$Q$300, 3, FALSE)</f>
        <v>31</v>
      </c>
      <c r="P39" s="11">
        <f t="shared" si="6"/>
        <v>6</v>
      </c>
      <c r="Q39" s="11">
        <f>VLOOKUP($G39, 'ADP Data'!$C$4:$Q$300, 4, FALSE)</f>
        <v>28</v>
      </c>
      <c r="R39" s="11">
        <f>VLOOKUP($G39, 'ADP Data'!$C$4:$Q$300, 5, FALSE)</f>
        <v>51</v>
      </c>
      <c r="S39" s="11">
        <f>VLOOKUP($G39, 'ADP Data'!$C$4:$Q$300, 6, FALSE)</f>
        <v>40</v>
      </c>
      <c r="T39" s="11">
        <f>VLOOKUP($G39, 'ADP Data'!$C$4:$Q$300, 7, FALSE)</f>
        <v>43</v>
      </c>
      <c r="U39" s="11">
        <f>VLOOKUP($G39, 'ADP Data'!$C$4:$Q$300, 8, FALSE)</f>
        <v>34</v>
      </c>
      <c r="V39" s="11">
        <f t="shared" si="7"/>
        <v>37</v>
      </c>
      <c r="W39" s="11">
        <f t="shared" si="8"/>
        <v>5</v>
      </c>
      <c r="X39" s="11">
        <f t="shared" si="9"/>
        <v>-1</v>
      </c>
      <c r="Y39" s="11">
        <f>VLOOKUP($G39, SeanRanks!$A$2:$K$303, 10, FALSE)-V39</f>
        <v>-2</v>
      </c>
      <c r="Z39" s="25">
        <f>IF(VLOOKUP($G39, SeanRanks!$A$2:$H$303, 7, FALSE)=0, "", VLOOKUP($G39, SeanRanks!$A$2:$H$303, 7, FALSE))</f>
        <v>3</v>
      </c>
    </row>
    <row r="40" spans="1:26" ht="14.25" hidden="1" customHeight="1" x14ac:dyDescent="0.25">
      <c r="A40" s="11"/>
      <c r="B40" s="11">
        <f t="shared" si="3"/>
        <v>10</v>
      </c>
      <c r="C40" s="11" t="s">
        <v>119</v>
      </c>
      <c r="D40" s="11">
        <v>3</v>
      </c>
      <c r="E40" s="11" t="s">
        <v>243</v>
      </c>
      <c r="F40" s="11">
        <f>VLOOKUP(G40, SeanRanks!$A$2:$E$302, 4, FALSE)</f>
        <v>0</v>
      </c>
      <c r="G40" s="11" t="s">
        <v>284</v>
      </c>
      <c r="H40" s="11" t="str">
        <f>VLOOKUP($G40, 'ADP Data'!$C$4:$Q$300, 2, FALSE)</f>
        <v>IND</v>
      </c>
      <c r="I40" s="11">
        <f>VLOOKUP(G40, 'ADP Data'!$C$4:$R$498, 12, FALSE)</f>
        <v>85</v>
      </c>
      <c r="J40" s="43" t="str">
        <f>VLOOKUP($G40, SeanRanks!$A$2:$H$303, 5, FALSE)</f>
        <v>No</v>
      </c>
      <c r="K40" s="11" t="str">
        <f>IF(VLOOKUP($G40, SeanRanks!$A$2:$H$303, 6, FALSE)=0, "", VLOOKUP($G40, SeanRanks!$A$2:$H$303, 6, FALSE))</f>
        <v>WR4 - 2 - unclear path to WR2</v>
      </c>
      <c r="L40" s="11">
        <f t="shared" si="4"/>
        <v>15</v>
      </c>
      <c r="M40" s="11">
        <f>VLOOKUP($G40, 'ADP Data'!$C$4:$Q$300, 9, FALSE)</f>
        <v>114</v>
      </c>
      <c r="N40" s="11">
        <f t="shared" si="5"/>
        <v>4</v>
      </c>
      <c r="O40" s="11">
        <f>VLOOKUP($G40, 'ADP Data'!$C$4:$Q$300, 3, FALSE)</f>
        <v>94</v>
      </c>
      <c r="P40" s="11">
        <f t="shared" si="6"/>
        <v>20</v>
      </c>
      <c r="Q40" s="11">
        <f>VLOOKUP($G40, 'ADP Data'!$C$4:$Q$300, 4, FALSE)</f>
        <v>92</v>
      </c>
      <c r="R40" s="11">
        <f>VLOOKUP($G40, 'ADP Data'!$C$4:$Q$300, 5, FALSE)</f>
        <v>113</v>
      </c>
      <c r="S40" s="11">
        <f>VLOOKUP($G40, 'ADP Data'!$C$4:$Q$300, 6, FALSE)</f>
        <v>99</v>
      </c>
      <c r="T40" s="11">
        <f>VLOOKUP($G40, 'ADP Data'!$C$4:$Q$300, 7, FALSE)</f>
        <v>97</v>
      </c>
      <c r="U40" s="11">
        <f>VLOOKUP($G40, 'ADP Data'!$C$4:$Q$300, 8, FALSE)</f>
        <v>164</v>
      </c>
      <c r="V40" s="11">
        <f t="shared" si="7"/>
        <v>110</v>
      </c>
      <c r="W40" s="11">
        <f t="shared" si="8"/>
        <v>14</v>
      </c>
      <c r="X40" s="11">
        <f t="shared" si="9"/>
        <v>-11</v>
      </c>
      <c r="Y40" s="11">
        <f>VLOOKUP($G40, SeanRanks!$A$2:$K$303, 10, FALSE)-V40</f>
        <v>4</v>
      </c>
      <c r="Z40" s="25">
        <f>IF(VLOOKUP($G40, SeanRanks!$A$2:$H$303, 7, FALSE)=0, "", VLOOKUP($G40, SeanRanks!$A$2:$H$303, 7, FALSE))</f>
        <v>47</v>
      </c>
    </row>
    <row r="41" spans="1:26" ht="14.25" hidden="1" customHeight="1" x14ac:dyDescent="0.25">
      <c r="A41" s="11"/>
      <c r="B41" s="11">
        <f t="shared" si="3"/>
        <v>2</v>
      </c>
      <c r="C41" s="11" t="s">
        <v>119</v>
      </c>
      <c r="D41" s="11">
        <v>4</v>
      </c>
      <c r="E41" s="11"/>
      <c r="F41" s="11">
        <f>VLOOKUP(G41, SeanRanks!$A$2:$E$302, 4, FALSE)</f>
        <v>0</v>
      </c>
      <c r="G41" s="11" t="s">
        <v>218</v>
      </c>
      <c r="H41" s="11" t="str">
        <f>VLOOKUP($G41, 'ADP Data'!$C$4:$Q$300, 2, FALSE)</f>
        <v>GB</v>
      </c>
      <c r="I41" s="11">
        <f>VLOOKUP(G41, 'ADP Data'!$C$4:$R$498, 12, FALSE)</f>
        <v>23</v>
      </c>
      <c r="J41" s="39">
        <f>VLOOKUP($G41, SeanRanks!$A$2:$H$303, 5, FALSE)</f>
        <v>0</v>
      </c>
      <c r="K41" s="11" t="str">
        <f>IF(VLOOKUP($G41, SeanRanks!$A$2:$H$303, 6, FALSE)=0, "", VLOOKUP($G41, SeanRanks!$A$2:$H$303, 6, FALSE))</f>
        <v>RB1 - 2 - Elite ceiling/questions</v>
      </c>
      <c r="L41" s="11">
        <f t="shared" si="4"/>
        <v>2</v>
      </c>
      <c r="M41" s="11">
        <f>VLOOKUP($G41, 'ADP Data'!$C$4:$Q$300, 9, FALSE)</f>
        <v>15</v>
      </c>
      <c r="N41" s="11">
        <f t="shared" si="5"/>
        <v>-3</v>
      </c>
      <c r="O41" s="11">
        <f>VLOOKUP($G41, 'ADP Data'!$C$4:$Q$300, 3, FALSE)</f>
        <v>10</v>
      </c>
      <c r="P41" s="11">
        <f t="shared" si="6"/>
        <v>5</v>
      </c>
      <c r="Q41" s="11">
        <f>VLOOKUP($G41, 'ADP Data'!$C$4:$Q$300, 4, FALSE)</f>
        <v>17</v>
      </c>
      <c r="R41" s="11">
        <f>VLOOKUP($G41, 'ADP Data'!$C$4:$Q$300, 5, FALSE)</f>
        <v>23</v>
      </c>
      <c r="S41" s="11">
        <f>VLOOKUP($G41, 'ADP Data'!$C$4:$Q$300, 6, FALSE)</f>
        <v>22</v>
      </c>
      <c r="T41" s="11">
        <f>VLOOKUP($G41, 'ADP Data'!$C$4:$Q$300, 7, FALSE)</f>
        <v>22</v>
      </c>
      <c r="U41" s="11">
        <f>VLOOKUP($G41, 'ADP Data'!$C$4:$Q$300, 8, FALSE)</f>
        <v>19</v>
      </c>
      <c r="V41" s="11">
        <f t="shared" si="7"/>
        <v>18</v>
      </c>
      <c r="W41" s="11">
        <f t="shared" si="8"/>
        <v>3</v>
      </c>
      <c r="X41" s="11">
        <f t="shared" si="9"/>
        <v>1</v>
      </c>
      <c r="Y41" s="11">
        <f>VLOOKUP($G41, SeanRanks!$A$2:$K$303, 10, FALSE)-V41</f>
        <v>-3</v>
      </c>
      <c r="Z41" s="25">
        <f>IF(VLOOKUP($G41, SeanRanks!$A$2:$H$303, 7, FALSE)=0, "", VLOOKUP($G41, SeanRanks!$A$2:$H$303, 7, FALSE))</f>
        <v>7</v>
      </c>
    </row>
    <row r="42" spans="1:26" ht="14.25" hidden="1" customHeight="1" x14ac:dyDescent="0.25">
      <c r="A42" s="11"/>
      <c r="B42" s="11">
        <f t="shared" si="3"/>
        <v>9</v>
      </c>
      <c r="C42" s="11" t="s">
        <v>119</v>
      </c>
      <c r="D42" s="11">
        <v>2</v>
      </c>
      <c r="E42" s="11"/>
      <c r="F42" s="11">
        <f>VLOOKUP(G42, SeanRanks!$A$2:$E$302, 4, FALSE)</f>
        <v>0</v>
      </c>
      <c r="G42" s="11" t="s">
        <v>450</v>
      </c>
      <c r="H42" s="11" t="str">
        <f>VLOOKUP($G42, 'ADP Data'!$C$4:$Q$300, 2, FALSE)</f>
        <v>SEA</v>
      </c>
      <c r="I42" s="11">
        <f>VLOOKUP(G42, 'ADP Data'!$C$4:$R$498, 12, FALSE)</f>
        <v>97</v>
      </c>
      <c r="J42" s="43">
        <f>VLOOKUP($G42, SeanRanks!$A$2:$H$303, 5, FALSE)</f>
        <v>0</v>
      </c>
      <c r="K42" s="11" t="str">
        <f>IF(VLOOKUP($G42, SeanRanks!$A$2:$H$303, 6, FALSE)=0, "", VLOOKUP($G42, SeanRanks!$A$2:$H$303, 6, FALSE))</f>
        <v>WR5 - 2 - floor play not league winner</v>
      </c>
      <c r="L42" s="11">
        <f t="shared" si="4"/>
        <v>12</v>
      </c>
      <c r="M42" s="11">
        <f>VLOOKUP($G42, 'ADP Data'!$C$4:$Q$300, 9, FALSE)</f>
        <v>88</v>
      </c>
      <c r="N42" s="11">
        <f t="shared" si="5"/>
        <v>-7</v>
      </c>
      <c r="O42" s="11">
        <f>VLOOKUP($G42, 'ADP Data'!$C$4:$Q$300, 3, FALSE)</f>
        <v>95</v>
      </c>
      <c r="P42" s="11">
        <f t="shared" si="6"/>
        <v>-7</v>
      </c>
      <c r="Q42" s="11">
        <f>VLOOKUP($G42, 'ADP Data'!$C$4:$Q$300, 4, FALSE)</f>
        <v>86</v>
      </c>
      <c r="R42" s="11">
        <f>VLOOKUP($G42, 'ADP Data'!$C$4:$Q$300, 5, FALSE)</f>
        <v>97</v>
      </c>
      <c r="S42" s="11">
        <f>VLOOKUP($G42, 'ADP Data'!$C$4:$Q$300, 6, FALSE)</f>
        <v>101</v>
      </c>
      <c r="T42" s="11">
        <f>VLOOKUP($G42, 'ADP Data'!$C$4:$Q$300, 7, FALSE)</f>
        <v>91</v>
      </c>
      <c r="U42" s="11">
        <f>VLOOKUP($G42, 'ADP Data'!$C$4:$Q$300, 8, FALSE)</f>
        <v>109</v>
      </c>
      <c r="V42" s="11">
        <f t="shared" si="7"/>
        <v>95</v>
      </c>
      <c r="W42" s="11">
        <f t="shared" si="8"/>
        <v>12</v>
      </c>
      <c r="X42" s="11">
        <f t="shared" si="9"/>
        <v>-10</v>
      </c>
      <c r="Y42" s="11">
        <f>VLOOKUP($G42, SeanRanks!$A$2:$K$303, 10, FALSE)-V42</f>
        <v>26</v>
      </c>
      <c r="Z42" s="25">
        <f>IF(VLOOKUP($G42, SeanRanks!$A$2:$H$303, 7, FALSE)=0, "", VLOOKUP($G42, SeanRanks!$A$2:$H$303, 7, FALSE))</f>
        <v>55</v>
      </c>
    </row>
    <row r="43" spans="1:26" ht="14.25" hidden="1" customHeight="1" x14ac:dyDescent="0.25">
      <c r="A43" s="11"/>
      <c r="B43" s="11">
        <f t="shared" si="3"/>
        <v>5</v>
      </c>
      <c r="C43" s="11" t="s">
        <v>119</v>
      </c>
      <c r="D43" s="11">
        <v>2</v>
      </c>
      <c r="E43" s="11" t="s">
        <v>243</v>
      </c>
      <c r="F43" s="11">
        <f>VLOOKUP(G43, SeanRanks!$A$2:$E$302, 4, FALSE)</f>
        <v>0</v>
      </c>
      <c r="G43" s="11" t="s">
        <v>248</v>
      </c>
      <c r="H43" s="11" t="str">
        <f>VLOOKUP($G43, 'ADP Data'!$C$4:$Q$300, 2, FALSE)</f>
        <v>PIT</v>
      </c>
      <c r="I43" s="11">
        <f>VLOOKUP(G43, 'ADP Data'!$C$4:$R$498, 12, FALSE)</f>
        <v>56</v>
      </c>
      <c r="J43" s="40">
        <f>VLOOKUP($G43, SeanRanks!$A$2:$H$303, 5, FALSE)</f>
        <v>0</v>
      </c>
      <c r="K43" s="11" t="str">
        <f>IF(VLOOKUP($G43, SeanRanks!$A$2:$H$303, 6, FALSE)=0, "", VLOOKUP($G43, SeanRanks!$A$2:$H$303, 6, FALSE))</f>
        <v>WR2 - 2 - Upside with risk</v>
      </c>
      <c r="L43" s="11">
        <f t="shared" si="4"/>
        <v>6</v>
      </c>
      <c r="M43" s="11">
        <f>VLOOKUP($G43, 'ADP Data'!$C$4:$Q$300, 9, FALSE)</f>
        <v>46</v>
      </c>
      <c r="N43" s="11">
        <f t="shared" si="5"/>
        <v>-4</v>
      </c>
      <c r="O43" s="11">
        <f>VLOOKUP($G43, 'ADP Data'!$C$4:$Q$300, 3, FALSE)</f>
        <v>48</v>
      </c>
      <c r="P43" s="11">
        <f t="shared" si="6"/>
        <v>-2</v>
      </c>
      <c r="Q43" s="11">
        <f>VLOOKUP($G43, 'ADP Data'!$C$4:$Q$300, 4, FALSE)</f>
        <v>45</v>
      </c>
      <c r="R43" s="11">
        <f>VLOOKUP($G43, 'ADP Data'!$C$4:$Q$300, 5, FALSE)</f>
        <v>63</v>
      </c>
      <c r="S43" s="11">
        <f>VLOOKUP($G43, 'ADP Data'!$C$4:$Q$300, 6, FALSE)</f>
        <v>52</v>
      </c>
      <c r="T43" s="11">
        <f>VLOOKUP($G43, 'ADP Data'!$C$4:$Q$300, 7, FALSE)</f>
        <v>50</v>
      </c>
      <c r="U43" s="11">
        <f>VLOOKUP($G43, 'ADP Data'!$C$4:$Q$300, 8, FALSE)</f>
        <v>52</v>
      </c>
      <c r="V43" s="11">
        <f t="shared" si="7"/>
        <v>50</v>
      </c>
      <c r="W43" s="11">
        <f t="shared" si="8"/>
        <v>7</v>
      </c>
      <c r="X43" s="11">
        <f t="shared" si="9"/>
        <v>-5</v>
      </c>
      <c r="Y43" s="11">
        <f>VLOOKUP($G43, SeanRanks!$A$2:$K$303, 10, FALSE)-V43</f>
        <v>-1</v>
      </c>
      <c r="Z43" s="25">
        <f>IF(VLOOKUP($G43, SeanRanks!$A$2:$H$303, 7, FALSE)=0, "", VLOOKUP($G43, SeanRanks!$A$2:$H$303, 7, FALSE))</f>
        <v>20</v>
      </c>
    </row>
    <row r="44" spans="1:26" ht="14.25" hidden="1" customHeight="1" x14ac:dyDescent="0.25">
      <c r="A44" s="11"/>
      <c r="B44" s="11">
        <f t="shared" si="3"/>
        <v>3</v>
      </c>
      <c r="C44" s="11" t="s">
        <v>119</v>
      </c>
      <c r="D44" s="11"/>
      <c r="E44" s="11"/>
      <c r="F44" s="11">
        <f>VLOOKUP(G44, SeanRanks!$A$2:$E$302, 4, FALSE)</f>
        <v>0</v>
      </c>
      <c r="G44" s="11" t="s">
        <v>65</v>
      </c>
      <c r="H44" s="11" t="str">
        <f>VLOOKUP($G44, 'ADP Data'!$C$4:$Q$300, 2, FALSE)</f>
        <v>BUF</v>
      </c>
      <c r="I44" s="11">
        <f>VLOOKUP(G44, 'ADP Data'!$C$4:$R$498, 12, FALSE)</f>
        <v>44</v>
      </c>
      <c r="J44" s="39">
        <f>VLOOKUP($G44, SeanRanks!$A$2:$H$303, 5, FALSE)</f>
        <v>0</v>
      </c>
      <c r="K44" s="11" t="str">
        <f>IF(VLOOKUP($G44, SeanRanks!$A$2:$H$303, 6, FALSE)=0, "", VLOOKUP($G44, SeanRanks!$A$2:$H$303, 6, FALSE))</f>
        <v>RB2 - 1 - Clear path to spikes</v>
      </c>
      <c r="L44" s="11">
        <f t="shared" si="4"/>
        <v>4</v>
      </c>
      <c r="M44" s="11">
        <f>VLOOKUP($G44, 'ADP Data'!$C$4:$Q$300, 9, FALSE)</f>
        <v>30</v>
      </c>
      <c r="N44" s="11">
        <f t="shared" si="5"/>
        <v>-2</v>
      </c>
      <c r="O44" s="11">
        <f>VLOOKUP($G44, 'ADP Data'!$C$4:$Q$300, 3, FALSE)</f>
        <v>26</v>
      </c>
      <c r="P44" s="11">
        <f t="shared" si="6"/>
        <v>4</v>
      </c>
      <c r="Q44" s="11">
        <f>VLOOKUP($G44, 'ADP Data'!$C$4:$Q$300, 4, FALSE)</f>
        <v>32</v>
      </c>
      <c r="R44" s="11">
        <f>VLOOKUP($G44, 'ADP Data'!$C$4:$Q$300, 5, FALSE)</f>
        <v>40</v>
      </c>
      <c r="S44" s="11">
        <f>VLOOKUP($G44, 'ADP Data'!$C$4:$Q$300, 6, FALSE)</f>
        <v>33</v>
      </c>
      <c r="T44" s="11">
        <f>VLOOKUP($G44, 'ADP Data'!$C$4:$Q$300, 7, FALSE)</f>
        <v>36</v>
      </c>
      <c r="U44" s="11">
        <f>VLOOKUP($G44, 'ADP Data'!$C$4:$Q$300, 8, FALSE)</f>
        <v>30</v>
      </c>
      <c r="V44" s="11">
        <f t="shared" si="7"/>
        <v>32</v>
      </c>
      <c r="W44" s="11">
        <f t="shared" si="8"/>
        <v>5</v>
      </c>
      <c r="X44" s="11">
        <f t="shared" si="9"/>
        <v>-5</v>
      </c>
      <c r="Y44" s="11">
        <f>VLOOKUP($G44, SeanRanks!$A$2:$K$303, 10, FALSE)-V44</f>
        <v>2</v>
      </c>
      <c r="Z44" s="25">
        <f>IF(VLOOKUP($G44, SeanRanks!$A$2:$H$303, 7, FALSE)=0, "", VLOOKUP($G44, SeanRanks!$A$2:$H$303, 7, FALSE))</f>
        <v>15</v>
      </c>
    </row>
    <row r="45" spans="1:26" ht="14.25" hidden="1" customHeight="1" x14ac:dyDescent="0.25">
      <c r="A45" s="11" t="s">
        <v>148</v>
      </c>
      <c r="B45" s="11">
        <f t="shared" si="3"/>
        <v>5</v>
      </c>
      <c r="C45" s="11" t="s">
        <v>119</v>
      </c>
      <c r="D45" s="11">
        <v>3</v>
      </c>
      <c r="E45" s="11"/>
      <c r="F45" s="11">
        <f>VLOOKUP(G45, SeanRanks!$A$2:$E$302, 4, FALSE)</f>
        <v>0</v>
      </c>
      <c r="G45" s="11" t="s">
        <v>139</v>
      </c>
      <c r="H45" s="11" t="str">
        <f>VLOOKUP($G45, 'ADP Data'!$C$4:$Q$300, 2, FALSE)</f>
        <v>PHI</v>
      </c>
      <c r="I45" s="11">
        <f>VLOOKUP(G45, 'ADP Data'!$C$4:$R$498, 12, FALSE)</f>
        <v>54</v>
      </c>
      <c r="J45" s="43">
        <f>VLOOKUP($G45, SeanRanks!$A$2:$H$303, 5, FALSE)</f>
        <v>0</v>
      </c>
      <c r="K45" s="11" t="str">
        <f>IF(VLOOKUP($G45, SeanRanks!$A$2:$H$303, 6, FALSE)=0, "", VLOOKUP($G45, SeanRanks!$A$2:$H$303, 6, FALSE))</f>
        <v>WR2 - 2 - Upside with risk</v>
      </c>
      <c r="L45" s="11">
        <f t="shared" si="4"/>
        <v>7</v>
      </c>
      <c r="M45" s="11">
        <f>VLOOKUP($G45, 'ADP Data'!$C$4:$Q$300, 9, FALSE)</f>
        <v>53</v>
      </c>
      <c r="N45" s="11">
        <f t="shared" si="5"/>
        <v>-5</v>
      </c>
      <c r="O45" s="11">
        <f>VLOOKUP($G45, 'ADP Data'!$C$4:$Q$300, 3, FALSE)</f>
        <v>60</v>
      </c>
      <c r="P45" s="11">
        <f t="shared" si="6"/>
        <v>-7</v>
      </c>
      <c r="Q45" s="11">
        <f>VLOOKUP($G45, 'ADP Data'!$C$4:$Q$300, 4, FALSE)</f>
        <v>61</v>
      </c>
      <c r="R45" s="11">
        <f>VLOOKUP($G45, 'ADP Data'!$C$4:$Q$300, 5, FALSE)</f>
        <v>62</v>
      </c>
      <c r="S45" s="11">
        <f>VLOOKUP($G45, 'ADP Data'!$C$4:$Q$300, 6, FALSE)</f>
        <v>60</v>
      </c>
      <c r="T45" s="11">
        <f>VLOOKUP($G45, 'ADP Data'!$C$4:$Q$300, 7, FALSE)</f>
        <v>56</v>
      </c>
      <c r="U45" s="11">
        <f>VLOOKUP($G45, 'ADP Data'!$C$4:$Q$300, 8, FALSE)</f>
        <v>60</v>
      </c>
      <c r="V45" s="11">
        <f t="shared" si="7"/>
        <v>58</v>
      </c>
      <c r="W45" s="11">
        <f t="shared" si="8"/>
        <v>8</v>
      </c>
      <c r="X45" s="11">
        <f t="shared" si="9"/>
        <v>-5</v>
      </c>
      <c r="Y45" s="11">
        <f>VLOOKUP($G45, SeanRanks!$A$2:$K$303, 10, FALSE)-V45</f>
        <v>-13</v>
      </c>
      <c r="Z45" s="25">
        <f>IF(VLOOKUP($G45, SeanRanks!$A$2:$H$303, 7, FALSE)=0, "", VLOOKUP($G45, SeanRanks!$A$2:$H$303, 7, FALSE))</f>
        <v>18</v>
      </c>
    </row>
    <row r="46" spans="1:26" ht="14.25" hidden="1" customHeight="1" x14ac:dyDescent="0.25">
      <c r="A46" s="11"/>
      <c r="B46" s="11">
        <f t="shared" si="3"/>
        <v>13</v>
      </c>
      <c r="C46" s="11" t="s">
        <v>119</v>
      </c>
      <c r="D46" s="11">
        <v>4</v>
      </c>
      <c r="E46" s="11"/>
      <c r="F46" s="11">
        <f>VLOOKUP(G46, SeanRanks!$A$2:$E$302, 4, FALSE)</f>
        <v>0</v>
      </c>
      <c r="G46" s="11" t="s">
        <v>329</v>
      </c>
      <c r="H46" s="11" t="str">
        <f>VLOOKUP($G46, 'ADP Data'!$C$4:$Q$300, 2, FALSE)</f>
        <v>TB</v>
      </c>
      <c r="I46" s="11">
        <f>VLOOKUP(G46, 'ADP Data'!$C$4:$R$498, 12, FALSE)</f>
        <v>169</v>
      </c>
      <c r="J46" s="44">
        <f>VLOOKUP($G46, SeanRanks!$A$2:$H$303, 5, FALSE)</f>
        <v>0</v>
      </c>
      <c r="K46" s="11" t="str">
        <f>IF(VLOOKUP($G46, SeanRanks!$A$2:$H$303, 6, FALSE)=0, "", VLOOKUP($G46, SeanRanks!$A$2:$H$303, 6, FALSE))</f>
        <v>RB4 - 2 - low ceiling</v>
      </c>
      <c r="L46" s="11">
        <f t="shared" si="4"/>
        <v>17</v>
      </c>
      <c r="M46" s="11">
        <f>VLOOKUP($G46, 'ADP Data'!$C$4:$Q$300, 9, FALSE)</f>
        <v>129</v>
      </c>
      <c r="N46" s="11">
        <f t="shared" si="5"/>
        <v>-18</v>
      </c>
      <c r="O46" s="11">
        <f>VLOOKUP($G46, 'ADP Data'!$C$4:$Q$300, 3, FALSE)</f>
        <v>133</v>
      </c>
      <c r="P46" s="11">
        <f t="shared" si="6"/>
        <v>-4</v>
      </c>
      <c r="Q46" s="11">
        <f>VLOOKUP($G46, 'ADP Data'!$C$4:$Q$300, 4, FALSE)</f>
        <v>150</v>
      </c>
      <c r="R46" s="11">
        <f>VLOOKUP($G46, 'ADP Data'!$C$4:$Q$300, 5, FALSE)</f>
        <v>167</v>
      </c>
      <c r="S46" s="11">
        <f>VLOOKUP($G46, 'ADP Data'!$C$4:$Q$300, 6, FALSE)</f>
        <v>149</v>
      </c>
      <c r="T46" s="11">
        <f>VLOOKUP($G46, 'ADP Data'!$C$4:$Q$300, 7, FALSE)</f>
        <v>153</v>
      </c>
      <c r="U46" s="11">
        <f>VLOOKUP($G46, 'ADP Data'!$C$4:$Q$300, 8, FALSE)</f>
        <v>149</v>
      </c>
      <c r="V46" s="11">
        <f t="shared" si="7"/>
        <v>147</v>
      </c>
      <c r="W46" s="11">
        <f t="shared" si="8"/>
        <v>19</v>
      </c>
      <c r="X46" s="11">
        <f t="shared" si="9"/>
        <v>-15</v>
      </c>
      <c r="Y46" s="11">
        <f>VLOOKUP($G46, SeanRanks!$A$2:$K$303, 10, FALSE)-V46</f>
        <v>-23</v>
      </c>
      <c r="Z46" s="25">
        <f>IF(VLOOKUP($G46, SeanRanks!$A$2:$H$303, 7, FALSE)=0, "", VLOOKUP($G46, SeanRanks!$A$2:$H$303, 7, FALSE))</f>
        <v>48</v>
      </c>
    </row>
    <row r="47" spans="1:26" ht="14.25" hidden="1" customHeight="1" x14ac:dyDescent="0.25">
      <c r="A47" s="11"/>
      <c r="B47" s="11">
        <f t="shared" si="3"/>
        <v>5</v>
      </c>
      <c r="C47" s="11" t="s">
        <v>119</v>
      </c>
      <c r="D47" s="11">
        <v>4</v>
      </c>
      <c r="E47" s="11"/>
      <c r="F47" s="11">
        <f>VLOOKUP(G47, SeanRanks!$A$2:$E$302, 4, FALSE)</f>
        <v>0</v>
      </c>
      <c r="G47" s="11" t="s">
        <v>176</v>
      </c>
      <c r="H47" s="11" t="str">
        <f>VLOOKUP($G47, 'ADP Data'!$C$4:$Q$300, 2, FALSE)</f>
        <v>CHI</v>
      </c>
      <c r="I47" s="11">
        <f>VLOOKUP(G47, 'ADP Data'!$C$4:$R$498, 12, FALSE)</f>
        <v>50</v>
      </c>
      <c r="J47" s="45">
        <f>VLOOKUP($G47, SeanRanks!$A$2:$H$303, 5, FALSE)</f>
        <v>0</v>
      </c>
      <c r="K47" s="11" t="str">
        <f>IF(VLOOKUP($G47, SeanRanks!$A$2:$H$303, 6, FALSE)=0, "", VLOOKUP($G47, SeanRanks!$A$2:$H$303, 6, FALSE))</f>
        <v xml:space="preserve">WR3 - 1 - </v>
      </c>
      <c r="L47" s="11">
        <f t="shared" si="4"/>
        <v>7</v>
      </c>
      <c r="M47" s="11">
        <f>VLOOKUP($G47, 'ADP Data'!$C$4:$Q$300, 9, FALSE)</f>
        <v>48</v>
      </c>
      <c r="N47" s="11">
        <f t="shared" si="5"/>
        <v>-3</v>
      </c>
      <c r="O47" s="11">
        <f>VLOOKUP($G47, 'ADP Data'!$C$4:$Q$300, 3, FALSE)</f>
        <v>52</v>
      </c>
      <c r="P47" s="11">
        <f t="shared" si="6"/>
        <v>-4</v>
      </c>
      <c r="Q47" s="11">
        <f>VLOOKUP($G47, 'ADP Data'!$C$4:$Q$300, 4, FALSE)</f>
        <v>54</v>
      </c>
      <c r="R47" s="11">
        <f>VLOOKUP($G47, 'ADP Data'!$C$4:$Q$300, 5, FALSE)</f>
        <v>54</v>
      </c>
      <c r="S47" s="11">
        <f>VLOOKUP($G47, 'ADP Data'!$C$4:$Q$300, 6, FALSE)</f>
        <v>55</v>
      </c>
      <c r="T47" s="11">
        <f>VLOOKUP($G47, 'ADP Data'!$C$4:$Q$300, 7, FALSE)</f>
        <v>48</v>
      </c>
      <c r="U47" s="11">
        <f>VLOOKUP($G47, 'ADP Data'!$C$4:$Q$300, 8, FALSE)</f>
        <v>46</v>
      </c>
      <c r="V47" s="11">
        <f t="shared" si="7"/>
        <v>51</v>
      </c>
      <c r="W47" s="11">
        <f t="shared" si="8"/>
        <v>7</v>
      </c>
      <c r="X47" s="11">
        <f t="shared" si="9"/>
        <v>-3</v>
      </c>
      <c r="Y47" s="11">
        <f>VLOOKUP($G47, SeanRanks!$A$2:$K$303, 10, FALSE)-V47</f>
        <v>9</v>
      </c>
      <c r="Z47" s="25">
        <f>IF(VLOOKUP($G47, SeanRanks!$A$2:$H$303, 7, FALSE)=0, "", VLOOKUP($G47, SeanRanks!$A$2:$H$303, 7, FALSE))</f>
        <v>28</v>
      </c>
    </row>
    <row r="48" spans="1:26" ht="14.25" hidden="1" customHeight="1" x14ac:dyDescent="0.25">
      <c r="A48" s="11"/>
      <c r="B48" s="11">
        <f t="shared" si="3"/>
        <v>3</v>
      </c>
      <c r="C48" s="11" t="s">
        <v>119</v>
      </c>
      <c r="D48" s="11">
        <v>4</v>
      </c>
      <c r="E48" s="11"/>
      <c r="F48" s="11">
        <f>VLOOKUP(G48, SeanRanks!$A$2:$E$302, 4, FALSE)</f>
        <v>0</v>
      </c>
      <c r="G48" s="11" t="s">
        <v>174</v>
      </c>
      <c r="H48" s="11" t="str">
        <f>VLOOKUP($G48, 'ADP Data'!$C$4:$Q$300, 2, FALSE)</f>
        <v>BAL</v>
      </c>
      <c r="I48" s="11">
        <f>VLOOKUP(G48, 'ADP Data'!$C$4:$R$498, 12, FALSE)</f>
        <v>30</v>
      </c>
      <c r="J48" s="42">
        <f>VLOOKUP($G48, SeanRanks!$A$2:$H$303, 5, FALSE)</f>
        <v>0</v>
      </c>
      <c r="K48" s="11" t="str">
        <f>IF(VLOOKUP($G48, SeanRanks!$A$2:$H$303, 6, FALSE)=0, "", VLOOKUP($G48, SeanRanks!$A$2:$H$303, 6, FALSE))</f>
        <v>QB1 - 1 - Elite</v>
      </c>
      <c r="L48" s="11">
        <f t="shared" si="4"/>
        <v>3</v>
      </c>
      <c r="M48" s="11">
        <f>VLOOKUP($G48, 'ADP Data'!$C$4:$Q$300, 9, FALSE)</f>
        <v>23</v>
      </c>
      <c r="N48" s="11">
        <f t="shared" si="5"/>
        <v>0</v>
      </c>
      <c r="O48" s="11">
        <f>VLOOKUP($G48, 'ADP Data'!$C$4:$Q$300, 3, FALSE)</f>
        <v>17</v>
      </c>
      <c r="P48" s="11">
        <f t="shared" si="6"/>
        <v>6</v>
      </c>
      <c r="Q48" s="11">
        <f>VLOOKUP($G48, 'ADP Data'!$C$4:$Q$300, 4, FALSE)</f>
        <v>23</v>
      </c>
      <c r="R48" s="11">
        <f>VLOOKUP($G48, 'ADP Data'!$C$4:$Q$300, 5, FALSE)</f>
        <v>31</v>
      </c>
      <c r="S48" s="11">
        <f>VLOOKUP($G48, 'ADP Data'!$C$4:$Q$300, 6, FALSE)</f>
        <v>29</v>
      </c>
      <c r="T48" s="11">
        <f>VLOOKUP($G48, 'ADP Data'!$C$4:$Q$300, 7, FALSE)</f>
        <v>24</v>
      </c>
      <c r="U48" s="11">
        <f>VLOOKUP($G48, 'ADP Data'!$C$4:$Q$300, 8, FALSE)</f>
        <v>18</v>
      </c>
      <c r="V48" s="11">
        <f t="shared" si="7"/>
        <v>23</v>
      </c>
      <c r="W48" s="11">
        <f t="shared" si="8"/>
        <v>3</v>
      </c>
      <c r="X48" s="11">
        <f t="shared" si="9"/>
        <v>1</v>
      </c>
      <c r="Y48" s="11">
        <f>VLOOKUP($G48, SeanRanks!$A$2:$K$303, 10, FALSE)-V48</f>
        <v>3</v>
      </c>
      <c r="Z48" s="25">
        <f>IF(VLOOKUP($G48, SeanRanks!$A$2:$H$303, 7, FALSE)=0, "", VLOOKUP($G48, SeanRanks!$A$2:$H$303, 7, FALSE))</f>
        <v>1</v>
      </c>
    </row>
    <row r="49" spans="1:26" ht="14.25" hidden="1" customHeight="1" x14ac:dyDescent="0.25">
      <c r="A49" s="11"/>
      <c r="B49" s="11">
        <f t="shared" si="3"/>
        <v>2</v>
      </c>
      <c r="C49" s="11" t="s">
        <v>119</v>
      </c>
      <c r="D49" s="11">
        <v>4</v>
      </c>
      <c r="E49" s="11"/>
      <c r="F49" s="11">
        <f>VLOOKUP(G49, SeanRanks!$A$2:$E$302, 4, FALSE)</f>
        <v>0</v>
      </c>
      <c r="G49" s="11" t="s">
        <v>122</v>
      </c>
      <c r="H49" s="11" t="str">
        <f>VLOOKUP($G49, 'ADP Data'!$C$4:$Q$300, 2, FALSE)</f>
        <v>ARI</v>
      </c>
      <c r="I49" s="11">
        <f>VLOOKUP(G49, 'ADP Data'!$C$4:$R$498, 12, FALSE)</f>
        <v>24</v>
      </c>
      <c r="J49" s="41">
        <f>VLOOKUP($G49, SeanRanks!$A$2:$H$303, 5, FALSE)</f>
        <v>0</v>
      </c>
      <c r="K49" s="11" t="str">
        <f>IF(VLOOKUP($G49, SeanRanks!$A$2:$H$303, 6, FALSE)=0, "", VLOOKUP($G49, SeanRanks!$A$2:$H$303, 6, FALSE))</f>
        <v>TE1 - 1 - Elite</v>
      </c>
      <c r="L49" s="11">
        <f t="shared" si="4"/>
        <v>4</v>
      </c>
      <c r="M49" s="11">
        <f>VLOOKUP($G49, 'ADP Data'!$C$4:$Q$300, 9, FALSE)</f>
        <v>26</v>
      </c>
      <c r="N49" s="11">
        <f t="shared" si="5"/>
        <v>1</v>
      </c>
      <c r="O49" s="11">
        <f>VLOOKUP($G49, 'ADP Data'!$C$4:$Q$300, 3, FALSE)</f>
        <v>35</v>
      </c>
      <c r="P49" s="11">
        <f t="shared" si="6"/>
        <v>-9</v>
      </c>
      <c r="Q49" s="11">
        <f>VLOOKUP($G49, 'ADP Data'!$C$4:$Q$300, 4, FALSE)</f>
        <v>25</v>
      </c>
      <c r="R49" s="11">
        <f>VLOOKUP($G49, 'ADP Data'!$C$4:$Q$300, 5, FALSE)</f>
        <v>28</v>
      </c>
      <c r="S49" s="11">
        <f>VLOOKUP($G49, 'ADP Data'!$C$4:$Q$300, 6, FALSE)</f>
        <v>13</v>
      </c>
      <c r="T49" s="11">
        <f>VLOOKUP($G49, 'ADP Data'!$C$4:$Q$300, 7, FALSE)</f>
        <v>26</v>
      </c>
      <c r="U49" s="11">
        <f>VLOOKUP($G49, 'ADP Data'!$C$4:$Q$300, 8, FALSE)</f>
        <v>27</v>
      </c>
      <c r="V49" s="11">
        <f t="shared" si="7"/>
        <v>25</v>
      </c>
      <c r="W49" s="11">
        <f t="shared" si="8"/>
        <v>4</v>
      </c>
      <c r="X49" s="11">
        <f t="shared" si="9"/>
        <v>0</v>
      </c>
      <c r="Y49" s="11">
        <f>VLOOKUP($G49, SeanRanks!$A$2:$K$303, 10, FALSE)-V49</f>
        <v>-1</v>
      </c>
      <c r="Z49" s="25">
        <f>IF(VLOOKUP($G49, SeanRanks!$A$2:$H$303, 7, FALSE)=0, "", VLOOKUP($G49, SeanRanks!$A$2:$H$303, 7, FALSE))</f>
        <v>2</v>
      </c>
    </row>
    <row r="50" spans="1:26" ht="14.25" hidden="1" customHeight="1" x14ac:dyDescent="0.25">
      <c r="A50" s="11"/>
      <c r="B50" s="11">
        <f t="shared" si="3"/>
        <v>1</v>
      </c>
      <c r="C50" s="11" t="s">
        <v>119</v>
      </c>
      <c r="D50" s="11">
        <v>3</v>
      </c>
      <c r="E50" s="11" t="s">
        <v>243</v>
      </c>
      <c r="F50" s="11">
        <f>VLOOKUP(G50, SeanRanks!$A$2:$E$302, 4, FALSE)</f>
        <v>0</v>
      </c>
      <c r="G50" s="11" t="s">
        <v>125</v>
      </c>
      <c r="H50" s="11" t="str">
        <f>VLOOKUP($G50, 'ADP Data'!$C$4:$Q$300, 2, FALSE)</f>
        <v>NYG</v>
      </c>
      <c r="I50" s="11">
        <f>VLOOKUP(G50, 'ADP Data'!$C$4:$R$498, 12, FALSE)</f>
        <v>10</v>
      </c>
      <c r="J50" s="40">
        <f>VLOOKUP($G50, SeanRanks!$A$2:$H$303, 5, FALSE)</f>
        <v>0</v>
      </c>
      <c r="K50" s="11" t="str">
        <f>IF(VLOOKUP($G50, SeanRanks!$A$2:$H$303, 6, FALSE)=0, "", VLOOKUP($G50, SeanRanks!$A$2:$H$303, 6, FALSE))</f>
        <v>WR1 - 2 - High Floor</v>
      </c>
      <c r="L50" s="11">
        <f t="shared" si="4"/>
        <v>2</v>
      </c>
      <c r="M50" s="11">
        <f>VLOOKUP($G50, 'ADP Data'!$C$4:$Q$300, 9, FALSE)</f>
        <v>12</v>
      </c>
      <c r="N50" s="11">
        <f t="shared" si="5"/>
        <v>3</v>
      </c>
      <c r="O50" s="11">
        <f>VLOOKUP($G50, 'ADP Data'!$C$4:$Q$300, 3, FALSE)</f>
        <v>11</v>
      </c>
      <c r="P50" s="11">
        <f t="shared" si="6"/>
        <v>1</v>
      </c>
      <c r="Q50" s="11">
        <f>VLOOKUP($G50, 'ADP Data'!$C$4:$Q$300, 4, FALSE)</f>
        <v>10</v>
      </c>
      <c r="R50" s="11">
        <f>VLOOKUP($G50, 'ADP Data'!$C$4:$Q$300, 5, FALSE)</f>
        <v>9</v>
      </c>
      <c r="S50" s="11">
        <f>VLOOKUP($G50, 'ADP Data'!$C$4:$Q$300, 6, FALSE)</f>
        <v>10</v>
      </c>
      <c r="T50" s="11">
        <f>VLOOKUP($G50, 'ADP Data'!$C$4:$Q$300, 7, FALSE)</f>
        <v>8</v>
      </c>
      <c r="U50" s="11">
        <f>VLOOKUP($G50, 'ADP Data'!$C$4:$Q$300, 8, FALSE)</f>
        <v>9</v>
      </c>
      <c r="V50" s="11">
        <f t="shared" si="7"/>
        <v>9</v>
      </c>
      <c r="W50" s="11">
        <f t="shared" si="8"/>
        <v>2</v>
      </c>
      <c r="X50" s="11">
        <f t="shared" si="9"/>
        <v>1</v>
      </c>
      <c r="Y50" s="11">
        <f>VLOOKUP($G50, SeanRanks!$A$2:$K$303, 10, FALSE)-V50</f>
        <v>1</v>
      </c>
      <c r="Z50" s="25">
        <f>IF(VLOOKUP($G50, SeanRanks!$A$2:$H$303, 7, FALSE)=0, "", VLOOKUP($G50, SeanRanks!$A$2:$H$303, 7, FALSE))</f>
        <v>5</v>
      </c>
    </row>
    <row r="51" spans="1:26" ht="14.25" hidden="1" customHeight="1" x14ac:dyDescent="0.25">
      <c r="A51" s="11"/>
      <c r="B51" s="11">
        <f t="shared" si="3"/>
        <v>7</v>
      </c>
      <c r="C51" s="11" t="s">
        <v>119</v>
      </c>
      <c r="D51" s="11">
        <v>4</v>
      </c>
      <c r="E51" s="11"/>
      <c r="F51" s="11">
        <f>VLOOKUP(G51, SeanRanks!$A$2:$E$302, 4, FALSE)</f>
        <v>0</v>
      </c>
      <c r="G51" s="11" t="s">
        <v>349</v>
      </c>
      <c r="H51" s="11" t="str">
        <f>VLOOKUP($G51, 'ADP Data'!$C$4:$Q$300, 2, FALSE)</f>
        <v>BAL</v>
      </c>
      <c r="I51" s="11">
        <f>VLOOKUP(G51, 'ADP Data'!$C$4:$R$498, 12, FALSE)</f>
        <v>93</v>
      </c>
      <c r="J51" s="41" t="str">
        <f>VLOOKUP($G51, SeanRanks!$A$2:$H$303, 5, FALSE)</f>
        <v>No</v>
      </c>
      <c r="K51" s="11" t="str">
        <f>IF(VLOOKUP($G51, SeanRanks!$A$2:$H$303, 6, FALSE)=0, "", VLOOKUP($G51, SeanRanks!$A$2:$H$303, 6, FALSE))</f>
        <v>TE1 - 3 - Weekly Start</v>
      </c>
      <c r="L51" s="11">
        <f t="shared" si="4"/>
        <v>10</v>
      </c>
      <c r="M51" s="11">
        <f>VLOOKUP($G51, 'ADP Data'!$C$4:$Q$300, 9, FALSE)</f>
        <v>77</v>
      </c>
      <c r="N51" s="11">
        <f t="shared" si="5"/>
        <v>0</v>
      </c>
      <c r="O51" s="11">
        <f>VLOOKUP($G51, 'ADP Data'!$C$4:$Q$300, 3, FALSE)</f>
        <v>73</v>
      </c>
      <c r="P51" s="11">
        <f t="shared" si="6"/>
        <v>4</v>
      </c>
      <c r="Q51" s="11">
        <f>VLOOKUP($G51, 'ADP Data'!$C$4:$Q$300, 4, FALSE)</f>
        <v>73</v>
      </c>
      <c r="R51" s="11">
        <f>VLOOKUP($G51, 'ADP Data'!$C$4:$Q$300, 5, FALSE)</f>
        <v>95</v>
      </c>
      <c r="S51" s="11">
        <f>VLOOKUP($G51, 'ADP Data'!$C$4:$Q$300, 6, FALSE)</f>
        <v>79</v>
      </c>
      <c r="T51" s="11">
        <f>VLOOKUP($G51, 'ADP Data'!$C$4:$Q$300, 7, FALSE)</f>
        <v>93</v>
      </c>
      <c r="U51" s="11">
        <f>VLOOKUP($G51, 'ADP Data'!$C$4:$Q$300, 8, FALSE)</f>
        <v>53</v>
      </c>
      <c r="V51" s="11">
        <f t="shared" si="7"/>
        <v>77</v>
      </c>
      <c r="W51" s="11">
        <f t="shared" si="8"/>
        <v>10</v>
      </c>
      <c r="X51" s="11">
        <f t="shared" si="9"/>
        <v>-6</v>
      </c>
      <c r="Y51" s="11">
        <f>VLOOKUP($G51, SeanRanks!$A$2:$K$303, 10, FALSE)-V51</f>
        <v>2</v>
      </c>
      <c r="Z51" s="25">
        <f>IF(VLOOKUP($G51, SeanRanks!$A$2:$H$303, 7, FALSE)=0, "", VLOOKUP($G51, SeanRanks!$A$2:$H$303, 7, FALSE))</f>
        <v>7</v>
      </c>
    </row>
    <row r="52" spans="1:26" ht="14.25" hidden="1" customHeight="1" x14ac:dyDescent="0.25">
      <c r="A52" s="11"/>
      <c r="B52" s="11">
        <f t="shared" si="3"/>
        <v>12</v>
      </c>
      <c r="C52" s="11" t="s">
        <v>119</v>
      </c>
      <c r="D52" s="11">
        <v>4</v>
      </c>
      <c r="E52" s="11"/>
      <c r="F52" s="11">
        <f>VLOOKUP(G52, SeanRanks!$A$2:$E$302, 4, FALSE)</f>
        <v>0</v>
      </c>
      <c r="G52" s="11" t="s">
        <v>804</v>
      </c>
      <c r="H52" s="11" t="str">
        <f>VLOOKUP($G52, 'ADP Data'!$C$4:$Q$300, 2, FALSE)</f>
        <v>HOU</v>
      </c>
      <c r="I52" s="11">
        <f>VLOOKUP(G52, 'ADP Data'!$C$4:$R$498, 12, FALSE)</f>
        <v>162</v>
      </c>
      <c r="J52" s="44">
        <f>VLOOKUP($G52, SeanRanks!$A$2:$H$303, 5, FALSE)</f>
        <v>0</v>
      </c>
      <c r="K52" s="11" t="str">
        <f>IF(VLOOKUP($G52, SeanRanks!$A$2:$H$303, 6, FALSE)=0, "", VLOOKUP($G52, SeanRanks!$A$2:$H$303, 6, FALSE))</f>
        <v>RB2 - 2 - Path to spikes</v>
      </c>
      <c r="L52" s="11">
        <f t="shared" si="4"/>
        <v>8</v>
      </c>
      <c r="M52" s="11">
        <f>VLOOKUP($G52, 'ADP Data'!$C$4:$Q$300, 9, FALSE)</f>
        <v>63</v>
      </c>
      <c r="N52" s="11">
        <f t="shared" si="5"/>
        <v>-53</v>
      </c>
      <c r="O52" s="11">
        <f>VLOOKUP($G52, 'ADP Data'!$C$4:$Q$300, 3, FALSE)</f>
        <v>81</v>
      </c>
      <c r="P52" s="11">
        <f t="shared" si="6"/>
        <v>-18</v>
      </c>
      <c r="Q52" s="11">
        <f>VLOOKUP($G52, 'ADP Data'!$C$4:$Q$300, 4, FALSE)</f>
        <v>121</v>
      </c>
      <c r="R52" s="11">
        <f>VLOOKUP($G52, 'ADP Data'!$C$4:$Q$300, 5, FALSE)</f>
        <v>262</v>
      </c>
      <c r="S52" s="11">
        <f>VLOOKUP($G52, 'ADP Data'!$C$4:$Q$300, 6, FALSE)</f>
        <v>115</v>
      </c>
      <c r="T52" s="11">
        <f>VLOOKUP($G52, 'ADP Data'!$C$4:$Q$300, 7, FALSE)</f>
        <v>110</v>
      </c>
      <c r="U52" s="11">
        <f>VLOOKUP($G52, 'ADP Data'!$C$4:$Q$300, 8, FALSE)</f>
        <v>65</v>
      </c>
      <c r="V52" s="11">
        <f t="shared" si="7"/>
        <v>116</v>
      </c>
      <c r="W52" s="11">
        <f t="shared" si="8"/>
        <v>15</v>
      </c>
      <c r="X52" s="11">
        <f t="shared" si="9"/>
        <v>-11</v>
      </c>
      <c r="Y52" s="11">
        <f>VLOOKUP($G52, SeanRanks!$A$2:$K$303, 10, FALSE)-V52</f>
        <v>45</v>
      </c>
      <c r="Z52" s="25">
        <f>IF(VLOOKUP($G52, SeanRanks!$A$2:$H$303, 7, FALSE)=0, "", VLOOKUP($G52, SeanRanks!$A$2:$H$303, 7, FALSE))</f>
        <v>22</v>
      </c>
    </row>
    <row r="53" spans="1:26" ht="14.25" hidden="1" customHeight="1" x14ac:dyDescent="0.25">
      <c r="A53" s="11" t="s">
        <v>148</v>
      </c>
      <c r="B53" s="11">
        <f t="shared" si="3"/>
        <v>8</v>
      </c>
      <c r="C53" s="11" t="s">
        <v>119</v>
      </c>
      <c r="D53" s="11">
        <v>4</v>
      </c>
      <c r="E53" s="11"/>
      <c r="F53" s="11">
        <f>VLOOKUP(G53, SeanRanks!$A$2:$E$302, 4, FALSE)</f>
        <v>0</v>
      </c>
      <c r="G53" s="11" t="s">
        <v>288</v>
      </c>
      <c r="H53" s="11" t="str">
        <f>VLOOKUP($G53, 'ADP Data'!$C$4:$Q$300, 2, FALSE)</f>
        <v>NE</v>
      </c>
      <c r="I53" s="11">
        <f>VLOOKUP(G53, 'ADP Data'!$C$4:$R$498, 12, FALSE)</f>
        <v>67</v>
      </c>
      <c r="J53" s="45">
        <f>VLOOKUP($G53, SeanRanks!$A$2:$H$303, 5, FALSE)</f>
        <v>0</v>
      </c>
      <c r="K53" s="11" t="str">
        <f>IF(VLOOKUP($G53, SeanRanks!$A$2:$H$303, 6, FALSE)=0, "", VLOOKUP($G53, SeanRanks!$A$2:$H$303, 6, FALSE))</f>
        <v>WR3 - 3 - lower ceiling</v>
      </c>
      <c r="L53" s="11">
        <f t="shared" si="4"/>
        <v>12</v>
      </c>
      <c r="M53" s="11">
        <f>VLOOKUP($G53, 'ADP Data'!$C$4:$Q$300, 9, FALSE)</f>
        <v>89</v>
      </c>
      <c r="N53" s="11">
        <f t="shared" si="5"/>
        <v>2</v>
      </c>
      <c r="O53" s="11">
        <f>VLOOKUP($G53, 'ADP Data'!$C$4:$Q$300, 3, FALSE)</f>
        <v>91</v>
      </c>
      <c r="P53" s="11">
        <f t="shared" si="6"/>
        <v>-2</v>
      </c>
      <c r="Q53" s="11">
        <f>VLOOKUP($G53, 'ADP Data'!$C$4:$Q$300, 4, FALSE)</f>
        <v>88</v>
      </c>
      <c r="R53" s="11">
        <f>VLOOKUP($G53, 'ADP Data'!$C$4:$Q$300, 5, FALSE)</f>
        <v>89</v>
      </c>
      <c r="S53" s="11">
        <f>VLOOKUP($G53, 'ADP Data'!$C$4:$Q$300, 6, FALSE)</f>
        <v>85</v>
      </c>
      <c r="T53" s="11">
        <f>VLOOKUP($G53, 'ADP Data'!$C$4:$Q$300, 7, FALSE)</f>
        <v>77</v>
      </c>
      <c r="U53" s="11">
        <f>VLOOKUP($G53, 'ADP Data'!$C$4:$Q$300, 8, FALSE)</f>
        <v>95</v>
      </c>
      <c r="V53" s="11">
        <f t="shared" si="7"/>
        <v>87</v>
      </c>
      <c r="W53" s="11">
        <f t="shared" si="8"/>
        <v>11</v>
      </c>
      <c r="X53" s="11">
        <f t="shared" si="9"/>
        <v>-7</v>
      </c>
      <c r="Y53" s="11">
        <f>VLOOKUP($G53, SeanRanks!$A$2:$K$303, 10, FALSE)-V53</f>
        <v>-10</v>
      </c>
      <c r="Z53" s="25">
        <f>IF(VLOOKUP($G53, SeanRanks!$A$2:$H$303, 7, FALSE)=0, "", VLOOKUP($G53, SeanRanks!$A$2:$H$303, 7, FALSE))</f>
        <v>38</v>
      </c>
    </row>
    <row r="54" spans="1:26" ht="14.25" hidden="1" customHeight="1" x14ac:dyDescent="0.25">
      <c r="A54" s="11"/>
      <c r="B54" s="11">
        <f t="shared" si="3"/>
        <v>4</v>
      </c>
      <c r="C54" s="11" t="s">
        <v>119</v>
      </c>
      <c r="D54" s="11">
        <v>4</v>
      </c>
      <c r="E54" s="11" t="s">
        <v>243</v>
      </c>
      <c r="F54" s="11">
        <f>VLOOKUP(G54, SeanRanks!$A$2:$E$302, 4, FALSE)</f>
        <v>0</v>
      </c>
      <c r="G54" s="11" t="s">
        <v>84</v>
      </c>
      <c r="H54" s="11" t="str">
        <f>VLOOKUP($G54, 'ADP Data'!$C$4:$Q$300, 2, FALSE)</f>
        <v>SEA</v>
      </c>
      <c r="I54" s="11">
        <f>VLOOKUP(G54, 'ADP Data'!$C$4:$R$498, 12, FALSE)</f>
        <v>39</v>
      </c>
      <c r="J54" s="46">
        <f>VLOOKUP($G54, SeanRanks!$A$2:$H$303, 5, FALSE)</f>
        <v>0</v>
      </c>
      <c r="K54" s="11" t="str">
        <f>IF(VLOOKUP($G54, SeanRanks!$A$2:$H$303, 6, FALSE)=0, "", VLOOKUP($G54, SeanRanks!$A$2:$H$303, 6, FALSE))</f>
        <v>RB2 - 1 - Clear path to spikes</v>
      </c>
      <c r="L54" s="11">
        <f t="shared" si="4"/>
        <v>6</v>
      </c>
      <c r="M54" s="11">
        <f>VLOOKUP($G54, 'ADP Data'!$C$4:$Q$300, 9, FALSE)</f>
        <v>43</v>
      </c>
      <c r="N54" s="11">
        <f t="shared" si="5"/>
        <v>2</v>
      </c>
      <c r="O54" s="11">
        <f>VLOOKUP($G54, 'ADP Data'!$C$4:$Q$300, 3, FALSE)</f>
        <v>33</v>
      </c>
      <c r="P54" s="11">
        <f t="shared" si="6"/>
        <v>10</v>
      </c>
      <c r="Q54" s="11">
        <f>VLOOKUP($G54, 'ADP Data'!$C$4:$Q$300, 4, FALSE)</f>
        <v>47</v>
      </c>
      <c r="R54" s="11">
        <f>VLOOKUP($G54, 'ADP Data'!$C$4:$Q$300, 5, FALSE)</f>
        <v>55</v>
      </c>
      <c r="S54" s="11">
        <f>VLOOKUP($G54, 'ADP Data'!$C$4:$Q$300, 6, FALSE)</f>
        <v>34</v>
      </c>
      <c r="T54" s="11">
        <f>VLOOKUP($G54, 'ADP Data'!$C$4:$Q$300, 7, FALSE)</f>
        <v>41</v>
      </c>
      <c r="U54" s="11">
        <f>VLOOKUP($G54, 'ADP Data'!$C$4:$Q$300, 8, FALSE)</f>
        <v>40</v>
      </c>
      <c r="V54" s="11">
        <f t="shared" si="7"/>
        <v>41</v>
      </c>
      <c r="W54" s="11">
        <f t="shared" si="8"/>
        <v>6</v>
      </c>
      <c r="X54" s="11">
        <f t="shared" si="9"/>
        <v>-2</v>
      </c>
      <c r="Y54" s="11">
        <f>VLOOKUP($G54, SeanRanks!$A$2:$K$303, 10, FALSE)-V54</f>
        <v>-3</v>
      </c>
      <c r="Z54" s="25">
        <f>IF(VLOOKUP($G54, SeanRanks!$A$2:$H$303, 7, FALSE)=0, "", VLOOKUP($G54, SeanRanks!$A$2:$H$303, 7, FALSE))</f>
        <v>13</v>
      </c>
    </row>
    <row r="55" spans="1:26" ht="14.25" hidden="1" customHeight="1" x14ac:dyDescent="0.25">
      <c r="A55" s="11"/>
      <c r="B55" s="11">
        <f t="shared" si="3"/>
        <v>4</v>
      </c>
      <c r="C55" s="11" t="s">
        <v>119</v>
      </c>
      <c r="D55" s="11">
        <v>4</v>
      </c>
      <c r="E55" s="11" t="s">
        <v>243</v>
      </c>
      <c r="F55" s="11">
        <f>VLOOKUP(G55, SeanRanks!$A$2:$E$302, 4, FALSE)</f>
        <v>0</v>
      </c>
      <c r="G55" s="11" t="s">
        <v>417</v>
      </c>
      <c r="H55" s="11" t="str">
        <f>VLOOKUP($G55, 'ADP Data'!$C$4:$Q$300, 2, FALSE)</f>
        <v>NO</v>
      </c>
      <c r="I55" s="11">
        <f>VLOOKUP(G55, 'ADP Data'!$C$4:$R$498, 12, FALSE)</f>
        <v>52</v>
      </c>
      <c r="J55" s="46">
        <f>VLOOKUP($G55, SeanRanks!$A$2:$H$303, 5, FALSE)</f>
        <v>0</v>
      </c>
      <c r="K55" s="11" t="str">
        <f>IF(VLOOKUP($G55, SeanRanks!$A$2:$H$303, 6, FALSE)=0, "", VLOOKUP($G55, SeanRanks!$A$2:$H$303, 6, FALSE))</f>
        <v>RB2 - 1 - Clear path to spikes</v>
      </c>
      <c r="L55" s="11">
        <f t="shared" si="4"/>
        <v>6</v>
      </c>
      <c r="M55" s="11">
        <f>VLOOKUP($G55, 'ADP Data'!$C$4:$Q$300, 9, FALSE)</f>
        <v>40</v>
      </c>
      <c r="N55" s="11">
        <f t="shared" si="5"/>
        <v>-1</v>
      </c>
      <c r="O55" s="11">
        <f>VLOOKUP($G55, 'ADP Data'!$C$4:$Q$300, 3, FALSE)</f>
        <v>28</v>
      </c>
      <c r="P55" s="11">
        <f t="shared" si="6"/>
        <v>12</v>
      </c>
      <c r="Q55" s="11">
        <f>VLOOKUP($G55, 'ADP Data'!$C$4:$Q$300, 4, FALSE)</f>
        <v>38</v>
      </c>
      <c r="R55" s="11">
        <f>VLOOKUP($G55, 'ADP Data'!$C$4:$Q$300, 5, FALSE)</f>
        <v>53</v>
      </c>
      <c r="S55" s="11">
        <f>VLOOKUP($G55, 'ADP Data'!$C$4:$Q$300, 6, FALSE)</f>
        <v>37</v>
      </c>
      <c r="T55" s="11">
        <f>VLOOKUP($G55, 'ADP Data'!$C$4:$Q$300, 7, FALSE)</f>
        <v>49</v>
      </c>
      <c r="U55" s="11">
        <f>VLOOKUP($G55, 'ADP Data'!$C$4:$Q$300, 8, FALSE)</f>
        <v>44</v>
      </c>
      <c r="V55" s="11">
        <f t="shared" si="7"/>
        <v>41</v>
      </c>
      <c r="W55" s="11">
        <f t="shared" si="8"/>
        <v>6</v>
      </c>
      <c r="X55" s="11">
        <f t="shared" si="9"/>
        <v>-2</v>
      </c>
      <c r="Y55" s="11">
        <f>VLOOKUP($G55, SeanRanks!$A$2:$K$303, 10, FALSE)-V55</f>
        <v>0</v>
      </c>
      <c r="Z55" s="25">
        <f>IF(VLOOKUP($G55, SeanRanks!$A$2:$H$303, 7, FALSE)=0, "", VLOOKUP($G55, SeanRanks!$A$2:$H$303, 7, FALSE))</f>
        <v>18</v>
      </c>
    </row>
    <row r="56" spans="1:26" ht="14.25" hidden="1" customHeight="1" x14ac:dyDescent="0.25">
      <c r="A56" s="11" t="s">
        <v>148</v>
      </c>
      <c r="B56" s="11">
        <f t="shared" si="3"/>
        <v>11</v>
      </c>
      <c r="C56" s="11" t="s">
        <v>119</v>
      </c>
      <c r="D56" s="11">
        <v>5</v>
      </c>
      <c r="E56" s="11"/>
      <c r="F56" s="11">
        <f>VLOOKUP(G56, SeanRanks!$A$2:$E$302, 4, FALSE)</f>
        <v>0</v>
      </c>
      <c r="G56" s="11" t="s">
        <v>324</v>
      </c>
      <c r="H56" s="11" t="str">
        <f>VLOOKUP($G56, 'ADP Data'!$C$4:$Q$300, 2, FALSE)</f>
        <v>BUF</v>
      </c>
      <c r="I56" s="11">
        <f>VLOOKUP(G56, 'ADP Data'!$C$4:$R$498, 12, FALSE)</f>
        <v>131</v>
      </c>
      <c r="J56" s="47">
        <f>VLOOKUP($G56, SeanRanks!$A$2:$H$303, 5, FALSE)</f>
        <v>0</v>
      </c>
      <c r="K56" s="11" t="str">
        <f>IF(VLOOKUP($G56, SeanRanks!$A$2:$H$303, 6, FALSE)=0, "", VLOOKUP($G56, SeanRanks!$A$2:$H$303, 6, FALSE))</f>
        <v/>
      </c>
      <c r="L56" s="11">
        <f t="shared" si="4"/>
        <v>15</v>
      </c>
      <c r="M56" s="11">
        <f>VLOOKUP($G56, 'ADP Data'!$C$4:$Q$300, 9, FALSE)</f>
        <v>119</v>
      </c>
      <c r="N56" s="11">
        <f t="shared" si="5"/>
        <v>-9</v>
      </c>
      <c r="O56" s="11">
        <f>VLOOKUP($G56, 'ADP Data'!$C$4:$Q$300, 3, FALSE)</f>
        <v>142</v>
      </c>
      <c r="P56" s="11">
        <f t="shared" si="6"/>
        <v>-23</v>
      </c>
      <c r="Q56" s="11">
        <f>VLOOKUP($G56, 'ADP Data'!$C$4:$Q$300, 4, FALSE)</f>
        <v>126</v>
      </c>
      <c r="R56" s="11">
        <f>VLOOKUP($G56, 'ADP Data'!$C$4:$Q$300, 5, FALSE)</f>
        <v>142</v>
      </c>
      <c r="S56" s="11">
        <f>VLOOKUP($G56, 'ADP Data'!$C$4:$Q$300, 6, FALSE)</f>
        <v>107</v>
      </c>
      <c r="T56" s="11">
        <f>VLOOKUP($G56, 'ADP Data'!$C$4:$Q$300, 7, FALSE)</f>
        <v>133</v>
      </c>
      <c r="U56" s="11">
        <f>VLOOKUP($G56, 'ADP Data'!$C$4:$Q$300, 8, FALSE)</f>
        <v>128</v>
      </c>
      <c r="V56" s="11">
        <f t="shared" si="7"/>
        <v>128</v>
      </c>
      <c r="W56" s="11">
        <f t="shared" si="8"/>
        <v>17</v>
      </c>
      <c r="X56" s="11">
        <f t="shared" si="9"/>
        <v>-12</v>
      </c>
      <c r="Y56" s="11">
        <f>VLOOKUP($G56, SeanRanks!$A$2:$K$303, 10, FALSE)-V56</f>
        <v>-8</v>
      </c>
      <c r="Z56" s="25" t="str">
        <f>IF(VLOOKUP($G56, SeanRanks!$A$2:$H$303, 7, FALSE)=0, "", VLOOKUP($G56, SeanRanks!$A$2:$H$303, 7, FALSE))</f>
        <v/>
      </c>
    </row>
    <row r="57" spans="1:26" ht="14.25" hidden="1" customHeight="1" x14ac:dyDescent="0.25">
      <c r="A57" s="11" t="s">
        <v>148</v>
      </c>
      <c r="B57" s="11">
        <f t="shared" si="3"/>
        <v>21</v>
      </c>
      <c r="C57" s="11" t="s">
        <v>119</v>
      </c>
      <c r="D57" s="11">
        <v>3</v>
      </c>
      <c r="E57" s="11"/>
      <c r="F57" s="11">
        <f>VLOOKUP(G57, SeanRanks!$A$2:$E$302, 4, FALSE)</f>
        <v>0</v>
      </c>
      <c r="G57" s="11" t="s">
        <v>810</v>
      </c>
      <c r="H57" s="11" t="str">
        <f>VLOOKUP($G57, 'ADP Data'!$C$4:$Q$300, 2, FALSE)</f>
        <v>LV</v>
      </c>
      <c r="I57" s="11">
        <f>VLOOKUP(G57, 'ADP Data'!$C$4:$R$498, 12, FALSE)</f>
        <v>197</v>
      </c>
      <c r="J57" s="43">
        <f>VLOOKUP($G57, SeanRanks!$A$2:$H$303, 5, FALSE)</f>
        <v>0</v>
      </c>
      <c r="K57" s="11" t="str">
        <f>IF(VLOOKUP($G57, SeanRanks!$A$2:$H$303, 6, FALSE)=0, "", VLOOKUP($G57, SeanRanks!$A$2:$H$303, 6, FALSE))</f>
        <v/>
      </c>
      <c r="L57" s="11">
        <f t="shared" si="4"/>
        <v>32</v>
      </c>
      <c r="M57" s="11">
        <f>VLOOKUP($G57, 'ADP Data'!$C$4:$Q$300, 9, FALSE)</f>
        <v>250</v>
      </c>
      <c r="N57" s="11">
        <f t="shared" si="5"/>
        <v>17</v>
      </c>
      <c r="O57" s="11">
        <f>VLOOKUP($G57, 'ADP Data'!$C$4:$Q$300, 3, FALSE)</f>
        <v>143</v>
      </c>
      <c r="P57" s="11">
        <f t="shared" si="6"/>
        <v>107</v>
      </c>
      <c r="Q57" s="11">
        <f>VLOOKUP($G57, 'ADP Data'!$C$4:$Q$300, 4, FALSE)</f>
        <v>189</v>
      </c>
      <c r="R57" s="11">
        <f>VLOOKUP($G57, 'ADP Data'!$C$4:$Q$300, 5, FALSE)</f>
        <v>308</v>
      </c>
      <c r="S57" s="11">
        <f>VLOOKUP($G57, 'ADP Data'!$C$4:$Q$300, 6, FALSE)</f>
        <v>227</v>
      </c>
      <c r="T57" s="11">
        <f>VLOOKUP($G57, 'ADP Data'!$C$4:$Q$300, 7, FALSE)</f>
        <v>229</v>
      </c>
      <c r="U57" s="11">
        <f>VLOOKUP($G57, 'ADP Data'!$C$4:$Q$300, 8, FALSE)</f>
        <v>290</v>
      </c>
      <c r="V57" s="11">
        <f t="shared" si="7"/>
        <v>233</v>
      </c>
      <c r="W57" s="11">
        <f t="shared" si="8"/>
        <v>30</v>
      </c>
      <c r="X57" s="11">
        <f t="shared" si="9"/>
        <v>-27</v>
      </c>
      <c r="Y57" s="11">
        <f>VLOOKUP($G57, SeanRanks!$A$2:$K$303, 10, FALSE)-V57</f>
        <v>17</v>
      </c>
      <c r="Z57" s="25" t="str">
        <f>IF(VLOOKUP($G57, SeanRanks!$A$2:$H$303, 7, FALSE)=0, "", VLOOKUP($G57, SeanRanks!$A$2:$H$303, 7, FALSE))</f>
        <v/>
      </c>
    </row>
    <row r="58" spans="1:26" ht="14.25" hidden="1" customHeight="1" x14ac:dyDescent="0.25">
      <c r="A58" s="11"/>
      <c r="B58" s="11">
        <f t="shared" si="3"/>
        <v>12</v>
      </c>
      <c r="C58" s="11" t="s">
        <v>119</v>
      </c>
      <c r="D58" s="11">
        <v>6</v>
      </c>
      <c r="E58" s="11"/>
      <c r="F58" s="11">
        <f>VLOOKUP(G58, SeanRanks!$A$2:$E$302, 4, FALSE)</f>
        <v>0</v>
      </c>
      <c r="G58" s="11" t="s">
        <v>411</v>
      </c>
      <c r="H58" s="11" t="str">
        <f>VLOOKUP($G58, 'ADP Data'!$C$4:$Q$300, 2, FALSE)</f>
        <v>HOU</v>
      </c>
      <c r="I58" s="11">
        <f>VLOOKUP(G58, 'ADP Data'!$C$4:$R$498, 12, FALSE)</f>
        <v>129</v>
      </c>
      <c r="J58" s="48">
        <f>VLOOKUP($G58, SeanRanks!$A$2:$H$303, 5, FALSE)</f>
        <v>0</v>
      </c>
      <c r="K58" s="11" t="str">
        <f>IF(VLOOKUP($G58, SeanRanks!$A$2:$H$303, 6, FALSE)=0, "", VLOOKUP($G58, SeanRanks!$A$2:$H$303, 6, FALSE))</f>
        <v>QB2 - 2 - Not League Winner</v>
      </c>
      <c r="L58" s="11">
        <f t="shared" si="4"/>
        <v>16</v>
      </c>
      <c r="M58" s="11">
        <f>VLOOKUP($G58, 'ADP Data'!$C$4:$Q$300, 9, FALSE)</f>
        <v>125</v>
      </c>
      <c r="N58" s="11">
        <f t="shared" si="5"/>
        <v>-8</v>
      </c>
      <c r="O58" s="11">
        <f>VLOOKUP($G58, 'ADP Data'!$C$4:$Q$300, 3, FALSE)</f>
        <v>135</v>
      </c>
      <c r="P58" s="11">
        <f t="shared" si="6"/>
        <v>-10</v>
      </c>
      <c r="Q58" s="11">
        <f>VLOOKUP($G58, 'ADP Data'!$C$4:$Q$300, 4, FALSE)</f>
        <v>127</v>
      </c>
      <c r="R58" s="11">
        <f>VLOOKUP($G58, 'ADP Data'!$C$4:$Q$300, 5, FALSE)</f>
        <v>141</v>
      </c>
      <c r="S58" s="11">
        <f>VLOOKUP($G58, 'ADP Data'!$C$4:$Q$300, 6, FALSE)</f>
        <v>142</v>
      </c>
      <c r="T58" s="11">
        <f>VLOOKUP($G58, 'ADP Data'!$C$4:$Q$300, 7, FALSE)</f>
        <v>131</v>
      </c>
      <c r="U58" s="11">
        <f>VLOOKUP($G58, 'ADP Data'!$C$4:$Q$300, 8, FALSE)</f>
        <v>132</v>
      </c>
      <c r="V58" s="11">
        <f t="shared" si="7"/>
        <v>133</v>
      </c>
      <c r="W58" s="11">
        <f t="shared" si="8"/>
        <v>17</v>
      </c>
      <c r="X58" s="11">
        <f t="shared" si="9"/>
        <v>-11</v>
      </c>
      <c r="Y58" s="11">
        <f>VLOOKUP($G58, SeanRanks!$A$2:$K$303, 10, FALSE)-V58</f>
        <v>-4</v>
      </c>
      <c r="Z58" s="25">
        <f>IF(VLOOKUP($G58, SeanRanks!$A$2:$H$303, 7, FALSE)=0, "", VLOOKUP($G58, SeanRanks!$A$2:$H$303, 7, FALSE))</f>
        <v>18</v>
      </c>
    </row>
    <row r="59" spans="1:26" ht="14.25" hidden="1" customHeight="1" x14ac:dyDescent="0.25">
      <c r="A59" s="11"/>
      <c r="B59" s="11">
        <f t="shared" si="3"/>
        <v>21</v>
      </c>
      <c r="C59" s="11" t="s">
        <v>119</v>
      </c>
      <c r="D59" s="11"/>
      <c r="E59" s="23"/>
      <c r="F59" s="11">
        <f>VLOOKUP(G59, SeanRanks!$A$2:$E$302, 4, FALSE)</f>
        <v>0</v>
      </c>
      <c r="G59" s="11" t="s">
        <v>813</v>
      </c>
      <c r="H59" s="11" t="str">
        <f>VLOOKUP($G59, 'ADP Data'!$C$4:$Q$300, 2, FALSE)</f>
        <v>IND</v>
      </c>
      <c r="I59" s="11">
        <f>VLOOKUP(G59, 'ADP Data'!$C$4:$R$498, 12, FALSE)</f>
        <v>227</v>
      </c>
      <c r="J59" s="48">
        <f>VLOOKUP($G59, SeanRanks!$A$2:$H$303, 5, FALSE)</f>
        <v>0</v>
      </c>
      <c r="K59" s="11" t="str">
        <f>IF(VLOOKUP($G59, SeanRanks!$A$2:$H$303, 6, FALSE)=0, "", VLOOKUP($G59, SeanRanks!$A$2:$H$303, 6, FALSE))</f>
        <v>QB3 - League Winner?</v>
      </c>
      <c r="L59" s="11">
        <f t="shared" si="4"/>
        <v>29</v>
      </c>
      <c r="M59" s="11">
        <f>VLOOKUP($G59, 'ADP Data'!$C$4:$Q$300, 9, FALSE)</f>
        <v>224</v>
      </c>
      <c r="N59" s="11">
        <f t="shared" si="5"/>
        <v>-18</v>
      </c>
      <c r="O59" s="11" t="str">
        <f>VLOOKUP($G59, 'ADP Data'!$C$4:$Q$300, 3, FALSE)</f>
        <v>-</v>
      </c>
      <c r="P59" s="11" t="e">
        <f t="shared" si="6"/>
        <v>#VALUE!</v>
      </c>
      <c r="Q59" s="11">
        <f>VLOOKUP($G59, 'ADP Data'!$C$4:$Q$300, 4, FALSE)</f>
        <v>241</v>
      </c>
      <c r="R59" s="11">
        <f>VLOOKUP($G59, 'ADP Data'!$C$4:$Q$300, 5, FALSE)</f>
        <v>284</v>
      </c>
      <c r="S59" s="11">
        <f>VLOOKUP($G59, 'ADP Data'!$C$4:$Q$300, 6, FALSE)</f>
        <v>248</v>
      </c>
      <c r="T59" s="11">
        <f>VLOOKUP($G59, 'ADP Data'!$C$4:$Q$300, 7, FALSE)</f>
        <v>230</v>
      </c>
      <c r="U59" s="11">
        <f>VLOOKUP($G59, 'ADP Data'!$C$4:$Q$300, 8, FALSE)</f>
        <v>228</v>
      </c>
      <c r="V59" s="11">
        <f t="shared" si="7"/>
        <v>242</v>
      </c>
      <c r="W59" s="11">
        <f t="shared" si="8"/>
        <v>31</v>
      </c>
      <c r="X59" s="11">
        <f t="shared" si="9"/>
        <v>-31</v>
      </c>
      <c r="Y59" s="11" t="e">
        <f>VLOOKUP($G59, SeanRanks!$A$2:$K$303, 10, FALSE)-V59</f>
        <v>#VALUE!</v>
      </c>
      <c r="Z59" s="25" t="str">
        <f>IF(VLOOKUP($G59, SeanRanks!$A$2:$H$303, 7, FALSE)=0, "", VLOOKUP($G59, SeanRanks!$A$2:$H$303, 7, FALSE))</f>
        <v/>
      </c>
    </row>
    <row r="60" spans="1:26" ht="14.25" hidden="1" customHeight="1" x14ac:dyDescent="0.25">
      <c r="A60" s="11"/>
      <c r="B60" s="11" t="e">
        <f t="shared" si="3"/>
        <v>#N/A</v>
      </c>
      <c r="C60" s="11" t="s">
        <v>119</v>
      </c>
      <c r="D60" s="11"/>
      <c r="E60" s="11"/>
      <c r="F60" s="11" t="e">
        <f>VLOOKUP(G60, SeanRanks!$A$2:$E$302, 4, FALSE)</f>
        <v>#N/A</v>
      </c>
      <c r="G60" s="11" t="s">
        <v>465</v>
      </c>
      <c r="H60" s="11" t="e">
        <f>VLOOKUP($G60, 'ADP Data'!$C$4:$Q$300, 2, FALSE)</f>
        <v>#N/A</v>
      </c>
      <c r="I60" s="11" t="e">
        <f>VLOOKUP(G60, 'ADP Data'!$C$4:$R$498, 12, FALSE)</f>
        <v>#N/A</v>
      </c>
      <c r="J60" s="45" t="e">
        <f>VLOOKUP($G60, SeanRanks!$A$2:$H$303, 5, FALSE)</f>
        <v>#N/A</v>
      </c>
      <c r="K60" s="11" t="e">
        <f>IF(VLOOKUP($G60, SeanRanks!$A$2:$H$303, 6, FALSE)=0, "", VLOOKUP($G60, SeanRanks!$A$2:$H$303, 6, FALSE))</f>
        <v>#N/A</v>
      </c>
      <c r="L60" s="11">
        <f t="shared" si="4"/>
        <v>16</v>
      </c>
      <c r="M60" s="11" t="e">
        <f>VLOOKUP($G60, 'ADP Data'!$C$4:$Q$300, 9, FALSE)</f>
        <v>#N/A</v>
      </c>
      <c r="N60" s="11" t="e">
        <f t="shared" si="5"/>
        <v>#N/A</v>
      </c>
      <c r="O60" s="11" t="e">
        <f>VLOOKUP($G60, 'ADP Data'!$C$4:$Q$300, 3, FALSE)</f>
        <v>#N/A</v>
      </c>
      <c r="P60" s="11" t="e">
        <f t="shared" si="6"/>
        <v>#N/A</v>
      </c>
      <c r="Q60" s="11" t="e">
        <f>VLOOKUP($G60, 'ADP Data'!$C$4:$Q$300, 4, FALSE)</f>
        <v>#N/A</v>
      </c>
      <c r="R60" s="11" t="e">
        <f>VLOOKUP($G60, 'ADP Data'!$C$4:$Q$300, 5, FALSE)</f>
        <v>#N/A</v>
      </c>
      <c r="S60" s="11" t="e">
        <f>VLOOKUP($G60, 'ADP Data'!$C$4:$Q$300, 6, FALSE)</f>
        <v>#N/A</v>
      </c>
      <c r="T60" s="11" t="e">
        <f>VLOOKUP($G60, 'ADP Data'!$C$4:$Q$300, 7, FALSE)</f>
        <v>#N/A</v>
      </c>
      <c r="U60" s="11" t="e">
        <f>VLOOKUP($G60, 'ADP Data'!$C$4:$Q$300, 8, FALSE)</f>
        <v>#N/A</v>
      </c>
      <c r="V60" s="11" t="e">
        <f t="shared" si="7"/>
        <v>#N/A</v>
      </c>
      <c r="W60" s="11">
        <f t="shared" si="8"/>
        <v>16</v>
      </c>
      <c r="X60" s="11">
        <f t="shared" si="9"/>
        <v>-16</v>
      </c>
      <c r="Y60" s="11" t="e">
        <f>VLOOKUP($G60, SeanRanks!$A$2:$K$303, 10, FALSE)-V60</f>
        <v>#N/A</v>
      </c>
      <c r="Z60" s="25" t="e">
        <f>IF(VLOOKUP($G60, SeanRanks!$A$2:$H$303, 7, FALSE)=0, "", VLOOKUP($G60, SeanRanks!$A$2:$H$303, 7, FALSE))</f>
        <v>#N/A</v>
      </c>
    </row>
    <row r="61" spans="1:26" ht="14.25" hidden="1" customHeight="1" x14ac:dyDescent="0.25">
      <c r="A61" s="11"/>
      <c r="B61" s="11">
        <f t="shared" si="3"/>
        <v>4</v>
      </c>
      <c r="C61" s="11" t="s">
        <v>119</v>
      </c>
      <c r="D61" s="11">
        <v>5</v>
      </c>
      <c r="E61" s="11"/>
      <c r="F61" s="11">
        <f>VLOOKUP(G61, SeanRanks!$A$2:$E$302, 4, FALSE)</f>
        <v>0</v>
      </c>
      <c r="G61" s="11" t="s">
        <v>274</v>
      </c>
      <c r="H61" s="11" t="str">
        <f>VLOOKUP($G61, 'ADP Data'!$C$4:$Q$300, 2, FALSE)</f>
        <v>SF</v>
      </c>
      <c r="I61" s="11">
        <f>VLOOKUP(G61, 'ADP Data'!$C$4:$R$498, 12, FALSE)</f>
        <v>34</v>
      </c>
      <c r="J61" s="47">
        <f>VLOOKUP($G61, SeanRanks!$A$2:$H$303, 5, FALSE)</f>
        <v>0</v>
      </c>
      <c r="K61" s="11" t="str">
        <f>IF(VLOOKUP($G61, SeanRanks!$A$2:$H$303, 6, FALSE)=0, "", VLOOKUP($G61, SeanRanks!$A$2:$H$303, 6, FALSE))</f>
        <v>TE1 - 1 - Elite</v>
      </c>
      <c r="L61" s="11">
        <f t="shared" si="4"/>
        <v>5</v>
      </c>
      <c r="M61" s="11">
        <f>VLOOKUP($G61, 'ADP Data'!$C$4:$Q$300, 9, FALSE)</f>
        <v>38</v>
      </c>
      <c r="N61" s="11">
        <f t="shared" si="5"/>
        <v>1</v>
      </c>
      <c r="O61" s="11">
        <f>VLOOKUP($G61, 'ADP Data'!$C$4:$Q$300, 3, FALSE)</f>
        <v>38</v>
      </c>
      <c r="P61" s="11">
        <f t="shared" si="6"/>
        <v>0</v>
      </c>
      <c r="Q61" s="11">
        <f>VLOOKUP($G61, 'ADP Data'!$C$4:$Q$300, 4, FALSE)</f>
        <v>35</v>
      </c>
      <c r="R61" s="11">
        <f>VLOOKUP($G61, 'ADP Data'!$C$4:$Q$300, 5, FALSE)</f>
        <v>49</v>
      </c>
      <c r="S61" s="11">
        <f>VLOOKUP($G61, 'ADP Data'!$C$4:$Q$300, 6, FALSE)</f>
        <v>24</v>
      </c>
      <c r="T61" s="11">
        <f>VLOOKUP($G61, 'ADP Data'!$C$4:$Q$300, 7, FALSE)</f>
        <v>40</v>
      </c>
      <c r="U61" s="11">
        <f>VLOOKUP($G61, 'ADP Data'!$C$4:$Q$300, 8, FALSE)</f>
        <v>38</v>
      </c>
      <c r="V61" s="11">
        <f t="shared" si="7"/>
        <v>37</v>
      </c>
      <c r="W61" s="11">
        <f t="shared" si="8"/>
        <v>5</v>
      </c>
      <c r="X61" s="11">
        <f t="shared" si="9"/>
        <v>0</v>
      </c>
      <c r="Y61" s="11">
        <f>VLOOKUP($G61, SeanRanks!$A$2:$K$303, 10, FALSE)-V61</f>
        <v>-12</v>
      </c>
      <c r="Z61" s="25">
        <f>IF(VLOOKUP($G61, SeanRanks!$A$2:$H$303, 7, FALSE)=0, "", VLOOKUP($G61, SeanRanks!$A$2:$H$303, 7, FALSE))</f>
        <v>3</v>
      </c>
    </row>
    <row r="62" spans="1:26" ht="14.25" hidden="1" customHeight="1" x14ac:dyDescent="0.25">
      <c r="A62" s="11"/>
      <c r="B62" s="11">
        <f t="shared" si="3"/>
        <v>6</v>
      </c>
      <c r="C62" s="11" t="s">
        <v>119</v>
      </c>
      <c r="D62" s="11">
        <v>4</v>
      </c>
      <c r="E62" s="11"/>
      <c r="F62" s="11">
        <f>VLOOKUP(G62, SeanRanks!$A$2:$E$302, 4, FALSE)</f>
        <v>0</v>
      </c>
      <c r="G62" s="11" t="s">
        <v>147</v>
      </c>
      <c r="H62" s="11" t="str">
        <f>VLOOKUP($G62, 'ADP Data'!$C$4:$Q$300, 2, FALSE)</f>
        <v>BAL</v>
      </c>
      <c r="I62" s="11">
        <f>VLOOKUP(G62, 'ADP Data'!$C$4:$R$498, 12, FALSE)</f>
        <v>59</v>
      </c>
      <c r="J62" s="45">
        <f>VLOOKUP($G62, SeanRanks!$A$2:$H$303, 5, FALSE)</f>
        <v>0</v>
      </c>
      <c r="K62" s="11" t="str">
        <f>IF(VLOOKUP($G62, SeanRanks!$A$2:$H$303, 6, FALSE)=0, "", VLOOKUP($G62, SeanRanks!$A$2:$H$303, 6, FALSE))</f>
        <v xml:space="preserve">WR3 - 1 - </v>
      </c>
      <c r="L62" s="11">
        <f t="shared" si="4"/>
        <v>7</v>
      </c>
      <c r="M62" s="11">
        <f>VLOOKUP($G62, 'ADP Data'!$C$4:$Q$300, 9, FALSE)</f>
        <v>55</v>
      </c>
      <c r="N62" s="11">
        <f t="shared" si="5"/>
        <v>-7</v>
      </c>
      <c r="O62" s="11">
        <f>VLOOKUP($G62, 'ADP Data'!$C$4:$Q$300, 3, FALSE)</f>
        <v>63</v>
      </c>
      <c r="P62" s="11">
        <f t="shared" si="6"/>
        <v>-8</v>
      </c>
      <c r="Q62" s="11">
        <f>VLOOKUP($G62, 'ADP Data'!$C$4:$Q$300, 4, FALSE)</f>
        <v>55</v>
      </c>
      <c r="R62" s="11">
        <f>VLOOKUP($G62, 'ADP Data'!$C$4:$Q$300, 5, FALSE)</f>
        <v>66</v>
      </c>
      <c r="S62" s="11">
        <f>VLOOKUP($G62, 'ADP Data'!$C$4:$Q$300, 6, FALSE)</f>
        <v>65</v>
      </c>
      <c r="T62" s="11">
        <f>VLOOKUP($G62, 'ADP Data'!$C$4:$Q$300, 7, FALSE)</f>
        <v>57</v>
      </c>
      <c r="U62" s="11">
        <f>VLOOKUP($G62, 'ADP Data'!$C$4:$Q$300, 8, FALSE)</f>
        <v>73</v>
      </c>
      <c r="V62" s="11">
        <f t="shared" si="7"/>
        <v>62</v>
      </c>
      <c r="W62" s="11">
        <f t="shared" si="8"/>
        <v>8</v>
      </c>
      <c r="X62" s="11">
        <f t="shared" si="9"/>
        <v>-4</v>
      </c>
      <c r="Y62" s="11">
        <f>VLOOKUP($G62, SeanRanks!$A$2:$K$303, 10, FALSE)-V62</f>
        <v>-10</v>
      </c>
      <c r="Z62" s="25">
        <f>IF(VLOOKUP($G62, SeanRanks!$A$2:$H$303, 7, FALSE)=0, "", VLOOKUP($G62, SeanRanks!$A$2:$H$303, 7, FALSE))</f>
        <v>27</v>
      </c>
    </row>
    <row r="63" spans="1:26" ht="14.25" hidden="1" customHeight="1" x14ac:dyDescent="0.25">
      <c r="A63" s="11"/>
      <c r="B63" s="11">
        <f t="shared" si="3"/>
        <v>3</v>
      </c>
      <c r="C63" s="11" t="s">
        <v>119</v>
      </c>
      <c r="D63" s="11">
        <v>4</v>
      </c>
      <c r="E63" s="11"/>
      <c r="F63" s="11">
        <f>VLOOKUP(G63, SeanRanks!$A$2:$E$302, 4, FALSE)</f>
        <v>0</v>
      </c>
      <c r="G63" s="11" t="s">
        <v>150</v>
      </c>
      <c r="H63" s="11" t="str">
        <f>VLOOKUP($G63, 'ADP Data'!$C$4:$Q$300, 2, FALSE)</f>
        <v>CIN</v>
      </c>
      <c r="I63" s="11">
        <f>VLOOKUP(G63, 'ADP Data'!$C$4:$R$498, 12, FALSE)</f>
        <v>25</v>
      </c>
      <c r="J63" s="26">
        <f>VLOOKUP($G63, SeanRanks!$A$2:$H$303, 5, FALSE)</f>
        <v>0</v>
      </c>
      <c r="K63" s="11" t="str">
        <f>IF(VLOOKUP($G63, SeanRanks!$A$2:$H$303, 6, FALSE)=0, "", VLOOKUP($G63, SeanRanks!$A$2:$H$303, 6, FALSE))</f>
        <v>WR1 - 3 - Inconsistent</v>
      </c>
      <c r="L63" s="11">
        <f t="shared" si="4"/>
        <v>4</v>
      </c>
      <c r="M63" s="11">
        <f>VLOOKUP($G63, 'ADP Data'!$C$4:$Q$300, 9, FALSE)</f>
        <v>31</v>
      </c>
      <c r="N63" s="11">
        <f t="shared" si="5"/>
        <v>1</v>
      </c>
      <c r="O63" s="11">
        <f>VLOOKUP($G63, 'ADP Data'!$C$4:$Q$300, 3, FALSE)</f>
        <v>32</v>
      </c>
      <c r="P63" s="11">
        <f t="shared" si="6"/>
        <v>-1</v>
      </c>
      <c r="Q63" s="11">
        <f>VLOOKUP($G63, 'ADP Data'!$C$4:$Q$300, 4, FALSE)</f>
        <v>26</v>
      </c>
      <c r="R63" s="11">
        <f>VLOOKUP($G63, 'ADP Data'!$C$4:$Q$300, 5, FALSE)</f>
        <v>33</v>
      </c>
      <c r="S63" s="11">
        <f>VLOOKUP($G63, 'ADP Data'!$C$4:$Q$300, 6, FALSE)</f>
        <v>30</v>
      </c>
      <c r="T63" s="11">
        <f>VLOOKUP($G63, 'ADP Data'!$C$4:$Q$300, 7, FALSE)</f>
        <v>29</v>
      </c>
      <c r="U63" s="11">
        <f>VLOOKUP($G63, 'ADP Data'!$C$4:$Q$300, 8, FALSE)</f>
        <v>33</v>
      </c>
      <c r="V63" s="11">
        <f t="shared" si="7"/>
        <v>30</v>
      </c>
      <c r="W63" s="11">
        <f t="shared" si="8"/>
        <v>4</v>
      </c>
      <c r="X63" s="11">
        <f t="shared" si="9"/>
        <v>0</v>
      </c>
      <c r="Y63" s="11">
        <f>VLOOKUP($G63, SeanRanks!$A$2:$K$303, 10, FALSE)-V63</f>
        <v>-1</v>
      </c>
      <c r="Z63" s="25">
        <f>IF(VLOOKUP($G63, SeanRanks!$A$2:$H$303, 7, FALSE)=0, "", VLOOKUP($G63, SeanRanks!$A$2:$H$303, 7, FALSE))</f>
        <v>12</v>
      </c>
    </row>
    <row r="64" spans="1:26" ht="14.25" hidden="1" customHeight="1" x14ac:dyDescent="0.25">
      <c r="A64" s="11"/>
      <c r="B64" s="11">
        <f t="shared" si="3"/>
        <v>6</v>
      </c>
      <c r="C64" s="11" t="s">
        <v>119</v>
      </c>
      <c r="D64" s="11">
        <v>4</v>
      </c>
      <c r="E64" s="11"/>
      <c r="F64" s="11">
        <f>VLOOKUP(G64, SeanRanks!$A$2:$E$302, 4, FALSE)</f>
        <v>0</v>
      </c>
      <c r="G64" s="11" t="s">
        <v>118</v>
      </c>
      <c r="H64" s="11" t="str">
        <f>VLOOKUP($G64, 'ADP Data'!$C$4:$Q$300, 2, FALSE)</f>
        <v>DAL</v>
      </c>
      <c r="I64" s="11">
        <f>VLOOKUP(G64, 'ADP Data'!$C$4:$R$498, 12, FALSE)</f>
        <v>45</v>
      </c>
      <c r="J64" s="45" t="str">
        <f>VLOOKUP($G64, SeanRanks!$A$2:$H$303, 5, FALSE)</f>
        <v>Yes</v>
      </c>
      <c r="K64" s="11" t="str">
        <f>IF(VLOOKUP($G64, SeanRanks!$A$2:$H$303, 6, FALSE)=0, "", VLOOKUP($G64, SeanRanks!$A$2:$H$303, 6, FALSE))</f>
        <v>WR2 - 2 - Upside with risk</v>
      </c>
      <c r="L64" s="11">
        <f t="shared" si="4"/>
        <v>8</v>
      </c>
      <c r="M64" s="11">
        <f>VLOOKUP($G64, 'ADP Data'!$C$4:$Q$300, 9, FALSE)</f>
        <v>62</v>
      </c>
      <c r="N64" s="11">
        <f t="shared" si="5"/>
        <v>-1</v>
      </c>
      <c r="O64" s="11">
        <f>VLOOKUP($G64, 'ADP Data'!$C$4:$Q$300, 3, FALSE)</f>
        <v>62</v>
      </c>
      <c r="P64" s="11">
        <f t="shared" si="6"/>
        <v>0</v>
      </c>
      <c r="Q64" s="11">
        <f>VLOOKUP($G64, 'ADP Data'!$C$4:$Q$300, 4, FALSE)</f>
        <v>67</v>
      </c>
      <c r="R64" s="11">
        <f>VLOOKUP($G64, 'ADP Data'!$C$4:$Q$300, 5, FALSE)</f>
        <v>73</v>
      </c>
      <c r="S64" s="11">
        <f>VLOOKUP($G64, 'ADP Data'!$C$4:$Q$300, 6, FALSE)</f>
        <v>54</v>
      </c>
      <c r="T64" s="11">
        <f>VLOOKUP($G64, 'ADP Data'!$C$4:$Q$300, 7, FALSE)</f>
        <v>52</v>
      </c>
      <c r="U64" s="11">
        <f>VLOOKUP($G64, 'ADP Data'!$C$4:$Q$300, 8, FALSE)</f>
        <v>75</v>
      </c>
      <c r="V64" s="11">
        <f t="shared" si="7"/>
        <v>63</v>
      </c>
      <c r="W64" s="11">
        <f t="shared" si="8"/>
        <v>8</v>
      </c>
      <c r="X64" s="11">
        <f t="shared" si="9"/>
        <v>-4</v>
      </c>
      <c r="Y64" s="11">
        <f>VLOOKUP($G64, SeanRanks!$A$2:$K$303, 10, FALSE)-V64</f>
        <v>-16</v>
      </c>
      <c r="Z64" s="25">
        <f>IF(VLOOKUP($G64, SeanRanks!$A$2:$H$303, 7, FALSE)=0, "", VLOOKUP($G64, SeanRanks!$A$2:$H$303, 7, FALSE))</f>
        <v>21</v>
      </c>
    </row>
    <row r="65" spans="1:26" ht="14.25" hidden="1" customHeight="1" x14ac:dyDescent="0.25">
      <c r="A65" s="11"/>
      <c r="B65" s="11">
        <f t="shared" si="3"/>
        <v>6</v>
      </c>
      <c r="C65" s="11" t="s">
        <v>119</v>
      </c>
      <c r="D65" s="11">
        <v>4</v>
      </c>
      <c r="E65" s="11"/>
      <c r="F65" s="11">
        <f>VLOOKUP(G65, SeanRanks!$A$2:$E$302, 4, FALSE)</f>
        <v>0</v>
      </c>
      <c r="G65" s="11" t="s">
        <v>133</v>
      </c>
      <c r="H65" s="11" t="str">
        <f>VLOOKUP($G65, 'ADP Data'!$C$4:$Q$300, 2, FALSE)</f>
        <v>KC</v>
      </c>
      <c r="I65" s="11">
        <f>VLOOKUP(G65, 'ADP Data'!$C$4:$R$498, 12, FALSE)</f>
        <v>70</v>
      </c>
      <c r="J65" s="45" t="str">
        <f>VLOOKUP($G65, SeanRanks!$A$2:$H$303, 5, FALSE)</f>
        <v>Yes</v>
      </c>
      <c r="K65" s="11" t="str">
        <f>IF(VLOOKUP($G65, SeanRanks!$A$2:$H$303, 6, FALSE)=0, "", VLOOKUP($G65, SeanRanks!$A$2:$H$303, 6, FALSE))</f>
        <v xml:space="preserve">WR3 - 1 - </v>
      </c>
      <c r="L65" s="11">
        <f t="shared" si="4"/>
        <v>7</v>
      </c>
      <c r="M65" s="11">
        <f>VLOOKUP($G65, 'ADP Data'!$C$4:$Q$300, 9, FALSE)</f>
        <v>49</v>
      </c>
      <c r="N65" s="11">
        <f t="shared" si="5"/>
        <v>-19</v>
      </c>
      <c r="O65" s="11">
        <f>VLOOKUP($G65, 'ADP Data'!$C$4:$Q$300, 3, FALSE)</f>
        <v>84</v>
      </c>
      <c r="P65" s="11">
        <f t="shared" si="6"/>
        <v>-35</v>
      </c>
      <c r="Q65" s="11">
        <f>VLOOKUP($G65, 'ADP Data'!$C$4:$Q$300, 4, FALSE)</f>
        <v>71</v>
      </c>
      <c r="R65" s="11">
        <f>VLOOKUP($G65, 'ADP Data'!$C$4:$Q$300, 5, FALSE)</f>
        <v>98</v>
      </c>
      <c r="S65" s="11">
        <f>VLOOKUP($G65, 'ADP Data'!$C$4:$Q$300, 6, FALSE)</f>
        <v>72</v>
      </c>
      <c r="T65" s="11">
        <f>VLOOKUP($G65, 'ADP Data'!$C$4:$Q$300, 7, FALSE)</f>
        <v>60</v>
      </c>
      <c r="U65" s="11">
        <f>VLOOKUP($G65, 'ADP Data'!$C$4:$Q$300, 8, FALSE)</f>
        <v>47</v>
      </c>
      <c r="V65" s="11">
        <f t="shared" si="7"/>
        <v>68</v>
      </c>
      <c r="W65" s="11">
        <f t="shared" si="8"/>
        <v>9</v>
      </c>
      <c r="X65" s="11">
        <f t="shared" si="9"/>
        <v>-5</v>
      </c>
      <c r="Y65" s="11">
        <f>VLOOKUP($G65, SeanRanks!$A$2:$K$303, 10, FALSE)-V65</f>
        <v>6</v>
      </c>
      <c r="Z65" s="25">
        <f>IF(VLOOKUP($G65, SeanRanks!$A$2:$H$303, 7, FALSE)=0, "", VLOOKUP($G65, SeanRanks!$A$2:$H$303, 7, FALSE))</f>
        <v>29</v>
      </c>
    </row>
    <row r="66" spans="1:26" ht="14.25" hidden="1" customHeight="1" x14ac:dyDescent="0.25">
      <c r="A66" s="11"/>
      <c r="B66" s="11">
        <f t="shared" si="3"/>
        <v>12</v>
      </c>
      <c r="C66" s="11" t="s">
        <v>119</v>
      </c>
      <c r="D66" s="11">
        <v>6</v>
      </c>
      <c r="E66" s="11"/>
      <c r="F66" s="11">
        <f>VLOOKUP(G66, SeanRanks!$A$2:$E$302, 4, FALSE)</f>
        <v>0</v>
      </c>
      <c r="G66" s="11" t="s">
        <v>250</v>
      </c>
      <c r="H66" s="11" t="str">
        <f>VLOOKUP($G66, 'ADP Data'!$C$4:$Q$300, 2, FALSE)</f>
        <v>ATL</v>
      </c>
      <c r="I66" s="11">
        <f>VLOOKUP(G66, 'ADP Data'!$C$4:$R$498, 12, FALSE)</f>
        <v>137</v>
      </c>
      <c r="J66" s="49" t="str">
        <f>VLOOKUP($G66, SeanRanks!$A$2:$H$303, 5, FALSE)</f>
        <v>Yes</v>
      </c>
      <c r="K66" s="11" t="str">
        <f>IF(VLOOKUP($G66, SeanRanks!$A$2:$H$303, 6, FALSE)=0, "", VLOOKUP($G66, SeanRanks!$A$2:$H$303, 6, FALSE))</f>
        <v>TE2 - 1 - Big Upside</v>
      </c>
      <c r="L66" s="11">
        <f t="shared" si="4"/>
        <v>16</v>
      </c>
      <c r="M66" s="11">
        <f>VLOOKUP($G66, 'ADP Data'!$C$4:$Q$300, 9, FALSE)</f>
        <v>121</v>
      </c>
      <c r="N66" s="11">
        <f t="shared" si="5"/>
        <v>-15</v>
      </c>
      <c r="O66" s="11">
        <f>VLOOKUP($G66, 'ADP Data'!$C$4:$Q$300, 3, FALSE)</f>
        <v>148</v>
      </c>
      <c r="P66" s="11">
        <f t="shared" si="6"/>
        <v>-27</v>
      </c>
      <c r="Q66" s="11">
        <f>VLOOKUP($G66, 'ADP Data'!$C$4:$Q$300, 4, FALSE)</f>
        <v>141</v>
      </c>
      <c r="R66" s="11">
        <f>VLOOKUP($G66, 'ADP Data'!$C$4:$Q$300, 5, FALSE)</f>
        <v>166</v>
      </c>
      <c r="S66" s="11">
        <f>VLOOKUP($G66, 'ADP Data'!$C$4:$Q$300, 6, FALSE)</f>
        <v>114</v>
      </c>
      <c r="T66" s="11">
        <f>VLOOKUP($G66, 'ADP Data'!$C$4:$Q$300, 7, FALSE)</f>
        <v>136</v>
      </c>
      <c r="U66" s="11">
        <f>VLOOKUP($G66, 'ADP Data'!$C$4:$Q$300, 8, FALSE)</f>
        <v>129</v>
      </c>
      <c r="V66" s="11">
        <f t="shared" si="7"/>
        <v>136</v>
      </c>
      <c r="W66" s="11">
        <f t="shared" si="8"/>
        <v>18</v>
      </c>
      <c r="X66" s="11">
        <f t="shared" si="9"/>
        <v>-12</v>
      </c>
      <c r="Y66" s="11">
        <f>VLOOKUP($G66, SeanRanks!$A$2:$K$303, 10, FALSE)-V66</f>
        <v>23</v>
      </c>
      <c r="Z66" s="25">
        <f>IF(VLOOKUP($G66, SeanRanks!$A$2:$H$303, 7, FALSE)=0, "", VLOOKUP($G66, SeanRanks!$A$2:$H$303, 7, FALSE))</f>
        <v>15</v>
      </c>
    </row>
    <row r="67" spans="1:26" ht="14.25" hidden="1" customHeight="1" x14ac:dyDescent="0.25">
      <c r="A67" s="11"/>
      <c r="B67" s="11">
        <f t="shared" si="3"/>
        <v>6</v>
      </c>
      <c r="C67" s="11" t="s">
        <v>119</v>
      </c>
      <c r="D67" s="11">
        <v>4</v>
      </c>
      <c r="E67" s="11"/>
      <c r="F67" s="11">
        <f>VLOOKUP(G67, SeanRanks!$A$2:$E$302, 4, FALSE)</f>
        <v>0</v>
      </c>
      <c r="G67" s="11" t="s">
        <v>178</v>
      </c>
      <c r="H67" s="11" t="str">
        <f>VLOOKUP($G67, 'ADP Data'!$C$4:$Q$300, 2, FALSE)</f>
        <v>DET</v>
      </c>
      <c r="I67" s="11">
        <f>VLOOKUP(G67, 'ADP Data'!$C$4:$R$498, 12, FALSE)</f>
        <v>74</v>
      </c>
      <c r="J67" s="46">
        <f>VLOOKUP($G67, SeanRanks!$A$2:$H$303, 5, FALSE)</f>
        <v>0</v>
      </c>
      <c r="K67" s="11" t="str">
        <f>IF(VLOOKUP($G67, SeanRanks!$A$2:$H$303, 6, FALSE)=0, "", VLOOKUP($G67, SeanRanks!$A$2:$H$303, 6, FALSE))</f>
        <v>RB2 - 2 - Path to spikes</v>
      </c>
      <c r="L67" s="11">
        <f t="shared" si="4"/>
        <v>7</v>
      </c>
      <c r="M67" s="11">
        <f>VLOOKUP($G67, 'ADP Data'!$C$4:$Q$300, 9, FALSE)</f>
        <v>52</v>
      </c>
      <c r="N67" s="11">
        <f t="shared" si="5"/>
        <v>-11</v>
      </c>
      <c r="O67" s="11">
        <f>VLOOKUP($G67, 'ADP Data'!$C$4:$Q$300, 3, FALSE)</f>
        <v>57</v>
      </c>
      <c r="P67" s="11">
        <f t="shared" si="6"/>
        <v>-5</v>
      </c>
      <c r="Q67" s="11">
        <f>VLOOKUP($G67, 'ADP Data'!$C$4:$Q$300, 4, FALSE)</f>
        <v>59</v>
      </c>
      <c r="R67" s="11">
        <f>VLOOKUP($G67, 'ADP Data'!$C$4:$Q$300, 5, FALSE)</f>
        <v>74</v>
      </c>
      <c r="S67" s="11">
        <f>VLOOKUP($G67, 'ADP Data'!$C$4:$Q$300, 6, FALSE)</f>
        <v>68</v>
      </c>
      <c r="T67" s="11">
        <f>VLOOKUP($G67, 'ADP Data'!$C$4:$Q$300, 7, FALSE)</f>
        <v>70</v>
      </c>
      <c r="U67" s="11">
        <f>VLOOKUP($G67, 'ADP Data'!$C$4:$Q$300, 8, FALSE)</f>
        <v>67</v>
      </c>
      <c r="V67" s="11">
        <f t="shared" si="7"/>
        <v>63</v>
      </c>
      <c r="W67" s="11">
        <f t="shared" si="8"/>
        <v>8</v>
      </c>
      <c r="X67" s="11">
        <f t="shared" si="9"/>
        <v>-4</v>
      </c>
      <c r="Y67" s="11">
        <f>VLOOKUP($G67, SeanRanks!$A$2:$K$303, 10, FALSE)-V67</f>
        <v>-2</v>
      </c>
      <c r="Z67" s="25">
        <f>IF(VLOOKUP($G67, SeanRanks!$A$2:$H$303, 7, FALSE)=0, "", VLOOKUP($G67, SeanRanks!$A$2:$H$303, 7, FALSE))</f>
        <v>21</v>
      </c>
    </row>
    <row r="68" spans="1:26" ht="14.25" hidden="1" customHeight="1" x14ac:dyDescent="0.25">
      <c r="A68" s="11"/>
      <c r="B68" s="11">
        <f t="shared" si="3"/>
        <v>5</v>
      </c>
      <c r="C68" s="11" t="s">
        <v>119</v>
      </c>
      <c r="D68" s="11">
        <v>5</v>
      </c>
      <c r="E68" s="11" t="s">
        <v>243</v>
      </c>
      <c r="F68" s="11">
        <f>VLOOKUP(G68, SeanRanks!$A$2:$E$302, 4, FALSE)</f>
        <v>0</v>
      </c>
      <c r="G68" s="11" t="s">
        <v>562</v>
      </c>
      <c r="H68" s="11" t="str">
        <f>VLOOKUP($G68, 'ADP Data'!$C$4:$Q$300, 2, FALSE)</f>
        <v>ARI</v>
      </c>
      <c r="I68" s="11">
        <f>VLOOKUP(G68, 'ADP Data'!$C$4:$R$498, 12, FALSE)</f>
        <v>61</v>
      </c>
      <c r="J68" s="46">
        <f>VLOOKUP($G68, SeanRanks!$A$2:$H$303, 5, FALSE)</f>
        <v>0</v>
      </c>
      <c r="K68" s="11" t="str">
        <f>IF(VLOOKUP($G68, SeanRanks!$A$2:$H$303, 6, FALSE)=0, "", VLOOKUP($G68, SeanRanks!$A$2:$H$303, 6, FALSE))</f>
        <v>RB2 - 1 - Clear path to spikes</v>
      </c>
      <c r="L68" s="11">
        <f t="shared" si="4"/>
        <v>6</v>
      </c>
      <c r="M68" s="11">
        <f>VLOOKUP($G68, 'ADP Data'!$C$4:$Q$300, 9, FALSE)</f>
        <v>47</v>
      </c>
      <c r="N68" s="11">
        <f t="shared" si="5"/>
        <v>-3</v>
      </c>
      <c r="O68" s="11">
        <f>VLOOKUP($G68, 'ADP Data'!$C$4:$Q$300, 3, FALSE)</f>
        <v>42</v>
      </c>
      <c r="P68" s="11">
        <f t="shared" si="6"/>
        <v>5</v>
      </c>
      <c r="Q68" s="11">
        <f>VLOOKUP($G68, 'ADP Data'!$C$4:$Q$300, 4, FALSE)</f>
        <v>46</v>
      </c>
      <c r="R68" s="11">
        <f>VLOOKUP($G68, 'ADP Data'!$C$4:$Q$300, 5, FALSE)</f>
        <v>65</v>
      </c>
      <c r="S68" s="11">
        <f>VLOOKUP($G68, 'ADP Data'!$C$4:$Q$300, 6, FALSE)</f>
        <v>49</v>
      </c>
      <c r="T68" s="11">
        <f>VLOOKUP($G68, 'ADP Data'!$C$4:$Q$300, 7, FALSE)</f>
        <v>55</v>
      </c>
      <c r="U68" s="11">
        <f>VLOOKUP($G68, 'ADP Data'!$C$4:$Q$300, 8, FALSE)</f>
        <v>49</v>
      </c>
      <c r="V68" s="11">
        <f t="shared" si="7"/>
        <v>50</v>
      </c>
      <c r="W68" s="11">
        <f t="shared" si="8"/>
        <v>7</v>
      </c>
      <c r="X68" s="11">
        <f t="shared" si="9"/>
        <v>-2</v>
      </c>
      <c r="Y68" s="11">
        <f>VLOOKUP($G68, SeanRanks!$A$2:$K$303, 10, FALSE)-V68</f>
        <v>-6</v>
      </c>
      <c r="Z68" s="25">
        <f>IF(VLOOKUP($G68, SeanRanks!$A$2:$H$303, 7, FALSE)=0, "", VLOOKUP($G68, SeanRanks!$A$2:$H$303, 7, FALSE))</f>
        <v>19</v>
      </c>
    </row>
    <row r="69" spans="1:26" ht="14.25" hidden="1" customHeight="1" x14ac:dyDescent="0.25">
      <c r="A69" s="11"/>
      <c r="B69" s="11">
        <f t="shared" si="3"/>
        <v>8</v>
      </c>
      <c r="C69" s="11" t="s">
        <v>119</v>
      </c>
      <c r="D69" s="11">
        <v>7</v>
      </c>
      <c r="E69" s="11"/>
      <c r="F69" s="11">
        <f>VLOOKUP(G69, SeanRanks!$A$2:$E$302, 4, FALSE)</f>
        <v>0</v>
      </c>
      <c r="G69" s="11" t="s">
        <v>648</v>
      </c>
      <c r="H69" s="11" t="str">
        <f>VLOOKUP($G69, 'ADP Data'!$C$4:$Q$300, 2, FALSE)</f>
        <v>DEN</v>
      </c>
      <c r="I69" s="11">
        <f>VLOOKUP(G69, 'ADP Data'!$C$4:$R$498, 12, FALSE)</f>
        <v>100</v>
      </c>
      <c r="J69" s="49" t="str">
        <f>VLOOKUP($G69, SeanRanks!$A$2:$H$303, 5, FALSE)</f>
        <v>No</v>
      </c>
      <c r="K69" s="11" t="str">
        <f>IF(VLOOKUP($G69, SeanRanks!$A$2:$H$303, 6, FALSE)=0, "", VLOOKUP($G69, SeanRanks!$A$2:$H$303, 6, FALSE))</f>
        <v>TE1 - 3 - Weekly Start</v>
      </c>
      <c r="L69" s="11">
        <f t="shared" si="4"/>
        <v>11</v>
      </c>
      <c r="M69" s="11">
        <f>VLOOKUP($G69, 'ADP Data'!$C$4:$Q$300, 9, FALSE)</f>
        <v>87</v>
      </c>
      <c r="N69" s="11">
        <f t="shared" si="5"/>
        <v>0</v>
      </c>
      <c r="O69" s="11">
        <f>VLOOKUP($G69, 'ADP Data'!$C$4:$Q$300, 3, FALSE)</f>
        <v>97</v>
      </c>
      <c r="P69" s="11">
        <f t="shared" si="6"/>
        <v>-10</v>
      </c>
      <c r="Q69" s="11">
        <f>VLOOKUP($G69, 'ADP Data'!$C$4:$Q$300, 4, FALSE)</f>
        <v>78</v>
      </c>
      <c r="R69" s="11">
        <f>VLOOKUP($G69, 'ADP Data'!$C$4:$Q$300, 5, FALSE)</f>
        <v>103</v>
      </c>
      <c r="S69" s="11">
        <f>VLOOKUP($G69, 'ADP Data'!$C$4:$Q$300, 6, FALSE)</f>
        <v>75</v>
      </c>
      <c r="T69" s="11">
        <f>VLOOKUP($G69, 'ADP Data'!$C$4:$Q$300, 7, FALSE)</f>
        <v>95</v>
      </c>
      <c r="U69" s="11">
        <f>VLOOKUP($G69, 'ADP Data'!$C$4:$Q$300, 8, FALSE)</f>
        <v>74</v>
      </c>
      <c r="V69" s="11">
        <f t="shared" si="7"/>
        <v>87</v>
      </c>
      <c r="W69" s="11">
        <f t="shared" si="8"/>
        <v>11</v>
      </c>
      <c r="X69" s="11">
        <f t="shared" si="9"/>
        <v>-4</v>
      </c>
      <c r="Y69" s="11">
        <f>VLOOKUP($G69, SeanRanks!$A$2:$K$303, 10, FALSE)-V69</f>
        <v>5</v>
      </c>
      <c r="Z69" s="25">
        <f>IF(VLOOKUP($G69, SeanRanks!$A$2:$H$303, 7, FALSE)=0, "", VLOOKUP($G69, SeanRanks!$A$2:$H$303, 7, FALSE))</f>
        <v>8</v>
      </c>
    </row>
    <row r="70" spans="1:26" ht="14.25" hidden="1" customHeight="1" x14ac:dyDescent="0.25">
      <c r="A70" s="11"/>
      <c r="B70" s="11">
        <f t="shared" si="3"/>
        <v>4</v>
      </c>
      <c r="C70" s="11" t="s">
        <v>119</v>
      </c>
      <c r="D70" s="11">
        <v>4</v>
      </c>
      <c r="E70" s="11"/>
      <c r="F70" s="11">
        <f>VLOOKUP(G70, SeanRanks!$A$2:$E$302, 4, FALSE)</f>
        <v>0</v>
      </c>
      <c r="G70" s="11" t="s">
        <v>183</v>
      </c>
      <c r="H70" s="11" t="str">
        <f>VLOOKUP($G70, 'ADP Data'!$C$4:$Q$300, 2, FALSE)</f>
        <v>WAS</v>
      </c>
      <c r="I70" s="11">
        <f>VLOOKUP(G70, 'ADP Data'!$C$4:$R$498, 12, FALSE)</f>
        <v>40</v>
      </c>
      <c r="J70" s="45">
        <f>VLOOKUP($G70, SeanRanks!$A$2:$H$303, 5, FALSE)</f>
        <v>0</v>
      </c>
      <c r="K70" s="11" t="str">
        <f>IF(VLOOKUP($G70, SeanRanks!$A$2:$H$303, 6, FALSE)=0, "", VLOOKUP($G70, SeanRanks!$A$2:$H$303, 6, FALSE))</f>
        <v>WR2 - 2 - Upside with risk</v>
      </c>
      <c r="L70" s="11">
        <f t="shared" si="4"/>
        <v>6</v>
      </c>
      <c r="M70" s="11">
        <f>VLOOKUP($G70, 'ADP Data'!$C$4:$Q$300, 9, FALSE)</f>
        <v>42</v>
      </c>
      <c r="N70" s="11">
        <f t="shared" si="5"/>
        <v>0</v>
      </c>
      <c r="O70" s="11">
        <f>VLOOKUP($G70, 'ADP Data'!$C$4:$Q$300, 3, FALSE)</f>
        <v>45</v>
      </c>
      <c r="P70" s="11">
        <f t="shared" si="6"/>
        <v>-3</v>
      </c>
      <c r="Q70" s="11">
        <f>VLOOKUP($G70, 'ADP Data'!$C$4:$Q$300, 4, FALSE)</f>
        <v>36</v>
      </c>
      <c r="R70" s="11">
        <f>VLOOKUP($G70, 'ADP Data'!$C$4:$Q$300, 5, FALSE)</f>
        <v>56</v>
      </c>
      <c r="S70" s="11">
        <f>VLOOKUP($G70, 'ADP Data'!$C$4:$Q$300, 6, FALSE)</f>
        <v>46</v>
      </c>
      <c r="T70" s="11">
        <f>VLOOKUP($G70, 'ADP Data'!$C$4:$Q$300, 7, FALSE)</f>
        <v>44</v>
      </c>
      <c r="U70" s="11">
        <f>VLOOKUP($G70, 'ADP Data'!$C$4:$Q$300, 8, FALSE)</f>
        <v>28</v>
      </c>
      <c r="V70" s="11">
        <f t="shared" si="7"/>
        <v>42</v>
      </c>
      <c r="W70" s="11">
        <f t="shared" si="8"/>
        <v>6</v>
      </c>
      <c r="X70" s="11">
        <f t="shared" si="9"/>
        <v>-2</v>
      </c>
      <c r="Y70" s="11">
        <f>VLOOKUP($G70, SeanRanks!$A$2:$K$303, 10, FALSE)-V70</f>
        <v>-6</v>
      </c>
      <c r="Z70" s="25">
        <f>IF(VLOOKUP($G70, SeanRanks!$A$2:$H$303, 7, FALSE)=0, "", VLOOKUP($G70, SeanRanks!$A$2:$H$303, 7, FALSE))</f>
        <v>17</v>
      </c>
    </row>
    <row r="71" spans="1:26" ht="14.25" hidden="1" customHeight="1" x14ac:dyDescent="0.25">
      <c r="A71" s="11"/>
      <c r="B71" s="11">
        <f t="shared" si="3"/>
        <v>7</v>
      </c>
      <c r="C71" s="11" t="s">
        <v>119</v>
      </c>
      <c r="D71" s="11">
        <v>5</v>
      </c>
      <c r="E71" s="11"/>
      <c r="F71" s="11">
        <f>VLOOKUP(G71, SeanRanks!$A$2:$E$302, 4, FALSE)</f>
        <v>0</v>
      </c>
      <c r="G71" s="11" t="s">
        <v>338</v>
      </c>
      <c r="H71" s="11" t="str">
        <f>VLOOKUP($G71, 'ADP Data'!$C$4:$Q$300, 2, FALSE)</f>
        <v>MIN</v>
      </c>
      <c r="I71" s="11">
        <f>VLOOKUP(G71, 'ADP Data'!$C$4:$R$498, 12, FALSE)</f>
        <v>75</v>
      </c>
      <c r="J71" s="44">
        <f>VLOOKUP($G71, SeanRanks!$A$2:$H$303, 5, FALSE)</f>
        <v>0</v>
      </c>
      <c r="K71" s="11" t="str">
        <f>IF(VLOOKUP($G71, SeanRanks!$A$2:$H$303, 6, FALSE)=0, "", VLOOKUP($G71, SeanRanks!$A$2:$H$303, 6, FALSE))</f>
        <v>RB2 - 2 - Path to spikes</v>
      </c>
      <c r="L71" s="11">
        <f t="shared" si="4"/>
        <v>9</v>
      </c>
      <c r="M71" s="11">
        <f>VLOOKUP($G71, 'ADP Data'!$C$4:$Q$300, 9, FALSE)</f>
        <v>65</v>
      </c>
      <c r="N71" s="11">
        <f t="shared" si="5"/>
        <v>-4</v>
      </c>
      <c r="O71" s="11">
        <f>VLOOKUP($G71, 'ADP Data'!$C$4:$Q$300, 3, FALSE)</f>
        <v>56</v>
      </c>
      <c r="P71" s="11">
        <f t="shared" si="6"/>
        <v>9</v>
      </c>
      <c r="Q71" s="11">
        <f>VLOOKUP($G71, 'ADP Data'!$C$4:$Q$300, 4, FALSE)</f>
        <v>70</v>
      </c>
      <c r="R71" s="11">
        <f>VLOOKUP($G71, 'ADP Data'!$C$4:$Q$300, 5, FALSE)</f>
        <v>76</v>
      </c>
      <c r="S71" s="11">
        <f>VLOOKUP($G71, 'ADP Data'!$C$4:$Q$300, 6, FALSE)</f>
        <v>70</v>
      </c>
      <c r="T71" s="11">
        <f>VLOOKUP($G71, 'ADP Data'!$C$4:$Q$300, 7, FALSE)</f>
        <v>74</v>
      </c>
      <c r="U71" s="11">
        <f>VLOOKUP($G71, 'ADP Data'!$C$4:$Q$300, 8, FALSE)</f>
        <v>77</v>
      </c>
      <c r="V71" s="11">
        <f t="shared" si="7"/>
        <v>69</v>
      </c>
      <c r="W71" s="11">
        <f t="shared" si="8"/>
        <v>9</v>
      </c>
      <c r="X71" s="11">
        <f t="shared" si="9"/>
        <v>-4</v>
      </c>
      <c r="Y71" s="11">
        <f>VLOOKUP($G71, SeanRanks!$A$2:$K$303, 10, FALSE)-V71</f>
        <v>1</v>
      </c>
      <c r="Z71" s="25">
        <f>IF(VLOOKUP($G71, SeanRanks!$A$2:$H$303, 7, FALSE)=0, "", VLOOKUP($G71, SeanRanks!$A$2:$H$303, 7, FALSE))</f>
        <v>25</v>
      </c>
    </row>
    <row r="72" spans="1:26" ht="14.25" hidden="1" customHeight="1" x14ac:dyDescent="0.25">
      <c r="A72" s="11"/>
      <c r="B72" s="11">
        <f t="shared" si="3"/>
        <v>4</v>
      </c>
      <c r="C72" s="11" t="s">
        <v>119</v>
      </c>
      <c r="D72" s="11">
        <v>6</v>
      </c>
      <c r="E72" s="11"/>
      <c r="F72" s="11">
        <f>VLOOKUP(G72, SeanRanks!$A$2:$E$302, 4, FALSE)</f>
        <v>0</v>
      </c>
      <c r="G72" s="11" t="s">
        <v>211</v>
      </c>
      <c r="H72" s="11" t="str">
        <f>VLOOKUP($G72, 'ADP Data'!$C$4:$Q$300, 2, FALSE)</f>
        <v>CIN</v>
      </c>
      <c r="I72" s="11">
        <f>VLOOKUP(G72, 'ADP Data'!$C$4:$R$498, 12, FALSE)</f>
        <v>53</v>
      </c>
      <c r="J72" s="48">
        <f>VLOOKUP($G72, SeanRanks!$A$2:$H$303, 5, FALSE)</f>
        <v>0</v>
      </c>
      <c r="K72" s="11" t="str">
        <f>IF(VLOOKUP($G72, SeanRanks!$A$2:$H$303, 6, FALSE)=0, "", VLOOKUP($G72, SeanRanks!$A$2:$H$303, 6, FALSE))</f>
        <v>QB1 - 2 - QB1 Upside</v>
      </c>
      <c r="L72" s="11">
        <f t="shared" si="4"/>
        <v>6</v>
      </c>
      <c r="M72" s="11">
        <f>VLOOKUP($G72, 'ADP Data'!$C$4:$Q$300, 9, FALSE)</f>
        <v>41</v>
      </c>
      <c r="N72" s="11">
        <f t="shared" si="5"/>
        <v>5</v>
      </c>
      <c r="O72" s="11">
        <f>VLOOKUP($G72, 'ADP Data'!$C$4:$Q$300, 3, FALSE)</f>
        <v>25</v>
      </c>
      <c r="P72" s="11">
        <f t="shared" si="6"/>
        <v>16</v>
      </c>
      <c r="Q72" s="11">
        <f>VLOOKUP($G72, 'ADP Data'!$C$4:$Q$300, 4, FALSE)</f>
        <v>33</v>
      </c>
      <c r="R72" s="11">
        <f>VLOOKUP($G72, 'ADP Data'!$C$4:$Q$300, 5, FALSE)</f>
        <v>45</v>
      </c>
      <c r="S72" s="11">
        <f>VLOOKUP($G72, 'ADP Data'!$C$4:$Q$300, 6, FALSE)</f>
        <v>45</v>
      </c>
      <c r="T72" s="11">
        <f>VLOOKUP($G72, 'ADP Data'!$C$4:$Q$300, 7, FALSE)</f>
        <v>32</v>
      </c>
      <c r="U72" s="11">
        <f>VLOOKUP($G72, 'ADP Data'!$C$4:$Q$300, 8, FALSE)</f>
        <v>35</v>
      </c>
      <c r="V72" s="11">
        <f t="shared" si="7"/>
        <v>36</v>
      </c>
      <c r="W72" s="11">
        <f t="shared" si="8"/>
        <v>5</v>
      </c>
      <c r="X72" s="11">
        <f t="shared" si="9"/>
        <v>1</v>
      </c>
      <c r="Y72" s="11">
        <f>VLOOKUP($G72, SeanRanks!$A$2:$K$303, 10, FALSE)-V72</f>
        <v>17</v>
      </c>
      <c r="Z72" s="25">
        <f>IF(VLOOKUP($G72, SeanRanks!$A$2:$H$303, 7, FALSE)=0, "", VLOOKUP($G72, SeanRanks!$A$2:$H$303, 7, FALSE))</f>
        <v>5</v>
      </c>
    </row>
    <row r="73" spans="1:26" ht="14.25" hidden="1" customHeight="1" x14ac:dyDescent="0.25">
      <c r="A73" s="11"/>
      <c r="B73" s="11">
        <f t="shared" si="3"/>
        <v>8</v>
      </c>
      <c r="C73" s="11" t="s">
        <v>119</v>
      </c>
      <c r="D73" s="11">
        <v>5</v>
      </c>
      <c r="E73" s="11"/>
      <c r="F73" s="11">
        <f>VLOOKUP(G73, SeanRanks!$A$2:$E$302, 4, FALSE)</f>
        <v>0</v>
      </c>
      <c r="G73" s="11" t="s">
        <v>355</v>
      </c>
      <c r="H73" s="11" t="str">
        <f>VLOOKUP($G73, 'ADP Data'!$C$4:$Q$300, 2, FALSE)</f>
        <v>ARI</v>
      </c>
      <c r="I73" s="11">
        <f>VLOOKUP(G73, 'ADP Data'!$C$4:$R$498, 12, FALSE)</f>
        <v>104</v>
      </c>
      <c r="J73" s="48">
        <f>VLOOKUP($G73, SeanRanks!$A$2:$H$303, 5, FALSE)</f>
        <v>0</v>
      </c>
      <c r="K73" s="11" t="str">
        <f>IF(VLOOKUP($G73, SeanRanks!$A$2:$H$303, 6, FALSE)=0, "", VLOOKUP($G73, SeanRanks!$A$2:$H$303, 6, FALSE))</f>
        <v>QB1 - 3 - Top 5 Ceiling</v>
      </c>
      <c r="L73" s="11">
        <f t="shared" si="4"/>
        <v>12</v>
      </c>
      <c r="M73" s="11">
        <f>VLOOKUP($G73, 'ADP Data'!$C$4:$Q$300, 9, FALSE)</f>
        <v>91</v>
      </c>
      <c r="N73" s="11">
        <f t="shared" si="5"/>
        <v>0</v>
      </c>
      <c r="O73" s="11">
        <f>VLOOKUP($G73, 'ADP Data'!$C$4:$Q$300, 3, FALSE)</f>
        <v>82</v>
      </c>
      <c r="P73" s="11">
        <f t="shared" si="6"/>
        <v>9</v>
      </c>
      <c r="Q73" s="11">
        <f>VLOOKUP($G73, 'ADP Data'!$C$4:$Q$300, 4, FALSE)</f>
        <v>77</v>
      </c>
      <c r="R73" s="11">
        <f>VLOOKUP($G73, 'ADP Data'!$C$4:$Q$300, 5, FALSE)</f>
        <v>101</v>
      </c>
      <c r="S73" s="11">
        <f>VLOOKUP($G73, 'ADP Data'!$C$4:$Q$300, 6, FALSE)</f>
        <v>105</v>
      </c>
      <c r="T73" s="11">
        <f>VLOOKUP($G73, 'ADP Data'!$C$4:$Q$300, 7, FALSE)</f>
        <v>104</v>
      </c>
      <c r="U73" s="11">
        <f>VLOOKUP($G73, 'ADP Data'!$C$4:$Q$300, 8, FALSE)</f>
        <v>81</v>
      </c>
      <c r="V73" s="11">
        <f t="shared" si="7"/>
        <v>91</v>
      </c>
      <c r="W73" s="11">
        <f t="shared" si="8"/>
        <v>12</v>
      </c>
      <c r="X73" s="11">
        <f t="shared" si="9"/>
        <v>-7</v>
      </c>
      <c r="Y73" s="11">
        <f>VLOOKUP($G73, SeanRanks!$A$2:$K$303, 10, FALSE)-V73</f>
        <v>7</v>
      </c>
      <c r="Z73" s="25">
        <f>IF(VLOOKUP($G73, SeanRanks!$A$2:$H$303, 7, FALSE)=0, "", VLOOKUP($G73, SeanRanks!$A$2:$H$303, 7, FALSE))</f>
        <v>8</v>
      </c>
    </row>
    <row r="74" spans="1:26" ht="14.25" hidden="1" customHeight="1" x14ac:dyDescent="0.25">
      <c r="A74" s="11"/>
      <c r="B74" s="11">
        <f t="shared" si="3"/>
        <v>6</v>
      </c>
      <c r="C74" s="11" t="s">
        <v>119</v>
      </c>
      <c r="D74" s="11">
        <v>6</v>
      </c>
      <c r="E74" s="11"/>
      <c r="F74" s="11">
        <f>VLOOKUP(G74, SeanRanks!$A$2:$E$302, 4, FALSE)</f>
        <v>0</v>
      </c>
      <c r="G74" s="11" t="s">
        <v>478</v>
      </c>
      <c r="H74" s="11" t="str">
        <f>VLOOKUP($G74, 'ADP Data'!$C$4:$Q$300, 2, FALSE)</f>
        <v>TEN</v>
      </c>
      <c r="I74" s="11">
        <f>VLOOKUP(G74, 'ADP Data'!$C$4:$R$498, 12, FALSE)</f>
        <v>51</v>
      </c>
      <c r="J74" s="45" t="str">
        <f>VLOOKUP($G74, SeanRanks!$A$2:$H$303, 5, FALSE)</f>
        <v>Yes</v>
      </c>
      <c r="K74" s="11" t="str">
        <f>IF(VLOOKUP($G74, SeanRanks!$A$2:$H$303, 6, FALSE)=0, "", VLOOKUP($G74, SeanRanks!$A$2:$H$303, 6, FALSE))</f>
        <v xml:space="preserve">WR3 - 1 - </v>
      </c>
      <c r="L74" s="11">
        <f t="shared" si="4"/>
        <v>10</v>
      </c>
      <c r="M74" s="11">
        <f>VLOOKUP($G74, 'ADP Data'!$C$4:$Q$300, 9, FALSE)</f>
        <v>72</v>
      </c>
      <c r="N74" s="11">
        <f t="shared" si="5"/>
        <v>8</v>
      </c>
      <c r="O74" s="11">
        <f>VLOOKUP($G74, 'ADP Data'!$C$4:$Q$300, 3, FALSE)</f>
        <v>67</v>
      </c>
      <c r="P74" s="11">
        <f t="shared" si="6"/>
        <v>5</v>
      </c>
      <c r="Q74" s="11">
        <f>VLOOKUP($G74, 'ADP Data'!$C$4:$Q$300, 4, FALSE)</f>
        <v>60</v>
      </c>
      <c r="R74" s="11">
        <f>VLOOKUP($G74, 'ADP Data'!$C$4:$Q$300, 5, FALSE)</f>
        <v>72</v>
      </c>
      <c r="S74" s="11">
        <f>VLOOKUP($G74, 'ADP Data'!$C$4:$Q$300, 6, FALSE)</f>
        <v>59</v>
      </c>
      <c r="T74" s="11">
        <f>VLOOKUP($G74, 'ADP Data'!$C$4:$Q$300, 7, FALSE)</f>
        <v>54</v>
      </c>
      <c r="U74" s="11">
        <f>VLOOKUP($G74, 'ADP Data'!$C$4:$Q$300, 8, FALSE)</f>
        <v>66</v>
      </c>
      <c r="V74" s="11">
        <f t="shared" si="7"/>
        <v>64</v>
      </c>
      <c r="W74" s="11">
        <f t="shared" si="8"/>
        <v>9</v>
      </c>
      <c r="X74" s="11">
        <f t="shared" si="9"/>
        <v>-3</v>
      </c>
      <c r="Y74" s="11">
        <f>VLOOKUP($G74, SeanRanks!$A$2:$K$303, 10, FALSE)-V74</f>
        <v>-6</v>
      </c>
      <c r="Z74" s="25">
        <f>IF(VLOOKUP($G74, SeanRanks!$A$2:$H$303, 7, FALSE)=0, "", VLOOKUP($G74, SeanRanks!$A$2:$H$303, 7, FALSE))</f>
        <v>25</v>
      </c>
    </row>
    <row r="75" spans="1:26" ht="14.25" hidden="1" customHeight="1" x14ac:dyDescent="0.25">
      <c r="A75" s="11"/>
      <c r="B75" s="11">
        <f t="shared" si="3"/>
        <v>11</v>
      </c>
      <c r="C75" s="11" t="s">
        <v>119</v>
      </c>
      <c r="D75" s="11">
        <v>6</v>
      </c>
      <c r="E75" s="11"/>
      <c r="F75" s="11">
        <f>VLOOKUP(G75, SeanRanks!$A$2:$E$302, 4, FALSE)</f>
        <v>0</v>
      </c>
      <c r="G75" s="11" t="s">
        <v>222</v>
      </c>
      <c r="H75" s="11" t="str">
        <f>VLOOKUP($G75, 'ADP Data'!$C$4:$Q$300, 2, FALSE)</f>
        <v>NE</v>
      </c>
      <c r="I75" s="11">
        <f>VLOOKUP(G75, 'ADP Data'!$C$4:$R$498, 12, FALSE)</f>
        <v>135</v>
      </c>
      <c r="J75" s="44">
        <f>VLOOKUP($G75, SeanRanks!$A$2:$H$303, 5, FALSE)</f>
        <v>0</v>
      </c>
      <c r="K75" s="11" t="str">
        <f>IF(VLOOKUP($G75, SeanRanks!$A$2:$H$303, 6, FALSE)=0, "", VLOOKUP($G75, SeanRanks!$A$2:$H$303, 6, FALSE))</f>
        <v>RB3 - 2 - low ceiling</v>
      </c>
      <c r="L75" s="11">
        <f t="shared" si="4"/>
        <v>14</v>
      </c>
      <c r="M75" s="11">
        <f>VLOOKUP($G75, 'ADP Data'!$C$4:$Q$300, 9, FALSE)</f>
        <v>111</v>
      </c>
      <c r="N75" s="11">
        <f t="shared" si="5"/>
        <v>-6</v>
      </c>
      <c r="O75" s="11">
        <f>VLOOKUP($G75, 'ADP Data'!$C$4:$Q$300, 3, FALSE)</f>
        <v>109</v>
      </c>
      <c r="P75" s="11">
        <f t="shared" si="6"/>
        <v>2</v>
      </c>
      <c r="Q75" s="11">
        <f>VLOOKUP($G75, 'ADP Data'!$C$4:$Q$300, 4, FALSE)</f>
        <v>107</v>
      </c>
      <c r="R75" s="11">
        <f>VLOOKUP($G75, 'ADP Data'!$C$4:$Q$300, 5, FALSE)</f>
        <v>118</v>
      </c>
      <c r="S75" s="11">
        <f>VLOOKUP($G75, 'ADP Data'!$C$4:$Q$300, 6, FALSE)</f>
        <v>126</v>
      </c>
      <c r="T75" s="11">
        <f>VLOOKUP($G75, 'ADP Data'!$C$4:$Q$300, 7, FALSE)</f>
        <v>121</v>
      </c>
      <c r="U75" s="11">
        <f>VLOOKUP($G75, 'ADP Data'!$C$4:$Q$300, 8, FALSE)</f>
        <v>130</v>
      </c>
      <c r="V75" s="11">
        <f t="shared" si="7"/>
        <v>117</v>
      </c>
      <c r="W75" s="11">
        <f t="shared" si="8"/>
        <v>15</v>
      </c>
      <c r="X75" s="11">
        <f t="shared" si="9"/>
        <v>-9</v>
      </c>
      <c r="Y75" s="11">
        <f>VLOOKUP($G75, SeanRanks!$A$2:$K$303, 10, FALSE)-V75</f>
        <v>-1</v>
      </c>
      <c r="Z75" s="25">
        <f>IF(VLOOKUP($G75, SeanRanks!$A$2:$H$303, 7, FALSE)=0, "", VLOOKUP($G75, SeanRanks!$A$2:$H$303, 7, FALSE))</f>
        <v>37</v>
      </c>
    </row>
    <row r="76" spans="1:26" ht="14.25" hidden="1" customHeight="1" x14ac:dyDescent="0.25">
      <c r="A76" s="11"/>
      <c r="B76" s="11">
        <f t="shared" si="3"/>
        <v>9</v>
      </c>
      <c r="C76" s="11" t="s">
        <v>119</v>
      </c>
      <c r="D76" s="11">
        <v>7</v>
      </c>
      <c r="E76" s="11"/>
      <c r="F76" s="11">
        <f>VLOOKUP(G76, SeanRanks!$A$2:$E$302, 4, FALSE)</f>
        <v>0</v>
      </c>
      <c r="G76" s="11" t="s">
        <v>254</v>
      </c>
      <c r="H76" s="11" t="str">
        <f>VLOOKUP($G76, 'ADP Data'!$C$4:$Q$300, 2, FALSE)</f>
        <v>DAL</v>
      </c>
      <c r="I76" s="11">
        <f>VLOOKUP(G76, 'ADP Data'!$C$4:$R$498, 12, FALSE)</f>
        <v>94</v>
      </c>
      <c r="J76" s="50">
        <f>VLOOKUP($G76, SeanRanks!$A$2:$H$303, 5, FALSE)</f>
        <v>0</v>
      </c>
      <c r="K76" s="11" t="str">
        <f>IF(VLOOKUP($G76, SeanRanks!$A$2:$H$303, 6, FALSE)=0, "", VLOOKUP($G76, SeanRanks!$A$2:$H$303, 6, FALSE))</f>
        <v>QB1 - 4 - Weekly Start</v>
      </c>
      <c r="L76" s="11">
        <f t="shared" si="4"/>
        <v>15</v>
      </c>
      <c r="M76" s="11">
        <f>VLOOKUP($G76, 'ADP Data'!$C$4:$Q$300, 9, FALSE)</f>
        <v>117</v>
      </c>
      <c r="N76" s="11">
        <f t="shared" si="5"/>
        <v>15</v>
      </c>
      <c r="O76" s="11">
        <f>VLOOKUP($G76, 'ADP Data'!$C$4:$Q$300, 3, FALSE)</f>
        <v>77</v>
      </c>
      <c r="P76" s="11">
        <f t="shared" si="6"/>
        <v>40</v>
      </c>
      <c r="Q76" s="11">
        <f>VLOOKUP($G76, 'ADP Data'!$C$4:$Q$300, 4, FALSE)</f>
        <v>99</v>
      </c>
      <c r="R76" s="11">
        <f>VLOOKUP($G76, 'ADP Data'!$C$4:$Q$300, 5, FALSE)</f>
        <v>120</v>
      </c>
      <c r="S76" s="11">
        <f>VLOOKUP($G76, 'ADP Data'!$C$4:$Q$300, 6, FALSE)</f>
        <v>97</v>
      </c>
      <c r="T76" s="11">
        <f>VLOOKUP($G76, 'ADP Data'!$C$4:$Q$300, 7, FALSE)</f>
        <v>87</v>
      </c>
      <c r="U76" s="11">
        <f>VLOOKUP($G76, 'ADP Data'!$C$4:$Q$300, 8, FALSE)</f>
        <v>117</v>
      </c>
      <c r="V76" s="11">
        <f t="shared" si="7"/>
        <v>102</v>
      </c>
      <c r="W76" s="11">
        <f t="shared" si="8"/>
        <v>13</v>
      </c>
      <c r="X76" s="11">
        <f t="shared" si="9"/>
        <v>-6</v>
      </c>
      <c r="Y76" s="11">
        <f>VLOOKUP($G76, SeanRanks!$A$2:$K$303, 10, FALSE)-V76</f>
        <v>-14</v>
      </c>
      <c r="Z76" s="25">
        <f>IF(VLOOKUP($G76, SeanRanks!$A$2:$H$303, 7, FALSE)=0, "", VLOOKUP($G76, SeanRanks!$A$2:$H$303, 7, FALSE))</f>
        <v>11</v>
      </c>
    </row>
    <row r="77" spans="1:26" ht="14.25" hidden="1" customHeight="1" x14ac:dyDescent="0.25">
      <c r="A77" s="11"/>
      <c r="B77" s="11">
        <f t="shared" si="3"/>
        <v>6</v>
      </c>
      <c r="C77" s="11" t="s">
        <v>119</v>
      </c>
      <c r="D77" s="11">
        <v>6</v>
      </c>
      <c r="E77" s="11"/>
      <c r="F77" s="11">
        <f>VLOOKUP(G77, SeanRanks!$A$2:$E$302, 4, FALSE)</f>
        <v>0</v>
      </c>
      <c r="G77" s="11" t="s">
        <v>172</v>
      </c>
      <c r="H77" s="11" t="str">
        <f>VLOOKUP($G77, 'ADP Data'!$C$4:$Q$300, 2, FALSE)</f>
        <v>CHI</v>
      </c>
      <c r="I77" s="11">
        <f>VLOOKUP(G77, 'ADP Data'!$C$4:$R$498, 12, FALSE)</f>
        <v>58</v>
      </c>
      <c r="J77" s="46" t="str">
        <f>VLOOKUP($G77, SeanRanks!$A$2:$H$303, 5, FALSE)</f>
        <v>No</v>
      </c>
      <c r="K77" s="11" t="str">
        <f>IF(VLOOKUP($G77, SeanRanks!$A$2:$H$303, 6, FALSE)=0, "", VLOOKUP($G77, SeanRanks!$A$2:$H$303, 6, FALSE))</f>
        <v>RB2 - 2 - Path to spikes</v>
      </c>
      <c r="L77" s="11">
        <f t="shared" si="4"/>
        <v>9</v>
      </c>
      <c r="M77" s="11">
        <f>VLOOKUP($G77, 'ADP Data'!$C$4:$Q$300, 9, FALSE)</f>
        <v>68</v>
      </c>
      <c r="N77" s="11">
        <f t="shared" si="5"/>
        <v>8</v>
      </c>
      <c r="O77" s="11">
        <f>VLOOKUP($G77, 'ADP Data'!$C$4:$Q$300, 3, FALSE)</f>
        <v>49</v>
      </c>
      <c r="P77" s="11">
        <f t="shared" si="6"/>
        <v>19</v>
      </c>
      <c r="Q77" s="11">
        <f>VLOOKUP($G77, 'ADP Data'!$C$4:$Q$300, 4, FALSE)</f>
        <v>53</v>
      </c>
      <c r="R77" s="11">
        <f>VLOOKUP($G77, 'ADP Data'!$C$4:$Q$300, 5, FALSE)</f>
        <v>80</v>
      </c>
      <c r="S77" s="11">
        <f>VLOOKUP($G77, 'ADP Data'!$C$4:$Q$300, 6, FALSE)</f>
        <v>56</v>
      </c>
      <c r="T77" s="11">
        <f>VLOOKUP($G77, 'ADP Data'!$C$4:$Q$300, 7, FALSE)</f>
        <v>59</v>
      </c>
      <c r="U77" s="11">
        <f>VLOOKUP($G77, 'ADP Data'!$C$4:$Q$300, 8, FALSE)</f>
        <v>57</v>
      </c>
      <c r="V77" s="11">
        <f t="shared" si="7"/>
        <v>60</v>
      </c>
      <c r="W77" s="11">
        <f t="shared" si="8"/>
        <v>8</v>
      </c>
      <c r="X77" s="11">
        <f t="shared" si="9"/>
        <v>-2</v>
      </c>
      <c r="Y77" s="11">
        <f>VLOOKUP($G77, SeanRanks!$A$2:$K$303, 10, FALSE)-V77</f>
        <v>4</v>
      </c>
      <c r="Z77" s="25">
        <f>IF(VLOOKUP($G77, SeanRanks!$A$2:$H$303, 7, FALSE)=0, "", VLOOKUP($G77, SeanRanks!$A$2:$H$303, 7, FALSE))</f>
        <v>26</v>
      </c>
    </row>
    <row r="78" spans="1:26" ht="14.25" hidden="1" customHeight="1" x14ac:dyDescent="0.25">
      <c r="A78" s="11"/>
      <c r="B78" s="11" t="e">
        <f t="shared" si="3"/>
        <v>#N/A</v>
      </c>
      <c r="C78" s="11" t="s">
        <v>119</v>
      </c>
      <c r="D78" s="11">
        <v>7</v>
      </c>
      <c r="E78" s="11"/>
      <c r="F78" s="11" t="e">
        <f>VLOOKUP(G78, SeanRanks!$A$2:$E$302, 4, FALSE)</f>
        <v>#N/A</v>
      </c>
      <c r="G78" s="11" t="s">
        <v>850</v>
      </c>
      <c r="H78" s="11" t="e">
        <f>VLOOKUP($G78, 'ADP Data'!$C$4:$Q$300, 2, FALSE)</f>
        <v>#N/A</v>
      </c>
      <c r="I78" s="11" t="e">
        <f>VLOOKUP(G78, 'ADP Data'!$C$4:$R$498, 12, FALSE)</f>
        <v>#N/A</v>
      </c>
      <c r="J78" s="44" t="e">
        <f>VLOOKUP($G78, SeanRanks!$A$2:$H$303, 5, FALSE)</f>
        <v>#N/A</v>
      </c>
      <c r="K78" s="11" t="e">
        <f>IF(VLOOKUP($G78, SeanRanks!$A$2:$H$303, 6, FALSE)=0, "", VLOOKUP($G78, SeanRanks!$A$2:$H$303, 6, FALSE))</f>
        <v>#N/A</v>
      </c>
      <c r="L78" s="11">
        <f t="shared" si="4"/>
        <v>16</v>
      </c>
      <c r="M78" s="11" t="e">
        <f>VLOOKUP($G78, 'ADP Data'!$C$4:$Q$300, 9, FALSE)</f>
        <v>#N/A</v>
      </c>
      <c r="N78" s="11" t="e">
        <f t="shared" si="5"/>
        <v>#N/A</v>
      </c>
      <c r="O78" s="11" t="e">
        <f>VLOOKUP($G78, 'ADP Data'!$C$4:$Q$300, 3, FALSE)</f>
        <v>#N/A</v>
      </c>
      <c r="P78" s="11" t="e">
        <f t="shared" si="6"/>
        <v>#N/A</v>
      </c>
      <c r="Q78" s="11" t="e">
        <f>VLOOKUP($G78, 'ADP Data'!$C$4:$Q$300, 4, FALSE)</f>
        <v>#N/A</v>
      </c>
      <c r="R78" s="11" t="e">
        <f>VLOOKUP($G78, 'ADP Data'!$C$4:$Q$300, 5, FALSE)</f>
        <v>#N/A</v>
      </c>
      <c r="S78" s="11" t="e">
        <f>VLOOKUP($G78, 'ADP Data'!$C$4:$Q$300, 6, FALSE)</f>
        <v>#N/A</v>
      </c>
      <c r="T78" s="11" t="e">
        <f>VLOOKUP($G78, 'ADP Data'!$C$4:$Q$300, 7, FALSE)</f>
        <v>#N/A</v>
      </c>
      <c r="U78" s="11" t="e">
        <f>VLOOKUP($G78, 'ADP Data'!$C$4:$Q$300, 8, FALSE)</f>
        <v>#N/A</v>
      </c>
      <c r="V78" s="11" t="e">
        <f t="shared" si="7"/>
        <v>#N/A</v>
      </c>
      <c r="W78" s="11">
        <f t="shared" si="8"/>
        <v>16</v>
      </c>
      <c r="X78" s="11">
        <f t="shared" si="9"/>
        <v>-9</v>
      </c>
      <c r="Y78" s="11" t="e">
        <f>VLOOKUP($G78, SeanRanks!$A$2:$K$303, 10, FALSE)-V78</f>
        <v>#N/A</v>
      </c>
      <c r="Z78" s="25" t="e">
        <f>IF(VLOOKUP($G78, SeanRanks!$A$2:$H$303, 7, FALSE)=0, "", VLOOKUP($G78, SeanRanks!$A$2:$H$303, 7, FALSE))</f>
        <v>#N/A</v>
      </c>
    </row>
    <row r="79" spans="1:26" ht="14.25" hidden="1" customHeight="1" x14ac:dyDescent="0.25">
      <c r="A79" s="11"/>
      <c r="B79" s="11">
        <f t="shared" si="3"/>
        <v>12</v>
      </c>
      <c r="C79" s="11" t="s">
        <v>119</v>
      </c>
      <c r="D79" s="11">
        <v>6</v>
      </c>
      <c r="E79" s="11"/>
      <c r="F79" s="11">
        <f>VLOOKUP(G79, SeanRanks!$A$2:$E$302, 4, FALSE)</f>
        <v>0</v>
      </c>
      <c r="G79" s="11" t="s">
        <v>664</v>
      </c>
      <c r="H79" s="11" t="str">
        <f>VLOOKUP($G79, 'ADP Data'!$C$4:$Q$300, 2, FALSE)</f>
        <v>HOU</v>
      </c>
      <c r="I79" s="11">
        <f>VLOOKUP(G79, 'ADP Data'!$C$4:$R$498, 12, FALSE)</f>
        <v>103</v>
      </c>
      <c r="J79" s="26">
        <f>VLOOKUP($G79, SeanRanks!$A$2:$H$303, 5, FALSE)</f>
        <v>0</v>
      </c>
      <c r="K79" s="11" t="str">
        <f>IF(VLOOKUP($G79, SeanRanks!$A$2:$H$303, 6, FALSE)=0, "", VLOOKUP($G79, SeanRanks!$A$2:$H$303, 6, FALSE))</f>
        <v>WR5 - 2 - floor play not league winner</v>
      </c>
      <c r="L79" s="11">
        <f t="shared" si="4"/>
        <v>19</v>
      </c>
      <c r="M79" s="11">
        <f>VLOOKUP($G79, 'ADP Data'!$C$4:$Q$300, 9, FALSE)</f>
        <v>148</v>
      </c>
      <c r="N79" s="11">
        <f t="shared" si="5"/>
        <v>6</v>
      </c>
      <c r="O79" s="11">
        <f>VLOOKUP($G79, 'ADP Data'!$C$4:$Q$300, 3, FALSE)</f>
        <v>137</v>
      </c>
      <c r="P79" s="11">
        <f t="shared" si="6"/>
        <v>11</v>
      </c>
      <c r="Q79" s="11">
        <f>VLOOKUP($G79, 'ADP Data'!$C$4:$Q$300, 4, FALSE)</f>
        <v>178</v>
      </c>
      <c r="R79" s="11">
        <f>VLOOKUP($G79, 'ADP Data'!$C$4:$Q$300, 5, FALSE)</f>
        <v>124</v>
      </c>
      <c r="S79" s="11">
        <f>VLOOKUP($G79, 'ADP Data'!$C$4:$Q$300, 6, FALSE)</f>
        <v>131</v>
      </c>
      <c r="T79" s="11">
        <f>VLOOKUP($G79, 'ADP Data'!$C$4:$Q$300, 7, FALSE)</f>
        <v>108</v>
      </c>
      <c r="U79" s="11">
        <f>VLOOKUP($G79, 'ADP Data'!$C$4:$Q$300, 8, FALSE)</f>
        <v>172</v>
      </c>
      <c r="V79" s="11">
        <f t="shared" si="7"/>
        <v>142</v>
      </c>
      <c r="W79" s="11">
        <f t="shared" si="8"/>
        <v>18</v>
      </c>
      <c r="X79" s="11">
        <f t="shared" si="9"/>
        <v>-12</v>
      </c>
      <c r="Y79" s="11">
        <f>VLOOKUP($G79, SeanRanks!$A$2:$K$303, 10, FALSE)-V79</f>
        <v>-9</v>
      </c>
      <c r="Z79" s="25">
        <f>IF(VLOOKUP($G79, SeanRanks!$A$2:$H$303, 7, FALSE)=0, "", VLOOKUP($G79, SeanRanks!$A$2:$H$303, 7, FALSE))</f>
        <v>57</v>
      </c>
    </row>
    <row r="80" spans="1:26" ht="14.25" hidden="1" customHeight="1" x14ac:dyDescent="0.25">
      <c r="A80" s="11"/>
      <c r="B80" s="11">
        <f t="shared" si="3"/>
        <v>12</v>
      </c>
      <c r="C80" s="11" t="s">
        <v>119</v>
      </c>
      <c r="D80" s="11" t="s">
        <v>883</v>
      </c>
      <c r="E80" s="11"/>
      <c r="F80" s="11">
        <f>VLOOKUP(G80, SeanRanks!$A$2:$E$302, 4, FALSE)</f>
        <v>0</v>
      </c>
      <c r="G80" s="11" t="s">
        <v>634</v>
      </c>
      <c r="H80" s="11" t="str">
        <f>VLOOKUP($G80, 'ADP Data'!$C$4:$Q$300, 2, FALSE)</f>
        <v>LAC</v>
      </c>
      <c r="I80" s="11">
        <f>VLOOKUP(G80, 'ADP Data'!$C$4:$R$498, 12, FALSE)</f>
        <v>157</v>
      </c>
      <c r="J80" s="44">
        <f>VLOOKUP($G80, SeanRanks!$A$2:$H$303, 5, FALSE)</f>
        <v>0</v>
      </c>
      <c r="K80" s="11" t="str">
        <f>IF(VLOOKUP($G80, SeanRanks!$A$2:$H$303, 6, FALSE)=0, "", VLOOKUP($G80, SeanRanks!$A$2:$H$303, 6, FALSE))</f>
        <v>RB4 - 1 - Path to spikes</v>
      </c>
      <c r="L80" s="11">
        <f t="shared" si="4"/>
        <v>14</v>
      </c>
      <c r="M80" s="11">
        <f>VLOOKUP($G80, 'ADP Data'!$C$4:$Q$300, 9, FALSE)</f>
        <v>108</v>
      </c>
      <c r="N80" s="11">
        <f t="shared" si="5"/>
        <v>-29</v>
      </c>
      <c r="O80" s="11">
        <f>VLOOKUP($G80, 'ADP Data'!$C$4:$Q$300, 3, FALSE)</f>
        <v>138</v>
      </c>
      <c r="P80" s="11">
        <f t="shared" si="6"/>
        <v>-30</v>
      </c>
      <c r="Q80" s="11">
        <f>VLOOKUP($G80, 'ADP Data'!$C$4:$Q$300, 4, FALSE)</f>
        <v>162</v>
      </c>
      <c r="R80" s="11">
        <f>VLOOKUP($G80, 'ADP Data'!$C$4:$Q$300, 5, FALSE)</f>
        <v>150</v>
      </c>
      <c r="S80" s="11">
        <f>VLOOKUP($G80, 'ADP Data'!$C$4:$Q$300, 6, FALSE)</f>
        <v>148</v>
      </c>
      <c r="T80" s="11">
        <f>VLOOKUP($G80, 'ADP Data'!$C$4:$Q$300, 7, FALSE)</f>
        <v>137</v>
      </c>
      <c r="U80" s="11">
        <f>VLOOKUP($G80, 'ADP Data'!$C$4:$Q$300, 8, FALSE)</f>
        <v>118</v>
      </c>
      <c r="V80" s="11">
        <f t="shared" si="7"/>
        <v>137</v>
      </c>
      <c r="W80" s="11">
        <f t="shared" si="8"/>
        <v>18</v>
      </c>
      <c r="X80" s="11" t="e">
        <f t="shared" si="9"/>
        <v>#VALUE!</v>
      </c>
      <c r="Y80" s="11">
        <f>VLOOKUP($G80, SeanRanks!$A$2:$K$303, 10, FALSE)-V80</f>
        <v>18</v>
      </c>
      <c r="Z80" s="25">
        <f>IF(VLOOKUP($G80, SeanRanks!$A$2:$H$303, 7, FALSE)=0, "", VLOOKUP($G80, SeanRanks!$A$2:$H$303, 7, FALSE))</f>
        <v>39</v>
      </c>
    </row>
    <row r="81" spans="1:26" ht="14.25" hidden="1" customHeight="1" x14ac:dyDescent="0.25">
      <c r="A81" s="11"/>
      <c r="B81" s="11">
        <f t="shared" si="3"/>
        <v>9</v>
      </c>
      <c r="C81" s="11" t="s">
        <v>119</v>
      </c>
      <c r="D81" s="11">
        <v>6</v>
      </c>
      <c r="E81" s="11"/>
      <c r="F81" s="11">
        <f>VLOOKUP(G81, SeanRanks!$A$2:$E$302, 4, FALSE)</f>
        <v>0</v>
      </c>
      <c r="G81" s="11" t="s">
        <v>264</v>
      </c>
      <c r="H81" s="11" t="str">
        <f>VLOOKUP($G81, 'ADP Data'!$C$4:$Q$300, 2, FALSE)</f>
        <v>TB</v>
      </c>
      <c r="I81" s="11">
        <f>VLOOKUP(G81, 'ADP Data'!$C$4:$R$498, 12, FALSE)</f>
        <v>117</v>
      </c>
      <c r="J81" s="26">
        <f>VLOOKUP($G81, SeanRanks!$A$2:$H$303, 5, FALSE)</f>
        <v>0</v>
      </c>
      <c r="K81" s="11" t="str">
        <f>IF(VLOOKUP($G81, SeanRanks!$A$2:$H$303, 6, FALSE)=0, "", VLOOKUP($G81, SeanRanks!$A$2:$H$303, 6, FALSE))</f>
        <v>WR4 - 1 - path to WR2</v>
      </c>
      <c r="L81" s="11">
        <f t="shared" si="4"/>
        <v>12</v>
      </c>
      <c r="M81" s="11">
        <f>VLOOKUP($G81, 'ADP Data'!$C$4:$Q$300, 9, FALSE)</f>
        <v>90</v>
      </c>
      <c r="N81" s="11">
        <f t="shared" si="5"/>
        <v>-14</v>
      </c>
      <c r="O81" s="11">
        <f>VLOOKUP($G81, 'ADP Data'!$C$4:$Q$300, 3, FALSE)</f>
        <v>107</v>
      </c>
      <c r="P81" s="11">
        <f t="shared" si="6"/>
        <v>-17</v>
      </c>
      <c r="Q81" s="11">
        <f>VLOOKUP($G81, 'ADP Data'!$C$4:$Q$300, 4, FALSE)</f>
        <v>102</v>
      </c>
      <c r="R81" s="11">
        <f>VLOOKUP($G81, 'ADP Data'!$C$4:$Q$300, 5, FALSE)</f>
        <v>127</v>
      </c>
      <c r="S81" s="11">
        <f>VLOOKUP($G81, 'ADP Data'!$C$4:$Q$300, 6, FALSE)</f>
        <v>118</v>
      </c>
      <c r="T81" s="11">
        <f>VLOOKUP($G81, 'ADP Data'!$C$4:$Q$300, 7, FALSE)</f>
        <v>100</v>
      </c>
      <c r="U81" s="11">
        <f>VLOOKUP($G81, 'ADP Data'!$C$4:$Q$300, 8, FALSE)</f>
        <v>90</v>
      </c>
      <c r="V81" s="11">
        <f t="shared" si="7"/>
        <v>104</v>
      </c>
      <c r="W81" s="11">
        <f t="shared" si="8"/>
        <v>14</v>
      </c>
      <c r="X81" s="11">
        <f t="shared" si="9"/>
        <v>-8</v>
      </c>
      <c r="Y81" s="11">
        <f>VLOOKUP($G81, SeanRanks!$A$2:$K$303, 10, FALSE)-V81</f>
        <v>23</v>
      </c>
      <c r="Z81" s="25">
        <f>IF(VLOOKUP($G81, SeanRanks!$A$2:$H$303, 7, FALSE)=0, "", VLOOKUP($G81, SeanRanks!$A$2:$H$303, 7, FALSE))</f>
        <v>42</v>
      </c>
    </row>
    <row r="82" spans="1:26" ht="14.25" hidden="1" customHeight="1" x14ac:dyDescent="0.25">
      <c r="A82" s="11"/>
      <c r="B82" s="11">
        <f t="shared" si="3"/>
        <v>12</v>
      </c>
      <c r="C82" s="11" t="s">
        <v>119</v>
      </c>
      <c r="D82" s="11"/>
      <c r="E82" s="11"/>
      <c r="F82" s="11">
        <f>VLOOKUP(G82, SeanRanks!$A$2:$E$302, 4, FALSE)</f>
        <v>0</v>
      </c>
      <c r="G82" s="11" t="s">
        <v>360</v>
      </c>
      <c r="H82" s="11" t="str">
        <f>VLOOKUP($G82, 'ADP Data'!$C$4:$Q$300, 2, FALSE)</f>
        <v>GB</v>
      </c>
      <c r="I82" s="11">
        <f>VLOOKUP(G82, 'ADP Data'!$C$4:$R$498, 12, FALSE)</f>
        <v>133</v>
      </c>
      <c r="J82" s="50">
        <f>VLOOKUP($G82, SeanRanks!$A$2:$H$303, 5, FALSE)</f>
        <v>0</v>
      </c>
      <c r="K82" s="11" t="str">
        <f>IF(VLOOKUP($G82, SeanRanks!$A$2:$H$303, 6, FALSE)=0, "", VLOOKUP($G82, SeanRanks!$A$2:$H$303, 6, FALSE))</f>
        <v>QB2 - 1 - League Winner</v>
      </c>
      <c r="L82" s="11">
        <f t="shared" si="4"/>
        <v>18</v>
      </c>
      <c r="M82" s="11">
        <f>VLOOKUP($G82, 'ADP Data'!$C$4:$Q$300, 9, FALSE)</f>
        <v>142</v>
      </c>
      <c r="N82" s="11">
        <f t="shared" si="5"/>
        <v>5</v>
      </c>
      <c r="O82" s="11">
        <f>VLOOKUP($G82, 'ADP Data'!$C$4:$Q$300, 3, FALSE)</f>
        <v>123</v>
      </c>
      <c r="P82" s="11">
        <f t="shared" si="6"/>
        <v>19</v>
      </c>
      <c r="Q82" s="11">
        <f>VLOOKUP($G82, 'ADP Data'!$C$4:$Q$300, 4, FALSE)</f>
        <v>125</v>
      </c>
      <c r="R82" s="11">
        <f>VLOOKUP($G82, 'ADP Data'!$C$4:$Q$300, 5, FALSE)</f>
        <v>160</v>
      </c>
      <c r="S82" s="11">
        <f>VLOOKUP($G82, 'ADP Data'!$C$4:$Q$300, 6, FALSE)</f>
        <v>147</v>
      </c>
      <c r="T82" s="11">
        <f>VLOOKUP($G82, 'ADP Data'!$C$4:$Q$300, 7, FALSE)</f>
        <v>127</v>
      </c>
      <c r="U82" s="11">
        <f>VLOOKUP($G82, 'ADP Data'!$C$4:$Q$300, 8, FALSE)</f>
        <v>140</v>
      </c>
      <c r="V82" s="11">
        <f t="shared" si="7"/>
        <v>137</v>
      </c>
      <c r="W82" s="11">
        <f t="shared" si="8"/>
        <v>18</v>
      </c>
      <c r="X82" s="11">
        <f t="shared" si="9"/>
        <v>-18</v>
      </c>
      <c r="Y82" s="11">
        <f>VLOOKUP($G82, SeanRanks!$A$2:$K$303, 10, FALSE)-V82</f>
        <v>-26</v>
      </c>
      <c r="Z82" s="25">
        <f>IF(VLOOKUP($G82, SeanRanks!$A$2:$H$303, 7, FALSE)=0, "", VLOOKUP($G82, SeanRanks!$A$2:$H$303, 7, FALSE))</f>
        <v>15</v>
      </c>
    </row>
    <row r="83" spans="1:26" ht="14.25" hidden="1" customHeight="1" x14ac:dyDescent="0.25">
      <c r="A83" s="11"/>
      <c r="B83" s="11">
        <f t="shared" si="3"/>
        <v>21</v>
      </c>
      <c r="C83" s="11" t="s">
        <v>119</v>
      </c>
      <c r="D83" s="11">
        <v>6</v>
      </c>
      <c r="E83" s="11"/>
      <c r="F83" s="11">
        <f>VLOOKUP(G83, SeanRanks!$A$2:$E$302, 4, FALSE)</f>
        <v>0</v>
      </c>
      <c r="G83" s="11" t="s">
        <v>896</v>
      </c>
      <c r="H83" s="11" t="str">
        <f>VLOOKUP($G83, 'ADP Data'!$C$4:$Q$300, 2, FALSE)</f>
        <v>LV</v>
      </c>
      <c r="I83" s="11">
        <f>VLOOKUP(G83, 'ADP Data'!$C$4:$R$498, 12, FALSE)</f>
        <v>245</v>
      </c>
      <c r="J83" s="46">
        <f>VLOOKUP($G83, SeanRanks!$A$2:$H$303, 5, FALSE)</f>
        <v>0</v>
      </c>
      <c r="K83" s="11" t="str">
        <f>IF(VLOOKUP($G83, SeanRanks!$A$2:$H$303, 6, FALSE)=0, "", VLOOKUP($G83, SeanRanks!$A$2:$H$303, 6, FALSE))</f>
        <v/>
      </c>
      <c r="L83" s="11">
        <f t="shared" si="4"/>
        <v>33</v>
      </c>
      <c r="M83" s="11">
        <f>VLOOKUP($G83, 'ADP Data'!$C$4:$Q$300, 9, FALSE)</f>
        <v>260</v>
      </c>
      <c r="N83" s="11">
        <f t="shared" si="5"/>
        <v>19</v>
      </c>
      <c r="O83" s="11">
        <f>VLOOKUP($G83, 'ADP Data'!$C$4:$Q$300, 3, FALSE)</f>
        <v>191</v>
      </c>
      <c r="P83" s="11">
        <f t="shared" si="6"/>
        <v>69</v>
      </c>
      <c r="Q83" s="11" t="str">
        <f>VLOOKUP($G83, 'ADP Data'!$C$4:$Q$300, 4, FALSE)</f>
        <v>-</v>
      </c>
      <c r="R83" s="11">
        <f>VLOOKUP($G83, 'ADP Data'!$C$4:$Q$300, 5, FALSE)</f>
        <v>288</v>
      </c>
      <c r="S83" s="11">
        <f>VLOOKUP($G83, 'ADP Data'!$C$4:$Q$300, 6, FALSE)</f>
        <v>221</v>
      </c>
      <c r="T83" s="11">
        <f>VLOOKUP($G83, 'ADP Data'!$C$4:$Q$300, 7, FALSE)</f>
        <v>242</v>
      </c>
      <c r="U83" s="11">
        <f>VLOOKUP($G83, 'ADP Data'!$C$4:$Q$300, 8, FALSE)</f>
        <v>247</v>
      </c>
      <c r="V83" s="11">
        <f t="shared" si="7"/>
        <v>241</v>
      </c>
      <c r="W83" s="11">
        <f t="shared" si="8"/>
        <v>31</v>
      </c>
      <c r="X83" s="11">
        <f t="shared" si="9"/>
        <v>-25</v>
      </c>
      <c r="Y83" s="11" t="e">
        <f>VLOOKUP($G83, SeanRanks!$A$2:$K$303, 10, FALSE)-V83</f>
        <v>#VALUE!</v>
      </c>
      <c r="Z83" s="25" t="str">
        <f>IF(VLOOKUP($G83, SeanRanks!$A$2:$H$303, 7, FALSE)=0, "", VLOOKUP($G83, SeanRanks!$A$2:$H$303, 7, FALSE))</f>
        <v/>
      </c>
    </row>
    <row r="84" spans="1:26" ht="14.25" hidden="1" customHeight="1" x14ac:dyDescent="0.25">
      <c r="A84" s="11"/>
      <c r="B84" s="11">
        <f t="shared" si="3"/>
        <v>13</v>
      </c>
      <c r="C84" s="11" t="s">
        <v>119</v>
      </c>
      <c r="D84" s="11">
        <v>6</v>
      </c>
      <c r="E84" s="11"/>
      <c r="F84" s="11">
        <f>VLOOKUP(G84, SeanRanks!$A$2:$E$302, 4, FALSE)</f>
        <v>0</v>
      </c>
      <c r="G84" s="11" t="s">
        <v>409</v>
      </c>
      <c r="H84" s="11" t="str">
        <f>VLOOKUP($G84, 'ADP Data'!$C$4:$Q$300, 2, FALSE)</f>
        <v>LAC</v>
      </c>
      <c r="I84" s="11">
        <f>VLOOKUP(G84, 'ADP Data'!$C$4:$R$498, 12, FALSE)</f>
        <v>113</v>
      </c>
      <c r="J84" s="26">
        <f>VLOOKUP($G84, SeanRanks!$A$2:$H$303, 5, FALSE)</f>
        <v>0</v>
      </c>
      <c r="K84" s="11" t="str">
        <f>IF(VLOOKUP($G84, SeanRanks!$A$2:$H$303, 6, FALSE)=0, "", VLOOKUP($G84, SeanRanks!$A$2:$H$303, 6, FALSE))</f>
        <v>WR5 - 2 - floor play not league winner</v>
      </c>
      <c r="L84" s="11">
        <f t="shared" si="4"/>
        <v>21</v>
      </c>
      <c r="M84" s="11">
        <f>VLOOKUP($G84, 'ADP Data'!$C$4:$Q$300, 9, FALSE)</f>
        <v>164</v>
      </c>
      <c r="N84" s="11">
        <f t="shared" si="5"/>
        <v>15</v>
      </c>
      <c r="O84" s="11">
        <f>VLOOKUP($G84, 'ADP Data'!$C$4:$Q$300, 3, FALSE)</f>
        <v>150</v>
      </c>
      <c r="P84" s="11">
        <f t="shared" si="6"/>
        <v>14</v>
      </c>
      <c r="Q84" s="11">
        <f>VLOOKUP($G84, 'ADP Data'!$C$4:$Q$300, 4, FALSE)</f>
        <v>118</v>
      </c>
      <c r="R84" s="11">
        <f>VLOOKUP($G84, 'ADP Data'!$C$4:$Q$300, 5, FALSE)</f>
        <v>136</v>
      </c>
      <c r="S84" s="11">
        <f>VLOOKUP($G84, 'ADP Data'!$C$4:$Q$300, 6, FALSE)</f>
        <v>134</v>
      </c>
      <c r="T84" s="11">
        <f>VLOOKUP($G84, 'ADP Data'!$C$4:$Q$300, 7, FALSE)</f>
        <v>122</v>
      </c>
      <c r="U84" s="11">
        <f>VLOOKUP($G84, 'ADP Data'!$C$4:$Q$300, 8, FALSE)</f>
        <v>222</v>
      </c>
      <c r="V84" s="11">
        <f t="shared" si="7"/>
        <v>149</v>
      </c>
      <c r="W84" s="11">
        <f t="shared" si="8"/>
        <v>19</v>
      </c>
      <c r="X84" s="11">
        <f t="shared" si="9"/>
        <v>-13</v>
      </c>
      <c r="Y84" s="11">
        <f>VLOOKUP($G84, SeanRanks!$A$2:$K$303, 10, FALSE)-V84</f>
        <v>-9</v>
      </c>
      <c r="Z84" s="25">
        <f>IF(VLOOKUP($G84, SeanRanks!$A$2:$H$303, 7, FALSE)=0, "", VLOOKUP($G84, SeanRanks!$A$2:$H$303, 7, FALSE))</f>
        <v>58</v>
      </c>
    </row>
    <row r="85" spans="1:26" ht="14.25" hidden="1" customHeight="1" x14ac:dyDescent="0.25">
      <c r="A85" s="11"/>
      <c r="B85" s="11">
        <f t="shared" si="3"/>
        <v>12</v>
      </c>
      <c r="C85" s="11" t="s">
        <v>119</v>
      </c>
      <c r="D85" s="11">
        <v>9</v>
      </c>
      <c r="E85" s="11"/>
      <c r="F85" s="11">
        <f>VLOOKUP(G85, SeanRanks!$A$2:$E$302, 4, FALSE)</f>
        <v>0</v>
      </c>
      <c r="G85" s="11" t="s">
        <v>340</v>
      </c>
      <c r="H85" s="11" t="str">
        <f>VLOOKUP($G85, 'ADP Data'!$C$4:$Q$300, 2, FALSE)</f>
        <v>DAL</v>
      </c>
      <c r="I85" s="11">
        <f>VLOOKUP(G85, 'ADP Data'!$C$4:$R$498, 12, FALSE)</f>
        <v>138</v>
      </c>
      <c r="J85" s="57" t="str">
        <f>VLOOKUP($G85, SeanRanks!$A$2:$H$303, 5, FALSE)</f>
        <v>Yes</v>
      </c>
      <c r="K85" s="11" t="str">
        <f>IF(VLOOKUP($G85, SeanRanks!$A$2:$H$303, 6, FALSE)=0, "", VLOOKUP($G85, SeanRanks!$A$2:$H$303, 6, FALSE))</f>
        <v>TE2 - 1 - Big Upside</v>
      </c>
      <c r="L85" s="11">
        <f t="shared" si="4"/>
        <v>18</v>
      </c>
      <c r="M85" s="11">
        <f>VLOOKUP($G85, 'ADP Data'!$C$4:$Q$300, 9, FALSE)</f>
        <v>137</v>
      </c>
      <c r="N85" s="11">
        <f t="shared" si="5"/>
        <v>0</v>
      </c>
      <c r="O85" s="11">
        <f>VLOOKUP($G85, 'ADP Data'!$C$4:$Q$300, 3, FALSE)</f>
        <v>139</v>
      </c>
      <c r="P85" s="11">
        <f t="shared" si="6"/>
        <v>-2</v>
      </c>
      <c r="Q85" s="11">
        <f>VLOOKUP($G85, 'ADP Data'!$C$4:$Q$300, 4, FALSE)</f>
        <v>137</v>
      </c>
      <c r="R85" s="11">
        <f>VLOOKUP($G85, 'ADP Data'!$C$4:$Q$300, 5, FALSE)</f>
        <v>163</v>
      </c>
      <c r="S85" s="11">
        <f>VLOOKUP($G85, 'ADP Data'!$C$4:$Q$300, 6, FALSE)</f>
        <v>100</v>
      </c>
      <c r="T85" s="11">
        <f>VLOOKUP($G85, 'ADP Data'!$C$4:$Q$300, 7, FALSE)</f>
        <v>130</v>
      </c>
      <c r="U85" s="11">
        <f>VLOOKUP($G85, 'ADP Data'!$C$4:$Q$300, 8, FALSE)</f>
        <v>159</v>
      </c>
      <c r="V85" s="11">
        <f t="shared" si="7"/>
        <v>137</v>
      </c>
      <c r="W85" s="11">
        <f t="shared" si="8"/>
        <v>18</v>
      </c>
      <c r="X85" s="11">
        <f t="shared" si="9"/>
        <v>-9</v>
      </c>
      <c r="Y85" s="11">
        <f>VLOOKUP($G85, SeanRanks!$A$2:$K$303, 10, FALSE)-V85</f>
        <v>-22</v>
      </c>
      <c r="Z85" s="25">
        <f>IF(VLOOKUP($G85, SeanRanks!$A$2:$H$303, 7, FALSE)=0, "", VLOOKUP($G85, SeanRanks!$A$2:$H$303, 7, FALSE))</f>
        <v>14</v>
      </c>
    </row>
    <row r="86" spans="1:26" ht="14.25" hidden="1" customHeight="1" x14ac:dyDescent="0.25">
      <c r="A86" s="11" t="s">
        <v>148</v>
      </c>
      <c r="B86" s="11" t="e">
        <f t="shared" si="3"/>
        <v>#N/A</v>
      </c>
      <c r="C86" s="11" t="s">
        <v>119</v>
      </c>
      <c r="D86" s="11">
        <v>6</v>
      </c>
      <c r="E86" s="11"/>
      <c r="F86" s="11">
        <f>VLOOKUP(G86, SeanRanks!$A$2:$E$302, 4, FALSE)</f>
        <v>0</v>
      </c>
      <c r="G86" s="11" t="s">
        <v>897</v>
      </c>
      <c r="H86" s="11" t="e">
        <f>VLOOKUP($G86, 'ADP Data'!$C$4:$Q$300, 2, FALSE)</f>
        <v>#N/A</v>
      </c>
      <c r="I86" s="11" t="e">
        <f>VLOOKUP(G86, 'ADP Data'!$C$4:$R$498, 12, FALSE)</f>
        <v>#N/A</v>
      </c>
      <c r="J86" s="26">
        <f>VLOOKUP($G86, SeanRanks!$A$2:$H$303, 5, FALSE)</f>
        <v>0</v>
      </c>
      <c r="K86" s="11" t="str">
        <f>IF(VLOOKUP($G86, SeanRanks!$A$2:$H$303, 6, FALSE)=0, "", VLOOKUP($G86, SeanRanks!$A$2:$H$303, 6, FALSE))</f>
        <v/>
      </c>
      <c r="L86" s="11">
        <f t="shared" si="4"/>
        <v>16</v>
      </c>
      <c r="M86" s="11" t="e">
        <f>VLOOKUP($G86, 'ADP Data'!$C$4:$Q$300, 9, FALSE)</f>
        <v>#N/A</v>
      </c>
      <c r="N86" s="11" t="e">
        <f t="shared" si="5"/>
        <v>#N/A</v>
      </c>
      <c r="O86" s="11" t="e">
        <f>VLOOKUP($G86, 'ADP Data'!$C$4:$Q$300, 3, FALSE)</f>
        <v>#N/A</v>
      </c>
      <c r="P86" s="11" t="e">
        <f t="shared" si="6"/>
        <v>#N/A</v>
      </c>
      <c r="Q86" s="11" t="e">
        <f>VLOOKUP($G86, 'ADP Data'!$C$4:$Q$300, 4, FALSE)</f>
        <v>#N/A</v>
      </c>
      <c r="R86" s="11" t="e">
        <f>VLOOKUP($G86, 'ADP Data'!$C$4:$Q$300, 5, FALSE)</f>
        <v>#N/A</v>
      </c>
      <c r="S86" s="11" t="e">
        <f>VLOOKUP($G86, 'ADP Data'!$C$4:$Q$300, 6, FALSE)</f>
        <v>#N/A</v>
      </c>
      <c r="T86" s="11" t="e">
        <f>VLOOKUP($G86, 'ADP Data'!$C$4:$Q$300, 7, FALSE)</f>
        <v>#N/A</v>
      </c>
      <c r="U86" s="11" t="e">
        <f>VLOOKUP($G86, 'ADP Data'!$C$4:$Q$300, 8, FALSE)</f>
        <v>#N/A</v>
      </c>
      <c r="V86" s="11" t="e">
        <f t="shared" si="7"/>
        <v>#N/A</v>
      </c>
      <c r="W86" s="11">
        <f t="shared" si="8"/>
        <v>16</v>
      </c>
      <c r="X86" s="11">
        <f t="shared" si="9"/>
        <v>-10</v>
      </c>
      <c r="Y86" s="11" t="e">
        <f>VLOOKUP($G86, SeanRanks!$A$2:$K$303, 10, FALSE)-V86</f>
        <v>#N/A</v>
      </c>
      <c r="Z86" s="25" t="str">
        <f>IF(VLOOKUP($G86, SeanRanks!$A$2:$H$303, 7, FALSE)=0, "", VLOOKUP($G86, SeanRanks!$A$2:$H$303, 7, FALSE))</f>
        <v/>
      </c>
    </row>
    <row r="87" spans="1:26" ht="14.25" hidden="1" customHeight="1" x14ac:dyDescent="0.25">
      <c r="A87" s="11"/>
      <c r="B87" s="11">
        <f t="shared" si="3"/>
        <v>11</v>
      </c>
      <c r="C87" s="11" t="s">
        <v>119</v>
      </c>
      <c r="D87" s="11">
        <v>6</v>
      </c>
      <c r="E87" s="23"/>
      <c r="F87" s="11">
        <f>VLOOKUP(G87, SeanRanks!$A$2:$E$302, 4, FALSE)</f>
        <v>0</v>
      </c>
      <c r="G87" s="11" t="s">
        <v>296</v>
      </c>
      <c r="H87" s="11" t="str">
        <f>VLOOKUP($G87, 'ADP Data'!$C$4:$Q$300, 2, FALSE)</f>
        <v>GB</v>
      </c>
      <c r="I87" s="11">
        <f>VLOOKUP(G87, 'ADP Data'!$C$4:$R$498, 12, FALSE)</f>
        <v>107</v>
      </c>
      <c r="J87" s="45">
        <f>VLOOKUP($G87, SeanRanks!$A$2:$H$303, 5, FALSE)</f>
        <v>0</v>
      </c>
      <c r="K87" s="11" t="str">
        <f>IF(VLOOKUP($G87, SeanRanks!$A$2:$H$303, 6, FALSE)=0, "", VLOOKUP($G87, SeanRanks!$A$2:$H$303, 6, FALSE))</f>
        <v>WR4 - 2 - unclear path to WR2</v>
      </c>
      <c r="L87" s="11">
        <f t="shared" si="4"/>
        <v>13</v>
      </c>
      <c r="M87" s="11">
        <f>VLOOKUP($G87, 'ADP Data'!$C$4:$Q$300, 9, FALSE)</f>
        <v>99</v>
      </c>
      <c r="N87" s="11">
        <f t="shared" si="5"/>
        <v>-24</v>
      </c>
      <c r="O87" s="11">
        <f>VLOOKUP($G87, 'ADP Data'!$C$4:$Q$300, 3, FALSE)</f>
        <v>134</v>
      </c>
      <c r="P87" s="11">
        <f t="shared" si="6"/>
        <v>-35</v>
      </c>
      <c r="Q87" s="11">
        <f>VLOOKUP($G87, 'ADP Data'!$C$4:$Q$300, 4, FALSE)</f>
        <v>128</v>
      </c>
      <c r="R87" s="11">
        <f>VLOOKUP($G87, 'ADP Data'!$C$4:$Q$300, 5, FALSE)</f>
        <v>145</v>
      </c>
      <c r="S87" s="11">
        <f>VLOOKUP($G87, 'ADP Data'!$C$4:$Q$300, 6, FALSE)</f>
        <v>116</v>
      </c>
      <c r="T87" s="11">
        <f>VLOOKUP($G87, 'ADP Data'!$C$4:$Q$300, 7, FALSE)</f>
        <v>105</v>
      </c>
      <c r="U87" s="11">
        <f>VLOOKUP($G87, 'ADP Data'!$C$4:$Q$300, 8, FALSE)</f>
        <v>134</v>
      </c>
      <c r="V87" s="11">
        <f t="shared" si="7"/>
        <v>123</v>
      </c>
      <c r="W87" s="11">
        <f t="shared" si="8"/>
        <v>16</v>
      </c>
      <c r="X87" s="11">
        <f t="shared" si="9"/>
        <v>-10</v>
      </c>
      <c r="Y87" s="11">
        <f>VLOOKUP($G87, SeanRanks!$A$2:$K$303, 10, FALSE)-V87</f>
        <v>-13</v>
      </c>
      <c r="Z87" s="25">
        <f>IF(VLOOKUP($G87, SeanRanks!$A$2:$H$303, 7, FALSE)=0, "", VLOOKUP($G87, SeanRanks!$A$2:$H$303, 7, FALSE))</f>
        <v>43</v>
      </c>
    </row>
    <row r="88" spans="1:26" ht="14.25" hidden="1" customHeight="1" x14ac:dyDescent="0.25">
      <c r="A88" s="11"/>
      <c r="B88" s="11">
        <f t="shared" si="3"/>
        <v>6</v>
      </c>
      <c r="C88" s="11" t="s">
        <v>129</v>
      </c>
      <c r="D88" s="11">
        <v>6</v>
      </c>
      <c r="E88" s="11"/>
      <c r="F88" s="11">
        <f>VLOOKUP(G88, SeanRanks!$A$2:$E$302, 4, FALSE)</f>
        <v>0</v>
      </c>
      <c r="G88" s="11" t="s">
        <v>252</v>
      </c>
      <c r="H88" s="11" t="str">
        <f>VLOOKUP($G88, 'ADP Data'!$C$4:$Q$300, 2, FALSE)</f>
        <v>TEN</v>
      </c>
      <c r="I88" s="11">
        <f>VLOOKUP(G88, 'ADP Data'!$C$4:$R$498, 12, FALSE)</f>
        <v>62</v>
      </c>
      <c r="J88" s="58">
        <f>VLOOKUP($G88, SeanRanks!$A$2:$H$303, 5, FALSE)</f>
        <v>0</v>
      </c>
      <c r="K88" s="11" t="str">
        <f>IF(VLOOKUP($G88, SeanRanks!$A$2:$H$303, 6, FALSE)=0, "", VLOOKUP($G88, SeanRanks!$A$2:$H$303, 6, FALSE))</f>
        <v>RB2 - 2 - Path to spikes</v>
      </c>
      <c r="L88" s="11">
        <f t="shared" si="4"/>
        <v>9</v>
      </c>
      <c r="M88" s="11">
        <f>VLOOKUP($G88, 'ADP Data'!$C$4:$Q$300, 9, FALSE)</f>
        <v>69</v>
      </c>
      <c r="N88" s="11">
        <f t="shared" si="5"/>
        <v>1</v>
      </c>
      <c r="O88" s="11">
        <f>VLOOKUP($G88, 'ADP Data'!$C$4:$Q$300, 3, FALSE)</f>
        <v>59</v>
      </c>
      <c r="P88" s="11">
        <f t="shared" si="6"/>
        <v>10</v>
      </c>
      <c r="Q88" s="11">
        <f>VLOOKUP($G88, 'ADP Data'!$C$4:$Q$300, 4, FALSE)</f>
        <v>69</v>
      </c>
      <c r="R88" s="11">
        <f>VLOOKUP($G88, 'ADP Data'!$C$4:$Q$300, 5, FALSE)</f>
        <v>79</v>
      </c>
      <c r="S88" s="11">
        <f>VLOOKUP($G88, 'ADP Data'!$C$4:$Q$300, 6, FALSE)</f>
        <v>58</v>
      </c>
      <c r="T88" s="11">
        <f>VLOOKUP($G88, 'ADP Data'!$C$4:$Q$300, 7, FALSE)</f>
        <v>69</v>
      </c>
      <c r="U88" s="11">
        <f>VLOOKUP($G88, 'ADP Data'!$C$4:$Q$300, 8, FALSE)</f>
        <v>78</v>
      </c>
      <c r="V88" s="11">
        <f t="shared" si="7"/>
        <v>68</v>
      </c>
      <c r="W88" s="11">
        <f t="shared" si="8"/>
        <v>9</v>
      </c>
      <c r="X88" s="11">
        <f t="shared" si="9"/>
        <v>-3</v>
      </c>
      <c r="Y88" s="11">
        <f>VLOOKUP($G88, SeanRanks!$A$2:$K$303, 10, FALSE)-V88</f>
        <v>-14</v>
      </c>
      <c r="Z88" s="25">
        <f>IF(VLOOKUP($G88, SeanRanks!$A$2:$H$303, 7, FALSE)=0, "", VLOOKUP($G88, SeanRanks!$A$2:$H$303, 7, FALSE))</f>
        <v>24</v>
      </c>
    </row>
    <row r="89" spans="1:26" ht="14.25" hidden="1" customHeight="1" x14ac:dyDescent="0.25">
      <c r="A89" s="11"/>
      <c r="B89" s="11">
        <f t="shared" si="3"/>
        <v>5</v>
      </c>
      <c r="C89" s="11" t="s">
        <v>119</v>
      </c>
      <c r="D89" s="11">
        <v>7</v>
      </c>
      <c r="E89" s="11"/>
      <c r="F89" s="11">
        <f>VLOOKUP(G89, SeanRanks!$A$2:$E$302, 4, FALSE)</f>
        <v>0</v>
      </c>
      <c r="G89" s="11" t="s">
        <v>344</v>
      </c>
      <c r="H89" s="11" t="str">
        <f>VLOOKUP($G89, 'ADP Data'!$C$4:$Q$300, 2, FALSE)</f>
        <v>KC</v>
      </c>
      <c r="I89" s="11">
        <f>VLOOKUP(G89, 'ADP Data'!$C$4:$R$498, 12, FALSE)</f>
        <v>43</v>
      </c>
      <c r="J89" s="28">
        <f>VLOOKUP($G89, SeanRanks!$A$2:$H$303, 5, FALSE)</f>
        <v>0</v>
      </c>
      <c r="K89" s="11" t="str">
        <f>IF(VLOOKUP($G89, SeanRanks!$A$2:$H$303, 6, FALSE)=0, "", VLOOKUP($G89, SeanRanks!$A$2:$H$303, 6, FALSE))</f>
        <v>WR2 - 2 - Upside with risk</v>
      </c>
      <c r="L89" s="11">
        <f t="shared" si="4"/>
        <v>8</v>
      </c>
      <c r="M89" s="11">
        <f>VLOOKUP($G89, 'ADP Data'!$C$4:$Q$300, 9, FALSE)</f>
        <v>58</v>
      </c>
      <c r="N89" s="11">
        <f t="shared" si="5"/>
        <v>5</v>
      </c>
      <c r="O89" s="11">
        <f>VLOOKUP($G89, 'ADP Data'!$C$4:$Q$300, 3, FALSE)</f>
        <v>50</v>
      </c>
      <c r="P89" s="11">
        <f t="shared" si="6"/>
        <v>8</v>
      </c>
      <c r="Q89" s="11">
        <f>VLOOKUP($G89, 'ADP Data'!$C$4:$Q$300, 4, FALSE)</f>
        <v>50</v>
      </c>
      <c r="R89" s="11">
        <f>VLOOKUP($G89, 'ADP Data'!$C$4:$Q$300, 5, FALSE)</f>
        <v>57</v>
      </c>
      <c r="S89" s="11">
        <f>VLOOKUP($G89, 'ADP Data'!$C$4:$Q$300, 6, FALSE)</f>
        <v>48</v>
      </c>
      <c r="T89" s="11">
        <f>VLOOKUP($G89, 'ADP Data'!$C$4:$Q$300, 7, FALSE)</f>
        <v>45</v>
      </c>
      <c r="U89" s="11">
        <f>VLOOKUP($G89, 'ADP Data'!$C$4:$Q$300, 8, FALSE)</f>
        <v>68</v>
      </c>
      <c r="V89" s="11">
        <f t="shared" si="7"/>
        <v>53</v>
      </c>
      <c r="W89" s="11">
        <f t="shared" si="8"/>
        <v>7</v>
      </c>
      <c r="X89" s="11">
        <f t="shared" si="9"/>
        <v>0</v>
      </c>
      <c r="Y89" s="11">
        <f>VLOOKUP($G89, SeanRanks!$A$2:$K$303, 10, FALSE)-V89</f>
        <v>-2</v>
      </c>
      <c r="Z89" s="25">
        <f>IF(VLOOKUP($G89, SeanRanks!$A$2:$H$303, 7, FALSE)=0, "", VLOOKUP($G89, SeanRanks!$A$2:$H$303, 7, FALSE))</f>
        <v>22</v>
      </c>
    </row>
    <row r="90" spans="1:26" ht="14.25" hidden="1" customHeight="1" x14ac:dyDescent="0.25">
      <c r="A90" s="11"/>
      <c r="B90" s="11">
        <f t="shared" si="3"/>
        <v>8</v>
      </c>
      <c r="C90" s="11" t="s">
        <v>119</v>
      </c>
      <c r="D90" s="11">
        <v>9</v>
      </c>
      <c r="E90" s="11"/>
      <c r="F90" s="11">
        <f>VLOOKUP(G90, SeanRanks!$A$2:$E$302, 4, FALSE)</f>
        <v>0</v>
      </c>
      <c r="G90" s="11" t="s">
        <v>555</v>
      </c>
      <c r="H90" s="11" t="str">
        <f>VLOOKUP($G90, 'ADP Data'!$C$4:$Q$300, 2, FALSE)</f>
        <v>CLE</v>
      </c>
      <c r="I90" s="11">
        <f>VLOOKUP(G90, 'ADP Data'!$C$4:$R$498, 12, FALSE)</f>
        <v>105</v>
      </c>
      <c r="J90" s="57">
        <f>VLOOKUP($G90, SeanRanks!$A$2:$H$303, 5, FALSE)</f>
        <v>0</v>
      </c>
      <c r="K90" s="11" t="str">
        <f>IF(VLOOKUP($G90, SeanRanks!$A$2:$H$303, 6, FALSE)=0, "", VLOOKUP($G90, SeanRanks!$A$2:$H$303, 6, FALSE))</f>
        <v>TE1 - 3 - Weekly Start</v>
      </c>
      <c r="L90" s="11">
        <f t="shared" si="4"/>
        <v>12</v>
      </c>
      <c r="M90" s="11">
        <f>VLOOKUP($G90, 'ADP Data'!$C$4:$Q$300, 9, FALSE)</f>
        <v>92</v>
      </c>
      <c r="N90" s="11">
        <f t="shared" si="5"/>
        <v>6</v>
      </c>
      <c r="O90" s="11">
        <f>VLOOKUP($G90, 'ADP Data'!$C$4:$Q$300, 3, FALSE)</f>
        <v>74</v>
      </c>
      <c r="P90" s="11">
        <f t="shared" si="6"/>
        <v>18</v>
      </c>
      <c r="Q90" s="11">
        <f>VLOOKUP($G90, 'ADP Data'!$C$4:$Q$300, 4, FALSE)</f>
        <v>72</v>
      </c>
      <c r="R90" s="11">
        <f>VLOOKUP($G90, 'ADP Data'!$C$4:$Q$300, 5, FALSE)</f>
        <v>108</v>
      </c>
      <c r="S90" s="11">
        <f>VLOOKUP($G90, 'ADP Data'!$C$4:$Q$300, 6, FALSE)</f>
        <v>76</v>
      </c>
      <c r="T90" s="11">
        <f>VLOOKUP($G90, 'ADP Data'!$C$4:$Q$300, 7, FALSE)</f>
        <v>101</v>
      </c>
      <c r="U90" s="11">
        <f>VLOOKUP($G90, 'ADP Data'!$C$4:$Q$300, 8, FALSE)</f>
        <v>85</v>
      </c>
      <c r="V90" s="11">
        <f t="shared" si="7"/>
        <v>86</v>
      </c>
      <c r="W90" s="11">
        <f t="shared" si="8"/>
        <v>11</v>
      </c>
      <c r="X90" s="11">
        <f t="shared" si="9"/>
        <v>-2</v>
      </c>
      <c r="Y90" s="11">
        <f>VLOOKUP($G90, SeanRanks!$A$2:$K$303, 10, FALSE)-V90</f>
        <v>11</v>
      </c>
      <c r="Z90" s="25">
        <f>IF(VLOOKUP($G90, SeanRanks!$A$2:$H$303, 7, FALSE)=0, "", VLOOKUP($G90, SeanRanks!$A$2:$H$303, 7, FALSE))</f>
        <v>10</v>
      </c>
    </row>
    <row r="91" spans="1:26" ht="14.25" hidden="1" customHeight="1" x14ac:dyDescent="0.25">
      <c r="A91" s="11"/>
      <c r="B91" s="11">
        <f t="shared" si="3"/>
        <v>10</v>
      </c>
      <c r="C91" s="11" t="s">
        <v>119</v>
      </c>
      <c r="D91" s="11">
        <v>7</v>
      </c>
      <c r="E91" s="11"/>
      <c r="F91" s="11">
        <f>VLOOKUP(G91, SeanRanks!$A$2:$E$302, 4, FALSE)</f>
        <v>0</v>
      </c>
      <c r="G91" s="11" t="s">
        <v>141</v>
      </c>
      <c r="H91" s="11" t="str">
        <f>VLOOKUP($G91, 'ADP Data'!$C$4:$Q$300, 2, FALSE)</f>
        <v>DAL</v>
      </c>
      <c r="I91" s="11">
        <f>VLOOKUP(G91, 'ADP Data'!$C$4:$R$498, 12, FALSE)</f>
        <v>122</v>
      </c>
      <c r="J91" s="59" t="str">
        <f>VLOOKUP($G91, SeanRanks!$A$2:$H$303, 5, FALSE)</f>
        <v>No</v>
      </c>
      <c r="K91" s="11" t="str">
        <f>IF(VLOOKUP($G91, SeanRanks!$A$2:$H$303, 6, FALSE)=0, "", VLOOKUP($G91, SeanRanks!$A$2:$H$303, 6, FALSE))</f>
        <v>RB4 - 2 - low ceiling</v>
      </c>
      <c r="L91" s="11">
        <f t="shared" si="4"/>
        <v>13</v>
      </c>
      <c r="M91" s="11">
        <f>VLOOKUP($G91, 'ADP Data'!$C$4:$Q$300, 9, FALSE)</f>
        <v>100</v>
      </c>
      <c r="N91" s="11">
        <f t="shared" si="5"/>
        <v>-12</v>
      </c>
      <c r="O91" s="11">
        <f>VLOOKUP($G91, 'ADP Data'!$C$4:$Q$300, 3, FALSE)</f>
        <v>108</v>
      </c>
      <c r="P91" s="11">
        <f t="shared" si="6"/>
        <v>-8</v>
      </c>
      <c r="Q91" s="11">
        <f>VLOOKUP($G91, 'ADP Data'!$C$4:$Q$300, 4, FALSE)</f>
        <v>103</v>
      </c>
      <c r="R91" s="11">
        <f>VLOOKUP($G91, 'ADP Data'!$C$4:$Q$300, 5, FALSE)</f>
        <v>117</v>
      </c>
      <c r="S91" s="11">
        <f>VLOOKUP($G91, 'ADP Data'!$C$4:$Q$300, 6, FALSE)</f>
        <v>106</v>
      </c>
      <c r="T91" s="11">
        <f>VLOOKUP($G91, 'ADP Data'!$C$4:$Q$300, 7, FALSE)</f>
        <v>106</v>
      </c>
      <c r="U91" s="11">
        <f>VLOOKUP($G91, 'ADP Data'!$C$4:$Q$300, 8, FALSE)</f>
        <v>150</v>
      </c>
      <c r="V91" s="11">
        <f t="shared" si="7"/>
        <v>112</v>
      </c>
      <c r="W91" s="11">
        <f t="shared" si="8"/>
        <v>15</v>
      </c>
      <c r="X91" s="11">
        <f t="shared" si="9"/>
        <v>-8</v>
      </c>
      <c r="Y91" s="11">
        <f>VLOOKUP($G91, SeanRanks!$A$2:$K$303, 10, FALSE)-V91</f>
        <v>0</v>
      </c>
      <c r="Z91" s="25">
        <f>IF(VLOOKUP($G91, SeanRanks!$A$2:$H$303, 7, FALSE)=0, "", VLOOKUP($G91, SeanRanks!$A$2:$H$303, 7, FALSE))</f>
        <v>52</v>
      </c>
    </row>
    <row r="92" spans="1:26" ht="14.25" hidden="1" customHeight="1" x14ac:dyDescent="0.25">
      <c r="A92" s="11" t="s">
        <v>148</v>
      </c>
      <c r="B92" s="11">
        <f t="shared" si="3"/>
        <v>8</v>
      </c>
      <c r="C92" s="11" t="s">
        <v>119</v>
      </c>
      <c r="D92" s="11">
        <v>6</v>
      </c>
      <c r="E92" s="11"/>
      <c r="F92" s="11">
        <f>VLOOKUP(G92, SeanRanks!$A$2:$E$302, 4, FALSE)</f>
        <v>0</v>
      </c>
      <c r="G92" s="11" t="s">
        <v>231</v>
      </c>
      <c r="H92" s="11" t="str">
        <f>VLOOKUP($G92, 'ADP Data'!$C$4:$Q$300, 2, FALSE)</f>
        <v>PIT</v>
      </c>
      <c r="I92" s="11">
        <f>VLOOKUP(G92, 'ADP Data'!$C$4:$R$498, 12, FALSE)</f>
        <v>86</v>
      </c>
      <c r="J92" s="44">
        <f>VLOOKUP($G92, SeanRanks!$A$2:$H$303, 5, FALSE)</f>
        <v>0</v>
      </c>
      <c r="K92" s="11" t="str">
        <f>IF(VLOOKUP($G92, SeanRanks!$A$2:$H$303, 6, FALSE)=0, "", VLOOKUP($G92, SeanRanks!$A$2:$H$303, 6, FALSE))</f>
        <v>RB3 - 2 - low ceiling</v>
      </c>
      <c r="L92" s="11">
        <f t="shared" si="4"/>
        <v>11</v>
      </c>
      <c r="M92" s="11">
        <f>VLOOKUP($G92, 'ADP Data'!$C$4:$Q$300, 9, FALSE)</f>
        <v>86</v>
      </c>
      <c r="N92" s="11">
        <f t="shared" si="5"/>
        <v>-4</v>
      </c>
      <c r="O92" s="11">
        <f>VLOOKUP($G92, 'ADP Data'!$C$4:$Q$300, 3, FALSE)</f>
        <v>88</v>
      </c>
      <c r="P92" s="11">
        <f t="shared" si="6"/>
        <v>-2</v>
      </c>
      <c r="Q92" s="11">
        <f>VLOOKUP($G92, 'ADP Data'!$C$4:$Q$300, 4, FALSE)</f>
        <v>85</v>
      </c>
      <c r="R92" s="11">
        <f>VLOOKUP($G92, 'ADP Data'!$C$4:$Q$300, 5, FALSE)</f>
        <v>96</v>
      </c>
      <c r="S92" s="11">
        <f>VLOOKUP($G92, 'ADP Data'!$C$4:$Q$300, 6, FALSE)</f>
        <v>84</v>
      </c>
      <c r="T92" s="11">
        <f>VLOOKUP($G92, 'ADP Data'!$C$4:$Q$300, 7, FALSE)</f>
        <v>86</v>
      </c>
      <c r="U92" s="11">
        <f>VLOOKUP($G92, 'ADP Data'!$C$4:$Q$300, 8, FALSE)</f>
        <v>107</v>
      </c>
      <c r="V92" s="11">
        <f t="shared" si="7"/>
        <v>90</v>
      </c>
      <c r="W92" s="11">
        <f t="shared" si="8"/>
        <v>12</v>
      </c>
      <c r="X92" s="11">
        <f t="shared" si="9"/>
        <v>-6</v>
      </c>
      <c r="Y92" s="11">
        <f>VLOOKUP($G92, SeanRanks!$A$2:$K$303, 10, FALSE)-V92</f>
        <v>-15</v>
      </c>
      <c r="Z92" s="25">
        <f>IF(VLOOKUP($G92, SeanRanks!$A$2:$H$303, 7, FALSE)=0, "", VLOOKUP($G92, SeanRanks!$A$2:$H$303, 7, FALSE))</f>
        <v>35</v>
      </c>
    </row>
    <row r="93" spans="1:26" ht="14.25" hidden="1" customHeight="1" x14ac:dyDescent="0.25">
      <c r="A93" s="11"/>
      <c r="B93" s="11">
        <f t="shared" si="3"/>
        <v>7</v>
      </c>
      <c r="C93" s="11" t="s">
        <v>119</v>
      </c>
      <c r="D93" s="11">
        <v>9</v>
      </c>
      <c r="E93" s="11"/>
      <c r="F93" s="11">
        <f>VLOOKUP(G93, SeanRanks!$A$2:$E$302, 4, FALSE)</f>
        <v>0</v>
      </c>
      <c r="G93" s="11" t="s">
        <v>202</v>
      </c>
      <c r="H93" s="11" t="str">
        <f>VLOOKUP($G93, 'ADP Data'!$C$4:$Q$300, 2, FALSE)</f>
        <v>CHI</v>
      </c>
      <c r="I93" s="11">
        <f>VLOOKUP(G93, 'ADP Data'!$C$4:$R$498, 12, FALSE)</f>
        <v>66</v>
      </c>
      <c r="J93" s="28">
        <f>VLOOKUP($G93, SeanRanks!$A$2:$H$303, 5, FALSE)</f>
        <v>0</v>
      </c>
      <c r="K93" s="11" t="str">
        <f>IF(VLOOKUP($G93, SeanRanks!$A$2:$H$303, 6, FALSE)=0, "", VLOOKUP($G93, SeanRanks!$A$2:$H$303, 6, FALSE))</f>
        <v>WR3 - 2 - mid, but path to big upside</v>
      </c>
      <c r="L93" s="11">
        <f t="shared" si="4"/>
        <v>11</v>
      </c>
      <c r="M93" s="11">
        <f>VLOOKUP($G93, 'ADP Data'!$C$4:$Q$300, 9, FALSE)</f>
        <v>80</v>
      </c>
      <c r="N93" s="11">
        <f t="shared" si="5"/>
        <v>0</v>
      </c>
      <c r="O93" s="11">
        <f>VLOOKUP($G93, 'ADP Data'!$C$4:$Q$300, 3, FALSE)</f>
        <v>99</v>
      </c>
      <c r="P93" s="11">
        <f t="shared" si="6"/>
        <v>-19</v>
      </c>
      <c r="Q93" s="11">
        <f>VLOOKUP($G93, 'ADP Data'!$C$4:$Q$300, 4, FALSE)</f>
        <v>76</v>
      </c>
      <c r="R93" s="11">
        <f>VLOOKUP($G93, 'ADP Data'!$C$4:$Q$300, 5, FALSE)</f>
        <v>75</v>
      </c>
      <c r="S93" s="11">
        <f>VLOOKUP($G93, 'ADP Data'!$C$4:$Q$300, 6, FALSE)</f>
        <v>77</v>
      </c>
      <c r="T93" s="11">
        <f>VLOOKUP($G93, 'ADP Data'!$C$4:$Q$300, 7, FALSE)</f>
        <v>64</v>
      </c>
      <c r="U93" s="11">
        <f>VLOOKUP($G93, 'ADP Data'!$C$4:$Q$300, 8, FALSE)</f>
        <v>89</v>
      </c>
      <c r="V93" s="11">
        <f t="shared" si="7"/>
        <v>80</v>
      </c>
      <c r="W93" s="11">
        <f t="shared" si="8"/>
        <v>11</v>
      </c>
      <c r="X93" s="11">
        <f t="shared" si="9"/>
        <v>-2</v>
      </c>
      <c r="Y93" s="11">
        <f>VLOOKUP($G93, SeanRanks!$A$2:$K$303, 10, FALSE)-V93</f>
        <v>-17</v>
      </c>
      <c r="Z93" s="25">
        <f>IF(VLOOKUP($G93, SeanRanks!$A$2:$H$303, 7, FALSE)=0, "", VLOOKUP($G93, SeanRanks!$A$2:$H$303, 7, FALSE))</f>
        <v>33</v>
      </c>
    </row>
    <row r="94" spans="1:26" ht="14.25" hidden="1" customHeight="1" x14ac:dyDescent="0.25">
      <c r="A94" s="11"/>
      <c r="B94" s="11">
        <f t="shared" si="3"/>
        <v>3</v>
      </c>
      <c r="C94" s="11" t="s">
        <v>119</v>
      </c>
      <c r="D94" s="11">
        <v>6</v>
      </c>
      <c r="E94" s="11"/>
      <c r="F94" s="11">
        <f>VLOOKUP(G94, SeanRanks!$A$2:$E$302, 4, FALSE)</f>
        <v>0</v>
      </c>
      <c r="G94" s="11" t="s">
        <v>51</v>
      </c>
      <c r="H94" s="11" t="str">
        <f>VLOOKUP($G94, 'ADP Data'!$C$4:$Q$300, 2, FALSE)</f>
        <v>SEA</v>
      </c>
      <c r="I94" s="11">
        <f>VLOOKUP(G94, 'ADP Data'!$C$4:$R$498, 12, FALSE)</f>
        <v>29</v>
      </c>
      <c r="J94" s="28">
        <f>VLOOKUP($G94, SeanRanks!$A$2:$H$303, 5, FALSE)</f>
        <v>0</v>
      </c>
      <c r="K94" s="11" t="str">
        <f>IF(VLOOKUP($G94, SeanRanks!$A$2:$H$303, 6, FALSE)=0, "", VLOOKUP($G94, SeanRanks!$A$2:$H$303, 6, FALSE))</f>
        <v>WR2 - 1 - WR1 upside</v>
      </c>
      <c r="L94" s="11">
        <f t="shared" si="4"/>
        <v>4</v>
      </c>
      <c r="M94" s="11">
        <f>VLOOKUP($G94, 'ADP Data'!$C$4:$Q$300, 9, FALSE)</f>
        <v>29</v>
      </c>
      <c r="N94" s="11">
        <f t="shared" si="5"/>
        <v>-4</v>
      </c>
      <c r="O94" s="11">
        <f>VLOOKUP($G94, 'ADP Data'!$C$4:$Q$300, 3, FALSE)</f>
        <v>40</v>
      </c>
      <c r="P94" s="11">
        <f t="shared" si="6"/>
        <v>-11</v>
      </c>
      <c r="Q94" s="11">
        <f>VLOOKUP($G94, 'ADP Data'!$C$4:$Q$300, 4, FALSE)</f>
        <v>37</v>
      </c>
      <c r="R94" s="11">
        <f>VLOOKUP($G94, 'ADP Data'!$C$4:$Q$300, 5, FALSE)</f>
        <v>32</v>
      </c>
      <c r="S94" s="11">
        <f>VLOOKUP($G94, 'ADP Data'!$C$4:$Q$300, 6, FALSE)</f>
        <v>31</v>
      </c>
      <c r="T94" s="11">
        <f>VLOOKUP($G94, 'ADP Data'!$C$4:$Q$300, 7, FALSE)</f>
        <v>28</v>
      </c>
      <c r="U94" s="11">
        <f>VLOOKUP($G94, 'ADP Data'!$C$4:$Q$300, 8, FALSE)</f>
        <v>39</v>
      </c>
      <c r="V94" s="11">
        <f t="shared" si="7"/>
        <v>33</v>
      </c>
      <c r="W94" s="11">
        <f t="shared" si="8"/>
        <v>5</v>
      </c>
      <c r="X94" s="11">
        <f t="shared" si="9"/>
        <v>1</v>
      </c>
      <c r="Y94" s="11">
        <f>VLOOKUP($G94, SeanRanks!$A$2:$K$303, 10, FALSE)-V94</f>
        <v>0</v>
      </c>
      <c r="Z94" s="25">
        <f>IF(VLOOKUP($G94, SeanRanks!$A$2:$H$303, 7, FALSE)=0, "", VLOOKUP($G94, SeanRanks!$A$2:$H$303, 7, FALSE))</f>
        <v>13</v>
      </c>
    </row>
    <row r="95" spans="1:26" ht="14.25" hidden="1" customHeight="1" x14ac:dyDescent="0.25">
      <c r="A95" s="11"/>
      <c r="B95" s="11" t="e">
        <f t="shared" si="3"/>
        <v>#N/A</v>
      </c>
      <c r="C95" s="11" t="s">
        <v>119</v>
      </c>
      <c r="D95" s="11">
        <v>6</v>
      </c>
      <c r="E95" s="11"/>
      <c r="F95" s="11" t="e">
        <f>VLOOKUP(G95, SeanRanks!$A$2:$E$302, 4, FALSE)</f>
        <v>#N/A</v>
      </c>
      <c r="G95" s="11" t="s">
        <v>213</v>
      </c>
      <c r="H95" s="11" t="e">
        <f>VLOOKUP($G95, 'ADP Data'!$C$4:$Q$300, 2, FALSE)</f>
        <v>#N/A</v>
      </c>
      <c r="I95" s="11" t="e">
        <f>VLOOKUP(G95, 'ADP Data'!$C$4:$R$498, 12, FALSE)</f>
        <v>#N/A</v>
      </c>
      <c r="J95" s="28" t="e">
        <f>VLOOKUP($G95, SeanRanks!$A$2:$H$303, 5, FALSE)</f>
        <v>#N/A</v>
      </c>
      <c r="K95" s="11" t="e">
        <f>IF(VLOOKUP($G95, SeanRanks!$A$2:$H$303, 6, FALSE)=0, "", VLOOKUP($G95, SeanRanks!$A$2:$H$303, 6, FALSE))</f>
        <v>#N/A</v>
      </c>
      <c r="L95" s="11">
        <f t="shared" si="4"/>
        <v>16</v>
      </c>
      <c r="M95" s="11" t="e">
        <f>VLOOKUP($G95, 'ADP Data'!$C$4:$Q$300, 9, FALSE)</f>
        <v>#N/A</v>
      </c>
      <c r="N95" s="11" t="e">
        <f t="shared" si="5"/>
        <v>#N/A</v>
      </c>
      <c r="O95" s="11" t="e">
        <f>VLOOKUP($G95, 'ADP Data'!$C$4:$Q$300, 3, FALSE)</f>
        <v>#N/A</v>
      </c>
      <c r="P95" s="11" t="e">
        <f t="shared" si="6"/>
        <v>#N/A</v>
      </c>
      <c r="Q95" s="11" t="e">
        <f>VLOOKUP($G95, 'ADP Data'!$C$4:$Q$300, 4, FALSE)</f>
        <v>#N/A</v>
      </c>
      <c r="R95" s="11" t="e">
        <f>VLOOKUP($G95, 'ADP Data'!$C$4:$Q$300, 5, FALSE)</f>
        <v>#N/A</v>
      </c>
      <c r="S95" s="11" t="e">
        <f>VLOOKUP($G95, 'ADP Data'!$C$4:$Q$300, 6, FALSE)</f>
        <v>#N/A</v>
      </c>
      <c r="T95" s="11" t="e">
        <f>VLOOKUP($G95, 'ADP Data'!$C$4:$Q$300, 7, FALSE)</f>
        <v>#N/A</v>
      </c>
      <c r="U95" s="11" t="e">
        <f>VLOOKUP($G95, 'ADP Data'!$C$4:$Q$300, 8, FALSE)</f>
        <v>#N/A</v>
      </c>
      <c r="V95" s="11" t="e">
        <f t="shared" si="7"/>
        <v>#N/A</v>
      </c>
      <c r="W95" s="11">
        <f t="shared" si="8"/>
        <v>16</v>
      </c>
      <c r="X95" s="11">
        <f t="shared" si="9"/>
        <v>-10</v>
      </c>
      <c r="Y95" s="11" t="e">
        <f>VLOOKUP($G95, SeanRanks!$A$2:$K$303, 10, FALSE)-V95</f>
        <v>#N/A</v>
      </c>
      <c r="Z95" s="25" t="e">
        <f>IF(VLOOKUP($G95, SeanRanks!$A$2:$H$303, 7, FALSE)=0, "", VLOOKUP($G95, SeanRanks!$A$2:$H$303, 7, FALSE))</f>
        <v>#N/A</v>
      </c>
    </row>
    <row r="96" spans="1:26" ht="14.25" hidden="1" customHeight="1" x14ac:dyDescent="0.25">
      <c r="A96" s="11"/>
      <c r="B96" s="11">
        <f t="shared" si="3"/>
        <v>9</v>
      </c>
      <c r="C96" s="11" t="s">
        <v>148</v>
      </c>
      <c r="D96" s="11">
        <v>7</v>
      </c>
      <c r="E96" s="11"/>
      <c r="F96" s="11">
        <f>VLOOKUP(G96, SeanRanks!$A$2:$E$302, 4, FALSE)</f>
        <v>0</v>
      </c>
      <c r="G96" s="11" t="s">
        <v>308</v>
      </c>
      <c r="H96" s="11" t="str">
        <f>VLOOKUP($G96, 'ADP Data'!$C$4:$Q$300, 2, FALSE)</f>
        <v>SF</v>
      </c>
      <c r="I96" s="11">
        <f>VLOOKUP(G96, 'ADP Data'!$C$4:$R$498, 12, FALSE)</f>
        <v>106</v>
      </c>
      <c r="J96" s="60">
        <f>VLOOKUP($G96, SeanRanks!$A$2:$H$303, 5, FALSE)</f>
        <v>0</v>
      </c>
      <c r="K96" s="11" t="str">
        <f>IF(VLOOKUP($G96, SeanRanks!$A$2:$H$303, 6, FALSE)=0, "", VLOOKUP($G96, SeanRanks!$A$2:$H$303, 6, FALSE))</f>
        <v>QB1 - 4 - Weekly Start</v>
      </c>
      <c r="L96" s="11">
        <f t="shared" si="4"/>
        <v>15</v>
      </c>
      <c r="M96" s="11">
        <f>VLOOKUP($G96, 'ADP Data'!$C$4:$Q$300, 9, FALSE)</f>
        <v>112</v>
      </c>
      <c r="N96" s="11">
        <f t="shared" si="5"/>
        <v>10</v>
      </c>
      <c r="O96" s="11">
        <f>VLOOKUP($G96, 'ADP Data'!$C$4:$Q$300, 3, FALSE)</f>
        <v>89</v>
      </c>
      <c r="P96" s="11">
        <f t="shared" si="6"/>
        <v>23</v>
      </c>
      <c r="Q96" s="11">
        <f>VLOOKUP($G96, 'ADP Data'!$C$4:$Q$300, 4, FALSE)</f>
        <v>79</v>
      </c>
      <c r="R96" s="11">
        <f>VLOOKUP($G96, 'ADP Data'!$C$4:$Q$300, 5, FALSE)</f>
        <v>111</v>
      </c>
      <c r="S96" s="11">
        <f>VLOOKUP($G96, 'ADP Data'!$C$4:$Q$300, 6, FALSE)</f>
        <v>110</v>
      </c>
      <c r="T96" s="11">
        <f>VLOOKUP($G96, 'ADP Data'!$C$4:$Q$300, 7, FALSE)</f>
        <v>107</v>
      </c>
      <c r="U96" s="11">
        <f>VLOOKUP($G96, 'ADP Data'!$C$4:$Q$300, 8, FALSE)</f>
        <v>106</v>
      </c>
      <c r="V96" s="11">
        <f t="shared" si="7"/>
        <v>102</v>
      </c>
      <c r="W96" s="11">
        <f t="shared" si="8"/>
        <v>13</v>
      </c>
      <c r="X96" s="11">
        <f t="shared" si="9"/>
        <v>-6</v>
      </c>
      <c r="Y96" s="11">
        <f>VLOOKUP($G96, SeanRanks!$A$2:$K$303, 10, FALSE)-V96</f>
        <v>-16</v>
      </c>
      <c r="Z96" s="25">
        <f>IF(VLOOKUP($G96, SeanRanks!$A$2:$H$303, 7, FALSE)=0, "", VLOOKUP($G96, SeanRanks!$A$2:$H$303, 7, FALSE))</f>
        <v>12</v>
      </c>
    </row>
    <row r="97" spans="1:26" ht="14.25" hidden="1" customHeight="1" x14ac:dyDescent="0.25">
      <c r="A97" s="11"/>
      <c r="B97" s="11">
        <f t="shared" si="3"/>
        <v>3</v>
      </c>
      <c r="C97" s="11" t="s">
        <v>119</v>
      </c>
      <c r="D97" s="11">
        <v>7</v>
      </c>
      <c r="E97" s="11"/>
      <c r="F97" s="11">
        <f>VLOOKUP(G97, SeanRanks!$A$2:$E$302, 4, FALSE)</f>
        <v>0</v>
      </c>
      <c r="G97" s="11" t="s">
        <v>224</v>
      </c>
      <c r="H97" s="11" t="str">
        <f>VLOOKUP($G97, 'ADP Data'!$C$4:$Q$300, 2, FALSE)</f>
        <v>WAS</v>
      </c>
      <c r="I97" s="11">
        <f>VLOOKUP(G97, 'ADP Data'!$C$4:$R$498, 12, FALSE)</f>
        <v>36</v>
      </c>
      <c r="J97" s="60">
        <f>VLOOKUP($G97, SeanRanks!$A$2:$H$303, 5, FALSE)</f>
        <v>0</v>
      </c>
      <c r="K97" s="11" t="str">
        <f>IF(VLOOKUP($G97, SeanRanks!$A$2:$H$303, 6, FALSE)=0, "", VLOOKUP($G97, SeanRanks!$A$2:$H$303, 6, FALSE))</f>
        <v>QB1 - 2 - QB1 Upside</v>
      </c>
      <c r="L97" s="11">
        <f t="shared" si="4"/>
        <v>5</v>
      </c>
      <c r="M97" s="11">
        <f>VLOOKUP($G97, 'ADP Data'!$C$4:$Q$300, 9, FALSE)</f>
        <v>33</v>
      </c>
      <c r="N97" s="11">
        <f t="shared" si="5"/>
        <v>0</v>
      </c>
      <c r="O97" s="11">
        <f>VLOOKUP($G97, 'ADP Data'!$C$4:$Q$300, 3, FALSE)</f>
        <v>30</v>
      </c>
      <c r="P97" s="11">
        <f t="shared" si="6"/>
        <v>3</v>
      </c>
      <c r="Q97" s="11">
        <f>VLOOKUP($G97, 'ADP Data'!$C$4:$Q$300, 4, FALSE)</f>
        <v>27</v>
      </c>
      <c r="R97" s="11">
        <f>VLOOKUP($G97, 'ADP Data'!$C$4:$Q$300, 5, FALSE)</f>
        <v>42</v>
      </c>
      <c r="S97" s="11">
        <f>VLOOKUP($G97, 'ADP Data'!$C$4:$Q$300, 6, FALSE)</f>
        <v>35</v>
      </c>
      <c r="T97" s="11">
        <f>VLOOKUP($G97, 'ADP Data'!$C$4:$Q$300, 7, FALSE)</f>
        <v>35</v>
      </c>
      <c r="U97" s="11">
        <f>VLOOKUP($G97, 'ADP Data'!$C$4:$Q$300, 8, FALSE)</f>
        <v>29</v>
      </c>
      <c r="V97" s="11">
        <f t="shared" si="7"/>
        <v>33</v>
      </c>
      <c r="W97" s="11">
        <f t="shared" si="8"/>
        <v>5</v>
      </c>
      <c r="X97" s="11">
        <f t="shared" si="9"/>
        <v>2</v>
      </c>
      <c r="Y97" s="11">
        <f>VLOOKUP($G97, SeanRanks!$A$2:$K$303, 10, FALSE)-V97</f>
        <v>-3</v>
      </c>
      <c r="Z97" s="25">
        <f>IF(VLOOKUP($G97, SeanRanks!$A$2:$H$303, 7, FALSE)=0, "", VLOOKUP($G97, SeanRanks!$A$2:$H$303, 7, FALSE))</f>
        <v>4</v>
      </c>
    </row>
    <row r="98" spans="1:26" ht="14.25" hidden="1" customHeight="1" x14ac:dyDescent="0.25">
      <c r="A98" s="11"/>
      <c r="B98" s="11">
        <f t="shared" si="3"/>
        <v>12</v>
      </c>
      <c r="C98" s="11" t="s">
        <v>119</v>
      </c>
      <c r="D98" s="11">
        <v>6</v>
      </c>
      <c r="E98" s="11"/>
      <c r="F98" s="11">
        <f>VLOOKUP(G98, SeanRanks!$A$2:$E$302, 4, FALSE)</f>
        <v>0</v>
      </c>
      <c r="G98" s="11" t="s">
        <v>413</v>
      </c>
      <c r="H98" s="11" t="str">
        <f>VLOOKUP($G98, 'ADP Data'!$C$4:$Q$300, 2, FALSE)</f>
        <v>SF</v>
      </c>
      <c r="I98" s="11">
        <f>VLOOKUP(G98, 'ADP Data'!$C$4:$R$498, 12, FALSE)</f>
        <v>148</v>
      </c>
      <c r="J98" s="58">
        <f>VLOOKUP($G98, SeanRanks!$A$2:$H$303, 5, FALSE)</f>
        <v>0</v>
      </c>
      <c r="K98" s="11" t="str">
        <f>IF(VLOOKUP($G98, SeanRanks!$A$2:$H$303, 6, FALSE)=0, "", VLOOKUP($G98, SeanRanks!$A$2:$H$303, 6, FALSE))</f>
        <v>RB3 - 2 - low ceiling</v>
      </c>
      <c r="L98" s="11">
        <f t="shared" si="4"/>
        <v>10</v>
      </c>
      <c r="M98" s="11">
        <f>VLOOKUP($G98, 'ADP Data'!$C$4:$Q$300, 9, FALSE)</f>
        <v>78</v>
      </c>
      <c r="N98" s="11">
        <f t="shared" si="5"/>
        <v>-47</v>
      </c>
      <c r="O98" s="11">
        <f>VLOOKUP($G98, 'ADP Data'!$C$4:$Q$300, 3, FALSE)</f>
        <v>125</v>
      </c>
      <c r="P98" s="11">
        <f t="shared" si="6"/>
        <v>-47</v>
      </c>
      <c r="Q98" s="11">
        <f>VLOOKUP($G98, 'ADP Data'!$C$4:$Q$300, 4, FALSE)</f>
        <v>168</v>
      </c>
      <c r="R98" s="11">
        <f>VLOOKUP($G98, 'ADP Data'!$C$4:$Q$300, 5, FALSE)</f>
        <v>177</v>
      </c>
      <c r="S98" s="11">
        <f>VLOOKUP($G98, 'ADP Data'!$C$4:$Q$300, 6, FALSE)</f>
        <v>125</v>
      </c>
      <c r="T98" s="11">
        <f>VLOOKUP($G98, 'ADP Data'!$C$4:$Q$300, 7, FALSE)</f>
        <v>102</v>
      </c>
      <c r="U98" s="11">
        <f>VLOOKUP($G98, 'ADP Data'!$C$4:$Q$300, 8, FALSE)</f>
        <v>103</v>
      </c>
      <c r="V98" s="11">
        <f t="shared" si="7"/>
        <v>125</v>
      </c>
      <c r="W98" s="11">
        <f t="shared" si="8"/>
        <v>16</v>
      </c>
      <c r="X98" s="11">
        <f t="shared" si="9"/>
        <v>-10</v>
      </c>
      <c r="Y98" s="11">
        <f>VLOOKUP($G98, SeanRanks!$A$2:$K$303, 10, FALSE)-V98</f>
        <v>22</v>
      </c>
      <c r="Z98" s="25">
        <f>IF(VLOOKUP($G98, SeanRanks!$A$2:$H$303, 7, FALSE)=0, "", VLOOKUP($G98, SeanRanks!$A$2:$H$303, 7, FALSE))</f>
        <v>36</v>
      </c>
    </row>
    <row r="99" spans="1:26" ht="14.25" hidden="1" customHeight="1" x14ac:dyDescent="0.25">
      <c r="A99" s="11"/>
      <c r="B99" s="11">
        <f t="shared" si="3"/>
        <v>16</v>
      </c>
      <c r="C99" s="11" t="s">
        <v>119</v>
      </c>
      <c r="D99" s="11"/>
      <c r="E99" s="11"/>
      <c r="F99" s="11">
        <f>VLOOKUP(G99, SeanRanks!$A$2:$E$302, 4, FALSE)</f>
        <v>0</v>
      </c>
      <c r="G99" s="11" t="s">
        <v>381</v>
      </c>
      <c r="H99" s="11" t="str">
        <f>VLOOKUP($G99, 'ADP Data'!$C$4:$Q$300, 2, FALSE)</f>
        <v>TEN</v>
      </c>
      <c r="I99" s="11">
        <f>VLOOKUP(G99, 'ADP Data'!$C$4:$R$498, 12, FALSE)</f>
        <v>181</v>
      </c>
      <c r="J99" s="58">
        <f>VLOOKUP($G99, SeanRanks!$A$2:$H$303, 5, FALSE)</f>
        <v>0</v>
      </c>
      <c r="K99" s="11" t="str">
        <f>IF(VLOOKUP($G99, SeanRanks!$A$2:$H$303, 6, FALSE)=0, "", VLOOKUP($G99, SeanRanks!$A$2:$H$303, 6, FALSE))</f>
        <v>RB4 - 1 - Path to spikes</v>
      </c>
      <c r="L99" s="11">
        <f t="shared" si="4"/>
        <v>16</v>
      </c>
      <c r="M99" s="11">
        <f>VLOOKUP($G99, 'ADP Data'!$C$4:$Q$300, 9, FALSE)</f>
        <v>123</v>
      </c>
      <c r="N99" s="11">
        <f t="shared" si="5"/>
        <v>-48</v>
      </c>
      <c r="O99" s="11">
        <f>VLOOKUP($G99, 'ADP Data'!$C$4:$Q$300, 3, FALSE)</f>
        <v>163</v>
      </c>
      <c r="P99" s="11">
        <f t="shared" si="6"/>
        <v>-40</v>
      </c>
      <c r="Q99" s="11">
        <f>VLOOKUP($G99, 'ADP Data'!$C$4:$Q$300, 4, FALSE)</f>
        <v>165</v>
      </c>
      <c r="R99" s="11">
        <f>VLOOKUP($G99, 'ADP Data'!$C$4:$Q$300, 5, FALSE)</f>
        <v>253</v>
      </c>
      <c r="S99" s="11">
        <f>VLOOKUP($G99, 'ADP Data'!$C$4:$Q$300, 6, FALSE)</f>
        <v>152</v>
      </c>
      <c r="T99" s="11">
        <f>VLOOKUP($G99, 'ADP Data'!$C$4:$Q$300, 7, FALSE)</f>
        <v>149</v>
      </c>
      <c r="U99" s="11">
        <f>VLOOKUP($G99, 'ADP Data'!$C$4:$Q$300, 8, FALSE)</f>
        <v>198</v>
      </c>
      <c r="V99" s="11">
        <f t="shared" si="7"/>
        <v>171</v>
      </c>
      <c r="W99" s="11">
        <f t="shared" si="8"/>
        <v>22</v>
      </c>
      <c r="X99" s="11">
        <f t="shared" si="9"/>
        <v>-22</v>
      </c>
      <c r="Y99" s="11">
        <f>VLOOKUP($G99, SeanRanks!$A$2:$K$303, 10, FALSE)-V99</f>
        <v>-40</v>
      </c>
      <c r="Z99" s="25">
        <f>IF(VLOOKUP($G99, SeanRanks!$A$2:$H$303, 7, FALSE)=0, "", VLOOKUP($G99, SeanRanks!$A$2:$H$303, 7, FALSE))</f>
        <v>40</v>
      </c>
    </row>
    <row r="100" spans="1:26" ht="14.25" customHeight="1" x14ac:dyDescent="0.25">
      <c r="A100" s="11"/>
      <c r="B100" s="11">
        <f t="shared" si="3"/>
        <v>12</v>
      </c>
      <c r="C100" s="11" t="s">
        <v>148</v>
      </c>
      <c r="D100" s="11">
        <v>9</v>
      </c>
      <c r="E100" s="11"/>
      <c r="F100" s="11">
        <f>VLOOKUP(G100, SeanRanks!$A$2:$E$302, 4, FALSE)</f>
        <v>0</v>
      </c>
      <c r="G100" s="11" t="s">
        <v>898</v>
      </c>
      <c r="H100" s="11" t="str">
        <f>VLOOKUP($G100, 'ADP Data'!$C$4:$Q$300, 2, FALSE)</f>
        <v>WAS</v>
      </c>
      <c r="I100" s="11">
        <f>VLOOKUP(G100, 'ADP Data'!$C$4:$R$498, 12, FALSE)</f>
        <v>124</v>
      </c>
      <c r="J100" s="58">
        <f>VLOOKUP($G100, SeanRanks!$A$2:$H$303, 5, FALSE)</f>
        <v>0</v>
      </c>
      <c r="K100" s="11" t="str">
        <f>IF(VLOOKUP($G100, SeanRanks!$A$2:$H$303, 6, FALSE)=0, "", VLOOKUP($G100, SeanRanks!$A$2:$H$303, 6, FALSE))</f>
        <v>RB4 - 2 - low ceiling</v>
      </c>
      <c r="L100" s="11">
        <f t="shared" si="4"/>
        <v>17</v>
      </c>
      <c r="M100" s="11">
        <f>VLOOKUP($G100, 'ADP Data'!$C$4:$Q$300, 9, FALSE)</f>
        <v>130</v>
      </c>
      <c r="N100" s="11">
        <f t="shared" si="5"/>
        <v>5</v>
      </c>
      <c r="O100" s="11">
        <f>VLOOKUP($G100, 'ADP Data'!$C$4:$Q$300, 3, FALSE)</f>
        <v>86</v>
      </c>
      <c r="P100" s="11">
        <f t="shared" si="6"/>
        <v>44</v>
      </c>
      <c r="Q100" s="11">
        <f>VLOOKUP($G100, 'ADP Data'!$C$4:$Q$300, 4, FALSE)</f>
        <v>96</v>
      </c>
      <c r="R100" s="11">
        <f>VLOOKUP($G100, 'ADP Data'!$C$4:$Q$300, 5, FALSE)</f>
        <v>172</v>
      </c>
      <c r="S100" s="11">
        <f>VLOOKUP($G100, 'ADP Data'!$C$4:$Q$300, 6, FALSE)</f>
        <v>109</v>
      </c>
      <c r="T100" s="11">
        <f>VLOOKUP($G100, 'ADP Data'!$C$4:$Q$300, 7, FALSE)</f>
        <v>142</v>
      </c>
      <c r="U100" s="11">
        <f>VLOOKUP($G100, 'ADP Data'!$C$4:$Q$300, 8, FALSE)</f>
        <v>143</v>
      </c>
      <c r="V100" s="11">
        <f t="shared" si="7"/>
        <v>125</v>
      </c>
      <c r="W100" s="11">
        <f t="shared" si="8"/>
        <v>16</v>
      </c>
      <c r="X100" s="11">
        <f t="shared" si="9"/>
        <v>-7</v>
      </c>
      <c r="Y100" s="11">
        <f>VLOOKUP($G100, SeanRanks!$A$2:$K$303, 10, FALSE)-V100</f>
        <v>-21</v>
      </c>
      <c r="Z100" s="25">
        <f>IF(VLOOKUP($G100, SeanRanks!$A$2:$H$303, 7, FALSE)=0, "", VLOOKUP($G100, SeanRanks!$A$2:$H$303, 7, FALSE))</f>
        <v>49</v>
      </c>
    </row>
    <row r="101" spans="1:26" ht="14.25" hidden="1" customHeight="1" x14ac:dyDescent="0.25">
      <c r="A101" s="11"/>
      <c r="B101" s="11" t="e">
        <f t="shared" si="3"/>
        <v>#N/A</v>
      </c>
      <c r="C101" s="11" t="s">
        <v>119</v>
      </c>
      <c r="D101" s="11">
        <v>7</v>
      </c>
      <c r="E101" s="11"/>
      <c r="F101" s="11" t="e">
        <f>VLOOKUP(G101, SeanRanks!$A$2:$E$302, 4, FALSE)</f>
        <v>#N/A</v>
      </c>
      <c r="G101" s="11" t="s">
        <v>899</v>
      </c>
      <c r="H101" s="11" t="e">
        <f>VLOOKUP($G101, 'ADP Data'!$C$4:$Q$300, 2, FALSE)</f>
        <v>#N/A</v>
      </c>
      <c r="I101" s="11" t="e">
        <f>VLOOKUP(G101, 'ADP Data'!$C$4:$R$498, 12, FALSE)</f>
        <v>#N/A</v>
      </c>
      <c r="J101" s="59" t="e">
        <f>VLOOKUP($G101, SeanRanks!$A$2:$H$303, 5, FALSE)</f>
        <v>#N/A</v>
      </c>
      <c r="K101" s="11" t="e">
        <f>IF(VLOOKUP($G101, SeanRanks!$A$2:$H$303, 6, FALSE)=0, "", VLOOKUP($G101, SeanRanks!$A$2:$H$303, 6, FALSE))</f>
        <v>#N/A</v>
      </c>
      <c r="L101" s="11">
        <f t="shared" si="4"/>
        <v>16</v>
      </c>
      <c r="M101" s="11" t="e">
        <f>VLOOKUP($G101, 'ADP Data'!$C$4:$Q$300, 9, FALSE)</f>
        <v>#N/A</v>
      </c>
      <c r="N101" s="11" t="e">
        <f t="shared" si="5"/>
        <v>#N/A</v>
      </c>
      <c r="O101" s="11" t="e">
        <f>VLOOKUP($G101, 'ADP Data'!$C$4:$Q$300, 3, FALSE)</f>
        <v>#N/A</v>
      </c>
      <c r="P101" s="11" t="e">
        <f t="shared" si="6"/>
        <v>#N/A</v>
      </c>
      <c r="Q101" s="11" t="e">
        <f>VLOOKUP($G101, 'ADP Data'!$C$4:$Q$300, 4, FALSE)</f>
        <v>#N/A</v>
      </c>
      <c r="R101" s="11" t="e">
        <f>VLOOKUP($G101, 'ADP Data'!$C$4:$Q$300, 5, FALSE)</f>
        <v>#N/A</v>
      </c>
      <c r="S101" s="11" t="e">
        <f>VLOOKUP($G101, 'ADP Data'!$C$4:$Q$300, 6, FALSE)</f>
        <v>#N/A</v>
      </c>
      <c r="T101" s="11" t="e">
        <f>VLOOKUP($G101, 'ADP Data'!$C$4:$Q$300, 7, FALSE)</f>
        <v>#N/A</v>
      </c>
      <c r="U101" s="11" t="e">
        <f>VLOOKUP($G101, 'ADP Data'!$C$4:$Q$300, 8, FALSE)</f>
        <v>#N/A</v>
      </c>
      <c r="V101" s="11" t="e">
        <f t="shared" si="7"/>
        <v>#N/A</v>
      </c>
      <c r="W101" s="11">
        <f t="shared" si="8"/>
        <v>16</v>
      </c>
      <c r="X101" s="11">
        <f t="shared" si="9"/>
        <v>-9</v>
      </c>
      <c r="Y101" s="11" t="e">
        <f>VLOOKUP($G101, SeanRanks!$A$2:$K$303, 10, FALSE)-V101</f>
        <v>#N/A</v>
      </c>
      <c r="Z101" s="25" t="e">
        <f>IF(VLOOKUP($G101, SeanRanks!$A$2:$H$303, 7, FALSE)=0, "", VLOOKUP($G101, SeanRanks!$A$2:$H$303, 7, FALSE))</f>
        <v>#N/A</v>
      </c>
    </row>
    <row r="102" spans="1:26" ht="14.25" hidden="1" customHeight="1" x14ac:dyDescent="0.25">
      <c r="A102" s="11"/>
      <c r="B102" s="11">
        <f t="shared" si="3"/>
        <v>14</v>
      </c>
      <c r="C102" s="11" t="s">
        <v>148</v>
      </c>
      <c r="D102" s="11">
        <v>9</v>
      </c>
      <c r="E102" s="11"/>
      <c r="F102" s="11">
        <f>VLOOKUP(G102, SeanRanks!$A$2:$E$302, 4, FALSE)</f>
        <v>0</v>
      </c>
      <c r="G102" s="11" t="s">
        <v>823</v>
      </c>
      <c r="H102" s="11" t="str">
        <f>VLOOKUP($G102, 'ADP Data'!$C$4:$Q$300, 2, FALSE)</f>
        <v>KC</v>
      </c>
      <c r="I102" s="11">
        <f>VLOOKUP(G102, 'ADP Data'!$C$4:$R$498, 12, FALSE)</f>
        <v>151</v>
      </c>
      <c r="J102" s="40">
        <f>VLOOKUP($G102, SeanRanks!$A$2:$H$303, 5, FALSE)</f>
        <v>0</v>
      </c>
      <c r="K102" s="11" t="str">
        <f>IF(VLOOKUP($G102, SeanRanks!$A$2:$H$303, 6, FALSE)=0, "", VLOOKUP($G102, SeanRanks!$A$2:$H$303, 6, FALSE))</f>
        <v/>
      </c>
      <c r="L102" s="11">
        <f t="shared" si="4"/>
        <v>24</v>
      </c>
      <c r="M102" s="11">
        <f>VLOOKUP($G102, 'ADP Data'!$C$4:$Q$300, 9, FALSE)</f>
        <v>190</v>
      </c>
      <c r="N102" s="11">
        <f t="shared" si="5"/>
        <v>16</v>
      </c>
      <c r="O102" s="11">
        <f>VLOOKUP($G102, 'ADP Data'!$C$4:$Q$300, 3, FALSE)</f>
        <v>214</v>
      </c>
      <c r="P102" s="11">
        <f t="shared" si="6"/>
        <v>-24</v>
      </c>
      <c r="Q102" s="11">
        <f>VLOOKUP($G102, 'ADP Data'!$C$4:$Q$300, 4, FALSE)</f>
        <v>170</v>
      </c>
      <c r="R102" s="11">
        <f>VLOOKUP($G102, 'ADP Data'!$C$4:$Q$300, 5, FALSE)</f>
        <v>211</v>
      </c>
      <c r="S102" s="11">
        <f>VLOOKUP($G102, 'ADP Data'!$C$4:$Q$300, 6, FALSE)</f>
        <v>162</v>
      </c>
      <c r="T102" s="11">
        <f>VLOOKUP($G102, 'ADP Data'!$C$4:$Q$300, 7, FALSE)</f>
        <v>150</v>
      </c>
      <c r="U102" s="11">
        <f>VLOOKUP($G102, 'ADP Data'!$C$4:$Q$300, 8, FALSE)</f>
        <v>126</v>
      </c>
      <c r="V102" s="11">
        <f t="shared" si="7"/>
        <v>174</v>
      </c>
      <c r="W102" s="11">
        <f t="shared" si="8"/>
        <v>22</v>
      </c>
      <c r="X102" s="11">
        <f t="shared" si="9"/>
        <v>-13</v>
      </c>
      <c r="Y102" s="11">
        <f>VLOOKUP($G102, SeanRanks!$A$2:$K$303, 10, FALSE)-V102</f>
        <v>0</v>
      </c>
      <c r="Z102" s="25" t="str">
        <f>IF(VLOOKUP($G102, SeanRanks!$A$2:$H$303, 7, FALSE)=0, "", VLOOKUP($G102, SeanRanks!$A$2:$H$303, 7, FALSE))</f>
        <v/>
      </c>
    </row>
    <row r="103" spans="1:26" ht="14.25" hidden="1" customHeight="1" x14ac:dyDescent="0.25">
      <c r="A103" s="11" t="s">
        <v>148</v>
      </c>
      <c r="B103" s="11" t="e">
        <f t="shared" si="3"/>
        <v>#N/A</v>
      </c>
      <c r="C103" s="11" t="s">
        <v>119</v>
      </c>
      <c r="D103" s="11">
        <v>9</v>
      </c>
      <c r="E103" s="11"/>
      <c r="F103" s="11" t="e">
        <f>VLOOKUP(G103, SeanRanks!$A$2:$E$302, 4, FALSE)</f>
        <v>#N/A</v>
      </c>
      <c r="G103" s="11" t="s">
        <v>244</v>
      </c>
      <c r="H103" s="11" t="e">
        <f>VLOOKUP($G103, 'ADP Data'!$C$4:$Q$300, 2, FALSE)</f>
        <v>#N/A</v>
      </c>
      <c r="I103" s="11" t="e">
        <f>VLOOKUP(G103, 'ADP Data'!$C$4:$R$498, 12, FALSE)</f>
        <v>#N/A</v>
      </c>
      <c r="J103" s="44" t="e">
        <f>VLOOKUP($G103, SeanRanks!$A$2:$H$303, 5, FALSE)</f>
        <v>#N/A</v>
      </c>
      <c r="K103" s="11" t="e">
        <f>IF(VLOOKUP($G103, SeanRanks!$A$2:$H$303, 6, FALSE)=0, "", VLOOKUP($G103, SeanRanks!$A$2:$H$303, 6, FALSE))</f>
        <v>#N/A</v>
      </c>
      <c r="L103" s="11">
        <f t="shared" si="4"/>
        <v>16</v>
      </c>
      <c r="M103" s="11" t="e">
        <f>VLOOKUP($G103, 'ADP Data'!$C$4:$Q$300, 9, FALSE)</f>
        <v>#N/A</v>
      </c>
      <c r="N103" s="11" t="e">
        <f t="shared" si="5"/>
        <v>#N/A</v>
      </c>
      <c r="O103" s="11" t="e">
        <f>VLOOKUP($G103, 'ADP Data'!$C$4:$Q$300, 3, FALSE)</f>
        <v>#N/A</v>
      </c>
      <c r="P103" s="11" t="e">
        <f t="shared" si="6"/>
        <v>#N/A</v>
      </c>
      <c r="Q103" s="11" t="e">
        <f>VLOOKUP($G103, 'ADP Data'!$C$4:$Q$300, 4, FALSE)</f>
        <v>#N/A</v>
      </c>
      <c r="R103" s="11" t="e">
        <f>VLOOKUP($G103, 'ADP Data'!$C$4:$Q$300, 5, FALSE)</f>
        <v>#N/A</v>
      </c>
      <c r="S103" s="11" t="e">
        <f>VLOOKUP($G103, 'ADP Data'!$C$4:$Q$300, 6, FALSE)</f>
        <v>#N/A</v>
      </c>
      <c r="T103" s="11" t="e">
        <f>VLOOKUP($G103, 'ADP Data'!$C$4:$Q$300, 7, FALSE)</f>
        <v>#N/A</v>
      </c>
      <c r="U103" s="11" t="e">
        <f>VLOOKUP($G103, 'ADP Data'!$C$4:$Q$300, 8, FALSE)</f>
        <v>#N/A</v>
      </c>
      <c r="V103" s="11" t="e">
        <f t="shared" si="7"/>
        <v>#N/A</v>
      </c>
      <c r="W103" s="11">
        <f t="shared" si="8"/>
        <v>16</v>
      </c>
      <c r="X103" s="11">
        <f t="shared" si="9"/>
        <v>-7</v>
      </c>
      <c r="Y103" s="11" t="e">
        <f>VLOOKUP($G103, SeanRanks!$A$2:$K$303, 10, FALSE)-V103</f>
        <v>#N/A</v>
      </c>
      <c r="Z103" s="25" t="e">
        <f>IF(VLOOKUP($G103, SeanRanks!$A$2:$H$303, 7, FALSE)=0, "", VLOOKUP($G103, SeanRanks!$A$2:$H$303, 7, FALSE))</f>
        <v>#N/A</v>
      </c>
    </row>
    <row r="104" spans="1:26" ht="14.25" hidden="1" customHeight="1" x14ac:dyDescent="0.25">
      <c r="A104" s="11"/>
      <c r="B104" s="11" t="e">
        <f t="shared" si="3"/>
        <v>#N/A</v>
      </c>
      <c r="C104" s="11" t="s">
        <v>119</v>
      </c>
      <c r="D104" s="11">
        <v>9</v>
      </c>
      <c r="E104" s="11"/>
      <c r="F104" s="11" t="e">
        <f>VLOOKUP(G104, SeanRanks!$A$2:$E$302, 4, FALSE)</f>
        <v>#N/A</v>
      </c>
      <c r="G104" s="11" t="s">
        <v>900</v>
      </c>
      <c r="H104" s="11" t="e">
        <f>VLOOKUP($G104, 'ADP Data'!$C$4:$Q$300, 2, FALSE)</f>
        <v>#N/A</v>
      </c>
      <c r="I104" s="11" t="e">
        <f>VLOOKUP(G104, 'ADP Data'!$C$4:$R$498, 12, FALSE)</f>
        <v>#N/A</v>
      </c>
      <c r="J104" s="58" t="e">
        <f>VLOOKUP($G104, SeanRanks!$A$2:$H$303, 5, FALSE)</f>
        <v>#N/A</v>
      </c>
      <c r="K104" s="11" t="e">
        <f>IF(VLOOKUP($G104, SeanRanks!$A$2:$H$303, 6, FALSE)=0, "", VLOOKUP($G104, SeanRanks!$A$2:$H$303, 6, FALSE))</f>
        <v>#N/A</v>
      </c>
      <c r="L104" s="11">
        <f t="shared" si="4"/>
        <v>16</v>
      </c>
      <c r="M104" s="11" t="e">
        <f>VLOOKUP($G104, 'ADP Data'!$C$4:$Q$300, 9, FALSE)</f>
        <v>#N/A</v>
      </c>
      <c r="N104" s="11" t="e">
        <f t="shared" si="5"/>
        <v>#N/A</v>
      </c>
      <c r="O104" s="11" t="e">
        <f>VLOOKUP($G104, 'ADP Data'!$C$4:$Q$300, 3, FALSE)</f>
        <v>#N/A</v>
      </c>
      <c r="P104" s="11" t="e">
        <f t="shared" si="6"/>
        <v>#N/A</v>
      </c>
      <c r="Q104" s="11" t="e">
        <f>VLOOKUP($G104, 'ADP Data'!$C$4:$Q$300, 4, FALSE)</f>
        <v>#N/A</v>
      </c>
      <c r="R104" s="11" t="e">
        <f>VLOOKUP($G104, 'ADP Data'!$C$4:$Q$300, 5, FALSE)</f>
        <v>#N/A</v>
      </c>
      <c r="S104" s="11" t="e">
        <f>VLOOKUP($G104, 'ADP Data'!$C$4:$Q$300, 6, FALSE)</f>
        <v>#N/A</v>
      </c>
      <c r="T104" s="11" t="e">
        <f>VLOOKUP($G104, 'ADP Data'!$C$4:$Q$300, 7, FALSE)</f>
        <v>#N/A</v>
      </c>
      <c r="U104" s="11" t="e">
        <f>VLOOKUP($G104, 'ADP Data'!$C$4:$Q$300, 8, FALSE)</f>
        <v>#N/A</v>
      </c>
      <c r="V104" s="11" t="e">
        <f t="shared" si="7"/>
        <v>#N/A</v>
      </c>
      <c r="W104" s="11">
        <f t="shared" si="8"/>
        <v>16</v>
      </c>
      <c r="X104" s="11">
        <f t="shared" si="9"/>
        <v>-7</v>
      </c>
      <c r="Y104" s="11" t="e">
        <f>VLOOKUP($G104, SeanRanks!$A$2:$K$303, 10, FALSE)-V104</f>
        <v>#N/A</v>
      </c>
      <c r="Z104" s="25" t="e">
        <f>IF(VLOOKUP($G104, SeanRanks!$A$2:$H$303, 7, FALSE)=0, "", VLOOKUP($G104, SeanRanks!$A$2:$H$303, 7, FALSE))</f>
        <v>#N/A</v>
      </c>
    </row>
    <row r="105" spans="1:26" ht="14.25" hidden="1" customHeight="1" x14ac:dyDescent="0.25">
      <c r="A105" s="11"/>
      <c r="B105" s="11">
        <f t="shared" si="3"/>
        <v>2</v>
      </c>
      <c r="C105" s="11" t="s">
        <v>119</v>
      </c>
      <c r="D105" s="11">
        <v>10</v>
      </c>
      <c r="E105" s="11"/>
      <c r="F105" s="11">
        <f>VLOOKUP(G105, SeanRanks!$A$2:$E$302, 4, FALSE)</f>
        <v>0</v>
      </c>
      <c r="G105" s="11" t="s">
        <v>98</v>
      </c>
      <c r="H105" s="11" t="str">
        <f>VLOOKUP($G105, 'ADP Data'!$C$4:$Q$300, 2, FALSE)</f>
        <v>LV</v>
      </c>
      <c r="I105" s="11">
        <f>VLOOKUP(G105, 'ADP Data'!$C$4:$R$498, 12, FALSE)</f>
        <v>19</v>
      </c>
      <c r="J105" s="57">
        <f>VLOOKUP($G105, SeanRanks!$A$2:$H$303, 5, FALSE)</f>
        <v>0</v>
      </c>
      <c r="K105" s="11" t="str">
        <f>IF(VLOOKUP($G105, SeanRanks!$A$2:$H$303, 6, FALSE)=0, "", VLOOKUP($G105, SeanRanks!$A$2:$H$303, 6, FALSE))</f>
        <v>TE1 - 1 - Elite</v>
      </c>
      <c r="L105" s="11">
        <f t="shared" si="4"/>
        <v>3</v>
      </c>
      <c r="M105" s="11">
        <f>VLOOKUP($G105, 'ADP Data'!$C$4:$Q$300, 9, FALSE)</f>
        <v>19</v>
      </c>
      <c r="N105" s="11">
        <f t="shared" si="5"/>
        <v>2</v>
      </c>
      <c r="O105" s="11">
        <f>VLOOKUP($G105, 'ADP Data'!$C$4:$Q$300, 3, FALSE)</f>
        <v>24</v>
      </c>
      <c r="P105" s="11">
        <f t="shared" si="6"/>
        <v>-5</v>
      </c>
      <c r="Q105" s="11">
        <f>VLOOKUP($G105, 'ADP Data'!$C$4:$Q$300, 4, FALSE)</f>
        <v>20</v>
      </c>
      <c r="R105" s="11">
        <f>VLOOKUP($G105, 'ADP Data'!$C$4:$Q$300, 5, FALSE)</f>
        <v>19</v>
      </c>
      <c r="S105" s="11">
        <f>VLOOKUP($G105, 'ADP Data'!$C$4:$Q$300, 6, FALSE)</f>
        <v>7</v>
      </c>
      <c r="T105" s="11">
        <f>VLOOKUP($G105, 'ADP Data'!$C$4:$Q$300, 7, FALSE)</f>
        <v>18</v>
      </c>
      <c r="U105" s="11">
        <f>VLOOKUP($G105, 'ADP Data'!$C$4:$Q$300, 8, FALSE)</f>
        <v>17</v>
      </c>
      <c r="V105" s="11">
        <f t="shared" si="7"/>
        <v>17</v>
      </c>
      <c r="W105" s="11">
        <f t="shared" si="8"/>
        <v>3</v>
      </c>
      <c r="X105" s="11">
        <f t="shared" si="9"/>
        <v>7</v>
      </c>
      <c r="Y105" s="11">
        <f>VLOOKUP($G105, SeanRanks!$A$2:$K$303, 10, FALSE)-V105</f>
        <v>6</v>
      </c>
      <c r="Z105" s="25">
        <f>IF(VLOOKUP($G105, SeanRanks!$A$2:$H$303, 7, FALSE)=0, "", VLOOKUP($G105, SeanRanks!$A$2:$H$303, 7, FALSE))</f>
        <v>1</v>
      </c>
    </row>
    <row r="106" spans="1:26" ht="14.25" hidden="1" customHeight="1" x14ac:dyDescent="0.25">
      <c r="A106" s="11"/>
      <c r="B106" s="11">
        <f t="shared" si="3"/>
        <v>3</v>
      </c>
      <c r="C106" s="11" t="s">
        <v>148</v>
      </c>
      <c r="D106" s="11">
        <v>9</v>
      </c>
      <c r="E106" s="11"/>
      <c r="F106" s="11">
        <f>VLOOKUP(G106, SeanRanks!$A$2:$E$302, 4, FALSE)</f>
        <v>0</v>
      </c>
      <c r="G106" s="11" t="s">
        <v>165</v>
      </c>
      <c r="H106" s="11" t="str">
        <f>VLOOKUP($G106, 'ADP Data'!$C$4:$Q$300, 2, FALSE)</f>
        <v>LAC</v>
      </c>
      <c r="I106" s="11">
        <f>VLOOKUP(G106, 'ADP Data'!$C$4:$R$498, 12, FALSE)</f>
        <v>22</v>
      </c>
      <c r="J106" s="28">
        <f>VLOOKUP($G106, SeanRanks!$A$2:$H$303, 5, FALSE)</f>
        <v>0</v>
      </c>
      <c r="K106" s="11" t="str">
        <f>IF(VLOOKUP($G106, SeanRanks!$A$2:$H$303, 6, FALSE)=0, "", VLOOKUP($G106, SeanRanks!$A$2:$H$303, 6, FALSE))</f>
        <v>WR1 - 3 - Inconsistent</v>
      </c>
      <c r="L106" s="11">
        <f t="shared" si="4"/>
        <v>4</v>
      </c>
      <c r="M106" s="11">
        <f>VLOOKUP($G106, 'ADP Data'!$C$4:$Q$300, 9, FALSE)</f>
        <v>24</v>
      </c>
      <c r="N106" s="11">
        <f t="shared" si="5"/>
        <v>-1</v>
      </c>
      <c r="O106" s="11">
        <f>VLOOKUP($G106, 'ADP Data'!$C$4:$Q$300, 3, FALSE)</f>
        <v>29</v>
      </c>
      <c r="P106" s="11">
        <f t="shared" si="6"/>
        <v>-5</v>
      </c>
      <c r="Q106" s="11">
        <f>VLOOKUP($G106, 'ADP Data'!$C$4:$Q$300, 4, FALSE)</f>
        <v>30</v>
      </c>
      <c r="R106" s="11">
        <f>VLOOKUP($G106, 'ADP Data'!$C$4:$Q$300, 5, FALSE)</f>
        <v>24</v>
      </c>
      <c r="S106" s="11">
        <f>VLOOKUP($G106, 'ADP Data'!$C$4:$Q$300, 6, FALSE)</f>
        <v>25</v>
      </c>
      <c r="T106" s="11">
        <f>VLOOKUP($G106, 'ADP Data'!$C$4:$Q$300, 7, FALSE)</f>
        <v>23</v>
      </c>
      <c r="U106" s="11">
        <f>VLOOKUP($G106, 'ADP Data'!$C$4:$Q$300, 8, FALSE)</f>
        <v>23</v>
      </c>
      <c r="V106" s="11">
        <f t="shared" si="7"/>
        <v>25</v>
      </c>
      <c r="W106" s="11">
        <f t="shared" si="8"/>
        <v>4</v>
      </c>
      <c r="X106" s="11">
        <f t="shared" si="9"/>
        <v>5</v>
      </c>
      <c r="Y106" s="11">
        <f>VLOOKUP($G106, SeanRanks!$A$2:$K$303, 10, FALSE)-V106</f>
        <v>-3</v>
      </c>
      <c r="Z106" s="25">
        <f>IF(VLOOKUP($G106, SeanRanks!$A$2:$H$303, 7, FALSE)=0, "", VLOOKUP($G106, SeanRanks!$A$2:$H$303, 7, FALSE))</f>
        <v>10</v>
      </c>
    </row>
    <row r="107" spans="1:26" ht="14.25" hidden="1" customHeight="1" x14ac:dyDescent="0.25">
      <c r="A107" s="11"/>
      <c r="B107" s="11">
        <f t="shared" si="3"/>
        <v>5</v>
      </c>
      <c r="C107" s="11" t="s">
        <v>119</v>
      </c>
      <c r="D107" s="11">
        <v>9</v>
      </c>
      <c r="E107" s="11"/>
      <c r="F107" s="11">
        <f>VLOOKUP(G107, SeanRanks!$A$2:$E$302, 4, FALSE)</f>
        <v>0</v>
      </c>
      <c r="G107" s="11" t="s">
        <v>260</v>
      </c>
      <c r="H107" s="11" t="str">
        <f>VLOOKUP($G107, 'ADP Data'!$C$4:$Q$300, 2, FALSE)</f>
        <v>DEN</v>
      </c>
      <c r="I107" s="11">
        <f>VLOOKUP(G107, 'ADP Data'!$C$4:$R$498, 12, FALSE)</f>
        <v>46</v>
      </c>
      <c r="J107" s="40" t="str">
        <f>VLOOKUP($G107, SeanRanks!$A$2:$H$303, 5, FALSE)</f>
        <v>Yes</v>
      </c>
      <c r="K107" s="11" t="str">
        <f>IF(VLOOKUP($G107, SeanRanks!$A$2:$H$303, 6, FALSE)=0, "", VLOOKUP($G107, SeanRanks!$A$2:$H$303, 6, FALSE))</f>
        <v xml:space="preserve">WR3 - 1 - </v>
      </c>
      <c r="L107" s="11">
        <f t="shared" si="4"/>
        <v>7</v>
      </c>
      <c r="M107" s="11">
        <f>VLOOKUP($G107, 'ADP Data'!$C$4:$Q$300, 9, FALSE)</f>
        <v>50</v>
      </c>
      <c r="N107" s="11">
        <f t="shared" si="5"/>
        <v>-3</v>
      </c>
      <c r="O107" s="11">
        <f>VLOOKUP($G107, 'ADP Data'!$C$4:$Q$300, 3, FALSE)</f>
        <v>53</v>
      </c>
      <c r="P107" s="11">
        <f t="shared" si="6"/>
        <v>-3</v>
      </c>
      <c r="Q107" s="11">
        <f>VLOOKUP($G107, 'ADP Data'!$C$4:$Q$300, 4, FALSE)</f>
        <v>58</v>
      </c>
      <c r="R107" s="11">
        <f>VLOOKUP($G107, 'ADP Data'!$C$4:$Q$300, 5, FALSE)</f>
        <v>59</v>
      </c>
      <c r="S107" s="11">
        <f>VLOOKUP($G107, 'ADP Data'!$C$4:$Q$300, 6, FALSE)</f>
        <v>50</v>
      </c>
      <c r="T107" s="11">
        <f>VLOOKUP($G107, 'ADP Data'!$C$4:$Q$300, 7, FALSE)</f>
        <v>47</v>
      </c>
      <c r="U107" s="11">
        <f>VLOOKUP($G107, 'ADP Data'!$C$4:$Q$300, 8, FALSE)</f>
        <v>56</v>
      </c>
      <c r="V107" s="11">
        <f t="shared" si="7"/>
        <v>53</v>
      </c>
      <c r="W107" s="11">
        <f t="shared" si="8"/>
        <v>7</v>
      </c>
      <c r="X107" s="11">
        <f t="shared" si="9"/>
        <v>2</v>
      </c>
      <c r="Y107" s="11">
        <f>VLOOKUP($G107, SeanRanks!$A$2:$K$303, 10, FALSE)-V107</f>
        <v>6</v>
      </c>
      <c r="Z107" s="25">
        <f>IF(VLOOKUP($G107, SeanRanks!$A$2:$H$303, 7, FALSE)=0, "", VLOOKUP($G107, SeanRanks!$A$2:$H$303, 7, FALSE))</f>
        <v>26</v>
      </c>
    </row>
    <row r="108" spans="1:26" ht="14.25" hidden="1" customHeight="1" x14ac:dyDescent="0.25">
      <c r="A108" s="11"/>
      <c r="B108" s="11">
        <f t="shared" si="3"/>
        <v>2</v>
      </c>
      <c r="C108" s="11" t="s">
        <v>119</v>
      </c>
      <c r="D108" s="11">
        <v>9</v>
      </c>
      <c r="E108" s="11"/>
      <c r="F108" s="11">
        <f>VLOOKUP(G108, SeanRanks!$A$2:$E$302, 4, FALSE)</f>
        <v>0</v>
      </c>
      <c r="G108" s="11" t="s">
        <v>239</v>
      </c>
      <c r="H108" s="11" t="str">
        <f>VLOOKUP($G108, 'ADP Data'!$C$4:$Q$300, 2, FALSE)</f>
        <v>JAX</v>
      </c>
      <c r="I108" s="11">
        <f>VLOOKUP(G108, 'ADP Data'!$C$4:$R$498, 12, FALSE)</f>
        <v>11</v>
      </c>
      <c r="J108" s="28">
        <f>VLOOKUP($G108, SeanRanks!$A$2:$H$303, 5, FALSE)</f>
        <v>0</v>
      </c>
      <c r="K108" s="11" t="str">
        <f>IF(VLOOKUP($G108, SeanRanks!$A$2:$H$303, 6, FALSE)=0, "", VLOOKUP($G108, SeanRanks!$A$2:$H$303, 6, FALSE))</f>
        <v>WR1 - 2 - High Floor</v>
      </c>
      <c r="L108" s="11">
        <f t="shared" si="4"/>
        <v>3</v>
      </c>
      <c r="M108" s="11">
        <f>VLOOKUP($G108, 'ADP Data'!$C$4:$Q$300, 9, FALSE)</f>
        <v>16</v>
      </c>
      <c r="N108" s="11">
        <f t="shared" si="5"/>
        <v>1</v>
      </c>
      <c r="O108" s="11">
        <f>VLOOKUP($G108, 'ADP Data'!$C$4:$Q$300, 3, FALSE)</f>
        <v>20</v>
      </c>
      <c r="P108" s="11">
        <f t="shared" si="6"/>
        <v>-4</v>
      </c>
      <c r="Q108" s="11">
        <f>VLOOKUP($G108, 'ADP Data'!$C$4:$Q$300, 4, FALSE)</f>
        <v>16</v>
      </c>
      <c r="R108" s="11">
        <f>VLOOKUP($G108, 'ADP Data'!$C$4:$Q$300, 5, FALSE)</f>
        <v>14</v>
      </c>
      <c r="S108" s="11">
        <f>VLOOKUP($G108, 'ADP Data'!$C$4:$Q$300, 6, FALSE)</f>
        <v>16</v>
      </c>
      <c r="T108" s="11">
        <f>VLOOKUP($G108, 'ADP Data'!$C$4:$Q$300, 7, FALSE)</f>
        <v>11</v>
      </c>
      <c r="U108" s="11">
        <f>VLOOKUP($G108, 'ADP Data'!$C$4:$Q$300, 8, FALSE)</f>
        <v>13</v>
      </c>
      <c r="V108" s="11">
        <f t="shared" si="7"/>
        <v>15</v>
      </c>
      <c r="W108" s="11">
        <f t="shared" si="8"/>
        <v>2</v>
      </c>
      <c r="X108" s="11">
        <f t="shared" si="9"/>
        <v>7</v>
      </c>
      <c r="Y108" s="11">
        <f>VLOOKUP($G108, SeanRanks!$A$2:$K$303, 10, FALSE)-V108</f>
        <v>-2</v>
      </c>
      <c r="Z108" s="25">
        <f>IF(VLOOKUP($G108, SeanRanks!$A$2:$H$303, 7, FALSE)=0, "", VLOOKUP($G108, SeanRanks!$A$2:$H$303, 7, FALSE))</f>
        <v>8</v>
      </c>
    </row>
    <row r="109" spans="1:26" ht="14.25" hidden="1" customHeight="1" x14ac:dyDescent="0.25">
      <c r="A109" s="11"/>
      <c r="B109" s="11">
        <f t="shared" si="3"/>
        <v>10</v>
      </c>
      <c r="C109" s="11" t="s">
        <v>148</v>
      </c>
      <c r="D109" s="11">
        <v>9</v>
      </c>
      <c r="E109" s="23"/>
      <c r="F109" s="11">
        <f>VLOOKUP(G109, SeanRanks!$A$2:$E$302, 4, FALSE)</f>
        <v>0</v>
      </c>
      <c r="G109" s="11" t="s">
        <v>652</v>
      </c>
      <c r="H109" s="11" t="str">
        <f>VLOOKUP($G109, 'ADP Data'!$C$4:$Q$300, 2, FALSE)</f>
        <v>BUF</v>
      </c>
      <c r="I109" s="11">
        <f>VLOOKUP(G109, 'ADP Data'!$C$4:$R$498, 12, FALSE)</f>
        <v>78</v>
      </c>
      <c r="J109" s="40">
        <f>VLOOKUP($G109, SeanRanks!$A$2:$H$303, 5, FALSE)</f>
        <v>0</v>
      </c>
      <c r="K109" s="11" t="str">
        <f>IF(VLOOKUP($G109, SeanRanks!$A$2:$H$303, 6, FALSE)=0, "", VLOOKUP($G109, SeanRanks!$A$2:$H$303, 6, FALSE))</f>
        <v>WR5 - 1 - upside path</v>
      </c>
      <c r="L109" s="11">
        <f t="shared" si="4"/>
        <v>15</v>
      </c>
      <c r="M109" s="11">
        <f>VLOOKUP($G109, 'ADP Data'!$C$4:$Q$300, 9, FALSE)</f>
        <v>118</v>
      </c>
      <c r="N109" s="11">
        <f t="shared" si="5"/>
        <v>3</v>
      </c>
      <c r="O109" s="11">
        <f>VLOOKUP($G109, 'ADP Data'!$C$4:$Q$300, 3, FALSE)</f>
        <v>113</v>
      </c>
      <c r="P109" s="11">
        <f t="shared" si="6"/>
        <v>5</v>
      </c>
      <c r="Q109" s="11">
        <f>VLOOKUP($G109, 'ADP Data'!$C$4:$Q$300, 4, FALSE)</f>
        <v>111</v>
      </c>
      <c r="R109" s="11">
        <f>VLOOKUP($G109, 'ADP Data'!$C$4:$Q$300, 5, FALSE)</f>
        <v>126</v>
      </c>
      <c r="S109" s="11">
        <f>VLOOKUP($G109, 'ADP Data'!$C$4:$Q$300, 6, FALSE)</f>
        <v>102</v>
      </c>
      <c r="T109" s="11">
        <f>VLOOKUP($G109, 'ADP Data'!$C$4:$Q$300, 7, FALSE)</f>
        <v>99</v>
      </c>
      <c r="U109" s="11">
        <f>VLOOKUP($G109, 'ADP Data'!$C$4:$Q$300, 8, FALSE)</f>
        <v>139</v>
      </c>
      <c r="V109" s="11">
        <f t="shared" si="7"/>
        <v>115</v>
      </c>
      <c r="W109" s="11">
        <f t="shared" si="8"/>
        <v>15</v>
      </c>
      <c r="X109" s="11">
        <f t="shared" si="9"/>
        <v>-6</v>
      </c>
      <c r="Y109" s="11">
        <f>VLOOKUP($G109, SeanRanks!$A$2:$K$303, 10, FALSE)-V109</f>
        <v>7</v>
      </c>
      <c r="Z109" s="25">
        <f>IF(VLOOKUP($G109, SeanRanks!$A$2:$H$303, 7, FALSE)=0, "", VLOOKUP($G109, SeanRanks!$A$2:$H$303, 7, FALSE))</f>
        <v>51</v>
      </c>
    </row>
    <row r="110" spans="1:26" ht="14.25" hidden="1" customHeight="1" x14ac:dyDescent="0.25">
      <c r="A110" s="11"/>
      <c r="B110" s="11">
        <f t="shared" si="3"/>
        <v>20</v>
      </c>
      <c r="C110" s="11" t="s">
        <v>148</v>
      </c>
      <c r="D110" s="11">
        <v>9</v>
      </c>
      <c r="E110" s="11"/>
      <c r="F110" s="11">
        <f>VLOOKUP(G110, SeanRanks!$A$2:$E$302, 4, FALSE)</f>
        <v>0</v>
      </c>
      <c r="G110" s="11" t="s">
        <v>901</v>
      </c>
      <c r="H110" s="11" t="str">
        <f>VLOOKUP($G110, 'ADP Data'!$C$4:$Q$300, 2, FALSE)</f>
        <v>BAL</v>
      </c>
      <c r="I110" s="11">
        <f>VLOOKUP(G110, 'ADP Data'!$C$4:$R$498, 12, FALSE)</f>
        <v>225</v>
      </c>
      <c r="J110" s="40">
        <f>VLOOKUP($G110, SeanRanks!$A$2:$H$303, 5, FALSE)</f>
        <v>0</v>
      </c>
      <c r="K110" s="11" t="str">
        <f>IF(VLOOKUP($G110, SeanRanks!$A$2:$H$303, 6, FALSE)=0, "", VLOOKUP($G110, SeanRanks!$A$2:$H$303, 6, FALSE))</f>
        <v/>
      </c>
      <c r="L110" s="11">
        <f t="shared" si="4"/>
        <v>26</v>
      </c>
      <c r="M110" s="11">
        <f>VLOOKUP($G110, 'ADP Data'!$C$4:$Q$300, 9, FALSE)</f>
        <v>205</v>
      </c>
      <c r="N110" s="11">
        <f t="shared" si="5"/>
        <v>-27</v>
      </c>
      <c r="O110" s="11" t="str">
        <f>VLOOKUP($G110, 'ADP Data'!$C$4:$Q$300, 3, FALSE)</f>
        <v>-</v>
      </c>
      <c r="P110" s="11" t="e">
        <f t="shared" si="6"/>
        <v>#VALUE!</v>
      </c>
      <c r="Q110" s="11" t="str">
        <f>VLOOKUP($G110, 'ADP Data'!$C$4:$Q$300, 4, FALSE)</f>
        <v>-</v>
      </c>
      <c r="R110" s="11">
        <f>VLOOKUP($G110, 'ADP Data'!$C$4:$Q$300, 5, FALSE)</f>
        <v>319</v>
      </c>
      <c r="S110" s="11">
        <f>VLOOKUP($G110, 'ADP Data'!$C$4:$Q$300, 6, FALSE)</f>
        <v>229</v>
      </c>
      <c r="T110" s="11">
        <f>VLOOKUP($G110, 'ADP Data'!$C$4:$Q$300, 7, FALSE)</f>
        <v>218</v>
      </c>
      <c r="U110" s="11">
        <f>VLOOKUP($G110, 'ADP Data'!$C$4:$Q$300, 8, FALSE)</f>
        <v>191</v>
      </c>
      <c r="V110" s="11">
        <f t="shared" si="7"/>
        <v>232</v>
      </c>
      <c r="W110" s="11">
        <f t="shared" si="8"/>
        <v>30</v>
      </c>
      <c r="X110" s="11">
        <f t="shared" si="9"/>
        <v>-21</v>
      </c>
      <c r="Y110" s="11">
        <f>VLOOKUP($G110, SeanRanks!$A$2:$K$303, 10, FALSE)-V110</f>
        <v>11</v>
      </c>
      <c r="Z110" s="25" t="str">
        <f>IF(VLOOKUP($G110, SeanRanks!$A$2:$H$303, 7, FALSE)=0, "", VLOOKUP($G110, SeanRanks!$A$2:$H$303, 7, FALSE))</f>
        <v/>
      </c>
    </row>
    <row r="111" spans="1:26" ht="14.25" hidden="1" customHeight="1" x14ac:dyDescent="0.25">
      <c r="A111" s="11"/>
      <c r="B111" s="11">
        <f t="shared" si="3"/>
        <v>11</v>
      </c>
      <c r="C111" s="11" t="s">
        <v>148</v>
      </c>
      <c r="D111" s="11">
        <v>10</v>
      </c>
      <c r="E111" s="11"/>
      <c r="F111" s="11">
        <f>VLOOKUP(G111, SeanRanks!$A$2:$E$302, 4, FALSE)</f>
        <v>0</v>
      </c>
      <c r="G111" s="11" t="s">
        <v>241</v>
      </c>
      <c r="H111" s="11" t="str">
        <f>VLOOKUP($G111, 'ADP Data'!$C$4:$Q$300, 2, FALSE)</f>
        <v>CHI</v>
      </c>
      <c r="I111" s="11">
        <f>VLOOKUP(G111, 'ADP Data'!$C$4:$R$498, 12, FALSE)</f>
        <v>108</v>
      </c>
      <c r="J111" s="59">
        <f>VLOOKUP($G111, SeanRanks!$A$2:$H$303, 5, FALSE)</f>
        <v>0</v>
      </c>
      <c r="K111" s="11" t="str">
        <f>IF(VLOOKUP($G111, SeanRanks!$A$2:$H$303, 6, FALSE)=0, "", VLOOKUP($G111, SeanRanks!$A$2:$H$303, 6, FALSE))</f>
        <v>QB2 - 1 - League Winner</v>
      </c>
      <c r="L111" s="11">
        <f t="shared" si="4"/>
        <v>16</v>
      </c>
      <c r="M111" s="11">
        <f>VLOOKUP($G111, 'ADP Data'!$C$4:$Q$300, 9, FALSE)</f>
        <v>126</v>
      </c>
      <c r="N111" s="11">
        <f t="shared" si="5"/>
        <v>4</v>
      </c>
      <c r="O111" s="11">
        <f>VLOOKUP($G111, 'ADP Data'!$C$4:$Q$300, 3, FALSE)</f>
        <v>120</v>
      </c>
      <c r="P111" s="11">
        <f t="shared" si="6"/>
        <v>6</v>
      </c>
      <c r="Q111" s="11">
        <f>VLOOKUP($G111, 'ADP Data'!$C$4:$Q$300, 4, FALSE)</f>
        <v>112</v>
      </c>
      <c r="R111" s="11">
        <f>VLOOKUP($G111, 'ADP Data'!$C$4:$Q$300, 5, FALSE)</f>
        <v>155</v>
      </c>
      <c r="S111" s="11">
        <f>VLOOKUP($G111, 'ADP Data'!$C$4:$Q$300, 6, FALSE)</f>
        <v>124</v>
      </c>
      <c r="T111" s="11">
        <f>VLOOKUP($G111, 'ADP Data'!$C$4:$Q$300, 7, FALSE)</f>
        <v>109</v>
      </c>
      <c r="U111" s="11">
        <f>VLOOKUP($G111, 'ADP Data'!$C$4:$Q$300, 8, FALSE)</f>
        <v>114</v>
      </c>
      <c r="V111" s="11">
        <f t="shared" si="7"/>
        <v>122</v>
      </c>
      <c r="W111" s="11">
        <f t="shared" si="8"/>
        <v>16</v>
      </c>
      <c r="X111" s="11">
        <f t="shared" si="9"/>
        <v>-6</v>
      </c>
      <c r="Y111" s="11">
        <f>VLOOKUP($G111, SeanRanks!$A$2:$K$303, 10, FALSE)-V111</f>
        <v>-19</v>
      </c>
      <c r="Z111" s="25">
        <f>IF(VLOOKUP($G111, SeanRanks!$A$2:$H$303, 7, FALSE)=0, "", VLOOKUP($G111, SeanRanks!$A$2:$H$303, 7, FALSE))</f>
        <v>13</v>
      </c>
    </row>
    <row r="112" spans="1:26" ht="14.25" hidden="1" customHeight="1" x14ac:dyDescent="0.25">
      <c r="A112" s="11"/>
      <c r="B112" s="11">
        <f t="shared" si="3"/>
        <v>8</v>
      </c>
      <c r="C112" s="11" t="s">
        <v>148</v>
      </c>
      <c r="D112" s="11">
        <v>9</v>
      </c>
      <c r="E112" s="11"/>
      <c r="F112" s="11">
        <f>VLOOKUP(G112, SeanRanks!$A$2:$E$302, 4, FALSE)</f>
        <v>0</v>
      </c>
      <c r="G112" s="11" t="s">
        <v>294</v>
      </c>
      <c r="H112" s="11" t="str">
        <f>VLOOKUP($G112, 'ADP Data'!$C$4:$Q$300, 2, FALSE)</f>
        <v>MIN</v>
      </c>
      <c r="I112" s="11">
        <f>VLOOKUP(G112, 'ADP Data'!$C$4:$R$498, 12, FALSE)</f>
        <v>82</v>
      </c>
      <c r="J112" s="40">
        <f>VLOOKUP($G112, SeanRanks!$A$2:$H$303, 5, FALSE)</f>
        <v>0</v>
      </c>
      <c r="K112" s="11" t="str">
        <f>IF(VLOOKUP($G112, SeanRanks!$A$2:$H$303, 6, FALSE)=0, "", VLOOKUP($G112, SeanRanks!$A$2:$H$303, 6, FALSE))</f>
        <v>WR3 - 3 - lower ceiling</v>
      </c>
      <c r="L112" s="11">
        <f t="shared" si="4"/>
        <v>11</v>
      </c>
      <c r="M112" s="11">
        <f>VLOOKUP($G112, 'ADP Data'!$C$4:$Q$300, 9, FALSE)</f>
        <v>81</v>
      </c>
      <c r="N112" s="11">
        <f t="shared" si="5"/>
        <v>-13</v>
      </c>
      <c r="O112" s="11">
        <f>VLOOKUP($G112, 'ADP Data'!$C$4:$Q$300, 3, FALSE)</f>
        <v>103</v>
      </c>
      <c r="P112" s="11">
        <f t="shared" si="6"/>
        <v>-22</v>
      </c>
      <c r="Q112" s="11">
        <f>VLOOKUP($G112, 'ADP Data'!$C$4:$Q$300, 4, FALSE)</f>
        <v>110</v>
      </c>
      <c r="R112" s="11">
        <f>VLOOKUP($G112, 'ADP Data'!$C$4:$Q$300, 5, FALSE)</f>
        <v>93</v>
      </c>
      <c r="S112" s="11">
        <f>VLOOKUP($G112, 'ADP Data'!$C$4:$Q$300, 6, FALSE)</f>
        <v>95</v>
      </c>
      <c r="T112" s="11">
        <f>VLOOKUP($G112, 'ADP Data'!$C$4:$Q$300, 7, FALSE)</f>
        <v>84</v>
      </c>
      <c r="U112" s="11">
        <f>VLOOKUP($G112, 'ADP Data'!$C$4:$Q$300, 8, FALSE)</f>
        <v>94</v>
      </c>
      <c r="V112" s="11">
        <f t="shared" si="7"/>
        <v>94</v>
      </c>
      <c r="W112" s="11">
        <f t="shared" si="8"/>
        <v>12</v>
      </c>
      <c r="X112" s="11">
        <f t="shared" si="9"/>
        <v>-3</v>
      </c>
      <c r="Y112" s="11">
        <f>VLOOKUP($G112, SeanRanks!$A$2:$K$303, 10, FALSE)-V112</f>
        <v>-10</v>
      </c>
      <c r="Z112" s="25">
        <f>IF(VLOOKUP($G112, SeanRanks!$A$2:$H$303, 7, FALSE)=0, "", VLOOKUP($G112, SeanRanks!$A$2:$H$303, 7, FALSE))</f>
        <v>36</v>
      </c>
    </row>
    <row r="113" spans="1:26" ht="14.25" hidden="1" customHeight="1" x14ac:dyDescent="0.25">
      <c r="A113" s="11"/>
      <c r="B113" s="11">
        <f t="shared" si="3"/>
        <v>12</v>
      </c>
      <c r="C113" s="11" t="s">
        <v>148</v>
      </c>
      <c r="D113" s="11">
        <v>9</v>
      </c>
      <c r="E113" s="11"/>
      <c r="F113" s="11">
        <f>VLOOKUP(G113, SeanRanks!$A$2:$E$302, 4, FALSE)</f>
        <v>0</v>
      </c>
      <c r="G113" s="11" t="s">
        <v>322</v>
      </c>
      <c r="H113" s="11" t="str">
        <f>VLOOKUP($G113, 'ADP Data'!$C$4:$Q$300, 2, FALSE)</f>
        <v>PHI</v>
      </c>
      <c r="I113" s="11">
        <f>VLOOKUP(G113, 'ADP Data'!$C$4:$R$498, 12, FALSE)</f>
        <v>144</v>
      </c>
      <c r="J113" s="57">
        <f>VLOOKUP($G113, SeanRanks!$A$2:$H$303, 5, FALSE)</f>
        <v>0</v>
      </c>
      <c r="K113" s="11" t="str">
        <f>IF(VLOOKUP($G113, SeanRanks!$A$2:$H$303, 6, FALSE)=0, "", VLOOKUP($G113, SeanRanks!$A$2:$H$303, 6, FALSE))</f>
        <v/>
      </c>
      <c r="L113" s="11">
        <f t="shared" si="4"/>
        <v>18</v>
      </c>
      <c r="M113" s="11">
        <f>VLOOKUP($G113, 'ADP Data'!$C$4:$Q$300, 9, FALSE)</f>
        <v>138</v>
      </c>
      <c r="N113" s="11">
        <f t="shared" si="5"/>
        <v>-2</v>
      </c>
      <c r="O113" s="11">
        <f>VLOOKUP($G113, 'ADP Data'!$C$4:$Q$300, 3, FALSE)</f>
        <v>124</v>
      </c>
      <c r="P113" s="11">
        <f t="shared" si="6"/>
        <v>14</v>
      </c>
      <c r="Q113" s="11">
        <f>VLOOKUP($G113, 'ADP Data'!$C$4:$Q$300, 4, FALSE)</f>
        <v>131</v>
      </c>
      <c r="R113" s="11">
        <f>VLOOKUP($G113, 'ADP Data'!$C$4:$Q$300, 5, FALSE)</f>
        <v>170</v>
      </c>
      <c r="S113" s="11">
        <f>VLOOKUP($G113, 'ADP Data'!$C$4:$Q$300, 6, FALSE)</f>
        <v>123</v>
      </c>
      <c r="T113" s="11">
        <f>VLOOKUP($G113, 'ADP Data'!$C$4:$Q$300, 7, FALSE)</f>
        <v>152</v>
      </c>
      <c r="U113" s="11">
        <f>VLOOKUP($G113, 'ADP Data'!$C$4:$Q$300, 8, FALSE)</f>
        <v>142</v>
      </c>
      <c r="V113" s="11">
        <f t="shared" si="7"/>
        <v>140</v>
      </c>
      <c r="W113" s="11">
        <f t="shared" si="8"/>
        <v>18</v>
      </c>
      <c r="X113" s="11">
        <f t="shared" si="9"/>
        <v>-9</v>
      </c>
      <c r="Y113" s="11">
        <f>VLOOKUP($G113, SeanRanks!$A$2:$K$303, 10, FALSE)-V113</f>
        <v>-22</v>
      </c>
      <c r="Z113" s="25" t="str">
        <f>IF(VLOOKUP($G113, SeanRanks!$A$2:$H$303, 7, FALSE)=0, "", VLOOKUP($G113, SeanRanks!$A$2:$H$303, 7, FALSE))</f>
        <v/>
      </c>
    </row>
    <row r="114" spans="1:26" ht="14.25" hidden="1" customHeight="1" x14ac:dyDescent="0.25">
      <c r="A114" s="11"/>
      <c r="B114" s="11">
        <f t="shared" si="3"/>
        <v>2</v>
      </c>
      <c r="C114" s="11" t="s">
        <v>119</v>
      </c>
      <c r="D114" s="11">
        <v>9</v>
      </c>
      <c r="E114" s="11"/>
      <c r="F114" s="11">
        <f>VLOOKUP(G114, SeanRanks!$A$2:$E$302, 4, FALSE)</f>
        <v>0</v>
      </c>
      <c r="G114" s="11" t="s">
        <v>75</v>
      </c>
      <c r="H114" s="11" t="str">
        <f>VLOOKUP($G114, 'ADP Data'!$C$4:$Q$300, 2, FALSE)</f>
        <v>CIN</v>
      </c>
      <c r="I114" s="11">
        <f>VLOOKUP(G114, 'ADP Data'!$C$4:$R$498, 12, FALSE)</f>
        <v>16</v>
      </c>
      <c r="J114" s="58" t="str">
        <f>VLOOKUP($G114, SeanRanks!$A$2:$H$303, 5, FALSE)</f>
        <v>Yes</v>
      </c>
      <c r="K114" s="11" t="str">
        <f>IF(VLOOKUP($G114, SeanRanks!$A$2:$H$303, 6, FALSE)=0, "", VLOOKUP($G114, SeanRanks!$A$2:$H$303, 6, FALSE))</f>
        <v>RB1 - 2 - Elite ceiling/questions</v>
      </c>
      <c r="L114" s="11">
        <f t="shared" si="4"/>
        <v>4</v>
      </c>
      <c r="M114" s="11">
        <f>VLOOKUP($G114, 'ADP Data'!$C$4:$Q$300, 9, FALSE)</f>
        <v>28</v>
      </c>
      <c r="N114" s="11">
        <f t="shared" si="5"/>
        <v>7</v>
      </c>
      <c r="O114" s="11">
        <f>VLOOKUP($G114, 'ADP Data'!$C$4:$Q$300, 3, FALSE)</f>
        <v>19</v>
      </c>
      <c r="P114" s="11">
        <f t="shared" si="6"/>
        <v>9</v>
      </c>
      <c r="Q114" s="11">
        <f>VLOOKUP($G114, 'ADP Data'!$C$4:$Q$300, 4, FALSE)</f>
        <v>24</v>
      </c>
      <c r="R114" s="11">
        <f>VLOOKUP($G114, 'ADP Data'!$C$4:$Q$300, 5, FALSE)</f>
        <v>18</v>
      </c>
      <c r="S114" s="11">
        <f>VLOOKUP($G114, 'ADP Data'!$C$4:$Q$300, 6, FALSE)</f>
        <v>17</v>
      </c>
      <c r="T114" s="11">
        <f>VLOOKUP($G114, 'ADP Data'!$C$4:$Q$300, 7, FALSE)</f>
        <v>17</v>
      </c>
      <c r="U114" s="11">
        <f>VLOOKUP($G114, 'ADP Data'!$C$4:$Q$300, 8, FALSE)</f>
        <v>26</v>
      </c>
      <c r="V114" s="11">
        <f t="shared" si="7"/>
        <v>21</v>
      </c>
      <c r="W114" s="11">
        <f t="shared" si="8"/>
        <v>3</v>
      </c>
      <c r="X114" s="11">
        <f t="shared" si="9"/>
        <v>6</v>
      </c>
      <c r="Y114" s="11">
        <f>VLOOKUP($G114, SeanRanks!$A$2:$K$303, 10, FALSE)-V114</f>
        <v>0</v>
      </c>
      <c r="Z114" s="25">
        <f>IF(VLOOKUP($G114, SeanRanks!$A$2:$H$303, 7, FALSE)=0, "", VLOOKUP($G114, SeanRanks!$A$2:$H$303, 7, FALSE))</f>
        <v>10</v>
      </c>
    </row>
    <row r="115" spans="1:26" ht="14.25" hidden="1" customHeight="1" x14ac:dyDescent="0.25">
      <c r="A115" s="11"/>
      <c r="B115" s="11">
        <f t="shared" si="3"/>
        <v>5</v>
      </c>
      <c r="C115" s="11" t="s">
        <v>119</v>
      </c>
      <c r="D115" s="11">
        <v>9</v>
      </c>
      <c r="E115" s="11"/>
      <c r="F115" s="11">
        <f>VLOOKUP(G115, SeanRanks!$A$2:$E$302, 4, FALSE)</f>
        <v>0</v>
      </c>
      <c r="G115" s="11" t="s">
        <v>196</v>
      </c>
      <c r="H115" s="11" t="str">
        <f>VLOOKUP($G115, 'ADP Data'!$C$4:$Q$300, 2, FALSE)</f>
        <v>DET</v>
      </c>
      <c r="I115" s="11">
        <f>VLOOKUP(G115, 'ADP Data'!$C$4:$R$498, 12, FALSE)</f>
        <v>48</v>
      </c>
      <c r="J115" s="43">
        <f>VLOOKUP($G115, SeanRanks!$A$2:$H$303, 5, FALSE)</f>
        <v>0</v>
      </c>
      <c r="K115" s="11" t="str">
        <f>IF(VLOOKUP($G115, SeanRanks!$A$2:$H$303, 6, FALSE)=0, "", VLOOKUP($G115, SeanRanks!$A$2:$H$303, 6, FALSE))</f>
        <v xml:space="preserve">WR3 - 1 - </v>
      </c>
      <c r="L115" s="11">
        <f t="shared" si="4"/>
        <v>8</v>
      </c>
      <c r="M115" s="11">
        <f>VLOOKUP($G115, 'ADP Data'!$C$4:$Q$300, 9, FALSE)</f>
        <v>60</v>
      </c>
      <c r="N115" s="11">
        <f t="shared" si="5"/>
        <v>1</v>
      </c>
      <c r="O115" s="11">
        <f>VLOOKUP($G115, 'ADP Data'!$C$4:$Q$300, 3, FALSE)</f>
        <v>64</v>
      </c>
      <c r="P115" s="11">
        <f t="shared" si="6"/>
        <v>-4</v>
      </c>
      <c r="Q115" s="11">
        <f>VLOOKUP($G115, 'ADP Data'!$C$4:$Q$300, 4, FALSE)</f>
        <v>65</v>
      </c>
      <c r="R115" s="11">
        <f>VLOOKUP($G115, 'ADP Data'!$C$4:$Q$300, 5, FALSE)</f>
        <v>64</v>
      </c>
      <c r="S115" s="11">
        <f>VLOOKUP($G115, 'ADP Data'!$C$4:$Q$300, 6, FALSE)</f>
        <v>57</v>
      </c>
      <c r="T115" s="11">
        <f>VLOOKUP($G115, 'ADP Data'!$C$4:$Q$300, 7, FALSE)</f>
        <v>53</v>
      </c>
      <c r="U115" s="11">
        <f>VLOOKUP($G115, 'ADP Data'!$C$4:$Q$300, 8, FALSE)</f>
        <v>51</v>
      </c>
      <c r="V115" s="11">
        <f t="shared" si="7"/>
        <v>59</v>
      </c>
      <c r="W115" s="11">
        <f t="shared" si="8"/>
        <v>8</v>
      </c>
      <c r="X115" s="11">
        <f t="shared" si="9"/>
        <v>1</v>
      </c>
      <c r="Y115" s="11">
        <f>VLOOKUP($G115, SeanRanks!$A$2:$K$303, 10, FALSE)-V115</f>
        <v>-2</v>
      </c>
      <c r="Z115" s="25">
        <f>IF(VLOOKUP($G115, SeanRanks!$A$2:$H$303, 7, FALSE)=0, "", VLOOKUP($G115, SeanRanks!$A$2:$H$303, 7, FALSE))</f>
        <v>23</v>
      </c>
    </row>
    <row r="116" spans="1:26" ht="14.25" hidden="1" customHeight="1" x14ac:dyDescent="0.25">
      <c r="A116" s="11"/>
      <c r="B116" s="11">
        <f t="shared" si="3"/>
        <v>13</v>
      </c>
      <c r="C116" s="11" t="s">
        <v>119</v>
      </c>
      <c r="D116" s="11">
        <v>11</v>
      </c>
      <c r="E116" s="11"/>
      <c r="F116" s="11">
        <f>VLOOKUP(G116, SeanRanks!$A$2:$E$302, 4, FALSE)</f>
        <v>0</v>
      </c>
      <c r="G116" s="11" t="s">
        <v>902</v>
      </c>
      <c r="H116" s="11" t="str">
        <f>VLOOKUP($G116, 'ADP Data'!$C$4:$Q$300, 2, FALSE)</f>
        <v>HOU</v>
      </c>
      <c r="I116" s="11">
        <f>VLOOKUP(G116, 'ADP Data'!$C$4:$R$498, 12, FALSE)</f>
        <v>145</v>
      </c>
      <c r="J116" s="59">
        <f>VLOOKUP($G116, SeanRanks!$A$2:$H$303, 5, FALSE)</f>
        <v>0</v>
      </c>
      <c r="K116" s="11" t="str">
        <f>IF(VLOOKUP($G116, SeanRanks!$A$2:$H$303, 6, FALSE)=0, "", VLOOKUP($G116, SeanRanks!$A$2:$H$303, 6, FALSE))</f>
        <v>RB4 - 2 - low ceiling</v>
      </c>
      <c r="L116" s="11">
        <f t="shared" si="4"/>
        <v>18</v>
      </c>
      <c r="M116" s="11">
        <f>VLOOKUP($G116, 'ADP Data'!$C$4:$Q$300, 9, FALSE)</f>
        <v>141</v>
      </c>
      <c r="N116" s="11">
        <f t="shared" si="5"/>
        <v>-6</v>
      </c>
      <c r="O116" s="11">
        <f>VLOOKUP($G116, 'ADP Data'!$C$4:$Q$300, 3, FALSE)</f>
        <v>111</v>
      </c>
      <c r="P116" s="11">
        <f t="shared" si="6"/>
        <v>30</v>
      </c>
      <c r="Q116" s="11">
        <f>VLOOKUP($G116, 'ADP Data'!$C$4:$Q$300, 4, FALSE)</f>
        <v>133</v>
      </c>
      <c r="R116" s="11">
        <f>VLOOKUP($G116, 'ADP Data'!$C$4:$Q$300, 5, FALSE)</f>
        <v>194</v>
      </c>
      <c r="S116" s="11">
        <f>VLOOKUP($G116, 'ADP Data'!$C$4:$Q$300, 6, FALSE)</f>
        <v>128</v>
      </c>
      <c r="T116" s="11">
        <f>VLOOKUP($G116, 'ADP Data'!$C$4:$Q$300, 7, FALSE)</f>
        <v>147</v>
      </c>
      <c r="U116" s="11">
        <f>VLOOKUP($G116, 'ADP Data'!$C$4:$Q$300, 8, FALSE)</f>
        <v>175</v>
      </c>
      <c r="V116" s="11">
        <f t="shared" si="7"/>
        <v>147</v>
      </c>
      <c r="W116" s="11">
        <f t="shared" si="8"/>
        <v>19</v>
      </c>
      <c r="X116" s="11">
        <f t="shared" si="9"/>
        <v>-8</v>
      </c>
      <c r="Y116" s="11">
        <f>VLOOKUP($G116, SeanRanks!$A$2:$K$303, 10, FALSE)-V116</f>
        <v>-8</v>
      </c>
      <c r="Z116" s="25">
        <f>IF(VLOOKUP($G116, SeanRanks!$A$2:$H$303, 7, FALSE)=0, "", VLOOKUP($G116, SeanRanks!$A$2:$H$303, 7, FALSE))</f>
        <v>47</v>
      </c>
    </row>
    <row r="117" spans="1:26" ht="14.25" hidden="1" customHeight="1" x14ac:dyDescent="0.25">
      <c r="A117" s="11"/>
      <c r="B117" s="11">
        <f t="shared" si="3"/>
        <v>16</v>
      </c>
      <c r="C117" s="11" t="s">
        <v>148</v>
      </c>
      <c r="D117" s="11">
        <v>9</v>
      </c>
      <c r="E117" s="11"/>
      <c r="F117" s="11">
        <f>VLOOKUP(G117, SeanRanks!$A$2:$E$302, 4, FALSE)</f>
        <v>0</v>
      </c>
      <c r="G117" s="11" t="s">
        <v>619</v>
      </c>
      <c r="H117" s="11" t="str">
        <f>VLOOKUP($G117, 'ADP Data'!$C$4:$Q$300, 2, FALSE)</f>
        <v>MIA</v>
      </c>
      <c r="I117" s="11">
        <f>VLOOKUP(G117, 'ADP Data'!$C$4:$R$498, 12, FALSE)</f>
        <v>153</v>
      </c>
      <c r="J117" s="60">
        <f>VLOOKUP($G117, SeanRanks!$A$2:$H$303, 5, FALSE)</f>
        <v>0</v>
      </c>
      <c r="K117" s="11" t="str">
        <f>IF(VLOOKUP($G117, SeanRanks!$A$2:$H$303, 6, FALSE)=0, "", VLOOKUP($G117, SeanRanks!$A$2:$H$303, 6, FALSE))</f>
        <v>Don’t Draft - Streamer</v>
      </c>
      <c r="L117" s="11">
        <f t="shared" si="4"/>
        <v>25</v>
      </c>
      <c r="M117" s="11">
        <f>VLOOKUP($G117, 'ADP Data'!$C$4:$Q$300, 9, FALSE)</f>
        <v>198</v>
      </c>
      <c r="N117" s="11">
        <f t="shared" si="5"/>
        <v>15</v>
      </c>
      <c r="O117" s="11">
        <f>VLOOKUP($G117, 'ADP Data'!$C$4:$Q$300, 3, FALSE)</f>
        <v>154</v>
      </c>
      <c r="P117" s="11">
        <f t="shared" si="6"/>
        <v>44</v>
      </c>
      <c r="Q117" s="11">
        <f>VLOOKUP($G117, 'ADP Data'!$C$4:$Q$300, 4, FALSE)</f>
        <v>166</v>
      </c>
      <c r="R117" s="11">
        <f>VLOOKUP($G117, 'ADP Data'!$C$4:$Q$300, 5, FALSE)</f>
        <v>217</v>
      </c>
      <c r="S117" s="11">
        <f>VLOOKUP($G117, 'ADP Data'!$C$4:$Q$300, 6, FALSE)</f>
        <v>183</v>
      </c>
      <c r="T117" s="11">
        <f>VLOOKUP($G117, 'ADP Data'!$C$4:$Q$300, 7, FALSE)</f>
        <v>174</v>
      </c>
      <c r="U117" s="11">
        <f>VLOOKUP($G117, 'ADP Data'!$C$4:$Q$300, 8, FALSE)</f>
        <v>193</v>
      </c>
      <c r="V117" s="11">
        <f t="shared" si="7"/>
        <v>183</v>
      </c>
      <c r="W117" s="11">
        <f t="shared" si="8"/>
        <v>23</v>
      </c>
      <c r="X117" s="11">
        <f t="shared" si="9"/>
        <v>-14</v>
      </c>
      <c r="Y117" s="11">
        <f>VLOOKUP($G117, SeanRanks!$A$2:$K$303, 10, FALSE)-V117</f>
        <v>-31</v>
      </c>
      <c r="Z117" s="25">
        <f>IF(VLOOKUP($G117, SeanRanks!$A$2:$H$303, 7, FALSE)=0, "", VLOOKUP($G117, SeanRanks!$A$2:$H$303, 7, FALSE))</f>
        <v>20</v>
      </c>
    </row>
    <row r="118" spans="1:26" ht="14.25" hidden="1" customHeight="1" x14ac:dyDescent="0.25">
      <c r="A118" s="11"/>
      <c r="B118" s="11">
        <f t="shared" si="3"/>
        <v>10</v>
      </c>
      <c r="C118" s="11" t="s">
        <v>148</v>
      </c>
      <c r="D118" s="11">
        <v>9</v>
      </c>
      <c r="E118" s="11"/>
      <c r="F118" s="11">
        <f>VLOOKUP(G118, SeanRanks!$A$2:$E$302, 4, FALSE)</f>
        <v>0</v>
      </c>
      <c r="G118" s="11" t="s">
        <v>333</v>
      </c>
      <c r="H118" s="11" t="str">
        <f>VLOOKUP($G118, 'ADP Data'!$C$4:$Q$300, 2, FALSE)</f>
        <v>DET</v>
      </c>
      <c r="I118" s="11">
        <f>VLOOKUP(G118, 'ADP Data'!$C$4:$R$498, 12, FALSE)</f>
        <v>119</v>
      </c>
      <c r="J118" s="60">
        <f>VLOOKUP($G118, SeanRanks!$A$2:$H$303, 5, FALSE)</f>
        <v>0</v>
      </c>
      <c r="K118" s="11" t="str">
        <f>IF(VLOOKUP($G118, SeanRanks!$A$2:$H$303, 6, FALSE)=0, "", VLOOKUP($G118, SeanRanks!$A$2:$H$303, 6, FALSE))</f>
        <v>QB2 - 2 - Not League Winner</v>
      </c>
      <c r="L118" s="11">
        <f t="shared" si="4"/>
        <v>13</v>
      </c>
      <c r="M118" s="11">
        <f>VLOOKUP($G118, 'ADP Data'!$C$4:$Q$300, 9, FALSE)</f>
        <v>97</v>
      </c>
      <c r="N118" s="11">
        <f t="shared" si="5"/>
        <v>-12</v>
      </c>
      <c r="O118" s="11">
        <f>VLOOKUP($G118, 'ADP Data'!$C$4:$Q$300, 3, FALSE)</f>
        <v>93</v>
      </c>
      <c r="P118" s="11">
        <f t="shared" si="6"/>
        <v>4</v>
      </c>
      <c r="Q118" s="11">
        <f>VLOOKUP($G118, 'ADP Data'!$C$4:$Q$300, 4, FALSE)</f>
        <v>123</v>
      </c>
      <c r="R118" s="11">
        <f>VLOOKUP($G118, 'ADP Data'!$C$4:$Q$300, 5, FALSE)</f>
        <v>115</v>
      </c>
      <c r="S118" s="11">
        <f>VLOOKUP($G118, 'ADP Data'!$C$4:$Q$300, 6, FALSE)</f>
        <v>132</v>
      </c>
      <c r="T118" s="11">
        <f>VLOOKUP($G118, 'ADP Data'!$C$4:$Q$300, 7, FALSE)</f>
        <v>103</v>
      </c>
      <c r="U118" s="11">
        <f>VLOOKUP($G118, 'ADP Data'!$C$4:$Q$300, 8, FALSE)</f>
        <v>105</v>
      </c>
      <c r="V118" s="11">
        <f t="shared" si="7"/>
        <v>109</v>
      </c>
      <c r="W118" s="11">
        <f t="shared" si="8"/>
        <v>14</v>
      </c>
      <c r="X118" s="11">
        <f t="shared" si="9"/>
        <v>-5</v>
      </c>
      <c r="Y118" s="11">
        <f>VLOOKUP($G118, SeanRanks!$A$2:$K$303, 10, FALSE)-V118</f>
        <v>4</v>
      </c>
      <c r="Z118" s="25">
        <f>IF(VLOOKUP($G118, SeanRanks!$A$2:$H$303, 7, FALSE)=0, "", VLOOKUP($G118, SeanRanks!$A$2:$H$303, 7, FALSE))</f>
        <v>16</v>
      </c>
    </row>
    <row r="119" spans="1:26" ht="14.25" hidden="1" customHeight="1" x14ac:dyDescent="0.25">
      <c r="A119" s="11"/>
      <c r="B119" s="11" t="e">
        <f t="shared" si="3"/>
        <v>#N/A</v>
      </c>
      <c r="C119" s="11" t="s">
        <v>148</v>
      </c>
      <c r="D119" s="11"/>
      <c r="E119" s="11"/>
      <c r="F119" s="11" t="e">
        <f>VLOOKUP(G119, SeanRanks!$A$2:$E$302, 4, FALSE)</f>
        <v>#N/A</v>
      </c>
      <c r="G119" s="11" t="s">
        <v>904</v>
      </c>
      <c r="H119" s="11" t="e">
        <f>VLOOKUP($G119, 'ADP Data'!$C$4:$Q$300, 2, FALSE)</f>
        <v>#N/A</v>
      </c>
      <c r="I119" s="11" t="e">
        <f>VLOOKUP(G119, 'ADP Data'!$C$4:$R$498, 12, FALSE)</f>
        <v>#N/A</v>
      </c>
      <c r="J119" s="58" t="e">
        <f>VLOOKUP($G119, SeanRanks!$A$2:$H$303, 5, FALSE)</f>
        <v>#N/A</v>
      </c>
      <c r="K119" s="11" t="e">
        <f>IF(VLOOKUP($G119, SeanRanks!$A$2:$H$303, 6, FALSE)=0, "", VLOOKUP($G119, SeanRanks!$A$2:$H$303, 6, FALSE))</f>
        <v>#N/A</v>
      </c>
      <c r="L119" s="11">
        <f t="shared" si="4"/>
        <v>16</v>
      </c>
      <c r="M119" s="11" t="e">
        <f>VLOOKUP($G119, 'ADP Data'!$C$4:$Q$300, 9, FALSE)</f>
        <v>#N/A</v>
      </c>
      <c r="N119" s="11" t="e">
        <f t="shared" si="5"/>
        <v>#N/A</v>
      </c>
      <c r="O119" s="11" t="e">
        <f>VLOOKUP($G119, 'ADP Data'!$C$4:$Q$300, 3, FALSE)</f>
        <v>#N/A</v>
      </c>
      <c r="P119" s="11" t="e">
        <f t="shared" si="6"/>
        <v>#N/A</v>
      </c>
      <c r="Q119" s="11" t="e">
        <f>VLOOKUP($G119, 'ADP Data'!$C$4:$Q$300, 4, FALSE)</f>
        <v>#N/A</v>
      </c>
      <c r="R119" s="11" t="e">
        <f>VLOOKUP($G119, 'ADP Data'!$C$4:$Q$300, 5, FALSE)</f>
        <v>#N/A</v>
      </c>
      <c r="S119" s="11" t="e">
        <f>VLOOKUP($G119, 'ADP Data'!$C$4:$Q$300, 6, FALSE)</f>
        <v>#N/A</v>
      </c>
      <c r="T119" s="11" t="e">
        <f>VLOOKUP($G119, 'ADP Data'!$C$4:$Q$300, 7, FALSE)</f>
        <v>#N/A</v>
      </c>
      <c r="U119" s="11" t="e">
        <f>VLOOKUP($G119, 'ADP Data'!$C$4:$Q$300, 8, FALSE)</f>
        <v>#N/A</v>
      </c>
      <c r="V119" s="11" t="e">
        <f t="shared" si="7"/>
        <v>#N/A</v>
      </c>
      <c r="W119" s="11">
        <f t="shared" si="8"/>
        <v>16</v>
      </c>
      <c r="X119" s="11">
        <f t="shared" si="9"/>
        <v>-16</v>
      </c>
      <c r="Y119" s="11" t="e">
        <f>VLOOKUP($G119, SeanRanks!$A$2:$K$303, 10, FALSE)-V119</f>
        <v>#N/A</v>
      </c>
      <c r="Z119" s="25" t="e">
        <f>IF(VLOOKUP($G119, SeanRanks!$A$2:$H$303, 7, FALSE)=0, "", VLOOKUP($G119, SeanRanks!$A$2:$H$303, 7, FALSE))</f>
        <v>#N/A</v>
      </c>
    </row>
    <row r="120" spans="1:26" ht="14.25" hidden="1" customHeight="1" x14ac:dyDescent="0.25">
      <c r="A120" s="11" t="s">
        <v>148</v>
      </c>
      <c r="B120" s="11">
        <f t="shared" si="3"/>
        <v>15</v>
      </c>
      <c r="C120" s="11" t="s">
        <v>119</v>
      </c>
      <c r="D120" s="11">
        <v>9</v>
      </c>
      <c r="E120" s="11"/>
      <c r="F120" s="11">
        <f>VLOOKUP(G120, SeanRanks!$A$2:$E$302, 4, FALSE)</f>
        <v>0</v>
      </c>
      <c r="G120" s="11" t="s">
        <v>905</v>
      </c>
      <c r="H120" s="11" t="str">
        <f>VLOOKUP($G120, 'ADP Data'!$C$4:$Q$300, 2, FALSE)</f>
        <v>CLE</v>
      </c>
      <c r="I120" s="11">
        <f>VLOOKUP(G120, 'ADP Data'!$C$4:$R$498, 12, FALSE)</f>
        <v>168</v>
      </c>
      <c r="J120" s="59">
        <f>VLOOKUP($G120, SeanRanks!$A$2:$H$303, 5, FALSE)</f>
        <v>0</v>
      </c>
      <c r="K120" s="11" t="str">
        <f>IF(VLOOKUP($G120, SeanRanks!$A$2:$H$303, 6, FALSE)=0, "", VLOOKUP($G120, SeanRanks!$A$2:$H$303, 6, FALSE))</f>
        <v>Don’t draft - replacement value</v>
      </c>
      <c r="L120" s="11">
        <f t="shared" si="4"/>
        <v>20</v>
      </c>
      <c r="M120" s="11">
        <f>VLOOKUP($G120, 'ADP Data'!$C$4:$Q$300, 9, FALSE)</f>
        <v>157</v>
      </c>
      <c r="N120" s="11">
        <f t="shared" si="5"/>
        <v>-10</v>
      </c>
      <c r="O120" s="11">
        <f>VLOOKUP($G120, 'ADP Data'!$C$4:$Q$300, 3, FALSE)</f>
        <v>147</v>
      </c>
      <c r="P120" s="11">
        <f t="shared" si="6"/>
        <v>10</v>
      </c>
      <c r="Q120" s="11">
        <f>VLOOKUP($G120, 'ADP Data'!$C$4:$Q$300, 4, FALSE)</f>
        <v>147</v>
      </c>
      <c r="R120" s="11">
        <f>VLOOKUP($G120, 'ADP Data'!$C$4:$Q$300, 5, FALSE)</f>
        <v>181</v>
      </c>
      <c r="S120" s="11">
        <f>VLOOKUP($G120, 'ADP Data'!$C$4:$Q$300, 6, FALSE)</f>
        <v>146</v>
      </c>
      <c r="T120" s="11">
        <f>VLOOKUP($G120, 'ADP Data'!$C$4:$Q$300, 7, FALSE)</f>
        <v>151</v>
      </c>
      <c r="U120" s="11">
        <f>VLOOKUP($G120, 'ADP Data'!$C$4:$Q$300, 8, FALSE)</f>
        <v>244</v>
      </c>
      <c r="V120" s="11">
        <f t="shared" si="7"/>
        <v>167</v>
      </c>
      <c r="W120" s="11">
        <f t="shared" si="8"/>
        <v>21</v>
      </c>
      <c r="X120" s="11">
        <f t="shared" si="9"/>
        <v>-12</v>
      </c>
      <c r="Y120" s="11">
        <f>VLOOKUP($G120, SeanRanks!$A$2:$K$303, 10, FALSE)-V120</f>
        <v>-44</v>
      </c>
      <c r="Z120" s="25">
        <f>IF(VLOOKUP($G120, SeanRanks!$A$2:$H$303, 7, FALSE)=0, "", VLOOKUP($G120, SeanRanks!$A$2:$H$303, 7, FALSE))</f>
        <v>56</v>
      </c>
    </row>
    <row r="121" spans="1:26" ht="14.25" hidden="1" customHeight="1" x14ac:dyDescent="0.25">
      <c r="A121" s="11"/>
      <c r="B121" s="11" t="e">
        <f t="shared" si="3"/>
        <v>#N/A</v>
      </c>
      <c r="C121" s="11" t="s">
        <v>148</v>
      </c>
      <c r="D121" s="11">
        <v>9</v>
      </c>
      <c r="E121" s="11"/>
      <c r="F121" s="11" t="e">
        <f>VLOOKUP(G121, SeanRanks!$A$2:$E$302, 4, FALSE)</f>
        <v>#N/A</v>
      </c>
      <c r="G121" s="11" t="s">
        <v>907</v>
      </c>
      <c r="H121" s="11" t="e">
        <f>VLOOKUP($G121, 'ADP Data'!$C$4:$Q$300, 2, FALSE)</f>
        <v>#N/A</v>
      </c>
      <c r="I121" s="11" t="e">
        <f>VLOOKUP(G121, 'ADP Data'!$C$4:$R$498, 12, FALSE)</f>
        <v>#N/A</v>
      </c>
      <c r="J121" s="58" t="e">
        <f>VLOOKUP($G121, SeanRanks!$A$2:$H$303, 5, FALSE)</f>
        <v>#N/A</v>
      </c>
      <c r="K121" s="11" t="e">
        <f>IF(VLOOKUP($G121, SeanRanks!$A$2:$H$303, 6, FALSE)=0, "", VLOOKUP($G121, SeanRanks!$A$2:$H$303, 6, FALSE))</f>
        <v>#N/A</v>
      </c>
      <c r="L121" s="11">
        <f t="shared" si="4"/>
        <v>16</v>
      </c>
      <c r="M121" s="11" t="e">
        <f>VLOOKUP($G121, 'ADP Data'!$C$4:$Q$300, 9, FALSE)</f>
        <v>#N/A</v>
      </c>
      <c r="N121" s="11" t="e">
        <f t="shared" si="5"/>
        <v>#N/A</v>
      </c>
      <c r="O121" s="11" t="e">
        <f>VLOOKUP($G121, 'ADP Data'!$C$4:$Q$300, 3, FALSE)</f>
        <v>#N/A</v>
      </c>
      <c r="P121" s="11" t="e">
        <f t="shared" si="6"/>
        <v>#N/A</v>
      </c>
      <c r="Q121" s="11" t="e">
        <f>VLOOKUP($G121, 'ADP Data'!$C$4:$Q$300, 4, FALSE)</f>
        <v>#N/A</v>
      </c>
      <c r="R121" s="11" t="e">
        <f>VLOOKUP($G121, 'ADP Data'!$C$4:$Q$300, 5, FALSE)</f>
        <v>#N/A</v>
      </c>
      <c r="S121" s="11" t="e">
        <f>VLOOKUP($G121, 'ADP Data'!$C$4:$Q$300, 6, FALSE)</f>
        <v>#N/A</v>
      </c>
      <c r="T121" s="11" t="e">
        <f>VLOOKUP($G121, 'ADP Data'!$C$4:$Q$300, 7, FALSE)</f>
        <v>#N/A</v>
      </c>
      <c r="U121" s="11" t="e">
        <f>VLOOKUP($G121, 'ADP Data'!$C$4:$Q$300, 8, FALSE)</f>
        <v>#N/A</v>
      </c>
      <c r="V121" s="11" t="e">
        <f t="shared" si="7"/>
        <v>#N/A</v>
      </c>
      <c r="W121" s="11">
        <f t="shared" si="8"/>
        <v>16</v>
      </c>
      <c r="X121" s="11">
        <f t="shared" si="9"/>
        <v>-7</v>
      </c>
      <c r="Y121" s="11" t="e">
        <f>VLOOKUP($G121, SeanRanks!$A$2:$K$303, 10, FALSE)-V121</f>
        <v>#N/A</v>
      </c>
      <c r="Z121" s="25" t="e">
        <f>IF(VLOOKUP($G121, SeanRanks!$A$2:$H$303, 7, FALSE)=0, "", VLOOKUP($G121, SeanRanks!$A$2:$H$303, 7, FALSE))</f>
        <v>#N/A</v>
      </c>
    </row>
    <row r="122" spans="1:26" ht="14.25" hidden="1" customHeight="1" x14ac:dyDescent="0.25">
      <c r="A122" s="11"/>
      <c r="B122" s="11">
        <f t="shared" si="3"/>
        <v>14</v>
      </c>
      <c r="C122" s="11" t="s">
        <v>148</v>
      </c>
      <c r="D122" s="11">
        <v>10</v>
      </c>
      <c r="E122" s="11"/>
      <c r="F122" s="11">
        <f>VLOOKUP(G122, SeanRanks!$A$2:$E$302, 4, FALSE)</f>
        <v>0</v>
      </c>
      <c r="G122" s="11" t="s">
        <v>266</v>
      </c>
      <c r="H122" s="11" t="str">
        <f>VLOOKUP($G122, 'ADP Data'!$C$4:$Q$300, 2, FALSE)</f>
        <v>JAX</v>
      </c>
      <c r="I122" s="11">
        <f>VLOOKUP(G122, 'ADP Data'!$C$4:$R$498, 12, FALSE)</f>
        <v>132</v>
      </c>
      <c r="J122" s="59">
        <f>VLOOKUP($G122, SeanRanks!$A$2:$H$303, 5, FALSE)</f>
        <v>0</v>
      </c>
      <c r="K122" s="11" t="str">
        <f>IF(VLOOKUP($G122, SeanRanks!$A$2:$H$303, 6, FALSE)=0, "", VLOOKUP($G122, SeanRanks!$A$2:$H$303, 6, FALSE))</f>
        <v>QB2 - 2 - Not League Winner</v>
      </c>
      <c r="L122" s="11">
        <f t="shared" si="4"/>
        <v>22</v>
      </c>
      <c r="M122" s="11">
        <f>VLOOKUP($G122, 'ADP Data'!$C$4:$Q$300, 9, FALSE)</f>
        <v>168</v>
      </c>
      <c r="N122" s="11">
        <f t="shared" si="5"/>
        <v>9</v>
      </c>
      <c r="O122" s="11">
        <f>VLOOKUP($G122, 'ADP Data'!$C$4:$Q$300, 3, FALSE)</f>
        <v>151</v>
      </c>
      <c r="P122" s="11">
        <f t="shared" si="6"/>
        <v>17</v>
      </c>
      <c r="Q122" s="11">
        <f>VLOOKUP($G122, 'ADP Data'!$C$4:$Q$300, 4, FALSE)</f>
        <v>172</v>
      </c>
      <c r="R122" s="11">
        <f>VLOOKUP($G122, 'ADP Data'!$C$4:$Q$300, 5, FALSE)</f>
        <v>162</v>
      </c>
      <c r="S122" s="11">
        <f>VLOOKUP($G122, 'ADP Data'!$C$4:$Q$300, 6, FALSE)</f>
        <v>144</v>
      </c>
      <c r="T122" s="11">
        <f>VLOOKUP($G122, 'ADP Data'!$C$4:$Q$300, 7, FALSE)</f>
        <v>138</v>
      </c>
      <c r="U122" s="11">
        <f>VLOOKUP($G122, 'ADP Data'!$C$4:$Q$300, 8, FALSE)</f>
        <v>178</v>
      </c>
      <c r="V122" s="11">
        <f t="shared" si="7"/>
        <v>159</v>
      </c>
      <c r="W122" s="11">
        <f t="shared" si="8"/>
        <v>20</v>
      </c>
      <c r="X122" s="11">
        <f t="shared" si="9"/>
        <v>-10</v>
      </c>
      <c r="Y122" s="11">
        <f>VLOOKUP($G122, SeanRanks!$A$2:$K$303, 10, FALSE)-V122</f>
        <v>-27</v>
      </c>
      <c r="Z122" s="25">
        <f>IF(VLOOKUP($G122, SeanRanks!$A$2:$H$303, 7, FALSE)=0, "", VLOOKUP($G122, SeanRanks!$A$2:$H$303, 7, FALSE))</f>
        <v>19</v>
      </c>
    </row>
    <row r="123" spans="1:26" ht="14.25" hidden="1" customHeight="1" x14ac:dyDescent="0.25">
      <c r="A123" s="11"/>
      <c r="B123" s="11">
        <f t="shared" si="3"/>
        <v>9</v>
      </c>
      <c r="C123" s="11" t="s">
        <v>148</v>
      </c>
      <c r="D123" s="11"/>
      <c r="E123" s="11"/>
      <c r="F123" s="11">
        <f>VLOOKUP(G123, SeanRanks!$A$2:$E$302, 4, FALSE)</f>
        <v>0</v>
      </c>
      <c r="G123" s="11" t="s">
        <v>366</v>
      </c>
      <c r="H123" s="11" t="str">
        <f>VLOOKUP($G123, 'ADP Data'!$C$4:$Q$300, 2, FALSE)</f>
        <v>BUF</v>
      </c>
      <c r="I123" s="11">
        <f>VLOOKUP(G123, 'ADP Data'!$C$4:$R$498, 12, FALSE)</f>
        <v>92</v>
      </c>
      <c r="J123" s="45">
        <f>VLOOKUP($G123, SeanRanks!$A$2:$H$303, 5, FALSE)</f>
        <v>0</v>
      </c>
      <c r="K123" s="11" t="str">
        <f>IF(VLOOKUP($G123, SeanRanks!$A$2:$H$303, 6, FALSE)=0, "", VLOOKUP($G123, SeanRanks!$A$2:$H$303, 6, FALSE))</f>
        <v>WR4 - 2 - unclear path to WR2</v>
      </c>
      <c r="L123" s="11">
        <f t="shared" si="4"/>
        <v>12</v>
      </c>
      <c r="M123" s="11">
        <f>VLOOKUP($G123, 'ADP Data'!$C$4:$Q$300, 9, FALSE)</f>
        <v>93</v>
      </c>
      <c r="N123" s="11">
        <f t="shared" si="5"/>
        <v>-11</v>
      </c>
      <c r="O123" s="11">
        <f>VLOOKUP($G123, 'ADP Data'!$C$4:$Q$300, 3, FALSE)</f>
        <v>118</v>
      </c>
      <c r="P123" s="11">
        <f t="shared" si="6"/>
        <v>-25</v>
      </c>
      <c r="Q123" s="11">
        <f>VLOOKUP($G123, 'ADP Data'!$C$4:$Q$300, 4, FALSE)</f>
        <v>108</v>
      </c>
      <c r="R123" s="11">
        <f>VLOOKUP($G123, 'ADP Data'!$C$4:$Q$300, 5, FALSE)</f>
        <v>116</v>
      </c>
      <c r="S123" s="11">
        <f>VLOOKUP($G123, 'ADP Data'!$C$4:$Q$300, 6, FALSE)</f>
        <v>103</v>
      </c>
      <c r="T123" s="11">
        <f>VLOOKUP($G123, 'ADP Data'!$C$4:$Q$300, 7, FALSE)</f>
        <v>88</v>
      </c>
      <c r="U123" s="11">
        <f>VLOOKUP($G123, 'ADP Data'!$C$4:$Q$300, 8, FALSE)</f>
        <v>102</v>
      </c>
      <c r="V123" s="11">
        <f t="shared" si="7"/>
        <v>104</v>
      </c>
      <c r="W123" s="11">
        <f t="shared" si="8"/>
        <v>14</v>
      </c>
      <c r="X123" s="11">
        <f t="shared" si="9"/>
        <v>-14</v>
      </c>
      <c r="Y123" s="11">
        <f>VLOOKUP($G123, SeanRanks!$A$2:$K$303, 10, FALSE)-V123</f>
        <v>2</v>
      </c>
      <c r="Z123" s="25">
        <f>IF(VLOOKUP($G123, SeanRanks!$A$2:$H$303, 7, FALSE)=0, "", VLOOKUP($G123, SeanRanks!$A$2:$H$303, 7, FALSE))</f>
        <v>45</v>
      </c>
    </row>
    <row r="124" spans="1:26" ht="14.25" hidden="1" customHeight="1" x14ac:dyDescent="0.25">
      <c r="A124" s="11"/>
      <c r="B124" s="11">
        <f t="shared" si="3"/>
        <v>21</v>
      </c>
      <c r="C124" s="11" t="s">
        <v>148</v>
      </c>
      <c r="D124" s="11"/>
      <c r="E124" s="11"/>
      <c r="F124" s="11">
        <f>VLOOKUP(G124, SeanRanks!$A$2:$E$302, 4, FALSE)</f>
        <v>0</v>
      </c>
      <c r="G124" s="11" t="s">
        <v>405</v>
      </c>
      <c r="H124" s="11" t="str">
        <f>VLOOKUP($G124, 'ADP Data'!$C$4:$Q$300, 2, FALSE)</f>
        <v>HOU</v>
      </c>
      <c r="I124" s="11">
        <f>VLOOKUP(G124, 'ADP Data'!$C$4:$R$498, 12, FALSE)</f>
        <v>226</v>
      </c>
      <c r="J124" s="61">
        <f>VLOOKUP($G124, SeanRanks!$A$2:$H$303, 5, FALSE)</f>
        <v>0</v>
      </c>
      <c r="K124" s="11" t="str">
        <f>IF(VLOOKUP($G124, SeanRanks!$A$2:$H$303, 6, FALSE)=0, "", VLOOKUP($G124, SeanRanks!$A$2:$H$303, 6, FALSE))</f>
        <v/>
      </c>
      <c r="L124" s="11">
        <f t="shared" si="4"/>
        <v>31</v>
      </c>
      <c r="M124" s="11">
        <f>VLOOKUP($G124, 'ADP Data'!$C$4:$Q$300, 9, FALSE)</f>
        <v>241</v>
      </c>
      <c r="N124" s="11">
        <f t="shared" si="5"/>
        <v>-3</v>
      </c>
      <c r="O124" s="11" t="str">
        <f>VLOOKUP($G124, 'ADP Data'!$C$4:$Q$300, 3, FALSE)</f>
        <v>-</v>
      </c>
      <c r="P124" s="11" t="e">
        <f t="shared" si="6"/>
        <v>#VALUE!</v>
      </c>
      <c r="Q124" s="11">
        <f>VLOOKUP($G124, 'ADP Data'!$C$4:$Q$300, 4, FALSE)</f>
        <v>267</v>
      </c>
      <c r="R124" s="11">
        <f>VLOOKUP($G124, 'ADP Data'!$C$4:$Q$300, 5, FALSE)</f>
        <v>287</v>
      </c>
      <c r="S124" s="11">
        <f>VLOOKUP($G124, 'ADP Data'!$C$4:$Q$300, 6, FALSE)</f>
        <v>210</v>
      </c>
      <c r="T124" s="11">
        <f>VLOOKUP($G124, 'ADP Data'!$C$4:$Q$300, 7, FALSE)</f>
        <v>248</v>
      </c>
      <c r="U124" s="11">
        <f>VLOOKUP($G124, 'ADP Data'!$C$4:$Q$300, 8, FALSE)</f>
        <v>216</v>
      </c>
      <c r="V124" s="11">
        <f t="shared" si="7"/>
        <v>244</v>
      </c>
      <c r="W124" s="11">
        <f t="shared" si="8"/>
        <v>31</v>
      </c>
      <c r="X124" s="11">
        <f t="shared" si="9"/>
        <v>-31</v>
      </c>
      <c r="Y124" s="11">
        <f>VLOOKUP($G124, SeanRanks!$A$2:$K$303, 10, FALSE)-V124</f>
        <v>-14</v>
      </c>
      <c r="Z124" s="25" t="str">
        <f>IF(VLOOKUP($G124, SeanRanks!$A$2:$H$303, 7, FALSE)=0, "", VLOOKUP($G124, SeanRanks!$A$2:$H$303, 7, FALSE))</f>
        <v/>
      </c>
    </row>
    <row r="125" spans="1:26" ht="14.25" customHeight="1" x14ac:dyDescent="0.25">
      <c r="A125" s="11"/>
      <c r="B125" s="11">
        <f t="shared" si="3"/>
        <v>18</v>
      </c>
      <c r="C125" s="11" t="s">
        <v>148</v>
      </c>
      <c r="D125" s="11"/>
      <c r="E125" s="11"/>
      <c r="F125" s="11">
        <f>VLOOKUP(G125, SeanRanks!$A$2:$E$302, 4, FALSE)</f>
        <v>0</v>
      </c>
      <c r="G125" s="11" t="s">
        <v>278</v>
      </c>
      <c r="H125" s="11" t="str">
        <f>VLOOKUP($G125, 'ADP Data'!$C$4:$Q$300, 2, FALSE)</f>
        <v>LAR</v>
      </c>
      <c r="I125" s="11">
        <f>VLOOKUP(G125, 'ADP Data'!$C$4:$R$498, 12, FALSE)</f>
        <v>216</v>
      </c>
      <c r="J125" s="59">
        <f>VLOOKUP($G125, SeanRanks!$A$2:$H$303, 5, FALSE)</f>
        <v>0</v>
      </c>
      <c r="K125" s="11" t="str">
        <f>IF(VLOOKUP($G125, SeanRanks!$A$2:$H$303, 6, FALSE)=0, "", VLOOKUP($G125, SeanRanks!$A$2:$H$303, 6, FALSE))</f>
        <v/>
      </c>
      <c r="L125" s="11">
        <f t="shared" si="4"/>
        <v>26</v>
      </c>
      <c r="M125" s="11">
        <f>VLOOKUP($G125, 'ADP Data'!$C$4:$Q$300, 9, FALSE)</f>
        <v>200</v>
      </c>
      <c r="N125" s="11">
        <f t="shared" si="5"/>
        <v>-10</v>
      </c>
      <c r="O125" s="11" t="str">
        <f>VLOOKUP($G125, 'ADP Data'!$C$4:$Q$300, 3, FALSE)</f>
        <v>-</v>
      </c>
      <c r="P125" s="11" t="e">
        <f t="shared" si="6"/>
        <v>#VALUE!</v>
      </c>
      <c r="Q125" s="11" t="str">
        <f>VLOOKUP($G125, 'ADP Data'!$C$4:$Q$300, 4, FALSE)</f>
        <v>-</v>
      </c>
      <c r="R125" s="11">
        <f>VLOOKUP($G125, 'ADP Data'!$C$4:$Q$300, 5, FALSE)</f>
        <v>248</v>
      </c>
      <c r="S125" s="11">
        <f>VLOOKUP($G125, 'ADP Data'!$C$4:$Q$300, 6, FALSE)</f>
        <v>176</v>
      </c>
      <c r="T125" s="11">
        <f>VLOOKUP($G125, 'ADP Data'!$C$4:$Q$300, 7, FALSE)</f>
        <v>181</v>
      </c>
      <c r="U125" s="11">
        <f>VLOOKUP($G125, 'ADP Data'!$C$4:$Q$300, 8, FALSE)</f>
        <v>245</v>
      </c>
      <c r="V125" s="11">
        <f t="shared" si="7"/>
        <v>210</v>
      </c>
      <c r="W125" s="11">
        <f t="shared" si="8"/>
        <v>27</v>
      </c>
      <c r="X125" s="11">
        <f t="shared" si="9"/>
        <v>-27</v>
      </c>
      <c r="Y125" s="11">
        <f>VLOOKUP($G125, SeanRanks!$A$2:$K$303, 10, FALSE)-V125</f>
        <v>-31</v>
      </c>
      <c r="Z125" s="25" t="str">
        <f>IF(VLOOKUP($G125, SeanRanks!$A$2:$H$303, 7, FALSE)=0, "", VLOOKUP($G125, SeanRanks!$A$2:$H$303, 7, FALSE))</f>
        <v/>
      </c>
    </row>
    <row r="126" spans="1:26" ht="14.25" hidden="1" customHeight="1" x14ac:dyDescent="0.25">
      <c r="A126" s="11"/>
      <c r="B126" s="11">
        <f t="shared" si="3"/>
        <v>18</v>
      </c>
      <c r="C126" s="11" t="s">
        <v>148</v>
      </c>
      <c r="D126" s="11">
        <v>11</v>
      </c>
      <c r="E126" s="11"/>
      <c r="F126" s="11">
        <f>VLOOKUP(G126, SeanRanks!$A$2:$E$302, 4, FALSE)</f>
        <v>0</v>
      </c>
      <c r="G126" s="11" t="s">
        <v>536</v>
      </c>
      <c r="H126" s="11" t="str">
        <f>VLOOKUP($G126, 'ADP Data'!$C$4:$Q$300, 2, FALSE)</f>
        <v>PIT</v>
      </c>
      <c r="I126" s="11">
        <f>VLOOKUP(G126, 'ADP Data'!$C$4:$R$498, 12, FALSE)</f>
        <v>228</v>
      </c>
      <c r="J126" s="57">
        <f>VLOOKUP($G126, SeanRanks!$A$2:$H$303, 5, FALSE)</f>
        <v>0</v>
      </c>
      <c r="K126" s="11" t="str">
        <f>IF(VLOOKUP($G126, SeanRanks!$A$2:$H$303, 6, FALSE)=0, "", VLOOKUP($G126, SeanRanks!$A$2:$H$303, 6, FALSE))</f>
        <v/>
      </c>
      <c r="L126" s="11">
        <f t="shared" si="4"/>
        <v>26</v>
      </c>
      <c r="M126" s="11">
        <f>VLOOKUP($G126, 'ADP Data'!$C$4:$Q$300, 9, FALSE)</f>
        <v>202</v>
      </c>
      <c r="N126" s="11">
        <f t="shared" si="5"/>
        <v>-3</v>
      </c>
      <c r="O126" s="11" t="str">
        <f>VLOOKUP($G126, 'ADP Data'!$C$4:$Q$300, 3, FALSE)</f>
        <v>-</v>
      </c>
      <c r="P126" s="11" t="e">
        <f t="shared" si="6"/>
        <v>#VALUE!</v>
      </c>
      <c r="Q126" s="11">
        <f>VLOOKUP($G126, 'ADP Data'!$C$4:$Q$300, 4, FALSE)</f>
        <v>198</v>
      </c>
      <c r="R126" s="11">
        <f>VLOOKUP($G126, 'ADP Data'!$C$4:$Q$300, 5, FALSE)</f>
        <v>239</v>
      </c>
      <c r="S126" s="11">
        <f>VLOOKUP($G126, 'ADP Data'!$C$4:$Q$300, 6, FALSE)</f>
        <v>196</v>
      </c>
      <c r="T126" s="11">
        <f>VLOOKUP($G126, 'ADP Data'!$C$4:$Q$300, 7, FALSE)</f>
        <v>221</v>
      </c>
      <c r="U126" s="11">
        <f>VLOOKUP($G126, 'ADP Data'!$C$4:$Q$300, 8, FALSE)</f>
        <v>176</v>
      </c>
      <c r="V126" s="11">
        <f t="shared" si="7"/>
        <v>205</v>
      </c>
      <c r="W126" s="11">
        <f t="shared" si="8"/>
        <v>26</v>
      </c>
      <c r="X126" s="11">
        <f t="shared" si="9"/>
        <v>-15</v>
      </c>
      <c r="Y126" s="11">
        <f>VLOOKUP($G126, SeanRanks!$A$2:$K$303, 10, FALSE)-V126</f>
        <v>23</v>
      </c>
      <c r="Z126" s="25" t="str">
        <f>IF(VLOOKUP($G126, SeanRanks!$A$2:$H$303, 7, FALSE)=0, "", VLOOKUP($G126, SeanRanks!$A$2:$H$303, 7, FALSE))</f>
        <v/>
      </c>
    </row>
    <row r="127" spans="1:26" ht="14.25" hidden="1" customHeight="1" x14ac:dyDescent="0.25">
      <c r="A127" s="11"/>
      <c r="B127" s="11">
        <f t="shared" si="3"/>
        <v>21</v>
      </c>
      <c r="C127" s="11" t="s">
        <v>148</v>
      </c>
      <c r="D127" s="11">
        <v>11</v>
      </c>
      <c r="E127" s="11"/>
      <c r="F127" s="11">
        <f>VLOOKUP(G127, SeanRanks!$A$2:$E$302, 4, FALSE)</f>
        <v>0</v>
      </c>
      <c r="G127" s="11" t="s">
        <v>908</v>
      </c>
      <c r="H127" s="11" t="str">
        <f>VLOOKUP($G127, 'ADP Data'!$C$4:$Q$300, 2, FALSE)</f>
        <v>TEN</v>
      </c>
      <c r="I127" s="11">
        <f>VLOOKUP(G127, 'ADP Data'!$C$4:$R$498, 12, FALSE)</f>
        <v>223</v>
      </c>
      <c r="J127" s="45">
        <f>VLOOKUP($G127, SeanRanks!$A$2:$H$303, 5, FALSE)</f>
        <v>0</v>
      </c>
      <c r="K127" s="11" t="str">
        <f>IF(VLOOKUP($G127, SeanRanks!$A$2:$H$303, 6, FALSE)=0, "", VLOOKUP($G127, SeanRanks!$A$2:$H$303, 6, FALSE))</f>
        <v/>
      </c>
      <c r="L127" s="11">
        <f t="shared" si="4"/>
        <v>30</v>
      </c>
      <c r="M127" s="11">
        <f>VLOOKUP($G127, 'ADP Data'!$C$4:$Q$300, 9, FALSE)</f>
        <v>235</v>
      </c>
      <c r="N127" s="11">
        <f t="shared" si="5"/>
        <v>-8</v>
      </c>
      <c r="O127" s="11" t="str">
        <f>VLOOKUP($G127, 'ADP Data'!$C$4:$Q$300, 3, FALSE)</f>
        <v>-</v>
      </c>
      <c r="P127" s="11" t="e">
        <f t="shared" si="6"/>
        <v>#VALUE!</v>
      </c>
      <c r="Q127" s="11" t="str">
        <f>VLOOKUP($G127, 'ADP Data'!$C$4:$Q$300, 4, FALSE)</f>
        <v>-</v>
      </c>
      <c r="R127" s="11">
        <f>VLOOKUP($G127, 'ADP Data'!$C$4:$Q$300, 5, FALSE)</f>
        <v>316</v>
      </c>
      <c r="S127" s="11">
        <f>VLOOKUP($G127, 'ADP Data'!$C$4:$Q$300, 6, FALSE)</f>
        <v>202</v>
      </c>
      <c r="T127" s="11">
        <f>VLOOKUP($G127, 'ADP Data'!$C$4:$Q$300, 7, FALSE)</f>
        <v>228</v>
      </c>
      <c r="U127" s="11">
        <f>VLOOKUP($G127, 'ADP Data'!$C$4:$Q$300, 8, FALSE)</f>
        <v>238</v>
      </c>
      <c r="V127" s="11">
        <f t="shared" si="7"/>
        <v>243</v>
      </c>
      <c r="W127" s="11">
        <f t="shared" si="8"/>
        <v>31</v>
      </c>
      <c r="X127" s="11">
        <f t="shared" si="9"/>
        <v>-20</v>
      </c>
      <c r="Y127" s="11" t="e">
        <f>VLOOKUP($G127, SeanRanks!$A$2:$K$303, 10, FALSE)-V127</f>
        <v>#VALUE!</v>
      </c>
      <c r="Z127" s="25" t="str">
        <f>IF(VLOOKUP($G127, SeanRanks!$A$2:$H$303, 7, FALSE)=0, "", VLOOKUP($G127, SeanRanks!$A$2:$H$303, 7, FALSE))</f>
        <v/>
      </c>
    </row>
    <row r="128" spans="1:26" ht="14.25" hidden="1" customHeight="1" x14ac:dyDescent="0.25">
      <c r="A128" s="11"/>
      <c r="B128" s="11">
        <f t="shared" si="3"/>
        <v>17</v>
      </c>
      <c r="C128" s="11" t="s">
        <v>148</v>
      </c>
      <c r="D128" s="11">
        <v>12</v>
      </c>
      <c r="E128" s="11"/>
      <c r="F128" s="11">
        <f>VLOOKUP(G128, SeanRanks!$A$2:$E$302, 4, FALSE)</f>
        <v>0</v>
      </c>
      <c r="G128" s="11" t="s">
        <v>346</v>
      </c>
      <c r="H128" s="11" t="str">
        <f>VLOOKUP($G128, 'ADP Data'!$C$4:$Q$300, 2, FALSE)</f>
        <v>GB</v>
      </c>
      <c r="I128" s="11">
        <f>VLOOKUP(G128, 'ADP Data'!$C$4:$R$498, 12, FALSE)</f>
        <v>142</v>
      </c>
      <c r="J128" s="45">
        <f>VLOOKUP($G128, SeanRanks!$A$2:$H$303, 5, FALSE)</f>
        <v>0</v>
      </c>
      <c r="K128" s="11" t="str">
        <f>IF(VLOOKUP($G128, SeanRanks!$A$2:$H$303, 6, FALSE)=0, "", VLOOKUP($G128, SeanRanks!$A$2:$H$303, 6, FALSE))</f>
        <v/>
      </c>
      <c r="L128" s="11">
        <f t="shared" si="4"/>
        <v>27</v>
      </c>
      <c r="M128" s="11">
        <f>VLOOKUP($G128, 'ADP Data'!$C$4:$Q$300, 9, FALSE)</f>
        <v>210</v>
      </c>
      <c r="N128" s="11">
        <f t="shared" si="5"/>
        <v>12</v>
      </c>
      <c r="O128" s="11">
        <f>VLOOKUP($G128, 'ADP Data'!$C$4:$Q$300, 3, FALSE)</f>
        <v>205</v>
      </c>
      <c r="P128" s="11">
        <f t="shared" si="6"/>
        <v>5</v>
      </c>
      <c r="Q128" s="11" t="str">
        <f>VLOOKUP($G128, 'ADP Data'!$C$4:$Q$300, 4, FALSE)</f>
        <v>-</v>
      </c>
      <c r="R128" s="11">
        <f>VLOOKUP($G128, 'ADP Data'!$C$4:$Q$300, 5, FALSE)</f>
        <v>219</v>
      </c>
      <c r="S128" s="11">
        <f>VLOOKUP($G128, 'ADP Data'!$C$4:$Q$300, 6, FALSE)</f>
        <v>172</v>
      </c>
      <c r="T128" s="11">
        <f>VLOOKUP($G128, 'ADP Data'!$C$4:$Q$300, 7, FALSE)</f>
        <v>163</v>
      </c>
      <c r="U128" s="11">
        <f>VLOOKUP($G128, 'ADP Data'!$C$4:$Q$300, 8, FALSE)</f>
        <v>223</v>
      </c>
      <c r="V128" s="11">
        <f t="shared" si="7"/>
        <v>198</v>
      </c>
      <c r="W128" s="11">
        <f t="shared" si="8"/>
        <v>25</v>
      </c>
      <c r="X128" s="11">
        <f t="shared" si="9"/>
        <v>-13</v>
      </c>
      <c r="Y128" s="11">
        <f>VLOOKUP($G128, SeanRanks!$A$2:$K$303, 10, FALSE)-V128</f>
        <v>-20</v>
      </c>
      <c r="Z128" s="25" t="str">
        <f>IF(VLOOKUP($G128, SeanRanks!$A$2:$H$303, 7, FALSE)=0, "", VLOOKUP($G128, SeanRanks!$A$2:$H$303, 7, FALSE))</f>
        <v/>
      </c>
    </row>
    <row r="129" spans="1:26" ht="14.25" hidden="1" customHeight="1" x14ac:dyDescent="0.25">
      <c r="A129" s="11"/>
      <c r="B129" s="11">
        <f t="shared" si="3"/>
        <v>16</v>
      </c>
      <c r="C129" s="11" t="s">
        <v>148</v>
      </c>
      <c r="D129" s="11"/>
      <c r="E129" s="11"/>
      <c r="F129" s="11">
        <f>VLOOKUP(G129, SeanRanks!$A$2:$E$302, 4, FALSE)</f>
        <v>0</v>
      </c>
      <c r="G129" s="11" t="s">
        <v>658</v>
      </c>
      <c r="H129" s="11" t="str">
        <f>VLOOKUP($G129, 'ADP Data'!$C$4:$Q$300, 2, FALSE)</f>
        <v>SF</v>
      </c>
      <c r="I129" s="11" t="str">
        <f>VLOOKUP(G129, 'ADP Data'!$C$4:$R$498, 12, FALSE)</f>
        <v>-</v>
      </c>
      <c r="J129" s="11">
        <f>VLOOKUP($G129, SeanRanks!$A$2:$H$303, 5, FALSE)</f>
        <v>0</v>
      </c>
      <c r="K129" s="11" t="str">
        <f>IF(VLOOKUP($G129, SeanRanks!$A$2:$H$303, 6, FALSE)=0, "", VLOOKUP($G129, SeanRanks!$A$2:$H$303, 6, FALSE))</f>
        <v/>
      </c>
      <c r="L129" s="11">
        <f t="shared" si="4"/>
        <v>20</v>
      </c>
      <c r="M129" s="11">
        <f>VLOOKUP($G129, 'ADP Data'!$C$4:$Q$300, 9, FALSE)</f>
        <v>156</v>
      </c>
      <c r="N129" s="11">
        <f t="shared" si="5"/>
        <v>-21</v>
      </c>
      <c r="O129" s="11">
        <f>VLOOKUP($G129, 'ADP Data'!$C$4:$Q$300, 3, FALSE)</f>
        <v>181</v>
      </c>
      <c r="P129" s="11">
        <f t="shared" si="6"/>
        <v>-25</v>
      </c>
      <c r="Q129" s="11">
        <f>VLOOKUP($G129, 'ADP Data'!$C$4:$Q$300, 4, FALSE)</f>
        <v>188</v>
      </c>
      <c r="R129" s="11">
        <f>VLOOKUP($G129, 'ADP Data'!$C$4:$Q$300, 5, FALSE)</f>
        <v>229</v>
      </c>
      <c r="S129" s="11">
        <f>VLOOKUP($G129, 'ADP Data'!$C$4:$Q$300, 6, FALSE)</f>
        <v>230</v>
      </c>
      <c r="T129" s="11">
        <f>VLOOKUP($G129, 'ADP Data'!$C$4:$Q$300, 7, FALSE)</f>
        <v>185</v>
      </c>
      <c r="U129" s="11">
        <f>VLOOKUP($G129, 'ADP Data'!$C$4:$Q$300, 8, FALSE)</f>
        <v>76</v>
      </c>
      <c r="V129" s="11">
        <f t="shared" si="7"/>
        <v>177</v>
      </c>
      <c r="W129" s="11">
        <f t="shared" si="8"/>
        <v>23</v>
      </c>
      <c r="X129" s="11">
        <f t="shared" si="9"/>
        <v>-23</v>
      </c>
      <c r="Y129" s="11" t="e">
        <f>VLOOKUP($G129, SeanRanks!$A$2:$K$303, 10, FALSE)-V129</f>
        <v>#VALUE!</v>
      </c>
      <c r="Z129" s="25" t="str">
        <f>IF(VLOOKUP($G129, SeanRanks!$A$2:$H$303, 7, FALSE)=0, "", VLOOKUP($G129, SeanRanks!$A$2:$H$303, 7, FALSE))</f>
        <v/>
      </c>
    </row>
    <row r="130" spans="1:26" ht="14.25" hidden="1" customHeight="1" x14ac:dyDescent="0.25">
      <c r="A130" s="11"/>
      <c r="B130" s="11">
        <f t="shared" si="3"/>
        <v>10</v>
      </c>
      <c r="C130" s="11" t="s">
        <v>148</v>
      </c>
      <c r="D130" s="11"/>
      <c r="E130" s="11"/>
      <c r="F130" s="11">
        <f>VLOOKUP(G130, SeanRanks!$A$2:$E$302, 4, FALSE)</f>
        <v>0</v>
      </c>
      <c r="G130" s="11" t="s">
        <v>262</v>
      </c>
      <c r="H130" s="11" t="str">
        <f>VLOOKUP($G130, 'ADP Data'!$C$4:$Q$300, 2, FALSE)</f>
        <v>LAC</v>
      </c>
      <c r="I130" s="11">
        <f>VLOOKUP(G130, 'ADP Data'!$C$4:$R$498, 12, FALSE)</f>
        <v>128</v>
      </c>
      <c r="J130" s="58">
        <f>VLOOKUP($G130, SeanRanks!$A$2:$H$303, 5, FALSE)</f>
        <v>0</v>
      </c>
      <c r="K130" s="11" t="str">
        <f>IF(VLOOKUP($G130, SeanRanks!$A$2:$H$303, 6, FALSE)=0, "", VLOOKUP($G130, SeanRanks!$A$2:$H$303, 6, FALSE))</f>
        <v>QB2 - 2 - Not League Winner</v>
      </c>
      <c r="L130" s="11">
        <f t="shared" si="4"/>
        <v>14</v>
      </c>
      <c r="M130" s="11">
        <f>VLOOKUP($G130, 'ADP Data'!$C$4:$Q$300, 9, FALSE)</f>
        <v>109</v>
      </c>
      <c r="N130" s="11">
        <f t="shared" si="5"/>
        <v>-8</v>
      </c>
      <c r="O130" s="11">
        <f>VLOOKUP($G130, 'ADP Data'!$C$4:$Q$300, 3, FALSE)</f>
        <v>122</v>
      </c>
      <c r="P130" s="11">
        <f t="shared" si="6"/>
        <v>-13</v>
      </c>
      <c r="Q130" s="11">
        <f>VLOOKUP($G130, 'ADP Data'!$C$4:$Q$300, 4, FALSE)</f>
        <v>91</v>
      </c>
      <c r="R130" s="11">
        <f>VLOOKUP($G130, 'ADP Data'!$C$4:$Q$300, 5, FALSE)</f>
        <v>122</v>
      </c>
      <c r="S130" s="11">
        <f>VLOOKUP($G130, 'ADP Data'!$C$4:$Q$300, 6, FALSE)</f>
        <v>135</v>
      </c>
      <c r="T130" s="11">
        <f>VLOOKUP($G130, 'ADP Data'!$C$4:$Q$300, 7, FALSE)</f>
        <v>120</v>
      </c>
      <c r="U130" s="11">
        <f>VLOOKUP($G130, 'ADP Data'!$C$4:$Q$300, 8, FALSE)</f>
        <v>124</v>
      </c>
      <c r="V130" s="11">
        <f t="shared" si="7"/>
        <v>117</v>
      </c>
      <c r="W130" s="11">
        <f t="shared" si="8"/>
        <v>15</v>
      </c>
      <c r="X130" s="11">
        <f t="shared" si="9"/>
        <v>-15</v>
      </c>
      <c r="Y130" s="11">
        <f>VLOOKUP($G130, SeanRanks!$A$2:$K$303, 10, FALSE)-V130</f>
        <v>-12</v>
      </c>
      <c r="Z130" s="25">
        <f>IF(VLOOKUP($G130, SeanRanks!$A$2:$H$303, 7, FALSE)=0, "", VLOOKUP($G130, SeanRanks!$A$2:$H$303, 7, FALSE))</f>
        <v>17</v>
      </c>
    </row>
    <row r="131" spans="1:26" ht="14.25" hidden="1" customHeight="1" x14ac:dyDescent="0.25">
      <c r="A131" s="11"/>
      <c r="B131" s="11">
        <f t="shared" si="3"/>
        <v>14</v>
      </c>
      <c r="C131" s="11" t="s">
        <v>119</v>
      </c>
      <c r="D131" s="11"/>
      <c r="E131" s="11"/>
      <c r="F131" s="11">
        <f>VLOOKUP(G131, SeanRanks!$A$2:$E$302, 4, FALSE)</f>
        <v>0</v>
      </c>
      <c r="G131" s="11" t="s">
        <v>826</v>
      </c>
      <c r="H131" s="11" t="str">
        <f>VLOOKUP($G131, 'ADP Data'!$C$4:$Q$300, 2, FALSE)</f>
        <v>ARI</v>
      </c>
      <c r="I131" s="11">
        <f>VLOOKUP(G131, 'ADP Data'!$C$4:$R$498, 12, FALSE)</f>
        <v>139</v>
      </c>
      <c r="J131" s="59">
        <f>VLOOKUP($G131, SeanRanks!$A$2:$H$303, 5, FALSE)</f>
        <v>0</v>
      </c>
      <c r="K131" s="11" t="str">
        <f>IF(VLOOKUP($G131, SeanRanks!$A$2:$H$303, 6, FALSE)=0, "", VLOOKUP($G131, SeanRanks!$A$2:$H$303, 6, FALSE))</f>
        <v>RB4 - 1 - Path to spikes</v>
      </c>
      <c r="L131" s="11">
        <f t="shared" si="4"/>
        <v>18</v>
      </c>
      <c r="M131" s="11">
        <f>VLOOKUP($G131, 'ADP Data'!$C$4:$Q$300, 9, FALSE)</f>
        <v>143</v>
      </c>
      <c r="N131" s="11">
        <f t="shared" si="5"/>
        <v>-10</v>
      </c>
      <c r="O131" s="11">
        <f>VLOOKUP($G131, 'ADP Data'!$C$4:$Q$300, 3, FALSE)</f>
        <v>149</v>
      </c>
      <c r="P131" s="11">
        <f t="shared" si="6"/>
        <v>-6</v>
      </c>
      <c r="Q131" s="11">
        <f>VLOOKUP($G131, 'ADP Data'!$C$4:$Q$300, 4, FALSE)</f>
        <v>151</v>
      </c>
      <c r="R131" s="11">
        <f>VLOOKUP($G131, 'ADP Data'!$C$4:$Q$300, 5, FALSE)</f>
        <v>159</v>
      </c>
      <c r="S131" s="11">
        <f>VLOOKUP($G131, 'ADP Data'!$C$4:$Q$300, 6, FALSE)</f>
        <v>121</v>
      </c>
      <c r="T131" s="11">
        <f>VLOOKUP($G131, 'ADP Data'!$C$4:$Q$300, 7, FALSE)</f>
        <v>123</v>
      </c>
      <c r="U131" s="11">
        <f>VLOOKUP($G131, 'ADP Data'!$C$4:$Q$300, 8, FALSE)</f>
        <v>227</v>
      </c>
      <c r="V131" s="11">
        <f t="shared" si="7"/>
        <v>153</v>
      </c>
      <c r="W131" s="11">
        <f t="shared" si="8"/>
        <v>20</v>
      </c>
      <c r="X131" s="11">
        <f t="shared" si="9"/>
        <v>-20</v>
      </c>
      <c r="Y131" s="11">
        <f>VLOOKUP($G131, SeanRanks!$A$2:$K$303, 10, FALSE)-V131</f>
        <v>-16</v>
      </c>
      <c r="Z131" s="25">
        <f>IF(VLOOKUP($G131, SeanRanks!$A$2:$H$303, 7, FALSE)=0, "", VLOOKUP($G131, SeanRanks!$A$2:$H$303, 7, FALSE))</f>
        <v>44</v>
      </c>
    </row>
    <row r="132" spans="1:26" ht="14.25" hidden="1" customHeight="1" x14ac:dyDescent="0.25">
      <c r="A132" s="11"/>
      <c r="B132" s="11">
        <f t="shared" si="3"/>
        <v>8</v>
      </c>
      <c r="C132" s="11" t="s">
        <v>148</v>
      </c>
      <c r="D132" s="11"/>
      <c r="E132" s="11"/>
      <c r="F132" s="11">
        <f>VLOOKUP(G132, SeanRanks!$A$2:$E$302, 4, FALSE)</f>
        <v>0</v>
      </c>
      <c r="G132" s="11" t="s">
        <v>335</v>
      </c>
      <c r="H132" s="11" t="str">
        <f>VLOOKUP($G132, 'ADP Data'!$C$4:$Q$300, 2, FALSE)</f>
        <v>LV</v>
      </c>
      <c r="I132" s="11">
        <f>VLOOKUP(G132, 'ADP Data'!$C$4:$R$498, 12, FALSE)</f>
        <v>77</v>
      </c>
      <c r="J132" s="45">
        <f>VLOOKUP($G132, SeanRanks!$A$2:$H$303, 5, FALSE)</f>
        <v>0</v>
      </c>
      <c r="K132" s="11" t="str">
        <f>IF(VLOOKUP($G132, SeanRanks!$A$2:$H$303, 6, FALSE)=0, "", VLOOKUP($G132, SeanRanks!$A$2:$H$303, 6, FALSE))</f>
        <v>WR3 - 3 - lower ceiling</v>
      </c>
      <c r="L132" s="11">
        <f t="shared" si="4"/>
        <v>11</v>
      </c>
      <c r="M132" s="11">
        <f>VLOOKUP($G132, 'ADP Data'!$C$4:$Q$300, 9, FALSE)</f>
        <v>83</v>
      </c>
      <c r="N132" s="11">
        <f t="shared" si="5"/>
        <v>-4</v>
      </c>
      <c r="O132" s="11">
        <f>VLOOKUP($G132, 'ADP Data'!$C$4:$Q$300, 3, FALSE)</f>
        <v>85</v>
      </c>
      <c r="P132" s="11">
        <f t="shared" si="6"/>
        <v>-2</v>
      </c>
      <c r="Q132" s="11">
        <f>VLOOKUP($G132, 'ADP Data'!$C$4:$Q$300, 4, FALSE)</f>
        <v>82</v>
      </c>
      <c r="R132" s="11">
        <f>VLOOKUP($G132, 'ADP Data'!$C$4:$Q$300, 5, FALSE)</f>
        <v>86</v>
      </c>
      <c r="S132" s="11">
        <f>VLOOKUP($G132, 'ADP Data'!$C$4:$Q$300, 6, FALSE)</f>
        <v>87</v>
      </c>
      <c r="T132" s="11">
        <f>VLOOKUP($G132, 'ADP Data'!$C$4:$Q$300, 7, FALSE)</f>
        <v>73</v>
      </c>
      <c r="U132" s="11">
        <f>VLOOKUP($G132, 'ADP Data'!$C$4:$Q$300, 8, FALSE)</f>
        <v>119</v>
      </c>
      <c r="V132" s="11">
        <f t="shared" si="7"/>
        <v>87</v>
      </c>
      <c r="W132" s="11">
        <f t="shared" si="8"/>
        <v>11</v>
      </c>
      <c r="X132" s="11">
        <f t="shared" si="9"/>
        <v>-11</v>
      </c>
      <c r="Y132" s="11">
        <f>VLOOKUP($G132, SeanRanks!$A$2:$K$303, 10, FALSE)-V132</f>
        <v>0</v>
      </c>
      <c r="Z132" s="25">
        <f>IF(VLOOKUP($G132, SeanRanks!$A$2:$H$303, 7, FALSE)=0, "", VLOOKUP($G132, SeanRanks!$A$2:$H$303, 7, FALSE))</f>
        <v>35</v>
      </c>
    </row>
    <row r="133" spans="1:26" ht="14.25" hidden="1" customHeight="1" x14ac:dyDescent="0.25">
      <c r="A133" s="11"/>
      <c r="B133" s="11" t="e">
        <f t="shared" si="3"/>
        <v>#N/A</v>
      </c>
      <c r="C133" s="11" t="s">
        <v>148</v>
      </c>
      <c r="D133" s="11"/>
      <c r="E133" s="11"/>
      <c r="F133" s="11" t="e">
        <f>VLOOKUP(G133, SeanRanks!$A$2:$E$302, 4, FALSE)</f>
        <v>#N/A</v>
      </c>
      <c r="G133" s="11" t="s">
        <v>909</v>
      </c>
      <c r="H133" s="11" t="e">
        <f>VLOOKUP($G133, 'ADP Data'!$C$4:$Q$300, 2, FALSE)</f>
        <v>#N/A</v>
      </c>
      <c r="I133" s="11" t="e">
        <f>VLOOKUP(G133, 'ADP Data'!$C$4:$R$498, 12, FALSE)</f>
        <v>#N/A</v>
      </c>
      <c r="J133" s="45" t="e">
        <f>VLOOKUP($G133, SeanRanks!$A$2:$H$303, 5, FALSE)</f>
        <v>#N/A</v>
      </c>
      <c r="K133" s="11" t="e">
        <f>IF(VLOOKUP($G133, SeanRanks!$A$2:$H$303, 6, FALSE)=0, "", VLOOKUP($G133, SeanRanks!$A$2:$H$303, 6, FALSE))</f>
        <v>#N/A</v>
      </c>
      <c r="L133" s="11">
        <f t="shared" si="4"/>
        <v>16</v>
      </c>
      <c r="M133" s="11" t="e">
        <f>VLOOKUP($G133, 'ADP Data'!$C$4:$Q$300, 9, FALSE)</f>
        <v>#N/A</v>
      </c>
      <c r="N133" s="11" t="e">
        <f t="shared" si="5"/>
        <v>#N/A</v>
      </c>
      <c r="O133" s="11" t="e">
        <f>VLOOKUP($G133, 'ADP Data'!$C$4:$Q$300, 3, FALSE)</f>
        <v>#N/A</v>
      </c>
      <c r="P133" s="11" t="e">
        <f t="shared" si="6"/>
        <v>#N/A</v>
      </c>
      <c r="Q133" s="11" t="e">
        <f>VLOOKUP($G133, 'ADP Data'!$C$4:$Q$300, 4, FALSE)</f>
        <v>#N/A</v>
      </c>
      <c r="R133" s="11" t="e">
        <f>VLOOKUP($G133, 'ADP Data'!$C$4:$Q$300, 5, FALSE)</f>
        <v>#N/A</v>
      </c>
      <c r="S133" s="11" t="e">
        <f>VLOOKUP($G133, 'ADP Data'!$C$4:$Q$300, 6, FALSE)</f>
        <v>#N/A</v>
      </c>
      <c r="T133" s="11" t="e">
        <f>VLOOKUP($G133, 'ADP Data'!$C$4:$Q$300, 7, FALSE)</f>
        <v>#N/A</v>
      </c>
      <c r="U133" s="11" t="e">
        <f>VLOOKUP($G133, 'ADP Data'!$C$4:$Q$300, 8, FALSE)</f>
        <v>#N/A</v>
      </c>
      <c r="V133" s="11" t="e">
        <f t="shared" si="7"/>
        <v>#N/A</v>
      </c>
      <c r="W133" s="11">
        <f t="shared" si="8"/>
        <v>16</v>
      </c>
      <c r="X133" s="11">
        <f t="shared" si="9"/>
        <v>-16</v>
      </c>
      <c r="Y133" s="11" t="e">
        <f>VLOOKUP($G133, SeanRanks!$A$2:$K$303, 10, FALSE)-V133</f>
        <v>#N/A</v>
      </c>
      <c r="Z133" s="25" t="e">
        <f>IF(VLOOKUP($G133, SeanRanks!$A$2:$H$303, 7, FALSE)=0, "", VLOOKUP($G133, SeanRanks!$A$2:$H$303, 7, FALSE))</f>
        <v>#N/A</v>
      </c>
    </row>
    <row r="134" spans="1:26" ht="14.25" hidden="1" customHeight="1" x14ac:dyDescent="0.25">
      <c r="A134" s="11"/>
      <c r="B134" s="11">
        <f t="shared" si="3"/>
        <v>6</v>
      </c>
      <c r="C134" s="11" t="s">
        <v>148</v>
      </c>
      <c r="D134" s="11">
        <v>13</v>
      </c>
      <c r="E134" s="11"/>
      <c r="F134" s="11">
        <f>VLOOKUP(G134, SeanRanks!$A$2:$E$302, 4, FALSE)</f>
        <v>0</v>
      </c>
      <c r="G134" s="11" t="s">
        <v>422</v>
      </c>
      <c r="H134" s="11" t="str">
        <f>VLOOKUP($G134, 'ADP Data'!$C$4:$Q$300, 2, FALSE)</f>
        <v>MIN</v>
      </c>
      <c r="I134" s="11">
        <f>VLOOKUP(G134, 'ADP Data'!$C$4:$R$498, 12, FALSE)</f>
        <v>87</v>
      </c>
      <c r="J134" s="61">
        <f>VLOOKUP($G134, SeanRanks!$A$2:$H$303, 5, FALSE)</f>
        <v>0</v>
      </c>
      <c r="K134" s="11" t="str">
        <f>IF(VLOOKUP($G134, SeanRanks!$A$2:$H$303, 6, FALSE)=0, "", VLOOKUP($G134, SeanRanks!$A$2:$H$303, 6, FALSE))</f>
        <v>TE1 - 2 - Very Good</v>
      </c>
      <c r="L134" s="11">
        <f t="shared" si="4"/>
        <v>9</v>
      </c>
      <c r="M134" s="11">
        <f>VLOOKUP($G134, 'ADP Data'!$C$4:$Q$300, 9, FALSE)</f>
        <v>64</v>
      </c>
      <c r="N134" s="11">
        <f t="shared" si="5"/>
        <v>-2</v>
      </c>
      <c r="O134" s="11">
        <f>VLOOKUP($G134, 'ADP Data'!$C$4:$Q$300, 3, FALSE)</f>
        <v>71</v>
      </c>
      <c r="P134" s="11">
        <f t="shared" si="6"/>
        <v>-7</v>
      </c>
      <c r="Q134" s="11">
        <f>VLOOKUP($G134, 'ADP Data'!$C$4:$Q$300, 4, FALSE)</f>
        <v>56</v>
      </c>
      <c r="R134" s="11">
        <f>VLOOKUP($G134, 'ADP Data'!$C$4:$Q$300, 5, FALSE)</f>
        <v>82</v>
      </c>
      <c r="S134" s="11">
        <f>VLOOKUP($G134, 'ADP Data'!$C$4:$Q$300, 6, FALSE)</f>
        <v>64</v>
      </c>
      <c r="T134" s="11">
        <f>VLOOKUP($G134, 'ADP Data'!$C$4:$Q$300, 7, FALSE)</f>
        <v>80</v>
      </c>
      <c r="U134" s="11">
        <f>VLOOKUP($G134, 'ADP Data'!$C$4:$Q$300, 8, FALSE)</f>
        <v>50</v>
      </c>
      <c r="V134" s="11">
        <f t="shared" si="7"/>
        <v>66</v>
      </c>
      <c r="W134" s="11">
        <f t="shared" si="8"/>
        <v>9</v>
      </c>
      <c r="X134" s="11">
        <f t="shared" si="9"/>
        <v>4</v>
      </c>
      <c r="Y134" s="11">
        <f>VLOOKUP($G134, SeanRanks!$A$2:$K$303, 10, FALSE)-V134</f>
        <v>7</v>
      </c>
      <c r="Z134" s="25">
        <f>IF(VLOOKUP($G134, SeanRanks!$A$2:$H$303, 7, FALSE)=0, "", VLOOKUP($G134, SeanRanks!$A$2:$H$303, 7, FALSE))</f>
        <v>5</v>
      </c>
    </row>
    <row r="135" spans="1:26" ht="14.25" hidden="1" customHeight="1" x14ac:dyDescent="0.25">
      <c r="A135" s="11"/>
      <c r="B135" s="11">
        <f t="shared" si="3"/>
        <v>13</v>
      </c>
      <c r="C135" s="11" t="s">
        <v>148</v>
      </c>
      <c r="D135" s="11"/>
      <c r="E135" s="11"/>
      <c r="F135" s="11">
        <f>VLOOKUP(G135, SeanRanks!$A$2:$E$302, 4, FALSE)</f>
        <v>0</v>
      </c>
      <c r="G135" s="11" t="s">
        <v>502</v>
      </c>
      <c r="H135" s="11" t="str">
        <f>VLOOKUP($G135, 'ADP Data'!$C$4:$Q$300, 2, FALSE)</f>
        <v>BAL</v>
      </c>
      <c r="I135" s="11" t="str">
        <f>VLOOKUP(G135, 'ADP Data'!$C$4:$R$498, 12, FALSE)</f>
        <v>-</v>
      </c>
      <c r="J135" s="11">
        <f>VLOOKUP($G135, SeanRanks!$A$2:$H$303, 5, FALSE)</f>
        <v>0</v>
      </c>
      <c r="K135" s="11" t="str">
        <f>IF(VLOOKUP($G135, SeanRanks!$A$2:$H$303, 6, FALSE)=0, "", VLOOKUP($G135, SeanRanks!$A$2:$H$303, 6, FALSE))</f>
        <v/>
      </c>
      <c r="L135" s="11">
        <f t="shared" si="4"/>
        <v>23</v>
      </c>
      <c r="M135" s="11">
        <f>VLOOKUP($G135, 'ADP Data'!$C$4:$Q$300, 9, FALSE)</f>
        <v>181</v>
      </c>
      <c r="N135" s="11">
        <f t="shared" si="5"/>
        <v>34</v>
      </c>
      <c r="O135" s="11">
        <f>VLOOKUP($G135, 'ADP Data'!$C$4:$Q$300, 3, FALSE)</f>
        <v>112</v>
      </c>
      <c r="P135" s="11">
        <f t="shared" si="6"/>
        <v>69</v>
      </c>
      <c r="Q135" s="11">
        <f>VLOOKUP($G135, 'ADP Data'!$C$4:$Q$300, 4, FALSE)</f>
        <v>109</v>
      </c>
      <c r="R135" s="11">
        <f>VLOOKUP($G135, 'ADP Data'!$C$4:$Q$300, 5, FALSE)</f>
        <v>129</v>
      </c>
      <c r="S135" s="11">
        <f>VLOOKUP($G135, 'ADP Data'!$C$4:$Q$300, 6, FALSE)</f>
        <v>212</v>
      </c>
      <c r="T135" s="11">
        <f>VLOOKUP($G135, 'ADP Data'!$C$4:$Q$300, 7, FALSE)</f>
        <v>166</v>
      </c>
      <c r="U135" s="11">
        <f>VLOOKUP($G135, 'ADP Data'!$C$4:$Q$300, 8, FALSE)</f>
        <v>123</v>
      </c>
      <c r="V135" s="11">
        <f t="shared" si="7"/>
        <v>147</v>
      </c>
      <c r="W135" s="11">
        <f t="shared" si="8"/>
        <v>19</v>
      </c>
      <c r="X135" s="11">
        <f t="shared" si="9"/>
        <v>-19</v>
      </c>
      <c r="Y135" s="11">
        <f>VLOOKUP($G135, SeanRanks!$A$2:$K$303, 10, FALSE)-V135</f>
        <v>22</v>
      </c>
      <c r="Z135" s="25" t="str">
        <f>IF(VLOOKUP($G135, SeanRanks!$A$2:$H$303, 7, FALSE)=0, "", VLOOKUP($G135, SeanRanks!$A$2:$H$303, 7, FALSE))</f>
        <v/>
      </c>
    </row>
    <row r="136" spans="1:26" ht="14.25" hidden="1" customHeight="1" x14ac:dyDescent="0.25">
      <c r="A136" s="11"/>
      <c r="B136" s="11">
        <f t="shared" si="3"/>
        <v>23</v>
      </c>
      <c r="C136" s="11" t="s">
        <v>148</v>
      </c>
      <c r="D136" s="11"/>
      <c r="E136" s="11"/>
      <c r="F136" s="11">
        <f>VLOOKUP(G136, SeanRanks!$A$2:$E$302, 4, FALSE)</f>
        <v>0</v>
      </c>
      <c r="G136" s="11" t="s">
        <v>627</v>
      </c>
      <c r="H136" s="11" t="str">
        <f>VLOOKUP($G136, 'ADP Data'!$C$4:$Q$300, 2, FALSE)</f>
        <v>ATL</v>
      </c>
      <c r="I136" s="11">
        <f>VLOOKUP(G136, 'ADP Data'!$C$4:$R$498, 12, FALSE)</f>
        <v>248</v>
      </c>
      <c r="J136" s="59">
        <f>VLOOKUP($G136, SeanRanks!$A$2:$H$303, 5, FALSE)</f>
        <v>0</v>
      </c>
      <c r="K136" s="11" t="str">
        <f>IF(VLOOKUP($G136, SeanRanks!$A$2:$H$303, 6, FALSE)=0, "", VLOOKUP($G136, SeanRanks!$A$2:$H$303, 6, FALSE))</f>
        <v/>
      </c>
      <c r="L136" s="11">
        <f t="shared" si="4"/>
        <v>16</v>
      </c>
      <c r="M136" s="11" t="str">
        <f>VLOOKUP($G136, 'ADP Data'!$C$4:$Q$300, 9, FALSE)</f>
        <v>-</v>
      </c>
      <c r="N136" s="11" t="e">
        <f t="shared" si="5"/>
        <v>#VALUE!</v>
      </c>
      <c r="O136" s="11" t="str">
        <f>VLOOKUP($G136, 'ADP Data'!$C$4:$Q$300, 3, FALSE)</f>
        <v>-</v>
      </c>
      <c r="P136" s="11" t="e">
        <f t="shared" si="6"/>
        <v>#VALUE!</v>
      </c>
      <c r="Q136" s="11">
        <f>VLOOKUP($G136, 'ADP Data'!$C$4:$Q$300, 4, FALSE)</f>
        <v>231</v>
      </c>
      <c r="R136" s="11" t="str">
        <f>VLOOKUP($G136, 'ADP Data'!$C$4:$Q$300, 5, FALSE)</f>
        <v>-</v>
      </c>
      <c r="S136" s="11">
        <f>VLOOKUP($G136, 'ADP Data'!$C$4:$Q$300, 6, FALSE)</f>
        <v>312</v>
      </c>
      <c r="T136" s="11" t="str">
        <f>VLOOKUP($G136, 'ADP Data'!$C$4:$Q$300, 7, FALSE)</f>
        <v>-</v>
      </c>
      <c r="U136" s="11">
        <f>VLOOKUP($G136, 'ADP Data'!$C$4:$Q$300, 8, FALSE)</f>
        <v>281</v>
      </c>
      <c r="V136" s="11">
        <f t="shared" si="7"/>
        <v>274</v>
      </c>
      <c r="W136" s="11">
        <f t="shared" si="8"/>
        <v>35</v>
      </c>
      <c r="X136" s="11">
        <f t="shared" si="9"/>
        <v>-35</v>
      </c>
      <c r="Y136" s="11" t="e">
        <f>VLOOKUP($G136, SeanRanks!$A$2:$K$303, 10, FALSE)-V136</f>
        <v>#VALUE!</v>
      </c>
      <c r="Z136" s="25" t="str">
        <f>IF(VLOOKUP($G136, SeanRanks!$A$2:$H$303, 7, FALSE)=0, "", VLOOKUP($G136, SeanRanks!$A$2:$H$303, 7, FALSE))</f>
        <v/>
      </c>
    </row>
    <row r="137" spans="1:26" ht="14.25" customHeight="1" x14ac:dyDescent="0.25">
      <c r="A137" s="11"/>
      <c r="B137" s="11">
        <f t="shared" si="3"/>
        <v>5</v>
      </c>
      <c r="C137" s="11" t="s">
        <v>148</v>
      </c>
      <c r="D137" s="11"/>
      <c r="E137" s="11"/>
      <c r="F137" s="11">
        <f>VLOOKUP(G137, SeanRanks!$A$2:$E$302, 4, FALSE)</f>
        <v>0</v>
      </c>
      <c r="G137" s="11" t="s">
        <v>280</v>
      </c>
      <c r="H137" s="11" t="str">
        <f>VLOOKUP($G137, 'ADP Data'!$C$4:$Q$300, 2, FALSE)</f>
        <v>CAR</v>
      </c>
      <c r="I137" s="11">
        <f>VLOOKUP(G137, 'ADP Data'!$C$4:$R$498, 12, FALSE)</f>
        <v>60</v>
      </c>
      <c r="J137" s="39">
        <f>VLOOKUP($G137, SeanRanks!$A$2:$H$303, 5, FALSE)</f>
        <v>0</v>
      </c>
      <c r="K137" s="11" t="str">
        <f>IF(VLOOKUP($G137, SeanRanks!$A$2:$H$303, 6, FALSE)=0, "", VLOOKUP($G137, SeanRanks!$A$2:$H$303, 6, FALSE))</f>
        <v>RB2 - 1 - Clear path to spikes</v>
      </c>
      <c r="L137" s="11">
        <f t="shared" si="4"/>
        <v>6</v>
      </c>
      <c r="M137" s="11">
        <f>VLOOKUP($G137, 'ADP Data'!$C$4:$Q$300, 9, FALSE)</f>
        <v>45</v>
      </c>
      <c r="N137" s="11">
        <f t="shared" si="5"/>
        <v>-3</v>
      </c>
      <c r="O137" s="11">
        <f>VLOOKUP($G137, 'ADP Data'!$C$4:$Q$300, 3, FALSE)</f>
        <v>44</v>
      </c>
      <c r="P137" s="11">
        <f t="shared" si="6"/>
        <v>1</v>
      </c>
      <c r="Q137" s="11">
        <f>VLOOKUP($G137, 'ADP Data'!$C$4:$Q$300, 4, FALSE)</f>
        <v>40</v>
      </c>
      <c r="R137" s="11">
        <f>VLOOKUP($G137, 'ADP Data'!$C$4:$Q$300, 5, FALSE)</f>
        <v>60</v>
      </c>
      <c r="S137" s="11">
        <f>VLOOKUP($G137, 'ADP Data'!$C$4:$Q$300, 6, FALSE)</f>
        <v>47</v>
      </c>
      <c r="T137" s="11">
        <f>VLOOKUP($G137, 'ADP Data'!$C$4:$Q$300, 7, FALSE)</f>
        <v>51</v>
      </c>
      <c r="U137" s="11">
        <f>VLOOKUP($G137, 'ADP Data'!$C$4:$Q$300, 8, FALSE)</f>
        <v>55</v>
      </c>
      <c r="V137" s="11">
        <f t="shared" si="7"/>
        <v>48</v>
      </c>
      <c r="W137" s="11">
        <f t="shared" si="8"/>
        <v>7</v>
      </c>
      <c r="X137" s="11">
        <f t="shared" si="9"/>
        <v>-7</v>
      </c>
      <c r="Y137" s="11">
        <f>VLOOKUP($G137, SeanRanks!$A$2:$K$303, 10, FALSE)-V137</f>
        <v>-8</v>
      </c>
      <c r="Z137" s="25">
        <f>IF(VLOOKUP($G137, SeanRanks!$A$2:$H$303, 7, FALSE)=0, "", VLOOKUP($G137, SeanRanks!$A$2:$H$303, 7, FALSE))</f>
        <v>17</v>
      </c>
    </row>
    <row r="138" spans="1:26" ht="14.25" hidden="1" customHeight="1" x14ac:dyDescent="0.25">
      <c r="A138" s="11"/>
      <c r="B138" s="11">
        <f t="shared" si="3"/>
        <v>18</v>
      </c>
      <c r="C138" s="11" t="s">
        <v>148</v>
      </c>
      <c r="D138" s="11"/>
      <c r="E138" s="11"/>
      <c r="F138" s="11">
        <f>VLOOKUP(G138, SeanRanks!$A$2:$E$302, 4, FALSE)</f>
        <v>0</v>
      </c>
      <c r="G138" s="11" t="s">
        <v>480</v>
      </c>
      <c r="H138" s="11" t="str">
        <f>VLOOKUP($G138, 'ADP Data'!$C$4:$Q$300, 2, FALSE)</f>
        <v>PIT</v>
      </c>
      <c r="I138" s="11">
        <f>VLOOKUP(G138, 'ADP Data'!$C$4:$R$498, 12, FALSE)</f>
        <v>191</v>
      </c>
      <c r="J138" s="11">
        <f>VLOOKUP($G138, SeanRanks!$A$2:$H$303, 5, FALSE)</f>
        <v>0</v>
      </c>
      <c r="K138" s="11" t="str">
        <f>IF(VLOOKUP($G138, SeanRanks!$A$2:$H$303, 6, FALSE)=0, "", VLOOKUP($G138, SeanRanks!$A$2:$H$303, 6, FALSE))</f>
        <v>Don’t Draft - Streamer</v>
      </c>
      <c r="L138" s="11">
        <f t="shared" si="4"/>
        <v>29</v>
      </c>
      <c r="M138" s="11">
        <f>VLOOKUP($G138, 'ADP Data'!$C$4:$Q$300, 9, FALSE)</f>
        <v>229</v>
      </c>
      <c r="N138" s="11">
        <f t="shared" si="5"/>
        <v>13</v>
      </c>
      <c r="O138" s="11" t="str">
        <f>VLOOKUP($G138, 'ADP Data'!$C$4:$Q$300, 3, FALSE)</f>
        <v>-</v>
      </c>
      <c r="P138" s="11" t="e">
        <f t="shared" si="6"/>
        <v>#VALUE!</v>
      </c>
      <c r="Q138" s="11">
        <f>VLOOKUP($G138, 'ADP Data'!$C$4:$Q$300, 4, FALSE)</f>
        <v>192</v>
      </c>
      <c r="R138" s="11">
        <f>VLOOKUP($G138, 'ADP Data'!$C$4:$Q$300, 5, FALSE)</f>
        <v>240</v>
      </c>
      <c r="S138" s="11">
        <f>VLOOKUP($G138, 'ADP Data'!$C$4:$Q$300, 6, FALSE)</f>
        <v>222</v>
      </c>
      <c r="T138" s="11">
        <f>VLOOKUP($G138, 'ADP Data'!$C$4:$Q$300, 7, FALSE)</f>
        <v>222</v>
      </c>
      <c r="U138" s="11">
        <f>VLOOKUP($G138, 'ADP Data'!$C$4:$Q$300, 8, FALSE)</f>
        <v>192</v>
      </c>
      <c r="V138" s="11">
        <f t="shared" si="7"/>
        <v>216</v>
      </c>
      <c r="W138" s="11">
        <f t="shared" si="8"/>
        <v>28</v>
      </c>
      <c r="X138" s="11">
        <f t="shared" si="9"/>
        <v>-28</v>
      </c>
      <c r="Y138" s="11">
        <f>VLOOKUP($G138, SeanRanks!$A$2:$K$303, 10, FALSE)-V138</f>
        <v>-18</v>
      </c>
      <c r="Z138" s="25" t="str">
        <f>IF(VLOOKUP($G138, SeanRanks!$A$2:$H$303, 7, FALSE)=0, "", VLOOKUP($G138, SeanRanks!$A$2:$H$303, 7, FALSE))</f>
        <v/>
      </c>
    </row>
    <row r="139" spans="1:26" ht="14.25" customHeight="1" x14ac:dyDescent="0.25">
      <c r="A139" s="11"/>
      <c r="B139" s="11">
        <f t="shared" si="3"/>
        <v>10</v>
      </c>
      <c r="C139" s="11" t="s">
        <v>148</v>
      </c>
      <c r="D139" s="11"/>
      <c r="E139" s="11"/>
      <c r="F139" s="11">
        <f>VLOOKUP(G139, SeanRanks!$A$2:$E$302, 4, FALSE)</f>
        <v>0</v>
      </c>
      <c r="G139" s="11" t="s">
        <v>276</v>
      </c>
      <c r="H139" s="11" t="str">
        <f>VLOOKUP($G139, 'ADP Data'!$C$4:$Q$300, 2, FALSE)</f>
        <v>DEN</v>
      </c>
      <c r="I139" s="11">
        <f>VLOOKUP(G139, 'ADP Data'!$C$4:$R$498, 12, FALSE)</f>
        <v>95</v>
      </c>
      <c r="J139" s="59">
        <f>VLOOKUP($G139, SeanRanks!$A$2:$H$303, 5, FALSE)</f>
        <v>0</v>
      </c>
      <c r="K139" s="11" t="str">
        <f>IF(VLOOKUP($G139, SeanRanks!$A$2:$H$303, 6, FALSE)=0, "", VLOOKUP($G139, SeanRanks!$A$2:$H$303, 6, FALSE))</f>
        <v>RB3 - 1 - Upside</v>
      </c>
      <c r="L139" s="11">
        <f t="shared" si="4"/>
        <v>14</v>
      </c>
      <c r="M139" s="11">
        <f>VLOOKUP($G139, 'ADP Data'!$C$4:$Q$300, 9, FALSE)</f>
        <v>107</v>
      </c>
      <c r="N139" s="11">
        <f t="shared" si="5"/>
        <v>0</v>
      </c>
      <c r="O139" s="11">
        <f>VLOOKUP($G139, 'ADP Data'!$C$4:$Q$300, 3, FALSE)</f>
        <v>102</v>
      </c>
      <c r="P139" s="11">
        <f t="shared" si="6"/>
        <v>5</v>
      </c>
      <c r="Q139" s="11">
        <f>VLOOKUP($G139, 'ADP Data'!$C$4:$Q$300, 4, FALSE)</f>
        <v>98</v>
      </c>
      <c r="R139" s="11">
        <f>VLOOKUP($G139, 'ADP Data'!$C$4:$Q$300, 5, FALSE)</f>
        <v>119</v>
      </c>
      <c r="S139" s="11">
        <f>VLOOKUP($G139, 'ADP Data'!$C$4:$Q$300, 6, FALSE)</f>
        <v>93</v>
      </c>
      <c r="T139" s="11">
        <f>VLOOKUP($G139, 'ADP Data'!$C$4:$Q$300, 7, FALSE)</f>
        <v>98</v>
      </c>
      <c r="U139" s="11">
        <f>VLOOKUP($G139, 'ADP Data'!$C$4:$Q$300, 8, FALSE)</f>
        <v>136</v>
      </c>
      <c r="V139" s="11">
        <f t="shared" si="7"/>
        <v>107</v>
      </c>
      <c r="W139" s="11">
        <f t="shared" si="8"/>
        <v>14</v>
      </c>
      <c r="X139" s="11">
        <f t="shared" si="9"/>
        <v>-14</v>
      </c>
      <c r="Y139" s="11">
        <f>VLOOKUP($G139, SeanRanks!$A$2:$K$303, 10, FALSE)-V139</f>
        <v>-27</v>
      </c>
      <c r="Z139" s="25">
        <f>IF(VLOOKUP($G139, SeanRanks!$A$2:$H$303, 7, FALSE)=0, "", VLOOKUP($G139, SeanRanks!$A$2:$H$303, 7, FALSE))</f>
        <v>29</v>
      </c>
    </row>
    <row r="140" spans="1:26" ht="14.25" hidden="1" customHeight="1" x14ac:dyDescent="0.25">
      <c r="A140" s="11"/>
      <c r="B140" s="11">
        <f t="shared" si="3"/>
        <v>17</v>
      </c>
      <c r="C140" s="11" t="s">
        <v>148</v>
      </c>
      <c r="D140" s="11"/>
      <c r="E140" s="11"/>
      <c r="F140" s="11">
        <f>VLOOKUP(G140, SeanRanks!$A$2:$E$302, 4, FALSE)</f>
        <v>0</v>
      </c>
      <c r="G140" s="11" t="s">
        <v>911</v>
      </c>
      <c r="H140" s="11" t="str">
        <f>VLOOKUP($G140, 'ADP Data'!$C$4:$Q$300, 2, FALSE)</f>
        <v>BUF</v>
      </c>
      <c r="I140" s="11">
        <f>VLOOKUP(G140, 'ADP Data'!$C$4:$R$498, 12, FALSE)</f>
        <v>127</v>
      </c>
      <c r="J140" s="11">
        <f>VLOOKUP($G140, SeanRanks!$A$2:$H$303, 5, FALSE)</f>
        <v>0</v>
      </c>
      <c r="K140" s="11" t="str">
        <f>IF(VLOOKUP($G140, SeanRanks!$A$2:$H$303, 6, FALSE)=0, "", VLOOKUP($G140, SeanRanks!$A$2:$H$303, 6, FALSE))</f>
        <v>WR6 - dart throw upside</v>
      </c>
      <c r="L140" s="11">
        <f t="shared" si="4"/>
        <v>22</v>
      </c>
      <c r="M140" s="11">
        <f>VLOOKUP($G140, 'ADP Data'!$C$4:$Q$300, 9, FALSE)</f>
        <v>174</v>
      </c>
      <c r="N140" s="11">
        <f t="shared" si="5"/>
        <v>-14</v>
      </c>
      <c r="O140" s="11" t="str">
        <f>VLOOKUP($G140, 'ADP Data'!$C$4:$Q$300, 3, FALSE)</f>
        <v>-</v>
      </c>
      <c r="P140" s="11" t="e">
        <f t="shared" si="6"/>
        <v>#VALUE!</v>
      </c>
      <c r="Q140" s="11" t="str">
        <f>VLOOKUP($G140, 'ADP Data'!$C$4:$Q$300, 4, FALSE)</f>
        <v>-</v>
      </c>
      <c r="R140" s="11">
        <f>VLOOKUP($G140, 'ADP Data'!$C$4:$Q$300, 5, FALSE)</f>
        <v>221</v>
      </c>
      <c r="S140" s="11">
        <f>VLOOKUP($G140, 'ADP Data'!$C$4:$Q$300, 6, FALSE)</f>
        <v>158</v>
      </c>
      <c r="T140" s="11">
        <f>VLOOKUP($G140, 'ADP Data'!$C$4:$Q$300, 7, FALSE)</f>
        <v>155</v>
      </c>
      <c r="U140" s="11">
        <f>VLOOKUP($G140, 'ADP Data'!$C$4:$Q$300, 8, FALSE)</f>
        <v>235</v>
      </c>
      <c r="V140" s="11">
        <f t="shared" si="7"/>
        <v>188</v>
      </c>
      <c r="W140" s="11">
        <f t="shared" si="8"/>
        <v>24</v>
      </c>
      <c r="X140" s="11">
        <f t="shared" si="9"/>
        <v>-24</v>
      </c>
      <c r="Y140" s="11">
        <f>VLOOKUP($G140, SeanRanks!$A$2:$K$303, 10, FALSE)-V140</f>
        <v>-38</v>
      </c>
      <c r="Z140" s="25">
        <f>IF(VLOOKUP($G140, SeanRanks!$A$2:$H$303, 7, FALSE)=0, "", VLOOKUP($G140, SeanRanks!$A$2:$H$303, 7, FALSE))</f>
        <v>61</v>
      </c>
    </row>
    <row r="141" spans="1:26" ht="14.25" hidden="1" customHeight="1" x14ac:dyDescent="0.25">
      <c r="A141" s="11"/>
      <c r="B141" s="11">
        <f t="shared" si="3"/>
        <v>21</v>
      </c>
      <c r="C141" s="11" t="s">
        <v>148</v>
      </c>
      <c r="D141" s="11"/>
      <c r="E141" s="11"/>
      <c r="F141" s="11">
        <f>VLOOKUP(G141, SeanRanks!$A$2:$E$302, 4, FALSE)</f>
        <v>0</v>
      </c>
      <c r="G141" s="11" t="s">
        <v>566</v>
      </c>
      <c r="H141" s="11" t="str">
        <f>VLOOKUP($G141, 'ADP Data'!$C$4:$Q$300, 2, FALSE)</f>
        <v>DAL</v>
      </c>
      <c r="I141" s="11" t="str">
        <f>VLOOKUP(G141, 'ADP Data'!$C$4:$R$498, 12, FALSE)</f>
        <v>-</v>
      </c>
      <c r="J141" s="11">
        <f>VLOOKUP($G141, SeanRanks!$A$2:$H$303, 5, FALSE)</f>
        <v>0</v>
      </c>
      <c r="K141" s="11" t="str">
        <f>IF(VLOOKUP($G141, SeanRanks!$A$2:$H$303, 6, FALSE)=0, "", VLOOKUP($G141, SeanRanks!$A$2:$H$303, 6, FALSE))</f>
        <v/>
      </c>
      <c r="L141" s="11">
        <f t="shared" si="4"/>
        <v>36</v>
      </c>
      <c r="M141" s="11">
        <f>VLOOKUP($G141, 'ADP Data'!$C$4:$Q$300, 9, FALSE)</f>
        <v>285</v>
      </c>
      <c r="N141" s="11">
        <f t="shared" si="5"/>
        <v>45</v>
      </c>
      <c r="O141" s="11">
        <f>VLOOKUP($G141, 'ADP Data'!$C$4:$Q$300, 3, FALSE)</f>
        <v>173</v>
      </c>
      <c r="P141" s="11">
        <f t="shared" si="6"/>
        <v>112</v>
      </c>
      <c r="Q141" s="11">
        <f>VLOOKUP($G141, 'ADP Data'!$C$4:$Q$300, 4, FALSE)</f>
        <v>201</v>
      </c>
      <c r="R141" s="11">
        <f>VLOOKUP($G141, 'ADP Data'!$C$4:$Q$300, 5, FALSE)</f>
        <v>344</v>
      </c>
      <c r="S141" s="11">
        <f>VLOOKUP($G141, 'ADP Data'!$C$4:$Q$300, 6, FALSE)</f>
        <v>278</v>
      </c>
      <c r="T141" s="11">
        <f>VLOOKUP($G141, 'ADP Data'!$C$4:$Q$300, 7, FALSE)</f>
        <v>239</v>
      </c>
      <c r="U141" s="11">
        <f>VLOOKUP($G141, 'ADP Data'!$C$4:$Q$300, 8, FALSE)</f>
        <v>165</v>
      </c>
      <c r="V141" s="11">
        <f t="shared" si="7"/>
        <v>240</v>
      </c>
      <c r="W141" s="11">
        <f t="shared" si="8"/>
        <v>31</v>
      </c>
      <c r="X141" s="11">
        <f t="shared" si="9"/>
        <v>-31</v>
      </c>
      <c r="Y141" s="11">
        <f>VLOOKUP($G141, SeanRanks!$A$2:$K$303, 10, FALSE)-V141</f>
        <v>0</v>
      </c>
      <c r="Z141" s="25" t="str">
        <f>IF(VLOOKUP($G141, SeanRanks!$A$2:$H$303, 7, FALSE)=0, "", VLOOKUP($G141, SeanRanks!$A$2:$H$303, 7, FALSE))</f>
        <v/>
      </c>
    </row>
    <row r="142" spans="1:26" ht="14.25" hidden="1" customHeight="1" x14ac:dyDescent="0.25">
      <c r="A142" s="11"/>
      <c r="B142" s="11">
        <f t="shared" si="3"/>
        <v>16</v>
      </c>
      <c r="C142" s="11" t="s">
        <v>148</v>
      </c>
      <c r="D142" s="11"/>
      <c r="E142" s="11"/>
      <c r="F142" s="11">
        <f>VLOOKUP(G142, SeanRanks!$A$2:$E$302, 4, FALSE)</f>
        <v>0</v>
      </c>
      <c r="G142" s="11" t="s">
        <v>306</v>
      </c>
      <c r="H142" s="11" t="str">
        <f>VLOOKUP($G142, 'ADP Data'!$C$4:$Q$300, 2, FALSE)</f>
        <v>LAR</v>
      </c>
      <c r="I142" s="11">
        <f>VLOOKUP(G142, 'ADP Data'!$C$4:$R$498, 12, FALSE)</f>
        <v>176</v>
      </c>
      <c r="J142" s="59">
        <f>VLOOKUP($G142, SeanRanks!$A$2:$H$303, 5, FALSE)</f>
        <v>0</v>
      </c>
      <c r="K142" s="11" t="str">
        <f>IF(VLOOKUP($G142, SeanRanks!$A$2:$H$303, 6, FALSE)=0, "", VLOOKUP($G142, SeanRanks!$A$2:$H$303, 6, FALSE))</f>
        <v>Don’t Draft - Streamer</v>
      </c>
      <c r="L142" s="11">
        <f t="shared" si="4"/>
        <v>26</v>
      </c>
      <c r="M142" s="11">
        <f>VLOOKUP($G142, 'ADP Data'!$C$4:$Q$300, 9, FALSE)</f>
        <v>207</v>
      </c>
      <c r="N142" s="11">
        <f t="shared" si="5"/>
        <v>18</v>
      </c>
      <c r="O142" s="11">
        <f>VLOOKUP($G142, 'ADP Data'!$C$4:$Q$300, 3, FALSE)</f>
        <v>168</v>
      </c>
      <c r="P142" s="11">
        <f t="shared" si="6"/>
        <v>39</v>
      </c>
      <c r="Q142" s="11">
        <f>VLOOKUP($G142, 'ADP Data'!$C$4:$Q$300, 4, FALSE)</f>
        <v>160</v>
      </c>
      <c r="R142" s="11">
        <f>VLOOKUP($G142, 'ADP Data'!$C$4:$Q$300, 5, FALSE)</f>
        <v>232</v>
      </c>
      <c r="S142" s="11">
        <f>VLOOKUP($G142, 'ADP Data'!$C$4:$Q$300, 6, FALSE)</f>
        <v>197</v>
      </c>
      <c r="T142" s="11">
        <f>VLOOKUP($G142, 'ADP Data'!$C$4:$Q$300, 7, FALSE)</f>
        <v>195</v>
      </c>
      <c r="U142" s="11">
        <f>VLOOKUP($G142, 'ADP Data'!$C$4:$Q$300, 8, FALSE)</f>
        <v>167</v>
      </c>
      <c r="V142" s="11">
        <f t="shared" si="7"/>
        <v>189</v>
      </c>
      <c r="W142" s="11">
        <f t="shared" si="8"/>
        <v>24</v>
      </c>
      <c r="X142" s="11">
        <f t="shared" si="9"/>
        <v>-24</v>
      </c>
      <c r="Y142" s="11">
        <f>VLOOKUP($G142, SeanRanks!$A$2:$K$303, 10, FALSE)-V142</f>
        <v>-38</v>
      </c>
      <c r="Z142" s="25" t="str">
        <f>IF(VLOOKUP($G142, SeanRanks!$A$2:$H$303, 7, FALSE)=0, "", VLOOKUP($G142, SeanRanks!$A$2:$H$303, 7, FALSE))</f>
        <v/>
      </c>
    </row>
    <row r="143" spans="1:26" ht="14.25" customHeight="1" x14ac:dyDescent="0.25">
      <c r="A143" s="11"/>
      <c r="B143" s="11">
        <f t="shared" si="3"/>
        <v>16</v>
      </c>
      <c r="C143" s="11" t="s">
        <v>148</v>
      </c>
      <c r="D143" s="11">
        <v>9</v>
      </c>
      <c r="E143" s="11"/>
      <c r="F143" s="11">
        <f>VLOOKUP(G143, SeanRanks!$A$2:$E$302, 4, FALSE)</f>
        <v>0</v>
      </c>
      <c r="G143" s="11" t="s">
        <v>258</v>
      </c>
      <c r="H143" s="11" t="str">
        <f>VLOOKUP($G143, 'ADP Data'!$C$4:$Q$300, 2, FALSE)</f>
        <v>CAR</v>
      </c>
      <c r="I143" s="11">
        <f>VLOOKUP(G143, 'ADP Data'!$C$4:$R$498, 12, FALSE)</f>
        <v>178</v>
      </c>
      <c r="J143" s="11">
        <f>VLOOKUP($G143, SeanRanks!$A$2:$H$303, 5, FALSE)</f>
        <v>0</v>
      </c>
      <c r="K143" s="11" t="str">
        <f>IF(VLOOKUP($G143, SeanRanks!$A$2:$H$303, 6, FALSE)=0, "", VLOOKUP($G143, SeanRanks!$A$2:$H$303, 6, FALSE))</f>
        <v>RB5 - 1 - upside</v>
      </c>
      <c r="L143" s="11">
        <f t="shared" si="4"/>
        <v>20</v>
      </c>
      <c r="M143" s="11">
        <f>VLOOKUP($G143, 'ADP Data'!$C$4:$Q$300, 9, FALSE)</f>
        <v>158</v>
      </c>
      <c r="N143" s="11">
        <f t="shared" si="5"/>
        <v>-28</v>
      </c>
      <c r="O143" s="11">
        <f>VLOOKUP($G143, 'ADP Data'!$C$4:$Q$300, 3, FALSE)</f>
        <v>210</v>
      </c>
      <c r="P143" s="11">
        <f t="shared" si="6"/>
        <v>-52</v>
      </c>
      <c r="Q143" s="11" t="str">
        <f>VLOOKUP($G143, 'ADP Data'!$C$4:$Q$300, 4, FALSE)</f>
        <v>-</v>
      </c>
      <c r="R143" s="11">
        <f>VLOOKUP($G143, 'ADP Data'!$C$4:$Q$300, 5, FALSE)</f>
        <v>201</v>
      </c>
      <c r="S143" s="11">
        <f>VLOOKUP($G143, 'ADP Data'!$C$4:$Q$300, 6, FALSE)</f>
        <v>165</v>
      </c>
      <c r="T143" s="11">
        <f>VLOOKUP($G143, 'ADP Data'!$C$4:$Q$300, 7, FALSE)</f>
        <v>164</v>
      </c>
      <c r="U143" s="11">
        <f>VLOOKUP($G143, 'ADP Data'!$C$4:$Q$300, 8, FALSE)</f>
        <v>220</v>
      </c>
      <c r="V143" s="11">
        <f t="shared" si="7"/>
        <v>186</v>
      </c>
      <c r="W143" s="11">
        <f t="shared" si="8"/>
        <v>24</v>
      </c>
      <c r="X143" s="11">
        <f t="shared" si="9"/>
        <v>-15</v>
      </c>
      <c r="Y143" s="11">
        <f>VLOOKUP($G143, SeanRanks!$A$2:$K$303, 10, FALSE)-V143</f>
        <v>-29</v>
      </c>
      <c r="Z143" s="25">
        <f>IF(VLOOKUP($G143, SeanRanks!$A$2:$H$303, 7, FALSE)=0, "", VLOOKUP($G143, SeanRanks!$A$2:$H$303, 7, FALSE))</f>
        <v>55</v>
      </c>
    </row>
    <row r="144" spans="1:26" ht="14.25" hidden="1" customHeight="1" x14ac:dyDescent="0.25">
      <c r="A144" s="11"/>
      <c r="B144" s="11">
        <f t="shared" si="3"/>
        <v>21</v>
      </c>
      <c r="C144" s="11" t="s">
        <v>148</v>
      </c>
      <c r="D144" s="11"/>
      <c r="E144" s="11"/>
      <c r="F144" s="11">
        <f>VLOOKUP(G144, SeanRanks!$A$2:$E$302, 4, FALSE)</f>
        <v>0</v>
      </c>
      <c r="G144" s="11" t="s">
        <v>914</v>
      </c>
      <c r="H144" s="11" t="str">
        <f>VLOOKUP($G144, 'ADP Data'!$C$4:$Q$300, 2, FALSE)</f>
        <v>NYJ</v>
      </c>
      <c r="I144" s="11" t="str">
        <f>VLOOKUP(G144, 'ADP Data'!$C$4:$R$498, 12, FALSE)</f>
        <v>-</v>
      </c>
      <c r="J144" s="11">
        <f>VLOOKUP($G144, SeanRanks!$A$2:$H$303, 5, FALSE)</f>
        <v>0</v>
      </c>
      <c r="K144" s="11" t="str">
        <f>IF(VLOOKUP($G144, SeanRanks!$A$2:$H$303, 6, FALSE)=0, "", VLOOKUP($G144, SeanRanks!$A$2:$H$303, 6, FALSE))</f>
        <v/>
      </c>
      <c r="L144" s="11">
        <f t="shared" si="4"/>
        <v>30</v>
      </c>
      <c r="M144" s="11">
        <f>VLOOKUP($G144, 'ADP Data'!$C$4:$Q$300, 9, FALSE)</f>
        <v>236</v>
      </c>
      <c r="N144" s="11">
        <f t="shared" si="5"/>
        <v>-4</v>
      </c>
      <c r="O144" s="11">
        <f>VLOOKUP($G144, 'ADP Data'!$C$4:$Q$300, 3, FALSE)</f>
        <v>192</v>
      </c>
      <c r="P144" s="11">
        <f t="shared" si="6"/>
        <v>44</v>
      </c>
      <c r="Q144" s="11">
        <f>VLOOKUP($G144, 'ADP Data'!$C$4:$Q$300, 4, FALSE)</f>
        <v>206</v>
      </c>
      <c r="R144" s="11">
        <f>VLOOKUP($G144, 'ADP Data'!$C$4:$Q$300, 5, FALSE)</f>
        <v>329</v>
      </c>
      <c r="S144" s="11">
        <f>VLOOKUP($G144, 'ADP Data'!$C$4:$Q$300, 6, FALSE)</f>
        <v>272</v>
      </c>
      <c r="T144" s="11">
        <f>VLOOKUP($G144, 'ADP Data'!$C$4:$Q$300, 7, FALSE)</f>
        <v>234</v>
      </c>
      <c r="U144" s="11">
        <f>VLOOKUP($G144, 'ADP Data'!$C$4:$Q$300, 8, FALSE)</f>
        <v>213</v>
      </c>
      <c r="V144" s="11">
        <f t="shared" si="7"/>
        <v>240</v>
      </c>
      <c r="W144" s="11">
        <f t="shared" si="8"/>
        <v>31</v>
      </c>
      <c r="X144" s="11">
        <f t="shared" si="9"/>
        <v>-31</v>
      </c>
      <c r="Y144" s="11">
        <f>VLOOKUP($G144, SeanRanks!$A$2:$K$303, 10, FALSE)-V144</f>
        <v>-46</v>
      </c>
      <c r="Z144" s="25" t="str">
        <f>IF(VLOOKUP($G144, SeanRanks!$A$2:$H$303, 7, FALSE)=0, "", VLOOKUP($G144, SeanRanks!$A$2:$H$303, 7, FALSE))</f>
        <v/>
      </c>
    </row>
    <row r="145" spans="1:26" ht="14.25" hidden="1" customHeight="1" x14ac:dyDescent="0.25">
      <c r="A145" s="11"/>
      <c r="B145" s="11" t="e">
        <f t="shared" si="3"/>
        <v>#N/A</v>
      </c>
      <c r="C145" s="11" t="s">
        <v>148</v>
      </c>
      <c r="D145" s="11"/>
      <c r="E145" s="11"/>
      <c r="F145" s="11" t="e">
        <f>VLOOKUP(G145, SeanRanks!$A$2:$E$302, 4, FALSE)</f>
        <v>#N/A</v>
      </c>
      <c r="G145" s="11" t="s">
        <v>915</v>
      </c>
      <c r="H145" s="11" t="e">
        <f>VLOOKUP($G145, 'ADP Data'!$C$4:$Q$300, 2, FALSE)</f>
        <v>#N/A</v>
      </c>
      <c r="I145" s="11" t="e">
        <f>VLOOKUP(G145, 'ADP Data'!$C$4:$R$498, 12, FALSE)</f>
        <v>#N/A</v>
      </c>
      <c r="J145" s="11" t="e">
        <f>VLOOKUP($G145, SeanRanks!$A$2:$H$303, 5, FALSE)</f>
        <v>#N/A</v>
      </c>
      <c r="K145" s="11" t="e">
        <f>IF(VLOOKUP($G145, SeanRanks!$A$2:$H$303, 6, FALSE)=0, "", VLOOKUP($G145, SeanRanks!$A$2:$H$303, 6, FALSE))</f>
        <v>#N/A</v>
      </c>
      <c r="L145" s="11">
        <f t="shared" si="4"/>
        <v>16</v>
      </c>
      <c r="M145" s="11" t="e">
        <f>VLOOKUP($G145, 'ADP Data'!$C$4:$Q$300, 9, FALSE)</f>
        <v>#N/A</v>
      </c>
      <c r="N145" s="11" t="e">
        <f t="shared" si="5"/>
        <v>#N/A</v>
      </c>
      <c r="O145" s="11" t="e">
        <f>VLOOKUP($G145, 'ADP Data'!$C$4:$Q$300, 3, FALSE)</f>
        <v>#N/A</v>
      </c>
      <c r="P145" s="11" t="e">
        <f t="shared" si="6"/>
        <v>#N/A</v>
      </c>
      <c r="Q145" s="11" t="e">
        <f>VLOOKUP($G145, 'ADP Data'!$C$4:$Q$300, 4, FALSE)</f>
        <v>#N/A</v>
      </c>
      <c r="R145" s="11" t="e">
        <f>VLOOKUP($G145, 'ADP Data'!$C$4:$Q$300, 5, FALSE)</f>
        <v>#N/A</v>
      </c>
      <c r="S145" s="11" t="e">
        <f>VLOOKUP($G145, 'ADP Data'!$C$4:$Q$300, 6, FALSE)</f>
        <v>#N/A</v>
      </c>
      <c r="T145" s="11" t="e">
        <f>VLOOKUP($G145, 'ADP Data'!$C$4:$Q$300, 7, FALSE)</f>
        <v>#N/A</v>
      </c>
      <c r="U145" s="11" t="e">
        <f>VLOOKUP($G145, 'ADP Data'!$C$4:$Q$300, 8, FALSE)</f>
        <v>#N/A</v>
      </c>
      <c r="V145" s="11" t="e">
        <f t="shared" si="7"/>
        <v>#N/A</v>
      </c>
      <c r="W145" s="11">
        <f t="shared" si="8"/>
        <v>16</v>
      </c>
      <c r="X145" s="11">
        <f t="shared" si="9"/>
        <v>-16</v>
      </c>
      <c r="Y145" s="11" t="e">
        <f>VLOOKUP($G145, SeanRanks!$A$2:$K$303, 10, FALSE)-V145</f>
        <v>#N/A</v>
      </c>
      <c r="Z145" s="25" t="e">
        <f>IF(VLOOKUP($G145, SeanRanks!$A$2:$H$303, 7, FALSE)=0, "", VLOOKUP($G145, SeanRanks!$A$2:$H$303, 7, FALSE))</f>
        <v>#N/A</v>
      </c>
    </row>
    <row r="146" spans="1:26" ht="14.25" customHeight="1" x14ac:dyDescent="0.25">
      <c r="A146" s="11"/>
      <c r="B146" s="11">
        <f t="shared" si="3"/>
        <v>10</v>
      </c>
      <c r="C146" s="11" t="s">
        <v>148</v>
      </c>
      <c r="D146" s="11"/>
      <c r="E146" s="11"/>
      <c r="F146" s="11">
        <f>VLOOKUP(G146, SeanRanks!$A$2:$E$302, 4, FALSE)</f>
        <v>0</v>
      </c>
      <c r="G146" s="11" t="s">
        <v>386</v>
      </c>
      <c r="H146" s="11" t="str">
        <f>VLOOKUP($G146, 'ADP Data'!$C$4:$Q$300, 2, FALSE)</f>
        <v>SEA</v>
      </c>
      <c r="I146" s="11">
        <f>VLOOKUP(G146, 'ADP Data'!$C$4:$R$498, 12, FALSE)</f>
        <v>90</v>
      </c>
      <c r="J146" s="59">
        <f>VLOOKUP($G146, SeanRanks!$A$2:$H$303, 5, FALSE)</f>
        <v>0</v>
      </c>
      <c r="K146" s="11" t="str">
        <f>IF(VLOOKUP($G146, SeanRanks!$A$2:$H$303, 6, FALSE)=0, "", VLOOKUP($G146, SeanRanks!$A$2:$H$303, 6, FALSE))</f>
        <v>RB3 - 1 - Upside</v>
      </c>
      <c r="L146" s="11">
        <f t="shared" si="4"/>
        <v>14</v>
      </c>
      <c r="M146" s="11">
        <f>VLOOKUP($G146, 'ADP Data'!$C$4:$Q$300, 9, FALSE)</f>
        <v>104</v>
      </c>
      <c r="N146" s="11">
        <f t="shared" si="5"/>
        <v>-6</v>
      </c>
      <c r="O146" s="11">
        <f>VLOOKUP($G146, 'ADP Data'!$C$4:$Q$300, 3, FALSE)</f>
        <v>92</v>
      </c>
      <c r="P146" s="11">
        <f t="shared" si="6"/>
        <v>12</v>
      </c>
      <c r="Q146" s="11">
        <f>VLOOKUP($G146, 'ADP Data'!$C$4:$Q$300, 4, FALSE)</f>
        <v>129</v>
      </c>
      <c r="R146" s="11">
        <f>VLOOKUP($G146, 'ADP Data'!$C$4:$Q$300, 5, FALSE)</f>
        <v>114</v>
      </c>
      <c r="S146" s="11">
        <f>VLOOKUP($G146, 'ADP Data'!$C$4:$Q$300, 6, FALSE)</f>
        <v>86</v>
      </c>
      <c r="T146" s="11">
        <f>VLOOKUP($G146, 'ADP Data'!$C$4:$Q$300, 7, FALSE)</f>
        <v>92</v>
      </c>
      <c r="U146" s="11">
        <f>VLOOKUP($G146, 'ADP Data'!$C$4:$Q$300, 8, FALSE)</f>
        <v>153</v>
      </c>
      <c r="V146" s="11">
        <f t="shared" si="7"/>
        <v>110</v>
      </c>
      <c r="W146" s="11">
        <f t="shared" si="8"/>
        <v>14</v>
      </c>
      <c r="X146" s="11">
        <f t="shared" si="9"/>
        <v>-14</v>
      </c>
      <c r="Y146" s="11">
        <f>VLOOKUP($G146, SeanRanks!$A$2:$K$303, 10, FALSE)-V146</f>
        <v>-32</v>
      </c>
      <c r="Z146" s="25">
        <f>IF(VLOOKUP($G146, SeanRanks!$A$2:$H$303, 7, FALSE)=0, "", VLOOKUP($G146, SeanRanks!$A$2:$H$303, 7, FALSE))</f>
        <v>31</v>
      </c>
    </row>
    <row r="147" spans="1:26" ht="14.25" hidden="1" customHeight="1" x14ac:dyDescent="0.25">
      <c r="A147" s="11"/>
      <c r="B147" s="11">
        <f t="shared" si="3"/>
        <v>20</v>
      </c>
      <c r="C147" s="11" t="s">
        <v>148</v>
      </c>
      <c r="D147" s="11"/>
      <c r="E147" s="11"/>
      <c r="F147" s="11">
        <f>VLOOKUP(G147, SeanRanks!$A$2:$E$302, 4, FALSE)</f>
        <v>0</v>
      </c>
      <c r="G147" s="11" t="s">
        <v>644</v>
      </c>
      <c r="H147" s="11" t="str">
        <f>VLOOKUP($G147, 'ADP Data'!$C$4:$Q$300, 2, FALSE)</f>
        <v>CLE</v>
      </c>
      <c r="I147" s="11" t="str">
        <f>VLOOKUP(G147, 'ADP Data'!$C$4:$R$498, 12, FALSE)</f>
        <v>-</v>
      </c>
      <c r="J147" s="11">
        <f>VLOOKUP($G147, SeanRanks!$A$2:$H$303, 5, FALSE)</f>
        <v>0</v>
      </c>
      <c r="K147" s="11" t="str">
        <f>IF(VLOOKUP($G147, SeanRanks!$A$2:$H$303, 6, FALSE)=0, "", VLOOKUP($G147, SeanRanks!$A$2:$H$303, 6, FALSE))</f>
        <v/>
      </c>
      <c r="L147" s="11">
        <f t="shared" si="4"/>
        <v>16</v>
      </c>
      <c r="M147" s="11" t="str">
        <f>VLOOKUP($G147, 'ADP Data'!$C$4:$Q$300, 9, FALSE)</f>
        <v>-</v>
      </c>
      <c r="N147" s="11" t="e">
        <f t="shared" si="5"/>
        <v>#VALUE!</v>
      </c>
      <c r="O147" s="11" t="str">
        <f>VLOOKUP($G147, 'ADP Data'!$C$4:$Q$300, 3, FALSE)</f>
        <v>-</v>
      </c>
      <c r="P147" s="11" t="e">
        <f t="shared" si="6"/>
        <v>#VALUE!</v>
      </c>
      <c r="Q147" s="11">
        <f>VLOOKUP($G147, 'ADP Data'!$C$4:$Q$300, 4, FALSE)</f>
        <v>215</v>
      </c>
      <c r="R147" s="11" t="str">
        <f>VLOOKUP($G147, 'ADP Data'!$C$4:$Q$300, 5, FALSE)</f>
        <v>-</v>
      </c>
      <c r="S147" s="11">
        <f>VLOOKUP($G147, 'ADP Data'!$C$4:$Q$300, 6, FALSE)</f>
        <v>318</v>
      </c>
      <c r="T147" s="11">
        <f>VLOOKUP($G147, 'ADP Data'!$C$4:$Q$300, 7, FALSE)</f>
        <v>261</v>
      </c>
      <c r="U147" s="11">
        <f>VLOOKUP($G147, 'ADP Data'!$C$4:$Q$300, 8, FALSE)</f>
        <v>125</v>
      </c>
      <c r="V147" s="11">
        <f t="shared" si="7"/>
        <v>229</v>
      </c>
      <c r="W147" s="11">
        <f t="shared" si="8"/>
        <v>29</v>
      </c>
      <c r="X147" s="11">
        <f t="shared" si="9"/>
        <v>-29</v>
      </c>
      <c r="Y147" s="11">
        <f>VLOOKUP($G147, SeanRanks!$A$2:$K$303, 10, FALSE)-V147</f>
        <v>-12</v>
      </c>
      <c r="Z147" s="25" t="str">
        <f>IF(VLOOKUP($G147, SeanRanks!$A$2:$H$303, 7, FALSE)=0, "", VLOOKUP($G147, SeanRanks!$A$2:$H$303, 7, FALSE))</f>
        <v/>
      </c>
    </row>
    <row r="148" spans="1:26" ht="14.25" hidden="1" customHeight="1" x14ac:dyDescent="0.25">
      <c r="A148" s="11"/>
      <c r="B148" s="11">
        <f t="shared" si="3"/>
        <v>22</v>
      </c>
      <c r="C148" s="11" t="s">
        <v>148</v>
      </c>
      <c r="D148" s="11"/>
      <c r="E148" s="11"/>
      <c r="F148" s="11">
        <f>VLOOKUP(G148, SeanRanks!$A$2:$E$302, 4, FALSE)</f>
        <v>0</v>
      </c>
      <c r="G148" s="11" t="s">
        <v>811</v>
      </c>
      <c r="H148" s="11" t="str">
        <f>VLOOKUP($G148, 'ADP Data'!$C$4:$Q$300, 2, FALSE)</f>
        <v>CHI</v>
      </c>
      <c r="I148" s="11">
        <f>VLOOKUP(G148, 'ADP Data'!$C$4:$R$498, 12, FALSE)</f>
        <v>258</v>
      </c>
      <c r="J148" s="61">
        <f>VLOOKUP($G148, SeanRanks!$A$2:$H$303, 5, FALSE)</f>
        <v>0</v>
      </c>
      <c r="K148" s="11" t="str">
        <f>IF(VLOOKUP($G148, SeanRanks!$A$2:$H$303, 6, FALSE)=0, "", VLOOKUP($G148, SeanRanks!$A$2:$H$303, 6, FALSE))</f>
        <v/>
      </c>
      <c r="L148" s="11">
        <f t="shared" si="4"/>
        <v>34</v>
      </c>
      <c r="M148" s="11">
        <f>VLOOKUP($G148, 'ADP Data'!$C$4:$Q$300, 9, FALSE)</f>
        <v>271</v>
      </c>
      <c r="N148" s="11">
        <f t="shared" si="5"/>
        <v>15</v>
      </c>
      <c r="O148" s="11" t="str">
        <f>VLOOKUP($G148, 'ADP Data'!$C$4:$Q$300, 3, FALSE)</f>
        <v>-</v>
      </c>
      <c r="P148" s="11" t="e">
        <f t="shared" si="6"/>
        <v>#VALUE!</v>
      </c>
      <c r="Q148" s="11">
        <f>VLOOKUP($G148, 'ADP Data'!$C$4:$Q$300, 4, FALSE)</f>
        <v>225</v>
      </c>
      <c r="R148" s="11">
        <f>VLOOKUP($G148, 'ADP Data'!$C$4:$Q$300, 5, FALSE)</f>
        <v>290</v>
      </c>
      <c r="S148" s="11">
        <f>VLOOKUP($G148, 'ADP Data'!$C$4:$Q$300, 6, FALSE)</f>
        <v>259</v>
      </c>
      <c r="T148" s="11">
        <f>VLOOKUP($G148, 'ADP Data'!$C$4:$Q$300, 7, FALSE)</f>
        <v>266</v>
      </c>
      <c r="U148" s="11">
        <f>VLOOKUP($G148, 'ADP Data'!$C$4:$Q$300, 8, FALSE)</f>
        <v>229</v>
      </c>
      <c r="V148" s="11">
        <f t="shared" si="7"/>
        <v>256</v>
      </c>
      <c r="W148" s="11">
        <f t="shared" si="8"/>
        <v>33</v>
      </c>
      <c r="X148" s="11">
        <f t="shared" si="9"/>
        <v>-33</v>
      </c>
      <c r="Y148" s="11" t="e">
        <f>VLOOKUP($G148, SeanRanks!$A$2:$K$303, 10, FALSE)-V148</f>
        <v>#VALUE!</v>
      </c>
      <c r="Z148" s="25" t="str">
        <f>IF(VLOOKUP($G148, SeanRanks!$A$2:$H$303, 7, FALSE)=0, "", VLOOKUP($G148, SeanRanks!$A$2:$H$303, 7, FALSE))</f>
        <v/>
      </c>
    </row>
    <row r="149" spans="1:26" ht="14.25" hidden="1" customHeight="1" x14ac:dyDescent="0.25">
      <c r="A149" s="11"/>
      <c r="B149" s="11">
        <f t="shared" si="3"/>
        <v>7</v>
      </c>
      <c r="C149" s="11" t="s">
        <v>148</v>
      </c>
      <c r="D149" s="11"/>
      <c r="E149" s="11"/>
      <c r="F149" s="11">
        <f>VLOOKUP(G149, SeanRanks!$A$2:$E$302, 4, FALSE)</f>
        <v>0</v>
      </c>
      <c r="G149" s="11" t="s">
        <v>429</v>
      </c>
      <c r="H149" s="11" t="str">
        <f>VLOOKUP($G149, 'ADP Data'!$C$4:$Q$300, 2, FALSE)</f>
        <v>CLE</v>
      </c>
      <c r="I149" s="11">
        <f>VLOOKUP(G149, 'ADP Data'!$C$4:$R$498, 12, FALSE)</f>
        <v>72</v>
      </c>
      <c r="J149" s="11">
        <f>VLOOKUP($G149, SeanRanks!$A$2:$H$303, 5, FALSE)</f>
        <v>0</v>
      </c>
      <c r="K149" s="11" t="str">
        <f>IF(VLOOKUP($G149, SeanRanks!$A$2:$H$303, 6, FALSE)=0, "", VLOOKUP($G149, SeanRanks!$A$2:$H$303, 6, FALSE))</f>
        <v>WR3 - 3 - lower ceiling</v>
      </c>
      <c r="L149" s="11">
        <f t="shared" si="4"/>
        <v>10</v>
      </c>
      <c r="M149" s="11">
        <f>VLOOKUP($G149, 'ADP Data'!$C$4:$Q$300, 9, FALSE)</f>
        <v>75</v>
      </c>
      <c r="N149" s="11">
        <f t="shared" si="5"/>
        <v>0</v>
      </c>
      <c r="O149" s="11">
        <f>VLOOKUP($G149, 'ADP Data'!$C$4:$Q$300, 3, FALSE)</f>
        <v>69</v>
      </c>
      <c r="P149" s="11">
        <f t="shared" si="6"/>
        <v>6</v>
      </c>
      <c r="Q149" s="11">
        <f>VLOOKUP($G149, 'ADP Data'!$C$4:$Q$300, 4, FALSE)</f>
        <v>68</v>
      </c>
      <c r="R149" s="11">
        <f>VLOOKUP($G149, 'ADP Data'!$C$4:$Q$300, 5, FALSE)</f>
        <v>81</v>
      </c>
      <c r="S149" s="11">
        <f>VLOOKUP($G149, 'ADP Data'!$C$4:$Q$300, 6, FALSE)</f>
        <v>74</v>
      </c>
      <c r="T149" s="11">
        <f>VLOOKUP($G149, 'ADP Data'!$C$4:$Q$300, 7, FALSE)</f>
        <v>62</v>
      </c>
      <c r="U149" s="11">
        <f>VLOOKUP($G149, 'ADP Data'!$C$4:$Q$300, 8, FALSE)</f>
        <v>98</v>
      </c>
      <c r="V149" s="11">
        <f t="shared" si="7"/>
        <v>75</v>
      </c>
      <c r="W149" s="11">
        <f t="shared" si="8"/>
        <v>10</v>
      </c>
      <c r="X149" s="11">
        <f t="shared" si="9"/>
        <v>-10</v>
      </c>
      <c r="Y149" s="11">
        <f>VLOOKUP($G149, SeanRanks!$A$2:$K$303, 10, FALSE)-V149</f>
        <v>6</v>
      </c>
      <c r="Z149" s="25">
        <f>IF(VLOOKUP($G149, SeanRanks!$A$2:$H$303, 7, FALSE)=0, "", VLOOKUP($G149, SeanRanks!$A$2:$H$303, 7, FALSE))</f>
        <v>37</v>
      </c>
    </row>
    <row r="150" spans="1:26" ht="14.25" hidden="1" customHeight="1" x14ac:dyDescent="0.25">
      <c r="A150" s="11"/>
      <c r="B150" s="11" t="e">
        <f t="shared" si="3"/>
        <v>#N/A</v>
      </c>
      <c r="C150" s="11" t="s">
        <v>148</v>
      </c>
      <c r="D150" s="11"/>
      <c r="E150" s="11"/>
      <c r="F150" s="11" t="e">
        <f>VLOOKUP(G150, SeanRanks!$A$2:$E$302, 4, FALSE)</f>
        <v>#N/A</v>
      </c>
      <c r="G150" s="11" t="s">
        <v>916</v>
      </c>
      <c r="H150" s="11" t="e">
        <f>VLOOKUP($G150, 'ADP Data'!$C$4:$Q$300, 2, FALSE)</f>
        <v>#N/A</v>
      </c>
      <c r="I150" s="11" t="e">
        <f>VLOOKUP(G150, 'ADP Data'!$C$4:$R$498, 12, FALSE)</f>
        <v>#N/A</v>
      </c>
      <c r="J150" s="45" t="e">
        <f>VLOOKUP($G150, SeanRanks!$A$2:$H$303, 5, FALSE)</f>
        <v>#N/A</v>
      </c>
      <c r="K150" s="11" t="e">
        <f>IF(VLOOKUP($G150, SeanRanks!$A$2:$H$303, 6, FALSE)=0, "", VLOOKUP($G150, SeanRanks!$A$2:$H$303, 6, FALSE))</f>
        <v>#N/A</v>
      </c>
      <c r="L150" s="11">
        <f t="shared" si="4"/>
        <v>16</v>
      </c>
      <c r="M150" s="11" t="e">
        <f>VLOOKUP($G150, 'ADP Data'!$C$4:$Q$300, 9, FALSE)</f>
        <v>#N/A</v>
      </c>
      <c r="N150" s="11" t="e">
        <f t="shared" si="5"/>
        <v>#N/A</v>
      </c>
      <c r="O150" s="11" t="e">
        <f>VLOOKUP($G150, 'ADP Data'!$C$4:$Q$300, 3, FALSE)</f>
        <v>#N/A</v>
      </c>
      <c r="P150" s="11" t="e">
        <f t="shared" si="6"/>
        <v>#N/A</v>
      </c>
      <c r="Q150" s="11" t="e">
        <f>VLOOKUP($G150, 'ADP Data'!$C$4:$Q$300, 4, FALSE)</f>
        <v>#N/A</v>
      </c>
      <c r="R150" s="11" t="e">
        <f>VLOOKUP($G150, 'ADP Data'!$C$4:$Q$300, 5, FALSE)</f>
        <v>#N/A</v>
      </c>
      <c r="S150" s="11" t="e">
        <f>VLOOKUP($G150, 'ADP Data'!$C$4:$Q$300, 6, FALSE)</f>
        <v>#N/A</v>
      </c>
      <c r="T150" s="11" t="e">
        <f>VLOOKUP($G150, 'ADP Data'!$C$4:$Q$300, 7, FALSE)</f>
        <v>#N/A</v>
      </c>
      <c r="U150" s="11" t="e">
        <f>VLOOKUP($G150, 'ADP Data'!$C$4:$Q$300, 8, FALSE)</f>
        <v>#N/A</v>
      </c>
      <c r="V150" s="11" t="e">
        <f t="shared" si="7"/>
        <v>#N/A</v>
      </c>
      <c r="W150" s="11">
        <f t="shared" si="8"/>
        <v>16</v>
      </c>
      <c r="X150" s="11">
        <f t="shared" si="9"/>
        <v>-16</v>
      </c>
      <c r="Y150" s="11" t="e">
        <f>VLOOKUP($G150, SeanRanks!$A$2:$K$303, 10, FALSE)-V150</f>
        <v>#N/A</v>
      </c>
      <c r="Z150" s="25" t="e">
        <f>IF(VLOOKUP($G150, SeanRanks!$A$2:$H$303, 7, FALSE)=0, "", VLOOKUP($G150, SeanRanks!$A$2:$H$303, 7, FALSE))</f>
        <v>#N/A</v>
      </c>
    </row>
    <row r="151" spans="1:26" ht="14.25" hidden="1" customHeight="1" x14ac:dyDescent="0.25">
      <c r="A151" s="11"/>
      <c r="B151" s="11" t="e">
        <f t="shared" si="3"/>
        <v>#N/A</v>
      </c>
      <c r="C151" s="11" t="s">
        <v>148</v>
      </c>
      <c r="D151" s="11"/>
      <c r="E151" s="11"/>
      <c r="F151" s="11" t="e">
        <f>VLOOKUP(G151, SeanRanks!$A$2:$E$302, 4, FALSE)</f>
        <v>#N/A</v>
      </c>
      <c r="G151" s="11" t="s">
        <v>695</v>
      </c>
      <c r="H151" s="11" t="e">
        <f>VLOOKUP($G151, 'ADP Data'!$C$4:$Q$300, 2, FALSE)</f>
        <v>#N/A</v>
      </c>
      <c r="I151" s="11" t="e">
        <f>VLOOKUP(G151, 'ADP Data'!$C$4:$R$498, 12, FALSE)</f>
        <v>#N/A</v>
      </c>
      <c r="J151" s="11" t="e">
        <f>VLOOKUP($G151, SeanRanks!$A$2:$H$303, 5, FALSE)</f>
        <v>#N/A</v>
      </c>
      <c r="K151" s="11" t="e">
        <f>IF(VLOOKUP($G151, SeanRanks!$A$2:$H$303, 6, FALSE)=0, "", VLOOKUP($G151, SeanRanks!$A$2:$H$303, 6, FALSE))</f>
        <v>#N/A</v>
      </c>
      <c r="L151" s="11">
        <f t="shared" si="4"/>
        <v>16</v>
      </c>
      <c r="M151" s="11" t="e">
        <f>VLOOKUP($G151, 'ADP Data'!$C$4:$Q$300, 9, FALSE)</f>
        <v>#N/A</v>
      </c>
      <c r="N151" s="11" t="e">
        <f t="shared" si="5"/>
        <v>#N/A</v>
      </c>
      <c r="O151" s="11" t="e">
        <f>VLOOKUP($G151, 'ADP Data'!$C$4:$Q$300, 3, FALSE)</f>
        <v>#N/A</v>
      </c>
      <c r="P151" s="11" t="e">
        <f t="shared" si="6"/>
        <v>#N/A</v>
      </c>
      <c r="Q151" s="11" t="e">
        <f>VLOOKUP($G151, 'ADP Data'!$C$4:$Q$300, 4, FALSE)</f>
        <v>#N/A</v>
      </c>
      <c r="R151" s="11" t="e">
        <f>VLOOKUP($G151, 'ADP Data'!$C$4:$Q$300, 5, FALSE)</f>
        <v>#N/A</v>
      </c>
      <c r="S151" s="11" t="e">
        <f>VLOOKUP($G151, 'ADP Data'!$C$4:$Q$300, 6, FALSE)</f>
        <v>#N/A</v>
      </c>
      <c r="T151" s="11" t="e">
        <f>VLOOKUP($G151, 'ADP Data'!$C$4:$Q$300, 7, FALSE)</f>
        <v>#N/A</v>
      </c>
      <c r="U151" s="11" t="e">
        <f>VLOOKUP($G151, 'ADP Data'!$C$4:$Q$300, 8, FALSE)</f>
        <v>#N/A</v>
      </c>
      <c r="V151" s="11" t="e">
        <f t="shared" si="7"/>
        <v>#N/A</v>
      </c>
      <c r="W151" s="11">
        <f t="shared" si="8"/>
        <v>16</v>
      </c>
      <c r="X151" s="11">
        <f t="shared" si="9"/>
        <v>-16</v>
      </c>
      <c r="Y151" s="11" t="e">
        <f>VLOOKUP($G151, SeanRanks!$A$2:$K$303, 10, FALSE)-V151</f>
        <v>#N/A</v>
      </c>
      <c r="Z151" s="25" t="e">
        <f>IF(VLOOKUP($G151, SeanRanks!$A$2:$H$303, 7, FALSE)=0, "", VLOOKUP($G151, SeanRanks!$A$2:$H$303, 7, FALSE))</f>
        <v>#N/A</v>
      </c>
    </row>
    <row r="152" spans="1:26" ht="14.25" customHeight="1" x14ac:dyDescent="0.25">
      <c r="A152" s="11"/>
      <c r="B152" s="11">
        <f t="shared" si="3"/>
        <v>15</v>
      </c>
      <c r="C152" s="11" t="s">
        <v>148</v>
      </c>
      <c r="D152" s="11"/>
      <c r="E152" s="11"/>
      <c r="F152" s="11">
        <f>VLOOKUP(G152, SeanRanks!$A$2:$E$302, 4, FALSE)</f>
        <v>0</v>
      </c>
      <c r="G152" s="11" t="s">
        <v>370</v>
      </c>
      <c r="H152" s="11" t="str">
        <f>VLOOKUP($G152, 'ADP Data'!$C$4:$Q$300, 2, FALSE)</f>
        <v>ATL</v>
      </c>
      <c r="I152" s="11">
        <f>VLOOKUP(G152, 'ADP Data'!$C$4:$R$498, 12, FALSE)</f>
        <v>156</v>
      </c>
      <c r="J152" s="59">
        <f>VLOOKUP($G152, SeanRanks!$A$2:$H$303, 5, FALSE)</f>
        <v>0</v>
      </c>
      <c r="K152" s="11" t="str">
        <f>IF(VLOOKUP($G152, SeanRanks!$A$2:$H$303, 6, FALSE)=0, "", VLOOKUP($G152, SeanRanks!$A$2:$H$303, 6, FALSE))</f>
        <v>RB4 - 1 - Path to spikes</v>
      </c>
      <c r="L152" s="11">
        <f t="shared" si="4"/>
        <v>21</v>
      </c>
      <c r="M152" s="11">
        <f>VLOOKUP($G152, 'ADP Data'!$C$4:$Q$300, 9, FALSE)</f>
        <v>167</v>
      </c>
      <c r="N152" s="11">
        <f t="shared" si="5"/>
        <v>-2</v>
      </c>
      <c r="O152" s="11">
        <f>VLOOKUP($G152, 'ADP Data'!$C$4:$Q$300, 3, FALSE)</f>
        <v>172</v>
      </c>
      <c r="P152" s="11">
        <f t="shared" si="6"/>
        <v>-5</v>
      </c>
      <c r="Q152" s="11">
        <f>VLOOKUP($G152, 'ADP Data'!$C$4:$Q$300, 4, FALSE)</f>
        <v>161</v>
      </c>
      <c r="R152" s="11">
        <f>VLOOKUP($G152, 'ADP Data'!$C$4:$Q$300, 5, FALSE)</f>
        <v>199</v>
      </c>
      <c r="S152" s="11">
        <f>VLOOKUP($G152, 'ADP Data'!$C$4:$Q$300, 6, FALSE)</f>
        <v>151</v>
      </c>
      <c r="T152" s="11">
        <f>VLOOKUP($G152, 'ADP Data'!$C$4:$Q$300, 7, FALSE)</f>
        <v>154</v>
      </c>
      <c r="U152" s="11">
        <f>VLOOKUP($G152, 'ADP Data'!$C$4:$Q$300, 8, FALSE)</f>
        <v>184</v>
      </c>
      <c r="V152" s="11">
        <f t="shared" si="7"/>
        <v>169</v>
      </c>
      <c r="W152" s="11">
        <f t="shared" si="8"/>
        <v>22</v>
      </c>
      <c r="X152" s="11">
        <f t="shared" si="9"/>
        <v>-22</v>
      </c>
      <c r="Y152" s="11">
        <f>VLOOKUP($G152, SeanRanks!$A$2:$K$303, 10, FALSE)-V152</f>
        <v>-23</v>
      </c>
      <c r="Z152" s="25">
        <f>IF(VLOOKUP($G152, SeanRanks!$A$2:$H$303, 7, FALSE)=0, "", VLOOKUP($G152, SeanRanks!$A$2:$H$303, 7, FALSE))</f>
        <v>46</v>
      </c>
    </row>
    <row r="153" spans="1:26" ht="14.25" hidden="1" customHeight="1" x14ac:dyDescent="0.25">
      <c r="A153" s="11"/>
      <c r="B153" s="11">
        <f t="shared" si="3"/>
        <v>12</v>
      </c>
      <c r="C153" s="11" t="s">
        <v>148</v>
      </c>
      <c r="D153" s="11">
        <v>11</v>
      </c>
      <c r="E153" s="11"/>
      <c r="F153" s="11">
        <f>VLOOKUP(G153, SeanRanks!$A$2:$E$302, 4, FALSE)</f>
        <v>0</v>
      </c>
      <c r="G153" s="11" t="s">
        <v>377</v>
      </c>
      <c r="H153" s="11" t="str">
        <f>VLOOKUP($G153, 'ADP Data'!$C$4:$Q$300, 2, FALSE)</f>
        <v>NO</v>
      </c>
      <c r="I153" s="11">
        <f>VLOOKUP(G153, 'ADP Data'!$C$4:$R$498, 12, FALSE)</f>
        <v>102</v>
      </c>
      <c r="J153" s="43">
        <f>VLOOKUP($G153, SeanRanks!$A$2:$H$303, 5, FALSE)</f>
        <v>0</v>
      </c>
      <c r="K153" s="11" t="str">
        <f>IF(VLOOKUP($G153, SeanRanks!$A$2:$H$303, 6, FALSE)=0, "", VLOOKUP($G153, SeanRanks!$A$2:$H$303, 6, FALSE))</f>
        <v>WR4 - 2 - unclear path to WR2</v>
      </c>
      <c r="L153" s="11">
        <f t="shared" si="4"/>
        <v>16</v>
      </c>
      <c r="M153" s="11">
        <f>VLOOKUP($G153, 'ADP Data'!$C$4:$Q$300, 9, FALSE)</f>
        <v>124</v>
      </c>
      <c r="N153" s="11">
        <f t="shared" si="5"/>
        <v>-15</v>
      </c>
      <c r="O153" s="11">
        <f>VLOOKUP($G153, 'ADP Data'!$C$4:$Q$300, 3, FALSE)</f>
        <v>161</v>
      </c>
      <c r="P153" s="11">
        <f t="shared" si="6"/>
        <v>-37</v>
      </c>
      <c r="Q153" s="11">
        <f>VLOOKUP($G153, 'ADP Data'!$C$4:$Q$300, 4, FALSE)</f>
        <v>134</v>
      </c>
      <c r="R153" s="11">
        <f>VLOOKUP($G153, 'ADP Data'!$C$4:$Q$300, 5, FALSE)</f>
        <v>133</v>
      </c>
      <c r="S153" s="11">
        <f>VLOOKUP($G153, 'ADP Data'!$C$4:$Q$300, 6, FALSE)</f>
        <v>127</v>
      </c>
      <c r="T153" s="11">
        <f>VLOOKUP($G153, 'ADP Data'!$C$4:$Q$300, 7, FALSE)</f>
        <v>117</v>
      </c>
      <c r="U153" s="11">
        <f>VLOOKUP($G153, 'ADP Data'!$C$4:$Q$300, 8, FALSE)</f>
        <v>177</v>
      </c>
      <c r="V153" s="11">
        <f t="shared" si="7"/>
        <v>139</v>
      </c>
      <c r="W153" s="11">
        <f t="shared" si="8"/>
        <v>18</v>
      </c>
      <c r="X153" s="11">
        <f t="shared" si="9"/>
        <v>-7</v>
      </c>
      <c r="Y153" s="11">
        <f>VLOOKUP($G153, SeanRanks!$A$2:$K$303, 10, FALSE)-V153</f>
        <v>-31</v>
      </c>
      <c r="Z153" s="25">
        <f>IF(VLOOKUP($G153, SeanRanks!$A$2:$H$303, 7, FALSE)=0, "", VLOOKUP($G153, SeanRanks!$A$2:$H$303, 7, FALSE))</f>
        <v>44</v>
      </c>
    </row>
    <row r="154" spans="1:26" ht="14.25" hidden="1" customHeight="1" x14ac:dyDescent="0.25">
      <c r="A154" s="11"/>
      <c r="B154" s="11" t="e">
        <f t="shared" si="3"/>
        <v>#N/A</v>
      </c>
      <c r="C154" s="11" t="s">
        <v>148</v>
      </c>
      <c r="D154" s="11"/>
      <c r="E154" s="11"/>
      <c r="F154" s="11" t="e">
        <f>VLOOKUP(G154, SeanRanks!$A$2:$E$302, 4, FALSE)</f>
        <v>#N/A</v>
      </c>
      <c r="G154" s="11" t="s">
        <v>917</v>
      </c>
      <c r="H154" s="11" t="e">
        <f>VLOOKUP($G154, 'ADP Data'!$C$4:$Q$300, 2, FALSE)</f>
        <v>#N/A</v>
      </c>
      <c r="I154" s="11" t="e">
        <f>VLOOKUP(G154, 'ADP Data'!$C$4:$R$498, 12, FALSE)</f>
        <v>#N/A</v>
      </c>
      <c r="J154" s="11" t="e">
        <f>VLOOKUP($G154, SeanRanks!$A$2:$H$303, 5, FALSE)</f>
        <v>#N/A</v>
      </c>
      <c r="K154" s="11" t="e">
        <f>IF(VLOOKUP($G154, SeanRanks!$A$2:$H$303, 6, FALSE)=0, "", VLOOKUP($G154, SeanRanks!$A$2:$H$303, 6, FALSE))</f>
        <v>#N/A</v>
      </c>
      <c r="L154" s="11">
        <f t="shared" si="4"/>
        <v>16</v>
      </c>
      <c r="M154" s="11" t="e">
        <f>VLOOKUP($G154, 'ADP Data'!$C$4:$Q$300, 9, FALSE)</f>
        <v>#N/A</v>
      </c>
      <c r="N154" s="11" t="e">
        <f t="shared" si="5"/>
        <v>#N/A</v>
      </c>
      <c r="O154" s="11" t="e">
        <f>VLOOKUP($G154, 'ADP Data'!$C$4:$Q$300, 3, FALSE)</f>
        <v>#N/A</v>
      </c>
      <c r="P154" s="11" t="e">
        <f t="shared" si="6"/>
        <v>#N/A</v>
      </c>
      <c r="Q154" s="11" t="e">
        <f>VLOOKUP($G154, 'ADP Data'!$C$4:$Q$300, 4, FALSE)</f>
        <v>#N/A</v>
      </c>
      <c r="R154" s="11" t="e">
        <f>VLOOKUP($G154, 'ADP Data'!$C$4:$Q$300, 5, FALSE)</f>
        <v>#N/A</v>
      </c>
      <c r="S154" s="11" t="e">
        <f>VLOOKUP($G154, 'ADP Data'!$C$4:$Q$300, 6, FALSE)</f>
        <v>#N/A</v>
      </c>
      <c r="T154" s="11" t="e">
        <f>VLOOKUP($G154, 'ADP Data'!$C$4:$Q$300, 7, FALSE)</f>
        <v>#N/A</v>
      </c>
      <c r="U154" s="11" t="e">
        <f>VLOOKUP($G154, 'ADP Data'!$C$4:$Q$300, 8, FALSE)</f>
        <v>#N/A</v>
      </c>
      <c r="V154" s="11" t="e">
        <f t="shared" si="7"/>
        <v>#N/A</v>
      </c>
      <c r="W154" s="11">
        <f t="shared" si="8"/>
        <v>16</v>
      </c>
      <c r="X154" s="11">
        <f t="shared" si="9"/>
        <v>-16</v>
      </c>
      <c r="Y154" s="11" t="e">
        <f>VLOOKUP($G154, SeanRanks!$A$2:$K$303, 10, FALSE)-V154</f>
        <v>#N/A</v>
      </c>
      <c r="Z154" s="25" t="e">
        <f>IF(VLOOKUP($G154, SeanRanks!$A$2:$H$303, 7, FALSE)=0, "", VLOOKUP($G154, SeanRanks!$A$2:$H$303, 7, FALSE))</f>
        <v>#N/A</v>
      </c>
    </row>
    <row r="155" spans="1:26" ht="14.25" hidden="1" customHeight="1" x14ac:dyDescent="0.25">
      <c r="A155" s="11"/>
      <c r="B155" s="11" t="e">
        <f t="shared" si="3"/>
        <v>#N/A</v>
      </c>
      <c r="C155" s="11" t="s">
        <v>148</v>
      </c>
      <c r="D155" s="11"/>
      <c r="E155" s="11"/>
      <c r="F155" s="11">
        <f>VLOOKUP(G155, SeanRanks!$A$2:$E$302, 4, FALSE)</f>
        <v>0</v>
      </c>
      <c r="G155" s="11" t="s">
        <v>918</v>
      </c>
      <c r="H155" s="11" t="e">
        <f>VLOOKUP($G155, 'ADP Data'!$C$4:$Q$300, 2, FALSE)</f>
        <v>#N/A</v>
      </c>
      <c r="I155" s="11" t="e">
        <f>VLOOKUP(G155, 'ADP Data'!$C$4:$R$498, 12, FALSE)</f>
        <v>#N/A</v>
      </c>
      <c r="J155" s="11">
        <f>VLOOKUP($G155, SeanRanks!$A$2:$H$303, 5, FALSE)</f>
        <v>0</v>
      </c>
      <c r="K155" s="11" t="str">
        <f>IF(VLOOKUP($G155, SeanRanks!$A$2:$H$303, 6, FALSE)=0, "", VLOOKUP($G155, SeanRanks!$A$2:$H$303, 6, FALSE))</f>
        <v/>
      </c>
      <c r="L155" s="11">
        <f t="shared" si="4"/>
        <v>16</v>
      </c>
      <c r="M155" s="11" t="e">
        <f>VLOOKUP($G155, 'ADP Data'!$C$4:$Q$300, 9, FALSE)</f>
        <v>#N/A</v>
      </c>
      <c r="N155" s="11" t="e">
        <f t="shared" si="5"/>
        <v>#N/A</v>
      </c>
      <c r="O155" s="11" t="e">
        <f>VLOOKUP($G155, 'ADP Data'!$C$4:$Q$300, 3, FALSE)</f>
        <v>#N/A</v>
      </c>
      <c r="P155" s="11" t="e">
        <f t="shared" si="6"/>
        <v>#N/A</v>
      </c>
      <c r="Q155" s="11" t="e">
        <f>VLOOKUP($G155, 'ADP Data'!$C$4:$Q$300, 4, FALSE)</f>
        <v>#N/A</v>
      </c>
      <c r="R155" s="11" t="e">
        <f>VLOOKUP($G155, 'ADP Data'!$C$4:$Q$300, 5, FALSE)</f>
        <v>#N/A</v>
      </c>
      <c r="S155" s="11" t="e">
        <f>VLOOKUP($G155, 'ADP Data'!$C$4:$Q$300, 6, FALSE)</f>
        <v>#N/A</v>
      </c>
      <c r="T155" s="11" t="e">
        <f>VLOOKUP($G155, 'ADP Data'!$C$4:$Q$300, 7, FALSE)</f>
        <v>#N/A</v>
      </c>
      <c r="U155" s="11" t="e">
        <f>VLOOKUP($G155, 'ADP Data'!$C$4:$Q$300, 8, FALSE)</f>
        <v>#N/A</v>
      </c>
      <c r="V155" s="11" t="e">
        <f t="shared" si="7"/>
        <v>#N/A</v>
      </c>
      <c r="W155" s="11">
        <f t="shared" si="8"/>
        <v>16</v>
      </c>
      <c r="X155" s="11">
        <f t="shared" si="9"/>
        <v>-16</v>
      </c>
      <c r="Y155" s="11" t="e">
        <f>VLOOKUP($G155, SeanRanks!$A$2:$K$303, 10, FALSE)-V155</f>
        <v>#N/A</v>
      </c>
      <c r="Z155" s="25" t="str">
        <f>IF(VLOOKUP($G155, SeanRanks!$A$2:$H$303, 7, FALSE)=0, "", VLOOKUP($G155, SeanRanks!$A$2:$H$303, 7, FALSE))</f>
        <v/>
      </c>
    </row>
    <row r="156" spans="1:26" ht="14.25" hidden="1" customHeight="1" x14ac:dyDescent="0.25">
      <c r="A156" s="11"/>
      <c r="B156" s="11" t="e">
        <f t="shared" si="3"/>
        <v>#N/A</v>
      </c>
      <c r="C156" s="11" t="s">
        <v>148</v>
      </c>
      <c r="D156" s="11"/>
      <c r="E156" s="11"/>
      <c r="F156" s="11" t="e">
        <f>VLOOKUP(G156, SeanRanks!$A$2:$E$302, 4, FALSE)</f>
        <v>#N/A</v>
      </c>
      <c r="G156" s="11" t="s">
        <v>919</v>
      </c>
      <c r="H156" s="11" t="e">
        <f>VLOOKUP($G156, 'ADP Data'!$C$4:$Q$300, 2, FALSE)</f>
        <v>#N/A</v>
      </c>
      <c r="I156" s="11" t="e">
        <f>VLOOKUP(G156, 'ADP Data'!$C$4:$R$498, 12, FALSE)</f>
        <v>#N/A</v>
      </c>
      <c r="J156" s="11" t="e">
        <f>VLOOKUP($G156, SeanRanks!$A$2:$H$303, 5, FALSE)</f>
        <v>#N/A</v>
      </c>
      <c r="K156" s="11" t="e">
        <f>IF(VLOOKUP($G156, SeanRanks!$A$2:$H$303, 6, FALSE)=0, "", VLOOKUP($G156, SeanRanks!$A$2:$H$303, 6, FALSE))</f>
        <v>#N/A</v>
      </c>
      <c r="L156" s="11">
        <f t="shared" si="4"/>
        <v>16</v>
      </c>
      <c r="M156" s="11" t="e">
        <f>VLOOKUP($G156, 'ADP Data'!$C$4:$Q$300, 9, FALSE)</f>
        <v>#N/A</v>
      </c>
      <c r="N156" s="11" t="e">
        <f t="shared" si="5"/>
        <v>#N/A</v>
      </c>
      <c r="O156" s="11" t="e">
        <f>VLOOKUP($G156, 'ADP Data'!$C$4:$Q$300, 3, FALSE)</f>
        <v>#N/A</v>
      </c>
      <c r="P156" s="11" t="e">
        <f t="shared" si="6"/>
        <v>#N/A</v>
      </c>
      <c r="Q156" s="11" t="e">
        <f>VLOOKUP($G156, 'ADP Data'!$C$4:$Q$300, 4, FALSE)</f>
        <v>#N/A</v>
      </c>
      <c r="R156" s="11" t="e">
        <f>VLOOKUP($G156, 'ADP Data'!$C$4:$Q$300, 5, FALSE)</f>
        <v>#N/A</v>
      </c>
      <c r="S156" s="11" t="e">
        <f>VLOOKUP($G156, 'ADP Data'!$C$4:$Q$300, 6, FALSE)</f>
        <v>#N/A</v>
      </c>
      <c r="T156" s="11" t="e">
        <f>VLOOKUP($G156, 'ADP Data'!$C$4:$Q$300, 7, FALSE)</f>
        <v>#N/A</v>
      </c>
      <c r="U156" s="11" t="e">
        <f>VLOOKUP($G156, 'ADP Data'!$C$4:$Q$300, 8, FALSE)</f>
        <v>#N/A</v>
      </c>
      <c r="V156" s="11" t="e">
        <f t="shared" si="7"/>
        <v>#N/A</v>
      </c>
      <c r="W156" s="11">
        <f t="shared" si="8"/>
        <v>16</v>
      </c>
      <c r="X156" s="11">
        <f t="shared" si="9"/>
        <v>-16</v>
      </c>
      <c r="Y156" s="11" t="e">
        <f>VLOOKUP($G156, SeanRanks!$A$2:$K$303, 10, FALSE)-V156</f>
        <v>#N/A</v>
      </c>
      <c r="Z156" s="25" t="e">
        <f>IF(VLOOKUP($G156, SeanRanks!$A$2:$H$303, 7, FALSE)=0, "", VLOOKUP($G156, SeanRanks!$A$2:$H$303, 7, FALSE))</f>
        <v>#N/A</v>
      </c>
    </row>
    <row r="157" spans="1:26" ht="14.25" hidden="1" customHeight="1" x14ac:dyDescent="0.25">
      <c r="A157" s="11"/>
      <c r="B157" s="11">
        <f t="shared" si="3"/>
        <v>15</v>
      </c>
      <c r="C157" s="11" t="s">
        <v>148</v>
      </c>
      <c r="D157" s="11"/>
      <c r="E157" s="11"/>
      <c r="F157" s="11">
        <f>VLOOKUP(G157, SeanRanks!$A$2:$E$302, 4, FALSE)</f>
        <v>0</v>
      </c>
      <c r="G157" s="11" t="s">
        <v>920</v>
      </c>
      <c r="H157" s="11" t="str">
        <f>VLOOKUP($G157, 'ADP Data'!$C$4:$Q$300, 2, FALSE)</f>
        <v>MIN</v>
      </c>
      <c r="I157" s="11">
        <f>VLOOKUP(G157, 'ADP Data'!$C$4:$R$498, 12, FALSE)</f>
        <v>164</v>
      </c>
      <c r="J157" s="11">
        <f>VLOOKUP($G157, SeanRanks!$A$2:$H$303, 5, FALSE)</f>
        <v>0</v>
      </c>
      <c r="K157" s="11" t="str">
        <f>IF(VLOOKUP($G157, SeanRanks!$A$2:$H$303, 6, FALSE)=0, "", VLOOKUP($G157, SeanRanks!$A$2:$H$303, 6, FALSE))</f>
        <v>WR6 - dart throw upside</v>
      </c>
      <c r="L157" s="11">
        <f t="shared" si="4"/>
        <v>22</v>
      </c>
      <c r="M157" s="11">
        <f>VLOOKUP($G157, 'ADP Data'!$C$4:$Q$300, 9, FALSE)</f>
        <v>171</v>
      </c>
      <c r="N157" s="11">
        <f t="shared" si="5"/>
        <v>0</v>
      </c>
      <c r="O157" s="11">
        <f>VLOOKUP($G157, 'ADP Data'!$C$4:$Q$300, 3, FALSE)</f>
        <v>167</v>
      </c>
      <c r="P157" s="11">
        <f t="shared" si="6"/>
        <v>4</v>
      </c>
      <c r="Q157" s="11">
        <f>VLOOKUP($G157, 'ADP Data'!$C$4:$Q$300, 4, FALSE)</f>
        <v>159</v>
      </c>
      <c r="R157" s="11">
        <f>VLOOKUP($G157, 'ADP Data'!$C$4:$Q$300, 5, FALSE)</f>
        <v>175</v>
      </c>
      <c r="S157" s="11">
        <f>VLOOKUP($G157, 'ADP Data'!$C$4:$Q$300, 6, FALSE)</f>
        <v>168</v>
      </c>
      <c r="T157" s="11">
        <f>VLOOKUP($G157, 'ADP Data'!$C$4:$Q$300, 7, FALSE)</f>
        <v>156</v>
      </c>
      <c r="U157" s="11">
        <f>VLOOKUP($G157, 'ADP Data'!$C$4:$Q$300, 8, FALSE)</f>
        <v>203</v>
      </c>
      <c r="V157" s="11">
        <f t="shared" si="7"/>
        <v>171</v>
      </c>
      <c r="W157" s="11">
        <f t="shared" si="8"/>
        <v>22</v>
      </c>
      <c r="X157" s="11">
        <f t="shared" si="9"/>
        <v>-22</v>
      </c>
      <c r="Y157" s="11">
        <f>VLOOKUP($G157, SeanRanks!$A$2:$K$303, 10, FALSE)-V157</f>
        <v>20</v>
      </c>
      <c r="Z157" s="25">
        <f>IF(VLOOKUP($G157, SeanRanks!$A$2:$H$303, 7, FALSE)=0, "", VLOOKUP($G157, SeanRanks!$A$2:$H$303, 7, FALSE))</f>
        <v>65</v>
      </c>
    </row>
    <row r="158" spans="1:26" ht="14.25" hidden="1" customHeight="1" x14ac:dyDescent="0.25">
      <c r="A158" s="11"/>
      <c r="B158" s="11">
        <f t="shared" si="3"/>
        <v>26</v>
      </c>
      <c r="C158" s="11" t="s">
        <v>148</v>
      </c>
      <c r="D158" s="11"/>
      <c r="E158" s="11"/>
      <c r="F158" s="11">
        <f>VLOOKUP(G158, SeanRanks!$A$2:$E$302, 4, FALSE)</f>
        <v>0</v>
      </c>
      <c r="G158" s="11" t="s">
        <v>493</v>
      </c>
      <c r="H158" s="11" t="str">
        <f>VLOOKUP($G158, 'ADP Data'!$C$4:$Q$300, 2, FALSE)</f>
        <v>GB</v>
      </c>
      <c r="I158" s="11">
        <f>VLOOKUP(G158, 'ADP Data'!$C$4:$R$498, 12, FALSE)</f>
        <v>246</v>
      </c>
      <c r="J158" s="43">
        <f>VLOOKUP($G158, SeanRanks!$A$2:$H$303, 5, FALSE)</f>
        <v>0</v>
      </c>
      <c r="K158" s="11" t="str">
        <f>IF(VLOOKUP($G158, SeanRanks!$A$2:$H$303, 6, FALSE)=0, "", VLOOKUP($G158, SeanRanks!$A$2:$H$303, 6, FALSE))</f>
        <v/>
      </c>
      <c r="L158" s="11">
        <f t="shared" si="4"/>
        <v>36</v>
      </c>
      <c r="M158" s="11">
        <f>VLOOKUP($G158, 'ADP Data'!$C$4:$Q$300, 9, FALSE)</f>
        <v>284</v>
      </c>
      <c r="N158" s="11">
        <f t="shared" si="5"/>
        <v>-16</v>
      </c>
      <c r="O158" s="11" t="str">
        <f>VLOOKUP($G158, 'ADP Data'!$C$4:$Q$300, 3, FALSE)</f>
        <v>-</v>
      </c>
      <c r="P158" s="11" t="e">
        <f t="shared" si="6"/>
        <v>#VALUE!</v>
      </c>
      <c r="Q158" s="11" t="str">
        <f>VLOOKUP($G158, 'ADP Data'!$C$4:$Q$300, 4, FALSE)</f>
        <v>-</v>
      </c>
      <c r="R158" s="11">
        <f>VLOOKUP($G158, 'ADP Data'!$C$4:$Q$300, 5, FALSE)</f>
        <v>291</v>
      </c>
      <c r="S158" s="11">
        <f>VLOOKUP($G158, 'ADP Data'!$C$4:$Q$300, 6, FALSE)</f>
        <v>322</v>
      </c>
      <c r="T158" s="11">
        <f>VLOOKUP($G158, 'ADP Data'!$C$4:$Q$300, 7, FALSE)</f>
        <v>277</v>
      </c>
      <c r="U158" s="11">
        <f>VLOOKUP($G158, 'ADP Data'!$C$4:$Q$300, 8, FALSE)</f>
        <v>326</v>
      </c>
      <c r="V158" s="11">
        <f t="shared" si="7"/>
        <v>300</v>
      </c>
      <c r="W158" s="11">
        <f t="shared" si="8"/>
        <v>38</v>
      </c>
      <c r="X158" s="11">
        <f t="shared" si="9"/>
        <v>-38</v>
      </c>
      <c r="Y158" s="11" t="e">
        <f>VLOOKUP($G158, SeanRanks!$A$2:$K$303, 10, FALSE)-V158</f>
        <v>#VALUE!</v>
      </c>
      <c r="Z158" s="25" t="str">
        <f>IF(VLOOKUP($G158, SeanRanks!$A$2:$H$303, 7, FALSE)=0, "", VLOOKUP($G158, SeanRanks!$A$2:$H$303, 7, FALSE))</f>
        <v/>
      </c>
    </row>
    <row r="159" spans="1:26" ht="14.25" hidden="1" customHeight="1" x14ac:dyDescent="0.25">
      <c r="A159" s="11"/>
      <c r="B159" s="11">
        <f t="shared" si="3"/>
        <v>7</v>
      </c>
      <c r="C159" s="11" t="s">
        <v>148</v>
      </c>
      <c r="D159" s="11"/>
      <c r="E159" s="11"/>
      <c r="F159" s="11">
        <f>VLOOKUP(G159, SeanRanks!$A$2:$E$302, 4, FALSE)</f>
        <v>0</v>
      </c>
      <c r="G159" s="11" t="s">
        <v>364</v>
      </c>
      <c r="H159" s="11" t="str">
        <f>VLOOKUP($G159, 'ADP Data'!$C$4:$Q$300, 2, FALSE)</f>
        <v>TB</v>
      </c>
      <c r="I159" s="11">
        <f>VLOOKUP(G159, 'ADP Data'!$C$4:$R$498, 12, FALSE)</f>
        <v>99</v>
      </c>
      <c r="J159" s="11">
        <f>VLOOKUP($G159, SeanRanks!$A$2:$H$303, 5, FALSE)</f>
        <v>0</v>
      </c>
      <c r="K159" s="11" t="str">
        <f>IF(VLOOKUP($G159, SeanRanks!$A$2:$H$303, 6, FALSE)=0, "", VLOOKUP($G159, SeanRanks!$A$2:$H$303, 6, FALSE))</f>
        <v>QB1 - 3 - Top 5 Ceiling</v>
      </c>
      <c r="L159" s="11">
        <f t="shared" si="4"/>
        <v>9</v>
      </c>
      <c r="M159" s="11">
        <f>VLOOKUP($G159, 'ADP Data'!$C$4:$Q$300, 9, FALSE)</f>
        <v>71</v>
      </c>
      <c r="N159" s="11">
        <f t="shared" si="5"/>
        <v>1</v>
      </c>
      <c r="O159" s="11">
        <f>VLOOKUP($G159, 'ADP Data'!$C$4:$Q$300, 3, FALSE)</f>
        <v>54</v>
      </c>
      <c r="P159" s="11">
        <f t="shared" si="6"/>
        <v>17</v>
      </c>
      <c r="Q159" s="11">
        <f>VLOOKUP($G159, 'ADP Data'!$C$4:$Q$300, 4, FALSE)</f>
        <v>52</v>
      </c>
      <c r="R159" s="11">
        <f>VLOOKUP($G159, 'ADP Data'!$C$4:$Q$300, 5, FALSE)</f>
        <v>85</v>
      </c>
      <c r="S159" s="11">
        <f>VLOOKUP($G159, 'ADP Data'!$C$4:$Q$300, 6, FALSE)</f>
        <v>92</v>
      </c>
      <c r="T159" s="11">
        <f>VLOOKUP($G159, 'ADP Data'!$C$4:$Q$300, 7, FALSE)</f>
        <v>78</v>
      </c>
      <c r="U159" s="11">
        <f>VLOOKUP($G159, 'ADP Data'!$C$4:$Q$300, 8, FALSE)</f>
        <v>61</v>
      </c>
      <c r="V159" s="11">
        <f t="shared" si="7"/>
        <v>70</v>
      </c>
      <c r="W159" s="11">
        <f t="shared" si="8"/>
        <v>9</v>
      </c>
      <c r="X159" s="11">
        <f t="shared" si="9"/>
        <v>-9</v>
      </c>
      <c r="Y159" s="11">
        <f>VLOOKUP($G159, SeanRanks!$A$2:$K$303, 10, FALSE)-V159</f>
        <v>20</v>
      </c>
      <c r="Z159" s="25">
        <f>IF(VLOOKUP($G159, SeanRanks!$A$2:$H$303, 7, FALSE)=0, "", VLOOKUP($G159, SeanRanks!$A$2:$H$303, 7, FALSE))</f>
        <v>6</v>
      </c>
    </row>
    <row r="160" spans="1:26" ht="14.25" hidden="1" customHeight="1" x14ac:dyDescent="0.25">
      <c r="A160" s="11"/>
      <c r="B160" s="11" t="e">
        <f t="shared" si="3"/>
        <v>#N/A</v>
      </c>
      <c r="C160" s="11" t="s">
        <v>148</v>
      </c>
      <c r="D160" s="11"/>
      <c r="E160" s="11"/>
      <c r="F160" s="11" t="e">
        <f>VLOOKUP(G160, SeanRanks!$A$2:$E$302, 4, FALSE)</f>
        <v>#N/A</v>
      </c>
      <c r="G160" s="11" t="s">
        <v>921</v>
      </c>
      <c r="H160" s="11" t="e">
        <f>VLOOKUP($G160, 'ADP Data'!$C$4:$Q$300, 2, FALSE)</f>
        <v>#N/A</v>
      </c>
      <c r="I160" s="11" t="e">
        <f>VLOOKUP(G160, 'ADP Data'!$C$4:$R$498, 12, FALSE)</f>
        <v>#N/A</v>
      </c>
      <c r="J160" s="61" t="e">
        <f>VLOOKUP($G160, SeanRanks!$A$2:$H$303, 5, FALSE)</f>
        <v>#N/A</v>
      </c>
      <c r="K160" s="11" t="e">
        <f>IF(VLOOKUP($G160, SeanRanks!$A$2:$H$303, 6, FALSE)=0, "", VLOOKUP($G160, SeanRanks!$A$2:$H$303, 6, FALSE))</f>
        <v>#N/A</v>
      </c>
      <c r="L160" s="11">
        <f t="shared" si="4"/>
        <v>16</v>
      </c>
      <c r="M160" s="11" t="e">
        <f>VLOOKUP($G160, 'ADP Data'!$C$4:$Q$300, 9, FALSE)</f>
        <v>#N/A</v>
      </c>
      <c r="N160" s="11" t="e">
        <f t="shared" si="5"/>
        <v>#N/A</v>
      </c>
      <c r="O160" s="11" t="e">
        <f>VLOOKUP($G160, 'ADP Data'!$C$4:$Q$300, 3, FALSE)</f>
        <v>#N/A</v>
      </c>
      <c r="P160" s="11" t="e">
        <f t="shared" si="6"/>
        <v>#N/A</v>
      </c>
      <c r="Q160" s="11" t="e">
        <f>VLOOKUP($G160, 'ADP Data'!$C$4:$Q$300, 4, FALSE)</f>
        <v>#N/A</v>
      </c>
      <c r="R160" s="11" t="e">
        <f>VLOOKUP($G160, 'ADP Data'!$C$4:$Q$300, 5, FALSE)</f>
        <v>#N/A</v>
      </c>
      <c r="S160" s="11" t="e">
        <f>VLOOKUP($G160, 'ADP Data'!$C$4:$Q$300, 6, FALSE)</f>
        <v>#N/A</v>
      </c>
      <c r="T160" s="11" t="e">
        <f>VLOOKUP($G160, 'ADP Data'!$C$4:$Q$300, 7, FALSE)</f>
        <v>#N/A</v>
      </c>
      <c r="U160" s="11" t="e">
        <f>VLOOKUP($G160, 'ADP Data'!$C$4:$Q$300, 8, FALSE)</f>
        <v>#N/A</v>
      </c>
      <c r="V160" s="11" t="e">
        <f t="shared" si="7"/>
        <v>#N/A</v>
      </c>
      <c r="W160" s="11">
        <f t="shared" si="8"/>
        <v>16</v>
      </c>
      <c r="X160" s="11">
        <f t="shared" si="9"/>
        <v>-16</v>
      </c>
      <c r="Y160" s="11" t="e">
        <f>VLOOKUP($G160, SeanRanks!$A$2:$K$303, 10, FALSE)-V160</f>
        <v>#N/A</v>
      </c>
      <c r="Z160" s="25" t="e">
        <f>IF(VLOOKUP($G160, SeanRanks!$A$2:$H$303, 7, FALSE)=0, "", VLOOKUP($G160, SeanRanks!$A$2:$H$303, 7, FALSE))</f>
        <v>#N/A</v>
      </c>
    </row>
    <row r="161" spans="1:26" ht="14.25" hidden="1" customHeight="1" x14ac:dyDescent="0.25">
      <c r="A161" s="11"/>
      <c r="B161" s="11">
        <f t="shared" si="3"/>
        <v>23</v>
      </c>
      <c r="C161" s="11" t="s">
        <v>148</v>
      </c>
      <c r="D161" s="11"/>
      <c r="E161" s="11"/>
      <c r="F161" s="11">
        <f>VLOOKUP(G161, SeanRanks!$A$2:$E$302, 4, FALSE)</f>
        <v>0</v>
      </c>
      <c r="G161" s="11" t="s">
        <v>495</v>
      </c>
      <c r="H161" s="11" t="str">
        <f>VLOOKUP($G161, 'ADP Data'!$C$4:$Q$300, 2, FALSE)</f>
        <v>IND</v>
      </c>
      <c r="I161" s="11">
        <f>VLOOKUP(G161, 'ADP Data'!$C$4:$R$498, 12, FALSE)</f>
        <v>224</v>
      </c>
      <c r="J161" s="11">
        <f>VLOOKUP($G161, SeanRanks!$A$2:$H$303, 5, FALSE)</f>
        <v>0</v>
      </c>
      <c r="K161" s="11" t="str">
        <f>IF(VLOOKUP($G161, SeanRanks!$A$2:$H$303, 6, FALSE)=0, "", VLOOKUP($G161, SeanRanks!$A$2:$H$303, 6, FALSE))</f>
        <v/>
      </c>
      <c r="L161" s="11">
        <f t="shared" si="4"/>
        <v>32</v>
      </c>
      <c r="M161" s="11">
        <f>VLOOKUP($G161, 'ADP Data'!$C$4:$Q$300, 9, FALSE)</f>
        <v>251</v>
      </c>
      <c r="N161" s="11">
        <f t="shared" si="5"/>
        <v>-14</v>
      </c>
      <c r="O161" s="11" t="str">
        <f>VLOOKUP($G161, 'ADP Data'!$C$4:$Q$300, 3, FALSE)</f>
        <v>-</v>
      </c>
      <c r="P161" s="11" t="e">
        <f t="shared" si="6"/>
        <v>#VALUE!</v>
      </c>
      <c r="Q161" s="11" t="str">
        <f>VLOOKUP($G161, 'ADP Data'!$C$4:$Q$300, 4, FALSE)</f>
        <v>-</v>
      </c>
      <c r="R161" s="11">
        <f>VLOOKUP($G161, 'ADP Data'!$C$4:$Q$300, 5, FALSE)</f>
        <v>307</v>
      </c>
      <c r="S161" s="11">
        <f>VLOOKUP($G161, 'ADP Data'!$C$4:$Q$300, 6, FALSE)</f>
        <v>252</v>
      </c>
      <c r="T161" s="11">
        <f>VLOOKUP($G161, 'ADP Data'!$C$4:$Q$300, 7, FALSE)</f>
        <v>252</v>
      </c>
      <c r="U161" s="11" t="str">
        <f>VLOOKUP($G161, 'ADP Data'!$C$4:$Q$300, 8, FALSE)</f>
        <v>-</v>
      </c>
      <c r="V161" s="11">
        <f t="shared" si="7"/>
        <v>265</v>
      </c>
      <c r="W161" s="11">
        <f t="shared" si="8"/>
        <v>34</v>
      </c>
      <c r="X161" s="11">
        <f t="shared" si="9"/>
        <v>-34</v>
      </c>
      <c r="Y161" s="11">
        <f>VLOOKUP($G161, SeanRanks!$A$2:$K$303, 10, FALSE)-V161</f>
        <v>-18</v>
      </c>
      <c r="Z161" s="25" t="str">
        <f>IF(VLOOKUP($G161, SeanRanks!$A$2:$H$303, 7, FALSE)=0, "", VLOOKUP($G161, SeanRanks!$A$2:$H$303, 7, FALSE))</f>
        <v/>
      </c>
    </row>
    <row r="162" spans="1:26" ht="14.25" customHeight="1" x14ac:dyDescent="0.25">
      <c r="A162" s="11"/>
      <c r="B162" s="11">
        <f t="shared" si="3"/>
        <v>18</v>
      </c>
      <c r="C162" s="11" t="s">
        <v>148</v>
      </c>
      <c r="D162" s="11"/>
      <c r="E162" s="11"/>
      <c r="F162" s="11">
        <f>VLOOKUP(G162, SeanRanks!$A$2:$E$302, 4, FALSE)</f>
        <v>0</v>
      </c>
      <c r="G162" s="11" t="s">
        <v>613</v>
      </c>
      <c r="H162" s="11" t="str">
        <f>VLOOKUP($G162, 'ADP Data'!$C$4:$Q$300, 2, FALSE)</f>
        <v>MIA</v>
      </c>
      <c r="I162" s="11">
        <f>VLOOKUP(G162, 'ADP Data'!$C$4:$R$498, 12, FALSE)</f>
        <v>230</v>
      </c>
      <c r="J162" s="11" t="str">
        <f>VLOOKUP($G162, SeanRanks!$A$2:$H$303, 5, FALSE)</f>
        <v>Yes</v>
      </c>
      <c r="K162" s="11" t="str">
        <f>IF(VLOOKUP($G162, SeanRanks!$A$2:$H$303, 6, FALSE)=0, "", VLOOKUP($G162, SeanRanks!$A$2:$H$303, 6, FALSE))</f>
        <v>RB5 - 1 - upside</v>
      </c>
      <c r="L162" s="11">
        <f t="shared" si="4"/>
        <v>22</v>
      </c>
      <c r="M162" s="11">
        <f>VLOOKUP($G162, 'ADP Data'!$C$4:$Q$300, 9, FALSE)</f>
        <v>172</v>
      </c>
      <c r="N162" s="11">
        <f t="shared" si="5"/>
        <v>-26</v>
      </c>
      <c r="O162" s="11" t="str">
        <f>VLOOKUP($G162, 'ADP Data'!$C$4:$Q$300, 3, FALSE)</f>
        <v>-</v>
      </c>
      <c r="P162" s="11" t="e">
        <f t="shared" si="6"/>
        <v>#VALUE!</v>
      </c>
      <c r="Q162" s="11">
        <f>VLOOKUP($G162, 'ADP Data'!$C$4:$Q$300, 4, FALSE)</f>
        <v>194</v>
      </c>
      <c r="R162" s="11">
        <f>VLOOKUP($G162, 'ADP Data'!$C$4:$Q$300, 5, FALSE)</f>
        <v>226</v>
      </c>
      <c r="S162" s="11">
        <f>VLOOKUP($G162, 'ADP Data'!$C$4:$Q$300, 6, FALSE)</f>
        <v>185</v>
      </c>
      <c r="T162" s="11">
        <f>VLOOKUP($G162, 'ADP Data'!$C$4:$Q$300, 7, FALSE)</f>
        <v>175</v>
      </c>
      <c r="U162" s="11">
        <f>VLOOKUP($G162, 'ADP Data'!$C$4:$Q$300, 8, FALSE)</f>
        <v>241</v>
      </c>
      <c r="V162" s="11">
        <f t="shared" si="7"/>
        <v>198</v>
      </c>
      <c r="W162" s="11">
        <f t="shared" si="8"/>
        <v>25</v>
      </c>
      <c r="X162" s="11">
        <f t="shared" si="9"/>
        <v>-25</v>
      </c>
      <c r="Y162" s="11">
        <f>VLOOKUP($G162, SeanRanks!$A$2:$K$303, 10, FALSE)-V162</f>
        <v>-9</v>
      </c>
      <c r="Z162" s="25">
        <f>IF(VLOOKUP($G162, SeanRanks!$A$2:$H$303, 7, FALSE)=0, "", VLOOKUP($G162, SeanRanks!$A$2:$H$303, 7, FALSE))</f>
        <v>54</v>
      </c>
    </row>
    <row r="163" spans="1:26" ht="14.25" hidden="1" customHeight="1" x14ac:dyDescent="0.25">
      <c r="A163" s="11"/>
      <c r="B163" s="11">
        <f t="shared" si="3"/>
        <v>17</v>
      </c>
      <c r="C163" s="11" t="s">
        <v>148</v>
      </c>
      <c r="D163" s="11"/>
      <c r="E163" s="11"/>
      <c r="F163" s="11">
        <f>VLOOKUP(G163, SeanRanks!$A$2:$E$302, 4, FALSE)</f>
        <v>0</v>
      </c>
      <c r="G163" s="11" t="s">
        <v>551</v>
      </c>
      <c r="H163" s="11" t="str">
        <f>VLOOKUP($G163, 'ADP Data'!$C$4:$Q$300, 2, FALSE)</f>
        <v>KC</v>
      </c>
      <c r="I163" s="11" t="str">
        <f>VLOOKUP(G163, 'ADP Data'!$C$4:$R$498, 12, FALSE)</f>
        <v>-</v>
      </c>
      <c r="J163" s="11">
        <f>VLOOKUP($G163, SeanRanks!$A$2:$H$303, 5, FALSE)</f>
        <v>0</v>
      </c>
      <c r="K163" s="11" t="str">
        <f>IF(VLOOKUP($G163, SeanRanks!$A$2:$H$303, 6, FALSE)=0, "", VLOOKUP($G163, SeanRanks!$A$2:$H$303, 6, FALSE))</f>
        <v/>
      </c>
      <c r="L163" s="11">
        <f t="shared" si="4"/>
        <v>24</v>
      </c>
      <c r="M163" s="11">
        <f>VLOOKUP($G163, 'ADP Data'!$C$4:$Q$300, 9, FALSE)</f>
        <v>191</v>
      </c>
      <c r="N163" s="11">
        <f t="shared" si="5"/>
        <v>-4</v>
      </c>
      <c r="O163" s="11">
        <f>VLOOKUP($G163, 'ADP Data'!$C$4:$Q$300, 3, FALSE)</f>
        <v>179</v>
      </c>
      <c r="P163" s="11">
        <f t="shared" si="6"/>
        <v>12</v>
      </c>
      <c r="Q163" s="11">
        <f>VLOOKUP($G163, 'ADP Data'!$C$4:$Q$300, 4, FALSE)</f>
        <v>187</v>
      </c>
      <c r="R163" s="11">
        <f>VLOOKUP($G163, 'ADP Data'!$C$4:$Q$300, 5, FALSE)</f>
        <v>235</v>
      </c>
      <c r="S163" s="11">
        <f>VLOOKUP($G163, 'ADP Data'!$C$4:$Q$300, 6, FALSE)</f>
        <v>239</v>
      </c>
      <c r="T163" s="11">
        <f>VLOOKUP($G163, 'ADP Data'!$C$4:$Q$300, 7, FALSE)</f>
        <v>202</v>
      </c>
      <c r="U163" s="11">
        <f>VLOOKUP($G163, 'ADP Data'!$C$4:$Q$300, 8, FALSE)</f>
        <v>137</v>
      </c>
      <c r="V163" s="11">
        <f t="shared" si="7"/>
        <v>195</v>
      </c>
      <c r="W163" s="11">
        <f t="shared" si="8"/>
        <v>25</v>
      </c>
      <c r="X163" s="11">
        <f t="shared" si="9"/>
        <v>-25</v>
      </c>
      <c r="Y163" s="11">
        <f>VLOOKUP($G163, SeanRanks!$A$2:$K$303, 10, FALSE)-V163</f>
        <v>-22</v>
      </c>
      <c r="Z163" s="25" t="str">
        <f>IF(VLOOKUP($G163, SeanRanks!$A$2:$H$303, 7, FALSE)=0, "", VLOOKUP($G163, SeanRanks!$A$2:$H$303, 7, FALSE))</f>
        <v/>
      </c>
    </row>
    <row r="164" spans="1:26" ht="14.25" hidden="1" customHeight="1" x14ac:dyDescent="0.25">
      <c r="A164" s="11"/>
      <c r="B164" s="11">
        <f t="shared" si="3"/>
        <v>11</v>
      </c>
      <c r="C164" s="11" t="s">
        <v>148</v>
      </c>
      <c r="D164" s="11"/>
      <c r="E164" s="11"/>
      <c r="F164" s="11">
        <f>VLOOKUP(G164, SeanRanks!$A$2:$E$302, 4, FALSE)</f>
        <v>0</v>
      </c>
      <c r="G164" s="11" t="s">
        <v>290</v>
      </c>
      <c r="H164" s="11" t="str">
        <f>VLOOKUP($G164, 'ADP Data'!$C$4:$Q$300, 2, FALSE)</f>
        <v>IND</v>
      </c>
      <c r="I164" s="11">
        <f>VLOOKUP(G164, 'ADP Data'!$C$4:$R$498, 12, FALSE)</f>
        <v>96</v>
      </c>
      <c r="J164" s="11" t="str">
        <f>VLOOKUP($G164, SeanRanks!$A$2:$H$303, 5, FALSE)</f>
        <v>No</v>
      </c>
      <c r="K164" s="11" t="str">
        <f>IF(VLOOKUP($G164, SeanRanks!$A$2:$H$303, 6, FALSE)=0, "", VLOOKUP($G164, SeanRanks!$A$2:$H$303, 6, FALSE))</f>
        <v>WR4 - 2 - unclear path to WR2</v>
      </c>
      <c r="L164" s="11">
        <f t="shared" si="4"/>
        <v>14</v>
      </c>
      <c r="M164" s="11">
        <f>VLOOKUP($G164, 'ADP Data'!$C$4:$Q$300, 9, FALSE)</f>
        <v>106</v>
      </c>
      <c r="N164" s="11">
        <f t="shared" si="5"/>
        <v>-15</v>
      </c>
      <c r="O164" s="11">
        <f>VLOOKUP($G164, 'ADP Data'!$C$4:$Q$300, 3, FALSE)</f>
        <v>129</v>
      </c>
      <c r="P164" s="11">
        <f t="shared" si="6"/>
        <v>-23</v>
      </c>
      <c r="Q164" s="11">
        <f>VLOOKUP($G164, 'ADP Data'!$C$4:$Q$300, 4, FALSE)</f>
        <v>135</v>
      </c>
      <c r="R164" s="11">
        <f>VLOOKUP($G164, 'ADP Data'!$C$4:$Q$300, 5, FALSE)</f>
        <v>128</v>
      </c>
      <c r="S164" s="11">
        <f>VLOOKUP($G164, 'ADP Data'!$C$4:$Q$300, 6, FALSE)</f>
        <v>112</v>
      </c>
      <c r="T164" s="11">
        <f>VLOOKUP($G164, 'ADP Data'!$C$4:$Q$300, 7, FALSE)</f>
        <v>96</v>
      </c>
      <c r="U164" s="11">
        <f>VLOOKUP($G164, 'ADP Data'!$C$4:$Q$300, 8, FALSE)</f>
        <v>141</v>
      </c>
      <c r="V164" s="11">
        <f t="shared" si="7"/>
        <v>121</v>
      </c>
      <c r="W164" s="11">
        <f t="shared" si="8"/>
        <v>16</v>
      </c>
      <c r="X164" s="11">
        <f t="shared" si="9"/>
        <v>-16</v>
      </c>
      <c r="Y164" s="11">
        <f>VLOOKUP($G164, SeanRanks!$A$2:$K$303, 10, FALSE)-V164</f>
        <v>-14</v>
      </c>
      <c r="Z164" s="25">
        <f>IF(VLOOKUP($G164, SeanRanks!$A$2:$H$303, 7, FALSE)=0, "", VLOOKUP($G164, SeanRanks!$A$2:$H$303, 7, FALSE))</f>
        <v>46</v>
      </c>
    </row>
    <row r="165" spans="1:26" ht="14.25" hidden="1" customHeight="1" x14ac:dyDescent="0.25">
      <c r="A165" s="11"/>
      <c r="B165" s="11">
        <f t="shared" si="3"/>
        <v>12</v>
      </c>
      <c r="C165" s="11" t="s">
        <v>148</v>
      </c>
      <c r="D165" s="11"/>
      <c r="E165" s="11"/>
      <c r="F165" s="11">
        <f>VLOOKUP(G165, SeanRanks!$A$2:$E$302, 4, FALSE)</f>
        <v>0</v>
      </c>
      <c r="G165" s="11" t="s">
        <v>621</v>
      </c>
      <c r="H165" s="11" t="str">
        <f>VLOOKUP($G165, 'ADP Data'!$C$4:$Q$300, 2, FALSE)</f>
        <v>ATL</v>
      </c>
      <c r="I165" s="11">
        <f>VLOOKUP(G165, 'ADP Data'!$C$4:$R$498, 12, FALSE)</f>
        <v>118</v>
      </c>
      <c r="J165" s="11">
        <f>VLOOKUP($G165, SeanRanks!$A$2:$H$303, 5, FALSE)</f>
        <v>0</v>
      </c>
      <c r="K165" s="11" t="str">
        <f>IF(VLOOKUP($G165, SeanRanks!$A$2:$H$303, 6, FALSE)=0, "", VLOOKUP($G165, SeanRanks!$A$2:$H$303, 6, FALSE))</f>
        <v>WR5 - 2 - floor play not league winner</v>
      </c>
      <c r="L165" s="11">
        <f t="shared" si="4"/>
        <v>16</v>
      </c>
      <c r="M165" s="11">
        <f>VLOOKUP($G165, 'ADP Data'!$C$4:$Q$300, 9, FALSE)</f>
        <v>120</v>
      </c>
      <c r="N165" s="11">
        <f t="shared" si="5"/>
        <v>-15</v>
      </c>
      <c r="O165" s="11">
        <f>VLOOKUP($G165, 'ADP Data'!$C$4:$Q$300, 3, FALSE)</f>
        <v>121</v>
      </c>
      <c r="P165" s="11">
        <f t="shared" si="6"/>
        <v>-1</v>
      </c>
      <c r="Q165" s="11">
        <f>VLOOKUP($G165, 'ADP Data'!$C$4:$Q$300, 4, FALSE)</f>
        <v>139</v>
      </c>
      <c r="R165" s="11">
        <f>VLOOKUP($G165, 'ADP Data'!$C$4:$Q$300, 5, FALSE)</f>
        <v>132</v>
      </c>
      <c r="S165" s="11">
        <f>VLOOKUP($G165, 'ADP Data'!$C$4:$Q$300, 6, FALSE)</f>
        <v>137</v>
      </c>
      <c r="T165" s="11">
        <f>VLOOKUP($G165, 'ADP Data'!$C$4:$Q$300, 7, FALSE)</f>
        <v>119</v>
      </c>
      <c r="U165" s="11">
        <f>VLOOKUP($G165, 'ADP Data'!$C$4:$Q$300, 8, FALSE)</f>
        <v>183</v>
      </c>
      <c r="V165" s="11">
        <f t="shared" si="7"/>
        <v>135</v>
      </c>
      <c r="W165" s="11">
        <f t="shared" si="8"/>
        <v>17</v>
      </c>
      <c r="X165" s="11">
        <f t="shared" si="9"/>
        <v>-17</v>
      </c>
      <c r="Y165" s="11">
        <f>VLOOKUP($G165, SeanRanks!$A$2:$K$303, 10, FALSE)-V165</f>
        <v>-5</v>
      </c>
      <c r="Z165" s="25">
        <f>IF(VLOOKUP($G165, SeanRanks!$A$2:$H$303, 7, FALSE)=0, "", VLOOKUP($G165, SeanRanks!$A$2:$H$303, 7, FALSE))</f>
        <v>56</v>
      </c>
    </row>
    <row r="166" spans="1:26" ht="14.25" hidden="1" customHeight="1" x14ac:dyDescent="0.25">
      <c r="A166" s="11"/>
      <c r="B166" s="11" t="e">
        <f t="shared" si="3"/>
        <v>#N/A</v>
      </c>
      <c r="C166" s="11" t="s">
        <v>148</v>
      </c>
      <c r="D166" s="11"/>
      <c r="E166" s="11"/>
      <c r="F166" s="11" t="e">
        <f>VLOOKUP(G166, SeanRanks!$A$2:$E$302, 4, FALSE)</f>
        <v>#N/A</v>
      </c>
      <c r="G166" s="11" t="s">
        <v>922</v>
      </c>
      <c r="H166" s="11" t="e">
        <f>VLOOKUP($G166, 'ADP Data'!$C$4:$Q$300, 2, FALSE)</f>
        <v>#N/A</v>
      </c>
      <c r="I166" s="11" t="e">
        <f>VLOOKUP(G166, 'ADP Data'!$C$4:$R$498, 12, FALSE)</f>
        <v>#N/A</v>
      </c>
      <c r="J166" s="11" t="e">
        <f>VLOOKUP($G166, SeanRanks!$A$2:$H$303, 5, FALSE)</f>
        <v>#N/A</v>
      </c>
      <c r="K166" s="11" t="e">
        <f>IF(VLOOKUP($G166, SeanRanks!$A$2:$H$303, 6, FALSE)=0, "", VLOOKUP($G166, SeanRanks!$A$2:$H$303, 6, FALSE))</f>
        <v>#N/A</v>
      </c>
      <c r="L166" s="11">
        <f t="shared" si="4"/>
        <v>16</v>
      </c>
      <c r="M166" s="11" t="e">
        <f>VLOOKUP($G166, 'ADP Data'!$C$4:$Q$300, 9, FALSE)</f>
        <v>#N/A</v>
      </c>
      <c r="N166" s="11" t="e">
        <f t="shared" si="5"/>
        <v>#N/A</v>
      </c>
      <c r="O166" s="11" t="e">
        <f>VLOOKUP($G166, 'ADP Data'!$C$4:$Q$300, 3, FALSE)</f>
        <v>#N/A</v>
      </c>
      <c r="P166" s="11" t="e">
        <f t="shared" si="6"/>
        <v>#N/A</v>
      </c>
      <c r="Q166" s="11" t="e">
        <f>VLOOKUP($G166, 'ADP Data'!$C$4:$Q$300, 4, FALSE)</f>
        <v>#N/A</v>
      </c>
      <c r="R166" s="11" t="e">
        <f>VLOOKUP($G166, 'ADP Data'!$C$4:$Q$300, 5, FALSE)</f>
        <v>#N/A</v>
      </c>
      <c r="S166" s="11" t="e">
        <f>VLOOKUP($G166, 'ADP Data'!$C$4:$Q$300, 6, FALSE)</f>
        <v>#N/A</v>
      </c>
      <c r="T166" s="11" t="e">
        <f>VLOOKUP($G166, 'ADP Data'!$C$4:$Q$300, 7, FALSE)</f>
        <v>#N/A</v>
      </c>
      <c r="U166" s="11" t="e">
        <f>VLOOKUP($G166, 'ADP Data'!$C$4:$Q$300, 8, FALSE)</f>
        <v>#N/A</v>
      </c>
      <c r="V166" s="11" t="e">
        <f t="shared" si="7"/>
        <v>#N/A</v>
      </c>
      <c r="W166" s="11">
        <f t="shared" si="8"/>
        <v>16</v>
      </c>
      <c r="X166" s="11">
        <f t="shared" si="9"/>
        <v>-16</v>
      </c>
      <c r="Y166" s="11" t="e">
        <f>VLOOKUP($G166, SeanRanks!$A$2:$K$303, 10, FALSE)-V166</f>
        <v>#N/A</v>
      </c>
      <c r="Z166" s="25" t="e">
        <f>IF(VLOOKUP($G166, SeanRanks!$A$2:$H$303, 7, FALSE)=0, "", VLOOKUP($G166, SeanRanks!$A$2:$H$303, 7, FALSE))</f>
        <v>#N/A</v>
      </c>
    </row>
    <row r="167" spans="1:26" ht="14.25" hidden="1" customHeight="1" x14ac:dyDescent="0.25">
      <c r="A167" s="11"/>
      <c r="B167" s="11">
        <f t="shared" si="3"/>
        <v>14</v>
      </c>
      <c r="C167" s="11" t="s">
        <v>148</v>
      </c>
      <c r="D167" s="11"/>
      <c r="E167" s="11"/>
      <c r="F167" s="11">
        <f>VLOOKUP(G167, SeanRanks!$A$2:$E$302, 4, FALSE)</f>
        <v>0</v>
      </c>
      <c r="G167" s="11" t="s">
        <v>489</v>
      </c>
      <c r="H167" s="11" t="str">
        <f>VLOOKUP($G167, 'ADP Data'!$C$4:$Q$300, 2, FALSE)</f>
        <v>PIT</v>
      </c>
      <c r="I167" s="11" t="str">
        <f>VLOOKUP(G167, 'ADP Data'!$C$4:$R$498, 12, FALSE)</f>
        <v>-</v>
      </c>
      <c r="J167" s="11">
        <f>VLOOKUP($G167, SeanRanks!$A$2:$H$303, 5, FALSE)</f>
        <v>0</v>
      </c>
      <c r="K167" s="11" t="str">
        <f>IF(VLOOKUP($G167, SeanRanks!$A$2:$H$303, 6, FALSE)=0, "", VLOOKUP($G167, SeanRanks!$A$2:$H$303, 6, FALSE))</f>
        <v/>
      </c>
      <c r="L167" s="11">
        <f t="shared" si="4"/>
        <v>20</v>
      </c>
      <c r="M167" s="11">
        <f>VLOOKUP($G167, 'ADP Data'!$C$4:$Q$300, 9, FALSE)</f>
        <v>154</v>
      </c>
      <c r="N167" s="11">
        <f t="shared" si="5"/>
        <v>-3</v>
      </c>
      <c r="O167" s="11">
        <f>VLOOKUP($G167, 'ADP Data'!$C$4:$Q$300, 3, FALSE)</f>
        <v>132</v>
      </c>
      <c r="P167" s="11">
        <f t="shared" si="6"/>
        <v>22</v>
      </c>
      <c r="Q167" s="11">
        <f>VLOOKUP($G167, 'ADP Data'!$C$4:$Q$300, 4, FALSE)</f>
        <v>90</v>
      </c>
      <c r="R167" s="11">
        <f>VLOOKUP($G167, 'ADP Data'!$C$4:$Q$300, 5, FALSE)</f>
        <v>213</v>
      </c>
      <c r="S167" s="11">
        <f>VLOOKUP($G167, 'ADP Data'!$C$4:$Q$300, 6, FALSE)</f>
        <v>215</v>
      </c>
      <c r="T167" s="11">
        <f>VLOOKUP($G167, 'ADP Data'!$C$4:$Q$300, 7, FALSE)</f>
        <v>167</v>
      </c>
      <c r="U167" s="11">
        <f>VLOOKUP($G167, 'ADP Data'!$C$4:$Q$300, 8, FALSE)</f>
        <v>131</v>
      </c>
      <c r="V167" s="11">
        <f t="shared" si="7"/>
        <v>157</v>
      </c>
      <c r="W167" s="11">
        <f t="shared" si="8"/>
        <v>20</v>
      </c>
      <c r="X167" s="11">
        <f t="shared" si="9"/>
        <v>-20</v>
      </c>
      <c r="Y167" s="11">
        <f>VLOOKUP($G167, SeanRanks!$A$2:$K$303, 10, FALSE)-V167</f>
        <v>9</v>
      </c>
      <c r="Z167" s="25" t="str">
        <f>IF(VLOOKUP($G167, SeanRanks!$A$2:$H$303, 7, FALSE)=0, "", VLOOKUP($G167, SeanRanks!$A$2:$H$303, 7, FALSE))</f>
        <v/>
      </c>
    </row>
    <row r="168" spans="1:26" ht="14.25" hidden="1" customHeight="1" x14ac:dyDescent="0.25">
      <c r="A168" s="11"/>
      <c r="B168" s="11">
        <f t="shared" si="3"/>
        <v>18</v>
      </c>
      <c r="C168" s="11" t="s">
        <v>148</v>
      </c>
      <c r="D168" s="11"/>
      <c r="E168" s="11"/>
      <c r="F168" s="11">
        <f>VLOOKUP(G168, SeanRanks!$A$2:$E$302, 4, FALSE)</f>
        <v>0</v>
      </c>
      <c r="G168" s="11" t="s">
        <v>588</v>
      </c>
      <c r="H168" s="11" t="str">
        <f>VLOOKUP($G168, 'ADP Data'!$C$4:$Q$300, 2, FALSE)</f>
        <v>LV</v>
      </c>
      <c r="I168" s="11">
        <f>VLOOKUP(G168, 'ADP Data'!$C$4:$R$498, 12, FALSE)</f>
        <v>163</v>
      </c>
      <c r="J168" s="11">
        <f>VLOOKUP($G168, SeanRanks!$A$2:$H$303, 5, FALSE)</f>
        <v>0</v>
      </c>
      <c r="K168" s="11" t="str">
        <f>IF(VLOOKUP($G168, SeanRanks!$A$2:$H$303, 6, FALSE)=0, "", VLOOKUP($G168, SeanRanks!$A$2:$H$303, 6, FALSE))</f>
        <v>Don’t Draft - Streamer</v>
      </c>
      <c r="L168" s="11">
        <f t="shared" si="4"/>
        <v>29</v>
      </c>
      <c r="M168" s="11">
        <f>VLOOKUP($G168, 'ADP Data'!$C$4:$Q$300, 9, FALSE)</f>
        <v>228</v>
      </c>
      <c r="N168" s="11">
        <f t="shared" si="5"/>
        <v>22</v>
      </c>
      <c r="O168" s="11">
        <f>VLOOKUP($G168, 'ADP Data'!$C$4:$Q$300, 3, FALSE)</f>
        <v>176</v>
      </c>
      <c r="P168" s="11">
        <f t="shared" si="6"/>
        <v>52</v>
      </c>
      <c r="Q168" s="11">
        <f>VLOOKUP($G168, 'ADP Data'!$C$4:$Q$300, 4, FALSE)</f>
        <v>207</v>
      </c>
      <c r="R168" s="11">
        <f>VLOOKUP($G168, 'ADP Data'!$C$4:$Q$300, 5, FALSE)</f>
        <v>238</v>
      </c>
      <c r="S168" s="11">
        <f>VLOOKUP($G168, 'ADP Data'!$C$4:$Q$300, 6, FALSE)</f>
        <v>198</v>
      </c>
      <c r="T168" s="11">
        <f>VLOOKUP($G168, 'ADP Data'!$C$4:$Q$300, 7, FALSE)</f>
        <v>191</v>
      </c>
      <c r="U168" s="11">
        <f>VLOOKUP($G168, 'ADP Data'!$C$4:$Q$300, 8, FALSE)</f>
        <v>205</v>
      </c>
      <c r="V168" s="11">
        <f t="shared" si="7"/>
        <v>206</v>
      </c>
      <c r="W168" s="11">
        <f t="shared" si="8"/>
        <v>26</v>
      </c>
      <c r="X168" s="11">
        <f t="shared" si="9"/>
        <v>-26</v>
      </c>
      <c r="Y168" s="11">
        <f>VLOOKUP($G168, SeanRanks!$A$2:$K$303, 10, FALSE)-V168</f>
        <v>-61</v>
      </c>
      <c r="Z168" s="25" t="str">
        <f>IF(VLOOKUP($G168, SeanRanks!$A$2:$H$303, 7, FALSE)=0, "", VLOOKUP($G168, SeanRanks!$A$2:$H$303, 7, FALSE))</f>
        <v/>
      </c>
    </row>
    <row r="169" spans="1:26" ht="14.25" hidden="1" customHeight="1" x14ac:dyDescent="0.25">
      <c r="A169" s="11"/>
      <c r="B169" s="11">
        <f t="shared" si="3"/>
        <v>25</v>
      </c>
      <c r="C169" s="11" t="s">
        <v>148</v>
      </c>
      <c r="D169" s="11"/>
      <c r="E169" s="11"/>
      <c r="F169" s="11">
        <f>VLOOKUP(G169, SeanRanks!$A$2:$E$302, 4, FALSE)</f>
        <v>0</v>
      </c>
      <c r="G169" s="11" t="s">
        <v>923</v>
      </c>
      <c r="H169" s="11" t="str">
        <f>VLOOKUP($G169, 'ADP Data'!$C$4:$Q$300, 2, FALSE)</f>
        <v>LAC</v>
      </c>
      <c r="I169" s="11">
        <f>VLOOKUP(G169, 'ADP Data'!$C$4:$R$498, 12, FALSE)</f>
        <v>270</v>
      </c>
      <c r="J169" s="11">
        <f>VLOOKUP($G169, SeanRanks!$A$2:$H$303, 5, FALSE)</f>
        <v>0</v>
      </c>
      <c r="K169" s="11" t="str">
        <f>IF(VLOOKUP($G169, SeanRanks!$A$2:$H$303, 6, FALSE)=0, "", VLOOKUP($G169, SeanRanks!$A$2:$H$303, 6, FALSE))</f>
        <v/>
      </c>
      <c r="L169" s="11">
        <f t="shared" si="4"/>
        <v>39</v>
      </c>
      <c r="M169" s="11">
        <f>VLOOKUP($G169, 'ADP Data'!$C$4:$Q$300, 9, FALSE)</f>
        <v>311</v>
      </c>
      <c r="N169" s="11">
        <f t="shared" si="5"/>
        <v>14</v>
      </c>
      <c r="O169" s="11" t="str">
        <f>VLOOKUP($G169, 'ADP Data'!$C$4:$Q$300, 3, FALSE)</f>
        <v>-</v>
      </c>
      <c r="P169" s="11" t="e">
        <f t="shared" si="6"/>
        <v>#VALUE!</v>
      </c>
      <c r="Q169" s="11">
        <f>VLOOKUP($G169, 'ADP Data'!$C$4:$Q$300, 4, FALSE)</f>
        <v>326</v>
      </c>
      <c r="R169" s="11" t="str">
        <f>VLOOKUP($G169, 'ADP Data'!$C$4:$Q$300, 5, FALSE)</f>
        <v>-</v>
      </c>
      <c r="S169" s="11">
        <f>VLOOKUP($G169, 'ADP Data'!$C$4:$Q$300, 6, FALSE)</f>
        <v>291</v>
      </c>
      <c r="T169" s="11" t="str">
        <f>VLOOKUP($G169, 'ADP Data'!$C$4:$Q$300, 7, FALSE)</f>
        <v>-</v>
      </c>
      <c r="U169" s="11">
        <f>VLOOKUP($G169, 'ADP Data'!$C$4:$Q$300, 8, FALSE)</f>
        <v>262</v>
      </c>
      <c r="V169" s="11">
        <f t="shared" si="7"/>
        <v>297</v>
      </c>
      <c r="W169" s="11">
        <f t="shared" si="8"/>
        <v>38</v>
      </c>
      <c r="X169" s="11">
        <f t="shared" si="9"/>
        <v>-38</v>
      </c>
      <c r="Y169" s="11" t="e">
        <f>VLOOKUP($G169, SeanRanks!$A$2:$K$303, 10, FALSE)-V169</f>
        <v>#VALUE!</v>
      </c>
      <c r="Z169" s="25" t="str">
        <f>IF(VLOOKUP($G169, SeanRanks!$A$2:$H$303, 7, FALSE)=0, "", VLOOKUP($G169, SeanRanks!$A$2:$H$303, 7, FALSE))</f>
        <v/>
      </c>
    </row>
    <row r="170" spans="1:26" ht="14.25" hidden="1" customHeight="1" x14ac:dyDescent="0.25">
      <c r="A170" s="11"/>
      <c r="B170" s="11" t="e">
        <f t="shared" si="3"/>
        <v>#N/A</v>
      </c>
      <c r="C170" s="11" t="s">
        <v>148</v>
      </c>
      <c r="D170" s="11"/>
      <c r="E170" s="11"/>
      <c r="F170" s="11" t="e">
        <f>VLOOKUP(G170, SeanRanks!$A$2:$E$302, 4, FALSE)</f>
        <v>#N/A</v>
      </c>
      <c r="G170" s="11" t="s">
        <v>924</v>
      </c>
      <c r="H170" s="11" t="e">
        <f>VLOOKUP($G170, 'ADP Data'!$C$4:$Q$300, 2, FALSE)</f>
        <v>#N/A</v>
      </c>
      <c r="I170" s="11" t="e">
        <f>VLOOKUP(G170, 'ADP Data'!$C$4:$R$498, 12, FALSE)</f>
        <v>#N/A</v>
      </c>
      <c r="J170" s="11" t="e">
        <f>VLOOKUP($G170, SeanRanks!$A$2:$H$303, 5, FALSE)</f>
        <v>#N/A</v>
      </c>
      <c r="K170" s="11" t="e">
        <f>IF(VLOOKUP($G170, SeanRanks!$A$2:$H$303, 6, FALSE)=0, "", VLOOKUP($G170, SeanRanks!$A$2:$H$303, 6, FALSE))</f>
        <v>#N/A</v>
      </c>
      <c r="L170" s="11">
        <f t="shared" si="4"/>
        <v>16</v>
      </c>
      <c r="M170" s="11" t="e">
        <f>VLOOKUP($G170, 'ADP Data'!$C$4:$Q$300, 9, FALSE)</f>
        <v>#N/A</v>
      </c>
      <c r="N170" s="11" t="e">
        <f t="shared" si="5"/>
        <v>#N/A</v>
      </c>
      <c r="O170" s="11" t="e">
        <f>VLOOKUP($G170, 'ADP Data'!$C$4:$Q$300, 3, FALSE)</f>
        <v>#N/A</v>
      </c>
      <c r="P170" s="11" t="e">
        <f t="shared" si="6"/>
        <v>#N/A</v>
      </c>
      <c r="Q170" s="11" t="e">
        <f>VLOOKUP($G170, 'ADP Data'!$C$4:$Q$300, 4, FALSE)</f>
        <v>#N/A</v>
      </c>
      <c r="R170" s="11" t="e">
        <f>VLOOKUP($G170, 'ADP Data'!$C$4:$Q$300, 5, FALSE)</f>
        <v>#N/A</v>
      </c>
      <c r="S170" s="11" t="e">
        <f>VLOOKUP($G170, 'ADP Data'!$C$4:$Q$300, 6, FALSE)</f>
        <v>#N/A</v>
      </c>
      <c r="T170" s="11" t="e">
        <f>VLOOKUP($G170, 'ADP Data'!$C$4:$Q$300, 7, FALSE)</f>
        <v>#N/A</v>
      </c>
      <c r="U170" s="11" t="e">
        <f>VLOOKUP($G170, 'ADP Data'!$C$4:$Q$300, 8, FALSE)</f>
        <v>#N/A</v>
      </c>
      <c r="V170" s="11" t="e">
        <f t="shared" si="7"/>
        <v>#N/A</v>
      </c>
      <c r="W170" s="11">
        <f t="shared" si="8"/>
        <v>16</v>
      </c>
      <c r="X170" s="11">
        <f t="shared" si="9"/>
        <v>-16</v>
      </c>
      <c r="Y170" s="11" t="e">
        <f>VLOOKUP($G170, SeanRanks!$A$2:$K$303, 10, FALSE)-V170</f>
        <v>#N/A</v>
      </c>
      <c r="Z170" s="25" t="e">
        <f>IF(VLOOKUP($G170, SeanRanks!$A$2:$H$303, 7, FALSE)=0, "", VLOOKUP($G170, SeanRanks!$A$2:$H$303, 7, FALSE))</f>
        <v>#N/A</v>
      </c>
    </row>
    <row r="171" spans="1:26" ht="14.25" hidden="1" customHeight="1" x14ac:dyDescent="0.25">
      <c r="A171" s="11"/>
      <c r="B171" s="11" t="e">
        <f t="shared" si="3"/>
        <v>#N/A</v>
      </c>
      <c r="C171" s="11" t="s">
        <v>148</v>
      </c>
      <c r="D171" s="11"/>
      <c r="E171" s="11"/>
      <c r="F171" s="11" t="e">
        <f>VLOOKUP(G171, SeanRanks!$A$2:$E$302, 4, FALSE)</f>
        <v>#N/A</v>
      </c>
      <c r="G171" s="11" t="s">
        <v>677</v>
      </c>
      <c r="H171" s="11" t="e">
        <f>VLOOKUP($G171, 'ADP Data'!$C$4:$Q$300, 2, FALSE)</f>
        <v>#N/A</v>
      </c>
      <c r="I171" s="11" t="e">
        <f>VLOOKUP(G171, 'ADP Data'!$C$4:$R$498, 12, FALSE)</f>
        <v>#N/A</v>
      </c>
      <c r="J171" s="11" t="e">
        <f>VLOOKUP($G171, SeanRanks!$A$2:$H$303, 5, FALSE)</f>
        <v>#N/A</v>
      </c>
      <c r="K171" s="11" t="e">
        <f>IF(VLOOKUP($G171, SeanRanks!$A$2:$H$303, 6, FALSE)=0, "", VLOOKUP($G171, SeanRanks!$A$2:$H$303, 6, FALSE))</f>
        <v>#N/A</v>
      </c>
      <c r="L171" s="11">
        <f t="shared" si="4"/>
        <v>16</v>
      </c>
      <c r="M171" s="11" t="e">
        <f>VLOOKUP($G171, 'ADP Data'!$C$4:$Q$300, 9, FALSE)</f>
        <v>#N/A</v>
      </c>
      <c r="N171" s="11" t="e">
        <f t="shared" si="5"/>
        <v>#N/A</v>
      </c>
      <c r="O171" s="11" t="e">
        <f>VLOOKUP($G171, 'ADP Data'!$C$4:$Q$300, 3, FALSE)</f>
        <v>#N/A</v>
      </c>
      <c r="P171" s="11" t="e">
        <f t="shared" si="6"/>
        <v>#N/A</v>
      </c>
      <c r="Q171" s="11" t="e">
        <f>VLOOKUP($G171, 'ADP Data'!$C$4:$Q$300, 4, FALSE)</f>
        <v>#N/A</v>
      </c>
      <c r="R171" s="11" t="e">
        <f>VLOOKUP($G171, 'ADP Data'!$C$4:$Q$300, 5, FALSE)</f>
        <v>#N/A</v>
      </c>
      <c r="S171" s="11" t="e">
        <f>VLOOKUP($G171, 'ADP Data'!$C$4:$Q$300, 6, FALSE)</f>
        <v>#N/A</v>
      </c>
      <c r="T171" s="11" t="e">
        <f>VLOOKUP($G171, 'ADP Data'!$C$4:$Q$300, 7, FALSE)</f>
        <v>#N/A</v>
      </c>
      <c r="U171" s="11" t="e">
        <f>VLOOKUP($G171, 'ADP Data'!$C$4:$Q$300, 8, FALSE)</f>
        <v>#N/A</v>
      </c>
      <c r="V171" s="11" t="e">
        <f t="shared" si="7"/>
        <v>#N/A</v>
      </c>
      <c r="W171" s="11">
        <f t="shared" si="8"/>
        <v>16</v>
      </c>
      <c r="X171" s="11">
        <f t="shared" si="9"/>
        <v>-16</v>
      </c>
      <c r="Y171" s="11" t="e">
        <f>VLOOKUP($G171, SeanRanks!$A$2:$K$303, 10, FALSE)-V171</f>
        <v>#N/A</v>
      </c>
      <c r="Z171" s="25" t="e">
        <f>IF(VLOOKUP($G171, SeanRanks!$A$2:$H$303, 7, FALSE)=0, "", VLOOKUP($G171, SeanRanks!$A$2:$H$303, 7, FALSE))</f>
        <v>#N/A</v>
      </c>
    </row>
    <row r="172" spans="1:26" ht="14.25" hidden="1" customHeight="1" x14ac:dyDescent="0.25">
      <c r="A172" s="11"/>
      <c r="B172" s="11">
        <f t="shared" si="3"/>
        <v>15</v>
      </c>
      <c r="C172" s="11" t="s">
        <v>148</v>
      </c>
      <c r="D172" s="11"/>
      <c r="E172" s="11"/>
      <c r="F172" s="11">
        <f>VLOOKUP(G172, SeanRanks!$A$2:$E$302, 4, FALSE)</f>
        <v>0</v>
      </c>
      <c r="G172" s="11" t="s">
        <v>602</v>
      </c>
      <c r="H172" s="11" t="str">
        <f>VLOOKUP($G172, 'ADP Data'!$C$4:$Q$300, 2, FALSE)</f>
        <v>BUF</v>
      </c>
      <c r="I172" s="11" t="str">
        <f>VLOOKUP(G172, 'ADP Data'!$C$4:$R$498, 12, FALSE)</f>
        <v>-</v>
      </c>
      <c r="J172" s="11">
        <f>VLOOKUP($G172, SeanRanks!$A$2:$H$303, 5, FALSE)</f>
        <v>0</v>
      </c>
      <c r="K172" s="11" t="str">
        <f>IF(VLOOKUP($G172, SeanRanks!$A$2:$H$303, 6, FALSE)=0, "", VLOOKUP($G172, SeanRanks!$A$2:$H$303, 6, FALSE))</f>
        <v/>
      </c>
      <c r="L172" s="11">
        <f t="shared" si="4"/>
        <v>29</v>
      </c>
      <c r="M172" s="11">
        <f>VLOOKUP($G172, 'ADP Data'!$C$4:$Q$300, 9, FALSE)</f>
        <v>231</v>
      </c>
      <c r="N172" s="11">
        <f t="shared" si="5"/>
        <v>56</v>
      </c>
      <c r="O172" s="11">
        <f>VLOOKUP($G172, 'ADP Data'!$C$4:$Q$300, 3, FALSE)</f>
        <v>128</v>
      </c>
      <c r="P172" s="11">
        <f t="shared" si="6"/>
        <v>103</v>
      </c>
      <c r="Q172" s="11">
        <f>VLOOKUP($G172, 'ADP Data'!$C$4:$Q$300, 4, FALSE)</f>
        <v>153</v>
      </c>
      <c r="R172" s="11">
        <f>VLOOKUP($G172, 'ADP Data'!$C$4:$Q$300, 5, FALSE)</f>
        <v>218</v>
      </c>
      <c r="S172" s="11">
        <f>VLOOKUP($G172, 'ADP Data'!$C$4:$Q$300, 6, FALSE)</f>
        <v>224</v>
      </c>
      <c r="T172" s="11">
        <f>VLOOKUP($G172, 'ADP Data'!$C$4:$Q$300, 7, FALSE)</f>
        <v>179</v>
      </c>
      <c r="U172" s="11">
        <f>VLOOKUP($G172, 'ADP Data'!$C$4:$Q$300, 8, FALSE)</f>
        <v>92</v>
      </c>
      <c r="V172" s="11">
        <f t="shared" si="7"/>
        <v>175</v>
      </c>
      <c r="W172" s="11">
        <f t="shared" si="8"/>
        <v>22</v>
      </c>
      <c r="X172" s="11">
        <f t="shared" si="9"/>
        <v>-22</v>
      </c>
      <c r="Y172" s="11">
        <f>VLOOKUP($G172, SeanRanks!$A$2:$K$303, 10, FALSE)-V172</f>
        <v>15</v>
      </c>
      <c r="Z172" s="25" t="str">
        <f>IF(VLOOKUP($G172, SeanRanks!$A$2:$H$303, 7, FALSE)=0, "", VLOOKUP($G172, SeanRanks!$A$2:$H$303, 7, FALSE))</f>
        <v/>
      </c>
    </row>
    <row r="173" spans="1:26" ht="14.25" hidden="1" customHeight="1" x14ac:dyDescent="0.25">
      <c r="A173" s="11"/>
      <c r="B173" s="11">
        <f t="shared" si="3"/>
        <v>17</v>
      </c>
      <c r="C173" s="11" t="s">
        <v>148</v>
      </c>
      <c r="D173" s="11"/>
      <c r="E173" s="11"/>
      <c r="F173" s="11">
        <f>VLOOKUP(G173, SeanRanks!$A$2:$E$302, 4, FALSE)</f>
        <v>0</v>
      </c>
      <c r="G173" s="11" t="s">
        <v>326</v>
      </c>
      <c r="H173" s="11" t="str">
        <f>VLOOKUP($G173, 'ADP Data'!$C$4:$Q$300, 2, FALSE)</f>
        <v>BAL</v>
      </c>
      <c r="I173" s="11">
        <f>VLOOKUP(G173, 'ADP Data'!$C$4:$R$498, 12, FALSE)</f>
        <v>186</v>
      </c>
      <c r="J173" s="11">
        <f>VLOOKUP($G173, SeanRanks!$A$2:$H$303, 5, FALSE)</f>
        <v>0</v>
      </c>
      <c r="K173" s="11" t="str">
        <f>IF(VLOOKUP($G173, SeanRanks!$A$2:$H$303, 6, FALSE)=0, "", VLOOKUP($G173, SeanRanks!$A$2:$H$303, 6, FALSE))</f>
        <v/>
      </c>
      <c r="L173" s="11">
        <f t="shared" si="4"/>
        <v>22</v>
      </c>
      <c r="M173" s="11">
        <f>VLOOKUP($G173, 'ADP Data'!$C$4:$Q$300, 9, FALSE)</f>
        <v>175</v>
      </c>
      <c r="N173" s="11">
        <f t="shared" si="5"/>
        <v>-14</v>
      </c>
      <c r="O173" s="11">
        <f>VLOOKUP($G173, 'ADP Data'!$C$4:$Q$300, 3, FALSE)</f>
        <v>187</v>
      </c>
      <c r="P173" s="11">
        <f t="shared" si="6"/>
        <v>-12</v>
      </c>
      <c r="Q173" s="11">
        <f>VLOOKUP($G173, 'ADP Data'!$C$4:$Q$300, 4, FALSE)</f>
        <v>203</v>
      </c>
      <c r="R173" s="11">
        <f>VLOOKUP($G173, 'ADP Data'!$C$4:$Q$300, 5, FALSE)</f>
        <v>261</v>
      </c>
      <c r="S173" s="11">
        <f>VLOOKUP($G173, 'ADP Data'!$C$4:$Q$300, 6, FALSE)</f>
        <v>157</v>
      </c>
      <c r="T173" s="11">
        <f>VLOOKUP($G173, 'ADP Data'!$C$4:$Q$300, 7, FALSE)</f>
        <v>182</v>
      </c>
      <c r="U173" s="11">
        <f>VLOOKUP($G173, 'ADP Data'!$C$4:$Q$300, 8, FALSE)</f>
        <v>160</v>
      </c>
      <c r="V173" s="11">
        <f t="shared" si="7"/>
        <v>189</v>
      </c>
      <c r="W173" s="11">
        <f t="shared" si="8"/>
        <v>24</v>
      </c>
      <c r="X173" s="11">
        <f t="shared" si="9"/>
        <v>-24</v>
      </c>
      <c r="Y173" s="11">
        <f>VLOOKUP($G173, SeanRanks!$A$2:$K$303, 10, FALSE)-V173</f>
        <v>53</v>
      </c>
      <c r="Z173" s="25" t="str">
        <f>IF(VLOOKUP($G173, SeanRanks!$A$2:$H$303, 7, FALSE)=0, "", VLOOKUP($G173, SeanRanks!$A$2:$H$303, 7, FALSE))</f>
        <v/>
      </c>
    </row>
    <row r="174" spans="1:26" ht="14.25" hidden="1" customHeight="1" x14ac:dyDescent="0.25">
      <c r="A174" s="11"/>
      <c r="B174" s="11" t="e">
        <f t="shared" si="3"/>
        <v>#N/A</v>
      </c>
      <c r="C174" s="11" t="s">
        <v>148</v>
      </c>
      <c r="D174" s="11"/>
      <c r="E174" s="11"/>
      <c r="F174" s="11" t="e">
        <f>VLOOKUP(G174, SeanRanks!$A$2:$E$302, 4, FALSE)</f>
        <v>#N/A</v>
      </c>
      <c r="G174" s="11" t="s">
        <v>925</v>
      </c>
      <c r="H174" s="11" t="e">
        <f>VLOOKUP($G174, 'ADP Data'!$C$4:$Q$300, 2, FALSE)</f>
        <v>#N/A</v>
      </c>
      <c r="I174" s="11" t="e">
        <f>VLOOKUP(G174, 'ADP Data'!$C$4:$R$498, 12, FALSE)</f>
        <v>#N/A</v>
      </c>
      <c r="J174" s="11" t="e">
        <f>VLOOKUP($G174, SeanRanks!$A$2:$H$303, 5, FALSE)</f>
        <v>#N/A</v>
      </c>
      <c r="K174" s="11" t="e">
        <f>IF(VLOOKUP($G174, SeanRanks!$A$2:$H$303, 6, FALSE)=0, "", VLOOKUP($G174, SeanRanks!$A$2:$H$303, 6, FALSE))</f>
        <v>#N/A</v>
      </c>
      <c r="L174" s="11">
        <f t="shared" si="4"/>
        <v>16</v>
      </c>
      <c r="M174" s="11" t="e">
        <f>VLOOKUP($G174, 'ADP Data'!$C$4:$Q$300, 9, FALSE)</f>
        <v>#N/A</v>
      </c>
      <c r="N174" s="11" t="e">
        <f t="shared" si="5"/>
        <v>#N/A</v>
      </c>
      <c r="O174" s="11" t="e">
        <f>VLOOKUP($G174, 'ADP Data'!$C$4:$Q$300, 3, FALSE)</f>
        <v>#N/A</v>
      </c>
      <c r="P174" s="11" t="e">
        <f t="shared" si="6"/>
        <v>#N/A</v>
      </c>
      <c r="Q174" s="11"/>
      <c r="R174" s="11"/>
      <c r="S174" s="11"/>
      <c r="T174" s="11"/>
      <c r="U174" s="11"/>
      <c r="V174" s="11" t="e">
        <f t="shared" si="7"/>
        <v>#N/A</v>
      </c>
      <c r="W174" s="11">
        <f t="shared" si="8"/>
        <v>16</v>
      </c>
      <c r="X174" s="11">
        <f t="shared" si="9"/>
        <v>-16</v>
      </c>
      <c r="Y174" s="11" t="e">
        <f>VLOOKUP($G174, SeanRanks!$A$2:$K$303, 10, FALSE)-V174</f>
        <v>#N/A</v>
      </c>
      <c r="Z174" s="25" t="e">
        <f>IF(VLOOKUP($G174, SeanRanks!$A$2:$H$303, 7, FALSE)=0, "", VLOOKUP($G174, SeanRanks!$A$2:$H$303, 7, FALSE))</f>
        <v>#N/A</v>
      </c>
    </row>
    <row r="175" spans="1:26" ht="14.25" hidden="1" customHeight="1" x14ac:dyDescent="0.25">
      <c r="A175" s="11"/>
      <c r="B175" s="11">
        <f t="shared" si="3"/>
        <v>18</v>
      </c>
      <c r="C175" s="11" t="s">
        <v>148</v>
      </c>
      <c r="D175" s="11"/>
      <c r="E175" s="11"/>
      <c r="F175" s="11">
        <f>VLOOKUP(G175, SeanRanks!$A$2:$E$302, 4, FALSE)</f>
        <v>0</v>
      </c>
      <c r="G175" s="11" t="s">
        <v>532</v>
      </c>
      <c r="H175" s="11" t="str">
        <f>VLOOKUP($G175, 'ADP Data'!$C$4:$Q$300, 2, FALSE)</f>
        <v>TB</v>
      </c>
      <c r="I175" s="11">
        <f>VLOOKUP(G175, 'ADP Data'!$C$4:$R$498, 12, FALSE)</f>
        <v>190</v>
      </c>
      <c r="J175" s="11">
        <f>VLOOKUP($G175, SeanRanks!$A$2:$H$303, 5, FALSE)</f>
        <v>0</v>
      </c>
      <c r="K175" s="11" t="str">
        <f>IF(VLOOKUP($G175, SeanRanks!$A$2:$H$303, 6, FALSE)=0, "", VLOOKUP($G175, SeanRanks!$A$2:$H$303, 6, FALSE))</f>
        <v/>
      </c>
      <c r="L175" s="11">
        <f t="shared" si="4"/>
        <v>29</v>
      </c>
      <c r="M175" s="11">
        <f>VLOOKUP($G175, 'ADP Data'!$C$4:$Q$300, 9, FALSE)</f>
        <v>227</v>
      </c>
      <c r="N175" s="11">
        <f t="shared" si="5"/>
        <v>17</v>
      </c>
      <c r="O175" s="11" t="str">
        <f>VLOOKUP($G175, 'ADP Data'!$C$4:$Q$300, 3, FALSE)</f>
        <v>-</v>
      </c>
      <c r="P175" s="11" t="e">
        <f t="shared" si="6"/>
        <v>#VALUE!</v>
      </c>
      <c r="Q175" s="11">
        <f>VLOOKUP($G175, 'ADP Data'!$C$4:$Q$300, 4, FALSE)</f>
        <v>200</v>
      </c>
      <c r="R175" s="11">
        <f>VLOOKUP($G175, 'ADP Data'!$C$4:$Q$300, 5, FALSE)</f>
        <v>242</v>
      </c>
      <c r="S175" s="11">
        <f>VLOOKUP($G175, 'ADP Data'!$C$4:$Q$300, 6, FALSE)</f>
        <v>167</v>
      </c>
      <c r="T175" s="11">
        <f>VLOOKUP($G175, 'ADP Data'!$C$4:$Q$300, 7, FALSE)</f>
        <v>215</v>
      </c>
      <c r="U175" s="11">
        <f>VLOOKUP($G175, 'ADP Data'!$C$4:$Q$300, 8, FALSE)</f>
        <v>211</v>
      </c>
      <c r="V175" s="11">
        <f t="shared" si="7"/>
        <v>210</v>
      </c>
      <c r="W175" s="11">
        <f t="shared" si="8"/>
        <v>27</v>
      </c>
      <c r="X175" s="11">
        <f t="shared" si="9"/>
        <v>-27</v>
      </c>
      <c r="Y175" s="11" t="e">
        <f>VLOOKUP($G175, SeanRanks!$A$2:$K$303, 10, FALSE)-V175</f>
        <v>#VALUE!</v>
      </c>
      <c r="Z175" s="25" t="str">
        <f>IF(VLOOKUP($G175, SeanRanks!$A$2:$H$303, 7, FALSE)=0, "", VLOOKUP($G175, SeanRanks!$A$2:$H$303, 7, FALSE))</f>
        <v/>
      </c>
    </row>
    <row r="176" spans="1:26" ht="14.25" hidden="1" customHeight="1" x14ac:dyDescent="0.25">
      <c r="A176" s="11"/>
      <c r="B176" s="11" t="e">
        <f t="shared" si="3"/>
        <v>#N/A</v>
      </c>
      <c r="C176" s="11" t="s">
        <v>148</v>
      </c>
      <c r="D176" s="11"/>
      <c r="E176" s="11"/>
      <c r="F176" s="11" t="e">
        <f>VLOOKUP(G176, SeanRanks!$A$2:$E$302, 4, FALSE)</f>
        <v>#N/A</v>
      </c>
      <c r="G176" s="11" t="s">
        <v>926</v>
      </c>
      <c r="H176" s="11" t="e">
        <f>VLOOKUP($G176, 'ADP Data'!$C$4:$Q$300, 2, FALSE)</f>
        <v>#N/A</v>
      </c>
      <c r="I176" s="11" t="e">
        <f>VLOOKUP(G176, 'ADP Data'!$C$4:$R$498, 12, FALSE)</f>
        <v>#N/A</v>
      </c>
      <c r="J176" s="11" t="e">
        <f>VLOOKUP($G176, SeanRanks!$A$2:$H$303, 5, FALSE)</f>
        <v>#N/A</v>
      </c>
      <c r="K176" s="11" t="e">
        <f>IF(VLOOKUP($G176, SeanRanks!$A$2:$H$303, 6, FALSE)=0, "", VLOOKUP($G176, SeanRanks!$A$2:$H$303, 6, FALSE))</f>
        <v>#N/A</v>
      </c>
      <c r="L176" s="11">
        <f t="shared" si="4"/>
        <v>16</v>
      </c>
      <c r="M176" s="11" t="e">
        <f>VLOOKUP($G176, 'ADP Data'!$C$4:$Q$300, 9, FALSE)</f>
        <v>#N/A</v>
      </c>
      <c r="N176" s="11" t="e">
        <f t="shared" si="5"/>
        <v>#N/A</v>
      </c>
      <c r="O176" s="11" t="e">
        <f>VLOOKUP($G176, 'ADP Data'!$C$4:$Q$300, 3, FALSE)</f>
        <v>#N/A</v>
      </c>
      <c r="P176" s="11" t="e">
        <f t="shared" si="6"/>
        <v>#N/A</v>
      </c>
      <c r="Q176" s="11" t="e">
        <f>VLOOKUP($G176, 'ADP Data'!$C$4:$Q$300, 4, FALSE)</f>
        <v>#N/A</v>
      </c>
      <c r="R176" s="11" t="e">
        <f>VLOOKUP($G176, 'ADP Data'!$C$4:$Q$300, 5, FALSE)</f>
        <v>#N/A</v>
      </c>
      <c r="S176" s="11" t="e">
        <f>VLOOKUP($G176, 'ADP Data'!$C$4:$Q$300, 6, FALSE)</f>
        <v>#N/A</v>
      </c>
      <c r="T176" s="11" t="e">
        <f>VLOOKUP($G176, 'ADP Data'!$C$4:$Q$300, 7, FALSE)</f>
        <v>#N/A</v>
      </c>
      <c r="U176" s="11" t="e">
        <f>VLOOKUP($G176, 'ADP Data'!$C$4:$Q$300, 8, FALSE)</f>
        <v>#N/A</v>
      </c>
      <c r="V176" s="11" t="e">
        <f t="shared" si="7"/>
        <v>#N/A</v>
      </c>
      <c r="W176" s="11">
        <f t="shared" si="8"/>
        <v>16</v>
      </c>
      <c r="X176" s="11">
        <f t="shared" si="9"/>
        <v>-16</v>
      </c>
      <c r="Y176" s="11" t="e">
        <f>VLOOKUP($G176, SeanRanks!$A$2:$K$303, 10, FALSE)-V176</f>
        <v>#N/A</v>
      </c>
      <c r="Z176" s="25" t="e">
        <f>IF(VLOOKUP($G176, SeanRanks!$A$2:$H$303, 7, FALSE)=0, "", VLOOKUP($G176, SeanRanks!$A$2:$H$303, 7, FALSE))</f>
        <v>#N/A</v>
      </c>
    </row>
    <row r="177" spans="1:26" ht="14.25" hidden="1" customHeight="1" x14ac:dyDescent="0.25">
      <c r="A177" s="11"/>
      <c r="B177" s="11">
        <f t="shared" si="3"/>
        <v>23</v>
      </c>
      <c r="C177" s="11" t="s">
        <v>148</v>
      </c>
      <c r="D177" s="11"/>
      <c r="E177" s="11"/>
      <c r="F177" s="11">
        <f>VLOOKUP(G177, SeanRanks!$A$2:$E$302, 4, FALSE)</f>
        <v>0</v>
      </c>
      <c r="G177" s="11" t="s">
        <v>268</v>
      </c>
      <c r="H177" s="11" t="str">
        <f>VLOOKUP($G177, 'ADP Data'!$C$4:$Q$300, 2, FALSE)</f>
        <v>ARI</v>
      </c>
      <c r="I177" s="11">
        <f>VLOOKUP(G177, 'ADP Data'!$C$4:$R$498, 12, FALSE)</f>
        <v>219</v>
      </c>
      <c r="J177" s="11">
        <f>VLOOKUP($G177, SeanRanks!$A$2:$H$303, 5, FALSE)</f>
        <v>0</v>
      </c>
      <c r="K177" s="11" t="str">
        <f>IF(VLOOKUP($G177, SeanRanks!$A$2:$H$303, 6, FALSE)=0, "", VLOOKUP($G177, SeanRanks!$A$2:$H$303, 6, FALSE))</f>
        <v/>
      </c>
      <c r="L177" s="11">
        <f t="shared" si="4"/>
        <v>32</v>
      </c>
      <c r="M177" s="11">
        <f>VLOOKUP($G177, 'ADP Data'!$C$4:$Q$300, 9, FALSE)</f>
        <v>252</v>
      </c>
      <c r="N177" s="11">
        <f t="shared" si="5"/>
        <v>-12</v>
      </c>
      <c r="O177" s="11" t="str">
        <f>VLOOKUP($G177, 'ADP Data'!$C$4:$Q$300, 3, FALSE)</f>
        <v>-</v>
      </c>
      <c r="P177" s="11" t="e">
        <f t="shared" si="6"/>
        <v>#VALUE!</v>
      </c>
      <c r="Q177" s="11" t="str">
        <f>VLOOKUP($G177, 'ADP Data'!$C$4:$Q$300, 4, FALSE)</f>
        <v>-</v>
      </c>
      <c r="R177" s="11">
        <f>VLOOKUP($G177, 'ADP Data'!$C$4:$Q$300, 5, FALSE)</f>
        <v>304</v>
      </c>
      <c r="S177" s="11">
        <f>VLOOKUP($G177, 'ADP Data'!$C$4:$Q$300, 6, FALSE)</f>
        <v>218</v>
      </c>
      <c r="T177" s="11">
        <f>VLOOKUP($G177, 'ADP Data'!$C$4:$Q$300, 7, FALSE)</f>
        <v>213</v>
      </c>
      <c r="U177" s="11">
        <f>VLOOKUP($G177, 'ADP Data'!$C$4:$Q$300, 8, FALSE)</f>
        <v>335</v>
      </c>
      <c r="V177" s="11">
        <f t="shared" si="7"/>
        <v>264</v>
      </c>
      <c r="W177" s="11">
        <f t="shared" si="8"/>
        <v>34</v>
      </c>
      <c r="X177" s="11">
        <f t="shared" si="9"/>
        <v>-34</v>
      </c>
      <c r="Y177" s="11">
        <f>VLOOKUP($G177, SeanRanks!$A$2:$K$303, 10, FALSE)-V177</f>
        <v>-23</v>
      </c>
      <c r="Z177" s="25" t="str">
        <f>IF(VLOOKUP($G177, SeanRanks!$A$2:$H$303, 7, FALSE)=0, "", VLOOKUP($G177, SeanRanks!$A$2:$H$303, 7, FALSE))</f>
        <v/>
      </c>
    </row>
    <row r="178" spans="1:26" ht="14.25" hidden="1" customHeight="1" x14ac:dyDescent="0.25">
      <c r="A178" s="11"/>
      <c r="B178" s="11">
        <f t="shared" si="3"/>
        <v>15</v>
      </c>
      <c r="C178" s="11" t="s">
        <v>148</v>
      </c>
      <c r="D178" s="11"/>
      <c r="E178" s="11"/>
      <c r="F178" s="11">
        <f>VLOOKUP(G178, SeanRanks!$A$2:$E$302, 4, FALSE)</f>
        <v>0</v>
      </c>
      <c r="G178" s="11" t="s">
        <v>397</v>
      </c>
      <c r="H178" s="11" t="str">
        <f>VLOOKUP($G178, 'ADP Data'!$C$4:$Q$300, 2, FALSE)</f>
        <v>NE</v>
      </c>
      <c r="I178" s="11">
        <f>VLOOKUP(G178, 'ADP Data'!$C$4:$R$498, 12, FALSE)</f>
        <v>160</v>
      </c>
      <c r="J178" s="11">
        <f>VLOOKUP($G178, SeanRanks!$A$2:$H$303, 5, FALSE)</f>
        <v>0</v>
      </c>
      <c r="K178" s="11" t="str">
        <f>IF(VLOOKUP($G178, SeanRanks!$A$2:$H$303, 6, FALSE)=0, "", VLOOKUP($G178, SeanRanks!$A$2:$H$303, 6, FALSE))</f>
        <v/>
      </c>
      <c r="L178" s="11">
        <f t="shared" si="4"/>
        <v>22</v>
      </c>
      <c r="M178" s="11">
        <f>VLOOKUP($G178, 'ADP Data'!$C$4:$Q$300, 9, FALSE)</f>
        <v>169</v>
      </c>
      <c r="N178" s="11">
        <f t="shared" si="5"/>
        <v>0</v>
      </c>
      <c r="O178" s="11">
        <f>VLOOKUP($G178, 'ADP Data'!$C$4:$Q$300, 3, FALSE)</f>
        <v>155</v>
      </c>
      <c r="P178" s="11">
        <f t="shared" si="6"/>
        <v>14</v>
      </c>
      <c r="Q178" s="11">
        <f>VLOOKUP($G178, 'ADP Data'!$C$4:$Q$300, 4, FALSE)</f>
        <v>155</v>
      </c>
      <c r="R178" s="11">
        <f>VLOOKUP($G178, 'ADP Data'!$C$4:$Q$300, 5, FALSE)</f>
        <v>225</v>
      </c>
      <c r="S178" s="11">
        <f>VLOOKUP($G178, 'ADP Data'!$C$4:$Q$300, 6, FALSE)</f>
        <v>140</v>
      </c>
      <c r="T178" s="11">
        <f>VLOOKUP($G178, 'ADP Data'!$C$4:$Q$300, 7, FALSE)</f>
        <v>168</v>
      </c>
      <c r="U178" s="11">
        <f>VLOOKUP($G178, 'ADP Data'!$C$4:$Q$300, 8, FALSE)</f>
        <v>173</v>
      </c>
      <c r="V178" s="11">
        <f t="shared" si="7"/>
        <v>169</v>
      </c>
      <c r="W178" s="11">
        <f t="shared" si="8"/>
        <v>22</v>
      </c>
      <c r="X178" s="11">
        <f t="shared" si="9"/>
        <v>-22</v>
      </c>
      <c r="Y178" s="11">
        <f>VLOOKUP($G178, SeanRanks!$A$2:$K$303, 10, FALSE)-V178</f>
        <v>-35</v>
      </c>
      <c r="Z178" s="25" t="str">
        <f>IF(VLOOKUP($G178, SeanRanks!$A$2:$H$303, 7, FALSE)=0, "", VLOOKUP($G178, SeanRanks!$A$2:$H$303, 7, FALSE))</f>
        <v/>
      </c>
    </row>
    <row r="179" spans="1:26" ht="14.25" customHeight="1" x14ac:dyDescent="0.25">
      <c r="A179" s="11"/>
      <c r="B179" s="11">
        <f t="shared" si="3"/>
        <v>23</v>
      </c>
      <c r="C179" s="11" t="s">
        <v>148</v>
      </c>
      <c r="D179" s="11"/>
      <c r="E179" s="11"/>
      <c r="F179" s="11">
        <f>VLOOKUP(G179, SeanRanks!$A$2:$E$302, 4, FALSE)</f>
        <v>0</v>
      </c>
      <c r="G179" s="11" t="s">
        <v>342</v>
      </c>
      <c r="H179" s="11" t="str">
        <f>VLOOKUP($G179, 'ADP Data'!$C$4:$Q$300, 2, FALSE)</f>
        <v>GB</v>
      </c>
      <c r="I179" s="11">
        <f>VLOOKUP(G179, 'ADP Data'!$C$4:$R$498, 12, FALSE)</f>
        <v>280</v>
      </c>
      <c r="J179" s="59">
        <f>VLOOKUP($G179, SeanRanks!$A$2:$H$303, 5, FALSE)</f>
        <v>0</v>
      </c>
      <c r="K179" s="11" t="str">
        <f>IF(VLOOKUP($G179, SeanRanks!$A$2:$H$303, 6, FALSE)=0, "", VLOOKUP($G179, SeanRanks!$A$2:$H$303, 6, FALSE))</f>
        <v>RB5 - 1 - upside</v>
      </c>
      <c r="L179" s="11">
        <f t="shared" si="4"/>
        <v>31</v>
      </c>
      <c r="M179" s="11">
        <f>VLOOKUP($G179, 'ADP Data'!$C$4:$Q$300, 9, FALSE)</f>
        <v>247</v>
      </c>
      <c r="N179" s="11">
        <f t="shared" si="5"/>
        <v>-22</v>
      </c>
      <c r="O179" s="11" t="str">
        <f>VLOOKUP($G179, 'ADP Data'!$C$4:$Q$300, 3, FALSE)</f>
        <v>-</v>
      </c>
      <c r="P179" s="11" t="e">
        <f t="shared" si="6"/>
        <v>#VALUE!</v>
      </c>
      <c r="Q179" s="11" t="str">
        <f>VLOOKUP($G179, 'ADP Data'!$C$4:$Q$300, 4, FALSE)</f>
        <v>-</v>
      </c>
      <c r="R179" s="11">
        <f>VLOOKUP($G179, 'ADP Data'!$C$4:$Q$300, 5, FALSE)</f>
        <v>296</v>
      </c>
      <c r="S179" s="11">
        <f>VLOOKUP($G179, 'ADP Data'!$C$4:$Q$300, 6, FALSE)</f>
        <v>255</v>
      </c>
      <c r="T179" s="11">
        <f>VLOOKUP($G179, 'ADP Data'!$C$4:$Q$300, 7, FALSE)</f>
        <v>235</v>
      </c>
      <c r="U179" s="11">
        <f>VLOOKUP($G179, 'ADP Data'!$C$4:$Q$300, 8, FALSE)</f>
        <v>315</v>
      </c>
      <c r="V179" s="11">
        <f t="shared" si="7"/>
        <v>269</v>
      </c>
      <c r="W179" s="11">
        <f t="shared" si="8"/>
        <v>34</v>
      </c>
      <c r="X179" s="11">
        <f t="shared" si="9"/>
        <v>-34</v>
      </c>
      <c r="Y179" s="11">
        <f>VLOOKUP($G179, SeanRanks!$A$2:$K$303, 10, FALSE)-V179</f>
        <v>-62</v>
      </c>
      <c r="Z179" s="25">
        <f>IF(VLOOKUP($G179, SeanRanks!$A$2:$H$303, 7, FALSE)=0, "", VLOOKUP($G179, SeanRanks!$A$2:$H$303, 7, FALSE))</f>
        <v>53</v>
      </c>
    </row>
    <row r="180" spans="1:26" ht="14.25" hidden="1" customHeight="1" x14ac:dyDescent="0.25">
      <c r="A180" s="11"/>
      <c r="B180" s="11">
        <f t="shared" si="3"/>
        <v>11</v>
      </c>
      <c r="C180" s="11" t="s">
        <v>148</v>
      </c>
      <c r="D180" s="11"/>
      <c r="E180" s="11"/>
      <c r="F180" s="11">
        <f>VLOOKUP(G180, SeanRanks!$A$2:$E$302, 4, FALSE)</f>
        <v>0</v>
      </c>
      <c r="G180" s="11" t="s">
        <v>527</v>
      </c>
      <c r="H180" s="11" t="str">
        <f>VLOOKUP($G180, 'ADP Data'!$C$4:$Q$300, 2, FALSE)</f>
        <v>DAL</v>
      </c>
      <c r="I180" s="11" t="str">
        <f>VLOOKUP(G180, 'ADP Data'!$C$4:$R$498, 12, FALSE)</f>
        <v>-</v>
      </c>
      <c r="J180" s="11">
        <f>VLOOKUP($G180, SeanRanks!$A$2:$H$303, 5, FALSE)</f>
        <v>0</v>
      </c>
      <c r="K180" s="11" t="str">
        <f>IF(VLOOKUP($G180, SeanRanks!$A$2:$H$303, 6, FALSE)=0, "", VLOOKUP($G180, SeanRanks!$A$2:$H$303, 6, FALSE))</f>
        <v/>
      </c>
      <c r="L180" s="11">
        <f t="shared" si="4"/>
        <v>17</v>
      </c>
      <c r="M180" s="11">
        <f>VLOOKUP($G180, 'ADP Data'!$C$4:$Q$300, 9, FALSE)</f>
        <v>131</v>
      </c>
      <c r="N180" s="11">
        <f t="shared" si="5"/>
        <v>14</v>
      </c>
      <c r="O180" s="11">
        <f>VLOOKUP($G180, 'ADP Data'!$C$4:$Q$300, 3, FALSE)</f>
        <v>104</v>
      </c>
      <c r="P180" s="11">
        <f t="shared" si="6"/>
        <v>27</v>
      </c>
      <c r="Q180" s="11"/>
      <c r="R180" s="11"/>
      <c r="S180" s="11"/>
      <c r="T180" s="11"/>
      <c r="U180" s="11"/>
      <c r="V180" s="11">
        <f t="shared" si="7"/>
        <v>117</v>
      </c>
      <c r="W180" s="11">
        <f t="shared" si="8"/>
        <v>15</v>
      </c>
      <c r="X180" s="11">
        <f t="shared" si="9"/>
        <v>-15</v>
      </c>
      <c r="Y180" s="11">
        <f>VLOOKUP($G180, SeanRanks!$A$2:$K$303, 10, FALSE)-V180</f>
        <v>64</v>
      </c>
      <c r="Z180" s="25" t="str">
        <f>IF(VLOOKUP($G180, SeanRanks!$A$2:$H$303, 7, FALSE)=0, "", VLOOKUP($G180, SeanRanks!$A$2:$H$303, 7, FALSE))</f>
        <v/>
      </c>
    </row>
    <row r="181" spans="1:26" ht="14.25" hidden="1" customHeight="1" x14ac:dyDescent="0.25">
      <c r="A181" s="11"/>
      <c r="B181" s="11">
        <f t="shared" si="3"/>
        <v>18</v>
      </c>
      <c r="C181" s="11" t="s">
        <v>148</v>
      </c>
      <c r="D181" s="11"/>
      <c r="E181" s="11"/>
      <c r="F181" s="11">
        <f>VLOOKUP(G181, SeanRanks!$A$2:$E$302, 4, FALSE)</f>
        <v>0</v>
      </c>
      <c r="G181" s="11" t="s">
        <v>609</v>
      </c>
      <c r="H181" s="11" t="str">
        <f>VLOOKUP($G181, 'ADP Data'!$C$4:$Q$300, 2, FALSE)</f>
        <v>CHI</v>
      </c>
      <c r="I181" s="11" t="str">
        <f>VLOOKUP(G181, 'ADP Data'!$C$4:$R$498, 12, FALSE)</f>
        <v>-</v>
      </c>
      <c r="J181" s="11">
        <f>VLOOKUP($G181, SeanRanks!$A$2:$H$303, 5, FALSE)</f>
        <v>0</v>
      </c>
      <c r="K181" s="11" t="str">
        <f>IF(VLOOKUP($G181, SeanRanks!$A$2:$H$303, 6, FALSE)=0, "", VLOOKUP($G181, SeanRanks!$A$2:$H$303, 6, FALSE))</f>
        <v/>
      </c>
      <c r="L181" s="11">
        <f t="shared" si="4"/>
        <v>16</v>
      </c>
      <c r="M181" s="11" t="str">
        <f>VLOOKUP($G181, 'ADP Data'!$C$4:$Q$300, 9, FALSE)</f>
        <v>-</v>
      </c>
      <c r="N181" s="11" t="e">
        <f t="shared" si="5"/>
        <v>#VALUE!</v>
      </c>
      <c r="O181" s="11">
        <f>VLOOKUP($G181, 'ADP Data'!$C$4:$Q$300, 3, FALSE)</f>
        <v>212</v>
      </c>
      <c r="P181" s="11" t="e">
        <f t="shared" si="6"/>
        <v>#VALUE!</v>
      </c>
      <c r="Q181" s="11">
        <f>VLOOKUP($G181, 'ADP Data'!$C$4:$Q$300, 4, FALSE)</f>
        <v>220</v>
      </c>
      <c r="R181" s="11" t="str">
        <f>VLOOKUP($G181, 'ADP Data'!$C$4:$Q$300, 5, FALSE)</f>
        <v>-</v>
      </c>
      <c r="S181" s="11">
        <f>VLOOKUP($G181, 'ADP Data'!$C$4:$Q$300, 6, FALSE)</f>
        <v>296</v>
      </c>
      <c r="T181" s="11">
        <f>VLOOKUP($G181, 'ADP Data'!$C$4:$Q$300, 7, FALSE)</f>
        <v>246</v>
      </c>
      <c r="U181" s="11">
        <f>VLOOKUP($G181, 'ADP Data'!$C$4:$Q$300, 8, FALSE)</f>
        <v>83</v>
      </c>
      <c r="V181" s="11">
        <f t="shared" si="7"/>
        <v>211</v>
      </c>
      <c r="W181" s="11">
        <f t="shared" si="8"/>
        <v>27</v>
      </c>
      <c r="X181" s="11">
        <f t="shared" si="9"/>
        <v>-27</v>
      </c>
      <c r="Y181" s="11" t="e">
        <f>VLOOKUP($G181, SeanRanks!$A$2:$K$303, 10, FALSE)-V181</f>
        <v>#VALUE!</v>
      </c>
      <c r="Z181" s="25" t="str">
        <f>IF(VLOOKUP($G181, SeanRanks!$A$2:$H$303, 7, FALSE)=0, "", VLOOKUP($G181, SeanRanks!$A$2:$H$303, 7, FALSE))</f>
        <v/>
      </c>
    </row>
    <row r="182" spans="1:26" ht="14.25" customHeight="1" x14ac:dyDescent="0.25">
      <c r="A182" s="11"/>
      <c r="B182" s="11">
        <f t="shared" si="3"/>
        <v>2</v>
      </c>
      <c r="C182" s="11" t="s">
        <v>148</v>
      </c>
      <c r="D182" s="11"/>
      <c r="E182" s="11"/>
      <c r="F182" s="11">
        <f>VLOOKUP(G182, SeanRanks!$A$2:$E$302, 4, FALSE)</f>
        <v>0</v>
      </c>
      <c r="G182" s="11" t="s">
        <v>189</v>
      </c>
      <c r="H182" s="11" t="str">
        <f>VLOOKUP($G182, 'ADP Data'!$C$4:$Q$300, 2, FALSE)</f>
        <v>TB</v>
      </c>
      <c r="I182" s="11">
        <f>VLOOKUP(G182, 'ADP Data'!$C$4:$R$498, 12, FALSE)</f>
        <v>21</v>
      </c>
      <c r="J182" s="11">
        <f>VLOOKUP($G182, SeanRanks!$A$2:$H$303, 5, FALSE)</f>
        <v>0</v>
      </c>
      <c r="K182" s="11" t="str">
        <f>IF(VLOOKUP($G182, SeanRanks!$A$2:$H$303, 6, FALSE)=0, "", VLOOKUP($G182, SeanRanks!$A$2:$H$303, 6, FALSE))</f>
        <v>RB1 - 2 - Elite ceiling/questions</v>
      </c>
      <c r="L182" s="11">
        <f t="shared" si="4"/>
        <v>3</v>
      </c>
      <c r="M182" s="11">
        <f>VLOOKUP($G182, 'ADP Data'!$C$4:$Q$300, 9, FALSE)</f>
        <v>22</v>
      </c>
      <c r="N182" s="11">
        <f t="shared" si="5"/>
        <v>0</v>
      </c>
      <c r="O182" s="11">
        <f>VLOOKUP($G182, 'ADP Data'!$C$4:$Q$300, 3, FALSE)</f>
        <v>22</v>
      </c>
      <c r="P182" s="11">
        <f t="shared" si="6"/>
        <v>0</v>
      </c>
      <c r="Q182" s="11">
        <f>VLOOKUP($G182, 'ADP Data'!$C$4:$Q$300, 4, FALSE)</f>
        <v>22</v>
      </c>
      <c r="R182" s="11">
        <f>VLOOKUP($G182, 'ADP Data'!$C$4:$Q$300, 5, FALSE)</f>
        <v>25</v>
      </c>
      <c r="S182" s="11">
        <f>VLOOKUP($G182, 'ADP Data'!$C$4:$Q$300, 6, FALSE)</f>
        <v>20</v>
      </c>
      <c r="T182" s="11">
        <f>VLOOKUP($G182, 'ADP Data'!$C$4:$Q$300, 7, FALSE)</f>
        <v>19</v>
      </c>
      <c r="U182" s="11">
        <f>VLOOKUP($G182, 'ADP Data'!$C$4:$Q$300, 8, FALSE)</f>
        <v>24</v>
      </c>
      <c r="V182" s="11">
        <f t="shared" si="7"/>
        <v>22</v>
      </c>
      <c r="W182" s="11">
        <f t="shared" si="8"/>
        <v>3</v>
      </c>
      <c r="X182" s="11">
        <f t="shared" si="9"/>
        <v>-3</v>
      </c>
      <c r="Y182" s="11">
        <f>VLOOKUP($G182, SeanRanks!$A$2:$K$303, 10, FALSE)-V182</f>
        <v>-5</v>
      </c>
      <c r="Z182" s="25">
        <f>IF(VLOOKUP($G182, SeanRanks!$A$2:$H$303, 7, FALSE)=0, "", VLOOKUP($G182, SeanRanks!$A$2:$H$303, 7, FALSE))</f>
        <v>9</v>
      </c>
    </row>
    <row r="183" spans="1:26" ht="14.25" hidden="1" customHeight="1" x14ac:dyDescent="0.25">
      <c r="A183" s="11"/>
      <c r="B183" s="11">
        <f t="shared" si="3"/>
        <v>15</v>
      </c>
      <c r="C183" s="11" t="s">
        <v>148</v>
      </c>
      <c r="D183" s="11"/>
      <c r="E183" s="11"/>
      <c r="F183" s="11">
        <f>VLOOKUP(G183, SeanRanks!$A$2:$E$302, 4, FALSE)</f>
        <v>0</v>
      </c>
      <c r="G183" s="11" t="s">
        <v>572</v>
      </c>
      <c r="H183" s="11" t="str">
        <f>VLOOKUP($G183, 'ADP Data'!$C$4:$Q$300, 2, FALSE)</f>
        <v>BAL</v>
      </c>
      <c r="I183" s="11">
        <f>VLOOKUP(G183, 'ADP Data'!$C$4:$R$498, 12, FALSE)</f>
        <v>123</v>
      </c>
      <c r="J183" s="11">
        <f>VLOOKUP($G183, SeanRanks!$A$2:$H$303, 5, FALSE)</f>
        <v>0</v>
      </c>
      <c r="K183" s="11" t="str">
        <f>IF(VLOOKUP($G183, SeanRanks!$A$2:$H$303, 6, FALSE)=0, "", VLOOKUP($G183, SeanRanks!$A$2:$H$303, 6, FALSE))</f>
        <v>WR5 - 1 - upside path</v>
      </c>
      <c r="L183" s="11">
        <f t="shared" si="4"/>
        <v>20</v>
      </c>
      <c r="M183" s="11">
        <f>VLOOKUP($G183, 'ADP Data'!$C$4:$Q$300, 9, FALSE)</f>
        <v>152</v>
      </c>
      <c r="N183" s="11">
        <f t="shared" si="5"/>
        <v>-10</v>
      </c>
      <c r="O183" s="11">
        <f>VLOOKUP($G183, 'ADP Data'!$C$4:$Q$300, 3, FALSE)</f>
        <v>144</v>
      </c>
      <c r="P183" s="11">
        <f t="shared" si="6"/>
        <v>8</v>
      </c>
      <c r="Q183" s="11">
        <f>VLOOKUP($G183, 'ADP Data'!$C$4:$Q$300, 4, FALSE)</f>
        <v>176</v>
      </c>
      <c r="R183" s="11">
        <f>VLOOKUP($G183, 'ADP Data'!$C$4:$Q$300, 5, FALSE)</f>
        <v>198</v>
      </c>
      <c r="S183" s="11">
        <f>VLOOKUP($G183, 'ADP Data'!$C$4:$Q$300, 6, FALSE)</f>
        <v>153</v>
      </c>
      <c r="T183" s="11">
        <f>VLOOKUP($G183, 'ADP Data'!$C$4:$Q$300, 7, FALSE)</f>
        <v>128</v>
      </c>
      <c r="U183" s="11">
        <f>VLOOKUP($G183, 'ADP Data'!$C$4:$Q$300, 8, FALSE)</f>
        <v>185</v>
      </c>
      <c r="V183" s="11">
        <f t="shared" si="7"/>
        <v>162</v>
      </c>
      <c r="W183" s="11">
        <f t="shared" si="8"/>
        <v>21</v>
      </c>
      <c r="X183" s="11">
        <f t="shared" si="9"/>
        <v>-21</v>
      </c>
      <c r="Y183" s="11">
        <f>VLOOKUP($G183, SeanRanks!$A$2:$K$303, 10, FALSE)-V183</f>
        <v>-36</v>
      </c>
      <c r="Z183" s="25">
        <f>IF(VLOOKUP($G183, SeanRanks!$A$2:$H$303, 7, FALSE)=0, "", VLOOKUP($G183, SeanRanks!$A$2:$H$303, 7, FALSE))</f>
        <v>52</v>
      </c>
    </row>
    <row r="184" spans="1:26" ht="14.25" hidden="1" customHeight="1" x14ac:dyDescent="0.25">
      <c r="A184" s="11"/>
      <c r="B184" s="11">
        <f t="shared" si="3"/>
        <v>15</v>
      </c>
      <c r="C184" s="11" t="s">
        <v>148</v>
      </c>
      <c r="D184" s="11"/>
      <c r="E184" s="11"/>
      <c r="F184" s="11">
        <f>VLOOKUP(G184, SeanRanks!$A$2:$E$302, 4, FALSE)</f>
        <v>0</v>
      </c>
      <c r="G184" s="11" t="s">
        <v>927</v>
      </c>
      <c r="H184" s="11" t="str">
        <f>VLOOKUP($G184, 'ADP Data'!$C$4:$Q$300, 2, FALSE)</f>
        <v>CAR</v>
      </c>
      <c r="I184" s="11">
        <f>VLOOKUP(G184, 'ADP Data'!$C$4:$R$498, 12, FALSE)</f>
        <v>161</v>
      </c>
      <c r="J184" s="11">
        <f>VLOOKUP($G184, SeanRanks!$A$2:$H$303, 5, FALSE)</f>
        <v>0</v>
      </c>
      <c r="K184" s="11" t="str">
        <f>IF(VLOOKUP($G184, SeanRanks!$A$2:$H$303, 6, FALSE)=0, "", VLOOKUP($G184, SeanRanks!$A$2:$H$303, 6, FALSE))</f>
        <v>WR5 - 1 - upside path</v>
      </c>
      <c r="L184" s="11">
        <f t="shared" si="4"/>
        <v>25</v>
      </c>
      <c r="M184" s="11">
        <f>VLOOKUP($G184, 'ADP Data'!$C$4:$Q$300, 9, FALSE)</f>
        <v>196</v>
      </c>
      <c r="N184" s="11">
        <f t="shared" si="5"/>
        <v>13</v>
      </c>
      <c r="O184" s="11">
        <f>VLOOKUP($G184, 'ADP Data'!$C$4:$Q$300, 3, FALSE)</f>
        <v>203</v>
      </c>
      <c r="P184" s="11">
        <f t="shared" si="6"/>
        <v>-7</v>
      </c>
      <c r="Q184" s="11">
        <f>VLOOKUP($G184, 'ADP Data'!$C$4:$Q$300, 4, FALSE)</f>
        <v>148</v>
      </c>
      <c r="R184" s="11">
        <f>VLOOKUP($G184, 'ADP Data'!$C$4:$Q$300, 5, FALSE)</f>
        <v>197</v>
      </c>
      <c r="S184" s="11">
        <f>VLOOKUP($G184, 'ADP Data'!$C$4:$Q$300, 6, FALSE)</f>
        <v>171</v>
      </c>
      <c r="T184" s="11">
        <f>VLOOKUP($G184, 'ADP Data'!$C$4:$Q$300, 7, FALSE)</f>
        <v>161</v>
      </c>
      <c r="U184" s="11">
        <f>VLOOKUP($G184, 'ADP Data'!$C$4:$Q$300, 8, FALSE)</f>
        <v>208</v>
      </c>
      <c r="V184" s="11">
        <f t="shared" si="7"/>
        <v>183</v>
      </c>
      <c r="W184" s="11">
        <f t="shared" si="8"/>
        <v>23</v>
      </c>
      <c r="X184" s="11">
        <f t="shared" si="9"/>
        <v>-23</v>
      </c>
      <c r="Y184" s="11">
        <f>VLOOKUP($G184, SeanRanks!$A$2:$K$303, 10, FALSE)-V184</f>
        <v>-13</v>
      </c>
      <c r="Z184" s="25">
        <f>IF(VLOOKUP($G184, SeanRanks!$A$2:$H$303, 7, FALSE)=0, "", VLOOKUP($G184, SeanRanks!$A$2:$H$303, 7, FALSE))</f>
        <v>54</v>
      </c>
    </row>
    <row r="185" spans="1:26" ht="14.25" hidden="1" customHeight="1" x14ac:dyDescent="0.25">
      <c r="A185" s="11"/>
      <c r="B185" s="11" t="e">
        <f t="shared" si="3"/>
        <v>#N/A</v>
      </c>
      <c r="C185" s="11" t="s">
        <v>148</v>
      </c>
      <c r="D185" s="11"/>
      <c r="E185" s="11"/>
      <c r="F185" s="11" t="e">
        <f>VLOOKUP(G185, SeanRanks!$A$2:$E$302, 4, FALSE)</f>
        <v>#N/A</v>
      </c>
      <c r="G185" s="11" t="s">
        <v>928</v>
      </c>
      <c r="H185" s="11" t="e">
        <f>VLOOKUP($G185, 'ADP Data'!$C$4:$Q$300, 2, FALSE)</f>
        <v>#N/A</v>
      </c>
      <c r="I185" s="11" t="e">
        <f>VLOOKUP(G185, 'ADP Data'!$C$4:$R$498, 12, FALSE)</f>
        <v>#N/A</v>
      </c>
      <c r="J185" s="11" t="e">
        <f>VLOOKUP($G185, SeanRanks!$A$2:$H$303, 5, FALSE)</f>
        <v>#N/A</v>
      </c>
      <c r="K185" s="11" t="e">
        <f>IF(VLOOKUP($G185, SeanRanks!$A$2:$H$303, 6, FALSE)=0, "", VLOOKUP($G185, SeanRanks!$A$2:$H$303, 6, FALSE))</f>
        <v>#N/A</v>
      </c>
      <c r="L185" s="11">
        <f t="shared" si="4"/>
        <v>16</v>
      </c>
      <c r="M185" s="11" t="e">
        <f>VLOOKUP($G185, 'ADP Data'!$C$4:$Q$300, 9, FALSE)</f>
        <v>#N/A</v>
      </c>
      <c r="N185" s="11" t="e">
        <f t="shared" si="5"/>
        <v>#N/A</v>
      </c>
      <c r="O185" s="11" t="e">
        <f>VLOOKUP($G185, 'ADP Data'!$C$4:$Q$300, 3, FALSE)</f>
        <v>#N/A</v>
      </c>
      <c r="P185" s="11" t="e">
        <f t="shared" si="6"/>
        <v>#N/A</v>
      </c>
      <c r="Q185" s="11" t="e">
        <f>VLOOKUP($G185, 'ADP Data'!$C$4:$Q$300, 4, FALSE)</f>
        <v>#N/A</v>
      </c>
      <c r="R185" s="11" t="e">
        <f>VLOOKUP($G185, 'ADP Data'!$C$4:$Q$300, 5, FALSE)</f>
        <v>#N/A</v>
      </c>
      <c r="S185" s="11" t="e">
        <f>VLOOKUP($G185, 'ADP Data'!$C$4:$Q$300, 6, FALSE)</f>
        <v>#N/A</v>
      </c>
      <c r="T185" s="11" t="e">
        <f>VLOOKUP($G185, 'ADP Data'!$C$4:$Q$300, 7, FALSE)</f>
        <v>#N/A</v>
      </c>
      <c r="U185" s="11" t="e">
        <f>VLOOKUP($G185, 'ADP Data'!$C$4:$Q$300, 8, FALSE)</f>
        <v>#N/A</v>
      </c>
      <c r="V185" s="11" t="e">
        <f t="shared" si="7"/>
        <v>#N/A</v>
      </c>
      <c r="W185" s="11">
        <f t="shared" si="8"/>
        <v>16</v>
      </c>
      <c r="X185" s="11">
        <f t="shared" si="9"/>
        <v>-16</v>
      </c>
      <c r="Y185" s="11" t="e">
        <f>VLOOKUP($G185, SeanRanks!$A$2:$K$303, 10, FALSE)-V185</f>
        <v>#N/A</v>
      </c>
      <c r="Z185" s="25" t="e">
        <f>IF(VLOOKUP($G185, SeanRanks!$A$2:$H$303, 7, FALSE)=0, "", VLOOKUP($G185, SeanRanks!$A$2:$H$303, 7, FALSE))</f>
        <v>#N/A</v>
      </c>
    </row>
    <row r="186" spans="1:26" ht="14.25" customHeight="1" x14ac:dyDescent="0.25">
      <c r="A186" s="11"/>
      <c r="B186" s="11">
        <f t="shared" si="3"/>
        <v>12</v>
      </c>
      <c r="C186" s="11" t="s">
        <v>148</v>
      </c>
      <c r="D186" s="11"/>
      <c r="E186" s="11"/>
      <c r="F186" s="11">
        <f>VLOOKUP(G186, SeanRanks!$A$2:$E$302, 4, FALSE)</f>
        <v>0</v>
      </c>
      <c r="G186" s="11" t="s">
        <v>446</v>
      </c>
      <c r="H186" s="11" t="str">
        <f>VLOOKUP($G186, 'ADP Data'!$C$4:$Q$300, 2, FALSE)</f>
        <v>NYJ</v>
      </c>
      <c r="I186" s="11">
        <f>VLOOKUP(G186, 'ADP Data'!$C$4:$R$498, 12, FALSE)</f>
        <v>109</v>
      </c>
      <c r="J186" s="11">
        <f>VLOOKUP($G186, SeanRanks!$A$2:$H$303, 5, FALSE)</f>
        <v>0</v>
      </c>
      <c r="K186" s="11" t="str">
        <f>IF(VLOOKUP($G186, SeanRanks!$A$2:$H$303, 6, FALSE)=0, "", VLOOKUP($G186, SeanRanks!$A$2:$H$303, 6, FALSE))</f>
        <v>RB4 - 2 - low ceiling</v>
      </c>
      <c r="L186" s="11">
        <f t="shared" si="4"/>
        <v>20</v>
      </c>
      <c r="M186" s="11">
        <f>VLOOKUP($G186, 'ADP Data'!$C$4:$Q$300, 9, FALSE)</f>
        <v>153</v>
      </c>
      <c r="N186" s="11">
        <f t="shared" si="5"/>
        <v>13</v>
      </c>
      <c r="O186" s="11">
        <f>VLOOKUP($G186, 'ADP Data'!$C$4:$Q$300, 3, FALSE)</f>
        <v>127</v>
      </c>
      <c r="P186" s="11">
        <f t="shared" si="6"/>
        <v>26</v>
      </c>
      <c r="Q186" s="11">
        <f>VLOOKUP($G186, 'ADP Data'!$C$4:$Q$300, 4, FALSE)</f>
        <v>156</v>
      </c>
      <c r="R186" s="11">
        <f>VLOOKUP($G186, 'ADP Data'!$C$4:$Q$300, 5, FALSE)</f>
        <v>109</v>
      </c>
      <c r="S186" s="11">
        <f>VLOOKUP($G186, 'ADP Data'!$C$4:$Q$300, 6, FALSE)</f>
        <v>108</v>
      </c>
      <c r="T186" s="11">
        <f>VLOOKUP($G186, 'ADP Data'!$C$4:$Q$300, 7, FALSE)</f>
        <v>132</v>
      </c>
      <c r="U186" s="11">
        <f>VLOOKUP($G186, 'ADP Data'!$C$4:$Q$300, 8, FALSE)</f>
        <v>197</v>
      </c>
      <c r="V186" s="11">
        <f t="shared" si="7"/>
        <v>140</v>
      </c>
      <c r="W186" s="11">
        <f t="shared" si="8"/>
        <v>18</v>
      </c>
      <c r="X186" s="11">
        <f t="shared" si="9"/>
        <v>-18</v>
      </c>
      <c r="Y186" s="11">
        <f>VLOOKUP($G186, SeanRanks!$A$2:$K$303, 10, FALSE)-V186</f>
        <v>-51</v>
      </c>
      <c r="Z186" s="25">
        <f>IF(VLOOKUP($G186, SeanRanks!$A$2:$H$303, 7, FALSE)=0, "", VLOOKUP($G186, SeanRanks!$A$2:$H$303, 7, FALSE))</f>
        <v>50</v>
      </c>
    </row>
    <row r="187" spans="1:26" ht="14.25" hidden="1" customHeight="1" x14ac:dyDescent="0.25">
      <c r="A187" s="11"/>
      <c r="B187" s="11">
        <f t="shared" si="3"/>
        <v>7</v>
      </c>
      <c r="C187" s="11" t="s">
        <v>148</v>
      </c>
      <c r="D187" s="11"/>
      <c r="E187" s="11"/>
      <c r="F187" s="11">
        <f>VLOOKUP(G187, SeanRanks!$A$2:$E$302, 4, FALSE)</f>
        <v>0</v>
      </c>
      <c r="G187" s="11" t="s">
        <v>318</v>
      </c>
      <c r="H187" s="11" t="str">
        <f>VLOOKUP($G187, 'ADP Data'!$C$4:$Q$300, 2, FALSE)</f>
        <v>DEN</v>
      </c>
      <c r="I187" s="11">
        <f>VLOOKUP(G187, 'ADP Data'!$C$4:$R$498, 12, FALSE)</f>
        <v>91</v>
      </c>
      <c r="J187" s="11">
        <f>VLOOKUP($G187, SeanRanks!$A$2:$H$303, 5, FALSE)</f>
        <v>0</v>
      </c>
      <c r="K187" s="11" t="str">
        <f>IF(VLOOKUP($G187, SeanRanks!$A$2:$H$303, 6, FALSE)=0, "", VLOOKUP($G187, SeanRanks!$A$2:$H$303, 6, FALSE))</f>
        <v>QB1 - 3 - Top 5 Ceiling</v>
      </c>
      <c r="L187" s="11">
        <f t="shared" si="4"/>
        <v>10</v>
      </c>
      <c r="M187" s="11">
        <f>VLOOKUP($G187, 'ADP Data'!$C$4:$Q$300, 9, FALSE)</f>
        <v>79</v>
      </c>
      <c r="N187" s="11">
        <f t="shared" si="5"/>
        <v>3</v>
      </c>
      <c r="O187" s="11">
        <f>VLOOKUP($G187, 'ADP Data'!$C$4:$Q$300, 3, FALSE)</f>
        <v>68</v>
      </c>
      <c r="P187" s="11">
        <f t="shared" si="6"/>
        <v>11</v>
      </c>
      <c r="Q187" s="11">
        <f>VLOOKUP($G187, 'ADP Data'!$C$4:$Q$300, 4, FALSE)</f>
        <v>66</v>
      </c>
      <c r="R187" s="11">
        <f>VLOOKUP($G187, 'ADP Data'!$C$4:$Q$300, 5, FALSE)</f>
        <v>87</v>
      </c>
      <c r="S187" s="11">
        <f>VLOOKUP($G187, 'ADP Data'!$C$4:$Q$300, 6, FALSE)</f>
        <v>89</v>
      </c>
      <c r="T187" s="11">
        <f>VLOOKUP($G187, 'ADP Data'!$C$4:$Q$300, 7, FALSE)</f>
        <v>83</v>
      </c>
      <c r="U187" s="11">
        <f>VLOOKUP($G187, 'ADP Data'!$C$4:$Q$300, 8, FALSE)</f>
        <v>64</v>
      </c>
      <c r="V187" s="11">
        <f t="shared" si="7"/>
        <v>76</v>
      </c>
      <c r="W187" s="11">
        <f t="shared" si="8"/>
        <v>10</v>
      </c>
      <c r="X187" s="11">
        <f t="shared" si="9"/>
        <v>-10</v>
      </c>
      <c r="Y187" s="11">
        <f>VLOOKUP($G187, SeanRanks!$A$2:$K$303, 10, FALSE)-V187</f>
        <v>7</v>
      </c>
      <c r="Z187" s="25">
        <f>IF(VLOOKUP($G187, SeanRanks!$A$2:$H$303, 7, FALSE)=0, "", VLOOKUP($G187, SeanRanks!$A$2:$H$303, 7, FALSE))</f>
        <v>7</v>
      </c>
    </row>
    <row r="188" spans="1:26" ht="14.25" hidden="1" customHeight="1" x14ac:dyDescent="0.25">
      <c r="A188" s="11"/>
      <c r="B188" s="11">
        <f t="shared" si="3"/>
        <v>18</v>
      </c>
      <c r="C188" s="11" t="s">
        <v>148</v>
      </c>
      <c r="D188" s="11"/>
      <c r="E188" s="11"/>
      <c r="F188" s="11">
        <f>VLOOKUP(G188, SeanRanks!$A$2:$E$302, 4, FALSE)</f>
        <v>0</v>
      </c>
      <c r="G188" s="11" t="s">
        <v>721</v>
      </c>
      <c r="H188" s="11" t="str">
        <f>VLOOKUP($G188, 'ADP Data'!$C$4:$Q$300, 2, FALSE)</f>
        <v>NE</v>
      </c>
      <c r="I188" s="11">
        <f>VLOOKUP(G188, 'ADP Data'!$C$4:$R$498, 12, FALSE)</f>
        <v>141</v>
      </c>
      <c r="J188" s="11">
        <f>VLOOKUP($G188, SeanRanks!$A$2:$H$303, 5, FALSE)</f>
        <v>0</v>
      </c>
      <c r="K188" s="11" t="str">
        <f>IF(VLOOKUP($G188, SeanRanks!$A$2:$H$303, 6, FALSE)=0, "", VLOOKUP($G188, SeanRanks!$A$2:$H$303, 6, FALSE))</f>
        <v>WR5 - 2 - floor play not league winner</v>
      </c>
      <c r="L188" s="11">
        <f t="shared" si="4"/>
        <v>25</v>
      </c>
      <c r="M188" s="11">
        <f>VLOOKUP($G188, 'ADP Data'!$C$4:$Q$300, 9, FALSE)</f>
        <v>199</v>
      </c>
      <c r="N188" s="11">
        <f t="shared" si="5"/>
        <v>-3</v>
      </c>
      <c r="O188" s="11">
        <f>VLOOKUP($G188, 'ADP Data'!$C$4:$Q$300, 3, FALSE)</f>
        <v>199</v>
      </c>
      <c r="P188" s="11">
        <f t="shared" si="6"/>
        <v>0</v>
      </c>
      <c r="Q188" s="11">
        <f>VLOOKUP($G188, 'ADP Data'!$C$4:$Q$300, 4, FALSE)</f>
        <v>224</v>
      </c>
      <c r="R188" s="11">
        <f>VLOOKUP($G188, 'ADP Data'!$C$4:$Q$300, 5, FALSE)</f>
        <v>231</v>
      </c>
      <c r="S188" s="11">
        <f>VLOOKUP($G188, 'ADP Data'!$C$4:$Q$300, 6, FALSE)</f>
        <v>159</v>
      </c>
      <c r="T188" s="11">
        <f>VLOOKUP($G188, 'ADP Data'!$C$4:$Q$300, 7, FALSE)</f>
        <v>145</v>
      </c>
      <c r="U188" s="11">
        <f>VLOOKUP($G188, 'ADP Data'!$C$4:$Q$300, 8, FALSE)</f>
        <v>263</v>
      </c>
      <c r="V188" s="11">
        <f t="shared" si="7"/>
        <v>202</v>
      </c>
      <c r="W188" s="11">
        <f t="shared" si="8"/>
        <v>26</v>
      </c>
      <c r="X188" s="11">
        <f t="shared" si="9"/>
        <v>-26</v>
      </c>
      <c r="Y188" s="11">
        <f>VLOOKUP($G188, SeanRanks!$A$2:$K$303, 10, FALSE)-V188</f>
        <v>-46</v>
      </c>
      <c r="Z188" s="25">
        <f>IF(VLOOKUP($G188, SeanRanks!$A$2:$H$303, 7, FALSE)=0, "", VLOOKUP($G188, SeanRanks!$A$2:$H$303, 7, FALSE))</f>
        <v>59</v>
      </c>
    </row>
    <row r="189" spans="1:26" ht="14.25" hidden="1" customHeight="1" x14ac:dyDescent="0.25">
      <c r="A189" s="11"/>
      <c r="B189" s="11">
        <f t="shared" si="3"/>
        <v>14</v>
      </c>
      <c r="C189" s="11" t="s">
        <v>148</v>
      </c>
      <c r="D189" s="11"/>
      <c r="E189" s="11"/>
      <c r="F189" s="11">
        <f>VLOOKUP(G189, SeanRanks!$A$2:$E$302, 4, FALSE)</f>
        <v>0</v>
      </c>
      <c r="G189" s="11" t="s">
        <v>636</v>
      </c>
      <c r="H189" s="11" t="str">
        <f>VLOOKUP($G189, 'ADP Data'!$C$4:$Q$300, 2, FALSE)</f>
        <v>KC</v>
      </c>
      <c r="I189" s="11" t="str">
        <f>VLOOKUP(G189, 'ADP Data'!$C$4:$R$498, 12, FALSE)</f>
        <v>-</v>
      </c>
      <c r="J189" s="11">
        <f>VLOOKUP($G189, SeanRanks!$A$2:$H$303, 5, FALSE)</f>
        <v>0</v>
      </c>
      <c r="K189" s="11" t="str">
        <f>IF(VLOOKUP($G189, SeanRanks!$A$2:$H$303, 6, FALSE)=0, "", VLOOKUP($G189, SeanRanks!$A$2:$H$303, 6, FALSE))</f>
        <v/>
      </c>
      <c r="L189" s="11">
        <f t="shared" si="4"/>
        <v>21</v>
      </c>
      <c r="M189" s="11">
        <f>VLOOKUP($G189, 'ADP Data'!$C$4:$Q$300, 9, FALSE)</f>
        <v>161</v>
      </c>
      <c r="N189" s="11">
        <f t="shared" si="5"/>
        <v>-12</v>
      </c>
      <c r="O189" s="11">
        <f>VLOOKUP($G189, 'ADP Data'!$C$4:$Q$300, 3, FALSE)</f>
        <v>185</v>
      </c>
      <c r="P189" s="11">
        <f t="shared" si="6"/>
        <v>-24</v>
      </c>
      <c r="Q189" s="11"/>
      <c r="R189" s="11"/>
      <c r="S189" s="11"/>
      <c r="T189" s="11"/>
      <c r="U189" s="11"/>
      <c r="V189" s="11">
        <f t="shared" si="7"/>
        <v>173</v>
      </c>
      <c r="W189" s="11">
        <f t="shared" si="8"/>
        <v>22</v>
      </c>
      <c r="X189" s="11">
        <f t="shared" si="9"/>
        <v>-22</v>
      </c>
      <c r="Y189" s="11">
        <f>VLOOKUP($G189, SeanRanks!$A$2:$K$303, 10, FALSE)-V189</f>
        <v>53</v>
      </c>
      <c r="Z189" s="25" t="str">
        <f>IF(VLOOKUP($G189, SeanRanks!$A$2:$H$303, 7, FALSE)=0, "", VLOOKUP($G189, SeanRanks!$A$2:$H$303, 7, FALSE))</f>
        <v/>
      </c>
    </row>
    <row r="190" spans="1:26" ht="14.25" hidden="1" customHeight="1" x14ac:dyDescent="0.25">
      <c r="A190" s="11"/>
      <c r="B190" s="11">
        <f t="shared" si="3"/>
        <v>24</v>
      </c>
      <c r="C190" s="11" t="s">
        <v>148</v>
      </c>
      <c r="D190" s="11"/>
      <c r="E190" s="11"/>
      <c r="F190" s="11" t="e">
        <f>VLOOKUP(G190, SeanRanks!$A$2:$E$302, 4, FALSE)</f>
        <v>#N/A</v>
      </c>
      <c r="G190" s="11" t="s">
        <v>929</v>
      </c>
      <c r="H190" s="11" t="str">
        <f>VLOOKUP($G190, 'ADP Data'!$C$4:$Q$300, 2, FALSE)</f>
        <v>MIA</v>
      </c>
      <c r="I190" s="11" t="str">
        <f>VLOOKUP(G190, 'ADP Data'!$C$4:$R$498, 12, FALSE)</f>
        <v>-</v>
      </c>
      <c r="J190" s="11" t="e">
        <f>VLOOKUP($G190, SeanRanks!$A$2:$H$303, 5, FALSE)</f>
        <v>#N/A</v>
      </c>
      <c r="K190" s="11" t="e">
        <f>IF(VLOOKUP($G190, SeanRanks!$A$2:$H$303, 6, FALSE)=0, "", VLOOKUP($G190, SeanRanks!$A$2:$H$303, 6, FALSE))</f>
        <v>#N/A</v>
      </c>
      <c r="L190" s="11">
        <f t="shared" si="4"/>
        <v>31</v>
      </c>
      <c r="M190" s="11">
        <f>VLOOKUP($G190, 'ADP Data'!$C$4:$Q$300, 9, FALSE)</f>
        <v>245</v>
      </c>
      <c r="N190" s="11">
        <f t="shared" si="5"/>
        <v>-31</v>
      </c>
      <c r="O190" s="11" t="str">
        <f>VLOOKUP($G190, 'ADP Data'!$C$4:$Q$300, 3, FALSE)</f>
        <v>-</v>
      </c>
      <c r="P190" s="11" t="e">
        <f t="shared" si="6"/>
        <v>#VALUE!</v>
      </c>
      <c r="Q190" s="11">
        <f>VLOOKUP($G190, 'ADP Data'!$C$4:$Q$300, 4, FALSE)</f>
        <v>248</v>
      </c>
      <c r="R190" s="11">
        <f>VLOOKUP($G190, 'ADP Data'!$C$4:$Q$300, 5, FALSE)</f>
        <v>343</v>
      </c>
      <c r="S190" s="11">
        <f>VLOOKUP($G190, 'ADP Data'!$C$4:$Q$300, 6, FALSE)</f>
        <v>333</v>
      </c>
      <c r="T190" s="11">
        <f>VLOOKUP($G190, 'ADP Data'!$C$4:$Q$300, 7, FALSE)</f>
        <v>273</v>
      </c>
      <c r="U190" s="11">
        <f>VLOOKUP($G190, 'ADP Data'!$C$4:$Q$300, 8, FALSE)</f>
        <v>217</v>
      </c>
      <c r="V190" s="11">
        <f t="shared" si="7"/>
        <v>276</v>
      </c>
      <c r="W190" s="11">
        <f t="shared" si="8"/>
        <v>35</v>
      </c>
      <c r="X190" s="11">
        <f t="shared" si="9"/>
        <v>-35</v>
      </c>
      <c r="Y190" s="11" t="e">
        <f>VLOOKUP($G190, SeanRanks!$A$2:$K$303, 10, FALSE)-V190</f>
        <v>#N/A</v>
      </c>
      <c r="Z190" s="25" t="e">
        <f>IF(VLOOKUP($G190, SeanRanks!$A$2:$H$303, 7, FALSE)=0, "", VLOOKUP($G190, SeanRanks!$A$2:$H$303, 7, FALSE))</f>
        <v>#N/A</v>
      </c>
    </row>
    <row r="191" spans="1:26" ht="14.25" hidden="1" customHeight="1" x14ac:dyDescent="0.25">
      <c r="A191" s="11"/>
      <c r="B191" s="11">
        <f t="shared" si="3"/>
        <v>13</v>
      </c>
      <c r="C191" s="11" t="s">
        <v>148</v>
      </c>
      <c r="D191" s="11"/>
      <c r="E191" s="11"/>
      <c r="F191" s="11">
        <f>VLOOKUP(G191, SeanRanks!$A$2:$E$302, 4, FALSE)</f>
        <v>0</v>
      </c>
      <c r="G191" s="11" t="s">
        <v>487</v>
      </c>
      <c r="H191" s="11" t="str">
        <f>VLOOKUP($G191, 'ADP Data'!$C$4:$Q$300, 2, FALSE)</f>
        <v>PHI</v>
      </c>
      <c r="I191" s="11" t="str">
        <f>VLOOKUP(G191, 'ADP Data'!$C$4:$R$498, 12, FALSE)</f>
        <v>-</v>
      </c>
      <c r="J191" s="11">
        <f>VLOOKUP($G191, SeanRanks!$A$2:$H$303, 5, FALSE)</f>
        <v>0</v>
      </c>
      <c r="K191" s="11" t="str">
        <f>IF(VLOOKUP($G191, SeanRanks!$A$2:$H$303, 6, FALSE)=0, "", VLOOKUP($G191, SeanRanks!$A$2:$H$303, 6, FALSE))</f>
        <v/>
      </c>
      <c r="L191" s="11">
        <f t="shared" si="4"/>
        <v>19</v>
      </c>
      <c r="M191" s="11">
        <f>VLOOKUP($G191, 'ADP Data'!$C$4:$Q$300, 9, FALSE)</f>
        <v>144</v>
      </c>
      <c r="N191" s="11">
        <f t="shared" si="5"/>
        <v>3</v>
      </c>
      <c r="O191" s="11">
        <f>VLOOKUP($G191, 'ADP Data'!$C$4:$Q$300, 3, FALSE)</f>
        <v>87</v>
      </c>
      <c r="P191" s="11">
        <f t="shared" si="6"/>
        <v>57</v>
      </c>
      <c r="Q191" s="11">
        <f>VLOOKUP($G191, 'ADP Data'!$C$4:$Q$300, 4, FALSE)</f>
        <v>130</v>
      </c>
      <c r="R191" s="11">
        <f>VLOOKUP($G191, 'ADP Data'!$C$4:$Q$300, 5, FALSE)</f>
        <v>164</v>
      </c>
      <c r="S191" s="11">
        <f>VLOOKUP($G191, 'ADP Data'!$C$4:$Q$300, 6, FALSE)</f>
        <v>214</v>
      </c>
      <c r="T191" s="11">
        <f>VLOOKUP($G191, 'ADP Data'!$C$4:$Q$300, 7, FALSE)</f>
        <v>160</v>
      </c>
      <c r="U191" s="11">
        <f>VLOOKUP($G191, 'ADP Data'!$C$4:$Q$300, 8, FALSE)</f>
        <v>93</v>
      </c>
      <c r="V191" s="11">
        <f t="shared" si="7"/>
        <v>141</v>
      </c>
      <c r="W191" s="11">
        <f t="shared" si="8"/>
        <v>18</v>
      </c>
      <c r="X191" s="11">
        <f t="shared" si="9"/>
        <v>-18</v>
      </c>
      <c r="Y191" s="11">
        <f>VLOOKUP($G191, SeanRanks!$A$2:$K$303, 10, FALSE)-V191</f>
        <v>24</v>
      </c>
      <c r="Z191" s="25" t="str">
        <f>IF(VLOOKUP($G191, SeanRanks!$A$2:$H$303, 7, FALSE)=0, "", VLOOKUP($G191, SeanRanks!$A$2:$H$303, 7, FALSE))</f>
        <v/>
      </c>
    </row>
    <row r="192" spans="1:26" ht="14.25" customHeight="1" x14ac:dyDescent="0.25">
      <c r="A192" s="11"/>
      <c r="B192" s="11">
        <f t="shared" si="3"/>
        <v>15</v>
      </c>
      <c r="C192" s="11" t="s">
        <v>148</v>
      </c>
      <c r="D192" s="11"/>
      <c r="E192" s="11"/>
      <c r="F192" s="11">
        <f>VLOOKUP(G192, SeanRanks!$A$2:$E$302, 4, FALSE)</f>
        <v>0</v>
      </c>
      <c r="G192" s="11" t="s">
        <v>506</v>
      </c>
      <c r="H192" s="11" t="str">
        <f>VLOOKUP($G192, 'ADP Data'!$C$4:$Q$300, 2, FALSE)</f>
        <v>BUF</v>
      </c>
      <c r="I192" s="11">
        <f>VLOOKUP(G192, 'ADP Data'!$C$4:$R$498, 12, FALSE)</f>
        <v>150</v>
      </c>
      <c r="J192" s="11">
        <f>VLOOKUP($G192, SeanRanks!$A$2:$H$303, 5, FALSE)</f>
        <v>0</v>
      </c>
      <c r="K192" s="11" t="str">
        <f>IF(VLOOKUP($G192, SeanRanks!$A$2:$H$303, 6, FALSE)=0, "", VLOOKUP($G192, SeanRanks!$A$2:$H$303, 6, FALSE))</f>
        <v>Handcuff only</v>
      </c>
      <c r="L192" s="11">
        <f t="shared" si="4"/>
        <v>19</v>
      </c>
      <c r="M192" s="11">
        <f>VLOOKUP($G192, 'ADP Data'!$C$4:$Q$300, 9, FALSE)</f>
        <v>149</v>
      </c>
      <c r="N192" s="11">
        <f t="shared" si="5"/>
        <v>-18</v>
      </c>
      <c r="O192" s="11">
        <f>VLOOKUP($G192, 'ADP Data'!$C$4:$Q$300, 3, FALSE)</f>
        <v>164</v>
      </c>
      <c r="P192" s="11">
        <f t="shared" si="6"/>
        <v>-15</v>
      </c>
      <c r="Q192" s="11">
        <f>VLOOKUP($G192, 'ADP Data'!$C$4:$Q$300, 4, FALSE)</f>
        <v>190</v>
      </c>
      <c r="R192" s="11">
        <f>VLOOKUP($G192, 'ADP Data'!$C$4:$Q$300, 5, FALSE)</f>
        <v>171</v>
      </c>
      <c r="S192" s="11">
        <f>VLOOKUP($G192, 'ADP Data'!$C$4:$Q$300, 6, FALSE)</f>
        <v>143</v>
      </c>
      <c r="T192" s="11">
        <f>VLOOKUP($G192, 'ADP Data'!$C$4:$Q$300, 7, FALSE)</f>
        <v>141</v>
      </c>
      <c r="U192" s="11">
        <f>VLOOKUP($G192, 'ADP Data'!$C$4:$Q$300, 8, FALSE)</f>
        <v>215</v>
      </c>
      <c r="V192" s="11">
        <f t="shared" si="7"/>
        <v>167</v>
      </c>
      <c r="W192" s="11">
        <f t="shared" si="8"/>
        <v>21</v>
      </c>
      <c r="X192" s="11">
        <f t="shared" si="9"/>
        <v>-21</v>
      </c>
      <c r="Y192" s="11">
        <f>VLOOKUP($G192, SeanRanks!$A$2:$K$303, 10, FALSE)-V192</f>
        <v>-29</v>
      </c>
      <c r="Z192" s="25">
        <f>IF(VLOOKUP($G192, SeanRanks!$A$2:$H$303, 7, FALSE)=0, "", VLOOKUP($G192, SeanRanks!$A$2:$H$303, 7, FALSE))</f>
        <v>57</v>
      </c>
    </row>
    <row r="193" spans="1:26" ht="14.25" hidden="1" customHeight="1" x14ac:dyDescent="0.25">
      <c r="A193" s="11"/>
      <c r="B193" s="11">
        <f t="shared" si="3"/>
        <v>14</v>
      </c>
      <c r="C193" s="11" t="s">
        <v>148</v>
      </c>
      <c r="D193" s="11"/>
      <c r="E193" s="11"/>
      <c r="F193" s="11">
        <f>VLOOKUP(G193, SeanRanks!$A$2:$E$302, 4, FALSE)</f>
        <v>0</v>
      </c>
      <c r="G193" s="11" t="s">
        <v>462</v>
      </c>
      <c r="H193" s="11" t="str">
        <f>VLOOKUP($G193, 'ADP Data'!$C$4:$Q$300, 2, FALSE)</f>
        <v>HOU</v>
      </c>
      <c r="I193" s="11" t="str">
        <f>VLOOKUP(G193, 'ADP Data'!$C$4:$R$498, 12, FALSE)</f>
        <v>-</v>
      </c>
      <c r="J193" s="11">
        <f>VLOOKUP($G193, SeanRanks!$A$2:$H$303, 5, FALSE)</f>
        <v>0</v>
      </c>
      <c r="K193" s="11" t="str">
        <f>IF(VLOOKUP($G193, SeanRanks!$A$2:$H$303, 6, FALSE)=0, "", VLOOKUP($G193, SeanRanks!$A$2:$H$303, 6, FALSE))</f>
        <v/>
      </c>
      <c r="L193" s="11">
        <f t="shared" si="4"/>
        <v>24</v>
      </c>
      <c r="M193" s="11">
        <f>VLOOKUP($G193, 'ADP Data'!$C$4:$Q$300, 9, FALSE)</f>
        <v>188</v>
      </c>
      <c r="N193" s="11">
        <f t="shared" si="5"/>
        <v>23</v>
      </c>
      <c r="O193" s="11">
        <f>VLOOKUP($G193, 'ADP Data'!$C$4:$Q$300, 3, FALSE)</f>
        <v>145</v>
      </c>
      <c r="P193" s="11">
        <f t="shared" si="6"/>
        <v>43</v>
      </c>
      <c r="Q193" s="11">
        <f>VLOOKUP($G193, 'ADP Data'!$C$4:$Q$300, 4, FALSE)</f>
        <v>100</v>
      </c>
      <c r="R193" s="11">
        <f>VLOOKUP($G193, 'ADP Data'!$C$4:$Q$300, 5, FALSE)</f>
        <v>190</v>
      </c>
      <c r="S193" s="11">
        <f>VLOOKUP($G193, 'ADP Data'!$C$4:$Q$300, 6, FALSE)</f>
        <v>216</v>
      </c>
      <c r="T193" s="11">
        <f>VLOOKUP($G193, 'ADP Data'!$C$4:$Q$300, 7, FALSE)</f>
        <v>176</v>
      </c>
      <c r="U193" s="11">
        <f>VLOOKUP($G193, 'ADP Data'!$C$4:$Q$300, 8, FALSE)</f>
        <v>145</v>
      </c>
      <c r="V193" s="11">
        <f t="shared" si="7"/>
        <v>165</v>
      </c>
      <c r="W193" s="11">
        <f t="shared" si="8"/>
        <v>21</v>
      </c>
      <c r="X193" s="11">
        <f t="shared" si="9"/>
        <v>-21</v>
      </c>
      <c r="Y193" s="11">
        <f>VLOOKUP($G193, SeanRanks!$A$2:$K$303, 10, FALSE)-V193</f>
        <v>23</v>
      </c>
      <c r="Z193" s="25" t="str">
        <f>IF(VLOOKUP($G193, SeanRanks!$A$2:$H$303, 7, FALSE)=0, "", VLOOKUP($G193, SeanRanks!$A$2:$H$303, 7, FALSE))</f>
        <v/>
      </c>
    </row>
    <row r="194" spans="1:26" ht="14.25" customHeight="1" x14ac:dyDescent="0.25">
      <c r="A194" s="11"/>
      <c r="B194" s="11">
        <f t="shared" si="3"/>
        <v>9</v>
      </c>
      <c r="C194" s="11" t="s">
        <v>148</v>
      </c>
      <c r="D194" s="11"/>
      <c r="E194" s="11"/>
      <c r="F194" s="11">
        <f>VLOOKUP(G194, SeanRanks!$A$2:$E$302, 4, FALSE)</f>
        <v>0</v>
      </c>
      <c r="G194" s="11" t="s">
        <v>292</v>
      </c>
      <c r="H194" s="11" t="str">
        <f>VLOOKUP($G194, 'ADP Data'!$C$4:$Q$300, 2, FALSE)</f>
        <v>MIN</v>
      </c>
      <c r="I194" s="11">
        <f>VLOOKUP(G194, 'ADP Data'!$C$4:$R$498, 12, FALSE)</f>
        <v>83</v>
      </c>
      <c r="J194" s="11" t="str">
        <f>VLOOKUP($G194, SeanRanks!$A$2:$H$303, 5, FALSE)</f>
        <v>Yes</v>
      </c>
      <c r="K194" s="11" t="str">
        <f>IF(VLOOKUP($G194, SeanRanks!$A$2:$H$303, 6, FALSE)=0, "", VLOOKUP($G194, SeanRanks!$A$2:$H$303, 6, FALSE))</f>
        <v>RB3 - 1 - Upside</v>
      </c>
      <c r="L194" s="11">
        <f t="shared" si="4"/>
        <v>13</v>
      </c>
      <c r="M194" s="11">
        <f>VLOOKUP($G194, 'ADP Data'!$C$4:$Q$300, 9, FALSE)</f>
        <v>103</v>
      </c>
      <c r="N194" s="11">
        <f t="shared" si="5"/>
        <v>-1</v>
      </c>
      <c r="O194" s="11">
        <f>VLOOKUP($G194, 'ADP Data'!$C$4:$Q$300, 3, FALSE)</f>
        <v>98</v>
      </c>
      <c r="P194" s="11">
        <f t="shared" si="6"/>
        <v>5</v>
      </c>
      <c r="Q194" s="11">
        <f>VLOOKUP($G194, 'ADP Data'!$C$4:$Q$300, 4, FALSE)</f>
        <v>122</v>
      </c>
      <c r="R194" s="11">
        <f>VLOOKUP($G194, 'ADP Data'!$C$4:$Q$300, 5, FALSE)</f>
        <v>107</v>
      </c>
      <c r="S194" s="11">
        <f>VLOOKUP($G194, 'ADP Data'!$C$4:$Q$300, 6, FALSE)</f>
        <v>88</v>
      </c>
      <c r="T194" s="11">
        <f>VLOOKUP($G194, 'ADP Data'!$C$4:$Q$300, 7, FALSE)</f>
        <v>89</v>
      </c>
      <c r="U194" s="11">
        <f>VLOOKUP($G194, 'ADP Data'!$C$4:$Q$300, 8, FALSE)</f>
        <v>122</v>
      </c>
      <c r="V194" s="11">
        <f t="shared" si="7"/>
        <v>104</v>
      </c>
      <c r="W194" s="11">
        <f t="shared" si="8"/>
        <v>14</v>
      </c>
      <c r="X194" s="11">
        <f t="shared" si="9"/>
        <v>-14</v>
      </c>
      <c r="Y194" s="11">
        <f>VLOOKUP($G194, SeanRanks!$A$2:$K$303, 10, FALSE)-V194</f>
        <v>-33</v>
      </c>
      <c r="Z194" s="25">
        <f>IF(VLOOKUP($G194, SeanRanks!$A$2:$H$303, 7, FALSE)=0, "", VLOOKUP($G194, SeanRanks!$A$2:$H$303, 7, FALSE))</f>
        <v>28</v>
      </c>
    </row>
    <row r="195" spans="1:26" ht="14.25" hidden="1" customHeight="1" x14ac:dyDescent="0.25">
      <c r="A195" s="11"/>
      <c r="B195" s="11">
        <f t="shared" si="3"/>
        <v>19</v>
      </c>
      <c r="C195" s="11" t="s">
        <v>148</v>
      </c>
      <c r="D195" s="11"/>
      <c r="E195" s="11"/>
      <c r="F195" s="11" t="e">
        <f>VLOOKUP(G195, SeanRanks!$A$2:$E$302, 4, FALSE)</f>
        <v>#N/A</v>
      </c>
      <c r="G195" s="11" t="s">
        <v>931</v>
      </c>
      <c r="H195" s="11" t="str">
        <f>VLOOKUP($G195, 'ADP Data'!$C$4:$Q$300, 2, FALSE)</f>
        <v>CIN</v>
      </c>
      <c r="I195" s="11" t="str">
        <f>VLOOKUP(G195, 'ADP Data'!$C$4:$R$498, 12, FALSE)</f>
        <v>-</v>
      </c>
      <c r="J195" s="11" t="e">
        <f>VLOOKUP($G195, SeanRanks!$A$2:$H$303, 5, FALSE)</f>
        <v>#N/A</v>
      </c>
      <c r="K195" s="11" t="e">
        <f>IF(VLOOKUP($G195, SeanRanks!$A$2:$H$303, 6, FALSE)=0, "", VLOOKUP($G195, SeanRanks!$A$2:$H$303, 6, FALSE))</f>
        <v>#N/A</v>
      </c>
      <c r="L195" s="11">
        <f t="shared" si="4"/>
        <v>16</v>
      </c>
      <c r="M195" s="11" t="str">
        <f>VLOOKUP($G195, 'ADP Data'!$C$4:$Q$300, 9, FALSE)</f>
        <v>-</v>
      </c>
      <c r="N195" s="11" t="e">
        <f t="shared" si="5"/>
        <v>#VALUE!</v>
      </c>
      <c r="O195" s="11" t="str">
        <f>VLOOKUP($G195, 'ADP Data'!$C$4:$Q$300, 3, FALSE)</f>
        <v>-</v>
      </c>
      <c r="P195" s="11" t="e">
        <f t="shared" si="6"/>
        <v>#VALUE!</v>
      </c>
      <c r="Q195" s="11">
        <f>VLOOKUP($G195, 'ADP Data'!$C$4:$Q$300, 4, FALSE)</f>
        <v>223</v>
      </c>
      <c r="R195" s="11" t="str">
        <f>VLOOKUP($G195, 'ADP Data'!$C$4:$Q$300, 5, FALSE)</f>
        <v>-</v>
      </c>
      <c r="S195" s="11">
        <f>VLOOKUP($G195, 'ADP Data'!$C$4:$Q$300, 6, FALSE)</f>
        <v>323</v>
      </c>
      <c r="T195" s="11">
        <f>VLOOKUP($G195, 'ADP Data'!$C$4:$Q$300, 7, FALSE)</f>
        <v>267</v>
      </c>
      <c r="U195" s="11">
        <f>VLOOKUP($G195, 'ADP Data'!$C$4:$Q$300, 8, FALSE)</f>
        <v>97</v>
      </c>
      <c r="V195" s="11">
        <f t="shared" si="7"/>
        <v>227</v>
      </c>
      <c r="W195" s="11">
        <f t="shared" si="8"/>
        <v>29</v>
      </c>
      <c r="X195" s="11">
        <f t="shared" si="9"/>
        <v>-29</v>
      </c>
      <c r="Y195" s="11" t="e">
        <f>VLOOKUP($G195, SeanRanks!$A$2:$K$303, 10, FALSE)-V195</f>
        <v>#N/A</v>
      </c>
      <c r="Z195" s="25" t="e">
        <f>IF(VLOOKUP($G195, SeanRanks!$A$2:$H$303, 7, FALSE)=0, "", VLOOKUP($G195, SeanRanks!$A$2:$H$303, 7, FALSE))</f>
        <v>#N/A</v>
      </c>
    </row>
    <row r="196" spans="1:26" ht="14.25" hidden="1" customHeight="1" x14ac:dyDescent="0.25">
      <c r="A196" s="11"/>
      <c r="B196" s="11">
        <f t="shared" si="3"/>
        <v>8</v>
      </c>
      <c r="C196" s="11" t="s">
        <v>148</v>
      </c>
      <c r="D196" s="11"/>
      <c r="E196" s="11"/>
      <c r="F196" s="11">
        <f>VLOOKUP(G196, SeanRanks!$A$2:$E$302, 4, FALSE)</f>
        <v>0</v>
      </c>
      <c r="G196" s="11" t="s">
        <v>778</v>
      </c>
      <c r="H196" s="11" t="str">
        <f>VLOOKUP($G196, 'ADP Data'!$C$4:$Q$300, 2, FALSE)</f>
        <v>SF</v>
      </c>
      <c r="I196" s="11">
        <f>VLOOKUP(G196, 'ADP Data'!$C$4:$R$498, 12, FALSE)</f>
        <v>55</v>
      </c>
      <c r="J196" s="11">
        <f>VLOOKUP($G196, SeanRanks!$A$2:$H$303, 5, FALSE)</f>
        <v>0</v>
      </c>
      <c r="K196" s="11" t="str">
        <f>IF(VLOOKUP($G196, SeanRanks!$A$2:$H$303, 6, FALSE)=0, "", VLOOKUP($G196, SeanRanks!$A$2:$H$303, 6, FALSE))</f>
        <v>WR3 - 2 - mid, but path to big upside</v>
      </c>
      <c r="L196" s="11">
        <f t="shared" si="4"/>
        <v>12</v>
      </c>
      <c r="M196" s="11">
        <f>VLOOKUP($G196, 'ADP Data'!$C$4:$Q$300, 9, FALSE)</f>
        <v>94</v>
      </c>
      <c r="N196" s="11">
        <f t="shared" si="5"/>
        <v>8</v>
      </c>
      <c r="O196" s="11">
        <f>VLOOKUP($G196, 'ADP Data'!$C$4:$Q$300, 3, FALSE)</f>
        <v>72</v>
      </c>
      <c r="P196" s="11">
        <f t="shared" si="6"/>
        <v>22</v>
      </c>
      <c r="Q196" s="11">
        <f>VLOOKUP($G196, 'ADP Data'!$C$4:$Q$300, 4, FALSE)</f>
        <v>93</v>
      </c>
      <c r="R196" s="11">
        <f>VLOOKUP($G196, 'ADP Data'!$C$4:$Q$300, 5, FALSE)</f>
        <v>106</v>
      </c>
      <c r="S196" s="11">
        <f>VLOOKUP($G196, 'ADP Data'!$C$4:$Q$300, 6, FALSE)</f>
        <v>67</v>
      </c>
      <c r="T196" s="11">
        <f>VLOOKUP($G196, 'ADP Data'!$C$4:$Q$300, 7, FALSE)</f>
        <v>65</v>
      </c>
      <c r="U196" s="11">
        <f>VLOOKUP($G196, 'ADP Data'!$C$4:$Q$300, 8, FALSE)</f>
        <v>110</v>
      </c>
      <c r="V196" s="11">
        <f t="shared" si="7"/>
        <v>86</v>
      </c>
      <c r="W196" s="11">
        <f t="shared" si="8"/>
        <v>11</v>
      </c>
      <c r="X196" s="11">
        <f t="shared" si="9"/>
        <v>-11</v>
      </c>
      <c r="Y196" s="11">
        <f>VLOOKUP($G196, SeanRanks!$A$2:$K$303, 10, FALSE)-V196</f>
        <v>-17</v>
      </c>
      <c r="Z196" s="25">
        <f>IF(VLOOKUP($G196, SeanRanks!$A$2:$H$303, 7, FALSE)=0, "", VLOOKUP($G196, SeanRanks!$A$2:$H$303, 7, FALSE))</f>
        <v>32</v>
      </c>
    </row>
    <row r="197" spans="1:26" ht="14.25" hidden="1" customHeight="1" x14ac:dyDescent="0.25">
      <c r="A197" s="11"/>
      <c r="B197" s="11">
        <f t="shared" si="3"/>
        <v>17</v>
      </c>
      <c r="C197" s="11" t="s">
        <v>148</v>
      </c>
      <c r="D197" s="11"/>
      <c r="E197" s="11"/>
      <c r="F197" s="11">
        <f>VLOOKUP(G197, SeanRanks!$A$2:$E$302, 4, FALSE)</f>
        <v>0</v>
      </c>
      <c r="G197" s="11" t="s">
        <v>433</v>
      </c>
      <c r="H197" s="11" t="str">
        <f>VLOOKUP($G197, 'ADP Data'!$C$4:$Q$300, 2, FALSE)</f>
        <v>TEN</v>
      </c>
      <c r="I197" s="11">
        <f>VLOOKUP(G197, 'ADP Data'!$C$4:$R$498, 12, FALSE)</f>
        <v>165</v>
      </c>
      <c r="J197" s="11">
        <f>VLOOKUP($G197, SeanRanks!$A$2:$H$303, 5, FALSE)</f>
        <v>0</v>
      </c>
      <c r="K197" s="11" t="str">
        <f>IF(VLOOKUP($G197, SeanRanks!$A$2:$H$303, 6, FALSE)=0, "", VLOOKUP($G197, SeanRanks!$A$2:$H$303, 6, FALSE))</f>
        <v/>
      </c>
      <c r="L197" s="11">
        <f t="shared" si="4"/>
        <v>27</v>
      </c>
      <c r="M197" s="11">
        <f>VLOOKUP($G197, 'ADP Data'!$C$4:$Q$300, 9, FALSE)</f>
        <v>208</v>
      </c>
      <c r="N197" s="11">
        <f t="shared" si="5"/>
        <v>6</v>
      </c>
      <c r="O197" s="11" t="str">
        <f>VLOOKUP($G197, 'ADP Data'!$C$4:$Q$300, 3, FALSE)</f>
        <v>-</v>
      </c>
      <c r="P197" s="11" t="e">
        <f t="shared" si="6"/>
        <v>#VALUE!</v>
      </c>
      <c r="Q197" s="11" t="str">
        <f>VLOOKUP($G197, 'ADP Data'!$C$4:$Q$300, 4, FALSE)</f>
        <v>-</v>
      </c>
      <c r="R197" s="11">
        <f>VLOOKUP($G197, 'ADP Data'!$C$4:$Q$300, 5, FALSE)</f>
        <v>249</v>
      </c>
      <c r="S197" s="11">
        <f>VLOOKUP($G197, 'ADP Data'!$C$4:$Q$300, 6, FALSE)</f>
        <v>150</v>
      </c>
      <c r="T197" s="11">
        <f>VLOOKUP($G197, 'ADP Data'!$C$4:$Q$300, 7, FALSE)</f>
        <v>187</v>
      </c>
      <c r="U197" s="11">
        <f>VLOOKUP($G197, 'ADP Data'!$C$4:$Q$300, 8, FALSE)</f>
        <v>218</v>
      </c>
      <c r="V197" s="11">
        <f t="shared" si="7"/>
        <v>202</v>
      </c>
      <c r="W197" s="11">
        <f t="shared" si="8"/>
        <v>26</v>
      </c>
      <c r="X197" s="11">
        <f t="shared" si="9"/>
        <v>-26</v>
      </c>
      <c r="Y197" s="11">
        <f>VLOOKUP($G197, SeanRanks!$A$2:$K$303, 10, FALSE)-V197</f>
        <v>-58</v>
      </c>
      <c r="Z197" s="25" t="str">
        <f>IF(VLOOKUP($G197, SeanRanks!$A$2:$H$303, 7, FALSE)=0, "", VLOOKUP($G197, SeanRanks!$A$2:$H$303, 7, FALSE))</f>
        <v/>
      </c>
    </row>
    <row r="198" spans="1:26" ht="14.25" hidden="1" customHeight="1" x14ac:dyDescent="0.25">
      <c r="A198" s="11"/>
      <c r="B198" s="11" t="e">
        <f t="shared" si="3"/>
        <v>#N/A</v>
      </c>
      <c r="C198" s="11" t="s">
        <v>148</v>
      </c>
      <c r="D198" s="11"/>
      <c r="E198" s="11"/>
      <c r="F198" s="11">
        <f>VLOOKUP(G198, SeanRanks!$A$2:$E$302, 4, FALSE)</f>
        <v>0</v>
      </c>
      <c r="G198" s="11" t="s">
        <v>932</v>
      </c>
      <c r="H198" s="11" t="e">
        <f>VLOOKUP($G198, 'ADP Data'!$C$4:$Q$300, 2, FALSE)</f>
        <v>#N/A</v>
      </c>
      <c r="I198" s="11" t="e">
        <f>VLOOKUP(G198, 'ADP Data'!$C$4:$R$498, 12, FALSE)</f>
        <v>#N/A</v>
      </c>
      <c r="J198" s="11">
        <f>VLOOKUP($G198, SeanRanks!$A$2:$H$303, 5, FALSE)</f>
        <v>0</v>
      </c>
      <c r="K198" s="11" t="str">
        <f>IF(VLOOKUP($G198, SeanRanks!$A$2:$H$303, 6, FALSE)=0, "", VLOOKUP($G198, SeanRanks!$A$2:$H$303, 6, FALSE))</f>
        <v/>
      </c>
      <c r="L198" s="11">
        <f t="shared" si="4"/>
        <v>16</v>
      </c>
      <c r="M198" s="11" t="e">
        <f>VLOOKUP($G198, 'ADP Data'!$C$4:$Q$300, 9, FALSE)</f>
        <v>#N/A</v>
      </c>
      <c r="N198" s="11" t="e">
        <f t="shared" si="5"/>
        <v>#N/A</v>
      </c>
      <c r="O198" s="11" t="e">
        <f>VLOOKUP($G198, 'ADP Data'!$C$4:$Q$300, 3, FALSE)</f>
        <v>#N/A</v>
      </c>
      <c r="P198" s="11" t="e">
        <f t="shared" si="6"/>
        <v>#N/A</v>
      </c>
      <c r="Q198" s="11" t="e">
        <f>VLOOKUP($G198, 'ADP Data'!$C$4:$Q$300, 4, FALSE)</f>
        <v>#N/A</v>
      </c>
      <c r="R198" s="11" t="e">
        <f>VLOOKUP($G198, 'ADP Data'!$C$4:$Q$300, 5, FALSE)</f>
        <v>#N/A</v>
      </c>
      <c r="S198" s="11" t="e">
        <f>VLOOKUP($G198, 'ADP Data'!$C$4:$Q$300, 6, FALSE)</f>
        <v>#N/A</v>
      </c>
      <c r="T198" s="11" t="e">
        <f>VLOOKUP($G198, 'ADP Data'!$C$4:$Q$300, 7, FALSE)</f>
        <v>#N/A</v>
      </c>
      <c r="U198" s="11" t="e">
        <f>VLOOKUP($G198, 'ADP Data'!$C$4:$Q$300, 8, FALSE)</f>
        <v>#N/A</v>
      </c>
      <c r="V198" s="11" t="e">
        <f t="shared" si="7"/>
        <v>#N/A</v>
      </c>
      <c r="W198" s="11">
        <f t="shared" si="8"/>
        <v>16</v>
      </c>
      <c r="X198" s="11">
        <f t="shared" si="9"/>
        <v>-16</v>
      </c>
      <c r="Y198" s="11" t="e">
        <f>VLOOKUP($G198, SeanRanks!$A$2:$K$303, 10, FALSE)-V198</f>
        <v>#N/A</v>
      </c>
      <c r="Z198" s="25" t="str">
        <f>IF(VLOOKUP($G198, SeanRanks!$A$2:$H$303, 7, FALSE)=0, "", VLOOKUP($G198, SeanRanks!$A$2:$H$303, 7, FALSE))</f>
        <v/>
      </c>
    </row>
    <row r="199" spans="1:26" ht="14.25" hidden="1" customHeight="1" x14ac:dyDescent="0.25">
      <c r="A199" s="11"/>
      <c r="B199" s="11" t="e">
        <f t="shared" si="3"/>
        <v>#N/A</v>
      </c>
      <c r="C199" s="11" t="s">
        <v>148</v>
      </c>
      <c r="D199" s="11"/>
      <c r="E199" s="11"/>
      <c r="F199" s="11" t="e">
        <f>VLOOKUP(G199, SeanRanks!$A$2:$E$302, 4, FALSE)</f>
        <v>#N/A</v>
      </c>
      <c r="G199" s="11" t="s">
        <v>525</v>
      </c>
      <c r="H199" s="11" t="e">
        <f>VLOOKUP($G199, 'ADP Data'!$C$4:$Q$300, 2, FALSE)</f>
        <v>#N/A</v>
      </c>
      <c r="I199" s="11" t="e">
        <f>VLOOKUP(G199, 'ADP Data'!$C$4:$R$498, 12, FALSE)</f>
        <v>#N/A</v>
      </c>
      <c r="J199" s="11" t="e">
        <f>VLOOKUP($G199, SeanRanks!$A$2:$H$303, 5, FALSE)</f>
        <v>#N/A</v>
      </c>
      <c r="K199" s="11" t="e">
        <f>IF(VLOOKUP($G199, SeanRanks!$A$2:$H$303, 6, FALSE)=0, "", VLOOKUP($G199, SeanRanks!$A$2:$H$303, 6, FALSE))</f>
        <v>#N/A</v>
      </c>
      <c r="L199" s="11">
        <f t="shared" si="4"/>
        <v>16</v>
      </c>
      <c r="M199" s="11" t="e">
        <f>VLOOKUP($G199, 'ADP Data'!$C$4:$Q$300, 9, FALSE)</f>
        <v>#N/A</v>
      </c>
      <c r="N199" s="11" t="e">
        <f t="shared" si="5"/>
        <v>#N/A</v>
      </c>
      <c r="O199" s="11" t="e">
        <f>VLOOKUP($G199, 'ADP Data'!$C$4:$Q$300, 3, FALSE)</f>
        <v>#N/A</v>
      </c>
      <c r="P199" s="11" t="e">
        <f t="shared" si="6"/>
        <v>#N/A</v>
      </c>
      <c r="Q199" s="11" t="e">
        <f>VLOOKUP($G199, 'ADP Data'!$C$4:$Q$300, 4, FALSE)</f>
        <v>#N/A</v>
      </c>
      <c r="R199" s="11" t="e">
        <f>VLOOKUP($G199, 'ADP Data'!$C$4:$Q$300, 5, FALSE)</f>
        <v>#N/A</v>
      </c>
      <c r="S199" s="11" t="e">
        <f>VLOOKUP($G199, 'ADP Data'!$C$4:$Q$300, 6, FALSE)</f>
        <v>#N/A</v>
      </c>
      <c r="T199" s="11" t="e">
        <f>VLOOKUP($G199, 'ADP Data'!$C$4:$Q$300, 7, FALSE)</f>
        <v>#N/A</v>
      </c>
      <c r="U199" s="11" t="e">
        <f>VLOOKUP($G199, 'ADP Data'!$C$4:$Q$300, 8, FALSE)</f>
        <v>#N/A</v>
      </c>
      <c r="V199" s="11" t="e">
        <f t="shared" si="7"/>
        <v>#N/A</v>
      </c>
      <c r="W199" s="11">
        <f t="shared" si="8"/>
        <v>16</v>
      </c>
      <c r="X199" s="11">
        <f t="shared" si="9"/>
        <v>-16</v>
      </c>
      <c r="Y199" s="11" t="e">
        <f>VLOOKUP($G199, SeanRanks!$A$2:$K$303, 10, FALSE)-V199</f>
        <v>#N/A</v>
      </c>
      <c r="Z199" s="25" t="e">
        <f>IF(VLOOKUP($G199, SeanRanks!$A$2:$H$303, 7, FALSE)=0, "", VLOOKUP($G199, SeanRanks!$A$2:$H$303, 7, FALSE))</f>
        <v>#N/A</v>
      </c>
    </row>
    <row r="200" spans="1:26" ht="14.25" hidden="1" customHeight="1" x14ac:dyDescent="0.25">
      <c r="A200" s="11"/>
      <c r="B200" s="11">
        <f t="shared" si="3"/>
        <v>13</v>
      </c>
      <c r="C200" s="11" t="s">
        <v>148</v>
      </c>
      <c r="D200" s="11"/>
      <c r="E200" s="11"/>
      <c r="F200" s="11">
        <f>VLOOKUP(G200, SeanRanks!$A$2:$E$302, 4, FALSE)</f>
        <v>0</v>
      </c>
      <c r="G200" s="11" t="s">
        <v>933</v>
      </c>
      <c r="H200" s="11" t="str">
        <f>VLOOKUP($G200, 'ADP Data'!$C$4:$Q$300, 2, FALSE)</f>
        <v>DEN</v>
      </c>
      <c r="I200" s="11">
        <f>VLOOKUP(G200, 'ADP Data'!$C$4:$R$498, 12, FALSE)</f>
        <v>115</v>
      </c>
      <c r="J200" s="11">
        <f>VLOOKUP($G200, SeanRanks!$A$2:$H$303, 5, FALSE)</f>
        <v>0</v>
      </c>
      <c r="K200" s="11" t="str">
        <f>IF(VLOOKUP($G200, SeanRanks!$A$2:$H$303, 6, FALSE)=0, "", VLOOKUP($G200, SeanRanks!$A$2:$H$303, 6, FALSE))</f>
        <v>WR6 - dart throw upside</v>
      </c>
      <c r="L200" s="11">
        <f t="shared" si="4"/>
        <v>18</v>
      </c>
      <c r="M200" s="11">
        <f>VLOOKUP($G200, 'ADP Data'!$C$4:$Q$300, 9, FALSE)</f>
        <v>140</v>
      </c>
      <c r="N200" s="11">
        <f t="shared" si="5"/>
        <v>-7</v>
      </c>
      <c r="O200" s="11">
        <f>VLOOKUP($G200, 'ADP Data'!$C$4:$Q$300, 3, FALSE)</f>
        <v>171</v>
      </c>
      <c r="P200" s="11">
        <f t="shared" si="6"/>
        <v>-31</v>
      </c>
      <c r="Q200" s="11">
        <f>VLOOKUP($G200, 'ADP Data'!$C$4:$Q$300, 4, FALSE)</f>
        <v>167</v>
      </c>
      <c r="R200" s="11">
        <f>VLOOKUP($G200, 'ADP Data'!$C$4:$Q$300, 5, FALSE)</f>
        <v>131</v>
      </c>
      <c r="S200" s="11">
        <f>VLOOKUP($G200, 'ADP Data'!$C$4:$Q$300, 6, FALSE)</f>
        <v>136</v>
      </c>
      <c r="T200" s="11">
        <f>VLOOKUP($G200, 'ADP Data'!$C$4:$Q$300, 7, FALSE)</f>
        <v>113</v>
      </c>
      <c r="U200" s="11">
        <f>VLOOKUP($G200, 'ADP Data'!$C$4:$Q$300, 8, FALSE)</f>
        <v>174</v>
      </c>
      <c r="V200" s="11">
        <f t="shared" si="7"/>
        <v>147</v>
      </c>
      <c r="W200" s="11">
        <f t="shared" si="8"/>
        <v>19</v>
      </c>
      <c r="X200" s="11">
        <f t="shared" si="9"/>
        <v>-19</v>
      </c>
      <c r="Y200" s="11">
        <f>VLOOKUP($G200, SeanRanks!$A$2:$K$303, 10, FALSE)-V200</f>
        <v>7</v>
      </c>
      <c r="Z200" s="25">
        <f>IF(VLOOKUP($G200, SeanRanks!$A$2:$H$303, 7, FALSE)=0, "", VLOOKUP($G200, SeanRanks!$A$2:$H$303, 7, FALSE))</f>
        <v>60</v>
      </c>
    </row>
    <row r="201" spans="1:26" ht="14.25" hidden="1" customHeight="1" x14ac:dyDescent="0.25">
      <c r="A201" s="11"/>
      <c r="B201" s="11" t="e">
        <f t="shared" si="3"/>
        <v>#N/A</v>
      </c>
      <c r="C201" s="11" t="s">
        <v>148</v>
      </c>
      <c r="D201" s="11"/>
      <c r="E201" s="11"/>
      <c r="F201" s="11" t="e">
        <f>VLOOKUP(G201, SeanRanks!$A$2:$E$302, 4, FALSE)</f>
        <v>#N/A</v>
      </c>
      <c r="G201" s="11" t="s">
        <v>934</v>
      </c>
      <c r="H201" s="11" t="e">
        <f>VLOOKUP($G201, 'ADP Data'!$C$4:$Q$300, 2, FALSE)</f>
        <v>#N/A</v>
      </c>
      <c r="I201" s="11" t="e">
        <f>VLOOKUP(G201, 'ADP Data'!$C$4:$R$498, 12, FALSE)</f>
        <v>#N/A</v>
      </c>
      <c r="J201" s="61" t="e">
        <f>VLOOKUP($G201, SeanRanks!$A$2:$H$303, 5, FALSE)</f>
        <v>#N/A</v>
      </c>
      <c r="K201" s="11" t="e">
        <f>IF(VLOOKUP($G201, SeanRanks!$A$2:$H$303, 6, FALSE)=0, "", VLOOKUP($G201, SeanRanks!$A$2:$H$303, 6, FALSE))</f>
        <v>#N/A</v>
      </c>
      <c r="L201" s="11">
        <f t="shared" si="4"/>
        <v>16</v>
      </c>
      <c r="M201" s="11" t="e">
        <f>VLOOKUP($G201, 'ADP Data'!$C$4:$Q$300, 9, FALSE)</f>
        <v>#N/A</v>
      </c>
      <c r="N201" s="11" t="e">
        <f t="shared" si="5"/>
        <v>#N/A</v>
      </c>
      <c r="O201" s="11" t="e">
        <f>VLOOKUP($G201, 'ADP Data'!$C$4:$Q$300, 3, FALSE)</f>
        <v>#N/A</v>
      </c>
      <c r="P201" s="11" t="e">
        <f t="shared" si="6"/>
        <v>#N/A</v>
      </c>
      <c r="Q201" s="11" t="e">
        <f>VLOOKUP($G201, 'ADP Data'!$C$4:$Q$300, 4, FALSE)</f>
        <v>#N/A</v>
      </c>
      <c r="R201" s="11" t="e">
        <f>VLOOKUP($G201, 'ADP Data'!$C$4:$Q$300, 5, FALSE)</f>
        <v>#N/A</v>
      </c>
      <c r="S201" s="11" t="e">
        <f>VLOOKUP($G201, 'ADP Data'!$C$4:$Q$300, 6, FALSE)</f>
        <v>#N/A</v>
      </c>
      <c r="T201" s="11" t="e">
        <f>VLOOKUP($G201, 'ADP Data'!$C$4:$Q$300, 7, FALSE)</f>
        <v>#N/A</v>
      </c>
      <c r="U201" s="11" t="e">
        <f>VLOOKUP($G201, 'ADP Data'!$C$4:$Q$300, 8, FALSE)</f>
        <v>#N/A</v>
      </c>
      <c r="V201" s="11" t="e">
        <f t="shared" si="7"/>
        <v>#N/A</v>
      </c>
      <c r="W201" s="11">
        <f t="shared" si="8"/>
        <v>16</v>
      </c>
      <c r="X201" s="11">
        <f t="shared" si="9"/>
        <v>-16</v>
      </c>
      <c r="Y201" s="11" t="e">
        <f>VLOOKUP($G201, SeanRanks!$A$2:$K$303, 10, FALSE)-V201</f>
        <v>#N/A</v>
      </c>
      <c r="Z201" s="25" t="e">
        <f>IF(VLOOKUP($G201, SeanRanks!$A$2:$H$303, 7, FALSE)=0, "", VLOOKUP($G201, SeanRanks!$A$2:$H$303, 7, FALSE))</f>
        <v>#N/A</v>
      </c>
    </row>
    <row r="202" spans="1:26" ht="14.25" hidden="1" customHeight="1" x14ac:dyDescent="0.25">
      <c r="A202" s="11"/>
      <c r="B202" s="11" t="e">
        <f t="shared" si="3"/>
        <v>#N/A</v>
      </c>
      <c r="C202" s="11" t="s">
        <v>148</v>
      </c>
      <c r="D202" s="11"/>
      <c r="E202" s="11"/>
      <c r="F202" s="11" t="e">
        <f>VLOOKUP(G202, SeanRanks!$A$2:$E$302, 4, FALSE)</f>
        <v>#N/A</v>
      </c>
      <c r="G202" s="11" t="s">
        <v>935</v>
      </c>
      <c r="H202" s="11" t="e">
        <f>VLOOKUP($G202, 'ADP Data'!$C$4:$Q$300, 2, FALSE)</f>
        <v>#N/A</v>
      </c>
      <c r="I202" s="11" t="e">
        <f>VLOOKUP(G202, 'ADP Data'!$C$4:$R$498, 12, FALSE)</f>
        <v>#N/A</v>
      </c>
      <c r="J202" s="11" t="e">
        <f>VLOOKUP($G202, SeanRanks!$A$2:$H$303, 5, FALSE)</f>
        <v>#N/A</v>
      </c>
      <c r="K202" s="11" t="e">
        <f>IF(VLOOKUP($G202, SeanRanks!$A$2:$H$303, 6, FALSE)=0, "", VLOOKUP($G202, SeanRanks!$A$2:$H$303, 6, FALSE))</f>
        <v>#N/A</v>
      </c>
      <c r="L202" s="11">
        <f t="shared" si="4"/>
        <v>16</v>
      </c>
      <c r="M202" s="11" t="e">
        <f>VLOOKUP($G202, 'ADP Data'!$C$4:$Q$300, 9, FALSE)</f>
        <v>#N/A</v>
      </c>
      <c r="N202" s="11" t="e">
        <f t="shared" si="5"/>
        <v>#N/A</v>
      </c>
      <c r="O202" s="11" t="e">
        <f>VLOOKUP($G202, 'ADP Data'!$C$4:$Q$300, 3, FALSE)</f>
        <v>#N/A</v>
      </c>
      <c r="P202" s="11" t="e">
        <f t="shared" si="6"/>
        <v>#N/A</v>
      </c>
      <c r="Q202" s="11" t="e">
        <f>VLOOKUP($G202, 'ADP Data'!$C$4:$Q$300, 4, FALSE)</f>
        <v>#N/A</v>
      </c>
      <c r="R202" s="11" t="e">
        <f>VLOOKUP($G202, 'ADP Data'!$C$4:$Q$300, 5, FALSE)</f>
        <v>#N/A</v>
      </c>
      <c r="S202" s="11" t="e">
        <f>VLOOKUP($G202, 'ADP Data'!$C$4:$Q$300, 6, FALSE)</f>
        <v>#N/A</v>
      </c>
      <c r="T202" s="11" t="e">
        <f>VLOOKUP($G202, 'ADP Data'!$C$4:$Q$300, 7, FALSE)</f>
        <v>#N/A</v>
      </c>
      <c r="U202" s="11" t="e">
        <f>VLOOKUP($G202, 'ADP Data'!$C$4:$Q$300, 8, FALSE)</f>
        <v>#N/A</v>
      </c>
      <c r="V202" s="11" t="e">
        <f t="shared" si="7"/>
        <v>#N/A</v>
      </c>
      <c r="W202" s="11">
        <f t="shared" si="8"/>
        <v>16</v>
      </c>
      <c r="X202" s="11">
        <f t="shared" si="9"/>
        <v>-16</v>
      </c>
      <c r="Y202" s="11" t="e">
        <f>VLOOKUP($G202, SeanRanks!$A$2:$K$303, 10, FALSE)-V202</f>
        <v>#N/A</v>
      </c>
      <c r="Z202" s="25" t="e">
        <f>IF(VLOOKUP($G202, SeanRanks!$A$2:$H$303, 7, FALSE)=0, "", VLOOKUP($G202, SeanRanks!$A$2:$H$303, 7, FALSE))</f>
        <v>#N/A</v>
      </c>
    </row>
    <row r="203" spans="1:26" ht="14.25" hidden="1" customHeight="1" x14ac:dyDescent="0.25">
      <c r="A203" s="11"/>
      <c r="B203" s="11">
        <f t="shared" si="3"/>
        <v>16</v>
      </c>
      <c r="C203" s="11" t="s">
        <v>148</v>
      </c>
      <c r="D203" s="11"/>
      <c r="E203" s="11"/>
      <c r="F203" s="11">
        <f>VLOOKUP(G203, SeanRanks!$A$2:$E$302, 4, FALSE)</f>
        <v>0</v>
      </c>
      <c r="G203" s="11" t="s">
        <v>302</v>
      </c>
      <c r="H203" s="11" t="str">
        <f>VLOOKUP($G203, 'ADP Data'!$C$4:$Q$300, 2, FALSE)</f>
        <v>NYG</v>
      </c>
      <c r="I203" s="11">
        <f>VLOOKUP(G203, 'ADP Data'!$C$4:$R$498, 12, FALSE)</f>
        <v>166</v>
      </c>
      <c r="J203" s="11">
        <f>VLOOKUP($G203, SeanRanks!$A$2:$H$303, 5, FALSE)</f>
        <v>0</v>
      </c>
      <c r="K203" s="11" t="str">
        <f>IF(VLOOKUP($G203, SeanRanks!$A$2:$H$303, 6, FALSE)=0, "", VLOOKUP($G203, SeanRanks!$A$2:$H$303, 6, FALSE))</f>
        <v/>
      </c>
      <c r="L203" s="11">
        <f t="shared" si="4"/>
        <v>26</v>
      </c>
      <c r="M203" s="11">
        <f>VLOOKUP($G203, 'ADP Data'!$C$4:$Q$300, 9, FALSE)</f>
        <v>206</v>
      </c>
      <c r="N203" s="11">
        <f t="shared" si="5"/>
        <v>19</v>
      </c>
      <c r="O203" s="11">
        <f>VLOOKUP($G203, 'ADP Data'!$C$4:$Q$300, 3, FALSE)</f>
        <v>165</v>
      </c>
      <c r="P203" s="11">
        <f t="shared" si="6"/>
        <v>41</v>
      </c>
      <c r="Q203" s="11">
        <f>VLOOKUP($G203, 'ADP Data'!$C$4:$Q$300, 4, FALSE)</f>
        <v>174</v>
      </c>
      <c r="R203" s="11">
        <f>VLOOKUP($G203, 'ADP Data'!$C$4:$Q$300, 5, FALSE)</f>
        <v>206</v>
      </c>
      <c r="S203" s="11">
        <f>VLOOKUP($G203, 'ADP Data'!$C$4:$Q$300, 6, FALSE)</f>
        <v>169</v>
      </c>
      <c r="T203" s="11">
        <f>VLOOKUP($G203, 'ADP Data'!$C$4:$Q$300, 7, FALSE)</f>
        <v>146</v>
      </c>
      <c r="U203" s="11">
        <f>VLOOKUP($G203, 'ADP Data'!$C$4:$Q$300, 8, FALSE)</f>
        <v>249</v>
      </c>
      <c r="V203" s="11">
        <f t="shared" si="7"/>
        <v>187</v>
      </c>
      <c r="W203" s="11">
        <f t="shared" si="8"/>
        <v>24</v>
      </c>
      <c r="X203" s="11">
        <f t="shared" si="9"/>
        <v>-24</v>
      </c>
      <c r="Y203" s="11">
        <f>VLOOKUP($G203, SeanRanks!$A$2:$K$303, 10, FALSE)-V203</f>
        <v>-19</v>
      </c>
      <c r="Z203" s="25" t="str">
        <f>IF(VLOOKUP($G203, SeanRanks!$A$2:$H$303, 7, FALSE)=0, "", VLOOKUP($G203, SeanRanks!$A$2:$H$303, 7, FALSE))</f>
        <v/>
      </c>
    </row>
    <row r="204" spans="1:26" ht="14.25" hidden="1" customHeight="1" x14ac:dyDescent="0.25">
      <c r="A204" s="11"/>
      <c r="B204" s="11">
        <f t="shared" si="3"/>
        <v>19</v>
      </c>
      <c r="C204" s="11" t="s">
        <v>148</v>
      </c>
      <c r="D204" s="11"/>
      <c r="E204" s="11"/>
      <c r="F204" s="11">
        <f>VLOOKUP(G204, SeanRanks!$A$2:$E$302, 4, FALSE)</f>
        <v>0</v>
      </c>
      <c r="G204" s="11" t="s">
        <v>270</v>
      </c>
      <c r="H204" s="11" t="str">
        <f>VLOOKUP($G204, 'ADP Data'!$C$4:$Q$300, 2, FALSE)</f>
        <v>LAC</v>
      </c>
      <c r="I204" s="11">
        <f>VLOOKUP(G204, 'ADP Data'!$C$4:$R$498, 12, FALSE)</f>
        <v>204</v>
      </c>
      <c r="J204" s="11">
        <f>VLOOKUP($G204, SeanRanks!$A$2:$H$303, 5, FALSE)</f>
        <v>0</v>
      </c>
      <c r="K204" s="11" t="str">
        <f>IF(VLOOKUP($G204, SeanRanks!$A$2:$H$303, 6, FALSE)=0, "", VLOOKUP($G204, SeanRanks!$A$2:$H$303, 6, FALSE))</f>
        <v/>
      </c>
      <c r="L204" s="11">
        <f t="shared" si="4"/>
        <v>27</v>
      </c>
      <c r="M204" s="11">
        <f>VLOOKUP($G204, 'ADP Data'!$C$4:$Q$300, 9, FALSE)</f>
        <v>212</v>
      </c>
      <c r="N204" s="11">
        <f t="shared" si="5"/>
        <v>-8</v>
      </c>
      <c r="O204" s="11">
        <f>VLOOKUP($G204, 'ADP Data'!$C$4:$Q$300, 3, FALSE)</f>
        <v>197</v>
      </c>
      <c r="P204" s="11">
        <f t="shared" si="6"/>
        <v>15</v>
      </c>
      <c r="Q204" s="11" t="str">
        <f>VLOOKUP($G204, 'ADP Data'!$C$4:$Q$300, 4, FALSE)</f>
        <v>-</v>
      </c>
      <c r="R204" s="11">
        <f>VLOOKUP($G204, 'ADP Data'!$C$4:$Q$300, 5, FALSE)</f>
        <v>227</v>
      </c>
      <c r="S204" s="11">
        <f>VLOOKUP($G204, 'ADP Data'!$C$4:$Q$300, 6, FALSE)</f>
        <v>226</v>
      </c>
      <c r="T204" s="11">
        <f>VLOOKUP($G204, 'ADP Data'!$C$4:$Q$300, 7, FALSE)</f>
        <v>180</v>
      </c>
      <c r="U204" s="11">
        <f>VLOOKUP($G204, 'ADP Data'!$C$4:$Q$300, 8, FALSE)</f>
        <v>278</v>
      </c>
      <c r="V204" s="11">
        <f t="shared" si="7"/>
        <v>220</v>
      </c>
      <c r="W204" s="11">
        <f t="shared" si="8"/>
        <v>28</v>
      </c>
      <c r="X204" s="11">
        <f t="shared" si="9"/>
        <v>-28</v>
      </c>
      <c r="Y204" s="11">
        <f>VLOOKUP($G204, SeanRanks!$A$2:$K$303, 10, FALSE)-V204</f>
        <v>16</v>
      </c>
      <c r="Z204" s="25" t="str">
        <f>IF(VLOOKUP($G204, SeanRanks!$A$2:$H$303, 7, FALSE)=0, "", VLOOKUP($G204, SeanRanks!$A$2:$H$303, 7, FALSE))</f>
        <v/>
      </c>
    </row>
    <row r="205" spans="1:26" ht="14.25" hidden="1" customHeight="1" x14ac:dyDescent="0.25">
      <c r="A205" s="11"/>
      <c r="B205" s="11" t="e">
        <f t="shared" si="3"/>
        <v>#N/A</v>
      </c>
      <c r="C205" s="11" t="s">
        <v>148</v>
      </c>
      <c r="D205" s="11"/>
      <c r="E205" s="11"/>
      <c r="F205" s="11" t="e">
        <f>VLOOKUP(G205, SeanRanks!$A$2:$E$302, 4, FALSE)</f>
        <v>#N/A</v>
      </c>
      <c r="G205" s="11" t="s">
        <v>936</v>
      </c>
      <c r="H205" s="11" t="e">
        <f>VLOOKUP($G205, 'ADP Data'!$C$4:$Q$300, 2, FALSE)</f>
        <v>#N/A</v>
      </c>
      <c r="I205" s="11" t="e">
        <f>VLOOKUP(G205, 'ADP Data'!$C$4:$R$498, 12, FALSE)</f>
        <v>#N/A</v>
      </c>
      <c r="J205" s="11" t="e">
        <f>VLOOKUP($G205, SeanRanks!$A$2:$H$303, 5, FALSE)</f>
        <v>#N/A</v>
      </c>
      <c r="K205" s="11" t="e">
        <f>IF(VLOOKUP($G205, SeanRanks!$A$2:$H$303, 6, FALSE)=0, "", VLOOKUP($G205, SeanRanks!$A$2:$H$303, 6, FALSE))</f>
        <v>#N/A</v>
      </c>
      <c r="L205" s="11">
        <f t="shared" si="4"/>
        <v>16</v>
      </c>
      <c r="M205" s="11" t="e">
        <f>VLOOKUP($G205, 'ADP Data'!$C$4:$Q$300, 9, FALSE)</f>
        <v>#N/A</v>
      </c>
      <c r="N205" s="11" t="e">
        <f t="shared" si="5"/>
        <v>#N/A</v>
      </c>
      <c r="O205" s="11" t="e">
        <f>VLOOKUP($G205, 'ADP Data'!$C$4:$Q$300, 3, FALSE)</f>
        <v>#N/A</v>
      </c>
      <c r="P205" s="11" t="e">
        <f t="shared" si="6"/>
        <v>#N/A</v>
      </c>
      <c r="Q205" s="11" t="e">
        <f>VLOOKUP($G205, 'ADP Data'!$C$4:$Q$300, 4, FALSE)</f>
        <v>#N/A</v>
      </c>
      <c r="R205" s="11" t="e">
        <f>VLOOKUP($G205, 'ADP Data'!$C$4:$Q$300, 5, FALSE)</f>
        <v>#N/A</v>
      </c>
      <c r="S205" s="11" t="e">
        <f>VLOOKUP($G205, 'ADP Data'!$C$4:$Q$300, 6, FALSE)</f>
        <v>#N/A</v>
      </c>
      <c r="T205" s="11" t="e">
        <f>VLOOKUP($G205, 'ADP Data'!$C$4:$Q$300, 7, FALSE)</f>
        <v>#N/A</v>
      </c>
      <c r="U205" s="11" t="e">
        <f>VLOOKUP($G205, 'ADP Data'!$C$4:$Q$300, 8, FALSE)</f>
        <v>#N/A</v>
      </c>
      <c r="V205" s="11" t="e">
        <f t="shared" si="7"/>
        <v>#N/A</v>
      </c>
      <c r="W205" s="11">
        <f t="shared" si="8"/>
        <v>16</v>
      </c>
      <c r="X205" s="11">
        <f t="shared" si="9"/>
        <v>-16</v>
      </c>
      <c r="Y205" s="11" t="e">
        <f>VLOOKUP($G205, SeanRanks!$A$2:$K$303, 10, FALSE)-V205</f>
        <v>#N/A</v>
      </c>
      <c r="Z205" s="25" t="e">
        <f>IF(VLOOKUP($G205, SeanRanks!$A$2:$H$303, 7, FALSE)=0, "", VLOOKUP($G205, SeanRanks!$A$2:$H$303, 7, FALSE))</f>
        <v>#N/A</v>
      </c>
    </row>
    <row r="206" spans="1:26" ht="14.25" hidden="1" customHeight="1" x14ac:dyDescent="0.25">
      <c r="A206" s="11"/>
      <c r="B206" s="11">
        <f t="shared" si="3"/>
        <v>17</v>
      </c>
      <c r="C206" s="11" t="s">
        <v>148</v>
      </c>
      <c r="D206" s="11"/>
      <c r="E206" s="11"/>
      <c r="F206" s="11">
        <f>VLOOKUP(G206, SeanRanks!$A$2:$E$302, 4, FALSE)</f>
        <v>0</v>
      </c>
      <c r="G206" s="11" t="s">
        <v>523</v>
      </c>
      <c r="H206" s="11" t="str">
        <f>VLOOKUP($G206, 'ADP Data'!$C$4:$Q$300, 2, FALSE)</f>
        <v>DET</v>
      </c>
      <c r="I206" s="11" t="str">
        <f>VLOOKUP(G206, 'ADP Data'!$C$4:$R$498, 12, FALSE)</f>
        <v>-</v>
      </c>
      <c r="J206" s="11">
        <f>VLOOKUP($G206, SeanRanks!$A$2:$H$303, 5, FALSE)</f>
        <v>0</v>
      </c>
      <c r="K206" s="11" t="str">
        <f>IF(VLOOKUP($G206, SeanRanks!$A$2:$H$303, 6, FALSE)=0, "", VLOOKUP($G206, SeanRanks!$A$2:$H$303, 6, FALSE))</f>
        <v/>
      </c>
      <c r="L206" s="11">
        <f t="shared" si="4"/>
        <v>24</v>
      </c>
      <c r="M206" s="11">
        <f>VLOOKUP($G206, 'ADP Data'!$C$4:$Q$300, 9, FALSE)</f>
        <v>187</v>
      </c>
      <c r="N206" s="11">
        <f t="shared" si="5"/>
        <v>-8</v>
      </c>
      <c r="O206" s="11">
        <f>VLOOKUP($G206, 'ADP Data'!$C$4:$Q$300, 3, FALSE)</f>
        <v>178</v>
      </c>
      <c r="P206" s="11">
        <f t="shared" si="6"/>
        <v>9</v>
      </c>
      <c r="Q206" s="11">
        <f>VLOOKUP($G206, 'ADP Data'!$C$4:$Q$300, 4, FALSE)</f>
        <v>136</v>
      </c>
      <c r="R206" s="11">
        <f>VLOOKUP($G206, 'ADP Data'!$C$4:$Q$300, 5, FALSE)</f>
        <v>257</v>
      </c>
      <c r="S206" s="11">
        <f>VLOOKUP($G206, 'ADP Data'!$C$4:$Q$300, 6, FALSE)</f>
        <v>254</v>
      </c>
      <c r="T206" s="11">
        <f>VLOOKUP($G206, 'ADP Data'!$C$4:$Q$300, 7, FALSE)</f>
        <v>201</v>
      </c>
      <c r="U206" s="11">
        <f>VLOOKUP($G206, 'ADP Data'!$C$4:$Q$300, 8, FALSE)</f>
        <v>152</v>
      </c>
      <c r="V206" s="11">
        <f t="shared" si="7"/>
        <v>195</v>
      </c>
      <c r="W206" s="11">
        <f t="shared" si="8"/>
        <v>25</v>
      </c>
      <c r="X206" s="11">
        <f t="shared" si="9"/>
        <v>-25</v>
      </c>
      <c r="Y206" s="11">
        <f>VLOOKUP($G206, SeanRanks!$A$2:$K$303, 10, FALSE)-V206</f>
        <v>-9</v>
      </c>
      <c r="Z206" s="25" t="str">
        <f>IF(VLOOKUP($G206, SeanRanks!$A$2:$H$303, 7, FALSE)=0, "", VLOOKUP($G206, SeanRanks!$A$2:$H$303, 7, FALSE))</f>
        <v/>
      </c>
    </row>
    <row r="207" spans="1:26" ht="14.25" hidden="1" customHeight="1" x14ac:dyDescent="0.25">
      <c r="A207" s="11"/>
      <c r="B207" s="11">
        <f t="shared" si="3"/>
        <v>16</v>
      </c>
      <c r="C207" s="11" t="s">
        <v>148</v>
      </c>
      <c r="D207" s="11"/>
      <c r="E207" s="11"/>
      <c r="F207" s="11">
        <f>VLOOKUP(G207, SeanRanks!$A$2:$E$302, 4, FALSE)</f>
        <v>0</v>
      </c>
      <c r="G207" s="11" t="s">
        <v>467</v>
      </c>
      <c r="H207" s="11" t="str">
        <f>VLOOKUP($G207, 'ADP Data'!$C$4:$Q$300, 2, FALSE)</f>
        <v>CAR</v>
      </c>
      <c r="I207" s="11">
        <f>VLOOKUP(G207, 'ADP Data'!$C$4:$R$498, 12, FALSE)</f>
        <v>146</v>
      </c>
      <c r="J207" s="11">
        <f>VLOOKUP($G207, SeanRanks!$A$2:$H$303, 5, FALSE)</f>
        <v>0</v>
      </c>
      <c r="K207" s="11" t="str">
        <f>IF(VLOOKUP($G207, SeanRanks!$A$2:$H$303, 6, FALSE)=0, "", VLOOKUP($G207, SeanRanks!$A$2:$H$303, 6, FALSE))</f>
        <v>QB3 - League Winner?</v>
      </c>
      <c r="L207" s="11">
        <f t="shared" si="4"/>
        <v>26</v>
      </c>
      <c r="M207" s="11">
        <f>VLOOKUP($G207, 'ADP Data'!$C$4:$Q$300, 9, FALSE)</f>
        <v>201</v>
      </c>
      <c r="N207" s="11">
        <f t="shared" si="5"/>
        <v>17</v>
      </c>
      <c r="O207" s="11">
        <f>VLOOKUP($G207, 'ADP Data'!$C$4:$Q$300, 3, FALSE)</f>
        <v>190</v>
      </c>
      <c r="P207" s="11">
        <f t="shared" si="6"/>
        <v>11</v>
      </c>
      <c r="Q207" s="11">
        <f>VLOOKUP($G207, 'ADP Data'!$C$4:$Q$300, 4, FALSE)</f>
        <v>193</v>
      </c>
      <c r="R207" s="11">
        <f>VLOOKUP($G207, 'ADP Data'!$C$4:$Q$300, 5, FALSE)</f>
        <v>187</v>
      </c>
      <c r="S207" s="11">
        <f>VLOOKUP($G207, 'ADP Data'!$C$4:$Q$300, 6, FALSE)</f>
        <v>170</v>
      </c>
      <c r="T207" s="11">
        <f>VLOOKUP($G207, 'ADP Data'!$C$4:$Q$300, 7, FALSE)</f>
        <v>157</v>
      </c>
      <c r="U207" s="11">
        <f>VLOOKUP($G207, 'ADP Data'!$C$4:$Q$300, 8, FALSE)</f>
        <v>194</v>
      </c>
      <c r="V207" s="11">
        <f t="shared" si="7"/>
        <v>184</v>
      </c>
      <c r="W207" s="11">
        <f t="shared" si="8"/>
        <v>24</v>
      </c>
      <c r="X207" s="11">
        <f t="shared" si="9"/>
        <v>-24</v>
      </c>
      <c r="Y207" s="11">
        <f>VLOOKUP($G207, SeanRanks!$A$2:$K$303, 10, FALSE)-V207</f>
        <v>-48</v>
      </c>
      <c r="Z207" s="25">
        <f>IF(VLOOKUP($G207, SeanRanks!$A$2:$H$303, 7, FALSE)=0, "", VLOOKUP($G207, SeanRanks!$A$2:$H$303, 7, FALSE))</f>
        <v>21</v>
      </c>
    </row>
    <row r="208" spans="1:26" ht="14.25" hidden="1" customHeight="1" x14ac:dyDescent="0.25">
      <c r="A208" s="11"/>
      <c r="B208" s="11" t="e">
        <f t="shared" si="3"/>
        <v>#N/A</v>
      </c>
      <c r="C208" s="11" t="s">
        <v>148</v>
      </c>
      <c r="D208" s="11"/>
      <c r="E208" s="11"/>
      <c r="F208" s="11" t="e">
        <f>VLOOKUP(G208, SeanRanks!$A$2:$E$302, 4, FALSE)</f>
        <v>#N/A</v>
      </c>
      <c r="G208" s="11" t="s">
        <v>937</v>
      </c>
      <c r="H208" s="11" t="e">
        <f>VLOOKUP($G208, 'ADP Data'!$C$4:$Q$300, 2, FALSE)</f>
        <v>#N/A</v>
      </c>
      <c r="I208" s="11" t="e">
        <f>VLOOKUP(G208, 'ADP Data'!$C$4:$R$498, 12, FALSE)</f>
        <v>#N/A</v>
      </c>
      <c r="J208" s="11" t="e">
        <f>VLOOKUP($G208, SeanRanks!$A$2:$H$303, 5, FALSE)</f>
        <v>#N/A</v>
      </c>
      <c r="K208" s="11" t="e">
        <f>IF(VLOOKUP($G208, SeanRanks!$A$2:$H$303, 6, FALSE)=0, "", VLOOKUP($G208, SeanRanks!$A$2:$H$303, 6, FALSE))</f>
        <v>#N/A</v>
      </c>
      <c r="L208" s="11">
        <f t="shared" si="4"/>
        <v>16</v>
      </c>
      <c r="M208" s="11" t="e">
        <f>VLOOKUP($G208, 'ADP Data'!$C$4:$Q$300, 9, FALSE)</f>
        <v>#N/A</v>
      </c>
      <c r="N208" s="11" t="e">
        <f t="shared" si="5"/>
        <v>#N/A</v>
      </c>
      <c r="O208" s="11" t="e">
        <f>VLOOKUP($G208, 'ADP Data'!$C$4:$Q$300, 3, FALSE)</f>
        <v>#N/A</v>
      </c>
      <c r="P208" s="11" t="e">
        <f t="shared" si="6"/>
        <v>#N/A</v>
      </c>
      <c r="Q208" s="11" t="e">
        <f>VLOOKUP($G208, 'ADP Data'!$C$4:$Q$300, 4, FALSE)</f>
        <v>#N/A</v>
      </c>
      <c r="R208" s="11" t="e">
        <f>VLOOKUP($G208, 'ADP Data'!$C$4:$Q$300, 5, FALSE)</f>
        <v>#N/A</v>
      </c>
      <c r="S208" s="11" t="e">
        <f>VLOOKUP($G208, 'ADP Data'!$C$4:$Q$300, 6, FALSE)</f>
        <v>#N/A</v>
      </c>
      <c r="T208" s="11" t="e">
        <f>VLOOKUP($G208, 'ADP Data'!$C$4:$Q$300, 7, FALSE)</f>
        <v>#N/A</v>
      </c>
      <c r="U208" s="11" t="e">
        <f>VLOOKUP($G208, 'ADP Data'!$C$4:$Q$300, 8, FALSE)</f>
        <v>#N/A</v>
      </c>
      <c r="V208" s="11" t="e">
        <f t="shared" si="7"/>
        <v>#N/A</v>
      </c>
      <c r="W208" s="11">
        <f t="shared" si="8"/>
        <v>16</v>
      </c>
      <c r="X208" s="11">
        <f t="shared" si="9"/>
        <v>-16</v>
      </c>
      <c r="Y208" s="11" t="e">
        <f>VLOOKUP($G208, SeanRanks!$A$2:$K$303, 10, FALSE)-V208</f>
        <v>#N/A</v>
      </c>
      <c r="Z208" s="25" t="e">
        <f>IF(VLOOKUP($G208, SeanRanks!$A$2:$H$303, 7, FALSE)=0, "", VLOOKUP($G208, SeanRanks!$A$2:$H$303, 7, FALSE))</f>
        <v>#N/A</v>
      </c>
    </row>
    <row r="209" spans="1:26" ht="14.25" hidden="1" customHeight="1" x14ac:dyDescent="0.25">
      <c r="A209" s="11"/>
      <c r="B209" s="11">
        <f t="shared" si="3"/>
        <v>14</v>
      </c>
      <c r="C209" s="11" t="s">
        <v>148</v>
      </c>
      <c r="D209" s="11"/>
      <c r="E209" s="11"/>
      <c r="F209" s="11">
        <f>VLOOKUP(G209, SeanRanks!$A$2:$E$302, 4, FALSE)</f>
        <v>0</v>
      </c>
      <c r="G209" s="11" t="s">
        <v>938</v>
      </c>
      <c r="H209" s="11" t="str">
        <f>VLOOKUP($G209, 'ADP Data'!$C$4:$Q$300, 2, FALSE)</f>
        <v>PIT</v>
      </c>
      <c r="I209" s="11">
        <f>VLOOKUP(G209, 'ADP Data'!$C$4:$R$498, 12, FALSE)</f>
        <v>189</v>
      </c>
      <c r="J209" s="11">
        <f>VLOOKUP($G209, SeanRanks!$A$2:$H$303, 5, FALSE)</f>
        <v>0</v>
      </c>
      <c r="K209" s="11" t="str">
        <f>IF(VLOOKUP($G209, SeanRanks!$A$2:$H$303, 6, FALSE)=0, "", VLOOKUP($G209, SeanRanks!$A$2:$H$303, 6, FALSE))</f>
        <v/>
      </c>
      <c r="L209" s="11">
        <f t="shared" si="4"/>
        <v>14</v>
      </c>
      <c r="M209" s="11">
        <f>VLOOKUP($G209, 'ADP Data'!$C$4:$Q$300, 9, FALSE)</f>
        <v>110</v>
      </c>
      <c r="N209" s="11">
        <f t="shared" si="5"/>
        <v>-47</v>
      </c>
      <c r="O209" s="11">
        <f>VLOOKUP($G209, 'ADP Data'!$C$4:$Q$300, 3, FALSE)</f>
        <v>183</v>
      </c>
      <c r="P209" s="11">
        <f t="shared" si="6"/>
        <v>-73</v>
      </c>
      <c r="Q209" s="11">
        <f>VLOOKUP($G209, 'ADP Data'!$C$4:$Q$300, 4, FALSE)</f>
        <v>186</v>
      </c>
      <c r="R209" s="11">
        <f>VLOOKUP($G209, 'ADP Data'!$C$4:$Q$300, 5, FALSE)</f>
        <v>203</v>
      </c>
      <c r="S209" s="11">
        <f>VLOOKUP($G209, 'ADP Data'!$C$4:$Q$300, 6, FALSE)</f>
        <v>161</v>
      </c>
      <c r="T209" s="11">
        <f>VLOOKUP($G209, 'ADP Data'!$C$4:$Q$300, 7, FALSE)</f>
        <v>169</v>
      </c>
      <c r="U209" s="11">
        <f>VLOOKUP($G209, 'ADP Data'!$C$4:$Q$300, 8, FALSE)</f>
        <v>91</v>
      </c>
      <c r="V209" s="11">
        <f t="shared" si="7"/>
        <v>157</v>
      </c>
      <c r="W209" s="11">
        <f t="shared" si="8"/>
        <v>20</v>
      </c>
      <c r="X209" s="11">
        <f t="shared" si="9"/>
        <v>-20</v>
      </c>
      <c r="Y209" s="11">
        <f>VLOOKUP($G209, SeanRanks!$A$2:$K$303, 10, FALSE)-V209</f>
        <v>3</v>
      </c>
      <c r="Z209" s="25" t="str">
        <f>IF(VLOOKUP($G209, SeanRanks!$A$2:$H$303, 7, FALSE)=0, "", VLOOKUP($G209, SeanRanks!$A$2:$H$303, 7, FALSE))</f>
        <v/>
      </c>
    </row>
    <row r="210" spans="1:26" ht="14.25" hidden="1" customHeight="1" x14ac:dyDescent="0.25">
      <c r="A210" s="11"/>
      <c r="B210" s="11">
        <f t="shared" si="3"/>
        <v>9</v>
      </c>
      <c r="C210" s="11" t="s">
        <v>148</v>
      </c>
      <c r="D210" s="11"/>
      <c r="E210" s="11"/>
      <c r="F210" s="11">
        <f>VLOOKUP(G210, SeanRanks!$A$2:$E$302, 4, FALSE)</f>
        <v>0</v>
      </c>
      <c r="G210" s="11" t="s">
        <v>812</v>
      </c>
      <c r="H210" s="11" t="str">
        <f>VLOOKUP($G210, 'ADP Data'!$C$4:$Q$300, 2, FALSE)</f>
        <v>NYJ</v>
      </c>
      <c r="I210" s="11">
        <f>VLOOKUP(G210, 'ADP Data'!$C$4:$R$498, 12, FALSE)</f>
        <v>98</v>
      </c>
      <c r="J210" s="11">
        <f>VLOOKUP($G210, SeanRanks!$A$2:$H$303, 5, FALSE)</f>
        <v>0</v>
      </c>
      <c r="K210" s="11" t="str">
        <f>IF(VLOOKUP($G210, SeanRanks!$A$2:$H$303, 6, FALSE)=0, "", VLOOKUP($G210, SeanRanks!$A$2:$H$303, 6, FALSE))</f>
        <v>QB1 - 4 - Weekly Start</v>
      </c>
      <c r="L210" s="11">
        <f t="shared" si="4"/>
        <v>18</v>
      </c>
      <c r="M210" s="11">
        <f>VLOOKUP($G210, 'ADP Data'!$C$4:$Q$300, 9, FALSE)</f>
        <v>136</v>
      </c>
      <c r="N210" s="11">
        <f t="shared" si="5"/>
        <v>24</v>
      </c>
      <c r="O210" s="11">
        <f>VLOOKUP($G210, 'ADP Data'!$C$4:$Q$300, 3, FALSE)</f>
        <v>116</v>
      </c>
      <c r="P210" s="11">
        <f t="shared" si="6"/>
        <v>20</v>
      </c>
      <c r="Q210" s="11">
        <f>VLOOKUP($G210, 'ADP Data'!$C$4:$Q$300, 4, FALSE)</f>
        <v>120</v>
      </c>
      <c r="R210" s="11">
        <f>VLOOKUP($G210, 'ADP Data'!$C$4:$Q$300, 5, FALSE)</f>
        <v>121</v>
      </c>
      <c r="S210" s="11">
        <f>VLOOKUP($G210, 'ADP Data'!$C$4:$Q$300, 6, FALSE)</f>
        <v>119</v>
      </c>
      <c r="T210" s="11">
        <f>VLOOKUP($G210, 'ADP Data'!$C$4:$Q$300, 7, FALSE)</f>
        <v>112</v>
      </c>
      <c r="U210" s="11">
        <f>VLOOKUP($G210, 'ADP Data'!$C$4:$Q$300, 8, FALSE)</f>
        <v>63</v>
      </c>
      <c r="V210" s="11">
        <f t="shared" si="7"/>
        <v>112</v>
      </c>
      <c r="W210" s="11">
        <f t="shared" si="8"/>
        <v>15</v>
      </c>
      <c r="X210" s="11">
        <f t="shared" si="9"/>
        <v>-15</v>
      </c>
      <c r="Y210" s="11">
        <f>VLOOKUP($G210, SeanRanks!$A$2:$K$303, 10, FALSE)-V210</f>
        <v>-10</v>
      </c>
      <c r="Z210" s="25">
        <f>IF(VLOOKUP($G210, SeanRanks!$A$2:$H$303, 7, FALSE)=0, "", VLOOKUP($G210, SeanRanks!$A$2:$H$303, 7, FALSE))</f>
        <v>10</v>
      </c>
    </row>
    <row r="211" spans="1:26" ht="14.25" customHeight="1" x14ac:dyDescent="0.25">
      <c r="A211" s="11"/>
      <c r="B211" s="11">
        <f t="shared" si="3"/>
        <v>8</v>
      </c>
      <c r="C211" s="11" t="s">
        <v>148</v>
      </c>
      <c r="D211" s="11"/>
      <c r="E211" s="11"/>
      <c r="F211" s="11">
        <f>VLOOKUP(G211, SeanRanks!$A$2:$E$302, 4, FALSE)</f>
        <v>0</v>
      </c>
      <c r="G211" s="11" t="s">
        <v>435</v>
      </c>
      <c r="H211" s="11" t="str">
        <f>VLOOKUP($G211, 'ADP Data'!$C$4:$Q$300, 2, FALSE)</f>
        <v>NYG</v>
      </c>
      <c r="I211" s="11">
        <f>VLOOKUP(G211, 'ADP Data'!$C$4:$R$498, 12, FALSE)</f>
        <v>88</v>
      </c>
      <c r="J211" s="11">
        <f>VLOOKUP($G211, SeanRanks!$A$2:$H$303, 5, FALSE)</f>
        <v>0</v>
      </c>
      <c r="K211" s="11" t="str">
        <f>IF(VLOOKUP($G211, SeanRanks!$A$2:$H$303, 6, FALSE)=0, "", VLOOKUP($G211, SeanRanks!$A$2:$H$303, 6, FALSE))</f>
        <v>RB3 - 2 - low ceiling</v>
      </c>
      <c r="L211" s="11">
        <f t="shared" si="4"/>
        <v>11</v>
      </c>
      <c r="M211" s="11">
        <f>VLOOKUP($G211, 'ADP Data'!$C$4:$Q$300, 9, FALSE)</f>
        <v>82</v>
      </c>
      <c r="N211" s="11">
        <f t="shared" si="5"/>
        <v>-1</v>
      </c>
      <c r="O211" s="11">
        <f>VLOOKUP($G211, 'ADP Data'!$C$4:$Q$300, 3, FALSE)</f>
        <v>70</v>
      </c>
      <c r="P211" s="11">
        <f t="shared" si="6"/>
        <v>12</v>
      </c>
      <c r="Q211" s="11">
        <f>VLOOKUP($G211, 'ADP Data'!$C$4:$Q$300, 4, FALSE)</f>
        <v>81</v>
      </c>
      <c r="R211" s="11">
        <f>VLOOKUP($G211, 'ADP Data'!$C$4:$Q$300, 5, FALSE)</f>
        <v>90</v>
      </c>
      <c r="S211" s="11">
        <f>VLOOKUP($G211, 'ADP Data'!$C$4:$Q$300, 6, FALSE)</f>
        <v>80</v>
      </c>
      <c r="T211" s="11">
        <f>VLOOKUP($G211, 'ADP Data'!$C$4:$Q$300, 7, FALSE)</f>
        <v>81</v>
      </c>
      <c r="U211" s="11">
        <f>VLOOKUP($G211, 'ADP Data'!$C$4:$Q$300, 8, FALSE)</f>
        <v>101</v>
      </c>
      <c r="V211" s="11">
        <f t="shared" si="7"/>
        <v>83</v>
      </c>
      <c r="W211" s="11">
        <f t="shared" si="8"/>
        <v>11</v>
      </c>
      <c r="X211" s="11">
        <f t="shared" si="9"/>
        <v>-11</v>
      </c>
      <c r="Y211" s="11">
        <f>VLOOKUP($G211, SeanRanks!$A$2:$K$303, 10, FALSE)-V211</f>
        <v>-16</v>
      </c>
      <c r="Z211" s="25">
        <f>IF(VLOOKUP($G211, SeanRanks!$A$2:$H$303, 7, FALSE)=0, "", VLOOKUP($G211, SeanRanks!$A$2:$H$303, 7, FALSE))</f>
        <v>34</v>
      </c>
    </row>
    <row r="212" spans="1:26" ht="14.25" hidden="1" customHeight="1" x14ac:dyDescent="0.25">
      <c r="A212" s="11"/>
      <c r="B212" s="11" t="e">
        <f t="shared" si="3"/>
        <v>#N/A</v>
      </c>
      <c r="C212" s="11" t="s">
        <v>148</v>
      </c>
      <c r="D212" s="11"/>
      <c r="E212" s="11"/>
      <c r="F212" s="11" t="e">
        <f>VLOOKUP(G212, SeanRanks!$A$2:$E$302, 4, FALSE)</f>
        <v>#N/A</v>
      </c>
      <c r="G212" s="11" t="s">
        <v>939</v>
      </c>
      <c r="H212" s="11" t="e">
        <f>VLOOKUP($G212, 'ADP Data'!$C$4:$Q$300, 2, FALSE)</f>
        <v>#N/A</v>
      </c>
      <c r="I212" s="11" t="e">
        <f>VLOOKUP(G212, 'ADP Data'!$C$4:$R$498, 12, FALSE)</f>
        <v>#N/A</v>
      </c>
      <c r="J212" s="11" t="e">
        <f>VLOOKUP($G212, SeanRanks!$A$2:$H$303, 5, FALSE)</f>
        <v>#N/A</v>
      </c>
      <c r="K212" s="11" t="e">
        <f>IF(VLOOKUP($G212, SeanRanks!$A$2:$H$303, 6, FALSE)=0, "", VLOOKUP($G212, SeanRanks!$A$2:$H$303, 6, FALSE))</f>
        <v>#N/A</v>
      </c>
      <c r="L212" s="11">
        <f t="shared" si="4"/>
        <v>16</v>
      </c>
      <c r="M212" s="11" t="e">
        <f>VLOOKUP($G212, 'ADP Data'!$C$4:$Q$300, 9, FALSE)</f>
        <v>#N/A</v>
      </c>
      <c r="N212" s="11" t="e">
        <f t="shared" si="5"/>
        <v>#N/A</v>
      </c>
      <c r="O212" s="11" t="e">
        <f>VLOOKUP($G212, 'ADP Data'!$C$4:$Q$300, 3, FALSE)</f>
        <v>#N/A</v>
      </c>
      <c r="P212" s="11" t="e">
        <f t="shared" si="6"/>
        <v>#N/A</v>
      </c>
      <c r="Q212" s="11" t="e">
        <f>VLOOKUP($G212, 'ADP Data'!$C$4:$Q$300, 4, FALSE)</f>
        <v>#N/A</v>
      </c>
      <c r="R212" s="11" t="e">
        <f>VLOOKUP($G212, 'ADP Data'!$C$4:$Q$300, 5, FALSE)</f>
        <v>#N/A</v>
      </c>
      <c r="S212" s="11" t="e">
        <f>VLOOKUP($G212, 'ADP Data'!$C$4:$Q$300, 6, FALSE)</f>
        <v>#N/A</v>
      </c>
      <c r="T212" s="11" t="e">
        <f>VLOOKUP($G212, 'ADP Data'!$C$4:$Q$300, 7, FALSE)</f>
        <v>#N/A</v>
      </c>
      <c r="U212" s="11" t="e">
        <f>VLOOKUP($G212, 'ADP Data'!$C$4:$Q$300, 8, FALSE)</f>
        <v>#N/A</v>
      </c>
      <c r="V212" s="11" t="e">
        <f t="shared" si="7"/>
        <v>#N/A</v>
      </c>
      <c r="W212" s="11">
        <f t="shared" si="8"/>
        <v>16</v>
      </c>
      <c r="X212" s="11">
        <f t="shared" si="9"/>
        <v>-16</v>
      </c>
      <c r="Y212" s="11" t="e">
        <f>VLOOKUP($G212, SeanRanks!$A$2:$K$303, 10, FALSE)-V212</f>
        <v>#N/A</v>
      </c>
      <c r="Z212" s="25" t="e">
        <f>IF(VLOOKUP($G212, SeanRanks!$A$2:$H$303, 7, FALSE)=0, "", VLOOKUP($G212, SeanRanks!$A$2:$H$303, 7, FALSE))</f>
        <v>#N/A</v>
      </c>
    </row>
    <row r="213" spans="1:26" ht="14.25" customHeight="1" x14ac:dyDescent="0.25">
      <c r="A213" s="11"/>
      <c r="B213" s="11">
        <f t="shared" si="3"/>
        <v>21</v>
      </c>
      <c r="C213" s="11" t="s">
        <v>148</v>
      </c>
      <c r="D213" s="11"/>
      <c r="E213" s="11"/>
      <c r="F213" s="11">
        <f>VLOOKUP(G213, SeanRanks!$A$2:$E$302, 4, FALSE)</f>
        <v>0</v>
      </c>
      <c r="G213" s="11" t="s">
        <v>940</v>
      </c>
      <c r="H213" s="11" t="str">
        <f>VLOOKUP($G213, 'ADP Data'!$C$4:$Q$300, 2, FALSE)</f>
        <v>HOU</v>
      </c>
      <c r="I213" s="11">
        <f>VLOOKUP(G213, 'ADP Data'!$C$4:$R$498, 12, FALSE)</f>
        <v>202</v>
      </c>
      <c r="J213" s="11">
        <f>VLOOKUP($G213, SeanRanks!$A$2:$H$303, 5, FALSE)</f>
        <v>0</v>
      </c>
      <c r="K213" s="11" t="str">
        <f>IF(VLOOKUP($G213, SeanRanks!$A$2:$H$303, 6, FALSE)=0, "", VLOOKUP($G213, SeanRanks!$A$2:$H$303, 6, FALSE))</f>
        <v/>
      </c>
      <c r="L213" s="11">
        <f t="shared" si="4"/>
        <v>16</v>
      </c>
      <c r="M213" s="11" t="str">
        <f>VLOOKUP($G213, 'ADP Data'!$C$4:$Q$300, 9, FALSE)</f>
        <v>-</v>
      </c>
      <c r="N213" s="11" t="e">
        <f t="shared" si="5"/>
        <v>#VALUE!</v>
      </c>
      <c r="O213" s="11" t="str">
        <f>VLOOKUP($G213, 'ADP Data'!$C$4:$Q$300, 3, FALSE)</f>
        <v>-</v>
      </c>
      <c r="P213" s="11" t="e">
        <f t="shared" si="6"/>
        <v>#VALUE!</v>
      </c>
      <c r="Q213" s="11" t="str">
        <f>VLOOKUP($G213, 'ADP Data'!$C$4:$Q$300, 4, FALSE)</f>
        <v>-</v>
      </c>
      <c r="R213" s="11" t="str">
        <f>VLOOKUP($G213, 'ADP Data'!$C$4:$Q$300, 5, FALSE)</f>
        <v>-</v>
      </c>
      <c r="S213" s="11">
        <f>VLOOKUP($G213, 'ADP Data'!$C$4:$Q$300, 6, FALSE)</f>
        <v>209</v>
      </c>
      <c r="T213" s="11">
        <f>VLOOKUP($G213, 'ADP Data'!$C$4:$Q$300, 7, FALSE)</f>
        <v>237</v>
      </c>
      <c r="U213" s="11">
        <f>VLOOKUP($G213, 'ADP Data'!$C$4:$Q$300, 8, FALSE)</f>
        <v>295</v>
      </c>
      <c r="V213" s="11">
        <f t="shared" si="7"/>
        <v>247</v>
      </c>
      <c r="W213" s="11">
        <f t="shared" si="8"/>
        <v>31</v>
      </c>
      <c r="X213" s="11">
        <f t="shared" si="9"/>
        <v>-31</v>
      </c>
      <c r="Y213" s="11">
        <f>VLOOKUP($G213, SeanRanks!$A$2:$K$303, 10, FALSE)-V213</f>
        <v>-18</v>
      </c>
      <c r="Z213" s="25" t="str">
        <f>IF(VLOOKUP($G213, SeanRanks!$A$2:$H$303, 7, FALSE)=0, "", VLOOKUP($G213, SeanRanks!$A$2:$H$303, 7, FALSE))</f>
        <v/>
      </c>
    </row>
    <row r="214" spans="1:26" ht="14.25" hidden="1" customHeight="1" x14ac:dyDescent="0.25">
      <c r="A214" s="11"/>
      <c r="B214" s="11">
        <f t="shared" si="3"/>
        <v>25</v>
      </c>
      <c r="C214" s="11" t="s">
        <v>148</v>
      </c>
      <c r="D214" s="11"/>
      <c r="E214" s="11"/>
      <c r="F214" s="11">
        <f>VLOOKUP(G214, SeanRanks!$A$2:$E$302, 4, FALSE)</f>
        <v>0</v>
      </c>
      <c r="G214" s="11" t="s">
        <v>941</v>
      </c>
      <c r="H214" s="11" t="str">
        <f>VLOOKUP($G214, 'ADP Data'!$C$4:$Q$300, 2, FALSE)</f>
        <v>DAL</v>
      </c>
      <c r="I214" s="11">
        <f>VLOOKUP(G214, 'ADP Data'!$C$4:$R$498, 12, FALSE)</f>
        <v>284</v>
      </c>
      <c r="J214" s="11">
        <f>VLOOKUP($G214, SeanRanks!$A$2:$H$303, 5, FALSE)</f>
        <v>0</v>
      </c>
      <c r="K214" s="11" t="str">
        <f>IF(VLOOKUP($G214, SeanRanks!$A$2:$H$303, 6, FALSE)=0, "", VLOOKUP($G214, SeanRanks!$A$2:$H$303, 6, FALSE))</f>
        <v/>
      </c>
      <c r="L214" s="11">
        <f t="shared" si="4"/>
        <v>40</v>
      </c>
      <c r="M214" s="11">
        <f>VLOOKUP($G214, 'ADP Data'!$C$4:$Q$300, 9, FALSE)</f>
        <v>319</v>
      </c>
      <c r="N214" s="11">
        <f t="shared" si="5"/>
        <v>16</v>
      </c>
      <c r="O214" s="11" t="str">
        <f>VLOOKUP($G214, 'ADP Data'!$C$4:$Q$300, 3, FALSE)</f>
        <v>-</v>
      </c>
      <c r="P214" s="11" t="e">
        <f t="shared" si="6"/>
        <v>#VALUE!</v>
      </c>
      <c r="Q214" s="11" t="str">
        <f>VLOOKUP($G214, 'ADP Data'!$C$4:$Q$300, 4, FALSE)</f>
        <v>-</v>
      </c>
      <c r="R214" s="11" t="str">
        <f>VLOOKUP($G214, 'ADP Data'!$C$4:$Q$300, 5, FALSE)</f>
        <v>-</v>
      </c>
      <c r="S214" s="11">
        <f>VLOOKUP($G214, 'ADP Data'!$C$4:$Q$300, 6, FALSE)</f>
        <v>340</v>
      </c>
      <c r="T214" s="11">
        <f>VLOOKUP($G214, 'ADP Data'!$C$4:$Q$300, 7, FALSE)</f>
        <v>270</v>
      </c>
      <c r="U214" s="11">
        <f>VLOOKUP($G214, 'ADP Data'!$C$4:$Q$300, 8, FALSE)</f>
        <v>284</v>
      </c>
      <c r="V214" s="11">
        <f t="shared" si="7"/>
        <v>303</v>
      </c>
      <c r="W214" s="11">
        <f t="shared" si="8"/>
        <v>38</v>
      </c>
      <c r="X214" s="11">
        <f t="shared" si="9"/>
        <v>-38</v>
      </c>
      <c r="Y214" s="11" t="e">
        <f>VLOOKUP($G214, SeanRanks!$A$2:$K$303, 10, FALSE)-V214</f>
        <v>#VALUE!</v>
      </c>
      <c r="Z214" s="25" t="str">
        <f>IF(VLOOKUP($G214, SeanRanks!$A$2:$H$303, 7, FALSE)=0, "", VLOOKUP($G214, SeanRanks!$A$2:$H$303, 7, FALSE))</f>
        <v/>
      </c>
    </row>
    <row r="215" spans="1:26" ht="14.25" hidden="1" customHeight="1" x14ac:dyDescent="0.25">
      <c r="A215" s="11"/>
      <c r="B215" s="11">
        <f t="shared" si="3"/>
        <v>23</v>
      </c>
      <c r="C215" s="11" t="s">
        <v>148</v>
      </c>
      <c r="D215" s="11"/>
      <c r="E215" s="11"/>
      <c r="F215" s="11">
        <f>VLOOKUP(G215, SeanRanks!$A$2:$E$302, 4, FALSE)</f>
        <v>0</v>
      </c>
      <c r="G215" s="11" t="s">
        <v>403</v>
      </c>
      <c r="H215" s="11" t="str">
        <f>VLOOKUP($G215, 'ADP Data'!$C$4:$Q$300, 2, FALSE)</f>
        <v>IND</v>
      </c>
      <c r="I215" s="11">
        <f>VLOOKUP(G215, 'ADP Data'!$C$4:$R$498, 12, FALSE)</f>
        <v>188</v>
      </c>
      <c r="J215" s="11" t="str">
        <f>VLOOKUP($G215, SeanRanks!$A$2:$H$303, 5, FALSE)</f>
        <v>Yes</v>
      </c>
      <c r="K215" s="11" t="str">
        <f>IF(VLOOKUP($G215, SeanRanks!$A$2:$H$303, 6, FALSE)=0, "", VLOOKUP($G215, SeanRanks!$A$2:$H$303, 6, FALSE))</f>
        <v>Fine very late round pick</v>
      </c>
      <c r="L215" s="11">
        <f t="shared" si="4"/>
        <v>35</v>
      </c>
      <c r="M215" s="11">
        <f>VLOOKUP($G215, 'ADP Data'!$C$4:$Q$300, 9, FALSE)</f>
        <v>277</v>
      </c>
      <c r="N215" s="11">
        <f t="shared" si="5"/>
        <v>24</v>
      </c>
      <c r="O215" s="11">
        <f>VLOOKUP($G215, 'ADP Data'!$C$4:$Q$300, 3, FALSE)</f>
        <v>156</v>
      </c>
      <c r="P215" s="11">
        <f t="shared" si="6"/>
        <v>121</v>
      </c>
      <c r="Q215" s="11" t="str">
        <f>VLOOKUP($G215, 'ADP Data'!$C$4:$Q$300, 4, FALSE)</f>
        <v>-</v>
      </c>
      <c r="R215" s="11">
        <f>VLOOKUP($G215, 'ADP Data'!$C$4:$Q$300, 5, FALSE)</f>
        <v>310</v>
      </c>
      <c r="S215" s="11">
        <f>VLOOKUP($G215, 'ADP Data'!$C$4:$Q$300, 6, FALSE)</f>
        <v>231</v>
      </c>
      <c r="T215" s="11">
        <f>VLOOKUP($G215, 'ADP Data'!$C$4:$Q$300, 7, FALSE)</f>
        <v>236</v>
      </c>
      <c r="U215" s="11">
        <f>VLOOKUP($G215, 'ADP Data'!$C$4:$Q$300, 8, FALSE)</f>
        <v>310</v>
      </c>
      <c r="V215" s="11">
        <f t="shared" si="7"/>
        <v>253</v>
      </c>
      <c r="W215" s="11">
        <f t="shared" si="8"/>
        <v>32</v>
      </c>
      <c r="X215" s="11">
        <f t="shared" si="9"/>
        <v>-32</v>
      </c>
      <c r="Y215" s="11">
        <f>VLOOKUP($G215, SeanRanks!$A$2:$K$303, 10, FALSE)-V215</f>
        <v>-8</v>
      </c>
      <c r="Z215" s="25">
        <f>IF(VLOOKUP($G215, SeanRanks!$A$2:$H$303, 7, FALSE)=0, "", VLOOKUP($G215, SeanRanks!$A$2:$H$303, 7, FALSE))</f>
        <v>25</v>
      </c>
    </row>
    <row r="216" spans="1:26" ht="14.25" hidden="1" customHeight="1" x14ac:dyDescent="0.25">
      <c r="A216" s="11"/>
      <c r="B216" s="11">
        <f t="shared" si="3"/>
        <v>19</v>
      </c>
      <c r="C216" s="11" t="s">
        <v>148</v>
      </c>
      <c r="D216" s="11"/>
      <c r="E216" s="11"/>
      <c r="F216" s="11">
        <f>VLOOKUP(G216, SeanRanks!$A$2:$E$302, 4, FALSE)</f>
        <v>0</v>
      </c>
      <c r="G216" s="11" t="s">
        <v>943</v>
      </c>
      <c r="H216" s="11" t="str">
        <f>VLOOKUP($G216, 'ADP Data'!$C$4:$Q$300, 2, FALSE)</f>
        <v>TB</v>
      </c>
      <c r="I216" s="11" t="str">
        <f>VLOOKUP(G216, 'ADP Data'!$C$4:$R$498, 12, FALSE)</f>
        <v>-</v>
      </c>
      <c r="J216" s="11">
        <f>VLOOKUP($G216, SeanRanks!$A$2:$H$303, 5, FALSE)</f>
        <v>0</v>
      </c>
      <c r="K216" s="11" t="str">
        <f>IF(VLOOKUP($G216, SeanRanks!$A$2:$H$303, 6, FALSE)=0, "", VLOOKUP($G216, SeanRanks!$A$2:$H$303, 6, FALSE))</f>
        <v/>
      </c>
      <c r="L216" s="11">
        <f t="shared" si="4"/>
        <v>24</v>
      </c>
      <c r="M216" s="11">
        <f>VLOOKUP($G216, 'ADP Data'!$C$4:$Q$300, 9, FALSE)</f>
        <v>184</v>
      </c>
      <c r="N216" s="11">
        <f t="shared" si="5"/>
        <v>-36</v>
      </c>
      <c r="O216" s="11" t="str">
        <f>VLOOKUP($G216, 'ADP Data'!$C$4:$Q$300, 3, FALSE)</f>
        <v>-</v>
      </c>
      <c r="P216" s="11" t="e">
        <f t="shared" si="6"/>
        <v>#VALUE!</v>
      </c>
      <c r="Q216" s="11">
        <f>VLOOKUP($G216, 'ADP Data'!$C$4:$Q$300, 4, FALSE)</f>
        <v>202</v>
      </c>
      <c r="R216" s="11">
        <f>VLOOKUP($G216, 'ADP Data'!$C$4:$Q$300, 5, FALSE)</f>
        <v>228</v>
      </c>
      <c r="S216" s="11">
        <f>VLOOKUP($G216, 'ADP Data'!$C$4:$Q$300, 6, FALSE)</f>
        <v>317</v>
      </c>
      <c r="T216" s="11">
        <f>VLOOKUP($G216, 'ADP Data'!$C$4:$Q$300, 7, FALSE)</f>
        <v>254</v>
      </c>
      <c r="U216" s="11">
        <f>VLOOKUP($G216, 'ADP Data'!$C$4:$Q$300, 8, FALSE)</f>
        <v>138</v>
      </c>
      <c r="V216" s="11">
        <f t="shared" si="7"/>
        <v>220</v>
      </c>
      <c r="W216" s="11">
        <f t="shared" si="8"/>
        <v>28</v>
      </c>
      <c r="X216" s="11">
        <f t="shared" si="9"/>
        <v>-28</v>
      </c>
      <c r="Y216" s="11" t="e">
        <f>VLOOKUP($G216, SeanRanks!$A$2:$K$303, 10, FALSE)-V216</f>
        <v>#VALUE!</v>
      </c>
      <c r="Z216" s="25" t="str">
        <f>IF(VLOOKUP($G216, SeanRanks!$A$2:$H$303, 7, FALSE)=0, "", VLOOKUP($G216, SeanRanks!$A$2:$H$303, 7, FALSE))</f>
        <v/>
      </c>
    </row>
    <row r="217" spans="1:26" ht="14.25" hidden="1" customHeight="1" x14ac:dyDescent="0.25">
      <c r="A217" s="11"/>
      <c r="B217" s="11" t="e">
        <f t="shared" si="3"/>
        <v>#N/A</v>
      </c>
      <c r="C217" s="11" t="s">
        <v>148</v>
      </c>
      <c r="D217" s="11"/>
      <c r="E217" s="11"/>
      <c r="F217" s="11" t="e">
        <f>VLOOKUP(G217, SeanRanks!$A$2:$E$302, 4, FALSE)</f>
        <v>#N/A</v>
      </c>
      <c r="G217" s="11" t="s">
        <v>944</v>
      </c>
      <c r="H217" s="11" t="e">
        <f>VLOOKUP($G217, 'ADP Data'!$C$4:$Q$300, 2, FALSE)</f>
        <v>#N/A</v>
      </c>
      <c r="I217" s="11" t="e">
        <f>VLOOKUP(G217, 'ADP Data'!$C$4:$R$498, 12, FALSE)</f>
        <v>#N/A</v>
      </c>
      <c r="J217" s="11" t="e">
        <f>VLOOKUP($G217, SeanRanks!$A$2:$H$303, 5, FALSE)</f>
        <v>#N/A</v>
      </c>
      <c r="K217" s="11" t="e">
        <f>IF(VLOOKUP($G217, SeanRanks!$A$2:$H$303, 6, FALSE)=0, "", VLOOKUP($G217, SeanRanks!$A$2:$H$303, 6, FALSE))</f>
        <v>#N/A</v>
      </c>
      <c r="L217" s="11">
        <f t="shared" si="4"/>
        <v>16</v>
      </c>
      <c r="M217" s="11" t="e">
        <f>VLOOKUP($G217, 'ADP Data'!$C$4:$Q$300, 9, FALSE)</f>
        <v>#N/A</v>
      </c>
      <c r="N217" s="11" t="e">
        <f t="shared" si="5"/>
        <v>#N/A</v>
      </c>
      <c r="O217" s="11" t="e">
        <f>VLOOKUP($G217, 'ADP Data'!$C$4:$Q$300, 3, FALSE)</f>
        <v>#N/A</v>
      </c>
      <c r="P217" s="11" t="e">
        <f t="shared" si="6"/>
        <v>#N/A</v>
      </c>
      <c r="Q217" s="11" t="e">
        <f>VLOOKUP($G217, 'ADP Data'!$C$4:$Q$300, 4, FALSE)</f>
        <v>#N/A</v>
      </c>
      <c r="R217" s="11" t="e">
        <f>VLOOKUP($G217, 'ADP Data'!$C$4:$Q$300, 5, FALSE)</f>
        <v>#N/A</v>
      </c>
      <c r="S217" s="11" t="e">
        <f>VLOOKUP($G217, 'ADP Data'!$C$4:$Q$300, 6, FALSE)</f>
        <v>#N/A</v>
      </c>
      <c r="T217" s="11" t="e">
        <f>VLOOKUP($G217, 'ADP Data'!$C$4:$Q$300, 7, FALSE)</f>
        <v>#N/A</v>
      </c>
      <c r="U217" s="11" t="e">
        <f>VLOOKUP($G217, 'ADP Data'!$C$4:$Q$300, 8, FALSE)</f>
        <v>#N/A</v>
      </c>
      <c r="V217" s="11" t="e">
        <f t="shared" si="7"/>
        <v>#N/A</v>
      </c>
      <c r="W217" s="11">
        <f t="shared" si="8"/>
        <v>16</v>
      </c>
      <c r="X217" s="11">
        <f t="shared" si="9"/>
        <v>-16</v>
      </c>
      <c r="Y217" s="11" t="e">
        <f>VLOOKUP($G217, SeanRanks!$A$2:$K$303, 10, FALSE)-V217</f>
        <v>#N/A</v>
      </c>
      <c r="Z217" s="25" t="e">
        <f>IF(VLOOKUP($G217, SeanRanks!$A$2:$H$303, 7, FALSE)=0, "", VLOOKUP($G217, SeanRanks!$A$2:$H$303, 7, FALSE))</f>
        <v>#N/A</v>
      </c>
    </row>
    <row r="218" spans="1:26" ht="14.25" customHeight="1" x14ac:dyDescent="0.25">
      <c r="A218" s="11"/>
      <c r="B218" s="11">
        <f t="shared" si="3"/>
        <v>20</v>
      </c>
      <c r="C218" s="11" t="s">
        <v>148</v>
      </c>
      <c r="D218" s="11"/>
      <c r="E218" s="11"/>
      <c r="F218" s="11">
        <f>VLOOKUP(G218, SeanRanks!$A$2:$E$302, 4, FALSE)</f>
        <v>0</v>
      </c>
      <c r="G218" s="11" t="s">
        <v>945</v>
      </c>
      <c r="H218" s="11" t="str">
        <f>VLOOKUP($G218, 'ADP Data'!$C$4:$Q$300, 2, FALSE)</f>
        <v>CHI</v>
      </c>
      <c r="I218" s="11">
        <f>VLOOKUP(G218, 'ADP Data'!$C$4:$R$498, 12, FALSE)</f>
        <v>220</v>
      </c>
      <c r="J218" s="11">
        <f>VLOOKUP($G218, SeanRanks!$A$2:$H$303, 5, FALSE)</f>
        <v>0</v>
      </c>
      <c r="K218" s="11" t="str">
        <f>IF(VLOOKUP($G218, SeanRanks!$A$2:$H$303, 6, FALSE)=0, "", VLOOKUP($G218, SeanRanks!$A$2:$H$303, 6, FALSE))</f>
        <v/>
      </c>
      <c r="L218" s="11">
        <f t="shared" si="4"/>
        <v>26</v>
      </c>
      <c r="M218" s="11">
        <f>VLOOKUP($G218, 'ADP Data'!$C$4:$Q$300, 9, FALSE)</f>
        <v>203</v>
      </c>
      <c r="N218" s="11">
        <f t="shared" si="5"/>
        <v>-25</v>
      </c>
      <c r="O218" s="11">
        <f>VLOOKUP($G218, 'ADP Data'!$C$4:$Q$300, 3, FALSE)</f>
        <v>213</v>
      </c>
      <c r="P218" s="11">
        <f t="shared" si="6"/>
        <v>-10</v>
      </c>
      <c r="Q218" s="11" t="str">
        <f>VLOOKUP($G218, 'ADP Data'!$C$4:$Q$300, 4, FALSE)</f>
        <v>-</v>
      </c>
      <c r="R218" s="11">
        <f>VLOOKUP($G218, 'ADP Data'!$C$4:$Q$300, 5, FALSE)</f>
        <v>275</v>
      </c>
      <c r="S218" s="11">
        <f>VLOOKUP($G218, 'ADP Data'!$C$4:$Q$300, 6, FALSE)</f>
        <v>186</v>
      </c>
      <c r="T218" s="11">
        <f>VLOOKUP($G218, 'ADP Data'!$C$4:$Q$300, 7, FALSE)</f>
        <v>188</v>
      </c>
      <c r="U218" s="11">
        <f>VLOOKUP($G218, 'ADP Data'!$C$4:$Q$300, 8, FALSE)</f>
        <v>304</v>
      </c>
      <c r="V218" s="11">
        <f t="shared" si="7"/>
        <v>228</v>
      </c>
      <c r="W218" s="11">
        <f t="shared" si="8"/>
        <v>29</v>
      </c>
      <c r="X218" s="11">
        <f t="shared" si="9"/>
        <v>-29</v>
      </c>
      <c r="Y218" s="11">
        <f>VLOOKUP($G218, SeanRanks!$A$2:$K$303, 10, FALSE)-V218</f>
        <v>-57</v>
      </c>
      <c r="Z218" s="25" t="str">
        <f>IF(VLOOKUP($G218, SeanRanks!$A$2:$H$303, 7, FALSE)=0, "", VLOOKUP($G218, SeanRanks!$A$2:$H$303, 7, FALSE))</f>
        <v/>
      </c>
    </row>
    <row r="219" spans="1:26" ht="14.25" hidden="1" customHeight="1" x14ac:dyDescent="0.25">
      <c r="A219" s="11"/>
      <c r="B219" s="11">
        <f t="shared" si="3"/>
        <v>22</v>
      </c>
      <c r="C219" s="11" t="s">
        <v>148</v>
      </c>
      <c r="D219" s="11"/>
      <c r="E219" s="11"/>
      <c r="F219" s="11">
        <f>VLOOKUP(G219, SeanRanks!$A$2:$E$302, 4, FALSE)</f>
        <v>0</v>
      </c>
      <c r="G219" s="11" t="s">
        <v>946</v>
      </c>
      <c r="H219" s="11" t="str">
        <f>VLOOKUP($G219, 'ADP Data'!$C$4:$Q$300, 2, FALSE)</f>
        <v>IND</v>
      </c>
      <c r="I219" s="11" t="str">
        <f>VLOOKUP(G219, 'ADP Data'!$C$4:$R$498, 12, FALSE)</f>
        <v>-</v>
      </c>
      <c r="J219" s="11">
        <f>VLOOKUP($G219, SeanRanks!$A$2:$H$303, 5, FALSE)</f>
        <v>0</v>
      </c>
      <c r="K219" s="11" t="str">
        <f>IF(VLOOKUP($G219, SeanRanks!$A$2:$H$303, 6, FALSE)=0, "", VLOOKUP($G219, SeanRanks!$A$2:$H$303, 6, FALSE))</f>
        <v/>
      </c>
      <c r="L219" s="11">
        <f t="shared" si="4"/>
        <v>37</v>
      </c>
      <c r="M219" s="11">
        <f>VLOOKUP($G219, 'ADP Data'!$C$4:$Q$300, 9, FALSE)</f>
        <v>290</v>
      </c>
      <c r="N219" s="11">
        <f t="shared" si="5"/>
        <v>29</v>
      </c>
      <c r="O219" s="11" t="str">
        <f>VLOOKUP($G219, 'ADP Data'!$C$4:$Q$300, 3, FALSE)</f>
        <v>-</v>
      </c>
      <c r="P219" s="11" t="e">
        <f t="shared" si="6"/>
        <v>#VALUE!</v>
      </c>
      <c r="Q219" s="11">
        <f>VLOOKUP($G219, 'ADP Data'!$C$4:$Q$300, 4, FALSE)</f>
        <v>180</v>
      </c>
      <c r="R219" s="11" t="str">
        <f>VLOOKUP($G219, 'ADP Data'!$C$4:$Q$300, 5, FALSE)</f>
        <v>-</v>
      </c>
      <c r="S219" s="11">
        <f>VLOOKUP($G219, 'ADP Data'!$C$4:$Q$300, 6, FALSE)</f>
        <v>331</v>
      </c>
      <c r="T219" s="11">
        <f>VLOOKUP($G219, 'ADP Data'!$C$4:$Q$300, 7, FALSE)</f>
        <v>271</v>
      </c>
      <c r="U219" s="11">
        <f>VLOOKUP($G219, 'ADP Data'!$C$4:$Q$300, 8, FALSE)</f>
        <v>234</v>
      </c>
      <c r="V219" s="11">
        <f t="shared" si="7"/>
        <v>261</v>
      </c>
      <c r="W219" s="11">
        <f t="shared" si="8"/>
        <v>33</v>
      </c>
      <c r="X219" s="11">
        <f t="shared" si="9"/>
        <v>-33</v>
      </c>
      <c r="Y219" s="11" t="e">
        <f>VLOOKUP($G219, SeanRanks!$A$2:$K$303, 10, FALSE)-V219</f>
        <v>#VALUE!</v>
      </c>
      <c r="Z219" s="25" t="str">
        <f>IF(VLOOKUP($G219, SeanRanks!$A$2:$H$303, 7, FALSE)=0, "", VLOOKUP($G219, SeanRanks!$A$2:$H$303, 7, FALSE))</f>
        <v/>
      </c>
    </row>
    <row r="220" spans="1:26" ht="14.25" hidden="1" customHeight="1" x14ac:dyDescent="0.25">
      <c r="A220" s="11"/>
      <c r="B220" s="11">
        <f t="shared" si="3"/>
        <v>14</v>
      </c>
      <c r="C220" s="11" t="s">
        <v>148</v>
      </c>
      <c r="D220" s="11"/>
      <c r="E220" s="11"/>
      <c r="F220" s="11">
        <f>VLOOKUP(G220, SeanRanks!$A$2:$E$302, 4, FALSE)</f>
        <v>0</v>
      </c>
      <c r="G220" s="11" t="s">
        <v>947</v>
      </c>
      <c r="H220" s="11" t="str">
        <f>VLOOKUP($G220, 'ADP Data'!$C$4:$Q$300, 2, FALSE)</f>
        <v>WAS</v>
      </c>
      <c r="I220" s="11">
        <f>VLOOKUP(G220, 'ADP Data'!$C$4:$R$498, 12, FALSE)</f>
        <v>158</v>
      </c>
      <c r="J220" s="11">
        <f>VLOOKUP($G220, SeanRanks!$A$2:$H$303, 5, FALSE)</f>
        <v>0</v>
      </c>
      <c r="K220" s="11" t="str">
        <f>IF(VLOOKUP($G220, SeanRanks!$A$2:$H$303, 6, FALSE)=0, "", VLOOKUP($G220, SeanRanks!$A$2:$H$303, 6, FALSE))</f>
        <v/>
      </c>
      <c r="L220" s="11">
        <f t="shared" si="4"/>
        <v>21</v>
      </c>
      <c r="M220" s="11">
        <f>VLOOKUP($G220, 'ADP Data'!$C$4:$Q$300, 9, FALSE)</f>
        <v>165</v>
      </c>
      <c r="N220" s="11">
        <f t="shared" si="5"/>
        <v>8</v>
      </c>
      <c r="O220" s="11">
        <f>VLOOKUP($G220, 'ADP Data'!$C$4:$Q$300, 3, FALSE)</f>
        <v>115</v>
      </c>
      <c r="P220" s="11">
        <f t="shared" si="6"/>
        <v>50</v>
      </c>
      <c r="Q220" s="11">
        <f>VLOOKUP($G220, 'ADP Data'!$C$4:$Q$300, 4, FALSE)</f>
        <v>154</v>
      </c>
      <c r="R220" s="11">
        <f>VLOOKUP($G220, 'ADP Data'!$C$4:$Q$300, 5, FALSE)</f>
        <v>207</v>
      </c>
      <c r="S220" s="11">
        <f>VLOOKUP($G220, 'ADP Data'!$C$4:$Q$300, 6, FALSE)</f>
        <v>133</v>
      </c>
      <c r="T220" s="11">
        <f>VLOOKUP($G220, 'ADP Data'!$C$4:$Q$300, 7, FALSE)</f>
        <v>165</v>
      </c>
      <c r="U220" s="11">
        <f>VLOOKUP($G220, 'ADP Data'!$C$4:$Q$300, 8, FALSE)</f>
        <v>162</v>
      </c>
      <c r="V220" s="11">
        <f t="shared" si="7"/>
        <v>157</v>
      </c>
      <c r="W220" s="11">
        <f t="shared" si="8"/>
        <v>20</v>
      </c>
      <c r="X220" s="11">
        <f t="shared" si="9"/>
        <v>-20</v>
      </c>
      <c r="Y220" s="11">
        <f>VLOOKUP($G220, SeanRanks!$A$2:$K$303, 10, FALSE)-V220</f>
        <v>-4</v>
      </c>
      <c r="Z220" s="25" t="str">
        <f>IF(VLOOKUP($G220, SeanRanks!$A$2:$H$303, 7, FALSE)=0, "", VLOOKUP($G220, SeanRanks!$A$2:$H$303, 7, FALSE))</f>
        <v/>
      </c>
    </row>
    <row r="221" spans="1:26" ht="14.25" customHeight="1" x14ac:dyDescent="0.25">
      <c r="A221" s="11"/>
      <c r="B221" s="11">
        <f t="shared" si="3"/>
        <v>24</v>
      </c>
      <c r="C221" s="11" t="s">
        <v>148</v>
      </c>
      <c r="D221" s="11"/>
      <c r="E221" s="11"/>
      <c r="F221" s="11">
        <f>VLOOKUP(G221, SeanRanks!$A$2:$E$302, 4, FALSE)</f>
        <v>0</v>
      </c>
      <c r="G221" s="11" t="s">
        <v>948</v>
      </c>
      <c r="H221" s="11" t="str">
        <f>VLOOKUP($G221, 'ADP Data'!$C$4:$Q$300, 2, FALSE)</f>
        <v>KC</v>
      </c>
      <c r="I221" s="11">
        <f>VLOOKUP(G221, 'ADP Data'!$C$4:$R$498, 12, FALSE)</f>
        <v>283</v>
      </c>
      <c r="J221" s="11">
        <f>VLOOKUP($G221, SeanRanks!$A$2:$H$303, 5, FALSE)</f>
        <v>0</v>
      </c>
      <c r="K221" s="11" t="str">
        <f>IF(VLOOKUP($G221, SeanRanks!$A$2:$H$303, 6, FALSE)=0, "", VLOOKUP($G221, SeanRanks!$A$2:$H$303, 6, FALSE))</f>
        <v/>
      </c>
      <c r="L221" s="11">
        <f t="shared" si="4"/>
        <v>36</v>
      </c>
      <c r="M221" s="11">
        <f>VLOOKUP($G221, 'ADP Data'!$C$4:$Q$300, 9, FALSE)</f>
        <v>287</v>
      </c>
      <c r="N221" s="11">
        <f t="shared" si="5"/>
        <v>5</v>
      </c>
      <c r="O221" s="11" t="str">
        <f>VLOOKUP($G221, 'ADP Data'!$C$4:$Q$300, 3, FALSE)</f>
        <v>-</v>
      </c>
      <c r="P221" s="11" t="e">
        <f t="shared" si="6"/>
        <v>#VALUE!</v>
      </c>
      <c r="Q221" s="11" t="str">
        <f>VLOOKUP($G221, 'ADP Data'!$C$4:$Q$300, 4, FALSE)</f>
        <v>-</v>
      </c>
      <c r="R221" s="11">
        <f>VLOOKUP($G221, 'ADP Data'!$C$4:$Q$300, 5, FALSE)</f>
        <v>313</v>
      </c>
      <c r="S221" s="11">
        <f>VLOOKUP($G221, 'ADP Data'!$C$4:$Q$300, 6, FALSE)</f>
        <v>293</v>
      </c>
      <c r="T221" s="11">
        <f>VLOOKUP($G221, 'ADP Data'!$C$4:$Q$300, 7, FALSE)</f>
        <v>268</v>
      </c>
      <c r="U221" s="11">
        <f>VLOOKUP($G221, 'ADP Data'!$C$4:$Q$300, 8, FALSE)</f>
        <v>252</v>
      </c>
      <c r="V221" s="11">
        <f t="shared" si="7"/>
        <v>282</v>
      </c>
      <c r="W221" s="11">
        <f t="shared" si="8"/>
        <v>36</v>
      </c>
      <c r="X221" s="11">
        <f t="shared" si="9"/>
        <v>-36</v>
      </c>
      <c r="Y221" s="11" t="e">
        <f>VLOOKUP($G221, SeanRanks!$A$2:$K$303, 10, FALSE)-V221</f>
        <v>#VALUE!</v>
      </c>
      <c r="Z221" s="25" t="str">
        <f>IF(VLOOKUP($G221, SeanRanks!$A$2:$H$303, 7, FALSE)=0, "", VLOOKUP($G221, SeanRanks!$A$2:$H$303, 7, FALSE))</f>
        <v/>
      </c>
    </row>
    <row r="222" spans="1:26" ht="14.25" hidden="1" customHeight="1" x14ac:dyDescent="0.25">
      <c r="A222" s="11"/>
      <c r="B222" s="11">
        <f t="shared" si="3"/>
        <v>21</v>
      </c>
      <c r="C222" s="11" t="s">
        <v>148</v>
      </c>
      <c r="D222" s="11"/>
      <c r="E222" s="11"/>
      <c r="F222" s="11">
        <f>VLOOKUP(G222, SeanRanks!$A$2:$E$302, 4, FALSE)</f>
        <v>0</v>
      </c>
      <c r="G222" s="11" t="s">
        <v>949</v>
      </c>
      <c r="H222" s="11" t="str">
        <f>VLOOKUP($G222, 'ADP Data'!$C$4:$Q$300, 2, FALSE)</f>
        <v>NYG</v>
      </c>
      <c r="I222" s="11">
        <f>VLOOKUP(G222, 'ADP Data'!$C$4:$R$498, 12, FALSE)</f>
        <v>217</v>
      </c>
      <c r="J222" s="11">
        <f>VLOOKUP($G222, SeanRanks!$A$2:$H$303, 5, FALSE)</f>
        <v>0</v>
      </c>
      <c r="K222" s="11" t="str">
        <f>IF(VLOOKUP($G222, SeanRanks!$A$2:$H$303, 6, FALSE)=0, "", VLOOKUP($G222, SeanRanks!$A$2:$H$303, 6, FALSE))</f>
        <v/>
      </c>
      <c r="L222" s="11">
        <f t="shared" si="4"/>
        <v>34</v>
      </c>
      <c r="M222" s="11">
        <f>VLOOKUP($G222, 'ADP Data'!$C$4:$Q$300, 9, FALSE)</f>
        <v>265</v>
      </c>
      <c r="N222" s="11">
        <f t="shared" si="5"/>
        <v>20</v>
      </c>
      <c r="O222" s="11" t="str">
        <f>VLOOKUP($G222, 'ADP Data'!$C$4:$Q$300, 3, FALSE)</f>
        <v>-</v>
      </c>
      <c r="P222" s="11" t="e">
        <f t="shared" si="6"/>
        <v>#VALUE!</v>
      </c>
      <c r="Q222" s="11">
        <f>VLOOKUP($G222, 'ADP Data'!$C$4:$Q$300, 4, FALSE)</f>
        <v>239</v>
      </c>
      <c r="R222" s="11">
        <f>VLOOKUP($G222, 'ADP Data'!$C$4:$Q$300, 5, FALSE)</f>
        <v>264</v>
      </c>
      <c r="S222" s="11">
        <f>VLOOKUP($G222, 'ADP Data'!$C$4:$Q$300, 6, FALSE)</f>
        <v>243</v>
      </c>
      <c r="T222" s="11">
        <f>VLOOKUP($G222, 'ADP Data'!$C$4:$Q$300, 7, FALSE)</f>
        <v>238</v>
      </c>
      <c r="U222" s="11">
        <f>VLOOKUP($G222, 'ADP Data'!$C$4:$Q$300, 8, FALSE)</f>
        <v>225</v>
      </c>
      <c r="V222" s="11">
        <f t="shared" si="7"/>
        <v>245</v>
      </c>
      <c r="W222" s="11">
        <f t="shared" si="8"/>
        <v>31</v>
      </c>
      <c r="X222" s="11">
        <f t="shared" si="9"/>
        <v>-31</v>
      </c>
      <c r="Y222" s="11" t="e">
        <f>VLOOKUP($G222, SeanRanks!$A$2:$K$303, 10, FALSE)-V222</f>
        <v>#VALUE!</v>
      </c>
      <c r="Z222" s="25" t="str">
        <f>IF(VLOOKUP($G222, SeanRanks!$A$2:$H$303, 7, FALSE)=0, "", VLOOKUP($G222, SeanRanks!$A$2:$H$303, 7, FALSE))</f>
        <v/>
      </c>
    </row>
    <row r="223" spans="1:26" ht="14.25" hidden="1" customHeight="1" x14ac:dyDescent="0.25">
      <c r="A223" s="11"/>
      <c r="B223" s="11">
        <f t="shared" si="3"/>
        <v>11</v>
      </c>
      <c r="C223" s="11" t="s">
        <v>148</v>
      </c>
      <c r="D223" s="11"/>
      <c r="E223" s="11"/>
      <c r="F223" s="11">
        <f>VLOOKUP(G223, SeanRanks!$A$2:$E$302, 4, FALSE)</f>
        <v>0</v>
      </c>
      <c r="G223" s="11" t="s">
        <v>204</v>
      </c>
      <c r="H223" s="11" t="str">
        <f>VLOOKUP($G223, 'ADP Data'!$C$4:$Q$300, 2, FALSE)</f>
        <v>NE</v>
      </c>
      <c r="I223" s="11">
        <f>VLOOKUP(G223, 'ADP Data'!$C$4:$R$498, 12, FALSE)</f>
        <v>110</v>
      </c>
      <c r="J223" s="11">
        <f>VLOOKUP($G223, SeanRanks!$A$2:$H$303, 5, FALSE)</f>
        <v>0</v>
      </c>
      <c r="K223" s="11" t="str">
        <f>IF(VLOOKUP($G223, SeanRanks!$A$2:$H$303, 6, FALSE)=0, "", VLOOKUP($G223, SeanRanks!$A$2:$H$303, 6, FALSE))</f>
        <v>QB2 - 1 - League Winner</v>
      </c>
      <c r="L223" s="11">
        <f t="shared" si="4"/>
        <v>16</v>
      </c>
      <c r="M223" s="11">
        <f>VLOOKUP($G223, 'ADP Data'!$C$4:$Q$300, 9, FALSE)</f>
        <v>127</v>
      </c>
      <c r="N223" s="11">
        <f t="shared" si="5"/>
        <v>1</v>
      </c>
      <c r="O223" s="11">
        <f>VLOOKUP($G223, 'ADP Data'!$C$4:$Q$300, 3, FALSE)</f>
        <v>130</v>
      </c>
      <c r="P223" s="11">
        <f t="shared" si="6"/>
        <v>-3</v>
      </c>
      <c r="Q223" s="11">
        <f>VLOOKUP($G223, 'ADP Data'!$C$4:$Q$300, 4, FALSE)</f>
        <v>124</v>
      </c>
      <c r="R223" s="11">
        <f>VLOOKUP($G223, 'ADP Data'!$C$4:$Q$300, 5, FALSE)</f>
        <v>130</v>
      </c>
      <c r="S223" s="11">
        <f>VLOOKUP($G223, 'ADP Data'!$C$4:$Q$300, 6, FALSE)</f>
        <v>117</v>
      </c>
      <c r="T223" s="11">
        <f>VLOOKUP($G223, 'ADP Data'!$C$4:$Q$300, 7, FALSE)</f>
        <v>114</v>
      </c>
      <c r="U223" s="11">
        <f>VLOOKUP($G223, 'ADP Data'!$C$4:$Q$300, 8, FALSE)</f>
        <v>144</v>
      </c>
      <c r="V223" s="11">
        <f t="shared" si="7"/>
        <v>126</v>
      </c>
      <c r="W223" s="11">
        <f t="shared" si="8"/>
        <v>16</v>
      </c>
      <c r="X223" s="11">
        <f t="shared" si="9"/>
        <v>-16</v>
      </c>
      <c r="Y223" s="11">
        <f>VLOOKUP($G223, SeanRanks!$A$2:$K$303, 10, FALSE)-V223</f>
        <v>-27</v>
      </c>
      <c r="Z223" s="25">
        <f>IF(VLOOKUP($G223, SeanRanks!$A$2:$H$303, 7, FALSE)=0, "", VLOOKUP($G223, SeanRanks!$A$2:$H$303, 7, FALSE))</f>
        <v>14</v>
      </c>
    </row>
    <row r="224" spans="1:26" ht="14.25" customHeight="1" x14ac:dyDescent="0.25">
      <c r="A224" s="11"/>
      <c r="B224" s="11">
        <f t="shared" si="3"/>
        <v>12</v>
      </c>
      <c r="C224" s="11" t="s">
        <v>148</v>
      </c>
      <c r="D224" s="11"/>
      <c r="E224" s="11"/>
      <c r="F224" s="11">
        <f>VLOOKUP(G224, SeanRanks!$A$2:$E$302, 4, FALSE)</f>
        <v>0</v>
      </c>
      <c r="G224" s="11" t="s">
        <v>399</v>
      </c>
      <c r="H224" s="11" t="str">
        <f>VLOOKUP($G224, 'ADP Data'!$C$4:$Q$300, 2, FALSE)</f>
        <v>JAX</v>
      </c>
      <c r="I224" s="11">
        <f>VLOOKUP(G224, 'ADP Data'!$C$4:$R$498, 12, FALSE)</f>
        <v>126</v>
      </c>
      <c r="J224" s="11">
        <f>VLOOKUP($G224, SeanRanks!$A$2:$H$303, 5, FALSE)</f>
        <v>0</v>
      </c>
      <c r="K224" s="11" t="str">
        <f>IF(VLOOKUP($G224, SeanRanks!$A$2:$H$303, 6, FALSE)=0, "", VLOOKUP($G224, SeanRanks!$A$2:$H$303, 6, FALSE))</f>
        <v>RB4 - 1 - Path to spikes</v>
      </c>
      <c r="L224" s="11">
        <f t="shared" si="4"/>
        <v>16</v>
      </c>
      <c r="M224" s="11">
        <f>VLOOKUP($G224, 'ADP Data'!$C$4:$Q$300, 9, FALSE)</f>
        <v>122</v>
      </c>
      <c r="N224" s="11">
        <f t="shared" si="5"/>
        <v>-13</v>
      </c>
      <c r="O224" s="11">
        <f>VLOOKUP($G224, 'ADP Data'!$C$4:$Q$300, 3, FALSE)</f>
        <v>105</v>
      </c>
      <c r="P224" s="11">
        <f t="shared" si="6"/>
        <v>17</v>
      </c>
      <c r="Q224" s="11">
        <f>VLOOKUP($G224, 'ADP Data'!$C$4:$Q$300, 4, FALSE)</f>
        <v>132</v>
      </c>
      <c r="R224" s="11">
        <f>VLOOKUP($G224, 'ADP Data'!$C$4:$Q$300, 5, FALSE)</f>
        <v>139</v>
      </c>
      <c r="S224" s="11">
        <f>VLOOKUP($G224, 'ADP Data'!$C$4:$Q$300, 6, FALSE)</f>
        <v>120</v>
      </c>
      <c r="T224" s="11">
        <f>VLOOKUP($G224, 'ADP Data'!$C$4:$Q$300, 7, FALSE)</f>
        <v>118</v>
      </c>
      <c r="U224" s="11">
        <f>VLOOKUP($G224, 'ADP Data'!$C$4:$Q$300, 8, FALSE)</f>
        <v>209</v>
      </c>
      <c r="V224" s="11">
        <f t="shared" si="7"/>
        <v>135</v>
      </c>
      <c r="W224" s="11">
        <f t="shared" si="8"/>
        <v>17</v>
      </c>
      <c r="X224" s="11">
        <f t="shared" si="9"/>
        <v>-17</v>
      </c>
      <c r="Y224" s="11">
        <f>VLOOKUP($G224, SeanRanks!$A$2:$K$303, 10, FALSE)-V224</f>
        <v>-34</v>
      </c>
      <c r="Z224" s="25">
        <f>IF(VLOOKUP($G224, SeanRanks!$A$2:$H$303, 7, FALSE)=0, "", VLOOKUP($G224, SeanRanks!$A$2:$H$303, 7, FALSE))</f>
        <v>38</v>
      </c>
    </row>
    <row r="225" spans="1:26" ht="14.25" hidden="1" customHeight="1" x14ac:dyDescent="0.25">
      <c r="A225" s="11"/>
      <c r="B225" s="11">
        <f t="shared" si="3"/>
        <v>18</v>
      </c>
      <c r="C225" s="11" t="s">
        <v>148</v>
      </c>
      <c r="D225" s="11"/>
      <c r="E225" s="11"/>
      <c r="F225" s="11">
        <f>VLOOKUP(G225, SeanRanks!$A$2:$E$302, 4, FALSE)</f>
        <v>0</v>
      </c>
      <c r="G225" s="11" t="s">
        <v>431</v>
      </c>
      <c r="H225" s="11" t="str">
        <f>VLOOKUP($G225, 'ADP Data'!$C$4:$Q$300, 2, FALSE)</f>
        <v>SEA</v>
      </c>
      <c r="I225" s="11">
        <f>VLOOKUP(G225, 'ADP Data'!$C$4:$R$498, 12, FALSE)</f>
        <v>173</v>
      </c>
      <c r="J225" s="11">
        <f>VLOOKUP($G225, SeanRanks!$A$2:$H$303, 5, FALSE)</f>
        <v>0</v>
      </c>
      <c r="K225" s="11" t="str">
        <f>IF(VLOOKUP($G225, SeanRanks!$A$2:$H$303, 6, FALSE)=0, "", VLOOKUP($G225, SeanRanks!$A$2:$H$303, 6, FALSE))</f>
        <v>Don’t Draft - Streamer</v>
      </c>
      <c r="L225" s="11">
        <f t="shared" si="4"/>
        <v>29</v>
      </c>
      <c r="M225" s="11">
        <f>VLOOKUP($G225, 'ADP Data'!$C$4:$Q$300, 9, FALSE)</f>
        <v>226</v>
      </c>
      <c r="N225" s="11">
        <f t="shared" si="5"/>
        <v>16</v>
      </c>
      <c r="O225" s="11" t="str">
        <f>VLOOKUP($G225, 'ADP Data'!$C$4:$Q$300, 3, FALSE)</f>
        <v>-</v>
      </c>
      <c r="P225" s="11" t="e">
        <f t="shared" si="6"/>
        <v>#VALUE!</v>
      </c>
      <c r="Q225" s="11">
        <f>VLOOKUP($G225, 'ADP Data'!$C$4:$Q$300, 4, FALSE)</f>
        <v>204</v>
      </c>
      <c r="R225" s="11">
        <f>VLOOKUP($G225, 'ADP Data'!$C$4:$Q$300, 5, FALSE)</f>
        <v>222</v>
      </c>
      <c r="S225" s="11">
        <f>VLOOKUP($G225, 'ADP Data'!$C$4:$Q$300, 6, FALSE)</f>
        <v>213</v>
      </c>
      <c r="T225" s="11">
        <f>VLOOKUP($G225, 'ADP Data'!$C$4:$Q$300, 7, FALSE)</f>
        <v>196</v>
      </c>
      <c r="U225" s="11">
        <f>VLOOKUP($G225, 'ADP Data'!$C$4:$Q$300, 8, FALSE)</f>
        <v>201</v>
      </c>
      <c r="V225" s="11">
        <f t="shared" si="7"/>
        <v>210</v>
      </c>
      <c r="W225" s="11">
        <f t="shared" si="8"/>
        <v>27</v>
      </c>
      <c r="X225" s="11">
        <f t="shared" si="9"/>
        <v>-27</v>
      </c>
      <c r="Y225" s="11">
        <f>VLOOKUP($G225, SeanRanks!$A$2:$K$303, 10, FALSE)-V225</f>
        <v>12</v>
      </c>
      <c r="Z225" s="25" t="str">
        <f>IF(VLOOKUP($G225, SeanRanks!$A$2:$H$303, 7, FALSE)=0, "", VLOOKUP($G225, SeanRanks!$A$2:$H$303, 7, FALSE))</f>
        <v/>
      </c>
    </row>
    <row r="226" spans="1:26" ht="14.25" hidden="1" customHeight="1" x14ac:dyDescent="0.25">
      <c r="A226" s="11"/>
      <c r="B226" s="11">
        <f t="shared" si="3"/>
        <v>23</v>
      </c>
      <c r="C226" s="11" t="s">
        <v>148</v>
      </c>
      <c r="D226" s="11"/>
      <c r="E226" s="11"/>
      <c r="F226" s="11">
        <f>VLOOKUP(G226, SeanRanks!$A$2:$E$302, 4, FALSE)</f>
        <v>0</v>
      </c>
      <c r="G226" s="11" t="s">
        <v>379</v>
      </c>
      <c r="H226" s="11" t="str">
        <f>VLOOKUP($G226, 'ADP Data'!$C$4:$Q$300, 2, FALSE)</f>
        <v>NO</v>
      </c>
      <c r="I226" s="11">
        <f>VLOOKUP(G226, 'ADP Data'!$C$4:$R$498, 12, FALSE)</f>
        <v>212</v>
      </c>
      <c r="J226" s="11">
        <f>VLOOKUP($G226, SeanRanks!$A$2:$H$303, 5, FALSE)</f>
        <v>0</v>
      </c>
      <c r="K226" s="11" t="str">
        <f>IF(VLOOKUP($G226, SeanRanks!$A$2:$H$303, 6, FALSE)=0, "", VLOOKUP($G226, SeanRanks!$A$2:$H$303, 6, FALSE))</f>
        <v/>
      </c>
      <c r="L226" s="11">
        <f t="shared" si="4"/>
        <v>35</v>
      </c>
      <c r="M226" s="11">
        <f>VLOOKUP($G226, 'ADP Data'!$C$4:$Q$300, 9, FALSE)</f>
        <v>273</v>
      </c>
      <c r="N226" s="11">
        <f t="shared" si="5"/>
        <v>5</v>
      </c>
      <c r="O226" s="11" t="str">
        <f>VLOOKUP($G226, 'ADP Data'!$C$4:$Q$300, 3, FALSE)</f>
        <v>-</v>
      </c>
      <c r="P226" s="11" t="e">
        <f t="shared" si="6"/>
        <v>#VALUE!</v>
      </c>
      <c r="Q226" s="11" t="str">
        <f>VLOOKUP($G226, 'ADP Data'!$C$4:$Q$300, 4, FALSE)</f>
        <v>-</v>
      </c>
      <c r="R226" s="11">
        <f>VLOOKUP($G226, 'ADP Data'!$C$4:$Q$300, 5, FALSE)</f>
        <v>311</v>
      </c>
      <c r="S226" s="11">
        <f>VLOOKUP($G226, 'ADP Data'!$C$4:$Q$300, 6, FALSE)</f>
        <v>223</v>
      </c>
      <c r="T226" s="11">
        <f>VLOOKUP($G226, 'ADP Data'!$C$4:$Q$300, 7, FALSE)</f>
        <v>256</v>
      </c>
      <c r="U226" s="11">
        <f>VLOOKUP($G226, 'ADP Data'!$C$4:$Q$300, 8, FALSE)</f>
        <v>279</v>
      </c>
      <c r="V226" s="11">
        <f t="shared" si="7"/>
        <v>268</v>
      </c>
      <c r="W226" s="11">
        <f t="shared" si="8"/>
        <v>34</v>
      </c>
      <c r="X226" s="11">
        <f t="shared" si="9"/>
        <v>-34</v>
      </c>
      <c r="Y226" s="11" t="e">
        <f>VLOOKUP($G226, SeanRanks!$A$2:$K$303, 10, FALSE)-V226</f>
        <v>#VALUE!</v>
      </c>
      <c r="Z226" s="25" t="str">
        <f>IF(VLOOKUP($G226, SeanRanks!$A$2:$H$303, 7, FALSE)=0, "", VLOOKUP($G226, SeanRanks!$A$2:$H$303, 7, FALSE))</f>
        <v/>
      </c>
    </row>
    <row r="227" spans="1:26" ht="14.25" hidden="1" customHeight="1" x14ac:dyDescent="0.25">
      <c r="A227" s="11"/>
      <c r="B227" s="11">
        <f t="shared" si="3"/>
        <v>19</v>
      </c>
      <c r="C227" s="11" t="s">
        <v>148</v>
      </c>
      <c r="D227" s="11"/>
      <c r="E227" s="11"/>
      <c r="F227" s="11">
        <f>VLOOKUP(G227, SeanRanks!$A$2:$E$302, 4, FALSE)</f>
        <v>0</v>
      </c>
      <c r="G227" s="11" t="s">
        <v>519</v>
      </c>
      <c r="H227" s="11" t="str">
        <f>VLOOKUP($G227, 'ADP Data'!$C$4:$Q$300, 2, FALSE)</f>
        <v>LAC</v>
      </c>
      <c r="I227" s="11" t="str">
        <f>VLOOKUP(G227, 'ADP Data'!$C$4:$R$498, 12, FALSE)</f>
        <v>-</v>
      </c>
      <c r="J227" s="11">
        <f>VLOOKUP($G227, SeanRanks!$A$2:$H$303, 5, FALSE)</f>
        <v>0</v>
      </c>
      <c r="K227" s="11" t="str">
        <f>IF(VLOOKUP($G227, SeanRanks!$A$2:$H$303, 6, FALSE)=0, "", VLOOKUP($G227, SeanRanks!$A$2:$H$303, 6, FALSE))</f>
        <v/>
      </c>
      <c r="L227" s="11">
        <f t="shared" si="4"/>
        <v>31</v>
      </c>
      <c r="M227" s="11">
        <f>VLOOKUP($G227, 'ADP Data'!$C$4:$Q$300, 9, FALSE)</f>
        <v>246</v>
      </c>
      <c r="N227" s="11">
        <f t="shared" si="5"/>
        <v>26</v>
      </c>
      <c r="O227" s="11">
        <f>VLOOKUP($G227, 'ADP Data'!$C$4:$Q$300, 3, FALSE)</f>
        <v>174</v>
      </c>
      <c r="P227" s="11">
        <f t="shared" si="6"/>
        <v>72</v>
      </c>
      <c r="Q227" s="11">
        <f>VLOOKUP($G227, 'ADP Data'!$C$4:$Q$300, 4, FALSE)</f>
        <v>244</v>
      </c>
      <c r="R227" s="11">
        <f>VLOOKUP($G227, 'ADP Data'!$C$4:$Q$300, 5, FALSE)</f>
        <v>251</v>
      </c>
      <c r="S227" s="11">
        <f>VLOOKUP($G227, 'ADP Data'!$C$4:$Q$300, 6, FALSE)</f>
        <v>273</v>
      </c>
      <c r="T227" s="11">
        <f>VLOOKUP($G227, 'ADP Data'!$C$4:$Q$300, 7, FALSE)</f>
        <v>197</v>
      </c>
      <c r="U227" s="11">
        <f>VLOOKUP($G227, 'ADP Data'!$C$4:$Q$300, 8, FALSE)</f>
        <v>158</v>
      </c>
      <c r="V227" s="11">
        <f t="shared" si="7"/>
        <v>220</v>
      </c>
      <c r="W227" s="11">
        <f t="shared" si="8"/>
        <v>28</v>
      </c>
      <c r="X227" s="11">
        <f t="shared" si="9"/>
        <v>-28</v>
      </c>
      <c r="Y227" s="11">
        <f>VLOOKUP($G227, SeanRanks!$A$2:$K$303, 10, FALSE)-V227</f>
        <v>-33</v>
      </c>
      <c r="Z227" s="25" t="str">
        <f>IF(VLOOKUP($G227, SeanRanks!$A$2:$H$303, 7, FALSE)=0, "", VLOOKUP($G227, SeanRanks!$A$2:$H$303, 7, FALSE))</f>
        <v/>
      </c>
    </row>
    <row r="228" spans="1:26" ht="14.25" hidden="1" customHeight="1" x14ac:dyDescent="0.25">
      <c r="A228" s="11"/>
      <c r="B228" s="11">
        <f t="shared" si="3"/>
        <v>18</v>
      </c>
      <c r="C228" s="11" t="s">
        <v>148</v>
      </c>
      <c r="D228" s="11"/>
      <c r="E228" s="11"/>
      <c r="F228" s="11">
        <f>VLOOKUP(G228, SeanRanks!$A$2:$E$302, 4, FALSE)</f>
        <v>0</v>
      </c>
      <c r="G228" s="11" t="s">
        <v>950</v>
      </c>
      <c r="H228" s="11" t="str">
        <f>VLOOKUP($G228, 'ADP Data'!$C$4:$Q$300, 2, FALSE)</f>
        <v>PHI</v>
      </c>
      <c r="I228" s="11" t="str">
        <f>VLOOKUP(G228, 'ADP Data'!$C$4:$R$498, 12, FALSE)</f>
        <v>-</v>
      </c>
      <c r="J228" s="11">
        <f>VLOOKUP($G228, SeanRanks!$A$2:$H$303, 5, FALSE)</f>
        <v>0</v>
      </c>
      <c r="K228" s="11" t="str">
        <f>IF(VLOOKUP($G228, SeanRanks!$A$2:$H$303, 6, FALSE)=0, "", VLOOKUP($G228, SeanRanks!$A$2:$H$303, 6, FALSE))</f>
        <v/>
      </c>
      <c r="L228" s="11">
        <f t="shared" si="4"/>
        <v>27</v>
      </c>
      <c r="M228" s="11">
        <f>VLOOKUP($G228, 'ADP Data'!$C$4:$Q$300, 9, FALSE)</f>
        <v>214</v>
      </c>
      <c r="N228" s="11">
        <f t="shared" si="5"/>
        <v>16</v>
      </c>
      <c r="O228" s="11">
        <f>VLOOKUP($G228, 'ADP Data'!$C$4:$Q$300, 3, FALSE)</f>
        <v>182</v>
      </c>
      <c r="P228" s="11">
        <f t="shared" si="6"/>
        <v>32</v>
      </c>
      <c r="Q228" s="11"/>
      <c r="R228" s="11"/>
      <c r="S228" s="11"/>
      <c r="T228" s="11"/>
      <c r="U228" s="11"/>
      <c r="V228" s="11">
        <f t="shared" si="7"/>
        <v>198</v>
      </c>
      <c r="W228" s="11">
        <f t="shared" si="8"/>
        <v>25</v>
      </c>
      <c r="X228" s="11">
        <f t="shared" si="9"/>
        <v>-25</v>
      </c>
      <c r="Y228" s="11">
        <f>VLOOKUP($G228, SeanRanks!$A$2:$K$303, 10, FALSE)-V228</f>
        <v>36</v>
      </c>
      <c r="Z228" s="25" t="str">
        <f>IF(VLOOKUP($G228, SeanRanks!$A$2:$H$303, 7, FALSE)=0, "", VLOOKUP($G228, SeanRanks!$A$2:$H$303, 7, FALSE))</f>
        <v/>
      </c>
    </row>
    <row r="229" spans="1:26" ht="14.25" hidden="1" customHeight="1" x14ac:dyDescent="0.25">
      <c r="A229" s="11"/>
      <c r="B229" s="11">
        <f t="shared" si="3"/>
        <v>19</v>
      </c>
      <c r="C229" s="11" t="s">
        <v>148</v>
      </c>
      <c r="D229" s="11"/>
      <c r="E229" s="11"/>
      <c r="F229" s="11">
        <f>VLOOKUP(G229, SeanRanks!$A$2:$E$302, 4, FALSE)</f>
        <v>0</v>
      </c>
      <c r="G229" s="11" t="s">
        <v>476</v>
      </c>
      <c r="H229" s="11" t="str">
        <f>VLOOKUP($G229, 'ADP Data'!$C$4:$Q$300, 2, FALSE)</f>
        <v>SEA</v>
      </c>
      <c r="I229" s="11" t="str">
        <f>VLOOKUP(G229, 'ADP Data'!$C$4:$R$498, 12, FALSE)</f>
        <v>-</v>
      </c>
      <c r="J229" s="11">
        <f>VLOOKUP($G229, SeanRanks!$A$2:$H$303, 5, FALSE)</f>
        <v>0</v>
      </c>
      <c r="K229" s="11" t="str">
        <f>IF(VLOOKUP($G229, SeanRanks!$A$2:$H$303, 6, FALSE)=0, "", VLOOKUP($G229, SeanRanks!$A$2:$H$303, 6, FALSE))</f>
        <v/>
      </c>
      <c r="L229" s="11">
        <f t="shared" si="4"/>
        <v>23</v>
      </c>
      <c r="M229" s="11">
        <f>VLOOKUP($G229, 'ADP Data'!$C$4:$Q$300, 9, FALSE)</f>
        <v>183</v>
      </c>
      <c r="N229" s="11">
        <f t="shared" si="5"/>
        <v>-26</v>
      </c>
      <c r="O229" s="11">
        <f>VLOOKUP($G229, 'ADP Data'!$C$4:$Q$300, 3, FALSE)</f>
        <v>196</v>
      </c>
      <c r="P229" s="11">
        <f t="shared" si="6"/>
        <v>-13</v>
      </c>
      <c r="Q229" s="11">
        <f>VLOOKUP($G229, 'ADP Data'!$C$4:$Q$300, 4, FALSE)</f>
        <v>142</v>
      </c>
      <c r="R229" s="11">
        <f>VLOOKUP($G229, 'ADP Data'!$C$4:$Q$300, 5, FALSE)</f>
        <v>273</v>
      </c>
      <c r="S229" s="11">
        <f>VLOOKUP($G229, 'ADP Data'!$C$4:$Q$300, 6, FALSE)</f>
        <v>268</v>
      </c>
      <c r="T229" s="11">
        <f>VLOOKUP($G229, 'ADP Data'!$C$4:$Q$300, 7, FALSE)</f>
        <v>225</v>
      </c>
      <c r="U229" s="11">
        <f>VLOOKUP($G229, 'ADP Data'!$C$4:$Q$300, 8, FALSE)</f>
        <v>179</v>
      </c>
      <c r="V229" s="11">
        <f t="shared" si="7"/>
        <v>209</v>
      </c>
      <c r="W229" s="11">
        <f t="shared" si="8"/>
        <v>27</v>
      </c>
      <c r="X229" s="11">
        <f t="shared" si="9"/>
        <v>-27</v>
      </c>
      <c r="Y229" s="11">
        <f>VLOOKUP($G229, SeanRanks!$A$2:$K$303, 10, FALSE)-V229</f>
        <v>-12</v>
      </c>
      <c r="Z229" s="25" t="str">
        <f>IF(VLOOKUP($G229, SeanRanks!$A$2:$H$303, 7, FALSE)=0, "", VLOOKUP($G229, SeanRanks!$A$2:$H$303, 7, FALSE))</f>
        <v/>
      </c>
    </row>
    <row r="230" spans="1:26" ht="14.25" hidden="1" customHeight="1" x14ac:dyDescent="0.25">
      <c r="A230" s="11"/>
      <c r="B230" s="11">
        <f t="shared" si="3"/>
        <v>19</v>
      </c>
      <c r="C230" s="11" t="s">
        <v>148</v>
      </c>
      <c r="D230" s="11"/>
      <c r="E230" s="11"/>
      <c r="F230" s="11">
        <f>VLOOKUP(G230, SeanRanks!$A$2:$E$302, 4, FALSE)</f>
        <v>0</v>
      </c>
      <c r="G230" s="11" t="s">
        <v>625</v>
      </c>
      <c r="H230" s="11" t="str">
        <f>VLOOKUP($G230, 'ADP Data'!$C$4:$Q$300, 2, FALSE)</f>
        <v>CIN</v>
      </c>
      <c r="I230" s="11">
        <f>VLOOKUP(G230, 'ADP Data'!$C$4:$R$498, 12, FALSE)</f>
        <v>206</v>
      </c>
      <c r="J230" s="11">
        <f>VLOOKUP($G230, SeanRanks!$A$2:$H$303, 5, FALSE)</f>
        <v>0</v>
      </c>
      <c r="K230" s="11" t="str">
        <f>IF(VLOOKUP($G230, SeanRanks!$A$2:$H$303, 6, FALSE)=0, "", VLOOKUP($G230, SeanRanks!$A$2:$H$303, 6, FALSE))</f>
        <v/>
      </c>
      <c r="L230" s="11">
        <f t="shared" si="4"/>
        <v>27</v>
      </c>
      <c r="M230" s="11">
        <f>VLOOKUP($G230, 'ADP Data'!$C$4:$Q$300, 9, FALSE)</f>
        <v>209</v>
      </c>
      <c r="N230" s="11">
        <f t="shared" si="5"/>
        <v>-13</v>
      </c>
      <c r="O230" s="11" t="str">
        <f>VLOOKUP($G230, 'ADP Data'!$C$4:$Q$300, 3, FALSE)</f>
        <v>-</v>
      </c>
      <c r="P230" s="11" t="e">
        <f t="shared" si="6"/>
        <v>#VALUE!</v>
      </c>
      <c r="Q230" s="11" t="str">
        <f>VLOOKUP($G230, 'ADP Data'!$C$4:$Q$300, 4, FALSE)</f>
        <v>-</v>
      </c>
      <c r="R230" s="11">
        <f>VLOOKUP($G230, 'ADP Data'!$C$4:$Q$300, 5, FALSE)</f>
        <v>237</v>
      </c>
      <c r="S230" s="11">
        <f>VLOOKUP($G230, 'ADP Data'!$C$4:$Q$300, 6, FALSE)</f>
        <v>180</v>
      </c>
      <c r="T230" s="11">
        <f>VLOOKUP($G230, 'ADP Data'!$C$4:$Q$300, 7, FALSE)</f>
        <v>220</v>
      </c>
      <c r="U230" s="11">
        <f>VLOOKUP($G230, 'ADP Data'!$C$4:$Q$300, 8, FALSE)</f>
        <v>265</v>
      </c>
      <c r="V230" s="11">
        <f t="shared" si="7"/>
        <v>222</v>
      </c>
      <c r="W230" s="11">
        <f t="shared" si="8"/>
        <v>28</v>
      </c>
      <c r="X230" s="11">
        <f t="shared" si="9"/>
        <v>-28</v>
      </c>
      <c r="Y230" s="11">
        <f>VLOOKUP($G230, SeanRanks!$A$2:$K$303, 10, FALSE)-V230</f>
        <v>11</v>
      </c>
      <c r="Z230" s="25" t="str">
        <f>IF(VLOOKUP($G230, SeanRanks!$A$2:$H$303, 7, FALSE)=0, "", VLOOKUP($G230, SeanRanks!$A$2:$H$303, 7, FALSE))</f>
        <v/>
      </c>
    </row>
    <row r="231" spans="1:26" ht="14.25" hidden="1" customHeight="1" x14ac:dyDescent="0.25">
      <c r="A231" s="11"/>
      <c r="B231" s="11" t="e">
        <f t="shared" si="3"/>
        <v>#DIV/0!</v>
      </c>
      <c r="C231" s="11" t="s">
        <v>148</v>
      </c>
      <c r="D231" s="11"/>
      <c r="E231" s="11"/>
      <c r="F231" s="11">
        <f>VLOOKUP(G231, SeanRanks!$A$2:$E$302, 4, FALSE)</f>
        <v>0</v>
      </c>
      <c r="G231" s="11" t="s">
        <v>951</v>
      </c>
      <c r="H231" s="11" t="str">
        <f>VLOOKUP($G231, 'ADP Data'!$C$4:$Q$300, 2, FALSE)</f>
        <v>MIA</v>
      </c>
      <c r="I231" s="11" t="str">
        <f>VLOOKUP(G231, 'ADP Data'!$C$4:$R$498, 12, FALSE)</f>
        <v>-</v>
      </c>
      <c r="J231" s="11">
        <f>VLOOKUP($G231, SeanRanks!$A$2:$H$303, 5, FALSE)</f>
        <v>0</v>
      </c>
      <c r="K231" s="11" t="str">
        <f>IF(VLOOKUP($G231, SeanRanks!$A$2:$H$303, 6, FALSE)=0, "", VLOOKUP($G231, SeanRanks!$A$2:$H$303, 6, FALSE))</f>
        <v/>
      </c>
      <c r="L231" s="11">
        <f t="shared" si="4"/>
        <v>16</v>
      </c>
      <c r="M231" s="11" t="str">
        <f>VLOOKUP($G231, 'ADP Data'!$C$4:$Q$300, 9, FALSE)</f>
        <v>-</v>
      </c>
      <c r="N231" s="11" t="e">
        <f t="shared" si="5"/>
        <v>#VALUE!</v>
      </c>
      <c r="O231" s="11">
        <f>VLOOKUP($G231, 'ADP Data'!$C$4:$Q$300, 3, FALSE)</f>
        <v>188</v>
      </c>
      <c r="P231" s="11" t="e">
        <f t="shared" si="6"/>
        <v>#VALUE!</v>
      </c>
      <c r="Q231" s="11"/>
      <c r="R231" s="11"/>
      <c r="S231" s="11"/>
      <c r="T231" s="11"/>
      <c r="U231" s="11"/>
      <c r="V231" s="11">
        <f t="shared" si="7"/>
        <v>188</v>
      </c>
      <c r="W231" s="11">
        <f t="shared" si="8"/>
        <v>24</v>
      </c>
      <c r="X231" s="11">
        <f t="shared" si="9"/>
        <v>-24</v>
      </c>
      <c r="Y231" s="11">
        <f>VLOOKUP($G231, SeanRanks!$A$2:$K$303, 10, FALSE)-V231</f>
        <v>36</v>
      </c>
      <c r="Z231" s="25" t="str">
        <f>IF(VLOOKUP($G231, SeanRanks!$A$2:$H$303, 7, FALSE)=0, "", VLOOKUP($G231, SeanRanks!$A$2:$H$303, 7, FALSE))</f>
        <v/>
      </c>
    </row>
    <row r="232" spans="1:26" ht="14.25" customHeight="1" x14ac:dyDescent="0.25">
      <c r="A232" s="11"/>
      <c r="B232" s="11">
        <f t="shared" si="3"/>
        <v>19</v>
      </c>
      <c r="C232" s="11" t="s">
        <v>148</v>
      </c>
      <c r="D232" s="11"/>
      <c r="E232" s="11"/>
      <c r="F232" s="11">
        <f>VLOOKUP(G232, SeanRanks!$A$2:$E$302, 4, FALSE)</f>
        <v>0</v>
      </c>
      <c r="G232" s="11" t="s">
        <v>530</v>
      </c>
      <c r="H232" s="11" t="str">
        <f>VLOOKUP($G232, 'ADP Data'!$C$4:$Q$300, 2, FALSE)</f>
        <v>BAL</v>
      </c>
      <c r="I232" s="11">
        <f>VLOOKUP(G232, 'ADP Data'!$C$4:$R$498, 12, FALSE)</f>
        <v>205</v>
      </c>
      <c r="J232" s="11">
        <f>VLOOKUP($G232, SeanRanks!$A$2:$H$303, 5, FALSE)</f>
        <v>0</v>
      </c>
      <c r="K232" s="11" t="str">
        <f>IF(VLOOKUP($G232, SeanRanks!$A$2:$H$303, 6, FALSE)=0, "", VLOOKUP($G232, SeanRanks!$A$2:$H$303, 6, FALSE))</f>
        <v/>
      </c>
      <c r="L232" s="11">
        <f t="shared" si="4"/>
        <v>27</v>
      </c>
      <c r="M232" s="11">
        <f>VLOOKUP($G232, 'ADP Data'!$C$4:$Q$300, 9, FALSE)</f>
        <v>213</v>
      </c>
      <c r="N232" s="11">
        <f t="shared" si="5"/>
        <v>-8</v>
      </c>
      <c r="O232" s="11" t="str">
        <f>VLOOKUP($G232, 'ADP Data'!$C$4:$Q$300, 3, FALSE)</f>
        <v>-</v>
      </c>
      <c r="P232" s="11" t="e">
        <f t="shared" si="6"/>
        <v>#VALUE!</v>
      </c>
      <c r="Q232" s="11" t="str">
        <f>VLOOKUP($G232, 'ADP Data'!$C$4:$Q$300, 4, FALSE)</f>
        <v>-</v>
      </c>
      <c r="R232" s="11">
        <f>VLOOKUP($G232, 'ADP Data'!$C$4:$Q$300, 5, FALSE)</f>
        <v>278</v>
      </c>
      <c r="S232" s="11">
        <f>VLOOKUP($G232, 'ADP Data'!$C$4:$Q$300, 6, FALSE)</f>
        <v>193</v>
      </c>
      <c r="T232" s="11">
        <f>VLOOKUP($G232, 'ADP Data'!$C$4:$Q$300, 7, FALSE)</f>
        <v>190</v>
      </c>
      <c r="U232" s="11">
        <f>VLOOKUP($G232, 'ADP Data'!$C$4:$Q$300, 8, FALSE)</f>
        <v>232</v>
      </c>
      <c r="V232" s="11">
        <f t="shared" si="7"/>
        <v>221</v>
      </c>
      <c r="W232" s="11">
        <f t="shared" si="8"/>
        <v>28</v>
      </c>
      <c r="X232" s="11">
        <f t="shared" si="9"/>
        <v>-28</v>
      </c>
      <c r="Y232" s="11" t="e">
        <f>VLOOKUP($G232, SeanRanks!$A$2:$K$303, 10, FALSE)-V232</f>
        <v>#VALUE!</v>
      </c>
      <c r="Z232" s="25" t="str">
        <f>IF(VLOOKUP($G232, SeanRanks!$A$2:$H$303, 7, FALSE)=0, "", VLOOKUP($G232, SeanRanks!$A$2:$H$303, 7, FALSE))</f>
        <v/>
      </c>
    </row>
    <row r="233" spans="1:26" ht="14.25" hidden="1" customHeight="1" x14ac:dyDescent="0.25">
      <c r="A233" s="11"/>
      <c r="B233" s="11">
        <f t="shared" si="3"/>
        <v>20</v>
      </c>
      <c r="C233" s="11" t="s">
        <v>148</v>
      </c>
      <c r="D233" s="11"/>
      <c r="E233" s="11"/>
      <c r="F233" s="11">
        <f>VLOOKUP(G233, SeanRanks!$A$2:$E$302, 4, FALSE)</f>
        <v>0</v>
      </c>
      <c r="G233" s="11" t="s">
        <v>442</v>
      </c>
      <c r="H233" s="11" t="str">
        <f>VLOOKUP($G233, 'ADP Data'!$C$4:$Q$300, 2, FALSE)</f>
        <v>TB</v>
      </c>
      <c r="I233" s="11">
        <f>VLOOKUP(G233, 'ADP Data'!$C$4:$R$498, 12, FALSE)</f>
        <v>237</v>
      </c>
      <c r="J233" s="11">
        <f>VLOOKUP($G233, SeanRanks!$A$2:$H$303, 5, FALSE)</f>
        <v>0</v>
      </c>
      <c r="K233" s="11" t="str">
        <f>IF(VLOOKUP($G233, SeanRanks!$A$2:$H$303, 6, FALSE)=0, "", VLOOKUP($G233, SeanRanks!$A$2:$H$303, 6, FALSE))</f>
        <v/>
      </c>
      <c r="L233" s="11">
        <f t="shared" si="4"/>
        <v>23</v>
      </c>
      <c r="M233" s="11">
        <f>VLOOKUP($G233, 'ADP Data'!$C$4:$Q$300, 9, FALSE)</f>
        <v>177</v>
      </c>
      <c r="N233" s="11">
        <f t="shared" si="5"/>
        <v>-45</v>
      </c>
      <c r="O233" s="11" t="str">
        <f>VLOOKUP($G233, 'ADP Data'!$C$4:$Q$300, 3, FALSE)</f>
        <v>-</v>
      </c>
      <c r="P233" s="11" t="e">
        <f t="shared" si="6"/>
        <v>#VALUE!</v>
      </c>
      <c r="Q233" s="11" t="str">
        <f>VLOOKUP($G233, 'ADP Data'!$C$4:$Q$300, 4, FALSE)</f>
        <v>-</v>
      </c>
      <c r="R233" s="11" t="str">
        <f>VLOOKUP($G233, 'ADP Data'!$C$4:$Q$300, 5, FALSE)</f>
        <v>-</v>
      </c>
      <c r="S233" s="11">
        <f>VLOOKUP($G233, 'ADP Data'!$C$4:$Q$300, 6, FALSE)</f>
        <v>277</v>
      </c>
      <c r="T233" s="11">
        <f>VLOOKUP($G233, 'ADP Data'!$C$4:$Q$300, 7, FALSE)</f>
        <v>205</v>
      </c>
      <c r="U233" s="11">
        <f>VLOOKUP($G233, 'ADP Data'!$C$4:$Q$300, 8, FALSE)</f>
        <v>231</v>
      </c>
      <c r="V233" s="11">
        <f t="shared" si="7"/>
        <v>222</v>
      </c>
      <c r="W233" s="11">
        <f t="shared" si="8"/>
        <v>28</v>
      </c>
      <c r="X233" s="11">
        <f t="shared" si="9"/>
        <v>-28</v>
      </c>
      <c r="Y233" s="11" t="e">
        <f>VLOOKUP($G233, SeanRanks!$A$2:$K$303, 10, FALSE)-V233</f>
        <v>#VALUE!</v>
      </c>
      <c r="Z233" s="25" t="str">
        <f>IF(VLOOKUP($G233, SeanRanks!$A$2:$H$303, 7, FALSE)=0, "", VLOOKUP($G233, SeanRanks!$A$2:$H$303, 7, FALSE))</f>
        <v/>
      </c>
    </row>
    <row r="234" spans="1:26" ht="14.25" hidden="1" customHeight="1" x14ac:dyDescent="0.25">
      <c r="A234" s="11"/>
      <c r="B234" s="11" t="e">
        <f t="shared" si="3"/>
        <v>#N/A</v>
      </c>
      <c r="C234" s="11" t="s">
        <v>148</v>
      </c>
      <c r="D234" s="11"/>
      <c r="E234" s="11"/>
      <c r="F234" s="11" t="e">
        <f>VLOOKUP(G234, SeanRanks!$A$2:$E$302, 4, FALSE)</f>
        <v>#N/A</v>
      </c>
      <c r="G234" s="11" t="s">
        <v>952</v>
      </c>
      <c r="H234" s="11" t="e">
        <f>VLOOKUP($G234, 'ADP Data'!$C$4:$Q$300, 2, FALSE)</f>
        <v>#N/A</v>
      </c>
      <c r="I234" s="11" t="e">
        <f>VLOOKUP(G234, 'ADP Data'!$C$4:$R$498, 12, FALSE)</f>
        <v>#N/A</v>
      </c>
      <c r="J234" s="11" t="e">
        <f>VLOOKUP($G234, SeanRanks!$A$2:$H$303, 5, FALSE)</f>
        <v>#N/A</v>
      </c>
      <c r="K234" s="11" t="e">
        <f>IF(VLOOKUP($G234, SeanRanks!$A$2:$H$303, 6, FALSE)=0, "", VLOOKUP($G234, SeanRanks!$A$2:$H$303, 6, FALSE))</f>
        <v>#N/A</v>
      </c>
      <c r="L234" s="11">
        <f t="shared" si="4"/>
        <v>16</v>
      </c>
      <c r="M234" s="11" t="e">
        <f>VLOOKUP($G234, 'ADP Data'!$C$4:$Q$300, 9, FALSE)</f>
        <v>#N/A</v>
      </c>
      <c r="N234" s="11" t="e">
        <f t="shared" si="5"/>
        <v>#N/A</v>
      </c>
      <c r="O234" s="11" t="e">
        <f>VLOOKUP($G234, 'ADP Data'!$C$4:$Q$300, 3, FALSE)</f>
        <v>#N/A</v>
      </c>
      <c r="P234" s="11" t="e">
        <f t="shared" si="6"/>
        <v>#N/A</v>
      </c>
      <c r="Q234" s="11" t="e">
        <f>VLOOKUP($G234, 'ADP Data'!$C$4:$Q$300, 4, FALSE)</f>
        <v>#N/A</v>
      </c>
      <c r="R234" s="11" t="e">
        <f>VLOOKUP($G234, 'ADP Data'!$C$4:$Q$300, 5, FALSE)</f>
        <v>#N/A</v>
      </c>
      <c r="S234" s="11" t="e">
        <f>VLOOKUP($G234, 'ADP Data'!$C$4:$Q$300, 6, FALSE)</f>
        <v>#N/A</v>
      </c>
      <c r="T234" s="11" t="e">
        <f>VLOOKUP($G234, 'ADP Data'!$C$4:$Q$300, 7, FALSE)</f>
        <v>#N/A</v>
      </c>
      <c r="U234" s="11" t="e">
        <f>VLOOKUP($G234, 'ADP Data'!$C$4:$Q$300, 8, FALSE)</f>
        <v>#N/A</v>
      </c>
      <c r="V234" s="11" t="e">
        <f t="shared" si="7"/>
        <v>#N/A</v>
      </c>
      <c r="W234" s="11">
        <f t="shared" si="8"/>
        <v>16</v>
      </c>
      <c r="X234" s="11">
        <f t="shared" si="9"/>
        <v>-16</v>
      </c>
      <c r="Y234" s="11" t="e">
        <f>VLOOKUP($G234, SeanRanks!$A$2:$K$303, 10, FALSE)-V234</f>
        <v>#N/A</v>
      </c>
      <c r="Z234" s="25" t="e">
        <f>IF(VLOOKUP($G234, SeanRanks!$A$2:$H$303, 7, FALSE)=0, "", VLOOKUP($G234, SeanRanks!$A$2:$H$303, 7, FALSE))</f>
        <v>#N/A</v>
      </c>
    </row>
    <row r="235" spans="1:26" ht="14.25" customHeight="1" x14ac:dyDescent="0.25">
      <c r="A235" s="11"/>
      <c r="B235" s="11">
        <f t="shared" si="3"/>
        <v>18</v>
      </c>
      <c r="C235" s="11" t="s">
        <v>148</v>
      </c>
      <c r="D235" s="11"/>
      <c r="E235" s="11"/>
      <c r="F235" s="11">
        <f>VLOOKUP(G235, SeanRanks!$A$2:$E$302, 4, FALSE)</f>
        <v>0</v>
      </c>
      <c r="G235" s="11" t="s">
        <v>662</v>
      </c>
      <c r="H235" s="11" t="str">
        <f>VLOOKUP($G235, 'ADP Data'!$C$4:$Q$300, 2, FALSE)</f>
        <v>NO</v>
      </c>
      <c r="I235" s="11">
        <f>VLOOKUP(G235, 'ADP Data'!$C$4:$R$498, 12, FALSE)</f>
        <v>209</v>
      </c>
      <c r="J235" s="11">
        <f>VLOOKUP($G235, SeanRanks!$A$2:$H$303, 5, FALSE)</f>
        <v>0</v>
      </c>
      <c r="K235" s="11" t="str">
        <f>IF(VLOOKUP($G235, SeanRanks!$A$2:$H$303, 6, FALSE)=0, "", VLOOKUP($G235, SeanRanks!$A$2:$H$303, 6, FALSE))</f>
        <v/>
      </c>
      <c r="L235" s="11">
        <f t="shared" si="4"/>
        <v>34</v>
      </c>
      <c r="M235" s="11">
        <f>VLOOKUP($G235, 'ADP Data'!$C$4:$Q$300, 9, FALSE)</f>
        <v>266</v>
      </c>
      <c r="N235" s="11">
        <f t="shared" si="5"/>
        <v>47</v>
      </c>
      <c r="O235" s="11">
        <f>VLOOKUP($G235, 'ADP Data'!$C$4:$Q$300, 3, FALSE)</f>
        <v>202</v>
      </c>
      <c r="P235" s="11">
        <f t="shared" si="6"/>
        <v>64</v>
      </c>
      <c r="Q235" s="11" t="str">
        <f>VLOOKUP($G235, 'ADP Data'!$C$4:$Q$300, 4, FALSE)</f>
        <v>-</v>
      </c>
      <c r="R235" s="11">
        <f>VLOOKUP($G235, 'ADP Data'!$C$4:$Q$300, 5, FALSE)</f>
        <v>233</v>
      </c>
      <c r="S235" s="11">
        <f>VLOOKUP($G235, 'ADP Data'!$C$4:$Q$300, 6, FALSE)</f>
        <v>189</v>
      </c>
      <c r="T235" s="11">
        <f>VLOOKUP($G235, 'ADP Data'!$C$4:$Q$300, 7, FALSE)</f>
        <v>206</v>
      </c>
      <c r="U235" s="11" t="str">
        <f>VLOOKUP($G235, 'ADP Data'!$C$4:$Q$300, 8, FALSE)</f>
        <v>-</v>
      </c>
      <c r="V235" s="11">
        <f t="shared" si="7"/>
        <v>219</v>
      </c>
      <c r="W235" s="11">
        <f t="shared" si="8"/>
        <v>28</v>
      </c>
      <c r="X235" s="11">
        <f t="shared" si="9"/>
        <v>-28</v>
      </c>
      <c r="Y235" s="11">
        <f>VLOOKUP($G235, SeanRanks!$A$2:$K$303, 10, FALSE)-V235</f>
        <v>8</v>
      </c>
      <c r="Z235" s="25" t="str">
        <f>IF(VLOOKUP($G235, SeanRanks!$A$2:$H$303, 7, FALSE)=0, "", VLOOKUP($G235, SeanRanks!$A$2:$H$303, 7, FALSE))</f>
        <v/>
      </c>
    </row>
    <row r="236" spans="1:26" ht="14.25" hidden="1" customHeight="1" x14ac:dyDescent="0.25">
      <c r="A236" s="11"/>
      <c r="B236" s="11">
        <f t="shared" si="3"/>
        <v>21</v>
      </c>
      <c r="C236" s="11" t="s">
        <v>148</v>
      </c>
      <c r="D236" s="11"/>
      <c r="E236" s="11"/>
      <c r="F236" s="11">
        <f>VLOOKUP(G236, SeanRanks!$A$2:$E$302, 4, FALSE)</f>
        <v>0</v>
      </c>
      <c r="G236" s="11" t="s">
        <v>953</v>
      </c>
      <c r="H236" s="11" t="str">
        <f>VLOOKUP($G236, 'ADP Data'!$C$4:$Q$300, 2, FALSE)</f>
        <v>PIT</v>
      </c>
      <c r="I236" s="11">
        <f>VLOOKUP(G236, 'ADP Data'!$C$4:$R$498, 12, FALSE)</f>
        <v>179</v>
      </c>
      <c r="J236" s="11">
        <f>VLOOKUP($G236, SeanRanks!$A$2:$H$303, 5, FALSE)</f>
        <v>0</v>
      </c>
      <c r="K236" s="11" t="str">
        <f>IF(VLOOKUP($G236, SeanRanks!$A$2:$H$303, 6, FALSE)=0, "", VLOOKUP($G236, SeanRanks!$A$2:$H$303, 6, FALSE))</f>
        <v/>
      </c>
      <c r="L236" s="11">
        <f t="shared" si="4"/>
        <v>34</v>
      </c>
      <c r="M236" s="11">
        <f>VLOOKUP($G236, 'ADP Data'!$C$4:$Q$300, 9, FALSE)</f>
        <v>269</v>
      </c>
      <c r="N236" s="11">
        <f t="shared" si="5"/>
        <v>17</v>
      </c>
      <c r="O236" s="11" t="str">
        <f>VLOOKUP($G236, 'ADP Data'!$C$4:$Q$300, 3, FALSE)</f>
        <v>-</v>
      </c>
      <c r="P236" s="11" t="e">
        <f t="shared" si="6"/>
        <v>#VALUE!</v>
      </c>
      <c r="Q236" s="11" t="str">
        <f>VLOOKUP($G236, 'ADP Data'!$C$4:$Q$300, 4, FALSE)</f>
        <v>-</v>
      </c>
      <c r="R236" s="11" t="str">
        <f>VLOOKUP($G236, 'ADP Data'!$C$4:$Q$300, 5, FALSE)</f>
        <v>-</v>
      </c>
      <c r="S236" s="11">
        <f>VLOOKUP($G236, 'ADP Data'!$C$4:$Q$300, 6, FALSE)</f>
        <v>242</v>
      </c>
      <c r="T236" s="11">
        <f>VLOOKUP($G236, 'ADP Data'!$C$4:$Q$300, 7, FALSE)</f>
        <v>245</v>
      </c>
      <c r="U236" s="11" t="str">
        <f>VLOOKUP($G236, 'ADP Data'!$C$4:$Q$300, 8, FALSE)</f>
        <v>-</v>
      </c>
      <c r="V236" s="11">
        <f t="shared" si="7"/>
        <v>252</v>
      </c>
      <c r="W236" s="11">
        <f t="shared" si="8"/>
        <v>32</v>
      </c>
      <c r="X236" s="11">
        <f t="shared" si="9"/>
        <v>-32</v>
      </c>
      <c r="Y236" s="11">
        <f>VLOOKUP($G236, SeanRanks!$A$2:$K$303, 10, FALSE)-V236</f>
        <v>-15</v>
      </c>
      <c r="Z236" s="25" t="str">
        <f>IF(VLOOKUP($G236, SeanRanks!$A$2:$H$303, 7, FALSE)=0, "", VLOOKUP($G236, SeanRanks!$A$2:$H$303, 7, FALSE))</f>
        <v/>
      </c>
    </row>
    <row r="237" spans="1:26" ht="14.25" hidden="1" customHeight="1" x14ac:dyDescent="0.25">
      <c r="A237" s="11"/>
      <c r="B237" s="11">
        <f t="shared" si="3"/>
        <v>18</v>
      </c>
      <c r="C237" s="11" t="s">
        <v>148</v>
      </c>
      <c r="D237" s="11"/>
      <c r="E237" s="11"/>
      <c r="F237" s="11">
        <f>VLOOKUP(G237, SeanRanks!$A$2:$E$302, 4, FALSE)</f>
        <v>0</v>
      </c>
      <c r="G237" s="11" t="s">
        <v>547</v>
      </c>
      <c r="H237" s="11" t="str">
        <f>VLOOKUP($G237, 'ADP Data'!$C$4:$Q$300, 2, FALSE)</f>
        <v>GB</v>
      </c>
      <c r="I237" s="11" t="str">
        <f>VLOOKUP(G237, 'ADP Data'!$C$4:$R$498, 12, FALSE)</f>
        <v>-</v>
      </c>
      <c r="J237" s="11">
        <f>VLOOKUP($G237, SeanRanks!$A$2:$H$303, 5, FALSE)</f>
        <v>0</v>
      </c>
      <c r="K237" s="11" t="str">
        <f>IF(VLOOKUP($G237, SeanRanks!$A$2:$H$303, 6, FALSE)=0, "", VLOOKUP($G237, SeanRanks!$A$2:$H$303, 6, FALSE))</f>
        <v/>
      </c>
      <c r="L237" s="11">
        <f t="shared" si="4"/>
        <v>31</v>
      </c>
      <c r="M237" s="11">
        <f>VLOOKUP($G237, 'ADP Data'!$C$4:$Q$300, 9, FALSE)</f>
        <v>243</v>
      </c>
      <c r="N237" s="11">
        <f t="shared" si="5"/>
        <v>40</v>
      </c>
      <c r="O237" s="11">
        <f>VLOOKUP($G237, 'ADP Data'!$C$4:$Q$300, 3, FALSE)</f>
        <v>136</v>
      </c>
      <c r="P237" s="11">
        <f t="shared" si="6"/>
        <v>107</v>
      </c>
      <c r="Q237" s="11">
        <f>VLOOKUP($G237, 'ADP Data'!$C$4:$Q$300, 4, FALSE)</f>
        <v>171</v>
      </c>
      <c r="R237" s="11">
        <f>VLOOKUP($G237, 'ADP Data'!$C$4:$Q$300, 5, FALSE)</f>
        <v>247</v>
      </c>
      <c r="S237" s="11">
        <f>VLOOKUP($G237, 'ADP Data'!$C$4:$Q$300, 6, FALSE)</f>
        <v>258</v>
      </c>
      <c r="T237" s="11">
        <f>VLOOKUP($G237, 'ADP Data'!$C$4:$Q$300, 7, FALSE)</f>
        <v>199</v>
      </c>
      <c r="U237" s="11">
        <f>VLOOKUP($G237, 'ADP Data'!$C$4:$Q$300, 8, FALSE)</f>
        <v>170</v>
      </c>
      <c r="V237" s="11">
        <f t="shared" si="7"/>
        <v>203</v>
      </c>
      <c r="W237" s="11">
        <f t="shared" si="8"/>
        <v>26</v>
      </c>
      <c r="X237" s="11">
        <f t="shared" si="9"/>
        <v>-26</v>
      </c>
      <c r="Y237" s="11">
        <f>VLOOKUP($G237, SeanRanks!$A$2:$K$303, 10, FALSE)-V237</f>
        <v>17</v>
      </c>
      <c r="Z237" s="25" t="str">
        <f>IF(VLOOKUP($G237, SeanRanks!$A$2:$H$303, 7, FALSE)=0, "", VLOOKUP($G237, SeanRanks!$A$2:$H$303, 7, FALSE))</f>
        <v/>
      </c>
    </row>
    <row r="238" spans="1:26" ht="14.25" hidden="1" customHeight="1" x14ac:dyDescent="0.25">
      <c r="A238" s="11"/>
      <c r="B238" s="11" t="e">
        <f t="shared" si="3"/>
        <v>#N/A</v>
      </c>
      <c r="C238" s="11" t="s">
        <v>148</v>
      </c>
      <c r="D238" s="11"/>
      <c r="E238" s="11"/>
      <c r="F238" s="11" t="e">
        <f>VLOOKUP(G238, SeanRanks!$A$2:$E$302, 4, FALSE)</f>
        <v>#N/A</v>
      </c>
      <c r="G238" s="11" t="s">
        <v>954</v>
      </c>
      <c r="H238" s="11" t="e">
        <f>VLOOKUP($G238, 'ADP Data'!$C$4:$Q$300, 2, FALSE)</f>
        <v>#N/A</v>
      </c>
      <c r="I238" s="11" t="e">
        <f>VLOOKUP(G238, 'ADP Data'!$C$4:$R$498, 12, FALSE)</f>
        <v>#N/A</v>
      </c>
      <c r="J238" s="11" t="e">
        <f>VLOOKUP($G238, SeanRanks!$A$2:$H$303, 5, FALSE)</f>
        <v>#N/A</v>
      </c>
      <c r="K238" s="11" t="e">
        <f>IF(VLOOKUP($G238, SeanRanks!$A$2:$H$303, 6, FALSE)=0, "", VLOOKUP($G238, SeanRanks!$A$2:$H$303, 6, FALSE))</f>
        <v>#N/A</v>
      </c>
      <c r="L238" s="11">
        <f t="shared" si="4"/>
        <v>16</v>
      </c>
      <c r="M238" s="11" t="e">
        <f>VLOOKUP($G238, 'ADP Data'!$C$4:$Q$300, 9, FALSE)</f>
        <v>#N/A</v>
      </c>
      <c r="N238" s="11" t="e">
        <f t="shared" si="5"/>
        <v>#N/A</v>
      </c>
      <c r="O238" s="11" t="e">
        <f>VLOOKUP($G238, 'ADP Data'!$C$4:$Q$300, 3, FALSE)</f>
        <v>#N/A</v>
      </c>
      <c r="P238" s="11" t="e">
        <f t="shared" si="6"/>
        <v>#N/A</v>
      </c>
      <c r="Q238" s="11" t="e">
        <f>VLOOKUP($G238, 'ADP Data'!$C$4:$Q$300, 4, FALSE)</f>
        <v>#N/A</v>
      </c>
      <c r="R238" s="11" t="e">
        <f>VLOOKUP($G238, 'ADP Data'!$C$4:$Q$300, 5, FALSE)</f>
        <v>#N/A</v>
      </c>
      <c r="S238" s="11" t="e">
        <f>VLOOKUP($G238, 'ADP Data'!$C$4:$Q$300, 6, FALSE)</f>
        <v>#N/A</v>
      </c>
      <c r="T238" s="11" t="e">
        <f>VLOOKUP($G238, 'ADP Data'!$C$4:$Q$300, 7, FALSE)</f>
        <v>#N/A</v>
      </c>
      <c r="U238" s="11" t="e">
        <f>VLOOKUP($G238, 'ADP Data'!$C$4:$Q$300, 8, FALSE)</f>
        <v>#N/A</v>
      </c>
      <c r="V238" s="11" t="e">
        <f t="shared" si="7"/>
        <v>#N/A</v>
      </c>
      <c r="W238" s="11">
        <f t="shared" si="8"/>
        <v>16</v>
      </c>
      <c r="X238" s="11">
        <f t="shared" si="9"/>
        <v>-16</v>
      </c>
      <c r="Y238" s="11" t="e">
        <f>VLOOKUP($G238, SeanRanks!$A$2:$K$303, 10, FALSE)-V238</f>
        <v>#N/A</v>
      </c>
      <c r="Z238" s="25" t="e">
        <f>IF(VLOOKUP($G238, SeanRanks!$A$2:$H$303, 7, FALSE)=0, "", VLOOKUP($G238, SeanRanks!$A$2:$H$303, 7, FALSE))</f>
        <v>#N/A</v>
      </c>
    </row>
    <row r="239" spans="1:26" ht="14.25" hidden="1" customHeight="1" x14ac:dyDescent="0.25">
      <c r="A239" s="11"/>
      <c r="B239" s="11" t="e">
        <f t="shared" si="3"/>
        <v>#N/A</v>
      </c>
      <c r="C239" s="11" t="s">
        <v>148</v>
      </c>
      <c r="D239" s="11"/>
      <c r="E239" s="11"/>
      <c r="F239" s="11" t="e">
        <f>VLOOKUP(G239, SeanRanks!$A$2:$E$302, 4, FALSE)</f>
        <v>#N/A</v>
      </c>
      <c r="G239" s="11" t="s">
        <v>955</v>
      </c>
      <c r="H239" s="11" t="e">
        <f>VLOOKUP($G239, 'ADP Data'!$C$4:$Q$300, 2, FALSE)</f>
        <v>#N/A</v>
      </c>
      <c r="I239" s="11" t="e">
        <f>VLOOKUP(G239, 'ADP Data'!$C$4:$R$498, 12, FALSE)</f>
        <v>#N/A</v>
      </c>
      <c r="J239" s="11" t="e">
        <f>VLOOKUP($G239, SeanRanks!$A$2:$H$303, 5, FALSE)</f>
        <v>#N/A</v>
      </c>
      <c r="K239" s="11" t="e">
        <f>IF(VLOOKUP($G239, SeanRanks!$A$2:$H$303, 6, FALSE)=0, "", VLOOKUP($G239, SeanRanks!$A$2:$H$303, 6, FALSE))</f>
        <v>#N/A</v>
      </c>
      <c r="L239" s="11">
        <f t="shared" si="4"/>
        <v>16</v>
      </c>
      <c r="M239" s="11" t="e">
        <f>VLOOKUP($G239, 'ADP Data'!$C$4:$Q$300, 9, FALSE)</f>
        <v>#N/A</v>
      </c>
      <c r="N239" s="11" t="e">
        <f t="shared" si="5"/>
        <v>#N/A</v>
      </c>
      <c r="O239" s="11" t="e">
        <f>VLOOKUP($G239, 'ADP Data'!$C$4:$Q$300, 3, FALSE)</f>
        <v>#N/A</v>
      </c>
      <c r="P239" s="11" t="e">
        <f t="shared" si="6"/>
        <v>#N/A</v>
      </c>
      <c r="Q239" s="11" t="e">
        <f>VLOOKUP($G239, 'ADP Data'!$C$4:$Q$300, 4, FALSE)</f>
        <v>#N/A</v>
      </c>
      <c r="R239" s="11" t="e">
        <f>VLOOKUP($G239, 'ADP Data'!$C$4:$Q$300, 5, FALSE)</f>
        <v>#N/A</v>
      </c>
      <c r="S239" s="11" t="e">
        <f>VLOOKUP($G239, 'ADP Data'!$C$4:$Q$300, 6, FALSE)</f>
        <v>#N/A</v>
      </c>
      <c r="T239" s="11" t="e">
        <f>VLOOKUP($G239, 'ADP Data'!$C$4:$Q$300, 7, FALSE)</f>
        <v>#N/A</v>
      </c>
      <c r="U239" s="11" t="e">
        <f>VLOOKUP($G239, 'ADP Data'!$C$4:$Q$300, 8, FALSE)</f>
        <v>#N/A</v>
      </c>
      <c r="V239" s="11" t="e">
        <f t="shared" si="7"/>
        <v>#N/A</v>
      </c>
      <c r="W239" s="11">
        <f t="shared" si="8"/>
        <v>16</v>
      </c>
      <c r="X239" s="11">
        <f t="shared" si="9"/>
        <v>-16</v>
      </c>
      <c r="Y239" s="11" t="e">
        <f>VLOOKUP($G239, SeanRanks!$A$2:$K$303, 10, FALSE)-V239</f>
        <v>#N/A</v>
      </c>
      <c r="Z239" s="25" t="e">
        <f>IF(VLOOKUP($G239, SeanRanks!$A$2:$H$303, 7, FALSE)=0, "", VLOOKUP($G239, SeanRanks!$A$2:$H$303, 7, FALSE))</f>
        <v>#N/A</v>
      </c>
    </row>
    <row r="240" spans="1:26" ht="14.25" hidden="1" customHeight="1" x14ac:dyDescent="0.25">
      <c r="A240" s="11"/>
      <c r="B240" s="11" t="e">
        <f t="shared" si="3"/>
        <v>#N/A</v>
      </c>
      <c r="C240" s="11" t="s">
        <v>148</v>
      </c>
      <c r="D240" s="11"/>
      <c r="E240" s="11"/>
      <c r="F240" s="11" t="e">
        <f>VLOOKUP(G240, SeanRanks!$A$2:$E$302, 4, FALSE)</f>
        <v>#N/A</v>
      </c>
      <c r="G240" s="11" t="s">
        <v>570</v>
      </c>
      <c r="H240" s="11" t="e">
        <f>VLOOKUP($G240, 'ADP Data'!$C$4:$Q$300, 2, FALSE)</f>
        <v>#N/A</v>
      </c>
      <c r="I240" s="11" t="e">
        <f>VLOOKUP(G240, 'ADP Data'!$C$4:$R$498, 12, FALSE)</f>
        <v>#N/A</v>
      </c>
      <c r="J240" s="11" t="e">
        <f>VLOOKUP($G240, SeanRanks!$A$2:$H$303, 5, FALSE)</f>
        <v>#N/A</v>
      </c>
      <c r="K240" s="11" t="e">
        <f>IF(VLOOKUP($G240, SeanRanks!$A$2:$H$303, 6, FALSE)=0, "", VLOOKUP($G240, SeanRanks!$A$2:$H$303, 6, FALSE))</f>
        <v>#N/A</v>
      </c>
      <c r="L240" s="11">
        <f t="shared" si="4"/>
        <v>16</v>
      </c>
      <c r="M240" s="11" t="e">
        <f>VLOOKUP($G240, 'ADP Data'!$C$4:$Q$300, 9, FALSE)</f>
        <v>#N/A</v>
      </c>
      <c r="N240" s="11" t="e">
        <f t="shared" si="5"/>
        <v>#N/A</v>
      </c>
      <c r="O240" s="11" t="e">
        <f>VLOOKUP($G240, 'ADP Data'!$C$4:$Q$300, 3, FALSE)</f>
        <v>#N/A</v>
      </c>
      <c r="P240" s="11" t="e">
        <f t="shared" si="6"/>
        <v>#N/A</v>
      </c>
      <c r="Q240" s="11" t="e">
        <f>VLOOKUP($G240, 'ADP Data'!$C$4:$Q$300, 4, FALSE)</f>
        <v>#N/A</v>
      </c>
      <c r="R240" s="11" t="e">
        <f>VLOOKUP($G240, 'ADP Data'!$C$4:$Q$300, 5, FALSE)</f>
        <v>#N/A</v>
      </c>
      <c r="S240" s="11" t="e">
        <f>VLOOKUP($G240, 'ADP Data'!$C$4:$Q$300, 6, FALSE)</f>
        <v>#N/A</v>
      </c>
      <c r="T240" s="11" t="e">
        <f>VLOOKUP($G240, 'ADP Data'!$C$4:$Q$300, 7, FALSE)</f>
        <v>#N/A</v>
      </c>
      <c r="U240" s="11" t="e">
        <f>VLOOKUP($G240, 'ADP Data'!$C$4:$Q$300, 8, FALSE)</f>
        <v>#N/A</v>
      </c>
      <c r="V240" s="11" t="e">
        <f t="shared" si="7"/>
        <v>#N/A</v>
      </c>
      <c r="W240" s="11">
        <f t="shared" si="8"/>
        <v>16</v>
      </c>
      <c r="X240" s="11">
        <f t="shared" si="9"/>
        <v>-16</v>
      </c>
      <c r="Y240" s="11" t="e">
        <f>VLOOKUP($G240, SeanRanks!$A$2:$K$303, 10, FALSE)-V240</f>
        <v>#N/A</v>
      </c>
      <c r="Z240" s="25" t="e">
        <f>IF(VLOOKUP($G240, SeanRanks!$A$2:$H$303, 7, FALSE)=0, "", VLOOKUP($G240, SeanRanks!$A$2:$H$303, 7, FALSE))</f>
        <v>#N/A</v>
      </c>
    </row>
    <row r="241" spans="1:26" ht="14.25" hidden="1" customHeight="1" x14ac:dyDescent="0.25">
      <c r="A241" s="11"/>
      <c r="B241" s="11">
        <f t="shared" si="3"/>
        <v>14</v>
      </c>
      <c r="C241" s="11" t="s">
        <v>148</v>
      </c>
      <c r="D241" s="11"/>
      <c r="E241" s="11"/>
      <c r="F241" s="11">
        <f>VLOOKUP(G241, SeanRanks!$A$2:$E$302, 4, FALSE)</f>
        <v>0</v>
      </c>
      <c r="G241" s="11" t="s">
        <v>560</v>
      </c>
      <c r="H241" s="11" t="str">
        <f>VLOOKUP($G241, 'ADP Data'!$C$4:$Q$300, 2, FALSE)</f>
        <v>HOU</v>
      </c>
      <c r="I241" s="11" t="str">
        <f>VLOOKUP(G241, 'ADP Data'!$C$4:$R$498, 12, FALSE)</f>
        <v>-</v>
      </c>
      <c r="J241" s="11">
        <f>VLOOKUP($G241, SeanRanks!$A$2:$H$303, 5, FALSE)</f>
        <v>0</v>
      </c>
      <c r="K241" s="11" t="str">
        <f>IF(VLOOKUP($G241, SeanRanks!$A$2:$H$303, 6, FALSE)=0, "", VLOOKUP($G241, SeanRanks!$A$2:$H$303, 6, FALSE))</f>
        <v/>
      </c>
      <c r="L241" s="11">
        <f t="shared" si="4"/>
        <v>21</v>
      </c>
      <c r="M241" s="11">
        <f>VLOOKUP($G241, 'ADP Data'!$C$4:$Q$300, 9, FALSE)</f>
        <v>162</v>
      </c>
      <c r="N241" s="11">
        <f t="shared" si="5"/>
        <v>-18</v>
      </c>
      <c r="O241" s="11">
        <f>VLOOKUP($G241, 'ADP Data'!$C$4:$Q$300, 3, FALSE)</f>
        <v>198</v>
      </c>
      <c r="P241" s="11">
        <f t="shared" si="6"/>
        <v>-36</v>
      </c>
      <c r="Q241" s="11"/>
      <c r="R241" s="11"/>
      <c r="S241" s="11"/>
      <c r="T241" s="11"/>
      <c r="U241" s="11"/>
      <c r="V241" s="11">
        <f t="shared" si="7"/>
        <v>180</v>
      </c>
      <c r="W241" s="11">
        <f t="shared" si="8"/>
        <v>23</v>
      </c>
      <c r="X241" s="11">
        <f t="shared" si="9"/>
        <v>-23</v>
      </c>
      <c r="Y241" s="11">
        <f>VLOOKUP($G241, SeanRanks!$A$2:$K$303, 10, FALSE)-V241</f>
        <v>21</v>
      </c>
      <c r="Z241" s="25" t="str">
        <f>IF(VLOOKUP($G241, SeanRanks!$A$2:$H$303, 7, FALSE)=0, "", VLOOKUP($G241, SeanRanks!$A$2:$H$303, 7, FALSE))</f>
        <v/>
      </c>
    </row>
    <row r="242" spans="1:26" ht="14.25" hidden="1" customHeight="1" x14ac:dyDescent="0.25">
      <c r="A242" s="11"/>
      <c r="B242" s="11" t="e">
        <f t="shared" si="3"/>
        <v>#N/A</v>
      </c>
      <c r="C242" s="11" t="s">
        <v>148</v>
      </c>
      <c r="D242" s="11"/>
      <c r="E242" s="11"/>
      <c r="F242" s="11" t="e">
        <f>VLOOKUP(G242, SeanRanks!$A$2:$E$302, 4, FALSE)</f>
        <v>#N/A</v>
      </c>
      <c r="G242" s="11" t="s">
        <v>956</v>
      </c>
      <c r="H242" s="11" t="e">
        <f>VLOOKUP($G242, 'ADP Data'!$C$4:$Q$300, 2, FALSE)</f>
        <v>#N/A</v>
      </c>
      <c r="I242" s="11" t="e">
        <f>VLOOKUP(G242, 'ADP Data'!$C$4:$R$498, 12, FALSE)</f>
        <v>#N/A</v>
      </c>
      <c r="J242" s="11" t="e">
        <f>VLOOKUP($G242, SeanRanks!$A$2:$H$303, 5, FALSE)</f>
        <v>#N/A</v>
      </c>
      <c r="K242" s="11" t="e">
        <f>IF(VLOOKUP($G242, SeanRanks!$A$2:$H$303, 6, FALSE)=0, "", VLOOKUP($G242, SeanRanks!$A$2:$H$303, 6, FALSE))</f>
        <v>#N/A</v>
      </c>
      <c r="L242" s="11">
        <f t="shared" si="4"/>
        <v>16</v>
      </c>
      <c r="M242" s="11" t="e">
        <f>VLOOKUP($G242, 'ADP Data'!$C$4:$Q$300, 9, FALSE)</f>
        <v>#N/A</v>
      </c>
      <c r="N242" s="11" t="e">
        <f t="shared" si="5"/>
        <v>#N/A</v>
      </c>
      <c r="O242" s="11" t="e">
        <f>VLOOKUP($G242, 'ADP Data'!$C$4:$Q$300, 3, FALSE)</f>
        <v>#N/A</v>
      </c>
      <c r="P242" s="11" t="e">
        <f t="shared" si="6"/>
        <v>#N/A</v>
      </c>
      <c r="Q242" s="11"/>
      <c r="R242" s="11"/>
      <c r="S242" s="11"/>
      <c r="T242" s="11"/>
      <c r="U242" s="11"/>
      <c r="V242" s="11" t="e">
        <f t="shared" si="7"/>
        <v>#N/A</v>
      </c>
      <c r="W242" s="11">
        <f t="shared" si="8"/>
        <v>16</v>
      </c>
      <c r="X242" s="11">
        <f t="shared" si="9"/>
        <v>-16</v>
      </c>
      <c r="Y242" s="11" t="e">
        <f>VLOOKUP($G242, SeanRanks!$A$2:$K$303, 10, FALSE)-V242</f>
        <v>#N/A</v>
      </c>
      <c r="Z242" s="25" t="e">
        <f>IF(VLOOKUP($G242, SeanRanks!$A$2:$H$303, 7, FALSE)=0, "", VLOOKUP($G242, SeanRanks!$A$2:$H$303, 7, FALSE))</f>
        <v>#N/A</v>
      </c>
    </row>
    <row r="243" spans="1:26" ht="14.25" hidden="1" customHeight="1" x14ac:dyDescent="0.25">
      <c r="A243" s="11"/>
      <c r="B243" s="11" t="e">
        <f t="shared" si="3"/>
        <v>#N/A</v>
      </c>
      <c r="C243" s="11" t="s">
        <v>148</v>
      </c>
      <c r="D243" s="11"/>
      <c r="E243" s="11"/>
      <c r="F243" s="11" t="e">
        <f>VLOOKUP(G243, SeanRanks!$A$2:$E$302, 4, FALSE)</f>
        <v>#N/A</v>
      </c>
      <c r="G243" s="11" t="s">
        <v>957</v>
      </c>
      <c r="H243" s="11" t="e">
        <f>VLOOKUP($G243, 'ADP Data'!$C$4:$Q$300, 2, FALSE)</f>
        <v>#N/A</v>
      </c>
      <c r="I243" s="11" t="e">
        <f>VLOOKUP(G243, 'ADP Data'!$C$4:$R$498, 12, FALSE)</f>
        <v>#N/A</v>
      </c>
      <c r="J243" s="11" t="e">
        <f>VLOOKUP($G243, SeanRanks!$A$2:$H$303, 5, FALSE)</f>
        <v>#N/A</v>
      </c>
      <c r="K243" s="11" t="e">
        <f>IF(VLOOKUP($G243, SeanRanks!$A$2:$H$303, 6, FALSE)=0, "", VLOOKUP($G243, SeanRanks!$A$2:$H$303, 6, FALSE))</f>
        <v>#N/A</v>
      </c>
      <c r="L243" s="11">
        <f t="shared" si="4"/>
        <v>16</v>
      </c>
      <c r="M243" s="11" t="e">
        <f>VLOOKUP($G243, 'ADP Data'!$C$4:$Q$300, 9, FALSE)</f>
        <v>#N/A</v>
      </c>
      <c r="N243" s="11" t="e">
        <f t="shared" si="5"/>
        <v>#N/A</v>
      </c>
      <c r="O243" s="11" t="e">
        <f>VLOOKUP($G243, 'ADP Data'!$C$4:$Q$300, 3, FALSE)</f>
        <v>#N/A</v>
      </c>
      <c r="P243" s="11" t="e">
        <f t="shared" si="6"/>
        <v>#N/A</v>
      </c>
      <c r="Q243" s="11" t="e">
        <f>VLOOKUP($G243, 'ADP Data'!$C$4:$Q$300, 4, FALSE)</f>
        <v>#N/A</v>
      </c>
      <c r="R243" s="11" t="e">
        <f>VLOOKUP($G243, 'ADP Data'!$C$4:$Q$300, 5, FALSE)</f>
        <v>#N/A</v>
      </c>
      <c r="S243" s="11" t="e">
        <f>VLOOKUP($G243, 'ADP Data'!$C$4:$Q$300, 6, FALSE)</f>
        <v>#N/A</v>
      </c>
      <c r="T243" s="11" t="e">
        <f>VLOOKUP($G243, 'ADP Data'!$C$4:$Q$300, 7, FALSE)</f>
        <v>#N/A</v>
      </c>
      <c r="U243" s="11" t="e">
        <f>VLOOKUP($G243, 'ADP Data'!$C$4:$Q$300, 8, FALSE)</f>
        <v>#N/A</v>
      </c>
      <c r="V243" s="11" t="e">
        <f t="shared" si="7"/>
        <v>#N/A</v>
      </c>
      <c r="W243" s="11">
        <f t="shared" si="8"/>
        <v>16</v>
      </c>
      <c r="X243" s="11">
        <f t="shared" si="9"/>
        <v>-16</v>
      </c>
      <c r="Y243" s="11" t="e">
        <f>VLOOKUP($G243, SeanRanks!$A$2:$K$303, 10, FALSE)-V243</f>
        <v>#N/A</v>
      </c>
      <c r="Z243" s="25" t="e">
        <f>IF(VLOOKUP($G243, SeanRanks!$A$2:$H$303, 7, FALSE)=0, "", VLOOKUP($G243, SeanRanks!$A$2:$H$303, 7, FALSE))</f>
        <v>#N/A</v>
      </c>
    </row>
    <row r="244" spans="1:26" ht="14.25" hidden="1" customHeight="1" x14ac:dyDescent="0.25">
      <c r="A244" s="11"/>
      <c r="B244" s="11" t="e">
        <f t="shared" si="3"/>
        <v>#N/A</v>
      </c>
      <c r="C244" s="11" t="s">
        <v>148</v>
      </c>
      <c r="D244" s="11"/>
      <c r="E244" s="11"/>
      <c r="F244" s="11" t="e">
        <f>VLOOKUP(G244, SeanRanks!$A$2:$E$302, 4, FALSE)</f>
        <v>#N/A</v>
      </c>
      <c r="G244" s="11" t="s">
        <v>473</v>
      </c>
      <c r="H244" s="11" t="e">
        <f>VLOOKUP($G244, 'ADP Data'!$C$4:$Q$300, 2, FALSE)</f>
        <v>#N/A</v>
      </c>
      <c r="I244" s="11" t="e">
        <f>VLOOKUP(G244, 'ADP Data'!$C$4:$R$498, 12, FALSE)</f>
        <v>#N/A</v>
      </c>
      <c r="J244" s="11" t="e">
        <f>VLOOKUP($G244, SeanRanks!$A$2:$H$303, 5, FALSE)</f>
        <v>#N/A</v>
      </c>
      <c r="K244" s="11" t="e">
        <f>IF(VLOOKUP($G244, SeanRanks!$A$2:$H$303, 6, FALSE)=0, "", VLOOKUP($G244, SeanRanks!$A$2:$H$303, 6, FALSE))</f>
        <v>#N/A</v>
      </c>
      <c r="L244" s="11">
        <f t="shared" si="4"/>
        <v>16</v>
      </c>
      <c r="M244" s="11" t="e">
        <f>VLOOKUP($G244, 'ADP Data'!$C$4:$Q$300, 9, FALSE)</f>
        <v>#N/A</v>
      </c>
      <c r="N244" s="11" t="e">
        <f t="shared" si="5"/>
        <v>#N/A</v>
      </c>
      <c r="O244" s="11" t="e">
        <f>VLOOKUP($G244, 'ADP Data'!$C$4:$Q$300, 3, FALSE)</f>
        <v>#N/A</v>
      </c>
      <c r="P244" s="11" t="e">
        <f t="shared" si="6"/>
        <v>#N/A</v>
      </c>
      <c r="Q244" s="11" t="e">
        <f>VLOOKUP($G244, 'ADP Data'!$C$4:$Q$300, 4, FALSE)</f>
        <v>#N/A</v>
      </c>
      <c r="R244" s="11" t="e">
        <f>VLOOKUP($G244, 'ADP Data'!$C$4:$Q$300, 5, FALSE)</f>
        <v>#N/A</v>
      </c>
      <c r="S244" s="11" t="e">
        <f>VLOOKUP($G244, 'ADP Data'!$C$4:$Q$300, 6, FALSE)</f>
        <v>#N/A</v>
      </c>
      <c r="T244" s="11" t="e">
        <f>VLOOKUP($G244, 'ADP Data'!$C$4:$Q$300, 7, FALSE)</f>
        <v>#N/A</v>
      </c>
      <c r="U244" s="11" t="e">
        <f>VLOOKUP($G244, 'ADP Data'!$C$4:$Q$300, 8, FALSE)</f>
        <v>#N/A</v>
      </c>
      <c r="V244" s="11" t="e">
        <f t="shared" si="7"/>
        <v>#N/A</v>
      </c>
      <c r="W244" s="11">
        <f t="shared" si="8"/>
        <v>16</v>
      </c>
      <c r="X244" s="11">
        <f t="shared" si="9"/>
        <v>-16</v>
      </c>
      <c r="Y244" s="11" t="e">
        <f>VLOOKUP($G244, SeanRanks!$A$2:$K$303, 10, FALSE)-V244</f>
        <v>#N/A</v>
      </c>
      <c r="Z244" s="25" t="e">
        <f>IF(VLOOKUP($G244, SeanRanks!$A$2:$H$303, 7, FALSE)=0, "", VLOOKUP($G244, SeanRanks!$A$2:$H$303, 7, FALSE))</f>
        <v>#N/A</v>
      </c>
    </row>
    <row r="245" spans="1:26" ht="14.25" hidden="1" customHeight="1" x14ac:dyDescent="0.25">
      <c r="A245" s="11"/>
      <c r="B245" s="11" t="e">
        <f t="shared" si="3"/>
        <v>#N/A</v>
      </c>
      <c r="C245" s="11" t="s">
        <v>148</v>
      </c>
      <c r="D245" s="11"/>
      <c r="E245" s="11"/>
      <c r="F245" s="11" t="e">
        <f>VLOOKUP(G245, SeanRanks!$A$2:$E$302, 4, FALSE)</f>
        <v>#N/A</v>
      </c>
      <c r="G245" s="11" t="s">
        <v>715</v>
      </c>
      <c r="H245" s="11" t="e">
        <f>VLOOKUP($G245, 'ADP Data'!$C$4:$Q$300, 2, FALSE)</f>
        <v>#N/A</v>
      </c>
      <c r="I245" s="11" t="e">
        <f>VLOOKUP(G245, 'ADP Data'!$C$4:$R$498, 12, FALSE)</f>
        <v>#N/A</v>
      </c>
      <c r="J245" s="11" t="e">
        <f>VLOOKUP($G245, SeanRanks!$A$2:$H$303, 5, FALSE)</f>
        <v>#N/A</v>
      </c>
      <c r="K245" s="11" t="e">
        <f>IF(VLOOKUP($G245, SeanRanks!$A$2:$H$303, 6, FALSE)=0, "", VLOOKUP($G245, SeanRanks!$A$2:$H$303, 6, FALSE))</f>
        <v>#N/A</v>
      </c>
      <c r="L245" s="11">
        <f t="shared" si="4"/>
        <v>16</v>
      </c>
      <c r="M245" s="11" t="e">
        <f>VLOOKUP($G245, 'ADP Data'!$C$4:$Q$300, 9, FALSE)</f>
        <v>#N/A</v>
      </c>
      <c r="N245" s="11" t="e">
        <f t="shared" si="5"/>
        <v>#N/A</v>
      </c>
      <c r="O245" s="11" t="e">
        <f>VLOOKUP($G245, 'ADP Data'!$C$4:$Q$300, 3, FALSE)</f>
        <v>#N/A</v>
      </c>
      <c r="P245" s="11" t="e">
        <f t="shared" si="6"/>
        <v>#N/A</v>
      </c>
      <c r="Q245" s="11" t="e">
        <f>VLOOKUP($G245, 'ADP Data'!$C$4:$Q$300, 4, FALSE)</f>
        <v>#N/A</v>
      </c>
      <c r="R245" s="11" t="e">
        <f>VLOOKUP($G245, 'ADP Data'!$C$4:$Q$300, 5, FALSE)</f>
        <v>#N/A</v>
      </c>
      <c r="S245" s="11" t="e">
        <f>VLOOKUP($G245, 'ADP Data'!$C$4:$Q$300, 6, FALSE)</f>
        <v>#N/A</v>
      </c>
      <c r="T245" s="11" t="e">
        <f>VLOOKUP($G245, 'ADP Data'!$C$4:$Q$300, 7, FALSE)</f>
        <v>#N/A</v>
      </c>
      <c r="U245" s="11" t="e">
        <f>VLOOKUP($G245, 'ADP Data'!$C$4:$Q$300, 8, FALSE)</f>
        <v>#N/A</v>
      </c>
      <c r="V245" s="11" t="e">
        <f t="shared" si="7"/>
        <v>#N/A</v>
      </c>
      <c r="W245" s="11">
        <f t="shared" si="8"/>
        <v>16</v>
      </c>
      <c r="X245" s="11">
        <f t="shared" si="9"/>
        <v>-16</v>
      </c>
      <c r="Y245" s="11" t="e">
        <f>VLOOKUP($G245, SeanRanks!$A$2:$K$303, 10, FALSE)-V245</f>
        <v>#N/A</v>
      </c>
      <c r="Z245" s="25" t="e">
        <f>IF(VLOOKUP($G245, SeanRanks!$A$2:$H$303, 7, FALSE)=0, "", VLOOKUP($G245, SeanRanks!$A$2:$H$303, 7, FALSE))</f>
        <v>#N/A</v>
      </c>
    </row>
    <row r="246" spans="1:26" ht="14.25" hidden="1" customHeight="1" x14ac:dyDescent="0.25">
      <c r="A246" s="11"/>
      <c r="B246" s="11" t="e">
        <f t="shared" si="3"/>
        <v>#N/A</v>
      </c>
      <c r="C246" s="11" t="s">
        <v>148</v>
      </c>
      <c r="D246" s="11"/>
      <c r="E246" s="11"/>
      <c r="F246" s="11" t="e">
        <f>VLOOKUP(G246, SeanRanks!$A$2:$E$302, 4, FALSE)</f>
        <v>#N/A</v>
      </c>
      <c r="G246" s="11" t="s">
        <v>958</v>
      </c>
      <c r="H246" s="11" t="e">
        <f>VLOOKUP($G246, 'ADP Data'!$C$4:$Q$300, 2, FALSE)</f>
        <v>#N/A</v>
      </c>
      <c r="I246" s="11" t="e">
        <f>VLOOKUP(G246, 'ADP Data'!$C$4:$R$498, 12, FALSE)</f>
        <v>#N/A</v>
      </c>
      <c r="J246" s="11" t="e">
        <f>VLOOKUP($G246, SeanRanks!$A$2:$H$303, 5, FALSE)</f>
        <v>#N/A</v>
      </c>
      <c r="K246" s="11" t="e">
        <f>IF(VLOOKUP($G246, SeanRanks!$A$2:$H$303, 6, FALSE)=0, "", VLOOKUP($G246, SeanRanks!$A$2:$H$303, 6, FALSE))</f>
        <v>#N/A</v>
      </c>
      <c r="L246" s="11">
        <f t="shared" si="4"/>
        <v>16</v>
      </c>
      <c r="M246" s="11" t="e">
        <f>VLOOKUP($G246, 'ADP Data'!$C$4:$Q$300, 9, FALSE)</f>
        <v>#N/A</v>
      </c>
      <c r="N246" s="11" t="e">
        <f t="shared" si="5"/>
        <v>#N/A</v>
      </c>
      <c r="O246" s="11" t="e">
        <f>VLOOKUP($G246, 'ADP Data'!$C$4:$Q$300, 3, FALSE)</f>
        <v>#N/A</v>
      </c>
      <c r="P246" s="11" t="e">
        <f t="shared" si="6"/>
        <v>#N/A</v>
      </c>
      <c r="Q246" s="11" t="e">
        <f>VLOOKUP($G246, 'ADP Data'!$C$4:$Q$300, 4, FALSE)</f>
        <v>#N/A</v>
      </c>
      <c r="R246" s="11" t="e">
        <f>VLOOKUP($G246, 'ADP Data'!$C$4:$Q$300, 5, FALSE)</f>
        <v>#N/A</v>
      </c>
      <c r="S246" s="11" t="e">
        <f>VLOOKUP($G246, 'ADP Data'!$C$4:$Q$300, 6, FALSE)</f>
        <v>#N/A</v>
      </c>
      <c r="T246" s="11" t="e">
        <f>VLOOKUP($G246, 'ADP Data'!$C$4:$Q$300, 7, FALSE)</f>
        <v>#N/A</v>
      </c>
      <c r="U246" s="11" t="e">
        <f>VLOOKUP($G246, 'ADP Data'!$C$4:$Q$300, 8, FALSE)</f>
        <v>#N/A</v>
      </c>
      <c r="V246" s="11" t="e">
        <f t="shared" si="7"/>
        <v>#N/A</v>
      </c>
      <c r="W246" s="11">
        <f t="shared" si="8"/>
        <v>16</v>
      </c>
      <c r="X246" s="11">
        <f t="shared" si="9"/>
        <v>-16</v>
      </c>
      <c r="Y246" s="11" t="e">
        <f>VLOOKUP($G246, SeanRanks!$A$2:$K$303, 10, FALSE)-V246</f>
        <v>#N/A</v>
      </c>
      <c r="Z246" s="25" t="e">
        <f>IF(VLOOKUP($G246, SeanRanks!$A$2:$H$303, 7, FALSE)=0, "", VLOOKUP($G246, SeanRanks!$A$2:$H$303, 7, FALSE))</f>
        <v>#N/A</v>
      </c>
    </row>
    <row r="247" spans="1:26" ht="14.25" hidden="1" customHeight="1" x14ac:dyDescent="0.25">
      <c r="A247" s="11"/>
      <c r="B247" s="11" t="e">
        <f t="shared" si="3"/>
        <v>#N/A</v>
      </c>
      <c r="C247" s="11" t="s">
        <v>148</v>
      </c>
      <c r="D247" s="11"/>
      <c r="E247" s="11"/>
      <c r="F247" s="11" t="e">
        <f>VLOOKUP(G247, SeanRanks!$A$2:$E$302, 4, FALSE)</f>
        <v>#N/A</v>
      </c>
      <c r="G247" s="11" t="s">
        <v>959</v>
      </c>
      <c r="H247" s="11" t="e">
        <f>VLOOKUP($G247, 'ADP Data'!$C$4:$Q$300, 2, FALSE)</f>
        <v>#N/A</v>
      </c>
      <c r="I247" s="11" t="e">
        <f>VLOOKUP(G247, 'ADP Data'!$C$4:$R$498, 12, FALSE)</f>
        <v>#N/A</v>
      </c>
      <c r="J247" s="11" t="e">
        <f>VLOOKUP($G247, SeanRanks!$A$2:$H$303, 5, FALSE)</f>
        <v>#N/A</v>
      </c>
      <c r="K247" s="11" t="e">
        <f>IF(VLOOKUP($G247, SeanRanks!$A$2:$H$303, 6, FALSE)=0, "", VLOOKUP($G247, SeanRanks!$A$2:$H$303, 6, FALSE))</f>
        <v>#N/A</v>
      </c>
      <c r="L247" s="11">
        <f t="shared" si="4"/>
        <v>16</v>
      </c>
      <c r="M247" s="11" t="e">
        <f>VLOOKUP($G247, 'ADP Data'!$C$4:$Q$300, 9, FALSE)</f>
        <v>#N/A</v>
      </c>
      <c r="N247" s="11" t="e">
        <f t="shared" si="5"/>
        <v>#N/A</v>
      </c>
      <c r="O247" s="11" t="e">
        <f>VLOOKUP($G247, 'ADP Data'!$C$4:$Q$300, 3, FALSE)</f>
        <v>#N/A</v>
      </c>
      <c r="P247" s="11" t="e">
        <f t="shared" si="6"/>
        <v>#N/A</v>
      </c>
      <c r="Q247" s="11" t="e">
        <f>VLOOKUP($G247, 'ADP Data'!$C$4:$Q$300, 4, FALSE)</f>
        <v>#N/A</v>
      </c>
      <c r="R247" s="11" t="e">
        <f>VLOOKUP($G247, 'ADP Data'!$C$4:$Q$300, 5, FALSE)</f>
        <v>#N/A</v>
      </c>
      <c r="S247" s="11" t="e">
        <f>VLOOKUP($G247, 'ADP Data'!$C$4:$Q$300, 6, FALSE)</f>
        <v>#N/A</v>
      </c>
      <c r="T247" s="11" t="e">
        <f>VLOOKUP($G247, 'ADP Data'!$C$4:$Q$300, 7, FALSE)</f>
        <v>#N/A</v>
      </c>
      <c r="U247" s="11" t="e">
        <f>VLOOKUP($G247, 'ADP Data'!$C$4:$Q$300, 8, FALSE)</f>
        <v>#N/A</v>
      </c>
      <c r="V247" s="11" t="e">
        <f t="shared" si="7"/>
        <v>#N/A</v>
      </c>
      <c r="W247" s="11">
        <f t="shared" si="8"/>
        <v>16</v>
      </c>
      <c r="X247" s="11">
        <f t="shared" si="9"/>
        <v>-16</v>
      </c>
      <c r="Y247" s="11" t="e">
        <f>VLOOKUP($G247, SeanRanks!$A$2:$K$303, 10, FALSE)-V247</f>
        <v>#N/A</v>
      </c>
      <c r="Z247" s="25" t="e">
        <f>IF(VLOOKUP($G247, SeanRanks!$A$2:$H$303, 7, FALSE)=0, "", VLOOKUP($G247, SeanRanks!$A$2:$H$303, 7, FALSE))</f>
        <v>#N/A</v>
      </c>
    </row>
    <row r="248" spans="1:26" ht="14.25" hidden="1" customHeight="1" x14ac:dyDescent="0.25">
      <c r="A248" s="11"/>
      <c r="B248" s="11">
        <f t="shared" si="3"/>
        <v>15</v>
      </c>
      <c r="C248" s="11" t="s">
        <v>148</v>
      </c>
      <c r="D248" s="11"/>
      <c r="E248" s="11"/>
      <c r="F248" s="11">
        <f>VLOOKUP(G248, SeanRanks!$A$2:$E$302, 4, FALSE)</f>
        <v>0</v>
      </c>
      <c r="G248" s="11" t="s">
        <v>512</v>
      </c>
      <c r="H248" s="11" t="str">
        <f>VLOOKUP($G248, 'ADP Data'!$C$4:$Q$300, 2, FALSE)</f>
        <v>MIN</v>
      </c>
      <c r="I248" s="11" t="str">
        <f>VLOOKUP(G248, 'ADP Data'!$C$4:$R$498, 12, FALSE)</f>
        <v>-</v>
      </c>
      <c r="J248" s="11">
        <f>VLOOKUP($G248, SeanRanks!$A$2:$H$303, 5, FALSE)</f>
        <v>0</v>
      </c>
      <c r="K248" s="11" t="str">
        <f>IF(VLOOKUP($G248, SeanRanks!$A$2:$H$303, 6, FALSE)=0, "", VLOOKUP($G248, SeanRanks!$A$2:$H$303, 6, FALSE))</f>
        <v/>
      </c>
      <c r="L248" s="11">
        <f t="shared" si="4"/>
        <v>21</v>
      </c>
      <c r="M248" s="11">
        <f>VLOOKUP($G248, 'ADP Data'!$C$4:$Q$300, 9, FALSE)</f>
        <v>160</v>
      </c>
      <c r="N248" s="11">
        <f t="shared" si="5"/>
        <v>-5</v>
      </c>
      <c r="O248" s="11">
        <f>VLOOKUP($G248, 'ADP Data'!$C$4:$Q$300, 3, FALSE)</f>
        <v>141</v>
      </c>
      <c r="P248" s="11">
        <f t="shared" si="6"/>
        <v>19</v>
      </c>
      <c r="Q248" s="11">
        <f>VLOOKUP($G248, 'ADP Data'!$C$4:$Q$300, 4, FALSE)</f>
        <v>119</v>
      </c>
      <c r="R248" s="11">
        <f>VLOOKUP($G248, 'ADP Data'!$C$4:$Q$300, 5, FALSE)</f>
        <v>193</v>
      </c>
      <c r="S248" s="11">
        <f>VLOOKUP($G248, 'ADP Data'!$C$4:$Q$300, 6, FALSE)</f>
        <v>220</v>
      </c>
      <c r="T248" s="11">
        <f>VLOOKUP($G248, 'ADP Data'!$C$4:$Q$300, 7, FALSE)</f>
        <v>172</v>
      </c>
      <c r="U248" s="11">
        <f>VLOOKUP($G248, 'ADP Data'!$C$4:$Q$300, 8, FALSE)</f>
        <v>151</v>
      </c>
      <c r="V248" s="11">
        <f t="shared" si="7"/>
        <v>165</v>
      </c>
      <c r="W248" s="11">
        <f t="shared" si="8"/>
        <v>21</v>
      </c>
      <c r="X248" s="11">
        <f t="shared" si="9"/>
        <v>-21</v>
      </c>
      <c r="Y248" s="11">
        <f>VLOOKUP($G248, SeanRanks!$A$2:$K$303, 10, FALSE)-V248</f>
        <v>7</v>
      </c>
      <c r="Z248" s="25" t="str">
        <f>IF(VLOOKUP($G248, SeanRanks!$A$2:$H$303, 7, FALSE)=0, "", VLOOKUP($G248, SeanRanks!$A$2:$H$303, 7, FALSE))</f>
        <v/>
      </c>
    </row>
    <row r="249" spans="1:26" ht="14.25" hidden="1" customHeight="1" x14ac:dyDescent="0.25">
      <c r="A249" s="11"/>
      <c r="B249" s="11">
        <f t="shared" si="3"/>
        <v>11</v>
      </c>
      <c r="C249" s="11" t="s">
        <v>148</v>
      </c>
      <c r="D249" s="11"/>
      <c r="E249" s="11"/>
      <c r="F249" s="11">
        <f>VLOOKUP(G249, SeanRanks!$A$2:$E$302, 4, FALSE)</f>
        <v>0</v>
      </c>
      <c r="G249" s="11" t="s">
        <v>471</v>
      </c>
      <c r="H249" s="11" t="str">
        <f>VLOOKUP($G249, 'ADP Data'!$C$4:$Q$300, 2, FALSE)</f>
        <v>DEN</v>
      </c>
      <c r="I249" s="11" t="str">
        <f>VLOOKUP(G249, 'ADP Data'!$C$4:$R$498, 12, FALSE)</f>
        <v>-</v>
      </c>
      <c r="J249" s="11">
        <f>VLOOKUP($G249, SeanRanks!$A$2:$H$303, 5, FALSE)</f>
        <v>0</v>
      </c>
      <c r="K249" s="11" t="str">
        <f>IF(VLOOKUP($G249, SeanRanks!$A$2:$H$303, 6, FALSE)=0, "", VLOOKUP($G249, SeanRanks!$A$2:$H$303, 6, FALSE))</f>
        <v/>
      </c>
      <c r="L249" s="11">
        <f t="shared" si="4"/>
        <v>19</v>
      </c>
      <c r="M249" s="11">
        <f>VLOOKUP($G249, 'ADP Data'!$C$4:$Q$300, 9, FALSE)</f>
        <v>147</v>
      </c>
      <c r="N249" s="11">
        <f t="shared" si="5"/>
        <v>18</v>
      </c>
      <c r="O249" s="11">
        <f>VLOOKUP($G249, 'ADP Data'!$C$4:$Q$300, 3, FALSE)</f>
        <v>106</v>
      </c>
      <c r="P249" s="11">
        <f t="shared" si="6"/>
        <v>41</v>
      </c>
      <c r="Q249" s="11">
        <f>VLOOKUP($G249, 'ADP Data'!$C$4:$Q$300, 4, FALSE)</f>
        <v>94</v>
      </c>
      <c r="R249" s="11">
        <f>VLOOKUP($G249, 'ADP Data'!$C$4:$Q$300, 5, FALSE)</f>
        <v>134</v>
      </c>
      <c r="S249" s="11">
        <f>VLOOKUP($G249, 'ADP Data'!$C$4:$Q$300, 6, FALSE)</f>
        <v>203</v>
      </c>
      <c r="T249" s="11">
        <f>VLOOKUP($G249, 'ADP Data'!$C$4:$Q$300, 7, FALSE)</f>
        <v>140</v>
      </c>
      <c r="U249" s="11">
        <f>VLOOKUP($G249, 'ADP Data'!$C$4:$Q$300, 8, FALSE)</f>
        <v>82</v>
      </c>
      <c r="V249" s="11">
        <f t="shared" si="7"/>
        <v>129</v>
      </c>
      <c r="W249" s="11">
        <f t="shared" si="8"/>
        <v>17</v>
      </c>
      <c r="X249" s="11">
        <f t="shared" si="9"/>
        <v>-17</v>
      </c>
      <c r="Y249" s="11">
        <f>VLOOKUP($G249, SeanRanks!$A$2:$K$303, 10, FALSE)-V249</f>
        <v>29</v>
      </c>
      <c r="Z249" s="25" t="str">
        <f>IF(VLOOKUP($G249, SeanRanks!$A$2:$H$303, 7, FALSE)=0, "", VLOOKUP($G249, SeanRanks!$A$2:$H$303, 7, FALSE))</f>
        <v/>
      </c>
    </row>
    <row r="250" spans="1:26" ht="14.25" hidden="1" customHeight="1" x14ac:dyDescent="0.25">
      <c r="A250" s="11"/>
      <c r="B250" s="11">
        <f t="shared" si="3"/>
        <v>14</v>
      </c>
      <c r="C250" s="11" t="s">
        <v>148</v>
      </c>
      <c r="D250" s="11"/>
      <c r="E250" s="11"/>
      <c r="F250" s="11">
        <f>VLOOKUP(G250, SeanRanks!$A$2:$E$302, 4, FALSE)</f>
        <v>0</v>
      </c>
      <c r="G250" s="11" t="s">
        <v>598</v>
      </c>
      <c r="H250" s="11" t="str">
        <f>VLOOKUP($G250, 'ADP Data'!$C$4:$Q$300, 2, FALSE)</f>
        <v>CIN</v>
      </c>
      <c r="I250" s="11" t="str">
        <f>VLOOKUP(G250, 'ADP Data'!$C$4:$R$498, 12, FALSE)</f>
        <v>-</v>
      </c>
      <c r="J250" s="11">
        <f>VLOOKUP($G250, SeanRanks!$A$2:$H$303, 5, FALSE)</f>
        <v>0</v>
      </c>
      <c r="K250" s="11" t="str">
        <f>IF(VLOOKUP($G250, SeanRanks!$A$2:$H$303, 6, FALSE)=0, "", VLOOKUP($G250, SeanRanks!$A$2:$H$303, 6, FALSE))</f>
        <v/>
      </c>
      <c r="L250" s="11">
        <f t="shared" si="4"/>
        <v>21</v>
      </c>
      <c r="M250" s="11">
        <f>VLOOKUP($G250, 'ADP Data'!$C$4:$Q$300, 9, FALSE)</f>
        <v>163</v>
      </c>
      <c r="N250" s="11">
        <f t="shared" si="5"/>
        <v>-13</v>
      </c>
      <c r="O250" s="11">
        <f>VLOOKUP($G250, 'ADP Data'!$C$4:$Q$300, 3, FALSE)</f>
        <v>189</v>
      </c>
      <c r="P250" s="11">
        <f t="shared" si="6"/>
        <v>-26</v>
      </c>
      <c r="Q250" s="11"/>
      <c r="R250" s="11"/>
      <c r="S250" s="11"/>
      <c r="T250" s="11"/>
      <c r="U250" s="11"/>
      <c r="V250" s="11">
        <f t="shared" si="7"/>
        <v>176</v>
      </c>
      <c r="W250" s="11">
        <f t="shared" si="8"/>
        <v>23</v>
      </c>
      <c r="X250" s="11">
        <f t="shared" si="9"/>
        <v>-23</v>
      </c>
      <c r="Y250" s="11">
        <f>VLOOKUP($G250, SeanRanks!$A$2:$K$303, 10, FALSE)-V250</f>
        <v>42</v>
      </c>
      <c r="Z250" s="25" t="str">
        <f>IF(VLOOKUP($G250, SeanRanks!$A$2:$H$303, 7, FALSE)=0, "", VLOOKUP($G250, SeanRanks!$A$2:$H$303, 7, FALSE))</f>
        <v/>
      </c>
    </row>
    <row r="251" spans="1:26" ht="14.25" hidden="1" customHeight="1" x14ac:dyDescent="0.25">
      <c r="A251" s="11"/>
      <c r="B251" s="11">
        <f t="shared" si="3"/>
        <v>22</v>
      </c>
      <c r="C251" s="11" t="s">
        <v>148</v>
      </c>
      <c r="D251" s="11"/>
      <c r="E251" s="11"/>
      <c r="F251" s="11">
        <f>VLOOKUP(G251, SeanRanks!$A$2:$E$302, 4, FALSE)</f>
        <v>0</v>
      </c>
      <c r="G251" s="11" t="s">
        <v>828</v>
      </c>
      <c r="H251" s="11" t="str">
        <f>VLOOKUP($G251, 'ADP Data'!$C$4:$Q$300, 2, FALSE)</f>
        <v>CIN</v>
      </c>
      <c r="I251" s="11">
        <f>VLOOKUP(G251, 'ADP Data'!$C$4:$R$498, 12, FALSE)</f>
        <v>199</v>
      </c>
      <c r="J251" s="11">
        <f>VLOOKUP($G251, SeanRanks!$A$2:$H$303, 5, FALSE)</f>
        <v>0</v>
      </c>
      <c r="K251" s="11" t="str">
        <f>IF(VLOOKUP($G251, SeanRanks!$A$2:$H$303, 6, FALSE)=0, "", VLOOKUP($G251, SeanRanks!$A$2:$H$303, 6, FALSE))</f>
        <v/>
      </c>
      <c r="L251" s="11">
        <f t="shared" si="4"/>
        <v>33</v>
      </c>
      <c r="M251" s="11">
        <f>VLOOKUP($G251, 'ADP Data'!$C$4:$Q$300, 9, FALSE)</f>
        <v>262</v>
      </c>
      <c r="N251" s="11">
        <f t="shared" si="5"/>
        <v>-1</v>
      </c>
      <c r="O251" s="11" t="str">
        <f>VLOOKUP($G251, 'ADP Data'!$C$4:$Q$300, 3, FALSE)</f>
        <v>-</v>
      </c>
      <c r="P251" s="11" t="e">
        <f t="shared" si="6"/>
        <v>#VALUE!</v>
      </c>
      <c r="Q251" s="11" t="str">
        <f>VLOOKUP($G251, 'ADP Data'!$C$4:$Q$300, 4, FALSE)</f>
        <v>-</v>
      </c>
      <c r="R251" s="11">
        <f>VLOOKUP($G251, 'ADP Data'!$C$4:$Q$300, 5, FALSE)</f>
        <v>324</v>
      </c>
      <c r="S251" s="11">
        <f>VLOOKUP($G251, 'ADP Data'!$C$4:$Q$300, 6, FALSE)</f>
        <v>245</v>
      </c>
      <c r="T251" s="11">
        <f>VLOOKUP($G251, 'ADP Data'!$C$4:$Q$300, 7, FALSE)</f>
        <v>217</v>
      </c>
      <c r="U251" s="11">
        <f>VLOOKUP($G251, 'ADP Data'!$C$4:$Q$300, 8, FALSE)</f>
        <v>267</v>
      </c>
      <c r="V251" s="11">
        <f t="shared" si="7"/>
        <v>263</v>
      </c>
      <c r="W251" s="11">
        <f t="shared" si="8"/>
        <v>33</v>
      </c>
      <c r="X251" s="11">
        <f t="shared" si="9"/>
        <v>-33</v>
      </c>
      <c r="Y251" s="11" t="e">
        <f>VLOOKUP($G251, SeanRanks!$A$2:$K$303, 10, FALSE)-V251</f>
        <v>#VALUE!</v>
      </c>
      <c r="Z251" s="25" t="str">
        <f>IF(VLOOKUP($G251, SeanRanks!$A$2:$H$303, 7, FALSE)=0, "", VLOOKUP($G251, SeanRanks!$A$2:$H$303, 7, FALSE))</f>
        <v/>
      </c>
    </row>
    <row r="252" spans="1:26" ht="14.25" hidden="1" customHeight="1" x14ac:dyDescent="0.25">
      <c r="A252" s="11"/>
      <c r="B252" s="11" t="e">
        <f t="shared" si="3"/>
        <v>#N/A</v>
      </c>
      <c r="C252" s="11" t="s">
        <v>148</v>
      </c>
      <c r="D252" s="11"/>
      <c r="E252" s="11"/>
      <c r="F252" s="11" t="e">
        <f>VLOOKUP(G252, SeanRanks!$A$2:$E$302, 4, FALSE)</f>
        <v>#N/A</v>
      </c>
      <c r="G252" s="11" t="s">
        <v>282</v>
      </c>
      <c r="H252" s="11" t="e">
        <f>VLOOKUP($G252, 'ADP Data'!$C$4:$Q$300, 2, FALSE)</f>
        <v>#N/A</v>
      </c>
      <c r="I252" s="11" t="e">
        <f>VLOOKUP(G252, 'ADP Data'!$C$4:$R$498, 12, FALSE)</f>
        <v>#N/A</v>
      </c>
      <c r="J252" s="11" t="e">
        <f>VLOOKUP($G252, SeanRanks!$A$2:$H$303, 5, FALSE)</f>
        <v>#N/A</v>
      </c>
      <c r="K252" s="11" t="e">
        <f>IF(VLOOKUP($G252, SeanRanks!$A$2:$H$303, 6, FALSE)=0, "", VLOOKUP($G252, SeanRanks!$A$2:$H$303, 6, FALSE))</f>
        <v>#N/A</v>
      </c>
      <c r="L252" s="11">
        <f t="shared" si="4"/>
        <v>16</v>
      </c>
      <c r="M252" s="11" t="e">
        <f>VLOOKUP($G252, 'ADP Data'!$C$4:$Q$300, 9, FALSE)</f>
        <v>#N/A</v>
      </c>
      <c r="N252" s="11" t="e">
        <f t="shared" si="5"/>
        <v>#N/A</v>
      </c>
      <c r="O252" s="11" t="e">
        <f>VLOOKUP($G252, 'ADP Data'!$C$4:$Q$300, 3, FALSE)</f>
        <v>#N/A</v>
      </c>
      <c r="P252" s="11" t="e">
        <f t="shared" si="6"/>
        <v>#N/A</v>
      </c>
      <c r="Q252" s="11" t="e">
        <f>VLOOKUP($G252, 'ADP Data'!$C$4:$Q$300, 4, FALSE)</f>
        <v>#N/A</v>
      </c>
      <c r="R252" s="11" t="e">
        <f>VLOOKUP($G252, 'ADP Data'!$C$4:$Q$300, 5, FALSE)</f>
        <v>#N/A</v>
      </c>
      <c r="S252" s="11" t="e">
        <f>VLOOKUP($G252, 'ADP Data'!$C$4:$Q$300, 6, FALSE)</f>
        <v>#N/A</v>
      </c>
      <c r="T252" s="11" t="e">
        <f>VLOOKUP($G252, 'ADP Data'!$C$4:$Q$300, 7, FALSE)</f>
        <v>#N/A</v>
      </c>
      <c r="U252" s="11" t="e">
        <f>VLOOKUP($G252, 'ADP Data'!$C$4:$Q$300, 8, FALSE)</f>
        <v>#N/A</v>
      </c>
      <c r="V252" s="11" t="e">
        <f t="shared" si="7"/>
        <v>#N/A</v>
      </c>
      <c r="W252" s="11">
        <f t="shared" si="8"/>
        <v>16</v>
      </c>
      <c r="X252" s="11">
        <f t="shared" si="9"/>
        <v>-16</v>
      </c>
      <c r="Y252" s="11" t="e">
        <f>VLOOKUP($G252, SeanRanks!$A$2:$K$303, 10, FALSE)-V252</f>
        <v>#N/A</v>
      </c>
      <c r="Z252" s="25" t="e">
        <f>IF(VLOOKUP($G252, SeanRanks!$A$2:$H$303, 7, FALSE)=0, "", VLOOKUP($G252, SeanRanks!$A$2:$H$303, 7, FALSE))</f>
        <v>#N/A</v>
      </c>
    </row>
    <row r="253" spans="1:26" ht="14.25" customHeight="1" x14ac:dyDescent="0.25">
      <c r="A253" s="11"/>
      <c r="B253" s="11">
        <f t="shared" si="3"/>
        <v>19</v>
      </c>
      <c r="C253" s="11" t="s">
        <v>148</v>
      </c>
      <c r="D253" s="11"/>
      <c r="E253" s="11"/>
      <c r="F253" s="11">
        <f>VLOOKUP(G253, SeanRanks!$A$2:$E$302, 4, FALSE)</f>
        <v>0</v>
      </c>
      <c r="G253" s="11" t="s">
        <v>960</v>
      </c>
      <c r="H253" s="11" t="str">
        <f>VLOOKUP($G253, 'ADP Data'!$C$4:$Q$300, 2, FALSE)</f>
        <v>PHI</v>
      </c>
      <c r="I253" s="11">
        <f>VLOOKUP(G253, 'ADP Data'!$C$4:$R$498, 12, FALSE)</f>
        <v>167</v>
      </c>
      <c r="J253" s="11">
        <f>VLOOKUP($G253, SeanRanks!$A$2:$H$303, 5, FALSE)</f>
        <v>0</v>
      </c>
      <c r="K253" s="11" t="str">
        <f>IF(VLOOKUP($G253, SeanRanks!$A$2:$H$303, 6, FALSE)=0, "", VLOOKUP($G253, SeanRanks!$A$2:$H$303, 6, FALSE))</f>
        <v>Handcuff only</v>
      </c>
      <c r="L253" s="11">
        <f t="shared" si="4"/>
        <v>26</v>
      </c>
      <c r="M253" s="11">
        <f>VLOOKUP($G253, 'ADP Data'!$C$4:$Q$300, 9, FALSE)</f>
        <v>204</v>
      </c>
      <c r="N253" s="11">
        <f t="shared" si="5"/>
        <v>-13</v>
      </c>
      <c r="O253" s="11">
        <f>VLOOKUP($G253, 'ADP Data'!$C$4:$Q$300, 3, FALSE)</f>
        <v>211</v>
      </c>
      <c r="P253" s="11">
        <f t="shared" si="6"/>
        <v>-7</v>
      </c>
      <c r="Q253" s="11">
        <f>VLOOKUP($G253, 'ADP Data'!$C$4:$Q$300, 4, FALSE)</f>
        <v>213</v>
      </c>
      <c r="R253" s="11">
        <f>VLOOKUP($G253, 'ADP Data'!$C$4:$Q$300, 5, FALSE)</f>
        <v>258</v>
      </c>
      <c r="S253" s="11">
        <f>VLOOKUP($G253, 'ADP Data'!$C$4:$Q$300, 6, FALSE)</f>
        <v>163</v>
      </c>
      <c r="T253" s="11">
        <f>VLOOKUP($G253, 'ADP Data'!$C$4:$Q$300, 7, FALSE)</f>
        <v>173</v>
      </c>
      <c r="U253" s="11">
        <f>VLOOKUP($G253, 'ADP Data'!$C$4:$Q$300, 8, FALSE)</f>
        <v>302</v>
      </c>
      <c r="V253" s="11">
        <f t="shared" si="7"/>
        <v>217</v>
      </c>
      <c r="W253" s="11">
        <f t="shared" si="8"/>
        <v>28</v>
      </c>
      <c r="X253" s="11">
        <f t="shared" si="9"/>
        <v>-28</v>
      </c>
      <c r="Y253" s="11">
        <f>VLOOKUP($G253, SeanRanks!$A$2:$K$303, 10, FALSE)-V253</f>
        <v>-50</v>
      </c>
      <c r="Z253" s="25" t="str">
        <f>IF(VLOOKUP($G253, SeanRanks!$A$2:$H$303, 7, FALSE)=0, "", VLOOKUP($G253, SeanRanks!$A$2:$H$303, 7, FALSE))</f>
        <v/>
      </c>
    </row>
    <row r="254" spans="1:26" ht="14.25" hidden="1" customHeight="1" x14ac:dyDescent="0.25">
      <c r="A254" s="11"/>
      <c r="B254" s="11">
        <f t="shared" si="3"/>
        <v>16</v>
      </c>
      <c r="C254" s="11" t="s">
        <v>148</v>
      </c>
      <c r="D254" s="11"/>
      <c r="E254" s="11"/>
      <c r="F254" s="11">
        <f>VLOOKUP(G254, SeanRanks!$A$2:$E$302, 4, FALSE)</f>
        <v>0</v>
      </c>
      <c r="G254" s="11" t="s">
        <v>961</v>
      </c>
      <c r="H254" s="11" t="str">
        <f>VLOOKUP($G254, 'ADP Data'!$C$4:$Q$300, 2, FALSE)</f>
        <v>BUF</v>
      </c>
      <c r="I254" s="11" t="str">
        <f>VLOOKUP(G254, 'ADP Data'!$C$4:$R$498, 12, FALSE)</f>
        <v>-</v>
      </c>
      <c r="J254" s="11">
        <f>VLOOKUP($G254, SeanRanks!$A$2:$H$303, 5, FALSE)</f>
        <v>0</v>
      </c>
      <c r="K254" s="11" t="str">
        <f>IF(VLOOKUP($G254, SeanRanks!$A$2:$H$303, 6, FALSE)=0, "", VLOOKUP($G254, SeanRanks!$A$2:$H$303, 6, FALSE))</f>
        <v/>
      </c>
      <c r="L254" s="11">
        <f t="shared" si="4"/>
        <v>24</v>
      </c>
      <c r="M254" s="11">
        <f>VLOOKUP($G254, 'ADP Data'!$C$4:$Q$300, 9, FALSE)</f>
        <v>185</v>
      </c>
      <c r="N254" s="11">
        <f t="shared" si="5"/>
        <v>14</v>
      </c>
      <c r="O254" s="11">
        <f>VLOOKUP($G254, 'ADP Data'!$C$4:$Q$300, 3, FALSE)</f>
        <v>158</v>
      </c>
      <c r="P254" s="11">
        <f t="shared" si="6"/>
        <v>27</v>
      </c>
      <c r="Q254" s="11"/>
      <c r="R254" s="11"/>
      <c r="S254" s="11"/>
      <c r="T254" s="11"/>
      <c r="U254" s="11"/>
      <c r="V254" s="11">
        <f t="shared" si="7"/>
        <v>171</v>
      </c>
      <c r="W254" s="11">
        <f t="shared" si="8"/>
        <v>22</v>
      </c>
      <c r="X254" s="11">
        <f t="shared" si="9"/>
        <v>-22</v>
      </c>
      <c r="Y254" s="11">
        <f>VLOOKUP($G254, SeanRanks!$A$2:$K$303, 10, FALSE)-V254</f>
        <v>68</v>
      </c>
      <c r="Z254" s="25" t="str">
        <f>IF(VLOOKUP($G254, SeanRanks!$A$2:$H$303, 7, FALSE)=0, "", VLOOKUP($G254, SeanRanks!$A$2:$H$303, 7, FALSE))</f>
        <v/>
      </c>
    </row>
    <row r="255" spans="1:26" ht="14.25" hidden="1" customHeight="1" x14ac:dyDescent="0.25">
      <c r="A255" s="11"/>
      <c r="B255" s="11">
        <f t="shared" si="3"/>
        <v>14</v>
      </c>
      <c r="C255" s="11" t="s">
        <v>148</v>
      </c>
      <c r="D255" s="11"/>
      <c r="E255" s="11"/>
      <c r="F255" s="11">
        <f>VLOOKUP(G255, SeanRanks!$A$2:$E$302, 4, FALSE)</f>
        <v>0</v>
      </c>
      <c r="G255" s="11" t="s">
        <v>962</v>
      </c>
      <c r="H255" s="11" t="str">
        <f>VLOOKUP($G255, 'ADP Data'!$C$4:$Q$300, 2, FALSE)</f>
        <v>ATL</v>
      </c>
      <c r="I255" s="11" t="str">
        <f>VLOOKUP(G255, 'ADP Data'!$C$4:$R$498, 12, FALSE)</f>
        <v>-</v>
      </c>
      <c r="J255" s="11">
        <f>VLOOKUP($G255, SeanRanks!$A$2:$H$303, 5, FALSE)</f>
        <v>0</v>
      </c>
      <c r="K255" s="11" t="str">
        <f>IF(VLOOKUP($G255, SeanRanks!$A$2:$H$303, 6, FALSE)=0, "", VLOOKUP($G255, SeanRanks!$A$2:$H$303, 6, FALSE))</f>
        <v/>
      </c>
      <c r="L255" s="11">
        <f t="shared" si="4"/>
        <v>20</v>
      </c>
      <c r="M255" s="11">
        <f>VLOOKUP($G255, 'ADP Data'!$C$4:$Q$300, 9, FALSE)</f>
        <v>159</v>
      </c>
      <c r="N255" s="11">
        <f t="shared" si="5"/>
        <v>-17</v>
      </c>
      <c r="O255" s="11">
        <f>VLOOKUP($G255, 'ADP Data'!$C$4:$Q$300, 3, FALSE)</f>
        <v>193</v>
      </c>
      <c r="P255" s="11">
        <f t="shared" si="6"/>
        <v>-34</v>
      </c>
      <c r="Q255" s="11"/>
      <c r="R255" s="11"/>
      <c r="S255" s="11"/>
      <c r="T255" s="11"/>
      <c r="U255" s="11"/>
      <c r="V255" s="11">
        <f t="shared" si="7"/>
        <v>176</v>
      </c>
      <c r="W255" s="11">
        <f t="shared" si="8"/>
        <v>23</v>
      </c>
      <c r="X255" s="11">
        <f t="shared" si="9"/>
        <v>-23</v>
      </c>
      <c r="Y255" s="11">
        <f>VLOOKUP($G255, SeanRanks!$A$2:$K$303, 10, FALSE)-V255</f>
        <v>70</v>
      </c>
      <c r="Z255" s="25" t="str">
        <f>IF(VLOOKUP($G255, SeanRanks!$A$2:$H$303, 7, FALSE)=0, "", VLOOKUP($G255, SeanRanks!$A$2:$H$303, 7, FALSE))</f>
        <v/>
      </c>
    </row>
    <row r="256" spans="1:26" ht="14.25" hidden="1" customHeight="1" x14ac:dyDescent="0.25">
      <c r="A256" s="11"/>
      <c r="B256" s="11" t="e">
        <f t="shared" si="3"/>
        <v>#N/A</v>
      </c>
      <c r="C256" s="11" t="s">
        <v>148</v>
      </c>
      <c r="D256" s="11"/>
      <c r="E256" s="11"/>
      <c r="F256" s="11" t="e">
        <f>VLOOKUP(G256, SeanRanks!$A$2:$E$302, 4, FALSE)</f>
        <v>#N/A</v>
      </c>
      <c r="G256" s="11" t="s">
        <v>963</v>
      </c>
      <c r="H256" s="11" t="e">
        <f>VLOOKUP($G256, 'ADP Data'!$C$4:$Q$300, 2, FALSE)</f>
        <v>#N/A</v>
      </c>
      <c r="I256" s="11" t="e">
        <f>VLOOKUP(G256, 'ADP Data'!$C$4:$R$498, 12, FALSE)</f>
        <v>#N/A</v>
      </c>
      <c r="J256" s="11" t="e">
        <f>VLOOKUP($G256, SeanRanks!$A$2:$H$303, 5, FALSE)</f>
        <v>#N/A</v>
      </c>
      <c r="K256" s="11" t="e">
        <f>IF(VLOOKUP($G256, SeanRanks!$A$2:$H$303, 6, FALSE)=0, "", VLOOKUP($G256, SeanRanks!$A$2:$H$303, 6, FALSE))</f>
        <v>#N/A</v>
      </c>
      <c r="L256" s="11">
        <f t="shared" si="4"/>
        <v>16</v>
      </c>
      <c r="M256" s="11" t="e">
        <f>VLOOKUP($G256, 'ADP Data'!$C$4:$Q$300, 9, FALSE)</f>
        <v>#N/A</v>
      </c>
      <c r="N256" s="11" t="e">
        <f t="shared" si="5"/>
        <v>#N/A</v>
      </c>
      <c r="O256" s="11" t="e">
        <f>VLOOKUP($G256, 'ADP Data'!$C$4:$Q$300, 3, FALSE)</f>
        <v>#N/A</v>
      </c>
      <c r="P256" s="11" t="e">
        <f t="shared" si="6"/>
        <v>#N/A</v>
      </c>
      <c r="Q256" s="11" t="e">
        <f>VLOOKUP($G256, 'ADP Data'!$C$4:$Q$300, 4, FALSE)</f>
        <v>#N/A</v>
      </c>
      <c r="R256" s="11" t="e">
        <f>VLOOKUP($G256, 'ADP Data'!$C$4:$Q$300, 5, FALSE)</f>
        <v>#N/A</v>
      </c>
      <c r="S256" s="11" t="e">
        <f>VLOOKUP($G256, 'ADP Data'!$C$4:$Q$300, 6, FALSE)</f>
        <v>#N/A</v>
      </c>
      <c r="T256" s="11" t="e">
        <f>VLOOKUP($G256, 'ADP Data'!$C$4:$Q$300, 7, FALSE)</f>
        <v>#N/A</v>
      </c>
      <c r="U256" s="11" t="e">
        <f>VLOOKUP($G256, 'ADP Data'!$C$4:$Q$300, 8, FALSE)</f>
        <v>#N/A</v>
      </c>
      <c r="V256" s="11" t="e">
        <f t="shared" si="7"/>
        <v>#N/A</v>
      </c>
      <c r="W256" s="11">
        <f t="shared" si="8"/>
        <v>16</v>
      </c>
      <c r="X256" s="11">
        <f t="shared" si="9"/>
        <v>-16</v>
      </c>
      <c r="Y256" s="11" t="e">
        <f>VLOOKUP($G256, SeanRanks!$A$2:$K$303, 10, FALSE)-V256</f>
        <v>#N/A</v>
      </c>
      <c r="Z256" s="25" t="e">
        <f>IF(VLOOKUP($G256, SeanRanks!$A$2:$H$303, 7, FALSE)=0, "", VLOOKUP($G256, SeanRanks!$A$2:$H$303, 7, FALSE))</f>
        <v>#N/A</v>
      </c>
    </row>
    <row r="257" spans="1:26" ht="14.25" hidden="1" customHeight="1" x14ac:dyDescent="0.25">
      <c r="A257" s="11"/>
      <c r="B257" s="11" t="e">
        <f t="shared" si="3"/>
        <v>#N/A</v>
      </c>
      <c r="C257" s="11" t="s">
        <v>148</v>
      </c>
      <c r="D257" s="11"/>
      <c r="E257" s="11"/>
      <c r="F257" s="11" t="e">
        <f>VLOOKUP(G257, SeanRanks!$A$2:$E$302, 4, FALSE)</f>
        <v>#N/A</v>
      </c>
      <c r="G257" s="11" t="s">
        <v>516</v>
      </c>
      <c r="H257" s="11" t="e">
        <f>VLOOKUP($G257, 'ADP Data'!$C$4:$Q$300, 2, FALSE)</f>
        <v>#N/A</v>
      </c>
      <c r="I257" s="11" t="e">
        <f>VLOOKUP(G257, 'ADP Data'!$C$4:$R$498, 12, FALSE)</f>
        <v>#N/A</v>
      </c>
      <c r="J257" s="11" t="e">
        <f>VLOOKUP($G257, SeanRanks!$A$2:$H$303, 5, FALSE)</f>
        <v>#N/A</v>
      </c>
      <c r="K257" s="11" t="e">
        <f>IF(VLOOKUP($G257, SeanRanks!$A$2:$H$303, 6, FALSE)=0, "", VLOOKUP($G257, SeanRanks!$A$2:$H$303, 6, FALSE))</f>
        <v>#N/A</v>
      </c>
      <c r="L257" s="11">
        <f t="shared" si="4"/>
        <v>16</v>
      </c>
      <c r="M257" s="11" t="e">
        <f>VLOOKUP($G257, 'ADP Data'!$C$4:$Q$300, 9, FALSE)</f>
        <v>#N/A</v>
      </c>
      <c r="N257" s="11" t="e">
        <f t="shared" si="5"/>
        <v>#N/A</v>
      </c>
      <c r="O257" s="11" t="e">
        <f>VLOOKUP($G257, 'ADP Data'!$C$4:$Q$300, 3, FALSE)</f>
        <v>#N/A</v>
      </c>
      <c r="P257" s="11" t="e">
        <f t="shared" si="6"/>
        <v>#N/A</v>
      </c>
      <c r="Q257" s="11" t="e">
        <f>VLOOKUP($G257, 'ADP Data'!$C$4:$Q$300, 4, FALSE)</f>
        <v>#N/A</v>
      </c>
      <c r="R257" s="11" t="e">
        <f>VLOOKUP($G257, 'ADP Data'!$C$4:$Q$300, 5, FALSE)</f>
        <v>#N/A</v>
      </c>
      <c r="S257" s="11" t="e">
        <f>VLOOKUP($G257, 'ADP Data'!$C$4:$Q$300, 6, FALSE)</f>
        <v>#N/A</v>
      </c>
      <c r="T257" s="11" t="e">
        <f>VLOOKUP($G257, 'ADP Data'!$C$4:$Q$300, 7, FALSE)</f>
        <v>#N/A</v>
      </c>
      <c r="U257" s="11" t="e">
        <f>VLOOKUP($G257, 'ADP Data'!$C$4:$Q$300, 8, FALSE)</f>
        <v>#N/A</v>
      </c>
      <c r="V257" s="11" t="e">
        <f t="shared" si="7"/>
        <v>#N/A</v>
      </c>
      <c r="W257" s="11">
        <f t="shared" si="8"/>
        <v>16</v>
      </c>
      <c r="X257" s="11">
        <f t="shared" si="9"/>
        <v>-16</v>
      </c>
      <c r="Y257" s="11" t="e">
        <f>VLOOKUP($G257, SeanRanks!$A$2:$K$303, 10, FALSE)-V257</f>
        <v>#N/A</v>
      </c>
      <c r="Z257" s="25" t="e">
        <f>IF(VLOOKUP($G257, SeanRanks!$A$2:$H$303, 7, FALSE)=0, "", VLOOKUP($G257, SeanRanks!$A$2:$H$303, 7, FALSE))</f>
        <v>#N/A</v>
      </c>
    </row>
    <row r="258" spans="1:26" ht="14.25" hidden="1" customHeight="1" x14ac:dyDescent="0.25">
      <c r="A258" s="11"/>
      <c r="B258" s="11" t="e">
        <f t="shared" si="3"/>
        <v>#N/A</v>
      </c>
      <c r="C258" s="11" t="s">
        <v>148</v>
      </c>
      <c r="D258" s="11"/>
      <c r="E258" s="11"/>
      <c r="F258" s="11" t="e">
        <f>VLOOKUP(G258, SeanRanks!$A$2:$E$302, 4, FALSE)</f>
        <v>#N/A</v>
      </c>
      <c r="G258" s="11" t="s">
        <v>964</v>
      </c>
      <c r="H258" s="11" t="e">
        <f>VLOOKUP($G258, 'ADP Data'!$C$4:$Q$300, 2, FALSE)</f>
        <v>#N/A</v>
      </c>
      <c r="I258" s="11" t="e">
        <f>VLOOKUP(G258, 'ADP Data'!$C$4:$R$498, 12, FALSE)</f>
        <v>#N/A</v>
      </c>
      <c r="J258" s="11" t="e">
        <f>VLOOKUP($G258, SeanRanks!$A$2:$H$303, 5, FALSE)</f>
        <v>#N/A</v>
      </c>
      <c r="K258" s="11" t="e">
        <f>IF(VLOOKUP($G258, SeanRanks!$A$2:$H$303, 6, FALSE)=0, "", VLOOKUP($G258, SeanRanks!$A$2:$H$303, 6, FALSE))</f>
        <v>#N/A</v>
      </c>
      <c r="L258" s="11">
        <f t="shared" si="4"/>
        <v>16</v>
      </c>
      <c r="M258" s="11" t="e">
        <f>VLOOKUP($G258, 'ADP Data'!$C$4:$Q$300, 9, FALSE)</f>
        <v>#N/A</v>
      </c>
      <c r="N258" s="11" t="e">
        <f t="shared" si="5"/>
        <v>#N/A</v>
      </c>
      <c r="O258" s="11" t="e">
        <f>VLOOKUP($G258, 'ADP Data'!$C$4:$Q$300, 3, FALSE)</f>
        <v>#N/A</v>
      </c>
      <c r="P258" s="11" t="e">
        <f t="shared" si="6"/>
        <v>#N/A</v>
      </c>
      <c r="Q258" s="11" t="e">
        <f>VLOOKUP($G258, 'ADP Data'!$C$4:$Q$300, 4, FALSE)</f>
        <v>#N/A</v>
      </c>
      <c r="R258" s="11" t="e">
        <f>VLOOKUP($G258, 'ADP Data'!$C$4:$Q$300, 5, FALSE)</f>
        <v>#N/A</v>
      </c>
      <c r="S258" s="11" t="e">
        <f>VLOOKUP($G258, 'ADP Data'!$C$4:$Q$300, 6, FALSE)</f>
        <v>#N/A</v>
      </c>
      <c r="T258" s="11" t="e">
        <f>VLOOKUP($G258, 'ADP Data'!$C$4:$Q$300, 7, FALSE)</f>
        <v>#N/A</v>
      </c>
      <c r="U258" s="11" t="e">
        <f>VLOOKUP($G258, 'ADP Data'!$C$4:$Q$300, 8, FALSE)</f>
        <v>#N/A</v>
      </c>
      <c r="V258" s="11" t="e">
        <f t="shared" si="7"/>
        <v>#N/A</v>
      </c>
      <c r="W258" s="11">
        <f t="shared" si="8"/>
        <v>16</v>
      </c>
      <c r="X258" s="11">
        <f t="shared" si="9"/>
        <v>-16</v>
      </c>
      <c r="Y258" s="11" t="e">
        <f>VLOOKUP($G258, SeanRanks!$A$2:$K$303, 10, FALSE)-V258</f>
        <v>#N/A</v>
      </c>
      <c r="Z258" s="25" t="e">
        <f>IF(VLOOKUP($G258, SeanRanks!$A$2:$H$303, 7, FALSE)=0, "", VLOOKUP($G258, SeanRanks!$A$2:$H$303, 7, FALSE))</f>
        <v>#N/A</v>
      </c>
    </row>
    <row r="259" spans="1:26" ht="14.25" hidden="1" customHeight="1" x14ac:dyDescent="0.25">
      <c r="A259" s="11"/>
      <c r="B259" s="11">
        <f t="shared" si="3"/>
        <v>10</v>
      </c>
      <c r="C259" s="11" t="s">
        <v>148</v>
      </c>
      <c r="D259" s="11"/>
      <c r="E259" s="11"/>
      <c r="F259" s="11">
        <f>VLOOKUP(G259, SeanRanks!$A$2:$E$302, 4, FALSE)</f>
        <v>0</v>
      </c>
      <c r="G259" s="11" t="s">
        <v>237</v>
      </c>
      <c r="H259" s="11" t="str">
        <f>VLOOKUP($G259, 'ADP Data'!$C$4:$Q$300, 2, FALSE)</f>
        <v>GB</v>
      </c>
      <c r="I259" s="11">
        <f>VLOOKUP(G259, 'ADP Data'!$C$4:$R$498, 12, FALSE)</f>
        <v>112</v>
      </c>
      <c r="J259" s="11" t="str">
        <f>VLOOKUP($G259, SeanRanks!$A$2:$H$303, 5, FALSE)</f>
        <v>Yes</v>
      </c>
      <c r="K259" s="11" t="str">
        <f>IF(VLOOKUP($G259, SeanRanks!$A$2:$H$303, 6, FALSE)=0, "", VLOOKUP($G259, SeanRanks!$A$2:$H$303, 6, FALSE))</f>
        <v>TE2 - 1 - Big Upside</v>
      </c>
      <c r="L259" s="11">
        <f t="shared" si="4"/>
        <v>14</v>
      </c>
      <c r="M259" s="11">
        <f>VLOOKUP($G259, 'ADP Data'!$C$4:$Q$300, 9, FALSE)</f>
        <v>105</v>
      </c>
      <c r="N259" s="11">
        <f t="shared" si="5"/>
        <v>-4</v>
      </c>
      <c r="O259" s="11">
        <f>VLOOKUP($G259, 'ADP Data'!$C$4:$Q$300, 3, FALSE)</f>
        <v>114</v>
      </c>
      <c r="P259" s="11">
        <f t="shared" si="6"/>
        <v>-9</v>
      </c>
      <c r="Q259" s="11">
        <f>VLOOKUP($G259, 'ADP Data'!$C$4:$Q$300, 4, FALSE)</f>
        <v>106</v>
      </c>
      <c r="R259" s="11">
        <f>VLOOKUP($G259, 'ADP Data'!$C$4:$Q$300, 5, FALSE)</f>
        <v>123</v>
      </c>
      <c r="S259" s="11">
        <f>VLOOKUP($G259, 'ADP Data'!$C$4:$Q$300, 6, FALSE)</f>
        <v>91</v>
      </c>
      <c r="T259" s="11">
        <f>VLOOKUP($G259, 'ADP Data'!$C$4:$Q$300, 7, FALSE)</f>
        <v>111</v>
      </c>
      <c r="U259" s="11">
        <f>VLOOKUP($G259, 'ADP Data'!$C$4:$Q$300, 8, FALSE)</f>
        <v>116</v>
      </c>
      <c r="V259" s="11">
        <f t="shared" si="7"/>
        <v>109</v>
      </c>
      <c r="W259" s="11">
        <f t="shared" si="8"/>
        <v>14</v>
      </c>
      <c r="X259" s="11">
        <f t="shared" si="9"/>
        <v>-14</v>
      </c>
      <c r="Y259" s="11">
        <f>VLOOKUP($G259, SeanRanks!$A$2:$K$303, 10, FALSE)-V259</f>
        <v>-24</v>
      </c>
      <c r="Z259" s="25">
        <f>IF(VLOOKUP($G259, SeanRanks!$A$2:$H$303, 7, FALSE)=0, "", VLOOKUP($G259, SeanRanks!$A$2:$H$303, 7, FALSE))</f>
        <v>12</v>
      </c>
    </row>
    <row r="260" spans="1:26" ht="14.25" hidden="1" customHeight="1" x14ac:dyDescent="0.25">
      <c r="A260" s="11"/>
      <c r="B260" s="11">
        <f t="shared" si="3"/>
        <v>18</v>
      </c>
      <c r="C260" s="11" t="s">
        <v>148</v>
      </c>
      <c r="D260" s="11"/>
      <c r="E260" s="11"/>
      <c r="F260" s="11">
        <f>VLOOKUP(G260, SeanRanks!$A$2:$E$302, 4, FALSE)</f>
        <v>0</v>
      </c>
      <c r="G260" s="11" t="s">
        <v>497</v>
      </c>
      <c r="H260" s="11" t="str">
        <f>VLOOKUP($G260, 'ADP Data'!$C$4:$Q$300, 2, FALSE)</f>
        <v>NE</v>
      </c>
      <c r="I260" s="11" t="str">
        <f>VLOOKUP(G260, 'ADP Data'!$C$4:$R$498, 12, FALSE)</f>
        <v>-</v>
      </c>
      <c r="J260" s="11">
        <f>VLOOKUP($G260, SeanRanks!$A$2:$H$303, 5, FALSE)</f>
        <v>0</v>
      </c>
      <c r="K260" s="11" t="str">
        <f>IF(VLOOKUP($G260, SeanRanks!$A$2:$H$303, 6, FALSE)=0, "", VLOOKUP($G260, SeanRanks!$A$2:$H$303, 6, FALSE))</f>
        <v/>
      </c>
      <c r="L260" s="11">
        <f t="shared" si="4"/>
        <v>31</v>
      </c>
      <c r="M260" s="11">
        <f>VLOOKUP($G260, 'ADP Data'!$C$4:$Q$300, 9, FALSE)</f>
        <v>240</v>
      </c>
      <c r="N260" s="11">
        <f t="shared" si="5"/>
        <v>26</v>
      </c>
      <c r="O260" s="11" t="str">
        <f>VLOOKUP($G260, 'ADP Data'!$C$4:$Q$300, 3, FALSE)</f>
        <v>-</v>
      </c>
      <c r="P260" s="11" t="e">
        <f t="shared" si="6"/>
        <v>#VALUE!</v>
      </c>
      <c r="Q260" s="11">
        <f>VLOOKUP($G260, 'ADP Data'!$C$4:$Q$300, 4, FALSE)</f>
        <v>152</v>
      </c>
      <c r="R260" s="11" t="str">
        <f>VLOOKUP($G260, 'ADP Data'!$C$4:$Q$300, 5, FALSE)</f>
        <v>-</v>
      </c>
      <c r="S260" s="11">
        <f>VLOOKUP($G260, 'ADP Data'!$C$4:$Q$300, 6, FALSE)</f>
        <v>265</v>
      </c>
      <c r="T260" s="11">
        <f>VLOOKUP($G260, 'ADP Data'!$C$4:$Q$300, 7, FALSE)</f>
        <v>226</v>
      </c>
      <c r="U260" s="11">
        <f>VLOOKUP($G260, 'ADP Data'!$C$4:$Q$300, 8, FALSE)</f>
        <v>190</v>
      </c>
      <c r="V260" s="11">
        <f t="shared" si="7"/>
        <v>214</v>
      </c>
      <c r="W260" s="11">
        <f t="shared" si="8"/>
        <v>27</v>
      </c>
      <c r="X260" s="11">
        <f t="shared" si="9"/>
        <v>-27</v>
      </c>
      <c r="Y260" s="11">
        <f>VLOOKUP($G260, SeanRanks!$A$2:$K$303, 10, FALSE)-V260</f>
        <v>30</v>
      </c>
      <c r="Z260" s="25" t="str">
        <f>IF(VLOOKUP($G260, SeanRanks!$A$2:$H$303, 7, FALSE)=0, "", VLOOKUP($G260, SeanRanks!$A$2:$H$303, 7, FALSE))</f>
        <v/>
      </c>
    </row>
    <row r="261" spans="1:26" ht="14.25" hidden="1" customHeight="1" x14ac:dyDescent="0.25">
      <c r="A261" s="11"/>
      <c r="B261" s="11">
        <f t="shared" si="3"/>
        <v>21</v>
      </c>
      <c r="C261" s="11" t="s">
        <v>148</v>
      </c>
      <c r="D261" s="11"/>
      <c r="E261" s="11"/>
      <c r="F261" s="11">
        <f>VLOOKUP(G261, SeanRanks!$A$2:$E$302, 4, FALSE)</f>
        <v>0</v>
      </c>
      <c r="G261" s="11" t="s">
        <v>623</v>
      </c>
      <c r="H261" s="11" t="str">
        <f>VLOOKUP($G261, 'ADP Data'!$C$4:$Q$300, 2, FALSE)</f>
        <v>DEN</v>
      </c>
      <c r="I261" s="11">
        <f>VLOOKUP(G261, 'ADP Data'!$C$4:$R$498, 12, FALSE)</f>
        <v>187</v>
      </c>
      <c r="J261" s="11">
        <f>VLOOKUP($G261, SeanRanks!$A$2:$H$303, 5, FALSE)</f>
        <v>0</v>
      </c>
      <c r="K261" s="11" t="str">
        <f>IF(VLOOKUP($G261, SeanRanks!$A$2:$H$303, 6, FALSE)=0, "", VLOOKUP($G261, SeanRanks!$A$2:$H$303, 6, FALSE))</f>
        <v/>
      </c>
      <c r="L261" s="11">
        <f t="shared" si="4"/>
        <v>33</v>
      </c>
      <c r="M261" s="11">
        <f>VLOOKUP($G261, 'ADP Data'!$C$4:$Q$300, 9, FALSE)</f>
        <v>259</v>
      </c>
      <c r="N261" s="11">
        <f t="shared" si="5"/>
        <v>14</v>
      </c>
      <c r="O261" s="11" t="str">
        <f>VLOOKUP($G261, 'ADP Data'!$C$4:$Q$300, 3, FALSE)</f>
        <v>-</v>
      </c>
      <c r="P261" s="11" t="e">
        <f t="shared" si="6"/>
        <v>#VALUE!</v>
      </c>
      <c r="Q261" s="11" t="str">
        <f>VLOOKUP($G261, 'ADP Data'!$C$4:$Q$300, 4, FALSE)</f>
        <v>-</v>
      </c>
      <c r="R261" s="11" t="str">
        <f>VLOOKUP($G261, 'ADP Data'!$C$4:$Q$300, 5, FALSE)</f>
        <v>-</v>
      </c>
      <c r="S261" s="11">
        <f>VLOOKUP($G261, 'ADP Data'!$C$4:$Q$300, 6, FALSE)</f>
        <v>206</v>
      </c>
      <c r="T261" s="11">
        <f>VLOOKUP($G261, 'ADP Data'!$C$4:$Q$300, 7, FALSE)</f>
        <v>227</v>
      </c>
      <c r="U261" s="11">
        <f>VLOOKUP($G261, 'ADP Data'!$C$4:$Q$300, 8, FALSE)</f>
        <v>289</v>
      </c>
      <c r="V261" s="11">
        <f t="shared" si="7"/>
        <v>245</v>
      </c>
      <c r="W261" s="11">
        <f t="shared" si="8"/>
        <v>31</v>
      </c>
      <c r="X261" s="11">
        <f t="shared" si="9"/>
        <v>-31</v>
      </c>
      <c r="Y261" s="11">
        <f>VLOOKUP($G261, SeanRanks!$A$2:$K$303, 10, FALSE)-V261</f>
        <v>-7</v>
      </c>
      <c r="Z261" s="25" t="str">
        <f>IF(VLOOKUP($G261, SeanRanks!$A$2:$H$303, 7, FALSE)=0, "", VLOOKUP($G261, SeanRanks!$A$2:$H$303, 7, FALSE))</f>
        <v/>
      </c>
    </row>
    <row r="262" spans="1:26" ht="14.25" hidden="1" customHeight="1" x14ac:dyDescent="0.25">
      <c r="A262" s="11"/>
      <c r="B262" s="11">
        <f t="shared" ref="B262" si="10">IFERROR(INT(AVERAGE(Q262:U262)/12)+1, INT(AVERAGE(M262)/12)+1)</f>
        <v>23</v>
      </c>
      <c r="C262" s="11" t="s">
        <v>148</v>
      </c>
      <c r="D262" s="11"/>
      <c r="E262" s="11"/>
      <c r="F262" s="11">
        <f>VLOOKUP(G262, SeanRanks!$A$2:$E$302, 4, FALSE)</f>
        <v>0</v>
      </c>
      <c r="G262" s="11" t="s">
        <v>827</v>
      </c>
      <c r="H262" s="11" t="str">
        <f>VLOOKUP($G262, 'ADP Data'!$C$4:$Q$300, 2, FALSE)</f>
        <v>NYG</v>
      </c>
      <c r="I262" s="11">
        <f>VLOOKUP(G262, 'ADP Data'!$C$4:$R$498, 12, FALSE)</f>
        <v>185</v>
      </c>
      <c r="J262" s="11">
        <f>VLOOKUP($G262, SeanRanks!$A$2:$H$303, 5, FALSE)</f>
        <v>0</v>
      </c>
      <c r="K262" s="11" t="str">
        <f>IF(VLOOKUP($G262, SeanRanks!$A$2:$H$303, 6, FALSE)=0, "", VLOOKUP($G262, SeanRanks!$A$2:$H$303, 6, FALSE))</f>
        <v/>
      </c>
      <c r="L262" s="11">
        <f t="shared" ref="L262:L306" si="11">IFERROR(INT(M262/8)+1, 16)</f>
        <v>34</v>
      </c>
      <c r="M262" s="11">
        <f>VLOOKUP($G262, 'ADP Data'!$C$4:$Q$300, 9, FALSE)</f>
        <v>268</v>
      </c>
      <c r="N262" s="11">
        <f t="shared" ref="N262:N306" si="12">M262-V262</f>
        <v>-3</v>
      </c>
      <c r="O262" s="11" t="str">
        <f>VLOOKUP($G262, 'ADP Data'!$C$4:$Q$300, 3, FALSE)</f>
        <v>-</v>
      </c>
      <c r="P262" s="11" t="e">
        <f t="shared" ref="P262:P306" si="13">M262-O262</f>
        <v>#VALUE!</v>
      </c>
      <c r="Q262" s="11" t="str">
        <f>VLOOKUP($G262, 'ADP Data'!$C$4:$Q$300, 4, FALSE)</f>
        <v>-</v>
      </c>
      <c r="R262" s="11">
        <f>VLOOKUP($G262, 'ADP Data'!$C$4:$Q$300, 5, FALSE)</f>
        <v>309</v>
      </c>
      <c r="S262" s="11">
        <f>VLOOKUP($G262, 'ADP Data'!$C$4:$Q$300, 6, FALSE)</f>
        <v>237</v>
      </c>
      <c r="T262" s="11">
        <f>VLOOKUP($G262, 'ADP Data'!$C$4:$Q$300, 7, FALSE)</f>
        <v>231</v>
      </c>
      <c r="U262" s="11">
        <f>VLOOKUP($G262, 'ADP Data'!$C$4:$Q$300, 8, FALSE)</f>
        <v>311</v>
      </c>
      <c r="V262" s="11">
        <f t="shared" ref="V262:V306" si="14">INT(AVERAGE(M262, O262,Q262:U262))</f>
        <v>271</v>
      </c>
      <c r="W262" s="11">
        <f t="shared" ref="W262:W306" si="15">IFERROR(INT(V262/8)+1, 16)</f>
        <v>34</v>
      </c>
      <c r="X262" s="11">
        <f t="shared" ref="X262:X306" si="16">D262-W262</f>
        <v>-34</v>
      </c>
      <c r="Y262" s="11" t="e">
        <f>VLOOKUP($G262, SeanRanks!$A$2:$K$303, 10, FALSE)-V262</f>
        <v>#VALUE!</v>
      </c>
      <c r="Z262" s="25" t="str">
        <f>IF(VLOOKUP($G262, SeanRanks!$A$2:$H$303, 7, FALSE)=0, "", VLOOKUP($G262, SeanRanks!$A$2:$H$303, 7, FALSE))</f>
        <v/>
      </c>
    </row>
    <row r="263" spans="1:26" ht="14.25" hidden="1" customHeight="1" x14ac:dyDescent="0.25">
      <c r="A263" s="11"/>
      <c r="B263" s="11"/>
      <c r="C263" s="11" t="s">
        <v>148</v>
      </c>
      <c r="D263" s="11"/>
      <c r="E263" s="11"/>
      <c r="F263" s="11" t="e">
        <f>VLOOKUP(G263, SeanRanks!$A$2:$E$302, 4, FALSE)</f>
        <v>#N/A</v>
      </c>
      <c r="G263" s="11" t="s">
        <v>965</v>
      </c>
      <c r="H263" s="11" t="e">
        <f>VLOOKUP($G263, 'ADP Data'!$C$4:$Q$300, 2, FALSE)</f>
        <v>#N/A</v>
      </c>
      <c r="I263" s="11" t="e">
        <f>VLOOKUP(G263, 'ADP Data'!$C$4:$R$498, 12, FALSE)</f>
        <v>#N/A</v>
      </c>
      <c r="J263" s="11" t="e">
        <f>VLOOKUP($G263, SeanRanks!$A$2:$H$303, 5, FALSE)</f>
        <v>#N/A</v>
      </c>
      <c r="K263" s="11" t="e">
        <f>IF(VLOOKUP($G263, SeanRanks!$A$2:$H$303, 6, FALSE)=0, "", VLOOKUP($G263, SeanRanks!$A$2:$H$303, 6, FALSE))</f>
        <v>#N/A</v>
      </c>
      <c r="L263" s="11">
        <f t="shared" si="11"/>
        <v>16</v>
      </c>
      <c r="M263" s="11" t="e">
        <f>VLOOKUP($G263, 'ADP Data'!$C$4:$Q$300, 9, FALSE)</f>
        <v>#N/A</v>
      </c>
      <c r="N263" s="11" t="e">
        <f t="shared" si="12"/>
        <v>#N/A</v>
      </c>
      <c r="O263" s="11" t="e">
        <f>VLOOKUP($G263, 'ADP Data'!$C$4:$Q$300, 3, FALSE)</f>
        <v>#N/A</v>
      </c>
      <c r="P263" s="11" t="e">
        <f t="shared" si="13"/>
        <v>#N/A</v>
      </c>
      <c r="Q263" s="11" t="e">
        <f>VLOOKUP($G263, 'ADP Data'!$C$4:$Q$300, 4, FALSE)</f>
        <v>#N/A</v>
      </c>
      <c r="R263" s="11" t="e">
        <f>VLOOKUP($G263, 'ADP Data'!$C$4:$Q$300, 5, FALSE)</f>
        <v>#N/A</v>
      </c>
      <c r="S263" s="11" t="e">
        <f>VLOOKUP($G263, 'ADP Data'!$C$4:$Q$300, 6, FALSE)</f>
        <v>#N/A</v>
      </c>
      <c r="T263" s="11" t="e">
        <f>VLOOKUP($G263, 'ADP Data'!$C$4:$Q$300, 7, FALSE)</f>
        <v>#N/A</v>
      </c>
      <c r="U263" s="11" t="e">
        <f>VLOOKUP($G263, 'ADP Data'!$C$4:$Q$300, 8, FALSE)</f>
        <v>#N/A</v>
      </c>
      <c r="V263" s="11" t="e">
        <f t="shared" si="14"/>
        <v>#N/A</v>
      </c>
      <c r="W263" s="11">
        <f t="shared" si="15"/>
        <v>16</v>
      </c>
      <c r="X263" s="11">
        <f t="shared" si="16"/>
        <v>-16</v>
      </c>
      <c r="Y263" s="11" t="e">
        <f>VLOOKUP($G263, SeanRanks!$A$2:$K$303, 10, FALSE)-V263</f>
        <v>#N/A</v>
      </c>
      <c r="Z263" s="25" t="e">
        <f>IF(VLOOKUP($G263, SeanRanks!$A$2:$H$303, 7, FALSE)=0, "", VLOOKUP($G263, SeanRanks!$A$2:$H$303, 7, FALSE))</f>
        <v>#N/A</v>
      </c>
    </row>
    <row r="264" spans="1:26" ht="14.25" hidden="1" customHeight="1" x14ac:dyDescent="0.25">
      <c r="A264" s="11"/>
      <c r="B264" s="11" t="e">
        <f t="shared" ref="B264:B295" si="17">IFERROR(INT(AVERAGE(Q264:U264)/12)+1, INT(AVERAGE(M264)/12)+1)</f>
        <v>#N/A</v>
      </c>
      <c r="C264" s="11" t="s">
        <v>148</v>
      </c>
      <c r="D264" s="11"/>
      <c r="E264" s="11"/>
      <c r="F264" s="11" t="e">
        <f>VLOOKUP(G264, SeanRanks!$A$2:$E$302, 4, FALSE)</f>
        <v>#N/A</v>
      </c>
      <c r="G264" s="11" t="s">
        <v>693</v>
      </c>
      <c r="H264" s="11" t="e">
        <f>VLOOKUP($G264, 'ADP Data'!$C$4:$Q$300, 2, FALSE)</f>
        <v>#N/A</v>
      </c>
      <c r="I264" s="11" t="e">
        <f>VLOOKUP(G264, 'ADP Data'!$C$4:$R$498, 12, FALSE)</f>
        <v>#N/A</v>
      </c>
      <c r="J264" s="11" t="e">
        <f>VLOOKUP($G264, SeanRanks!$A$2:$H$303, 5, FALSE)</f>
        <v>#N/A</v>
      </c>
      <c r="K264" s="11" t="e">
        <f>IF(VLOOKUP($G264, SeanRanks!$A$2:$H$303, 6, FALSE)=0, "", VLOOKUP($G264, SeanRanks!$A$2:$H$303, 6, FALSE))</f>
        <v>#N/A</v>
      </c>
      <c r="L264" s="11">
        <f t="shared" si="11"/>
        <v>16</v>
      </c>
      <c r="M264" s="11" t="e">
        <f>VLOOKUP($G264, 'ADP Data'!$C$4:$Q$300, 9, FALSE)</f>
        <v>#N/A</v>
      </c>
      <c r="N264" s="11" t="e">
        <f t="shared" si="12"/>
        <v>#N/A</v>
      </c>
      <c r="O264" s="11" t="e">
        <f>VLOOKUP($G264, 'ADP Data'!$C$4:$Q$300, 3, FALSE)</f>
        <v>#N/A</v>
      </c>
      <c r="P264" s="11" t="e">
        <f t="shared" si="13"/>
        <v>#N/A</v>
      </c>
      <c r="Q264" s="11" t="e">
        <f>VLOOKUP($G264, 'ADP Data'!$C$4:$Q$300, 4, FALSE)</f>
        <v>#N/A</v>
      </c>
      <c r="R264" s="11" t="e">
        <f>VLOOKUP($G264, 'ADP Data'!$C$4:$Q$300, 5, FALSE)</f>
        <v>#N/A</v>
      </c>
      <c r="S264" s="11" t="e">
        <f>VLOOKUP($G264, 'ADP Data'!$C$4:$Q$300, 6, FALSE)</f>
        <v>#N/A</v>
      </c>
      <c r="T264" s="11" t="e">
        <f>VLOOKUP($G264, 'ADP Data'!$C$4:$Q$300, 7, FALSE)</f>
        <v>#N/A</v>
      </c>
      <c r="U264" s="11" t="e">
        <f>VLOOKUP($G264, 'ADP Data'!$C$4:$Q$300, 8, FALSE)</f>
        <v>#N/A</v>
      </c>
      <c r="V264" s="11" t="e">
        <f t="shared" si="14"/>
        <v>#N/A</v>
      </c>
      <c r="W264" s="11">
        <f t="shared" si="15"/>
        <v>16</v>
      </c>
      <c r="X264" s="11">
        <f t="shared" si="16"/>
        <v>-16</v>
      </c>
      <c r="Y264" s="11" t="e">
        <f>VLOOKUP($G264, SeanRanks!$A$2:$K$303, 10, FALSE)-V264</f>
        <v>#N/A</v>
      </c>
      <c r="Z264" s="25" t="e">
        <f>IF(VLOOKUP($G264, SeanRanks!$A$2:$H$303, 7, FALSE)=0, "", VLOOKUP($G264, SeanRanks!$A$2:$H$303, 7, FALSE))</f>
        <v>#N/A</v>
      </c>
    </row>
    <row r="265" spans="1:26" ht="14.25" customHeight="1" x14ac:dyDescent="0.25">
      <c r="A265" s="11"/>
      <c r="B265" s="11">
        <f t="shared" si="17"/>
        <v>20</v>
      </c>
      <c r="C265" s="11" t="s">
        <v>148</v>
      </c>
      <c r="D265" s="11"/>
      <c r="E265" s="11"/>
      <c r="F265" s="11">
        <f>VLOOKUP(G265, SeanRanks!$A$2:$E$302, 4, FALSE)</f>
        <v>0</v>
      </c>
      <c r="G265" s="11" t="s">
        <v>384</v>
      </c>
      <c r="H265" s="11" t="str">
        <f>VLOOKUP($G265, 'ADP Data'!$C$4:$Q$300, 2, FALSE)</f>
        <v>BAL</v>
      </c>
      <c r="I265" s="11">
        <f>VLOOKUP(G265, 'ADP Data'!$C$4:$R$498, 12, FALSE)</f>
        <v>184</v>
      </c>
      <c r="J265" s="11" t="str">
        <f>VLOOKUP($G265, SeanRanks!$A$2:$H$303, 5, FALSE)</f>
        <v>Yes</v>
      </c>
      <c r="K265" s="11" t="str">
        <f>IF(VLOOKUP($G265, SeanRanks!$A$2:$H$303, 6, FALSE)=0, "", VLOOKUP($G265, SeanRanks!$A$2:$H$303, 6, FALSE))</f>
        <v>RB5 - 1 - upside</v>
      </c>
      <c r="L265" s="11">
        <f t="shared" si="11"/>
        <v>28</v>
      </c>
      <c r="M265" s="11">
        <f>VLOOKUP($G265, 'ADP Data'!$C$4:$Q$300, 9, FALSE)</f>
        <v>223</v>
      </c>
      <c r="N265" s="11">
        <f t="shared" si="12"/>
        <v>-10</v>
      </c>
      <c r="O265" s="11" t="str">
        <f>VLOOKUP($G265, 'ADP Data'!$C$4:$Q$300, 3, FALSE)</f>
        <v>-</v>
      </c>
      <c r="P265" s="11" t="e">
        <f t="shared" si="13"/>
        <v>#VALUE!</v>
      </c>
      <c r="Q265" s="11" t="str">
        <f>VLOOKUP($G265, 'ADP Data'!$C$4:$Q$300, 4, FALSE)</f>
        <v>-</v>
      </c>
      <c r="R265" s="11">
        <f>VLOOKUP($G265, 'ADP Data'!$C$4:$Q$300, 5, FALSE)</f>
        <v>312</v>
      </c>
      <c r="S265" s="11">
        <f>VLOOKUP($G265, 'ADP Data'!$C$4:$Q$300, 6, FALSE)</f>
        <v>166</v>
      </c>
      <c r="T265" s="11">
        <f>VLOOKUP($G265, 'ADP Data'!$C$4:$Q$300, 7, FALSE)</f>
        <v>184</v>
      </c>
      <c r="U265" s="11">
        <f>VLOOKUP($G265, 'ADP Data'!$C$4:$Q$300, 8, FALSE)</f>
        <v>283</v>
      </c>
      <c r="V265" s="11">
        <f t="shared" si="14"/>
        <v>233</v>
      </c>
      <c r="W265" s="11">
        <f t="shared" si="15"/>
        <v>30</v>
      </c>
      <c r="X265" s="11">
        <f t="shared" si="16"/>
        <v>-30</v>
      </c>
      <c r="Y265" s="11">
        <f>VLOOKUP($G265, SeanRanks!$A$2:$K$303, 10, FALSE)-V265</f>
        <v>-28</v>
      </c>
      <c r="Z265" s="25">
        <f>IF(VLOOKUP($G265, SeanRanks!$A$2:$H$303, 7, FALSE)=0, "", VLOOKUP($G265, SeanRanks!$A$2:$H$303, 7, FALSE))</f>
        <v>52</v>
      </c>
    </row>
    <row r="266" spans="1:26" ht="14.25" hidden="1" customHeight="1" x14ac:dyDescent="0.25">
      <c r="A266" s="11"/>
      <c r="B266" s="11" t="e">
        <f t="shared" si="17"/>
        <v>#N/A</v>
      </c>
      <c r="C266" s="11" t="s">
        <v>148</v>
      </c>
      <c r="D266" s="11"/>
      <c r="E266" s="11"/>
      <c r="F266" s="11" t="e">
        <f>VLOOKUP(G266, SeanRanks!$A$2:$E$302, 4, FALSE)</f>
        <v>#N/A</v>
      </c>
      <c r="G266" s="11" t="s">
        <v>966</v>
      </c>
      <c r="H266" s="11" t="e">
        <f>VLOOKUP($G266, 'ADP Data'!$C$4:$Q$300, 2, FALSE)</f>
        <v>#N/A</v>
      </c>
      <c r="I266" s="11" t="e">
        <f>VLOOKUP(G266, 'ADP Data'!$C$4:$R$498, 12, FALSE)</f>
        <v>#N/A</v>
      </c>
      <c r="J266" s="11" t="e">
        <f>VLOOKUP($G266, SeanRanks!$A$2:$H$303, 5, FALSE)</f>
        <v>#N/A</v>
      </c>
      <c r="K266" s="11" t="e">
        <f>IF(VLOOKUP($G266, SeanRanks!$A$2:$H$303, 6, FALSE)=0, "", VLOOKUP($G266, SeanRanks!$A$2:$H$303, 6, FALSE))</f>
        <v>#N/A</v>
      </c>
      <c r="L266" s="11">
        <f t="shared" si="11"/>
        <v>16</v>
      </c>
      <c r="M266" s="11" t="e">
        <f>VLOOKUP($G266, 'ADP Data'!$C$4:$Q$300, 9, FALSE)</f>
        <v>#N/A</v>
      </c>
      <c r="N266" s="11" t="e">
        <f t="shared" si="12"/>
        <v>#N/A</v>
      </c>
      <c r="O266" s="11" t="e">
        <f>VLOOKUP($G266, 'ADP Data'!$C$4:$Q$300, 3, FALSE)</f>
        <v>#N/A</v>
      </c>
      <c r="P266" s="11" t="e">
        <f t="shared" si="13"/>
        <v>#N/A</v>
      </c>
      <c r="Q266" s="11" t="e">
        <f>VLOOKUP($G266, 'ADP Data'!$C$4:$Q$300, 4, FALSE)</f>
        <v>#N/A</v>
      </c>
      <c r="R266" s="11" t="e">
        <f>VLOOKUP($G266, 'ADP Data'!$C$4:$Q$300, 5, FALSE)</f>
        <v>#N/A</v>
      </c>
      <c r="S266" s="11" t="e">
        <f>VLOOKUP($G266, 'ADP Data'!$C$4:$Q$300, 6, FALSE)</f>
        <v>#N/A</v>
      </c>
      <c r="T266" s="11" t="e">
        <f>VLOOKUP($G266, 'ADP Data'!$C$4:$Q$300, 7, FALSE)</f>
        <v>#N/A</v>
      </c>
      <c r="U266" s="11" t="e">
        <f>VLOOKUP($G266, 'ADP Data'!$C$4:$Q$300, 8, FALSE)</f>
        <v>#N/A</v>
      </c>
      <c r="V266" s="11" t="e">
        <f t="shared" si="14"/>
        <v>#N/A</v>
      </c>
      <c r="W266" s="11">
        <f t="shared" si="15"/>
        <v>16</v>
      </c>
      <c r="X266" s="11">
        <f t="shared" si="16"/>
        <v>-16</v>
      </c>
      <c r="Y266" s="11" t="e">
        <f>VLOOKUP($G266, SeanRanks!$A$2:$K$303, 10, FALSE)-V266</f>
        <v>#N/A</v>
      </c>
      <c r="Z266" s="25" t="e">
        <f>IF(VLOOKUP($G266, SeanRanks!$A$2:$H$303, 7, FALSE)=0, "", VLOOKUP($G266, SeanRanks!$A$2:$H$303, 7, FALSE))</f>
        <v>#N/A</v>
      </c>
    </row>
    <row r="267" spans="1:26" ht="14.25" hidden="1" customHeight="1" x14ac:dyDescent="0.25">
      <c r="A267" s="11"/>
      <c r="B267" s="11">
        <f t="shared" si="17"/>
        <v>24</v>
      </c>
      <c r="C267" s="11" t="s">
        <v>148</v>
      </c>
      <c r="D267" s="11"/>
      <c r="E267" s="11"/>
      <c r="F267" s="11">
        <f>VLOOKUP(G267, SeanRanks!$A$2:$E$302, 4, FALSE)</f>
        <v>0</v>
      </c>
      <c r="G267" s="11" t="s">
        <v>967</v>
      </c>
      <c r="H267" s="11" t="str">
        <f>VLOOKUP($G267, 'ADP Data'!$C$4:$Q$300, 2, FALSE)</f>
        <v>CAR</v>
      </c>
      <c r="I267" s="11">
        <f>VLOOKUP(G267, 'ADP Data'!$C$4:$R$498, 12, FALSE)</f>
        <v>198</v>
      </c>
      <c r="J267" s="11">
        <f>VLOOKUP($G267, SeanRanks!$A$2:$H$303, 5, FALSE)</f>
        <v>0</v>
      </c>
      <c r="K267" s="11" t="str">
        <f>IF(VLOOKUP($G267, SeanRanks!$A$2:$H$303, 6, FALSE)=0, "", VLOOKUP($G267, SeanRanks!$A$2:$H$303, 6, FALSE))</f>
        <v/>
      </c>
      <c r="L267" s="11">
        <f t="shared" si="11"/>
        <v>32</v>
      </c>
      <c r="M267" s="11">
        <f>VLOOKUP($G267, 'ADP Data'!$C$4:$Q$300, 9, FALSE)</f>
        <v>254</v>
      </c>
      <c r="N267" s="11">
        <f t="shared" si="12"/>
        <v>-20</v>
      </c>
      <c r="O267" s="11" t="str">
        <f>VLOOKUP($G267, 'ADP Data'!$C$4:$Q$300, 3, FALSE)</f>
        <v>-</v>
      </c>
      <c r="P267" s="11" t="e">
        <f t="shared" si="13"/>
        <v>#VALUE!</v>
      </c>
      <c r="Q267" s="11">
        <f>VLOOKUP($G267, 'ADP Data'!$C$4:$Q$300, 4, FALSE)</f>
        <v>347</v>
      </c>
      <c r="R267" s="11">
        <f>VLOOKUP($G267, 'ADP Data'!$C$4:$Q$300, 5, FALSE)</f>
        <v>318</v>
      </c>
      <c r="S267" s="11">
        <f>VLOOKUP($G267, 'ADP Data'!$C$4:$Q$300, 6, FALSE)</f>
        <v>204</v>
      </c>
      <c r="T267" s="11">
        <f>VLOOKUP($G267, 'ADP Data'!$C$4:$Q$300, 7, FALSE)</f>
        <v>247</v>
      </c>
      <c r="U267" s="11" t="str">
        <f>VLOOKUP($G267, 'ADP Data'!$C$4:$Q$300, 8, FALSE)</f>
        <v>-</v>
      </c>
      <c r="V267" s="11">
        <f t="shared" si="14"/>
        <v>274</v>
      </c>
      <c r="W267" s="11">
        <f t="shared" si="15"/>
        <v>35</v>
      </c>
      <c r="X267" s="11">
        <f t="shared" si="16"/>
        <v>-35</v>
      </c>
      <c r="Y267" s="11">
        <f>VLOOKUP($G267, SeanRanks!$A$2:$K$303, 10, FALSE)-V267</f>
        <v>-43</v>
      </c>
      <c r="Z267" s="25" t="str">
        <f>IF(VLOOKUP($G267, SeanRanks!$A$2:$H$303, 7, FALSE)=0, "", VLOOKUP($G267, SeanRanks!$A$2:$H$303, 7, FALSE))</f>
        <v/>
      </c>
    </row>
    <row r="268" spans="1:26" ht="14.25" hidden="1" customHeight="1" x14ac:dyDescent="0.25">
      <c r="A268" s="11"/>
      <c r="B268" s="11" t="e">
        <f t="shared" si="17"/>
        <v>#N/A</v>
      </c>
      <c r="C268" s="11" t="s">
        <v>148</v>
      </c>
      <c r="D268" s="11"/>
      <c r="E268" s="11"/>
      <c r="F268" s="11" t="e">
        <f>VLOOKUP(G268, SeanRanks!$A$2:$E$302, 4, FALSE)</f>
        <v>#N/A</v>
      </c>
      <c r="G268" s="11" t="s">
        <v>968</v>
      </c>
      <c r="H268" s="11" t="e">
        <f>VLOOKUP($G268, 'ADP Data'!$C$4:$Q$300, 2, FALSE)</f>
        <v>#N/A</v>
      </c>
      <c r="I268" s="11" t="e">
        <f>VLOOKUP(G268, 'ADP Data'!$C$4:$R$498, 12, FALSE)</f>
        <v>#N/A</v>
      </c>
      <c r="J268" s="11" t="e">
        <f>VLOOKUP($G268, SeanRanks!$A$2:$H$303, 5, FALSE)</f>
        <v>#N/A</v>
      </c>
      <c r="K268" s="11" t="e">
        <f>IF(VLOOKUP($G268, SeanRanks!$A$2:$H$303, 6, FALSE)=0, "", VLOOKUP($G268, SeanRanks!$A$2:$H$303, 6, FALSE))</f>
        <v>#N/A</v>
      </c>
      <c r="L268" s="11">
        <f t="shared" si="11"/>
        <v>16</v>
      </c>
      <c r="M268" s="11" t="e">
        <f>VLOOKUP($G268, 'ADP Data'!$C$4:$Q$300, 9, FALSE)</f>
        <v>#N/A</v>
      </c>
      <c r="N268" s="11" t="e">
        <f t="shared" si="12"/>
        <v>#N/A</v>
      </c>
      <c r="O268" s="11" t="e">
        <f>VLOOKUP($G268, 'ADP Data'!$C$4:$Q$300, 3, FALSE)</f>
        <v>#N/A</v>
      </c>
      <c r="P268" s="11" t="e">
        <f t="shared" si="13"/>
        <v>#N/A</v>
      </c>
      <c r="Q268" s="11" t="e">
        <f>VLOOKUP($G268, 'ADP Data'!$C$4:$Q$300, 4, FALSE)</f>
        <v>#N/A</v>
      </c>
      <c r="R268" s="11" t="e">
        <f>VLOOKUP($G268, 'ADP Data'!$C$4:$Q$300, 5, FALSE)</f>
        <v>#N/A</v>
      </c>
      <c r="S268" s="11" t="e">
        <f>VLOOKUP($G268, 'ADP Data'!$C$4:$Q$300, 6, FALSE)</f>
        <v>#N/A</v>
      </c>
      <c r="T268" s="11" t="e">
        <f>VLOOKUP($G268, 'ADP Data'!$C$4:$Q$300, 7, FALSE)</f>
        <v>#N/A</v>
      </c>
      <c r="U268" s="11" t="e">
        <f>VLOOKUP($G268, 'ADP Data'!$C$4:$Q$300, 8, FALSE)</f>
        <v>#N/A</v>
      </c>
      <c r="V268" s="11" t="e">
        <f t="shared" si="14"/>
        <v>#N/A</v>
      </c>
      <c r="W268" s="11">
        <f t="shared" si="15"/>
        <v>16</v>
      </c>
      <c r="X268" s="11">
        <f t="shared" si="16"/>
        <v>-16</v>
      </c>
      <c r="Y268" s="11" t="e">
        <f>VLOOKUP($G268, SeanRanks!$A$2:$K$303, 10, FALSE)-V268</f>
        <v>#N/A</v>
      </c>
      <c r="Z268" s="25" t="e">
        <f>IF(VLOOKUP($G268, SeanRanks!$A$2:$H$303, 7, FALSE)=0, "", VLOOKUP($G268, SeanRanks!$A$2:$H$303, 7, FALSE))</f>
        <v>#N/A</v>
      </c>
    </row>
    <row r="269" spans="1:26" ht="14.25" hidden="1" customHeight="1" x14ac:dyDescent="0.25">
      <c r="A269" s="11"/>
      <c r="B269" s="11" t="e">
        <f t="shared" si="17"/>
        <v>#N/A</v>
      </c>
      <c r="C269" s="11" t="s">
        <v>148</v>
      </c>
      <c r="D269" s="11"/>
      <c r="E269" s="11"/>
      <c r="F269" s="11" t="e">
        <f>VLOOKUP(G269, SeanRanks!$A$2:$E$302, 4, FALSE)</f>
        <v>#N/A</v>
      </c>
      <c r="G269" s="11" t="s">
        <v>969</v>
      </c>
      <c r="H269" s="11" t="e">
        <f>VLOOKUP($G269, 'ADP Data'!$C$4:$Q$300, 2, FALSE)</f>
        <v>#N/A</v>
      </c>
      <c r="I269" s="11" t="e">
        <f>VLOOKUP(G269, 'ADP Data'!$C$4:$R$498, 12, FALSE)</f>
        <v>#N/A</v>
      </c>
      <c r="J269" s="11" t="e">
        <f>VLOOKUP($G269, SeanRanks!$A$2:$H$303, 5, FALSE)</f>
        <v>#N/A</v>
      </c>
      <c r="K269" s="11" t="e">
        <f>IF(VLOOKUP($G269, SeanRanks!$A$2:$H$303, 6, FALSE)=0, "", VLOOKUP($G269, SeanRanks!$A$2:$H$303, 6, FALSE))</f>
        <v>#N/A</v>
      </c>
      <c r="L269" s="11">
        <f t="shared" si="11"/>
        <v>16</v>
      </c>
      <c r="M269" s="11" t="e">
        <f>VLOOKUP($G269, 'ADP Data'!$C$4:$Q$300, 9, FALSE)</f>
        <v>#N/A</v>
      </c>
      <c r="N269" s="11" t="e">
        <f t="shared" si="12"/>
        <v>#N/A</v>
      </c>
      <c r="O269" s="11" t="e">
        <f>VLOOKUP($G269, 'ADP Data'!$C$4:$Q$300, 3, FALSE)</f>
        <v>#N/A</v>
      </c>
      <c r="P269" s="11" t="e">
        <f t="shared" si="13"/>
        <v>#N/A</v>
      </c>
      <c r="Q269" s="11" t="e">
        <f>VLOOKUP($G269, 'ADP Data'!$C$4:$Q$300, 4, FALSE)</f>
        <v>#N/A</v>
      </c>
      <c r="R269" s="11" t="e">
        <f>VLOOKUP($G269, 'ADP Data'!$C$4:$Q$300, 5, FALSE)</f>
        <v>#N/A</v>
      </c>
      <c r="S269" s="11" t="e">
        <f>VLOOKUP($G269, 'ADP Data'!$C$4:$Q$300, 6, FALSE)</f>
        <v>#N/A</v>
      </c>
      <c r="T269" s="11" t="e">
        <f>VLOOKUP($G269, 'ADP Data'!$C$4:$Q$300, 7, FALSE)</f>
        <v>#N/A</v>
      </c>
      <c r="U269" s="11" t="e">
        <f>VLOOKUP($G269, 'ADP Data'!$C$4:$Q$300, 8, FALSE)</f>
        <v>#N/A</v>
      </c>
      <c r="V269" s="11" t="e">
        <f t="shared" si="14"/>
        <v>#N/A</v>
      </c>
      <c r="W269" s="11">
        <f t="shared" si="15"/>
        <v>16</v>
      </c>
      <c r="X269" s="11">
        <f t="shared" si="16"/>
        <v>-16</v>
      </c>
      <c r="Y269" s="11" t="e">
        <f>VLOOKUP($G269, SeanRanks!$A$2:$K$303, 10, FALSE)-V269</f>
        <v>#N/A</v>
      </c>
      <c r="Z269" s="25" t="e">
        <f>IF(VLOOKUP($G269, SeanRanks!$A$2:$H$303, 7, FALSE)=0, "", VLOOKUP($G269, SeanRanks!$A$2:$H$303, 7, FALSE))</f>
        <v>#N/A</v>
      </c>
    </row>
    <row r="270" spans="1:26" ht="14.25" hidden="1" customHeight="1" x14ac:dyDescent="0.25">
      <c r="A270" s="11"/>
      <c r="B270" s="11" t="e">
        <f t="shared" si="17"/>
        <v>#N/A</v>
      </c>
      <c r="C270" s="11" t="s">
        <v>148</v>
      </c>
      <c r="D270" s="11"/>
      <c r="E270" s="11"/>
      <c r="F270" s="11" t="e">
        <f>VLOOKUP(G270, SeanRanks!$A$2:$E$302, 4, FALSE)</f>
        <v>#N/A</v>
      </c>
      <c r="G270" s="11" t="s">
        <v>837</v>
      </c>
      <c r="H270" s="11" t="e">
        <f>VLOOKUP($G270, 'ADP Data'!$C$4:$Q$300, 2, FALSE)</f>
        <v>#N/A</v>
      </c>
      <c r="I270" s="11" t="e">
        <f>VLOOKUP(G270, 'ADP Data'!$C$4:$R$498, 12, FALSE)</f>
        <v>#N/A</v>
      </c>
      <c r="J270" s="11" t="e">
        <f>VLOOKUP($G270, SeanRanks!$A$2:$H$303, 5, FALSE)</f>
        <v>#N/A</v>
      </c>
      <c r="K270" s="11" t="e">
        <f>IF(VLOOKUP($G270, SeanRanks!$A$2:$H$303, 6, FALSE)=0, "", VLOOKUP($G270, SeanRanks!$A$2:$H$303, 6, FALSE))</f>
        <v>#N/A</v>
      </c>
      <c r="L270" s="11">
        <f t="shared" si="11"/>
        <v>16</v>
      </c>
      <c r="M270" s="11" t="e">
        <f>VLOOKUP($G270, 'ADP Data'!$C$4:$Q$300, 9, FALSE)</f>
        <v>#N/A</v>
      </c>
      <c r="N270" s="11" t="e">
        <f t="shared" si="12"/>
        <v>#N/A</v>
      </c>
      <c r="O270" s="11" t="e">
        <f>VLOOKUP($G270, 'ADP Data'!$C$4:$Q$300, 3, FALSE)</f>
        <v>#N/A</v>
      </c>
      <c r="P270" s="11" t="e">
        <f t="shared" si="13"/>
        <v>#N/A</v>
      </c>
      <c r="Q270" s="11" t="e">
        <f>VLOOKUP($G270, 'ADP Data'!$C$4:$Q$300, 4, FALSE)</f>
        <v>#N/A</v>
      </c>
      <c r="R270" s="11" t="e">
        <f>VLOOKUP($G270, 'ADP Data'!$C$4:$Q$300, 5, FALSE)</f>
        <v>#N/A</v>
      </c>
      <c r="S270" s="11" t="e">
        <f>VLOOKUP($G270, 'ADP Data'!$C$4:$Q$300, 6, FALSE)</f>
        <v>#N/A</v>
      </c>
      <c r="T270" s="11" t="e">
        <f>VLOOKUP($G270, 'ADP Data'!$C$4:$Q$300, 7, FALSE)</f>
        <v>#N/A</v>
      </c>
      <c r="U270" s="11" t="e">
        <f>VLOOKUP($G270, 'ADP Data'!$C$4:$Q$300, 8, FALSE)</f>
        <v>#N/A</v>
      </c>
      <c r="V270" s="11" t="e">
        <f t="shared" si="14"/>
        <v>#N/A</v>
      </c>
      <c r="W270" s="11">
        <f t="shared" si="15"/>
        <v>16</v>
      </c>
      <c r="X270" s="11">
        <f t="shared" si="16"/>
        <v>-16</v>
      </c>
      <c r="Y270" s="11" t="e">
        <f>VLOOKUP($G270, SeanRanks!$A$2:$K$303, 10, FALSE)-V270</f>
        <v>#N/A</v>
      </c>
      <c r="Z270" s="25" t="e">
        <f>IF(VLOOKUP($G270, SeanRanks!$A$2:$H$303, 7, FALSE)=0, "", VLOOKUP($G270, SeanRanks!$A$2:$H$303, 7, FALSE))</f>
        <v>#N/A</v>
      </c>
    </row>
    <row r="271" spans="1:26" ht="14.25" customHeight="1" x14ac:dyDescent="0.25">
      <c r="A271" s="11"/>
      <c r="B271" s="11">
        <f t="shared" si="17"/>
        <v>22</v>
      </c>
      <c r="C271" s="11" t="s">
        <v>148</v>
      </c>
      <c r="D271" s="11"/>
      <c r="E271" s="11"/>
      <c r="F271" s="11">
        <f>VLOOKUP(G271, SeanRanks!$A$2:$E$302, 4, FALSE)</f>
        <v>0</v>
      </c>
      <c r="G271" s="11" t="s">
        <v>970</v>
      </c>
      <c r="H271" s="11" t="str">
        <f>VLOOKUP($G271, 'ADP Data'!$C$4:$Q$300, 2, FALSE)</f>
        <v>DAL</v>
      </c>
      <c r="I271" s="11">
        <f>VLOOKUP(G271, 'ADP Data'!$C$4:$R$498, 12, FALSE)</f>
        <v>249</v>
      </c>
      <c r="J271" s="11">
        <f>VLOOKUP($G271, SeanRanks!$A$2:$H$303, 5, FALSE)</f>
        <v>0</v>
      </c>
      <c r="K271" s="11" t="str">
        <f>IF(VLOOKUP($G271, SeanRanks!$A$2:$H$303, 6, FALSE)=0, "", VLOOKUP($G271, SeanRanks!$A$2:$H$303, 6, FALSE))</f>
        <v/>
      </c>
      <c r="L271" s="11">
        <f t="shared" si="11"/>
        <v>28</v>
      </c>
      <c r="M271" s="11">
        <f>VLOOKUP($G271, 'ADP Data'!$C$4:$Q$300, 9, FALSE)</f>
        <v>222</v>
      </c>
      <c r="N271" s="11">
        <f t="shared" si="12"/>
        <v>-30</v>
      </c>
      <c r="O271" s="11" t="str">
        <f>VLOOKUP($G271, 'ADP Data'!$C$4:$Q$300, 3, FALSE)</f>
        <v>-</v>
      </c>
      <c r="P271" s="11" t="e">
        <f t="shared" si="13"/>
        <v>#VALUE!</v>
      </c>
      <c r="Q271" s="11" t="str">
        <f>VLOOKUP($G271, 'ADP Data'!$C$4:$Q$300, 4, FALSE)</f>
        <v>-</v>
      </c>
      <c r="R271" s="11">
        <f>VLOOKUP($G271, 'ADP Data'!$C$4:$Q$300, 5, FALSE)</f>
        <v>276</v>
      </c>
      <c r="S271" s="11">
        <f>VLOOKUP($G271, 'ADP Data'!$C$4:$Q$300, 6, FALSE)</f>
        <v>256</v>
      </c>
      <c r="T271" s="11">
        <f>VLOOKUP($G271, 'ADP Data'!$C$4:$Q$300, 7, FALSE)</f>
        <v>233</v>
      </c>
      <c r="U271" s="11">
        <f>VLOOKUP($G271, 'ADP Data'!$C$4:$Q$300, 8, FALSE)</f>
        <v>276</v>
      </c>
      <c r="V271" s="11">
        <f t="shared" si="14"/>
        <v>252</v>
      </c>
      <c r="W271" s="11">
        <f t="shared" si="15"/>
        <v>32</v>
      </c>
      <c r="X271" s="11">
        <f t="shared" si="16"/>
        <v>-32</v>
      </c>
      <c r="Y271" s="11">
        <f>VLOOKUP($G271, SeanRanks!$A$2:$K$303, 10, FALSE)-V271</f>
        <v>-37</v>
      </c>
      <c r="Z271" s="25" t="str">
        <f>IF(VLOOKUP($G271, SeanRanks!$A$2:$H$303, 7, FALSE)=0, "", VLOOKUP($G271, SeanRanks!$A$2:$H$303, 7, FALSE))</f>
        <v/>
      </c>
    </row>
    <row r="272" spans="1:26" ht="14.25" hidden="1" customHeight="1" x14ac:dyDescent="0.25">
      <c r="A272" s="11"/>
      <c r="B272" s="11" t="e">
        <f t="shared" si="17"/>
        <v>#N/A</v>
      </c>
      <c r="C272" s="11" t="s">
        <v>148</v>
      </c>
      <c r="D272" s="11"/>
      <c r="E272" s="11"/>
      <c r="F272" s="11">
        <f>VLOOKUP(G272, SeanRanks!$A$2:$E$302, 4, FALSE)</f>
        <v>0</v>
      </c>
      <c r="G272" s="11" t="s">
        <v>971</v>
      </c>
      <c r="H272" s="11" t="e">
        <f>VLOOKUP($G272, 'ADP Data'!$C$4:$Q$300, 2, FALSE)</f>
        <v>#N/A</v>
      </c>
      <c r="I272" s="11" t="e">
        <f>VLOOKUP(G272, 'ADP Data'!$C$4:$R$498, 12, FALSE)</f>
        <v>#N/A</v>
      </c>
      <c r="J272" s="11">
        <f>VLOOKUP($G272, SeanRanks!$A$2:$H$303, 5, FALSE)</f>
        <v>0</v>
      </c>
      <c r="K272" s="11" t="str">
        <f>IF(VLOOKUP($G272, SeanRanks!$A$2:$H$303, 6, FALSE)=0, "", VLOOKUP($G272, SeanRanks!$A$2:$H$303, 6, FALSE))</f>
        <v/>
      </c>
      <c r="L272" s="11">
        <f t="shared" si="11"/>
        <v>16</v>
      </c>
      <c r="M272" s="11" t="e">
        <f>VLOOKUP($G272, 'ADP Data'!$C$4:$Q$300, 9, FALSE)</f>
        <v>#N/A</v>
      </c>
      <c r="N272" s="11" t="e">
        <f t="shared" si="12"/>
        <v>#N/A</v>
      </c>
      <c r="O272" s="11" t="e">
        <f>VLOOKUP($G272, 'ADP Data'!$C$4:$Q$300, 3, FALSE)</f>
        <v>#N/A</v>
      </c>
      <c r="P272" s="11" t="e">
        <f t="shared" si="13"/>
        <v>#N/A</v>
      </c>
      <c r="Q272" s="11" t="e">
        <f>VLOOKUP($G272, 'ADP Data'!$C$4:$Q$300, 4, FALSE)</f>
        <v>#N/A</v>
      </c>
      <c r="R272" s="11" t="e">
        <f>VLOOKUP($G272, 'ADP Data'!$C$4:$Q$300, 5, FALSE)</f>
        <v>#N/A</v>
      </c>
      <c r="S272" s="11" t="e">
        <f>VLOOKUP($G272, 'ADP Data'!$C$4:$Q$300, 6, FALSE)</f>
        <v>#N/A</v>
      </c>
      <c r="T272" s="11" t="e">
        <f>VLOOKUP($G272, 'ADP Data'!$C$4:$Q$300, 7, FALSE)</f>
        <v>#N/A</v>
      </c>
      <c r="U272" s="11" t="e">
        <f>VLOOKUP($G272, 'ADP Data'!$C$4:$Q$300, 8, FALSE)</f>
        <v>#N/A</v>
      </c>
      <c r="V272" s="11" t="e">
        <f t="shared" si="14"/>
        <v>#N/A</v>
      </c>
      <c r="W272" s="11">
        <f t="shared" si="15"/>
        <v>16</v>
      </c>
      <c r="X272" s="11">
        <f t="shared" si="16"/>
        <v>-16</v>
      </c>
      <c r="Y272" s="11" t="e">
        <f>VLOOKUP($G272, SeanRanks!$A$2:$K$303, 10, FALSE)-V272</f>
        <v>#N/A</v>
      </c>
      <c r="Z272" s="25" t="str">
        <f>IF(VLOOKUP($G272, SeanRanks!$A$2:$H$303, 7, FALSE)=0, "", VLOOKUP($G272, SeanRanks!$A$2:$H$303, 7, FALSE))</f>
        <v/>
      </c>
    </row>
    <row r="273" spans="1:26" ht="14.25" hidden="1" customHeight="1" x14ac:dyDescent="0.25">
      <c r="A273" s="11"/>
      <c r="B273" s="11" t="e">
        <f t="shared" si="17"/>
        <v>#N/A</v>
      </c>
      <c r="C273" s="11" t="s">
        <v>148</v>
      </c>
      <c r="D273" s="11"/>
      <c r="E273" s="11"/>
      <c r="F273" s="11">
        <f>VLOOKUP(G273, SeanRanks!$A$2:$E$302, 4, FALSE)</f>
        <v>0</v>
      </c>
      <c r="G273" s="11" t="s">
        <v>401</v>
      </c>
      <c r="H273" s="11" t="e">
        <f>VLOOKUP($G273, 'ADP Data'!$C$4:$Q$300, 2, FALSE)</f>
        <v>#N/A</v>
      </c>
      <c r="I273" s="11">
        <f>VLOOKUP(G273, 'ADP Data'!$C$4:$R$498, 12, FALSE)</f>
        <v>244</v>
      </c>
      <c r="J273" s="11">
        <f>VLOOKUP($G273, SeanRanks!$A$2:$H$303, 5, FALSE)</f>
        <v>0</v>
      </c>
      <c r="K273" s="11" t="str">
        <f>IF(VLOOKUP($G273, SeanRanks!$A$2:$H$303, 6, FALSE)=0, "", VLOOKUP($G273, SeanRanks!$A$2:$H$303, 6, FALSE))</f>
        <v/>
      </c>
      <c r="L273" s="11">
        <f t="shared" si="11"/>
        <v>16</v>
      </c>
      <c r="M273" s="11" t="e">
        <f>VLOOKUP($G273, 'ADP Data'!$C$4:$Q$300, 9, FALSE)</f>
        <v>#N/A</v>
      </c>
      <c r="N273" s="11" t="e">
        <f t="shared" si="12"/>
        <v>#N/A</v>
      </c>
      <c r="O273" s="11" t="e">
        <f>VLOOKUP($G273, 'ADP Data'!$C$4:$Q$300, 3, FALSE)</f>
        <v>#N/A</v>
      </c>
      <c r="P273" s="11" t="e">
        <f t="shared" si="13"/>
        <v>#N/A</v>
      </c>
      <c r="Q273" s="11" t="e">
        <f>VLOOKUP($G273, 'ADP Data'!$C$4:$Q$300, 4, FALSE)</f>
        <v>#N/A</v>
      </c>
      <c r="R273" s="11" t="e">
        <f>VLOOKUP($G273, 'ADP Data'!$C$4:$Q$300, 5, FALSE)</f>
        <v>#N/A</v>
      </c>
      <c r="S273" s="11" t="e">
        <f>VLOOKUP($G273, 'ADP Data'!$C$4:$Q$300, 6, FALSE)</f>
        <v>#N/A</v>
      </c>
      <c r="T273" s="11" t="e">
        <f>VLOOKUP($G273, 'ADP Data'!$C$4:$Q$300, 7, FALSE)</f>
        <v>#N/A</v>
      </c>
      <c r="U273" s="11" t="e">
        <f>VLOOKUP($G273, 'ADP Data'!$C$4:$Q$300, 8, FALSE)</f>
        <v>#N/A</v>
      </c>
      <c r="V273" s="11" t="e">
        <f t="shared" si="14"/>
        <v>#N/A</v>
      </c>
      <c r="W273" s="11">
        <f t="shared" si="15"/>
        <v>16</v>
      </c>
      <c r="X273" s="11">
        <f t="shared" si="16"/>
        <v>-16</v>
      </c>
      <c r="Y273" s="11" t="e">
        <f>VLOOKUP($G273, SeanRanks!$A$2:$K$303, 10, FALSE)-V273</f>
        <v>#N/A</v>
      </c>
      <c r="Z273" s="25" t="str">
        <f>IF(VLOOKUP($G273, SeanRanks!$A$2:$H$303, 7, FALSE)=0, "", VLOOKUP($G273, SeanRanks!$A$2:$H$303, 7, FALSE))</f>
        <v/>
      </c>
    </row>
    <row r="274" spans="1:26" ht="14.25" hidden="1" customHeight="1" x14ac:dyDescent="0.25">
      <c r="A274" s="11"/>
      <c r="B274" s="11" t="e">
        <f t="shared" si="17"/>
        <v>#N/A</v>
      </c>
      <c r="C274" s="11" t="s">
        <v>148</v>
      </c>
      <c r="D274" s="11"/>
      <c r="E274" s="11"/>
      <c r="F274" s="11" t="e">
        <f>VLOOKUP(G274, SeanRanks!$A$2:$E$302, 4, FALSE)</f>
        <v>#N/A</v>
      </c>
      <c r="G274" s="11" t="s">
        <v>972</v>
      </c>
      <c r="H274" s="11" t="e">
        <f>VLOOKUP($G274, 'ADP Data'!$C$4:$Q$300, 2, FALSE)</f>
        <v>#N/A</v>
      </c>
      <c r="I274" s="11" t="e">
        <f>VLOOKUP(G274, 'ADP Data'!$C$4:$R$498, 12, FALSE)</f>
        <v>#N/A</v>
      </c>
      <c r="J274" s="11" t="e">
        <f>VLOOKUP($G274, SeanRanks!$A$2:$H$303, 5, FALSE)</f>
        <v>#N/A</v>
      </c>
      <c r="K274" s="11" t="e">
        <f>IF(VLOOKUP($G274, SeanRanks!$A$2:$H$303, 6, FALSE)=0, "", VLOOKUP($G274, SeanRanks!$A$2:$H$303, 6, FALSE))</f>
        <v>#N/A</v>
      </c>
      <c r="L274" s="11">
        <f t="shared" si="11"/>
        <v>16</v>
      </c>
      <c r="M274" s="11" t="e">
        <f>VLOOKUP($G274, 'ADP Data'!$C$4:$Q$300, 9, FALSE)</f>
        <v>#N/A</v>
      </c>
      <c r="N274" s="11" t="e">
        <f t="shared" si="12"/>
        <v>#N/A</v>
      </c>
      <c r="O274" s="11" t="e">
        <f>VLOOKUP($G274, 'ADP Data'!$C$4:$Q$300, 3, FALSE)</f>
        <v>#N/A</v>
      </c>
      <c r="P274" s="11" t="e">
        <f t="shared" si="13"/>
        <v>#N/A</v>
      </c>
      <c r="Q274" s="11" t="e">
        <f>VLOOKUP($G274, 'ADP Data'!$C$4:$Q$300, 4, FALSE)</f>
        <v>#N/A</v>
      </c>
      <c r="R274" s="11" t="e">
        <f>VLOOKUP($G274, 'ADP Data'!$C$4:$Q$300, 5, FALSE)</f>
        <v>#N/A</v>
      </c>
      <c r="S274" s="11" t="e">
        <f>VLOOKUP($G274, 'ADP Data'!$C$4:$Q$300, 6, FALSE)</f>
        <v>#N/A</v>
      </c>
      <c r="T274" s="11" t="e">
        <f>VLOOKUP($G274, 'ADP Data'!$C$4:$Q$300, 7, FALSE)</f>
        <v>#N/A</v>
      </c>
      <c r="U274" s="11" t="e">
        <f>VLOOKUP($G274, 'ADP Data'!$C$4:$Q$300, 8, FALSE)</f>
        <v>#N/A</v>
      </c>
      <c r="V274" s="11" t="e">
        <f t="shared" si="14"/>
        <v>#N/A</v>
      </c>
      <c r="W274" s="11">
        <f t="shared" si="15"/>
        <v>16</v>
      </c>
      <c r="X274" s="11">
        <f t="shared" si="16"/>
        <v>-16</v>
      </c>
      <c r="Y274" s="11" t="e">
        <f>VLOOKUP($G274, SeanRanks!$A$2:$K$303, 10, FALSE)-V274</f>
        <v>#N/A</v>
      </c>
      <c r="Z274" s="25" t="e">
        <f>IF(VLOOKUP($G274, SeanRanks!$A$2:$H$303, 7, FALSE)=0, "", VLOOKUP($G274, SeanRanks!$A$2:$H$303, 7, FALSE))</f>
        <v>#N/A</v>
      </c>
    </row>
    <row r="275" spans="1:26" ht="14.25" hidden="1" customHeight="1" x14ac:dyDescent="0.25">
      <c r="A275" s="11"/>
      <c r="B275" s="11" t="e">
        <f t="shared" si="17"/>
        <v>#N/A</v>
      </c>
      <c r="C275" s="11" t="s">
        <v>148</v>
      </c>
      <c r="D275" s="11"/>
      <c r="E275" s="11"/>
      <c r="F275" s="11" t="e">
        <f>VLOOKUP(G275, SeanRanks!$A$2:$E$302, 4, FALSE)</f>
        <v>#N/A</v>
      </c>
      <c r="G275" s="11" t="s">
        <v>973</v>
      </c>
      <c r="H275" s="11" t="e">
        <f>VLOOKUP($G275, 'ADP Data'!$C$4:$Q$300, 2, FALSE)</f>
        <v>#N/A</v>
      </c>
      <c r="I275" s="11" t="e">
        <f>VLOOKUP(G275, 'ADP Data'!$C$4:$R$498, 12, FALSE)</f>
        <v>#N/A</v>
      </c>
      <c r="J275" s="11" t="e">
        <f>VLOOKUP($G275, SeanRanks!$A$2:$H$303, 5, FALSE)</f>
        <v>#N/A</v>
      </c>
      <c r="K275" s="11" t="e">
        <f>IF(VLOOKUP($G275, SeanRanks!$A$2:$H$303, 6, FALSE)=0, "", VLOOKUP($G275, SeanRanks!$A$2:$H$303, 6, FALSE))</f>
        <v>#N/A</v>
      </c>
      <c r="L275" s="11">
        <f t="shared" si="11"/>
        <v>16</v>
      </c>
      <c r="M275" s="11" t="e">
        <f>VLOOKUP($G275, 'ADP Data'!$C$4:$Q$300, 9, FALSE)</f>
        <v>#N/A</v>
      </c>
      <c r="N275" s="11" t="e">
        <f t="shared" si="12"/>
        <v>#N/A</v>
      </c>
      <c r="O275" s="11" t="e">
        <f>VLOOKUP($G275, 'ADP Data'!$C$4:$Q$300, 3, FALSE)</f>
        <v>#N/A</v>
      </c>
      <c r="P275" s="11" t="e">
        <f t="shared" si="13"/>
        <v>#N/A</v>
      </c>
      <c r="Q275" s="11" t="e">
        <f>VLOOKUP($G275, 'ADP Data'!$C$4:$Q$300, 4, FALSE)</f>
        <v>#N/A</v>
      </c>
      <c r="R275" s="11" t="e">
        <f>VLOOKUP($G275, 'ADP Data'!$C$4:$Q$300, 5, FALSE)</f>
        <v>#N/A</v>
      </c>
      <c r="S275" s="11" t="e">
        <f>VLOOKUP($G275, 'ADP Data'!$C$4:$Q$300, 6, FALSE)</f>
        <v>#N/A</v>
      </c>
      <c r="T275" s="11" t="e">
        <f>VLOOKUP($G275, 'ADP Data'!$C$4:$Q$300, 7, FALSE)</f>
        <v>#N/A</v>
      </c>
      <c r="U275" s="11" t="e">
        <f>VLOOKUP($G275, 'ADP Data'!$C$4:$Q$300, 8, FALSE)</f>
        <v>#N/A</v>
      </c>
      <c r="V275" s="11" t="e">
        <f t="shared" si="14"/>
        <v>#N/A</v>
      </c>
      <c r="W275" s="11">
        <f t="shared" si="15"/>
        <v>16</v>
      </c>
      <c r="X275" s="11">
        <f t="shared" si="16"/>
        <v>-16</v>
      </c>
      <c r="Y275" s="11" t="e">
        <f>VLOOKUP($G275, SeanRanks!$A$2:$K$303, 10, FALSE)-V275</f>
        <v>#N/A</v>
      </c>
      <c r="Z275" s="25" t="e">
        <f>IF(VLOOKUP($G275, SeanRanks!$A$2:$H$303, 7, FALSE)=0, "", VLOOKUP($G275, SeanRanks!$A$2:$H$303, 7, FALSE))</f>
        <v>#N/A</v>
      </c>
    </row>
    <row r="276" spans="1:26" ht="14.25" hidden="1" customHeight="1" x14ac:dyDescent="0.25">
      <c r="A276" s="11"/>
      <c r="B276" s="11" t="e">
        <f t="shared" si="17"/>
        <v>#N/A</v>
      </c>
      <c r="C276" s="11" t="s">
        <v>148</v>
      </c>
      <c r="D276" s="11"/>
      <c r="E276" s="11"/>
      <c r="F276" s="11" t="e">
        <f>VLOOKUP(G276, SeanRanks!$A$2:$E$302, 4, FALSE)</f>
        <v>#N/A</v>
      </c>
      <c r="G276" s="11" t="s">
        <v>974</v>
      </c>
      <c r="H276" s="11" t="e">
        <f>VLOOKUP($G276, 'ADP Data'!$C$4:$Q$300, 2, FALSE)</f>
        <v>#N/A</v>
      </c>
      <c r="I276" s="11" t="e">
        <f>VLOOKUP(G276, 'ADP Data'!$C$4:$R$498, 12, FALSE)</f>
        <v>#N/A</v>
      </c>
      <c r="J276" s="11" t="e">
        <f>VLOOKUP($G276, SeanRanks!$A$2:$H$303, 5, FALSE)</f>
        <v>#N/A</v>
      </c>
      <c r="K276" s="11" t="e">
        <f>IF(VLOOKUP($G276, SeanRanks!$A$2:$H$303, 6, FALSE)=0, "", VLOOKUP($G276, SeanRanks!$A$2:$H$303, 6, FALSE))</f>
        <v>#N/A</v>
      </c>
      <c r="L276" s="11">
        <f t="shared" si="11"/>
        <v>16</v>
      </c>
      <c r="M276" s="11" t="e">
        <f>VLOOKUP($G276, 'ADP Data'!$C$4:$Q$300, 9, FALSE)</f>
        <v>#N/A</v>
      </c>
      <c r="N276" s="11" t="e">
        <f t="shared" si="12"/>
        <v>#N/A</v>
      </c>
      <c r="O276" s="11" t="e">
        <f>VLOOKUP($G276, 'ADP Data'!$C$4:$Q$300, 3, FALSE)</f>
        <v>#N/A</v>
      </c>
      <c r="P276" s="11" t="e">
        <f t="shared" si="13"/>
        <v>#N/A</v>
      </c>
      <c r="Q276" s="11" t="e">
        <f>VLOOKUP($G276, 'ADP Data'!$C$4:$Q$300, 4, FALSE)</f>
        <v>#N/A</v>
      </c>
      <c r="R276" s="11" t="e">
        <f>VLOOKUP($G276, 'ADP Data'!$C$4:$Q$300, 5, FALSE)</f>
        <v>#N/A</v>
      </c>
      <c r="S276" s="11" t="e">
        <f>VLOOKUP($G276, 'ADP Data'!$C$4:$Q$300, 6, FALSE)</f>
        <v>#N/A</v>
      </c>
      <c r="T276" s="11" t="e">
        <f>VLOOKUP($G276, 'ADP Data'!$C$4:$Q$300, 7, FALSE)</f>
        <v>#N/A</v>
      </c>
      <c r="U276" s="11" t="e">
        <f>VLOOKUP($G276, 'ADP Data'!$C$4:$Q$300, 8, FALSE)</f>
        <v>#N/A</v>
      </c>
      <c r="V276" s="11" t="e">
        <f t="shared" si="14"/>
        <v>#N/A</v>
      </c>
      <c r="W276" s="11">
        <f t="shared" si="15"/>
        <v>16</v>
      </c>
      <c r="X276" s="11">
        <f t="shared" si="16"/>
        <v>-16</v>
      </c>
      <c r="Y276" s="11" t="e">
        <f>VLOOKUP($G276, SeanRanks!$A$2:$K$303, 10, FALSE)-V276</f>
        <v>#N/A</v>
      </c>
      <c r="Z276" s="25" t="e">
        <f>IF(VLOOKUP($G276, SeanRanks!$A$2:$H$303, 7, FALSE)=0, "", VLOOKUP($G276, SeanRanks!$A$2:$H$303, 7, FALSE))</f>
        <v>#N/A</v>
      </c>
    </row>
    <row r="277" spans="1:26" ht="14.25" hidden="1" customHeight="1" x14ac:dyDescent="0.25">
      <c r="A277" s="11"/>
      <c r="B277" s="11">
        <f t="shared" si="17"/>
        <v>21</v>
      </c>
      <c r="C277" s="11" t="s">
        <v>148</v>
      </c>
      <c r="D277" s="11"/>
      <c r="E277" s="11"/>
      <c r="F277" s="11">
        <f>VLOOKUP(G277, SeanRanks!$A$2:$E$302, 4, FALSE)</f>
        <v>0</v>
      </c>
      <c r="G277" s="11" t="s">
        <v>975</v>
      </c>
      <c r="H277" s="11" t="str">
        <f>VLOOKUP($G277, 'ADP Data'!$C$4:$Q$300, 2, FALSE)</f>
        <v>KC</v>
      </c>
      <c r="I277" s="11">
        <f>VLOOKUP(G277, 'ADP Data'!$C$4:$R$498, 12, FALSE)</f>
        <v>279</v>
      </c>
      <c r="J277" s="11">
        <f>VLOOKUP($G277, SeanRanks!$A$2:$H$303, 5, FALSE)</f>
        <v>0</v>
      </c>
      <c r="K277" s="11" t="str">
        <f>IF(VLOOKUP($G277, SeanRanks!$A$2:$H$303, 6, FALSE)=0, "", VLOOKUP($G277, SeanRanks!$A$2:$H$303, 6, FALSE))</f>
        <v/>
      </c>
      <c r="L277" s="11">
        <f t="shared" si="11"/>
        <v>35</v>
      </c>
      <c r="M277" s="11">
        <f>VLOOKUP($G277, 'ADP Data'!$C$4:$Q$300, 9, FALSE)</f>
        <v>276</v>
      </c>
      <c r="N277" s="11">
        <f t="shared" si="12"/>
        <v>24</v>
      </c>
      <c r="O277" s="11" t="str">
        <f>VLOOKUP($G277, 'ADP Data'!$C$4:$Q$300, 3, FALSE)</f>
        <v>-</v>
      </c>
      <c r="P277" s="11" t="e">
        <f t="shared" si="13"/>
        <v>#VALUE!</v>
      </c>
      <c r="Q277" s="11">
        <f>VLOOKUP($G277, 'ADP Data'!$C$4:$Q$300, 4, FALSE)</f>
        <v>233</v>
      </c>
      <c r="R277" s="11" t="str">
        <f>VLOOKUP($G277, 'ADP Data'!$C$4:$Q$300, 5, FALSE)</f>
        <v>-</v>
      </c>
      <c r="S277" s="11">
        <f>VLOOKUP($G277, 'ADP Data'!$C$4:$Q$300, 6, FALSE)</f>
        <v>249</v>
      </c>
      <c r="T277" s="11">
        <f>VLOOKUP($G277, 'ADP Data'!$C$4:$Q$300, 7, FALSE)</f>
        <v>263</v>
      </c>
      <c r="U277" s="11">
        <f>VLOOKUP($G277, 'ADP Data'!$C$4:$Q$300, 8, FALSE)</f>
        <v>240</v>
      </c>
      <c r="V277" s="11">
        <f t="shared" si="14"/>
        <v>252</v>
      </c>
      <c r="W277" s="11">
        <f t="shared" si="15"/>
        <v>32</v>
      </c>
      <c r="X277" s="11">
        <f t="shared" si="16"/>
        <v>-32</v>
      </c>
      <c r="Y277" s="11" t="e">
        <f>VLOOKUP($G277, SeanRanks!$A$2:$K$303, 10, FALSE)-V277</f>
        <v>#VALUE!</v>
      </c>
      <c r="Z277" s="25" t="str">
        <f>IF(VLOOKUP($G277, SeanRanks!$A$2:$H$303, 7, FALSE)=0, "", VLOOKUP($G277, SeanRanks!$A$2:$H$303, 7, FALSE))</f>
        <v/>
      </c>
    </row>
    <row r="278" spans="1:26" ht="14.25" hidden="1" customHeight="1" x14ac:dyDescent="0.25">
      <c r="A278" s="11"/>
      <c r="B278" s="11" t="e">
        <f t="shared" si="17"/>
        <v>#N/A</v>
      </c>
      <c r="C278" s="11" t="s">
        <v>148</v>
      </c>
      <c r="D278" s="11"/>
      <c r="E278" s="11"/>
      <c r="F278" s="11" t="e">
        <f>VLOOKUP(G278, SeanRanks!$A$2:$E$302, 4, FALSE)</f>
        <v>#N/A</v>
      </c>
      <c r="G278" s="11" t="s">
        <v>976</v>
      </c>
      <c r="H278" s="11" t="e">
        <f>VLOOKUP($G278, 'ADP Data'!$C$4:$Q$300, 2, FALSE)</f>
        <v>#N/A</v>
      </c>
      <c r="I278" s="11" t="e">
        <f>VLOOKUP(G278, 'ADP Data'!$C$4:$R$498, 12, FALSE)</f>
        <v>#N/A</v>
      </c>
      <c r="J278" s="11" t="e">
        <f>VLOOKUP($G278, SeanRanks!$A$2:$H$303, 5, FALSE)</f>
        <v>#N/A</v>
      </c>
      <c r="K278" s="11" t="e">
        <f>IF(VLOOKUP($G278, SeanRanks!$A$2:$H$303, 6, FALSE)=0, "", VLOOKUP($G278, SeanRanks!$A$2:$H$303, 6, FALSE))</f>
        <v>#N/A</v>
      </c>
      <c r="L278" s="11">
        <f t="shared" si="11"/>
        <v>16</v>
      </c>
      <c r="M278" s="11" t="e">
        <f>VLOOKUP($G278, 'ADP Data'!$C$4:$Q$300, 9, FALSE)</f>
        <v>#N/A</v>
      </c>
      <c r="N278" s="11" t="e">
        <f t="shared" si="12"/>
        <v>#N/A</v>
      </c>
      <c r="O278" s="11" t="e">
        <f>VLOOKUP($G278, 'ADP Data'!$C$4:$Q$300, 3, FALSE)</f>
        <v>#N/A</v>
      </c>
      <c r="P278" s="11" t="e">
        <f t="shared" si="13"/>
        <v>#N/A</v>
      </c>
      <c r="Q278" s="11" t="e">
        <f>VLOOKUP($G278, 'ADP Data'!$C$4:$Q$300, 4, FALSE)</f>
        <v>#N/A</v>
      </c>
      <c r="R278" s="11" t="e">
        <f>VLOOKUP($G278, 'ADP Data'!$C$4:$Q$300, 5, FALSE)</f>
        <v>#N/A</v>
      </c>
      <c r="S278" s="11" t="e">
        <f>VLOOKUP($G278, 'ADP Data'!$C$4:$Q$300, 6, FALSE)</f>
        <v>#N/A</v>
      </c>
      <c r="T278" s="11" t="e">
        <f>VLOOKUP($G278, 'ADP Data'!$C$4:$Q$300, 7, FALSE)</f>
        <v>#N/A</v>
      </c>
      <c r="U278" s="11" t="e">
        <f>VLOOKUP($G278, 'ADP Data'!$C$4:$Q$300, 8, FALSE)</f>
        <v>#N/A</v>
      </c>
      <c r="V278" s="11" t="e">
        <f t="shared" si="14"/>
        <v>#N/A</v>
      </c>
      <c r="W278" s="11">
        <f t="shared" si="15"/>
        <v>16</v>
      </c>
      <c r="X278" s="11">
        <f t="shared" si="16"/>
        <v>-16</v>
      </c>
      <c r="Y278" s="11" t="e">
        <f>VLOOKUP($G278, SeanRanks!$A$2:$K$303, 10, FALSE)-V278</f>
        <v>#N/A</v>
      </c>
      <c r="Z278" s="25" t="e">
        <f>IF(VLOOKUP($G278, SeanRanks!$A$2:$H$303, 7, FALSE)=0, "", VLOOKUP($G278, SeanRanks!$A$2:$H$303, 7, FALSE))</f>
        <v>#N/A</v>
      </c>
    </row>
    <row r="279" spans="1:26" ht="14.25" hidden="1" customHeight="1" x14ac:dyDescent="0.25">
      <c r="A279" s="11"/>
      <c r="B279" s="11" t="e">
        <f t="shared" si="17"/>
        <v>#N/A</v>
      </c>
      <c r="C279" s="11" t="s">
        <v>148</v>
      </c>
      <c r="D279" s="11"/>
      <c r="E279" s="11"/>
      <c r="F279" s="11" t="e">
        <f>VLOOKUP(G279, SeanRanks!$A$2:$E$302, 4, FALSE)</f>
        <v>#N/A</v>
      </c>
      <c r="G279" s="11" t="s">
        <v>977</v>
      </c>
      <c r="H279" s="11" t="e">
        <f>VLOOKUP($G279, 'ADP Data'!$C$4:$Q$300, 2, FALSE)</f>
        <v>#N/A</v>
      </c>
      <c r="I279" s="11" t="e">
        <f>VLOOKUP(G279, 'ADP Data'!$C$4:$R$498, 12, FALSE)</f>
        <v>#N/A</v>
      </c>
      <c r="J279" s="11" t="e">
        <f>VLOOKUP($G279, SeanRanks!$A$2:$H$303, 5, FALSE)</f>
        <v>#N/A</v>
      </c>
      <c r="K279" s="11" t="e">
        <f>IF(VLOOKUP($G279, SeanRanks!$A$2:$H$303, 6, FALSE)=0, "", VLOOKUP($G279, SeanRanks!$A$2:$H$303, 6, FALSE))</f>
        <v>#N/A</v>
      </c>
      <c r="L279" s="11">
        <f t="shared" si="11"/>
        <v>16</v>
      </c>
      <c r="M279" s="11" t="e">
        <f>VLOOKUP($G279, 'ADP Data'!$C$4:$Q$300, 9, FALSE)</f>
        <v>#N/A</v>
      </c>
      <c r="N279" s="11" t="e">
        <f t="shared" si="12"/>
        <v>#N/A</v>
      </c>
      <c r="O279" s="11" t="e">
        <f>VLOOKUP($G279, 'ADP Data'!$C$4:$Q$300, 3, FALSE)</f>
        <v>#N/A</v>
      </c>
      <c r="P279" s="11" t="e">
        <f t="shared" si="13"/>
        <v>#N/A</v>
      </c>
      <c r="Q279" s="11" t="e">
        <f>VLOOKUP($G279, 'ADP Data'!$C$4:$Q$300, 4, FALSE)</f>
        <v>#N/A</v>
      </c>
      <c r="R279" s="11" t="e">
        <f>VLOOKUP($G279, 'ADP Data'!$C$4:$Q$300, 5, FALSE)</f>
        <v>#N/A</v>
      </c>
      <c r="S279" s="11" t="e">
        <f>VLOOKUP($G279, 'ADP Data'!$C$4:$Q$300, 6, FALSE)</f>
        <v>#N/A</v>
      </c>
      <c r="T279" s="11" t="e">
        <f>VLOOKUP($G279, 'ADP Data'!$C$4:$Q$300, 7, FALSE)</f>
        <v>#N/A</v>
      </c>
      <c r="U279" s="11" t="e">
        <f>VLOOKUP($G279, 'ADP Data'!$C$4:$Q$300, 8, FALSE)</f>
        <v>#N/A</v>
      </c>
      <c r="V279" s="11" t="e">
        <f t="shared" si="14"/>
        <v>#N/A</v>
      </c>
      <c r="W279" s="11">
        <f t="shared" si="15"/>
        <v>16</v>
      </c>
      <c r="X279" s="11">
        <f t="shared" si="16"/>
        <v>-16</v>
      </c>
      <c r="Y279" s="11" t="e">
        <f>VLOOKUP($G279, SeanRanks!$A$2:$K$303, 10, FALSE)-V279</f>
        <v>#N/A</v>
      </c>
      <c r="Z279" s="25" t="e">
        <f>IF(VLOOKUP($G279, SeanRanks!$A$2:$H$303, 7, FALSE)=0, "", VLOOKUP($G279, SeanRanks!$A$2:$H$303, 7, FALSE))</f>
        <v>#N/A</v>
      </c>
    </row>
    <row r="280" spans="1:26" ht="14.25" hidden="1" customHeight="1" x14ac:dyDescent="0.25">
      <c r="A280" s="11"/>
      <c r="B280" s="11">
        <f t="shared" si="17"/>
        <v>16</v>
      </c>
      <c r="C280" s="11" t="s">
        <v>148</v>
      </c>
      <c r="D280" s="11"/>
      <c r="E280" s="11"/>
      <c r="F280" s="11">
        <f>VLOOKUP(G280, SeanRanks!$A$2:$E$302, 4, FALSE)</f>
        <v>0</v>
      </c>
      <c r="G280" s="11" t="s">
        <v>688</v>
      </c>
      <c r="H280" s="11" t="str">
        <f>VLOOKUP($G280, 'ADP Data'!$C$4:$Q$300, 2, FALSE)</f>
        <v>ATL</v>
      </c>
      <c r="I280" s="11">
        <f>VLOOKUP(G280, 'ADP Data'!$C$4:$R$498, 12, FALSE)</f>
        <v>143</v>
      </c>
      <c r="J280" s="11">
        <f>VLOOKUP($G280, SeanRanks!$A$2:$H$303, 5, FALSE)</f>
        <v>0</v>
      </c>
      <c r="K280" s="11" t="str">
        <f>IF(VLOOKUP($G280, SeanRanks!$A$2:$H$303, 6, FALSE)=0, "", VLOOKUP($G280, SeanRanks!$A$2:$H$303, 6, FALSE))</f>
        <v>Don’t Draft - Streamer</v>
      </c>
      <c r="L280" s="11">
        <f t="shared" si="11"/>
        <v>24</v>
      </c>
      <c r="M280" s="11">
        <f>VLOOKUP($G280, 'ADP Data'!$C$4:$Q$300, 9, FALSE)</f>
        <v>189</v>
      </c>
      <c r="N280" s="11">
        <f t="shared" si="12"/>
        <v>4</v>
      </c>
      <c r="O280" s="11">
        <f>VLOOKUP($G280, 'ADP Data'!$C$4:$Q$300, 3, FALSE)</f>
        <v>177</v>
      </c>
      <c r="P280" s="11">
        <f t="shared" si="13"/>
        <v>12</v>
      </c>
      <c r="Q280" s="11">
        <f>VLOOKUP($G280, 'ADP Data'!$C$4:$Q$300, 4, FALSE)</f>
        <v>181</v>
      </c>
      <c r="R280" s="11">
        <f>VLOOKUP($G280, 'ADP Data'!$C$4:$Q$300, 5, FALSE)</f>
        <v>236</v>
      </c>
      <c r="S280" s="11">
        <f>VLOOKUP($G280, 'ADP Data'!$C$4:$Q$300, 6, FALSE)</f>
        <v>164</v>
      </c>
      <c r="T280" s="11">
        <f>VLOOKUP($G280, 'ADP Data'!$C$4:$Q$300, 7, FALSE)</f>
        <v>159</v>
      </c>
      <c r="U280" s="11">
        <f>VLOOKUP($G280, 'ADP Data'!$C$4:$Q$300, 8, FALSE)</f>
        <v>189</v>
      </c>
      <c r="V280" s="11">
        <f t="shared" si="14"/>
        <v>185</v>
      </c>
      <c r="W280" s="11">
        <f t="shared" si="15"/>
        <v>24</v>
      </c>
      <c r="X280" s="11">
        <f t="shared" si="16"/>
        <v>-24</v>
      </c>
      <c r="Y280" s="11">
        <f>VLOOKUP($G280, SeanRanks!$A$2:$K$303, 10, FALSE)-V280</f>
        <v>-43</v>
      </c>
      <c r="Z280" s="25">
        <f>IF(VLOOKUP($G280, SeanRanks!$A$2:$H$303, 7, FALSE)=0, "", VLOOKUP($G280, SeanRanks!$A$2:$H$303, 7, FALSE))</f>
        <v>24</v>
      </c>
    </row>
    <row r="281" spans="1:26" ht="14.25" hidden="1" customHeight="1" x14ac:dyDescent="0.25">
      <c r="A281" s="11"/>
      <c r="B281" s="11">
        <f t="shared" si="17"/>
        <v>9</v>
      </c>
      <c r="C281" s="11" t="s">
        <v>148</v>
      </c>
      <c r="D281" s="11"/>
      <c r="E281" s="11"/>
      <c r="F281" s="11">
        <f>VLOOKUP(G281, SeanRanks!$A$2:$E$302, 4, FALSE)</f>
        <v>0</v>
      </c>
      <c r="G281" s="11" t="s">
        <v>458</v>
      </c>
      <c r="H281" s="11" t="str">
        <f>VLOOKUP($G281, 'ADP Data'!$C$4:$Q$300, 2, FALSE)</f>
        <v>SF</v>
      </c>
      <c r="I281" s="11">
        <f>VLOOKUP(G281, 'ADP Data'!$C$4:$R$498, 12, FALSE)</f>
        <v>84</v>
      </c>
      <c r="J281" s="11">
        <f>VLOOKUP($G281, SeanRanks!$A$2:$H$303, 5, FALSE)</f>
        <v>0</v>
      </c>
      <c r="K281" s="11" t="str">
        <f>IF(VLOOKUP($G281, SeanRanks!$A$2:$H$303, 6, FALSE)=0, "", VLOOKUP($G281, SeanRanks!$A$2:$H$303, 6, FALSE))</f>
        <v>WR4 - 1 - path to WR2</v>
      </c>
      <c r="L281" s="11">
        <f t="shared" si="11"/>
        <v>13</v>
      </c>
      <c r="M281" s="11">
        <f>VLOOKUP($G281, 'ADP Data'!$C$4:$Q$300, 9, FALSE)</f>
        <v>102</v>
      </c>
      <c r="N281" s="11">
        <f t="shared" si="12"/>
        <v>-3</v>
      </c>
      <c r="O281" s="11">
        <f>VLOOKUP($G281, 'ADP Data'!$C$4:$Q$300, 3, FALSE)</f>
        <v>119</v>
      </c>
      <c r="P281" s="11">
        <f t="shared" si="13"/>
        <v>-17</v>
      </c>
      <c r="Q281" s="11">
        <f>VLOOKUP($G281, 'ADP Data'!$C$4:$Q$300, 4, FALSE)</f>
        <v>115</v>
      </c>
      <c r="R281" s="11">
        <f>VLOOKUP($G281, 'ADP Data'!$C$4:$Q$300, 5, FALSE)</f>
        <v>110</v>
      </c>
      <c r="S281" s="11">
        <f>VLOOKUP($G281, 'ADP Data'!$C$4:$Q$300, 6, FALSE)</f>
        <v>98</v>
      </c>
      <c r="T281" s="11">
        <f>VLOOKUP($G281, 'ADP Data'!$C$4:$Q$300, 7, FALSE)</f>
        <v>85</v>
      </c>
      <c r="U281" s="11">
        <f>VLOOKUP($G281, 'ADP Data'!$C$4:$Q$300, 8, FALSE)</f>
        <v>111</v>
      </c>
      <c r="V281" s="11">
        <f t="shared" si="14"/>
        <v>105</v>
      </c>
      <c r="W281" s="11">
        <f t="shared" si="15"/>
        <v>14</v>
      </c>
      <c r="X281" s="11">
        <f t="shared" si="16"/>
        <v>-14</v>
      </c>
      <c r="Y281" s="11">
        <f>VLOOKUP($G281, SeanRanks!$A$2:$K$303, 10, FALSE)-V281</f>
        <v>-12</v>
      </c>
      <c r="Z281" s="25">
        <f>IF(VLOOKUP($G281, SeanRanks!$A$2:$H$303, 7, FALSE)=0, "", VLOOKUP($G281, SeanRanks!$A$2:$H$303, 7, FALSE))</f>
        <v>40</v>
      </c>
    </row>
    <row r="282" spans="1:26" ht="14.25" hidden="1" customHeight="1" x14ac:dyDescent="0.25">
      <c r="A282" s="11"/>
      <c r="B282" s="11" t="e">
        <f t="shared" si="17"/>
        <v>#N/A</v>
      </c>
      <c r="C282" s="11" t="s">
        <v>148</v>
      </c>
      <c r="D282" s="11"/>
      <c r="E282" s="11"/>
      <c r="F282" s="11" t="e">
        <f>VLOOKUP(G282, SeanRanks!$A$2:$E$302, 4, FALSE)</f>
        <v>#N/A</v>
      </c>
      <c r="G282" s="11" t="s">
        <v>978</v>
      </c>
      <c r="H282" s="11" t="e">
        <f>VLOOKUP($G282, 'ADP Data'!$C$4:$Q$300, 2, FALSE)</f>
        <v>#N/A</v>
      </c>
      <c r="I282" s="11" t="e">
        <f>VLOOKUP(G282, 'ADP Data'!$C$4:$R$498, 12, FALSE)</f>
        <v>#N/A</v>
      </c>
      <c r="J282" s="11" t="e">
        <f>VLOOKUP($G282, SeanRanks!$A$2:$H$303, 5, FALSE)</f>
        <v>#N/A</v>
      </c>
      <c r="K282" s="11" t="e">
        <f>IF(VLOOKUP($G282, SeanRanks!$A$2:$H$303, 6, FALSE)=0, "", VLOOKUP($G282, SeanRanks!$A$2:$H$303, 6, FALSE))</f>
        <v>#N/A</v>
      </c>
      <c r="L282" s="11">
        <f t="shared" si="11"/>
        <v>16</v>
      </c>
      <c r="M282" s="11" t="e">
        <f>VLOOKUP($G282, 'ADP Data'!$C$4:$Q$300, 9, FALSE)</f>
        <v>#N/A</v>
      </c>
      <c r="N282" s="11" t="e">
        <f t="shared" si="12"/>
        <v>#N/A</v>
      </c>
      <c r="O282" s="11" t="e">
        <f>VLOOKUP($G282, 'ADP Data'!$C$4:$Q$300, 3, FALSE)</f>
        <v>#N/A</v>
      </c>
      <c r="P282" s="11" t="e">
        <f t="shared" si="13"/>
        <v>#N/A</v>
      </c>
      <c r="Q282" s="11" t="e">
        <f>VLOOKUP($G282, 'ADP Data'!$C$4:$Q$300, 4, FALSE)</f>
        <v>#N/A</v>
      </c>
      <c r="R282" s="11" t="e">
        <f>VLOOKUP($G282, 'ADP Data'!$C$4:$Q$300, 5, FALSE)</f>
        <v>#N/A</v>
      </c>
      <c r="S282" s="11" t="e">
        <f>VLOOKUP($G282, 'ADP Data'!$C$4:$Q$300, 6, FALSE)</f>
        <v>#N/A</v>
      </c>
      <c r="T282" s="11" t="e">
        <f>VLOOKUP($G282, 'ADP Data'!$C$4:$Q$300, 7, FALSE)</f>
        <v>#N/A</v>
      </c>
      <c r="U282" s="11" t="e">
        <f>VLOOKUP($G282, 'ADP Data'!$C$4:$Q$300, 8, FALSE)</f>
        <v>#N/A</v>
      </c>
      <c r="V282" s="11" t="e">
        <f t="shared" si="14"/>
        <v>#N/A</v>
      </c>
      <c r="W282" s="11">
        <f t="shared" si="15"/>
        <v>16</v>
      </c>
      <c r="X282" s="11">
        <f t="shared" si="16"/>
        <v>-16</v>
      </c>
      <c r="Y282" s="11" t="e">
        <f>VLOOKUP($G282, SeanRanks!$A$2:$K$303, 10, FALSE)-V282</f>
        <v>#N/A</v>
      </c>
      <c r="Z282" s="25" t="e">
        <f>IF(VLOOKUP($G282, SeanRanks!$A$2:$H$303, 7, FALSE)=0, "", VLOOKUP($G282, SeanRanks!$A$2:$H$303, 7, FALSE))</f>
        <v>#N/A</v>
      </c>
    </row>
    <row r="283" spans="1:26" ht="14.25" hidden="1" customHeight="1" x14ac:dyDescent="0.25">
      <c r="A283" s="11"/>
      <c r="B283" s="11" t="e">
        <f t="shared" si="17"/>
        <v>#N/A</v>
      </c>
      <c r="C283" s="11" t="s">
        <v>148</v>
      </c>
      <c r="D283" s="11"/>
      <c r="E283" s="11"/>
      <c r="F283" s="11" t="e">
        <f>VLOOKUP(G283, SeanRanks!$A$2:$E$302, 4, FALSE)</f>
        <v>#N/A</v>
      </c>
      <c r="G283" s="11" t="s">
        <v>979</v>
      </c>
      <c r="H283" s="11" t="e">
        <f>VLOOKUP($G283, 'ADP Data'!$C$4:$Q$300, 2, FALSE)</f>
        <v>#N/A</v>
      </c>
      <c r="I283" s="11" t="e">
        <f>VLOOKUP(G283, 'ADP Data'!$C$4:$R$498, 12, FALSE)</f>
        <v>#N/A</v>
      </c>
      <c r="J283" s="11" t="e">
        <f>VLOOKUP($G283, SeanRanks!$A$2:$H$303, 5, FALSE)</f>
        <v>#N/A</v>
      </c>
      <c r="K283" s="11" t="e">
        <f>IF(VLOOKUP($G283, SeanRanks!$A$2:$H$303, 6, FALSE)=0, "", VLOOKUP($G283, SeanRanks!$A$2:$H$303, 6, FALSE))</f>
        <v>#N/A</v>
      </c>
      <c r="L283" s="11">
        <f t="shared" si="11"/>
        <v>16</v>
      </c>
      <c r="M283" s="11" t="e">
        <f>VLOOKUP($G283, 'ADP Data'!$C$4:$Q$300, 9, FALSE)</f>
        <v>#N/A</v>
      </c>
      <c r="N283" s="11" t="e">
        <f t="shared" si="12"/>
        <v>#N/A</v>
      </c>
      <c r="O283" s="11" t="e">
        <f>VLOOKUP($G283, 'ADP Data'!$C$4:$Q$300, 3, FALSE)</f>
        <v>#N/A</v>
      </c>
      <c r="P283" s="11" t="e">
        <f t="shared" si="13"/>
        <v>#N/A</v>
      </c>
      <c r="Q283" s="11" t="e">
        <f>VLOOKUP($G283, 'ADP Data'!$C$4:$Q$300, 4, FALSE)</f>
        <v>#N/A</v>
      </c>
      <c r="R283" s="11" t="e">
        <f>VLOOKUP($G283, 'ADP Data'!$C$4:$Q$300, 5, FALSE)</f>
        <v>#N/A</v>
      </c>
      <c r="S283" s="11" t="e">
        <f>VLOOKUP($G283, 'ADP Data'!$C$4:$Q$300, 6, FALSE)</f>
        <v>#N/A</v>
      </c>
      <c r="T283" s="11" t="e">
        <f>VLOOKUP($G283, 'ADP Data'!$C$4:$Q$300, 7, FALSE)</f>
        <v>#N/A</v>
      </c>
      <c r="U283" s="11" t="e">
        <f>VLOOKUP($G283, 'ADP Data'!$C$4:$Q$300, 8, FALSE)</f>
        <v>#N/A</v>
      </c>
      <c r="V283" s="11" t="e">
        <f t="shared" si="14"/>
        <v>#N/A</v>
      </c>
      <c r="W283" s="11">
        <f t="shared" si="15"/>
        <v>16</v>
      </c>
      <c r="X283" s="11">
        <f t="shared" si="16"/>
        <v>-16</v>
      </c>
      <c r="Y283" s="11" t="e">
        <f>VLOOKUP($G283, SeanRanks!$A$2:$K$303, 10, FALSE)-V283</f>
        <v>#N/A</v>
      </c>
      <c r="Z283" s="25" t="e">
        <f>IF(VLOOKUP($G283, SeanRanks!$A$2:$H$303, 7, FALSE)=0, "", VLOOKUP($G283, SeanRanks!$A$2:$H$303, 7, FALSE))</f>
        <v>#N/A</v>
      </c>
    </row>
    <row r="284" spans="1:26" ht="14.25" hidden="1" customHeight="1" x14ac:dyDescent="0.25">
      <c r="A284" s="11"/>
      <c r="B284" s="11" t="e">
        <f t="shared" si="17"/>
        <v>#N/A</v>
      </c>
      <c r="C284" s="11" t="s">
        <v>148</v>
      </c>
      <c r="D284" s="11"/>
      <c r="E284" s="11"/>
      <c r="F284" s="11" t="e">
        <f>VLOOKUP(G284, SeanRanks!$A$2:$E$302, 4, FALSE)</f>
        <v>#N/A</v>
      </c>
      <c r="G284" s="11" t="s">
        <v>825</v>
      </c>
      <c r="H284" s="11" t="e">
        <f>VLOOKUP($G284, 'ADP Data'!$C$4:$Q$300, 2, FALSE)</f>
        <v>#N/A</v>
      </c>
      <c r="I284" s="11" t="e">
        <f>VLOOKUP(G284, 'ADP Data'!$C$4:$R$498, 12, FALSE)</f>
        <v>#N/A</v>
      </c>
      <c r="J284" s="11" t="e">
        <f>VLOOKUP($G284, SeanRanks!$A$2:$H$303, 5, FALSE)</f>
        <v>#N/A</v>
      </c>
      <c r="K284" s="11" t="e">
        <f>IF(VLOOKUP($G284, SeanRanks!$A$2:$H$303, 6, FALSE)=0, "", VLOOKUP($G284, SeanRanks!$A$2:$H$303, 6, FALSE))</f>
        <v>#N/A</v>
      </c>
      <c r="L284" s="11">
        <f t="shared" si="11"/>
        <v>16</v>
      </c>
      <c r="M284" s="11" t="e">
        <f>VLOOKUP($G284, 'ADP Data'!$C$4:$Q$300, 9, FALSE)</f>
        <v>#N/A</v>
      </c>
      <c r="N284" s="11" t="e">
        <f t="shared" si="12"/>
        <v>#N/A</v>
      </c>
      <c r="O284" s="11" t="e">
        <f>VLOOKUP($G284, 'ADP Data'!$C$4:$Q$300, 3, FALSE)</f>
        <v>#N/A</v>
      </c>
      <c r="P284" s="11" t="e">
        <f t="shared" si="13"/>
        <v>#N/A</v>
      </c>
      <c r="Q284" s="11" t="e">
        <f>VLOOKUP($G284, 'ADP Data'!$C$4:$Q$300, 4, FALSE)</f>
        <v>#N/A</v>
      </c>
      <c r="R284" s="11" t="e">
        <f>VLOOKUP($G284, 'ADP Data'!$C$4:$Q$300, 5, FALSE)</f>
        <v>#N/A</v>
      </c>
      <c r="S284" s="11" t="e">
        <f>VLOOKUP($G284, 'ADP Data'!$C$4:$Q$300, 6, FALSE)</f>
        <v>#N/A</v>
      </c>
      <c r="T284" s="11" t="e">
        <f>VLOOKUP($G284, 'ADP Data'!$C$4:$Q$300, 7, FALSE)</f>
        <v>#N/A</v>
      </c>
      <c r="U284" s="11" t="e">
        <f>VLOOKUP($G284, 'ADP Data'!$C$4:$Q$300, 8, FALSE)</f>
        <v>#N/A</v>
      </c>
      <c r="V284" s="11" t="e">
        <f t="shared" si="14"/>
        <v>#N/A</v>
      </c>
      <c r="W284" s="11">
        <f t="shared" si="15"/>
        <v>16</v>
      </c>
      <c r="X284" s="11">
        <f t="shared" si="16"/>
        <v>-16</v>
      </c>
      <c r="Y284" s="11" t="e">
        <f>VLOOKUP($G284, SeanRanks!$A$2:$K$303, 10, FALSE)-V284</f>
        <v>#N/A</v>
      </c>
      <c r="Z284" s="25" t="e">
        <f>IF(VLOOKUP($G284, SeanRanks!$A$2:$H$303, 7, FALSE)=0, "", VLOOKUP($G284, SeanRanks!$A$2:$H$303, 7, FALSE))</f>
        <v>#N/A</v>
      </c>
    </row>
    <row r="285" spans="1:26" ht="14.25" hidden="1" customHeight="1" x14ac:dyDescent="0.25">
      <c r="A285" s="11"/>
      <c r="B285" s="11" t="e">
        <f t="shared" si="17"/>
        <v>#N/A</v>
      </c>
      <c r="C285" s="11" t="s">
        <v>148</v>
      </c>
      <c r="D285" s="11"/>
      <c r="E285" s="11"/>
      <c r="F285" s="11" t="e">
        <f>VLOOKUP(G285, SeanRanks!$A$2:$E$302, 4, FALSE)</f>
        <v>#N/A</v>
      </c>
      <c r="G285" s="11" t="s">
        <v>980</v>
      </c>
      <c r="H285" s="11" t="e">
        <f>VLOOKUP($G285, 'ADP Data'!$C$4:$Q$300, 2, FALSE)</f>
        <v>#N/A</v>
      </c>
      <c r="I285" s="11" t="e">
        <f>VLOOKUP(G285, 'ADP Data'!$C$4:$R$498, 12, FALSE)</f>
        <v>#N/A</v>
      </c>
      <c r="J285" s="11" t="e">
        <f>VLOOKUP($G285, SeanRanks!$A$2:$H$303, 5, FALSE)</f>
        <v>#N/A</v>
      </c>
      <c r="K285" s="11" t="e">
        <f>IF(VLOOKUP($G285, SeanRanks!$A$2:$H$303, 6, FALSE)=0, "", VLOOKUP($G285, SeanRanks!$A$2:$H$303, 6, FALSE))</f>
        <v>#N/A</v>
      </c>
      <c r="L285" s="11">
        <f t="shared" si="11"/>
        <v>16</v>
      </c>
      <c r="M285" s="11" t="e">
        <f>VLOOKUP($G285, 'ADP Data'!$C$4:$Q$300, 9, FALSE)</f>
        <v>#N/A</v>
      </c>
      <c r="N285" s="11" t="e">
        <f t="shared" si="12"/>
        <v>#N/A</v>
      </c>
      <c r="O285" s="11" t="e">
        <f>VLOOKUP($G285, 'ADP Data'!$C$4:$Q$300, 3, FALSE)</f>
        <v>#N/A</v>
      </c>
      <c r="P285" s="11" t="e">
        <f t="shared" si="13"/>
        <v>#N/A</v>
      </c>
      <c r="Q285" s="11"/>
      <c r="R285" s="11"/>
      <c r="S285" s="11"/>
      <c r="T285" s="11"/>
      <c r="U285" s="11"/>
      <c r="V285" s="11" t="e">
        <f t="shared" si="14"/>
        <v>#N/A</v>
      </c>
      <c r="W285" s="11">
        <f t="shared" si="15"/>
        <v>16</v>
      </c>
      <c r="X285" s="11">
        <f t="shared" si="16"/>
        <v>-16</v>
      </c>
      <c r="Y285" s="11" t="e">
        <f>VLOOKUP($G285, SeanRanks!$A$2:$K$303, 10, FALSE)-V285</f>
        <v>#N/A</v>
      </c>
      <c r="Z285" s="25" t="e">
        <f>IF(VLOOKUP($G285, SeanRanks!$A$2:$H$303, 7, FALSE)=0, "", VLOOKUP($G285, SeanRanks!$A$2:$H$303, 7, FALSE))</f>
        <v>#N/A</v>
      </c>
    </row>
    <row r="286" spans="1:26" ht="14.25" hidden="1" customHeight="1" x14ac:dyDescent="0.25">
      <c r="A286" s="11"/>
      <c r="B286" s="11">
        <f t="shared" si="17"/>
        <v>13</v>
      </c>
      <c r="C286" s="11" t="s">
        <v>148</v>
      </c>
      <c r="D286" s="11"/>
      <c r="E286" s="11"/>
      <c r="F286" s="11">
        <f>VLOOKUP(G286, SeanRanks!$A$2:$E$302, 4, FALSE)</f>
        <v>0</v>
      </c>
      <c r="G286" s="11" t="s">
        <v>808</v>
      </c>
      <c r="H286" s="11" t="str">
        <f>VLOOKUP($G286, 'ADP Data'!$C$4:$Q$300, 2, FALSE)</f>
        <v>MIN</v>
      </c>
      <c r="I286" s="11">
        <f>VLOOKUP(G286, 'ADP Data'!$C$4:$R$498, 12, FALSE)</f>
        <v>125</v>
      </c>
      <c r="J286" s="11">
        <f>VLOOKUP($G286, SeanRanks!$A$2:$H$303, 5, FALSE)</f>
        <v>0</v>
      </c>
      <c r="K286" s="11" t="str">
        <f>IF(VLOOKUP($G286, SeanRanks!$A$2:$H$303, 6, FALSE)=0, "", VLOOKUP($G286, SeanRanks!$A$2:$H$303, 6, FALSE))</f>
        <v>QB3 - Not League Winner</v>
      </c>
      <c r="L286" s="11">
        <f t="shared" si="11"/>
        <v>19</v>
      </c>
      <c r="M286" s="11">
        <f>VLOOKUP($G286, 'ADP Data'!$C$4:$Q$300, 9, FALSE)</f>
        <v>146</v>
      </c>
      <c r="N286" s="11">
        <f t="shared" si="12"/>
        <v>1</v>
      </c>
      <c r="O286" s="11">
        <f>VLOOKUP($G286, 'ADP Data'!$C$4:$Q$300, 3, FALSE)</f>
        <v>152</v>
      </c>
      <c r="P286" s="11">
        <f t="shared" si="13"/>
        <v>-6</v>
      </c>
      <c r="Q286" s="11">
        <f>VLOOKUP($G286, 'ADP Data'!$C$4:$Q$300, 4, FALSE)</f>
        <v>138</v>
      </c>
      <c r="R286" s="11">
        <f>VLOOKUP($G286, 'ADP Data'!$C$4:$Q$300, 5, FALSE)</f>
        <v>157</v>
      </c>
      <c r="S286" s="11">
        <f>VLOOKUP($G286, 'ADP Data'!$C$4:$Q$300, 6, FALSE)</f>
        <v>139</v>
      </c>
      <c r="T286" s="11">
        <f>VLOOKUP($G286, 'ADP Data'!$C$4:$Q$300, 7, FALSE)</f>
        <v>135</v>
      </c>
      <c r="U286" s="11">
        <f>VLOOKUP($G286, 'ADP Data'!$C$4:$Q$300, 8, FALSE)</f>
        <v>154</v>
      </c>
      <c r="V286" s="11">
        <f t="shared" si="14"/>
        <v>145</v>
      </c>
      <c r="W286" s="11">
        <f t="shared" si="15"/>
        <v>19</v>
      </c>
      <c r="X286" s="11">
        <f t="shared" si="16"/>
        <v>-19</v>
      </c>
      <c r="Y286" s="11">
        <f>VLOOKUP($G286, SeanRanks!$A$2:$K$303, 10, FALSE)-V286</f>
        <v>-20</v>
      </c>
      <c r="Z286" s="25">
        <f>IF(VLOOKUP($G286, SeanRanks!$A$2:$H$303, 7, FALSE)=0, "", VLOOKUP($G286, SeanRanks!$A$2:$H$303, 7, FALSE))</f>
        <v>23</v>
      </c>
    </row>
    <row r="287" spans="1:26" ht="14.25" hidden="1" customHeight="1" x14ac:dyDescent="0.25">
      <c r="A287" s="11"/>
      <c r="B287" s="11" t="e">
        <f t="shared" si="17"/>
        <v>#N/A</v>
      </c>
      <c r="C287" s="11" t="s">
        <v>148</v>
      </c>
      <c r="D287" s="11"/>
      <c r="E287" s="11"/>
      <c r="F287" s="11" t="e">
        <f>VLOOKUP(G287, SeanRanks!$A$2:$E$302, 4, FALSE)</f>
        <v>#N/A</v>
      </c>
      <c r="G287" s="11" t="s">
        <v>672</v>
      </c>
      <c r="H287" s="11" t="e">
        <f>VLOOKUP($G287, 'ADP Data'!$C$4:$Q$300, 2, FALSE)</f>
        <v>#N/A</v>
      </c>
      <c r="I287" s="11" t="e">
        <f>VLOOKUP(G287, 'ADP Data'!$C$4:$R$498, 12, FALSE)</f>
        <v>#N/A</v>
      </c>
      <c r="J287" s="11" t="e">
        <f>VLOOKUP($G287, SeanRanks!$A$2:$H$303, 5, FALSE)</f>
        <v>#N/A</v>
      </c>
      <c r="K287" s="11" t="e">
        <f>IF(VLOOKUP($G287, SeanRanks!$A$2:$H$303, 6, FALSE)=0, "", VLOOKUP($G287, SeanRanks!$A$2:$H$303, 6, FALSE))</f>
        <v>#N/A</v>
      </c>
      <c r="L287" s="11">
        <f t="shared" si="11"/>
        <v>16</v>
      </c>
      <c r="M287" s="11" t="e">
        <f>VLOOKUP($G287, 'ADP Data'!$C$4:$Q$300, 9, FALSE)</f>
        <v>#N/A</v>
      </c>
      <c r="N287" s="11" t="e">
        <f t="shared" si="12"/>
        <v>#N/A</v>
      </c>
      <c r="O287" s="11" t="e">
        <f>VLOOKUP($G287, 'ADP Data'!$C$4:$Q$300, 3, FALSE)</f>
        <v>#N/A</v>
      </c>
      <c r="P287" s="11" t="e">
        <f t="shared" si="13"/>
        <v>#N/A</v>
      </c>
      <c r="Q287" s="11" t="e">
        <f>VLOOKUP($G287, 'ADP Data'!$C$4:$Q$300, 4, FALSE)</f>
        <v>#N/A</v>
      </c>
      <c r="R287" s="11" t="e">
        <f>VLOOKUP($G287, 'ADP Data'!$C$4:$Q$300, 5, FALSE)</f>
        <v>#N/A</v>
      </c>
      <c r="S287" s="11" t="e">
        <f>VLOOKUP($G287, 'ADP Data'!$C$4:$Q$300, 6, FALSE)</f>
        <v>#N/A</v>
      </c>
      <c r="T287" s="11" t="e">
        <f>VLOOKUP($G287, 'ADP Data'!$C$4:$Q$300, 7, FALSE)</f>
        <v>#N/A</v>
      </c>
      <c r="U287" s="11" t="e">
        <f>VLOOKUP($G287, 'ADP Data'!$C$4:$Q$300, 8, FALSE)</f>
        <v>#N/A</v>
      </c>
      <c r="V287" s="11" t="e">
        <f t="shared" si="14"/>
        <v>#N/A</v>
      </c>
      <c r="W287" s="11">
        <f t="shared" si="15"/>
        <v>16</v>
      </c>
      <c r="X287" s="11">
        <f t="shared" si="16"/>
        <v>-16</v>
      </c>
      <c r="Y287" s="11" t="e">
        <f>VLOOKUP($G287, SeanRanks!$A$2:$K$303, 10, FALSE)-V287</f>
        <v>#N/A</v>
      </c>
      <c r="Z287" s="25" t="e">
        <f>IF(VLOOKUP($G287, SeanRanks!$A$2:$H$303, 7, FALSE)=0, "", VLOOKUP($G287, SeanRanks!$A$2:$H$303, 7, FALSE))</f>
        <v>#N/A</v>
      </c>
    </row>
    <row r="288" spans="1:26" ht="14.25" hidden="1" customHeight="1" x14ac:dyDescent="0.25">
      <c r="A288" s="11"/>
      <c r="B288" s="11" t="e">
        <f t="shared" si="17"/>
        <v>#N/A</v>
      </c>
      <c r="C288" s="11" t="s">
        <v>148</v>
      </c>
      <c r="D288" s="11"/>
      <c r="E288" s="11"/>
      <c r="F288" s="11" t="e">
        <f>VLOOKUP(G288, SeanRanks!$A$2:$E$302, 4, FALSE)</f>
        <v>#N/A</v>
      </c>
      <c r="G288" s="11" t="s">
        <v>982</v>
      </c>
      <c r="H288" s="11" t="e">
        <f>VLOOKUP($G288, 'ADP Data'!$C$4:$Q$300, 2, FALSE)</f>
        <v>#N/A</v>
      </c>
      <c r="I288" s="11" t="e">
        <f>VLOOKUP(G288, 'ADP Data'!$C$4:$R$498, 12, FALSE)</f>
        <v>#N/A</v>
      </c>
      <c r="J288" s="11" t="e">
        <f>VLOOKUP($G288, SeanRanks!$A$2:$H$303, 5, FALSE)</f>
        <v>#N/A</v>
      </c>
      <c r="K288" s="11" t="e">
        <f>IF(VLOOKUP($G288, SeanRanks!$A$2:$H$303, 6, FALSE)=0, "", VLOOKUP($G288, SeanRanks!$A$2:$H$303, 6, FALSE))</f>
        <v>#N/A</v>
      </c>
      <c r="L288" s="11">
        <f t="shared" si="11"/>
        <v>16</v>
      </c>
      <c r="M288" s="11" t="e">
        <f>VLOOKUP($G288, 'ADP Data'!$C$4:$Q$300, 9, FALSE)</f>
        <v>#N/A</v>
      </c>
      <c r="N288" s="11" t="e">
        <f t="shared" si="12"/>
        <v>#N/A</v>
      </c>
      <c r="O288" s="11" t="e">
        <f>VLOOKUP($G288, 'ADP Data'!$C$4:$Q$300, 3, FALSE)</f>
        <v>#N/A</v>
      </c>
      <c r="P288" s="11" t="e">
        <f t="shared" si="13"/>
        <v>#N/A</v>
      </c>
      <c r="Q288" s="11" t="e">
        <f>VLOOKUP($G288, 'ADP Data'!$C$4:$Q$300, 4, FALSE)</f>
        <v>#N/A</v>
      </c>
      <c r="R288" s="11" t="e">
        <f>VLOOKUP($G288, 'ADP Data'!$C$4:$Q$300, 5, FALSE)</f>
        <v>#N/A</v>
      </c>
      <c r="S288" s="11" t="e">
        <f>VLOOKUP($G288, 'ADP Data'!$C$4:$Q$300, 6, FALSE)</f>
        <v>#N/A</v>
      </c>
      <c r="T288" s="11" t="e">
        <f>VLOOKUP($G288, 'ADP Data'!$C$4:$Q$300, 7, FALSE)</f>
        <v>#N/A</v>
      </c>
      <c r="U288" s="11" t="e">
        <f>VLOOKUP($G288, 'ADP Data'!$C$4:$Q$300, 8, FALSE)</f>
        <v>#N/A</v>
      </c>
      <c r="V288" s="11" t="e">
        <f t="shared" si="14"/>
        <v>#N/A</v>
      </c>
      <c r="W288" s="11">
        <f t="shared" si="15"/>
        <v>16</v>
      </c>
      <c r="X288" s="11">
        <f t="shared" si="16"/>
        <v>-16</v>
      </c>
      <c r="Y288" s="11" t="e">
        <f>VLOOKUP($G288, SeanRanks!$A$2:$K$303, 10, FALSE)-V288</f>
        <v>#N/A</v>
      </c>
      <c r="Z288" s="25" t="e">
        <f>IF(VLOOKUP($G288, SeanRanks!$A$2:$H$303, 7, FALSE)=0, "", VLOOKUP($G288, SeanRanks!$A$2:$H$303, 7, FALSE))</f>
        <v>#N/A</v>
      </c>
    </row>
    <row r="289" spans="1:26" ht="14.25" hidden="1" customHeight="1" x14ac:dyDescent="0.25">
      <c r="A289" s="11"/>
      <c r="B289" s="11" t="e">
        <f t="shared" si="17"/>
        <v>#N/A</v>
      </c>
      <c r="C289" s="11" t="s">
        <v>148</v>
      </c>
      <c r="D289" s="11"/>
      <c r="E289" s="11"/>
      <c r="F289" s="11" t="e">
        <f>VLOOKUP(G289, SeanRanks!$A$2:$E$302, 4, FALSE)</f>
        <v>#N/A</v>
      </c>
      <c r="G289" s="11" t="s">
        <v>983</v>
      </c>
      <c r="H289" s="11" t="e">
        <f>VLOOKUP($G289, 'ADP Data'!$C$4:$Q$300, 2, FALSE)</f>
        <v>#N/A</v>
      </c>
      <c r="I289" s="11" t="e">
        <f>VLOOKUP(G289, 'ADP Data'!$C$4:$R$498, 12, FALSE)</f>
        <v>#N/A</v>
      </c>
      <c r="J289" s="11" t="e">
        <f>VLOOKUP($G289, SeanRanks!$A$2:$H$303, 5, FALSE)</f>
        <v>#N/A</v>
      </c>
      <c r="K289" s="11" t="e">
        <f>IF(VLOOKUP($G289, SeanRanks!$A$2:$H$303, 6, FALSE)=0, "", VLOOKUP($G289, SeanRanks!$A$2:$H$303, 6, FALSE))</f>
        <v>#N/A</v>
      </c>
      <c r="L289" s="11">
        <f t="shared" si="11"/>
        <v>16</v>
      </c>
      <c r="M289" s="11" t="e">
        <f>VLOOKUP($G289, 'ADP Data'!$C$4:$Q$300, 9, FALSE)</f>
        <v>#N/A</v>
      </c>
      <c r="N289" s="11" t="e">
        <f t="shared" si="12"/>
        <v>#N/A</v>
      </c>
      <c r="O289" s="11" t="e">
        <f>VLOOKUP($G289, 'ADP Data'!$C$4:$Q$300, 3, FALSE)</f>
        <v>#N/A</v>
      </c>
      <c r="P289" s="11" t="e">
        <f t="shared" si="13"/>
        <v>#N/A</v>
      </c>
      <c r="Q289" s="11" t="e">
        <f>VLOOKUP($G289, 'ADP Data'!$C$4:$Q$300, 4, FALSE)</f>
        <v>#N/A</v>
      </c>
      <c r="R289" s="11" t="e">
        <f>VLOOKUP($G289, 'ADP Data'!$C$4:$Q$300, 5, FALSE)</f>
        <v>#N/A</v>
      </c>
      <c r="S289" s="11" t="e">
        <f>VLOOKUP($G289, 'ADP Data'!$C$4:$Q$300, 6, FALSE)</f>
        <v>#N/A</v>
      </c>
      <c r="T289" s="11" t="e">
        <f>VLOOKUP($G289, 'ADP Data'!$C$4:$Q$300, 7, FALSE)</f>
        <v>#N/A</v>
      </c>
      <c r="U289" s="11" t="e">
        <f>VLOOKUP($G289, 'ADP Data'!$C$4:$Q$300, 8, FALSE)</f>
        <v>#N/A</v>
      </c>
      <c r="V289" s="11" t="e">
        <f t="shared" si="14"/>
        <v>#N/A</v>
      </c>
      <c r="W289" s="11">
        <f t="shared" si="15"/>
        <v>16</v>
      </c>
      <c r="X289" s="11">
        <f t="shared" si="16"/>
        <v>-16</v>
      </c>
      <c r="Y289" s="11" t="e">
        <f>VLOOKUP($G289, SeanRanks!$A$2:$K$303, 10, FALSE)-V289</f>
        <v>#N/A</v>
      </c>
      <c r="Z289" s="25" t="e">
        <f>IF(VLOOKUP($G289, SeanRanks!$A$2:$H$303, 7, FALSE)=0, "", VLOOKUP($G289, SeanRanks!$A$2:$H$303, 7, FALSE))</f>
        <v>#N/A</v>
      </c>
    </row>
    <row r="290" spans="1:26" ht="14.25" hidden="1" customHeight="1" x14ac:dyDescent="0.25">
      <c r="A290" s="11"/>
      <c r="B290" s="11">
        <f t="shared" si="17"/>
        <v>12</v>
      </c>
      <c r="C290" s="11" t="s">
        <v>148</v>
      </c>
      <c r="D290" s="11"/>
      <c r="E290" s="11"/>
      <c r="F290" s="11">
        <f>VLOOKUP(G290, SeanRanks!$A$2:$E$302, 4, FALSE)</f>
        <v>0</v>
      </c>
      <c r="G290" s="11" t="s">
        <v>568</v>
      </c>
      <c r="H290" s="11" t="str">
        <f>VLOOKUP($G290, 'ADP Data'!$C$4:$Q$300, 2, FALSE)</f>
        <v>LAC</v>
      </c>
      <c r="I290" s="11" t="str">
        <f>VLOOKUP(G290, 'ADP Data'!$C$4:$R$498, 12, FALSE)</f>
        <v>-</v>
      </c>
      <c r="J290" s="11">
        <f>VLOOKUP($G290, SeanRanks!$A$2:$H$303, 5, FALSE)</f>
        <v>0</v>
      </c>
      <c r="K290" s="11" t="str">
        <f>IF(VLOOKUP($G290, SeanRanks!$A$2:$H$303, 6, FALSE)=0, "", VLOOKUP($G290, SeanRanks!$A$2:$H$303, 6, FALSE))</f>
        <v/>
      </c>
      <c r="L290" s="11">
        <f t="shared" si="11"/>
        <v>17</v>
      </c>
      <c r="M290" s="11">
        <f>VLOOKUP($G290, 'ADP Data'!$C$4:$Q$300, 9, FALSE)</f>
        <v>132</v>
      </c>
      <c r="N290" s="11">
        <f t="shared" si="12"/>
        <v>-12</v>
      </c>
      <c r="O290" s="11">
        <f>VLOOKUP($G290, 'ADP Data'!$C$4:$Q$300, 3, FALSE)</f>
        <v>157</v>
      </c>
      <c r="P290" s="11">
        <f t="shared" si="13"/>
        <v>-25</v>
      </c>
      <c r="Q290" s="11"/>
      <c r="R290" s="11"/>
      <c r="S290" s="11"/>
      <c r="T290" s="11"/>
      <c r="U290" s="11"/>
      <c r="V290" s="11">
        <f t="shared" si="14"/>
        <v>144</v>
      </c>
      <c r="W290" s="11">
        <f t="shared" si="15"/>
        <v>19</v>
      </c>
      <c r="X290" s="11">
        <f t="shared" si="16"/>
        <v>-19</v>
      </c>
      <c r="Y290" s="11">
        <f>VLOOKUP($G290, SeanRanks!$A$2:$K$303, 10, FALSE)-V290</f>
        <v>49</v>
      </c>
      <c r="Z290" s="25" t="str">
        <f>IF(VLOOKUP($G290, SeanRanks!$A$2:$H$303, 7, FALSE)=0, "", VLOOKUP($G290, SeanRanks!$A$2:$H$303, 7, FALSE))</f>
        <v/>
      </c>
    </row>
    <row r="291" spans="1:26" ht="14.25" hidden="1" customHeight="1" x14ac:dyDescent="0.25">
      <c r="A291" s="11"/>
      <c r="B291" s="11" t="e">
        <f t="shared" si="17"/>
        <v>#N/A</v>
      </c>
      <c r="C291" s="11" t="s">
        <v>148</v>
      </c>
      <c r="D291" s="11"/>
      <c r="E291" s="11"/>
      <c r="F291" s="11" t="e">
        <f>VLOOKUP(G291, SeanRanks!$A$2:$E$302, 4, FALSE)</f>
        <v>#N/A</v>
      </c>
      <c r="G291" s="11" t="s">
        <v>984</v>
      </c>
      <c r="H291" s="11" t="e">
        <f>VLOOKUP($G291, 'ADP Data'!$C$4:$Q$300, 2, FALSE)</f>
        <v>#N/A</v>
      </c>
      <c r="I291" s="11" t="e">
        <f>VLOOKUP(G291, 'ADP Data'!$C$4:$R$498, 12, FALSE)</f>
        <v>#N/A</v>
      </c>
      <c r="J291" s="11" t="e">
        <f>VLOOKUP($G291, SeanRanks!$A$2:$H$303, 5, FALSE)</f>
        <v>#N/A</v>
      </c>
      <c r="K291" s="11" t="e">
        <f>IF(VLOOKUP($G291, SeanRanks!$A$2:$H$303, 6, FALSE)=0, "", VLOOKUP($G291, SeanRanks!$A$2:$H$303, 6, FALSE))</f>
        <v>#N/A</v>
      </c>
      <c r="L291" s="11">
        <f t="shared" si="11"/>
        <v>16</v>
      </c>
      <c r="M291" s="11" t="e">
        <f>VLOOKUP($G291, 'ADP Data'!$C$4:$Q$300, 9, FALSE)</f>
        <v>#N/A</v>
      </c>
      <c r="N291" s="11" t="e">
        <f t="shared" si="12"/>
        <v>#N/A</v>
      </c>
      <c r="O291" s="11" t="e">
        <f>VLOOKUP($G291, 'ADP Data'!$C$4:$Q$300, 3, FALSE)</f>
        <v>#N/A</v>
      </c>
      <c r="P291" s="11" t="e">
        <f t="shared" si="13"/>
        <v>#N/A</v>
      </c>
      <c r="Q291" s="11"/>
      <c r="R291" s="11"/>
      <c r="S291" s="11"/>
      <c r="T291" s="11"/>
      <c r="U291" s="11"/>
      <c r="V291" s="11" t="e">
        <f t="shared" si="14"/>
        <v>#N/A</v>
      </c>
      <c r="W291" s="11">
        <f t="shared" si="15"/>
        <v>16</v>
      </c>
      <c r="X291" s="11">
        <f t="shared" si="16"/>
        <v>-16</v>
      </c>
      <c r="Y291" s="11" t="e">
        <f>VLOOKUP($G291, SeanRanks!$A$2:$K$303, 10, FALSE)-V291</f>
        <v>#N/A</v>
      </c>
      <c r="Z291" s="25" t="e">
        <f>IF(VLOOKUP($G291, SeanRanks!$A$2:$H$303, 7, FALSE)=0, "", VLOOKUP($G291, SeanRanks!$A$2:$H$303, 7, FALSE))</f>
        <v>#N/A</v>
      </c>
    </row>
    <row r="292" spans="1:26" ht="14.25" hidden="1" customHeight="1" x14ac:dyDescent="0.25">
      <c r="A292" s="11"/>
      <c r="B292" s="11">
        <f t="shared" si="17"/>
        <v>22</v>
      </c>
      <c r="C292" s="11" t="s">
        <v>148</v>
      </c>
      <c r="D292" s="11"/>
      <c r="E292" s="11"/>
      <c r="F292" s="11" t="e">
        <f>VLOOKUP(G292, SeanRanks!$A$2:$E$302, 4, FALSE)</f>
        <v>#N/A</v>
      </c>
      <c r="G292" s="11" t="s">
        <v>985</v>
      </c>
      <c r="H292" s="11" t="str">
        <f>VLOOKUP($G292, 'ADP Data'!$C$4:$Q$300, 2, FALSE)</f>
        <v>WAS</v>
      </c>
      <c r="I292" s="11" t="str">
        <f>VLOOKUP(G292, 'ADP Data'!$C$4:$R$498, 12, FALSE)</f>
        <v>-</v>
      </c>
      <c r="J292" s="11" t="e">
        <f>VLOOKUP($G292, SeanRanks!$A$2:$H$303, 5, FALSE)</f>
        <v>#N/A</v>
      </c>
      <c r="K292" s="11" t="e">
        <f>IF(VLOOKUP($G292, SeanRanks!$A$2:$H$303, 6, FALSE)=0, "", VLOOKUP($G292, SeanRanks!$A$2:$H$303, 6, FALSE))</f>
        <v>#N/A</v>
      </c>
      <c r="L292" s="11">
        <f t="shared" si="11"/>
        <v>33</v>
      </c>
      <c r="M292" s="11">
        <f>VLOOKUP($G292, 'ADP Data'!$C$4:$Q$300, 9, FALSE)</f>
        <v>257</v>
      </c>
      <c r="N292" s="11">
        <f t="shared" si="12"/>
        <v>52</v>
      </c>
      <c r="O292" s="11">
        <f>VLOOKUP($G292, 'ADP Data'!$C$4:$Q$300, 3, FALSE)</f>
        <v>153</v>
      </c>
      <c r="P292" s="11">
        <f t="shared" si="13"/>
        <v>104</v>
      </c>
      <c r="Q292" s="11"/>
      <c r="R292" s="11"/>
      <c r="S292" s="11"/>
      <c r="T292" s="11"/>
      <c r="U292" s="11"/>
      <c r="V292" s="11">
        <f t="shared" si="14"/>
        <v>205</v>
      </c>
      <c r="W292" s="11">
        <f t="shared" si="15"/>
        <v>26</v>
      </c>
      <c r="X292" s="11">
        <f t="shared" si="16"/>
        <v>-26</v>
      </c>
      <c r="Y292" s="11" t="e">
        <f>VLOOKUP($G292, SeanRanks!$A$2:$K$303, 10, FALSE)-V292</f>
        <v>#N/A</v>
      </c>
      <c r="Z292" s="25" t="e">
        <f>IF(VLOOKUP($G292, SeanRanks!$A$2:$H$303, 7, FALSE)=0, "", VLOOKUP($G292, SeanRanks!$A$2:$H$303, 7, FALSE))</f>
        <v>#N/A</v>
      </c>
    </row>
    <row r="293" spans="1:26" ht="14.25" hidden="1" customHeight="1" x14ac:dyDescent="0.25">
      <c r="A293" s="11"/>
      <c r="B293" s="11" t="e">
        <f t="shared" si="17"/>
        <v>#N/A</v>
      </c>
      <c r="C293" s="11" t="s">
        <v>148</v>
      </c>
      <c r="D293" s="11"/>
      <c r="E293" s="11"/>
      <c r="F293" s="11" t="e">
        <f>VLOOKUP(G293, SeanRanks!$A$2:$E$302, 4, FALSE)</f>
        <v>#N/A</v>
      </c>
      <c r="G293" s="11" t="s">
        <v>564</v>
      </c>
      <c r="H293" s="11" t="e">
        <f>VLOOKUP($G293, 'ADP Data'!$C$4:$Q$300, 2, FALSE)</f>
        <v>#N/A</v>
      </c>
      <c r="I293" s="11" t="e">
        <f>VLOOKUP(G293, 'ADP Data'!$C$4:$R$498, 12, FALSE)</f>
        <v>#N/A</v>
      </c>
      <c r="J293" s="11" t="e">
        <f>VLOOKUP($G293, SeanRanks!$A$2:$H$303, 5, FALSE)</f>
        <v>#N/A</v>
      </c>
      <c r="K293" s="11" t="e">
        <f>IF(VLOOKUP($G293, SeanRanks!$A$2:$H$303, 6, FALSE)=0, "", VLOOKUP($G293, SeanRanks!$A$2:$H$303, 6, FALSE))</f>
        <v>#N/A</v>
      </c>
      <c r="L293" s="11">
        <f t="shared" si="11"/>
        <v>16</v>
      </c>
      <c r="M293" s="11" t="e">
        <f>VLOOKUP($G293, 'ADP Data'!$C$4:$Q$300, 9, FALSE)</f>
        <v>#N/A</v>
      </c>
      <c r="N293" s="11" t="e">
        <f t="shared" si="12"/>
        <v>#N/A</v>
      </c>
      <c r="O293" s="11" t="e">
        <f>VLOOKUP($G293, 'ADP Data'!$C$4:$Q$300, 3, FALSE)</f>
        <v>#N/A</v>
      </c>
      <c r="P293" s="11" t="e">
        <f t="shared" si="13"/>
        <v>#N/A</v>
      </c>
      <c r="Q293" s="11"/>
      <c r="R293" s="11"/>
      <c r="S293" s="11"/>
      <c r="T293" s="11"/>
      <c r="U293" s="11"/>
      <c r="V293" s="11" t="e">
        <f t="shared" si="14"/>
        <v>#N/A</v>
      </c>
      <c r="W293" s="11">
        <f t="shared" si="15"/>
        <v>16</v>
      </c>
      <c r="X293" s="11">
        <f t="shared" si="16"/>
        <v>-16</v>
      </c>
      <c r="Y293" s="11" t="e">
        <f>VLOOKUP($G293, SeanRanks!$A$2:$K$303, 10, FALSE)-V293</f>
        <v>#N/A</v>
      </c>
      <c r="Z293" s="25" t="e">
        <f>IF(VLOOKUP($G293, SeanRanks!$A$2:$H$303, 7, FALSE)=0, "", VLOOKUP($G293, SeanRanks!$A$2:$H$303, 7, FALSE))</f>
        <v>#N/A</v>
      </c>
    </row>
    <row r="294" spans="1:26" ht="14.25" hidden="1" customHeight="1" x14ac:dyDescent="0.25">
      <c r="A294" s="11"/>
      <c r="B294" s="11" t="e">
        <f t="shared" si="17"/>
        <v>#N/A</v>
      </c>
      <c r="C294" s="11" t="s">
        <v>148</v>
      </c>
      <c r="D294" s="11"/>
      <c r="E294" s="11"/>
      <c r="F294" s="11" t="e">
        <f>VLOOKUP(G294, SeanRanks!$A$2:$E$302, 4, FALSE)</f>
        <v>#N/A</v>
      </c>
      <c r="G294" s="11" t="s">
        <v>986</v>
      </c>
      <c r="H294" s="11" t="e">
        <f>VLOOKUP($G294, 'ADP Data'!$C$4:$Q$300, 2, FALSE)</f>
        <v>#N/A</v>
      </c>
      <c r="I294" s="11" t="e">
        <f>VLOOKUP(G294, 'ADP Data'!$C$4:$R$498, 12, FALSE)</f>
        <v>#N/A</v>
      </c>
      <c r="J294" s="11" t="e">
        <f>VLOOKUP($G294, SeanRanks!$A$2:$H$303, 5, FALSE)</f>
        <v>#N/A</v>
      </c>
      <c r="K294" s="11" t="e">
        <f>IF(VLOOKUP($G294, SeanRanks!$A$2:$H$303, 6, FALSE)=0, "", VLOOKUP($G294, SeanRanks!$A$2:$H$303, 6, FALSE))</f>
        <v>#N/A</v>
      </c>
      <c r="L294" s="11">
        <f t="shared" si="11"/>
        <v>16</v>
      </c>
      <c r="M294" s="11" t="e">
        <f>VLOOKUP($G294, 'ADP Data'!$C$4:$Q$300, 9, FALSE)</f>
        <v>#N/A</v>
      </c>
      <c r="N294" s="11" t="e">
        <f t="shared" si="12"/>
        <v>#N/A</v>
      </c>
      <c r="O294" s="11" t="e">
        <f>VLOOKUP($G294, 'ADP Data'!$C$4:$Q$300, 3, FALSE)</f>
        <v>#N/A</v>
      </c>
      <c r="P294" s="11" t="e">
        <f t="shared" si="13"/>
        <v>#N/A</v>
      </c>
      <c r="Q294" s="11"/>
      <c r="R294" s="11"/>
      <c r="S294" s="11"/>
      <c r="T294" s="11"/>
      <c r="U294" s="11"/>
      <c r="V294" s="11" t="e">
        <f t="shared" si="14"/>
        <v>#N/A</v>
      </c>
      <c r="W294" s="11">
        <f t="shared" si="15"/>
        <v>16</v>
      </c>
      <c r="X294" s="11">
        <f t="shared" si="16"/>
        <v>-16</v>
      </c>
      <c r="Y294" s="11" t="e">
        <f>VLOOKUP($G294, SeanRanks!$A$2:$K$303, 10, FALSE)-V294</f>
        <v>#N/A</v>
      </c>
      <c r="Z294" s="25" t="e">
        <f>IF(VLOOKUP($G294, SeanRanks!$A$2:$H$303, 7, FALSE)=0, "", VLOOKUP($G294, SeanRanks!$A$2:$H$303, 7, FALSE))</f>
        <v>#N/A</v>
      </c>
    </row>
    <row r="295" spans="1:26" ht="14.25" hidden="1" customHeight="1" x14ac:dyDescent="0.25">
      <c r="A295" s="11"/>
      <c r="B295" s="11" t="e">
        <f t="shared" si="17"/>
        <v>#N/A</v>
      </c>
      <c r="C295" s="11" t="s">
        <v>148</v>
      </c>
      <c r="D295" s="11"/>
      <c r="E295" s="11"/>
      <c r="F295" s="11" t="e">
        <f>VLOOKUP(G295, SeanRanks!$A$2:$E$302, 4, FALSE)</f>
        <v>#N/A</v>
      </c>
      <c r="G295" s="11" t="s">
        <v>987</v>
      </c>
      <c r="H295" s="11" t="e">
        <f>VLOOKUP($G295, 'ADP Data'!$C$4:$Q$300, 2, FALSE)</f>
        <v>#N/A</v>
      </c>
      <c r="I295" s="11" t="e">
        <f>VLOOKUP(G295, 'ADP Data'!$C$4:$R$498, 12, FALSE)</f>
        <v>#N/A</v>
      </c>
      <c r="J295" s="11" t="e">
        <f>VLOOKUP($G295, SeanRanks!$A$2:$H$303, 5, FALSE)</f>
        <v>#N/A</v>
      </c>
      <c r="K295" s="11" t="e">
        <f>IF(VLOOKUP($G295, SeanRanks!$A$2:$H$303, 6, FALSE)=0, "", VLOOKUP($G295, SeanRanks!$A$2:$H$303, 6, FALSE))</f>
        <v>#N/A</v>
      </c>
      <c r="L295" s="11">
        <f t="shared" si="11"/>
        <v>16</v>
      </c>
      <c r="M295" s="11" t="e">
        <f>VLOOKUP($G295, 'ADP Data'!$C$4:$Q$300, 9, FALSE)</f>
        <v>#N/A</v>
      </c>
      <c r="N295" s="11" t="e">
        <f t="shared" si="12"/>
        <v>#N/A</v>
      </c>
      <c r="O295" s="11" t="e">
        <f>VLOOKUP($G295, 'ADP Data'!$C$4:$Q$300, 3, FALSE)</f>
        <v>#N/A</v>
      </c>
      <c r="P295" s="11" t="e">
        <f t="shared" si="13"/>
        <v>#N/A</v>
      </c>
      <c r="Q295" s="11" t="e">
        <f>VLOOKUP($G295, 'ADP Data'!$C$4:$Q$300, 4, FALSE)</f>
        <v>#N/A</v>
      </c>
      <c r="R295" s="11" t="e">
        <f>VLOOKUP($G295, 'ADP Data'!$C$4:$Q$300, 5, FALSE)</f>
        <v>#N/A</v>
      </c>
      <c r="S295" s="11" t="e">
        <f>VLOOKUP($G295, 'ADP Data'!$C$4:$Q$300, 6, FALSE)</f>
        <v>#N/A</v>
      </c>
      <c r="T295" s="11" t="e">
        <f>VLOOKUP($G295, 'ADP Data'!$C$4:$Q$300, 7, FALSE)</f>
        <v>#N/A</v>
      </c>
      <c r="U295" s="11" t="e">
        <f>VLOOKUP($G295, 'ADP Data'!$C$4:$Q$300, 8, FALSE)</f>
        <v>#N/A</v>
      </c>
      <c r="V295" s="11" t="e">
        <f t="shared" si="14"/>
        <v>#N/A</v>
      </c>
      <c r="W295" s="11">
        <f t="shared" si="15"/>
        <v>16</v>
      </c>
      <c r="X295" s="11">
        <f t="shared" si="16"/>
        <v>-16</v>
      </c>
      <c r="Y295" s="11" t="e">
        <f>VLOOKUP($G295, SeanRanks!$A$2:$K$303, 10, FALSE)-V295</f>
        <v>#N/A</v>
      </c>
      <c r="Z295" s="25" t="e">
        <f>IF(VLOOKUP($G295, SeanRanks!$A$2:$H$303, 7, FALSE)=0, "", VLOOKUP($G295, SeanRanks!$A$2:$H$303, 7, FALSE))</f>
        <v>#N/A</v>
      </c>
    </row>
    <row r="296" spans="1:26" ht="14.25" hidden="1" customHeight="1" x14ac:dyDescent="0.25">
      <c r="A296" s="11"/>
      <c r="B296" s="11"/>
      <c r="C296" s="11" t="s">
        <v>148</v>
      </c>
      <c r="D296" s="11"/>
      <c r="E296" s="11"/>
      <c r="F296" s="11" t="e">
        <f>VLOOKUP(G296, SeanRanks!$A$2:$E$302, 4, FALSE)</f>
        <v>#N/A</v>
      </c>
      <c r="G296" s="11" t="s">
        <v>988</v>
      </c>
      <c r="H296" s="11" t="e">
        <f>VLOOKUP($G296, 'ADP Data'!$C$4:$Q$300, 2, FALSE)</f>
        <v>#N/A</v>
      </c>
      <c r="I296" s="11" t="e">
        <f>VLOOKUP(G296, 'ADP Data'!$C$4:$R$498, 12, FALSE)</f>
        <v>#N/A</v>
      </c>
      <c r="J296" s="11" t="e">
        <f>VLOOKUP($G296, SeanRanks!$A$2:$H$303, 5, FALSE)</f>
        <v>#N/A</v>
      </c>
      <c r="K296" s="11" t="e">
        <f>IF(VLOOKUP($G296, SeanRanks!$A$2:$H$303, 6, FALSE)=0, "", VLOOKUP($G296, SeanRanks!$A$2:$H$303, 6, FALSE))</f>
        <v>#N/A</v>
      </c>
      <c r="L296" s="11">
        <f t="shared" si="11"/>
        <v>16</v>
      </c>
      <c r="M296" s="11" t="e">
        <f>VLOOKUP($G296, 'ADP Data'!$C$4:$Q$300, 9, FALSE)</f>
        <v>#N/A</v>
      </c>
      <c r="N296" s="11" t="e">
        <f t="shared" si="12"/>
        <v>#N/A</v>
      </c>
      <c r="O296" s="11" t="e">
        <f>VLOOKUP($G296, 'ADP Data'!$C$4:$Q$300, 3, FALSE)</f>
        <v>#N/A</v>
      </c>
      <c r="P296" s="11" t="e">
        <f t="shared" si="13"/>
        <v>#N/A</v>
      </c>
      <c r="Q296" s="11" t="e">
        <f>VLOOKUP($G296, 'ADP Data'!$C$4:$Q$300, 4, FALSE)</f>
        <v>#N/A</v>
      </c>
      <c r="R296" s="11" t="e">
        <f>VLOOKUP($G296, 'ADP Data'!$C$4:$Q$300, 5, FALSE)</f>
        <v>#N/A</v>
      </c>
      <c r="S296" s="11" t="e">
        <f>VLOOKUP($G296, 'ADP Data'!$C$4:$Q$300, 6, FALSE)</f>
        <v>#N/A</v>
      </c>
      <c r="T296" s="11" t="e">
        <f>VLOOKUP($G296, 'ADP Data'!$C$4:$Q$300, 7, FALSE)</f>
        <v>#N/A</v>
      </c>
      <c r="U296" s="11" t="e">
        <f>VLOOKUP($G296, 'ADP Data'!$C$4:$Q$300, 8, FALSE)</f>
        <v>#N/A</v>
      </c>
      <c r="V296" s="11" t="e">
        <f t="shared" si="14"/>
        <v>#N/A</v>
      </c>
      <c r="W296" s="11">
        <f t="shared" si="15"/>
        <v>16</v>
      </c>
      <c r="X296" s="11">
        <f t="shared" si="16"/>
        <v>-16</v>
      </c>
      <c r="Y296" s="11" t="e">
        <f>VLOOKUP($G296, SeanRanks!$A$2:$K$303, 10, FALSE)-V296</f>
        <v>#N/A</v>
      </c>
      <c r="Z296" s="25" t="e">
        <f>IF(VLOOKUP($G296, SeanRanks!$A$2:$H$303, 7, FALSE)=0, "", VLOOKUP($G296, SeanRanks!$A$2:$H$303, 7, FALSE))</f>
        <v>#N/A</v>
      </c>
    </row>
    <row r="297" spans="1:26" ht="14.25" hidden="1" customHeight="1" x14ac:dyDescent="0.25">
      <c r="A297" s="11"/>
      <c r="B297" s="11">
        <f>IFERROR(INT(AVERAGE(Q297:U297)/12)+1, INT(AVERAGE(M297)/12)+1)</f>
        <v>23</v>
      </c>
      <c r="C297" s="11" t="s">
        <v>148</v>
      </c>
      <c r="D297" s="11"/>
      <c r="E297" s="11"/>
      <c r="F297" s="11">
        <f>VLOOKUP(G297, SeanRanks!$A$2:$E$302, 4, FALSE)</f>
        <v>0</v>
      </c>
      <c r="G297" s="11" t="s">
        <v>824</v>
      </c>
      <c r="H297" s="11" t="str">
        <f>VLOOKUP($G297, 'ADP Data'!$C$4:$Q$300, 2, FALSE)</f>
        <v>NYG</v>
      </c>
      <c r="I297" s="11">
        <f>VLOOKUP(G297, 'ADP Data'!$C$4:$R$498, 12, FALSE)</f>
        <v>207</v>
      </c>
      <c r="J297" s="11">
        <f>VLOOKUP($G297, SeanRanks!$A$2:$H$303, 5, FALSE)</f>
        <v>0</v>
      </c>
      <c r="K297" s="11" t="str">
        <f>IF(VLOOKUP($G297, SeanRanks!$A$2:$H$303, 6, FALSE)=0, "", VLOOKUP($G297, SeanRanks!$A$2:$H$303, 6, FALSE))</f>
        <v/>
      </c>
      <c r="L297" s="11">
        <f t="shared" si="11"/>
        <v>34</v>
      </c>
      <c r="M297" s="11">
        <f>VLOOKUP($G297, 'ADP Data'!$C$4:$Q$300, 9, FALSE)</f>
        <v>267</v>
      </c>
      <c r="N297" s="11">
        <f t="shared" si="12"/>
        <v>1</v>
      </c>
      <c r="O297" s="11" t="str">
        <f>VLOOKUP($G297, 'ADP Data'!$C$4:$Q$300, 3, FALSE)</f>
        <v>-</v>
      </c>
      <c r="P297" s="11" t="e">
        <f t="shared" si="13"/>
        <v>#VALUE!</v>
      </c>
      <c r="Q297" s="11" t="str">
        <f>VLOOKUP($G297, 'ADP Data'!$C$4:$Q$300, 4, FALSE)</f>
        <v>-</v>
      </c>
      <c r="R297" s="11">
        <f>VLOOKUP($G297, 'ADP Data'!$C$4:$Q$300, 5, FALSE)</f>
        <v>328</v>
      </c>
      <c r="S297" s="11">
        <f>VLOOKUP($G297, 'ADP Data'!$C$4:$Q$300, 6, FALSE)</f>
        <v>201</v>
      </c>
      <c r="T297" s="11">
        <f>VLOOKUP($G297, 'ADP Data'!$C$4:$Q$300, 7, FALSE)</f>
        <v>243</v>
      </c>
      <c r="U297" s="11">
        <f>VLOOKUP($G297, 'ADP Data'!$C$4:$Q$300, 8, FALSE)</f>
        <v>294</v>
      </c>
      <c r="V297" s="11">
        <f t="shared" si="14"/>
        <v>266</v>
      </c>
      <c r="W297" s="11">
        <f t="shared" si="15"/>
        <v>34</v>
      </c>
      <c r="X297" s="11">
        <f t="shared" si="16"/>
        <v>-34</v>
      </c>
      <c r="Y297" s="11">
        <f>VLOOKUP($G297, SeanRanks!$A$2:$K$303, 10, FALSE)-V297</f>
        <v>-66</v>
      </c>
      <c r="Z297" s="25" t="str">
        <f>IF(VLOOKUP($G297, SeanRanks!$A$2:$H$303, 7, FALSE)=0, "", VLOOKUP($G297, SeanRanks!$A$2:$H$303, 7, FALSE))</f>
        <v/>
      </c>
    </row>
    <row r="298" spans="1:26" ht="14.25" hidden="1" customHeight="1" x14ac:dyDescent="0.25">
      <c r="A298" s="11"/>
      <c r="B298" s="11"/>
      <c r="C298" s="11" t="s">
        <v>148</v>
      </c>
      <c r="D298" s="11"/>
      <c r="E298" s="11"/>
      <c r="F298" s="11" t="e">
        <f>VLOOKUP(G298, SeanRanks!$A$2:$E$302, 4, FALSE)</f>
        <v>#N/A</v>
      </c>
      <c r="G298" s="11" t="s">
        <v>989</v>
      </c>
      <c r="H298" s="11" t="e">
        <f>VLOOKUP($G298, 'ADP Data'!$C$4:$Q$300, 2, FALSE)</f>
        <v>#N/A</v>
      </c>
      <c r="I298" s="11" t="e">
        <f>VLOOKUP(G298, 'ADP Data'!$C$4:$R$498, 12, FALSE)</f>
        <v>#N/A</v>
      </c>
      <c r="J298" s="11" t="e">
        <f>VLOOKUP($G298, SeanRanks!$A$2:$H$303, 5, FALSE)</f>
        <v>#N/A</v>
      </c>
      <c r="K298" s="11" t="e">
        <f>IF(VLOOKUP($G298, SeanRanks!$A$2:$H$303, 6, FALSE)=0, "", VLOOKUP($G298, SeanRanks!$A$2:$H$303, 6, FALSE))</f>
        <v>#N/A</v>
      </c>
      <c r="L298" s="11">
        <f t="shared" si="11"/>
        <v>16</v>
      </c>
      <c r="M298" s="11" t="e">
        <f>VLOOKUP($G298, 'ADP Data'!$C$4:$Q$300, 9, FALSE)</f>
        <v>#N/A</v>
      </c>
      <c r="N298" s="11" t="e">
        <f t="shared" si="12"/>
        <v>#N/A</v>
      </c>
      <c r="O298" s="11" t="e">
        <f>VLOOKUP($G298, 'ADP Data'!$C$4:$Q$300, 3, FALSE)</f>
        <v>#N/A</v>
      </c>
      <c r="P298" s="11" t="e">
        <f t="shared" si="13"/>
        <v>#N/A</v>
      </c>
      <c r="Q298" s="11" t="e">
        <f>VLOOKUP($G298, 'ADP Data'!$C$4:$Q$300, 4, FALSE)</f>
        <v>#N/A</v>
      </c>
      <c r="R298" s="11" t="e">
        <f>VLOOKUP($G298, 'ADP Data'!$C$4:$Q$300, 5, FALSE)</f>
        <v>#N/A</v>
      </c>
      <c r="S298" s="11" t="e">
        <f>VLOOKUP($G298, 'ADP Data'!$C$4:$Q$300, 6, FALSE)</f>
        <v>#N/A</v>
      </c>
      <c r="T298" s="11" t="e">
        <f>VLOOKUP($G298, 'ADP Data'!$C$4:$Q$300, 7, FALSE)</f>
        <v>#N/A</v>
      </c>
      <c r="U298" s="11" t="e">
        <f>VLOOKUP($G298, 'ADP Data'!$C$4:$Q$300, 8, FALSE)</f>
        <v>#N/A</v>
      </c>
      <c r="V298" s="11" t="e">
        <f t="shared" si="14"/>
        <v>#N/A</v>
      </c>
      <c r="W298" s="11">
        <f t="shared" si="15"/>
        <v>16</v>
      </c>
      <c r="X298" s="11">
        <f t="shared" si="16"/>
        <v>-16</v>
      </c>
      <c r="Y298" s="11" t="e">
        <f>VLOOKUP($G298, SeanRanks!$A$2:$K$303, 10, FALSE)-V298</f>
        <v>#N/A</v>
      </c>
      <c r="Z298" s="25" t="e">
        <f>IF(VLOOKUP($G298, SeanRanks!$A$2:$H$303, 7, FALSE)=0, "", VLOOKUP($G298, SeanRanks!$A$2:$H$303, 7, FALSE))</f>
        <v>#N/A</v>
      </c>
    </row>
    <row r="299" spans="1:26" ht="14.25" hidden="1" customHeight="1" x14ac:dyDescent="0.25">
      <c r="A299" s="11"/>
      <c r="B299" s="11">
        <f t="shared" ref="B299:B301" si="18">IFERROR(INT(AVERAGE(Q299:U299)/12)+1, INT(AVERAGE(M299)/12)+1)</f>
        <v>23</v>
      </c>
      <c r="C299" s="11" t="s">
        <v>148</v>
      </c>
      <c r="D299" s="11"/>
      <c r="E299" s="11"/>
      <c r="F299" s="11">
        <f>VLOOKUP(G299, SeanRanks!$A$2:$E$302, 4, FALSE)</f>
        <v>0</v>
      </c>
      <c r="G299" s="11" t="s">
        <v>990</v>
      </c>
      <c r="H299" s="11" t="str">
        <f>VLOOKUP($G299, 'ADP Data'!$C$4:$Q$300, 2, FALSE)</f>
        <v>PIT</v>
      </c>
      <c r="I299" s="11">
        <f>VLOOKUP(G299, 'ADP Data'!$C$4:$R$498, 12, FALSE)</f>
        <v>250</v>
      </c>
      <c r="J299" s="11">
        <f>VLOOKUP($G299, SeanRanks!$A$2:$H$303, 5, FALSE)</f>
        <v>0</v>
      </c>
      <c r="K299" s="11" t="str">
        <f>IF(VLOOKUP($G299, SeanRanks!$A$2:$H$303, 6, FALSE)=0, "", VLOOKUP($G299, SeanRanks!$A$2:$H$303, 6, FALSE))</f>
        <v/>
      </c>
      <c r="L299" s="11">
        <f t="shared" si="11"/>
        <v>35</v>
      </c>
      <c r="M299" s="11">
        <f>VLOOKUP($G299, 'ADP Data'!$C$4:$Q$300, 9, FALSE)</f>
        <v>274</v>
      </c>
      <c r="N299" s="11">
        <f t="shared" si="12"/>
        <v>1</v>
      </c>
      <c r="O299" s="11" t="str">
        <f>VLOOKUP($G299, 'ADP Data'!$C$4:$Q$300, 3, FALSE)</f>
        <v>-</v>
      </c>
      <c r="P299" s="11" t="e">
        <f t="shared" si="13"/>
        <v>#VALUE!</v>
      </c>
      <c r="Q299" s="11" t="str">
        <f>VLOOKUP($G299, 'ADP Data'!$C$4:$Q$300, 4, FALSE)</f>
        <v>-</v>
      </c>
      <c r="R299" s="11">
        <f>VLOOKUP($G299, 'ADP Data'!$C$4:$Q$300, 5, FALSE)</f>
        <v>302</v>
      </c>
      <c r="S299" s="11">
        <f>VLOOKUP($G299, 'ADP Data'!$C$4:$Q$300, 6, FALSE)</f>
        <v>262</v>
      </c>
      <c r="T299" s="11">
        <f>VLOOKUP($G299, 'ADP Data'!$C$4:$Q$300, 7, FALSE)</f>
        <v>250</v>
      </c>
      <c r="U299" s="11">
        <f>VLOOKUP($G299, 'ADP Data'!$C$4:$Q$300, 8, FALSE)</f>
        <v>277</v>
      </c>
      <c r="V299" s="11">
        <f t="shared" si="14"/>
        <v>273</v>
      </c>
      <c r="W299" s="11">
        <f t="shared" si="15"/>
        <v>35</v>
      </c>
      <c r="X299" s="11">
        <f t="shared" si="16"/>
        <v>-35</v>
      </c>
      <c r="Y299" s="11" t="e">
        <f>VLOOKUP($G299, SeanRanks!$A$2:$K$303, 10, FALSE)-V299</f>
        <v>#VALUE!</v>
      </c>
      <c r="Z299" s="25" t="str">
        <f>IF(VLOOKUP($G299, SeanRanks!$A$2:$H$303, 7, FALSE)=0, "", VLOOKUP($G299, SeanRanks!$A$2:$H$303, 7, FALSE))</f>
        <v/>
      </c>
    </row>
    <row r="300" spans="1:26" ht="14.25" hidden="1" customHeight="1" x14ac:dyDescent="0.25">
      <c r="A300" s="11"/>
      <c r="B300" s="11" t="e">
        <f t="shared" si="18"/>
        <v>#N/A</v>
      </c>
      <c r="C300" s="11" t="s">
        <v>148</v>
      </c>
      <c r="D300" s="11"/>
      <c r="E300" s="11"/>
      <c r="F300" s="11" t="e">
        <f>VLOOKUP(G300, SeanRanks!$A$2:$E$302, 4, FALSE)</f>
        <v>#N/A</v>
      </c>
      <c r="G300" s="11" t="s">
        <v>991</v>
      </c>
      <c r="H300" s="11" t="e">
        <f>VLOOKUP($G300, 'ADP Data'!$C$4:$Q$300, 2, FALSE)</f>
        <v>#N/A</v>
      </c>
      <c r="I300" s="11" t="e">
        <f>VLOOKUP(G300, 'ADP Data'!$C$4:$R$498, 12, FALSE)</f>
        <v>#N/A</v>
      </c>
      <c r="J300" s="11" t="e">
        <f>VLOOKUP($G300, SeanRanks!$A$2:$H$303, 5, FALSE)</f>
        <v>#N/A</v>
      </c>
      <c r="K300" s="11" t="e">
        <f>IF(VLOOKUP($G300, SeanRanks!$A$2:$H$303, 6, FALSE)=0, "", VLOOKUP($G300, SeanRanks!$A$2:$H$303, 6, FALSE))</f>
        <v>#N/A</v>
      </c>
      <c r="L300" s="11">
        <f t="shared" si="11"/>
        <v>16</v>
      </c>
      <c r="M300" s="11" t="e">
        <f>VLOOKUP($G300, 'ADP Data'!$C$4:$Q$300, 9, FALSE)</f>
        <v>#N/A</v>
      </c>
      <c r="N300" s="11" t="e">
        <f t="shared" si="12"/>
        <v>#N/A</v>
      </c>
      <c r="O300" s="11" t="e">
        <f>VLOOKUP($G300, 'ADP Data'!$C$4:$Q$300, 3, FALSE)</f>
        <v>#N/A</v>
      </c>
      <c r="P300" s="11" t="e">
        <f t="shared" si="13"/>
        <v>#N/A</v>
      </c>
      <c r="Q300" s="11" t="e">
        <f>VLOOKUP($G300, 'ADP Data'!$C$4:$Q$300, 4, FALSE)</f>
        <v>#N/A</v>
      </c>
      <c r="R300" s="11" t="e">
        <f>VLOOKUP($G300, 'ADP Data'!$C$4:$Q$300, 5, FALSE)</f>
        <v>#N/A</v>
      </c>
      <c r="S300" s="11" t="e">
        <f>VLOOKUP($G300, 'ADP Data'!$C$4:$Q$300, 6, FALSE)</f>
        <v>#N/A</v>
      </c>
      <c r="T300" s="11" t="e">
        <f>VLOOKUP($G300, 'ADP Data'!$C$4:$Q$300, 7, FALSE)</f>
        <v>#N/A</v>
      </c>
      <c r="U300" s="11" t="e">
        <f>VLOOKUP($G300, 'ADP Data'!$C$4:$Q$300, 8, FALSE)</f>
        <v>#N/A</v>
      </c>
      <c r="V300" s="11" t="e">
        <f t="shared" si="14"/>
        <v>#N/A</v>
      </c>
      <c r="W300" s="11">
        <f t="shared" si="15"/>
        <v>16</v>
      </c>
      <c r="X300" s="11">
        <f t="shared" si="16"/>
        <v>-16</v>
      </c>
      <c r="Y300" s="11" t="e">
        <f>VLOOKUP($G300, SeanRanks!$A$2:$K$303, 10, FALSE)-V300</f>
        <v>#N/A</v>
      </c>
      <c r="Z300" s="25" t="e">
        <f>IF(VLOOKUP($G300, SeanRanks!$A$2:$H$303, 7, FALSE)=0, "", VLOOKUP($G300, SeanRanks!$A$2:$H$303, 7, FALSE))</f>
        <v>#N/A</v>
      </c>
    </row>
    <row r="301" spans="1:26" ht="14.25" hidden="1" customHeight="1" x14ac:dyDescent="0.25">
      <c r="A301" s="11"/>
      <c r="B301" s="11">
        <f t="shared" si="18"/>
        <v>20</v>
      </c>
      <c r="C301" s="11" t="s">
        <v>148</v>
      </c>
      <c r="D301" s="11"/>
      <c r="E301" s="11"/>
      <c r="F301" s="11">
        <f>VLOOKUP(G301, SeanRanks!$A$2:$E$302, 4, FALSE)</f>
        <v>0</v>
      </c>
      <c r="G301" s="11" t="s">
        <v>701</v>
      </c>
      <c r="H301" s="11" t="str">
        <f>VLOOKUP($G301, 'ADP Data'!$C$4:$Q$300, 2, FALSE)</f>
        <v>NYG</v>
      </c>
      <c r="I301" s="11" t="str">
        <f>VLOOKUP(G301, 'ADP Data'!$C$4:$R$498, 12, FALSE)</f>
        <v>-</v>
      </c>
      <c r="J301" s="11">
        <f>VLOOKUP($G301, SeanRanks!$A$2:$H$303, 5, FALSE)</f>
        <v>0</v>
      </c>
      <c r="K301" s="11" t="str">
        <f>IF(VLOOKUP($G301, SeanRanks!$A$2:$H$303, 6, FALSE)=0, "", VLOOKUP($G301, SeanRanks!$A$2:$H$303, 6, FALSE))</f>
        <v/>
      </c>
      <c r="L301" s="11">
        <f t="shared" si="11"/>
        <v>30</v>
      </c>
      <c r="M301" s="11">
        <f>VLOOKUP($G301, 'ADP Data'!$C$4:$Q$300, 9, FALSE)</f>
        <v>239</v>
      </c>
      <c r="N301" s="11">
        <f t="shared" si="12"/>
        <v>19</v>
      </c>
      <c r="O301" s="11">
        <f>VLOOKUP($G301, 'ADP Data'!$C$4:$Q$300, 3, FALSE)</f>
        <v>169</v>
      </c>
      <c r="P301" s="11">
        <f t="shared" si="13"/>
        <v>70</v>
      </c>
      <c r="Q301" s="11">
        <f>VLOOKUP($G301, 'ADP Data'!$C$4:$Q$300, 4, FALSE)</f>
        <v>199</v>
      </c>
      <c r="R301" s="11" t="str">
        <f>VLOOKUP($G301, 'ADP Data'!$C$4:$Q$300, 5, FALSE)</f>
        <v>-</v>
      </c>
      <c r="S301" s="11">
        <f>VLOOKUP($G301, 'ADP Data'!$C$4:$Q$300, 6, FALSE)</f>
        <v>281</v>
      </c>
      <c r="T301" s="11">
        <f>VLOOKUP($G301, 'ADP Data'!$C$4:$Q$300, 7, FALSE)</f>
        <v>249</v>
      </c>
      <c r="U301" s="11">
        <f>VLOOKUP($G301, 'ADP Data'!$C$4:$Q$300, 8, FALSE)</f>
        <v>187</v>
      </c>
      <c r="V301" s="11">
        <f t="shared" si="14"/>
        <v>220</v>
      </c>
      <c r="W301" s="11">
        <f t="shared" si="15"/>
        <v>28</v>
      </c>
      <c r="X301" s="11">
        <f t="shared" si="16"/>
        <v>-28</v>
      </c>
      <c r="Y301" s="11" t="e">
        <f>VLOOKUP($G301, SeanRanks!$A$2:$K$303, 10, FALSE)-V301</f>
        <v>#VALUE!</v>
      </c>
      <c r="Z301" s="25" t="str">
        <f>IF(VLOOKUP($G301, SeanRanks!$A$2:$H$303, 7, FALSE)=0, "", VLOOKUP($G301, SeanRanks!$A$2:$H$303, 7, FALSE))</f>
        <v/>
      </c>
    </row>
    <row r="302" spans="1:26" ht="14.25" hidden="1" customHeight="1" x14ac:dyDescent="0.25">
      <c r="A302" s="11"/>
      <c r="B302" s="11"/>
      <c r="C302" s="11" t="s">
        <v>148</v>
      </c>
      <c r="D302" s="11"/>
      <c r="E302" s="11"/>
      <c r="F302" s="11" t="e">
        <f>VLOOKUP(G302, SeanRanks!$A$2:$E$302, 4, FALSE)</f>
        <v>#N/A</v>
      </c>
      <c r="G302" s="11" t="s">
        <v>992</v>
      </c>
      <c r="H302" s="11" t="e">
        <f>VLOOKUP($G302, 'ADP Data'!$C$4:$Q$300, 2, FALSE)</f>
        <v>#N/A</v>
      </c>
      <c r="I302" s="11" t="e">
        <f>VLOOKUP(G302, 'ADP Data'!$C$4:$R$498, 12, FALSE)</f>
        <v>#N/A</v>
      </c>
      <c r="J302" s="11" t="e">
        <f>VLOOKUP($G302, SeanRanks!$A$2:$H$303, 5, FALSE)</f>
        <v>#N/A</v>
      </c>
      <c r="K302" s="11" t="e">
        <f>IF(VLOOKUP($G302, SeanRanks!$A$2:$H$303, 6, FALSE)=0, "", VLOOKUP($G302, SeanRanks!$A$2:$H$303, 6, FALSE))</f>
        <v>#N/A</v>
      </c>
      <c r="L302" s="11">
        <f t="shared" si="11"/>
        <v>16</v>
      </c>
      <c r="M302" s="11" t="e">
        <f>VLOOKUP($G302, 'ADP Data'!$C$4:$Q$300, 9, FALSE)</f>
        <v>#N/A</v>
      </c>
      <c r="N302" s="11" t="e">
        <f t="shared" si="12"/>
        <v>#N/A</v>
      </c>
      <c r="O302" s="11" t="e">
        <f>VLOOKUP($G302, 'ADP Data'!$C$4:$Q$300, 3, FALSE)</f>
        <v>#N/A</v>
      </c>
      <c r="P302" s="11" t="e">
        <f t="shared" si="13"/>
        <v>#N/A</v>
      </c>
      <c r="Q302" s="11" t="e">
        <f>VLOOKUP($G302, 'ADP Data'!$C$4:$Q$300, 4, FALSE)</f>
        <v>#N/A</v>
      </c>
      <c r="R302" s="11" t="e">
        <f>VLOOKUP($G302, 'ADP Data'!$C$4:$Q$300, 5, FALSE)</f>
        <v>#N/A</v>
      </c>
      <c r="S302" s="11" t="e">
        <f>VLOOKUP($G302, 'ADP Data'!$C$4:$Q$300, 6, FALSE)</f>
        <v>#N/A</v>
      </c>
      <c r="T302" s="11" t="e">
        <f>VLOOKUP($G302, 'ADP Data'!$C$4:$Q$300, 7, FALSE)</f>
        <v>#N/A</v>
      </c>
      <c r="U302" s="11" t="e">
        <f>VLOOKUP($G302, 'ADP Data'!$C$4:$Q$300, 8, FALSE)</f>
        <v>#N/A</v>
      </c>
      <c r="V302" s="11" t="e">
        <f t="shared" si="14"/>
        <v>#N/A</v>
      </c>
      <c r="W302" s="11">
        <f t="shared" si="15"/>
        <v>16</v>
      </c>
      <c r="X302" s="11">
        <f t="shared" si="16"/>
        <v>-16</v>
      </c>
      <c r="Y302" s="11" t="e">
        <f>VLOOKUP($G302, SeanRanks!$A$2:$K$303, 10, FALSE)-V302</f>
        <v>#N/A</v>
      </c>
      <c r="Z302" s="25" t="e">
        <f>IF(VLOOKUP($G302, SeanRanks!$A$2:$H$303, 7, FALSE)=0, "", VLOOKUP($G302, SeanRanks!$A$2:$H$303, 7, FALSE))</f>
        <v>#N/A</v>
      </c>
    </row>
    <row r="303" spans="1:26" ht="14.25" hidden="1" customHeight="1" x14ac:dyDescent="0.25">
      <c r="A303" s="11"/>
      <c r="B303" s="11" t="e">
        <f t="shared" ref="B303:B306" si="19">IFERROR(INT(AVERAGE(Q303:U303)/12)+1, INT(AVERAGE(M303)/12)+1)</f>
        <v>#N/A</v>
      </c>
      <c r="C303" s="11" t="s">
        <v>148</v>
      </c>
      <c r="D303" s="11"/>
      <c r="E303" s="11"/>
      <c r="F303" s="11" t="e">
        <f>VLOOKUP(G303, SeanRanks!$A$2:$E$302, 4, FALSE)</f>
        <v>#N/A</v>
      </c>
      <c r="G303" s="11" t="s">
        <v>993</v>
      </c>
      <c r="H303" s="11" t="e">
        <f>VLOOKUP($G303, 'ADP Data'!$C$4:$Q$300, 2, FALSE)</f>
        <v>#N/A</v>
      </c>
      <c r="I303" s="11" t="e">
        <f>VLOOKUP(G303, 'ADP Data'!$C$4:$R$498, 12, FALSE)</f>
        <v>#N/A</v>
      </c>
      <c r="J303" s="11" t="e">
        <f>VLOOKUP($G303, SeanRanks!$A$2:$H$303, 5, FALSE)</f>
        <v>#N/A</v>
      </c>
      <c r="K303" s="11" t="e">
        <f>IF(VLOOKUP($G303, SeanRanks!$A$2:$H$303, 6, FALSE)=0, "", VLOOKUP($G303, SeanRanks!$A$2:$H$303, 6, FALSE))</f>
        <v>#N/A</v>
      </c>
      <c r="L303" s="11">
        <f t="shared" si="11"/>
        <v>16</v>
      </c>
      <c r="M303" s="11" t="e">
        <f>VLOOKUP($G303, 'ADP Data'!$C$4:$Q$300, 9, FALSE)</f>
        <v>#N/A</v>
      </c>
      <c r="N303" s="11" t="e">
        <f t="shared" si="12"/>
        <v>#N/A</v>
      </c>
      <c r="O303" s="11" t="e">
        <f>VLOOKUP($G303, 'ADP Data'!$C$4:$Q$300, 3, FALSE)</f>
        <v>#N/A</v>
      </c>
      <c r="P303" s="11" t="e">
        <f t="shared" si="13"/>
        <v>#N/A</v>
      </c>
      <c r="Q303" s="11" t="e">
        <f>VLOOKUP($G303, 'ADP Data'!$C$4:$Q$300, 4, FALSE)</f>
        <v>#N/A</v>
      </c>
      <c r="R303" s="11" t="e">
        <f>VLOOKUP($G303, 'ADP Data'!$C$4:$Q$300, 5, FALSE)</f>
        <v>#N/A</v>
      </c>
      <c r="S303" s="11" t="e">
        <f>VLOOKUP($G303, 'ADP Data'!$C$4:$Q$300, 6, FALSE)</f>
        <v>#N/A</v>
      </c>
      <c r="T303" s="11" t="e">
        <f>VLOOKUP($G303, 'ADP Data'!$C$4:$Q$300, 7, FALSE)</f>
        <v>#N/A</v>
      </c>
      <c r="U303" s="11" t="e">
        <f>VLOOKUP($G303, 'ADP Data'!$C$4:$Q$300, 8, FALSE)</f>
        <v>#N/A</v>
      </c>
      <c r="V303" s="11" t="e">
        <f t="shared" si="14"/>
        <v>#N/A</v>
      </c>
      <c r="W303" s="11">
        <f t="shared" si="15"/>
        <v>16</v>
      </c>
      <c r="X303" s="11">
        <f t="shared" si="16"/>
        <v>-16</v>
      </c>
      <c r="Y303" s="11" t="e">
        <f>VLOOKUP($G303, SeanRanks!$A$2:$K$303, 10, FALSE)-V303</f>
        <v>#N/A</v>
      </c>
      <c r="Z303" s="25" t="e">
        <f>IF(VLOOKUP($G303, SeanRanks!$A$2:$H$303, 7, FALSE)=0, "", VLOOKUP($G303, SeanRanks!$A$2:$H$303, 7, FALSE))</f>
        <v>#N/A</v>
      </c>
    </row>
    <row r="304" spans="1:26" ht="14.25" hidden="1" customHeight="1" x14ac:dyDescent="0.25">
      <c r="A304" s="11"/>
      <c r="B304" s="11">
        <f t="shared" si="19"/>
        <v>23</v>
      </c>
      <c r="C304" s="11" t="s">
        <v>148</v>
      </c>
      <c r="D304" s="11"/>
      <c r="E304" s="11"/>
      <c r="F304" s="11">
        <f>VLOOKUP(G304, SeanRanks!$A$2:$E$302, 4, FALSE)</f>
        <v>0</v>
      </c>
      <c r="G304" s="11" t="s">
        <v>994</v>
      </c>
      <c r="H304" s="11" t="str">
        <f>VLOOKUP($G304, 'ADP Data'!$C$4:$Q$300, 2, FALSE)</f>
        <v>LAR</v>
      </c>
      <c r="I304" s="11">
        <f>VLOOKUP(G304, 'ADP Data'!$C$4:$R$498, 12, FALSE)</f>
        <v>238</v>
      </c>
      <c r="J304" s="11">
        <f>VLOOKUP($G304, SeanRanks!$A$2:$H$303, 5, FALSE)</f>
        <v>0</v>
      </c>
      <c r="K304" s="11" t="str">
        <f>IF(VLOOKUP($G304, SeanRanks!$A$2:$H$303, 6, FALSE)=0, "", VLOOKUP($G304, SeanRanks!$A$2:$H$303, 6, FALSE))</f>
        <v/>
      </c>
      <c r="L304" s="11">
        <f t="shared" si="11"/>
        <v>34</v>
      </c>
      <c r="M304" s="11">
        <f>VLOOKUP($G304, 'ADP Data'!$C$4:$Q$300, 9, FALSE)</f>
        <v>270</v>
      </c>
      <c r="N304" s="11">
        <f t="shared" si="12"/>
        <v>4</v>
      </c>
      <c r="O304" s="11" t="str">
        <f>VLOOKUP($G304, 'ADP Data'!$C$4:$Q$300, 3, FALSE)</f>
        <v>-</v>
      </c>
      <c r="P304" s="11" t="e">
        <f t="shared" si="13"/>
        <v>#VALUE!</v>
      </c>
      <c r="Q304" s="11" t="str">
        <f>VLOOKUP($G304, 'ADP Data'!$C$4:$Q$300, 4, FALSE)</f>
        <v>-</v>
      </c>
      <c r="R304" s="11" t="str">
        <f>VLOOKUP($G304, 'ADP Data'!$C$4:$Q$300, 5, FALSE)</f>
        <v>-</v>
      </c>
      <c r="S304" s="11">
        <f>VLOOKUP($G304, 'ADP Data'!$C$4:$Q$300, 6, FALSE)</f>
        <v>241</v>
      </c>
      <c r="T304" s="11">
        <f>VLOOKUP($G304, 'ADP Data'!$C$4:$Q$300, 7, FALSE)</f>
        <v>274</v>
      </c>
      <c r="U304" s="11">
        <f>VLOOKUP($G304, 'ADP Data'!$C$4:$Q$300, 8, FALSE)</f>
        <v>282</v>
      </c>
      <c r="V304" s="11">
        <f t="shared" si="14"/>
        <v>266</v>
      </c>
      <c r="W304" s="11">
        <f t="shared" si="15"/>
        <v>34</v>
      </c>
      <c r="X304" s="11">
        <f t="shared" si="16"/>
        <v>-34</v>
      </c>
      <c r="Y304" s="11" t="e">
        <f>VLOOKUP($G304, SeanRanks!$A$2:$K$303, 10, FALSE)-V304</f>
        <v>#VALUE!</v>
      </c>
      <c r="Z304" s="25" t="str">
        <f>IF(VLOOKUP($G304, SeanRanks!$A$2:$H$303, 7, FALSE)=0, "", VLOOKUP($G304, SeanRanks!$A$2:$H$303, 7, FALSE))</f>
        <v/>
      </c>
    </row>
    <row r="305" spans="1:26" ht="14.25" hidden="1" customHeight="1" x14ac:dyDescent="0.25">
      <c r="A305" s="11"/>
      <c r="B305" s="11" t="e">
        <f t="shared" si="19"/>
        <v>#N/A</v>
      </c>
      <c r="C305" s="11" t="s">
        <v>148</v>
      </c>
      <c r="D305" s="11"/>
      <c r="E305" s="11"/>
      <c r="F305" s="11" t="e">
        <f>VLOOKUP(G305, SeanRanks!$A$2:$E$302, 4, FALSE)</f>
        <v>#N/A</v>
      </c>
      <c r="G305" s="11" t="s">
        <v>995</v>
      </c>
      <c r="H305" s="11" t="e">
        <f>VLOOKUP($G305, 'ADP Data'!$C$4:$Q$300, 2, FALSE)</f>
        <v>#N/A</v>
      </c>
      <c r="I305" s="11" t="e">
        <f>VLOOKUP(G305, 'ADP Data'!$C$4:$R$498, 12, FALSE)</f>
        <v>#N/A</v>
      </c>
      <c r="J305" s="11" t="e">
        <f>VLOOKUP($G305, SeanRanks!$A$2:$H$303, 5, FALSE)</f>
        <v>#N/A</v>
      </c>
      <c r="K305" s="11" t="e">
        <f>IF(VLOOKUP($G305, SeanRanks!$A$2:$H$303, 6, FALSE)=0, "", VLOOKUP($G305, SeanRanks!$A$2:$H$303, 6, FALSE))</f>
        <v>#N/A</v>
      </c>
      <c r="L305" s="11">
        <f t="shared" si="11"/>
        <v>16</v>
      </c>
      <c r="M305" s="11" t="e">
        <f>VLOOKUP($G305, 'ADP Data'!$C$4:$Q$300, 9, FALSE)</f>
        <v>#N/A</v>
      </c>
      <c r="N305" s="11" t="e">
        <f t="shared" si="12"/>
        <v>#N/A</v>
      </c>
      <c r="O305" s="11" t="e">
        <f>VLOOKUP($G305, 'ADP Data'!$C$4:$Q$300, 3, FALSE)</f>
        <v>#N/A</v>
      </c>
      <c r="P305" s="11" t="e">
        <f t="shared" si="13"/>
        <v>#N/A</v>
      </c>
      <c r="Q305" s="11" t="e">
        <f>VLOOKUP($G305, 'ADP Data'!$C$4:$Q$300, 4, FALSE)</f>
        <v>#N/A</v>
      </c>
      <c r="R305" s="11" t="e">
        <f>VLOOKUP($G305, 'ADP Data'!$C$4:$Q$300, 5, FALSE)</f>
        <v>#N/A</v>
      </c>
      <c r="S305" s="11" t="e">
        <f>VLOOKUP($G305, 'ADP Data'!$C$4:$Q$300, 6, FALSE)</f>
        <v>#N/A</v>
      </c>
      <c r="T305" s="11" t="e">
        <f>VLOOKUP($G305, 'ADP Data'!$C$4:$Q$300, 7, FALSE)</f>
        <v>#N/A</v>
      </c>
      <c r="U305" s="11" t="e">
        <f>VLOOKUP($G305, 'ADP Data'!$C$4:$Q$300, 8, FALSE)</f>
        <v>#N/A</v>
      </c>
      <c r="V305" s="11" t="e">
        <f t="shared" si="14"/>
        <v>#N/A</v>
      </c>
      <c r="W305" s="11">
        <f t="shared" si="15"/>
        <v>16</v>
      </c>
      <c r="X305" s="11">
        <f t="shared" si="16"/>
        <v>-16</v>
      </c>
      <c r="Y305" s="11" t="e">
        <f>VLOOKUP($G305, SeanRanks!$A$2:$K$303, 10, FALSE)-V305</f>
        <v>#N/A</v>
      </c>
      <c r="Z305" s="25" t="e">
        <f>IF(VLOOKUP($G305, SeanRanks!$A$2:$H$303, 7, FALSE)=0, "", VLOOKUP($G305, SeanRanks!$A$2:$H$303, 7, FALSE))</f>
        <v>#N/A</v>
      </c>
    </row>
    <row r="306" spans="1:26" ht="14.25" hidden="1" customHeight="1" x14ac:dyDescent="0.25">
      <c r="A306" s="11"/>
      <c r="B306" s="11" t="e">
        <f t="shared" si="19"/>
        <v>#N/A</v>
      </c>
      <c r="C306" s="11" t="s">
        <v>148</v>
      </c>
      <c r="D306" s="11"/>
      <c r="E306" s="11"/>
      <c r="F306" s="11" t="e">
        <f>VLOOKUP(G306, SeanRanks!$A$2:$E$302, 4, FALSE)</f>
        <v>#N/A</v>
      </c>
      <c r="G306" s="11" t="s">
        <v>485</v>
      </c>
      <c r="H306" s="11" t="e">
        <f>VLOOKUP($G306, 'ADP Data'!$C$4:$Q$300, 2, FALSE)</f>
        <v>#N/A</v>
      </c>
      <c r="I306" s="11" t="e">
        <f>VLOOKUP(G306, 'ADP Data'!$C$4:$R$498, 12, FALSE)</f>
        <v>#N/A</v>
      </c>
      <c r="J306" s="11" t="e">
        <f>VLOOKUP($G306, SeanRanks!$A$2:$H$303, 5, FALSE)</f>
        <v>#N/A</v>
      </c>
      <c r="K306" s="11" t="e">
        <f>IF(VLOOKUP($G306, SeanRanks!$A$2:$H$303, 6, FALSE)=0, "", VLOOKUP($G306, SeanRanks!$A$2:$H$303, 6, FALSE))</f>
        <v>#N/A</v>
      </c>
      <c r="L306" s="11">
        <f t="shared" si="11"/>
        <v>16</v>
      </c>
      <c r="M306" s="11" t="e">
        <f>VLOOKUP($G306, 'ADP Data'!$C$4:$Q$300, 9, FALSE)</f>
        <v>#N/A</v>
      </c>
      <c r="N306" s="11" t="e">
        <f t="shared" si="12"/>
        <v>#N/A</v>
      </c>
      <c r="O306" s="11" t="e">
        <f>VLOOKUP($G306, 'ADP Data'!$C$4:$Q$300, 3, FALSE)</f>
        <v>#N/A</v>
      </c>
      <c r="P306" s="11" t="e">
        <f t="shared" si="13"/>
        <v>#N/A</v>
      </c>
      <c r="Q306" s="11" t="e">
        <f>VLOOKUP($G306, 'ADP Data'!$C$4:$Q$300, 4, FALSE)</f>
        <v>#N/A</v>
      </c>
      <c r="R306" s="11" t="e">
        <f>VLOOKUP($G306, 'ADP Data'!$C$4:$Q$300, 5, FALSE)</f>
        <v>#N/A</v>
      </c>
      <c r="S306" s="11" t="e">
        <f>VLOOKUP($G306, 'ADP Data'!$C$4:$Q$300, 6, FALSE)</f>
        <v>#N/A</v>
      </c>
      <c r="T306" s="11" t="e">
        <f>VLOOKUP($G306, 'ADP Data'!$C$4:$Q$300, 7, FALSE)</f>
        <v>#N/A</v>
      </c>
      <c r="U306" s="11" t="e">
        <f>VLOOKUP($G306, 'ADP Data'!$C$4:$Q$300, 8, FALSE)</f>
        <v>#N/A</v>
      </c>
      <c r="V306" s="11" t="e">
        <f t="shared" si="14"/>
        <v>#N/A</v>
      </c>
      <c r="W306" s="11">
        <f t="shared" si="15"/>
        <v>16</v>
      </c>
      <c r="X306" s="11">
        <f t="shared" si="16"/>
        <v>-16</v>
      </c>
      <c r="Y306" s="11" t="e">
        <f>VLOOKUP($G306, SeanRanks!$A$2:$K$303, 10, FALSE)-V306</f>
        <v>#N/A</v>
      </c>
      <c r="Z306" s="25" t="e">
        <f>IF(VLOOKUP($G306, SeanRanks!$A$2:$H$303, 7, FALSE)=0, "", VLOOKUP($G306, SeanRanks!$A$2:$H$303, 7, FALSE))</f>
        <v>#N/A</v>
      </c>
    </row>
    <row r="307" spans="1:26" ht="14.25" customHeight="1" x14ac:dyDescent="0.25"/>
    <row r="308" spans="1:26" ht="14.25" customHeight="1" x14ac:dyDescent="0.25"/>
    <row r="309" spans="1:26" ht="14.25" customHeight="1" x14ac:dyDescent="0.25"/>
    <row r="310" spans="1:26" ht="14.25" customHeight="1" x14ac:dyDescent="0.25"/>
    <row r="311" spans="1:26" ht="14.25" customHeight="1" x14ac:dyDescent="0.25"/>
    <row r="312" spans="1:26" ht="14.25" customHeight="1" x14ac:dyDescent="0.25">
      <c r="F312" s="1" t="s">
        <v>33</v>
      </c>
    </row>
    <row r="313" spans="1:26" ht="14.25" customHeight="1" x14ac:dyDescent="0.25"/>
    <row r="314" spans="1:26" ht="14.25" customHeight="1" x14ac:dyDescent="0.25"/>
    <row r="315" spans="1:26" ht="14.25" customHeight="1" x14ac:dyDescent="0.25"/>
    <row r="316" spans="1:26" ht="14.25" customHeight="1" x14ac:dyDescent="0.25"/>
    <row r="317" spans="1:26" ht="14.25" customHeight="1" x14ac:dyDescent="0.25"/>
    <row r="318" spans="1:26" ht="14.25" customHeight="1" x14ac:dyDescent="0.25"/>
    <row r="319" spans="1:26" ht="14.25" customHeight="1" x14ac:dyDescent="0.25"/>
    <row r="320" spans="1:26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6:Z306" xr:uid="{00000000-0009-0000-0000-00000D000000}">
    <filterColumn colId="2">
      <filters>
        <filter val="Yes"/>
      </filters>
    </filterColumn>
    <filterColumn colId="8">
      <filters>
        <filter val="1"/>
        <filter val="10"/>
        <filter val="100"/>
        <filter val="101"/>
        <filter val="103"/>
        <filter val="104"/>
        <filter val="105"/>
        <filter val="107"/>
        <filter val="109"/>
        <filter val="11"/>
        <filter val="113"/>
        <filter val="117"/>
        <filter val="122"/>
        <filter val="124"/>
        <filter val="126"/>
        <filter val="129"/>
        <filter val="13"/>
        <filter val="131"/>
        <filter val="133"/>
        <filter val="135"/>
        <filter val="137"/>
        <filter val="138"/>
        <filter val="139"/>
        <filter val="14"/>
        <filter val="145"/>
        <filter val="148"/>
        <filter val="15"/>
        <filter val="150"/>
        <filter val="152"/>
        <filter val="156"/>
        <filter val="157"/>
        <filter val="16"/>
        <filter val="162"/>
        <filter val="167"/>
        <filter val="168"/>
        <filter val="169"/>
        <filter val="17"/>
        <filter val="178"/>
        <filter val="18"/>
        <filter val="181"/>
        <filter val="184"/>
        <filter val="19"/>
        <filter val="197"/>
        <filter val="2"/>
        <filter val="20"/>
        <filter val="202"/>
        <filter val="205"/>
        <filter val="209"/>
        <filter val="21"/>
        <filter val="216"/>
        <filter val="220"/>
        <filter val="227"/>
        <filter val="23"/>
        <filter val="230"/>
        <filter val="24"/>
        <filter val="245"/>
        <filter val="249"/>
        <filter val="25"/>
        <filter val="26"/>
        <filter val="28"/>
        <filter val="280"/>
        <filter val="283"/>
        <filter val="29"/>
        <filter val="3"/>
        <filter val="30"/>
        <filter val="31"/>
        <filter val="32"/>
        <filter val="33"/>
        <filter val="34"/>
        <filter val="36"/>
        <filter val="37"/>
        <filter val="39"/>
        <filter val="4"/>
        <filter val="40"/>
        <filter val="41"/>
        <filter val="42"/>
        <filter val="43"/>
        <filter val="44"/>
        <filter val="45"/>
        <filter val="46"/>
        <filter val="47"/>
        <filter val="48"/>
        <filter val="5"/>
        <filter val="50"/>
        <filter val="51"/>
        <filter val="52"/>
        <filter val="53"/>
        <filter val="54"/>
        <filter val="56"/>
        <filter val="57"/>
        <filter val="58"/>
        <filter val="59"/>
        <filter val="6"/>
        <filter val="60"/>
        <filter val="61"/>
        <filter val="62"/>
        <filter val="66"/>
        <filter val="67"/>
        <filter val="68"/>
        <filter val="69"/>
        <filter val="7"/>
        <filter val="70"/>
        <filter val="71"/>
        <filter val="73"/>
        <filter val="74"/>
        <filter val="75"/>
        <filter val="76"/>
        <filter val="79"/>
        <filter val="8"/>
        <filter val="83"/>
        <filter val="85"/>
        <filter val="86"/>
        <filter val="88"/>
        <filter val="9"/>
        <filter val="90"/>
        <filter val="93"/>
        <filter val="94"/>
        <filter val="95"/>
        <filter val="97"/>
      </filters>
    </filterColumn>
    <sortState xmlns:xlrd2="http://schemas.microsoft.com/office/spreadsheetml/2017/richdata2" ref="A6:Z306">
      <sortCondition ref="V6:V306"/>
    </sortState>
  </autoFilter>
  <mergeCells count="1">
    <mergeCell ref="A1:C1"/>
  </mergeCells>
  <conditionalFormatting sqref="K8:K306">
    <cfRule type="colorScale" priority="1">
      <colorScale>
        <cfvo type="formula" val="12"/>
        <cfvo type="percentile" val="50"/>
        <cfvo type="max"/>
        <color rgb="FF63BE7B"/>
        <color rgb="FFFFEB84"/>
        <color rgb="FFF8696B"/>
      </colorScale>
    </cfRule>
  </conditionalFormatting>
  <conditionalFormatting sqref="K5:Z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:L306">
    <cfRule type="cellIs" dxfId="21" priority="3" operator="lessThan">
      <formula>B7</formula>
    </cfRule>
    <cfRule type="cellIs" dxfId="20" priority="4" operator="greaterThan">
      <formula>B7</formula>
    </cfRule>
  </conditionalFormatting>
  <conditionalFormatting sqref="N7:N306">
    <cfRule type="colorScale" priority="5">
      <colorScale>
        <cfvo type="min"/>
        <cfvo type="formula" val="0"/>
        <cfvo type="max"/>
        <color rgb="FFF8696B"/>
        <color rgb="FFFCFCFF"/>
        <color rgb="FF63BE7B"/>
      </colorScale>
    </cfRule>
  </conditionalFormatting>
  <conditionalFormatting sqref="P7:P306">
    <cfRule type="colorScale" priority="6">
      <colorScale>
        <cfvo type="min"/>
        <cfvo type="formula" val="0"/>
        <cfvo type="max"/>
        <color rgb="FFF8696B"/>
        <color rgb="FFFCFCFF"/>
        <color rgb="FF63BE7B"/>
      </colorScale>
    </cfRule>
  </conditionalFormatting>
  <conditionalFormatting sqref="X7:X30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7:Y306">
    <cfRule type="colorScale" priority="8">
      <colorScale>
        <cfvo type="formula" val="-12"/>
        <cfvo type="formula" val="0"/>
        <cfvo type="formula" val="12"/>
        <color rgb="FFF8696B"/>
        <color rgb="FFD8D8D8"/>
        <color rgb="FF63BE7B"/>
      </colorScale>
    </cfRule>
  </conditionalFormatting>
  <conditionalFormatting sqref="Y7:Z306 J7:K306 B7:G7 B8:E261 G8:G296 F8:F306 B262:B302 D262:E302 C262:C306">
    <cfRule type="expression" dxfId="19" priority="9">
      <formula>$C7="No"</formula>
    </cfRule>
  </conditionalFormatting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E1000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14.42578125" defaultRowHeight="15" customHeight="1" x14ac:dyDescent="0.25"/>
  <cols>
    <col min="1" max="2" width="8.7109375" customWidth="1"/>
    <col min="3" max="6" width="9.7109375" customWidth="1"/>
    <col min="7" max="7" width="8" customWidth="1"/>
    <col min="8" max="8" width="17.85546875" customWidth="1"/>
    <col min="9" max="10" width="8.7109375" customWidth="1"/>
    <col min="11" max="11" width="20" customWidth="1"/>
    <col min="12" max="31" width="8.7109375" customWidth="1"/>
  </cols>
  <sheetData>
    <row r="1" spans="1:31" ht="14.25" customHeight="1" x14ac:dyDescent="0.35">
      <c r="A1" s="97" t="s">
        <v>1150</v>
      </c>
      <c r="B1" s="96"/>
      <c r="C1" s="96"/>
      <c r="D1" s="62"/>
      <c r="E1" s="2"/>
      <c r="F1" s="2"/>
      <c r="G1" s="2"/>
      <c r="H1" s="2"/>
      <c r="I1" s="3"/>
      <c r="J1" s="3" t="s">
        <v>997</v>
      </c>
      <c r="K1" s="63">
        <v>14</v>
      </c>
      <c r="L1" s="2"/>
      <c r="M1" s="2"/>
      <c r="N1" s="4" t="s">
        <v>1151</v>
      </c>
      <c r="O1" s="4" t="s">
        <v>1000</v>
      </c>
      <c r="P1" s="4" t="s">
        <v>1001</v>
      </c>
      <c r="Q1" s="4" t="s">
        <v>1002</v>
      </c>
      <c r="R1" s="4" t="s">
        <v>1003</v>
      </c>
      <c r="S1" s="4" t="s">
        <v>1004</v>
      </c>
      <c r="T1" s="4" t="s">
        <v>653</v>
      </c>
      <c r="U1" s="4" t="s">
        <v>776</v>
      </c>
      <c r="V1" s="4" t="s">
        <v>1005</v>
      </c>
      <c r="W1" s="4" t="s">
        <v>1006</v>
      </c>
      <c r="X1" s="4" t="s">
        <v>1007</v>
      </c>
      <c r="Y1" s="4" t="s">
        <v>1008</v>
      </c>
      <c r="Z1" s="4" t="s">
        <v>1009</v>
      </c>
      <c r="AA1" s="4" t="s">
        <v>1010</v>
      </c>
      <c r="AB1" s="4" t="s">
        <v>1011</v>
      </c>
      <c r="AC1" s="4" t="s">
        <v>1012</v>
      </c>
      <c r="AD1" s="4" t="s">
        <v>1013</v>
      </c>
      <c r="AE1" s="4" t="s">
        <v>1014</v>
      </c>
    </row>
    <row r="2" spans="1:31" ht="14.25" customHeight="1" x14ac:dyDescent="0.25">
      <c r="B2" s="2"/>
      <c r="C2" s="2"/>
      <c r="D2" s="2"/>
      <c r="E2" s="2"/>
      <c r="F2" s="2"/>
      <c r="G2" s="2"/>
      <c r="H2" s="2"/>
      <c r="I2" s="3"/>
      <c r="J2" s="3" t="s">
        <v>1017</v>
      </c>
      <c r="K2" s="63">
        <v>1</v>
      </c>
      <c r="L2" s="2"/>
      <c r="M2" s="2"/>
      <c r="N2" s="15" t="s">
        <v>1019</v>
      </c>
      <c r="O2" s="34">
        <v>70</v>
      </c>
      <c r="P2" s="34">
        <v>68</v>
      </c>
      <c r="Q2" s="34">
        <v>56</v>
      </c>
      <c r="R2" s="34">
        <v>47</v>
      </c>
      <c r="S2" s="34">
        <v>35</v>
      </c>
      <c r="T2" s="34">
        <v>24</v>
      </c>
      <c r="U2" s="34">
        <v>25</v>
      </c>
      <c r="V2" s="34">
        <v>66</v>
      </c>
      <c r="W2" s="34">
        <v>32</v>
      </c>
      <c r="X2" s="34">
        <v>15</v>
      </c>
      <c r="Y2" s="34">
        <v>6</v>
      </c>
      <c r="Z2" s="34">
        <v>23</v>
      </c>
      <c r="AA2" s="34">
        <v>11</v>
      </c>
      <c r="AB2" s="34">
        <v>7</v>
      </c>
      <c r="AC2" s="34">
        <v>39</v>
      </c>
      <c r="AD2" s="34">
        <v>16</v>
      </c>
      <c r="AE2" s="34">
        <v>3</v>
      </c>
    </row>
    <row r="3" spans="1:31" ht="14.25" customHeight="1" x14ac:dyDescent="0.25">
      <c r="B3" s="2"/>
      <c r="C3" s="2"/>
      <c r="D3" s="2"/>
      <c r="E3" s="2"/>
      <c r="F3" s="2"/>
      <c r="G3" s="2"/>
      <c r="H3" s="2"/>
      <c r="I3" s="3"/>
      <c r="J3" s="3" t="s">
        <v>1023</v>
      </c>
      <c r="K3" s="63">
        <f>INT((K1)/K2)</f>
        <v>14</v>
      </c>
      <c r="L3" s="2"/>
      <c r="M3" s="2"/>
      <c r="N3" s="15" t="s">
        <v>1024</v>
      </c>
      <c r="O3" s="34">
        <v>67</v>
      </c>
      <c r="P3" s="34">
        <v>58</v>
      </c>
      <c r="Q3" s="34">
        <v>37</v>
      </c>
      <c r="R3" s="34">
        <v>29</v>
      </c>
      <c r="S3" s="34">
        <v>9</v>
      </c>
      <c r="T3" s="34">
        <v>3</v>
      </c>
      <c r="U3" s="34">
        <v>1</v>
      </c>
      <c r="V3" s="34">
        <v>25</v>
      </c>
      <c r="W3" s="34">
        <v>13</v>
      </c>
      <c r="X3" s="34">
        <v>5</v>
      </c>
      <c r="Y3" s="34">
        <v>1</v>
      </c>
      <c r="Z3" s="34">
        <v>13</v>
      </c>
      <c r="AA3" s="34">
        <v>9</v>
      </c>
      <c r="AB3" s="34">
        <v>2</v>
      </c>
      <c r="AC3" s="34">
        <v>23</v>
      </c>
      <c r="AD3" s="34">
        <v>3</v>
      </c>
      <c r="AE3" s="34">
        <v>2</v>
      </c>
    </row>
    <row r="4" spans="1:31" ht="14.25" customHeight="1" x14ac:dyDescent="0.25">
      <c r="C4" s="2"/>
      <c r="D4" s="2"/>
      <c r="E4" s="2"/>
      <c r="F4" s="2"/>
      <c r="G4" s="2"/>
      <c r="H4" s="2"/>
      <c r="I4" s="3"/>
      <c r="J4" s="2"/>
      <c r="K4" s="2"/>
      <c r="L4" s="2"/>
      <c r="M4" s="2"/>
      <c r="N4" s="2"/>
      <c r="O4" s="2"/>
      <c r="P4" s="2" t="s">
        <v>1152</v>
      </c>
      <c r="Q4" s="2"/>
      <c r="R4" s="2"/>
      <c r="S4" s="2"/>
      <c r="T4" s="2"/>
      <c r="U4" s="2"/>
      <c r="V4" s="2"/>
      <c r="W4" s="2"/>
      <c r="X4" s="2"/>
      <c r="Y4" s="2"/>
      <c r="Z4" s="2" t="s">
        <v>1153</v>
      </c>
      <c r="AA4" s="2"/>
      <c r="AB4" s="2"/>
      <c r="AD4" s="2"/>
    </row>
    <row r="5" spans="1:31" ht="14.25" customHeight="1" x14ac:dyDescent="0.25">
      <c r="C5" s="2"/>
      <c r="D5" s="2"/>
      <c r="E5" s="2"/>
      <c r="F5" s="2"/>
      <c r="G5" s="79" t="s">
        <v>1154</v>
      </c>
      <c r="H5" s="2"/>
      <c r="I5" s="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 t="s">
        <v>1155</v>
      </c>
      <c r="AA5" s="2"/>
      <c r="AB5" s="2"/>
      <c r="AD5" s="2"/>
    </row>
    <row r="6" spans="1:31" ht="14.25" customHeight="1" x14ac:dyDescent="0.25">
      <c r="A6" s="15" t="s">
        <v>95</v>
      </c>
      <c r="B6" s="16" t="s">
        <v>96</v>
      </c>
      <c r="C6" s="17" t="s">
        <v>99</v>
      </c>
      <c r="D6" s="17" t="s">
        <v>1035</v>
      </c>
      <c r="E6" s="17" t="s">
        <v>1036</v>
      </c>
      <c r="F6" s="17" t="s">
        <v>1037</v>
      </c>
      <c r="G6" s="17" t="s">
        <v>27</v>
      </c>
      <c r="H6" s="4" t="s">
        <v>5</v>
      </c>
      <c r="I6" s="4" t="s">
        <v>8</v>
      </c>
      <c r="J6" s="4" t="s">
        <v>7</v>
      </c>
      <c r="K6" s="4" t="s">
        <v>28</v>
      </c>
      <c r="L6" s="4" t="s">
        <v>29</v>
      </c>
      <c r="M6" s="18" t="s">
        <v>102</v>
      </c>
      <c r="N6" s="18" t="s">
        <v>18</v>
      </c>
      <c r="O6" s="15" t="s">
        <v>22</v>
      </c>
      <c r="P6" s="19" t="s">
        <v>106</v>
      </c>
      <c r="Q6" s="15" t="s">
        <v>9</v>
      </c>
      <c r="R6" s="15" t="s">
        <v>10</v>
      </c>
      <c r="S6" s="15" t="s">
        <v>12</v>
      </c>
      <c r="T6" s="15" t="s">
        <v>19</v>
      </c>
      <c r="U6" s="15" t="s">
        <v>15</v>
      </c>
      <c r="V6" s="16" t="s">
        <v>110</v>
      </c>
      <c r="W6" s="16" t="s">
        <v>1038</v>
      </c>
      <c r="X6" s="4" t="s">
        <v>30</v>
      </c>
    </row>
    <row r="7" spans="1:31" ht="14.25" customHeight="1" x14ac:dyDescent="0.25">
      <c r="A7" s="11"/>
      <c r="B7" s="11" t="e">
        <f t="shared" ref="B7:B109" si="0">IFERROR(INT(AVERAGE(Q7:U7)/12)+1, INT(AVERAGE(N7)/12)+1)</f>
        <v>#N/A</v>
      </c>
      <c r="C7" s="11" t="s">
        <v>119</v>
      </c>
      <c r="D7" s="11">
        <v>74</v>
      </c>
      <c r="E7" s="11">
        <v>58</v>
      </c>
      <c r="F7" s="11">
        <f t="shared" ref="F7:F261" si="1">D7-E7</f>
        <v>16</v>
      </c>
      <c r="G7" s="11"/>
      <c r="H7" s="11" t="s">
        <v>71</v>
      </c>
      <c r="I7" s="58" t="e">
        <f>VLOOKUP($H7, 'ADP Data'!$B$4:$Q$300, 2, FALSE)</f>
        <v>#N/A</v>
      </c>
      <c r="J7" s="11" t="s">
        <v>764</v>
      </c>
      <c r="K7" s="11">
        <f>VLOOKUP($H7, SeanRanks!$A$2:$H$303, 5, FALSE)</f>
        <v>0</v>
      </c>
      <c r="L7" s="11" t="str">
        <f>IF(VLOOKUP($H7, SeanRanks!$A$2:$H$303, 6, FALSE)=0, "", VLOOKUP($H7, SeanRanks!$A$2:$H$303, 6, FALSE))</f>
        <v>WR1 - 1 - Elite</v>
      </c>
      <c r="M7" s="11">
        <f t="shared" ref="M7:M261" si="2">IFERROR(INT(N7/12)+1, 16)</f>
        <v>16</v>
      </c>
      <c r="N7" s="11" t="e">
        <f>VLOOKUP($H7, 'ADP Data'!$B$4:$Q$300, 10, FALSE)</f>
        <v>#N/A</v>
      </c>
      <c r="O7" s="11" t="e">
        <f>VLOOKUP($H7, 'ADP Data'!$B$4:$Q$300, 4, FALSE)</f>
        <v>#N/A</v>
      </c>
      <c r="P7" s="11" t="e">
        <f t="shared" ref="P7:P261" si="3">N7-O7</f>
        <v>#N/A</v>
      </c>
      <c r="Q7" s="11" t="e">
        <f>VLOOKUP($H7, 'ADP Data'!$B$4:$Q$300, 5, FALSE)</f>
        <v>#N/A</v>
      </c>
      <c r="R7" s="11" t="e">
        <f>VLOOKUP($H7, 'ADP Data'!$B$4:$Q$300, 6, FALSE)</f>
        <v>#N/A</v>
      </c>
      <c r="S7" s="11" t="e">
        <f>VLOOKUP($H7, 'ADP Data'!$B$4:$Q$300, 7, FALSE)</f>
        <v>#N/A</v>
      </c>
      <c r="T7" s="11" t="e">
        <f>VLOOKUP($H7, 'ADP Data'!$B$4:$Q$300, 8, FALSE)</f>
        <v>#N/A</v>
      </c>
      <c r="U7" s="11" t="e">
        <f>VLOOKUP($H7, 'ADP Data'!$B$4:$Q$300, 9, FALSE)</f>
        <v>#N/A</v>
      </c>
      <c r="V7" s="11" t="e">
        <f t="shared" ref="V7:V261" si="4">INT(AVERAGE(N7:O7,Q7:U7))</f>
        <v>#N/A</v>
      </c>
      <c r="W7" s="11" t="e">
        <f t="shared" ref="W7:W261" si="5">R7-V7</f>
        <v>#N/A</v>
      </c>
      <c r="X7" s="11">
        <f>IF(VLOOKUP($H7, SeanRanks!$A$2:$H$303, 7, FALSE)=0, "", VLOOKUP($H7, SeanRanks!$A$2:$H$303, 7, FALSE))</f>
        <v>2</v>
      </c>
    </row>
    <row r="8" spans="1:31" ht="14.25" customHeight="1" x14ac:dyDescent="0.25">
      <c r="A8" s="11"/>
      <c r="B8" s="11" t="e">
        <f t="shared" si="0"/>
        <v>#N/A</v>
      </c>
      <c r="C8" s="11" t="s">
        <v>119</v>
      </c>
      <c r="D8" s="11">
        <v>68</v>
      </c>
      <c r="E8" s="11">
        <v>55</v>
      </c>
      <c r="F8" s="11">
        <f t="shared" si="1"/>
        <v>13</v>
      </c>
      <c r="G8" s="11"/>
      <c r="H8" s="11" t="s">
        <v>43</v>
      </c>
      <c r="I8" s="11" t="e">
        <f>VLOOKUP($H8, 'ADP Data'!$B$4:$Q$300, 2, FALSE)</f>
        <v>#N/A</v>
      </c>
      <c r="J8" s="11" t="s">
        <v>764</v>
      </c>
      <c r="K8" s="11">
        <f>VLOOKUP($H8, SeanRanks!$A$2:$H$303, 5, FALSE)</f>
        <v>0</v>
      </c>
      <c r="L8" s="11" t="str">
        <f>IF(VLOOKUP($H8, SeanRanks!$A$2:$H$303, 6, FALSE)=0, "", VLOOKUP($H8, SeanRanks!$A$2:$H$303, 6, FALSE))</f>
        <v>WR1 - 1 - Elite</v>
      </c>
      <c r="M8" s="11">
        <f t="shared" si="2"/>
        <v>16</v>
      </c>
      <c r="N8" s="11" t="e">
        <f>VLOOKUP($H8, 'ADP Data'!$B$4:$Q$300, 10, FALSE)</f>
        <v>#N/A</v>
      </c>
      <c r="O8" s="11" t="e">
        <f>VLOOKUP($H8, 'ADP Data'!$B$4:$Q$300, 4, FALSE)</f>
        <v>#N/A</v>
      </c>
      <c r="P8" s="11" t="e">
        <f t="shared" si="3"/>
        <v>#N/A</v>
      </c>
      <c r="Q8" s="11" t="e">
        <f>VLOOKUP($H8, 'ADP Data'!$B$4:$Q$300, 5, FALSE)</f>
        <v>#N/A</v>
      </c>
      <c r="R8" s="11" t="e">
        <f>VLOOKUP($H8, 'ADP Data'!$B$4:$Q$300, 6, FALSE)</f>
        <v>#N/A</v>
      </c>
      <c r="S8" s="11" t="e">
        <f>VLOOKUP($H8, 'ADP Data'!$B$4:$Q$300, 7, FALSE)</f>
        <v>#N/A</v>
      </c>
      <c r="T8" s="11" t="e">
        <f>VLOOKUP($H8, 'ADP Data'!$B$4:$Q$300, 8, FALSE)</f>
        <v>#N/A</v>
      </c>
      <c r="U8" s="11" t="e">
        <f>VLOOKUP($H8, 'ADP Data'!$B$4:$Q$300, 9, FALSE)</f>
        <v>#N/A</v>
      </c>
      <c r="V8" s="11" t="e">
        <f t="shared" si="4"/>
        <v>#N/A</v>
      </c>
      <c r="W8" s="11" t="e">
        <f t="shared" si="5"/>
        <v>#N/A</v>
      </c>
      <c r="X8" s="11">
        <f>IF(VLOOKUP($H8, SeanRanks!$A$2:$H$303, 7, FALSE)=0, "", VLOOKUP($H8, SeanRanks!$A$2:$H$303, 7, FALSE))</f>
        <v>1</v>
      </c>
    </row>
    <row r="9" spans="1:31" ht="14.25" customHeight="1" x14ac:dyDescent="0.25">
      <c r="A9" s="11"/>
      <c r="B9" s="11" t="e">
        <f t="shared" si="0"/>
        <v>#N/A</v>
      </c>
      <c r="C9" s="11" t="s">
        <v>119</v>
      </c>
      <c r="D9" s="11">
        <v>67</v>
      </c>
      <c r="E9" s="11">
        <v>65</v>
      </c>
      <c r="F9" s="11">
        <f t="shared" si="1"/>
        <v>2</v>
      </c>
      <c r="G9" s="11"/>
      <c r="H9" s="11" t="s">
        <v>54</v>
      </c>
      <c r="I9" s="11" t="e">
        <f>VLOOKUP($H9, 'ADP Data'!$B$4:$Q$300, 2, FALSE)</f>
        <v>#N/A</v>
      </c>
      <c r="J9" s="11" t="s">
        <v>762</v>
      </c>
      <c r="K9" s="11">
        <f>VLOOKUP($H9, SeanRanks!$A$2:$H$303, 5, FALSE)</f>
        <v>0</v>
      </c>
      <c r="L9" s="11" t="str">
        <f>IF(VLOOKUP($H9, SeanRanks!$A$2:$H$303, 6, FALSE)=0, "", VLOOKUP($H9, SeanRanks!$A$2:$H$303, 6, FALSE))</f>
        <v>RB1 - 1 - Elite floor/ceiling</v>
      </c>
      <c r="M9" s="11">
        <f t="shared" si="2"/>
        <v>16</v>
      </c>
      <c r="N9" s="11" t="e">
        <f>VLOOKUP($H9, 'ADP Data'!$B$4:$Q$300, 10, FALSE)</f>
        <v>#N/A</v>
      </c>
      <c r="O9" s="11" t="e">
        <f>VLOOKUP($H9, 'ADP Data'!$B$4:$Q$300, 4, FALSE)</f>
        <v>#N/A</v>
      </c>
      <c r="P9" s="11" t="e">
        <f t="shared" si="3"/>
        <v>#N/A</v>
      </c>
      <c r="Q9" s="11" t="e">
        <f>VLOOKUP($H9, 'ADP Data'!$B$4:$Q$300, 5, FALSE)</f>
        <v>#N/A</v>
      </c>
      <c r="R9" s="11" t="e">
        <f>VLOOKUP($H9, 'ADP Data'!$B$4:$Q$300, 6, FALSE)</f>
        <v>#N/A</v>
      </c>
      <c r="S9" s="11" t="e">
        <f>VLOOKUP($H9, 'ADP Data'!$B$4:$Q$300, 7, FALSE)</f>
        <v>#N/A</v>
      </c>
      <c r="T9" s="11" t="e">
        <f>VLOOKUP($H9, 'ADP Data'!$B$4:$Q$300, 8, FALSE)</f>
        <v>#N/A</v>
      </c>
      <c r="U9" s="11" t="e">
        <f>VLOOKUP($H9, 'ADP Data'!$B$4:$Q$300, 9, FALSE)</f>
        <v>#N/A</v>
      </c>
      <c r="V9" s="11" t="e">
        <f t="shared" si="4"/>
        <v>#N/A</v>
      </c>
      <c r="W9" s="11" t="e">
        <f t="shared" si="5"/>
        <v>#N/A</v>
      </c>
      <c r="X9" s="11">
        <f>IF(VLOOKUP($H9, SeanRanks!$A$2:$H$303, 7, FALSE)=0, "", VLOOKUP($H9, SeanRanks!$A$2:$H$303, 7, FALSE))</f>
        <v>4</v>
      </c>
    </row>
    <row r="10" spans="1:31" ht="14.25" customHeight="1" x14ac:dyDescent="0.25">
      <c r="A10" s="11"/>
      <c r="B10" s="11" t="e">
        <f t="shared" si="0"/>
        <v>#N/A</v>
      </c>
      <c r="C10" s="11" t="s">
        <v>119</v>
      </c>
      <c r="D10" s="11">
        <v>64</v>
      </c>
      <c r="E10" s="11">
        <v>50</v>
      </c>
      <c r="F10" s="11">
        <f t="shared" si="1"/>
        <v>14</v>
      </c>
      <c r="G10" s="11" t="s">
        <v>1112</v>
      </c>
      <c r="H10" s="11" t="s">
        <v>898</v>
      </c>
      <c r="I10" s="58" t="e">
        <f>VLOOKUP($H10, 'ADP Data'!$B$4:$Q$300, 2, FALSE)</f>
        <v>#N/A</v>
      </c>
      <c r="J10" s="11" t="s">
        <v>762</v>
      </c>
      <c r="K10" s="11">
        <f>VLOOKUP($H10, SeanRanks!$A$2:$H$303, 5, FALSE)</f>
        <v>0</v>
      </c>
      <c r="L10" s="11" t="str">
        <f>IF(VLOOKUP($H10, SeanRanks!$A$2:$H$303, 6, FALSE)=0, "", VLOOKUP($H10, SeanRanks!$A$2:$H$303, 6, FALSE))</f>
        <v>RB4 - 2 - low ceiling</v>
      </c>
      <c r="M10" s="11">
        <f t="shared" si="2"/>
        <v>16</v>
      </c>
      <c r="N10" s="11" t="e">
        <f>VLOOKUP($H10, 'ADP Data'!$B$4:$Q$300, 10, FALSE)</f>
        <v>#N/A</v>
      </c>
      <c r="O10" s="11" t="e">
        <f>VLOOKUP($H10, 'ADP Data'!$B$4:$Q$300, 4, FALSE)</f>
        <v>#N/A</v>
      </c>
      <c r="P10" s="11" t="e">
        <f t="shared" si="3"/>
        <v>#N/A</v>
      </c>
      <c r="Q10" s="11" t="e">
        <f>VLOOKUP($H10, 'ADP Data'!$B$4:$Q$300, 5, FALSE)</f>
        <v>#N/A</v>
      </c>
      <c r="R10" s="11" t="e">
        <f>VLOOKUP($H10, 'ADP Data'!$B$4:$Q$300, 6, FALSE)</f>
        <v>#N/A</v>
      </c>
      <c r="S10" s="11" t="e">
        <f>VLOOKUP($H10, 'ADP Data'!$B$4:$Q$300, 7, FALSE)</f>
        <v>#N/A</v>
      </c>
      <c r="T10" s="11" t="e">
        <f>VLOOKUP($H10, 'ADP Data'!$B$4:$Q$300, 8, FALSE)</f>
        <v>#N/A</v>
      </c>
      <c r="U10" s="11" t="e">
        <f>VLOOKUP($H10, 'ADP Data'!$B$4:$Q$300, 9, FALSE)</f>
        <v>#N/A</v>
      </c>
      <c r="V10" s="11" t="e">
        <f t="shared" si="4"/>
        <v>#N/A</v>
      </c>
      <c r="W10" s="11" t="e">
        <f t="shared" si="5"/>
        <v>#N/A</v>
      </c>
      <c r="X10" s="11">
        <f>IF(VLOOKUP($H10, SeanRanks!$A$2:$H$303, 7, FALSE)=0, "", VLOOKUP($H10, SeanRanks!$A$2:$H$303, 7, FALSE))</f>
        <v>49</v>
      </c>
    </row>
    <row r="11" spans="1:31" ht="14.25" customHeight="1" x14ac:dyDescent="0.25">
      <c r="A11" s="11"/>
      <c r="B11" s="11" t="e">
        <f t="shared" si="0"/>
        <v>#N/A</v>
      </c>
      <c r="C11" s="11" t="s">
        <v>119</v>
      </c>
      <c r="D11" s="11">
        <v>62</v>
      </c>
      <c r="E11" s="11">
        <v>45</v>
      </c>
      <c r="F11" s="11">
        <f t="shared" si="1"/>
        <v>17</v>
      </c>
      <c r="G11" s="11"/>
      <c r="H11" s="11" t="s">
        <v>190</v>
      </c>
      <c r="I11" s="11" t="e">
        <f>VLOOKUP($H11, 'ADP Data'!$B$4:$Q$300, 2, FALSE)</f>
        <v>#N/A</v>
      </c>
      <c r="J11" s="11" t="s">
        <v>764</v>
      </c>
      <c r="K11" s="11" t="str">
        <f>VLOOKUP($H11, SeanRanks!$A$2:$H$303, 5, FALSE)</f>
        <v>Yes</v>
      </c>
      <c r="L11" s="11" t="str">
        <f>IF(VLOOKUP($H11, SeanRanks!$A$2:$H$303, 6, FALSE)=0, "", VLOOKUP($H11, SeanRanks!$A$2:$H$303, 6, FALSE))</f>
        <v>WR2 - 1 - WR1 upside</v>
      </c>
      <c r="M11" s="11">
        <f t="shared" si="2"/>
        <v>16</v>
      </c>
      <c r="N11" s="11" t="e">
        <f>VLOOKUP($H11, 'ADP Data'!$B$4:$Q$300, 10, FALSE)</f>
        <v>#N/A</v>
      </c>
      <c r="O11" s="11" t="e">
        <f>VLOOKUP($H11, 'ADP Data'!$B$4:$Q$300, 4, FALSE)</f>
        <v>#N/A</v>
      </c>
      <c r="P11" s="11" t="e">
        <f t="shared" si="3"/>
        <v>#N/A</v>
      </c>
      <c r="Q11" s="11" t="e">
        <f>VLOOKUP($H11, 'ADP Data'!$B$4:$Q$300, 5, FALSE)</f>
        <v>#N/A</v>
      </c>
      <c r="R11" s="11" t="e">
        <f>VLOOKUP($H11, 'ADP Data'!$B$4:$Q$300, 6, FALSE)</f>
        <v>#N/A</v>
      </c>
      <c r="S11" s="11" t="e">
        <f>VLOOKUP($H11, 'ADP Data'!$B$4:$Q$300, 7, FALSE)</f>
        <v>#N/A</v>
      </c>
      <c r="T11" s="11" t="e">
        <f>VLOOKUP($H11, 'ADP Data'!$B$4:$Q$300, 8, FALSE)</f>
        <v>#N/A</v>
      </c>
      <c r="U11" s="11" t="e">
        <f>VLOOKUP($H11, 'ADP Data'!$B$4:$Q$300, 9, FALSE)</f>
        <v>#N/A</v>
      </c>
      <c r="V11" s="11" t="e">
        <f t="shared" si="4"/>
        <v>#N/A</v>
      </c>
      <c r="W11" s="11" t="e">
        <f t="shared" si="5"/>
        <v>#N/A</v>
      </c>
      <c r="X11" s="11">
        <f>IF(VLOOKUP($H11, SeanRanks!$A$2:$H$303, 7, FALSE)=0, "", VLOOKUP($H11, SeanRanks!$A$2:$H$303, 7, FALSE))</f>
        <v>16</v>
      </c>
    </row>
    <row r="12" spans="1:31" ht="14.25" customHeight="1" x14ac:dyDescent="0.25">
      <c r="A12" s="11"/>
      <c r="B12" s="11" t="e">
        <f t="shared" si="0"/>
        <v>#N/A</v>
      </c>
      <c r="C12" s="11" t="s">
        <v>119</v>
      </c>
      <c r="D12" s="11">
        <v>59</v>
      </c>
      <c r="E12" s="11">
        <v>55</v>
      </c>
      <c r="F12" s="11">
        <f t="shared" si="1"/>
        <v>4</v>
      </c>
      <c r="G12" s="11"/>
      <c r="H12" s="11" t="s">
        <v>38</v>
      </c>
      <c r="I12" s="11" t="e">
        <f>VLOOKUP($H12, 'ADP Data'!$B$4:$Q$300, 2, FALSE)</f>
        <v>#N/A</v>
      </c>
      <c r="J12" s="11" t="s">
        <v>762</v>
      </c>
      <c r="K12" s="11">
        <f>VLOOKUP($H12, SeanRanks!$A$2:$H$303, 5, FALSE)</f>
        <v>0</v>
      </c>
      <c r="L12" s="11" t="str">
        <f>IF(VLOOKUP($H12, SeanRanks!$A$2:$H$303, 6, FALSE)=0, "", VLOOKUP($H12, SeanRanks!$A$2:$H$303, 6, FALSE))</f>
        <v>RB1 - 1 - Elite floor/ceiling</v>
      </c>
      <c r="M12" s="11">
        <f t="shared" si="2"/>
        <v>16</v>
      </c>
      <c r="N12" s="11" t="e">
        <f>VLOOKUP($H12, 'ADP Data'!$B$4:$Q$300, 10, FALSE)</f>
        <v>#N/A</v>
      </c>
      <c r="O12" s="11" t="e">
        <f>VLOOKUP($H12, 'ADP Data'!$B$4:$Q$300, 4, FALSE)</f>
        <v>#N/A</v>
      </c>
      <c r="P12" s="11" t="e">
        <f t="shared" si="3"/>
        <v>#N/A</v>
      </c>
      <c r="Q12" s="11" t="e">
        <f>VLOOKUP($H12, 'ADP Data'!$B$4:$Q$300, 5, FALSE)</f>
        <v>#N/A</v>
      </c>
      <c r="R12" s="11" t="e">
        <f>VLOOKUP($H12, 'ADP Data'!$B$4:$Q$300, 6, FALSE)</f>
        <v>#N/A</v>
      </c>
      <c r="S12" s="11" t="e">
        <f>VLOOKUP($H12, 'ADP Data'!$B$4:$Q$300, 7, FALSE)</f>
        <v>#N/A</v>
      </c>
      <c r="T12" s="11" t="e">
        <f>VLOOKUP($H12, 'ADP Data'!$B$4:$Q$300, 8, FALSE)</f>
        <v>#N/A</v>
      </c>
      <c r="U12" s="11" t="e">
        <f>VLOOKUP($H12, 'ADP Data'!$B$4:$Q$300, 9, FALSE)</f>
        <v>#N/A</v>
      </c>
      <c r="V12" s="11" t="e">
        <f t="shared" si="4"/>
        <v>#N/A</v>
      </c>
      <c r="W12" s="11" t="e">
        <f t="shared" si="5"/>
        <v>#N/A</v>
      </c>
      <c r="X12" s="11">
        <f>IF(VLOOKUP($H12, SeanRanks!$A$2:$H$303, 7, FALSE)=0, "", VLOOKUP($H12, SeanRanks!$A$2:$H$303, 7, FALSE))</f>
        <v>1</v>
      </c>
    </row>
    <row r="13" spans="1:31" ht="14.25" customHeight="1" x14ac:dyDescent="0.25">
      <c r="A13" s="11"/>
      <c r="B13" s="11" t="e">
        <f t="shared" si="0"/>
        <v>#N/A</v>
      </c>
      <c r="C13" s="11" t="s">
        <v>119</v>
      </c>
      <c r="D13" s="11">
        <v>41</v>
      </c>
      <c r="E13" s="11">
        <v>20</v>
      </c>
      <c r="F13" s="11">
        <f t="shared" si="1"/>
        <v>21</v>
      </c>
      <c r="G13" s="11"/>
      <c r="H13" s="11" t="s">
        <v>450</v>
      </c>
      <c r="I13" s="11" t="e">
        <f>VLOOKUP($H13, 'ADP Data'!$B$4:$Q$300, 2, FALSE)</f>
        <v>#N/A</v>
      </c>
      <c r="J13" s="11" t="s">
        <v>764</v>
      </c>
      <c r="K13" s="11">
        <f>VLOOKUP($H13, SeanRanks!$A$2:$H$303, 5, FALSE)</f>
        <v>0</v>
      </c>
      <c r="L13" s="11" t="str">
        <f>IF(VLOOKUP($H13, SeanRanks!$A$2:$H$303, 6, FALSE)=0, "", VLOOKUP($H13, SeanRanks!$A$2:$H$303, 6, FALSE))</f>
        <v>WR5 - 2 - floor play not league winner</v>
      </c>
      <c r="M13" s="11">
        <f t="shared" si="2"/>
        <v>16</v>
      </c>
      <c r="N13" s="11" t="e">
        <f>VLOOKUP($H13, 'ADP Data'!$B$4:$Q$300, 10, FALSE)</f>
        <v>#N/A</v>
      </c>
      <c r="O13" s="11" t="e">
        <f>VLOOKUP($H13, 'ADP Data'!$B$4:$Q$300, 4, FALSE)</f>
        <v>#N/A</v>
      </c>
      <c r="P13" s="11" t="e">
        <f t="shared" si="3"/>
        <v>#N/A</v>
      </c>
      <c r="Q13" s="11" t="e">
        <f>VLOOKUP($H13, 'ADP Data'!$B$4:$Q$300, 5, FALSE)</f>
        <v>#N/A</v>
      </c>
      <c r="R13" s="11" t="e">
        <f>VLOOKUP($H13, 'ADP Data'!$B$4:$Q$300, 6, FALSE)</f>
        <v>#N/A</v>
      </c>
      <c r="S13" s="11" t="e">
        <f>VLOOKUP($H13, 'ADP Data'!$B$4:$Q$300, 7, FALSE)</f>
        <v>#N/A</v>
      </c>
      <c r="T13" s="11" t="e">
        <f>VLOOKUP($H13, 'ADP Data'!$B$4:$Q$300, 8, FALSE)</f>
        <v>#N/A</v>
      </c>
      <c r="U13" s="11" t="e">
        <f>VLOOKUP($H13, 'ADP Data'!$B$4:$Q$300, 9, FALSE)</f>
        <v>#N/A</v>
      </c>
      <c r="V13" s="11" t="e">
        <f t="shared" si="4"/>
        <v>#N/A</v>
      </c>
      <c r="W13" s="11" t="e">
        <f t="shared" si="5"/>
        <v>#N/A</v>
      </c>
      <c r="X13" s="11">
        <f>IF(VLOOKUP($H13, SeanRanks!$A$2:$H$303, 7, FALSE)=0, "", VLOOKUP($H13, SeanRanks!$A$2:$H$303, 7, FALSE))</f>
        <v>55</v>
      </c>
    </row>
    <row r="14" spans="1:31" ht="14.25" customHeight="1" x14ac:dyDescent="0.25">
      <c r="A14" s="11" t="s">
        <v>1156</v>
      </c>
      <c r="B14" s="11" t="e">
        <f t="shared" si="0"/>
        <v>#N/A</v>
      </c>
      <c r="C14" s="11" t="s">
        <v>119</v>
      </c>
      <c r="D14" s="11">
        <v>56</v>
      </c>
      <c r="E14" s="11">
        <v>55</v>
      </c>
      <c r="F14" s="11">
        <f t="shared" si="1"/>
        <v>1</v>
      </c>
      <c r="G14" s="11"/>
      <c r="H14" s="11" t="s">
        <v>77</v>
      </c>
      <c r="I14" s="11" t="e">
        <f>VLOOKUP($H14, 'ADP Data'!$B$4:$Q$300, 2, FALSE)</f>
        <v>#N/A</v>
      </c>
      <c r="J14" s="11" t="s">
        <v>762</v>
      </c>
      <c r="K14" s="11">
        <f>VLOOKUP($H14, SeanRanks!$A$2:$H$303, 5, FALSE)</f>
        <v>0</v>
      </c>
      <c r="L14" s="11" t="str">
        <f>IF(VLOOKUP($H14, SeanRanks!$A$2:$H$303, 6, FALSE)=0, "", VLOOKUP($H14, SeanRanks!$A$2:$H$303, 6, FALSE))</f>
        <v>RB1 - 1 - Elite floor/ceiling</v>
      </c>
      <c r="M14" s="11">
        <f t="shared" si="2"/>
        <v>16</v>
      </c>
      <c r="N14" s="11" t="e">
        <f>VLOOKUP($H14, 'ADP Data'!$B$4:$Q$300, 10, FALSE)</f>
        <v>#N/A</v>
      </c>
      <c r="O14" s="11" t="e">
        <f>VLOOKUP($H14, 'ADP Data'!$B$4:$Q$300, 4, FALSE)</f>
        <v>#N/A</v>
      </c>
      <c r="P14" s="11" t="e">
        <f t="shared" si="3"/>
        <v>#N/A</v>
      </c>
      <c r="Q14" s="11" t="e">
        <f>VLOOKUP($H14, 'ADP Data'!$B$4:$Q$300, 5, FALSE)</f>
        <v>#N/A</v>
      </c>
      <c r="R14" s="11" t="e">
        <f>VLOOKUP($H14, 'ADP Data'!$B$4:$Q$300, 6, FALSE)</f>
        <v>#N/A</v>
      </c>
      <c r="S14" s="11" t="e">
        <f>VLOOKUP($H14, 'ADP Data'!$B$4:$Q$300, 7, FALSE)</f>
        <v>#N/A</v>
      </c>
      <c r="T14" s="11" t="e">
        <f>VLOOKUP($H14, 'ADP Data'!$B$4:$Q$300, 8, FALSE)</f>
        <v>#N/A</v>
      </c>
      <c r="U14" s="11" t="e">
        <f>VLOOKUP($H14, 'ADP Data'!$B$4:$Q$300, 9, FALSE)</f>
        <v>#N/A</v>
      </c>
      <c r="V14" s="11" t="e">
        <f t="shared" si="4"/>
        <v>#N/A</v>
      </c>
      <c r="W14" s="11" t="e">
        <f t="shared" si="5"/>
        <v>#N/A</v>
      </c>
      <c r="X14" s="11">
        <f>IF(VLOOKUP($H14, SeanRanks!$A$2:$H$303, 7, FALSE)=0, "", VLOOKUP($H14, SeanRanks!$A$2:$H$303, 7, FALSE))</f>
        <v>2</v>
      </c>
    </row>
    <row r="15" spans="1:31" ht="14.25" customHeight="1" x14ac:dyDescent="0.25">
      <c r="A15" s="11"/>
      <c r="B15" s="11" t="e">
        <f t="shared" si="0"/>
        <v>#N/A</v>
      </c>
      <c r="C15" s="11" t="s">
        <v>119</v>
      </c>
      <c r="D15" s="11">
        <v>52</v>
      </c>
      <c r="E15" s="11">
        <v>30</v>
      </c>
      <c r="F15" s="11">
        <f t="shared" si="1"/>
        <v>22</v>
      </c>
      <c r="G15" s="11"/>
      <c r="H15" s="11" t="s">
        <v>312</v>
      </c>
      <c r="I15" s="58" t="e">
        <f>VLOOKUP($H15, 'ADP Data'!$B$4:$Q$300, 2, FALSE)</f>
        <v>#N/A</v>
      </c>
      <c r="J15" s="11" t="s">
        <v>769</v>
      </c>
      <c r="K15" s="11" t="str">
        <f>VLOOKUP($H15, SeanRanks!$A$2:$H$303, 5, FALSE)</f>
        <v>No</v>
      </c>
      <c r="L15" s="11" t="str">
        <f>IF(VLOOKUP($H15, SeanRanks!$A$2:$H$303, 6, FALSE)=0, "", VLOOKUP($H15, SeanRanks!$A$2:$H$303, 6, FALSE))</f>
        <v>TE1 - 3 - Weekly Start</v>
      </c>
      <c r="M15" s="11">
        <f t="shared" si="2"/>
        <v>16</v>
      </c>
      <c r="N15" s="11" t="e">
        <f>VLOOKUP($H15, 'ADP Data'!$B$4:$Q$300, 10, FALSE)</f>
        <v>#N/A</v>
      </c>
      <c r="O15" s="11" t="e">
        <f>VLOOKUP($H15, 'ADP Data'!$B$4:$Q$300, 4, FALSE)</f>
        <v>#N/A</v>
      </c>
      <c r="P15" s="11" t="e">
        <f t="shared" si="3"/>
        <v>#N/A</v>
      </c>
      <c r="Q15" s="11" t="e">
        <f>VLOOKUP($H15, 'ADP Data'!$B$4:$Q$300, 5, FALSE)</f>
        <v>#N/A</v>
      </c>
      <c r="R15" s="11" t="e">
        <f>VLOOKUP($H15, 'ADP Data'!$B$4:$Q$300, 6, FALSE)</f>
        <v>#N/A</v>
      </c>
      <c r="S15" s="11" t="e">
        <f>VLOOKUP($H15, 'ADP Data'!$B$4:$Q$300, 7, FALSE)</f>
        <v>#N/A</v>
      </c>
      <c r="T15" s="11" t="e">
        <f>VLOOKUP($H15, 'ADP Data'!$B$4:$Q$300, 8, FALSE)</f>
        <v>#N/A</v>
      </c>
      <c r="U15" s="11" t="e">
        <f>VLOOKUP($H15, 'ADP Data'!$B$4:$Q$300, 9, FALSE)</f>
        <v>#N/A</v>
      </c>
      <c r="V15" s="11" t="e">
        <f t="shared" si="4"/>
        <v>#N/A</v>
      </c>
      <c r="W15" s="11" t="e">
        <f t="shared" si="5"/>
        <v>#N/A</v>
      </c>
      <c r="X15" s="11">
        <f>IF(VLOOKUP($H15, SeanRanks!$A$2:$H$303, 7, FALSE)=0, "", VLOOKUP($H15, SeanRanks!$A$2:$H$303, 7, FALSE))</f>
        <v>9</v>
      </c>
    </row>
    <row r="16" spans="1:31" ht="14.25" customHeight="1" x14ac:dyDescent="0.25">
      <c r="A16" s="11"/>
      <c r="B16" s="11" t="e">
        <f t="shared" si="0"/>
        <v>#N/A</v>
      </c>
      <c r="C16" s="11" t="s">
        <v>119</v>
      </c>
      <c r="D16" s="11">
        <v>52</v>
      </c>
      <c r="E16" s="11">
        <v>45</v>
      </c>
      <c r="F16" s="11">
        <f t="shared" si="1"/>
        <v>7</v>
      </c>
      <c r="G16" s="11" t="s">
        <v>148</v>
      </c>
      <c r="H16" s="11" t="s">
        <v>288</v>
      </c>
      <c r="I16" s="11" t="e">
        <f>VLOOKUP($H16, 'ADP Data'!$B$4:$Q$300, 2, FALSE)</f>
        <v>#N/A</v>
      </c>
      <c r="J16" s="11" t="s">
        <v>764</v>
      </c>
      <c r="K16" s="11">
        <f>VLOOKUP($H16, SeanRanks!$A$2:$H$303, 5, FALSE)</f>
        <v>0</v>
      </c>
      <c r="L16" s="11" t="str">
        <f>IF(VLOOKUP($H16, SeanRanks!$A$2:$H$303, 6, FALSE)=0, "", VLOOKUP($H16, SeanRanks!$A$2:$H$303, 6, FALSE))</f>
        <v>WR3 - 3 - lower ceiling</v>
      </c>
      <c r="M16" s="11">
        <f t="shared" si="2"/>
        <v>16</v>
      </c>
      <c r="N16" s="11" t="e">
        <f>VLOOKUP($H16, 'ADP Data'!$B$4:$Q$300, 10, FALSE)</f>
        <v>#N/A</v>
      </c>
      <c r="O16" s="11" t="e">
        <f>VLOOKUP($H16, 'ADP Data'!$B$4:$Q$300, 4, FALSE)</f>
        <v>#N/A</v>
      </c>
      <c r="P16" s="11" t="e">
        <f t="shared" si="3"/>
        <v>#N/A</v>
      </c>
      <c r="Q16" s="11" t="e">
        <f>VLOOKUP($H16, 'ADP Data'!$B$4:$Q$300, 5, FALSE)</f>
        <v>#N/A</v>
      </c>
      <c r="R16" s="11" t="e">
        <f>VLOOKUP($H16, 'ADP Data'!$B$4:$Q$300, 6, FALSE)</f>
        <v>#N/A</v>
      </c>
      <c r="S16" s="11" t="e">
        <f>VLOOKUP($H16, 'ADP Data'!$B$4:$Q$300, 7, FALSE)</f>
        <v>#N/A</v>
      </c>
      <c r="T16" s="11" t="e">
        <f>VLOOKUP($H16, 'ADP Data'!$B$4:$Q$300, 8, FALSE)</f>
        <v>#N/A</v>
      </c>
      <c r="U16" s="11" t="e">
        <f>VLOOKUP($H16, 'ADP Data'!$B$4:$Q$300, 9, FALSE)</f>
        <v>#N/A</v>
      </c>
      <c r="V16" s="11" t="e">
        <f t="shared" si="4"/>
        <v>#N/A</v>
      </c>
      <c r="W16" s="11" t="e">
        <f t="shared" si="5"/>
        <v>#N/A</v>
      </c>
      <c r="X16" s="11">
        <f>IF(VLOOKUP($H16, SeanRanks!$A$2:$H$303, 7, FALSE)=0, "", VLOOKUP($H16, SeanRanks!$A$2:$H$303, 7, FALSE))</f>
        <v>38</v>
      </c>
    </row>
    <row r="17" spans="1:24" ht="14.25" customHeight="1" x14ac:dyDescent="0.25">
      <c r="A17" s="11"/>
      <c r="B17" s="11" t="e">
        <f t="shared" si="0"/>
        <v>#N/A</v>
      </c>
      <c r="C17" s="11" t="s">
        <v>119</v>
      </c>
      <c r="D17" s="11">
        <v>62</v>
      </c>
      <c r="E17" s="11">
        <v>55</v>
      </c>
      <c r="F17" s="11">
        <f t="shared" si="1"/>
        <v>7</v>
      </c>
      <c r="G17" s="11"/>
      <c r="H17" s="11" t="s">
        <v>902</v>
      </c>
      <c r="I17" s="57" t="e">
        <f>VLOOKUP($H17, 'ADP Data'!$B$4:$Q$300, 2, FALSE)</f>
        <v>#N/A</v>
      </c>
      <c r="J17" s="11" t="s">
        <v>762</v>
      </c>
      <c r="K17" s="11">
        <f>VLOOKUP($H17, SeanRanks!$A$2:$H$303, 5, FALSE)</f>
        <v>0</v>
      </c>
      <c r="L17" s="11" t="str">
        <f>IF(VLOOKUP($H17, SeanRanks!$A$2:$H$303, 6, FALSE)=0, "", VLOOKUP($H17, SeanRanks!$A$2:$H$303, 6, FALSE))</f>
        <v>RB4 - 2 - low ceiling</v>
      </c>
      <c r="M17" s="11">
        <f t="shared" si="2"/>
        <v>16</v>
      </c>
      <c r="N17" s="11" t="e">
        <f>VLOOKUP($H17, 'ADP Data'!$B$4:$Q$300, 10, FALSE)</f>
        <v>#N/A</v>
      </c>
      <c r="O17" s="11" t="e">
        <f>VLOOKUP($H17, 'ADP Data'!$B$4:$Q$300, 4, FALSE)</f>
        <v>#N/A</v>
      </c>
      <c r="P17" s="11" t="e">
        <f t="shared" si="3"/>
        <v>#N/A</v>
      </c>
      <c r="Q17" s="11" t="e">
        <f>VLOOKUP($H17, 'ADP Data'!$B$4:$Q$300, 5, FALSE)</f>
        <v>#N/A</v>
      </c>
      <c r="R17" s="11" t="e">
        <f>VLOOKUP($H17, 'ADP Data'!$B$4:$Q$300, 6, FALSE)</f>
        <v>#N/A</v>
      </c>
      <c r="S17" s="11" t="e">
        <f>VLOOKUP($H17, 'ADP Data'!$B$4:$Q$300, 7, FALSE)</f>
        <v>#N/A</v>
      </c>
      <c r="T17" s="11" t="e">
        <f>VLOOKUP($H17, 'ADP Data'!$B$4:$Q$300, 8, FALSE)</f>
        <v>#N/A</v>
      </c>
      <c r="U17" s="11" t="e">
        <f>VLOOKUP($H17, 'ADP Data'!$B$4:$Q$300, 9, FALSE)</f>
        <v>#N/A</v>
      </c>
      <c r="V17" s="11" t="e">
        <f t="shared" si="4"/>
        <v>#N/A</v>
      </c>
      <c r="W17" s="11" t="e">
        <f t="shared" si="5"/>
        <v>#N/A</v>
      </c>
      <c r="X17" s="11">
        <f>IF(VLOOKUP($H17, SeanRanks!$A$2:$H$303, 7, FALSE)=0, "", VLOOKUP($H17, SeanRanks!$A$2:$H$303, 7, FALSE))</f>
        <v>47</v>
      </c>
    </row>
    <row r="18" spans="1:24" ht="14.25" customHeight="1" x14ac:dyDescent="0.25">
      <c r="A18" s="11"/>
      <c r="B18" s="11" t="e">
        <f t="shared" si="0"/>
        <v>#N/A</v>
      </c>
      <c r="C18" s="11" t="s">
        <v>119</v>
      </c>
      <c r="D18" s="11">
        <v>58</v>
      </c>
      <c r="E18" s="11">
        <v>55</v>
      </c>
      <c r="F18" s="11">
        <f t="shared" si="1"/>
        <v>3</v>
      </c>
      <c r="G18" s="11"/>
      <c r="H18" s="11" t="s">
        <v>252</v>
      </c>
      <c r="I18" s="11" t="e">
        <f>VLOOKUP($H18, 'ADP Data'!$B$4:$Q$300, 2, FALSE)</f>
        <v>#N/A</v>
      </c>
      <c r="J18" s="11" t="s">
        <v>762</v>
      </c>
      <c r="K18" s="11">
        <f>VLOOKUP($H18, SeanRanks!$A$2:$H$303, 5, FALSE)</f>
        <v>0</v>
      </c>
      <c r="L18" s="11" t="str">
        <f>IF(VLOOKUP($H18, SeanRanks!$A$2:$H$303, 6, FALSE)=0, "", VLOOKUP($H18, SeanRanks!$A$2:$H$303, 6, FALSE))</f>
        <v>RB2 - 2 - Path to spikes</v>
      </c>
      <c r="M18" s="11">
        <f t="shared" si="2"/>
        <v>16</v>
      </c>
      <c r="N18" s="11" t="e">
        <f>VLOOKUP($H18, 'ADP Data'!$B$4:$Q$300, 10, FALSE)</f>
        <v>#N/A</v>
      </c>
      <c r="O18" s="11" t="e">
        <f>VLOOKUP($H18, 'ADP Data'!$B$4:$Q$300, 4, FALSE)</f>
        <v>#N/A</v>
      </c>
      <c r="P18" s="11" t="e">
        <f t="shared" si="3"/>
        <v>#N/A</v>
      </c>
      <c r="Q18" s="11" t="e">
        <f>VLOOKUP($H18, 'ADP Data'!$B$4:$Q$300, 5, FALSE)</f>
        <v>#N/A</v>
      </c>
      <c r="R18" s="11" t="e">
        <f>VLOOKUP($H18, 'ADP Data'!$B$4:$Q$300, 6, FALSE)</f>
        <v>#N/A</v>
      </c>
      <c r="S18" s="11" t="e">
        <f>VLOOKUP($H18, 'ADP Data'!$B$4:$Q$300, 7, FALSE)</f>
        <v>#N/A</v>
      </c>
      <c r="T18" s="11" t="e">
        <f>VLOOKUP($H18, 'ADP Data'!$B$4:$Q$300, 8, FALSE)</f>
        <v>#N/A</v>
      </c>
      <c r="U18" s="11" t="e">
        <f>VLOOKUP($H18, 'ADP Data'!$B$4:$Q$300, 9, FALSE)</f>
        <v>#N/A</v>
      </c>
      <c r="V18" s="11" t="e">
        <f t="shared" si="4"/>
        <v>#N/A</v>
      </c>
      <c r="W18" s="11" t="e">
        <f t="shared" si="5"/>
        <v>#N/A</v>
      </c>
      <c r="X18" s="11">
        <f>IF(VLOOKUP($H18, SeanRanks!$A$2:$H$303, 7, FALSE)=0, "", VLOOKUP($H18, SeanRanks!$A$2:$H$303, 7, FALSE))</f>
        <v>24</v>
      </c>
    </row>
    <row r="19" spans="1:24" ht="14.25" customHeight="1" x14ac:dyDescent="0.25">
      <c r="A19" s="11"/>
      <c r="B19" s="11" t="e">
        <f t="shared" si="0"/>
        <v>#N/A</v>
      </c>
      <c r="C19" s="11" t="s">
        <v>119</v>
      </c>
      <c r="D19" s="11">
        <v>50</v>
      </c>
      <c r="E19" s="11">
        <v>43</v>
      </c>
      <c r="F19" s="11">
        <f t="shared" si="1"/>
        <v>7</v>
      </c>
      <c r="G19" s="11"/>
      <c r="H19" s="11" t="s">
        <v>103</v>
      </c>
      <c r="I19" s="11" t="e">
        <f>VLOOKUP($H19, 'ADP Data'!$B$4:$Q$300, 2, FALSE)</f>
        <v>#N/A</v>
      </c>
      <c r="J19" s="11" t="s">
        <v>764</v>
      </c>
      <c r="K19" s="11">
        <f>VLOOKUP($H19, SeanRanks!$A$2:$H$303, 5, FALSE)</f>
        <v>0</v>
      </c>
      <c r="L19" s="11" t="str">
        <f>IF(VLOOKUP($H19, SeanRanks!$A$2:$H$303, 6, FALSE)=0, "", VLOOKUP($H19, SeanRanks!$A$2:$H$303, 6, FALSE))</f>
        <v>WR1 - 3 - Inconsistent</v>
      </c>
      <c r="M19" s="11">
        <f t="shared" si="2"/>
        <v>16</v>
      </c>
      <c r="N19" s="11" t="e">
        <f>VLOOKUP($H19, 'ADP Data'!$B$4:$Q$300, 10, FALSE)</f>
        <v>#N/A</v>
      </c>
      <c r="O19" s="11" t="e">
        <f>VLOOKUP($H19, 'ADP Data'!$B$4:$Q$300, 4, FALSE)</f>
        <v>#N/A</v>
      </c>
      <c r="P19" s="11" t="e">
        <f t="shared" si="3"/>
        <v>#N/A</v>
      </c>
      <c r="Q19" s="11" t="e">
        <f>VLOOKUP($H19, 'ADP Data'!$B$4:$Q$300, 5, FALSE)</f>
        <v>#N/A</v>
      </c>
      <c r="R19" s="11" t="e">
        <f>VLOOKUP($H19, 'ADP Data'!$B$4:$Q$300, 6, FALSE)</f>
        <v>#N/A</v>
      </c>
      <c r="S19" s="11" t="e">
        <f>VLOOKUP($H19, 'ADP Data'!$B$4:$Q$300, 7, FALSE)</f>
        <v>#N/A</v>
      </c>
      <c r="T19" s="11" t="e">
        <f>VLOOKUP($H19, 'ADP Data'!$B$4:$Q$300, 8, FALSE)</f>
        <v>#N/A</v>
      </c>
      <c r="U19" s="11" t="e">
        <f>VLOOKUP($H19, 'ADP Data'!$B$4:$Q$300, 9, FALSE)</f>
        <v>#N/A</v>
      </c>
      <c r="V19" s="11" t="e">
        <f t="shared" si="4"/>
        <v>#N/A</v>
      </c>
      <c r="W19" s="11" t="e">
        <f t="shared" si="5"/>
        <v>#N/A</v>
      </c>
      <c r="X19" s="11">
        <f>IF(VLOOKUP($H19, SeanRanks!$A$2:$H$303, 7, FALSE)=0, "", VLOOKUP($H19, SeanRanks!$A$2:$H$303, 7, FALSE))</f>
        <v>11</v>
      </c>
    </row>
    <row r="20" spans="1:24" ht="14.25" customHeight="1" x14ac:dyDescent="0.25">
      <c r="A20" s="11"/>
      <c r="B20" s="11" t="e">
        <f t="shared" si="0"/>
        <v>#N/A</v>
      </c>
      <c r="C20" s="11" t="s">
        <v>119</v>
      </c>
      <c r="D20" s="11">
        <v>47</v>
      </c>
      <c r="E20" s="11">
        <v>25</v>
      </c>
      <c r="F20" s="11">
        <f t="shared" si="1"/>
        <v>22</v>
      </c>
      <c r="G20" s="11" t="s">
        <v>1110</v>
      </c>
      <c r="H20" s="11" t="s">
        <v>68</v>
      </c>
      <c r="I20" s="11" t="e">
        <f>VLOOKUP($H20, 'ADP Data'!$B$4:$Q$300, 2, FALSE)</f>
        <v>#N/A</v>
      </c>
      <c r="J20" s="11" t="s">
        <v>764</v>
      </c>
      <c r="K20" s="11">
        <f>VLOOKUP($H20, SeanRanks!$A$2:$H$303, 5, FALSE)</f>
        <v>0</v>
      </c>
      <c r="L20" s="11" t="str">
        <f>IF(VLOOKUP($H20, SeanRanks!$A$2:$H$303, 6, FALSE)=0, "", VLOOKUP($H20, SeanRanks!$A$2:$H$303, 6, FALSE))</f>
        <v>WR1 - 1 - Elite</v>
      </c>
      <c r="M20" s="11">
        <f t="shared" si="2"/>
        <v>16</v>
      </c>
      <c r="N20" s="11" t="e">
        <f>VLOOKUP($H20, 'ADP Data'!$B$4:$Q$300, 10, FALSE)</f>
        <v>#N/A</v>
      </c>
      <c r="O20" s="11" t="e">
        <f>VLOOKUP($H20, 'ADP Data'!$B$4:$Q$300, 4, FALSE)</f>
        <v>#N/A</v>
      </c>
      <c r="P20" s="11" t="e">
        <f t="shared" si="3"/>
        <v>#N/A</v>
      </c>
      <c r="Q20" s="11" t="e">
        <f>VLOOKUP($H20, 'ADP Data'!$B$4:$Q$300, 5, FALSE)</f>
        <v>#N/A</v>
      </c>
      <c r="R20" s="11" t="e">
        <f>VLOOKUP($H20, 'ADP Data'!$B$4:$Q$300, 6, FALSE)</f>
        <v>#N/A</v>
      </c>
      <c r="S20" s="11" t="e">
        <f>VLOOKUP($H20, 'ADP Data'!$B$4:$Q$300, 7, FALSE)</f>
        <v>#N/A</v>
      </c>
      <c r="T20" s="11" t="e">
        <f>VLOOKUP($H20, 'ADP Data'!$B$4:$Q$300, 8, FALSE)</f>
        <v>#N/A</v>
      </c>
      <c r="U20" s="11" t="e">
        <f>VLOOKUP($H20, 'ADP Data'!$B$4:$Q$300, 9, FALSE)</f>
        <v>#N/A</v>
      </c>
      <c r="V20" s="11" t="e">
        <f t="shared" si="4"/>
        <v>#N/A</v>
      </c>
      <c r="W20" s="11" t="e">
        <f t="shared" si="5"/>
        <v>#N/A</v>
      </c>
      <c r="X20" s="11">
        <f>IF(VLOOKUP($H20, SeanRanks!$A$2:$H$303, 7, FALSE)=0, "", VLOOKUP($H20, SeanRanks!$A$2:$H$303, 7, FALSE))</f>
        <v>3</v>
      </c>
    </row>
    <row r="21" spans="1:24" ht="14.25" customHeight="1" x14ac:dyDescent="0.25">
      <c r="A21" s="11" t="s">
        <v>1156</v>
      </c>
      <c r="B21" s="11" t="e">
        <f t="shared" si="0"/>
        <v>#N/A</v>
      </c>
      <c r="C21" s="11" t="s">
        <v>119</v>
      </c>
      <c r="D21" s="11">
        <v>41</v>
      </c>
      <c r="E21" s="11">
        <v>32</v>
      </c>
      <c r="F21" s="11">
        <f t="shared" si="1"/>
        <v>9</v>
      </c>
      <c r="G21" s="11"/>
      <c r="H21" s="11" t="s">
        <v>63</v>
      </c>
      <c r="I21" s="58" t="e">
        <f>VLOOKUP($H21, 'ADP Data'!$B$4:$Q$300, 2, FALSE)</f>
        <v>#N/A</v>
      </c>
      <c r="J21" s="11" t="s">
        <v>764</v>
      </c>
      <c r="K21" s="11">
        <f>VLOOKUP($H21, SeanRanks!$A$2:$H$303, 5, FALSE)</f>
        <v>0</v>
      </c>
      <c r="L21" s="11" t="str">
        <f>IF(VLOOKUP($H21, SeanRanks!$A$2:$H$303, 6, FALSE)=0, "", VLOOKUP($H21, SeanRanks!$A$2:$H$303, 6, FALSE))</f>
        <v>WR1 - 2 - High Floor</v>
      </c>
      <c r="M21" s="11">
        <f t="shared" si="2"/>
        <v>16</v>
      </c>
      <c r="N21" s="11" t="e">
        <f>VLOOKUP($H21, 'ADP Data'!$B$4:$Q$300, 10, FALSE)</f>
        <v>#N/A</v>
      </c>
      <c r="O21" s="11" t="e">
        <f>VLOOKUP($H21, 'ADP Data'!$B$4:$Q$300, 4, FALSE)</f>
        <v>#N/A</v>
      </c>
      <c r="P21" s="11" t="e">
        <f t="shared" si="3"/>
        <v>#N/A</v>
      </c>
      <c r="Q21" s="11" t="e">
        <f>VLOOKUP($H21, 'ADP Data'!$B$4:$Q$300, 5, FALSE)</f>
        <v>#N/A</v>
      </c>
      <c r="R21" s="11" t="e">
        <f>VLOOKUP($H21, 'ADP Data'!$B$4:$Q$300, 6, FALSE)</f>
        <v>#N/A</v>
      </c>
      <c r="S21" s="11" t="e">
        <f>VLOOKUP($H21, 'ADP Data'!$B$4:$Q$300, 7, FALSE)</f>
        <v>#N/A</v>
      </c>
      <c r="T21" s="11" t="e">
        <f>VLOOKUP($H21, 'ADP Data'!$B$4:$Q$300, 8, FALSE)</f>
        <v>#N/A</v>
      </c>
      <c r="U21" s="11" t="e">
        <f>VLOOKUP($H21, 'ADP Data'!$B$4:$Q$300, 9, FALSE)</f>
        <v>#N/A</v>
      </c>
      <c r="V21" s="11" t="e">
        <f t="shared" si="4"/>
        <v>#N/A</v>
      </c>
      <c r="W21" s="11" t="e">
        <f t="shared" si="5"/>
        <v>#N/A</v>
      </c>
      <c r="X21" s="11">
        <f>IF(VLOOKUP($H21, SeanRanks!$A$2:$H$303, 7, FALSE)=0, "", VLOOKUP($H21, SeanRanks!$A$2:$H$303, 7, FALSE))</f>
        <v>6</v>
      </c>
    </row>
    <row r="22" spans="1:24" ht="14.25" customHeight="1" x14ac:dyDescent="0.25">
      <c r="A22" s="11"/>
      <c r="B22" s="11" t="e">
        <f t="shared" si="0"/>
        <v>#N/A</v>
      </c>
      <c r="C22" s="11" t="s">
        <v>119</v>
      </c>
      <c r="D22" s="11">
        <v>45</v>
      </c>
      <c r="E22" s="11">
        <v>32</v>
      </c>
      <c r="F22" s="11">
        <f t="shared" si="1"/>
        <v>13</v>
      </c>
      <c r="G22" s="11"/>
      <c r="H22" s="11" t="s">
        <v>152</v>
      </c>
      <c r="I22" s="11" t="e">
        <f>VLOOKUP($H22, 'ADP Data'!$B$4:$Q$300, 2, FALSE)</f>
        <v>#N/A</v>
      </c>
      <c r="J22" s="11" t="s">
        <v>764</v>
      </c>
      <c r="K22" s="11">
        <f>VLOOKUP($H22, SeanRanks!$A$2:$H$303, 5, FALSE)</f>
        <v>0</v>
      </c>
      <c r="L22" s="11" t="str">
        <f>IF(VLOOKUP($H22, SeanRanks!$A$2:$H$303, 6, FALSE)=0, "", VLOOKUP($H22, SeanRanks!$A$2:$H$303, 6, FALSE))</f>
        <v>WR2 - 1 - WR1 upside</v>
      </c>
      <c r="M22" s="11">
        <f t="shared" si="2"/>
        <v>16</v>
      </c>
      <c r="N22" s="11" t="e">
        <f>VLOOKUP($H22, 'ADP Data'!$B$4:$Q$300, 10, FALSE)</f>
        <v>#N/A</v>
      </c>
      <c r="O22" s="11" t="e">
        <f>VLOOKUP($H22, 'ADP Data'!$B$4:$Q$300, 4, FALSE)</f>
        <v>#N/A</v>
      </c>
      <c r="P22" s="11" t="e">
        <f t="shared" si="3"/>
        <v>#N/A</v>
      </c>
      <c r="Q22" s="11" t="e">
        <f>VLOOKUP($H22, 'ADP Data'!$B$4:$Q$300, 5, FALSE)</f>
        <v>#N/A</v>
      </c>
      <c r="R22" s="11" t="e">
        <f>VLOOKUP($H22, 'ADP Data'!$B$4:$Q$300, 6, FALSE)</f>
        <v>#N/A</v>
      </c>
      <c r="S22" s="11" t="e">
        <f>VLOOKUP($H22, 'ADP Data'!$B$4:$Q$300, 7, FALSE)</f>
        <v>#N/A</v>
      </c>
      <c r="T22" s="11" t="e">
        <f>VLOOKUP($H22, 'ADP Data'!$B$4:$Q$300, 8, FALSE)</f>
        <v>#N/A</v>
      </c>
      <c r="U22" s="11" t="e">
        <f>VLOOKUP($H22, 'ADP Data'!$B$4:$Q$300, 9, FALSE)</f>
        <v>#N/A</v>
      </c>
      <c r="V22" s="11" t="e">
        <f t="shared" si="4"/>
        <v>#N/A</v>
      </c>
      <c r="W22" s="11" t="e">
        <f t="shared" si="5"/>
        <v>#N/A</v>
      </c>
      <c r="X22" s="11">
        <f>IF(VLOOKUP($H22, SeanRanks!$A$2:$H$303, 7, FALSE)=0, "", VLOOKUP($H22, SeanRanks!$A$2:$H$303, 7, FALSE))</f>
        <v>17</v>
      </c>
    </row>
    <row r="23" spans="1:24" ht="14.25" customHeight="1" x14ac:dyDescent="0.25">
      <c r="A23" s="11" t="s">
        <v>1156</v>
      </c>
      <c r="B23" s="11" t="e">
        <f t="shared" si="0"/>
        <v>#N/A</v>
      </c>
      <c r="C23" s="11" t="s">
        <v>119</v>
      </c>
      <c r="D23" s="11">
        <v>45</v>
      </c>
      <c r="E23" s="11">
        <v>45</v>
      </c>
      <c r="F23" s="11">
        <f t="shared" si="1"/>
        <v>0</v>
      </c>
      <c r="G23" s="11"/>
      <c r="H23" s="11" t="s">
        <v>218</v>
      </c>
      <c r="I23" s="11" t="e">
        <f>VLOOKUP($H23, 'ADP Data'!$B$4:$Q$300, 2, FALSE)</f>
        <v>#N/A</v>
      </c>
      <c r="J23" s="11" t="s">
        <v>762</v>
      </c>
      <c r="K23" s="11">
        <f>VLOOKUP($H23, SeanRanks!$A$2:$H$303, 5, FALSE)</f>
        <v>0</v>
      </c>
      <c r="L23" s="11" t="str">
        <f>IF(VLOOKUP($H23, SeanRanks!$A$2:$H$303, 6, FALSE)=0, "", VLOOKUP($H23, SeanRanks!$A$2:$H$303, 6, FALSE))</f>
        <v>RB1 - 2 - Elite ceiling/questions</v>
      </c>
      <c r="M23" s="11">
        <f t="shared" si="2"/>
        <v>16</v>
      </c>
      <c r="N23" s="11" t="e">
        <f>VLOOKUP($H23, 'ADP Data'!$B$4:$Q$300, 10, FALSE)</f>
        <v>#N/A</v>
      </c>
      <c r="O23" s="11" t="e">
        <f>VLOOKUP($H23, 'ADP Data'!$B$4:$Q$300, 4, FALSE)</f>
        <v>#N/A</v>
      </c>
      <c r="P23" s="11" t="e">
        <f t="shared" si="3"/>
        <v>#N/A</v>
      </c>
      <c r="Q23" s="11" t="e">
        <f>VLOOKUP($H23, 'ADP Data'!$B$4:$Q$300, 5, FALSE)</f>
        <v>#N/A</v>
      </c>
      <c r="R23" s="11" t="e">
        <f>VLOOKUP($H23, 'ADP Data'!$B$4:$Q$300, 6, FALSE)</f>
        <v>#N/A</v>
      </c>
      <c r="S23" s="11" t="e">
        <f>VLOOKUP($H23, 'ADP Data'!$B$4:$Q$300, 7, FALSE)</f>
        <v>#N/A</v>
      </c>
      <c r="T23" s="11" t="e">
        <f>VLOOKUP($H23, 'ADP Data'!$B$4:$Q$300, 8, FALSE)</f>
        <v>#N/A</v>
      </c>
      <c r="U23" s="11" t="e">
        <f>VLOOKUP($H23, 'ADP Data'!$B$4:$Q$300, 9, FALSE)</f>
        <v>#N/A</v>
      </c>
      <c r="V23" s="11" t="e">
        <f t="shared" si="4"/>
        <v>#N/A</v>
      </c>
      <c r="W23" s="11" t="e">
        <f t="shared" si="5"/>
        <v>#N/A</v>
      </c>
      <c r="X23" s="11">
        <f>IF(VLOOKUP($H23, SeanRanks!$A$2:$H$303, 7, FALSE)=0, "", VLOOKUP($H23, SeanRanks!$A$2:$H$303, 7, FALSE))</f>
        <v>7</v>
      </c>
    </row>
    <row r="24" spans="1:24" ht="14.25" customHeight="1" x14ac:dyDescent="0.25">
      <c r="A24" s="11"/>
      <c r="B24" s="11" t="e">
        <f t="shared" si="0"/>
        <v>#N/A</v>
      </c>
      <c r="C24" s="11" t="s">
        <v>119</v>
      </c>
      <c r="D24" s="11">
        <v>71</v>
      </c>
      <c r="E24" s="11">
        <v>38</v>
      </c>
      <c r="F24" s="11">
        <f t="shared" si="1"/>
        <v>33</v>
      </c>
      <c r="G24" s="11"/>
      <c r="H24" s="11" t="s">
        <v>90</v>
      </c>
      <c r="I24" s="80" t="e">
        <f>VLOOKUP($H24, 'ADP Data'!$B$4:$Q$300, 2, FALSE)</f>
        <v>#N/A</v>
      </c>
      <c r="J24" s="11" t="s">
        <v>762</v>
      </c>
      <c r="K24" s="11">
        <f>VLOOKUP($H24, SeanRanks!$A$2:$H$303, 5, FALSE)</f>
        <v>0</v>
      </c>
      <c r="L24" s="11" t="str">
        <f>IF(VLOOKUP($H24, SeanRanks!$A$2:$H$303, 6, FALSE)=0, "", VLOOKUP($H24, SeanRanks!$A$2:$H$303, 6, FALSE))</f>
        <v>RB1 - 2 - Elite ceiling/questions</v>
      </c>
      <c r="M24" s="11">
        <f t="shared" si="2"/>
        <v>16</v>
      </c>
      <c r="N24" s="11" t="e">
        <f>VLOOKUP($H24, 'ADP Data'!$B$4:$Q$300, 10, FALSE)</f>
        <v>#N/A</v>
      </c>
      <c r="O24" s="11" t="e">
        <f>VLOOKUP($H24, 'ADP Data'!$B$4:$Q$300, 4, FALSE)</f>
        <v>#N/A</v>
      </c>
      <c r="P24" s="11" t="e">
        <f t="shared" si="3"/>
        <v>#N/A</v>
      </c>
      <c r="Q24" s="11" t="e">
        <f>VLOOKUP($H24, 'ADP Data'!$B$4:$Q$300, 5, FALSE)</f>
        <v>#N/A</v>
      </c>
      <c r="R24" s="11" t="e">
        <f>VLOOKUP($H24, 'ADP Data'!$B$4:$Q$300, 6, FALSE)</f>
        <v>#N/A</v>
      </c>
      <c r="S24" s="11" t="e">
        <f>VLOOKUP($H24, 'ADP Data'!$B$4:$Q$300, 7, FALSE)</f>
        <v>#N/A</v>
      </c>
      <c r="T24" s="11" t="e">
        <f>VLOOKUP($H24, 'ADP Data'!$B$4:$Q$300, 8, FALSE)</f>
        <v>#N/A</v>
      </c>
      <c r="U24" s="11" t="e">
        <f>VLOOKUP($H24, 'ADP Data'!$B$4:$Q$300, 9, FALSE)</f>
        <v>#N/A</v>
      </c>
      <c r="V24" s="11" t="e">
        <f t="shared" si="4"/>
        <v>#N/A</v>
      </c>
      <c r="W24" s="11" t="e">
        <f t="shared" si="5"/>
        <v>#N/A</v>
      </c>
      <c r="X24" s="11">
        <f>IF(VLOOKUP($H24, SeanRanks!$A$2:$H$303, 7, FALSE)=0, "", VLOOKUP($H24, SeanRanks!$A$2:$H$303, 7, FALSE))</f>
        <v>8</v>
      </c>
    </row>
    <row r="25" spans="1:24" ht="14.25" customHeight="1" x14ac:dyDescent="0.25">
      <c r="A25" s="11"/>
      <c r="B25" s="11" t="e">
        <f t="shared" si="0"/>
        <v>#N/A</v>
      </c>
      <c r="C25" s="11" t="s">
        <v>119</v>
      </c>
      <c r="D25" s="11">
        <v>56</v>
      </c>
      <c r="E25" s="11">
        <v>25</v>
      </c>
      <c r="F25" s="11">
        <f t="shared" si="1"/>
        <v>31</v>
      </c>
      <c r="G25" s="11" t="s">
        <v>1110</v>
      </c>
      <c r="H25" s="11" t="s">
        <v>192</v>
      </c>
      <c r="I25" s="11" t="e">
        <f>VLOOKUP($H25, 'ADP Data'!$B$4:$Q$300, 2, FALSE)</f>
        <v>#N/A</v>
      </c>
      <c r="J25" s="11" t="s">
        <v>764</v>
      </c>
      <c r="K25" s="11">
        <f>VLOOKUP($H25, SeanRanks!$A$2:$H$303, 5, FALSE)</f>
        <v>0</v>
      </c>
      <c r="L25" s="11" t="str">
        <f>IF(VLOOKUP($H25, SeanRanks!$A$2:$H$303, 6, FALSE)=0, "", VLOOKUP($H25, SeanRanks!$A$2:$H$303, 6, FALSE))</f>
        <v>WR2 - 2 - Upside with risk</v>
      </c>
      <c r="M25" s="11">
        <f t="shared" si="2"/>
        <v>16</v>
      </c>
      <c r="N25" s="11" t="e">
        <f>VLOOKUP($H25, 'ADP Data'!$B$4:$Q$300, 10, FALSE)</f>
        <v>#N/A</v>
      </c>
      <c r="O25" s="11" t="e">
        <f>VLOOKUP($H25, 'ADP Data'!$B$4:$Q$300, 4, FALSE)</f>
        <v>#N/A</v>
      </c>
      <c r="P25" s="11" t="e">
        <f t="shared" si="3"/>
        <v>#N/A</v>
      </c>
      <c r="Q25" s="11" t="e">
        <f>VLOOKUP($H25, 'ADP Data'!$B$4:$Q$300, 5, FALSE)</f>
        <v>#N/A</v>
      </c>
      <c r="R25" s="11" t="e">
        <f>VLOOKUP($H25, 'ADP Data'!$B$4:$Q$300, 6, FALSE)</f>
        <v>#N/A</v>
      </c>
      <c r="S25" s="11" t="e">
        <f>VLOOKUP($H25, 'ADP Data'!$B$4:$Q$300, 7, FALSE)</f>
        <v>#N/A</v>
      </c>
      <c r="T25" s="11" t="e">
        <f>VLOOKUP($H25, 'ADP Data'!$B$4:$Q$300, 8, FALSE)</f>
        <v>#N/A</v>
      </c>
      <c r="U25" s="11" t="e">
        <f>VLOOKUP($H25, 'ADP Data'!$B$4:$Q$300, 9, FALSE)</f>
        <v>#N/A</v>
      </c>
      <c r="V25" s="11" t="e">
        <f t="shared" si="4"/>
        <v>#N/A</v>
      </c>
      <c r="W25" s="11" t="e">
        <f t="shared" si="5"/>
        <v>#N/A</v>
      </c>
      <c r="X25" s="11">
        <f>IF(VLOOKUP($H25, SeanRanks!$A$2:$H$303, 7, FALSE)=0, "", VLOOKUP($H25, SeanRanks!$A$2:$H$303, 7, FALSE))</f>
        <v>19</v>
      </c>
    </row>
    <row r="26" spans="1:24" ht="14.25" customHeight="1" x14ac:dyDescent="0.25">
      <c r="A26" s="11"/>
      <c r="B26" s="11" t="e">
        <f t="shared" si="0"/>
        <v>#N/A</v>
      </c>
      <c r="C26" s="11" t="s">
        <v>119</v>
      </c>
      <c r="D26" s="11">
        <v>36</v>
      </c>
      <c r="E26" s="11">
        <v>32</v>
      </c>
      <c r="F26" s="11">
        <f t="shared" si="1"/>
        <v>4</v>
      </c>
      <c r="G26" s="11"/>
      <c r="H26" s="11" t="s">
        <v>128</v>
      </c>
      <c r="I26" s="11" t="e">
        <f>VLOOKUP($H26, 'ADP Data'!$B$4:$Q$300, 2, FALSE)</f>
        <v>#N/A</v>
      </c>
      <c r="J26" s="11" t="s">
        <v>764</v>
      </c>
      <c r="K26" s="11">
        <f>VLOOKUP($H26, SeanRanks!$A$2:$H$303, 5, FALSE)</f>
        <v>0</v>
      </c>
      <c r="L26" s="11" t="str">
        <f>IF(VLOOKUP($H26, SeanRanks!$A$2:$H$303, 6, FALSE)=0, "", VLOOKUP($H26, SeanRanks!$A$2:$H$303, 6, FALSE))</f>
        <v>WR3 - 2 - mid, but path to big upside</v>
      </c>
      <c r="M26" s="11">
        <f t="shared" si="2"/>
        <v>16</v>
      </c>
      <c r="N26" s="11" t="e">
        <f>VLOOKUP($H26, 'ADP Data'!$B$4:$Q$300, 10, FALSE)</f>
        <v>#N/A</v>
      </c>
      <c r="O26" s="11" t="e">
        <f>VLOOKUP($H26, 'ADP Data'!$B$4:$Q$300, 4, FALSE)</f>
        <v>#N/A</v>
      </c>
      <c r="P26" s="11" t="e">
        <f t="shared" si="3"/>
        <v>#N/A</v>
      </c>
      <c r="Q26" s="11" t="e">
        <f>VLOOKUP($H26, 'ADP Data'!$B$4:$Q$300, 5, FALSE)</f>
        <v>#N/A</v>
      </c>
      <c r="R26" s="11" t="e">
        <f>VLOOKUP($H26, 'ADP Data'!$B$4:$Q$300, 6, FALSE)</f>
        <v>#N/A</v>
      </c>
      <c r="S26" s="11" t="e">
        <f>VLOOKUP($H26, 'ADP Data'!$B$4:$Q$300, 7, FALSE)</f>
        <v>#N/A</v>
      </c>
      <c r="T26" s="11" t="e">
        <f>VLOOKUP($H26, 'ADP Data'!$B$4:$Q$300, 8, FALSE)</f>
        <v>#N/A</v>
      </c>
      <c r="U26" s="11" t="e">
        <f>VLOOKUP($H26, 'ADP Data'!$B$4:$Q$300, 9, FALSE)</f>
        <v>#N/A</v>
      </c>
      <c r="V26" s="11" t="e">
        <f t="shared" si="4"/>
        <v>#N/A</v>
      </c>
      <c r="W26" s="11" t="e">
        <f t="shared" si="5"/>
        <v>#N/A</v>
      </c>
      <c r="X26" s="11">
        <f>IF(VLOOKUP($H26, SeanRanks!$A$2:$H$303, 7, FALSE)=0, "", VLOOKUP($H26, SeanRanks!$A$2:$H$303, 7, FALSE))</f>
        <v>32</v>
      </c>
    </row>
    <row r="27" spans="1:24" ht="14.25" customHeight="1" x14ac:dyDescent="0.25">
      <c r="A27" s="11"/>
      <c r="B27" s="11" t="e">
        <f t="shared" si="0"/>
        <v>#N/A</v>
      </c>
      <c r="C27" s="11" t="s">
        <v>119</v>
      </c>
      <c r="D27" s="11">
        <v>38</v>
      </c>
      <c r="E27" s="11">
        <v>28</v>
      </c>
      <c r="F27" s="11">
        <f t="shared" si="1"/>
        <v>10</v>
      </c>
      <c r="G27" s="11"/>
      <c r="H27" s="11" t="s">
        <v>167</v>
      </c>
      <c r="I27" s="11" t="e">
        <f>VLOOKUP($H27, 'ADP Data'!$B$4:$Q$300, 2, FALSE)</f>
        <v>#N/A</v>
      </c>
      <c r="J27" s="11" t="s">
        <v>764</v>
      </c>
      <c r="K27" s="11" t="str">
        <f>VLOOKUP($H27, SeanRanks!$A$2:$H$303, 5, FALSE)</f>
        <v>No</v>
      </c>
      <c r="L27" s="11" t="str">
        <f>IF(VLOOKUP($H27, SeanRanks!$A$2:$H$303, 6, FALSE)=0, "", VLOOKUP($H27, SeanRanks!$A$2:$H$303, 6, FALSE))</f>
        <v>WR3 - 2 - mid, but path to big upside</v>
      </c>
      <c r="M27" s="11">
        <f t="shared" si="2"/>
        <v>16</v>
      </c>
      <c r="N27" s="11" t="e">
        <f>VLOOKUP($H27, 'ADP Data'!$B$4:$Q$300, 10, FALSE)</f>
        <v>#N/A</v>
      </c>
      <c r="O27" s="11" t="e">
        <f>VLOOKUP($H27, 'ADP Data'!$B$4:$Q$300, 4, FALSE)</f>
        <v>#N/A</v>
      </c>
      <c r="P27" s="11" t="e">
        <f t="shared" si="3"/>
        <v>#N/A</v>
      </c>
      <c r="Q27" s="11" t="e">
        <f>VLOOKUP($H27, 'ADP Data'!$B$4:$Q$300, 5, FALSE)</f>
        <v>#N/A</v>
      </c>
      <c r="R27" s="11" t="e">
        <f>VLOOKUP($H27, 'ADP Data'!$B$4:$Q$300, 6, FALSE)</f>
        <v>#N/A</v>
      </c>
      <c r="S27" s="11" t="e">
        <f>VLOOKUP($H27, 'ADP Data'!$B$4:$Q$300, 7, FALSE)</f>
        <v>#N/A</v>
      </c>
      <c r="T27" s="11" t="e">
        <f>VLOOKUP($H27, 'ADP Data'!$B$4:$Q$300, 8, FALSE)</f>
        <v>#N/A</v>
      </c>
      <c r="U27" s="11" t="e">
        <f>VLOOKUP($H27, 'ADP Data'!$B$4:$Q$300, 9, FALSE)</f>
        <v>#N/A</v>
      </c>
      <c r="V27" s="11" t="e">
        <f t="shared" si="4"/>
        <v>#N/A</v>
      </c>
      <c r="W27" s="11" t="e">
        <f t="shared" si="5"/>
        <v>#N/A</v>
      </c>
      <c r="X27" s="11">
        <f>IF(VLOOKUP($H27, SeanRanks!$A$2:$H$303, 7, FALSE)=0, "", VLOOKUP($H27, SeanRanks!$A$2:$H$303, 7, FALSE))</f>
        <v>31</v>
      </c>
    </row>
    <row r="28" spans="1:24" ht="14.25" customHeight="1" x14ac:dyDescent="0.25">
      <c r="A28" s="11"/>
      <c r="B28" s="11" t="e">
        <f t="shared" si="0"/>
        <v>#N/A</v>
      </c>
      <c r="C28" s="11" t="s">
        <v>119</v>
      </c>
      <c r="D28" s="11">
        <v>34</v>
      </c>
      <c r="E28" s="11">
        <v>33</v>
      </c>
      <c r="F28" s="11">
        <f t="shared" si="1"/>
        <v>1</v>
      </c>
      <c r="G28" s="11"/>
      <c r="H28" s="11" t="s">
        <v>804</v>
      </c>
      <c r="I28" s="11" t="e">
        <f>VLOOKUP($H28, 'ADP Data'!$B$4:$Q$300, 2, FALSE)</f>
        <v>#N/A</v>
      </c>
      <c r="J28" s="11" t="s">
        <v>762</v>
      </c>
      <c r="K28" s="11">
        <f>VLOOKUP($H28, SeanRanks!$A$2:$H$303, 5, FALSE)</f>
        <v>0</v>
      </c>
      <c r="L28" s="11" t="str">
        <f>IF(VLOOKUP($H28, SeanRanks!$A$2:$H$303, 6, FALSE)=0, "", VLOOKUP($H28, SeanRanks!$A$2:$H$303, 6, FALSE))</f>
        <v>RB2 - 2 - Path to spikes</v>
      </c>
      <c r="M28" s="11">
        <f t="shared" si="2"/>
        <v>16</v>
      </c>
      <c r="N28" s="11" t="e">
        <f>VLOOKUP($H28, 'ADP Data'!$B$4:$Q$300, 10, FALSE)</f>
        <v>#N/A</v>
      </c>
      <c r="O28" s="11" t="e">
        <f>VLOOKUP($H28, 'ADP Data'!$B$4:$Q$300, 4, FALSE)</f>
        <v>#N/A</v>
      </c>
      <c r="P28" s="11" t="e">
        <f t="shared" si="3"/>
        <v>#N/A</v>
      </c>
      <c r="Q28" s="11" t="e">
        <f>VLOOKUP($H28, 'ADP Data'!$B$4:$Q$300, 5, FALSE)</f>
        <v>#N/A</v>
      </c>
      <c r="R28" s="11" t="e">
        <f>VLOOKUP($H28, 'ADP Data'!$B$4:$Q$300, 6, FALSE)</f>
        <v>#N/A</v>
      </c>
      <c r="S28" s="11" t="e">
        <f>VLOOKUP($H28, 'ADP Data'!$B$4:$Q$300, 7, FALSE)</f>
        <v>#N/A</v>
      </c>
      <c r="T28" s="11" t="e">
        <f>VLOOKUP($H28, 'ADP Data'!$B$4:$Q$300, 8, FALSE)</f>
        <v>#N/A</v>
      </c>
      <c r="U28" s="11" t="e">
        <f>VLOOKUP($H28, 'ADP Data'!$B$4:$Q$300, 9, FALSE)</f>
        <v>#N/A</v>
      </c>
      <c r="V28" s="11" t="e">
        <f t="shared" si="4"/>
        <v>#N/A</v>
      </c>
      <c r="W28" s="11" t="e">
        <f t="shared" si="5"/>
        <v>#N/A</v>
      </c>
      <c r="X28" s="11">
        <f>IF(VLOOKUP($H28, SeanRanks!$A$2:$H$303, 7, FALSE)=0, "", VLOOKUP($H28, SeanRanks!$A$2:$H$303, 7, FALSE))</f>
        <v>22</v>
      </c>
    </row>
    <row r="29" spans="1:24" ht="14.25" customHeight="1" x14ac:dyDescent="0.25">
      <c r="A29" s="11"/>
      <c r="B29" s="11" t="e">
        <f t="shared" si="0"/>
        <v>#N/A</v>
      </c>
      <c r="C29" s="11" t="s">
        <v>119</v>
      </c>
      <c r="D29" s="11">
        <v>39</v>
      </c>
      <c r="E29" s="11">
        <v>29</v>
      </c>
      <c r="F29" s="11">
        <f t="shared" si="1"/>
        <v>10</v>
      </c>
      <c r="G29" s="11" t="s">
        <v>148</v>
      </c>
      <c r="H29" s="11" t="s">
        <v>131</v>
      </c>
      <c r="I29" s="11" t="e">
        <f>VLOOKUP($H29, 'ADP Data'!$B$4:$Q$300, 2, FALSE)</f>
        <v>#N/A</v>
      </c>
      <c r="J29" s="11" t="s">
        <v>760</v>
      </c>
      <c r="K29" s="11">
        <f>VLOOKUP($H29, SeanRanks!$A$2:$H$303, 5, FALSE)</f>
        <v>0</v>
      </c>
      <c r="L29" s="11" t="str">
        <f>IF(VLOOKUP($H29, SeanRanks!$A$2:$H$303, 6, FALSE)=0, "", VLOOKUP($H29, SeanRanks!$A$2:$H$303, 6, FALSE))</f>
        <v>QB1 - 1 - Elite</v>
      </c>
      <c r="M29" s="11">
        <f t="shared" si="2"/>
        <v>16</v>
      </c>
      <c r="N29" s="11" t="e">
        <f>VLOOKUP($H29, 'ADP Data'!$B$4:$Q$300, 10, FALSE)</f>
        <v>#N/A</v>
      </c>
      <c r="O29" s="11" t="e">
        <f>VLOOKUP($H29, 'ADP Data'!$B$4:$Q$300, 4, FALSE)</f>
        <v>#N/A</v>
      </c>
      <c r="P29" s="11" t="e">
        <f t="shared" si="3"/>
        <v>#N/A</v>
      </c>
      <c r="Q29" s="11" t="e">
        <f>VLOOKUP($H29, 'ADP Data'!$B$4:$Q$300, 5, FALSE)</f>
        <v>#N/A</v>
      </c>
      <c r="R29" s="11" t="e">
        <f>VLOOKUP($H29, 'ADP Data'!$B$4:$Q$300, 6, FALSE)</f>
        <v>#N/A</v>
      </c>
      <c r="S29" s="11" t="e">
        <f>VLOOKUP($H29, 'ADP Data'!$B$4:$Q$300, 7, FALSE)</f>
        <v>#N/A</v>
      </c>
      <c r="T29" s="11" t="e">
        <f>VLOOKUP($H29, 'ADP Data'!$B$4:$Q$300, 8, FALSE)</f>
        <v>#N/A</v>
      </c>
      <c r="U29" s="11" t="e">
        <f>VLOOKUP($H29, 'ADP Data'!$B$4:$Q$300, 9, FALSE)</f>
        <v>#N/A</v>
      </c>
      <c r="V29" s="11" t="e">
        <f t="shared" si="4"/>
        <v>#N/A</v>
      </c>
      <c r="W29" s="11" t="e">
        <f t="shared" si="5"/>
        <v>#N/A</v>
      </c>
      <c r="X29" s="11">
        <f>IF(VLOOKUP($H29, SeanRanks!$A$2:$H$303, 7, FALSE)=0, "", VLOOKUP($H29, SeanRanks!$A$2:$H$303, 7, FALSE))</f>
        <v>2</v>
      </c>
    </row>
    <row r="30" spans="1:24" ht="14.25" customHeight="1" x14ac:dyDescent="0.25">
      <c r="A30" s="11"/>
      <c r="B30" s="11" t="e">
        <f t="shared" si="0"/>
        <v>#N/A</v>
      </c>
      <c r="C30" s="11" t="s">
        <v>119</v>
      </c>
      <c r="D30" s="11">
        <v>13</v>
      </c>
      <c r="E30" s="11">
        <v>15</v>
      </c>
      <c r="F30" s="11">
        <f t="shared" si="1"/>
        <v>-2</v>
      </c>
      <c r="G30" s="11"/>
      <c r="H30" s="11" t="s">
        <v>58</v>
      </c>
      <c r="I30" s="80" t="e">
        <f>VLOOKUP($H30, 'ADP Data'!$B$4:$Q$300, 2, FALSE)</f>
        <v>#N/A</v>
      </c>
      <c r="J30" s="11" t="s">
        <v>762</v>
      </c>
      <c r="K30" s="11" t="str">
        <f>VLOOKUP($H30, SeanRanks!$A$2:$H$303, 5, FALSE)</f>
        <v>No</v>
      </c>
      <c r="L30" s="11" t="str">
        <f>IF(VLOOKUP($H30, SeanRanks!$A$2:$H$303, 6, FALSE)=0, "", VLOOKUP($H30, SeanRanks!$A$2:$H$303, 6, FALSE))</f>
        <v>RB1 - 2 - Elite ceiling/questions</v>
      </c>
      <c r="M30" s="11">
        <f t="shared" si="2"/>
        <v>16</v>
      </c>
      <c r="N30" s="11" t="e">
        <f>VLOOKUP($H30, 'ADP Data'!$B$4:$Q$300, 10, FALSE)</f>
        <v>#N/A</v>
      </c>
      <c r="O30" s="11" t="e">
        <f>VLOOKUP($H30, 'ADP Data'!$B$4:$Q$300, 4, FALSE)</f>
        <v>#N/A</v>
      </c>
      <c r="P30" s="11" t="e">
        <f t="shared" si="3"/>
        <v>#N/A</v>
      </c>
      <c r="Q30" s="11" t="e">
        <f>VLOOKUP($H30, 'ADP Data'!$B$4:$Q$300, 5, FALSE)</f>
        <v>#N/A</v>
      </c>
      <c r="R30" s="11" t="e">
        <f>VLOOKUP($H30, 'ADP Data'!$B$4:$Q$300, 6, FALSE)</f>
        <v>#N/A</v>
      </c>
      <c r="S30" s="11" t="e">
        <f>VLOOKUP($H30, 'ADP Data'!$B$4:$Q$300, 7, FALSE)</f>
        <v>#N/A</v>
      </c>
      <c r="T30" s="11" t="e">
        <f>VLOOKUP($H30, 'ADP Data'!$B$4:$Q$300, 8, FALSE)</f>
        <v>#N/A</v>
      </c>
      <c r="U30" s="11" t="e">
        <f>VLOOKUP($H30, 'ADP Data'!$B$4:$Q$300, 9, FALSE)</f>
        <v>#N/A</v>
      </c>
      <c r="V30" s="11" t="e">
        <f t="shared" si="4"/>
        <v>#N/A</v>
      </c>
      <c r="W30" s="11" t="e">
        <f t="shared" si="5"/>
        <v>#N/A</v>
      </c>
      <c r="X30" s="11">
        <f>IF(VLOOKUP($H30, SeanRanks!$A$2:$H$303, 7, FALSE)=0, "", VLOOKUP($H30, SeanRanks!$A$2:$H$303, 7, FALSE))</f>
        <v>12</v>
      </c>
    </row>
    <row r="31" spans="1:24" ht="14.25" customHeight="1" x14ac:dyDescent="0.25">
      <c r="A31" s="11"/>
      <c r="B31" s="11" t="e">
        <f t="shared" si="0"/>
        <v>#N/A</v>
      </c>
      <c r="C31" s="11" t="s">
        <v>119</v>
      </c>
      <c r="D31" s="11">
        <v>26</v>
      </c>
      <c r="E31" s="11">
        <v>23</v>
      </c>
      <c r="F31" s="11">
        <f t="shared" si="1"/>
        <v>3</v>
      </c>
      <c r="G31" s="11" t="s">
        <v>1112</v>
      </c>
      <c r="H31" s="11" t="s">
        <v>139</v>
      </c>
      <c r="I31" s="11" t="e">
        <f>VLOOKUP($H31, 'ADP Data'!$B$4:$Q$300, 2, FALSE)</f>
        <v>#N/A</v>
      </c>
      <c r="J31" s="11" t="s">
        <v>764</v>
      </c>
      <c r="K31" s="11">
        <f>VLOOKUP($H31, SeanRanks!$A$2:$H$303, 5, FALSE)</f>
        <v>0</v>
      </c>
      <c r="L31" s="11" t="str">
        <f>IF(VLOOKUP($H31, SeanRanks!$A$2:$H$303, 6, FALSE)=0, "", VLOOKUP($H31, SeanRanks!$A$2:$H$303, 6, FALSE))</f>
        <v>WR2 - 2 - Upside with risk</v>
      </c>
      <c r="M31" s="11">
        <f t="shared" si="2"/>
        <v>16</v>
      </c>
      <c r="N31" s="11" t="e">
        <f>VLOOKUP($H31, 'ADP Data'!$B$4:$Q$300, 10, FALSE)</f>
        <v>#N/A</v>
      </c>
      <c r="O31" s="11" t="e">
        <f>VLOOKUP($H31, 'ADP Data'!$B$4:$Q$300, 4, FALSE)</f>
        <v>#N/A</v>
      </c>
      <c r="P31" s="11" t="e">
        <f t="shared" si="3"/>
        <v>#N/A</v>
      </c>
      <c r="Q31" s="11" t="e">
        <f>VLOOKUP($H31, 'ADP Data'!$B$4:$Q$300, 5, FALSE)</f>
        <v>#N/A</v>
      </c>
      <c r="R31" s="11" t="e">
        <f>VLOOKUP($H31, 'ADP Data'!$B$4:$Q$300, 6, FALSE)</f>
        <v>#N/A</v>
      </c>
      <c r="S31" s="11" t="e">
        <f>VLOOKUP($H31, 'ADP Data'!$B$4:$Q$300, 7, FALSE)</f>
        <v>#N/A</v>
      </c>
      <c r="T31" s="11" t="e">
        <f>VLOOKUP($H31, 'ADP Data'!$B$4:$Q$300, 8, FALSE)</f>
        <v>#N/A</v>
      </c>
      <c r="U31" s="11" t="e">
        <f>VLOOKUP($H31, 'ADP Data'!$B$4:$Q$300, 9, FALSE)</f>
        <v>#N/A</v>
      </c>
      <c r="V31" s="11" t="e">
        <f t="shared" si="4"/>
        <v>#N/A</v>
      </c>
      <c r="W31" s="11" t="e">
        <f t="shared" si="5"/>
        <v>#N/A</v>
      </c>
      <c r="X31" s="11">
        <f>IF(VLOOKUP($H31, SeanRanks!$A$2:$H$303, 7, FALSE)=0, "", VLOOKUP($H31, SeanRanks!$A$2:$H$303, 7, FALSE))</f>
        <v>18</v>
      </c>
    </row>
    <row r="32" spans="1:24" ht="14.25" customHeight="1" x14ac:dyDescent="0.25">
      <c r="A32" s="11"/>
      <c r="B32" s="11" t="e">
        <f t="shared" si="0"/>
        <v>#N/A</v>
      </c>
      <c r="C32" s="11" t="s">
        <v>119</v>
      </c>
      <c r="D32" s="11">
        <v>39</v>
      </c>
      <c r="E32" s="11">
        <v>28</v>
      </c>
      <c r="F32" s="11">
        <f t="shared" si="1"/>
        <v>11</v>
      </c>
      <c r="G32" s="11"/>
      <c r="H32" s="11" t="s">
        <v>248</v>
      </c>
      <c r="I32" s="11" t="e">
        <f>VLOOKUP($H32, 'ADP Data'!$B$4:$Q$300, 2, FALSE)</f>
        <v>#N/A</v>
      </c>
      <c r="J32" s="11" t="s">
        <v>764</v>
      </c>
      <c r="K32" s="11">
        <f>VLOOKUP($H32, SeanRanks!$A$2:$H$303, 5, FALSE)</f>
        <v>0</v>
      </c>
      <c r="L32" s="11" t="str">
        <f>IF(VLOOKUP($H32, SeanRanks!$A$2:$H$303, 6, FALSE)=0, "", VLOOKUP($H32, SeanRanks!$A$2:$H$303, 6, FALSE))</f>
        <v>WR2 - 2 - Upside with risk</v>
      </c>
      <c r="M32" s="11">
        <f t="shared" si="2"/>
        <v>16</v>
      </c>
      <c r="N32" s="11" t="e">
        <f>VLOOKUP($H32, 'ADP Data'!$B$4:$Q$300, 10, FALSE)</f>
        <v>#N/A</v>
      </c>
      <c r="O32" s="11" t="e">
        <f>VLOOKUP($H32, 'ADP Data'!$B$4:$Q$300, 4, FALSE)</f>
        <v>#N/A</v>
      </c>
      <c r="P32" s="11" t="e">
        <f t="shared" si="3"/>
        <v>#N/A</v>
      </c>
      <c r="Q32" s="11" t="e">
        <f>VLOOKUP($H32, 'ADP Data'!$B$4:$Q$300, 5, FALSE)</f>
        <v>#N/A</v>
      </c>
      <c r="R32" s="11" t="e">
        <f>VLOOKUP($H32, 'ADP Data'!$B$4:$Q$300, 6, FALSE)</f>
        <v>#N/A</v>
      </c>
      <c r="S32" s="11" t="e">
        <f>VLOOKUP($H32, 'ADP Data'!$B$4:$Q$300, 7, FALSE)</f>
        <v>#N/A</v>
      </c>
      <c r="T32" s="11" t="e">
        <f>VLOOKUP($H32, 'ADP Data'!$B$4:$Q$300, 8, FALSE)</f>
        <v>#N/A</v>
      </c>
      <c r="U32" s="11" t="e">
        <f>VLOOKUP($H32, 'ADP Data'!$B$4:$Q$300, 9, FALSE)</f>
        <v>#N/A</v>
      </c>
      <c r="V32" s="11" t="e">
        <f t="shared" si="4"/>
        <v>#N/A</v>
      </c>
      <c r="W32" s="11" t="e">
        <f t="shared" si="5"/>
        <v>#N/A</v>
      </c>
      <c r="X32" s="11">
        <f>IF(VLOOKUP($H32, SeanRanks!$A$2:$H$303, 7, FALSE)=0, "", VLOOKUP($H32, SeanRanks!$A$2:$H$303, 7, FALSE))</f>
        <v>20</v>
      </c>
    </row>
    <row r="33" spans="1:24" ht="14.25" customHeight="1" x14ac:dyDescent="0.25">
      <c r="A33" s="11"/>
      <c r="B33" s="11" t="e">
        <f t="shared" si="0"/>
        <v>#N/A</v>
      </c>
      <c r="C33" s="11" t="s">
        <v>119</v>
      </c>
      <c r="D33" s="11">
        <v>37</v>
      </c>
      <c r="E33" s="11">
        <v>15</v>
      </c>
      <c r="F33" s="11">
        <f t="shared" si="1"/>
        <v>22</v>
      </c>
      <c r="G33" s="11" t="s">
        <v>1110</v>
      </c>
      <c r="H33" s="11" t="s">
        <v>150</v>
      </c>
      <c r="I33" s="11" t="e">
        <f>VLOOKUP($H33, 'ADP Data'!$B$4:$Q$300, 2, FALSE)</f>
        <v>#N/A</v>
      </c>
      <c r="J33" s="11" t="s">
        <v>764</v>
      </c>
      <c r="K33" s="11">
        <f>VLOOKUP($H33, SeanRanks!$A$2:$H$303, 5, FALSE)</f>
        <v>0</v>
      </c>
      <c r="L33" s="11" t="str">
        <f>IF(VLOOKUP($H33, SeanRanks!$A$2:$H$303, 6, FALSE)=0, "", VLOOKUP($H33, SeanRanks!$A$2:$H$303, 6, FALSE))</f>
        <v>WR1 - 3 - Inconsistent</v>
      </c>
      <c r="M33" s="11">
        <f t="shared" si="2"/>
        <v>16</v>
      </c>
      <c r="N33" s="11" t="e">
        <f>VLOOKUP($H33, 'ADP Data'!$B$4:$Q$300, 10, FALSE)</f>
        <v>#N/A</v>
      </c>
      <c r="O33" s="11" t="e">
        <f>VLOOKUP($H33, 'ADP Data'!$B$4:$Q$300, 4, FALSE)</f>
        <v>#N/A</v>
      </c>
      <c r="P33" s="11" t="e">
        <f t="shared" si="3"/>
        <v>#N/A</v>
      </c>
      <c r="Q33" s="11" t="e">
        <f>VLOOKUP($H33, 'ADP Data'!$B$4:$Q$300, 5, FALSE)</f>
        <v>#N/A</v>
      </c>
      <c r="R33" s="11" t="e">
        <f>VLOOKUP($H33, 'ADP Data'!$B$4:$Q$300, 6, FALSE)</f>
        <v>#N/A</v>
      </c>
      <c r="S33" s="11" t="e">
        <f>VLOOKUP($H33, 'ADP Data'!$B$4:$Q$300, 7, FALSE)</f>
        <v>#N/A</v>
      </c>
      <c r="T33" s="11" t="e">
        <f>VLOOKUP($H33, 'ADP Data'!$B$4:$Q$300, 8, FALSE)</f>
        <v>#N/A</v>
      </c>
      <c r="U33" s="11" t="e">
        <f>VLOOKUP($H33, 'ADP Data'!$B$4:$Q$300, 9, FALSE)</f>
        <v>#N/A</v>
      </c>
      <c r="V33" s="11" t="e">
        <f t="shared" si="4"/>
        <v>#N/A</v>
      </c>
      <c r="W33" s="11" t="e">
        <f t="shared" si="5"/>
        <v>#N/A</v>
      </c>
      <c r="X33" s="11">
        <f>IF(VLOOKUP($H33, SeanRanks!$A$2:$H$303, 7, FALSE)=0, "", VLOOKUP($H33, SeanRanks!$A$2:$H$303, 7, FALSE))</f>
        <v>12</v>
      </c>
    </row>
    <row r="34" spans="1:24" ht="14.25" customHeight="1" x14ac:dyDescent="0.25">
      <c r="A34" s="11"/>
      <c r="B34" s="11" t="e">
        <f t="shared" si="0"/>
        <v>#N/A</v>
      </c>
      <c r="C34" s="11" t="s">
        <v>119</v>
      </c>
      <c r="D34" s="11">
        <v>33</v>
      </c>
      <c r="E34" s="11">
        <v>35</v>
      </c>
      <c r="F34" s="11">
        <f t="shared" si="1"/>
        <v>-2</v>
      </c>
      <c r="G34" s="11"/>
      <c r="H34" s="11" t="s">
        <v>34</v>
      </c>
      <c r="I34" s="58" t="e">
        <f>VLOOKUP($H34, 'ADP Data'!$B$4:$Q$300, 2, FALSE)</f>
        <v>#N/A</v>
      </c>
      <c r="J34" s="11" t="s">
        <v>762</v>
      </c>
      <c r="K34" s="11">
        <f>VLOOKUP($H34, SeanRanks!$A$2:$H$303, 5, FALSE)</f>
        <v>0</v>
      </c>
      <c r="L34" s="11" t="str">
        <f>IF(VLOOKUP($H34, SeanRanks!$A$2:$H$303, 6, FALSE)=0, "", VLOOKUP($H34, SeanRanks!$A$2:$H$303, 6, FALSE))</f>
        <v>RB1 - 1 - Elite floor/ceiling</v>
      </c>
      <c r="M34" s="11">
        <f t="shared" si="2"/>
        <v>16</v>
      </c>
      <c r="N34" s="11" t="e">
        <f>VLOOKUP($H34, 'ADP Data'!$B$4:$Q$300, 10, FALSE)</f>
        <v>#N/A</v>
      </c>
      <c r="O34" s="11" t="e">
        <f>VLOOKUP($H34, 'ADP Data'!$B$4:$Q$300, 4, FALSE)</f>
        <v>#N/A</v>
      </c>
      <c r="P34" s="11" t="e">
        <f t="shared" si="3"/>
        <v>#N/A</v>
      </c>
      <c r="Q34" s="11" t="e">
        <f>VLOOKUP($H34, 'ADP Data'!$B$4:$Q$300, 5, FALSE)</f>
        <v>#N/A</v>
      </c>
      <c r="R34" s="11" t="e">
        <f>VLOOKUP($H34, 'ADP Data'!$B$4:$Q$300, 6, FALSE)</f>
        <v>#N/A</v>
      </c>
      <c r="S34" s="11" t="e">
        <f>VLOOKUP($H34, 'ADP Data'!$B$4:$Q$300, 7, FALSE)</f>
        <v>#N/A</v>
      </c>
      <c r="T34" s="11" t="e">
        <f>VLOOKUP($H34, 'ADP Data'!$B$4:$Q$300, 8, FALSE)</f>
        <v>#N/A</v>
      </c>
      <c r="U34" s="11" t="e">
        <f>VLOOKUP($H34, 'ADP Data'!$B$4:$Q$300, 9, FALSE)</f>
        <v>#N/A</v>
      </c>
      <c r="V34" s="11" t="e">
        <f t="shared" si="4"/>
        <v>#N/A</v>
      </c>
      <c r="W34" s="11" t="e">
        <f t="shared" si="5"/>
        <v>#N/A</v>
      </c>
      <c r="X34" s="11">
        <f>IF(VLOOKUP($H34, SeanRanks!$A$2:$H$303, 7, FALSE)=0, "", VLOOKUP($H34, SeanRanks!$A$2:$H$303, 7, FALSE))</f>
        <v>3</v>
      </c>
    </row>
    <row r="35" spans="1:24" ht="14.25" customHeight="1" x14ac:dyDescent="0.25">
      <c r="A35" s="11"/>
      <c r="B35" s="11" t="e">
        <f t="shared" si="0"/>
        <v>#N/A</v>
      </c>
      <c r="C35" s="11" t="s">
        <v>119</v>
      </c>
      <c r="D35" s="11">
        <v>30</v>
      </c>
      <c r="E35" s="11">
        <v>20</v>
      </c>
      <c r="F35" s="11">
        <f t="shared" si="1"/>
        <v>10</v>
      </c>
      <c r="G35" s="11"/>
      <c r="H35" s="11" t="s">
        <v>634</v>
      </c>
      <c r="I35" s="80" t="e">
        <f>VLOOKUP($H35, 'ADP Data'!$B$4:$Q$300, 2, FALSE)</f>
        <v>#N/A</v>
      </c>
      <c r="J35" s="11" t="s">
        <v>762</v>
      </c>
      <c r="K35" s="11">
        <f>VLOOKUP($H35, SeanRanks!$A$2:$H$303, 5, FALSE)</f>
        <v>0</v>
      </c>
      <c r="L35" s="11" t="str">
        <f>IF(VLOOKUP($H35, SeanRanks!$A$2:$H$303, 6, FALSE)=0, "", VLOOKUP($H35, SeanRanks!$A$2:$H$303, 6, FALSE))</f>
        <v>RB4 - 1 - Path to spikes</v>
      </c>
      <c r="M35" s="11">
        <f t="shared" si="2"/>
        <v>16</v>
      </c>
      <c r="N35" s="11" t="e">
        <f>VLOOKUP($H35, 'ADP Data'!$B$4:$Q$300, 10, FALSE)</f>
        <v>#N/A</v>
      </c>
      <c r="O35" s="11" t="e">
        <f>VLOOKUP($H35, 'ADP Data'!$B$4:$Q$300, 4, FALSE)</f>
        <v>#N/A</v>
      </c>
      <c r="P35" s="11" t="e">
        <f t="shared" si="3"/>
        <v>#N/A</v>
      </c>
      <c r="Q35" s="11" t="e">
        <f>VLOOKUP($H35, 'ADP Data'!$B$4:$Q$300, 5, FALSE)</f>
        <v>#N/A</v>
      </c>
      <c r="R35" s="11" t="e">
        <f>VLOOKUP($H35, 'ADP Data'!$B$4:$Q$300, 6, FALSE)</f>
        <v>#N/A</v>
      </c>
      <c r="S35" s="11" t="e">
        <f>VLOOKUP($H35, 'ADP Data'!$B$4:$Q$300, 7, FALSE)</f>
        <v>#N/A</v>
      </c>
      <c r="T35" s="11" t="e">
        <f>VLOOKUP($H35, 'ADP Data'!$B$4:$Q$300, 8, FALSE)</f>
        <v>#N/A</v>
      </c>
      <c r="U35" s="11" t="e">
        <f>VLOOKUP($H35, 'ADP Data'!$B$4:$Q$300, 9, FALSE)</f>
        <v>#N/A</v>
      </c>
      <c r="V35" s="11" t="e">
        <f t="shared" si="4"/>
        <v>#N/A</v>
      </c>
      <c r="W35" s="11" t="e">
        <f t="shared" si="5"/>
        <v>#N/A</v>
      </c>
      <c r="X35" s="11">
        <f>IF(VLOOKUP($H35, SeanRanks!$A$2:$H$303, 7, FALSE)=0, "", VLOOKUP($H35, SeanRanks!$A$2:$H$303, 7, FALSE))</f>
        <v>39</v>
      </c>
    </row>
    <row r="36" spans="1:24" ht="14.25" customHeight="1" x14ac:dyDescent="0.25">
      <c r="A36" s="11"/>
      <c r="B36" s="11" t="e">
        <f t="shared" si="0"/>
        <v>#N/A</v>
      </c>
      <c r="C36" s="11" t="s">
        <v>119</v>
      </c>
      <c r="D36" s="11">
        <v>35</v>
      </c>
      <c r="E36" s="11">
        <v>20</v>
      </c>
      <c r="F36" s="11">
        <f t="shared" si="1"/>
        <v>15</v>
      </c>
      <c r="G36" s="11" t="s">
        <v>1112</v>
      </c>
      <c r="H36" s="11" t="s">
        <v>235</v>
      </c>
      <c r="I36" s="11" t="e">
        <f>VLOOKUP($H36, 'ADP Data'!$B$4:$Q$300, 2, FALSE)</f>
        <v>#N/A</v>
      </c>
      <c r="J36" s="11" t="s">
        <v>760</v>
      </c>
      <c r="K36" s="11">
        <f>VLOOKUP($H36, SeanRanks!$A$2:$H$303, 5, FALSE)</f>
        <v>0</v>
      </c>
      <c r="L36" s="11" t="str">
        <f>IF(VLOOKUP($H36, SeanRanks!$A$2:$H$303, 6, FALSE)=0, "", VLOOKUP($H36, SeanRanks!$A$2:$H$303, 6, FALSE))</f>
        <v>QB1 - 2 - QB1 Upside</v>
      </c>
      <c r="M36" s="11">
        <f t="shared" si="2"/>
        <v>16</v>
      </c>
      <c r="N36" s="11" t="e">
        <f>VLOOKUP($H36, 'ADP Data'!$B$4:$Q$300, 10, FALSE)</f>
        <v>#N/A</v>
      </c>
      <c r="O36" s="11" t="e">
        <f>VLOOKUP($H36, 'ADP Data'!$B$4:$Q$300, 4, FALSE)</f>
        <v>#N/A</v>
      </c>
      <c r="P36" s="11" t="e">
        <f t="shared" si="3"/>
        <v>#N/A</v>
      </c>
      <c r="Q36" s="11" t="e">
        <f>VLOOKUP($H36, 'ADP Data'!$B$4:$Q$300, 5, FALSE)</f>
        <v>#N/A</v>
      </c>
      <c r="R36" s="11" t="e">
        <f>VLOOKUP($H36, 'ADP Data'!$B$4:$Q$300, 6, FALSE)</f>
        <v>#N/A</v>
      </c>
      <c r="S36" s="11" t="e">
        <f>VLOOKUP($H36, 'ADP Data'!$B$4:$Q$300, 7, FALSE)</f>
        <v>#N/A</v>
      </c>
      <c r="T36" s="11" t="e">
        <f>VLOOKUP($H36, 'ADP Data'!$B$4:$Q$300, 8, FALSE)</f>
        <v>#N/A</v>
      </c>
      <c r="U36" s="11" t="e">
        <f>VLOOKUP($H36, 'ADP Data'!$B$4:$Q$300, 9, FALSE)</f>
        <v>#N/A</v>
      </c>
      <c r="V36" s="11" t="e">
        <f t="shared" si="4"/>
        <v>#N/A</v>
      </c>
      <c r="W36" s="11" t="e">
        <f t="shared" si="5"/>
        <v>#N/A</v>
      </c>
      <c r="X36" s="11">
        <f>IF(VLOOKUP($H36, SeanRanks!$A$2:$H$303, 7, FALSE)=0, "", VLOOKUP($H36, SeanRanks!$A$2:$H$303, 7, FALSE))</f>
        <v>3</v>
      </c>
    </row>
    <row r="37" spans="1:24" ht="14.25" customHeight="1" x14ac:dyDescent="0.25">
      <c r="A37" s="11"/>
      <c r="B37" s="11" t="e">
        <f t="shared" si="0"/>
        <v>#N/A</v>
      </c>
      <c r="C37" s="11" t="s">
        <v>119</v>
      </c>
      <c r="D37" s="11">
        <v>25</v>
      </c>
      <c r="E37" s="11">
        <v>17</v>
      </c>
      <c r="F37" s="11">
        <f t="shared" si="1"/>
        <v>8</v>
      </c>
      <c r="G37" s="11" t="s">
        <v>1112</v>
      </c>
      <c r="H37" s="11" t="s">
        <v>478</v>
      </c>
      <c r="I37" s="11" t="e">
        <f>VLOOKUP($H37, 'ADP Data'!$B$4:$Q$300, 2, FALSE)</f>
        <v>#N/A</v>
      </c>
      <c r="J37" s="11" t="s">
        <v>764</v>
      </c>
      <c r="K37" s="11" t="str">
        <f>VLOOKUP($H37, SeanRanks!$A$2:$H$303, 5, FALSE)</f>
        <v>Yes</v>
      </c>
      <c r="L37" s="11" t="str">
        <f>IF(VLOOKUP($H37, SeanRanks!$A$2:$H$303, 6, FALSE)=0, "", VLOOKUP($H37, SeanRanks!$A$2:$H$303, 6, FALSE))</f>
        <v xml:space="preserve">WR3 - 1 - </v>
      </c>
      <c r="M37" s="11">
        <f t="shared" si="2"/>
        <v>16</v>
      </c>
      <c r="N37" s="11" t="e">
        <f>VLOOKUP($H37, 'ADP Data'!$B$4:$Q$300, 10, FALSE)</f>
        <v>#N/A</v>
      </c>
      <c r="O37" s="11" t="e">
        <f>VLOOKUP($H37, 'ADP Data'!$B$4:$Q$300, 4, FALSE)</f>
        <v>#N/A</v>
      </c>
      <c r="P37" s="11" t="e">
        <f t="shared" si="3"/>
        <v>#N/A</v>
      </c>
      <c r="Q37" s="11" t="e">
        <f>VLOOKUP($H37, 'ADP Data'!$B$4:$Q$300, 5, FALSE)</f>
        <v>#N/A</v>
      </c>
      <c r="R37" s="11" t="e">
        <f>VLOOKUP($H37, 'ADP Data'!$B$4:$Q$300, 6, FALSE)</f>
        <v>#N/A</v>
      </c>
      <c r="S37" s="11" t="e">
        <f>VLOOKUP($H37, 'ADP Data'!$B$4:$Q$300, 7, FALSE)</f>
        <v>#N/A</v>
      </c>
      <c r="T37" s="11" t="e">
        <f>VLOOKUP($H37, 'ADP Data'!$B$4:$Q$300, 8, FALSE)</f>
        <v>#N/A</v>
      </c>
      <c r="U37" s="11" t="e">
        <f>VLOOKUP($H37, 'ADP Data'!$B$4:$Q$300, 9, FALSE)</f>
        <v>#N/A</v>
      </c>
      <c r="V37" s="11" t="e">
        <f t="shared" si="4"/>
        <v>#N/A</v>
      </c>
      <c r="W37" s="11" t="e">
        <f t="shared" si="5"/>
        <v>#N/A</v>
      </c>
      <c r="X37" s="11">
        <f>IF(VLOOKUP($H37, SeanRanks!$A$2:$H$303, 7, FALSE)=0, "", VLOOKUP($H37, SeanRanks!$A$2:$H$303, 7, FALSE))</f>
        <v>25</v>
      </c>
    </row>
    <row r="38" spans="1:24" ht="14.25" customHeight="1" x14ac:dyDescent="0.25">
      <c r="A38" s="11"/>
      <c r="B38" s="11" t="e">
        <f t="shared" si="0"/>
        <v>#N/A</v>
      </c>
      <c r="C38" s="11" t="s">
        <v>119</v>
      </c>
      <c r="D38" s="11">
        <v>27</v>
      </c>
      <c r="E38" s="11">
        <v>25</v>
      </c>
      <c r="F38" s="11">
        <f t="shared" si="1"/>
        <v>2</v>
      </c>
      <c r="G38" s="11"/>
      <c r="H38" s="11" t="s">
        <v>338</v>
      </c>
      <c r="I38" s="11" t="e">
        <f>VLOOKUP($H38, 'ADP Data'!$B$4:$Q$300, 2, FALSE)</f>
        <v>#N/A</v>
      </c>
      <c r="J38" s="11" t="s">
        <v>762</v>
      </c>
      <c r="K38" s="11">
        <f>VLOOKUP($H38, SeanRanks!$A$2:$H$303, 5, FALSE)</f>
        <v>0</v>
      </c>
      <c r="L38" s="11" t="str">
        <f>IF(VLOOKUP($H38, SeanRanks!$A$2:$H$303, 6, FALSE)=0, "", VLOOKUP($H38, SeanRanks!$A$2:$H$303, 6, FALSE))</f>
        <v>RB2 - 2 - Path to spikes</v>
      </c>
      <c r="M38" s="11">
        <f t="shared" si="2"/>
        <v>16</v>
      </c>
      <c r="N38" s="11" t="e">
        <f>VLOOKUP($H38, 'ADP Data'!$B$4:$Q$300, 10, FALSE)</f>
        <v>#N/A</v>
      </c>
      <c r="O38" s="11" t="e">
        <f>VLOOKUP($H38, 'ADP Data'!$B$4:$Q$300, 4, FALSE)</f>
        <v>#N/A</v>
      </c>
      <c r="P38" s="11" t="e">
        <f t="shared" si="3"/>
        <v>#N/A</v>
      </c>
      <c r="Q38" s="11" t="e">
        <f>VLOOKUP($H38, 'ADP Data'!$B$4:$Q$300, 5, FALSE)</f>
        <v>#N/A</v>
      </c>
      <c r="R38" s="11" t="e">
        <f>VLOOKUP($H38, 'ADP Data'!$B$4:$Q$300, 6, FALSE)</f>
        <v>#N/A</v>
      </c>
      <c r="S38" s="11" t="e">
        <f>VLOOKUP($H38, 'ADP Data'!$B$4:$Q$300, 7, FALSE)</f>
        <v>#N/A</v>
      </c>
      <c r="T38" s="11" t="e">
        <f>VLOOKUP($H38, 'ADP Data'!$B$4:$Q$300, 8, FALSE)</f>
        <v>#N/A</v>
      </c>
      <c r="U38" s="11" t="e">
        <f>VLOOKUP($H38, 'ADP Data'!$B$4:$Q$300, 9, FALSE)</f>
        <v>#N/A</v>
      </c>
      <c r="V38" s="11" t="e">
        <f t="shared" si="4"/>
        <v>#N/A</v>
      </c>
      <c r="W38" s="11" t="e">
        <f t="shared" si="5"/>
        <v>#N/A</v>
      </c>
      <c r="X38" s="11">
        <f>IF(VLOOKUP($H38, SeanRanks!$A$2:$H$303, 7, FALSE)=0, "", VLOOKUP($H38, SeanRanks!$A$2:$H$303, 7, FALSE))</f>
        <v>25</v>
      </c>
    </row>
    <row r="39" spans="1:24" ht="14.25" customHeight="1" x14ac:dyDescent="0.25">
      <c r="A39" s="11"/>
      <c r="B39" s="11" t="e">
        <f t="shared" si="0"/>
        <v>#N/A</v>
      </c>
      <c r="C39" s="11" t="s">
        <v>119</v>
      </c>
      <c r="D39" s="11">
        <v>30</v>
      </c>
      <c r="E39" s="11">
        <v>25</v>
      </c>
      <c r="F39" s="11">
        <f t="shared" si="1"/>
        <v>5</v>
      </c>
      <c r="G39" s="11"/>
      <c r="H39" s="11" t="s">
        <v>310</v>
      </c>
      <c r="I39" s="58" t="e">
        <f>VLOOKUP($H39, 'ADP Data'!$B$4:$Q$300, 2, FALSE)</f>
        <v>#N/A</v>
      </c>
      <c r="J39" s="11" t="s">
        <v>760</v>
      </c>
      <c r="K39" s="11">
        <f>VLOOKUP($H39, SeanRanks!$A$2:$H$303, 5, FALSE)</f>
        <v>0</v>
      </c>
      <c r="L39" s="11" t="str">
        <f>IF(VLOOKUP($H39, SeanRanks!$A$2:$H$303, 6, FALSE)=0, "", VLOOKUP($H39, SeanRanks!$A$2:$H$303, 6, FALSE))</f>
        <v>QB1 - 4 - Weekly Start</v>
      </c>
      <c r="M39" s="11">
        <f t="shared" si="2"/>
        <v>16</v>
      </c>
      <c r="N39" s="11" t="e">
        <f>VLOOKUP($H39, 'ADP Data'!$B$4:$Q$300, 10, FALSE)</f>
        <v>#N/A</v>
      </c>
      <c r="O39" s="11" t="e">
        <f>VLOOKUP($H39, 'ADP Data'!$B$4:$Q$300, 4, FALSE)</f>
        <v>#N/A</v>
      </c>
      <c r="P39" s="11" t="e">
        <f t="shared" si="3"/>
        <v>#N/A</v>
      </c>
      <c r="Q39" s="11" t="e">
        <f>VLOOKUP($H39, 'ADP Data'!$B$4:$Q$300, 5, FALSE)</f>
        <v>#N/A</v>
      </c>
      <c r="R39" s="11" t="e">
        <f>VLOOKUP($H39, 'ADP Data'!$B$4:$Q$300, 6, FALSE)</f>
        <v>#N/A</v>
      </c>
      <c r="S39" s="11" t="e">
        <f>VLOOKUP($H39, 'ADP Data'!$B$4:$Q$300, 7, FALSE)</f>
        <v>#N/A</v>
      </c>
      <c r="T39" s="11" t="e">
        <f>VLOOKUP($H39, 'ADP Data'!$B$4:$Q$300, 8, FALSE)</f>
        <v>#N/A</v>
      </c>
      <c r="U39" s="11" t="e">
        <f>VLOOKUP($H39, 'ADP Data'!$B$4:$Q$300, 9, FALSE)</f>
        <v>#N/A</v>
      </c>
      <c r="V39" s="11" t="e">
        <f t="shared" si="4"/>
        <v>#N/A</v>
      </c>
      <c r="W39" s="11" t="e">
        <f t="shared" si="5"/>
        <v>#N/A</v>
      </c>
      <c r="X39" s="11">
        <f>IF(VLOOKUP($H39, SeanRanks!$A$2:$H$303, 7, FALSE)=0, "", VLOOKUP($H39, SeanRanks!$A$2:$H$303, 7, FALSE))</f>
        <v>9</v>
      </c>
    </row>
    <row r="40" spans="1:24" ht="14.25" customHeight="1" x14ac:dyDescent="0.25">
      <c r="A40" s="11"/>
      <c r="B40" s="11" t="e">
        <f t="shared" si="0"/>
        <v>#N/A</v>
      </c>
      <c r="C40" s="11" t="s">
        <v>119</v>
      </c>
      <c r="D40" s="11">
        <v>37</v>
      </c>
      <c r="E40" s="11">
        <v>25</v>
      </c>
      <c r="F40" s="11">
        <f t="shared" si="1"/>
        <v>12</v>
      </c>
      <c r="G40" s="11"/>
      <c r="H40" s="11" t="s">
        <v>157</v>
      </c>
      <c r="I40" s="80" t="e">
        <f>VLOOKUP($H40, 'ADP Data'!$B$4:$Q$300, 2, FALSE)</f>
        <v>#N/A</v>
      </c>
      <c r="J40" s="11" t="s">
        <v>762</v>
      </c>
      <c r="K40" s="11">
        <f>VLOOKUP($H40, SeanRanks!$A$2:$H$303, 5, FALSE)</f>
        <v>0</v>
      </c>
      <c r="L40" s="11" t="str">
        <f>IF(VLOOKUP($H40, SeanRanks!$A$2:$H$303, 6, FALSE)=0, "", VLOOKUP($H40, SeanRanks!$A$2:$H$303, 6, FALSE))</f>
        <v>RB3 - 2 - low ceiling</v>
      </c>
      <c r="M40" s="11">
        <f t="shared" si="2"/>
        <v>16</v>
      </c>
      <c r="N40" s="11" t="e">
        <f>VLOOKUP($H40, 'ADP Data'!$B$4:$Q$300, 10, FALSE)</f>
        <v>#N/A</v>
      </c>
      <c r="O40" s="11" t="e">
        <f>VLOOKUP($H40, 'ADP Data'!$B$4:$Q$300, 4, FALSE)</f>
        <v>#N/A</v>
      </c>
      <c r="P40" s="11" t="e">
        <f t="shared" si="3"/>
        <v>#N/A</v>
      </c>
      <c r="Q40" s="11" t="e">
        <f>VLOOKUP($H40, 'ADP Data'!$B$4:$Q$300, 5, FALSE)</f>
        <v>#N/A</v>
      </c>
      <c r="R40" s="11" t="e">
        <f>VLOOKUP($H40, 'ADP Data'!$B$4:$Q$300, 6, FALSE)</f>
        <v>#N/A</v>
      </c>
      <c r="S40" s="11" t="e">
        <f>VLOOKUP($H40, 'ADP Data'!$B$4:$Q$300, 7, FALSE)</f>
        <v>#N/A</v>
      </c>
      <c r="T40" s="11" t="e">
        <f>VLOOKUP($H40, 'ADP Data'!$B$4:$Q$300, 8, FALSE)</f>
        <v>#N/A</v>
      </c>
      <c r="U40" s="11" t="e">
        <f>VLOOKUP($H40, 'ADP Data'!$B$4:$Q$300, 9, FALSE)</f>
        <v>#N/A</v>
      </c>
      <c r="V40" s="11" t="e">
        <f t="shared" si="4"/>
        <v>#N/A</v>
      </c>
      <c r="W40" s="11" t="e">
        <f t="shared" si="5"/>
        <v>#N/A</v>
      </c>
      <c r="X40" s="11">
        <f>IF(VLOOKUP($H40, SeanRanks!$A$2:$H$303, 7, FALSE)=0, "", VLOOKUP($H40, SeanRanks!$A$2:$H$303, 7, FALSE))</f>
        <v>33</v>
      </c>
    </row>
    <row r="41" spans="1:24" ht="14.25" customHeight="1" x14ac:dyDescent="0.25">
      <c r="A41" s="11"/>
      <c r="B41" s="11" t="e">
        <f t="shared" si="0"/>
        <v>#N/A</v>
      </c>
      <c r="C41" s="11" t="s">
        <v>119</v>
      </c>
      <c r="D41" s="11">
        <v>31</v>
      </c>
      <c r="E41" s="11">
        <v>30</v>
      </c>
      <c r="F41" s="11">
        <f t="shared" si="1"/>
        <v>1</v>
      </c>
      <c r="G41" s="58" t="s">
        <v>1112</v>
      </c>
      <c r="H41" s="11" t="s">
        <v>349</v>
      </c>
      <c r="I41" s="11" t="e">
        <f>VLOOKUP($H41, 'ADP Data'!$B$4:$Q$300, 2, FALSE)</f>
        <v>#N/A</v>
      </c>
      <c r="J41" s="11" t="s">
        <v>769</v>
      </c>
      <c r="K41" s="11" t="str">
        <f>VLOOKUP($H41, SeanRanks!$A$2:$H$303, 5, FALSE)</f>
        <v>No</v>
      </c>
      <c r="L41" s="11" t="str">
        <f>IF(VLOOKUP($H41, SeanRanks!$A$2:$H$303, 6, FALSE)=0, "", VLOOKUP($H41, SeanRanks!$A$2:$H$303, 6, FALSE))</f>
        <v>TE1 - 3 - Weekly Start</v>
      </c>
      <c r="M41" s="11">
        <f t="shared" si="2"/>
        <v>16</v>
      </c>
      <c r="N41" s="11" t="e">
        <f>VLOOKUP($H41, 'ADP Data'!$B$4:$Q$300, 10, FALSE)</f>
        <v>#N/A</v>
      </c>
      <c r="O41" s="11" t="e">
        <f>VLOOKUP($H41, 'ADP Data'!$B$4:$Q$300, 4, FALSE)</f>
        <v>#N/A</v>
      </c>
      <c r="P41" s="11" t="e">
        <f t="shared" si="3"/>
        <v>#N/A</v>
      </c>
      <c r="Q41" s="11" t="e">
        <f>VLOOKUP($H41, 'ADP Data'!$B$4:$Q$300, 5, FALSE)</f>
        <v>#N/A</v>
      </c>
      <c r="R41" s="11" t="e">
        <f>VLOOKUP($H41, 'ADP Data'!$B$4:$Q$300, 6, FALSE)</f>
        <v>#N/A</v>
      </c>
      <c r="S41" s="11" t="e">
        <f>VLOOKUP($H41, 'ADP Data'!$B$4:$Q$300, 7, FALSE)</f>
        <v>#N/A</v>
      </c>
      <c r="T41" s="11" t="e">
        <f>VLOOKUP($H41, 'ADP Data'!$B$4:$Q$300, 8, FALSE)</f>
        <v>#N/A</v>
      </c>
      <c r="U41" s="11" t="e">
        <f>VLOOKUP($H41, 'ADP Data'!$B$4:$Q$300, 9, FALSE)</f>
        <v>#N/A</v>
      </c>
      <c r="V41" s="11" t="e">
        <f t="shared" si="4"/>
        <v>#N/A</v>
      </c>
      <c r="W41" s="11" t="e">
        <f t="shared" si="5"/>
        <v>#N/A</v>
      </c>
      <c r="X41" s="11">
        <f>IF(VLOOKUP($H41, SeanRanks!$A$2:$H$303, 7, FALSE)=0, "", VLOOKUP($H41, SeanRanks!$A$2:$H$303, 7, FALSE))</f>
        <v>7</v>
      </c>
    </row>
    <row r="42" spans="1:24" ht="14.25" customHeight="1" x14ac:dyDescent="0.25">
      <c r="A42" s="11"/>
      <c r="B42" s="11" t="e">
        <f t="shared" si="0"/>
        <v>#N/A</v>
      </c>
      <c r="C42" s="11" t="s">
        <v>119</v>
      </c>
      <c r="D42" s="11">
        <v>30</v>
      </c>
      <c r="E42" s="11">
        <v>25</v>
      </c>
      <c r="F42" s="11">
        <f t="shared" si="1"/>
        <v>5</v>
      </c>
      <c r="G42" s="11" t="s">
        <v>1110</v>
      </c>
      <c r="H42" s="11" t="s">
        <v>222</v>
      </c>
      <c r="I42" s="11" t="e">
        <f>VLOOKUP($H42, 'ADP Data'!$B$4:$Q$300, 2, FALSE)</f>
        <v>#N/A</v>
      </c>
      <c r="J42" s="11" t="s">
        <v>762</v>
      </c>
      <c r="K42" s="11">
        <f>VLOOKUP($H42, SeanRanks!$A$2:$H$303, 5, FALSE)</f>
        <v>0</v>
      </c>
      <c r="L42" s="11" t="str">
        <f>IF(VLOOKUP($H42, SeanRanks!$A$2:$H$303, 6, FALSE)=0, "", VLOOKUP($H42, SeanRanks!$A$2:$H$303, 6, FALSE))</f>
        <v>RB3 - 2 - low ceiling</v>
      </c>
      <c r="M42" s="11">
        <f t="shared" si="2"/>
        <v>16</v>
      </c>
      <c r="N42" s="11" t="e">
        <f>VLOOKUP($H42, 'ADP Data'!$B$4:$Q$300, 10, FALSE)</f>
        <v>#N/A</v>
      </c>
      <c r="O42" s="11" t="e">
        <f>VLOOKUP($H42, 'ADP Data'!$B$4:$Q$300, 4, FALSE)</f>
        <v>#N/A</v>
      </c>
      <c r="P42" s="11" t="e">
        <f t="shared" si="3"/>
        <v>#N/A</v>
      </c>
      <c r="Q42" s="11" t="e">
        <f>VLOOKUP($H42, 'ADP Data'!$B$4:$Q$300, 5, FALSE)</f>
        <v>#N/A</v>
      </c>
      <c r="R42" s="11" t="e">
        <f>VLOOKUP($H42, 'ADP Data'!$B$4:$Q$300, 6, FALSE)</f>
        <v>#N/A</v>
      </c>
      <c r="S42" s="11" t="e">
        <f>VLOOKUP($H42, 'ADP Data'!$B$4:$Q$300, 7, FALSE)</f>
        <v>#N/A</v>
      </c>
      <c r="T42" s="11" t="e">
        <f>VLOOKUP($H42, 'ADP Data'!$B$4:$Q$300, 8, FALSE)</f>
        <v>#N/A</v>
      </c>
      <c r="U42" s="11" t="e">
        <f>VLOOKUP($H42, 'ADP Data'!$B$4:$Q$300, 9, FALSE)</f>
        <v>#N/A</v>
      </c>
      <c r="V42" s="11" t="e">
        <f t="shared" si="4"/>
        <v>#N/A</v>
      </c>
      <c r="W42" s="11" t="e">
        <f t="shared" si="5"/>
        <v>#N/A</v>
      </c>
      <c r="X42" s="11">
        <f>IF(VLOOKUP($H42, SeanRanks!$A$2:$H$303, 7, FALSE)=0, "", VLOOKUP($H42, SeanRanks!$A$2:$H$303, 7, FALSE))</f>
        <v>37</v>
      </c>
    </row>
    <row r="43" spans="1:24" ht="14.25" customHeight="1" x14ac:dyDescent="0.25">
      <c r="A43" s="11"/>
      <c r="B43" s="11" t="e">
        <f t="shared" si="0"/>
        <v>#N/A</v>
      </c>
      <c r="C43" s="11" t="s">
        <v>119</v>
      </c>
      <c r="D43" s="11">
        <v>31</v>
      </c>
      <c r="E43" s="11">
        <v>15</v>
      </c>
      <c r="F43" s="11">
        <f t="shared" si="1"/>
        <v>16</v>
      </c>
      <c r="G43" s="11" t="s">
        <v>1112</v>
      </c>
      <c r="H43" s="11" t="s">
        <v>362</v>
      </c>
      <c r="I43" s="11" t="e">
        <f>VLOOKUP($H43, 'ADP Data'!$B$4:$Q$300, 2, FALSE)</f>
        <v>#N/A</v>
      </c>
      <c r="J43" s="11" t="s">
        <v>764</v>
      </c>
      <c r="K43" s="11" t="str">
        <f>VLOOKUP($H43, SeanRanks!$A$2:$H$303, 5, FALSE)</f>
        <v>Yes</v>
      </c>
      <c r="L43" s="11" t="str">
        <f>IF(VLOOKUP($H43, SeanRanks!$A$2:$H$303, 6, FALSE)=0, "", VLOOKUP($H43, SeanRanks!$A$2:$H$303, 6, FALSE))</f>
        <v>WR4 - 1 - path to WR2</v>
      </c>
      <c r="M43" s="11">
        <f t="shared" si="2"/>
        <v>16</v>
      </c>
      <c r="N43" s="11" t="e">
        <f>VLOOKUP($H43, 'ADP Data'!$B$4:$Q$300, 10, FALSE)</f>
        <v>#N/A</v>
      </c>
      <c r="O43" s="11" t="e">
        <f>VLOOKUP($H43, 'ADP Data'!$B$4:$Q$300, 4, FALSE)</f>
        <v>#N/A</v>
      </c>
      <c r="P43" s="11" t="e">
        <f t="shared" si="3"/>
        <v>#N/A</v>
      </c>
      <c r="Q43" s="11" t="e">
        <f>VLOOKUP($H43, 'ADP Data'!$B$4:$Q$300, 5, FALSE)</f>
        <v>#N/A</v>
      </c>
      <c r="R43" s="11" t="e">
        <f>VLOOKUP($H43, 'ADP Data'!$B$4:$Q$300, 6, FALSE)</f>
        <v>#N/A</v>
      </c>
      <c r="S43" s="11" t="e">
        <f>VLOOKUP($H43, 'ADP Data'!$B$4:$Q$300, 7, FALSE)</f>
        <v>#N/A</v>
      </c>
      <c r="T43" s="11" t="e">
        <f>VLOOKUP($H43, 'ADP Data'!$B$4:$Q$300, 8, FALSE)</f>
        <v>#N/A</v>
      </c>
      <c r="U43" s="11" t="e">
        <f>VLOOKUP($H43, 'ADP Data'!$B$4:$Q$300, 9, FALSE)</f>
        <v>#N/A</v>
      </c>
      <c r="V43" s="11" t="e">
        <f t="shared" si="4"/>
        <v>#N/A</v>
      </c>
      <c r="W43" s="11" t="e">
        <f t="shared" si="5"/>
        <v>#N/A</v>
      </c>
      <c r="X43" s="11">
        <f>IF(VLOOKUP($H43, SeanRanks!$A$2:$H$303, 7, FALSE)=0, "", VLOOKUP($H43, SeanRanks!$A$2:$H$303, 7, FALSE))</f>
        <v>41</v>
      </c>
    </row>
    <row r="44" spans="1:24" ht="14.25" customHeight="1" x14ac:dyDescent="0.25">
      <c r="A44" s="11"/>
      <c r="B44" s="11" t="e">
        <f t="shared" si="0"/>
        <v>#N/A</v>
      </c>
      <c r="C44" s="11" t="s">
        <v>119</v>
      </c>
      <c r="D44" s="11">
        <v>13</v>
      </c>
      <c r="E44" s="11">
        <v>12</v>
      </c>
      <c r="F44" s="11">
        <f t="shared" si="1"/>
        <v>1</v>
      </c>
      <c r="G44" s="11"/>
      <c r="H44" s="11" t="s">
        <v>970</v>
      </c>
      <c r="I44" s="11" t="e">
        <f>VLOOKUP($H44, 'ADP Data'!$B$4:$Q$300, 2, FALSE)</f>
        <v>#N/A</v>
      </c>
      <c r="J44" s="11" t="s">
        <v>762</v>
      </c>
      <c r="K44" s="11">
        <f>VLOOKUP($H44, SeanRanks!$A$2:$H$303, 5, FALSE)</f>
        <v>0</v>
      </c>
      <c r="L44" s="11" t="str">
        <f>IF(VLOOKUP($H44, SeanRanks!$A$2:$H$303, 6, FALSE)=0, "", VLOOKUP($H44, SeanRanks!$A$2:$H$303, 6, FALSE))</f>
        <v/>
      </c>
      <c r="M44" s="11">
        <f t="shared" si="2"/>
        <v>16</v>
      </c>
      <c r="N44" s="11" t="e">
        <f>VLOOKUP($H44, 'ADP Data'!$B$4:$Q$300, 10, FALSE)</f>
        <v>#N/A</v>
      </c>
      <c r="O44" s="11" t="e">
        <f>VLOOKUP($H44, 'ADP Data'!$B$4:$Q$300, 4, FALSE)</f>
        <v>#N/A</v>
      </c>
      <c r="P44" s="11" t="e">
        <f t="shared" si="3"/>
        <v>#N/A</v>
      </c>
      <c r="Q44" s="11" t="e">
        <f>VLOOKUP($H44, 'ADP Data'!$B$4:$Q$300, 5, FALSE)</f>
        <v>#N/A</v>
      </c>
      <c r="R44" s="11" t="e">
        <f>VLOOKUP($H44, 'ADP Data'!$B$4:$Q$300, 6, FALSE)</f>
        <v>#N/A</v>
      </c>
      <c r="S44" s="11" t="e">
        <f>VLOOKUP($H44, 'ADP Data'!$B$4:$Q$300, 7, FALSE)</f>
        <v>#N/A</v>
      </c>
      <c r="T44" s="11" t="e">
        <f>VLOOKUP($H44, 'ADP Data'!$B$4:$Q$300, 8, FALSE)</f>
        <v>#N/A</v>
      </c>
      <c r="U44" s="11" t="e">
        <f>VLOOKUP($H44, 'ADP Data'!$B$4:$Q$300, 9, FALSE)</f>
        <v>#N/A</v>
      </c>
      <c r="V44" s="11" t="e">
        <f t="shared" si="4"/>
        <v>#N/A</v>
      </c>
      <c r="W44" s="11" t="e">
        <f t="shared" si="5"/>
        <v>#N/A</v>
      </c>
      <c r="X44" s="11" t="str">
        <f>IF(VLOOKUP($H44, SeanRanks!$A$2:$H$303, 7, FALSE)=0, "", VLOOKUP($H44, SeanRanks!$A$2:$H$303, 7, FALSE))</f>
        <v/>
      </c>
    </row>
    <row r="45" spans="1:24" ht="14.25" customHeight="1" x14ac:dyDescent="0.25">
      <c r="A45" s="11"/>
      <c r="B45" s="11" t="e">
        <f t="shared" si="0"/>
        <v>#N/A</v>
      </c>
      <c r="C45" s="11" t="s">
        <v>119</v>
      </c>
      <c r="D45" s="11">
        <v>17</v>
      </c>
      <c r="E45" s="11">
        <v>14</v>
      </c>
      <c r="F45" s="11">
        <f t="shared" si="1"/>
        <v>3</v>
      </c>
      <c r="G45" s="11"/>
      <c r="H45" s="11" t="s">
        <v>276</v>
      </c>
      <c r="I45" s="80" t="e">
        <f>VLOOKUP($H45, 'ADP Data'!$B$4:$Q$300, 2, FALSE)</f>
        <v>#N/A</v>
      </c>
      <c r="J45" s="11" t="s">
        <v>762</v>
      </c>
      <c r="K45" s="11">
        <f>VLOOKUP($H45, SeanRanks!$A$2:$H$303, 5, FALSE)</f>
        <v>0</v>
      </c>
      <c r="L45" s="11" t="str">
        <f>IF(VLOOKUP($H45, SeanRanks!$A$2:$H$303, 6, FALSE)=0, "", VLOOKUP($H45, SeanRanks!$A$2:$H$303, 6, FALSE))</f>
        <v>RB3 - 1 - Upside</v>
      </c>
      <c r="M45" s="11">
        <f t="shared" si="2"/>
        <v>16</v>
      </c>
      <c r="N45" s="11" t="e">
        <f>VLOOKUP($H45, 'ADP Data'!$B$4:$Q$300, 10, FALSE)</f>
        <v>#N/A</v>
      </c>
      <c r="O45" s="11" t="e">
        <f>VLOOKUP($H45, 'ADP Data'!$B$4:$Q$300, 4, FALSE)</f>
        <v>#N/A</v>
      </c>
      <c r="P45" s="11" t="e">
        <f t="shared" si="3"/>
        <v>#N/A</v>
      </c>
      <c r="Q45" s="11" t="e">
        <f>VLOOKUP($H45, 'ADP Data'!$B$4:$Q$300, 5, FALSE)</f>
        <v>#N/A</v>
      </c>
      <c r="R45" s="11" t="e">
        <f>VLOOKUP($H45, 'ADP Data'!$B$4:$Q$300, 6, FALSE)</f>
        <v>#N/A</v>
      </c>
      <c r="S45" s="11" t="e">
        <f>VLOOKUP($H45, 'ADP Data'!$B$4:$Q$300, 7, FALSE)</f>
        <v>#N/A</v>
      </c>
      <c r="T45" s="11" t="e">
        <f>VLOOKUP($H45, 'ADP Data'!$B$4:$Q$300, 8, FALSE)</f>
        <v>#N/A</v>
      </c>
      <c r="U45" s="11" t="e">
        <f>VLOOKUP($H45, 'ADP Data'!$B$4:$Q$300, 9, FALSE)</f>
        <v>#N/A</v>
      </c>
      <c r="V45" s="11" t="e">
        <f t="shared" si="4"/>
        <v>#N/A</v>
      </c>
      <c r="W45" s="11" t="e">
        <f t="shared" si="5"/>
        <v>#N/A</v>
      </c>
      <c r="X45" s="11">
        <f>IF(VLOOKUP($H45, SeanRanks!$A$2:$H$303, 7, FALSE)=0, "", VLOOKUP($H45, SeanRanks!$A$2:$H$303, 7, FALSE))</f>
        <v>29</v>
      </c>
    </row>
    <row r="46" spans="1:24" ht="14.25" customHeight="1" x14ac:dyDescent="0.25">
      <c r="A46" s="11"/>
      <c r="B46" s="11" t="e">
        <f t="shared" si="0"/>
        <v>#N/A</v>
      </c>
      <c r="C46" s="11" t="s">
        <v>119</v>
      </c>
      <c r="D46" s="11">
        <v>21</v>
      </c>
      <c r="E46" s="11">
        <v>15</v>
      </c>
      <c r="F46" s="11">
        <f t="shared" si="1"/>
        <v>6</v>
      </c>
      <c r="G46" s="11"/>
      <c r="H46" s="11" t="s">
        <v>810</v>
      </c>
      <c r="I46" s="11" t="e">
        <f>VLOOKUP($H46, 'ADP Data'!$B$4:$Q$300, 2, FALSE)</f>
        <v>#N/A</v>
      </c>
      <c r="J46" s="11" t="s">
        <v>764</v>
      </c>
      <c r="K46" s="11">
        <f>VLOOKUP($H46, SeanRanks!$A$2:$H$303, 5, FALSE)</f>
        <v>0</v>
      </c>
      <c r="L46" s="11" t="str">
        <f>IF(VLOOKUP($H46, SeanRanks!$A$2:$H$303, 6, FALSE)=0, "", VLOOKUP($H46, SeanRanks!$A$2:$H$303, 6, FALSE))</f>
        <v/>
      </c>
      <c r="M46" s="11">
        <f t="shared" si="2"/>
        <v>16</v>
      </c>
      <c r="N46" s="11" t="e">
        <f>VLOOKUP($H46, 'ADP Data'!$B$4:$Q$300, 10, FALSE)</f>
        <v>#N/A</v>
      </c>
      <c r="O46" s="11" t="e">
        <f>VLOOKUP($H46, 'ADP Data'!$B$4:$Q$300, 4, FALSE)</f>
        <v>#N/A</v>
      </c>
      <c r="P46" s="11" t="e">
        <f t="shared" si="3"/>
        <v>#N/A</v>
      </c>
      <c r="Q46" s="11" t="e">
        <f>VLOOKUP($H46, 'ADP Data'!$B$4:$Q$300, 5, FALSE)</f>
        <v>#N/A</v>
      </c>
      <c r="R46" s="11" t="e">
        <f>VLOOKUP($H46, 'ADP Data'!$B$4:$Q$300, 6, FALSE)</f>
        <v>#N/A</v>
      </c>
      <c r="S46" s="11" t="e">
        <f>VLOOKUP($H46, 'ADP Data'!$B$4:$Q$300, 7, FALSE)</f>
        <v>#N/A</v>
      </c>
      <c r="T46" s="11" t="e">
        <f>VLOOKUP($H46, 'ADP Data'!$B$4:$Q$300, 8, FALSE)</f>
        <v>#N/A</v>
      </c>
      <c r="U46" s="11" t="e">
        <f>VLOOKUP($H46, 'ADP Data'!$B$4:$Q$300, 9, FALSE)</f>
        <v>#N/A</v>
      </c>
      <c r="V46" s="11" t="e">
        <f t="shared" si="4"/>
        <v>#N/A</v>
      </c>
      <c r="W46" s="11" t="e">
        <f t="shared" si="5"/>
        <v>#N/A</v>
      </c>
      <c r="X46" s="11" t="str">
        <f>IF(VLOOKUP($H46, SeanRanks!$A$2:$H$303, 7, FALSE)=0, "", VLOOKUP($H46, SeanRanks!$A$2:$H$303, 7, FALSE))</f>
        <v/>
      </c>
    </row>
    <row r="47" spans="1:24" ht="14.25" customHeight="1" x14ac:dyDescent="0.25">
      <c r="A47" s="11"/>
      <c r="B47" s="11" t="e">
        <f t="shared" si="0"/>
        <v>#N/A</v>
      </c>
      <c r="C47" s="11" t="s">
        <v>119</v>
      </c>
      <c r="D47" s="11">
        <v>23</v>
      </c>
      <c r="E47" s="11">
        <v>20</v>
      </c>
      <c r="F47" s="11">
        <f t="shared" si="1"/>
        <v>3</v>
      </c>
      <c r="G47" s="11" t="s">
        <v>148</v>
      </c>
      <c r="H47" s="11" t="s">
        <v>174</v>
      </c>
      <c r="I47" s="80" t="e">
        <f>VLOOKUP($H47, 'ADP Data'!$B$4:$Q$300, 2, FALSE)</f>
        <v>#N/A</v>
      </c>
      <c r="J47" s="11" t="s">
        <v>760</v>
      </c>
      <c r="K47" s="11">
        <f>VLOOKUP($H47, SeanRanks!$A$2:$H$303, 5, FALSE)</f>
        <v>0</v>
      </c>
      <c r="L47" s="11" t="str">
        <f>IF(VLOOKUP($H47, SeanRanks!$A$2:$H$303, 6, FALSE)=0, "", VLOOKUP($H47, SeanRanks!$A$2:$H$303, 6, FALSE))</f>
        <v>QB1 - 1 - Elite</v>
      </c>
      <c r="M47" s="11">
        <f t="shared" si="2"/>
        <v>16</v>
      </c>
      <c r="N47" s="11" t="e">
        <f>VLOOKUP($H47, 'ADP Data'!$B$4:$Q$300, 10, FALSE)</f>
        <v>#N/A</v>
      </c>
      <c r="O47" s="11" t="e">
        <f>VLOOKUP($H47, 'ADP Data'!$B$4:$Q$300, 4, FALSE)</f>
        <v>#N/A</v>
      </c>
      <c r="P47" s="11" t="e">
        <f t="shared" si="3"/>
        <v>#N/A</v>
      </c>
      <c r="Q47" s="11" t="e">
        <f>VLOOKUP($H47, 'ADP Data'!$B$4:$Q$300, 5, FALSE)</f>
        <v>#N/A</v>
      </c>
      <c r="R47" s="11" t="e">
        <f>VLOOKUP($H47, 'ADP Data'!$B$4:$Q$300, 6, FALSE)</f>
        <v>#N/A</v>
      </c>
      <c r="S47" s="11" t="e">
        <f>VLOOKUP($H47, 'ADP Data'!$B$4:$Q$300, 7, FALSE)</f>
        <v>#N/A</v>
      </c>
      <c r="T47" s="11" t="e">
        <f>VLOOKUP($H47, 'ADP Data'!$B$4:$Q$300, 8, FALSE)</f>
        <v>#N/A</v>
      </c>
      <c r="U47" s="11" t="e">
        <f>VLOOKUP($H47, 'ADP Data'!$B$4:$Q$300, 9, FALSE)</f>
        <v>#N/A</v>
      </c>
      <c r="V47" s="11" t="e">
        <f t="shared" si="4"/>
        <v>#N/A</v>
      </c>
      <c r="W47" s="11" t="e">
        <f t="shared" si="5"/>
        <v>#N/A</v>
      </c>
      <c r="X47" s="11">
        <f>IF(VLOOKUP($H47, SeanRanks!$A$2:$H$303, 7, FALSE)=0, "", VLOOKUP($H47, SeanRanks!$A$2:$H$303, 7, FALSE))</f>
        <v>1</v>
      </c>
    </row>
    <row r="48" spans="1:24" ht="14.25" customHeight="1" x14ac:dyDescent="0.25">
      <c r="A48" s="11"/>
      <c r="B48" s="11" t="e">
        <f t="shared" si="0"/>
        <v>#N/A</v>
      </c>
      <c r="C48" s="11" t="s">
        <v>119</v>
      </c>
      <c r="D48" s="11">
        <v>27</v>
      </c>
      <c r="E48" s="11">
        <v>12</v>
      </c>
      <c r="F48" s="11">
        <f t="shared" si="1"/>
        <v>15</v>
      </c>
      <c r="G48" s="11"/>
      <c r="H48" s="11" t="s">
        <v>940</v>
      </c>
      <c r="I48" s="11" t="e">
        <f>VLOOKUP($H48, 'ADP Data'!$B$4:$Q$300, 2, FALSE)</f>
        <v>#N/A</v>
      </c>
      <c r="J48" s="11" t="s">
        <v>762</v>
      </c>
      <c r="K48" s="11">
        <f>VLOOKUP($H48, SeanRanks!$A$2:$H$303, 5, FALSE)</f>
        <v>0</v>
      </c>
      <c r="L48" s="11" t="str">
        <f>IF(VLOOKUP($H48, SeanRanks!$A$2:$H$303, 6, FALSE)=0, "", VLOOKUP($H48, SeanRanks!$A$2:$H$303, 6, FALSE))</f>
        <v/>
      </c>
      <c r="M48" s="11">
        <f t="shared" si="2"/>
        <v>16</v>
      </c>
      <c r="N48" s="11" t="e">
        <f>VLOOKUP($H48, 'ADP Data'!$B$4:$Q$300, 10, FALSE)</f>
        <v>#N/A</v>
      </c>
      <c r="O48" s="11" t="e">
        <f>VLOOKUP($H48, 'ADP Data'!$B$4:$Q$300, 4, FALSE)</f>
        <v>#N/A</v>
      </c>
      <c r="P48" s="11" t="e">
        <f t="shared" si="3"/>
        <v>#N/A</v>
      </c>
      <c r="Q48" s="11" t="e">
        <f>VLOOKUP($H48, 'ADP Data'!$B$4:$Q$300, 5, FALSE)</f>
        <v>#N/A</v>
      </c>
      <c r="R48" s="11" t="e">
        <f>VLOOKUP($H48, 'ADP Data'!$B$4:$Q$300, 6, FALSE)</f>
        <v>#N/A</v>
      </c>
      <c r="S48" s="11" t="e">
        <f>VLOOKUP($H48, 'ADP Data'!$B$4:$Q$300, 7, FALSE)</f>
        <v>#N/A</v>
      </c>
      <c r="T48" s="11" t="e">
        <f>VLOOKUP($H48, 'ADP Data'!$B$4:$Q$300, 8, FALSE)</f>
        <v>#N/A</v>
      </c>
      <c r="U48" s="11" t="e">
        <f>VLOOKUP($H48, 'ADP Data'!$B$4:$Q$300, 9, FALSE)</f>
        <v>#N/A</v>
      </c>
      <c r="V48" s="11" t="e">
        <f t="shared" si="4"/>
        <v>#N/A</v>
      </c>
      <c r="W48" s="11" t="e">
        <f t="shared" si="5"/>
        <v>#N/A</v>
      </c>
      <c r="X48" s="11" t="str">
        <f>IF(VLOOKUP($H48, SeanRanks!$A$2:$H$303, 7, FALSE)=0, "", VLOOKUP($H48, SeanRanks!$A$2:$H$303, 7, FALSE))</f>
        <v/>
      </c>
    </row>
    <row r="49" spans="1:24" ht="14.25" customHeight="1" x14ac:dyDescent="0.25">
      <c r="A49" s="11"/>
      <c r="B49" s="11" t="e">
        <f t="shared" si="0"/>
        <v>#N/A</v>
      </c>
      <c r="C49" s="11" t="s">
        <v>119</v>
      </c>
      <c r="D49" s="11">
        <v>11</v>
      </c>
      <c r="E49" s="11">
        <v>10</v>
      </c>
      <c r="F49" s="11">
        <f t="shared" si="1"/>
        <v>1</v>
      </c>
      <c r="G49" s="11"/>
      <c r="H49" s="11" t="s">
        <v>1130</v>
      </c>
      <c r="I49" s="11" t="e">
        <f>VLOOKUP($H49, 'ADP Data'!$B$4:$Q$300, 2, FALSE)</f>
        <v>#N/A</v>
      </c>
      <c r="J49" s="11" t="s">
        <v>762</v>
      </c>
      <c r="K49" s="11" t="e">
        <f>VLOOKUP($H49, SeanRanks!$A$2:$H$303, 5, FALSE)</f>
        <v>#N/A</v>
      </c>
      <c r="L49" s="11" t="e">
        <f>IF(VLOOKUP($H49, SeanRanks!$A$2:$H$303, 6, FALSE)=0, "", VLOOKUP($H49, SeanRanks!$A$2:$H$303, 6, FALSE))</f>
        <v>#N/A</v>
      </c>
      <c r="M49" s="11">
        <f t="shared" si="2"/>
        <v>16</v>
      </c>
      <c r="N49" s="11" t="e">
        <f>VLOOKUP($H49, 'ADP Data'!$B$4:$Q$300, 10, FALSE)</f>
        <v>#N/A</v>
      </c>
      <c r="O49" s="11" t="e">
        <f>VLOOKUP($H49, 'ADP Data'!$B$4:$Q$300, 4, FALSE)</f>
        <v>#N/A</v>
      </c>
      <c r="P49" s="11" t="e">
        <f t="shared" si="3"/>
        <v>#N/A</v>
      </c>
      <c r="Q49" s="11" t="e">
        <f>VLOOKUP($H49, 'ADP Data'!$B$4:$Q$300, 5, FALSE)</f>
        <v>#N/A</v>
      </c>
      <c r="R49" s="11" t="e">
        <f>VLOOKUP($H49, 'ADP Data'!$B$4:$Q$300, 6, FALSE)</f>
        <v>#N/A</v>
      </c>
      <c r="S49" s="11" t="e">
        <f>VLOOKUP($H49, 'ADP Data'!$B$4:$Q$300, 7, FALSE)</f>
        <v>#N/A</v>
      </c>
      <c r="T49" s="11" t="e">
        <f>VLOOKUP($H49, 'ADP Data'!$B$4:$Q$300, 8, FALSE)</f>
        <v>#N/A</v>
      </c>
      <c r="U49" s="11" t="e">
        <f>VLOOKUP($H49, 'ADP Data'!$B$4:$Q$300, 9, FALSE)</f>
        <v>#N/A</v>
      </c>
      <c r="V49" s="11" t="e">
        <f t="shared" si="4"/>
        <v>#N/A</v>
      </c>
      <c r="W49" s="11" t="e">
        <f t="shared" si="5"/>
        <v>#N/A</v>
      </c>
      <c r="X49" s="11" t="e">
        <f>IF(VLOOKUP($H49, SeanRanks!$A$2:$H$303, 7, FALSE)=0, "", VLOOKUP($H49, SeanRanks!$A$2:$H$303, 7, FALSE))</f>
        <v>#N/A</v>
      </c>
    </row>
    <row r="50" spans="1:24" ht="14.25" customHeight="1" x14ac:dyDescent="0.25">
      <c r="A50" s="11"/>
      <c r="B50" s="11" t="e">
        <f t="shared" si="0"/>
        <v>#N/A</v>
      </c>
      <c r="C50" s="11" t="s">
        <v>119</v>
      </c>
      <c r="D50" s="11">
        <v>23</v>
      </c>
      <c r="E50" s="11">
        <v>10</v>
      </c>
      <c r="F50" s="11">
        <f t="shared" si="1"/>
        <v>13</v>
      </c>
      <c r="G50" s="11" t="s">
        <v>1112</v>
      </c>
      <c r="H50" s="11" t="s">
        <v>409</v>
      </c>
      <c r="I50" s="58" t="e">
        <f>VLOOKUP($H50, 'ADP Data'!$B$4:$Q$300, 2, FALSE)</f>
        <v>#N/A</v>
      </c>
      <c r="J50" s="11" t="s">
        <v>764</v>
      </c>
      <c r="K50" s="11">
        <f>VLOOKUP($H50, SeanRanks!$A$2:$H$303, 5, FALSE)</f>
        <v>0</v>
      </c>
      <c r="L50" s="11" t="str">
        <f>IF(VLOOKUP($H50, SeanRanks!$A$2:$H$303, 6, FALSE)=0, "", VLOOKUP($H50, SeanRanks!$A$2:$H$303, 6, FALSE))</f>
        <v>WR5 - 2 - floor play not league winner</v>
      </c>
      <c r="M50" s="11">
        <f t="shared" si="2"/>
        <v>16</v>
      </c>
      <c r="N50" s="11" t="e">
        <f>VLOOKUP($H50, 'ADP Data'!$B$4:$Q$300, 10, FALSE)</f>
        <v>#N/A</v>
      </c>
      <c r="O50" s="11" t="e">
        <f>VLOOKUP($H50, 'ADP Data'!$B$4:$Q$300, 4, FALSE)</f>
        <v>#N/A</v>
      </c>
      <c r="P50" s="11" t="e">
        <f t="shared" si="3"/>
        <v>#N/A</v>
      </c>
      <c r="Q50" s="11" t="e">
        <f>VLOOKUP($H50, 'ADP Data'!$B$4:$Q$300, 5, FALSE)</f>
        <v>#N/A</v>
      </c>
      <c r="R50" s="11" t="e">
        <f>VLOOKUP($H50, 'ADP Data'!$B$4:$Q$300, 6, FALSE)</f>
        <v>#N/A</v>
      </c>
      <c r="S50" s="11" t="e">
        <f>VLOOKUP($H50, 'ADP Data'!$B$4:$Q$300, 7, FALSE)</f>
        <v>#N/A</v>
      </c>
      <c r="T50" s="11" t="e">
        <f>VLOOKUP($H50, 'ADP Data'!$B$4:$Q$300, 8, FALSE)</f>
        <v>#N/A</v>
      </c>
      <c r="U50" s="11" t="e">
        <f>VLOOKUP($H50, 'ADP Data'!$B$4:$Q$300, 9, FALSE)</f>
        <v>#N/A</v>
      </c>
      <c r="V50" s="11" t="e">
        <f t="shared" si="4"/>
        <v>#N/A</v>
      </c>
      <c r="W50" s="11" t="e">
        <f t="shared" si="5"/>
        <v>#N/A</v>
      </c>
      <c r="X50" s="11">
        <f>IF(VLOOKUP($H50, SeanRanks!$A$2:$H$303, 7, FALSE)=0, "", VLOOKUP($H50, SeanRanks!$A$2:$H$303, 7, FALSE))</f>
        <v>58</v>
      </c>
    </row>
    <row r="51" spans="1:24" ht="14.25" customHeight="1" x14ac:dyDescent="0.25">
      <c r="A51" s="11"/>
      <c r="B51" s="11" t="e">
        <f t="shared" si="0"/>
        <v>#N/A</v>
      </c>
      <c r="C51" s="11" t="s">
        <v>119</v>
      </c>
      <c r="D51" s="11">
        <v>13</v>
      </c>
      <c r="E51" s="11">
        <v>10</v>
      </c>
      <c r="F51" s="11">
        <f t="shared" si="1"/>
        <v>3</v>
      </c>
      <c r="G51" s="11"/>
      <c r="H51" s="11" t="s">
        <v>562</v>
      </c>
      <c r="I51" s="57" t="e">
        <f>VLOOKUP($H51, 'ADP Data'!$B$4:$Q$300, 2, FALSE)</f>
        <v>#N/A</v>
      </c>
      <c r="J51" s="11" t="s">
        <v>762</v>
      </c>
      <c r="K51" s="11">
        <f>VLOOKUP($H51, SeanRanks!$A$2:$H$303, 5, FALSE)</f>
        <v>0</v>
      </c>
      <c r="L51" s="11" t="str">
        <f>IF(VLOOKUP($H51, SeanRanks!$A$2:$H$303, 6, FALSE)=0, "", VLOOKUP($H51, SeanRanks!$A$2:$H$303, 6, FALSE))</f>
        <v>RB2 - 1 - Clear path to spikes</v>
      </c>
      <c r="M51" s="11">
        <f t="shared" si="2"/>
        <v>16</v>
      </c>
      <c r="N51" s="11" t="e">
        <f>VLOOKUP($H51, 'ADP Data'!$B$4:$Q$300, 10, FALSE)</f>
        <v>#N/A</v>
      </c>
      <c r="O51" s="11" t="e">
        <f>VLOOKUP($H51, 'ADP Data'!$B$4:$Q$300, 4, FALSE)</f>
        <v>#N/A</v>
      </c>
      <c r="P51" s="11" t="e">
        <f t="shared" si="3"/>
        <v>#N/A</v>
      </c>
      <c r="Q51" s="11" t="e">
        <f>VLOOKUP($H51, 'ADP Data'!$B$4:$Q$300, 5, FALSE)</f>
        <v>#N/A</v>
      </c>
      <c r="R51" s="11" t="e">
        <f>VLOOKUP($H51, 'ADP Data'!$B$4:$Q$300, 6, FALSE)</f>
        <v>#N/A</v>
      </c>
      <c r="S51" s="11" t="e">
        <f>VLOOKUP($H51, 'ADP Data'!$B$4:$Q$300, 7, FALSE)</f>
        <v>#N/A</v>
      </c>
      <c r="T51" s="11" t="e">
        <f>VLOOKUP($H51, 'ADP Data'!$B$4:$Q$300, 8, FALSE)</f>
        <v>#N/A</v>
      </c>
      <c r="U51" s="11" t="e">
        <f>VLOOKUP($H51, 'ADP Data'!$B$4:$Q$300, 9, FALSE)</f>
        <v>#N/A</v>
      </c>
      <c r="V51" s="11" t="e">
        <f t="shared" si="4"/>
        <v>#N/A</v>
      </c>
      <c r="W51" s="11" t="e">
        <f t="shared" si="5"/>
        <v>#N/A</v>
      </c>
      <c r="X51" s="11">
        <f>IF(VLOOKUP($H51, SeanRanks!$A$2:$H$303, 7, FALSE)=0, "", VLOOKUP($H51, SeanRanks!$A$2:$H$303, 7, FALSE))</f>
        <v>19</v>
      </c>
    </row>
    <row r="52" spans="1:24" ht="14.25" customHeight="1" x14ac:dyDescent="0.25">
      <c r="A52" s="11"/>
      <c r="B52" s="11" t="e">
        <f t="shared" si="0"/>
        <v>#N/A</v>
      </c>
      <c r="C52" s="11" t="s">
        <v>119</v>
      </c>
      <c r="D52" s="11">
        <v>18</v>
      </c>
      <c r="E52" s="11">
        <v>6</v>
      </c>
      <c r="F52" s="11">
        <f t="shared" si="1"/>
        <v>12</v>
      </c>
      <c r="G52" s="11"/>
      <c r="H52" s="11" t="s">
        <v>176</v>
      </c>
      <c r="I52" s="11" t="e">
        <f>VLOOKUP($H52, 'ADP Data'!$B$4:$Q$300, 2, FALSE)</f>
        <v>#N/A</v>
      </c>
      <c r="J52" s="11" t="s">
        <v>764</v>
      </c>
      <c r="K52" s="11">
        <f>VLOOKUP($H52, SeanRanks!$A$2:$H$303, 5, FALSE)</f>
        <v>0</v>
      </c>
      <c r="L52" s="11" t="str">
        <f>IF(VLOOKUP($H52, SeanRanks!$A$2:$H$303, 6, FALSE)=0, "", VLOOKUP($H52, SeanRanks!$A$2:$H$303, 6, FALSE))</f>
        <v xml:space="preserve">WR3 - 1 - </v>
      </c>
      <c r="M52" s="11">
        <f t="shared" si="2"/>
        <v>16</v>
      </c>
      <c r="N52" s="11" t="e">
        <f>VLOOKUP($H52, 'ADP Data'!$B$4:$Q$300, 10, FALSE)</f>
        <v>#N/A</v>
      </c>
      <c r="O52" s="11" t="e">
        <f>VLOOKUP($H52, 'ADP Data'!$B$4:$Q$300, 4, FALSE)</f>
        <v>#N/A</v>
      </c>
      <c r="P52" s="11" t="e">
        <f t="shared" si="3"/>
        <v>#N/A</v>
      </c>
      <c r="Q52" s="11" t="e">
        <f>VLOOKUP($H52, 'ADP Data'!$B$4:$Q$300, 5, FALSE)</f>
        <v>#N/A</v>
      </c>
      <c r="R52" s="11" t="e">
        <f>VLOOKUP($H52, 'ADP Data'!$B$4:$Q$300, 6, FALSE)</f>
        <v>#N/A</v>
      </c>
      <c r="S52" s="11" t="e">
        <f>VLOOKUP($H52, 'ADP Data'!$B$4:$Q$300, 7, FALSE)</f>
        <v>#N/A</v>
      </c>
      <c r="T52" s="11" t="e">
        <f>VLOOKUP($H52, 'ADP Data'!$B$4:$Q$300, 8, FALSE)</f>
        <v>#N/A</v>
      </c>
      <c r="U52" s="11" t="e">
        <f>VLOOKUP($H52, 'ADP Data'!$B$4:$Q$300, 9, FALSE)</f>
        <v>#N/A</v>
      </c>
      <c r="V52" s="11" t="e">
        <f t="shared" si="4"/>
        <v>#N/A</v>
      </c>
      <c r="W52" s="11" t="e">
        <f t="shared" si="5"/>
        <v>#N/A</v>
      </c>
      <c r="X52" s="11">
        <f>IF(VLOOKUP($H52, SeanRanks!$A$2:$H$303, 7, FALSE)=0, "", VLOOKUP($H52, SeanRanks!$A$2:$H$303, 7, FALSE))</f>
        <v>28</v>
      </c>
    </row>
    <row r="53" spans="1:24" ht="14.25" customHeight="1" x14ac:dyDescent="0.25">
      <c r="A53" s="11"/>
      <c r="B53" s="11" t="e">
        <f t="shared" si="0"/>
        <v>#N/A</v>
      </c>
      <c r="C53" s="11" t="s">
        <v>119</v>
      </c>
      <c r="D53" s="11">
        <v>22</v>
      </c>
      <c r="E53" s="11">
        <v>5</v>
      </c>
      <c r="F53" s="11">
        <f t="shared" si="1"/>
        <v>17</v>
      </c>
      <c r="G53" s="11"/>
      <c r="H53" s="11" t="s">
        <v>213</v>
      </c>
      <c r="I53" s="11" t="e">
        <f>VLOOKUP($H53, 'ADP Data'!$B$4:$Q$300, 2, FALSE)</f>
        <v>#N/A</v>
      </c>
      <c r="J53" s="11" t="s">
        <v>764</v>
      </c>
      <c r="K53" s="11" t="e">
        <f>VLOOKUP($H53, SeanRanks!$A$2:$H$303, 5, FALSE)</f>
        <v>#N/A</v>
      </c>
      <c r="L53" s="11" t="e">
        <f>IF(VLOOKUP($H53, SeanRanks!$A$2:$H$303, 6, FALSE)=0, "", VLOOKUP($H53, SeanRanks!$A$2:$H$303, 6, FALSE))</f>
        <v>#N/A</v>
      </c>
      <c r="M53" s="11">
        <f t="shared" si="2"/>
        <v>16</v>
      </c>
      <c r="N53" s="11" t="e">
        <f>VLOOKUP($H53, 'ADP Data'!$B$4:$Q$300, 10, FALSE)</f>
        <v>#N/A</v>
      </c>
      <c r="O53" s="11" t="e">
        <f>VLOOKUP($H53, 'ADP Data'!$B$4:$Q$300, 4, FALSE)</f>
        <v>#N/A</v>
      </c>
      <c r="P53" s="11" t="e">
        <f t="shared" si="3"/>
        <v>#N/A</v>
      </c>
      <c r="Q53" s="11" t="e">
        <f>VLOOKUP($H53, 'ADP Data'!$B$4:$Q$300, 5, FALSE)</f>
        <v>#N/A</v>
      </c>
      <c r="R53" s="11" t="e">
        <f>VLOOKUP($H53, 'ADP Data'!$B$4:$Q$300, 6, FALSE)</f>
        <v>#N/A</v>
      </c>
      <c r="S53" s="11" t="e">
        <f>VLOOKUP($H53, 'ADP Data'!$B$4:$Q$300, 7, FALSE)</f>
        <v>#N/A</v>
      </c>
      <c r="T53" s="11" t="e">
        <f>VLOOKUP($H53, 'ADP Data'!$B$4:$Q$300, 8, FALSE)</f>
        <v>#N/A</v>
      </c>
      <c r="U53" s="11" t="e">
        <f>VLOOKUP($H53, 'ADP Data'!$B$4:$Q$300, 9, FALSE)</f>
        <v>#N/A</v>
      </c>
      <c r="V53" s="11" t="e">
        <f t="shared" si="4"/>
        <v>#N/A</v>
      </c>
      <c r="W53" s="11" t="e">
        <f t="shared" si="5"/>
        <v>#N/A</v>
      </c>
      <c r="X53" s="11" t="e">
        <f>IF(VLOOKUP($H53, SeanRanks!$A$2:$H$303, 7, FALSE)=0, "", VLOOKUP($H53, SeanRanks!$A$2:$H$303, 7, FALSE))</f>
        <v>#N/A</v>
      </c>
    </row>
    <row r="54" spans="1:24" ht="14.25" customHeight="1" x14ac:dyDescent="0.25">
      <c r="A54" s="11"/>
      <c r="B54" s="11" t="e">
        <f t="shared" si="0"/>
        <v>#N/A</v>
      </c>
      <c r="C54" s="11" t="s">
        <v>119</v>
      </c>
      <c r="D54" s="11">
        <v>8</v>
      </c>
      <c r="E54" s="11">
        <v>5</v>
      </c>
      <c r="F54" s="11">
        <f t="shared" si="1"/>
        <v>3</v>
      </c>
      <c r="G54" s="11" t="s">
        <v>148</v>
      </c>
      <c r="H54" s="11" t="s">
        <v>109</v>
      </c>
      <c r="I54" s="11" t="e">
        <f>VLOOKUP($H54, 'ADP Data'!$B$4:$Q$300, 2, FALSE)</f>
        <v>#N/A</v>
      </c>
      <c r="J54" s="11" t="s">
        <v>764</v>
      </c>
      <c r="K54" s="11">
        <f>VLOOKUP($H54, SeanRanks!$A$2:$H$303, 5, FALSE)</f>
        <v>0</v>
      </c>
      <c r="L54" s="11" t="str">
        <f>IF(VLOOKUP($H54, SeanRanks!$A$2:$H$303, 6, FALSE)=0, "", VLOOKUP($H54, SeanRanks!$A$2:$H$303, 6, FALSE))</f>
        <v>WR1 - 2 - High Floor</v>
      </c>
      <c r="M54" s="11">
        <f t="shared" si="2"/>
        <v>16</v>
      </c>
      <c r="N54" s="11" t="e">
        <f>VLOOKUP($H54, 'ADP Data'!$B$4:$Q$300, 10, FALSE)</f>
        <v>#N/A</v>
      </c>
      <c r="O54" s="11" t="e">
        <f>VLOOKUP($H54, 'ADP Data'!$B$4:$Q$300, 4, FALSE)</f>
        <v>#N/A</v>
      </c>
      <c r="P54" s="11" t="e">
        <f t="shared" si="3"/>
        <v>#N/A</v>
      </c>
      <c r="Q54" s="11" t="e">
        <f>VLOOKUP($H54, 'ADP Data'!$B$4:$Q$300, 5, FALSE)</f>
        <v>#N/A</v>
      </c>
      <c r="R54" s="11" t="e">
        <f>VLOOKUP($H54, 'ADP Data'!$B$4:$Q$300, 6, FALSE)</f>
        <v>#N/A</v>
      </c>
      <c r="S54" s="11" t="e">
        <f>VLOOKUP($H54, 'ADP Data'!$B$4:$Q$300, 7, FALSE)</f>
        <v>#N/A</v>
      </c>
      <c r="T54" s="11" t="e">
        <f>VLOOKUP($H54, 'ADP Data'!$B$4:$Q$300, 8, FALSE)</f>
        <v>#N/A</v>
      </c>
      <c r="U54" s="11" t="e">
        <f>VLOOKUP($H54, 'ADP Data'!$B$4:$Q$300, 9, FALSE)</f>
        <v>#N/A</v>
      </c>
      <c r="V54" s="11" t="e">
        <f t="shared" si="4"/>
        <v>#N/A</v>
      </c>
      <c r="W54" s="11" t="e">
        <f t="shared" si="5"/>
        <v>#N/A</v>
      </c>
      <c r="X54" s="11">
        <f>IF(VLOOKUP($H54, SeanRanks!$A$2:$H$303, 7, FALSE)=0, "", VLOOKUP($H54, SeanRanks!$A$2:$H$303, 7, FALSE))</f>
        <v>7</v>
      </c>
    </row>
    <row r="55" spans="1:24" ht="14.25" customHeight="1" x14ac:dyDescent="0.25">
      <c r="A55" s="11"/>
      <c r="B55" s="11" t="e">
        <f t="shared" si="0"/>
        <v>#N/A</v>
      </c>
      <c r="C55" s="11" t="s">
        <v>119</v>
      </c>
      <c r="D55" s="11">
        <v>11</v>
      </c>
      <c r="E55" s="11">
        <v>4</v>
      </c>
      <c r="F55" s="11">
        <f t="shared" si="1"/>
        <v>7</v>
      </c>
      <c r="G55" s="11" t="s">
        <v>148</v>
      </c>
      <c r="H55" s="11" t="s">
        <v>664</v>
      </c>
      <c r="I55" s="11" t="e">
        <f>VLOOKUP($H55, 'ADP Data'!$B$4:$Q$300, 2, FALSE)</f>
        <v>#N/A</v>
      </c>
      <c r="J55" s="11" t="s">
        <v>764</v>
      </c>
      <c r="K55" s="11">
        <f>VLOOKUP($H55, SeanRanks!$A$2:$H$303, 5, FALSE)</f>
        <v>0</v>
      </c>
      <c r="L55" s="11" t="str">
        <f>IF(VLOOKUP($H55, SeanRanks!$A$2:$H$303, 6, FALSE)=0, "", VLOOKUP($H55, SeanRanks!$A$2:$H$303, 6, FALSE))</f>
        <v>WR5 - 2 - floor play not league winner</v>
      </c>
      <c r="M55" s="11">
        <f t="shared" si="2"/>
        <v>16</v>
      </c>
      <c r="N55" s="11" t="e">
        <f>VLOOKUP($H55, 'ADP Data'!$B$4:$Q$300, 10, FALSE)</f>
        <v>#N/A</v>
      </c>
      <c r="O55" s="11" t="e">
        <f>VLOOKUP($H55, 'ADP Data'!$B$4:$Q$300, 4, FALSE)</f>
        <v>#N/A</v>
      </c>
      <c r="P55" s="11" t="e">
        <f t="shared" si="3"/>
        <v>#N/A</v>
      </c>
      <c r="Q55" s="11" t="e">
        <f>VLOOKUP($H55, 'ADP Data'!$B$4:$Q$300, 5, FALSE)</f>
        <v>#N/A</v>
      </c>
      <c r="R55" s="11" t="e">
        <f>VLOOKUP($H55, 'ADP Data'!$B$4:$Q$300, 6, FALSE)</f>
        <v>#N/A</v>
      </c>
      <c r="S55" s="11" t="e">
        <f>VLOOKUP($H55, 'ADP Data'!$B$4:$Q$300, 7, FALSE)</f>
        <v>#N/A</v>
      </c>
      <c r="T55" s="11" t="e">
        <f>VLOOKUP($H55, 'ADP Data'!$B$4:$Q$300, 8, FALSE)</f>
        <v>#N/A</v>
      </c>
      <c r="U55" s="11" t="e">
        <f>VLOOKUP($H55, 'ADP Data'!$B$4:$Q$300, 9, FALSE)</f>
        <v>#N/A</v>
      </c>
      <c r="V55" s="11" t="e">
        <f t="shared" si="4"/>
        <v>#N/A</v>
      </c>
      <c r="W55" s="11" t="e">
        <f t="shared" si="5"/>
        <v>#N/A</v>
      </c>
      <c r="X55" s="11">
        <f>IF(VLOOKUP($H55, SeanRanks!$A$2:$H$303, 7, FALSE)=0, "", VLOOKUP($H55, SeanRanks!$A$2:$H$303, 7, FALSE))</f>
        <v>57</v>
      </c>
    </row>
    <row r="56" spans="1:24" ht="14.25" customHeight="1" x14ac:dyDescent="0.25">
      <c r="A56" s="11"/>
      <c r="B56" s="11" t="e">
        <f t="shared" si="0"/>
        <v>#N/A</v>
      </c>
      <c r="C56" s="11" t="s">
        <v>119</v>
      </c>
      <c r="D56" s="11">
        <v>21</v>
      </c>
      <c r="E56" s="11">
        <v>9</v>
      </c>
      <c r="F56" s="11">
        <f t="shared" si="1"/>
        <v>12</v>
      </c>
      <c r="G56" s="11" t="s">
        <v>1110</v>
      </c>
      <c r="H56" s="11" t="s">
        <v>84</v>
      </c>
      <c r="I56" s="11" t="e">
        <f>VLOOKUP($H56, 'ADP Data'!$B$4:$Q$300, 2, FALSE)</f>
        <v>#N/A</v>
      </c>
      <c r="J56" s="11" t="s">
        <v>762</v>
      </c>
      <c r="K56" s="11">
        <f>VLOOKUP($H56, SeanRanks!$A$2:$H$303, 5, FALSE)</f>
        <v>0</v>
      </c>
      <c r="L56" s="11" t="str">
        <f>IF(VLOOKUP($H56, SeanRanks!$A$2:$H$303, 6, FALSE)=0, "", VLOOKUP($H56, SeanRanks!$A$2:$H$303, 6, FALSE))</f>
        <v>RB2 - 1 - Clear path to spikes</v>
      </c>
      <c r="M56" s="11">
        <f t="shared" si="2"/>
        <v>16</v>
      </c>
      <c r="N56" s="11" t="e">
        <f>VLOOKUP($H56, 'ADP Data'!$B$4:$Q$300, 10, FALSE)</f>
        <v>#N/A</v>
      </c>
      <c r="O56" s="11" t="e">
        <f>VLOOKUP($H56, 'ADP Data'!$B$4:$Q$300, 4, FALSE)</f>
        <v>#N/A</v>
      </c>
      <c r="P56" s="11" t="e">
        <f t="shared" si="3"/>
        <v>#N/A</v>
      </c>
      <c r="Q56" s="11" t="e">
        <f>VLOOKUP($H56, 'ADP Data'!$B$4:$Q$300, 5, FALSE)</f>
        <v>#N/A</v>
      </c>
      <c r="R56" s="11" t="e">
        <f>VLOOKUP($H56, 'ADP Data'!$B$4:$Q$300, 6, FALSE)</f>
        <v>#N/A</v>
      </c>
      <c r="S56" s="11" t="e">
        <f>VLOOKUP($H56, 'ADP Data'!$B$4:$Q$300, 7, FALSE)</f>
        <v>#N/A</v>
      </c>
      <c r="T56" s="11" t="e">
        <f>VLOOKUP($H56, 'ADP Data'!$B$4:$Q$300, 8, FALSE)</f>
        <v>#N/A</v>
      </c>
      <c r="U56" s="11" t="e">
        <f>VLOOKUP($H56, 'ADP Data'!$B$4:$Q$300, 9, FALSE)</f>
        <v>#N/A</v>
      </c>
      <c r="V56" s="11" t="e">
        <f t="shared" si="4"/>
        <v>#N/A</v>
      </c>
      <c r="W56" s="11" t="e">
        <f t="shared" si="5"/>
        <v>#N/A</v>
      </c>
      <c r="X56" s="11">
        <f>IF(VLOOKUP($H56, SeanRanks!$A$2:$H$303, 7, FALSE)=0, "", VLOOKUP($H56, SeanRanks!$A$2:$H$303, 7, FALSE))</f>
        <v>13</v>
      </c>
    </row>
    <row r="57" spans="1:24" ht="14.25" customHeight="1" x14ac:dyDescent="0.25">
      <c r="A57" s="11"/>
      <c r="B57" s="11" t="e">
        <f t="shared" si="0"/>
        <v>#N/A</v>
      </c>
      <c r="C57" s="11" t="s">
        <v>119</v>
      </c>
      <c r="D57" s="11">
        <v>20</v>
      </c>
      <c r="E57" s="11">
        <v>6</v>
      </c>
      <c r="F57" s="11">
        <f t="shared" si="1"/>
        <v>14</v>
      </c>
      <c r="G57" s="11"/>
      <c r="H57" s="11" t="s">
        <v>915</v>
      </c>
      <c r="I57" s="58" t="e">
        <f>VLOOKUP($H57, 'ADP Data'!$B$4:$Q$300, 2, FALSE)</f>
        <v>#N/A</v>
      </c>
      <c r="J57" s="11" t="s">
        <v>764</v>
      </c>
      <c r="K57" s="11" t="e">
        <f>VLOOKUP($H57, SeanRanks!$A$2:$H$303, 5, FALSE)</f>
        <v>#N/A</v>
      </c>
      <c r="L57" s="11" t="e">
        <f>IF(VLOOKUP($H57, SeanRanks!$A$2:$H$303, 6, FALSE)=0, "", VLOOKUP($H57, SeanRanks!$A$2:$H$303, 6, FALSE))</f>
        <v>#N/A</v>
      </c>
      <c r="M57" s="11">
        <f t="shared" si="2"/>
        <v>16</v>
      </c>
      <c r="N57" s="11" t="e">
        <f>VLOOKUP($H57, 'ADP Data'!$B$4:$Q$300, 10, FALSE)</f>
        <v>#N/A</v>
      </c>
      <c r="O57" s="11" t="e">
        <f>VLOOKUP($H57, 'ADP Data'!$B$4:$Q$300, 4, FALSE)</f>
        <v>#N/A</v>
      </c>
      <c r="P57" s="11" t="e">
        <f t="shared" si="3"/>
        <v>#N/A</v>
      </c>
      <c r="Q57" s="11" t="e">
        <f>VLOOKUP($H57, 'ADP Data'!$B$4:$Q$300, 5, FALSE)</f>
        <v>#N/A</v>
      </c>
      <c r="R57" s="11" t="e">
        <f>VLOOKUP($H57, 'ADP Data'!$B$4:$Q$300, 6, FALSE)</f>
        <v>#N/A</v>
      </c>
      <c r="S57" s="11" t="e">
        <f>VLOOKUP($H57, 'ADP Data'!$B$4:$Q$300, 7, FALSE)</f>
        <v>#N/A</v>
      </c>
      <c r="T57" s="11" t="e">
        <f>VLOOKUP($H57, 'ADP Data'!$B$4:$Q$300, 8, FALSE)</f>
        <v>#N/A</v>
      </c>
      <c r="U57" s="11" t="e">
        <f>VLOOKUP($H57, 'ADP Data'!$B$4:$Q$300, 9, FALSE)</f>
        <v>#N/A</v>
      </c>
      <c r="V57" s="11" t="e">
        <f t="shared" si="4"/>
        <v>#N/A</v>
      </c>
      <c r="W57" s="11" t="e">
        <f t="shared" si="5"/>
        <v>#N/A</v>
      </c>
      <c r="X57" s="11" t="e">
        <f>IF(VLOOKUP($H57, SeanRanks!$A$2:$H$303, 7, FALSE)=0, "", VLOOKUP($H57, SeanRanks!$A$2:$H$303, 7, FALSE))</f>
        <v>#N/A</v>
      </c>
    </row>
    <row r="58" spans="1:24" ht="14.25" customHeight="1" x14ac:dyDescent="0.25">
      <c r="A58" s="11"/>
      <c r="B58" s="11" t="e">
        <f t="shared" si="0"/>
        <v>#N/A</v>
      </c>
      <c r="C58" s="11" t="s">
        <v>119</v>
      </c>
      <c r="D58" s="11">
        <v>6</v>
      </c>
      <c r="E58" s="11">
        <v>4</v>
      </c>
      <c r="F58" s="11">
        <f t="shared" si="1"/>
        <v>2</v>
      </c>
      <c r="G58" s="58" t="s">
        <v>148</v>
      </c>
      <c r="H58" s="11" t="s">
        <v>908</v>
      </c>
      <c r="I58" s="11" t="e">
        <f>VLOOKUP($H58, 'ADP Data'!$B$4:$Q$300, 2, FALSE)</f>
        <v>#N/A</v>
      </c>
      <c r="J58" s="11" t="s">
        <v>764</v>
      </c>
      <c r="K58" s="11">
        <f>VLOOKUP($H58, SeanRanks!$A$2:$H$303, 5, FALSE)</f>
        <v>0</v>
      </c>
      <c r="L58" s="11" t="str">
        <f>IF(VLOOKUP($H58, SeanRanks!$A$2:$H$303, 6, FALSE)=0, "", VLOOKUP($H58, SeanRanks!$A$2:$H$303, 6, FALSE))</f>
        <v/>
      </c>
      <c r="M58" s="11">
        <f t="shared" si="2"/>
        <v>16</v>
      </c>
      <c r="N58" s="11" t="e">
        <f>VLOOKUP($H58, 'ADP Data'!$B$4:$Q$300, 10, FALSE)</f>
        <v>#N/A</v>
      </c>
      <c r="O58" s="11" t="e">
        <f>VLOOKUP($H58, 'ADP Data'!$B$4:$Q$300, 4, FALSE)</f>
        <v>#N/A</v>
      </c>
      <c r="P58" s="11" t="e">
        <f t="shared" si="3"/>
        <v>#N/A</v>
      </c>
      <c r="Q58" s="11" t="e">
        <f>VLOOKUP($H58, 'ADP Data'!$B$4:$Q$300, 5, FALSE)</f>
        <v>#N/A</v>
      </c>
      <c r="R58" s="11" t="e">
        <f>VLOOKUP($H58, 'ADP Data'!$B$4:$Q$300, 6, FALSE)</f>
        <v>#N/A</v>
      </c>
      <c r="S58" s="11" t="e">
        <f>VLOOKUP($H58, 'ADP Data'!$B$4:$Q$300, 7, FALSE)</f>
        <v>#N/A</v>
      </c>
      <c r="T58" s="11" t="e">
        <f>VLOOKUP($H58, 'ADP Data'!$B$4:$Q$300, 8, FALSE)</f>
        <v>#N/A</v>
      </c>
      <c r="U58" s="11" t="e">
        <f>VLOOKUP($H58, 'ADP Data'!$B$4:$Q$300, 9, FALSE)</f>
        <v>#N/A</v>
      </c>
      <c r="V58" s="11" t="e">
        <f t="shared" si="4"/>
        <v>#N/A</v>
      </c>
      <c r="W58" s="11" t="e">
        <f t="shared" si="5"/>
        <v>#N/A</v>
      </c>
      <c r="X58" s="11" t="str">
        <f>IF(VLOOKUP($H58, SeanRanks!$A$2:$H$303, 7, FALSE)=0, "", VLOOKUP($H58, SeanRanks!$A$2:$H$303, 7, FALSE))</f>
        <v/>
      </c>
    </row>
    <row r="59" spans="1:24" ht="14.25" customHeight="1" x14ac:dyDescent="0.25">
      <c r="A59" s="11"/>
      <c r="B59" s="11" t="e">
        <f t="shared" si="0"/>
        <v>#N/A</v>
      </c>
      <c r="C59" s="11" t="s">
        <v>119</v>
      </c>
      <c r="D59" s="11">
        <v>19</v>
      </c>
      <c r="E59" s="11">
        <v>12</v>
      </c>
      <c r="F59" s="11">
        <f t="shared" si="1"/>
        <v>7</v>
      </c>
      <c r="G59" s="11"/>
      <c r="H59" s="11" t="s">
        <v>955</v>
      </c>
      <c r="I59" s="58" t="e">
        <f>VLOOKUP($H59, 'ADP Data'!$B$4:$Q$300, 2, FALSE)</f>
        <v>#N/A</v>
      </c>
      <c r="J59" s="11" t="s">
        <v>762</v>
      </c>
      <c r="K59" s="11" t="e">
        <f>VLOOKUP($H59, SeanRanks!$A$2:$H$303, 5, FALSE)</f>
        <v>#N/A</v>
      </c>
      <c r="L59" s="11" t="e">
        <f>IF(VLOOKUP($H59, SeanRanks!$A$2:$H$303, 6, FALSE)=0, "", VLOOKUP($H59, SeanRanks!$A$2:$H$303, 6, FALSE))</f>
        <v>#N/A</v>
      </c>
      <c r="M59" s="11">
        <f t="shared" si="2"/>
        <v>16</v>
      </c>
      <c r="N59" s="11" t="e">
        <f>VLOOKUP($H59, 'ADP Data'!$B$4:$Q$300, 10, FALSE)</f>
        <v>#N/A</v>
      </c>
      <c r="O59" s="11" t="e">
        <f>VLOOKUP($H59, 'ADP Data'!$B$4:$Q$300, 4, FALSE)</f>
        <v>#N/A</v>
      </c>
      <c r="P59" s="11" t="e">
        <f t="shared" si="3"/>
        <v>#N/A</v>
      </c>
      <c r="Q59" s="11" t="e">
        <f>VLOOKUP($H59, 'ADP Data'!$B$4:$Q$300, 5, FALSE)</f>
        <v>#N/A</v>
      </c>
      <c r="R59" s="11" t="e">
        <f>VLOOKUP($H59, 'ADP Data'!$B$4:$Q$300, 6, FALSE)</f>
        <v>#N/A</v>
      </c>
      <c r="S59" s="11" t="e">
        <f>VLOOKUP($H59, 'ADP Data'!$B$4:$Q$300, 7, FALSE)</f>
        <v>#N/A</v>
      </c>
      <c r="T59" s="11" t="e">
        <f>VLOOKUP($H59, 'ADP Data'!$B$4:$Q$300, 8, FALSE)</f>
        <v>#N/A</v>
      </c>
      <c r="U59" s="11" t="e">
        <f>VLOOKUP($H59, 'ADP Data'!$B$4:$Q$300, 9, FALSE)</f>
        <v>#N/A</v>
      </c>
      <c r="V59" s="11" t="e">
        <f t="shared" si="4"/>
        <v>#N/A</v>
      </c>
      <c r="W59" s="11" t="e">
        <f t="shared" si="5"/>
        <v>#N/A</v>
      </c>
      <c r="X59" s="11" t="e">
        <f>IF(VLOOKUP($H59, SeanRanks!$A$2:$H$303, 7, FALSE)=0, "", VLOOKUP($H59, SeanRanks!$A$2:$H$303, 7, FALSE))</f>
        <v>#N/A</v>
      </c>
    </row>
    <row r="60" spans="1:24" ht="14.25" customHeight="1" x14ac:dyDescent="0.25">
      <c r="A60" s="11"/>
      <c r="B60" s="11" t="e">
        <f t="shared" si="0"/>
        <v>#N/A</v>
      </c>
      <c r="C60" s="11" t="s">
        <v>119</v>
      </c>
      <c r="D60" s="11">
        <v>18</v>
      </c>
      <c r="E60" s="11">
        <v>8</v>
      </c>
      <c r="F60" s="11">
        <f t="shared" si="1"/>
        <v>10</v>
      </c>
      <c r="G60" s="11"/>
      <c r="H60" s="11" t="s">
        <v>422</v>
      </c>
      <c r="I60" s="58" t="e">
        <f>VLOOKUP($H60, 'ADP Data'!$B$4:$Q$300, 2, FALSE)</f>
        <v>#N/A</v>
      </c>
      <c r="J60" s="11" t="s">
        <v>769</v>
      </c>
      <c r="K60" s="11">
        <f>VLOOKUP($H60, SeanRanks!$A$2:$H$303, 5, FALSE)</f>
        <v>0</v>
      </c>
      <c r="L60" s="11" t="str">
        <f>IF(VLOOKUP($H60, SeanRanks!$A$2:$H$303, 6, FALSE)=0, "", VLOOKUP($H60, SeanRanks!$A$2:$H$303, 6, FALSE))</f>
        <v>TE1 - 2 - Very Good</v>
      </c>
      <c r="M60" s="11">
        <f t="shared" si="2"/>
        <v>16</v>
      </c>
      <c r="N60" s="11" t="e">
        <f>VLOOKUP($H60, 'ADP Data'!$B$4:$Q$300, 10, FALSE)</f>
        <v>#N/A</v>
      </c>
      <c r="O60" s="11" t="e">
        <f>VLOOKUP($H60, 'ADP Data'!$B$4:$Q$300, 4, FALSE)</f>
        <v>#N/A</v>
      </c>
      <c r="P60" s="11" t="e">
        <f t="shared" si="3"/>
        <v>#N/A</v>
      </c>
      <c r="Q60" s="11" t="e">
        <f>VLOOKUP($H60, 'ADP Data'!$B$4:$Q$300, 5, FALSE)</f>
        <v>#N/A</v>
      </c>
      <c r="R60" s="11" t="e">
        <f>VLOOKUP($H60, 'ADP Data'!$B$4:$Q$300, 6, FALSE)</f>
        <v>#N/A</v>
      </c>
      <c r="S60" s="11" t="e">
        <f>VLOOKUP($H60, 'ADP Data'!$B$4:$Q$300, 7, FALSE)</f>
        <v>#N/A</v>
      </c>
      <c r="T60" s="11" t="e">
        <f>VLOOKUP($H60, 'ADP Data'!$B$4:$Q$300, 8, FALSE)</f>
        <v>#N/A</v>
      </c>
      <c r="U60" s="11" t="e">
        <f>VLOOKUP($H60, 'ADP Data'!$B$4:$Q$300, 9, FALSE)</f>
        <v>#N/A</v>
      </c>
      <c r="V60" s="11" t="e">
        <f t="shared" si="4"/>
        <v>#N/A</v>
      </c>
      <c r="W60" s="11" t="e">
        <f t="shared" si="5"/>
        <v>#N/A</v>
      </c>
      <c r="X60" s="11">
        <f>IF(VLOOKUP($H60, SeanRanks!$A$2:$H$303, 7, FALSE)=0, "", VLOOKUP($H60, SeanRanks!$A$2:$H$303, 7, FALSE))</f>
        <v>5</v>
      </c>
    </row>
    <row r="61" spans="1:24" ht="14.25" customHeight="1" x14ac:dyDescent="0.25">
      <c r="A61" s="11"/>
      <c r="B61" s="11" t="e">
        <f t="shared" si="0"/>
        <v>#N/A</v>
      </c>
      <c r="C61" s="11" t="s">
        <v>119</v>
      </c>
      <c r="D61" s="11">
        <v>14</v>
      </c>
      <c r="E61" s="11">
        <v>10</v>
      </c>
      <c r="F61" s="11">
        <f t="shared" si="1"/>
        <v>4</v>
      </c>
      <c r="G61" s="11" t="s">
        <v>148</v>
      </c>
      <c r="H61" s="11" t="s">
        <v>642</v>
      </c>
      <c r="I61" s="11" t="e">
        <f>VLOOKUP($H61, 'ADP Data'!$B$4:$Q$300, 2, FALSE)</f>
        <v>#N/A</v>
      </c>
      <c r="J61" s="11" t="s">
        <v>769</v>
      </c>
      <c r="K61" s="11">
        <f>VLOOKUP($H61, SeanRanks!$A$2:$H$303, 5, FALSE)</f>
        <v>0</v>
      </c>
      <c r="L61" s="11" t="str">
        <f>IF(VLOOKUP($H61, SeanRanks!$A$2:$H$303, 6, FALSE)=0, "", VLOOKUP($H61, SeanRanks!$A$2:$H$303, 6, FALSE))</f>
        <v/>
      </c>
      <c r="M61" s="11">
        <f t="shared" si="2"/>
        <v>16</v>
      </c>
      <c r="N61" s="11" t="e">
        <f>VLOOKUP($H61, 'ADP Data'!$B$4:$Q$300, 10, FALSE)</f>
        <v>#N/A</v>
      </c>
      <c r="O61" s="11" t="e">
        <f>VLOOKUP($H61, 'ADP Data'!$B$4:$Q$300, 4, FALSE)</f>
        <v>#N/A</v>
      </c>
      <c r="P61" s="11" t="e">
        <f t="shared" si="3"/>
        <v>#N/A</v>
      </c>
      <c r="Q61" s="11" t="e">
        <f>VLOOKUP($H61, 'ADP Data'!$B$4:$Q$300, 5, FALSE)</f>
        <v>#N/A</v>
      </c>
      <c r="R61" s="11" t="e">
        <f>VLOOKUP($H61, 'ADP Data'!$B$4:$Q$300, 6, FALSE)</f>
        <v>#N/A</v>
      </c>
      <c r="S61" s="11" t="e">
        <f>VLOOKUP($H61, 'ADP Data'!$B$4:$Q$300, 7, FALSE)</f>
        <v>#N/A</v>
      </c>
      <c r="T61" s="11" t="e">
        <f>VLOOKUP($H61, 'ADP Data'!$B$4:$Q$300, 8, FALSE)</f>
        <v>#N/A</v>
      </c>
      <c r="U61" s="11" t="e">
        <f>VLOOKUP($H61, 'ADP Data'!$B$4:$Q$300, 9, FALSE)</f>
        <v>#N/A</v>
      </c>
      <c r="V61" s="11" t="e">
        <f t="shared" si="4"/>
        <v>#N/A</v>
      </c>
      <c r="W61" s="11" t="e">
        <f t="shared" si="5"/>
        <v>#N/A</v>
      </c>
      <c r="X61" s="11" t="str">
        <f>IF(VLOOKUP($H61, SeanRanks!$A$2:$H$303, 7, FALSE)=0, "", VLOOKUP($H61, SeanRanks!$A$2:$H$303, 7, FALSE))</f>
        <v/>
      </c>
    </row>
    <row r="62" spans="1:24" ht="14.25" customHeight="1" x14ac:dyDescent="0.25">
      <c r="A62" s="11"/>
      <c r="B62" s="11" t="e">
        <f t="shared" si="0"/>
        <v>#N/A</v>
      </c>
      <c r="C62" s="11" t="s">
        <v>119</v>
      </c>
      <c r="D62" s="11">
        <v>18</v>
      </c>
      <c r="E62" s="11">
        <v>18</v>
      </c>
      <c r="F62" s="11">
        <f t="shared" si="1"/>
        <v>0</v>
      </c>
      <c r="G62" s="11"/>
      <c r="H62" s="11" t="s">
        <v>812</v>
      </c>
      <c r="I62" s="11" t="e">
        <f>VLOOKUP($H62, 'ADP Data'!$B$4:$Q$300, 2, FALSE)</f>
        <v>#N/A</v>
      </c>
      <c r="J62" s="11" t="s">
        <v>760</v>
      </c>
      <c r="K62" s="11">
        <f>VLOOKUP($H62, SeanRanks!$A$2:$H$303, 5, FALSE)</f>
        <v>0</v>
      </c>
      <c r="L62" s="11" t="str">
        <f>IF(VLOOKUP($H62, SeanRanks!$A$2:$H$303, 6, FALSE)=0, "", VLOOKUP($H62, SeanRanks!$A$2:$H$303, 6, FALSE))</f>
        <v>QB1 - 4 - Weekly Start</v>
      </c>
      <c r="M62" s="11">
        <f t="shared" si="2"/>
        <v>16</v>
      </c>
      <c r="N62" s="11" t="e">
        <f>VLOOKUP($H62, 'ADP Data'!$B$4:$Q$300, 10, FALSE)</f>
        <v>#N/A</v>
      </c>
      <c r="O62" s="11" t="e">
        <f>VLOOKUP($H62, 'ADP Data'!$B$4:$Q$300, 4, FALSE)</f>
        <v>#N/A</v>
      </c>
      <c r="P62" s="11" t="e">
        <f t="shared" si="3"/>
        <v>#N/A</v>
      </c>
      <c r="Q62" s="11" t="e">
        <f>VLOOKUP($H62, 'ADP Data'!$B$4:$Q$300, 5, FALSE)</f>
        <v>#N/A</v>
      </c>
      <c r="R62" s="11" t="e">
        <f>VLOOKUP($H62, 'ADP Data'!$B$4:$Q$300, 6, FALSE)</f>
        <v>#N/A</v>
      </c>
      <c r="S62" s="11" t="e">
        <f>VLOOKUP($H62, 'ADP Data'!$B$4:$Q$300, 7, FALSE)</f>
        <v>#N/A</v>
      </c>
      <c r="T62" s="11" t="e">
        <f>VLOOKUP($H62, 'ADP Data'!$B$4:$Q$300, 8, FALSE)</f>
        <v>#N/A</v>
      </c>
      <c r="U62" s="11" t="e">
        <f>VLOOKUP($H62, 'ADP Data'!$B$4:$Q$300, 9, FALSE)</f>
        <v>#N/A</v>
      </c>
      <c r="V62" s="11" t="e">
        <f t="shared" si="4"/>
        <v>#N/A</v>
      </c>
      <c r="W62" s="11" t="e">
        <f t="shared" si="5"/>
        <v>#N/A</v>
      </c>
      <c r="X62" s="11">
        <f>IF(VLOOKUP($H62, SeanRanks!$A$2:$H$303, 7, FALSE)=0, "", VLOOKUP($H62, SeanRanks!$A$2:$H$303, 7, FALSE))</f>
        <v>10</v>
      </c>
    </row>
    <row r="63" spans="1:24" ht="14.25" customHeight="1" x14ac:dyDescent="0.25">
      <c r="A63" s="11"/>
      <c r="B63" s="11" t="e">
        <f t="shared" si="0"/>
        <v>#N/A</v>
      </c>
      <c r="C63" s="11" t="s">
        <v>119</v>
      </c>
      <c r="D63" s="11">
        <v>15</v>
      </c>
      <c r="E63" s="11">
        <v>9</v>
      </c>
      <c r="F63" s="11">
        <f t="shared" si="1"/>
        <v>6</v>
      </c>
      <c r="G63" s="11"/>
      <c r="H63" s="11" t="s">
        <v>143</v>
      </c>
      <c r="I63" s="57" t="e">
        <f>VLOOKUP($H63, 'ADP Data'!$B$4:$Q$300, 2, FALSE)</f>
        <v>#N/A</v>
      </c>
      <c r="J63" s="11" t="s">
        <v>762</v>
      </c>
      <c r="K63" s="11">
        <f>VLOOKUP($H63, SeanRanks!$A$2:$H$303, 5, FALSE)</f>
        <v>0</v>
      </c>
      <c r="L63" s="11" t="str">
        <f>IF(VLOOKUP($H63, SeanRanks!$A$2:$H$303, 6, FALSE)=0, "", VLOOKUP($H63, SeanRanks!$A$2:$H$303, 6, FALSE))</f>
        <v>RB2 - 1 - Clear path to spikes</v>
      </c>
      <c r="M63" s="11">
        <f t="shared" si="2"/>
        <v>16</v>
      </c>
      <c r="N63" s="11" t="e">
        <f>VLOOKUP($H63, 'ADP Data'!$B$4:$Q$300, 10, FALSE)</f>
        <v>#N/A</v>
      </c>
      <c r="O63" s="11" t="e">
        <f>VLOOKUP($H63, 'ADP Data'!$B$4:$Q$300, 4, FALSE)</f>
        <v>#N/A</v>
      </c>
      <c r="P63" s="11" t="e">
        <f t="shared" si="3"/>
        <v>#N/A</v>
      </c>
      <c r="Q63" s="11" t="e">
        <f>VLOOKUP($H63, 'ADP Data'!$B$4:$Q$300, 5, FALSE)</f>
        <v>#N/A</v>
      </c>
      <c r="R63" s="11" t="e">
        <f>VLOOKUP($H63, 'ADP Data'!$B$4:$Q$300, 6, FALSE)</f>
        <v>#N/A</v>
      </c>
      <c r="S63" s="11" t="e">
        <f>VLOOKUP($H63, 'ADP Data'!$B$4:$Q$300, 7, FALSE)</f>
        <v>#N/A</v>
      </c>
      <c r="T63" s="11" t="e">
        <f>VLOOKUP($H63, 'ADP Data'!$B$4:$Q$300, 8, FALSE)</f>
        <v>#N/A</v>
      </c>
      <c r="U63" s="11" t="e">
        <f>VLOOKUP($H63, 'ADP Data'!$B$4:$Q$300, 9, FALSE)</f>
        <v>#N/A</v>
      </c>
      <c r="V63" s="11" t="e">
        <f t="shared" si="4"/>
        <v>#N/A</v>
      </c>
      <c r="W63" s="11" t="e">
        <f t="shared" si="5"/>
        <v>#N/A</v>
      </c>
      <c r="X63" s="11">
        <f>IF(VLOOKUP($H63, SeanRanks!$A$2:$H$303, 7, FALSE)=0, "", VLOOKUP($H63, SeanRanks!$A$2:$H$303, 7, FALSE))</f>
        <v>16</v>
      </c>
    </row>
    <row r="64" spans="1:24" ht="14.25" customHeight="1" x14ac:dyDescent="0.25">
      <c r="A64" s="11"/>
      <c r="B64" s="11" t="e">
        <f t="shared" si="0"/>
        <v>#N/A</v>
      </c>
      <c r="C64" s="11" t="s">
        <v>119</v>
      </c>
      <c r="D64" s="11">
        <v>16</v>
      </c>
      <c r="E64" s="11">
        <v>10</v>
      </c>
      <c r="F64" s="11">
        <f t="shared" si="1"/>
        <v>6</v>
      </c>
      <c r="G64" s="11"/>
      <c r="H64" s="11" t="s">
        <v>211</v>
      </c>
      <c r="I64" s="11" t="e">
        <f>VLOOKUP($H64, 'ADP Data'!$B$4:$Q$300, 2, FALSE)</f>
        <v>#N/A</v>
      </c>
      <c r="J64" s="11" t="s">
        <v>760</v>
      </c>
      <c r="K64" s="11">
        <f>VLOOKUP($H64, SeanRanks!$A$2:$H$303, 5, FALSE)</f>
        <v>0</v>
      </c>
      <c r="L64" s="11" t="str">
        <f>IF(VLOOKUP($H64, SeanRanks!$A$2:$H$303, 6, FALSE)=0, "", VLOOKUP($H64, SeanRanks!$A$2:$H$303, 6, FALSE))</f>
        <v>QB1 - 2 - QB1 Upside</v>
      </c>
      <c r="M64" s="11">
        <f t="shared" si="2"/>
        <v>16</v>
      </c>
      <c r="N64" s="11" t="e">
        <f>VLOOKUP($H64, 'ADP Data'!$B$4:$Q$300, 10, FALSE)</f>
        <v>#N/A</v>
      </c>
      <c r="O64" s="11" t="e">
        <f>VLOOKUP($H64, 'ADP Data'!$B$4:$Q$300, 4, FALSE)</f>
        <v>#N/A</v>
      </c>
      <c r="P64" s="11" t="e">
        <f t="shared" si="3"/>
        <v>#N/A</v>
      </c>
      <c r="Q64" s="11" t="e">
        <f>VLOOKUP($H64, 'ADP Data'!$B$4:$Q$300, 5, FALSE)</f>
        <v>#N/A</v>
      </c>
      <c r="R64" s="11" t="e">
        <f>VLOOKUP($H64, 'ADP Data'!$B$4:$Q$300, 6, FALSE)</f>
        <v>#N/A</v>
      </c>
      <c r="S64" s="11" t="e">
        <f>VLOOKUP($H64, 'ADP Data'!$B$4:$Q$300, 7, FALSE)</f>
        <v>#N/A</v>
      </c>
      <c r="T64" s="11" t="e">
        <f>VLOOKUP($H64, 'ADP Data'!$B$4:$Q$300, 8, FALSE)</f>
        <v>#N/A</v>
      </c>
      <c r="U64" s="11" t="e">
        <f>VLOOKUP($H64, 'ADP Data'!$B$4:$Q$300, 9, FALSE)</f>
        <v>#N/A</v>
      </c>
      <c r="V64" s="11" t="e">
        <f t="shared" si="4"/>
        <v>#N/A</v>
      </c>
      <c r="W64" s="11" t="e">
        <f t="shared" si="5"/>
        <v>#N/A</v>
      </c>
      <c r="X64" s="11">
        <f>IF(VLOOKUP($H64, SeanRanks!$A$2:$H$303, 7, FALSE)=0, "", VLOOKUP($H64, SeanRanks!$A$2:$H$303, 7, FALSE))</f>
        <v>5</v>
      </c>
    </row>
    <row r="65" spans="1:24" ht="14.25" customHeight="1" x14ac:dyDescent="0.25">
      <c r="A65" s="11"/>
      <c r="B65" s="11" t="e">
        <f t="shared" si="0"/>
        <v>#N/A</v>
      </c>
      <c r="C65" s="11" t="s">
        <v>119</v>
      </c>
      <c r="D65" s="11">
        <v>12</v>
      </c>
      <c r="E65" s="11">
        <v>4</v>
      </c>
      <c r="F65" s="11">
        <f t="shared" si="1"/>
        <v>8</v>
      </c>
      <c r="G65" s="11" t="s">
        <v>1112</v>
      </c>
      <c r="H65" s="11" t="s">
        <v>178</v>
      </c>
      <c r="I65" s="58" t="e">
        <f>VLOOKUP($H65, 'ADP Data'!$B$4:$Q$300, 2, FALSE)</f>
        <v>#N/A</v>
      </c>
      <c r="J65" s="11" t="s">
        <v>762</v>
      </c>
      <c r="K65" s="11">
        <f>VLOOKUP($H65, SeanRanks!$A$2:$H$303, 5, FALSE)</f>
        <v>0</v>
      </c>
      <c r="L65" s="11" t="str">
        <f>IF(VLOOKUP($H65, SeanRanks!$A$2:$H$303, 6, FALSE)=0, "", VLOOKUP($H65, SeanRanks!$A$2:$H$303, 6, FALSE))</f>
        <v>RB2 - 2 - Path to spikes</v>
      </c>
      <c r="M65" s="11">
        <f t="shared" si="2"/>
        <v>16</v>
      </c>
      <c r="N65" s="11" t="e">
        <f>VLOOKUP($H65, 'ADP Data'!$B$4:$Q$300, 10, FALSE)</f>
        <v>#N/A</v>
      </c>
      <c r="O65" s="11" t="e">
        <f>VLOOKUP($H65, 'ADP Data'!$B$4:$Q$300, 4, FALSE)</f>
        <v>#N/A</v>
      </c>
      <c r="P65" s="11" t="e">
        <f t="shared" si="3"/>
        <v>#N/A</v>
      </c>
      <c r="Q65" s="11" t="e">
        <f>VLOOKUP($H65, 'ADP Data'!$B$4:$Q$300, 5, FALSE)</f>
        <v>#N/A</v>
      </c>
      <c r="R65" s="11" t="e">
        <f>VLOOKUP($H65, 'ADP Data'!$B$4:$Q$300, 6, FALSE)</f>
        <v>#N/A</v>
      </c>
      <c r="S65" s="11" t="e">
        <f>VLOOKUP($H65, 'ADP Data'!$B$4:$Q$300, 7, FALSE)</f>
        <v>#N/A</v>
      </c>
      <c r="T65" s="11" t="e">
        <f>VLOOKUP($H65, 'ADP Data'!$B$4:$Q$300, 8, FALSE)</f>
        <v>#N/A</v>
      </c>
      <c r="U65" s="11" t="e">
        <f>VLOOKUP($H65, 'ADP Data'!$B$4:$Q$300, 9, FALSE)</f>
        <v>#N/A</v>
      </c>
      <c r="V65" s="11" t="e">
        <f t="shared" si="4"/>
        <v>#N/A</v>
      </c>
      <c r="W65" s="11" t="e">
        <f t="shared" si="5"/>
        <v>#N/A</v>
      </c>
      <c r="X65" s="11">
        <f>IF(VLOOKUP($H65, SeanRanks!$A$2:$H$303, 7, FALSE)=0, "", VLOOKUP($H65, SeanRanks!$A$2:$H$303, 7, FALSE))</f>
        <v>21</v>
      </c>
    </row>
    <row r="66" spans="1:24" ht="14.25" customHeight="1" x14ac:dyDescent="0.25">
      <c r="A66" s="11" t="s">
        <v>1156</v>
      </c>
      <c r="B66" s="11" t="e">
        <f t="shared" si="0"/>
        <v>#N/A</v>
      </c>
      <c r="C66" s="11" t="s">
        <v>119</v>
      </c>
      <c r="D66" s="11">
        <v>6</v>
      </c>
      <c r="E66" s="11">
        <v>4</v>
      </c>
      <c r="F66" s="11">
        <f t="shared" si="1"/>
        <v>2</v>
      </c>
      <c r="G66" s="11"/>
      <c r="H66" s="11" t="s">
        <v>220</v>
      </c>
      <c r="I66" s="11" t="e">
        <f>VLOOKUP($H66, 'ADP Data'!$B$4:$Q$300, 2, FALSE)</f>
        <v>#N/A</v>
      </c>
      <c r="J66" s="11" t="s">
        <v>764</v>
      </c>
      <c r="K66" s="11">
        <f>VLOOKUP($H66, SeanRanks!$A$2:$H$303, 5, FALSE)</f>
        <v>0</v>
      </c>
      <c r="L66" s="11" t="str">
        <f>IF(VLOOKUP($H66, SeanRanks!$A$2:$H$303, 6, FALSE)=0, "", VLOOKUP($H66, SeanRanks!$A$2:$H$303, 6, FALSE))</f>
        <v>WR2 - 1 - WR1 upside</v>
      </c>
      <c r="M66" s="11">
        <f t="shared" si="2"/>
        <v>16</v>
      </c>
      <c r="N66" s="11" t="e">
        <f>VLOOKUP($H66, 'ADP Data'!$B$4:$Q$300, 10, FALSE)</f>
        <v>#N/A</v>
      </c>
      <c r="O66" s="11" t="e">
        <f>VLOOKUP($H66, 'ADP Data'!$B$4:$Q$300, 4, FALSE)</f>
        <v>#N/A</v>
      </c>
      <c r="P66" s="11" t="e">
        <f t="shared" si="3"/>
        <v>#N/A</v>
      </c>
      <c r="Q66" s="11" t="e">
        <f>VLOOKUP($H66, 'ADP Data'!$B$4:$Q$300, 5, FALSE)</f>
        <v>#N/A</v>
      </c>
      <c r="R66" s="11" t="e">
        <f>VLOOKUP($H66, 'ADP Data'!$B$4:$Q$300, 6, FALSE)</f>
        <v>#N/A</v>
      </c>
      <c r="S66" s="11" t="e">
        <f>VLOOKUP($H66, 'ADP Data'!$B$4:$Q$300, 7, FALSE)</f>
        <v>#N/A</v>
      </c>
      <c r="T66" s="11" t="e">
        <f>VLOOKUP($H66, 'ADP Data'!$B$4:$Q$300, 8, FALSE)</f>
        <v>#N/A</v>
      </c>
      <c r="U66" s="11" t="e">
        <f>VLOOKUP($H66, 'ADP Data'!$B$4:$Q$300, 9, FALSE)</f>
        <v>#N/A</v>
      </c>
      <c r="V66" s="11" t="e">
        <f t="shared" si="4"/>
        <v>#N/A</v>
      </c>
      <c r="W66" s="11" t="e">
        <f t="shared" si="5"/>
        <v>#N/A</v>
      </c>
      <c r="X66" s="11">
        <f>IF(VLOOKUP($H66, SeanRanks!$A$2:$H$303, 7, FALSE)=0, "", VLOOKUP($H66, SeanRanks!$A$2:$H$303, 7, FALSE))</f>
        <v>15</v>
      </c>
    </row>
    <row r="67" spans="1:24" ht="14.25" customHeight="1" x14ac:dyDescent="0.25">
      <c r="A67" s="11"/>
      <c r="B67" s="11" t="e">
        <f t="shared" si="0"/>
        <v>#N/A</v>
      </c>
      <c r="C67" s="11" t="s">
        <v>119</v>
      </c>
      <c r="D67" s="11">
        <v>10</v>
      </c>
      <c r="E67" s="11">
        <v>4</v>
      </c>
      <c r="F67" s="11">
        <f t="shared" si="1"/>
        <v>6</v>
      </c>
      <c r="G67" s="11" t="s">
        <v>1110</v>
      </c>
      <c r="H67" s="11" t="s">
        <v>897</v>
      </c>
      <c r="I67" s="11" t="e">
        <f>VLOOKUP($H67, 'ADP Data'!$B$4:$Q$300, 2, FALSE)</f>
        <v>#N/A</v>
      </c>
      <c r="J67" s="11" t="s">
        <v>764</v>
      </c>
      <c r="K67" s="11">
        <f>VLOOKUP($H67, SeanRanks!$A$2:$H$303, 5, FALSE)</f>
        <v>0</v>
      </c>
      <c r="L67" s="11" t="str">
        <f>IF(VLOOKUP($H67, SeanRanks!$A$2:$H$303, 6, FALSE)=0, "", VLOOKUP($H67, SeanRanks!$A$2:$H$303, 6, FALSE))</f>
        <v/>
      </c>
      <c r="M67" s="11">
        <f t="shared" si="2"/>
        <v>16</v>
      </c>
      <c r="N67" s="11" t="e">
        <f>VLOOKUP($H67, 'ADP Data'!$B$4:$Q$300, 10, FALSE)</f>
        <v>#N/A</v>
      </c>
      <c r="O67" s="11" t="e">
        <f>VLOOKUP($H67, 'ADP Data'!$B$4:$Q$300, 4, FALSE)</f>
        <v>#N/A</v>
      </c>
      <c r="P67" s="11" t="e">
        <f t="shared" si="3"/>
        <v>#N/A</v>
      </c>
      <c r="Q67" s="11" t="e">
        <f>VLOOKUP($H67, 'ADP Data'!$B$4:$Q$300, 5, FALSE)</f>
        <v>#N/A</v>
      </c>
      <c r="R67" s="11" t="e">
        <f>VLOOKUP($H67, 'ADP Data'!$B$4:$Q$300, 6, FALSE)</f>
        <v>#N/A</v>
      </c>
      <c r="S67" s="11" t="e">
        <f>VLOOKUP($H67, 'ADP Data'!$B$4:$Q$300, 7, FALSE)</f>
        <v>#N/A</v>
      </c>
      <c r="T67" s="11" t="e">
        <f>VLOOKUP($H67, 'ADP Data'!$B$4:$Q$300, 8, FALSE)</f>
        <v>#N/A</v>
      </c>
      <c r="U67" s="11" t="e">
        <f>VLOOKUP($H67, 'ADP Data'!$B$4:$Q$300, 9, FALSE)</f>
        <v>#N/A</v>
      </c>
      <c r="V67" s="11" t="e">
        <f t="shared" si="4"/>
        <v>#N/A</v>
      </c>
      <c r="W67" s="11" t="e">
        <f t="shared" si="5"/>
        <v>#N/A</v>
      </c>
      <c r="X67" s="11" t="str">
        <f>IF(VLOOKUP($H67, SeanRanks!$A$2:$H$303, 7, FALSE)=0, "", VLOOKUP($H67, SeanRanks!$A$2:$H$303, 7, FALSE))</f>
        <v/>
      </c>
    </row>
    <row r="68" spans="1:24" ht="14.25" customHeight="1" x14ac:dyDescent="0.25">
      <c r="A68" s="11"/>
      <c r="B68" s="11" t="e">
        <f t="shared" si="0"/>
        <v>#N/A</v>
      </c>
      <c r="C68" s="11" t="s">
        <v>119</v>
      </c>
      <c r="D68" s="11">
        <v>7</v>
      </c>
      <c r="E68" s="11">
        <v>5</v>
      </c>
      <c r="F68" s="11">
        <f t="shared" si="1"/>
        <v>2</v>
      </c>
      <c r="G68" s="11"/>
      <c r="H68" s="11" t="s">
        <v>274</v>
      </c>
      <c r="I68" s="11" t="e">
        <f>VLOOKUP($H68, 'ADP Data'!$B$4:$Q$300, 2, FALSE)</f>
        <v>#N/A</v>
      </c>
      <c r="J68" s="11" t="s">
        <v>769</v>
      </c>
      <c r="K68" s="11">
        <f>VLOOKUP($H68, SeanRanks!$A$2:$H$303, 5, FALSE)</f>
        <v>0</v>
      </c>
      <c r="L68" s="11" t="str">
        <f>IF(VLOOKUP($H68, SeanRanks!$A$2:$H$303, 6, FALSE)=0, "", VLOOKUP($H68, SeanRanks!$A$2:$H$303, 6, FALSE))</f>
        <v>TE1 - 1 - Elite</v>
      </c>
      <c r="M68" s="11">
        <f t="shared" si="2"/>
        <v>16</v>
      </c>
      <c r="N68" s="11" t="e">
        <f>VLOOKUP($H68, 'ADP Data'!$B$4:$Q$300, 10, FALSE)</f>
        <v>#N/A</v>
      </c>
      <c r="O68" s="11" t="e">
        <f>VLOOKUP($H68, 'ADP Data'!$B$4:$Q$300, 4, FALSE)</f>
        <v>#N/A</v>
      </c>
      <c r="P68" s="11" t="e">
        <f t="shared" si="3"/>
        <v>#N/A</v>
      </c>
      <c r="Q68" s="11" t="e">
        <f>VLOOKUP($H68, 'ADP Data'!$B$4:$Q$300, 5, FALSE)</f>
        <v>#N/A</v>
      </c>
      <c r="R68" s="11" t="e">
        <f>VLOOKUP($H68, 'ADP Data'!$B$4:$Q$300, 6, FALSE)</f>
        <v>#N/A</v>
      </c>
      <c r="S68" s="11" t="e">
        <f>VLOOKUP($H68, 'ADP Data'!$B$4:$Q$300, 7, FALSE)</f>
        <v>#N/A</v>
      </c>
      <c r="T68" s="11" t="e">
        <f>VLOOKUP($H68, 'ADP Data'!$B$4:$Q$300, 8, FALSE)</f>
        <v>#N/A</v>
      </c>
      <c r="U68" s="11" t="e">
        <f>VLOOKUP($H68, 'ADP Data'!$B$4:$Q$300, 9, FALSE)</f>
        <v>#N/A</v>
      </c>
      <c r="V68" s="11" t="e">
        <f t="shared" si="4"/>
        <v>#N/A</v>
      </c>
      <c r="W68" s="11" t="e">
        <f t="shared" si="5"/>
        <v>#N/A</v>
      </c>
      <c r="X68" s="11">
        <f>IF(VLOOKUP($H68, SeanRanks!$A$2:$H$303, 7, FALSE)=0, "", VLOOKUP($H68, SeanRanks!$A$2:$H$303, 7, FALSE))</f>
        <v>3</v>
      </c>
    </row>
    <row r="69" spans="1:24" ht="14.25" customHeight="1" x14ac:dyDescent="0.25">
      <c r="A69" s="11"/>
      <c r="B69" s="11" t="e">
        <f t="shared" si="0"/>
        <v>#N/A</v>
      </c>
      <c r="C69" s="11" t="s">
        <v>119</v>
      </c>
      <c r="D69" s="11">
        <v>7</v>
      </c>
      <c r="E69" s="11">
        <v>3</v>
      </c>
      <c r="F69" s="11">
        <f t="shared" si="1"/>
        <v>4</v>
      </c>
      <c r="G69" s="11"/>
      <c r="H69" s="11" t="s">
        <v>183</v>
      </c>
      <c r="I69" s="11" t="e">
        <f>VLOOKUP($H69, 'ADP Data'!$B$4:$Q$300, 2, FALSE)</f>
        <v>#N/A</v>
      </c>
      <c r="J69" s="11" t="s">
        <v>764</v>
      </c>
      <c r="K69" s="11">
        <f>VLOOKUP($H69, SeanRanks!$A$2:$H$303, 5, FALSE)</f>
        <v>0</v>
      </c>
      <c r="L69" s="11" t="str">
        <f>IF(VLOOKUP($H69, SeanRanks!$A$2:$H$303, 6, FALSE)=0, "", VLOOKUP($H69, SeanRanks!$A$2:$H$303, 6, FALSE))</f>
        <v>WR2 - 2 - Upside with risk</v>
      </c>
      <c r="M69" s="11">
        <f t="shared" si="2"/>
        <v>16</v>
      </c>
      <c r="N69" s="11" t="e">
        <f>VLOOKUP($H69, 'ADP Data'!$B$4:$Q$300, 10, FALSE)</f>
        <v>#N/A</v>
      </c>
      <c r="O69" s="11" t="e">
        <f>VLOOKUP($H69, 'ADP Data'!$B$4:$Q$300, 4, FALSE)</f>
        <v>#N/A</v>
      </c>
      <c r="P69" s="11" t="e">
        <f t="shared" si="3"/>
        <v>#N/A</v>
      </c>
      <c r="Q69" s="11" t="e">
        <f>VLOOKUP($H69, 'ADP Data'!$B$4:$Q$300, 5, FALSE)</f>
        <v>#N/A</v>
      </c>
      <c r="R69" s="11" t="e">
        <f>VLOOKUP($H69, 'ADP Data'!$B$4:$Q$300, 6, FALSE)</f>
        <v>#N/A</v>
      </c>
      <c r="S69" s="11" t="e">
        <f>VLOOKUP($H69, 'ADP Data'!$B$4:$Q$300, 7, FALSE)</f>
        <v>#N/A</v>
      </c>
      <c r="T69" s="11" t="e">
        <f>VLOOKUP($H69, 'ADP Data'!$B$4:$Q$300, 8, FALSE)</f>
        <v>#N/A</v>
      </c>
      <c r="U69" s="11" t="e">
        <f>VLOOKUP($H69, 'ADP Data'!$B$4:$Q$300, 9, FALSE)</f>
        <v>#N/A</v>
      </c>
      <c r="V69" s="11" t="e">
        <f t="shared" si="4"/>
        <v>#N/A</v>
      </c>
      <c r="W69" s="11" t="e">
        <f t="shared" si="5"/>
        <v>#N/A</v>
      </c>
      <c r="X69" s="11">
        <f>IF(VLOOKUP($H69, SeanRanks!$A$2:$H$303, 7, FALSE)=0, "", VLOOKUP($H69, SeanRanks!$A$2:$H$303, 7, FALSE))</f>
        <v>17</v>
      </c>
    </row>
    <row r="70" spans="1:24" ht="14.25" customHeight="1" x14ac:dyDescent="0.25">
      <c r="A70" s="11"/>
      <c r="B70" s="11" t="e">
        <f t="shared" si="0"/>
        <v>#N/A</v>
      </c>
      <c r="C70" s="11" t="s">
        <v>119</v>
      </c>
      <c r="D70" s="11">
        <v>1</v>
      </c>
      <c r="E70" s="11">
        <v>3</v>
      </c>
      <c r="F70" s="11">
        <f t="shared" si="1"/>
        <v>-2</v>
      </c>
      <c r="G70" s="11" t="s">
        <v>1112</v>
      </c>
      <c r="H70" s="11" t="s">
        <v>922</v>
      </c>
      <c r="I70" s="11" t="e">
        <f>VLOOKUP($H70, 'ADP Data'!$B$4:$Q$300, 2, FALSE)</f>
        <v>#N/A</v>
      </c>
      <c r="J70" s="11" t="s">
        <v>762</v>
      </c>
      <c r="K70" s="11" t="e">
        <f>VLOOKUP($H70, SeanRanks!$A$2:$H$303, 5, FALSE)</f>
        <v>#N/A</v>
      </c>
      <c r="L70" s="11" t="e">
        <f>IF(VLOOKUP($H70, SeanRanks!$A$2:$H$303, 6, FALSE)=0, "", VLOOKUP($H70, SeanRanks!$A$2:$H$303, 6, FALSE))</f>
        <v>#N/A</v>
      </c>
      <c r="M70" s="11">
        <f t="shared" si="2"/>
        <v>16</v>
      </c>
      <c r="N70" s="11" t="e">
        <f>VLOOKUP($H70, 'ADP Data'!$B$4:$Q$300, 10, FALSE)</f>
        <v>#N/A</v>
      </c>
      <c r="O70" s="11" t="e">
        <f>VLOOKUP($H70, 'ADP Data'!$B$4:$Q$300, 4, FALSE)</f>
        <v>#N/A</v>
      </c>
      <c r="P70" s="11" t="e">
        <f t="shared" si="3"/>
        <v>#N/A</v>
      </c>
      <c r="Q70" s="11" t="e">
        <f>VLOOKUP($H70, 'ADP Data'!$B$4:$Q$300, 5, FALSE)</f>
        <v>#N/A</v>
      </c>
      <c r="R70" s="11" t="e">
        <f>VLOOKUP($H70, 'ADP Data'!$B$4:$Q$300, 6, FALSE)</f>
        <v>#N/A</v>
      </c>
      <c r="S70" s="11" t="e">
        <f>VLOOKUP($H70, 'ADP Data'!$B$4:$Q$300, 7, FALSE)</f>
        <v>#N/A</v>
      </c>
      <c r="T70" s="11" t="e">
        <f>VLOOKUP($H70, 'ADP Data'!$B$4:$Q$300, 8, FALSE)</f>
        <v>#N/A</v>
      </c>
      <c r="U70" s="11" t="e">
        <f>VLOOKUP($H70, 'ADP Data'!$B$4:$Q$300, 9, FALSE)</f>
        <v>#N/A</v>
      </c>
      <c r="V70" s="11" t="e">
        <f t="shared" si="4"/>
        <v>#N/A</v>
      </c>
      <c r="W70" s="11" t="e">
        <f t="shared" si="5"/>
        <v>#N/A</v>
      </c>
      <c r="X70" s="11" t="e">
        <f>IF(VLOOKUP($H70, SeanRanks!$A$2:$H$303, 7, FALSE)=0, "", VLOOKUP($H70, SeanRanks!$A$2:$H$303, 7, FALSE))</f>
        <v>#N/A</v>
      </c>
    </row>
    <row r="71" spans="1:24" ht="14.25" customHeight="1" x14ac:dyDescent="0.25">
      <c r="A71" s="11" t="s">
        <v>1156</v>
      </c>
      <c r="B71" s="11" t="e">
        <f t="shared" si="0"/>
        <v>#N/A</v>
      </c>
      <c r="C71" s="11" t="s">
        <v>119</v>
      </c>
      <c r="D71" s="11">
        <v>3</v>
      </c>
      <c r="E71" s="11">
        <v>3</v>
      </c>
      <c r="F71" s="11">
        <f t="shared" si="1"/>
        <v>0</v>
      </c>
      <c r="G71" s="11" t="s">
        <v>1112</v>
      </c>
      <c r="H71" s="11" t="s">
        <v>1184</v>
      </c>
      <c r="I71" s="11" t="e">
        <f>VLOOKUP($H71, 'ADP Data'!$B$4:$Q$300, 2, FALSE)</f>
        <v>#N/A</v>
      </c>
      <c r="J71" s="11" t="s">
        <v>764</v>
      </c>
      <c r="K71" s="11" t="e">
        <f>VLOOKUP($H71, SeanRanks!$A$2:$H$303, 5, FALSE)</f>
        <v>#N/A</v>
      </c>
      <c r="L71" s="11" t="e">
        <f>IF(VLOOKUP($H71, SeanRanks!$A$2:$H$303, 6, FALSE)=0, "", VLOOKUP($H71, SeanRanks!$A$2:$H$303, 6, FALSE))</f>
        <v>#N/A</v>
      </c>
      <c r="M71" s="11">
        <f t="shared" si="2"/>
        <v>16</v>
      </c>
      <c r="N71" s="11" t="e">
        <f>VLOOKUP($H71, 'ADP Data'!$B$4:$Q$300, 10, FALSE)</f>
        <v>#N/A</v>
      </c>
      <c r="O71" s="11" t="e">
        <f>VLOOKUP($H71, 'ADP Data'!$B$4:$Q$300, 4, FALSE)</f>
        <v>#N/A</v>
      </c>
      <c r="P71" s="11" t="e">
        <f t="shared" si="3"/>
        <v>#N/A</v>
      </c>
      <c r="Q71" s="11" t="e">
        <f>VLOOKUP($H71, 'ADP Data'!$B$4:$Q$300, 5, FALSE)</f>
        <v>#N/A</v>
      </c>
      <c r="R71" s="11" t="e">
        <f>VLOOKUP($H71, 'ADP Data'!$B$4:$Q$300, 6, FALSE)</f>
        <v>#N/A</v>
      </c>
      <c r="S71" s="11" t="e">
        <f>VLOOKUP($H71, 'ADP Data'!$B$4:$Q$300, 7, FALSE)</f>
        <v>#N/A</v>
      </c>
      <c r="T71" s="11" t="e">
        <f>VLOOKUP($H71, 'ADP Data'!$B$4:$Q$300, 8, FALSE)</f>
        <v>#N/A</v>
      </c>
      <c r="U71" s="11" t="e">
        <f>VLOOKUP($H71, 'ADP Data'!$B$4:$Q$300, 9, FALSE)</f>
        <v>#N/A</v>
      </c>
      <c r="V71" s="11" t="e">
        <f t="shared" si="4"/>
        <v>#N/A</v>
      </c>
      <c r="W71" s="11" t="e">
        <f t="shared" si="5"/>
        <v>#N/A</v>
      </c>
      <c r="X71" s="11" t="e">
        <f>IF(VLOOKUP($H71, SeanRanks!$A$2:$H$303, 7, FALSE)=0, "", VLOOKUP($H71, SeanRanks!$A$2:$H$303, 7, FALSE))</f>
        <v>#N/A</v>
      </c>
    </row>
    <row r="72" spans="1:24" ht="14.25" customHeight="1" x14ac:dyDescent="0.25">
      <c r="A72" s="11"/>
      <c r="B72" s="11" t="e">
        <f t="shared" si="0"/>
        <v>#N/A</v>
      </c>
      <c r="C72" s="11" t="s">
        <v>119</v>
      </c>
      <c r="D72" s="11">
        <v>17</v>
      </c>
      <c r="E72" s="11">
        <v>3</v>
      </c>
      <c r="F72" s="11">
        <f t="shared" si="1"/>
        <v>14</v>
      </c>
      <c r="G72" s="11"/>
      <c r="H72" s="11" t="s">
        <v>264</v>
      </c>
      <c r="I72" s="11" t="e">
        <f>VLOOKUP($H72, 'ADP Data'!$B$4:$Q$300, 2, FALSE)</f>
        <v>#N/A</v>
      </c>
      <c r="J72" s="11" t="s">
        <v>764</v>
      </c>
      <c r="K72" s="11">
        <f>VLOOKUP($H72, SeanRanks!$A$2:$H$303, 5, FALSE)</f>
        <v>0</v>
      </c>
      <c r="L72" s="11" t="str">
        <f>IF(VLOOKUP($H72, SeanRanks!$A$2:$H$303, 6, FALSE)=0, "", VLOOKUP($H72, SeanRanks!$A$2:$H$303, 6, FALSE))</f>
        <v>WR4 - 1 - path to WR2</v>
      </c>
      <c r="M72" s="11">
        <f t="shared" si="2"/>
        <v>16</v>
      </c>
      <c r="N72" s="11" t="e">
        <f>VLOOKUP($H72, 'ADP Data'!$B$4:$Q$300, 10, FALSE)</f>
        <v>#N/A</v>
      </c>
      <c r="O72" s="11" t="e">
        <f>VLOOKUP($H72, 'ADP Data'!$B$4:$Q$300, 4, FALSE)</f>
        <v>#N/A</v>
      </c>
      <c r="P72" s="11" t="e">
        <f t="shared" si="3"/>
        <v>#N/A</v>
      </c>
      <c r="Q72" s="11" t="e">
        <f>VLOOKUP($H72, 'ADP Data'!$B$4:$Q$300, 5, FALSE)</f>
        <v>#N/A</v>
      </c>
      <c r="R72" s="11" t="e">
        <f>VLOOKUP($H72, 'ADP Data'!$B$4:$Q$300, 6, FALSE)</f>
        <v>#N/A</v>
      </c>
      <c r="S72" s="11" t="e">
        <f>VLOOKUP($H72, 'ADP Data'!$B$4:$Q$300, 7, FALSE)</f>
        <v>#N/A</v>
      </c>
      <c r="T72" s="11" t="e">
        <f>VLOOKUP($H72, 'ADP Data'!$B$4:$Q$300, 8, FALSE)</f>
        <v>#N/A</v>
      </c>
      <c r="U72" s="11" t="e">
        <f>VLOOKUP($H72, 'ADP Data'!$B$4:$Q$300, 9, FALSE)</f>
        <v>#N/A</v>
      </c>
      <c r="V72" s="11" t="e">
        <f t="shared" si="4"/>
        <v>#N/A</v>
      </c>
      <c r="W72" s="11" t="e">
        <f t="shared" si="5"/>
        <v>#N/A</v>
      </c>
      <c r="X72" s="11">
        <f>IF(VLOOKUP($H72, SeanRanks!$A$2:$H$303, 7, FALSE)=0, "", VLOOKUP($H72, SeanRanks!$A$2:$H$303, 7, FALSE))</f>
        <v>42</v>
      </c>
    </row>
    <row r="73" spans="1:24" ht="14.25" customHeight="1" x14ac:dyDescent="0.25">
      <c r="A73" s="11"/>
      <c r="B73" s="11" t="e">
        <f t="shared" si="0"/>
        <v>#N/A</v>
      </c>
      <c r="C73" s="11" t="s">
        <v>119</v>
      </c>
      <c r="D73" s="11">
        <v>8</v>
      </c>
      <c r="E73" s="11">
        <v>4</v>
      </c>
      <c r="F73" s="11">
        <f t="shared" si="1"/>
        <v>4</v>
      </c>
      <c r="G73" s="11"/>
      <c r="H73" s="11" t="s">
        <v>250</v>
      </c>
      <c r="I73" s="11" t="e">
        <f>VLOOKUP($H73, 'ADP Data'!$B$4:$Q$300, 2, FALSE)</f>
        <v>#N/A</v>
      </c>
      <c r="J73" s="11" t="s">
        <v>769</v>
      </c>
      <c r="K73" s="11" t="str">
        <f>VLOOKUP($H73, SeanRanks!$A$2:$H$303, 5, FALSE)</f>
        <v>Yes</v>
      </c>
      <c r="L73" s="11" t="str">
        <f>IF(VLOOKUP($H73, SeanRanks!$A$2:$H$303, 6, FALSE)=0, "", VLOOKUP($H73, SeanRanks!$A$2:$H$303, 6, FALSE))</f>
        <v>TE2 - 1 - Big Upside</v>
      </c>
      <c r="M73" s="11">
        <f t="shared" si="2"/>
        <v>16</v>
      </c>
      <c r="N73" s="11" t="e">
        <f>VLOOKUP($H73, 'ADP Data'!$B$4:$Q$300, 10, FALSE)</f>
        <v>#N/A</v>
      </c>
      <c r="O73" s="11" t="e">
        <f>VLOOKUP($H73, 'ADP Data'!$B$4:$Q$300, 4, FALSE)</f>
        <v>#N/A</v>
      </c>
      <c r="P73" s="11" t="e">
        <f t="shared" si="3"/>
        <v>#N/A</v>
      </c>
      <c r="Q73" s="11" t="e">
        <f>VLOOKUP($H73, 'ADP Data'!$B$4:$Q$300, 5, FALSE)</f>
        <v>#N/A</v>
      </c>
      <c r="R73" s="11" t="e">
        <f>VLOOKUP($H73, 'ADP Data'!$B$4:$Q$300, 6, FALSE)</f>
        <v>#N/A</v>
      </c>
      <c r="S73" s="11" t="e">
        <f>VLOOKUP($H73, 'ADP Data'!$B$4:$Q$300, 7, FALSE)</f>
        <v>#N/A</v>
      </c>
      <c r="T73" s="11" t="e">
        <f>VLOOKUP($H73, 'ADP Data'!$B$4:$Q$300, 8, FALSE)</f>
        <v>#N/A</v>
      </c>
      <c r="U73" s="11" t="e">
        <f>VLOOKUP($H73, 'ADP Data'!$B$4:$Q$300, 9, FALSE)</f>
        <v>#N/A</v>
      </c>
      <c r="V73" s="11" t="e">
        <f t="shared" si="4"/>
        <v>#N/A</v>
      </c>
      <c r="W73" s="11" t="e">
        <f t="shared" si="5"/>
        <v>#N/A</v>
      </c>
      <c r="X73" s="11">
        <f>IF(VLOOKUP($H73, SeanRanks!$A$2:$H$303, 7, FALSE)=0, "", VLOOKUP($H73, SeanRanks!$A$2:$H$303, 7, FALSE))</f>
        <v>15</v>
      </c>
    </row>
    <row r="74" spans="1:24" ht="14.25" customHeight="1" x14ac:dyDescent="0.25">
      <c r="A74" s="11"/>
      <c r="B74" s="11" t="e">
        <f t="shared" si="0"/>
        <v>#N/A</v>
      </c>
      <c r="C74" s="11" t="s">
        <v>119</v>
      </c>
      <c r="D74" s="11">
        <v>7</v>
      </c>
      <c r="E74" s="11">
        <v>3</v>
      </c>
      <c r="F74" s="11">
        <f t="shared" si="1"/>
        <v>4</v>
      </c>
      <c r="G74" s="11"/>
      <c r="H74" s="11" t="s">
        <v>429</v>
      </c>
      <c r="I74" s="11" t="e">
        <f>VLOOKUP($H74, 'ADP Data'!$B$4:$Q$300, 2, FALSE)</f>
        <v>#N/A</v>
      </c>
      <c r="J74" s="11" t="s">
        <v>764</v>
      </c>
      <c r="K74" s="11">
        <f>VLOOKUP($H74, SeanRanks!$A$2:$H$303, 5, FALSE)</f>
        <v>0</v>
      </c>
      <c r="L74" s="11" t="str">
        <f>IF(VLOOKUP($H74, SeanRanks!$A$2:$H$303, 6, FALSE)=0, "", VLOOKUP($H74, SeanRanks!$A$2:$H$303, 6, FALSE))</f>
        <v>WR3 - 3 - lower ceiling</v>
      </c>
      <c r="M74" s="11">
        <f t="shared" si="2"/>
        <v>16</v>
      </c>
      <c r="N74" s="11" t="e">
        <f>VLOOKUP($H74, 'ADP Data'!$B$4:$Q$300, 10, FALSE)</f>
        <v>#N/A</v>
      </c>
      <c r="O74" s="11" t="e">
        <f>VLOOKUP($H74, 'ADP Data'!$B$4:$Q$300, 4, FALSE)</f>
        <v>#N/A</v>
      </c>
      <c r="P74" s="11" t="e">
        <f t="shared" si="3"/>
        <v>#N/A</v>
      </c>
      <c r="Q74" s="11" t="e">
        <f>VLOOKUP($H74, 'ADP Data'!$B$4:$Q$300, 5, FALSE)</f>
        <v>#N/A</v>
      </c>
      <c r="R74" s="11" t="e">
        <f>VLOOKUP($H74, 'ADP Data'!$B$4:$Q$300, 6, FALSE)</f>
        <v>#N/A</v>
      </c>
      <c r="S74" s="11" t="e">
        <f>VLOOKUP($H74, 'ADP Data'!$B$4:$Q$300, 7, FALSE)</f>
        <v>#N/A</v>
      </c>
      <c r="T74" s="11" t="e">
        <f>VLOOKUP($H74, 'ADP Data'!$B$4:$Q$300, 8, FALSE)</f>
        <v>#N/A</v>
      </c>
      <c r="U74" s="11" t="e">
        <f>VLOOKUP($H74, 'ADP Data'!$B$4:$Q$300, 9, FALSE)</f>
        <v>#N/A</v>
      </c>
      <c r="V74" s="11" t="e">
        <f t="shared" si="4"/>
        <v>#N/A</v>
      </c>
      <c r="W74" s="11" t="e">
        <f t="shared" si="5"/>
        <v>#N/A</v>
      </c>
      <c r="X74" s="11">
        <f>IF(VLOOKUP($H74, SeanRanks!$A$2:$H$303, 7, FALSE)=0, "", VLOOKUP($H74, SeanRanks!$A$2:$H$303, 7, FALSE))</f>
        <v>37</v>
      </c>
    </row>
    <row r="75" spans="1:24" ht="14.25" customHeight="1" x14ac:dyDescent="0.25">
      <c r="A75" s="11"/>
      <c r="B75" s="11" t="e">
        <f t="shared" si="0"/>
        <v>#N/A</v>
      </c>
      <c r="C75" s="11" t="s">
        <v>119</v>
      </c>
      <c r="D75" s="11">
        <v>15</v>
      </c>
      <c r="E75" s="11">
        <v>4</v>
      </c>
      <c r="F75" s="11">
        <f t="shared" si="1"/>
        <v>11</v>
      </c>
      <c r="G75" s="11"/>
      <c r="H75" s="11" t="s">
        <v>417</v>
      </c>
      <c r="I75" s="11" t="e">
        <f>VLOOKUP($H75, 'ADP Data'!$B$4:$Q$300, 2, FALSE)</f>
        <v>#N/A</v>
      </c>
      <c r="J75" s="11" t="s">
        <v>762</v>
      </c>
      <c r="K75" s="11">
        <f>VLOOKUP($H75, SeanRanks!$A$2:$H$303, 5, FALSE)</f>
        <v>0</v>
      </c>
      <c r="L75" s="11" t="str">
        <f>IF(VLOOKUP($H75, SeanRanks!$A$2:$H$303, 6, FALSE)=0, "", VLOOKUP($H75, SeanRanks!$A$2:$H$303, 6, FALSE))</f>
        <v>RB2 - 1 - Clear path to spikes</v>
      </c>
      <c r="M75" s="11">
        <f t="shared" si="2"/>
        <v>16</v>
      </c>
      <c r="N75" s="11" t="e">
        <f>VLOOKUP($H75, 'ADP Data'!$B$4:$Q$300, 10, FALSE)</f>
        <v>#N/A</v>
      </c>
      <c r="O75" s="11" t="e">
        <f>VLOOKUP($H75, 'ADP Data'!$B$4:$Q$300, 4, FALSE)</f>
        <v>#N/A</v>
      </c>
      <c r="P75" s="11" t="e">
        <f t="shared" si="3"/>
        <v>#N/A</v>
      </c>
      <c r="Q75" s="11" t="e">
        <f>VLOOKUP($H75, 'ADP Data'!$B$4:$Q$300, 5, FALSE)</f>
        <v>#N/A</v>
      </c>
      <c r="R75" s="11" t="e">
        <f>VLOOKUP($H75, 'ADP Data'!$B$4:$Q$300, 6, FALSE)</f>
        <v>#N/A</v>
      </c>
      <c r="S75" s="11" t="e">
        <f>VLOOKUP($H75, 'ADP Data'!$B$4:$Q$300, 7, FALSE)</f>
        <v>#N/A</v>
      </c>
      <c r="T75" s="11" t="e">
        <f>VLOOKUP($H75, 'ADP Data'!$B$4:$Q$300, 8, FALSE)</f>
        <v>#N/A</v>
      </c>
      <c r="U75" s="11" t="e">
        <f>VLOOKUP($H75, 'ADP Data'!$B$4:$Q$300, 9, FALSE)</f>
        <v>#N/A</v>
      </c>
      <c r="V75" s="11" t="e">
        <f t="shared" si="4"/>
        <v>#N/A</v>
      </c>
      <c r="W75" s="11" t="e">
        <f t="shared" si="5"/>
        <v>#N/A</v>
      </c>
      <c r="X75" s="11">
        <f>IF(VLOOKUP($H75, SeanRanks!$A$2:$H$303, 7, FALSE)=0, "", VLOOKUP($H75, SeanRanks!$A$2:$H$303, 7, FALSE))</f>
        <v>18</v>
      </c>
    </row>
    <row r="76" spans="1:24" ht="14.25" customHeight="1" x14ac:dyDescent="0.25">
      <c r="A76" s="11"/>
      <c r="B76" s="11" t="e">
        <f t="shared" si="0"/>
        <v>#N/A</v>
      </c>
      <c r="C76" s="11" t="s">
        <v>119</v>
      </c>
      <c r="D76" s="11">
        <v>15</v>
      </c>
      <c r="E76" s="11">
        <v>10</v>
      </c>
      <c r="F76" s="11">
        <f t="shared" si="1"/>
        <v>5</v>
      </c>
      <c r="G76" s="11"/>
      <c r="H76" s="11" t="s">
        <v>262</v>
      </c>
      <c r="I76" s="58" t="e">
        <f>VLOOKUP($H76, 'ADP Data'!$B$4:$Q$300, 2, FALSE)</f>
        <v>#N/A</v>
      </c>
      <c r="J76" s="11" t="s">
        <v>760</v>
      </c>
      <c r="K76" s="11">
        <f>VLOOKUP($H76, SeanRanks!$A$2:$H$303, 5, FALSE)</f>
        <v>0</v>
      </c>
      <c r="L76" s="11" t="str">
        <f>IF(VLOOKUP($H76, SeanRanks!$A$2:$H$303, 6, FALSE)=0, "", VLOOKUP($H76, SeanRanks!$A$2:$H$303, 6, FALSE))</f>
        <v>QB2 - 2 - Not League Winner</v>
      </c>
      <c r="M76" s="11">
        <f t="shared" si="2"/>
        <v>16</v>
      </c>
      <c r="N76" s="11" t="e">
        <f>VLOOKUP($H76, 'ADP Data'!$B$4:$Q$300, 10, FALSE)</f>
        <v>#N/A</v>
      </c>
      <c r="O76" s="11" t="e">
        <f>VLOOKUP($H76, 'ADP Data'!$B$4:$Q$300, 4, FALSE)</f>
        <v>#N/A</v>
      </c>
      <c r="P76" s="11" t="e">
        <f t="shared" si="3"/>
        <v>#N/A</v>
      </c>
      <c r="Q76" s="11" t="e">
        <f>VLOOKUP($H76, 'ADP Data'!$B$4:$Q$300, 5, FALSE)</f>
        <v>#N/A</v>
      </c>
      <c r="R76" s="11" t="e">
        <f>VLOOKUP($H76, 'ADP Data'!$B$4:$Q$300, 6, FALSE)</f>
        <v>#N/A</v>
      </c>
      <c r="S76" s="11" t="e">
        <f>VLOOKUP($H76, 'ADP Data'!$B$4:$Q$300, 7, FALSE)</f>
        <v>#N/A</v>
      </c>
      <c r="T76" s="11" t="e">
        <f>VLOOKUP($H76, 'ADP Data'!$B$4:$Q$300, 8, FALSE)</f>
        <v>#N/A</v>
      </c>
      <c r="U76" s="11" t="e">
        <f>VLOOKUP($H76, 'ADP Data'!$B$4:$Q$300, 9, FALSE)</f>
        <v>#N/A</v>
      </c>
      <c r="V76" s="11" t="e">
        <f t="shared" si="4"/>
        <v>#N/A</v>
      </c>
      <c r="W76" s="11" t="e">
        <f t="shared" si="5"/>
        <v>#N/A</v>
      </c>
      <c r="X76" s="11">
        <f>IF(VLOOKUP($H76, SeanRanks!$A$2:$H$303, 7, FALSE)=0, "", VLOOKUP($H76, SeanRanks!$A$2:$H$303, 7, FALSE))</f>
        <v>17</v>
      </c>
    </row>
    <row r="77" spans="1:24" ht="14.25" customHeight="1" x14ac:dyDescent="0.25">
      <c r="A77" s="11"/>
      <c r="B77" s="11" t="e">
        <f t="shared" si="0"/>
        <v>#N/A</v>
      </c>
      <c r="C77" s="11" t="s">
        <v>119</v>
      </c>
      <c r="D77" s="11">
        <v>11</v>
      </c>
      <c r="E77" s="11">
        <v>3</v>
      </c>
      <c r="F77" s="11">
        <f t="shared" si="1"/>
        <v>8</v>
      </c>
      <c r="G77" s="11"/>
      <c r="H77" s="11" t="s">
        <v>901</v>
      </c>
      <c r="I77" s="11" t="e">
        <f>VLOOKUP($H77, 'ADP Data'!$B$4:$Q$300, 2, FALSE)</f>
        <v>#N/A</v>
      </c>
      <c r="J77" s="11" t="s">
        <v>764</v>
      </c>
      <c r="K77" s="11">
        <f>VLOOKUP($H77, SeanRanks!$A$2:$H$303, 5, FALSE)</f>
        <v>0</v>
      </c>
      <c r="L77" s="11" t="str">
        <f>IF(VLOOKUP($H77, SeanRanks!$A$2:$H$303, 6, FALSE)=0, "", VLOOKUP($H77, SeanRanks!$A$2:$H$303, 6, FALSE))</f>
        <v/>
      </c>
      <c r="M77" s="11">
        <f t="shared" si="2"/>
        <v>16</v>
      </c>
      <c r="N77" s="11" t="e">
        <f>VLOOKUP($H77, 'ADP Data'!$B$4:$Q$300, 10, FALSE)</f>
        <v>#N/A</v>
      </c>
      <c r="O77" s="11" t="e">
        <f>VLOOKUP($H77, 'ADP Data'!$B$4:$Q$300, 4, FALSE)</f>
        <v>#N/A</v>
      </c>
      <c r="P77" s="11" t="e">
        <f t="shared" si="3"/>
        <v>#N/A</v>
      </c>
      <c r="Q77" s="11" t="e">
        <f>VLOOKUP($H77, 'ADP Data'!$B$4:$Q$300, 5, FALSE)</f>
        <v>#N/A</v>
      </c>
      <c r="R77" s="11" t="e">
        <f>VLOOKUP($H77, 'ADP Data'!$B$4:$Q$300, 6, FALSE)</f>
        <v>#N/A</v>
      </c>
      <c r="S77" s="11" t="e">
        <f>VLOOKUP($H77, 'ADP Data'!$B$4:$Q$300, 7, FALSE)</f>
        <v>#N/A</v>
      </c>
      <c r="T77" s="11" t="e">
        <f>VLOOKUP($H77, 'ADP Data'!$B$4:$Q$300, 8, FALSE)</f>
        <v>#N/A</v>
      </c>
      <c r="U77" s="11" t="e">
        <f>VLOOKUP($H77, 'ADP Data'!$B$4:$Q$300, 9, FALSE)</f>
        <v>#N/A</v>
      </c>
      <c r="V77" s="11" t="e">
        <f t="shared" si="4"/>
        <v>#N/A</v>
      </c>
      <c r="W77" s="11" t="e">
        <f t="shared" si="5"/>
        <v>#N/A</v>
      </c>
      <c r="X77" s="11" t="str">
        <f>IF(VLOOKUP($H77, SeanRanks!$A$2:$H$303, 7, FALSE)=0, "", VLOOKUP($H77, SeanRanks!$A$2:$H$303, 7, FALSE))</f>
        <v/>
      </c>
    </row>
    <row r="78" spans="1:24" ht="14.25" customHeight="1" x14ac:dyDescent="0.25">
      <c r="A78" s="11"/>
      <c r="B78" s="11" t="e">
        <f t="shared" si="0"/>
        <v>#N/A</v>
      </c>
      <c r="C78" s="11" t="s">
        <v>119</v>
      </c>
      <c r="D78" s="11">
        <v>10</v>
      </c>
      <c r="E78" s="11">
        <v>3</v>
      </c>
      <c r="F78" s="11">
        <f t="shared" si="1"/>
        <v>7</v>
      </c>
      <c r="G78" s="11" t="s">
        <v>1112</v>
      </c>
      <c r="H78" s="11" t="s">
        <v>65</v>
      </c>
      <c r="I78" s="11" t="e">
        <f>VLOOKUP($H78, 'ADP Data'!$B$4:$Q$300, 2, FALSE)</f>
        <v>#N/A</v>
      </c>
      <c r="J78" s="11" t="s">
        <v>762</v>
      </c>
      <c r="K78" s="11">
        <f>VLOOKUP($H78, SeanRanks!$A$2:$H$303, 5, FALSE)</f>
        <v>0</v>
      </c>
      <c r="L78" s="11" t="str">
        <f>IF(VLOOKUP($H78, SeanRanks!$A$2:$H$303, 6, FALSE)=0, "", VLOOKUP($H78, SeanRanks!$A$2:$H$303, 6, FALSE))</f>
        <v>RB2 - 1 - Clear path to spikes</v>
      </c>
      <c r="M78" s="11">
        <f t="shared" si="2"/>
        <v>16</v>
      </c>
      <c r="N78" s="11" t="e">
        <f>VLOOKUP($H78, 'ADP Data'!$B$4:$Q$300, 10, FALSE)</f>
        <v>#N/A</v>
      </c>
      <c r="O78" s="11" t="e">
        <f>VLOOKUP($H78, 'ADP Data'!$B$4:$Q$300, 4, FALSE)</f>
        <v>#N/A</v>
      </c>
      <c r="P78" s="11" t="e">
        <f t="shared" si="3"/>
        <v>#N/A</v>
      </c>
      <c r="Q78" s="11" t="e">
        <f>VLOOKUP($H78, 'ADP Data'!$B$4:$Q$300, 5, FALSE)</f>
        <v>#N/A</v>
      </c>
      <c r="R78" s="11" t="e">
        <f>VLOOKUP($H78, 'ADP Data'!$B$4:$Q$300, 6, FALSE)</f>
        <v>#N/A</v>
      </c>
      <c r="S78" s="11" t="e">
        <f>VLOOKUP($H78, 'ADP Data'!$B$4:$Q$300, 7, FALSE)</f>
        <v>#N/A</v>
      </c>
      <c r="T78" s="11" t="e">
        <f>VLOOKUP($H78, 'ADP Data'!$B$4:$Q$300, 8, FALSE)</f>
        <v>#N/A</v>
      </c>
      <c r="U78" s="11" t="e">
        <f>VLOOKUP($H78, 'ADP Data'!$B$4:$Q$300, 9, FALSE)</f>
        <v>#N/A</v>
      </c>
      <c r="V78" s="11" t="e">
        <f t="shared" si="4"/>
        <v>#N/A</v>
      </c>
      <c r="W78" s="11" t="e">
        <f t="shared" si="5"/>
        <v>#N/A</v>
      </c>
      <c r="X78" s="11">
        <f>IF(VLOOKUP($H78, SeanRanks!$A$2:$H$303, 7, FALSE)=0, "", VLOOKUP($H78, SeanRanks!$A$2:$H$303, 7, FALSE))</f>
        <v>15</v>
      </c>
    </row>
    <row r="79" spans="1:24" ht="14.25" customHeight="1" x14ac:dyDescent="0.25">
      <c r="A79" s="11"/>
      <c r="B79" s="11" t="e">
        <f t="shared" si="0"/>
        <v>#N/A</v>
      </c>
      <c r="C79" s="11" t="s">
        <v>119</v>
      </c>
      <c r="D79" s="11">
        <v>15</v>
      </c>
      <c r="E79" s="11">
        <v>4</v>
      </c>
      <c r="F79" s="11">
        <f t="shared" si="1"/>
        <v>11</v>
      </c>
      <c r="G79" s="11"/>
      <c r="H79" s="11" t="s">
        <v>329</v>
      </c>
      <c r="I79" s="11" t="e">
        <f>VLOOKUP($H79, 'ADP Data'!$B$4:$Q$300, 2, FALSE)</f>
        <v>#N/A</v>
      </c>
      <c r="J79" s="11" t="s">
        <v>762</v>
      </c>
      <c r="K79" s="11">
        <f>VLOOKUP($H79, SeanRanks!$A$2:$H$303, 5, FALSE)</f>
        <v>0</v>
      </c>
      <c r="L79" s="11" t="str">
        <f>IF(VLOOKUP($H79, SeanRanks!$A$2:$H$303, 6, FALSE)=0, "", VLOOKUP($H79, SeanRanks!$A$2:$H$303, 6, FALSE))</f>
        <v>RB4 - 2 - low ceiling</v>
      </c>
      <c r="M79" s="11">
        <f t="shared" si="2"/>
        <v>16</v>
      </c>
      <c r="N79" s="11" t="e">
        <f>VLOOKUP($H79, 'ADP Data'!$B$4:$Q$300, 10, FALSE)</f>
        <v>#N/A</v>
      </c>
      <c r="O79" s="11" t="e">
        <f>VLOOKUP($H79, 'ADP Data'!$B$4:$Q$300, 4, FALSE)</f>
        <v>#N/A</v>
      </c>
      <c r="P79" s="11" t="e">
        <f t="shared" si="3"/>
        <v>#N/A</v>
      </c>
      <c r="Q79" s="11" t="e">
        <f>VLOOKUP($H79, 'ADP Data'!$B$4:$Q$300, 5, FALSE)</f>
        <v>#N/A</v>
      </c>
      <c r="R79" s="11" t="e">
        <f>VLOOKUP($H79, 'ADP Data'!$B$4:$Q$300, 6, FALSE)</f>
        <v>#N/A</v>
      </c>
      <c r="S79" s="11" t="e">
        <f>VLOOKUP($H79, 'ADP Data'!$B$4:$Q$300, 7, FALSE)</f>
        <v>#N/A</v>
      </c>
      <c r="T79" s="11" t="e">
        <f>VLOOKUP($H79, 'ADP Data'!$B$4:$Q$300, 8, FALSE)</f>
        <v>#N/A</v>
      </c>
      <c r="U79" s="11" t="e">
        <f>VLOOKUP($H79, 'ADP Data'!$B$4:$Q$300, 9, FALSE)</f>
        <v>#N/A</v>
      </c>
      <c r="V79" s="11" t="e">
        <f t="shared" si="4"/>
        <v>#N/A</v>
      </c>
      <c r="W79" s="11" t="e">
        <f t="shared" si="5"/>
        <v>#N/A</v>
      </c>
      <c r="X79" s="11">
        <f>IF(VLOOKUP($H79, SeanRanks!$A$2:$H$303, 7, FALSE)=0, "", VLOOKUP($H79, SeanRanks!$A$2:$H$303, 7, FALSE))</f>
        <v>48</v>
      </c>
    </row>
    <row r="80" spans="1:24" ht="14.25" customHeight="1" x14ac:dyDescent="0.25">
      <c r="A80" s="11"/>
      <c r="B80" s="11" t="e">
        <f t="shared" si="0"/>
        <v>#N/A</v>
      </c>
      <c r="C80" s="11" t="s">
        <v>119</v>
      </c>
      <c r="D80" s="11">
        <v>8</v>
      </c>
      <c r="E80" s="11">
        <v>3</v>
      </c>
      <c r="F80" s="11">
        <f t="shared" si="1"/>
        <v>5</v>
      </c>
      <c r="G80" s="11" t="s">
        <v>1110</v>
      </c>
      <c r="H80" s="11" t="s">
        <v>322</v>
      </c>
      <c r="I80" s="11" t="e">
        <f>VLOOKUP($H80, 'ADP Data'!$B$4:$Q$300, 2, FALSE)</f>
        <v>#N/A</v>
      </c>
      <c r="J80" s="11" t="s">
        <v>769</v>
      </c>
      <c r="K80" s="11">
        <f>VLOOKUP($H80, SeanRanks!$A$2:$H$303, 5, FALSE)</f>
        <v>0</v>
      </c>
      <c r="L80" s="11" t="str">
        <f>IF(VLOOKUP($H80, SeanRanks!$A$2:$H$303, 6, FALSE)=0, "", VLOOKUP($H80, SeanRanks!$A$2:$H$303, 6, FALSE))</f>
        <v/>
      </c>
      <c r="M80" s="11">
        <f t="shared" si="2"/>
        <v>16</v>
      </c>
      <c r="N80" s="11" t="e">
        <f>VLOOKUP($H80, 'ADP Data'!$B$4:$Q$300, 10, FALSE)</f>
        <v>#N/A</v>
      </c>
      <c r="O80" s="11" t="e">
        <f>VLOOKUP($H80, 'ADP Data'!$B$4:$Q$300, 4, FALSE)</f>
        <v>#N/A</v>
      </c>
      <c r="P80" s="11" t="e">
        <f t="shared" si="3"/>
        <v>#N/A</v>
      </c>
      <c r="Q80" s="11" t="e">
        <f>VLOOKUP($H80, 'ADP Data'!$B$4:$Q$300, 5, FALSE)</f>
        <v>#N/A</v>
      </c>
      <c r="R80" s="11" t="e">
        <f>VLOOKUP($H80, 'ADP Data'!$B$4:$Q$300, 6, FALSE)</f>
        <v>#N/A</v>
      </c>
      <c r="S80" s="11" t="e">
        <f>VLOOKUP($H80, 'ADP Data'!$B$4:$Q$300, 7, FALSE)</f>
        <v>#N/A</v>
      </c>
      <c r="T80" s="11" t="e">
        <f>VLOOKUP($H80, 'ADP Data'!$B$4:$Q$300, 8, FALSE)</f>
        <v>#N/A</v>
      </c>
      <c r="U80" s="11" t="e">
        <f>VLOOKUP($H80, 'ADP Data'!$B$4:$Q$300, 9, FALSE)</f>
        <v>#N/A</v>
      </c>
      <c r="V80" s="11" t="e">
        <f t="shared" si="4"/>
        <v>#N/A</v>
      </c>
      <c r="W80" s="11" t="e">
        <f t="shared" si="5"/>
        <v>#N/A</v>
      </c>
      <c r="X80" s="11" t="str">
        <f>IF(VLOOKUP($H80, SeanRanks!$A$2:$H$303, 7, FALSE)=0, "", VLOOKUP($H80, SeanRanks!$A$2:$H$303, 7, FALSE))</f>
        <v/>
      </c>
    </row>
    <row r="81" spans="1:24" ht="14.25" customHeight="1" x14ac:dyDescent="0.25">
      <c r="A81" s="11"/>
      <c r="B81" s="11" t="e">
        <f t="shared" si="0"/>
        <v>#N/A</v>
      </c>
      <c r="C81" s="11" t="s">
        <v>119</v>
      </c>
      <c r="D81" s="11">
        <v>10</v>
      </c>
      <c r="E81" s="11">
        <v>5</v>
      </c>
      <c r="F81" s="11">
        <f t="shared" si="1"/>
        <v>5</v>
      </c>
      <c r="G81" s="11"/>
      <c r="H81" s="11" t="s">
        <v>415</v>
      </c>
      <c r="I81" s="58" t="e">
        <f>VLOOKUP($H81, 'ADP Data'!$B$4:$Q$300, 2, FALSE)</f>
        <v>#N/A</v>
      </c>
      <c r="J81" s="11" t="s">
        <v>762</v>
      </c>
      <c r="K81" s="11">
        <f>VLOOKUP($H81, SeanRanks!$A$2:$H$303, 5, FALSE)</f>
        <v>0</v>
      </c>
      <c r="L81" s="11" t="str">
        <f>IF(VLOOKUP($H81, SeanRanks!$A$2:$H$303, 6, FALSE)=0, "", VLOOKUP($H81, SeanRanks!$A$2:$H$303, 6, FALSE))</f>
        <v>RB2 - 2 - Path to spikes</v>
      </c>
      <c r="M81" s="11">
        <f t="shared" si="2"/>
        <v>16</v>
      </c>
      <c r="N81" s="11" t="e">
        <f>VLOOKUP($H81, 'ADP Data'!$B$4:$Q$300, 10, FALSE)</f>
        <v>#N/A</v>
      </c>
      <c r="O81" s="11" t="e">
        <f>VLOOKUP($H81, 'ADP Data'!$B$4:$Q$300, 4, FALSE)</f>
        <v>#N/A</v>
      </c>
      <c r="P81" s="11" t="e">
        <f t="shared" si="3"/>
        <v>#N/A</v>
      </c>
      <c r="Q81" s="11" t="e">
        <f>VLOOKUP($H81, 'ADP Data'!$B$4:$Q$300, 5, FALSE)</f>
        <v>#N/A</v>
      </c>
      <c r="R81" s="11" t="e">
        <f>VLOOKUP($H81, 'ADP Data'!$B$4:$Q$300, 6, FALSE)</f>
        <v>#N/A</v>
      </c>
      <c r="S81" s="11" t="e">
        <f>VLOOKUP($H81, 'ADP Data'!$B$4:$Q$300, 7, FALSE)</f>
        <v>#N/A</v>
      </c>
      <c r="T81" s="11" t="e">
        <f>VLOOKUP($H81, 'ADP Data'!$B$4:$Q$300, 8, FALSE)</f>
        <v>#N/A</v>
      </c>
      <c r="U81" s="11" t="e">
        <f>VLOOKUP($H81, 'ADP Data'!$B$4:$Q$300, 9, FALSE)</f>
        <v>#N/A</v>
      </c>
      <c r="V81" s="11" t="e">
        <f t="shared" si="4"/>
        <v>#N/A</v>
      </c>
      <c r="W81" s="11" t="e">
        <f t="shared" si="5"/>
        <v>#N/A</v>
      </c>
      <c r="X81" s="11">
        <f>IF(VLOOKUP($H81, SeanRanks!$A$2:$H$303, 7, FALSE)=0, "", VLOOKUP($H81, SeanRanks!$A$2:$H$303, 7, FALSE))</f>
        <v>23</v>
      </c>
    </row>
    <row r="82" spans="1:24" ht="14.25" customHeight="1" x14ac:dyDescent="0.25">
      <c r="A82" s="11" t="s">
        <v>1156</v>
      </c>
      <c r="B82" s="11" t="e">
        <f t="shared" si="0"/>
        <v>#N/A</v>
      </c>
      <c r="C82" s="11" t="s">
        <v>119</v>
      </c>
      <c r="D82" s="11">
        <v>5</v>
      </c>
      <c r="E82" s="11">
        <v>6</v>
      </c>
      <c r="F82" s="11">
        <f t="shared" si="1"/>
        <v>-1</v>
      </c>
      <c r="G82" s="11"/>
      <c r="H82" s="11" t="s">
        <v>695</v>
      </c>
      <c r="I82" s="57" t="e">
        <f>VLOOKUP($H82, 'ADP Data'!$B$4:$Q$300, 2, FALSE)</f>
        <v>#N/A</v>
      </c>
      <c r="J82" s="11" t="s">
        <v>760</v>
      </c>
      <c r="K82" s="11" t="e">
        <f>VLOOKUP($H82, SeanRanks!$A$2:$H$303, 5, FALSE)</f>
        <v>#N/A</v>
      </c>
      <c r="L82" s="11" t="e">
        <f>IF(VLOOKUP($H82, SeanRanks!$A$2:$H$303, 6, FALSE)=0, "", VLOOKUP($H82, SeanRanks!$A$2:$H$303, 6, FALSE))</f>
        <v>#N/A</v>
      </c>
      <c r="M82" s="11">
        <f t="shared" si="2"/>
        <v>16</v>
      </c>
      <c r="N82" s="11" t="e">
        <f>VLOOKUP($H82, 'ADP Data'!$B$4:$Q$300, 10, FALSE)</f>
        <v>#N/A</v>
      </c>
      <c r="O82" s="11" t="e">
        <f>VLOOKUP($H82, 'ADP Data'!$B$4:$Q$300, 4, FALSE)</f>
        <v>#N/A</v>
      </c>
      <c r="P82" s="11" t="e">
        <f t="shared" si="3"/>
        <v>#N/A</v>
      </c>
      <c r="Q82" s="11" t="e">
        <f>VLOOKUP($H82, 'ADP Data'!$B$4:$Q$300, 5, FALSE)</f>
        <v>#N/A</v>
      </c>
      <c r="R82" s="11" t="e">
        <f>VLOOKUP($H82, 'ADP Data'!$B$4:$Q$300, 6, FALSE)</f>
        <v>#N/A</v>
      </c>
      <c r="S82" s="11" t="e">
        <f>VLOOKUP($H82, 'ADP Data'!$B$4:$Q$300, 7, FALSE)</f>
        <v>#N/A</v>
      </c>
      <c r="T82" s="11" t="e">
        <f>VLOOKUP($H82, 'ADP Data'!$B$4:$Q$300, 8, FALSE)</f>
        <v>#N/A</v>
      </c>
      <c r="U82" s="11" t="e">
        <f>VLOOKUP($H82, 'ADP Data'!$B$4:$Q$300, 9, FALSE)</f>
        <v>#N/A</v>
      </c>
      <c r="V82" s="11" t="e">
        <f t="shared" si="4"/>
        <v>#N/A</v>
      </c>
      <c r="W82" s="11" t="e">
        <f t="shared" si="5"/>
        <v>#N/A</v>
      </c>
      <c r="X82" s="11" t="e">
        <f>IF(VLOOKUP($H82, SeanRanks!$A$2:$H$303, 7, FALSE)=0, "", VLOOKUP($H82, SeanRanks!$A$2:$H$303, 7, FALSE))</f>
        <v>#N/A</v>
      </c>
    </row>
    <row r="83" spans="1:24" ht="14.25" customHeight="1" x14ac:dyDescent="0.25">
      <c r="A83" s="11"/>
      <c r="B83" s="11" t="e">
        <f t="shared" si="0"/>
        <v>#N/A</v>
      </c>
      <c r="C83" s="11" t="s">
        <v>119</v>
      </c>
      <c r="D83" s="11">
        <v>7</v>
      </c>
      <c r="E83" s="11">
        <v>2</v>
      </c>
      <c r="F83" s="11">
        <f t="shared" si="1"/>
        <v>5</v>
      </c>
      <c r="G83" s="11"/>
      <c r="H83" s="11" t="s">
        <v>684</v>
      </c>
      <c r="I83" s="11" t="e">
        <f>VLOOKUP($H83, 'ADP Data'!$B$4:$Q$300, 2, FALSE)</f>
        <v>#N/A</v>
      </c>
      <c r="J83" s="11" t="s">
        <v>764</v>
      </c>
      <c r="K83" s="11" t="str">
        <f>VLOOKUP($H83, SeanRanks!$A$2:$H$303, 5, FALSE)</f>
        <v>Yes</v>
      </c>
      <c r="L83" s="11" t="str">
        <f>IF(VLOOKUP($H83, SeanRanks!$A$2:$H$303, 6, FALSE)=0, "", VLOOKUP($H83, SeanRanks!$A$2:$H$303, 6, FALSE))</f>
        <v>WR5 - 1 - upside path</v>
      </c>
      <c r="M83" s="11">
        <f t="shared" si="2"/>
        <v>16</v>
      </c>
      <c r="N83" s="11" t="e">
        <f>VLOOKUP($H83, 'ADP Data'!$B$4:$Q$300, 10, FALSE)</f>
        <v>#N/A</v>
      </c>
      <c r="O83" s="11" t="e">
        <f>VLOOKUP($H83, 'ADP Data'!$B$4:$Q$300, 4, FALSE)</f>
        <v>#N/A</v>
      </c>
      <c r="P83" s="11" t="e">
        <f t="shared" si="3"/>
        <v>#N/A</v>
      </c>
      <c r="Q83" s="11" t="e">
        <f>VLOOKUP($H83, 'ADP Data'!$B$4:$Q$300, 5, FALSE)</f>
        <v>#N/A</v>
      </c>
      <c r="R83" s="11" t="e">
        <f>VLOOKUP($H83, 'ADP Data'!$B$4:$Q$300, 6, FALSE)</f>
        <v>#N/A</v>
      </c>
      <c r="S83" s="11" t="e">
        <f>VLOOKUP($H83, 'ADP Data'!$B$4:$Q$300, 7, FALSE)</f>
        <v>#N/A</v>
      </c>
      <c r="T83" s="11" t="e">
        <f>VLOOKUP($H83, 'ADP Data'!$B$4:$Q$300, 8, FALSE)</f>
        <v>#N/A</v>
      </c>
      <c r="U83" s="11" t="e">
        <f>VLOOKUP($H83, 'ADP Data'!$B$4:$Q$300, 9, FALSE)</f>
        <v>#N/A</v>
      </c>
      <c r="V83" s="11" t="e">
        <f t="shared" si="4"/>
        <v>#N/A</v>
      </c>
      <c r="W83" s="11" t="e">
        <f t="shared" si="5"/>
        <v>#N/A</v>
      </c>
      <c r="X83" s="11">
        <f>IF(VLOOKUP($H83, SeanRanks!$A$2:$H$303, 7, FALSE)=0, "", VLOOKUP($H83, SeanRanks!$A$2:$H$303, 7, FALSE))</f>
        <v>48</v>
      </c>
    </row>
    <row r="84" spans="1:24" ht="14.25" customHeight="1" x14ac:dyDescent="0.25">
      <c r="A84" s="11"/>
      <c r="B84" s="11" t="e">
        <f t="shared" si="0"/>
        <v>#N/A</v>
      </c>
      <c r="C84" s="11" t="s">
        <v>119</v>
      </c>
      <c r="D84" s="11">
        <v>3</v>
      </c>
      <c r="E84" s="11">
        <v>7</v>
      </c>
      <c r="F84" s="11">
        <f t="shared" si="1"/>
        <v>-4</v>
      </c>
      <c r="G84" s="11" t="s">
        <v>1112</v>
      </c>
      <c r="H84" s="11" t="s">
        <v>266</v>
      </c>
      <c r="I84" s="80" t="e">
        <f>VLOOKUP($H84, 'ADP Data'!$B$4:$Q$300, 2, FALSE)</f>
        <v>#N/A</v>
      </c>
      <c r="J84" s="11" t="s">
        <v>760</v>
      </c>
      <c r="K84" s="11">
        <f>VLOOKUP($H84, SeanRanks!$A$2:$H$303, 5, FALSE)</f>
        <v>0</v>
      </c>
      <c r="L84" s="11" t="str">
        <f>IF(VLOOKUP($H84, SeanRanks!$A$2:$H$303, 6, FALSE)=0, "", VLOOKUP($H84, SeanRanks!$A$2:$H$303, 6, FALSE))</f>
        <v>QB2 - 2 - Not League Winner</v>
      </c>
      <c r="M84" s="11">
        <f t="shared" si="2"/>
        <v>16</v>
      </c>
      <c r="N84" s="11" t="e">
        <f>VLOOKUP($H84, 'ADP Data'!$B$4:$Q$300, 10, FALSE)</f>
        <v>#N/A</v>
      </c>
      <c r="O84" s="11" t="e">
        <f>VLOOKUP($H84, 'ADP Data'!$B$4:$Q$300, 4, FALSE)</f>
        <v>#N/A</v>
      </c>
      <c r="P84" s="11" t="e">
        <f t="shared" si="3"/>
        <v>#N/A</v>
      </c>
      <c r="Q84" s="11" t="e">
        <f>VLOOKUP($H84, 'ADP Data'!$B$4:$Q$300, 5, FALSE)</f>
        <v>#N/A</v>
      </c>
      <c r="R84" s="11" t="e">
        <f>VLOOKUP($H84, 'ADP Data'!$B$4:$Q$300, 6, FALSE)</f>
        <v>#N/A</v>
      </c>
      <c r="S84" s="11" t="e">
        <f>VLOOKUP($H84, 'ADP Data'!$B$4:$Q$300, 7, FALSE)</f>
        <v>#N/A</v>
      </c>
      <c r="T84" s="11" t="e">
        <f>VLOOKUP($H84, 'ADP Data'!$B$4:$Q$300, 8, FALSE)</f>
        <v>#N/A</v>
      </c>
      <c r="U84" s="11" t="e">
        <f>VLOOKUP($H84, 'ADP Data'!$B$4:$Q$300, 9, FALSE)</f>
        <v>#N/A</v>
      </c>
      <c r="V84" s="11" t="e">
        <f t="shared" si="4"/>
        <v>#N/A</v>
      </c>
      <c r="W84" s="11" t="e">
        <f t="shared" si="5"/>
        <v>#N/A</v>
      </c>
      <c r="X84" s="11">
        <f>IF(VLOOKUP($H84, SeanRanks!$A$2:$H$303, 7, FALSE)=0, "", VLOOKUP($H84, SeanRanks!$A$2:$H$303, 7, FALSE))</f>
        <v>19</v>
      </c>
    </row>
    <row r="85" spans="1:24" ht="14.25" customHeight="1" x14ac:dyDescent="0.25">
      <c r="A85" s="11" t="s">
        <v>1156</v>
      </c>
      <c r="B85" s="11" t="e">
        <f t="shared" si="0"/>
        <v>#N/A</v>
      </c>
      <c r="C85" s="11" t="s">
        <v>119</v>
      </c>
      <c r="D85" s="11">
        <v>5</v>
      </c>
      <c r="E85" s="11">
        <v>5</v>
      </c>
      <c r="F85" s="11">
        <f t="shared" si="1"/>
        <v>0</v>
      </c>
      <c r="G85" s="58" t="s">
        <v>148</v>
      </c>
      <c r="H85" s="11" t="s">
        <v>926</v>
      </c>
      <c r="I85" s="11" t="e">
        <f>VLOOKUP($H85, 'ADP Data'!$B$4:$Q$300, 2, FALSE)</f>
        <v>#N/A</v>
      </c>
      <c r="J85" s="11" t="s">
        <v>762</v>
      </c>
      <c r="K85" s="11" t="e">
        <f>VLOOKUP($H85, SeanRanks!$A$2:$H$303, 5, FALSE)</f>
        <v>#N/A</v>
      </c>
      <c r="L85" s="11" t="e">
        <f>IF(VLOOKUP($H85, SeanRanks!$A$2:$H$303, 6, FALSE)=0, "", VLOOKUP($H85, SeanRanks!$A$2:$H$303, 6, FALSE))</f>
        <v>#N/A</v>
      </c>
      <c r="M85" s="11">
        <f t="shared" si="2"/>
        <v>16</v>
      </c>
      <c r="N85" s="11" t="e">
        <f>VLOOKUP($H85, 'ADP Data'!$B$4:$Q$300, 10, FALSE)</f>
        <v>#N/A</v>
      </c>
      <c r="O85" s="11" t="e">
        <f>VLOOKUP($H85, 'ADP Data'!$B$4:$Q$300, 4, FALSE)</f>
        <v>#N/A</v>
      </c>
      <c r="P85" s="11" t="e">
        <f t="shared" si="3"/>
        <v>#N/A</v>
      </c>
      <c r="Q85" s="11" t="e">
        <f>VLOOKUP($H85, 'ADP Data'!$B$4:$Q$300, 5, FALSE)</f>
        <v>#N/A</v>
      </c>
      <c r="R85" s="11" t="e">
        <f>VLOOKUP($H85, 'ADP Data'!$B$4:$Q$300, 6, FALSE)</f>
        <v>#N/A</v>
      </c>
      <c r="S85" s="11" t="e">
        <f>VLOOKUP($H85, 'ADP Data'!$B$4:$Q$300, 7, FALSE)</f>
        <v>#N/A</v>
      </c>
      <c r="T85" s="11" t="e">
        <f>VLOOKUP($H85, 'ADP Data'!$B$4:$Q$300, 8, FALSE)</f>
        <v>#N/A</v>
      </c>
      <c r="U85" s="11" t="e">
        <f>VLOOKUP($H85, 'ADP Data'!$B$4:$Q$300, 9, FALSE)</f>
        <v>#N/A</v>
      </c>
      <c r="V85" s="11" t="e">
        <f t="shared" si="4"/>
        <v>#N/A</v>
      </c>
      <c r="W85" s="11" t="e">
        <f t="shared" si="5"/>
        <v>#N/A</v>
      </c>
      <c r="X85" s="11" t="e">
        <f>IF(VLOOKUP($H85, SeanRanks!$A$2:$H$303, 7, FALSE)=0, "", VLOOKUP($H85, SeanRanks!$A$2:$H$303, 7, FALSE))</f>
        <v>#N/A</v>
      </c>
    </row>
    <row r="86" spans="1:24" ht="14.25" customHeight="1" x14ac:dyDescent="0.25">
      <c r="A86" s="11" t="s">
        <v>1156</v>
      </c>
      <c r="B86" s="11" t="e">
        <f t="shared" si="0"/>
        <v>#N/A</v>
      </c>
      <c r="C86" s="11" t="s">
        <v>119</v>
      </c>
      <c r="D86" s="11">
        <v>4</v>
      </c>
      <c r="E86" s="11">
        <v>3</v>
      </c>
      <c r="F86" s="11">
        <f t="shared" si="1"/>
        <v>1</v>
      </c>
      <c r="G86" s="11"/>
      <c r="H86" s="11" t="s">
        <v>284</v>
      </c>
      <c r="I86" s="11" t="e">
        <f>VLOOKUP($H86, 'ADP Data'!$B$4:$Q$300, 2, FALSE)</f>
        <v>#N/A</v>
      </c>
      <c r="J86" s="11" t="s">
        <v>764</v>
      </c>
      <c r="K86" s="11" t="str">
        <f>VLOOKUP($H86, SeanRanks!$A$2:$H$303, 5, FALSE)</f>
        <v>No</v>
      </c>
      <c r="L86" s="11" t="str">
        <f>IF(VLOOKUP($H86, SeanRanks!$A$2:$H$303, 6, FALSE)=0, "", VLOOKUP($H86, SeanRanks!$A$2:$H$303, 6, FALSE))</f>
        <v>WR4 - 2 - unclear path to WR2</v>
      </c>
      <c r="M86" s="11">
        <f t="shared" si="2"/>
        <v>16</v>
      </c>
      <c r="N86" s="11" t="e">
        <f>VLOOKUP($H86, 'ADP Data'!$B$4:$Q$300, 10, FALSE)</f>
        <v>#N/A</v>
      </c>
      <c r="O86" s="11" t="e">
        <f>VLOOKUP($H86, 'ADP Data'!$B$4:$Q$300, 4, FALSE)</f>
        <v>#N/A</v>
      </c>
      <c r="P86" s="11" t="e">
        <f t="shared" si="3"/>
        <v>#N/A</v>
      </c>
      <c r="Q86" s="11" t="e">
        <f>VLOOKUP($H86, 'ADP Data'!$B$4:$Q$300, 5, FALSE)</f>
        <v>#N/A</v>
      </c>
      <c r="R86" s="11" t="e">
        <f>VLOOKUP($H86, 'ADP Data'!$B$4:$Q$300, 6, FALSE)</f>
        <v>#N/A</v>
      </c>
      <c r="S86" s="11" t="e">
        <f>VLOOKUP($H86, 'ADP Data'!$B$4:$Q$300, 7, FALSE)</f>
        <v>#N/A</v>
      </c>
      <c r="T86" s="11" t="e">
        <f>VLOOKUP($H86, 'ADP Data'!$B$4:$Q$300, 8, FALSE)</f>
        <v>#N/A</v>
      </c>
      <c r="U86" s="11" t="e">
        <f>VLOOKUP($H86, 'ADP Data'!$B$4:$Q$300, 9, FALSE)</f>
        <v>#N/A</v>
      </c>
      <c r="V86" s="11" t="e">
        <f t="shared" si="4"/>
        <v>#N/A</v>
      </c>
      <c r="W86" s="11" t="e">
        <f t="shared" si="5"/>
        <v>#N/A</v>
      </c>
      <c r="X86" s="11">
        <f>IF(VLOOKUP($H86, SeanRanks!$A$2:$H$303, 7, FALSE)=0, "", VLOOKUP($H86, SeanRanks!$A$2:$H$303, 7, FALSE))</f>
        <v>47</v>
      </c>
    </row>
    <row r="87" spans="1:24" ht="14.25" customHeight="1" x14ac:dyDescent="0.25">
      <c r="A87" s="11"/>
      <c r="B87" s="11" t="e">
        <f t="shared" si="0"/>
        <v>#N/A</v>
      </c>
      <c r="C87" s="11" t="s">
        <v>119</v>
      </c>
      <c r="D87" s="11">
        <v>2</v>
      </c>
      <c r="E87" s="11">
        <v>4</v>
      </c>
      <c r="F87" s="11">
        <f t="shared" si="1"/>
        <v>-2</v>
      </c>
      <c r="G87" s="11" t="s">
        <v>1112</v>
      </c>
      <c r="H87" s="11" t="s">
        <v>974</v>
      </c>
      <c r="I87" s="11" t="e">
        <f>VLOOKUP($H87, 'ADP Data'!$B$4:$Q$300, 2, FALSE)</f>
        <v>#N/A</v>
      </c>
      <c r="J87" s="11" t="s">
        <v>762</v>
      </c>
      <c r="K87" s="11" t="e">
        <f>VLOOKUP($H87, SeanRanks!$A$2:$H$303, 5, FALSE)</f>
        <v>#N/A</v>
      </c>
      <c r="L87" s="11" t="e">
        <f>IF(VLOOKUP($H87, SeanRanks!$A$2:$H$303, 6, FALSE)=0, "", VLOOKUP($H87, SeanRanks!$A$2:$H$303, 6, FALSE))</f>
        <v>#N/A</v>
      </c>
      <c r="M87" s="11">
        <f t="shared" si="2"/>
        <v>16</v>
      </c>
      <c r="N87" s="11" t="e">
        <f>VLOOKUP($H87, 'ADP Data'!$B$4:$Q$300, 10, FALSE)</f>
        <v>#N/A</v>
      </c>
      <c r="O87" s="11" t="e">
        <f>VLOOKUP($H87, 'ADP Data'!$B$4:$Q$300, 4, FALSE)</f>
        <v>#N/A</v>
      </c>
      <c r="P87" s="11" t="e">
        <f t="shared" si="3"/>
        <v>#N/A</v>
      </c>
      <c r="Q87" s="11" t="e">
        <f>VLOOKUP($H87, 'ADP Data'!$B$4:$Q$300, 5, FALSE)</f>
        <v>#N/A</v>
      </c>
      <c r="R87" s="11" t="e">
        <f>VLOOKUP($H87, 'ADP Data'!$B$4:$Q$300, 6, FALSE)</f>
        <v>#N/A</v>
      </c>
      <c r="S87" s="11" t="e">
        <f>VLOOKUP($H87, 'ADP Data'!$B$4:$Q$300, 7, FALSE)</f>
        <v>#N/A</v>
      </c>
      <c r="T87" s="11" t="e">
        <f>VLOOKUP($H87, 'ADP Data'!$B$4:$Q$300, 8, FALSE)</f>
        <v>#N/A</v>
      </c>
      <c r="U87" s="11" t="e">
        <f>VLOOKUP($H87, 'ADP Data'!$B$4:$Q$300, 9, FALSE)</f>
        <v>#N/A</v>
      </c>
      <c r="V87" s="11" t="e">
        <f t="shared" si="4"/>
        <v>#N/A</v>
      </c>
      <c r="W87" s="11" t="e">
        <f t="shared" si="5"/>
        <v>#N/A</v>
      </c>
      <c r="X87" s="11" t="e">
        <f>IF(VLOOKUP($H87, SeanRanks!$A$2:$H$303, 7, FALSE)=0, "", VLOOKUP($H87, SeanRanks!$A$2:$H$303, 7, FALSE))</f>
        <v>#N/A</v>
      </c>
    </row>
    <row r="88" spans="1:24" ht="14.25" customHeight="1" x14ac:dyDescent="0.25">
      <c r="A88" s="11"/>
      <c r="B88" s="11" t="e">
        <f t="shared" si="0"/>
        <v>#N/A</v>
      </c>
      <c r="C88" s="11" t="s">
        <v>119</v>
      </c>
      <c r="D88" s="11">
        <v>7</v>
      </c>
      <c r="E88" s="11">
        <v>3</v>
      </c>
      <c r="F88" s="11">
        <f t="shared" si="1"/>
        <v>4</v>
      </c>
      <c r="G88" s="11"/>
      <c r="H88" s="11" t="s">
        <v>51</v>
      </c>
      <c r="I88" s="11" t="e">
        <f>VLOOKUP($H88, 'ADP Data'!$B$4:$Q$300, 2, FALSE)</f>
        <v>#N/A</v>
      </c>
      <c r="J88" s="11" t="s">
        <v>764</v>
      </c>
      <c r="K88" s="11">
        <f>VLOOKUP($H88, SeanRanks!$A$2:$H$303, 5, FALSE)</f>
        <v>0</v>
      </c>
      <c r="L88" s="11" t="str">
        <f>IF(VLOOKUP($H88, SeanRanks!$A$2:$H$303, 6, FALSE)=0, "", VLOOKUP($H88, SeanRanks!$A$2:$H$303, 6, FALSE))</f>
        <v>WR2 - 1 - WR1 upside</v>
      </c>
      <c r="M88" s="11">
        <f t="shared" si="2"/>
        <v>16</v>
      </c>
      <c r="N88" s="11" t="e">
        <f>VLOOKUP($H88, 'ADP Data'!$B$4:$Q$300, 10, FALSE)</f>
        <v>#N/A</v>
      </c>
      <c r="O88" s="11" t="e">
        <f>VLOOKUP($H88, 'ADP Data'!$B$4:$Q$300, 4, FALSE)</f>
        <v>#N/A</v>
      </c>
      <c r="P88" s="11" t="e">
        <f t="shared" si="3"/>
        <v>#N/A</v>
      </c>
      <c r="Q88" s="11" t="e">
        <f>VLOOKUP($H88, 'ADP Data'!$B$4:$Q$300, 5, FALSE)</f>
        <v>#N/A</v>
      </c>
      <c r="R88" s="11" t="e">
        <f>VLOOKUP($H88, 'ADP Data'!$B$4:$Q$300, 6, FALSE)</f>
        <v>#N/A</v>
      </c>
      <c r="S88" s="11" t="e">
        <f>VLOOKUP($H88, 'ADP Data'!$B$4:$Q$300, 7, FALSE)</f>
        <v>#N/A</v>
      </c>
      <c r="T88" s="11" t="e">
        <f>VLOOKUP($H88, 'ADP Data'!$B$4:$Q$300, 8, FALSE)</f>
        <v>#N/A</v>
      </c>
      <c r="U88" s="11" t="e">
        <f>VLOOKUP($H88, 'ADP Data'!$B$4:$Q$300, 9, FALSE)</f>
        <v>#N/A</v>
      </c>
      <c r="V88" s="11" t="e">
        <f t="shared" si="4"/>
        <v>#N/A</v>
      </c>
      <c r="W88" s="11" t="e">
        <f t="shared" si="5"/>
        <v>#N/A</v>
      </c>
      <c r="X88" s="11">
        <f>IF(VLOOKUP($H88, SeanRanks!$A$2:$H$303, 7, FALSE)=0, "", VLOOKUP($H88, SeanRanks!$A$2:$H$303, 7, FALSE))</f>
        <v>13</v>
      </c>
    </row>
    <row r="89" spans="1:24" ht="14.25" customHeight="1" x14ac:dyDescent="0.25">
      <c r="A89" s="11"/>
      <c r="B89" s="11" t="e">
        <f t="shared" si="0"/>
        <v>#N/A</v>
      </c>
      <c r="C89" s="11" t="s">
        <v>119</v>
      </c>
      <c r="D89" s="11">
        <v>5</v>
      </c>
      <c r="E89" s="11">
        <v>4</v>
      </c>
      <c r="F89" s="11">
        <f t="shared" si="1"/>
        <v>1</v>
      </c>
      <c r="G89" s="11"/>
      <c r="H89" s="11" t="s">
        <v>413</v>
      </c>
      <c r="I89" s="11" t="e">
        <f>VLOOKUP($H89, 'ADP Data'!$B$4:$Q$300, 2, FALSE)</f>
        <v>#N/A</v>
      </c>
      <c r="J89" s="11" t="s">
        <v>762</v>
      </c>
      <c r="K89" s="11">
        <f>VLOOKUP($H89, SeanRanks!$A$2:$H$303, 5, FALSE)</f>
        <v>0</v>
      </c>
      <c r="L89" s="11" t="str">
        <f>IF(VLOOKUP($H89, SeanRanks!$A$2:$H$303, 6, FALSE)=0, "", VLOOKUP($H89, SeanRanks!$A$2:$H$303, 6, FALSE))</f>
        <v>RB3 - 2 - low ceiling</v>
      </c>
      <c r="M89" s="11">
        <f t="shared" si="2"/>
        <v>16</v>
      </c>
      <c r="N89" s="11" t="e">
        <f>VLOOKUP($H89, 'ADP Data'!$B$4:$Q$300, 10, FALSE)</f>
        <v>#N/A</v>
      </c>
      <c r="O89" s="11" t="e">
        <f>VLOOKUP($H89, 'ADP Data'!$B$4:$Q$300, 4, FALSE)</f>
        <v>#N/A</v>
      </c>
      <c r="P89" s="11" t="e">
        <f t="shared" si="3"/>
        <v>#N/A</v>
      </c>
      <c r="Q89" s="11" t="e">
        <f>VLOOKUP($H89, 'ADP Data'!$B$4:$Q$300, 5, FALSE)</f>
        <v>#N/A</v>
      </c>
      <c r="R89" s="11" t="e">
        <f>VLOOKUP($H89, 'ADP Data'!$B$4:$Q$300, 6, FALSE)</f>
        <v>#N/A</v>
      </c>
      <c r="S89" s="11" t="e">
        <f>VLOOKUP($H89, 'ADP Data'!$B$4:$Q$300, 7, FALSE)</f>
        <v>#N/A</v>
      </c>
      <c r="T89" s="11" t="e">
        <f>VLOOKUP($H89, 'ADP Data'!$B$4:$Q$300, 8, FALSE)</f>
        <v>#N/A</v>
      </c>
      <c r="U89" s="11" t="e">
        <f>VLOOKUP($H89, 'ADP Data'!$B$4:$Q$300, 9, FALSE)</f>
        <v>#N/A</v>
      </c>
      <c r="V89" s="11" t="e">
        <f t="shared" si="4"/>
        <v>#N/A</v>
      </c>
      <c r="W89" s="11" t="e">
        <f t="shared" si="5"/>
        <v>#N/A</v>
      </c>
      <c r="X89" s="11">
        <f>IF(VLOOKUP($H89, SeanRanks!$A$2:$H$303, 7, FALSE)=0, "", VLOOKUP($H89, SeanRanks!$A$2:$H$303, 7, FALSE))</f>
        <v>36</v>
      </c>
    </row>
    <row r="90" spans="1:24" ht="14.25" customHeight="1" x14ac:dyDescent="0.25">
      <c r="A90" s="11"/>
      <c r="B90" s="11" t="e">
        <f t="shared" si="0"/>
        <v>#N/A</v>
      </c>
      <c r="C90" s="11" t="s">
        <v>119</v>
      </c>
      <c r="D90" s="11">
        <v>3</v>
      </c>
      <c r="E90" s="11">
        <v>2</v>
      </c>
      <c r="F90" s="11">
        <f t="shared" si="1"/>
        <v>1</v>
      </c>
      <c r="G90" s="11"/>
      <c r="H90" s="11" t="s">
        <v>536</v>
      </c>
      <c r="I90" s="11" t="e">
        <f>VLOOKUP($H90, 'ADP Data'!$B$4:$Q$300, 2, FALSE)</f>
        <v>#N/A</v>
      </c>
      <c r="J90" s="11" t="s">
        <v>769</v>
      </c>
      <c r="K90" s="11">
        <f>VLOOKUP($H90, SeanRanks!$A$2:$H$303, 5, FALSE)</f>
        <v>0</v>
      </c>
      <c r="L90" s="11" t="str">
        <f>IF(VLOOKUP($H90, SeanRanks!$A$2:$H$303, 6, FALSE)=0, "", VLOOKUP($H90, SeanRanks!$A$2:$H$303, 6, FALSE))</f>
        <v/>
      </c>
      <c r="M90" s="11">
        <f t="shared" si="2"/>
        <v>16</v>
      </c>
      <c r="N90" s="11" t="e">
        <f>VLOOKUP($H90, 'ADP Data'!$B$4:$Q$300, 10, FALSE)</f>
        <v>#N/A</v>
      </c>
      <c r="O90" s="11" t="e">
        <f>VLOOKUP($H90, 'ADP Data'!$B$4:$Q$300, 4, FALSE)</f>
        <v>#N/A</v>
      </c>
      <c r="P90" s="11" t="e">
        <f t="shared" si="3"/>
        <v>#N/A</v>
      </c>
      <c r="Q90" s="11" t="e">
        <f>VLOOKUP($H90, 'ADP Data'!$B$4:$Q$300, 5, FALSE)</f>
        <v>#N/A</v>
      </c>
      <c r="R90" s="11" t="e">
        <f>VLOOKUP($H90, 'ADP Data'!$B$4:$Q$300, 6, FALSE)</f>
        <v>#N/A</v>
      </c>
      <c r="S90" s="11" t="e">
        <f>VLOOKUP($H90, 'ADP Data'!$B$4:$Q$300, 7, FALSE)</f>
        <v>#N/A</v>
      </c>
      <c r="T90" s="11" t="e">
        <f>VLOOKUP($H90, 'ADP Data'!$B$4:$Q$300, 8, FALSE)</f>
        <v>#N/A</v>
      </c>
      <c r="U90" s="11" t="e">
        <f>VLOOKUP($H90, 'ADP Data'!$B$4:$Q$300, 9, FALSE)</f>
        <v>#N/A</v>
      </c>
      <c r="V90" s="11" t="e">
        <f t="shared" si="4"/>
        <v>#N/A</v>
      </c>
      <c r="W90" s="11" t="e">
        <f t="shared" si="5"/>
        <v>#N/A</v>
      </c>
      <c r="X90" s="11" t="str">
        <f>IF(VLOOKUP($H90, SeanRanks!$A$2:$H$303, 7, FALSE)=0, "", VLOOKUP($H90, SeanRanks!$A$2:$H$303, 7, FALSE))</f>
        <v/>
      </c>
    </row>
    <row r="91" spans="1:24" ht="14.25" customHeight="1" x14ac:dyDescent="0.25">
      <c r="A91" s="11"/>
      <c r="B91" s="11" t="e">
        <f t="shared" si="0"/>
        <v>#N/A</v>
      </c>
      <c r="C91" s="11" t="s">
        <v>119</v>
      </c>
      <c r="D91" s="11">
        <v>9</v>
      </c>
      <c r="E91" s="11">
        <v>5</v>
      </c>
      <c r="F91" s="11">
        <f t="shared" si="1"/>
        <v>4</v>
      </c>
      <c r="G91" s="11"/>
      <c r="H91" s="11" t="s">
        <v>141</v>
      </c>
      <c r="I91" s="11" t="e">
        <f>VLOOKUP($H91, 'ADP Data'!$B$4:$Q$300, 2, FALSE)</f>
        <v>#N/A</v>
      </c>
      <c r="J91" s="11" t="s">
        <v>762</v>
      </c>
      <c r="K91" s="11" t="str">
        <f>VLOOKUP($H91, SeanRanks!$A$2:$H$303, 5, FALSE)</f>
        <v>No</v>
      </c>
      <c r="L91" s="11" t="str">
        <f>IF(VLOOKUP($H91, SeanRanks!$A$2:$H$303, 6, FALSE)=0, "", VLOOKUP($H91, SeanRanks!$A$2:$H$303, 6, FALSE))</f>
        <v>RB4 - 2 - low ceiling</v>
      </c>
      <c r="M91" s="11">
        <f t="shared" si="2"/>
        <v>16</v>
      </c>
      <c r="N91" s="11" t="e">
        <f>VLOOKUP($H91, 'ADP Data'!$B$4:$Q$300, 10, FALSE)</f>
        <v>#N/A</v>
      </c>
      <c r="O91" s="11" t="e">
        <f>VLOOKUP($H91, 'ADP Data'!$B$4:$Q$300, 4, FALSE)</f>
        <v>#N/A</v>
      </c>
      <c r="P91" s="11" t="e">
        <f t="shared" si="3"/>
        <v>#N/A</v>
      </c>
      <c r="Q91" s="11" t="e">
        <f>VLOOKUP($H91, 'ADP Data'!$B$4:$Q$300, 5, FALSE)</f>
        <v>#N/A</v>
      </c>
      <c r="R91" s="11" t="e">
        <f>VLOOKUP($H91, 'ADP Data'!$B$4:$Q$300, 6, FALSE)</f>
        <v>#N/A</v>
      </c>
      <c r="S91" s="11" t="e">
        <f>VLOOKUP($H91, 'ADP Data'!$B$4:$Q$300, 7, FALSE)</f>
        <v>#N/A</v>
      </c>
      <c r="T91" s="11" t="e">
        <f>VLOOKUP($H91, 'ADP Data'!$B$4:$Q$300, 8, FALSE)</f>
        <v>#N/A</v>
      </c>
      <c r="U91" s="11" t="e">
        <f>VLOOKUP($H91, 'ADP Data'!$B$4:$Q$300, 9, FALSE)</f>
        <v>#N/A</v>
      </c>
      <c r="V91" s="11" t="e">
        <f t="shared" si="4"/>
        <v>#N/A</v>
      </c>
      <c r="W91" s="11" t="e">
        <f t="shared" si="5"/>
        <v>#N/A</v>
      </c>
      <c r="X91" s="11">
        <f>IF(VLOOKUP($H91, SeanRanks!$A$2:$H$303, 7, FALSE)=0, "", VLOOKUP($H91, SeanRanks!$A$2:$H$303, 7, FALSE))</f>
        <v>52</v>
      </c>
    </row>
    <row r="92" spans="1:24" ht="14.25" customHeight="1" x14ac:dyDescent="0.25">
      <c r="A92" s="11"/>
      <c r="B92" s="11" t="e">
        <f t="shared" si="0"/>
        <v>#N/A</v>
      </c>
      <c r="C92" s="11" t="s">
        <v>119</v>
      </c>
      <c r="D92" s="11">
        <v>1</v>
      </c>
      <c r="E92" s="11">
        <v>4</v>
      </c>
      <c r="F92" s="11">
        <f t="shared" si="1"/>
        <v>-3</v>
      </c>
      <c r="G92" s="11"/>
      <c r="H92" s="11" t="s">
        <v>606</v>
      </c>
      <c r="I92" s="11" t="e">
        <f>VLOOKUP($H92, 'ADP Data'!$B$4:$Q$300, 2, FALSE)</f>
        <v>#N/A</v>
      </c>
      <c r="J92" s="11" t="s">
        <v>762</v>
      </c>
      <c r="K92" s="11" t="e">
        <f>VLOOKUP($H92, SeanRanks!$A$2:$H$303, 5, FALSE)</f>
        <v>#N/A</v>
      </c>
      <c r="L92" s="11" t="e">
        <f>IF(VLOOKUP($H92, SeanRanks!$A$2:$H$303, 6, FALSE)=0, "", VLOOKUP($H92, SeanRanks!$A$2:$H$303, 6, FALSE))</f>
        <v>#N/A</v>
      </c>
      <c r="M92" s="11">
        <f t="shared" si="2"/>
        <v>16</v>
      </c>
      <c r="N92" s="11" t="e">
        <f>VLOOKUP($H92, 'ADP Data'!$B$4:$Q$300, 10, FALSE)</f>
        <v>#N/A</v>
      </c>
      <c r="O92" s="11" t="e">
        <f>VLOOKUP($H92, 'ADP Data'!$B$4:$Q$300, 4, FALSE)</f>
        <v>#N/A</v>
      </c>
      <c r="P92" s="11" t="e">
        <f t="shared" si="3"/>
        <v>#N/A</v>
      </c>
      <c r="Q92" s="11" t="e">
        <f>VLOOKUP($H92, 'ADP Data'!$B$4:$Q$300, 5, FALSE)</f>
        <v>#N/A</v>
      </c>
      <c r="R92" s="11" t="e">
        <f>VLOOKUP($H92, 'ADP Data'!$B$4:$Q$300, 6, FALSE)</f>
        <v>#N/A</v>
      </c>
      <c r="S92" s="11" t="e">
        <f>VLOOKUP($H92, 'ADP Data'!$B$4:$Q$300, 7, FALSE)</f>
        <v>#N/A</v>
      </c>
      <c r="T92" s="11" t="e">
        <f>VLOOKUP($H92, 'ADP Data'!$B$4:$Q$300, 8, FALSE)</f>
        <v>#N/A</v>
      </c>
      <c r="U92" s="11" t="e">
        <f>VLOOKUP($H92, 'ADP Data'!$B$4:$Q$300, 9, FALSE)</f>
        <v>#N/A</v>
      </c>
      <c r="V92" s="11" t="e">
        <f t="shared" si="4"/>
        <v>#N/A</v>
      </c>
      <c r="W92" s="11" t="e">
        <f t="shared" si="5"/>
        <v>#N/A</v>
      </c>
      <c r="X92" s="11" t="e">
        <f>IF(VLOOKUP($H92, SeanRanks!$A$2:$H$303, 7, FALSE)=0, "", VLOOKUP($H92, SeanRanks!$A$2:$H$303, 7, FALSE))</f>
        <v>#N/A</v>
      </c>
    </row>
    <row r="93" spans="1:24" ht="14.25" customHeight="1" x14ac:dyDescent="0.25">
      <c r="A93" s="11"/>
      <c r="B93" s="11" t="e">
        <f t="shared" si="0"/>
        <v>#N/A</v>
      </c>
      <c r="C93" s="11" t="s">
        <v>119</v>
      </c>
      <c r="D93" s="11">
        <v>3</v>
      </c>
      <c r="E93" s="11">
        <v>4</v>
      </c>
      <c r="F93" s="11">
        <f t="shared" si="1"/>
        <v>-1</v>
      </c>
      <c r="G93" s="11" t="s">
        <v>1112</v>
      </c>
      <c r="H93" s="11" t="s">
        <v>294</v>
      </c>
      <c r="I93" s="58" t="e">
        <f>VLOOKUP($H93, 'ADP Data'!$B$4:$Q$300, 2, FALSE)</f>
        <v>#N/A</v>
      </c>
      <c r="J93" s="11" t="s">
        <v>764</v>
      </c>
      <c r="K93" s="11">
        <f>VLOOKUP($H93, SeanRanks!$A$2:$H$303, 5, FALSE)</f>
        <v>0</v>
      </c>
      <c r="L93" s="11" t="str">
        <f>IF(VLOOKUP($H93, SeanRanks!$A$2:$H$303, 6, FALSE)=0, "", VLOOKUP($H93, SeanRanks!$A$2:$H$303, 6, FALSE))</f>
        <v>WR3 - 3 - lower ceiling</v>
      </c>
      <c r="M93" s="11">
        <f t="shared" si="2"/>
        <v>16</v>
      </c>
      <c r="N93" s="11" t="e">
        <f>VLOOKUP($H93, 'ADP Data'!$B$4:$Q$300, 10, FALSE)</f>
        <v>#N/A</v>
      </c>
      <c r="O93" s="11" t="e">
        <f>VLOOKUP($H93, 'ADP Data'!$B$4:$Q$300, 4, FALSE)</f>
        <v>#N/A</v>
      </c>
      <c r="P93" s="11" t="e">
        <f t="shared" si="3"/>
        <v>#N/A</v>
      </c>
      <c r="Q93" s="11" t="e">
        <f>VLOOKUP($H93, 'ADP Data'!$B$4:$Q$300, 5, FALSE)</f>
        <v>#N/A</v>
      </c>
      <c r="R93" s="11" t="e">
        <f>VLOOKUP($H93, 'ADP Data'!$B$4:$Q$300, 6, FALSE)</f>
        <v>#N/A</v>
      </c>
      <c r="S93" s="11" t="e">
        <f>VLOOKUP($H93, 'ADP Data'!$B$4:$Q$300, 7, FALSE)</f>
        <v>#N/A</v>
      </c>
      <c r="T93" s="11" t="e">
        <f>VLOOKUP($H93, 'ADP Data'!$B$4:$Q$300, 8, FALSE)</f>
        <v>#N/A</v>
      </c>
      <c r="U93" s="11" t="e">
        <f>VLOOKUP($H93, 'ADP Data'!$B$4:$Q$300, 9, FALSE)</f>
        <v>#N/A</v>
      </c>
      <c r="V93" s="11" t="e">
        <f t="shared" si="4"/>
        <v>#N/A</v>
      </c>
      <c r="W93" s="11" t="e">
        <f t="shared" si="5"/>
        <v>#N/A</v>
      </c>
      <c r="X93" s="11">
        <f>IF(VLOOKUP($H93, SeanRanks!$A$2:$H$303, 7, FALSE)=0, "", VLOOKUP($H93, SeanRanks!$A$2:$H$303, 7, FALSE))</f>
        <v>36</v>
      </c>
    </row>
    <row r="94" spans="1:24" ht="14.25" customHeight="1" x14ac:dyDescent="0.25">
      <c r="A94" s="11" t="s">
        <v>1156</v>
      </c>
      <c r="B94" s="11" t="e">
        <f t="shared" si="0"/>
        <v>#N/A</v>
      </c>
      <c r="C94" s="11" t="s">
        <v>119</v>
      </c>
      <c r="D94" s="11">
        <v>6</v>
      </c>
      <c r="E94" s="11">
        <v>4</v>
      </c>
      <c r="F94" s="11">
        <f t="shared" si="1"/>
        <v>2</v>
      </c>
      <c r="G94" s="11"/>
      <c r="H94" s="11" t="s">
        <v>677</v>
      </c>
      <c r="I94" s="11" t="e">
        <f>VLOOKUP($H94, 'ADP Data'!$B$4:$Q$300, 2, FALSE)</f>
        <v>#N/A</v>
      </c>
      <c r="J94" s="11" t="s">
        <v>764</v>
      </c>
      <c r="K94" s="11" t="e">
        <f>VLOOKUP($H94, SeanRanks!$A$2:$H$303, 5, FALSE)</f>
        <v>#N/A</v>
      </c>
      <c r="L94" s="11" t="e">
        <f>IF(VLOOKUP($H94, SeanRanks!$A$2:$H$303, 6, FALSE)=0, "", VLOOKUP($H94, SeanRanks!$A$2:$H$303, 6, FALSE))</f>
        <v>#N/A</v>
      </c>
      <c r="M94" s="11">
        <f t="shared" si="2"/>
        <v>16</v>
      </c>
      <c r="N94" s="11" t="e">
        <f>VLOOKUP($H94, 'ADP Data'!$B$4:$Q$300, 10, FALSE)</f>
        <v>#N/A</v>
      </c>
      <c r="O94" s="11" t="e">
        <f>VLOOKUP($H94, 'ADP Data'!$B$4:$Q$300, 4, FALSE)</f>
        <v>#N/A</v>
      </c>
      <c r="P94" s="11" t="e">
        <f t="shared" si="3"/>
        <v>#N/A</v>
      </c>
      <c r="Q94" s="11" t="e">
        <f>VLOOKUP($H94, 'ADP Data'!$B$4:$Q$300, 5, FALSE)</f>
        <v>#N/A</v>
      </c>
      <c r="R94" s="11" t="e">
        <f>VLOOKUP($H94, 'ADP Data'!$B$4:$Q$300, 6, FALSE)</f>
        <v>#N/A</v>
      </c>
      <c r="S94" s="11" t="e">
        <f>VLOOKUP($H94, 'ADP Data'!$B$4:$Q$300, 7, FALSE)</f>
        <v>#N/A</v>
      </c>
      <c r="T94" s="11" t="e">
        <f>VLOOKUP($H94, 'ADP Data'!$B$4:$Q$300, 8, FALSE)</f>
        <v>#N/A</v>
      </c>
      <c r="U94" s="11" t="e">
        <f>VLOOKUP($H94, 'ADP Data'!$B$4:$Q$300, 9, FALSE)</f>
        <v>#N/A</v>
      </c>
      <c r="V94" s="11" t="e">
        <f t="shared" si="4"/>
        <v>#N/A</v>
      </c>
      <c r="W94" s="11" t="e">
        <f t="shared" si="5"/>
        <v>#N/A</v>
      </c>
      <c r="X94" s="11" t="e">
        <f>IF(VLOOKUP($H94, SeanRanks!$A$2:$H$303, 7, FALSE)=0, "", VLOOKUP($H94, SeanRanks!$A$2:$H$303, 7, FALSE))</f>
        <v>#N/A</v>
      </c>
    </row>
    <row r="95" spans="1:24" ht="14.25" customHeight="1" x14ac:dyDescent="0.25">
      <c r="A95" s="11"/>
      <c r="B95" s="11" t="e">
        <f t="shared" si="0"/>
        <v>#N/A</v>
      </c>
      <c r="C95" s="11" t="s">
        <v>119</v>
      </c>
      <c r="D95" s="11">
        <v>3</v>
      </c>
      <c r="E95" s="11">
        <v>2</v>
      </c>
      <c r="F95" s="11">
        <f t="shared" si="1"/>
        <v>1</v>
      </c>
      <c r="G95" s="11"/>
      <c r="H95" s="11" t="s">
        <v>648</v>
      </c>
      <c r="I95" s="11" t="e">
        <f>VLOOKUP($H95, 'ADP Data'!$B$4:$Q$300, 2, FALSE)</f>
        <v>#N/A</v>
      </c>
      <c r="J95" s="11" t="s">
        <v>769</v>
      </c>
      <c r="K95" s="11" t="str">
        <f>VLOOKUP($H95, SeanRanks!$A$2:$H$303, 5, FALSE)</f>
        <v>No</v>
      </c>
      <c r="L95" s="11" t="str">
        <f>IF(VLOOKUP($H95, SeanRanks!$A$2:$H$303, 6, FALSE)=0, "", VLOOKUP($H95, SeanRanks!$A$2:$H$303, 6, FALSE))</f>
        <v>TE1 - 3 - Weekly Start</v>
      </c>
      <c r="M95" s="11">
        <f t="shared" si="2"/>
        <v>16</v>
      </c>
      <c r="N95" s="11" t="e">
        <f>VLOOKUP($H95, 'ADP Data'!$B$4:$Q$300, 10, FALSE)</f>
        <v>#N/A</v>
      </c>
      <c r="O95" s="11" t="e">
        <f>VLOOKUP($H95, 'ADP Data'!$B$4:$Q$300, 4, FALSE)</f>
        <v>#N/A</v>
      </c>
      <c r="P95" s="11" t="e">
        <f t="shared" si="3"/>
        <v>#N/A</v>
      </c>
      <c r="Q95" s="11" t="e">
        <f>VLOOKUP($H95, 'ADP Data'!$B$4:$Q$300, 5, FALSE)</f>
        <v>#N/A</v>
      </c>
      <c r="R95" s="11" t="e">
        <f>VLOOKUP($H95, 'ADP Data'!$B$4:$Q$300, 6, FALSE)</f>
        <v>#N/A</v>
      </c>
      <c r="S95" s="11" t="e">
        <f>VLOOKUP($H95, 'ADP Data'!$B$4:$Q$300, 7, FALSE)</f>
        <v>#N/A</v>
      </c>
      <c r="T95" s="11" t="e">
        <f>VLOOKUP($H95, 'ADP Data'!$B$4:$Q$300, 8, FALSE)</f>
        <v>#N/A</v>
      </c>
      <c r="U95" s="11" t="e">
        <f>VLOOKUP($H95, 'ADP Data'!$B$4:$Q$300, 9, FALSE)</f>
        <v>#N/A</v>
      </c>
      <c r="V95" s="11" t="e">
        <f t="shared" si="4"/>
        <v>#N/A</v>
      </c>
      <c r="W95" s="11" t="e">
        <f t="shared" si="5"/>
        <v>#N/A</v>
      </c>
      <c r="X95" s="11">
        <f>IF(VLOOKUP($H95, SeanRanks!$A$2:$H$303, 7, FALSE)=0, "", VLOOKUP($H95, SeanRanks!$A$2:$H$303, 7, FALSE))</f>
        <v>8</v>
      </c>
    </row>
    <row r="96" spans="1:24" ht="14.25" customHeight="1" x14ac:dyDescent="0.25">
      <c r="A96" s="11"/>
      <c r="B96" s="11" t="e">
        <f t="shared" si="0"/>
        <v>#N/A</v>
      </c>
      <c r="C96" s="11" t="s">
        <v>119</v>
      </c>
      <c r="D96" s="11">
        <v>1</v>
      </c>
      <c r="E96" s="11">
        <v>3</v>
      </c>
      <c r="F96" s="11">
        <f t="shared" si="1"/>
        <v>-2</v>
      </c>
      <c r="G96" s="11"/>
      <c r="H96" s="11" t="s">
        <v>919</v>
      </c>
      <c r="I96" s="11" t="e">
        <f>VLOOKUP($H96, 'ADP Data'!$B$4:$Q$300, 2, FALSE)</f>
        <v>#N/A</v>
      </c>
      <c r="J96" s="11" t="s">
        <v>764</v>
      </c>
      <c r="K96" s="11" t="e">
        <f>VLOOKUP($H96, SeanRanks!$A$2:$H$303, 5, FALSE)</f>
        <v>#N/A</v>
      </c>
      <c r="L96" s="11" t="e">
        <f>IF(VLOOKUP($H96, SeanRanks!$A$2:$H$303, 6, FALSE)=0, "", VLOOKUP($H96, SeanRanks!$A$2:$H$303, 6, FALSE))</f>
        <v>#N/A</v>
      </c>
      <c r="M96" s="11">
        <f t="shared" si="2"/>
        <v>16</v>
      </c>
      <c r="N96" s="11" t="e">
        <f>VLOOKUP($H96, 'ADP Data'!$B$4:$Q$300, 10, FALSE)</f>
        <v>#N/A</v>
      </c>
      <c r="O96" s="11" t="e">
        <f>VLOOKUP($H96, 'ADP Data'!$B$4:$Q$300, 4, FALSE)</f>
        <v>#N/A</v>
      </c>
      <c r="P96" s="11" t="e">
        <f t="shared" si="3"/>
        <v>#N/A</v>
      </c>
      <c r="Q96" s="11" t="e">
        <f>VLOOKUP($H96, 'ADP Data'!$B$4:$Q$300, 5, FALSE)</f>
        <v>#N/A</v>
      </c>
      <c r="R96" s="11" t="e">
        <f>VLOOKUP($H96, 'ADP Data'!$B$4:$Q$300, 6, FALSE)</f>
        <v>#N/A</v>
      </c>
      <c r="S96" s="11" t="e">
        <f>VLOOKUP($H96, 'ADP Data'!$B$4:$Q$300, 7, FALSE)</f>
        <v>#N/A</v>
      </c>
      <c r="T96" s="11" t="e">
        <f>VLOOKUP($H96, 'ADP Data'!$B$4:$Q$300, 8, FALSE)</f>
        <v>#N/A</v>
      </c>
      <c r="U96" s="11" t="e">
        <f>VLOOKUP($H96, 'ADP Data'!$B$4:$Q$300, 9, FALSE)</f>
        <v>#N/A</v>
      </c>
      <c r="V96" s="11" t="e">
        <f t="shared" si="4"/>
        <v>#N/A</v>
      </c>
      <c r="W96" s="11" t="e">
        <f t="shared" si="5"/>
        <v>#N/A</v>
      </c>
      <c r="X96" s="11" t="e">
        <f>IF(VLOOKUP($H96, SeanRanks!$A$2:$H$303, 7, FALSE)=0, "", VLOOKUP($H96, SeanRanks!$A$2:$H$303, 7, FALSE))</f>
        <v>#N/A</v>
      </c>
    </row>
    <row r="97" spans="1:24" ht="14.25" customHeight="1" x14ac:dyDescent="0.25">
      <c r="A97" s="11"/>
      <c r="B97" s="11" t="e">
        <f t="shared" si="0"/>
        <v>#N/A</v>
      </c>
      <c r="C97" s="11" t="s">
        <v>119</v>
      </c>
      <c r="D97" s="11">
        <v>10</v>
      </c>
      <c r="E97" s="11">
        <v>4</v>
      </c>
      <c r="F97" s="11">
        <f t="shared" si="1"/>
        <v>6</v>
      </c>
      <c r="G97" s="11"/>
      <c r="H97" s="11" t="s">
        <v>1127</v>
      </c>
      <c r="I97" s="57" t="e">
        <f>VLOOKUP($H97, 'ADP Data'!$B$4:$Q$300, 2, FALSE)</f>
        <v>#N/A</v>
      </c>
      <c r="J97" s="11" t="s">
        <v>762</v>
      </c>
      <c r="K97" s="11" t="e">
        <f>VLOOKUP($H97, SeanRanks!$A$2:$H$303, 5, FALSE)</f>
        <v>#N/A</v>
      </c>
      <c r="L97" s="11" t="e">
        <f>IF(VLOOKUP($H97, SeanRanks!$A$2:$H$303, 6, FALSE)=0, "", VLOOKUP($H97, SeanRanks!$A$2:$H$303, 6, FALSE))</f>
        <v>#N/A</v>
      </c>
      <c r="M97" s="11">
        <f t="shared" si="2"/>
        <v>16</v>
      </c>
      <c r="N97" s="11" t="e">
        <f>VLOOKUP($H97, 'ADP Data'!$B$4:$Q$300, 10, FALSE)</f>
        <v>#N/A</v>
      </c>
      <c r="O97" s="11" t="e">
        <f>VLOOKUP($H97, 'ADP Data'!$B$4:$Q$300, 4, FALSE)</f>
        <v>#N/A</v>
      </c>
      <c r="P97" s="11" t="e">
        <f t="shared" si="3"/>
        <v>#N/A</v>
      </c>
      <c r="Q97" s="11" t="e">
        <f>VLOOKUP($H97, 'ADP Data'!$B$4:$Q$300, 5, FALSE)</f>
        <v>#N/A</v>
      </c>
      <c r="R97" s="11" t="e">
        <f>VLOOKUP($H97, 'ADP Data'!$B$4:$Q$300, 6, FALSE)</f>
        <v>#N/A</v>
      </c>
      <c r="S97" s="11" t="e">
        <f>VLOOKUP($H97, 'ADP Data'!$B$4:$Q$300, 7, FALSE)</f>
        <v>#N/A</v>
      </c>
      <c r="T97" s="11" t="e">
        <f>VLOOKUP($H97, 'ADP Data'!$B$4:$Q$300, 8, FALSE)</f>
        <v>#N/A</v>
      </c>
      <c r="U97" s="11" t="e">
        <f>VLOOKUP($H97, 'ADP Data'!$B$4:$Q$300, 9, FALSE)</f>
        <v>#N/A</v>
      </c>
      <c r="V97" s="11" t="e">
        <f t="shared" si="4"/>
        <v>#N/A</v>
      </c>
      <c r="W97" s="11" t="e">
        <f t="shared" si="5"/>
        <v>#N/A</v>
      </c>
      <c r="X97" s="11" t="e">
        <f>IF(VLOOKUP($H97, SeanRanks!$A$2:$H$303, 7, FALSE)=0, "", VLOOKUP($H97, SeanRanks!$A$2:$H$303, 7, FALSE))</f>
        <v>#N/A</v>
      </c>
    </row>
    <row r="98" spans="1:24" ht="14.25" customHeight="1" x14ac:dyDescent="0.25">
      <c r="A98" s="11"/>
      <c r="B98" s="11" t="e">
        <f t="shared" si="0"/>
        <v>#N/A</v>
      </c>
      <c r="C98" s="11" t="s">
        <v>148</v>
      </c>
      <c r="D98" s="11"/>
      <c r="E98" s="11">
        <v>4</v>
      </c>
      <c r="F98" s="11">
        <f t="shared" si="1"/>
        <v>-4</v>
      </c>
      <c r="G98" s="11" t="s">
        <v>1110</v>
      </c>
      <c r="H98" s="11" t="s">
        <v>619</v>
      </c>
      <c r="I98" s="11" t="e">
        <f>VLOOKUP($H98, 'ADP Data'!$B$4:$Q$300, 2, FALSE)</f>
        <v>#N/A</v>
      </c>
      <c r="J98" s="11" t="s">
        <v>760</v>
      </c>
      <c r="K98" s="11">
        <f>VLOOKUP($H98, SeanRanks!$A$2:$H$303, 5, FALSE)</f>
        <v>0</v>
      </c>
      <c r="L98" s="11" t="str">
        <f>IF(VLOOKUP($H98, SeanRanks!$A$2:$H$303, 6, FALSE)=0, "", VLOOKUP($H98, SeanRanks!$A$2:$H$303, 6, FALSE))</f>
        <v>Don’t Draft - Streamer</v>
      </c>
      <c r="M98" s="11">
        <f t="shared" si="2"/>
        <v>16</v>
      </c>
      <c r="N98" s="11" t="e">
        <f>VLOOKUP($H98, 'ADP Data'!$B$4:$Q$300, 10, FALSE)</f>
        <v>#N/A</v>
      </c>
      <c r="O98" s="11" t="e">
        <f>VLOOKUP($H98, 'ADP Data'!$B$4:$Q$300, 4, FALSE)</f>
        <v>#N/A</v>
      </c>
      <c r="P98" s="11" t="e">
        <f t="shared" si="3"/>
        <v>#N/A</v>
      </c>
      <c r="Q98" s="11" t="e">
        <f>VLOOKUP($H98, 'ADP Data'!$B$4:$Q$300, 5, FALSE)</f>
        <v>#N/A</v>
      </c>
      <c r="R98" s="11" t="e">
        <f>VLOOKUP($H98, 'ADP Data'!$B$4:$Q$300, 6, FALSE)</f>
        <v>#N/A</v>
      </c>
      <c r="S98" s="11" t="e">
        <f>VLOOKUP($H98, 'ADP Data'!$B$4:$Q$300, 7, FALSE)</f>
        <v>#N/A</v>
      </c>
      <c r="T98" s="11" t="e">
        <f>VLOOKUP($H98, 'ADP Data'!$B$4:$Q$300, 8, FALSE)</f>
        <v>#N/A</v>
      </c>
      <c r="U98" s="11" t="e">
        <f>VLOOKUP($H98, 'ADP Data'!$B$4:$Q$300, 9, FALSE)</f>
        <v>#N/A</v>
      </c>
      <c r="V98" s="11" t="e">
        <f t="shared" si="4"/>
        <v>#N/A</v>
      </c>
      <c r="W98" s="11" t="e">
        <f t="shared" si="5"/>
        <v>#N/A</v>
      </c>
      <c r="X98" s="11">
        <f>IF(VLOOKUP($H98, SeanRanks!$A$2:$H$303, 7, FALSE)=0, "", VLOOKUP($H98, SeanRanks!$A$2:$H$303, 7, FALSE))</f>
        <v>20</v>
      </c>
    </row>
    <row r="99" spans="1:24" ht="14.25" customHeight="1" x14ac:dyDescent="0.25">
      <c r="A99" s="11" t="s">
        <v>1156</v>
      </c>
      <c r="B99" s="11" t="e">
        <f t="shared" si="0"/>
        <v>#N/A</v>
      </c>
      <c r="C99" s="11" t="s">
        <v>119</v>
      </c>
      <c r="D99" s="11">
        <v>2</v>
      </c>
      <c r="E99" s="11">
        <v>2</v>
      </c>
      <c r="F99" s="11">
        <f t="shared" si="1"/>
        <v>0</v>
      </c>
      <c r="G99" s="11"/>
      <c r="H99" s="11" t="s">
        <v>555</v>
      </c>
      <c r="I99" s="11" t="e">
        <f>VLOOKUP($H99, 'ADP Data'!$B$4:$Q$300, 2, FALSE)</f>
        <v>#N/A</v>
      </c>
      <c r="J99" s="11" t="s">
        <v>769</v>
      </c>
      <c r="K99" s="11">
        <f>VLOOKUP($H99, SeanRanks!$A$2:$H$303, 5, FALSE)</f>
        <v>0</v>
      </c>
      <c r="L99" s="11" t="str">
        <f>IF(VLOOKUP($H99, SeanRanks!$A$2:$H$303, 6, FALSE)=0, "", VLOOKUP($H99, SeanRanks!$A$2:$H$303, 6, FALSE))</f>
        <v>TE1 - 3 - Weekly Start</v>
      </c>
      <c r="M99" s="11">
        <f t="shared" si="2"/>
        <v>16</v>
      </c>
      <c r="N99" s="11" t="e">
        <f>VLOOKUP($H99, 'ADP Data'!$B$4:$Q$300, 10, FALSE)</f>
        <v>#N/A</v>
      </c>
      <c r="O99" s="11" t="e">
        <f>VLOOKUP($H99, 'ADP Data'!$B$4:$Q$300, 4, FALSE)</f>
        <v>#N/A</v>
      </c>
      <c r="P99" s="11" t="e">
        <f t="shared" si="3"/>
        <v>#N/A</v>
      </c>
      <c r="Q99" s="11" t="e">
        <f>VLOOKUP($H99, 'ADP Data'!$B$4:$Q$300, 5, FALSE)</f>
        <v>#N/A</v>
      </c>
      <c r="R99" s="11" t="e">
        <f>VLOOKUP($H99, 'ADP Data'!$B$4:$Q$300, 6, FALSE)</f>
        <v>#N/A</v>
      </c>
      <c r="S99" s="11" t="e">
        <f>VLOOKUP($H99, 'ADP Data'!$B$4:$Q$300, 7, FALSE)</f>
        <v>#N/A</v>
      </c>
      <c r="T99" s="11" t="e">
        <f>VLOOKUP($H99, 'ADP Data'!$B$4:$Q$300, 8, FALSE)</f>
        <v>#N/A</v>
      </c>
      <c r="U99" s="11" t="e">
        <f>VLOOKUP($H99, 'ADP Data'!$B$4:$Q$300, 9, FALSE)</f>
        <v>#N/A</v>
      </c>
      <c r="V99" s="11" t="e">
        <f t="shared" si="4"/>
        <v>#N/A</v>
      </c>
      <c r="W99" s="11" t="e">
        <f t="shared" si="5"/>
        <v>#N/A</v>
      </c>
      <c r="X99" s="11">
        <f>IF(VLOOKUP($H99, SeanRanks!$A$2:$H$303, 7, FALSE)=0, "", VLOOKUP($H99, SeanRanks!$A$2:$H$303, 7, FALSE))</f>
        <v>10</v>
      </c>
    </row>
    <row r="100" spans="1:24" ht="14.25" customHeight="1" x14ac:dyDescent="0.25">
      <c r="A100" s="11" t="s">
        <v>1156</v>
      </c>
      <c r="B100" s="11" t="e">
        <f t="shared" si="0"/>
        <v>#N/A</v>
      </c>
      <c r="C100" s="11" t="s">
        <v>119</v>
      </c>
      <c r="D100" s="11">
        <v>2</v>
      </c>
      <c r="E100" s="11">
        <v>2</v>
      </c>
      <c r="F100" s="11">
        <f t="shared" si="1"/>
        <v>0</v>
      </c>
      <c r="G100" s="58" t="s">
        <v>148</v>
      </c>
      <c r="H100" s="11" t="s">
        <v>147</v>
      </c>
      <c r="I100" s="11" t="e">
        <f>VLOOKUP($H100, 'ADP Data'!$B$4:$Q$300, 2, FALSE)</f>
        <v>#N/A</v>
      </c>
      <c r="J100" s="11" t="s">
        <v>764</v>
      </c>
      <c r="K100" s="11">
        <f>VLOOKUP($H100, SeanRanks!$A$2:$H$303, 5, FALSE)</f>
        <v>0</v>
      </c>
      <c r="L100" s="11" t="str">
        <f>IF(VLOOKUP($H100, SeanRanks!$A$2:$H$303, 6, FALSE)=0, "", VLOOKUP($H100, SeanRanks!$A$2:$H$303, 6, FALSE))</f>
        <v xml:space="preserve">WR3 - 1 - </v>
      </c>
      <c r="M100" s="11">
        <f t="shared" si="2"/>
        <v>16</v>
      </c>
      <c r="N100" s="11" t="e">
        <f>VLOOKUP($H100, 'ADP Data'!$B$4:$Q$300, 10, FALSE)</f>
        <v>#N/A</v>
      </c>
      <c r="O100" s="11" t="e">
        <f>VLOOKUP($H100, 'ADP Data'!$B$4:$Q$300, 4, FALSE)</f>
        <v>#N/A</v>
      </c>
      <c r="P100" s="11" t="e">
        <f t="shared" si="3"/>
        <v>#N/A</v>
      </c>
      <c r="Q100" s="11" t="e">
        <f>VLOOKUP($H100, 'ADP Data'!$B$4:$Q$300, 5, FALSE)</f>
        <v>#N/A</v>
      </c>
      <c r="R100" s="11" t="e">
        <f>VLOOKUP($H100, 'ADP Data'!$B$4:$Q$300, 6, FALSE)</f>
        <v>#N/A</v>
      </c>
      <c r="S100" s="11" t="e">
        <f>VLOOKUP($H100, 'ADP Data'!$B$4:$Q$300, 7, FALSE)</f>
        <v>#N/A</v>
      </c>
      <c r="T100" s="11" t="e">
        <f>VLOOKUP($H100, 'ADP Data'!$B$4:$Q$300, 8, FALSE)</f>
        <v>#N/A</v>
      </c>
      <c r="U100" s="11" t="e">
        <f>VLOOKUP($H100, 'ADP Data'!$B$4:$Q$300, 9, FALSE)</f>
        <v>#N/A</v>
      </c>
      <c r="V100" s="11" t="e">
        <f t="shared" si="4"/>
        <v>#N/A</v>
      </c>
      <c r="W100" s="11" t="e">
        <f t="shared" si="5"/>
        <v>#N/A</v>
      </c>
      <c r="X100" s="11">
        <f>IF(VLOOKUP($H100, SeanRanks!$A$2:$H$303, 7, FALSE)=0, "", VLOOKUP($H100, SeanRanks!$A$2:$H$303, 7, FALSE))</f>
        <v>27</v>
      </c>
    </row>
    <row r="101" spans="1:24" ht="14.25" customHeight="1" x14ac:dyDescent="0.25">
      <c r="A101" s="11" t="s">
        <v>1156</v>
      </c>
      <c r="B101" s="11" t="e">
        <f t="shared" si="0"/>
        <v>#N/A</v>
      </c>
      <c r="C101" s="11" t="s">
        <v>119</v>
      </c>
      <c r="D101" s="11">
        <v>3</v>
      </c>
      <c r="E101" s="11">
        <v>3</v>
      </c>
      <c r="F101" s="11">
        <f t="shared" si="1"/>
        <v>0</v>
      </c>
      <c r="G101" s="46" t="s">
        <v>148</v>
      </c>
      <c r="H101" s="11" t="s">
        <v>386</v>
      </c>
      <c r="I101" s="11" t="e">
        <f>VLOOKUP($H101, 'ADP Data'!$B$4:$Q$300, 2, FALSE)</f>
        <v>#N/A</v>
      </c>
      <c r="J101" s="11" t="s">
        <v>762</v>
      </c>
      <c r="K101" s="11">
        <f>VLOOKUP($H101, SeanRanks!$A$2:$H$303, 5, FALSE)</f>
        <v>0</v>
      </c>
      <c r="L101" s="11" t="str">
        <f>IF(VLOOKUP($H101, SeanRanks!$A$2:$H$303, 6, FALSE)=0, "", VLOOKUP($H101, SeanRanks!$A$2:$H$303, 6, FALSE))</f>
        <v>RB3 - 1 - Upside</v>
      </c>
      <c r="M101" s="11">
        <f t="shared" si="2"/>
        <v>16</v>
      </c>
      <c r="N101" s="11" t="e">
        <f>VLOOKUP($H101, 'ADP Data'!$B$4:$Q$300, 10, FALSE)</f>
        <v>#N/A</v>
      </c>
      <c r="O101" s="11" t="e">
        <f>VLOOKUP($H101, 'ADP Data'!$B$4:$Q$300, 4, FALSE)</f>
        <v>#N/A</v>
      </c>
      <c r="P101" s="11" t="e">
        <f t="shared" si="3"/>
        <v>#N/A</v>
      </c>
      <c r="Q101" s="11" t="e">
        <f>VLOOKUP($H101, 'ADP Data'!$B$4:$Q$300, 5, FALSE)</f>
        <v>#N/A</v>
      </c>
      <c r="R101" s="11" t="e">
        <f>VLOOKUP($H101, 'ADP Data'!$B$4:$Q$300, 6, FALSE)</f>
        <v>#N/A</v>
      </c>
      <c r="S101" s="11" t="e">
        <f>VLOOKUP($H101, 'ADP Data'!$B$4:$Q$300, 7, FALSE)</f>
        <v>#N/A</v>
      </c>
      <c r="T101" s="11" t="e">
        <f>VLOOKUP($H101, 'ADP Data'!$B$4:$Q$300, 8, FALSE)</f>
        <v>#N/A</v>
      </c>
      <c r="U101" s="11" t="e">
        <f>VLOOKUP($H101, 'ADP Data'!$B$4:$Q$300, 9, FALSE)</f>
        <v>#N/A</v>
      </c>
      <c r="V101" s="11" t="e">
        <f t="shared" si="4"/>
        <v>#N/A</v>
      </c>
      <c r="W101" s="11" t="e">
        <f t="shared" si="5"/>
        <v>#N/A</v>
      </c>
      <c r="X101" s="11">
        <f>IF(VLOOKUP($H101, SeanRanks!$A$2:$H$303, 7, FALSE)=0, "", VLOOKUP($H101, SeanRanks!$A$2:$H$303, 7, FALSE))</f>
        <v>31</v>
      </c>
    </row>
    <row r="102" spans="1:24" ht="14.25" customHeight="1" x14ac:dyDescent="0.25">
      <c r="A102" s="11"/>
      <c r="B102" s="11" t="e">
        <f t="shared" si="0"/>
        <v>#N/A</v>
      </c>
      <c r="C102" s="11" t="s">
        <v>119</v>
      </c>
      <c r="D102" s="11">
        <v>1</v>
      </c>
      <c r="E102" s="11">
        <v>1</v>
      </c>
      <c r="F102" s="11">
        <f t="shared" si="1"/>
        <v>0</v>
      </c>
      <c r="G102" s="11"/>
      <c r="H102" s="11" t="s">
        <v>1210</v>
      </c>
      <c r="I102" s="11" t="e">
        <f>VLOOKUP($H102, 'ADP Data'!$B$4:$Q$300, 2, FALSE)</f>
        <v>#N/A</v>
      </c>
      <c r="J102" s="11" t="s">
        <v>762</v>
      </c>
      <c r="K102" s="11" t="e">
        <f>VLOOKUP($H102, SeanRanks!$A$2:$H$303, 5, FALSE)</f>
        <v>#N/A</v>
      </c>
      <c r="L102" s="11" t="e">
        <f>IF(VLOOKUP($H102, SeanRanks!$A$2:$H$303, 6, FALSE)=0, "", VLOOKUP($H102, SeanRanks!$A$2:$H$303, 6, FALSE))</f>
        <v>#N/A</v>
      </c>
      <c r="M102" s="11">
        <f t="shared" si="2"/>
        <v>16</v>
      </c>
      <c r="N102" s="11" t="e">
        <f>VLOOKUP($H102, 'ADP Data'!$B$4:$Q$300, 10, FALSE)</f>
        <v>#N/A</v>
      </c>
      <c r="O102" s="11" t="e">
        <f>VLOOKUP($H102, 'ADP Data'!$B$4:$Q$300, 4, FALSE)</f>
        <v>#N/A</v>
      </c>
      <c r="P102" s="11" t="e">
        <f t="shared" si="3"/>
        <v>#N/A</v>
      </c>
      <c r="Q102" s="11" t="e">
        <f>VLOOKUP($H102, 'ADP Data'!$B$4:$Q$300, 5, FALSE)</f>
        <v>#N/A</v>
      </c>
      <c r="R102" s="11" t="e">
        <f>VLOOKUP($H102, 'ADP Data'!$B$4:$Q$300, 6, FALSE)</f>
        <v>#N/A</v>
      </c>
      <c r="S102" s="11" t="e">
        <f>VLOOKUP($H102, 'ADP Data'!$B$4:$Q$300, 7, FALSE)</f>
        <v>#N/A</v>
      </c>
      <c r="T102" s="11" t="e">
        <f>VLOOKUP($H102, 'ADP Data'!$B$4:$Q$300, 8, FALSE)</f>
        <v>#N/A</v>
      </c>
      <c r="U102" s="11" t="e">
        <f>VLOOKUP($H102, 'ADP Data'!$B$4:$Q$300, 9, FALSE)</f>
        <v>#N/A</v>
      </c>
      <c r="V102" s="11" t="e">
        <f t="shared" si="4"/>
        <v>#N/A</v>
      </c>
      <c r="W102" s="11" t="e">
        <f t="shared" si="5"/>
        <v>#N/A</v>
      </c>
      <c r="X102" s="11" t="e">
        <f>IF(VLOOKUP($H102, SeanRanks!$A$2:$H$303, 7, FALSE)=0, "", VLOOKUP($H102, SeanRanks!$A$2:$H$303, 7, FALSE))</f>
        <v>#N/A</v>
      </c>
    </row>
    <row r="103" spans="1:24" ht="14.25" customHeight="1" x14ac:dyDescent="0.25">
      <c r="A103" s="11"/>
      <c r="B103" s="11" t="e">
        <f t="shared" si="0"/>
        <v>#N/A</v>
      </c>
      <c r="C103" s="11" t="s">
        <v>119</v>
      </c>
      <c r="D103" s="11">
        <v>6</v>
      </c>
      <c r="E103" s="11">
        <v>1</v>
      </c>
      <c r="F103" s="11">
        <f t="shared" si="1"/>
        <v>5</v>
      </c>
      <c r="G103" s="11"/>
      <c r="H103" s="11" t="s">
        <v>118</v>
      </c>
      <c r="I103" s="11" t="e">
        <f>VLOOKUP($H103, 'ADP Data'!$B$4:$Q$300, 2, FALSE)</f>
        <v>#N/A</v>
      </c>
      <c r="J103" s="11" t="s">
        <v>764</v>
      </c>
      <c r="K103" s="11" t="str">
        <f>VLOOKUP($H103, SeanRanks!$A$2:$H$303, 5, FALSE)</f>
        <v>Yes</v>
      </c>
      <c r="L103" s="11" t="str">
        <f>IF(VLOOKUP($H103, SeanRanks!$A$2:$H$303, 6, FALSE)=0, "", VLOOKUP($H103, SeanRanks!$A$2:$H$303, 6, FALSE))</f>
        <v>WR2 - 2 - Upside with risk</v>
      </c>
      <c r="M103" s="11">
        <f t="shared" si="2"/>
        <v>16</v>
      </c>
      <c r="N103" s="11" t="e">
        <f>VLOOKUP($H103, 'ADP Data'!$B$4:$Q$300, 10, FALSE)</f>
        <v>#N/A</v>
      </c>
      <c r="O103" s="11" t="e">
        <f>VLOOKUP($H103, 'ADP Data'!$B$4:$Q$300, 4, FALSE)</f>
        <v>#N/A</v>
      </c>
      <c r="P103" s="11" t="e">
        <f t="shared" si="3"/>
        <v>#N/A</v>
      </c>
      <c r="Q103" s="11" t="e">
        <f>VLOOKUP($H103, 'ADP Data'!$B$4:$Q$300, 5, FALSE)</f>
        <v>#N/A</v>
      </c>
      <c r="R103" s="11" t="e">
        <f>VLOOKUP($H103, 'ADP Data'!$B$4:$Q$300, 6, FALSE)</f>
        <v>#N/A</v>
      </c>
      <c r="S103" s="11" t="e">
        <f>VLOOKUP($H103, 'ADP Data'!$B$4:$Q$300, 7, FALSE)</f>
        <v>#N/A</v>
      </c>
      <c r="T103" s="11" t="e">
        <f>VLOOKUP($H103, 'ADP Data'!$B$4:$Q$300, 8, FALSE)</f>
        <v>#N/A</v>
      </c>
      <c r="U103" s="11" t="e">
        <f>VLOOKUP($H103, 'ADP Data'!$B$4:$Q$300, 9, FALSE)</f>
        <v>#N/A</v>
      </c>
      <c r="V103" s="11" t="e">
        <f t="shared" si="4"/>
        <v>#N/A</v>
      </c>
      <c r="W103" s="11" t="e">
        <f t="shared" si="5"/>
        <v>#N/A</v>
      </c>
      <c r="X103" s="11">
        <f>IF(VLOOKUP($H103, SeanRanks!$A$2:$H$303, 7, FALSE)=0, "", VLOOKUP($H103, SeanRanks!$A$2:$H$303, 7, FALSE))</f>
        <v>21</v>
      </c>
    </row>
    <row r="104" spans="1:24" ht="14.25" customHeight="1" x14ac:dyDescent="0.25">
      <c r="A104" s="11"/>
      <c r="B104" s="11" t="e">
        <f t="shared" si="0"/>
        <v>#N/A</v>
      </c>
      <c r="C104" s="11" t="s">
        <v>119</v>
      </c>
      <c r="D104" s="11">
        <v>8</v>
      </c>
      <c r="E104" s="11">
        <v>1</v>
      </c>
      <c r="F104" s="11">
        <f t="shared" si="1"/>
        <v>7</v>
      </c>
      <c r="G104" s="11"/>
      <c r="H104" s="11" t="s">
        <v>172</v>
      </c>
      <c r="I104" s="11" t="e">
        <f>VLOOKUP($H104, 'ADP Data'!$B$4:$Q$300, 2, FALSE)</f>
        <v>#N/A</v>
      </c>
      <c r="J104" s="11" t="s">
        <v>762</v>
      </c>
      <c r="K104" s="11" t="str">
        <f>VLOOKUP($H104, SeanRanks!$A$2:$H$303, 5, FALSE)</f>
        <v>No</v>
      </c>
      <c r="L104" s="11" t="str">
        <f>IF(VLOOKUP($H104, SeanRanks!$A$2:$H$303, 6, FALSE)=0, "", VLOOKUP($H104, SeanRanks!$A$2:$H$303, 6, FALSE))</f>
        <v>RB2 - 2 - Path to spikes</v>
      </c>
      <c r="M104" s="11">
        <f t="shared" si="2"/>
        <v>16</v>
      </c>
      <c r="N104" s="11" t="e">
        <f>VLOOKUP($H104, 'ADP Data'!$B$4:$Q$300, 10, FALSE)</f>
        <v>#N/A</v>
      </c>
      <c r="O104" s="11" t="e">
        <f>VLOOKUP($H104, 'ADP Data'!$B$4:$Q$300, 4, FALSE)</f>
        <v>#N/A</v>
      </c>
      <c r="P104" s="11" t="e">
        <f t="shared" si="3"/>
        <v>#N/A</v>
      </c>
      <c r="Q104" s="11" t="e">
        <f>VLOOKUP($H104, 'ADP Data'!$B$4:$Q$300, 5, FALSE)</f>
        <v>#N/A</v>
      </c>
      <c r="R104" s="11" t="e">
        <f>VLOOKUP($H104, 'ADP Data'!$B$4:$Q$300, 6, FALSE)</f>
        <v>#N/A</v>
      </c>
      <c r="S104" s="11" t="e">
        <f>VLOOKUP($H104, 'ADP Data'!$B$4:$Q$300, 7, FALSE)</f>
        <v>#N/A</v>
      </c>
      <c r="T104" s="11" t="e">
        <f>VLOOKUP($H104, 'ADP Data'!$B$4:$Q$300, 8, FALSE)</f>
        <v>#N/A</v>
      </c>
      <c r="U104" s="11" t="e">
        <f>VLOOKUP($H104, 'ADP Data'!$B$4:$Q$300, 9, FALSE)</f>
        <v>#N/A</v>
      </c>
      <c r="V104" s="11" t="e">
        <f t="shared" si="4"/>
        <v>#N/A</v>
      </c>
      <c r="W104" s="11" t="e">
        <f t="shared" si="5"/>
        <v>#N/A</v>
      </c>
      <c r="X104" s="11">
        <f>IF(VLOOKUP($H104, SeanRanks!$A$2:$H$303, 7, FALSE)=0, "", VLOOKUP($H104, SeanRanks!$A$2:$H$303, 7, FALSE))</f>
        <v>26</v>
      </c>
    </row>
    <row r="105" spans="1:24" ht="14.25" customHeight="1" x14ac:dyDescent="0.25">
      <c r="A105" s="11"/>
      <c r="B105" s="11" t="e">
        <f t="shared" si="0"/>
        <v>#N/A</v>
      </c>
      <c r="C105" s="11" t="s">
        <v>119</v>
      </c>
      <c r="D105" s="11">
        <v>1</v>
      </c>
      <c r="E105" s="11">
        <v>4</v>
      </c>
      <c r="F105" s="11">
        <f t="shared" si="1"/>
        <v>-3</v>
      </c>
      <c r="G105" s="11"/>
      <c r="H105" s="11" t="s">
        <v>254</v>
      </c>
      <c r="I105" s="11" t="e">
        <f>VLOOKUP($H105, 'ADP Data'!$B$4:$Q$300, 2, FALSE)</f>
        <v>#N/A</v>
      </c>
      <c r="J105" s="11" t="s">
        <v>760</v>
      </c>
      <c r="K105" s="11">
        <f>VLOOKUP($H105, SeanRanks!$A$2:$H$303, 5, FALSE)</f>
        <v>0</v>
      </c>
      <c r="L105" s="11" t="str">
        <f>IF(VLOOKUP($H105, SeanRanks!$A$2:$H$303, 6, FALSE)=0, "", VLOOKUP($H105, SeanRanks!$A$2:$H$303, 6, FALSE))</f>
        <v>QB1 - 4 - Weekly Start</v>
      </c>
      <c r="M105" s="11">
        <f t="shared" si="2"/>
        <v>16</v>
      </c>
      <c r="N105" s="11" t="e">
        <f>VLOOKUP($H105, 'ADP Data'!$B$4:$Q$300, 10, FALSE)</f>
        <v>#N/A</v>
      </c>
      <c r="O105" s="11" t="e">
        <f>VLOOKUP($H105, 'ADP Data'!$B$4:$Q$300, 4, FALSE)</f>
        <v>#N/A</v>
      </c>
      <c r="P105" s="11" t="e">
        <f t="shared" si="3"/>
        <v>#N/A</v>
      </c>
      <c r="Q105" s="11" t="e">
        <f>VLOOKUP($H105, 'ADP Data'!$B$4:$Q$300, 5, FALSE)</f>
        <v>#N/A</v>
      </c>
      <c r="R105" s="11" t="e">
        <f>VLOOKUP($H105, 'ADP Data'!$B$4:$Q$300, 6, FALSE)</f>
        <v>#N/A</v>
      </c>
      <c r="S105" s="11" t="e">
        <f>VLOOKUP($H105, 'ADP Data'!$B$4:$Q$300, 7, FALSE)</f>
        <v>#N/A</v>
      </c>
      <c r="T105" s="11" t="e">
        <f>VLOOKUP($H105, 'ADP Data'!$B$4:$Q$300, 8, FALSE)</f>
        <v>#N/A</v>
      </c>
      <c r="U105" s="11" t="e">
        <f>VLOOKUP($H105, 'ADP Data'!$B$4:$Q$300, 9, FALSE)</f>
        <v>#N/A</v>
      </c>
      <c r="V105" s="11" t="e">
        <f t="shared" si="4"/>
        <v>#N/A</v>
      </c>
      <c r="W105" s="11" t="e">
        <f t="shared" si="5"/>
        <v>#N/A</v>
      </c>
      <c r="X105" s="11">
        <f>IF(VLOOKUP($H105, SeanRanks!$A$2:$H$303, 7, FALSE)=0, "", VLOOKUP($H105, SeanRanks!$A$2:$H$303, 7, FALSE))</f>
        <v>11</v>
      </c>
    </row>
    <row r="106" spans="1:24" ht="14.25" customHeight="1" x14ac:dyDescent="0.25">
      <c r="A106" s="11"/>
      <c r="B106" s="11" t="e">
        <f t="shared" si="0"/>
        <v>#N/A</v>
      </c>
      <c r="C106" s="11" t="s">
        <v>119</v>
      </c>
      <c r="D106" s="11">
        <v>1</v>
      </c>
      <c r="E106" s="11">
        <v>5</v>
      </c>
      <c r="F106" s="11">
        <f t="shared" si="1"/>
        <v>-4</v>
      </c>
      <c r="G106" s="11" t="s">
        <v>1110</v>
      </c>
      <c r="H106" s="11" t="s">
        <v>813</v>
      </c>
      <c r="I106" s="80" t="e">
        <f>VLOOKUP($H106, 'ADP Data'!$B$4:$Q$300, 2, FALSE)</f>
        <v>#N/A</v>
      </c>
      <c r="J106" s="11" t="s">
        <v>760</v>
      </c>
      <c r="K106" s="11">
        <f>VLOOKUP($H106, SeanRanks!$A$2:$H$303, 5, FALSE)</f>
        <v>0</v>
      </c>
      <c r="L106" s="11" t="str">
        <f>IF(VLOOKUP($H106, SeanRanks!$A$2:$H$303, 6, FALSE)=0, "", VLOOKUP($H106, SeanRanks!$A$2:$H$303, 6, FALSE))</f>
        <v>QB3 - League Winner?</v>
      </c>
      <c r="M106" s="11">
        <f t="shared" si="2"/>
        <v>16</v>
      </c>
      <c r="N106" s="11" t="e">
        <f>VLOOKUP($H106, 'ADP Data'!$B$4:$Q$300, 10, FALSE)</f>
        <v>#N/A</v>
      </c>
      <c r="O106" s="11" t="e">
        <f>VLOOKUP($H106, 'ADP Data'!$B$4:$Q$300, 4, FALSE)</f>
        <v>#N/A</v>
      </c>
      <c r="P106" s="11" t="e">
        <f t="shared" si="3"/>
        <v>#N/A</v>
      </c>
      <c r="Q106" s="11" t="e">
        <f>VLOOKUP($H106, 'ADP Data'!$B$4:$Q$300, 5, FALSE)</f>
        <v>#N/A</v>
      </c>
      <c r="R106" s="11" t="e">
        <f>VLOOKUP($H106, 'ADP Data'!$B$4:$Q$300, 6, FALSE)</f>
        <v>#N/A</v>
      </c>
      <c r="S106" s="11" t="e">
        <f>VLOOKUP($H106, 'ADP Data'!$B$4:$Q$300, 7, FALSE)</f>
        <v>#N/A</v>
      </c>
      <c r="T106" s="11" t="e">
        <f>VLOOKUP($H106, 'ADP Data'!$B$4:$Q$300, 8, FALSE)</f>
        <v>#N/A</v>
      </c>
      <c r="U106" s="11" t="e">
        <f>VLOOKUP($H106, 'ADP Data'!$B$4:$Q$300, 9, FALSE)</f>
        <v>#N/A</v>
      </c>
      <c r="V106" s="11" t="e">
        <f t="shared" si="4"/>
        <v>#N/A</v>
      </c>
      <c r="W106" s="11" t="e">
        <f t="shared" si="5"/>
        <v>#N/A</v>
      </c>
      <c r="X106" s="11" t="str">
        <f>IF(VLOOKUP($H106, SeanRanks!$A$2:$H$303, 7, FALSE)=0, "", VLOOKUP($H106, SeanRanks!$A$2:$H$303, 7, FALSE))</f>
        <v/>
      </c>
    </row>
    <row r="107" spans="1:24" ht="14.25" customHeight="1" x14ac:dyDescent="0.25">
      <c r="A107" s="11"/>
      <c r="B107" s="11" t="e">
        <f t="shared" si="0"/>
        <v>#N/A</v>
      </c>
      <c r="C107" s="11" t="s">
        <v>148</v>
      </c>
      <c r="D107" s="11"/>
      <c r="E107" s="11">
        <v>5</v>
      </c>
      <c r="F107" s="11">
        <f t="shared" si="1"/>
        <v>-5</v>
      </c>
      <c r="G107" s="11" t="s">
        <v>148</v>
      </c>
      <c r="H107" s="11" t="s">
        <v>588</v>
      </c>
      <c r="I107" s="11" t="e">
        <f>VLOOKUP($H107, 'ADP Data'!$B$4:$Q$300, 2, FALSE)</f>
        <v>#N/A</v>
      </c>
      <c r="J107" s="11" t="s">
        <v>760</v>
      </c>
      <c r="K107" s="11">
        <f>VLOOKUP($H107, SeanRanks!$A$2:$H$303, 5, FALSE)</f>
        <v>0</v>
      </c>
      <c r="L107" s="11" t="str">
        <f>IF(VLOOKUP($H107, SeanRanks!$A$2:$H$303, 6, FALSE)=0, "", VLOOKUP($H107, SeanRanks!$A$2:$H$303, 6, FALSE))</f>
        <v>Don’t Draft - Streamer</v>
      </c>
      <c r="M107" s="11">
        <f t="shared" si="2"/>
        <v>16</v>
      </c>
      <c r="N107" s="11" t="e">
        <f>VLOOKUP($H107, 'ADP Data'!$B$4:$Q$300, 10, FALSE)</f>
        <v>#N/A</v>
      </c>
      <c r="O107" s="11" t="e">
        <f>VLOOKUP($H107, 'ADP Data'!$B$4:$Q$300, 4, FALSE)</f>
        <v>#N/A</v>
      </c>
      <c r="P107" s="11" t="e">
        <f t="shared" si="3"/>
        <v>#N/A</v>
      </c>
      <c r="Q107" s="11" t="e">
        <f>VLOOKUP($H107, 'ADP Data'!$B$4:$Q$300, 5, FALSE)</f>
        <v>#N/A</v>
      </c>
      <c r="R107" s="11" t="e">
        <f>VLOOKUP($H107, 'ADP Data'!$B$4:$Q$300, 6, FALSE)</f>
        <v>#N/A</v>
      </c>
      <c r="S107" s="11" t="e">
        <f>VLOOKUP($H107, 'ADP Data'!$B$4:$Q$300, 7, FALSE)</f>
        <v>#N/A</v>
      </c>
      <c r="T107" s="11" t="e">
        <f>VLOOKUP($H107, 'ADP Data'!$B$4:$Q$300, 8, FALSE)</f>
        <v>#N/A</v>
      </c>
      <c r="U107" s="11" t="e">
        <f>VLOOKUP($H107, 'ADP Data'!$B$4:$Q$300, 9, FALSE)</f>
        <v>#N/A</v>
      </c>
      <c r="V107" s="11" t="e">
        <f t="shared" si="4"/>
        <v>#N/A</v>
      </c>
      <c r="W107" s="11" t="e">
        <f t="shared" si="5"/>
        <v>#N/A</v>
      </c>
      <c r="X107" s="11" t="str">
        <f>IF(VLOOKUP($H107, SeanRanks!$A$2:$H$303, 7, FALSE)=0, "", VLOOKUP($H107, SeanRanks!$A$2:$H$303, 7, FALSE))</f>
        <v/>
      </c>
    </row>
    <row r="108" spans="1:24" ht="14.25" customHeight="1" x14ac:dyDescent="0.25">
      <c r="A108" s="11"/>
      <c r="B108" s="11" t="e">
        <f t="shared" si="0"/>
        <v>#N/A</v>
      </c>
      <c r="C108" s="11" t="s">
        <v>148</v>
      </c>
      <c r="D108" s="11"/>
      <c r="E108" s="11"/>
      <c r="F108" s="11">
        <f t="shared" si="1"/>
        <v>0</v>
      </c>
      <c r="G108" s="11"/>
      <c r="H108" s="11" t="s">
        <v>916</v>
      </c>
      <c r="I108" s="11" t="e">
        <f>VLOOKUP($H108, 'ADP Data'!$B$4:$Q$300, 2, FALSE)</f>
        <v>#N/A</v>
      </c>
      <c r="J108" s="11" t="s">
        <v>764</v>
      </c>
      <c r="K108" s="11" t="e">
        <f>VLOOKUP($H108, SeanRanks!$A$2:$H$303, 5, FALSE)</f>
        <v>#N/A</v>
      </c>
      <c r="L108" s="11" t="e">
        <f>IF(VLOOKUP($H108, SeanRanks!$A$2:$H$303, 6, FALSE)=0, "", VLOOKUP($H108, SeanRanks!$A$2:$H$303, 6, FALSE))</f>
        <v>#N/A</v>
      </c>
      <c r="M108" s="11">
        <f t="shared" si="2"/>
        <v>16</v>
      </c>
      <c r="N108" s="11" t="e">
        <f>VLOOKUP($H108, 'ADP Data'!$B$4:$Q$300, 10, FALSE)</f>
        <v>#N/A</v>
      </c>
      <c r="O108" s="11" t="e">
        <f>VLOOKUP($H108, 'ADP Data'!$B$4:$Q$300, 4, FALSE)</f>
        <v>#N/A</v>
      </c>
      <c r="P108" s="11" t="e">
        <f t="shared" si="3"/>
        <v>#N/A</v>
      </c>
      <c r="Q108" s="11" t="e">
        <f>VLOOKUP($H108, 'ADP Data'!$B$4:$Q$300, 5, FALSE)</f>
        <v>#N/A</v>
      </c>
      <c r="R108" s="11" t="e">
        <f>VLOOKUP($H108, 'ADP Data'!$B$4:$Q$300, 6, FALSE)</f>
        <v>#N/A</v>
      </c>
      <c r="S108" s="11" t="e">
        <f>VLOOKUP($H108, 'ADP Data'!$B$4:$Q$300, 7, FALSE)</f>
        <v>#N/A</v>
      </c>
      <c r="T108" s="11" t="e">
        <f>VLOOKUP($H108, 'ADP Data'!$B$4:$Q$300, 8, FALSE)</f>
        <v>#N/A</v>
      </c>
      <c r="U108" s="11" t="e">
        <f>VLOOKUP($H108, 'ADP Data'!$B$4:$Q$300, 9, FALSE)</f>
        <v>#N/A</v>
      </c>
      <c r="V108" s="11" t="e">
        <f t="shared" si="4"/>
        <v>#N/A</v>
      </c>
      <c r="W108" s="11" t="e">
        <f t="shared" si="5"/>
        <v>#N/A</v>
      </c>
      <c r="X108" s="11" t="e">
        <f>IF(VLOOKUP($H108, SeanRanks!$A$2:$H$303, 7, FALSE)=0, "", VLOOKUP($H108, SeanRanks!$A$2:$H$303, 7, FALSE))</f>
        <v>#N/A</v>
      </c>
    </row>
    <row r="109" spans="1:24" ht="14.25" customHeight="1" x14ac:dyDescent="0.25">
      <c r="A109" s="11"/>
      <c r="B109" s="11" t="e">
        <f t="shared" si="0"/>
        <v>#N/A</v>
      </c>
      <c r="C109" s="11" t="s">
        <v>119</v>
      </c>
      <c r="D109" s="11">
        <v>2</v>
      </c>
      <c r="E109" s="11">
        <v>0</v>
      </c>
      <c r="F109" s="11">
        <f t="shared" si="1"/>
        <v>2</v>
      </c>
      <c r="G109" s="11" t="s">
        <v>1110</v>
      </c>
      <c r="H109" s="11" t="s">
        <v>987</v>
      </c>
      <c r="I109" s="11" t="e">
        <f>VLOOKUP($H109, 'ADP Data'!$B$4:$Q$300, 2, FALSE)</f>
        <v>#N/A</v>
      </c>
      <c r="J109" s="11" t="s">
        <v>764</v>
      </c>
      <c r="K109" s="11" t="e">
        <f>VLOOKUP($H109, SeanRanks!$A$2:$H$303, 5, FALSE)</f>
        <v>#N/A</v>
      </c>
      <c r="L109" s="11" t="e">
        <f>IF(VLOOKUP($H109, SeanRanks!$A$2:$H$303, 6, FALSE)=0, "", VLOOKUP($H109, SeanRanks!$A$2:$H$303, 6, FALSE))</f>
        <v>#N/A</v>
      </c>
      <c r="M109" s="11">
        <f t="shared" si="2"/>
        <v>16</v>
      </c>
      <c r="N109" s="11" t="e">
        <f>VLOOKUP($H109, 'ADP Data'!$B$4:$Q$300, 10, FALSE)</f>
        <v>#N/A</v>
      </c>
      <c r="O109" s="11" t="e">
        <f>VLOOKUP($H109, 'ADP Data'!$B$4:$Q$300, 4, FALSE)</f>
        <v>#N/A</v>
      </c>
      <c r="P109" s="11" t="e">
        <f t="shared" si="3"/>
        <v>#N/A</v>
      </c>
      <c r="Q109" s="11" t="e">
        <f>VLOOKUP($H109, 'ADP Data'!$B$4:$Q$300, 5, FALSE)</f>
        <v>#N/A</v>
      </c>
      <c r="R109" s="11" t="e">
        <f>VLOOKUP($H109, 'ADP Data'!$B$4:$Q$300, 6, FALSE)</f>
        <v>#N/A</v>
      </c>
      <c r="S109" s="11" t="e">
        <f>VLOOKUP($H109, 'ADP Data'!$B$4:$Q$300, 7, FALSE)</f>
        <v>#N/A</v>
      </c>
      <c r="T109" s="11" t="e">
        <f>VLOOKUP($H109, 'ADP Data'!$B$4:$Q$300, 8, FALSE)</f>
        <v>#N/A</v>
      </c>
      <c r="U109" s="11" t="e">
        <f>VLOOKUP($H109, 'ADP Data'!$B$4:$Q$300, 9, FALSE)</f>
        <v>#N/A</v>
      </c>
      <c r="V109" s="11" t="e">
        <f t="shared" si="4"/>
        <v>#N/A</v>
      </c>
      <c r="W109" s="11" t="e">
        <f t="shared" si="5"/>
        <v>#N/A</v>
      </c>
      <c r="X109" s="11" t="e">
        <f>IF(VLOOKUP($H109, SeanRanks!$A$2:$H$303, 7, FALSE)=0, "", VLOOKUP($H109, SeanRanks!$A$2:$H$303, 7, FALSE))</f>
        <v>#N/A</v>
      </c>
    </row>
    <row r="110" spans="1:24" ht="14.25" customHeight="1" x14ac:dyDescent="0.25">
      <c r="A110" s="11"/>
      <c r="B110" s="11">
        <v>12</v>
      </c>
      <c r="C110" s="11" t="s">
        <v>119</v>
      </c>
      <c r="D110" s="11">
        <v>1</v>
      </c>
      <c r="E110" s="11"/>
      <c r="F110" s="11">
        <f t="shared" si="1"/>
        <v>1</v>
      </c>
      <c r="G110" s="11"/>
      <c r="H110" s="11" t="s">
        <v>971</v>
      </c>
      <c r="I110" s="11" t="e">
        <f>VLOOKUP($H110, 'ADP Data'!$B$4:$Q$300, 2, FALSE)</f>
        <v>#N/A</v>
      </c>
      <c r="J110" s="11" t="s">
        <v>764</v>
      </c>
      <c r="K110" s="11">
        <f>VLOOKUP($H110, SeanRanks!$A$2:$H$303, 5, FALSE)</f>
        <v>0</v>
      </c>
      <c r="L110" s="11" t="str">
        <f>IF(VLOOKUP($H110, SeanRanks!$A$2:$H$303, 6, FALSE)=0, "", VLOOKUP($H110, SeanRanks!$A$2:$H$303, 6, FALSE))</f>
        <v/>
      </c>
      <c r="M110" s="11">
        <f t="shared" si="2"/>
        <v>16</v>
      </c>
      <c r="N110" s="11" t="e">
        <f>VLOOKUP($H110, 'ADP Data'!$B$4:$Q$300, 10, FALSE)</f>
        <v>#N/A</v>
      </c>
      <c r="O110" s="11" t="e">
        <f>VLOOKUP($H110, 'ADP Data'!$B$4:$Q$300, 4, FALSE)</f>
        <v>#N/A</v>
      </c>
      <c r="P110" s="11" t="e">
        <f t="shared" si="3"/>
        <v>#N/A</v>
      </c>
      <c r="Q110" s="11" t="e">
        <f>VLOOKUP($H110, 'ADP Data'!$B$4:$Q$300, 5, FALSE)</f>
        <v>#N/A</v>
      </c>
      <c r="R110" s="11" t="e">
        <f>VLOOKUP($H110, 'ADP Data'!$B$4:$Q$300, 6, FALSE)</f>
        <v>#N/A</v>
      </c>
      <c r="S110" s="11" t="e">
        <f>VLOOKUP($H110, 'ADP Data'!$B$4:$Q$300, 7, FALSE)</f>
        <v>#N/A</v>
      </c>
      <c r="T110" s="11" t="e">
        <f>VLOOKUP($H110, 'ADP Data'!$B$4:$Q$300, 8, FALSE)</f>
        <v>#N/A</v>
      </c>
      <c r="U110" s="11" t="e">
        <f>VLOOKUP($H110, 'ADP Data'!$B$4:$Q$300, 9, FALSE)</f>
        <v>#N/A</v>
      </c>
      <c r="V110" s="11" t="e">
        <f t="shared" si="4"/>
        <v>#N/A</v>
      </c>
      <c r="W110" s="11" t="e">
        <f t="shared" si="5"/>
        <v>#N/A</v>
      </c>
      <c r="X110" s="11" t="str">
        <f>IF(VLOOKUP($H110, SeanRanks!$A$2:$H$303, 7, FALSE)=0, "", VLOOKUP($H110, SeanRanks!$A$2:$H$303, 7, FALSE))</f>
        <v/>
      </c>
    </row>
    <row r="111" spans="1:24" ht="14.25" customHeight="1" x14ac:dyDescent="0.25">
      <c r="A111" s="11"/>
      <c r="B111" s="11" t="e">
        <f t="shared" ref="B111:B307" si="6">IFERROR(INT(AVERAGE(Q111:U111)/12)+1, INT(AVERAGE(N111)/12)+1)</f>
        <v>#N/A</v>
      </c>
      <c r="C111" s="11" t="s">
        <v>148</v>
      </c>
      <c r="D111" s="11"/>
      <c r="E111" s="11"/>
      <c r="F111" s="11">
        <f t="shared" si="1"/>
        <v>0</v>
      </c>
      <c r="G111" s="11"/>
      <c r="H111" s="11" t="s">
        <v>572</v>
      </c>
      <c r="I111" s="11" t="e">
        <f>VLOOKUP($H111, 'ADP Data'!$B$4:$Q$300, 2, FALSE)</f>
        <v>#N/A</v>
      </c>
      <c r="J111" s="11" t="s">
        <v>764</v>
      </c>
      <c r="K111" s="11">
        <f>VLOOKUP($H111, SeanRanks!$A$2:$H$303, 5, FALSE)</f>
        <v>0</v>
      </c>
      <c r="L111" s="11" t="str">
        <f>IF(VLOOKUP($H111, SeanRanks!$A$2:$H$303, 6, FALSE)=0, "", VLOOKUP($H111, SeanRanks!$A$2:$H$303, 6, FALSE))</f>
        <v>WR5 - 1 - upside path</v>
      </c>
      <c r="M111" s="11">
        <f t="shared" si="2"/>
        <v>16</v>
      </c>
      <c r="N111" s="11" t="e">
        <f>VLOOKUP($H111, 'ADP Data'!$B$4:$Q$300, 10, FALSE)</f>
        <v>#N/A</v>
      </c>
      <c r="O111" s="11" t="e">
        <f>VLOOKUP($H111, 'ADP Data'!$B$4:$Q$300, 4, FALSE)</f>
        <v>#N/A</v>
      </c>
      <c r="P111" s="11" t="e">
        <f t="shared" si="3"/>
        <v>#N/A</v>
      </c>
      <c r="Q111" s="11" t="e">
        <f>VLOOKUP($H111, 'ADP Data'!$B$4:$Q$300, 5, FALSE)</f>
        <v>#N/A</v>
      </c>
      <c r="R111" s="11" t="e">
        <f>VLOOKUP($H111, 'ADP Data'!$B$4:$Q$300, 6, FALSE)</f>
        <v>#N/A</v>
      </c>
      <c r="S111" s="11" t="e">
        <f>VLOOKUP($H111, 'ADP Data'!$B$4:$Q$300, 7, FALSE)</f>
        <v>#N/A</v>
      </c>
      <c r="T111" s="11" t="e">
        <f>VLOOKUP($H111, 'ADP Data'!$B$4:$Q$300, 8, FALSE)</f>
        <v>#N/A</v>
      </c>
      <c r="U111" s="11" t="e">
        <f>VLOOKUP($H111, 'ADP Data'!$B$4:$Q$300, 9, FALSE)</f>
        <v>#N/A</v>
      </c>
      <c r="V111" s="11" t="e">
        <f t="shared" si="4"/>
        <v>#N/A</v>
      </c>
      <c r="W111" s="11" t="e">
        <f t="shared" si="5"/>
        <v>#N/A</v>
      </c>
      <c r="X111" s="11">
        <f>IF(VLOOKUP($H111, SeanRanks!$A$2:$H$303, 7, FALSE)=0, "", VLOOKUP($H111, SeanRanks!$A$2:$H$303, 7, FALSE))</f>
        <v>52</v>
      </c>
    </row>
    <row r="112" spans="1:24" ht="14.25" customHeight="1" x14ac:dyDescent="0.25">
      <c r="A112" s="11"/>
      <c r="B112" s="11" t="e">
        <f t="shared" si="6"/>
        <v>#N/A</v>
      </c>
      <c r="C112" s="11" t="s">
        <v>148</v>
      </c>
      <c r="D112" s="11"/>
      <c r="E112" s="11">
        <v>1</v>
      </c>
      <c r="F112" s="11">
        <f t="shared" si="1"/>
        <v>-1</v>
      </c>
      <c r="G112" s="46" t="s">
        <v>1110</v>
      </c>
      <c r="H112" s="11" t="s">
        <v>399</v>
      </c>
      <c r="I112" s="80" t="e">
        <f>VLOOKUP($H112, 'ADP Data'!$B$4:$Q$300, 2, FALSE)</f>
        <v>#N/A</v>
      </c>
      <c r="J112" s="11" t="s">
        <v>762</v>
      </c>
      <c r="K112" s="11">
        <f>VLOOKUP($H112, SeanRanks!$A$2:$H$303, 5, FALSE)</f>
        <v>0</v>
      </c>
      <c r="L112" s="11" t="str">
        <f>IF(VLOOKUP($H112, SeanRanks!$A$2:$H$303, 6, FALSE)=0, "", VLOOKUP($H112, SeanRanks!$A$2:$H$303, 6, FALSE))</f>
        <v>RB4 - 1 - Path to spikes</v>
      </c>
      <c r="M112" s="11">
        <f t="shared" si="2"/>
        <v>16</v>
      </c>
      <c r="N112" s="11" t="e">
        <f>VLOOKUP($H112, 'ADP Data'!$B$4:$Q$300, 10, FALSE)</f>
        <v>#N/A</v>
      </c>
      <c r="O112" s="11" t="e">
        <f>VLOOKUP($H112, 'ADP Data'!$B$4:$Q$300, 4, FALSE)</f>
        <v>#N/A</v>
      </c>
      <c r="P112" s="11" t="e">
        <f t="shared" si="3"/>
        <v>#N/A</v>
      </c>
      <c r="Q112" s="11" t="e">
        <f>VLOOKUP($H112, 'ADP Data'!$B$4:$Q$300, 5, FALSE)</f>
        <v>#N/A</v>
      </c>
      <c r="R112" s="11" t="e">
        <f>VLOOKUP($H112, 'ADP Data'!$B$4:$Q$300, 6, FALSE)</f>
        <v>#N/A</v>
      </c>
      <c r="S112" s="11" t="e">
        <f>VLOOKUP($H112, 'ADP Data'!$B$4:$Q$300, 7, FALSE)</f>
        <v>#N/A</v>
      </c>
      <c r="T112" s="11" t="e">
        <f>VLOOKUP($H112, 'ADP Data'!$B$4:$Q$300, 8, FALSE)</f>
        <v>#N/A</v>
      </c>
      <c r="U112" s="11" t="e">
        <f>VLOOKUP($H112, 'ADP Data'!$B$4:$Q$300, 9, FALSE)</f>
        <v>#N/A</v>
      </c>
      <c r="V112" s="11" t="e">
        <f t="shared" si="4"/>
        <v>#N/A</v>
      </c>
      <c r="W112" s="11" t="e">
        <f t="shared" si="5"/>
        <v>#N/A</v>
      </c>
      <c r="X112" s="11">
        <f>IF(VLOOKUP($H112, SeanRanks!$A$2:$H$303, 7, FALSE)=0, "", VLOOKUP($H112, SeanRanks!$A$2:$H$303, 7, FALSE))</f>
        <v>38</v>
      </c>
    </row>
    <row r="113" spans="1:24" ht="14.25" customHeight="1" x14ac:dyDescent="0.25">
      <c r="A113" s="11"/>
      <c r="B113" s="11" t="e">
        <f t="shared" si="6"/>
        <v>#N/A</v>
      </c>
      <c r="C113" s="11" t="s">
        <v>119</v>
      </c>
      <c r="D113" s="11">
        <v>1</v>
      </c>
      <c r="E113" s="11">
        <v>1</v>
      </c>
      <c r="F113" s="11">
        <f t="shared" si="1"/>
        <v>0</v>
      </c>
      <c r="G113" s="11"/>
      <c r="H113" s="11" t="s">
        <v>627</v>
      </c>
      <c r="I113" s="58" t="e">
        <f>VLOOKUP($H113, 'ADP Data'!$B$4:$Q$300, 2, FALSE)</f>
        <v>#N/A</v>
      </c>
      <c r="J113" s="11" t="s">
        <v>760</v>
      </c>
      <c r="K113" s="11">
        <f>VLOOKUP($H113, SeanRanks!$A$2:$H$303, 5, FALSE)</f>
        <v>0</v>
      </c>
      <c r="L113" s="11" t="str">
        <f>IF(VLOOKUP($H113, SeanRanks!$A$2:$H$303, 6, FALSE)=0, "", VLOOKUP($H113, SeanRanks!$A$2:$H$303, 6, FALSE))</f>
        <v/>
      </c>
      <c r="M113" s="11">
        <f t="shared" si="2"/>
        <v>16</v>
      </c>
      <c r="N113" s="11" t="e">
        <f>VLOOKUP($H113, 'ADP Data'!$B$4:$Q$300, 10, FALSE)</f>
        <v>#N/A</v>
      </c>
      <c r="O113" s="11" t="e">
        <f>VLOOKUP($H113, 'ADP Data'!$B$4:$Q$300, 4, FALSE)</f>
        <v>#N/A</v>
      </c>
      <c r="P113" s="11" t="e">
        <f t="shared" si="3"/>
        <v>#N/A</v>
      </c>
      <c r="Q113" s="11" t="e">
        <f>VLOOKUP($H113, 'ADP Data'!$B$4:$Q$300, 5, FALSE)</f>
        <v>#N/A</v>
      </c>
      <c r="R113" s="11" t="e">
        <f>VLOOKUP($H113, 'ADP Data'!$B$4:$Q$300, 6, FALSE)</f>
        <v>#N/A</v>
      </c>
      <c r="S113" s="11" t="e">
        <f>VLOOKUP($H113, 'ADP Data'!$B$4:$Q$300, 7, FALSE)</f>
        <v>#N/A</v>
      </c>
      <c r="T113" s="11" t="e">
        <f>VLOOKUP($H113, 'ADP Data'!$B$4:$Q$300, 8, FALSE)</f>
        <v>#N/A</v>
      </c>
      <c r="U113" s="11" t="e">
        <f>VLOOKUP($H113, 'ADP Data'!$B$4:$Q$300, 9, FALSE)</f>
        <v>#N/A</v>
      </c>
      <c r="V113" s="11" t="e">
        <f t="shared" si="4"/>
        <v>#N/A</v>
      </c>
      <c r="W113" s="11" t="e">
        <f t="shared" si="5"/>
        <v>#N/A</v>
      </c>
      <c r="X113" s="11" t="str">
        <f>IF(VLOOKUP($H113, SeanRanks!$A$2:$H$303, 7, FALSE)=0, "", VLOOKUP($H113, SeanRanks!$A$2:$H$303, 7, FALSE))</f>
        <v/>
      </c>
    </row>
    <row r="114" spans="1:24" ht="14.25" customHeight="1" x14ac:dyDescent="0.25">
      <c r="A114" s="11" t="s">
        <v>1156</v>
      </c>
      <c r="B114" s="11" t="e">
        <f t="shared" si="6"/>
        <v>#N/A</v>
      </c>
      <c r="C114" s="11" t="s">
        <v>119</v>
      </c>
      <c r="D114" s="11">
        <v>3</v>
      </c>
      <c r="E114" s="11">
        <v>2</v>
      </c>
      <c r="F114" s="11">
        <f t="shared" si="1"/>
        <v>1</v>
      </c>
      <c r="G114" s="11" t="s">
        <v>148</v>
      </c>
      <c r="H114" s="11" t="s">
        <v>989</v>
      </c>
      <c r="I114" s="58" t="e">
        <f>VLOOKUP($H114, 'ADP Data'!$B$4:$Q$300, 2, FALSE)</f>
        <v>#N/A</v>
      </c>
      <c r="J114" s="11" t="s">
        <v>764</v>
      </c>
      <c r="K114" s="11" t="e">
        <f>VLOOKUP($H114, SeanRanks!$A$2:$H$303, 5, FALSE)</f>
        <v>#N/A</v>
      </c>
      <c r="L114" s="11" t="e">
        <f>IF(VLOOKUP($H114, SeanRanks!$A$2:$H$303, 6, FALSE)=0, "", VLOOKUP($H114, SeanRanks!$A$2:$H$303, 6, FALSE))</f>
        <v>#N/A</v>
      </c>
      <c r="M114" s="11">
        <f t="shared" si="2"/>
        <v>16</v>
      </c>
      <c r="N114" s="11" t="e">
        <f>VLOOKUP($H114, 'ADP Data'!$B$4:$Q$300, 10, FALSE)</f>
        <v>#N/A</v>
      </c>
      <c r="O114" s="11" t="e">
        <f>VLOOKUP($H114, 'ADP Data'!$B$4:$Q$300, 4, FALSE)</f>
        <v>#N/A</v>
      </c>
      <c r="P114" s="11" t="e">
        <f t="shared" si="3"/>
        <v>#N/A</v>
      </c>
      <c r="Q114" s="11" t="e">
        <f>VLOOKUP($H114, 'ADP Data'!$B$4:$Q$300, 5, FALSE)</f>
        <v>#N/A</v>
      </c>
      <c r="R114" s="11" t="e">
        <f>VLOOKUP($H114, 'ADP Data'!$B$4:$Q$300, 6, FALSE)</f>
        <v>#N/A</v>
      </c>
      <c r="S114" s="11" t="e">
        <f>VLOOKUP($H114, 'ADP Data'!$B$4:$Q$300, 7, FALSE)</f>
        <v>#N/A</v>
      </c>
      <c r="T114" s="11" t="e">
        <f>VLOOKUP($H114, 'ADP Data'!$B$4:$Q$300, 8, FALSE)</f>
        <v>#N/A</v>
      </c>
      <c r="U114" s="11" t="e">
        <f>VLOOKUP($H114, 'ADP Data'!$B$4:$Q$300, 9, FALSE)</f>
        <v>#N/A</v>
      </c>
      <c r="V114" s="11" t="e">
        <f t="shared" si="4"/>
        <v>#N/A</v>
      </c>
      <c r="W114" s="11" t="e">
        <f t="shared" si="5"/>
        <v>#N/A</v>
      </c>
      <c r="X114" s="11" t="e">
        <f>IF(VLOOKUP($H114, SeanRanks!$A$2:$H$303, 7, FALSE)=0, "", VLOOKUP($H114, SeanRanks!$A$2:$H$303, 7, FALSE))</f>
        <v>#N/A</v>
      </c>
    </row>
    <row r="115" spans="1:24" ht="14.25" customHeight="1" x14ac:dyDescent="0.25">
      <c r="A115" s="11" t="s">
        <v>1156</v>
      </c>
      <c r="B115" s="11" t="e">
        <f t="shared" si="6"/>
        <v>#N/A</v>
      </c>
      <c r="C115" s="11" t="s">
        <v>119</v>
      </c>
      <c r="D115" s="11">
        <v>3</v>
      </c>
      <c r="E115" s="11">
        <v>5</v>
      </c>
      <c r="F115" s="11">
        <f t="shared" si="1"/>
        <v>-2</v>
      </c>
      <c r="G115" s="46" t="s">
        <v>148</v>
      </c>
      <c r="H115" s="11" t="s">
        <v>1218</v>
      </c>
      <c r="I115" s="11" t="e">
        <f>VLOOKUP($H115, 'ADP Data'!$B$4:$Q$300, 2, FALSE)</f>
        <v>#N/A</v>
      </c>
      <c r="J115" s="11" t="s">
        <v>762</v>
      </c>
      <c r="K115" s="11" t="e">
        <f>VLOOKUP($H115, SeanRanks!$A$2:$H$303, 5, FALSE)</f>
        <v>#N/A</v>
      </c>
      <c r="L115" s="11" t="e">
        <f>IF(VLOOKUP($H115, SeanRanks!$A$2:$H$303, 6, FALSE)=0, "", VLOOKUP($H115, SeanRanks!$A$2:$H$303, 6, FALSE))</f>
        <v>#N/A</v>
      </c>
      <c r="M115" s="11">
        <f t="shared" si="2"/>
        <v>16</v>
      </c>
      <c r="N115" s="11" t="e">
        <f>VLOOKUP($H115, 'ADP Data'!$B$4:$Q$300, 10, FALSE)</f>
        <v>#N/A</v>
      </c>
      <c r="O115" s="11" t="e">
        <f>VLOOKUP($H115, 'ADP Data'!$B$4:$Q$300, 4, FALSE)</f>
        <v>#N/A</v>
      </c>
      <c r="P115" s="11" t="e">
        <f t="shared" si="3"/>
        <v>#N/A</v>
      </c>
      <c r="Q115" s="11" t="e">
        <f>VLOOKUP($H115, 'ADP Data'!$B$4:$Q$300, 5, FALSE)</f>
        <v>#N/A</v>
      </c>
      <c r="R115" s="11" t="e">
        <f>VLOOKUP($H115, 'ADP Data'!$B$4:$Q$300, 6, FALSE)</f>
        <v>#N/A</v>
      </c>
      <c r="S115" s="11" t="e">
        <f>VLOOKUP($H115, 'ADP Data'!$B$4:$Q$300, 7, FALSE)</f>
        <v>#N/A</v>
      </c>
      <c r="T115" s="11" t="e">
        <f>VLOOKUP($H115, 'ADP Data'!$B$4:$Q$300, 8, FALSE)</f>
        <v>#N/A</v>
      </c>
      <c r="U115" s="11" t="e">
        <f>VLOOKUP($H115, 'ADP Data'!$B$4:$Q$300, 9, FALSE)</f>
        <v>#N/A</v>
      </c>
      <c r="V115" s="11" t="e">
        <f t="shared" si="4"/>
        <v>#N/A</v>
      </c>
      <c r="W115" s="11" t="e">
        <f t="shared" si="5"/>
        <v>#N/A</v>
      </c>
      <c r="X115" s="11" t="e">
        <f>IF(VLOOKUP($H115, SeanRanks!$A$2:$H$303, 7, FALSE)=0, "", VLOOKUP($H115, SeanRanks!$A$2:$H$303, 7, FALSE))</f>
        <v>#N/A</v>
      </c>
    </row>
    <row r="116" spans="1:24" ht="14.25" customHeight="1" x14ac:dyDescent="0.25">
      <c r="A116" s="11"/>
      <c r="B116" s="11" t="e">
        <f t="shared" si="6"/>
        <v>#N/A</v>
      </c>
      <c r="C116" s="11" t="s">
        <v>119</v>
      </c>
      <c r="D116" s="11">
        <v>3</v>
      </c>
      <c r="E116" s="11">
        <v>1</v>
      </c>
      <c r="F116" s="11">
        <f t="shared" si="1"/>
        <v>2</v>
      </c>
      <c r="G116" s="11"/>
      <c r="H116" s="11" t="s">
        <v>480</v>
      </c>
      <c r="I116" s="57" t="e">
        <f>VLOOKUP($H116, 'ADP Data'!$B$4:$Q$300, 2, FALSE)</f>
        <v>#N/A</v>
      </c>
      <c r="J116" s="11" t="s">
        <v>760</v>
      </c>
      <c r="K116" s="11">
        <f>VLOOKUP($H116, SeanRanks!$A$2:$H$303, 5, FALSE)</f>
        <v>0</v>
      </c>
      <c r="L116" s="11" t="str">
        <f>IF(VLOOKUP($H116, SeanRanks!$A$2:$H$303, 6, FALSE)=0, "", VLOOKUP($H116, SeanRanks!$A$2:$H$303, 6, FALSE))</f>
        <v>Don’t Draft - Streamer</v>
      </c>
      <c r="M116" s="11">
        <f t="shared" si="2"/>
        <v>16</v>
      </c>
      <c r="N116" s="11" t="e">
        <f>VLOOKUP($H116, 'ADP Data'!$B$4:$Q$300, 10, FALSE)</f>
        <v>#N/A</v>
      </c>
      <c r="O116" s="11" t="e">
        <f>VLOOKUP($H116, 'ADP Data'!$B$4:$Q$300, 4, FALSE)</f>
        <v>#N/A</v>
      </c>
      <c r="P116" s="11" t="e">
        <f t="shared" si="3"/>
        <v>#N/A</v>
      </c>
      <c r="Q116" s="11" t="e">
        <f>VLOOKUP($H116, 'ADP Data'!$B$4:$Q$300, 5, FALSE)</f>
        <v>#N/A</v>
      </c>
      <c r="R116" s="11" t="e">
        <f>VLOOKUP($H116, 'ADP Data'!$B$4:$Q$300, 6, FALSE)</f>
        <v>#N/A</v>
      </c>
      <c r="S116" s="11" t="e">
        <f>VLOOKUP($H116, 'ADP Data'!$B$4:$Q$300, 7, FALSE)</f>
        <v>#N/A</v>
      </c>
      <c r="T116" s="11" t="e">
        <f>VLOOKUP($H116, 'ADP Data'!$B$4:$Q$300, 8, FALSE)</f>
        <v>#N/A</v>
      </c>
      <c r="U116" s="11" t="e">
        <f>VLOOKUP($H116, 'ADP Data'!$B$4:$Q$300, 9, FALSE)</f>
        <v>#N/A</v>
      </c>
      <c r="V116" s="11" t="e">
        <f t="shared" si="4"/>
        <v>#N/A</v>
      </c>
      <c r="W116" s="11" t="e">
        <f t="shared" si="5"/>
        <v>#N/A</v>
      </c>
      <c r="X116" s="11" t="str">
        <f>IF(VLOOKUP($H116, SeanRanks!$A$2:$H$303, 7, FALSE)=0, "", VLOOKUP($H116, SeanRanks!$A$2:$H$303, 7, FALSE))</f>
        <v/>
      </c>
    </row>
    <row r="117" spans="1:24" ht="14.25" customHeight="1" x14ac:dyDescent="0.25">
      <c r="A117" s="11"/>
      <c r="B117" s="11" t="e">
        <f t="shared" si="6"/>
        <v>#N/A</v>
      </c>
      <c r="C117" s="11" t="s">
        <v>119</v>
      </c>
      <c r="D117" s="11"/>
      <c r="E117" s="11">
        <v>1</v>
      </c>
      <c r="F117" s="11">
        <f t="shared" si="1"/>
        <v>-1</v>
      </c>
      <c r="G117" s="11"/>
      <c r="H117" s="11" t="s">
        <v>1219</v>
      </c>
      <c r="I117" s="58" t="e">
        <f>VLOOKUP($H117, 'ADP Data'!$B$4:$Q$300, 2, FALSE)</f>
        <v>#N/A</v>
      </c>
      <c r="J117" s="11" t="s">
        <v>764</v>
      </c>
      <c r="K117" s="11" t="e">
        <f>VLOOKUP($H117, SeanRanks!$A$2:$H$303, 5, FALSE)</f>
        <v>#N/A</v>
      </c>
      <c r="L117" s="11" t="e">
        <f>IF(VLOOKUP($H117, SeanRanks!$A$2:$H$303, 6, FALSE)=0, "", VLOOKUP($H117, SeanRanks!$A$2:$H$303, 6, FALSE))</f>
        <v>#N/A</v>
      </c>
      <c r="M117" s="11">
        <f t="shared" si="2"/>
        <v>16</v>
      </c>
      <c r="N117" s="11" t="e">
        <f>VLOOKUP($H117, 'ADP Data'!$B$4:$Q$300, 10, FALSE)</f>
        <v>#N/A</v>
      </c>
      <c r="O117" s="11" t="e">
        <f>VLOOKUP($H117, 'ADP Data'!$B$4:$Q$300, 4, FALSE)</f>
        <v>#N/A</v>
      </c>
      <c r="P117" s="11" t="e">
        <f t="shared" si="3"/>
        <v>#N/A</v>
      </c>
      <c r="Q117" s="11" t="e">
        <f>VLOOKUP($H117, 'ADP Data'!$B$4:$Q$300, 5, FALSE)</f>
        <v>#N/A</v>
      </c>
      <c r="R117" s="11" t="e">
        <f>VLOOKUP($H117, 'ADP Data'!$B$4:$Q$300, 6, FALSE)</f>
        <v>#N/A</v>
      </c>
      <c r="S117" s="11" t="e">
        <f>VLOOKUP($H117, 'ADP Data'!$B$4:$Q$300, 7, FALSE)</f>
        <v>#N/A</v>
      </c>
      <c r="T117" s="11" t="e">
        <f>VLOOKUP($H117, 'ADP Data'!$B$4:$Q$300, 8, FALSE)</f>
        <v>#N/A</v>
      </c>
      <c r="U117" s="11" t="e">
        <f>VLOOKUP($H117, 'ADP Data'!$B$4:$Q$300, 9, FALSE)</f>
        <v>#N/A</v>
      </c>
      <c r="V117" s="11" t="e">
        <f t="shared" si="4"/>
        <v>#N/A</v>
      </c>
      <c r="W117" s="11" t="e">
        <f t="shared" si="5"/>
        <v>#N/A</v>
      </c>
      <c r="X117" s="11" t="e">
        <f>IF(VLOOKUP($H117, SeanRanks!$A$2:$H$303, 7, FALSE)=0, "", VLOOKUP($H117, SeanRanks!$A$2:$H$303, 7, FALSE))</f>
        <v>#N/A</v>
      </c>
    </row>
    <row r="118" spans="1:24" ht="14.25" customHeight="1" x14ac:dyDescent="0.25">
      <c r="A118" s="11"/>
      <c r="B118" s="11" t="e">
        <f t="shared" si="6"/>
        <v>#N/A</v>
      </c>
      <c r="C118" s="11" t="s">
        <v>119</v>
      </c>
      <c r="D118" s="11">
        <v>1</v>
      </c>
      <c r="E118" s="11">
        <v>1</v>
      </c>
      <c r="F118" s="11">
        <f t="shared" si="1"/>
        <v>0</v>
      </c>
      <c r="G118" s="46" t="s">
        <v>148</v>
      </c>
      <c r="H118" s="11" t="s">
        <v>324</v>
      </c>
      <c r="I118" s="11" t="e">
        <f>VLOOKUP($H118, 'ADP Data'!$B$4:$Q$300, 2, FALSE)</f>
        <v>#N/A</v>
      </c>
      <c r="J118" s="11" t="s">
        <v>769</v>
      </c>
      <c r="K118" s="11">
        <f>VLOOKUP($H118, SeanRanks!$A$2:$H$303, 5, FALSE)</f>
        <v>0</v>
      </c>
      <c r="L118" s="11" t="str">
        <f>IF(VLOOKUP($H118, SeanRanks!$A$2:$H$303, 6, FALSE)=0, "", VLOOKUP($H118, SeanRanks!$A$2:$H$303, 6, FALSE))</f>
        <v/>
      </c>
      <c r="M118" s="11">
        <f t="shared" si="2"/>
        <v>16</v>
      </c>
      <c r="N118" s="11" t="e">
        <f>VLOOKUP($H118, 'ADP Data'!$B$4:$Q$300, 10, FALSE)</f>
        <v>#N/A</v>
      </c>
      <c r="O118" s="11" t="e">
        <f>VLOOKUP($H118, 'ADP Data'!$B$4:$Q$300, 4, FALSE)</f>
        <v>#N/A</v>
      </c>
      <c r="P118" s="11" t="e">
        <f t="shared" si="3"/>
        <v>#N/A</v>
      </c>
      <c r="Q118" s="11" t="e">
        <f>VLOOKUP($H118, 'ADP Data'!$B$4:$Q$300, 5, FALSE)</f>
        <v>#N/A</v>
      </c>
      <c r="R118" s="11" t="e">
        <f>VLOOKUP($H118, 'ADP Data'!$B$4:$Q$300, 6, FALSE)</f>
        <v>#N/A</v>
      </c>
      <c r="S118" s="11" t="e">
        <f>VLOOKUP($H118, 'ADP Data'!$B$4:$Q$300, 7, FALSE)</f>
        <v>#N/A</v>
      </c>
      <c r="T118" s="11" t="e">
        <f>VLOOKUP($H118, 'ADP Data'!$B$4:$Q$300, 8, FALSE)</f>
        <v>#N/A</v>
      </c>
      <c r="U118" s="11" t="e">
        <f>VLOOKUP($H118, 'ADP Data'!$B$4:$Q$300, 9, FALSE)</f>
        <v>#N/A</v>
      </c>
      <c r="V118" s="11" t="e">
        <f t="shared" si="4"/>
        <v>#N/A</v>
      </c>
      <c r="W118" s="11" t="e">
        <f t="shared" si="5"/>
        <v>#N/A</v>
      </c>
      <c r="X118" s="11" t="str">
        <f>IF(VLOOKUP($H118, SeanRanks!$A$2:$H$303, 7, FALSE)=0, "", VLOOKUP($H118, SeanRanks!$A$2:$H$303, 7, FALSE))</f>
        <v/>
      </c>
    </row>
    <row r="119" spans="1:24" ht="14.25" customHeight="1" x14ac:dyDescent="0.25">
      <c r="A119" s="11"/>
      <c r="B119" s="11" t="e">
        <f t="shared" si="6"/>
        <v>#N/A</v>
      </c>
      <c r="C119" s="11" t="s">
        <v>119</v>
      </c>
      <c r="D119" s="11">
        <v>1</v>
      </c>
      <c r="E119" s="11">
        <v>0</v>
      </c>
      <c r="F119" s="11">
        <f t="shared" si="1"/>
        <v>1</v>
      </c>
      <c r="G119" s="11"/>
      <c r="H119" s="11" t="s">
        <v>1220</v>
      </c>
      <c r="I119" s="11" t="e">
        <f>VLOOKUP($H119, 'ADP Data'!$B$4:$Q$300, 2, FALSE)</f>
        <v>#N/A</v>
      </c>
      <c r="J119" s="11" t="s">
        <v>764</v>
      </c>
      <c r="K119" s="11" t="e">
        <f>VLOOKUP($H119, SeanRanks!$A$2:$H$303, 5, FALSE)</f>
        <v>#N/A</v>
      </c>
      <c r="L119" s="11" t="e">
        <f>IF(VLOOKUP($H119, SeanRanks!$A$2:$H$303, 6, FALSE)=0, "", VLOOKUP($H119, SeanRanks!$A$2:$H$303, 6, FALSE))</f>
        <v>#N/A</v>
      </c>
      <c r="M119" s="11">
        <f t="shared" si="2"/>
        <v>16</v>
      </c>
      <c r="N119" s="11" t="e">
        <f>VLOOKUP($H119, 'ADP Data'!$B$4:$Q$300, 10, FALSE)</f>
        <v>#N/A</v>
      </c>
      <c r="O119" s="11" t="e">
        <f>VLOOKUP($H119, 'ADP Data'!$B$4:$Q$300, 4, FALSE)</f>
        <v>#N/A</v>
      </c>
      <c r="P119" s="11" t="e">
        <f t="shared" si="3"/>
        <v>#N/A</v>
      </c>
      <c r="Q119" s="11" t="e">
        <f>VLOOKUP($H119, 'ADP Data'!$B$4:$Q$300, 5, FALSE)</f>
        <v>#N/A</v>
      </c>
      <c r="R119" s="11" t="e">
        <f>VLOOKUP($H119, 'ADP Data'!$B$4:$Q$300, 6, FALSE)</f>
        <v>#N/A</v>
      </c>
      <c r="S119" s="11" t="e">
        <f>VLOOKUP($H119, 'ADP Data'!$B$4:$Q$300, 7, FALSE)</f>
        <v>#N/A</v>
      </c>
      <c r="T119" s="11" t="e">
        <f>VLOOKUP($H119, 'ADP Data'!$B$4:$Q$300, 8, FALSE)</f>
        <v>#N/A</v>
      </c>
      <c r="U119" s="11" t="e">
        <f>VLOOKUP($H119, 'ADP Data'!$B$4:$Q$300, 9, FALSE)</f>
        <v>#N/A</v>
      </c>
      <c r="V119" s="11" t="e">
        <f t="shared" si="4"/>
        <v>#N/A</v>
      </c>
      <c r="W119" s="11" t="e">
        <f t="shared" si="5"/>
        <v>#N/A</v>
      </c>
      <c r="X119" s="11" t="e">
        <f>IF(VLOOKUP($H119, SeanRanks!$A$2:$H$303, 7, FALSE)=0, "", VLOOKUP($H119, SeanRanks!$A$2:$H$303, 7, FALSE))</f>
        <v>#N/A</v>
      </c>
    </row>
    <row r="120" spans="1:24" ht="14.25" customHeight="1" x14ac:dyDescent="0.25">
      <c r="A120" s="11"/>
      <c r="B120" s="11" t="e">
        <f t="shared" si="6"/>
        <v>#N/A</v>
      </c>
      <c r="C120" s="11" t="s">
        <v>119</v>
      </c>
      <c r="D120" s="11">
        <v>1</v>
      </c>
      <c r="E120" s="11"/>
      <c r="F120" s="11">
        <f t="shared" si="1"/>
        <v>1</v>
      </c>
      <c r="G120" s="11"/>
      <c r="H120" s="11" t="s">
        <v>1221</v>
      </c>
      <c r="I120" s="58" t="e">
        <f>VLOOKUP($H120, 'ADP Data'!$B$4:$Q$300, 2, FALSE)</f>
        <v>#N/A</v>
      </c>
      <c r="J120" s="11" t="s">
        <v>762</v>
      </c>
      <c r="K120" s="11" t="e">
        <f>VLOOKUP($H120, SeanRanks!$A$2:$H$303, 5, FALSE)</f>
        <v>#N/A</v>
      </c>
      <c r="L120" s="11" t="e">
        <f>IF(VLOOKUP($H120, SeanRanks!$A$2:$H$303, 6, FALSE)=0, "", VLOOKUP($H120, SeanRanks!$A$2:$H$303, 6, FALSE))</f>
        <v>#N/A</v>
      </c>
      <c r="M120" s="11">
        <f t="shared" si="2"/>
        <v>16</v>
      </c>
      <c r="N120" s="11" t="e">
        <f>VLOOKUP($H120, 'ADP Data'!$B$4:$Q$300, 10, FALSE)</f>
        <v>#N/A</v>
      </c>
      <c r="O120" s="11" t="e">
        <f>VLOOKUP($H120, 'ADP Data'!$B$4:$Q$300, 4, FALSE)</f>
        <v>#N/A</v>
      </c>
      <c r="P120" s="11" t="e">
        <f t="shared" si="3"/>
        <v>#N/A</v>
      </c>
      <c r="Q120" s="11" t="e">
        <f>VLOOKUP($H120, 'ADP Data'!$B$4:$Q$300, 5, FALSE)</f>
        <v>#N/A</v>
      </c>
      <c r="R120" s="11" t="e">
        <f>VLOOKUP($H120, 'ADP Data'!$B$4:$Q$300, 6, FALSE)</f>
        <v>#N/A</v>
      </c>
      <c r="S120" s="11" t="e">
        <f>VLOOKUP($H120, 'ADP Data'!$B$4:$Q$300, 7, FALSE)</f>
        <v>#N/A</v>
      </c>
      <c r="T120" s="11" t="e">
        <f>VLOOKUP($H120, 'ADP Data'!$B$4:$Q$300, 8, FALSE)</f>
        <v>#N/A</v>
      </c>
      <c r="U120" s="11" t="e">
        <f>VLOOKUP($H120, 'ADP Data'!$B$4:$Q$300, 9, FALSE)</f>
        <v>#N/A</v>
      </c>
      <c r="V120" s="11" t="e">
        <f t="shared" si="4"/>
        <v>#N/A</v>
      </c>
      <c r="W120" s="11" t="e">
        <f t="shared" si="5"/>
        <v>#N/A</v>
      </c>
      <c r="X120" s="11" t="e">
        <f>IF(VLOOKUP($H120, SeanRanks!$A$2:$H$303, 7, FALSE)=0, "", VLOOKUP($H120, SeanRanks!$A$2:$H$303, 7, FALSE))</f>
        <v>#N/A</v>
      </c>
    </row>
    <row r="121" spans="1:24" ht="14.25" customHeight="1" x14ac:dyDescent="0.25">
      <c r="A121" s="11"/>
      <c r="B121" s="11" t="e">
        <f t="shared" si="6"/>
        <v>#N/A</v>
      </c>
      <c r="C121" s="11" t="s">
        <v>148</v>
      </c>
      <c r="D121" s="11"/>
      <c r="E121" s="11"/>
      <c r="F121" s="11">
        <f t="shared" si="1"/>
        <v>0</v>
      </c>
      <c r="G121" s="11"/>
      <c r="H121" s="11" t="s">
        <v>945</v>
      </c>
      <c r="I121" s="11" t="e">
        <f>VLOOKUP($H121, 'ADP Data'!$B$4:$Q$300, 2, FALSE)</f>
        <v>#N/A</v>
      </c>
      <c r="J121" s="11" t="s">
        <v>762</v>
      </c>
      <c r="K121" s="11">
        <f>VLOOKUP($H121, SeanRanks!$A$2:$H$303, 5, FALSE)</f>
        <v>0</v>
      </c>
      <c r="L121" s="11" t="str">
        <f>IF(VLOOKUP($H121, SeanRanks!$A$2:$H$303, 6, FALSE)=0, "", VLOOKUP($H121, SeanRanks!$A$2:$H$303, 6, FALSE))</f>
        <v/>
      </c>
      <c r="M121" s="11">
        <f t="shared" si="2"/>
        <v>16</v>
      </c>
      <c r="N121" s="11" t="e">
        <f>VLOOKUP($H121, 'ADP Data'!$B$4:$Q$300, 10, FALSE)</f>
        <v>#N/A</v>
      </c>
      <c r="O121" s="11" t="e">
        <f>VLOOKUP($H121, 'ADP Data'!$B$4:$Q$300, 4, FALSE)</f>
        <v>#N/A</v>
      </c>
      <c r="P121" s="11" t="e">
        <f t="shared" si="3"/>
        <v>#N/A</v>
      </c>
      <c r="Q121" s="11" t="e">
        <f>VLOOKUP($H121, 'ADP Data'!$B$4:$Q$300, 5, FALSE)</f>
        <v>#N/A</v>
      </c>
      <c r="R121" s="11" t="e">
        <f>VLOOKUP($H121, 'ADP Data'!$B$4:$Q$300, 6, FALSE)</f>
        <v>#N/A</v>
      </c>
      <c r="S121" s="11" t="e">
        <f>VLOOKUP($H121, 'ADP Data'!$B$4:$Q$300, 7, FALSE)</f>
        <v>#N/A</v>
      </c>
      <c r="T121" s="11" t="e">
        <f>VLOOKUP($H121, 'ADP Data'!$B$4:$Q$300, 8, FALSE)</f>
        <v>#N/A</v>
      </c>
      <c r="U121" s="11" t="e">
        <f>VLOOKUP($H121, 'ADP Data'!$B$4:$Q$300, 9, FALSE)</f>
        <v>#N/A</v>
      </c>
      <c r="V121" s="11" t="e">
        <f t="shared" si="4"/>
        <v>#N/A</v>
      </c>
      <c r="W121" s="11" t="e">
        <f t="shared" si="5"/>
        <v>#N/A</v>
      </c>
      <c r="X121" s="11" t="str">
        <f>IF(VLOOKUP($H121, SeanRanks!$A$2:$H$303, 7, FALSE)=0, "", VLOOKUP($H121, SeanRanks!$A$2:$H$303, 7, FALSE))</f>
        <v/>
      </c>
    </row>
    <row r="122" spans="1:24" ht="14.25" customHeight="1" x14ac:dyDescent="0.25">
      <c r="A122" s="11"/>
      <c r="B122" s="11" t="e">
        <f t="shared" si="6"/>
        <v>#N/A</v>
      </c>
      <c r="C122" s="11" t="s">
        <v>119</v>
      </c>
      <c r="D122" s="11">
        <v>2</v>
      </c>
      <c r="E122" s="11">
        <v>2</v>
      </c>
      <c r="F122" s="11">
        <f t="shared" si="1"/>
        <v>0</v>
      </c>
      <c r="G122" s="11"/>
      <c r="H122" s="11" t="s">
        <v>896</v>
      </c>
      <c r="I122" s="11" t="e">
        <f>VLOOKUP($H122, 'ADP Data'!$B$4:$Q$300, 2, FALSE)</f>
        <v>#N/A</v>
      </c>
      <c r="J122" s="11" t="s">
        <v>762</v>
      </c>
      <c r="K122" s="11">
        <f>VLOOKUP($H122, SeanRanks!$A$2:$H$303, 5, FALSE)</f>
        <v>0</v>
      </c>
      <c r="L122" s="11" t="str">
        <f>IF(VLOOKUP($H122, SeanRanks!$A$2:$H$303, 6, FALSE)=0, "", VLOOKUP($H122, SeanRanks!$A$2:$H$303, 6, FALSE))</f>
        <v/>
      </c>
      <c r="M122" s="11">
        <f t="shared" si="2"/>
        <v>16</v>
      </c>
      <c r="N122" s="11" t="e">
        <f>VLOOKUP($H122, 'ADP Data'!$B$4:$Q$300, 10, FALSE)</f>
        <v>#N/A</v>
      </c>
      <c r="O122" s="11" t="e">
        <f>VLOOKUP($H122, 'ADP Data'!$B$4:$Q$300, 4, FALSE)</f>
        <v>#N/A</v>
      </c>
      <c r="P122" s="11" t="e">
        <f t="shared" si="3"/>
        <v>#N/A</v>
      </c>
      <c r="Q122" s="11" t="e">
        <f>VLOOKUP($H122, 'ADP Data'!$B$4:$Q$300, 5, FALSE)</f>
        <v>#N/A</v>
      </c>
      <c r="R122" s="11" t="e">
        <f>VLOOKUP($H122, 'ADP Data'!$B$4:$Q$300, 6, FALSE)</f>
        <v>#N/A</v>
      </c>
      <c r="S122" s="11" t="e">
        <f>VLOOKUP($H122, 'ADP Data'!$B$4:$Q$300, 7, FALSE)</f>
        <v>#N/A</v>
      </c>
      <c r="T122" s="11" t="e">
        <f>VLOOKUP($H122, 'ADP Data'!$B$4:$Q$300, 8, FALSE)</f>
        <v>#N/A</v>
      </c>
      <c r="U122" s="11" t="e">
        <f>VLOOKUP($H122, 'ADP Data'!$B$4:$Q$300, 9, FALSE)</f>
        <v>#N/A</v>
      </c>
      <c r="V122" s="11" t="e">
        <f t="shared" si="4"/>
        <v>#N/A</v>
      </c>
      <c r="W122" s="11" t="e">
        <f t="shared" si="5"/>
        <v>#N/A</v>
      </c>
      <c r="X122" s="11" t="str">
        <f>IF(VLOOKUP($H122, SeanRanks!$A$2:$H$303, 7, FALSE)=0, "", VLOOKUP($H122, SeanRanks!$A$2:$H$303, 7, FALSE))</f>
        <v/>
      </c>
    </row>
    <row r="123" spans="1:24" ht="14.25" customHeight="1" x14ac:dyDescent="0.25">
      <c r="A123" s="11"/>
      <c r="B123" s="11" t="e">
        <f t="shared" si="6"/>
        <v>#N/A</v>
      </c>
      <c r="C123" s="11" t="s">
        <v>119</v>
      </c>
      <c r="D123" s="11">
        <v>1</v>
      </c>
      <c r="E123" s="11">
        <v>1</v>
      </c>
      <c r="F123" s="11">
        <f t="shared" si="1"/>
        <v>0</v>
      </c>
      <c r="G123" s="11" t="s">
        <v>148</v>
      </c>
      <c r="H123" s="11" t="s">
        <v>282</v>
      </c>
      <c r="I123" s="11" t="e">
        <f>VLOOKUP($H123, 'ADP Data'!$B$4:$Q$300, 2, FALSE)</f>
        <v>#N/A</v>
      </c>
      <c r="J123" s="11" t="s">
        <v>762</v>
      </c>
      <c r="K123" s="11" t="e">
        <f>VLOOKUP($H123, SeanRanks!$A$2:$H$303, 5, FALSE)</f>
        <v>#N/A</v>
      </c>
      <c r="L123" s="11" t="e">
        <f>IF(VLOOKUP($H123, SeanRanks!$A$2:$H$303, 6, FALSE)=0, "", VLOOKUP($H123, SeanRanks!$A$2:$H$303, 6, FALSE))</f>
        <v>#N/A</v>
      </c>
      <c r="M123" s="11">
        <f t="shared" si="2"/>
        <v>16</v>
      </c>
      <c r="N123" s="11" t="e">
        <f>VLOOKUP($H123, 'ADP Data'!$B$4:$Q$300, 10, FALSE)</f>
        <v>#N/A</v>
      </c>
      <c r="O123" s="11" t="e">
        <f>VLOOKUP($H123, 'ADP Data'!$B$4:$Q$300, 4, FALSE)</f>
        <v>#N/A</v>
      </c>
      <c r="P123" s="11" t="e">
        <f t="shared" si="3"/>
        <v>#N/A</v>
      </c>
      <c r="Q123" s="11" t="e">
        <f>VLOOKUP($H123, 'ADP Data'!$B$4:$Q$300, 5, FALSE)</f>
        <v>#N/A</v>
      </c>
      <c r="R123" s="11" t="e">
        <f>VLOOKUP($H123, 'ADP Data'!$B$4:$Q$300, 6, FALSE)</f>
        <v>#N/A</v>
      </c>
      <c r="S123" s="11" t="e">
        <f>VLOOKUP($H123, 'ADP Data'!$B$4:$Q$300, 7, FALSE)</f>
        <v>#N/A</v>
      </c>
      <c r="T123" s="11" t="e">
        <f>VLOOKUP($H123, 'ADP Data'!$B$4:$Q$300, 8, FALSE)</f>
        <v>#N/A</v>
      </c>
      <c r="U123" s="11" t="e">
        <f>VLOOKUP($H123, 'ADP Data'!$B$4:$Q$300, 9, FALSE)</f>
        <v>#N/A</v>
      </c>
      <c r="V123" s="11" t="e">
        <f t="shared" si="4"/>
        <v>#N/A</v>
      </c>
      <c r="W123" s="11" t="e">
        <f t="shared" si="5"/>
        <v>#N/A</v>
      </c>
      <c r="X123" s="11" t="e">
        <f>IF(VLOOKUP($H123, SeanRanks!$A$2:$H$303, 7, FALSE)=0, "", VLOOKUP($H123, SeanRanks!$A$2:$H$303, 7, FALSE))</f>
        <v>#N/A</v>
      </c>
    </row>
    <row r="124" spans="1:24" ht="14.25" customHeight="1" x14ac:dyDescent="0.25">
      <c r="A124" s="11"/>
      <c r="B124" s="11" t="e">
        <f t="shared" si="6"/>
        <v>#N/A</v>
      </c>
      <c r="C124" s="11" t="s">
        <v>119</v>
      </c>
      <c r="D124" s="11">
        <v>1</v>
      </c>
      <c r="E124" s="11">
        <v>1</v>
      </c>
      <c r="F124" s="11">
        <f t="shared" si="1"/>
        <v>0</v>
      </c>
      <c r="G124" s="11"/>
      <c r="H124" s="11" t="s">
        <v>403</v>
      </c>
      <c r="I124" s="11" t="e">
        <f>VLOOKUP($H124, 'ADP Data'!$B$4:$Q$300, 2, FALSE)</f>
        <v>#N/A</v>
      </c>
      <c r="J124" s="11" t="s">
        <v>760</v>
      </c>
      <c r="K124" s="11" t="str">
        <f>VLOOKUP($H124, SeanRanks!$A$2:$H$303, 5, FALSE)</f>
        <v>Yes</v>
      </c>
      <c r="L124" s="11" t="str">
        <f>IF(VLOOKUP($H124, SeanRanks!$A$2:$H$303, 6, FALSE)=0, "", VLOOKUP($H124, SeanRanks!$A$2:$H$303, 6, FALSE))</f>
        <v>Fine very late round pick</v>
      </c>
      <c r="M124" s="11">
        <f t="shared" si="2"/>
        <v>16</v>
      </c>
      <c r="N124" s="11" t="e">
        <f>VLOOKUP($H124, 'ADP Data'!$B$4:$Q$300, 10, FALSE)</f>
        <v>#N/A</v>
      </c>
      <c r="O124" s="11" t="e">
        <f>VLOOKUP($H124, 'ADP Data'!$B$4:$Q$300, 4, FALSE)</f>
        <v>#N/A</v>
      </c>
      <c r="P124" s="11" t="e">
        <f t="shared" si="3"/>
        <v>#N/A</v>
      </c>
      <c r="Q124" s="11" t="e">
        <f>VLOOKUP($H124, 'ADP Data'!$B$4:$Q$300, 5, FALSE)</f>
        <v>#N/A</v>
      </c>
      <c r="R124" s="11" t="e">
        <f>VLOOKUP($H124, 'ADP Data'!$B$4:$Q$300, 6, FALSE)</f>
        <v>#N/A</v>
      </c>
      <c r="S124" s="11" t="e">
        <f>VLOOKUP($H124, 'ADP Data'!$B$4:$Q$300, 7, FALSE)</f>
        <v>#N/A</v>
      </c>
      <c r="T124" s="11" t="e">
        <f>VLOOKUP($H124, 'ADP Data'!$B$4:$Q$300, 8, FALSE)</f>
        <v>#N/A</v>
      </c>
      <c r="U124" s="11" t="e">
        <f>VLOOKUP($H124, 'ADP Data'!$B$4:$Q$300, 9, FALSE)</f>
        <v>#N/A</v>
      </c>
      <c r="V124" s="11" t="e">
        <f t="shared" si="4"/>
        <v>#N/A</v>
      </c>
      <c r="W124" s="11" t="e">
        <f t="shared" si="5"/>
        <v>#N/A</v>
      </c>
      <c r="X124" s="11">
        <f>IF(VLOOKUP($H124, SeanRanks!$A$2:$H$303, 7, FALSE)=0, "", VLOOKUP($H124, SeanRanks!$A$2:$H$303, 7, FALSE))</f>
        <v>25</v>
      </c>
    </row>
    <row r="125" spans="1:24" ht="14.25" customHeight="1" x14ac:dyDescent="0.25">
      <c r="A125" s="11"/>
      <c r="B125" s="11" t="e">
        <f t="shared" si="6"/>
        <v>#N/A</v>
      </c>
      <c r="C125" s="11" t="s">
        <v>119</v>
      </c>
      <c r="D125" s="11">
        <v>1</v>
      </c>
      <c r="E125" s="11">
        <v>0</v>
      </c>
      <c r="F125" s="11">
        <f t="shared" si="1"/>
        <v>1</v>
      </c>
      <c r="G125" s="11"/>
      <c r="H125" s="11" t="s">
        <v>994</v>
      </c>
      <c r="I125" s="11" t="e">
        <f>VLOOKUP($H125, 'ADP Data'!$B$4:$Q$300, 2, FALSE)</f>
        <v>#N/A</v>
      </c>
      <c r="J125" s="11" t="s">
        <v>769</v>
      </c>
      <c r="K125" s="11">
        <f>VLOOKUP($H125, SeanRanks!$A$2:$H$303, 5, FALSE)</f>
        <v>0</v>
      </c>
      <c r="L125" s="11" t="str">
        <f>IF(VLOOKUP($H125, SeanRanks!$A$2:$H$303, 6, FALSE)=0, "", VLOOKUP($H125, SeanRanks!$A$2:$H$303, 6, FALSE))</f>
        <v/>
      </c>
      <c r="M125" s="11">
        <f t="shared" si="2"/>
        <v>16</v>
      </c>
      <c r="N125" s="11" t="e">
        <f>VLOOKUP($H125, 'ADP Data'!$B$4:$Q$300, 10, FALSE)</f>
        <v>#N/A</v>
      </c>
      <c r="O125" s="11" t="e">
        <f>VLOOKUP($H125, 'ADP Data'!$B$4:$Q$300, 4, FALSE)</f>
        <v>#N/A</v>
      </c>
      <c r="P125" s="11" t="e">
        <f t="shared" si="3"/>
        <v>#N/A</v>
      </c>
      <c r="Q125" s="11" t="e">
        <f>VLOOKUP($H125, 'ADP Data'!$B$4:$Q$300, 5, FALSE)</f>
        <v>#N/A</v>
      </c>
      <c r="R125" s="11" t="e">
        <f>VLOOKUP($H125, 'ADP Data'!$B$4:$Q$300, 6, FALSE)</f>
        <v>#N/A</v>
      </c>
      <c r="S125" s="11" t="e">
        <f>VLOOKUP($H125, 'ADP Data'!$B$4:$Q$300, 7, FALSE)</f>
        <v>#N/A</v>
      </c>
      <c r="T125" s="11" t="e">
        <f>VLOOKUP($H125, 'ADP Data'!$B$4:$Q$300, 8, FALSE)</f>
        <v>#N/A</v>
      </c>
      <c r="U125" s="11" t="e">
        <f>VLOOKUP($H125, 'ADP Data'!$B$4:$Q$300, 9, FALSE)</f>
        <v>#N/A</v>
      </c>
      <c r="V125" s="11" t="e">
        <f t="shared" si="4"/>
        <v>#N/A</v>
      </c>
      <c r="W125" s="11" t="e">
        <f t="shared" si="5"/>
        <v>#N/A</v>
      </c>
      <c r="X125" s="11" t="str">
        <f>IF(VLOOKUP($H125, SeanRanks!$A$2:$H$303, 7, FALSE)=0, "", VLOOKUP($H125, SeanRanks!$A$2:$H$303, 7, FALSE))</f>
        <v/>
      </c>
    </row>
    <row r="126" spans="1:24" ht="14.25" customHeight="1" x14ac:dyDescent="0.25">
      <c r="A126" s="11" t="s">
        <v>1156</v>
      </c>
      <c r="B126" s="11" t="e">
        <f t="shared" si="6"/>
        <v>#N/A</v>
      </c>
      <c r="C126" s="11" t="s">
        <v>119</v>
      </c>
      <c r="D126" s="11">
        <v>2</v>
      </c>
      <c r="E126" s="11"/>
      <c r="F126" s="11">
        <f t="shared" si="1"/>
        <v>2</v>
      </c>
      <c r="G126" s="11"/>
      <c r="H126" s="11" t="s">
        <v>658</v>
      </c>
      <c r="I126" s="11" t="e">
        <f>VLOOKUP($H126, 'ADP Data'!$B$4:$Q$300, 2, FALSE)</f>
        <v>#N/A</v>
      </c>
      <c r="J126" s="11" t="s">
        <v>773</v>
      </c>
      <c r="K126" s="11">
        <f>VLOOKUP($H126, SeanRanks!$A$2:$H$303, 5, FALSE)</f>
        <v>0</v>
      </c>
      <c r="L126" s="11" t="str">
        <f>IF(VLOOKUP($H126, SeanRanks!$A$2:$H$303, 6, FALSE)=0, "", VLOOKUP($H126, SeanRanks!$A$2:$H$303, 6, FALSE))</f>
        <v/>
      </c>
      <c r="M126" s="11">
        <f t="shared" si="2"/>
        <v>16</v>
      </c>
      <c r="N126" s="11" t="e">
        <f>VLOOKUP($H126, 'ADP Data'!$B$4:$Q$300, 10, FALSE)</f>
        <v>#N/A</v>
      </c>
      <c r="O126" s="11" t="e">
        <f>VLOOKUP($H126, 'ADP Data'!$B$4:$Q$300, 4, FALSE)</f>
        <v>#N/A</v>
      </c>
      <c r="P126" s="11" t="e">
        <f t="shared" si="3"/>
        <v>#N/A</v>
      </c>
      <c r="Q126" s="11" t="e">
        <f>VLOOKUP($H126, 'ADP Data'!$B$4:$Q$300, 5, FALSE)</f>
        <v>#N/A</v>
      </c>
      <c r="R126" s="11" t="e">
        <f>VLOOKUP($H126, 'ADP Data'!$B$4:$Q$300, 6, FALSE)</f>
        <v>#N/A</v>
      </c>
      <c r="S126" s="11" t="e">
        <f>VLOOKUP($H126, 'ADP Data'!$B$4:$Q$300, 7, FALSE)</f>
        <v>#N/A</v>
      </c>
      <c r="T126" s="11" t="e">
        <f>VLOOKUP($H126, 'ADP Data'!$B$4:$Q$300, 8, FALSE)</f>
        <v>#N/A</v>
      </c>
      <c r="U126" s="11" t="e">
        <f>VLOOKUP($H126, 'ADP Data'!$B$4:$Q$300, 9, FALSE)</f>
        <v>#N/A</v>
      </c>
      <c r="V126" s="11" t="e">
        <f t="shared" si="4"/>
        <v>#N/A</v>
      </c>
      <c r="W126" s="11" t="e">
        <f t="shared" si="5"/>
        <v>#N/A</v>
      </c>
      <c r="X126" s="11" t="str">
        <f>IF(VLOOKUP($H126, SeanRanks!$A$2:$H$303, 7, FALSE)=0, "", VLOOKUP($H126, SeanRanks!$A$2:$H$303, 7, FALSE))</f>
        <v/>
      </c>
    </row>
    <row r="127" spans="1:24" ht="14.25" customHeight="1" x14ac:dyDescent="0.25">
      <c r="A127" s="11"/>
      <c r="B127" s="11" t="e">
        <f t="shared" si="6"/>
        <v>#N/A</v>
      </c>
      <c r="C127" s="11" t="s">
        <v>148</v>
      </c>
      <c r="D127" s="11">
        <v>4</v>
      </c>
      <c r="E127" s="11">
        <v>0</v>
      </c>
      <c r="F127" s="11">
        <f t="shared" si="1"/>
        <v>4</v>
      </c>
      <c r="G127" s="11"/>
      <c r="H127" s="11" t="s">
        <v>260</v>
      </c>
      <c r="I127" s="11" t="e">
        <f>VLOOKUP($H127, 'ADP Data'!$B$4:$Q$300, 2, FALSE)</f>
        <v>#N/A</v>
      </c>
      <c r="J127" s="11" t="s">
        <v>764</v>
      </c>
      <c r="K127" s="11" t="str">
        <f>VLOOKUP($H127, SeanRanks!$A$2:$H$303, 5, FALSE)</f>
        <v>Yes</v>
      </c>
      <c r="L127" s="11" t="str">
        <f>IF(VLOOKUP($H127, SeanRanks!$A$2:$H$303, 6, FALSE)=0, "", VLOOKUP($H127, SeanRanks!$A$2:$H$303, 6, FALSE))</f>
        <v xml:space="preserve">WR3 - 1 - </v>
      </c>
      <c r="M127" s="11">
        <f t="shared" si="2"/>
        <v>16</v>
      </c>
      <c r="N127" s="11" t="e">
        <f>VLOOKUP($H127, 'ADP Data'!$B$4:$Q$300, 10, FALSE)</f>
        <v>#N/A</v>
      </c>
      <c r="O127" s="11" t="e">
        <f>VLOOKUP($H127, 'ADP Data'!$B$4:$Q$300, 4, FALSE)</f>
        <v>#N/A</v>
      </c>
      <c r="P127" s="11" t="e">
        <f t="shared" si="3"/>
        <v>#N/A</v>
      </c>
      <c r="Q127" s="11" t="e">
        <f>VLOOKUP($H127, 'ADP Data'!$B$4:$Q$300, 5, FALSE)</f>
        <v>#N/A</v>
      </c>
      <c r="R127" s="11" t="e">
        <f>VLOOKUP($H127, 'ADP Data'!$B$4:$Q$300, 6, FALSE)</f>
        <v>#N/A</v>
      </c>
      <c r="S127" s="11" t="e">
        <f>VLOOKUP($H127, 'ADP Data'!$B$4:$Q$300, 7, FALSE)</f>
        <v>#N/A</v>
      </c>
      <c r="T127" s="11" t="e">
        <f>VLOOKUP($H127, 'ADP Data'!$B$4:$Q$300, 8, FALSE)</f>
        <v>#N/A</v>
      </c>
      <c r="U127" s="11" t="e">
        <f>VLOOKUP($H127, 'ADP Data'!$B$4:$Q$300, 9, FALSE)</f>
        <v>#N/A</v>
      </c>
      <c r="V127" s="11" t="e">
        <f t="shared" si="4"/>
        <v>#N/A</v>
      </c>
      <c r="W127" s="11" t="e">
        <f t="shared" si="5"/>
        <v>#N/A</v>
      </c>
      <c r="X127" s="11">
        <f>IF(VLOOKUP($H127, SeanRanks!$A$2:$H$303, 7, FALSE)=0, "", VLOOKUP($H127, SeanRanks!$A$2:$H$303, 7, FALSE))</f>
        <v>26</v>
      </c>
    </row>
    <row r="128" spans="1:24" ht="14.25" customHeight="1" x14ac:dyDescent="0.25">
      <c r="A128" s="11"/>
      <c r="B128" s="11" t="e">
        <f t="shared" si="6"/>
        <v>#N/A</v>
      </c>
      <c r="C128" s="11" t="s">
        <v>119</v>
      </c>
      <c r="D128" s="11">
        <v>1</v>
      </c>
      <c r="E128" s="11">
        <v>1</v>
      </c>
      <c r="F128" s="11">
        <f t="shared" si="1"/>
        <v>0</v>
      </c>
      <c r="G128" s="11"/>
      <c r="H128" s="11" t="s">
        <v>270</v>
      </c>
      <c r="I128" s="58" t="e">
        <f>VLOOKUP($H128, 'ADP Data'!$B$4:$Q$300, 2, FALSE)</f>
        <v>#N/A</v>
      </c>
      <c r="J128" s="11" t="s">
        <v>764</v>
      </c>
      <c r="K128" s="11">
        <f>VLOOKUP($H128, SeanRanks!$A$2:$H$303, 5, FALSE)</f>
        <v>0</v>
      </c>
      <c r="L128" s="11" t="str">
        <f>IF(VLOOKUP($H128, SeanRanks!$A$2:$H$303, 6, FALSE)=0, "", VLOOKUP($H128, SeanRanks!$A$2:$H$303, 6, FALSE))</f>
        <v/>
      </c>
      <c r="M128" s="11">
        <f t="shared" si="2"/>
        <v>16</v>
      </c>
      <c r="N128" s="11" t="e">
        <f>VLOOKUP($H128, 'ADP Data'!$B$4:$Q$300, 10, FALSE)</f>
        <v>#N/A</v>
      </c>
      <c r="O128" s="11" t="e">
        <f>VLOOKUP($H128, 'ADP Data'!$B$4:$Q$300, 4, FALSE)</f>
        <v>#N/A</v>
      </c>
      <c r="P128" s="11" t="e">
        <f t="shared" si="3"/>
        <v>#N/A</v>
      </c>
      <c r="Q128" s="11" t="e">
        <f>VLOOKUP($H128, 'ADP Data'!$B$4:$Q$300, 5, FALSE)</f>
        <v>#N/A</v>
      </c>
      <c r="R128" s="11" t="e">
        <f>VLOOKUP($H128, 'ADP Data'!$B$4:$Q$300, 6, FALSE)</f>
        <v>#N/A</v>
      </c>
      <c r="S128" s="11" t="e">
        <f>VLOOKUP($H128, 'ADP Data'!$B$4:$Q$300, 7, FALSE)</f>
        <v>#N/A</v>
      </c>
      <c r="T128" s="11" t="e">
        <f>VLOOKUP($H128, 'ADP Data'!$B$4:$Q$300, 8, FALSE)</f>
        <v>#N/A</v>
      </c>
      <c r="U128" s="11" t="e">
        <f>VLOOKUP($H128, 'ADP Data'!$B$4:$Q$300, 9, FALSE)</f>
        <v>#N/A</v>
      </c>
      <c r="V128" s="11" t="e">
        <f t="shared" si="4"/>
        <v>#N/A</v>
      </c>
      <c r="W128" s="11" t="e">
        <f t="shared" si="5"/>
        <v>#N/A</v>
      </c>
      <c r="X128" s="11" t="str">
        <f>IF(VLOOKUP($H128, SeanRanks!$A$2:$H$303, 7, FALSE)=0, "", VLOOKUP($H128, SeanRanks!$A$2:$H$303, 7, FALSE))</f>
        <v/>
      </c>
    </row>
    <row r="129" spans="1:24" ht="14.25" customHeight="1" x14ac:dyDescent="0.25">
      <c r="A129" s="11"/>
      <c r="B129" s="11" t="e">
        <f t="shared" si="6"/>
        <v>#N/A</v>
      </c>
      <c r="C129" s="11" t="s">
        <v>148</v>
      </c>
      <c r="D129" s="11"/>
      <c r="E129" s="11"/>
      <c r="F129" s="11">
        <f t="shared" si="1"/>
        <v>0</v>
      </c>
      <c r="G129" s="11"/>
      <c r="H129" s="11" t="s">
        <v>433</v>
      </c>
      <c r="I129" s="11" t="e">
        <f>VLOOKUP($H129, 'ADP Data'!$B$4:$Q$300, 2, FALSE)</f>
        <v>#N/A</v>
      </c>
      <c r="J129" s="11" t="s">
        <v>769</v>
      </c>
      <c r="K129" s="11">
        <f>VLOOKUP($H129, SeanRanks!$A$2:$H$303, 5, FALSE)</f>
        <v>0</v>
      </c>
      <c r="L129" s="11" t="str">
        <f>IF(VLOOKUP($H129, SeanRanks!$A$2:$H$303, 6, FALSE)=0, "", VLOOKUP($H129, SeanRanks!$A$2:$H$303, 6, FALSE))</f>
        <v/>
      </c>
      <c r="M129" s="11">
        <f t="shared" si="2"/>
        <v>16</v>
      </c>
      <c r="N129" s="11" t="e">
        <f>VLOOKUP($H129, 'ADP Data'!$B$4:$Q$300, 10, FALSE)</f>
        <v>#N/A</v>
      </c>
      <c r="O129" s="11" t="e">
        <f>VLOOKUP($H129, 'ADP Data'!$B$4:$Q$300, 4, FALSE)</f>
        <v>#N/A</v>
      </c>
      <c r="P129" s="11" t="e">
        <f t="shared" si="3"/>
        <v>#N/A</v>
      </c>
      <c r="Q129" s="11" t="e">
        <f>VLOOKUP($H129, 'ADP Data'!$B$4:$Q$300, 5, FALSE)</f>
        <v>#N/A</v>
      </c>
      <c r="R129" s="11" t="e">
        <f>VLOOKUP($H129, 'ADP Data'!$B$4:$Q$300, 6, FALSE)</f>
        <v>#N/A</v>
      </c>
      <c r="S129" s="11" t="e">
        <f>VLOOKUP($H129, 'ADP Data'!$B$4:$Q$300, 7, FALSE)</f>
        <v>#N/A</v>
      </c>
      <c r="T129" s="11" t="e">
        <f>VLOOKUP($H129, 'ADP Data'!$B$4:$Q$300, 8, FALSE)</f>
        <v>#N/A</v>
      </c>
      <c r="U129" s="11" t="e">
        <f>VLOOKUP($H129, 'ADP Data'!$B$4:$Q$300, 9, FALSE)</f>
        <v>#N/A</v>
      </c>
      <c r="V129" s="11" t="e">
        <f t="shared" si="4"/>
        <v>#N/A</v>
      </c>
      <c r="W129" s="11" t="e">
        <f t="shared" si="5"/>
        <v>#N/A</v>
      </c>
      <c r="X129" s="11" t="str">
        <f>IF(VLOOKUP($H129, SeanRanks!$A$2:$H$303, 7, FALSE)=0, "", VLOOKUP($H129, SeanRanks!$A$2:$H$303, 7, FALSE))</f>
        <v/>
      </c>
    </row>
    <row r="130" spans="1:24" ht="14.25" customHeight="1" x14ac:dyDescent="0.25">
      <c r="A130" s="11"/>
      <c r="B130" s="11" t="e">
        <f t="shared" si="6"/>
        <v>#N/A</v>
      </c>
      <c r="C130" s="11" t="s">
        <v>148</v>
      </c>
      <c r="D130" s="11"/>
      <c r="E130" s="11"/>
      <c r="F130" s="11">
        <f t="shared" si="1"/>
        <v>0</v>
      </c>
      <c r="G130" s="11"/>
      <c r="H130" s="11" t="s">
        <v>196</v>
      </c>
      <c r="I130" s="58" t="e">
        <f>VLOOKUP($H130, 'ADP Data'!$B$4:$Q$300, 2, FALSE)</f>
        <v>#N/A</v>
      </c>
      <c r="J130" s="11" t="s">
        <v>764</v>
      </c>
      <c r="K130" s="11">
        <f>VLOOKUP($H130, SeanRanks!$A$2:$H$303, 5, FALSE)</f>
        <v>0</v>
      </c>
      <c r="L130" s="11" t="str">
        <f>IF(VLOOKUP($H130, SeanRanks!$A$2:$H$303, 6, FALSE)=0, "", VLOOKUP($H130, SeanRanks!$A$2:$H$303, 6, FALSE))</f>
        <v xml:space="preserve">WR3 - 1 - </v>
      </c>
      <c r="M130" s="11">
        <f t="shared" si="2"/>
        <v>16</v>
      </c>
      <c r="N130" s="11" t="e">
        <f>VLOOKUP($H130, 'ADP Data'!$B$4:$Q$300, 10, FALSE)</f>
        <v>#N/A</v>
      </c>
      <c r="O130" s="11" t="e">
        <f>VLOOKUP($H130, 'ADP Data'!$B$4:$Q$300, 4, FALSE)</f>
        <v>#N/A</v>
      </c>
      <c r="P130" s="11" t="e">
        <f t="shared" si="3"/>
        <v>#N/A</v>
      </c>
      <c r="Q130" s="11" t="e">
        <f>VLOOKUP($H130, 'ADP Data'!$B$4:$Q$300, 5, FALSE)</f>
        <v>#N/A</v>
      </c>
      <c r="R130" s="11" t="e">
        <f>VLOOKUP($H130, 'ADP Data'!$B$4:$Q$300, 6, FALSE)</f>
        <v>#N/A</v>
      </c>
      <c r="S130" s="11" t="e">
        <f>VLOOKUP($H130, 'ADP Data'!$B$4:$Q$300, 7, FALSE)</f>
        <v>#N/A</v>
      </c>
      <c r="T130" s="11" t="e">
        <f>VLOOKUP($H130, 'ADP Data'!$B$4:$Q$300, 8, FALSE)</f>
        <v>#N/A</v>
      </c>
      <c r="U130" s="11" t="e">
        <f>VLOOKUP($H130, 'ADP Data'!$B$4:$Q$300, 9, FALSE)</f>
        <v>#N/A</v>
      </c>
      <c r="V130" s="11" t="e">
        <f t="shared" si="4"/>
        <v>#N/A</v>
      </c>
      <c r="W130" s="11" t="e">
        <f t="shared" si="5"/>
        <v>#N/A</v>
      </c>
      <c r="X130" s="11">
        <f>IF(VLOOKUP($H130, SeanRanks!$A$2:$H$303, 7, FALSE)=0, "", VLOOKUP($H130, SeanRanks!$A$2:$H$303, 7, FALSE))</f>
        <v>23</v>
      </c>
    </row>
    <row r="131" spans="1:24" ht="14.25" customHeight="1" x14ac:dyDescent="0.25">
      <c r="A131" s="11"/>
      <c r="B131" s="11" t="e">
        <f t="shared" si="6"/>
        <v>#N/A</v>
      </c>
      <c r="C131" s="11" t="s">
        <v>148</v>
      </c>
      <c r="D131" s="11"/>
      <c r="E131" s="11"/>
      <c r="F131" s="11">
        <f t="shared" si="1"/>
        <v>0</v>
      </c>
      <c r="G131" s="11"/>
      <c r="H131" s="11" t="s">
        <v>957</v>
      </c>
      <c r="I131" s="11" t="e">
        <f>VLOOKUP($H131, 'ADP Data'!$B$4:$Q$300, 2, FALSE)</f>
        <v>#N/A</v>
      </c>
      <c r="J131" s="11" t="s">
        <v>764</v>
      </c>
      <c r="K131" s="11" t="e">
        <f>VLOOKUP($H131, SeanRanks!$A$2:$H$303, 5, FALSE)</f>
        <v>#N/A</v>
      </c>
      <c r="L131" s="11" t="e">
        <f>IF(VLOOKUP($H131, SeanRanks!$A$2:$H$303, 6, FALSE)=0, "", VLOOKUP($H131, SeanRanks!$A$2:$H$303, 6, FALSE))</f>
        <v>#N/A</v>
      </c>
      <c r="M131" s="11">
        <f t="shared" si="2"/>
        <v>16</v>
      </c>
      <c r="N131" s="11" t="e">
        <f>VLOOKUP($H131, 'ADP Data'!$B$4:$Q$300, 10, FALSE)</f>
        <v>#N/A</v>
      </c>
      <c r="O131" s="11" t="e">
        <f>VLOOKUP($H131, 'ADP Data'!$B$4:$Q$300, 4, FALSE)</f>
        <v>#N/A</v>
      </c>
      <c r="P131" s="11" t="e">
        <f t="shared" si="3"/>
        <v>#N/A</v>
      </c>
      <c r="Q131" s="11" t="e">
        <f>VLOOKUP($H131, 'ADP Data'!$B$4:$Q$300, 5, FALSE)</f>
        <v>#N/A</v>
      </c>
      <c r="R131" s="11" t="e">
        <f>VLOOKUP($H131, 'ADP Data'!$B$4:$Q$300, 6, FALSE)</f>
        <v>#N/A</v>
      </c>
      <c r="S131" s="11" t="e">
        <f>VLOOKUP($H131, 'ADP Data'!$B$4:$Q$300, 7, FALSE)</f>
        <v>#N/A</v>
      </c>
      <c r="T131" s="11" t="e">
        <f>VLOOKUP($H131, 'ADP Data'!$B$4:$Q$300, 8, FALSE)</f>
        <v>#N/A</v>
      </c>
      <c r="U131" s="11" t="e">
        <f>VLOOKUP($H131, 'ADP Data'!$B$4:$Q$300, 9, FALSE)</f>
        <v>#N/A</v>
      </c>
      <c r="V131" s="11" t="e">
        <f t="shared" si="4"/>
        <v>#N/A</v>
      </c>
      <c r="W131" s="11" t="e">
        <f t="shared" si="5"/>
        <v>#N/A</v>
      </c>
      <c r="X131" s="11" t="e">
        <f>IF(VLOOKUP($H131, SeanRanks!$A$2:$H$303, 7, FALSE)=0, "", VLOOKUP($H131, SeanRanks!$A$2:$H$303, 7, FALSE))</f>
        <v>#N/A</v>
      </c>
    </row>
    <row r="132" spans="1:24" ht="14.25" customHeight="1" x14ac:dyDescent="0.25">
      <c r="A132" s="11"/>
      <c r="B132" s="11" t="e">
        <f t="shared" si="6"/>
        <v>#N/A</v>
      </c>
      <c r="C132" s="11" t="s">
        <v>148</v>
      </c>
      <c r="D132" s="11"/>
      <c r="E132" s="11"/>
      <c r="F132" s="11">
        <f t="shared" si="1"/>
        <v>0</v>
      </c>
      <c r="G132" s="11"/>
      <c r="H132" s="11" t="s">
        <v>1225</v>
      </c>
      <c r="I132" s="11" t="e">
        <f>VLOOKUP($H132, 'ADP Data'!$B$4:$Q$300, 2, FALSE)</f>
        <v>#N/A</v>
      </c>
      <c r="J132" s="11" t="s">
        <v>762</v>
      </c>
      <c r="K132" s="11" t="e">
        <f>VLOOKUP($H132, SeanRanks!$A$2:$H$303, 5, FALSE)</f>
        <v>#N/A</v>
      </c>
      <c r="L132" s="11" t="e">
        <f>IF(VLOOKUP($H132, SeanRanks!$A$2:$H$303, 6, FALSE)=0, "", VLOOKUP($H132, SeanRanks!$A$2:$H$303, 6, FALSE))</f>
        <v>#N/A</v>
      </c>
      <c r="M132" s="11">
        <f t="shared" si="2"/>
        <v>16</v>
      </c>
      <c r="N132" s="11" t="e">
        <f>VLOOKUP($H132, 'ADP Data'!$B$4:$Q$300, 10, FALSE)</f>
        <v>#N/A</v>
      </c>
      <c r="O132" s="11" t="e">
        <f>VLOOKUP($H132, 'ADP Data'!$B$4:$Q$300, 4, FALSE)</f>
        <v>#N/A</v>
      </c>
      <c r="P132" s="11" t="e">
        <f t="shared" si="3"/>
        <v>#N/A</v>
      </c>
      <c r="Q132" s="11" t="e">
        <f>VLOOKUP($H132, 'ADP Data'!$B$4:$Q$300, 5, FALSE)</f>
        <v>#N/A</v>
      </c>
      <c r="R132" s="11" t="e">
        <f>VLOOKUP($H132, 'ADP Data'!$B$4:$Q$300, 6, FALSE)</f>
        <v>#N/A</v>
      </c>
      <c r="S132" s="11" t="e">
        <f>VLOOKUP($H132, 'ADP Data'!$B$4:$Q$300, 7, FALSE)</f>
        <v>#N/A</v>
      </c>
      <c r="T132" s="11" t="e">
        <f>VLOOKUP($H132, 'ADP Data'!$B$4:$Q$300, 8, FALSE)</f>
        <v>#N/A</v>
      </c>
      <c r="U132" s="11" t="e">
        <f>VLOOKUP($H132, 'ADP Data'!$B$4:$Q$300, 9, FALSE)</f>
        <v>#N/A</v>
      </c>
      <c r="V132" s="11" t="e">
        <f t="shared" si="4"/>
        <v>#N/A</v>
      </c>
      <c r="W132" s="11" t="e">
        <f t="shared" si="5"/>
        <v>#N/A</v>
      </c>
      <c r="X132" s="11" t="e">
        <f>IF(VLOOKUP($H132, SeanRanks!$A$2:$H$303, 7, FALSE)=0, "", VLOOKUP($H132, SeanRanks!$A$2:$H$303, 7, FALSE))</f>
        <v>#N/A</v>
      </c>
    </row>
    <row r="133" spans="1:24" ht="14.25" customHeight="1" x14ac:dyDescent="0.25">
      <c r="A133" s="11"/>
      <c r="B133" s="11" t="e">
        <f t="shared" si="6"/>
        <v>#N/A</v>
      </c>
      <c r="C133" s="11" t="s">
        <v>148</v>
      </c>
      <c r="D133" s="11"/>
      <c r="E133" s="11"/>
      <c r="F133" s="11">
        <f t="shared" si="1"/>
        <v>0</v>
      </c>
      <c r="G133" s="11"/>
      <c r="H133" s="11" t="s">
        <v>246</v>
      </c>
      <c r="I133" s="58" t="e">
        <f>VLOOKUP($H133, 'ADP Data'!$B$4:$Q$300, 2, FALSE)</f>
        <v>#N/A</v>
      </c>
      <c r="J133" s="11" t="s">
        <v>769</v>
      </c>
      <c r="K133" s="11">
        <f>VLOOKUP($H133, SeanRanks!$A$2:$H$303, 5, FALSE)</f>
        <v>0</v>
      </c>
      <c r="L133" s="11" t="str">
        <f>IF(VLOOKUP($H133, SeanRanks!$A$2:$H$303, 6, FALSE)=0, "", VLOOKUP($H133, SeanRanks!$A$2:$H$303, 6, FALSE))</f>
        <v>TE1 - 2 - Very Good</v>
      </c>
      <c r="M133" s="11">
        <f t="shared" si="2"/>
        <v>16</v>
      </c>
      <c r="N133" s="11" t="e">
        <f>VLOOKUP($H133, 'ADP Data'!$B$4:$Q$300, 10, FALSE)</f>
        <v>#N/A</v>
      </c>
      <c r="O133" s="11" t="e">
        <f>VLOOKUP($H133, 'ADP Data'!$B$4:$Q$300, 4, FALSE)</f>
        <v>#N/A</v>
      </c>
      <c r="P133" s="11" t="e">
        <f t="shared" si="3"/>
        <v>#N/A</v>
      </c>
      <c r="Q133" s="11" t="e">
        <f>VLOOKUP($H133, 'ADP Data'!$B$4:$Q$300, 5, FALSE)</f>
        <v>#N/A</v>
      </c>
      <c r="R133" s="11" t="e">
        <f>VLOOKUP($H133, 'ADP Data'!$B$4:$Q$300, 6, FALSE)</f>
        <v>#N/A</v>
      </c>
      <c r="S133" s="11" t="e">
        <f>VLOOKUP($H133, 'ADP Data'!$B$4:$Q$300, 7, FALSE)</f>
        <v>#N/A</v>
      </c>
      <c r="T133" s="11" t="e">
        <f>VLOOKUP($H133, 'ADP Data'!$B$4:$Q$300, 8, FALSE)</f>
        <v>#N/A</v>
      </c>
      <c r="U133" s="11" t="e">
        <f>VLOOKUP($H133, 'ADP Data'!$B$4:$Q$300, 9, FALSE)</f>
        <v>#N/A</v>
      </c>
      <c r="V133" s="11" t="e">
        <f t="shared" si="4"/>
        <v>#N/A</v>
      </c>
      <c r="W133" s="11" t="e">
        <f t="shared" si="5"/>
        <v>#N/A</v>
      </c>
      <c r="X133" s="11">
        <f>IF(VLOOKUP($H133, SeanRanks!$A$2:$H$303, 7, FALSE)=0, "", VLOOKUP($H133, SeanRanks!$A$2:$H$303, 7, FALSE))</f>
        <v>4</v>
      </c>
    </row>
    <row r="134" spans="1:24" ht="14.25" customHeight="1" x14ac:dyDescent="0.25">
      <c r="A134" s="11"/>
      <c r="B134" s="11" t="e">
        <f t="shared" si="6"/>
        <v>#N/A</v>
      </c>
      <c r="C134" s="11" t="s">
        <v>148</v>
      </c>
      <c r="D134" s="11"/>
      <c r="E134" s="11"/>
      <c r="F134" s="11">
        <f t="shared" si="1"/>
        <v>0</v>
      </c>
      <c r="G134" s="11"/>
      <c r="H134" s="11" t="s">
        <v>115</v>
      </c>
      <c r="I134" s="11" t="e">
        <f>VLOOKUP($H134, 'ADP Data'!$B$4:$Q$300, 2, FALSE)</f>
        <v>#N/A</v>
      </c>
      <c r="J134" s="11" t="s">
        <v>764</v>
      </c>
      <c r="K134" s="11">
        <f>VLOOKUP($H134, SeanRanks!$A$2:$H$303, 5, FALSE)</f>
        <v>0</v>
      </c>
      <c r="L134" s="11" t="str">
        <f>IF(VLOOKUP($H134, SeanRanks!$A$2:$H$303, 6, FALSE)=0, "", VLOOKUP($H134, SeanRanks!$A$2:$H$303, 6, FALSE))</f>
        <v>WR1 - 2 - High Floor</v>
      </c>
      <c r="M134" s="11">
        <f t="shared" si="2"/>
        <v>16</v>
      </c>
      <c r="N134" s="11" t="e">
        <f>VLOOKUP($H134, 'ADP Data'!$B$4:$Q$300, 10, FALSE)</f>
        <v>#N/A</v>
      </c>
      <c r="O134" s="11" t="e">
        <f>VLOOKUP($H134, 'ADP Data'!$B$4:$Q$300, 4, FALSE)</f>
        <v>#N/A</v>
      </c>
      <c r="P134" s="11" t="e">
        <f t="shared" si="3"/>
        <v>#N/A</v>
      </c>
      <c r="Q134" s="11" t="e">
        <f>VLOOKUP($H134, 'ADP Data'!$B$4:$Q$300, 5, FALSE)</f>
        <v>#N/A</v>
      </c>
      <c r="R134" s="11" t="e">
        <f>VLOOKUP($H134, 'ADP Data'!$B$4:$Q$300, 6, FALSE)</f>
        <v>#N/A</v>
      </c>
      <c r="S134" s="11" t="e">
        <f>VLOOKUP($H134, 'ADP Data'!$B$4:$Q$300, 7, FALSE)</f>
        <v>#N/A</v>
      </c>
      <c r="T134" s="11" t="e">
        <f>VLOOKUP($H134, 'ADP Data'!$B$4:$Q$300, 8, FALSE)</f>
        <v>#N/A</v>
      </c>
      <c r="U134" s="11" t="e">
        <f>VLOOKUP($H134, 'ADP Data'!$B$4:$Q$300, 9, FALSE)</f>
        <v>#N/A</v>
      </c>
      <c r="V134" s="11" t="e">
        <f t="shared" si="4"/>
        <v>#N/A</v>
      </c>
      <c r="W134" s="11" t="e">
        <f t="shared" si="5"/>
        <v>#N/A</v>
      </c>
      <c r="X134" s="11">
        <f>IF(VLOOKUP($H134, SeanRanks!$A$2:$H$303, 7, FALSE)=0, "", VLOOKUP($H134, SeanRanks!$A$2:$H$303, 7, FALSE))</f>
        <v>4</v>
      </c>
    </row>
    <row r="135" spans="1:24" ht="14.25" customHeight="1" x14ac:dyDescent="0.25">
      <c r="A135" s="11"/>
      <c r="B135" s="11" t="e">
        <f t="shared" si="6"/>
        <v>#N/A</v>
      </c>
      <c r="C135" s="11" t="s">
        <v>119</v>
      </c>
      <c r="D135" s="11">
        <v>2</v>
      </c>
      <c r="E135" s="11">
        <v>2</v>
      </c>
      <c r="F135" s="11">
        <f t="shared" si="1"/>
        <v>0</v>
      </c>
      <c r="G135" s="11"/>
      <c r="H135" s="11" t="s">
        <v>963</v>
      </c>
      <c r="I135" s="11" t="e">
        <f>VLOOKUP($H135, 'ADP Data'!$B$4:$Q$300, 2, FALSE)</f>
        <v>#N/A</v>
      </c>
      <c r="J135" s="11" t="s">
        <v>762</v>
      </c>
      <c r="K135" s="11" t="e">
        <f>VLOOKUP($H135, SeanRanks!$A$2:$H$303, 5, FALSE)</f>
        <v>#N/A</v>
      </c>
      <c r="L135" s="11" t="e">
        <f>IF(VLOOKUP($H135, SeanRanks!$A$2:$H$303, 6, FALSE)=0, "", VLOOKUP($H135, SeanRanks!$A$2:$H$303, 6, FALSE))</f>
        <v>#N/A</v>
      </c>
      <c r="M135" s="11">
        <f t="shared" si="2"/>
        <v>16</v>
      </c>
      <c r="N135" s="11" t="e">
        <f>VLOOKUP($H135, 'ADP Data'!$B$4:$Q$300, 10, FALSE)</f>
        <v>#N/A</v>
      </c>
      <c r="O135" s="11" t="e">
        <f>VLOOKUP($H135, 'ADP Data'!$B$4:$Q$300, 4, FALSE)</f>
        <v>#N/A</v>
      </c>
      <c r="P135" s="11" t="e">
        <f t="shared" si="3"/>
        <v>#N/A</v>
      </c>
      <c r="Q135" s="11" t="e">
        <f>VLOOKUP($H135, 'ADP Data'!$B$4:$Q$300, 5, FALSE)</f>
        <v>#N/A</v>
      </c>
      <c r="R135" s="11" t="e">
        <f>VLOOKUP($H135, 'ADP Data'!$B$4:$Q$300, 6, FALSE)</f>
        <v>#N/A</v>
      </c>
      <c r="S135" s="11" t="e">
        <f>VLOOKUP($H135, 'ADP Data'!$B$4:$Q$300, 7, FALSE)</f>
        <v>#N/A</v>
      </c>
      <c r="T135" s="11" t="e">
        <f>VLOOKUP($H135, 'ADP Data'!$B$4:$Q$300, 8, FALSE)</f>
        <v>#N/A</v>
      </c>
      <c r="U135" s="11" t="e">
        <f>VLOOKUP($H135, 'ADP Data'!$B$4:$Q$300, 9, FALSE)</f>
        <v>#N/A</v>
      </c>
      <c r="V135" s="11" t="e">
        <f t="shared" si="4"/>
        <v>#N/A</v>
      </c>
      <c r="W135" s="11" t="e">
        <f t="shared" si="5"/>
        <v>#N/A</v>
      </c>
      <c r="X135" s="11" t="e">
        <f>IF(VLOOKUP($H135, SeanRanks!$A$2:$H$303, 7, FALSE)=0, "", VLOOKUP($H135, SeanRanks!$A$2:$H$303, 7, FALSE))</f>
        <v>#N/A</v>
      </c>
    </row>
    <row r="136" spans="1:24" ht="14.25" customHeight="1" x14ac:dyDescent="0.25">
      <c r="A136" s="11"/>
      <c r="B136" s="11" t="e">
        <f t="shared" si="6"/>
        <v>#N/A</v>
      </c>
      <c r="C136" s="11" t="s">
        <v>119</v>
      </c>
      <c r="D136" s="11">
        <v>1</v>
      </c>
      <c r="E136" s="11"/>
      <c r="F136" s="11">
        <f t="shared" si="1"/>
        <v>1</v>
      </c>
      <c r="G136" s="11"/>
      <c r="H136" s="11" t="s">
        <v>1129</v>
      </c>
      <c r="I136" s="11" t="e">
        <f>VLOOKUP($H136, 'ADP Data'!$B$4:$Q$300, 2, FALSE)</f>
        <v>#N/A</v>
      </c>
      <c r="J136" s="11" t="s">
        <v>764</v>
      </c>
      <c r="K136" s="11" t="e">
        <f>VLOOKUP($H136, SeanRanks!$A$2:$H$303, 5, FALSE)</f>
        <v>#N/A</v>
      </c>
      <c r="L136" s="11" t="e">
        <f>IF(VLOOKUP($H136, SeanRanks!$A$2:$H$303, 6, FALSE)=0, "", VLOOKUP($H136, SeanRanks!$A$2:$H$303, 6, FALSE))</f>
        <v>#N/A</v>
      </c>
      <c r="M136" s="11">
        <f t="shared" si="2"/>
        <v>16</v>
      </c>
      <c r="N136" s="11" t="e">
        <f>VLOOKUP($H136, 'ADP Data'!$B$4:$Q$300, 10, FALSE)</f>
        <v>#N/A</v>
      </c>
      <c r="O136" s="11" t="e">
        <f>VLOOKUP($H136, 'ADP Data'!$B$4:$Q$300, 4, FALSE)</f>
        <v>#N/A</v>
      </c>
      <c r="P136" s="11" t="e">
        <f t="shared" si="3"/>
        <v>#N/A</v>
      </c>
      <c r="Q136" s="11" t="e">
        <f>VLOOKUP($H136, 'ADP Data'!$B$4:$Q$300, 5, FALSE)</f>
        <v>#N/A</v>
      </c>
      <c r="R136" s="11" t="e">
        <f>VLOOKUP($H136, 'ADP Data'!$B$4:$Q$300, 6, FALSE)</f>
        <v>#N/A</v>
      </c>
      <c r="S136" s="11" t="e">
        <f>VLOOKUP($H136, 'ADP Data'!$B$4:$Q$300, 7, FALSE)</f>
        <v>#N/A</v>
      </c>
      <c r="T136" s="11" t="e">
        <f>VLOOKUP($H136, 'ADP Data'!$B$4:$Q$300, 8, FALSE)</f>
        <v>#N/A</v>
      </c>
      <c r="U136" s="11" t="e">
        <f>VLOOKUP($H136, 'ADP Data'!$B$4:$Q$300, 9, FALSE)</f>
        <v>#N/A</v>
      </c>
      <c r="V136" s="11" t="e">
        <f t="shared" si="4"/>
        <v>#N/A</v>
      </c>
      <c r="W136" s="11" t="e">
        <f t="shared" si="5"/>
        <v>#N/A</v>
      </c>
      <c r="X136" s="11" t="e">
        <f>IF(VLOOKUP($H136, SeanRanks!$A$2:$H$303, 7, FALSE)=0, "", VLOOKUP($H136, SeanRanks!$A$2:$H$303, 7, FALSE))</f>
        <v>#N/A</v>
      </c>
    </row>
    <row r="137" spans="1:24" ht="14.25" customHeight="1" x14ac:dyDescent="0.25">
      <c r="A137" s="11"/>
      <c r="B137" s="11" t="e">
        <f t="shared" si="6"/>
        <v>#N/A</v>
      </c>
      <c r="C137" s="11" t="s">
        <v>119</v>
      </c>
      <c r="D137" s="11">
        <v>1</v>
      </c>
      <c r="E137" s="11">
        <v>1</v>
      </c>
      <c r="F137" s="11">
        <f t="shared" si="1"/>
        <v>0</v>
      </c>
      <c r="G137" s="11"/>
      <c r="H137" s="11" t="s">
        <v>231</v>
      </c>
      <c r="I137" s="80" t="e">
        <f>VLOOKUP($H137, 'ADP Data'!$B$4:$Q$300, 2, FALSE)</f>
        <v>#N/A</v>
      </c>
      <c r="J137" s="11" t="s">
        <v>762</v>
      </c>
      <c r="K137" s="11">
        <f>VLOOKUP($H137, SeanRanks!$A$2:$H$303, 5, FALSE)</f>
        <v>0</v>
      </c>
      <c r="L137" s="11" t="str">
        <f>IF(VLOOKUP($H137, SeanRanks!$A$2:$H$303, 6, FALSE)=0, "", VLOOKUP($H137, SeanRanks!$A$2:$H$303, 6, FALSE))</f>
        <v>RB3 - 2 - low ceiling</v>
      </c>
      <c r="M137" s="11">
        <f t="shared" si="2"/>
        <v>16</v>
      </c>
      <c r="N137" s="11" t="e">
        <f>VLOOKUP($H137, 'ADP Data'!$B$4:$Q$300, 10, FALSE)</f>
        <v>#N/A</v>
      </c>
      <c r="O137" s="11" t="e">
        <f>VLOOKUP($H137, 'ADP Data'!$B$4:$Q$300, 4, FALSE)</f>
        <v>#N/A</v>
      </c>
      <c r="P137" s="11" t="e">
        <f t="shared" si="3"/>
        <v>#N/A</v>
      </c>
      <c r="Q137" s="11" t="e">
        <f>VLOOKUP($H137, 'ADP Data'!$B$4:$Q$300, 5, FALSE)</f>
        <v>#N/A</v>
      </c>
      <c r="R137" s="11" t="e">
        <f>VLOOKUP($H137, 'ADP Data'!$B$4:$Q$300, 6, FALSE)</f>
        <v>#N/A</v>
      </c>
      <c r="S137" s="11" t="e">
        <f>VLOOKUP($H137, 'ADP Data'!$B$4:$Q$300, 7, FALSE)</f>
        <v>#N/A</v>
      </c>
      <c r="T137" s="11" t="e">
        <f>VLOOKUP($H137, 'ADP Data'!$B$4:$Q$300, 8, FALSE)</f>
        <v>#N/A</v>
      </c>
      <c r="U137" s="11" t="e">
        <f>VLOOKUP($H137, 'ADP Data'!$B$4:$Q$300, 9, FALSE)</f>
        <v>#N/A</v>
      </c>
      <c r="V137" s="11" t="e">
        <f t="shared" si="4"/>
        <v>#N/A</v>
      </c>
      <c r="W137" s="11" t="e">
        <f t="shared" si="5"/>
        <v>#N/A</v>
      </c>
      <c r="X137" s="11">
        <f>IF(VLOOKUP($H137, SeanRanks!$A$2:$H$303, 7, FALSE)=0, "", VLOOKUP($H137, SeanRanks!$A$2:$H$303, 7, FALSE))</f>
        <v>35</v>
      </c>
    </row>
    <row r="138" spans="1:24" ht="14.25" customHeight="1" x14ac:dyDescent="0.25">
      <c r="A138" s="11"/>
      <c r="B138" s="11" t="e">
        <f t="shared" si="6"/>
        <v>#N/A</v>
      </c>
      <c r="C138" s="11" t="s">
        <v>148</v>
      </c>
      <c r="D138" s="11"/>
      <c r="E138" s="11"/>
      <c r="F138" s="11">
        <f t="shared" si="1"/>
        <v>0</v>
      </c>
      <c r="G138" s="11"/>
      <c r="H138" s="11" t="s">
        <v>948</v>
      </c>
      <c r="I138" s="11" t="e">
        <f>VLOOKUP($H138, 'ADP Data'!$B$4:$Q$300, 2, FALSE)</f>
        <v>#N/A</v>
      </c>
      <c r="J138" s="11" t="s">
        <v>762</v>
      </c>
      <c r="K138" s="11">
        <f>VLOOKUP($H138, SeanRanks!$A$2:$H$303, 5, FALSE)</f>
        <v>0</v>
      </c>
      <c r="L138" s="11" t="str">
        <f>IF(VLOOKUP($H138, SeanRanks!$A$2:$H$303, 6, FALSE)=0, "", VLOOKUP($H138, SeanRanks!$A$2:$H$303, 6, FALSE))</f>
        <v/>
      </c>
      <c r="M138" s="11">
        <f t="shared" si="2"/>
        <v>16</v>
      </c>
      <c r="N138" s="11" t="e">
        <f>VLOOKUP($H138, 'ADP Data'!$B$4:$Q$300, 10, FALSE)</f>
        <v>#N/A</v>
      </c>
      <c r="O138" s="11" t="e">
        <f>VLOOKUP($H138, 'ADP Data'!$B$4:$Q$300, 4, FALSE)</f>
        <v>#N/A</v>
      </c>
      <c r="P138" s="11" t="e">
        <f t="shared" si="3"/>
        <v>#N/A</v>
      </c>
      <c r="Q138" s="11" t="e">
        <f>VLOOKUP($H138, 'ADP Data'!$B$4:$Q$300, 5, FALSE)</f>
        <v>#N/A</v>
      </c>
      <c r="R138" s="11" t="e">
        <f>VLOOKUP($H138, 'ADP Data'!$B$4:$Q$300, 6, FALSE)</f>
        <v>#N/A</v>
      </c>
      <c r="S138" s="11" t="e">
        <f>VLOOKUP($H138, 'ADP Data'!$B$4:$Q$300, 7, FALSE)</f>
        <v>#N/A</v>
      </c>
      <c r="T138" s="11" t="e">
        <f>VLOOKUP($H138, 'ADP Data'!$B$4:$Q$300, 8, FALSE)</f>
        <v>#N/A</v>
      </c>
      <c r="U138" s="11" t="e">
        <f>VLOOKUP($H138, 'ADP Data'!$B$4:$Q$300, 9, FALSE)</f>
        <v>#N/A</v>
      </c>
      <c r="V138" s="11" t="e">
        <f t="shared" si="4"/>
        <v>#N/A</v>
      </c>
      <c r="W138" s="11" t="e">
        <f t="shared" si="5"/>
        <v>#N/A</v>
      </c>
      <c r="X138" s="11" t="str">
        <f>IF(VLOOKUP($H138, SeanRanks!$A$2:$H$303, 7, FALSE)=0, "", VLOOKUP($H138, SeanRanks!$A$2:$H$303, 7, FALSE))</f>
        <v/>
      </c>
    </row>
    <row r="139" spans="1:24" ht="14.25" customHeight="1" x14ac:dyDescent="0.25">
      <c r="A139" s="11"/>
      <c r="B139" s="11" t="e">
        <f t="shared" si="6"/>
        <v>#N/A</v>
      </c>
      <c r="C139" s="11" t="s">
        <v>119</v>
      </c>
      <c r="D139" s="11">
        <v>1</v>
      </c>
      <c r="E139" s="11">
        <v>1</v>
      </c>
      <c r="F139" s="11">
        <f t="shared" si="1"/>
        <v>0</v>
      </c>
      <c r="G139" s="46" t="s">
        <v>148</v>
      </c>
      <c r="H139" s="11" t="s">
        <v>811</v>
      </c>
      <c r="I139" s="11" t="e">
        <f>VLOOKUP($H139, 'ADP Data'!$B$4:$Q$300, 2, FALSE)</f>
        <v>#N/A</v>
      </c>
      <c r="J139" s="11" t="s">
        <v>769</v>
      </c>
      <c r="K139" s="11">
        <f>VLOOKUP($H139, SeanRanks!$A$2:$H$303, 5, FALSE)</f>
        <v>0</v>
      </c>
      <c r="L139" s="11" t="str">
        <f>IF(VLOOKUP($H139, SeanRanks!$A$2:$H$303, 6, FALSE)=0, "", VLOOKUP($H139, SeanRanks!$A$2:$H$303, 6, FALSE))</f>
        <v/>
      </c>
      <c r="M139" s="11">
        <f t="shared" si="2"/>
        <v>16</v>
      </c>
      <c r="N139" s="11" t="e">
        <f>VLOOKUP($H139, 'ADP Data'!$B$4:$Q$300, 10, FALSE)</f>
        <v>#N/A</v>
      </c>
      <c r="O139" s="11" t="e">
        <f>VLOOKUP($H139, 'ADP Data'!$B$4:$Q$300, 4, FALSE)</f>
        <v>#N/A</v>
      </c>
      <c r="P139" s="11" t="e">
        <f t="shared" si="3"/>
        <v>#N/A</v>
      </c>
      <c r="Q139" s="11" t="e">
        <f>VLOOKUP($H139, 'ADP Data'!$B$4:$Q$300, 5, FALSE)</f>
        <v>#N/A</v>
      </c>
      <c r="R139" s="11" t="e">
        <f>VLOOKUP($H139, 'ADP Data'!$B$4:$Q$300, 6, FALSE)</f>
        <v>#N/A</v>
      </c>
      <c r="S139" s="11" t="e">
        <f>VLOOKUP($H139, 'ADP Data'!$B$4:$Q$300, 7, FALSE)</f>
        <v>#N/A</v>
      </c>
      <c r="T139" s="11" t="e">
        <f>VLOOKUP($H139, 'ADP Data'!$B$4:$Q$300, 8, FALSE)</f>
        <v>#N/A</v>
      </c>
      <c r="U139" s="11" t="e">
        <f>VLOOKUP($H139, 'ADP Data'!$B$4:$Q$300, 9, FALSE)</f>
        <v>#N/A</v>
      </c>
      <c r="V139" s="11" t="e">
        <f t="shared" si="4"/>
        <v>#N/A</v>
      </c>
      <c r="W139" s="11" t="e">
        <f t="shared" si="5"/>
        <v>#N/A</v>
      </c>
      <c r="X139" s="11" t="str">
        <f>IF(VLOOKUP($H139, SeanRanks!$A$2:$H$303, 7, FALSE)=0, "", VLOOKUP($H139, SeanRanks!$A$2:$H$303, 7, FALSE))</f>
        <v/>
      </c>
    </row>
    <row r="140" spans="1:24" ht="14.25" customHeight="1" x14ac:dyDescent="0.25">
      <c r="A140" s="11"/>
      <c r="B140" s="11" t="e">
        <f t="shared" si="6"/>
        <v>#N/A</v>
      </c>
      <c r="C140" s="11" t="s">
        <v>148</v>
      </c>
      <c r="D140" s="11"/>
      <c r="E140" s="11">
        <v>1</v>
      </c>
      <c r="F140" s="11">
        <f t="shared" si="1"/>
        <v>-1</v>
      </c>
      <c r="G140" s="11" t="s">
        <v>148</v>
      </c>
      <c r="H140" s="11" t="s">
        <v>1200</v>
      </c>
      <c r="I140" s="11" t="e">
        <f>VLOOKUP($H140, 'ADP Data'!$B$4:$Q$300, 2, FALSE)</f>
        <v>#N/A</v>
      </c>
      <c r="J140" s="11" t="s">
        <v>764</v>
      </c>
      <c r="K140" s="11" t="e">
        <f>VLOOKUP($H140, SeanRanks!$A$2:$H$303, 5, FALSE)</f>
        <v>#N/A</v>
      </c>
      <c r="L140" s="11" t="e">
        <f>IF(VLOOKUP($H140, SeanRanks!$A$2:$H$303, 6, FALSE)=0, "", VLOOKUP($H140, SeanRanks!$A$2:$H$303, 6, FALSE))</f>
        <v>#N/A</v>
      </c>
      <c r="M140" s="11">
        <f t="shared" si="2"/>
        <v>16</v>
      </c>
      <c r="N140" s="11" t="e">
        <f>VLOOKUP($H140, 'ADP Data'!$B$4:$Q$300, 10, FALSE)</f>
        <v>#N/A</v>
      </c>
      <c r="O140" s="11" t="e">
        <f>VLOOKUP($H140, 'ADP Data'!$B$4:$Q$300, 4, FALSE)</f>
        <v>#N/A</v>
      </c>
      <c r="P140" s="11" t="e">
        <f t="shared" si="3"/>
        <v>#N/A</v>
      </c>
      <c r="Q140" s="11" t="e">
        <f>VLOOKUP($H140, 'ADP Data'!$B$4:$Q$300, 5, FALSE)</f>
        <v>#N/A</v>
      </c>
      <c r="R140" s="11" t="e">
        <f>VLOOKUP($H140, 'ADP Data'!$B$4:$Q$300, 6, FALSE)</f>
        <v>#N/A</v>
      </c>
      <c r="S140" s="11" t="e">
        <f>VLOOKUP($H140, 'ADP Data'!$B$4:$Q$300, 7, FALSE)</f>
        <v>#N/A</v>
      </c>
      <c r="T140" s="11" t="e">
        <f>VLOOKUP($H140, 'ADP Data'!$B$4:$Q$300, 8, FALSE)</f>
        <v>#N/A</v>
      </c>
      <c r="U140" s="11" t="e">
        <f>VLOOKUP($H140, 'ADP Data'!$B$4:$Q$300, 9, FALSE)</f>
        <v>#N/A</v>
      </c>
      <c r="V140" s="11" t="e">
        <f t="shared" si="4"/>
        <v>#N/A</v>
      </c>
      <c r="W140" s="11" t="e">
        <f t="shared" si="5"/>
        <v>#N/A</v>
      </c>
      <c r="X140" s="11" t="e">
        <f>IF(VLOOKUP($H140, SeanRanks!$A$2:$H$303, 7, FALSE)=0, "", VLOOKUP($H140, SeanRanks!$A$2:$H$303, 7, FALSE))</f>
        <v>#N/A</v>
      </c>
    </row>
    <row r="141" spans="1:24" ht="14.25" customHeight="1" x14ac:dyDescent="0.25">
      <c r="A141" s="11"/>
      <c r="B141" s="11" t="e">
        <f t="shared" si="6"/>
        <v>#N/A</v>
      </c>
      <c r="C141" s="11" t="s">
        <v>119</v>
      </c>
      <c r="D141" s="11">
        <v>1</v>
      </c>
      <c r="E141" s="11"/>
      <c r="F141" s="11">
        <f t="shared" si="1"/>
        <v>1</v>
      </c>
      <c r="G141" s="11"/>
      <c r="H141" s="11" t="s">
        <v>335</v>
      </c>
      <c r="I141" s="11" t="e">
        <f>VLOOKUP($H141, 'ADP Data'!$B$4:$Q$300, 2, FALSE)</f>
        <v>#N/A</v>
      </c>
      <c r="J141" s="11" t="s">
        <v>764</v>
      </c>
      <c r="K141" s="11">
        <f>VLOOKUP($H141, SeanRanks!$A$2:$H$303, 5, FALSE)</f>
        <v>0</v>
      </c>
      <c r="L141" s="11" t="str">
        <f>IF(VLOOKUP($H141, SeanRanks!$A$2:$H$303, 6, FALSE)=0, "", VLOOKUP($H141, SeanRanks!$A$2:$H$303, 6, FALSE))</f>
        <v>WR3 - 3 - lower ceiling</v>
      </c>
      <c r="M141" s="11">
        <f t="shared" si="2"/>
        <v>16</v>
      </c>
      <c r="N141" s="11" t="e">
        <f>VLOOKUP($H141, 'ADP Data'!$B$4:$Q$300, 10, FALSE)</f>
        <v>#N/A</v>
      </c>
      <c r="O141" s="11" t="e">
        <f>VLOOKUP($H141, 'ADP Data'!$B$4:$Q$300, 4, FALSE)</f>
        <v>#N/A</v>
      </c>
      <c r="P141" s="11" t="e">
        <f t="shared" si="3"/>
        <v>#N/A</v>
      </c>
      <c r="Q141" s="11" t="e">
        <f>VLOOKUP($H141, 'ADP Data'!$B$4:$Q$300, 5, FALSE)</f>
        <v>#N/A</v>
      </c>
      <c r="R141" s="11" t="e">
        <f>VLOOKUP($H141, 'ADP Data'!$B$4:$Q$300, 6, FALSE)</f>
        <v>#N/A</v>
      </c>
      <c r="S141" s="11" t="e">
        <f>VLOOKUP($H141, 'ADP Data'!$B$4:$Q$300, 7, FALSE)</f>
        <v>#N/A</v>
      </c>
      <c r="T141" s="11" t="e">
        <f>VLOOKUP($H141, 'ADP Data'!$B$4:$Q$300, 8, FALSE)</f>
        <v>#N/A</v>
      </c>
      <c r="U141" s="11" t="e">
        <f>VLOOKUP($H141, 'ADP Data'!$B$4:$Q$300, 9, FALSE)</f>
        <v>#N/A</v>
      </c>
      <c r="V141" s="11" t="e">
        <f t="shared" si="4"/>
        <v>#N/A</v>
      </c>
      <c r="W141" s="11" t="e">
        <f t="shared" si="5"/>
        <v>#N/A</v>
      </c>
      <c r="X141" s="11">
        <f>IF(VLOOKUP($H141, SeanRanks!$A$2:$H$303, 7, FALSE)=0, "", VLOOKUP($H141, SeanRanks!$A$2:$H$303, 7, FALSE))</f>
        <v>35</v>
      </c>
    </row>
    <row r="142" spans="1:24" ht="14.25" customHeight="1" x14ac:dyDescent="0.25">
      <c r="A142" s="11"/>
      <c r="B142" s="11" t="e">
        <f t="shared" si="6"/>
        <v>#N/A</v>
      </c>
      <c r="C142" s="11" t="s">
        <v>148</v>
      </c>
      <c r="D142" s="11"/>
      <c r="E142" s="11"/>
      <c r="F142" s="11">
        <f t="shared" si="1"/>
        <v>0</v>
      </c>
      <c r="G142" s="11"/>
      <c r="H142" s="11" t="s">
        <v>621</v>
      </c>
      <c r="I142" s="11" t="e">
        <f>VLOOKUP($H142, 'ADP Data'!$B$4:$Q$300, 2, FALSE)</f>
        <v>#N/A</v>
      </c>
      <c r="J142" s="11" t="s">
        <v>764</v>
      </c>
      <c r="K142" s="11">
        <f>VLOOKUP($H142, SeanRanks!$A$2:$H$303, 5, FALSE)</f>
        <v>0</v>
      </c>
      <c r="L142" s="11" t="str">
        <f>IF(VLOOKUP($H142, SeanRanks!$A$2:$H$303, 6, FALSE)=0, "", VLOOKUP($H142, SeanRanks!$A$2:$H$303, 6, FALSE))</f>
        <v>WR5 - 2 - floor play not league winner</v>
      </c>
      <c r="M142" s="11">
        <f t="shared" si="2"/>
        <v>16</v>
      </c>
      <c r="N142" s="11" t="e">
        <f>VLOOKUP($H142, 'ADP Data'!$B$4:$Q$300, 10, FALSE)</f>
        <v>#N/A</v>
      </c>
      <c r="O142" s="11" t="e">
        <f>VLOOKUP($H142, 'ADP Data'!$B$4:$Q$300, 4, FALSE)</f>
        <v>#N/A</v>
      </c>
      <c r="P142" s="11" t="e">
        <f t="shared" si="3"/>
        <v>#N/A</v>
      </c>
      <c r="Q142" s="11" t="e">
        <f>VLOOKUP($H142, 'ADP Data'!$B$4:$Q$300, 5, FALSE)</f>
        <v>#N/A</v>
      </c>
      <c r="R142" s="11" t="e">
        <f>VLOOKUP($H142, 'ADP Data'!$B$4:$Q$300, 6, FALSE)</f>
        <v>#N/A</v>
      </c>
      <c r="S142" s="11" t="e">
        <f>VLOOKUP($H142, 'ADP Data'!$B$4:$Q$300, 7, FALSE)</f>
        <v>#N/A</v>
      </c>
      <c r="T142" s="11" t="e">
        <f>VLOOKUP($H142, 'ADP Data'!$B$4:$Q$300, 8, FALSE)</f>
        <v>#N/A</v>
      </c>
      <c r="U142" s="11" t="e">
        <f>VLOOKUP($H142, 'ADP Data'!$B$4:$Q$300, 9, FALSE)</f>
        <v>#N/A</v>
      </c>
      <c r="V142" s="11" t="e">
        <f t="shared" si="4"/>
        <v>#N/A</v>
      </c>
      <c r="W142" s="11" t="e">
        <f t="shared" si="5"/>
        <v>#N/A</v>
      </c>
      <c r="X142" s="11">
        <f>IF(VLOOKUP($H142, SeanRanks!$A$2:$H$303, 7, FALSE)=0, "", VLOOKUP($H142, SeanRanks!$A$2:$H$303, 7, FALSE))</f>
        <v>56</v>
      </c>
    </row>
    <row r="143" spans="1:24" ht="14.25" customHeight="1" x14ac:dyDescent="0.25">
      <c r="A143" s="11"/>
      <c r="B143" s="11" t="e">
        <f t="shared" si="6"/>
        <v>#N/A</v>
      </c>
      <c r="C143" s="11" t="s">
        <v>148</v>
      </c>
      <c r="D143" s="11"/>
      <c r="E143" s="11"/>
      <c r="F143" s="11">
        <f t="shared" si="1"/>
        <v>0</v>
      </c>
      <c r="G143" s="11" t="s">
        <v>1110</v>
      </c>
      <c r="H143" s="11" t="s">
        <v>346</v>
      </c>
      <c r="I143" s="11" t="e">
        <f>VLOOKUP($H143, 'ADP Data'!$B$4:$Q$300, 2, FALSE)</f>
        <v>#N/A</v>
      </c>
      <c r="J143" s="11" t="s">
        <v>764</v>
      </c>
      <c r="K143" s="11">
        <f>VLOOKUP($H143, SeanRanks!$A$2:$H$303, 5, FALSE)</f>
        <v>0</v>
      </c>
      <c r="L143" s="11" t="str">
        <f>IF(VLOOKUP($H143, SeanRanks!$A$2:$H$303, 6, FALSE)=0, "", VLOOKUP($H143, SeanRanks!$A$2:$H$303, 6, FALSE))</f>
        <v/>
      </c>
      <c r="M143" s="11">
        <f t="shared" si="2"/>
        <v>16</v>
      </c>
      <c r="N143" s="11" t="e">
        <f>VLOOKUP($H143, 'ADP Data'!$B$4:$Q$300, 10, FALSE)</f>
        <v>#N/A</v>
      </c>
      <c r="O143" s="11" t="e">
        <f>VLOOKUP($H143, 'ADP Data'!$B$4:$Q$300, 4, FALSE)</f>
        <v>#N/A</v>
      </c>
      <c r="P143" s="11" t="e">
        <f t="shared" si="3"/>
        <v>#N/A</v>
      </c>
      <c r="Q143" s="11" t="e">
        <f>VLOOKUP($H143, 'ADP Data'!$B$4:$Q$300, 5, FALSE)</f>
        <v>#N/A</v>
      </c>
      <c r="R143" s="11" t="e">
        <f>VLOOKUP($H143, 'ADP Data'!$B$4:$Q$300, 6, FALSE)</f>
        <v>#N/A</v>
      </c>
      <c r="S143" s="11" t="e">
        <f>VLOOKUP($H143, 'ADP Data'!$B$4:$Q$300, 7, FALSE)</f>
        <v>#N/A</v>
      </c>
      <c r="T143" s="11" t="e">
        <f>VLOOKUP($H143, 'ADP Data'!$B$4:$Q$300, 8, FALSE)</f>
        <v>#N/A</v>
      </c>
      <c r="U143" s="11" t="e">
        <f>VLOOKUP($H143, 'ADP Data'!$B$4:$Q$300, 9, FALSE)</f>
        <v>#N/A</v>
      </c>
      <c r="V143" s="11" t="e">
        <f t="shared" si="4"/>
        <v>#N/A</v>
      </c>
      <c r="W143" s="11" t="e">
        <f t="shared" si="5"/>
        <v>#N/A</v>
      </c>
      <c r="X143" s="11" t="str">
        <f>IF(VLOOKUP($H143, SeanRanks!$A$2:$H$303, 7, FALSE)=0, "", VLOOKUP($H143, SeanRanks!$A$2:$H$303, 7, FALSE))</f>
        <v/>
      </c>
    </row>
    <row r="144" spans="1:24" ht="14.25" customHeight="1" x14ac:dyDescent="0.25">
      <c r="A144" s="11"/>
      <c r="B144" s="11" t="e">
        <f t="shared" si="6"/>
        <v>#N/A</v>
      </c>
      <c r="C144" s="11" t="s">
        <v>148</v>
      </c>
      <c r="D144" s="11"/>
      <c r="E144" s="11">
        <v>2</v>
      </c>
      <c r="F144" s="11">
        <f t="shared" si="1"/>
        <v>-2</v>
      </c>
      <c r="G144" s="46" t="s">
        <v>1233</v>
      </c>
      <c r="H144" s="11" t="s">
        <v>333</v>
      </c>
      <c r="I144" s="58" t="e">
        <f>VLOOKUP($H144, 'ADP Data'!$B$4:$Q$300, 2, FALSE)</f>
        <v>#N/A</v>
      </c>
      <c r="J144" s="11" t="s">
        <v>760</v>
      </c>
      <c r="K144" s="11">
        <f>VLOOKUP($H144, SeanRanks!$A$2:$H$303, 5, FALSE)</f>
        <v>0</v>
      </c>
      <c r="L144" s="11" t="str">
        <f>IF(VLOOKUP($H144, SeanRanks!$A$2:$H$303, 6, FALSE)=0, "", VLOOKUP($H144, SeanRanks!$A$2:$H$303, 6, FALSE))</f>
        <v>QB2 - 2 - Not League Winner</v>
      </c>
      <c r="M144" s="11">
        <f t="shared" si="2"/>
        <v>16</v>
      </c>
      <c r="N144" s="11" t="e">
        <f>VLOOKUP($H144, 'ADP Data'!$B$4:$Q$300, 10, FALSE)</f>
        <v>#N/A</v>
      </c>
      <c r="O144" s="11" t="e">
        <f>VLOOKUP($H144, 'ADP Data'!$B$4:$Q$300, 4, FALSE)</f>
        <v>#N/A</v>
      </c>
      <c r="P144" s="11" t="e">
        <f t="shared" si="3"/>
        <v>#N/A</v>
      </c>
      <c r="Q144" s="11" t="e">
        <f>VLOOKUP($H144, 'ADP Data'!$B$4:$Q$300, 5, FALSE)</f>
        <v>#N/A</v>
      </c>
      <c r="R144" s="11" t="e">
        <f>VLOOKUP($H144, 'ADP Data'!$B$4:$Q$300, 6, FALSE)</f>
        <v>#N/A</v>
      </c>
      <c r="S144" s="11" t="e">
        <f>VLOOKUP($H144, 'ADP Data'!$B$4:$Q$300, 7, FALSE)</f>
        <v>#N/A</v>
      </c>
      <c r="T144" s="11" t="e">
        <f>VLOOKUP($H144, 'ADP Data'!$B$4:$Q$300, 8, FALSE)</f>
        <v>#N/A</v>
      </c>
      <c r="U144" s="11" t="e">
        <f>VLOOKUP($H144, 'ADP Data'!$B$4:$Q$300, 9, FALSE)</f>
        <v>#N/A</v>
      </c>
      <c r="V144" s="11" t="e">
        <f t="shared" si="4"/>
        <v>#N/A</v>
      </c>
      <c r="W144" s="11" t="e">
        <f t="shared" si="5"/>
        <v>#N/A</v>
      </c>
      <c r="X144" s="11">
        <f>IF(VLOOKUP($H144, SeanRanks!$A$2:$H$303, 7, FALSE)=0, "", VLOOKUP($H144, SeanRanks!$A$2:$H$303, 7, FALSE))</f>
        <v>16</v>
      </c>
    </row>
    <row r="145" spans="1:24" ht="14.25" customHeight="1" x14ac:dyDescent="0.25">
      <c r="A145" s="11"/>
      <c r="B145" s="11" t="e">
        <f t="shared" si="6"/>
        <v>#N/A</v>
      </c>
      <c r="C145" s="11" t="s">
        <v>148</v>
      </c>
      <c r="D145" s="11"/>
      <c r="E145" s="11"/>
      <c r="F145" s="11">
        <f t="shared" si="1"/>
        <v>0</v>
      </c>
      <c r="G145" s="11"/>
      <c r="H145" s="11" t="s">
        <v>949</v>
      </c>
      <c r="I145" s="11" t="e">
        <f>VLOOKUP($H145, 'ADP Data'!$B$4:$Q$300, 2, FALSE)</f>
        <v>#N/A</v>
      </c>
      <c r="J145" s="11" t="s">
        <v>760</v>
      </c>
      <c r="K145" s="11">
        <f>VLOOKUP($H145, SeanRanks!$A$2:$H$303, 5, FALSE)</f>
        <v>0</v>
      </c>
      <c r="L145" s="11" t="str">
        <f>IF(VLOOKUP($H145, SeanRanks!$A$2:$H$303, 6, FALSE)=0, "", VLOOKUP($H145, SeanRanks!$A$2:$H$303, 6, FALSE))</f>
        <v/>
      </c>
      <c r="M145" s="11">
        <f t="shared" si="2"/>
        <v>16</v>
      </c>
      <c r="N145" s="11" t="e">
        <f>VLOOKUP($H145, 'ADP Data'!$B$4:$Q$300, 10, FALSE)</f>
        <v>#N/A</v>
      </c>
      <c r="O145" s="11" t="e">
        <f>VLOOKUP($H145, 'ADP Data'!$B$4:$Q$300, 4, FALSE)</f>
        <v>#N/A</v>
      </c>
      <c r="P145" s="11" t="e">
        <f t="shared" si="3"/>
        <v>#N/A</v>
      </c>
      <c r="Q145" s="11" t="e">
        <f>VLOOKUP($H145, 'ADP Data'!$B$4:$Q$300, 5, FALSE)</f>
        <v>#N/A</v>
      </c>
      <c r="R145" s="11" t="e">
        <f>VLOOKUP($H145, 'ADP Data'!$B$4:$Q$300, 6, FALSE)</f>
        <v>#N/A</v>
      </c>
      <c r="S145" s="11" t="e">
        <f>VLOOKUP($H145, 'ADP Data'!$B$4:$Q$300, 7, FALSE)</f>
        <v>#N/A</v>
      </c>
      <c r="T145" s="11" t="e">
        <f>VLOOKUP($H145, 'ADP Data'!$B$4:$Q$300, 8, FALSE)</f>
        <v>#N/A</v>
      </c>
      <c r="U145" s="11" t="e">
        <f>VLOOKUP($H145, 'ADP Data'!$B$4:$Q$300, 9, FALSE)</f>
        <v>#N/A</v>
      </c>
      <c r="V145" s="11" t="e">
        <f t="shared" si="4"/>
        <v>#N/A</v>
      </c>
      <c r="W145" s="11" t="e">
        <f t="shared" si="5"/>
        <v>#N/A</v>
      </c>
      <c r="X145" s="11" t="str">
        <f>IF(VLOOKUP($H145, SeanRanks!$A$2:$H$303, 7, FALSE)=0, "", VLOOKUP($H145, SeanRanks!$A$2:$H$303, 7, FALSE))</f>
        <v/>
      </c>
    </row>
    <row r="146" spans="1:24" ht="14.25" customHeight="1" x14ac:dyDescent="0.25">
      <c r="A146" s="11"/>
      <c r="B146" s="11" t="e">
        <f t="shared" si="6"/>
        <v>#N/A</v>
      </c>
      <c r="C146" s="11" t="s">
        <v>119</v>
      </c>
      <c r="D146" s="11">
        <v>2</v>
      </c>
      <c r="E146" s="11">
        <v>0</v>
      </c>
      <c r="F146" s="11">
        <f t="shared" si="1"/>
        <v>2</v>
      </c>
      <c r="G146" s="11"/>
      <c r="H146" s="11" t="s">
        <v>1235</v>
      </c>
      <c r="I146" s="11" t="e">
        <f>VLOOKUP($H146, 'ADP Data'!$B$4:$Q$300, 2, FALSE)</f>
        <v>#N/A</v>
      </c>
      <c r="J146" s="11" t="s">
        <v>764</v>
      </c>
      <c r="K146" s="11" t="e">
        <f>VLOOKUP($H146, SeanRanks!$A$2:$H$303, 5, FALSE)</f>
        <v>#N/A</v>
      </c>
      <c r="L146" s="11" t="e">
        <f>IF(VLOOKUP($H146, SeanRanks!$A$2:$H$303, 6, FALSE)=0, "", VLOOKUP($H146, SeanRanks!$A$2:$H$303, 6, FALSE))</f>
        <v>#N/A</v>
      </c>
      <c r="M146" s="11">
        <f t="shared" si="2"/>
        <v>16</v>
      </c>
      <c r="N146" s="11" t="e">
        <f>VLOOKUP($H146, 'ADP Data'!$B$4:$Q$300, 10, FALSE)</f>
        <v>#N/A</v>
      </c>
      <c r="O146" s="11" t="e">
        <f>VLOOKUP($H146, 'ADP Data'!$B$4:$Q$300, 4, FALSE)</f>
        <v>#N/A</v>
      </c>
      <c r="P146" s="11" t="e">
        <f t="shared" si="3"/>
        <v>#N/A</v>
      </c>
      <c r="Q146" s="11" t="e">
        <f>VLOOKUP($H146, 'ADP Data'!$B$4:$Q$300, 5, FALSE)</f>
        <v>#N/A</v>
      </c>
      <c r="R146" s="11" t="e">
        <f>VLOOKUP($H146, 'ADP Data'!$B$4:$Q$300, 6, FALSE)</f>
        <v>#N/A</v>
      </c>
      <c r="S146" s="11" t="e">
        <f>VLOOKUP($H146, 'ADP Data'!$B$4:$Q$300, 7, FALSE)</f>
        <v>#N/A</v>
      </c>
      <c r="T146" s="11" t="e">
        <f>VLOOKUP($H146, 'ADP Data'!$B$4:$Q$300, 8, FALSE)</f>
        <v>#N/A</v>
      </c>
      <c r="U146" s="11" t="e">
        <f>VLOOKUP($H146, 'ADP Data'!$B$4:$Q$300, 9, FALSE)</f>
        <v>#N/A</v>
      </c>
      <c r="V146" s="11" t="e">
        <f t="shared" si="4"/>
        <v>#N/A</v>
      </c>
      <c r="W146" s="11" t="e">
        <f t="shared" si="5"/>
        <v>#N/A</v>
      </c>
      <c r="X146" s="11" t="e">
        <f>IF(VLOOKUP($H146, SeanRanks!$A$2:$H$303, 7, FALSE)=0, "", VLOOKUP($H146, SeanRanks!$A$2:$H$303, 7, FALSE))</f>
        <v>#N/A</v>
      </c>
    </row>
    <row r="147" spans="1:24" ht="14.25" customHeight="1" x14ac:dyDescent="0.25">
      <c r="A147" s="11"/>
      <c r="B147" s="11" t="e">
        <f t="shared" si="6"/>
        <v>#N/A</v>
      </c>
      <c r="C147" s="11" t="s">
        <v>119</v>
      </c>
      <c r="D147" s="11">
        <v>1</v>
      </c>
      <c r="E147" s="11">
        <v>0</v>
      </c>
      <c r="F147" s="11">
        <f t="shared" si="1"/>
        <v>1</v>
      </c>
      <c r="G147" s="11"/>
      <c r="H147" s="11" t="s">
        <v>672</v>
      </c>
      <c r="I147" s="11" t="e">
        <f>VLOOKUP($H147, 'ADP Data'!$B$4:$Q$300, 2, FALSE)</f>
        <v>#N/A</v>
      </c>
      <c r="J147" s="11" t="s">
        <v>764</v>
      </c>
      <c r="K147" s="11" t="e">
        <f>VLOOKUP($H147, SeanRanks!$A$2:$H$303, 5, FALSE)</f>
        <v>#N/A</v>
      </c>
      <c r="L147" s="11" t="e">
        <f>IF(VLOOKUP($H147, SeanRanks!$A$2:$H$303, 6, FALSE)=0, "", VLOOKUP($H147, SeanRanks!$A$2:$H$303, 6, FALSE))</f>
        <v>#N/A</v>
      </c>
      <c r="M147" s="11">
        <f t="shared" si="2"/>
        <v>16</v>
      </c>
      <c r="N147" s="11" t="e">
        <f>VLOOKUP($H147, 'ADP Data'!$B$4:$Q$300, 10, FALSE)</f>
        <v>#N/A</v>
      </c>
      <c r="O147" s="11" t="e">
        <f>VLOOKUP($H147, 'ADP Data'!$B$4:$Q$300, 4, FALSE)</f>
        <v>#N/A</v>
      </c>
      <c r="P147" s="11" t="e">
        <f t="shared" si="3"/>
        <v>#N/A</v>
      </c>
      <c r="Q147" s="11" t="e">
        <f>VLOOKUP($H147, 'ADP Data'!$B$4:$Q$300, 5, FALSE)</f>
        <v>#N/A</v>
      </c>
      <c r="R147" s="11" t="e">
        <f>VLOOKUP($H147, 'ADP Data'!$B$4:$Q$300, 6, FALSE)</f>
        <v>#N/A</v>
      </c>
      <c r="S147" s="11" t="e">
        <f>VLOOKUP($H147, 'ADP Data'!$B$4:$Q$300, 7, FALSE)</f>
        <v>#N/A</v>
      </c>
      <c r="T147" s="11" t="e">
        <f>VLOOKUP($H147, 'ADP Data'!$B$4:$Q$300, 8, FALSE)</f>
        <v>#N/A</v>
      </c>
      <c r="U147" s="11" t="e">
        <f>VLOOKUP($H147, 'ADP Data'!$B$4:$Q$300, 9, FALSE)</f>
        <v>#N/A</v>
      </c>
      <c r="V147" s="11" t="e">
        <f t="shared" si="4"/>
        <v>#N/A</v>
      </c>
      <c r="W147" s="11" t="e">
        <f t="shared" si="5"/>
        <v>#N/A</v>
      </c>
      <c r="X147" s="11" t="e">
        <f>IF(VLOOKUP($H147, SeanRanks!$A$2:$H$303, 7, FALSE)=0, "", VLOOKUP($H147, SeanRanks!$A$2:$H$303, 7, FALSE))</f>
        <v>#N/A</v>
      </c>
    </row>
    <row r="148" spans="1:24" ht="14.25" customHeight="1" x14ac:dyDescent="0.25">
      <c r="A148" s="11"/>
      <c r="B148" s="11" t="e">
        <f t="shared" si="6"/>
        <v>#N/A</v>
      </c>
      <c r="C148" s="11" t="s">
        <v>119</v>
      </c>
      <c r="D148" s="11">
        <v>1</v>
      </c>
      <c r="E148" s="11">
        <v>0</v>
      </c>
      <c r="F148" s="11">
        <f t="shared" si="1"/>
        <v>1</v>
      </c>
      <c r="G148" s="11"/>
      <c r="H148" s="11" t="s">
        <v>405</v>
      </c>
      <c r="I148" s="11" t="e">
        <f>VLOOKUP($H148, 'ADP Data'!$B$4:$Q$300, 2, FALSE)</f>
        <v>#N/A</v>
      </c>
      <c r="J148" s="11" t="s">
        <v>769</v>
      </c>
      <c r="K148" s="11">
        <f>VLOOKUP($H148, SeanRanks!$A$2:$H$303, 5, FALSE)</f>
        <v>0</v>
      </c>
      <c r="L148" s="11" t="str">
        <f>IF(VLOOKUP($H148, SeanRanks!$A$2:$H$303, 6, FALSE)=0, "", VLOOKUP($H148, SeanRanks!$A$2:$H$303, 6, FALSE))</f>
        <v/>
      </c>
      <c r="M148" s="11">
        <f t="shared" si="2"/>
        <v>16</v>
      </c>
      <c r="N148" s="11" t="e">
        <f>VLOOKUP($H148, 'ADP Data'!$B$4:$Q$300, 10, FALSE)</f>
        <v>#N/A</v>
      </c>
      <c r="O148" s="11" t="e">
        <f>VLOOKUP($H148, 'ADP Data'!$B$4:$Q$300, 4, FALSE)</f>
        <v>#N/A</v>
      </c>
      <c r="P148" s="11" t="e">
        <f t="shared" si="3"/>
        <v>#N/A</v>
      </c>
      <c r="Q148" s="11" t="e">
        <f>VLOOKUP($H148, 'ADP Data'!$B$4:$Q$300, 5, FALSE)</f>
        <v>#N/A</v>
      </c>
      <c r="R148" s="11" t="e">
        <f>VLOOKUP($H148, 'ADP Data'!$B$4:$Q$300, 6, FALSE)</f>
        <v>#N/A</v>
      </c>
      <c r="S148" s="11" t="e">
        <f>VLOOKUP($H148, 'ADP Data'!$B$4:$Q$300, 7, FALSE)</f>
        <v>#N/A</v>
      </c>
      <c r="T148" s="11" t="e">
        <f>VLOOKUP($H148, 'ADP Data'!$B$4:$Q$300, 8, FALSE)</f>
        <v>#N/A</v>
      </c>
      <c r="U148" s="11" t="e">
        <f>VLOOKUP($H148, 'ADP Data'!$B$4:$Q$300, 9, FALSE)</f>
        <v>#N/A</v>
      </c>
      <c r="V148" s="11" t="e">
        <f t="shared" si="4"/>
        <v>#N/A</v>
      </c>
      <c r="W148" s="11" t="e">
        <f t="shared" si="5"/>
        <v>#N/A</v>
      </c>
      <c r="X148" s="11" t="str">
        <f>IF(VLOOKUP($H148, SeanRanks!$A$2:$H$303, 7, FALSE)=0, "", VLOOKUP($H148, SeanRanks!$A$2:$H$303, 7, FALSE))</f>
        <v/>
      </c>
    </row>
    <row r="149" spans="1:24" ht="14.25" customHeight="1" x14ac:dyDescent="0.25">
      <c r="A149" s="11"/>
      <c r="B149" s="11" t="e">
        <f t="shared" si="6"/>
        <v>#N/A</v>
      </c>
      <c r="C149" s="11" t="s">
        <v>148</v>
      </c>
      <c r="D149" s="11"/>
      <c r="E149" s="11"/>
      <c r="F149" s="11">
        <f t="shared" si="1"/>
        <v>0</v>
      </c>
      <c r="G149" s="11"/>
      <c r="H149" s="11" t="s">
        <v>340</v>
      </c>
      <c r="I149" s="11" t="e">
        <f>VLOOKUP($H149, 'ADP Data'!$B$4:$Q$300, 2, FALSE)</f>
        <v>#N/A</v>
      </c>
      <c r="J149" s="11" t="s">
        <v>769</v>
      </c>
      <c r="K149" s="11" t="str">
        <f>VLOOKUP($H149, SeanRanks!$A$2:$H$303, 5, FALSE)</f>
        <v>Yes</v>
      </c>
      <c r="L149" s="11" t="str">
        <f>IF(VLOOKUP($H149, SeanRanks!$A$2:$H$303, 6, FALSE)=0, "", VLOOKUP($H149, SeanRanks!$A$2:$H$303, 6, FALSE))</f>
        <v>TE2 - 1 - Big Upside</v>
      </c>
      <c r="M149" s="11">
        <f t="shared" si="2"/>
        <v>16</v>
      </c>
      <c r="N149" s="11" t="e">
        <f>VLOOKUP($H149, 'ADP Data'!$B$4:$Q$300, 10, FALSE)</f>
        <v>#N/A</v>
      </c>
      <c r="O149" s="11" t="e">
        <f>VLOOKUP($H149, 'ADP Data'!$B$4:$Q$300, 4, FALSE)</f>
        <v>#N/A</v>
      </c>
      <c r="P149" s="11" t="e">
        <f t="shared" si="3"/>
        <v>#N/A</v>
      </c>
      <c r="Q149" s="11" t="e">
        <f>VLOOKUP($H149, 'ADP Data'!$B$4:$Q$300, 5, FALSE)</f>
        <v>#N/A</v>
      </c>
      <c r="R149" s="11" t="e">
        <f>VLOOKUP($H149, 'ADP Data'!$B$4:$Q$300, 6, FALSE)</f>
        <v>#N/A</v>
      </c>
      <c r="S149" s="11" t="e">
        <f>VLOOKUP($H149, 'ADP Data'!$B$4:$Q$300, 7, FALSE)</f>
        <v>#N/A</v>
      </c>
      <c r="T149" s="11" t="e">
        <f>VLOOKUP($H149, 'ADP Data'!$B$4:$Q$300, 8, FALSE)</f>
        <v>#N/A</v>
      </c>
      <c r="U149" s="11" t="e">
        <f>VLOOKUP($H149, 'ADP Data'!$B$4:$Q$300, 9, FALSE)</f>
        <v>#N/A</v>
      </c>
      <c r="V149" s="11" t="e">
        <f t="shared" si="4"/>
        <v>#N/A</v>
      </c>
      <c r="W149" s="11" t="e">
        <f t="shared" si="5"/>
        <v>#N/A</v>
      </c>
      <c r="X149" s="11">
        <f>IF(VLOOKUP($H149, SeanRanks!$A$2:$H$303, 7, FALSE)=0, "", VLOOKUP($H149, SeanRanks!$A$2:$H$303, 7, FALSE))</f>
        <v>14</v>
      </c>
    </row>
    <row r="150" spans="1:24" ht="14.25" customHeight="1" x14ac:dyDescent="0.25">
      <c r="A150" s="11"/>
      <c r="B150" s="11" t="e">
        <f t="shared" si="6"/>
        <v>#N/A</v>
      </c>
      <c r="C150" s="11" t="s">
        <v>148</v>
      </c>
      <c r="D150" s="11"/>
      <c r="E150" s="11"/>
      <c r="F150" s="11">
        <f t="shared" si="1"/>
        <v>0</v>
      </c>
      <c r="G150" s="11"/>
      <c r="H150" s="11" t="s">
        <v>379</v>
      </c>
      <c r="I150" s="11" t="e">
        <f>VLOOKUP($H150, 'ADP Data'!$B$4:$Q$300, 2, FALSE)</f>
        <v>#N/A</v>
      </c>
      <c r="J150" s="11" t="s">
        <v>769</v>
      </c>
      <c r="K150" s="11">
        <f>VLOOKUP($H150, SeanRanks!$A$2:$H$303, 5, FALSE)</f>
        <v>0</v>
      </c>
      <c r="L150" s="11" t="str">
        <f>IF(VLOOKUP($H150, SeanRanks!$A$2:$H$303, 6, FALSE)=0, "", VLOOKUP($H150, SeanRanks!$A$2:$H$303, 6, FALSE))</f>
        <v/>
      </c>
      <c r="M150" s="11">
        <f t="shared" si="2"/>
        <v>16</v>
      </c>
      <c r="N150" s="11" t="e">
        <f>VLOOKUP($H150, 'ADP Data'!$B$4:$Q$300, 10, FALSE)</f>
        <v>#N/A</v>
      </c>
      <c r="O150" s="11" t="e">
        <f>VLOOKUP($H150, 'ADP Data'!$B$4:$Q$300, 4, FALSE)</f>
        <v>#N/A</v>
      </c>
      <c r="P150" s="11" t="e">
        <f t="shared" si="3"/>
        <v>#N/A</v>
      </c>
      <c r="Q150" s="11" t="e">
        <f>VLOOKUP($H150, 'ADP Data'!$B$4:$Q$300, 5, FALSE)</f>
        <v>#N/A</v>
      </c>
      <c r="R150" s="11" t="e">
        <f>VLOOKUP($H150, 'ADP Data'!$B$4:$Q$300, 6, FALSE)</f>
        <v>#N/A</v>
      </c>
      <c r="S150" s="11" t="e">
        <f>VLOOKUP($H150, 'ADP Data'!$B$4:$Q$300, 7, FALSE)</f>
        <v>#N/A</v>
      </c>
      <c r="T150" s="11" t="e">
        <f>VLOOKUP($H150, 'ADP Data'!$B$4:$Q$300, 8, FALSE)</f>
        <v>#N/A</v>
      </c>
      <c r="U150" s="11" t="e">
        <f>VLOOKUP($H150, 'ADP Data'!$B$4:$Q$300, 9, FALSE)</f>
        <v>#N/A</v>
      </c>
      <c r="V150" s="11" t="e">
        <f t="shared" si="4"/>
        <v>#N/A</v>
      </c>
      <c r="W150" s="11" t="e">
        <f t="shared" si="5"/>
        <v>#N/A</v>
      </c>
      <c r="X150" s="11" t="str">
        <f>IF(VLOOKUP($H150, SeanRanks!$A$2:$H$303, 7, FALSE)=0, "", VLOOKUP($H150, SeanRanks!$A$2:$H$303, 7, FALSE))</f>
        <v/>
      </c>
    </row>
    <row r="151" spans="1:24" ht="14.25" customHeight="1" x14ac:dyDescent="0.25">
      <c r="A151" s="11"/>
      <c r="B151" s="11" t="e">
        <f t="shared" si="6"/>
        <v>#N/A</v>
      </c>
      <c r="C151" s="11" t="s">
        <v>148</v>
      </c>
      <c r="D151" s="11"/>
      <c r="E151" s="11"/>
      <c r="F151" s="11">
        <f t="shared" si="1"/>
        <v>0</v>
      </c>
      <c r="G151" s="11"/>
      <c r="H151" s="11" t="s">
        <v>983</v>
      </c>
      <c r="I151" s="11" t="e">
        <f>VLOOKUP($H151, 'ADP Data'!$B$4:$Q$300, 2, FALSE)</f>
        <v>#N/A</v>
      </c>
      <c r="J151" s="11" t="s">
        <v>764</v>
      </c>
      <c r="K151" s="11" t="e">
        <f>VLOOKUP($H151, SeanRanks!$A$2:$H$303, 5, FALSE)</f>
        <v>#N/A</v>
      </c>
      <c r="L151" s="11" t="e">
        <f>IF(VLOOKUP($H151, SeanRanks!$A$2:$H$303, 6, FALSE)=0, "", VLOOKUP($H151, SeanRanks!$A$2:$H$303, 6, FALSE))</f>
        <v>#N/A</v>
      </c>
      <c r="M151" s="11">
        <f t="shared" si="2"/>
        <v>16</v>
      </c>
      <c r="N151" s="11" t="e">
        <f>VLOOKUP($H151, 'ADP Data'!$B$4:$Q$300, 10, FALSE)</f>
        <v>#N/A</v>
      </c>
      <c r="O151" s="11" t="e">
        <f>VLOOKUP($H151, 'ADP Data'!$B$4:$Q$300, 4, FALSE)</f>
        <v>#N/A</v>
      </c>
      <c r="P151" s="11" t="e">
        <f t="shared" si="3"/>
        <v>#N/A</v>
      </c>
      <c r="Q151" s="11" t="e">
        <f>VLOOKUP($H151, 'ADP Data'!$B$4:$Q$300, 5, FALSE)</f>
        <v>#N/A</v>
      </c>
      <c r="R151" s="11" t="e">
        <f>VLOOKUP($H151, 'ADP Data'!$B$4:$Q$300, 6, FALSE)</f>
        <v>#N/A</v>
      </c>
      <c r="S151" s="11" t="e">
        <f>VLOOKUP($H151, 'ADP Data'!$B$4:$Q$300, 7, FALSE)</f>
        <v>#N/A</v>
      </c>
      <c r="T151" s="11" t="e">
        <f>VLOOKUP($H151, 'ADP Data'!$B$4:$Q$300, 8, FALSE)</f>
        <v>#N/A</v>
      </c>
      <c r="U151" s="11" t="e">
        <f>VLOOKUP($H151, 'ADP Data'!$B$4:$Q$300, 9, FALSE)</f>
        <v>#N/A</v>
      </c>
      <c r="V151" s="11" t="e">
        <f t="shared" si="4"/>
        <v>#N/A</v>
      </c>
      <c r="W151" s="11" t="e">
        <f t="shared" si="5"/>
        <v>#N/A</v>
      </c>
      <c r="X151" s="11" t="e">
        <f>IF(VLOOKUP($H151, SeanRanks!$A$2:$H$303, 7, FALSE)=0, "", VLOOKUP($H151, SeanRanks!$A$2:$H$303, 7, FALSE))</f>
        <v>#N/A</v>
      </c>
    </row>
    <row r="152" spans="1:24" ht="14.25" customHeight="1" x14ac:dyDescent="0.25">
      <c r="A152" s="11" t="s">
        <v>1156</v>
      </c>
      <c r="B152" s="11" t="e">
        <f t="shared" si="6"/>
        <v>#N/A</v>
      </c>
      <c r="C152" s="11" t="s">
        <v>119</v>
      </c>
      <c r="D152" s="11">
        <v>2</v>
      </c>
      <c r="E152" s="11"/>
      <c r="F152" s="11">
        <f t="shared" si="1"/>
        <v>2</v>
      </c>
      <c r="G152" s="11"/>
      <c r="H152" s="11" t="s">
        <v>1145</v>
      </c>
      <c r="I152" s="11" t="e">
        <f>VLOOKUP($H152, 'ADP Data'!$B$4:$Q$300, 2, FALSE)</f>
        <v>#N/A</v>
      </c>
      <c r="J152" s="11" t="s">
        <v>772</v>
      </c>
      <c r="K152" s="11" t="e">
        <f>VLOOKUP($H152, SeanRanks!$A$2:$H$303, 5, FALSE)</f>
        <v>#N/A</v>
      </c>
      <c r="L152" s="11" t="e">
        <f>IF(VLOOKUP($H152, SeanRanks!$A$2:$H$303, 6, FALSE)=0, "", VLOOKUP($H152, SeanRanks!$A$2:$H$303, 6, FALSE))</f>
        <v>#N/A</v>
      </c>
      <c r="M152" s="11">
        <f t="shared" si="2"/>
        <v>16</v>
      </c>
      <c r="N152" s="11" t="e">
        <f>VLOOKUP($H152, 'ADP Data'!$B$4:$Q$300, 10, FALSE)</f>
        <v>#N/A</v>
      </c>
      <c r="O152" s="11" t="e">
        <f>VLOOKUP($H152, 'ADP Data'!$B$4:$Q$300, 4, FALSE)</f>
        <v>#N/A</v>
      </c>
      <c r="P152" s="11" t="e">
        <f t="shared" si="3"/>
        <v>#N/A</v>
      </c>
      <c r="Q152" s="11" t="e">
        <f>VLOOKUP($H152, 'ADP Data'!$B$4:$Q$300, 5, FALSE)</f>
        <v>#N/A</v>
      </c>
      <c r="R152" s="11" t="e">
        <f>VLOOKUP($H152, 'ADP Data'!$B$4:$Q$300, 6, FALSE)</f>
        <v>#N/A</v>
      </c>
      <c r="S152" s="11" t="e">
        <f>VLOOKUP($H152, 'ADP Data'!$B$4:$Q$300, 7, FALSE)</f>
        <v>#N/A</v>
      </c>
      <c r="T152" s="11" t="e">
        <f>VLOOKUP($H152, 'ADP Data'!$B$4:$Q$300, 8, FALSE)</f>
        <v>#N/A</v>
      </c>
      <c r="U152" s="11" t="e">
        <f>VLOOKUP($H152, 'ADP Data'!$B$4:$Q$300, 9, FALSE)</f>
        <v>#N/A</v>
      </c>
      <c r="V152" s="11" t="e">
        <f t="shared" si="4"/>
        <v>#N/A</v>
      </c>
      <c r="W152" s="11" t="e">
        <f t="shared" si="5"/>
        <v>#N/A</v>
      </c>
      <c r="X152" s="11" t="e">
        <f>IF(VLOOKUP($H152, SeanRanks!$A$2:$H$303, 7, FALSE)=0, "", VLOOKUP($H152, SeanRanks!$A$2:$H$303, 7, FALSE))</f>
        <v>#N/A</v>
      </c>
    </row>
    <row r="153" spans="1:24" ht="14.25" customHeight="1" x14ac:dyDescent="0.25">
      <c r="A153" s="11"/>
      <c r="B153" s="11" t="e">
        <f t="shared" si="6"/>
        <v>#N/A</v>
      </c>
      <c r="C153" s="11" t="s">
        <v>148</v>
      </c>
      <c r="D153" s="11"/>
      <c r="E153" s="11"/>
      <c r="F153" s="11">
        <f t="shared" si="1"/>
        <v>0</v>
      </c>
      <c r="G153" s="11"/>
      <c r="H153" s="11" t="s">
        <v>566</v>
      </c>
      <c r="I153" s="11" t="e">
        <f>VLOOKUP($H153, 'ADP Data'!$B$4:$Q$300, 2, FALSE)</f>
        <v>#N/A</v>
      </c>
      <c r="J153" s="11" t="s">
        <v>773</v>
      </c>
      <c r="K153" s="11">
        <f>VLOOKUP($H153, SeanRanks!$A$2:$H$303, 5, FALSE)</f>
        <v>0</v>
      </c>
      <c r="L153" s="11" t="str">
        <f>IF(VLOOKUP($H153, SeanRanks!$A$2:$H$303, 6, FALSE)=0, "", VLOOKUP($H153, SeanRanks!$A$2:$H$303, 6, FALSE))</f>
        <v/>
      </c>
      <c r="M153" s="11">
        <f t="shared" si="2"/>
        <v>16</v>
      </c>
      <c r="N153" s="11" t="e">
        <f>VLOOKUP($H153, 'ADP Data'!$B$4:$Q$300, 10, FALSE)</f>
        <v>#N/A</v>
      </c>
      <c r="O153" s="11" t="e">
        <f>VLOOKUP($H153, 'ADP Data'!$B$4:$Q$300, 4, FALSE)</f>
        <v>#N/A</v>
      </c>
      <c r="P153" s="11" t="e">
        <f t="shared" si="3"/>
        <v>#N/A</v>
      </c>
      <c r="Q153" s="11" t="e">
        <f>VLOOKUP($H153, 'ADP Data'!$B$4:$Q$300, 5, FALSE)</f>
        <v>#N/A</v>
      </c>
      <c r="R153" s="11" t="e">
        <f>VLOOKUP($H153, 'ADP Data'!$B$4:$Q$300, 6, FALSE)</f>
        <v>#N/A</v>
      </c>
      <c r="S153" s="11" t="e">
        <f>VLOOKUP($H153, 'ADP Data'!$B$4:$Q$300, 7, FALSE)</f>
        <v>#N/A</v>
      </c>
      <c r="T153" s="11" t="e">
        <f>VLOOKUP($H153, 'ADP Data'!$B$4:$Q$300, 8, FALSE)</f>
        <v>#N/A</v>
      </c>
      <c r="U153" s="11" t="e">
        <f>VLOOKUP($H153, 'ADP Data'!$B$4:$Q$300, 9, FALSE)</f>
        <v>#N/A</v>
      </c>
      <c r="V153" s="11" t="e">
        <f t="shared" si="4"/>
        <v>#N/A</v>
      </c>
      <c r="W153" s="11" t="e">
        <f t="shared" si="5"/>
        <v>#N/A</v>
      </c>
      <c r="X153" s="11" t="str">
        <f>IF(VLOOKUP($H153, SeanRanks!$A$2:$H$303, 7, FALSE)=0, "", VLOOKUP($H153, SeanRanks!$A$2:$H$303, 7, FALSE))</f>
        <v/>
      </c>
    </row>
    <row r="154" spans="1:24" ht="14.25" customHeight="1" x14ac:dyDescent="0.25">
      <c r="A154" s="11"/>
      <c r="B154" s="11" t="e">
        <f t="shared" si="6"/>
        <v>#N/A</v>
      </c>
      <c r="C154" s="11" t="s">
        <v>148</v>
      </c>
      <c r="D154" s="11"/>
      <c r="E154" s="11"/>
      <c r="F154" s="11">
        <f t="shared" si="1"/>
        <v>0</v>
      </c>
      <c r="G154" s="11"/>
      <c r="H154" s="11" t="s">
        <v>973</v>
      </c>
      <c r="I154" s="58" t="e">
        <f>VLOOKUP($H154, 'ADP Data'!$B$4:$Q$300, 2, FALSE)</f>
        <v>#N/A</v>
      </c>
      <c r="J154" s="11" t="s">
        <v>769</v>
      </c>
      <c r="K154" s="11" t="e">
        <f>VLOOKUP($H154, SeanRanks!$A$2:$H$303, 5, FALSE)</f>
        <v>#N/A</v>
      </c>
      <c r="L154" s="11" t="e">
        <f>IF(VLOOKUP($H154, SeanRanks!$A$2:$H$303, 6, FALSE)=0, "", VLOOKUP($H154, SeanRanks!$A$2:$H$303, 6, FALSE))</f>
        <v>#N/A</v>
      </c>
      <c r="M154" s="11">
        <f t="shared" si="2"/>
        <v>16</v>
      </c>
      <c r="N154" s="11" t="e">
        <f>VLOOKUP($H154, 'ADP Data'!$B$4:$Q$300, 10, FALSE)</f>
        <v>#N/A</v>
      </c>
      <c r="O154" s="11" t="e">
        <f>VLOOKUP($H154, 'ADP Data'!$B$4:$Q$300, 4, FALSE)</f>
        <v>#N/A</v>
      </c>
      <c r="P154" s="11" t="e">
        <f t="shared" si="3"/>
        <v>#N/A</v>
      </c>
      <c r="Q154" s="11" t="e">
        <f>VLOOKUP($H154, 'ADP Data'!$B$4:$Q$300, 5, FALSE)</f>
        <v>#N/A</v>
      </c>
      <c r="R154" s="11" t="e">
        <f>VLOOKUP($H154, 'ADP Data'!$B$4:$Q$300, 6, FALSE)</f>
        <v>#N/A</v>
      </c>
      <c r="S154" s="11" t="e">
        <f>VLOOKUP($H154, 'ADP Data'!$B$4:$Q$300, 7, FALSE)</f>
        <v>#N/A</v>
      </c>
      <c r="T154" s="11" t="e">
        <f>VLOOKUP($H154, 'ADP Data'!$B$4:$Q$300, 8, FALSE)</f>
        <v>#N/A</v>
      </c>
      <c r="U154" s="11" t="e">
        <f>VLOOKUP($H154, 'ADP Data'!$B$4:$Q$300, 9, FALSE)</f>
        <v>#N/A</v>
      </c>
      <c r="V154" s="11" t="e">
        <f t="shared" si="4"/>
        <v>#N/A</v>
      </c>
      <c r="W154" s="11" t="e">
        <f t="shared" si="5"/>
        <v>#N/A</v>
      </c>
      <c r="X154" s="11" t="e">
        <f>IF(VLOOKUP($H154, SeanRanks!$A$2:$H$303, 7, FALSE)=0, "", VLOOKUP($H154, SeanRanks!$A$2:$H$303, 7, FALSE))</f>
        <v>#N/A</v>
      </c>
    </row>
    <row r="155" spans="1:24" ht="14.25" customHeight="1" x14ac:dyDescent="0.25">
      <c r="A155" s="11"/>
      <c r="B155" s="11" t="e">
        <f t="shared" si="6"/>
        <v>#N/A</v>
      </c>
      <c r="C155" s="11" t="s">
        <v>148</v>
      </c>
      <c r="D155" s="11"/>
      <c r="E155" s="11"/>
      <c r="F155" s="11">
        <f t="shared" si="1"/>
        <v>0</v>
      </c>
      <c r="G155" s="11"/>
      <c r="H155" s="11" t="s">
        <v>133</v>
      </c>
      <c r="I155" s="58" t="e">
        <f>VLOOKUP($H155, 'ADP Data'!$B$4:$Q$300, 2, FALSE)</f>
        <v>#N/A</v>
      </c>
      <c r="J155" s="11" t="s">
        <v>764</v>
      </c>
      <c r="K155" s="11" t="str">
        <f>VLOOKUP($H155, SeanRanks!$A$2:$H$303, 5, FALSE)</f>
        <v>Yes</v>
      </c>
      <c r="L155" s="11" t="str">
        <f>IF(VLOOKUP($H155, SeanRanks!$A$2:$H$303, 6, FALSE)=0, "", VLOOKUP($H155, SeanRanks!$A$2:$H$303, 6, FALSE))</f>
        <v xml:space="preserve">WR3 - 1 - </v>
      </c>
      <c r="M155" s="11">
        <f t="shared" si="2"/>
        <v>16</v>
      </c>
      <c r="N155" s="11" t="e">
        <f>VLOOKUP($H155, 'ADP Data'!$B$4:$Q$300, 10, FALSE)</f>
        <v>#N/A</v>
      </c>
      <c r="O155" s="11" t="e">
        <f>VLOOKUP($H155, 'ADP Data'!$B$4:$Q$300, 4, FALSE)</f>
        <v>#N/A</v>
      </c>
      <c r="P155" s="11" t="e">
        <f t="shared" si="3"/>
        <v>#N/A</v>
      </c>
      <c r="Q155" s="11" t="e">
        <f>VLOOKUP($H155, 'ADP Data'!$B$4:$Q$300, 5, FALSE)</f>
        <v>#N/A</v>
      </c>
      <c r="R155" s="11" t="e">
        <f>VLOOKUP($H155, 'ADP Data'!$B$4:$Q$300, 6, FALSE)</f>
        <v>#N/A</v>
      </c>
      <c r="S155" s="11" t="e">
        <f>VLOOKUP($H155, 'ADP Data'!$B$4:$Q$300, 7, FALSE)</f>
        <v>#N/A</v>
      </c>
      <c r="T155" s="11" t="e">
        <f>VLOOKUP($H155, 'ADP Data'!$B$4:$Q$300, 8, FALSE)</f>
        <v>#N/A</v>
      </c>
      <c r="U155" s="11" t="e">
        <f>VLOOKUP($H155, 'ADP Data'!$B$4:$Q$300, 9, FALSE)</f>
        <v>#N/A</v>
      </c>
      <c r="V155" s="11" t="e">
        <f t="shared" si="4"/>
        <v>#N/A</v>
      </c>
      <c r="W155" s="11" t="e">
        <f t="shared" si="5"/>
        <v>#N/A</v>
      </c>
      <c r="X155" s="11">
        <f>IF(VLOOKUP($H155, SeanRanks!$A$2:$H$303, 7, FALSE)=0, "", VLOOKUP($H155, SeanRanks!$A$2:$H$303, 7, FALSE))</f>
        <v>29</v>
      </c>
    </row>
    <row r="156" spans="1:24" ht="14.25" customHeight="1" x14ac:dyDescent="0.25">
      <c r="A156" s="11"/>
      <c r="B156" s="11" t="e">
        <f t="shared" si="6"/>
        <v>#N/A</v>
      </c>
      <c r="C156" s="11" t="s">
        <v>148</v>
      </c>
      <c r="D156" s="11"/>
      <c r="E156" s="11"/>
      <c r="F156" s="11">
        <f t="shared" si="1"/>
        <v>0</v>
      </c>
      <c r="G156" s="11"/>
      <c r="H156" s="11" t="s">
        <v>487</v>
      </c>
      <c r="I156" s="11" t="e">
        <f>VLOOKUP($H156, 'ADP Data'!$B$4:$Q$300, 2, FALSE)</f>
        <v>#N/A</v>
      </c>
      <c r="J156" s="11" t="s">
        <v>773</v>
      </c>
      <c r="K156" s="11">
        <f>VLOOKUP($H156, SeanRanks!$A$2:$H$303, 5, FALSE)</f>
        <v>0</v>
      </c>
      <c r="L156" s="11" t="str">
        <f>IF(VLOOKUP($H156, SeanRanks!$A$2:$H$303, 6, FALSE)=0, "", VLOOKUP($H156, SeanRanks!$A$2:$H$303, 6, FALSE))</f>
        <v/>
      </c>
      <c r="M156" s="11">
        <f t="shared" si="2"/>
        <v>16</v>
      </c>
      <c r="N156" s="11" t="e">
        <f>VLOOKUP($H156, 'ADP Data'!$B$4:$Q$300, 10, FALSE)</f>
        <v>#N/A</v>
      </c>
      <c r="O156" s="11" t="e">
        <f>VLOOKUP($H156, 'ADP Data'!$B$4:$Q$300, 4, FALSE)</f>
        <v>#N/A</v>
      </c>
      <c r="P156" s="11" t="e">
        <f t="shared" si="3"/>
        <v>#N/A</v>
      </c>
      <c r="Q156" s="11" t="e">
        <f>VLOOKUP($H156, 'ADP Data'!$B$4:$Q$300, 5, FALSE)</f>
        <v>#N/A</v>
      </c>
      <c r="R156" s="11" t="e">
        <f>VLOOKUP($H156, 'ADP Data'!$B$4:$Q$300, 6, FALSE)</f>
        <v>#N/A</v>
      </c>
      <c r="S156" s="11" t="e">
        <f>VLOOKUP($H156, 'ADP Data'!$B$4:$Q$300, 7, FALSE)</f>
        <v>#N/A</v>
      </c>
      <c r="T156" s="11" t="e">
        <f>VLOOKUP($H156, 'ADP Data'!$B$4:$Q$300, 8, FALSE)</f>
        <v>#N/A</v>
      </c>
      <c r="U156" s="11" t="e">
        <f>VLOOKUP($H156, 'ADP Data'!$B$4:$Q$300, 9, FALSE)</f>
        <v>#N/A</v>
      </c>
      <c r="V156" s="11" t="e">
        <f t="shared" si="4"/>
        <v>#N/A</v>
      </c>
      <c r="W156" s="11" t="e">
        <f t="shared" si="5"/>
        <v>#N/A</v>
      </c>
      <c r="X156" s="11" t="str">
        <f>IF(VLOOKUP($H156, SeanRanks!$A$2:$H$303, 7, FALSE)=0, "", VLOOKUP($H156, SeanRanks!$A$2:$H$303, 7, FALSE))</f>
        <v/>
      </c>
    </row>
    <row r="157" spans="1:24" ht="14.25" customHeight="1" x14ac:dyDescent="0.25">
      <c r="A157" s="11"/>
      <c r="B157" s="11" t="e">
        <f t="shared" si="6"/>
        <v>#N/A</v>
      </c>
      <c r="C157" s="11" t="s">
        <v>148</v>
      </c>
      <c r="D157" s="11"/>
      <c r="E157" s="11"/>
      <c r="F157" s="11">
        <f t="shared" si="1"/>
        <v>0</v>
      </c>
      <c r="G157" s="11"/>
      <c r="H157" s="11" t="s">
        <v>397</v>
      </c>
      <c r="I157" s="11" t="e">
        <f>VLOOKUP($H157, 'ADP Data'!$B$4:$Q$300, 2, FALSE)</f>
        <v>#N/A</v>
      </c>
      <c r="J157" s="11" t="s">
        <v>769</v>
      </c>
      <c r="K157" s="11">
        <f>VLOOKUP($H157, SeanRanks!$A$2:$H$303, 5, FALSE)</f>
        <v>0</v>
      </c>
      <c r="L157" s="11" t="str">
        <f>IF(VLOOKUP($H157, SeanRanks!$A$2:$H$303, 6, FALSE)=0, "", VLOOKUP($H157, SeanRanks!$A$2:$H$303, 6, FALSE))</f>
        <v/>
      </c>
      <c r="M157" s="11">
        <f t="shared" si="2"/>
        <v>16</v>
      </c>
      <c r="N157" s="11" t="e">
        <f>VLOOKUP($H157, 'ADP Data'!$B$4:$Q$300, 10, FALSE)</f>
        <v>#N/A</v>
      </c>
      <c r="O157" s="11" t="e">
        <f>VLOOKUP($H157, 'ADP Data'!$B$4:$Q$300, 4, FALSE)</f>
        <v>#N/A</v>
      </c>
      <c r="P157" s="11" t="e">
        <f t="shared" si="3"/>
        <v>#N/A</v>
      </c>
      <c r="Q157" s="11" t="e">
        <f>VLOOKUP($H157, 'ADP Data'!$B$4:$Q$300, 5, FALSE)</f>
        <v>#N/A</v>
      </c>
      <c r="R157" s="11" t="e">
        <f>VLOOKUP($H157, 'ADP Data'!$B$4:$Q$300, 6, FALSE)</f>
        <v>#N/A</v>
      </c>
      <c r="S157" s="11" t="e">
        <f>VLOOKUP($H157, 'ADP Data'!$B$4:$Q$300, 7, FALSE)</f>
        <v>#N/A</v>
      </c>
      <c r="T157" s="11" t="e">
        <f>VLOOKUP($H157, 'ADP Data'!$B$4:$Q$300, 8, FALSE)</f>
        <v>#N/A</v>
      </c>
      <c r="U157" s="11" t="e">
        <f>VLOOKUP($H157, 'ADP Data'!$B$4:$Q$300, 9, FALSE)</f>
        <v>#N/A</v>
      </c>
      <c r="V157" s="11" t="e">
        <f t="shared" si="4"/>
        <v>#N/A</v>
      </c>
      <c r="W157" s="11" t="e">
        <f t="shared" si="5"/>
        <v>#N/A</v>
      </c>
      <c r="X157" s="11" t="str">
        <f>IF(VLOOKUP($H157, SeanRanks!$A$2:$H$303, 7, FALSE)=0, "", VLOOKUP($H157, SeanRanks!$A$2:$H$303, 7, FALSE))</f>
        <v/>
      </c>
    </row>
    <row r="158" spans="1:24" ht="14.25" customHeight="1" x14ac:dyDescent="0.25">
      <c r="A158" s="11"/>
      <c r="B158" s="11" t="e">
        <f t="shared" si="6"/>
        <v>#N/A</v>
      </c>
      <c r="C158" s="11" t="s">
        <v>148</v>
      </c>
      <c r="D158" s="11"/>
      <c r="E158" s="11"/>
      <c r="F158" s="11">
        <f t="shared" si="1"/>
        <v>0</v>
      </c>
      <c r="G158" s="11"/>
      <c r="H158" s="11" t="s">
        <v>473</v>
      </c>
      <c r="I158" s="11" t="e">
        <f>VLOOKUP($H158, 'ADP Data'!$B$4:$Q$300, 2, FALSE)</f>
        <v>#N/A</v>
      </c>
      <c r="J158" s="11" t="s">
        <v>769</v>
      </c>
      <c r="K158" s="11" t="e">
        <f>VLOOKUP($H158, SeanRanks!$A$2:$H$303, 5, FALSE)</f>
        <v>#N/A</v>
      </c>
      <c r="L158" s="11" t="e">
        <f>IF(VLOOKUP($H158, SeanRanks!$A$2:$H$303, 6, FALSE)=0, "", VLOOKUP($H158, SeanRanks!$A$2:$H$303, 6, FALSE))</f>
        <v>#N/A</v>
      </c>
      <c r="M158" s="11">
        <f t="shared" si="2"/>
        <v>16</v>
      </c>
      <c r="N158" s="11" t="e">
        <f>VLOOKUP($H158, 'ADP Data'!$B$4:$Q$300, 10, FALSE)</f>
        <v>#N/A</v>
      </c>
      <c r="O158" s="11" t="e">
        <f>VLOOKUP($H158, 'ADP Data'!$B$4:$Q$300, 4, FALSE)</f>
        <v>#N/A</v>
      </c>
      <c r="P158" s="11" t="e">
        <f t="shared" si="3"/>
        <v>#N/A</v>
      </c>
      <c r="Q158" s="11" t="e">
        <f>VLOOKUP($H158, 'ADP Data'!$B$4:$Q$300, 5, FALSE)</f>
        <v>#N/A</v>
      </c>
      <c r="R158" s="11" t="e">
        <f>VLOOKUP($H158, 'ADP Data'!$B$4:$Q$300, 6, FALSE)</f>
        <v>#N/A</v>
      </c>
      <c r="S158" s="11" t="e">
        <f>VLOOKUP($H158, 'ADP Data'!$B$4:$Q$300, 7, FALSE)</f>
        <v>#N/A</v>
      </c>
      <c r="T158" s="11" t="e">
        <f>VLOOKUP($H158, 'ADP Data'!$B$4:$Q$300, 8, FALSE)</f>
        <v>#N/A</v>
      </c>
      <c r="U158" s="11" t="e">
        <f>VLOOKUP($H158, 'ADP Data'!$B$4:$Q$300, 9, FALSE)</f>
        <v>#N/A</v>
      </c>
      <c r="V158" s="11" t="e">
        <f t="shared" si="4"/>
        <v>#N/A</v>
      </c>
      <c r="W158" s="11" t="e">
        <f t="shared" si="5"/>
        <v>#N/A</v>
      </c>
      <c r="X158" s="11" t="e">
        <f>IF(VLOOKUP($H158, SeanRanks!$A$2:$H$303, 7, FALSE)=0, "", VLOOKUP($H158, SeanRanks!$A$2:$H$303, 7, FALSE))</f>
        <v>#N/A</v>
      </c>
    </row>
    <row r="159" spans="1:24" ht="14.25" customHeight="1" x14ac:dyDescent="0.25">
      <c r="A159" s="11"/>
      <c r="B159" s="11" t="e">
        <f t="shared" si="6"/>
        <v>#N/A</v>
      </c>
      <c r="C159" s="11" t="s">
        <v>148</v>
      </c>
      <c r="D159" s="11"/>
      <c r="E159" s="11"/>
      <c r="F159" s="11">
        <f t="shared" si="1"/>
        <v>0</v>
      </c>
      <c r="G159" s="11"/>
      <c r="H159" s="11" t="s">
        <v>1197</v>
      </c>
      <c r="I159" s="11" t="e">
        <f>VLOOKUP($H159, 'ADP Data'!$B$4:$Q$300, 2, FALSE)</f>
        <v>#N/A</v>
      </c>
      <c r="J159" s="11" t="s">
        <v>762</v>
      </c>
      <c r="K159" s="11" t="e">
        <f>VLOOKUP($H159, SeanRanks!$A$2:$H$303, 5, FALSE)</f>
        <v>#N/A</v>
      </c>
      <c r="L159" s="11" t="e">
        <f>IF(VLOOKUP($H159, SeanRanks!$A$2:$H$303, 6, FALSE)=0, "", VLOOKUP($H159, SeanRanks!$A$2:$H$303, 6, FALSE))</f>
        <v>#N/A</v>
      </c>
      <c r="M159" s="11">
        <f t="shared" si="2"/>
        <v>16</v>
      </c>
      <c r="N159" s="11" t="e">
        <f>VLOOKUP($H159, 'ADP Data'!$B$4:$Q$300, 10, FALSE)</f>
        <v>#N/A</v>
      </c>
      <c r="O159" s="11" t="e">
        <f>VLOOKUP($H159, 'ADP Data'!$B$4:$Q$300, 4, FALSE)</f>
        <v>#N/A</v>
      </c>
      <c r="P159" s="11" t="e">
        <f t="shared" si="3"/>
        <v>#N/A</v>
      </c>
      <c r="Q159" s="11" t="e">
        <f>VLOOKUP($H159, 'ADP Data'!$B$4:$Q$300, 5, FALSE)</f>
        <v>#N/A</v>
      </c>
      <c r="R159" s="11" t="e">
        <f>VLOOKUP($H159, 'ADP Data'!$B$4:$Q$300, 6, FALSE)</f>
        <v>#N/A</v>
      </c>
      <c r="S159" s="11" t="e">
        <f>VLOOKUP($H159, 'ADP Data'!$B$4:$Q$300, 7, FALSE)</f>
        <v>#N/A</v>
      </c>
      <c r="T159" s="11" t="e">
        <f>VLOOKUP($H159, 'ADP Data'!$B$4:$Q$300, 8, FALSE)</f>
        <v>#N/A</v>
      </c>
      <c r="U159" s="11" t="e">
        <f>VLOOKUP($H159, 'ADP Data'!$B$4:$Q$300, 9, FALSE)</f>
        <v>#N/A</v>
      </c>
      <c r="V159" s="11" t="e">
        <f t="shared" si="4"/>
        <v>#N/A</v>
      </c>
      <c r="W159" s="11" t="e">
        <f t="shared" si="5"/>
        <v>#N/A</v>
      </c>
      <c r="X159" s="11" t="e">
        <f>IF(VLOOKUP($H159, SeanRanks!$A$2:$H$303, 7, FALSE)=0, "", VLOOKUP($H159, SeanRanks!$A$2:$H$303, 7, FALSE))</f>
        <v>#N/A</v>
      </c>
    </row>
    <row r="160" spans="1:24" ht="14.25" customHeight="1" x14ac:dyDescent="0.25">
      <c r="A160" s="11"/>
      <c r="B160" s="11" t="e">
        <f t="shared" si="6"/>
        <v>#N/A</v>
      </c>
      <c r="C160" s="11" t="s">
        <v>148</v>
      </c>
      <c r="D160" s="11"/>
      <c r="E160" s="11"/>
      <c r="F160" s="11">
        <f t="shared" si="1"/>
        <v>0</v>
      </c>
      <c r="G160" s="11" t="s">
        <v>1110</v>
      </c>
      <c r="H160" s="11" t="s">
        <v>662</v>
      </c>
      <c r="I160" s="11" t="e">
        <f>VLOOKUP($H160, 'ADP Data'!$B$4:$Q$300, 2, FALSE)</f>
        <v>#N/A</v>
      </c>
      <c r="J160" s="11" t="s">
        <v>762</v>
      </c>
      <c r="K160" s="11">
        <f>VLOOKUP($H160, SeanRanks!$A$2:$H$303, 5, FALSE)</f>
        <v>0</v>
      </c>
      <c r="L160" s="11" t="str">
        <f>IF(VLOOKUP($H160, SeanRanks!$A$2:$H$303, 6, FALSE)=0, "", VLOOKUP($H160, SeanRanks!$A$2:$H$303, 6, FALSE))</f>
        <v/>
      </c>
      <c r="M160" s="11">
        <f t="shared" si="2"/>
        <v>16</v>
      </c>
      <c r="N160" s="11" t="e">
        <f>VLOOKUP($H160, 'ADP Data'!$B$4:$Q$300, 10, FALSE)</f>
        <v>#N/A</v>
      </c>
      <c r="O160" s="11" t="e">
        <f>VLOOKUP($H160, 'ADP Data'!$B$4:$Q$300, 4, FALSE)</f>
        <v>#N/A</v>
      </c>
      <c r="P160" s="11" t="e">
        <f t="shared" si="3"/>
        <v>#N/A</v>
      </c>
      <c r="Q160" s="11" t="e">
        <f>VLOOKUP($H160, 'ADP Data'!$B$4:$Q$300, 5, FALSE)</f>
        <v>#N/A</v>
      </c>
      <c r="R160" s="11" t="e">
        <f>VLOOKUP($H160, 'ADP Data'!$B$4:$Q$300, 6, FALSE)</f>
        <v>#N/A</v>
      </c>
      <c r="S160" s="11" t="e">
        <f>VLOOKUP($H160, 'ADP Data'!$B$4:$Q$300, 7, FALSE)</f>
        <v>#N/A</v>
      </c>
      <c r="T160" s="11" t="e">
        <f>VLOOKUP($H160, 'ADP Data'!$B$4:$Q$300, 8, FALSE)</f>
        <v>#N/A</v>
      </c>
      <c r="U160" s="11" t="e">
        <f>VLOOKUP($H160, 'ADP Data'!$B$4:$Q$300, 9, FALSE)</f>
        <v>#N/A</v>
      </c>
      <c r="V160" s="11" t="e">
        <f t="shared" si="4"/>
        <v>#N/A</v>
      </c>
      <c r="W160" s="11" t="e">
        <f t="shared" si="5"/>
        <v>#N/A</v>
      </c>
      <c r="X160" s="11" t="str">
        <f>IF(VLOOKUP($H160, SeanRanks!$A$2:$H$303, 7, FALSE)=0, "", VLOOKUP($H160, SeanRanks!$A$2:$H$303, 7, FALSE))</f>
        <v/>
      </c>
    </row>
    <row r="161" spans="1:24" ht="14.25" customHeight="1" x14ac:dyDescent="0.25">
      <c r="A161" s="11"/>
      <c r="B161" s="11" t="e">
        <f t="shared" si="6"/>
        <v>#N/A</v>
      </c>
      <c r="C161" s="11" t="s">
        <v>148</v>
      </c>
      <c r="D161" s="11"/>
      <c r="E161" s="11">
        <v>1</v>
      </c>
      <c r="F161" s="11">
        <f t="shared" si="1"/>
        <v>-1</v>
      </c>
      <c r="G161" s="11"/>
      <c r="H161" s="11" t="s">
        <v>905</v>
      </c>
      <c r="I161" s="57" t="e">
        <f>VLOOKUP($H161, 'ADP Data'!$B$4:$Q$300, 2, FALSE)</f>
        <v>#N/A</v>
      </c>
      <c r="J161" s="11" t="s">
        <v>762</v>
      </c>
      <c r="K161" s="11">
        <f>VLOOKUP($H161, SeanRanks!$A$2:$H$303, 5, FALSE)</f>
        <v>0</v>
      </c>
      <c r="L161" s="11" t="str">
        <f>IF(VLOOKUP($H161, SeanRanks!$A$2:$H$303, 6, FALSE)=0, "", VLOOKUP($H161, SeanRanks!$A$2:$H$303, 6, FALSE))</f>
        <v>Don’t draft - replacement value</v>
      </c>
      <c r="M161" s="11">
        <f t="shared" si="2"/>
        <v>16</v>
      </c>
      <c r="N161" s="11" t="e">
        <f>VLOOKUP($H161, 'ADP Data'!$B$4:$Q$300, 10, FALSE)</f>
        <v>#N/A</v>
      </c>
      <c r="O161" s="11" t="e">
        <f>VLOOKUP($H161, 'ADP Data'!$B$4:$Q$300, 4, FALSE)</f>
        <v>#N/A</v>
      </c>
      <c r="P161" s="11" t="e">
        <f t="shared" si="3"/>
        <v>#N/A</v>
      </c>
      <c r="Q161" s="11" t="e">
        <f>VLOOKUP($H161, 'ADP Data'!$B$4:$Q$300, 5, FALSE)</f>
        <v>#N/A</v>
      </c>
      <c r="R161" s="11" t="e">
        <f>VLOOKUP($H161, 'ADP Data'!$B$4:$Q$300, 6, FALSE)</f>
        <v>#N/A</v>
      </c>
      <c r="S161" s="11" t="e">
        <f>VLOOKUP($H161, 'ADP Data'!$B$4:$Q$300, 7, FALSE)</f>
        <v>#N/A</v>
      </c>
      <c r="T161" s="11" t="e">
        <f>VLOOKUP($H161, 'ADP Data'!$B$4:$Q$300, 8, FALSE)</f>
        <v>#N/A</v>
      </c>
      <c r="U161" s="11" t="e">
        <f>VLOOKUP($H161, 'ADP Data'!$B$4:$Q$300, 9, FALSE)</f>
        <v>#N/A</v>
      </c>
      <c r="V161" s="11" t="e">
        <f t="shared" si="4"/>
        <v>#N/A</v>
      </c>
      <c r="W161" s="11" t="e">
        <f t="shared" si="5"/>
        <v>#N/A</v>
      </c>
      <c r="X161" s="11">
        <f>IF(VLOOKUP($H161, SeanRanks!$A$2:$H$303, 7, FALSE)=0, "", VLOOKUP($H161, SeanRanks!$A$2:$H$303, 7, FALSE))</f>
        <v>56</v>
      </c>
    </row>
    <row r="162" spans="1:24" ht="14.25" customHeight="1" x14ac:dyDescent="0.25">
      <c r="A162" s="11"/>
      <c r="B162" s="11" t="e">
        <f t="shared" si="6"/>
        <v>#N/A</v>
      </c>
      <c r="C162" s="11" t="s">
        <v>119</v>
      </c>
      <c r="D162" s="11">
        <v>3</v>
      </c>
      <c r="E162" s="11">
        <v>0</v>
      </c>
      <c r="F162" s="11">
        <f t="shared" si="1"/>
        <v>3</v>
      </c>
      <c r="G162" s="11"/>
      <c r="H162" s="11" t="s">
        <v>907</v>
      </c>
      <c r="I162" s="11" t="e">
        <f>VLOOKUP($H162, 'ADP Data'!$B$4:$Q$300, 2, FALSE)</f>
        <v>#N/A</v>
      </c>
      <c r="J162" s="11" t="s">
        <v>762</v>
      </c>
      <c r="K162" s="11" t="e">
        <f>VLOOKUP($H162, SeanRanks!$A$2:$H$303, 5, FALSE)</f>
        <v>#N/A</v>
      </c>
      <c r="L162" s="11" t="e">
        <f>IF(VLOOKUP($H162, SeanRanks!$A$2:$H$303, 6, FALSE)=0, "", VLOOKUP($H162, SeanRanks!$A$2:$H$303, 6, FALSE))</f>
        <v>#N/A</v>
      </c>
      <c r="M162" s="11">
        <f t="shared" si="2"/>
        <v>16</v>
      </c>
      <c r="N162" s="11" t="e">
        <f>VLOOKUP($H162, 'ADP Data'!$B$4:$Q$300, 10, FALSE)</f>
        <v>#N/A</v>
      </c>
      <c r="O162" s="11" t="e">
        <f>VLOOKUP($H162, 'ADP Data'!$B$4:$Q$300, 4, FALSE)</f>
        <v>#N/A</v>
      </c>
      <c r="P162" s="11" t="e">
        <f t="shared" si="3"/>
        <v>#N/A</v>
      </c>
      <c r="Q162" s="11" t="e">
        <f>VLOOKUP($H162, 'ADP Data'!$B$4:$Q$300, 5, FALSE)</f>
        <v>#N/A</v>
      </c>
      <c r="R162" s="11" t="e">
        <f>VLOOKUP($H162, 'ADP Data'!$B$4:$Q$300, 6, FALSE)</f>
        <v>#N/A</v>
      </c>
      <c r="S162" s="11" t="e">
        <f>VLOOKUP($H162, 'ADP Data'!$B$4:$Q$300, 7, FALSE)</f>
        <v>#N/A</v>
      </c>
      <c r="T162" s="11" t="e">
        <f>VLOOKUP($H162, 'ADP Data'!$B$4:$Q$300, 8, FALSE)</f>
        <v>#N/A</v>
      </c>
      <c r="U162" s="11" t="e">
        <f>VLOOKUP($H162, 'ADP Data'!$B$4:$Q$300, 9, FALSE)</f>
        <v>#N/A</v>
      </c>
      <c r="V162" s="11" t="e">
        <f t="shared" si="4"/>
        <v>#N/A</v>
      </c>
      <c r="W162" s="11" t="e">
        <f t="shared" si="5"/>
        <v>#N/A</v>
      </c>
      <c r="X162" s="11" t="e">
        <f>IF(VLOOKUP($H162, SeanRanks!$A$2:$H$303, 7, FALSE)=0, "", VLOOKUP($H162, SeanRanks!$A$2:$H$303, 7, FALSE))</f>
        <v>#N/A</v>
      </c>
    </row>
    <row r="163" spans="1:24" ht="14.25" customHeight="1" x14ac:dyDescent="0.25">
      <c r="A163" s="11"/>
      <c r="B163" s="11" t="e">
        <f t="shared" si="6"/>
        <v>#N/A</v>
      </c>
      <c r="C163" s="11" t="s">
        <v>148</v>
      </c>
      <c r="D163" s="11"/>
      <c r="E163" s="11"/>
      <c r="F163" s="11">
        <f t="shared" si="1"/>
        <v>0</v>
      </c>
      <c r="G163" s="11"/>
      <c r="H163" s="11" t="s">
        <v>602</v>
      </c>
      <c r="I163" s="11" t="e">
        <f>VLOOKUP($H163, 'ADP Data'!$B$4:$Q$300, 2, FALSE)</f>
        <v>#N/A</v>
      </c>
      <c r="J163" s="11" t="s">
        <v>773</v>
      </c>
      <c r="K163" s="11">
        <f>VLOOKUP($H163, SeanRanks!$A$2:$H$303, 5, FALSE)</f>
        <v>0</v>
      </c>
      <c r="L163" s="11" t="str">
        <f>IF(VLOOKUP($H163, SeanRanks!$A$2:$H$303, 6, FALSE)=0, "", VLOOKUP($H163, SeanRanks!$A$2:$H$303, 6, FALSE))</f>
        <v/>
      </c>
      <c r="M163" s="11">
        <f t="shared" si="2"/>
        <v>16</v>
      </c>
      <c r="N163" s="11" t="e">
        <f>VLOOKUP($H163, 'ADP Data'!$B$4:$Q$300, 10, FALSE)</f>
        <v>#N/A</v>
      </c>
      <c r="O163" s="11" t="e">
        <f>VLOOKUP($H163, 'ADP Data'!$B$4:$Q$300, 4, FALSE)</f>
        <v>#N/A</v>
      </c>
      <c r="P163" s="11" t="e">
        <f t="shared" si="3"/>
        <v>#N/A</v>
      </c>
      <c r="Q163" s="11" t="e">
        <f>VLOOKUP($H163, 'ADP Data'!$B$4:$Q$300, 5, FALSE)</f>
        <v>#N/A</v>
      </c>
      <c r="R163" s="11" t="e">
        <f>VLOOKUP($H163, 'ADP Data'!$B$4:$Q$300, 6, FALSE)</f>
        <v>#N/A</v>
      </c>
      <c r="S163" s="11" t="e">
        <f>VLOOKUP($H163, 'ADP Data'!$B$4:$Q$300, 7, FALSE)</f>
        <v>#N/A</v>
      </c>
      <c r="T163" s="11" t="e">
        <f>VLOOKUP($H163, 'ADP Data'!$B$4:$Q$300, 8, FALSE)</f>
        <v>#N/A</v>
      </c>
      <c r="U163" s="11" t="e">
        <f>VLOOKUP($H163, 'ADP Data'!$B$4:$Q$300, 9, FALSE)</f>
        <v>#N/A</v>
      </c>
      <c r="V163" s="11" t="e">
        <f t="shared" si="4"/>
        <v>#N/A</v>
      </c>
      <c r="W163" s="11" t="e">
        <f t="shared" si="5"/>
        <v>#N/A</v>
      </c>
      <c r="X163" s="11" t="str">
        <f>IF(VLOOKUP($H163, SeanRanks!$A$2:$H$303, 7, FALSE)=0, "", VLOOKUP($H163, SeanRanks!$A$2:$H$303, 7, FALSE))</f>
        <v/>
      </c>
    </row>
    <row r="164" spans="1:24" ht="14.25" customHeight="1" x14ac:dyDescent="0.25">
      <c r="A164" s="11"/>
      <c r="B164" s="11" t="e">
        <f t="shared" si="6"/>
        <v>#N/A</v>
      </c>
      <c r="C164" s="11" t="s">
        <v>148</v>
      </c>
      <c r="D164" s="11"/>
      <c r="E164" s="11"/>
      <c r="F164" s="11">
        <f t="shared" si="1"/>
        <v>0</v>
      </c>
      <c r="G164" s="11"/>
      <c r="H164" s="11" t="s">
        <v>993</v>
      </c>
      <c r="I164" s="11" t="e">
        <f>VLOOKUP($H164, 'ADP Data'!$B$4:$Q$300, 2, FALSE)</f>
        <v>#N/A</v>
      </c>
      <c r="J164" s="11" t="s">
        <v>764</v>
      </c>
      <c r="K164" s="11" t="e">
        <f>VLOOKUP($H164, SeanRanks!$A$2:$H$303, 5, FALSE)</f>
        <v>#N/A</v>
      </c>
      <c r="L164" s="11" t="e">
        <f>IF(VLOOKUP($H164, SeanRanks!$A$2:$H$303, 6, FALSE)=0, "", VLOOKUP($H164, SeanRanks!$A$2:$H$303, 6, FALSE))</f>
        <v>#N/A</v>
      </c>
      <c r="M164" s="11">
        <f t="shared" si="2"/>
        <v>16</v>
      </c>
      <c r="N164" s="11" t="e">
        <f>VLOOKUP($H164, 'ADP Data'!$B$4:$Q$300, 10, FALSE)</f>
        <v>#N/A</v>
      </c>
      <c r="O164" s="11" t="e">
        <f>VLOOKUP($H164, 'ADP Data'!$B$4:$Q$300, 4, FALSE)</f>
        <v>#N/A</v>
      </c>
      <c r="P164" s="11" t="e">
        <f t="shared" si="3"/>
        <v>#N/A</v>
      </c>
      <c r="Q164" s="11" t="e">
        <f>VLOOKUP($H164, 'ADP Data'!$B$4:$Q$300, 5, FALSE)</f>
        <v>#N/A</v>
      </c>
      <c r="R164" s="11" t="e">
        <f>VLOOKUP($H164, 'ADP Data'!$B$4:$Q$300, 6, FALSE)</f>
        <v>#N/A</v>
      </c>
      <c r="S164" s="11" t="e">
        <f>VLOOKUP($H164, 'ADP Data'!$B$4:$Q$300, 7, FALSE)</f>
        <v>#N/A</v>
      </c>
      <c r="T164" s="11" t="e">
        <f>VLOOKUP($H164, 'ADP Data'!$B$4:$Q$300, 8, FALSE)</f>
        <v>#N/A</v>
      </c>
      <c r="U164" s="11" t="e">
        <f>VLOOKUP($H164, 'ADP Data'!$B$4:$Q$300, 9, FALSE)</f>
        <v>#N/A</v>
      </c>
      <c r="V164" s="11" t="e">
        <f t="shared" si="4"/>
        <v>#N/A</v>
      </c>
      <c r="W164" s="11" t="e">
        <f t="shared" si="5"/>
        <v>#N/A</v>
      </c>
      <c r="X164" s="11" t="e">
        <f>IF(VLOOKUP($H164, SeanRanks!$A$2:$H$303, 7, FALSE)=0, "", VLOOKUP($H164, SeanRanks!$A$2:$H$303, 7, FALSE))</f>
        <v>#N/A</v>
      </c>
    </row>
    <row r="165" spans="1:24" ht="14.25" customHeight="1" x14ac:dyDescent="0.25">
      <c r="A165" s="11"/>
      <c r="B165" s="11" t="e">
        <f t="shared" si="6"/>
        <v>#N/A</v>
      </c>
      <c r="C165" s="11" t="s">
        <v>148</v>
      </c>
      <c r="D165" s="11"/>
      <c r="E165" s="11"/>
      <c r="F165" s="11">
        <f t="shared" si="1"/>
        <v>0</v>
      </c>
      <c r="G165" s="11"/>
      <c r="H165" s="11" t="s">
        <v>306</v>
      </c>
      <c r="I165" s="11" t="e">
        <f>VLOOKUP($H165, 'ADP Data'!$B$4:$Q$300, 2, FALSE)</f>
        <v>#N/A</v>
      </c>
      <c r="J165" s="11" t="s">
        <v>760</v>
      </c>
      <c r="K165" s="11">
        <f>VLOOKUP($H165, SeanRanks!$A$2:$H$303, 5, FALSE)</f>
        <v>0</v>
      </c>
      <c r="L165" s="11" t="str">
        <f>IF(VLOOKUP($H165, SeanRanks!$A$2:$H$303, 6, FALSE)=0, "", VLOOKUP($H165, SeanRanks!$A$2:$H$303, 6, FALSE))</f>
        <v>Don’t Draft - Streamer</v>
      </c>
      <c r="M165" s="11">
        <f t="shared" si="2"/>
        <v>16</v>
      </c>
      <c r="N165" s="11" t="e">
        <f>VLOOKUP($H165, 'ADP Data'!$B$4:$Q$300, 10, FALSE)</f>
        <v>#N/A</v>
      </c>
      <c r="O165" s="11" t="e">
        <f>VLOOKUP($H165, 'ADP Data'!$B$4:$Q$300, 4, FALSE)</f>
        <v>#N/A</v>
      </c>
      <c r="P165" s="11" t="e">
        <f t="shared" si="3"/>
        <v>#N/A</v>
      </c>
      <c r="Q165" s="11" t="e">
        <f>VLOOKUP($H165, 'ADP Data'!$B$4:$Q$300, 5, FALSE)</f>
        <v>#N/A</v>
      </c>
      <c r="R165" s="11" t="e">
        <f>VLOOKUP($H165, 'ADP Data'!$B$4:$Q$300, 6, FALSE)</f>
        <v>#N/A</v>
      </c>
      <c r="S165" s="11" t="e">
        <f>VLOOKUP($H165, 'ADP Data'!$B$4:$Q$300, 7, FALSE)</f>
        <v>#N/A</v>
      </c>
      <c r="T165" s="11" t="e">
        <f>VLOOKUP($H165, 'ADP Data'!$B$4:$Q$300, 8, FALSE)</f>
        <v>#N/A</v>
      </c>
      <c r="U165" s="11" t="e">
        <f>VLOOKUP($H165, 'ADP Data'!$B$4:$Q$300, 9, FALSE)</f>
        <v>#N/A</v>
      </c>
      <c r="V165" s="11" t="e">
        <f t="shared" si="4"/>
        <v>#N/A</v>
      </c>
      <c r="W165" s="11" t="e">
        <f t="shared" si="5"/>
        <v>#N/A</v>
      </c>
      <c r="X165" s="11" t="str">
        <f>IF(VLOOKUP($H165, SeanRanks!$A$2:$H$303, 7, FALSE)=0, "", VLOOKUP($H165, SeanRanks!$A$2:$H$303, 7, FALSE))</f>
        <v/>
      </c>
    </row>
    <row r="166" spans="1:24" ht="14.25" customHeight="1" x14ac:dyDescent="0.25">
      <c r="A166" s="11"/>
      <c r="B166" s="11" t="e">
        <f t="shared" si="6"/>
        <v>#N/A</v>
      </c>
      <c r="C166" s="11" t="s">
        <v>148</v>
      </c>
      <c r="D166" s="11"/>
      <c r="E166" s="11"/>
      <c r="F166" s="11">
        <f t="shared" si="1"/>
        <v>0</v>
      </c>
      <c r="G166" s="11"/>
      <c r="H166" s="11" t="s">
        <v>920</v>
      </c>
      <c r="I166" s="11" t="e">
        <f>VLOOKUP($H166, 'ADP Data'!$B$4:$Q$300, 2, FALSE)</f>
        <v>#N/A</v>
      </c>
      <c r="J166" s="11" t="s">
        <v>764</v>
      </c>
      <c r="K166" s="11">
        <f>VLOOKUP($H166, SeanRanks!$A$2:$H$303, 5, FALSE)</f>
        <v>0</v>
      </c>
      <c r="L166" s="11" t="str">
        <f>IF(VLOOKUP($H166, SeanRanks!$A$2:$H$303, 6, FALSE)=0, "", VLOOKUP($H166, SeanRanks!$A$2:$H$303, 6, FALSE))</f>
        <v>WR6 - dart throw upside</v>
      </c>
      <c r="M166" s="11">
        <f t="shared" si="2"/>
        <v>16</v>
      </c>
      <c r="N166" s="11" t="e">
        <f>VLOOKUP($H166, 'ADP Data'!$B$4:$Q$300, 10, FALSE)</f>
        <v>#N/A</v>
      </c>
      <c r="O166" s="11" t="e">
        <f>VLOOKUP($H166, 'ADP Data'!$B$4:$Q$300, 4, FALSE)</f>
        <v>#N/A</v>
      </c>
      <c r="P166" s="11" t="e">
        <f t="shared" si="3"/>
        <v>#N/A</v>
      </c>
      <c r="Q166" s="11" t="e">
        <f>VLOOKUP($H166, 'ADP Data'!$B$4:$Q$300, 5, FALSE)</f>
        <v>#N/A</v>
      </c>
      <c r="R166" s="11" t="e">
        <f>VLOOKUP($H166, 'ADP Data'!$B$4:$Q$300, 6, FALSE)</f>
        <v>#N/A</v>
      </c>
      <c r="S166" s="11" t="e">
        <f>VLOOKUP($H166, 'ADP Data'!$B$4:$Q$300, 7, FALSE)</f>
        <v>#N/A</v>
      </c>
      <c r="T166" s="11" t="e">
        <f>VLOOKUP($H166, 'ADP Data'!$B$4:$Q$300, 8, FALSE)</f>
        <v>#N/A</v>
      </c>
      <c r="U166" s="11" t="e">
        <f>VLOOKUP($H166, 'ADP Data'!$B$4:$Q$300, 9, FALSE)</f>
        <v>#N/A</v>
      </c>
      <c r="V166" s="11" t="e">
        <f t="shared" si="4"/>
        <v>#N/A</v>
      </c>
      <c r="W166" s="11" t="e">
        <f t="shared" si="5"/>
        <v>#N/A</v>
      </c>
      <c r="X166" s="11">
        <f>IF(VLOOKUP($H166, SeanRanks!$A$2:$H$303, 7, FALSE)=0, "", VLOOKUP($H166, SeanRanks!$A$2:$H$303, 7, FALSE))</f>
        <v>65</v>
      </c>
    </row>
    <row r="167" spans="1:24" ht="14.25" customHeight="1" x14ac:dyDescent="0.25">
      <c r="A167" s="11"/>
      <c r="B167" s="11" t="e">
        <f t="shared" si="6"/>
        <v>#N/A</v>
      </c>
      <c r="C167" s="11" t="s">
        <v>148</v>
      </c>
      <c r="D167" s="11"/>
      <c r="E167" s="11">
        <v>1</v>
      </c>
      <c r="F167" s="11">
        <f t="shared" si="1"/>
        <v>-1</v>
      </c>
      <c r="G167" s="11"/>
      <c r="H167" s="11" t="s">
        <v>933</v>
      </c>
      <c r="I167" s="11" t="e">
        <f>VLOOKUP($H167, 'ADP Data'!$B$4:$Q$300, 2, FALSE)</f>
        <v>#N/A</v>
      </c>
      <c r="J167" s="11" t="s">
        <v>764</v>
      </c>
      <c r="K167" s="11">
        <f>VLOOKUP($H167, SeanRanks!$A$2:$H$303, 5, FALSE)</f>
        <v>0</v>
      </c>
      <c r="L167" s="11" t="str">
        <f>IF(VLOOKUP($H167, SeanRanks!$A$2:$H$303, 6, FALSE)=0, "", VLOOKUP($H167, SeanRanks!$A$2:$H$303, 6, FALSE))</f>
        <v>WR6 - dart throw upside</v>
      </c>
      <c r="M167" s="11">
        <f t="shared" si="2"/>
        <v>16</v>
      </c>
      <c r="N167" s="11" t="e">
        <f>VLOOKUP($H167, 'ADP Data'!$B$4:$Q$300, 10, FALSE)</f>
        <v>#N/A</v>
      </c>
      <c r="O167" s="11" t="e">
        <f>VLOOKUP($H167, 'ADP Data'!$B$4:$Q$300, 4, FALSE)</f>
        <v>#N/A</v>
      </c>
      <c r="P167" s="11" t="e">
        <f t="shared" si="3"/>
        <v>#N/A</v>
      </c>
      <c r="Q167" s="11" t="e">
        <f>VLOOKUP($H167, 'ADP Data'!$B$4:$Q$300, 5, FALSE)</f>
        <v>#N/A</v>
      </c>
      <c r="R167" s="11" t="e">
        <f>VLOOKUP($H167, 'ADP Data'!$B$4:$Q$300, 6, FALSE)</f>
        <v>#N/A</v>
      </c>
      <c r="S167" s="11" t="e">
        <f>VLOOKUP($H167, 'ADP Data'!$B$4:$Q$300, 7, FALSE)</f>
        <v>#N/A</v>
      </c>
      <c r="T167" s="11" t="e">
        <f>VLOOKUP($H167, 'ADP Data'!$B$4:$Q$300, 8, FALSE)</f>
        <v>#N/A</v>
      </c>
      <c r="U167" s="11" t="e">
        <f>VLOOKUP($H167, 'ADP Data'!$B$4:$Q$300, 9, FALSE)</f>
        <v>#N/A</v>
      </c>
      <c r="V167" s="11" t="e">
        <f t="shared" si="4"/>
        <v>#N/A</v>
      </c>
      <c r="W167" s="11" t="e">
        <f t="shared" si="5"/>
        <v>#N/A</v>
      </c>
      <c r="X167" s="11">
        <f>IF(VLOOKUP($H167, SeanRanks!$A$2:$H$303, 7, FALSE)=0, "", VLOOKUP($H167, SeanRanks!$A$2:$H$303, 7, FALSE))</f>
        <v>60</v>
      </c>
    </row>
    <row r="168" spans="1:24" ht="14.25" customHeight="1" x14ac:dyDescent="0.25">
      <c r="A168" s="11"/>
      <c r="B168" s="11" t="e">
        <f t="shared" si="6"/>
        <v>#N/A</v>
      </c>
      <c r="C168" s="11" t="s">
        <v>119</v>
      </c>
      <c r="D168" s="11">
        <v>1</v>
      </c>
      <c r="E168" s="11"/>
      <c r="F168" s="11">
        <f t="shared" si="1"/>
        <v>1</v>
      </c>
      <c r="G168" s="11"/>
      <c r="H168" s="11" t="s">
        <v>1175</v>
      </c>
      <c r="I168" s="11" t="e">
        <f>VLOOKUP($H168, 'ADP Data'!$B$4:$Q$300, 2, FALSE)</f>
        <v>#N/A</v>
      </c>
      <c r="J168" s="11" t="s">
        <v>764</v>
      </c>
      <c r="K168" s="11" t="e">
        <f>VLOOKUP($H168, SeanRanks!$A$2:$H$303, 5, FALSE)</f>
        <v>#N/A</v>
      </c>
      <c r="L168" s="11" t="e">
        <f>IF(VLOOKUP($H168, SeanRanks!$A$2:$H$303, 6, FALSE)=0, "", VLOOKUP($H168, SeanRanks!$A$2:$H$303, 6, FALSE))</f>
        <v>#N/A</v>
      </c>
      <c r="M168" s="11">
        <f t="shared" si="2"/>
        <v>16</v>
      </c>
      <c r="N168" s="11" t="e">
        <f>VLOOKUP($H168, 'ADP Data'!$B$4:$Q$300, 10, FALSE)</f>
        <v>#N/A</v>
      </c>
      <c r="O168" s="11" t="e">
        <f>VLOOKUP($H168, 'ADP Data'!$B$4:$Q$300, 4, FALSE)</f>
        <v>#N/A</v>
      </c>
      <c r="P168" s="11" t="e">
        <f t="shared" si="3"/>
        <v>#N/A</v>
      </c>
      <c r="Q168" s="11" t="e">
        <f>VLOOKUP($H168, 'ADP Data'!$B$4:$Q$300, 5, FALSE)</f>
        <v>#N/A</v>
      </c>
      <c r="R168" s="11" t="e">
        <f>VLOOKUP($H168, 'ADP Data'!$B$4:$Q$300, 6, FALSE)</f>
        <v>#N/A</v>
      </c>
      <c r="S168" s="11" t="e">
        <f>VLOOKUP($H168, 'ADP Data'!$B$4:$Q$300, 7, FALSE)</f>
        <v>#N/A</v>
      </c>
      <c r="T168" s="11" t="e">
        <f>VLOOKUP($H168, 'ADP Data'!$B$4:$Q$300, 8, FALSE)</f>
        <v>#N/A</v>
      </c>
      <c r="U168" s="11" t="e">
        <f>VLOOKUP($H168, 'ADP Data'!$B$4:$Q$300, 9, FALSE)</f>
        <v>#N/A</v>
      </c>
      <c r="V168" s="11" t="e">
        <f t="shared" si="4"/>
        <v>#N/A</v>
      </c>
      <c r="W168" s="11" t="e">
        <f t="shared" si="5"/>
        <v>#N/A</v>
      </c>
      <c r="X168" s="11" t="e">
        <f>IF(VLOOKUP($H168, SeanRanks!$A$2:$H$303, 7, FALSE)=0, "", VLOOKUP($H168, SeanRanks!$A$2:$H$303, 7, FALSE))</f>
        <v>#N/A</v>
      </c>
    </row>
    <row r="169" spans="1:24" ht="14.25" customHeight="1" x14ac:dyDescent="0.25">
      <c r="A169" s="11"/>
      <c r="B169" s="11" t="e">
        <f t="shared" si="6"/>
        <v>#N/A</v>
      </c>
      <c r="C169" s="11" t="s">
        <v>148</v>
      </c>
      <c r="D169" s="11"/>
      <c r="E169" s="11">
        <v>1</v>
      </c>
      <c r="F169" s="11">
        <f t="shared" si="1"/>
        <v>-1</v>
      </c>
      <c r="G169" s="11"/>
      <c r="H169" s="11" t="s">
        <v>381</v>
      </c>
      <c r="I169" s="80" t="e">
        <f>VLOOKUP($H169, 'ADP Data'!$B$4:$Q$300, 2, FALSE)</f>
        <v>#N/A</v>
      </c>
      <c r="J169" s="11" t="s">
        <v>762</v>
      </c>
      <c r="K169" s="11">
        <f>VLOOKUP($H169, SeanRanks!$A$2:$H$303, 5, FALSE)</f>
        <v>0</v>
      </c>
      <c r="L169" s="11" t="str">
        <f>IF(VLOOKUP($H169, SeanRanks!$A$2:$H$303, 6, FALSE)=0, "", VLOOKUP($H169, SeanRanks!$A$2:$H$303, 6, FALSE))</f>
        <v>RB4 - 1 - Path to spikes</v>
      </c>
      <c r="M169" s="11">
        <f t="shared" si="2"/>
        <v>16</v>
      </c>
      <c r="N169" s="11" t="e">
        <f>VLOOKUP($H169, 'ADP Data'!$B$4:$Q$300, 10, FALSE)</f>
        <v>#N/A</v>
      </c>
      <c r="O169" s="11" t="e">
        <f>VLOOKUP($H169, 'ADP Data'!$B$4:$Q$300, 4, FALSE)</f>
        <v>#N/A</v>
      </c>
      <c r="P169" s="11" t="e">
        <f t="shared" si="3"/>
        <v>#N/A</v>
      </c>
      <c r="Q169" s="11" t="e">
        <f>VLOOKUP($H169, 'ADP Data'!$B$4:$Q$300, 5, FALSE)</f>
        <v>#N/A</v>
      </c>
      <c r="R169" s="11" t="e">
        <f>VLOOKUP($H169, 'ADP Data'!$B$4:$Q$300, 6, FALSE)</f>
        <v>#N/A</v>
      </c>
      <c r="S169" s="11" t="e">
        <f>VLOOKUP($H169, 'ADP Data'!$B$4:$Q$300, 7, FALSE)</f>
        <v>#N/A</v>
      </c>
      <c r="T169" s="11" t="e">
        <f>VLOOKUP($H169, 'ADP Data'!$B$4:$Q$300, 8, FALSE)</f>
        <v>#N/A</v>
      </c>
      <c r="U169" s="11" t="e">
        <f>VLOOKUP($H169, 'ADP Data'!$B$4:$Q$300, 9, FALSE)</f>
        <v>#N/A</v>
      </c>
      <c r="V169" s="11" t="e">
        <f t="shared" si="4"/>
        <v>#N/A</v>
      </c>
      <c r="W169" s="11" t="e">
        <f t="shared" si="5"/>
        <v>#N/A</v>
      </c>
      <c r="X169" s="11">
        <f>IF(VLOOKUP($H169, SeanRanks!$A$2:$H$303, 7, FALSE)=0, "", VLOOKUP($H169, SeanRanks!$A$2:$H$303, 7, FALSE))</f>
        <v>40</v>
      </c>
    </row>
    <row r="170" spans="1:24" ht="14.25" customHeight="1" x14ac:dyDescent="0.25">
      <c r="A170" s="11"/>
      <c r="B170" s="11" t="e">
        <f t="shared" si="6"/>
        <v>#N/A</v>
      </c>
      <c r="C170" s="11" t="s">
        <v>148</v>
      </c>
      <c r="D170" s="11"/>
      <c r="E170" s="11"/>
      <c r="F170" s="11">
        <f t="shared" si="1"/>
        <v>0</v>
      </c>
      <c r="G170" s="11"/>
      <c r="H170" s="11" t="s">
        <v>936</v>
      </c>
      <c r="I170" s="11" t="e">
        <f>VLOOKUP($H170, 'ADP Data'!$B$4:$Q$300, 2, FALSE)</f>
        <v>#N/A</v>
      </c>
      <c r="J170" s="11" t="s">
        <v>760</v>
      </c>
      <c r="K170" s="11" t="e">
        <f>VLOOKUP($H170, SeanRanks!$A$2:$H$303, 5, FALSE)</f>
        <v>#N/A</v>
      </c>
      <c r="L170" s="11" t="e">
        <f>IF(VLOOKUP($H170, SeanRanks!$A$2:$H$303, 6, FALSE)=0, "", VLOOKUP($H170, SeanRanks!$A$2:$H$303, 6, FALSE))</f>
        <v>#N/A</v>
      </c>
      <c r="M170" s="11">
        <f t="shared" si="2"/>
        <v>16</v>
      </c>
      <c r="N170" s="11" t="e">
        <f>VLOOKUP($H170, 'ADP Data'!$B$4:$Q$300, 10, FALSE)</f>
        <v>#N/A</v>
      </c>
      <c r="O170" s="11" t="e">
        <f>VLOOKUP($H170, 'ADP Data'!$B$4:$Q$300, 4, FALSE)</f>
        <v>#N/A</v>
      </c>
      <c r="P170" s="11" t="e">
        <f t="shared" si="3"/>
        <v>#N/A</v>
      </c>
      <c r="Q170" s="11" t="e">
        <f>VLOOKUP($H170, 'ADP Data'!$B$4:$Q$300, 5, FALSE)</f>
        <v>#N/A</v>
      </c>
      <c r="R170" s="11" t="e">
        <f>VLOOKUP($H170, 'ADP Data'!$B$4:$Q$300, 6, FALSE)</f>
        <v>#N/A</v>
      </c>
      <c r="S170" s="11" t="e">
        <f>VLOOKUP($H170, 'ADP Data'!$B$4:$Q$300, 7, FALSE)</f>
        <v>#N/A</v>
      </c>
      <c r="T170" s="11" t="e">
        <f>VLOOKUP($H170, 'ADP Data'!$B$4:$Q$300, 8, FALSE)</f>
        <v>#N/A</v>
      </c>
      <c r="U170" s="11" t="e">
        <f>VLOOKUP($H170, 'ADP Data'!$B$4:$Q$300, 9, FALSE)</f>
        <v>#N/A</v>
      </c>
      <c r="V170" s="11" t="e">
        <f t="shared" si="4"/>
        <v>#N/A</v>
      </c>
      <c r="W170" s="11" t="e">
        <f t="shared" si="5"/>
        <v>#N/A</v>
      </c>
      <c r="X170" s="11" t="e">
        <f>IF(VLOOKUP($H170, SeanRanks!$A$2:$H$303, 7, FALSE)=0, "", VLOOKUP($H170, SeanRanks!$A$2:$H$303, 7, FALSE))</f>
        <v>#N/A</v>
      </c>
    </row>
    <row r="171" spans="1:24" ht="14.25" customHeight="1" x14ac:dyDescent="0.25">
      <c r="A171" s="11"/>
      <c r="B171" s="11" t="e">
        <f t="shared" si="6"/>
        <v>#N/A</v>
      </c>
      <c r="C171" s="11" t="s">
        <v>148</v>
      </c>
      <c r="D171" s="11"/>
      <c r="E171" s="11"/>
      <c r="F171" s="11">
        <f t="shared" si="1"/>
        <v>0</v>
      </c>
      <c r="G171" s="11"/>
      <c r="H171" s="11" t="s">
        <v>1254</v>
      </c>
      <c r="I171" s="58" t="e">
        <f>VLOOKUP($H171, 'ADP Data'!$B$4:$Q$300, 2, FALSE)</f>
        <v>#N/A</v>
      </c>
      <c r="J171" s="11" t="s">
        <v>764</v>
      </c>
      <c r="K171" s="11" t="e">
        <f>VLOOKUP($H171, SeanRanks!$A$2:$H$303, 5, FALSE)</f>
        <v>#N/A</v>
      </c>
      <c r="L171" s="11" t="e">
        <f>IF(VLOOKUP($H171, SeanRanks!$A$2:$H$303, 6, FALSE)=0, "", VLOOKUP($H171, SeanRanks!$A$2:$H$303, 6, FALSE))</f>
        <v>#N/A</v>
      </c>
      <c r="M171" s="11">
        <f t="shared" si="2"/>
        <v>16</v>
      </c>
      <c r="N171" s="11" t="e">
        <f>VLOOKUP($H171, 'ADP Data'!$B$4:$Q$300, 10, FALSE)</f>
        <v>#N/A</v>
      </c>
      <c r="O171" s="11" t="e">
        <f>VLOOKUP($H171, 'ADP Data'!$B$4:$Q$300, 4, FALSE)</f>
        <v>#N/A</v>
      </c>
      <c r="P171" s="11" t="e">
        <f t="shared" si="3"/>
        <v>#N/A</v>
      </c>
      <c r="Q171" s="11" t="e">
        <f>VLOOKUP($H171, 'ADP Data'!$B$4:$Q$300, 5, FALSE)</f>
        <v>#N/A</v>
      </c>
      <c r="R171" s="11" t="e">
        <f>VLOOKUP($H171, 'ADP Data'!$B$4:$Q$300, 6, FALSE)</f>
        <v>#N/A</v>
      </c>
      <c r="S171" s="11" t="e">
        <f>VLOOKUP($H171, 'ADP Data'!$B$4:$Q$300, 7, FALSE)</f>
        <v>#N/A</v>
      </c>
      <c r="T171" s="11" t="e">
        <f>VLOOKUP($H171, 'ADP Data'!$B$4:$Q$300, 8, FALSE)</f>
        <v>#N/A</v>
      </c>
      <c r="U171" s="11" t="e">
        <f>VLOOKUP($H171, 'ADP Data'!$B$4:$Q$300, 9, FALSE)</f>
        <v>#N/A</v>
      </c>
      <c r="V171" s="11" t="e">
        <f t="shared" si="4"/>
        <v>#N/A</v>
      </c>
      <c r="W171" s="11" t="e">
        <f t="shared" si="5"/>
        <v>#N/A</v>
      </c>
      <c r="X171" s="11" t="e">
        <f>IF(VLOOKUP($H171, SeanRanks!$A$2:$H$303, 7, FALSE)=0, "", VLOOKUP($H171, SeanRanks!$A$2:$H$303, 7, FALSE))</f>
        <v>#N/A</v>
      </c>
    </row>
    <row r="172" spans="1:24" ht="14.25" customHeight="1" x14ac:dyDescent="0.25">
      <c r="A172" s="11"/>
      <c r="B172" s="11" t="e">
        <f t="shared" si="6"/>
        <v>#N/A</v>
      </c>
      <c r="C172" s="11" t="s">
        <v>148</v>
      </c>
      <c r="D172" s="11"/>
      <c r="E172" s="11">
        <v>1</v>
      </c>
      <c r="F172" s="11">
        <f t="shared" si="1"/>
        <v>-1</v>
      </c>
      <c r="G172" s="46" t="s">
        <v>1255</v>
      </c>
      <c r="H172" s="11" t="s">
        <v>360</v>
      </c>
      <c r="I172" s="11" t="e">
        <f>VLOOKUP($H172, 'ADP Data'!$B$4:$Q$300, 2, FALSE)</f>
        <v>#N/A</v>
      </c>
      <c r="J172" s="11" t="s">
        <v>760</v>
      </c>
      <c r="K172" s="11">
        <f>VLOOKUP($H172, SeanRanks!$A$2:$H$303, 5, FALSE)</f>
        <v>0</v>
      </c>
      <c r="L172" s="11" t="str">
        <f>IF(VLOOKUP($H172, SeanRanks!$A$2:$H$303, 6, FALSE)=0, "", VLOOKUP($H172, SeanRanks!$A$2:$H$303, 6, FALSE))</f>
        <v>QB2 - 1 - League Winner</v>
      </c>
      <c r="M172" s="11">
        <f t="shared" si="2"/>
        <v>16</v>
      </c>
      <c r="N172" s="11" t="e">
        <f>VLOOKUP($H172, 'ADP Data'!$B$4:$Q$300, 10, FALSE)</f>
        <v>#N/A</v>
      </c>
      <c r="O172" s="11" t="e">
        <f>VLOOKUP($H172, 'ADP Data'!$B$4:$Q$300, 4, FALSE)</f>
        <v>#N/A</v>
      </c>
      <c r="P172" s="11" t="e">
        <f t="shared" si="3"/>
        <v>#N/A</v>
      </c>
      <c r="Q172" s="11" t="e">
        <f>VLOOKUP($H172, 'ADP Data'!$B$4:$Q$300, 5, FALSE)</f>
        <v>#N/A</v>
      </c>
      <c r="R172" s="11" t="e">
        <f>VLOOKUP($H172, 'ADP Data'!$B$4:$Q$300, 6, FALSE)</f>
        <v>#N/A</v>
      </c>
      <c r="S172" s="11" t="e">
        <f>VLOOKUP($H172, 'ADP Data'!$B$4:$Q$300, 7, FALSE)</f>
        <v>#N/A</v>
      </c>
      <c r="T172" s="11" t="e">
        <f>VLOOKUP($H172, 'ADP Data'!$B$4:$Q$300, 8, FALSE)</f>
        <v>#N/A</v>
      </c>
      <c r="U172" s="11" t="e">
        <f>VLOOKUP($H172, 'ADP Data'!$B$4:$Q$300, 9, FALSE)</f>
        <v>#N/A</v>
      </c>
      <c r="V172" s="11" t="e">
        <f t="shared" si="4"/>
        <v>#N/A</v>
      </c>
      <c r="W172" s="11" t="e">
        <f t="shared" si="5"/>
        <v>#N/A</v>
      </c>
      <c r="X172" s="11">
        <f>IF(VLOOKUP($H172, SeanRanks!$A$2:$H$303, 7, FALSE)=0, "", VLOOKUP($H172, SeanRanks!$A$2:$H$303, 7, FALSE))</f>
        <v>15</v>
      </c>
    </row>
    <row r="173" spans="1:24" ht="14.25" customHeight="1" x14ac:dyDescent="0.25">
      <c r="A173" s="11"/>
      <c r="B173" s="11" t="e">
        <f t="shared" si="6"/>
        <v>#N/A</v>
      </c>
      <c r="C173" s="11" t="s">
        <v>148</v>
      </c>
      <c r="D173" s="11"/>
      <c r="E173" s="11">
        <v>0</v>
      </c>
      <c r="F173" s="11">
        <f t="shared" si="1"/>
        <v>0</v>
      </c>
      <c r="G173" s="46" t="s">
        <v>1233</v>
      </c>
      <c r="H173" s="11" t="s">
        <v>921</v>
      </c>
      <c r="I173" s="11" t="e">
        <f>VLOOKUP($H173, 'ADP Data'!$B$4:$Q$300, 2, FALSE)</f>
        <v>#N/A</v>
      </c>
      <c r="J173" s="11" t="s">
        <v>769</v>
      </c>
      <c r="K173" s="11" t="e">
        <f>VLOOKUP($H173, SeanRanks!$A$2:$H$303, 5, FALSE)</f>
        <v>#N/A</v>
      </c>
      <c r="L173" s="11" t="e">
        <f>IF(VLOOKUP($H173, SeanRanks!$A$2:$H$303, 6, FALSE)=0, "", VLOOKUP($H173, SeanRanks!$A$2:$H$303, 6, FALSE))</f>
        <v>#N/A</v>
      </c>
      <c r="M173" s="11">
        <f t="shared" si="2"/>
        <v>16</v>
      </c>
      <c r="N173" s="11" t="e">
        <f>VLOOKUP($H173, 'ADP Data'!$B$4:$Q$300, 10, FALSE)</f>
        <v>#N/A</v>
      </c>
      <c r="O173" s="11" t="e">
        <f>VLOOKUP($H173, 'ADP Data'!$B$4:$Q$300, 4, FALSE)</f>
        <v>#N/A</v>
      </c>
      <c r="P173" s="11" t="e">
        <f t="shared" si="3"/>
        <v>#N/A</v>
      </c>
      <c r="Q173" s="11" t="e">
        <f>VLOOKUP($H173, 'ADP Data'!$B$4:$Q$300, 5, FALSE)</f>
        <v>#N/A</v>
      </c>
      <c r="R173" s="11" t="e">
        <f>VLOOKUP($H173, 'ADP Data'!$B$4:$Q$300, 6, FALSE)</f>
        <v>#N/A</v>
      </c>
      <c r="S173" s="11" t="e">
        <f>VLOOKUP($H173, 'ADP Data'!$B$4:$Q$300, 7, FALSE)</f>
        <v>#N/A</v>
      </c>
      <c r="T173" s="11" t="e">
        <f>VLOOKUP($H173, 'ADP Data'!$B$4:$Q$300, 8, FALSE)</f>
        <v>#N/A</v>
      </c>
      <c r="U173" s="11" t="e">
        <f>VLOOKUP($H173, 'ADP Data'!$B$4:$Q$300, 9, FALSE)</f>
        <v>#N/A</v>
      </c>
      <c r="V173" s="11" t="e">
        <f t="shared" si="4"/>
        <v>#N/A</v>
      </c>
      <c r="W173" s="11" t="e">
        <f t="shared" si="5"/>
        <v>#N/A</v>
      </c>
      <c r="X173" s="11" t="e">
        <f>IF(VLOOKUP($H173, SeanRanks!$A$2:$H$303, 7, FALSE)=0, "", VLOOKUP($H173, SeanRanks!$A$2:$H$303, 7, FALSE))</f>
        <v>#N/A</v>
      </c>
    </row>
    <row r="174" spans="1:24" ht="14.25" customHeight="1" x14ac:dyDescent="0.25">
      <c r="A174" s="11"/>
      <c r="B174" s="11" t="e">
        <f t="shared" si="6"/>
        <v>#N/A</v>
      </c>
      <c r="C174" s="11" t="s">
        <v>148</v>
      </c>
      <c r="D174" s="11"/>
      <c r="E174" s="11">
        <v>0</v>
      </c>
      <c r="F174" s="11">
        <f t="shared" si="1"/>
        <v>0</v>
      </c>
      <c r="G174" s="46" t="s">
        <v>1233</v>
      </c>
      <c r="H174" s="11" t="s">
        <v>1185</v>
      </c>
      <c r="I174" s="11" t="e">
        <f>VLOOKUP($H174, 'ADP Data'!$B$4:$Q$300, 2, FALSE)</f>
        <v>#N/A</v>
      </c>
      <c r="J174" s="11" t="s">
        <v>769</v>
      </c>
      <c r="K174" s="11" t="e">
        <f>VLOOKUP($H174, SeanRanks!$A$2:$H$303, 5, FALSE)</f>
        <v>#N/A</v>
      </c>
      <c r="L174" s="11" t="e">
        <f>IF(VLOOKUP($H174, SeanRanks!$A$2:$H$303, 6, FALSE)=0, "", VLOOKUP($H174, SeanRanks!$A$2:$H$303, 6, FALSE))</f>
        <v>#N/A</v>
      </c>
      <c r="M174" s="11">
        <f t="shared" si="2"/>
        <v>16</v>
      </c>
      <c r="N174" s="11" t="e">
        <f>VLOOKUP($H174, 'ADP Data'!$B$4:$Q$300, 10, FALSE)</f>
        <v>#N/A</v>
      </c>
      <c r="O174" s="11" t="e">
        <f>VLOOKUP($H174, 'ADP Data'!$B$4:$Q$300, 4, FALSE)</f>
        <v>#N/A</v>
      </c>
      <c r="P174" s="11" t="e">
        <f t="shared" si="3"/>
        <v>#N/A</v>
      </c>
      <c r="Q174" s="11" t="e">
        <f>VLOOKUP($H174, 'ADP Data'!$B$4:$Q$300, 5, FALSE)</f>
        <v>#N/A</v>
      </c>
      <c r="R174" s="11" t="e">
        <f>VLOOKUP($H174, 'ADP Data'!$B$4:$Q$300, 6, FALSE)</f>
        <v>#N/A</v>
      </c>
      <c r="S174" s="11" t="e">
        <f>VLOOKUP($H174, 'ADP Data'!$B$4:$Q$300, 7, FALSE)</f>
        <v>#N/A</v>
      </c>
      <c r="T174" s="11" t="e">
        <f>VLOOKUP($H174, 'ADP Data'!$B$4:$Q$300, 8, FALSE)</f>
        <v>#N/A</v>
      </c>
      <c r="U174" s="11" t="e">
        <f>VLOOKUP($H174, 'ADP Data'!$B$4:$Q$300, 9, FALSE)</f>
        <v>#N/A</v>
      </c>
      <c r="V174" s="11" t="e">
        <f t="shared" si="4"/>
        <v>#N/A</v>
      </c>
      <c r="W174" s="11" t="e">
        <f t="shared" si="5"/>
        <v>#N/A</v>
      </c>
      <c r="X174" s="11" t="e">
        <f>IF(VLOOKUP($H174, SeanRanks!$A$2:$H$303, 7, FALSE)=0, "", VLOOKUP($H174, SeanRanks!$A$2:$H$303, 7, FALSE))</f>
        <v>#N/A</v>
      </c>
    </row>
    <row r="175" spans="1:24" ht="14.25" customHeight="1" x14ac:dyDescent="0.25">
      <c r="A175" s="11"/>
      <c r="B175" s="11" t="e">
        <f t="shared" si="6"/>
        <v>#N/A</v>
      </c>
      <c r="C175" s="11" t="s">
        <v>148</v>
      </c>
      <c r="D175" s="11"/>
      <c r="E175" s="11"/>
      <c r="F175" s="11">
        <f t="shared" si="1"/>
        <v>0</v>
      </c>
      <c r="G175" s="11"/>
      <c r="H175" s="11" t="s">
        <v>914</v>
      </c>
      <c r="I175" s="11" t="e">
        <f>VLOOKUP($H175, 'ADP Data'!$B$4:$Q$300, 2, FALSE)</f>
        <v>#N/A</v>
      </c>
      <c r="J175" s="11" t="s">
        <v>773</v>
      </c>
      <c r="K175" s="11">
        <f>VLOOKUP($H175, SeanRanks!$A$2:$H$303, 5, FALSE)</f>
        <v>0</v>
      </c>
      <c r="L175" s="11" t="str">
        <f>IF(VLOOKUP($H175, SeanRanks!$A$2:$H$303, 6, FALSE)=0, "", VLOOKUP($H175, SeanRanks!$A$2:$H$303, 6, FALSE))</f>
        <v/>
      </c>
      <c r="M175" s="11">
        <f t="shared" si="2"/>
        <v>16</v>
      </c>
      <c r="N175" s="11" t="e">
        <f>VLOOKUP($H175, 'ADP Data'!$B$4:$Q$300, 10, FALSE)</f>
        <v>#N/A</v>
      </c>
      <c r="O175" s="11" t="e">
        <f>VLOOKUP($H175, 'ADP Data'!$B$4:$Q$300, 4, FALSE)</f>
        <v>#N/A</v>
      </c>
      <c r="P175" s="11" t="e">
        <f t="shared" si="3"/>
        <v>#N/A</v>
      </c>
      <c r="Q175" s="11" t="e">
        <f>VLOOKUP($H175, 'ADP Data'!$B$4:$Q$300, 5, FALSE)</f>
        <v>#N/A</v>
      </c>
      <c r="R175" s="11" t="e">
        <f>VLOOKUP($H175, 'ADP Data'!$B$4:$Q$300, 6, FALSE)</f>
        <v>#N/A</v>
      </c>
      <c r="S175" s="11" t="e">
        <f>VLOOKUP($H175, 'ADP Data'!$B$4:$Q$300, 7, FALSE)</f>
        <v>#N/A</v>
      </c>
      <c r="T175" s="11" t="e">
        <f>VLOOKUP($H175, 'ADP Data'!$B$4:$Q$300, 8, FALSE)</f>
        <v>#N/A</v>
      </c>
      <c r="U175" s="11" t="e">
        <f>VLOOKUP($H175, 'ADP Data'!$B$4:$Q$300, 9, FALSE)</f>
        <v>#N/A</v>
      </c>
      <c r="V175" s="11" t="e">
        <f t="shared" si="4"/>
        <v>#N/A</v>
      </c>
      <c r="W175" s="11" t="e">
        <f t="shared" si="5"/>
        <v>#N/A</v>
      </c>
      <c r="X175" s="11" t="str">
        <f>IF(VLOOKUP($H175, SeanRanks!$A$2:$H$303, 7, FALSE)=0, "", VLOOKUP($H175, SeanRanks!$A$2:$H$303, 7, FALSE))</f>
        <v/>
      </c>
    </row>
    <row r="176" spans="1:24" ht="14.25" customHeight="1" x14ac:dyDescent="0.25">
      <c r="A176" s="11"/>
      <c r="B176" s="11" t="e">
        <f t="shared" si="6"/>
        <v>#N/A</v>
      </c>
      <c r="C176" s="11" t="s">
        <v>148</v>
      </c>
      <c r="D176" s="11"/>
      <c r="E176" s="11"/>
      <c r="F176" s="11">
        <f t="shared" si="1"/>
        <v>0</v>
      </c>
      <c r="G176" s="11"/>
      <c r="H176" s="11" t="s">
        <v>969</v>
      </c>
      <c r="I176" s="11" t="e">
        <f>VLOOKUP($H176, 'ADP Data'!$B$4:$Q$300, 2, FALSE)</f>
        <v>#N/A</v>
      </c>
      <c r="J176" s="11" t="s">
        <v>764</v>
      </c>
      <c r="K176" s="11" t="e">
        <f>VLOOKUP($H176, SeanRanks!$A$2:$H$303, 5, FALSE)</f>
        <v>#N/A</v>
      </c>
      <c r="L176" s="11" t="e">
        <f>IF(VLOOKUP($H176, SeanRanks!$A$2:$H$303, 6, FALSE)=0, "", VLOOKUP($H176, SeanRanks!$A$2:$H$303, 6, FALSE))</f>
        <v>#N/A</v>
      </c>
      <c r="M176" s="11">
        <f t="shared" si="2"/>
        <v>16</v>
      </c>
      <c r="N176" s="11" t="e">
        <f>VLOOKUP($H176, 'ADP Data'!$B$4:$Q$300, 10, FALSE)</f>
        <v>#N/A</v>
      </c>
      <c r="O176" s="11" t="e">
        <f>VLOOKUP($H176, 'ADP Data'!$B$4:$Q$300, 4, FALSE)</f>
        <v>#N/A</v>
      </c>
      <c r="P176" s="11" t="e">
        <f t="shared" si="3"/>
        <v>#N/A</v>
      </c>
      <c r="Q176" s="11" t="e">
        <f>VLOOKUP($H176, 'ADP Data'!$B$4:$Q$300, 5, FALSE)</f>
        <v>#N/A</v>
      </c>
      <c r="R176" s="11" t="e">
        <f>VLOOKUP($H176, 'ADP Data'!$B$4:$Q$300, 6, FALSE)</f>
        <v>#N/A</v>
      </c>
      <c r="S176" s="11" t="e">
        <f>VLOOKUP($H176, 'ADP Data'!$B$4:$Q$300, 7, FALSE)</f>
        <v>#N/A</v>
      </c>
      <c r="T176" s="11" t="e">
        <f>VLOOKUP($H176, 'ADP Data'!$B$4:$Q$300, 8, FALSE)</f>
        <v>#N/A</v>
      </c>
      <c r="U176" s="11" t="e">
        <f>VLOOKUP($H176, 'ADP Data'!$B$4:$Q$300, 9, FALSE)</f>
        <v>#N/A</v>
      </c>
      <c r="V176" s="11" t="e">
        <f t="shared" si="4"/>
        <v>#N/A</v>
      </c>
      <c r="W176" s="11" t="e">
        <f t="shared" si="5"/>
        <v>#N/A</v>
      </c>
      <c r="X176" s="11" t="e">
        <f>IF(VLOOKUP($H176, SeanRanks!$A$2:$H$303, 7, FALSE)=0, "", VLOOKUP($H176, SeanRanks!$A$2:$H$303, 7, FALSE))</f>
        <v>#N/A</v>
      </c>
    </row>
    <row r="177" spans="1:24" ht="14.25" customHeight="1" x14ac:dyDescent="0.25">
      <c r="A177" s="11"/>
      <c r="B177" s="11" t="e">
        <f t="shared" si="6"/>
        <v>#N/A</v>
      </c>
      <c r="C177" s="11" t="s">
        <v>119</v>
      </c>
      <c r="D177" s="11">
        <v>1</v>
      </c>
      <c r="E177" s="11"/>
      <c r="F177" s="11">
        <f t="shared" si="1"/>
        <v>1</v>
      </c>
      <c r="G177" s="11"/>
      <c r="H177" s="11" t="s">
        <v>370</v>
      </c>
      <c r="I177" s="11" t="e">
        <f>VLOOKUP($H177, 'ADP Data'!$B$4:$Q$300, 2, FALSE)</f>
        <v>#N/A</v>
      </c>
      <c r="J177" s="11" t="s">
        <v>762</v>
      </c>
      <c r="K177" s="11">
        <f>VLOOKUP($H177, SeanRanks!$A$2:$H$303, 5, FALSE)</f>
        <v>0</v>
      </c>
      <c r="L177" s="11" t="str">
        <f>IF(VLOOKUP($H177, SeanRanks!$A$2:$H$303, 6, FALSE)=0, "", VLOOKUP($H177, SeanRanks!$A$2:$H$303, 6, FALSE))</f>
        <v>RB4 - 1 - Path to spikes</v>
      </c>
      <c r="M177" s="11">
        <f t="shared" si="2"/>
        <v>16</v>
      </c>
      <c r="N177" s="11" t="e">
        <f>VLOOKUP($H177, 'ADP Data'!$B$4:$Q$300, 10, FALSE)</f>
        <v>#N/A</v>
      </c>
      <c r="O177" s="11" t="e">
        <f>VLOOKUP($H177, 'ADP Data'!$B$4:$Q$300, 4, FALSE)</f>
        <v>#N/A</v>
      </c>
      <c r="P177" s="11" t="e">
        <f t="shared" si="3"/>
        <v>#N/A</v>
      </c>
      <c r="Q177" s="11" t="e">
        <f>VLOOKUP($H177, 'ADP Data'!$B$4:$Q$300, 5, FALSE)</f>
        <v>#N/A</v>
      </c>
      <c r="R177" s="11" t="e">
        <f>VLOOKUP($H177, 'ADP Data'!$B$4:$Q$300, 6, FALSE)</f>
        <v>#N/A</v>
      </c>
      <c r="S177" s="11" t="e">
        <f>VLOOKUP($H177, 'ADP Data'!$B$4:$Q$300, 7, FALSE)</f>
        <v>#N/A</v>
      </c>
      <c r="T177" s="11" t="e">
        <f>VLOOKUP($H177, 'ADP Data'!$B$4:$Q$300, 8, FALSE)</f>
        <v>#N/A</v>
      </c>
      <c r="U177" s="11" t="e">
        <f>VLOOKUP($H177, 'ADP Data'!$B$4:$Q$300, 9, FALSE)</f>
        <v>#N/A</v>
      </c>
      <c r="V177" s="11" t="e">
        <f t="shared" si="4"/>
        <v>#N/A</v>
      </c>
      <c r="W177" s="11" t="e">
        <f t="shared" si="5"/>
        <v>#N/A</v>
      </c>
      <c r="X177" s="11">
        <f>IF(VLOOKUP($H177, SeanRanks!$A$2:$H$303, 7, FALSE)=0, "", VLOOKUP($H177, SeanRanks!$A$2:$H$303, 7, FALSE))</f>
        <v>46</v>
      </c>
    </row>
    <row r="178" spans="1:24" ht="14.25" customHeight="1" x14ac:dyDescent="0.25">
      <c r="A178" s="11"/>
      <c r="B178" s="11" t="e">
        <f t="shared" si="6"/>
        <v>#N/A</v>
      </c>
      <c r="C178" s="11" t="s">
        <v>148</v>
      </c>
      <c r="D178" s="11"/>
      <c r="E178" s="11"/>
      <c r="F178" s="11">
        <f t="shared" si="1"/>
        <v>0</v>
      </c>
      <c r="G178" s="11"/>
      <c r="H178" s="11" t="s">
        <v>899</v>
      </c>
      <c r="I178" s="11" t="e">
        <f>VLOOKUP($H178, 'ADP Data'!$B$4:$Q$300, 2, FALSE)</f>
        <v>#N/A</v>
      </c>
      <c r="J178" s="11" t="s">
        <v>762</v>
      </c>
      <c r="K178" s="11" t="e">
        <f>VLOOKUP($H178, SeanRanks!$A$2:$H$303, 5, FALSE)</f>
        <v>#N/A</v>
      </c>
      <c r="L178" s="11" t="e">
        <f>IF(VLOOKUP($H178, SeanRanks!$A$2:$H$303, 6, FALSE)=0, "", VLOOKUP($H178, SeanRanks!$A$2:$H$303, 6, FALSE))</f>
        <v>#N/A</v>
      </c>
      <c r="M178" s="11">
        <f t="shared" si="2"/>
        <v>16</v>
      </c>
      <c r="N178" s="11" t="e">
        <f>VLOOKUP($H178, 'ADP Data'!$B$4:$Q$300, 10, FALSE)</f>
        <v>#N/A</v>
      </c>
      <c r="O178" s="11" t="e">
        <f>VLOOKUP($H178, 'ADP Data'!$B$4:$Q$300, 4, FALSE)</f>
        <v>#N/A</v>
      </c>
      <c r="P178" s="11" t="e">
        <f t="shared" si="3"/>
        <v>#N/A</v>
      </c>
      <c r="Q178" s="11" t="e">
        <f>VLOOKUP($H178, 'ADP Data'!$B$4:$Q$300, 5, FALSE)</f>
        <v>#N/A</v>
      </c>
      <c r="R178" s="11" t="e">
        <f>VLOOKUP($H178, 'ADP Data'!$B$4:$Q$300, 6, FALSE)</f>
        <v>#N/A</v>
      </c>
      <c r="S178" s="11" t="e">
        <f>VLOOKUP($H178, 'ADP Data'!$B$4:$Q$300, 7, FALSE)</f>
        <v>#N/A</v>
      </c>
      <c r="T178" s="11" t="e">
        <f>VLOOKUP($H178, 'ADP Data'!$B$4:$Q$300, 8, FALSE)</f>
        <v>#N/A</v>
      </c>
      <c r="U178" s="11" t="e">
        <f>VLOOKUP($H178, 'ADP Data'!$B$4:$Q$300, 9, FALSE)</f>
        <v>#N/A</v>
      </c>
      <c r="V178" s="11" t="e">
        <f t="shared" si="4"/>
        <v>#N/A</v>
      </c>
      <c r="W178" s="11" t="e">
        <f t="shared" si="5"/>
        <v>#N/A</v>
      </c>
      <c r="X178" s="11" t="e">
        <f>IF(VLOOKUP($H178, SeanRanks!$A$2:$H$303, 7, FALSE)=0, "", VLOOKUP($H178, SeanRanks!$A$2:$H$303, 7, FALSE))</f>
        <v>#N/A</v>
      </c>
    </row>
    <row r="179" spans="1:24" ht="14.25" customHeight="1" x14ac:dyDescent="0.25">
      <c r="A179" s="11"/>
      <c r="B179" s="11" t="e">
        <f t="shared" si="6"/>
        <v>#N/A</v>
      </c>
      <c r="C179" s="11" t="s">
        <v>148</v>
      </c>
      <c r="D179" s="11"/>
      <c r="E179" s="11"/>
      <c r="F179" s="11">
        <f t="shared" si="1"/>
        <v>0</v>
      </c>
      <c r="G179" s="11"/>
      <c r="H179" s="11" t="s">
        <v>1261</v>
      </c>
      <c r="I179" s="11" t="e">
        <f>VLOOKUP($H179, 'ADP Data'!$B$4:$Q$300, 2, FALSE)</f>
        <v>#N/A</v>
      </c>
      <c r="J179" s="11" t="s">
        <v>762</v>
      </c>
      <c r="K179" s="11" t="e">
        <f>VLOOKUP($H179, SeanRanks!$A$2:$H$303, 5, FALSE)</f>
        <v>#N/A</v>
      </c>
      <c r="L179" s="11" t="e">
        <f>IF(VLOOKUP($H179, SeanRanks!$A$2:$H$303, 6, FALSE)=0, "", VLOOKUP($H179, SeanRanks!$A$2:$H$303, 6, FALSE))</f>
        <v>#N/A</v>
      </c>
      <c r="M179" s="11">
        <f t="shared" si="2"/>
        <v>16</v>
      </c>
      <c r="N179" s="11" t="e">
        <f>VLOOKUP($H179, 'ADP Data'!$B$4:$Q$300, 10, FALSE)</f>
        <v>#N/A</v>
      </c>
      <c r="O179" s="11" t="e">
        <f>VLOOKUP($H179, 'ADP Data'!$B$4:$Q$300, 4, FALSE)</f>
        <v>#N/A</v>
      </c>
      <c r="P179" s="11" t="e">
        <f t="shared" si="3"/>
        <v>#N/A</v>
      </c>
      <c r="Q179" s="11" t="e">
        <f>VLOOKUP($H179, 'ADP Data'!$B$4:$Q$300, 5, FALSE)</f>
        <v>#N/A</v>
      </c>
      <c r="R179" s="11" t="e">
        <f>VLOOKUP($H179, 'ADP Data'!$B$4:$Q$300, 6, FALSE)</f>
        <v>#N/A</v>
      </c>
      <c r="S179" s="11" t="e">
        <f>VLOOKUP($H179, 'ADP Data'!$B$4:$Q$300, 7, FALSE)</f>
        <v>#N/A</v>
      </c>
      <c r="T179" s="11" t="e">
        <f>VLOOKUP($H179, 'ADP Data'!$B$4:$Q$300, 8, FALSE)</f>
        <v>#N/A</v>
      </c>
      <c r="U179" s="11" t="e">
        <f>VLOOKUP($H179, 'ADP Data'!$B$4:$Q$300, 9, FALSE)</f>
        <v>#N/A</v>
      </c>
      <c r="V179" s="11" t="e">
        <f t="shared" si="4"/>
        <v>#N/A</v>
      </c>
      <c r="W179" s="11" t="e">
        <f t="shared" si="5"/>
        <v>#N/A</v>
      </c>
      <c r="X179" s="11" t="e">
        <f>IF(VLOOKUP($H179, SeanRanks!$A$2:$H$303, 7, FALSE)=0, "", VLOOKUP($H179, SeanRanks!$A$2:$H$303, 7, FALSE))</f>
        <v>#N/A</v>
      </c>
    </row>
    <row r="180" spans="1:24" ht="14.25" customHeight="1" x14ac:dyDescent="0.25">
      <c r="A180" s="11"/>
      <c r="B180" s="11" t="e">
        <f t="shared" si="6"/>
        <v>#N/A</v>
      </c>
      <c r="C180" s="11" t="s">
        <v>148</v>
      </c>
      <c r="D180" s="11"/>
      <c r="E180" s="11"/>
      <c r="F180" s="11">
        <f t="shared" si="1"/>
        <v>0</v>
      </c>
      <c r="G180" s="11"/>
      <c r="H180" s="11" t="s">
        <v>471</v>
      </c>
      <c r="I180" s="11" t="e">
        <f>VLOOKUP($H180, 'ADP Data'!$B$4:$Q$300, 2, FALSE)</f>
        <v>#N/A</v>
      </c>
      <c r="J180" s="11" t="s">
        <v>773</v>
      </c>
      <c r="K180" s="11">
        <f>VLOOKUP($H180, SeanRanks!$A$2:$H$303, 5, FALSE)</f>
        <v>0</v>
      </c>
      <c r="L180" s="11" t="str">
        <f>IF(VLOOKUP($H180, SeanRanks!$A$2:$H$303, 6, FALSE)=0, "", VLOOKUP($H180, SeanRanks!$A$2:$H$303, 6, FALSE))</f>
        <v/>
      </c>
      <c r="M180" s="11">
        <f t="shared" si="2"/>
        <v>16</v>
      </c>
      <c r="N180" s="11" t="e">
        <f>VLOOKUP($H180, 'ADP Data'!$B$4:$Q$300, 10, FALSE)</f>
        <v>#N/A</v>
      </c>
      <c r="O180" s="11" t="e">
        <f>VLOOKUP($H180, 'ADP Data'!$B$4:$Q$300, 4, FALSE)</f>
        <v>#N/A</v>
      </c>
      <c r="P180" s="11" t="e">
        <f t="shared" si="3"/>
        <v>#N/A</v>
      </c>
      <c r="Q180" s="11" t="e">
        <f>VLOOKUP($H180, 'ADP Data'!$B$4:$Q$300, 5, FALSE)</f>
        <v>#N/A</v>
      </c>
      <c r="R180" s="11" t="e">
        <f>VLOOKUP($H180, 'ADP Data'!$B$4:$Q$300, 6, FALSE)</f>
        <v>#N/A</v>
      </c>
      <c r="S180" s="11" t="e">
        <f>VLOOKUP($H180, 'ADP Data'!$B$4:$Q$300, 7, FALSE)</f>
        <v>#N/A</v>
      </c>
      <c r="T180" s="11" t="e">
        <f>VLOOKUP($H180, 'ADP Data'!$B$4:$Q$300, 8, FALSE)</f>
        <v>#N/A</v>
      </c>
      <c r="U180" s="11" t="e">
        <f>VLOOKUP($H180, 'ADP Data'!$B$4:$Q$300, 9, FALSE)</f>
        <v>#N/A</v>
      </c>
      <c r="V180" s="11" t="e">
        <f t="shared" si="4"/>
        <v>#N/A</v>
      </c>
      <c r="W180" s="11" t="e">
        <f t="shared" si="5"/>
        <v>#N/A</v>
      </c>
      <c r="X180" s="11" t="str">
        <f>IF(VLOOKUP($H180, SeanRanks!$A$2:$H$303, 7, FALSE)=0, "", VLOOKUP($H180, SeanRanks!$A$2:$H$303, 7, FALSE))</f>
        <v/>
      </c>
    </row>
    <row r="181" spans="1:24" ht="14.25" customHeight="1" x14ac:dyDescent="0.25">
      <c r="A181" s="11"/>
      <c r="B181" s="11" t="e">
        <f t="shared" si="6"/>
        <v>#N/A</v>
      </c>
      <c r="C181" s="11" t="s">
        <v>148</v>
      </c>
      <c r="D181" s="11"/>
      <c r="E181" s="11"/>
      <c r="F181" s="11">
        <f t="shared" si="1"/>
        <v>0</v>
      </c>
      <c r="G181" s="11"/>
      <c r="H181" s="11" t="s">
        <v>968</v>
      </c>
      <c r="I181" s="11" t="e">
        <f>VLOOKUP($H181, 'ADP Data'!$B$4:$Q$300, 2, FALSE)</f>
        <v>#N/A</v>
      </c>
      <c r="J181" s="11" t="s">
        <v>762</v>
      </c>
      <c r="K181" s="11" t="e">
        <f>VLOOKUP($H181, SeanRanks!$A$2:$H$303, 5, FALSE)</f>
        <v>#N/A</v>
      </c>
      <c r="L181" s="11" t="e">
        <f>IF(VLOOKUP($H181, SeanRanks!$A$2:$H$303, 6, FALSE)=0, "", VLOOKUP($H181, SeanRanks!$A$2:$H$303, 6, FALSE))</f>
        <v>#N/A</v>
      </c>
      <c r="M181" s="11">
        <f t="shared" si="2"/>
        <v>16</v>
      </c>
      <c r="N181" s="11" t="e">
        <f>VLOOKUP($H181, 'ADP Data'!$B$4:$Q$300, 10, FALSE)</f>
        <v>#N/A</v>
      </c>
      <c r="O181" s="11" t="e">
        <f>VLOOKUP($H181, 'ADP Data'!$B$4:$Q$300, 4, FALSE)</f>
        <v>#N/A</v>
      </c>
      <c r="P181" s="11" t="e">
        <f t="shared" si="3"/>
        <v>#N/A</v>
      </c>
      <c r="Q181" s="11" t="e">
        <f>VLOOKUP($H181, 'ADP Data'!$B$4:$Q$300, 5, FALSE)</f>
        <v>#N/A</v>
      </c>
      <c r="R181" s="11" t="e">
        <f>VLOOKUP($H181, 'ADP Data'!$B$4:$Q$300, 6, FALSE)</f>
        <v>#N/A</v>
      </c>
      <c r="S181" s="11" t="e">
        <f>VLOOKUP($H181, 'ADP Data'!$B$4:$Q$300, 7, FALSE)</f>
        <v>#N/A</v>
      </c>
      <c r="T181" s="11" t="e">
        <f>VLOOKUP($H181, 'ADP Data'!$B$4:$Q$300, 8, FALSE)</f>
        <v>#N/A</v>
      </c>
      <c r="U181" s="11" t="e">
        <f>VLOOKUP($H181, 'ADP Data'!$B$4:$Q$300, 9, FALSE)</f>
        <v>#N/A</v>
      </c>
      <c r="V181" s="11" t="e">
        <f t="shared" si="4"/>
        <v>#N/A</v>
      </c>
      <c r="W181" s="11" t="e">
        <f t="shared" si="5"/>
        <v>#N/A</v>
      </c>
      <c r="X181" s="11" t="e">
        <f>IF(VLOOKUP($H181, SeanRanks!$A$2:$H$303, 7, FALSE)=0, "", VLOOKUP($H181, SeanRanks!$A$2:$H$303, 7, FALSE))</f>
        <v>#N/A</v>
      </c>
    </row>
    <row r="182" spans="1:24" ht="14.25" customHeight="1" x14ac:dyDescent="0.25">
      <c r="A182" s="11"/>
      <c r="B182" s="11" t="e">
        <f t="shared" si="6"/>
        <v>#N/A</v>
      </c>
      <c r="C182" s="11" t="s">
        <v>148</v>
      </c>
      <c r="D182" s="11"/>
      <c r="E182" s="11"/>
      <c r="F182" s="11">
        <f t="shared" si="1"/>
        <v>0</v>
      </c>
      <c r="G182" s="11"/>
      <c r="H182" s="11" t="s">
        <v>925</v>
      </c>
      <c r="I182" s="11" t="e">
        <f>VLOOKUP($H182, 'ADP Data'!$B$4:$Q$300, 2, FALSE)</f>
        <v>#N/A</v>
      </c>
      <c r="J182" s="11" t="s">
        <v>772</v>
      </c>
      <c r="K182" s="11" t="e">
        <f>VLOOKUP($H182, SeanRanks!$A$2:$H$303, 5, FALSE)</f>
        <v>#N/A</v>
      </c>
      <c r="L182" s="11" t="e">
        <f>IF(VLOOKUP($H182, SeanRanks!$A$2:$H$303, 6, FALSE)=0, "", VLOOKUP($H182, SeanRanks!$A$2:$H$303, 6, FALSE))</f>
        <v>#N/A</v>
      </c>
      <c r="M182" s="11">
        <f t="shared" si="2"/>
        <v>16</v>
      </c>
      <c r="N182" s="11" t="e">
        <f>VLOOKUP($H182, 'ADP Data'!$B$4:$Q$300, 10, FALSE)</f>
        <v>#N/A</v>
      </c>
      <c r="O182" s="11" t="e">
        <f>VLOOKUP($H182, 'ADP Data'!$B$4:$Q$300, 4, FALSE)</f>
        <v>#N/A</v>
      </c>
      <c r="P182" s="11" t="e">
        <f t="shared" si="3"/>
        <v>#N/A</v>
      </c>
      <c r="Q182" s="11" t="e">
        <f>VLOOKUP($H182, 'ADP Data'!$B$4:$Q$300, 5, FALSE)</f>
        <v>#N/A</v>
      </c>
      <c r="R182" s="11" t="e">
        <f>VLOOKUP($H182, 'ADP Data'!$B$4:$Q$300, 6, FALSE)</f>
        <v>#N/A</v>
      </c>
      <c r="S182" s="11" t="e">
        <f>VLOOKUP($H182, 'ADP Data'!$B$4:$Q$300, 7, FALSE)</f>
        <v>#N/A</v>
      </c>
      <c r="T182" s="11" t="e">
        <f>VLOOKUP($H182, 'ADP Data'!$B$4:$Q$300, 8, FALSE)</f>
        <v>#N/A</v>
      </c>
      <c r="U182" s="11" t="e">
        <f>VLOOKUP($H182, 'ADP Data'!$B$4:$Q$300, 9, FALSE)</f>
        <v>#N/A</v>
      </c>
      <c r="V182" s="11" t="e">
        <f t="shared" si="4"/>
        <v>#N/A</v>
      </c>
      <c r="W182" s="11" t="e">
        <f t="shared" si="5"/>
        <v>#N/A</v>
      </c>
      <c r="X182" s="11" t="e">
        <f>IF(VLOOKUP($H182, SeanRanks!$A$2:$H$303, 7, FALSE)=0, "", VLOOKUP($H182, SeanRanks!$A$2:$H$303, 7, FALSE))</f>
        <v>#N/A</v>
      </c>
    </row>
    <row r="183" spans="1:24" ht="14.25" customHeight="1" x14ac:dyDescent="0.25">
      <c r="A183" s="11"/>
      <c r="B183" s="11" t="e">
        <f t="shared" si="6"/>
        <v>#N/A</v>
      </c>
      <c r="C183" s="11" t="s">
        <v>148</v>
      </c>
      <c r="D183" s="11"/>
      <c r="E183" s="11">
        <v>1</v>
      </c>
      <c r="F183" s="11">
        <f t="shared" si="1"/>
        <v>-1</v>
      </c>
      <c r="G183" s="46" t="s">
        <v>1255</v>
      </c>
      <c r="H183" s="11" t="s">
        <v>1265</v>
      </c>
      <c r="I183" s="11" t="e">
        <f>VLOOKUP($H183, 'ADP Data'!$B$4:$Q$300, 2, FALSE)</f>
        <v>#N/A</v>
      </c>
      <c r="J183" s="11" t="s">
        <v>760</v>
      </c>
      <c r="K183" s="11" t="e">
        <f>VLOOKUP($H183, SeanRanks!$A$2:$H$303, 5, FALSE)</f>
        <v>#N/A</v>
      </c>
      <c r="L183" s="11" t="e">
        <f>IF(VLOOKUP($H183, SeanRanks!$A$2:$H$303, 6, FALSE)=0, "", VLOOKUP($H183, SeanRanks!$A$2:$H$303, 6, FALSE))</f>
        <v>#N/A</v>
      </c>
      <c r="M183" s="11">
        <f t="shared" si="2"/>
        <v>16</v>
      </c>
      <c r="N183" s="11" t="e">
        <f>VLOOKUP($H183, 'ADP Data'!$B$4:$Q$300, 10, FALSE)</f>
        <v>#N/A</v>
      </c>
      <c r="O183" s="11" t="e">
        <f>VLOOKUP($H183, 'ADP Data'!$B$4:$Q$300, 4, FALSE)</f>
        <v>#N/A</v>
      </c>
      <c r="P183" s="11" t="e">
        <f t="shared" si="3"/>
        <v>#N/A</v>
      </c>
      <c r="Q183" s="11" t="e">
        <f>VLOOKUP($H183, 'ADP Data'!$B$4:$Q$300, 5, FALSE)</f>
        <v>#N/A</v>
      </c>
      <c r="R183" s="11" t="e">
        <f>VLOOKUP($H183, 'ADP Data'!$B$4:$Q$300, 6, FALSE)</f>
        <v>#N/A</v>
      </c>
      <c r="S183" s="11" t="e">
        <f>VLOOKUP($H183, 'ADP Data'!$B$4:$Q$300, 7, FALSE)</f>
        <v>#N/A</v>
      </c>
      <c r="T183" s="11" t="e">
        <f>VLOOKUP($H183, 'ADP Data'!$B$4:$Q$300, 8, FALSE)</f>
        <v>#N/A</v>
      </c>
      <c r="U183" s="11" t="e">
        <f>VLOOKUP($H183, 'ADP Data'!$B$4:$Q$300, 9, FALSE)</f>
        <v>#N/A</v>
      </c>
      <c r="V183" s="11" t="e">
        <f t="shared" si="4"/>
        <v>#N/A</v>
      </c>
      <c r="W183" s="11" t="e">
        <f t="shared" si="5"/>
        <v>#N/A</v>
      </c>
      <c r="X183" s="11" t="e">
        <f>IF(VLOOKUP($H183, SeanRanks!$A$2:$H$303, 7, FALSE)=0, "", VLOOKUP($H183, SeanRanks!$A$2:$H$303, 7, FALSE))</f>
        <v>#N/A</v>
      </c>
    </row>
    <row r="184" spans="1:24" ht="14.25" customHeight="1" x14ac:dyDescent="0.25">
      <c r="A184" s="11"/>
      <c r="B184" s="11" t="e">
        <f t="shared" si="6"/>
        <v>#N/A</v>
      </c>
      <c r="C184" s="11" t="s">
        <v>148</v>
      </c>
      <c r="D184" s="11"/>
      <c r="E184" s="11">
        <v>1</v>
      </c>
      <c r="F184" s="11">
        <f t="shared" si="1"/>
        <v>-1</v>
      </c>
      <c r="G184" s="11"/>
      <c r="H184" s="11" t="s">
        <v>977</v>
      </c>
      <c r="I184" s="11" t="e">
        <f>VLOOKUP($H184, 'ADP Data'!$B$4:$Q$300, 2, FALSE)</f>
        <v>#N/A</v>
      </c>
      <c r="J184" s="11" t="s">
        <v>764</v>
      </c>
      <c r="K184" s="11" t="e">
        <f>VLOOKUP($H184, SeanRanks!$A$2:$H$303, 5, FALSE)</f>
        <v>#N/A</v>
      </c>
      <c r="L184" s="11" t="e">
        <f>IF(VLOOKUP($H184, SeanRanks!$A$2:$H$303, 6, FALSE)=0, "", VLOOKUP($H184, SeanRanks!$A$2:$H$303, 6, FALSE))</f>
        <v>#N/A</v>
      </c>
      <c r="M184" s="11">
        <f t="shared" si="2"/>
        <v>16</v>
      </c>
      <c r="N184" s="11" t="e">
        <f>VLOOKUP($H184, 'ADP Data'!$B$4:$Q$300, 10, FALSE)</f>
        <v>#N/A</v>
      </c>
      <c r="O184" s="11" t="e">
        <f>VLOOKUP($H184, 'ADP Data'!$B$4:$Q$300, 4, FALSE)</f>
        <v>#N/A</v>
      </c>
      <c r="P184" s="11" t="e">
        <f t="shared" si="3"/>
        <v>#N/A</v>
      </c>
      <c r="Q184" s="11" t="e">
        <f>VLOOKUP($H184, 'ADP Data'!$B$4:$Q$300, 5, FALSE)</f>
        <v>#N/A</v>
      </c>
      <c r="R184" s="11" t="e">
        <f>VLOOKUP($H184, 'ADP Data'!$B$4:$Q$300, 6, FALSE)</f>
        <v>#N/A</v>
      </c>
      <c r="S184" s="11" t="e">
        <f>VLOOKUP($H184, 'ADP Data'!$B$4:$Q$300, 7, FALSE)</f>
        <v>#N/A</v>
      </c>
      <c r="T184" s="11" t="e">
        <f>VLOOKUP($H184, 'ADP Data'!$B$4:$Q$300, 8, FALSE)</f>
        <v>#N/A</v>
      </c>
      <c r="U184" s="11" t="e">
        <f>VLOOKUP($H184, 'ADP Data'!$B$4:$Q$300, 9, FALSE)</f>
        <v>#N/A</v>
      </c>
      <c r="V184" s="11" t="e">
        <f t="shared" si="4"/>
        <v>#N/A</v>
      </c>
      <c r="W184" s="11" t="e">
        <f t="shared" si="5"/>
        <v>#N/A</v>
      </c>
      <c r="X184" s="11" t="e">
        <f>IF(VLOOKUP($H184, SeanRanks!$A$2:$H$303, 7, FALSE)=0, "", VLOOKUP($H184, SeanRanks!$A$2:$H$303, 7, FALSE))</f>
        <v>#N/A</v>
      </c>
    </row>
    <row r="185" spans="1:24" ht="14.25" customHeight="1" x14ac:dyDescent="0.25">
      <c r="A185" s="11"/>
      <c r="B185" s="11" t="e">
        <f t="shared" si="6"/>
        <v>#N/A</v>
      </c>
      <c r="C185" s="11" t="s">
        <v>148</v>
      </c>
      <c r="D185" s="11"/>
      <c r="E185" s="11"/>
      <c r="F185" s="11">
        <f t="shared" si="1"/>
        <v>0</v>
      </c>
      <c r="G185" s="11"/>
      <c r="H185" s="11" t="s">
        <v>964</v>
      </c>
      <c r="I185" s="58" t="e">
        <f>VLOOKUP($H185, 'ADP Data'!$B$4:$Q$300, 2, FALSE)</f>
        <v>#N/A</v>
      </c>
      <c r="J185" s="11" t="s">
        <v>762</v>
      </c>
      <c r="K185" s="11" t="e">
        <f>VLOOKUP($H185, SeanRanks!$A$2:$H$303, 5, FALSE)</f>
        <v>#N/A</v>
      </c>
      <c r="L185" s="11" t="e">
        <f>IF(VLOOKUP($H185, SeanRanks!$A$2:$H$303, 6, FALSE)=0, "", VLOOKUP($H185, SeanRanks!$A$2:$H$303, 6, FALSE))</f>
        <v>#N/A</v>
      </c>
      <c r="M185" s="11">
        <f t="shared" si="2"/>
        <v>16</v>
      </c>
      <c r="N185" s="11" t="e">
        <f>VLOOKUP($H185, 'ADP Data'!$B$4:$Q$300, 10, FALSE)</f>
        <v>#N/A</v>
      </c>
      <c r="O185" s="11" t="e">
        <f>VLOOKUP($H185, 'ADP Data'!$B$4:$Q$300, 4, FALSE)</f>
        <v>#N/A</v>
      </c>
      <c r="P185" s="11" t="e">
        <f t="shared" si="3"/>
        <v>#N/A</v>
      </c>
      <c r="Q185" s="11" t="e">
        <f>VLOOKUP($H185, 'ADP Data'!$B$4:$Q$300, 5, FALSE)</f>
        <v>#N/A</v>
      </c>
      <c r="R185" s="11" t="e">
        <f>VLOOKUP($H185, 'ADP Data'!$B$4:$Q$300, 6, FALSE)</f>
        <v>#N/A</v>
      </c>
      <c r="S185" s="11" t="e">
        <f>VLOOKUP($H185, 'ADP Data'!$B$4:$Q$300, 7, FALSE)</f>
        <v>#N/A</v>
      </c>
      <c r="T185" s="11" t="e">
        <f>VLOOKUP($H185, 'ADP Data'!$B$4:$Q$300, 8, FALSE)</f>
        <v>#N/A</v>
      </c>
      <c r="U185" s="11" t="e">
        <f>VLOOKUP($H185, 'ADP Data'!$B$4:$Q$300, 9, FALSE)</f>
        <v>#N/A</v>
      </c>
      <c r="V185" s="11" t="e">
        <f t="shared" si="4"/>
        <v>#N/A</v>
      </c>
      <c r="W185" s="11" t="e">
        <f t="shared" si="5"/>
        <v>#N/A</v>
      </c>
      <c r="X185" s="11" t="e">
        <f>IF(VLOOKUP($H185, SeanRanks!$A$2:$H$303, 7, FALSE)=0, "", VLOOKUP($H185, SeanRanks!$A$2:$H$303, 7, FALSE))</f>
        <v>#N/A</v>
      </c>
    </row>
    <row r="186" spans="1:24" ht="14.25" customHeight="1" x14ac:dyDescent="0.25">
      <c r="A186" s="11"/>
      <c r="B186" s="11" t="e">
        <f t="shared" si="6"/>
        <v>#N/A</v>
      </c>
      <c r="C186" s="11" t="s">
        <v>148</v>
      </c>
      <c r="D186" s="11"/>
      <c r="E186" s="11"/>
      <c r="F186" s="11">
        <f t="shared" si="1"/>
        <v>0</v>
      </c>
      <c r="G186" s="11"/>
      <c r="H186" s="11" t="s">
        <v>1169</v>
      </c>
      <c r="I186" s="58" t="e">
        <f>VLOOKUP($H186, 'ADP Data'!$B$4:$Q$300, 2, FALSE)</f>
        <v>#N/A</v>
      </c>
      <c r="J186" s="11" t="s">
        <v>764</v>
      </c>
      <c r="K186" s="11" t="e">
        <f>VLOOKUP($H186, SeanRanks!$A$2:$H$303, 5, FALSE)</f>
        <v>#N/A</v>
      </c>
      <c r="L186" s="11" t="e">
        <f>IF(VLOOKUP($H186, SeanRanks!$A$2:$H$303, 6, FALSE)=0, "", VLOOKUP($H186, SeanRanks!$A$2:$H$303, 6, FALSE))</f>
        <v>#N/A</v>
      </c>
      <c r="M186" s="11">
        <f t="shared" si="2"/>
        <v>16</v>
      </c>
      <c r="N186" s="11" t="e">
        <f>VLOOKUP($H186, 'ADP Data'!$B$4:$Q$300, 10, FALSE)</f>
        <v>#N/A</v>
      </c>
      <c r="O186" s="11" t="e">
        <f>VLOOKUP($H186, 'ADP Data'!$B$4:$Q$300, 4, FALSE)</f>
        <v>#N/A</v>
      </c>
      <c r="P186" s="11" t="e">
        <f t="shared" si="3"/>
        <v>#N/A</v>
      </c>
      <c r="Q186" s="11" t="e">
        <f>VLOOKUP($H186, 'ADP Data'!$B$4:$Q$300, 5, FALSE)</f>
        <v>#N/A</v>
      </c>
      <c r="R186" s="11" t="e">
        <f>VLOOKUP($H186, 'ADP Data'!$B$4:$Q$300, 6, FALSE)</f>
        <v>#N/A</v>
      </c>
      <c r="S186" s="11" t="e">
        <f>VLOOKUP($H186, 'ADP Data'!$B$4:$Q$300, 7, FALSE)</f>
        <v>#N/A</v>
      </c>
      <c r="T186" s="11" t="e">
        <f>VLOOKUP($H186, 'ADP Data'!$B$4:$Q$300, 8, FALSE)</f>
        <v>#N/A</v>
      </c>
      <c r="U186" s="11" t="e">
        <f>VLOOKUP($H186, 'ADP Data'!$B$4:$Q$300, 9, FALSE)</f>
        <v>#N/A</v>
      </c>
      <c r="V186" s="11" t="e">
        <f t="shared" si="4"/>
        <v>#N/A</v>
      </c>
      <c r="W186" s="11" t="e">
        <f t="shared" si="5"/>
        <v>#N/A</v>
      </c>
      <c r="X186" s="11" t="e">
        <f>IF(VLOOKUP($H186, SeanRanks!$A$2:$H$303, 7, FALSE)=0, "", VLOOKUP($H186, SeanRanks!$A$2:$H$303, 7, FALSE))</f>
        <v>#N/A</v>
      </c>
    </row>
    <row r="187" spans="1:24" ht="14.25" customHeight="1" x14ac:dyDescent="0.25">
      <c r="A187" s="11"/>
      <c r="B187" s="11" t="e">
        <f t="shared" si="6"/>
        <v>#N/A</v>
      </c>
      <c r="C187" s="11" t="s">
        <v>148</v>
      </c>
      <c r="D187" s="11"/>
      <c r="E187" s="11">
        <v>0</v>
      </c>
      <c r="F187" s="11">
        <f t="shared" si="1"/>
        <v>0</v>
      </c>
      <c r="G187" s="11"/>
      <c r="H187" s="11" t="s">
        <v>1134</v>
      </c>
      <c r="I187" s="11" t="e">
        <f>VLOOKUP($H187, 'ADP Data'!$B$4:$Q$300, 2, FALSE)</f>
        <v>#N/A</v>
      </c>
      <c r="J187" s="11" t="s">
        <v>764</v>
      </c>
      <c r="K187" s="11" t="e">
        <f>VLOOKUP($H187, SeanRanks!$A$2:$H$303, 5, FALSE)</f>
        <v>#N/A</v>
      </c>
      <c r="L187" s="11" t="e">
        <f>IF(VLOOKUP($H187, SeanRanks!$A$2:$H$303, 6, FALSE)=0, "", VLOOKUP($H187, SeanRanks!$A$2:$H$303, 6, FALSE))</f>
        <v>#N/A</v>
      </c>
      <c r="M187" s="11">
        <f t="shared" si="2"/>
        <v>16</v>
      </c>
      <c r="N187" s="11" t="e">
        <f>VLOOKUP($H187, 'ADP Data'!$B$4:$Q$300, 10, FALSE)</f>
        <v>#N/A</v>
      </c>
      <c r="O187" s="11" t="e">
        <f>VLOOKUP($H187, 'ADP Data'!$B$4:$Q$300, 4, FALSE)</f>
        <v>#N/A</v>
      </c>
      <c r="P187" s="11" t="e">
        <f t="shared" si="3"/>
        <v>#N/A</v>
      </c>
      <c r="Q187" s="11" t="e">
        <f>VLOOKUP($H187, 'ADP Data'!$B$4:$Q$300, 5, FALSE)</f>
        <v>#N/A</v>
      </c>
      <c r="R187" s="11" t="e">
        <f>VLOOKUP($H187, 'ADP Data'!$B$4:$Q$300, 6, FALSE)</f>
        <v>#N/A</v>
      </c>
      <c r="S187" s="11" t="e">
        <f>VLOOKUP($H187, 'ADP Data'!$B$4:$Q$300, 7, FALSE)</f>
        <v>#N/A</v>
      </c>
      <c r="T187" s="11" t="e">
        <f>VLOOKUP($H187, 'ADP Data'!$B$4:$Q$300, 8, FALSE)</f>
        <v>#N/A</v>
      </c>
      <c r="U187" s="11" t="e">
        <f>VLOOKUP($H187, 'ADP Data'!$B$4:$Q$300, 9, FALSE)</f>
        <v>#N/A</v>
      </c>
      <c r="V187" s="11" t="e">
        <f t="shared" si="4"/>
        <v>#N/A</v>
      </c>
      <c r="W187" s="11" t="e">
        <f t="shared" si="5"/>
        <v>#N/A</v>
      </c>
      <c r="X187" s="11" t="e">
        <f>IF(VLOOKUP($H187, SeanRanks!$A$2:$H$303, 7, FALSE)=0, "", VLOOKUP($H187, SeanRanks!$A$2:$H$303, 7, FALSE))</f>
        <v>#N/A</v>
      </c>
    </row>
    <row r="188" spans="1:24" ht="14.25" customHeight="1" x14ac:dyDescent="0.25">
      <c r="A188" s="11"/>
      <c r="B188" s="11" t="e">
        <f t="shared" si="6"/>
        <v>#N/A</v>
      </c>
      <c r="C188" s="11" t="s">
        <v>148</v>
      </c>
      <c r="D188" s="11"/>
      <c r="E188" s="11"/>
      <c r="F188" s="11">
        <f t="shared" si="1"/>
        <v>0</v>
      </c>
      <c r="G188" s="11"/>
      <c r="H188" s="11" t="s">
        <v>296</v>
      </c>
      <c r="I188" s="11" t="e">
        <f>VLOOKUP($H188, 'ADP Data'!$B$4:$Q$300, 2, FALSE)</f>
        <v>#N/A</v>
      </c>
      <c r="J188" s="11" t="s">
        <v>764</v>
      </c>
      <c r="K188" s="11">
        <f>VLOOKUP($H188, SeanRanks!$A$2:$H$303, 5, FALSE)</f>
        <v>0</v>
      </c>
      <c r="L188" s="11" t="str">
        <f>IF(VLOOKUP($H188, SeanRanks!$A$2:$H$303, 6, FALSE)=0, "", VLOOKUP($H188, SeanRanks!$A$2:$H$303, 6, FALSE))</f>
        <v>WR4 - 2 - unclear path to WR2</v>
      </c>
      <c r="M188" s="11">
        <f t="shared" si="2"/>
        <v>16</v>
      </c>
      <c r="N188" s="11" t="e">
        <f>VLOOKUP($H188, 'ADP Data'!$B$4:$Q$300, 10, FALSE)</f>
        <v>#N/A</v>
      </c>
      <c r="O188" s="11" t="e">
        <f>VLOOKUP($H188, 'ADP Data'!$B$4:$Q$300, 4, FALSE)</f>
        <v>#N/A</v>
      </c>
      <c r="P188" s="11" t="e">
        <f t="shared" si="3"/>
        <v>#N/A</v>
      </c>
      <c r="Q188" s="11" t="e">
        <f>VLOOKUP($H188, 'ADP Data'!$B$4:$Q$300, 5, FALSE)</f>
        <v>#N/A</v>
      </c>
      <c r="R188" s="11" t="e">
        <f>VLOOKUP($H188, 'ADP Data'!$B$4:$Q$300, 6, FALSE)</f>
        <v>#N/A</v>
      </c>
      <c r="S188" s="11" t="e">
        <f>VLOOKUP($H188, 'ADP Data'!$B$4:$Q$300, 7, FALSE)</f>
        <v>#N/A</v>
      </c>
      <c r="T188" s="11" t="e">
        <f>VLOOKUP($H188, 'ADP Data'!$B$4:$Q$300, 8, FALSE)</f>
        <v>#N/A</v>
      </c>
      <c r="U188" s="11" t="e">
        <f>VLOOKUP($H188, 'ADP Data'!$B$4:$Q$300, 9, FALSE)</f>
        <v>#N/A</v>
      </c>
      <c r="V188" s="11" t="e">
        <f t="shared" si="4"/>
        <v>#N/A</v>
      </c>
      <c r="W188" s="11" t="e">
        <f t="shared" si="5"/>
        <v>#N/A</v>
      </c>
      <c r="X188" s="11">
        <f>IF(VLOOKUP($H188, SeanRanks!$A$2:$H$303, 7, FALSE)=0, "", VLOOKUP($H188, SeanRanks!$A$2:$H$303, 7, FALSE))</f>
        <v>43</v>
      </c>
    </row>
    <row r="189" spans="1:24" ht="14.25" customHeight="1" x14ac:dyDescent="0.25">
      <c r="A189" s="11"/>
      <c r="B189" s="11" t="e">
        <f t="shared" si="6"/>
        <v>#N/A</v>
      </c>
      <c r="C189" s="11" t="s">
        <v>148</v>
      </c>
      <c r="D189" s="11"/>
      <c r="E189" s="11"/>
      <c r="F189" s="11">
        <f t="shared" si="1"/>
        <v>0</v>
      </c>
      <c r="G189" s="11"/>
      <c r="H189" s="11" t="s">
        <v>1182</v>
      </c>
      <c r="I189" s="11" t="e">
        <f>VLOOKUP($H189, 'ADP Data'!$B$4:$Q$300, 2, FALSE)</f>
        <v>#N/A</v>
      </c>
      <c r="J189" s="11" t="s">
        <v>764</v>
      </c>
      <c r="K189" s="11" t="e">
        <f>VLOOKUP($H189, SeanRanks!$A$2:$H$303, 5, FALSE)</f>
        <v>#N/A</v>
      </c>
      <c r="L189" s="11" t="e">
        <f>IF(VLOOKUP($H189, SeanRanks!$A$2:$H$303, 6, FALSE)=0, "", VLOOKUP($H189, SeanRanks!$A$2:$H$303, 6, FALSE))</f>
        <v>#N/A</v>
      </c>
      <c r="M189" s="11">
        <f t="shared" si="2"/>
        <v>16</v>
      </c>
      <c r="N189" s="11" t="e">
        <f>VLOOKUP($H189, 'ADP Data'!$B$4:$Q$300, 10, FALSE)</f>
        <v>#N/A</v>
      </c>
      <c r="O189" s="11" t="e">
        <f>VLOOKUP($H189, 'ADP Data'!$B$4:$Q$300, 4, FALSE)</f>
        <v>#N/A</v>
      </c>
      <c r="P189" s="11" t="e">
        <f t="shared" si="3"/>
        <v>#N/A</v>
      </c>
      <c r="Q189" s="11" t="e">
        <f>VLOOKUP($H189, 'ADP Data'!$B$4:$Q$300, 5, FALSE)</f>
        <v>#N/A</v>
      </c>
      <c r="R189" s="11" t="e">
        <f>VLOOKUP($H189, 'ADP Data'!$B$4:$Q$300, 6, FALSE)</f>
        <v>#N/A</v>
      </c>
      <c r="S189" s="11" t="e">
        <f>VLOOKUP($H189, 'ADP Data'!$B$4:$Q$300, 7, FALSE)</f>
        <v>#N/A</v>
      </c>
      <c r="T189" s="11" t="e">
        <f>VLOOKUP($H189, 'ADP Data'!$B$4:$Q$300, 8, FALSE)</f>
        <v>#N/A</v>
      </c>
      <c r="U189" s="11" t="e">
        <f>VLOOKUP($H189, 'ADP Data'!$B$4:$Q$300, 9, FALSE)</f>
        <v>#N/A</v>
      </c>
      <c r="V189" s="11" t="e">
        <f t="shared" si="4"/>
        <v>#N/A</v>
      </c>
      <c r="W189" s="11" t="e">
        <f t="shared" si="5"/>
        <v>#N/A</v>
      </c>
      <c r="X189" s="11" t="e">
        <f>IF(VLOOKUP($H189, SeanRanks!$A$2:$H$303, 7, FALSE)=0, "", VLOOKUP($H189, SeanRanks!$A$2:$H$303, 7, FALSE))</f>
        <v>#N/A</v>
      </c>
    </row>
    <row r="190" spans="1:24" ht="14.25" customHeight="1" x14ac:dyDescent="0.25">
      <c r="A190" s="11"/>
      <c r="B190" s="11" t="e">
        <f t="shared" si="6"/>
        <v>#N/A</v>
      </c>
      <c r="C190" s="11" t="s">
        <v>148</v>
      </c>
      <c r="D190" s="11"/>
      <c r="E190" s="11"/>
      <c r="F190" s="11">
        <f t="shared" si="1"/>
        <v>0</v>
      </c>
      <c r="G190" s="11"/>
      <c r="H190" s="11" t="s">
        <v>497</v>
      </c>
      <c r="I190" s="11" t="e">
        <f>VLOOKUP($H190, 'ADP Data'!$B$4:$Q$300, 2, FALSE)</f>
        <v>#N/A</v>
      </c>
      <c r="J190" s="11" t="s">
        <v>773</v>
      </c>
      <c r="K190" s="11">
        <f>VLOOKUP($H190, SeanRanks!$A$2:$H$303, 5, FALSE)</f>
        <v>0</v>
      </c>
      <c r="L190" s="11" t="str">
        <f>IF(VLOOKUP($H190, SeanRanks!$A$2:$H$303, 6, FALSE)=0, "", VLOOKUP($H190, SeanRanks!$A$2:$H$303, 6, FALSE))</f>
        <v/>
      </c>
      <c r="M190" s="11">
        <f t="shared" si="2"/>
        <v>16</v>
      </c>
      <c r="N190" s="11" t="e">
        <f>VLOOKUP($H190, 'ADP Data'!$B$4:$Q$300, 10, FALSE)</f>
        <v>#N/A</v>
      </c>
      <c r="O190" s="11" t="e">
        <f>VLOOKUP($H190, 'ADP Data'!$B$4:$Q$300, 4, FALSE)</f>
        <v>#N/A</v>
      </c>
      <c r="P190" s="11" t="e">
        <f t="shared" si="3"/>
        <v>#N/A</v>
      </c>
      <c r="Q190" s="11" t="e">
        <f>VLOOKUP($H190, 'ADP Data'!$B$4:$Q$300, 5, FALSE)</f>
        <v>#N/A</v>
      </c>
      <c r="R190" s="11" t="e">
        <f>VLOOKUP($H190, 'ADP Data'!$B$4:$Q$300, 6, FALSE)</f>
        <v>#N/A</v>
      </c>
      <c r="S190" s="11" t="e">
        <f>VLOOKUP($H190, 'ADP Data'!$B$4:$Q$300, 7, FALSE)</f>
        <v>#N/A</v>
      </c>
      <c r="T190" s="11" t="e">
        <f>VLOOKUP($H190, 'ADP Data'!$B$4:$Q$300, 8, FALSE)</f>
        <v>#N/A</v>
      </c>
      <c r="U190" s="11" t="e">
        <f>VLOOKUP($H190, 'ADP Data'!$B$4:$Q$300, 9, FALSE)</f>
        <v>#N/A</v>
      </c>
      <c r="V190" s="11" t="e">
        <f t="shared" si="4"/>
        <v>#N/A</v>
      </c>
      <c r="W190" s="11" t="e">
        <f t="shared" si="5"/>
        <v>#N/A</v>
      </c>
      <c r="X190" s="11" t="str">
        <f>IF(VLOOKUP($H190, SeanRanks!$A$2:$H$303, 7, FALSE)=0, "", VLOOKUP($H190, SeanRanks!$A$2:$H$303, 7, FALSE))</f>
        <v/>
      </c>
    </row>
    <row r="191" spans="1:24" ht="14.25" customHeight="1" x14ac:dyDescent="0.25">
      <c r="A191" s="11"/>
      <c r="B191" s="11" t="e">
        <f t="shared" si="6"/>
        <v>#N/A</v>
      </c>
      <c r="C191" s="11" t="s">
        <v>148</v>
      </c>
      <c r="D191" s="11"/>
      <c r="E191" s="11">
        <v>1</v>
      </c>
      <c r="F191" s="11">
        <f t="shared" si="1"/>
        <v>-1</v>
      </c>
      <c r="G191" s="46" t="s">
        <v>1233</v>
      </c>
      <c r="H191" s="11" t="s">
        <v>682</v>
      </c>
      <c r="I191" s="11" t="e">
        <f>VLOOKUP($H191, 'ADP Data'!$B$4:$Q$300, 2, FALSE)</f>
        <v>#N/A</v>
      </c>
      <c r="J191" s="11" t="s">
        <v>762</v>
      </c>
      <c r="K191" s="11">
        <f>VLOOKUP($H191, SeanRanks!$A$2:$H$303, 5, FALSE)</f>
        <v>0</v>
      </c>
      <c r="L191" s="11" t="str">
        <f>IF(VLOOKUP($H191, SeanRanks!$A$2:$H$303, 6, FALSE)=0, "", VLOOKUP($H191, SeanRanks!$A$2:$H$303, 6, FALSE))</f>
        <v/>
      </c>
      <c r="M191" s="11">
        <f t="shared" si="2"/>
        <v>16</v>
      </c>
      <c r="N191" s="11" t="e">
        <f>VLOOKUP($H191, 'ADP Data'!$B$4:$Q$300, 10, FALSE)</f>
        <v>#N/A</v>
      </c>
      <c r="O191" s="11" t="e">
        <f>VLOOKUP($H191, 'ADP Data'!$B$4:$Q$300, 4, FALSE)</f>
        <v>#N/A</v>
      </c>
      <c r="P191" s="11" t="e">
        <f t="shared" si="3"/>
        <v>#N/A</v>
      </c>
      <c r="Q191" s="11" t="e">
        <f>VLOOKUP($H191, 'ADP Data'!$B$4:$Q$300, 5, FALSE)</f>
        <v>#N/A</v>
      </c>
      <c r="R191" s="11" t="e">
        <f>VLOOKUP($H191, 'ADP Data'!$B$4:$Q$300, 6, FALSE)</f>
        <v>#N/A</v>
      </c>
      <c r="S191" s="11" t="e">
        <f>VLOOKUP($H191, 'ADP Data'!$B$4:$Q$300, 7, FALSE)</f>
        <v>#N/A</v>
      </c>
      <c r="T191" s="11" t="e">
        <f>VLOOKUP($H191, 'ADP Data'!$B$4:$Q$300, 8, FALSE)</f>
        <v>#N/A</v>
      </c>
      <c r="U191" s="11" t="e">
        <f>VLOOKUP($H191, 'ADP Data'!$B$4:$Q$300, 9, FALSE)</f>
        <v>#N/A</v>
      </c>
      <c r="V191" s="11" t="e">
        <f t="shared" si="4"/>
        <v>#N/A</v>
      </c>
      <c r="W191" s="11" t="e">
        <f t="shared" si="5"/>
        <v>#N/A</v>
      </c>
      <c r="X191" s="11" t="str">
        <f>IF(VLOOKUP($H191, SeanRanks!$A$2:$H$303, 7, FALSE)=0, "", VLOOKUP($H191, SeanRanks!$A$2:$H$303, 7, FALSE))</f>
        <v/>
      </c>
    </row>
    <row r="192" spans="1:24" ht="14.25" customHeight="1" x14ac:dyDescent="0.25">
      <c r="A192" s="11"/>
      <c r="B192" s="11" t="e">
        <f t="shared" si="6"/>
        <v>#N/A</v>
      </c>
      <c r="C192" s="11" t="s">
        <v>148</v>
      </c>
      <c r="D192" s="11"/>
      <c r="E192" s="11"/>
      <c r="F192" s="11">
        <f t="shared" si="1"/>
        <v>0</v>
      </c>
      <c r="G192" s="11"/>
      <c r="H192" s="11" t="s">
        <v>280</v>
      </c>
      <c r="I192" s="11" t="e">
        <f>VLOOKUP($H192, 'ADP Data'!$B$4:$Q$300, 2, FALSE)</f>
        <v>#N/A</v>
      </c>
      <c r="J192" s="11" t="s">
        <v>762</v>
      </c>
      <c r="K192" s="11">
        <f>VLOOKUP($H192, SeanRanks!$A$2:$H$303, 5, FALSE)</f>
        <v>0</v>
      </c>
      <c r="L192" s="11" t="str">
        <f>IF(VLOOKUP($H192, SeanRanks!$A$2:$H$303, 6, FALSE)=0, "", VLOOKUP($H192, SeanRanks!$A$2:$H$303, 6, FALSE))</f>
        <v>RB2 - 1 - Clear path to spikes</v>
      </c>
      <c r="M192" s="11">
        <f t="shared" si="2"/>
        <v>16</v>
      </c>
      <c r="N192" s="11" t="e">
        <f>VLOOKUP($H192, 'ADP Data'!$B$4:$Q$300, 10, FALSE)</f>
        <v>#N/A</v>
      </c>
      <c r="O192" s="11" t="e">
        <f>VLOOKUP($H192, 'ADP Data'!$B$4:$Q$300, 4, FALSE)</f>
        <v>#N/A</v>
      </c>
      <c r="P192" s="11" t="e">
        <f t="shared" si="3"/>
        <v>#N/A</v>
      </c>
      <c r="Q192" s="11" t="e">
        <f>VLOOKUP($H192, 'ADP Data'!$B$4:$Q$300, 5, FALSE)</f>
        <v>#N/A</v>
      </c>
      <c r="R192" s="11" t="e">
        <f>VLOOKUP($H192, 'ADP Data'!$B$4:$Q$300, 6, FALSE)</f>
        <v>#N/A</v>
      </c>
      <c r="S192" s="11" t="e">
        <f>VLOOKUP($H192, 'ADP Data'!$B$4:$Q$300, 7, FALSE)</f>
        <v>#N/A</v>
      </c>
      <c r="T192" s="11" t="e">
        <f>VLOOKUP($H192, 'ADP Data'!$B$4:$Q$300, 8, FALSE)</f>
        <v>#N/A</v>
      </c>
      <c r="U192" s="11" t="e">
        <f>VLOOKUP($H192, 'ADP Data'!$B$4:$Q$300, 9, FALSE)</f>
        <v>#N/A</v>
      </c>
      <c r="V192" s="11" t="e">
        <f t="shared" si="4"/>
        <v>#N/A</v>
      </c>
      <c r="W192" s="11" t="e">
        <f t="shared" si="5"/>
        <v>#N/A</v>
      </c>
      <c r="X192" s="11">
        <f>IF(VLOOKUP($H192, SeanRanks!$A$2:$H$303, 7, FALSE)=0, "", VLOOKUP($H192, SeanRanks!$A$2:$H$303, 7, FALSE))</f>
        <v>17</v>
      </c>
    </row>
    <row r="193" spans="1:24" ht="14.25" customHeight="1" x14ac:dyDescent="0.25">
      <c r="A193" s="11"/>
      <c r="B193" s="11" t="e">
        <f t="shared" si="6"/>
        <v>#N/A</v>
      </c>
      <c r="C193" s="11" t="s">
        <v>148</v>
      </c>
      <c r="D193" s="11"/>
      <c r="E193" s="11"/>
      <c r="F193" s="11">
        <f t="shared" si="1"/>
        <v>0</v>
      </c>
      <c r="G193" s="11"/>
      <c r="H193" s="11" t="s">
        <v>355</v>
      </c>
      <c r="I193" s="57" t="e">
        <f>VLOOKUP($H193, 'ADP Data'!$B$4:$Q$300, 2, FALSE)</f>
        <v>#N/A</v>
      </c>
      <c r="J193" s="11" t="s">
        <v>760</v>
      </c>
      <c r="K193" s="11">
        <f>VLOOKUP($H193, SeanRanks!$A$2:$H$303, 5, FALSE)</f>
        <v>0</v>
      </c>
      <c r="L193" s="11" t="str">
        <f>IF(VLOOKUP($H193, SeanRanks!$A$2:$H$303, 6, FALSE)=0, "", VLOOKUP($H193, SeanRanks!$A$2:$H$303, 6, FALSE))</f>
        <v>QB1 - 3 - Top 5 Ceiling</v>
      </c>
      <c r="M193" s="11">
        <f t="shared" si="2"/>
        <v>16</v>
      </c>
      <c r="N193" s="11" t="e">
        <f>VLOOKUP($H193, 'ADP Data'!$B$4:$Q$300, 10, FALSE)</f>
        <v>#N/A</v>
      </c>
      <c r="O193" s="11" t="e">
        <f>VLOOKUP($H193, 'ADP Data'!$B$4:$Q$300, 4, FALSE)</f>
        <v>#N/A</v>
      </c>
      <c r="P193" s="11" t="e">
        <f t="shared" si="3"/>
        <v>#N/A</v>
      </c>
      <c r="Q193" s="11" t="e">
        <f>VLOOKUP($H193, 'ADP Data'!$B$4:$Q$300, 5, FALSE)</f>
        <v>#N/A</v>
      </c>
      <c r="R193" s="11" t="e">
        <f>VLOOKUP($H193, 'ADP Data'!$B$4:$Q$300, 6, FALSE)</f>
        <v>#N/A</v>
      </c>
      <c r="S193" s="11" t="e">
        <f>VLOOKUP($H193, 'ADP Data'!$B$4:$Q$300, 7, FALSE)</f>
        <v>#N/A</v>
      </c>
      <c r="T193" s="11" t="e">
        <f>VLOOKUP($H193, 'ADP Data'!$B$4:$Q$300, 8, FALSE)</f>
        <v>#N/A</v>
      </c>
      <c r="U193" s="11" t="e">
        <f>VLOOKUP($H193, 'ADP Data'!$B$4:$Q$300, 9, FALSE)</f>
        <v>#N/A</v>
      </c>
      <c r="V193" s="11" t="e">
        <f t="shared" si="4"/>
        <v>#N/A</v>
      </c>
      <c r="W193" s="11" t="e">
        <f t="shared" si="5"/>
        <v>#N/A</v>
      </c>
      <c r="X193" s="11">
        <f>IF(VLOOKUP($H193, SeanRanks!$A$2:$H$303, 7, FALSE)=0, "", VLOOKUP($H193, SeanRanks!$A$2:$H$303, 7, FALSE))</f>
        <v>8</v>
      </c>
    </row>
    <row r="194" spans="1:24" ht="14.25" customHeight="1" x14ac:dyDescent="0.25">
      <c r="A194" s="11"/>
      <c r="B194" s="11" t="e">
        <f t="shared" si="6"/>
        <v>#N/A</v>
      </c>
      <c r="C194" s="11" t="s">
        <v>148</v>
      </c>
      <c r="D194" s="11"/>
      <c r="E194" s="11"/>
      <c r="F194" s="11">
        <f t="shared" si="1"/>
        <v>0</v>
      </c>
      <c r="G194" s="11"/>
      <c r="H194" s="11" t="s">
        <v>909</v>
      </c>
      <c r="I194" s="11" t="e">
        <f>VLOOKUP($H194, 'ADP Data'!$B$4:$Q$300, 2, FALSE)</f>
        <v>#N/A</v>
      </c>
      <c r="J194" s="11" t="s">
        <v>764</v>
      </c>
      <c r="K194" s="11" t="e">
        <f>VLOOKUP($H194, SeanRanks!$A$2:$H$303, 5, FALSE)</f>
        <v>#N/A</v>
      </c>
      <c r="L194" s="11" t="e">
        <f>IF(VLOOKUP($H194, SeanRanks!$A$2:$H$303, 6, FALSE)=0, "", VLOOKUP($H194, SeanRanks!$A$2:$H$303, 6, FALSE))</f>
        <v>#N/A</v>
      </c>
      <c r="M194" s="11">
        <f t="shared" si="2"/>
        <v>16</v>
      </c>
      <c r="N194" s="11" t="e">
        <f>VLOOKUP($H194, 'ADP Data'!$B$4:$Q$300, 10, FALSE)</f>
        <v>#N/A</v>
      </c>
      <c r="O194" s="11" t="e">
        <f>VLOOKUP($H194, 'ADP Data'!$B$4:$Q$300, 4, FALSE)</f>
        <v>#N/A</v>
      </c>
      <c r="P194" s="11" t="e">
        <f t="shared" si="3"/>
        <v>#N/A</v>
      </c>
      <c r="Q194" s="11" t="e">
        <f>VLOOKUP($H194, 'ADP Data'!$B$4:$Q$300, 5, FALSE)</f>
        <v>#N/A</v>
      </c>
      <c r="R194" s="11" t="e">
        <f>VLOOKUP($H194, 'ADP Data'!$B$4:$Q$300, 6, FALSE)</f>
        <v>#N/A</v>
      </c>
      <c r="S194" s="11" t="e">
        <f>VLOOKUP($H194, 'ADP Data'!$B$4:$Q$300, 7, FALSE)</f>
        <v>#N/A</v>
      </c>
      <c r="T194" s="11" t="e">
        <f>VLOOKUP($H194, 'ADP Data'!$B$4:$Q$300, 8, FALSE)</f>
        <v>#N/A</v>
      </c>
      <c r="U194" s="11" t="e">
        <f>VLOOKUP($H194, 'ADP Data'!$B$4:$Q$300, 9, FALSE)</f>
        <v>#N/A</v>
      </c>
      <c r="V194" s="11" t="e">
        <f t="shared" si="4"/>
        <v>#N/A</v>
      </c>
      <c r="W194" s="11" t="e">
        <f t="shared" si="5"/>
        <v>#N/A</v>
      </c>
      <c r="X194" s="11" t="e">
        <f>IF(VLOOKUP($H194, SeanRanks!$A$2:$H$303, 7, FALSE)=0, "", VLOOKUP($H194, SeanRanks!$A$2:$H$303, 7, FALSE))</f>
        <v>#N/A</v>
      </c>
    </row>
    <row r="195" spans="1:24" ht="14.25" customHeight="1" x14ac:dyDescent="0.25">
      <c r="A195" s="11"/>
      <c r="B195" s="11" t="e">
        <f t="shared" si="6"/>
        <v>#N/A</v>
      </c>
      <c r="C195" s="11" t="s">
        <v>148</v>
      </c>
      <c r="D195" s="11"/>
      <c r="E195" s="11"/>
      <c r="F195" s="11">
        <f t="shared" si="1"/>
        <v>0</v>
      </c>
      <c r="G195" s="11"/>
      <c r="H195" s="11" t="s">
        <v>937</v>
      </c>
      <c r="I195" s="11" t="e">
        <f>VLOOKUP($H195, 'ADP Data'!$B$4:$Q$300, 2, FALSE)</f>
        <v>#N/A</v>
      </c>
      <c r="J195" s="11" t="s">
        <v>773</v>
      </c>
      <c r="K195" s="11" t="e">
        <f>VLOOKUP($H195, SeanRanks!$A$2:$H$303, 5, FALSE)</f>
        <v>#N/A</v>
      </c>
      <c r="L195" s="11" t="e">
        <f>IF(VLOOKUP($H195, SeanRanks!$A$2:$H$303, 6, FALSE)=0, "", VLOOKUP($H195, SeanRanks!$A$2:$H$303, 6, FALSE))</f>
        <v>#N/A</v>
      </c>
      <c r="M195" s="11">
        <f t="shared" si="2"/>
        <v>16</v>
      </c>
      <c r="N195" s="11" t="e">
        <f>VLOOKUP($H195, 'ADP Data'!$B$4:$Q$300, 10, FALSE)</f>
        <v>#N/A</v>
      </c>
      <c r="O195" s="11" t="e">
        <f>VLOOKUP($H195, 'ADP Data'!$B$4:$Q$300, 4, FALSE)</f>
        <v>#N/A</v>
      </c>
      <c r="P195" s="11" t="e">
        <f t="shared" si="3"/>
        <v>#N/A</v>
      </c>
      <c r="Q195" s="11" t="e">
        <f>VLOOKUP($H195, 'ADP Data'!$B$4:$Q$300, 5, FALSE)</f>
        <v>#N/A</v>
      </c>
      <c r="R195" s="11" t="e">
        <f>VLOOKUP($H195, 'ADP Data'!$B$4:$Q$300, 6, FALSE)</f>
        <v>#N/A</v>
      </c>
      <c r="S195" s="11" t="e">
        <f>VLOOKUP($H195, 'ADP Data'!$B$4:$Q$300, 7, FALSE)</f>
        <v>#N/A</v>
      </c>
      <c r="T195" s="11" t="e">
        <f>VLOOKUP($H195, 'ADP Data'!$B$4:$Q$300, 8, FALSE)</f>
        <v>#N/A</v>
      </c>
      <c r="U195" s="11" t="e">
        <f>VLOOKUP($H195, 'ADP Data'!$B$4:$Q$300, 9, FALSE)</f>
        <v>#N/A</v>
      </c>
      <c r="V195" s="11" t="e">
        <f t="shared" si="4"/>
        <v>#N/A</v>
      </c>
      <c r="W195" s="11" t="e">
        <f t="shared" si="5"/>
        <v>#N/A</v>
      </c>
      <c r="X195" s="11" t="e">
        <f>IF(VLOOKUP($H195, SeanRanks!$A$2:$H$303, 7, FALSE)=0, "", VLOOKUP($H195, SeanRanks!$A$2:$H$303, 7, FALSE))</f>
        <v>#N/A</v>
      </c>
    </row>
    <row r="196" spans="1:24" ht="14.25" customHeight="1" x14ac:dyDescent="0.25">
      <c r="A196" s="11"/>
      <c r="B196" s="11" t="e">
        <f t="shared" si="6"/>
        <v>#N/A</v>
      </c>
      <c r="C196" s="11" t="s">
        <v>148</v>
      </c>
      <c r="D196" s="11"/>
      <c r="E196" s="11"/>
      <c r="F196" s="11">
        <f t="shared" si="1"/>
        <v>0</v>
      </c>
      <c r="G196" s="11"/>
      <c r="H196" s="11" t="s">
        <v>917</v>
      </c>
      <c r="I196" s="58" t="e">
        <f>VLOOKUP($H196, 'ADP Data'!$B$4:$Q$300, 2, FALSE)</f>
        <v>#N/A</v>
      </c>
      <c r="J196" s="11" t="s">
        <v>762</v>
      </c>
      <c r="K196" s="11" t="e">
        <f>VLOOKUP($H196, SeanRanks!$A$2:$H$303, 5, FALSE)</f>
        <v>#N/A</v>
      </c>
      <c r="L196" s="11" t="e">
        <f>IF(VLOOKUP($H196, SeanRanks!$A$2:$H$303, 6, FALSE)=0, "", VLOOKUP($H196, SeanRanks!$A$2:$H$303, 6, FALSE))</f>
        <v>#N/A</v>
      </c>
      <c r="M196" s="11">
        <f t="shared" si="2"/>
        <v>16</v>
      </c>
      <c r="N196" s="11" t="e">
        <f>VLOOKUP($H196, 'ADP Data'!$B$4:$Q$300, 10, FALSE)</f>
        <v>#N/A</v>
      </c>
      <c r="O196" s="11" t="e">
        <f>VLOOKUP($H196, 'ADP Data'!$B$4:$Q$300, 4, FALSE)</f>
        <v>#N/A</v>
      </c>
      <c r="P196" s="11" t="e">
        <f t="shared" si="3"/>
        <v>#N/A</v>
      </c>
      <c r="Q196" s="11" t="e">
        <f>VLOOKUP($H196, 'ADP Data'!$B$4:$Q$300, 5, FALSE)</f>
        <v>#N/A</v>
      </c>
      <c r="R196" s="11" t="e">
        <f>VLOOKUP($H196, 'ADP Data'!$B$4:$Q$300, 6, FALSE)</f>
        <v>#N/A</v>
      </c>
      <c r="S196" s="11" t="e">
        <f>VLOOKUP($H196, 'ADP Data'!$B$4:$Q$300, 7, FALSE)</f>
        <v>#N/A</v>
      </c>
      <c r="T196" s="11" t="e">
        <f>VLOOKUP($H196, 'ADP Data'!$B$4:$Q$300, 8, FALSE)</f>
        <v>#N/A</v>
      </c>
      <c r="U196" s="11" t="e">
        <f>VLOOKUP($H196, 'ADP Data'!$B$4:$Q$300, 9, FALSE)</f>
        <v>#N/A</v>
      </c>
      <c r="V196" s="11" t="e">
        <f t="shared" si="4"/>
        <v>#N/A</v>
      </c>
      <c r="W196" s="11" t="e">
        <f t="shared" si="5"/>
        <v>#N/A</v>
      </c>
      <c r="X196" s="11" t="e">
        <f>IF(VLOOKUP($H196, SeanRanks!$A$2:$H$303, 7, FALSE)=0, "", VLOOKUP($H196, SeanRanks!$A$2:$H$303, 7, FALSE))</f>
        <v>#N/A</v>
      </c>
    </row>
    <row r="197" spans="1:24" ht="14.25" customHeight="1" x14ac:dyDescent="0.25">
      <c r="A197" s="11"/>
      <c r="B197" s="11" t="e">
        <f t="shared" si="6"/>
        <v>#N/A</v>
      </c>
      <c r="C197" s="11" t="s">
        <v>148</v>
      </c>
      <c r="D197" s="11"/>
      <c r="E197" s="11"/>
      <c r="F197" s="11">
        <f t="shared" si="1"/>
        <v>0</v>
      </c>
      <c r="G197" s="11"/>
      <c r="H197" s="11" t="s">
        <v>965</v>
      </c>
      <c r="I197" s="11" t="e">
        <f>VLOOKUP($H197, 'ADP Data'!$B$4:$Q$300, 2, FALSE)</f>
        <v>#N/A</v>
      </c>
      <c r="J197" s="11" t="s">
        <v>769</v>
      </c>
      <c r="K197" s="11" t="e">
        <f>VLOOKUP($H197, SeanRanks!$A$2:$H$303, 5, FALSE)</f>
        <v>#N/A</v>
      </c>
      <c r="L197" s="11" t="e">
        <f>IF(VLOOKUP($H197, SeanRanks!$A$2:$H$303, 6, FALSE)=0, "", VLOOKUP($H197, SeanRanks!$A$2:$H$303, 6, FALSE))</f>
        <v>#N/A</v>
      </c>
      <c r="M197" s="11">
        <f t="shared" si="2"/>
        <v>16</v>
      </c>
      <c r="N197" s="11" t="e">
        <f>VLOOKUP($H197, 'ADP Data'!$B$4:$Q$300, 10, FALSE)</f>
        <v>#N/A</v>
      </c>
      <c r="O197" s="11" t="e">
        <f>VLOOKUP($H197, 'ADP Data'!$B$4:$Q$300, 4, FALSE)</f>
        <v>#N/A</v>
      </c>
      <c r="P197" s="11" t="e">
        <f t="shared" si="3"/>
        <v>#N/A</v>
      </c>
      <c r="Q197" s="11" t="e">
        <f>VLOOKUP($H197, 'ADP Data'!$B$4:$Q$300, 5, FALSE)</f>
        <v>#N/A</v>
      </c>
      <c r="R197" s="11" t="e">
        <f>VLOOKUP($H197, 'ADP Data'!$B$4:$Q$300, 6, FALSE)</f>
        <v>#N/A</v>
      </c>
      <c r="S197" s="11" t="e">
        <f>VLOOKUP($H197, 'ADP Data'!$B$4:$Q$300, 7, FALSE)</f>
        <v>#N/A</v>
      </c>
      <c r="T197" s="11" t="e">
        <f>VLOOKUP($H197, 'ADP Data'!$B$4:$Q$300, 8, FALSE)</f>
        <v>#N/A</v>
      </c>
      <c r="U197" s="11" t="e">
        <f>VLOOKUP($H197, 'ADP Data'!$B$4:$Q$300, 9, FALSE)</f>
        <v>#N/A</v>
      </c>
      <c r="V197" s="11" t="e">
        <f t="shared" si="4"/>
        <v>#N/A</v>
      </c>
      <c r="W197" s="11" t="e">
        <f t="shared" si="5"/>
        <v>#N/A</v>
      </c>
      <c r="X197" s="11" t="e">
        <f>IF(VLOOKUP($H197, SeanRanks!$A$2:$H$303, 7, FALSE)=0, "", VLOOKUP($H197, SeanRanks!$A$2:$H$303, 7, FALSE))</f>
        <v>#N/A</v>
      </c>
    </row>
    <row r="198" spans="1:24" ht="14.25" customHeight="1" x14ac:dyDescent="0.25">
      <c r="A198" s="11"/>
      <c r="B198" s="11" t="e">
        <f t="shared" si="6"/>
        <v>#N/A</v>
      </c>
      <c r="C198" s="11" t="s">
        <v>148</v>
      </c>
      <c r="D198" s="11"/>
      <c r="E198" s="11"/>
      <c r="F198" s="11">
        <f t="shared" si="1"/>
        <v>0</v>
      </c>
      <c r="G198" s="11"/>
      <c r="H198" s="11" t="s">
        <v>904</v>
      </c>
      <c r="I198" s="80" t="e">
        <f>VLOOKUP($H198, 'ADP Data'!$B$4:$Q$300, 2, FALSE)</f>
        <v>#N/A</v>
      </c>
      <c r="J198" s="11" t="s">
        <v>762</v>
      </c>
      <c r="K198" s="11" t="e">
        <f>VLOOKUP($H198, SeanRanks!$A$2:$H$303, 5, FALSE)</f>
        <v>#N/A</v>
      </c>
      <c r="L198" s="11" t="e">
        <f>IF(VLOOKUP($H198, SeanRanks!$A$2:$H$303, 6, FALSE)=0, "", VLOOKUP($H198, SeanRanks!$A$2:$H$303, 6, FALSE))</f>
        <v>#N/A</v>
      </c>
      <c r="M198" s="11">
        <f t="shared" si="2"/>
        <v>16</v>
      </c>
      <c r="N198" s="11" t="e">
        <f>VLOOKUP($H198, 'ADP Data'!$B$4:$Q$300, 10, FALSE)</f>
        <v>#N/A</v>
      </c>
      <c r="O198" s="11" t="e">
        <f>VLOOKUP($H198, 'ADP Data'!$B$4:$Q$300, 4, FALSE)</f>
        <v>#N/A</v>
      </c>
      <c r="P198" s="11" t="e">
        <f t="shared" si="3"/>
        <v>#N/A</v>
      </c>
      <c r="Q198" s="11" t="e">
        <f>VLOOKUP($H198, 'ADP Data'!$B$4:$Q$300, 5, FALSE)</f>
        <v>#N/A</v>
      </c>
      <c r="R198" s="11" t="e">
        <f>VLOOKUP($H198, 'ADP Data'!$B$4:$Q$300, 6, FALSE)</f>
        <v>#N/A</v>
      </c>
      <c r="S198" s="11" t="e">
        <f>VLOOKUP($H198, 'ADP Data'!$B$4:$Q$300, 7, FALSE)</f>
        <v>#N/A</v>
      </c>
      <c r="T198" s="11" t="e">
        <f>VLOOKUP($H198, 'ADP Data'!$B$4:$Q$300, 8, FALSE)</f>
        <v>#N/A</v>
      </c>
      <c r="U198" s="11" t="e">
        <f>VLOOKUP($H198, 'ADP Data'!$B$4:$Q$300, 9, FALSE)</f>
        <v>#N/A</v>
      </c>
      <c r="V198" s="11" t="e">
        <f t="shared" si="4"/>
        <v>#N/A</v>
      </c>
      <c r="W198" s="11" t="e">
        <f t="shared" si="5"/>
        <v>#N/A</v>
      </c>
      <c r="X198" s="11" t="e">
        <f>IF(VLOOKUP($H198, SeanRanks!$A$2:$H$303, 7, FALSE)=0, "", VLOOKUP($H198, SeanRanks!$A$2:$H$303, 7, FALSE))</f>
        <v>#N/A</v>
      </c>
    </row>
    <row r="199" spans="1:24" ht="14.25" customHeight="1" x14ac:dyDescent="0.25">
      <c r="A199" s="11"/>
      <c r="B199" s="11" t="e">
        <f t="shared" si="6"/>
        <v>#N/A</v>
      </c>
      <c r="C199" s="11" t="s">
        <v>148</v>
      </c>
      <c r="D199" s="11"/>
      <c r="E199" s="11"/>
      <c r="F199" s="11">
        <f t="shared" si="1"/>
        <v>0</v>
      </c>
      <c r="G199" s="11"/>
      <c r="H199" s="11" t="s">
        <v>1279</v>
      </c>
      <c r="I199" s="11" t="e">
        <f>VLOOKUP($H199, 'ADP Data'!$B$4:$Q$300, 2, FALSE)</f>
        <v>#N/A</v>
      </c>
      <c r="J199" s="11" t="s">
        <v>764</v>
      </c>
      <c r="K199" s="11" t="e">
        <f>VLOOKUP($H199, SeanRanks!$A$2:$H$303, 5, FALSE)</f>
        <v>#N/A</v>
      </c>
      <c r="L199" s="11" t="e">
        <f>IF(VLOOKUP($H199, SeanRanks!$A$2:$H$303, 6, FALSE)=0, "", VLOOKUP($H199, SeanRanks!$A$2:$H$303, 6, FALSE))</f>
        <v>#N/A</v>
      </c>
      <c r="M199" s="11">
        <f t="shared" si="2"/>
        <v>16</v>
      </c>
      <c r="N199" s="11" t="e">
        <f>VLOOKUP($H199, 'ADP Data'!$B$4:$Q$300, 10, FALSE)</f>
        <v>#N/A</v>
      </c>
      <c r="O199" s="11" t="e">
        <f>VLOOKUP($H199, 'ADP Data'!$B$4:$Q$300, 4, FALSE)</f>
        <v>#N/A</v>
      </c>
      <c r="P199" s="11" t="e">
        <f t="shared" si="3"/>
        <v>#N/A</v>
      </c>
      <c r="Q199" s="11" t="e">
        <f>VLOOKUP($H199, 'ADP Data'!$B$4:$Q$300, 5, FALSE)</f>
        <v>#N/A</v>
      </c>
      <c r="R199" s="11" t="e">
        <f>VLOOKUP($H199, 'ADP Data'!$B$4:$Q$300, 6, FALSE)</f>
        <v>#N/A</v>
      </c>
      <c r="S199" s="11" t="e">
        <f>VLOOKUP($H199, 'ADP Data'!$B$4:$Q$300, 7, FALSE)</f>
        <v>#N/A</v>
      </c>
      <c r="T199" s="11" t="e">
        <f>VLOOKUP($H199, 'ADP Data'!$B$4:$Q$300, 8, FALSE)</f>
        <v>#N/A</v>
      </c>
      <c r="U199" s="11" t="e">
        <f>VLOOKUP($H199, 'ADP Data'!$B$4:$Q$300, 9, FALSE)</f>
        <v>#N/A</v>
      </c>
      <c r="V199" s="11" t="e">
        <f t="shared" si="4"/>
        <v>#N/A</v>
      </c>
      <c r="W199" s="11" t="e">
        <f t="shared" si="5"/>
        <v>#N/A</v>
      </c>
      <c r="X199" s="11" t="e">
        <f>IF(VLOOKUP($H199, SeanRanks!$A$2:$H$303, 7, FALSE)=0, "", VLOOKUP($H199, SeanRanks!$A$2:$H$303, 7, FALSE))</f>
        <v>#N/A</v>
      </c>
    </row>
    <row r="200" spans="1:24" ht="14.25" customHeight="1" x14ac:dyDescent="0.25">
      <c r="A200" s="11"/>
      <c r="B200" s="11" t="e">
        <f t="shared" si="6"/>
        <v>#N/A</v>
      </c>
      <c r="C200" s="11" t="s">
        <v>148</v>
      </c>
      <c r="D200" s="11"/>
      <c r="E200" s="11"/>
      <c r="F200" s="11">
        <f t="shared" si="1"/>
        <v>0</v>
      </c>
      <c r="G200" s="11"/>
      <c r="H200" s="11" t="s">
        <v>715</v>
      </c>
      <c r="I200" s="11" t="e">
        <f>VLOOKUP($H200, 'ADP Data'!$B$4:$Q$300, 2, FALSE)</f>
        <v>#N/A</v>
      </c>
      <c r="J200" s="11" t="s">
        <v>769</v>
      </c>
      <c r="K200" s="11" t="e">
        <f>VLOOKUP($H200, SeanRanks!$A$2:$H$303, 5, FALSE)</f>
        <v>#N/A</v>
      </c>
      <c r="L200" s="11" t="e">
        <f>IF(VLOOKUP($H200, SeanRanks!$A$2:$H$303, 6, FALSE)=0, "", VLOOKUP($H200, SeanRanks!$A$2:$H$303, 6, FALSE))</f>
        <v>#N/A</v>
      </c>
      <c r="M200" s="11">
        <f t="shared" si="2"/>
        <v>16</v>
      </c>
      <c r="N200" s="11" t="e">
        <f>VLOOKUP($H200, 'ADP Data'!$B$4:$Q$300, 10, FALSE)</f>
        <v>#N/A</v>
      </c>
      <c r="O200" s="11" t="e">
        <f>VLOOKUP($H200, 'ADP Data'!$B$4:$Q$300, 4, FALSE)</f>
        <v>#N/A</v>
      </c>
      <c r="P200" s="11" t="e">
        <f t="shared" si="3"/>
        <v>#N/A</v>
      </c>
      <c r="Q200" s="11" t="e">
        <f>VLOOKUP($H200, 'ADP Data'!$B$4:$Q$300, 5, FALSE)</f>
        <v>#N/A</v>
      </c>
      <c r="R200" s="11" t="e">
        <f>VLOOKUP($H200, 'ADP Data'!$B$4:$Q$300, 6, FALSE)</f>
        <v>#N/A</v>
      </c>
      <c r="S200" s="11" t="e">
        <f>VLOOKUP($H200, 'ADP Data'!$B$4:$Q$300, 7, FALSE)</f>
        <v>#N/A</v>
      </c>
      <c r="T200" s="11" t="e">
        <f>VLOOKUP($H200, 'ADP Data'!$B$4:$Q$300, 8, FALSE)</f>
        <v>#N/A</v>
      </c>
      <c r="U200" s="11" t="e">
        <f>VLOOKUP($H200, 'ADP Data'!$B$4:$Q$300, 9, FALSE)</f>
        <v>#N/A</v>
      </c>
      <c r="V200" s="11" t="e">
        <f t="shared" si="4"/>
        <v>#N/A</v>
      </c>
      <c r="W200" s="11" t="e">
        <f t="shared" si="5"/>
        <v>#N/A</v>
      </c>
      <c r="X200" s="11" t="e">
        <f>IF(VLOOKUP($H200, SeanRanks!$A$2:$H$303, 7, FALSE)=0, "", VLOOKUP($H200, SeanRanks!$A$2:$H$303, 7, FALSE))</f>
        <v>#N/A</v>
      </c>
    </row>
    <row r="201" spans="1:24" ht="14.25" customHeight="1" x14ac:dyDescent="0.25">
      <c r="A201" s="11"/>
      <c r="B201" s="11" t="e">
        <f t="shared" si="6"/>
        <v>#N/A</v>
      </c>
      <c r="C201" s="11" t="s">
        <v>148</v>
      </c>
      <c r="D201" s="11"/>
      <c r="E201" s="11"/>
      <c r="F201" s="11">
        <f t="shared" si="1"/>
        <v>0</v>
      </c>
      <c r="G201" s="11"/>
      <c r="H201" s="11" t="s">
        <v>286</v>
      </c>
      <c r="I201" s="11" t="e">
        <f>VLOOKUP($H201, 'ADP Data'!$B$4:$Q$300, 2, FALSE)</f>
        <v>#N/A</v>
      </c>
      <c r="J201" s="11" t="s">
        <v>764</v>
      </c>
      <c r="K201" s="11">
        <f>VLOOKUP($H201, SeanRanks!$A$2:$H$303, 5, FALSE)</f>
        <v>0</v>
      </c>
      <c r="L201" s="11" t="str">
        <f>IF(VLOOKUP($H201, SeanRanks!$A$2:$H$303, 6, FALSE)=0, "", VLOOKUP($H201, SeanRanks!$A$2:$H$303, 6, FALSE))</f>
        <v/>
      </c>
      <c r="M201" s="11">
        <f t="shared" si="2"/>
        <v>16</v>
      </c>
      <c r="N201" s="11" t="e">
        <f>VLOOKUP($H201, 'ADP Data'!$B$4:$Q$300, 10, FALSE)</f>
        <v>#N/A</v>
      </c>
      <c r="O201" s="11" t="e">
        <f>VLOOKUP($H201, 'ADP Data'!$B$4:$Q$300, 4, FALSE)</f>
        <v>#N/A</v>
      </c>
      <c r="P201" s="11" t="e">
        <f t="shared" si="3"/>
        <v>#N/A</v>
      </c>
      <c r="Q201" s="11" t="e">
        <f>VLOOKUP($H201, 'ADP Data'!$B$4:$Q$300, 5, FALSE)</f>
        <v>#N/A</v>
      </c>
      <c r="R201" s="11" t="e">
        <f>VLOOKUP($H201, 'ADP Data'!$B$4:$Q$300, 6, FALSE)</f>
        <v>#N/A</v>
      </c>
      <c r="S201" s="11" t="e">
        <f>VLOOKUP($H201, 'ADP Data'!$B$4:$Q$300, 7, FALSE)</f>
        <v>#N/A</v>
      </c>
      <c r="T201" s="11" t="e">
        <f>VLOOKUP($H201, 'ADP Data'!$B$4:$Q$300, 8, FALSE)</f>
        <v>#N/A</v>
      </c>
      <c r="U201" s="11" t="e">
        <f>VLOOKUP($H201, 'ADP Data'!$B$4:$Q$300, 9, FALSE)</f>
        <v>#N/A</v>
      </c>
      <c r="V201" s="11" t="e">
        <f t="shared" si="4"/>
        <v>#N/A</v>
      </c>
      <c r="W201" s="11" t="e">
        <f t="shared" si="5"/>
        <v>#N/A</v>
      </c>
      <c r="X201" s="11" t="str">
        <f>IF(VLOOKUP($H201, SeanRanks!$A$2:$H$303, 7, FALSE)=0, "", VLOOKUP($H201, SeanRanks!$A$2:$H$303, 7, FALSE))</f>
        <v/>
      </c>
    </row>
    <row r="202" spans="1:24" ht="14.25" customHeight="1" x14ac:dyDescent="0.25">
      <c r="A202" s="11"/>
      <c r="B202" s="11" t="e">
        <f t="shared" si="6"/>
        <v>#N/A</v>
      </c>
      <c r="C202" s="11" t="s">
        <v>148</v>
      </c>
      <c r="D202" s="11"/>
      <c r="E202" s="11"/>
      <c r="F202" s="11">
        <f t="shared" si="1"/>
        <v>0</v>
      </c>
      <c r="G202" s="11"/>
      <c r="H202" s="11" t="s">
        <v>377</v>
      </c>
      <c r="I202" s="11" t="e">
        <f>VLOOKUP($H202, 'ADP Data'!$B$4:$Q$300, 2, FALSE)</f>
        <v>#N/A</v>
      </c>
      <c r="J202" s="11" t="s">
        <v>764</v>
      </c>
      <c r="K202" s="11">
        <f>VLOOKUP($H202, SeanRanks!$A$2:$H$303, 5, FALSE)</f>
        <v>0</v>
      </c>
      <c r="L202" s="11" t="str">
        <f>IF(VLOOKUP($H202, SeanRanks!$A$2:$H$303, 6, FALSE)=0, "", VLOOKUP($H202, SeanRanks!$A$2:$H$303, 6, FALSE))</f>
        <v>WR4 - 2 - unclear path to WR2</v>
      </c>
      <c r="M202" s="11">
        <f t="shared" si="2"/>
        <v>16</v>
      </c>
      <c r="N202" s="11" t="e">
        <f>VLOOKUP($H202, 'ADP Data'!$B$4:$Q$300, 10, FALSE)</f>
        <v>#N/A</v>
      </c>
      <c r="O202" s="11" t="e">
        <f>VLOOKUP($H202, 'ADP Data'!$B$4:$Q$300, 4, FALSE)</f>
        <v>#N/A</v>
      </c>
      <c r="P202" s="11" t="e">
        <f t="shared" si="3"/>
        <v>#N/A</v>
      </c>
      <c r="Q202" s="11" t="e">
        <f>VLOOKUP($H202, 'ADP Data'!$B$4:$Q$300, 5, FALSE)</f>
        <v>#N/A</v>
      </c>
      <c r="R202" s="11" t="e">
        <f>VLOOKUP($H202, 'ADP Data'!$B$4:$Q$300, 6, FALSE)</f>
        <v>#N/A</v>
      </c>
      <c r="S202" s="11" t="e">
        <f>VLOOKUP($H202, 'ADP Data'!$B$4:$Q$300, 7, FALSE)</f>
        <v>#N/A</v>
      </c>
      <c r="T202" s="11" t="e">
        <f>VLOOKUP($H202, 'ADP Data'!$B$4:$Q$300, 8, FALSE)</f>
        <v>#N/A</v>
      </c>
      <c r="U202" s="11" t="e">
        <f>VLOOKUP($H202, 'ADP Data'!$B$4:$Q$300, 9, FALSE)</f>
        <v>#N/A</v>
      </c>
      <c r="V202" s="11" t="e">
        <f t="shared" si="4"/>
        <v>#N/A</v>
      </c>
      <c r="W202" s="11" t="e">
        <f t="shared" si="5"/>
        <v>#N/A</v>
      </c>
      <c r="X202" s="11">
        <f>IF(VLOOKUP($H202, SeanRanks!$A$2:$H$303, 7, FALSE)=0, "", VLOOKUP($H202, SeanRanks!$A$2:$H$303, 7, FALSE))</f>
        <v>44</v>
      </c>
    </row>
    <row r="203" spans="1:24" ht="14.25" customHeight="1" x14ac:dyDescent="0.25">
      <c r="A203" s="11"/>
      <c r="B203" s="11" t="e">
        <f t="shared" si="6"/>
        <v>#N/A</v>
      </c>
      <c r="C203" s="11" t="s">
        <v>148</v>
      </c>
      <c r="D203" s="11"/>
      <c r="E203" s="11"/>
      <c r="F203" s="11">
        <f t="shared" si="1"/>
        <v>0</v>
      </c>
      <c r="G203" s="11"/>
      <c r="H203" s="11" t="s">
        <v>1123</v>
      </c>
      <c r="I203" s="11" t="e">
        <f>VLOOKUP($H203, 'ADP Data'!$B$4:$Q$300, 2, FALSE)</f>
        <v>#N/A</v>
      </c>
      <c r="J203" s="11" t="s">
        <v>764</v>
      </c>
      <c r="K203" s="11" t="e">
        <f>VLOOKUP($H203, SeanRanks!$A$2:$H$303, 5, FALSE)</f>
        <v>#N/A</v>
      </c>
      <c r="L203" s="11" t="e">
        <f>IF(VLOOKUP($H203, SeanRanks!$A$2:$H$303, 6, FALSE)=0, "", VLOOKUP($H203, SeanRanks!$A$2:$H$303, 6, FALSE))</f>
        <v>#N/A</v>
      </c>
      <c r="M203" s="11">
        <f t="shared" si="2"/>
        <v>16</v>
      </c>
      <c r="N203" s="11" t="e">
        <f>VLOOKUP($H203, 'ADP Data'!$B$4:$Q$300, 10, FALSE)</f>
        <v>#N/A</v>
      </c>
      <c r="O203" s="11" t="e">
        <f>VLOOKUP($H203, 'ADP Data'!$B$4:$Q$300, 4, FALSE)</f>
        <v>#N/A</v>
      </c>
      <c r="P203" s="11" t="e">
        <f t="shared" si="3"/>
        <v>#N/A</v>
      </c>
      <c r="Q203" s="11" t="e">
        <f>VLOOKUP($H203, 'ADP Data'!$B$4:$Q$300, 5, FALSE)</f>
        <v>#N/A</v>
      </c>
      <c r="R203" s="11" t="e">
        <f>VLOOKUP($H203, 'ADP Data'!$B$4:$Q$300, 6, FALSE)</f>
        <v>#N/A</v>
      </c>
      <c r="S203" s="11" t="e">
        <f>VLOOKUP($H203, 'ADP Data'!$B$4:$Q$300, 7, FALSE)</f>
        <v>#N/A</v>
      </c>
      <c r="T203" s="11" t="e">
        <f>VLOOKUP($H203, 'ADP Data'!$B$4:$Q$300, 8, FALSE)</f>
        <v>#N/A</v>
      </c>
      <c r="U203" s="11" t="e">
        <f>VLOOKUP($H203, 'ADP Data'!$B$4:$Q$300, 9, FALSE)</f>
        <v>#N/A</v>
      </c>
      <c r="V203" s="11" t="e">
        <f t="shared" si="4"/>
        <v>#N/A</v>
      </c>
      <c r="W203" s="11" t="e">
        <f t="shared" si="5"/>
        <v>#N/A</v>
      </c>
      <c r="X203" s="11" t="e">
        <f>IF(VLOOKUP($H203, SeanRanks!$A$2:$H$303, 7, FALSE)=0, "", VLOOKUP($H203, SeanRanks!$A$2:$H$303, 7, FALSE))</f>
        <v>#N/A</v>
      </c>
    </row>
    <row r="204" spans="1:24" ht="14.25" customHeight="1" x14ac:dyDescent="0.25">
      <c r="A204" s="11"/>
      <c r="B204" s="11" t="e">
        <f t="shared" si="6"/>
        <v>#N/A</v>
      </c>
      <c r="C204" s="11" t="s">
        <v>148</v>
      </c>
      <c r="D204" s="11"/>
      <c r="E204" s="11"/>
      <c r="F204" s="11">
        <f t="shared" si="1"/>
        <v>0</v>
      </c>
      <c r="G204" s="11"/>
      <c r="H204" s="11" t="s">
        <v>489</v>
      </c>
      <c r="I204" s="11" t="e">
        <f>VLOOKUP($H204, 'ADP Data'!$B$4:$Q$300, 2, FALSE)</f>
        <v>#N/A</v>
      </c>
      <c r="J204" s="11" t="s">
        <v>773</v>
      </c>
      <c r="K204" s="11">
        <f>VLOOKUP($H204, SeanRanks!$A$2:$H$303, 5, FALSE)</f>
        <v>0</v>
      </c>
      <c r="L204" s="11" t="str">
        <f>IF(VLOOKUP($H204, SeanRanks!$A$2:$H$303, 6, FALSE)=0, "", VLOOKUP($H204, SeanRanks!$A$2:$H$303, 6, FALSE))</f>
        <v/>
      </c>
      <c r="M204" s="11">
        <f t="shared" si="2"/>
        <v>16</v>
      </c>
      <c r="N204" s="11" t="e">
        <f>VLOOKUP($H204, 'ADP Data'!$B$4:$Q$300, 10, FALSE)</f>
        <v>#N/A</v>
      </c>
      <c r="O204" s="11" t="e">
        <f>VLOOKUP($H204, 'ADP Data'!$B$4:$Q$300, 4, FALSE)</f>
        <v>#N/A</v>
      </c>
      <c r="P204" s="11" t="e">
        <f t="shared" si="3"/>
        <v>#N/A</v>
      </c>
      <c r="Q204" s="11" t="e">
        <f>VLOOKUP($H204, 'ADP Data'!$B$4:$Q$300, 5, FALSE)</f>
        <v>#N/A</v>
      </c>
      <c r="R204" s="11" t="e">
        <f>VLOOKUP($H204, 'ADP Data'!$B$4:$Q$300, 6, FALSE)</f>
        <v>#N/A</v>
      </c>
      <c r="S204" s="11" t="e">
        <f>VLOOKUP($H204, 'ADP Data'!$B$4:$Q$300, 7, FALSE)</f>
        <v>#N/A</v>
      </c>
      <c r="T204" s="11" t="e">
        <f>VLOOKUP($H204, 'ADP Data'!$B$4:$Q$300, 8, FALSE)</f>
        <v>#N/A</v>
      </c>
      <c r="U204" s="11" t="e">
        <f>VLOOKUP($H204, 'ADP Data'!$B$4:$Q$300, 9, FALSE)</f>
        <v>#N/A</v>
      </c>
      <c r="V204" s="11" t="e">
        <f t="shared" si="4"/>
        <v>#N/A</v>
      </c>
      <c r="W204" s="11" t="e">
        <f t="shared" si="5"/>
        <v>#N/A</v>
      </c>
      <c r="X204" s="11" t="str">
        <f>IF(VLOOKUP($H204, SeanRanks!$A$2:$H$303, 7, FALSE)=0, "", VLOOKUP($H204, SeanRanks!$A$2:$H$303, 7, FALSE))</f>
        <v/>
      </c>
    </row>
    <row r="205" spans="1:24" ht="14.25" customHeight="1" x14ac:dyDescent="0.25">
      <c r="A205" s="11"/>
      <c r="B205" s="11" t="e">
        <f t="shared" si="6"/>
        <v>#N/A</v>
      </c>
      <c r="C205" s="11" t="s">
        <v>148</v>
      </c>
      <c r="D205" s="11"/>
      <c r="E205" s="11"/>
      <c r="F205" s="11">
        <f t="shared" si="1"/>
        <v>0</v>
      </c>
      <c r="G205" s="11"/>
      <c r="H205" s="11" t="s">
        <v>961</v>
      </c>
      <c r="I205" s="11" t="e">
        <f>VLOOKUP($H205, 'ADP Data'!$B$4:$Q$300, 2, FALSE)</f>
        <v>#N/A</v>
      </c>
      <c r="J205" s="11" t="s">
        <v>772</v>
      </c>
      <c r="K205" s="11">
        <f>VLOOKUP($H205, SeanRanks!$A$2:$H$303, 5, FALSE)</f>
        <v>0</v>
      </c>
      <c r="L205" s="11" t="str">
        <f>IF(VLOOKUP($H205, SeanRanks!$A$2:$H$303, 6, FALSE)=0, "", VLOOKUP($H205, SeanRanks!$A$2:$H$303, 6, FALSE))</f>
        <v/>
      </c>
      <c r="M205" s="11">
        <f t="shared" si="2"/>
        <v>16</v>
      </c>
      <c r="N205" s="11" t="e">
        <f>VLOOKUP($H205, 'ADP Data'!$B$4:$Q$300, 10, FALSE)</f>
        <v>#N/A</v>
      </c>
      <c r="O205" s="11" t="e">
        <f>VLOOKUP($H205, 'ADP Data'!$B$4:$Q$300, 4, FALSE)</f>
        <v>#N/A</v>
      </c>
      <c r="P205" s="11" t="e">
        <f t="shared" si="3"/>
        <v>#N/A</v>
      </c>
      <c r="Q205" s="11" t="e">
        <f>VLOOKUP($H205, 'ADP Data'!$B$4:$Q$300, 5, FALSE)</f>
        <v>#N/A</v>
      </c>
      <c r="R205" s="11" t="e">
        <f>VLOOKUP($H205, 'ADP Data'!$B$4:$Q$300, 6, FALSE)</f>
        <v>#N/A</v>
      </c>
      <c r="S205" s="11" t="e">
        <f>VLOOKUP($H205, 'ADP Data'!$B$4:$Q$300, 7, FALSE)</f>
        <v>#N/A</v>
      </c>
      <c r="T205" s="11" t="e">
        <f>VLOOKUP($H205, 'ADP Data'!$B$4:$Q$300, 8, FALSE)</f>
        <v>#N/A</v>
      </c>
      <c r="U205" s="11" t="e">
        <f>VLOOKUP($H205, 'ADP Data'!$B$4:$Q$300, 9, FALSE)</f>
        <v>#N/A</v>
      </c>
      <c r="V205" s="11" t="e">
        <f t="shared" si="4"/>
        <v>#N/A</v>
      </c>
      <c r="W205" s="11" t="e">
        <f t="shared" si="5"/>
        <v>#N/A</v>
      </c>
      <c r="X205" s="11" t="str">
        <f>IF(VLOOKUP($H205, SeanRanks!$A$2:$H$303, 7, FALSE)=0, "", VLOOKUP($H205, SeanRanks!$A$2:$H$303, 7, FALSE))</f>
        <v/>
      </c>
    </row>
    <row r="206" spans="1:24" ht="14.25" customHeight="1" x14ac:dyDescent="0.25">
      <c r="A206" s="11"/>
      <c r="B206" s="11" t="e">
        <f t="shared" si="6"/>
        <v>#N/A</v>
      </c>
      <c r="C206" s="11" t="s">
        <v>148</v>
      </c>
      <c r="D206" s="11"/>
      <c r="E206" s="11"/>
      <c r="F206" s="11">
        <f t="shared" si="1"/>
        <v>0</v>
      </c>
      <c r="G206" s="11"/>
      <c r="H206" s="11" t="s">
        <v>465</v>
      </c>
      <c r="I206" s="11" t="e">
        <f>VLOOKUP($H206, 'ADP Data'!$B$4:$Q$300, 2, FALSE)</f>
        <v>#N/A</v>
      </c>
      <c r="J206" s="11" t="s">
        <v>764</v>
      </c>
      <c r="K206" s="11" t="e">
        <f>VLOOKUP($H206, SeanRanks!$A$2:$H$303, 5, FALSE)</f>
        <v>#N/A</v>
      </c>
      <c r="L206" s="11" t="e">
        <f>IF(VLOOKUP($H206, SeanRanks!$A$2:$H$303, 6, FALSE)=0, "", VLOOKUP($H206, SeanRanks!$A$2:$H$303, 6, FALSE))</f>
        <v>#N/A</v>
      </c>
      <c r="M206" s="11">
        <f t="shared" si="2"/>
        <v>16</v>
      </c>
      <c r="N206" s="11" t="e">
        <f>VLOOKUP($H206, 'ADP Data'!$B$4:$Q$300, 10, FALSE)</f>
        <v>#N/A</v>
      </c>
      <c r="O206" s="11" t="e">
        <f>VLOOKUP($H206, 'ADP Data'!$B$4:$Q$300, 4, FALSE)</f>
        <v>#N/A</v>
      </c>
      <c r="P206" s="11" t="e">
        <f t="shared" si="3"/>
        <v>#N/A</v>
      </c>
      <c r="Q206" s="11" t="e">
        <f>VLOOKUP($H206, 'ADP Data'!$B$4:$Q$300, 5, FALSE)</f>
        <v>#N/A</v>
      </c>
      <c r="R206" s="11" t="e">
        <f>VLOOKUP($H206, 'ADP Data'!$B$4:$Q$300, 6, FALSE)</f>
        <v>#N/A</v>
      </c>
      <c r="S206" s="11" t="e">
        <f>VLOOKUP($H206, 'ADP Data'!$B$4:$Q$300, 7, FALSE)</f>
        <v>#N/A</v>
      </c>
      <c r="T206" s="11" t="e">
        <f>VLOOKUP($H206, 'ADP Data'!$B$4:$Q$300, 8, FALSE)</f>
        <v>#N/A</v>
      </c>
      <c r="U206" s="11" t="e">
        <f>VLOOKUP($H206, 'ADP Data'!$B$4:$Q$300, 9, FALSE)</f>
        <v>#N/A</v>
      </c>
      <c r="V206" s="11" t="e">
        <f t="shared" si="4"/>
        <v>#N/A</v>
      </c>
      <c r="W206" s="11" t="e">
        <f t="shared" si="5"/>
        <v>#N/A</v>
      </c>
      <c r="X206" s="11" t="e">
        <f>IF(VLOOKUP($H206, SeanRanks!$A$2:$H$303, 7, FALSE)=0, "", VLOOKUP($H206, SeanRanks!$A$2:$H$303, 7, FALSE))</f>
        <v>#N/A</v>
      </c>
    </row>
    <row r="207" spans="1:24" ht="14.25" customHeight="1" x14ac:dyDescent="0.25">
      <c r="A207" s="11"/>
      <c r="B207" s="11" t="e">
        <f t="shared" si="6"/>
        <v>#N/A</v>
      </c>
      <c r="C207" s="11" t="s">
        <v>148</v>
      </c>
      <c r="D207" s="11"/>
      <c r="E207" s="11"/>
      <c r="F207" s="11">
        <f t="shared" si="1"/>
        <v>0</v>
      </c>
      <c r="G207" s="11"/>
      <c r="H207" s="11" t="s">
        <v>532</v>
      </c>
      <c r="I207" s="11" t="e">
        <f>VLOOKUP($H207, 'ADP Data'!$B$4:$Q$300, 2, FALSE)</f>
        <v>#N/A</v>
      </c>
      <c r="J207" s="11" t="s">
        <v>769</v>
      </c>
      <c r="K207" s="11">
        <f>VLOOKUP($H207, SeanRanks!$A$2:$H$303, 5, FALSE)</f>
        <v>0</v>
      </c>
      <c r="L207" s="11" t="str">
        <f>IF(VLOOKUP($H207, SeanRanks!$A$2:$H$303, 6, FALSE)=0, "", VLOOKUP($H207, SeanRanks!$A$2:$H$303, 6, FALSE))</f>
        <v/>
      </c>
      <c r="M207" s="11">
        <f t="shared" si="2"/>
        <v>16</v>
      </c>
      <c r="N207" s="11" t="e">
        <f>VLOOKUP($H207, 'ADP Data'!$B$4:$Q$300, 10, FALSE)</f>
        <v>#N/A</v>
      </c>
      <c r="O207" s="11" t="e">
        <f>VLOOKUP($H207, 'ADP Data'!$B$4:$Q$300, 4, FALSE)</f>
        <v>#N/A</v>
      </c>
      <c r="P207" s="11" t="e">
        <f t="shared" si="3"/>
        <v>#N/A</v>
      </c>
      <c r="Q207" s="11" t="e">
        <f>VLOOKUP($H207, 'ADP Data'!$B$4:$Q$300, 5, FALSE)</f>
        <v>#N/A</v>
      </c>
      <c r="R207" s="11" t="e">
        <f>VLOOKUP($H207, 'ADP Data'!$B$4:$Q$300, 6, FALSE)</f>
        <v>#N/A</v>
      </c>
      <c r="S207" s="11" t="e">
        <f>VLOOKUP($H207, 'ADP Data'!$B$4:$Q$300, 7, FALSE)</f>
        <v>#N/A</v>
      </c>
      <c r="T207" s="11" t="e">
        <f>VLOOKUP($H207, 'ADP Data'!$B$4:$Q$300, 8, FALSE)</f>
        <v>#N/A</v>
      </c>
      <c r="U207" s="11" t="e">
        <f>VLOOKUP($H207, 'ADP Data'!$B$4:$Q$300, 9, FALSE)</f>
        <v>#N/A</v>
      </c>
      <c r="V207" s="11" t="e">
        <f t="shared" si="4"/>
        <v>#N/A</v>
      </c>
      <c r="W207" s="11" t="e">
        <f t="shared" si="5"/>
        <v>#N/A</v>
      </c>
      <c r="X207" s="11" t="str">
        <f>IF(VLOOKUP($H207, SeanRanks!$A$2:$H$303, 7, FALSE)=0, "", VLOOKUP($H207, SeanRanks!$A$2:$H$303, 7, FALSE))</f>
        <v/>
      </c>
    </row>
    <row r="208" spans="1:24" ht="14.25" customHeight="1" x14ac:dyDescent="0.25">
      <c r="A208" s="11"/>
      <c r="B208" s="11" t="e">
        <f t="shared" si="6"/>
        <v>#N/A</v>
      </c>
      <c r="C208" s="11" t="s">
        <v>148</v>
      </c>
      <c r="D208" s="11"/>
      <c r="E208" s="11"/>
      <c r="F208" s="11">
        <f t="shared" si="1"/>
        <v>0</v>
      </c>
      <c r="G208" s="11"/>
      <c r="H208" s="11" t="s">
        <v>962</v>
      </c>
      <c r="I208" s="11" t="e">
        <f>VLOOKUP($H208, 'ADP Data'!$B$4:$Q$300, 2, FALSE)</f>
        <v>#N/A</v>
      </c>
      <c r="J208" s="11" t="s">
        <v>772</v>
      </c>
      <c r="K208" s="11">
        <f>VLOOKUP($H208, SeanRanks!$A$2:$H$303, 5, FALSE)</f>
        <v>0</v>
      </c>
      <c r="L208" s="11" t="str">
        <f>IF(VLOOKUP($H208, SeanRanks!$A$2:$H$303, 6, FALSE)=0, "", VLOOKUP($H208, SeanRanks!$A$2:$H$303, 6, FALSE))</f>
        <v/>
      </c>
      <c r="M208" s="11">
        <f t="shared" si="2"/>
        <v>16</v>
      </c>
      <c r="N208" s="11" t="e">
        <f>VLOOKUP($H208, 'ADP Data'!$B$4:$Q$300, 10, FALSE)</f>
        <v>#N/A</v>
      </c>
      <c r="O208" s="11" t="e">
        <f>VLOOKUP($H208, 'ADP Data'!$B$4:$Q$300, 4, FALSE)</f>
        <v>#N/A</v>
      </c>
      <c r="P208" s="11" t="e">
        <f t="shared" si="3"/>
        <v>#N/A</v>
      </c>
      <c r="Q208" s="11" t="e">
        <f>VLOOKUP($H208, 'ADP Data'!$B$4:$Q$300, 5, FALSE)</f>
        <v>#N/A</v>
      </c>
      <c r="R208" s="11" t="e">
        <f>VLOOKUP($H208, 'ADP Data'!$B$4:$Q$300, 6, FALSE)</f>
        <v>#N/A</v>
      </c>
      <c r="S208" s="11" t="e">
        <f>VLOOKUP($H208, 'ADP Data'!$B$4:$Q$300, 7, FALSE)</f>
        <v>#N/A</v>
      </c>
      <c r="T208" s="11" t="e">
        <f>VLOOKUP($H208, 'ADP Data'!$B$4:$Q$300, 8, FALSE)</f>
        <v>#N/A</v>
      </c>
      <c r="U208" s="11" t="e">
        <f>VLOOKUP($H208, 'ADP Data'!$B$4:$Q$300, 9, FALSE)</f>
        <v>#N/A</v>
      </c>
      <c r="V208" s="11" t="e">
        <f t="shared" si="4"/>
        <v>#N/A</v>
      </c>
      <c r="W208" s="11" t="e">
        <f t="shared" si="5"/>
        <v>#N/A</v>
      </c>
      <c r="X208" s="11" t="str">
        <f>IF(VLOOKUP($H208, SeanRanks!$A$2:$H$303, 7, FALSE)=0, "", VLOOKUP($H208, SeanRanks!$A$2:$H$303, 7, FALSE))</f>
        <v/>
      </c>
    </row>
    <row r="209" spans="1:24" ht="14.25" customHeight="1" x14ac:dyDescent="0.25">
      <c r="A209" s="11"/>
      <c r="B209" s="11" t="e">
        <f t="shared" si="6"/>
        <v>#N/A</v>
      </c>
      <c r="C209" s="11" t="s">
        <v>148</v>
      </c>
      <c r="D209" s="11"/>
      <c r="E209" s="11"/>
      <c r="F209" s="11">
        <f t="shared" si="1"/>
        <v>0</v>
      </c>
      <c r="G209" s="11"/>
      <c r="H209" s="11" t="s">
        <v>1286</v>
      </c>
      <c r="I209" s="11" t="e">
        <f>VLOOKUP($H209, 'ADP Data'!$B$4:$Q$300, 2, FALSE)</f>
        <v>#N/A</v>
      </c>
      <c r="J209" s="11" t="s">
        <v>764</v>
      </c>
      <c r="K209" s="11" t="e">
        <f>VLOOKUP($H209, SeanRanks!$A$2:$H$303, 5, FALSE)</f>
        <v>#N/A</v>
      </c>
      <c r="L209" s="11" t="e">
        <f>IF(VLOOKUP($H209, SeanRanks!$A$2:$H$303, 6, FALSE)=0, "", VLOOKUP($H209, SeanRanks!$A$2:$H$303, 6, FALSE))</f>
        <v>#N/A</v>
      </c>
      <c r="M209" s="11">
        <f t="shared" si="2"/>
        <v>16</v>
      </c>
      <c r="N209" s="11" t="e">
        <f>VLOOKUP($H209, 'ADP Data'!$B$4:$Q$300, 10, FALSE)</f>
        <v>#N/A</v>
      </c>
      <c r="O209" s="11" t="e">
        <f>VLOOKUP($H209, 'ADP Data'!$B$4:$Q$300, 4, FALSE)</f>
        <v>#N/A</v>
      </c>
      <c r="P209" s="11" t="e">
        <f t="shared" si="3"/>
        <v>#N/A</v>
      </c>
      <c r="Q209" s="11" t="e">
        <f>VLOOKUP($H209, 'ADP Data'!$B$4:$Q$300, 5, FALSE)</f>
        <v>#N/A</v>
      </c>
      <c r="R209" s="11" t="e">
        <f>VLOOKUP($H209, 'ADP Data'!$B$4:$Q$300, 6, FALSE)</f>
        <v>#N/A</v>
      </c>
      <c r="S209" s="11" t="e">
        <f>VLOOKUP($H209, 'ADP Data'!$B$4:$Q$300, 7, FALSE)</f>
        <v>#N/A</v>
      </c>
      <c r="T209" s="11" t="e">
        <f>VLOOKUP($H209, 'ADP Data'!$B$4:$Q$300, 8, FALSE)</f>
        <v>#N/A</v>
      </c>
      <c r="U209" s="11" t="e">
        <f>VLOOKUP($H209, 'ADP Data'!$B$4:$Q$300, 9, FALSE)</f>
        <v>#N/A</v>
      </c>
      <c r="V209" s="11" t="e">
        <f t="shared" si="4"/>
        <v>#N/A</v>
      </c>
      <c r="W209" s="11" t="e">
        <f t="shared" si="5"/>
        <v>#N/A</v>
      </c>
      <c r="X209" s="11" t="e">
        <f>IF(VLOOKUP($H209, SeanRanks!$A$2:$H$303, 7, FALSE)=0, "", VLOOKUP($H209, SeanRanks!$A$2:$H$303, 7, FALSE))</f>
        <v>#N/A</v>
      </c>
    </row>
    <row r="210" spans="1:24" ht="14.25" customHeight="1" x14ac:dyDescent="0.25">
      <c r="A210" s="11"/>
      <c r="B210" s="11" t="e">
        <f t="shared" si="6"/>
        <v>#N/A</v>
      </c>
      <c r="C210" s="11" t="s">
        <v>148</v>
      </c>
      <c r="D210" s="11"/>
      <c r="E210" s="11"/>
      <c r="F210" s="11">
        <f t="shared" si="1"/>
        <v>0</v>
      </c>
      <c r="G210" s="11"/>
      <c r="H210" s="11" t="s">
        <v>502</v>
      </c>
      <c r="I210" s="11" t="e">
        <f>VLOOKUP($H210, 'ADP Data'!$B$4:$Q$300, 2, FALSE)</f>
        <v>#N/A</v>
      </c>
      <c r="J210" s="11" t="s">
        <v>773</v>
      </c>
      <c r="K210" s="11">
        <f>VLOOKUP($H210, SeanRanks!$A$2:$H$303, 5, FALSE)</f>
        <v>0</v>
      </c>
      <c r="L210" s="11" t="str">
        <f>IF(VLOOKUP($H210, SeanRanks!$A$2:$H$303, 6, FALSE)=0, "", VLOOKUP($H210, SeanRanks!$A$2:$H$303, 6, FALSE))</f>
        <v/>
      </c>
      <c r="M210" s="11">
        <f t="shared" si="2"/>
        <v>16</v>
      </c>
      <c r="N210" s="11" t="e">
        <f>VLOOKUP($H210, 'ADP Data'!$B$4:$Q$300, 10, FALSE)</f>
        <v>#N/A</v>
      </c>
      <c r="O210" s="11" t="e">
        <f>VLOOKUP($H210, 'ADP Data'!$B$4:$Q$300, 4, FALSE)</f>
        <v>#N/A</v>
      </c>
      <c r="P210" s="11" t="e">
        <f t="shared" si="3"/>
        <v>#N/A</v>
      </c>
      <c r="Q210" s="11" t="e">
        <f>VLOOKUP($H210, 'ADP Data'!$B$4:$Q$300, 5, FALSE)</f>
        <v>#N/A</v>
      </c>
      <c r="R210" s="11" t="e">
        <f>VLOOKUP($H210, 'ADP Data'!$B$4:$Q$300, 6, FALSE)</f>
        <v>#N/A</v>
      </c>
      <c r="S210" s="11" t="e">
        <f>VLOOKUP($H210, 'ADP Data'!$B$4:$Q$300, 7, FALSE)</f>
        <v>#N/A</v>
      </c>
      <c r="T210" s="11" t="e">
        <f>VLOOKUP($H210, 'ADP Data'!$B$4:$Q$300, 8, FALSE)</f>
        <v>#N/A</v>
      </c>
      <c r="U210" s="11" t="e">
        <f>VLOOKUP($H210, 'ADP Data'!$B$4:$Q$300, 9, FALSE)</f>
        <v>#N/A</v>
      </c>
      <c r="V210" s="11" t="e">
        <f t="shared" si="4"/>
        <v>#N/A</v>
      </c>
      <c r="W210" s="11" t="e">
        <f t="shared" si="5"/>
        <v>#N/A</v>
      </c>
      <c r="X210" s="11" t="str">
        <f>IF(VLOOKUP($H210, SeanRanks!$A$2:$H$303, 7, FALSE)=0, "", VLOOKUP($H210, SeanRanks!$A$2:$H$303, 7, FALSE))</f>
        <v/>
      </c>
    </row>
    <row r="211" spans="1:24" ht="14.25" customHeight="1" x14ac:dyDescent="0.25">
      <c r="A211" s="11"/>
      <c r="B211" s="11" t="e">
        <f t="shared" si="6"/>
        <v>#N/A</v>
      </c>
      <c r="C211" s="11" t="s">
        <v>148</v>
      </c>
      <c r="D211" s="11"/>
      <c r="E211" s="11"/>
      <c r="F211" s="11">
        <f t="shared" si="1"/>
        <v>0</v>
      </c>
      <c r="G211" s="11"/>
      <c r="H211" s="11" t="s">
        <v>1289</v>
      </c>
      <c r="I211" s="80" t="e">
        <f>VLOOKUP($H211, 'ADP Data'!$B$4:$Q$300, 2, FALSE)</f>
        <v>#N/A</v>
      </c>
      <c r="J211" s="11" t="s">
        <v>762</v>
      </c>
      <c r="K211" s="11" t="e">
        <f>VLOOKUP($H211, SeanRanks!$A$2:$H$303, 5, FALSE)</f>
        <v>#N/A</v>
      </c>
      <c r="L211" s="11" t="e">
        <f>IF(VLOOKUP($H211, SeanRanks!$A$2:$H$303, 6, FALSE)=0, "", VLOOKUP($H211, SeanRanks!$A$2:$H$303, 6, FALSE))</f>
        <v>#N/A</v>
      </c>
      <c r="M211" s="11">
        <f t="shared" si="2"/>
        <v>16</v>
      </c>
      <c r="N211" s="11" t="e">
        <f>VLOOKUP($H211, 'ADP Data'!$B$4:$Q$300, 10, FALSE)</f>
        <v>#N/A</v>
      </c>
      <c r="O211" s="11" t="e">
        <f>VLOOKUP($H211, 'ADP Data'!$B$4:$Q$300, 4, FALSE)</f>
        <v>#N/A</v>
      </c>
      <c r="P211" s="11" t="e">
        <f t="shared" si="3"/>
        <v>#N/A</v>
      </c>
      <c r="Q211" s="11" t="e">
        <f>VLOOKUP($H211, 'ADP Data'!$B$4:$Q$300, 5, FALSE)</f>
        <v>#N/A</v>
      </c>
      <c r="R211" s="11" t="e">
        <f>VLOOKUP($H211, 'ADP Data'!$B$4:$Q$300, 6, FALSE)</f>
        <v>#N/A</v>
      </c>
      <c r="S211" s="11" t="e">
        <f>VLOOKUP($H211, 'ADP Data'!$B$4:$Q$300, 7, FALSE)</f>
        <v>#N/A</v>
      </c>
      <c r="T211" s="11" t="e">
        <f>VLOOKUP($H211, 'ADP Data'!$B$4:$Q$300, 8, FALSE)</f>
        <v>#N/A</v>
      </c>
      <c r="U211" s="11" t="e">
        <f>VLOOKUP($H211, 'ADP Data'!$B$4:$Q$300, 9, FALSE)</f>
        <v>#N/A</v>
      </c>
      <c r="V211" s="11" t="e">
        <f t="shared" si="4"/>
        <v>#N/A</v>
      </c>
      <c r="W211" s="11" t="e">
        <f t="shared" si="5"/>
        <v>#N/A</v>
      </c>
      <c r="X211" s="11" t="e">
        <f>IF(VLOOKUP($H211, SeanRanks!$A$2:$H$303, 7, FALSE)=0, "", VLOOKUP($H211, SeanRanks!$A$2:$H$303, 7, FALSE))</f>
        <v>#N/A</v>
      </c>
    </row>
    <row r="212" spans="1:24" ht="14.25" customHeight="1" x14ac:dyDescent="0.25">
      <c r="A212" s="11"/>
      <c r="B212" s="11" t="e">
        <f t="shared" si="6"/>
        <v>#N/A</v>
      </c>
      <c r="C212" s="11" t="s">
        <v>148</v>
      </c>
      <c r="D212" s="11"/>
      <c r="E212" s="11"/>
      <c r="F212" s="11">
        <f t="shared" si="1"/>
        <v>0</v>
      </c>
      <c r="G212" s="11"/>
      <c r="H212" s="11" t="s">
        <v>467</v>
      </c>
      <c r="I212" s="11" t="e">
        <f>VLOOKUP($H212, 'ADP Data'!$B$4:$Q$300, 2, FALSE)</f>
        <v>#N/A</v>
      </c>
      <c r="J212" s="11" t="s">
        <v>760</v>
      </c>
      <c r="K212" s="11">
        <f>VLOOKUP($H212, SeanRanks!$A$2:$H$303, 5, FALSE)</f>
        <v>0</v>
      </c>
      <c r="L212" s="11" t="str">
        <f>IF(VLOOKUP($H212, SeanRanks!$A$2:$H$303, 6, FALSE)=0, "", VLOOKUP($H212, SeanRanks!$A$2:$H$303, 6, FALSE))</f>
        <v>QB3 - League Winner?</v>
      </c>
      <c r="M212" s="11">
        <f t="shared" si="2"/>
        <v>16</v>
      </c>
      <c r="N212" s="11" t="e">
        <f>VLOOKUP($H212, 'ADP Data'!$B$4:$Q$300, 10, FALSE)</f>
        <v>#N/A</v>
      </c>
      <c r="O212" s="11" t="e">
        <f>VLOOKUP($H212, 'ADP Data'!$B$4:$Q$300, 4, FALSE)</f>
        <v>#N/A</v>
      </c>
      <c r="P212" s="11" t="e">
        <f t="shared" si="3"/>
        <v>#N/A</v>
      </c>
      <c r="Q212" s="11" t="e">
        <f>VLOOKUP($H212, 'ADP Data'!$B$4:$Q$300, 5, FALSE)</f>
        <v>#N/A</v>
      </c>
      <c r="R212" s="11" t="e">
        <f>VLOOKUP($H212, 'ADP Data'!$B$4:$Q$300, 6, FALSE)</f>
        <v>#N/A</v>
      </c>
      <c r="S212" s="11" t="e">
        <f>VLOOKUP($H212, 'ADP Data'!$B$4:$Q$300, 7, FALSE)</f>
        <v>#N/A</v>
      </c>
      <c r="T212" s="11" t="e">
        <f>VLOOKUP($H212, 'ADP Data'!$B$4:$Q$300, 8, FALSE)</f>
        <v>#N/A</v>
      </c>
      <c r="U212" s="11" t="e">
        <f>VLOOKUP($H212, 'ADP Data'!$B$4:$Q$300, 9, FALSE)</f>
        <v>#N/A</v>
      </c>
      <c r="V212" s="11" t="e">
        <f t="shared" si="4"/>
        <v>#N/A</v>
      </c>
      <c r="W212" s="11" t="e">
        <f t="shared" si="5"/>
        <v>#N/A</v>
      </c>
      <c r="X212" s="11">
        <f>IF(VLOOKUP($H212, SeanRanks!$A$2:$H$303, 7, FALSE)=0, "", VLOOKUP($H212, SeanRanks!$A$2:$H$303, 7, FALSE))</f>
        <v>21</v>
      </c>
    </row>
    <row r="213" spans="1:24" ht="14.25" customHeight="1" x14ac:dyDescent="0.25">
      <c r="A213" s="11"/>
      <c r="B213" s="11" t="e">
        <f t="shared" si="6"/>
        <v>#N/A</v>
      </c>
      <c r="C213" s="11" t="s">
        <v>148</v>
      </c>
      <c r="D213" s="11"/>
      <c r="E213" s="11"/>
      <c r="F213" s="11">
        <f t="shared" si="1"/>
        <v>0</v>
      </c>
      <c r="G213" s="11"/>
      <c r="H213" s="11" t="s">
        <v>1270</v>
      </c>
      <c r="I213" s="58" t="e">
        <f>VLOOKUP($H213, 'ADP Data'!$B$4:$Q$300, 2, FALSE)</f>
        <v>#N/A</v>
      </c>
      <c r="J213" s="11" t="s">
        <v>764</v>
      </c>
      <c r="K213" s="11" t="e">
        <f>VLOOKUP($H213, SeanRanks!$A$2:$H$303, 5, FALSE)</f>
        <v>#N/A</v>
      </c>
      <c r="L213" s="11" t="e">
        <f>IF(VLOOKUP($H213, SeanRanks!$A$2:$H$303, 6, FALSE)=0, "", VLOOKUP($H213, SeanRanks!$A$2:$H$303, 6, FALSE))</f>
        <v>#N/A</v>
      </c>
      <c r="M213" s="11">
        <f t="shared" si="2"/>
        <v>16</v>
      </c>
      <c r="N213" s="11" t="e">
        <f>VLOOKUP($H213, 'ADP Data'!$B$4:$Q$300, 10, FALSE)</f>
        <v>#N/A</v>
      </c>
      <c r="O213" s="11" t="e">
        <f>VLOOKUP($H213, 'ADP Data'!$B$4:$Q$300, 4, FALSE)</f>
        <v>#N/A</v>
      </c>
      <c r="P213" s="11" t="e">
        <f t="shared" si="3"/>
        <v>#N/A</v>
      </c>
      <c r="Q213" s="11" t="e">
        <f>VLOOKUP($H213, 'ADP Data'!$B$4:$Q$300, 5, FALSE)</f>
        <v>#N/A</v>
      </c>
      <c r="R213" s="11" t="e">
        <f>VLOOKUP($H213, 'ADP Data'!$B$4:$Q$300, 6, FALSE)</f>
        <v>#N/A</v>
      </c>
      <c r="S213" s="11" t="e">
        <f>VLOOKUP($H213, 'ADP Data'!$B$4:$Q$300, 7, FALSE)</f>
        <v>#N/A</v>
      </c>
      <c r="T213" s="11" t="e">
        <f>VLOOKUP($H213, 'ADP Data'!$B$4:$Q$300, 8, FALSE)</f>
        <v>#N/A</v>
      </c>
      <c r="U213" s="11" t="e">
        <f>VLOOKUP($H213, 'ADP Data'!$B$4:$Q$300, 9, FALSE)</f>
        <v>#N/A</v>
      </c>
      <c r="V213" s="11" t="e">
        <f t="shared" si="4"/>
        <v>#N/A</v>
      </c>
      <c r="W213" s="11" t="e">
        <f t="shared" si="5"/>
        <v>#N/A</v>
      </c>
      <c r="X213" s="11" t="e">
        <f>IF(VLOOKUP($H213, SeanRanks!$A$2:$H$303, 7, FALSE)=0, "", VLOOKUP($H213, SeanRanks!$A$2:$H$303, 7, FALSE))</f>
        <v>#N/A</v>
      </c>
    </row>
    <row r="214" spans="1:24" ht="14.25" customHeight="1" x14ac:dyDescent="0.25">
      <c r="A214" s="11"/>
      <c r="B214" s="11" t="e">
        <f t="shared" si="6"/>
        <v>#N/A</v>
      </c>
      <c r="C214" s="11" t="s">
        <v>148</v>
      </c>
      <c r="D214" s="11"/>
      <c r="E214" s="11"/>
      <c r="F214" s="11">
        <f t="shared" si="1"/>
        <v>0</v>
      </c>
      <c r="G214" s="11"/>
      <c r="H214" s="11" t="s">
        <v>929</v>
      </c>
      <c r="I214" s="11" t="e">
        <f>VLOOKUP($H214, 'ADP Data'!$B$4:$Q$300, 2, FALSE)</f>
        <v>#N/A</v>
      </c>
      <c r="J214" s="11" t="s">
        <v>773</v>
      </c>
      <c r="K214" s="11" t="e">
        <f>VLOOKUP($H214, SeanRanks!$A$2:$H$303, 5, FALSE)</f>
        <v>#N/A</v>
      </c>
      <c r="L214" s="11" t="e">
        <f>IF(VLOOKUP($H214, SeanRanks!$A$2:$H$303, 6, FALSE)=0, "", VLOOKUP($H214, SeanRanks!$A$2:$H$303, 6, FALSE))</f>
        <v>#N/A</v>
      </c>
      <c r="M214" s="11">
        <f t="shared" si="2"/>
        <v>16</v>
      </c>
      <c r="N214" s="11" t="e">
        <f>VLOOKUP($H214, 'ADP Data'!$B$4:$Q$300, 10, FALSE)</f>
        <v>#N/A</v>
      </c>
      <c r="O214" s="11" t="e">
        <f>VLOOKUP($H214, 'ADP Data'!$B$4:$Q$300, 4, FALSE)</f>
        <v>#N/A</v>
      </c>
      <c r="P214" s="11" t="e">
        <f t="shared" si="3"/>
        <v>#N/A</v>
      </c>
      <c r="Q214" s="11" t="e">
        <f>VLOOKUP($H214, 'ADP Data'!$B$4:$Q$300, 5, FALSE)</f>
        <v>#N/A</v>
      </c>
      <c r="R214" s="11" t="e">
        <f>VLOOKUP($H214, 'ADP Data'!$B$4:$Q$300, 6, FALSE)</f>
        <v>#N/A</v>
      </c>
      <c r="S214" s="11" t="e">
        <f>VLOOKUP($H214, 'ADP Data'!$B$4:$Q$300, 7, FALSE)</f>
        <v>#N/A</v>
      </c>
      <c r="T214" s="11" t="e">
        <f>VLOOKUP($H214, 'ADP Data'!$B$4:$Q$300, 8, FALSE)</f>
        <v>#N/A</v>
      </c>
      <c r="U214" s="11" t="e">
        <f>VLOOKUP($H214, 'ADP Data'!$B$4:$Q$300, 9, FALSE)</f>
        <v>#N/A</v>
      </c>
      <c r="V214" s="11" t="e">
        <f t="shared" si="4"/>
        <v>#N/A</v>
      </c>
      <c r="W214" s="11" t="e">
        <f t="shared" si="5"/>
        <v>#N/A</v>
      </c>
      <c r="X214" s="11" t="e">
        <f>IF(VLOOKUP($H214, SeanRanks!$A$2:$H$303, 7, FALSE)=0, "", VLOOKUP($H214, SeanRanks!$A$2:$H$303, 7, FALSE))</f>
        <v>#N/A</v>
      </c>
    </row>
    <row r="215" spans="1:24" ht="14.25" customHeight="1" x14ac:dyDescent="0.25">
      <c r="A215" s="11"/>
      <c r="B215" s="11" t="e">
        <f t="shared" si="6"/>
        <v>#N/A</v>
      </c>
      <c r="C215" s="11" t="s">
        <v>148</v>
      </c>
      <c r="D215" s="11"/>
      <c r="E215" s="11"/>
      <c r="F215" s="11">
        <f t="shared" si="1"/>
        <v>0</v>
      </c>
      <c r="G215" s="11"/>
      <c r="H215" s="11" t="s">
        <v>850</v>
      </c>
      <c r="I215" s="11" t="e">
        <f>VLOOKUP($H215, 'ADP Data'!$B$4:$Q$300, 2, FALSE)</f>
        <v>#N/A</v>
      </c>
      <c r="J215" s="11" t="s">
        <v>762</v>
      </c>
      <c r="K215" s="11" t="e">
        <f>VLOOKUP($H215, SeanRanks!$A$2:$H$303, 5, FALSE)</f>
        <v>#N/A</v>
      </c>
      <c r="L215" s="11" t="e">
        <f>IF(VLOOKUP($H215, SeanRanks!$A$2:$H$303, 6, FALSE)=0, "", VLOOKUP($H215, SeanRanks!$A$2:$H$303, 6, FALSE))</f>
        <v>#N/A</v>
      </c>
      <c r="M215" s="11">
        <f t="shared" si="2"/>
        <v>16</v>
      </c>
      <c r="N215" s="11" t="e">
        <f>VLOOKUP($H215, 'ADP Data'!$B$4:$Q$300, 10, FALSE)</f>
        <v>#N/A</v>
      </c>
      <c r="O215" s="11" t="e">
        <f>VLOOKUP($H215, 'ADP Data'!$B$4:$Q$300, 4, FALSE)</f>
        <v>#N/A</v>
      </c>
      <c r="P215" s="11" t="e">
        <f t="shared" si="3"/>
        <v>#N/A</v>
      </c>
      <c r="Q215" s="11" t="e">
        <f>VLOOKUP($H215, 'ADP Data'!$B$4:$Q$300, 5, FALSE)</f>
        <v>#N/A</v>
      </c>
      <c r="R215" s="11" t="e">
        <f>VLOOKUP($H215, 'ADP Data'!$B$4:$Q$300, 6, FALSE)</f>
        <v>#N/A</v>
      </c>
      <c r="S215" s="11" t="e">
        <f>VLOOKUP($H215, 'ADP Data'!$B$4:$Q$300, 7, FALSE)</f>
        <v>#N/A</v>
      </c>
      <c r="T215" s="11" t="e">
        <f>VLOOKUP($H215, 'ADP Data'!$B$4:$Q$300, 8, FALSE)</f>
        <v>#N/A</v>
      </c>
      <c r="U215" s="11" t="e">
        <f>VLOOKUP($H215, 'ADP Data'!$B$4:$Q$300, 9, FALSE)</f>
        <v>#N/A</v>
      </c>
      <c r="V215" s="11" t="e">
        <f t="shared" si="4"/>
        <v>#N/A</v>
      </c>
      <c r="W215" s="11" t="e">
        <f t="shared" si="5"/>
        <v>#N/A</v>
      </c>
      <c r="X215" s="11" t="e">
        <f>IF(VLOOKUP($H215, SeanRanks!$A$2:$H$303, 7, FALSE)=0, "", VLOOKUP($H215, SeanRanks!$A$2:$H$303, 7, FALSE))</f>
        <v>#N/A</v>
      </c>
    </row>
    <row r="216" spans="1:24" ht="14.25" customHeight="1" x14ac:dyDescent="0.25">
      <c r="A216" s="11"/>
      <c r="B216" s="11" t="e">
        <f t="shared" si="6"/>
        <v>#N/A</v>
      </c>
      <c r="C216" s="11" t="s">
        <v>148</v>
      </c>
      <c r="D216" s="11"/>
      <c r="E216" s="11"/>
      <c r="F216" s="11">
        <f t="shared" si="1"/>
        <v>0</v>
      </c>
      <c r="G216" s="11"/>
      <c r="H216" s="11" t="s">
        <v>558</v>
      </c>
      <c r="I216" s="11" t="e">
        <f>VLOOKUP($H216, 'ADP Data'!$B$4:$Q$300, 2, FALSE)</f>
        <v>#N/A</v>
      </c>
      <c r="J216" s="11" t="s">
        <v>762</v>
      </c>
      <c r="K216" s="11">
        <f>VLOOKUP($H216, SeanRanks!$A$2:$H$303, 5, FALSE)</f>
        <v>0</v>
      </c>
      <c r="L216" s="11" t="str">
        <f>IF(VLOOKUP($H216, SeanRanks!$A$2:$H$303, 6, FALSE)=0, "", VLOOKUP($H216, SeanRanks!$A$2:$H$303, 6, FALSE))</f>
        <v/>
      </c>
      <c r="M216" s="11">
        <f t="shared" si="2"/>
        <v>16</v>
      </c>
      <c r="N216" s="11" t="e">
        <f>VLOOKUP($H216, 'ADP Data'!$B$4:$Q$300, 10, FALSE)</f>
        <v>#N/A</v>
      </c>
      <c r="O216" s="11" t="e">
        <f>VLOOKUP($H216, 'ADP Data'!$B$4:$Q$300, 4, FALSE)</f>
        <v>#N/A</v>
      </c>
      <c r="P216" s="11" t="e">
        <f t="shared" si="3"/>
        <v>#N/A</v>
      </c>
      <c r="Q216" s="11" t="e">
        <f>VLOOKUP($H216, 'ADP Data'!$B$4:$Q$300, 5, FALSE)</f>
        <v>#N/A</v>
      </c>
      <c r="R216" s="11" t="e">
        <f>VLOOKUP($H216, 'ADP Data'!$B$4:$Q$300, 6, FALSE)</f>
        <v>#N/A</v>
      </c>
      <c r="S216" s="11" t="e">
        <f>VLOOKUP($H216, 'ADP Data'!$B$4:$Q$300, 7, FALSE)</f>
        <v>#N/A</v>
      </c>
      <c r="T216" s="11" t="e">
        <f>VLOOKUP($H216, 'ADP Data'!$B$4:$Q$300, 8, FALSE)</f>
        <v>#N/A</v>
      </c>
      <c r="U216" s="11" t="e">
        <f>VLOOKUP($H216, 'ADP Data'!$B$4:$Q$300, 9, FALSE)</f>
        <v>#N/A</v>
      </c>
      <c r="V216" s="11" t="e">
        <f t="shared" si="4"/>
        <v>#N/A</v>
      </c>
      <c r="W216" s="11" t="e">
        <f t="shared" si="5"/>
        <v>#N/A</v>
      </c>
      <c r="X216" s="11" t="str">
        <f>IF(VLOOKUP($H216, SeanRanks!$A$2:$H$303, 7, FALSE)=0, "", VLOOKUP($H216, SeanRanks!$A$2:$H$303, 7, FALSE))</f>
        <v/>
      </c>
    </row>
    <row r="217" spans="1:24" ht="14.25" customHeight="1" x14ac:dyDescent="0.25">
      <c r="A217" s="11"/>
      <c r="B217" s="11" t="e">
        <f t="shared" si="6"/>
        <v>#N/A</v>
      </c>
      <c r="C217" s="11" t="s">
        <v>148</v>
      </c>
      <c r="D217" s="11"/>
      <c r="E217" s="11"/>
      <c r="F217" s="11">
        <f t="shared" si="1"/>
        <v>0</v>
      </c>
      <c r="G217" s="11"/>
      <c r="H217" s="11" t="s">
        <v>1293</v>
      </c>
      <c r="I217" s="11" t="e">
        <f>VLOOKUP($H217, 'ADP Data'!$B$4:$Q$300, 2, FALSE)</f>
        <v>#N/A</v>
      </c>
      <c r="J217" s="11" t="s">
        <v>762</v>
      </c>
      <c r="K217" s="11" t="e">
        <f>VLOOKUP($H217, SeanRanks!$A$2:$H$303, 5, FALSE)</f>
        <v>#N/A</v>
      </c>
      <c r="L217" s="11" t="e">
        <f>IF(VLOOKUP($H217, SeanRanks!$A$2:$H$303, 6, FALSE)=0, "", VLOOKUP($H217, SeanRanks!$A$2:$H$303, 6, FALSE))</f>
        <v>#N/A</v>
      </c>
      <c r="M217" s="11">
        <f t="shared" si="2"/>
        <v>16</v>
      </c>
      <c r="N217" s="11" t="e">
        <f>VLOOKUP($H217, 'ADP Data'!$B$4:$Q$300, 10, FALSE)</f>
        <v>#N/A</v>
      </c>
      <c r="O217" s="11" t="e">
        <f>VLOOKUP($H217, 'ADP Data'!$B$4:$Q$300, 4, FALSE)</f>
        <v>#N/A</v>
      </c>
      <c r="P217" s="11" t="e">
        <f t="shared" si="3"/>
        <v>#N/A</v>
      </c>
      <c r="Q217" s="11" t="e">
        <f>VLOOKUP($H217, 'ADP Data'!$B$4:$Q$300, 5, FALSE)</f>
        <v>#N/A</v>
      </c>
      <c r="R217" s="11" t="e">
        <f>VLOOKUP($H217, 'ADP Data'!$B$4:$Q$300, 6, FALSE)</f>
        <v>#N/A</v>
      </c>
      <c r="S217" s="11" t="e">
        <f>VLOOKUP($H217, 'ADP Data'!$B$4:$Q$300, 7, FALSE)</f>
        <v>#N/A</v>
      </c>
      <c r="T217" s="11" t="e">
        <f>VLOOKUP($H217, 'ADP Data'!$B$4:$Q$300, 8, FALSE)</f>
        <v>#N/A</v>
      </c>
      <c r="U217" s="11" t="e">
        <f>VLOOKUP($H217, 'ADP Data'!$B$4:$Q$300, 9, FALSE)</f>
        <v>#N/A</v>
      </c>
      <c r="V217" s="11" t="e">
        <f t="shared" si="4"/>
        <v>#N/A</v>
      </c>
      <c r="W217" s="11" t="e">
        <f t="shared" si="5"/>
        <v>#N/A</v>
      </c>
      <c r="X217" s="11" t="e">
        <f>IF(VLOOKUP($H217, SeanRanks!$A$2:$H$303, 7, FALSE)=0, "", VLOOKUP($H217, SeanRanks!$A$2:$H$303, 7, FALSE))</f>
        <v>#N/A</v>
      </c>
    </row>
    <row r="218" spans="1:24" ht="14.25" customHeight="1" x14ac:dyDescent="0.25">
      <c r="A218" s="11"/>
      <c r="B218" s="11" t="e">
        <f t="shared" si="6"/>
        <v>#N/A</v>
      </c>
      <c r="C218" s="11" t="s">
        <v>148</v>
      </c>
      <c r="D218" s="11"/>
      <c r="E218" s="11"/>
      <c r="F218" s="11">
        <f t="shared" si="1"/>
        <v>0</v>
      </c>
      <c r="G218" s="11"/>
      <c r="H218" s="11" t="s">
        <v>122</v>
      </c>
      <c r="I218" s="11" t="e">
        <f>VLOOKUP($H218, 'ADP Data'!$B$4:$Q$300, 2, FALSE)</f>
        <v>#N/A</v>
      </c>
      <c r="J218" s="11" t="s">
        <v>769</v>
      </c>
      <c r="K218" s="11">
        <f>VLOOKUP($H218, SeanRanks!$A$2:$H$303, 5, FALSE)</f>
        <v>0</v>
      </c>
      <c r="L218" s="11" t="str">
        <f>IF(VLOOKUP($H218, SeanRanks!$A$2:$H$303, 6, FALSE)=0, "", VLOOKUP($H218, SeanRanks!$A$2:$H$303, 6, FALSE))</f>
        <v>TE1 - 1 - Elite</v>
      </c>
      <c r="M218" s="11">
        <f t="shared" si="2"/>
        <v>16</v>
      </c>
      <c r="N218" s="11" t="e">
        <f>VLOOKUP($H218, 'ADP Data'!$B$4:$Q$300, 10, FALSE)</f>
        <v>#N/A</v>
      </c>
      <c r="O218" s="11" t="e">
        <f>VLOOKUP($H218, 'ADP Data'!$B$4:$Q$300, 4, FALSE)</f>
        <v>#N/A</v>
      </c>
      <c r="P218" s="11" t="e">
        <f t="shared" si="3"/>
        <v>#N/A</v>
      </c>
      <c r="Q218" s="11" t="e">
        <f>VLOOKUP($H218, 'ADP Data'!$B$4:$Q$300, 5, FALSE)</f>
        <v>#N/A</v>
      </c>
      <c r="R218" s="11" t="e">
        <f>VLOOKUP($H218, 'ADP Data'!$B$4:$Q$300, 6, FALSE)</f>
        <v>#N/A</v>
      </c>
      <c r="S218" s="11" t="e">
        <f>VLOOKUP($H218, 'ADP Data'!$B$4:$Q$300, 7, FALSE)</f>
        <v>#N/A</v>
      </c>
      <c r="T218" s="11" t="e">
        <f>VLOOKUP($H218, 'ADP Data'!$B$4:$Q$300, 8, FALSE)</f>
        <v>#N/A</v>
      </c>
      <c r="U218" s="11" t="e">
        <f>VLOOKUP($H218, 'ADP Data'!$B$4:$Q$300, 9, FALSE)</f>
        <v>#N/A</v>
      </c>
      <c r="V218" s="11" t="e">
        <f t="shared" si="4"/>
        <v>#N/A</v>
      </c>
      <c r="W218" s="11" t="e">
        <f t="shared" si="5"/>
        <v>#N/A</v>
      </c>
      <c r="X218" s="11">
        <f>IF(VLOOKUP($H218, SeanRanks!$A$2:$H$303, 7, FALSE)=0, "", VLOOKUP($H218, SeanRanks!$A$2:$H$303, 7, FALSE))</f>
        <v>2</v>
      </c>
    </row>
    <row r="219" spans="1:24" ht="14.25" customHeight="1" x14ac:dyDescent="0.25">
      <c r="A219" s="11"/>
      <c r="B219" s="11" t="e">
        <f t="shared" si="6"/>
        <v>#N/A</v>
      </c>
      <c r="C219" s="11" t="s">
        <v>148</v>
      </c>
      <c r="D219" s="11"/>
      <c r="E219" s="11"/>
      <c r="F219" s="11">
        <f t="shared" si="1"/>
        <v>0</v>
      </c>
      <c r="G219" s="11"/>
      <c r="H219" s="11" t="s">
        <v>1230</v>
      </c>
      <c r="I219" s="11" t="e">
        <f>VLOOKUP($H219, 'ADP Data'!$B$4:$Q$300, 2, FALSE)</f>
        <v>#N/A</v>
      </c>
      <c r="J219" s="11" t="s">
        <v>769</v>
      </c>
      <c r="K219" s="11" t="e">
        <f>VLOOKUP($H219, SeanRanks!$A$2:$H$303, 5, FALSE)</f>
        <v>#N/A</v>
      </c>
      <c r="L219" s="11" t="e">
        <f>IF(VLOOKUP($H219, SeanRanks!$A$2:$H$303, 6, FALSE)=0, "", VLOOKUP($H219, SeanRanks!$A$2:$H$303, 6, FALSE))</f>
        <v>#N/A</v>
      </c>
      <c r="M219" s="11">
        <f t="shared" si="2"/>
        <v>16</v>
      </c>
      <c r="N219" s="11" t="e">
        <f>VLOOKUP($H219, 'ADP Data'!$B$4:$Q$300, 10, FALSE)</f>
        <v>#N/A</v>
      </c>
      <c r="O219" s="11" t="e">
        <f>VLOOKUP($H219, 'ADP Data'!$B$4:$Q$300, 4, FALSE)</f>
        <v>#N/A</v>
      </c>
      <c r="P219" s="11" t="e">
        <f t="shared" si="3"/>
        <v>#N/A</v>
      </c>
      <c r="Q219" s="11" t="e">
        <f>VLOOKUP($H219, 'ADP Data'!$B$4:$Q$300, 5, FALSE)</f>
        <v>#N/A</v>
      </c>
      <c r="R219" s="11" t="e">
        <f>VLOOKUP($H219, 'ADP Data'!$B$4:$Q$300, 6, FALSE)</f>
        <v>#N/A</v>
      </c>
      <c r="S219" s="11" t="e">
        <f>VLOOKUP($H219, 'ADP Data'!$B$4:$Q$300, 7, FALSE)</f>
        <v>#N/A</v>
      </c>
      <c r="T219" s="11" t="e">
        <f>VLOOKUP($H219, 'ADP Data'!$B$4:$Q$300, 8, FALSE)</f>
        <v>#N/A</v>
      </c>
      <c r="U219" s="11" t="e">
        <f>VLOOKUP($H219, 'ADP Data'!$B$4:$Q$300, 9, FALSE)</f>
        <v>#N/A</v>
      </c>
      <c r="V219" s="11" t="e">
        <f t="shared" si="4"/>
        <v>#N/A</v>
      </c>
      <c r="W219" s="11" t="e">
        <f t="shared" si="5"/>
        <v>#N/A</v>
      </c>
      <c r="X219" s="11" t="e">
        <f>IF(VLOOKUP($H219, SeanRanks!$A$2:$H$303, 7, FALSE)=0, "", VLOOKUP($H219, SeanRanks!$A$2:$H$303, 7, FALSE))</f>
        <v>#N/A</v>
      </c>
    </row>
    <row r="220" spans="1:24" ht="14.25" customHeight="1" x14ac:dyDescent="0.25">
      <c r="A220" s="11"/>
      <c r="B220" s="11" t="e">
        <f t="shared" si="6"/>
        <v>#N/A</v>
      </c>
      <c r="C220" s="11" t="s">
        <v>148</v>
      </c>
      <c r="D220" s="11"/>
      <c r="E220" s="11"/>
      <c r="F220" s="11">
        <f t="shared" si="1"/>
        <v>0</v>
      </c>
      <c r="G220" s="11"/>
      <c r="H220" s="11" t="s">
        <v>931</v>
      </c>
      <c r="I220" s="11" t="e">
        <f>VLOOKUP($H220, 'ADP Data'!$B$4:$Q$300, 2, FALSE)</f>
        <v>#N/A</v>
      </c>
      <c r="J220" s="11" t="s">
        <v>773</v>
      </c>
      <c r="K220" s="11" t="e">
        <f>VLOOKUP($H220, SeanRanks!$A$2:$H$303, 5, FALSE)</f>
        <v>#N/A</v>
      </c>
      <c r="L220" s="11" t="e">
        <f>IF(VLOOKUP($H220, SeanRanks!$A$2:$H$303, 6, FALSE)=0, "", VLOOKUP($H220, SeanRanks!$A$2:$H$303, 6, FALSE))</f>
        <v>#N/A</v>
      </c>
      <c r="M220" s="11">
        <f t="shared" si="2"/>
        <v>16</v>
      </c>
      <c r="N220" s="11" t="e">
        <f>VLOOKUP($H220, 'ADP Data'!$B$4:$Q$300, 10, FALSE)</f>
        <v>#N/A</v>
      </c>
      <c r="O220" s="11" t="e">
        <f>VLOOKUP($H220, 'ADP Data'!$B$4:$Q$300, 4, FALSE)</f>
        <v>#N/A</v>
      </c>
      <c r="P220" s="11" t="e">
        <f t="shared" si="3"/>
        <v>#N/A</v>
      </c>
      <c r="Q220" s="11" t="e">
        <f>VLOOKUP($H220, 'ADP Data'!$B$4:$Q$300, 5, FALSE)</f>
        <v>#N/A</v>
      </c>
      <c r="R220" s="11" t="e">
        <f>VLOOKUP($H220, 'ADP Data'!$B$4:$Q$300, 6, FALSE)</f>
        <v>#N/A</v>
      </c>
      <c r="S220" s="11" t="e">
        <f>VLOOKUP($H220, 'ADP Data'!$B$4:$Q$300, 7, FALSE)</f>
        <v>#N/A</v>
      </c>
      <c r="T220" s="11" t="e">
        <f>VLOOKUP($H220, 'ADP Data'!$B$4:$Q$300, 8, FALSE)</f>
        <v>#N/A</v>
      </c>
      <c r="U220" s="11" t="e">
        <f>VLOOKUP($H220, 'ADP Data'!$B$4:$Q$300, 9, FALSE)</f>
        <v>#N/A</v>
      </c>
      <c r="V220" s="11" t="e">
        <f t="shared" si="4"/>
        <v>#N/A</v>
      </c>
      <c r="W220" s="11" t="e">
        <f t="shared" si="5"/>
        <v>#N/A</v>
      </c>
      <c r="X220" s="11" t="e">
        <f>IF(VLOOKUP($H220, SeanRanks!$A$2:$H$303, 7, FALSE)=0, "", VLOOKUP($H220, SeanRanks!$A$2:$H$303, 7, FALSE))</f>
        <v>#N/A</v>
      </c>
    </row>
    <row r="221" spans="1:24" ht="14.25" customHeight="1" x14ac:dyDescent="0.25">
      <c r="A221" s="11"/>
      <c r="B221" s="11" t="e">
        <f t="shared" si="6"/>
        <v>#N/A</v>
      </c>
      <c r="C221" s="11" t="s">
        <v>148</v>
      </c>
      <c r="D221" s="11"/>
      <c r="E221" s="11"/>
      <c r="F221" s="11">
        <f t="shared" si="1"/>
        <v>0</v>
      </c>
      <c r="G221" s="11"/>
      <c r="H221" s="11" t="s">
        <v>636</v>
      </c>
      <c r="I221" s="58" t="e">
        <f>VLOOKUP($H221, 'ADP Data'!$B$4:$Q$300, 2, FALSE)</f>
        <v>#N/A</v>
      </c>
      <c r="J221" s="11" t="s">
        <v>772</v>
      </c>
      <c r="K221" s="11">
        <f>VLOOKUP($H221, SeanRanks!$A$2:$H$303, 5, FALSE)</f>
        <v>0</v>
      </c>
      <c r="L221" s="11" t="str">
        <f>IF(VLOOKUP($H221, SeanRanks!$A$2:$H$303, 6, FALSE)=0, "", VLOOKUP($H221, SeanRanks!$A$2:$H$303, 6, FALSE))</f>
        <v/>
      </c>
      <c r="M221" s="11">
        <f t="shared" si="2"/>
        <v>16</v>
      </c>
      <c r="N221" s="11" t="e">
        <f>VLOOKUP($H221, 'ADP Data'!$B$4:$Q$300, 10, FALSE)</f>
        <v>#N/A</v>
      </c>
      <c r="O221" s="11" t="e">
        <f>VLOOKUP($H221, 'ADP Data'!$B$4:$Q$300, 4, FALSE)</f>
        <v>#N/A</v>
      </c>
      <c r="P221" s="11" t="e">
        <f t="shared" si="3"/>
        <v>#N/A</v>
      </c>
      <c r="Q221" s="11" t="e">
        <f>VLOOKUP($H221, 'ADP Data'!$B$4:$Q$300, 5, FALSE)</f>
        <v>#N/A</v>
      </c>
      <c r="R221" s="11" t="e">
        <f>VLOOKUP($H221, 'ADP Data'!$B$4:$Q$300, 6, FALSE)</f>
        <v>#N/A</v>
      </c>
      <c r="S221" s="11" t="e">
        <f>VLOOKUP($H221, 'ADP Data'!$B$4:$Q$300, 7, FALSE)</f>
        <v>#N/A</v>
      </c>
      <c r="T221" s="11" t="e">
        <f>VLOOKUP($H221, 'ADP Data'!$B$4:$Q$300, 8, FALSE)</f>
        <v>#N/A</v>
      </c>
      <c r="U221" s="11" t="e">
        <f>VLOOKUP($H221, 'ADP Data'!$B$4:$Q$300, 9, FALSE)</f>
        <v>#N/A</v>
      </c>
      <c r="V221" s="11" t="e">
        <f t="shared" si="4"/>
        <v>#N/A</v>
      </c>
      <c r="W221" s="11" t="e">
        <f t="shared" si="5"/>
        <v>#N/A</v>
      </c>
      <c r="X221" s="11" t="str">
        <f>IF(VLOOKUP($H221, SeanRanks!$A$2:$H$303, 7, FALSE)=0, "", VLOOKUP($H221, SeanRanks!$A$2:$H$303, 7, FALSE))</f>
        <v/>
      </c>
    </row>
    <row r="222" spans="1:24" ht="14.25" customHeight="1" x14ac:dyDescent="0.25">
      <c r="A222" s="11"/>
      <c r="B222" s="11" t="e">
        <f t="shared" si="6"/>
        <v>#N/A</v>
      </c>
      <c r="C222" s="11" t="s">
        <v>148</v>
      </c>
      <c r="D222" s="11"/>
      <c r="E222" s="11"/>
      <c r="F222" s="11">
        <f t="shared" si="1"/>
        <v>0</v>
      </c>
      <c r="G222" s="11"/>
      <c r="H222" s="11" t="s">
        <v>598</v>
      </c>
      <c r="I222" s="11" t="e">
        <f>VLOOKUP($H222, 'ADP Data'!$B$4:$Q$300, 2, FALSE)</f>
        <v>#N/A</v>
      </c>
      <c r="J222" s="11" t="s">
        <v>772</v>
      </c>
      <c r="K222" s="11">
        <f>VLOOKUP($H222, SeanRanks!$A$2:$H$303, 5, FALSE)</f>
        <v>0</v>
      </c>
      <c r="L222" s="11" t="str">
        <f>IF(VLOOKUP($H222, SeanRanks!$A$2:$H$303, 6, FALSE)=0, "", VLOOKUP($H222, SeanRanks!$A$2:$H$303, 6, FALSE))</f>
        <v/>
      </c>
      <c r="M222" s="11">
        <f t="shared" si="2"/>
        <v>16</v>
      </c>
      <c r="N222" s="11" t="e">
        <f>VLOOKUP($H222, 'ADP Data'!$B$4:$Q$300, 10, FALSE)</f>
        <v>#N/A</v>
      </c>
      <c r="O222" s="11" t="e">
        <f>VLOOKUP($H222, 'ADP Data'!$B$4:$Q$300, 4, FALSE)</f>
        <v>#N/A</v>
      </c>
      <c r="P222" s="11" t="e">
        <f t="shared" si="3"/>
        <v>#N/A</v>
      </c>
      <c r="Q222" s="11" t="e">
        <f>VLOOKUP($H222, 'ADP Data'!$B$4:$Q$300, 5, FALSE)</f>
        <v>#N/A</v>
      </c>
      <c r="R222" s="11" t="e">
        <f>VLOOKUP($H222, 'ADP Data'!$B$4:$Q$300, 6, FALSE)</f>
        <v>#N/A</v>
      </c>
      <c r="S222" s="11" t="e">
        <f>VLOOKUP($H222, 'ADP Data'!$B$4:$Q$300, 7, FALSE)</f>
        <v>#N/A</v>
      </c>
      <c r="T222" s="11" t="e">
        <f>VLOOKUP($H222, 'ADP Data'!$B$4:$Q$300, 8, FALSE)</f>
        <v>#N/A</v>
      </c>
      <c r="U222" s="11" t="e">
        <f>VLOOKUP($H222, 'ADP Data'!$B$4:$Q$300, 9, FALSE)</f>
        <v>#N/A</v>
      </c>
      <c r="V222" s="11" t="e">
        <f t="shared" si="4"/>
        <v>#N/A</v>
      </c>
      <c r="W222" s="11" t="e">
        <f t="shared" si="5"/>
        <v>#N/A</v>
      </c>
      <c r="X222" s="11" t="str">
        <f>IF(VLOOKUP($H222, SeanRanks!$A$2:$H$303, 7, FALSE)=0, "", VLOOKUP($H222, SeanRanks!$A$2:$H$303, 7, FALSE))</f>
        <v/>
      </c>
    </row>
    <row r="223" spans="1:24" ht="14.25" customHeight="1" x14ac:dyDescent="0.25">
      <c r="A223" s="11"/>
      <c r="B223" s="11" t="e">
        <f t="shared" si="6"/>
        <v>#N/A</v>
      </c>
      <c r="C223" s="11" t="s">
        <v>148</v>
      </c>
      <c r="D223" s="11"/>
      <c r="E223" s="11"/>
      <c r="F223" s="11">
        <f t="shared" si="1"/>
        <v>0</v>
      </c>
      <c r="G223" s="11"/>
      <c r="H223" s="11" t="s">
        <v>411</v>
      </c>
      <c r="I223" s="11" t="e">
        <f>VLOOKUP($H223, 'ADP Data'!$B$4:$Q$300, 2, FALSE)</f>
        <v>#N/A</v>
      </c>
      <c r="J223" s="11" t="s">
        <v>760</v>
      </c>
      <c r="K223" s="11">
        <f>VLOOKUP($H223, SeanRanks!$A$2:$H$303, 5, FALSE)</f>
        <v>0</v>
      </c>
      <c r="L223" s="11" t="str">
        <f>IF(VLOOKUP($H223, SeanRanks!$A$2:$H$303, 6, FALSE)=0, "", VLOOKUP($H223, SeanRanks!$A$2:$H$303, 6, FALSE))</f>
        <v>QB2 - 2 - Not League Winner</v>
      </c>
      <c r="M223" s="11">
        <f t="shared" si="2"/>
        <v>16</v>
      </c>
      <c r="N223" s="11" t="e">
        <f>VLOOKUP($H223, 'ADP Data'!$B$4:$Q$300, 10, FALSE)</f>
        <v>#N/A</v>
      </c>
      <c r="O223" s="11" t="e">
        <f>VLOOKUP($H223, 'ADP Data'!$B$4:$Q$300, 4, FALSE)</f>
        <v>#N/A</v>
      </c>
      <c r="P223" s="11" t="e">
        <f t="shared" si="3"/>
        <v>#N/A</v>
      </c>
      <c r="Q223" s="11" t="e">
        <f>VLOOKUP($H223, 'ADP Data'!$B$4:$Q$300, 5, FALSE)</f>
        <v>#N/A</v>
      </c>
      <c r="R223" s="11" t="e">
        <f>VLOOKUP($H223, 'ADP Data'!$B$4:$Q$300, 6, FALSE)</f>
        <v>#N/A</v>
      </c>
      <c r="S223" s="11" t="e">
        <f>VLOOKUP($H223, 'ADP Data'!$B$4:$Q$300, 7, FALSE)</f>
        <v>#N/A</v>
      </c>
      <c r="T223" s="11" t="e">
        <f>VLOOKUP($H223, 'ADP Data'!$B$4:$Q$300, 8, FALSE)</f>
        <v>#N/A</v>
      </c>
      <c r="U223" s="11" t="e">
        <f>VLOOKUP($H223, 'ADP Data'!$B$4:$Q$300, 9, FALSE)</f>
        <v>#N/A</v>
      </c>
      <c r="V223" s="11" t="e">
        <f t="shared" si="4"/>
        <v>#N/A</v>
      </c>
      <c r="W223" s="11" t="e">
        <f t="shared" si="5"/>
        <v>#N/A</v>
      </c>
      <c r="X223" s="11">
        <f>IF(VLOOKUP($H223, SeanRanks!$A$2:$H$303, 7, FALSE)=0, "", VLOOKUP($H223, SeanRanks!$A$2:$H$303, 7, FALSE))</f>
        <v>18</v>
      </c>
    </row>
    <row r="224" spans="1:24" ht="14.25" customHeight="1" x14ac:dyDescent="0.25">
      <c r="A224" s="11"/>
      <c r="B224" s="11" t="e">
        <f t="shared" si="6"/>
        <v>#N/A</v>
      </c>
      <c r="C224" s="11" t="s">
        <v>148</v>
      </c>
      <c r="D224" s="11"/>
      <c r="E224" s="11"/>
      <c r="F224" s="11">
        <f t="shared" si="1"/>
        <v>0</v>
      </c>
      <c r="G224" s="11"/>
      <c r="H224" s="11" t="s">
        <v>988</v>
      </c>
      <c r="I224" s="11" t="e">
        <f>VLOOKUP($H224, 'ADP Data'!$B$4:$Q$300, 2, FALSE)</f>
        <v>#N/A</v>
      </c>
      <c r="J224" s="11" t="s">
        <v>769</v>
      </c>
      <c r="K224" s="11" t="e">
        <f>VLOOKUP($H224, SeanRanks!$A$2:$H$303, 5, FALSE)</f>
        <v>#N/A</v>
      </c>
      <c r="L224" s="11" t="e">
        <f>IF(VLOOKUP($H224, SeanRanks!$A$2:$H$303, 6, FALSE)=0, "", VLOOKUP($H224, SeanRanks!$A$2:$H$303, 6, FALSE))</f>
        <v>#N/A</v>
      </c>
      <c r="M224" s="11">
        <f t="shared" si="2"/>
        <v>16</v>
      </c>
      <c r="N224" s="11" t="e">
        <f>VLOOKUP($H224, 'ADP Data'!$B$4:$Q$300, 10, FALSE)</f>
        <v>#N/A</v>
      </c>
      <c r="O224" s="11" t="e">
        <f>VLOOKUP($H224, 'ADP Data'!$B$4:$Q$300, 4, FALSE)</f>
        <v>#N/A</v>
      </c>
      <c r="P224" s="11" t="e">
        <f t="shared" si="3"/>
        <v>#N/A</v>
      </c>
      <c r="Q224" s="11" t="e">
        <f>VLOOKUP($H224, 'ADP Data'!$B$4:$Q$300, 5, FALSE)</f>
        <v>#N/A</v>
      </c>
      <c r="R224" s="11" t="e">
        <f>VLOOKUP($H224, 'ADP Data'!$B$4:$Q$300, 6, FALSE)</f>
        <v>#N/A</v>
      </c>
      <c r="S224" s="11" t="e">
        <f>VLOOKUP($H224, 'ADP Data'!$B$4:$Q$300, 7, FALSE)</f>
        <v>#N/A</v>
      </c>
      <c r="T224" s="11" t="e">
        <f>VLOOKUP($H224, 'ADP Data'!$B$4:$Q$300, 8, FALSE)</f>
        <v>#N/A</v>
      </c>
      <c r="U224" s="11" t="e">
        <f>VLOOKUP($H224, 'ADP Data'!$B$4:$Q$300, 9, FALSE)</f>
        <v>#N/A</v>
      </c>
      <c r="V224" s="11" t="e">
        <f t="shared" si="4"/>
        <v>#N/A</v>
      </c>
      <c r="W224" s="11" t="e">
        <f t="shared" si="5"/>
        <v>#N/A</v>
      </c>
      <c r="X224" s="11" t="e">
        <f>IF(VLOOKUP($H224, SeanRanks!$A$2:$H$303, 7, FALSE)=0, "", VLOOKUP($H224, SeanRanks!$A$2:$H$303, 7, FALSE))</f>
        <v>#N/A</v>
      </c>
    </row>
    <row r="225" spans="1:24" ht="14.25" customHeight="1" x14ac:dyDescent="0.25">
      <c r="A225" s="11"/>
      <c r="B225" s="11" t="e">
        <f t="shared" si="6"/>
        <v>#N/A</v>
      </c>
      <c r="C225" s="11" t="s">
        <v>148</v>
      </c>
      <c r="D225" s="11"/>
      <c r="E225" s="11"/>
      <c r="F225" s="11">
        <f t="shared" si="1"/>
        <v>0</v>
      </c>
      <c r="G225" s="11"/>
      <c r="H225" s="11" t="s">
        <v>625</v>
      </c>
      <c r="I225" s="11" t="e">
        <f>VLOOKUP($H225, 'ADP Data'!$B$4:$Q$300, 2, FALSE)</f>
        <v>#N/A</v>
      </c>
      <c r="J225" s="11" t="s">
        <v>769</v>
      </c>
      <c r="K225" s="11">
        <f>VLOOKUP($H225, SeanRanks!$A$2:$H$303, 5, FALSE)</f>
        <v>0</v>
      </c>
      <c r="L225" s="11" t="str">
        <f>IF(VLOOKUP($H225, SeanRanks!$A$2:$H$303, 6, FALSE)=0, "", VLOOKUP($H225, SeanRanks!$A$2:$H$303, 6, FALSE))</f>
        <v/>
      </c>
      <c r="M225" s="11">
        <f t="shared" si="2"/>
        <v>16</v>
      </c>
      <c r="N225" s="11" t="e">
        <f>VLOOKUP($H225, 'ADP Data'!$B$4:$Q$300, 10, FALSE)</f>
        <v>#N/A</v>
      </c>
      <c r="O225" s="11" t="e">
        <f>VLOOKUP($H225, 'ADP Data'!$B$4:$Q$300, 4, FALSE)</f>
        <v>#N/A</v>
      </c>
      <c r="P225" s="11" t="e">
        <f t="shared" si="3"/>
        <v>#N/A</v>
      </c>
      <c r="Q225" s="11" t="e">
        <f>VLOOKUP($H225, 'ADP Data'!$B$4:$Q$300, 5, FALSE)</f>
        <v>#N/A</v>
      </c>
      <c r="R225" s="11" t="e">
        <f>VLOOKUP($H225, 'ADP Data'!$B$4:$Q$300, 6, FALSE)</f>
        <v>#N/A</v>
      </c>
      <c r="S225" s="11" t="e">
        <f>VLOOKUP($H225, 'ADP Data'!$B$4:$Q$300, 7, FALSE)</f>
        <v>#N/A</v>
      </c>
      <c r="T225" s="11" t="e">
        <f>VLOOKUP($H225, 'ADP Data'!$B$4:$Q$300, 8, FALSE)</f>
        <v>#N/A</v>
      </c>
      <c r="U225" s="11" t="e">
        <f>VLOOKUP($H225, 'ADP Data'!$B$4:$Q$300, 9, FALSE)</f>
        <v>#N/A</v>
      </c>
      <c r="V225" s="11" t="e">
        <f t="shared" si="4"/>
        <v>#N/A</v>
      </c>
      <c r="W225" s="11" t="e">
        <f t="shared" si="5"/>
        <v>#N/A</v>
      </c>
      <c r="X225" s="11" t="str">
        <f>IF(VLOOKUP($H225, SeanRanks!$A$2:$H$303, 7, FALSE)=0, "", VLOOKUP($H225, SeanRanks!$A$2:$H$303, 7, FALSE))</f>
        <v/>
      </c>
    </row>
    <row r="226" spans="1:24" ht="14.25" customHeight="1" x14ac:dyDescent="0.25">
      <c r="A226" s="11"/>
      <c r="B226" s="11" t="e">
        <f t="shared" si="6"/>
        <v>#N/A</v>
      </c>
      <c r="C226" s="11" t="s">
        <v>148</v>
      </c>
      <c r="D226" s="11"/>
      <c r="E226" s="11"/>
      <c r="F226" s="11">
        <f t="shared" si="1"/>
        <v>0</v>
      </c>
      <c r="G226" s="11"/>
      <c r="H226" s="11" t="s">
        <v>932</v>
      </c>
      <c r="I226" s="11" t="e">
        <f>VLOOKUP($H226, 'ADP Data'!$B$4:$Q$300, 2, FALSE)</f>
        <v>#N/A</v>
      </c>
      <c r="J226" s="11" t="s">
        <v>769</v>
      </c>
      <c r="K226" s="11">
        <f>VLOOKUP($H226, SeanRanks!$A$2:$H$303, 5, FALSE)</f>
        <v>0</v>
      </c>
      <c r="L226" s="11" t="str">
        <f>IF(VLOOKUP($H226, SeanRanks!$A$2:$H$303, 6, FALSE)=0, "", VLOOKUP($H226, SeanRanks!$A$2:$H$303, 6, FALSE))</f>
        <v/>
      </c>
      <c r="M226" s="11">
        <f t="shared" si="2"/>
        <v>16</v>
      </c>
      <c r="N226" s="11" t="e">
        <f>VLOOKUP($H226, 'ADP Data'!$B$4:$Q$300, 10, FALSE)</f>
        <v>#N/A</v>
      </c>
      <c r="O226" s="11" t="e">
        <f>VLOOKUP($H226, 'ADP Data'!$B$4:$Q$300, 4, FALSE)</f>
        <v>#N/A</v>
      </c>
      <c r="P226" s="11" t="e">
        <f t="shared" si="3"/>
        <v>#N/A</v>
      </c>
      <c r="Q226" s="11" t="e">
        <f>VLOOKUP($H226, 'ADP Data'!$B$4:$Q$300, 5, FALSE)</f>
        <v>#N/A</v>
      </c>
      <c r="R226" s="11" t="e">
        <f>VLOOKUP($H226, 'ADP Data'!$B$4:$Q$300, 6, FALSE)</f>
        <v>#N/A</v>
      </c>
      <c r="S226" s="11" t="e">
        <f>VLOOKUP($H226, 'ADP Data'!$B$4:$Q$300, 7, FALSE)</f>
        <v>#N/A</v>
      </c>
      <c r="T226" s="11" t="e">
        <f>VLOOKUP($H226, 'ADP Data'!$B$4:$Q$300, 8, FALSE)</f>
        <v>#N/A</v>
      </c>
      <c r="U226" s="11" t="e">
        <f>VLOOKUP($H226, 'ADP Data'!$B$4:$Q$300, 9, FALSE)</f>
        <v>#N/A</v>
      </c>
      <c r="V226" s="11" t="e">
        <f t="shared" si="4"/>
        <v>#N/A</v>
      </c>
      <c r="W226" s="11" t="e">
        <f t="shared" si="5"/>
        <v>#N/A</v>
      </c>
      <c r="X226" s="11" t="str">
        <f>IF(VLOOKUP($H226, SeanRanks!$A$2:$H$303, 7, FALSE)=0, "", VLOOKUP($H226, SeanRanks!$A$2:$H$303, 7, FALSE))</f>
        <v/>
      </c>
    </row>
    <row r="227" spans="1:24" ht="14.25" customHeight="1" x14ac:dyDescent="0.25">
      <c r="A227" s="11"/>
      <c r="B227" s="11" t="e">
        <f t="shared" si="6"/>
        <v>#N/A</v>
      </c>
      <c r="C227" s="11" t="s">
        <v>148</v>
      </c>
      <c r="D227" s="11"/>
      <c r="E227" s="11"/>
      <c r="F227" s="11">
        <f t="shared" si="1"/>
        <v>0</v>
      </c>
      <c r="G227" s="11"/>
      <c r="H227" s="11" t="s">
        <v>1132</v>
      </c>
      <c r="I227" s="11" t="e">
        <f>VLOOKUP($H227, 'ADP Data'!$B$4:$Q$300, 2, FALSE)</f>
        <v>#N/A</v>
      </c>
      <c r="J227" s="11" t="s">
        <v>762</v>
      </c>
      <c r="K227" s="11" t="e">
        <f>VLOOKUP($H227, SeanRanks!$A$2:$H$303, 5, FALSE)</f>
        <v>#N/A</v>
      </c>
      <c r="L227" s="11" t="e">
        <f>IF(VLOOKUP($H227, SeanRanks!$A$2:$H$303, 6, FALSE)=0, "", VLOOKUP($H227, SeanRanks!$A$2:$H$303, 6, FALSE))</f>
        <v>#N/A</v>
      </c>
      <c r="M227" s="11">
        <f t="shared" si="2"/>
        <v>16</v>
      </c>
      <c r="N227" s="11" t="e">
        <f>VLOOKUP($H227, 'ADP Data'!$B$4:$Q$300, 10, FALSE)</f>
        <v>#N/A</v>
      </c>
      <c r="O227" s="11" t="e">
        <f>VLOOKUP($H227, 'ADP Data'!$B$4:$Q$300, 4, FALSE)</f>
        <v>#N/A</v>
      </c>
      <c r="P227" s="11" t="e">
        <f t="shared" si="3"/>
        <v>#N/A</v>
      </c>
      <c r="Q227" s="11" t="e">
        <f>VLOOKUP($H227, 'ADP Data'!$B$4:$Q$300, 5, FALSE)</f>
        <v>#N/A</v>
      </c>
      <c r="R227" s="11" t="e">
        <f>VLOOKUP($H227, 'ADP Data'!$B$4:$Q$300, 6, FALSE)</f>
        <v>#N/A</v>
      </c>
      <c r="S227" s="11" t="e">
        <f>VLOOKUP($H227, 'ADP Data'!$B$4:$Q$300, 7, FALSE)</f>
        <v>#N/A</v>
      </c>
      <c r="T227" s="11" t="e">
        <f>VLOOKUP($H227, 'ADP Data'!$B$4:$Q$300, 8, FALSE)</f>
        <v>#N/A</v>
      </c>
      <c r="U227" s="11" t="e">
        <f>VLOOKUP($H227, 'ADP Data'!$B$4:$Q$300, 9, FALSE)</f>
        <v>#N/A</v>
      </c>
      <c r="V227" s="11" t="e">
        <f t="shared" si="4"/>
        <v>#N/A</v>
      </c>
      <c r="W227" s="11" t="e">
        <f t="shared" si="5"/>
        <v>#N/A</v>
      </c>
      <c r="X227" s="11" t="e">
        <f>IF(VLOOKUP($H227, SeanRanks!$A$2:$H$303, 7, FALSE)=0, "", VLOOKUP($H227, SeanRanks!$A$2:$H$303, 7, FALSE))</f>
        <v>#N/A</v>
      </c>
    </row>
    <row r="228" spans="1:24" ht="14.25" customHeight="1" x14ac:dyDescent="0.25">
      <c r="A228" s="11"/>
      <c r="B228" s="11" t="e">
        <f t="shared" si="6"/>
        <v>#N/A</v>
      </c>
      <c r="C228" s="11" t="s">
        <v>148</v>
      </c>
      <c r="D228" s="11"/>
      <c r="E228" s="11"/>
      <c r="F228" s="11">
        <f t="shared" si="1"/>
        <v>0</v>
      </c>
      <c r="G228" s="11"/>
      <c r="H228" s="11" t="s">
        <v>1177</v>
      </c>
      <c r="I228" s="11" t="e">
        <f>VLOOKUP($H228, 'ADP Data'!$B$4:$Q$300, 2, FALSE)</f>
        <v>#N/A</v>
      </c>
      <c r="J228" s="11" t="s">
        <v>764</v>
      </c>
      <c r="K228" s="11" t="e">
        <f>VLOOKUP($H228, SeanRanks!$A$2:$H$303, 5, FALSE)</f>
        <v>#N/A</v>
      </c>
      <c r="L228" s="11" t="e">
        <f>IF(VLOOKUP($H228, SeanRanks!$A$2:$H$303, 6, FALSE)=0, "", VLOOKUP($H228, SeanRanks!$A$2:$H$303, 6, FALSE))</f>
        <v>#N/A</v>
      </c>
      <c r="M228" s="11">
        <f t="shared" si="2"/>
        <v>16</v>
      </c>
      <c r="N228" s="11" t="e">
        <f>VLOOKUP($H228, 'ADP Data'!$B$4:$Q$300, 10, FALSE)</f>
        <v>#N/A</v>
      </c>
      <c r="O228" s="11" t="e">
        <f>VLOOKUP($H228, 'ADP Data'!$B$4:$Q$300, 4, FALSE)</f>
        <v>#N/A</v>
      </c>
      <c r="P228" s="11" t="e">
        <f t="shared" si="3"/>
        <v>#N/A</v>
      </c>
      <c r="Q228" s="11" t="e">
        <f>VLOOKUP($H228, 'ADP Data'!$B$4:$Q$300, 5, FALSE)</f>
        <v>#N/A</v>
      </c>
      <c r="R228" s="11" t="e">
        <f>VLOOKUP($H228, 'ADP Data'!$B$4:$Q$300, 6, FALSE)</f>
        <v>#N/A</v>
      </c>
      <c r="S228" s="11" t="e">
        <f>VLOOKUP($H228, 'ADP Data'!$B$4:$Q$300, 7, FALSE)</f>
        <v>#N/A</v>
      </c>
      <c r="T228" s="11" t="e">
        <f>VLOOKUP($H228, 'ADP Data'!$B$4:$Q$300, 8, FALSE)</f>
        <v>#N/A</v>
      </c>
      <c r="U228" s="11" t="e">
        <f>VLOOKUP($H228, 'ADP Data'!$B$4:$Q$300, 9, FALSE)</f>
        <v>#N/A</v>
      </c>
      <c r="V228" s="11" t="e">
        <f t="shared" si="4"/>
        <v>#N/A</v>
      </c>
      <c r="W228" s="11" t="e">
        <f t="shared" si="5"/>
        <v>#N/A</v>
      </c>
      <c r="X228" s="11" t="e">
        <f>IF(VLOOKUP($H228, SeanRanks!$A$2:$H$303, 7, FALSE)=0, "", VLOOKUP($H228, SeanRanks!$A$2:$H$303, 7, FALSE))</f>
        <v>#N/A</v>
      </c>
    </row>
    <row r="229" spans="1:24" ht="14.25" customHeight="1" x14ac:dyDescent="0.25">
      <c r="A229" s="11"/>
      <c r="B229" s="11" t="e">
        <f t="shared" si="6"/>
        <v>#N/A</v>
      </c>
      <c r="C229" s="11" t="s">
        <v>148</v>
      </c>
      <c r="D229" s="11"/>
      <c r="E229" s="11"/>
      <c r="F229" s="11">
        <f t="shared" si="1"/>
        <v>0</v>
      </c>
      <c r="G229" s="11"/>
      <c r="H229" s="11" t="s">
        <v>693</v>
      </c>
      <c r="I229" s="11" t="e">
        <f>VLOOKUP($H229, 'ADP Data'!$B$4:$Q$300, 2, FALSE)</f>
        <v>#N/A</v>
      </c>
      <c r="J229" s="11" t="s">
        <v>769</v>
      </c>
      <c r="K229" s="11" t="e">
        <f>VLOOKUP($H229, SeanRanks!$A$2:$H$303, 5, FALSE)</f>
        <v>#N/A</v>
      </c>
      <c r="L229" s="11" t="e">
        <f>IF(VLOOKUP($H229, SeanRanks!$A$2:$H$303, 6, FALSE)=0, "", VLOOKUP($H229, SeanRanks!$A$2:$H$303, 6, FALSE))</f>
        <v>#N/A</v>
      </c>
      <c r="M229" s="11">
        <f t="shared" si="2"/>
        <v>16</v>
      </c>
      <c r="N229" s="11" t="e">
        <f>VLOOKUP($H229, 'ADP Data'!$B$4:$Q$300, 10, FALSE)</f>
        <v>#N/A</v>
      </c>
      <c r="O229" s="11" t="e">
        <f>VLOOKUP($H229, 'ADP Data'!$B$4:$Q$300, 4, FALSE)</f>
        <v>#N/A</v>
      </c>
      <c r="P229" s="11" t="e">
        <f t="shared" si="3"/>
        <v>#N/A</v>
      </c>
      <c r="Q229" s="11" t="e">
        <f>VLOOKUP($H229, 'ADP Data'!$B$4:$Q$300, 5, FALSE)</f>
        <v>#N/A</v>
      </c>
      <c r="R229" s="11" t="e">
        <f>VLOOKUP($H229, 'ADP Data'!$B$4:$Q$300, 6, FALSE)</f>
        <v>#N/A</v>
      </c>
      <c r="S229" s="11" t="e">
        <f>VLOOKUP($H229, 'ADP Data'!$B$4:$Q$300, 7, FALSE)</f>
        <v>#N/A</v>
      </c>
      <c r="T229" s="11" t="e">
        <f>VLOOKUP($H229, 'ADP Data'!$B$4:$Q$300, 8, FALSE)</f>
        <v>#N/A</v>
      </c>
      <c r="U229" s="11" t="e">
        <f>VLOOKUP($H229, 'ADP Data'!$B$4:$Q$300, 9, FALSE)</f>
        <v>#N/A</v>
      </c>
      <c r="V229" s="11" t="e">
        <f t="shared" si="4"/>
        <v>#N/A</v>
      </c>
      <c r="W229" s="11" t="e">
        <f t="shared" si="5"/>
        <v>#N/A</v>
      </c>
      <c r="X229" s="11" t="e">
        <f>IF(VLOOKUP($H229, SeanRanks!$A$2:$H$303, 7, FALSE)=0, "", VLOOKUP($H229, SeanRanks!$A$2:$H$303, 7, FALSE))</f>
        <v>#N/A</v>
      </c>
    </row>
    <row r="230" spans="1:24" ht="14.25" customHeight="1" x14ac:dyDescent="0.25">
      <c r="A230" s="11"/>
      <c r="B230" s="11" t="e">
        <f t="shared" si="6"/>
        <v>#N/A</v>
      </c>
      <c r="C230" s="11" t="s">
        <v>148</v>
      </c>
      <c r="D230" s="11"/>
      <c r="E230" s="11"/>
      <c r="F230" s="11">
        <f t="shared" si="1"/>
        <v>0</v>
      </c>
      <c r="G230" s="11"/>
      <c r="H230" s="11" t="s">
        <v>308</v>
      </c>
      <c r="I230" s="11" t="e">
        <f>VLOOKUP($H230, 'ADP Data'!$B$4:$Q$300, 2, FALSE)</f>
        <v>#N/A</v>
      </c>
      <c r="J230" s="11" t="s">
        <v>760</v>
      </c>
      <c r="K230" s="11">
        <f>VLOOKUP($H230, SeanRanks!$A$2:$H$303, 5, FALSE)</f>
        <v>0</v>
      </c>
      <c r="L230" s="11" t="str">
        <f>IF(VLOOKUP($H230, SeanRanks!$A$2:$H$303, 6, FALSE)=0, "", VLOOKUP($H230, SeanRanks!$A$2:$H$303, 6, FALSE))</f>
        <v>QB1 - 4 - Weekly Start</v>
      </c>
      <c r="M230" s="11">
        <f t="shared" si="2"/>
        <v>16</v>
      </c>
      <c r="N230" s="11" t="e">
        <f>VLOOKUP($H230, 'ADP Data'!$B$4:$Q$300, 10, FALSE)</f>
        <v>#N/A</v>
      </c>
      <c r="O230" s="11" t="e">
        <f>VLOOKUP($H230, 'ADP Data'!$B$4:$Q$300, 4, FALSE)</f>
        <v>#N/A</v>
      </c>
      <c r="P230" s="11" t="e">
        <f t="shared" si="3"/>
        <v>#N/A</v>
      </c>
      <c r="Q230" s="11" t="e">
        <f>VLOOKUP($H230, 'ADP Data'!$B$4:$Q$300, 5, FALSE)</f>
        <v>#N/A</v>
      </c>
      <c r="R230" s="11" t="e">
        <f>VLOOKUP($H230, 'ADP Data'!$B$4:$Q$300, 6, FALSE)</f>
        <v>#N/A</v>
      </c>
      <c r="S230" s="11" t="e">
        <f>VLOOKUP($H230, 'ADP Data'!$B$4:$Q$300, 7, FALSE)</f>
        <v>#N/A</v>
      </c>
      <c r="T230" s="11" t="e">
        <f>VLOOKUP($H230, 'ADP Data'!$B$4:$Q$300, 8, FALSE)</f>
        <v>#N/A</v>
      </c>
      <c r="U230" s="11" t="e">
        <f>VLOOKUP($H230, 'ADP Data'!$B$4:$Q$300, 9, FALSE)</f>
        <v>#N/A</v>
      </c>
      <c r="V230" s="11" t="e">
        <f t="shared" si="4"/>
        <v>#N/A</v>
      </c>
      <c r="W230" s="11" t="e">
        <f t="shared" si="5"/>
        <v>#N/A</v>
      </c>
      <c r="X230" s="11">
        <f>IF(VLOOKUP($H230, SeanRanks!$A$2:$H$303, 7, FALSE)=0, "", VLOOKUP($H230, SeanRanks!$A$2:$H$303, 7, FALSE))</f>
        <v>12</v>
      </c>
    </row>
    <row r="231" spans="1:24" ht="14.25" customHeight="1" x14ac:dyDescent="0.25">
      <c r="A231" s="11"/>
      <c r="B231" s="11" t="e">
        <f t="shared" si="6"/>
        <v>#N/A</v>
      </c>
      <c r="C231" s="11" t="s">
        <v>148</v>
      </c>
      <c r="D231" s="11"/>
      <c r="E231" s="11"/>
      <c r="F231" s="11">
        <f t="shared" si="1"/>
        <v>0</v>
      </c>
      <c r="G231" s="11"/>
      <c r="H231" s="11" t="s">
        <v>1244</v>
      </c>
      <c r="I231" s="80" t="e">
        <f>VLOOKUP($H231, 'ADP Data'!$B$4:$Q$300, 2, FALSE)</f>
        <v>#N/A</v>
      </c>
      <c r="J231" s="11" t="s">
        <v>760</v>
      </c>
      <c r="K231" s="11" t="e">
        <f>VLOOKUP($H231, SeanRanks!$A$2:$H$303, 5, FALSE)</f>
        <v>#N/A</v>
      </c>
      <c r="L231" s="11" t="e">
        <f>IF(VLOOKUP($H231, SeanRanks!$A$2:$H$303, 6, FALSE)=0, "", VLOOKUP($H231, SeanRanks!$A$2:$H$303, 6, FALSE))</f>
        <v>#N/A</v>
      </c>
      <c r="M231" s="11">
        <f t="shared" si="2"/>
        <v>16</v>
      </c>
      <c r="N231" s="11" t="e">
        <f>VLOOKUP($H231, 'ADP Data'!$B$4:$Q$300, 10, FALSE)</f>
        <v>#N/A</v>
      </c>
      <c r="O231" s="11" t="e">
        <f>VLOOKUP($H231, 'ADP Data'!$B$4:$Q$300, 4, FALSE)</f>
        <v>#N/A</v>
      </c>
      <c r="P231" s="11" t="e">
        <f t="shared" si="3"/>
        <v>#N/A</v>
      </c>
      <c r="Q231" s="11" t="e">
        <f>VLOOKUP($H231, 'ADP Data'!$B$4:$Q$300, 5, FALSE)</f>
        <v>#N/A</v>
      </c>
      <c r="R231" s="11" t="e">
        <f>VLOOKUP($H231, 'ADP Data'!$B$4:$Q$300, 6, FALSE)</f>
        <v>#N/A</v>
      </c>
      <c r="S231" s="11" t="e">
        <f>VLOOKUP($H231, 'ADP Data'!$B$4:$Q$300, 7, FALSE)</f>
        <v>#N/A</v>
      </c>
      <c r="T231" s="11" t="e">
        <f>VLOOKUP($H231, 'ADP Data'!$B$4:$Q$300, 8, FALSE)</f>
        <v>#N/A</v>
      </c>
      <c r="U231" s="11" t="e">
        <f>VLOOKUP($H231, 'ADP Data'!$B$4:$Q$300, 9, FALSE)</f>
        <v>#N/A</v>
      </c>
      <c r="V231" s="11" t="e">
        <f t="shared" si="4"/>
        <v>#N/A</v>
      </c>
      <c r="W231" s="11" t="e">
        <f t="shared" si="5"/>
        <v>#N/A</v>
      </c>
      <c r="X231" s="11" t="e">
        <f>IF(VLOOKUP($H231, SeanRanks!$A$2:$H$303, 7, FALSE)=0, "", VLOOKUP($H231, SeanRanks!$A$2:$H$303, 7, FALSE))</f>
        <v>#N/A</v>
      </c>
    </row>
    <row r="232" spans="1:24" ht="14.25" customHeight="1" x14ac:dyDescent="0.25">
      <c r="A232" s="11"/>
      <c r="B232" s="11" t="e">
        <f t="shared" si="6"/>
        <v>#N/A</v>
      </c>
      <c r="C232" s="11" t="s">
        <v>148</v>
      </c>
      <c r="D232" s="11"/>
      <c r="E232" s="11"/>
      <c r="F232" s="11">
        <f t="shared" si="1"/>
        <v>0</v>
      </c>
      <c r="G232" s="11"/>
      <c r="H232" s="11" t="s">
        <v>943</v>
      </c>
      <c r="I232" s="11" t="e">
        <f>VLOOKUP($H232, 'ADP Data'!$B$4:$Q$300, 2, FALSE)</f>
        <v>#N/A</v>
      </c>
      <c r="J232" s="11" t="s">
        <v>773</v>
      </c>
      <c r="K232" s="11">
        <f>VLOOKUP($H232, SeanRanks!$A$2:$H$303, 5, FALSE)</f>
        <v>0</v>
      </c>
      <c r="L232" s="11" t="str">
        <f>IF(VLOOKUP($H232, SeanRanks!$A$2:$H$303, 6, FALSE)=0, "", VLOOKUP($H232, SeanRanks!$A$2:$H$303, 6, FALSE))</f>
        <v/>
      </c>
      <c r="M232" s="11">
        <f t="shared" si="2"/>
        <v>16</v>
      </c>
      <c r="N232" s="11" t="e">
        <f>VLOOKUP($H232, 'ADP Data'!$B$4:$Q$300, 10, FALSE)</f>
        <v>#N/A</v>
      </c>
      <c r="O232" s="11" t="e">
        <f>VLOOKUP($H232, 'ADP Data'!$B$4:$Q$300, 4, FALSE)</f>
        <v>#N/A</v>
      </c>
      <c r="P232" s="11" t="e">
        <f t="shared" si="3"/>
        <v>#N/A</v>
      </c>
      <c r="Q232" s="11" t="e">
        <f>VLOOKUP($H232, 'ADP Data'!$B$4:$Q$300, 5, FALSE)</f>
        <v>#N/A</v>
      </c>
      <c r="R232" s="11" t="e">
        <f>VLOOKUP($H232, 'ADP Data'!$B$4:$Q$300, 6, FALSE)</f>
        <v>#N/A</v>
      </c>
      <c r="S232" s="11" t="e">
        <f>VLOOKUP($H232, 'ADP Data'!$B$4:$Q$300, 7, FALSE)</f>
        <v>#N/A</v>
      </c>
      <c r="T232" s="11" t="e">
        <f>VLOOKUP($H232, 'ADP Data'!$B$4:$Q$300, 8, FALSE)</f>
        <v>#N/A</v>
      </c>
      <c r="U232" s="11" t="e">
        <f>VLOOKUP($H232, 'ADP Data'!$B$4:$Q$300, 9, FALSE)</f>
        <v>#N/A</v>
      </c>
      <c r="V232" s="11" t="e">
        <f t="shared" si="4"/>
        <v>#N/A</v>
      </c>
      <c r="W232" s="11" t="e">
        <f t="shared" si="5"/>
        <v>#N/A</v>
      </c>
      <c r="X232" s="11" t="str">
        <f>IF(VLOOKUP($H232, SeanRanks!$A$2:$H$303, 7, FALSE)=0, "", VLOOKUP($H232, SeanRanks!$A$2:$H$303, 7, FALSE))</f>
        <v/>
      </c>
    </row>
    <row r="233" spans="1:24" ht="14.25" customHeight="1" x14ac:dyDescent="0.25">
      <c r="A233" s="11"/>
      <c r="B233" s="11" t="e">
        <f t="shared" si="6"/>
        <v>#N/A</v>
      </c>
      <c r="C233" s="11" t="s">
        <v>148</v>
      </c>
      <c r="D233" s="11"/>
      <c r="E233" s="11"/>
      <c r="F233" s="11">
        <f t="shared" si="1"/>
        <v>0</v>
      </c>
      <c r="G233" s="11"/>
      <c r="H233" s="11" t="s">
        <v>1259</v>
      </c>
      <c r="I233" s="11" t="e">
        <f>VLOOKUP($H233, 'ADP Data'!$B$4:$Q$300, 2, FALSE)</f>
        <v>#N/A</v>
      </c>
      <c r="J233" s="11" t="s">
        <v>760</v>
      </c>
      <c r="K233" s="11" t="e">
        <f>VLOOKUP($H233, SeanRanks!$A$2:$H$303, 5, FALSE)</f>
        <v>#N/A</v>
      </c>
      <c r="L233" s="11" t="e">
        <f>IF(VLOOKUP($H233, SeanRanks!$A$2:$H$303, 6, FALSE)=0, "", VLOOKUP($H233, SeanRanks!$A$2:$H$303, 6, FALSE))</f>
        <v>#N/A</v>
      </c>
      <c r="M233" s="11">
        <f t="shared" si="2"/>
        <v>16</v>
      </c>
      <c r="N233" s="11" t="e">
        <f>VLOOKUP($H233, 'ADP Data'!$B$4:$Q$300, 10, FALSE)</f>
        <v>#N/A</v>
      </c>
      <c r="O233" s="11" t="e">
        <f>VLOOKUP($H233, 'ADP Data'!$B$4:$Q$300, 4, FALSE)</f>
        <v>#N/A</v>
      </c>
      <c r="P233" s="11" t="e">
        <f t="shared" si="3"/>
        <v>#N/A</v>
      </c>
      <c r="Q233" s="11" t="e">
        <f>VLOOKUP($H233, 'ADP Data'!$B$4:$Q$300, 5, FALSE)</f>
        <v>#N/A</v>
      </c>
      <c r="R233" s="11" t="e">
        <f>VLOOKUP($H233, 'ADP Data'!$B$4:$Q$300, 6, FALSE)</f>
        <v>#N/A</v>
      </c>
      <c r="S233" s="11" t="e">
        <f>VLOOKUP($H233, 'ADP Data'!$B$4:$Q$300, 7, FALSE)</f>
        <v>#N/A</v>
      </c>
      <c r="T233" s="11" t="e">
        <f>VLOOKUP($H233, 'ADP Data'!$B$4:$Q$300, 8, FALSE)</f>
        <v>#N/A</v>
      </c>
      <c r="U233" s="11" t="e">
        <f>VLOOKUP($H233, 'ADP Data'!$B$4:$Q$300, 9, FALSE)</f>
        <v>#N/A</v>
      </c>
      <c r="V233" s="11" t="e">
        <f t="shared" si="4"/>
        <v>#N/A</v>
      </c>
      <c r="W233" s="11" t="e">
        <f t="shared" si="5"/>
        <v>#N/A</v>
      </c>
      <c r="X233" s="11" t="e">
        <f>IF(VLOOKUP($H233, SeanRanks!$A$2:$H$303, 7, FALSE)=0, "", VLOOKUP($H233, SeanRanks!$A$2:$H$303, 7, FALSE))</f>
        <v>#N/A</v>
      </c>
    </row>
    <row r="234" spans="1:24" ht="14.25" customHeight="1" x14ac:dyDescent="0.25">
      <c r="A234" s="11"/>
      <c r="B234" s="11" t="e">
        <f t="shared" si="6"/>
        <v>#N/A</v>
      </c>
      <c r="C234" s="11" t="s">
        <v>148</v>
      </c>
      <c r="D234" s="11"/>
      <c r="E234" s="11"/>
      <c r="F234" s="11">
        <f t="shared" si="1"/>
        <v>0</v>
      </c>
      <c r="G234" s="11"/>
      <c r="H234" s="11" t="s">
        <v>551</v>
      </c>
      <c r="I234" s="58" t="e">
        <f>VLOOKUP($H234, 'ADP Data'!$B$4:$Q$300, 2, FALSE)</f>
        <v>#N/A</v>
      </c>
      <c r="J234" s="11" t="s">
        <v>773</v>
      </c>
      <c r="K234" s="11">
        <f>VLOOKUP($H234, SeanRanks!$A$2:$H$303, 5, FALSE)</f>
        <v>0</v>
      </c>
      <c r="L234" s="11" t="str">
        <f>IF(VLOOKUP($H234, SeanRanks!$A$2:$H$303, 6, FALSE)=0, "", VLOOKUP($H234, SeanRanks!$A$2:$H$303, 6, FALSE))</f>
        <v/>
      </c>
      <c r="M234" s="11">
        <f t="shared" si="2"/>
        <v>16</v>
      </c>
      <c r="N234" s="11" t="e">
        <f>VLOOKUP($H234, 'ADP Data'!$B$4:$Q$300, 10, FALSE)</f>
        <v>#N/A</v>
      </c>
      <c r="O234" s="11" t="e">
        <f>VLOOKUP($H234, 'ADP Data'!$B$4:$Q$300, 4, FALSE)</f>
        <v>#N/A</v>
      </c>
      <c r="P234" s="11" t="e">
        <f t="shared" si="3"/>
        <v>#N/A</v>
      </c>
      <c r="Q234" s="11" t="e">
        <f>VLOOKUP($H234, 'ADP Data'!$B$4:$Q$300, 5, FALSE)</f>
        <v>#N/A</v>
      </c>
      <c r="R234" s="11" t="e">
        <f>VLOOKUP($H234, 'ADP Data'!$B$4:$Q$300, 6, FALSE)</f>
        <v>#N/A</v>
      </c>
      <c r="S234" s="11" t="e">
        <f>VLOOKUP($H234, 'ADP Data'!$B$4:$Q$300, 7, FALSE)</f>
        <v>#N/A</v>
      </c>
      <c r="T234" s="11" t="e">
        <f>VLOOKUP($H234, 'ADP Data'!$B$4:$Q$300, 8, FALSE)</f>
        <v>#N/A</v>
      </c>
      <c r="U234" s="11" t="e">
        <f>VLOOKUP($H234, 'ADP Data'!$B$4:$Q$300, 9, FALSE)</f>
        <v>#N/A</v>
      </c>
      <c r="V234" s="11" t="e">
        <f t="shared" si="4"/>
        <v>#N/A</v>
      </c>
      <c r="W234" s="11" t="e">
        <f t="shared" si="5"/>
        <v>#N/A</v>
      </c>
      <c r="X234" s="11" t="str">
        <f>IF(VLOOKUP($H234, SeanRanks!$A$2:$H$303, 7, FALSE)=0, "", VLOOKUP($H234, SeanRanks!$A$2:$H$303, 7, FALSE))</f>
        <v/>
      </c>
    </row>
    <row r="235" spans="1:24" ht="14.25" customHeight="1" x14ac:dyDescent="0.25">
      <c r="A235" s="11"/>
      <c r="B235" s="11" t="e">
        <f t="shared" si="6"/>
        <v>#N/A</v>
      </c>
      <c r="C235" s="11" t="s">
        <v>148</v>
      </c>
      <c r="D235" s="11"/>
      <c r="E235" s="11"/>
      <c r="F235" s="11">
        <f t="shared" si="1"/>
        <v>0</v>
      </c>
      <c r="G235" s="11"/>
      <c r="H235" s="11" t="s">
        <v>1105</v>
      </c>
      <c r="I235" s="11" t="e">
        <f>VLOOKUP($H235, 'ADP Data'!$B$4:$Q$300, 2, FALSE)</f>
        <v>#N/A</v>
      </c>
      <c r="J235" s="11" t="s">
        <v>773</v>
      </c>
      <c r="K235" s="11">
        <f>VLOOKUP($H235, SeanRanks!$A$2:$H$303, 5, FALSE)</f>
        <v>0</v>
      </c>
      <c r="L235" s="11" t="str">
        <f>IF(VLOOKUP($H235, SeanRanks!$A$2:$H$303, 6, FALSE)=0, "", VLOOKUP($H235, SeanRanks!$A$2:$H$303, 6, FALSE))</f>
        <v/>
      </c>
      <c r="M235" s="11">
        <f t="shared" si="2"/>
        <v>16</v>
      </c>
      <c r="N235" s="11" t="e">
        <f>VLOOKUP($H235, 'ADP Data'!$B$4:$Q$300, 10, FALSE)</f>
        <v>#N/A</v>
      </c>
      <c r="O235" s="11" t="e">
        <f>VLOOKUP($H235, 'ADP Data'!$B$4:$Q$300, 4, FALSE)</f>
        <v>#N/A</v>
      </c>
      <c r="P235" s="11" t="e">
        <f t="shared" si="3"/>
        <v>#N/A</v>
      </c>
      <c r="Q235" s="11" t="e">
        <f>VLOOKUP($H235, 'ADP Data'!$B$4:$Q$300, 5, FALSE)</f>
        <v>#N/A</v>
      </c>
      <c r="R235" s="11" t="e">
        <f>VLOOKUP($H235, 'ADP Data'!$B$4:$Q$300, 6, FALSE)</f>
        <v>#N/A</v>
      </c>
      <c r="S235" s="11" t="e">
        <f>VLOOKUP($H235, 'ADP Data'!$B$4:$Q$300, 7, FALSE)</f>
        <v>#N/A</v>
      </c>
      <c r="T235" s="11" t="e">
        <f>VLOOKUP($H235, 'ADP Data'!$B$4:$Q$300, 8, FALSE)</f>
        <v>#N/A</v>
      </c>
      <c r="U235" s="11" t="e">
        <f>VLOOKUP($H235, 'ADP Data'!$B$4:$Q$300, 9, FALSE)</f>
        <v>#N/A</v>
      </c>
      <c r="V235" s="11" t="e">
        <f t="shared" si="4"/>
        <v>#N/A</v>
      </c>
      <c r="W235" s="11" t="e">
        <f t="shared" si="5"/>
        <v>#N/A</v>
      </c>
      <c r="X235" s="11" t="str">
        <f>IF(VLOOKUP($H235, SeanRanks!$A$2:$H$303, 7, FALSE)=0, "", VLOOKUP($H235, SeanRanks!$A$2:$H$303, 7, FALSE))</f>
        <v/>
      </c>
    </row>
    <row r="236" spans="1:24" ht="14.25" customHeight="1" x14ac:dyDescent="0.25">
      <c r="A236" s="11"/>
      <c r="B236" s="11" t="e">
        <f t="shared" si="6"/>
        <v>#N/A</v>
      </c>
      <c r="C236" s="11" t="s">
        <v>148</v>
      </c>
      <c r="D236" s="11"/>
      <c r="E236" s="11"/>
      <c r="F236" s="11">
        <f t="shared" si="1"/>
        <v>0</v>
      </c>
      <c r="G236" s="11"/>
      <c r="H236" s="11" t="s">
        <v>364</v>
      </c>
      <c r="I236" s="11" t="e">
        <f>VLOOKUP($H236, 'ADP Data'!$B$4:$Q$300, 2, FALSE)</f>
        <v>#N/A</v>
      </c>
      <c r="J236" s="11" t="s">
        <v>760</v>
      </c>
      <c r="K236" s="11">
        <f>VLOOKUP($H236, SeanRanks!$A$2:$H$303, 5, FALSE)</f>
        <v>0</v>
      </c>
      <c r="L236" s="11" t="str">
        <f>IF(VLOOKUP($H236, SeanRanks!$A$2:$H$303, 6, FALSE)=0, "", VLOOKUP($H236, SeanRanks!$A$2:$H$303, 6, FALSE))</f>
        <v>QB1 - 3 - Top 5 Ceiling</v>
      </c>
      <c r="M236" s="11">
        <f t="shared" si="2"/>
        <v>16</v>
      </c>
      <c r="N236" s="11" t="e">
        <f>VLOOKUP($H236, 'ADP Data'!$B$4:$Q$300, 10, FALSE)</f>
        <v>#N/A</v>
      </c>
      <c r="O236" s="11" t="e">
        <f>VLOOKUP($H236, 'ADP Data'!$B$4:$Q$300, 4, FALSE)</f>
        <v>#N/A</v>
      </c>
      <c r="P236" s="11" t="e">
        <f t="shared" si="3"/>
        <v>#N/A</v>
      </c>
      <c r="Q236" s="11" t="e">
        <f>VLOOKUP($H236, 'ADP Data'!$B$4:$Q$300, 5, FALSE)</f>
        <v>#N/A</v>
      </c>
      <c r="R236" s="11" t="e">
        <f>VLOOKUP($H236, 'ADP Data'!$B$4:$Q$300, 6, FALSE)</f>
        <v>#N/A</v>
      </c>
      <c r="S236" s="11" t="e">
        <f>VLOOKUP($H236, 'ADP Data'!$B$4:$Q$300, 7, FALSE)</f>
        <v>#N/A</v>
      </c>
      <c r="T236" s="11" t="e">
        <f>VLOOKUP($H236, 'ADP Data'!$B$4:$Q$300, 8, FALSE)</f>
        <v>#N/A</v>
      </c>
      <c r="U236" s="11" t="e">
        <f>VLOOKUP($H236, 'ADP Data'!$B$4:$Q$300, 9, FALSE)</f>
        <v>#N/A</v>
      </c>
      <c r="V236" s="11" t="e">
        <f t="shared" si="4"/>
        <v>#N/A</v>
      </c>
      <c r="W236" s="11" t="e">
        <f t="shared" si="5"/>
        <v>#N/A</v>
      </c>
      <c r="X236" s="11">
        <f>IF(VLOOKUP($H236, SeanRanks!$A$2:$H$303, 7, FALSE)=0, "", VLOOKUP($H236, SeanRanks!$A$2:$H$303, 7, FALSE))</f>
        <v>6</v>
      </c>
    </row>
    <row r="237" spans="1:24" ht="14.25" customHeight="1" x14ac:dyDescent="0.25">
      <c r="A237" s="11"/>
      <c r="B237" s="11" t="e">
        <f t="shared" si="6"/>
        <v>#N/A</v>
      </c>
      <c r="C237" s="11" t="s">
        <v>148</v>
      </c>
      <c r="D237" s="11"/>
      <c r="E237" s="11"/>
      <c r="F237" s="11">
        <f t="shared" si="1"/>
        <v>0</v>
      </c>
      <c r="G237" s="11"/>
      <c r="H237" s="11" t="s">
        <v>827</v>
      </c>
      <c r="I237" s="11" t="e">
        <f>VLOOKUP($H237, 'ADP Data'!$B$4:$Q$300, 2, FALSE)</f>
        <v>#N/A</v>
      </c>
      <c r="J237" s="11" t="s">
        <v>764</v>
      </c>
      <c r="K237" s="11">
        <f>VLOOKUP($H237, SeanRanks!$A$2:$H$303, 5, FALSE)</f>
        <v>0</v>
      </c>
      <c r="L237" s="11" t="str">
        <f>IF(VLOOKUP($H237, SeanRanks!$A$2:$H$303, 6, FALSE)=0, "", VLOOKUP($H237, SeanRanks!$A$2:$H$303, 6, FALSE))</f>
        <v/>
      </c>
      <c r="M237" s="11">
        <f t="shared" si="2"/>
        <v>16</v>
      </c>
      <c r="N237" s="11" t="e">
        <f>VLOOKUP($H237, 'ADP Data'!$B$4:$Q$300, 10, FALSE)</f>
        <v>#N/A</v>
      </c>
      <c r="O237" s="11" t="e">
        <f>VLOOKUP($H237, 'ADP Data'!$B$4:$Q$300, 4, FALSE)</f>
        <v>#N/A</v>
      </c>
      <c r="P237" s="11" t="e">
        <f t="shared" si="3"/>
        <v>#N/A</v>
      </c>
      <c r="Q237" s="11" t="e">
        <f>VLOOKUP($H237, 'ADP Data'!$B$4:$Q$300, 5, FALSE)</f>
        <v>#N/A</v>
      </c>
      <c r="R237" s="11" t="e">
        <f>VLOOKUP($H237, 'ADP Data'!$B$4:$Q$300, 6, FALSE)</f>
        <v>#N/A</v>
      </c>
      <c r="S237" s="11" t="e">
        <f>VLOOKUP($H237, 'ADP Data'!$B$4:$Q$300, 7, FALSE)</f>
        <v>#N/A</v>
      </c>
      <c r="T237" s="11" t="e">
        <f>VLOOKUP($H237, 'ADP Data'!$B$4:$Q$300, 8, FALSE)</f>
        <v>#N/A</v>
      </c>
      <c r="U237" s="11" t="e">
        <f>VLOOKUP($H237, 'ADP Data'!$B$4:$Q$300, 9, FALSE)</f>
        <v>#N/A</v>
      </c>
      <c r="V237" s="11" t="e">
        <f t="shared" si="4"/>
        <v>#N/A</v>
      </c>
      <c r="W237" s="11" t="e">
        <f t="shared" si="5"/>
        <v>#N/A</v>
      </c>
      <c r="X237" s="11" t="str">
        <f>IF(VLOOKUP($H237, SeanRanks!$A$2:$H$303, 7, FALSE)=0, "", VLOOKUP($H237, SeanRanks!$A$2:$H$303, 7, FALSE))</f>
        <v/>
      </c>
    </row>
    <row r="238" spans="1:24" ht="14.25" customHeight="1" x14ac:dyDescent="0.25">
      <c r="A238" s="11"/>
      <c r="B238" s="11" t="e">
        <f t="shared" si="6"/>
        <v>#N/A</v>
      </c>
      <c r="C238" s="11" t="s">
        <v>148</v>
      </c>
      <c r="D238" s="11"/>
      <c r="E238" s="11"/>
      <c r="F238" s="11">
        <f t="shared" si="1"/>
        <v>0</v>
      </c>
      <c r="G238" s="11"/>
      <c r="H238" s="11" t="s">
        <v>1306</v>
      </c>
      <c r="I238" s="58" t="e">
        <f>VLOOKUP($H238, 'ADP Data'!$B$4:$Q$300, 2, FALSE)</f>
        <v>#N/A</v>
      </c>
      <c r="J238" s="11" t="s">
        <v>764</v>
      </c>
      <c r="K238" s="11" t="e">
        <f>VLOOKUP($H238, SeanRanks!$A$2:$H$303, 5, FALSE)</f>
        <v>#N/A</v>
      </c>
      <c r="L238" s="11" t="e">
        <f>IF(VLOOKUP($H238, SeanRanks!$A$2:$H$303, 6, FALSE)=0, "", VLOOKUP($H238, SeanRanks!$A$2:$H$303, 6, FALSE))</f>
        <v>#N/A</v>
      </c>
      <c r="M238" s="11">
        <f t="shared" si="2"/>
        <v>16</v>
      </c>
      <c r="N238" s="11" t="e">
        <f>VLOOKUP($H238, 'ADP Data'!$B$4:$Q$300, 10, FALSE)</f>
        <v>#N/A</v>
      </c>
      <c r="O238" s="11" t="e">
        <f>VLOOKUP($H238, 'ADP Data'!$B$4:$Q$300, 4, FALSE)</f>
        <v>#N/A</v>
      </c>
      <c r="P238" s="11" t="e">
        <f t="shared" si="3"/>
        <v>#N/A</v>
      </c>
      <c r="Q238" s="11" t="e">
        <f>VLOOKUP($H238, 'ADP Data'!$B$4:$Q$300, 5, FALSE)</f>
        <v>#N/A</v>
      </c>
      <c r="R238" s="11" t="e">
        <f>VLOOKUP($H238, 'ADP Data'!$B$4:$Q$300, 6, FALSE)</f>
        <v>#N/A</v>
      </c>
      <c r="S238" s="11" t="e">
        <f>VLOOKUP($H238, 'ADP Data'!$B$4:$Q$300, 7, FALSE)</f>
        <v>#N/A</v>
      </c>
      <c r="T238" s="11" t="e">
        <f>VLOOKUP($H238, 'ADP Data'!$B$4:$Q$300, 8, FALSE)</f>
        <v>#N/A</v>
      </c>
      <c r="U238" s="11" t="e">
        <f>VLOOKUP($H238, 'ADP Data'!$B$4:$Q$300, 9, FALSE)</f>
        <v>#N/A</v>
      </c>
      <c r="V238" s="11" t="e">
        <f t="shared" si="4"/>
        <v>#N/A</v>
      </c>
      <c r="W238" s="11" t="e">
        <f t="shared" si="5"/>
        <v>#N/A</v>
      </c>
      <c r="X238" s="11" t="e">
        <f>IF(VLOOKUP($H238, SeanRanks!$A$2:$H$303, 7, FALSE)=0, "", VLOOKUP($H238, SeanRanks!$A$2:$H$303, 7, FALSE))</f>
        <v>#N/A</v>
      </c>
    </row>
    <row r="239" spans="1:24" ht="14.25" customHeight="1" x14ac:dyDescent="0.25">
      <c r="A239" s="11"/>
      <c r="B239" s="11" t="e">
        <f t="shared" si="6"/>
        <v>#N/A</v>
      </c>
      <c r="C239" s="11" t="s">
        <v>148</v>
      </c>
      <c r="D239" s="11"/>
      <c r="E239" s="11"/>
      <c r="F239" s="11">
        <f t="shared" si="1"/>
        <v>0</v>
      </c>
      <c r="G239" s="11"/>
      <c r="H239" s="11" t="s">
        <v>547</v>
      </c>
      <c r="I239" s="11" t="e">
        <f>VLOOKUP($H239, 'ADP Data'!$B$4:$Q$300, 2, FALSE)</f>
        <v>#N/A</v>
      </c>
      <c r="J239" s="11" t="s">
        <v>773</v>
      </c>
      <c r="K239" s="11">
        <f>VLOOKUP($H239, SeanRanks!$A$2:$H$303, 5, FALSE)</f>
        <v>0</v>
      </c>
      <c r="L239" s="11" t="str">
        <f>IF(VLOOKUP($H239, SeanRanks!$A$2:$H$303, 6, FALSE)=0, "", VLOOKUP($H239, SeanRanks!$A$2:$H$303, 6, FALSE))</f>
        <v/>
      </c>
      <c r="M239" s="11">
        <f t="shared" si="2"/>
        <v>16</v>
      </c>
      <c r="N239" s="11" t="e">
        <f>VLOOKUP($H239, 'ADP Data'!$B$4:$Q$300, 10, FALSE)</f>
        <v>#N/A</v>
      </c>
      <c r="O239" s="11" t="e">
        <f>VLOOKUP($H239, 'ADP Data'!$B$4:$Q$300, 4, FALSE)</f>
        <v>#N/A</v>
      </c>
      <c r="P239" s="11" t="e">
        <f t="shared" si="3"/>
        <v>#N/A</v>
      </c>
      <c r="Q239" s="11" t="e">
        <f>VLOOKUP($H239, 'ADP Data'!$B$4:$Q$300, 5, FALSE)</f>
        <v>#N/A</v>
      </c>
      <c r="R239" s="11" t="e">
        <f>VLOOKUP($H239, 'ADP Data'!$B$4:$Q$300, 6, FALSE)</f>
        <v>#N/A</v>
      </c>
      <c r="S239" s="11" t="e">
        <f>VLOOKUP($H239, 'ADP Data'!$B$4:$Q$300, 7, FALSE)</f>
        <v>#N/A</v>
      </c>
      <c r="T239" s="11" t="e">
        <f>VLOOKUP($H239, 'ADP Data'!$B$4:$Q$300, 8, FALSE)</f>
        <v>#N/A</v>
      </c>
      <c r="U239" s="11" t="e">
        <f>VLOOKUP($H239, 'ADP Data'!$B$4:$Q$300, 9, FALSE)</f>
        <v>#N/A</v>
      </c>
      <c r="V239" s="11" t="e">
        <f t="shared" si="4"/>
        <v>#N/A</v>
      </c>
      <c r="W239" s="11" t="e">
        <f t="shared" si="5"/>
        <v>#N/A</v>
      </c>
      <c r="X239" s="11" t="str">
        <f>IF(VLOOKUP($H239, SeanRanks!$A$2:$H$303, 7, FALSE)=0, "", VLOOKUP($H239, SeanRanks!$A$2:$H$303, 7, FALSE))</f>
        <v/>
      </c>
    </row>
    <row r="240" spans="1:24" ht="14.25" customHeight="1" x14ac:dyDescent="0.25">
      <c r="A240" s="11"/>
      <c r="B240" s="11" t="e">
        <f t="shared" si="6"/>
        <v>#N/A</v>
      </c>
      <c r="C240" s="11" t="s">
        <v>148</v>
      </c>
      <c r="D240" s="11"/>
      <c r="E240" s="11"/>
      <c r="F240" s="11">
        <f t="shared" si="1"/>
        <v>0</v>
      </c>
      <c r="G240" s="11"/>
      <c r="H240" s="11" t="s">
        <v>1249</v>
      </c>
      <c r="I240" s="11" t="e">
        <f>VLOOKUP($H240, 'ADP Data'!$B$4:$Q$300, 2, FALSE)</f>
        <v>#N/A</v>
      </c>
      <c r="J240" s="11" t="s">
        <v>764</v>
      </c>
      <c r="K240" s="11" t="e">
        <f>VLOOKUP($H240, SeanRanks!$A$2:$H$303, 5, FALSE)</f>
        <v>#N/A</v>
      </c>
      <c r="L240" s="11" t="e">
        <f>IF(VLOOKUP($H240, SeanRanks!$A$2:$H$303, 6, FALSE)=0, "", VLOOKUP($H240, SeanRanks!$A$2:$H$303, 6, FALSE))</f>
        <v>#N/A</v>
      </c>
      <c r="M240" s="11">
        <f t="shared" si="2"/>
        <v>16</v>
      </c>
      <c r="N240" s="11" t="e">
        <f>VLOOKUP($H240, 'ADP Data'!$B$4:$Q$300, 10, FALSE)</f>
        <v>#N/A</v>
      </c>
      <c r="O240" s="11" t="e">
        <f>VLOOKUP($H240, 'ADP Data'!$B$4:$Q$300, 4, FALSE)</f>
        <v>#N/A</v>
      </c>
      <c r="P240" s="11" t="e">
        <f t="shared" si="3"/>
        <v>#N/A</v>
      </c>
      <c r="Q240" s="11" t="e">
        <f>VLOOKUP($H240, 'ADP Data'!$B$4:$Q$300, 5, FALSE)</f>
        <v>#N/A</v>
      </c>
      <c r="R240" s="11" t="e">
        <f>VLOOKUP($H240, 'ADP Data'!$B$4:$Q$300, 6, FALSE)</f>
        <v>#N/A</v>
      </c>
      <c r="S240" s="11" t="e">
        <f>VLOOKUP($H240, 'ADP Data'!$B$4:$Q$300, 7, FALSE)</f>
        <v>#N/A</v>
      </c>
      <c r="T240" s="11" t="e">
        <f>VLOOKUP($H240, 'ADP Data'!$B$4:$Q$300, 8, FALSE)</f>
        <v>#N/A</v>
      </c>
      <c r="U240" s="11" t="e">
        <f>VLOOKUP($H240, 'ADP Data'!$B$4:$Q$300, 9, FALSE)</f>
        <v>#N/A</v>
      </c>
      <c r="V240" s="11" t="e">
        <f t="shared" si="4"/>
        <v>#N/A</v>
      </c>
      <c r="W240" s="11" t="e">
        <f t="shared" si="5"/>
        <v>#N/A</v>
      </c>
      <c r="X240" s="11" t="e">
        <f>IF(VLOOKUP($H240, SeanRanks!$A$2:$H$303, 7, FALSE)=0, "", VLOOKUP($H240, SeanRanks!$A$2:$H$303, 7, FALSE))</f>
        <v>#N/A</v>
      </c>
    </row>
    <row r="241" spans="1:24" ht="14.25" customHeight="1" x14ac:dyDescent="0.25">
      <c r="A241" s="11"/>
      <c r="B241" s="11" t="e">
        <f t="shared" si="6"/>
        <v>#N/A</v>
      </c>
      <c r="C241" s="11" t="s">
        <v>148</v>
      </c>
      <c r="D241" s="11"/>
      <c r="E241" s="11"/>
      <c r="F241" s="11">
        <f t="shared" si="1"/>
        <v>0</v>
      </c>
      <c r="G241" s="11"/>
      <c r="H241" s="11" t="s">
        <v>1308</v>
      </c>
      <c r="I241" s="11" t="e">
        <f>VLOOKUP($H241, 'ADP Data'!$B$4:$Q$300, 2, FALSE)</f>
        <v>#N/A</v>
      </c>
      <c r="J241" s="11" t="s">
        <v>764</v>
      </c>
      <c r="K241" s="11" t="e">
        <f>VLOOKUP($H241, SeanRanks!$A$2:$H$303, 5, FALSE)</f>
        <v>#N/A</v>
      </c>
      <c r="L241" s="11" t="e">
        <f>IF(VLOOKUP($H241, SeanRanks!$A$2:$H$303, 6, FALSE)=0, "", VLOOKUP($H241, SeanRanks!$A$2:$H$303, 6, FALSE))</f>
        <v>#N/A</v>
      </c>
      <c r="M241" s="11">
        <f t="shared" si="2"/>
        <v>16</v>
      </c>
      <c r="N241" s="11" t="e">
        <f>VLOOKUP($H241, 'ADP Data'!$B$4:$Q$300, 10, FALSE)</f>
        <v>#N/A</v>
      </c>
      <c r="O241" s="11" t="e">
        <f>VLOOKUP($H241, 'ADP Data'!$B$4:$Q$300, 4, FALSE)</f>
        <v>#N/A</v>
      </c>
      <c r="P241" s="11" t="e">
        <f t="shared" si="3"/>
        <v>#N/A</v>
      </c>
      <c r="Q241" s="11" t="e">
        <f>VLOOKUP($H241, 'ADP Data'!$B$4:$Q$300, 5, FALSE)</f>
        <v>#N/A</v>
      </c>
      <c r="R241" s="11" t="e">
        <f>VLOOKUP($H241, 'ADP Data'!$B$4:$Q$300, 6, FALSE)</f>
        <v>#N/A</v>
      </c>
      <c r="S241" s="11" t="e">
        <f>VLOOKUP($H241, 'ADP Data'!$B$4:$Q$300, 7, FALSE)</f>
        <v>#N/A</v>
      </c>
      <c r="T241" s="11" t="e">
        <f>VLOOKUP($H241, 'ADP Data'!$B$4:$Q$300, 8, FALSE)</f>
        <v>#N/A</v>
      </c>
      <c r="U241" s="11" t="e">
        <f>VLOOKUP($H241, 'ADP Data'!$B$4:$Q$300, 9, FALSE)</f>
        <v>#N/A</v>
      </c>
      <c r="V241" s="11" t="e">
        <f t="shared" si="4"/>
        <v>#N/A</v>
      </c>
      <c r="W241" s="11" t="e">
        <f t="shared" si="5"/>
        <v>#N/A</v>
      </c>
      <c r="X241" s="11" t="e">
        <f>IF(VLOOKUP($H241, SeanRanks!$A$2:$H$303, 7, FALSE)=0, "", VLOOKUP($H241, SeanRanks!$A$2:$H$303, 7, FALSE))</f>
        <v>#N/A</v>
      </c>
    </row>
    <row r="242" spans="1:24" ht="14.25" customHeight="1" x14ac:dyDescent="0.25">
      <c r="A242" s="11"/>
      <c r="B242" s="11" t="e">
        <f t="shared" si="6"/>
        <v>#N/A</v>
      </c>
      <c r="C242" s="11" t="s">
        <v>148</v>
      </c>
      <c r="D242" s="11"/>
      <c r="E242" s="11"/>
      <c r="F242" s="11">
        <f t="shared" si="1"/>
        <v>0</v>
      </c>
      <c r="G242" s="11"/>
      <c r="H242" s="11" t="s">
        <v>302</v>
      </c>
      <c r="I242" s="11" t="e">
        <f>VLOOKUP($H242, 'ADP Data'!$B$4:$Q$300, 2, FALSE)</f>
        <v>#N/A</v>
      </c>
      <c r="J242" s="11" t="s">
        <v>764</v>
      </c>
      <c r="K242" s="11">
        <f>VLOOKUP($H242, SeanRanks!$A$2:$H$303, 5, FALSE)</f>
        <v>0</v>
      </c>
      <c r="L242" s="11" t="str">
        <f>IF(VLOOKUP($H242, SeanRanks!$A$2:$H$303, 6, FALSE)=0, "", VLOOKUP($H242, SeanRanks!$A$2:$H$303, 6, FALSE))</f>
        <v/>
      </c>
      <c r="M242" s="11">
        <f t="shared" si="2"/>
        <v>16</v>
      </c>
      <c r="N242" s="11" t="e">
        <f>VLOOKUP($H242, 'ADP Data'!$B$4:$Q$300, 10, FALSE)</f>
        <v>#N/A</v>
      </c>
      <c r="O242" s="11" t="e">
        <f>VLOOKUP($H242, 'ADP Data'!$B$4:$Q$300, 4, FALSE)</f>
        <v>#N/A</v>
      </c>
      <c r="P242" s="11" t="e">
        <f t="shared" si="3"/>
        <v>#N/A</v>
      </c>
      <c r="Q242" s="11" t="e">
        <f>VLOOKUP($H242, 'ADP Data'!$B$4:$Q$300, 5, FALSE)</f>
        <v>#N/A</v>
      </c>
      <c r="R242" s="11" t="e">
        <f>VLOOKUP($H242, 'ADP Data'!$B$4:$Q$300, 6, FALSE)</f>
        <v>#N/A</v>
      </c>
      <c r="S242" s="11" t="e">
        <f>VLOOKUP($H242, 'ADP Data'!$B$4:$Q$300, 7, FALSE)</f>
        <v>#N/A</v>
      </c>
      <c r="T242" s="11" t="e">
        <f>VLOOKUP($H242, 'ADP Data'!$B$4:$Q$300, 8, FALSE)</f>
        <v>#N/A</v>
      </c>
      <c r="U242" s="11" t="e">
        <f>VLOOKUP($H242, 'ADP Data'!$B$4:$Q$300, 9, FALSE)</f>
        <v>#N/A</v>
      </c>
      <c r="V242" s="11" t="e">
        <f t="shared" si="4"/>
        <v>#N/A</v>
      </c>
      <c r="W242" s="11" t="e">
        <f t="shared" si="5"/>
        <v>#N/A</v>
      </c>
      <c r="X242" s="11" t="str">
        <f>IF(VLOOKUP($H242, SeanRanks!$A$2:$H$303, 7, FALSE)=0, "", VLOOKUP($H242, SeanRanks!$A$2:$H$303, 7, FALSE))</f>
        <v/>
      </c>
    </row>
    <row r="243" spans="1:24" ht="14.25" customHeight="1" x14ac:dyDescent="0.25">
      <c r="A243" s="11"/>
      <c r="B243" s="11" t="e">
        <f t="shared" si="6"/>
        <v>#N/A</v>
      </c>
      <c r="C243" s="11" t="s">
        <v>148</v>
      </c>
      <c r="D243" s="11"/>
      <c r="E243" s="11"/>
      <c r="F243" s="11">
        <f t="shared" si="1"/>
        <v>0</v>
      </c>
      <c r="G243" s="11"/>
      <c r="H243" s="11" t="s">
        <v>1281</v>
      </c>
      <c r="I243" s="11" t="e">
        <f>VLOOKUP($H243, 'ADP Data'!$B$4:$Q$300, 2, FALSE)</f>
        <v>#N/A</v>
      </c>
      <c r="J243" s="11" t="s">
        <v>773</v>
      </c>
      <c r="K243" s="11" t="e">
        <f>VLOOKUP($H243, SeanRanks!$A$2:$H$303, 5, FALSE)</f>
        <v>#N/A</v>
      </c>
      <c r="L243" s="11" t="e">
        <f>IF(VLOOKUP($H243, SeanRanks!$A$2:$H$303, 6, FALSE)=0, "", VLOOKUP($H243, SeanRanks!$A$2:$H$303, 6, FALSE))</f>
        <v>#N/A</v>
      </c>
      <c r="M243" s="11">
        <f t="shared" si="2"/>
        <v>16</v>
      </c>
      <c r="N243" s="11" t="e">
        <f>VLOOKUP($H243, 'ADP Data'!$B$4:$Q$300, 10, FALSE)</f>
        <v>#N/A</v>
      </c>
      <c r="O243" s="11" t="e">
        <f>VLOOKUP($H243, 'ADP Data'!$B$4:$Q$300, 4, FALSE)</f>
        <v>#N/A</v>
      </c>
      <c r="P243" s="11" t="e">
        <f t="shared" si="3"/>
        <v>#N/A</v>
      </c>
      <c r="Q243" s="11" t="e">
        <f>VLOOKUP($H243, 'ADP Data'!$B$4:$Q$300, 5, FALSE)</f>
        <v>#N/A</v>
      </c>
      <c r="R243" s="11" t="e">
        <f>VLOOKUP($H243, 'ADP Data'!$B$4:$Q$300, 6, FALSE)</f>
        <v>#N/A</v>
      </c>
      <c r="S243" s="11" t="e">
        <f>VLOOKUP($H243, 'ADP Data'!$B$4:$Q$300, 7, FALSE)</f>
        <v>#N/A</v>
      </c>
      <c r="T243" s="11" t="e">
        <f>VLOOKUP($H243, 'ADP Data'!$B$4:$Q$300, 8, FALSE)</f>
        <v>#N/A</v>
      </c>
      <c r="U243" s="11" t="e">
        <f>VLOOKUP($H243, 'ADP Data'!$B$4:$Q$300, 9, FALSE)</f>
        <v>#N/A</v>
      </c>
      <c r="V243" s="11" t="e">
        <f t="shared" si="4"/>
        <v>#N/A</v>
      </c>
      <c r="W243" s="11" t="e">
        <f t="shared" si="5"/>
        <v>#N/A</v>
      </c>
      <c r="X243" s="11" t="e">
        <f>IF(VLOOKUP($H243, SeanRanks!$A$2:$H$303, 7, FALSE)=0, "", VLOOKUP($H243, SeanRanks!$A$2:$H$303, 7, FALSE))</f>
        <v>#N/A</v>
      </c>
    </row>
    <row r="244" spans="1:24" ht="14.25" customHeight="1" x14ac:dyDescent="0.25">
      <c r="A244" s="11"/>
      <c r="B244" s="11" t="e">
        <f t="shared" si="6"/>
        <v>#N/A</v>
      </c>
      <c r="C244" s="11" t="s">
        <v>148</v>
      </c>
      <c r="D244" s="11"/>
      <c r="E244" s="11"/>
      <c r="F244" s="11">
        <f t="shared" si="1"/>
        <v>0</v>
      </c>
      <c r="G244" s="11"/>
      <c r="H244" s="11" t="s">
        <v>951</v>
      </c>
      <c r="I244" s="11" t="e">
        <f>VLOOKUP($H244, 'ADP Data'!$B$4:$Q$300, 2, FALSE)</f>
        <v>#N/A</v>
      </c>
      <c r="J244" s="11" t="s">
        <v>772</v>
      </c>
      <c r="K244" s="11">
        <f>VLOOKUP($H244, SeanRanks!$A$2:$H$303, 5, FALSE)</f>
        <v>0</v>
      </c>
      <c r="L244" s="11" t="str">
        <f>IF(VLOOKUP($H244, SeanRanks!$A$2:$H$303, 6, FALSE)=0, "", VLOOKUP($H244, SeanRanks!$A$2:$H$303, 6, FALSE))</f>
        <v/>
      </c>
      <c r="M244" s="11">
        <f t="shared" si="2"/>
        <v>16</v>
      </c>
      <c r="N244" s="11" t="e">
        <f>VLOOKUP($H244, 'ADP Data'!$B$4:$Q$300, 10, FALSE)</f>
        <v>#N/A</v>
      </c>
      <c r="O244" s="11" t="e">
        <f>VLOOKUP($H244, 'ADP Data'!$B$4:$Q$300, 4, FALSE)</f>
        <v>#N/A</v>
      </c>
      <c r="P244" s="11" t="e">
        <f t="shared" si="3"/>
        <v>#N/A</v>
      </c>
      <c r="Q244" s="11" t="e">
        <f>VLOOKUP($H244, 'ADP Data'!$B$4:$Q$300, 5, FALSE)</f>
        <v>#N/A</v>
      </c>
      <c r="R244" s="11" t="e">
        <f>VLOOKUP($H244, 'ADP Data'!$B$4:$Q$300, 6, FALSE)</f>
        <v>#N/A</v>
      </c>
      <c r="S244" s="11" t="e">
        <f>VLOOKUP($H244, 'ADP Data'!$B$4:$Q$300, 7, FALSE)</f>
        <v>#N/A</v>
      </c>
      <c r="T244" s="11" t="e">
        <f>VLOOKUP($H244, 'ADP Data'!$B$4:$Q$300, 8, FALSE)</f>
        <v>#N/A</v>
      </c>
      <c r="U244" s="11" t="e">
        <f>VLOOKUP($H244, 'ADP Data'!$B$4:$Q$300, 9, FALSE)</f>
        <v>#N/A</v>
      </c>
      <c r="V244" s="11" t="e">
        <f t="shared" si="4"/>
        <v>#N/A</v>
      </c>
      <c r="W244" s="11" t="e">
        <f t="shared" si="5"/>
        <v>#N/A</v>
      </c>
      <c r="X244" s="11" t="str">
        <f>IF(VLOOKUP($H244, SeanRanks!$A$2:$H$303, 7, FALSE)=0, "", VLOOKUP($H244, SeanRanks!$A$2:$H$303, 7, FALSE))</f>
        <v/>
      </c>
    </row>
    <row r="245" spans="1:24" ht="14.25" customHeight="1" x14ac:dyDescent="0.25">
      <c r="A245" s="11"/>
      <c r="B245" s="11" t="e">
        <f t="shared" si="6"/>
        <v>#N/A</v>
      </c>
      <c r="C245" s="11" t="s">
        <v>148</v>
      </c>
      <c r="D245" s="11"/>
      <c r="E245" s="11"/>
      <c r="F245" s="11">
        <f t="shared" si="1"/>
        <v>0</v>
      </c>
      <c r="G245" s="11"/>
      <c r="H245" s="11" t="s">
        <v>1309</v>
      </c>
      <c r="I245" s="58" t="e">
        <f>VLOOKUP($H245, 'ADP Data'!$B$4:$Q$300, 2, FALSE)</f>
        <v>#N/A</v>
      </c>
      <c r="J245" s="11" t="s">
        <v>762</v>
      </c>
      <c r="K245" s="11" t="e">
        <f>VLOOKUP($H245, SeanRanks!$A$2:$H$303, 5, FALSE)</f>
        <v>#N/A</v>
      </c>
      <c r="L245" s="11" t="e">
        <f>IF(VLOOKUP($H245, SeanRanks!$A$2:$H$303, 6, FALSE)=0, "", VLOOKUP($H245, SeanRanks!$A$2:$H$303, 6, FALSE))</f>
        <v>#N/A</v>
      </c>
      <c r="M245" s="11">
        <f t="shared" si="2"/>
        <v>16</v>
      </c>
      <c r="N245" s="11" t="e">
        <f>VLOOKUP($H245, 'ADP Data'!$B$4:$Q$300, 10, FALSE)</f>
        <v>#N/A</v>
      </c>
      <c r="O245" s="11" t="e">
        <f>VLOOKUP($H245, 'ADP Data'!$B$4:$Q$300, 4, FALSE)</f>
        <v>#N/A</v>
      </c>
      <c r="P245" s="11" t="e">
        <f t="shared" si="3"/>
        <v>#N/A</v>
      </c>
      <c r="Q245" s="11" t="e">
        <f>VLOOKUP($H245, 'ADP Data'!$B$4:$Q$300, 5, FALSE)</f>
        <v>#N/A</v>
      </c>
      <c r="R245" s="11" t="e">
        <f>VLOOKUP($H245, 'ADP Data'!$B$4:$Q$300, 6, FALSE)</f>
        <v>#N/A</v>
      </c>
      <c r="S245" s="11" t="e">
        <f>VLOOKUP($H245, 'ADP Data'!$B$4:$Q$300, 7, FALSE)</f>
        <v>#N/A</v>
      </c>
      <c r="T245" s="11" t="e">
        <f>VLOOKUP($H245, 'ADP Data'!$B$4:$Q$300, 8, FALSE)</f>
        <v>#N/A</v>
      </c>
      <c r="U245" s="11" t="e">
        <f>VLOOKUP($H245, 'ADP Data'!$B$4:$Q$300, 9, FALSE)</f>
        <v>#N/A</v>
      </c>
      <c r="V245" s="11" t="e">
        <f t="shared" si="4"/>
        <v>#N/A</v>
      </c>
      <c r="W245" s="11" t="e">
        <f t="shared" si="5"/>
        <v>#N/A</v>
      </c>
      <c r="X245" s="11" t="e">
        <f>IF(VLOOKUP($H245, SeanRanks!$A$2:$H$303, 7, FALSE)=0, "", VLOOKUP($H245, SeanRanks!$A$2:$H$303, 7, FALSE))</f>
        <v>#N/A</v>
      </c>
    </row>
    <row r="246" spans="1:24" ht="14.25" customHeight="1" x14ac:dyDescent="0.25">
      <c r="A246" s="11"/>
      <c r="B246" s="11" t="e">
        <f t="shared" si="6"/>
        <v>#N/A</v>
      </c>
      <c r="C246" s="11" t="s">
        <v>148</v>
      </c>
      <c r="D246" s="11"/>
      <c r="E246" s="11"/>
      <c r="F246" s="11">
        <f t="shared" si="1"/>
        <v>0</v>
      </c>
      <c r="G246" s="11"/>
      <c r="H246" s="11" t="s">
        <v>1193</v>
      </c>
      <c r="I246" s="11" t="e">
        <f>VLOOKUP($H246, 'ADP Data'!$B$4:$Q$300, 2, FALSE)</f>
        <v>#N/A</v>
      </c>
      <c r="J246" s="11" t="s">
        <v>760</v>
      </c>
      <c r="K246" s="11" t="e">
        <f>VLOOKUP($H246, SeanRanks!$A$2:$H$303, 5, FALSE)</f>
        <v>#N/A</v>
      </c>
      <c r="L246" s="11" t="e">
        <f>IF(VLOOKUP($H246, SeanRanks!$A$2:$H$303, 6, FALSE)=0, "", VLOOKUP($H246, SeanRanks!$A$2:$H$303, 6, FALSE))</f>
        <v>#N/A</v>
      </c>
      <c r="M246" s="11">
        <f t="shared" si="2"/>
        <v>16</v>
      </c>
      <c r="N246" s="11" t="e">
        <f>VLOOKUP($H246, 'ADP Data'!$B$4:$Q$300, 10, FALSE)</f>
        <v>#N/A</v>
      </c>
      <c r="O246" s="11" t="e">
        <f>VLOOKUP($H246, 'ADP Data'!$B$4:$Q$300, 4, FALSE)</f>
        <v>#N/A</v>
      </c>
      <c r="P246" s="11" t="e">
        <f t="shared" si="3"/>
        <v>#N/A</v>
      </c>
      <c r="Q246" s="11" t="e">
        <f>VLOOKUP($H246, 'ADP Data'!$B$4:$Q$300, 5, FALSE)</f>
        <v>#N/A</v>
      </c>
      <c r="R246" s="11" t="e">
        <f>VLOOKUP($H246, 'ADP Data'!$B$4:$Q$300, 6, FALSE)</f>
        <v>#N/A</v>
      </c>
      <c r="S246" s="11" t="e">
        <f>VLOOKUP($H246, 'ADP Data'!$B$4:$Q$300, 7, FALSE)</f>
        <v>#N/A</v>
      </c>
      <c r="T246" s="11" t="e">
        <f>VLOOKUP($H246, 'ADP Data'!$B$4:$Q$300, 8, FALSE)</f>
        <v>#N/A</v>
      </c>
      <c r="U246" s="11" t="e">
        <f>VLOOKUP($H246, 'ADP Data'!$B$4:$Q$300, 9, FALSE)</f>
        <v>#N/A</v>
      </c>
      <c r="V246" s="11" t="e">
        <f t="shared" si="4"/>
        <v>#N/A</v>
      </c>
      <c r="W246" s="11" t="e">
        <f t="shared" si="5"/>
        <v>#N/A</v>
      </c>
      <c r="X246" s="11" t="e">
        <f>IF(VLOOKUP($H246, SeanRanks!$A$2:$H$303, 7, FALSE)=0, "", VLOOKUP($H246, SeanRanks!$A$2:$H$303, 7, FALSE))</f>
        <v>#N/A</v>
      </c>
    </row>
    <row r="247" spans="1:24" ht="14.25" customHeight="1" x14ac:dyDescent="0.25">
      <c r="A247" s="11"/>
      <c r="B247" s="11" t="e">
        <f t="shared" si="6"/>
        <v>#N/A</v>
      </c>
      <c r="C247" s="11" t="s">
        <v>148</v>
      </c>
      <c r="D247" s="11"/>
      <c r="E247" s="11"/>
      <c r="F247" s="11">
        <f t="shared" si="1"/>
        <v>0</v>
      </c>
      <c r="G247" s="11"/>
      <c r="H247" s="11" t="s">
        <v>934</v>
      </c>
      <c r="I247" s="11" t="e">
        <f>VLOOKUP($H247, 'ADP Data'!$B$4:$Q$300, 2, FALSE)</f>
        <v>#N/A</v>
      </c>
      <c r="J247" s="11" t="s">
        <v>769</v>
      </c>
      <c r="K247" s="11" t="e">
        <f>VLOOKUP($H247, SeanRanks!$A$2:$H$303, 5, FALSE)</f>
        <v>#N/A</v>
      </c>
      <c r="L247" s="11" t="e">
        <f>IF(VLOOKUP($H247, SeanRanks!$A$2:$H$303, 6, FALSE)=0, "", VLOOKUP($H247, SeanRanks!$A$2:$H$303, 6, FALSE))</f>
        <v>#N/A</v>
      </c>
      <c r="M247" s="11">
        <f t="shared" si="2"/>
        <v>16</v>
      </c>
      <c r="N247" s="11" t="e">
        <f>VLOOKUP($H247, 'ADP Data'!$B$4:$Q$300, 10, FALSE)</f>
        <v>#N/A</v>
      </c>
      <c r="O247" s="11" t="e">
        <f>VLOOKUP($H247, 'ADP Data'!$B$4:$Q$300, 4, FALSE)</f>
        <v>#N/A</v>
      </c>
      <c r="P247" s="11" t="e">
        <f t="shared" si="3"/>
        <v>#N/A</v>
      </c>
      <c r="Q247" s="11" t="e">
        <f>VLOOKUP($H247, 'ADP Data'!$B$4:$Q$300, 5, FALSE)</f>
        <v>#N/A</v>
      </c>
      <c r="R247" s="11" t="e">
        <f>VLOOKUP($H247, 'ADP Data'!$B$4:$Q$300, 6, FALSE)</f>
        <v>#N/A</v>
      </c>
      <c r="S247" s="11" t="e">
        <f>VLOOKUP($H247, 'ADP Data'!$B$4:$Q$300, 7, FALSE)</f>
        <v>#N/A</v>
      </c>
      <c r="T247" s="11" t="e">
        <f>VLOOKUP($H247, 'ADP Data'!$B$4:$Q$300, 8, FALSE)</f>
        <v>#N/A</v>
      </c>
      <c r="U247" s="11" t="e">
        <f>VLOOKUP($H247, 'ADP Data'!$B$4:$Q$300, 9, FALSE)</f>
        <v>#N/A</v>
      </c>
      <c r="V247" s="11" t="e">
        <f t="shared" si="4"/>
        <v>#N/A</v>
      </c>
      <c r="W247" s="11" t="e">
        <f t="shared" si="5"/>
        <v>#N/A</v>
      </c>
      <c r="X247" s="11" t="e">
        <f>IF(VLOOKUP($H247, SeanRanks!$A$2:$H$303, 7, FALSE)=0, "", VLOOKUP($H247, SeanRanks!$A$2:$H$303, 7, FALSE))</f>
        <v>#N/A</v>
      </c>
    </row>
    <row r="248" spans="1:24" ht="14.25" customHeight="1" x14ac:dyDescent="0.25">
      <c r="A248" s="11"/>
      <c r="B248" s="11" t="e">
        <f t="shared" si="6"/>
        <v>#N/A</v>
      </c>
      <c r="C248" s="11" t="s">
        <v>148</v>
      </c>
      <c r="D248" s="11"/>
      <c r="E248" s="11"/>
      <c r="F248" s="11">
        <f t="shared" si="1"/>
        <v>0</v>
      </c>
      <c r="G248" s="11"/>
      <c r="H248" s="11" t="s">
        <v>947</v>
      </c>
      <c r="I248" s="11" t="e">
        <f>VLOOKUP($H248, 'ADP Data'!$B$4:$Q$300, 2, FALSE)</f>
        <v>#N/A</v>
      </c>
      <c r="J248" s="11" t="s">
        <v>769</v>
      </c>
      <c r="K248" s="11">
        <f>VLOOKUP($H248, SeanRanks!$A$2:$H$303, 5, FALSE)</f>
        <v>0</v>
      </c>
      <c r="L248" s="11" t="str">
        <f>IF(VLOOKUP($H248, SeanRanks!$A$2:$H$303, 6, FALSE)=0, "", VLOOKUP($H248, SeanRanks!$A$2:$H$303, 6, FALSE))</f>
        <v/>
      </c>
      <c r="M248" s="11">
        <f t="shared" si="2"/>
        <v>16</v>
      </c>
      <c r="N248" s="11" t="e">
        <f>VLOOKUP($H248, 'ADP Data'!$B$4:$Q$300, 10, FALSE)</f>
        <v>#N/A</v>
      </c>
      <c r="O248" s="11" t="e">
        <f>VLOOKUP($H248, 'ADP Data'!$B$4:$Q$300, 4, FALSE)</f>
        <v>#N/A</v>
      </c>
      <c r="P248" s="11" t="e">
        <f t="shared" si="3"/>
        <v>#N/A</v>
      </c>
      <c r="Q248" s="11" t="e">
        <f>VLOOKUP($H248, 'ADP Data'!$B$4:$Q$300, 5, FALSE)</f>
        <v>#N/A</v>
      </c>
      <c r="R248" s="11" t="e">
        <f>VLOOKUP($H248, 'ADP Data'!$B$4:$Q$300, 6, FALSE)</f>
        <v>#N/A</v>
      </c>
      <c r="S248" s="11" t="e">
        <f>VLOOKUP($H248, 'ADP Data'!$B$4:$Q$300, 7, FALSE)</f>
        <v>#N/A</v>
      </c>
      <c r="T248" s="11" t="e">
        <f>VLOOKUP($H248, 'ADP Data'!$B$4:$Q$300, 8, FALSE)</f>
        <v>#N/A</v>
      </c>
      <c r="U248" s="11" t="e">
        <f>VLOOKUP($H248, 'ADP Data'!$B$4:$Q$300, 9, FALSE)</f>
        <v>#N/A</v>
      </c>
      <c r="V248" s="11" t="e">
        <f t="shared" si="4"/>
        <v>#N/A</v>
      </c>
      <c r="W248" s="11" t="e">
        <f t="shared" si="5"/>
        <v>#N/A</v>
      </c>
      <c r="X248" s="11" t="str">
        <f>IF(VLOOKUP($H248, SeanRanks!$A$2:$H$303, 7, FALSE)=0, "", VLOOKUP($H248, SeanRanks!$A$2:$H$303, 7, FALSE))</f>
        <v/>
      </c>
    </row>
    <row r="249" spans="1:24" ht="14.25" customHeight="1" x14ac:dyDescent="0.25">
      <c r="A249" s="11"/>
      <c r="B249" s="11" t="e">
        <f t="shared" si="6"/>
        <v>#N/A</v>
      </c>
      <c r="C249" s="11" t="s">
        <v>148</v>
      </c>
      <c r="D249" s="11"/>
      <c r="E249" s="11"/>
      <c r="F249" s="11">
        <f t="shared" si="1"/>
        <v>0</v>
      </c>
      <c r="G249" s="11"/>
      <c r="H249" s="11" t="s">
        <v>923</v>
      </c>
      <c r="I249" s="11" t="e">
        <f>VLOOKUP($H249, 'ADP Data'!$B$4:$Q$300, 2, FALSE)</f>
        <v>#N/A</v>
      </c>
      <c r="J249" s="11" t="s">
        <v>769</v>
      </c>
      <c r="K249" s="11">
        <f>VLOOKUP($H249, SeanRanks!$A$2:$H$303, 5, FALSE)</f>
        <v>0</v>
      </c>
      <c r="L249" s="11" t="str">
        <f>IF(VLOOKUP($H249, SeanRanks!$A$2:$H$303, 6, FALSE)=0, "", VLOOKUP($H249, SeanRanks!$A$2:$H$303, 6, FALSE))</f>
        <v/>
      </c>
      <c r="M249" s="11">
        <f t="shared" si="2"/>
        <v>16</v>
      </c>
      <c r="N249" s="11" t="e">
        <f>VLOOKUP($H249, 'ADP Data'!$B$4:$Q$300, 10, FALSE)</f>
        <v>#N/A</v>
      </c>
      <c r="O249" s="11" t="e">
        <f>VLOOKUP($H249, 'ADP Data'!$B$4:$Q$300, 4, FALSE)</f>
        <v>#N/A</v>
      </c>
      <c r="P249" s="11" t="e">
        <f t="shared" si="3"/>
        <v>#N/A</v>
      </c>
      <c r="Q249" s="11" t="e">
        <f>VLOOKUP($H249, 'ADP Data'!$B$4:$Q$300, 5, FALSE)</f>
        <v>#N/A</v>
      </c>
      <c r="R249" s="11" t="e">
        <f>VLOOKUP($H249, 'ADP Data'!$B$4:$Q$300, 6, FALSE)</f>
        <v>#N/A</v>
      </c>
      <c r="S249" s="11" t="e">
        <f>VLOOKUP($H249, 'ADP Data'!$B$4:$Q$300, 7, FALSE)</f>
        <v>#N/A</v>
      </c>
      <c r="T249" s="11" t="e">
        <f>VLOOKUP($H249, 'ADP Data'!$B$4:$Q$300, 8, FALSE)</f>
        <v>#N/A</v>
      </c>
      <c r="U249" s="11" t="e">
        <f>VLOOKUP($H249, 'ADP Data'!$B$4:$Q$300, 9, FALSE)</f>
        <v>#N/A</v>
      </c>
      <c r="V249" s="11" t="e">
        <f t="shared" si="4"/>
        <v>#N/A</v>
      </c>
      <c r="W249" s="11" t="e">
        <f t="shared" si="5"/>
        <v>#N/A</v>
      </c>
      <c r="X249" s="11" t="str">
        <f>IF(VLOOKUP($H249, SeanRanks!$A$2:$H$303, 7, FALSE)=0, "", VLOOKUP($H249, SeanRanks!$A$2:$H$303, 7, FALSE))</f>
        <v/>
      </c>
    </row>
    <row r="250" spans="1:24" ht="14.25" customHeight="1" x14ac:dyDescent="0.25">
      <c r="A250" s="11"/>
      <c r="B250" s="11" t="e">
        <f t="shared" si="6"/>
        <v>#N/A</v>
      </c>
      <c r="C250" s="11" t="s">
        <v>148</v>
      </c>
      <c r="D250" s="11"/>
      <c r="E250" s="11"/>
      <c r="F250" s="11">
        <f t="shared" si="1"/>
        <v>0</v>
      </c>
      <c r="G250" s="11"/>
      <c r="H250" s="11" t="s">
        <v>1312</v>
      </c>
      <c r="I250" s="11" t="e">
        <f>VLOOKUP($H250, 'ADP Data'!$B$4:$Q$300, 2, FALSE)</f>
        <v>#N/A</v>
      </c>
      <c r="J250" s="11" t="s">
        <v>764</v>
      </c>
      <c r="K250" s="11" t="e">
        <f>VLOOKUP($H250, SeanRanks!$A$2:$H$303, 5, FALSE)</f>
        <v>#N/A</v>
      </c>
      <c r="L250" s="11" t="e">
        <f>IF(VLOOKUP($H250, SeanRanks!$A$2:$H$303, 6, FALSE)=0, "", VLOOKUP($H250, SeanRanks!$A$2:$H$303, 6, FALSE))</f>
        <v>#N/A</v>
      </c>
      <c r="M250" s="11">
        <f t="shared" si="2"/>
        <v>16</v>
      </c>
      <c r="N250" s="11" t="e">
        <f>VLOOKUP($H250, 'ADP Data'!$B$4:$Q$300, 10, FALSE)</f>
        <v>#N/A</v>
      </c>
      <c r="O250" s="11" t="e">
        <f>VLOOKUP($H250, 'ADP Data'!$B$4:$Q$300, 4, FALSE)</f>
        <v>#N/A</v>
      </c>
      <c r="P250" s="11" t="e">
        <f t="shared" si="3"/>
        <v>#N/A</v>
      </c>
      <c r="Q250" s="11" t="e">
        <f>VLOOKUP($H250, 'ADP Data'!$B$4:$Q$300, 5, FALSE)</f>
        <v>#N/A</v>
      </c>
      <c r="R250" s="11" t="e">
        <f>VLOOKUP($H250, 'ADP Data'!$B$4:$Q$300, 6, FALSE)</f>
        <v>#N/A</v>
      </c>
      <c r="S250" s="11" t="e">
        <f>VLOOKUP($H250, 'ADP Data'!$B$4:$Q$300, 7, FALSE)</f>
        <v>#N/A</v>
      </c>
      <c r="T250" s="11" t="e">
        <f>VLOOKUP($H250, 'ADP Data'!$B$4:$Q$300, 8, FALSE)</f>
        <v>#N/A</v>
      </c>
      <c r="U250" s="11" t="e">
        <f>VLOOKUP($H250, 'ADP Data'!$B$4:$Q$300, 9, FALSE)</f>
        <v>#N/A</v>
      </c>
      <c r="V250" s="11" t="e">
        <f t="shared" si="4"/>
        <v>#N/A</v>
      </c>
      <c r="W250" s="11" t="e">
        <f t="shared" si="5"/>
        <v>#N/A</v>
      </c>
      <c r="X250" s="11" t="e">
        <f>IF(VLOOKUP($H250, SeanRanks!$A$2:$H$303, 7, FALSE)=0, "", VLOOKUP($H250, SeanRanks!$A$2:$H$303, 7, FALSE))</f>
        <v>#N/A</v>
      </c>
    </row>
    <row r="251" spans="1:24" ht="14.25" customHeight="1" x14ac:dyDescent="0.25">
      <c r="A251" s="11"/>
      <c r="B251" s="11" t="e">
        <f t="shared" si="6"/>
        <v>#N/A</v>
      </c>
      <c r="C251" s="11" t="s">
        <v>148</v>
      </c>
      <c r="D251" s="11"/>
      <c r="E251" s="11"/>
      <c r="F251" s="11">
        <f t="shared" si="1"/>
        <v>0</v>
      </c>
      <c r="G251" s="11"/>
      <c r="H251" s="11" t="s">
        <v>1313</v>
      </c>
      <c r="I251" s="11" t="e">
        <f>VLOOKUP($H251, 'ADP Data'!$B$4:$Q$300, 2, FALSE)</f>
        <v>#N/A</v>
      </c>
      <c r="J251" s="11" t="s">
        <v>760</v>
      </c>
      <c r="K251" s="11" t="e">
        <f>VLOOKUP($H251, SeanRanks!$A$2:$H$303, 5, FALSE)</f>
        <v>#N/A</v>
      </c>
      <c r="L251" s="11" t="e">
        <f>IF(VLOOKUP($H251, SeanRanks!$A$2:$H$303, 6, FALSE)=0, "", VLOOKUP($H251, SeanRanks!$A$2:$H$303, 6, FALSE))</f>
        <v>#N/A</v>
      </c>
      <c r="M251" s="11">
        <f t="shared" si="2"/>
        <v>16</v>
      </c>
      <c r="N251" s="11" t="e">
        <f>VLOOKUP($H251, 'ADP Data'!$B$4:$Q$300, 10, FALSE)</f>
        <v>#N/A</v>
      </c>
      <c r="O251" s="11" t="e">
        <f>VLOOKUP($H251, 'ADP Data'!$B$4:$Q$300, 4, FALSE)</f>
        <v>#N/A</v>
      </c>
      <c r="P251" s="11" t="e">
        <f t="shared" si="3"/>
        <v>#N/A</v>
      </c>
      <c r="Q251" s="11" t="e">
        <f>VLOOKUP($H251, 'ADP Data'!$B$4:$Q$300, 5, FALSE)</f>
        <v>#N/A</v>
      </c>
      <c r="R251" s="11" t="e">
        <f>VLOOKUP($H251, 'ADP Data'!$B$4:$Q$300, 6, FALSE)</f>
        <v>#N/A</v>
      </c>
      <c r="S251" s="11" t="e">
        <f>VLOOKUP($H251, 'ADP Data'!$B$4:$Q$300, 7, FALSE)</f>
        <v>#N/A</v>
      </c>
      <c r="T251" s="11" t="e">
        <f>VLOOKUP($H251, 'ADP Data'!$B$4:$Q$300, 8, FALSE)</f>
        <v>#N/A</v>
      </c>
      <c r="U251" s="11" t="e">
        <f>VLOOKUP($H251, 'ADP Data'!$B$4:$Q$300, 9, FALSE)</f>
        <v>#N/A</v>
      </c>
      <c r="V251" s="11" t="e">
        <f t="shared" si="4"/>
        <v>#N/A</v>
      </c>
      <c r="W251" s="11" t="e">
        <f t="shared" si="5"/>
        <v>#N/A</v>
      </c>
      <c r="X251" s="11" t="e">
        <f>IF(VLOOKUP($H251, SeanRanks!$A$2:$H$303, 7, FALSE)=0, "", VLOOKUP($H251, SeanRanks!$A$2:$H$303, 7, FALSE))</f>
        <v>#N/A</v>
      </c>
    </row>
    <row r="252" spans="1:24" ht="14.25" customHeight="1" x14ac:dyDescent="0.25">
      <c r="A252" s="11"/>
      <c r="B252" s="11" t="e">
        <f t="shared" si="6"/>
        <v>#N/A</v>
      </c>
      <c r="C252" s="11" t="s">
        <v>148</v>
      </c>
      <c r="D252" s="11"/>
      <c r="E252" s="11"/>
      <c r="F252" s="11">
        <f t="shared" si="1"/>
        <v>0</v>
      </c>
      <c r="G252" s="11"/>
      <c r="H252" s="11" t="s">
        <v>836</v>
      </c>
      <c r="I252" s="11" t="e">
        <f>VLOOKUP($H252, 'ADP Data'!$B$4:$Q$300, 2, FALSE)</f>
        <v>#N/A</v>
      </c>
      <c r="J252" s="11" t="s">
        <v>760</v>
      </c>
      <c r="K252" s="11" t="e">
        <f>VLOOKUP($H252, SeanRanks!$A$2:$H$303, 5, FALSE)</f>
        <v>#N/A</v>
      </c>
      <c r="L252" s="11" t="e">
        <f>IF(VLOOKUP($H252, SeanRanks!$A$2:$H$303, 6, FALSE)=0, "", VLOOKUP($H252, SeanRanks!$A$2:$H$303, 6, FALSE))</f>
        <v>#N/A</v>
      </c>
      <c r="M252" s="11">
        <f t="shared" si="2"/>
        <v>16</v>
      </c>
      <c r="N252" s="11" t="e">
        <f>VLOOKUP($H252, 'ADP Data'!$B$4:$Q$300, 10, FALSE)</f>
        <v>#N/A</v>
      </c>
      <c r="O252" s="11" t="e">
        <f>VLOOKUP($H252, 'ADP Data'!$B$4:$Q$300, 4, FALSE)</f>
        <v>#N/A</v>
      </c>
      <c r="P252" s="11" t="e">
        <f t="shared" si="3"/>
        <v>#N/A</v>
      </c>
      <c r="Q252" s="11" t="e">
        <f>VLOOKUP($H252, 'ADP Data'!$B$4:$Q$300, 5, FALSE)</f>
        <v>#N/A</v>
      </c>
      <c r="R252" s="11" t="e">
        <f>VLOOKUP($H252, 'ADP Data'!$B$4:$Q$300, 6, FALSE)</f>
        <v>#N/A</v>
      </c>
      <c r="S252" s="11" t="e">
        <f>VLOOKUP($H252, 'ADP Data'!$B$4:$Q$300, 7, FALSE)</f>
        <v>#N/A</v>
      </c>
      <c r="T252" s="11" t="e">
        <f>VLOOKUP($H252, 'ADP Data'!$B$4:$Q$300, 8, FALSE)</f>
        <v>#N/A</v>
      </c>
      <c r="U252" s="11" t="e">
        <f>VLOOKUP($H252, 'ADP Data'!$B$4:$Q$300, 9, FALSE)</f>
        <v>#N/A</v>
      </c>
      <c r="V252" s="11" t="e">
        <f t="shared" si="4"/>
        <v>#N/A</v>
      </c>
      <c r="W252" s="11" t="e">
        <f t="shared" si="5"/>
        <v>#N/A</v>
      </c>
      <c r="X252" s="11" t="e">
        <f>IF(VLOOKUP($H252, SeanRanks!$A$2:$H$303, 7, FALSE)=0, "", VLOOKUP($H252, SeanRanks!$A$2:$H$303, 7, FALSE))</f>
        <v>#N/A</v>
      </c>
    </row>
    <row r="253" spans="1:24" ht="14.25" customHeight="1" x14ac:dyDescent="0.25">
      <c r="A253" s="11"/>
      <c r="B253" s="11" t="e">
        <f t="shared" si="6"/>
        <v>#N/A</v>
      </c>
      <c r="C253" s="11" t="s">
        <v>148</v>
      </c>
      <c r="D253" s="11"/>
      <c r="E253" s="11"/>
      <c r="F253" s="11">
        <f t="shared" si="1"/>
        <v>0</v>
      </c>
      <c r="G253" s="11"/>
      <c r="H253" s="11" t="s">
        <v>1314</v>
      </c>
      <c r="I253" s="11" t="e">
        <f>VLOOKUP($H253, 'ADP Data'!$B$4:$Q$300, 2, FALSE)</f>
        <v>#N/A</v>
      </c>
      <c r="J253" s="11" t="s">
        <v>764</v>
      </c>
      <c r="K253" s="11" t="e">
        <f>VLOOKUP($H253, SeanRanks!$A$2:$H$303, 5, FALSE)</f>
        <v>#N/A</v>
      </c>
      <c r="L253" s="11" t="e">
        <f>IF(VLOOKUP($H253, SeanRanks!$A$2:$H$303, 6, FALSE)=0, "", VLOOKUP($H253, SeanRanks!$A$2:$H$303, 6, FALSE))</f>
        <v>#N/A</v>
      </c>
      <c r="M253" s="11">
        <f t="shared" si="2"/>
        <v>16</v>
      </c>
      <c r="N253" s="11" t="e">
        <f>VLOOKUP($H253, 'ADP Data'!$B$4:$Q$300, 10, FALSE)</f>
        <v>#N/A</v>
      </c>
      <c r="O253" s="11" t="e">
        <f>VLOOKUP($H253, 'ADP Data'!$B$4:$Q$300, 4, FALSE)</f>
        <v>#N/A</v>
      </c>
      <c r="P253" s="11" t="e">
        <f t="shared" si="3"/>
        <v>#N/A</v>
      </c>
      <c r="Q253" s="11" t="e">
        <f>VLOOKUP($H253, 'ADP Data'!$B$4:$Q$300, 5, FALSE)</f>
        <v>#N/A</v>
      </c>
      <c r="R253" s="11" t="e">
        <f>VLOOKUP($H253, 'ADP Data'!$B$4:$Q$300, 6, FALSE)</f>
        <v>#N/A</v>
      </c>
      <c r="S253" s="11" t="e">
        <f>VLOOKUP($H253, 'ADP Data'!$B$4:$Q$300, 7, FALSE)</f>
        <v>#N/A</v>
      </c>
      <c r="T253" s="11" t="e">
        <f>VLOOKUP($H253, 'ADP Data'!$B$4:$Q$300, 8, FALSE)</f>
        <v>#N/A</v>
      </c>
      <c r="U253" s="11" t="e">
        <f>VLOOKUP($H253, 'ADP Data'!$B$4:$Q$300, 9, FALSE)</f>
        <v>#N/A</v>
      </c>
      <c r="V253" s="11" t="e">
        <f t="shared" si="4"/>
        <v>#N/A</v>
      </c>
      <c r="W253" s="11" t="e">
        <f t="shared" si="5"/>
        <v>#N/A</v>
      </c>
      <c r="X253" s="11" t="e">
        <f>IF(VLOOKUP($H253, SeanRanks!$A$2:$H$303, 7, FALSE)=0, "", VLOOKUP($H253, SeanRanks!$A$2:$H$303, 7, FALSE))</f>
        <v>#N/A</v>
      </c>
    </row>
    <row r="254" spans="1:24" ht="14.25" customHeight="1" x14ac:dyDescent="0.25">
      <c r="A254" s="11"/>
      <c r="B254" s="11" t="e">
        <f t="shared" si="6"/>
        <v>#N/A</v>
      </c>
      <c r="C254" s="11" t="s">
        <v>148</v>
      </c>
      <c r="D254" s="11"/>
      <c r="E254" s="11"/>
      <c r="F254" s="11">
        <f t="shared" si="1"/>
        <v>0</v>
      </c>
      <c r="G254" s="11"/>
      <c r="H254" s="11" t="s">
        <v>75</v>
      </c>
      <c r="I254" s="11" t="e">
        <f>VLOOKUP($H254, 'ADP Data'!$B$4:$Q$300, 2, FALSE)</f>
        <v>#N/A</v>
      </c>
      <c r="J254" s="11" t="s">
        <v>762</v>
      </c>
      <c r="K254" s="11" t="str">
        <f>VLOOKUP($H254, SeanRanks!$A$2:$H$303, 5, FALSE)</f>
        <v>Yes</v>
      </c>
      <c r="L254" s="11" t="str">
        <f>IF(VLOOKUP($H254, SeanRanks!$A$2:$H$303, 6, FALSE)=0, "", VLOOKUP($H254, SeanRanks!$A$2:$H$303, 6, FALSE))</f>
        <v>RB1 - 2 - Elite ceiling/questions</v>
      </c>
      <c r="M254" s="11">
        <f t="shared" si="2"/>
        <v>16</v>
      </c>
      <c r="N254" s="11" t="e">
        <f>VLOOKUP($H254, 'ADP Data'!$B$4:$Q$300, 10, FALSE)</f>
        <v>#N/A</v>
      </c>
      <c r="O254" s="11" t="e">
        <f>VLOOKUP($H254, 'ADP Data'!$B$4:$Q$300, 4, FALSE)</f>
        <v>#N/A</v>
      </c>
      <c r="P254" s="11" t="e">
        <f t="shared" si="3"/>
        <v>#N/A</v>
      </c>
      <c r="Q254" s="11" t="e">
        <f>VLOOKUP($H254, 'ADP Data'!$B$4:$Q$300, 5, FALSE)</f>
        <v>#N/A</v>
      </c>
      <c r="R254" s="11" t="e">
        <f>VLOOKUP($H254, 'ADP Data'!$B$4:$Q$300, 6, FALSE)</f>
        <v>#N/A</v>
      </c>
      <c r="S254" s="11" t="e">
        <f>VLOOKUP($H254, 'ADP Data'!$B$4:$Q$300, 7, FALSE)</f>
        <v>#N/A</v>
      </c>
      <c r="T254" s="11" t="e">
        <f>VLOOKUP($H254, 'ADP Data'!$B$4:$Q$300, 8, FALSE)</f>
        <v>#N/A</v>
      </c>
      <c r="U254" s="11" t="e">
        <f>VLOOKUP($H254, 'ADP Data'!$B$4:$Q$300, 9, FALSE)</f>
        <v>#N/A</v>
      </c>
      <c r="V254" s="11" t="e">
        <f t="shared" si="4"/>
        <v>#N/A</v>
      </c>
      <c r="W254" s="11" t="e">
        <f t="shared" si="5"/>
        <v>#N/A</v>
      </c>
      <c r="X254" s="11">
        <f>IF(VLOOKUP($H254, SeanRanks!$A$2:$H$303, 7, FALSE)=0, "", VLOOKUP($H254, SeanRanks!$A$2:$H$303, 7, FALSE))</f>
        <v>10</v>
      </c>
    </row>
    <row r="255" spans="1:24" ht="14.25" customHeight="1" x14ac:dyDescent="0.25">
      <c r="A255" s="11"/>
      <c r="B255" s="11" t="e">
        <f t="shared" si="6"/>
        <v>#N/A</v>
      </c>
      <c r="C255" s="11" t="s">
        <v>148</v>
      </c>
      <c r="D255" s="11"/>
      <c r="E255" s="11"/>
      <c r="F255" s="11">
        <f t="shared" si="1"/>
        <v>0</v>
      </c>
      <c r="G255" s="11"/>
      <c r="H255" s="11" t="s">
        <v>1316</v>
      </c>
      <c r="I255" s="58" t="e">
        <f>VLOOKUP($H255, 'ADP Data'!$B$4:$Q$300, 2, FALSE)</f>
        <v>#N/A</v>
      </c>
      <c r="J255" s="11" t="s">
        <v>764</v>
      </c>
      <c r="K255" s="11" t="e">
        <f>VLOOKUP($H255, SeanRanks!$A$2:$H$303, 5, FALSE)</f>
        <v>#N/A</v>
      </c>
      <c r="L255" s="11" t="e">
        <f>IF(VLOOKUP($H255, SeanRanks!$A$2:$H$303, 6, FALSE)=0, "", VLOOKUP($H255, SeanRanks!$A$2:$H$303, 6, FALSE))</f>
        <v>#N/A</v>
      </c>
      <c r="M255" s="11">
        <f t="shared" si="2"/>
        <v>16</v>
      </c>
      <c r="N255" s="11" t="e">
        <f>VLOOKUP($H255, 'ADP Data'!$B$4:$Q$300, 10, FALSE)</f>
        <v>#N/A</v>
      </c>
      <c r="O255" s="11" t="e">
        <f>VLOOKUP($H255, 'ADP Data'!$B$4:$Q$300, 4, FALSE)</f>
        <v>#N/A</v>
      </c>
      <c r="P255" s="11" t="e">
        <f t="shared" si="3"/>
        <v>#N/A</v>
      </c>
      <c r="Q255" s="11" t="e">
        <f>VLOOKUP($H255, 'ADP Data'!$B$4:$Q$300, 5, FALSE)</f>
        <v>#N/A</v>
      </c>
      <c r="R255" s="11" t="e">
        <f>VLOOKUP($H255, 'ADP Data'!$B$4:$Q$300, 6, FALSE)</f>
        <v>#N/A</v>
      </c>
      <c r="S255" s="11" t="e">
        <f>VLOOKUP($H255, 'ADP Data'!$B$4:$Q$300, 7, FALSE)</f>
        <v>#N/A</v>
      </c>
      <c r="T255" s="11" t="e">
        <f>VLOOKUP($H255, 'ADP Data'!$B$4:$Q$300, 8, FALSE)</f>
        <v>#N/A</v>
      </c>
      <c r="U255" s="11" t="e">
        <f>VLOOKUP($H255, 'ADP Data'!$B$4:$Q$300, 9, FALSE)</f>
        <v>#N/A</v>
      </c>
      <c r="V255" s="11" t="e">
        <f t="shared" si="4"/>
        <v>#N/A</v>
      </c>
      <c r="W255" s="11" t="e">
        <f t="shared" si="5"/>
        <v>#N/A</v>
      </c>
      <c r="X255" s="11" t="e">
        <f>IF(VLOOKUP($H255, SeanRanks!$A$2:$H$303, 7, FALSE)=0, "", VLOOKUP($H255, SeanRanks!$A$2:$H$303, 7, FALSE))</f>
        <v>#N/A</v>
      </c>
    </row>
    <row r="256" spans="1:24" ht="14.25" customHeight="1" x14ac:dyDescent="0.25">
      <c r="A256" s="11"/>
      <c r="B256" s="11" t="e">
        <f t="shared" si="6"/>
        <v>#N/A</v>
      </c>
      <c r="C256" s="11" t="s">
        <v>148</v>
      </c>
      <c r="D256" s="11"/>
      <c r="E256" s="11"/>
      <c r="F256" s="11">
        <f t="shared" si="1"/>
        <v>0</v>
      </c>
      <c r="G256" s="11"/>
      <c r="H256" s="11" t="s">
        <v>644</v>
      </c>
      <c r="I256" s="11" t="e">
        <f>VLOOKUP($H256, 'ADP Data'!$B$4:$Q$300, 2, FALSE)</f>
        <v>#N/A</v>
      </c>
      <c r="J256" s="11" t="s">
        <v>773</v>
      </c>
      <c r="K256" s="11">
        <f>VLOOKUP($H256, SeanRanks!$A$2:$H$303, 5, FALSE)</f>
        <v>0</v>
      </c>
      <c r="L256" s="11" t="str">
        <f>IF(VLOOKUP($H256, SeanRanks!$A$2:$H$303, 6, FALSE)=0, "", VLOOKUP($H256, SeanRanks!$A$2:$H$303, 6, FALSE))</f>
        <v/>
      </c>
      <c r="M256" s="11">
        <f t="shared" si="2"/>
        <v>16</v>
      </c>
      <c r="N256" s="11" t="e">
        <f>VLOOKUP($H256, 'ADP Data'!$B$4:$Q$300, 10, FALSE)</f>
        <v>#N/A</v>
      </c>
      <c r="O256" s="11" t="e">
        <f>VLOOKUP($H256, 'ADP Data'!$B$4:$Q$300, 4, FALSE)</f>
        <v>#N/A</v>
      </c>
      <c r="P256" s="11" t="e">
        <f t="shared" si="3"/>
        <v>#N/A</v>
      </c>
      <c r="Q256" s="11" t="e">
        <f>VLOOKUP($H256, 'ADP Data'!$B$4:$Q$300, 5, FALSE)</f>
        <v>#N/A</v>
      </c>
      <c r="R256" s="11" t="e">
        <f>VLOOKUP($H256, 'ADP Data'!$B$4:$Q$300, 6, FALSE)</f>
        <v>#N/A</v>
      </c>
      <c r="S256" s="11" t="e">
        <f>VLOOKUP($H256, 'ADP Data'!$B$4:$Q$300, 7, FALSE)</f>
        <v>#N/A</v>
      </c>
      <c r="T256" s="11" t="e">
        <f>VLOOKUP($H256, 'ADP Data'!$B$4:$Q$300, 8, FALSE)</f>
        <v>#N/A</v>
      </c>
      <c r="U256" s="11" t="e">
        <f>VLOOKUP($H256, 'ADP Data'!$B$4:$Q$300, 9, FALSE)</f>
        <v>#N/A</v>
      </c>
      <c r="V256" s="11" t="e">
        <f t="shared" si="4"/>
        <v>#N/A</v>
      </c>
      <c r="W256" s="11" t="e">
        <f t="shared" si="5"/>
        <v>#N/A</v>
      </c>
      <c r="X256" s="11" t="str">
        <f>IF(VLOOKUP($H256, SeanRanks!$A$2:$H$303, 7, FALSE)=0, "", VLOOKUP($H256, SeanRanks!$A$2:$H$303, 7, FALSE))</f>
        <v/>
      </c>
    </row>
    <row r="257" spans="1:24" ht="14.25" customHeight="1" x14ac:dyDescent="0.25">
      <c r="A257" s="11"/>
      <c r="B257" s="11" t="e">
        <f t="shared" si="6"/>
        <v>#N/A</v>
      </c>
      <c r="C257" s="11" t="s">
        <v>148</v>
      </c>
      <c r="D257" s="11"/>
      <c r="E257" s="11"/>
      <c r="F257" s="11">
        <f t="shared" si="1"/>
        <v>0</v>
      </c>
      <c r="G257" s="11"/>
      <c r="H257" s="11" t="s">
        <v>476</v>
      </c>
      <c r="I257" s="11" t="e">
        <f>VLOOKUP($H257, 'ADP Data'!$B$4:$Q$300, 2, FALSE)</f>
        <v>#N/A</v>
      </c>
      <c r="J257" s="11" t="s">
        <v>773</v>
      </c>
      <c r="K257" s="11">
        <f>VLOOKUP($H257, SeanRanks!$A$2:$H$303, 5, FALSE)</f>
        <v>0</v>
      </c>
      <c r="L257" s="11" t="str">
        <f>IF(VLOOKUP($H257, SeanRanks!$A$2:$H$303, 6, FALSE)=0, "", VLOOKUP($H257, SeanRanks!$A$2:$H$303, 6, FALSE))</f>
        <v/>
      </c>
      <c r="M257" s="11">
        <f t="shared" si="2"/>
        <v>16</v>
      </c>
      <c r="N257" s="11" t="e">
        <f>VLOOKUP($H257, 'ADP Data'!$B$4:$Q$300, 10, FALSE)</f>
        <v>#N/A</v>
      </c>
      <c r="O257" s="11" t="e">
        <f>VLOOKUP($H257, 'ADP Data'!$B$4:$Q$300, 4, FALSE)</f>
        <v>#N/A</v>
      </c>
      <c r="P257" s="11" t="e">
        <f t="shared" si="3"/>
        <v>#N/A</v>
      </c>
      <c r="Q257" s="11" t="e">
        <f>VLOOKUP($H257, 'ADP Data'!$B$4:$Q$300, 5, FALSE)</f>
        <v>#N/A</v>
      </c>
      <c r="R257" s="11" t="e">
        <f>VLOOKUP($H257, 'ADP Data'!$B$4:$Q$300, 6, FALSE)</f>
        <v>#N/A</v>
      </c>
      <c r="S257" s="11" t="e">
        <f>VLOOKUP($H257, 'ADP Data'!$B$4:$Q$300, 7, FALSE)</f>
        <v>#N/A</v>
      </c>
      <c r="T257" s="11" t="e">
        <f>VLOOKUP($H257, 'ADP Data'!$B$4:$Q$300, 8, FALSE)</f>
        <v>#N/A</v>
      </c>
      <c r="U257" s="11" t="e">
        <f>VLOOKUP($H257, 'ADP Data'!$B$4:$Q$300, 9, FALSE)</f>
        <v>#N/A</v>
      </c>
      <c r="V257" s="11" t="e">
        <f t="shared" si="4"/>
        <v>#N/A</v>
      </c>
      <c r="W257" s="11" t="e">
        <f t="shared" si="5"/>
        <v>#N/A</v>
      </c>
      <c r="X257" s="11" t="str">
        <f>IF(VLOOKUP($H257, SeanRanks!$A$2:$H$303, 7, FALSE)=0, "", VLOOKUP($H257, SeanRanks!$A$2:$H$303, 7, FALSE))</f>
        <v/>
      </c>
    </row>
    <row r="258" spans="1:24" ht="14.25" customHeight="1" x14ac:dyDescent="0.25">
      <c r="A258" s="11"/>
      <c r="B258" s="11" t="e">
        <f t="shared" si="6"/>
        <v>#N/A</v>
      </c>
      <c r="C258" s="11" t="s">
        <v>148</v>
      </c>
      <c r="D258" s="11"/>
      <c r="E258" s="11"/>
      <c r="F258" s="11">
        <f t="shared" si="1"/>
        <v>0</v>
      </c>
      <c r="G258" s="11"/>
      <c r="H258" s="11" t="s">
        <v>516</v>
      </c>
      <c r="I258" s="11" t="e">
        <f>VLOOKUP($H258, 'ADP Data'!$B$4:$Q$300, 2, FALSE)</f>
        <v>#N/A</v>
      </c>
      <c r="J258" s="11" t="s">
        <v>773</v>
      </c>
      <c r="K258" s="11" t="e">
        <f>VLOOKUP($H258, SeanRanks!$A$2:$H$303, 5, FALSE)</f>
        <v>#N/A</v>
      </c>
      <c r="L258" s="11" t="e">
        <f>IF(VLOOKUP($H258, SeanRanks!$A$2:$H$303, 6, FALSE)=0, "", VLOOKUP($H258, SeanRanks!$A$2:$H$303, 6, FALSE))</f>
        <v>#N/A</v>
      </c>
      <c r="M258" s="11">
        <f t="shared" si="2"/>
        <v>16</v>
      </c>
      <c r="N258" s="11" t="e">
        <f>VLOOKUP($H258, 'ADP Data'!$B$4:$Q$300, 10, FALSE)</f>
        <v>#N/A</v>
      </c>
      <c r="O258" s="11" t="e">
        <f>VLOOKUP($H258, 'ADP Data'!$B$4:$Q$300, 4, FALSE)</f>
        <v>#N/A</v>
      </c>
      <c r="P258" s="11" t="e">
        <f t="shared" si="3"/>
        <v>#N/A</v>
      </c>
      <c r="Q258" s="11" t="e">
        <f>VLOOKUP($H258, 'ADP Data'!$B$4:$Q$300, 5, FALSE)</f>
        <v>#N/A</v>
      </c>
      <c r="R258" s="11" t="e">
        <f>VLOOKUP($H258, 'ADP Data'!$B$4:$Q$300, 6, FALSE)</f>
        <v>#N/A</v>
      </c>
      <c r="S258" s="11" t="e">
        <f>VLOOKUP($H258, 'ADP Data'!$B$4:$Q$300, 7, FALSE)</f>
        <v>#N/A</v>
      </c>
      <c r="T258" s="11" t="e">
        <f>VLOOKUP($H258, 'ADP Data'!$B$4:$Q$300, 8, FALSE)</f>
        <v>#N/A</v>
      </c>
      <c r="U258" s="11" t="e">
        <f>VLOOKUP($H258, 'ADP Data'!$B$4:$Q$300, 9, FALSE)</f>
        <v>#N/A</v>
      </c>
      <c r="V258" s="11" t="e">
        <f t="shared" si="4"/>
        <v>#N/A</v>
      </c>
      <c r="W258" s="11" t="e">
        <f t="shared" si="5"/>
        <v>#N/A</v>
      </c>
      <c r="X258" s="11" t="e">
        <f>IF(VLOOKUP($H258, SeanRanks!$A$2:$H$303, 7, FALSE)=0, "", VLOOKUP($H258, SeanRanks!$A$2:$H$303, 7, FALSE))</f>
        <v>#N/A</v>
      </c>
    </row>
    <row r="259" spans="1:24" ht="14.25" customHeight="1" x14ac:dyDescent="0.25">
      <c r="A259" s="11"/>
      <c r="B259" s="11" t="e">
        <f t="shared" si="6"/>
        <v>#N/A</v>
      </c>
      <c r="C259" s="11" t="s">
        <v>148</v>
      </c>
      <c r="D259" s="11"/>
      <c r="E259" s="11"/>
      <c r="F259" s="11">
        <f t="shared" si="1"/>
        <v>0</v>
      </c>
      <c r="G259" s="11"/>
      <c r="H259" s="11" t="s">
        <v>519</v>
      </c>
      <c r="I259" s="58" t="e">
        <f>VLOOKUP($H259, 'ADP Data'!$B$4:$Q$300, 2, FALSE)</f>
        <v>#N/A</v>
      </c>
      <c r="J259" s="11" t="s">
        <v>773</v>
      </c>
      <c r="K259" s="11">
        <f>VLOOKUP($H259, SeanRanks!$A$2:$H$303, 5, FALSE)</f>
        <v>0</v>
      </c>
      <c r="L259" s="11" t="str">
        <f>IF(VLOOKUP($H259, SeanRanks!$A$2:$H$303, 6, FALSE)=0, "", VLOOKUP($H259, SeanRanks!$A$2:$H$303, 6, FALSE))</f>
        <v/>
      </c>
      <c r="M259" s="11">
        <f t="shared" si="2"/>
        <v>16</v>
      </c>
      <c r="N259" s="11" t="e">
        <f>VLOOKUP($H259, 'ADP Data'!$B$4:$Q$300, 10, FALSE)</f>
        <v>#N/A</v>
      </c>
      <c r="O259" s="11" t="e">
        <f>VLOOKUP($H259, 'ADP Data'!$B$4:$Q$300, 4, FALSE)</f>
        <v>#N/A</v>
      </c>
      <c r="P259" s="11" t="e">
        <f t="shared" si="3"/>
        <v>#N/A</v>
      </c>
      <c r="Q259" s="11" t="e">
        <f>VLOOKUP($H259, 'ADP Data'!$B$4:$Q$300, 5, FALSE)</f>
        <v>#N/A</v>
      </c>
      <c r="R259" s="11" t="e">
        <f>VLOOKUP($H259, 'ADP Data'!$B$4:$Q$300, 6, FALSE)</f>
        <v>#N/A</v>
      </c>
      <c r="S259" s="11" t="e">
        <f>VLOOKUP($H259, 'ADP Data'!$B$4:$Q$300, 7, FALSE)</f>
        <v>#N/A</v>
      </c>
      <c r="T259" s="11" t="e">
        <f>VLOOKUP($H259, 'ADP Data'!$B$4:$Q$300, 8, FALSE)</f>
        <v>#N/A</v>
      </c>
      <c r="U259" s="11" t="e">
        <f>VLOOKUP($H259, 'ADP Data'!$B$4:$Q$300, 9, FALSE)</f>
        <v>#N/A</v>
      </c>
      <c r="V259" s="11" t="e">
        <f t="shared" si="4"/>
        <v>#N/A</v>
      </c>
      <c r="W259" s="11" t="e">
        <f t="shared" si="5"/>
        <v>#N/A</v>
      </c>
      <c r="X259" s="11" t="str">
        <f>IF(VLOOKUP($H259, SeanRanks!$A$2:$H$303, 7, FALSE)=0, "", VLOOKUP($H259, SeanRanks!$A$2:$H$303, 7, FALSE))</f>
        <v/>
      </c>
    </row>
    <row r="260" spans="1:24" ht="14.25" customHeight="1" x14ac:dyDescent="0.25">
      <c r="A260" s="11"/>
      <c r="B260" s="11" t="e">
        <f t="shared" si="6"/>
        <v>#N/A</v>
      </c>
      <c r="C260" s="11" t="s">
        <v>148</v>
      </c>
      <c r="D260" s="11"/>
      <c r="E260" s="11"/>
      <c r="F260" s="11">
        <f t="shared" si="1"/>
        <v>0</v>
      </c>
      <c r="G260" s="11"/>
      <c r="H260" s="11" t="s">
        <v>1319</v>
      </c>
      <c r="I260" s="57" t="e">
        <f>VLOOKUP($H260, 'ADP Data'!$B$4:$Q$300, 2, FALSE)</f>
        <v>#N/A</v>
      </c>
      <c r="J260" s="11" t="s">
        <v>762</v>
      </c>
      <c r="K260" s="11" t="e">
        <f>VLOOKUP($H260, SeanRanks!$A$2:$H$303, 5, FALSE)</f>
        <v>#N/A</v>
      </c>
      <c r="L260" s="11" t="e">
        <f>IF(VLOOKUP($H260, SeanRanks!$A$2:$H$303, 6, FALSE)=0, "", VLOOKUP($H260, SeanRanks!$A$2:$H$303, 6, FALSE))</f>
        <v>#N/A</v>
      </c>
      <c r="M260" s="11">
        <f t="shared" si="2"/>
        <v>16</v>
      </c>
      <c r="N260" s="11" t="e">
        <f>VLOOKUP($H260, 'ADP Data'!$B$4:$Q$300, 10, FALSE)</f>
        <v>#N/A</v>
      </c>
      <c r="O260" s="11" t="e">
        <f>VLOOKUP($H260, 'ADP Data'!$B$4:$Q$300, 4, FALSE)</f>
        <v>#N/A</v>
      </c>
      <c r="P260" s="11" t="e">
        <f t="shared" si="3"/>
        <v>#N/A</v>
      </c>
      <c r="Q260" s="11" t="e">
        <f>VLOOKUP($H260, 'ADP Data'!$B$4:$Q$300, 5, FALSE)</f>
        <v>#N/A</v>
      </c>
      <c r="R260" s="11" t="e">
        <f>VLOOKUP($H260, 'ADP Data'!$B$4:$Q$300, 6, FALSE)</f>
        <v>#N/A</v>
      </c>
      <c r="S260" s="11" t="e">
        <f>VLOOKUP($H260, 'ADP Data'!$B$4:$Q$300, 7, FALSE)</f>
        <v>#N/A</v>
      </c>
      <c r="T260" s="11" t="e">
        <f>VLOOKUP($H260, 'ADP Data'!$B$4:$Q$300, 8, FALSE)</f>
        <v>#N/A</v>
      </c>
      <c r="U260" s="11" t="e">
        <f>VLOOKUP($H260, 'ADP Data'!$B$4:$Q$300, 9, FALSE)</f>
        <v>#N/A</v>
      </c>
      <c r="V260" s="11" t="e">
        <f t="shared" si="4"/>
        <v>#N/A</v>
      </c>
      <c r="W260" s="11" t="e">
        <f t="shared" si="5"/>
        <v>#N/A</v>
      </c>
      <c r="X260" s="11" t="e">
        <f>IF(VLOOKUP($H260, SeanRanks!$A$2:$H$303, 7, FALSE)=0, "", VLOOKUP($H260, SeanRanks!$A$2:$H$303, 7, FALSE))</f>
        <v>#N/A</v>
      </c>
    </row>
    <row r="261" spans="1:24" ht="14.25" customHeight="1" x14ac:dyDescent="0.25">
      <c r="A261" s="11"/>
      <c r="B261" s="11" t="e">
        <f t="shared" si="6"/>
        <v>#N/A</v>
      </c>
      <c r="C261" s="11" t="s">
        <v>148</v>
      </c>
      <c r="D261" s="11"/>
      <c r="E261" s="11"/>
      <c r="F261" s="11">
        <f t="shared" si="1"/>
        <v>0</v>
      </c>
      <c r="G261" s="11"/>
      <c r="H261" s="11" t="s">
        <v>1273</v>
      </c>
      <c r="I261" s="58" t="e">
        <f>VLOOKUP($H261, 'ADP Data'!$B$4:$Q$300, 2, FALSE)</f>
        <v>#N/A</v>
      </c>
      <c r="J261" s="11" t="s">
        <v>764</v>
      </c>
      <c r="K261" s="11" t="e">
        <f>VLOOKUP($H261, SeanRanks!$A$2:$H$303, 5, FALSE)</f>
        <v>#N/A</v>
      </c>
      <c r="L261" s="11" t="e">
        <f>IF(VLOOKUP($H261, SeanRanks!$A$2:$H$303, 6, FALSE)=0, "", VLOOKUP($H261, SeanRanks!$A$2:$H$303, 6, FALSE))</f>
        <v>#N/A</v>
      </c>
      <c r="M261" s="11">
        <f t="shared" si="2"/>
        <v>16</v>
      </c>
      <c r="N261" s="11" t="e">
        <f>VLOOKUP($H261, 'ADP Data'!$B$4:$Q$300, 10, FALSE)</f>
        <v>#N/A</v>
      </c>
      <c r="O261" s="11" t="e">
        <f>VLOOKUP($H261, 'ADP Data'!$B$4:$Q$300, 4, FALSE)</f>
        <v>#N/A</v>
      </c>
      <c r="P261" s="11" t="e">
        <f t="shared" si="3"/>
        <v>#N/A</v>
      </c>
      <c r="Q261" s="11" t="e">
        <f>VLOOKUP($H261, 'ADP Data'!$B$4:$Q$300, 5, FALSE)</f>
        <v>#N/A</v>
      </c>
      <c r="R261" s="11" t="e">
        <f>VLOOKUP($H261, 'ADP Data'!$B$4:$Q$300, 6, FALSE)</f>
        <v>#N/A</v>
      </c>
      <c r="S261" s="11" t="e">
        <f>VLOOKUP($H261, 'ADP Data'!$B$4:$Q$300, 7, FALSE)</f>
        <v>#N/A</v>
      </c>
      <c r="T261" s="11" t="e">
        <f>VLOOKUP($H261, 'ADP Data'!$B$4:$Q$300, 8, FALSE)</f>
        <v>#N/A</v>
      </c>
      <c r="U261" s="11" t="e">
        <f>VLOOKUP($H261, 'ADP Data'!$B$4:$Q$300, 9, FALSE)</f>
        <v>#N/A</v>
      </c>
      <c r="V261" s="11" t="e">
        <f t="shared" si="4"/>
        <v>#N/A</v>
      </c>
      <c r="W261" s="11" t="e">
        <f t="shared" si="5"/>
        <v>#N/A</v>
      </c>
      <c r="X261" s="11" t="e">
        <f>IF(VLOOKUP($H261, SeanRanks!$A$2:$H$303, 7, FALSE)=0, "", VLOOKUP($H261, SeanRanks!$A$2:$H$303, 7, FALSE))</f>
        <v>#N/A</v>
      </c>
    </row>
    <row r="262" spans="1:24" ht="14.25" customHeight="1" x14ac:dyDescent="0.25">
      <c r="A262" s="11"/>
      <c r="B262" s="11" t="e">
        <f t="shared" si="6"/>
        <v>#N/A</v>
      </c>
      <c r="C262" s="11" t="s">
        <v>148</v>
      </c>
      <c r="D262" s="11"/>
      <c r="E262" s="11"/>
      <c r="F262" s="11">
        <f t="shared" ref="F262:F307" si="7">D262-E262</f>
        <v>0</v>
      </c>
      <c r="G262" s="11"/>
      <c r="H262" s="11" t="s">
        <v>701</v>
      </c>
      <c r="I262" s="11" t="e">
        <f>VLOOKUP($H262, 'ADP Data'!$B$4:$Q$300, 2, FALSE)</f>
        <v>#N/A</v>
      </c>
      <c r="J262" s="11" t="s">
        <v>773</v>
      </c>
      <c r="K262" s="11">
        <f>VLOOKUP($H262, SeanRanks!$A$2:$H$303, 5, FALSE)</f>
        <v>0</v>
      </c>
      <c r="L262" s="11" t="str">
        <f>IF(VLOOKUP($H262, SeanRanks!$A$2:$H$303, 6, FALSE)=0, "", VLOOKUP($H262, SeanRanks!$A$2:$H$303, 6, FALSE))</f>
        <v/>
      </c>
      <c r="M262" s="11">
        <f t="shared" ref="M262:M307" si="8">IFERROR(INT(N262/12)+1, 16)</f>
        <v>16</v>
      </c>
      <c r="N262" s="11" t="e">
        <f>VLOOKUP($H262, 'ADP Data'!$B$4:$Q$300, 10, FALSE)</f>
        <v>#N/A</v>
      </c>
      <c r="O262" s="11" t="e">
        <f>VLOOKUP($H262, 'ADP Data'!$B$4:$Q$300, 4, FALSE)</f>
        <v>#N/A</v>
      </c>
      <c r="P262" s="11" t="e">
        <f t="shared" ref="P262:P307" si="9">N262-O262</f>
        <v>#N/A</v>
      </c>
      <c r="Q262" s="11" t="e">
        <f>VLOOKUP($H262, 'ADP Data'!$B$4:$Q$300, 5, FALSE)</f>
        <v>#N/A</v>
      </c>
      <c r="R262" s="11" t="e">
        <f>VLOOKUP($H262, 'ADP Data'!$B$4:$Q$300, 6, FALSE)</f>
        <v>#N/A</v>
      </c>
      <c r="S262" s="11" t="e">
        <f>VLOOKUP($H262, 'ADP Data'!$B$4:$Q$300, 7, FALSE)</f>
        <v>#N/A</v>
      </c>
      <c r="T262" s="11" t="e">
        <f>VLOOKUP($H262, 'ADP Data'!$B$4:$Q$300, 8, FALSE)</f>
        <v>#N/A</v>
      </c>
      <c r="U262" s="11" t="e">
        <f>VLOOKUP($H262, 'ADP Data'!$B$4:$Q$300, 9, FALSE)</f>
        <v>#N/A</v>
      </c>
      <c r="V262" s="11" t="e">
        <f t="shared" ref="V262:V307" si="10">INT(AVERAGE(N262:O262,Q262:U262))</f>
        <v>#N/A</v>
      </c>
      <c r="W262" s="11" t="e">
        <f t="shared" ref="W262:W307" si="11">R262-V262</f>
        <v>#N/A</v>
      </c>
      <c r="X262" s="11" t="str">
        <f>IF(VLOOKUP($H262, SeanRanks!$A$2:$H$303, 7, FALSE)=0, "", VLOOKUP($H262, SeanRanks!$A$2:$H$303, 7, FALSE))</f>
        <v/>
      </c>
    </row>
    <row r="263" spans="1:24" ht="14.25" customHeight="1" x14ac:dyDescent="0.25">
      <c r="A263" s="11"/>
      <c r="B263" s="11" t="e">
        <f t="shared" si="6"/>
        <v>#N/A</v>
      </c>
      <c r="C263" s="11" t="s">
        <v>148</v>
      </c>
      <c r="D263" s="11"/>
      <c r="E263" s="11"/>
      <c r="F263" s="11">
        <f t="shared" si="7"/>
        <v>0</v>
      </c>
      <c r="G263" s="11"/>
      <c r="H263" s="11" t="s">
        <v>326</v>
      </c>
      <c r="I263" s="11" t="e">
        <f>VLOOKUP($H263, 'ADP Data'!$B$4:$Q$300, 2, FALSE)</f>
        <v>#N/A</v>
      </c>
      <c r="J263" s="11" t="s">
        <v>769</v>
      </c>
      <c r="K263" s="11">
        <f>VLOOKUP($H263, SeanRanks!$A$2:$H$303, 5, FALSE)</f>
        <v>0</v>
      </c>
      <c r="L263" s="11" t="str">
        <f>IF(VLOOKUP($H263, SeanRanks!$A$2:$H$303, 6, FALSE)=0, "", VLOOKUP($H263, SeanRanks!$A$2:$H$303, 6, FALSE))</f>
        <v/>
      </c>
      <c r="M263" s="11">
        <f t="shared" si="8"/>
        <v>16</v>
      </c>
      <c r="N263" s="11" t="e">
        <f>VLOOKUP($H263, 'ADP Data'!$B$4:$Q$300, 10, FALSE)</f>
        <v>#N/A</v>
      </c>
      <c r="O263" s="11" t="e">
        <f>VLOOKUP($H263, 'ADP Data'!$B$4:$Q$300, 4, FALSE)</f>
        <v>#N/A</v>
      </c>
      <c r="P263" s="11" t="e">
        <f t="shared" si="9"/>
        <v>#N/A</v>
      </c>
      <c r="Q263" s="11" t="e">
        <f>VLOOKUP($H263, 'ADP Data'!$B$4:$Q$300, 5, FALSE)</f>
        <v>#N/A</v>
      </c>
      <c r="R263" s="11" t="e">
        <f>VLOOKUP($H263, 'ADP Data'!$B$4:$Q$300, 6, FALSE)</f>
        <v>#N/A</v>
      </c>
      <c r="S263" s="11" t="e">
        <f>VLOOKUP($H263, 'ADP Data'!$B$4:$Q$300, 7, FALSE)</f>
        <v>#N/A</v>
      </c>
      <c r="T263" s="11" t="e">
        <f>VLOOKUP($H263, 'ADP Data'!$B$4:$Q$300, 8, FALSE)</f>
        <v>#N/A</v>
      </c>
      <c r="U263" s="11" t="e">
        <f>VLOOKUP($H263, 'ADP Data'!$B$4:$Q$300, 9, FALSE)</f>
        <v>#N/A</v>
      </c>
      <c r="V263" s="11" t="e">
        <f t="shared" si="10"/>
        <v>#N/A</v>
      </c>
      <c r="W263" s="11" t="e">
        <f t="shared" si="11"/>
        <v>#N/A</v>
      </c>
      <c r="X263" s="11" t="str">
        <f>IF(VLOOKUP($H263, SeanRanks!$A$2:$H$303, 7, FALSE)=0, "", VLOOKUP($H263, SeanRanks!$A$2:$H$303, 7, FALSE))</f>
        <v/>
      </c>
    </row>
    <row r="264" spans="1:24" ht="14.25" customHeight="1" x14ac:dyDescent="0.25">
      <c r="A264" s="11"/>
      <c r="B264" s="11" t="e">
        <f t="shared" si="6"/>
        <v>#N/A</v>
      </c>
      <c r="C264" s="11" t="s">
        <v>148</v>
      </c>
      <c r="D264" s="11"/>
      <c r="E264" s="11"/>
      <c r="F264" s="11">
        <f t="shared" si="7"/>
        <v>0</v>
      </c>
      <c r="G264" s="11"/>
      <c r="H264" s="11" t="s">
        <v>523</v>
      </c>
      <c r="I264" s="58" t="e">
        <f>VLOOKUP($H264, 'ADP Data'!$B$4:$Q$300, 2, FALSE)</f>
        <v>#N/A</v>
      </c>
      <c r="J264" s="11" t="s">
        <v>773</v>
      </c>
      <c r="K264" s="11">
        <f>VLOOKUP($H264, SeanRanks!$A$2:$H$303, 5, FALSE)</f>
        <v>0</v>
      </c>
      <c r="L264" s="11" t="str">
        <f>IF(VLOOKUP($H264, SeanRanks!$A$2:$H$303, 6, FALSE)=0, "", VLOOKUP($H264, SeanRanks!$A$2:$H$303, 6, FALSE))</f>
        <v/>
      </c>
      <c r="M264" s="11">
        <f t="shared" si="8"/>
        <v>16</v>
      </c>
      <c r="N264" s="11" t="e">
        <f>VLOOKUP($H264, 'ADP Data'!$B$4:$Q$300, 10, FALSE)</f>
        <v>#N/A</v>
      </c>
      <c r="O264" s="11" t="e">
        <f>VLOOKUP($H264, 'ADP Data'!$B$4:$Q$300, 4, FALSE)</f>
        <v>#N/A</v>
      </c>
      <c r="P264" s="11" t="e">
        <f t="shared" si="9"/>
        <v>#N/A</v>
      </c>
      <c r="Q264" s="11" t="e">
        <f>VLOOKUP($H264, 'ADP Data'!$B$4:$Q$300, 5, FALSE)</f>
        <v>#N/A</v>
      </c>
      <c r="R264" s="11" t="e">
        <f>VLOOKUP($H264, 'ADP Data'!$B$4:$Q$300, 6, FALSE)</f>
        <v>#N/A</v>
      </c>
      <c r="S264" s="11" t="e">
        <f>VLOOKUP($H264, 'ADP Data'!$B$4:$Q$300, 7, FALSE)</f>
        <v>#N/A</v>
      </c>
      <c r="T264" s="11" t="e">
        <f>VLOOKUP($H264, 'ADP Data'!$B$4:$Q$300, 8, FALSE)</f>
        <v>#N/A</v>
      </c>
      <c r="U264" s="11" t="e">
        <f>VLOOKUP($H264, 'ADP Data'!$B$4:$Q$300, 9, FALSE)</f>
        <v>#N/A</v>
      </c>
      <c r="V264" s="11" t="e">
        <f t="shared" si="10"/>
        <v>#N/A</v>
      </c>
      <c r="W264" s="11" t="e">
        <f t="shared" si="11"/>
        <v>#N/A</v>
      </c>
      <c r="X264" s="11" t="str">
        <f>IF(VLOOKUP($H264, SeanRanks!$A$2:$H$303, 7, FALSE)=0, "", VLOOKUP($H264, SeanRanks!$A$2:$H$303, 7, FALSE))</f>
        <v/>
      </c>
    </row>
    <row r="265" spans="1:24" ht="14.25" customHeight="1" x14ac:dyDescent="0.25">
      <c r="A265" s="11"/>
      <c r="B265" s="11" t="e">
        <f t="shared" si="6"/>
        <v>#N/A</v>
      </c>
      <c r="C265" s="11" t="s">
        <v>148</v>
      </c>
      <c r="D265" s="11"/>
      <c r="E265" s="11"/>
      <c r="F265" s="11">
        <f t="shared" si="7"/>
        <v>0</v>
      </c>
      <c r="G265" s="11"/>
      <c r="H265" s="11" t="s">
        <v>1162</v>
      </c>
      <c r="I265" s="11" t="e">
        <f>VLOOKUP($H265, 'ADP Data'!$B$4:$Q$300, 2, FALSE)</f>
        <v>#N/A</v>
      </c>
      <c r="J265" s="11" t="s">
        <v>760</v>
      </c>
      <c r="K265" s="11" t="e">
        <f>VLOOKUP($H265, SeanRanks!$A$2:$H$303, 5, FALSE)</f>
        <v>#N/A</v>
      </c>
      <c r="L265" s="11" t="e">
        <f>IF(VLOOKUP($H265, SeanRanks!$A$2:$H$303, 6, FALSE)=0, "", VLOOKUP($H265, SeanRanks!$A$2:$H$303, 6, FALSE))</f>
        <v>#N/A</v>
      </c>
      <c r="M265" s="11">
        <f t="shared" si="8"/>
        <v>16</v>
      </c>
      <c r="N265" s="11" t="e">
        <f>VLOOKUP($H265, 'ADP Data'!$B$4:$Q$300, 10, FALSE)</f>
        <v>#N/A</v>
      </c>
      <c r="O265" s="11" t="e">
        <f>VLOOKUP($H265, 'ADP Data'!$B$4:$Q$300, 4, FALSE)</f>
        <v>#N/A</v>
      </c>
      <c r="P265" s="11" t="e">
        <f t="shared" si="9"/>
        <v>#N/A</v>
      </c>
      <c r="Q265" s="11" t="e">
        <f>VLOOKUP($H265, 'ADP Data'!$B$4:$Q$300, 5, FALSE)</f>
        <v>#N/A</v>
      </c>
      <c r="R265" s="11" t="e">
        <f>VLOOKUP($H265, 'ADP Data'!$B$4:$Q$300, 6, FALSE)</f>
        <v>#N/A</v>
      </c>
      <c r="S265" s="11" t="e">
        <f>VLOOKUP($H265, 'ADP Data'!$B$4:$Q$300, 7, FALSE)</f>
        <v>#N/A</v>
      </c>
      <c r="T265" s="11" t="e">
        <f>VLOOKUP($H265, 'ADP Data'!$B$4:$Q$300, 8, FALSE)</f>
        <v>#N/A</v>
      </c>
      <c r="U265" s="11" t="e">
        <f>VLOOKUP($H265, 'ADP Data'!$B$4:$Q$300, 9, FALSE)</f>
        <v>#N/A</v>
      </c>
      <c r="V265" s="11" t="e">
        <f t="shared" si="10"/>
        <v>#N/A</v>
      </c>
      <c r="W265" s="11" t="e">
        <f t="shared" si="11"/>
        <v>#N/A</v>
      </c>
      <c r="X265" s="11" t="e">
        <f>IF(VLOOKUP($H265, SeanRanks!$A$2:$H$303, 7, FALSE)=0, "", VLOOKUP($H265, SeanRanks!$A$2:$H$303, 7, FALSE))</f>
        <v>#N/A</v>
      </c>
    </row>
    <row r="266" spans="1:24" ht="14.25" customHeight="1" x14ac:dyDescent="0.25">
      <c r="A266" s="11"/>
      <c r="B266" s="11" t="e">
        <f t="shared" si="6"/>
        <v>#N/A</v>
      </c>
      <c r="C266" s="11" t="s">
        <v>148</v>
      </c>
      <c r="D266" s="11"/>
      <c r="E266" s="11"/>
      <c r="F266" s="11">
        <f t="shared" si="7"/>
        <v>0</v>
      </c>
      <c r="G266" s="11"/>
      <c r="H266" s="11" t="s">
        <v>512</v>
      </c>
      <c r="I266" s="58" t="e">
        <f>VLOOKUP($H266, 'ADP Data'!$B$4:$Q$300, 2, FALSE)</f>
        <v>#N/A</v>
      </c>
      <c r="J266" s="11" t="s">
        <v>773</v>
      </c>
      <c r="K266" s="11">
        <f>VLOOKUP($H266, SeanRanks!$A$2:$H$303, 5, FALSE)</f>
        <v>0</v>
      </c>
      <c r="L266" s="11" t="str">
        <f>IF(VLOOKUP($H266, SeanRanks!$A$2:$H$303, 6, FALSE)=0, "", VLOOKUP($H266, SeanRanks!$A$2:$H$303, 6, FALSE))</f>
        <v/>
      </c>
      <c r="M266" s="11">
        <f t="shared" si="8"/>
        <v>16</v>
      </c>
      <c r="N266" s="11" t="e">
        <f>VLOOKUP($H266, 'ADP Data'!$B$4:$Q$300, 10, FALSE)</f>
        <v>#N/A</v>
      </c>
      <c r="O266" s="11" t="e">
        <f>VLOOKUP($H266, 'ADP Data'!$B$4:$Q$300, 4, FALSE)</f>
        <v>#N/A</v>
      </c>
      <c r="P266" s="11" t="e">
        <f t="shared" si="9"/>
        <v>#N/A</v>
      </c>
      <c r="Q266" s="11" t="e">
        <f>VLOOKUP($H266, 'ADP Data'!$B$4:$Q$300, 5, FALSE)</f>
        <v>#N/A</v>
      </c>
      <c r="R266" s="11" t="e">
        <f>VLOOKUP($H266, 'ADP Data'!$B$4:$Q$300, 6, FALSE)</f>
        <v>#N/A</v>
      </c>
      <c r="S266" s="11" t="e">
        <f>VLOOKUP($H266, 'ADP Data'!$B$4:$Q$300, 7, FALSE)</f>
        <v>#N/A</v>
      </c>
      <c r="T266" s="11" t="e">
        <f>VLOOKUP($H266, 'ADP Data'!$B$4:$Q$300, 8, FALSE)</f>
        <v>#N/A</v>
      </c>
      <c r="U266" s="11" t="e">
        <f>VLOOKUP($H266, 'ADP Data'!$B$4:$Q$300, 9, FALSE)</f>
        <v>#N/A</v>
      </c>
      <c r="V266" s="11" t="e">
        <f t="shared" si="10"/>
        <v>#N/A</v>
      </c>
      <c r="W266" s="11" t="e">
        <f t="shared" si="11"/>
        <v>#N/A</v>
      </c>
      <c r="X266" s="11" t="str">
        <f>IF(VLOOKUP($H266, SeanRanks!$A$2:$H$303, 7, FALSE)=0, "", VLOOKUP($H266, SeanRanks!$A$2:$H$303, 7, FALSE))</f>
        <v/>
      </c>
    </row>
    <row r="267" spans="1:24" ht="14.25" customHeight="1" x14ac:dyDescent="0.25">
      <c r="A267" s="11"/>
      <c r="B267" s="11" t="e">
        <f t="shared" si="6"/>
        <v>#N/A</v>
      </c>
      <c r="C267" s="11" t="s">
        <v>148</v>
      </c>
      <c r="D267" s="11"/>
      <c r="E267" s="11"/>
      <c r="F267" s="11">
        <f t="shared" si="7"/>
        <v>0</v>
      </c>
      <c r="G267" s="11"/>
      <c r="H267" s="11" t="s">
        <v>1321</v>
      </c>
      <c r="I267" s="11" t="e">
        <f>VLOOKUP($H267, 'ADP Data'!$B$4:$Q$300, 2, FALSE)</f>
        <v>#N/A</v>
      </c>
      <c r="J267" s="11" t="s">
        <v>764</v>
      </c>
      <c r="K267" s="11" t="e">
        <f>VLOOKUP($H267, SeanRanks!$A$2:$H$303, 5, FALSE)</f>
        <v>#N/A</v>
      </c>
      <c r="L267" s="11" t="e">
        <f>IF(VLOOKUP($H267, SeanRanks!$A$2:$H$303, 6, FALSE)=0, "", VLOOKUP($H267, SeanRanks!$A$2:$H$303, 6, FALSE))</f>
        <v>#N/A</v>
      </c>
      <c r="M267" s="11">
        <f t="shared" si="8"/>
        <v>16</v>
      </c>
      <c r="N267" s="11" t="e">
        <f>VLOOKUP($H267, 'ADP Data'!$B$4:$Q$300, 10, FALSE)</f>
        <v>#N/A</v>
      </c>
      <c r="O267" s="11" t="e">
        <f>VLOOKUP($H267, 'ADP Data'!$B$4:$Q$300, 4, FALSE)</f>
        <v>#N/A</v>
      </c>
      <c r="P267" s="11" t="e">
        <f t="shared" si="9"/>
        <v>#N/A</v>
      </c>
      <c r="Q267" s="11" t="e">
        <f>VLOOKUP($H267, 'ADP Data'!$B$4:$Q$300, 5, FALSE)</f>
        <v>#N/A</v>
      </c>
      <c r="R267" s="11" t="e">
        <f>VLOOKUP($H267, 'ADP Data'!$B$4:$Q$300, 6, FALSE)</f>
        <v>#N/A</v>
      </c>
      <c r="S267" s="11" t="e">
        <f>VLOOKUP($H267, 'ADP Data'!$B$4:$Q$300, 7, FALSE)</f>
        <v>#N/A</v>
      </c>
      <c r="T267" s="11" t="e">
        <f>VLOOKUP($H267, 'ADP Data'!$B$4:$Q$300, 8, FALSE)</f>
        <v>#N/A</v>
      </c>
      <c r="U267" s="11" t="e">
        <f>VLOOKUP($H267, 'ADP Data'!$B$4:$Q$300, 9, FALSE)</f>
        <v>#N/A</v>
      </c>
      <c r="V267" s="11" t="e">
        <f t="shared" si="10"/>
        <v>#N/A</v>
      </c>
      <c r="W267" s="11" t="e">
        <f t="shared" si="11"/>
        <v>#N/A</v>
      </c>
      <c r="X267" s="11" t="e">
        <f>IF(VLOOKUP($H267, SeanRanks!$A$2:$H$303, 7, FALSE)=0, "", VLOOKUP($H267, SeanRanks!$A$2:$H$303, 7, FALSE))</f>
        <v>#N/A</v>
      </c>
    </row>
    <row r="268" spans="1:24" ht="14.25" customHeight="1" x14ac:dyDescent="0.25">
      <c r="A268" s="11"/>
      <c r="B268" s="11" t="e">
        <f t="shared" si="6"/>
        <v>#N/A</v>
      </c>
      <c r="C268" s="11" t="s">
        <v>148</v>
      </c>
      <c r="D268" s="11"/>
      <c r="E268" s="11"/>
      <c r="F268" s="11">
        <f t="shared" si="7"/>
        <v>0</v>
      </c>
      <c r="G268" s="11"/>
      <c r="H268" s="11" t="s">
        <v>462</v>
      </c>
      <c r="I268" s="11" t="e">
        <f>VLOOKUP($H268, 'ADP Data'!$B$4:$Q$300, 2, FALSE)</f>
        <v>#N/A</v>
      </c>
      <c r="J268" s="11" t="s">
        <v>773</v>
      </c>
      <c r="K268" s="11">
        <f>VLOOKUP($H268, SeanRanks!$A$2:$H$303, 5, FALSE)</f>
        <v>0</v>
      </c>
      <c r="L268" s="11" t="str">
        <f>IF(VLOOKUP($H268, SeanRanks!$A$2:$H$303, 6, FALSE)=0, "", VLOOKUP($H268, SeanRanks!$A$2:$H$303, 6, FALSE))</f>
        <v/>
      </c>
      <c r="M268" s="11">
        <f t="shared" si="8"/>
        <v>16</v>
      </c>
      <c r="N268" s="11" t="e">
        <f>VLOOKUP($H268, 'ADP Data'!$B$4:$Q$300, 10, FALSE)</f>
        <v>#N/A</v>
      </c>
      <c r="O268" s="11" t="e">
        <f>VLOOKUP($H268, 'ADP Data'!$B$4:$Q$300, 4, FALSE)</f>
        <v>#N/A</v>
      </c>
      <c r="P268" s="11" t="e">
        <f t="shared" si="9"/>
        <v>#N/A</v>
      </c>
      <c r="Q268" s="11" t="e">
        <f>VLOOKUP($H268, 'ADP Data'!$B$4:$Q$300, 5, FALSE)</f>
        <v>#N/A</v>
      </c>
      <c r="R268" s="11" t="e">
        <f>VLOOKUP($H268, 'ADP Data'!$B$4:$Q$300, 6, FALSE)</f>
        <v>#N/A</v>
      </c>
      <c r="S268" s="11" t="e">
        <f>VLOOKUP($H268, 'ADP Data'!$B$4:$Q$300, 7, FALSE)</f>
        <v>#N/A</v>
      </c>
      <c r="T268" s="11" t="e">
        <f>VLOOKUP($H268, 'ADP Data'!$B$4:$Q$300, 8, FALSE)</f>
        <v>#N/A</v>
      </c>
      <c r="U268" s="11" t="e">
        <f>VLOOKUP($H268, 'ADP Data'!$B$4:$Q$300, 9, FALSE)</f>
        <v>#N/A</v>
      </c>
      <c r="V268" s="11" t="e">
        <f t="shared" si="10"/>
        <v>#N/A</v>
      </c>
      <c r="W268" s="11" t="e">
        <f t="shared" si="11"/>
        <v>#N/A</v>
      </c>
      <c r="X268" s="11" t="str">
        <f>IF(VLOOKUP($H268, SeanRanks!$A$2:$H$303, 7, FALSE)=0, "", VLOOKUP($H268, SeanRanks!$A$2:$H$303, 7, FALSE))</f>
        <v/>
      </c>
    </row>
    <row r="269" spans="1:24" ht="14.25" customHeight="1" x14ac:dyDescent="0.25">
      <c r="A269" s="11"/>
      <c r="B269" s="11" t="e">
        <f t="shared" si="6"/>
        <v>#N/A</v>
      </c>
      <c r="C269" s="11" t="s">
        <v>148</v>
      </c>
      <c r="D269" s="11"/>
      <c r="E269" s="11"/>
      <c r="F269" s="11">
        <f t="shared" si="7"/>
        <v>0</v>
      </c>
      <c r="G269" s="11"/>
      <c r="H269" s="11" t="s">
        <v>699</v>
      </c>
      <c r="I269" s="11" t="e">
        <f>VLOOKUP($H269, 'ADP Data'!$B$4:$Q$300, 2, FALSE)</f>
        <v>#N/A</v>
      </c>
      <c r="J269" s="11" t="s">
        <v>769</v>
      </c>
      <c r="K269" s="11" t="e">
        <f>VLOOKUP($H269, SeanRanks!$A$2:$H$303, 5, FALSE)</f>
        <v>#N/A</v>
      </c>
      <c r="L269" s="11" t="e">
        <f>IF(VLOOKUP($H269, SeanRanks!$A$2:$H$303, 6, FALSE)=0, "", VLOOKUP($H269, SeanRanks!$A$2:$H$303, 6, FALSE))</f>
        <v>#N/A</v>
      </c>
      <c r="M269" s="11">
        <f t="shared" si="8"/>
        <v>16</v>
      </c>
      <c r="N269" s="11" t="e">
        <f>VLOOKUP($H269, 'ADP Data'!$B$4:$Q$300, 10, FALSE)</f>
        <v>#N/A</v>
      </c>
      <c r="O269" s="11" t="e">
        <f>VLOOKUP($H269, 'ADP Data'!$B$4:$Q$300, 4, FALSE)</f>
        <v>#N/A</v>
      </c>
      <c r="P269" s="11" t="e">
        <f t="shared" si="9"/>
        <v>#N/A</v>
      </c>
      <c r="Q269" s="11" t="e">
        <f>VLOOKUP($H269, 'ADP Data'!$B$4:$Q$300, 5, FALSE)</f>
        <v>#N/A</v>
      </c>
      <c r="R269" s="11" t="e">
        <f>VLOOKUP($H269, 'ADP Data'!$B$4:$Q$300, 6, FALSE)</f>
        <v>#N/A</v>
      </c>
      <c r="S269" s="11" t="e">
        <f>VLOOKUP($H269, 'ADP Data'!$B$4:$Q$300, 7, FALSE)</f>
        <v>#N/A</v>
      </c>
      <c r="T269" s="11" t="e">
        <f>VLOOKUP($H269, 'ADP Data'!$B$4:$Q$300, 8, FALSE)</f>
        <v>#N/A</v>
      </c>
      <c r="U269" s="11" t="e">
        <f>VLOOKUP($H269, 'ADP Data'!$B$4:$Q$300, 9, FALSE)</f>
        <v>#N/A</v>
      </c>
      <c r="V269" s="11" t="e">
        <f t="shared" si="10"/>
        <v>#N/A</v>
      </c>
      <c r="W269" s="11" t="e">
        <f t="shared" si="11"/>
        <v>#N/A</v>
      </c>
      <c r="X269" s="11" t="e">
        <f>IF(VLOOKUP($H269, SeanRanks!$A$2:$H$303, 7, FALSE)=0, "", VLOOKUP($H269, SeanRanks!$A$2:$H$303, 7, FALSE))</f>
        <v>#N/A</v>
      </c>
    </row>
    <row r="270" spans="1:24" ht="14.25" customHeight="1" x14ac:dyDescent="0.25">
      <c r="A270" s="11"/>
      <c r="B270" s="11" t="e">
        <f t="shared" si="6"/>
        <v>#N/A</v>
      </c>
      <c r="C270" s="11" t="s">
        <v>148</v>
      </c>
      <c r="D270" s="11"/>
      <c r="E270" s="11"/>
      <c r="F270" s="11">
        <f t="shared" si="7"/>
        <v>0</v>
      </c>
      <c r="G270" s="11"/>
      <c r="H270" s="11" t="s">
        <v>1322</v>
      </c>
      <c r="I270" s="11" t="e">
        <f>VLOOKUP($H270, 'ADP Data'!$B$4:$Q$300, 2, FALSE)</f>
        <v>#N/A</v>
      </c>
      <c r="J270" s="11" t="s">
        <v>762</v>
      </c>
      <c r="K270" s="11" t="e">
        <f>VLOOKUP($H270, SeanRanks!$A$2:$H$303, 5, FALSE)</f>
        <v>#N/A</v>
      </c>
      <c r="L270" s="11" t="e">
        <f>IF(VLOOKUP($H270, SeanRanks!$A$2:$H$303, 6, FALSE)=0, "", VLOOKUP($H270, SeanRanks!$A$2:$H$303, 6, FALSE))</f>
        <v>#N/A</v>
      </c>
      <c r="M270" s="11">
        <f t="shared" si="8"/>
        <v>16</v>
      </c>
      <c r="N270" s="11" t="e">
        <f>VLOOKUP($H270, 'ADP Data'!$B$4:$Q$300, 10, FALSE)</f>
        <v>#N/A</v>
      </c>
      <c r="O270" s="11" t="e">
        <f>VLOOKUP($H270, 'ADP Data'!$B$4:$Q$300, 4, FALSE)</f>
        <v>#N/A</v>
      </c>
      <c r="P270" s="11" t="e">
        <f t="shared" si="9"/>
        <v>#N/A</v>
      </c>
      <c r="Q270" s="11" t="e">
        <f>VLOOKUP($H270, 'ADP Data'!$B$4:$Q$300, 5, FALSE)</f>
        <v>#N/A</v>
      </c>
      <c r="R270" s="11" t="e">
        <f>VLOOKUP($H270, 'ADP Data'!$B$4:$Q$300, 6, FALSE)</f>
        <v>#N/A</v>
      </c>
      <c r="S270" s="11" t="e">
        <f>VLOOKUP($H270, 'ADP Data'!$B$4:$Q$300, 7, FALSE)</f>
        <v>#N/A</v>
      </c>
      <c r="T270" s="11" t="e">
        <f>VLOOKUP($H270, 'ADP Data'!$B$4:$Q$300, 8, FALSE)</f>
        <v>#N/A</v>
      </c>
      <c r="U270" s="11" t="e">
        <f>VLOOKUP($H270, 'ADP Data'!$B$4:$Q$300, 9, FALSE)</f>
        <v>#N/A</v>
      </c>
      <c r="V270" s="11" t="e">
        <f t="shared" si="10"/>
        <v>#N/A</v>
      </c>
      <c r="W270" s="11" t="e">
        <f t="shared" si="11"/>
        <v>#N/A</v>
      </c>
      <c r="X270" s="11" t="e">
        <f>IF(VLOOKUP($H270, SeanRanks!$A$2:$H$303, 7, FALSE)=0, "", VLOOKUP($H270, SeanRanks!$A$2:$H$303, 7, FALSE))</f>
        <v>#N/A</v>
      </c>
    </row>
    <row r="271" spans="1:24" ht="14.25" customHeight="1" x14ac:dyDescent="0.25">
      <c r="A271" s="11"/>
      <c r="B271" s="11" t="e">
        <f t="shared" si="6"/>
        <v>#N/A</v>
      </c>
      <c r="C271" s="11" t="s">
        <v>148</v>
      </c>
      <c r="D271" s="11"/>
      <c r="E271" s="11"/>
      <c r="F271" s="11">
        <f t="shared" si="7"/>
        <v>0</v>
      </c>
      <c r="G271" s="11"/>
      <c r="H271" s="11" t="s">
        <v>564</v>
      </c>
      <c r="I271" s="11" t="e">
        <f>VLOOKUP($H271, 'ADP Data'!$B$4:$Q$300, 2, FALSE)</f>
        <v>#N/A</v>
      </c>
      <c r="J271" s="11" t="s">
        <v>772</v>
      </c>
      <c r="K271" s="11" t="e">
        <f>VLOOKUP($H271, SeanRanks!$A$2:$H$303, 5, FALSE)</f>
        <v>#N/A</v>
      </c>
      <c r="L271" s="11" t="e">
        <f>IF(VLOOKUP($H271, SeanRanks!$A$2:$H$303, 6, FALSE)=0, "", VLOOKUP($H271, SeanRanks!$A$2:$H$303, 6, FALSE))</f>
        <v>#N/A</v>
      </c>
      <c r="M271" s="11">
        <f t="shared" si="8"/>
        <v>16</v>
      </c>
      <c r="N271" s="11" t="e">
        <f>VLOOKUP($H271, 'ADP Data'!$B$4:$Q$300, 10, FALSE)</f>
        <v>#N/A</v>
      </c>
      <c r="O271" s="11" t="e">
        <f>VLOOKUP($H271, 'ADP Data'!$B$4:$Q$300, 4, FALSE)</f>
        <v>#N/A</v>
      </c>
      <c r="P271" s="11" t="e">
        <f t="shared" si="9"/>
        <v>#N/A</v>
      </c>
      <c r="Q271" s="11" t="e">
        <f>VLOOKUP($H271, 'ADP Data'!$B$4:$Q$300, 5, FALSE)</f>
        <v>#N/A</v>
      </c>
      <c r="R271" s="11" t="e">
        <f>VLOOKUP($H271, 'ADP Data'!$B$4:$Q$300, 6, FALSE)</f>
        <v>#N/A</v>
      </c>
      <c r="S271" s="11" t="e">
        <f>VLOOKUP($H271, 'ADP Data'!$B$4:$Q$300, 7, FALSE)</f>
        <v>#N/A</v>
      </c>
      <c r="T271" s="11" t="e">
        <f>VLOOKUP($H271, 'ADP Data'!$B$4:$Q$300, 8, FALSE)</f>
        <v>#N/A</v>
      </c>
      <c r="U271" s="11" t="e">
        <f>VLOOKUP($H271, 'ADP Data'!$B$4:$Q$300, 9, FALSE)</f>
        <v>#N/A</v>
      </c>
      <c r="V271" s="11" t="e">
        <f t="shared" si="10"/>
        <v>#N/A</v>
      </c>
      <c r="W271" s="11" t="e">
        <f t="shared" si="11"/>
        <v>#N/A</v>
      </c>
      <c r="X271" s="11" t="e">
        <f>IF(VLOOKUP($H271, SeanRanks!$A$2:$H$303, 7, FALSE)=0, "", VLOOKUP($H271, SeanRanks!$A$2:$H$303, 7, FALSE))</f>
        <v>#N/A</v>
      </c>
    </row>
    <row r="272" spans="1:24" ht="14.25" customHeight="1" x14ac:dyDescent="0.25">
      <c r="A272" s="11"/>
      <c r="B272" s="11" t="e">
        <f t="shared" si="6"/>
        <v>#N/A</v>
      </c>
      <c r="C272" s="11" t="s">
        <v>148</v>
      </c>
      <c r="D272" s="11"/>
      <c r="E272" s="11"/>
      <c r="F272" s="11">
        <f t="shared" si="7"/>
        <v>0</v>
      </c>
      <c r="G272" s="11"/>
      <c r="H272" s="11" t="s">
        <v>975</v>
      </c>
      <c r="I272" s="58" t="e">
        <f>VLOOKUP($H272, 'ADP Data'!$B$4:$Q$300, 2, FALSE)</f>
        <v>#N/A</v>
      </c>
      <c r="J272" s="11" t="s">
        <v>769</v>
      </c>
      <c r="K272" s="11">
        <f>VLOOKUP($H272, SeanRanks!$A$2:$H$303, 5, FALSE)</f>
        <v>0</v>
      </c>
      <c r="L272" s="11" t="str">
        <f>IF(VLOOKUP($H272, SeanRanks!$A$2:$H$303, 6, FALSE)=0, "", VLOOKUP($H272, SeanRanks!$A$2:$H$303, 6, FALSE))</f>
        <v/>
      </c>
      <c r="M272" s="11">
        <f t="shared" si="8"/>
        <v>16</v>
      </c>
      <c r="N272" s="11" t="e">
        <f>VLOOKUP($H272, 'ADP Data'!$B$4:$Q$300, 10, FALSE)</f>
        <v>#N/A</v>
      </c>
      <c r="O272" s="11" t="e">
        <f>VLOOKUP($H272, 'ADP Data'!$B$4:$Q$300, 4, FALSE)</f>
        <v>#N/A</v>
      </c>
      <c r="P272" s="11" t="e">
        <f t="shared" si="9"/>
        <v>#N/A</v>
      </c>
      <c r="Q272" s="11" t="e">
        <f>VLOOKUP($H272, 'ADP Data'!$B$4:$Q$300, 5, FALSE)</f>
        <v>#N/A</v>
      </c>
      <c r="R272" s="11" t="e">
        <f>VLOOKUP($H272, 'ADP Data'!$B$4:$Q$300, 6, FALSE)</f>
        <v>#N/A</v>
      </c>
      <c r="S272" s="11" t="e">
        <f>VLOOKUP($H272, 'ADP Data'!$B$4:$Q$300, 7, FALSE)</f>
        <v>#N/A</v>
      </c>
      <c r="T272" s="11" t="e">
        <f>VLOOKUP($H272, 'ADP Data'!$B$4:$Q$300, 8, FALSE)</f>
        <v>#N/A</v>
      </c>
      <c r="U272" s="11" t="e">
        <f>VLOOKUP($H272, 'ADP Data'!$B$4:$Q$300, 9, FALSE)</f>
        <v>#N/A</v>
      </c>
      <c r="V272" s="11" t="e">
        <f t="shared" si="10"/>
        <v>#N/A</v>
      </c>
      <c r="W272" s="11" t="e">
        <f t="shared" si="11"/>
        <v>#N/A</v>
      </c>
      <c r="X272" s="11" t="str">
        <f>IF(VLOOKUP($H272, SeanRanks!$A$2:$H$303, 7, FALSE)=0, "", VLOOKUP($H272, SeanRanks!$A$2:$H$303, 7, FALSE))</f>
        <v/>
      </c>
    </row>
    <row r="273" spans="1:24" ht="14.25" customHeight="1" x14ac:dyDescent="0.25">
      <c r="A273" s="11"/>
      <c r="B273" s="11" t="e">
        <f t="shared" si="6"/>
        <v>#N/A</v>
      </c>
      <c r="C273" s="11" t="s">
        <v>148</v>
      </c>
      <c r="D273" s="11"/>
      <c r="E273" s="11"/>
      <c r="F273" s="11">
        <f t="shared" si="7"/>
        <v>0</v>
      </c>
      <c r="G273" s="11"/>
      <c r="H273" s="11" t="s">
        <v>1323</v>
      </c>
      <c r="I273" s="11" t="e">
        <f>VLOOKUP($H273, 'ADP Data'!$B$4:$Q$300, 2, FALSE)</f>
        <v>#N/A</v>
      </c>
      <c r="J273" s="11" t="s">
        <v>772</v>
      </c>
      <c r="K273" s="11" t="e">
        <f>VLOOKUP($H273, SeanRanks!$A$2:$H$303, 5, FALSE)</f>
        <v>#N/A</v>
      </c>
      <c r="L273" s="11" t="e">
        <f>IF(VLOOKUP($H273, SeanRanks!$A$2:$H$303, 6, FALSE)=0, "", VLOOKUP($H273, SeanRanks!$A$2:$H$303, 6, FALSE))</f>
        <v>#N/A</v>
      </c>
      <c r="M273" s="11">
        <f t="shared" si="8"/>
        <v>16</v>
      </c>
      <c r="N273" s="11" t="e">
        <f>VLOOKUP($H273, 'ADP Data'!$B$4:$Q$300, 10, FALSE)</f>
        <v>#N/A</v>
      </c>
      <c r="O273" s="11" t="e">
        <f>VLOOKUP($H273, 'ADP Data'!$B$4:$Q$300, 4, FALSE)</f>
        <v>#N/A</v>
      </c>
      <c r="P273" s="11" t="e">
        <f t="shared" si="9"/>
        <v>#N/A</v>
      </c>
      <c r="Q273" s="11" t="e">
        <f>VLOOKUP($H273, 'ADP Data'!$B$4:$Q$300, 5, FALSE)</f>
        <v>#N/A</v>
      </c>
      <c r="R273" s="11" t="e">
        <f>VLOOKUP($H273, 'ADP Data'!$B$4:$Q$300, 6, FALSE)</f>
        <v>#N/A</v>
      </c>
      <c r="S273" s="11" t="e">
        <f>VLOOKUP($H273, 'ADP Data'!$B$4:$Q$300, 7, FALSE)</f>
        <v>#N/A</v>
      </c>
      <c r="T273" s="11" t="e">
        <f>VLOOKUP($H273, 'ADP Data'!$B$4:$Q$300, 8, FALSE)</f>
        <v>#N/A</v>
      </c>
      <c r="U273" s="11" t="e">
        <f>VLOOKUP($H273, 'ADP Data'!$B$4:$Q$300, 9, FALSE)</f>
        <v>#N/A</v>
      </c>
      <c r="V273" s="11" t="e">
        <f t="shared" si="10"/>
        <v>#N/A</v>
      </c>
      <c r="W273" s="11" t="e">
        <f t="shared" si="11"/>
        <v>#N/A</v>
      </c>
      <c r="X273" s="11" t="e">
        <f>IF(VLOOKUP($H273, SeanRanks!$A$2:$H$303, 7, FALSE)=0, "", VLOOKUP($H273, SeanRanks!$A$2:$H$303, 7, FALSE))</f>
        <v>#N/A</v>
      </c>
    </row>
    <row r="274" spans="1:24" ht="14.25" customHeight="1" x14ac:dyDescent="0.25">
      <c r="A274" s="11"/>
      <c r="B274" s="11" t="e">
        <f t="shared" si="6"/>
        <v>#N/A</v>
      </c>
      <c r="C274" s="11" t="s">
        <v>148</v>
      </c>
      <c r="D274" s="11"/>
      <c r="E274" s="11"/>
      <c r="F274" s="11">
        <f t="shared" si="7"/>
        <v>0</v>
      </c>
      <c r="G274" s="11"/>
      <c r="H274" s="11" t="s">
        <v>995</v>
      </c>
      <c r="I274" s="11" t="e">
        <f>VLOOKUP($H274, 'ADP Data'!$B$4:$Q$300, 2, FALSE)</f>
        <v>#N/A</v>
      </c>
      <c r="J274" s="11" t="s">
        <v>769</v>
      </c>
      <c r="K274" s="11" t="e">
        <f>VLOOKUP($H274, SeanRanks!$A$2:$H$303, 5, FALSE)</f>
        <v>#N/A</v>
      </c>
      <c r="L274" s="11" t="e">
        <f>IF(VLOOKUP($H274, SeanRanks!$A$2:$H$303, 6, FALSE)=0, "", VLOOKUP($H274, SeanRanks!$A$2:$H$303, 6, FALSE))</f>
        <v>#N/A</v>
      </c>
      <c r="M274" s="11">
        <f t="shared" si="8"/>
        <v>16</v>
      </c>
      <c r="N274" s="11" t="e">
        <f>VLOOKUP($H274, 'ADP Data'!$B$4:$Q$300, 10, FALSE)</f>
        <v>#N/A</v>
      </c>
      <c r="O274" s="11" t="e">
        <f>VLOOKUP($H274, 'ADP Data'!$B$4:$Q$300, 4, FALSE)</f>
        <v>#N/A</v>
      </c>
      <c r="P274" s="11" t="e">
        <f t="shared" si="9"/>
        <v>#N/A</v>
      </c>
      <c r="Q274" s="11" t="e">
        <f>VLOOKUP($H274, 'ADP Data'!$B$4:$Q$300, 5, FALSE)</f>
        <v>#N/A</v>
      </c>
      <c r="R274" s="11" t="e">
        <f>VLOOKUP($H274, 'ADP Data'!$B$4:$Q$300, 6, FALSE)</f>
        <v>#N/A</v>
      </c>
      <c r="S274" s="11" t="e">
        <f>VLOOKUP($H274, 'ADP Data'!$B$4:$Q$300, 7, FALSE)</f>
        <v>#N/A</v>
      </c>
      <c r="T274" s="11" t="e">
        <f>VLOOKUP($H274, 'ADP Data'!$B$4:$Q$300, 8, FALSE)</f>
        <v>#N/A</v>
      </c>
      <c r="U274" s="11" t="e">
        <f>VLOOKUP($H274, 'ADP Data'!$B$4:$Q$300, 9, FALSE)</f>
        <v>#N/A</v>
      </c>
      <c r="V274" s="11" t="e">
        <f t="shared" si="10"/>
        <v>#N/A</v>
      </c>
      <c r="W274" s="11" t="e">
        <f t="shared" si="11"/>
        <v>#N/A</v>
      </c>
      <c r="X274" s="11" t="e">
        <f>IF(VLOOKUP($H274, SeanRanks!$A$2:$H$303, 7, FALSE)=0, "", VLOOKUP($H274, SeanRanks!$A$2:$H$303, 7, FALSE))</f>
        <v>#N/A</v>
      </c>
    </row>
    <row r="275" spans="1:24" ht="14.25" customHeight="1" x14ac:dyDescent="0.25">
      <c r="A275" s="11"/>
      <c r="B275" s="11" t="e">
        <f t="shared" si="6"/>
        <v>#N/A</v>
      </c>
      <c r="C275" s="11" t="s">
        <v>148</v>
      </c>
      <c r="D275" s="11"/>
      <c r="E275" s="11"/>
      <c r="F275" s="11">
        <f t="shared" si="7"/>
        <v>0</v>
      </c>
      <c r="G275" s="11"/>
      <c r="H275" s="11" t="s">
        <v>950</v>
      </c>
      <c r="I275" s="11" t="e">
        <f>VLOOKUP($H275, 'ADP Data'!$B$4:$Q$300, 2, FALSE)</f>
        <v>#N/A</v>
      </c>
      <c r="J275" s="11" t="s">
        <v>772</v>
      </c>
      <c r="K275" s="11">
        <f>VLOOKUP($H275, SeanRanks!$A$2:$H$303, 5, FALSE)</f>
        <v>0</v>
      </c>
      <c r="L275" s="11" t="str">
        <f>IF(VLOOKUP($H275, SeanRanks!$A$2:$H$303, 6, FALSE)=0, "", VLOOKUP($H275, SeanRanks!$A$2:$H$303, 6, FALSE))</f>
        <v/>
      </c>
      <c r="M275" s="11">
        <f t="shared" si="8"/>
        <v>16</v>
      </c>
      <c r="N275" s="11" t="e">
        <f>VLOOKUP($H275, 'ADP Data'!$B$4:$Q$300, 10, FALSE)</f>
        <v>#N/A</v>
      </c>
      <c r="O275" s="11" t="e">
        <f>VLOOKUP($H275, 'ADP Data'!$B$4:$Q$300, 4, FALSE)</f>
        <v>#N/A</v>
      </c>
      <c r="P275" s="11" t="e">
        <f t="shared" si="9"/>
        <v>#N/A</v>
      </c>
      <c r="Q275" s="11" t="e">
        <f>VLOOKUP($H275, 'ADP Data'!$B$4:$Q$300, 5, FALSE)</f>
        <v>#N/A</v>
      </c>
      <c r="R275" s="11" t="e">
        <f>VLOOKUP($H275, 'ADP Data'!$B$4:$Q$300, 6, FALSE)</f>
        <v>#N/A</v>
      </c>
      <c r="S275" s="11" t="e">
        <f>VLOOKUP($H275, 'ADP Data'!$B$4:$Q$300, 7, FALSE)</f>
        <v>#N/A</v>
      </c>
      <c r="T275" s="11" t="e">
        <f>VLOOKUP($H275, 'ADP Data'!$B$4:$Q$300, 8, FALSE)</f>
        <v>#N/A</v>
      </c>
      <c r="U275" s="11" t="e">
        <f>VLOOKUP($H275, 'ADP Data'!$B$4:$Q$300, 9, FALSE)</f>
        <v>#N/A</v>
      </c>
      <c r="V275" s="11" t="e">
        <f t="shared" si="10"/>
        <v>#N/A</v>
      </c>
      <c r="W275" s="11" t="e">
        <f t="shared" si="11"/>
        <v>#N/A</v>
      </c>
      <c r="X275" s="11" t="str">
        <f>IF(VLOOKUP($H275, SeanRanks!$A$2:$H$303, 7, FALSE)=0, "", VLOOKUP($H275, SeanRanks!$A$2:$H$303, 7, FALSE))</f>
        <v/>
      </c>
    </row>
    <row r="276" spans="1:24" ht="14.25" customHeight="1" x14ac:dyDescent="0.25">
      <c r="A276" s="11"/>
      <c r="B276" s="11" t="e">
        <f t="shared" si="6"/>
        <v>#N/A</v>
      </c>
      <c r="C276" s="11" t="s">
        <v>148</v>
      </c>
      <c r="D276" s="11"/>
      <c r="E276" s="11"/>
      <c r="F276" s="11">
        <f t="shared" si="7"/>
        <v>0</v>
      </c>
      <c r="G276" s="11"/>
      <c r="H276" s="11" t="s">
        <v>984</v>
      </c>
      <c r="I276" s="11" t="e">
        <f>VLOOKUP($H276, 'ADP Data'!$B$4:$Q$300, 2, FALSE)</f>
        <v>#N/A</v>
      </c>
      <c r="J276" s="11" t="s">
        <v>772</v>
      </c>
      <c r="K276" s="11" t="e">
        <f>VLOOKUP($H276, SeanRanks!$A$2:$H$303, 5, FALSE)</f>
        <v>#N/A</v>
      </c>
      <c r="L276" s="11" t="e">
        <f>IF(VLOOKUP($H276, SeanRanks!$A$2:$H$303, 6, FALSE)=0, "", VLOOKUP($H276, SeanRanks!$A$2:$H$303, 6, FALSE))</f>
        <v>#N/A</v>
      </c>
      <c r="M276" s="11">
        <f t="shared" si="8"/>
        <v>16</v>
      </c>
      <c r="N276" s="11" t="e">
        <f>VLOOKUP($H276, 'ADP Data'!$B$4:$Q$300, 10, FALSE)</f>
        <v>#N/A</v>
      </c>
      <c r="O276" s="11" t="e">
        <f>VLOOKUP($H276, 'ADP Data'!$B$4:$Q$300, 4, FALSE)</f>
        <v>#N/A</v>
      </c>
      <c r="P276" s="11" t="e">
        <f t="shared" si="9"/>
        <v>#N/A</v>
      </c>
      <c r="Q276" s="11" t="e">
        <f>VLOOKUP($H276, 'ADP Data'!$B$4:$Q$300, 5, FALSE)</f>
        <v>#N/A</v>
      </c>
      <c r="R276" s="11" t="e">
        <f>VLOOKUP($H276, 'ADP Data'!$B$4:$Q$300, 6, FALSE)</f>
        <v>#N/A</v>
      </c>
      <c r="S276" s="11" t="e">
        <f>VLOOKUP($H276, 'ADP Data'!$B$4:$Q$300, 7, FALSE)</f>
        <v>#N/A</v>
      </c>
      <c r="T276" s="11" t="e">
        <f>VLOOKUP($H276, 'ADP Data'!$B$4:$Q$300, 8, FALSE)</f>
        <v>#N/A</v>
      </c>
      <c r="U276" s="11" t="e">
        <f>VLOOKUP($H276, 'ADP Data'!$B$4:$Q$300, 9, FALSE)</f>
        <v>#N/A</v>
      </c>
      <c r="V276" s="11" t="e">
        <f t="shared" si="10"/>
        <v>#N/A</v>
      </c>
      <c r="W276" s="11" t="e">
        <f t="shared" si="11"/>
        <v>#N/A</v>
      </c>
      <c r="X276" s="11" t="e">
        <f>IF(VLOOKUP($H276, SeanRanks!$A$2:$H$303, 7, FALSE)=0, "", VLOOKUP($H276, SeanRanks!$A$2:$H$303, 7, FALSE))</f>
        <v>#N/A</v>
      </c>
    </row>
    <row r="277" spans="1:24" ht="14.25" customHeight="1" x14ac:dyDescent="0.25">
      <c r="A277" s="11"/>
      <c r="B277" s="11" t="e">
        <f t="shared" si="6"/>
        <v>#N/A</v>
      </c>
      <c r="C277" s="11" t="s">
        <v>148</v>
      </c>
      <c r="D277" s="11"/>
      <c r="E277" s="11"/>
      <c r="F277" s="11">
        <f t="shared" si="7"/>
        <v>0</v>
      </c>
      <c r="G277" s="11"/>
      <c r="H277" s="11" t="s">
        <v>1090</v>
      </c>
      <c r="I277" s="11" t="e">
        <f>VLOOKUP($H277, 'ADP Data'!$B$4:$Q$300, 2, FALSE)</f>
        <v>#N/A</v>
      </c>
      <c r="J277" s="11" t="s">
        <v>772</v>
      </c>
      <c r="K277" s="11">
        <f>VLOOKUP($H277, SeanRanks!$A$2:$H$303, 5, FALSE)</f>
        <v>0</v>
      </c>
      <c r="L277" s="11" t="str">
        <f>IF(VLOOKUP($H277, SeanRanks!$A$2:$H$303, 6, FALSE)=0, "", VLOOKUP($H277, SeanRanks!$A$2:$H$303, 6, FALSE))</f>
        <v/>
      </c>
      <c r="M277" s="11">
        <f t="shared" si="8"/>
        <v>16</v>
      </c>
      <c r="N277" s="11" t="e">
        <f>VLOOKUP($H277, 'ADP Data'!$B$4:$Q$300, 10, FALSE)</f>
        <v>#N/A</v>
      </c>
      <c r="O277" s="11" t="e">
        <f>VLOOKUP($H277, 'ADP Data'!$B$4:$Q$300, 4, FALSE)</f>
        <v>#N/A</v>
      </c>
      <c r="P277" s="11" t="e">
        <f t="shared" si="9"/>
        <v>#N/A</v>
      </c>
      <c r="Q277" s="11" t="e">
        <f>VLOOKUP($H277, 'ADP Data'!$B$4:$Q$300, 5, FALSE)</f>
        <v>#N/A</v>
      </c>
      <c r="R277" s="11" t="e">
        <f>VLOOKUP($H277, 'ADP Data'!$B$4:$Q$300, 6, FALSE)</f>
        <v>#N/A</v>
      </c>
      <c r="S277" s="11" t="e">
        <f>VLOOKUP($H277, 'ADP Data'!$B$4:$Q$300, 7, FALSE)</f>
        <v>#N/A</v>
      </c>
      <c r="T277" s="11" t="e">
        <f>VLOOKUP($H277, 'ADP Data'!$B$4:$Q$300, 8, FALSE)</f>
        <v>#N/A</v>
      </c>
      <c r="U277" s="11" t="e">
        <f>VLOOKUP($H277, 'ADP Data'!$B$4:$Q$300, 9, FALSE)</f>
        <v>#N/A</v>
      </c>
      <c r="V277" s="11" t="e">
        <f t="shared" si="10"/>
        <v>#N/A</v>
      </c>
      <c r="W277" s="11" t="e">
        <f t="shared" si="11"/>
        <v>#N/A</v>
      </c>
      <c r="X277" s="11" t="str">
        <f>IF(VLOOKUP($H277, SeanRanks!$A$2:$H$303, 7, FALSE)=0, "", VLOOKUP($H277, SeanRanks!$A$2:$H$303, 7, FALSE))</f>
        <v/>
      </c>
    </row>
    <row r="278" spans="1:24" ht="14.25" customHeight="1" x14ac:dyDescent="0.25">
      <c r="A278" s="11"/>
      <c r="B278" s="11" t="e">
        <f t="shared" si="6"/>
        <v>#N/A</v>
      </c>
      <c r="C278" s="11" t="s">
        <v>148</v>
      </c>
      <c r="D278" s="11"/>
      <c r="E278" s="11"/>
      <c r="F278" s="11">
        <f t="shared" si="7"/>
        <v>0</v>
      </c>
      <c r="G278" s="11"/>
      <c r="H278" s="11" t="s">
        <v>609</v>
      </c>
      <c r="I278" s="11" t="e">
        <f>VLOOKUP($H278, 'ADP Data'!$B$4:$Q$300, 2, FALSE)</f>
        <v>#N/A</v>
      </c>
      <c r="J278" s="11" t="s">
        <v>773</v>
      </c>
      <c r="K278" s="11">
        <f>VLOOKUP($H278, SeanRanks!$A$2:$H$303, 5, FALSE)</f>
        <v>0</v>
      </c>
      <c r="L278" s="11" t="str">
        <f>IF(VLOOKUP($H278, SeanRanks!$A$2:$H$303, 6, FALSE)=0, "", VLOOKUP($H278, SeanRanks!$A$2:$H$303, 6, FALSE))</f>
        <v/>
      </c>
      <c r="M278" s="11">
        <f t="shared" si="8"/>
        <v>16</v>
      </c>
      <c r="N278" s="11" t="e">
        <f>VLOOKUP($H278, 'ADP Data'!$B$4:$Q$300, 10, FALSE)</f>
        <v>#N/A</v>
      </c>
      <c r="O278" s="11" t="e">
        <f>VLOOKUP($H278, 'ADP Data'!$B$4:$Q$300, 4, FALSE)</f>
        <v>#N/A</v>
      </c>
      <c r="P278" s="11" t="e">
        <f t="shared" si="9"/>
        <v>#N/A</v>
      </c>
      <c r="Q278" s="11" t="e">
        <f>VLOOKUP($H278, 'ADP Data'!$B$4:$Q$300, 5, FALSE)</f>
        <v>#N/A</v>
      </c>
      <c r="R278" s="11" t="e">
        <f>VLOOKUP($H278, 'ADP Data'!$B$4:$Q$300, 6, FALSE)</f>
        <v>#N/A</v>
      </c>
      <c r="S278" s="11" t="e">
        <f>VLOOKUP($H278, 'ADP Data'!$B$4:$Q$300, 7, FALSE)</f>
        <v>#N/A</v>
      </c>
      <c r="T278" s="11" t="e">
        <f>VLOOKUP($H278, 'ADP Data'!$B$4:$Q$300, 8, FALSE)</f>
        <v>#N/A</v>
      </c>
      <c r="U278" s="11" t="e">
        <f>VLOOKUP($H278, 'ADP Data'!$B$4:$Q$300, 9, FALSE)</f>
        <v>#N/A</v>
      </c>
      <c r="V278" s="11" t="e">
        <f t="shared" si="10"/>
        <v>#N/A</v>
      </c>
      <c r="W278" s="11" t="e">
        <f t="shared" si="11"/>
        <v>#N/A</v>
      </c>
      <c r="X278" s="11" t="str">
        <f>IF(VLOOKUP($H278, SeanRanks!$A$2:$H$303, 7, FALSE)=0, "", VLOOKUP($H278, SeanRanks!$A$2:$H$303, 7, FALSE))</f>
        <v/>
      </c>
    </row>
    <row r="279" spans="1:24" ht="14.25" customHeight="1" x14ac:dyDescent="0.25">
      <c r="A279" s="11"/>
      <c r="B279" s="11" t="e">
        <f t="shared" si="6"/>
        <v>#N/A</v>
      </c>
      <c r="C279" s="11" t="s">
        <v>148</v>
      </c>
      <c r="D279" s="11"/>
      <c r="E279" s="11"/>
      <c r="F279" s="11">
        <f t="shared" si="7"/>
        <v>0</v>
      </c>
      <c r="G279" s="11"/>
      <c r="H279" s="11" t="s">
        <v>1234</v>
      </c>
      <c r="I279" s="11" t="e">
        <f>VLOOKUP($H279, 'ADP Data'!$B$4:$Q$300, 2, FALSE)</f>
        <v>#N/A</v>
      </c>
      <c r="J279" s="11" t="s">
        <v>772</v>
      </c>
      <c r="K279" s="11" t="e">
        <f>VLOOKUP($H279, SeanRanks!$A$2:$H$303, 5, FALSE)</f>
        <v>#N/A</v>
      </c>
      <c r="L279" s="11" t="e">
        <f>IF(VLOOKUP($H279, SeanRanks!$A$2:$H$303, 6, FALSE)=0, "", VLOOKUP($H279, SeanRanks!$A$2:$H$303, 6, FALSE))</f>
        <v>#N/A</v>
      </c>
      <c r="M279" s="11">
        <f t="shared" si="8"/>
        <v>16</v>
      </c>
      <c r="N279" s="11" t="e">
        <f>VLOOKUP($H279, 'ADP Data'!$B$4:$Q$300, 10, FALSE)</f>
        <v>#N/A</v>
      </c>
      <c r="O279" s="11" t="e">
        <f>VLOOKUP($H279, 'ADP Data'!$B$4:$Q$300, 4, FALSE)</f>
        <v>#N/A</v>
      </c>
      <c r="P279" s="11" t="e">
        <f t="shared" si="9"/>
        <v>#N/A</v>
      </c>
      <c r="Q279" s="11" t="e">
        <f>VLOOKUP($H279, 'ADP Data'!$B$4:$Q$300, 5, FALSE)</f>
        <v>#N/A</v>
      </c>
      <c r="R279" s="11" t="e">
        <f>VLOOKUP($H279, 'ADP Data'!$B$4:$Q$300, 6, FALSE)</f>
        <v>#N/A</v>
      </c>
      <c r="S279" s="11" t="e">
        <f>VLOOKUP($H279, 'ADP Data'!$B$4:$Q$300, 7, FALSE)</f>
        <v>#N/A</v>
      </c>
      <c r="T279" s="11" t="e">
        <f>VLOOKUP($H279, 'ADP Data'!$B$4:$Q$300, 8, FALSE)</f>
        <v>#N/A</v>
      </c>
      <c r="U279" s="11" t="e">
        <f>VLOOKUP($H279, 'ADP Data'!$B$4:$Q$300, 9, FALSE)</f>
        <v>#N/A</v>
      </c>
      <c r="V279" s="11" t="e">
        <f t="shared" si="10"/>
        <v>#N/A</v>
      </c>
      <c r="W279" s="11" t="e">
        <f t="shared" si="11"/>
        <v>#N/A</v>
      </c>
      <c r="X279" s="11" t="e">
        <f>IF(VLOOKUP($H279, SeanRanks!$A$2:$H$303, 7, FALSE)=0, "", VLOOKUP($H279, SeanRanks!$A$2:$H$303, 7, FALSE))</f>
        <v>#N/A</v>
      </c>
    </row>
    <row r="280" spans="1:24" ht="14.25" customHeight="1" x14ac:dyDescent="0.25">
      <c r="A280" s="11"/>
      <c r="B280" s="11" t="e">
        <f t="shared" si="6"/>
        <v>#N/A</v>
      </c>
      <c r="C280" s="11" t="s">
        <v>148</v>
      </c>
      <c r="D280" s="11"/>
      <c r="E280" s="11"/>
      <c r="F280" s="11">
        <f t="shared" si="7"/>
        <v>0</v>
      </c>
      <c r="G280" s="11"/>
      <c r="H280" s="11" t="s">
        <v>1315</v>
      </c>
      <c r="I280" s="57" t="e">
        <f>VLOOKUP($H280, 'ADP Data'!$B$4:$Q$300, 2, FALSE)</f>
        <v>#N/A</v>
      </c>
      <c r="J280" s="11" t="s">
        <v>762</v>
      </c>
      <c r="K280" s="11" t="e">
        <f>VLOOKUP($H280, SeanRanks!$A$2:$H$303, 5, FALSE)</f>
        <v>#N/A</v>
      </c>
      <c r="L280" s="11" t="e">
        <f>IF(VLOOKUP($H280, SeanRanks!$A$2:$H$303, 6, FALSE)=0, "", VLOOKUP($H280, SeanRanks!$A$2:$H$303, 6, FALSE))</f>
        <v>#N/A</v>
      </c>
      <c r="M280" s="11">
        <f t="shared" si="8"/>
        <v>16</v>
      </c>
      <c r="N280" s="11" t="e">
        <f>VLOOKUP($H280, 'ADP Data'!$B$4:$Q$300, 10, FALSE)</f>
        <v>#N/A</v>
      </c>
      <c r="O280" s="11" t="e">
        <f>VLOOKUP($H280, 'ADP Data'!$B$4:$Q$300, 4, FALSE)</f>
        <v>#N/A</v>
      </c>
      <c r="P280" s="11" t="e">
        <f t="shared" si="9"/>
        <v>#N/A</v>
      </c>
      <c r="Q280" s="11" t="e">
        <f>VLOOKUP($H280, 'ADP Data'!$B$4:$Q$300, 5, FALSE)</f>
        <v>#N/A</v>
      </c>
      <c r="R280" s="11" t="e">
        <f>VLOOKUP($H280, 'ADP Data'!$B$4:$Q$300, 6, FALSE)</f>
        <v>#N/A</v>
      </c>
      <c r="S280" s="11" t="e">
        <f>VLOOKUP($H280, 'ADP Data'!$B$4:$Q$300, 7, FALSE)</f>
        <v>#N/A</v>
      </c>
      <c r="T280" s="11" t="e">
        <f>VLOOKUP($H280, 'ADP Data'!$B$4:$Q$300, 8, FALSE)</f>
        <v>#N/A</v>
      </c>
      <c r="U280" s="11" t="e">
        <f>VLOOKUP($H280, 'ADP Data'!$B$4:$Q$300, 9, FALSE)</f>
        <v>#N/A</v>
      </c>
      <c r="V280" s="11" t="e">
        <f t="shared" si="10"/>
        <v>#N/A</v>
      </c>
      <c r="W280" s="11" t="e">
        <f t="shared" si="11"/>
        <v>#N/A</v>
      </c>
      <c r="X280" s="11" t="e">
        <f>IF(VLOOKUP($H280, SeanRanks!$A$2:$H$303, 7, FALSE)=0, "", VLOOKUP($H280, SeanRanks!$A$2:$H$303, 7, FALSE))</f>
        <v>#N/A</v>
      </c>
    </row>
    <row r="281" spans="1:24" ht="14.25" customHeight="1" x14ac:dyDescent="0.25">
      <c r="A281" s="11"/>
      <c r="B281" s="11" t="e">
        <f t="shared" si="6"/>
        <v>#N/A</v>
      </c>
      <c r="C281" s="11" t="s">
        <v>148</v>
      </c>
      <c r="D281" s="11"/>
      <c r="E281" s="11"/>
      <c r="F281" s="11">
        <f t="shared" si="7"/>
        <v>0</v>
      </c>
      <c r="G281" s="11"/>
      <c r="H281" s="11" t="s">
        <v>1166</v>
      </c>
      <c r="I281" s="11" t="e">
        <f>VLOOKUP($H281, 'ADP Data'!$B$4:$Q$300, 2, FALSE)</f>
        <v>#N/A</v>
      </c>
      <c r="J281" s="11" t="s">
        <v>762</v>
      </c>
      <c r="K281" s="11" t="e">
        <f>VLOOKUP($H281, SeanRanks!$A$2:$H$303, 5, FALSE)</f>
        <v>#N/A</v>
      </c>
      <c r="L281" s="11" t="e">
        <f>IF(VLOOKUP($H281, SeanRanks!$A$2:$H$303, 6, FALSE)=0, "", VLOOKUP($H281, SeanRanks!$A$2:$H$303, 6, FALSE))</f>
        <v>#N/A</v>
      </c>
      <c r="M281" s="11">
        <f t="shared" si="8"/>
        <v>16</v>
      </c>
      <c r="N281" s="11" t="e">
        <f>VLOOKUP($H281, 'ADP Data'!$B$4:$Q$300, 10, FALSE)</f>
        <v>#N/A</v>
      </c>
      <c r="O281" s="11" t="e">
        <f>VLOOKUP($H281, 'ADP Data'!$B$4:$Q$300, 4, FALSE)</f>
        <v>#N/A</v>
      </c>
      <c r="P281" s="11" t="e">
        <f t="shared" si="9"/>
        <v>#N/A</v>
      </c>
      <c r="Q281" s="11" t="e">
        <f>VLOOKUP($H281, 'ADP Data'!$B$4:$Q$300, 5, FALSE)</f>
        <v>#N/A</v>
      </c>
      <c r="R281" s="11" t="e">
        <f>VLOOKUP($H281, 'ADP Data'!$B$4:$Q$300, 6, FALSE)</f>
        <v>#N/A</v>
      </c>
      <c r="S281" s="11" t="e">
        <f>VLOOKUP($H281, 'ADP Data'!$B$4:$Q$300, 7, FALSE)</f>
        <v>#N/A</v>
      </c>
      <c r="T281" s="11" t="e">
        <f>VLOOKUP($H281, 'ADP Data'!$B$4:$Q$300, 8, FALSE)</f>
        <v>#N/A</v>
      </c>
      <c r="U281" s="11" t="e">
        <f>VLOOKUP($H281, 'ADP Data'!$B$4:$Q$300, 9, FALSE)</f>
        <v>#N/A</v>
      </c>
      <c r="V281" s="11" t="e">
        <f t="shared" si="10"/>
        <v>#N/A</v>
      </c>
      <c r="W281" s="11" t="e">
        <f t="shared" si="11"/>
        <v>#N/A</v>
      </c>
      <c r="X281" s="11" t="e">
        <f>IF(VLOOKUP($H281, SeanRanks!$A$2:$H$303, 7, FALSE)=0, "", VLOOKUP($H281, SeanRanks!$A$2:$H$303, 7, FALSE))</f>
        <v>#N/A</v>
      </c>
    </row>
    <row r="282" spans="1:24" ht="14.25" customHeight="1" x14ac:dyDescent="0.25">
      <c r="A282" s="11"/>
      <c r="B282" s="11" t="e">
        <f t="shared" si="6"/>
        <v>#N/A</v>
      </c>
      <c r="C282" s="11" t="s">
        <v>148</v>
      </c>
      <c r="D282" s="11"/>
      <c r="E282" s="11"/>
      <c r="F282" s="11">
        <f t="shared" si="7"/>
        <v>0</v>
      </c>
      <c r="G282" s="11"/>
      <c r="H282" s="11" t="s">
        <v>946</v>
      </c>
      <c r="I282" s="11" t="e">
        <f>VLOOKUP($H282, 'ADP Data'!$B$4:$Q$300, 2, FALSE)</f>
        <v>#N/A</v>
      </c>
      <c r="J282" s="11" t="s">
        <v>773</v>
      </c>
      <c r="K282" s="11">
        <f>VLOOKUP($H282, SeanRanks!$A$2:$H$303, 5, FALSE)</f>
        <v>0</v>
      </c>
      <c r="L282" s="11" t="str">
        <f>IF(VLOOKUP($H282, SeanRanks!$A$2:$H$303, 6, FALSE)=0, "", VLOOKUP($H282, SeanRanks!$A$2:$H$303, 6, FALSE))</f>
        <v/>
      </c>
      <c r="M282" s="11">
        <f t="shared" si="8"/>
        <v>16</v>
      </c>
      <c r="N282" s="11" t="e">
        <f>VLOOKUP($H282, 'ADP Data'!$B$4:$Q$300, 10, FALSE)</f>
        <v>#N/A</v>
      </c>
      <c r="O282" s="11" t="e">
        <f>VLOOKUP($H282, 'ADP Data'!$B$4:$Q$300, 4, FALSE)</f>
        <v>#N/A</v>
      </c>
      <c r="P282" s="11" t="e">
        <f t="shared" si="9"/>
        <v>#N/A</v>
      </c>
      <c r="Q282" s="11" t="e">
        <f>VLOOKUP($H282, 'ADP Data'!$B$4:$Q$300, 5, FALSE)</f>
        <v>#N/A</v>
      </c>
      <c r="R282" s="11" t="e">
        <f>VLOOKUP($H282, 'ADP Data'!$B$4:$Q$300, 6, FALSE)</f>
        <v>#N/A</v>
      </c>
      <c r="S282" s="11" t="e">
        <f>VLOOKUP($H282, 'ADP Data'!$B$4:$Q$300, 7, FALSE)</f>
        <v>#N/A</v>
      </c>
      <c r="T282" s="11" t="e">
        <f>VLOOKUP($H282, 'ADP Data'!$B$4:$Q$300, 8, FALSE)</f>
        <v>#N/A</v>
      </c>
      <c r="U282" s="11" t="e">
        <f>VLOOKUP($H282, 'ADP Data'!$B$4:$Q$300, 9, FALSE)</f>
        <v>#N/A</v>
      </c>
      <c r="V282" s="11" t="e">
        <f t="shared" si="10"/>
        <v>#N/A</v>
      </c>
      <c r="W282" s="11" t="e">
        <f t="shared" si="11"/>
        <v>#N/A</v>
      </c>
      <c r="X282" s="11" t="str">
        <f>IF(VLOOKUP($H282, SeanRanks!$A$2:$H$303, 7, FALSE)=0, "", VLOOKUP($H282, SeanRanks!$A$2:$H$303, 7, FALSE))</f>
        <v/>
      </c>
    </row>
    <row r="283" spans="1:24" ht="14.25" customHeight="1" x14ac:dyDescent="0.25">
      <c r="A283" s="11"/>
      <c r="B283" s="11" t="e">
        <f t="shared" si="6"/>
        <v>#N/A</v>
      </c>
      <c r="C283" s="11" t="s">
        <v>148</v>
      </c>
      <c r="D283" s="11"/>
      <c r="E283" s="11"/>
      <c r="F283" s="11">
        <f t="shared" si="7"/>
        <v>0</v>
      </c>
      <c r="G283" s="11"/>
      <c r="H283" s="11" t="s">
        <v>978</v>
      </c>
      <c r="I283" s="58" t="e">
        <f>VLOOKUP($H283, 'ADP Data'!$B$4:$Q$300, 2, FALSE)</f>
        <v>#N/A</v>
      </c>
      <c r="J283" s="11" t="s">
        <v>764</v>
      </c>
      <c r="K283" s="11" t="e">
        <f>VLOOKUP($H283, SeanRanks!$A$2:$H$303, 5, FALSE)</f>
        <v>#N/A</v>
      </c>
      <c r="L283" s="11" t="e">
        <f>IF(VLOOKUP($H283, SeanRanks!$A$2:$H$303, 6, FALSE)=0, "", VLOOKUP($H283, SeanRanks!$A$2:$H$303, 6, FALSE))</f>
        <v>#N/A</v>
      </c>
      <c r="M283" s="11">
        <f t="shared" si="8"/>
        <v>16</v>
      </c>
      <c r="N283" s="11" t="e">
        <f>VLOOKUP($H283, 'ADP Data'!$B$4:$Q$300, 10, FALSE)</f>
        <v>#N/A</v>
      </c>
      <c r="O283" s="11" t="e">
        <f>VLOOKUP($H283, 'ADP Data'!$B$4:$Q$300, 4, FALSE)</f>
        <v>#N/A</v>
      </c>
      <c r="P283" s="11" t="e">
        <f t="shared" si="9"/>
        <v>#N/A</v>
      </c>
      <c r="Q283" s="11" t="e">
        <f>VLOOKUP($H283, 'ADP Data'!$B$4:$Q$300, 5, FALSE)</f>
        <v>#N/A</v>
      </c>
      <c r="R283" s="11" t="e">
        <f>VLOOKUP($H283, 'ADP Data'!$B$4:$Q$300, 6, FALSE)</f>
        <v>#N/A</v>
      </c>
      <c r="S283" s="11" t="e">
        <f>VLOOKUP($H283, 'ADP Data'!$B$4:$Q$300, 7, FALSE)</f>
        <v>#N/A</v>
      </c>
      <c r="T283" s="11" t="e">
        <f>VLOOKUP($H283, 'ADP Data'!$B$4:$Q$300, 8, FALSE)</f>
        <v>#N/A</v>
      </c>
      <c r="U283" s="11" t="e">
        <f>VLOOKUP($H283, 'ADP Data'!$B$4:$Q$300, 9, FALSE)</f>
        <v>#N/A</v>
      </c>
      <c r="V283" s="11" t="e">
        <f t="shared" si="10"/>
        <v>#N/A</v>
      </c>
      <c r="W283" s="11" t="e">
        <f t="shared" si="11"/>
        <v>#N/A</v>
      </c>
      <c r="X283" s="11" t="e">
        <f>IF(VLOOKUP($H283, SeanRanks!$A$2:$H$303, 7, FALSE)=0, "", VLOOKUP($H283, SeanRanks!$A$2:$H$303, 7, FALSE))</f>
        <v>#N/A</v>
      </c>
    </row>
    <row r="284" spans="1:24" ht="14.25" customHeight="1" x14ac:dyDescent="0.25">
      <c r="A284" s="11"/>
      <c r="B284" s="11" t="e">
        <f t="shared" si="6"/>
        <v>#N/A</v>
      </c>
      <c r="C284" s="11" t="s">
        <v>148</v>
      </c>
      <c r="D284" s="11"/>
      <c r="E284" s="11"/>
      <c r="F284" s="11">
        <f t="shared" si="7"/>
        <v>0</v>
      </c>
      <c r="G284" s="11"/>
      <c r="H284" s="11" t="s">
        <v>1326</v>
      </c>
      <c r="I284" s="11" t="e">
        <f>VLOOKUP($H284, 'ADP Data'!$B$4:$Q$300, 2, FALSE)</f>
        <v>#N/A</v>
      </c>
      <c r="J284" s="11" t="e">
        <f>VLOOKUP($H284, 'ADP Data'!$B$4:$Q$300, 3, FALSE)</f>
        <v>#N/A</v>
      </c>
      <c r="K284" s="11" t="e">
        <f>VLOOKUP($H284, SeanRanks!$A$2:$H$303, 5, FALSE)</f>
        <v>#N/A</v>
      </c>
      <c r="L284" s="11" t="e">
        <f>IF(VLOOKUP($H284, SeanRanks!$A$2:$H$303, 6, FALSE)=0, "", VLOOKUP($H284, SeanRanks!$A$2:$H$303, 6, FALSE))</f>
        <v>#N/A</v>
      </c>
      <c r="M284" s="11">
        <f t="shared" si="8"/>
        <v>16</v>
      </c>
      <c r="N284" s="11" t="e">
        <f>VLOOKUP($H284, 'ADP Data'!$B$4:$Q$300, 10, FALSE)</f>
        <v>#N/A</v>
      </c>
      <c r="O284" s="11" t="e">
        <f>VLOOKUP($H284, 'ADP Data'!$B$4:$Q$300, 4, FALSE)</f>
        <v>#N/A</v>
      </c>
      <c r="P284" s="11" t="e">
        <f t="shared" si="9"/>
        <v>#N/A</v>
      </c>
      <c r="Q284" s="11" t="e">
        <f>VLOOKUP($H284, 'ADP Data'!$B$4:$Q$300, 5, FALSE)</f>
        <v>#N/A</v>
      </c>
      <c r="R284" s="11" t="e">
        <f>VLOOKUP($H284, 'ADP Data'!$B$4:$Q$300, 6, FALSE)</f>
        <v>#N/A</v>
      </c>
      <c r="S284" s="11" t="e">
        <f>VLOOKUP($H284, 'ADP Data'!$B$4:$Q$300, 7, FALSE)</f>
        <v>#N/A</v>
      </c>
      <c r="T284" s="11" t="e">
        <f>VLOOKUP($H284, 'ADP Data'!$B$4:$Q$300, 8, FALSE)</f>
        <v>#N/A</v>
      </c>
      <c r="U284" s="11" t="e">
        <f>VLOOKUP($H284, 'ADP Data'!$B$4:$Q$300, 9, FALSE)</f>
        <v>#N/A</v>
      </c>
      <c r="V284" s="11" t="e">
        <f t="shared" si="10"/>
        <v>#N/A</v>
      </c>
      <c r="W284" s="11" t="e">
        <f t="shared" si="11"/>
        <v>#N/A</v>
      </c>
      <c r="X284" s="11" t="e">
        <f>IF(VLOOKUP($H284, SeanRanks!$A$2:$H$303, 7, FALSE)=0, "", VLOOKUP($H284, SeanRanks!$A$2:$H$303, 7, FALSE))</f>
        <v>#N/A</v>
      </c>
    </row>
    <row r="285" spans="1:24" ht="14.25" customHeight="1" x14ac:dyDescent="0.25">
      <c r="A285" s="11"/>
      <c r="B285" s="11" t="e">
        <f t="shared" si="6"/>
        <v>#N/A</v>
      </c>
      <c r="C285" s="11" t="s">
        <v>148</v>
      </c>
      <c r="D285" s="11"/>
      <c r="E285" s="11"/>
      <c r="F285" s="11">
        <f t="shared" si="7"/>
        <v>0</v>
      </c>
      <c r="G285" s="11"/>
      <c r="H285" s="11" t="s">
        <v>638</v>
      </c>
      <c r="I285" s="11" t="e">
        <f>VLOOKUP($H285, 'ADP Data'!$B$4:$Q$300, 2, FALSE)</f>
        <v>#N/A</v>
      </c>
      <c r="J285" s="11" t="e">
        <f>VLOOKUP($H285, 'ADP Data'!$B$4:$Q$300, 3, FALSE)</f>
        <v>#N/A</v>
      </c>
      <c r="K285" s="11" t="e">
        <f>VLOOKUP($H285, SeanRanks!$A$2:$H$303, 5, FALSE)</f>
        <v>#N/A</v>
      </c>
      <c r="L285" s="11" t="e">
        <f>IF(VLOOKUP($H285, SeanRanks!$A$2:$H$303, 6, FALSE)=0, "", VLOOKUP($H285, SeanRanks!$A$2:$H$303, 6, FALSE))</f>
        <v>#N/A</v>
      </c>
      <c r="M285" s="11">
        <f t="shared" si="8"/>
        <v>16</v>
      </c>
      <c r="N285" s="11" t="e">
        <f>VLOOKUP($H285, 'ADP Data'!$B$4:$Q$300, 10, FALSE)</f>
        <v>#N/A</v>
      </c>
      <c r="O285" s="11" t="e">
        <f>VLOOKUP($H285, 'ADP Data'!$B$4:$Q$300, 4, FALSE)</f>
        <v>#N/A</v>
      </c>
      <c r="P285" s="11" t="e">
        <f t="shared" si="9"/>
        <v>#N/A</v>
      </c>
      <c r="Q285" s="11" t="e">
        <f>VLOOKUP($H285, 'ADP Data'!$B$4:$Q$300, 5, FALSE)</f>
        <v>#N/A</v>
      </c>
      <c r="R285" s="11" t="e">
        <f>VLOOKUP($H285, 'ADP Data'!$B$4:$Q$300, 6, FALSE)</f>
        <v>#N/A</v>
      </c>
      <c r="S285" s="11" t="e">
        <f>VLOOKUP($H285, 'ADP Data'!$B$4:$Q$300, 7, FALSE)</f>
        <v>#N/A</v>
      </c>
      <c r="T285" s="11" t="e">
        <f>VLOOKUP($H285, 'ADP Data'!$B$4:$Q$300, 8, FALSE)</f>
        <v>#N/A</v>
      </c>
      <c r="U285" s="11" t="e">
        <f>VLOOKUP($H285, 'ADP Data'!$B$4:$Q$300, 9, FALSE)</f>
        <v>#N/A</v>
      </c>
      <c r="V285" s="11" t="e">
        <f t="shared" si="10"/>
        <v>#N/A</v>
      </c>
      <c r="W285" s="11" t="e">
        <f t="shared" si="11"/>
        <v>#N/A</v>
      </c>
      <c r="X285" s="11" t="e">
        <f>IF(VLOOKUP($H285, SeanRanks!$A$2:$H$303, 7, FALSE)=0, "", VLOOKUP($H285, SeanRanks!$A$2:$H$303, 7, FALSE))</f>
        <v>#N/A</v>
      </c>
    </row>
    <row r="286" spans="1:24" ht="14.25" customHeight="1" x14ac:dyDescent="0.25">
      <c r="A286" s="11"/>
      <c r="B286" s="11" t="e">
        <f t="shared" si="6"/>
        <v>#N/A</v>
      </c>
      <c r="C286" s="11" t="s">
        <v>148</v>
      </c>
      <c r="D286" s="11"/>
      <c r="E286" s="11"/>
      <c r="F286" s="11">
        <f t="shared" si="7"/>
        <v>0</v>
      </c>
      <c r="G286" s="11"/>
      <c r="H286" s="11" t="s">
        <v>366</v>
      </c>
      <c r="I286" s="11" t="e">
        <f>VLOOKUP($H286, 'ADP Data'!$B$4:$Q$300, 2, FALSE)</f>
        <v>#N/A</v>
      </c>
      <c r="J286" s="11" t="e">
        <f>VLOOKUP($H286, 'ADP Data'!$B$4:$Q$300, 3, FALSE)</f>
        <v>#N/A</v>
      </c>
      <c r="K286" s="11">
        <f>VLOOKUP($H286, SeanRanks!$A$2:$H$303, 5, FALSE)</f>
        <v>0</v>
      </c>
      <c r="L286" s="11" t="str">
        <f>IF(VLOOKUP($H286, SeanRanks!$A$2:$H$303, 6, FALSE)=0, "", VLOOKUP($H286, SeanRanks!$A$2:$H$303, 6, FALSE))</f>
        <v>WR4 - 2 - unclear path to WR2</v>
      </c>
      <c r="M286" s="11">
        <f t="shared" si="8"/>
        <v>16</v>
      </c>
      <c r="N286" s="11" t="e">
        <f>VLOOKUP($H286, 'ADP Data'!$B$4:$Q$300, 10, FALSE)</f>
        <v>#N/A</v>
      </c>
      <c r="O286" s="11" t="e">
        <f>VLOOKUP($H286, 'ADP Data'!$B$4:$Q$300, 4, FALSE)</f>
        <v>#N/A</v>
      </c>
      <c r="P286" s="11" t="e">
        <f t="shared" si="9"/>
        <v>#N/A</v>
      </c>
      <c r="Q286" s="11" t="e">
        <f>VLOOKUP($H286, 'ADP Data'!$B$4:$Q$300, 5, FALSE)</f>
        <v>#N/A</v>
      </c>
      <c r="R286" s="11" t="e">
        <f>VLOOKUP($H286, 'ADP Data'!$B$4:$Q$300, 6, FALSE)</f>
        <v>#N/A</v>
      </c>
      <c r="S286" s="11" t="e">
        <f>VLOOKUP($H286, 'ADP Data'!$B$4:$Q$300, 7, FALSE)</f>
        <v>#N/A</v>
      </c>
      <c r="T286" s="11" t="e">
        <f>VLOOKUP($H286, 'ADP Data'!$B$4:$Q$300, 8, FALSE)</f>
        <v>#N/A</v>
      </c>
      <c r="U286" s="11" t="e">
        <f>VLOOKUP($H286, 'ADP Data'!$B$4:$Q$300, 9, FALSE)</f>
        <v>#N/A</v>
      </c>
      <c r="V286" s="11" t="e">
        <f t="shared" si="10"/>
        <v>#N/A</v>
      </c>
      <c r="W286" s="11" t="e">
        <f t="shared" si="11"/>
        <v>#N/A</v>
      </c>
      <c r="X286" s="11">
        <f>IF(VLOOKUP($H286, SeanRanks!$A$2:$H$303, 7, FALSE)=0, "", VLOOKUP($H286, SeanRanks!$A$2:$H$303, 7, FALSE))</f>
        <v>45</v>
      </c>
    </row>
    <row r="287" spans="1:24" ht="14.25" customHeight="1" x14ac:dyDescent="0.25">
      <c r="A287" s="11"/>
      <c r="B287" s="11" t="e">
        <f t="shared" si="6"/>
        <v>#N/A</v>
      </c>
      <c r="C287" s="11" t="s">
        <v>148</v>
      </c>
      <c r="D287" s="11"/>
      <c r="E287" s="11"/>
      <c r="F287" s="11">
        <f t="shared" si="7"/>
        <v>0</v>
      </c>
      <c r="G287" s="11"/>
      <c r="H287" s="11" t="s">
        <v>290</v>
      </c>
      <c r="I287" s="11" t="e">
        <f>VLOOKUP($H287, 'ADP Data'!$B$4:$Q$300, 2, FALSE)</f>
        <v>#N/A</v>
      </c>
      <c r="J287" s="11" t="e">
        <f>VLOOKUP($H287, 'ADP Data'!$B$4:$Q$300, 3, FALSE)</f>
        <v>#N/A</v>
      </c>
      <c r="K287" s="11" t="str">
        <f>VLOOKUP($H287, SeanRanks!$A$2:$H$303, 5, FALSE)</f>
        <v>No</v>
      </c>
      <c r="L287" s="11" t="str">
        <f>IF(VLOOKUP($H287, SeanRanks!$A$2:$H$303, 6, FALSE)=0, "", VLOOKUP($H287, SeanRanks!$A$2:$H$303, 6, FALSE))</f>
        <v>WR4 - 2 - unclear path to WR2</v>
      </c>
      <c r="M287" s="11">
        <f t="shared" si="8"/>
        <v>16</v>
      </c>
      <c r="N287" s="11" t="e">
        <f>VLOOKUP($H287, 'ADP Data'!$B$4:$Q$300, 10, FALSE)</f>
        <v>#N/A</v>
      </c>
      <c r="O287" s="11" t="e">
        <f>VLOOKUP($H287, 'ADP Data'!$B$4:$Q$300, 4, FALSE)</f>
        <v>#N/A</v>
      </c>
      <c r="P287" s="11" t="e">
        <f t="shared" si="9"/>
        <v>#N/A</v>
      </c>
      <c r="Q287" s="11" t="e">
        <f>VLOOKUP($H287, 'ADP Data'!$B$4:$Q$300, 5, FALSE)</f>
        <v>#N/A</v>
      </c>
      <c r="R287" s="11" t="e">
        <f>VLOOKUP($H287, 'ADP Data'!$B$4:$Q$300, 6, FALSE)</f>
        <v>#N/A</v>
      </c>
      <c r="S287" s="11" t="e">
        <f>VLOOKUP($H287, 'ADP Data'!$B$4:$Q$300, 7, FALSE)</f>
        <v>#N/A</v>
      </c>
      <c r="T287" s="11" t="e">
        <f>VLOOKUP($H287, 'ADP Data'!$B$4:$Q$300, 8, FALSE)</f>
        <v>#N/A</v>
      </c>
      <c r="U287" s="11" t="e">
        <f>VLOOKUP($H287, 'ADP Data'!$B$4:$Q$300, 9, FALSE)</f>
        <v>#N/A</v>
      </c>
      <c r="V287" s="11" t="e">
        <f t="shared" si="10"/>
        <v>#N/A</v>
      </c>
      <c r="W287" s="11" t="e">
        <f t="shared" si="11"/>
        <v>#N/A</v>
      </c>
      <c r="X287" s="11">
        <f>IF(VLOOKUP($H287, SeanRanks!$A$2:$H$303, 7, FALSE)=0, "", VLOOKUP($H287, SeanRanks!$A$2:$H$303, 7, FALSE))</f>
        <v>46</v>
      </c>
    </row>
    <row r="288" spans="1:24" ht="14.25" customHeight="1" x14ac:dyDescent="0.25">
      <c r="A288" s="11"/>
      <c r="B288" s="11" t="e">
        <f t="shared" si="6"/>
        <v>#N/A</v>
      </c>
      <c r="C288" s="11" t="s">
        <v>148</v>
      </c>
      <c r="D288" s="11"/>
      <c r="E288" s="11"/>
      <c r="F288" s="11">
        <f t="shared" si="7"/>
        <v>0</v>
      </c>
      <c r="G288" s="11"/>
      <c r="H288" s="11" t="s">
        <v>1274</v>
      </c>
      <c r="I288" s="11" t="e">
        <f>VLOOKUP($H288, 'ADP Data'!$B$4:$Q$300, 2, FALSE)</f>
        <v>#N/A</v>
      </c>
      <c r="J288" s="11" t="e">
        <f>VLOOKUP($H288, 'ADP Data'!$B$4:$Q$300, 3, FALSE)</f>
        <v>#N/A</v>
      </c>
      <c r="K288" s="11" t="e">
        <f>VLOOKUP($H288, SeanRanks!$A$2:$H$303, 5, FALSE)</f>
        <v>#N/A</v>
      </c>
      <c r="L288" s="11" t="e">
        <f>IF(VLOOKUP($H288, SeanRanks!$A$2:$H$303, 6, FALSE)=0, "", VLOOKUP($H288, SeanRanks!$A$2:$H$303, 6, FALSE))</f>
        <v>#N/A</v>
      </c>
      <c r="M288" s="11">
        <f t="shared" si="8"/>
        <v>16</v>
      </c>
      <c r="N288" s="11" t="e">
        <f>VLOOKUP($H288, 'ADP Data'!$B$4:$Q$300, 10, FALSE)</f>
        <v>#N/A</v>
      </c>
      <c r="O288" s="11" t="e">
        <f>VLOOKUP($H288, 'ADP Data'!$B$4:$Q$300, 4, FALSE)</f>
        <v>#N/A</v>
      </c>
      <c r="P288" s="11" t="e">
        <f t="shared" si="9"/>
        <v>#N/A</v>
      </c>
      <c r="Q288" s="11" t="e">
        <f>VLOOKUP($H288, 'ADP Data'!$B$4:$Q$300, 5, FALSE)</f>
        <v>#N/A</v>
      </c>
      <c r="R288" s="11" t="e">
        <f>VLOOKUP($H288, 'ADP Data'!$B$4:$Q$300, 6, FALSE)</f>
        <v>#N/A</v>
      </c>
      <c r="S288" s="11" t="e">
        <f>VLOOKUP($H288, 'ADP Data'!$B$4:$Q$300, 7, FALSE)</f>
        <v>#N/A</v>
      </c>
      <c r="T288" s="11" t="e">
        <f>VLOOKUP($H288, 'ADP Data'!$B$4:$Q$300, 8, FALSE)</f>
        <v>#N/A</v>
      </c>
      <c r="U288" s="11" t="e">
        <f>VLOOKUP($H288, 'ADP Data'!$B$4:$Q$300, 9, FALSE)</f>
        <v>#N/A</v>
      </c>
      <c r="V288" s="11" t="e">
        <f t="shared" si="10"/>
        <v>#N/A</v>
      </c>
      <c r="W288" s="11" t="e">
        <f t="shared" si="11"/>
        <v>#N/A</v>
      </c>
      <c r="X288" s="11" t="e">
        <f>IF(VLOOKUP($H288, SeanRanks!$A$2:$H$303, 7, FALSE)=0, "", VLOOKUP($H288, SeanRanks!$A$2:$H$303, 7, FALSE))</f>
        <v>#N/A</v>
      </c>
    </row>
    <row r="289" spans="1:24" ht="14.25" customHeight="1" x14ac:dyDescent="0.25">
      <c r="A289" s="11"/>
      <c r="B289" s="11" t="e">
        <f t="shared" si="6"/>
        <v>#N/A</v>
      </c>
      <c r="C289" s="11" t="s">
        <v>148</v>
      </c>
      <c r="D289" s="11"/>
      <c r="E289" s="11"/>
      <c r="F289" s="11">
        <f t="shared" si="7"/>
        <v>0</v>
      </c>
      <c r="G289" s="11"/>
      <c r="H289" s="11" t="s">
        <v>1247</v>
      </c>
      <c r="I289" s="11" t="e">
        <f>VLOOKUP($H289, 'ADP Data'!$B$4:$Q$300, 2, FALSE)</f>
        <v>#N/A</v>
      </c>
      <c r="J289" s="11" t="e">
        <f>VLOOKUP($H289, 'ADP Data'!$B$4:$Q$300, 3, FALSE)</f>
        <v>#N/A</v>
      </c>
      <c r="K289" s="11" t="e">
        <f>VLOOKUP($H289, SeanRanks!$A$2:$H$303, 5, FALSE)</f>
        <v>#N/A</v>
      </c>
      <c r="L289" s="11" t="e">
        <f>IF(VLOOKUP($H289, SeanRanks!$A$2:$H$303, 6, FALSE)=0, "", VLOOKUP($H289, SeanRanks!$A$2:$H$303, 6, FALSE))</f>
        <v>#N/A</v>
      </c>
      <c r="M289" s="11">
        <f t="shared" si="8"/>
        <v>16</v>
      </c>
      <c r="N289" s="11" t="e">
        <f>VLOOKUP($H289, 'ADP Data'!$B$4:$Q$300, 10, FALSE)</f>
        <v>#N/A</v>
      </c>
      <c r="O289" s="11" t="e">
        <f>VLOOKUP($H289, 'ADP Data'!$B$4:$Q$300, 4, FALSE)</f>
        <v>#N/A</v>
      </c>
      <c r="P289" s="11" t="e">
        <f t="shared" si="9"/>
        <v>#N/A</v>
      </c>
      <c r="Q289" s="11" t="e">
        <f>VLOOKUP($H289, 'ADP Data'!$B$4:$Q$300, 5, FALSE)</f>
        <v>#N/A</v>
      </c>
      <c r="R289" s="11" t="e">
        <f>VLOOKUP($H289, 'ADP Data'!$B$4:$Q$300, 6, FALSE)</f>
        <v>#N/A</v>
      </c>
      <c r="S289" s="11" t="e">
        <f>VLOOKUP($H289, 'ADP Data'!$B$4:$Q$300, 7, FALSE)</f>
        <v>#N/A</v>
      </c>
      <c r="T289" s="11" t="e">
        <f>VLOOKUP($H289, 'ADP Data'!$B$4:$Q$300, 8, FALSE)</f>
        <v>#N/A</v>
      </c>
      <c r="U289" s="11" t="e">
        <f>VLOOKUP($H289, 'ADP Data'!$B$4:$Q$300, 9, FALSE)</f>
        <v>#N/A</v>
      </c>
      <c r="V289" s="11" t="e">
        <f t="shared" si="10"/>
        <v>#N/A</v>
      </c>
      <c r="W289" s="11" t="e">
        <f t="shared" si="11"/>
        <v>#N/A</v>
      </c>
      <c r="X289" s="11" t="e">
        <f>IF(VLOOKUP($H289, SeanRanks!$A$2:$H$303, 7, FALSE)=0, "", VLOOKUP($H289, SeanRanks!$A$2:$H$303, 7, FALSE))</f>
        <v>#N/A</v>
      </c>
    </row>
    <row r="290" spans="1:24" ht="14.25" customHeight="1" x14ac:dyDescent="0.25">
      <c r="A290" s="11"/>
      <c r="B290" s="11" t="e">
        <f t="shared" si="6"/>
        <v>#N/A</v>
      </c>
      <c r="C290" s="11" t="s">
        <v>148</v>
      </c>
      <c r="D290" s="11"/>
      <c r="E290" s="11"/>
      <c r="F290" s="11">
        <f t="shared" si="7"/>
        <v>0</v>
      </c>
      <c r="G290" s="11"/>
      <c r="H290" s="11" t="s">
        <v>1335</v>
      </c>
      <c r="I290" s="11" t="e">
        <f>VLOOKUP($H290, 'ADP Data'!$B$4:$Q$300, 2, FALSE)</f>
        <v>#N/A</v>
      </c>
      <c r="J290" s="11" t="e">
        <f>VLOOKUP($H290, 'ADP Data'!$B$4:$Q$300, 3, FALSE)</f>
        <v>#N/A</v>
      </c>
      <c r="K290" s="11" t="e">
        <f>VLOOKUP($H290, SeanRanks!$A$2:$H$303, 5, FALSE)</f>
        <v>#N/A</v>
      </c>
      <c r="L290" s="11" t="e">
        <f>IF(VLOOKUP($H290, SeanRanks!$A$2:$H$303, 6, FALSE)=0, "", VLOOKUP($H290, SeanRanks!$A$2:$H$303, 6, FALSE))</f>
        <v>#N/A</v>
      </c>
      <c r="M290" s="11">
        <f t="shared" si="8"/>
        <v>16</v>
      </c>
      <c r="N290" s="11" t="e">
        <f>VLOOKUP($H290, 'ADP Data'!$B$4:$Q$300, 10, FALSE)</f>
        <v>#N/A</v>
      </c>
      <c r="O290" s="11" t="e">
        <f>VLOOKUP($H290, 'ADP Data'!$B$4:$Q$300, 4, FALSE)</f>
        <v>#N/A</v>
      </c>
      <c r="P290" s="11" t="e">
        <f t="shared" si="9"/>
        <v>#N/A</v>
      </c>
      <c r="Q290" s="11" t="e">
        <f>VLOOKUP($H290, 'ADP Data'!$B$4:$Q$300, 5, FALSE)</f>
        <v>#N/A</v>
      </c>
      <c r="R290" s="11" t="e">
        <f>VLOOKUP($H290, 'ADP Data'!$B$4:$Q$300, 6, FALSE)</f>
        <v>#N/A</v>
      </c>
      <c r="S290" s="11" t="e">
        <f>VLOOKUP($H290, 'ADP Data'!$B$4:$Q$300, 7, FALSE)</f>
        <v>#N/A</v>
      </c>
      <c r="T290" s="11" t="e">
        <f>VLOOKUP($H290, 'ADP Data'!$B$4:$Q$300, 8, FALSE)</f>
        <v>#N/A</v>
      </c>
      <c r="U290" s="11" t="e">
        <f>VLOOKUP($H290, 'ADP Data'!$B$4:$Q$300, 9, FALSE)</f>
        <v>#N/A</v>
      </c>
      <c r="V290" s="11" t="e">
        <f t="shared" si="10"/>
        <v>#N/A</v>
      </c>
      <c r="W290" s="11" t="e">
        <f t="shared" si="11"/>
        <v>#N/A</v>
      </c>
      <c r="X290" s="11" t="e">
        <f>IF(VLOOKUP($H290, SeanRanks!$A$2:$H$303, 7, FALSE)=0, "", VLOOKUP($H290, SeanRanks!$A$2:$H$303, 7, FALSE))</f>
        <v>#N/A</v>
      </c>
    </row>
    <row r="291" spans="1:24" ht="14.25" customHeight="1" x14ac:dyDescent="0.25">
      <c r="A291" s="11"/>
      <c r="B291" s="11" t="e">
        <f t="shared" si="6"/>
        <v>#N/A</v>
      </c>
      <c r="C291" s="11" t="s">
        <v>148</v>
      </c>
      <c r="D291" s="11"/>
      <c r="E291" s="11"/>
      <c r="F291" s="11">
        <f t="shared" si="7"/>
        <v>0</v>
      </c>
      <c r="G291" s="11"/>
      <c r="H291" s="11" t="s">
        <v>928</v>
      </c>
      <c r="I291" s="11" t="e">
        <f>VLOOKUP($H291, 'ADP Data'!$B$4:$Q$300, 2, FALSE)</f>
        <v>#N/A</v>
      </c>
      <c r="J291" s="11" t="e">
        <f>VLOOKUP($H291, 'ADP Data'!$B$4:$Q$300, 3, FALSE)</f>
        <v>#N/A</v>
      </c>
      <c r="K291" s="11" t="e">
        <f>VLOOKUP($H291, SeanRanks!$A$2:$H$303, 5, FALSE)</f>
        <v>#N/A</v>
      </c>
      <c r="L291" s="11" t="e">
        <f>IF(VLOOKUP($H291, SeanRanks!$A$2:$H$303, 6, FALSE)=0, "", VLOOKUP($H291, SeanRanks!$A$2:$H$303, 6, FALSE))</f>
        <v>#N/A</v>
      </c>
      <c r="M291" s="11">
        <f t="shared" si="8"/>
        <v>16</v>
      </c>
      <c r="N291" s="11" t="e">
        <f>VLOOKUP($H291, 'ADP Data'!$B$4:$Q$300, 10, FALSE)</f>
        <v>#N/A</v>
      </c>
      <c r="O291" s="11" t="e">
        <f>VLOOKUP($H291, 'ADP Data'!$B$4:$Q$300, 4, FALSE)</f>
        <v>#N/A</v>
      </c>
      <c r="P291" s="11" t="e">
        <f t="shared" si="9"/>
        <v>#N/A</v>
      </c>
      <c r="Q291" s="11" t="e">
        <f>VLOOKUP($H291, 'ADP Data'!$B$4:$Q$300, 5, FALSE)</f>
        <v>#N/A</v>
      </c>
      <c r="R291" s="11" t="e">
        <f>VLOOKUP($H291, 'ADP Data'!$B$4:$Q$300, 6, FALSE)</f>
        <v>#N/A</v>
      </c>
      <c r="S291" s="11" t="e">
        <f>VLOOKUP($H291, 'ADP Data'!$B$4:$Q$300, 7, FALSE)</f>
        <v>#N/A</v>
      </c>
      <c r="T291" s="11" t="e">
        <f>VLOOKUP($H291, 'ADP Data'!$B$4:$Q$300, 8, FALSE)</f>
        <v>#N/A</v>
      </c>
      <c r="U291" s="11" t="e">
        <f>VLOOKUP($H291, 'ADP Data'!$B$4:$Q$300, 9, FALSE)</f>
        <v>#N/A</v>
      </c>
      <c r="V291" s="11" t="e">
        <f t="shared" si="10"/>
        <v>#N/A</v>
      </c>
      <c r="W291" s="11" t="e">
        <f t="shared" si="11"/>
        <v>#N/A</v>
      </c>
      <c r="X291" s="11" t="e">
        <f>IF(VLOOKUP($H291, SeanRanks!$A$2:$H$303, 7, FALSE)=0, "", VLOOKUP($H291, SeanRanks!$A$2:$H$303, 7, FALSE))</f>
        <v>#N/A</v>
      </c>
    </row>
    <row r="292" spans="1:24" ht="14.25" customHeight="1" x14ac:dyDescent="0.25">
      <c r="A292" s="11"/>
      <c r="B292" s="11" t="e">
        <f t="shared" si="6"/>
        <v>#N/A</v>
      </c>
      <c r="C292" s="11" t="s">
        <v>148</v>
      </c>
      <c r="D292" s="11"/>
      <c r="E292" s="11"/>
      <c r="F292" s="11">
        <f t="shared" si="7"/>
        <v>0</v>
      </c>
      <c r="G292" s="11"/>
      <c r="H292" s="11" t="s">
        <v>1336</v>
      </c>
      <c r="I292" s="11" t="e">
        <f>VLOOKUP($H292, 'ADP Data'!$B$4:$Q$300, 2, FALSE)</f>
        <v>#N/A</v>
      </c>
      <c r="J292" s="11" t="e">
        <f>VLOOKUP($H292, 'ADP Data'!$B$4:$Q$300, 3, FALSE)</f>
        <v>#N/A</v>
      </c>
      <c r="K292" s="11" t="e">
        <f>VLOOKUP($H292, SeanRanks!$A$2:$H$303, 5, FALSE)</f>
        <v>#N/A</v>
      </c>
      <c r="L292" s="11" t="e">
        <f>IF(VLOOKUP($H292, SeanRanks!$A$2:$H$303, 6, FALSE)=0, "", VLOOKUP($H292, SeanRanks!$A$2:$H$303, 6, FALSE))</f>
        <v>#N/A</v>
      </c>
      <c r="M292" s="11">
        <f t="shared" si="8"/>
        <v>16</v>
      </c>
      <c r="N292" s="11" t="e">
        <f>VLOOKUP($H292, 'ADP Data'!$B$4:$Q$300, 10, FALSE)</f>
        <v>#N/A</v>
      </c>
      <c r="O292" s="11" t="e">
        <f>VLOOKUP($H292, 'ADP Data'!$B$4:$Q$300, 4, FALSE)</f>
        <v>#N/A</v>
      </c>
      <c r="P292" s="11" t="e">
        <f t="shared" si="9"/>
        <v>#N/A</v>
      </c>
      <c r="Q292" s="11" t="e">
        <f>VLOOKUP($H292, 'ADP Data'!$B$4:$Q$300, 5, FALSE)</f>
        <v>#N/A</v>
      </c>
      <c r="R292" s="11" t="e">
        <f>VLOOKUP($H292, 'ADP Data'!$B$4:$Q$300, 6, FALSE)</f>
        <v>#N/A</v>
      </c>
      <c r="S292" s="11" t="e">
        <f>VLOOKUP($H292, 'ADP Data'!$B$4:$Q$300, 7, FALSE)</f>
        <v>#N/A</v>
      </c>
      <c r="T292" s="11" t="e">
        <f>VLOOKUP($H292, 'ADP Data'!$B$4:$Q$300, 8, FALSE)</f>
        <v>#N/A</v>
      </c>
      <c r="U292" s="11" t="e">
        <f>VLOOKUP($H292, 'ADP Data'!$B$4:$Q$300, 9, FALSE)</f>
        <v>#N/A</v>
      </c>
      <c r="V292" s="11" t="e">
        <f t="shared" si="10"/>
        <v>#N/A</v>
      </c>
      <c r="W292" s="11" t="e">
        <f t="shared" si="11"/>
        <v>#N/A</v>
      </c>
      <c r="X292" s="11" t="e">
        <f>IF(VLOOKUP($H292, SeanRanks!$A$2:$H$303, 7, FALSE)=0, "", VLOOKUP($H292, SeanRanks!$A$2:$H$303, 7, FALSE))</f>
        <v>#N/A</v>
      </c>
    </row>
    <row r="293" spans="1:24" ht="14.25" customHeight="1" x14ac:dyDescent="0.25">
      <c r="A293" s="11"/>
      <c r="B293" s="11" t="e">
        <f t="shared" si="6"/>
        <v>#N/A</v>
      </c>
      <c r="C293" s="11" t="s">
        <v>148</v>
      </c>
      <c r="D293" s="11"/>
      <c r="E293" s="11"/>
      <c r="F293" s="11">
        <f t="shared" si="7"/>
        <v>0</v>
      </c>
      <c r="G293" s="11"/>
      <c r="H293" s="11" t="s">
        <v>1227</v>
      </c>
      <c r="I293" s="11" t="e">
        <f>VLOOKUP($H293, 'ADP Data'!$B$4:$Q$300, 2, FALSE)</f>
        <v>#N/A</v>
      </c>
      <c r="J293" s="11" t="e">
        <f>VLOOKUP($H293, 'ADP Data'!$B$4:$Q$300, 3, FALSE)</f>
        <v>#N/A</v>
      </c>
      <c r="K293" s="11" t="e">
        <f>VLOOKUP($H293, SeanRanks!$A$2:$H$303, 5, FALSE)</f>
        <v>#N/A</v>
      </c>
      <c r="L293" s="11" t="e">
        <f>IF(VLOOKUP($H293, SeanRanks!$A$2:$H$303, 6, FALSE)=0, "", VLOOKUP($H293, SeanRanks!$A$2:$H$303, 6, FALSE))</f>
        <v>#N/A</v>
      </c>
      <c r="M293" s="11">
        <f t="shared" si="8"/>
        <v>16</v>
      </c>
      <c r="N293" s="11" t="e">
        <f>VLOOKUP($H293, 'ADP Data'!$B$4:$Q$300, 10, FALSE)</f>
        <v>#N/A</v>
      </c>
      <c r="O293" s="11" t="e">
        <f>VLOOKUP($H293, 'ADP Data'!$B$4:$Q$300, 4, FALSE)</f>
        <v>#N/A</v>
      </c>
      <c r="P293" s="11" t="e">
        <f t="shared" si="9"/>
        <v>#N/A</v>
      </c>
      <c r="Q293" s="11" t="e">
        <f>VLOOKUP($H293, 'ADP Data'!$B$4:$Q$300, 5, FALSE)</f>
        <v>#N/A</v>
      </c>
      <c r="R293" s="11" t="e">
        <f>VLOOKUP($H293, 'ADP Data'!$B$4:$Q$300, 6, FALSE)</f>
        <v>#N/A</v>
      </c>
      <c r="S293" s="11" t="e">
        <f>VLOOKUP($H293, 'ADP Data'!$B$4:$Q$300, 7, FALSE)</f>
        <v>#N/A</v>
      </c>
      <c r="T293" s="11" t="e">
        <f>VLOOKUP($H293, 'ADP Data'!$B$4:$Q$300, 8, FALSE)</f>
        <v>#N/A</v>
      </c>
      <c r="U293" s="11" t="e">
        <f>VLOOKUP($H293, 'ADP Data'!$B$4:$Q$300, 9, FALSE)</f>
        <v>#N/A</v>
      </c>
      <c r="V293" s="11" t="e">
        <f t="shared" si="10"/>
        <v>#N/A</v>
      </c>
      <c r="W293" s="11" t="e">
        <f t="shared" si="11"/>
        <v>#N/A</v>
      </c>
      <c r="X293" s="11" t="e">
        <f>IF(VLOOKUP($H293, SeanRanks!$A$2:$H$303, 7, FALSE)=0, "", VLOOKUP($H293, SeanRanks!$A$2:$H$303, 7, FALSE))</f>
        <v>#N/A</v>
      </c>
    </row>
    <row r="294" spans="1:24" ht="14.25" customHeight="1" x14ac:dyDescent="0.25">
      <c r="A294" s="11"/>
      <c r="B294" s="11" t="e">
        <f t="shared" si="6"/>
        <v>#N/A</v>
      </c>
      <c r="C294" s="11" t="s">
        <v>148</v>
      </c>
      <c r="D294" s="11"/>
      <c r="E294" s="11"/>
      <c r="F294" s="11">
        <f t="shared" si="7"/>
        <v>0</v>
      </c>
      <c r="G294" s="11"/>
      <c r="H294" s="11" t="s">
        <v>582</v>
      </c>
      <c r="I294" s="11" t="e">
        <f>VLOOKUP($H294, 'ADP Data'!$B$4:$Q$300, 2, FALSE)</f>
        <v>#N/A</v>
      </c>
      <c r="J294" s="11" t="e">
        <f>VLOOKUP($H294, 'ADP Data'!$B$4:$Q$300, 3, FALSE)</f>
        <v>#N/A</v>
      </c>
      <c r="K294" s="11" t="e">
        <f>VLOOKUP($H294, SeanRanks!$A$2:$H$303, 5, FALSE)</f>
        <v>#N/A</v>
      </c>
      <c r="L294" s="11" t="e">
        <f>IF(VLOOKUP($H294, SeanRanks!$A$2:$H$303, 6, FALSE)=0, "", VLOOKUP($H294, SeanRanks!$A$2:$H$303, 6, FALSE))</f>
        <v>#N/A</v>
      </c>
      <c r="M294" s="11">
        <f t="shared" si="8"/>
        <v>16</v>
      </c>
      <c r="N294" s="11" t="e">
        <f>VLOOKUP($H294, 'ADP Data'!$B$4:$Q$300, 10, FALSE)</f>
        <v>#N/A</v>
      </c>
      <c r="O294" s="11" t="e">
        <f>VLOOKUP($H294, 'ADP Data'!$B$4:$Q$300, 4, FALSE)</f>
        <v>#N/A</v>
      </c>
      <c r="P294" s="11" t="e">
        <f t="shared" si="9"/>
        <v>#N/A</v>
      </c>
      <c r="Q294" s="11" t="e">
        <f>VLOOKUP($H294, 'ADP Data'!$B$4:$Q$300, 5, FALSE)</f>
        <v>#N/A</v>
      </c>
      <c r="R294" s="11" t="e">
        <f>VLOOKUP($H294, 'ADP Data'!$B$4:$Q$300, 6, FALSE)</f>
        <v>#N/A</v>
      </c>
      <c r="S294" s="11" t="e">
        <f>VLOOKUP($H294, 'ADP Data'!$B$4:$Q$300, 7, FALSE)</f>
        <v>#N/A</v>
      </c>
      <c r="T294" s="11" t="e">
        <f>VLOOKUP($H294, 'ADP Data'!$B$4:$Q$300, 8, FALSE)</f>
        <v>#N/A</v>
      </c>
      <c r="U294" s="11" t="e">
        <f>VLOOKUP($H294, 'ADP Data'!$B$4:$Q$300, 9, FALSE)</f>
        <v>#N/A</v>
      </c>
      <c r="V294" s="11" t="e">
        <f t="shared" si="10"/>
        <v>#N/A</v>
      </c>
      <c r="W294" s="11" t="e">
        <f t="shared" si="11"/>
        <v>#N/A</v>
      </c>
      <c r="X294" s="11" t="e">
        <f>IF(VLOOKUP($H294, SeanRanks!$A$2:$H$303, 7, FALSE)=0, "", VLOOKUP($H294, SeanRanks!$A$2:$H$303, 7, FALSE))</f>
        <v>#N/A</v>
      </c>
    </row>
    <row r="295" spans="1:24" ht="14.25" customHeight="1" x14ac:dyDescent="0.25">
      <c r="A295" s="11"/>
      <c r="B295" s="11" t="e">
        <f t="shared" si="6"/>
        <v>#N/A</v>
      </c>
      <c r="C295" s="11" t="s">
        <v>148</v>
      </c>
      <c r="D295" s="11"/>
      <c r="E295" s="11"/>
      <c r="F295" s="11">
        <f t="shared" si="7"/>
        <v>0</v>
      </c>
      <c r="G295" s="11"/>
      <c r="H295" s="11" t="s">
        <v>650</v>
      </c>
      <c r="I295" s="11" t="e">
        <f>VLOOKUP($H295, 'ADP Data'!$B$4:$Q$300, 2, FALSE)</f>
        <v>#N/A</v>
      </c>
      <c r="J295" s="11" t="e">
        <f>VLOOKUP($H295, 'ADP Data'!$B$4:$Q$300, 3, FALSE)</f>
        <v>#N/A</v>
      </c>
      <c r="K295" s="11" t="e">
        <f>VLOOKUP($H295, SeanRanks!$A$2:$H$303, 5, FALSE)</f>
        <v>#N/A</v>
      </c>
      <c r="L295" s="11" t="e">
        <f>IF(VLOOKUP($H295, SeanRanks!$A$2:$H$303, 6, FALSE)=0, "", VLOOKUP($H295, SeanRanks!$A$2:$H$303, 6, FALSE))</f>
        <v>#N/A</v>
      </c>
      <c r="M295" s="11">
        <f t="shared" si="8"/>
        <v>16</v>
      </c>
      <c r="N295" s="11" t="e">
        <f>VLOOKUP($H295, 'ADP Data'!$B$4:$Q$300, 10, FALSE)</f>
        <v>#N/A</v>
      </c>
      <c r="O295" s="11" t="e">
        <f>VLOOKUP($H295, 'ADP Data'!$B$4:$Q$300, 4, FALSE)</f>
        <v>#N/A</v>
      </c>
      <c r="P295" s="11" t="e">
        <f t="shared" si="9"/>
        <v>#N/A</v>
      </c>
      <c r="Q295" s="11" t="e">
        <f>VLOOKUP($H295, 'ADP Data'!$B$4:$Q$300, 5, FALSE)</f>
        <v>#N/A</v>
      </c>
      <c r="R295" s="11" t="e">
        <f>VLOOKUP($H295, 'ADP Data'!$B$4:$Q$300, 6, FALSE)</f>
        <v>#N/A</v>
      </c>
      <c r="S295" s="11" t="e">
        <f>VLOOKUP($H295, 'ADP Data'!$B$4:$Q$300, 7, FALSE)</f>
        <v>#N/A</v>
      </c>
      <c r="T295" s="11" t="e">
        <f>VLOOKUP($H295, 'ADP Data'!$B$4:$Q$300, 8, FALSE)</f>
        <v>#N/A</v>
      </c>
      <c r="U295" s="11" t="e">
        <f>VLOOKUP($H295, 'ADP Data'!$B$4:$Q$300, 9, FALSE)</f>
        <v>#N/A</v>
      </c>
      <c r="V295" s="11" t="e">
        <f t="shared" si="10"/>
        <v>#N/A</v>
      </c>
      <c r="W295" s="11" t="e">
        <f t="shared" si="11"/>
        <v>#N/A</v>
      </c>
      <c r="X295" s="11" t="e">
        <f>IF(VLOOKUP($H295, SeanRanks!$A$2:$H$303, 7, FALSE)=0, "", VLOOKUP($H295, SeanRanks!$A$2:$H$303, 7, FALSE))</f>
        <v>#N/A</v>
      </c>
    </row>
    <row r="296" spans="1:24" ht="14.25" customHeight="1" x14ac:dyDescent="0.25">
      <c r="A296" s="11"/>
      <c r="B296" s="11" t="e">
        <f t="shared" si="6"/>
        <v>#N/A</v>
      </c>
      <c r="C296" s="11" t="s">
        <v>148</v>
      </c>
      <c r="D296" s="11"/>
      <c r="E296" s="11"/>
      <c r="F296" s="11">
        <f t="shared" si="7"/>
        <v>0</v>
      </c>
      <c r="G296" s="11"/>
      <c r="H296" s="11" t="s">
        <v>985</v>
      </c>
      <c r="I296" s="11" t="e">
        <f>VLOOKUP($H296, 'ADP Data'!$B$4:$Q$300, 2, FALSE)</f>
        <v>#N/A</v>
      </c>
      <c r="J296" s="11" t="e">
        <f>VLOOKUP($H296, 'ADP Data'!$B$4:$Q$300, 3, FALSE)</f>
        <v>#N/A</v>
      </c>
      <c r="K296" s="11" t="e">
        <f>VLOOKUP($H296, SeanRanks!$A$2:$H$303, 5, FALSE)</f>
        <v>#N/A</v>
      </c>
      <c r="L296" s="11" t="e">
        <f>IF(VLOOKUP($H296, SeanRanks!$A$2:$H$303, 6, FALSE)=0, "", VLOOKUP($H296, SeanRanks!$A$2:$H$303, 6, FALSE))</f>
        <v>#N/A</v>
      </c>
      <c r="M296" s="11">
        <f t="shared" si="8"/>
        <v>16</v>
      </c>
      <c r="N296" s="11" t="e">
        <f>VLOOKUP($H296, 'ADP Data'!$B$4:$Q$300, 10, FALSE)</f>
        <v>#N/A</v>
      </c>
      <c r="O296" s="11" t="e">
        <f>VLOOKUP($H296, 'ADP Data'!$B$4:$Q$300, 4, FALSE)</f>
        <v>#N/A</v>
      </c>
      <c r="P296" s="11" t="e">
        <f t="shared" si="9"/>
        <v>#N/A</v>
      </c>
      <c r="Q296" s="11" t="e">
        <f>VLOOKUP($H296, 'ADP Data'!$B$4:$Q$300, 5, FALSE)</f>
        <v>#N/A</v>
      </c>
      <c r="R296" s="11" t="e">
        <f>VLOOKUP($H296, 'ADP Data'!$B$4:$Q$300, 6, FALSE)</f>
        <v>#N/A</v>
      </c>
      <c r="S296" s="11" t="e">
        <f>VLOOKUP($H296, 'ADP Data'!$B$4:$Q$300, 7, FALSE)</f>
        <v>#N/A</v>
      </c>
      <c r="T296" s="11" t="e">
        <f>VLOOKUP($H296, 'ADP Data'!$B$4:$Q$300, 8, FALSE)</f>
        <v>#N/A</v>
      </c>
      <c r="U296" s="11" t="e">
        <f>VLOOKUP($H296, 'ADP Data'!$B$4:$Q$300, 9, FALSE)</f>
        <v>#N/A</v>
      </c>
      <c r="V296" s="11" t="e">
        <f t="shared" si="10"/>
        <v>#N/A</v>
      </c>
      <c r="W296" s="11" t="e">
        <f t="shared" si="11"/>
        <v>#N/A</v>
      </c>
      <c r="X296" s="11" t="e">
        <f>IF(VLOOKUP($H296, SeanRanks!$A$2:$H$303, 7, FALSE)=0, "", VLOOKUP($H296, SeanRanks!$A$2:$H$303, 7, FALSE))</f>
        <v>#N/A</v>
      </c>
    </row>
    <row r="297" spans="1:24" ht="14.25" customHeight="1" x14ac:dyDescent="0.25">
      <c r="A297" s="11"/>
      <c r="B297" s="11" t="e">
        <f t="shared" si="6"/>
        <v>#N/A</v>
      </c>
      <c r="C297" s="11" t="s">
        <v>148</v>
      </c>
      <c r="D297" s="11"/>
      <c r="E297" s="11"/>
      <c r="F297" s="11">
        <f t="shared" si="7"/>
        <v>0</v>
      </c>
      <c r="G297" s="11"/>
      <c r="H297" s="11" t="s">
        <v>1236</v>
      </c>
      <c r="I297" s="11" t="e">
        <f>VLOOKUP($H297, 'ADP Data'!$B$4:$Q$300, 2, FALSE)</f>
        <v>#N/A</v>
      </c>
      <c r="J297" s="11" t="e">
        <f>VLOOKUP($H297, 'ADP Data'!$B$4:$Q$300, 3, FALSE)</f>
        <v>#N/A</v>
      </c>
      <c r="K297" s="11" t="e">
        <f>VLOOKUP($H297, SeanRanks!$A$2:$H$303, 5, FALSE)</f>
        <v>#N/A</v>
      </c>
      <c r="L297" s="11" t="e">
        <f>IF(VLOOKUP($H297, SeanRanks!$A$2:$H$303, 6, FALSE)=0, "", VLOOKUP($H297, SeanRanks!$A$2:$H$303, 6, FALSE))</f>
        <v>#N/A</v>
      </c>
      <c r="M297" s="11">
        <f t="shared" si="8"/>
        <v>16</v>
      </c>
      <c r="N297" s="11" t="e">
        <f>VLOOKUP($H297, 'ADP Data'!$B$4:$Q$300, 10, FALSE)</f>
        <v>#N/A</v>
      </c>
      <c r="O297" s="11" t="e">
        <f>VLOOKUP($H297, 'ADP Data'!$B$4:$Q$300, 4, FALSE)</f>
        <v>#N/A</v>
      </c>
      <c r="P297" s="11" t="e">
        <f t="shared" si="9"/>
        <v>#N/A</v>
      </c>
      <c r="Q297" s="11" t="e">
        <f>VLOOKUP($H297, 'ADP Data'!$B$4:$Q$300, 5, FALSE)</f>
        <v>#N/A</v>
      </c>
      <c r="R297" s="11" t="e">
        <f>VLOOKUP($H297, 'ADP Data'!$B$4:$Q$300, 6, FALSE)</f>
        <v>#N/A</v>
      </c>
      <c r="S297" s="11" t="e">
        <f>VLOOKUP($H297, 'ADP Data'!$B$4:$Q$300, 7, FALSE)</f>
        <v>#N/A</v>
      </c>
      <c r="T297" s="11" t="e">
        <f>VLOOKUP($H297, 'ADP Data'!$B$4:$Q$300, 8, FALSE)</f>
        <v>#N/A</v>
      </c>
      <c r="U297" s="11" t="e">
        <f>VLOOKUP($H297, 'ADP Data'!$B$4:$Q$300, 9, FALSE)</f>
        <v>#N/A</v>
      </c>
      <c r="V297" s="11" t="e">
        <f t="shared" si="10"/>
        <v>#N/A</v>
      </c>
      <c r="W297" s="11" t="e">
        <f t="shared" si="11"/>
        <v>#N/A</v>
      </c>
      <c r="X297" s="11" t="e">
        <f>IF(VLOOKUP($H297, SeanRanks!$A$2:$H$303, 7, FALSE)=0, "", VLOOKUP($H297, SeanRanks!$A$2:$H$303, 7, FALSE))</f>
        <v>#N/A</v>
      </c>
    </row>
    <row r="298" spans="1:24" ht="14.25" customHeight="1" x14ac:dyDescent="0.25">
      <c r="A298" s="11"/>
      <c r="B298" s="11" t="e">
        <f t="shared" si="6"/>
        <v>#N/A</v>
      </c>
      <c r="C298" s="11" t="s">
        <v>148</v>
      </c>
      <c r="D298" s="11"/>
      <c r="E298" s="11"/>
      <c r="F298" s="11">
        <f t="shared" si="7"/>
        <v>0</v>
      </c>
      <c r="G298" s="11"/>
      <c r="H298" s="11" t="s">
        <v>1302</v>
      </c>
      <c r="I298" s="11" t="e">
        <f>VLOOKUP($H298, 'ADP Data'!$B$4:$Q$300, 2, FALSE)</f>
        <v>#N/A</v>
      </c>
      <c r="J298" s="11" t="e">
        <f>VLOOKUP($H298, 'ADP Data'!$B$4:$Q$300, 3, FALSE)</f>
        <v>#N/A</v>
      </c>
      <c r="K298" s="11" t="e">
        <f>VLOOKUP($H298, SeanRanks!$A$2:$H$303, 5, FALSE)</f>
        <v>#N/A</v>
      </c>
      <c r="L298" s="11" t="e">
        <f>IF(VLOOKUP($H298, SeanRanks!$A$2:$H$303, 6, FALSE)=0, "", VLOOKUP($H298, SeanRanks!$A$2:$H$303, 6, FALSE))</f>
        <v>#N/A</v>
      </c>
      <c r="M298" s="11">
        <f t="shared" si="8"/>
        <v>16</v>
      </c>
      <c r="N298" s="11" t="e">
        <f>VLOOKUP($H298, 'ADP Data'!$B$4:$Q$300, 10, FALSE)</f>
        <v>#N/A</v>
      </c>
      <c r="O298" s="11" t="e">
        <f>VLOOKUP($H298, 'ADP Data'!$B$4:$Q$300, 4, FALSE)</f>
        <v>#N/A</v>
      </c>
      <c r="P298" s="11" t="e">
        <f t="shared" si="9"/>
        <v>#N/A</v>
      </c>
      <c r="Q298" s="11" t="e">
        <f>VLOOKUP($H298, 'ADP Data'!$B$4:$Q$300, 5, FALSE)</f>
        <v>#N/A</v>
      </c>
      <c r="R298" s="11" t="e">
        <f>VLOOKUP($H298, 'ADP Data'!$B$4:$Q$300, 6, FALSE)</f>
        <v>#N/A</v>
      </c>
      <c r="S298" s="11" t="e">
        <f>VLOOKUP($H298, 'ADP Data'!$B$4:$Q$300, 7, FALSE)</f>
        <v>#N/A</v>
      </c>
      <c r="T298" s="11" t="e">
        <f>VLOOKUP($H298, 'ADP Data'!$B$4:$Q$300, 8, FALSE)</f>
        <v>#N/A</v>
      </c>
      <c r="U298" s="11" t="e">
        <f>VLOOKUP($H298, 'ADP Data'!$B$4:$Q$300, 9, FALSE)</f>
        <v>#N/A</v>
      </c>
      <c r="V298" s="11" t="e">
        <f t="shared" si="10"/>
        <v>#N/A</v>
      </c>
      <c r="W298" s="11" t="e">
        <f t="shared" si="11"/>
        <v>#N/A</v>
      </c>
      <c r="X298" s="11" t="e">
        <f>IF(VLOOKUP($H298, SeanRanks!$A$2:$H$303, 7, FALSE)=0, "", VLOOKUP($H298, SeanRanks!$A$2:$H$303, 7, FALSE))</f>
        <v>#N/A</v>
      </c>
    </row>
    <row r="299" spans="1:24" ht="14.25" customHeight="1" x14ac:dyDescent="0.25">
      <c r="A299" s="11"/>
      <c r="B299" s="11" t="e">
        <f t="shared" si="6"/>
        <v>#N/A</v>
      </c>
      <c r="C299" s="11" t="s">
        <v>148</v>
      </c>
      <c r="D299" s="11"/>
      <c r="E299" s="11"/>
      <c r="F299" s="11">
        <f t="shared" si="7"/>
        <v>0</v>
      </c>
      <c r="G299" s="11"/>
      <c r="H299" s="11" t="s">
        <v>956</v>
      </c>
      <c r="I299" s="11" t="e">
        <f>VLOOKUP($H299, 'ADP Data'!$B$4:$Q$300, 2, FALSE)</f>
        <v>#N/A</v>
      </c>
      <c r="J299" s="11" t="e">
        <f>VLOOKUP($H299, 'ADP Data'!$B$4:$Q$300, 3, FALSE)</f>
        <v>#N/A</v>
      </c>
      <c r="K299" s="11" t="e">
        <f>VLOOKUP($H299, SeanRanks!$A$2:$H$303, 5, FALSE)</f>
        <v>#N/A</v>
      </c>
      <c r="L299" s="11" t="e">
        <f>IF(VLOOKUP($H299, SeanRanks!$A$2:$H$303, 6, FALSE)=0, "", VLOOKUP($H299, SeanRanks!$A$2:$H$303, 6, FALSE))</f>
        <v>#N/A</v>
      </c>
      <c r="M299" s="11">
        <f t="shared" si="8"/>
        <v>16</v>
      </c>
      <c r="N299" s="11" t="e">
        <f>VLOOKUP($H299, 'ADP Data'!$B$4:$Q$300, 10, FALSE)</f>
        <v>#N/A</v>
      </c>
      <c r="O299" s="11" t="e">
        <f>VLOOKUP($H299, 'ADP Data'!$B$4:$Q$300, 4, FALSE)</f>
        <v>#N/A</v>
      </c>
      <c r="P299" s="11" t="e">
        <f t="shared" si="9"/>
        <v>#N/A</v>
      </c>
      <c r="Q299" s="11" t="e">
        <f>VLOOKUP($H299, 'ADP Data'!$B$4:$Q$300, 5, FALSE)</f>
        <v>#N/A</v>
      </c>
      <c r="R299" s="11" t="e">
        <f>VLOOKUP($H299, 'ADP Data'!$B$4:$Q$300, 6, FALSE)</f>
        <v>#N/A</v>
      </c>
      <c r="S299" s="11" t="e">
        <f>VLOOKUP($H299, 'ADP Data'!$B$4:$Q$300, 7, FALSE)</f>
        <v>#N/A</v>
      </c>
      <c r="T299" s="11" t="e">
        <f>VLOOKUP($H299, 'ADP Data'!$B$4:$Q$300, 8, FALSE)</f>
        <v>#N/A</v>
      </c>
      <c r="U299" s="11" t="e">
        <f>VLOOKUP($H299, 'ADP Data'!$B$4:$Q$300, 9, FALSE)</f>
        <v>#N/A</v>
      </c>
      <c r="V299" s="11" t="e">
        <f t="shared" si="10"/>
        <v>#N/A</v>
      </c>
      <c r="W299" s="11" t="e">
        <f t="shared" si="11"/>
        <v>#N/A</v>
      </c>
      <c r="X299" s="11" t="e">
        <f>IF(VLOOKUP($H299, SeanRanks!$A$2:$H$303, 7, FALSE)=0, "", VLOOKUP($H299, SeanRanks!$A$2:$H$303, 7, FALSE))</f>
        <v>#N/A</v>
      </c>
    </row>
    <row r="300" spans="1:24" ht="14.25" customHeight="1" x14ac:dyDescent="0.25">
      <c r="A300" s="11"/>
      <c r="B300" s="11" t="e">
        <f t="shared" si="6"/>
        <v>#N/A</v>
      </c>
      <c r="C300" s="11" t="s">
        <v>148</v>
      </c>
      <c r="D300" s="11"/>
      <c r="E300" s="11"/>
      <c r="F300" s="11">
        <f t="shared" si="7"/>
        <v>0</v>
      </c>
      <c r="G300" s="11"/>
      <c r="H300" s="11" t="s">
        <v>1345</v>
      </c>
      <c r="I300" s="11" t="e">
        <f>VLOOKUP($H300, 'ADP Data'!$B$4:$Q$300, 2, FALSE)</f>
        <v>#N/A</v>
      </c>
      <c r="J300" s="11" t="e">
        <f>VLOOKUP($H300, 'ADP Data'!$B$4:$Q$300, 3, FALSE)</f>
        <v>#N/A</v>
      </c>
      <c r="K300" s="11" t="e">
        <f>VLOOKUP($H300, SeanRanks!$A$2:$H$303, 5, FALSE)</f>
        <v>#N/A</v>
      </c>
      <c r="L300" s="11" t="e">
        <f>IF(VLOOKUP($H300, SeanRanks!$A$2:$H$303, 6, FALSE)=0, "", VLOOKUP($H300, SeanRanks!$A$2:$H$303, 6, FALSE))</f>
        <v>#N/A</v>
      </c>
      <c r="M300" s="11">
        <f t="shared" si="8"/>
        <v>16</v>
      </c>
      <c r="N300" s="11" t="e">
        <f>VLOOKUP($H300, 'ADP Data'!$B$4:$Q$300, 10, FALSE)</f>
        <v>#N/A</v>
      </c>
      <c r="O300" s="11" t="e">
        <f>VLOOKUP($H300, 'ADP Data'!$B$4:$Q$300, 4, FALSE)</f>
        <v>#N/A</v>
      </c>
      <c r="P300" s="11" t="e">
        <f t="shared" si="9"/>
        <v>#N/A</v>
      </c>
      <c r="Q300" s="11" t="e">
        <f>VLOOKUP($H300, 'ADP Data'!$B$4:$Q$300, 5, FALSE)</f>
        <v>#N/A</v>
      </c>
      <c r="R300" s="11" t="e">
        <f>VLOOKUP($H300, 'ADP Data'!$B$4:$Q$300, 6, FALSE)</f>
        <v>#N/A</v>
      </c>
      <c r="S300" s="11" t="e">
        <f>VLOOKUP($H300, 'ADP Data'!$B$4:$Q$300, 7, FALSE)</f>
        <v>#N/A</v>
      </c>
      <c r="T300" s="11" t="e">
        <f>VLOOKUP($H300, 'ADP Data'!$B$4:$Q$300, 8, FALSE)</f>
        <v>#N/A</v>
      </c>
      <c r="U300" s="11" t="e">
        <f>VLOOKUP($H300, 'ADP Data'!$B$4:$Q$300, 9, FALSE)</f>
        <v>#N/A</v>
      </c>
      <c r="V300" s="11" t="e">
        <f t="shared" si="10"/>
        <v>#N/A</v>
      </c>
      <c r="W300" s="11" t="e">
        <f t="shared" si="11"/>
        <v>#N/A</v>
      </c>
      <c r="X300" s="11" t="e">
        <f>IF(VLOOKUP($H300, SeanRanks!$A$2:$H$303, 7, FALSE)=0, "", VLOOKUP($H300, SeanRanks!$A$2:$H$303, 7, FALSE))</f>
        <v>#N/A</v>
      </c>
    </row>
    <row r="301" spans="1:24" ht="14.25" customHeight="1" x14ac:dyDescent="0.25">
      <c r="A301" s="11"/>
      <c r="B301" s="11" t="e">
        <f t="shared" si="6"/>
        <v>#N/A</v>
      </c>
      <c r="C301" s="11" t="s">
        <v>148</v>
      </c>
      <c r="D301" s="11"/>
      <c r="E301" s="11"/>
      <c r="F301" s="11">
        <f t="shared" si="7"/>
        <v>0</v>
      </c>
      <c r="G301" s="11"/>
      <c r="H301" s="11" t="s">
        <v>1168</v>
      </c>
      <c r="I301" s="11" t="e">
        <f>VLOOKUP($H301, 'ADP Data'!$B$4:$Q$300, 2, FALSE)</f>
        <v>#N/A</v>
      </c>
      <c r="J301" s="11" t="e">
        <f>VLOOKUP($H301, 'ADP Data'!$B$4:$Q$300, 3, FALSE)</f>
        <v>#N/A</v>
      </c>
      <c r="K301" s="11" t="e">
        <f>VLOOKUP($H301, SeanRanks!$A$2:$H$303, 5, FALSE)</f>
        <v>#N/A</v>
      </c>
      <c r="L301" s="11" t="e">
        <f>IF(VLOOKUP($H301, SeanRanks!$A$2:$H$303, 6, FALSE)=0, "", VLOOKUP($H301, SeanRanks!$A$2:$H$303, 6, FALSE))</f>
        <v>#N/A</v>
      </c>
      <c r="M301" s="11">
        <f t="shared" si="8"/>
        <v>16</v>
      </c>
      <c r="N301" s="11" t="e">
        <f>VLOOKUP($H301, 'ADP Data'!$B$4:$Q$300, 10, FALSE)</f>
        <v>#N/A</v>
      </c>
      <c r="O301" s="11" t="e">
        <f>VLOOKUP($H301, 'ADP Data'!$B$4:$Q$300, 4, FALSE)</f>
        <v>#N/A</v>
      </c>
      <c r="P301" s="11" t="e">
        <f t="shared" si="9"/>
        <v>#N/A</v>
      </c>
      <c r="Q301" s="11" t="e">
        <f>VLOOKUP($H301, 'ADP Data'!$B$4:$Q$300, 5, FALSE)</f>
        <v>#N/A</v>
      </c>
      <c r="R301" s="11" t="e">
        <f>VLOOKUP($H301, 'ADP Data'!$B$4:$Q$300, 6, FALSE)</f>
        <v>#N/A</v>
      </c>
      <c r="S301" s="11" t="e">
        <f>VLOOKUP($H301, 'ADP Data'!$B$4:$Q$300, 7, FALSE)</f>
        <v>#N/A</v>
      </c>
      <c r="T301" s="11" t="e">
        <f>VLOOKUP($H301, 'ADP Data'!$B$4:$Q$300, 8, FALSE)</f>
        <v>#N/A</v>
      </c>
      <c r="U301" s="11" t="e">
        <f>VLOOKUP($H301, 'ADP Data'!$B$4:$Q$300, 9, FALSE)</f>
        <v>#N/A</v>
      </c>
      <c r="V301" s="11" t="e">
        <f t="shared" si="10"/>
        <v>#N/A</v>
      </c>
      <c r="W301" s="11" t="e">
        <f t="shared" si="11"/>
        <v>#N/A</v>
      </c>
      <c r="X301" s="11" t="e">
        <f>IF(VLOOKUP($H301, SeanRanks!$A$2:$H$303, 7, FALSE)=0, "", VLOOKUP($H301, SeanRanks!$A$2:$H$303, 7, FALSE))</f>
        <v>#N/A</v>
      </c>
    </row>
    <row r="302" spans="1:24" ht="14.25" customHeight="1" x14ac:dyDescent="0.25">
      <c r="A302" s="11"/>
      <c r="B302" s="11" t="e">
        <f t="shared" si="6"/>
        <v>#N/A</v>
      </c>
      <c r="C302" s="11" t="s">
        <v>148</v>
      </c>
      <c r="D302" s="11"/>
      <c r="E302" s="11"/>
      <c r="F302" s="11">
        <f t="shared" si="7"/>
        <v>0</v>
      </c>
      <c r="G302" s="11"/>
      <c r="H302" s="11" t="s">
        <v>1347</v>
      </c>
      <c r="I302" s="11" t="e">
        <f>VLOOKUP($H302, 'ADP Data'!$B$4:$Q$300, 2, FALSE)</f>
        <v>#N/A</v>
      </c>
      <c r="J302" s="11" t="e">
        <f>VLOOKUP($H302, 'ADP Data'!$B$4:$Q$300, 3, FALSE)</f>
        <v>#N/A</v>
      </c>
      <c r="K302" s="11" t="e">
        <f>VLOOKUP($H302, SeanRanks!$A$2:$H$303, 5, FALSE)</f>
        <v>#N/A</v>
      </c>
      <c r="L302" s="11" t="e">
        <f>IF(VLOOKUP($H302, SeanRanks!$A$2:$H$303, 6, FALSE)=0, "", VLOOKUP($H302, SeanRanks!$A$2:$H$303, 6, FALSE))</f>
        <v>#N/A</v>
      </c>
      <c r="M302" s="11">
        <f t="shared" si="8"/>
        <v>16</v>
      </c>
      <c r="N302" s="11" t="e">
        <f>VLOOKUP($H302, 'ADP Data'!$B$4:$Q$300, 10, FALSE)</f>
        <v>#N/A</v>
      </c>
      <c r="O302" s="11" t="e">
        <f>VLOOKUP($H302, 'ADP Data'!$B$4:$Q$300, 4, FALSE)</f>
        <v>#N/A</v>
      </c>
      <c r="P302" s="11" t="e">
        <f t="shared" si="9"/>
        <v>#N/A</v>
      </c>
      <c r="Q302" s="11" t="e">
        <f>VLOOKUP($H302, 'ADP Data'!$B$4:$Q$300, 5, FALSE)</f>
        <v>#N/A</v>
      </c>
      <c r="R302" s="11" t="e">
        <f>VLOOKUP($H302, 'ADP Data'!$B$4:$Q$300, 6, FALSE)</f>
        <v>#N/A</v>
      </c>
      <c r="S302" s="11" t="e">
        <f>VLOOKUP($H302, 'ADP Data'!$B$4:$Q$300, 7, FALSE)</f>
        <v>#N/A</v>
      </c>
      <c r="T302" s="11" t="e">
        <f>VLOOKUP($H302, 'ADP Data'!$B$4:$Q$300, 8, FALSE)</f>
        <v>#N/A</v>
      </c>
      <c r="U302" s="11" t="e">
        <f>VLOOKUP($H302, 'ADP Data'!$B$4:$Q$300, 9, FALSE)</f>
        <v>#N/A</v>
      </c>
      <c r="V302" s="11" t="e">
        <f t="shared" si="10"/>
        <v>#N/A</v>
      </c>
      <c r="W302" s="11" t="e">
        <f t="shared" si="11"/>
        <v>#N/A</v>
      </c>
      <c r="X302" s="11" t="e">
        <f>IF(VLOOKUP($H302, SeanRanks!$A$2:$H$303, 7, FALSE)=0, "", VLOOKUP($H302, SeanRanks!$A$2:$H$303, 7, FALSE))</f>
        <v>#N/A</v>
      </c>
    </row>
    <row r="303" spans="1:24" ht="14.25" customHeight="1" x14ac:dyDescent="0.25">
      <c r="B303" s="11" t="e">
        <f t="shared" si="6"/>
        <v>#N/A</v>
      </c>
      <c r="C303" s="11" t="s">
        <v>148</v>
      </c>
      <c r="D303" s="11"/>
      <c r="E303" s="11"/>
      <c r="F303" s="11">
        <f t="shared" si="7"/>
        <v>0</v>
      </c>
      <c r="G303" s="11"/>
      <c r="H303" s="11" t="s">
        <v>1131</v>
      </c>
      <c r="I303" s="11" t="s">
        <v>168</v>
      </c>
      <c r="J303" s="11" t="s">
        <v>764</v>
      </c>
      <c r="K303" s="11" t="e">
        <f>VLOOKUP($H303, SeanRanks!$A$2:$H$303, 5, FALSE)</f>
        <v>#N/A</v>
      </c>
      <c r="L303" s="11" t="e">
        <f>IF(VLOOKUP($H303, SeanRanks!$A$2:$H$303, 6, FALSE)=0, "", VLOOKUP($H303, SeanRanks!$A$2:$H$303, 6, FALSE))</f>
        <v>#N/A</v>
      </c>
      <c r="M303" s="11">
        <f t="shared" si="8"/>
        <v>16</v>
      </c>
      <c r="N303" s="11" t="e">
        <f>VLOOKUP($H303, 'ADP Data'!$B$4:$Q$300, 10, FALSE)</f>
        <v>#N/A</v>
      </c>
      <c r="O303" s="11" t="e">
        <f>VLOOKUP($H303, 'ADP Data'!$B$4:$Q$300, 4, FALSE)</f>
        <v>#N/A</v>
      </c>
      <c r="P303" s="11" t="e">
        <f t="shared" si="9"/>
        <v>#N/A</v>
      </c>
      <c r="Q303" s="11" t="e">
        <f>VLOOKUP($H303, 'ADP Data'!$B$4:$Q$300, 5, FALSE)</f>
        <v>#N/A</v>
      </c>
      <c r="R303" s="11" t="e">
        <f>VLOOKUP($H303, 'ADP Data'!$B$4:$Q$300, 6, FALSE)</f>
        <v>#N/A</v>
      </c>
      <c r="S303" s="11" t="e">
        <f>VLOOKUP($H303, 'ADP Data'!$B$4:$Q$300, 7, FALSE)</f>
        <v>#N/A</v>
      </c>
      <c r="T303" s="11" t="e">
        <f>VLOOKUP($H303, 'ADP Data'!$B$4:$Q$300, 8, FALSE)</f>
        <v>#N/A</v>
      </c>
      <c r="U303" s="11" t="e">
        <f>VLOOKUP($H303, 'ADP Data'!$B$4:$Q$300, 9, FALSE)</f>
        <v>#N/A</v>
      </c>
      <c r="V303" s="11" t="e">
        <f t="shared" si="10"/>
        <v>#N/A</v>
      </c>
      <c r="W303" s="11" t="e">
        <f t="shared" si="11"/>
        <v>#N/A</v>
      </c>
      <c r="X303" s="11" t="e">
        <f>IF(VLOOKUP($H303, SeanRanks!$A$2:$H$303, 7, FALSE)=0, "", VLOOKUP($H303, SeanRanks!$A$2:$H$303, 7, FALSE))</f>
        <v>#N/A</v>
      </c>
    </row>
    <row r="304" spans="1:24" ht="14.25" customHeight="1" x14ac:dyDescent="0.25">
      <c r="B304" s="11" t="e">
        <f t="shared" si="6"/>
        <v>#N/A</v>
      </c>
      <c r="C304" s="11" t="s">
        <v>148</v>
      </c>
      <c r="D304" s="11"/>
      <c r="E304" s="11"/>
      <c r="F304" s="11">
        <f t="shared" si="7"/>
        <v>0</v>
      </c>
      <c r="G304" s="11"/>
      <c r="H304" s="11" t="s">
        <v>604</v>
      </c>
      <c r="I304" s="58" t="s">
        <v>88</v>
      </c>
      <c r="J304" s="11" t="s">
        <v>764</v>
      </c>
      <c r="K304" s="11" t="e">
        <f>VLOOKUP($H304, SeanRanks!$A$2:$H$303, 5, FALSE)</f>
        <v>#N/A</v>
      </c>
      <c r="L304" s="11" t="e">
        <f>IF(VLOOKUP($H304, SeanRanks!$A$2:$H$303, 6, FALSE)=0, "", VLOOKUP($H304, SeanRanks!$A$2:$H$303, 6, FALSE))</f>
        <v>#N/A</v>
      </c>
      <c r="M304" s="11">
        <f t="shared" si="8"/>
        <v>16</v>
      </c>
      <c r="N304" s="11" t="e">
        <f>VLOOKUP($H304, 'ADP Data'!$B$4:$Q$300, 10, FALSE)</f>
        <v>#N/A</v>
      </c>
      <c r="O304" s="11" t="e">
        <f>VLOOKUP($H304, 'ADP Data'!$B$4:$Q$300, 4, FALSE)</f>
        <v>#N/A</v>
      </c>
      <c r="P304" s="11" t="e">
        <f t="shared" si="9"/>
        <v>#N/A</v>
      </c>
      <c r="Q304" s="11" t="e">
        <f>VLOOKUP($H304, 'ADP Data'!$B$4:$Q$300, 5, FALSE)</f>
        <v>#N/A</v>
      </c>
      <c r="R304" s="11" t="e">
        <f>VLOOKUP($H304, 'ADP Data'!$B$4:$Q$300, 6, FALSE)</f>
        <v>#N/A</v>
      </c>
      <c r="S304" s="11" t="e">
        <f>VLOOKUP($H304, 'ADP Data'!$B$4:$Q$300, 7, FALSE)</f>
        <v>#N/A</v>
      </c>
      <c r="T304" s="11" t="e">
        <f>VLOOKUP($H304, 'ADP Data'!$B$4:$Q$300, 8, FALSE)</f>
        <v>#N/A</v>
      </c>
      <c r="U304" s="11" t="e">
        <f>VLOOKUP($H304, 'ADP Data'!$B$4:$Q$300, 9, FALSE)</f>
        <v>#N/A</v>
      </c>
      <c r="V304" s="11" t="e">
        <f t="shared" si="10"/>
        <v>#N/A</v>
      </c>
      <c r="W304" s="11" t="e">
        <f t="shared" si="11"/>
        <v>#N/A</v>
      </c>
      <c r="X304" s="11" t="e">
        <f>IF(VLOOKUP($H304, SeanRanks!$A$2:$H$303, 7, FALSE)=0, "", VLOOKUP($H304, SeanRanks!$A$2:$H$303, 7, FALSE))</f>
        <v>#N/A</v>
      </c>
    </row>
    <row r="305" spans="2:24" ht="14.25" customHeight="1" x14ac:dyDescent="0.25">
      <c r="B305" s="11" t="e">
        <f t="shared" si="6"/>
        <v>#N/A</v>
      </c>
      <c r="C305" s="11" t="s">
        <v>148</v>
      </c>
      <c r="D305" s="11"/>
      <c r="E305" s="11"/>
      <c r="F305" s="11">
        <f t="shared" si="7"/>
        <v>0</v>
      </c>
      <c r="G305" s="11"/>
      <c r="H305" s="11" t="s">
        <v>1133</v>
      </c>
      <c r="I305" s="11" t="e">
        <f>VLOOKUP($H305, 'ADP Data'!$B$4:$Q$300, 2, FALSE)</f>
        <v>#N/A</v>
      </c>
      <c r="J305" s="11" t="e">
        <f>VLOOKUP($H305, 'ADP Data'!$B$4:$Q$300, 3, FALSE)</f>
        <v>#N/A</v>
      </c>
      <c r="K305" s="11" t="e">
        <f>VLOOKUP($H305, SeanRanks!$A$2:$H$303, 5, FALSE)</f>
        <v>#N/A</v>
      </c>
      <c r="L305" s="11" t="e">
        <f>IF(VLOOKUP($H305, SeanRanks!$A$2:$H$303, 6, FALSE)=0, "", VLOOKUP($H305, SeanRanks!$A$2:$H$303, 6, FALSE))</f>
        <v>#N/A</v>
      </c>
      <c r="M305" s="11">
        <f t="shared" si="8"/>
        <v>16</v>
      </c>
      <c r="N305" s="11" t="e">
        <f>VLOOKUP($H305, 'ADP Data'!$B$4:$Q$300, 10, FALSE)</f>
        <v>#N/A</v>
      </c>
      <c r="O305" s="11" t="e">
        <f>VLOOKUP($H305, 'ADP Data'!$B$4:$Q$300, 4, FALSE)</f>
        <v>#N/A</v>
      </c>
      <c r="P305" s="11" t="e">
        <f t="shared" si="9"/>
        <v>#N/A</v>
      </c>
      <c r="Q305" s="11" t="e">
        <f>VLOOKUP($H305, 'ADP Data'!$B$4:$Q$300, 5, FALSE)</f>
        <v>#N/A</v>
      </c>
      <c r="R305" s="11" t="e">
        <f>VLOOKUP($H305, 'ADP Data'!$B$4:$Q$300, 6, FALSE)</f>
        <v>#N/A</v>
      </c>
      <c r="S305" s="11" t="e">
        <f>VLOOKUP($H305, 'ADP Data'!$B$4:$Q$300, 7, FALSE)</f>
        <v>#N/A</v>
      </c>
      <c r="T305" s="11" t="e">
        <f>VLOOKUP($H305, 'ADP Data'!$B$4:$Q$300, 8, FALSE)</f>
        <v>#N/A</v>
      </c>
      <c r="U305" s="11" t="e">
        <f>VLOOKUP($H305, 'ADP Data'!$B$4:$Q$300, 9, FALSE)</f>
        <v>#N/A</v>
      </c>
      <c r="V305" s="11" t="e">
        <f t="shared" si="10"/>
        <v>#N/A</v>
      </c>
      <c r="W305" s="11" t="e">
        <f t="shared" si="11"/>
        <v>#N/A</v>
      </c>
      <c r="X305" s="11" t="e">
        <f>IF(VLOOKUP($H305, SeanRanks!$A$2:$H$303, 7, FALSE)=0, "", VLOOKUP($H305, SeanRanks!$A$2:$H$303, 7, FALSE))</f>
        <v>#N/A</v>
      </c>
    </row>
    <row r="306" spans="2:24" ht="14.25" customHeight="1" x14ac:dyDescent="0.25">
      <c r="B306" s="11" t="e">
        <f t="shared" si="6"/>
        <v>#N/A</v>
      </c>
      <c r="C306" s="11" t="s">
        <v>148</v>
      </c>
      <c r="D306" s="11"/>
      <c r="E306" s="11"/>
      <c r="F306" s="11">
        <f t="shared" si="7"/>
        <v>0</v>
      </c>
      <c r="G306" s="11"/>
      <c r="H306" s="11" t="s">
        <v>469</v>
      </c>
      <c r="I306" s="11" t="e">
        <f>VLOOKUP($H306, 'ADP Data'!$B$4:$Q$300, 2, FALSE)</f>
        <v>#N/A</v>
      </c>
      <c r="J306" s="11" t="e">
        <f>VLOOKUP($H306, 'ADP Data'!$B$4:$Q$300, 3, FALSE)</f>
        <v>#N/A</v>
      </c>
      <c r="K306" s="11">
        <f>VLOOKUP($H306, SeanRanks!$A$2:$H$303, 5, FALSE)</f>
        <v>0</v>
      </c>
      <c r="L306" s="11" t="str">
        <f>IF(VLOOKUP($H306, SeanRanks!$A$2:$H$303, 6, FALSE)=0, "", VLOOKUP($H306, SeanRanks!$A$2:$H$303, 6, FALSE))</f>
        <v/>
      </c>
      <c r="M306" s="11">
        <f t="shared" si="8"/>
        <v>16</v>
      </c>
      <c r="N306" s="11" t="e">
        <f>VLOOKUP($H306, 'ADP Data'!$B$4:$Q$300, 10, FALSE)</f>
        <v>#N/A</v>
      </c>
      <c r="O306" s="11" t="e">
        <f>VLOOKUP($H306, 'ADP Data'!$B$4:$Q$300, 4, FALSE)</f>
        <v>#N/A</v>
      </c>
      <c r="P306" s="11" t="e">
        <f t="shared" si="9"/>
        <v>#N/A</v>
      </c>
      <c r="Q306" s="11" t="e">
        <f>VLOOKUP($H306, 'ADP Data'!$B$4:$Q$300, 5, FALSE)</f>
        <v>#N/A</v>
      </c>
      <c r="R306" s="11" t="e">
        <f>VLOOKUP($H306, 'ADP Data'!$B$4:$Q$300, 6, FALSE)</f>
        <v>#N/A</v>
      </c>
      <c r="S306" s="11" t="e">
        <f>VLOOKUP($H306, 'ADP Data'!$B$4:$Q$300, 7, FALSE)</f>
        <v>#N/A</v>
      </c>
      <c r="T306" s="11" t="e">
        <f>VLOOKUP($H306, 'ADP Data'!$B$4:$Q$300, 8, FALSE)</f>
        <v>#N/A</v>
      </c>
      <c r="U306" s="11" t="e">
        <f>VLOOKUP($H306, 'ADP Data'!$B$4:$Q$300, 9, FALSE)</f>
        <v>#N/A</v>
      </c>
      <c r="V306" s="11" t="e">
        <f t="shared" si="10"/>
        <v>#N/A</v>
      </c>
      <c r="W306" s="11" t="e">
        <f t="shared" si="11"/>
        <v>#N/A</v>
      </c>
      <c r="X306" s="11" t="str">
        <f>IF(VLOOKUP($H306, SeanRanks!$A$2:$H$303, 7, FALSE)=0, "", VLOOKUP($H306, SeanRanks!$A$2:$H$303, 7, FALSE))</f>
        <v/>
      </c>
    </row>
    <row r="307" spans="2:24" ht="14.25" customHeight="1" x14ac:dyDescent="0.25">
      <c r="B307" s="11" t="e">
        <f t="shared" si="6"/>
        <v>#N/A</v>
      </c>
      <c r="C307" s="11" t="s">
        <v>148</v>
      </c>
      <c r="D307" s="11"/>
      <c r="E307" s="11"/>
      <c r="F307" s="11">
        <f t="shared" si="7"/>
        <v>0</v>
      </c>
      <c r="G307" s="11"/>
      <c r="H307" s="11" t="s">
        <v>1317</v>
      </c>
      <c r="I307" s="11" t="e">
        <f>VLOOKUP($H307, 'ADP Data'!$B$4:$Q$300, 2, FALSE)</f>
        <v>#N/A</v>
      </c>
      <c r="J307" s="11" t="e">
        <f>VLOOKUP($H307, 'ADP Data'!$B$4:$Q$300, 3, FALSE)</f>
        <v>#N/A</v>
      </c>
      <c r="K307" s="11" t="e">
        <f>VLOOKUP($H307, SeanRanks!$A$2:$H$303, 5, FALSE)</f>
        <v>#N/A</v>
      </c>
      <c r="L307" s="11" t="e">
        <f>IF(VLOOKUP($H307, SeanRanks!$A$2:$H$303, 6, FALSE)=0, "", VLOOKUP($H307, SeanRanks!$A$2:$H$303, 6, FALSE))</f>
        <v>#N/A</v>
      </c>
      <c r="M307" s="11">
        <f t="shared" si="8"/>
        <v>16</v>
      </c>
      <c r="N307" s="11" t="e">
        <f>VLOOKUP($H307, 'ADP Data'!$B$4:$Q$300, 10, FALSE)</f>
        <v>#N/A</v>
      </c>
      <c r="O307" s="11" t="e">
        <f>VLOOKUP($H307, 'ADP Data'!$B$4:$Q$300, 4, FALSE)</f>
        <v>#N/A</v>
      </c>
      <c r="P307" s="11" t="e">
        <f t="shared" si="9"/>
        <v>#N/A</v>
      </c>
      <c r="Q307" s="11" t="e">
        <f>VLOOKUP($H307, 'ADP Data'!$B$4:$Q$300, 5, FALSE)</f>
        <v>#N/A</v>
      </c>
      <c r="R307" s="11" t="e">
        <f>VLOOKUP($H307, 'ADP Data'!$B$4:$Q$300, 6, FALSE)</f>
        <v>#N/A</v>
      </c>
      <c r="S307" s="11" t="e">
        <f>VLOOKUP($H307, 'ADP Data'!$B$4:$Q$300, 7, FALSE)</f>
        <v>#N/A</v>
      </c>
      <c r="T307" s="11" t="e">
        <f>VLOOKUP($H307, 'ADP Data'!$B$4:$Q$300, 8, FALSE)</f>
        <v>#N/A</v>
      </c>
      <c r="U307" s="11" t="e">
        <f>VLOOKUP($H307, 'ADP Data'!$B$4:$Q$300, 9, FALSE)</f>
        <v>#N/A</v>
      </c>
      <c r="V307" s="11" t="e">
        <f t="shared" si="10"/>
        <v>#N/A</v>
      </c>
      <c r="W307" s="11" t="e">
        <f t="shared" si="11"/>
        <v>#N/A</v>
      </c>
      <c r="X307" s="11" t="e">
        <f>IF(VLOOKUP($H307, SeanRanks!$A$2:$H$303, 7, FALSE)=0, "", VLOOKUP($H307, SeanRanks!$A$2:$H$303, 7, FALSE))</f>
        <v>#N/A</v>
      </c>
    </row>
    <row r="308" spans="2:24" ht="14.25" customHeight="1" x14ac:dyDescent="0.25">
      <c r="J308" s="27"/>
    </row>
    <row r="309" spans="2:24" ht="14.25" customHeight="1" x14ac:dyDescent="0.25">
      <c r="J309" s="27"/>
    </row>
    <row r="310" spans="2:24" ht="14.25" customHeight="1" x14ac:dyDescent="0.25">
      <c r="J310" s="27"/>
    </row>
    <row r="311" spans="2:24" ht="14.25" customHeight="1" x14ac:dyDescent="0.25"/>
    <row r="312" spans="2:24" ht="14.25" customHeight="1" x14ac:dyDescent="0.25"/>
    <row r="313" spans="2:24" ht="14.25" customHeight="1" x14ac:dyDescent="0.25"/>
    <row r="314" spans="2:24" ht="14.25" customHeight="1" x14ac:dyDescent="0.25"/>
    <row r="315" spans="2:24" ht="14.25" customHeight="1" x14ac:dyDescent="0.25"/>
    <row r="316" spans="2:24" ht="14.25" customHeight="1" x14ac:dyDescent="0.25"/>
    <row r="317" spans="2:24" ht="14.25" customHeight="1" x14ac:dyDescent="0.25"/>
    <row r="318" spans="2:24" ht="14.25" customHeight="1" x14ac:dyDescent="0.25"/>
    <row r="319" spans="2:24" ht="14.25" customHeight="1" x14ac:dyDescent="0.25"/>
    <row r="320" spans="2:24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6:X307" xr:uid="{00000000-0009-0000-0000-00000E000000}">
    <sortState xmlns:xlrd2="http://schemas.microsoft.com/office/spreadsheetml/2017/richdata2" ref="A6:X307">
      <sortCondition ref="L6:L307"/>
    </sortState>
  </autoFilter>
  <mergeCells count="1">
    <mergeCell ref="A1:C1"/>
  </mergeCells>
  <conditionalFormatting sqref="B7:G307 X7:X307">
    <cfRule type="expression" dxfId="18" priority="1">
      <formula>$C7="No"</formula>
    </cfRule>
  </conditionalFormatting>
  <conditionalFormatting sqref="H7:H296">
    <cfRule type="expression" dxfId="17" priority="2">
      <formula>$D7="No"</formula>
    </cfRule>
  </conditionalFormatting>
  <conditionalFormatting sqref="K7:L307">
    <cfRule type="expression" dxfId="16" priority="3">
      <formula>$C7="No"</formula>
    </cfRule>
  </conditionalFormatting>
  <conditionalFormatting sqref="M7:M307">
    <cfRule type="cellIs" dxfId="15" priority="4" operator="lessThan">
      <formula>B7</formula>
    </cfRule>
    <cfRule type="cellIs" dxfId="14" priority="5" operator="greaterThan">
      <formula>B7</formula>
    </cfRule>
  </conditionalFormatting>
  <conditionalFormatting sqref="O2:AE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7:P307">
    <cfRule type="colorScale" priority="7">
      <colorScale>
        <cfvo type="min"/>
        <cfvo type="formula" val="0"/>
        <cfvo type="max"/>
        <color rgb="FFF8696B"/>
        <color rgb="FFFCFCFF"/>
        <color rgb="FF63BE7B"/>
      </colorScale>
    </cfRule>
  </conditionalFormatting>
  <conditionalFormatting sqref="W7:W307">
    <cfRule type="colorScale" priority="8">
      <colorScale>
        <cfvo type="formula" val="-15"/>
        <cfvo type="formula" val="0"/>
        <cfvo type="formula" val="15"/>
        <color rgb="FFF8696B"/>
        <color theme="0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  <cfRule type="expression" dxfId="13" priority="10">
      <formula>$C7="No"</formula>
    </cfRule>
  </conditionalFormatting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E1000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14.42578125" defaultRowHeight="15" customHeight="1" x14ac:dyDescent="0.25"/>
  <cols>
    <col min="1" max="2" width="8.7109375" customWidth="1"/>
    <col min="3" max="6" width="9.7109375" customWidth="1"/>
    <col min="7" max="7" width="5.28515625" customWidth="1"/>
    <col min="8" max="8" width="17.85546875" customWidth="1"/>
    <col min="9" max="10" width="8.7109375" customWidth="1"/>
    <col min="11" max="11" width="15.85546875" customWidth="1"/>
    <col min="12" max="31" width="8.7109375" customWidth="1"/>
  </cols>
  <sheetData>
    <row r="1" spans="1:31" ht="14.25" customHeight="1" x14ac:dyDescent="0.35">
      <c r="A1" s="97" t="s">
        <v>1157</v>
      </c>
      <c r="B1" s="96"/>
      <c r="C1" s="96"/>
      <c r="D1" s="62"/>
      <c r="E1" s="2"/>
      <c r="F1" s="2"/>
      <c r="G1" s="2"/>
      <c r="H1" s="2"/>
      <c r="I1" s="3"/>
      <c r="J1" s="3" t="s">
        <v>997</v>
      </c>
      <c r="K1" s="63">
        <v>4</v>
      </c>
      <c r="L1" s="2"/>
      <c r="M1" s="2"/>
      <c r="N1" s="4" t="s">
        <v>1158</v>
      </c>
      <c r="O1" s="4" t="s">
        <v>1000</v>
      </c>
      <c r="P1" s="4" t="s">
        <v>1001</v>
      </c>
      <c r="Q1" s="4" t="s">
        <v>1002</v>
      </c>
      <c r="R1" s="4" t="s">
        <v>1003</v>
      </c>
      <c r="S1" s="4" t="s">
        <v>1004</v>
      </c>
      <c r="T1" s="4" t="s">
        <v>653</v>
      </c>
      <c r="U1" s="4" t="s">
        <v>776</v>
      </c>
      <c r="V1" s="4" t="s">
        <v>1005</v>
      </c>
      <c r="W1" s="4" t="s">
        <v>1006</v>
      </c>
      <c r="X1" s="4" t="s">
        <v>1007</v>
      </c>
      <c r="Y1" s="4" t="s">
        <v>1008</v>
      </c>
      <c r="Z1" s="4" t="s">
        <v>1009</v>
      </c>
      <c r="AA1" s="4" t="s">
        <v>1010</v>
      </c>
      <c r="AB1" s="4" t="s">
        <v>1011</v>
      </c>
      <c r="AC1" s="4" t="s">
        <v>1012</v>
      </c>
      <c r="AD1" s="4" t="s">
        <v>1013</v>
      </c>
      <c r="AE1" s="4" t="s">
        <v>1014</v>
      </c>
    </row>
    <row r="2" spans="1:31" ht="14.25" customHeight="1" x14ac:dyDescent="0.25">
      <c r="B2" s="2"/>
      <c r="C2" s="2"/>
      <c r="D2" s="2"/>
      <c r="E2" s="2"/>
      <c r="F2" s="2"/>
      <c r="G2" s="2"/>
      <c r="H2" s="2"/>
      <c r="I2" s="3"/>
      <c r="J2" s="3" t="s">
        <v>1017</v>
      </c>
      <c r="K2" s="63">
        <v>2</v>
      </c>
      <c r="L2" s="2"/>
      <c r="M2" s="2"/>
      <c r="N2" s="15" t="s">
        <v>1019</v>
      </c>
      <c r="O2" s="34">
        <v>76</v>
      </c>
      <c r="P2" s="34">
        <v>70</v>
      </c>
      <c r="Q2" s="34">
        <v>70</v>
      </c>
      <c r="R2" s="34">
        <v>36</v>
      </c>
      <c r="S2" s="34">
        <v>39</v>
      </c>
      <c r="T2" s="34">
        <v>24</v>
      </c>
      <c r="U2" s="34">
        <v>4</v>
      </c>
      <c r="V2" s="34">
        <v>54</v>
      </c>
      <c r="W2" s="34">
        <v>32</v>
      </c>
      <c r="X2" s="34">
        <v>19</v>
      </c>
      <c r="Y2" s="34">
        <v>8</v>
      </c>
      <c r="Z2" s="34">
        <v>28</v>
      </c>
      <c r="AA2" s="34">
        <v>22</v>
      </c>
      <c r="AB2" s="34">
        <v>12</v>
      </c>
      <c r="AC2" s="34">
        <v>52</v>
      </c>
      <c r="AD2" s="34">
        <v>12</v>
      </c>
      <c r="AE2" s="34">
        <v>5</v>
      </c>
    </row>
    <row r="3" spans="1:31" ht="14.25" customHeight="1" x14ac:dyDescent="0.25">
      <c r="B3" s="2"/>
      <c r="C3" s="2"/>
      <c r="D3" s="2"/>
      <c r="E3" s="2"/>
      <c r="F3" s="2"/>
      <c r="G3" s="2"/>
      <c r="H3" s="2"/>
      <c r="I3" s="3"/>
      <c r="J3" s="3" t="s">
        <v>1023</v>
      </c>
      <c r="K3" s="63">
        <f>INT((K1)/K2)</f>
        <v>2</v>
      </c>
      <c r="L3" s="2"/>
      <c r="M3" s="2"/>
      <c r="N3" s="15" t="s">
        <v>1024</v>
      </c>
      <c r="O3" s="34">
        <v>75</v>
      </c>
      <c r="P3" s="34">
        <v>57</v>
      </c>
      <c r="Q3" s="34">
        <v>46</v>
      </c>
      <c r="R3" s="34">
        <v>32</v>
      </c>
      <c r="S3" s="34">
        <v>3</v>
      </c>
      <c r="T3" s="34">
        <v>3</v>
      </c>
      <c r="U3" s="34">
        <v>1</v>
      </c>
      <c r="V3" s="34">
        <v>24</v>
      </c>
      <c r="W3" s="34">
        <v>10</v>
      </c>
      <c r="X3" s="34">
        <v>3</v>
      </c>
      <c r="Y3" s="34">
        <v>1</v>
      </c>
      <c r="Z3" s="34">
        <v>8</v>
      </c>
      <c r="AA3" s="34">
        <v>8</v>
      </c>
      <c r="AB3" s="34">
        <v>8</v>
      </c>
      <c r="AC3" s="34">
        <v>28</v>
      </c>
      <c r="AD3" s="34">
        <v>10</v>
      </c>
      <c r="AE3" s="34">
        <v>1</v>
      </c>
    </row>
    <row r="4" spans="1:31" ht="14.25" customHeight="1" x14ac:dyDescent="0.25">
      <c r="C4" s="2"/>
      <c r="D4" s="2"/>
      <c r="E4" s="2"/>
      <c r="F4" s="2"/>
      <c r="G4" s="2"/>
      <c r="H4" s="2"/>
      <c r="I4" s="3"/>
      <c r="J4" s="2"/>
      <c r="K4" s="2"/>
      <c r="L4" s="2"/>
      <c r="M4" s="2"/>
      <c r="N4" s="2"/>
      <c r="O4" s="2"/>
      <c r="P4" s="2"/>
      <c r="Q4" s="2"/>
      <c r="R4" s="2" t="s">
        <v>1159</v>
      </c>
      <c r="S4" s="2"/>
      <c r="T4" s="2"/>
      <c r="U4" s="2"/>
      <c r="V4" s="2"/>
      <c r="W4" s="2"/>
      <c r="X4" s="2"/>
      <c r="Y4" s="2"/>
      <c r="Z4" s="2"/>
      <c r="AA4" s="2"/>
      <c r="AB4" s="2"/>
      <c r="AD4" s="2"/>
    </row>
    <row r="5" spans="1:31" ht="14.25" customHeight="1" x14ac:dyDescent="0.25">
      <c r="C5" s="2"/>
      <c r="D5" s="2"/>
      <c r="E5" s="2"/>
      <c r="F5" s="2"/>
      <c r="G5" s="2"/>
      <c r="H5" s="2"/>
      <c r="I5" s="3"/>
      <c r="J5" s="2"/>
      <c r="K5" s="2"/>
      <c r="L5" s="2"/>
      <c r="M5" s="2"/>
      <c r="N5" s="2"/>
      <c r="O5" s="2"/>
      <c r="P5" s="2"/>
      <c r="Q5" s="2"/>
      <c r="R5" s="81" t="s">
        <v>1160</v>
      </c>
      <c r="S5" s="2"/>
      <c r="T5" s="2"/>
      <c r="U5" s="2"/>
      <c r="V5" s="2"/>
      <c r="W5" s="2"/>
      <c r="X5" s="2"/>
      <c r="Y5" s="2"/>
      <c r="Z5" s="2"/>
      <c r="AA5" s="2"/>
      <c r="AB5" s="2"/>
      <c r="AD5" s="2"/>
    </row>
    <row r="6" spans="1:31" ht="14.25" customHeight="1" x14ac:dyDescent="0.25">
      <c r="A6" s="15" t="s">
        <v>95</v>
      </c>
      <c r="B6" s="16" t="s">
        <v>96</v>
      </c>
      <c r="C6" s="17" t="s">
        <v>99</v>
      </c>
      <c r="D6" s="17" t="s">
        <v>1035</v>
      </c>
      <c r="E6" s="17" t="s">
        <v>1036</v>
      </c>
      <c r="F6" s="17" t="s">
        <v>1037</v>
      </c>
      <c r="G6" s="17" t="s">
        <v>27</v>
      </c>
      <c r="H6" s="4" t="s">
        <v>5</v>
      </c>
      <c r="I6" s="4" t="s">
        <v>8</v>
      </c>
      <c r="J6" s="4" t="s">
        <v>7</v>
      </c>
      <c r="K6" s="4" t="s">
        <v>28</v>
      </c>
      <c r="L6" s="4" t="s">
        <v>29</v>
      </c>
      <c r="M6" s="18" t="s">
        <v>102</v>
      </c>
      <c r="N6" s="18" t="s">
        <v>18</v>
      </c>
      <c r="O6" s="15" t="s">
        <v>22</v>
      </c>
      <c r="P6" s="19" t="s">
        <v>106</v>
      </c>
      <c r="Q6" s="15" t="s">
        <v>9</v>
      </c>
      <c r="R6" s="15" t="s">
        <v>10</v>
      </c>
      <c r="S6" s="15" t="s">
        <v>12</v>
      </c>
      <c r="T6" s="15" t="s">
        <v>19</v>
      </c>
      <c r="U6" s="15" t="s">
        <v>15</v>
      </c>
      <c r="V6" s="16" t="s">
        <v>110</v>
      </c>
      <c r="W6" s="16" t="s">
        <v>113</v>
      </c>
      <c r="X6" s="4" t="s">
        <v>30</v>
      </c>
    </row>
    <row r="7" spans="1:31" ht="14.25" customHeight="1" x14ac:dyDescent="0.25">
      <c r="A7" s="11"/>
      <c r="B7" s="11" t="e">
        <f t="shared" ref="B7:B257" si="0">IFERROR(INT(AVERAGE(Q7:U7)/12)+1, INT(AVERAGE(N7)/12)+1)</f>
        <v>#N/A</v>
      </c>
      <c r="C7" s="11" t="s">
        <v>148</v>
      </c>
      <c r="D7" s="11">
        <v>29</v>
      </c>
      <c r="E7" s="60">
        <v>40</v>
      </c>
      <c r="F7" s="11">
        <f t="shared" ref="F7:F261" si="1">D7-E7</f>
        <v>-11</v>
      </c>
      <c r="G7" s="60" t="s">
        <v>148</v>
      </c>
      <c r="H7" s="60" t="s">
        <v>907</v>
      </c>
      <c r="I7" s="60" t="e">
        <f>VLOOKUP($H7, 'ADP Data'!$B$4:$Q$300, 2, FALSE)</f>
        <v>#N/A</v>
      </c>
      <c r="J7" s="60" t="e">
        <f>VLOOKUP($H7, 'ADP Data'!$B$4:$Q$300, 3, FALSE)</f>
        <v>#N/A</v>
      </c>
      <c r="K7" s="60" t="e">
        <f>VLOOKUP($H7, SeanRanks!$A$2:$H$303, 4, FALSE)</f>
        <v>#N/A</v>
      </c>
      <c r="L7" s="11" t="e">
        <f>VLOOKUP($H7, SeanRanks!$A$2:$H$303, 5, FALSE)</f>
        <v>#N/A</v>
      </c>
      <c r="M7" s="11">
        <f t="shared" ref="M7:M261" si="2">IFERROR(INT(N7/12)+1, 16)</f>
        <v>16</v>
      </c>
      <c r="N7" s="11" t="e">
        <f>VLOOKUP($H7, 'ADP Data'!$B$4:$Q$300, 11, FALSE)</f>
        <v>#N/A</v>
      </c>
      <c r="O7" s="11" t="e">
        <f>VLOOKUP($H7, 'ADP Data'!$B$4:$Q$300, 5, FALSE)</f>
        <v>#N/A</v>
      </c>
      <c r="P7" s="11" t="e">
        <f t="shared" ref="P7:P261" si="3">N7-O7</f>
        <v>#N/A</v>
      </c>
      <c r="Q7" s="11" t="e">
        <f>VLOOKUP($H7, 'ADP Data'!$B$4:$Q$300, 6, FALSE)</f>
        <v>#N/A</v>
      </c>
      <c r="R7" s="11" t="e">
        <f>VLOOKUP($H7, 'ADP Data'!$B$4:$Q$300, 7, FALSE)</f>
        <v>#N/A</v>
      </c>
      <c r="S7" s="11" t="e">
        <f>VLOOKUP($H7, 'ADP Data'!$B$4:$Q$300, 8, FALSE)</f>
        <v>#N/A</v>
      </c>
      <c r="T7" s="11" t="e">
        <f>VLOOKUP($H7, 'ADP Data'!$B$4:$Q$300, 9, FALSE)</f>
        <v>#N/A</v>
      </c>
      <c r="U7" s="11" t="e">
        <f>VLOOKUP($H7, 'ADP Data'!$B$4:$Q$300, 10, FALSE)</f>
        <v>#N/A</v>
      </c>
      <c r="V7" s="11" t="e">
        <f t="shared" ref="V7:V261" si="4">INT(AVERAGE(N7:T7))</f>
        <v>#N/A</v>
      </c>
      <c r="W7" s="11" t="e">
        <f>VLOOKUP($H7, SeanRanks!$A$2:$J$303, 7, FALSE)-V7</f>
        <v>#N/A</v>
      </c>
      <c r="X7" s="60"/>
    </row>
    <row r="8" spans="1:31" ht="14.25" customHeight="1" x14ac:dyDescent="0.25">
      <c r="A8" s="11"/>
      <c r="B8" s="11" t="e">
        <f t="shared" si="0"/>
        <v>#N/A</v>
      </c>
      <c r="C8" s="11" t="s">
        <v>148</v>
      </c>
      <c r="D8" s="11">
        <v>13</v>
      </c>
      <c r="E8" s="11">
        <v>20</v>
      </c>
      <c r="F8" s="11">
        <f t="shared" si="1"/>
        <v>-7</v>
      </c>
      <c r="G8" s="11"/>
      <c r="H8" s="11" t="s">
        <v>262</v>
      </c>
      <c r="I8" s="11" t="e">
        <f>VLOOKUP($H8, 'ADP Data'!$B$4:$Q$300, 2, FALSE)</f>
        <v>#N/A</v>
      </c>
      <c r="J8" s="11" t="e">
        <f>VLOOKUP($H8, 'ADP Data'!$B$4:$Q$300, 3, FALSE)</f>
        <v>#N/A</v>
      </c>
      <c r="K8" s="11" t="s">
        <v>1161</v>
      </c>
      <c r="L8" s="11">
        <v>2</v>
      </c>
      <c r="M8" s="11">
        <f t="shared" si="2"/>
        <v>16</v>
      </c>
      <c r="N8" s="11" t="e">
        <f>VLOOKUP($H8, 'ADP Data'!$B$4:$Q$300, 11, FALSE)</f>
        <v>#N/A</v>
      </c>
      <c r="O8" s="11" t="e">
        <f>VLOOKUP($H8, 'ADP Data'!$B$4:$Q$300, 5, FALSE)</f>
        <v>#N/A</v>
      </c>
      <c r="P8" s="11" t="e">
        <f t="shared" si="3"/>
        <v>#N/A</v>
      </c>
      <c r="Q8" s="11" t="e">
        <f>VLOOKUP($H8, 'ADP Data'!$B$4:$Q$300, 6, FALSE)</f>
        <v>#N/A</v>
      </c>
      <c r="R8" s="11" t="e">
        <f>VLOOKUP($H8, 'ADP Data'!$B$4:$Q$300, 7, FALSE)</f>
        <v>#N/A</v>
      </c>
      <c r="S8" s="11" t="e">
        <f>VLOOKUP($H8, 'ADP Data'!$B$4:$Q$300, 8, FALSE)</f>
        <v>#N/A</v>
      </c>
      <c r="T8" s="11" t="e">
        <f>VLOOKUP($H8, 'ADP Data'!$B$4:$Q$300, 9, FALSE)</f>
        <v>#N/A</v>
      </c>
      <c r="U8" s="11" t="e">
        <f>VLOOKUP($H8, 'ADP Data'!$B$4:$Q$300, 10, FALSE)</f>
        <v>#N/A</v>
      </c>
      <c r="V8" s="11" t="e">
        <f t="shared" si="4"/>
        <v>#N/A</v>
      </c>
      <c r="W8" s="11" t="e">
        <f>VLOOKUP($H8, SeanRanks!$A$2:$J$303, 7, FALSE)-V8</f>
        <v>#N/A</v>
      </c>
      <c r="X8" s="11"/>
    </row>
    <row r="9" spans="1:31" ht="14.25" customHeight="1" x14ac:dyDescent="0.25">
      <c r="A9" s="11" t="s">
        <v>1156</v>
      </c>
      <c r="B9" s="11" t="e">
        <f t="shared" si="0"/>
        <v>#N/A</v>
      </c>
      <c r="C9" s="11" t="s">
        <v>148</v>
      </c>
      <c r="D9" s="11">
        <v>58</v>
      </c>
      <c r="E9" s="11">
        <v>55</v>
      </c>
      <c r="F9" s="11">
        <f t="shared" si="1"/>
        <v>3</v>
      </c>
      <c r="G9" s="11"/>
      <c r="H9" s="11" t="s">
        <v>1127</v>
      </c>
      <c r="I9" s="11" t="e">
        <f>VLOOKUP($H9, 'ADP Data'!$B$4:$Q$300, 2, FALSE)</f>
        <v>#N/A</v>
      </c>
      <c r="J9" s="11" t="e">
        <f>VLOOKUP($H9, 'ADP Data'!$B$4:$Q$300, 3, FALSE)</f>
        <v>#N/A</v>
      </c>
      <c r="K9" s="11" t="e">
        <f>VLOOKUP($H9, SeanRanks!$A$2:$H$303, 4, FALSE)</f>
        <v>#N/A</v>
      </c>
      <c r="L9" s="11" t="e">
        <f>VLOOKUP($H9, SeanRanks!$A$2:$H$303, 5, FALSE)</f>
        <v>#N/A</v>
      </c>
      <c r="M9" s="11">
        <f t="shared" si="2"/>
        <v>16</v>
      </c>
      <c r="N9" s="11" t="e">
        <f>VLOOKUP($H9, 'ADP Data'!$B$4:$Q$300, 11, FALSE)</f>
        <v>#N/A</v>
      </c>
      <c r="O9" s="11" t="e">
        <f>VLOOKUP($H9, 'ADP Data'!$B$4:$Q$300, 5, FALSE)</f>
        <v>#N/A</v>
      </c>
      <c r="P9" s="11" t="e">
        <f t="shared" si="3"/>
        <v>#N/A</v>
      </c>
      <c r="Q9" s="11" t="e">
        <f>VLOOKUP($H9, 'ADP Data'!$B$4:$Q$300, 6, FALSE)</f>
        <v>#N/A</v>
      </c>
      <c r="R9" s="11" t="e">
        <f>VLOOKUP($H9, 'ADP Data'!$B$4:$Q$300, 7, FALSE)</f>
        <v>#N/A</v>
      </c>
      <c r="S9" s="11" t="e">
        <f>VLOOKUP($H9, 'ADP Data'!$B$4:$Q$300, 8, FALSE)</f>
        <v>#N/A</v>
      </c>
      <c r="T9" s="11" t="e">
        <f>VLOOKUP($H9, 'ADP Data'!$B$4:$Q$300, 9, FALSE)</f>
        <v>#N/A</v>
      </c>
      <c r="U9" s="11" t="e">
        <f>VLOOKUP($H9, 'ADP Data'!$B$4:$Q$300, 10, FALSE)</f>
        <v>#N/A</v>
      </c>
      <c r="V9" s="11" t="e">
        <f t="shared" si="4"/>
        <v>#N/A</v>
      </c>
      <c r="W9" s="11" t="e">
        <f>VLOOKUP($H9, SeanRanks!$A$2:$J$303, 7, FALSE)-V9</f>
        <v>#N/A</v>
      </c>
      <c r="X9" s="11"/>
    </row>
    <row r="10" spans="1:31" ht="14.25" customHeight="1" x14ac:dyDescent="0.25">
      <c r="A10" s="11"/>
      <c r="B10" s="11" t="e">
        <f t="shared" si="0"/>
        <v>#N/A</v>
      </c>
      <c r="C10" s="11" t="s">
        <v>148</v>
      </c>
      <c r="D10" s="11">
        <v>25</v>
      </c>
      <c r="E10" s="11">
        <v>30</v>
      </c>
      <c r="F10" s="11">
        <f t="shared" si="1"/>
        <v>-5</v>
      </c>
      <c r="G10" s="11"/>
      <c r="H10" s="11" t="s">
        <v>103</v>
      </c>
      <c r="I10" s="11" t="e">
        <f>VLOOKUP($H10, 'ADP Data'!$B$4:$Q$300, 2, FALSE)</f>
        <v>#N/A</v>
      </c>
      <c r="J10" s="11" t="e">
        <f>VLOOKUP($H10, 'ADP Data'!$B$4:$Q$300, 3, FALSE)</f>
        <v>#N/A</v>
      </c>
      <c r="K10" s="11">
        <f>VLOOKUP($H10, SeanRanks!$A$2:$H$303, 4, FALSE)</f>
        <v>0</v>
      </c>
      <c r="L10" s="11">
        <f>VLOOKUP($H10, SeanRanks!$A$2:$H$303, 5, FALSE)</f>
        <v>0</v>
      </c>
      <c r="M10" s="11">
        <f t="shared" si="2"/>
        <v>16</v>
      </c>
      <c r="N10" s="11" t="e">
        <f>VLOOKUP($H10, 'ADP Data'!$B$4:$Q$300, 11, FALSE)</f>
        <v>#N/A</v>
      </c>
      <c r="O10" s="11" t="e">
        <f>VLOOKUP($H10, 'ADP Data'!$B$4:$Q$300, 5, FALSE)</f>
        <v>#N/A</v>
      </c>
      <c r="P10" s="11" t="e">
        <f t="shared" si="3"/>
        <v>#N/A</v>
      </c>
      <c r="Q10" s="11" t="e">
        <f>VLOOKUP($H10, 'ADP Data'!$B$4:$Q$300, 6, FALSE)</f>
        <v>#N/A</v>
      </c>
      <c r="R10" s="11" t="e">
        <f>VLOOKUP($H10, 'ADP Data'!$B$4:$Q$300, 7, FALSE)</f>
        <v>#N/A</v>
      </c>
      <c r="S10" s="11" t="e">
        <f>VLOOKUP($H10, 'ADP Data'!$B$4:$Q$300, 8, FALSE)</f>
        <v>#N/A</v>
      </c>
      <c r="T10" s="11" t="e">
        <f>VLOOKUP($H10, 'ADP Data'!$B$4:$Q$300, 9, FALSE)</f>
        <v>#N/A</v>
      </c>
      <c r="U10" s="11" t="e">
        <f>VLOOKUP($H10, 'ADP Data'!$B$4:$Q$300, 10, FALSE)</f>
        <v>#N/A</v>
      </c>
      <c r="V10" s="11" t="e">
        <f t="shared" si="4"/>
        <v>#N/A</v>
      </c>
      <c r="W10" s="11" t="e">
        <f>VLOOKUP($H10, SeanRanks!$A$2:$J$303, 7, FALSE)-V10</f>
        <v>#N/A</v>
      </c>
      <c r="X10" s="11"/>
    </row>
    <row r="11" spans="1:31" ht="14.25" customHeight="1" x14ac:dyDescent="0.25">
      <c r="A11" s="11"/>
      <c r="B11" s="11" t="e">
        <f t="shared" si="0"/>
        <v>#N/A</v>
      </c>
      <c r="C11" s="11" t="s">
        <v>148</v>
      </c>
      <c r="D11" s="11">
        <v>2</v>
      </c>
      <c r="E11" s="11">
        <v>6</v>
      </c>
      <c r="F11" s="11">
        <f t="shared" si="1"/>
        <v>-4</v>
      </c>
      <c r="G11" s="11" t="s">
        <v>148</v>
      </c>
      <c r="H11" s="11" t="s">
        <v>1162</v>
      </c>
      <c r="I11" s="11" t="e">
        <f>VLOOKUP($H11, 'ADP Data'!$B$4:$Q$300, 2, FALSE)</f>
        <v>#N/A</v>
      </c>
      <c r="J11" s="11" t="e">
        <f>VLOOKUP($H11, 'ADP Data'!$B$4:$Q$300, 3, FALSE)</f>
        <v>#N/A</v>
      </c>
      <c r="K11" s="11" t="s">
        <v>1163</v>
      </c>
      <c r="L11" s="11">
        <v>11</v>
      </c>
      <c r="M11" s="11">
        <f t="shared" si="2"/>
        <v>16</v>
      </c>
      <c r="N11" s="11" t="e">
        <f>VLOOKUP($H11, 'ADP Data'!$B$4:$Q$300, 11, FALSE)</f>
        <v>#N/A</v>
      </c>
      <c r="O11" s="11" t="e">
        <f>VLOOKUP($H11, 'ADP Data'!$B$4:$Q$300, 5, FALSE)</f>
        <v>#N/A</v>
      </c>
      <c r="P11" s="11" t="e">
        <f t="shared" si="3"/>
        <v>#N/A</v>
      </c>
      <c r="Q11" s="11" t="e">
        <f>VLOOKUP($H11, 'ADP Data'!$B$4:$Q$300, 6, FALSE)</f>
        <v>#N/A</v>
      </c>
      <c r="R11" s="11" t="e">
        <f>VLOOKUP($H11, 'ADP Data'!$B$4:$Q$300, 7, FALSE)</f>
        <v>#N/A</v>
      </c>
      <c r="S11" s="11" t="e">
        <f>VLOOKUP($H11, 'ADP Data'!$B$4:$Q$300, 8, FALSE)</f>
        <v>#N/A</v>
      </c>
      <c r="T11" s="11" t="e">
        <f>VLOOKUP($H11, 'ADP Data'!$B$4:$Q$300, 9, FALSE)</f>
        <v>#N/A</v>
      </c>
      <c r="U11" s="11" t="e">
        <f>VLOOKUP($H11, 'ADP Data'!$B$4:$Q$300, 10, FALSE)</f>
        <v>#N/A</v>
      </c>
      <c r="V11" s="11" t="e">
        <f t="shared" si="4"/>
        <v>#N/A</v>
      </c>
      <c r="W11" s="11" t="e">
        <f>VLOOKUP($H11, SeanRanks!$A$2:$J$303, 7, FALSE)-V11</f>
        <v>#N/A</v>
      </c>
      <c r="X11" s="11"/>
    </row>
    <row r="12" spans="1:31" ht="14.25" customHeight="1" x14ac:dyDescent="0.25">
      <c r="A12" s="11" t="s">
        <v>1156</v>
      </c>
      <c r="B12" s="11" t="e">
        <f t="shared" si="0"/>
        <v>#N/A</v>
      </c>
      <c r="C12" s="11" t="s">
        <v>148</v>
      </c>
      <c r="D12" s="11">
        <v>44</v>
      </c>
      <c r="E12" s="60">
        <v>50</v>
      </c>
      <c r="F12" s="11">
        <f t="shared" si="1"/>
        <v>-6</v>
      </c>
      <c r="G12" s="60"/>
      <c r="H12" s="60" t="s">
        <v>172</v>
      </c>
      <c r="I12" s="60" t="e">
        <f>VLOOKUP($H12, 'ADP Data'!$B$4:$Q$300, 2, FALSE)</f>
        <v>#N/A</v>
      </c>
      <c r="J12" s="60" t="e">
        <f>VLOOKUP($H12, 'ADP Data'!$B$4:$Q$300, 3, FALSE)</f>
        <v>#N/A</v>
      </c>
      <c r="K12" s="60">
        <f>VLOOKUP($H12, SeanRanks!$A$2:$H$303, 4, FALSE)</f>
        <v>0</v>
      </c>
      <c r="L12" s="11">
        <v>9</v>
      </c>
      <c r="M12" s="11">
        <f t="shared" si="2"/>
        <v>16</v>
      </c>
      <c r="N12" s="11" t="e">
        <f>VLOOKUP($H12, 'ADP Data'!$B$4:$Q$300, 11, FALSE)</f>
        <v>#N/A</v>
      </c>
      <c r="O12" s="11" t="e">
        <f>VLOOKUP($H12, 'ADP Data'!$B$4:$Q$300, 5, FALSE)</f>
        <v>#N/A</v>
      </c>
      <c r="P12" s="11" t="e">
        <f t="shared" si="3"/>
        <v>#N/A</v>
      </c>
      <c r="Q12" s="11" t="e">
        <f>VLOOKUP($H12, 'ADP Data'!$B$4:$Q$300, 6, FALSE)</f>
        <v>#N/A</v>
      </c>
      <c r="R12" s="11" t="e">
        <f>VLOOKUP($H12, 'ADP Data'!$B$4:$Q$300, 7, FALSE)</f>
        <v>#N/A</v>
      </c>
      <c r="S12" s="11" t="e">
        <f>VLOOKUP($H12, 'ADP Data'!$B$4:$Q$300, 8, FALSE)</f>
        <v>#N/A</v>
      </c>
      <c r="T12" s="11" t="e">
        <f>VLOOKUP($H12, 'ADP Data'!$B$4:$Q$300, 9, FALSE)</f>
        <v>#N/A</v>
      </c>
      <c r="U12" s="11" t="e">
        <f>VLOOKUP($H12, 'ADP Data'!$B$4:$Q$300, 10, FALSE)</f>
        <v>#N/A</v>
      </c>
      <c r="V12" s="11" t="e">
        <f t="shared" si="4"/>
        <v>#N/A</v>
      </c>
      <c r="W12" s="11" t="e">
        <f>VLOOKUP($H12, SeanRanks!$A$2:$J$303, 7, FALSE)-V12</f>
        <v>#N/A</v>
      </c>
      <c r="X12" s="60" t="s">
        <v>1164</v>
      </c>
    </row>
    <row r="13" spans="1:31" ht="14.25" customHeight="1" x14ac:dyDescent="0.25">
      <c r="A13" s="11"/>
      <c r="B13" s="11" t="e">
        <f t="shared" si="0"/>
        <v>#N/A</v>
      </c>
      <c r="C13" s="11" t="s">
        <v>148</v>
      </c>
      <c r="D13" s="11">
        <v>2</v>
      </c>
      <c r="E13" s="11">
        <v>5</v>
      </c>
      <c r="F13" s="11">
        <f t="shared" si="1"/>
        <v>-3</v>
      </c>
      <c r="G13" s="11"/>
      <c r="H13" s="11" t="s">
        <v>1165</v>
      </c>
      <c r="I13" s="11" t="e">
        <f>VLOOKUP($H13, 'ADP Data'!$B$4:$Q$300, 2, FALSE)</f>
        <v>#N/A</v>
      </c>
      <c r="J13" s="11" t="e">
        <f>VLOOKUP($H13, 'ADP Data'!$B$4:$Q$300, 3, FALSE)</f>
        <v>#N/A</v>
      </c>
      <c r="K13" s="11" t="s">
        <v>1163</v>
      </c>
      <c r="L13" s="11">
        <v>8</v>
      </c>
      <c r="M13" s="11">
        <f t="shared" si="2"/>
        <v>16</v>
      </c>
      <c r="N13" s="11" t="e">
        <f>VLOOKUP($H13, 'ADP Data'!$B$4:$Q$300, 11, FALSE)</f>
        <v>#N/A</v>
      </c>
      <c r="O13" s="11" t="e">
        <f>VLOOKUP($H13, 'ADP Data'!$B$4:$Q$300, 5, FALSE)</f>
        <v>#N/A</v>
      </c>
      <c r="P13" s="11" t="e">
        <f t="shared" si="3"/>
        <v>#N/A</v>
      </c>
      <c r="Q13" s="11" t="e">
        <f>VLOOKUP($H13, 'ADP Data'!$B$4:$Q$300, 6, FALSE)</f>
        <v>#N/A</v>
      </c>
      <c r="R13" s="11" t="e">
        <f>VLOOKUP($H13, 'ADP Data'!$B$4:$Q$300, 7, FALSE)</f>
        <v>#N/A</v>
      </c>
      <c r="S13" s="11" t="e">
        <f>VLOOKUP($H13, 'ADP Data'!$B$4:$Q$300, 8, FALSE)</f>
        <v>#N/A</v>
      </c>
      <c r="T13" s="11" t="e">
        <f>VLOOKUP($H13, 'ADP Data'!$B$4:$Q$300, 9, FALSE)</f>
        <v>#N/A</v>
      </c>
      <c r="U13" s="11" t="e">
        <f>VLOOKUP($H13, 'ADP Data'!$B$4:$Q$300, 10, FALSE)</f>
        <v>#N/A</v>
      </c>
      <c r="V13" s="11" t="e">
        <f t="shared" si="4"/>
        <v>#N/A</v>
      </c>
      <c r="W13" s="11" t="e">
        <f>VLOOKUP($H13, SeanRanks!$A$2:$J$303, 7, FALSE)-V13</f>
        <v>#N/A</v>
      </c>
      <c r="X13" s="11"/>
    </row>
    <row r="14" spans="1:31" ht="14.25" customHeight="1" x14ac:dyDescent="0.25">
      <c r="A14" s="11"/>
      <c r="B14" s="11" t="e">
        <f t="shared" si="0"/>
        <v>#N/A</v>
      </c>
      <c r="C14" s="11" t="s">
        <v>148</v>
      </c>
      <c r="D14" s="11">
        <v>37</v>
      </c>
      <c r="E14" s="60">
        <v>40</v>
      </c>
      <c r="F14" s="11">
        <f t="shared" si="1"/>
        <v>-3</v>
      </c>
      <c r="G14" s="60"/>
      <c r="H14" s="60" t="s">
        <v>338</v>
      </c>
      <c r="I14" s="60" t="e">
        <f>VLOOKUP($H14, 'ADP Data'!$B$4:$Q$300, 2, FALSE)</f>
        <v>#N/A</v>
      </c>
      <c r="J14" s="60" t="e">
        <f>VLOOKUP($H14, 'ADP Data'!$B$4:$Q$300, 3, FALSE)</f>
        <v>#N/A</v>
      </c>
      <c r="K14" s="60">
        <f>VLOOKUP($H14, SeanRanks!$A$2:$H$303, 4, FALSE)</f>
        <v>0</v>
      </c>
      <c r="L14" s="11">
        <v>10</v>
      </c>
      <c r="M14" s="11">
        <f t="shared" si="2"/>
        <v>16</v>
      </c>
      <c r="N14" s="11" t="e">
        <f>VLOOKUP($H14, 'ADP Data'!$B$4:$Q$300, 11, FALSE)</f>
        <v>#N/A</v>
      </c>
      <c r="O14" s="11" t="e">
        <f>VLOOKUP($H14, 'ADP Data'!$B$4:$Q$300, 5, FALSE)</f>
        <v>#N/A</v>
      </c>
      <c r="P14" s="11" t="e">
        <f t="shared" si="3"/>
        <v>#N/A</v>
      </c>
      <c r="Q14" s="11" t="e">
        <f>VLOOKUP($H14, 'ADP Data'!$B$4:$Q$300, 6, FALSE)</f>
        <v>#N/A</v>
      </c>
      <c r="R14" s="11" t="e">
        <f>VLOOKUP($H14, 'ADP Data'!$B$4:$Q$300, 7, FALSE)</f>
        <v>#N/A</v>
      </c>
      <c r="S14" s="11" t="e">
        <f>VLOOKUP($H14, 'ADP Data'!$B$4:$Q$300, 8, FALSE)</f>
        <v>#N/A</v>
      </c>
      <c r="T14" s="11" t="e">
        <f>VLOOKUP($H14, 'ADP Data'!$B$4:$Q$300, 9, FALSE)</f>
        <v>#N/A</v>
      </c>
      <c r="U14" s="11" t="e">
        <f>VLOOKUP($H14, 'ADP Data'!$B$4:$Q$300, 10, FALSE)</f>
        <v>#N/A</v>
      </c>
      <c r="V14" s="11" t="e">
        <f t="shared" si="4"/>
        <v>#N/A</v>
      </c>
      <c r="W14" s="11" t="e">
        <f>VLOOKUP($H14, SeanRanks!$A$2:$J$303, 7, FALSE)-V14</f>
        <v>#N/A</v>
      </c>
      <c r="X14" s="60"/>
    </row>
    <row r="15" spans="1:31" ht="14.25" customHeight="1" x14ac:dyDescent="0.25">
      <c r="A15" s="11"/>
      <c r="B15" s="11" t="e">
        <f t="shared" si="0"/>
        <v>#N/A</v>
      </c>
      <c r="C15" s="11" t="s">
        <v>148</v>
      </c>
      <c r="D15" s="11">
        <v>9</v>
      </c>
      <c r="E15" s="11">
        <v>12</v>
      </c>
      <c r="F15" s="11">
        <f t="shared" si="1"/>
        <v>-3</v>
      </c>
      <c r="G15" s="11" t="s">
        <v>148</v>
      </c>
      <c r="H15" s="11" t="s">
        <v>974</v>
      </c>
      <c r="I15" s="11" t="e">
        <f>VLOOKUP($H15, 'ADP Data'!$B$4:$Q$300, 2, FALSE)</f>
        <v>#N/A</v>
      </c>
      <c r="J15" s="11" t="e">
        <f>VLOOKUP($H15, 'ADP Data'!$B$4:$Q$300, 3, FALSE)</f>
        <v>#N/A</v>
      </c>
      <c r="K15" s="11" t="e">
        <f>VLOOKUP($H15, SeanRanks!$A$2:$H$303, 4, FALSE)</f>
        <v>#N/A</v>
      </c>
      <c r="L15" s="11" t="e">
        <f>VLOOKUP($H15, SeanRanks!$A$2:$H$303, 5, FALSE)</f>
        <v>#N/A</v>
      </c>
      <c r="M15" s="11">
        <f t="shared" si="2"/>
        <v>16</v>
      </c>
      <c r="N15" s="11" t="e">
        <f>VLOOKUP($H15, 'ADP Data'!$B$4:$Q$300, 11, FALSE)</f>
        <v>#N/A</v>
      </c>
      <c r="O15" s="11" t="e">
        <f>VLOOKUP($H15, 'ADP Data'!$B$4:$Q$300, 5, FALSE)</f>
        <v>#N/A</v>
      </c>
      <c r="P15" s="11" t="e">
        <f t="shared" si="3"/>
        <v>#N/A</v>
      </c>
      <c r="Q15" s="11" t="e">
        <f>VLOOKUP($H15, 'ADP Data'!$B$4:$Q$300, 6, FALSE)</f>
        <v>#N/A</v>
      </c>
      <c r="R15" s="11" t="e">
        <f>VLOOKUP($H15, 'ADP Data'!$B$4:$Q$300, 7, FALSE)</f>
        <v>#N/A</v>
      </c>
      <c r="S15" s="11" t="e">
        <f>VLOOKUP($H15, 'ADP Data'!$B$4:$Q$300, 8, FALSE)</f>
        <v>#N/A</v>
      </c>
      <c r="T15" s="11" t="e">
        <f>VLOOKUP($H15, 'ADP Data'!$B$4:$Q$300, 9, FALSE)</f>
        <v>#N/A</v>
      </c>
      <c r="U15" s="11" t="e">
        <f>VLOOKUP($H15, 'ADP Data'!$B$4:$Q$300, 10, FALSE)</f>
        <v>#N/A</v>
      </c>
      <c r="V15" s="11" t="e">
        <f t="shared" si="4"/>
        <v>#N/A</v>
      </c>
      <c r="W15" s="11" t="e">
        <f>VLOOKUP($H15, SeanRanks!$A$2:$J$303, 7, FALSE)-V15</f>
        <v>#N/A</v>
      </c>
      <c r="X15" s="11"/>
    </row>
    <row r="16" spans="1:31" ht="14.25" customHeight="1" x14ac:dyDescent="0.25">
      <c r="A16" s="11" t="s">
        <v>1156</v>
      </c>
      <c r="B16" s="11" t="e">
        <f t="shared" si="0"/>
        <v>#N/A</v>
      </c>
      <c r="C16" s="11" t="s">
        <v>148</v>
      </c>
      <c r="D16" s="11">
        <v>3</v>
      </c>
      <c r="E16" s="11">
        <v>5</v>
      </c>
      <c r="F16" s="11">
        <f t="shared" si="1"/>
        <v>-2</v>
      </c>
      <c r="G16" s="11"/>
      <c r="H16" s="11" t="s">
        <v>254</v>
      </c>
      <c r="I16" s="11" t="e">
        <f>VLOOKUP($H16, 'ADP Data'!$B$4:$Q$300, 2, FALSE)</f>
        <v>#N/A</v>
      </c>
      <c r="J16" s="11" t="e">
        <f>VLOOKUP($H16, 'ADP Data'!$B$4:$Q$300, 3, FALSE)</f>
        <v>#N/A</v>
      </c>
      <c r="K16" s="11" t="s">
        <v>1163</v>
      </c>
      <c r="L16" s="11">
        <v>10</v>
      </c>
      <c r="M16" s="11">
        <f t="shared" si="2"/>
        <v>16</v>
      </c>
      <c r="N16" s="11" t="e">
        <f>VLOOKUP($H16, 'ADP Data'!$B$4:$Q$300, 11, FALSE)</f>
        <v>#N/A</v>
      </c>
      <c r="O16" s="11" t="e">
        <f>VLOOKUP($H16, 'ADP Data'!$B$4:$Q$300, 5, FALSE)</f>
        <v>#N/A</v>
      </c>
      <c r="P16" s="11" t="e">
        <f t="shared" si="3"/>
        <v>#N/A</v>
      </c>
      <c r="Q16" s="11" t="e">
        <f>VLOOKUP($H16, 'ADP Data'!$B$4:$Q$300, 6, FALSE)</f>
        <v>#N/A</v>
      </c>
      <c r="R16" s="11" t="e">
        <f>VLOOKUP($H16, 'ADP Data'!$B$4:$Q$300, 7, FALSE)</f>
        <v>#N/A</v>
      </c>
      <c r="S16" s="11" t="e">
        <f>VLOOKUP($H16, 'ADP Data'!$B$4:$Q$300, 8, FALSE)</f>
        <v>#N/A</v>
      </c>
      <c r="T16" s="11" t="e">
        <f>VLOOKUP($H16, 'ADP Data'!$B$4:$Q$300, 9, FALSE)</f>
        <v>#N/A</v>
      </c>
      <c r="U16" s="11" t="e">
        <f>VLOOKUP($H16, 'ADP Data'!$B$4:$Q$300, 10, FALSE)</f>
        <v>#N/A</v>
      </c>
      <c r="V16" s="11" t="e">
        <f t="shared" si="4"/>
        <v>#N/A</v>
      </c>
      <c r="W16" s="11" t="e">
        <f>VLOOKUP($H16, SeanRanks!$A$2:$J$303, 7, FALSE)-V16</f>
        <v>#N/A</v>
      </c>
      <c r="X16" s="11"/>
    </row>
    <row r="17" spans="1:24" ht="14.25" customHeight="1" x14ac:dyDescent="0.25">
      <c r="A17" s="11"/>
      <c r="B17" s="11" t="e">
        <f t="shared" si="0"/>
        <v>#N/A</v>
      </c>
      <c r="C17" s="11" t="s">
        <v>148</v>
      </c>
      <c r="D17" s="11">
        <v>9</v>
      </c>
      <c r="E17" s="11">
        <v>12</v>
      </c>
      <c r="F17" s="11">
        <f t="shared" si="1"/>
        <v>-3</v>
      </c>
      <c r="G17" s="11" t="s">
        <v>148</v>
      </c>
      <c r="H17" s="11" t="s">
        <v>1166</v>
      </c>
      <c r="I17" s="11" t="e">
        <f>VLOOKUP($H17, 'ADP Data'!$B$4:$Q$300, 2, FALSE)</f>
        <v>#N/A</v>
      </c>
      <c r="J17" s="11" t="e">
        <f>VLOOKUP($H17, 'ADP Data'!$B$4:$Q$300, 3, FALSE)</f>
        <v>#N/A</v>
      </c>
      <c r="K17" s="11" t="e">
        <f>VLOOKUP($H17, SeanRanks!$A$2:$H$303, 4, FALSE)</f>
        <v>#N/A</v>
      </c>
      <c r="L17" s="11" t="e">
        <f>VLOOKUP($H17, SeanRanks!$A$2:$H$303, 5, FALSE)</f>
        <v>#N/A</v>
      </c>
      <c r="M17" s="11">
        <f t="shared" si="2"/>
        <v>16</v>
      </c>
      <c r="N17" s="11" t="e">
        <f>VLOOKUP($H17, 'ADP Data'!$B$4:$Q$300, 11, FALSE)</f>
        <v>#N/A</v>
      </c>
      <c r="O17" s="11" t="e">
        <f>VLOOKUP($H17, 'ADP Data'!$B$4:$Q$300, 5, FALSE)</f>
        <v>#N/A</v>
      </c>
      <c r="P17" s="11" t="e">
        <f t="shared" si="3"/>
        <v>#N/A</v>
      </c>
      <c r="Q17" s="11" t="e">
        <f>VLOOKUP($H17, 'ADP Data'!$B$4:$Q$300, 6, FALSE)</f>
        <v>#N/A</v>
      </c>
      <c r="R17" s="11" t="e">
        <f>VLOOKUP($H17, 'ADP Data'!$B$4:$Q$300, 7, FALSE)</f>
        <v>#N/A</v>
      </c>
      <c r="S17" s="11" t="e">
        <f>VLOOKUP($H17, 'ADP Data'!$B$4:$Q$300, 8, FALSE)</f>
        <v>#N/A</v>
      </c>
      <c r="T17" s="11" t="e">
        <f>VLOOKUP($H17, 'ADP Data'!$B$4:$Q$300, 9, FALSE)</f>
        <v>#N/A</v>
      </c>
      <c r="U17" s="11" t="e">
        <f>VLOOKUP($H17, 'ADP Data'!$B$4:$Q$300, 10, FALSE)</f>
        <v>#N/A</v>
      </c>
      <c r="V17" s="11" t="e">
        <f t="shared" si="4"/>
        <v>#N/A</v>
      </c>
      <c r="W17" s="11" t="e">
        <f>VLOOKUP($H17, SeanRanks!$A$2:$J$303, 7, FALSE)-V17</f>
        <v>#N/A</v>
      </c>
      <c r="X17" s="11"/>
    </row>
    <row r="18" spans="1:24" ht="14.25" customHeight="1" x14ac:dyDescent="0.25">
      <c r="A18" s="11"/>
      <c r="B18" s="11" t="e">
        <f t="shared" si="0"/>
        <v>#N/A</v>
      </c>
      <c r="C18" s="11" t="s">
        <v>148</v>
      </c>
      <c r="D18" s="11">
        <v>23</v>
      </c>
      <c r="E18" s="11">
        <v>25</v>
      </c>
      <c r="F18" s="11">
        <f t="shared" si="1"/>
        <v>-2</v>
      </c>
      <c r="G18" s="11"/>
      <c r="H18" s="11" t="s">
        <v>131</v>
      </c>
      <c r="I18" s="11" t="e">
        <f>VLOOKUP($H18, 'ADP Data'!$B$4:$Q$300, 2, FALSE)</f>
        <v>#N/A</v>
      </c>
      <c r="J18" s="11" t="e">
        <f>VLOOKUP($H18, 'ADP Data'!$B$4:$Q$300, 3, FALSE)</f>
        <v>#N/A</v>
      </c>
      <c r="K18" s="11" t="s">
        <v>1161</v>
      </c>
      <c r="L18" s="11">
        <v>1</v>
      </c>
      <c r="M18" s="11">
        <f t="shared" si="2"/>
        <v>16</v>
      </c>
      <c r="N18" s="11" t="e">
        <f>VLOOKUP($H18, 'ADP Data'!$B$4:$Q$300, 11, FALSE)</f>
        <v>#N/A</v>
      </c>
      <c r="O18" s="11" t="e">
        <f>VLOOKUP($H18, 'ADP Data'!$B$4:$Q$300, 5, FALSE)</f>
        <v>#N/A</v>
      </c>
      <c r="P18" s="11" t="e">
        <f t="shared" si="3"/>
        <v>#N/A</v>
      </c>
      <c r="Q18" s="11" t="e">
        <f>VLOOKUP($H18, 'ADP Data'!$B$4:$Q$300, 6, FALSE)</f>
        <v>#N/A</v>
      </c>
      <c r="R18" s="11" t="e">
        <f>VLOOKUP($H18, 'ADP Data'!$B$4:$Q$300, 7, FALSE)</f>
        <v>#N/A</v>
      </c>
      <c r="S18" s="11" t="e">
        <f>VLOOKUP($H18, 'ADP Data'!$B$4:$Q$300, 8, FALSE)</f>
        <v>#N/A</v>
      </c>
      <c r="T18" s="11" t="e">
        <f>VLOOKUP($H18, 'ADP Data'!$B$4:$Q$300, 9, FALSE)</f>
        <v>#N/A</v>
      </c>
      <c r="U18" s="11" t="e">
        <f>VLOOKUP($H18, 'ADP Data'!$B$4:$Q$300, 10, FALSE)</f>
        <v>#N/A</v>
      </c>
      <c r="V18" s="11" t="e">
        <f t="shared" si="4"/>
        <v>#N/A</v>
      </c>
      <c r="W18" s="11" t="e">
        <f>VLOOKUP($H18, SeanRanks!$A$2:$J$303, 7, FALSE)-V18</f>
        <v>#N/A</v>
      </c>
      <c r="X18" s="11"/>
    </row>
    <row r="19" spans="1:24" ht="14.25" customHeight="1" x14ac:dyDescent="0.25">
      <c r="A19" s="11" t="s">
        <v>1156</v>
      </c>
      <c r="B19" s="11" t="e">
        <f t="shared" si="0"/>
        <v>#N/A</v>
      </c>
      <c r="C19" s="11" t="s">
        <v>148</v>
      </c>
      <c r="D19" s="11">
        <v>2</v>
      </c>
      <c r="E19" s="11">
        <v>3</v>
      </c>
      <c r="F19" s="11">
        <f t="shared" si="1"/>
        <v>-1</v>
      </c>
      <c r="G19" s="11" t="s">
        <v>148</v>
      </c>
      <c r="H19" s="11" t="s">
        <v>811</v>
      </c>
      <c r="I19" s="11" t="e">
        <f>VLOOKUP($H19, 'ADP Data'!$B$4:$Q$300, 2, FALSE)</f>
        <v>#N/A</v>
      </c>
      <c r="J19" s="11" t="e">
        <f>VLOOKUP($H19, 'ADP Data'!$B$4:$Q$300, 3, FALSE)</f>
        <v>#N/A</v>
      </c>
      <c r="K19" s="11" t="s">
        <v>1167</v>
      </c>
      <c r="L19" s="11">
        <f>VLOOKUP($H19, SeanRanks!$A$2:$H$303, 5, FALSE)</f>
        <v>0</v>
      </c>
      <c r="M19" s="11">
        <f t="shared" si="2"/>
        <v>16</v>
      </c>
      <c r="N19" s="11" t="e">
        <f>VLOOKUP($H19, 'ADP Data'!$B$4:$Q$300, 11, FALSE)</f>
        <v>#N/A</v>
      </c>
      <c r="O19" s="11" t="e">
        <f>VLOOKUP($H19, 'ADP Data'!$B$4:$Q$300, 5, FALSE)</f>
        <v>#N/A</v>
      </c>
      <c r="P19" s="11" t="e">
        <f t="shared" si="3"/>
        <v>#N/A</v>
      </c>
      <c r="Q19" s="11" t="e">
        <f>VLOOKUP($H19, 'ADP Data'!$B$4:$Q$300, 6, FALSE)</f>
        <v>#N/A</v>
      </c>
      <c r="R19" s="11" t="e">
        <f>VLOOKUP($H19, 'ADP Data'!$B$4:$Q$300, 7, FALSE)</f>
        <v>#N/A</v>
      </c>
      <c r="S19" s="11" t="e">
        <f>VLOOKUP($H19, 'ADP Data'!$B$4:$Q$300, 8, FALSE)</f>
        <v>#N/A</v>
      </c>
      <c r="T19" s="11" t="e">
        <f>VLOOKUP($H19, 'ADP Data'!$B$4:$Q$300, 9, FALSE)</f>
        <v>#N/A</v>
      </c>
      <c r="U19" s="11" t="e">
        <f>VLOOKUP($H19, 'ADP Data'!$B$4:$Q$300, 10, FALSE)</f>
        <v>#N/A</v>
      </c>
      <c r="V19" s="11" t="e">
        <f t="shared" si="4"/>
        <v>#N/A</v>
      </c>
      <c r="W19" s="11" t="e">
        <f>VLOOKUP($H19, SeanRanks!$A$2:$J$303, 7, FALSE)-V19</f>
        <v>#N/A</v>
      </c>
      <c r="X19" s="11"/>
    </row>
    <row r="20" spans="1:24" ht="14.25" customHeight="1" x14ac:dyDescent="0.25">
      <c r="A20" s="11" t="s">
        <v>1156</v>
      </c>
      <c r="B20" s="11" t="e">
        <f t="shared" si="0"/>
        <v>#N/A</v>
      </c>
      <c r="C20" s="11" t="s">
        <v>148</v>
      </c>
      <c r="D20" s="11">
        <v>24</v>
      </c>
      <c r="E20" s="11">
        <v>25</v>
      </c>
      <c r="F20" s="11">
        <f t="shared" si="1"/>
        <v>-1</v>
      </c>
      <c r="G20" s="11" t="s">
        <v>148</v>
      </c>
      <c r="H20" s="11" t="s">
        <v>284</v>
      </c>
      <c r="I20" s="11" t="e">
        <f>VLOOKUP($H20, 'ADP Data'!$B$4:$Q$300, 2, FALSE)</f>
        <v>#N/A</v>
      </c>
      <c r="J20" s="11" t="e">
        <f>VLOOKUP($H20, 'ADP Data'!$B$4:$Q$300, 3, FALSE)</f>
        <v>#N/A</v>
      </c>
      <c r="K20" s="11">
        <f>VLOOKUP($H20, SeanRanks!$A$2:$H$303, 4, FALSE)</f>
        <v>0</v>
      </c>
      <c r="L20" s="11" t="str">
        <f>VLOOKUP($H20, SeanRanks!$A$2:$H$303, 5, FALSE)</f>
        <v>No</v>
      </c>
      <c r="M20" s="11">
        <f t="shared" si="2"/>
        <v>16</v>
      </c>
      <c r="N20" s="11" t="e">
        <f>VLOOKUP($H20, 'ADP Data'!$B$4:$Q$300, 11, FALSE)</f>
        <v>#N/A</v>
      </c>
      <c r="O20" s="11" t="e">
        <f>VLOOKUP($H20, 'ADP Data'!$B$4:$Q$300, 5, FALSE)</f>
        <v>#N/A</v>
      </c>
      <c r="P20" s="11" t="e">
        <f t="shared" si="3"/>
        <v>#N/A</v>
      </c>
      <c r="Q20" s="11" t="e">
        <f>VLOOKUP($H20, 'ADP Data'!$B$4:$Q$300, 6, FALSE)</f>
        <v>#N/A</v>
      </c>
      <c r="R20" s="11" t="e">
        <f>VLOOKUP($H20, 'ADP Data'!$B$4:$Q$300, 7, FALSE)</f>
        <v>#N/A</v>
      </c>
      <c r="S20" s="11" t="e">
        <f>VLOOKUP($H20, 'ADP Data'!$B$4:$Q$300, 8, FALSE)</f>
        <v>#N/A</v>
      </c>
      <c r="T20" s="11" t="e">
        <f>VLOOKUP($H20, 'ADP Data'!$B$4:$Q$300, 9, FALSE)</f>
        <v>#N/A</v>
      </c>
      <c r="U20" s="11" t="e">
        <f>VLOOKUP($H20, 'ADP Data'!$B$4:$Q$300, 10, FALSE)</f>
        <v>#N/A</v>
      </c>
      <c r="V20" s="11" t="e">
        <f t="shared" si="4"/>
        <v>#N/A</v>
      </c>
      <c r="W20" s="11" t="e">
        <f>VLOOKUP($H20, SeanRanks!$A$2:$J$303, 7, FALSE)-V20</f>
        <v>#N/A</v>
      </c>
      <c r="X20" s="11"/>
    </row>
    <row r="21" spans="1:24" ht="14.25" customHeight="1" x14ac:dyDescent="0.25">
      <c r="A21" s="11"/>
      <c r="B21" s="11" t="e">
        <f t="shared" si="0"/>
        <v>#N/A</v>
      </c>
      <c r="C21" s="11" t="s">
        <v>148</v>
      </c>
      <c r="D21" s="11">
        <v>3</v>
      </c>
      <c r="E21" s="11">
        <v>5</v>
      </c>
      <c r="F21" s="11">
        <f t="shared" si="1"/>
        <v>-2</v>
      </c>
      <c r="G21" s="11"/>
      <c r="H21" s="11" t="s">
        <v>1168</v>
      </c>
      <c r="I21" s="11" t="e">
        <f>VLOOKUP($H21, 'ADP Data'!$B$4:$Q$300, 2, FALSE)</f>
        <v>#N/A</v>
      </c>
      <c r="J21" s="11" t="e">
        <f>VLOOKUP($H21, 'ADP Data'!$B$4:$Q$300, 3, FALSE)</f>
        <v>#N/A</v>
      </c>
      <c r="K21" s="11" t="e">
        <f>VLOOKUP($H21, SeanRanks!$A$2:$H$303, 4, FALSE)</f>
        <v>#N/A</v>
      </c>
      <c r="L21" s="11" t="e">
        <f>VLOOKUP($H21, SeanRanks!$A$2:$H$303, 5, FALSE)</f>
        <v>#N/A</v>
      </c>
      <c r="M21" s="11">
        <f t="shared" si="2"/>
        <v>16</v>
      </c>
      <c r="N21" s="11" t="e">
        <f>VLOOKUP($H21, 'ADP Data'!$B$4:$Q$300, 11, FALSE)</f>
        <v>#N/A</v>
      </c>
      <c r="O21" s="11" t="e">
        <f>VLOOKUP($H21, 'ADP Data'!$B$4:$Q$300, 5, FALSE)</f>
        <v>#N/A</v>
      </c>
      <c r="P21" s="11" t="e">
        <f t="shared" si="3"/>
        <v>#N/A</v>
      </c>
      <c r="Q21" s="11" t="e">
        <f>VLOOKUP($H21, 'ADP Data'!$B$4:$Q$300, 6, FALSE)</f>
        <v>#N/A</v>
      </c>
      <c r="R21" s="11" t="e">
        <f>VLOOKUP($H21, 'ADP Data'!$B$4:$Q$300, 7, FALSE)</f>
        <v>#N/A</v>
      </c>
      <c r="S21" s="11" t="e">
        <f>VLOOKUP($H21, 'ADP Data'!$B$4:$Q$300, 8, FALSE)</f>
        <v>#N/A</v>
      </c>
      <c r="T21" s="11" t="e">
        <f>VLOOKUP($H21, 'ADP Data'!$B$4:$Q$300, 9, FALSE)</f>
        <v>#N/A</v>
      </c>
      <c r="U21" s="11" t="e">
        <f>VLOOKUP($H21, 'ADP Data'!$B$4:$Q$300, 10, FALSE)</f>
        <v>#N/A</v>
      </c>
      <c r="V21" s="11" t="e">
        <f t="shared" si="4"/>
        <v>#N/A</v>
      </c>
      <c r="W21" s="11" t="e">
        <f>VLOOKUP($H21, SeanRanks!$A$2:$J$303, 7, FALSE)-V21</f>
        <v>#N/A</v>
      </c>
      <c r="X21" s="11"/>
    </row>
    <row r="22" spans="1:24" ht="14.25" customHeight="1" x14ac:dyDescent="0.25">
      <c r="A22" s="11"/>
      <c r="B22" s="11" t="e">
        <f t="shared" si="0"/>
        <v>#N/A</v>
      </c>
      <c r="C22" s="11" t="s">
        <v>148</v>
      </c>
      <c r="D22" s="11">
        <v>2</v>
      </c>
      <c r="E22" s="11">
        <v>4</v>
      </c>
      <c r="F22" s="11">
        <f t="shared" si="1"/>
        <v>-2</v>
      </c>
      <c r="G22" s="11" t="s">
        <v>148</v>
      </c>
      <c r="H22" s="11" t="s">
        <v>1169</v>
      </c>
      <c r="I22" s="11" t="e">
        <f>VLOOKUP($H22, 'ADP Data'!$B$4:$Q$300, 2, FALSE)</f>
        <v>#N/A</v>
      </c>
      <c r="J22" s="11" t="e">
        <f>VLOOKUP($H22, 'ADP Data'!$B$4:$Q$300, 3, FALSE)</f>
        <v>#N/A</v>
      </c>
      <c r="K22" s="11" t="e">
        <f>VLOOKUP($H22, SeanRanks!$A$2:$H$303, 4, FALSE)</f>
        <v>#N/A</v>
      </c>
      <c r="L22" s="11" t="e">
        <f>VLOOKUP($H22, SeanRanks!$A$2:$H$303, 5, FALSE)</f>
        <v>#N/A</v>
      </c>
      <c r="M22" s="11">
        <f t="shared" si="2"/>
        <v>16</v>
      </c>
      <c r="N22" s="11" t="e">
        <f>VLOOKUP($H22, 'ADP Data'!$B$4:$Q$300, 11, FALSE)</f>
        <v>#N/A</v>
      </c>
      <c r="O22" s="11" t="e">
        <f>VLOOKUP($H22, 'ADP Data'!$B$4:$Q$300, 5, FALSE)</f>
        <v>#N/A</v>
      </c>
      <c r="P22" s="11" t="e">
        <f t="shared" si="3"/>
        <v>#N/A</v>
      </c>
      <c r="Q22" s="11" t="e">
        <f>VLOOKUP($H22, 'ADP Data'!$B$4:$Q$300, 6, FALSE)</f>
        <v>#N/A</v>
      </c>
      <c r="R22" s="11" t="e">
        <f>VLOOKUP($H22, 'ADP Data'!$B$4:$Q$300, 7, FALSE)</f>
        <v>#N/A</v>
      </c>
      <c r="S22" s="11" t="e">
        <f>VLOOKUP($H22, 'ADP Data'!$B$4:$Q$300, 8, FALSE)</f>
        <v>#N/A</v>
      </c>
      <c r="T22" s="11" t="e">
        <f>VLOOKUP($H22, 'ADP Data'!$B$4:$Q$300, 9, FALSE)</f>
        <v>#N/A</v>
      </c>
      <c r="U22" s="11" t="e">
        <f>VLOOKUP($H22, 'ADP Data'!$B$4:$Q$300, 10, FALSE)</f>
        <v>#N/A</v>
      </c>
      <c r="V22" s="11" t="e">
        <f t="shared" si="4"/>
        <v>#N/A</v>
      </c>
      <c r="W22" s="11" t="e">
        <f>VLOOKUP($H22, SeanRanks!$A$2:$J$303, 7, FALSE)-V22</f>
        <v>#N/A</v>
      </c>
      <c r="X22" s="11"/>
    </row>
    <row r="23" spans="1:24" ht="14.25" customHeight="1" x14ac:dyDescent="0.25">
      <c r="A23" s="11"/>
      <c r="B23" s="11" t="e">
        <f t="shared" si="0"/>
        <v>#N/A</v>
      </c>
      <c r="C23" s="11" t="s">
        <v>148</v>
      </c>
      <c r="D23" s="11"/>
      <c r="E23" s="11">
        <v>2</v>
      </c>
      <c r="F23" s="11">
        <f t="shared" si="1"/>
        <v>-2</v>
      </c>
      <c r="G23" s="11" t="s">
        <v>148</v>
      </c>
      <c r="H23" s="11" t="s">
        <v>335</v>
      </c>
      <c r="I23" s="11" t="e">
        <f>VLOOKUP($H23, 'ADP Data'!$B$4:$Q$300, 2, FALSE)</f>
        <v>#N/A</v>
      </c>
      <c r="J23" s="11" t="e">
        <f>VLOOKUP($H23, 'ADP Data'!$B$4:$Q$300, 3, FALSE)</f>
        <v>#N/A</v>
      </c>
      <c r="K23" s="11">
        <f>VLOOKUP($H23, SeanRanks!$A$2:$H$303, 4, FALSE)</f>
        <v>0</v>
      </c>
      <c r="L23" s="11">
        <f>VLOOKUP($H23, SeanRanks!$A$2:$H$303, 5, FALSE)</f>
        <v>0</v>
      </c>
      <c r="M23" s="11">
        <f t="shared" si="2"/>
        <v>16</v>
      </c>
      <c r="N23" s="11" t="e">
        <f>VLOOKUP($H23, 'ADP Data'!$B$4:$Q$300, 11, FALSE)</f>
        <v>#N/A</v>
      </c>
      <c r="O23" s="11" t="e">
        <f>VLOOKUP($H23, 'ADP Data'!$B$4:$Q$300, 5, FALSE)</f>
        <v>#N/A</v>
      </c>
      <c r="P23" s="11" t="e">
        <f t="shared" si="3"/>
        <v>#N/A</v>
      </c>
      <c r="Q23" s="11" t="e">
        <f>VLOOKUP($H23, 'ADP Data'!$B$4:$Q$300, 6, FALSE)</f>
        <v>#N/A</v>
      </c>
      <c r="R23" s="11" t="e">
        <f>VLOOKUP($H23, 'ADP Data'!$B$4:$Q$300, 7, FALSE)</f>
        <v>#N/A</v>
      </c>
      <c r="S23" s="11" t="e">
        <f>VLOOKUP($H23, 'ADP Data'!$B$4:$Q$300, 8, FALSE)</f>
        <v>#N/A</v>
      </c>
      <c r="T23" s="11" t="e">
        <f>VLOOKUP($H23, 'ADP Data'!$B$4:$Q$300, 9, FALSE)</f>
        <v>#N/A</v>
      </c>
      <c r="U23" s="11" t="e">
        <f>VLOOKUP($H23, 'ADP Data'!$B$4:$Q$300, 10, FALSE)</f>
        <v>#N/A</v>
      </c>
      <c r="V23" s="11" t="e">
        <f t="shared" si="4"/>
        <v>#N/A</v>
      </c>
      <c r="W23" s="11" t="e">
        <f>VLOOKUP($H23, SeanRanks!$A$2:$J$303, 7, FALSE)-V23</f>
        <v>#N/A</v>
      </c>
      <c r="X23" s="11"/>
    </row>
    <row r="24" spans="1:24" ht="14.25" customHeight="1" x14ac:dyDescent="0.25">
      <c r="A24" s="11" t="s">
        <v>1156</v>
      </c>
      <c r="B24" s="11" t="e">
        <f t="shared" si="0"/>
        <v>#N/A</v>
      </c>
      <c r="C24" s="11" t="s">
        <v>148</v>
      </c>
      <c r="D24" s="11">
        <v>40</v>
      </c>
      <c r="E24" s="60">
        <v>38</v>
      </c>
      <c r="F24" s="11">
        <f t="shared" si="1"/>
        <v>2</v>
      </c>
      <c r="G24" s="60" t="s">
        <v>148</v>
      </c>
      <c r="H24" s="60" t="s">
        <v>141</v>
      </c>
      <c r="I24" s="60" t="e">
        <f>VLOOKUP($H24, 'ADP Data'!$B$4:$Q$300, 2, FALSE)</f>
        <v>#N/A</v>
      </c>
      <c r="J24" s="60" t="e">
        <f>VLOOKUP($H24, 'ADP Data'!$B$4:$Q$300, 3, FALSE)</f>
        <v>#N/A</v>
      </c>
      <c r="K24" s="60">
        <f>VLOOKUP($H24, SeanRanks!$A$2:$H$303, 4, FALSE)</f>
        <v>0</v>
      </c>
      <c r="L24" s="11" t="str">
        <f>VLOOKUP($H24, SeanRanks!$A$2:$H$303, 5, FALSE)</f>
        <v>No</v>
      </c>
      <c r="M24" s="11">
        <f t="shared" si="2"/>
        <v>16</v>
      </c>
      <c r="N24" s="11" t="e">
        <f>VLOOKUP($H24, 'ADP Data'!$B$4:$Q$300, 11, FALSE)</f>
        <v>#N/A</v>
      </c>
      <c r="O24" s="11" t="e">
        <f>VLOOKUP($H24, 'ADP Data'!$B$4:$Q$300, 5, FALSE)</f>
        <v>#N/A</v>
      </c>
      <c r="P24" s="11" t="e">
        <f t="shared" si="3"/>
        <v>#N/A</v>
      </c>
      <c r="Q24" s="11" t="e">
        <f>VLOOKUP($H24, 'ADP Data'!$B$4:$Q$300, 6, FALSE)</f>
        <v>#N/A</v>
      </c>
      <c r="R24" s="11" t="e">
        <f>VLOOKUP($H24, 'ADP Data'!$B$4:$Q$300, 7, FALSE)</f>
        <v>#N/A</v>
      </c>
      <c r="S24" s="11" t="e">
        <f>VLOOKUP($H24, 'ADP Data'!$B$4:$Q$300, 8, FALSE)</f>
        <v>#N/A</v>
      </c>
      <c r="T24" s="11" t="e">
        <f>VLOOKUP($H24, 'ADP Data'!$B$4:$Q$300, 9, FALSE)</f>
        <v>#N/A</v>
      </c>
      <c r="U24" s="11" t="e">
        <f>VLOOKUP($H24, 'ADP Data'!$B$4:$Q$300, 10, FALSE)</f>
        <v>#N/A</v>
      </c>
      <c r="V24" s="11" t="e">
        <f t="shared" si="4"/>
        <v>#N/A</v>
      </c>
      <c r="W24" s="11" t="e">
        <f>VLOOKUP($H24, SeanRanks!$A$2:$J$303, 7, FALSE)-V24</f>
        <v>#N/A</v>
      </c>
      <c r="X24" s="60" t="s">
        <v>1170</v>
      </c>
    </row>
    <row r="25" spans="1:24" ht="14.25" customHeight="1" x14ac:dyDescent="0.25">
      <c r="A25" s="11"/>
      <c r="B25" s="11" t="e">
        <f t="shared" si="0"/>
        <v>#N/A</v>
      </c>
      <c r="C25" s="11" t="s">
        <v>148</v>
      </c>
      <c r="D25" s="11">
        <v>67</v>
      </c>
      <c r="E25" s="11">
        <v>68</v>
      </c>
      <c r="F25" s="11">
        <f t="shared" si="1"/>
        <v>-1</v>
      </c>
      <c r="G25" s="11"/>
      <c r="H25" s="11" t="s">
        <v>54</v>
      </c>
      <c r="I25" s="11" t="e">
        <f>VLOOKUP($H25, 'ADP Data'!$B$4:$Q$300, 2, FALSE)</f>
        <v>#N/A</v>
      </c>
      <c r="J25" s="11" t="e">
        <f>VLOOKUP($H25, 'ADP Data'!$B$4:$Q$300, 3, FALSE)</f>
        <v>#N/A</v>
      </c>
      <c r="K25" s="11">
        <f>VLOOKUP($H25, SeanRanks!$A$2:$H$303, 4, FALSE)</f>
        <v>0</v>
      </c>
      <c r="L25" s="11">
        <f>VLOOKUP($H25, SeanRanks!$A$2:$H$303, 5, FALSE)</f>
        <v>0</v>
      </c>
      <c r="M25" s="11">
        <f t="shared" si="2"/>
        <v>16</v>
      </c>
      <c r="N25" s="11" t="e">
        <f>VLOOKUP($H25, 'ADP Data'!$B$4:$Q$300, 11, FALSE)</f>
        <v>#N/A</v>
      </c>
      <c r="O25" s="11" t="e">
        <f>VLOOKUP($H25, 'ADP Data'!$B$4:$Q$300, 5, FALSE)</f>
        <v>#N/A</v>
      </c>
      <c r="P25" s="11" t="e">
        <f t="shared" si="3"/>
        <v>#N/A</v>
      </c>
      <c r="Q25" s="11" t="e">
        <f>VLOOKUP($H25, 'ADP Data'!$B$4:$Q$300, 6, FALSE)</f>
        <v>#N/A</v>
      </c>
      <c r="R25" s="11" t="e">
        <f>VLOOKUP($H25, 'ADP Data'!$B$4:$Q$300, 7, FALSE)</f>
        <v>#N/A</v>
      </c>
      <c r="S25" s="11" t="e">
        <f>VLOOKUP($H25, 'ADP Data'!$B$4:$Q$300, 8, FALSE)</f>
        <v>#N/A</v>
      </c>
      <c r="T25" s="11" t="e">
        <f>VLOOKUP($H25, 'ADP Data'!$B$4:$Q$300, 9, FALSE)</f>
        <v>#N/A</v>
      </c>
      <c r="U25" s="11" t="e">
        <f>VLOOKUP($H25, 'ADP Data'!$B$4:$Q$300, 10, FALSE)</f>
        <v>#N/A</v>
      </c>
      <c r="V25" s="11" t="e">
        <f t="shared" si="4"/>
        <v>#N/A</v>
      </c>
      <c r="W25" s="11" t="e">
        <f>VLOOKUP($H25, SeanRanks!$A$2:$J$303, 7, FALSE)-V25</f>
        <v>#N/A</v>
      </c>
      <c r="X25" s="11"/>
    </row>
    <row r="26" spans="1:24" ht="14.25" customHeight="1" x14ac:dyDescent="0.25">
      <c r="A26" s="11"/>
      <c r="B26" s="11" t="e">
        <f t="shared" si="0"/>
        <v>#N/A</v>
      </c>
      <c r="C26" s="11" t="s">
        <v>148</v>
      </c>
      <c r="D26" s="11">
        <v>4</v>
      </c>
      <c r="E26" s="11">
        <v>5</v>
      </c>
      <c r="F26" s="11">
        <f t="shared" si="1"/>
        <v>-1</v>
      </c>
      <c r="G26" s="11"/>
      <c r="H26" s="11" t="s">
        <v>405</v>
      </c>
      <c r="I26" s="11" t="e">
        <f>VLOOKUP($H26, 'ADP Data'!$B$4:$Q$300, 2, FALSE)</f>
        <v>#N/A</v>
      </c>
      <c r="J26" s="11" t="e">
        <f>VLOOKUP($H26, 'ADP Data'!$B$4:$Q$300, 3, FALSE)</f>
        <v>#N/A</v>
      </c>
      <c r="K26" s="11" t="s">
        <v>781</v>
      </c>
      <c r="L26" s="11">
        <f>VLOOKUP($H26, SeanRanks!$A$2:$H$303, 5, FALSE)</f>
        <v>0</v>
      </c>
      <c r="M26" s="11">
        <f t="shared" si="2"/>
        <v>16</v>
      </c>
      <c r="N26" s="11" t="e">
        <f>VLOOKUP($H26, 'ADP Data'!$B$4:$Q$300, 11, FALSE)</f>
        <v>#N/A</v>
      </c>
      <c r="O26" s="11" t="e">
        <f>VLOOKUP($H26, 'ADP Data'!$B$4:$Q$300, 5, FALSE)</f>
        <v>#N/A</v>
      </c>
      <c r="P26" s="11" t="e">
        <f t="shared" si="3"/>
        <v>#N/A</v>
      </c>
      <c r="Q26" s="11" t="e">
        <f>VLOOKUP($H26, 'ADP Data'!$B$4:$Q$300, 6, FALSE)</f>
        <v>#N/A</v>
      </c>
      <c r="R26" s="11" t="e">
        <f>VLOOKUP($H26, 'ADP Data'!$B$4:$Q$300, 7, FALSE)</f>
        <v>#N/A</v>
      </c>
      <c r="S26" s="11" t="e">
        <f>VLOOKUP($H26, 'ADP Data'!$B$4:$Q$300, 8, FALSE)</f>
        <v>#N/A</v>
      </c>
      <c r="T26" s="11" t="e">
        <f>VLOOKUP($H26, 'ADP Data'!$B$4:$Q$300, 9, FALSE)</f>
        <v>#N/A</v>
      </c>
      <c r="U26" s="11" t="e">
        <f>VLOOKUP($H26, 'ADP Data'!$B$4:$Q$300, 10, FALSE)</f>
        <v>#N/A</v>
      </c>
      <c r="V26" s="11" t="e">
        <f t="shared" si="4"/>
        <v>#N/A</v>
      </c>
      <c r="W26" s="11" t="e">
        <f>VLOOKUP($H26, SeanRanks!$A$2:$J$303, 7, FALSE)-V26</f>
        <v>#N/A</v>
      </c>
      <c r="X26" s="11"/>
    </row>
    <row r="27" spans="1:24" ht="14.25" customHeight="1" x14ac:dyDescent="0.25">
      <c r="A27" s="11"/>
      <c r="B27" s="11" t="e">
        <f t="shared" si="0"/>
        <v>#N/A</v>
      </c>
      <c r="C27" s="11" t="s">
        <v>148</v>
      </c>
      <c r="D27" s="11">
        <v>5</v>
      </c>
      <c r="E27" s="11">
        <v>6</v>
      </c>
      <c r="F27" s="11">
        <f t="shared" si="1"/>
        <v>-1</v>
      </c>
      <c r="G27" s="11"/>
      <c r="H27" s="11" t="s">
        <v>949</v>
      </c>
      <c r="I27" s="11" t="e">
        <f>VLOOKUP($H27, 'ADP Data'!$B$4:$Q$300, 2, FALSE)</f>
        <v>#N/A</v>
      </c>
      <c r="J27" s="11" t="e">
        <f>VLOOKUP($H27, 'ADP Data'!$B$4:$Q$300, 3, FALSE)</f>
        <v>#N/A</v>
      </c>
      <c r="K27" s="11" t="s">
        <v>1163</v>
      </c>
      <c r="L27" s="11">
        <v>9</v>
      </c>
      <c r="M27" s="11">
        <f t="shared" si="2"/>
        <v>16</v>
      </c>
      <c r="N27" s="11" t="e">
        <f>VLOOKUP($H27, 'ADP Data'!$B$4:$Q$300, 11, FALSE)</f>
        <v>#N/A</v>
      </c>
      <c r="O27" s="11" t="e">
        <f>VLOOKUP($H27, 'ADP Data'!$B$4:$Q$300, 5, FALSE)</f>
        <v>#N/A</v>
      </c>
      <c r="P27" s="11" t="e">
        <f t="shared" si="3"/>
        <v>#N/A</v>
      </c>
      <c r="Q27" s="11" t="e">
        <f>VLOOKUP($H27, 'ADP Data'!$B$4:$Q$300, 6, FALSE)</f>
        <v>#N/A</v>
      </c>
      <c r="R27" s="11" t="e">
        <f>VLOOKUP($H27, 'ADP Data'!$B$4:$Q$300, 7, FALSE)</f>
        <v>#N/A</v>
      </c>
      <c r="S27" s="11" t="e">
        <f>VLOOKUP($H27, 'ADP Data'!$B$4:$Q$300, 8, FALSE)</f>
        <v>#N/A</v>
      </c>
      <c r="T27" s="11" t="e">
        <f>VLOOKUP($H27, 'ADP Data'!$B$4:$Q$300, 9, FALSE)</f>
        <v>#N/A</v>
      </c>
      <c r="U27" s="11" t="e">
        <f>VLOOKUP($H27, 'ADP Data'!$B$4:$Q$300, 10, FALSE)</f>
        <v>#N/A</v>
      </c>
      <c r="V27" s="11" t="e">
        <f t="shared" si="4"/>
        <v>#N/A</v>
      </c>
      <c r="W27" s="11" t="e">
        <f>VLOOKUP($H27, SeanRanks!$A$2:$J$303, 7, FALSE)-V27</f>
        <v>#N/A</v>
      </c>
      <c r="X27" s="11"/>
    </row>
    <row r="28" spans="1:24" ht="14.25" customHeight="1" x14ac:dyDescent="0.25">
      <c r="A28" s="11"/>
      <c r="B28" s="11" t="e">
        <f t="shared" si="0"/>
        <v>#N/A</v>
      </c>
      <c r="C28" s="11" t="s">
        <v>148</v>
      </c>
      <c r="D28" s="11">
        <v>3</v>
      </c>
      <c r="E28" s="11">
        <v>4</v>
      </c>
      <c r="F28" s="11">
        <f t="shared" si="1"/>
        <v>-1</v>
      </c>
      <c r="G28" s="11"/>
      <c r="H28" s="11" t="s">
        <v>306</v>
      </c>
      <c r="I28" s="11" t="e">
        <f>VLOOKUP($H28, 'ADP Data'!$B$4:$Q$300, 2, FALSE)</f>
        <v>#N/A</v>
      </c>
      <c r="J28" s="11" t="e">
        <f>VLOOKUP($H28, 'ADP Data'!$B$4:$Q$300, 3, FALSE)</f>
        <v>#N/A</v>
      </c>
      <c r="K28" s="11" t="s">
        <v>1171</v>
      </c>
      <c r="L28" s="11">
        <v>12</v>
      </c>
      <c r="M28" s="11">
        <f t="shared" si="2"/>
        <v>16</v>
      </c>
      <c r="N28" s="11" t="e">
        <f>VLOOKUP($H28, 'ADP Data'!$B$4:$Q$300, 11, FALSE)</f>
        <v>#N/A</v>
      </c>
      <c r="O28" s="11" t="e">
        <f>VLOOKUP($H28, 'ADP Data'!$B$4:$Q$300, 5, FALSE)</f>
        <v>#N/A</v>
      </c>
      <c r="P28" s="11" t="e">
        <f t="shared" si="3"/>
        <v>#N/A</v>
      </c>
      <c r="Q28" s="11" t="e">
        <f>VLOOKUP($H28, 'ADP Data'!$B$4:$Q$300, 6, FALSE)</f>
        <v>#N/A</v>
      </c>
      <c r="R28" s="11" t="e">
        <f>VLOOKUP($H28, 'ADP Data'!$B$4:$Q$300, 7, FALSE)</f>
        <v>#N/A</v>
      </c>
      <c r="S28" s="11" t="e">
        <f>VLOOKUP($H28, 'ADP Data'!$B$4:$Q$300, 8, FALSE)</f>
        <v>#N/A</v>
      </c>
      <c r="T28" s="11" t="e">
        <f>VLOOKUP($H28, 'ADP Data'!$B$4:$Q$300, 9, FALSE)</f>
        <v>#N/A</v>
      </c>
      <c r="U28" s="11" t="e">
        <f>VLOOKUP($H28, 'ADP Data'!$B$4:$Q$300, 10, FALSE)</f>
        <v>#N/A</v>
      </c>
      <c r="V28" s="11" t="e">
        <f t="shared" si="4"/>
        <v>#N/A</v>
      </c>
      <c r="W28" s="11" t="e">
        <f>VLOOKUP($H28, SeanRanks!$A$2:$J$303, 7, FALSE)-V28</f>
        <v>#N/A</v>
      </c>
      <c r="X28" s="11"/>
    </row>
    <row r="29" spans="1:24" ht="14.25" customHeight="1" x14ac:dyDescent="0.25">
      <c r="A29" s="11" t="s">
        <v>1156</v>
      </c>
      <c r="B29" s="11" t="e">
        <f t="shared" si="0"/>
        <v>#N/A</v>
      </c>
      <c r="C29" s="11" t="s">
        <v>148</v>
      </c>
      <c r="D29" s="11">
        <v>1</v>
      </c>
      <c r="E29" s="11">
        <v>2</v>
      </c>
      <c r="F29" s="11">
        <f t="shared" si="1"/>
        <v>-1</v>
      </c>
      <c r="G29" s="11" t="s">
        <v>148</v>
      </c>
      <c r="H29" s="11" t="s">
        <v>812</v>
      </c>
      <c r="I29" s="11" t="e">
        <f>VLOOKUP($H29, 'ADP Data'!$B$4:$Q$300, 2, FALSE)</f>
        <v>#N/A</v>
      </c>
      <c r="J29" s="11" t="e">
        <f>VLOOKUP($H29, 'ADP Data'!$B$4:$Q$300, 3, FALSE)</f>
        <v>#N/A</v>
      </c>
      <c r="K29" s="11" t="s">
        <v>1172</v>
      </c>
      <c r="L29" s="11">
        <v>17</v>
      </c>
      <c r="M29" s="11">
        <f t="shared" si="2"/>
        <v>16</v>
      </c>
      <c r="N29" s="11" t="e">
        <f>VLOOKUP($H29, 'ADP Data'!$B$4:$Q$300, 11, FALSE)</f>
        <v>#N/A</v>
      </c>
      <c r="O29" s="11" t="e">
        <f>VLOOKUP($H29, 'ADP Data'!$B$4:$Q$300, 5, FALSE)</f>
        <v>#N/A</v>
      </c>
      <c r="P29" s="11" t="e">
        <f t="shared" si="3"/>
        <v>#N/A</v>
      </c>
      <c r="Q29" s="11" t="e">
        <f>VLOOKUP($H29, 'ADP Data'!$B$4:$Q$300, 6, FALSE)</f>
        <v>#N/A</v>
      </c>
      <c r="R29" s="11" t="e">
        <f>VLOOKUP($H29, 'ADP Data'!$B$4:$Q$300, 7, FALSE)</f>
        <v>#N/A</v>
      </c>
      <c r="S29" s="11" t="e">
        <f>VLOOKUP($H29, 'ADP Data'!$B$4:$Q$300, 8, FALSE)</f>
        <v>#N/A</v>
      </c>
      <c r="T29" s="11" t="e">
        <f>VLOOKUP($H29, 'ADP Data'!$B$4:$Q$300, 9, FALSE)</f>
        <v>#N/A</v>
      </c>
      <c r="U29" s="11" t="e">
        <f>VLOOKUP($H29, 'ADP Data'!$B$4:$Q$300, 10, FALSE)</f>
        <v>#N/A</v>
      </c>
      <c r="V29" s="11" t="e">
        <f t="shared" si="4"/>
        <v>#N/A</v>
      </c>
      <c r="W29" s="11" t="e">
        <f>VLOOKUP($H29, SeanRanks!$A$2:$J$303, 7, FALSE)-V29</f>
        <v>#N/A</v>
      </c>
      <c r="X29" s="11"/>
    </row>
    <row r="30" spans="1:24" ht="14.25" customHeight="1" x14ac:dyDescent="0.25">
      <c r="A30" s="11" t="s">
        <v>1156</v>
      </c>
      <c r="B30" s="11" t="e">
        <f t="shared" si="0"/>
        <v>#N/A</v>
      </c>
      <c r="C30" s="11" t="s">
        <v>148</v>
      </c>
      <c r="D30" s="11">
        <v>9</v>
      </c>
      <c r="E30" s="11">
        <v>7</v>
      </c>
      <c r="F30" s="11">
        <f t="shared" si="1"/>
        <v>2</v>
      </c>
      <c r="G30" s="11" t="s">
        <v>148</v>
      </c>
      <c r="H30" s="11" t="s">
        <v>572</v>
      </c>
      <c r="I30" s="11" t="e">
        <f>VLOOKUP($H30, 'ADP Data'!$B$4:$Q$300, 2, FALSE)</f>
        <v>#N/A</v>
      </c>
      <c r="J30" s="11" t="e">
        <f>VLOOKUP($H30, 'ADP Data'!$B$4:$Q$300, 3, FALSE)</f>
        <v>#N/A</v>
      </c>
      <c r="K30" s="11">
        <f>VLOOKUP($H30, SeanRanks!$A$2:$H$303, 4, FALSE)</f>
        <v>0</v>
      </c>
      <c r="L30" s="11">
        <f>VLOOKUP($H30, SeanRanks!$A$2:$H$303, 5, FALSE)</f>
        <v>0</v>
      </c>
      <c r="M30" s="11">
        <f t="shared" si="2"/>
        <v>16</v>
      </c>
      <c r="N30" s="11" t="e">
        <f>VLOOKUP($H30, 'ADP Data'!$B$4:$Q$300, 11, FALSE)</f>
        <v>#N/A</v>
      </c>
      <c r="O30" s="11" t="e">
        <f>VLOOKUP($H30, 'ADP Data'!$B$4:$Q$300, 5, FALSE)</f>
        <v>#N/A</v>
      </c>
      <c r="P30" s="11" t="e">
        <f t="shared" si="3"/>
        <v>#N/A</v>
      </c>
      <c r="Q30" s="11" t="e">
        <f>VLOOKUP($H30, 'ADP Data'!$B$4:$Q$300, 6, FALSE)</f>
        <v>#N/A</v>
      </c>
      <c r="R30" s="11" t="e">
        <f>VLOOKUP($H30, 'ADP Data'!$B$4:$Q$300, 7, FALSE)</f>
        <v>#N/A</v>
      </c>
      <c r="S30" s="11" t="e">
        <f>VLOOKUP($H30, 'ADP Data'!$B$4:$Q$300, 8, FALSE)</f>
        <v>#N/A</v>
      </c>
      <c r="T30" s="11" t="e">
        <f>VLOOKUP($H30, 'ADP Data'!$B$4:$Q$300, 9, FALSE)</f>
        <v>#N/A</v>
      </c>
      <c r="U30" s="11" t="e">
        <f>VLOOKUP($H30, 'ADP Data'!$B$4:$Q$300, 10, FALSE)</f>
        <v>#N/A</v>
      </c>
      <c r="V30" s="11" t="e">
        <f t="shared" si="4"/>
        <v>#N/A</v>
      </c>
      <c r="W30" s="11" t="e">
        <f>VLOOKUP($H30, SeanRanks!$A$2:$J$303, 7, FALSE)-V30</f>
        <v>#N/A</v>
      </c>
      <c r="X30" s="11"/>
    </row>
    <row r="31" spans="1:24" ht="14.25" customHeight="1" x14ac:dyDescent="0.25">
      <c r="A31" s="11"/>
      <c r="B31" s="11" t="e">
        <f t="shared" si="0"/>
        <v>#N/A</v>
      </c>
      <c r="C31" s="11" t="s">
        <v>148</v>
      </c>
      <c r="D31" s="11">
        <v>3</v>
      </c>
      <c r="E31" s="11">
        <v>4</v>
      </c>
      <c r="F31" s="11">
        <f t="shared" si="1"/>
        <v>-1</v>
      </c>
      <c r="G31" s="11"/>
      <c r="H31" s="11" t="s">
        <v>480</v>
      </c>
      <c r="I31" s="11" t="e">
        <f>VLOOKUP($H31, 'ADP Data'!$B$4:$Q$300, 2, FALSE)</f>
        <v>#N/A</v>
      </c>
      <c r="J31" s="11" t="e">
        <f>VLOOKUP($H31, 'ADP Data'!$B$4:$Q$300, 3, FALSE)</f>
        <v>#N/A</v>
      </c>
      <c r="K31" s="11" t="s">
        <v>1171</v>
      </c>
      <c r="L31" s="11">
        <v>13</v>
      </c>
      <c r="M31" s="11">
        <f t="shared" si="2"/>
        <v>16</v>
      </c>
      <c r="N31" s="11" t="e">
        <f>VLOOKUP($H31, 'ADP Data'!$B$4:$Q$300, 11, FALSE)</f>
        <v>#N/A</v>
      </c>
      <c r="O31" s="11" t="e">
        <f>VLOOKUP($H31, 'ADP Data'!$B$4:$Q$300, 5, FALSE)</f>
        <v>#N/A</v>
      </c>
      <c r="P31" s="11" t="e">
        <f t="shared" si="3"/>
        <v>#N/A</v>
      </c>
      <c r="Q31" s="11" t="e">
        <f>VLOOKUP($H31, 'ADP Data'!$B$4:$Q$300, 6, FALSE)</f>
        <v>#N/A</v>
      </c>
      <c r="R31" s="11" t="e">
        <f>VLOOKUP($H31, 'ADP Data'!$B$4:$Q$300, 7, FALSE)</f>
        <v>#N/A</v>
      </c>
      <c r="S31" s="11" t="e">
        <f>VLOOKUP($H31, 'ADP Data'!$B$4:$Q$300, 8, FALSE)</f>
        <v>#N/A</v>
      </c>
      <c r="T31" s="11" t="e">
        <f>VLOOKUP($H31, 'ADP Data'!$B$4:$Q$300, 9, FALSE)</f>
        <v>#N/A</v>
      </c>
      <c r="U31" s="11" t="e">
        <f>VLOOKUP($H31, 'ADP Data'!$B$4:$Q$300, 10, FALSE)</f>
        <v>#N/A</v>
      </c>
      <c r="V31" s="11" t="e">
        <f t="shared" si="4"/>
        <v>#N/A</v>
      </c>
      <c r="W31" s="11" t="e">
        <f>VLOOKUP($H31, SeanRanks!$A$2:$J$303, 7, FALSE)-V31</f>
        <v>#N/A</v>
      </c>
      <c r="X31" s="11"/>
    </row>
    <row r="32" spans="1:24" ht="14.25" customHeight="1" x14ac:dyDescent="0.25">
      <c r="A32" s="11"/>
      <c r="B32" s="11" t="e">
        <f t="shared" si="0"/>
        <v>#N/A</v>
      </c>
      <c r="C32" s="11" t="s">
        <v>148</v>
      </c>
      <c r="D32" s="11">
        <v>1</v>
      </c>
      <c r="E32" s="11">
        <v>2</v>
      </c>
      <c r="F32" s="11">
        <f t="shared" si="1"/>
        <v>-1</v>
      </c>
      <c r="G32" s="11" t="s">
        <v>148</v>
      </c>
      <c r="H32" s="11" t="s">
        <v>619</v>
      </c>
      <c r="I32" s="11" t="e">
        <f>VLOOKUP($H32, 'ADP Data'!$B$4:$Q$300, 2, FALSE)</f>
        <v>#N/A</v>
      </c>
      <c r="J32" s="11" t="e">
        <f>VLOOKUP($H32, 'ADP Data'!$B$4:$Q$300, 3, FALSE)</f>
        <v>#N/A</v>
      </c>
      <c r="K32" s="11" t="s">
        <v>1172</v>
      </c>
      <c r="L32" s="11">
        <v>16</v>
      </c>
      <c r="M32" s="11">
        <f t="shared" si="2"/>
        <v>16</v>
      </c>
      <c r="N32" s="11" t="e">
        <f>VLOOKUP($H32, 'ADP Data'!$B$4:$Q$300, 11, FALSE)</f>
        <v>#N/A</v>
      </c>
      <c r="O32" s="11" t="e">
        <f>VLOOKUP($H32, 'ADP Data'!$B$4:$Q$300, 5, FALSE)</f>
        <v>#N/A</v>
      </c>
      <c r="P32" s="11" t="e">
        <f t="shared" si="3"/>
        <v>#N/A</v>
      </c>
      <c r="Q32" s="11" t="e">
        <f>VLOOKUP($H32, 'ADP Data'!$B$4:$Q$300, 6, FALSE)</f>
        <v>#N/A</v>
      </c>
      <c r="R32" s="11" t="e">
        <f>VLOOKUP($H32, 'ADP Data'!$B$4:$Q$300, 7, FALSE)</f>
        <v>#N/A</v>
      </c>
      <c r="S32" s="11" t="e">
        <f>VLOOKUP($H32, 'ADP Data'!$B$4:$Q$300, 8, FALSE)</f>
        <v>#N/A</v>
      </c>
      <c r="T32" s="11" t="e">
        <f>VLOOKUP($H32, 'ADP Data'!$B$4:$Q$300, 9, FALSE)</f>
        <v>#N/A</v>
      </c>
      <c r="U32" s="11" t="e">
        <f>VLOOKUP($H32, 'ADP Data'!$B$4:$Q$300, 10, FALSE)</f>
        <v>#N/A</v>
      </c>
      <c r="V32" s="11" t="e">
        <f t="shared" si="4"/>
        <v>#N/A</v>
      </c>
      <c r="W32" s="11" t="e">
        <f>VLOOKUP($H32, SeanRanks!$A$2:$J$303, 7, FALSE)-V32</f>
        <v>#N/A</v>
      </c>
      <c r="X32" s="11"/>
    </row>
    <row r="33" spans="1:24" ht="14.25" customHeight="1" x14ac:dyDescent="0.25">
      <c r="A33" s="11" t="s">
        <v>1156</v>
      </c>
      <c r="B33" s="11" t="e">
        <f t="shared" si="0"/>
        <v>#N/A</v>
      </c>
      <c r="C33" s="11" t="s">
        <v>148</v>
      </c>
      <c r="D33" s="11">
        <v>4</v>
      </c>
      <c r="E33" s="11">
        <v>7</v>
      </c>
      <c r="F33" s="11">
        <f t="shared" si="1"/>
        <v>-3</v>
      </c>
      <c r="G33" s="11" t="s">
        <v>148</v>
      </c>
      <c r="H33" s="11" t="s">
        <v>971</v>
      </c>
      <c r="I33" s="11" t="e">
        <f>VLOOKUP($H33, 'ADP Data'!$B$4:$Q$300, 2, FALSE)</f>
        <v>#N/A</v>
      </c>
      <c r="J33" s="11" t="e">
        <f>VLOOKUP($H33, 'ADP Data'!$B$4:$Q$300, 3, FALSE)</f>
        <v>#N/A</v>
      </c>
      <c r="K33" s="11">
        <f>VLOOKUP($H33, SeanRanks!$A$2:$H$303, 4, FALSE)</f>
        <v>0</v>
      </c>
      <c r="L33" s="11">
        <f>VLOOKUP($H33, SeanRanks!$A$2:$H$303, 5, FALSE)</f>
        <v>0</v>
      </c>
      <c r="M33" s="11">
        <f t="shared" si="2"/>
        <v>16</v>
      </c>
      <c r="N33" s="11" t="e">
        <f>VLOOKUP($H33, 'ADP Data'!$B$4:$Q$300, 11, FALSE)</f>
        <v>#N/A</v>
      </c>
      <c r="O33" s="11" t="e">
        <f>VLOOKUP($H33, 'ADP Data'!$B$4:$Q$300, 5, FALSE)</f>
        <v>#N/A</v>
      </c>
      <c r="P33" s="11" t="e">
        <f t="shared" si="3"/>
        <v>#N/A</v>
      </c>
      <c r="Q33" s="11" t="e">
        <f>VLOOKUP($H33, 'ADP Data'!$B$4:$Q$300, 6, FALSE)</f>
        <v>#N/A</v>
      </c>
      <c r="R33" s="11" t="e">
        <f>VLOOKUP($H33, 'ADP Data'!$B$4:$Q$300, 7, FALSE)</f>
        <v>#N/A</v>
      </c>
      <c r="S33" s="11" t="e">
        <f>VLOOKUP($H33, 'ADP Data'!$B$4:$Q$300, 8, FALSE)</f>
        <v>#N/A</v>
      </c>
      <c r="T33" s="11" t="e">
        <f>VLOOKUP($H33, 'ADP Data'!$B$4:$Q$300, 9, FALSE)</f>
        <v>#N/A</v>
      </c>
      <c r="U33" s="11" t="e">
        <f>VLOOKUP($H33, 'ADP Data'!$B$4:$Q$300, 10, FALSE)</f>
        <v>#N/A</v>
      </c>
      <c r="V33" s="11" t="e">
        <f t="shared" si="4"/>
        <v>#N/A</v>
      </c>
      <c r="W33" s="11" t="e">
        <f>VLOOKUP($H33, SeanRanks!$A$2:$J$303, 7, FALSE)-V33</f>
        <v>#N/A</v>
      </c>
      <c r="X33" s="11"/>
    </row>
    <row r="34" spans="1:24" ht="14.25" customHeight="1" x14ac:dyDescent="0.25">
      <c r="A34" s="11"/>
      <c r="B34" s="11" t="e">
        <f t="shared" si="0"/>
        <v>#N/A</v>
      </c>
      <c r="C34" s="11" t="s">
        <v>148</v>
      </c>
      <c r="D34" s="11">
        <v>3</v>
      </c>
      <c r="E34" s="11">
        <v>4</v>
      </c>
      <c r="F34" s="11">
        <f t="shared" si="1"/>
        <v>-1</v>
      </c>
      <c r="G34" s="11"/>
      <c r="H34" s="11" t="s">
        <v>1132</v>
      </c>
      <c r="I34" s="11" t="e">
        <f>VLOOKUP($H34, 'ADP Data'!$B$4:$Q$300, 2, FALSE)</f>
        <v>#N/A</v>
      </c>
      <c r="J34" s="11" t="e">
        <f>VLOOKUP($H34, 'ADP Data'!$B$4:$Q$300, 3, FALSE)</f>
        <v>#N/A</v>
      </c>
      <c r="K34" s="11" t="e">
        <f>VLOOKUP($H34, SeanRanks!$A$2:$H$303, 4, FALSE)</f>
        <v>#N/A</v>
      </c>
      <c r="L34" s="11" t="e">
        <f>VLOOKUP($H34, SeanRanks!$A$2:$H$303, 5, FALSE)</f>
        <v>#N/A</v>
      </c>
      <c r="M34" s="11">
        <f t="shared" si="2"/>
        <v>16</v>
      </c>
      <c r="N34" s="11" t="e">
        <f>VLOOKUP($H34, 'ADP Data'!$B$4:$Q$300, 11, FALSE)</f>
        <v>#N/A</v>
      </c>
      <c r="O34" s="11" t="e">
        <f>VLOOKUP($H34, 'ADP Data'!$B$4:$Q$300, 5, FALSE)</f>
        <v>#N/A</v>
      </c>
      <c r="P34" s="11" t="e">
        <f t="shared" si="3"/>
        <v>#N/A</v>
      </c>
      <c r="Q34" s="11" t="e">
        <f>VLOOKUP($H34, 'ADP Data'!$B$4:$Q$300, 6, FALSE)</f>
        <v>#N/A</v>
      </c>
      <c r="R34" s="11" t="e">
        <f>VLOOKUP($H34, 'ADP Data'!$B$4:$Q$300, 7, FALSE)</f>
        <v>#N/A</v>
      </c>
      <c r="S34" s="11" t="e">
        <f>VLOOKUP($H34, 'ADP Data'!$B$4:$Q$300, 8, FALSE)</f>
        <v>#N/A</v>
      </c>
      <c r="T34" s="11" t="e">
        <f>VLOOKUP($H34, 'ADP Data'!$B$4:$Q$300, 9, FALSE)</f>
        <v>#N/A</v>
      </c>
      <c r="U34" s="11" t="e">
        <f>VLOOKUP($H34, 'ADP Data'!$B$4:$Q$300, 10, FALSE)</f>
        <v>#N/A</v>
      </c>
      <c r="V34" s="11" t="e">
        <f t="shared" si="4"/>
        <v>#N/A</v>
      </c>
      <c r="W34" s="11" t="e">
        <f>VLOOKUP($H34, SeanRanks!$A$2:$J$303, 7, FALSE)-V34</f>
        <v>#N/A</v>
      </c>
      <c r="X34" s="11"/>
    </row>
    <row r="35" spans="1:24" ht="14.25" customHeight="1" x14ac:dyDescent="0.25">
      <c r="A35" s="11"/>
      <c r="B35" s="11" t="e">
        <f t="shared" si="0"/>
        <v>#N/A</v>
      </c>
      <c r="C35" s="11" t="s">
        <v>148</v>
      </c>
      <c r="D35" s="11">
        <v>2</v>
      </c>
      <c r="E35" s="11">
        <v>3</v>
      </c>
      <c r="F35" s="11">
        <f t="shared" si="1"/>
        <v>-1</v>
      </c>
      <c r="G35" s="11"/>
      <c r="H35" s="11" t="s">
        <v>901</v>
      </c>
      <c r="I35" s="11" t="e">
        <f>VLOOKUP($H35, 'ADP Data'!$B$4:$Q$300, 2, FALSE)</f>
        <v>#N/A</v>
      </c>
      <c r="J35" s="11" t="e">
        <f>VLOOKUP($H35, 'ADP Data'!$B$4:$Q$300, 3, FALSE)</f>
        <v>#N/A</v>
      </c>
      <c r="K35" s="11">
        <f>VLOOKUP($H35, SeanRanks!$A$2:$H$303, 4, FALSE)</f>
        <v>0</v>
      </c>
      <c r="L35" s="11">
        <f>VLOOKUP($H35, SeanRanks!$A$2:$H$303, 5, FALSE)</f>
        <v>0</v>
      </c>
      <c r="M35" s="11">
        <f t="shared" si="2"/>
        <v>16</v>
      </c>
      <c r="N35" s="11" t="e">
        <f>VLOOKUP($H35, 'ADP Data'!$B$4:$Q$300, 11, FALSE)</f>
        <v>#N/A</v>
      </c>
      <c r="O35" s="11" t="e">
        <f>VLOOKUP($H35, 'ADP Data'!$B$4:$Q$300, 5, FALSE)</f>
        <v>#N/A</v>
      </c>
      <c r="P35" s="11" t="e">
        <f t="shared" si="3"/>
        <v>#N/A</v>
      </c>
      <c r="Q35" s="11" t="e">
        <f>VLOOKUP($H35, 'ADP Data'!$B$4:$Q$300, 6, FALSE)</f>
        <v>#N/A</v>
      </c>
      <c r="R35" s="11" t="e">
        <f>VLOOKUP($H35, 'ADP Data'!$B$4:$Q$300, 7, FALSE)</f>
        <v>#N/A</v>
      </c>
      <c r="S35" s="11" t="e">
        <f>VLOOKUP($H35, 'ADP Data'!$B$4:$Q$300, 8, FALSE)</f>
        <v>#N/A</v>
      </c>
      <c r="T35" s="11" t="e">
        <f>VLOOKUP($H35, 'ADP Data'!$B$4:$Q$300, 9, FALSE)</f>
        <v>#N/A</v>
      </c>
      <c r="U35" s="11" t="e">
        <f>VLOOKUP($H35, 'ADP Data'!$B$4:$Q$300, 10, FALSE)</f>
        <v>#N/A</v>
      </c>
      <c r="V35" s="11" t="e">
        <f t="shared" si="4"/>
        <v>#N/A</v>
      </c>
      <c r="W35" s="11" t="e">
        <f>VLOOKUP($H35, SeanRanks!$A$2:$J$303, 7, FALSE)-V35</f>
        <v>#N/A</v>
      </c>
      <c r="X35" s="11"/>
    </row>
    <row r="36" spans="1:24" ht="14.25" customHeight="1" x14ac:dyDescent="0.25">
      <c r="A36" s="11"/>
      <c r="B36" s="11" t="e">
        <f t="shared" si="0"/>
        <v>#N/A</v>
      </c>
      <c r="C36" s="11" t="s">
        <v>148</v>
      </c>
      <c r="D36" s="11">
        <v>2</v>
      </c>
      <c r="E36" s="11">
        <v>3</v>
      </c>
      <c r="F36" s="11">
        <f t="shared" si="1"/>
        <v>-1</v>
      </c>
      <c r="G36" s="11"/>
      <c r="H36" s="11" t="s">
        <v>908</v>
      </c>
      <c r="I36" s="11" t="e">
        <f>VLOOKUP($H36, 'ADP Data'!$B$4:$Q$300, 2, FALSE)</f>
        <v>#N/A</v>
      </c>
      <c r="J36" s="11" t="e">
        <f>VLOOKUP($H36, 'ADP Data'!$B$4:$Q$300, 3, FALSE)</f>
        <v>#N/A</v>
      </c>
      <c r="K36" s="11">
        <f>VLOOKUP($H36, SeanRanks!$A$2:$H$303, 4, FALSE)</f>
        <v>0</v>
      </c>
      <c r="L36" s="11">
        <f>VLOOKUP($H36, SeanRanks!$A$2:$H$303, 5, FALSE)</f>
        <v>0</v>
      </c>
      <c r="M36" s="11">
        <f t="shared" si="2"/>
        <v>16</v>
      </c>
      <c r="N36" s="11" t="e">
        <f>VLOOKUP($H36, 'ADP Data'!$B$4:$Q$300, 11, FALSE)</f>
        <v>#N/A</v>
      </c>
      <c r="O36" s="11" t="e">
        <f>VLOOKUP($H36, 'ADP Data'!$B$4:$Q$300, 5, FALSE)</f>
        <v>#N/A</v>
      </c>
      <c r="P36" s="11" t="e">
        <f t="shared" si="3"/>
        <v>#N/A</v>
      </c>
      <c r="Q36" s="11" t="e">
        <f>VLOOKUP($H36, 'ADP Data'!$B$4:$Q$300, 6, FALSE)</f>
        <v>#N/A</v>
      </c>
      <c r="R36" s="11" t="e">
        <f>VLOOKUP($H36, 'ADP Data'!$B$4:$Q$300, 7, FALSE)</f>
        <v>#N/A</v>
      </c>
      <c r="S36" s="11" t="e">
        <f>VLOOKUP($H36, 'ADP Data'!$B$4:$Q$300, 8, FALSE)</f>
        <v>#N/A</v>
      </c>
      <c r="T36" s="11" t="e">
        <f>VLOOKUP($H36, 'ADP Data'!$B$4:$Q$300, 9, FALSE)</f>
        <v>#N/A</v>
      </c>
      <c r="U36" s="11" t="e">
        <f>VLOOKUP($H36, 'ADP Data'!$B$4:$Q$300, 10, FALSE)</f>
        <v>#N/A</v>
      </c>
      <c r="V36" s="11" t="e">
        <f t="shared" si="4"/>
        <v>#N/A</v>
      </c>
      <c r="W36" s="11" t="e">
        <f>VLOOKUP($H36, SeanRanks!$A$2:$J$303, 7, FALSE)-V36</f>
        <v>#N/A</v>
      </c>
      <c r="X36" s="11"/>
    </row>
    <row r="37" spans="1:24" ht="14.25" customHeight="1" x14ac:dyDescent="0.25">
      <c r="A37" s="11"/>
      <c r="B37" s="11" t="e">
        <f t="shared" si="0"/>
        <v>#N/A</v>
      </c>
      <c r="C37" s="11" t="s">
        <v>148</v>
      </c>
      <c r="D37" s="11"/>
      <c r="E37" s="11">
        <v>1</v>
      </c>
      <c r="F37" s="11">
        <f t="shared" si="1"/>
        <v>-1</v>
      </c>
      <c r="G37" s="11"/>
      <c r="H37" s="11" t="s">
        <v>370</v>
      </c>
      <c r="I37" s="11" t="e">
        <f>VLOOKUP($H37, 'ADP Data'!$B$4:$Q$300, 2, FALSE)</f>
        <v>#N/A</v>
      </c>
      <c r="J37" s="11" t="e">
        <f>VLOOKUP($H37, 'ADP Data'!$B$4:$Q$300, 3, FALSE)</f>
        <v>#N/A</v>
      </c>
      <c r="K37" s="11">
        <f>VLOOKUP($H37, SeanRanks!$A$2:$H$303, 4, FALSE)</f>
        <v>0</v>
      </c>
      <c r="L37" s="11">
        <f>VLOOKUP($H37, SeanRanks!$A$2:$H$303, 5, FALSE)</f>
        <v>0</v>
      </c>
      <c r="M37" s="11">
        <f t="shared" si="2"/>
        <v>16</v>
      </c>
      <c r="N37" s="11" t="e">
        <f>VLOOKUP($H37, 'ADP Data'!$B$4:$Q$300, 11, FALSE)</f>
        <v>#N/A</v>
      </c>
      <c r="O37" s="11" t="e">
        <f>VLOOKUP($H37, 'ADP Data'!$B$4:$Q$300, 5, FALSE)</f>
        <v>#N/A</v>
      </c>
      <c r="P37" s="11" t="e">
        <f t="shared" si="3"/>
        <v>#N/A</v>
      </c>
      <c r="Q37" s="11" t="e">
        <f>VLOOKUP($H37, 'ADP Data'!$B$4:$Q$300, 6, FALSE)</f>
        <v>#N/A</v>
      </c>
      <c r="R37" s="11" t="e">
        <f>VLOOKUP($H37, 'ADP Data'!$B$4:$Q$300, 7, FALSE)</f>
        <v>#N/A</v>
      </c>
      <c r="S37" s="11" t="e">
        <f>VLOOKUP($H37, 'ADP Data'!$B$4:$Q$300, 8, FALSE)</f>
        <v>#N/A</v>
      </c>
      <c r="T37" s="11" t="e">
        <f>VLOOKUP($H37, 'ADP Data'!$B$4:$Q$300, 9, FALSE)</f>
        <v>#N/A</v>
      </c>
      <c r="U37" s="11" t="e">
        <f>VLOOKUP($H37, 'ADP Data'!$B$4:$Q$300, 10, FALSE)</f>
        <v>#N/A</v>
      </c>
      <c r="V37" s="11" t="e">
        <f t="shared" si="4"/>
        <v>#N/A</v>
      </c>
      <c r="W37" s="11" t="e">
        <f>VLOOKUP($H37, SeanRanks!$A$2:$J$303, 7, FALSE)-V37</f>
        <v>#N/A</v>
      </c>
      <c r="X37" s="11" t="s">
        <v>1173</v>
      </c>
    </row>
    <row r="38" spans="1:24" ht="14.25" customHeight="1" x14ac:dyDescent="0.25">
      <c r="A38" s="11"/>
      <c r="B38" s="11" t="e">
        <f t="shared" si="0"/>
        <v>#N/A</v>
      </c>
      <c r="C38" s="11" t="s">
        <v>148</v>
      </c>
      <c r="D38" s="11">
        <v>1</v>
      </c>
      <c r="E38" s="11">
        <v>2</v>
      </c>
      <c r="F38" s="11">
        <f t="shared" si="1"/>
        <v>-1</v>
      </c>
      <c r="G38" s="11" t="s">
        <v>148</v>
      </c>
      <c r="H38" s="11" t="s">
        <v>152</v>
      </c>
      <c r="I38" s="11" t="e">
        <f>VLOOKUP($H38, 'ADP Data'!$B$4:$Q$300, 2, FALSE)</f>
        <v>#N/A</v>
      </c>
      <c r="J38" s="11" t="e">
        <f>VLOOKUP($H38, 'ADP Data'!$B$4:$Q$300, 3, FALSE)</f>
        <v>#N/A</v>
      </c>
      <c r="K38" s="11">
        <f>VLOOKUP($H38, SeanRanks!$A$2:$H$303, 4, FALSE)</f>
        <v>0</v>
      </c>
      <c r="L38" s="11">
        <f>VLOOKUP($H38, SeanRanks!$A$2:$H$303, 5, FALSE)</f>
        <v>0</v>
      </c>
      <c r="M38" s="11">
        <f t="shared" si="2"/>
        <v>16</v>
      </c>
      <c r="N38" s="11" t="e">
        <f>VLOOKUP($H38, 'ADP Data'!$B$4:$Q$300, 11, FALSE)</f>
        <v>#N/A</v>
      </c>
      <c r="O38" s="11" t="e">
        <f>VLOOKUP($H38, 'ADP Data'!$B$4:$Q$300, 5, FALSE)</f>
        <v>#N/A</v>
      </c>
      <c r="P38" s="11" t="e">
        <f t="shared" si="3"/>
        <v>#N/A</v>
      </c>
      <c r="Q38" s="11" t="e">
        <f>VLOOKUP($H38, 'ADP Data'!$B$4:$Q$300, 6, FALSE)</f>
        <v>#N/A</v>
      </c>
      <c r="R38" s="11" t="e">
        <f>VLOOKUP($H38, 'ADP Data'!$B$4:$Q$300, 7, FALSE)</f>
        <v>#N/A</v>
      </c>
      <c r="S38" s="11" t="e">
        <f>VLOOKUP($H38, 'ADP Data'!$B$4:$Q$300, 8, FALSE)</f>
        <v>#N/A</v>
      </c>
      <c r="T38" s="11" t="e">
        <f>VLOOKUP($H38, 'ADP Data'!$B$4:$Q$300, 9, FALSE)</f>
        <v>#N/A</v>
      </c>
      <c r="U38" s="11" t="e">
        <f>VLOOKUP($H38, 'ADP Data'!$B$4:$Q$300, 10, FALSE)</f>
        <v>#N/A</v>
      </c>
      <c r="V38" s="11" t="e">
        <f t="shared" si="4"/>
        <v>#N/A</v>
      </c>
      <c r="W38" s="11" t="e">
        <f>VLOOKUP($H38, SeanRanks!$A$2:$J$303, 7, FALSE)-V38</f>
        <v>#N/A</v>
      </c>
      <c r="X38" s="11" t="s">
        <v>1174</v>
      </c>
    </row>
    <row r="39" spans="1:24" ht="14.25" customHeight="1" x14ac:dyDescent="0.25">
      <c r="A39" s="11"/>
      <c r="B39" s="11" t="e">
        <f t="shared" si="0"/>
        <v>#N/A</v>
      </c>
      <c r="C39" s="11" t="s">
        <v>148</v>
      </c>
      <c r="D39" s="11"/>
      <c r="E39" s="11">
        <v>1</v>
      </c>
      <c r="F39" s="11">
        <f t="shared" si="1"/>
        <v>-1</v>
      </c>
      <c r="G39" s="11" t="s">
        <v>148</v>
      </c>
      <c r="H39" s="11" t="s">
        <v>963</v>
      </c>
      <c r="I39" s="11" t="e">
        <f>VLOOKUP($H39, 'ADP Data'!$B$4:$Q$300, 2, FALSE)</f>
        <v>#N/A</v>
      </c>
      <c r="J39" s="11" t="e">
        <f>VLOOKUP($H39, 'ADP Data'!$B$4:$Q$300, 3, FALSE)</f>
        <v>#N/A</v>
      </c>
      <c r="K39" s="11" t="e">
        <f>VLOOKUP($H39, SeanRanks!$A$2:$H$303, 4, FALSE)</f>
        <v>#N/A</v>
      </c>
      <c r="L39" s="11" t="e">
        <f>VLOOKUP($H39, SeanRanks!$A$2:$H$303, 5, FALSE)</f>
        <v>#N/A</v>
      </c>
      <c r="M39" s="11">
        <f t="shared" si="2"/>
        <v>16</v>
      </c>
      <c r="N39" s="11" t="e">
        <f>VLOOKUP($H39, 'ADP Data'!$B$4:$Q$300, 11, FALSE)</f>
        <v>#N/A</v>
      </c>
      <c r="O39" s="11" t="e">
        <f>VLOOKUP($H39, 'ADP Data'!$B$4:$Q$300, 5, FALSE)</f>
        <v>#N/A</v>
      </c>
      <c r="P39" s="11" t="e">
        <f t="shared" si="3"/>
        <v>#N/A</v>
      </c>
      <c r="Q39" s="11" t="e">
        <f>VLOOKUP($H39, 'ADP Data'!$B$4:$Q$300, 6, FALSE)</f>
        <v>#N/A</v>
      </c>
      <c r="R39" s="11" t="e">
        <f>VLOOKUP($H39, 'ADP Data'!$B$4:$Q$300, 7, FALSE)</f>
        <v>#N/A</v>
      </c>
      <c r="S39" s="11" t="e">
        <f>VLOOKUP($H39, 'ADP Data'!$B$4:$Q$300, 8, FALSE)</f>
        <v>#N/A</v>
      </c>
      <c r="T39" s="11" t="e">
        <f>VLOOKUP($H39, 'ADP Data'!$B$4:$Q$300, 9, FALSE)</f>
        <v>#N/A</v>
      </c>
      <c r="U39" s="11" t="e">
        <f>VLOOKUP($H39, 'ADP Data'!$B$4:$Q$300, 10, FALSE)</f>
        <v>#N/A</v>
      </c>
      <c r="V39" s="11" t="e">
        <f t="shared" si="4"/>
        <v>#N/A</v>
      </c>
      <c r="W39" s="11" t="e">
        <f>VLOOKUP($H39, SeanRanks!$A$2:$J$303, 7, FALSE)-V39</f>
        <v>#N/A</v>
      </c>
      <c r="X39" s="11"/>
    </row>
    <row r="40" spans="1:24" ht="14.25" customHeight="1" x14ac:dyDescent="0.25">
      <c r="A40" s="11"/>
      <c r="B40" s="11" t="e">
        <f t="shared" si="0"/>
        <v>#N/A</v>
      </c>
      <c r="C40" s="11" t="s">
        <v>148</v>
      </c>
      <c r="D40" s="11"/>
      <c r="E40" s="11">
        <v>1</v>
      </c>
      <c r="F40" s="11">
        <f t="shared" si="1"/>
        <v>-1</v>
      </c>
      <c r="G40" s="11"/>
      <c r="H40" s="11" t="s">
        <v>1175</v>
      </c>
      <c r="I40" s="11" t="e">
        <f>VLOOKUP($H40, 'ADP Data'!$B$4:$Q$300, 2, FALSE)</f>
        <v>#N/A</v>
      </c>
      <c r="J40" s="11" t="e">
        <f>VLOOKUP($H40, 'ADP Data'!$B$4:$Q$300, 3, FALSE)</f>
        <v>#N/A</v>
      </c>
      <c r="K40" s="11"/>
      <c r="L40" s="11" t="e">
        <f>VLOOKUP($H40, SeanRanks!$A$2:$H$303, 5, FALSE)</f>
        <v>#N/A</v>
      </c>
      <c r="M40" s="11">
        <f t="shared" si="2"/>
        <v>16</v>
      </c>
      <c r="N40" s="11" t="e">
        <f>VLOOKUP($H40, 'ADP Data'!$B$4:$Q$300, 11, FALSE)</f>
        <v>#N/A</v>
      </c>
      <c r="O40" s="11" t="e">
        <f>VLOOKUP($H40, 'ADP Data'!$B$4:$Q$300, 5, FALSE)</f>
        <v>#N/A</v>
      </c>
      <c r="P40" s="11" t="e">
        <f t="shared" si="3"/>
        <v>#N/A</v>
      </c>
      <c r="Q40" s="11" t="e">
        <f>VLOOKUP($H40, 'ADP Data'!$B$4:$Q$300, 6, FALSE)</f>
        <v>#N/A</v>
      </c>
      <c r="R40" s="11" t="e">
        <f>VLOOKUP($H40, 'ADP Data'!$B$4:$Q$300, 7, FALSE)</f>
        <v>#N/A</v>
      </c>
      <c r="S40" s="11" t="e">
        <f>VLOOKUP($H40, 'ADP Data'!$B$4:$Q$300, 8, FALSE)</f>
        <v>#N/A</v>
      </c>
      <c r="T40" s="11" t="e">
        <f>VLOOKUP($H40, 'ADP Data'!$B$4:$Q$300, 9, FALSE)</f>
        <v>#N/A</v>
      </c>
      <c r="U40" s="11" t="e">
        <f>VLOOKUP($H40, 'ADP Data'!$B$4:$Q$300, 10, FALSE)</f>
        <v>#N/A</v>
      </c>
      <c r="V40" s="11" t="e">
        <f t="shared" si="4"/>
        <v>#N/A</v>
      </c>
      <c r="W40" s="11" t="e">
        <f>VLOOKUP($H40, SeanRanks!$A$2:$J$303, 7, FALSE)-V40</f>
        <v>#N/A</v>
      </c>
      <c r="X40" s="11" t="s">
        <v>1176</v>
      </c>
    </row>
    <row r="41" spans="1:24" ht="14.25" customHeight="1" x14ac:dyDescent="0.25">
      <c r="A41" s="11"/>
      <c r="B41" s="11" t="e">
        <f t="shared" si="0"/>
        <v>#N/A</v>
      </c>
      <c r="C41" s="11" t="s">
        <v>148</v>
      </c>
      <c r="D41" s="11"/>
      <c r="E41" s="11">
        <v>1</v>
      </c>
      <c r="F41" s="11">
        <f t="shared" si="1"/>
        <v>-1</v>
      </c>
      <c r="G41" s="11" t="s">
        <v>148</v>
      </c>
      <c r="H41" s="11" t="s">
        <v>1177</v>
      </c>
      <c r="I41" s="11" t="e">
        <f>VLOOKUP($H41, 'ADP Data'!$B$4:$Q$300, 2, FALSE)</f>
        <v>#N/A</v>
      </c>
      <c r="J41" s="11" t="e">
        <f>VLOOKUP($H41, 'ADP Data'!$B$4:$Q$300, 3, FALSE)</f>
        <v>#N/A</v>
      </c>
      <c r="K41" s="11"/>
      <c r="L41" s="11"/>
      <c r="M41" s="11">
        <f t="shared" si="2"/>
        <v>16</v>
      </c>
      <c r="N41" s="11" t="e">
        <f>VLOOKUP($H41, 'ADP Data'!$B$4:$Q$300, 11, FALSE)</f>
        <v>#N/A</v>
      </c>
      <c r="O41" s="11" t="e">
        <f>VLOOKUP($H41, 'ADP Data'!$B$4:$Q$300, 5, FALSE)</f>
        <v>#N/A</v>
      </c>
      <c r="P41" s="11" t="e">
        <f t="shared" si="3"/>
        <v>#N/A</v>
      </c>
      <c r="Q41" s="11" t="e">
        <f>VLOOKUP($H41, 'ADP Data'!$B$4:$Q$300, 6, FALSE)</f>
        <v>#N/A</v>
      </c>
      <c r="R41" s="11" t="e">
        <f>VLOOKUP($H41, 'ADP Data'!$B$4:$Q$300, 7, FALSE)</f>
        <v>#N/A</v>
      </c>
      <c r="S41" s="11" t="e">
        <f>VLOOKUP($H41, 'ADP Data'!$B$4:$Q$300, 8, FALSE)</f>
        <v>#N/A</v>
      </c>
      <c r="T41" s="11" t="e">
        <f>VLOOKUP($H41, 'ADP Data'!$B$4:$Q$300, 9, FALSE)</f>
        <v>#N/A</v>
      </c>
      <c r="U41" s="11" t="e">
        <f>VLOOKUP($H41, 'ADP Data'!$B$4:$Q$300, 10, FALSE)</f>
        <v>#N/A</v>
      </c>
      <c r="V41" s="11" t="e">
        <f t="shared" si="4"/>
        <v>#N/A</v>
      </c>
      <c r="W41" s="11" t="e">
        <f>VLOOKUP($H41, SeanRanks!$A$2:$J$303, 7, FALSE)-V41</f>
        <v>#N/A</v>
      </c>
      <c r="X41" s="11"/>
    </row>
    <row r="42" spans="1:24" ht="14.25" customHeight="1" x14ac:dyDescent="0.25">
      <c r="A42" s="11"/>
      <c r="B42" s="11" t="e">
        <f t="shared" si="0"/>
        <v>#N/A</v>
      </c>
      <c r="C42" s="11" t="s">
        <v>148</v>
      </c>
      <c r="D42" s="11"/>
      <c r="E42" s="11">
        <v>1</v>
      </c>
      <c r="F42" s="11">
        <f t="shared" si="1"/>
        <v>-1</v>
      </c>
      <c r="G42" s="11" t="s">
        <v>148</v>
      </c>
      <c r="H42" s="11" t="s">
        <v>677</v>
      </c>
      <c r="I42" s="11" t="e">
        <f>VLOOKUP($H42, 'ADP Data'!$B$4:$Q$300, 2, FALSE)</f>
        <v>#N/A</v>
      </c>
      <c r="J42" s="11" t="e">
        <f>VLOOKUP($H42, 'ADP Data'!$B$4:$Q$300, 3, FALSE)</f>
        <v>#N/A</v>
      </c>
      <c r="K42" s="11"/>
      <c r="L42" s="11"/>
      <c r="M42" s="11">
        <f t="shared" si="2"/>
        <v>16</v>
      </c>
      <c r="N42" s="11" t="e">
        <f>VLOOKUP($H42, 'ADP Data'!$B$4:$Q$300, 11, FALSE)</f>
        <v>#N/A</v>
      </c>
      <c r="O42" s="11" t="e">
        <f>VLOOKUP($H42, 'ADP Data'!$B$4:$Q$300, 5, FALSE)</f>
        <v>#N/A</v>
      </c>
      <c r="P42" s="11" t="e">
        <f t="shared" si="3"/>
        <v>#N/A</v>
      </c>
      <c r="Q42" s="11" t="e">
        <f>VLOOKUP($H42, 'ADP Data'!$B$4:$Q$300, 6, FALSE)</f>
        <v>#N/A</v>
      </c>
      <c r="R42" s="11" t="e">
        <f>VLOOKUP($H42, 'ADP Data'!$B$4:$Q$300, 7, FALSE)</f>
        <v>#N/A</v>
      </c>
      <c r="S42" s="11" t="e">
        <f>VLOOKUP($H42, 'ADP Data'!$B$4:$Q$300, 8, FALSE)</f>
        <v>#N/A</v>
      </c>
      <c r="T42" s="11" t="e">
        <f>VLOOKUP($H42, 'ADP Data'!$B$4:$Q$300, 9, FALSE)</f>
        <v>#N/A</v>
      </c>
      <c r="U42" s="11" t="e">
        <f>VLOOKUP($H42, 'ADP Data'!$B$4:$Q$300, 10, FALSE)</f>
        <v>#N/A</v>
      </c>
      <c r="V42" s="11" t="e">
        <f t="shared" si="4"/>
        <v>#N/A</v>
      </c>
      <c r="W42" s="11" t="e">
        <f>VLOOKUP($H42, SeanRanks!$A$2:$J$303, 7, FALSE)-V42</f>
        <v>#N/A</v>
      </c>
      <c r="X42" s="11" t="s">
        <v>1178</v>
      </c>
    </row>
    <row r="43" spans="1:24" ht="14.25" customHeight="1" x14ac:dyDescent="0.25">
      <c r="A43" s="11"/>
      <c r="B43" s="11" t="e">
        <f t="shared" si="0"/>
        <v>#N/A</v>
      </c>
      <c r="C43" s="11" t="s">
        <v>148</v>
      </c>
      <c r="D43" s="11"/>
      <c r="E43" s="11">
        <v>1</v>
      </c>
      <c r="F43" s="11">
        <f t="shared" si="1"/>
        <v>-1</v>
      </c>
      <c r="G43" s="11" t="s">
        <v>148</v>
      </c>
      <c r="H43" s="11" t="s">
        <v>346</v>
      </c>
      <c r="I43" s="11" t="e">
        <f>VLOOKUP($H43, 'ADP Data'!$B$4:$Q$300, 2, FALSE)</f>
        <v>#N/A</v>
      </c>
      <c r="J43" s="11" t="e">
        <f>VLOOKUP($H43, 'ADP Data'!$B$4:$Q$300, 3, FALSE)</f>
        <v>#N/A</v>
      </c>
      <c r="K43" s="11"/>
      <c r="L43" s="11"/>
      <c r="M43" s="11">
        <f t="shared" si="2"/>
        <v>16</v>
      </c>
      <c r="N43" s="11" t="e">
        <f>VLOOKUP($H43, 'ADP Data'!$B$4:$Q$300, 11, FALSE)</f>
        <v>#N/A</v>
      </c>
      <c r="O43" s="11" t="e">
        <f>VLOOKUP($H43, 'ADP Data'!$B$4:$Q$300, 5, FALSE)</f>
        <v>#N/A</v>
      </c>
      <c r="P43" s="11" t="e">
        <f t="shared" si="3"/>
        <v>#N/A</v>
      </c>
      <c r="Q43" s="11" t="e">
        <f>VLOOKUP($H43, 'ADP Data'!$B$4:$Q$300, 6, FALSE)</f>
        <v>#N/A</v>
      </c>
      <c r="R43" s="11" t="e">
        <f>VLOOKUP($H43, 'ADP Data'!$B$4:$Q$300, 7, FALSE)</f>
        <v>#N/A</v>
      </c>
      <c r="S43" s="11" t="e">
        <f>VLOOKUP($H43, 'ADP Data'!$B$4:$Q$300, 8, FALSE)</f>
        <v>#N/A</v>
      </c>
      <c r="T43" s="11" t="e">
        <f>VLOOKUP($H43, 'ADP Data'!$B$4:$Q$300, 9, FALSE)</f>
        <v>#N/A</v>
      </c>
      <c r="U43" s="11" t="e">
        <f>VLOOKUP($H43, 'ADP Data'!$B$4:$Q$300, 10, FALSE)</f>
        <v>#N/A</v>
      </c>
      <c r="V43" s="11" t="e">
        <f t="shared" si="4"/>
        <v>#N/A</v>
      </c>
      <c r="W43" s="11" t="e">
        <f>VLOOKUP($H43, SeanRanks!$A$2:$J$303, 7, FALSE)-V43</f>
        <v>#N/A</v>
      </c>
      <c r="X43" s="11" t="s">
        <v>1179</v>
      </c>
    </row>
    <row r="44" spans="1:24" ht="14.25" customHeight="1" x14ac:dyDescent="0.25">
      <c r="A44" s="11"/>
      <c r="B44" s="11" t="e">
        <f t="shared" si="0"/>
        <v>#N/A</v>
      </c>
      <c r="C44" s="11" t="s">
        <v>148</v>
      </c>
      <c r="D44" s="11"/>
      <c r="E44" s="11">
        <v>1</v>
      </c>
      <c r="F44" s="11">
        <f t="shared" si="1"/>
        <v>-1</v>
      </c>
      <c r="G44" s="11" t="s">
        <v>148</v>
      </c>
      <c r="H44" s="11" t="s">
        <v>1180</v>
      </c>
      <c r="I44" s="11" t="e">
        <f>VLOOKUP($H44, 'ADP Data'!$B$4:$Q$300, 2, FALSE)</f>
        <v>#N/A</v>
      </c>
      <c r="J44" s="11" t="e">
        <f>VLOOKUP($H44, 'ADP Data'!$B$4:$Q$300, 3, FALSE)</f>
        <v>#N/A</v>
      </c>
      <c r="K44" s="11"/>
      <c r="L44" s="11"/>
      <c r="M44" s="11">
        <f t="shared" si="2"/>
        <v>16</v>
      </c>
      <c r="N44" s="11" t="e">
        <f>VLOOKUP($H44, 'ADP Data'!$B$4:$Q$300, 11, FALSE)</f>
        <v>#N/A</v>
      </c>
      <c r="O44" s="11" t="e">
        <f>VLOOKUP($H44, 'ADP Data'!$B$4:$Q$300, 5, FALSE)</f>
        <v>#N/A</v>
      </c>
      <c r="P44" s="11" t="e">
        <f t="shared" si="3"/>
        <v>#N/A</v>
      </c>
      <c r="Q44" s="11" t="e">
        <f>VLOOKUP($H44, 'ADP Data'!$B$4:$Q$300, 6, FALSE)</f>
        <v>#N/A</v>
      </c>
      <c r="R44" s="11" t="e">
        <f>VLOOKUP($H44, 'ADP Data'!$B$4:$Q$300, 7, FALSE)</f>
        <v>#N/A</v>
      </c>
      <c r="S44" s="11" t="e">
        <f>VLOOKUP($H44, 'ADP Data'!$B$4:$Q$300, 8, FALSE)</f>
        <v>#N/A</v>
      </c>
      <c r="T44" s="11" t="e">
        <f>VLOOKUP($H44, 'ADP Data'!$B$4:$Q$300, 9, FALSE)</f>
        <v>#N/A</v>
      </c>
      <c r="U44" s="11" t="e">
        <f>VLOOKUP($H44, 'ADP Data'!$B$4:$Q$300, 10, FALSE)</f>
        <v>#N/A</v>
      </c>
      <c r="V44" s="11" t="e">
        <f t="shared" si="4"/>
        <v>#N/A</v>
      </c>
      <c r="W44" s="11" t="e">
        <f>VLOOKUP($H44, SeanRanks!$A$2:$J$303, 7, FALSE)-V44</f>
        <v>#N/A</v>
      </c>
      <c r="X44" s="11"/>
    </row>
    <row r="45" spans="1:24" ht="14.25" customHeight="1" x14ac:dyDescent="0.25">
      <c r="A45" s="11"/>
      <c r="B45" s="11" t="e">
        <f t="shared" si="0"/>
        <v>#N/A</v>
      </c>
      <c r="C45" s="11" t="s">
        <v>148</v>
      </c>
      <c r="D45" s="11"/>
      <c r="E45" s="11">
        <v>1</v>
      </c>
      <c r="F45" s="11">
        <f t="shared" si="1"/>
        <v>-1</v>
      </c>
      <c r="G45" s="11" t="s">
        <v>148</v>
      </c>
      <c r="H45" s="11" t="s">
        <v>302</v>
      </c>
      <c r="I45" s="11" t="e">
        <f>VLOOKUP($H45, 'ADP Data'!$B$4:$Q$300, 2, FALSE)</f>
        <v>#N/A</v>
      </c>
      <c r="J45" s="11" t="e">
        <f>VLOOKUP($H45, 'ADP Data'!$B$4:$Q$300, 3, FALSE)</f>
        <v>#N/A</v>
      </c>
      <c r="K45" s="11"/>
      <c r="L45" s="11"/>
      <c r="M45" s="11">
        <f t="shared" si="2"/>
        <v>16</v>
      </c>
      <c r="N45" s="11" t="e">
        <f>VLOOKUP($H45, 'ADP Data'!$B$4:$Q$300, 11, FALSE)</f>
        <v>#N/A</v>
      </c>
      <c r="O45" s="11" t="e">
        <f>VLOOKUP($H45, 'ADP Data'!$B$4:$Q$300, 5, FALSE)</f>
        <v>#N/A</v>
      </c>
      <c r="P45" s="11" t="e">
        <f t="shared" si="3"/>
        <v>#N/A</v>
      </c>
      <c r="Q45" s="11" t="e">
        <f>VLOOKUP($H45, 'ADP Data'!$B$4:$Q$300, 6, FALSE)</f>
        <v>#N/A</v>
      </c>
      <c r="R45" s="11" t="e">
        <f>VLOOKUP($H45, 'ADP Data'!$B$4:$Q$300, 7, FALSE)</f>
        <v>#N/A</v>
      </c>
      <c r="S45" s="11" t="e">
        <f>VLOOKUP($H45, 'ADP Data'!$B$4:$Q$300, 8, FALSE)</f>
        <v>#N/A</v>
      </c>
      <c r="T45" s="11" t="e">
        <f>VLOOKUP($H45, 'ADP Data'!$B$4:$Q$300, 9, FALSE)</f>
        <v>#N/A</v>
      </c>
      <c r="U45" s="11" t="e">
        <f>VLOOKUP($H45, 'ADP Data'!$B$4:$Q$300, 10, FALSE)</f>
        <v>#N/A</v>
      </c>
      <c r="V45" s="11" t="e">
        <f t="shared" si="4"/>
        <v>#N/A</v>
      </c>
      <c r="W45" s="11" t="e">
        <f>VLOOKUP($H45, SeanRanks!$A$2:$J$303, 7, FALSE)-V45</f>
        <v>#N/A</v>
      </c>
      <c r="X45" s="11" t="s">
        <v>1181</v>
      </c>
    </row>
    <row r="46" spans="1:24" ht="14.25" customHeight="1" x14ac:dyDescent="0.25">
      <c r="A46" s="11"/>
      <c r="B46" s="11" t="e">
        <f t="shared" si="0"/>
        <v>#N/A</v>
      </c>
      <c r="C46" s="11" t="s">
        <v>148</v>
      </c>
      <c r="D46" s="11"/>
      <c r="E46" s="11">
        <v>1</v>
      </c>
      <c r="F46" s="11">
        <f t="shared" si="1"/>
        <v>-1</v>
      </c>
      <c r="G46" s="11"/>
      <c r="H46" s="11" t="s">
        <v>1182</v>
      </c>
      <c r="I46" s="11" t="e">
        <f>VLOOKUP($H46, 'ADP Data'!$B$4:$Q$300, 2, FALSE)</f>
        <v>#N/A</v>
      </c>
      <c r="J46" s="11" t="e">
        <f>VLOOKUP($H46, 'ADP Data'!$B$4:$Q$300, 3, FALSE)</f>
        <v>#N/A</v>
      </c>
      <c r="K46" s="11"/>
      <c r="L46" s="11"/>
      <c r="M46" s="11">
        <f t="shared" si="2"/>
        <v>16</v>
      </c>
      <c r="N46" s="11" t="e">
        <f>VLOOKUP($H46, 'ADP Data'!$B$4:$Q$300, 11, FALSE)</f>
        <v>#N/A</v>
      </c>
      <c r="O46" s="11" t="e">
        <f>VLOOKUP($H46, 'ADP Data'!$B$4:$Q$300, 5, FALSE)</f>
        <v>#N/A</v>
      </c>
      <c r="P46" s="11" t="e">
        <f t="shared" si="3"/>
        <v>#N/A</v>
      </c>
      <c r="Q46" s="11" t="e">
        <f>VLOOKUP($H46, 'ADP Data'!$B$4:$Q$300, 6, FALSE)</f>
        <v>#N/A</v>
      </c>
      <c r="R46" s="11" t="e">
        <f>VLOOKUP($H46, 'ADP Data'!$B$4:$Q$300, 7, FALSE)</f>
        <v>#N/A</v>
      </c>
      <c r="S46" s="11" t="e">
        <f>VLOOKUP($H46, 'ADP Data'!$B$4:$Q$300, 8, FALSE)</f>
        <v>#N/A</v>
      </c>
      <c r="T46" s="11" t="e">
        <f>VLOOKUP($H46, 'ADP Data'!$B$4:$Q$300, 9, FALSE)</f>
        <v>#N/A</v>
      </c>
      <c r="U46" s="11" t="e">
        <f>VLOOKUP($H46, 'ADP Data'!$B$4:$Q$300, 10, FALSE)</f>
        <v>#N/A</v>
      </c>
      <c r="V46" s="11" t="e">
        <f t="shared" si="4"/>
        <v>#N/A</v>
      </c>
      <c r="W46" s="11" t="e">
        <f>VLOOKUP($H46, SeanRanks!$A$2:$J$303, 7, FALSE)-V46</f>
        <v>#N/A</v>
      </c>
      <c r="X46" s="11"/>
    </row>
    <row r="47" spans="1:24" ht="14.25" customHeight="1" x14ac:dyDescent="0.25">
      <c r="A47" s="11"/>
      <c r="B47" s="11" t="e">
        <f t="shared" si="0"/>
        <v>#N/A</v>
      </c>
      <c r="C47" s="11" t="s">
        <v>148</v>
      </c>
      <c r="D47" s="11">
        <v>7</v>
      </c>
      <c r="E47" s="11">
        <v>7</v>
      </c>
      <c r="F47" s="11">
        <f t="shared" si="1"/>
        <v>0</v>
      </c>
      <c r="G47" s="11"/>
      <c r="H47" s="11" t="s">
        <v>211</v>
      </c>
      <c r="I47" s="11" t="e">
        <f>VLOOKUP($H47, 'ADP Data'!$B$4:$Q$300, 2, FALSE)</f>
        <v>#N/A</v>
      </c>
      <c r="J47" s="11" t="e">
        <f>VLOOKUP($H47, 'ADP Data'!$B$4:$Q$300, 3, FALSE)</f>
        <v>#N/A</v>
      </c>
      <c r="K47" s="11" t="s">
        <v>1163</v>
      </c>
      <c r="L47" s="11">
        <v>7</v>
      </c>
      <c r="M47" s="11">
        <f t="shared" si="2"/>
        <v>16</v>
      </c>
      <c r="N47" s="11" t="e">
        <f>VLOOKUP($H47, 'ADP Data'!$B$4:$Q$300, 11, FALSE)</f>
        <v>#N/A</v>
      </c>
      <c r="O47" s="11" t="e">
        <f>VLOOKUP($H47, 'ADP Data'!$B$4:$Q$300, 5, FALSE)</f>
        <v>#N/A</v>
      </c>
      <c r="P47" s="11" t="e">
        <f t="shared" si="3"/>
        <v>#N/A</v>
      </c>
      <c r="Q47" s="11" t="e">
        <f>VLOOKUP($H47, 'ADP Data'!$B$4:$Q$300, 6, FALSE)</f>
        <v>#N/A</v>
      </c>
      <c r="R47" s="11" t="e">
        <f>VLOOKUP($H47, 'ADP Data'!$B$4:$Q$300, 7, FALSE)</f>
        <v>#N/A</v>
      </c>
      <c r="S47" s="11" t="e">
        <f>VLOOKUP($H47, 'ADP Data'!$B$4:$Q$300, 8, FALSE)</f>
        <v>#N/A</v>
      </c>
      <c r="T47" s="11" t="e">
        <f>VLOOKUP($H47, 'ADP Data'!$B$4:$Q$300, 9, FALSE)</f>
        <v>#N/A</v>
      </c>
      <c r="U47" s="11" t="e">
        <f>VLOOKUP($H47, 'ADP Data'!$B$4:$Q$300, 10, FALSE)</f>
        <v>#N/A</v>
      </c>
      <c r="V47" s="11" t="e">
        <f t="shared" si="4"/>
        <v>#N/A</v>
      </c>
      <c r="W47" s="11" t="e">
        <f>VLOOKUP($H47, SeanRanks!$A$2:$J$303, 7, FALSE)-V47</f>
        <v>#N/A</v>
      </c>
      <c r="X47" s="11"/>
    </row>
    <row r="48" spans="1:24" ht="14.25" customHeight="1" x14ac:dyDescent="0.25">
      <c r="A48" s="11"/>
      <c r="B48" s="11" t="e">
        <f t="shared" si="0"/>
        <v>#N/A</v>
      </c>
      <c r="C48" s="11" t="s">
        <v>148</v>
      </c>
      <c r="D48" s="11">
        <v>3</v>
      </c>
      <c r="E48" s="11">
        <v>3</v>
      </c>
      <c r="F48" s="11">
        <f t="shared" si="1"/>
        <v>0</v>
      </c>
      <c r="G48" s="11"/>
      <c r="H48" s="11" t="s">
        <v>322</v>
      </c>
      <c r="I48" s="11" t="e">
        <f>VLOOKUP($H48, 'ADP Data'!$B$4:$Q$300, 2, FALSE)</f>
        <v>#N/A</v>
      </c>
      <c r="J48" s="11" t="e">
        <f>VLOOKUP($H48, 'ADP Data'!$B$4:$Q$300, 3, FALSE)</f>
        <v>#N/A</v>
      </c>
      <c r="K48" s="11" t="s">
        <v>1183</v>
      </c>
      <c r="L48" s="11">
        <f>VLOOKUP($H48, SeanRanks!$A$2:$H$303, 5, FALSE)</f>
        <v>0</v>
      </c>
      <c r="M48" s="11">
        <f t="shared" si="2"/>
        <v>16</v>
      </c>
      <c r="N48" s="11" t="e">
        <f>VLOOKUP($H48, 'ADP Data'!$B$4:$Q$300, 11, FALSE)</f>
        <v>#N/A</v>
      </c>
      <c r="O48" s="11" t="e">
        <f>VLOOKUP($H48, 'ADP Data'!$B$4:$Q$300, 5, FALSE)</f>
        <v>#N/A</v>
      </c>
      <c r="P48" s="11" t="e">
        <f t="shared" si="3"/>
        <v>#N/A</v>
      </c>
      <c r="Q48" s="11" t="e">
        <f>VLOOKUP($H48, 'ADP Data'!$B$4:$Q$300, 6, FALSE)</f>
        <v>#N/A</v>
      </c>
      <c r="R48" s="11" t="e">
        <f>VLOOKUP($H48, 'ADP Data'!$B$4:$Q$300, 7, FALSE)</f>
        <v>#N/A</v>
      </c>
      <c r="S48" s="11" t="e">
        <f>VLOOKUP($H48, 'ADP Data'!$B$4:$Q$300, 8, FALSE)</f>
        <v>#N/A</v>
      </c>
      <c r="T48" s="11" t="e">
        <f>VLOOKUP($H48, 'ADP Data'!$B$4:$Q$300, 9, FALSE)</f>
        <v>#N/A</v>
      </c>
      <c r="U48" s="11" t="e">
        <f>VLOOKUP($H48, 'ADP Data'!$B$4:$Q$300, 10, FALSE)</f>
        <v>#N/A</v>
      </c>
      <c r="V48" s="11" t="e">
        <f t="shared" si="4"/>
        <v>#N/A</v>
      </c>
      <c r="W48" s="11" t="e">
        <f>VLOOKUP($H48, SeanRanks!$A$2:$J$303, 7, FALSE)-V48</f>
        <v>#N/A</v>
      </c>
      <c r="X48" s="11"/>
    </row>
    <row r="49" spans="1:24" ht="14.25" customHeight="1" x14ac:dyDescent="0.25">
      <c r="A49" s="11"/>
      <c r="B49" s="11" t="e">
        <f t="shared" si="0"/>
        <v>#N/A</v>
      </c>
      <c r="C49" s="11" t="s">
        <v>148</v>
      </c>
      <c r="D49" s="11">
        <v>4</v>
      </c>
      <c r="E49" s="11">
        <v>4</v>
      </c>
      <c r="F49" s="11">
        <f t="shared" si="1"/>
        <v>0</v>
      </c>
      <c r="G49" s="11"/>
      <c r="H49" s="11" t="s">
        <v>422</v>
      </c>
      <c r="I49" s="11" t="e">
        <f>VLOOKUP($H49, 'ADP Data'!$B$4:$Q$300, 2, FALSE)</f>
        <v>#N/A</v>
      </c>
      <c r="J49" s="11" t="e">
        <f>VLOOKUP($H49, 'ADP Data'!$B$4:$Q$300, 3, FALSE)</f>
        <v>#N/A</v>
      </c>
      <c r="K49" s="11" t="s">
        <v>1183</v>
      </c>
      <c r="L49" s="11">
        <f>VLOOKUP($H49, SeanRanks!$A$2:$H$303, 5, FALSE)</f>
        <v>0</v>
      </c>
      <c r="M49" s="11">
        <f t="shared" si="2"/>
        <v>16</v>
      </c>
      <c r="N49" s="11" t="e">
        <f>VLOOKUP($H49, 'ADP Data'!$B$4:$Q$300, 11, FALSE)</f>
        <v>#N/A</v>
      </c>
      <c r="O49" s="11" t="e">
        <f>VLOOKUP($H49, 'ADP Data'!$B$4:$Q$300, 5, FALSE)</f>
        <v>#N/A</v>
      </c>
      <c r="P49" s="11" t="e">
        <f t="shared" si="3"/>
        <v>#N/A</v>
      </c>
      <c r="Q49" s="11" t="e">
        <f>VLOOKUP($H49, 'ADP Data'!$B$4:$Q$300, 6, FALSE)</f>
        <v>#N/A</v>
      </c>
      <c r="R49" s="11" t="e">
        <f>VLOOKUP($H49, 'ADP Data'!$B$4:$Q$300, 7, FALSE)</f>
        <v>#N/A</v>
      </c>
      <c r="S49" s="11" t="e">
        <f>VLOOKUP($H49, 'ADP Data'!$B$4:$Q$300, 8, FALSE)</f>
        <v>#N/A</v>
      </c>
      <c r="T49" s="11" t="e">
        <f>VLOOKUP($H49, 'ADP Data'!$B$4:$Q$300, 9, FALSE)</f>
        <v>#N/A</v>
      </c>
      <c r="U49" s="11" t="e">
        <f>VLOOKUP($H49, 'ADP Data'!$B$4:$Q$300, 10, FALSE)</f>
        <v>#N/A</v>
      </c>
      <c r="V49" s="11" t="e">
        <f t="shared" si="4"/>
        <v>#N/A</v>
      </c>
      <c r="W49" s="11" t="e">
        <f>VLOOKUP($H49, SeanRanks!$A$2:$J$303, 7, FALSE)-V49</f>
        <v>#N/A</v>
      </c>
      <c r="X49" s="11"/>
    </row>
    <row r="50" spans="1:24" ht="14.25" customHeight="1" x14ac:dyDescent="0.25">
      <c r="A50" s="11"/>
      <c r="B50" s="11" t="e">
        <f t="shared" si="0"/>
        <v>#N/A</v>
      </c>
      <c r="C50" s="11" t="s">
        <v>148</v>
      </c>
      <c r="D50" s="11">
        <v>3</v>
      </c>
      <c r="E50" s="11">
        <v>3</v>
      </c>
      <c r="F50" s="11">
        <f t="shared" si="1"/>
        <v>0</v>
      </c>
      <c r="G50" s="11"/>
      <c r="H50" s="11" t="s">
        <v>715</v>
      </c>
      <c r="I50" s="11" t="e">
        <f>VLOOKUP($H50, 'ADP Data'!$B$4:$Q$300, 2, FALSE)</f>
        <v>#N/A</v>
      </c>
      <c r="J50" s="11" t="e">
        <f>VLOOKUP($H50, 'ADP Data'!$B$4:$Q$300, 3, FALSE)</f>
        <v>#N/A</v>
      </c>
      <c r="K50" s="11" t="s">
        <v>1183</v>
      </c>
      <c r="L50" s="11" t="e">
        <f>VLOOKUP($H50, SeanRanks!$A$2:$H$303, 5, FALSE)</f>
        <v>#N/A</v>
      </c>
      <c r="M50" s="11">
        <f t="shared" si="2"/>
        <v>16</v>
      </c>
      <c r="N50" s="11" t="e">
        <f>VLOOKUP($H50, 'ADP Data'!$B$4:$Q$300, 11, FALSE)</f>
        <v>#N/A</v>
      </c>
      <c r="O50" s="11" t="e">
        <f>VLOOKUP($H50, 'ADP Data'!$B$4:$Q$300, 5, FALSE)</f>
        <v>#N/A</v>
      </c>
      <c r="P50" s="11" t="e">
        <f t="shared" si="3"/>
        <v>#N/A</v>
      </c>
      <c r="Q50" s="11" t="e">
        <f>VLOOKUP($H50, 'ADP Data'!$B$4:$Q$300, 6, FALSE)</f>
        <v>#N/A</v>
      </c>
      <c r="R50" s="11" t="e">
        <f>VLOOKUP($H50, 'ADP Data'!$B$4:$Q$300, 7, FALSE)</f>
        <v>#N/A</v>
      </c>
      <c r="S50" s="11" t="e">
        <f>VLOOKUP($H50, 'ADP Data'!$B$4:$Q$300, 8, FALSE)</f>
        <v>#N/A</v>
      </c>
      <c r="T50" s="11" t="e">
        <f>VLOOKUP($H50, 'ADP Data'!$B$4:$Q$300, 9, FALSE)</f>
        <v>#N/A</v>
      </c>
      <c r="U50" s="11" t="e">
        <f>VLOOKUP($H50, 'ADP Data'!$B$4:$Q$300, 10, FALSE)</f>
        <v>#N/A</v>
      </c>
      <c r="V50" s="11" t="e">
        <f t="shared" si="4"/>
        <v>#N/A</v>
      </c>
      <c r="W50" s="11" t="e">
        <f>VLOOKUP($H50, SeanRanks!$A$2:$J$303, 7, FALSE)-V50</f>
        <v>#N/A</v>
      </c>
      <c r="X50" s="11"/>
    </row>
    <row r="51" spans="1:24" ht="14.25" customHeight="1" x14ac:dyDescent="0.25">
      <c r="A51" s="11"/>
      <c r="B51" s="11" t="e">
        <f t="shared" si="0"/>
        <v>#N/A</v>
      </c>
      <c r="C51" s="11" t="s">
        <v>148</v>
      </c>
      <c r="D51" s="11"/>
      <c r="E51" s="11"/>
      <c r="F51" s="11">
        <f t="shared" si="1"/>
        <v>0</v>
      </c>
      <c r="G51" s="11" t="s">
        <v>119</v>
      </c>
      <c r="H51" s="11" t="s">
        <v>1185</v>
      </c>
      <c r="I51" s="11" t="e">
        <f>VLOOKUP($H51, 'ADP Data'!$B$4:$Q$300, 2, FALSE)</f>
        <v>#N/A</v>
      </c>
      <c r="J51" s="11" t="e">
        <f>VLOOKUP($H51, 'ADP Data'!$B$4:$Q$300, 3, FALSE)</f>
        <v>#N/A</v>
      </c>
      <c r="K51" s="11" t="s">
        <v>1186</v>
      </c>
      <c r="L51" s="11" t="e">
        <f>VLOOKUP($H51, SeanRanks!$A$2:$H$303, 5, FALSE)</f>
        <v>#N/A</v>
      </c>
      <c r="M51" s="11">
        <f t="shared" si="2"/>
        <v>16</v>
      </c>
      <c r="N51" s="11" t="e">
        <f>VLOOKUP($H51, 'ADP Data'!$B$4:$Q$300, 11, FALSE)</f>
        <v>#N/A</v>
      </c>
      <c r="O51" s="11" t="e">
        <f>VLOOKUP($H51, 'ADP Data'!$B$4:$Q$300, 5, FALSE)</f>
        <v>#N/A</v>
      </c>
      <c r="P51" s="11" t="e">
        <f t="shared" si="3"/>
        <v>#N/A</v>
      </c>
      <c r="Q51" s="11" t="e">
        <f>VLOOKUP($H51, 'ADP Data'!$B$4:$Q$300, 6, FALSE)</f>
        <v>#N/A</v>
      </c>
      <c r="R51" s="11" t="e">
        <f>VLOOKUP($H51, 'ADP Data'!$B$4:$Q$300, 7, FALSE)</f>
        <v>#N/A</v>
      </c>
      <c r="S51" s="11" t="e">
        <f>VLOOKUP($H51, 'ADP Data'!$B$4:$Q$300, 8, FALSE)</f>
        <v>#N/A</v>
      </c>
      <c r="T51" s="11" t="e">
        <f>VLOOKUP($H51, 'ADP Data'!$B$4:$Q$300, 9, FALSE)</f>
        <v>#N/A</v>
      </c>
      <c r="U51" s="11" t="e">
        <f>VLOOKUP($H51, 'ADP Data'!$B$4:$Q$300, 10, FALSE)</f>
        <v>#N/A</v>
      </c>
      <c r="V51" s="11" t="e">
        <f t="shared" si="4"/>
        <v>#N/A</v>
      </c>
      <c r="W51" s="11" t="e">
        <f>VLOOKUP($H51, SeanRanks!$A$2:$J$303, 7, FALSE)-V51</f>
        <v>#N/A</v>
      </c>
      <c r="X51" s="11"/>
    </row>
    <row r="52" spans="1:24" ht="14.25" customHeight="1" x14ac:dyDescent="0.25">
      <c r="A52" s="11"/>
      <c r="B52" s="11" t="e">
        <f t="shared" si="0"/>
        <v>#N/A</v>
      </c>
      <c r="C52" s="11" t="s">
        <v>148</v>
      </c>
      <c r="D52" s="11">
        <v>1</v>
      </c>
      <c r="E52" s="11">
        <v>1</v>
      </c>
      <c r="F52" s="11">
        <f t="shared" si="1"/>
        <v>0</v>
      </c>
      <c r="G52" s="11" t="s">
        <v>148</v>
      </c>
      <c r="H52" s="11" t="s">
        <v>936</v>
      </c>
      <c r="I52" s="11" t="e">
        <f>VLOOKUP($H52, 'ADP Data'!$B$4:$Q$300, 2, FALSE)</f>
        <v>#N/A</v>
      </c>
      <c r="J52" s="11" t="e">
        <f>VLOOKUP($H52, 'ADP Data'!$B$4:$Q$300, 3, FALSE)</f>
        <v>#N/A</v>
      </c>
      <c r="K52" s="11" t="s">
        <v>1187</v>
      </c>
      <c r="L52" s="11">
        <v>15</v>
      </c>
      <c r="M52" s="11">
        <f t="shared" si="2"/>
        <v>16</v>
      </c>
      <c r="N52" s="11" t="e">
        <f>VLOOKUP($H52, 'ADP Data'!$B$4:$Q$300, 11, FALSE)</f>
        <v>#N/A</v>
      </c>
      <c r="O52" s="11" t="e">
        <f>VLOOKUP($H52, 'ADP Data'!$B$4:$Q$300, 5, FALSE)</f>
        <v>#N/A</v>
      </c>
      <c r="P52" s="11" t="e">
        <f t="shared" si="3"/>
        <v>#N/A</v>
      </c>
      <c r="Q52" s="11" t="e">
        <f>VLOOKUP($H52, 'ADP Data'!$B$4:$Q$300, 6, FALSE)</f>
        <v>#N/A</v>
      </c>
      <c r="R52" s="11" t="e">
        <f>VLOOKUP($H52, 'ADP Data'!$B$4:$Q$300, 7, FALSE)</f>
        <v>#N/A</v>
      </c>
      <c r="S52" s="11" t="e">
        <f>VLOOKUP($H52, 'ADP Data'!$B$4:$Q$300, 8, FALSE)</f>
        <v>#N/A</v>
      </c>
      <c r="T52" s="11" t="e">
        <f>VLOOKUP($H52, 'ADP Data'!$B$4:$Q$300, 9, FALSE)</f>
        <v>#N/A</v>
      </c>
      <c r="U52" s="11" t="e">
        <f>VLOOKUP($H52, 'ADP Data'!$B$4:$Q$300, 10, FALSE)</f>
        <v>#N/A</v>
      </c>
      <c r="V52" s="11" t="e">
        <f t="shared" si="4"/>
        <v>#N/A</v>
      </c>
      <c r="W52" s="11" t="e">
        <f>VLOOKUP($H52, SeanRanks!$A$2:$J$303, 7, FALSE)-V52</f>
        <v>#N/A</v>
      </c>
      <c r="X52" s="11"/>
    </row>
    <row r="53" spans="1:24" ht="14.25" customHeight="1" x14ac:dyDescent="0.25">
      <c r="A53" s="11"/>
      <c r="B53" s="11" t="e">
        <f t="shared" si="0"/>
        <v>#N/A</v>
      </c>
      <c r="C53" s="11" t="s">
        <v>148</v>
      </c>
      <c r="D53" s="11"/>
      <c r="E53" s="11"/>
      <c r="F53" s="11">
        <f t="shared" si="1"/>
        <v>0</v>
      </c>
      <c r="G53" s="11"/>
      <c r="H53" s="11" t="s">
        <v>1188</v>
      </c>
      <c r="I53" s="11" t="e">
        <f>VLOOKUP($H53, 'ADP Data'!$B$4:$Q$300, 2, FALSE)</f>
        <v>#N/A</v>
      </c>
      <c r="J53" s="11" t="e">
        <f>VLOOKUP($H53, 'ADP Data'!$B$4:$Q$300, 3, FALSE)</f>
        <v>#N/A</v>
      </c>
      <c r="K53" s="11" t="s">
        <v>1186</v>
      </c>
      <c r="L53" s="11" t="e">
        <f>VLOOKUP($H53, SeanRanks!$A$2:$H$303, 5, FALSE)</f>
        <v>#N/A</v>
      </c>
      <c r="M53" s="11">
        <f t="shared" si="2"/>
        <v>16</v>
      </c>
      <c r="N53" s="11" t="e">
        <f>VLOOKUP($H53, 'ADP Data'!$B$4:$Q$300, 11, FALSE)</f>
        <v>#N/A</v>
      </c>
      <c r="O53" s="11" t="e">
        <f>VLOOKUP($H53, 'ADP Data'!$B$4:$Q$300, 5, FALSE)</f>
        <v>#N/A</v>
      </c>
      <c r="P53" s="11" t="e">
        <f t="shared" si="3"/>
        <v>#N/A</v>
      </c>
      <c r="Q53" s="11" t="e">
        <f>VLOOKUP($H53, 'ADP Data'!$B$4:$Q$300, 6, FALSE)</f>
        <v>#N/A</v>
      </c>
      <c r="R53" s="11" t="e">
        <f>VLOOKUP($H53, 'ADP Data'!$B$4:$Q$300, 7, FALSE)</f>
        <v>#N/A</v>
      </c>
      <c r="S53" s="11" t="e">
        <f>VLOOKUP($H53, 'ADP Data'!$B$4:$Q$300, 8, FALSE)</f>
        <v>#N/A</v>
      </c>
      <c r="T53" s="11" t="e">
        <f>VLOOKUP($H53, 'ADP Data'!$B$4:$Q$300, 9, FALSE)</f>
        <v>#N/A</v>
      </c>
      <c r="U53" s="11" t="e">
        <f>VLOOKUP($H53, 'ADP Data'!$B$4:$Q$300, 10, FALSE)</f>
        <v>#N/A</v>
      </c>
      <c r="V53" s="11" t="e">
        <f t="shared" si="4"/>
        <v>#N/A</v>
      </c>
      <c r="W53" s="11" t="e">
        <f>VLOOKUP($H53, SeanRanks!$A$2:$J$303, 7, FALSE)-V53</f>
        <v>#N/A</v>
      </c>
      <c r="X53" s="11"/>
    </row>
    <row r="54" spans="1:24" ht="14.25" customHeight="1" x14ac:dyDescent="0.25">
      <c r="A54" s="11"/>
      <c r="B54" s="11" t="e">
        <f t="shared" si="0"/>
        <v>#N/A</v>
      </c>
      <c r="C54" s="11" t="s">
        <v>148</v>
      </c>
      <c r="D54" s="11">
        <v>38</v>
      </c>
      <c r="E54" s="60">
        <v>38</v>
      </c>
      <c r="F54" s="11">
        <f t="shared" si="1"/>
        <v>0</v>
      </c>
      <c r="G54" s="60"/>
      <c r="H54" s="60" t="s">
        <v>77</v>
      </c>
      <c r="I54" s="60" t="e">
        <f>VLOOKUP($H54, 'ADP Data'!$B$4:$Q$300, 2, FALSE)</f>
        <v>#N/A</v>
      </c>
      <c r="J54" s="60" t="e">
        <f>VLOOKUP($H54, 'ADP Data'!$B$4:$Q$300, 3, FALSE)</f>
        <v>#N/A</v>
      </c>
      <c r="K54" s="60">
        <f>VLOOKUP($H54, SeanRanks!$A$2:$H$303, 4, FALSE)</f>
        <v>0</v>
      </c>
      <c r="L54" s="11">
        <f>VLOOKUP($H54, SeanRanks!$A$2:$H$303, 5, FALSE)</f>
        <v>0</v>
      </c>
      <c r="M54" s="11">
        <f t="shared" si="2"/>
        <v>16</v>
      </c>
      <c r="N54" s="11" t="e">
        <f>VLOOKUP($H54, 'ADP Data'!$B$4:$Q$300, 11, FALSE)</f>
        <v>#N/A</v>
      </c>
      <c r="O54" s="11" t="e">
        <f>VLOOKUP($H54, 'ADP Data'!$B$4:$Q$300, 5, FALSE)</f>
        <v>#N/A</v>
      </c>
      <c r="P54" s="11" t="e">
        <f t="shared" si="3"/>
        <v>#N/A</v>
      </c>
      <c r="Q54" s="11" t="e">
        <f>VLOOKUP($H54, 'ADP Data'!$B$4:$Q$300, 6, FALSE)</f>
        <v>#N/A</v>
      </c>
      <c r="R54" s="11" t="e">
        <f>VLOOKUP($H54, 'ADP Data'!$B$4:$Q$300, 7, FALSE)</f>
        <v>#N/A</v>
      </c>
      <c r="S54" s="11" t="e">
        <f>VLOOKUP($H54, 'ADP Data'!$B$4:$Q$300, 8, FALSE)</f>
        <v>#N/A</v>
      </c>
      <c r="T54" s="11" t="e">
        <f>VLOOKUP($H54, 'ADP Data'!$B$4:$Q$300, 9, FALSE)</f>
        <v>#N/A</v>
      </c>
      <c r="U54" s="11" t="e">
        <f>VLOOKUP($H54, 'ADP Data'!$B$4:$Q$300, 10, FALSE)</f>
        <v>#N/A</v>
      </c>
      <c r="V54" s="11" t="e">
        <f t="shared" si="4"/>
        <v>#N/A</v>
      </c>
      <c r="W54" s="11" t="e">
        <f>VLOOKUP($H54, SeanRanks!$A$2:$J$303, 7, FALSE)-V54</f>
        <v>#N/A</v>
      </c>
      <c r="X54" s="60"/>
    </row>
    <row r="55" spans="1:24" ht="14.25" customHeight="1" x14ac:dyDescent="0.25">
      <c r="A55" s="11"/>
      <c r="B55" s="11" t="e">
        <f t="shared" si="0"/>
        <v>#N/A</v>
      </c>
      <c r="C55" s="11" t="s">
        <v>148</v>
      </c>
      <c r="D55" s="11">
        <v>15</v>
      </c>
      <c r="E55" s="60">
        <v>15</v>
      </c>
      <c r="F55" s="11">
        <f t="shared" si="1"/>
        <v>0</v>
      </c>
      <c r="G55" s="60" t="s">
        <v>119</v>
      </c>
      <c r="H55" s="60" t="s">
        <v>248</v>
      </c>
      <c r="I55" s="60" t="e">
        <f>VLOOKUP($H55, 'ADP Data'!$B$4:$Q$300, 2, FALSE)</f>
        <v>#N/A</v>
      </c>
      <c r="J55" s="60" t="e">
        <f>VLOOKUP($H55, 'ADP Data'!$B$4:$Q$300, 3, FALSE)</f>
        <v>#N/A</v>
      </c>
      <c r="K55" s="60">
        <f>VLOOKUP($H55, SeanRanks!$A$2:$H$303, 4, FALSE)</f>
        <v>0</v>
      </c>
      <c r="L55" s="60">
        <f>VLOOKUP($H55, SeanRanks!$A$2:$H$303, 5, FALSE)</f>
        <v>0</v>
      </c>
      <c r="M55" s="11">
        <f t="shared" si="2"/>
        <v>16</v>
      </c>
      <c r="N55" s="11" t="e">
        <f>VLOOKUP($H55, 'ADP Data'!$B$4:$Q$300, 11, FALSE)</f>
        <v>#N/A</v>
      </c>
      <c r="O55" s="11" t="e">
        <f>VLOOKUP($H55, 'ADP Data'!$B$4:$Q$300, 5, FALSE)</f>
        <v>#N/A</v>
      </c>
      <c r="P55" s="11" t="e">
        <f t="shared" si="3"/>
        <v>#N/A</v>
      </c>
      <c r="Q55" s="11" t="e">
        <f>VLOOKUP($H55, 'ADP Data'!$B$4:$Q$300, 6, FALSE)</f>
        <v>#N/A</v>
      </c>
      <c r="R55" s="11" t="e">
        <f>VLOOKUP($H55, 'ADP Data'!$B$4:$Q$300, 7, FALSE)</f>
        <v>#N/A</v>
      </c>
      <c r="S55" s="11" t="e">
        <f>VLOOKUP($H55, 'ADP Data'!$B$4:$Q$300, 8, FALSE)</f>
        <v>#N/A</v>
      </c>
      <c r="T55" s="11" t="e">
        <f>VLOOKUP($H55, 'ADP Data'!$B$4:$Q$300, 9, FALSE)</f>
        <v>#N/A</v>
      </c>
      <c r="U55" s="11" t="e">
        <f>VLOOKUP($H55, 'ADP Data'!$B$4:$Q$300, 10, FALSE)</f>
        <v>#N/A</v>
      </c>
      <c r="V55" s="11" t="e">
        <f t="shared" si="4"/>
        <v>#N/A</v>
      </c>
      <c r="W55" s="11" t="e">
        <f>VLOOKUP($H55, SeanRanks!$A$2:$J$303, 7, FALSE)-V55</f>
        <v>#N/A</v>
      </c>
      <c r="X55" s="60" t="s">
        <v>1189</v>
      </c>
    </row>
    <row r="56" spans="1:24" ht="14.25" customHeight="1" x14ac:dyDescent="0.25">
      <c r="A56" s="11"/>
      <c r="B56" s="11" t="e">
        <f t="shared" si="0"/>
        <v>#N/A</v>
      </c>
      <c r="C56" s="11" t="s">
        <v>148</v>
      </c>
      <c r="D56" s="11">
        <v>1</v>
      </c>
      <c r="E56" s="11">
        <v>1</v>
      </c>
      <c r="F56" s="11">
        <f t="shared" si="1"/>
        <v>0</v>
      </c>
      <c r="G56" s="11"/>
      <c r="H56" s="11" t="s">
        <v>266</v>
      </c>
      <c r="I56" s="11" t="e">
        <f>VLOOKUP($H56, 'ADP Data'!$B$4:$Q$300, 2, FALSE)</f>
        <v>#N/A</v>
      </c>
      <c r="J56" s="11" t="e">
        <f>VLOOKUP($H56, 'ADP Data'!$B$4:$Q$300, 3, FALSE)</f>
        <v>#N/A</v>
      </c>
      <c r="K56" s="11" t="s">
        <v>1172</v>
      </c>
      <c r="L56" s="11">
        <v>18</v>
      </c>
      <c r="M56" s="11">
        <f t="shared" si="2"/>
        <v>16</v>
      </c>
      <c r="N56" s="11" t="e">
        <f>VLOOKUP($H56, 'ADP Data'!$B$4:$Q$300, 11, FALSE)</f>
        <v>#N/A</v>
      </c>
      <c r="O56" s="11" t="e">
        <f>VLOOKUP($H56, 'ADP Data'!$B$4:$Q$300, 5, FALSE)</f>
        <v>#N/A</v>
      </c>
      <c r="P56" s="11" t="e">
        <f t="shared" si="3"/>
        <v>#N/A</v>
      </c>
      <c r="Q56" s="11" t="e">
        <f>VLOOKUP($H56, 'ADP Data'!$B$4:$Q$300, 6, FALSE)</f>
        <v>#N/A</v>
      </c>
      <c r="R56" s="11" t="e">
        <f>VLOOKUP($H56, 'ADP Data'!$B$4:$Q$300, 7, FALSE)</f>
        <v>#N/A</v>
      </c>
      <c r="S56" s="11" t="e">
        <f>VLOOKUP($H56, 'ADP Data'!$B$4:$Q$300, 8, FALSE)</f>
        <v>#N/A</v>
      </c>
      <c r="T56" s="11" t="e">
        <f>VLOOKUP($H56, 'ADP Data'!$B$4:$Q$300, 9, FALSE)</f>
        <v>#N/A</v>
      </c>
      <c r="U56" s="11" t="e">
        <f>VLOOKUP($H56, 'ADP Data'!$B$4:$Q$300, 10, FALSE)</f>
        <v>#N/A</v>
      </c>
      <c r="V56" s="11" t="e">
        <f t="shared" si="4"/>
        <v>#N/A</v>
      </c>
      <c r="W56" s="11" t="e">
        <f>VLOOKUP($H56, SeanRanks!$A$2:$J$303, 7, FALSE)-V56</f>
        <v>#N/A</v>
      </c>
      <c r="X56" s="11"/>
    </row>
    <row r="57" spans="1:24" ht="14.25" customHeight="1" x14ac:dyDescent="0.25">
      <c r="A57" s="11"/>
      <c r="B57" s="11" t="e">
        <f t="shared" si="0"/>
        <v>#N/A</v>
      </c>
      <c r="C57" s="11" t="s">
        <v>148</v>
      </c>
      <c r="D57" s="11"/>
      <c r="E57" s="11"/>
      <c r="F57" s="11">
        <f t="shared" si="1"/>
        <v>0</v>
      </c>
      <c r="G57" s="11" t="s">
        <v>148</v>
      </c>
      <c r="H57" s="11" t="s">
        <v>934</v>
      </c>
      <c r="I57" s="11" t="e">
        <f>VLOOKUP($H57, 'ADP Data'!$B$4:$Q$300, 2, FALSE)</f>
        <v>#N/A</v>
      </c>
      <c r="J57" s="11" t="e">
        <f>VLOOKUP($H57, 'ADP Data'!$B$4:$Q$300, 3, FALSE)</f>
        <v>#N/A</v>
      </c>
      <c r="K57" s="11" t="s">
        <v>1190</v>
      </c>
      <c r="L57" s="11" t="e">
        <f>VLOOKUP($H57, SeanRanks!$A$2:$H$303, 5, FALSE)</f>
        <v>#N/A</v>
      </c>
      <c r="M57" s="11">
        <f t="shared" si="2"/>
        <v>16</v>
      </c>
      <c r="N57" s="11" t="e">
        <f>VLOOKUP($H57, 'ADP Data'!$B$4:$Q$300, 11, FALSE)</f>
        <v>#N/A</v>
      </c>
      <c r="O57" s="11" t="e">
        <f>VLOOKUP($H57, 'ADP Data'!$B$4:$Q$300, 5, FALSE)</f>
        <v>#N/A</v>
      </c>
      <c r="P57" s="11" t="e">
        <f t="shared" si="3"/>
        <v>#N/A</v>
      </c>
      <c r="Q57" s="11" t="e">
        <f>VLOOKUP($H57, 'ADP Data'!$B$4:$Q$300, 6, FALSE)</f>
        <v>#N/A</v>
      </c>
      <c r="R57" s="11" t="e">
        <f>VLOOKUP($H57, 'ADP Data'!$B$4:$Q$300, 7, FALSE)</f>
        <v>#N/A</v>
      </c>
      <c r="S57" s="11" t="e">
        <f>VLOOKUP($H57, 'ADP Data'!$B$4:$Q$300, 8, FALSE)</f>
        <v>#N/A</v>
      </c>
      <c r="T57" s="11" t="e">
        <f>VLOOKUP($H57, 'ADP Data'!$B$4:$Q$300, 9, FALSE)</f>
        <v>#N/A</v>
      </c>
      <c r="U57" s="11" t="e">
        <f>VLOOKUP($H57, 'ADP Data'!$B$4:$Q$300, 10, FALSE)</f>
        <v>#N/A</v>
      </c>
      <c r="V57" s="11" t="e">
        <f t="shared" si="4"/>
        <v>#N/A</v>
      </c>
      <c r="W57" s="11" t="e">
        <f>VLOOKUP($H57, SeanRanks!$A$2:$J$303, 7, FALSE)-V57</f>
        <v>#N/A</v>
      </c>
      <c r="X57" s="11"/>
    </row>
    <row r="58" spans="1:24" ht="14.25" customHeight="1" x14ac:dyDescent="0.25">
      <c r="A58" s="11"/>
      <c r="B58" s="11" t="e">
        <f t="shared" si="0"/>
        <v>#N/A</v>
      </c>
      <c r="C58" s="11" t="s">
        <v>148</v>
      </c>
      <c r="D58" s="11"/>
      <c r="E58" s="11"/>
      <c r="F58" s="11">
        <f t="shared" si="1"/>
        <v>0</v>
      </c>
      <c r="G58" s="11"/>
      <c r="H58" s="11" t="s">
        <v>1191</v>
      </c>
      <c r="I58" s="11" t="e">
        <f>VLOOKUP($H58, 'ADP Data'!$B$4:$Q$300, 2, FALSE)</f>
        <v>#N/A</v>
      </c>
      <c r="J58" s="11" t="e">
        <f>VLOOKUP($H58, 'ADP Data'!$B$4:$Q$300, 3, FALSE)</f>
        <v>#N/A</v>
      </c>
      <c r="K58" s="11" t="s">
        <v>1172</v>
      </c>
      <c r="L58" s="11">
        <v>19</v>
      </c>
      <c r="M58" s="11">
        <f t="shared" si="2"/>
        <v>16</v>
      </c>
      <c r="N58" s="11" t="e">
        <f>VLOOKUP($H58, 'ADP Data'!$B$4:$Q$300, 11, FALSE)</f>
        <v>#N/A</v>
      </c>
      <c r="O58" s="11" t="e">
        <f>VLOOKUP($H58, 'ADP Data'!$B$4:$Q$300, 5, FALSE)</f>
        <v>#N/A</v>
      </c>
      <c r="P58" s="11" t="e">
        <f t="shared" si="3"/>
        <v>#N/A</v>
      </c>
      <c r="Q58" s="11" t="e">
        <f>VLOOKUP($H58, 'ADP Data'!$B$4:$Q$300, 6, FALSE)</f>
        <v>#N/A</v>
      </c>
      <c r="R58" s="11" t="e">
        <f>VLOOKUP($H58, 'ADP Data'!$B$4:$Q$300, 7, FALSE)</f>
        <v>#N/A</v>
      </c>
      <c r="S58" s="11" t="e">
        <f>VLOOKUP($H58, 'ADP Data'!$B$4:$Q$300, 8, FALSE)</f>
        <v>#N/A</v>
      </c>
      <c r="T58" s="11" t="e">
        <f>VLOOKUP($H58, 'ADP Data'!$B$4:$Q$300, 9, FALSE)</f>
        <v>#N/A</v>
      </c>
      <c r="U58" s="11" t="e">
        <f>VLOOKUP($H58, 'ADP Data'!$B$4:$Q$300, 10, FALSE)</f>
        <v>#N/A</v>
      </c>
      <c r="V58" s="11" t="e">
        <f t="shared" si="4"/>
        <v>#N/A</v>
      </c>
      <c r="W58" s="11" t="e">
        <f>VLOOKUP($H58, SeanRanks!$A$2:$J$303, 7, FALSE)-V58</f>
        <v>#N/A</v>
      </c>
      <c r="X58" s="11"/>
    </row>
    <row r="59" spans="1:24" ht="14.25" customHeight="1" x14ac:dyDescent="0.25">
      <c r="A59" s="11"/>
      <c r="B59" s="11" t="e">
        <f t="shared" si="0"/>
        <v>#N/A</v>
      </c>
      <c r="C59" s="11" t="s">
        <v>148</v>
      </c>
      <c r="D59" s="11"/>
      <c r="E59" s="11"/>
      <c r="F59" s="11">
        <f t="shared" si="1"/>
        <v>0</v>
      </c>
      <c r="G59" s="11"/>
      <c r="H59" s="11" t="s">
        <v>994</v>
      </c>
      <c r="I59" s="11" t="e">
        <f>VLOOKUP($H59, 'ADP Data'!$B$4:$Q$300, 2, FALSE)</f>
        <v>#N/A</v>
      </c>
      <c r="J59" s="11" t="e">
        <f>VLOOKUP($H59, 'ADP Data'!$B$4:$Q$300, 3, FALSE)</f>
        <v>#N/A</v>
      </c>
      <c r="K59" s="11" t="s">
        <v>1190</v>
      </c>
      <c r="L59" s="11">
        <f>VLOOKUP($H59, SeanRanks!$A$2:$H$303, 5, FALSE)</f>
        <v>0</v>
      </c>
      <c r="M59" s="11">
        <f t="shared" si="2"/>
        <v>16</v>
      </c>
      <c r="N59" s="11" t="e">
        <f>VLOOKUP($H59, 'ADP Data'!$B$4:$Q$300, 11, FALSE)</f>
        <v>#N/A</v>
      </c>
      <c r="O59" s="11" t="e">
        <f>VLOOKUP($H59, 'ADP Data'!$B$4:$Q$300, 5, FALSE)</f>
        <v>#N/A</v>
      </c>
      <c r="P59" s="11" t="e">
        <f t="shared" si="3"/>
        <v>#N/A</v>
      </c>
      <c r="Q59" s="11" t="e">
        <f>VLOOKUP($H59, 'ADP Data'!$B$4:$Q$300, 6, FALSE)</f>
        <v>#N/A</v>
      </c>
      <c r="R59" s="11" t="e">
        <f>VLOOKUP($H59, 'ADP Data'!$B$4:$Q$300, 7, FALSE)</f>
        <v>#N/A</v>
      </c>
      <c r="S59" s="11" t="e">
        <f>VLOOKUP($H59, 'ADP Data'!$B$4:$Q$300, 8, FALSE)</f>
        <v>#N/A</v>
      </c>
      <c r="T59" s="11" t="e">
        <f>VLOOKUP($H59, 'ADP Data'!$B$4:$Q$300, 9, FALSE)</f>
        <v>#N/A</v>
      </c>
      <c r="U59" s="11" t="e">
        <f>VLOOKUP($H59, 'ADP Data'!$B$4:$Q$300, 10, FALSE)</f>
        <v>#N/A</v>
      </c>
      <c r="V59" s="11" t="e">
        <f t="shared" si="4"/>
        <v>#N/A</v>
      </c>
      <c r="W59" s="11" t="e">
        <f>VLOOKUP($H59, SeanRanks!$A$2:$J$303, 7, FALSE)-V59</f>
        <v>#N/A</v>
      </c>
      <c r="X59" s="11"/>
    </row>
    <row r="60" spans="1:24" ht="14.25" customHeight="1" x14ac:dyDescent="0.25">
      <c r="A60" s="11"/>
      <c r="B60" s="11" t="e">
        <f t="shared" si="0"/>
        <v>#N/A</v>
      </c>
      <c r="C60" s="11" t="s">
        <v>148</v>
      </c>
      <c r="D60" s="11"/>
      <c r="E60" s="11"/>
      <c r="F60" s="11">
        <f t="shared" si="1"/>
        <v>0</v>
      </c>
      <c r="G60" s="11"/>
      <c r="H60" s="11" t="s">
        <v>1192</v>
      </c>
      <c r="I60" s="11" t="e">
        <f>VLOOKUP($H60, 'ADP Data'!$B$4:$Q$300, 2, FALSE)</f>
        <v>#N/A</v>
      </c>
      <c r="J60" s="11" t="e">
        <f>VLOOKUP($H60, 'ADP Data'!$B$4:$Q$300, 3, FALSE)</f>
        <v>#N/A</v>
      </c>
      <c r="K60" s="11" t="s">
        <v>1172</v>
      </c>
      <c r="L60" s="11">
        <v>20</v>
      </c>
      <c r="M60" s="11">
        <f t="shared" si="2"/>
        <v>16</v>
      </c>
      <c r="N60" s="11" t="e">
        <f>VLOOKUP($H60, 'ADP Data'!$B$4:$Q$300, 11, FALSE)</f>
        <v>#N/A</v>
      </c>
      <c r="O60" s="11" t="e">
        <f>VLOOKUP($H60, 'ADP Data'!$B$4:$Q$300, 5, FALSE)</f>
        <v>#N/A</v>
      </c>
      <c r="P60" s="11" t="e">
        <f t="shared" si="3"/>
        <v>#N/A</v>
      </c>
      <c r="Q60" s="11" t="e">
        <f>VLOOKUP($H60, 'ADP Data'!$B$4:$Q$300, 6, FALSE)</f>
        <v>#N/A</v>
      </c>
      <c r="R60" s="11" t="e">
        <f>VLOOKUP($H60, 'ADP Data'!$B$4:$Q$300, 7, FALSE)</f>
        <v>#N/A</v>
      </c>
      <c r="S60" s="11" t="e">
        <f>VLOOKUP($H60, 'ADP Data'!$B$4:$Q$300, 8, FALSE)</f>
        <v>#N/A</v>
      </c>
      <c r="T60" s="11" t="e">
        <f>VLOOKUP($H60, 'ADP Data'!$B$4:$Q$300, 9, FALSE)</f>
        <v>#N/A</v>
      </c>
      <c r="U60" s="11" t="e">
        <f>VLOOKUP($H60, 'ADP Data'!$B$4:$Q$300, 10, FALSE)</f>
        <v>#N/A</v>
      </c>
      <c r="V60" s="11" t="e">
        <f t="shared" si="4"/>
        <v>#N/A</v>
      </c>
      <c r="W60" s="11" t="e">
        <f>VLOOKUP($H60, SeanRanks!$A$2:$J$303, 7, FALSE)-V60</f>
        <v>#N/A</v>
      </c>
      <c r="X60" s="11"/>
    </row>
    <row r="61" spans="1:24" ht="14.25" customHeight="1" x14ac:dyDescent="0.25">
      <c r="A61" s="11"/>
      <c r="B61" s="11" t="e">
        <f t="shared" si="0"/>
        <v>#N/A</v>
      </c>
      <c r="C61" s="11" t="s">
        <v>148</v>
      </c>
      <c r="D61" s="11"/>
      <c r="E61" s="11"/>
      <c r="F61" s="11">
        <f t="shared" si="1"/>
        <v>0</v>
      </c>
      <c r="G61" s="11"/>
      <c r="H61" s="11" t="s">
        <v>1193</v>
      </c>
      <c r="I61" s="11" t="e">
        <f>VLOOKUP($H61, 'ADP Data'!$B$4:$Q$300, 2, FALSE)</f>
        <v>#N/A</v>
      </c>
      <c r="J61" s="11" t="e">
        <f>VLOOKUP($H61, 'ADP Data'!$B$4:$Q$300, 3, FALSE)</f>
        <v>#N/A</v>
      </c>
      <c r="K61" s="11" t="s">
        <v>1194</v>
      </c>
      <c r="L61" s="11">
        <v>21</v>
      </c>
      <c r="M61" s="11">
        <f t="shared" si="2"/>
        <v>16</v>
      </c>
      <c r="N61" s="11" t="e">
        <f>VLOOKUP($H61, 'ADP Data'!$B$4:$Q$300, 11, FALSE)</f>
        <v>#N/A</v>
      </c>
      <c r="O61" s="11" t="e">
        <f>VLOOKUP($H61, 'ADP Data'!$B$4:$Q$300, 5, FALSE)</f>
        <v>#N/A</v>
      </c>
      <c r="P61" s="11" t="e">
        <f t="shared" si="3"/>
        <v>#N/A</v>
      </c>
      <c r="Q61" s="11" t="e">
        <f>VLOOKUP($H61, 'ADP Data'!$B$4:$Q$300, 6, FALSE)</f>
        <v>#N/A</v>
      </c>
      <c r="R61" s="11" t="e">
        <f>VLOOKUP($H61, 'ADP Data'!$B$4:$Q$300, 7, FALSE)</f>
        <v>#N/A</v>
      </c>
      <c r="S61" s="11" t="e">
        <f>VLOOKUP($H61, 'ADP Data'!$B$4:$Q$300, 8, FALSE)</f>
        <v>#N/A</v>
      </c>
      <c r="T61" s="11" t="e">
        <f>VLOOKUP($H61, 'ADP Data'!$B$4:$Q$300, 9, FALSE)</f>
        <v>#N/A</v>
      </c>
      <c r="U61" s="11" t="e">
        <f>VLOOKUP($H61, 'ADP Data'!$B$4:$Q$300, 10, FALSE)</f>
        <v>#N/A</v>
      </c>
      <c r="V61" s="11" t="e">
        <f t="shared" si="4"/>
        <v>#N/A</v>
      </c>
      <c r="W61" s="11" t="e">
        <f>VLOOKUP($H61, SeanRanks!$A$2:$J$303, 7, FALSE)-V61</f>
        <v>#N/A</v>
      </c>
      <c r="X61" s="11"/>
    </row>
    <row r="62" spans="1:24" ht="14.25" customHeight="1" x14ac:dyDescent="0.25">
      <c r="A62" s="11"/>
      <c r="B62" s="11" t="e">
        <f t="shared" si="0"/>
        <v>#N/A</v>
      </c>
      <c r="C62" s="11" t="s">
        <v>148</v>
      </c>
      <c r="D62" s="11"/>
      <c r="E62" s="11"/>
      <c r="F62" s="11">
        <f t="shared" si="1"/>
        <v>0</v>
      </c>
      <c r="G62" s="11"/>
      <c r="H62" s="11" t="s">
        <v>836</v>
      </c>
      <c r="I62" s="11" t="e">
        <f>VLOOKUP($H62, 'ADP Data'!$B$4:$Q$300, 2, FALSE)</f>
        <v>#N/A</v>
      </c>
      <c r="J62" s="11" t="e">
        <f>VLOOKUP($H62, 'ADP Data'!$B$4:$Q$300, 3, FALSE)</f>
        <v>#N/A</v>
      </c>
      <c r="K62" s="11" t="s">
        <v>1194</v>
      </c>
      <c r="L62" s="11">
        <v>23</v>
      </c>
      <c r="M62" s="11">
        <f t="shared" si="2"/>
        <v>16</v>
      </c>
      <c r="N62" s="11" t="e">
        <f>VLOOKUP($H62, 'ADP Data'!$B$4:$Q$300, 11, FALSE)</f>
        <v>#N/A</v>
      </c>
      <c r="O62" s="11" t="e">
        <f>VLOOKUP($H62, 'ADP Data'!$B$4:$Q$300, 5, FALSE)</f>
        <v>#N/A</v>
      </c>
      <c r="P62" s="11" t="e">
        <f t="shared" si="3"/>
        <v>#N/A</v>
      </c>
      <c r="Q62" s="11" t="e">
        <f>VLOOKUP($H62, 'ADP Data'!$B$4:$Q$300, 6, FALSE)</f>
        <v>#N/A</v>
      </c>
      <c r="R62" s="11" t="e">
        <f>VLOOKUP($H62, 'ADP Data'!$B$4:$Q$300, 7, FALSE)</f>
        <v>#N/A</v>
      </c>
      <c r="S62" s="11" t="e">
        <f>VLOOKUP($H62, 'ADP Data'!$B$4:$Q$300, 8, FALSE)</f>
        <v>#N/A</v>
      </c>
      <c r="T62" s="11" t="e">
        <f>VLOOKUP($H62, 'ADP Data'!$B$4:$Q$300, 9, FALSE)</f>
        <v>#N/A</v>
      </c>
      <c r="U62" s="11" t="e">
        <f>VLOOKUP($H62, 'ADP Data'!$B$4:$Q$300, 10, FALSE)</f>
        <v>#N/A</v>
      </c>
      <c r="V62" s="11" t="e">
        <f t="shared" si="4"/>
        <v>#N/A</v>
      </c>
      <c r="W62" s="11" t="e">
        <f>VLOOKUP($H62, SeanRanks!$A$2:$J$303, 7, FALSE)-V62</f>
        <v>#N/A</v>
      </c>
      <c r="X62" s="11"/>
    </row>
    <row r="63" spans="1:24" ht="14.25" customHeight="1" x14ac:dyDescent="0.25">
      <c r="A63" s="11"/>
      <c r="B63" s="11" t="e">
        <f t="shared" si="0"/>
        <v>#N/A</v>
      </c>
      <c r="C63" s="11" t="s">
        <v>148</v>
      </c>
      <c r="D63" s="11"/>
      <c r="E63" s="11"/>
      <c r="F63" s="11">
        <f t="shared" si="1"/>
        <v>0</v>
      </c>
      <c r="G63" s="11"/>
      <c r="H63" s="11" t="s">
        <v>1195</v>
      </c>
      <c r="I63" s="11" t="e">
        <f>VLOOKUP($H63, 'ADP Data'!$B$4:$Q$300, 2, FALSE)</f>
        <v>#N/A</v>
      </c>
      <c r="J63" s="11" t="e">
        <f>VLOOKUP($H63, 'ADP Data'!$B$4:$Q$300, 3, FALSE)</f>
        <v>#N/A</v>
      </c>
      <c r="K63" s="11" t="s">
        <v>1196</v>
      </c>
      <c r="L63" s="11">
        <v>23</v>
      </c>
      <c r="M63" s="11">
        <f t="shared" si="2"/>
        <v>16</v>
      </c>
      <c r="N63" s="11" t="e">
        <f>VLOOKUP($H63, 'ADP Data'!$B$4:$Q$300, 11, FALSE)</f>
        <v>#N/A</v>
      </c>
      <c r="O63" s="11" t="e">
        <f>VLOOKUP($H63, 'ADP Data'!$B$4:$Q$300, 5, FALSE)</f>
        <v>#N/A</v>
      </c>
      <c r="P63" s="11" t="e">
        <f t="shared" si="3"/>
        <v>#N/A</v>
      </c>
      <c r="Q63" s="11" t="e">
        <f>VLOOKUP($H63, 'ADP Data'!$B$4:$Q$300, 6, FALSE)</f>
        <v>#N/A</v>
      </c>
      <c r="R63" s="11" t="e">
        <f>VLOOKUP($H63, 'ADP Data'!$B$4:$Q$300, 7, FALSE)</f>
        <v>#N/A</v>
      </c>
      <c r="S63" s="11" t="e">
        <f>VLOOKUP($H63, 'ADP Data'!$B$4:$Q$300, 8, FALSE)</f>
        <v>#N/A</v>
      </c>
      <c r="T63" s="11" t="e">
        <f>VLOOKUP($H63, 'ADP Data'!$B$4:$Q$300, 9, FALSE)</f>
        <v>#N/A</v>
      </c>
      <c r="U63" s="11" t="e">
        <f>VLOOKUP($H63, 'ADP Data'!$B$4:$Q$300, 10, FALSE)</f>
        <v>#N/A</v>
      </c>
      <c r="V63" s="11" t="e">
        <f t="shared" si="4"/>
        <v>#N/A</v>
      </c>
      <c r="W63" s="11" t="e">
        <f>VLOOKUP($H63, SeanRanks!$A$2:$J$303, 7, FALSE)-V63</f>
        <v>#N/A</v>
      </c>
      <c r="X63" s="11"/>
    </row>
    <row r="64" spans="1:24" ht="14.25" customHeight="1" x14ac:dyDescent="0.25">
      <c r="A64" s="11"/>
      <c r="B64" s="11" t="e">
        <f t="shared" si="0"/>
        <v>#N/A</v>
      </c>
      <c r="C64" s="11" t="s">
        <v>148</v>
      </c>
      <c r="D64" s="11">
        <v>8</v>
      </c>
      <c r="E64" s="11">
        <v>8</v>
      </c>
      <c r="F64" s="11">
        <f t="shared" si="1"/>
        <v>0</v>
      </c>
      <c r="G64" s="11"/>
      <c r="H64" s="11" t="s">
        <v>1197</v>
      </c>
      <c r="I64" s="11" t="e">
        <f>VLOOKUP($H64, 'ADP Data'!$B$4:$Q$300, 2, FALSE)</f>
        <v>#N/A</v>
      </c>
      <c r="J64" s="11" t="e">
        <f>VLOOKUP($H64, 'ADP Data'!$B$4:$Q$300, 3, FALSE)</f>
        <v>#N/A</v>
      </c>
      <c r="K64" s="11" t="e">
        <f>VLOOKUP($H64, SeanRanks!$A$2:$H$303, 4, FALSE)</f>
        <v>#N/A</v>
      </c>
      <c r="L64" s="11" t="e">
        <f>VLOOKUP($H64, SeanRanks!$A$2:$H$303, 5, FALSE)</f>
        <v>#N/A</v>
      </c>
      <c r="M64" s="11">
        <f t="shared" si="2"/>
        <v>16</v>
      </c>
      <c r="N64" s="11" t="e">
        <f>VLOOKUP($H64, 'ADP Data'!$B$4:$Q$300, 11, FALSE)</f>
        <v>#N/A</v>
      </c>
      <c r="O64" s="11" t="e">
        <f>VLOOKUP($H64, 'ADP Data'!$B$4:$Q$300, 5, FALSE)</f>
        <v>#N/A</v>
      </c>
      <c r="P64" s="11" t="e">
        <f t="shared" si="3"/>
        <v>#N/A</v>
      </c>
      <c r="Q64" s="11" t="e">
        <f>VLOOKUP($H64, 'ADP Data'!$B$4:$Q$300, 6, FALSE)</f>
        <v>#N/A</v>
      </c>
      <c r="R64" s="11" t="e">
        <f>VLOOKUP($H64, 'ADP Data'!$B$4:$Q$300, 7, FALSE)</f>
        <v>#N/A</v>
      </c>
      <c r="S64" s="11" t="e">
        <f>VLOOKUP($H64, 'ADP Data'!$B$4:$Q$300, 8, FALSE)</f>
        <v>#N/A</v>
      </c>
      <c r="T64" s="11" t="e">
        <f>VLOOKUP($H64, 'ADP Data'!$B$4:$Q$300, 9, FALSE)</f>
        <v>#N/A</v>
      </c>
      <c r="U64" s="11" t="e">
        <f>VLOOKUP($H64, 'ADP Data'!$B$4:$Q$300, 10, FALSE)</f>
        <v>#N/A</v>
      </c>
      <c r="V64" s="11" t="e">
        <f t="shared" si="4"/>
        <v>#N/A</v>
      </c>
      <c r="W64" s="11" t="e">
        <f>VLOOKUP($H64, SeanRanks!$A$2:$J$303, 7, FALSE)-V64</f>
        <v>#N/A</v>
      </c>
      <c r="X64" s="11"/>
    </row>
    <row r="65" spans="1:24" ht="14.25" customHeight="1" x14ac:dyDescent="0.25">
      <c r="A65" s="11"/>
      <c r="B65" s="11" t="e">
        <f t="shared" si="0"/>
        <v>#N/A</v>
      </c>
      <c r="C65" s="11" t="s">
        <v>148</v>
      </c>
      <c r="D65" s="11"/>
      <c r="E65" s="11"/>
      <c r="F65" s="11">
        <f t="shared" si="1"/>
        <v>0</v>
      </c>
      <c r="G65" s="11"/>
      <c r="H65" s="11" t="s">
        <v>333</v>
      </c>
      <c r="I65" s="11" t="e">
        <f>VLOOKUP($H65, 'ADP Data'!$B$4:$Q$300, 2, FALSE)</f>
        <v>#N/A</v>
      </c>
      <c r="J65" s="11" t="e">
        <f>VLOOKUP($H65, 'ADP Data'!$B$4:$Q$300, 3, FALSE)</f>
        <v>#N/A</v>
      </c>
      <c r="K65" s="11" t="s">
        <v>1196</v>
      </c>
      <c r="L65" s="11">
        <v>24</v>
      </c>
      <c r="M65" s="11">
        <f t="shared" si="2"/>
        <v>16</v>
      </c>
      <c r="N65" s="11" t="e">
        <f>VLOOKUP($H65, 'ADP Data'!$B$4:$Q$300, 11, FALSE)</f>
        <v>#N/A</v>
      </c>
      <c r="O65" s="11" t="e">
        <f>VLOOKUP($H65, 'ADP Data'!$B$4:$Q$300, 5, FALSE)</f>
        <v>#N/A</v>
      </c>
      <c r="P65" s="11" t="e">
        <f t="shared" si="3"/>
        <v>#N/A</v>
      </c>
      <c r="Q65" s="11" t="e">
        <f>VLOOKUP($H65, 'ADP Data'!$B$4:$Q$300, 6, FALSE)</f>
        <v>#N/A</v>
      </c>
      <c r="R65" s="11" t="e">
        <f>VLOOKUP($H65, 'ADP Data'!$B$4:$Q$300, 7, FALSE)</f>
        <v>#N/A</v>
      </c>
      <c r="S65" s="11" t="e">
        <f>VLOOKUP($H65, 'ADP Data'!$B$4:$Q$300, 8, FALSE)</f>
        <v>#N/A</v>
      </c>
      <c r="T65" s="11" t="e">
        <f>VLOOKUP($H65, 'ADP Data'!$B$4:$Q$300, 9, FALSE)</f>
        <v>#N/A</v>
      </c>
      <c r="U65" s="11" t="e">
        <f>VLOOKUP($H65, 'ADP Data'!$B$4:$Q$300, 10, FALSE)</f>
        <v>#N/A</v>
      </c>
      <c r="V65" s="11" t="e">
        <f t="shared" si="4"/>
        <v>#N/A</v>
      </c>
      <c r="W65" s="11" t="e">
        <f>VLOOKUP($H65, SeanRanks!$A$2:$J$303, 7, FALSE)-V65</f>
        <v>#N/A</v>
      </c>
      <c r="X65" s="11"/>
    </row>
    <row r="66" spans="1:24" ht="14.25" customHeight="1" x14ac:dyDescent="0.25">
      <c r="A66" s="11"/>
      <c r="B66" s="11" t="e">
        <f t="shared" si="0"/>
        <v>#N/A</v>
      </c>
      <c r="C66" s="11" t="s">
        <v>148</v>
      </c>
      <c r="D66" s="11">
        <v>15</v>
      </c>
      <c r="E66" s="60">
        <v>15</v>
      </c>
      <c r="F66" s="11">
        <f t="shared" si="1"/>
        <v>0</v>
      </c>
      <c r="G66" s="60" t="s">
        <v>148</v>
      </c>
      <c r="H66" s="60" t="s">
        <v>1198</v>
      </c>
      <c r="I66" s="60" t="e">
        <f>VLOOKUP($H66, 'ADP Data'!$B$4:$Q$300, 2, FALSE)</f>
        <v>#N/A</v>
      </c>
      <c r="J66" s="60" t="e">
        <f>VLOOKUP($H66, 'ADP Data'!$B$4:$Q$300, 3, FALSE)</f>
        <v>#N/A</v>
      </c>
      <c r="K66" s="60" t="e">
        <f>VLOOKUP($H66, SeanRanks!$A$2:$H$303, 4, FALSE)</f>
        <v>#N/A</v>
      </c>
      <c r="L66" s="60" t="e">
        <f>VLOOKUP($H66, SeanRanks!$A$2:$H$303, 5, FALSE)</f>
        <v>#N/A</v>
      </c>
      <c r="M66" s="11">
        <f t="shared" si="2"/>
        <v>16</v>
      </c>
      <c r="N66" s="11" t="e">
        <f>VLOOKUP($H66, 'ADP Data'!$B$4:$Q$300, 11, FALSE)</f>
        <v>#N/A</v>
      </c>
      <c r="O66" s="11" t="e">
        <f>VLOOKUP($H66, 'ADP Data'!$B$4:$Q$300, 5, FALSE)</f>
        <v>#N/A</v>
      </c>
      <c r="P66" s="11" t="e">
        <f t="shared" si="3"/>
        <v>#N/A</v>
      </c>
      <c r="Q66" s="11" t="e">
        <f>VLOOKUP($H66, 'ADP Data'!$B$4:$Q$300, 6, FALSE)</f>
        <v>#N/A</v>
      </c>
      <c r="R66" s="11" t="e">
        <f>VLOOKUP($H66, 'ADP Data'!$B$4:$Q$300, 7, FALSE)</f>
        <v>#N/A</v>
      </c>
      <c r="S66" s="11" t="e">
        <f>VLOOKUP($H66, 'ADP Data'!$B$4:$Q$300, 8, FALSE)</f>
        <v>#N/A</v>
      </c>
      <c r="T66" s="11" t="e">
        <f>VLOOKUP($H66, 'ADP Data'!$B$4:$Q$300, 9, FALSE)</f>
        <v>#N/A</v>
      </c>
      <c r="U66" s="11" t="e">
        <f>VLOOKUP($H66, 'ADP Data'!$B$4:$Q$300, 10, FALSE)</f>
        <v>#N/A</v>
      </c>
      <c r="V66" s="11" t="e">
        <f t="shared" si="4"/>
        <v>#N/A</v>
      </c>
      <c r="W66" s="11" t="e">
        <f>VLOOKUP($H66, SeanRanks!$A$2:$J$303, 7, FALSE)-V66</f>
        <v>#N/A</v>
      </c>
      <c r="X66" s="60"/>
    </row>
    <row r="67" spans="1:24" ht="14.25" customHeight="1" x14ac:dyDescent="0.25">
      <c r="A67" s="11"/>
      <c r="B67" s="11" t="e">
        <f t="shared" si="0"/>
        <v>#N/A</v>
      </c>
      <c r="C67" s="11" t="s">
        <v>148</v>
      </c>
      <c r="D67" s="11"/>
      <c r="E67" s="11"/>
      <c r="F67" s="11">
        <f t="shared" si="1"/>
        <v>0</v>
      </c>
      <c r="G67" s="11"/>
      <c r="H67" s="11" t="s">
        <v>1199</v>
      </c>
      <c r="I67" s="11" t="e">
        <f>VLOOKUP($H67, 'ADP Data'!$B$4:$Q$300, 2, FALSE)</f>
        <v>#N/A</v>
      </c>
      <c r="J67" s="11" t="e">
        <f>VLOOKUP($H67, 'ADP Data'!$B$4:$Q$300, 3, FALSE)</f>
        <v>#N/A</v>
      </c>
      <c r="K67" s="11" t="s">
        <v>1196</v>
      </c>
      <c r="L67" s="11">
        <v>25</v>
      </c>
      <c r="M67" s="11">
        <f t="shared" si="2"/>
        <v>16</v>
      </c>
      <c r="N67" s="11" t="e">
        <f>VLOOKUP($H67, 'ADP Data'!$B$4:$Q$300, 11, FALSE)</f>
        <v>#N/A</v>
      </c>
      <c r="O67" s="11" t="e">
        <f>VLOOKUP($H67, 'ADP Data'!$B$4:$Q$300, 5, FALSE)</f>
        <v>#N/A</v>
      </c>
      <c r="P67" s="11" t="e">
        <f t="shared" si="3"/>
        <v>#N/A</v>
      </c>
      <c r="Q67" s="11" t="e">
        <f>VLOOKUP($H67, 'ADP Data'!$B$4:$Q$300, 6, FALSE)</f>
        <v>#N/A</v>
      </c>
      <c r="R67" s="11" t="e">
        <f>VLOOKUP($H67, 'ADP Data'!$B$4:$Q$300, 7, FALSE)</f>
        <v>#N/A</v>
      </c>
      <c r="S67" s="11" t="e">
        <f>VLOOKUP($H67, 'ADP Data'!$B$4:$Q$300, 8, FALSE)</f>
        <v>#N/A</v>
      </c>
      <c r="T67" s="11" t="e">
        <f>VLOOKUP($H67, 'ADP Data'!$B$4:$Q$300, 9, FALSE)</f>
        <v>#N/A</v>
      </c>
      <c r="U67" s="11" t="e">
        <f>VLOOKUP($H67, 'ADP Data'!$B$4:$Q$300, 10, FALSE)</f>
        <v>#N/A</v>
      </c>
      <c r="V67" s="11" t="e">
        <f t="shared" si="4"/>
        <v>#N/A</v>
      </c>
      <c r="W67" s="11" t="e">
        <f>VLOOKUP($H67, SeanRanks!$A$2:$J$303, 7, FALSE)-V67</f>
        <v>#N/A</v>
      </c>
      <c r="X67" s="11"/>
    </row>
    <row r="68" spans="1:24" ht="14.25" customHeight="1" x14ac:dyDescent="0.25">
      <c r="A68" s="11"/>
      <c r="B68" s="11" t="e">
        <f t="shared" si="0"/>
        <v>#N/A</v>
      </c>
      <c r="C68" s="11" t="s">
        <v>148</v>
      </c>
      <c r="D68" s="11">
        <v>7</v>
      </c>
      <c r="E68" s="11">
        <v>7</v>
      </c>
      <c r="F68" s="11">
        <f t="shared" si="1"/>
        <v>0</v>
      </c>
      <c r="G68" s="11" t="s">
        <v>148</v>
      </c>
      <c r="H68" s="11" t="s">
        <v>682</v>
      </c>
      <c r="I68" s="11" t="e">
        <f>VLOOKUP($H68, 'ADP Data'!$B$4:$Q$300, 2, FALSE)</f>
        <v>#N/A</v>
      </c>
      <c r="J68" s="11" t="e">
        <f>VLOOKUP($H68, 'ADP Data'!$B$4:$Q$300, 3, FALSE)</f>
        <v>#N/A</v>
      </c>
      <c r="K68" s="11">
        <f>VLOOKUP($H68, SeanRanks!$A$2:$H$303, 4, FALSE)</f>
        <v>0</v>
      </c>
      <c r="L68" s="11">
        <f>VLOOKUP($H68, SeanRanks!$A$2:$H$303, 5, FALSE)</f>
        <v>0</v>
      </c>
      <c r="M68" s="11">
        <f t="shared" si="2"/>
        <v>16</v>
      </c>
      <c r="N68" s="11" t="e">
        <f>VLOOKUP($H68, 'ADP Data'!$B$4:$Q$300, 11, FALSE)</f>
        <v>#N/A</v>
      </c>
      <c r="O68" s="11" t="e">
        <f>VLOOKUP($H68, 'ADP Data'!$B$4:$Q$300, 5, FALSE)</f>
        <v>#N/A</v>
      </c>
      <c r="P68" s="11" t="e">
        <f t="shared" si="3"/>
        <v>#N/A</v>
      </c>
      <c r="Q68" s="11" t="e">
        <f>VLOOKUP($H68, 'ADP Data'!$B$4:$Q$300, 6, FALSE)</f>
        <v>#N/A</v>
      </c>
      <c r="R68" s="11" t="e">
        <f>VLOOKUP($H68, 'ADP Data'!$B$4:$Q$300, 7, FALSE)</f>
        <v>#N/A</v>
      </c>
      <c r="S68" s="11" t="e">
        <f>VLOOKUP($H68, 'ADP Data'!$B$4:$Q$300, 8, FALSE)</f>
        <v>#N/A</v>
      </c>
      <c r="T68" s="11" t="e">
        <f>VLOOKUP($H68, 'ADP Data'!$B$4:$Q$300, 9, FALSE)</f>
        <v>#N/A</v>
      </c>
      <c r="U68" s="11" t="e">
        <f>VLOOKUP($H68, 'ADP Data'!$B$4:$Q$300, 10, FALSE)</f>
        <v>#N/A</v>
      </c>
      <c r="V68" s="11" t="e">
        <f t="shared" si="4"/>
        <v>#N/A</v>
      </c>
      <c r="W68" s="11" t="e">
        <f>VLOOKUP($H68, SeanRanks!$A$2:$J$303, 7, FALSE)-V68</f>
        <v>#N/A</v>
      </c>
      <c r="X68" s="11"/>
    </row>
    <row r="69" spans="1:24" ht="14.25" customHeight="1" x14ac:dyDescent="0.25">
      <c r="A69" s="11"/>
      <c r="B69" s="11" t="e">
        <f t="shared" si="0"/>
        <v>#N/A</v>
      </c>
      <c r="C69" s="11" t="s">
        <v>148</v>
      </c>
      <c r="D69" s="11">
        <v>5</v>
      </c>
      <c r="E69" s="11">
        <v>5</v>
      </c>
      <c r="F69" s="11">
        <f t="shared" si="1"/>
        <v>0</v>
      </c>
      <c r="G69" s="11"/>
      <c r="H69" s="11" t="s">
        <v>1200</v>
      </c>
      <c r="I69" s="11" t="e">
        <f>VLOOKUP($H69, 'ADP Data'!$B$4:$Q$300, 2, FALSE)</f>
        <v>#N/A</v>
      </c>
      <c r="J69" s="11" t="e">
        <f>VLOOKUP($H69, 'ADP Data'!$B$4:$Q$300, 3, FALSE)</f>
        <v>#N/A</v>
      </c>
      <c r="K69" s="11" t="e">
        <f>VLOOKUP($H69, SeanRanks!$A$2:$H$303, 4, FALSE)</f>
        <v>#N/A</v>
      </c>
      <c r="L69" s="11" t="e">
        <f>VLOOKUP($H69, SeanRanks!$A$2:$H$303, 5, FALSE)</f>
        <v>#N/A</v>
      </c>
      <c r="M69" s="11">
        <f t="shared" si="2"/>
        <v>16</v>
      </c>
      <c r="N69" s="11" t="e">
        <f>VLOOKUP($H69, 'ADP Data'!$B$4:$Q$300, 11, FALSE)</f>
        <v>#N/A</v>
      </c>
      <c r="O69" s="11" t="e">
        <f>VLOOKUP($H69, 'ADP Data'!$B$4:$Q$300, 5, FALSE)</f>
        <v>#N/A</v>
      </c>
      <c r="P69" s="11" t="e">
        <f t="shared" si="3"/>
        <v>#N/A</v>
      </c>
      <c r="Q69" s="11" t="e">
        <f>VLOOKUP($H69, 'ADP Data'!$B$4:$Q$300, 6, FALSE)</f>
        <v>#N/A</v>
      </c>
      <c r="R69" s="11" t="e">
        <f>VLOOKUP($H69, 'ADP Data'!$B$4:$Q$300, 7, FALSE)</f>
        <v>#N/A</v>
      </c>
      <c r="S69" s="11" t="e">
        <f>VLOOKUP($H69, 'ADP Data'!$B$4:$Q$300, 8, FALSE)</f>
        <v>#N/A</v>
      </c>
      <c r="T69" s="11" t="e">
        <f>VLOOKUP($H69, 'ADP Data'!$B$4:$Q$300, 9, FALSE)</f>
        <v>#N/A</v>
      </c>
      <c r="U69" s="11" t="e">
        <f>VLOOKUP($H69, 'ADP Data'!$B$4:$Q$300, 10, FALSE)</f>
        <v>#N/A</v>
      </c>
      <c r="V69" s="11" t="e">
        <f t="shared" si="4"/>
        <v>#N/A</v>
      </c>
      <c r="W69" s="11" t="e">
        <f>VLOOKUP($H69, SeanRanks!$A$2:$J$303, 7, FALSE)-V69</f>
        <v>#N/A</v>
      </c>
      <c r="X69" s="11"/>
    </row>
    <row r="70" spans="1:24" ht="14.25" customHeight="1" x14ac:dyDescent="0.25">
      <c r="A70" s="11"/>
      <c r="B70" s="11" t="e">
        <f t="shared" si="0"/>
        <v>#N/A</v>
      </c>
      <c r="C70" s="11" t="s">
        <v>148</v>
      </c>
      <c r="D70" s="11">
        <v>3</v>
      </c>
      <c r="E70" s="11">
        <v>3</v>
      </c>
      <c r="F70" s="11">
        <f t="shared" si="1"/>
        <v>0</v>
      </c>
      <c r="G70" s="11" t="s">
        <v>148</v>
      </c>
      <c r="H70" s="11" t="s">
        <v>65</v>
      </c>
      <c r="I70" s="11" t="e">
        <f>VLOOKUP($H70, 'ADP Data'!$B$4:$Q$300, 2, FALSE)</f>
        <v>#N/A</v>
      </c>
      <c r="J70" s="11" t="e">
        <f>VLOOKUP($H70, 'ADP Data'!$B$4:$Q$300, 3, FALSE)</f>
        <v>#N/A</v>
      </c>
      <c r="K70" s="11">
        <f>VLOOKUP($H70, SeanRanks!$A$2:$H$303, 4, FALSE)</f>
        <v>0</v>
      </c>
      <c r="L70" s="11">
        <f>VLOOKUP($H70, SeanRanks!$A$2:$H$303, 5, FALSE)</f>
        <v>0</v>
      </c>
      <c r="M70" s="11">
        <f t="shared" si="2"/>
        <v>16</v>
      </c>
      <c r="N70" s="11" t="e">
        <f>VLOOKUP($H70, 'ADP Data'!$B$4:$Q$300, 11, FALSE)</f>
        <v>#N/A</v>
      </c>
      <c r="O70" s="11" t="e">
        <f>VLOOKUP($H70, 'ADP Data'!$B$4:$Q$300, 5, FALSE)</f>
        <v>#N/A</v>
      </c>
      <c r="P70" s="11" t="e">
        <f t="shared" si="3"/>
        <v>#N/A</v>
      </c>
      <c r="Q70" s="11" t="e">
        <f>VLOOKUP($H70, 'ADP Data'!$B$4:$Q$300, 6, FALSE)</f>
        <v>#N/A</v>
      </c>
      <c r="R70" s="11" t="e">
        <f>VLOOKUP($H70, 'ADP Data'!$B$4:$Q$300, 7, FALSE)</f>
        <v>#N/A</v>
      </c>
      <c r="S70" s="11" t="e">
        <f>VLOOKUP($H70, 'ADP Data'!$B$4:$Q$300, 8, FALSE)</f>
        <v>#N/A</v>
      </c>
      <c r="T70" s="11" t="e">
        <f>VLOOKUP($H70, 'ADP Data'!$B$4:$Q$300, 9, FALSE)</f>
        <v>#N/A</v>
      </c>
      <c r="U70" s="11" t="e">
        <f>VLOOKUP($H70, 'ADP Data'!$B$4:$Q$300, 10, FALSE)</f>
        <v>#N/A</v>
      </c>
      <c r="V70" s="11" t="e">
        <f t="shared" si="4"/>
        <v>#N/A</v>
      </c>
      <c r="W70" s="11" t="e">
        <f>VLOOKUP($H70, SeanRanks!$A$2:$J$303, 7, FALSE)-V70</f>
        <v>#N/A</v>
      </c>
      <c r="X70" s="11" t="s">
        <v>1201</v>
      </c>
    </row>
    <row r="71" spans="1:24" ht="14.25" customHeight="1" x14ac:dyDescent="0.25">
      <c r="A71" s="11"/>
      <c r="B71" s="11" t="e">
        <f t="shared" si="0"/>
        <v>#N/A</v>
      </c>
      <c r="C71" s="11" t="s">
        <v>148</v>
      </c>
      <c r="D71" s="11">
        <v>2</v>
      </c>
      <c r="E71" s="11">
        <v>2</v>
      </c>
      <c r="F71" s="11">
        <f t="shared" si="1"/>
        <v>0</v>
      </c>
      <c r="G71" s="11"/>
      <c r="H71" s="11" t="s">
        <v>989</v>
      </c>
      <c r="I71" s="11" t="e">
        <f>VLOOKUP($H71, 'ADP Data'!$B$4:$Q$300, 2, FALSE)</f>
        <v>#N/A</v>
      </c>
      <c r="J71" s="11" t="e">
        <f>VLOOKUP($H71, 'ADP Data'!$B$4:$Q$300, 3, FALSE)</f>
        <v>#N/A</v>
      </c>
      <c r="K71" s="11" t="e">
        <f>VLOOKUP($H71, SeanRanks!$A$2:$H$303, 4, FALSE)</f>
        <v>#N/A</v>
      </c>
      <c r="L71" s="11" t="e">
        <f>VLOOKUP($H71, SeanRanks!$A$2:$H$303, 5, FALSE)</f>
        <v>#N/A</v>
      </c>
      <c r="M71" s="11">
        <f t="shared" si="2"/>
        <v>16</v>
      </c>
      <c r="N71" s="11" t="e">
        <f>VLOOKUP($H71, 'ADP Data'!$B$4:$Q$300, 11, FALSE)</f>
        <v>#N/A</v>
      </c>
      <c r="O71" s="11" t="e">
        <f>VLOOKUP($H71, 'ADP Data'!$B$4:$Q$300, 5, FALSE)</f>
        <v>#N/A</v>
      </c>
      <c r="P71" s="11" t="e">
        <f t="shared" si="3"/>
        <v>#N/A</v>
      </c>
      <c r="Q71" s="11" t="e">
        <f>VLOOKUP($H71, 'ADP Data'!$B$4:$Q$300, 6, FALSE)</f>
        <v>#N/A</v>
      </c>
      <c r="R71" s="11" t="e">
        <f>VLOOKUP($H71, 'ADP Data'!$B$4:$Q$300, 7, FALSE)</f>
        <v>#N/A</v>
      </c>
      <c r="S71" s="11" t="e">
        <f>VLOOKUP($H71, 'ADP Data'!$B$4:$Q$300, 8, FALSE)</f>
        <v>#N/A</v>
      </c>
      <c r="T71" s="11" t="e">
        <f>VLOOKUP($H71, 'ADP Data'!$B$4:$Q$300, 9, FALSE)</f>
        <v>#N/A</v>
      </c>
      <c r="U71" s="11" t="e">
        <f>VLOOKUP($H71, 'ADP Data'!$B$4:$Q$300, 10, FALSE)</f>
        <v>#N/A</v>
      </c>
      <c r="V71" s="11" t="e">
        <f t="shared" si="4"/>
        <v>#N/A</v>
      </c>
      <c r="W71" s="11" t="e">
        <f>VLOOKUP($H71, SeanRanks!$A$2:$J$303, 7, FALSE)-V71</f>
        <v>#N/A</v>
      </c>
      <c r="X71" s="11"/>
    </row>
    <row r="72" spans="1:24" ht="14.25" customHeight="1" x14ac:dyDescent="0.25">
      <c r="A72" s="11" t="s">
        <v>1156</v>
      </c>
      <c r="B72" s="11" t="e">
        <f t="shared" si="0"/>
        <v>#N/A</v>
      </c>
      <c r="C72" s="11" t="s">
        <v>148</v>
      </c>
      <c r="D72" s="11">
        <v>5</v>
      </c>
      <c r="E72" s="11">
        <v>7</v>
      </c>
      <c r="F72" s="11">
        <f t="shared" si="1"/>
        <v>-2</v>
      </c>
      <c r="G72" s="11" t="s">
        <v>148</v>
      </c>
      <c r="H72" s="11" t="s">
        <v>139</v>
      </c>
      <c r="I72" s="11" t="e">
        <f>VLOOKUP($H72, 'ADP Data'!$B$4:$Q$300, 2, FALSE)</f>
        <v>#N/A</v>
      </c>
      <c r="J72" s="11" t="e">
        <f>VLOOKUP($H72, 'ADP Data'!$B$4:$Q$300, 3, FALSE)</f>
        <v>#N/A</v>
      </c>
      <c r="K72" s="11">
        <f>VLOOKUP($H72, SeanRanks!$A$2:$H$303, 4, FALSE)</f>
        <v>0</v>
      </c>
      <c r="L72" s="11">
        <f>VLOOKUP($H72, SeanRanks!$A$2:$H$303, 5, FALSE)</f>
        <v>0</v>
      </c>
      <c r="M72" s="11">
        <f t="shared" si="2"/>
        <v>16</v>
      </c>
      <c r="N72" s="11" t="e">
        <f>VLOOKUP($H72, 'ADP Data'!$B$4:$Q$300, 11, FALSE)</f>
        <v>#N/A</v>
      </c>
      <c r="O72" s="11" t="e">
        <f>VLOOKUP($H72, 'ADP Data'!$B$4:$Q$300, 5, FALSE)</f>
        <v>#N/A</v>
      </c>
      <c r="P72" s="11" t="e">
        <f t="shared" si="3"/>
        <v>#N/A</v>
      </c>
      <c r="Q72" s="11" t="e">
        <f>VLOOKUP($H72, 'ADP Data'!$B$4:$Q$300, 6, FALSE)</f>
        <v>#N/A</v>
      </c>
      <c r="R72" s="11" t="e">
        <f>VLOOKUP($H72, 'ADP Data'!$B$4:$Q$300, 7, FALSE)</f>
        <v>#N/A</v>
      </c>
      <c r="S72" s="11" t="e">
        <f>VLOOKUP($H72, 'ADP Data'!$B$4:$Q$300, 8, FALSE)</f>
        <v>#N/A</v>
      </c>
      <c r="T72" s="11" t="e">
        <f>VLOOKUP($H72, 'ADP Data'!$B$4:$Q$300, 9, FALSE)</f>
        <v>#N/A</v>
      </c>
      <c r="U72" s="11" t="e">
        <f>VLOOKUP($H72, 'ADP Data'!$B$4:$Q$300, 10, FALSE)</f>
        <v>#N/A</v>
      </c>
      <c r="V72" s="11" t="e">
        <f t="shared" si="4"/>
        <v>#N/A</v>
      </c>
      <c r="W72" s="11" t="e">
        <f>VLOOKUP($H72, SeanRanks!$A$2:$J$303, 7, FALSE)-V72</f>
        <v>#N/A</v>
      </c>
      <c r="X72" s="11"/>
    </row>
    <row r="73" spans="1:24" ht="14.25" customHeight="1" x14ac:dyDescent="0.25">
      <c r="A73" s="11"/>
      <c r="B73" s="11" t="e">
        <f t="shared" si="0"/>
        <v>#N/A</v>
      </c>
      <c r="C73" s="11" t="s">
        <v>148</v>
      </c>
      <c r="D73" s="11"/>
      <c r="E73" s="11"/>
      <c r="F73" s="11">
        <f t="shared" si="1"/>
        <v>0</v>
      </c>
      <c r="G73" s="11"/>
      <c r="H73" s="11" t="s">
        <v>1202</v>
      </c>
      <c r="I73" s="11" t="e">
        <f>VLOOKUP($H73, 'ADP Data'!$B$4:$Q$300, 2, FALSE)</f>
        <v>#N/A</v>
      </c>
      <c r="J73" s="11" t="e">
        <f>VLOOKUP($H73, 'ADP Data'!$B$4:$Q$300, 3, FALSE)</f>
        <v>#N/A</v>
      </c>
      <c r="K73" s="11" t="e">
        <f>VLOOKUP($H73, SeanRanks!$A$2:$H$303, 4, FALSE)</f>
        <v>#N/A</v>
      </c>
      <c r="L73" s="11" t="e">
        <f>VLOOKUP($H73, SeanRanks!$A$2:$H$303, 5, FALSE)</f>
        <v>#N/A</v>
      </c>
      <c r="M73" s="11">
        <f t="shared" si="2"/>
        <v>16</v>
      </c>
      <c r="N73" s="11" t="e">
        <f>VLOOKUP($H73, 'ADP Data'!$B$4:$Q$300, 11, FALSE)</f>
        <v>#N/A</v>
      </c>
      <c r="O73" s="11" t="e">
        <f>VLOOKUP($H73, 'ADP Data'!$B$4:$Q$300, 5, FALSE)</f>
        <v>#N/A</v>
      </c>
      <c r="P73" s="11" t="e">
        <f t="shared" si="3"/>
        <v>#N/A</v>
      </c>
      <c r="Q73" s="11" t="e">
        <f>VLOOKUP($H73, 'ADP Data'!$B$4:$Q$300, 6, FALSE)</f>
        <v>#N/A</v>
      </c>
      <c r="R73" s="11" t="e">
        <f>VLOOKUP($H73, 'ADP Data'!$B$4:$Q$300, 7, FALSE)</f>
        <v>#N/A</v>
      </c>
      <c r="S73" s="11" t="e">
        <f>VLOOKUP($H73, 'ADP Data'!$B$4:$Q$300, 8, FALSE)</f>
        <v>#N/A</v>
      </c>
      <c r="T73" s="11" t="e">
        <f>VLOOKUP($H73, 'ADP Data'!$B$4:$Q$300, 9, FALSE)</f>
        <v>#N/A</v>
      </c>
      <c r="U73" s="11" t="e">
        <f>VLOOKUP($H73, 'ADP Data'!$B$4:$Q$300, 10, FALSE)</f>
        <v>#N/A</v>
      </c>
      <c r="V73" s="11" t="e">
        <f t="shared" si="4"/>
        <v>#N/A</v>
      </c>
      <c r="W73" s="11" t="e">
        <f>VLOOKUP($H73, SeanRanks!$A$2:$J$303, 7, FALSE)-V73</f>
        <v>#N/A</v>
      </c>
      <c r="X73" s="11" t="s">
        <v>1203</v>
      </c>
    </row>
    <row r="74" spans="1:24" ht="14.25" customHeight="1" x14ac:dyDescent="0.25">
      <c r="A74" s="11"/>
      <c r="B74" s="11" t="e">
        <f t="shared" si="0"/>
        <v>#N/A</v>
      </c>
      <c r="C74" s="11" t="s">
        <v>148</v>
      </c>
      <c r="D74" s="11"/>
      <c r="E74" s="11"/>
      <c r="F74" s="11">
        <f t="shared" si="1"/>
        <v>0</v>
      </c>
      <c r="G74" s="11"/>
      <c r="H74" s="11" t="s">
        <v>1204</v>
      </c>
      <c r="I74" s="11" t="e">
        <f>VLOOKUP($H74, 'ADP Data'!$B$4:$Q$300, 2, FALSE)</f>
        <v>#N/A</v>
      </c>
      <c r="J74" s="11" t="e">
        <f>VLOOKUP($H74, 'ADP Data'!$B$4:$Q$300, 3, FALSE)</f>
        <v>#N/A</v>
      </c>
      <c r="K74" s="11" t="e">
        <f>VLOOKUP($H74, SeanRanks!$A$2:$H$303, 4, FALSE)</f>
        <v>#N/A</v>
      </c>
      <c r="L74" s="11" t="e">
        <f>VLOOKUP($H74, SeanRanks!$A$2:$H$303, 5, FALSE)</f>
        <v>#N/A</v>
      </c>
      <c r="M74" s="11">
        <f t="shared" si="2"/>
        <v>16</v>
      </c>
      <c r="N74" s="11" t="e">
        <f>VLOOKUP($H74, 'ADP Data'!$B$4:$Q$300, 11, FALSE)</f>
        <v>#N/A</v>
      </c>
      <c r="O74" s="11" t="e">
        <f>VLOOKUP($H74, 'ADP Data'!$B$4:$Q$300, 5, FALSE)</f>
        <v>#N/A</v>
      </c>
      <c r="P74" s="11" t="e">
        <f t="shared" si="3"/>
        <v>#N/A</v>
      </c>
      <c r="Q74" s="11" t="e">
        <f>VLOOKUP($H74, 'ADP Data'!$B$4:$Q$300, 6, FALSE)</f>
        <v>#N/A</v>
      </c>
      <c r="R74" s="11" t="e">
        <f>VLOOKUP($H74, 'ADP Data'!$B$4:$Q$300, 7, FALSE)</f>
        <v>#N/A</v>
      </c>
      <c r="S74" s="11" t="e">
        <f>VLOOKUP($H74, 'ADP Data'!$B$4:$Q$300, 8, FALSE)</f>
        <v>#N/A</v>
      </c>
      <c r="T74" s="11" t="e">
        <f>VLOOKUP($H74, 'ADP Data'!$B$4:$Q$300, 9, FALSE)</f>
        <v>#N/A</v>
      </c>
      <c r="U74" s="11" t="e">
        <f>VLOOKUP($H74, 'ADP Data'!$B$4:$Q$300, 10, FALSE)</f>
        <v>#N/A</v>
      </c>
      <c r="V74" s="11" t="e">
        <f t="shared" si="4"/>
        <v>#N/A</v>
      </c>
      <c r="W74" s="11" t="e">
        <f>VLOOKUP($H74, SeanRanks!$A$2:$J$303, 7, FALSE)-V74</f>
        <v>#N/A</v>
      </c>
      <c r="X74" s="11"/>
    </row>
    <row r="75" spans="1:24" ht="14.25" customHeight="1" x14ac:dyDescent="0.25">
      <c r="A75" s="11"/>
      <c r="B75" s="11" t="e">
        <f t="shared" si="0"/>
        <v>#N/A</v>
      </c>
      <c r="C75" s="11" t="s">
        <v>148</v>
      </c>
      <c r="D75" s="11"/>
      <c r="E75" s="11"/>
      <c r="F75" s="11">
        <f t="shared" si="1"/>
        <v>0</v>
      </c>
      <c r="G75" s="11"/>
      <c r="H75" s="11" t="s">
        <v>955</v>
      </c>
      <c r="I75" s="11" t="e">
        <f>VLOOKUP($H75, 'ADP Data'!$B$4:$Q$300, 2, FALSE)</f>
        <v>#N/A</v>
      </c>
      <c r="J75" s="11" t="e">
        <f>VLOOKUP($H75, 'ADP Data'!$B$4:$Q$300, 3, FALSE)</f>
        <v>#N/A</v>
      </c>
      <c r="K75" s="11" t="e">
        <f>VLOOKUP($H75, SeanRanks!$A$2:$H$303, 4, FALSE)</f>
        <v>#N/A</v>
      </c>
      <c r="L75" s="11" t="e">
        <f>VLOOKUP($H75, SeanRanks!$A$2:$H$303, 5, FALSE)</f>
        <v>#N/A</v>
      </c>
      <c r="M75" s="11">
        <f t="shared" si="2"/>
        <v>16</v>
      </c>
      <c r="N75" s="11" t="e">
        <f>VLOOKUP($H75, 'ADP Data'!$B$4:$Q$300, 11, FALSE)</f>
        <v>#N/A</v>
      </c>
      <c r="O75" s="11" t="e">
        <f>VLOOKUP($H75, 'ADP Data'!$B$4:$Q$300, 5, FALSE)</f>
        <v>#N/A</v>
      </c>
      <c r="P75" s="11" t="e">
        <f t="shared" si="3"/>
        <v>#N/A</v>
      </c>
      <c r="Q75" s="11" t="e">
        <f>VLOOKUP($H75, 'ADP Data'!$B$4:$Q$300, 6, FALSE)</f>
        <v>#N/A</v>
      </c>
      <c r="R75" s="11" t="e">
        <f>VLOOKUP($H75, 'ADP Data'!$B$4:$Q$300, 7, FALSE)</f>
        <v>#N/A</v>
      </c>
      <c r="S75" s="11" t="e">
        <f>VLOOKUP($H75, 'ADP Data'!$B$4:$Q$300, 8, FALSE)</f>
        <v>#N/A</v>
      </c>
      <c r="T75" s="11" t="e">
        <f>VLOOKUP($H75, 'ADP Data'!$B$4:$Q$300, 9, FALSE)</f>
        <v>#N/A</v>
      </c>
      <c r="U75" s="11" t="e">
        <f>VLOOKUP($H75, 'ADP Data'!$B$4:$Q$300, 10, FALSE)</f>
        <v>#N/A</v>
      </c>
      <c r="V75" s="11" t="e">
        <f t="shared" si="4"/>
        <v>#N/A</v>
      </c>
      <c r="W75" s="11" t="e">
        <f>VLOOKUP($H75, SeanRanks!$A$2:$J$303, 7, FALSE)-V75</f>
        <v>#N/A</v>
      </c>
      <c r="X75" s="11"/>
    </row>
    <row r="76" spans="1:24" ht="14.25" customHeight="1" x14ac:dyDescent="0.25">
      <c r="A76" s="11" t="s">
        <v>1156</v>
      </c>
      <c r="B76" s="11" t="e">
        <f t="shared" si="0"/>
        <v>#N/A</v>
      </c>
      <c r="C76" s="11" t="s">
        <v>148</v>
      </c>
      <c r="D76" s="11">
        <v>1</v>
      </c>
      <c r="E76" s="11">
        <v>5</v>
      </c>
      <c r="F76" s="11">
        <f t="shared" si="1"/>
        <v>-4</v>
      </c>
      <c r="G76" s="11" t="s">
        <v>148</v>
      </c>
      <c r="H76" s="11" t="s">
        <v>1205</v>
      </c>
      <c r="I76" s="11" t="e">
        <f>VLOOKUP($H76, 'ADP Data'!$B$4:$Q$300, 2, FALSE)</f>
        <v>#N/A</v>
      </c>
      <c r="J76" s="11" t="e">
        <f>VLOOKUP($H76, 'ADP Data'!$B$4:$Q$300, 3, FALSE)</f>
        <v>#N/A</v>
      </c>
      <c r="K76" s="11" t="e">
        <f>VLOOKUP($H76, SeanRanks!$A$2:$H$303, 4, FALSE)</f>
        <v>#N/A</v>
      </c>
      <c r="L76" s="11" t="e">
        <f>VLOOKUP($H76, SeanRanks!$A$2:$H$303, 5, FALSE)</f>
        <v>#N/A</v>
      </c>
      <c r="M76" s="11">
        <f t="shared" si="2"/>
        <v>16</v>
      </c>
      <c r="N76" s="11" t="e">
        <f>VLOOKUP($H76, 'ADP Data'!$B$4:$Q$300, 11, FALSE)</f>
        <v>#N/A</v>
      </c>
      <c r="O76" s="11" t="e">
        <f>VLOOKUP($H76, 'ADP Data'!$B$4:$Q$300, 5, FALSE)</f>
        <v>#N/A</v>
      </c>
      <c r="P76" s="11" t="e">
        <f t="shared" si="3"/>
        <v>#N/A</v>
      </c>
      <c r="Q76" s="11" t="e">
        <f>VLOOKUP($H76, 'ADP Data'!$B$4:$Q$300, 6, FALSE)</f>
        <v>#N/A</v>
      </c>
      <c r="R76" s="11" t="e">
        <f>VLOOKUP($H76, 'ADP Data'!$B$4:$Q$300, 7, FALSE)</f>
        <v>#N/A</v>
      </c>
      <c r="S76" s="11" t="e">
        <f>VLOOKUP($H76, 'ADP Data'!$B$4:$Q$300, 8, FALSE)</f>
        <v>#N/A</v>
      </c>
      <c r="T76" s="11" t="e">
        <f>VLOOKUP($H76, 'ADP Data'!$B$4:$Q$300, 9, FALSE)</f>
        <v>#N/A</v>
      </c>
      <c r="U76" s="11" t="e">
        <f>VLOOKUP($H76, 'ADP Data'!$B$4:$Q$300, 10, FALSE)</f>
        <v>#N/A</v>
      </c>
      <c r="V76" s="11" t="e">
        <f t="shared" si="4"/>
        <v>#N/A</v>
      </c>
      <c r="W76" s="11" t="e">
        <f>VLOOKUP($H76, SeanRanks!$A$2:$J$303, 7, FALSE)-V76</f>
        <v>#N/A</v>
      </c>
      <c r="X76" s="11" t="s">
        <v>1206</v>
      </c>
    </row>
    <row r="77" spans="1:24" ht="14.25" customHeight="1" x14ac:dyDescent="0.25">
      <c r="A77" s="11"/>
      <c r="B77" s="11" t="e">
        <f t="shared" si="0"/>
        <v>#N/A</v>
      </c>
      <c r="C77" s="11" t="s">
        <v>148</v>
      </c>
      <c r="D77" s="11">
        <v>1</v>
      </c>
      <c r="E77" s="11">
        <v>1</v>
      </c>
      <c r="F77" s="11">
        <f t="shared" si="1"/>
        <v>0</v>
      </c>
      <c r="G77" s="11"/>
      <c r="H77" s="11" t="s">
        <v>1207</v>
      </c>
      <c r="I77" s="11" t="e">
        <f>VLOOKUP($H77, 'ADP Data'!$B$4:$Q$300, 2, FALSE)</f>
        <v>#N/A</v>
      </c>
      <c r="J77" s="11" t="e">
        <f>VLOOKUP($H77, 'ADP Data'!$B$4:$Q$300, 3, FALSE)</f>
        <v>#N/A</v>
      </c>
      <c r="K77" s="11" t="e">
        <f>VLOOKUP($H77, SeanRanks!$A$2:$H$303, 4, FALSE)</f>
        <v>#N/A</v>
      </c>
      <c r="L77" s="11" t="e">
        <f>VLOOKUP($H77, SeanRanks!$A$2:$H$303, 5, FALSE)</f>
        <v>#N/A</v>
      </c>
      <c r="M77" s="11">
        <f t="shared" si="2"/>
        <v>16</v>
      </c>
      <c r="N77" s="11" t="e">
        <f>VLOOKUP($H77, 'ADP Data'!$B$4:$Q$300, 11, FALSE)</f>
        <v>#N/A</v>
      </c>
      <c r="O77" s="11" t="e">
        <f>VLOOKUP($H77, 'ADP Data'!$B$4:$Q$300, 5, FALSE)</f>
        <v>#N/A</v>
      </c>
      <c r="P77" s="11" t="e">
        <f t="shared" si="3"/>
        <v>#N/A</v>
      </c>
      <c r="Q77" s="11" t="e">
        <f>VLOOKUP($H77, 'ADP Data'!$B$4:$Q$300, 6, FALSE)</f>
        <v>#N/A</v>
      </c>
      <c r="R77" s="11" t="e">
        <f>VLOOKUP($H77, 'ADP Data'!$B$4:$Q$300, 7, FALSE)</f>
        <v>#N/A</v>
      </c>
      <c r="S77" s="11" t="e">
        <f>VLOOKUP($H77, 'ADP Data'!$B$4:$Q$300, 8, FALSE)</f>
        <v>#N/A</v>
      </c>
      <c r="T77" s="11" t="e">
        <f>VLOOKUP($H77, 'ADP Data'!$B$4:$Q$300, 9, FALSE)</f>
        <v>#N/A</v>
      </c>
      <c r="U77" s="11" t="e">
        <f>VLOOKUP($H77, 'ADP Data'!$B$4:$Q$300, 10, FALSE)</f>
        <v>#N/A</v>
      </c>
      <c r="V77" s="11" t="e">
        <f t="shared" si="4"/>
        <v>#N/A</v>
      </c>
      <c r="W77" s="11" t="e">
        <f>VLOOKUP($H77, SeanRanks!$A$2:$J$303, 7, FALSE)-V77</f>
        <v>#N/A</v>
      </c>
      <c r="X77" s="11"/>
    </row>
    <row r="78" spans="1:24" ht="14.25" customHeight="1" x14ac:dyDescent="0.25">
      <c r="A78" s="11"/>
      <c r="B78" s="11" t="e">
        <f t="shared" si="0"/>
        <v>#N/A</v>
      </c>
      <c r="C78" s="11" t="s">
        <v>148</v>
      </c>
      <c r="D78" s="11"/>
      <c r="E78" s="11"/>
      <c r="F78" s="11">
        <f t="shared" si="1"/>
        <v>0</v>
      </c>
      <c r="G78" s="11"/>
      <c r="H78" s="11" t="s">
        <v>329</v>
      </c>
      <c r="I78" s="11" t="e">
        <f>VLOOKUP($H78, 'ADP Data'!$B$4:$Q$300, 2, FALSE)</f>
        <v>#N/A</v>
      </c>
      <c r="J78" s="11" t="e">
        <f>VLOOKUP($H78, 'ADP Data'!$B$4:$Q$300, 3, FALSE)</f>
        <v>#N/A</v>
      </c>
      <c r="K78" s="11">
        <f>VLOOKUP($H78, SeanRanks!$A$2:$H$303, 4, FALSE)</f>
        <v>0</v>
      </c>
      <c r="L78" s="11">
        <f>VLOOKUP($H78, SeanRanks!$A$2:$H$303, 5, FALSE)</f>
        <v>0</v>
      </c>
      <c r="M78" s="11">
        <f t="shared" si="2"/>
        <v>16</v>
      </c>
      <c r="N78" s="11" t="e">
        <f>VLOOKUP($H78, 'ADP Data'!$B$4:$Q$300, 11, FALSE)</f>
        <v>#N/A</v>
      </c>
      <c r="O78" s="11" t="e">
        <f>VLOOKUP($H78, 'ADP Data'!$B$4:$Q$300, 5, FALSE)</f>
        <v>#N/A</v>
      </c>
      <c r="P78" s="11" t="e">
        <f t="shared" si="3"/>
        <v>#N/A</v>
      </c>
      <c r="Q78" s="11" t="e">
        <f>VLOOKUP($H78, 'ADP Data'!$B$4:$Q$300, 6, FALSE)</f>
        <v>#N/A</v>
      </c>
      <c r="R78" s="11" t="e">
        <f>VLOOKUP($H78, 'ADP Data'!$B$4:$Q$300, 7, FALSE)</f>
        <v>#N/A</v>
      </c>
      <c r="S78" s="11" t="e">
        <f>VLOOKUP($H78, 'ADP Data'!$B$4:$Q$300, 8, FALSE)</f>
        <v>#N/A</v>
      </c>
      <c r="T78" s="11" t="e">
        <f>VLOOKUP($H78, 'ADP Data'!$B$4:$Q$300, 9, FALSE)</f>
        <v>#N/A</v>
      </c>
      <c r="U78" s="11" t="e">
        <f>VLOOKUP($H78, 'ADP Data'!$B$4:$Q$300, 10, FALSE)</f>
        <v>#N/A</v>
      </c>
      <c r="V78" s="11" t="e">
        <f t="shared" si="4"/>
        <v>#N/A</v>
      </c>
      <c r="W78" s="11" t="e">
        <f>VLOOKUP($H78, SeanRanks!$A$2:$J$303, 7, FALSE)-V78</f>
        <v>#N/A</v>
      </c>
      <c r="X78" s="11" t="s">
        <v>1208</v>
      </c>
    </row>
    <row r="79" spans="1:24" ht="14.25" customHeight="1" x14ac:dyDescent="0.25">
      <c r="A79" s="11"/>
      <c r="B79" s="11" t="e">
        <f t="shared" si="0"/>
        <v>#N/A</v>
      </c>
      <c r="C79" s="11" t="s">
        <v>148</v>
      </c>
      <c r="D79" s="11"/>
      <c r="E79" s="11"/>
      <c r="F79" s="11">
        <f t="shared" si="1"/>
        <v>0</v>
      </c>
      <c r="G79" s="11" t="s">
        <v>119</v>
      </c>
      <c r="H79" s="11" t="s">
        <v>1209</v>
      </c>
      <c r="I79" s="11" t="e">
        <f>VLOOKUP($H79, 'ADP Data'!$B$4:$Q$300, 2, FALSE)</f>
        <v>#N/A</v>
      </c>
      <c r="J79" s="11" t="e">
        <f>VLOOKUP($H79, 'ADP Data'!$B$4:$Q$300, 3, FALSE)</f>
        <v>#N/A</v>
      </c>
      <c r="K79" s="11" t="e">
        <f>VLOOKUP($H79, SeanRanks!$A$2:$H$303, 4, FALSE)</f>
        <v>#N/A</v>
      </c>
      <c r="L79" s="11" t="e">
        <f>VLOOKUP($H79, SeanRanks!$A$2:$H$303, 5, FALSE)</f>
        <v>#N/A</v>
      </c>
      <c r="M79" s="11">
        <f t="shared" si="2"/>
        <v>16</v>
      </c>
      <c r="N79" s="11" t="e">
        <f>VLOOKUP($H79, 'ADP Data'!$B$4:$Q$300, 11, FALSE)</f>
        <v>#N/A</v>
      </c>
      <c r="O79" s="11" t="e">
        <f>VLOOKUP($H79, 'ADP Data'!$B$4:$Q$300, 5, FALSE)</f>
        <v>#N/A</v>
      </c>
      <c r="P79" s="11" t="e">
        <f t="shared" si="3"/>
        <v>#N/A</v>
      </c>
      <c r="Q79" s="11" t="e">
        <f>VLOOKUP($H79, 'ADP Data'!$B$4:$Q$300, 6, FALSE)</f>
        <v>#N/A</v>
      </c>
      <c r="R79" s="11" t="e">
        <f>VLOOKUP($H79, 'ADP Data'!$B$4:$Q$300, 7, FALSE)</f>
        <v>#N/A</v>
      </c>
      <c r="S79" s="11" t="e">
        <f>VLOOKUP($H79, 'ADP Data'!$B$4:$Q$300, 8, FALSE)</f>
        <v>#N/A</v>
      </c>
      <c r="T79" s="11" t="e">
        <f>VLOOKUP($H79, 'ADP Data'!$B$4:$Q$300, 9, FALSE)</f>
        <v>#N/A</v>
      </c>
      <c r="U79" s="11" t="e">
        <f>VLOOKUP($H79, 'ADP Data'!$B$4:$Q$300, 10, FALSE)</f>
        <v>#N/A</v>
      </c>
      <c r="V79" s="11" t="e">
        <f t="shared" si="4"/>
        <v>#N/A</v>
      </c>
      <c r="W79" s="11" t="e">
        <f>VLOOKUP($H79, SeanRanks!$A$2:$J$303, 7, FALSE)-V79</f>
        <v>#N/A</v>
      </c>
      <c r="X79" s="11"/>
    </row>
    <row r="80" spans="1:24" ht="14.25" customHeight="1" x14ac:dyDescent="0.25">
      <c r="A80" s="11"/>
      <c r="B80" s="11" t="e">
        <f t="shared" si="0"/>
        <v>#N/A</v>
      </c>
      <c r="C80" s="11" t="s">
        <v>148</v>
      </c>
      <c r="D80" s="11"/>
      <c r="E80" s="11">
        <v>0</v>
      </c>
      <c r="F80" s="11">
        <f t="shared" si="1"/>
        <v>0</v>
      </c>
      <c r="G80" s="11" t="s">
        <v>148</v>
      </c>
      <c r="H80" s="11" t="s">
        <v>993</v>
      </c>
      <c r="I80" s="11" t="e">
        <f>VLOOKUP($H80, 'ADP Data'!$B$4:$Q$300, 2, FALSE)</f>
        <v>#N/A</v>
      </c>
      <c r="J80" s="11" t="e">
        <f>VLOOKUP($H80, 'ADP Data'!$B$4:$Q$300, 3, FALSE)</f>
        <v>#N/A</v>
      </c>
      <c r="K80" s="11"/>
      <c r="L80" s="11" t="e">
        <f>VLOOKUP($H80, SeanRanks!$A$2:$H$303, 5, FALSE)</f>
        <v>#N/A</v>
      </c>
      <c r="M80" s="11">
        <f t="shared" si="2"/>
        <v>16</v>
      </c>
      <c r="N80" s="11" t="e">
        <f>VLOOKUP($H80, 'ADP Data'!$B$4:$Q$300, 11, FALSE)</f>
        <v>#N/A</v>
      </c>
      <c r="O80" s="11" t="e">
        <f>VLOOKUP($H80, 'ADP Data'!$B$4:$Q$300, 5, FALSE)</f>
        <v>#N/A</v>
      </c>
      <c r="P80" s="11" t="e">
        <f t="shared" si="3"/>
        <v>#N/A</v>
      </c>
      <c r="Q80" s="11" t="e">
        <f>VLOOKUP($H80, 'ADP Data'!$B$4:$Q$300, 6, FALSE)</f>
        <v>#N/A</v>
      </c>
      <c r="R80" s="11" t="e">
        <f>VLOOKUP($H80, 'ADP Data'!$B$4:$Q$300, 7, FALSE)</f>
        <v>#N/A</v>
      </c>
      <c r="S80" s="11" t="e">
        <f>VLOOKUP($H80, 'ADP Data'!$B$4:$Q$300, 8, FALSE)</f>
        <v>#N/A</v>
      </c>
      <c r="T80" s="11" t="e">
        <f>VLOOKUP($H80, 'ADP Data'!$B$4:$Q$300, 9, FALSE)</f>
        <v>#N/A</v>
      </c>
      <c r="U80" s="11" t="e">
        <f>VLOOKUP($H80, 'ADP Data'!$B$4:$Q$300, 10, FALSE)</f>
        <v>#N/A</v>
      </c>
      <c r="V80" s="11" t="e">
        <f t="shared" si="4"/>
        <v>#N/A</v>
      </c>
      <c r="W80" s="11" t="e">
        <f>VLOOKUP($H80, SeanRanks!$A$2:$J$303, 7, FALSE)-V80</f>
        <v>#N/A</v>
      </c>
      <c r="X80" s="11"/>
    </row>
    <row r="81" spans="1:24" ht="14.25" customHeight="1" x14ac:dyDescent="0.25">
      <c r="A81" s="11"/>
      <c r="B81" s="11" t="e">
        <f t="shared" si="0"/>
        <v>#N/A</v>
      </c>
      <c r="C81" s="11" t="s">
        <v>148</v>
      </c>
      <c r="D81" s="11"/>
      <c r="E81" s="11"/>
      <c r="F81" s="11">
        <f t="shared" si="1"/>
        <v>0</v>
      </c>
      <c r="G81" s="11"/>
      <c r="H81" s="11" t="s">
        <v>1211</v>
      </c>
      <c r="I81" s="11" t="e">
        <f>VLOOKUP($H81, 'ADP Data'!$B$4:$Q$300, 2, FALSE)</f>
        <v>#N/A</v>
      </c>
      <c r="J81" s="11" t="e">
        <f>VLOOKUP($H81, 'ADP Data'!$B$4:$Q$300, 3, FALSE)</f>
        <v>#N/A</v>
      </c>
      <c r="K81" s="11" t="e">
        <f>VLOOKUP($H81, SeanRanks!$A$2:$H$303, 4, FALSE)</f>
        <v>#N/A</v>
      </c>
      <c r="L81" s="11" t="e">
        <f>VLOOKUP($H81, SeanRanks!$A$2:$H$303, 5, FALSE)</f>
        <v>#N/A</v>
      </c>
      <c r="M81" s="11">
        <f t="shared" si="2"/>
        <v>16</v>
      </c>
      <c r="N81" s="11" t="e">
        <f>VLOOKUP($H81, 'ADP Data'!$B$4:$Q$300, 11, FALSE)</f>
        <v>#N/A</v>
      </c>
      <c r="O81" s="11" t="e">
        <f>VLOOKUP($H81, 'ADP Data'!$B$4:$Q$300, 5, FALSE)</f>
        <v>#N/A</v>
      </c>
      <c r="P81" s="11" t="e">
        <f t="shared" si="3"/>
        <v>#N/A</v>
      </c>
      <c r="Q81" s="11" t="e">
        <f>VLOOKUP($H81, 'ADP Data'!$B$4:$Q$300, 6, FALSE)</f>
        <v>#N/A</v>
      </c>
      <c r="R81" s="11" t="e">
        <f>VLOOKUP($H81, 'ADP Data'!$B$4:$Q$300, 7, FALSE)</f>
        <v>#N/A</v>
      </c>
      <c r="S81" s="11" t="e">
        <f>VLOOKUP($H81, 'ADP Data'!$B$4:$Q$300, 8, FALSE)</f>
        <v>#N/A</v>
      </c>
      <c r="T81" s="11" t="e">
        <f>VLOOKUP($H81, 'ADP Data'!$B$4:$Q$300, 9, FALSE)</f>
        <v>#N/A</v>
      </c>
      <c r="U81" s="11" t="e">
        <f>VLOOKUP($H81, 'ADP Data'!$B$4:$Q$300, 10, FALSE)</f>
        <v>#N/A</v>
      </c>
      <c r="V81" s="11" t="e">
        <f t="shared" si="4"/>
        <v>#N/A</v>
      </c>
      <c r="W81" s="11" t="e">
        <f>VLOOKUP($H81, SeanRanks!$A$2:$J$303, 7, FALSE)-V81</f>
        <v>#N/A</v>
      </c>
      <c r="X81" s="11" t="s">
        <v>1212</v>
      </c>
    </row>
    <row r="82" spans="1:24" ht="14.25" customHeight="1" x14ac:dyDescent="0.25">
      <c r="A82" s="11"/>
      <c r="B82" s="11" t="e">
        <f t="shared" si="0"/>
        <v>#N/A</v>
      </c>
      <c r="C82" s="11" t="s">
        <v>148</v>
      </c>
      <c r="D82" s="11"/>
      <c r="E82" s="11"/>
      <c r="F82" s="11">
        <f t="shared" si="1"/>
        <v>0</v>
      </c>
      <c r="G82" s="11"/>
      <c r="H82" s="11" t="s">
        <v>1213</v>
      </c>
      <c r="I82" s="11" t="e">
        <f>VLOOKUP($H82, 'ADP Data'!$B$4:$Q$300, 2, FALSE)</f>
        <v>#N/A</v>
      </c>
      <c r="J82" s="11" t="e">
        <f>VLOOKUP($H82, 'ADP Data'!$B$4:$Q$300, 3, FALSE)</f>
        <v>#N/A</v>
      </c>
      <c r="K82" s="11" t="e">
        <f>VLOOKUP($H82, SeanRanks!$A$2:$H$303, 4, FALSE)</f>
        <v>#N/A</v>
      </c>
      <c r="L82" s="11" t="e">
        <f>VLOOKUP($H82, SeanRanks!$A$2:$H$303, 5, FALSE)</f>
        <v>#N/A</v>
      </c>
      <c r="M82" s="11">
        <f t="shared" si="2"/>
        <v>16</v>
      </c>
      <c r="N82" s="11" t="e">
        <f>VLOOKUP($H82, 'ADP Data'!$B$4:$Q$300, 11, FALSE)</f>
        <v>#N/A</v>
      </c>
      <c r="O82" s="11" t="e">
        <f>VLOOKUP($H82, 'ADP Data'!$B$4:$Q$300, 5, FALSE)</f>
        <v>#N/A</v>
      </c>
      <c r="P82" s="11" t="e">
        <f t="shared" si="3"/>
        <v>#N/A</v>
      </c>
      <c r="Q82" s="11" t="e">
        <f>VLOOKUP($H82, 'ADP Data'!$B$4:$Q$300, 6, FALSE)</f>
        <v>#N/A</v>
      </c>
      <c r="R82" s="11" t="e">
        <f>VLOOKUP($H82, 'ADP Data'!$B$4:$Q$300, 7, FALSE)</f>
        <v>#N/A</v>
      </c>
      <c r="S82" s="11" t="e">
        <f>VLOOKUP($H82, 'ADP Data'!$B$4:$Q$300, 8, FALSE)</f>
        <v>#N/A</v>
      </c>
      <c r="T82" s="11" t="e">
        <f>VLOOKUP($H82, 'ADP Data'!$B$4:$Q$300, 9, FALSE)</f>
        <v>#N/A</v>
      </c>
      <c r="U82" s="11" t="e">
        <f>VLOOKUP($H82, 'ADP Data'!$B$4:$Q$300, 10, FALSE)</f>
        <v>#N/A</v>
      </c>
      <c r="V82" s="11" t="e">
        <f t="shared" si="4"/>
        <v>#N/A</v>
      </c>
      <c r="W82" s="11" t="e">
        <f>VLOOKUP($H82, SeanRanks!$A$2:$J$303, 7, FALSE)-V82</f>
        <v>#N/A</v>
      </c>
      <c r="X82" s="11"/>
    </row>
    <row r="83" spans="1:24" ht="14.25" customHeight="1" x14ac:dyDescent="0.25">
      <c r="A83" s="11"/>
      <c r="B83" s="11" t="e">
        <f t="shared" si="0"/>
        <v>#N/A</v>
      </c>
      <c r="C83" s="11" t="s">
        <v>148</v>
      </c>
      <c r="D83" s="11"/>
      <c r="E83" s="11"/>
      <c r="F83" s="11">
        <f t="shared" si="1"/>
        <v>0</v>
      </c>
      <c r="G83" s="11"/>
      <c r="H83" s="11" t="s">
        <v>926</v>
      </c>
      <c r="I83" s="11" t="e">
        <f>VLOOKUP($H83, 'ADP Data'!$B$4:$Q$300, 2, FALSE)</f>
        <v>#N/A</v>
      </c>
      <c r="J83" s="11" t="e">
        <f>VLOOKUP($H83, 'ADP Data'!$B$4:$Q$300, 3, FALSE)</f>
        <v>#N/A</v>
      </c>
      <c r="K83" s="11" t="e">
        <f>VLOOKUP($H83, SeanRanks!$A$2:$H$303, 4, FALSE)</f>
        <v>#N/A</v>
      </c>
      <c r="L83" s="11" t="e">
        <f>VLOOKUP($H83, SeanRanks!$A$2:$H$303, 5, FALSE)</f>
        <v>#N/A</v>
      </c>
      <c r="M83" s="11">
        <f t="shared" si="2"/>
        <v>16</v>
      </c>
      <c r="N83" s="11" t="e">
        <f>VLOOKUP($H83, 'ADP Data'!$B$4:$Q$300, 11, FALSE)</f>
        <v>#N/A</v>
      </c>
      <c r="O83" s="11" t="e">
        <f>VLOOKUP($H83, 'ADP Data'!$B$4:$Q$300, 5, FALSE)</f>
        <v>#N/A</v>
      </c>
      <c r="P83" s="11" t="e">
        <f t="shared" si="3"/>
        <v>#N/A</v>
      </c>
      <c r="Q83" s="11" t="e">
        <f>VLOOKUP($H83, 'ADP Data'!$B$4:$Q$300, 6, FALSE)</f>
        <v>#N/A</v>
      </c>
      <c r="R83" s="11" t="e">
        <f>VLOOKUP($H83, 'ADP Data'!$B$4:$Q$300, 7, FALSE)</f>
        <v>#N/A</v>
      </c>
      <c r="S83" s="11" t="e">
        <f>VLOOKUP($H83, 'ADP Data'!$B$4:$Q$300, 8, FALSE)</f>
        <v>#N/A</v>
      </c>
      <c r="T83" s="11" t="e">
        <f>VLOOKUP($H83, 'ADP Data'!$B$4:$Q$300, 9, FALSE)</f>
        <v>#N/A</v>
      </c>
      <c r="U83" s="11" t="e">
        <f>VLOOKUP($H83, 'ADP Data'!$B$4:$Q$300, 10, FALSE)</f>
        <v>#N/A</v>
      </c>
      <c r="V83" s="11" t="e">
        <f t="shared" si="4"/>
        <v>#N/A</v>
      </c>
      <c r="W83" s="11" t="e">
        <f>VLOOKUP($H83, SeanRanks!$A$2:$J$303, 7, FALSE)-V83</f>
        <v>#N/A</v>
      </c>
      <c r="X83" s="11" t="s">
        <v>1214</v>
      </c>
    </row>
    <row r="84" spans="1:24" ht="14.25" customHeight="1" x14ac:dyDescent="0.25">
      <c r="A84" s="11"/>
      <c r="B84" s="11" t="e">
        <f t="shared" si="0"/>
        <v>#N/A</v>
      </c>
      <c r="C84" s="11" t="s">
        <v>148</v>
      </c>
      <c r="D84" s="11"/>
      <c r="E84" s="11">
        <v>0</v>
      </c>
      <c r="F84" s="11">
        <f t="shared" si="1"/>
        <v>0</v>
      </c>
      <c r="G84" s="11" t="s">
        <v>148</v>
      </c>
      <c r="H84" s="11" t="s">
        <v>196</v>
      </c>
      <c r="I84" s="11" t="e">
        <f>VLOOKUP($H84, 'ADP Data'!$B$4:$Q$300, 2, FALSE)</f>
        <v>#N/A</v>
      </c>
      <c r="J84" s="11" t="e">
        <f>VLOOKUP($H84, 'ADP Data'!$B$4:$Q$300, 3, FALSE)</f>
        <v>#N/A</v>
      </c>
      <c r="K84" s="11">
        <f>VLOOKUP($H84, SeanRanks!$A$2:$H$303, 4, FALSE)</f>
        <v>0</v>
      </c>
      <c r="L84" s="11">
        <f>VLOOKUP($H84, SeanRanks!$A$2:$H$303, 5, FALSE)</f>
        <v>0</v>
      </c>
      <c r="M84" s="11">
        <f t="shared" si="2"/>
        <v>16</v>
      </c>
      <c r="N84" s="11" t="e">
        <f>VLOOKUP($H84, 'ADP Data'!$B$4:$Q$300, 11, FALSE)</f>
        <v>#N/A</v>
      </c>
      <c r="O84" s="11" t="e">
        <f>VLOOKUP($H84, 'ADP Data'!$B$4:$Q$300, 5, FALSE)</f>
        <v>#N/A</v>
      </c>
      <c r="P84" s="11" t="e">
        <f t="shared" si="3"/>
        <v>#N/A</v>
      </c>
      <c r="Q84" s="11" t="e">
        <f>VLOOKUP($H84, 'ADP Data'!$B$4:$Q$300, 6, FALSE)</f>
        <v>#N/A</v>
      </c>
      <c r="R84" s="11" t="e">
        <f>VLOOKUP($H84, 'ADP Data'!$B$4:$Q$300, 7, FALSE)</f>
        <v>#N/A</v>
      </c>
      <c r="S84" s="11" t="e">
        <f>VLOOKUP($H84, 'ADP Data'!$B$4:$Q$300, 8, FALSE)</f>
        <v>#N/A</v>
      </c>
      <c r="T84" s="11" t="e">
        <f>VLOOKUP($H84, 'ADP Data'!$B$4:$Q$300, 9, FALSE)</f>
        <v>#N/A</v>
      </c>
      <c r="U84" s="11" t="e">
        <f>VLOOKUP($H84, 'ADP Data'!$B$4:$Q$300, 10, FALSE)</f>
        <v>#N/A</v>
      </c>
      <c r="V84" s="11" t="e">
        <f t="shared" si="4"/>
        <v>#N/A</v>
      </c>
      <c r="W84" s="11" t="e">
        <f>VLOOKUP($H84, SeanRanks!$A$2:$J$303, 7, FALSE)-V84</f>
        <v>#N/A</v>
      </c>
      <c r="X84" s="11" t="s">
        <v>1215</v>
      </c>
    </row>
    <row r="85" spans="1:24" ht="14.25" customHeight="1" x14ac:dyDescent="0.25">
      <c r="A85" s="11"/>
      <c r="B85" s="11" t="e">
        <f t="shared" si="0"/>
        <v>#N/A</v>
      </c>
      <c r="C85" s="11" t="s">
        <v>148</v>
      </c>
      <c r="D85" s="11"/>
      <c r="E85" s="11"/>
      <c r="F85" s="11">
        <f t="shared" si="1"/>
        <v>0</v>
      </c>
      <c r="G85" s="11"/>
      <c r="H85" s="11" t="s">
        <v>282</v>
      </c>
      <c r="I85" s="11" t="e">
        <f>VLOOKUP($H85, 'ADP Data'!$B$4:$Q$300, 2, FALSE)</f>
        <v>#N/A</v>
      </c>
      <c r="J85" s="11" t="e">
        <f>VLOOKUP($H85, 'ADP Data'!$B$4:$Q$300, 3, FALSE)</f>
        <v>#N/A</v>
      </c>
      <c r="K85" s="11" t="e">
        <f>VLOOKUP($H85, SeanRanks!$A$2:$H$303, 4, FALSE)</f>
        <v>#N/A</v>
      </c>
      <c r="L85" s="11" t="e">
        <f>VLOOKUP($H85, SeanRanks!$A$2:$H$303, 5, FALSE)</f>
        <v>#N/A</v>
      </c>
      <c r="M85" s="11">
        <f t="shared" si="2"/>
        <v>16</v>
      </c>
      <c r="N85" s="11" t="e">
        <f>VLOOKUP($H85, 'ADP Data'!$B$4:$Q$300, 11, FALSE)</f>
        <v>#N/A</v>
      </c>
      <c r="O85" s="11" t="e">
        <f>VLOOKUP($H85, 'ADP Data'!$B$4:$Q$300, 5, FALSE)</f>
        <v>#N/A</v>
      </c>
      <c r="P85" s="11" t="e">
        <f t="shared" si="3"/>
        <v>#N/A</v>
      </c>
      <c r="Q85" s="11" t="e">
        <f>VLOOKUP($H85, 'ADP Data'!$B$4:$Q$300, 6, FALSE)</f>
        <v>#N/A</v>
      </c>
      <c r="R85" s="11" t="e">
        <f>VLOOKUP($H85, 'ADP Data'!$B$4:$Q$300, 7, FALSE)</f>
        <v>#N/A</v>
      </c>
      <c r="S85" s="11" t="e">
        <f>VLOOKUP($H85, 'ADP Data'!$B$4:$Q$300, 8, FALSE)</f>
        <v>#N/A</v>
      </c>
      <c r="T85" s="11" t="e">
        <f>VLOOKUP($H85, 'ADP Data'!$B$4:$Q$300, 9, FALSE)</f>
        <v>#N/A</v>
      </c>
      <c r="U85" s="11" t="e">
        <f>VLOOKUP($H85, 'ADP Data'!$B$4:$Q$300, 10, FALSE)</f>
        <v>#N/A</v>
      </c>
      <c r="V85" s="11" t="e">
        <f t="shared" si="4"/>
        <v>#N/A</v>
      </c>
      <c r="W85" s="11" t="e">
        <f>VLOOKUP($H85, SeanRanks!$A$2:$J$303, 7, FALSE)-V85</f>
        <v>#N/A</v>
      </c>
      <c r="X85" s="11" t="s">
        <v>1216</v>
      </c>
    </row>
    <row r="86" spans="1:24" ht="14.25" customHeight="1" x14ac:dyDescent="0.25">
      <c r="A86" s="11"/>
      <c r="B86" s="11" t="e">
        <f t="shared" si="0"/>
        <v>#N/A</v>
      </c>
      <c r="C86" s="11" t="s">
        <v>148</v>
      </c>
      <c r="D86" s="11"/>
      <c r="E86" s="11"/>
      <c r="F86" s="11">
        <f t="shared" si="1"/>
        <v>0</v>
      </c>
      <c r="G86" s="11"/>
      <c r="H86" s="11" t="s">
        <v>1217</v>
      </c>
      <c r="I86" s="11" t="e">
        <f>VLOOKUP($H86, 'ADP Data'!$B$4:$Q$300, 2, FALSE)</f>
        <v>#N/A</v>
      </c>
      <c r="J86" s="11" t="e">
        <f>VLOOKUP($H86, 'ADP Data'!$B$4:$Q$300, 3, FALSE)</f>
        <v>#N/A</v>
      </c>
      <c r="K86" s="11" t="e">
        <f>VLOOKUP($H86, SeanRanks!$A$2:$H$303, 4, FALSE)</f>
        <v>#N/A</v>
      </c>
      <c r="L86" s="11" t="e">
        <f>VLOOKUP($H86, SeanRanks!$A$2:$H$303, 5, FALSE)</f>
        <v>#N/A</v>
      </c>
      <c r="M86" s="11">
        <f t="shared" si="2"/>
        <v>16</v>
      </c>
      <c r="N86" s="11" t="e">
        <f>VLOOKUP($H86, 'ADP Data'!$B$4:$Q$300, 11, FALSE)</f>
        <v>#N/A</v>
      </c>
      <c r="O86" s="11" t="e">
        <f>VLOOKUP($H86, 'ADP Data'!$B$4:$Q$300, 5, FALSE)</f>
        <v>#N/A</v>
      </c>
      <c r="P86" s="11" t="e">
        <f t="shared" si="3"/>
        <v>#N/A</v>
      </c>
      <c r="Q86" s="11" t="e">
        <f>VLOOKUP($H86, 'ADP Data'!$B$4:$Q$300, 6, FALSE)</f>
        <v>#N/A</v>
      </c>
      <c r="R86" s="11" t="e">
        <f>VLOOKUP($H86, 'ADP Data'!$B$4:$Q$300, 7, FALSE)</f>
        <v>#N/A</v>
      </c>
      <c r="S86" s="11" t="e">
        <f>VLOOKUP($H86, 'ADP Data'!$B$4:$Q$300, 8, FALSE)</f>
        <v>#N/A</v>
      </c>
      <c r="T86" s="11" t="e">
        <f>VLOOKUP($H86, 'ADP Data'!$B$4:$Q$300, 9, FALSE)</f>
        <v>#N/A</v>
      </c>
      <c r="U86" s="11" t="e">
        <f>VLOOKUP($H86, 'ADP Data'!$B$4:$Q$300, 10, FALSE)</f>
        <v>#N/A</v>
      </c>
      <c r="V86" s="11" t="e">
        <f t="shared" si="4"/>
        <v>#N/A</v>
      </c>
      <c r="W86" s="11" t="e">
        <f>VLOOKUP($H86, SeanRanks!$A$2:$J$303, 7, FALSE)-V86</f>
        <v>#N/A</v>
      </c>
      <c r="X86" s="11"/>
    </row>
    <row r="87" spans="1:24" ht="14.25" customHeight="1" x14ac:dyDescent="0.25">
      <c r="A87" s="11"/>
      <c r="B87" s="11" t="e">
        <f t="shared" si="0"/>
        <v>#N/A</v>
      </c>
      <c r="C87" s="11" t="s">
        <v>148</v>
      </c>
      <c r="D87" s="11"/>
      <c r="E87" s="11"/>
      <c r="F87" s="11">
        <f t="shared" si="1"/>
        <v>0</v>
      </c>
      <c r="G87" s="11"/>
      <c r="H87" s="11" t="s">
        <v>602</v>
      </c>
      <c r="I87" s="11" t="e">
        <f>VLOOKUP($H87, 'ADP Data'!$B$4:$Q$300, 2, FALSE)</f>
        <v>#N/A</v>
      </c>
      <c r="J87" s="11" t="e">
        <f>VLOOKUP($H87, 'ADP Data'!$B$4:$Q$300, 3, FALSE)</f>
        <v>#N/A</v>
      </c>
      <c r="K87" s="11"/>
      <c r="L87" s="11"/>
      <c r="M87" s="11">
        <f t="shared" si="2"/>
        <v>16</v>
      </c>
      <c r="N87" s="11" t="e">
        <f>VLOOKUP($H87, 'ADP Data'!$B$4:$Q$300, 11, FALSE)</f>
        <v>#N/A</v>
      </c>
      <c r="O87" s="11" t="e">
        <f>VLOOKUP($H87, 'ADP Data'!$B$4:$Q$300, 5, FALSE)</f>
        <v>#N/A</v>
      </c>
      <c r="P87" s="11" t="e">
        <f t="shared" si="3"/>
        <v>#N/A</v>
      </c>
      <c r="Q87" s="11" t="e">
        <f>VLOOKUP($H87, 'ADP Data'!$B$4:$Q$300, 6, FALSE)</f>
        <v>#N/A</v>
      </c>
      <c r="R87" s="11" t="e">
        <f>VLOOKUP($H87, 'ADP Data'!$B$4:$Q$300, 7, FALSE)</f>
        <v>#N/A</v>
      </c>
      <c r="S87" s="11" t="e">
        <f>VLOOKUP($H87, 'ADP Data'!$B$4:$Q$300, 8, FALSE)</f>
        <v>#N/A</v>
      </c>
      <c r="T87" s="11" t="e">
        <f>VLOOKUP($H87, 'ADP Data'!$B$4:$Q$300, 9, FALSE)</f>
        <v>#N/A</v>
      </c>
      <c r="U87" s="11" t="e">
        <f>VLOOKUP($H87, 'ADP Data'!$B$4:$Q$300, 10, FALSE)</f>
        <v>#N/A</v>
      </c>
      <c r="V87" s="11" t="e">
        <f t="shared" si="4"/>
        <v>#N/A</v>
      </c>
      <c r="W87" s="11" t="e">
        <f>VLOOKUP($H87, SeanRanks!$A$2:$J$303, 7, FALSE)-V87</f>
        <v>#N/A</v>
      </c>
      <c r="X87" s="11"/>
    </row>
    <row r="88" spans="1:24" ht="14.25" customHeight="1" x14ac:dyDescent="0.25">
      <c r="A88" s="11"/>
      <c r="B88" s="11" t="e">
        <f t="shared" si="0"/>
        <v>#N/A</v>
      </c>
      <c r="C88" s="11" t="s">
        <v>148</v>
      </c>
      <c r="D88" s="11"/>
      <c r="E88" s="11"/>
      <c r="F88" s="11">
        <f t="shared" si="1"/>
        <v>0</v>
      </c>
      <c r="G88" s="11"/>
      <c r="H88" s="11" t="s">
        <v>925</v>
      </c>
      <c r="I88" s="11" t="e">
        <f>VLOOKUP($H88, 'ADP Data'!$B$4:$Q$300, 2, FALSE)</f>
        <v>#N/A</v>
      </c>
      <c r="J88" s="11" t="s">
        <v>1084</v>
      </c>
      <c r="K88" s="11"/>
      <c r="L88" s="11"/>
      <c r="M88" s="11">
        <f t="shared" si="2"/>
        <v>16</v>
      </c>
      <c r="N88" s="11" t="e">
        <f>VLOOKUP($H88, 'ADP Data'!$B$4:$Q$300, 11, FALSE)</f>
        <v>#N/A</v>
      </c>
      <c r="O88" s="11" t="e">
        <f>VLOOKUP($H88, 'ADP Data'!$B$4:$Q$300, 5, FALSE)</f>
        <v>#N/A</v>
      </c>
      <c r="P88" s="11" t="e">
        <f t="shared" si="3"/>
        <v>#N/A</v>
      </c>
      <c r="Q88" s="11" t="e">
        <f>VLOOKUP($H88, 'ADP Data'!$B$4:$Q$300, 6, FALSE)</f>
        <v>#N/A</v>
      </c>
      <c r="R88" s="11" t="e">
        <f>VLOOKUP($H88, 'ADP Data'!$B$4:$Q$300, 7, FALSE)</f>
        <v>#N/A</v>
      </c>
      <c r="S88" s="11" t="e">
        <f>VLOOKUP($H88, 'ADP Data'!$B$4:$Q$300, 8, FALSE)</f>
        <v>#N/A</v>
      </c>
      <c r="T88" s="11" t="e">
        <f>VLOOKUP($H88, 'ADP Data'!$B$4:$Q$300, 9, FALSE)</f>
        <v>#N/A</v>
      </c>
      <c r="U88" s="11" t="e">
        <f>VLOOKUP($H88, 'ADP Data'!$B$4:$Q$300, 10, FALSE)</f>
        <v>#N/A</v>
      </c>
      <c r="V88" s="11" t="e">
        <f t="shared" si="4"/>
        <v>#N/A</v>
      </c>
      <c r="W88" s="11" t="e">
        <f>VLOOKUP($H88, SeanRanks!$A$2:$J$303, 7, FALSE)-V88</f>
        <v>#N/A</v>
      </c>
      <c r="X88" s="11"/>
    </row>
    <row r="89" spans="1:24" ht="14.25" customHeight="1" x14ac:dyDescent="0.25">
      <c r="A89" s="11"/>
      <c r="B89" s="11" t="e">
        <f t="shared" si="0"/>
        <v>#N/A</v>
      </c>
      <c r="C89" s="11" t="s">
        <v>148</v>
      </c>
      <c r="D89" s="11"/>
      <c r="E89" s="11"/>
      <c r="F89" s="11">
        <f t="shared" si="1"/>
        <v>0</v>
      </c>
      <c r="G89" s="11"/>
      <c r="H89" s="11" t="s">
        <v>943</v>
      </c>
      <c r="I89" s="11" t="e">
        <f>VLOOKUP($H89, 'ADP Data'!$B$4:$Q$300, 2, FALSE)</f>
        <v>#N/A</v>
      </c>
      <c r="J89" s="11" t="e">
        <f>VLOOKUP($H89, 'ADP Data'!$B$4:$Q$300, 3, FALSE)</f>
        <v>#N/A</v>
      </c>
      <c r="K89" s="11"/>
      <c r="L89" s="11"/>
      <c r="M89" s="11">
        <f t="shared" si="2"/>
        <v>16</v>
      </c>
      <c r="N89" s="11" t="e">
        <f>VLOOKUP($H89, 'ADP Data'!$B$4:$Q$300, 11, FALSE)</f>
        <v>#N/A</v>
      </c>
      <c r="O89" s="11" t="e">
        <f>VLOOKUP($H89, 'ADP Data'!$B$4:$Q$300, 5, FALSE)</f>
        <v>#N/A</v>
      </c>
      <c r="P89" s="11" t="e">
        <f t="shared" si="3"/>
        <v>#N/A</v>
      </c>
      <c r="Q89" s="11" t="e">
        <f>VLOOKUP($H89, 'ADP Data'!$B$4:$Q$300, 6, FALSE)</f>
        <v>#N/A</v>
      </c>
      <c r="R89" s="11" t="e">
        <f>VLOOKUP($H89, 'ADP Data'!$B$4:$Q$300, 7, FALSE)</f>
        <v>#N/A</v>
      </c>
      <c r="S89" s="11" t="e">
        <f>VLOOKUP($H89, 'ADP Data'!$B$4:$Q$300, 8, FALSE)</f>
        <v>#N/A</v>
      </c>
      <c r="T89" s="11" t="e">
        <f>VLOOKUP($H89, 'ADP Data'!$B$4:$Q$300, 9, FALSE)</f>
        <v>#N/A</v>
      </c>
      <c r="U89" s="11" t="e">
        <f>VLOOKUP($H89, 'ADP Data'!$B$4:$Q$300, 10, FALSE)</f>
        <v>#N/A</v>
      </c>
      <c r="V89" s="11" t="e">
        <f t="shared" si="4"/>
        <v>#N/A</v>
      </c>
      <c r="W89" s="11" t="e">
        <f>VLOOKUP($H89, SeanRanks!$A$2:$J$303, 7, FALSE)-V89</f>
        <v>#N/A</v>
      </c>
      <c r="X89" s="11"/>
    </row>
    <row r="90" spans="1:24" ht="14.25" customHeight="1" x14ac:dyDescent="0.25">
      <c r="A90" s="11"/>
      <c r="B90" s="11" t="e">
        <f t="shared" si="0"/>
        <v>#N/A</v>
      </c>
      <c r="C90" s="11" t="s">
        <v>148</v>
      </c>
      <c r="D90" s="11"/>
      <c r="E90" s="11"/>
      <c r="F90" s="11">
        <f t="shared" si="1"/>
        <v>0</v>
      </c>
      <c r="G90" s="11"/>
      <c r="H90" s="11" t="s">
        <v>598</v>
      </c>
      <c r="I90" s="11" t="e">
        <f>VLOOKUP($H90, 'ADP Data'!$B$4:$Q$300, 2, FALSE)</f>
        <v>#N/A</v>
      </c>
      <c r="J90" s="11" t="e">
        <f>VLOOKUP($H90, 'ADP Data'!$B$4:$Q$300, 3, FALSE)</f>
        <v>#N/A</v>
      </c>
      <c r="K90" s="11"/>
      <c r="L90" s="11"/>
      <c r="M90" s="11">
        <f t="shared" si="2"/>
        <v>16</v>
      </c>
      <c r="N90" s="11" t="e">
        <f>VLOOKUP($H90, 'ADP Data'!$B$4:$Q$300, 11, FALSE)</f>
        <v>#N/A</v>
      </c>
      <c r="O90" s="11" t="e">
        <f>VLOOKUP($H90, 'ADP Data'!$B$4:$Q$300, 5, FALSE)</f>
        <v>#N/A</v>
      </c>
      <c r="P90" s="11" t="e">
        <f t="shared" si="3"/>
        <v>#N/A</v>
      </c>
      <c r="Q90" s="11" t="e">
        <f>VLOOKUP($H90, 'ADP Data'!$B$4:$Q$300, 6, FALSE)</f>
        <v>#N/A</v>
      </c>
      <c r="R90" s="11" t="e">
        <f>VLOOKUP($H90, 'ADP Data'!$B$4:$Q$300, 7, FALSE)</f>
        <v>#N/A</v>
      </c>
      <c r="S90" s="11" t="e">
        <f>VLOOKUP($H90, 'ADP Data'!$B$4:$Q$300, 8, FALSE)</f>
        <v>#N/A</v>
      </c>
      <c r="T90" s="11" t="e">
        <f>VLOOKUP($H90, 'ADP Data'!$B$4:$Q$300, 9, FALSE)</f>
        <v>#N/A</v>
      </c>
      <c r="U90" s="11" t="e">
        <f>VLOOKUP($H90, 'ADP Data'!$B$4:$Q$300, 10, FALSE)</f>
        <v>#N/A</v>
      </c>
      <c r="V90" s="11" t="e">
        <f t="shared" si="4"/>
        <v>#N/A</v>
      </c>
      <c r="W90" s="11" t="e">
        <f>VLOOKUP($H90, SeanRanks!$A$2:$J$303, 7, FALSE)-V90</f>
        <v>#N/A</v>
      </c>
      <c r="X90" s="11"/>
    </row>
    <row r="91" spans="1:24" ht="14.25" customHeight="1" x14ac:dyDescent="0.25">
      <c r="A91" s="11"/>
      <c r="B91" s="11" t="e">
        <f t="shared" si="0"/>
        <v>#N/A</v>
      </c>
      <c r="C91" s="11" t="s">
        <v>148</v>
      </c>
      <c r="D91" s="11"/>
      <c r="E91" s="11"/>
      <c r="F91" s="11">
        <f t="shared" si="1"/>
        <v>0</v>
      </c>
      <c r="G91" s="11"/>
      <c r="H91" s="11" t="s">
        <v>961</v>
      </c>
      <c r="I91" s="11" t="e">
        <f>VLOOKUP($H91, 'ADP Data'!$B$4:$Q$300, 2, FALSE)</f>
        <v>#N/A</v>
      </c>
      <c r="J91" s="11" t="e">
        <f>VLOOKUP($H91, 'ADP Data'!$B$4:$Q$300, 3, FALSE)</f>
        <v>#N/A</v>
      </c>
      <c r="K91" s="11"/>
      <c r="L91" s="11"/>
      <c r="M91" s="11">
        <f t="shared" si="2"/>
        <v>16</v>
      </c>
      <c r="N91" s="11" t="e">
        <f>VLOOKUP($H91, 'ADP Data'!$B$4:$Q$300, 11, FALSE)</f>
        <v>#N/A</v>
      </c>
      <c r="O91" s="11" t="e">
        <f>VLOOKUP($H91, 'ADP Data'!$B$4:$Q$300, 5, FALSE)</f>
        <v>#N/A</v>
      </c>
      <c r="P91" s="11" t="e">
        <f t="shared" si="3"/>
        <v>#N/A</v>
      </c>
      <c r="Q91" s="11" t="e">
        <f>VLOOKUP($H91, 'ADP Data'!$B$4:$Q$300, 6, FALSE)</f>
        <v>#N/A</v>
      </c>
      <c r="R91" s="11" t="e">
        <f>VLOOKUP($H91, 'ADP Data'!$B$4:$Q$300, 7, FALSE)</f>
        <v>#N/A</v>
      </c>
      <c r="S91" s="11" t="e">
        <f>VLOOKUP($H91, 'ADP Data'!$B$4:$Q$300, 8, FALSE)</f>
        <v>#N/A</v>
      </c>
      <c r="T91" s="11" t="e">
        <f>VLOOKUP($H91, 'ADP Data'!$B$4:$Q$300, 9, FALSE)</f>
        <v>#N/A</v>
      </c>
      <c r="U91" s="11" t="e">
        <f>VLOOKUP($H91, 'ADP Data'!$B$4:$Q$300, 10, FALSE)</f>
        <v>#N/A</v>
      </c>
      <c r="V91" s="11" t="e">
        <f t="shared" si="4"/>
        <v>#N/A</v>
      </c>
      <c r="W91" s="11" t="e">
        <f>VLOOKUP($H91, SeanRanks!$A$2:$J$303, 7, FALSE)-V91</f>
        <v>#N/A</v>
      </c>
      <c r="X91" s="11"/>
    </row>
    <row r="92" spans="1:24" ht="14.25" customHeight="1" x14ac:dyDescent="0.25">
      <c r="A92" s="11"/>
      <c r="B92" s="11" t="e">
        <f t="shared" si="0"/>
        <v>#N/A</v>
      </c>
      <c r="C92" s="11" t="s">
        <v>148</v>
      </c>
      <c r="D92" s="11"/>
      <c r="E92" s="11"/>
      <c r="F92" s="11">
        <f t="shared" si="1"/>
        <v>0</v>
      </c>
      <c r="G92" s="11"/>
      <c r="H92" s="11" t="s">
        <v>636</v>
      </c>
      <c r="I92" s="11" t="e">
        <f>VLOOKUP($H92, 'ADP Data'!$B$4:$Q$300, 2, FALSE)</f>
        <v>#N/A</v>
      </c>
      <c r="J92" s="11" t="e">
        <f>VLOOKUP($H92, 'ADP Data'!$B$4:$Q$300, 3, FALSE)</f>
        <v>#N/A</v>
      </c>
      <c r="K92" s="11"/>
      <c r="L92" s="11"/>
      <c r="M92" s="11">
        <f t="shared" si="2"/>
        <v>16</v>
      </c>
      <c r="N92" s="11" t="e">
        <f>VLOOKUP($H92, 'ADP Data'!$B$4:$Q$300, 11, FALSE)</f>
        <v>#N/A</v>
      </c>
      <c r="O92" s="11" t="e">
        <f>VLOOKUP($H92, 'ADP Data'!$B$4:$Q$300, 5, FALSE)</f>
        <v>#N/A</v>
      </c>
      <c r="P92" s="11" t="e">
        <f t="shared" si="3"/>
        <v>#N/A</v>
      </c>
      <c r="Q92" s="11" t="e">
        <f>VLOOKUP($H92, 'ADP Data'!$B$4:$Q$300, 6, FALSE)</f>
        <v>#N/A</v>
      </c>
      <c r="R92" s="11" t="e">
        <f>VLOOKUP($H92, 'ADP Data'!$B$4:$Q$300, 7, FALSE)</f>
        <v>#N/A</v>
      </c>
      <c r="S92" s="11" t="e">
        <f>VLOOKUP($H92, 'ADP Data'!$B$4:$Q$300, 8, FALSE)</f>
        <v>#N/A</v>
      </c>
      <c r="T92" s="11" t="e">
        <f>VLOOKUP($H92, 'ADP Data'!$B$4:$Q$300, 9, FALSE)</f>
        <v>#N/A</v>
      </c>
      <c r="U92" s="11" t="e">
        <f>VLOOKUP($H92, 'ADP Data'!$B$4:$Q$300, 10, FALSE)</f>
        <v>#N/A</v>
      </c>
      <c r="V92" s="11" t="e">
        <f t="shared" si="4"/>
        <v>#N/A</v>
      </c>
      <c r="W92" s="11" t="e">
        <f>VLOOKUP($H92, SeanRanks!$A$2:$J$303, 7, FALSE)-V92</f>
        <v>#N/A</v>
      </c>
      <c r="X92" s="11"/>
    </row>
    <row r="93" spans="1:24" ht="14.25" customHeight="1" x14ac:dyDescent="0.25">
      <c r="A93" s="11"/>
      <c r="B93" s="11" t="e">
        <f t="shared" si="0"/>
        <v>#N/A</v>
      </c>
      <c r="C93" s="11" t="s">
        <v>148</v>
      </c>
      <c r="D93" s="11"/>
      <c r="E93" s="11"/>
      <c r="F93" s="11">
        <f t="shared" si="1"/>
        <v>0</v>
      </c>
      <c r="G93" s="11"/>
      <c r="H93" s="11" t="s">
        <v>658</v>
      </c>
      <c r="I93" s="11" t="e">
        <f>VLOOKUP($H93, 'ADP Data'!$B$4:$Q$300, 2, FALSE)</f>
        <v>#N/A</v>
      </c>
      <c r="J93" s="11" t="e">
        <f>VLOOKUP($H93, 'ADP Data'!$B$4:$Q$300, 3, FALSE)</f>
        <v>#N/A</v>
      </c>
      <c r="K93" s="11"/>
      <c r="L93" s="11"/>
      <c r="M93" s="11">
        <f t="shared" si="2"/>
        <v>16</v>
      </c>
      <c r="N93" s="11" t="e">
        <f>VLOOKUP($H93, 'ADP Data'!$B$4:$Q$300, 11, FALSE)</f>
        <v>#N/A</v>
      </c>
      <c r="O93" s="11" t="e">
        <f>VLOOKUP($H93, 'ADP Data'!$B$4:$Q$300, 5, FALSE)</f>
        <v>#N/A</v>
      </c>
      <c r="P93" s="11" t="e">
        <f t="shared" si="3"/>
        <v>#N/A</v>
      </c>
      <c r="Q93" s="11" t="e">
        <f>VLOOKUP($H93, 'ADP Data'!$B$4:$Q$300, 6, FALSE)</f>
        <v>#N/A</v>
      </c>
      <c r="R93" s="11" t="e">
        <f>VLOOKUP($H93, 'ADP Data'!$B$4:$Q$300, 7, FALSE)</f>
        <v>#N/A</v>
      </c>
      <c r="S93" s="11" t="e">
        <f>VLOOKUP($H93, 'ADP Data'!$B$4:$Q$300, 8, FALSE)</f>
        <v>#N/A</v>
      </c>
      <c r="T93" s="11" t="e">
        <f>VLOOKUP($H93, 'ADP Data'!$B$4:$Q$300, 9, FALSE)</f>
        <v>#N/A</v>
      </c>
      <c r="U93" s="11" t="e">
        <f>VLOOKUP($H93, 'ADP Data'!$B$4:$Q$300, 10, FALSE)</f>
        <v>#N/A</v>
      </c>
      <c r="V93" s="11" t="e">
        <f t="shared" si="4"/>
        <v>#N/A</v>
      </c>
      <c r="W93" s="11" t="e">
        <f>VLOOKUP($H93, SeanRanks!$A$2:$J$303, 7, FALSE)-V93</f>
        <v>#N/A</v>
      </c>
      <c r="X93" s="11"/>
    </row>
    <row r="94" spans="1:24" ht="14.25" customHeight="1" x14ac:dyDescent="0.25">
      <c r="A94" s="11"/>
      <c r="B94" s="11" t="e">
        <f t="shared" si="0"/>
        <v>#N/A</v>
      </c>
      <c r="C94" s="11" t="s">
        <v>148</v>
      </c>
      <c r="D94" s="11"/>
      <c r="E94" s="11"/>
      <c r="F94" s="11">
        <f t="shared" si="1"/>
        <v>0</v>
      </c>
      <c r="G94" s="11"/>
      <c r="H94" s="11" t="s">
        <v>469</v>
      </c>
      <c r="I94" s="11" t="e">
        <f>VLOOKUP($H94, 'ADP Data'!$B$4:$Q$300, 2, FALSE)</f>
        <v>#N/A</v>
      </c>
      <c r="J94" s="11" t="e">
        <f>VLOOKUP($H94, 'ADP Data'!$B$4:$Q$300, 3, FALSE)</f>
        <v>#N/A</v>
      </c>
      <c r="K94" s="11"/>
      <c r="L94" s="11"/>
      <c r="M94" s="11">
        <f t="shared" si="2"/>
        <v>16</v>
      </c>
      <c r="N94" s="11" t="e">
        <f>VLOOKUP($H94, 'ADP Data'!$B$4:$Q$300, 11, FALSE)</f>
        <v>#N/A</v>
      </c>
      <c r="O94" s="11" t="e">
        <f>VLOOKUP($H94, 'ADP Data'!$B$4:$Q$300, 5, FALSE)</f>
        <v>#N/A</v>
      </c>
      <c r="P94" s="11" t="e">
        <f t="shared" si="3"/>
        <v>#N/A</v>
      </c>
      <c r="Q94" s="11" t="e">
        <f>VLOOKUP($H94, 'ADP Data'!$B$4:$Q$300, 6, FALSE)</f>
        <v>#N/A</v>
      </c>
      <c r="R94" s="11" t="e">
        <f>VLOOKUP($H94, 'ADP Data'!$B$4:$Q$300, 7, FALSE)</f>
        <v>#N/A</v>
      </c>
      <c r="S94" s="11" t="e">
        <f>VLOOKUP($H94, 'ADP Data'!$B$4:$Q$300, 8, FALSE)</f>
        <v>#N/A</v>
      </c>
      <c r="T94" s="11" t="e">
        <f>VLOOKUP($H94, 'ADP Data'!$B$4:$Q$300, 9, FALSE)</f>
        <v>#N/A</v>
      </c>
      <c r="U94" s="11" t="e">
        <f>VLOOKUP($H94, 'ADP Data'!$B$4:$Q$300, 10, FALSE)</f>
        <v>#N/A</v>
      </c>
      <c r="V94" s="11" t="e">
        <f t="shared" si="4"/>
        <v>#N/A</v>
      </c>
      <c r="W94" s="11" t="e">
        <f>VLOOKUP($H94, SeanRanks!$A$2:$J$303, 7, FALSE)-V94</f>
        <v>#N/A</v>
      </c>
      <c r="X94" s="11"/>
    </row>
    <row r="95" spans="1:24" ht="14.25" customHeight="1" x14ac:dyDescent="0.25">
      <c r="A95" s="11"/>
      <c r="B95" s="11" t="e">
        <f t="shared" si="0"/>
        <v>#N/A</v>
      </c>
      <c r="C95" s="11" t="s">
        <v>148</v>
      </c>
      <c r="D95" s="11"/>
      <c r="E95" s="11"/>
      <c r="F95" s="11">
        <f t="shared" si="1"/>
        <v>0</v>
      </c>
      <c r="G95" s="11"/>
      <c r="H95" s="11" t="s">
        <v>985</v>
      </c>
      <c r="I95" s="11" t="e">
        <f>VLOOKUP($H95, 'ADP Data'!$B$4:$Q$300, 2, FALSE)</f>
        <v>#N/A</v>
      </c>
      <c r="J95" s="11" t="e">
        <f>VLOOKUP($H95, 'ADP Data'!$B$4:$Q$300, 3, FALSE)</f>
        <v>#N/A</v>
      </c>
      <c r="K95" s="11"/>
      <c r="L95" s="11"/>
      <c r="M95" s="11">
        <f t="shared" si="2"/>
        <v>16</v>
      </c>
      <c r="N95" s="11" t="e">
        <f>VLOOKUP($H95, 'ADP Data'!$B$4:$Q$300, 11, FALSE)</f>
        <v>#N/A</v>
      </c>
      <c r="O95" s="11" t="e">
        <f>VLOOKUP($H95, 'ADP Data'!$B$4:$Q$300, 5, FALSE)</f>
        <v>#N/A</v>
      </c>
      <c r="P95" s="11" t="e">
        <f t="shared" si="3"/>
        <v>#N/A</v>
      </c>
      <c r="Q95" s="11" t="e">
        <f>VLOOKUP($H95, 'ADP Data'!$B$4:$Q$300, 6, FALSE)</f>
        <v>#N/A</v>
      </c>
      <c r="R95" s="11" t="e">
        <f>VLOOKUP($H95, 'ADP Data'!$B$4:$Q$300, 7, FALSE)</f>
        <v>#N/A</v>
      </c>
      <c r="S95" s="11" t="e">
        <f>VLOOKUP($H95, 'ADP Data'!$B$4:$Q$300, 8, FALSE)</f>
        <v>#N/A</v>
      </c>
      <c r="T95" s="11" t="e">
        <f>VLOOKUP($H95, 'ADP Data'!$B$4:$Q$300, 9, FALSE)</f>
        <v>#N/A</v>
      </c>
      <c r="U95" s="11" t="e">
        <f>VLOOKUP($H95, 'ADP Data'!$B$4:$Q$300, 10, FALSE)</f>
        <v>#N/A</v>
      </c>
      <c r="V95" s="11" t="e">
        <f t="shared" si="4"/>
        <v>#N/A</v>
      </c>
      <c r="W95" s="11" t="e">
        <f>VLOOKUP($H95, SeanRanks!$A$2:$J$303, 7, FALSE)-V95</f>
        <v>#N/A</v>
      </c>
      <c r="X95" s="11"/>
    </row>
    <row r="96" spans="1:24" ht="14.25" customHeight="1" x14ac:dyDescent="0.25">
      <c r="A96" s="11"/>
      <c r="B96" s="11" t="e">
        <f t="shared" si="0"/>
        <v>#N/A</v>
      </c>
      <c r="C96" s="11" t="s">
        <v>148</v>
      </c>
      <c r="D96" s="11"/>
      <c r="E96" s="11"/>
      <c r="F96" s="11">
        <f t="shared" si="1"/>
        <v>0</v>
      </c>
      <c r="G96" s="11"/>
      <c r="H96" s="11" t="s">
        <v>1145</v>
      </c>
      <c r="I96" s="11" t="e">
        <f>VLOOKUP($H96, 'ADP Data'!$B$4:$Q$300, 2, FALSE)</f>
        <v>#N/A</v>
      </c>
      <c r="J96" s="11" t="e">
        <f>VLOOKUP($H96, 'ADP Data'!$B$4:$Q$300, 3, FALSE)</f>
        <v>#N/A</v>
      </c>
      <c r="K96" s="11"/>
      <c r="L96" s="11"/>
      <c r="M96" s="11">
        <f t="shared" si="2"/>
        <v>16</v>
      </c>
      <c r="N96" s="11" t="e">
        <f>VLOOKUP($H96, 'ADP Data'!$B$4:$Q$300, 11, FALSE)</f>
        <v>#N/A</v>
      </c>
      <c r="O96" s="11" t="e">
        <f>VLOOKUP($H96, 'ADP Data'!$B$4:$Q$300, 5, FALSE)</f>
        <v>#N/A</v>
      </c>
      <c r="P96" s="11" t="e">
        <f t="shared" si="3"/>
        <v>#N/A</v>
      </c>
      <c r="Q96" s="11" t="e">
        <f>VLOOKUP($H96, 'ADP Data'!$B$4:$Q$300, 6, FALSE)</f>
        <v>#N/A</v>
      </c>
      <c r="R96" s="11" t="e">
        <f>VLOOKUP($H96, 'ADP Data'!$B$4:$Q$300, 7, FALSE)</f>
        <v>#N/A</v>
      </c>
      <c r="S96" s="11" t="e">
        <f>VLOOKUP($H96, 'ADP Data'!$B$4:$Q$300, 8, FALSE)</f>
        <v>#N/A</v>
      </c>
      <c r="T96" s="11" t="e">
        <f>VLOOKUP($H96, 'ADP Data'!$B$4:$Q$300, 9, FALSE)</f>
        <v>#N/A</v>
      </c>
      <c r="U96" s="11" t="e">
        <f>VLOOKUP($H96, 'ADP Data'!$B$4:$Q$300, 10, FALSE)</f>
        <v>#N/A</v>
      </c>
      <c r="V96" s="11" t="e">
        <f t="shared" si="4"/>
        <v>#N/A</v>
      </c>
      <c r="W96" s="11" t="e">
        <f>VLOOKUP($H96, SeanRanks!$A$2:$J$303, 7, FALSE)-V96</f>
        <v>#N/A</v>
      </c>
      <c r="X96" s="11"/>
    </row>
    <row r="97" spans="1:24" ht="14.25" customHeight="1" x14ac:dyDescent="0.25">
      <c r="A97" s="11"/>
      <c r="B97" s="11" t="e">
        <f t="shared" si="0"/>
        <v>#N/A</v>
      </c>
      <c r="C97" s="11" t="s">
        <v>148</v>
      </c>
      <c r="D97" s="11"/>
      <c r="E97" s="11"/>
      <c r="F97" s="11">
        <f t="shared" si="1"/>
        <v>0</v>
      </c>
      <c r="G97" s="11"/>
      <c r="H97" s="11" t="s">
        <v>946</v>
      </c>
      <c r="I97" s="11" t="e">
        <f>VLOOKUP($H97, 'ADP Data'!$B$4:$Q$300, 2, FALSE)</f>
        <v>#N/A</v>
      </c>
      <c r="J97" s="11" t="e">
        <f>VLOOKUP($H97, 'ADP Data'!$B$4:$Q$300, 3, FALSE)</f>
        <v>#N/A</v>
      </c>
      <c r="K97" s="11"/>
      <c r="L97" s="11"/>
      <c r="M97" s="11">
        <f t="shared" si="2"/>
        <v>16</v>
      </c>
      <c r="N97" s="11" t="e">
        <f>VLOOKUP($H97, 'ADP Data'!$B$4:$Q$300, 11, FALSE)</f>
        <v>#N/A</v>
      </c>
      <c r="O97" s="11" t="e">
        <f>VLOOKUP($H97, 'ADP Data'!$B$4:$Q$300, 5, FALSE)</f>
        <v>#N/A</v>
      </c>
      <c r="P97" s="11" t="e">
        <f t="shared" si="3"/>
        <v>#N/A</v>
      </c>
      <c r="Q97" s="11" t="e">
        <f>VLOOKUP($H97, 'ADP Data'!$B$4:$Q$300, 6, FALSE)</f>
        <v>#N/A</v>
      </c>
      <c r="R97" s="11" t="e">
        <f>VLOOKUP($H97, 'ADP Data'!$B$4:$Q$300, 7, FALSE)</f>
        <v>#N/A</v>
      </c>
      <c r="S97" s="11" t="e">
        <f>VLOOKUP($H97, 'ADP Data'!$B$4:$Q$300, 8, FALSE)</f>
        <v>#N/A</v>
      </c>
      <c r="T97" s="11" t="e">
        <f>VLOOKUP($H97, 'ADP Data'!$B$4:$Q$300, 9, FALSE)</f>
        <v>#N/A</v>
      </c>
      <c r="U97" s="11" t="e">
        <f>VLOOKUP($H97, 'ADP Data'!$B$4:$Q$300, 10, FALSE)</f>
        <v>#N/A</v>
      </c>
      <c r="V97" s="11" t="e">
        <f t="shared" si="4"/>
        <v>#N/A</v>
      </c>
      <c r="W97" s="11" t="e">
        <f>VLOOKUP($H97, SeanRanks!$A$2:$J$303, 7, FALSE)-V97</f>
        <v>#N/A</v>
      </c>
      <c r="X97" s="11"/>
    </row>
    <row r="98" spans="1:24" ht="14.25" customHeight="1" x14ac:dyDescent="0.25">
      <c r="A98" s="11"/>
      <c r="B98" s="11" t="e">
        <f t="shared" si="0"/>
        <v>#N/A</v>
      </c>
      <c r="C98" s="11" t="s">
        <v>148</v>
      </c>
      <c r="D98" s="11"/>
      <c r="E98" s="11"/>
      <c r="F98" s="11">
        <f t="shared" si="1"/>
        <v>0</v>
      </c>
      <c r="G98" s="11"/>
      <c r="H98" s="11" t="s">
        <v>937</v>
      </c>
      <c r="I98" s="11" t="e">
        <f>VLOOKUP($H98, 'ADP Data'!$B$4:$Q$300, 2, FALSE)</f>
        <v>#N/A</v>
      </c>
      <c r="J98" s="11" t="e">
        <f>VLOOKUP($H98, 'ADP Data'!$B$4:$Q$300, 3, FALSE)</f>
        <v>#N/A</v>
      </c>
      <c r="K98" s="11"/>
      <c r="L98" s="11"/>
      <c r="M98" s="11">
        <f t="shared" si="2"/>
        <v>16</v>
      </c>
      <c r="N98" s="11" t="e">
        <f>VLOOKUP($H98, 'ADP Data'!$B$4:$Q$300, 11, FALSE)</f>
        <v>#N/A</v>
      </c>
      <c r="O98" s="11" t="e">
        <f>VLOOKUP($H98, 'ADP Data'!$B$4:$Q$300, 5, FALSE)</f>
        <v>#N/A</v>
      </c>
      <c r="P98" s="11" t="e">
        <f t="shared" si="3"/>
        <v>#N/A</v>
      </c>
      <c r="Q98" s="11" t="e">
        <f>VLOOKUP($H98, 'ADP Data'!$B$4:$Q$300, 6, FALSE)</f>
        <v>#N/A</v>
      </c>
      <c r="R98" s="11" t="e">
        <f>VLOOKUP($H98, 'ADP Data'!$B$4:$Q$300, 7, FALSE)</f>
        <v>#N/A</v>
      </c>
      <c r="S98" s="11" t="e">
        <f>VLOOKUP($H98, 'ADP Data'!$B$4:$Q$300, 8, FALSE)</f>
        <v>#N/A</v>
      </c>
      <c r="T98" s="11" t="e">
        <f>VLOOKUP($H98, 'ADP Data'!$B$4:$Q$300, 9, FALSE)</f>
        <v>#N/A</v>
      </c>
      <c r="U98" s="11" t="e">
        <f>VLOOKUP($H98, 'ADP Data'!$B$4:$Q$300, 10, FALSE)</f>
        <v>#N/A</v>
      </c>
      <c r="V98" s="11" t="e">
        <f t="shared" si="4"/>
        <v>#N/A</v>
      </c>
      <c r="W98" s="11" t="e">
        <f>VLOOKUP($H98, SeanRanks!$A$2:$J$303, 7, FALSE)-V98</f>
        <v>#N/A</v>
      </c>
      <c r="X98" s="11"/>
    </row>
    <row r="99" spans="1:24" ht="14.25" customHeight="1" x14ac:dyDescent="0.25">
      <c r="A99" s="11"/>
      <c r="B99" s="11" t="e">
        <f t="shared" si="0"/>
        <v>#N/A</v>
      </c>
      <c r="C99" s="11" t="s">
        <v>148</v>
      </c>
      <c r="D99" s="11"/>
      <c r="E99" s="11"/>
      <c r="F99" s="11">
        <f t="shared" si="1"/>
        <v>0</v>
      </c>
      <c r="G99" s="11"/>
      <c r="H99" s="11" t="s">
        <v>566</v>
      </c>
      <c r="I99" s="11" t="e">
        <f>VLOOKUP($H99, 'ADP Data'!$B$4:$Q$300, 2, FALSE)</f>
        <v>#N/A</v>
      </c>
      <c r="J99" s="11" t="e">
        <f>VLOOKUP($H99, 'ADP Data'!$B$4:$Q$300, 3, FALSE)</f>
        <v>#N/A</v>
      </c>
      <c r="K99" s="11"/>
      <c r="L99" s="11"/>
      <c r="M99" s="11">
        <f t="shared" si="2"/>
        <v>16</v>
      </c>
      <c r="N99" s="11" t="e">
        <f>VLOOKUP($H99, 'ADP Data'!$B$4:$Q$300, 11, FALSE)</f>
        <v>#N/A</v>
      </c>
      <c r="O99" s="11" t="e">
        <f>VLOOKUP($H99, 'ADP Data'!$B$4:$Q$300, 5, FALSE)</f>
        <v>#N/A</v>
      </c>
      <c r="P99" s="11" t="e">
        <f t="shared" si="3"/>
        <v>#N/A</v>
      </c>
      <c r="Q99" s="11" t="e">
        <f>VLOOKUP($H99, 'ADP Data'!$B$4:$Q$300, 6, FALSE)</f>
        <v>#N/A</v>
      </c>
      <c r="R99" s="11" t="e">
        <f>VLOOKUP($H99, 'ADP Data'!$B$4:$Q$300, 7, FALSE)</f>
        <v>#N/A</v>
      </c>
      <c r="S99" s="11" t="e">
        <f>VLOOKUP($H99, 'ADP Data'!$B$4:$Q$300, 8, FALSE)</f>
        <v>#N/A</v>
      </c>
      <c r="T99" s="11" t="e">
        <f>VLOOKUP($H99, 'ADP Data'!$B$4:$Q$300, 9, FALSE)</f>
        <v>#N/A</v>
      </c>
      <c r="U99" s="11" t="e">
        <f>VLOOKUP($H99, 'ADP Data'!$B$4:$Q$300, 10, FALSE)</f>
        <v>#N/A</v>
      </c>
      <c r="V99" s="11" t="e">
        <f t="shared" si="4"/>
        <v>#N/A</v>
      </c>
      <c r="W99" s="11" t="e">
        <f>VLOOKUP($H99, SeanRanks!$A$2:$J$303, 7, FALSE)-V99</f>
        <v>#N/A</v>
      </c>
      <c r="X99" s="11"/>
    </row>
    <row r="100" spans="1:24" ht="14.25" customHeight="1" x14ac:dyDescent="0.25">
      <c r="A100" s="11"/>
      <c r="B100" s="11" t="e">
        <f t="shared" si="0"/>
        <v>#N/A</v>
      </c>
      <c r="C100" s="11" t="s">
        <v>148</v>
      </c>
      <c r="D100" s="11"/>
      <c r="E100" s="11"/>
      <c r="F100" s="11">
        <f t="shared" si="1"/>
        <v>0</v>
      </c>
      <c r="G100" s="11"/>
      <c r="H100" s="11" t="s">
        <v>547</v>
      </c>
      <c r="I100" s="11" t="e">
        <f>VLOOKUP($H100, 'ADP Data'!$B$4:$Q$300, 2, FALSE)</f>
        <v>#N/A</v>
      </c>
      <c r="J100" s="11" t="e">
        <f>VLOOKUP($H100, 'ADP Data'!$B$4:$Q$300, 3, FALSE)</f>
        <v>#N/A</v>
      </c>
      <c r="K100" s="11"/>
      <c r="L100" s="11"/>
      <c r="M100" s="11">
        <f t="shared" si="2"/>
        <v>16</v>
      </c>
      <c r="N100" s="11" t="e">
        <f>VLOOKUP($H100, 'ADP Data'!$B$4:$Q$300, 11, FALSE)</f>
        <v>#N/A</v>
      </c>
      <c r="O100" s="11" t="e">
        <f>VLOOKUP($H100, 'ADP Data'!$B$4:$Q$300, 5, FALSE)</f>
        <v>#N/A</v>
      </c>
      <c r="P100" s="11" t="e">
        <f t="shared" si="3"/>
        <v>#N/A</v>
      </c>
      <c r="Q100" s="11" t="e">
        <f>VLOOKUP($H100, 'ADP Data'!$B$4:$Q$300, 6, FALSE)</f>
        <v>#N/A</v>
      </c>
      <c r="R100" s="11" t="e">
        <f>VLOOKUP($H100, 'ADP Data'!$B$4:$Q$300, 7, FALSE)</f>
        <v>#N/A</v>
      </c>
      <c r="S100" s="11" t="e">
        <f>VLOOKUP($H100, 'ADP Data'!$B$4:$Q$300, 8, FALSE)</f>
        <v>#N/A</v>
      </c>
      <c r="T100" s="11" t="e">
        <f>VLOOKUP($H100, 'ADP Data'!$B$4:$Q$300, 9, FALSE)</f>
        <v>#N/A</v>
      </c>
      <c r="U100" s="11" t="e">
        <f>VLOOKUP($H100, 'ADP Data'!$B$4:$Q$300, 10, FALSE)</f>
        <v>#N/A</v>
      </c>
      <c r="V100" s="11" t="e">
        <f t="shared" si="4"/>
        <v>#N/A</v>
      </c>
      <c r="W100" s="11" t="e">
        <f>VLOOKUP($H100, SeanRanks!$A$2:$J$303, 7, FALSE)-V100</f>
        <v>#N/A</v>
      </c>
      <c r="X100" s="11"/>
    </row>
    <row r="101" spans="1:24" ht="14.25" customHeight="1" x14ac:dyDescent="0.25">
      <c r="A101" s="11"/>
      <c r="B101" s="11" t="e">
        <f t="shared" si="0"/>
        <v>#N/A</v>
      </c>
      <c r="C101" s="11" t="s">
        <v>148</v>
      </c>
      <c r="D101" s="11"/>
      <c r="E101" s="11"/>
      <c r="F101" s="11">
        <f t="shared" si="1"/>
        <v>0</v>
      </c>
      <c r="G101" s="11"/>
      <c r="H101" s="11" t="s">
        <v>415</v>
      </c>
      <c r="I101" s="11" t="e">
        <f>VLOOKUP($H101, 'ADP Data'!$B$4:$Q$300, 2, FALSE)</f>
        <v>#N/A</v>
      </c>
      <c r="J101" s="11" t="e">
        <f>VLOOKUP($H101, 'ADP Data'!$B$4:$Q$300, 3, FALSE)</f>
        <v>#N/A</v>
      </c>
      <c r="K101" s="11"/>
      <c r="L101" s="11"/>
      <c r="M101" s="11">
        <f t="shared" si="2"/>
        <v>16</v>
      </c>
      <c r="N101" s="11" t="e">
        <f>VLOOKUP($H101, 'ADP Data'!$B$4:$Q$300, 11, FALSE)</f>
        <v>#N/A</v>
      </c>
      <c r="O101" s="11" t="e">
        <f>VLOOKUP($H101, 'ADP Data'!$B$4:$Q$300, 5, FALSE)</f>
        <v>#N/A</v>
      </c>
      <c r="P101" s="11" t="e">
        <f t="shared" si="3"/>
        <v>#N/A</v>
      </c>
      <c r="Q101" s="11" t="e">
        <f>VLOOKUP($H101, 'ADP Data'!$B$4:$Q$300, 6, FALSE)</f>
        <v>#N/A</v>
      </c>
      <c r="R101" s="11" t="e">
        <f>VLOOKUP($H101, 'ADP Data'!$B$4:$Q$300, 7, FALSE)</f>
        <v>#N/A</v>
      </c>
      <c r="S101" s="11" t="e">
        <f>VLOOKUP($H101, 'ADP Data'!$B$4:$Q$300, 8, FALSE)</f>
        <v>#N/A</v>
      </c>
      <c r="T101" s="11" t="e">
        <f>VLOOKUP($H101, 'ADP Data'!$B$4:$Q$300, 9, FALSE)</f>
        <v>#N/A</v>
      </c>
      <c r="U101" s="11" t="e">
        <f>VLOOKUP($H101, 'ADP Data'!$B$4:$Q$300, 10, FALSE)</f>
        <v>#N/A</v>
      </c>
      <c r="V101" s="11" t="e">
        <f t="shared" si="4"/>
        <v>#N/A</v>
      </c>
      <c r="W101" s="11" t="e">
        <f>VLOOKUP($H101, SeanRanks!$A$2:$J$303, 7, FALSE)-V101</f>
        <v>#N/A</v>
      </c>
      <c r="X101" s="11" t="s">
        <v>1222</v>
      </c>
    </row>
    <row r="102" spans="1:24" ht="14.25" customHeight="1" x14ac:dyDescent="0.25">
      <c r="A102" s="11"/>
      <c r="B102" s="11" t="e">
        <f t="shared" si="0"/>
        <v>#N/A</v>
      </c>
      <c r="C102" s="11" t="s">
        <v>148</v>
      </c>
      <c r="D102" s="11"/>
      <c r="E102" s="11"/>
      <c r="F102" s="11">
        <f t="shared" si="1"/>
        <v>0</v>
      </c>
      <c r="G102" s="11"/>
      <c r="H102" s="11" t="s">
        <v>519</v>
      </c>
      <c r="I102" s="11" t="e">
        <f>VLOOKUP($H102, 'ADP Data'!$B$4:$Q$300, 2, FALSE)</f>
        <v>#N/A</v>
      </c>
      <c r="J102" s="11" t="e">
        <f>VLOOKUP($H102, 'ADP Data'!$B$4:$Q$300, 3, FALSE)</f>
        <v>#N/A</v>
      </c>
      <c r="K102" s="11"/>
      <c r="L102" s="11"/>
      <c r="M102" s="11">
        <f t="shared" si="2"/>
        <v>16</v>
      </c>
      <c r="N102" s="11" t="e">
        <f>VLOOKUP($H102, 'ADP Data'!$B$4:$Q$300, 11, FALSE)</f>
        <v>#N/A</v>
      </c>
      <c r="O102" s="11" t="e">
        <f>VLOOKUP($H102, 'ADP Data'!$B$4:$Q$300, 5, FALSE)</f>
        <v>#N/A</v>
      </c>
      <c r="P102" s="11" t="e">
        <f t="shared" si="3"/>
        <v>#N/A</v>
      </c>
      <c r="Q102" s="11" t="e">
        <f>VLOOKUP($H102, 'ADP Data'!$B$4:$Q$300, 6, FALSE)</f>
        <v>#N/A</v>
      </c>
      <c r="R102" s="11" t="e">
        <f>VLOOKUP($H102, 'ADP Data'!$B$4:$Q$300, 7, FALSE)</f>
        <v>#N/A</v>
      </c>
      <c r="S102" s="11" t="e">
        <f>VLOOKUP($H102, 'ADP Data'!$B$4:$Q$300, 8, FALSE)</f>
        <v>#N/A</v>
      </c>
      <c r="T102" s="11" t="e">
        <f>VLOOKUP($H102, 'ADP Data'!$B$4:$Q$300, 9, FALSE)</f>
        <v>#N/A</v>
      </c>
      <c r="U102" s="11" t="e">
        <f>VLOOKUP($H102, 'ADP Data'!$B$4:$Q$300, 10, FALSE)</f>
        <v>#N/A</v>
      </c>
      <c r="V102" s="11" t="e">
        <f t="shared" si="4"/>
        <v>#N/A</v>
      </c>
      <c r="W102" s="11" t="e">
        <f>VLOOKUP($H102, SeanRanks!$A$2:$J$303, 7, FALSE)-V102</f>
        <v>#N/A</v>
      </c>
      <c r="X102" s="11"/>
    </row>
    <row r="103" spans="1:24" ht="14.25" customHeight="1" x14ac:dyDescent="0.25">
      <c r="A103" s="11"/>
      <c r="B103" s="11" t="e">
        <f t="shared" si="0"/>
        <v>#N/A</v>
      </c>
      <c r="C103" s="11" t="s">
        <v>148</v>
      </c>
      <c r="D103" s="11"/>
      <c r="E103" s="11"/>
      <c r="F103" s="11">
        <f t="shared" si="1"/>
        <v>0</v>
      </c>
      <c r="G103" s="11"/>
      <c r="H103" s="11" t="s">
        <v>962</v>
      </c>
      <c r="I103" s="11" t="e">
        <f>VLOOKUP($H103, 'ADP Data'!$B$4:$Q$300, 2, FALSE)</f>
        <v>#N/A</v>
      </c>
      <c r="J103" s="11" t="e">
        <f>VLOOKUP($H103, 'ADP Data'!$B$4:$Q$300, 3, FALSE)</f>
        <v>#N/A</v>
      </c>
      <c r="K103" s="11"/>
      <c r="L103" s="11"/>
      <c r="M103" s="11">
        <f t="shared" si="2"/>
        <v>16</v>
      </c>
      <c r="N103" s="11" t="e">
        <f>VLOOKUP($H103, 'ADP Data'!$B$4:$Q$300, 11, FALSE)</f>
        <v>#N/A</v>
      </c>
      <c r="O103" s="11" t="e">
        <f>VLOOKUP($H103, 'ADP Data'!$B$4:$Q$300, 5, FALSE)</f>
        <v>#N/A</v>
      </c>
      <c r="P103" s="11" t="e">
        <f t="shared" si="3"/>
        <v>#N/A</v>
      </c>
      <c r="Q103" s="11" t="e">
        <f>VLOOKUP($H103, 'ADP Data'!$B$4:$Q$300, 6, FALSE)</f>
        <v>#N/A</v>
      </c>
      <c r="R103" s="11" t="e">
        <f>VLOOKUP($H103, 'ADP Data'!$B$4:$Q$300, 7, FALSE)</f>
        <v>#N/A</v>
      </c>
      <c r="S103" s="11" t="e">
        <f>VLOOKUP($H103, 'ADP Data'!$B$4:$Q$300, 8, FALSE)</f>
        <v>#N/A</v>
      </c>
      <c r="T103" s="11" t="e">
        <f>VLOOKUP($H103, 'ADP Data'!$B$4:$Q$300, 9, FALSE)</f>
        <v>#N/A</v>
      </c>
      <c r="U103" s="11" t="e">
        <f>VLOOKUP($H103, 'ADP Data'!$B$4:$Q$300, 10, FALSE)</f>
        <v>#N/A</v>
      </c>
      <c r="V103" s="11" t="e">
        <f t="shared" si="4"/>
        <v>#N/A</v>
      </c>
      <c r="W103" s="11" t="e">
        <f>VLOOKUP($H103, SeanRanks!$A$2:$J$303, 7, FALSE)-V103</f>
        <v>#N/A</v>
      </c>
      <c r="X103" s="11"/>
    </row>
    <row r="104" spans="1:24" ht="14.25" customHeight="1" x14ac:dyDescent="0.25">
      <c r="A104" s="11"/>
      <c r="B104" s="11" t="e">
        <f t="shared" si="0"/>
        <v>#N/A</v>
      </c>
      <c r="C104" s="11" t="s">
        <v>148</v>
      </c>
      <c r="D104" s="11"/>
      <c r="E104" s="11"/>
      <c r="F104" s="11">
        <f t="shared" si="1"/>
        <v>0</v>
      </c>
      <c r="G104" s="11"/>
      <c r="H104" s="11" t="s">
        <v>502</v>
      </c>
      <c r="I104" s="11" t="e">
        <f>VLOOKUP($H104, 'ADP Data'!$B$4:$Q$300, 2, FALSE)</f>
        <v>#N/A</v>
      </c>
      <c r="J104" s="11" t="e">
        <f>VLOOKUP($H104, 'ADP Data'!$B$4:$Q$300, 3, FALSE)</f>
        <v>#N/A</v>
      </c>
      <c r="K104" s="11"/>
      <c r="L104" s="11"/>
      <c r="M104" s="11">
        <f t="shared" si="2"/>
        <v>16</v>
      </c>
      <c r="N104" s="11" t="e">
        <f>VLOOKUP($H104, 'ADP Data'!$B$4:$Q$300, 11, FALSE)</f>
        <v>#N/A</v>
      </c>
      <c r="O104" s="11" t="e">
        <f>VLOOKUP($H104, 'ADP Data'!$B$4:$Q$300, 5, FALSE)</f>
        <v>#N/A</v>
      </c>
      <c r="P104" s="11" t="e">
        <f t="shared" si="3"/>
        <v>#N/A</v>
      </c>
      <c r="Q104" s="11" t="e">
        <f>VLOOKUP($H104, 'ADP Data'!$B$4:$Q$300, 6, FALSE)</f>
        <v>#N/A</v>
      </c>
      <c r="R104" s="11" t="e">
        <f>VLOOKUP($H104, 'ADP Data'!$B$4:$Q$300, 7, FALSE)</f>
        <v>#N/A</v>
      </c>
      <c r="S104" s="11" t="e">
        <f>VLOOKUP($H104, 'ADP Data'!$B$4:$Q$300, 8, FALSE)</f>
        <v>#N/A</v>
      </c>
      <c r="T104" s="11" t="e">
        <f>VLOOKUP($H104, 'ADP Data'!$B$4:$Q$300, 9, FALSE)</f>
        <v>#N/A</v>
      </c>
      <c r="U104" s="11" t="e">
        <f>VLOOKUP($H104, 'ADP Data'!$B$4:$Q$300, 10, FALSE)</f>
        <v>#N/A</v>
      </c>
      <c r="V104" s="11" t="e">
        <f t="shared" si="4"/>
        <v>#N/A</v>
      </c>
      <c r="W104" s="11" t="e">
        <f>VLOOKUP($H104, SeanRanks!$A$2:$J$303, 7, FALSE)-V104</f>
        <v>#N/A</v>
      </c>
      <c r="X104" s="11"/>
    </row>
    <row r="105" spans="1:24" ht="14.25" customHeight="1" x14ac:dyDescent="0.25">
      <c r="A105" s="11"/>
      <c r="B105" s="11" t="e">
        <f t="shared" si="0"/>
        <v>#N/A</v>
      </c>
      <c r="C105" s="11" t="s">
        <v>148</v>
      </c>
      <c r="D105" s="11"/>
      <c r="E105" s="11"/>
      <c r="F105" s="11">
        <f t="shared" si="1"/>
        <v>0</v>
      </c>
      <c r="G105" s="11" t="s">
        <v>119</v>
      </c>
      <c r="H105" s="11" t="s">
        <v>648</v>
      </c>
      <c r="I105" s="11" t="e">
        <f>VLOOKUP($H105, 'ADP Data'!$B$4:$Q$300, 2, FALSE)</f>
        <v>#N/A</v>
      </c>
      <c r="J105" s="11" t="e">
        <f>VLOOKUP($H105, 'ADP Data'!$B$4:$Q$300, 3, FALSE)</f>
        <v>#N/A</v>
      </c>
      <c r="K105" s="11" t="s">
        <v>1223</v>
      </c>
      <c r="L105" s="11"/>
      <c r="M105" s="11">
        <f t="shared" si="2"/>
        <v>16</v>
      </c>
      <c r="N105" s="11" t="e">
        <f>VLOOKUP($H105, 'ADP Data'!$B$4:$Q$300, 11, FALSE)</f>
        <v>#N/A</v>
      </c>
      <c r="O105" s="11" t="e">
        <f>VLOOKUP($H105, 'ADP Data'!$B$4:$Q$300, 5, FALSE)</f>
        <v>#N/A</v>
      </c>
      <c r="P105" s="11" t="e">
        <f t="shared" si="3"/>
        <v>#N/A</v>
      </c>
      <c r="Q105" s="11" t="e">
        <f>VLOOKUP($H105, 'ADP Data'!$B$4:$Q$300, 6, FALSE)</f>
        <v>#N/A</v>
      </c>
      <c r="R105" s="11" t="e">
        <f>VLOOKUP($H105, 'ADP Data'!$B$4:$Q$300, 7, FALSE)</f>
        <v>#N/A</v>
      </c>
      <c r="S105" s="11" t="e">
        <f>VLOOKUP($H105, 'ADP Data'!$B$4:$Q$300, 8, FALSE)</f>
        <v>#N/A</v>
      </c>
      <c r="T105" s="11" t="e">
        <f>VLOOKUP($H105, 'ADP Data'!$B$4:$Q$300, 9, FALSE)</f>
        <v>#N/A</v>
      </c>
      <c r="U105" s="11" t="e">
        <f>VLOOKUP($H105, 'ADP Data'!$B$4:$Q$300, 10, FALSE)</f>
        <v>#N/A</v>
      </c>
      <c r="V105" s="11" t="e">
        <f t="shared" si="4"/>
        <v>#N/A</v>
      </c>
      <c r="W105" s="11" t="e">
        <f>VLOOKUP($H105, SeanRanks!$A$2:$J$303, 7, FALSE)-V105</f>
        <v>#N/A</v>
      </c>
      <c r="X105" s="11"/>
    </row>
    <row r="106" spans="1:24" ht="14.25" customHeight="1" x14ac:dyDescent="0.25">
      <c r="A106" s="11"/>
      <c r="B106" s="11" t="e">
        <f t="shared" si="0"/>
        <v>#N/A</v>
      </c>
      <c r="C106" s="11" t="s">
        <v>148</v>
      </c>
      <c r="D106" s="11"/>
      <c r="E106" s="11"/>
      <c r="F106" s="11">
        <f t="shared" si="1"/>
        <v>0</v>
      </c>
      <c r="G106" s="11" t="s">
        <v>148</v>
      </c>
      <c r="H106" s="11" t="s">
        <v>973</v>
      </c>
      <c r="I106" s="11" t="e">
        <f>VLOOKUP($H106, 'ADP Data'!$B$4:$Q$300, 2, FALSE)</f>
        <v>#N/A</v>
      </c>
      <c r="J106" s="11" t="e">
        <f>VLOOKUP($H106, 'ADP Data'!$B$4:$Q$300, 3, FALSE)</f>
        <v>#N/A</v>
      </c>
      <c r="K106" s="11" t="s">
        <v>1190</v>
      </c>
      <c r="L106" s="11"/>
      <c r="M106" s="11">
        <f t="shared" si="2"/>
        <v>16</v>
      </c>
      <c r="N106" s="11" t="e">
        <f>VLOOKUP($H106, 'ADP Data'!$B$4:$Q$300, 11, FALSE)</f>
        <v>#N/A</v>
      </c>
      <c r="O106" s="11" t="e">
        <f>VLOOKUP($H106, 'ADP Data'!$B$4:$Q$300, 5, FALSE)</f>
        <v>#N/A</v>
      </c>
      <c r="P106" s="11" t="e">
        <f t="shared" si="3"/>
        <v>#N/A</v>
      </c>
      <c r="Q106" s="11" t="e">
        <f>VLOOKUP($H106, 'ADP Data'!$B$4:$Q$300, 6, FALSE)</f>
        <v>#N/A</v>
      </c>
      <c r="R106" s="11" t="e">
        <f>VLOOKUP($H106, 'ADP Data'!$B$4:$Q$300, 7, FALSE)</f>
        <v>#N/A</v>
      </c>
      <c r="S106" s="11" t="e">
        <f>VLOOKUP($H106, 'ADP Data'!$B$4:$Q$300, 8, FALSE)</f>
        <v>#N/A</v>
      </c>
      <c r="T106" s="11" t="e">
        <f>VLOOKUP($H106, 'ADP Data'!$B$4:$Q$300, 9, FALSE)</f>
        <v>#N/A</v>
      </c>
      <c r="U106" s="11" t="e">
        <f>VLOOKUP($H106, 'ADP Data'!$B$4:$Q$300, 10, FALSE)</f>
        <v>#N/A</v>
      </c>
      <c r="V106" s="11" t="e">
        <f t="shared" si="4"/>
        <v>#N/A</v>
      </c>
      <c r="W106" s="11" t="e">
        <f>VLOOKUP($H106, SeanRanks!$A$2:$J$303, 7, FALSE)-V106</f>
        <v>#N/A</v>
      </c>
      <c r="X106" s="11"/>
    </row>
    <row r="107" spans="1:24" ht="14.25" customHeight="1" x14ac:dyDescent="0.25">
      <c r="A107" s="11"/>
      <c r="B107" s="11" t="e">
        <f t="shared" si="0"/>
        <v>#N/A</v>
      </c>
      <c r="C107" s="11" t="s">
        <v>148</v>
      </c>
      <c r="D107" s="11"/>
      <c r="E107" s="11"/>
      <c r="F107" s="11">
        <f t="shared" si="1"/>
        <v>0</v>
      </c>
      <c r="G107" s="11" t="s">
        <v>119</v>
      </c>
      <c r="H107" s="11" t="s">
        <v>695</v>
      </c>
      <c r="I107" s="11" t="e">
        <f>VLOOKUP($H107, 'ADP Data'!$B$4:$Q$300, 2, FALSE)</f>
        <v>#N/A</v>
      </c>
      <c r="J107" s="11" t="e">
        <f>VLOOKUP($H107, 'ADP Data'!$B$4:$Q$300, 3, FALSE)</f>
        <v>#N/A</v>
      </c>
      <c r="K107" s="11"/>
      <c r="L107" s="11"/>
      <c r="M107" s="11">
        <f t="shared" si="2"/>
        <v>16</v>
      </c>
      <c r="N107" s="11" t="e">
        <f>VLOOKUP($H107, 'ADP Data'!$B$4:$Q$300, 11, FALSE)</f>
        <v>#N/A</v>
      </c>
      <c r="O107" s="11" t="e">
        <f>VLOOKUP($H107, 'ADP Data'!$B$4:$Q$300, 5, FALSE)</f>
        <v>#N/A</v>
      </c>
      <c r="P107" s="11" t="e">
        <f t="shared" si="3"/>
        <v>#N/A</v>
      </c>
      <c r="Q107" s="11" t="e">
        <f>VLOOKUP($H107, 'ADP Data'!$B$4:$Q$300, 6, FALSE)</f>
        <v>#N/A</v>
      </c>
      <c r="R107" s="11" t="e">
        <f>VLOOKUP($H107, 'ADP Data'!$B$4:$Q$300, 7, FALSE)</f>
        <v>#N/A</v>
      </c>
      <c r="S107" s="11" t="e">
        <f>VLOOKUP($H107, 'ADP Data'!$B$4:$Q$300, 8, FALSE)</f>
        <v>#N/A</v>
      </c>
      <c r="T107" s="11" t="e">
        <f>VLOOKUP($H107, 'ADP Data'!$B$4:$Q$300, 9, FALSE)</f>
        <v>#N/A</v>
      </c>
      <c r="U107" s="11" t="e">
        <f>VLOOKUP($H107, 'ADP Data'!$B$4:$Q$300, 10, FALSE)</f>
        <v>#N/A</v>
      </c>
      <c r="V107" s="11" t="e">
        <f t="shared" si="4"/>
        <v>#N/A</v>
      </c>
      <c r="W107" s="11" t="e">
        <f>VLOOKUP($H107, SeanRanks!$A$2:$J$303, 7, FALSE)-V107</f>
        <v>#N/A</v>
      </c>
      <c r="X107" s="11"/>
    </row>
    <row r="108" spans="1:24" ht="14.25" customHeight="1" x14ac:dyDescent="0.25">
      <c r="A108" s="11"/>
      <c r="B108" s="11" t="e">
        <f t="shared" si="0"/>
        <v>#N/A</v>
      </c>
      <c r="C108" s="11" t="s">
        <v>148</v>
      </c>
      <c r="D108" s="11"/>
      <c r="E108" s="11"/>
      <c r="F108" s="11">
        <f t="shared" si="1"/>
        <v>0</v>
      </c>
      <c r="G108" s="11"/>
      <c r="H108" s="11" t="s">
        <v>1224</v>
      </c>
      <c r="I108" s="11" t="e">
        <f>VLOOKUP($H108, 'ADP Data'!$B$4:$Q$300, 2, FALSE)</f>
        <v>#N/A</v>
      </c>
      <c r="J108" s="11" t="e">
        <f>VLOOKUP($H108, 'ADP Data'!$B$4:$Q$300, 3, FALSE)</f>
        <v>#N/A</v>
      </c>
      <c r="K108" s="11"/>
      <c r="L108" s="11"/>
      <c r="M108" s="11">
        <f t="shared" si="2"/>
        <v>16</v>
      </c>
      <c r="N108" s="11" t="e">
        <f>VLOOKUP($H108, 'ADP Data'!$B$4:$Q$300, 11, FALSE)</f>
        <v>#N/A</v>
      </c>
      <c r="O108" s="11" t="e">
        <f>VLOOKUP($H108, 'ADP Data'!$B$4:$Q$300, 5, FALSE)</f>
        <v>#N/A</v>
      </c>
      <c r="P108" s="11" t="e">
        <f t="shared" si="3"/>
        <v>#N/A</v>
      </c>
      <c r="Q108" s="11" t="e">
        <f>VLOOKUP($H108, 'ADP Data'!$B$4:$Q$300, 6, FALSE)</f>
        <v>#N/A</v>
      </c>
      <c r="R108" s="11" t="e">
        <f>VLOOKUP($H108, 'ADP Data'!$B$4:$Q$300, 7, FALSE)</f>
        <v>#N/A</v>
      </c>
      <c r="S108" s="11" t="e">
        <f>VLOOKUP($H108, 'ADP Data'!$B$4:$Q$300, 8, FALSE)</f>
        <v>#N/A</v>
      </c>
      <c r="T108" s="11" t="e">
        <f>VLOOKUP($H108, 'ADP Data'!$B$4:$Q$300, 9, FALSE)</f>
        <v>#N/A</v>
      </c>
      <c r="U108" s="11" t="e">
        <f>VLOOKUP($H108, 'ADP Data'!$B$4:$Q$300, 10, FALSE)</f>
        <v>#N/A</v>
      </c>
      <c r="V108" s="11" t="e">
        <f t="shared" si="4"/>
        <v>#N/A</v>
      </c>
      <c r="W108" s="11" t="e">
        <f>VLOOKUP($H108, SeanRanks!$A$2:$J$303, 7, FALSE)-V108</f>
        <v>#N/A</v>
      </c>
      <c r="X108" s="11"/>
    </row>
    <row r="109" spans="1:24" ht="14.25" customHeight="1" x14ac:dyDescent="0.25">
      <c r="A109" s="11"/>
      <c r="B109" s="11" t="e">
        <f t="shared" si="0"/>
        <v>#N/A</v>
      </c>
      <c r="C109" s="11" t="s">
        <v>148</v>
      </c>
      <c r="D109" s="11"/>
      <c r="E109" s="11"/>
      <c r="F109" s="11">
        <f t="shared" si="1"/>
        <v>0</v>
      </c>
      <c r="G109" s="11"/>
      <c r="H109" s="11" t="s">
        <v>497</v>
      </c>
      <c r="I109" s="11" t="e">
        <f>VLOOKUP($H109, 'ADP Data'!$B$4:$Q$300, 2, FALSE)</f>
        <v>#N/A</v>
      </c>
      <c r="J109" s="11" t="e">
        <f>VLOOKUP($H109, 'ADP Data'!$B$4:$Q$300, 3, FALSE)</f>
        <v>#N/A</v>
      </c>
      <c r="K109" s="11"/>
      <c r="L109" s="11"/>
      <c r="M109" s="11">
        <f t="shared" si="2"/>
        <v>16</v>
      </c>
      <c r="N109" s="11" t="e">
        <f>VLOOKUP($H109, 'ADP Data'!$B$4:$Q$300, 11, FALSE)</f>
        <v>#N/A</v>
      </c>
      <c r="O109" s="11" t="e">
        <f>VLOOKUP($H109, 'ADP Data'!$B$4:$Q$300, 5, FALSE)</f>
        <v>#N/A</v>
      </c>
      <c r="P109" s="11" t="e">
        <f t="shared" si="3"/>
        <v>#N/A</v>
      </c>
      <c r="Q109" s="11" t="e">
        <f>VLOOKUP($H109, 'ADP Data'!$B$4:$Q$300, 6, FALSE)</f>
        <v>#N/A</v>
      </c>
      <c r="R109" s="11" t="e">
        <f>VLOOKUP($H109, 'ADP Data'!$B$4:$Q$300, 7, FALSE)</f>
        <v>#N/A</v>
      </c>
      <c r="S109" s="11" t="e">
        <f>VLOOKUP($H109, 'ADP Data'!$B$4:$Q$300, 8, FALSE)</f>
        <v>#N/A</v>
      </c>
      <c r="T109" s="11" t="e">
        <f>VLOOKUP($H109, 'ADP Data'!$B$4:$Q$300, 9, FALSE)</f>
        <v>#N/A</v>
      </c>
      <c r="U109" s="11" t="e">
        <f>VLOOKUP($H109, 'ADP Data'!$B$4:$Q$300, 10, FALSE)</f>
        <v>#N/A</v>
      </c>
      <c r="V109" s="11" t="e">
        <f t="shared" si="4"/>
        <v>#N/A</v>
      </c>
      <c r="W109" s="11" t="e">
        <f>VLOOKUP($H109, SeanRanks!$A$2:$J$303, 7, FALSE)-V109</f>
        <v>#N/A</v>
      </c>
      <c r="X109" s="11"/>
    </row>
    <row r="110" spans="1:24" ht="14.25" customHeight="1" x14ac:dyDescent="0.25">
      <c r="A110" s="11"/>
      <c r="B110" s="11" t="e">
        <f t="shared" si="0"/>
        <v>#N/A</v>
      </c>
      <c r="C110" s="11" t="s">
        <v>148</v>
      </c>
      <c r="D110" s="11"/>
      <c r="E110" s="11"/>
      <c r="F110" s="11">
        <f t="shared" si="1"/>
        <v>0</v>
      </c>
      <c r="G110" s="11"/>
      <c r="H110" s="11" t="s">
        <v>489</v>
      </c>
      <c r="I110" s="11" t="e">
        <f>VLOOKUP($H110, 'ADP Data'!$B$4:$Q$300, 2, FALSE)</f>
        <v>#N/A</v>
      </c>
      <c r="J110" s="11" t="e">
        <f>VLOOKUP($H110, 'ADP Data'!$B$4:$Q$300, 3, FALSE)</f>
        <v>#N/A</v>
      </c>
      <c r="K110" s="11"/>
      <c r="L110" s="11"/>
      <c r="M110" s="11">
        <f t="shared" si="2"/>
        <v>16</v>
      </c>
      <c r="N110" s="11" t="e">
        <f>VLOOKUP($H110, 'ADP Data'!$B$4:$Q$300, 11, FALSE)</f>
        <v>#N/A</v>
      </c>
      <c r="O110" s="11" t="e">
        <f>VLOOKUP($H110, 'ADP Data'!$B$4:$Q$300, 5, FALSE)</f>
        <v>#N/A</v>
      </c>
      <c r="P110" s="11" t="e">
        <f t="shared" si="3"/>
        <v>#N/A</v>
      </c>
      <c r="Q110" s="11" t="e">
        <f>VLOOKUP($H110, 'ADP Data'!$B$4:$Q$300, 6, FALSE)</f>
        <v>#N/A</v>
      </c>
      <c r="R110" s="11" t="e">
        <f>VLOOKUP($H110, 'ADP Data'!$B$4:$Q$300, 7, FALSE)</f>
        <v>#N/A</v>
      </c>
      <c r="S110" s="11" t="e">
        <f>VLOOKUP($H110, 'ADP Data'!$B$4:$Q$300, 8, FALSE)</f>
        <v>#N/A</v>
      </c>
      <c r="T110" s="11" t="e">
        <f>VLOOKUP($H110, 'ADP Data'!$B$4:$Q$300, 9, FALSE)</f>
        <v>#N/A</v>
      </c>
      <c r="U110" s="11" t="e">
        <f>VLOOKUP($H110, 'ADP Data'!$B$4:$Q$300, 10, FALSE)</f>
        <v>#N/A</v>
      </c>
      <c r="V110" s="11" t="e">
        <f t="shared" si="4"/>
        <v>#N/A</v>
      </c>
      <c r="W110" s="11" t="e">
        <f>VLOOKUP($H110, SeanRanks!$A$2:$J$303, 7, FALSE)-V110</f>
        <v>#N/A</v>
      </c>
      <c r="X110" s="11"/>
    </row>
    <row r="111" spans="1:24" ht="14.25" customHeight="1" x14ac:dyDescent="0.25">
      <c r="A111" s="11"/>
      <c r="B111" s="11" t="e">
        <f t="shared" si="0"/>
        <v>#N/A</v>
      </c>
      <c r="C111" s="11" t="s">
        <v>148</v>
      </c>
      <c r="D111" s="11"/>
      <c r="E111" s="11"/>
      <c r="F111" s="11">
        <f t="shared" si="1"/>
        <v>0</v>
      </c>
      <c r="G111" s="11"/>
      <c r="H111" s="11" t="s">
        <v>1226</v>
      </c>
      <c r="I111" s="11" t="e">
        <f>VLOOKUP($H111, 'ADP Data'!$B$4:$Q$300, 2, FALSE)</f>
        <v>#N/A</v>
      </c>
      <c r="J111" s="11" t="e">
        <f>VLOOKUP($H111, 'ADP Data'!$B$4:$Q$300, 3, FALSE)</f>
        <v>#N/A</v>
      </c>
      <c r="K111" s="11"/>
      <c r="L111" s="11"/>
      <c r="M111" s="11">
        <f t="shared" si="2"/>
        <v>16</v>
      </c>
      <c r="N111" s="11" t="e">
        <f>VLOOKUP($H111, 'ADP Data'!$B$4:$Q$300, 11, FALSE)</f>
        <v>#N/A</v>
      </c>
      <c r="O111" s="11" t="e">
        <f>VLOOKUP($H111, 'ADP Data'!$B$4:$Q$300, 5, FALSE)</f>
        <v>#N/A</v>
      </c>
      <c r="P111" s="11" t="e">
        <f t="shared" si="3"/>
        <v>#N/A</v>
      </c>
      <c r="Q111" s="11" t="e">
        <f>VLOOKUP($H111, 'ADP Data'!$B$4:$Q$300, 6, FALSE)</f>
        <v>#N/A</v>
      </c>
      <c r="R111" s="11" t="e">
        <f>VLOOKUP($H111, 'ADP Data'!$B$4:$Q$300, 7, FALSE)</f>
        <v>#N/A</v>
      </c>
      <c r="S111" s="11" t="e">
        <f>VLOOKUP($H111, 'ADP Data'!$B$4:$Q$300, 8, FALSE)</f>
        <v>#N/A</v>
      </c>
      <c r="T111" s="11" t="e">
        <f>VLOOKUP($H111, 'ADP Data'!$B$4:$Q$300, 9, FALSE)</f>
        <v>#N/A</v>
      </c>
      <c r="U111" s="11" t="e">
        <f>VLOOKUP($H111, 'ADP Data'!$B$4:$Q$300, 10, FALSE)</f>
        <v>#N/A</v>
      </c>
      <c r="V111" s="11" t="e">
        <f t="shared" si="4"/>
        <v>#N/A</v>
      </c>
      <c r="W111" s="11" t="e">
        <f>VLOOKUP($H111, SeanRanks!$A$2:$J$303, 7, FALSE)-V111</f>
        <v>#N/A</v>
      </c>
      <c r="X111" s="11"/>
    </row>
    <row r="112" spans="1:24" ht="14.25" customHeight="1" x14ac:dyDescent="0.25">
      <c r="A112" s="11"/>
      <c r="B112" s="11" t="e">
        <f t="shared" si="0"/>
        <v>#N/A</v>
      </c>
      <c r="C112" s="11" t="s">
        <v>148</v>
      </c>
      <c r="D112" s="11"/>
      <c r="E112" s="11"/>
      <c r="F112" s="11">
        <f t="shared" si="1"/>
        <v>0</v>
      </c>
      <c r="G112" s="11"/>
      <c r="H112" s="11" t="s">
        <v>1227</v>
      </c>
      <c r="I112" s="11" t="e">
        <f>VLOOKUP($H112, 'ADP Data'!$B$4:$Q$300, 2, FALSE)</f>
        <v>#N/A</v>
      </c>
      <c r="J112" s="11" t="e">
        <f>VLOOKUP($H112, 'ADP Data'!$B$4:$Q$300, 3, FALSE)</f>
        <v>#N/A</v>
      </c>
      <c r="K112" s="11"/>
      <c r="L112" s="11"/>
      <c r="M112" s="11">
        <f t="shared" si="2"/>
        <v>16</v>
      </c>
      <c r="N112" s="11" t="e">
        <f>VLOOKUP($H112, 'ADP Data'!$B$4:$Q$300, 11, FALSE)</f>
        <v>#N/A</v>
      </c>
      <c r="O112" s="11" t="e">
        <f>VLOOKUP($H112, 'ADP Data'!$B$4:$Q$300, 5, FALSE)</f>
        <v>#N/A</v>
      </c>
      <c r="P112" s="11" t="e">
        <f t="shared" si="3"/>
        <v>#N/A</v>
      </c>
      <c r="Q112" s="11" t="e">
        <f>VLOOKUP($H112, 'ADP Data'!$B$4:$Q$300, 6, FALSE)</f>
        <v>#N/A</v>
      </c>
      <c r="R112" s="11" t="e">
        <f>VLOOKUP($H112, 'ADP Data'!$B$4:$Q$300, 7, FALSE)</f>
        <v>#N/A</v>
      </c>
      <c r="S112" s="11" t="e">
        <f>VLOOKUP($H112, 'ADP Data'!$B$4:$Q$300, 8, FALSE)</f>
        <v>#N/A</v>
      </c>
      <c r="T112" s="11" t="e">
        <f>VLOOKUP($H112, 'ADP Data'!$B$4:$Q$300, 9, FALSE)</f>
        <v>#N/A</v>
      </c>
      <c r="U112" s="11" t="e">
        <f>VLOOKUP($H112, 'ADP Data'!$B$4:$Q$300, 10, FALSE)</f>
        <v>#N/A</v>
      </c>
      <c r="V112" s="11" t="e">
        <f t="shared" si="4"/>
        <v>#N/A</v>
      </c>
      <c r="W112" s="11" t="e">
        <f>VLOOKUP($H112, SeanRanks!$A$2:$J$303, 7, FALSE)-V112</f>
        <v>#N/A</v>
      </c>
      <c r="X112" s="11"/>
    </row>
    <row r="113" spans="1:24" ht="14.25" customHeight="1" x14ac:dyDescent="0.25">
      <c r="A113" s="11"/>
      <c r="B113" s="11" t="e">
        <f t="shared" si="0"/>
        <v>#N/A</v>
      </c>
      <c r="C113" s="11" t="s">
        <v>148</v>
      </c>
      <c r="D113" s="11"/>
      <c r="E113" s="11"/>
      <c r="F113" s="11">
        <f t="shared" si="1"/>
        <v>0</v>
      </c>
      <c r="G113" s="11"/>
      <c r="H113" s="11" t="s">
        <v>364</v>
      </c>
      <c r="I113" s="11" t="e">
        <f>VLOOKUP($H113, 'ADP Data'!$B$4:$Q$300, 2, FALSE)</f>
        <v>#N/A</v>
      </c>
      <c r="J113" s="11" t="e">
        <f>VLOOKUP($H113, 'ADP Data'!$B$4:$Q$300, 3, FALSE)</f>
        <v>#N/A</v>
      </c>
      <c r="K113" s="11"/>
      <c r="L113" s="11"/>
      <c r="M113" s="11">
        <f t="shared" si="2"/>
        <v>16</v>
      </c>
      <c r="N113" s="11" t="e">
        <f>VLOOKUP($H113, 'ADP Data'!$B$4:$Q$300, 11, FALSE)</f>
        <v>#N/A</v>
      </c>
      <c r="O113" s="11" t="e">
        <f>VLOOKUP($H113, 'ADP Data'!$B$4:$Q$300, 5, FALSE)</f>
        <v>#N/A</v>
      </c>
      <c r="P113" s="11" t="e">
        <f t="shared" si="3"/>
        <v>#N/A</v>
      </c>
      <c r="Q113" s="11" t="e">
        <f>VLOOKUP($H113, 'ADP Data'!$B$4:$Q$300, 6, FALSE)</f>
        <v>#N/A</v>
      </c>
      <c r="R113" s="11" t="e">
        <f>VLOOKUP($H113, 'ADP Data'!$B$4:$Q$300, 7, FALSE)</f>
        <v>#N/A</v>
      </c>
      <c r="S113" s="11" t="e">
        <f>VLOOKUP($H113, 'ADP Data'!$B$4:$Q$300, 8, FALSE)</f>
        <v>#N/A</v>
      </c>
      <c r="T113" s="11" t="e">
        <f>VLOOKUP($H113, 'ADP Data'!$B$4:$Q$300, 9, FALSE)</f>
        <v>#N/A</v>
      </c>
      <c r="U113" s="11" t="e">
        <f>VLOOKUP($H113, 'ADP Data'!$B$4:$Q$300, 10, FALSE)</f>
        <v>#N/A</v>
      </c>
      <c r="V113" s="11" t="e">
        <f t="shared" si="4"/>
        <v>#N/A</v>
      </c>
      <c r="W113" s="11" t="e">
        <f>VLOOKUP($H113, SeanRanks!$A$2:$J$303, 7, FALSE)-V113</f>
        <v>#N/A</v>
      </c>
      <c r="X113" s="11"/>
    </row>
    <row r="114" spans="1:24" ht="14.25" customHeight="1" x14ac:dyDescent="0.25">
      <c r="A114" s="11"/>
      <c r="B114" s="11" t="e">
        <f t="shared" si="0"/>
        <v>#N/A</v>
      </c>
      <c r="C114" s="11" t="s">
        <v>148</v>
      </c>
      <c r="D114" s="11"/>
      <c r="E114" s="11"/>
      <c r="F114" s="11">
        <f t="shared" si="1"/>
        <v>0</v>
      </c>
      <c r="G114" s="11"/>
      <c r="H114" s="11" t="s">
        <v>1228</v>
      </c>
      <c r="I114" s="11" t="e">
        <f>VLOOKUP($H114, 'ADP Data'!$B$4:$Q$300, 2, FALSE)</f>
        <v>#N/A</v>
      </c>
      <c r="J114" s="11" t="e">
        <f>VLOOKUP($H114, 'ADP Data'!$B$4:$Q$300, 3, FALSE)</f>
        <v>#N/A</v>
      </c>
      <c r="K114" s="11" t="s">
        <v>1223</v>
      </c>
      <c r="L114" s="11"/>
      <c r="M114" s="11">
        <f t="shared" si="2"/>
        <v>16</v>
      </c>
      <c r="N114" s="11" t="e">
        <f>VLOOKUP($H114, 'ADP Data'!$B$4:$Q$300, 11, FALSE)</f>
        <v>#N/A</v>
      </c>
      <c r="O114" s="11" t="e">
        <f>VLOOKUP($H114, 'ADP Data'!$B$4:$Q$300, 5, FALSE)</f>
        <v>#N/A</v>
      </c>
      <c r="P114" s="11" t="e">
        <f t="shared" si="3"/>
        <v>#N/A</v>
      </c>
      <c r="Q114" s="11" t="e">
        <f>VLOOKUP($H114, 'ADP Data'!$B$4:$Q$300, 6, FALSE)</f>
        <v>#N/A</v>
      </c>
      <c r="R114" s="11" t="e">
        <f>VLOOKUP($H114, 'ADP Data'!$B$4:$Q$300, 7, FALSE)</f>
        <v>#N/A</v>
      </c>
      <c r="S114" s="11" t="e">
        <f>VLOOKUP($H114, 'ADP Data'!$B$4:$Q$300, 8, FALSE)</f>
        <v>#N/A</v>
      </c>
      <c r="T114" s="11" t="e">
        <f>VLOOKUP($H114, 'ADP Data'!$B$4:$Q$300, 9, FALSE)</f>
        <v>#N/A</v>
      </c>
      <c r="U114" s="11" t="e">
        <f>VLOOKUP($H114, 'ADP Data'!$B$4:$Q$300, 10, FALSE)</f>
        <v>#N/A</v>
      </c>
      <c r="V114" s="11" t="e">
        <f t="shared" si="4"/>
        <v>#N/A</v>
      </c>
      <c r="W114" s="11" t="e">
        <f>VLOOKUP($H114, SeanRanks!$A$2:$J$303, 7, FALSE)-V114</f>
        <v>#N/A</v>
      </c>
      <c r="X114" s="11"/>
    </row>
    <row r="115" spans="1:24" ht="14.25" customHeight="1" x14ac:dyDescent="0.25">
      <c r="A115" s="11"/>
      <c r="B115" s="11" t="e">
        <f t="shared" si="0"/>
        <v>#N/A</v>
      </c>
      <c r="C115" s="11" t="s">
        <v>148</v>
      </c>
      <c r="D115" s="11"/>
      <c r="E115" s="11"/>
      <c r="F115" s="11">
        <f t="shared" si="1"/>
        <v>0</v>
      </c>
      <c r="G115" s="11"/>
      <c r="H115" s="11" t="s">
        <v>1229</v>
      </c>
      <c r="I115" s="11" t="e">
        <f>VLOOKUP($H115, 'ADP Data'!$B$4:$Q$300, 2, FALSE)</f>
        <v>#N/A</v>
      </c>
      <c r="J115" s="11" t="e">
        <f>VLOOKUP($H115, 'ADP Data'!$B$4:$Q$300, 3, FALSE)</f>
        <v>#N/A</v>
      </c>
      <c r="K115" s="11" t="s">
        <v>1190</v>
      </c>
      <c r="L115" s="11"/>
      <c r="M115" s="11">
        <f t="shared" si="2"/>
        <v>16</v>
      </c>
      <c r="N115" s="11" t="e">
        <f>VLOOKUP($H115, 'ADP Data'!$B$4:$Q$300, 11, FALSE)</f>
        <v>#N/A</v>
      </c>
      <c r="O115" s="11" t="e">
        <f>VLOOKUP($H115, 'ADP Data'!$B$4:$Q$300, 5, FALSE)</f>
        <v>#N/A</v>
      </c>
      <c r="P115" s="11" t="e">
        <f t="shared" si="3"/>
        <v>#N/A</v>
      </c>
      <c r="Q115" s="11" t="e">
        <f>VLOOKUP($H115, 'ADP Data'!$B$4:$Q$300, 6, FALSE)</f>
        <v>#N/A</v>
      </c>
      <c r="R115" s="11" t="e">
        <f>VLOOKUP($H115, 'ADP Data'!$B$4:$Q$300, 7, FALSE)</f>
        <v>#N/A</v>
      </c>
      <c r="S115" s="11" t="e">
        <f>VLOOKUP($H115, 'ADP Data'!$B$4:$Q$300, 8, FALSE)</f>
        <v>#N/A</v>
      </c>
      <c r="T115" s="11" t="e">
        <f>VLOOKUP($H115, 'ADP Data'!$B$4:$Q$300, 9, FALSE)</f>
        <v>#N/A</v>
      </c>
      <c r="U115" s="11" t="e">
        <f>VLOOKUP($H115, 'ADP Data'!$B$4:$Q$300, 10, FALSE)</f>
        <v>#N/A</v>
      </c>
      <c r="V115" s="11" t="e">
        <f t="shared" si="4"/>
        <v>#N/A</v>
      </c>
      <c r="W115" s="11" t="e">
        <f>VLOOKUP($H115, SeanRanks!$A$2:$J$303, 7, FALSE)-V115</f>
        <v>#N/A</v>
      </c>
      <c r="X115" s="11"/>
    </row>
    <row r="116" spans="1:24" ht="14.25" customHeight="1" x14ac:dyDescent="0.25">
      <c r="A116" s="11"/>
      <c r="B116" s="11" t="e">
        <f t="shared" si="0"/>
        <v>#N/A</v>
      </c>
      <c r="C116" s="11" t="s">
        <v>148</v>
      </c>
      <c r="D116" s="11"/>
      <c r="E116" s="11"/>
      <c r="F116" s="11">
        <f t="shared" si="1"/>
        <v>0</v>
      </c>
      <c r="G116" s="11"/>
      <c r="H116" s="11" t="s">
        <v>1230</v>
      </c>
      <c r="I116" s="11" t="e">
        <f>VLOOKUP($H116, 'ADP Data'!$B$4:$Q$300, 2, FALSE)</f>
        <v>#N/A</v>
      </c>
      <c r="J116" s="11" t="e">
        <f>VLOOKUP($H116, 'ADP Data'!$B$4:$Q$300, 3, FALSE)</f>
        <v>#N/A</v>
      </c>
      <c r="K116" s="11" t="s">
        <v>1223</v>
      </c>
      <c r="L116" s="11"/>
      <c r="M116" s="11">
        <f t="shared" si="2"/>
        <v>16</v>
      </c>
      <c r="N116" s="11" t="e">
        <f>VLOOKUP($H116, 'ADP Data'!$B$4:$Q$300, 11, FALSE)</f>
        <v>#N/A</v>
      </c>
      <c r="O116" s="11" t="e">
        <f>VLOOKUP($H116, 'ADP Data'!$B$4:$Q$300, 5, FALSE)</f>
        <v>#N/A</v>
      </c>
      <c r="P116" s="11" t="e">
        <f t="shared" si="3"/>
        <v>#N/A</v>
      </c>
      <c r="Q116" s="11" t="e">
        <f>VLOOKUP($H116, 'ADP Data'!$B$4:$Q$300, 6, FALSE)</f>
        <v>#N/A</v>
      </c>
      <c r="R116" s="11" t="e">
        <f>VLOOKUP($H116, 'ADP Data'!$B$4:$Q$300, 7, FALSE)</f>
        <v>#N/A</v>
      </c>
      <c r="S116" s="11" t="e">
        <f>VLOOKUP($H116, 'ADP Data'!$B$4:$Q$300, 8, FALSE)</f>
        <v>#N/A</v>
      </c>
      <c r="T116" s="11" t="e">
        <f>VLOOKUP($H116, 'ADP Data'!$B$4:$Q$300, 9, FALSE)</f>
        <v>#N/A</v>
      </c>
      <c r="U116" s="11" t="e">
        <f>VLOOKUP($H116, 'ADP Data'!$B$4:$Q$300, 10, FALSE)</f>
        <v>#N/A</v>
      </c>
      <c r="V116" s="11" t="e">
        <f t="shared" si="4"/>
        <v>#N/A</v>
      </c>
      <c r="W116" s="11" t="e">
        <f>VLOOKUP($H116, SeanRanks!$A$2:$J$303, 7, FALSE)-V116</f>
        <v>#N/A</v>
      </c>
      <c r="X116" s="11"/>
    </row>
    <row r="117" spans="1:24" ht="14.25" customHeight="1" x14ac:dyDescent="0.25">
      <c r="A117" s="11"/>
      <c r="B117" s="11" t="e">
        <f t="shared" si="0"/>
        <v>#N/A</v>
      </c>
      <c r="C117" s="11" t="s">
        <v>148</v>
      </c>
      <c r="D117" s="11"/>
      <c r="E117" s="11"/>
      <c r="F117" s="11">
        <f t="shared" si="1"/>
        <v>0</v>
      </c>
      <c r="G117" s="11"/>
      <c r="H117" s="11" t="s">
        <v>1231</v>
      </c>
      <c r="I117" s="11" t="e">
        <f>VLOOKUP($H117, 'ADP Data'!$B$4:$Q$300, 2, FALSE)</f>
        <v>#N/A</v>
      </c>
      <c r="J117" s="11" t="e">
        <f>VLOOKUP($H117, 'ADP Data'!$B$4:$Q$300, 3, FALSE)</f>
        <v>#N/A</v>
      </c>
      <c r="K117" s="11"/>
      <c r="L117" s="11"/>
      <c r="M117" s="11">
        <f t="shared" si="2"/>
        <v>16</v>
      </c>
      <c r="N117" s="11" t="e">
        <f>VLOOKUP($H117, 'ADP Data'!$B$4:$Q$300, 11, FALSE)</f>
        <v>#N/A</v>
      </c>
      <c r="O117" s="11" t="e">
        <f>VLOOKUP($H117, 'ADP Data'!$B$4:$Q$300, 5, FALSE)</f>
        <v>#N/A</v>
      </c>
      <c r="P117" s="11" t="e">
        <f t="shared" si="3"/>
        <v>#N/A</v>
      </c>
      <c r="Q117" s="11" t="e">
        <f>VLOOKUP($H117, 'ADP Data'!$B$4:$Q$300, 6, FALSE)</f>
        <v>#N/A</v>
      </c>
      <c r="R117" s="11" t="e">
        <f>VLOOKUP($H117, 'ADP Data'!$B$4:$Q$300, 7, FALSE)</f>
        <v>#N/A</v>
      </c>
      <c r="S117" s="11" t="e">
        <f>VLOOKUP($H117, 'ADP Data'!$B$4:$Q$300, 8, FALSE)</f>
        <v>#N/A</v>
      </c>
      <c r="T117" s="11" t="e">
        <f>VLOOKUP($H117, 'ADP Data'!$B$4:$Q$300, 9, FALSE)</f>
        <v>#N/A</v>
      </c>
      <c r="U117" s="11" t="e">
        <f>VLOOKUP($H117, 'ADP Data'!$B$4:$Q$300, 10, FALSE)</f>
        <v>#N/A</v>
      </c>
      <c r="V117" s="11" t="e">
        <f t="shared" si="4"/>
        <v>#N/A</v>
      </c>
      <c r="W117" s="11" t="e">
        <f>VLOOKUP($H117, SeanRanks!$A$2:$J$303, 7, FALSE)-V117</f>
        <v>#N/A</v>
      </c>
      <c r="X117" s="11"/>
    </row>
    <row r="118" spans="1:24" ht="14.25" customHeight="1" x14ac:dyDescent="0.25">
      <c r="A118" s="11"/>
      <c r="B118" s="11" t="e">
        <f t="shared" si="0"/>
        <v>#N/A</v>
      </c>
      <c r="C118" s="11" t="s">
        <v>148</v>
      </c>
      <c r="D118" s="11"/>
      <c r="E118" s="11"/>
      <c r="F118" s="11">
        <f t="shared" si="1"/>
        <v>0</v>
      </c>
      <c r="G118" s="11"/>
      <c r="H118" s="11" t="s">
        <v>929</v>
      </c>
      <c r="I118" s="11" t="e">
        <f>VLOOKUP($H118, 'ADP Data'!$B$4:$Q$300, 2, FALSE)</f>
        <v>#N/A</v>
      </c>
      <c r="J118" s="11" t="e">
        <f>VLOOKUP($H118, 'ADP Data'!$B$4:$Q$300, 3, FALSE)</f>
        <v>#N/A</v>
      </c>
      <c r="K118" s="11"/>
      <c r="L118" s="11"/>
      <c r="M118" s="11">
        <f t="shared" si="2"/>
        <v>16</v>
      </c>
      <c r="N118" s="11" t="e">
        <f>VLOOKUP($H118, 'ADP Data'!$B$4:$Q$300, 11, FALSE)</f>
        <v>#N/A</v>
      </c>
      <c r="O118" s="11" t="e">
        <f>VLOOKUP($H118, 'ADP Data'!$B$4:$Q$300, 5, FALSE)</f>
        <v>#N/A</v>
      </c>
      <c r="P118" s="11" t="e">
        <f t="shared" si="3"/>
        <v>#N/A</v>
      </c>
      <c r="Q118" s="11" t="e">
        <f>VLOOKUP($H118, 'ADP Data'!$B$4:$Q$300, 6, FALSE)</f>
        <v>#N/A</v>
      </c>
      <c r="R118" s="11" t="e">
        <f>VLOOKUP($H118, 'ADP Data'!$B$4:$Q$300, 7, FALSE)</f>
        <v>#N/A</v>
      </c>
      <c r="S118" s="11" t="e">
        <f>VLOOKUP($H118, 'ADP Data'!$B$4:$Q$300, 8, FALSE)</f>
        <v>#N/A</v>
      </c>
      <c r="T118" s="11" t="e">
        <f>VLOOKUP($H118, 'ADP Data'!$B$4:$Q$300, 9, FALSE)</f>
        <v>#N/A</v>
      </c>
      <c r="U118" s="11" t="e">
        <f>VLOOKUP($H118, 'ADP Data'!$B$4:$Q$300, 10, FALSE)</f>
        <v>#N/A</v>
      </c>
      <c r="V118" s="11" t="e">
        <f t="shared" si="4"/>
        <v>#N/A</v>
      </c>
      <c r="W118" s="11" t="e">
        <f>VLOOKUP($H118, SeanRanks!$A$2:$J$303, 7, FALSE)-V118</f>
        <v>#N/A</v>
      </c>
      <c r="X118" s="11"/>
    </row>
    <row r="119" spans="1:24" ht="14.25" customHeight="1" x14ac:dyDescent="0.25">
      <c r="A119" s="11"/>
      <c r="B119" s="11" t="e">
        <f t="shared" si="0"/>
        <v>#N/A</v>
      </c>
      <c r="C119" s="11" t="s">
        <v>148</v>
      </c>
      <c r="D119" s="11"/>
      <c r="E119" s="11"/>
      <c r="F119" s="11">
        <f t="shared" si="1"/>
        <v>0</v>
      </c>
      <c r="G119" s="11"/>
      <c r="H119" s="11" t="s">
        <v>471</v>
      </c>
      <c r="I119" s="11" t="e">
        <f>VLOOKUP($H119, 'ADP Data'!$B$4:$Q$300, 2, FALSE)</f>
        <v>#N/A</v>
      </c>
      <c r="J119" s="11" t="e">
        <f>VLOOKUP($H119, 'ADP Data'!$B$4:$Q$300, 3, FALSE)</f>
        <v>#N/A</v>
      </c>
      <c r="K119" s="11"/>
      <c r="L119" s="11"/>
      <c r="M119" s="11">
        <f t="shared" si="2"/>
        <v>16</v>
      </c>
      <c r="N119" s="11" t="e">
        <f>VLOOKUP($H119, 'ADP Data'!$B$4:$Q$300, 11, FALSE)</f>
        <v>#N/A</v>
      </c>
      <c r="O119" s="11" t="e">
        <f>VLOOKUP($H119, 'ADP Data'!$B$4:$Q$300, 5, FALSE)</f>
        <v>#N/A</v>
      </c>
      <c r="P119" s="11" t="e">
        <f t="shared" si="3"/>
        <v>#N/A</v>
      </c>
      <c r="Q119" s="11" t="e">
        <f>VLOOKUP($H119, 'ADP Data'!$B$4:$Q$300, 6, FALSE)</f>
        <v>#N/A</v>
      </c>
      <c r="R119" s="11" t="e">
        <f>VLOOKUP($H119, 'ADP Data'!$B$4:$Q$300, 7, FALSE)</f>
        <v>#N/A</v>
      </c>
      <c r="S119" s="11" t="e">
        <f>VLOOKUP($H119, 'ADP Data'!$B$4:$Q$300, 8, FALSE)</f>
        <v>#N/A</v>
      </c>
      <c r="T119" s="11" t="e">
        <f>VLOOKUP($H119, 'ADP Data'!$B$4:$Q$300, 9, FALSE)</f>
        <v>#N/A</v>
      </c>
      <c r="U119" s="11" t="e">
        <f>VLOOKUP($H119, 'ADP Data'!$B$4:$Q$300, 10, FALSE)</f>
        <v>#N/A</v>
      </c>
      <c r="V119" s="11" t="e">
        <f t="shared" si="4"/>
        <v>#N/A</v>
      </c>
      <c r="W119" s="11" t="e">
        <f>VLOOKUP($H119, SeanRanks!$A$2:$J$303, 7, FALSE)-V119</f>
        <v>#N/A</v>
      </c>
      <c r="X119" s="11"/>
    </row>
    <row r="120" spans="1:24" ht="14.25" customHeight="1" x14ac:dyDescent="0.25">
      <c r="A120" s="11"/>
      <c r="B120" s="11" t="e">
        <f t="shared" si="0"/>
        <v>#N/A</v>
      </c>
      <c r="C120" s="11" t="s">
        <v>148</v>
      </c>
      <c r="D120" s="11"/>
      <c r="E120" s="11"/>
      <c r="F120" s="11">
        <f t="shared" si="1"/>
        <v>0</v>
      </c>
      <c r="G120" s="11" t="s">
        <v>148</v>
      </c>
      <c r="H120" s="11" t="s">
        <v>850</v>
      </c>
      <c r="I120" s="11" t="e">
        <f>VLOOKUP($H120, 'ADP Data'!$B$4:$Q$300, 2, FALSE)</f>
        <v>#N/A</v>
      </c>
      <c r="J120" s="11" t="e">
        <f>VLOOKUP($H120, 'ADP Data'!$B$4:$Q$300, 3, FALSE)</f>
        <v>#N/A</v>
      </c>
      <c r="K120" s="11"/>
      <c r="L120" s="11"/>
      <c r="M120" s="11">
        <f t="shared" si="2"/>
        <v>16</v>
      </c>
      <c r="N120" s="11" t="e">
        <f>VLOOKUP($H120, 'ADP Data'!$B$4:$Q$300, 11, FALSE)</f>
        <v>#N/A</v>
      </c>
      <c r="O120" s="11" t="e">
        <f>VLOOKUP($H120, 'ADP Data'!$B$4:$Q$300, 5, FALSE)</f>
        <v>#N/A</v>
      </c>
      <c r="P120" s="11" t="e">
        <f t="shared" si="3"/>
        <v>#N/A</v>
      </c>
      <c r="Q120" s="11" t="e">
        <f>VLOOKUP($H120, 'ADP Data'!$B$4:$Q$300, 6, FALSE)</f>
        <v>#N/A</v>
      </c>
      <c r="R120" s="11" t="e">
        <f>VLOOKUP($H120, 'ADP Data'!$B$4:$Q$300, 7, FALSE)</f>
        <v>#N/A</v>
      </c>
      <c r="S120" s="11" t="e">
        <f>VLOOKUP($H120, 'ADP Data'!$B$4:$Q$300, 8, FALSE)</f>
        <v>#N/A</v>
      </c>
      <c r="T120" s="11" t="e">
        <f>VLOOKUP($H120, 'ADP Data'!$B$4:$Q$300, 9, FALSE)</f>
        <v>#N/A</v>
      </c>
      <c r="U120" s="11" t="e">
        <f>VLOOKUP($H120, 'ADP Data'!$B$4:$Q$300, 10, FALSE)</f>
        <v>#N/A</v>
      </c>
      <c r="V120" s="11" t="e">
        <f t="shared" si="4"/>
        <v>#N/A</v>
      </c>
      <c r="W120" s="11" t="e">
        <f>VLOOKUP($H120, SeanRanks!$A$2:$J$303, 7, FALSE)-V120</f>
        <v>#N/A</v>
      </c>
      <c r="X120" s="11" t="s">
        <v>1232</v>
      </c>
    </row>
    <row r="121" spans="1:24" ht="14.25" customHeight="1" x14ac:dyDescent="0.25">
      <c r="A121" s="11"/>
      <c r="B121" s="11" t="e">
        <f t="shared" si="0"/>
        <v>#N/A</v>
      </c>
      <c r="C121" s="11" t="s">
        <v>148</v>
      </c>
      <c r="D121" s="11"/>
      <c r="E121" s="11"/>
      <c r="F121" s="11">
        <f t="shared" si="1"/>
        <v>0</v>
      </c>
      <c r="G121" s="11"/>
      <c r="H121" s="11" t="s">
        <v>965</v>
      </c>
      <c r="I121" s="11" t="e">
        <f>VLOOKUP($H121, 'ADP Data'!$B$4:$Q$300, 2, FALSE)</f>
        <v>#N/A</v>
      </c>
      <c r="J121" s="11" t="e">
        <f>VLOOKUP($H121, 'ADP Data'!$B$4:$Q$300, 3, FALSE)</f>
        <v>#N/A</v>
      </c>
      <c r="K121" s="11"/>
      <c r="L121" s="11"/>
      <c r="M121" s="11">
        <f t="shared" si="2"/>
        <v>16</v>
      </c>
      <c r="N121" s="11" t="e">
        <f>VLOOKUP($H121, 'ADP Data'!$B$4:$Q$300, 11, FALSE)</f>
        <v>#N/A</v>
      </c>
      <c r="O121" s="11" t="e">
        <f>VLOOKUP($H121, 'ADP Data'!$B$4:$Q$300, 5, FALSE)</f>
        <v>#N/A</v>
      </c>
      <c r="P121" s="11" t="e">
        <f t="shared" si="3"/>
        <v>#N/A</v>
      </c>
      <c r="Q121" s="11" t="e">
        <f>VLOOKUP($H121, 'ADP Data'!$B$4:$Q$300, 6, FALSE)</f>
        <v>#N/A</v>
      </c>
      <c r="R121" s="11" t="e">
        <f>VLOOKUP($H121, 'ADP Data'!$B$4:$Q$300, 7, FALSE)</f>
        <v>#N/A</v>
      </c>
      <c r="S121" s="11" t="e">
        <f>VLOOKUP($H121, 'ADP Data'!$B$4:$Q$300, 8, FALSE)</f>
        <v>#N/A</v>
      </c>
      <c r="T121" s="11" t="e">
        <f>VLOOKUP($H121, 'ADP Data'!$B$4:$Q$300, 9, FALSE)</f>
        <v>#N/A</v>
      </c>
      <c r="U121" s="11" t="e">
        <f>VLOOKUP($H121, 'ADP Data'!$B$4:$Q$300, 10, FALSE)</f>
        <v>#N/A</v>
      </c>
      <c r="V121" s="11" t="e">
        <f t="shared" si="4"/>
        <v>#N/A</v>
      </c>
      <c r="W121" s="11" t="e">
        <f>VLOOKUP($H121, SeanRanks!$A$2:$J$303, 7, FALSE)-V121</f>
        <v>#N/A</v>
      </c>
      <c r="X121" s="11"/>
    </row>
    <row r="122" spans="1:24" ht="14.25" customHeight="1" x14ac:dyDescent="0.25">
      <c r="A122" s="11"/>
      <c r="B122" s="11" t="e">
        <f t="shared" si="0"/>
        <v>#N/A</v>
      </c>
      <c r="C122" s="11" t="s">
        <v>148</v>
      </c>
      <c r="D122" s="11"/>
      <c r="E122" s="11"/>
      <c r="F122" s="11">
        <f t="shared" si="1"/>
        <v>0</v>
      </c>
      <c r="G122" s="11"/>
      <c r="H122" s="11" t="s">
        <v>1234</v>
      </c>
      <c r="I122" s="11" t="e">
        <f>VLOOKUP($H122, 'ADP Data'!$B$4:$Q$300, 2, FALSE)</f>
        <v>#N/A</v>
      </c>
      <c r="J122" s="11" t="e">
        <f>VLOOKUP($H122, 'ADP Data'!$B$4:$Q$300, 3, FALSE)</f>
        <v>#N/A</v>
      </c>
      <c r="K122" s="11"/>
      <c r="L122" s="11"/>
      <c r="M122" s="11">
        <f t="shared" si="2"/>
        <v>16</v>
      </c>
      <c r="N122" s="11" t="e">
        <f>VLOOKUP($H122, 'ADP Data'!$B$4:$Q$300, 11, FALSE)</f>
        <v>#N/A</v>
      </c>
      <c r="O122" s="11" t="e">
        <f>VLOOKUP($H122, 'ADP Data'!$B$4:$Q$300, 5, FALSE)</f>
        <v>#N/A</v>
      </c>
      <c r="P122" s="11" t="e">
        <f t="shared" si="3"/>
        <v>#N/A</v>
      </c>
      <c r="Q122" s="11" t="e">
        <f>VLOOKUP($H122, 'ADP Data'!$B$4:$Q$300, 6, FALSE)</f>
        <v>#N/A</v>
      </c>
      <c r="R122" s="11" t="e">
        <f>VLOOKUP($H122, 'ADP Data'!$B$4:$Q$300, 7, FALSE)</f>
        <v>#N/A</v>
      </c>
      <c r="S122" s="11" t="e">
        <f>VLOOKUP($H122, 'ADP Data'!$B$4:$Q$300, 8, FALSE)</f>
        <v>#N/A</v>
      </c>
      <c r="T122" s="11" t="e">
        <f>VLOOKUP($H122, 'ADP Data'!$B$4:$Q$300, 9, FALSE)</f>
        <v>#N/A</v>
      </c>
      <c r="U122" s="11" t="e">
        <f>VLOOKUP($H122, 'ADP Data'!$B$4:$Q$300, 10, FALSE)</f>
        <v>#N/A</v>
      </c>
      <c r="V122" s="11" t="e">
        <f t="shared" si="4"/>
        <v>#N/A</v>
      </c>
      <c r="W122" s="11" t="e">
        <f>VLOOKUP($H122, SeanRanks!$A$2:$J$303, 7, FALSE)-V122</f>
        <v>#N/A</v>
      </c>
      <c r="X122" s="11"/>
    </row>
    <row r="123" spans="1:24" ht="14.25" customHeight="1" x14ac:dyDescent="0.25">
      <c r="A123" s="11"/>
      <c r="B123" s="11" t="e">
        <f t="shared" si="0"/>
        <v>#N/A</v>
      </c>
      <c r="C123" s="11" t="s">
        <v>148</v>
      </c>
      <c r="D123" s="11"/>
      <c r="E123" s="11"/>
      <c r="F123" s="11">
        <f t="shared" si="1"/>
        <v>0</v>
      </c>
      <c r="G123" s="11"/>
      <c r="H123" s="11" t="s">
        <v>644</v>
      </c>
      <c r="I123" s="11" t="e">
        <f>VLOOKUP($H123, 'ADP Data'!$B$4:$Q$300, 2, FALSE)</f>
        <v>#N/A</v>
      </c>
      <c r="J123" s="11" t="e">
        <f>VLOOKUP($H123, 'ADP Data'!$B$4:$Q$300, 3, FALSE)</f>
        <v>#N/A</v>
      </c>
      <c r="K123" s="11"/>
      <c r="L123" s="11"/>
      <c r="M123" s="11">
        <f t="shared" si="2"/>
        <v>16</v>
      </c>
      <c r="N123" s="11" t="e">
        <f>VLOOKUP($H123, 'ADP Data'!$B$4:$Q$300, 11, FALSE)</f>
        <v>#N/A</v>
      </c>
      <c r="O123" s="11" t="e">
        <f>VLOOKUP($H123, 'ADP Data'!$B$4:$Q$300, 5, FALSE)</f>
        <v>#N/A</v>
      </c>
      <c r="P123" s="11" t="e">
        <f t="shared" si="3"/>
        <v>#N/A</v>
      </c>
      <c r="Q123" s="11" t="e">
        <f>VLOOKUP($H123, 'ADP Data'!$B$4:$Q$300, 6, FALSE)</f>
        <v>#N/A</v>
      </c>
      <c r="R123" s="11" t="e">
        <f>VLOOKUP($H123, 'ADP Data'!$B$4:$Q$300, 7, FALSE)</f>
        <v>#N/A</v>
      </c>
      <c r="S123" s="11" t="e">
        <f>VLOOKUP($H123, 'ADP Data'!$B$4:$Q$300, 8, FALSE)</f>
        <v>#N/A</v>
      </c>
      <c r="T123" s="11" t="e">
        <f>VLOOKUP($H123, 'ADP Data'!$B$4:$Q$300, 9, FALSE)</f>
        <v>#N/A</v>
      </c>
      <c r="U123" s="11" t="e">
        <f>VLOOKUP($H123, 'ADP Data'!$B$4:$Q$300, 10, FALSE)</f>
        <v>#N/A</v>
      </c>
      <c r="V123" s="11" t="e">
        <f t="shared" si="4"/>
        <v>#N/A</v>
      </c>
      <c r="W123" s="11" t="e">
        <f>VLOOKUP($H123, SeanRanks!$A$2:$J$303, 7, FALSE)-V123</f>
        <v>#N/A</v>
      </c>
      <c r="X123" s="11"/>
    </row>
    <row r="124" spans="1:24" ht="14.25" customHeight="1" x14ac:dyDescent="0.25">
      <c r="A124" s="11"/>
      <c r="B124" s="11" t="e">
        <f t="shared" si="0"/>
        <v>#N/A</v>
      </c>
      <c r="C124" s="11" t="s">
        <v>148</v>
      </c>
      <c r="D124" s="11"/>
      <c r="E124" s="11"/>
      <c r="F124" s="11">
        <f t="shared" si="1"/>
        <v>0</v>
      </c>
      <c r="G124" s="11"/>
      <c r="H124" s="11" t="s">
        <v>1221</v>
      </c>
      <c r="I124" s="11" t="e">
        <f>VLOOKUP($H124, 'ADP Data'!$B$4:$Q$300, 2, FALSE)</f>
        <v>#N/A</v>
      </c>
      <c r="J124" s="11" t="e">
        <f>VLOOKUP($H124, 'ADP Data'!$B$4:$Q$300, 3, FALSE)</f>
        <v>#N/A</v>
      </c>
      <c r="K124" s="11"/>
      <c r="L124" s="11"/>
      <c r="M124" s="11">
        <f t="shared" si="2"/>
        <v>16</v>
      </c>
      <c r="N124" s="11" t="e">
        <f>VLOOKUP($H124, 'ADP Data'!$B$4:$Q$300, 11, FALSE)</f>
        <v>#N/A</v>
      </c>
      <c r="O124" s="11" t="e">
        <f>VLOOKUP($H124, 'ADP Data'!$B$4:$Q$300, 5, FALSE)</f>
        <v>#N/A</v>
      </c>
      <c r="P124" s="11" t="e">
        <f t="shared" si="3"/>
        <v>#N/A</v>
      </c>
      <c r="Q124" s="11" t="e">
        <f>VLOOKUP($H124, 'ADP Data'!$B$4:$Q$300, 6, FALSE)</f>
        <v>#N/A</v>
      </c>
      <c r="R124" s="11" t="e">
        <f>VLOOKUP($H124, 'ADP Data'!$B$4:$Q$300, 7, FALSE)</f>
        <v>#N/A</v>
      </c>
      <c r="S124" s="11" t="e">
        <f>VLOOKUP($H124, 'ADP Data'!$B$4:$Q$300, 8, FALSE)</f>
        <v>#N/A</v>
      </c>
      <c r="T124" s="11" t="e">
        <f>VLOOKUP($H124, 'ADP Data'!$B$4:$Q$300, 9, FALSE)</f>
        <v>#N/A</v>
      </c>
      <c r="U124" s="11" t="e">
        <f>VLOOKUP($H124, 'ADP Data'!$B$4:$Q$300, 10, FALSE)</f>
        <v>#N/A</v>
      </c>
      <c r="V124" s="11" t="e">
        <f t="shared" si="4"/>
        <v>#N/A</v>
      </c>
      <c r="W124" s="11" t="e">
        <f>VLOOKUP($H124, SeanRanks!$A$2:$J$303, 7, FALSE)-V124</f>
        <v>#N/A</v>
      </c>
      <c r="X124" s="11"/>
    </row>
    <row r="125" spans="1:24" ht="14.25" customHeight="1" x14ac:dyDescent="0.25">
      <c r="A125" s="11"/>
      <c r="B125" s="11" t="e">
        <f t="shared" si="0"/>
        <v>#N/A</v>
      </c>
      <c r="C125" s="11" t="s">
        <v>148</v>
      </c>
      <c r="D125" s="11"/>
      <c r="E125" s="11"/>
      <c r="F125" s="11">
        <f t="shared" si="1"/>
        <v>0</v>
      </c>
      <c r="G125" s="11"/>
      <c r="H125" s="11" t="s">
        <v>1236</v>
      </c>
      <c r="I125" s="11" t="e">
        <f>VLOOKUP($H125, 'ADP Data'!$B$4:$Q$300, 2, FALSE)</f>
        <v>#N/A</v>
      </c>
      <c r="J125" s="11" t="e">
        <f>VLOOKUP($H125, 'ADP Data'!$B$4:$Q$300, 3, FALSE)</f>
        <v>#N/A</v>
      </c>
      <c r="K125" s="11"/>
      <c r="L125" s="11"/>
      <c r="M125" s="11">
        <f t="shared" si="2"/>
        <v>16</v>
      </c>
      <c r="N125" s="11" t="e">
        <f>VLOOKUP($H125, 'ADP Data'!$B$4:$Q$300, 11, FALSE)</f>
        <v>#N/A</v>
      </c>
      <c r="O125" s="11" t="e">
        <f>VLOOKUP($H125, 'ADP Data'!$B$4:$Q$300, 5, FALSE)</f>
        <v>#N/A</v>
      </c>
      <c r="P125" s="11" t="e">
        <f t="shared" si="3"/>
        <v>#N/A</v>
      </c>
      <c r="Q125" s="11" t="e">
        <f>VLOOKUP($H125, 'ADP Data'!$B$4:$Q$300, 6, FALSE)</f>
        <v>#N/A</v>
      </c>
      <c r="R125" s="11" t="e">
        <f>VLOOKUP($H125, 'ADP Data'!$B$4:$Q$300, 7, FALSE)</f>
        <v>#N/A</v>
      </c>
      <c r="S125" s="11" t="e">
        <f>VLOOKUP($H125, 'ADP Data'!$B$4:$Q$300, 8, FALSE)</f>
        <v>#N/A</v>
      </c>
      <c r="T125" s="11" t="e">
        <f>VLOOKUP($H125, 'ADP Data'!$B$4:$Q$300, 9, FALSE)</f>
        <v>#N/A</v>
      </c>
      <c r="U125" s="11" t="e">
        <f>VLOOKUP($H125, 'ADP Data'!$B$4:$Q$300, 10, FALSE)</f>
        <v>#N/A</v>
      </c>
      <c r="V125" s="11" t="e">
        <f t="shared" si="4"/>
        <v>#N/A</v>
      </c>
      <c r="W125" s="11" t="e">
        <f>VLOOKUP($H125, SeanRanks!$A$2:$J$303, 7, FALSE)-V125</f>
        <v>#N/A</v>
      </c>
      <c r="X125" s="11"/>
    </row>
    <row r="126" spans="1:24" ht="14.25" customHeight="1" x14ac:dyDescent="0.25">
      <c r="A126" s="11"/>
      <c r="B126" s="11" t="e">
        <f t="shared" si="0"/>
        <v>#N/A</v>
      </c>
      <c r="C126" s="11" t="s">
        <v>148</v>
      </c>
      <c r="D126" s="11"/>
      <c r="E126" s="11"/>
      <c r="F126" s="11">
        <f t="shared" si="1"/>
        <v>0</v>
      </c>
      <c r="G126" s="11"/>
      <c r="H126" s="11" t="s">
        <v>1237</v>
      </c>
      <c r="I126" s="11" t="e">
        <f>VLOOKUP($H126, 'ADP Data'!$B$4:$Q$300, 2, FALSE)</f>
        <v>#N/A</v>
      </c>
      <c r="J126" s="11" t="e">
        <f>VLOOKUP($H126, 'ADP Data'!$B$4:$Q$300, 3, FALSE)</f>
        <v>#N/A</v>
      </c>
      <c r="K126" s="11"/>
      <c r="L126" s="11"/>
      <c r="M126" s="11">
        <f t="shared" si="2"/>
        <v>16</v>
      </c>
      <c r="N126" s="11" t="e">
        <f>VLOOKUP($H126, 'ADP Data'!$B$4:$Q$300, 11, FALSE)</f>
        <v>#N/A</v>
      </c>
      <c r="O126" s="11" t="e">
        <f>VLOOKUP($H126, 'ADP Data'!$B$4:$Q$300, 5, FALSE)</f>
        <v>#N/A</v>
      </c>
      <c r="P126" s="11" t="e">
        <f t="shared" si="3"/>
        <v>#N/A</v>
      </c>
      <c r="Q126" s="11" t="e">
        <f>VLOOKUP($H126, 'ADP Data'!$B$4:$Q$300, 6, FALSE)</f>
        <v>#N/A</v>
      </c>
      <c r="R126" s="11" t="e">
        <f>VLOOKUP($H126, 'ADP Data'!$B$4:$Q$300, 7, FALSE)</f>
        <v>#N/A</v>
      </c>
      <c r="S126" s="11" t="e">
        <f>VLOOKUP($H126, 'ADP Data'!$B$4:$Q$300, 8, FALSE)</f>
        <v>#N/A</v>
      </c>
      <c r="T126" s="11" t="e">
        <f>VLOOKUP($H126, 'ADP Data'!$B$4:$Q$300, 9, FALSE)</f>
        <v>#N/A</v>
      </c>
      <c r="U126" s="11" t="e">
        <f>VLOOKUP($H126, 'ADP Data'!$B$4:$Q$300, 10, FALSE)</f>
        <v>#N/A</v>
      </c>
      <c r="V126" s="11" t="e">
        <f t="shared" si="4"/>
        <v>#N/A</v>
      </c>
      <c r="W126" s="11" t="e">
        <f>VLOOKUP($H126, SeanRanks!$A$2:$J$303, 7, FALSE)-V126</f>
        <v>#N/A</v>
      </c>
      <c r="X126" s="11"/>
    </row>
    <row r="127" spans="1:24" ht="14.25" customHeight="1" x14ac:dyDescent="0.25">
      <c r="A127" s="11"/>
      <c r="B127" s="11" t="e">
        <f t="shared" si="0"/>
        <v>#N/A</v>
      </c>
      <c r="C127" s="11" t="s">
        <v>148</v>
      </c>
      <c r="D127" s="11"/>
      <c r="E127" s="11"/>
      <c r="F127" s="11">
        <f t="shared" si="1"/>
        <v>0</v>
      </c>
      <c r="G127" s="11"/>
      <c r="H127" s="11" t="s">
        <v>1238</v>
      </c>
      <c r="I127" s="11" t="e">
        <f>VLOOKUP($H127, 'ADP Data'!$B$4:$Q$300, 2, FALSE)</f>
        <v>#N/A</v>
      </c>
      <c r="J127" s="11" t="e">
        <f>VLOOKUP($H127, 'ADP Data'!$B$4:$Q$300, 3, FALSE)</f>
        <v>#N/A</v>
      </c>
      <c r="K127" s="11"/>
      <c r="L127" s="11"/>
      <c r="M127" s="11">
        <f t="shared" si="2"/>
        <v>16</v>
      </c>
      <c r="N127" s="11" t="e">
        <f>VLOOKUP($H127, 'ADP Data'!$B$4:$Q$300, 11, FALSE)</f>
        <v>#N/A</v>
      </c>
      <c r="O127" s="11" t="e">
        <f>VLOOKUP($H127, 'ADP Data'!$B$4:$Q$300, 5, FALSE)</f>
        <v>#N/A</v>
      </c>
      <c r="P127" s="11" t="e">
        <f t="shared" si="3"/>
        <v>#N/A</v>
      </c>
      <c r="Q127" s="11" t="e">
        <f>VLOOKUP($H127, 'ADP Data'!$B$4:$Q$300, 6, FALSE)</f>
        <v>#N/A</v>
      </c>
      <c r="R127" s="11" t="e">
        <f>VLOOKUP($H127, 'ADP Data'!$B$4:$Q$300, 7, FALSE)</f>
        <v>#N/A</v>
      </c>
      <c r="S127" s="11" t="e">
        <f>VLOOKUP($H127, 'ADP Data'!$B$4:$Q$300, 8, FALSE)</f>
        <v>#N/A</v>
      </c>
      <c r="T127" s="11" t="e">
        <f>VLOOKUP($H127, 'ADP Data'!$B$4:$Q$300, 9, FALSE)</f>
        <v>#N/A</v>
      </c>
      <c r="U127" s="11" t="e">
        <f>VLOOKUP($H127, 'ADP Data'!$B$4:$Q$300, 10, FALSE)</f>
        <v>#N/A</v>
      </c>
      <c r="V127" s="11" t="e">
        <f t="shared" si="4"/>
        <v>#N/A</v>
      </c>
      <c r="W127" s="11" t="e">
        <f>VLOOKUP($H127, SeanRanks!$A$2:$J$303, 7, FALSE)-V127</f>
        <v>#N/A</v>
      </c>
      <c r="X127" s="11"/>
    </row>
    <row r="128" spans="1:24" ht="14.25" customHeight="1" x14ac:dyDescent="0.25">
      <c r="A128" s="11"/>
      <c r="B128" s="11" t="e">
        <f t="shared" si="0"/>
        <v>#N/A</v>
      </c>
      <c r="C128" s="11" t="s">
        <v>148</v>
      </c>
      <c r="D128" s="11"/>
      <c r="E128" s="11"/>
      <c r="F128" s="11">
        <f t="shared" si="1"/>
        <v>0</v>
      </c>
      <c r="G128" s="11"/>
      <c r="H128" s="11" t="s">
        <v>1239</v>
      </c>
      <c r="I128" s="11" t="e">
        <f>VLOOKUP($H128, 'ADP Data'!$B$4:$Q$300, 2, FALSE)</f>
        <v>#N/A</v>
      </c>
      <c r="J128" s="11" t="e">
        <f>VLOOKUP($H128, 'ADP Data'!$B$4:$Q$300, 3, FALSE)</f>
        <v>#N/A</v>
      </c>
      <c r="K128" s="11"/>
      <c r="L128" s="11"/>
      <c r="M128" s="11">
        <f t="shared" si="2"/>
        <v>16</v>
      </c>
      <c r="N128" s="11" t="e">
        <f>VLOOKUP($H128, 'ADP Data'!$B$4:$Q$300, 11, FALSE)</f>
        <v>#N/A</v>
      </c>
      <c r="O128" s="11" t="e">
        <f>VLOOKUP($H128, 'ADP Data'!$B$4:$Q$300, 5, FALSE)</f>
        <v>#N/A</v>
      </c>
      <c r="P128" s="11" t="e">
        <f t="shared" si="3"/>
        <v>#N/A</v>
      </c>
      <c r="Q128" s="11" t="e">
        <f>VLOOKUP($H128, 'ADP Data'!$B$4:$Q$300, 6, FALSE)</f>
        <v>#N/A</v>
      </c>
      <c r="R128" s="11" t="e">
        <f>VLOOKUP($H128, 'ADP Data'!$B$4:$Q$300, 7, FALSE)</f>
        <v>#N/A</v>
      </c>
      <c r="S128" s="11" t="e">
        <f>VLOOKUP($H128, 'ADP Data'!$B$4:$Q$300, 8, FALSE)</f>
        <v>#N/A</v>
      </c>
      <c r="T128" s="11" t="e">
        <f>VLOOKUP($H128, 'ADP Data'!$B$4:$Q$300, 9, FALSE)</f>
        <v>#N/A</v>
      </c>
      <c r="U128" s="11" t="e">
        <f>VLOOKUP($H128, 'ADP Data'!$B$4:$Q$300, 10, FALSE)</f>
        <v>#N/A</v>
      </c>
      <c r="V128" s="11" t="e">
        <f t="shared" si="4"/>
        <v>#N/A</v>
      </c>
      <c r="W128" s="11" t="e">
        <f>VLOOKUP($H128, SeanRanks!$A$2:$J$303, 7, FALSE)-V128</f>
        <v>#N/A</v>
      </c>
      <c r="X128" s="11"/>
    </row>
    <row r="129" spans="1:24" ht="14.25" customHeight="1" x14ac:dyDescent="0.25">
      <c r="A129" s="11"/>
      <c r="B129" s="11" t="e">
        <f t="shared" si="0"/>
        <v>#N/A</v>
      </c>
      <c r="C129" s="11" t="s">
        <v>148</v>
      </c>
      <c r="D129" s="11"/>
      <c r="E129" s="11"/>
      <c r="F129" s="11">
        <f t="shared" si="1"/>
        <v>0</v>
      </c>
      <c r="G129" s="11"/>
      <c r="H129" s="11" t="s">
        <v>968</v>
      </c>
      <c r="I129" s="11" t="e">
        <f>VLOOKUP($H129, 'ADP Data'!$B$4:$Q$300, 2, FALSE)</f>
        <v>#N/A</v>
      </c>
      <c r="J129" s="11" t="e">
        <f>VLOOKUP($H129, 'ADP Data'!$B$4:$Q$300, 3, FALSE)</f>
        <v>#N/A</v>
      </c>
      <c r="K129" s="11"/>
      <c r="L129" s="11"/>
      <c r="M129" s="11">
        <f t="shared" si="2"/>
        <v>16</v>
      </c>
      <c r="N129" s="11" t="e">
        <f>VLOOKUP($H129, 'ADP Data'!$B$4:$Q$300, 11, FALSE)</f>
        <v>#N/A</v>
      </c>
      <c r="O129" s="11" t="e">
        <f>VLOOKUP($H129, 'ADP Data'!$B$4:$Q$300, 5, FALSE)</f>
        <v>#N/A</v>
      </c>
      <c r="P129" s="11" t="e">
        <f t="shared" si="3"/>
        <v>#N/A</v>
      </c>
      <c r="Q129" s="11" t="e">
        <f>VLOOKUP($H129, 'ADP Data'!$B$4:$Q$300, 6, FALSE)</f>
        <v>#N/A</v>
      </c>
      <c r="R129" s="11" t="e">
        <f>VLOOKUP($H129, 'ADP Data'!$B$4:$Q$300, 7, FALSE)</f>
        <v>#N/A</v>
      </c>
      <c r="S129" s="11" t="e">
        <f>VLOOKUP($H129, 'ADP Data'!$B$4:$Q$300, 8, FALSE)</f>
        <v>#N/A</v>
      </c>
      <c r="T129" s="11" t="e">
        <f>VLOOKUP($H129, 'ADP Data'!$B$4:$Q$300, 9, FALSE)</f>
        <v>#N/A</v>
      </c>
      <c r="U129" s="11" t="e">
        <f>VLOOKUP($H129, 'ADP Data'!$B$4:$Q$300, 10, FALSE)</f>
        <v>#N/A</v>
      </c>
      <c r="V129" s="11" t="e">
        <f t="shared" si="4"/>
        <v>#N/A</v>
      </c>
      <c r="W129" s="11" t="e">
        <f>VLOOKUP($H129, SeanRanks!$A$2:$J$303, 7, FALSE)-V129</f>
        <v>#N/A</v>
      </c>
      <c r="X129" s="11"/>
    </row>
    <row r="130" spans="1:24" ht="14.25" customHeight="1" x14ac:dyDescent="0.25">
      <c r="A130" s="11"/>
      <c r="B130" s="11" t="e">
        <f t="shared" si="0"/>
        <v>#N/A</v>
      </c>
      <c r="C130" s="11" t="s">
        <v>148</v>
      </c>
      <c r="D130" s="11"/>
      <c r="E130" s="11"/>
      <c r="F130" s="11">
        <f t="shared" si="1"/>
        <v>0</v>
      </c>
      <c r="G130" s="11"/>
      <c r="H130" s="11" t="s">
        <v>1240</v>
      </c>
      <c r="I130" s="11" t="e">
        <f>VLOOKUP($H130, 'ADP Data'!$B$4:$Q$300, 2, FALSE)</f>
        <v>#N/A</v>
      </c>
      <c r="J130" s="11" t="e">
        <f>VLOOKUP($H130, 'ADP Data'!$B$4:$Q$300, 3, FALSE)</f>
        <v>#N/A</v>
      </c>
      <c r="K130" s="11"/>
      <c r="L130" s="11"/>
      <c r="M130" s="11">
        <f t="shared" si="2"/>
        <v>16</v>
      </c>
      <c r="N130" s="11" t="e">
        <f>VLOOKUP($H130, 'ADP Data'!$B$4:$Q$300, 11, FALSE)</f>
        <v>#N/A</v>
      </c>
      <c r="O130" s="11" t="e">
        <f>VLOOKUP($H130, 'ADP Data'!$B$4:$Q$300, 5, FALSE)</f>
        <v>#N/A</v>
      </c>
      <c r="P130" s="11" t="e">
        <f t="shared" si="3"/>
        <v>#N/A</v>
      </c>
      <c r="Q130" s="11" t="e">
        <f>VLOOKUP($H130, 'ADP Data'!$B$4:$Q$300, 6, FALSE)</f>
        <v>#N/A</v>
      </c>
      <c r="R130" s="11" t="e">
        <f>VLOOKUP($H130, 'ADP Data'!$B$4:$Q$300, 7, FALSE)</f>
        <v>#N/A</v>
      </c>
      <c r="S130" s="11" t="e">
        <f>VLOOKUP($H130, 'ADP Data'!$B$4:$Q$300, 8, FALSE)</f>
        <v>#N/A</v>
      </c>
      <c r="T130" s="11" t="e">
        <f>VLOOKUP($H130, 'ADP Data'!$B$4:$Q$300, 9, FALSE)</f>
        <v>#N/A</v>
      </c>
      <c r="U130" s="11" t="e">
        <f>VLOOKUP($H130, 'ADP Data'!$B$4:$Q$300, 10, FALSE)</f>
        <v>#N/A</v>
      </c>
      <c r="V130" s="11" t="e">
        <f t="shared" si="4"/>
        <v>#N/A</v>
      </c>
      <c r="W130" s="11" t="e">
        <f>VLOOKUP($H130, SeanRanks!$A$2:$J$303, 7, FALSE)-V130</f>
        <v>#N/A</v>
      </c>
      <c r="X130" s="11"/>
    </row>
    <row r="131" spans="1:24" ht="14.25" customHeight="1" x14ac:dyDescent="0.25">
      <c r="A131" s="11"/>
      <c r="B131" s="11" t="e">
        <f t="shared" si="0"/>
        <v>#N/A</v>
      </c>
      <c r="C131" s="11" t="s">
        <v>148</v>
      </c>
      <c r="D131" s="11"/>
      <c r="E131" s="11"/>
      <c r="F131" s="11">
        <f t="shared" si="1"/>
        <v>0</v>
      </c>
      <c r="G131" s="11"/>
      <c r="H131" s="11" t="s">
        <v>551</v>
      </c>
      <c r="I131" s="11" t="e">
        <f>VLOOKUP($H131, 'ADP Data'!$B$4:$Q$300, 2, FALSE)</f>
        <v>#N/A</v>
      </c>
      <c r="J131" s="11" t="e">
        <f>VLOOKUP($H131, 'ADP Data'!$B$4:$Q$300, 3, FALSE)</f>
        <v>#N/A</v>
      </c>
      <c r="K131" s="11"/>
      <c r="L131" s="11"/>
      <c r="M131" s="11">
        <f t="shared" si="2"/>
        <v>16</v>
      </c>
      <c r="N131" s="11" t="e">
        <f>VLOOKUP($H131, 'ADP Data'!$B$4:$Q$300, 11, FALSE)</f>
        <v>#N/A</v>
      </c>
      <c r="O131" s="11" t="e">
        <f>VLOOKUP($H131, 'ADP Data'!$B$4:$Q$300, 5, FALSE)</f>
        <v>#N/A</v>
      </c>
      <c r="P131" s="11" t="e">
        <f t="shared" si="3"/>
        <v>#N/A</v>
      </c>
      <c r="Q131" s="11" t="e">
        <f>VLOOKUP($H131, 'ADP Data'!$B$4:$Q$300, 6, FALSE)</f>
        <v>#N/A</v>
      </c>
      <c r="R131" s="11" t="e">
        <f>VLOOKUP($H131, 'ADP Data'!$B$4:$Q$300, 7, FALSE)</f>
        <v>#N/A</v>
      </c>
      <c r="S131" s="11" t="e">
        <f>VLOOKUP($H131, 'ADP Data'!$B$4:$Q$300, 8, FALSE)</f>
        <v>#N/A</v>
      </c>
      <c r="T131" s="11" t="e">
        <f>VLOOKUP($H131, 'ADP Data'!$B$4:$Q$300, 9, FALSE)</f>
        <v>#N/A</v>
      </c>
      <c r="U131" s="11" t="e">
        <f>VLOOKUP($H131, 'ADP Data'!$B$4:$Q$300, 10, FALSE)</f>
        <v>#N/A</v>
      </c>
      <c r="V131" s="11" t="e">
        <f t="shared" si="4"/>
        <v>#N/A</v>
      </c>
      <c r="W131" s="11" t="e">
        <f>VLOOKUP($H131, SeanRanks!$A$2:$J$303, 7, FALSE)-V131</f>
        <v>#N/A</v>
      </c>
      <c r="X131" s="11"/>
    </row>
    <row r="132" spans="1:24" ht="14.25" customHeight="1" x14ac:dyDescent="0.25">
      <c r="A132" s="11"/>
      <c r="B132" s="11" t="e">
        <f t="shared" si="0"/>
        <v>#N/A</v>
      </c>
      <c r="C132" s="11" t="s">
        <v>148</v>
      </c>
      <c r="D132" s="11"/>
      <c r="E132" s="11"/>
      <c r="F132" s="11">
        <f t="shared" si="1"/>
        <v>0</v>
      </c>
      <c r="G132" s="11"/>
      <c r="H132" s="11" t="s">
        <v>487</v>
      </c>
      <c r="I132" s="11" t="e">
        <f>VLOOKUP($H132, 'ADP Data'!$B$4:$Q$300, 2, FALSE)</f>
        <v>#N/A</v>
      </c>
      <c r="J132" s="11" t="e">
        <f>VLOOKUP($H132, 'ADP Data'!$B$4:$Q$300, 3, FALSE)</f>
        <v>#N/A</v>
      </c>
      <c r="K132" s="11"/>
      <c r="L132" s="11"/>
      <c r="M132" s="11">
        <f t="shared" si="2"/>
        <v>16</v>
      </c>
      <c r="N132" s="11" t="e">
        <f>VLOOKUP($H132, 'ADP Data'!$B$4:$Q$300, 11, FALSE)</f>
        <v>#N/A</v>
      </c>
      <c r="O132" s="11" t="e">
        <f>VLOOKUP($H132, 'ADP Data'!$B$4:$Q$300, 5, FALSE)</f>
        <v>#N/A</v>
      </c>
      <c r="P132" s="11" t="e">
        <f t="shared" si="3"/>
        <v>#N/A</v>
      </c>
      <c r="Q132" s="11" t="e">
        <f>VLOOKUP($H132, 'ADP Data'!$B$4:$Q$300, 6, FALSE)</f>
        <v>#N/A</v>
      </c>
      <c r="R132" s="11" t="e">
        <f>VLOOKUP($H132, 'ADP Data'!$B$4:$Q$300, 7, FALSE)</f>
        <v>#N/A</v>
      </c>
      <c r="S132" s="11" t="e">
        <f>VLOOKUP($H132, 'ADP Data'!$B$4:$Q$300, 8, FALSE)</f>
        <v>#N/A</v>
      </c>
      <c r="T132" s="11" t="e">
        <f>VLOOKUP($H132, 'ADP Data'!$B$4:$Q$300, 9, FALSE)</f>
        <v>#N/A</v>
      </c>
      <c r="U132" s="11" t="e">
        <f>VLOOKUP($H132, 'ADP Data'!$B$4:$Q$300, 10, FALSE)</f>
        <v>#N/A</v>
      </c>
      <c r="V132" s="11" t="e">
        <f t="shared" si="4"/>
        <v>#N/A</v>
      </c>
      <c r="W132" s="11" t="e">
        <f>VLOOKUP($H132, SeanRanks!$A$2:$J$303, 7, FALSE)-V132</f>
        <v>#N/A</v>
      </c>
      <c r="X132" s="11"/>
    </row>
    <row r="133" spans="1:24" ht="14.25" customHeight="1" x14ac:dyDescent="0.25">
      <c r="A133" s="11"/>
      <c r="B133" s="11" t="e">
        <f t="shared" si="0"/>
        <v>#N/A</v>
      </c>
      <c r="C133" s="11" t="s">
        <v>148</v>
      </c>
      <c r="D133" s="11"/>
      <c r="E133" s="11"/>
      <c r="F133" s="11">
        <f t="shared" si="1"/>
        <v>0</v>
      </c>
      <c r="G133" s="11"/>
      <c r="H133" s="11" t="s">
        <v>280</v>
      </c>
      <c r="I133" s="11" t="e">
        <f>VLOOKUP($H133, 'ADP Data'!$B$4:$Q$300, 2, FALSE)</f>
        <v>#N/A</v>
      </c>
      <c r="J133" s="11" t="e">
        <f>VLOOKUP($H133, 'ADP Data'!$B$4:$Q$300, 3, FALSE)</f>
        <v>#N/A</v>
      </c>
      <c r="K133" s="11"/>
      <c r="L133" s="11"/>
      <c r="M133" s="11">
        <f t="shared" si="2"/>
        <v>16</v>
      </c>
      <c r="N133" s="11" t="e">
        <f>VLOOKUP($H133, 'ADP Data'!$B$4:$Q$300, 11, FALSE)</f>
        <v>#N/A</v>
      </c>
      <c r="O133" s="11" t="e">
        <f>VLOOKUP($H133, 'ADP Data'!$B$4:$Q$300, 5, FALSE)</f>
        <v>#N/A</v>
      </c>
      <c r="P133" s="11" t="e">
        <f t="shared" si="3"/>
        <v>#N/A</v>
      </c>
      <c r="Q133" s="11" t="e">
        <f>VLOOKUP($H133, 'ADP Data'!$B$4:$Q$300, 6, FALSE)</f>
        <v>#N/A</v>
      </c>
      <c r="R133" s="11" t="e">
        <f>VLOOKUP($H133, 'ADP Data'!$B$4:$Q$300, 7, FALSE)</f>
        <v>#N/A</v>
      </c>
      <c r="S133" s="11" t="e">
        <f>VLOOKUP($H133, 'ADP Data'!$B$4:$Q$300, 8, FALSE)</f>
        <v>#N/A</v>
      </c>
      <c r="T133" s="11" t="e">
        <f>VLOOKUP($H133, 'ADP Data'!$B$4:$Q$300, 9, FALSE)</f>
        <v>#N/A</v>
      </c>
      <c r="U133" s="11" t="e">
        <f>VLOOKUP($H133, 'ADP Data'!$B$4:$Q$300, 10, FALSE)</f>
        <v>#N/A</v>
      </c>
      <c r="V133" s="11" t="e">
        <f t="shared" si="4"/>
        <v>#N/A</v>
      </c>
      <c r="W133" s="11" t="e">
        <f>VLOOKUP($H133, SeanRanks!$A$2:$J$303, 7, FALSE)-V133</f>
        <v>#N/A</v>
      </c>
      <c r="X133" s="11"/>
    </row>
    <row r="134" spans="1:24" ht="14.25" customHeight="1" x14ac:dyDescent="0.25">
      <c r="A134" s="11"/>
      <c r="B134" s="11" t="e">
        <f t="shared" si="0"/>
        <v>#N/A</v>
      </c>
      <c r="C134" s="11" t="s">
        <v>148</v>
      </c>
      <c r="D134" s="11"/>
      <c r="E134" s="11"/>
      <c r="F134" s="11">
        <f t="shared" si="1"/>
        <v>0</v>
      </c>
      <c r="G134" s="11"/>
      <c r="H134" s="11" t="s">
        <v>1090</v>
      </c>
      <c r="I134" s="11" t="e">
        <f>VLOOKUP($H134, 'ADP Data'!$B$4:$Q$300, 2, FALSE)</f>
        <v>#N/A</v>
      </c>
      <c r="J134" s="11" t="e">
        <f>VLOOKUP($H134, 'ADP Data'!$B$4:$Q$300, 3, FALSE)</f>
        <v>#N/A</v>
      </c>
      <c r="K134" s="11"/>
      <c r="L134" s="11"/>
      <c r="M134" s="11">
        <f t="shared" si="2"/>
        <v>16</v>
      </c>
      <c r="N134" s="11" t="e">
        <f>VLOOKUP($H134, 'ADP Data'!$B$4:$Q$300, 11, FALSE)</f>
        <v>#N/A</v>
      </c>
      <c r="O134" s="11" t="e">
        <f>VLOOKUP($H134, 'ADP Data'!$B$4:$Q$300, 5, FALSE)</f>
        <v>#N/A</v>
      </c>
      <c r="P134" s="11" t="e">
        <f t="shared" si="3"/>
        <v>#N/A</v>
      </c>
      <c r="Q134" s="11" t="e">
        <f>VLOOKUP($H134, 'ADP Data'!$B$4:$Q$300, 6, FALSE)</f>
        <v>#N/A</v>
      </c>
      <c r="R134" s="11" t="e">
        <f>VLOOKUP($H134, 'ADP Data'!$B$4:$Q$300, 7, FALSE)</f>
        <v>#N/A</v>
      </c>
      <c r="S134" s="11" t="e">
        <f>VLOOKUP($H134, 'ADP Data'!$B$4:$Q$300, 8, FALSE)</f>
        <v>#N/A</v>
      </c>
      <c r="T134" s="11" t="e">
        <f>VLOOKUP($H134, 'ADP Data'!$B$4:$Q$300, 9, FALSE)</f>
        <v>#N/A</v>
      </c>
      <c r="U134" s="11" t="e">
        <f>VLOOKUP($H134, 'ADP Data'!$B$4:$Q$300, 10, FALSE)</f>
        <v>#N/A</v>
      </c>
      <c r="V134" s="11" t="e">
        <f t="shared" si="4"/>
        <v>#N/A</v>
      </c>
      <c r="W134" s="11" t="e">
        <f>VLOOKUP($H134, SeanRanks!$A$2:$J$303, 7, FALSE)-V134</f>
        <v>#N/A</v>
      </c>
      <c r="X134" s="11"/>
    </row>
    <row r="135" spans="1:24" ht="14.25" customHeight="1" x14ac:dyDescent="0.25">
      <c r="A135" s="11"/>
      <c r="B135" s="11" t="e">
        <f t="shared" si="0"/>
        <v>#N/A</v>
      </c>
      <c r="C135" s="11" t="s">
        <v>148</v>
      </c>
      <c r="D135" s="11"/>
      <c r="E135" s="11"/>
      <c r="F135" s="11">
        <f t="shared" si="1"/>
        <v>0</v>
      </c>
      <c r="G135" s="11"/>
      <c r="H135" s="11" t="s">
        <v>950</v>
      </c>
      <c r="I135" s="11" t="e">
        <f>VLOOKUP($H135, 'ADP Data'!$B$4:$Q$300, 2, FALSE)</f>
        <v>#N/A</v>
      </c>
      <c r="J135" s="11" t="e">
        <f>VLOOKUP($H135, 'ADP Data'!$B$4:$Q$300, 3, FALSE)</f>
        <v>#N/A</v>
      </c>
      <c r="K135" s="11"/>
      <c r="L135" s="11"/>
      <c r="M135" s="11">
        <f t="shared" si="2"/>
        <v>16</v>
      </c>
      <c r="N135" s="11" t="e">
        <f>VLOOKUP($H135, 'ADP Data'!$B$4:$Q$300, 11, FALSE)</f>
        <v>#N/A</v>
      </c>
      <c r="O135" s="11" t="e">
        <f>VLOOKUP($H135, 'ADP Data'!$B$4:$Q$300, 5, FALSE)</f>
        <v>#N/A</v>
      </c>
      <c r="P135" s="11" t="e">
        <f t="shared" si="3"/>
        <v>#N/A</v>
      </c>
      <c r="Q135" s="11" t="e">
        <f>VLOOKUP($H135, 'ADP Data'!$B$4:$Q$300, 6, FALSE)</f>
        <v>#N/A</v>
      </c>
      <c r="R135" s="11" t="e">
        <f>VLOOKUP($H135, 'ADP Data'!$B$4:$Q$300, 7, FALSE)</f>
        <v>#N/A</v>
      </c>
      <c r="S135" s="11" t="e">
        <f>VLOOKUP($H135, 'ADP Data'!$B$4:$Q$300, 8, FALSE)</f>
        <v>#N/A</v>
      </c>
      <c r="T135" s="11" t="e">
        <f>VLOOKUP($H135, 'ADP Data'!$B$4:$Q$300, 9, FALSE)</f>
        <v>#N/A</v>
      </c>
      <c r="U135" s="11" t="e">
        <f>VLOOKUP($H135, 'ADP Data'!$B$4:$Q$300, 10, FALSE)</f>
        <v>#N/A</v>
      </c>
      <c r="V135" s="11" t="e">
        <f t="shared" si="4"/>
        <v>#N/A</v>
      </c>
      <c r="W135" s="11" t="e">
        <f>VLOOKUP($H135, SeanRanks!$A$2:$J$303, 7, FALSE)-V135</f>
        <v>#N/A</v>
      </c>
      <c r="X135" s="11"/>
    </row>
    <row r="136" spans="1:24" ht="14.25" customHeight="1" x14ac:dyDescent="0.25">
      <c r="A136" s="11"/>
      <c r="B136" s="11" t="e">
        <f t="shared" si="0"/>
        <v>#N/A</v>
      </c>
      <c r="C136" s="11" t="s">
        <v>148</v>
      </c>
      <c r="D136" s="11"/>
      <c r="E136" s="11"/>
      <c r="F136" s="11">
        <f t="shared" si="1"/>
        <v>0</v>
      </c>
      <c r="G136" s="11"/>
      <c r="H136" s="11" t="s">
        <v>931</v>
      </c>
      <c r="I136" s="11" t="e">
        <f>VLOOKUP($H136, 'ADP Data'!$B$4:$Q$300, 2, FALSE)</f>
        <v>#N/A</v>
      </c>
      <c r="J136" s="11" t="e">
        <f>VLOOKUP($H136, 'ADP Data'!$B$4:$Q$300, 3, FALSE)</f>
        <v>#N/A</v>
      </c>
      <c r="K136" s="11"/>
      <c r="L136" s="11"/>
      <c r="M136" s="11">
        <f t="shared" si="2"/>
        <v>16</v>
      </c>
      <c r="N136" s="11" t="e">
        <f>VLOOKUP($H136, 'ADP Data'!$B$4:$Q$300, 11, FALSE)</f>
        <v>#N/A</v>
      </c>
      <c r="O136" s="11" t="e">
        <f>VLOOKUP($H136, 'ADP Data'!$B$4:$Q$300, 5, FALSE)</f>
        <v>#N/A</v>
      </c>
      <c r="P136" s="11" t="e">
        <f t="shared" si="3"/>
        <v>#N/A</v>
      </c>
      <c r="Q136" s="11" t="e">
        <f>VLOOKUP($H136, 'ADP Data'!$B$4:$Q$300, 6, FALSE)</f>
        <v>#N/A</v>
      </c>
      <c r="R136" s="11" t="e">
        <f>VLOOKUP($H136, 'ADP Data'!$B$4:$Q$300, 7, FALSE)</f>
        <v>#N/A</v>
      </c>
      <c r="S136" s="11" t="e">
        <f>VLOOKUP($H136, 'ADP Data'!$B$4:$Q$300, 8, FALSE)</f>
        <v>#N/A</v>
      </c>
      <c r="T136" s="11" t="e">
        <f>VLOOKUP($H136, 'ADP Data'!$B$4:$Q$300, 9, FALSE)</f>
        <v>#N/A</v>
      </c>
      <c r="U136" s="11" t="e">
        <f>VLOOKUP($H136, 'ADP Data'!$B$4:$Q$300, 10, FALSE)</f>
        <v>#N/A</v>
      </c>
      <c r="V136" s="11" t="e">
        <f t="shared" si="4"/>
        <v>#N/A</v>
      </c>
      <c r="W136" s="11" t="e">
        <f>VLOOKUP($H136, SeanRanks!$A$2:$J$303, 7, FALSE)-V136</f>
        <v>#N/A</v>
      </c>
      <c r="X136" s="11"/>
    </row>
    <row r="137" spans="1:24" ht="14.25" customHeight="1" x14ac:dyDescent="0.25">
      <c r="A137" s="11"/>
      <c r="B137" s="11" t="e">
        <f t="shared" si="0"/>
        <v>#N/A</v>
      </c>
      <c r="C137" s="11" t="s">
        <v>148</v>
      </c>
      <c r="D137" s="11"/>
      <c r="E137" s="11"/>
      <c r="F137" s="11">
        <f t="shared" si="1"/>
        <v>0</v>
      </c>
      <c r="G137" s="11"/>
      <c r="H137" s="11" t="s">
        <v>512</v>
      </c>
      <c r="I137" s="11" t="e">
        <f>VLOOKUP($H137, 'ADP Data'!$B$4:$Q$300, 2, FALSE)</f>
        <v>#N/A</v>
      </c>
      <c r="J137" s="11" t="e">
        <f>VLOOKUP($H137, 'ADP Data'!$B$4:$Q$300, 3, FALSE)</f>
        <v>#N/A</v>
      </c>
      <c r="K137" s="11"/>
      <c r="L137" s="11"/>
      <c r="M137" s="11">
        <f t="shared" si="2"/>
        <v>16</v>
      </c>
      <c r="N137" s="11" t="e">
        <f>VLOOKUP($H137, 'ADP Data'!$B$4:$Q$300, 11, FALSE)</f>
        <v>#N/A</v>
      </c>
      <c r="O137" s="11" t="e">
        <f>VLOOKUP($H137, 'ADP Data'!$B$4:$Q$300, 5, FALSE)</f>
        <v>#N/A</v>
      </c>
      <c r="P137" s="11" t="e">
        <f t="shared" si="3"/>
        <v>#N/A</v>
      </c>
      <c r="Q137" s="11" t="e">
        <f>VLOOKUP($H137, 'ADP Data'!$B$4:$Q$300, 6, FALSE)</f>
        <v>#N/A</v>
      </c>
      <c r="R137" s="11" t="e">
        <f>VLOOKUP($H137, 'ADP Data'!$B$4:$Q$300, 7, FALSE)</f>
        <v>#N/A</v>
      </c>
      <c r="S137" s="11" t="e">
        <f>VLOOKUP($H137, 'ADP Data'!$B$4:$Q$300, 8, FALSE)</f>
        <v>#N/A</v>
      </c>
      <c r="T137" s="11" t="e">
        <f>VLOOKUP($H137, 'ADP Data'!$B$4:$Q$300, 9, FALSE)</f>
        <v>#N/A</v>
      </c>
      <c r="U137" s="11" t="e">
        <f>VLOOKUP($H137, 'ADP Data'!$B$4:$Q$300, 10, FALSE)</f>
        <v>#N/A</v>
      </c>
      <c r="V137" s="11" t="e">
        <f t="shared" si="4"/>
        <v>#N/A</v>
      </c>
      <c r="W137" s="11" t="e">
        <f>VLOOKUP($H137, SeanRanks!$A$2:$J$303, 7, FALSE)-V137</f>
        <v>#N/A</v>
      </c>
      <c r="X137" s="11"/>
    </row>
    <row r="138" spans="1:24" ht="14.25" customHeight="1" x14ac:dyDescent="0.25">
      <c r="A138" s="11"/>
      <c r="B138" s="11" t="e">
        <f t="shared" si="0"/>
        <v>#N/A</v>
      </c>
      <c r="C138" s="11" t="s">
        <v>148</v>
      </c>
      <c r="D138" s="11"/>
      <c r="E138" s="11"/>
      <c r="F138" s="11">
        <f t="shared" si="1"/>
        <v>0</v>
      </c>
      <c r="G138" s="11"/>
      <c r="H138" s="11" t="s">
        <v>932</v>
      </c>
      <c r="I138" s="11" t="e">
        <f>VLOOKUP($H138, 'ADP Data'!$B$4:$Q$300, 2, FALSE)</f>
        <v>#N/A</v>
      </c>
      <c r="J138" s="11" t="e">
        <f>VLOOKUP($H138, 'ADP Data'!$B$4:$Q$300, 3, FALSE)</f>
        <v>#N/A</v>
      </c>
      <c r="K138" s="11"/>
      <c r="L138" s="11"/>
      <c r="M138" s="11">
        <f t="shared" si="2"/>
        <v>16</v>
      </c>
      <c r="N138" s="11" t="e">
        <f>VLOOKUP($H138, 'ADP Data'!$B$4:$Q$300, 11, FALSE)</f>
        <v>#N/A</v>
      </c>
      <c r="O138" s="11" t="e">
        <f>VLOOKUP($H138, 'ADP Data'!$B$4:$Q$300, 5, FALSE)</f>
        <v>#N/A</v>
      </c>
      <c r="P138" s="11" t="e">
        <f t="shared" si="3"/>
        <v>#N/A</v>
      </c>
      <c r="Q138" s="11" t="e">
        <f>VLOOKUP($H138, 'ADP Data'!$B$4:$Q$300, 6, FALSE)</f>
        <v>#N/A</v>
      </c>
      <c r="R138" s="11" t="e">
        <f>VLOOKUP($H138, 'ADP Data'!$B$4:$Q$300, 7, FALSE)</f>
        <v>#N/A</v>
      </c>
      <c r="S138" s="11" t="e">
        <f>VLOOKUP($H138, 'ADP Data'!$B$4:$Q$300, 8, FALSE)</f>
        <v>#N/A</v>
      </c>
      <c r="T138" s="11" t="e">
        <f>VLOOKUP($H138, 'ADP Data'!$B$4:$Q$300, 9, FALSE)</f>
        <v>#N/A</v>
      </c>
      <c r="U138" s="11" t="e">
        <f>VLOOKUP($H138, 'ADP Data'!$B$4:$Q$300, 10, FALSE)</f>
        <v>#N/A</v>
      </c>
      <c r="V138" s="11" t="e">
        <f t="shared" si="4"/>
        <v>#N/A</v>
      </c>
      <c r="W138" s="11" t="e">
        <f>VLOOKUP($H138, SeanRanks!$A$2:$J$303, 7, FALSE)-V138</f>
        <v>#N/A</v>
      </c>
      <c r="X138" s="11"/>
    </row>
    <row r="139" spans="1:24" ht="14.25" customHeight="1" x14ac:dyDescent="0.25">
      <c r="A139" s="11"/>
      <c r="B139" s="11" t="e">
        <f t="shared" si="0"/>
        <v>#N/A</v>
      </c>
      <c r="C139" s="11" t="s">
        <v>148</v>
      </c>
      <c r="D139" s="11"/>
      <c r="E139" s="11"/>
      <c r="F139" s="11">
        <f t="shared" si="1"/>
        <v>0</v>
      </c>
      <c r="G139" s="11"/>
      <c r="H139" s="11" t="s">
        <v>1241</v>
      </c>
      <c r="I139" s="11" t="e">
        <f>VLOOKUP($H139, 'ADP Data'!$B$4:$Q$300, 2, FALSE)</f>
        <v>#N/A</v>
      </c>
      <c r="J139" s="11" t="e">
        <f>VLOOKUP($H139, 'ADP Data'!$B$4:$Q$300, 3, FALSE)</f>
        <v>#N/A</v>
      </c>
      <c r="K139" s="11"/>
      <c r="L139" s="11"/>
      <c r="M139" s="11">
        <f t="shared" si="2"/>
        <v>16</v>
      </c>
      <c r="N139" s="11" t="e">
        <f>VLOOKUP($H139, 'ADP Data'!$B$4:$Q$300, 11, FALSE)</f>
        <v>#N/A</v>
      </c>
      <c r="O139" s="11" t="e">
        <f>VLOOKUP($H139, 'ADP Data'!$B$4:$Q$300, 5, FALSE)</f>
        <v>#N/A</v>
      </c>
      <c r="P139" s="11" t="e">
        <f t="shared" si="3"/>
        <v>#N/A</v>
      </c>
      <c r="Q139" s="11" t="e">
        <f>VLOOKUP($H139, 'ADP Data'!$B$4:$Q$300, 6, FALSE)</f>
        <v>#N/A</v>
      </c>
      <c r="R139" s="11" t="e">
        <f>VLOOKUP($H139, 'ADP Data'!$B$4:$Q$300, 7, FALSE)</f>
        <v>#N/A</v>
      </c>
      <c r="S139" s="11" t="e">
        <f>VLOOKUP($H139, 'ADP Data'!$B$4:$Q$300, 8, FALSE)</f>
        <v>#N/A</v>
      </c>
      <c r="T139" s="11" t="e">
        <f>VLOOKUP($H139, 'ADP Data'!$B$4:$Q$300, 9, FALSE)</f>
        <v>#N/A</v>
      </c>
      <c r="U139" s="11" t="e">
        <f>VLOOKUP($H139, 'ADP Data'!$B$4:$Q$300, 10, FALSE)</f>
        <v>#N/A</v>
      </c>
      <c r="V139" s="11" t="e">
        <f t="shared" si="4"/>
        <v>#N/A</v>
      </c>
      <c r="W139" s="11" t="e">
        <f>VLOOKUP($H139, SeanRanks!$A$2:$J$303, 7, FALSE)-V139</f>
        <v>#N/A</v>
      </c>
      <c r="X139" s="11"/>
    </row>
    <row r="140" spans="1:24" ht="14.25" customHeight="1" x14ac:dyDescent="0.25">
      <c r="A140" s="11"/>
      <c r="B140" s="11" t="e">
        <f t="shared" si="0"/>
        <v>#N/A</v>
      </c>
      <c r="C140" s="11" t="s">
        <v>148</v>
      </c>
      <c r="D140" s="11"/>
      <c r="E140" s="11"/>
      <c r="F140" s="11">
        <f t="shared" si="1"/>
        <v>0</v>
      </c>
      <c r="G140" s="11" t="s">
        <v>119</v>
      </c>
      <c r="H140" s="11" t="s">
        <v>1242</v>
      </c>
      <c r="I140" s="11" t="e">
        <f>VLOOKUP($H140, 'ADP Data'!$B$4:$Q$300, 2, FALSE)</f>
        <v>#N/A</v>
      </c>
      <c r="J140" s="11" t="e">
        <f>VLOOKUP($H140, 'ADP Data'!$B$4:$Q$300, 3, FALSE)</f>
        <v>#N/A</v>
      </c>
      <c r="K140" s="11"/>
      <c r="L140" s="11"/>
      <c r="M140" s="11">
        <f t="shared" si="2"/>
        <v>16</v>
      </c>
      <c r="N140" s="11" t="e">
        <f>VLOOKUP($H140, 'ADP Data'!$B$4:$Q$300, 11, FALSE)</f>
        <v>#N/A</v>
      </c>
      <c r="O140" s="11" t="e">
        <f>VLOOKUP($H140, 'ADP Data'!$B$4:$Q$300, 5, FALSE)</f>
        <v>#N/A</v>
      </c>
      <c r="P140" s="11" t="e">
        <f t="shared" si="3"/>
        <v>#N/A</v>
      </c>
      <c r="Q140" s="11" t="e">
        <f>VLOOKUP($H140, 'ADP Data'!$B$4:$Q$300, 6, FALSE)</f>
        <v>#N/A</v>
      </c>
      <c r="R140" s="11" t="e">
        <f>VLOOKUP($H140, 'ADP Data'!$B$4:$Q$300, 7, FALSE)</f>
        <v>#N/A</v>
      </c>
      <c r="S140" s="11" t="e">
        <f>VLOOKUP($H140, 'ADP Data'!$B$4:$Q$300, 8, FALSE)</f>
        <v>#N/A</v>
      </c>
      <c r="T140" s="11" t="e">
        <f>VLOOKUP($H140, 'ADP Data'!$B$4:$Q$300, 9, FALSE)</f>
        <v>#N/A</v>
      </c>
      <c r="U140" s="11" t="e">
        <f>VLOOKUP($H140, 'ADP Data'!$B$4:$Q$300, 10, FALSE)</f>
        <v>#N/A</v>
      </c>
      <c r="V140" s="11" t="e">
        <f t="shared" si="4"/>
        <v>#N/A</v>
      </c>
      <c r="W140" s="11" t="e">
        <f>VLOOKUP($H140, SeanRanks!$A$2:$J$303, 7, FALSE)-V140</f>
        <v>#N/A</v>
      </c>
      <c r="X140" s="11"/>
    </row>
    <row r="141" spans="1:24" ht="14.25" customHeight="1" x14ac:dyDescent="0.25">
      <c r="A141" s="11"/>
      <c r="B141" s="11" t="e">
        <f t="shared" si="0"/>
        <v>#N/A</v>
      </c>
      <c r="C141" s="11" t="s">
        <v>148</v>
      </c>
      <c r="D141" s="11"/>
      <c r="E141" s="11"/>
      <c r="F141" s="11">
        <f t="shared" si="1"/>
        <v>0</v>
      </c>
      <c r="G141" s="11"/>
      <c r="H141" s="11" t="s">
        <v>1243</v>
      </c>
      <c r="I141" s="11" t="e">
        <f>VLOOKUP($H141, 'ADP Data'!$B$4:$Q$300, 2, FALSE)</f>
        <v>#N/A</v>
      </c>
      <c r="J141" s="11" t="e">
        <f>VLOOKUP($H141, 'ADP Data'!$B$4:$Q$300, 3, FALSE)</f>
        <v>#N/A</v>
      </c>
      <c r="K141" s="11"/>
      <c r="L141" s="11"/>
      <c r="M141" s="11">
        <f t="shared" si="2"/>
        <v>16</v>
      </c>
      <c r="N141" s="11" t="e">
        <f>VLOOKUP($H141, 'ADP Data'!$B$4:$Q$300, 11, FALSE)</f>
        <v>#N/A</v>
      </c>
      <c r="O141" s="11" t="e">
        <f>VLOOKUP($H141, 'ADP Data'!$B$4:$Q$300, 5, FALSE)</f>
        <v>#N/A</v>
      </c>
      <c r="P141" s="11" t="e">
        <f t="shared" si="3"/>
        <v>#N/A</v>
      </c>
      <c r="Q141" s="11" t="e">
        <f>VLOOKUP($H141, 'ADP Data'!$B$4:$Q$300, 6, FALSE)</f>
        <v>#N/A</v>
      </c>
      <c r="R141" s="11" t="e">
        <f>VLOOKUP($H141, 'ADP Data'!$B$4:$Q$300, 7, FALSE)</f>
        <v>#N/A</v>
      </c>
      <c r="S141" s="11" t="e">
        <f>VLOOKUP($H141, 'ADP Data'!$B$4:$Q$300, 8, FALSE)</f>
        <v>#N/A</v>
      </c>
      <c r="T141" s="11" t="e">
        <f>VLOOKUP($H141, 'ADP Data'!$B$4:$Q$300, 9, FALSE)</f>
        <v>#N/A</v>
      </c>
      <c r="U141" s="11" t="e">
        <f>VLOOKUP($H141, 'ADP Data'!$B$4:$Q$300, 10, FALSE)</f>
        <v>#N/A</v>
      </c>
      <c r="V141" s="11" t="e">
        <f t="shared" si="4"/>
        <v>#N/A</v>
      </c>
      <c r="W141" s="11" t="e">
        <f>VLOOKUP($H141, SeanRanks!$A$2:$J$303, 7, FALSE)-V141</f>
        <v>#N/A</v>
      </c>
      <c r="X141" s="11"/>
    </row>
    <row r="142" spans="1:24" ht="14.25" customHeight="1" x14ac:dyDescent="0.25">
      <c r="A142" s="11"/>
      <c r="B142" s="11" t="e">
        <f t="shared" si="0"/>
        <v>#N/A</v>
      </c>
      <c r="C142" s="11" t="s">
        <v>148</v>
      </c>
      <c r="D142" s="11"/>
      <c r="E142" s="11"/>
      <c r="F142" s="11">
        <f t="shared" si="1"/>
        <v>0</v>
      </c>
      <c r="G142" s="11"/>
      <c r="H142" s="11" t="s">
        <v>1244</v>
      </c>
      <c r="I142" s="11" t="e">
        <f>VLOOKUP($H142, 'ADP Data'!$B$4:$Q$300, 2, FALSE)</f>
        <v>#N/A</v>
      </c>
      <c r="J142" s="11" t="e">
        <f>VLOOKUP($H142, 'ADP Data'!$B$4:$Q$300, 3, FALSE)</f>
        <v>#N/A</v>
      </c>
      <c r="K142" s="11"/>
      <c r="L142" s="11"/>
      <c r="M142" s="11">
        <f t="shared" si="2"/>
        <v>16</v>
      </c>
      <c r="N142" s="11" t="e">
        <f>VLOOKUP($H142, 'ADP Data'!$B$4:$Q$300, 11, FALSE)</f>
        <v>#N/A</v>
      </c>
      <c r="O142" s="11" t="e">
        <f>VLOOKUP($H142, 'ADP Data'!$B$4:$Q$300, 5, FALSE)</f>
        <v>#N/A</v>
      </c>
      <c r="P142" s="11" t="e">
        <f t="shared" si="3"/>
        <v>#N/A</v>
      </c>
      <c r="Q142" s="11" t="e">
        <f>VLOOKUP($H142, 'ADP Data'!$B$4:$Q$300, 6, FALSE)</f>
        <v>#N/A</v>
      </c>
      <c r="R142" s="11" t="e">
        <f>VLOOKUP($H142, 'ADP Data'!$B$4:$Q$300, 7, FALSE)</f>
        <v>#N/A</v>
      </c>
      <c r="S142" s="11" t="e">
        <f>VLOOKUP($H142, 'ADP Data'!$B$4:$Q$300, 8, FALSE)</f>
        <v>#N/A</v>
      </c>
      <c r="T142" s="11" t="e">
        <f>VLOOKUP($H142, 'ADP Data'!$B$4:$Q$300, 9, FALSE)</f>
        <v>#N/A</v>
      </c>
      <c r="U142" s="11" t="e">
        <f>VLOOKUP($H142, 'ADP Data'!$B$4:$Q$300, 10, FALSE)</f>
        <v>#N/A</v>
      </c>
      <c r="V142" s="11" t="e">
        <f t="shared" si="4"/>
        <v>#N/A</v>
      </c>
      <c r="W142" s="11" t="e">
        <f>VLOOKUP($H142, SeanRanks!$A$2:$J$303, 7, FALSE)-V142</f>
        <v>#N/A</v>
      </c>
      <c r="X142" s="11"/>
    </row>
    <row r="143" spans="1:24" ht="14.25" customHeight="1" x14ac:dyDescent="0.25">
      <c r="A143" s="11"/>
      <c r="B143" s="11" t="e">
        <f t="shared" si="0"/>
        <v>#N/A</v>
      </c>
      <c r="C143" s="11" t="s">
        <v>148</v>
      </c>
      <c r="D143" s="11"/>
      <c r="E143" s="11"/>
      <c r="F143" s="11">
        <f t="shared" si="1"/>
        <v>0</v>
      </c>
      <c r="G143" s="11"/>
      <c r="H143" s="11" t="s">
        <v>1245</v>
      </c>
      <c r="I143" s="11" t="e">
        <f>VLOOKUP($H143, 'ADP Data'!$B$4:$Q$300, 2, FALSE)</f>
        <v>#N/A</v>
      </c>
      <c r="J143" s="11" t="e">
        <f>VLOOKUP($H143, 'ADP Data'!$B$4:$Q$300, 3, FALSE)</f>
        <v>#N/A</v>
      </c>
      <c r="K143" s="11"/>
      <c r="L143" s="11"/>
      <c r="M143" s="11">
        <f t="shared" si="2"/>
        <v>16</v>
      </c>
      <c r="N143" s="11" t="e">
        <f>VLOOKUP($H143, 'ADP Data'!$B$4:$Q$300, 11, FALSE)</f>
        <v>#N/A</v>
      </c>
      <c r="O143" s="11" t="e">
        <f>VLOOKUP($H143, 'ADP Data'!$B$4:$Q$300, 5, FALSE)</f>
        <v>#N/A</v>
      </c>
      <c r="P143" s="11" t="e">
        <f t="shared" si="3"/>
        <v>#N/A</v>
      </c>
      <c r="Q143" s="11" t="e">
        <f>VLOOKUP($H143, 'ADP Data'!$B$4:$Q$300, 6, FALSE)</f>
        <v>#N/A</v>
      </c>
      <c r="R143" s="11" t="e">
        <f>VLOOKUP($H143, 'ADP Data'!$B$4:$Q$300, 7, FALSE)</f>
        <v>#N/A</v>
      </c>
      <c r="S143" s="11" t="e">
        <f>VLOOKUP($H143, 'ADP Data'!$B$4:$Q$300, 8, FALSE)</f>
        <v>#N/A</v>
      </c>
      <c r="T143" s="11" t="e">
        <f>VLOOKUP($H143, 'ADP Data'!$B$4:$Q$300, 9, FALSE)</f>
        <v>#N/A</v>
      </c>
      <c r="U143" s="11" t="e">
        <f>VLOOKUP($H143, 'ADP Data'!$B$4:$Q$300, 10, FALSE)</f>
        <v>#N/A</v>
      </c>
      <c r="V143" s="11" t="e">
        <f t="shared" si="4"/>
        <v>#N/A</v>
      </c>
      <c r="W143" s="11" t="e">
        <f>VLOOKUP($H143, SeanRanks!$A$2:$J$303, 7, FALSE)-V143</f>
        <v>#N/A</v>
      </c>
      <c r="X143" s="11"/>
    </row>
    <row r="144" spans="1:24" ht="14.25" customHeight="1" x14ac:dyDescent="0.25">
      <c r="A144" s="11"/>
      <c r="B144" s="11" t="e">
        <f t="shared" si="0"/>
        <v>#N/A</v>
      </c>
      <c r="C144" s="11" t="s">
        <v>148</v>
      </c>
      <c r="D144" s="11"/>
      <c r="E144" s="11"/>
      <c r="F144" s="11">
        <f t="shared" si="1"/>
        <v>0</v>
      </c>
      <c r="G144" s="11"/>
      <c r="H144" s="11" t="s">
        <v>1246</v>
      </c>
      <c r="I144" s="11" t="e">
        <f>VLOOKUP($H144, 'ADP Data'!$B$4:$Q$300, 2, FALSE)</f>
        <v>#N/A</v>
      </c>
      <c r="J144" s="11" t="e">
        <f>VLOOKUP($H144, 'ADP Data'!$B$4:$Q$300, 3, FALSE)</f>
        <v>#N/A</v>
      </c>
      <c r="K144" s="11" t="e">
        <f>VLOOKUP($H144, SeanRanks!$A$2:$H$303, 4, FALSE)</f>
        <v>#N/A</v>
      </c>
      <c r="L144" s="11"/>
      <c r="M144" s="11">
        <f t="shared" si="2"/>
        <v>16</v>
      </c>
      <c r="N144" s="11" t="e">
        <f>VLOOKUP($H144, 'ADP Data'!$B$4:$Q$300, 11, FALSE)</f>
        <v>#N/A</v>
      </c>
      <c r="O144" s="11" t="e">
        <f>VLOOKUP($H144, 'ADP Data'!$B$4:$Q$300, 5, FALSE)</f>
        <v>#N/A</v>
      </c>
      <c r="P144" s="11" t="e">
        <f t="shared" si="3"/>
        <v>#N/A</v>
      </c>
      <c r="Q144" s="11" t="e">
        <f>VLOOKUP($H144, 'ADP Data'!$B$4:$Q$300, 6, FALSE)</f>
        <v>#N/A</v>
      </c>
      <c r="R144" s="11" t="e">
        <f>VLOOKUP($H144, 'ADP Data'!$B$4:$Q$300, 7, FALSE)</f>
        <v>#N/A</v>
      </c>
      <c r="S144" s="11" t="e">
        <f>VLOOKUP($H144, 'ADP Data'!$B$4:$Q$300, 8, FALSE)</f>
        <v>#N/A</v>
      </c>
      <c r="T144" s="11" t="e">
        <f>VLOOKUP($H144, 'ADP Data'!$B$4:$Q$300, 9, FALSE)</f>
        <v>#N/A</v>
      </c>
      <c r="U144" s="11" t="e">
        <f>VLOOKUP($H144, 'ADP Data'!$B$4:$Q$300, 10, FALSE)</f>
        <v>#N/A</v>
      </c>
      <c r="V144" s="11" t="e">
        <f t="shared" si="4"/>
        <v>#N/A</v>
      </c>
      <c r="W144" s="11" t="e">
        <f>VLOOKUP($H144, SeanRanks!$A$2:$J$303, 7, FALSE)-V144</f>
        <v>#N/A</v>
      </c>
      <c r="X144" s="11"/>
    </row>
    <row r="145" spans="1:24" ht="14.25" customHeight="1" x14ac:dyDescent="0.25">
      <c r="A145" s="11"/>
      <c r="B145" s="11" t="e">
        <f t="shared" si="0"/>
        <v>#N/A</v>
      </c>
      <c r="C145" s="11" t="s">
        <v>148</v>
      </c>
      <c r="D145" s="11"/>
      <c r="E145" s="11"/>
      <c r="F145" s="11">
        <f t="shared" si="1"/>
        <v>0</v>
      </c>
      <c r="G145" s="11"/>
      <c r="H145" s="11" t="s">
        <v>904</v>
      </c>
      <c r="I145" s="11" t="e">
        <f>VLOOKUP($H145, 'ADP Data'!$B$4:$Q$300, 2, FALSE)</f>
        <v>#N/A</v>
      </c>
      <c r="J145" s="11" t="e">
        <f>VLOOKUP($H145, 'ADP Data'!$B$4:$Q$300, 3, FALSE)</f>
        <v>#N/A</v>
      </c>
      <c r="K145" s="11"/>
      <c r="L145" s="11"/>
      <c r="M145" s="11">
        <f t="shared" si="2"/>
        <v>16</v>
      </c>
      <c r="N145" s="11" t="e">
        <f>VLOOKUP($H145, 'ADP Data'!$B$4:$Q$300, 11, FALSE)</f>
        <v>#N/A</v>
      </c>
      <c r="O145" s="11" t="e">
        <f>VLOOKUP($H145, 'ADP Data'!$B$4:$Q$300, 5, FALSE)</f>
        <v>#N/A</v>
      </c>
      <c r="P145" s="11" t="e">
        <f t="shared" si="3"/>
        <v>#N/A</v>
      </c>
      <c r="Q145" s="11" t="e">
        <f>VLOOKUP($H145, 'ADP Data'!$B$4:$Q$300, 6, FALSE)</f>
        <v>#N/A</v>
      </c>
      <c r="R145" s="11" t="e">
        <f>VLOOKUP($H145, 'ADP Data'!$B$4:$Q$300, 7, FALSE)</f>
        <v>#N/A</v>
      </c>
      <c r="S145" s="11" t="e">
        <f>VLOOKUP($H145, 'ADP Data'!$B$4:$Q$300, 8, FALSE)</f>
        <v>#N/A</v>
      </c>
      <c r="T145" s="11" t="e">
        <f>VLOOKUP($H145, 'ADP Data'!$B$4:$Q$300, 9, FALSE)</f>
        <v>#N/A</v>
      </c>
      <c r="U145" s="11" t="e">
        <f>VLOOKUP($H145, 'ADP Data'!$B$4:$Q$300, 10, FALSE)</f>
        <v>#N/A</v>
      </c>
      <c r="V145" s="11" t="e">
        <f t="shared" si="4"/>
        <v>#N/A</v>
      </c>
      <c r="W145" s="11" t="e">
        <f>VLOOKUP($H145, SeanRanks!$A$2:$J$303, 7, FALSE)-V145</f>
        <v>#N/A</v>
      </c>
      <c r="X145" s="11"/>
    </row>
    <row r="146" spans="1:24" ht="14.25" customHeight="1" x14ac:dyDescent="0.25">
      <c r="A146" s="11"/>
      <c r="B146" s="11" t="e">
        <f t="shared" si="0"/>
        <v>#N/A</v>
      </c>
      <c r="C146" s="11" t="s">
        <v>148</v>
      </c>
      <c r="D146" s="11"/>
      <c r="E146" s="11"/>
      <c r="F146" s="11">
        <f t="shared" si="1"/>
        <v>0</v>
      </c>
      <c r="G146" s="11"/>
      <c r="H146" s="11" t="s">
        <v>690</v>
      </c>
      <c r="I146" s="11" t="e">
        <f>VLOOKUP($H146, 'ADP Data'!$B$4:$Q$300, 2, FALSE)</f>
        <v>#N/A</v>
      </c>
      <c r="J146" s="11" t="e">
        <f>VLOOKUP($H146, 'ADP Data'!$B$4:$Q$300, 3, FALSE)</f>
        <v>#N/A</v>
      </c>
      <c r="K146" s="11"/>
      <c r="L146" s="11"/>
      <c r="M146" s="11">
        <f t="shared" si="2"/>
        <v>16</v>
      </c>
      <c r="N146" s="11" t="e">
        <f>VLOOKUP($H146, 'ADP Data'!$B$4:$Q$300, 11, FALSE)</f>
        <v>#N/A</v>
      </c>
      <c r="O146" s="11" t="e">
        <f>VLOOKUP($H146, 'ADP Data'!$B$4:$Q$300, 5, FALSE)</f>
        <v>#N/A</v>
      </c>
      <c r="P146" s="11" t="e">
        <f t="shared" si="3"/>
        <v>#N/A</v>
      </c>
      <c r="Q146" s="11" t="e">
        <f>VLOOKUP($H146, 'ADP Data'!$B$4:$Q$300, 6, FALSE)</f>
        <v>#N/A</v>
      </c>
      <c r="R146" s="11" t="e">
        <f>VLOOKUP($H146, 'ADP Data'!$B$4:$Q$300, 7, FALSE)</f>
        <v>#N/A</v>
      </c>
      <c r="S146" s="11" t="e">
        <f>VLOOKUP($H146, 'ADP Data'!$B$4:$Q$300, 8, FALSE)</f>
        <v>#N/A</v>
      </c>
      <c r="T146" s="11" t="e">
        <f>VLOOKUP($H146, 'ADP Data'!$B$4:$Q$300, 9, FALSE)</f>
        <v>#N/A</v>
      </c>
      <c r="U146" s="11" t="e">
        <f>VLOOKUP($H146, 'ADP Data'!$B$4:$Q$300, 10, FALSE)</f>
        <v>#N/A</v>
      </c>
      <c r="V146" s="11" t="e">
        <f t="shared" si="4"/>
        <v>#N/A</v>
      </c>
      <c r="W146" s="11" t="e">
        <f>VLOOKUP($H146, SeanRanks!$A$2:$J$303, 7, FALSE)-V146</f>
        <v>#N/A</v>
      </c>
      <c r="X146" s="11"/>
    </row>
    <row r="147" spans="1:24" ht="14.25" customHeight="1" x14ac:dyDescent="0.25">
      <c r="A147" s="11"/>
      <c r="B147" s="11" t="e">
        <f t="shared" si="0"/>
        <v>#N/A</v>
      </c>
      <c r="C147" s="11" t="s">
        <v>148</v>
      </c>
      <c r="D147" s="11"/>
      <c r="E147" s="11"/>
      <c r="F147" s="11">
        <f t="shared" si="1"/>
        <v>0</v>
      </c>
      <c r="G147" s="11"/>
      <c r="H147" s="11" t="s">
        <v>1105</v>
      </c>
      <c r="I147" s="11" t="e">
        <f>VLOOKUP($H147, 'ADP Data'!$B$4:$Q$300, 2, FALSE)</f>
        <v>#N/A</v>
      </c>
      <c r="J147" s="11" t="e">
        <f>VLOOKUP($H147, 'ADP Data'!$B$4:$Q$300, 3, FALSE)</f>
        <v>#N/A</v>
      </c>
      <c r="K147" s="11"/>
      <c r="L147" s="11"/>
      <c r="M147" s="11">
        <f t="shared" si="2"/>
        <v>16</v>
      </c>
      <c r="N147" s="11" t="e">
        <f>VLOOKUP($H147, 'ADP Data'!$B$4:$Q$300, 11, FALSE)</f>
        <v>#N/A</v>
      </c>
      <c r="O147" s="11" t="e">
        <f>VLOOKUP($H147, 'ADP Data'!$B$4:$Q$300, 5, FALSE)</f>
        <v>#N/A</v>
      </c>
      <c r="P147" s="11" t="e">
        <f t="shared" si="3"/>
        <v>#N/A</v>
      </c>
      <c r="Q147" s="11" t="e">
        <f>VLOOKUP($H147, 'ADP Data'!$B$4:$Q$300, 6, FALSE)</f>
        <v>#N/A</v>
      </c>
      <c r="R147" s="11" t="e">
        <f>VLOOKUP($H147, 'ADP Data'!$B$4:$Q$300, 7, FALSE)</f>
        <v>#N/A</v>
      </c>
      <c r="S147" s="11" t="e">
        <f>VLOOKUP($H147, 'ADP Data'!$B$4:$Q$300, 8, FALSE)</f>
        <v>#N/A</v>
      </c>
      <c r="T147" s="11" t="e">
        <f>VLOOKUP($H147, 'ADP Data'!$B$4:$Q$300, 9, FALSE)</f>
        <v>#N/A</v>
      </c>
      <c r="U147" s="11" t="e">
        <f>VLOOKUP($H147, 'ADP Data'!$B$4:$Q$300, 10, FALSE)</f>
        <v>#N/A</v>
      </c>
      <c r="V147" s="11" t="e">
        <f t="shared" si="4"/>
        <v>#N/A</v>
      </c>
      <c r="W147" s="11" t="e">
        <f>VLOOKUP($H147, SeanRanks!$A$2:$J$303, 7, FALSE)-V147</f>
        <v>#N/A</v>
      </c>
      <c r="X147" s="11"/>
    </row>
    <row r="148" spans="1:24" ht="14.25" customHeight="1" x14ac:dyDescent="0.25">
      <c r="A148" s="11"/>
      <c r="B148" s="11" t="e">
        <f t="shared" si="0"/>
        <v>#N/A</v>
      </c>
      <c r="C148" s="11" t="s">
        <v>148</v>
      </c>
      <c r="D148" s="11"/>
      <c r="E148" s="11"/>
      <c r="F148" s="11">
        <f t="shared" si="1"/>
        <v>0</v>
      </c>
      <c r="G148" s="11"/>
      <c r="H148" s="11" t="s">
        <v>951</v>
      </c>
      <c r="I148" s="11" t="e">
        <f>VLOOKUP($H148, 'ADP Data'!$B$4:$Q$300, 2, FALSE)</f>
        <v>#N/A</v>
      </c>
      <c r="J148" s="11" t="e">
        <f>VLOOKUP($H148, 'ADP Data'!$B$4:$Q$300, 3, FALSE)</f>
        <v>#N/A</v>
      </c>
      <c r="K148" s="11"/>
      <c r="L148" s="11"/>
      <c r="M148" s="11">
        <f t="shared" si="2"/>
        <v>16</v>
      </c>
      <c r="N148" s="11" t="e">
        <f>VLOOKUP($H148, 'ADP Data'!$B$4:$Q$300, 11, FALSE)</f>
        <v>#N/A</v>
      </c>
      <c r="O148" s="11" t="e">
        <f>VLOOKUP($H148, 'ADP Data'!$B$4:$Q$300, 5, FALSE)</f>
        <v>#N/A</v>
      </c>
      <c r="P148" s="11" t="e">
        <f t="shared" si="3"/>
        <v>#N/A</v>
      </c>
      <c r="Q148" s="11" t="e">
        <f>VLOOKUP($H148, 'ADP Data'!$B$4:$Q$300, 6, FALSE)</f>
        <v>#N/A</v>
      </c>
      <c r="R148" s="11" t="e">
        <f>VLOOKUP($H148, 'ADP Data'!$B$4:$Q$300, 7, FALSE)</f>
        <v>#N/A</v>
      </c>
      <c r="S148" s="11" t="e">
        <f>VLOOKUP($H148, 'ADP Data'!$B$4:$Q$300, 8, FALSE)</f>
        <v>#N/A</v>
      </c>
      <c r="T148" s="11" t="e">
        <f>VLOOKUP($H148, 'ADP Data'!$B$4:$Q$300, 9, FALSE)</f>
        <v>#N/A</v>
      </c>
      <c r="U148" s="11" t="e">
        <f>VLOOKUP($H148, 'ADP Data'!$B$4:$Q$300, 10, FALSE)</f>
        <v>#N/A</v>
      </c>
      <c r="V148" s="11" t="e">
        <f t="shared" si="4"/>
        <v>#N/A</v>
      </c>
      <c r="W148" s="11" t="e">
        <f>VLOOKUP($H148, SeanRanks!$A$2:$J$303, 7, FALSE)-V148</f>
        <v>#N/A</v>
      </c>
      <c r="X148" s="11"/>
    </row>
    <row r="149" spans="1:24" ht="14.25" customHeight="1" x14ac:dyDescent="0.25">
      <c r="A149" s="11"/>
      <c r="B149" s="11" t="e">
        <f t="shared" si="0"/>
        <v>#N/A</v>
      </c>
      <c r="C149" s="11" t="s">
        <v>148</v>
      </c>
      <c r="D149" s="11"/>
      <c r="E149" s="11"/>
      <c r="F149" s="11">
        <f t="shared" si="1"/>
        <v>0</v>
      </c>
      <c r="G149" s="11"/>
      <c r="H149" s="11" t="s">
        <v>1247</v>
      </c>
      <c r="I149" s="11" t="e">
        <f>VLOOKUP($H149, 'ADP Data'!$B$4:$Q$300, 2, FALSE)</f>
        <v>#N/A</v>
      </c>
      <c r="J149" s="11" t="e">
        <f>VLOOKUP($H149, 'ADP Data'!$B$4:$Q$300, 3, FALSE)</f>
        <v>#N/A</v>
      </c>
      <c r="K149" s="11"/>
      <c r="L149" s="11"/>
      <c r="M149" s="11">
        <f t="shared" si="2"/>
        <v>16</v>
      </c>
      <c r="N149" s="11" t="e">
        <f>VLOOKUP($H149, 'ADP Data'!$B$4:$Q$300, 11, FALSE)</f>
        <v>#N/A</v>
      </c>
      <c r="O149" s="11" t="e">
        <f>VLOOKUP($H149, 'ADP Data'!$B$4:$Q$300, 5, FALSE)</f>
        <v>#N/A</v>
      </c>
      <c r="P149" s="11" t="e">
        <f t="shared" si="3"/>
        <v>#N/A</v>
      </c>
      <c r="Q149" s="11" t="e">
        <f>VLOOKUP($H149, 'ADP Data'!$B$4:$Q$300, 6, FALSE)</f>
        <v>#N/A</v>
      </c>
      <c r="R149" s="11" t="e">
        <f>VLOOKUP($H149, 'ADP Data'!$B$4:$Q$300, 7, FALSE)</f>
        <v>#N/A</v>
      </c>
      <c r="S149" s="11" t="e">
        <f>VLOOKUP($H149, 'ADP Data'!$B$4:$Q$300, 8, FALSE)</f>
        <v>#N/A</v>
      </c>
      <c r="T149" s="11" t="e">
        <f>VLOOKUP($H149, 'ADP Data'!$B$4:$Q$300, 9, FALSE)</f>
        <v>#N/A</v>
      </c>
      <c r="U149" s="11" t="e">
        <f>VLOOKUP($H149, 'ADP Data'!$B$4:$Q$300, 10, FALSE)</f>
        <v>#N/A</v>
      </c>
      <c r="V149" s="11" t="e">
        <f t="shared" si="4"/>
        <v>#N/A</v>
      </c>
      <c r="W149" s="11" t="e">
        <f>VLOOKUP($H149, SeanRanks!$A$2:$J$303, 7, FALSE)-V149</f>
        <v>#N/A</v>
      </c>
      <c r="X149" s="11"/>
    </row>
    <row r="150" spans="1:24" ht="14.25" customHeight="1" x14ac:dyDescent="0.25">
      <c r="A150" s="11"/>
      <c r="B150" s="11" t="e">
        <f t="shared" si="0"/>
        <v>#N/A</v>
      </c>
      <c r="C150" s="11" t="s">
        <v>148</v>
      </c>
      <c r="D150" s="11"/>
      <c r="E150" s="11"/>
      <c r="F150" s="11">
        <f t="shared" si="1"/>
        <v>0</v>
      </c>
      <c r="G150" s="11"/>
      <c r="H150" s="11" t="s">
        <v>980</v>
      </c>
      <c r="I150" s="11" t="e">
        <f>VLOOKUP($H150, 'ADP Data'!$B$4:$Q$300, 2, FALSE)</f>
        <v>#N/A</v>
      </c>
      <c r="J150" s="11" t="e">
        <f>VLOOKUP($H150, 'ADP Data'!$B$4:$Q$300, 3, FALSE)</f>
        <v>#N/A</v>
      </c>
      <c r="K150" s="11"/>
      <c r="L150" s="11"/>
      <c r="M150" s="11">
        <f t="shared" si="2"/>
        <v>16</v>
      </c>
      <c r="N150" s="11" t="e">
        <f>VLOOKUP($H150, 'ADP Data'!$B$4:$Q$300, 11, FALSE)</f>
        <v>#N/A</v>
      </c>
      <c r="O150" s="11" t="e">
        <f>VLOOKUP($H150, 'ADP Data'!$B$4:$Q$300, 5, FALSE)</f>
        <v>#N/A</v>
      </c>
      <c r="P150" s="11" t="e">
        <f t="shared" si="3"/>
        <v>#N/A</v>
      </c>
      <c r="Q150" s="11" t="e">
        <f>VLOOKUP($H150, 'ADP Data'!$B$4:$Q$300, 6, FALSE)</f>
        <v>#N/A</v>
      </c>
      <c r="R150" s="11" t="e">
        <f>VLOOKUP($H150, 'ADP Data'!$B$4:$Q$300, 7, FALSE)</f>
        <v>#N/A</v>
      </c>
      <c r="S150" s="11" t="e">
        <f>VLOOKUP($H150, 'ADP Data'!$B$4:$Q$300, 8, FALSE)</f>
        <v>#N/A</v>
      </c>
      <c r="T150" s="11" t="e">
        <f>VLOOKUP($H150, 'ADP Data'!$B$4:$Q$300, 9, FALSE)</f>
        <v>#N/A</v>
      </c>
      <c r="U150" s="11" t="e">
        <f>VLOOKUP($H150, 'ADP Data'!$B$4:$Q$300, 10, FALSE)</f>
        <v>#N/A</v>
      </c>
      <c r="V150" s="11" t="e">
        <f t="shared" si="4"/>
        <v>#N/A</v>
      </c>
      <c r="W150" s="11" t="e">
        <f>VLOOKUP($H150, SeanRanks!$A$2:$J$303, 7, FALSE)-V150</f>
        <v>#N/A</v>
      </c>
      <c r="X150" s="11"/>
    </row>
    <row r="151" spans="1:24" ht="14.25" customHeight="1" x14ac:dyDescent="0.25">
      <c r="A151" s="11"/>
      <c r="B151" s="11" t="e">
        <f t="shared" si="0"/>
        <v>#N/A</v>
      </c>
      <c r="C151" s="11" t="s">
        <v>148</v>
      </c>
      <c r="D151" s="11"/>
      <c r="E151" s="11"/>
      <c r="F151" s="11">
        <f t="shared" si="1"/>
        <v>0</v>
      </c>
      <c r="G151" s="11"/>
      <c r="H151" s="11" t="s">
        <v>1248</v>
      </c>
      <c r="I151" s="11" t="e">
        <f>VLOOKUP($H151, 'ADP Data'!$B$4:$Q$300, 2, FALSE)</f>
        <v>#N/A</v>
      </c>
      <c r="J151" s="11" t="e">
        <f>VLOOKUP($H151, 'ADP Data'!$B$4:$Q$300, 3, FALSE)</f>
        <v>#N/A</v>
      </c>
      <c r="K151" s="11"/>
      <c r="L151" s="11"/>
      <c r="M151" s="11">
        <f t="shared" si="2"/>
        <v>16</v>
      </c>
      <c r="N151" s="11" t="e">
        <f>VLOOKUP($H151, 'ADP Data'!$B$4:$Q$300, 11, FALSE)</f>
        <v>#N/A</v>
      </c>
      <c r="O151" s="11" t="e">
        <f>VLOOKUP($H151, 'ADP Data'!$B$4:$Q$300, 5, FALSE)</f>
        <v>#N/A</v>
      </c>
      <c r="P151" s="11" t="e">
        <f t="shared" si="3"/>
        <v>#N/A</v>
      </c>
      <c r="Q151" s="11" t="e">
        <f>VLOOKUP($H151, 'ADP Data'!$B$4:$Q$300, 6, FALSE)</f>
        <v>#N/A</v>
      </c>
      <c r="R151" s="11" t="e">
        <f>VLOOKUP($H151, 'ADP Data'!$B$4:$Q$300, 7, FALSE)</f>
        <v>#N/A</v>
      </c>
      <c r="S151" s="11" t="e">
        <f>VLOOKUP($H151, 'ADP Data'!$B$4:$Q$300, 8, FALSE)</f>
        <v>#N/A</v>
      </c>
      <c r="T151" s="11" t="e">
        <f>VLOOKUP($H151, 'ADP Data'!$B$4:$Q$300, 9, FALSE)</f>
        <v>#N/A</v>
      </c>
      <c r="U151" s="11" t="e">
        <f>VLOOKUP($H151, 'ADP Data'!$B$4:$Q$300, 10, FALSE)</f>
        <v>#N/A</v>
      </c>
      <c r="V151" s="11" t="e">
        <f t="shared" si="4"/>
        <v>#N/A</v>
      </c>
      <c r="W151" s="11" t="e">
        <f>VLOOKUP($H151, SeanRanks!$A$2:$J$303, 7, FALSE)-V151</f>
        <v>#N/A</v>
      </c>
      <c r="X151" s="11"/>
    </row>
    <row r="152" spans="1:24" ht="14.25" customHeight="1" x14ac:dyDescent="0.25">
      <c r="A152" s="11"/>
      <c r="B152" s="11" t="e">
        <f t="shared" si="0"/>
        <v>#N/A</v>
      </c>
      <c r="C152" s="11" t="s">
        <v>148</v>
      </c>
      <c r="D152" s="11"/>
      <c r="E152" s="11"/>
      <c r="F152" s="11">
        <f t="shared" si="1"/>
        <v>0</v>
      </c>
      <c r="G152" s="11" t="s">
        <v>119</v>
      </c>
      <c r="H152" s="11" t="s">
        <v>1249</v>
      </c>
      <c r="I152" s="11" t="e">
        <f>VLOOKUP($H152, 'ADP Data'!$B$4:$Q$300, 2, FALSE)</f>
        <v>#N/A</v>
      </c>
      <c r="J152" s="11" t="e">
        <f>VLOOKUP($H152, 'ADP Data'!$B$4:$Q$300, 3, FALSE)</f>
        <v>#N/A</v>
      </c>
      <c r="K152" s="11" t="e">
        <f>VLOOKUP($H152, SeanRanks!$A$2:$H$303, 4, FALSE)</f>
        <v>#N/A</v>
      </c>
      <c r="L152" s="11"/>
      <c r="M152" s="11">
        <f t="shared" si="2"/>
        <v>16</v>
      </c>
      <c r="N152" s="11" t="e">
        <f>VLOOKUP($H152, 'ADP Data'!$B$4:$Q$300, 11, FALSE)</f>
        <v>#N/A</v>
      </c>
      <c r="O152" s="11" t="e">
        <f>VLOOKUP($H152, 'ADP Data'!$B$4:$Q$300, 5, FALSE)</f>
        <v>#N/A</v>
      </c>
      <c r="P152" s="11" t="e">
        <f t="shared" si="3"/>
        <v>#N/A</v>
      </c>
      <c r="Q152" s="11" t="e">
        <f>VLOOKUP($H152, 'ADP Data'!$B$4:$Q$300, 6, FALSE)</f>
        <v>#N/A</v>
      </c>
      <c r="R152" s="11" t="e">
        <f>VLOOKUP($H152, 'ADP Data'!$B$4:$Q$300, 7, FALSE)</f>
        <v>#N/A</v>
      </c>
      <c r="S152" s="11" t="e">
        <f>VLOOKUP($H152, 'ADP Data'!$B$4:$Q$300, 8, FALSE)</f>
        <v>#N/A</v>
      </c>
      <c r="T152" s="11" t="e">
        <f>VLOOKUP($H152, 'ADP Data'!$B$4:$Q$300, 9, FALSE)</f>
        <v>#N/A</v>
      </c>
      <c r="U152" s="11" t="e">
        <f>VLOOKUP($H152, 'ADP Data'!$B$4:$Q$300, 10, FALSE)</f>
        <v>#N/A</v>
      </c>
      <c r="V152" s="11" t="e">
        <f t="shared" si="4"/>
        <v>#N/A</v>
      </c>
      <c r="W152" s="11" t="e">
        <f>VLOOKUP($H152, SeanRanks!$A$2:$J$303, 7, FALSE)-V152</f>
        <v>#N/A</v>
      </c>
      <c r="X152" s="11"/>
    </row>
    <row r="153" spans="1:24" ht="14.25" customHeight="1" x14ac:dyDescent="0.25">
      <c r="A153" s="11"/>
      <c r="B153" s="11" t="e">
        <f t="shared" si="0"/>
        <v>#N/A</v>
      </c>
      <c r="C153" s="11" t="s">
        <v>148</v>
      </c>
      <c r="D153" s="11"/>
      <c r="E153" s="11"/>
      <c r="F153" s="11">
        <f t="shared" si="1"/>
        <v>0</v>
      </c>
      <c r="G153" s="11"/>
      <c r="H153" s="11" t="s">
        <v>1250</v>
      </c>
      <c r="I153" s="11" t="e">
        <f>VLOOKUP($H153, 'ADP Data'!$B$4:$Q$300, 2, FALSE)</f>
        <v>#N/A</v>
      </c>
      <c r="J153" s="11" t="e">
        <f>VLOOKUP($H153, 'ADP Data'!$B$4:$Q$300, 3, FALSE)</f>
        <v>#N/A</v>
      </c>
      <c r="K153" s="11"/>
      <c r="L153" s="11"/>
      <c r="M153" s="11">
        <f t="shared" si="2"/>
        <v>16</v>
      </c>
      <c r="N153" s="11" t="e">
        <f>VLOOKUP($H153, 'ADP Data'!$B$4:$Q$300, 11, FALSE)</f>
        <v>#N/A</v>
      </c>
      <c r="O153" s="11" t="e">
        <f>VLOOKUP($H153, 'ADP Data'!$B$4:$Q$300, 5, FALSE)</f>
        <v>#N/A</v>
      </c>
      <c r="P153" s="11" t="e">
        <f t="shared" si="3"/>
        <v>#N/A</v>
      </c>
      <c r="Q153" s="11" t="e">
        <f>VLOOKUP($H153, 'ADP Data'!$B$4:$Q$300, 6, FALSE)</f>
        <v>#N/A</v>
      </c>
      <c r="R153" s="11" t="e">
        <f>VLOOKUP($H153, 'ADP Data'!$B$4:$Q$300, 7, FALSE)</f>
        <v>#N/A</v>
      </c>
      <c r="S153" s="11" t="e">
        <f>VLOOKUP($H153, 'ADP Data'!$B$4:$Q$300, 8, FALSE)</f>
        <v>#N/A</v>
      </c>
      <c r="T153" s="11" t="e">
        <f>VLOOKUP($H153, 'ADP Data'!$B$4:$Q$300, 9, FALSE)</f>
        <v>#N/A</v>
      </c>
      <c r="U153" s="11" t="e">
        <f>VLOOKUP($H153, 'ADP Data'!$B$4:$Q$300, 10, FALSE)</f>
        <v>#N/A</v>
      </c>
      <c r="V153" s="11" t="e">
        <f t="shared" si="4"/>
        <v>#N/A</v>
      </c>
      <c r="W153" s="11" t="e">
        <f>VLOOKUP($H153, SeanRanks!$A$2:$J$303, 7, FALSE)-V153</f>
        <v>#N/A</v>
      </c>
      <c r="X153" s="11"/>
    </row>
    <row r="154" spans="1:24" ht="14.25" customHeight="1" x14ac:dyDescent="0.25">
      <c r="A154" s="11"/>
      <c r="B154" s="11" t="e">
        <f t="shared" si="0"/>
        <v>#N/A</v>
      </c>
      <c r="C154" s="11" t="s">
        <v>148</v>
      </c>
      <c r="D154" s="11"/>
      <c r="E154" s="11"/>
      <c r="F154" s="11">
        <f t="shared" si="1"/>
        <v>0</v>
      </c>
      <c r="G154" s="11"/>
      <c r="H154" s="11" t="s">
        <v>1106</v>
      </c>
      <c r="I154" s="11" t="e">
        <f>VLOOKUP($H154, 'ADP Data'!$B$4:$Q$300, 2, FALSE)</f>
        <v>#N/A</v>
      </c>
      <c r="J154" s="11" t="e">
        <f>VLOOKUP($H154, 'ADP Data'!$B$4:$Q$300, 3, FALSE)</f>
        <v>#N/A</v>
      </c>
      <c r="K154" s="11"/>
      <c r="L154" s="11"/>
      <c r="M154" s="11">
        <f t="shared" si="2"/>
        <v>16</v>
      </c>
      <c r="N154" s="11" t="e">
        <f>VLOOKUP($H154, 'ADP Data'!$B$4:$Q$300, 11, FALSE)</f>
        <v>#N/A</v>
      </c>
      <c r="O154" s="11" t="e">
        <f>VLOOKUP($H154, 'ADP Data'!$B$4:$Q$300, 5, FALSE)</f>
        <v>#N/A</v>
      </c>
      <c r="P154" s="11" t="e">
        <f t="shared" si="3"/>
        <v>#N/A</v>
      </c>
      <c r="Q154" s="11" t="e">
        <f>VLOOKUP($H154, 'ADP Data'!$B$4:$Q$300, 6, FALSE)</f>
        <v>#N/A</v>
      </c>
      <c r="R154" s="11" t="e">
        <f>VLOOKUP($H154, 'ADP Data'!$B$4:$Q$300, 7, FALSE)</f>
        <v>#N/A</v>
      </c>
      <c r="S154" s="11" t="e">
        <f>VLOOKUP($H154, 'ADP Data'!$B$4:$Q$300, 8, FALSE)</f>
        <v>#N/A</v>
      </c>
      <c r="T154" s="11" t="e">
        <f>VLOOKUP($H154, 'ADP Data'!$B$4:$Q$300, 9, FALSE)</f>
        <v>#N/A</v>
      </c>
      <c r="U154" s="11" t="e">
        <f>VLOOKUP($H154, 'ADP Data'!$B$4:$Q$300, 10, FALSE)</f>
        <v>#N/A</v>
      </c>
      <c r="V154" s="11" t="e">
        <f t="shared" si="4"/>
        <v>#N/A</v>
      </c>
      <c r="W154" s="11" t="e">
        <f>VLOOKUP($H154, SeanRanks!$A$2:$J$303, 7, FALSE)-V154</f>
        <v>#N/A</v>
      </c>
      <c r="X154" s="11"/>
    </row>
    <row r="155" spans="1:24" ht="14.25" customHeight="1" x14ac:dyDescent="0.25">
      <c r="A155" s="11"/>
      <c r="B155" s="11" t="e">
        <f t="shared" si="0"/>
        <v>#N/A</v>
      </c>
      <c r="C155" s="11" t="s">
        <v>148</v>
      </c>
      <c r="D155" s="11"/>
      <c r="E155" s="11"/>
      <c r="F155" s="11">
        <f t="shared" si="1"/>
        <v>0</v>
      </c>
      <c r="G155" s="11"/>
      <c r="H155" s="11" t="s">
        <v>609</v>
      </c>
      <c r="I155" s="11" t="e">
        <f>VLOOKUP($H155, 'ADP Data'!$B$4:$Q$300, 2, FALSE)</f>
        <v>#N/A</v>
      </c>
      <c r="J155" s="11" t="e">
        <f>VLOOKUP($H155, 'ADP Data'!$B$4:$Q$300, 3, FALSE)</f>
        <v>#N/A</v>
      </c>
      <c r="K155" s="11"/>
      <c r="L155" s="11"/>
      <c r="M155" s="11">
        <f t="shared" si="2"/>
        <v>16</v>
      </c>
      <c r="N155" s="11" t="e">
        <f>VLOOKUP($H155, 'ADP Data'!$B$4:$Q$300, 11, FALSE)</f>
        <v>#N/A</v>
      </c>
      <c r="O155" s="11" t="e">
        <f>VLOOKUP($H155, 'ADP Data'!$B$4:$Q$300, 5, FALSE)</f>
        <v>#N/A</v>
      </c>
      <c r="P155" s="11" t="e">
        <f t="shared" si="3"/>
        <v>#N/A</v>
      </c>
      <c r="Q155" s="11" t="e">
        <f>VLOOKUP($H155, 'ADP Data'!$B$4:$Q$300, 6, FALSE)</f>
        <v>#N/A</v>
      </c>
      <c r="R155" s="11" t="e">
        <f>VLOOKUP($H155, 'ADP Data'!$B$4:$Q$300, 7, FALSE)</f>
        <v>#N/A</v>
      </c>
      <c r="S155" s="11" t="e">
        <f>VLOOKUP($H155, 'ADP Data'!$B$4:$Q$300, 8, FALSE)</f>
        <v>#N/A</v>
      </c>
      <c r="T155" s="11" t="e">
        <f>VLOOKUP($H155, 'ADP Data'!$B$4:$Q$300, 9, FALSE)</f>
        <v>#N/A</v>
      </c>
      <c r="U155" s="11" t="e">
        <f>VLOOKUP($H155, 'ADP Data'!$B$4:$Q$300, 10, FALSE)</f>
        <v>#N/A</v>
      </c>
      <c r="V155" s="11" t="e">
        <f t="shared" si="4"/>
        <v>#N/A</v>
      </c>
      <c r="W155" s="11" t="e">
        <f>VLOOKUP($H155, SeanRanks!$A$2:$J$303, 7, FALSE)-V155</f>
        <v>#N/A</v>
      </c>
      <c r="X155" s="11"/>
    </row>
    <row r="156" spans="1:24" ht="14.25" customHeight="1" x14ac:dyDescent="0.25">
      <c r="A156" s="11"/>
      <c r="B156" s="11" t="e">
        <f t="shared" si="0"/>
        <v>#N/A</v>
      </c>
      <c r="C156" s="11" t="s">
        <v>148</v>
      </c>
      <c r="D156" s="11"/>
      <c r="E156" s="11"/>
      <c r="F156" s="11">
        <f t="shared" si="1"/>
        <v>0</v>
      </c>
      <c r="G156" s="11"/>
      <c r="H156" s="11" t="s">
        <v>1251</v>
      </c>
      <c r="I156" s="11" t="e">
        <f>VLOOKUP($H156, 'ADP Data'!$B$4:$Q$300, 2, FALSE)</f>
        <v>#N/A</v>
      </c>
      <c r="J156" s="11" t="e">
        <f>VLOOKUP($H156, 'ADP Data'!$B$4:$Q$300, 3, FALSE)</f>
        <v>#N/A</v>
      </c>
      <c r="K156" s="11"/>
      <c r="L156" s="11"/>
      <c r="M156" s="11">
        <f t="shared" si="2"/>
        <v>16</v>
      </c>
      <c r="N156" s="11" t="e">
        <f>VLOOKUP($H156, 'ADP Data'!$B$4:$Q$300, 11, FALSE)</f>
        <v>#N/A</v>
      </c>
      <c r="O156" s="11" t="e">
        <f>VLOOKUP($H156, 'ADP Data'!$B$4:$Q$300, 5, FALSE)</f>
        <v>#N/A</v>
      </c>
      <c r="P156" s="11" t="e">
        <f t="shared" si="3"/>
        <v>#N/A</v>
      </c>
      <c r="Q156" s="11" t="e">
        <f>VLOOKUP($H156, 'ADP Data'!$B$4:$Q$300, 6, FALSE)</f>
        <v>#N/A</v>
      </c>
      <c r="R156" s="11" t="e">
        <f>VLOOKUP($H156, 'ADP Data'!$B$4:$Q$300, 7, FALSE)</f>
        <v>#N/A</v>
      </c>
      <c r="S156" s="11" t="e">
        <f>VLOOKUP($H156, 'ADP Data'!$B$4:$Q$300, 8, FALSE)</f>
        <v>#N/A</v>
      </c>
      <c r="T156" s="11" t="e">
        <f>VLOOKUP($H156, 'ADP Data'!$B$4:$Q$300, 9, FALSE)</f>
        <v>#N/A</v>
      </c>
      <c r="U156" s="11" t="e">
        <f>VLOOKUP($H156, 'ADP Data'!$B$4:$Q$300, 10, FALSE)</f>
        <v>#N/A</v>
      </c>
      <c r="V156" s="11" t="e">
        <f t="shared" si="4"/>
        <v>#N/A</v>
      </c>
      <c r="W156" s="11" t="e">
        <f>VLOOKUP($H156, SeanRanks!$A$2:$J$303, 7, FALSE)-V156</f>
        <v>#N/A</v>
      </c>
      <c r="X156" s="11"/>
    </row>
    <row r="157" spans="1:24" ht="14.25" customHeight="1" x14ac:dyDescent="0.25">
      <c r="A157" s="11"/>
      <c r="B157" s="11" t="e">
        <f t="shared" si="0"/>
        <v>#N/A</v>
      </c>
      <c r="C157" s="11" t="s">
        <v>148</v>
      </c>
      <c r="D157" s="11"/>
      <c r="E157" s="11"/>
      <c r="F157" s="11">
        <f t="shared" si="1"/>
        <v>0</v>
      </c>
      <c r="G157" s="11" t="s">
        <v>119</v>
      </c>
      <c r="H157" s="11" t="s">
        <v>1252</v>
      </c>
      <c r="I157" s="11" t="e">
        <f>VLOOKUP($H157, 'ADP Data'!$B$4:$Q$300, 2, FALSE)</f>
        <v>#N/A</v>
      </c>
      <c r="J157" s="11" t="e">
        <f>VLOOKUP($H157, 'ADP Data'!$B$4:$Q$300, 3, FALSE)</f>
        <v>#N/A</v>
      </c>
      <c r="K157" s="11"/>
      <c r="L157" s="11"/>
      <c r="M157" s="11">
        <f t="shared" si="2"/>
        <v>16</v>
      </c>
      <c r="N157" s="11" t="e">
        <f>VLOOKUP($H157, 'ADP Data'!$B$4:$Q$300, 11, FALSE)</f>
        <v>#N/A</v>
      </c>
      <c r="O157" s="11" t="e">
        <f>VLOOKUP($H157, 'ADP Data'!$B$4:$Q$300, 5, FALSE)</f>
        <v>#N/A</v>
      </c>
      <c r="P157" s="11" t="e">
        <f t="shared" si="3"/>
        <v>#N/A</v>
      </c>
      <c r="Q157" s="11" t="e">
        <f>VLOOKUP($H157, 'ADP Data'!$B$4:$Q$300, 6, FALSE)</f>
        <v>#N/A</v>
      </c>
      <c r="R157" s="11" t="e">
        <f>VLOOKUP($H157, 'ADP Data'!$B$4:$Q$300, 7, FALSE)</f>
        <v>#N/A</v>
      </c>
      <c r="S157" s="11" t="e">
        <f>VLOOKUP($H157, 'ADP Data'!$B$4:$Q$300, 8, FALSE)</f>
        <v>#N/A</v>
      </c>
      <c r="T157" s="11" t="e">
        <f>VLOOKUP($H157, 'ADP Data'!$B$4:$Q$300, 9, FALSE)</f>
        <v>#N/A</v>
      </c>
      <c r="U157" s="11" t="e">
        <f>VLOOKUP($H157, 'ADP Data'!$B$4:$Q$300, 10, FALSE)</f>
        <v>#N/A</v>
      </c>
      <c r="V157" s="11" t="e">
        <f t="shared" si="4"/>
        <v>#N/A</v>
      </c>
      <c r="W157" s="11" t="e">
        <f>VLOOKUP($H157, SeanRanks!$A$2:$J$303, 7, FALSE)-V157</f>
        <v>#N/A</v>
      </c>
      <c r="X157" s="11"/>
    </row>
    <row r="158" spans="1:24" ht="14.25" customHeight="1" x14ac:dyDescent="0.25">
      <c r="A158" s="11"/>
      <c r="B158" s="11" t="e">
        <f t="shared" si="0"/>
        <v>#N/A</v>
      </c>
      <c r="C158" s="11" t="s">
        <v>148</v>
      </c>
      <c r="D158" s="11"/>
      <c r="E158" s="11"/>
      <c r="F158" s="11">
        <f t="shared" si="1"/>
        <v>0</v>
      </c>
      <c r="G158" s="11" t="s">
        <v>119</v>
      </c>
      <c r="H158" s="11" t="s">
        <v>1253</v>
      </c>
      <c r="I158" s="11" t="e">
        <f>VLOOKUP($H158, 'ADP Data'!$B$4:$Q$300, 2, FALSE)</f>
        <v>#N/A</v>
      </c>
      <c r="J158" s="11" t="e">
        <f>VLOOKUP($H158, 'ADP Data'!$B$4:$Q$300, 3, FALSE)</f>
        <v>#N/A</v>
      </c>
      <c r="K158" s="11" t="e">
        <f>VLOOKUP($H158, SeanRanks!$A$2:$H$303, 4, FALSE)</f>
        <v>#N/A</v>
      </c>
      <c r="L158" s="11"/>
      <c r="M158" s="11">
        <f t="shared" si="2"/>
        <v>16</v>
      </c>
      <c r="N158" s="11" t="e">
        <f>VLOOKUP($H158, 'ADP Data'!$B$4:$Q$300, 11, FALSE)</f>
        <v>#N/A</v>
      </c>
      <c r="O158" s="11" t="e">
        <f>VLOOKUP($H158, 'ADP Data'!$B$4:$Q$300, 5, FALSE)</f>
        <v>#N/A</v>
      </c>
      <c r="P158" s="11" t="e">
        <f t="shared" si="3"/>
        <v>#N/A</v>
      </c>
      <c r="Q158" s="11" t="e">
        <f>VLOOKUP($H158, 'ADP Data'!$B$4:$Q$300, 6, FALSE)</f>
        <v>#N/A</v>
      </c>
      <c r="R158" s="11" t="e">
        <f>VLOOKUP($H158, 'ADP Data'!$B$4:$Q$300, 7, FALSE)</f>
        <v>#N/A</v>
      </c>
      <c r="S158" s="11" t="e">
        <f>VLOOKUP($H158, 'ADP Data'!$B$4:$Q$300, 8, FALSE)</f>
        <v>#N/A</v>
      </c>
      <c r="T158" s="11" t="e">
        <f>VLOOKUP($H158, 'ADP Data'!$B$4:$Q$300, 9, FALSE)</f>
        <v>#N/A</v>
      </c>
      <c r="U158" s="11" t="e">
        <f>VLOOKUP($H158, 'ADP Data'!$B$4:$Q$300, 10, FALSE)</f>
        <v>#N/A</v>
      </c>
      <c r="V158" s="11" t="e">
        <f t="shared" si="4"/>
        <v>#N/A</v>
      </c>
      <c r="W158" s="11" t="e">
        <f>VLOOKUP($H158, SeanRanks!$A$2:$J$303, 7, FALSE)-V158</f>
        <v>#N/A</v>
      </c>
      <c r="X158" s="11"/>
    </row>
    <row r="159" spans="1:24" ht="14.25" customHeight="1" x14ac:dyDescent="0.25">
      <c r="A159" s="11"/>
      <c r="B159" s="11" t="e">
        <f t="shared" si="0"/>
        <v>#N/A</v>
      </c>
      <c r="C159" s="11" t="s">
        <v>148</v>
      </c>
      <c r="D159" s="11"/>
      <c r="E159" s="11"/>
      <c r="F159" s="11">
        <f t="shared" si="1"/>
        <v>0</v>
      </c>
      <c r="G159" s="11"/>
      <c r="H159" s="11" t="s">
        <v>900</v>
      </c>
      <c r="I159" s="11" t="e">
        <f>VLOOKUP($H159, 'ADP Data'!$B$4:$Q$300, 2, FALSE)</f>
        <v>#N/A</v>
      </c>
      <c r="J159" s="11" t="e">
        <f>VLOOKUP($H159, 'ADP Data'!$B$4:$Q$300, 3, FALSE)</f>
        <v>#N/A</v>
      </c>
      <c r="K159" s="11"/>
      <c r="L159" s="11"/>
      <c r="M159" s="11">
        <f t="shared" si="2"/>
        <v>16</v>
      </c>
      <c r="N159" s="11" t="e">
        <f>VLOOKUP($H159, 'ADP Data'!$B$4:$Q$300, 11, FALSE)</f>
        <v>#N/A</v>
      </c>
      <c r="O159" s="11" t="e">
        <f>VLOOKUP($H159, 'ADP Data'!$B$4:$Q$300, 5, FALSE)</f>
        <v>#N/A</v>
      </c>
      <c r="P159" s="11" t="e">
        <f t="shared" si="3"/>
        <v>#N/A</v>
      </c>
      <c r="Q159" s="11" t="e">
        <f>VLOOKUP($H159, 'ADP Data'!$B$4:$Q$300, 6, FALSE)</f>
        <v>#N/A</v>
      </c>
      <c r="R159" s="11" t="e">
        <f>VLOOKUP($H159, 'ADP Data'!$B$4:$Q$300, 7, FALSE)</f>
        <v>#N/A</v>
      </c>
      <c r="S159" s="11" t="e">
        <f>VLOOKUP($H159, 'ADP Data'!$B$4:$Q$300, 8, FALSE)</f>
        <v>#N/A</v>
      </c>
      <c r="T159" s="11" t="e">
        <f>VLOOKUP($H159, 'ADP Data'!$B$4:$Q$300, 9, FALSE)</f>
        <v>#N/A</v>
      </c>
      <c r="U159" s="11" t="e">
        <f>VLOOKUP($H159, 'ADP Data'!$B$4:$Q$300, 10, FALSE)</f>
        <v>#N/A</v>
      </c>
      <c r="V159" s="11" t="e">
        <f t="shared" si="4"/>
        <v>#N/A</v>
      </c>
      <c r="W159" s="11" t="e">
        <f>VLOOKUP($H159, SeanRanks!$A$2:$J$303, 7, FALSE)-V159</f>
        <v>#N/A</v>
      </c>
      <c r="X159" s="11"/>
    </row>
    <row r="160" spans="1:24" ht="14.25" customHeight="1" x14ac:dyDescent="0.25">
      <c r="A160" s="11"/>
      <c r="B160" s="11" t="e">
        <f t="shared" si="0"/>
        <v>#N/A</v>
      </c>
      <c r="C160" s="11" t="s">
        <v>148</v>
      </c>
      <c r="D160" s="11"/>
      <c r="E160" s="11"/>
      <c r="F160" s="11">
        <f t="shared" si="1"/>
        <v>0</v>
      </c>
      <c r="G160" s="11"/>
      <c r="H160" s="11" t="s">
        <v>1134</v>
      </c>
      <c r="I160" s="11" t="e">
        <f>VLOOKUP($H160, 'ADP Data'!$B$4:$Q$300, 2, FALSE)</f>
        <v>#N/A</v>
      </c>
      <c r="J160" s="11" t="e">
        <f>VLOOKUP($H160, 'ADP Data'!$B$4:$Q$300, 3, FALSE)</f>
        <v>#N/A</v>
      </c>
      <c r="K160" s="11"/>
      <c r="L160" s="11"/>
      <c r="M160" s="11">
        <f t="shared" si="2"/>
        <v>16</v>
      </c>
      <c r="N160" s="11" t="e">
        <f>VLOOKUP($H160, 'ADP Data'!$B$4:$Q$300, 11, FALSE)</f>
        <v>#N/A</v>
      </c>
      <c r="O160" s="11" t="e">
        <f>VLOOKUP($H160, 'ADP Data'!$B$4:$Q$300, 5, FALSE)</f>
        <v>#N/A</v>
      </c>
      <c r="P160" s="11" t="e">
        <f t="shared" si="3"/>
        <v>#N/A</v>
      </c>
      <c r="Q160" s="11" t="e">
        <f>VLOOKUP($H160, 'ADP Data'!$B$4:$Q$300, 6, FALSE)</f>
        <v>#N/A</v>
      </c>
      <c r="R160" s="11" t="e">
        <f>VLOOKUP($H160, 'ADP Data'!$B$4:$Q$300, 7, FALSE)</f>
        <v>#N/A</v>
      </c>
      <c r="S160" s="11" t="e">
        <f>VLOOKUP($H160, 'ADP Data'!$B$4:$Q$300, 8, FALSE)</f>
        <v>#N/A</v>
      </c>
      <c r="T160" s="11" t="e">
        <f>VLOOKUP($H160, 'ADP Data'!$B$4:$Q$300, 9, FALSE)</f>
        <v>#N/A</v>
      </c>
      <c r="U160" s="11" t="e">
        <f>VLOOKUP($H160, 'ADP Data'!$B$4:$Q$300, 10, FALSE)</f>
        <v>#N/A</v>
      </c>
      <c r="V160" s="11" t="e">
        <f t="shared" si="4"/>
        <v>#N/A</v>
      </c>
      <c r="W160" s="11" t="e">
        <f>VLOOKUP($H160, SeanRanks!$A$2:$J$303, 7, FALSE)-V160</f>
        <v>#N/A</v>
      </c>
      <c r="X160" s="11"/>
    </row>
    <row r="161" spans="1:24" ht="14.25" customHeight="1" x14ac:dyDescent="0.25">
      <c r="A161" s="11"/>
      <c r="B161" s="11" t="e">
        <f t="shared" si="0"/>
        <v>#N/A</v>
      </c>
      <c r="C161" s="11" t="s">
        <v>148</v>
      </c>
      <c r="D161" s="11"/>
      <c r="E161" s="11"/>
      <c r="F161" s="11">
        <f t="shared" si="1"/>
        <v>0</v>
      </c>
      <c r="G161" s="11"/>
      <c r="H161" s="11" t="s">
        <v>938</v>
      </c>
      <c r="I161" s="11" t="e">
        <f>VLOOKUP($H161, 'ADP Data'!$B$4:$Q$300, 2, FALSE)</f>
        <v>#N/A</v>
      </c>
      <c r="J161" s="11" t="e">
        <f>VLOOKUP($H161, 'ADP Data'!$B$4:$Q$300, 3, FALSE)</f>
        <v>#N/A</v>
      </c>
      <c r="K161" s="11"/>
      <c r="L161" s="11"/>
      <c r="M161" s="11">
        <f t="shared" si="2"/>
        <v>16</v>
      </c>
      <c r="N161" s="11" t="e">
        <f>VLOOKUP($H161, 'ADP Data'!$B$4:$Q$300, 11, FALSE)</f>
        <v>#N/A</v>
      </c>
      <c r="O161" s="11" t="e">
        <f>VLOOKUP($H161, 'ADP Data'!$B$4:$Q$300, 5, FALSE)</f>
        <v>#N/A</v>
      </c>
      <c r="P161" s="11" t="e">
        <f t="shared" si="3"/>
        <v>#N/A</v>
      </c>
      <c r="Q161" s="11" t="e">
        <f>VLOOKUP($H161, 'ADP Data'!$B$4:$Q$300, 6, FALSE)</f>
        <v>#N/A</v>
      </c>
      <c r="R161" s="11" t="e">
        <f>VLOOKUP($H161, 'ADP Data'!$B$4:$Q$300, 7, FALSE)</f>
        <v>#N/A</v>
      </c>
      <c r="S161" s="11" t="e">
        <f>VLOOKUP($H161, 'ADP Data'!$B$4:$Q$300, 8, FALSE)</f>
        <v>#N/A</v>
      </c>
      <c r="T161" s="11" t="e">
        <f>VLOOKUP($H161, 'ADP Data'!$B$4:$Q$300, 9, FALSE)</f>
        <v>#N/A</v>
      </c>
      <c r="U161" s="11" t="e">
        <f>VLOOKUP($H161, 'ADP Data'!$B$4:$Q$300, 10, FALSE)</f>
        <v>#N/A</v>
      </c>
      <c r="V161" s="11" t="e">
        <f t="shared" si="4"/>
        <v>#N/A</v>
      </c>
      <c r="W161" s="11" t="e">
        <f>VLOOKUP($H161, SeanRanks!$A$2:$J$303, 7, FALSE)-V161</f>
        <v>#N/A</v>
      </c>
      <c r="X161" s="11"/>
    </row>
    <row r="162" spans="1:24" ht="14.25" customHeight="1" x14ac:dyDescent="0.25">
      <c r="A162" s="11"/>
      <c r="B162" s="11" t="e">
        <f t="shared" si="0"/>
        <v>#N/A</v>
      </c>
      <c r="C162" s="11" t="s">
        <v>148</v>
      </c>
      <c r="D162" s="11"/>
      <c r="E162" s="11"/>
      <c r="F162" s="11">
        <f t="shared" si="1"/>
        <v>0</v>
      </c>
      <c r="G162" s="11"/>
      <c r="H162" s="11" t="s">
        <v>923</v>
      </c>
      <c r="I162" s="11" t="e">
        <f>VLOOKUP($H162, 'ADP Data'!$B$4:$Q$300, 2, FALSE)</f>
        <v>#N/A</v>
      </c>
      <c r="J162" s="11" t="e">
        <f>VLOOKUP($H162, 'ADP Data'!$B$4:$Q$300, 3, FALSE)</f>
        <v>#N/A</v>
      </c>
      <c r="K162" s="11"/>
      <c r="L162" s="11"/>
      <c r="M162" s="11">
        <f t="shared" si="2"/>
        <v>16</v>
      </c>
      <c r="N162" s="11" t="e">
        <f>VLOOKUP($H162, 'ADP Data'!$B$4:$Q$300, 11, FALSE)</f>
        <v>#N/A</v>
      </c>
      <c r="O162" s="11" t="e">
        <f>VLOOKUP($H162, 'ADP Data'!$B$4:$Q$300, 5, FALSE)</f>
        <v>#N/A</v>
      </c>
      <c r="P162" s="11" t="e">
        <f t="shared" si="3"/>
        <v>#N/A</v>
      </c>
      <c r="Q162" s="11" t="e">
        <f>VLOOKUP($H162, 'ADP Data'!$B$4:$Q$300, 6, FALSE)</f>
        <v>#N/A</v>
      </c>
      <c r="R162" s="11" t="e">
        <f>VLOOKUP($H162, 'ADP Data'!$B$4:$Q$300, 7, FALSE)</f>
        <v>#N/A</v>
      </c>
      <c r="S162" s="11" t="e">
        <f>VLOOKUP($H162, 'ADP Data'!$B$4:$Q$300, 8, FALSE)</f>
        <v>#N/A</v>
      </c>
      <c r="T162" s="11" t="e">
        <f>VLOOKUP($H162, 'ADP Data'!$B$4:$Q$300, 9, FALSE)</f>
        <v>#N/A</v>
      </c>
      <c r="U162" s="11" t="e">
        <f>VLOOKUP($H162, 'ADP Data'!$B$4:$Q$300, 10, FALSE)</f>
        <v>#N/A</v>
      </c>
      <c r="V162" s="11" t="e">
        <f t="shared" si="4"/>
        <v>#N/A</v>
      </c>
      <c r="W162" s="11" t="e">
        <f>VLOOKUP($H162, SeanRanks!$A$2:$J$303, 7, FALSE)-V162</f>
        <v>#N/A</v>
      </c>
      <c r="X162" s="11"/>
    </row>
    <row r="163" spans="1:24" ht="14.25" customHeight="1" x14ac:dyDescent="0.25">
      <c r="A163" s="11"/>
      <c r="B163" s="11" t="e">
        <f t="shared" si="0"/>
        <v>#N/A</v>
      </c>
      <c r="C163" s="11" t="s">
        <v>148</v>
      </c>
      <c r="D163" s="11"/>
      <c r="E163" s="11"/>
      <c r="F163" s="11">
        <f t="shared" si="1"/>
        <v>0</v>
      </c>
      <c r="G163" s="11"/>
      <c r="H163" s="11" t="s">
        <v>1256</v>
      </c>
      <c r="I163" s="11" t="e">
        <f>VLOOKUP($H163, 'ADP Data'!$B$4:$Q$300, 2, FALSE)</f>
        <v>#N/A</v>
      </c>
      <c r="J163" s="11" t="e">
        <f>VLOOKUP($H163, 'ADP Data'!$B$4:$Q$300, 3, FALSE)</f>
        <v>#N/A</v>
      </c>
      <c r="K163" s="11"/>
      <c r="L163" s="11"/>
      <c r="M163" s="11">
        <f t="shared" si="2"/>
        <v>16</v>
      </c>
      <c r="N163" s="11" t="e">
        <f>VLOOKUP($H163, 'ADP Data'!$B$4:$Q$300, 11, FALSE)</f>
        <v>#N/A</v>
      </c>
      <c r="O163" s="11" t="e">
        <f>VLOOKUP($H163, 'ADP Data'!$B$4:$Q$300, 5, FALSE)</f>
        <v>#N/A</v>
      </c>
      <c r="P163" s="11" t="e">
        <f t="shared" si="3"/>
        <v>#N/A</v>
      </c>
      <c r="Q163" s="11" t="e">
        <f>VLOOKUP($H163, 'ADP Data'!$B$4:$Q$300, 6, FALSE)</f>
        <v>#N/A</v>
      </c>
      <c r="R163" s="11" t="e">
        <f>VLOOKUP($H163, 'ADP Data'!$B$4:$Q$300, 7, FALSE)</f>
        <v>#N/A</v>
      </c>
      <c r="S163" s="11" t="e">
        <f>VLOOKUP($H163, 'ADP Data'!$B$4:$Q$300, 8, FALSE)</f>
        <v>#N/A</v>
      </c>
      <c r="T163" s="11" t="e">
        <f>VLOOKUP($H163, 'ADP Data'!$B$4:$Q$300, 9, FALSE)</f>
        <v>#N/A</v>
      </c>
      <c r="U163" s="11" t="e">
        <f>VLOOKUP($H163, 'ADP Data'!$B$4:$Q$300, 10, FALSE)</f>
        <v>#N/A</v>
      </c>
      <c r="V163" s="11" t="e">
        <f t="shared" si="4"/>
        <v>#N/A</v>
      </c>
      <c r="W163" s="11" t="e">
        <f>VLOOKUP($H163, SeanRanks!$A$2:$J$303, 7, FALSE)-V163</f>
        <v>#N/A</v>
      </c>
      <c r="X163" s="11"/>
    </row>
    <row r="164" spans="1:24" ht="14.25" customHeight="1" x14ac:dyDescent="0.25">
      <c r="A164" s="11"/>
      <c r="B164" s="11" t="e">
        <f t="shared" si="0"/>
        <v>#N/A</v>
      </c>
      <c r="C164" s="11" t="s">
        <v>148</v>
      </c>
      <c r="D164" s="11"/>
      <c r="E164" s="11"/>
      <c r="F164" s="11">
        <f t="shared" si="1"/>
        <v>0</v>
      </c>
      <c r="G164" s="11"/>
      <c r="H164" s="11" t="s">
        <v>1257</v>
      </c>
      <c r="I164" s="11" t="e">
        <f>VLOOKUP($H164, 'ADP Data'!$B$4:$Q$300, 2, FALSE)</f>
        <v>#N/A</v>
      </c>
      <c r="J164" s="11" t="e">
        <f>VLOOKUP($H164, 'ADP Data'!$B$4:$Q$300, 3, FALSE)</f>
        <v>#N/A</v>
      </c>
      <c r="K164" s="11"/>
      <c r="L164" s="11"/>
      <c r="M164" s="11">
        <f t="shared" si="2"/>
        <v>16</v>
      </c>
      <c r="N164" s="11" t="e">
        <f>VLOOKUP($H164, 'ADP Data'!$B$4:$Q$300, 11, FALSE)</f>
        <v>#N/A</v>
      </c>
      <c r="O164" s="11" t="e">
        <f>VLOOKUP($H164, 'ADP Data'!$B$4:$Q$300, 5, FALSE)</f>
        <v>#N/A</v>
      </c>
      <c r="P164" s="11" t="e">
        <f t="shared" si="3"/>
        <v>#N/A</v>
      </c>
      <c r="Q164" s="11" t="e">
        <f>VLOOKUP($H164, 'ADP Data'!$B$4:$Q$300, 6, FALSE)</f>
        <v>#N/A</v>
      </c>
      <c r="R164" s="11" t="e">
        <f>VLOOKUP($H164, 'ADP Data'!$B$4:$Q$300, 7, FALSE)</f>
        <v>#N/A</v>
      </c>
      <c r="S164" s="11" t="e">
        <f>VLOOKUP($H164, 'ADP Data'!$B$4:$Q$300, 8, FALSE)</f>
        <v>#N/A</v>
      </c>
      <c r="T164" s="11" t="e">
        <f>VLOOKUP($H164, 'ADP Data'!$B$4:$Q$300, 9, FALSE)</f>
        <v>#N/A</v>
      </c>
      <c r="U164" s="11" t="e">
        <f>VLOOKUP($H164, 'ADP Data'!$B$4:$Q$300, 10, FALSE)</f>
        <v>#N/A</v>
      </c>
      <c r="V164" s="11" t="e">
        <f t="shared" si="4"/>
        <v>#N/A</v>
      </c>
      <c r="W164" s="11" t="e">
        <f>VLOOKUP($H164, SeanRanks!$A$2:$J$303, 7, FALSE)-V164</f>
        <v>#N/A</v>
      </c>
      <c r="X164" s="11"/>
    </row>
    <row r="165" spans="1:24" ht="14.25" customHeight="1" x14ac:dyDescent="0.25">
      <c r="A165" s="11"/>
      <c r="B165" s="11" t="e">
        <f t="shared" si="0"/>
        <v>#N/A</v>
      </c>
      <c r="C165" s="11" t="s">
        <v>148</v>
      </c>
      <c r="D165" s="11"/>
      <c r="E165" s="11"/>
      <c r="F165" s="11">
        <f t="shared" si="1"/>
        <v>0</v>
      </c>
      <c r="G165" s="11"/>
      <c r="H165" s="11" t="s">
        <v>1258</v>
      </c>
      <c r="I165" s="11" t="e">
        <f>VLOOKUP($H165, 'ADP Data'!$B$4:$Q$300, 2, FALSE)</f>
        <v>#N/A</v>
      </c>
      <c r="J165" s="11" t="e">
        <f>VLOOKUP($H165, 'ADP Data'!$B$4:$Q$300, 3, FALSE)</f>
        <v>#N/A</v>
      </c>
      <c r="K165" s="11"/>
      <c r="L165" s="11"/>
      <c r="M165" s="11">
        <f t="shared" si="2"/>
        <v>16</v>
      </c>
      <c r="N165" s="11" t="e">
        <f>VLOOKUP($H165, 'ADP Data'!$B$4:$Q$300, 11, FALSE)</f>
        <v>#N/A</v>
      </c>
      <c r="O165" s="11" t="e">
        <f>VLOOKUP($H165, 'ADP Data'!$B$4:$Q$300, 5, FALSE)</f>
        <v>#N/A</v>
      </c>
      <c r="P165" s="11" t="e">
        <f t="shared" si="3"/>
        <v>#N/A</v>
      </c>
      <c r="Q165" s="11" t="e">
        <f>VLOOKUP($H165, 'ADP Data'!$B$4:$Q$300, 6, FALSE)</f>
        <v>#N/A</v>
      </c>
      <c r="R165" s="11" t="e">
        <f>VLOOKUP($H165, 'ADP Data'!$B$4:$Q$300, 7, FALSE)</f>
        <v>#N/A</v>
      </c>
      <c r="S165" s="11" t="e">
        <f>VLOOKUP($H165, 'ADP Data'!$B$4:$Q$300, 8, FALSE)</f>
        <v>#N/A</v>
      </c>
      <c r="T165" s="11" t="e">
        <f>VLOOKUP($H165, 'ADP Data'!$B$4:$Q$300, 9, FALSE)</f>
        <v>#N/A</v>
      </c>
      <c r="U165" s="11" t="e">
        <f>VLOOKUP($H165, 'ADP Data'!$B$4:$Q$300, 10, FALSE)</f>
        <v>#N/A</v>
      </c>
      <c r="V165" s="11" t="e">
        <f t="shared" si="4"/>
        <v>#N/A</v>
      </c>
      <c r="W165" s="11" t="e">
        <f>VLOOKUP($H165, SeanRanks!$A$2:$J$303, 7, FALSE)-V165</f>
        <v>#N/A</v>
      </c>
      <c r="X165" s="11"/>
    </row>
    <row r="166" spans="1:24" ht="14.25" customHeight="1" x14ac:dyDescent="0.25">
      <c r="A166" s="11"/>
      <c r="B166" s="11" t="e">
        <f t="shared" si="0"/>
        <v>#N/A</v>
      </c>
      <c r="C166" s="11" t="s">
        <v>148</v>
      </c>
      <c r="D166" s="11"/>
      <c r="E166" s="11"/>
      <c r="F166" s="11">
        <f t="shared" si="1"/>
        <v>0</v>
      </c>
      <c r="G166" s="11"/>
      <c r="H166" s="11" t="s">
        <v>1259</v>
      </c>
      <c r="I166" s="11" t="e">
        <f>VLOOKUP($H166, 'ADP Data'!$B$4:$Q$300, 2, FALSE)</f>
        <v>#N/A</v>
      </c>
      <c r="J166" s="11" t="e">
        <f>VLOOKUP($H166, 'ADP Data'!$B$4:$Q$300, 3, FALSE)</f>
        <v>#N/A</v>
      </c>
      <c r="K166" s="11"/>
      <c r="L166" s="11"/>
      <c r="M166" s="11">
        <f t="shared" si="2"/>
        <v>16</v>
      </c>
      <c r="N166" s="11" t="e">
        <f>VLOOKUP($H166, 'ADP Data'!$B$4:$Q$300, 11, FALSE)</f>
        <v>#N/A</v>
      </c>
      <c r="O166" s="11" t="e">
        <f>VLOOKUP($H166, 'ADP Data'!$B$4:$Q$300, 5, FALSE)</f>
        <v>#N/A</v>
      </c>
      <c r="P166" s="11" t="e">
        <f t="shared" si="3"/>
        <v>#N/A</v>
      </c>
      <c r="Q166" s="11" t="e">
        <f>VLOOKUP($H166, 'ADP Data'!$B$4:$Q$300, 6, FALSE)</f>
        <v>#N/A</v>
      </c>
      <c r="R166" s="11" t="e">
        <f>VLOOKUP($H166, 'ADP Data'!$B$4:$Q$300, 7, FALSE)</f>
        <v>#N/A</v>
      </c>
      <c r="S166" s="11" t="e">
        <f>VLOOKUP($H166, 'ADP Data'!$B$4:$Q$300, 8, FALSE)</f>
        <v>#N/A</v>
      </c>
      <c r="T166" s="11" t="e">
        <f>VLOOKUP($H166, 'ADP Data'!$B$4:$Q$300, 9, FALSE)</f>
        <v>#N/A</v>
      </c>
      <c r="U166" s="11" t="e">
        <f>VLOOKUP($H166, 'ADP Data'!$B$4:$Q$300, 10, FALSE)</f>
        <v>#N/A</v>
      </c>
      <c r="V166" s="11" t="e">
        <f t="shared" si="4"/>
        <v>#N/A</v>
      </c>
      <c r="W166" s="11" t="e">
        <f>VLOOKUP($H166, SeanRanks!$A$2:$J$303, 7, FALSE)-V166</f>
        <v>#N/A</v>
      </c>
      <c r="X166" s="11"/>
    </row>
    <row r="167" spans="1:24" ht="14.25" customHeight="1" x14ac:dyDescent="0.25">
      <c r="A167" s="11"/>
      <c r="B167" s="11" t="e">
        <f t="shared" si="0"/>
        <v>#N/A</v>
      </c>
      <c r="C167" s="11" t="s">
        <v>148</v>
      </c>
      <c r="D167" s="11"/>
      <c r="E167" s="11"/>
      <c r="F167" s="11">
        <f t="shared" si="1"/>
        <v>0</v>
      </c>
      <c r="G167" s="11"/>
      <c r="H167" s="11" t="s">
        <v>1260</v>
      </c>
      <c r="I167" s="11" t="e">
        <f>VLOOKUP($H167, 'ADP Data'!$B$4:$Q$300, 2, FALSE)</f>
        <v>#N/A</v>
      </c>
      <c r="J167" s="11" t="e">
        <f>VLOOKUP($H167, 'ADP Data'!$B$4:$Q$300, 3, FALSE)</f>
        <v>#N/A</v>
      </c>
      <c r="K167" s="11"/>
      <c r="L167" s="11"/>
      <c r="M167" s="11">
        <f t="shared" si="2"/>
        <v>16</v>
      </c>
      <c r="N167" s="11" t="e">
        <f>VLOOKUP($H167, 'ADP Data'!$B$4:$Q$300, 11, FALSE)</f>
        <v>#N/A</v>
      </c>
      <c r="O167" s="11" t="e">
        <f>VLOOKUP($H167, 'ADP Data'!$B$4:$Q$300, 5, FALSE)</f>
        <v>#N/A</v>
      </c>
      <c r="P167" s="11" t="e">
        <f t="shared" si="3"/>
        <v>#N/A</v>
      </c>
      <c r="Q167" s="11" t="e">
        <f>VLOOKUP($H167, 'ADP Data'!$B$4:$Q$300, 6, FALSE)</f>
        <v>#N/A</v>
      </c>
      <c r="R167" s="11" t="e">
        <f>VLOOKUP($H167, 'ADP Data'!$B$4:$Q$300, 7, FALSE)</f>
        <v>#N/A</v>
      </c>
      <c r="S167" s="11" t="e">
        <f>VLOOKUP($H167, 'ADP Data'!$B$4:$Q$300, 8, FALSE)</f>
        <v>#N/A</v>
      </c>
      <c r="T167" s="11" t="e">
        <f>VLOOKUP($H167, 'ADP Data'!$B$4:$Q$300, 9, FALSE)</f>
        <v>#N/A</v>
      </c>
      <c r="U167" s="11" t="e">
        <f>VLOOKUP($H167, 'ADP Data'!$B$4:$Q$300, 10, FALSE)</f>
        <v>#N/A</v>
      </c>
      <c r="V167" s="11" t="e">
        <f t="shared" si="4"/>
        <v>#N/A</v>
      </c>
      <c r="W167" s="11" t="e">
        <f>VLOOKUP($H167, SeanRanks!$A$2:$J$303, 7, FALSE)-V167</f>
        <v>#N/A</v>
      </c>
      <c r="X167" s="11"/>
    </row>
    <row r="168" spans="1:24" ht="14.25" customHeight="1" x14ac:dyDescent="0.25">
      <c r="A168" s="11"/>
      <c r="B168" s="11" t="e">
        <f t="shared" si="0"/>
        <v>#N/A</v>
      </c>
      <c r="C168" s="11" t="s">
        <v>148</v>
      </c>
      <c r="D168" s="11"/>
      <c r="E168" s="11"/>
      <c r="F168" s="11">
        <f t="shared" si="1"/>
        <v>0</v>
      </c>
      <c r="G168" s="11"/>
      <c r="H168" s="11" t="s">
        <v>991</v>
      </c>
      <c r="I168" s="11" t="e">
        <f>VLOOKUP($H168, 'ADP Data'!$B$4:$Q$300, 2, FALSE)</f>
        <v>#N/A</v>
      </c>
      <c r="J168" s="11" t="e">
        <f>VLOOKUP($H168, 'ADP Data'!$B$4:$Q$300, 3, FALSE)</f>
        <v>#N/A</v>
      </c>
      <c r="K168" s="11"/>
      <c r="L168" s="11"/>
      <c r="M168" s="11">
        <f t="shared" si="2"/>
        <v>16</v>
      </c>
      <c r="N168" s="11" t="e">
        <f>VLOOKUP($H168, 'ADP Data'!$B$4:$Q$300, 11, FALSE)</f>
        <v>#N/A</v>
      </c>
      <c r="O168" s="11" t="e">
        <f>VLOOKUP($H168, 'ADP Data'!$B$4:$Q$300, 5, FALSE)</f>
        <v>#N/A</v>
      </c>
      <c r="P168" s="11" t="e">
        <f t="shared" si="3"/>
        <v>#N/A</v>
      </c>
      <c r="Q168" s="11" t="e">
        <f>VLOOKUP($H168, 'ADP Data'!$B$4:$Q$300, 6, FALSE)</f>
        <v>#N/A</v>
      </c>
      <c r="R168" s="11" t="e">
        <f>VLOOKUP($H168, 'ADP Data'!$B$4:$Q$300, 7, FALSE)</f>
        <v>#N/A</v>
      </c>
      <c r="S168" s="11" t="e">
        <f>VLOOKUP($H168, 'ADP Data'!$B$4:$Q$300, 8, FALSE)</f>
        <v>#N/A</v>
      </c>
      <c r="T168" s="11" t="e">
        <f>VLOOKUP($H168, 'ADP Data'!$B$4:$Q$300, 9, FALSE)</f>
        <v>#N/A</v>
      </c>
      <c r="U168" s="11" t="e">
        <f>VLOOKUP($H168, 'ADP Data'!$B$4:$Q$300, 10, FALSE)</f>
        <v>#N/A</v>
      </c>
      <c r="V168" s="11" t="e">
        <f t="shared" si="4"/>
        <v>#N/A</v>
      </c>
      <c r="W168" s="11" t="e">
        <f>VLOOKUP($H168, SeanRanks!$A$2:$J$303, 7, FALSE)-V168</f>
        <v>#N/A</v>
      </c>
      <c r="X168" s="11"/>
    </row>
    <row r="169" spans="1:24" ht="14.25" customHeight="1" x14ac:dyDescent="0.25">
      <c r="A169" s="11"/>
      <c r="B169" s="11" t="e">
        <f t="shared" si="0"/>
        <v>#N/A</v>
      </c>
      <c r="C169" s="11" t="s">
        <v>148</v>
      </c>
      <c r="D169" s="11"/>
      <c r="E169" s="11"/>
      <c r="F169" s="11">
        <f t="shared" si="1"/>
        <v>0</v>
      </c>
      <c r="G169" s="11"/>
      <c r="H169" s="11" t="s">
        <v>1262</v>
      </c>
      <c r="I169" s="11" t="e">
        <f>VLOOKUP($H169, 'ADP Data'!$B$4:$Q$300, 2, FALSE)</f>
        <v>#N/A</v>
      </c>
      <c r="J169" s="11" t="e">
        <f>VLOOKUP($H169, 'ADP Data'!$B$4:$Q$300, 3, FALSE)</f>
        <v>#N/A</v>
      </c>
      <c r="K169" s="11"/>
      <c r="L169" s="11"/>
      <c r="M169" s="11">
        <f t="shared" si="2"/>
        <v>16</v>
      </c>
      <c r="N169" s="11" t="e">
        <f>VLOOKUP($H169, 'ADP Data'!$B$4:$Q$300, 11, FALSE)</f>
        <v>#N/A</v>
      </c>
      <c r="O169" s="11" t="e">
        <f>VLOOKUP($H169, 'ADP Data'!$B$4:$Q$300, 5, FALSE)</f>
        <v>#N/A</v>
      </c>
      <c r="P169" s="11" t="e">
        <f t="shared" si="3"/>
        <v>#N/A</v>
      </c>
      <c r="Q169" s="11" t="e">
        <f>VLOOKUP($H169, 'ADP Data'!$B$4:$Q$300, 6, FALSE)</f>
        <v>#N/A</v>
      </c>
      <c r="R169" s="11" t="e">
        <f>VLOOKUP($H169, 'ADP Data'!$B$4:$Q$300, 7, FALSE)</f>
        <v>#N/A</v>
      </c>
      <c r="S169" s="11" t="e">
        <f>VLOOKUP($H169, 'ADP Data'!$B$4:$Q$300, 8, FALSE)</f>
        <v>#N/A</v>
      </c>
      <c r="T169" s="11" t="e">
        <f>VLOOKUP($H169, 'ADP Data'!$B$4:$Q$300, 9, FALSE)</f>
        <v>#N/A</v>
      </c>
      <c r="U169" s="11" t="e">
        <f>VLOOKUP($H169, 'ADP Data'!$B$4:$Q$300, 10, FALSE)</f>
        <v>#N/A</v>
      </c>
      <c r="V169" s="11" t="e">
        <f t="shared" si="4"/>
        <v>#N/A</v>
      </c>
      <c r="W169" s="11" t="e">
        <f>VLOOKUP($H169, SeanRanks!$A$2:$J$303, 7, FALSE)-V169</f>
        <v>#N/A</v>
      </c>
      <c r="X169" s="11"/>
    </row>
    <row r="170" spans="1:24" ht="14.25" customHeight="1" x14ac:dyDescent="0.25">
      <c r="A170" s="11"/>
      <c r="B170" s="11" t="e">
        <f t="shared" si="0"/>
        <v>#N/A</v>
      </c>
      <c r="C170" s="11" t="s">
        <v>148</v>
      </c>
      <c r="D170" s="11"/>
      <c r="E170" s="11"/>
      <c r="F170" s="11">
        <f t="shared" si="1"/>
        <v>0</v>
      </c>
      <c r="G170" s="11"/>
      <c r="H170" s="11" t="s">
        <v>213</v>
      </c>
      <c r="I170" s="11" t="e">
        <f>VLOOKUP($H170, 'ADP Data'!$B$4:$Q$300, 2, FALSE)</f>
        <v>#N/A</v>
      </c>
      <c r="J170" s="11" t="e">
        <f>VLOOKUP($H170, 'ADP Data'!$B$4:$Q$300, 3, FALSE)</f>
        <v>#N/A</v>
      </c>
      <c r="K170" s="11"/>
      <c r="L170" s="11"/>
      <c r="M170" s="11">
        <f t="shared" si="2"/>
        <v>16</v>
      </c>
      <c r="N170" s="11" t="e">
        <f>VLOOKUP($H170, 'ADP Data'!$B$4:$Q$300, 11, FALSE)</f>
        <v>#N/A</v>
      </c>
      <c r="O170" s="11" t="e">
        <f>VLOOKUP($H170, 'ADP Data'!$B$4:$Q$300, 5, FALSE)</f>
        <v>#N/A</v>
      </c>
      <c r="P170" s="11" t="e">
        <f t="shared" si="3"/>
        <v>#N/A</v>
      </c>
      <c r="Q170" s="11" t="e">
        <f>VLOOKUP($H170, 'ADP Data'!$B$4:$Q$300, 6, FALSE)</f>
        <v>#N/A</v>
      </c>
      <c r="R170" s="11" t="e">
        <f>VLOOKUP($H170, 'ADP Data'!$B$4:$Q$300, 7, FALSE)</f>
        <v>#N/A</v>
      </c>
      <c r="S170" s="11" t="e">
        <f>VLOOKUP($H170, 'ADP Data'!$B$4:$Q$300, 8, FALSE)</f>
        <v>#N/A</v>
      </c>
      <c r="T170" s="11" t="e">
        <f>VLOOKUP($H170, 'ADP Data'!$B$4:$Q$300, 9, FALSE)</f>
        <v>#N/A</v>
      </c>
      <c r="U170" s="11" t="e">
        <f>VLOOKUP($H170, 'ADP Data'!$B$4:$Q$300, 10, FALSE)</f>
        <v>#N/A</v>
      </c>
      <c r="V170" s="11" t="e">
        <f t="shared" si="4"/>
        <v>#N/A</v>
      </c>
      <c r="W170" s="11" t="e">
        <f>VLOOKUP($H170, SeanRanks!$A$2:$J$303, 7, FALSE)-V170</f>
        <v>#N/A</v>
      </c>
      <c r="X170" s="11" t="s">
        <v>1263</v>
      </c>
    </row>
    <row r="171" spans="1:24" ht="14.25" customHeight="1" x14ac:dyDescent="0.25">
      <c r="A171" s="11"/>
      <c r="B171" s="11" t="e">
        <f t="shared" si="0"/>
        <v>#N/A</v>
      </c>
      <c r="C171" s="11" t="s">
        <v>148</v>
      </c>
      <c r="D171" s="11"/>
      <c r="E171" s="11"/>
      <c r="F171" s="11">
        <f t="shared" si="1"/>
        <v>0</v>
      </c>
      <c r="G171" s="11"/>
      <c r="H171" s="11" t="s">
        <v>1264</v>
      </c>
      <c r="I171" s="11" t="e">
        <f>VLOOKUP($H171, 'ADP Data'!$B$4:$Q$300, 2, FALSE)</f>
        <v>#N/A</v>
      </c>
      <c r="J171" s="11" t="e">
        <f>VLOOKUP($H171, 'ADP Data'!$B$4:$Q$300, 3, FALSE)</f>
        <v>#N/A</v>
      </c>
      <c r="K171" s="11"/>
      <c r="L171" s="11"/>
      <c r="M171" s="11">
        <f t="shared" si="2"/>
        <v>16</v>
      </c>
      <c r="N171" s="11" t="e">
        <f>VLOOKUP($H171, 'ADP Data'!$B$4:$Q$300, 11, FALSE)</f>
        <v>#N/A</v>
      </c>
      <c r="O171" s="11" t="e">
        <f>VLOOKUP($H171, 'ADP Data'!$B$4:$Q$300, 5, FALSE)</f>
        <v>#N/A</v>
      </c>
      <c r="P171" s="11" t="e">
        <f t="shared" si="3"/>
        <v>#N/A</v>
      </c>
      <c r="Q171" s="11" t="e">
        <f>VLOOKUP($H171, 'ADP Data'!$B$4:$Q$300, 6, FALSE)</f>
        <v>#N/A</v>
      </c>
      <c r="R171" s="11" t="e">
        <f>VLOOKUP($H171, 'ADP Data'!$B$4:$Q$300, 7, FALSE)</f>
        <v>#N/A</v>
      </c>
      <c r="S171" s="11" t="e">
        <f>VLOOKUP($H171, 'ADP Data'!$B$4:$Q$300, 8, FALSE)</f>
        <v>#N/A</v>
      </c>
      <c r="T171" s="11" t="e">
        <f>VLOOKUP($H171, 'ADP Data'!$B$4:$Q$300, 9, FALSE)</f>
        <v>#N/A</v>
      </c>
      <c r="U171" s="11" t="e">
        <f>VLOOKUP($H171, 'ADP Data'!$B$4:$Q$300, 10, FALSE)</f>
        <v>#N/A</v>
      </c>
      <c r="V171" s="11" t="e">
        <f t="shared" si="4"/>
        <v>#N/A</v>
      </c>
      <c r="W171" s="11" t="e">
        <f>VLOOKUP($H171, SeanRanks!$A$2:$J$303, 7, FALSE)-V171</f>
        <v>#N/A</v>
      </c>
      <c r="X171" s="11"/>
    </row>
    <row r="172" spans="1:24" ht="14.25" customHeight="1" x14ac:dyDescent="0.25">
      <c r="A172" s="11"/>
      <c r="B172" s="11" t="e">
        <f t="shared" si="0"/>
        <v>#N/A</v>
      </c>
      <c r="C172" s="11" t="s">
        <v>148</v>
      </c>
      <c r="D172" s="11"/>
      <c r="E172" s="11"/>
      <c r="F172" s="11">
        <f t="shared" si="1"/>
        <v>0</v>
      </c>
      <c r="G172" s="11"/>
      <c r="H172" s="11" t="s">
        <v>1225</v>
      </c>
      <c r="I172" s="11" t="e">
        <f>VLOOKUP($H172, 'ADP Data'!$B$4:$Q$300, 2, FALSE)</f>
        <v>#N/A</v>
      </c>
      <c r="J172" s="11" t="e">
        <f>VLOOKUP($H172, 'ADP Data'!$B$4:$Q$300, 3, FALSE)</f>
        <v>#N/A</v>
      </c>
      <c r="K172" s="11"/>
      <c r="L172" s="11"/>
      <c r="M172" s="11">
        <f t="shared" si="2"/>
        <v>16</v>
      </c>
      <c r="N172" s="11" t="e">
        <f>VLOOKUP($H172, 'ADP Data'!$B$4:$Q$300, 11, FALSE)</f>
        <v>#N/A</v>
      </c>
      <c r="O172" s="11" t="e">
        <f>VLOOKUP($H172, 'ADP Data'!$B$4:$Q$300, 5, FALSE)</f>
        <v>#N/A</v>
      </c>
      <c r="P172" s="11" t="e">
        <f t="shared" si="3"/>
        <v>#N/A</v>
      </c>
      <c r="Q172" s="11" t="e">
        <f>VLOOKUP($H172, 'ADP Data'!$B$4:$Q$300, 6, FALSE)</f>
        <v>#N/A</v>
      </c>
      <c r="R172" s="11" t="e">
        <f>VLOOKUP($H172, 'ADP Data'!$B$4:$Q$300, 7, FALSE)</f>
        <v>#N/A</v>
      </c>
      <c r="S172" s="11" t="e">
        <f>VLOOKUP($H172, 'ADP Data'!$B$4:$Q$300, 8, FALSE)</f>
        <v>#N/A</v>
      </c>
      <c r="T172" s="11" t="e">
        <f>VLOOKUP($H172, 'ADP Data'!$B$4:$Q$300, 9, FALSE)</f>
        <v>#N/A</v>
      </c>
      <c r="U172" s="11" t="e">
        <f>VLOOKUP($H172, 'ADP Data'!$B$4:$Q$300, 10, FALSE)</f>
        <v>#N/A</v>
      </c>
      <c r="V172" s="11" t="e">
        <f t="shared" si="4"/>
        <v>#N/A</v>
      </c>
      <c r="W172" s="11" t="e">
        <f>VLOOKUP($H172, SeanRanks!$A$2:$J$303, 7, FALSE)-V172</f>
        <v>#N/A</v>
      </c>
      <c r="X172" s="11"/>
    </row>
    <row r="173" spans="1:24" ht="14.25" customHeight="1" x14ac:dyDescent="0.25">
      <c r="A173" s="11"/>
      <c r="B173" s="11" t="e">
        <f t="shared" si="0"/>
        <v>#N/A</v>
      </c>
      <c r="C173" s="11" t="s">
        <v>148</v>
      </c>
      <c r="D173" s="11"/>
      <c r="E173" s="11"/>
      <c r="F173" s="11">
        <f t="shared" si="1"/>
        <v>0</v>
      </c>
      <c r="G173" s="11"/>
      <c r="H173" s="11" t="s">
        <v>1266</v>
      </c>
      <c r="I173" s="11" t="e">
        <f>VLOOKUP($H173, 'ADP Data'!$B$4:$Q$300, 2, FALSE)</f>
        <v>#N/A</v>
      </c>
      <c r="J173" s="11" t="e">
        <f>VLOOKUP($H173, 'ADP Data'!$B$4:$Q$300, 3, FALSE)</f>
        <v>#N/A</v>
      </c>
      <c r="K173" s="11"/>
      <c r="L173" s="11"/>
      <c r="M173" s="11">
        <f t="shared" si="2"/>
        <v>16</v>
      </c>
      <c r="N173" s="11" t="e">
        <f>VLOOKUP($H173, 'ADP Data'!$B$4:$Q$300, 11, FALSE)</f>
        <v>#N/A</v>
      </c>
      <c r="O173" s="11" t="e">
        <f>VLOOKUP($H173, 'ADP Data'!$B$4:$Q$300, 5, FALSE)</f>
        <v>#N/A</v>
      </c>
      <c r="P173" s="11" t="e">
        <f t="shared" si="3"/>
        <v>#N/A</v>
      </c>
      <c r="Q173" s="11" t="e">
        <f>VLOOKUP($H173, 'ADP Data'!$B$4:$Q$300, 6, FALSE)</f>
        <v>#N/A</v>
      </c>
      <c r="R173" s="11" t="e">
        <f>VLOOKUP($H173, 'ADP Data'!$B$4:$Q$300, 7, FALSE)</f>
        <v>#N/A</v>
      </c>
      <c r="S173" s="11" t="e">
        <f>VLOOKUP($H173, 'ADP Data'!$B$4:$Q$300, 8, FALSE)</f>
        <v>#N/A</v>
      </c>
      <c r="T173" s="11" t="e">
        <f>VLOOKUP($H173, 'ADP Data'!$B$4:$Q$300, 9, FALSE)</f>
        <v>#N/A</v>
      </c>
      <c r="U173" s="11" t="e">
        <f>VLOOKUP($H173, 'ADP Data'!$B$4:$Q$300, 10, FALSE)</f>
        <v>#N/A</v>
      </c>
      <c r="V173" s="11" t="e">
        <f t="shared" si="4"/>
        <v>#N/A</v>
      </c>
      <c r="W173" s="11" t="e">
        <f>VLOOKUP($H173, SeanRanks!$A$2:$J$303, 7, FALSE)-V173</f>
        <v>#N/A</v>
      </c>
      <c r="X173" s="11"/>
    </row>
    <row r="174" spans="1:24" ht="14.25" customHeight="1" x14ac:dyDescent="0.25">
      <c r="A174" s="11"/>
      <c r="B174" s="11" t="e">
        <f t="shared" si="0"/>
        <v>#N/A</v>
      </c>
      <c r="C174" s="11" t="s">
        <v>148</v>
      </c>
      <c r="D174" s="11"/>
      <c r="E174" s="11"/>
      <c r="F174" s="11">
        <f t="shared" si="1"/>
        <v>0</v>
      </c>
      <c r="G174" s="11"/>
      <c r="H174" s="11" t="s">
        <v>1267</v>
      </c>
      <c r="I174" s="11" t="e">
        <f>VLOOKUP($H174, 'ADP Data'!$B$4:$Q$300, 2, FALSE)</f>
        <v>#N/A</v>
      </c>
      <c r="J174" s="11" t="e">
        <f>VLOOKUP($H174, 'ADP Data'!$B$4:$Q$300, 3, FALSE)</f>
        <v>#N/A</v>
      </c>
      <c r="K174" s="11"/>
      <c r="L174" s="11"/>
      <c r="M174" s="11">
        <f t="shared" si="2"/>
        <v>16</v>
      </c>
      <c r="N174" s="11" t="e">
        <f>VLOOKUP($H174, 'ADP Data'!$B$4:$Q$300, 11, FALSE)</f>
        <v>#N/A</v>
      </c>
      <c r="O174" s="11" t="e">
        <f>VLOOKUP($H174, 'ADP Data'!$B$4:$Q$300, 5, FALSE)</f>
        <v>#N/A</v>
      </c>
      <c r="P174" s="11" t="e">
        <f t="shared" si="3"/>
        <v>#N/A</v>
      </c>
      <c r="Q174" s="11" t="e">
        <f>VLOOKUP($H174, 'ADP Data'!$B$4:$Q$300, 6, FALSE)</f>
        <v>#N/A</v>
      </c>
      <c r="R174" s="11" t="e">
        <f>VLOOKUP($H174, 'ADP Data'!$B$4:$Q$300, 7, FALSE)</f>
        <v>#N/A</v>
      </c>
      <c r="S174" s="11" t="e">
        <f>VLOOKUP($H174, 'ADP Data'!$B$4:$Q$300, 8, FALSE)</f>
        <v>#N/A</v>
      </c>
      <c r="T174" s="11" t="e">
        <f>VLOOKUP($H174, 'ADP Data'!$B$4:$Q$300, 9, FALSE)</f>
        <v>#N/A</v>
      </c>
      <c r="U174" s="11" t="e">
        <f>VLOOKUP($H174, 'ADP Data'!$B$4:$Q$300, 10, FALSE)</f>
        <v>#N/A</v>
      </c>
      <c r="V174" s="11" t="e">
        <f t="shared" si="4"/>
        <v>#N/A</v>
      </c>
      <c r="W174" s="11" t="e">
        <f>VLOOKUP($H174, SeanRanks!$A$2:$J$303, 7, FALSE)-V174</f>
        <v>#N/A</v>
      </c>
      <c r="X174" s="11"/>
    </row>
    <row r="175" spans="1:24" ht="14.25" customHeight="1" x14ac:dyDescent="0.25">
      <c r="A175" s="11"/>
      <c r="B175" s="11" t="e">
        <f t="shared" si="0"/>
        <v>#N/A</v>
      </c>
      <c r="C175" s="11" t="s">
        <v>148</v>
      </c>
      <c r="D175" s="11"/>
      <c r="E175" s="11"/>
      <c r="F175" s="11">
        <f t="shared" si="1"/>
        <v>0</v>
      </c>
      <c r="G175" s="11"/>
      <c r="H175" s="11" t="s">
        <v>1268</v>
      </c>
      <c r="I175" s="11" t="e">
        <f>VLOOKUP($H175, 'ADP Data'!$B$4:$Q$300, 2, FALSE)</f>
        <v>#N/A</v>
      </c>
      <c r="J175" s="11" t="e">
        <f>VLOOKUP($H175, 'ADP Data'!$B$4:$Q$300, 3, FALSE)</f>
        <v>#N/A</v>
      </c>
      <c r="K175" s="11"/>
      <c r="L175" s="11"/>
      <c r="M175" s="11">
        <f t="shared" si="2"/>
        <v>16</v>
      </c>
      <c r="N175" s="11" t="e">
        <f>VLOOKUP($H175, 'ADP Data'!$B$4:$Q$300, 11, FALSE)</f>
        <v>#N/A</v>
      </c>
      <c r="O175" s="11" t="e">
        <f>VLOOKUP($H175, 'ADP Data'!$B$4:$Q$300, 5, FALSE)</f>
        <v>#N/A</v>
      </c>
      <c r="P175" s="11" t="e">
        <f t="shared" si="3"/>
        <v>#N/A</v>
      </c>
      <c r="Q175" s="11" t="e">
        <f>VLOOKUP($H175, 'ADP Data'!$B$4:$Q$300, 6, FALSE)</f>
        <v>#N/A</v>
      </c>
      <c r="R175" s="11" t="e">
        <f>VLOOKUP($H175, 'ADP Data'!$B$4:$Q$300, 7, FALSE)</f>
        <v>#N/A</v>
      </c>
      <c r="S175" s="11" t="e">
        <f>VLOOKUP($H175, 'ADP Data'!$B$4:$Q$300, 8, FALSE)</f>
        <v>#N/A</v>
      </c>
      <c r="T175" s="11" t="e">
        <f>VLOOKUP($H175, 'ADP Data'!$B$4:$Q$300, 9, FALSE)</f>
        <v>#N/A</v>
      </c>
      <c r="U175" s="11" t="e">
        <f>VLOOKUP($H175, 'ADP Data'!$B$4:$Q$300, 10, FALSE)</f>
        <v>#N/A</v>
      </c>
      <c r="V175" s="11" t="e">
        <f t="shared" si="4"/>
        <v>#N/A</v>
      </c>
      <c r="W175" s="11" t="e">
        <f>VLOOKUP($H175, SeanRanks!$A$2:$J$303, 7, FALSE)-V175</f>
        <v>#N/A</v>
      </c>
      <c r="X175" s="11"/>
    </row>
    <row r="176" spans="1:24" ht="14.25" customHeight="1" x14ac:dyDescent="0.25">
      <c r="A176" s="11"/>
      <c r="B176" s="11" t="e">
        <f t="shared" si="0"/>
        <v>#N/A</v>
      </c>
      <c r="C176" s="11" t="s">
        <v>148</v>
      </c>
      <c r="D176" s="11"/>
      <c r="E176" s="11"/>
      <c r="F176" s="11">
        <f t="shared" si="1"/>
        <v>0</v>
      </c>
      <c r="G176" s="11"/>
      <c r="H176" s="11" t="s">
        <v>941</v>
      </c>
      <c r="I176" s="11" t="e">
        <f>VLOOKUP($H176, 'ADP Data'!$B$4:$Q$300, 2, FALSE)</f>
        <v>#N/A</v>
      </c>
      <c r="J176" s="11" t="e">
        <f>VLOOKUP($H176, 'ADP Data'!$B$4:$Q$300, 3, FALSE)</f>
        <v>#N/A</v>
      </c>
      <c r="K176" s="11"/>
      <c r="L176" s="11"/>
      <c r="M176" s="11">
        <f t="shared" si="2"/>
        <v>16</v>
      </c>
      <c r="N176" s="11" t="e">
        <f>VLOOKUP($H176, 'ADP Data'!$B$4:$Q$300, 11, FALSE)</f>
        <v>#N/A</v>
      </c>
      <c r="O176" s="11" t="e">
        <f>VLOOKUP($H176, 'ADP Data'!$B$4:$Q$300, 5, FALSE)</f>
        <v>#N/A</v>
      </c>
      <c r="P176" s="11" t="e">
        <f t="shared" si="3"/>
        <v>#N/A</v>
      </c>
      <c r="Q176" s="11" t="e">
        <f>VLOOKUP($H176, 'ADP Data'!$B$4:$Q$300, 6, FALSE)</f>
        <v>#N/A</v>
      </c>
      <c r="R176" s="11" t="e">
        <f>VLOOKUP($H176, 'ADP Data'!$B$4:$Q$300, 7, FALSE)</f>
        <v>#N/A</v>
      </c>
      <c r="S176" s="11" t="e">
        <f>VLOOKUP($H176, 'ADP Data'!$B$4:$Q$300, 8, FALSE)</f>
        <v>#N/A</v>
      </c>
      <c r="T176" s="11" t="e">
        <f>VLOOKUP($H176, 'ADP Data'!$B$4:$Q$300, 9, FALSE)</f>
        <v>#N/A</v>
      </c>
      <c r="U176" s="11" t="e">
        <f>VLOOKUP($H176, 'ADP Data'!$B$4:$Q$300, 10, FALSE)</f>
        <v>#N/A</v>
      </c>
      <c r="V176" s="11" t="e">
        <f t="shared" si="4"/>
        <v>#N/A</v>
      </c>
      <c r="W176" s="11" t="e">
        <f>VLOOKUP($H176, SeanRanks!$A$2:$J$303, 7, FALSE)-V176</f>
        <v>#N/A</v>
      </c>
      <c r="X176" s="11" t="s">
        <v>1269</v>
      </c>
    </row>
    <row r="177" spans="1:24" ht="14.25" customHeight="1" x14ac:dyDescent="0.25">
      <c r="A177" s="11"/>
      <c r="B177" s="11" t="e">
        <f t="shared" si="0"/>
        <v>#N/A</v>
      </c>
      <c r="C177" s="11" t="s">
        <v>148</v>
      </c>
      <c r="D177" s="11"/>
      <c r="E177" s="11"/>
      <c r="F177" s="11">
        <f t="shared" si="1"/>
        <v>0</v>
      </c>
      <c r="G177" s="11"/>
      <c r="H177" s="11" t="s">
        <v>1270</v>
      </c>
      <c r="I177" s="11" t="e">
        <f>VLOOKUP($H177, 'ADP Data'!$B$4:$Q$300, 2, FALSE)</f>
        <v>#N/A</v>
      </c>
      <c r="J177" s="11" t="e">
        <f>VLOOKUP($H177, 'ADP Data'!$B$4:$Q$300, 3, FALSE)</f>
        <v>#N/A</v>
      </c>
      <c r="K177" s="11"/>
      <c r="L177" s="11"/>
      <c r="M177" s="11">
        <f t="shared" si="2"/>
        <v>16</v>
      </c>
      <c r="N177" s="11" t="e">
        <f>VLOOKUP($H177, 'ADP Data'!$B$4:$Q$300, 11, FALSE)</f>
        <v>#N/A</v>
      </c>
      <c r="O177" s="11" t="e">
        <f>VLOOKUP($H177, 'ADP Data'!$B$4:$Q$300, 5, FALSE)</f>
        <v>#N/A</v>
      </c>
      <c r="P177" s="11" t="e">
        <f t="shared" si="3"/>
        <v>#N/A</v>
      </c>
      <c r="Q177" s="11" t="e">
        <f>VLOOKUP($H177, 'ADP Data'!$B$4:$Q$300, 6, FALSE)</f>
        <v>#N/A</v>
      </c>
      <c r="R177" s="11" t="e">
        <f>VLOOKUP($H177, 'ADP Data'!$B$4:$Q$300, 7, FALSE)</f>
        <v>#N/A</v>
      </c>
      <c r="S177" s="11" t="e">
        <f>VLOOKUP($H177, 'ADP Data'!$B$4:$Q$300, 8, FALSE)</f>
        <v>#N/A</v>
      </c>
      <c r="T177" s="11" t="e">
        <f>VLOOKUP($H177, 'ADP Data'!$B$4:$Q$300, 9, FALSE)</f>
        <v>#N/A</v>
      </c>
      <c r="U177" s="11" t="e">
        <f>VLOOKUP($H177, 'ADP Data'!$B$4:$Q$300, 10, FALSE)</f>
        <v>#N/A</v>
      </c>
      <c r="V177" s="11" t="e">
        <f t="shared" si="4"/>
        <v>#N/A</v>
      </c>
      <c r="W177" s="11" t="e">
        <f>VLOOKUP($H177, SeanRanks!$A$2:$J$303, 7, FALSE)-V177</f>
        <v>#N/A</v>
      </c>
      <c r="X177" s="11"/>
    </row>
    <row r="178" spans="1:24" ht="14.25" customHeight="1" x14ac:dyDescent="0.25">
      <c r="A178" s="11"/>
      <c r="B178" s="11" t="e">
        <f t="shared" si="0"/>
        <v>#N/A</v>
      </c>
      <c r="C178" s="11" t="s">
        <v>148</v>
      </c>
      <c r="D178" s="11"/>
      <c r="E178" s="11"/>
      <c r="F178" s="11">
        <f t="shared" si="1"/>
        <v>0</v>
      </c>
      <c r="G178" s="11"/>
      <c r="H178" s="11" t="s">
        <v>1271</v>
      </c>
      <c r="I178" s="11" t="e">
        <f>VLOOKUP($H178, 'ADP Data'!$B$4:$Q$300, 2, FALSE)</f>
        <v>#N/A</v>
      </c>
      <c r="J178" s="11" t="e">
        <f>VLOOKUP($H178, 'ADP Data'!$B$4:$Q$300, 3, FALSE)</f>
        <v>#N/A</v>
      </c>
      <c r="K178" s="11"/>
      <c r="L178" s="11"/>
      <c r="M178" s="11">
        <f t="shared" si="2"/>
        <v>16</v>
      </c>
      <c r="N178" s="11" t="e">
        <f>VLOOKUP($H178, 'ADP Data'!$B$4:$Q$300, 11, FALSE)</f>
        <v>#N/A</v>
      </c>
      <c r="O178" s="11" t="e">
        <f>VLOOKUP($H178, 'ADP Data'!$B$4:$Q$300, 5, FALSE)</f>
        <v>#N/A</v>
      </c>
      <c r="P178" s="11" t="e">
        <f t="shared" si="3"/>
        <v>#N/A</v>
      </c>
      <c r="Q178" s="11" t="e">
        <f>VLOOKUP($H178, 'ADP Data'!$B$4:$Q$300, 6, FALSE)</f>
        <v>#N/A</v>
      </c>
      <c r="R178" s="11" t="e">
        <f>VLOOKUP($H178, 'ADP Data'!$B$4:$Q$300, 7, FALSE)</f>
        <v>#N/A</v>
      </c>
      <c r="S178" s="11" t="e">
        <f>VLOOKUP($H178, 'ADP Data'!$B$4:$Q$300, 8, FALSE)</f>
        <v>#N/A</v>
      </c>
      <c r="T178" s="11" t="e">
        <f>VLOOKUP($H178, 'ADP Data'!$B$4:$Q$300, 9, FALSE)</f>
        <v>#N/A</v>
      </c>
      <c r="U178" s="11" t="e">
        <f>VLOOKUP($H178, 'ADP Data'!$B$4:$Q$300, 10, FALSE)</f>
        <v>#N/A</v>
      </c>
      <c r="V178" s="11" t="e">
        <f t="shared" si="4"/>
        <v>#N/A</v>
      </c>
      <c r="W178" s="11" t="e">
        <f>VLOOKUP($H178, SeanRanks!$A$2:$J$303, 7, FALSE)-V178</f>
        <v>#N/A</v>
      </c>
      <c r="X178" s="11"/>
    </row>
    <row r="179" spans="1:24" ht="14.25" customHeight="1" x14ac:dyDescent="0.25">
      <c r="A179" s="11"/>
      <c r="B179" s="11" t="e">
        <f t="shared" si="0"/>
        <v>#N/A</v>
      </c>
      <c r="C179" s="11" t="s">
        <v>148</v>
      </c>
      <c r="D179" s="11"/>
      <c r="E179" s="11"/>
      <c r="F179" s="11">
        <f t="shared" si="1"/>
        <v>0</v>
      </c>
      <c r="G179" s="11"/>
      <c r="H179" s="11" t="s">
        <v>523</v>
      </c>
      <c r="I179" s="11" t="e">
        <f>VLOOKUP($H179, 'ADP Data'!$B$4:$Q$300, 2, FALSE)</f>
        <v>#N/A</v>
      </c>
      <c r="J179" s="11" t="e">
        <f>VLOOKUP($H179, 'ADP Data'!$B$4:$Q$300, 3, FALSE)</f>
        <v>#N/A</v>
      </c>
      <c r="K179" s="11"/>
      <c r="L179" s="11"/>
      <c r="M179" s="11">
        <f t="shared" si="2"/>
        <v>16</v>
      </c>
      <c r="N179" s="11" t="e">
        <f>VLOOKUP($H179, 'ADP Data'!$B$4:$Q$300, 11, FALSE)</f>
        <v>#N/A</v>
      </c>
      <c r="O179" s="11" t="e">
        <f>VLOOKUP($H179, 'ADP Data'!$B$4:$Q$300, 5, FALSE)</f>
        <v>#N/A</v>
      </c>
      <c r="P179" s="11" t="e">
        <f t="shared" si="3"/>
        <v>#N/A</v>
      </c>
      <c r="Q179" s="11" t="e">
        <f>VLOOKUP($H179, 'ADP Data'!$B$4:$Q$300, 6, FALSE)</f>
        <v>#N/A</v>
      </c>
      <c r="R179" s="11" t="e">
        <f>VLOOKUP($H179, 'ADP Data'!$B$4:$Q$300, 7, FALSE)</f>
        <v>#N/A</v>
      </c>
      <c r="S179" s="11" t="e">
        <f>VLOOKUP($H179, 'ADP Data'!$B$4:$Q$300, 8, FALSE)</f>
        <v>#N/A</v>
      </c>
      <c r="T179" s="11" t="e">
        <f>VLOOKUP($H179, 'ADP Data'!$B$4:$Q$300, 9, FALSE)</f>
        <v>#N/A</v>
      </c>
      <c r="U179" s="11" t="e">
        <f>VLOOKUP($H179, 'ADP Data'!$B$4:$Q$300, 10, FALSE)</f>
        <v>#N/A</v>
      </c>
      <c r="V179" s="11" t="e">
        <f t="shared" si="4"/>
        <v>#N/A</v>
      </c>
      <c r="W179" s="11" t="e">
        <f>VLOOKUP($H179, SeanRanks!$A$2:$J$303, 7, FALSE)-V179</f>
        <v>#N/A</v>
      </c>
      <c r="X179" s="11"/>
    </row>
    <row r="180" spans="1:24" ht="14.25" customHeight="1" x14ac:dyDescent="0.25">
      <c r="A180" s="11"/>
      <c r="B180" s="11" t="e">
        <f t="shared" si="0"/>
        <v>#N/A</v>
      </c>
      <c r="C180" s="11" t="s">
        <v>148</v>
      </c>
      <c r="D180" s="11"/>
      <c r="E180" s="11"/>
      <c r="F180" s="11">
        <f t="shared" si="1"/>
        <v>0</v>
      </c>
      <c r="G180" s="11"/>
      <c r="H180" s="11" t="s">
        <v>1254</v>
      </c>
      <c r="I180" s="11" t="e">
        <f>VLOOKUP($H180, 'ADP Data'!$B$4:$Q$300, 2, FALSE)</f>
        <v>#N/A</v>
      </c>
      <c r="J180" s="11" t="e">
        <f>VLOOKUP($H180, 'ADP Data'!$B$4:$Q$300, 3, FALSE)</f>
        <v>#N/A</v>
      </c>
      <c r="K180" s="11"/>
      <c r="L180" s="11"/>
      <c r="M180" s="11">
        <f t="shared" si="2"/>
        <v>16</v>
      </c>
      <c r="N180" s="11" t="e">
        <f>VLOOKUP($H180, 'ADP Data'!$B$4:$Q$300, 11, FALSE)</f>
        <v>#N/A</v>
      </c>
      <c r="O180" s="11" t="e">
        <f>VLOOKUP($H180, 'ADP Data'!$B$4:$Q$300, 5, FALSE)</f>
        <v>#N/A</v>
      </c>
      <c r="P180" s="11" t="e">
        <f t="shared" si="3"/>
        <v>#N/A</v>
      </c>
      <c r="Q180" s="11" t="e">
        <f>VLOOKUP($H180, 'ADP Data'!$B$4:$Q$300, 6, FALSE)</f>
        <v>#N/A</v>
      </c>
      <c r="R180" s="11" t="e">
        <f>VLOOKUP($H180, 'ADP Data'!$B$4:$Q$300, 7, FALSE)</f>
        <v>#N/A</v>
      </c>
      <c r="S180" s="11" t="e">
        <f>VLOOKUP($H180, 'ADP Data'!$B$4:$Q$300, 8, FALSE)</f>
        <v>#N/A</v>
      </c>
      <c r="T180" s="11" t="e">
        <f>VLOOKUP($H180, 'ADP Data'!$B$4:$Q$300, 9, FALSE)</f>
        <v>#N/A</v>
      </c>
      <c r="U180" s="11" t="e">
        <f>VLOOKUP($H180, 'ADP Data'!$B$4:$Q$300, 10, FALSE)</f>
        <v>#N/A</v>
      </c>
      <c r="V180" s="11" t="e">
        <f t="shared" si="4"/>
        <v>#N/A</v>
      </c>
      <c r="W180" s="11" t="e">
        <f>VLOOKUP($H180, SeanRanks!$A$2:$J$303, 7, FALSE)-V180</f>
        <v>#N/A</v>
      </c>
      <c r="X180" s="11" t="s">
        <v>1272</v>
      </c>
    </row>
    <row r="181" spans="1:24" ht="14.25" customHeight="1" x14ac:dyDescent="0.25">
      <c r="A181" s="11"/>
      <c r="B181" s="11" t="e">
        <f t="shared" si="0"/>
        <v>#N/A</v>
      </c>
      <c r="C181" s="11" t="s">
        <v>148</v>
      </c>
      <c r="D181" s="11"/>
      <c r="E181" s="11"/>
      <c r="F181" s="11">
        <f t="shared" si="1"/>
        <v>0</v>
      </c>
      <c r="G181" s="11"/>
      <c r="H181" s="11" t="s">
        <v>606</v>
      </c>
      <c r="I181" s="11" t="e">
        <f>VLOOKUP($H181, 'ADP Data'!$B$4:$Q$300, 2, FALSE)</f>
        <v>#N/A</v>
      </c>
      <c r="J181" s="11" t="e">
        <f>VLOOKUP($H181, 'ADP Data'!$B$4:$Q$300, 3, FALSE)</f>
        <v>#N/A</v>
      </c>
      <c r="K181" s="11"/>
      <c r="L181" s="11"/>
      <c r="M181" s="11">
        <f t="shared" si="2"/>
        <v>16</v>
      </c>
      <c r="N181" s="11" t="e">
        <f>VLOOKUP($H181, 'ADP Data'!$B$4:$Q$300, 11, FALSE)</f>
        <v>#N/A</v>
      </c>
      <c r="O181" s="11" t="e">
        <f>VLOOKUP($H181, 'ADP Data'!$B$4:$Q$300, 5, FALSE)</f>
        <v>#N/A</v>
      </c>
      <c r="P181" s="11" t="e">
        <f t="shared" si="3"/>
        <v>#N/A</v>
      </c>
      <c r="Q181" s="11" t="e">
        <f>VLOOKUP($H181, 'ADP Data'!$B$4:$Q$300, 6, FALSE)</f>
        <v>#N/A</v>
      </c>
      <c r="R181" s="11" t="e">
        <f>VLOOKUP($H181, 'ADP Data'!$B$4:$Q$300, 7, FALSE)</f>
        <v>#N/A</v>
      </c>
      <c r="S181" s="11" t="e">
        <f>VLOOKUP($H181, 'ADP Data'!$B$4:$Q$300, 8, FALSE)</f>
        <v>#N/A</v>
      </c>
      <c r="T181" s="11" t="e">
        <f>VLOOKUP($H181, 'ADP Data'!$B$4:$Q$300, 9, FALSE)</f>
        <v>#N/A</v>
      </c>
      <c r="U181" s="11" t="e">
        <f>VLOOKUP($H181, 'ADP Data'!$B$4:$Q$300, 10, FALSE)</f>
        <v>#N/A</v>
      </c>
      <c r="V181" s="11" t="e">
        <f t="shared" si="4"/>
        <v>#N/A</v>
      </c>
      <c r="W181" s="11" t="e">
        <f>VLOOKUP($H181, SeanRanks!$A$2:$J$303, 7, FALSE)-V181</f>
        <v>#N/A</v>
      </c>
      <c r="X181" s="11"/>
    </row>
    <row r="182" spans="1:24" ht="14.25" customHeight="1" x14ac:dyDescent="0.25">
      <c r="A182" s="11"/>
      <c r="B182" s="11" t="e">
        <f t="shared" si="0"/>
        <v>#N/A</v>
      </c>
      <c r="C182" s="11" t="s">
        <v>148</v>
      </c>
      <c r="D182" s="11"/>
      <c r="E182" s="11"/>
      <c r="F182" s="11">
        <f t="shared" si="1"/>
        <v>0</v>
      </c>
      <c r="G182" s="11"/>
      <c r="H182" s="11" t="s">
        <v>1273</v>
      </c>
      <c r="I182" s="11" t="e">
        <f>VLOOKUP($H182, 'ADP Data'!$B$4:$Q$300, 2, FALSE)</f>
        <v>#N/A</v>
      </c>
      <c r="J182" s="11" t="e">
        <f>VLOOKUP($H182, 'ADP Data'!$B$4:$Q$300, 3, FALSE)</f>
        <v>#N/A</v>
      </c>
      <c r="K182" s="11"/>
      <c r="L182" s="11"/>
      <c r="M182" s="11">
        <f t="shared" si="2"/>
        <v>16</v>
      </c>
      <c r="N182" s="11" t="e">
        <f>VLOOKUP($H182, 'ADP Data'!$B$4:$Q$300, 11, FALSE)</f>
        <v>#N/A</v>
      </c>
      <c r="O182" s="11" t="e">
        <f>VLOOKUP($H182, 'ADP Data'!$B$4:$Q$300, 5, FALSE)</f>
        <v>#N/A</v>
      </c>
      <c r="P182" s="11" t="e">
        <f t="shared" si="3"/>
        <v>#N/A</v>
      </c>
      <c r="Q182" s="11" t="e">
        <f>VLOOKUP($H182, 'ADP Data'!$B$4:$Q$300, 6, FALSE)</f>
        <v>#N/A</v>
      </c>
      <c r="R182" s="11" t="e">
        <f>VLOOKUP($H182, 'ADP Data'!$B$4:$Q$300, 7, FALSE)</f>
        <v>#N/A</v>
      </c>
      <c r="S182" s="11" t="e">
        <f>VLOOKUP($H182, 'ADP Data'!$B$4:$Q$300, 8, FALSE)</f>
        <v>#N/A</v>
      </c>
      <c r="T182" s="11" t="e">
        <f>VLOOKUP($H182, 'ADP Data'!$B$4:$Q$300, 9, FALSE)</f>
        <v>#N/A</v>
      </c>
      <c r="U182" s="11" t="e">
        <f>VLOOKUP($H182, 'ADP Data'!$B$4:$Q$300, 10, FALSE)</f>
        <v>#N/A</v>
      </c>
      <c r="V182" s="11" t="e">
        <f t="shared" si="4"/>
        <v>#N/A</v>
      </c>
      <c r="W182" s="11" t="e">
        <f>VLOOKUP($H182, SeanRanks!$A$2:$J$303, 7, FALSE)-V182</f>
        <v>#N/A</v>
      </c>
      <c r="X182" s="11"/>
    </row>
    <row r="183" spans="1:24" ht="14.25" customHeight="1" x14ac:dyDescent="0.25">
      <c r="A183" s="11"/>
      <c r="B183" s="11" t="e">
        <f t="shared" si="0"/>
        <v>#N/A</v>
      </c>
      <c r="C183" s="11" t="s">
        <v>148</v>
      </c>
      <c r="D183" s="11"/>
      <c r="E183" s="11"/>
      <c r="F183" s="11">
        <f t="shared" si="1"/>
        <v>0</v>
      </c>
      <c r="G183" s="11"/>
      <c r="H183" s="11" t="s">
        <v>1274</v>
      </c>
      <c r="I183" s="11" t="e">
        <f>VLOOKUP($H183, 'ADP Data'!$B$4:$Q$300, 2, FALSE)</f>
        <v>#N/A</v>
      </c>
      <c r="J183" s="11" t="e">
        <f>VLOOKUP($H183, 'ADP Data'!$B$4:$Q$300, 3, FALSE)</f>
        <v>#N/A</v>
      </c>
      <c r="K183" s="11"/>
      <c r="L183" s="11"/>
      <c r="M183" s="11">
        <f t="shared" si="2"/>
        <v>16</v>
      </c>
      <c r="N183" s="11" t="e">
        <f>VLOOKUP($H183, 'ADP Data'!$B$4:$Q$300, 11, FALSE)</f>
        <v>#N/A</v>
      </c>
      <c r="O183" s="11" t="e">
        <f>VLOOKUP($H183, 'ADP Data'!$B$4:$Q$300, 5, FALSE)</f>
        <v>#N/A</v>
      </c>
      <c r="P183" s="11" t="e">
        <f t="shared" si="3"/>
        <v>#N/A</v>
      </c>
      <c r="Q183" s="11" t="e">
        <f>VLOOKUP($H183, 'ADP Data'!$B$4:$Q$300, 6, FALSE)</f>
        <v>#N/A</v>
      </c>
      <c r="R183" s="11" t="e">
        <f>VLOOKUP($H183, 'ADP Data'!$B$4:$Q$300, 7, FALSE)</f>
        <v>#N/A</v>
      </c>
      <c r="S183" s="11" t="e">
        <f>VLOOKUP($H183, 'ADP Data'!$B$4:$Q$300, 8, FALSE)</f>
        <v>#N/A</v>
      </c>
      <c r="T183" s="11" t="e">
        <f>VLOOKUP($H183, 'ADP Data'!$B$4:$Q$300, 9, FALSE)</f>
        <v>#N/A</v>
      </c>
      <c r="U183" s="11" t="e">
        <f>VLOOKUP($H183, 'ADP Data'!$B$4:$Q$300, 10, FALSE)</f>
        <v>#N/A</v>
      </c>
      <c r="V183" s="11" t="e">
        <f t="shared" si="4"/>
        <v>#N/A</v>
      </c>
      <c r="W183" s="11" t="e">
        <f>VLOOKUP($H183, SeanRanks!$A$2:$J$303, 7, FALSE)-V183</f>
        <v>#N/A</v>
      </c>
      <c r="X183" s="11"/>
    </row>
    <row r="184" spans="1:24" ht="14.25" customHeight="1" x14ac:dyDescent="0.25">
      <c r="A184" s="11"/>
      <c r="B184" s="11" t="e">
        <f t="shared" si="0"/>
        <v>#N/A</v>
      </c>
      <c r="C184" s="11" t="s">
        <v>148</v>
      </c>
      <c r="D184" s="11"/>
      <c r="E184" s="11"/>
      <c r="F184" s="11">
        <f t="shared" si="1"/>
        <v>0</v>
      </c>
      <c r="G184" s="11"/>
      <c r="H184" s="11" t="s">
        <v>1275</v>
      </c>
      <c r="I184" s="11" t="e">
        <f>VLOOKUP($H184, 'ADP Data'!$B$4:$Q$300, 2, FALSE)</f>
        <v>#N/A</v>
      </c>
      <c r="J184" s="11" t="e">
        <f>VLOOKUP($H184, 'ADP Data'!$B$4:$Q$300, 3, FALSE)</f>
        <v>#N/A</v>
      </c>
      <c r="K184" s="11"/>
      <c r="L184" s="11"/>
      <c r="M184" s="11">
        <f t="shared" si="2"/>
        <v>16</v>
      </c>
      <c r="N184" s="11" t="e">
        <f>VLOOKUP($H184, 'ADP Data'!$B$4:$Q$300, 11, FALSE)</f>
        <v>#N/A</v>
      </c>
      <c r="O184" s="11" t="e">
        <f>VLOOKUP($H184, 'ADP Data'!$B$4:$Q$300, 5, FALSE)</f>
        <v>#N/A</v>
      </c>
      <c r="P184" s="11" t="e">
        <f t="shared" si="3"/>
        <v>#N/A</v>
      </c>
      <c r="Q184" s="11" t="e">
        <f>VLOOKUP($H184, 'ADP Data'!$B$4:$Q$300, 6, FALSE)</f>
        <v>#N/A</v>
      </c>
      <c r="R184" s="11" t="e">
        <f>VLOOKUP($H184, 'ADP Data'!$B$4:$Q$300, 7, FALSE)</f>
        <v>#N/A</v>
      </c>
      <c r="S184" s="11" t="e">
        <f>VLOOKUP($H184, 'ADP Data'!$B$4:$Q$300, 8, FALSE)</f>
        <v>#N/A</v>
      </c>
      <c r="T184" s="11" t="e">
        <f>VLOOKUP($H184, 'ADP Data'!$B$4:$Q$300, 9, FALSE)</f>
        <v>#N/A</v>
      </c>
      <c r="U184" s="11" t="e">
        <f>VLOOKUP($H184, 'ADP Data'!$B$4:$Q$300, 10, FALSE)</f>
        <v>#N/A</v>
      </c>
      <c r="V184" s="11" t="e">
        <f t="shared" si="4"/>
        <v>#N/A</v>
      </c>
      <c r="W184" s="11" t="e">
        <f>VLOOKUP($H184, SeanRanks!$A$2:$J$303, 7, FALSE)-V184</f>
        <v>#N/A</v>
      </c>
      <c r="X184" s="11"/>
    </row>
    <row r="185" spans="1:24" ht="14.25" customHeight="1" x14ac:dyDescent="0.25">
      <c r="A185" s="11"/>
      <c r="B185" s="11" t="e">
        <f t="shared" si="0"/>
        <v>#N/A</v>
      </c>
      <c r="C185" s="11" t="s">
        <v>148</v>
      </c>
      <c r="D185" s="11"/>
      <c r="E185" s="11"/>
      <c r="F185" s="11">
        <f t="shared" si="1"/>
        <v>0</v>
      </c>
      <c r="G185" s="11"/>
      <c r="H185" s="11" t="s">
        <v>1276</v>
      </c>
      <c r="I185" s="11" t="e">
        <f>VLOOKUP($H185, 'ADP Data'!$B$4:$Q$300, 2, FALSE)</f>
        <v>#N/A</v>
      </c>
      <c r="J185" s="11" t="e">
        <f>VLOOKUP($H185, 'ADP Data'!$B$4:$Q$300, 3, FALSE)</f>
        <v>#N/A</v>
      </c>
      <c r="K185" s="11"/>
      <c r="L185" s="11"/>
      <c r="M185" s="11">
        <f t="shared" si="2"/>
        <v>16</v>
      </c>
      <c r="N185" s="11" t="e">
        <f>VLOOKUP($H185, 'ADP Data'!$B$4:$Q$300, 11, FALSE)</f>
        <v>#N/A</v>
      </c>
      <c r="O185" s="11" t="e">
        <f>VLOOKUP($H185, 'ADP Data'!$B$4:$Q$300, 5, FALSE)</f>
        <v>#N/A</v>
      </c>
      <c r="P185" s="11" t="e">
        <f t="shared" si="3"/>
        <v>#N/A</v>
      </c>
      <c r="Q185" s="11" t="e">
        <f>VLOOKUP($H185, 'ADP Data'!$B$4:$Q$300, 6, FALSE)</f>
        <v>#N/A</v>
      </c>
      <c r="R185" s="11" t="e">
        <f>VLOOKUP($H185, 'ADP Data'!$B$4:$Q$300, 7, FALSE)</f>
        <v>#N/A</v>
      </c>
      <c r="S185" s="11" t="e">
        <f>VLOOKUP($H185, 'ADP Data'!$B$4:$Q$300, 8, FALSE)</f>
        <v>#N/A</v>
      </c>
      <c r="T185" s="11" t="e">
        <f>VLOOKUP($H185, 'ADP Data'!$B$4:$Q$300, 9, FALSE)</f>
        <v>#N/A</v>
      </c>
      <c r="U185" s="11" t="e">
        <f>VLOOKUP($H185, 'ADP Data'!$B$4:$Q$300, 10, FALSE)</f>
        <v>#N/A</v>
      </c>
      <c r="V185" s="11" t="e">
        <f t="shared" si="4"/>
        <v>#N/A</v>
      </c>
      <c r="W185" s="11" t="e">
        <f>VLOOKUP($H185, SeanRanks!$A$2:$J$303, 7, FALSE)-V185</f>
        <v>#N/A</v>
      </c>
      <c r="X185" s="11"/>
    </row>
    <row r="186" spans="1:24" ht="14.25" customHeight="1" x14ac:dyDescent="0.25">
      <c r="A186" s="11"/>
      <c r="B186" s="11" t="e">
        <f t="shared" si="0"/>
        <v>#N/A</v>
      </c>
      <c r="C186" s="11" t="s">
        <v>148</v>
      </c>
      <c r="D186" s="11"/>
      <c r="E186" s="11"/>
      <c r="F186" s="11">
        <f t="shared" si="1"/>
        <v>0</v>
      </c>
      <c r="G186" s="11"/>
      <c r="H186" s="11" t="s">
        <v>1277</v>
      </c>
      <c r="I186" s="11" t="e">
        <f>VLOOKUP($H186, 'ADP Data'!$B$4:$Q$300, 2, FALSE)</f>
        <v>#N/A</v>
      </c>
      <c r="J186" s="11" t="e">
        <f>VLOOKUP($H186, 'ADP Data'!$B$4:$Q$300, 3, FALSE)</f>
        <v>#N/A</v>
      </c>
      <c r="K186" s="11"/>
      <c r="L186" s="11"/>
      <c r="M186" s="11">
        <f t="shared" si="2"/>
        <v>16</v>
      </c>
      <c r="N186" s="11" t="e">
        <f>VLOOKUP($H186, 'ADP Data'!$B$4:$Q$300, 11, FALSE)</f>
        <v>#N/A</v>
      </c>
      <c r="O186" s="11" t="e">
        <f>VLOOKUP($H186, 'ADP Data'!$B$4:$Q$300, 5, FALSE)</f>
        <v>#N/A</v>
      </c>
      <c r="P186" s="11" t="e">
        <f t="shared" si="3"/>
        <v>#N/A</v>
      </c>
      <c r="Q186" s="11" t="e">
        <f>VLOOKUP($H186, 'ADP Data'!$B$4:$Q$300, 6, FALSE)</f>
        <v>#N/A</v>
      </c>
      <c r="R186" s="11" t="e">
        <f>VLOOKUP($H186, 'ADP Data'!$B$4:$Q$300, 7, FALSE)</f>
        <v>#N/A</v>
      </c>
      <c r="S186" s="11" t="e">
        <f>VLOOKUP($H186, 'ADP Data'!$B$4:$Q$300, 8, FALSE)</f>
        <v>#N/A</v>
      </c>
      <c r="T186" s="11" t="e">
        <f>VLOOKUP($H186, 'ADP Data'!$B$4:$Q$300, 9, FALSE)</f>
        <v>#N/A</v>
      </c>
      <c r="U186" s="11" t="e">
        <f>VLOOKUP($H186, 'ADP Data'!$B$4:$Q$300, 10, FALSE)</f>
        <v>#N/A</v>
      </c>
      <c r="V186" s="11" t="e">
        <f t="shared" si="4"/>
        <v>#N/A</v>
      </c>
      <c r="W186" s="11" t="e">
        <f>VLOOKUP($H186, SeanRanks!$A$2:$J$303, 7, FALSE)-V186</f>
        <v>#N/A</v>
      </c>
      <c r="X186" s="11"/>
    </row>
    <row r="187" spans="1:24" ht="14.25" customHeight="1" x14ac:dyDescent="0.25">
      <c r="A187" s="11"/>
      <c r="B187" s="11" t="e">
        <f t="shared" si="0"/>
        <v>#N/A</v>
      </c>
      <c r="C187" s="11" t="s">
        <v>148</v>
      </c>
      <c r="D187" s="11"/>
      <c r="E187" s="11"/>
      <c r="F187" s="11">
        <f t="shared" si="1"/>
        <v>0</v>
      </c>
      <c r="G187" s="11"/>
      <c r="H187" s="11" t="s">
        <v>122</v>
      </c>
      <c r="I187" s="11" t="e">
        <f>VLOOKUP($H187, 'ADP Data'!$B$4:$Q$300, 2, FALSE)</f>
        <v>#N/A</v>
      </c>
      <c r="J187" s="11" t="e">
        <f>VLOOKUP($H187, 'ADP Data'!$B$4:$Q$300, 3, FALSE)</f>
        <v>#N/A</v>
      </c>
      <c r="K187" s="11"/>
      <c r="L187" s="11"/>
      <c r="M187" s="11">
        <f t="shared" si="2"/>
        <v>16</v>
      </c>
      <c r="N187" s="11" t="e">
        <f>VLOOKUP($H187, 'ADP Data'!$B$4:$Q$300, 11, FALSE)</f>
        <v>#N/A</v>
      </c>
      <c r="O187" s="11" t="e">
        <f>VLOOKUP($H187, 'ADP Data'!$B$4:$Q$300, 5, FALSE)</f>
        <v>#N/A</v>
      </c>
      <c r="P187" s="11" t="e">
        <f t="shared" si="3"/>
        <v>#N/A</v>
      </c>
      <c r="Q187" s="11" t="e">
        <f>VLOOKUP($H187, 'ADP Data'!$B$4:$Q$300, 6, FALSE)</f>
        <v>#N/A</v>
      </c>
      <c r="R187" s="11" t="e">
        <f>VLOOKUP($H187, 'ADP Data'!$B$4:$Q$300, 7, FALSE)</f>
        <v>#N/A</v>
      </c>
      <c r="S187" s="11" t="e">
        <f>VLOOKUP($H187, 'ADP Data'!$B$4:$Q$300, 8, FALSE)</f>
        <v>#N/A</v>
      </c>
      <c r="T187" s="11" t="e">
        <f>VLOOKUP($H187, 'ADP Data'!$B$4:$Q$300, 9, FALSE)</f>
        <v>#N/A</v>
      </c>
      <c r="U187" s="11" t="e">
        <f>VLOOKUP($H187, 'ADP Data'!$B$4:$Q$300, 10, FALSE)</f>
        <v>#N/A</v>
      </c>
      <c r="V187" s="11" t="e">
        <f t="shared" si="4"/>
        <v>#N/A</v>
      </c>
      <c r="W187" s="11" t="e">
        <f>VLOOKUP($H187, SeanRanks!$A$2:$J$303, 7, FALSE)-V187</f>
        <v>#N/A</v>
      </c>
      <c r="X187" s="11"/>
    </row>
    <row r="188" spans="1:24" ht="14.25" customHeight="1" x14ac:dyDescent="0.25">
      <c r="A188" s="11"/>
      <c r="B188" s="11" t="e">
        <f t="shared" si="0"/>
        <v>#N/A</v>
      </c>
      <c r="C188" s="11" t="s">
        <v>148</v>
      </c>
      <c r="D188" s="11"/>
      <c r="E188" s="11"/>
      <c r="F188" s="11">
        <f t="shared" si="1"/>
        <v>0</v>
      </c>
      <c r="G188" s="11"/>
      <c r="H188" s="11" t="s">
        <v>391</v>
      </c>
      <c r="I188" s="11" t="e">
        <f>VLOOKUP($H188, 'ADP Data'!$B$4:$Q$300, 2, FALSE)</f>
        <v>#N/A</v>
      </c>
      <c r="J188" s="11" t="e">
        <f>VLOOKUP($H188, 'ADP Data'!$B$4:$Q$300, 3, FALSE)</f>
        <v>#N/A</v>
      </c>
      <c r="K188" s="11"/>
      <c r="L188" s="11"/>
      <c r="M188" s="11">
        <f t="shared" si="2"/>
        <v>16</v>
      </c>
      <c r="N188" s="11" t="e">
        <f>VLOOKUP($H188, 'ADP Data'!$B$4:$Q$300, 11, FALSE)</f>
        <v>#N/A</v>
      </c>
      <c r="O188" s="11" t="e">
        <f>VLOOKUP($H188, 'ADP Data'!$B$4:$Q$300, 5, FALSE)</f>
        <v>#N/A</v>
      </c>
      <c r="P188" s="11" t="e">
        <f t="shared" si="3"/>
        <v>#N/A</v>
      </c>
      <c r="Q188" s="11" t="e">
        <f>VLOOKUP($H188, 'ADP Data'!$B$4:$Q$300, 6, FALSE)</f>
        <v>#N/A</v>
      </c>
      <c r="R188" s="11" t="e">
        <f>VLOOKUP($H188, 'ADP Data'!$B$4:$Q$300, 7, FALSE)</f>
        <v>#N/A</v>
      </c>
      <c r="S188" s="11" t="e">
        <f>VLOOKUP($H188, 'ADP Data'!$B$4:$Q$300, 8, FALSE)</f>
        <v>#N/A</v>
      </c>
      <c r="T188" s="11" t="e">
        <f>VLOOKUP($H188, 'ADP Data'!$B$4:$Q$300, 9, FALSE)</f>
        <v>#N/A</v>
      </c>
      <c r="U188" s="11" t="e">
        <f>VLOOKUP($H188, 'ADP Data'!$B$4:$Q$300, 10, FALSE)</f>
        <v>#N/A</v>
      </c>
      <c r="V188" s="11" t="e">
        <f t="shared" si="4"/>
        <v>#N/A</v>
      </c>
      <c r="W188" s="11" t="e">
        <f>VLOOKUP($H188, SeanRanks!$A$2:$J$303, 7, FALSE)-V188</f>
        <v>#N/A</v>
      </c>
      <c r="X188" s="11"/>
    </row>
    <row r="189" spans="1:24" ht="14.25" customHeight="1" x14ac:dyDescent="0.25">
      <c r="A189" s="11"/>
      <c r="B189" s="11" t="e">
        <f t="shared" si="0"/>
        <v>#N/A</v>
      </c>
      <c r="C189" s="11" t="s">
        <v>148</v>
      </c>
      <c r="D189" s="11"/>
      <c r="E189" s="11"/>
      <c r="F189" s="11">
        <f t="shared" si="1"/>
        <v>0</v>
      </c>
      <c r="G189" s="11"/>
      <c r="H189" s="11" t="s">
        <v>1278</v>
      </c>
      <c r="I189" s="11" t="e">
        <f>VLOOKUP($H189, 'ADP Data'!$B$4:$Q$300, 2, FALSE)</f>
        <v>#N/A</v>
      </c>
      <c r="J189" s="11" t="e">
        <f>VLOOKUP($H189, 'ADP Data'!$B$4:$Q$300, 3, FALSE)</f>
        <v>#N/A</v>
      </c>
      <c r="K189" s="11"/>
      <c r="L189" s="11"/>
      <c r="M189" s="11">
        <f t="shared" si="2"/>
        <v>16</v>
      </c>
      <c r="N189" s="11" t="e">
        <f>VLOOKUP($H189, 'ADP Data'!$B$4:$Q$300, 11, FALSE)</f>
        <v>#N/A</v>
      </c>
      <c r="O189" s="11" t="e">
        <f>VLOOKUP($H189, 'ADP Data'!$B$4:$Q$300, 5, FALSE)</f>
        <v>#N/A</v>
      </c>
      <c r="P189" s="11" t="e">
        <f t="shared" si="3"/>
        <v>#N/A</v>
      </c>
      <c r="Q189" s="11" t="e">
        <f>VLOOKUP($H189, 'ADP Data'!$B$4:$Q$300, 6, FALSE)</f>
        <v>#N/A</v>
      </c>
      <c r="R189" s="11" t="e">
        <f>VLOOKUP($H189, 'ADP Data'!$B$4:$Q$300, 7, FALSE)</f>
        <v>#N/A</v>
      </c>
      <c r="S189" s="11" t="e">
        <f>VLOOKUP($H189, 'ADP Data'!$B$4:$Q$300, 8, FALSE)</f>
        <v>#N/A</v>
      </c>
      <c r="T189" s="11" t="e">
        <f>VLOOKUP($H189, 'ADP Data'!$B$4:$Q$300, 9, FALSE)</f>
        <v>#N/A</v>
      </c>
      <c r="U189" s="11" t="e">
        <f>VLOOKUP($H189, 'ADP Data'!$B$4:$Q$300, 10, FALSE)</f>
        <v>#N/A</v>
      </c>
      <c r="V189" s="11" t="e">
        <f t="shared" si="4"/>
        <v>#N/A</v>
      </c>
      <c r="W189" s="11" t="e">
        <f>VLOOKUP($H189, SeanRanks!$A$2:$J$303, 7, FALSE)-V189</f>
        <v>#N/A</v>
      </c>
      <c r="X189" s="11"/>
    </row>
    <row r="190" spans="1:24" ht="14.25" customHeight="1" x14ac:dyDescent="0.25">
      <c r="A190" s="11"/>
      <c r="B190" s="11" t="e">
        <f t="shared" si="0"/>
        <v>#N/A</v>
      </c>
      <c r="C190" s="11" t="s">
        <v>148</v>
      </c>
      <c r="D190" s="11"/>
      <c r="E190" s="11"/>
      <c r="F190" s="11">
        <f t="shared" si="1"/>
        <v>0</v>
      </c>
      <c r="G190" s="11"/>
      <c r="H190" s="11" t="s">
        <v>914</v>
      </c>
      <c r="I190" s="11" t="e">
        <f>VLOOKUP($H190, 'ADP Data'!$B$4:$Q$300, 2, FALSE)</f>
        <v>#N/A</v>
      </c>
      <c r="J190" s="11" t="e">
        <f>VLOOKUP($H190, 'ADP Data'!$B$4:$Q$300, 3, FALSE)</f>
        <v>#N/A</v>
      </c>
      <c r="K190" s="11"/>
      <c r="L190" s="11"/>
      <c r="M190" s="11">
        <f t="shared" si="2"/>
        <v>16</v>
      </c>
      <c r="N190" s="11" t="e">
        <f>VLOOKUP($H190, 'ADP Data'!$B$4:$Q$300, 11, FALSE)</f>
        <v>#N/A</v>
      </c>
      <c r="O190" s="11" t="e">
        <f>VLOOKUP($H190, 'ADP Data'!$B$4:$Q$300, 5, FALSE)</f>
        <v>#N/A</v>
      </c>
      <c r="P190" s="11" t="e">
        <f t="shared" si="3"/>
        <v>#N/A</v>
      </c>
      <c r="Q190" s="11" t="e">
        <f>VLOOKUP($H190, 'ADP Data'!$B$4:$Q$300, 6, FALSE)</f>
        <v>#N/A</v>
      </c>
      <c r="R190" s="11" t="e">
        <f>VLOOKUP($H190, 'ADP Data'!$B$4:$Q$300, 7, FALSE)</f>
        <v>#N/A</v>
      </c>
      <c r="S190" s="11" t="e">
        <f>VLOOKUP($H190, 'ADP Data'!$B$4:$Q$300, 8, FALSE)</f>
        <v>#N/A</v>
      </c>
      <c r="T190" s="11" t="e">
        <f>VLOOKUP($H190, 'ADP Data'!$B$4:$Q$300, 9, FALSE)</f>
        <v>#N/A</v>
      </c>
      <c r="U190" s="11" t="e">
        <f>VLOOKUP($H190, 'ADP Data'!$B$4:$Q$300, 10, FALSE)</f>
        <v>#N/A</v>
      </c>
      <c r="V190" s="11" t="e">
        <f t="shared" si="4"/>
        <v>#N/A</v>
      </c>
      <c r="W190" s="11" t="e">
        <f>VLOOKUP($H190, SeanRanks!$A$2:$J$303, 7, FALSE)-V190</f>
        <v>#N/A</v>
      </c>
      <c r="X190" s="11"/>
    </row>
    <row r="191" spans="1:24" ht="14.25" customHeight="1" x14ac:dyDescent="0.25">
      <c r="A191" s="11"/>
      <c r="B191" s="11" t="e">
        <f t="shared" si="0"/>
        <v>#N/A</v>
      </c>
      <c r="C191" s="11" t="s">
        <v>148</v>
      </c>
      <c r="D191" s="11"/>
      <c r="E191" s="11"/>
      <c r="F191" s="11">
        <f t="shared" si="1"/>
        <v>0</v>
      </c>
      <c r="G191" s="11"/>
      <c r="H191" s="11" t="s">
        <v>984</v>
      </c>
      <c r="I191" s="11" t="e">
        <f>VLOOKUP($H191, 'ADP Data'!$B$4:$Q$300, 2, FALSE)</f>
        <v>#N/A</v>
      </c>
      <c r="J191" s="11" t="e">
        <f>VLOOKUP($H191, 'ADP Data'!$B$4:$Q$300, 3, FALSE)</f>
        <v>#N/A</v>
      </c>
      <c r="K191" s="11"/>
      <c r="L191" s="11"/>
      <c r="M191" s="11">
        <f t="shared" si="2"/>
        <v>16</v>
      </c>
      <c r="N191" s="11" t="e">
        <f>VLOOKUP($H191, 'ADP Data'!$B$4:$Q$300, 11, FALSE)</f>
        <v>#N/A</v>
      </c>
      <c r="O191" s="11" t="e">
        <f>VLOOKUP($H191, 'ADP Data'!$B$4:$Q$300, 5, FALSE)</f>
        <v>#N/A</v>
      </c>
      <c r="P191" s="11" t="e">
        <f t="shared" si="3"/>
        <v>#N/A</v>
      </c>
      <c r="Q191" s="11" t="e">
        <f>VLOOKUP($H191, 'ADP Data'!$B$4:$Q$300, 6, FALSE)</f>
        <v>#N/A</v>
      </c>
      <c r="R191" s="11" t="e">
        <f>VLOOKUP($H191, 'ADP Data'!$B$4:$Q$300, 7, FALSE)</f>
        <v>#N/A</v>
      </c>
      <c r="S191" s="11" t="e">
        <f>VLOOKUP($H191, 'ADP Data'!$B$4:$Q$300, 8, FALSE)</f>
        <v>#N/A</v>
      </c>
      <c r="T191" s="11" t="e">
        <f>VLOOKUP($H191, 'ADP Data'!$B$4:$Q$300, 9, FALSE)</f>
        <v>#N/A</v>
      </c>
      <c r="U191" s="11" t="e">
        <f>VLOOKUP($H191, 'ADP Data'!$B$4:$Q$300, 10, FALSE)</f>
        <v>#N/A</v>
      </c>
      <c r="V191" s="11" t="e">
        <f t="shared" si="4"/>
        <v>#N/A</v>
      </c>
      <c r="W191" s="11" t="e">
        <f>VLOOKUP($H191, SeanRanks!$A$2:$J$303, 7, FALSE)-V191</f>
        <v>#N/A</v>
      </c>
      <c r="X191" s="11"/>
    </row>
    <row r="192" spans="1:24" ht="14.25" customHeight="1" x14ac:dyDescent="0.25">
      <c r="A192" s="11"/>
      <c r="B192" s="11" t="e">
        <f t="shared" si="0"/>
        <v>#N/A</v>
      </c>
      <c r="C192" s="11" t="s">
        <v>148</v>
      </c>
      <c r="D192" s="11"/>
      <c r="E192" s="11"/>
      <c r="F192" s="11">
        <f t="shared" si="1"/>
        <v>0</v>
      </c>
      <c r="G192" s="11" t="s">
        <v>148</v>
      </c>
      <c r="H192" s="11" t="s">
        <v>286</v>
      </c>
      <c r="I192" s="11" t="e">
        <f>VLOOKUP($H192, 'ADP Data'!$B$4:$Q$300, 2, FALSE)</f>
        <v>#N/A</v>
      </c>
      <c r="J192" s="11" t="e">
        <f>VLOOKUP($H192, 'ADP Data'!$B$4:$Q$300, 3, FALSE)</f>
        <v>#N/A</v>
      </c>
      <c r="K192" s="11"/>
      <c r="L192" s="11"/>
      <c r="M192" s="11">
        <f t="shared" si="2"/>
        <v>16</v>
      </c>
      <c r="N192" s="11" t="e">
        <f>VLOOKUP($H192, 'ADP Data'!$B$4:$Q$300, 11, FALSE)</f>
        <v>#N/A</v>
      </c>
      <c r="O192" s="11" t="e">
        <f>VLOOKUP($H192, 'ADP Data'!$B$4:$Q$300, 5, FALSE)</f>
        <v>#N/A</v>
      </c>
      <c r="P192" s="11" t="e">
        <f t="shared" si="3"/>
        <v>#N/A</v>
      </c>
      <c r="Q192" s="11" t="e">
        <f>VLOOKUP($H192, 'ADP Data'!$B$4:$Q$300, 6, FALSE)</f>
        <v>#N/A</v>
      </c>
      <c r="R192" s="11" t="e">
        <f>VLOOKUP($H192, 'ADP Data'!$B$4:$Q$300, 7, FALSE)</f>
        <v>#N/A</v>
      </c>
      <c r="S192" s="11" t="e">
        <f>VLOOKUP($H192, 'ADP Data'!$B$4:$Q$300, 8, FALSE)</f>
        <v>#N/A</v>
      </c>
      <c r="T192" s="11" t="e">
        <f>VLOOKUP($H192, 'ADP Data'!$B$4:$Q$300, 9, FALSE)</f>
        <v>#N/A</v>
      </c>
      <c r="U192" s="11" t="e">
        <f>VLOOKUP($H192, 'ADP Data'!$B$4:$Q$300, 10, FALSE)</f>
        <v>#N/A</v>
      </c>
      <c r="V192" s="11" t="e">
        <f t="shared" si="4"/>
        <v>#N/A</v>
      </c>
      <c r="W192" s="11" t="e">
        <f>VLOOKUP($H192, SeanRanks!$A$2:$J$303, 7, FALSE)-V192</f>
        <v>#N/A</v>
      </c>
      <c r="X192" s="11" t="s">
        <v>1280</v>
      </c>
    </row>
    <row r="193" spans="1:24" ht="14.25" customHeight="1" x14ac:dyDescent="0.25">
      <c r="A193" s="11"/>
      <c r="B193" s="11" t="e">
        <f t="shared" si="0"/>
        <v>#N/A</v>
      </c>
      <c r="C193" s="11" t="s">
        <v>148</v>
      </c>
      <c r="D193" s="11"/>
      <c r="E193" s="11"/>
      <c r="F193" s="11">
        <f t="shared" si="1"/>
        <v>0</v>
      </c>
      <c r="G193" s="11"/>
      <c r="H193" s="11" t="s">
        <v>115</v>
      </c>
      <c r="I193" s="11" t="e">
        <f>VLOOKUP($H193, 'ADP Data'!$B$4:$Q$300, 2, FALSE)</f>
        <v>#N/A</v>
      </c>
      <c r="J193" s="11" t="e">
        <f>VLOOKUP($H193, 'ADP Data'!$B$4:$Q$300, 3, FALSE)</f>
        <v>#N/A</v>
      </c>
      <c r="K193" s="11"/>
      <c r="L193" s="11"/>
      <c r="M193" s="11">
        <f t="shared" si="2"/>
        <v>16</v>
      </c>
      <c r="N193" s="11" t="e">
        <f>VLOOKUP($H193, 'ADP Data'!$B$4:$Q$300, 11, FALSE)</f>
        <v>#N/A</v>
      </c>
      <c r="O193" s="11" t="e">
        <f>VLOOKUP($H193, 'ADP Data'!$B$4:$Q$300, 5, FALSE)</f>
        <v>#N/A</v>
      </c>
      <c r="P193" s="11" t="e">
        <f t="shared" si="3"/>
        <v>#N/A</v>
      </c>
      <c r="Q193" s="11" t="e">
        <f>VLOOKUP($H193, 'ADP Data'!$B$4:$Q$300, 6, FALSE)</f>
        <v>#N/A</v>
      </c>
      <c r="R193" s="11" t="e">
        <f>VLOOKUP($H193, 'ADP Data'!$B$4:$Q$300, 7, FALSE)</f>
        <v>#N/A</v>
      </c>
      <c r="S193" s="11" t="e">
        <f>VLOOKUP($H193, 'ADP Data'!$B$4:$Q$300, 8, FALSE)</f>
        <v>#N/A</v>
      </c>
      <c r="T193" s="11" t="e">
        <f>VLOOKUP($H193, 'ADP Data'!$B$4:$Q$300, 9, FALSE)</f>
        <v>#N/A</v>
      </c>
      <c r="U193" s="11" t="e">
        <f>VLOOKUP($H193, 'ADP Data'!$B$4:$Q$300, 10, FALSE)</f>
        <v>#N/A</v>
      </c>
      <c r="V193" s="11" t="e">
        <f t="shared" si="4"/>
        <v>#N/A</v>
      </c>
      <c r="W193" s="11" t="e">
        <f>VLOOKUP($H193, SeanRanks!$A$2:$J$303, 7, FALSE)-V193</f>
        <v>#N/A</v>
      </c>
      <c r="X193" s="11"/>
    </row>
    <row r="194" spans="1:24" ht="14.25" customHeight="1" x14ac:dyDescent="0.25">
      <c r="A194" s="11"/>
      <c r="B194" s="11" t="e">
        <f t="shared" si="0"/>
        <v>#N/A</v>
      </c>
      <c r="C194" s="11" t="s">
        <v>148</v>
      </c>
      <c r="D194" s="11"/>
      <c r="E194" s="11"/>
      <c r="F194" s="11">
        <f t="shared" si="1"/>
        <v>0</v>
      </c>
      <c r="G194" s="11"/>
      <c r="H194" s="11" t="s">
        <v>837</v>
      </c>
      <c r="I194" s="11" t="e">
        <f>VLOOKUP($H194, 'ADP Data'!$B$4:$Q$300, 2, FALSE)</f>
        <v>#N/A</v>
      </c>
      <c r="J194" s="11" t="e">
        <f>VLOOKUP($H194, 'ADP Data'!$B$4:$Q$300, 3, FALSE)</f>
        <v>#N/A</v>
      </c>
      <c r="K194" s="11"/>
      <c r="L194" s="11"/>
      <c r="M194" s="11">
        <f t="shared" si="2"/>
        <v>16</v>
      </c>
      <c r="N194" s="11" t="e">
        <f>VLOOKUP($H194, 'ADP Data'!$B$4:$Q$300, 11, FALSE)</f>
        <v>#N/A</v>
      </c>
      <c r="O194" s="11" t="e">
        <f>VLOOKUP($H194, 'ADP Data'!$B$4:$Q$300, 5, FALSE)</f>
        <v>#N/A</v>
      </c>
      <c r="P194" s="11" t="e">
        <f t="shared" si="3"/>
        <v>#N/A</v>
      </c>
      <c r="Q194" s="11" t="e">
        <f>VLOOKUP($H194, 'ADP Data'!$B$4:$Q$300, 6, FALSE)</f>
        <v>#N/A</v>
      </c>
      <c r="R194" s="11" t="e">
        <f>VLOOKUP($H194, 'ADP Data'!$B$4:$Q$300, 7, FALSE)</f>
        <v>#N/A</v>
      </c>
      <c r="S194" s="11" t="e">
        <f>VLOOKUP($H194, 'ADP Data'!$B$4:$Q$300, 8, FALSE)</f>
        <v>#N/A</v>
      </c>
      <c r="T194" s="11" t="e">
        <f>VLOOKUP($H194, 'ADP Data'!$B$4:$Q$300, 9, FALSE)</f>
        <v>#N/A</v>
      </c>
      <c r="U194" s="11" t="e">
        <f>VLOOKUP($H194, 'ADP Data'!$B$4:$Q$300, 10, FALSE)</f>
        <v>#N/A</v>
      </c>
      <c r="V194" s="11" t="e">
        <f t="shared" si="4"/>
        <v>#N/A</v>
      </c>
      <c r="W194" s="11" t="e">
        <f>VLOOKUP($H194, SeanRanks!$A$2:$J$303, 7, FALSE)-V194</f>
        <v>#N/A</v>
      </c>
      <c r="X194" s="11"/>
    </row>
    <row r="195" spans="1:24" ht="14.25" customHeight="1" x14ac:dyDescent="0.25">
      <c r="A195" s="11"/>
      <c r="B195" s="11" t="e">
        <f t="shared" si="0"/>
        <v>#N/A</v>
      </c>
      <c r="C195" s="11" t="s">
        <v>148</v>
      </c>
      <c r="D195" s="11"/>
      <c r="E195" s="11"/>
      <c r="F195" s="11">
        <f t="shared" si="1"/>
        <v>0</v>
      </c>
      <c r="G195" s="11"/>
      <c r="H195" s="11" t="s">
        <v>672</v>
      </c>
      <c r="I195" s="11" t="e">
        <f>VLOOKUP($H195, 'ADP Data'!$B$4:$Q$300, 2, FALSE)</f>
        <v>#N/A</v>
      </c>
      <c r="J195" s="11" t="e">
        <f>VLOOKUP($H195, 'ADP Data'!$B$4:$Q$300, 3, FALSE)</f>
        <v>#N/A</v>
      </c>
      <c r="K195" s="11"/>
      <c r="L195" s="11"/>
      <c r="M195" s="11">
        <f t="shared" si="2"/>
        <v>16</v>
      </c>
      <c r="N195" s="11" t="e">
        <f>VLOOKUP($H195, 'ADP Data'!$B$4:$Q$300, 11, FALSE)</f>
        <v>#N/A</v>
      </c>
      <c r="O195" s="11" t="e">
        <f>VLOOKUP($H195, 'ADP Data'!$B$4:$Q$300, 5, FALSE)</f>
        <v>#N/A</v>
      </c>
      <c r="P195" s="11" t="e">
        <f t="shared" si="3"/>
        <v>#N/A</v>
      </c>
      <c r="Q195" s="11" t="e">
        <f>VLOOKUP($H195, 'ADP Data'!$B$4:$Q$300, 6, FALSE)</f>
        <v>#N/A</v>
      </c>
      <c r="R195" s="11" t="e">
        <f>VLOOKUP($H195, 'ADP Data'!$B$4:$Q$300, 7, FALSE)</f>
        <v>#N/A</v>
      </c>
      <c r="S195" s="11" t="e">
        <f>VLOOKUP($H195, 'ADP Data'!$B$4:$Q$300, 8, FALSE)</f>
        <v>#N/A</v>
      </c>
      <c r="T195" s="11" t="e">
        <f>VLOOKUP($H195, 'ADP Data'!$B$4:$Q$300, 9, FALSE)</f>
        <v>#N/A</v>
      </c>
      <c r="U195" s="11" t="e">
        <f>VLOOKUP($H195, 'ADP Data'!$B$4:$Q$300, 10, FALSE)</f>
        <v>#N/A</v>
      </c>
      <c r="V195" s="11" t="e">
        <f t="shared" si="4"/>
        <v>#N/A</v>
      </c>
      <c r="W195" s="11" t="e">
        <f>VLOOKUP($H195, SeanRanks!$A$2:$J$303, 7, FALSE)-V195</f>
        <v>#N/A</v>
      </c>
      <c r="X195" s="11"/>
    </row>
    <row r="196" spans="1:24" ht="14.25" customHeight="1" x14ac:dyDescent="0.25">
      <c r="A196" s="11"/>
      <c r="B196" s="11" t="e">
        <f t="shared" si="0"/>
        <v>#N/A</v>
      </c>
      <c r="C196" s="11" t="s">
        <v>148</v>
      </c>
      <c r="D196" s="11"/>
      <c r="E196" s="11"/>
      <c r="F196" s="11">
        <f t="shared" si="1"/>
        <v>0</v>
      </c>
      <c r="G196" s="11"/>
      <c r="H196" s="11" t="s">
        <v>1281</v>
      </c>
      <c r="I196" s="11" t="e">
        <f>VLOOKUP($H196, 'ADP Data'!$B$4:$Q$300, 2, FALSE)</f>
        <v>#N/A</v>
      </c>
      <c r="J196" s="11" t="e">
        <f>VLOOKUP($H196, 'ADP Data'!$B$4:$Q$300, 3, FALSE)</f>
        <v>#N/A</v>
      </c>
      <c r="K196" s="11"/>
      <c r="L196" s="11"/>
      <c r="M196" s="11">
        <f t="shared" si="2"/>
        <v>16</v>
      </c>
      <c r="N196" s="11" t="e">
        <f>VLOOKUP($H196, 'ADP Data'!$B$4:$Q$300, 11, FALSE)</f>
        <v>#N/A</v>
      </c>
      <c r="O196" s="11" t="e">
        <f>VLOOKUP($H196, 'ADP Data'!$B$4:$Q$300, 5, FALSE)</f>
        <v>#N/A</v>
      </c>
      <c r="P196" s="11" t="e">
        <f t="shared" si="3"/>
        <v>#N/A</v>
      </c>
      <c r="Q196" s="11" t="e">
        <f>VLOOKUP($H196, 'ADP Data'!$B$4:$Q$300, 6, FALSE)</f>
        <v>#N/A</v>
      </c>
      <c r="R196" s="11" t="e">
        <f>VLOOKUP($H196, 'ADP Data'!$B$4:$Q$300, 7, FALSE)</f>
        <v>#N/A</v>
      </c>
      <c r="S196" s="11" t="e">
        <f>VLOOKUP($H196, 'ADP Data'!$B$4:$Q$300, 8, FALSE)</f>
        <v>#N/A</v>
      </c>
      <c r="T196" s="11" t="e">
        <f>VLOOKUP($H196, 'ADP Data'!$B$4:$Q$300, 9, FALSE)</f>
        <v>#N/A</v>
      </c>
      <c r="U196" s="11" t="e">
        <f>VLOOKUP($H196, 'ADP Data'!$B$4:$Q$300, 10, FALSE)</f>
        <v>#N/A</v>
      </c>
      <c r="V196" s="11" t="e">
        <f t="shared" si="4"/>
        <v>#N/A</v>
      </c>
      <c r="W196" s="11" t="e">
        <f>VLOOKUP($H196, SeanRanks!$A$2:$J$303, 7, FALSE)-V196</f>
        <v>#N/A</v>
      </c>
      <c r="X196" s="11"/>
    </row>
    <row r="197" spans="1:24" ht="14.25" customHeight="1" x14ac:dyDescent="0.25">
      <c r="A197" s="11"/>
      <c r="B197" s="11" t="e">
        <f t="shared" si="0"/>
        <v>#N/A</v>
      </c>
      <c r="C197" s="11" t="s">
        <v>148</v>
      </c>
      <c r="D197" s="11"/>
      <c r="E197" s="11"/>
      <c r="F197" s="11">
        <f t="shared" si="1"/>
        <v>0</v>
      </c>
      <c r="G197" s="11"/>
      <c r="H197" s="11" t="s">
        <v>1282</v>
      </c>
      <c r="I197" s="11" t="e">
        <f>VLOOKUP($H197, 'ADP Data'!$B$4:$Q$300, 2, FALSE)</f>
        <v>#N/A</v>
      </c>
      <c r="J197" s="11" t="e">
        <f>VLOOKUP($H197, 'ADP Data'!$B$4:$Q$300, 3, FALSE)</f>
        <v>#N/A</v>
      </c>
      <c r="K197" s="11"/>
      <c r="L197" s="11"/>
      <c r="M197" s="11">
        <f t="shared" si="2"/>
        <v>16</v>
      </c>
      <c r="N197" s="11" t="e">
        <f>VLOOKUP($H197, 'ADP Data'!$B$4:$Q$300, 11, FALSE)</f>
        <v>#N/A</v>
      </c>
      <c r="O197" s="11" t="e">
        <f>VLOOKUP($H197, 'ADP Data'!$B$4:$Q$300, 5, FALSE)</f>
        <v>#N/A</v>
      </c>
      <c r="P197" s="11" t="e">
        <f t="shared" si="3"/>
        <v>#N/A</v>
      </c>
      <c r="Q197" s="11" t="e">
        <f>VLOOKUP($H197, 'ADP Data'!$B$4:$Q$300, 6, FALSE)</f>
        <v>#N/A</v>
      </c>
      <c r="R197" s="11" t="e">
        <f>VLOOKUP($H197, 'ADP Data'!$B$4:$Q$300, 7, FALSE)</f>
        <v>#N/A</v>
      </c>
      <c r="S197" s="11" t="e">
        <f>VLOOKUP($H197, 'ADP Data'!$B$4:$Q$300, 8, FALSE)</f>
        <v>#N/A</v>
      </c>
      <c r="T197" s="11" t="e">
        <f>VLOOKUP($H197, 'ADP Data'!$B$4:$Q$300, 9, FALSE)</f>
        <v>#N/A</v>
      </c>
      <c r="U197" s="11" t="e">
        <f>VLOOKUP($H197, 'ADP Data'!$B$4:$Q$300, 10, FALSE)</f>
        <v>#N/A</v>
      </c>
      <c r="V197" s="11" t="e">
        <f t="shared" si="4"/>
        <v>#N/A</v>
      </c>
      <c r="W197" s="11" t="e">
        <f>VLOOKUP($H197, SeanRanks!$A$2:$J$303, 7, FALSE)-V197</f>
        <v>#N/A</v>
      </c>
      <c r="X197" s="11"/>
    </row>
    <row r="198" spans="1:24" ht="14.25" customHeight="1" x14ac:dyDescent="0.25">
      <c r="A198" s="11"/>
      <c r="B198" s="11" t="e">
        <f t="shared" si="0"/>
        <v>#N/A</v>
      </c>
      <c r="C198" s="11" t="s">
        <v>148</v>
      </c>
      <c r="D198" s="11"/>
      <c r="E198" s="11"/>
      <c r="F198" s="11">
        <f t="shared" si="1"/>
        <v>0</v>
      </c>
      <c r="G198" s="11"/>
      <c r="H198" s="11" t="s">
        <v>1283</v>
      </c>
      <c r="I198" s="11" t="e">
        <f>VLOOKUP($H198, 'ADP Data'!$B$4:$Q$300, 2, FALSE)</f>
        <v>#N/A</v>
      </c>
      <c r="J198" s="11" t="e">
        <f>VLOOKUP($H198, 'ADP Data'!$B$4:$Q$300, 3, FALSE)</f>
        <v>#N/A</v>
      </c>
      <c r="K198" s="11"/>
      <c r="L198" s="11"/>
      <c r="M198" s="11">
        <f t="shared" si="2"/>
        <v>16</v>
      </c>
      <c r="N198" s="11" t="e">
        <f>VLOOKUP($H198, 'ADP Data'!$B$4:$Q$300, 11, FALSE)</f>
        <v>#N/A</v>
      </c>
      <c r="O198" s="11" t="e">
        <f>VLOOKUP($H198, 'ADP Data'!$B$4:$Q$300, 5, FALSE)</f>
        <v>#N/A</v>
      </c>
      <c r="P198" s="11" t="e">
        <f t="shared" si="3"/>
        <v>#N/A</v>
      </c>
      <c r="Q198" s="11" t="e">
        <f>VLOOKUP($H198, 'ADP Data'!$B$4:$Q$300, 6, FALSE)</f>
        <v>#N/A</v>
      </c>
      <c r="R198" s="11" t="e">
        <f>VLOOKUP($H198, 'ADP Data'!$B$4:$Q$300, 7, FALSE)</f>
        <v>#N/A</v>
      </c>
      <c r="S198" s="11" t="e">
        <f>VLOOKUP($H198, 'ADP Data'!$B$4:$Q$300, 8, FALSE)</f>
        <v>#N/A</v>
      </c>
      <c r="T198" s="11" t="e">
        <f>VLOOKUP($H198, 'ADP Data'!$B$4:$Q$300, 9, FALSE)</f>
        <v>#N/A</v>
      </c>
      <c r="U198" s="11" t="e">
        <f>VLOOKUP($H198, 'ADP Data'!$B$4:$Q$300, 10, FALSE)</f>
        <v>#N/A</v>
      </c>
      <c r="V198" s="11" t="e">
        <f t="shared" si="4"/>
        <v>#N/A</v>
      </c>
      <c r="W198" s="11" t="e">
        <f>VLOOKUP($H198, SeanRanks!$A$2:$J$303, 7, FALSE)-V198</f>
        <v>#N/A</v>
      </c>
      <c r="X198" s="11"/>
    </row>
    <row r="199" spans="1:24" ht="14.25" customHeight="1" x14ac:dyDescent="0.25">
      <c r="A199" s="11"/>
      <c r="B199" s="11" t="e">
        <f t="shared" si="0"/>
        <v>#N/A</v>
      </c>
      <c r="C199" s="11" t="s">
        <v>148</v>
      </c>
      <c r="D199" s="11"/>
      <c r="E199" s="11"/>
      <c r="F199" s="11">
        <f t="shared" si="1"/>
        <v>0</v>
      </c>
      <c r="G199" s="11"/>
      <c r="H199" s="11" t="s">
        <v>1284</v>
      </c>
      <c r="I199" s="11" t="e">
        <f>VLOOKUP($H199, 'ADP Data'!$B$4:$Q$300, 2, FALSE)</f>
        <v>#N/A</v>
      </c>
      <c r="J199" s="11" t="e">
        <f>VLOOKUP($H199, 'ADP Data'!$B$4:$Q$300, 3, FALSE)</f>
        <v>#N/A</v>
      </c>
      <c r="K199" s="11"/>
      <c r="L199" s="11"/>
      <c r="M199" s="11">
        <f t="shared" si="2"/>
        <v>16</v>
      </c>
      <c r="N199" s="11" t="e">
        <f>VLOOKUP($H199, 'ADP Data'!$B$4:$Q$300, 11, FALSE)</f>
        <v>#N/A</v>
      </c>
      <c r="O199" s="11" t="e">
        <f>VLOOKUP($H199, 'ADP Data'!$B$4:$Q$300, 5, FALSE)</f>
        <v>#N/A</v>
      </c>
      <c r="P199" s="11" t="e">
        <f t="shared" si="3"/>
        <v>#N/A</v>
      </c>
      <c r="Q199" s="11" t="e">
        <f>VLOOKUP($H199, 'ADP Data'!$B$4:$Q$300, 6, FALSE)</f>
        <v>#N/A</v>
      </c>
      <c r="R199" s="11" t="e">
        <f>VLOOKUP($H199, 'ADP Data'!$B$4:$Q$300, 7, FALSE)</f>
        <v>#N/A</v>
      </c>
      <c r="S199" s="11" t="e">
        <f>VLOOKUP($H199, 'ADP Data'!$B$4:$Q$300, 8, FALSE)</f>
        <v>#N/A</v>
      </c>
      <c r="T199" s="11" t="e">
        <f>VLOOKUP($H199, 'ADP Data'!$B$4:$Q$300, 9, FALSE)</f>
        <v>#N/A</v>
      </c>
      <c r="U199" s="11" t="e">
        <f>VLOOKUP($H199, 'ADP Data'!$B$4:$Q$300, 10, FALSE)</f>
        <v>#N/A</v>
      </c>
      <c r="V199" s="11" t="e">
        <f t="shared" si="4"/>
        <v>#N/A</v>
      </c>
      <c r="W199" s="11" t="e">
        <f>VLOOKUP($H199, SeanRanks!$A$2:$J$303, 7, FALSE)-V199</f>
        <v>#N/A</v>
      </c>
      <c r="X199" s="11"/>
    </row>
    <row r="200" spans="1:24" ht="14.25" customHeight="1" x14ac:dyDescent="0.25">
      <c r="A200" s="11"/>
      <c r="B200" s="11" t="e">
        <f t="shared" si="0"/>
        <v>#N/A</v>
      </c>
      <c r="C200" s="11" t="s">
        <v>148</v>
      </c>
      <c r="D200" s="11"/>
      <c r="E200" s="11"/>
      <c r="F200" s="11">
        <f t="shared" si="1"/>
        <v>0</v>
      </c>
      <c r="G200" s="11"/>
      <c r="H200" s="11" t="s">
        <v>1285</v>
      </c>
      <c r="I200" s="11" t="e">
        <f>VLOOKUP($H200, 'ADP Data'!$B$4:$Q$300, 2, FALSE)</f>
        <v>#N/A</v>
      </c>
      <c r="J200" s="11" t="e">
        <f>VLOOKUP($H200, 'ADP Data'!$B$4:$Q$300, 3, FALSE)</f>
        <v>#N/A</v>
      </c>
      <c r="K200" s="11"/>
      <c r="L200" s="11"/>
      <c r="M200" s="11">
        <f t="shared" si="2"/>
        <v>16</v>
      </c>
      <c r="N200" s="11" t="e">
        <f>VLOOKUP($H200, 'ADP Data'!$B$4:$Q$300, 11, FALSE)</f>
        <v>#N/A</v>
      </c>
      <c r="O200" s="11" t="e">
        <f>VLOOKUP($H200, 'ADP Data'!$B$4:$Q$300, 5, FALSE)</f>
        <v>#N/A</v>
      </c>
      <c r="P200" s="11" t="e">
        <f t="shared" si="3"/>
        <v>#N/A</v>
      </c>
      <c r="Q200" s="11" t="e">
        <f>VLOOKUP($H200, 'ADP Data'!$B$4:$Q$300, 6, FALSE)</f>
        <v>#N/A</v>
      </c>
      <c r="R200" s="11" t="e">
        <f>VLOOKUP($H200, 'ADP Data'!$B$4:$Q$300, 7, FALSE)</f>
        <v>#N/A</v>
      </c>
      <c r="S200" s="11" t="e">
        <f>VLOOKUP($H200, 'ADP Data'!$B$4:$Q$300, 8, FALSE)</f>
        <v>#N/A</v>
      </c>
      <c r="T200" s="11" t="e">
        <f>VLOOKUP($H200, 'ADP Data'!$B$4:$Q$300, 9, FALSE)</f>
        <v>#N/A</v>
      </c>
      <c r="U200" s="11" t="e">
        <f>VLOOKUP($H200, 'ADP Data'!$B$4:$Q$300, 10, FALSE)</f>
        <v>#N/A</v>
      </c>
      <c r="V200" s="11" t="e">
        <f t="shared" si="4"/>
        <v>#N/A</v>
      </c>
      <c r="W200" s="11" t="e">
        <f>VLOOKUP($H200, SeanRanks!$A$2:$J$303, 7, FALSE)-V200</f>
        <v>#N/A</v>
      </c>
      <c r="X200" s="11"/>
    </row>
    <row r="201" spans="1:24" ht="14.25" customHeight="1" x14ac:dyDescent="0.25">
      <c r="A201" s="11"/>
      <c r="B201" s="11" t="e">
        <f t="shared" si="0"/>
        <v>#N/A</v>
      </c>
      <c r="C201" s="11" t="s">
        <v>148</v>
      </c>
      <c r="D201" s="11"/>
      <c r="E201" s="11"/>
      <c r="F201" s="11">
        <f t="shared" si="1"/>
        <v>0</v>
      </c>
      <c r="G201" s="11"/>
      <c r="H201" s="11" t="s">
        <v>476</v>
      </c>
      <c r="I201" s="11" t="e">
        <f>VLOOKUP($H201, 'ADP Data'!$B$4:$Q$300, 2, FALSE)</f>
        <v>#N/A</v>
      </c>
      <c r="J201" s="11" t="e">
        <f>VLOOKUP($H201, 'ADP Data'!$B$4:$Q$300, 3, FALSE)</f>
        <v>#N/A</v>
      </c>
      <c r="K201" s="11"/>
      <c r="L201" s="11"/>
      <c r="M201" s="11">
        <f t="shared" si="2"/>
        <v>16</v>
      </c>
      <c r="N201" s="11" t="e">
        <f>VLOOKUP($H201, 'ADP Data'!$B$4:$Q$300, 11, FALSE)</f>
        <v>#N/A</v>
      </c>
      <c r="O201" s="11" t="e">
        <f>VLOOKUP($H201, 'ADP Data'!$B$4:$Q$300, 5, FALSE)</f>
        <v>#N/A</v>
      </c>
      <c r="P201" s="11" t="e">
        <f t="shared" si="3"/>
        <v>#N/A</v>
      </c>
      <c r="Q201" s="11" t="e">
        <f>VLOOKUP($H201, 'ADP Data'!$B$4:$Q$300, 6, FALSE)</f>
        <v>#N/A</v>
      </c>
      <c r="R201" s="11" t="e">
        <f>VLOOKUP($H201, 'ADP Data'!$B$4:$Q$300, 7, FALSE)</f>
        <v>#N/A</v>
      </c>
      <c r="S201" s="11" t="e">
        <f>VLOOKUP($H201, 'ADP Data'!$B$4:$Q$300, 8, FALSE)</f>
        <v>#N/A</v>
      </c>
      <c r="T201" s="11" t="e">
        <f>VLOOKUP($H201, 'ADP Data'!$B$4:$Q$300, 9, FALSE)</f>
        <v>#N/A</v>
      </c>
      <c r="U201" s="11" t="e">
        <f>VLOOKUP($H201, 'ADP Data'!$B$4:$Q$300, 10, FALSE)</f>
        <v>#N/A</v>
      </c>
      <c r="V201" s="11" t="e">
        <f t="shared" si="4"/>
        <v>#N/A</v>
      </c>
      <c r="W201" s="11" t="e">
        <f>VLOOKUP($H201, SeanRanks!$A$2:$J$303, 7, FALSE)-V201</f>
        <v>#N/A</v>
      </c>
      <c r="X201" s="11"/>
    </row>
    <row r="202" spans="1:24" ht="14.25" customHeight="1" x14ac:dyDescent="0.25">
      <c r="A202" s="11"/>
      <c r="B202" s="11" t="e">
        <f t="shared" si="0"/>
        <v>#N/A</v>
      </c>
      <c r="C202" s="11" t="s">
        <v>148</v>
      </c>
      <c r="D202" s="11"/>
      <c r="E202" s="11"/>
      <c r="F202" s="11">
        <f t="shared" si="1"/>
        <v>0</v>
      </c>
      <c r="G202" s="11"/>
      <c r="H202" s="11" t="s">
        <v>1287</v>
      </c>
      <c r="I202" s="11" t="e">
        <f>VLOOKUP($H202, 'ADP Data'!$B$4:$Q$300, 2, FALSE)</f>
        <v>#N/A</v>
      </c>
      <c r="J202" s="11" t="e">
        <f>VLOOKUP($H202, 'ADP Data'!$B$4:$Q$300, 3, FALSE)</f>
        <v>#N/A</v>
      </c>
      <c r="K202" s="11"/>
      <c r="L202" s="11"/>
      <c r="M202" s="11">
        <f t="shared" si="2"/>
        <v>16</v>
      </c>
      <c r="N202" s="11" t="e">
        <f>VLOOKUP($H202, 'ADP Data'!$B$4:$Q$300, 11, FALSE)</f>
        <v>#N/A</v>
      </c>
      <c r="O202" s="11" t="e">
        <f>VLOOKUP($H202, 'ADP Data'!$B$4:$Q$300, 5, FALSE)</f>
        <v>#N/A</v>
      </c>
      <c r="P202" s="11" t="e">
        <f t="shared" si="3"/>
        <v>#N/A</v>
      </c>
      <c r="Q202" s="11" t="e">
        <f>VLOOKUP($H202, 'ADP Data'!$B$4:$Q$300, 6, FALSE)</f>
        <v>#N/A</v>
      </c>
      <c r="R202" s="11" t="e">
        <f>VLOOKUP($H202, 'ADP Data'!$B$4:$Q$300, 7, FALSE)</f>
        <v>#N/A</v>
      </c>
      <c r="S202" s="11" t="e">
        <f>VLOOKUP($H202, 'ADP Data'!$B$4:$Q$300, 8, FALSE)</f>
        <v>#N/A</v>
      </c>
      <c r="T202" s="11" t="e">
        <f>VLOOKUP($H202, 'ADP Data'!$B$4:$Q$300, 9, FALSE)</f>
        <v>#N/A</v>
      </c>
      <c r="U202" s="11" t="e">
        <f>VLOOKUP($H202, 'ADP Data'!$B$4:$Q$300, 10, FALSE)</f>
        <v>#N/A</v>
      </c>
      <c r="V202" s="11" t="e">
        <f t="shared" si="4"/>
        <v>#N/A</v>
      </c>
      <c r="W202" s="11" t="e">
        <f>VLOOKUP($H202, SeanRanks!$A$2:$J$303, 7, FALSE)-V202</f>
        <v>#N/A</v>
      </c>
      <c r="X202" s="11"/>
    </row>
    <row r="203" spans="1:24" ht="14.25" customHeight="1" x14ac:dyDescent="0.25">
      <c r="A203" s="11"/>
      <c r="B203" s="11" t="e">
        <f t="shared" si="0"/>
        <v>#N/A</v>
      </c>
      <c r="C203" s="11" t="s">
        <v>148</v>
      </c>
      <c r="D203" s="11"/>
      <c r="E203" s="11"/>
      <c r="F203" s="11">
        <f t="shared" si="1"/>
        <v>0</v>
      </c>
      <c r="G203" s="11"/>
      <c r="H203" s="11" t="s">
        <v>1288</v>
      </c>
      <c r="I203" s="11" t="e">
        <f>VLOOKUP($H203, 'ADP Data'!$B$4:$Q$300, 2, FALSE)</f>
        <v>#N/A</v>
      </c>
      <c r="J203" s="11" t="e">
        <f>VLOOKUP($H203, 'ADP Data'!$B$4:$Q$300, 3, FALSE)</f>
        <v>#N/A</v>
      </c>
      <c r="K203" s="11"/>
      <c r="L203" s="11"/>
      <c r="M203" s="11">
        <f t="shared" si="2"/>
        <v>16</v>
      </c>
      <c r="N203" s="11" t="e">
        <f>VLOOKUP($H203, 'ADP Data'!$B$4:$Q$300, 11, FALSE)</f>
        <v>#N/A</v>
      </c>
      <c r="O203" s="11" t="e">
        <f>VLOOKUP($H203, 'ADP Data'!$B$4:$Q$300, 5, FALSE)</f>
        <v>#N/A</v>
      </c>
      <c r="P203" s="11" t="e">
        <f t="shared" si="3"/>
        <v>#N/A</v>
      </c>
      <c r="Q203" s="11" t="e">
        <f>VLOOKUP($H203, 'ADP Data'!$B$4:$Q$300, 6, FALSE)</f>
        <v>#N/A</v>
      </c>
      <c r="R203" s="11" t="e">
        <f>VLOOKUP($H203, 'ADP Data'!$B$4:$Q$300, 7, FALSE)</f>
        <v>#N/A</v>
      </c>
      <c r="S203" s="11" t="e">
        <f>VLOOKUP($H203, 'ADP Data'!$B$4:$Q$300, 8, FALSE)</f>
        <v>#N/A</v>
      </c>
      <c r="T203" s="11" t="e">
        <f>VLOOKUP($H203, 'ADP Data'!$B$4:$Q$300, 9, FALSE)</f>
        <v>#N/A</v>
      </c>
      <c r="U203" s="11" t="e">
        <f>VLOOKUP($H203, 'ADP Data'!$B$4:$Q$300, 10, FALSE)</f>
        <v>#N/A</v>
      </c>
      <c r="V203" s="11" t="e">
        <f t="shared" si="4"/>
        <v>#N/A</v>
      </c>
      <c r="W203" s="11" t="e">
        <f>VLOOKUP($H203, SeanRanks!$A$2:$J$303, 7, FALSE)-V203</f>
        <v>#N/A</v>
      </c>
      <c r="X203" s="11"/>
    </row>
    <row r="204" spans="1:24" ht="14.25" customHeight="1" x14ac:dyDescent="0.25">
      <c r="A204" s="11"/>
      <c r="B204" s="11" t="e">
        <f t="shared" si="0"/>
        <v>#N/A</v>
      </c>
      <c r="C204" s="11" t="s">
        <v>148</v>
      </c>
      <c r="D204" s="11"/>
      <c r="E204" s="11"/>
      <c r="F204" s="11">
        <f t="shared" si="1"/>
        <v>0</v>
      </c>
      <c r="G204" s="11"/>
      <c r="H204" s="11" t="s">
        <v>1290</v>
      </c>
      <c r="I204" s="11" t="e">
        <f>VLOOKUP($H204, 'ADP Data'!$B$4:$Q$300, 2, FALSE)</f>
        <v>#N/A</v>
      </c>
      <c r="J204" s="11" t="e">
        <f>VLOOKUP($H204, 'ADP Data'!$B$4:$Q$300, 3, FALSE)</f>
        <v>#N/A</v>
      </c>
      <c r="K204" s="11"/>
      <c r="L204" s="11"/>
      <c r="M204" s="11">
        <f t="shared" si="2"/>
        <v>16</v>
      </c>
      <c r="N204" s="11" t="e">
        <f>VLOOKUP($H204, 'ADP Data'!$B$4:$Q$300, 11, FALSE)</f>
        <v>#N/A</v>
      </c>
      <c r="O204" s="11" t="e">
        <f>VLOOKUP($H204, 'ADP Data'!$B$4:$Q$300, 5, FALSE)</f>
        <v>#N/A</v>
      </c>
      <c r="P204" s="11" t="e">
        <f t="shared" si="3"/>
        <v>#N/A</v>
      </c>
      <c r="Q204" s="11" t="e">
        <f>VLOOKUP($H204, 'ADP Data'!$B$4:$Q$300, 6, FALSE)</f>
        <v>#N/A</v>
      </c>
      <c r="R204" s="11" t="e">
        <f>VLOOKUP($H204, 'ADP Data'!$B$4:$Q$300, 7, FALSE)</f>
        <v>#N/A</v>
      </c>
      <c r="S204" s="11" t="e">
        <f>VLOOKUP($H204, 'ADP Data'!$B$4:$Q$300, 8, FALSE)</f>
        <v>#N/A</v>
      </c>
      <c r="T204" s="11" t="e">
        <f>VLOOKUP($H204, 'ADP Data'!$B$4:$Q$300, 9, FALSE)</f>
        <v>#N/A</v>
      </c>
      <c r="U204" s="11" t="e">
        <f>VLOOKUP($H204, 'ADP Data'!$B$4:$Q$300, 10, FALSE)</f>
        <v>#N/A</v>
      </c>
      <c r="V204" s="11" t="e">
        <f t="shared" si="4"/>
        <v>#N/A</v>
      </c>
      <c r="W204" s="11" t="e">
        <f>VLOOKUP($H204, SeanRanks!$A$2:$J$303, 7, FALSE)-V204</f>
        <v>#N/A</v>
      </c>
      <c r="X204" s="11"/>
    </row>
    <row r="205" spans="1:24" ht="14.25" customHeight="1" x14ac:dyDescent="0.25">
      <c r="A205" s="11"/>
      <c r="B205" s="11" t="e">
        <f t="shared" si="0"/>
        <v>#N/A</v>
      </c>
      <c r="C205" s="11" t="s">
        <v>148</v>
      </c>
      <c r="D205" s="11"/>
      <c r="E205" s="11"/>
      <c r="F205" s="11">
        <f t="shared" si="1"/>
        <v>0</v>
      </c>
      <c r="G205" s="11"/>
      <c r="H205" s="11" t="s">
        <v>1286</v>
      </c>
      <c r="I205" s="11" t="e">
        <f>VLOOKUP($H205, 'ADP Data'!$B$4:$Q$300, 2, FALSE)</f>
        <v>#N/A</v>
      </c>
      <c r="J205" s="11" t="e">
        <f>VLOOKUP($H205, 'ADP Data'!$B$4:$Q$300, 3, FALSE)</f>
        <v>#N/A</v>
      </c>
      <c r="K205" s="11"/>
      <c r="L205" s="11"/>
      <c r="M205" s="11">
        <f t="shared" si="2"/>
        <v>16</v>
      </c>
      <c r="N205" s="11" t="e">
        <f>VLOOKUP($H205, 'ADP Data'!$B$4:$Q$300, 11, FALSE)</f>
        <v>#N/A</v>
      </c>
      <c r="O205" s="11" t="e">
        <f>VLOOKUP($H205, 'ADP Data'!$B$4:$Q$300, 5, FALSE)</f>
        <v>#N/A</v>
      </c>
      <c r="P205" s="11" t="e">
        <f t="shared" si="3"/>
        <v>#N/A</v>
      </c>
      <c r="Q205" s="11" t="e">
        <f>VLOOKUP($H205, 'ADP Data'!$B$4:$Q$300, 6, FALSE)</f>
        <v>#N/A</v>
      </c>
      <c r="R205" s="11" t="e">
        <f>VLOOKUP($H205, 'ADP Data'!$B$4:$Q$300, 7, FALSE)</f>
        <v>#N/A</v>
      </c>
      <c r="S205" s="11" t="e">
        <f>VLOOKUP($H205, 'ADP Data'!$B$4:$Q$300, 8, FALSE)</f>
        <v>#N/A</v>
      </c>
      <c r="T205" s="11" t="e">
        <f>VLOOKUP($H205, 'ADP Data'!$B$4:$Q$300, 9, FALSE)</f>
        <v>#N/A</v>
      </c>
      <c r="U205" s="11" t="e">
        <f>VLOOKUP($H205, 'ADP Data'!$B$4:$Q$300, 10, FALSE)</f>
        <v>#N/A</v>
      </c>
      <c r="V205" s="11" t="e">
        <f t="shared" si="4"/>
        <v>#N/A</v>
      </c>
      <c r="W205" s="11" t="e">
        <f>VLOOKUP($H205, SeanRanks!$A$2:$J$303, 7, FALSE)-V205</f>
        <v>#N/A</v>
      </c>
      <c r="X205" s="11"/>
    </row>
    <row r="206" spans="1:24" ht="14.25" customHeight="1" x14ac:dyDescent="0.25">
      <c r="A206" s="11"/>
      <c r="B206" s="11" t="e">
        <f t="shared" si="0"/>
        <v>#N/A</v>
      </c>
      <c r="C206" s="11" t="s">
        <v>148</v>
      </c>
      <c r="D206" s="11"/>
      <c r="E206" s="11"/>
      <c r="F206" s="11">
        <f t="shared" si="1"/>
        <v>0</v>
      </c>
      <c r="G206" s="11"/>
      <c r="H206" s="11" t="s">
        <v>1291</v>
      </c>
      <c r="I206" s="11" t="e">
        <f>VLOOKUP($H206, 'ADP Data'!$B$4:$Q$300, 2, FALSE)</f>
        <v>#N/A</v>
      </c>
      <c r="J206" s="11" t="e">
        <f>VLOOKUP($H206, 'ADP Data'!$B$4:$Q$300, 3, FALSE)</f>
        <v>#N/A</v>
      </c>
      <c r="K206" s="11"/>
      <c r="L206" s="11"/>
      <c r="M206" s="11">
        <f t="shared" si="2"/>
        <v>16</v>
      </c>
      <c r="N206" s="11" t="e">
        <f>VLOOKUP($H206, 'ADP Data'!$B$4:$Q$300, 11, FALSE)</f>
        <v>#N/A</v>
      </c>
      <c r="O206" s="11" t="e">
        <f>VLOOKUP($H206, 'ADP Data'!$B$4:$Q$300, 5, FALSE)</f>
        <v>#N/A</v>
      </c>
      <c r="P206" s="11" t="e">
        <f t="shared" si="3"/>
        <v>#N/A</v>
      </c>
      <c r="Q206" s="11" t="e">
        <f>VLOOKUP($H206, 'ADP Data'!$B$4:$Q$300, 6, FALSE)</f>
        <v>#N/A</v>
      </c>
      <c r="R206" s="11" t="e">
        <f>VLOOKUP($H206, 'ADP Data'!$B$4:$Q$300, 7, FALSE)</f>
        <v>#N/A</v>
      </c>
      <c r="S206" s="11" t="e">
        <f>VLOOKUP($H206, 'ADP Data'!$B$4:$Q$300, 8, FALSE)</f>
        <v>#N/A</v>
      </c>
      <c r="T206" s="11" t="e">
        <f>VLOOKUP($H206, 'ADP Data'!$B$4:$Q$300, 9, FALSE)</f>
        <v>#N/A</v>
      </c>
      <c r="U206" s="11" t="e">
        <f>VLOOKUP($H206, 'ADP Data'!$B$4:$Q$300, 10, FALSE)</f>
        <v>#N/A</v>
      </c>
      <c r="V206" s="11" t="e">
        <f t="shared" si="4"/>
        <v>#N/A</v>
      </c>
      <c r="W206" s="11" t="e">
        <f>VLOOKUP($H206, SeanRanks!$A$2:$J$303, 7, FALSE)-V206</f>
        <v>#N/A</v>
      </c>
      <c r="X206" s="11"/>
    </row>
    <row r="207" spans="1:24" ht="14.25" customHeight="1" x14ac:dyDescent="0.25">
      <c r="A207" s="11"/>
      <c r="B207" s="11" t="e">
        <f t="shared" si="0"/>
        <v>#N/A</v>
      </c>
      <c r="C207" s="11" t="s">
        <v>148</v>
      </c>
      <c r="D207" s="11"/>
      <c r="E207" s="11"/>
      <c r="F207" s="11">
        <f t="shared" si="1"/>
        <v>0</v>
      </c>
      <c r="G207" s="11"/>
      <c r="H207" s="11" t="s">
        <v>909</v>
      </c>
      <c r="I207" s="11" t="e">
        <f>VLOOKUP($H207, 'ADP Data'!$B$4:$Q$300, 2, FALSE)</f>
        <v>#N/A</v>
      </c>
      <c r="J207" s="11" t="e">
        <f>VLOOKUP($H207, 'ADP Data'!$B$4:$Q$300, 3, FALSE)</f>
        <v>#N/A</v>
      </c>
      <c r="K207" s="11"/>
      <c r="L207" s="11"/>
      <c r="M207" s="11">
        <f t="shared" si="2"/>
        <v>16</v>
      </c>
      <c r="N207" s="11" t="e">
        <f>VLOOKUP($H207, 'ADP Data'!$B$4:$Q$300, 11, FALSE)</f>
        <v>#N/A</v>
      </c>
      <c r="O207" s="11" t="e">
        <f>VLOOKUP($H207, 'ADP Data'!$B$4:$Q$300, 5, FALSE)</f>
        <v>#N/A</v>
      </c>
      <c r="P207" s="11" t="e">
        <f t="shared" si="3"/>
        <v>#N/A</v>
      </c>
      <c r="Q207" s="11" t="e">
        <f>VLOOKUP($H207, 'ADP Data'!$B$4:$Q$300, 6, FALSE)</f>
        <v>#N/A</v>
      </c>
      <c r="R207" s="11" t="e">
        <f>VLOOKUP($H207, 'ADP Data'!$B$4:$Q$300, 7, FALSE)</f>
        <v>#N/A</v>
      </c>
      <c r="S207" s="11" t="e">
        <f>VLOOKUP($H207, 'ADP Data'!$B$4:$Q$300, 8, FALSE)</f>
        <v>#N/A</v>
      </c>
      <c r="T207" s="11" t="e">
        <f>VLOOKUP($H207, 'ADP Data'!$B$4:$Q$300, 9, FALSE)</f>
        <v>#N/A</v>
      </c>
      <c r="U207" s="11" t="e">
        <f>VLOOKUP($H207, 'ADP Data'!$B$4:$Q$300, 10, FALSE)</f>
        <v>#N/A</v>
      </c>
      <c r="V207" s="11" t="e">
        <f t="shared" si="4"/>
        <v>#N/A</v>
      </c>
      <c r="W207" s="11" t="e">
        <f>VLOOKUP($H207, SeanRanks!$A$2:$J$303, 7, FALSE)-V207</f>
        <v>#N/A</v>
      </c>
      <c r="X207" s="11"/>
    </row>
    <row r="208" spans="1:24" ht="14.25" customHeight="1" x14ac:dyDescent="0.25">
      <c r="A208" s="11"/>
      <c r="B208" s="11" t="e">
        <f t="shared" si="0"/>
        <v>#N/A</v>
      </c>
      <c r="C208" s="11" t="s">
        <v>148</v>
      </c>
      <c r="D208" s="11"/>
      <c r="E208" s="11"/>
      <c r="F208" s="11">
        <f t="shared" si="1"/>
        <v>0</v>
      </c>
      <c r="G208" s="11"/>
      <c r="H208" s="11" t="s">
        <v>983</v>
      </c>
      <c r="I208" s="11" t="e">
        <f>VLOOKUP($H208, 'ADP Data'!$B$4:$Q$300, 2, FALSE)</f>
        <v>#N/A</v>
      </c>
      <c r="J208" s="11" t="e">
        <f>VLOOKUP($H208, 'ADP Data'!$B$4:$Q$300, 3, FALSE)</f>
        <v>#N/A</v>
      </c>
      <c r="K208" s="11"/>
      <c r="L208" s="11"/>
      <c r="M208" s="11">
        <f t="shared" si="2"/>
        <v>16</v>
      </c>
      <c r="N208" s="11" t="e">
        <f>VLOOKUP($H208, 'ADP Data'!$B$4:$Q$300, 11, FALSE)</f>
        <v>#N/A</v>
      </c>
      <c r="O208" s="11" t="e">
        <f>VLOOKUP($H208, 'ADP Data'!$B$4:$Q$300, 5, FALSE)</f>
        <v>#N/A</v>
      </c>
      <c r="P208" s="11" t="e">
        <f t="shared" si="3"/>
        <v>#N/A</v>
      </c>
      <c r="Q208" s="11" t="e">
        <f>VLOOKUP($H208, 'ADP Data'!$B$4:$Q$300, 6, FALSE)</f>
        <v>#N/A</v>
      </c>
      <c r="R208" s="11" t="e">
        <f>VLOOKUP($H208, 'ADP Data'!$B$4:$Q$300, 7, FALSE)</f>
        <v>#N/A</v>
      </c>
      <c r="S208" s="11" t="e">
        <f>VLOOKUP($H208, 'ADP Data'!$B$4:$Q$300, 8, FALSE)</f>
        <v>#N/A</v>
      </c>
      <c r="T208" s="11" t="e">
        <f>VLOOKUP($H208, 'ADP Data'!$B$4:$Q$300, 9, FALSE)</f>
        <v>#N/A</v>
      </c>
      <c r="U208" s="11" t="e">
        <f>VLOOKUP($H208, 'ADP Data'!$B$4:$Q$300, 10, FALSE)</f>
        <v>#N/A</v>
      </c>
      <c r="V208" s="11" t="e">
        <f t="shared" si="4"/>
        <v>#N/A</v>
      </c>
      <c r="W208" s="11" t="e">
        <f>VLOOKUP($H208, SeanRanks!$A$2:$J$303, 7, FALSE)-V208</f>
        <v>#N/A</v>
      </c>
      <c r="X208" s="11"/>
    </row>
    <row r="209" spans="1:24" ht="14.25" customHeight="1" x14ac:dyDescent="0.25">
      <c r="A209" s="11"/>
      <c r="B209" s="11" t="e">
        <f t="shared" si="0"/>
        <v>#N/A</v>
      </c>
      <c r="C209" s="11" t="s">
        <v>148</v>
      </c>
      <c r="D209" s="11"/>
      <c r="E209" s="11"/>
      <c r="F209" s="11">
        <f t="shared" si="1"/>
        <v>0</v>
      </c>
      <c r="G209" s="11"/>
      <c r="H209" s="11" t="s">
        <v>1292</v>
      </c>
      <c r="I209" s="11" t="e">
        <f>VLOOKUP($H209, 'ADP Data'!$B$4:$Q$300, 2, FALSE)</f>
        <v>#N/A</v>
      </c>
      <c r="J209" s="11" t="e">
        <f>VLOOKUP($H209, 'ADP Data'!$B$4:$Q$300, 3, FALSE)</f>
        <v>#N/A</v>
      </c>
      <c r="K209" s="11"/>
      <c r="L209" s="11"/>
      <c r="M209" s="11">
        <f t="shared" si="2"/>
        <v>16</v>
      </c>
      <c r="N209" s="11" t="e">
        <f>VLOOKUP($H209, 'ADP Data'!$B$4:$Q$300, 11, FALSE)</f>
        <v>#N/A</v>
      </c>
      <c r="O209" s="11" t="e">
        <f>VLOOKUP($H209, 'ADP Data'!$B$4:$Q$300, 5, FALSE)</f>
        <v>#N/A</v>
      </c>
      <c r="P209" s="11" t="e">
        <f t="shared" si="3"/>
        <v>#N/A</v>
      </c>
      <c r="Q209" s="11" t="e">
        <f>VLOOKUP($H209, 'ADP Data'!$B$4:$Q$300, 6, FALSE)</f>
        <v>#N/A</v>
      </c>
      <c r="R209" s="11" t="e">
        <f>VLOOKUP($H209, 'ADP Data'!$B$4:$Q$300, 7, FALSE)</f>
        <v>#N/A</v>
      </c>
      <c r="S209" s="11" t="e">
        <f>VLOOKUP($H209, 'ADP Data'!$B$4:$Q$300, 8, FALSE)</f>
        <v>#N/A</v>
      </c>
      <c r="T209" s="11" t="e">
        <f>VLOOKUP($H209, 'ADP Data'!$B$4:$Q$300, 9, FALSE)</f>
        <v>#N/A</v>
      </c>
      <c r="U209" s="11" t="e">
        <f>VLOOKUP($H209, 'ADP Data'!$B$4:$Q$300, 10, FALSE)</f>
        <v>#N/A</v>
      </c>
      <c r="V209" s="11" t="e">
        <f t="shared" si="4"/>
        <v>#N/A</v>
      </c>
      <c r="W209" s="11" t="e">
        <f>VLOOKUP($H209, SeanRanks!$A$2:$J$303, 7, FALSE)-V209</f>
        <v>#N/A</v>
      </c>
      <c r="X209" s="11"/>
    </row>
    <row r="210" spans="1:24" ht="14.25" customHeight="1" x14ac:dyDescent="0.25">
      <c r="A210" s="11"/>
      <c r="B210" s="11" t="e">
        <f t="shared" si="0"/>
        <v>#N/A</v>
      </c>
      <c r="C210" s="11" t="s">
        <v>148</v>
      </c>
      <c r="D210" s="11"/>
      <c r="E210" s="11"/>
      <c r="F210" s="11">
        <f t="shared" si="1"/>
        <v>0</v>
      </c>
      <c r="G210" s="11"/>
      <c r="H210" s="11" t="s">
        <v>1294</v>
      </c>
      <c r="I210" s="11" t="e">
        <f>VLOOKUP($H210, 'ADP Data'!$B$4:$Q$300, 2, FALSE)</f>
        <v>#N/A</v>
      </c>
      <c r="J210" s="11" t="e">
        <f>VLOOKUP($H210, 'ADP Data'!$B$4:$Q$300, 3, FALSE)</f>
        <v>#N/A</v>
      </c>
      <c r="K210" s="11"/>
      <c r="L210" s="11"/>
      <c r="M210" s="11">
        <f t="shared" si="2"/>
        <v>16</v>
      </c>
      <c r="N210" s="11" t="e">
        <f>VLOOKUP($H210, 'ADP Data'!$B$4:$Q$300, 11, FALSE)</f>
        <v>#N/A</v>
      </c>
      <c r="O210" s="11" t="e">
        <f>VLOOKUP($H210, 'ADP Data'!$B$4:$Q$300, 5, FALSE)</f>
        <v>#N/A</v>
      </c>
      <c r="P210" s="11" t="e">
        <f t="shared" si="3"/>
        <v>#N/A</v>
      </c>
      <c r="Q210" s="11" t="e">
        <f>VLOOKUP($H210, 'ADP Data'!$B$4:$Q$300, 6, FALSE)</f>
        <v>#N/A</v>
      </c>
      <c r="R210" s="11" t="e">
        <f>VLOOKUP($H210, 'ADP Data'!$B$4:$Q$300, 7, FALSE)</f>
        <v>#N/A</v>
      </c>
      <c r="S210" s="11" t="e">
        <f>VLOOKUP($H210, 'ADP Data'!$B$4:$Q$300, 8, FALSE)</f>
        <v>#N/A</v>
      </c>
      <c r="T210" s="11" t="e">
        <f>VLOOKUP($H210, 'ADP Data'!$B$4:$Q$300, 9, FALSE)</f>
        <v>#N/A</v>
      </c>
      <c r="U210" s="11" t="e">
        <f>VLOOKUP($H210, 'ADP Data'!$B$4:$Q$300, 10, FALSE)</f>
        <v>#N/A</v>
      </c>
      <c r="V210" s="11" t="e">
        <f t="shared" si="4"/>
        <v>#N/A</v>
      </c>
      <c r="W210" s="11" t="e">
        <f>VLOOKUP($H210, SeanRanks!$A$2:$J$303, 7, FALSE)-V210</f>
        <v>#N/A</v>
      </c>
      <c r="X210" s="11"/>
    </row>
    <row r="211" spans="1:24" ht="14.25" customHeight="1" x14ac:dyDescent="0.25">
      <c r="A211" s="11"/>
      <c r="B211" s="11" t="e">
        <f t="shared" si="0"/>
        <v>#N/A</v>
      </c>
      <c r="C211" s="11" t="s">
        <v>148</v>
      </c>
      <c r="D211" s="11"/>
      <c r="E211" s="11"/>
      <c r="F211" s="11">
        <f t="shared" si="1"/>
        <v>0</v>
      </c>
      <c r="G211" s="11"/>
      <c r="H211" s="11" t="s">
        <v>1295</v>
      </c>
      <c r="I211" s="11" t="e">
        <f>VLOOKUP($H211, 'ADP Data'!$B$4:$Q$300, 2, FALSE)</f>
        <v>#N/A</v>
      </c>
      <c r="J211" s="11" t="e">
        <f>VLOOKUP($H211, 'ADP Data'!$B$4:$Q$300, 3, FALSE)</f>
        <v>#N/A</v>
      </c>
      <c r="K211" s="11"/>
      <c r="L211" s="11"/>
      <c r="M211" s="11">
        <f t="shared" si="2"/>
        <v>16</v>
      </c>
      <c r="N211" s="11" t="e">
        <f>VLOOKUP($H211, 'ADP Data'!$B$4:$Q$300, 11, FALSE)</f>
        <v>#N/A</v>
      </c>
      <c r="O211" s="11" t="e">
        <f>VLOOKUP($H211, 'ADP Data'!$B$4:$Q$300, 5, FALSE)</f>
        <v>#N/A</v>
      </c>
      <c r="P211" s="11" t="e">
        <f t="shared" si="3"/>
        <v>#N/A</v>
      </c>
      <c r="Q211" s="11" t="e">
        <f>VLOOKUP($H211, 'ADP Data'!$B$4:$Q$300, 6, FALSE)</f>
        <v>#N/A</v>
      </c>
      <c r="R211" s="11" t="e">
        <f>VLOOKUP($H211, 'ADP Data'!$B$4:$Q$300, 7, FALSE)</f>
        <v>#N/A</v>
      </c>
      <c r="S211" s="11" t="e">
        <f>VLOOKUP($H211, 'ADP Data'!$B$4:$Q$300, 8, FALSE)</f>
        <v>#N/A</v>
      </c>
      <c r="T211" s="11" t="e">
        <f>VLOOKUP($H211, 'ADP Data'!$B$4:$Q$300, 9, FALSE)</f>
        <v>#N/A</v>
      </c>
      <c r="U211" s="11" t="e">
        <f>VLOOKUP($H211, 'ADP Data'!$B$4:$Q$300, 10, FALSE)</f>
        <v>#N/A</v>
      </c>
      <c r="V211" s="11" t="e">
        <f t="shared" si="4"/>
        <v>#N/A</v>
      </c>
      <c r="W211" s="11" t="e">
        <f>VLOOKUP($H211, SeanRanks!$A$2:$J$303, 7, FALSE)-V211</f>
        <v>#N/A</v>
      </c>
      <c r="X211" s="11"/>
    </row>
    <row r="212" spans="1:24" ht="14.25" customHeight="1" x14ac:dyDescent="0.25">
      <c r="A212" s="11"/>
      <c r="B212" s="11" t="e">
        <f t="shared" si="0"/>
        <v>#N/A</v>
      </c>
      <c r="C212" s="11" t="s">
        <v>148</v>
      </c>
      <c r="D212" s="11"/>
      <c r="E212" s="11"/>
      <c r="F212" s="11">
        <f t="shared" si="1"/>
        <v>0</v>
      </c>
      <c r="G212" s="11"/>
      <c r="H212" s="11" t="s">
        <v>1296</v>
      </c>
      <c r="I212" s="11" t="e">
        <f>VLOOKUP($H212, 'ADP Data'!$B$4:$Q$300, 2, FALSE)</f>
        <v>#N/A</v>
      </c>
      <c r="J212" s="11" t="e">
        <f>VLOOKUP($H212, 'ADP Data'!$B$4:$Q$300, 3, FALSE)</f>
        <v>#N/A</v>
      </c>
      <c r="K212" s="11"/>
      <c r="L212" s="11"/>
      <c r="M212" s="11">
        <f t="shared" si="2"/>
        <v>16</v>
      </c>
      <c r="N212" s="11" t="e">
        <f>VLOOKUP($H212, 'ADP Data'!$B$4:$Q$300, 11, FALSE)</f>
        <v>#N/A</v>
      </c>
      <c r="O212" s="11" t="e">
        <f>VLOOKUP($H212, 'ADP Data'!$B$4:$Q$300, 5, FALSE)</f>
        <v>#N/A</v>
      </c>
      <c r="P212" s="11" t="e">
        <f t="shared" si="3"/>
        <v>#N/A</v>
      </c>
      <c r="Q212" s="11" t="e">
        <f>VLOOKUP($H212, 'ADP Data'!$B$4:$Q$300, 6, FALSE)</f>
        <v>#N/A</v>
      </c>
      <c r="R212" s="11" t="e">
        <f>VLOOKUP($H212, 'ADP Data'!$B$4:$Q$300, 7, FALSE)</f>
        <v>#N/A</v>
      </c>
      <c r="S212" s="11" t="e">
        <f>VLOOKUP($H212, 'ADP Data'!$B$4:$Q$300, 8, FALSE)</f>
        <v>#N/A</v>
      </c>
      <c r="T212" s="11" t="e">
        <f>VLOOKUP($H212, 'ADP Data'!$B$4:$Q$300, 9, FALSE)</f>
        <v>#N/A</v>
      </c>
      <c r="U212" s="11" t="e">
        <f>VLOOKUP($H212, 'ADP Data'!$B$4:$Q$300, 10, FALSE)</f>
        <v>#N/A</v>
      </c>
      <c r="V212" s="11" t="e">
        <f t="shared" si="4"/>
        <v>#N/A</v>
      </c>
      <c r="W212" s="11" t="e">
        <f>VLOOKUP($H212, SeanRanks!$A$2:$J$303, 7, FALSE)-V212</f>
        <v>#N/A</v>
      </c>
      <c r="X212" s="11"/>
    </row>
    <row r="213" spans="1:24" ht="14.25" customHeight="1" x14ac:dyDescent="0.25">
      <c r="A213" s="11"/>
      <c r="B213" s="11" t="e">
        <f t="shared" si="0"/>
        <v>#N/A</v>
      </c>
      <c r="C213" s="11" t="s">
        <v>148</v>
      </c>
      <c r="D213" s="11"/>
      <c r="E213" s="11"/>
      <c r="F213" s="11">
        <f t="shared" si="1"/>
        <v>0</v>
      </c>
      <c r="G213" s="11"/>
      <c r="H213" s="11" t="s">
        <v>1297</v>
      </c>
      <c r="I213" s="11" t="e">
        <f>VLOOKUP($H213, 'ADP Data'!$B$4:$Q$300, 2, FALSE)</f>
        <v>#N/A</v>
      </c>
      <c r="J213" s="11" t="e">
        <f>VLOOKUP($H213, 'ADP Data'!$B$4:$Q$300, 3, FALSE)</f>
        <v>#N/A</v>
      </c>
      <c r="K213" s="11"/>
      <c r="L213" s="11"/>
      <c r="M213" s="11">
        <f t="shared" si="2"/>
        <v>16</v>
      </c>
      <c r="N213" s="11" t="e">
        <f>VLOOKUP($H213, 'ADP Data'!$B$4:$Q$300, 11, FALSE)</f>
        <v>#N/A</v>
      </c>
      <c r="O213" s="11" t="e">
        <f>VLOOKUP($H213, 'ADP Data'!$B$4:$Q$300, 5, FALSE)</f>
        <v>#N/A</v>
      </c>
      <c r="P213" s="11" t="e">
        <f t="shared" si="3"/>
        <v>#N/A</v>
      </c>
      <c r="Q213" s="11" t="e">
        <f>VLOOKUP($H213, 'ADP Data'!$B$4:$Q$300, 6, FALSE)</f>
        <v>#N/A</v>
      </c>
      <c r="R213" s="11" t="e">
        <f>VLOOKUP($H213, 'ADP Data'!$B$4:$Q$300, 7, FALSE)</f>
        <v>#N/A</v>
      </c>
      <c r="S213" s="11" t="e">
        <f>VLOOKUP($H213, 'ADP Data'!$B$4:$Q$300, 8, FALSE)</f>
        <v>#N/A</v>
      </c>
      <c r="T213" s="11" t="e">
        <f>VLOOKUP($H213, 'ADP Data'!$B$4:$Q$300, 9, FALSE)</f>
        <v>#N/A</v>
      </c>
      <c r="U213" s="11" t="e">
        <f>VLOOKUP($H213, 'ADP Data'!$B$4:$Q$300, 10, FALSE)</f>
        <v>#N/A</v>
      </c>
      <c r="V213" s="11" t="e">
        <f t="shared" si="4"/>
        <v>#N/A</v>
      </c>
      <c r="W213" s="11" t="e">
        <f>VLOOKUP($H213, SeanRanks!$A$2:$J$303, 7, FALSE)-V213</f>
        <v>#N/A</v>
      </c>
      <c r="X213" s="11"/>
    </row>
    <row r="214" spans="1:24" ht="14.25" customHeight="1" x14ac:dyDescent="0.25">
      <c r="A214" s="11"/>
      <c r="B214" s="11" t="e">
        <f t="shared" si="0"/>
        <v>#N/A</v>
      </c>
      <c r="C214" s="11" t="s">
        <v>148</v>
      </c>
      <c r="D214" s="11"/>
      <c r="E214" s="11"/>
      <c r="F214" s="11">
        <f t="shared" si="1"/>
        <v>0</v>
      </c>
      <c r="G214" s="11"/>
      <c r="H214" s="11" t="s">
        <v>1298</v>
      </c>
      <c r="I214" s="11" t="e">
        <f>VLOOKUP($H214, 'ADP Data'!$B$4:$Q$300, 2, FALSE)</f>
        <v>#N/A</v>
      </c>
      <c r="J214" s="11" t="e">
        <f>VLOOKUP($H214, 'ADP Data'!$B$4:$Q$300, 3, FALSE)</f>
        <v>#N/A</v>
      </c>
      <c r="K214" s="11"/>
      <c r="L214" s="11"/>
      <c r="M214" s="11">
        <f t="shared" si="2"/>
        <v>16</v>
      </c>
      <c r="N214" s="11" t="e">
        <f>VLOOKUP($H214, 'ADP Data'!$B$4:$Q$300, 11, FALSE)</f>
        <v>#N/A</v>
      </c>
      <c r="O214" s="11" t="e">
        <f>VLOOKUP($H214, 'ADP Data'!$B$4:$Q$300, 5, FALSE)</f>
        <v>#N/A</v>
      </c>
      <c r="P214" s="11" t="e">
        <f t="shared" si="3"/>
        <v>#N/A</v>
      </c>
      <c r="Q214" s="11" t="e">
        <f>VLOOKUP($H214, 'ADP Data'!$B$4:$Q$300, 6, FALSE)</f>
        <v>#N/A</v>
      </c>
      <c r="R214" s="11" t="e">
        <f>VLOOKUP($H214, 'ADP Data'!$B$4:$Q$300, 7, FALSE)</f>
        <v>#N/A</v>
      </c>
      <c r="S214" s="11" t="e">
        <f>VLOOKUP($H214, 'ADP Data'!$B$4:$Q$300, 8, FALSE)</f>
        <v>#N/A</v>
      </c>
      <c r="T214" s="11" t="e">
        <f>VLOOKUP($H214, 'ADP Data'!$B$4:$Q$300, 9, FALSE)</f>
        <v>#N/A</v>
      </c>
      <c r="U214" s="11" t="e">
        <f>VLOOKUP($H214, 'ADP Data'!$B$4:$Q$300, 10, FALSE)</f>
        <v>#N/A</v>
      </c>
      <c r="V214" s="11" t="e">
        <f t="shared" si="4"/>
        <v>#N/A</v>
      </c>
      <c r="W214" s="11" t="e">
        <f>VLOOKUP($H214, SeanRanks!$A$2:$J$303, 7, FALSE)-V214</f>
        <v>#N/A</v>
      </c>
      <c r="X214" s="11"/>
    </row>
    <row r="215" spans="1:24" ht="14.25" customHeight="1" x14ac:dyDescent="0.25">
      <c r="A215" s="11"/>
      <c r="B215" s="11" t="e">
        <f t="shared" si="0"/>
        <v>#N/A</v>
      </c>
      <c r="C215" s="11" t="s">
        <v>148</v>
      </c>
      <c r="D215" s="11"/>
      <c r="E215" s="11"/>
      <c r="F215" s="11">
        <f t="shared" si="1"/>
        <v>0</v>
      </c>
      <c r="G215" s="11"/>
      <c r="H215" s="11" t="s">
        <v>650</v>
      </c>
      <c r="I215" s="11" t="e">
        <f>VLOOKUP($H215, 'ADP Data'!$B$4:$Q$300, 2, FALSE)</f>
        <v>#N/A</v>
      </c>
      <c r="J215" s="11" t="e">
        <f>VLOOKUP($H215, 'ADP Data'!$B$4:$Q$300, 3, FALSE)</f>
        <v>#N/A</v>
      </c>
      <c r="K215" s="11"/>
      <c r="L215" s="11"/>
      <c r="M215" s="11">
        <f t="shared" si="2"/>
        <v>16</v>
      </c>
      <c r="N215" s="11" t="e">
        <f>VLOOKUP($H215, 'ADP Data'!$B$4:$Q$300, 11, FALSE)</f>
        <v>#N/A</v>
      </c>
      <c r="O215" s="11" t="e">
        <f>VLOOKUP($H215, 'ADP Data'!$B$4:$Q$300, 5, FALSE)</f>
        <v>#N/A</v>
      </c>
      <c r="P215" s="11" t="e">
        <f t="shared" si="3"/>
        <v>#N/A</v>
      </c>
      <c r="Q215" s="11" t="e">
        <f>VLOOKUP($H215, 'ADP Data'!$B$4:$Q$300, 6, FALSE)</f>
        <v>#N/A</v>
      </c>
      <c r="R215" s="11" t="e">
        <f>VLOOKUP($H215, 'ADP Data'!$B$4:$Q$300, 7, FALSE)</f>
        <v>#N/A</v>
      </c>
      <c r="S215" s="11" t="e">
        <f>VLOOKUP($H215, 'ADP Data'!$B$4:$Q$300, 8, FALSE)</f>
        <v>#N/A</v>
      </c>
      <c r="T215" s="11" t="e">
        <f>VLOOKUP($H215, 'ADP Data'!$B$4:$Q$300, 9, FALSE)</f>
        <v>#N/A</v>
      </c>
      <c r="U215" s="11" t="e">
        <f>VLOOKUP($H215, 'ADP Data'!$B$4:$Q$300, 10, FALSE)</f>
        <v>#N/A</v>
      </c>
      <c r="V215" s="11" t="e">
        <f t="shared" si="4"/>
        <v>#N/A</v>
      </c>
      <c r="W215" s="11" t="e">
        <f>VLOOKUP($H215, SeanRanks!$A$2:$J$303, 7, FALSE)-V215</f>
        <v>#N/A</v>
      </c>
      <c r="X215" s="11"/>
    </row>
    <row r="216" spans="1:24" ht="14.25" customHeight="1" x14ac:dyDescent="0.25">
      <c r="A216" s="11"/>
      <c r="B216" s="11" t="e">
        <f t="shared" si="0"/>
        <v>#N/A</v>
      </c>
      <c r="C216" s="11" t="s">
        <v>148</v>
      </c>
      <c r="D216" s="11"/>
      <c r="E216" s="11"/>
      <c r="F216" s="11">
        <f t="shared" si="1"/>
        <v>0</v>
      </c>
      <c r="G216" s="11"/>
      <c r="H216" s="11" t="s">
        <v>1299</v>
      </c>
      <c r="I216" s="11" t="s">
        <v>168</v>
      </c>
      <c r="J216" s="11" t="s">
        <v>764</v>
      </c>
      <c r="K216" s="11"/>
      <c r="L216" s="11"/>
      <c r="M216" s="11">
        <f t="shared" si="2"/>
        <v>16</v>
      </c>
      <c r="N216" s="11" t="e">
        <f>VLOOKUP($H216, 'ADP Data'!$B$4:$Q$300, 11, FALSE)</f>
        <v>#N/A</v>
      </c>
      <c r="O216" s="11" t="e">
        <f>VLOOKUP($H216, 'ADP Data'!$B$4:$Q$300, 5, FALSE)</f>
        <v>#N/A</v>
      </c>
      <c r="P216" s="11" t="e">
        <f t="shared" si="3"/>
        <v>#N/A</v>
      </c>
      <c r="Q216" s="11" t="e">
        <f>VLOOKUP($H216, 'ADP Data'!$B$4:$Q$300, 6, FALSE)</f>
        <v>#N/A</v>
      </c>
      <c r="R216" s="11" t="e">
        <f>VLOOKUP($H216, 'ADP Data'!$B$4:$Q$300, 7, FALSE)</f>
        <v>#N/A</v>
      </c>
      <c r="S216" s="11" t="e">
        <f>VLOOKUP($H216, 'ADP Data'!$B$4:$Q$300, 8, FALSE)</f>
        <v>#N/A</v>
      </c>
      <c r="T216" s="11" t="e">
        <f>VLOOKUP($H216, 'ADP Data'!$B$4:$Q$300, 9, FALSE)</f>
        <v>#N/A</v>
      </c>
      <c r="U216" s="11" t="e">
        <f>VLOOKUP($H216, 'ADP Data'!$B$4:$Q$300, 10, FALSE)</f>
        <v>#N/A</v>
      </c>
      <c r="V216" s="11" t="e">
        <f t="shared" si="4"/>
        <v>#N/A</v>
      </c>
      <c r="W216" s="11" t="e">
        <f>VLOOKUP($H216, SeanRanks!$A$2:$J$303, 7, FALSE)-V216</f>
        <v>#N/A</v>
      </c>
      <c r="X216" s="11"/>
    </row>
    <row r="217" spans="1:24" ht="14.25" customHeight="1" x14ac:dyDescent="0.25">
      <c r="A217" s="11"/>
      <c r="B217" s="11" t="e">
        <f t="shared" si="0"/>
        <v>#N/A</v>
      </c>
      <c r="C217" s="11" t="s">
        <v>148</v>
      </c>
      <c r="D217" s="11"/>
      <c r="E217" s="11"/>
      <c r="F217" s="11">
        <f t="shared" si="1"/>
        <v>0</v>
      </c>
      <c r="G217" s="11"/>
      <c r="H217" s="11" t="s">
        <v>1300</v>
      </c>
      <c r="I217" s="11" t="s">
        <v>88</v>
      </c>
      <c r="J217" s="11" t="s">
        <v>764</v>
      </c>
      <c r="K217" s="11"/>
      <c r="L217" s="11"/>
      <c r="M217" s="11">
        <f t="shared" si="2"/>
        <v>16</v>
      </c>
      <c r="N217" s="11" t="e">
        <f>VLOOKUP($H217, 'ADP Data'!$B$4:$Q$300, 11, FALSE)</f>
        <v>#N/A</v>
      </c>
      <c r="O217" s="11" t="e">
        <f>VLOOKUP($H217, 'ADP Data'!$B$4:$Q$300, 5, FALSE)</f>
        <v>#N/A</v>
      </c>
      <c r="P217" s="11" t="e">
        <f t="shared" si="3"/>
        <v>#N/A</v>
      </c>
      <c r="Q217" s="11" t="e">
        <f>VLOOKUP($H217, 'ADP Data'!$B$4:$Q$300, 6, FALSE)</f>
        <v>#N/A</v>
      </c>
      <c r="R217" s="11" t="e">
        <f>VLOOKUP($H217, 'ADP Data'!$B$4:$Q$300, 7, FALSE)</f>
        <v>#N/A</v>
      </c>
      <c r="S217" s="11" t="e">
        <f>VLOOKUP($H217, 'ADP Data'!$B$4:$Q$300, 8, FALSE)</f>
        <v>#N/A</v>
      </c>
      <c r="T217" s="11" t="e">
        <f>VLOOKUP($H217, 'ADP Data'!$B$4:$Q$300, 9, FALSE)</f>
        <v>#N/A</v>
      </c>
      <c r="U217" s="11" t="e">
        <f>VLOOKUP($H217, 'ADP Data'!$B$4:$Q$300, 10, FALSE)</f>
        <v>#N/A</v>
      </c>
      <c r="V217" s="11" t="e">
        <f t="shared" si="4"/>
        <v>#N/A</v>
      </c>
      <c r="W217" s="11" t="e">
        <f>VLOOKUP($H217, SeanRanks!$A$2:$J$303, 7, FALSE)-V217</f>
        <v>#N/A</v>
      </c>
      <c r="X217" s="11"/>
    </row>
    <row r="218" spans="1:24" ht="14.25" customHeight="1" x14ac:dyDescent="0.25">
      <c r="A218" s="11"/>
      <c r="B218" s="11" t="e">
        <f t="shared" si="0"/>
        <v>#N/A</v>
      </c>
      <c r="C218" s="11" t="s">
        <v>148</v>
      </c>
      <c r="D218" s="11">
        <v>46</v>
      </c>
      <c r="E218" s="11">
        <v>45</v>
      </c>
      <c r="F218" s="11">
        <f t="shared" si="1"/>
        <v>1</v>
      </c>
      <c r="G218" s="11"/>
      <c r="H218" s="11" t="s">
        <v>288</v>
      </c>
      <c r="I218" s="11" t="e">
        <f>VLOOKUP($H218, 'ADP Data'!$B$4:$Q$300, 2, FALSE)</f>
        <v>#N/A</v>
      </c>
      <c r="J218" s="11" t="e">
        <f>VLOOKUP($H218, 'ADP Data'!$B$4:$Q$300, 3, FALSE)</f>
        <v>#N/A</v>
      </c>
      <c r="K218" s="11">
        <f>VLOOKUP($H218, SeanRanks!$A$2:$H$303, 4, FALSE)</f>
        <v>0</v>
      </c>
      <c r="L218" s="11">
        <f>VLOOKUP($H218, SeanRanks!$A$2:$H$303, 5, FALSE)</f>
        <v>0</v>
      </c>
      <c r="M218" s="11">
        <f t="shared" si="2"/>
        <v>16</v>
      </c>
      <c r="N218" s="11" t="e">
        <f>VLOOKUP($H218, 'ADP Data'!$B$4:$Q$300, 11, FALSE)</f>
        <v>#N/A</v>
      </c>
      <c r="O218" s="11" t="e">
        <f>VLOOKUP($H218, 'ADP Data'!$B$4:$Q$300, 5, FALSE)</f>
        <v>#N/A</v>
      </c>
      <c r="P218" s="11" t="e">
        <f t="shared" si="3"/>
        <v>#N/A</v>
      </c>
      <c r="Q218" s="11" t="e">
        <f>VLOOKUP($H218, 'ADP Data'!$B$4:$Q$300, 6, FALSE)</f>
        <v>#N/A</v>
      </c>
      <c r="R218" s="11" t="e">
        <f>VLOOKUP($H218, 'ADP Data'!$B$4:$Q$300, 7, FALSE)</f>
        <v>#N/A</v>
      </c>
      <c r="S218" s="11" t="e">
        <f>VLOOKUP($H218, 'ADP Data'!$B$4:$Q$300, 8, FALSE)</f>
        <v>#N/A</v>
      </c>
      <c r="T218" s="11" t="e">
        <f>VLOOKUP($H218, 'ADP Data'!$B$4:$Q$300, 9, FALSE)</f>
        <v>#N/A</v>
      </c>
      <c r="U218" s="11" t="e">
        <f>VLOOKUP($H218, 'ADP Data'!$B$4:$Q$300, 10, FALSE)</f>
        <v>#N/A</v>
      </c>
      <c r="V218" s="11" t="e">
        <f t="shared" si="4"/>
        <v>#N/A</v>
      </c>
      <c r="W218" s="11" t="e">
        <f>VLOOKUP($H218, SeanRanks!$A$2:$J$303, 7, FALSE)-V218</f>
        <v>#N/A</v>
      </c>
      <c r="X218" s="11"/>
    </row>
    <row r="219" spans="1:24" ht="14.25" customHeight="1" x14ac:dyDescent="0.25">
      <c r="A219" s="11"/>
      <c r="B219" s="11" t="e">
        <f t="shared" si="0"/>
        <v>#N/A</v>
      </c>
      <c r="C219" s="11" t="s">
        <v>148</v>
      </c>
      <c r="D219" s="11">
        <v>9</v>
      </c>
      <c r="E219" s="11">
        <v>8</v>
      </c>
      <c r="F219" s="11">
        <f t="shared" si="1"/>
        <v>1</v>
      </c>
      <c r="G219" s="11"/>
      <c r="H219" s="11" t="s">
        <v>355</v>
      </c>
      <c r="I219" s="11" t="e">
        <f>VLOOKUP($H219, 'ADP Data'!$B$4:$Q$300, 2, FALSE)</f>
        <v>#N/A</v>
      </c>
      <c r="J219" s="11" t="e">
        <f>VLOOKUP($H219, 'ADP Data'!$B$4:$Q$300, 3, FALSE)</f>
        <v>#N/A</v>
      </c>
      <c r="K219" s="11" t="s">
        <v>1301</v>
      </c>
      <c r="L219" s="11">
        <v>5</v>
      </c>
      <c r="M219" s="11">
        <f t="shared" si="2"/>
        <v>16</v>
      </c>
      <c r="N219" s="11" t="e">
        <f>VLOOKUP($H219, 'ADP Data'!$B$4:$Q$300, 11, FALSE)</f>
        <v>#N/A</v>
      </c>
      <c r="O219" s="11" t="e">
        <f>VLOOKUP($H219, 'ADP Data'!$B$4:$Q$300, 5, FALSE)</f>
        <v>#N/A</v>
      </c>
      <c r="P219" s="11" t="e">
        <f t="shared" si="3"/>
        <v>#N/A</v>
      </c>
      <c r="Q219" s="11" t="e">
        <f>VLOOKUP($H219, 'ADP Data'!$B$4:$Q$300, 6, FALSE)</f>
        <v>#N/A</v>
      </c>
      <c r="R219" s="11" t="e">
        <f>VLOOKUP($H219, 'ADP Data'!$B$4:$Q$300, 7, FALSE)</f>
        <v>#N/A</v>
      </c>
      <c r="S219" s="11" t="e">
        <f>VLOOKUP($H219, 'ADP Data'!$B$4:$Q$300, 8, FALSE)</f>
        <v>#N/A</v>
      </c>
      <c r="T219" s="11" t="e">
        <f>VLOOKUP($H219, 'ADP Data'!$B$4:$Q$300, 9, FALSE)</f>
        <v>#N/A</v>
      </c>
      <c r="U219" s="11" t="e">
        <f>VLOOKUP($H219, 'ADP Data'!$B$4:$Q$300, 10, FALSE)</f>
        <v>#N/A</v>
      </c>
      <c r="V219" s="11" t="e">
        <f t="shared" si="4"/>
        <v>#N/A</v>
      </c>
      <c r="W219" s="11" t="e">
        <f>VLOOKUP($H219, SeanRanks!$A$2:$J$303, 7, FALSE)-V219</f>
        <v>#N/A</v>
      </c>
      <c r="X219" s="11"/>
    </row>
    <row r="220" spans="1:24" ht="14.25" customHeight="1" x14ac:dyDescent="0.25">
      <c r="A220" s="11"/>
      <c r="B220" s="11" t="e">
        <f t="shared" si="0"/>
        <v>#N/A</v>
      </c>
      <c r="C220" s="11" t="s">
        <v>148</v>
      </c>
      <c r="D220" s="11">
        <v>4</v>
      </c>
      <c r="E220" s="11">
        <v>3</v>
      </c>
      <c r="F220" s="11">
        <f t="shared" si="1"/>
        <v>1</v>
      </c>
      <c r="G220" s="11"/>
      <c r="H220" s="11" t="s">
        <v>947</v>
      </c>
      <c r="I220" s="11" t="e">
        <f>VLOOKUP($H220, 'ADP Data'!$B$4:$Q$300, 2, FALSE)</f>
        <v>#N/A</v>
      </c>
      <c r="J220" s="11" t="e">
        <f>VLOOKUP($H220, 'ADP Data'!$B$4:$Q$300, 3, FALSE)</f>
        <v>#N/A</v>
      </c>
      <c r="K220" s="11" t="s">
        <v>1183</v>
      </c>
      <c r="L220" s="11">
        <f>VLOOKUP($H220, SeanRanks!$A$2:$H$303, 5, FALSE)</f>
        <v>0</v>
      </c>
      <c r="M220" s="11">
        <f t="shared" si="2"/>
        <v>16</v>
      </c>
      <c r="N220" s="11" t="e">
        <f>VLOOKUP($H220, 'ADP Data'!$B$4:$Q$300, 11, FALSE)</f>
        <v>#N/A</v>
      </c>
      <c r="O220" s="11" t="e">
        <f>VLOOKUP($H220, 'ADP Data'!$B$4:$Q$300, 5, FALSE)</f>
        <v>#N/A</v>
      </c>
      <c r="P220" s="11" t="e">
        <f t="shared" si="3"/>
        <v>#N/A</v>
      </c>
      <c r="Q220" s="11" t="e">
        <f>VLOOKUP($H220, 'ADP Data'!$B$4:$Q$300, 6, FALSE)</f>
        <v>#N/A</v>
      </c>
      <c r="R220" s="11" t="e">
        <f>VLOOKUP($H220, 'ADP Data'!$B$4:$Q$300, 7, FALSE)</f>
        <v>#N/A</v>
      </c>
      <c r="S220" s="11" t="e">
        <f>VLOOKUP($H220, 'ADP Data'!$B$4:$Q$300, 8, FALSE)</f>
        <v>#N/A</v>
      </c>
      <c r="T220" s="11" t="e">
        <f>VLOOKUP($H220, 'ADP Data'!$B$4:$Q$300, 9, FALSE)</f>
        <v>#N/A</v>
      </c>
      <c r="U220" s="11" t="e">
        <f>VLOOKUP($H220, 'ADP Data'!$B$4:$Q$300, 10, FALSE)</f>
        <v>#N/A</v>
      </c>
      <c r="V220" s="11" t="e">
        <f t="shared" si="4"/>
        <v>#N/A</v>
      </c>
      <c r="W220" s="11" t="e">
        <f>VLOOKUP($H220, SeanRanks!$A$2:$J$303, 7, FALSE)-V220</f>
        <v>#N/A</v>
      </c>
      <c r="X220" s="11"/>
    </row>
    <row r="221" spans="1:24" ht="14.25" customHeight="1" x14ac:dyDescent="0.25">
      <c r="A221" s="11"/>
      <c r="B221" s="11" t="e">
        <f t="shared" si="0"/>
        <v>#N/A</v>
      </c>
      <c r="C221" s="11" t="s">
        <v>148</v>
      </c>
      <c r="D221" s="11">
        <v>3</v>
      </c>
      <c r="E221" s="11">
        <v>2</v>
      </c>
      <c r="F221" s="11">
        <f t="shared" si="1"/>
        <v>1</v>
      </c>
      <c r="G221" s="11"/>
      <c r="H221" s="11" t="s">
        <v>536</v>
      </c>
      <c r="I221" s="11" t="e">
        <f>VLOOKUP($H221, 'ADP Data'!$B$4:$Q$300, 2, FALSE)</f>
        <v>#N/A</v>
      </c>
      <c r="J221" s="11" t="e">
        <f>VLOOKUP($H221, 'ADP Data'!$B$4:$Q$300, 3, FALSE)</f>
        <v>#N/A</v>
      </c>
      <c r="K221" s="11" t="s">
        <v>1167</v>
      </c>
      <c r="L221" s="11">
        <f>VLOOKUP($H221, SeanRanks!$A$2:$H$303, 5, FALSE)</f>
        <v>0</v>
      </c>
      <c r="M221" s="11">
        <f t="shared" si="2"/>
        <v>16</v>
      </c>
      <c r="N221" s="11" t="e">
        <f>VLOOKUP($H221, 'ADP Data'!$B$4:$Q$300, 11, FALSE)</f>
        <v>#N/A</v>
      </c>
      <c r="O221" s="11" t="e">
        <f>VLOOKUP($H221, 'ADP Data'!$B$4:$Q$300, 5, FALSE)</f>
        <v>#N/A</v>
      </c>
      <c r="P221" s="11" t="e">
        <f t="shared" si="3"/>
        <v>#N/A</v>
      </c>
      <c r="Q221" s="11" t="e">
        <f>VLOOKUP($H221, 'ADP Data'!$B$4:$Q$300, 6, FALSE)</f>
        <v>#N/A</v>
      </c>
      <c r="R221" s="11" t="e">
        <f>VLOOKUP($H221, 'ADP Data'!$B$4:$Q$300, 7, FALSE)</f>
        <v>#N/A</v>
      </c>
      <c r="S221" s="11" t="e">
        <f>VLOOKUP($H221, 'ADP Data'!$B$4:$Q$300, 8, FALSE)</f>
        <v>#N/A</v>
      </c>
      <c r="T221" s="11" t="e">
        <f>VLOOKUP($H221, 'ADP Data'!$B$4:$Q$300, 9, FALSE)</f>
        <v>#N/A</v>
      </c>
      <c r="U221" s="11" t="e">
        <f>VLOOKUP($H221, 'ADP Data'!$B$4:$Q$300, 10, FALSE)</f>
        <v>#N/A</v>
      </c>
      <c r="V221" s="11" t="e">
        <f t="shared" si="4"/>
        <v>#N/A</v>
      </c>
      <c r="W221" s="11" t="e">
        <f>VLOOKUP($H221, SeanRanks!$A$2:$J$303, 7, FALSE)-V221</f>
        <v>#N/A</v>
      </c>
      <c r="X221" s="11"/>
    </row>
    <row r="222" spans="1:24" ht="14.25" customHeight="1" x14ac:dyDescent="0.25">
      <c r="A222" s="11"/>
      <c r="B222" s="11" t="e">
        <f t="shared" si="0"/>
        <v>#N/A</v>
      </c>
      <c r="C222" s="11" t="s">
        <v>148</v>
      </c>
      <c r="D222" s="11">
        <v>4</v>
      </c>
      <c r="E222" s="11">
        <v>3</v>
      </c>
      <c r="F222" s="11">
        <f t="shared" si="1"/>
        <v>1</v>
      </c>
      <c r="G222" s="11" t="s">
        <v>148</v>
      </c>
      <c r="H222" s="11" t="s">
        <v>627</v>
      </c>
      <c r="I222" s="11" t="e">
        <f>VLOOKUP($H222, 'ADP Data'!$B$4:$Q$300, 2, FALSE)</f>
        <v>#N/A</v>
      </c>
      <c r="J222" s="11" t="e">
        <f>VLOOKUP($H222, 'ADP Data'!$B$4:$Q$300, 3, FALSE)</f>
        <v>#N/A</v>
      </c>
      <c r="K222" s="11" t="s">
        <v>1187</v>
      </c>
      <c r="L222" s="11">
        <v>14</v>
      </c>
      <c r="M222" s="11">
        <f t="shared" si="2"/>
        <v>16</v>
      </c>
      <c r="N222" s="11" t="e">
        <f>VLOOKUP($H222, 'ADP Data'!$B$4:$Q$300, 11, FALSE)</f>
        <v>#N/A</v>
      </c>
      <c r="O222" s="11" t="e">
        <f>VLOOKUP($H222, 'ADP Data'!$B$4:$Q$300, 5, FALSE)</f>
        <v>#N/A</v>
      </c>
      <c r="P222" s="11" t="e">
        <f t="shared" si="3"/>
        <v>#N/A</v>
      </c>
      <c r="Q222" s="11" t="e">
        <f>VLOOKUP($H222, 'ADP Data'!$B$4:$Q$300, 6, FALSE)</f>
        <v>#N/A</v>
      </c>
      <c r="R222" s="11" t="e">
        <f>VLOOKUP($H222, 'ADP Data'!$B$4:$Q$300, 7, FALSE)</f>
        <v>#N/A</v>
      </c>
      <c r="S222" s="11" t="e">
        <f>VLOOKUP($H222, 'ADP Data'!$B$4:$Q$300, 8, FALSE)</f>
        <v>#N/A</v>
      </c>
      <c r="T222" s="11" t="e">
        <f>VLOOKUP($H222, 'ADP Data'!$B$4:$Q$300, 9, FALSE)</f>
        <v>#N/A</v>
      </c>
      <c r="U222" s="11" t="e">
        <f>VLOOKUP($H222, 'ADP Data'!$B$4:$Q$300, 10, FALSE)</f>
        <v>#N/A</v>
      </c>
      <c r="V222" s="11" t="e">
        <f t="shared" si="4"/>
        <v>#N/A</v>
      </c>
      <c r="W222" s="11" t="e">
        <f>VLOOKUP($H222, SeanRanks!$A$2:$J$303, 7, FALSE)-V222</f>
        <v>#N/A</v>
      </c>
      <c r="X222" s="11"/>
    </row>
    <row r="223" spans="1:24" ht="14.25" customHeight="1" x14ac:dyDescent="0.25">
      <c r="A223" s="11"/>
      <c r="B223" s="11" t="e">
        <f t="shared" si="0"/>
        <v>#N/A</v>
      </c>
      <c r="C223" s="11" t="s">
        <v>148</v>
      </c>
      <c r="D223" s="11">
        <v>26</v>
      </c>
      <c r="E223" s="11">
        <v>25</v>
      </c>
      <c r="F223" s="11">
        <f t="shared" si="1"/>
        <v>1</v>
      </c>
      <c r="G223" s="11" t="s">
        <v>148</v>
      </c>
      <c r="H223" s="11" t="s">
        <v>915</v>
      </c>
      <c r="I223" s="11" t="e">
        <f>VLOOKUP($H223, 'ADP Data'!$B$4:$Q$300, 2, FALSE)</f>
        <v>#N/A</v>
      </c>
      <c r="J223" s="11" t="e">
        <f>VLOOKUP($H223, 'ADP Data'!$B$4:$Q$300, 3, FALSE)</f>
        <v>#N/A</v>
      </c>
      <c r="K223" s="11" t="e">
        <f>VLOOKUP($H223, SeanRanks!$A$2:$H$303, 4, FALSE)</f>
        <v>#N/A</v>
      </c>
      <c r="L223" s="11" t="e">
        <f>VLOOKUP($H223, SeanRanks!$A$2:$H$303, 5, FALSE)</f>
        <v>#N/A</v>
      </c>
      <c r="M223" s="11">
        <f t="shared" si="2"/>
        <v>16</v>
      </c>
      <c r="N223" s="11" t="e">
        <f>VLOOKUP($H223, 'ADP Data'!$B$4:$Q$300, 11, FALSE)</f>
        <v>#N/A</v>
      </c>
      <c r="O223" s="11" t="e">
        <f>VLOOKUP($H223, 'ADP Data'!$B$4:$Q$300, 5, FALSE)</f>
        <v>#N/A</v>
      </c>
      <c r="P223" s="11" t="e">
        <f t="shared" si="3"/>
        <v>#N/A</v>
      </c>
      <c r="Q223" s="11" t="e">
        <f>VLOOKUP($H223, 'ADP Data'!$B$4:$Q$300, 6, FALSE)</f>
        <v>#N/A</v>
      </c>
      <c r="R223" s="11" t="e">
        <f>VLOOKUP($H223, 'ADP Data'!$B$4:$Q$300, 7, FALSE)</f>
        <v>#N/A</v>
      </c>
      <c r="S223" s="11" t="e">
        <f>VLOOKUP($H223, 'ADP Data'!$B$4:$Q$300, 8, FALSE)</f>
        <v>#N/A</v>
      </c>
      <c r="T223" s="11" t="e">
        <f>VLOOKUP($H223, 'ADP Data'!$B$4:$Q$300, 9, FALSE)</f>
        <v>#N/A</v>
      </c>
      <c r="U223" s="11" t="e">
        <f>VLOOKUP($H223, 'ADP Data'!$B$4:$Q$300, 10, FALSE)</f>
        <v>#N/A</v>
      </c>
      <c r="V223" s="11" t="e">
        <f t="shared" si="4"/>
        <v>#N/A</v>
      </c>
      <c r="W223" s="11" t="e">
        <f>VLOOKUP($H223, SeanRanks!$A$2:$J$303, 7, FALSE)-V223</f>
        <v>#N/A</v>
      </c>
      <c r="X223" s="11"/>
    </row>
    <row r="224" spans="1:24" ht="14.25" customHeight="1" x14ac:dyDescent="0.25">
      <c r="A224" s="11"/>
      <c r="B224" s="11" t="e">
        <f t="shared" si="0"/>
        <v>#N/A</v>
      </c>
      <c r="C224" s="11" t="s">
        <v>148</v>
      </c>
      <c r="D224" s="11">
        <v>16</v>
      </c>
      <c r="E224" s="11">
        <v>15</v>
      </c>
      <c r="F224" s="11">
        <f t="shared" si="1"/>
        <v>1</v>
      </c>
      <c r="G224" s="11"/>
      <c r="H224" s="11" t="s">
        <v>167</v>
      </c>
      <c r="I224" s="11" t="e">
        <f>VLOOKUP($H224, 'ADP Data'!$B$4:$Q$300, 2, FALSE)</f>
        <v>#N/A</v>
      </c>
      <c r="J224" s="11" t="e">
        <f>VLOOKUP($H224, 'ADP Data'!$B$4:$Q$300, 3, FALSE)</f>
        <v>#N/A</v>
      </c>
      <c r="K224" s="11">
        <f>VLOOKUP($H224, SeanRanks!$A$2:$H$303, 4, FALSE)</f>
        <v>0</v>
      </c>
      <c r="L224" s="11" t="str">
        <f>VLOOKUP($H224, SeanRanks!$A$2:$H$303, 5, FALSE)</f>
        <v>No</v>
      </c>
      <c r="M224" s="11">
        <f t="shared" si="2"/>
        <v>16</v>
      </c>
      <c r="N224" s="11" t="e">
        <f>VLOOKUP($H224, 'ADP Data'!$B$4:$Q$300, 11, FALSE)</f>
        <v>#N/A</v>
      </c>
      <c r="O224" s="11" t="e">
        <f>VLOOKUP($H224, 'ADP Data'!$B$4:$Q$300, 5, FALSE)</f>
        <v>#N/A</v>
      </c>
      <c r="P224" s="11" t="e">
        <f t="shared" si="3"/>
        <v>#N/A</v>
      </c>
      <c r="Q224" s="11" t="e">
        <f>VLOOKUP($H224, 'ADP Data'!$B$4:$Q$300, 6, FALSE)</f>
        <v>#N/A</v>
      </c>
      <c r="R224" s="11" t="e">
        <f>VLOOKUP($H224, 'ADP Data'!$B$4:$Q$300, 7, FALSE)</f>
        <v>#N/A</v>
      </c>
      <c r="S224" s="11" t="e">
        <f>VLOOKUP($H224, 'ADP Data'!$B$4:$Q$300, 8, FALSE)</f>
        <v>#N/A</v>
      </c>
      <c r="T224" s="11" t="e">
        <f>VLOOKUP($H224, 'ADP Data'!$B$4:$Q$300, 9, FALSE)</f>
        <v>#N/A</v>
      </c>
      <c r="U224" s="11" t="e">
        <f>VLOOKUP($H224, 'ADP Data'!$B$4:$Q$300, 10, FALSE)</f>
        <v>#N/A</v>
      </c>
      <c r="V224" s="11" t="e">
        <f t="shared" si="4"/>
        <v>#N/A</v>
      </c>
      <c r="W224" s="11" t="e">
        <f>VLOOKUP($H224, SeanRanks!$A$2:$J$303, 7, FALSE)-V224</f>
        <v>#N/A</v>
      </c>
      <c r="X224" s="11"/>
    </row>
    <row r="225" spans="1:24" ht="14.25" customHeight="1" x14ac:dyDescent="0.25">
      <c r="A225" s="11"/>
      <c r="B225" s="11" t="e">
        <f t="shared" si="0"/>
        <v>#N/A</v>
      </c>
      <c r="C225" s="11" t="s">
        <v>148</v>
      </c>
      <c r="D225" s="11">
        <v>1</v>
      </c>
      <c r="E225" s="11"/>
      <c r="F225" s="11">
        <f t="shared" si="1"/>
        <v>1</v>
      </c>
      <c r="G225" s="11"/>
      <c r="H225" s="11" t="s">
        <v>555</v>
      </c>
      <c r="I225" s="11" t="e">
        <f>VLOOKUP($H225, 'ADP Data'!$B$4:$Q$300, 2, FALSE)</f>
        <v>#N/A</v>
      </c>
      <c r="J225" s="11" t="e">
        <f>VLOOKUP($H225, 'ADP Data'!$B$4:$Q$300, 3, FALSE)</f>
        <v>#N/A</v>
      </c>
      <c r="K225" s="11" t="s">
        <v>1186</v>
      </c>
      <c r="L225" s="11">
        <f>VLOOKUP($H225, SeanRanks!$A$2:$H$303, 5, FALSE)</f>
        <v>0</v>
      </c>
      <c r="M225" s="11">
        <f t="shared" si="2"/>
        <v>16</v>
      </c>
      <c r="N225" s="11" t="e">
        <f>VLOOKUP($H225, 'ADP Data'!$B$4:$Q$300, 11, FALSE)</f>
        <v>#N/A</v>
      </c>
      <c r="O225" s="11" t="e">
        <f>VLOOKUP($H225, 'ADP Data'!$B$4:$Q$300, 5, FALSE)</f>
        <v>#N/A</v>
      </c>
      <c r="P225" s="11" t="e">
        <f t="shared" si="3"/>
        <v>#N/A</v>
      </c>
      <c r="Q225" s="11" t="e">
        <f>VLOOKUP($H225, 'ADP Data'!$B$4:$Q$300, 6, FALSE)</f>
        <v>#N/A</v>
      </c>
      <c r="R225" s="11" t="e">
        <f>VLOOKUP($H225, 'ADP Data'!$B$4:$Q$300, 7, FALSE)</f>
        <v>#N/A</v>
      </c>
      <c r="S225" s="11" t="e">
        <f>VLOOKUP($H225, 'ADP Data'!$B$4:$Q$300, 8, FALSE)</f>
        <v>#N/A</v>
      </c>
      <c r="T225" s="11" t="e">
        <f>VLOOKUP($H225, 'ADP Data'!$B$4:$Q$300, 9, FALSE)</f>
        <v>#N/A</v>
      </c>
      <c r="U225" s="11" t="e">
        <f>VLOOKUP($H225, 'ADP Data'!$B$4:$Q$300, 10, FALSE)</f>
        <v>#N/A</v>
      </c>
      <c r="V225" s="11" t="e">
        <f t="shared" si="4"/>
        <v>#N/A</v>
      </c>
      <c r="W225" s="11" t="e">
        <f>VLOOKUP($H225, SeanRanks!$A$2:$J$303, 7, FALSE)-V225</f>
        <v>#N/A</v>
      </c>
      <c r="X225" s="11"/>
    </row>
    <row r="226" spans="1:24" ht="14.25" customHeight="1" x14ac:dyDescent="0.25">
      <c r="A226" s="11"/>
      <c r="B226" s="11" t="e">
        <f t="shared" si="0"/>
        <v>#N/A</v>
      </c>
      <c r="C226" s="11" t="s">
        <v>148</v>
      </c>
      <c r="D226" s="11">
        <v>16</v>
      </c>
      <c r="E226" s="60">
        <v>15</v>
      </c>
      <c r="F226" s="11">
        <f t="shared" si="1"/>
        <v>1</v>
      </c>
      <c r="G226" s="60"/>
      <c r="H226" s="60" t="s">
        <v>183</v>
      </c>
      <c r="I226" s="60" t="e">
        <f>VLOOKUP($H226, 'ADP Data'!$B$4:$Q$300, 2, FALSE)</f>
        <v>#N/A</v>
      </c>
      <c r="J226" s="60" t="e">
        <f>VLOOKUP($H226, 'ADP Data'!$B$4:$Q$300, 3, FALSE)</f>
        <v>#N/A</v>
      </c>
      <c r="K226" s="60">
        <f>VLOOKUP($H226, SeanRanks!$A$2:$H$303, 4, FALSE)</f>
        <v>0</v>
      </c>
      <c r="L226" s="60">
        <f>VLOOKUP($H226, SeanRanks!$A$2:$H$303, 5, FALSE)</f>
        <v>0</v>
      </c>
      <c r="M226" s="11">
        <f t="shared" si="2"/>
        <v>16</v>
      </c>
      <c r="N226" s="11" t="e">
        <f>VLOOKUP($H226, 'ADP Data'!$B$4:$Q$300, 11, FALSE)</f>
        <v>#N/A</v>
      </c>
      <c r="O226" s="11" t="e">
        <f>VLOOKUP($H226, 'ADP Data'!$B$4:$Q$300, 5, FALSE)</f>
        <v>#N/A</v>
      </c>
      <c r="P226" s="11" t="e">
        <f t="shared" si="3"/>
        <v>#N/A</v>
      </c>
      <c r="Q226" s="11" t="e">
        <f>VLOOKUP($H226, 'ADP Data'!$B$4:$Q$300, 6, FALSE)</f>
        <v>#N/A</v>
      </c>
      <c r="R226" s="11" t="e">
        <f>VLOOKUP($H226, 'ADP Data'!$B$4:$Q$300, 7, FALSE)</f>
        <v>#N/A</v>
      </c>
      <c r="S226" s="11" t="e">
        <f>VLOOKUP($H226, 'ADP Data'!$B$4:$Q$300, 8, FALSE)</f>
        <v>#N/A</v>
      </c>
      <c r="T226" s="11" t="e">
        <f>VLOOKUP($H226, 'ADP Data'!$B$4:$Q$300, 9, FALSE)</f>
        <v>#N/A</v>
      </c>
      <c r="U226" s="11" t="e">
        <f>VLOOKUP($H226, 'ADP Data'!$B$4:$Q$300, 10, FALSE)</f>
        <v>#N/A</v>
      </c>
      <c r="V226" s="11" t="e">
        <f t="shared" si="4"/>
        <v>#N/A</v>
      </c>
      <c r="W226" s="11" t="e">
        <f>VLOOKUP($H226, SeanRanks!$A$2:$J$303, 7, FALSE)-V226</f>
        <v>#N/A</v>
      </c>
      <c r="X226" s="60"/>
    </row>
    <row r="227" spans="1:24" ht="14.25" customHeight="1" x14ac:dyDescent="0.25">
      <c r="A227" s="11"/>
      <c r="B227" s="11" t="e">
        <f t="shared" si="0"/>
        <v>#N/A</v>
      </c>
      <c r="C227" s="11" t="s">
        <v>148</v>
      </c>
      <c r="D227" s="11">
        <v>1</v>
      </c>
      <c r="E227" s="11"/>
      <c r="F227" s="11">
        <f t="shared" si="1"/>
        <v>1</v>
      </c>
      <c r="G227" s="11"/>
      <c r="H227" s="11" t="s">
        <v>403</v>
      </c>
      <c r="I227" s="11" t="e">
        <f>VLOOKUP($H227, 'ADP Data'!$B$4:$Q$300, 2, FALSE)</f>
        <v>#N/A</v>
      </c>
      <c r="J227" s="11" t="e">
        <f>VLOOKUP($H227, 'ADP Data'!$B$4:$Q$300, 3, FALSE)</f>
        <v>#N/A</v>
      </c>
      <c r="K227" s="11" t="s">
        <v>1194</v>
      </c>
      <c r="L227" s="11">
        <v>22</v>
      </c>
      <c r="M227" s="11">
        <f t="shared" si="2"/>
        <v>16</v>
      </c>
      <c r="N227" s="11" t="e">
        <f>VLOOKUP($H227, 'ADP Data'!$B$4:$Q$300, 11, FALSE)</f>
        <v>#N/A</v>
      </c>
      <c r="O227" s="11" t="e">
        <f>VLOOKUP($H227, 'ADP Data'!$B$4:$Q$300, 5, FALSE)</f>
        <v>#N/A</v>
      </c>
      <c r="P227" s="11" t="e">
        <f t="shared" si="3"/>
        <v>#N/A</v>
      </c>
      <c r="Q227" s="11" t="e">
        <f>VLOOKUP($H227, 'ADP Data'!$B$4:$Q$300, 6, FALSE)</f>
        <v>#N/A</v>
      </c>
      <c r="R227" s="11" t="e">
        <f>VLOOKUP($H227, 'ADP Data'!$B$4:$Q$300, 7, FALSE)</f>
        <v>#N/A</v>
      </c>
      <c r="S227" s="11" t="e">
        <f>VLOOKUP($H227, 'ADP Data'!$B$4:$Q$300, 8, FALSE)</f>
        <v>#N/A</v>
      </c>
      <c r="T227" s="11" t="e">
        <f>VLOOKUP($H227, 'ADP Data'!$B$4:$Q$300, 9, FALSE)</f>
        <v>#N/A</v>
      </c>
      <c r="U227" s="11" t="e">
        <f>VLOOKUP($H227, 'ADP Data'!$B$4:$Q$300, 10, FALSE)</f>
        <v>#N/A</v>
      </c>
      <c r="V227" s="11" t="e">
        <f t="shared" si="4"/>
        <v>#N/A</v>
      </c>
      <c r="W227" s="11" t="e">
        <f>VLOOKUP($H227, SeanRanks!$A$2:$J$303, 7, FALSE)-V227</f>
        <v>#N/A</v>
      </c>
      <c r="X227" s="11"/>
    </row>
    <row r="228" spans="1:24" ht="14.25" customHeight="1" x14ac:dyDescent="0.25">
      <c r="A228" s="11"/>
      <c r="B228" s="11" t="e">
        <f t="shared" si="0"/>
        <v>#N/A</v>
      </c>
      <c r="C228" s="11" t="s">
        <v>148</v>
      </c>
      <c r="D228" s="11">
        <v>6</v>
      </c>
      <c r="E228" s="11">
        <v>5</v>
      </c>
      <c r="F228" s="11">
        <f t="shared" si="1"/>
        <v>1</v>
      </c>
      <c r="G228" s="11"/>
      <c r="H228" s="11" t="s">
        <v>621</v>
      </c>
      <c r="I228" s="11" t="e">
        <f>VLOOKUP($H228, 'ADP Data'!$B$4:$Q$300, 2, FALSE)</f>
        <v>#N/A</v>
      </c>
      <c r="J228" s="11" t="e">
        <f>VLOOKUP($H228, 'ADP Data'!$B$4:$Q$300, 3, FALSE)</f>
        <v>#N/A</v>
      </c>
      <c r="K228" s="11">
        <f>VLOOKUP($H228, SeanRanks!$A$2:$H$303, 4, FALSE)</f>
        <v>0</v>
      </c>
      <c r="L228" s="11">
        <f>VLOOKUP($H228, SeanRanks!$A$2:$H$303, 5, FALSE)</f>
        <v>0</v>
      </c>
      <c r="M228" s="11">
        <f t="shared" si="2"/>
        <v>16</v>
      </c>
      <c r="N228" s="11" t="e">
        <f>VLOOKUP($H228, 'ADP Data'!$B$4:$Q$300, 11, FALSE)</f>
        <v>#N/A</v>
      </c>
      <c r="O228" s="11" t="e">
        <f>VLOOKUP($H228, 'ADP Data'!$B$4:$Q$300, 5, FALSE)</f>
        <v>#N/A</v>
      </c>
      <c r="P228" s="11" t="e">
        <f t="shared" si="3"/>
        <v>#N/A</v>
      </c>
      <c r="Q228" s="11" t="e">
        <f>VLOOKUP($H228, 'ADP Data'!$B$4:$Q$300, 6, FALSE)</f>
        <v>#N/A</v>
      </c>
      <c r="R228" s="11" t="e">
        <f>VLOOKUP($H228, 'ADP Data'!$B$4:$Q$300, 7, FALSE)</f>
        <v>#N/A</v>
      </c>
      <c r="S228" s="11" t="e">
        <f>VLOOKUP($H228, 'ADP Data'!$B$4:$Q$300, 8, FALSE)</f>
        <v>#N/A</v>
      </c>
      <c r="T228" s="11" t="e">
        <f>VLOOKUP($H228, 'ADP Data'!$B$4:$Q$300, 9, FALSE)</f>
        <v>#N/A</v>
      </c>
      <c r="U228" s="11" t="e">
        <f>VLOOKUP($H228, 'ADP Data'!$B$4:$Q$300, 10, FALSE)</f>
        <v>#N/A</v>
      </c>
      <c r="V228" s="11" t="e">
        <f t="shared" si="4"/>
        <v>#N/A</v>
      </c>
      <c r="W228" s="11" t="e">
        <f>VLOOKUP($H228, SeanRanks!$A$2:$J$303, 7, FALSE)-V228</f>
        <v>#N/A</v>
      </c>
      <c r="X228" s="11"/>
    </row>
    <row r="229" spans="1:24" ht="14.25" customHeight="1" x14ac:dyDescent="0.25">
      <c r="A229" s="11"/>
      <c r="B229" s="11" t="e">
        <f t="shared" si="0"/>
        <v>#N/A</v>
      </c>
      <c r="C229" s="11" t="s">
        <v>148</v>
      </c>
      <c r="D229" s="11">
        <v>4</v>
      </c>
      <c r="E229" s="11">
        <v>3</v>
      </c>
      <c r="F229" s="11">
        <f t="shared" si="1"/>
        <v>1</v>
      </c>
      <c r="G229" s="11" t="s">
        <v>148</v>
      </c>
      <c r="H229" s="11" t="s">
        <v>128</v>
      </c>
      <c r="I229" s="11" t="e">
        <f>VLOOKUP($H229, 'ADP Data'!$B$4:$Q$300, 2, FALSE)</f>
        <v>#N/A</v>
      </c>
      <c r="J229" s="11" t="e">
        <f>VLOOKUP($H229, 'ADP Data'!$B$4:$Q$300, 3, FALSE)</f>
        <v>#N/A</v>
      </c>
      <c r="K229" s="11">
        <f>VLOOKUP($H229, SeanRanks!$A$2:$H$303, 4, FALSE)</f>
        <v>0</v>
      </c>
      <c r="L229" s="11">
        <f>VLOOKUP($H229, SeanRanks!$A$2:$H$303, 5, FALSE)</f>
        <v>0</v>
      </c>
      <c r="M229" s="11">
        <f t="shared" si="2"/>
        <v>16</v>
      </c>
      <c r="N229" s="11" t="e">
        <f>VLOOKUP($H229, 'ADP Data'!$B$4:$Q$300, 11, FALSE)</f>
        <v>#N/A</v>
      </c>
      <c r="O229" s="11" t="e">
        <f>VLOOKUP($H229, 'ADP Data'!$B$4:$Q$300, 5, FALSE)</f>
        <v>#N/A</v>
      </c>
      <c r="P229" s="11" t="e">
        <f t="shared" si="3"/>
        <v>#N/A</v>
      </c>
      <c r="Q229" s="11" t="e">
        <f>VLOOKUP($H229, 'ADP Data'!$B$4:$Q$300, 6, FALSE)</f>
        <v>#N/A</v>
      </c>
      <c r="R229" s="11" t="e">
        <f>VLOOKUP($H229, 'ADP Data'!$B$4:$Q$300, 7, FALSE)</f>
        <v>#N/A</v>
      </c>
      <c r="S229" s="11" t="e">
        <f>VLOOKUP($H229, 'ADP Data'!$B$4:$Q$300, 8, FALSE)</f>
        <v>#N/A</v>
      </c>
      <c r="T229" s="11" t="e">
        <f>VLOOKUP($H229, 'ADP Data'!$B$4:$Q$300, 9, FALSE)</f>
        <v>#N/A</v>
      </c>
      <c r="U229" s="11" t="e">
        <f>VLOOKUP($H229, 'ADP Data'!$B$4:$Q$300, 10, FALSE)</f>
        <v>#N/A</v>
      </c>
      <c r="V229" s="11" t="e">
        <f t="shared" si="4"/>
        <v>#N/A</v>
      </c>
      <c r="W229" s="11" t="e">
        <f>VLOOKUP($H229, SeanRanks!$A$2:$J$303, 7, FALSE)-V229</f>
        <v>#N/A</v>
      </c>
      <c r="X229" s="11" t="s">
        <v>1174</v>
      </c>
    </row>
    <row r="230" spans="1:24" ht="14.25" customHeight="1" x14ac:dyDescent="0.25">
      <c r="A230" s="11"/>
      <c r="B230" s="11" t="e">
        <f t="shared" si="0"/>
        <v>#N/A</v>
      </c>
      <c r="C230" s="11" t="s">
        <v>148</v>
      </c>
      <c r="D230" s="11">
        <v>1</v>
      </c>
      <c r="E230" s="11"/>
      <c r="F230" s="11">
        <f t="shared" si="1"/>
        <v>1</v>
      </c>
      <c r="G230" s="11" t="s">
        <v>119</v>
      </c>
      <c r="H230" s="11" t="s">
        <v>1302</v>
      </c>
      <c r="I230" s="11" t="e">
        <f>VLOOKUP($H230, 'ADP Data'!$B$4:$Q$300, 2, FALSE)</f>
        <v>#N/A</v>
      </c>
      <c r="J230" s="11" t="e">
        <f>VLOOKUP($H230, 'ADP Data'!$B$4:$Q$300, 3, FALSE)</f>
        <v>#N/A</v>
      </c>
      <c r="K230" s="11" t="e">
        <f>VLOOKUP($H230, SeanRanks!$A$2:$H$303, 4, FALSE)</f>
        <v>#N/A</v>
      </c>
      <c r="L230" s="11" t="e">
        <f>VLOOKUP($H230, SeanRanks!$A$2:$H$303, 5, FALSE)</f>
        <v>#N/A</v>
      </c>
      <c r="M230" s="11">
        <f t="shared" si="2"/>
        <v>16</v>
      </c>
      <c r="N230" s="11" t="e">
        <f>VLOOKUP($H230, 'ADP Data'!$B$4:$Q$300, 11, FALSE)</f>
        <v>#N/A</v>
      </c>
      <c r="O230" s="11" t="e">
        <f>VLOOKUP($H230, 'ADP Data'!$B$4:$Q$300, 5, FALSE)</f>
        <v>#N/A</v>
      </c>
      <c r="P230" s="11" t="e">
        <f t="shared" si="3"/>
        <v>#N/A</v>
      </c>
      <c r="Q230" s="11" t="e">
        <f>VLOOKUP($H230, 'ADP Data'!$B$4:$Q$300, 6, FALSE)</f>
        <v>#N/A</v>
      </c>
      <c r="R230" s="11" t="e">
        <f>VLOOKUP($H230, 'ADP Data'!$B$4:$Q$300, 7, FALSE)</f>
        <v>#N/A</v>
      </c>
      <c r="S230" s="11" t="e">
        <f>VLOOKUP($H230, 'ADP Data'!$B$4:$Q$300, 8, FALSE)</f>
        <v>#N/A</v>
      </c>
      <c r="T230" s="11" t="e">
        <f>VLOOKUP($H230, 'ADP Data'!$B$4:$Q$300, 9, FALSE)</f>
        <v>#N/A</v>
      </c>
      <c r="U230" s="11" t="e">
        <f>VLOOKUP($H230, 'ADP Data'!$B$4:$Q$300, 10, FALSE)</f>
        <v>#N/A</v>
      </c>
      <c r="V230" s="11" t="e">
        <f t="shared" si="4"/>
        <v>#N/A</v>
      </c>
      <c r="W230" s="11" t="e">
        <f>VLOOKUP($H230, SeanRanks!$A$2:$J$303, 7, FALSE)-V230</f>
        <v>#N/A</v>
      </c>
      <c r="X230" s="11"/>
    </row>
    <row r="231" spans="1:24" ht="14.25" customHeight="1" x14ac:dyDescent="0.25">
      <c r="A231" s="11"/>
      <c r="B231" s="11" t="e">
        <f t="shared" si="0"/>
        <v>#N/A</v>
      </c>
      <c r="C231" s="11" t="s">
        <v>148</v>
      </c>
      <c r="D231" s="11">
        <v>1</v>
      </c>
      <c r="E231" s="11"/>
      <c r="F231" s="11">
        <f t="shared" si="1"/>
        <v>1</v>
      </c>
      <c r="G231" s="11"/>
      <c r="H231" s="11" t="s">
        <v>1219</v>
      </c>
      <c r="I231" s="11" t="e">
        <f>VLOOKUP($H231, 'ADP Data'!$B$4:$Q$300, 2, FALSE)</f>
        <v>#N/A</v>
      </c>
      <c r="J231" s="11" t="e">
        <f>VLOOKUP($H231, 'ADP Data'!$B$4:$Q$300, 3, FALSE)</f>
        <v>#N/A</v>
      </c>
      <c r="K231" s="11" t="e">
        <f>VLOOKUP($H231, SeanRanks!$A$2:$H$303, 4, FALSE)</f>
        <v>#N/A</v>
      </c>
      <c r="L231" s="11" t="e">
        <f>VLOOKUP($H231, SeanRanks!$A$2:$H$303, 5, FALSE)</f>
        <v>#N/A</v>
      </c>
      <c r="M231" s="11">
        <f t="shared" si="2"/>
        <v>16</v>
      </c>
      <c r="N231" s="11" t="e">
        <f>VLOOKUP($H231, 'ADP Data'!$B$4:$Q$300, 11, FALSE)</f>
        <v>#N/A</v>
      </c>
      <c r="O231" s="11" t="e">
        <f>VLOOKUP($H231, 'ADP Data'!$B$4:$Q$300, 5, FALSE)</f>
        <v>#N/A</v>
      </c>
      <c r="P231" s="11" t="e">
        <f t="shared" si="3"/>
        <v>#N/A</v>
      </c>
      <c r="Q231" s="11" t="e">
        <f>VLOOKUP($H231, 'ADP Data'!$B$4:$Q$300, 6, FALSE)</f>
        <v>#N/A</v>
      </c>
      <c r="R231" s="11" t="e">
        <f>VLOOKUP($H231, 'ADP Data'!$B$4:$Q$300, 7, FALSE)</f>
        <v>#N/A</v>
      </c>
      <c r="S231" s="11" t="e">
        <f>VLOOKUP($H231, 'ADP Data'!$B$4:$Q$300, 8, FALSE)</f>
        <v>#N/A</v>
      </c>
      <c r="T231" s="11" t="e">
        <f>VLOOKUP($H231, 'ADP Data'!$B$4:$Q$300, 9, FALSE)</f>
        <v>#N/A</v>
      </c>
      <c r="U231" s="11" t="e">
        <f>VLOOKUP($H231, 'ADP Data'!$B$4:$Q$300, 10, FALSE)</f>
        <v>#N/A</v>
      </c>
      <c r="V231" s="11" t="e">
        <f t="shared" si="4"/>
        <v>#N/A</v>
      </c>
      <c r="W231" s="11" t="e">
        <f>VLOOKUP($H231, SeanRanks!$A$2:$J$303, 7, FALSE)-V231</f>
        <v>#N/A</v>
      </c>
      <c r="X231" s="11" t="s">
        <v>1303</v>
      </c>
    </row>
    <row r="232" spans="1:24" ht="14.25" customHeight="1" x14ac:dyDescent="0.25">
      <c r="A232" s="11"/>
      <c r="B232" s="11" t="e">
        <f t="shared" si="0"/>
        <v>#N/A</v>
      </c>
      <c r="C232" s="11" t="s">
        <v>148</v>
      </c>
      <c r="D232" s="11">
        <v>1</v>
      </c>
      <c r="E232" s="11">
        <v>0</v>
      </c>
      <c r="F232" s="11">
        <f t="shared" si="1"/>
        <v>1</v>
      </c>
      <c r="G232" s="11"/>
      <c r="H232" s="11" t="s">
        <v>1304</v>
      </c>
      <c r="I232" s="11" t="e">
        <f>VLOOKUP($H232, 'ADP Data'!$B$4:$Q$300, 2, FALSE)</f>
        <v>#N/A</v>
      </c>
      <c r="J232" s="11" t="e">
        <f>VLOOKUP($H232, 'ADP Data'!$B$4:$Q$300, 3, FALSE)</f>
        <v>#N/A</v>
      </c>
      <c r="K232" s="11" t="e">
        <f>VLOOKUP($H232, SeanRanks!$A$2:$H$303, 4, FALSE)</f>
        <v>#N/A</v>
      </c>
      <c r="L232" s="11" t="e">
        <f>VLOOKUP($H232, SeanRanks!$A$2:$H$303, 5, FALSE)</f>
        <v>#N/A</v>
      </c>
      <c r="M232" s="11">
        <f t="shared" si="2"/>
        <v>16</v>
      </c>
      <c r="N232" s="11" t="e">
        <f>VLOOKUP($H232, 'ADP Data'!$B$4:$Q$300, 11, FALSE)</f>
        <v>#N/A</v>
      </c>
      <c r="O232" s="11" t="e">
        <f>VLOOKUP($H232, 'ADP Data'!$B$4:$Q$300, 5, FALSE)</f>
        <v>#N/A</v>
      </c>
      <c r="P232" s="11" t="e">
        <f t="shared" si="3"/>
        <v>#N/A</v>
      </c>
      <c r="Q232" s="11" t="e">
        <f>VLOOKUP($H232, 'ADP Data'!$B$4:$Q$300, 6, FALSE)</f>
        <v>#N/A</v>
      </c>
      <c r="R232" s="11" t="e">
        <f>VLOOKUP($H232, 'ADP Data'!$B$4:$Q$300, 7, FALSE)</f>
        <v>#N/A</v>
      </c>
      <c r="S232" s="11" t="e">
        <f>VLOOKUP($H232, 'ADP Data'!$B$4:$Q$300, 8, FALSE)</f>
        <v>#N/A</v>
      </c>
      <c r="T232" s="11" t="e">
        <f>VLOOKUP($H232, 'ADP Data'!$B$4:$Q$300, 9, FALSE)</f>
        <v>#N/A</v>
      </c>
      <c r="U232" s="11" t="e">
        <f>VLOOKUP($H232, 'ADP Data'!$B$4:$Q$300, 10, FALSE)</f>
        <v>#N/A</v>
      </c>
      <c r="V232" s="11" t="e">
        <f t="shared" si="4"/>
        <v>#N/A</v>
      </c>
      <c r="W232" s="11" t="e">
        <f>VLOOKUP($H232, SeanRanks!$A$2:$J$303, 7, FALSE)-V232</f>
        <v>#N/A</v>
      </c>
      <c r="X232" s="11"/>
    </row>
    <row r="233" spans="1:24" ht="14.25" customHeight="1" x14ac:dyDescent="0.25">
      <c r="A233" s="11"/>
      <c r="B233" s="11" t="e">
        <f t="shared" si="0"/>
        <v>#N/A</v>
      </c>
      <c r="C233" s="11" t="s">
        <v>148</v>
      </c>
      <c r="D233" s="11">
        <v>1</v>
      </c>
      <c r="E233" s="11"/>
      <c r="F233" s="11">
        <f t="shared" si="1"/>
        <v>1</v>
      </c>
      <c r="G233" s="11"/>
      <c r="H233" s="11" t="s">
        <v>118</v>
      </c>
      <c r="I233" s="11" t="e">
        <f>VLOOKUP($H233, 'ADP Data'!$B$4:$Q$300, 2, FALSE)</f>
        <v>#N/A</v>
      </c>
      <c r="J233" s="11" t="e">
        <f>VLOOKUP($H233, 'ADP Data'!$B$4:$Q$300, 3, FALSE)</f>
        <v>#N/A</v>
      </c>
      <c r="K233" s="11"/>
      <c r="L233" s="11"/>
      <c r="M233" s="11">
        <f t="shared" si="2"/>
        <v>16</v>
      </c>
      <c r="N233" s="11" t="e">
        <f>VLOOKUP($H233, 'ADP Data'!$B$4:$Q$300, 11, FALSE)</f>
        <v>#N/A</v>
      </c>
      <c r="O233" s="11" t="e">
        <f>VLOOKUP($H233, 'ADP Data'!$B$4:$Q$300, 5, FALSE)</f>
        <v>#N/A</v>
      </c>
      <c r="P233" s="11" t="e">
        <f t="shared" si="3"/>
        <v>#N/A</v>
      </c>
      <c r="Q233" s="11" t="e">
        <f>VLOOKUP($H233, 'ADP Data'!$B$4:$Q$300, 6, FALSE)</f>
        <v>#N/A</v>
      </c>
      <c r="R233" s="11" t="e">
        <f>VLOOKUP($H233, 'ADP Data'!$B$4:$Q$300, 7, FALSE)</f>
        <v>#N/A</v>
      </c>
      <c r="S233" s="11" t="e">
        <f>VLOOKUP($H233, 'ADP Data'!$B$4:$Q$300, 8, FALSE)</f>
        <v>#N/A</v>
      </c>
      <c r="T233" s="11" t="e">
        <f>VLOOKUP($H233, 'ADP Data'!$B$4:$Q$300, 9, FALSE)</f>
        <v>#N/A</v>
      </c>
      <c r="U233" s="11" t="e">
        <f>VLOOKUP($H233, 'ADP Data'!$B$4:$Q$300, 10, FALSE)</f>
        <v>#N/A</v>
      </c>
      <c r="V233" s="11" t="e">
        <f t="shared" si="4"/>
        <v>#N/A</v>
      </c>
      <c r="W233" s="11" t="e">
        <f>VLOOKUP($H233, SeanRanks!$A$2:$J$303, 7, FALSE)-V233</f>
        <v>#N/A</v>
      </c>
      <c r="X233" s="11" t="s">
        <v>1305</v>
      </c>
    </row>
    <row r="234" spans="1:24" ht="14.25" customHeight="1" x14ac:dyDescent="0.25">
      <c r="A234" s="11"/>
      <c r="B234" s="11" t="e">
        <f t="shared" si="0"/>
        <v>#N/A</v>
      </c>
      <c r="C234" s="11" t="s">
        <v>148</v>
      </c>
      <c r="D234" s="11">
        <v>70</v>
      </c>
      <c r="E234" s="11">
        <v>68</v>
      </c>
      <c r="F234" s="11">
        <f t="shared" si="1"/>
        <v>2</v>
      </c>
      <c r="G234" s="11"/>
      <c r="H234" s="11" t="s">
        <v>58</v>
      </c>
      <c r="I234" s="11" t="e">
        <f>VLOOKUP($H234, 'ADP Data'!$B$4:$Q$300, 2, FALSE)</f>
        <v>#N/A</v>
      </c>
      <c r="J234" s="11" t="e">
        <f>VLOOKUP($H234, 'ADP Data'!$B$4:$Q$300, 3, FALSE)</f>
        <v>#N/A</v>
      </c>
      <c r="K234" s="11">
        <f>VLOOKUP($H234, SeanRanks!$A$2:$H$303, 4, FALSE)</f>
        <v>0</v>
      </c>
      <c r="L234" s="11" t="str">
        <f>VLOOKUP($H234, SeanRanks!$A$2:$H$303, 5, FALSE)</f>
        <v>No</v>
      </c>
      <c r="M234" s="11">
        <f t="shared" si="2"/>
        <v>16</v>
      </c>
      <c r="N234" s="11" t="e">
        <f>VLOOKUP($H234, 'ADP Data'!$B$4:$Q$300, 11, FALSE)</f>
        <v>#N/A</v>
      </c>
      <c r="O234" s="11" t="e">
        <f>VLOOKUP($H234, 'ADP Data'!$B$4:$Q$300, 5, FALSE)</f>
        <v>#N/A</v>
      </c>
      <c r="P234" s="11" t="e">
        <f t="shared" si="3"/>
        <v>#N/A</v>
      </c>
      <c r="Q234" s="11" t="e">
        <f>VLOOKUP($H234, 'ADP Data'!$B$4:$Q$300, 6, FALSE)</f>
        <v>#N/A</v>
      </c>
      <c r="R234" s="11" t="e">
        <f>VLOOKUP($H234, 'ADP Data'!$B$4:$Q$300, 7, FALSE)</f>
        <v>#N/A</v>
      </c>
      <c r="S234" s="11" t="e">
        <f>VLOOKUP($H234, 'ADP Data'!$B$4:$Q$300, 8, FALSE)</f>
        <v>#N/A</v>
      </c>
      <c r="T234" s="11" t="e">
        <f>VLOOKUP($H234, 'ADP Data'!$B$4:$Q$300, 9, FALSE)</f>
        <v>#N/A</v>
      </c>
      <c r="U234" s="11" t="e">
        <f>VLOOKUP($H234, 'ADP Data'!$B$4:$Q$300, 10, FALSE)</f>
        <v>#N/A</v>
      </c>
      <c r="V234" s="11" t="e">
        <f t="shared" si="4"/>
        <v>#N/A</v>
      </c>
      <c r="W234" s="11" t="e">
        <f>VLOOKUP($H234, SeanRanks!$A$2:$J$303, 7, FALSE)-V234</f>
        <v>#N/A</v>
      </c>
      <c r="X234" s="11"/>
    </row>
    <row r="235" spans="1:24" ht="14.25" customHeight="1" x14ac:dyDescent="0.25">
      <c r="A235" s="11"/>
      <c r="B235" s="11" t="e">
        <f t="shared" si="0"/>
        <v>#N/A</v>
      </c>
      <c r="C235" s="11" t="s">
        <v>148</v>
      </c>
      <c r="D235" s="11">
        <v>37</v>
      </c>
      <c r="E235" s="11">
        <v>35</v>
      </c>
      <c r="F235" s="11">
        <f t="shared" si="1"/>
        <v>2</v>
      </c>
      <c r="G235" s="11"/>
      <c r="H235" s="11" t="s">
        <v>349</v>
      </c>
      <c r="I235" s="11" t="e">
        <f>VLOOKUP($H235, 'ADP Data'!$B$4:$Q$300, 2, FALSE)</f>
        <v>#N/A</v>
      </c>
      <c r="J235" s="11" t="e">
        <f>VLOOKUP($H235, 'ADP Data'!$B$4:$Q$300, 3, FALSE)</f>
        <v>#N/A</v>
      </c>
      <c r="K235" s="11" t="s">
        <v>1307</v>
      </c>
      <c r="L235" s="11" t="str">
        <f>VLOOKUP($H235, SeanRanks!$A$2:$H$303, 5, FALSE)</f>
        <v>No</v>
      </c>
      <c r="M235" s="11">
        <f t="shared" si="2"/>
        <v>16</v>
      </c>
      <c r="N235" s="11" t="e">
        <f>VLOOKUP($H235, 'ADP Data'!$B$4:$Q$300, 11, FALSE)</f>
        <v>#N/A</v>
      </c>
      <c r="O235" s="11" t="e">
        <f>VLOOKUP($H235, 'ADP Data'!$B$4:$Q$300, 5, FALSE)</f>
        <v>#N/A</v>
      </c>
      <c r="P235" s="11" t="e">
        <f t="shared" si="3"/>
        <v>#N/A</v>
      </c>
      <c r="Q235" s="11" t="e">
        <f>VLOOKUP($H235, 'ADP Data'!$B$4:$Q$300, 6, FALSE)</f>
        <v>#N/A</v>
      </c>
      <c r="R235" s="11" t="e">
        <f>VLOOKUP($H235, 'ADP Data'!$B$4:$Q$300, 7, FALSE)</f>
        <v>#N/A</v>
      </c>
      <c r="S235" s="11" t="e">
        <f>VLOOKUP($H235, 'ADP Data'!$B$4:$Q$300, 8, FALSE)</f>
        <v>#N/A</v>
      </c>
      <c r="T235" s="11" t="e">
        <f>VLOOKUP($H235, 'ADP Data'!$B$4:$Q$300, 9, FALSE)</f>
        <v>#N/A</v>
      </c>
      <c r="U235" s="11" t="e">
        <f>VLOOKUP($H235, 'ADP Data'!$B$4:$Q$300, 10, FALSE)</f>
        <v>#N/A</v>
      </c>
      <c r="V235" s="11" t="e">
        <f t="shared" si="4"/>
        <v>#N/A</v>
      </c>
      <c r="W235" s="11" t="e">
        <f>VLOOKUP($H235, SeanRanks!$A$2:$J$303, 7, FALSE)-V235</f>
        <v>#N/A</v>
      </c>
      <c r="X235" s="11"/>
    </row>
    <row r="236" spans="1:24" ht="14.25" customHeight="1" x14ac:dyDescent="0.25">
      <c r="A236" s="11"/>
      <c r="B236" s="11" t="e">
        <f t="shared" si="0"/>
        <v>#N/A</v>
      </c>
      <c r="C236" s="11" t="s">
        <v>148</v>
      </c>
      <c r="D236" s="11">
        <v>23</v>
      </c>
      <c r="E236" s="11">
        <v>21</v>
      </c>
      <c r="F236" s="11">
        <f t="shared" si="1"/>
        <v>2</v>
      </c>
      <c r="G236" s="11" t="s">
        <v>148</v>
      </c>
      <c r="H236" s="11" t="s">
        <v>250</v>
      </c>
      <c r="I236" s="11" t="e">
        <f>VLOOKUP($H236, 'ADP Data'!$B$4:$Q$300, 2, FALSE)</f>
        <v>#N/A</v>
      </c>
      <c r="J236" s="11" t="e">
        <f>VLOOKUP($H236, 'ADP Data'!$B$4:$Q$300, 3, FALSE)</f>
        <v>#N/A</v>
      </c>
      <c r="K236" s="11" t="s">
        <v>1307</v>
      </c>
      <c r="L236" s="11" t="str">
        <f>VLOOKUP($H236, SeanRanks!$A$2:$H$303, 5, FALSE)</f>
        <v>Yes</v>
      </c>
      <c r="M236" s="11">
        <f t="shared" si="2"/>
        <v>16</v>
      </c>
      <c r="N236" s="11" t="e">
        <f>VLOOKUP($H236, 'ADP Data'!$B$4:$Q$300, 11, FALSE)</f>
        <v>#N/A</v>
      </c>
      <c r="O236" s="11" t="e">
        <f>VLOOKUP($H236, 'ADP Data'!$B$4:$Q$300, 5, FALSE)</f>
        <v>#N/A</v>
      </c>
      <c r="P236" s="11" t="e">
        <f t="shared" si="3"/>
        <v>#N/A</v>
      </c>
      <c r="Q236" s="11" t="e">
        <f>VLOOKUP($H236, 'ADP Data'!$B$4:$Q$300, 6, FALSE)</f>
        <v>#N/A</v>
      </c>
      <c r="R236" s="11" t="e">
        <f>VLOOKUP($H236, 'ADP Data'!$B$4:$Q$300, 7, FALSE)</f>
        <v>#N/A</v>
      </c>
      <c r="S236" s="11" t="e">
        <f>VLOOKUP($H236, 'ADP Data'!$B$4:$Q$300, 8, FALSE)</f>
        <v>#N/A</v>
      </c>
      <c r="T236" s="11" t="e">
        <f>VLOOKUP($H236, 'ADP Data'!$B$4:$Q$300, 9, FALSE)</f>
        <v>#N/A</v>
      </c>
      <c r="U236" s="11" t="e">
        <f>VLOOKUP($H236, 'ADP Data'!$B$4:$Q$300, 10, FALSE)</f>
        <v>#N/A</v>
      </c>
      <c r="V236" s="11" t="e">
        <f t="shared" si="4"/>
        <v>#N/A</v>
      </c>
      <c r="W236" s="11" t="e">
        <f>VLOOKUP($H236, SeanRanks!$A$2:$J$303, 7, FALSE)-V236</f>
        <v>#N/A</v>
      </c>
      <c r="X236" s="11"/>
    </row>
    <row r="237" spans="1:24" ht="14.25" customHeight="1" x14ac:dyDescent="0.25">
      <c r="A237" s="11"/>
      <c r="B237" s="11" t="e">
        <f t="shared" si="0"/>
        <v>#N/A</v>
      </c>
      <c r="C237" s="11" t="s">
        <v>148</v>
      </c>
      <c r="D237" s="11">
        <v>15</v>
      </c>
      <c r="E237" s="11">
        <v>13</v>
      </c>
      <c r="F237" s="11">
        <f t="shared" si="1"/>
        <v>2</v>
      </c>
      <c r="G237" s="11"/>
      <c r="H237" s="11" t="s">
        <v>174</v>
      </c>
      <c r="I237" s="11" t="e">
        <f>VLOOKUP($H237, 'ADP Data'!$B$4:$Q$300, 2, FALSE)</f>
        <v>#N/A</v>
      </c>
      <c r="J237" s="11" t="e">
        <f>VLOOKUP($H237, 'ADP Data'!$B$4:$Q$300, 3, FALSE)</f>
        <v>#N/A</v>
      </c>
      <c r="K237" s="11" t="s">
        <v>1161</v>
      </c>
      <c r="L237" s="11">
        <v>4</v>
      </c>
      <c r="M237" s="11">
        <f t="shared" si="2"/>
        <v>16</v>
      </c>
      <c r="N237" s="11" t="e">
        <f>VLOOKUP($H237, 'ADP Data'!$B$4:$Q$300, 11, FALSE)</f>
        <v>#N/A</v>
      </c>
      <c r="O237" s="11" t="e">
        <f>VLOOKUP($H237, 'ADP Data'!$B$4:$Q$300, 5, FALSE)</f>
        <v>#N/A</v>
      </c>
      <c r="P237" s="11" t="e">
        <f t="shared" si="3"/>
        <v>#N/A</v>
      </c>
      <c r="Q237" s="11" t="e">
        <f>VLOOKUP($H237, 'ADP Data'!$B$4:$Q$300, 6, FALSE)</f>
        <v>#N/A</v>
      </c>
      <c r="R237" s="11" t="e">
        <f>VLOOKUP($H237, 'ADP Data'!$B$4:$Q$300, 7, FALSE)</f>
        <v>#N/A</v>
      </c>
      <c r="S237" s="11" t="e">
        <f>VLOOKUP($H237, 'ADP Data'!$B$4:$Q$300, 8, FALSE)</f>
        <v>#N/A</v>
      </c>
      <c r="T237" s="11" t="e">
        <f>VLOOKUP($H237, 'ADP Data'!$B$4:$Q$300, 9, FALSE)</f>
        <v>#N/A</v>
      </c>
      <c r="U237" s="11" t="e">
        <f>VLOOKUP($H237, 'ADP Data'!$B$4:$Q$300, 10, FALSE)</f>
        <v>#N/A</v>
      </c>
      <c r="V237" s="11" t="e">
        <f t="shared" si="4"/>
        <v>#N/A</v>
      </c>
      <c r="W237" s="11" t="e">
        <f>VLOOKUP($H237, SeanRanks!$A$2:$J$303, 7, FALSE)-V237</f>
        <v>#N/A</v>
      </c>
      <c r="X237" s="11"/>
    </row>
    <row r="238" spans="1:24" ht="14.25" customHeight="1" x14ac:dyDescent="0.25">
      <c r="A238" s="11"/>
      <c r="B238" s="11" t="e">
        <f t="shared" si="0"/>
        <v>#N/A</v>
      </c>
      <c r="C238" s="11" t="s">
        <v>148</v>
      </c>
      <c r="D238" s="11">
        <v>10</v>
      </c>
      <c r="E238" s="11">
        <v>8</v>
      </c>
      <c r="F238" s="11">
        <f t="shared" si="1"/>
        <v>2</v>
      </c>
      <c r="G238" s="11"/>
      <c r="H238" s="11" t="s">
        <v>274</v>
      </c>
      <c r="I238" s="11" t="e">
        <f>VLOOKUP($H238, 'ADP Data'!$B$4:$Q$300, 2, FALSE)</f>
        <v>#N/A</v>
      </c>
      <c r="J238" s="11" t="e">
        <f>VLOOKUP($H238, 'ADP Data'!$B$4:$Q$300, 3, FALSE)</f>
        <v>#N/A</v>
      </c>
      <c r="K238" s="11" t="s">
        <v>781</v>
      </c>
      <c r="L238" s="11">
        <f>VLOOKUP($H238, SeanRanks!$A$2:$H$303, 5, FALSE)</f>
        <v>0</v>
      </c>
      <c r="M238" s="11">
        <f t="shared" si="2"/>
        <v>16</v>
      </c>
      <c r="N238" s="11" t="e">
        <f>VLOOKUP($H238, 'ADP Data'!$B$4:$Q$300, 11, FALSE)</f>
        <v>#N/A</v>
      </c>
      <c r="O238" s="11" t="e">
        <f>VLOOKUP($H238, 'ADP Data'!$B$4:$Q$300, 5, FALSE)</f>
        <v>#N/A</v>
      </c>
      <c r="P238" s="11" t="e">
        <f t="shared" si="3"/>
        <v>#N/A</v>
      </c>
      <c r="Q238" s="11" t="e">
        <f>VLOOKUP($H238, 'ADP Data'!$B$4:$Q$300, 6, FALSE)</f>
        <v>#N/A</v>
      </c>
      <c r="R238" s="11" t="e">
        <f>VLOOKUP($H238, 'ADP Data'!$B$4:$Q$300, 7, FALSE)</f>
        <v>#N/A</v>
      </c>
      <c r="S238" s="11" t="e">
        <f>VLOOKUP($H238, 'ADP Data'!$B$4:$Q$300, 8, FALSE)</f>
        <v>#N/A</v>
      </c>
      <c r="T238" s="11" t="e">
        <f>VLOOKUP($H238, 'ADP Data'!$B$4:$Q$300, 9, FALSE)</f>
        <v>#N/A</v>
      </c>
      <c r="U238" s="11" t="e">
        <f>VLOOKUP($H238, 'ADP Data'!$B$4:$Q$300, 10, FALSE)</f>
        <v>#N/A</v>
      </c>
      <c r="V238" s="11" t="e">
        <f t="shared" si="4"/>
        <v>#N/A</v>
      </c>
      <c r="W238" s="11" t="e">
        <f>VLOOKUP($H238, SeanRanks!$A$2:$J$303, 7, FALSE)-V238</f>
        <v>#N/A</v>
      </c>
      <c r="X238" s="11"/>
    </row>
    <row r="239" spans="1:24" ht="14.25" customHeight="1" x14ac:dyDescent="0.25">
      <c r="A239" s="11"/>
      <c r="B239" s="11" t="e">
        <f t="shared" si="0"/>
        <v>#N/A</v>
      </c>
      <c r="C239" s="11" t="s">
        <v>148</v>
      </c>
      <c r="D239" s="11">
        <v>46</v>
      </c>
      <c r="E239" s="11">
        <v>44</v>
      </c>
      <c r="F239" s="11">
        <f t="shared" si="1"/>
        <v>2</v>
      </c>
      <c r="G239" s="11"/>
      <c r="H239" s="11" t="s">
        <v>192</v>
      </c>
      <c r="I239" s="11" t="e">
        <f>VLOOKUP($H239, 'ADP Data'!$B$4:$Q$300, 2, FALSE)</f>
        <v>#N/A</v>
      </c>
      <c r="J239" s="11" t="e">
        <f>VLOOKUP($H239, 'ADP Data'!$B$4:$Q$300, 3, FALSE)</f>
        <v>#N/A</v>
      </c>
      <c r="K239" s="11">
        <f>VLOOKUP($H239, SeanRanks!$A$2:$H$303, 4, FALSE)</f>
        <v>0</v>
      </c>
      <c r="L239" s="11">
        <f>VLOOKUP($H239, SeanRanks!$A$2:$H$303, 5, FALSE)</f>
        <v>0</v>
      </c>
      <c r="M239" s="11">
        <f t="shared" si="2"/>
        <v>16</v>
      </c>
      <c r="N239" s="11" t="e">
        <f>VLOOKUP($H239, 'ADP Data'!$B$4:$Q$300, 11, FALSE)</f>
        <v>#N/A</v>
      </c>
      <c r="O239" s="11" t="e">
        <f>VLOOKUP($H239, 'ADP Data'!$B$4:$Q$300, 5, FALSE)</f>
        <v>#N/A</v>
      </c>
      <c r="P239" s="11" t="e">
        <f t="shared" si="3"/>
        <v>#N/A</v>
      </c>
      <c r="Q239" s="11" t="e">
        <f>VLOOKUP($H239, 'ADP Data'!$B$4:$Q$300, 6, FALSE)</f>
        <v>#N/A</v>
      </c>
      <c r="R239" s="11" t="e">
        <f>VLOOKUP($H239, 'ADP Data'!$B$4:$Q$300, 7, FALSE)</f>
        <v>#N/A</v>
      </c>
      <c r="S239" s="11" t="e">
        <f>VLOOKUP($H239, 'ADP Data'!$B$4:$Q$300, 8, FALSE)</f>
        <v>#N/A</v>
      </c>
      <c r="T239" s="11" t="e">
        <f>VLOOKUP($H239, 'ADP Data'!$B$4:$Q$300, 9, FALSE)</f>
        <v>#N/A</v>
      </c>
      <c r="U239" s="11" t="e">
        <f>VLOOKUP($H239, 'ADP Data'!$B$4:$Q$300, 10, FALSE)</f>
        <v>#N/A</v>
      </c>
      <c r="V239" s="11" t="e">
        <f t="shared" si="4"/>
        <v>#N/A</v>
      </c>
      <c r="W239" s="11" t="e">
        <f>VLOOKUP($H239, SeanRanks!$A$2:$J$303, 7, FALSE)-V239</f>
        <v>#N/A</v>
      </c>
      <c r="X239" s="11"/>
    </row>
    <row r="240" spans="1:24" ht="14.25" customHeight="1" x14ac:dyDescent="0.25">
      <c r="A240" s="11"/>
      <c r="B240" s="11" t="e">
        <f t="shared" si="0"/>
        <v>#N/A</v>
      </c>
      <c r="C240" s="11" t="s">
        <v>148</v>
      </c>
      <c r="D240" s="11">
        <v>27</v>
      </c>
      <c r="E240" s="11">
        <v>25</v>
      </c>
      <c r="F240" s="11">
        <f t="shared" si="1"/>
        <v>2</v>
      </c>
      <c r="G240" s="11"/>
      <c r="H240" s="11" t="s">
        <v>409</v>
      </c>
      <c r="I240" s="11" t="e">
        <f>VLOOKUP($H240, 'ADP Data'!$B$4:$Q$300, 2, FALSE)</f>
        <v>#N/A</v>
      </c>
      <c r="J240" s="11" t="e">
        <f>VLOOKUP($H240, 'ADP Data'!$B$4:$Q$300, 3, FALSE)</f>
        <v>#N/A</v>
      </c>
      <c r="K240" s="11">
        <f>VLOOKUP($H240, SeanRanks!$A$2:$H$303, 4, FALSE)</f>
        <v>0</v>
      </c>
      <c r="L240" s="11">
        <f>VLOOKUP($H240, SeanRanks!$A$2:$H$303, 5, FALSE)</f>
        <v>0</v>
      </c>
      <c r="M240" s="11">
        <f t="shared" si="2"/>
        <v>16</v>
      </c>
      <c r="N240" s="11" t="e">
        <f>VLOOKUP($H240, 'ADP Data'!$B$4:$Q$300, 11, FALSE)</f>
        <v>#N/A</v>
      </c>
      <c r="O240" s="11" t="e">
        <f>VLOOKUP($H240, 'ADP Data'!$B$4:$Q$300, 5, FALSE)</f>
        <v>#N/A</v>
      </c>
      <c r="P240" s="11" t="e">
        <f t="shared" si="3"/>
        <v>#N/A</v>
      </c>
      <c r="Q240" s="11" t="e">
        <f>VLOOKUP($H240, 'ADP Data'!$B$4:$Q$300, 6, FALSE)</f>
        <v>#N/A</v>
      </c>
      <c r="R240" s="11" t="e">
        <f>VLOOKUP($H240, 'ADP Data'!$B$4:$Q$300, 7, FALSE)</f>
        <v>#N/A</v>
      </c>
      <c r="S240" s="11" t="e">
        <f>VLOOKUP($H240, 'ADP Data'!$B$4:$Q$300, 8, FALSE)</f>
        <v>#N/A</v>
      </c>
      <c r="T240" s="11" t="e">
        <f>VLOOKUP($H240, 'ADP Data'!$B$4:$Q$300, 9, FALSE)</f>
        <v>#N/A</v>
      </c>
      <c r="U240" s="11" t="e">
        <f>VLOOKUP($H240, 'ADP Data'!$B$4:$Q$300, 10, FALSE)</f>
        <v>#N/A</v>
      </c>
      <c r="V240" s="11" t="e">
        <f t="shared" si="4"/>
        <v>#N/A</v>
      </c>
      <c r="W240" s="11" t="e">
        <f>VLOOKUP($H240, SeanRanks!$A$2:$J$303, 7, FALSE)-V240</f>
        <v>#N/A</v>
      </c>
      <c r="X240" s="11"/>
    </row>
    <row r="241" spans="1:24" ht="14.25" customHeight="1" x14ac:dyDescent="0.25">
      <c r="A241" s="11"/>
      <c r="B241" s="11" t="e">
        <f t="shared" si="0"/>
        <v>#N/A</v>
      </c>
      <c r="C241" s="11" t="s">
        <v>148</v>
      </c>
      <c r="D241" s="11">
        <v>42</v>
      </c>
      <c r="E241" s="60">
        <v>40</v>
      </c>
      <c r="F241" s="11">
        <f t="shared" si="1"/>
        <v>2</v>
      </c>
      <c r="G241" s="60"/>
      <c r="H241" s="60" t="s">
        <v>562</v>
      </c>
      <c r="I241" s="60" t="e">
        <f>VLOOKUP($H241, 'ADP Data'!$B$4:$Q$300, 2, FALSE)</f>
        <v>#N/A</v>
      </c>
      <c r="J241" s="60" t="e">
        <f>VLOOKUP($H241, 'ADP Data'!$B$4:$Q$300, 3, FALSE)</f>
        <v>#N/A</v>
      </c>
      <c r="K241" s="60">
        <f>VLOOKUP($H241, SeanRanks!$A$2:$H$303, 4, FALSE)</f>
        <v>0</v>
      </c>
      <c r="L241" s="11">
        <f>VLOOKUP($H241, SeanRanks!$A$2:$H$303, 5, FALSE)</f>
        <v>0</v>
      </c>
      <c r="M241" s="11">
        <f t="shared" si="2"/>
        <v>16</v>
      </c>
      <c r="N241" s="11" t="e">
        <f>VLOOKUP($H241, 'ADP Data'!$B$4:$Q$300, 11, FALSE)</f>
        <v>#N/A</v>
      </c>
      <c r="O241" s="11" t="e">
        <f>VLOOKUP($H241, 'ADP Data'!$B$4:$Q$300, 5, FALSE)</f>
        <v>#N/A</v>
      </c>
      <c r="P241" s="11" t="e">
        <f t="shared" si="3"/>
        <v>#N/A</v>
      </c>
      <c r="Q241" s="11" t="e">
        <f>VLOOKUP($H241, 'ADP Data'!$B$4:$Q$300, 6, FALSE)</f>
        <v>#N/A</v>
      </c>
      <c r="R241" s="11" t="e">
        <f>VLOOKUP($H241, 'ADP Data'!$B$4:$Q$300, 7, FALSE)</f>
        <v>#N/A</v>
      </c>
      <c r="S241" s="11" t="e">
        <f>VLOOKUP($H241, 'ADP Data'!$B$4:$Q$300, 8, FALSE)</f>
        <v>#N/A</v>
      </c>
      <c r="T241" s="11" t="e">
        <f>VLOOKUP($H241, 'ADP Data'!$B$4:$Q$300, 9, FALSE)</f>
        <v>#N/A</v>
      </c>
      <c r="U241" s="11" t="e">
        <f>VLOOKUP($H241, 'ADP Data'!$B$4:$Q$300, 10, FALSE)</f>
        <v>#N/A</v>
      </c>
      <c r="V241" s="11" t="e">
        <f t="shared" si="4"/>
        <v>#N/A</v>
      </c>
      <c r="W241" s="11" t="e">
        <f>VLOOKUP($H241, SeanRanks!$A$2:$J$303, 7, FALSE)-V241</f>
        <v>#N/A</v>
      </c>
      <c r="X241" s="60"/>
    </row>
    <row r="242" spans="1:24" ht="14.25" customHeight="1" x14ac:dyDescent="0.25">
      <c r="A242" s="11"/>
      <c r="B242" s="11" t="e">
        <f t="shared" si="0"/>
        <v>#N/A</v>
      </c>
      <c r="C242" s="11" t="s">
        <v>148</v>
      </c>
      <c r="D242" s="11">
        <v>2</v>
      </c>
      <c r="E242" s="11"/>
      <c r="F242" s="11">
        <f t="shared" si="1"/>
        <v>2</v>
      </c>
      <c r="G242" s="11" t="s">
        <v>119</v>
      </c>
      <c r="H242" s="11" t="s">
        <v>625</v>
      </c>
      <c r="I242" s="11" t="e">
        <f>VLOOKUP($H242, 'ADP Data'!$B$4:$Q$300, 2, FALSE)</f>
        <v>#N/A</v>
      </c>
      <c r="J242" s="11" t="e">
        <f>VLOOKUP($H242, 'ADP Data'!$B$4:$Q$300, 3, FALSE)</f>
        <v>#N/A</v>
      </c>
      <c r="K242" s="11" t="s">
        <v>1186</v>
      </c>
      <c r="L242" s="11">
        <f>VLOOKUP($H242, SeanRanks!$A$2:$H$303, 5, FALSE)</f>
        <v>0</v>
      </c>
      <c r="M242" s="11">
        <f t="shared" si="2"/>
        <v>16</v>
      </c>
      <c r="N242" s="11" t="e">
        <f>VLOOKUP($H242, 'ADP Data'!$B$4:$Q$300, 11, FALSE)</f>
        <v>#N/A</v>
      </c>
      <c r="O242" s="11" t="e">
        <f>VLOOKUP($H242, 'ADP Data'!$B$4:$Q$300, 5, FALSE)</f>
        <v>#N/A</v>
      </c>
      <c r="P242" s="11" t="e">
        <f t="shared" si="3"/>
        <v>#N/A</v>
      </c>
      <c r="Q242" s="11" t="e">
        <f>VLOOKUP($H242, 'ADP Data'!$B$4:$Q$300, 6, FALSE)</f>
        <v>#N/A</v>
      </c>
      <c r="R242" s="11" t="e">
        <f>VLOOKUP($H242, 'ADP Data'!$B$4:$Q$300, 7, FALSE)</f>
        <v>#N/A</v>
      </c>
      <c r="S242" s="11" t="e">
        <f>VLOOKUP($H242, 'ADP Data'!$B$4:$Q$300, 8, FALSE)</f>
        <v>#N/A</v>
      </c>
      <c r="T242" s="11" t="e">
        <f>VLOOKUP($H242, 'ADP Data'!$B$4:$Q$300, 9, FALSE)</f>
        <v>#N/A</v>
      </c>
      <c r="U242" s="11" t="e">
        <f>VLOOKUP($H242, 'ADP Data'!$B$4:$Q$300, 10, FALSE)</f>
        <v>#N/A</v>
      </c>
      <c r="V242" s="11" t="e">
        <f t="shared" si="4"/>
        <v>#N/A</v>
      </c>
      <c r="W242" s="11" t="e">
        <f>VLOOKUP($H242, SeanRanks!$A$2:$J$303, 7, FALSE)-V242</f>
        <v>#N/A</v>
      </c>
      <c r="X242" s="11"/>
    </row>
    <row r="243" spans="1:24" ht="14.25" customHeight="1" x14ac:dyDescent="0.25">
      <c r="A243" s="11" t="s">
        <v>1156</v>
      </c>
      <c r="B243" s="11" t="e">
        <f t="shared" si="0"/>
        <v>#N/A</v>
      </c>
      <c r="C243" s="11" t="s">
        <v>148</v>
      </c>
      <c r="D243" s="11">
        <v>3</v>
      </c>
      <c r="E243" s="11">
        <v>3</v>
      </c>
      <c r="F243" s="11">
        <f t="shared" si="1"/>
        <v>0</v>
      </c>
      <c r="G243" s="11" t="s">
        <v>148</v>
      </c>
      <c r="H243" s="11" t="s">
        <v>109</v>
      </c>
      <c r="I243" s="11" t="e">
        <f>VLOOKUP($H243, 'ADP Data'!$B$4:$Q$300, 2, FALSE)</f>
        <v>#N/A</v>
      </c>
      <c r="J243" s="11" t="e">
        <f>VLOOKUP($H243, 'ADP Data'!$B$4:$Q$300, 3, FALSE)</f>
        <v>#N/A</v>
      </c>
      <c r="K243" s="11">
        <f>VLOOKUP($H243, SeanRanks!$A$2:$H$303, 4, FALSE)</f>
        <v>0</v>
      </c>
      <c r="L243" s="11">
        <f>VLOOKUP($H243, SeanRanks!$A$2:$H$303, 5, FALSE)</f>
        <v>0</v>
      </c>
      <c r="M243" s="11">
        <f t="shared" si="2"/>
        <v>16</v>
      </c>
      <c r="N243" s="11" t="e">
        <f>VLOOKUP($H243, 'ADP Data'!$B$4:$Q$300, 11, FALSE)</f>
        <v>#N/A</v>
      </c>
      <c r="O243" s="11" t="e">
        <f>VLOOKUP($H243, 'ADP Data'!$B$4:$Q$300, 5, FALSE)</f>
        <v>#N/A</v>
      </c>
      <c r="P243" s="11" t="e">
        <f t="shared" si="3"/>
        <v>#N/A</v>
      </c>
      <c r="Q243" s="11" t="e">
        <f>VLOOKUP($H243, 'ADP Data'!$B$4:$Q$300, 6, FALSE)</f>
        <v>#N/A</v>
      </c>
      <c r="R243" s="11" t="e">
        <f>VLOOKUP($H243, 'ADP Data'!$B$4:$Q$300, 7, FALSE)</f>
        <v>#N/A</v>
      </c>
      <c r="S243" s="11" t="e">
        <f>VLOOKUP($H243, 'ADP Data'!$B$4:$Q$300, 8, FALSE)</f>
        <v>#N/A</v>
      </c>
      <c r="T243" s="11" t="e">
        <f>VLOOKUP($H243, 'ADP Data'!$B$4:$Q$300, 9, FALSE)</f>
        <v>#N/A</v>
      </c>
      <c r="U243" s="11" t="e">
        <f>VLOOKUP($H243, 'ADP Data'!$B$4:$Q$300, 10, FALSE)</f>
        <v>#N/A</v>
      </c>
      <c r="V243" s="11" t="e">
        <f t="shared" si="4"/>
        <v>#N/A</v>
      </c>
      <c r="W243" s="11" t="e">
        <f>VLOOKUP($H243, SeanRanks!$A$2:$J$303, 7, FALSE)-V243</f>
        <v>#N/A</v>
      </c>
      <c r="X243" s="11" t="s">
        <v>1310</v>
      </c>
    </row>
    <row r="244" spans="1:24" ht="14.25" customHeight="1" x14ac:dyDescent="0.25">
      <c r="A244" s="11"/>
      <c r="B244" s="11" t="e">
        <f t="shared" si="0"/>
        <v>#N/A</v>
      </c>
      <c r="C244" s="11" t="s">
        <v>148</v>
      </c>
      <c r="D244" s="11">
        <v>2</v>
      </c>
      <c r="E244" s="11"/>
      <c r="F244" s="11">
        <f t="shared" si="1"/>
        <v>2</v>
      </c>
      <c r="G244" s="11" t="s">
        <v>148</v>
      </c>
      <c r="H244" s="11" t="s">
        <v>397</v>
      </c>
      <c r="I244" s="11" t="e">
        <f>VLOOKUP($H244, 'ADP Data'!$B$4:$Q$300, 2, FALSE)</f>
        <v>#N/A</v>
      </c>
      <c r="J244" s="11" t="e">
        <f>VLOOKUP($H244, 'ADP Data'!$B$4:$Q$300, 3, FALSE)</f>
        <v>#N/A</v>
      </c>
      <c r="K244" s="11" t="s">
        <v>1167</v>
      </c>
      <c r="L244" s="11">
        <f>VLOOKUP($H244, SeanRanks!$A$2:$H$303, 5, FALSE)</f>
        <v>0</v>
      </c>
      <c r="M244" s="11">
        <f t="shared" si="2"/>
        <v>16</v>
      </c>
      <c r="N244" s="11" t="e">
        <f>VLOOKUP($H244, 'ADP Data'!$B$4:$Q$300, 11, FALSE)</f>
        <v>#N/A</v>
      </c>
      <c r="O244" s="11" t="e">
        <f>VLOOKUP($H244, 'ADP Data'!$B$4:$Q$300, 5, FALSE)</f>
        <v>#N/A</v>
      </c>
      <c r="P244" s="11" t="e">
        <f t="shared" si="3"/>
        <v>#N/A</v>
      </c>
      <c r="Q244" s="11" t="e">
        <f>VLOOKUP($H244, 'ADP Data'!$B$4:$Q$300, 6, FALSE)</f>
        <v>#N/A</v>
      </c>
      <c r="R244" s="11" t="e">
        <f>VLOOKUP($H244, 'ADP Data'!$B$4:$Q$300, 7, FALSE)</f>
        <v>#N/A</v>
      </c>
      <c r="S244" s="11" t="e">
        <f>VLOOKUP($H244, 'ADP Data'!$B$4:$Q$300, 8, FALSE)</f>
        <v>#N/A</v>
      </c>
      <c r="T244" s="11" t="e">
        <f>VLOOKUP($H244, 'ADP Data'!$B$4:$Q$300, 9, FALSE)</f>
        <v>#N/A</v>
      </c>
      <c r="U244" s="11" t="e">
        <f>VLOOKUP($H244, 'ADP Data'!$B$4:$Q$300, 10, FALSE)</f>
        <v>#N/A</v>
      </c>
      <c r="V244" s="11" t="e">
        <f t="shared" si="4"/>
        <v>#N/A</v>
      </c>
      <c r="W244" s="11" t="e">
        <f>VLOOKUP($H244, SeanRanks!$A$2:$J$303, 7, FALSE)-V244</f>
        <v>#N/A</v>
      </c>
      <c r="X244" s="11"/>
    </row>
    <row r="245" spans="1:24" ht="14.25" customHeight="1" x14ac:dyDescent="0.25">
      <c r="A245" s="11"/>
      <c r="B245" s="11" t="e">
        <f t="shared" si="0"/>
        <v>#N/A</v>
      </c>
      <c r="C245" s="11" t="s">
        <v>148</v>
      </c>
      <c r="D245" s="11">
        <v>17</v>
      </c>
      <c r="E245" s="11">
        <v>15</v>
      </c>
      <c r="F245" s="11">
        <f t="shared" si="1"/>
        <v>2</v>
      </c>
      <c r="G245" s="11" t="s">
        <v>119</v>
      </c>
      <c r="H245" s="11" t="s">
        <v>897</v>
      </c>
      <c r="I245" s="11" t="e">
        <f>VLOOKUP($H245, 'ADP Data'!$B$4:$Q$300, 2, FALSE)</f>
        <v>#N/A</v>
      </c>
      <c r="J245" s="11" t="e">
        <f>VLOOKUP($H245, 'ADP Data'!$B$4:$Q$300, 3, FALSE)</f>
        <v>#N/A</v>
      </c>
      <c r="K245" s="11">
        <f>VLOOKUP($H245, SeanRanks!$A$2:$H$303, 4, FALSE)</f>
        <v>0</v>
      </c>
      <c r="L245" s="11">
        <f>VLOOKUP($H245, SeanRanks!$A$2:$H$303, 5, FALSE)</f>
        <v>0</v>
      </c>
      <c r="M245" s="11">
        <f t="shared" si="2"/>
        <v>16</v>
      </c>
      <c r="N245" s="11" t="e">
        <f>VLOOKUP($H245, 'ADP Data'!$B$4:$Q$300, 11, FALSE)</f>
        <v>#N/A</v>
      </c>
      <c r="O245" s="11" t="e">
        <f>VLOOKUP($H245, 'ADP Data'!$B$4:$Q$300, 5, FALSE)</f>
        <v>#N/A</v>
      </c>
      <c r="P245" s="11" t="e">
        <f t="shared" si="3"/>
        <v>#N/A</v>
      </c>
      <c r="Q245" s="11" t="e">
        <f>VLOOKUP($H245, 'ADP Data'!$B$4:$Q$300, 6, FALSE)</f>
        <v>#N/A</v>
      </c>
      <c r="R245" s="11" t="e">
        <f>VLOOKUP($H245, 'ADP Data'!$B$4:$Q$300, 7, FALSE)</f>
        <v>#N/A</v>
      </c>
      <c r="S245" s="11" t="e">
        <f>VLOOKUP($H245, 'ADP Data'!$B$4:$Q$300, 8, FALSE)</f>
        <v>#N/A</v>
      </c>
      <c r="T245" s="11" t="e">
        <f>VLOOKUP($H245, 'ADP Data'!$B$4:$Q$300, 9, FALSE)</f>
        <v>#N/A</v>
      </c>
      <c r="U245" s="11" t="e">
        <f>VLOOKUP($H245, 'ADP Data'!$B$4:$Q$300, 10, FALSE)</f>
        <v>#N/A</v>
      </c>
      <c r="V245" s="11" t="e">
        <f t="shared" si="4"/>
        <v>#N/A</v>
      </c>
      <c r="W245" s="11" t="e">
        <f>VLOOKUP($H245, SeanRanks!$A$2:$J$303, 7, FALSE)-V245</f>
        <v>#N/A</v>
      </c>
      <c r="X245" s="11" t="s">
        <v>1189</v>
      </c>
    </row>
    <row r="246" spans="1:24" ht="14.25" customHeight="1" x14ac:dyDescent="0.25">
      <c r="A246" s="11"/>
      <c r="B246" s="11" t="e">
        <f t="shared" si="0"/>
        <v>#N/A</v>
      </c>
      <c r="C246" s="11" t="s">
        <v>148</v>
      </c>
      <c r="D246" s="11">
        <v>14</v>
      </c>
      <c r="E246" s="60">
        <v>12</v>
      </c>
      <c r="F246" s="11">
        <f t="shared" si="1"/>
        <v>2</v>
      </c>
      <c r="G246" s="60" t="s">
        <v>119</v>
      </c>
      <c r="H246" s="60" t="s">
        <v>916</v>
      </c>
      <c r="I246" s="60" t="e">
        <f>VLOOKUP($H246, 'ADP Data'!$B$4:$Q$300, 2, FALSE)</f>
        <v>#N/A</v>
      </c>
      <c r="J246" s="60" t="e">
        <f>VLOOKUP($H246, 'ADP Data'!$B$4:$Q$300, 3, FALSE)</f>
        <v>#N/A</v>
      </c>
      <c r="K246" s="60" t="e">
        <f>VLOOKUP($H246, SeanRanks!$A$2:$H$303, 4, FALSE)</f>
        <v>#N/A</v>
      </c>
      <c r="L246" s="60" t="e">
        <f>VLOOKUP($H246, SeanRanks!$A$2:$H$303, 5, FALSE)</f>
        <v>#N/A</v>
      </c>
      <c r="M246" s="11">
        <f t="shared" si="2"/>
        <v>16</v>
      </c>
      <c r="N246" s="11" t="e">
        <f>VLOOKUP($H246, 'ADP Data'!$B$4:$Q$300, 11, FALSE)</f>
        <v>#N/A</v>
      </c>
      <c r="O246" s="11" t="e">
        <f>VLOOKUP($H246, 'ADP Data'!$B$4:$Q$300, 5, FALSE)</f>
        <v>#N/A</v>
      </c>
      <c r="P246" s="11" t="e">
        <f t="shared" si="3"/>
        <v>#N/A</v>
      </c>
      <c r="Q246" s="11" t="e">
        <f>VLOOKUP($H246, 'ADP Data'!$B$4:$Q$300, 6, FALSE)</f>
        <v>#N/A</v>
      </c>
      <c r="R246" s="11" t="e">
        <f>VLOOKUP($H246, 'ADP Data'!$B$4:$Q$300, 7, FALSE)</f>
        <v>#N/A</v>
      </c>
      <c r="S246" s="11" t="e">
        <f>VLOOKUP($H246, 'ADP Data'!$B$4:$Q$300, 8, FALSE)</f>
        <v>#N/A</v>
      </c>
      <c r="T246" s="11" t="e">
        <f>VLOOKUP($H246, 'ADP Data'!$B$4:$Q$300, 9, FALSE)</f>
        <v>#N/A</v>
      </c>
      <c r="U246" s="11" t="e">
        <f>VLOOKUP($H246, 'ADP Data'!$B$4:$Q$300, 10, FALSE)</f>
        <v>#N/A</v>
      </c>
      <c r="V246" s="11" t="e">
        <f t="shared" si="4"/>
        <v>#N/A</v>
      </c>
      <c r="W246" s="11" t="e">
        <f>VLOOKUP($H246, SeanRanks!$A$2:$J$303, 7, FALSE)-V246</f>
        <v>#N/A</v>
      </c>
      <c r="X246" s="60"/>
    </row>
    <row r="247" spans="1:24" ht="14.25" customHeight="1" x14ac:dyDescent="0.25">
      <c r="A247" s="11"/>
      <c r="B247" s="11" t="e">
        <f t="shared" si="0"/>
        <v>#N/A</v>
      </c>
      <c r="C247" s="11" t="s">
        <v>148</v>
      </c>
      <c r="D247" s="11">
        <v>7</v>
      </c>
      <c r="E247" s="11">
        <v>5</v>
      </c>
      <c r="F247" s="11">
        <f t="shared" si="1"/>
        <v>2</v>
      </c>
      <c r="G247" s="11"/>
      <c r="H247" s="11" t="s">
        <v>810</v>
      </c>
      <c r="I247" s="11" t="e">
        <f>VLOOKUP($H247, 'ADP Data'!$B$4:$Q$300, 2, FALSE)</f>
        <v>#N/A</v>
      </c>
      <c r="J247" s="11" t="e">
        <f>VLOOKUP($H247, 'ADP Data'!$B$4:$Q$300, 3, FALSE)</f>
        <v>#N/A</v>
      </c>
      <c r="K247" s="11">
        <f>VLOOKUP($H247, SeanRanks!$A$2:$H$303, 4, FALSE)</f>
        <v>0</v>
      </c>
      <c r="L247" s="11">
        <f>VLOOKUP($H247, SeanRanks!$A$2:$H$303, 5, FALSE)</f>
        <v>0</v>
      </c>
      <c r="M247" s="11">
        <f t="shared" si="2"/>
        <v>16</v>
      </c>
      <c r="N247" s="11" t="e">
        <f>VLOOKUP($H247, 'ADP Data'!$B$4:$Q$300, 11, FALSE)</f>
        <v>#N/A</v>
      </c>
      <c r="O247" s="11" t="e">
        <f>VLOOKUP($H247, 'ADP Data'!$B$4:$Q$300, 5, FALSE)</f>
        <v>#N/A</v>
      </c>
      <c r="P247" s="11" t="e">
        <f t="shared" si="3"/>
        <v>#N/A</v>
      </c>
      <c r="Q247" s="11" t="e">
        <f>VLOOKUP($H247, 'ADP Data'!$B$4:$Q$300, 6, FALSE)</f>
        <v>#N/A</v>
      </c>
      <c r="R247" s="11" t="e">
        <f>VLOOKUP($H247, 'ADP Data'!$B$4:$Q$300, 7, FALSE)</f>
        <v>#N/A</v>
      </c>
      <c r="S247" s="11" t="e">
        <f>VLOOKUP($H247, 'ADP Data'!$B$4:$Q$300, 8, FALSE)</f>
        <v>#N/A</v>
      </c>
      <c r="T247" s="11" t="e">
        <f>VLOOKUP($H247, 'ADP Data'!$B$4:$Q$300, 9, FALSE)</f>
        <v>#N/A</v>
      </c>
      <c r="U247" s="11" t="e">
        <f>VLOOKUP($H247, 'ADP Data'!$B$4:$Q$300, 10, FALSE)</f>
        <v>#N/A</v>
      </c>
      <c r="V247" s="11" t="e">
        <f t="shared" si="4"/>
        <v>#N/A</v>
      </c>
      <c r="W247" s="11" t="e">
        <f>VLOOKUP($H247, SeanRanks!$A$2:$J$303, 7, FALSE)-V247</f>
        <v>#N/A</v>
      </c>
      <c r="X247" s="11"/>
    </row>
    <row r="248" spans="1:24" ht="14.25" customHeight="1" x14ac:dyDescent="0.25">
      <c r="A248" s="11" t="s">
        <v>1156</v>
      </c>
      <c r="B248" s="11" t="e">
        <f t="shared" si="0"/>
        <v>#N/A</v>
      </c>
      <c r="C248" s="11" t="s">
        <v>148</v>
      </c>
      <c r="D248" s="11">
        <v>1</v>
      </c>
      <c r="E248" s="11">
        <v>1</v>
      </c>
      <c r="F248" s="11">
        <f t="shared" si="1"/>
        <v>0</v>
      </c>
      <c r="G248" s="11"/>
      <c r="H248" s="11" t="s">
        <v>987</v>
      </c>
      <c r="I248" s="11" t="e">
        <f>VLOOKUP($H248, 'ADP Data'!$B$4:$Q$300, 2, FALSE)</f>
        <v>#N/A</v>
      </c>
      <c r="J248" s="11" t="e">
        <f>VLOOKUP($H248, 'ADP Data'!$B$4:$Q$300, 3, FALSE)</f>
        <v>#N/A</v>
      </c>
      <c r="K248" s="11" t="e">
        <f>VLOOKUP($H248, SeanRanks!$A$2:$H$303, 4, FALSE)</f>
        <v>#N/A</v>
      </c>
      <c r="L248" s="11" t="e">
        <f>VLOOKUP($H248, SeanRanks!$A$2:$H$303, 5, FALSE)</f>
        <v>#N/A</v>
      </c>
      <c r="M248" s="11">
        <f t="shared" si="2"/>
        <v>16</v>
      </c>
      <c r="N248" s="11" t="e">
        <f>VLOOKUP($H248, 'ADP Data'!$B$4:$Q$300, 11, FALSE)</f>
        <v>#N/A</v>
      </c>
      <c r="O248" s="11" t="e">
        <f>VLOOKUP($H248, 'ADP Data'!$B$4:$Q$300, 5, FALSE)</f>
        <v>#N/A</v>
      </c>
      <c r="P248" s="11" t="e">
        <f t="shared" si="3"/>
        <v>#N/A</v>
      </c>
      <c r="Q248" s="11" t="e">
        <f>VLOOKUP($H248, 'ADP Data'!$B$4:$Q$300, 6, FALSE)</f>
        <v>#N/A</v>
      </c>
      <c r="R248" s="11" t="e">
        <f>VLOOKUP($H248, 'ADP Data'!$B$4:$Q$300, 7, FALSE)</f>
        <v>#N/A</v>
      </c>
      <c r="S248" s="11" t="e">
        <f>VLOOKUP($H248, 'ADP Data'!$B$4:$Q$300, 8, FALSE)</f>
        <v>#N/A</v>
      </c>
      <c r="T248" s="11" t="e">
        <f>VLOOKUP($H248, 'ADP Data'!$B$4:$Q$300, 9, FALSE)</f>
        <v>#N/A</v>
      </c>
      <c r="U248" s="11" t="e">
        <f>VLOOKUP($H248, 'ADP Data'!$B$4:$Q$300, 10, FALSE)</f>
        <v>#N/A</v>
      </c>
      <c r="V248" s="11" t="e">
        <f t="shared" si="4"/>
        <v>#N/A</v>
      </c>
      <c r="W248" s="11" t="e">
        <f>VLOOKUP($H248, SeanRanks!$A$2:$J$303, 7, FALSE)-V248</f>
        <v>#N/A</v>
      </c>
      <c r="X248" s="11" t="s">
        <v>1311</v>
      </c>
    </row>
    <row r="249" spans="1:24" ht="14.25" customHeight="1" x14ac:dyDescent="0.25">
      <c r="A249" s="11"/>
      <c r="B249" s="11" t="e">
        <f t="shared" si="0"/>
        <v>#N/A</v>
      </c>
      <c r="C249" s="11" t="s">
        <v>148</v>
      </c>
      <c r="D249" s="11">
        <v>7</v>
      </c>
      <c r="E249" s="11">
        <v>5</v>
      </c>
      <c r="F249" s="11">
        <f t="shared" si="1"/>
        <v>2</v>
      </c>
      <c r="G249" s="11"/>
      <c r="H249" s="11" t="s">
        <v>920</v>
      </c>
      <c r="I249" s="11" t="e">
        <f>VLOOKUP($H249, 'ADP Data'!$B$4:$Q$300, 2, FALSE)</f>
        <v>#N/A</v>
      </c>
      <c r="J249" s="11" t="e">
        <f>VLOOKUP($H249, 'ADP Data'!$B$4:$Q$300, 3, FALSE)</f>
        <v>#N/A</v>
      </c>
      <c r="K249" s="11">
        <f>VLOOKUP($H249, SeanRanks!$A$2:$H$303, 4, FALSE)</f>
        <v>0</v>
      </c>
      <c r="L249" s="11">
        <f>VLOOKUP($H249, SeanRanks!$A$2:$H$303, 5, FALSE)</f>
        <v>0</v>
      </c>
      <c r="M249" s="11">
        <f t="shared" si="2"/>
        <v>16</v>
      </c>
      <c r="N249" s="11" t="e">
        <f>VLOOKUP($H249, 'ADP Data'!$B$4:$Q$300, 11, FALSE)</f>
        <v>#N/A</v>
      </c>
      <c r="O249" s="11" t="e">
        <f>VLOOKUP($H249, 'ADP Data'!$B$4:$Q$300, 5, FALSE)</f>
        <v>#N/A</v>
      </c>
      <c r="P249" s="11" t="e">
        <f t="shared" si="3"/>
        <v>#N/A</v>
      </c>
      <c r="Q249" s="11" t="e">
        <f>VLOOKUP($H249, 'ADP Data'!$B$4:$Q$300, 6, FALSE)</f>
        <v>#N/A</v>
      </c>
      <c r="R249" s="11" t="e">
        <f>VLOOKUP($H249, 'ADP Data'!$B$4:$Q$300, 7, FALSE)</f>
        <v>#N/A</v>
      </c>
      <c r="S249" s="11" t="e">
        <f>VLOOKUP($H249, 'ADP Data'!$B$4:$Q$300, 8, FALSE)</f>
        <v>#N/A</v>
      </c>
      <c r="T249" s="11" t="e">
        <f>VLOOKUP($H249, 'ADP Data'!$B$4:$Q$300, 9, FALSE)</f>
        <v>#N/A</v>
      </c>
      <c r="U249" s="11" t="e">
        <f>VLOOKUP($H249, 'ADP Data'!$B$4:$Q$300, 10, FALSE)</f>
        <v>#N/A</v>
      </c>
      <c r="V249" s="11" t="e">
        <f t="shared" si="4"/>
        <v>#N/A</v>
      </c>
      <c r="W249" s="11" t="e">
        <f>VLOOKUP($H249, SeanRanks!$A$2:$J$303, 7, FALSE)-V249</f>
        <v>#N/A</v>
      </c>
      <c r="X249" s="11"/>
    </row>
    <row r="250" spans="1:24" ht="14.25" customHeight="1" x14ac:dyDescent="0.25">
      <c r="A250" s="11"/>
      <c r="B250" s="11" t="e">
        <f t="shared" si="0"/>
        <v>#N/A</v>
      </c>
      <c r="C250" s="11" t="s">
        <v>148</v>
      </c>
      <c r="D250" s="11">
        <v>6</v>
      </c>
      <c r="E250" s="11">
        <v>4</v>
      </c>
      <c r="F250" s="11">
        <f t="shared" si="1"/>
        <v>2</v>
      </c>
      <c r="G250" s="11"/>
      <c r="H250" s="11" t="s">
        <v>1220</v>
      </c>
      <c r="I250" s="11" t="e">
        <f>VLOOKUP($H250, 'ADP Data'!$B$4:$Q$300, 2, FALSE)</f>
        <v>#N/A</v>
      </c>
      <c r="J250" s="11" t="e">
        <f>VLOOKUP($H250, 'ADP Data'!$B$4:$Q$300, 3, FALSE)</f>
        <v>#N/A</v>
      </c>
      <c r="K250" s="11" t="e">
        <f>VLOOKUP($H250, SeanRanks!$A$2:$H$303, 4, FALSE)</f>
        <v>#N/A</v>
      </c>
      <c r="L250" s="11" t="e">
        <f>VLOOKUP($H250, SeanRanks!$A$2:$H$303, 5, FALSE)</f>
        <v>#N/A</v>
      </c>
      <c r="M250" s="11">
        <f t="shared" si="2"/>
        <v>16</v>
      </c>
      <c r="N250" s="11" t="e">
        <f>VLOOKUP($H250, 'ADP Data'!$B$4:$Q$300, 11, FALSE)</f>
        <v>#N/A</v>
      </c>
      <c r="O250" s="11" t="e">
        <f>VLOOKUP($H250, 'ADP Data'!$B$4:$Q$300, 5, FALSE)</f>
        <v>#N/A</v>
      </c>
      <c r="P250" s="11" t="e">
        <f t="shared" si="3"/>
        <v>#N/A</v>
      </c>
      <c r="Q250" s="11" t="e">
        <f>VLOOKUP($H250, 'ADP Data'!$B$4:$Q$300, 6, FALSE)</f>
        <v>#N/A</v>
      </c>
      <c r="R250" s="11" t="e">
        <f>VLOOKUP($H250, 'ADP Data'!$B$4:$Q$300, 7, FALSE)</f>
        <v>#N/A</v>
      </c>
      <c r="S250" s="11" t="e">
        <f>VLOOKUP($H250, 'ADP Data'!$B$4:$Q$300, 8, FALSE)</f>
        <v>#N/A</v>
      </c>
      <c r="T250" s="11" t="e">
        <f>VLOOKUP($H250, 'ADP Data'!$B$4:$Q$300, 9, FALSE)</f>
        <v>#N/A</v>
      </c>
      <c r="U250" s="11" t="e">
        <f>VLOOKUP($H250, 'ADP Data'!$B$4:$Q$300, 10, FALSE)</f>
        <v>#N/A</v>
      </c>
      <c r="V250" s="11" t="e">
        <f t="shared" si="4"/>
        <v>#N/A</v>
      </c>
      <c r="W250" s="11" t="e">
        <f>VLOOKUP($H250, SeanRanks!$A$2:$J$303, 7, FALSE)-V250</f>
        <v>#N/A</v>
      </c>
      <c r="X250" s="11"/>
    </row>
    <row r="251" spans="1:24" ht="14.25" customHeight="1" x14ac:dyDescent="0.25">
      <c r="A251" s="11"/>
      <c r="B251" s="11" t="e">
        <f t="shared" si="0"/>
        <v>#N/A</v>
      </c>
      <c r="C251" s="11" t="s">
        <v>148</v>
      </c>
      <c r="D251" s="11">
        <v>3</v>
      </c>
      <c r="E251" s="11">
        <v>1</v>
      </c>
      <c r="F251" s="11">
        <f t="shared" si="1"/>
        <v>2</v>
      </c>
      <c r="G251" s="11"/>
      <c r="H251" s="11" t="s">
        <v>1312</v>
      </c>
      <c r="I251" s="11" t="e">
        <f>VLOOKUP($H251, 'ADP Data'!$B$4:$Q$300, 2, FALSE)</f>
        <v>#N/A</v>
      </c>
      <c r="J251" s="11" t="e">
        <f>VLOOKUP($H251, 'ADP Data'!$B$4:$Q$300, 3, FALSE)</f>
        <v>#N/A</v>
      </c>
      <c r="K251" s="11" t="e">
        <f>VLOOKUP($H251, SeanRanks!$A$2:$H$303, 4, FALSE)</f>
        <v>#N/A</v>
      </c>
      <c r="L251" s="11" t="e">
        <f>VLOOKUP($H251, SeanRanks!$A$2:$H$303, 5, FALSE)</f>
        <v>#N/A</v>
      </c>
      <c r="M251" s="11">
        <f t="shared" si="2"/>
        <v>16</v>
      </c>
      <c r="N251" s="11" t="e">
        <f>VLOOKUP($H251, 'ADP Data'!$B$4:$Q$300, 11, FALSE)</f>
        <v>#N/A</v>
      </c>
      <c r="O251" s="11" t="e">
        <f>VLOOKUP($H251, 'ADP Data'!$B$4:$Q$300, 5, FALSE)</f>
        <v>#N/A</v>
      </c>
      <c r="P251" s="11" t="e">
        <f t="shared" si="3"/>
        <v>#N/A</v>
      </c>
      <c r="Q251" s="11" t="e">
        <f>VLOOKUP($H251, 'ADP Data'!$B$4:$Q$300, 6, FALSE)</f>
        <v>#N/A</v>
      </c>
      <c r="R251" s="11" t="e">
        <f>VLOOKUP($H251, 'ADP Data'!$B$4:$Q$300, 7, FALSE)</f>
        <v>#N/A</v>
      </c>
      <c r="S251" s="11" t="e">
        <f>VLOOKUP($H251, 'ADP Data'!$B$4:$Q$300, 8, FALSE)</f>
        <v>#N/A</v>
      </c>
      <c r="T251" s="11" t="e">
        <f>VLOOKUP($H251, 'ADP Data'!$B$4:$Q$300, 9, FALSE)</f>
        <v>#N/A</v>
      </c>
      <c r="U251" s="11" t="e">
        <f>VLOOKUP($H251, 'ADP Data'!$B$4:$Q$300, 10, FALSE)</f>
        <v>#N/A</v>
      </c>
      <c r="V251" s="11" t="e">
        <f t="shared" si="4"/>
        <v>#N/A</v>
      </c>
      <c r="W251" s="11" t="e">
        <f>VLOOKUP($H251, SeanRanks!$A$2:$J$303, 7, FALSE)-V251</f>
        <v>#N/A</v>
      </c>
      <c r="X251" s="11"/>
    </row>
    <row r="252" spans="1:24" ht="14.25" customHeight="1" x14ac:dyDescent="0.25">
      <c r="A252" s="11"/>
      <c r="B252" s="11" t="e">
        <f t="shared" si="0"/>
        <v>#N/A</v>
      </c>
      <c r="C252" s="11" t="s">
        <v>148</v>
      </c>
      <c r="D252" s="11">
        <v>5</v>
      </c>
      <c r="E252" s="11">
        <v>3</v>
      </c>
      <c r="F252" s="11">
        <f t="shared" si="1"/>
        <v>2</v>
      </c>
      <c r="G252" s="11"/>
      <c r="H252" s="11" t="s">
        <v>664</v>
      </c>
      <c r="I252" s="11" t="e">
        <f>VLOOKUP($H252, 'ADP Data'!$B$4:$Q$300, 2, FALSE)</f>
        <v>#N/A</v>
      </c>
      <c r="J252" s="11" t="e">
        <f>VLOOKUP($H252, 'ADP Data'!$B$4:$Q$300, 3, FALSE)</f>
        <v>#N/A</v>
      </c>
      <c r="K252" s="11">
        <f>VLOOKUP($H252, SeanRanks!$A$2:$H$303, 4, FALSE)</f>
        <v>0</v>
      </c>
      <c r="L252" s="11">
        <f>VLOOKUP($H252, SeanRanks!$A$2:$H$303, 5, FALSE)</f>
        <v>0</v>
      </c>
      <c r="M252" s="11">
        <f t="shared" si="2"/>
        <v>16</v>
      </c>
      <c r="N252" s="11" t="e">
        <f>VLOOKUP($H252, 'ADP Data'!$B$4:$Q$300, 11, FALSE)</f>
        <v>#N/A</v>
      </c>
      <c r="O252" s="11" t="e">
        <f>VLOOKUP($H252, 'ADP Data'!$B$4:$Q$300, 5, FALSE)</f>
        <v>#N/A</v>
      </c>
      <c r="P252" s="11" t="e">
        <f t="shared" si="3"/>
        <v>#N/A</v>
      </c>
      <c r="Q252" s="11" t="e">
        <f>VLOOKUP($H252, 'ADP Data'!$B$4:$Q$300, 6, FALSE)</f>
        <v>#N/A</v>
      </c>
      <c r="R252" s="11" t="e">
        <f>VLOOKUP($H252, 'ADP Data'!$B$4:$Q$300, 7, FALSE)</f>
        <v>#N/A</v>
      </c>
      <c r="S252" s="11" t="e">
        <f>VLOOKUP($H252, 'ADP Data'!$B$4:$Q$300, 8, FALSE)</f>
        <v>#N/A</v>
      </c>
      <c r="T252" s="11" t="e">
        <f>VLOOKUP($H252, 'ADP Data'!$B$4:$Q$300, 9, FALSE)</f>
        <v>#N/A</v>
      </c>
      <c r="U252" s="11" t="e">
        <f>VLOOKUP($H252, 'ADP Data'!$B$4:$Q$300, 10, FALSE)</f>
        <v>#N/A</v>
      </c>
      <c r="V252" s="11" t="e">
        <f t="shared" si="4"/>
        <v>#N/A</v>
      </c>
      <c r="W252" s="11" t="e">
        <f>VLOOKUP($H252, SeanRanks!$A$2:$J$303, 7, FALSE)-V252</f>
        <v>#N/A</v>
      </c>
      <c r="X252" s="11"/>
    </row>
    <row r="253" spans="1:24" ht="14.25" customHeight="1" x14ac:dyDescent="0.25">
      <c r="A253" s="11"/>
      <c r="B253" s="11" t="e">
        <f t="shared" si="0"/>
        <v>#N/A</v>
      </c>
      <c r="C253" s="11" t="s">
        <v>148</v>
      </c>
      <c r="D253" s="11">
        <v>2</v>
      </c>
      <c r="E253" s="11"/>
      <c r="F253" s="11">
        <f t="shared" si="1"/>
        <v>2</v>
      </c>
      <c r="G253" s="11" t="s">
        <v>119</v>
      </c>
      <c r="H253" s="11" t="s">
        <v>1315</v>
      </c>
      <c r="I253" s="11" t="e">
        <f>VLOOKUP($H253, 'ADP Data'!$B$4:$Q$300, 2, FALSE)</f>
        <v>#N/A</v>
      </c>
      <c r="J253" s="11" t="e">
        <f>VLOOKUP($H253, 'ADP Data'!$B$4:$Q$300, 3, FALSE)</f>
        <v>#N/A</v>
      </c>
      <c r="K253" s="11" t="e">
        <f>VLOOKUP($H253, SeanRanks!$A$2:$H$303, 4, FALSE)</f>
        <v>#N/A</v>
      </c>
      <c r="L253" s="11" t="e">
        <f>VLOOKUP($H253, SeanRanks!$A$2:$H$303, 5, FALSE)</f>
        <v>#N/A</v>
      </c>
      <c r="M253" s="11">
        <f t="shared" si="2"/>
        <v>16</v>
      </c>
      <c r="N253" s="11" t="e">
        <f>VLOOKUP($H253, 'ADP Data'!$B$4:$Q$300, 11, FALSE)</f>
        <v>#N/A</v>
      </c>
      <c r="O253" s="11" t="e">
        <f>VLOOKUP($H253, 'ADP Data'!$B$4:$Q$300, 5, FALSE)</f>
        <v>#N/A</v>
      </c>
      <c r="P253" s="11" t="e">
        <f t="shared" si="3"/>
        <v>#N/A</v>
      </c>
      <c r="Q253" s="11" t="e">
        <f>VLOOKUP($H253, 'ADP Data'!$B$4:$Q$300, 6, FALSE)</f>
        <v>#N/A</v>
      </c>
      <c r="R253" s="11" t="e">
        <f>VLOOKUP($H253, 'ADP Data'!$B$4:$Q$300, 7, FALSE)</f>
        <v>#N/A</v>
      </c>
      <c r="S253" s="11" t="e">
        <f>VLOOKUP($H253, 'ADP Data'!$B$4:$Q$300, 8, FALSE)</f>
        <v>#N/A</v>
      </c>
      <c r="T253" s="11" t="e">
        <f>VLOOKUP($H253, 'ADP Data'!$B$4:$Q$300, 9, FALSE)</f>
        <v>#N/A</v>
      </c>
      <c r="U253" s="11" t="e">
        <f>VLOOKUP($H253, 'ADP Data'!$B$4:$Q$300, 10, FALSE)</f>
        <v>#N/A</v>
      </c>
      <c r="V253" s="11" t="e">
        <f t="shared" si="4"/>
        <v>#N/A</v>
      </c>
      <c r="W253" s="11" t="e">
        <f>VLOOKUP($H253, SeanRanks!$A$2:$J$303, 7, FALSE)-V253</f>
        <v>#N/A</v>
      </c>
      <c r="X253" s="11"/>
    </row>
    <row r="254" spans="1:24" ht="14.25" customHeight="1" x14ac:dyDescent="0.25">
      <c r="A254" s="11"/>
      <c r="B254" s="11" t="e">
        <f t="shared" si="0"/>
        <v>#N/A</v>
      </c>
      <c r="C254" s="11" t="s">
        <v>148</v>
      </c>
      <c r="D254" s="11">
        <v>3</v>
      </c>
      <c r="E254" s="11">
        <v>1</v>
      </c>
      <c r="F254" s="11">
        <f t="shared" si="1"/>
        <v>2</v>
      </c>
      <c r="G254" s="11" t="s">
        <v>119</v>
      </c>
      <c r="H254" s="11" t="s">
        <v>1123</v>
      </c>
      <c r="I254" s="11" t="e">
        <f>VLOOKUP($H254, 'ADP Data'!$B$4:$Q$300, 2, FALSE)</f>
        <v>#N/A</v>
      </c>
      <c r="J254" s="11" t="e">
        <f>VLOOKUP($H254, 'ADP Data'!$B$4:$Q$300, 3, FALSE)</f>
        <v>#N/A</v>
      </c>
      <c r="K254" s="11" t="e">
        <f>VLOOKUP($H254, SeanRanks!$A$2:$H$303, 4, FALSE)</f>
        <v>#N/A</v>
      </c>
      <c r="L254" s="11" t="e">
        <f>VLOOKUP($H254, SeanRanks!$A$2:$H$303, 5, FALSE)</f>
        <v>#N/A</v>
      </c>
      <c r="M254" s="11">
        <f t="shared" si="2"/>
        <v>16</v>
      </c>
      <c r="N254" s="11" t="e">
        <f>VLOOKUP($H254, 'ADP Data'!$B$4:$Q$300, 11, FALSE)</f>
        <v>#N/A</v>
      </c>
      <c r="O254" s="11" t="e">
        <f>VLOOKUP($H254, 'ADP Data'!$B$4:$Q$300, 5, FALSE)</f>
        <v>#N/A</v>
      </c>
      <c r="P254" s="11" t="e">
        <f t="shared" si="3"/>
        <v>#N/A</v>
      </c>
      <c r="Q254" s="11" t="e">
        <f>VLOOKUP($H254, 'ADP Data'!$B$4:$Q$300, 6, FALSE)</f>
        <v>#N/A</v>
      </c>
      <c r="R254" s="11" t="e">
        <f>VLOOKUP($H254, 'ADP Data'!$B$4:$Q$300, 7, FALSE)</f>
        <v>#N/A</v>
      </c>
      <c r="S254" s="11" t="e">
        <f>VLOOKUP($H254, 'ADP Data'!$B$4:$Q$300, 8, FALSE)</f>
        <v>#N/A</v>
      </c>
      <c r="T254" s="11" t="e">
        <f>VLOOKUP($H254, 'ADP Data'!$B$4:$Q$300, 9, FALSE)</f>
        <v>#N/A</v>
      </c>
      <c r="U254" s="11" t="e">
        <f>VLOOKUP($H254, 'ADP Data'!$B$4:$Q$300, 10, FALSE)</f>
        <v>#N/A</v>
      </c>
      <c r="V254" s="11" t="e">
        <f t="shared" si="4"/>
        <v>#N/A</v>
      </c>
      <c r="W254" s="11" t="e">
        <f>VLOOKUP($H254, SeanRanks!$A$2:$J$303, 7, FALSE)-V254</f>
        <v>#N/A</v>
      </c>
      <c r="X254" s="11"/>
    </row>
    <row r="255" spans="1:24" ht="14.25" customHeight="1" x14ac:dyDescent="0.25">
      <c r="A255" s="11"/>
      <c r="B255" s="11" t="e">
        <f t="shared" si="0"/>
        <v>#N/A</v>
      </c>
      <c r="C255" s="11" t="s">
        <v>148</v>
      </c>
      <c r="D255" s="11">
        <v>2</v>
      </c>
      <c r="E255" s="11"/>
      <c r="F255" s="11">
        <f t="shared" si="1"/>
        <v>2</v>
      </c>
      <c r="G255" s="11"/>
      <c r="H255" s="11" t="s">
        <v>957</v>
      </c>
      <c r="I255" s="11" t="e">
        <f>VLOOKUP($H255, 'ADP Data'!$B$4:$Q$300, 2, FALSE)</f>
        <v>#N/A</v>
      </c>
      <c r="J255" s="11" t="e">
        <f>VLOOKUP($H255, 'ADP Data'!$B$4:$Q$300, 3, FALSE)</f>
        <v>#N/A</v>
      </c>
      <c r="K255" s="11" t="e">
        <f>VLOOKUP($H255, SeanRanks!$A$2:$H$303, 4, FALSE)</f>
        <v>#N/A</v>
      </c>
      <c r="L255" s="11" t="e">
        <f>VLOOKUP($H255, SeanRanks!$A$2:$H$303, 5, FALSE)</f>
        <v>#N/A</v>
      </c>
      <c r="M255" s="11">
        <f t="shared" si="2"/>
        <v>16</v>
      </c>
      <c r="N255" s="11" t="e">
        <f>VLOOKUP($H255, 'ADP Data'!$B$4:$Q$300, 11, FALSE)</f>
        <v>#N/A</v>
      </c>
      <c r="O255" s="11" t="e">
        <f>VLOOKUP($H255, 'ADP Data'!$B$4:$Q$300, 5, FALSE)</f>
        <v>#N/A</v>
      </c>
      <c r="P255" s="11" t="e">
        <f t="shared" si="3"/>
        <v>#N/A</v>
      </c>
      <c r="Q255" s="11" t="e">
        <f>VLOOKUP($H255, 'ADP Data'!$B$4:$Q$300, 6, FALSE)</f>
        <v>#N/A</v>
      </c>
      <c r="R255" s="11" t="e">
        <f>VLOOKUP($H255, 'ADP Data'!$B$4:$Q$300, 7, FALSE)</f>
        <v>#N/A</v>
      </c>
      <c r="S255" s="11" t="e">
        <f>VLOOKUP($H255, 'ADP Data'!$B$4:$Q$300, 8, FALSE)</f>
        <v>#N/A</v>
      </c>
      <c r="T255" s="11" t="e">
        <f>VLOOKUP($H255, 'ADP Data'!$B$4:$Q$300, 9, FALSE)</f>
        <v>#N/A</v>
      </c>
      <c r="U255" s="11" t="e">
        <f>VLOOKUP($H255, 'ADP Data'!$B$4:$Q$300, 10, FALSE)</f>
        <v>#N/A</v>
      </c>
      <c r="V255" s="11" t="e">
        <f t="shared" si="4"/>
        <v>#N/A</v>
      </c>
      <c r="W255" s="11" t="e">
        <f>VLOOKUP($H255, SeanRanks!$A$2:$J$303, 7, FALSE)-V255</f>
        <v>#N/A</v>
      </c>
      <c r="X255" s="11"/>
    </row>
    <row r="256" spans="1:24" ht="14.25" customHeight="1" x14ac:dyDescent="0.25">
      <c r="A256" s="11"/>
      <c r="B256" s="11" t="e">
        <f t="shared" si="0"/>
        <v>#N/A</v>
      </c>
      <c r="C256" s="11" t="s">
        <v>148</v>
      </c>
      <c r="D256" s="11">
        <v>2</v>
      </c>
      <c r="E256" s="11"/>
      <c r="F256" s="11">
        <f t="shared" si="1"/>
        <v>2</v>
      </c>
      <c r="G256" s="11"/>
      <c r="H256" s="11" t="s">
        <v>1235</v>
      </c>
      <c r="I256" s="11" t="e">
        <f>VLOOKUP($H256, 'ADP Data'!$B$4:$Q$300, 2, FALSE)</f>
        <v>#N/A</v>
      </c>
      <c r="J256" s="11" t="e">
        <f>VLOOKUP($H256, 'ADP Data'!$B$4:$Q$300, 3, FALSE)</f>
        <v>#N/A</v>
      </c>
      <c r="K256" s="11"/>
      <c r="L256" s="11"/>
      <c r="M256" s="11">
        <f t="shared" si="2"/>
        <v>16</v>
      </c>
      <c r="N256" s="11" t="e">
        <f>VLOOKUP($H256, 'ADP Data'!$B$4:$Q$300, 11, FALSE)</f>
        <v>#N/A</v>
      </c>
      <c r="O256" s="11" t="e">
        <f>VLOOKUP($H256, 'ADP Data'!$B$4:$Q$300, 5, FALSE)</f>
        <v>#N/A</v>
      </c>
      <c r="P256" s="11" t="e">
        <f t="shared" si="3"/>
        <v>#N/A</v>
      </c>
      <c r="Q256" s="11" t="e">
        <f>VLOOKUP($H256, 'ADP Data'!$B$4:$Q$300, 6, FALSE)</f>
        <v>#N/A</v>
      </c>
      <c r="R256" s="11" t="e">
        <f>VLOOKUP($H256, 'ADP Data'!$B$4:$Q$300, 7, FALSE)</f>
        <v>#N/A</v>
      </c>
      <c r="S256" s="11" t="e">
        <f>VLOOKUP($H256, 'ADP Data'!$B$4:$Q$300, 8, FALSE)</f>
        <v>#N/A</v>
      </c>
      <c r="T256" s="11" t="e">
        <f>VLOOKUP($H256, 'ADP Data'!$B$4:$Q$300, 9, FALSE)</f>
        <v>#N/A</v>
      </c>
      <c r="U256" s="11" t="e">
        <f>VLOOKUP($H256, 'ADP Data'!$B$4:$Q$300, 10, FALSE)</f>
        <v>#N/A</v>
      </c>
      <c r="V256" s="11" t="e">
        <f t="shared" si="4"/>
        <v>#N/A</v>
      </c>
      <c r="W256" s="11" t="e">
        <f>VLOOKUP($H256, SeanRanks!$A$2:$J$303, 7, FALSE)-V256</f>
        <v>#N/A</v>
      </c>
      <c r="X256" s="11"/>
    </row>
    <row r="257" spans="1:24" ht="14.25" customHeight="1" x14ac:dyDescent="0.25">
      <c r="A257" s="11"/>
      <c r="B257" s="11" t="e">
        <f t="shared" si="0"/>
        <v>#N/A</v>
      </c>
      <c r="C257" s="11" t="s">
        <v>148</v>
      </c>
      <c r="D257" s="11">
        <v>16</v>
      </c>
      <c r="E257" s="11">
        <v>13</v>
      </c>
      <c r="F257" s="11">
        <f t="shared" si="1"/>
        <v>3</v>
      </c>
      <c r="G257" s="11"/>
      <c r="H257" s="11" t="s">
        <v>310</v>
      </c>
      <c r="I257" s="11" t="e">
        <f>VLOOKUP($H257, 'ADP Data'!$B$4:$Q$300, 2, FALSE)</f>
        <v>#N/A</v>
      </c>
      <c r="J257" s="11" t="e">
        <f>VLOOKUP($H257, 'ADP Data'!$B$4:$Q$300, 3, FALSE)</f>
        <v>#N/A</v>
      </c>
      <c r="K257" s="11" t="s">
        <v>1161</v>
      </c>
      <c r="L257" s="11">
        <v>3</v>
      </c>
      <c r="M257" s="11">
        <f t="shared" si="2"/>
        <v>16</v>
      </c>
      <c r="N257" s="11" t="e">
        <f>VLOOKUP($H257, 'ADP Data'!$B$4:$Q$300, 11, FALSE)</f>
        <v>#N/A</v>
      </c>
      <c r="O257" s="11" t="e">
        <f>VLOOKUP($H257, 'ADP Data'!$B$4:$Q$300, 5, FALSE)</f>
        <v>#N/A</v>
      </c>
      <c r="P257" s="11" t="e">
        <f t="shared" si="3"/>
        <v>#N/A</v>
      </c>
      <c r="Q257" s="11" t="e">
        <f>VLOOKUP($H257, 'ADP Data'!$B$4:$Q$300, 6, FALSE)</f>
        <v>#N/A</v>
      </c>
      <c r="R257" s="11" t="e">
        <f>VLOOKUP($H257, 'ADP Data'!$B$4:$Q$300, 7, FALSE)</f>
        <v>#N/A</v>
      </c>
      <c r="S257" s="11" t="e">
        <f>VLOOKUP($H257, 'ADP Data'!$B$4:$Q$300, 8, FALSE)</f>
        <v>#N/A</v>
      </c>
      <c r="T257" s="11" t="e">
        <f>VLOOKUP($H257, 'ADP Data'!$B$4:$Q$300, 9, FALSE)</f>
        <v>#N/A</v>
      </c>
      <c r="U257" s="11" t="e">
        <f>VLOOKUP($H257, 'ADP Data'!$B$4:$Q$300, 10, FALSE)</f>
        <v>#N/A</v>
      </c>
      <c r="V257" s="11" t="e">
        <f t="shared" si="4"/>
        <v>#N/A</v>
      </c>
      <c r="W257" s="11" t="e">
        <f>VLOOKUP($H257, SeanRanks!$A$2:$J$303, 7, FALSE)-V257</f>
        <v>#N/A</v>
      </c>
      <c r="X257" s="11"/>
    </row>
    <row r="258" spans="1:24" ht="14.25" customHeight="1" x14ac:dyDescent="0.25">
      <c r="A258" s="11" t="s">
        <v>1156</v>
      </c>
      <c r="B258" s="11">
        <v>12</v>
      </c>
      <c r="C258" s="11" t="s">
        <v>148</v>
      </c>
      <c r="D258" s="11">
        <v>1</v>
      </c>
      <c r="E258" s="11">
        <v>3</v>
      </c>
      <c r="F258" s="11">
        <f t="shared" si="1"/>
        <v>-2</v>
      </c>
      <c r="G258" s="11" t="s">
        <v>148</v>
      </c>
      <c r="H258" s="11" t="s">
        <v>1317</v>
      </c>
      <c r="I258" s="11" t="s">
        <v>184</v>
      </c>
      <c r="J258" s="11" t="s">
        <v>762</v>
      </c>
      <c r="K258" s="11" t="e">
        <f>VLOOKUP($H258, SeanRanks!$A$2:$H$303, 4, FALSE)</f>
        <v>#N/A</v>
      </c>
      <c r="L258" s="11"/>
      <c r="M258" s="11">
        <f t="shared" si="2"/>
        <v>16</v>
      </c>
      <c r="N258" s="11" t="e">
        <f>VLOOKUP($H258, 'ADP Data'!$B$4:$Q$300, 11, FALSE)</f>
        <v>#N/A</v>
      </c>
      <c r="O258" s="11" t="e">
        <f>VLOOKUP($H258, 'ADP Data'!$B$4:$Q$300, 5, FALSE)</f>
        <v>#N/A</v>
      </c>
      <c r="P258" s="11" t="e">
        <f t="shared" si="3"/>
        <v>#N/A</v>
      </c>
      <c r="Q258" s="11" t="e">
        <f>VLOOKUP($H258, 'ADP Data'!$B$4:$Q$300, 6, FALSE)</f>
        <v>#N/A</v>
      </c>
      <c r="R258" s="11" t="e">
        <f>VLOOKUP($H258, 'ADP Data'!$B$4:$Q$300, 7, FALSE)</f>
        <v>#N/A</v>
      </c>
      <c r="S258" s="11" t="e">
        <f>VLOOKUP($H258, 'ADP Data'!$B$4:$Q$300, 8, FALSE)</f>
        <v>#N/A</v>
      </c>
      <c r="T258" s="11" t="e">
        <f>VLOOKUP($H258, 'ADP Data'!$B$4:$Q$300, 9, FALSE)</f>
        <v>#N/A</v>
      </c>
      <c r="U258" s="11" t="e">
        <f>VLOOKUP($H258, 'ADP Data'!$B$4:$Q$300, 10, FALSE)</f>
        <v>#N/A</v>
      </c>
      <c r="V258" s="11" t="e">
        <f t="shared" si="4"/>
        <v>#N/A</v>
      </c>
      <c r="W258" s="11" t="e">
        <f>VLOOKUP($H258, SeanRanks!$A$2:$J$303, 7, FALSE)-V258</f>
        <v>#N/A</v>
      </c>
      <c r="X258" s="11" t="s">
        <v>1318</v>
      </c>
    </row>
    <row r="259" spans="1:24" ht="14.25" customHeight="1" x14ac:dyDescent="0.25">
      <c r="A259" s="11"/>
      <c r="B259" s="11" t="e">
        <f t="shared" ref="B259:B302" si="5">IFERROR(INT(AVERAGE(Q259:U259)/12)+1, INT(AVERAGE(N259)/12)+1)</f>
        <v>#N/A</v>
      </c>
      <c r="C259" s="11" t="s">
        <v>148</v>
      </c>
      <c r="D259" s="11">
        <v>56</v>
      </c>
      <c r="E259" s="11">
        <v>53</v>
      </c>
      <c r="F259" s="11">
        <f t="shared" si="1"/>
        <v>3</v>
      </c>
      <c r="G259" s="11"/>
      <c r="H259" s="11" t="s">
        <v>634</v>
      </c>
      <c r="I259" s="11" t="e">
        <f>VLOOKUP($H259, 'ADP Data'!$B$4:$Q$300, 2, FALSE)</f>
        <v>#N/A</v>
      </c>
      <c r="J259" s="11" t="e">
        <f>VLOOKUP($H259, 'ADP Data'!$B$4:$Q$300, 3, FALSE)</f>
        <v>#N/A</v>
      </c>
      <c r="K259" s="11">
        <f>VLOOKUP($H259, SeanRanks!$A$2:$H$303, 4, FALSE)</f>
        <v>0</v>
      </c>
      <c r="L259" s="11">
        <f>VLOOKUP($H259, SeanRanks!$A$2:$H$303, 5, FALSE)</f>
        <v>0</v>
      </c>
      <c r="M259" s="11">
        <f t="shared" si="2"/>
        <v>16</v>
      </c>
      <c r="N259" s="11" t="e">
        <f>VLOOKUP($H259, 'ADP Data'!$B$4:$Q$300, 11, FALSE)</f>
        <v>#N/A</v>
      </c>
      <c r="O259" s="11" t="e">
        <f>VLOOKUP($H259, 'ADP Data'!$B$4:$Q$300, 5, FALSE)</f>
        <v>#N/A</v>
      </c>
      <c r="P259" s="11" t="e">
        <f t="shared" si="3"/>
        <v>#N/A</v>
      </c>
      <c r="Q259" s="11" t="e">
        <f>VLOOKUP($H259, 'ADP Data'!$B$4:$Q$300, 6, FALSE)</f>
        <v>#N/A</v>
      </c>
      <c r="R259" s="11" t="e">
        <f>VLOOKUP($H259, 'ADP Data'!$B$4:$Q$300, 7, FALSE)</f>
        <v>#N/A</v>
      </c>
      <c r="S259" s="11" t="e">
        <f>VLOOKUP($H259, 'ADP Data'!$B$4:$Q$300, 8, FALSE)</f>
        <v>#N/A</v>
      </c>
      <c r="T259" s="11" t="e">
        <f>VLOOKUP($H259, 'ADP Data'!$B$4:$Q$300, 9, FALSE)</f>
        <v>#N/A</v>
      </c>
      <c r="U259" s="11" t="e">
        <f>VLOOKUP($H259, 'ADP Data'!$B$4:$Q$300, 10, FALSE)</f>
        <v>#N/A</v>
      </c>
      <c r="V259" s="11" t="e">
        <f t="shared" si="4"/>
        <v>#N/A</v>
      </c>
      <c r="W259" s="11" t="e">
        <f>VLOOKUP($H259, SeanRanks!$A$2:$J$303, 7, FALSE)-V259</f>
        <v>#N/A</v>
      </c>
      <c r="X259" s="11"/>
    </row>
    <row r="260" spans="1:24" ht="14.25" customHeight="1" x14ac:dyDescent="0.25">
      <c r="A260" s="11"/>
      <c r="B260" s="11" t="e">
        <f t="shared" si="5"/>
        <v>#N/A</v>
      </c>
      <c r="C260" s="11" t="s">
        <v>148</v>
      </c>
      <c r="D260" s="11">
        <v>11</v>
      </c>
      <c r="E260" s="11">
        <v>8</v>
      </c>
      <c r="F260" s="11">
        <f t="shared" si="1"/>
        <v>3</v>
      </c>
      <c r="G260" s="11"/>
      <c r="H260" s="11" t="s">
        <v>235</v>
      </c>
      <c r="I260" s="11" t="e">
        <f>VLOOKUP($H260, 'ADP Data'!$B$4:$Q$300, 2, FALSE)</f>
        <v>#N/A</v>
      </c>
      <c r="J260" s="11" t="e">
        <f>VLOOKUP($H260, 'ADP Data'!$B$4:$Q$300, 3, FALSE)</f>
        <v>#N/A</v>
      </c>
      <c r="K260" s="11" t="s">
        <v>1301</v>
      </c>
      <c r="L260" s="11">
        <v>6</v>
      </c>
      <c r="M260" s="11">
        <f t="shared" si="2"/>
        <v>16</v>
      </c>
      <c r="N260" s="11" t="e">
        <f>VLOOKUP($H260, 'ADP Data'!$B$4:$Q$300, 11, FALSE)</f>
        <v>#N/A</v>
      </c>
      <c r="O260" s="11" t="e">
        <f>VLOOKUP($H260, 'ADP Data'!$B$4:$Q$300, 5, FALSE)</f>
        <v>#N/A</v>
      </c>
      <c r="P260" s="11" t="e">
        <f t="shared" si="3"/>
        <v>#N/A</v>
      </c>
      <c r="Q260" s="11" t="e">
        <f>VLOOKUP($H260, 'ADP Data'!$B$4:$Q$300, 6, FALSE)</f>
        <v>#N/A</v>
      </c>
      <c r="R260" s="11" t="e">
        <f>VLOOKUP($H260, 'ADP Data'!$B$4:$Q$300, 7, FALSE)</f>
        <v>#N/A</v>
      </c>
      <c r="S260" s="11" t="e">
        <f>VLOOKUP($H260, 'ADP Data'!$B$4:$Q$300, 8, FALSE)</f>
        <v>#N/A</v>
      </c>
      <c r="T260" s="11" t="e">
        <f>VLOOKUP($H260, 'ADP Data'!$B$4:$Q$300, 9, FALSE)</f>
        <v>#N/A</v>
      </c>
      <c r="U260" s="11" t="e">
        <f>VLOOKUP($H260, 'ADP Data'!$B$4:$Q$300, 10, FALSE)</f>
        <v>#N/A</v>
      </c>
      <c r="V260" s="11" t="e">
        <f t="shared" si="4"/>
        <v>#N/A</v>
      </c>
      <c r="W260" s="11" t="e">
        <f>VLOOKUP($H260, SeanRanks!$A$2:$J$303, 7, FALSE)-V260</f>
        <v>#N/A</v>
      </c>
      <c r="X260" s="11"/>
    </row>
    <row r="261" spans="1:24" ht="14.25" customHeight="1" x14ac:dyDescent="0.25">
      <c r="A261" s="11"/>
      <c r="B261" s="11" t="e">
        <f t="shared" si="5"/>
        <v>#N/A</v>
      </c>
      <c r="C261" s="11" t="s">
        <v>148</v>
      </c>
      <c r="D261" s="11">
        <v>33</v>
      </c>
      <c r="E261" s="11">
        <v>30</v>
      </c>
      <c r="F261" s="11">
        <f t="shared" si="1"/>
        <v>3</v>
      </c>
      <c r="G261" s="11"/>
      <c r="H261" s="11" t="s">
        <v>220</v>
      </c>
      <c r="I261" s="11" t="e">
        <f>VLOOKUP($H261, 'ADP Data'!$B$4:$Q$300, 2, FALSE)</f>
        <v>#N/A</v>
      </c>
      <c r="J261" s="11" t="e">
        <f>VLOOKUP($H261, 'ADP Data'!$B$4:$Q$300, 3, FALSE)</f>
        <v>#N/A</v>
      </c>
      <c r="K261" s="11">
        <f>VLOOKUP($H261, SeanRanks!$A$2:$H$303, 4, FALSE)</f>
        <v>0</v>
      </c>
      <c r="L261" s="11">
        <f>VLOOKUP($H261, SeanRanks!$A$2:$H$303, 5, FALSE)</f>
        <v>0</v>
      </c>
      <c r="M261" s="11">
        <f t="shared" si="2"/>
        <v>16</v>
      </c>
      <c r="N261" s="11" t="e">
        <f>VLOOKUP($H261, 'ADP Data'!$B$4:$Q$300, 11, FALSE)</f>
        <v>#N/A</v>
      </c>
      <c r="O261" s="11" t="e">
        <f>VLOOKUP($H261, 'ADP Data'!$B$4:$Q$300, 5, FALSE)</f>
        <v>#N/A</v>
      </c>
      <c r="P261" s="11" t="e">
        <f t="shared" si="3"/>
        <v>#N/A</v>
      </c>
      <c r="Q261" s="11" t="e">
        <f>VLOOKUP($H261, 'ADP Data'!$B$4:$Q$300, 6, FALSE)</f>
        <v>#N/A</v>
      </c>
      <c r="R261" s="11" t="e">
        <f>VLOOKUP($H261, 'ADP Data'!$B$4:$Q$300, 7, FALSE)</f>
        <v>#N/A</v>
      </c>
      <c r="S261" s="11" t="e">
        <f>VLOOKUP($H261, 'ADP Data'!$B$4:$Q$300, 8, FALSE)</f>
        <v>#N/A</v>
      </c>
      <c r="T261" s="11" t="e">
        <f>VLOOKUP($H261, 'ADP Data'!$B$4:$Q$300, 9, FALSE)</f>
        <v>#N/A</v>
      </c>
      <c r="U261" s="11" t="e">
        <f>VLOOKUP($H261, 'ADP Data'!$B$4:$Q$300, 10, FALSE)</f>
        <v>#N/A</v>
      </c>
      <c r="V261" s="11" t="e">
        <f t="shared" si="4"/>
        <v>#N/A</v>
      </c>
      <c r="W261" s="11" t="e">
        <f>VLOOKUP($H261, SeanRanks!$A$2:$J$303, 7, FALSE)-V261</f>
        <v>#N/A</v>
      </c>
      <c r="X261" s="11"/>
    </row>
    <row r="262" spans="1:24" ht="14.25" customHeight="1" x14ac:dyDescent="0.25">
      <c r="A262" s="11"/>
      <c r="B262" s="11" t="e">
        <f t="shared" si="5"/>
        <v>#N/A</v>
      </c>
      <c r="C262" s="11" t="s">
        <v>148</v>
      </c>
      <c r="D262" s="11">
        <v>43</v>
      </c>
      <c r="E262" s="11">
        <v>40</v>
      </c>
      <c r="F262" s="11">
        <f t="shared" ref="F262:F302" si="6">D262-E262</f>
        <v>3</v>
      </c>
      <c r="G262" s="11"/>
      <c r="H262" s="11" t="s">
        <v>902</v>
      </c>
      <c r="I262" s="11" t="e">
        <f>VLOOKUP($H262, 'ADP Data'!$B$4:$Q$300, 2, FALSE)</f>
        <v>#N/A</v>
      </c>
      <c r="J262" s="11" t="e">
        <f>VLOOKUP($H262, 'ADP Data'!$B$4:$Q$300, 3, FALSE)</f>
        <v>#N/A</v>
      </c>
      <c r="K262" s="11">
        <f>VLOOKUP($H262, SeanRanks!$A$2:$H$303, 4, FALSE)</f>
        <v>0</v>
      </c>
      <c r="L262" s="11">
        <f>VLOOKUP($H262, SeanRanks!$A$2:$H$303, 5, FALSE)</f>
        <v>0</v>
      </c>
      <c r="M262" s="11">
        <f t="shared" ref="M262:M302" si="7">IFERROR(INT(N262/12)+1, 16)</f>
        <v>16</v>
      </c>
      <c r="N262" s="11" t="e">
        <f>VLOOKUP($H262, 'ADP Data'!$B$4:$Q$300, 11, FALSE)</f>
        <v>#N/A</v>
      </c>
      <c r="O262" s="11" t="e">
        <f>VLOOKUP($H262, 'ADP Data'!$B$4:$Q$300, 5, FALSE)</f>
        <v>#N/A</v>
      </c>
      <c r="P262" s="11" t="e">
        <f t="shared" ref="P262:P302" si="8">N262-O262</f>
        <v>#N/A</v>
      </c>
      <c r="Q262" s="11" t="e">
        <f>VLOOKUP($H262, 'ADP Data'!$B$4:$Q$300, 6, FALSE)</f>
        <v>#N/A</v>
      </c>
      <c r="R262" s="11" t="e">
        <f>VLOOKUP($H262, 'ADP Data'!$B$4:$Q$300, 7, FALSE)</f>
        <v>#N/A</v>
      </c>
      <c r="S262" s="11" t="e">
        <f>VLOOKUP($H262, 'ADP Data'!$B$4:$Q$300, 8, FALSE)</f>
        <v>#N/A</v>
      </c>
      <c r="T262" s="11" t="e">
        <f>VLOOKUP($H262, 'ADP Data'!$B$4:$Q$300, 9, FALSE)</f>
        <v>#N/A</v>
      </c>
      <c r="U262" s="11" t="e">
        <f>VLOOKUP($H262, 'ADP Data'!$B$4:$Q$300, 10, FALSE)</f>
        <v>#N/A</v>
      </c>
      <c r="V262" s="11" t="e">
        <f t="shared" ref="V262:V302" si="9">INT(AVERAGE(N262:T262))</f>
        <v>#N/A</v>
      </c>
      <c r="W262" s="11" t="e">
        <f>VLOOKUP($H262, SeanRanks!$A$2:$J$303, 7, FALSE)-V262</f>
        <v>#N/A</v>
      </c>
      <c r="X262" s="11"/>
    </row>
    <row r="263" spans="1:24" ht="14.25" customHeight="1" x14ac:dyDescent="0.25">
      <c r="A263" s="11"/>
      <c r="B263" s="11" t="e">
        <f t="shared" si="5"/>
        <v>#N/A</v>
      </c>
      <c r="C263" s="11" t="s">
        <v>148</v>
      </c>
      <c r="D263" s="11">
        <v>26</v>
      </c>
      <c r="E263" s="11">
        <v>23</v>
      </c>
      <c r="F263" s="11">
        <f t="shared" si="6"/>
        <v>3</v>
      </c>
      <c r="G263" s="11" t="s">
        <v>148</v>
      </c>
      <c r="H263" s="11" t="s">
        <v>176</v>
      </c>
      <c r="I263" s="11" t="e">
        <f>VLOOKUP($H263, 'ADP Data'!$B$4:$Q$300, 2, FALSE)</f>
        <v>#N/A</v>
      </c>
      <c r="J263" s="11" t="e">
        <f>VLOOKUP($H263, 'ADP Data'!$B$4:$Q$300, 3, FALSE)</f>
        <v>#N/A</v>
      </c>
      <c r="K263" s="11">
        <f>VLOOKUP($H263, SeanRanks!$A$2:$H$303, 4, FALSE)</f>
        <v>0</v>
      </c>
      <c r="L263" s="11">
        <f>VLOOKUP($H263, SeanRanks!$A$2:$H$303, 5, FALSE)</f>
        <v>0</v>
      </c>
      <c r="M263" s="11">
        <f t="shared" si="7"/>
        <v>16</v>
      </c>
      <c r="N263" s="11" t="e">
        <f>VLOOKUP($H263, 'ADP Data'!$B$4:$Q$300, 11, FALSE)</f>
        <v>#N/A</v>
      </c>
      <c r="O263" s="11" t="e">
        <f>VLOOKUP($H263, 'ADP Data'!$B$4:$Q$300, 5, FALSE)</f>
        <v>#N/A</v>
      </c>
      <c r="P263" s="11" t="e">
        <f t="shared" si="8"/>
        <v>#N/A</v>
      </c>
      <c r="Q263" s="11" t="e">
        <f>VLOOKUP($H263, 'ADP Data'!$B$4:$Q$300, 6, FALSE)</f>
        <v>#N/A</v>
      </c>
      <c r="R263" s="11" t="e">
        <f>VLOOKUP($H263, 'ADP Data'!$B$4:$Q$300, 7, FALSE)</f>
        <v>#N/A</v>
      </c>
      <c r="S263" s="11" t="e">
        <f>VLOOKUP($H263, 'ADP Data'!$B$4:$Q$300, 8, FALSE)</f>
        <v>#N/A</v>
      </c>
      <c r="T263" s="11" t="e">
        <f>VLOOKUP($H263, 'ADP Data'!$B$4:$Q$300, 9, FALSE)</f>
        <v>#N/A</v>
      </c>
      <c r="U263" s="11" t="e">
        <f>VLOOKUP($H263, 'ADP Data'!$B$4:$Q$300, 10, FALSE)</f>
        <v>#N/A</v>
      </c>
      <c r="V263" s="11" t="e">
        <f t="shared" si="9"/>
        <v>#N/A</v>
      </c>
      <c r="W263" s="11" t="e">
        <f>VLOOKUP($H263, SeanRanks!$A$2:$J$303, 7, FALSE)-V263</f>
        <v>#N/A</v>
      </c>
      <c r="X263" s="11"/>
    </row>
    <row r="264" spans="1:24" ht="14.25" customHeight="1" x14ac:dyDescent="0.25">
      <c r="A264" s="11"/>
      <c r="B264" s="11" t="e">
        <f t="shared" si="5"/>
        <v>#N/A</v>
      </c>
      <c r="C264" s="11" t="s">
        <v>148</v>
      </c>
      <c r="D264" s="11">
        <v>13</v>
      </c>
      <c r="E264" s="60">
        <v>10</v>
      </c>
      <c r="F264" s="11">
        <f t="shared" si="6"/>
        <v>3</v>
      </c>
      <c r="G264" s="60"/>
      <c r="H264" s="60" t="s">
        <v>1308</v>
      </c>
      <c r="I264" s="60" t="e">
        <f>VLOOKUP($H264, 'ADP Data'!$B$4:$Q$300, 2, FALSE)</f>
        <v>#N/A</v>
      </c>
      <c r="J264" s="60" t="e">
        <f>VLOOKUP($H264, 'ADP Data'!$B$4:$Q$300, 3, FALSE)</f>
        <v>#N/A</v>
      </c>
      <c r="K264" s="60" t="e">
        <f>VLOOKUP($H264, SeanRanks!$A$2:$H$303, 4, FALSE)</f>
        <v>#N/A</v>
      </c>
      <c r="L264" s="60" t="e">
        <f>VLOOKUP($H264, SeanRanks!$A$2:$H$303, 5, FALSE)</f>
        <v>#N/A</v>
      </c>
      <c r="M264" s="11">
        <f t="shared" si="7"/>
        <v>16</v>
      </c>
      <c r="N264" s="11" t="e">
        <f>VLOOKUP($H264, 'ADP Data'!$B$4:$Q$300, 11, FALSE)</f>
        <v>#N/A</v>
      </c>
      <c r="O264" s="11" t="e">
        <f>VLOOKUP($H264, 'ADP Data'!$B$4:$Q$300, 5, FALSE)</f>
        <v>#N/A</v>
      </c>
      <c r="P264" s="11" t="e">
        <f t="shared" si="8"/>
        <v>#N/A</v>
      </c>
      <c r="Q264" s="11" t="e">
        <f>VLOOKUP($H264, 'ADP Data'!$B$4:$Q$300, 6, FALSE)</f>
        <v>#N/A</v>
      </c>
      <c r="R264" s="11" t="e">
        <f>VLOOKUP($H264, 'ADP Data'!$B$4:$Q$300, 7, FALSE)</f>
        <v>#N/A</v>
      </c>
      <c r="S264" s="11" t="e">
        <f>VLOOKUP($H264, 'ADP Data'!$B$4:$Q$300, 8, FALSE)</f>
        <v>#N/A</v>
      </c>
      <c r="T264" s="11" t="e">
        <f>VLOOKUP($H264, 'ADP Data'!$B$4:$Q$300, 9, FALSE)</f>
        <v>#N/A</v>
      </c>
      <c r="U264" s="11" t="e">
        <f>VLOOKUP($H264, 'ADP Data'!$B$4:$Q$300, 10, FALSE)</f>
        <v>#N/A</v>
      </c>
      <c r="V264" s="11" t="e">
        <f t="shared" si="9"/>
        <v>#N/A</v>
      </c>
      <c r="W264" s="11" t="e">
        <f>VLOOKUP($H264, SeanRanks!$A$2:$J$303, 7, FALSE)-V264</f>
        <v>#N/A</v>
      </c>
      <c r="X264" s="60" t="s">
        <v>1189</v>
      </c>
    </row>
    <row r="265" spans="1:24" ht="14.25" customHeight="1" x14ac:dyDescent="0.25">
      <c r="A265" s="11"/>
      <c r="B265" s="11" t="e">
        <f t="shared" si="5"/>
        <v>#N/A</v>
      </c>
      <c r="C265" s="11" t="s">
        <v>148</v>
      </c>
      <c r="D265" s="11">
        <v>5</v>
      </c>
      <c r="E265" s="11">
        <v>2</v>
      </c>
      <c r="F265" s="11">
        <f t="shared" si="6"/>
        <v>3</v>
      </c>
      <c r="G265" s="11"/>
      <c r="H265" s="11" t="s">
        <v>252</v>
      </c>
      <c r="I265" s="11" t="e">
        <f>VLOOKUP($H265, 'ADP Data'!$B$4:$Q$300, 2, FALSE)</f>
        <v>#N/A</v>
      </c>
      <c r="J265" s="11" t="e">
        <f>VLOOKUP($H265, 'ADP Data'!$B$4:$Q$300, 3, FALSE)</f>
        <v>#N/A</v>
      </c>
      <c r="K265" s="11">
        <f>VLOOKUP($H265, SeanRanks!$A$2:$H$303, 4, FALSE)</f>
        <v>0</v>
      </c>
      <c r="L265" s="11">
        <f>VLOOKUP($H265, SeanRanks!$A$2:$H$303, 5, FALSE)</f>
        <v>0</v>
      </c>
      <c r="M265" s="11">
        <f t="shared" si="7"/>
        <v>16</v>
      </c>
      <c r="N265" s="11" t="e">
        <f>VLOOKUP($H265, 'ADP Data'!$B$4:$Q$300, 11, FALSE)</f>
        <v>#N/A</v>
      </c>
      <c r="O265" s="11" t="e">
        <f>VLOOKUP($H265, 'ADP Data'!$B$4:$Q$300, 5, FALSE)</f>
        <v>#N/A</v>
      </c>
      <c r="P265" s="11" t="e">
        <f t="shared" si="8"/>
        <v>#N/A</v>
      </c>
      <c r="Q265" s="11" t="e">
        <f>VLOOKUP($H265, 'ADP Data'!$B$4:$Q$300, 6, FALSE)</f>
        <v>#N/A</v>
      </c>
      <c r="R265" s="11" t="e">
        <f>VLOOKUP($H265, 'ADP Data'!$B$4:$Q$300, 7, FALSE)</f>
        <v>#N/A</v>
      </c>
      <c r="S265" s="11" t="e">
        <f>VLOOKUP($H265, 'ADP Data'!$B$4:$Q$300, 8, FALSE)</f>
        <v>#N/A</v>
      </c>
      <c r="T265" s="11" t="e">
        <f>VLOOKUP($H265, 'ADP Data'!$B$4:$Q$300, 9, FALSE)</f>
        <v>#N/A</v>
      </c>
      <c r="U265" s="11" t="e">
        <f>VLOOKUP($H265, 'ADP Data'!$B$4:$Q$300, 10, FALSE)</f>
        <v>#N/A</v>
      </c>
      <c r="V265" s="11" t="e">
        <f t="shared" si="9"/>
        <v>#N/A</v>
      </c>
      <c r="W265" s="11" t="e">
        <f>VLOOKUP($H265, SeanRanks!$A$2:$J$303, 7, FALSE)-V265</f>
        <v>#N/A</v>
      </c>
      <c r="X265" s="11"/>
    </row>
    <row r="266" spans="1:24" ht="14.25" customHeight="1" x14ac:dyDescent="0.25">
      <c r="A266" s="11"/>
      <c r="B266" s="11" t="e">
        <f t="shared" si="5"/>
        <v>#N/A</v>
      </c>
      <c r="C266" s="11" t="s">
        <v>148</v>
      </c>
      <c r="D266" s="11">
        <v>4</v>
      </c>
      <c r="E266" s="11">
        <v>1</v>
      </c>
      <c r="F266" s="11">
        <f t="shared" si="6"/>
        <v>3</v>
      </c>
      <c r="G266" s="11"/>
      <c r="H266" s="11" t="s">
        <v>1320</v>
      </c>
      <c r="I266" s="11" t="e">
        <f>VLOOKUP($H266, 'ADP Data'!$B$4:$Q$300, 2, FALSE)</f>
        <v>#N/A</v>
      </c>
      <c r="J266" s="11" t="e">
        <f>VLOOKUP($H266, 'ADP Data'!$B$4:$Q$300, 3, FALSE)</f>
        <v>#N/A</v>
      </c>
      <c r="K266" s="11" t="e">
        <f>VLOOKUP($H266, SeanRanks!$A$2:$H$303, 4, FALSE)</f>
        <v>#N/A</v>
      </c>
      <c r="L266" s="11" t="e">
        <f>VLOOKUP($H266, SeanRanks!$A$2:$H$303, 5, FALSE)</f>
        <v>#N/A</v>
      </c>
      <c r="M266" s="11">
        <f t="shared" si="7"/>
        <v>16</v>
      </c>
      <c r="N266" s="11" t="e">
        <f>VLOOKUP($H266, 'ADP Data'!$B$4:$Q$300, 11, FALSE)</f>
        <v>#N/A</v>
      </c>
      <c r="O266" s="11" t="e">
        <f>VLOOKUP($H266, 'ADP Data'!$B$4:$Q$300, 5, FALSE)</f>
        <v>#N/A</v>
      </c>
      <c r="P266" s="11" t="e">
        <f t="shared" si="8"/>
        <v>#N/A</v>
      </c>
      <c r="Q266" s="11" t="e">
        <f>VLOOKUP($H266, 'ADP Data'!$B$4:$Q$300, 6, FALSE)</f>
        <v>#N/A</v>
      </c>
      <c r="R266" s="11" t="e">
        <f>VLOOKUP($H266, 'ADP Data'!$B$4:$Q$300, 7, FALSE)</f>
        <v>#N/A</v>
      </c>
      <c r="S266" s="11" t="e">
        <f>VLOOKUP($H266, 'ADP Data'!$B$4:$Q$300, 8, FALSE)</f>
        <v>#N/A</v>
      </c>
      <c r="T266" s="11" t="e">
        <f>VLOOKUP($H266, 'ADP Data'!$B$4:$Q$300, 9, FALSE)</f>
        <v>#N/A</v>
      </c>
      <c r="U266" s="11" t="e">
        <f>VLOOKUP($H266, 'ADP Data'!$B$4:$Q$300, 10, FALSE)</f>
        <v>#N/A</v>
      </c>
      <c r="V266" s="11" t="e">
        <f t="shared" si="9"/>
        <v>#N/A</v>
      </c>
      <c r="W266" s="11" t="e">
        <f>VLOOKUP($H266, SeanRanks!$A$2:$J$303, 7, FALSE)-V266</f>
        <v>#N/A</v>
      </c>
      <c r="X266" s="11"/>
    </row>
    <row r="267" spans="1:24" ht="14.25" customHeight="1" x14ac:dyDescent="0.25">
      <c r="A267" s="11"/>
      <c r="B267" s="11" t="e">
        <f t="shared" si="5"/>
        <v>#N/A</v>
      </c>
      <c r="C267" s="11" t="s">
        <v>148</v>
      </c>
      <c r="D267" s="11">
        <v>54</v>
      </c>
      <c r="E267" s="11">
        <v>50</v>
      </c>
      <c r="F267" s="11">
        <f t="shared" si="6"/>
        <v>4</v>
      </c>
      <c r="G267" s="11"/>
      <c r="H267" s="11" t="s">
        <v>804</v>
      </c>
      <c r="I267" s="11" t="e">
        <f>VLOOKUP($H267, 'ADP Data'!$B$4:$Q$300, 2, FALSE)</f>
        <v>#N/A</v>
      </c>
      <c r="J267" s="11" t="e">
        <f>VLOOKUP($H267, 'ADP Data'!$B$4:$Q$300, 3, FALSE)</f>
        <v>#N/A</v>
      </c>
      <c r="K267" s="11">
        <f>VLOOKUP($H267, SeanRanks!$A$2:$H$303, 4, FALSE)</f>
        <v>0</v>
      </c>
      <c r="L267" s="11">
        <f>VLOOKUP($H267, SeanRanks!$A$2:$H$303, 5, FALSE)</f>
        <v>0</v>
      </c>
      <c r="M267" s="11">
        <f t="shared" si="7"/>
        <v>16</v>
      </c>
      <c r="N267" s="11" t="e">
        <f>VLOOKUP($H267, 'ADP Data'!$B$4:$Q$300, 11, FALSE)</f>
        <v>#N/A</v>
      </c>
      <c r="O267" s="11" t="e">
        <f>VLOOKUP($H267, 'ADP Data'!$B$4:$Q$300, 5, FALSE)</f>
        <v>#N/A</v>
      </c>
      <c r="P267" s="11" t="e">
        <f t="shared" si="8"/>
        <v>#N/A</v>
      </c>
      <c r="Q267" s="11" t="e">
        <f>VLOOKUP($H267, 'ADP Data'!$B$4:$Q$300, 6, FALSE)</f>
        <v>#N/A</v>
      </c>
      <c r="R267" s="11" t="e">
        <f>VLOOKUP($H267, 'ADP Data'!$B$4:$Q$300, 7, FALSE)</f>
        <v>#N/A</v>
      </c>
      <c r="S267" s="11" t="e">
        <f>VLOOKUP($H267, 'ADP Data'!$B$4:$Q$300, 8, FALSE)</f>
        <v>#N/A</v>
      </c>
      <c r="T267" s="11" t="e">
        <f>VLOOKUP($H267, 'ADP Data'!$B$4:$Q$300, 9, FALSE)</f>
        <v>#N/A</v>
      </c>
      <c r="U267" s="11" t="e">
        <f>VLOOKUP($H267, 'ADP Data'!$B$4:$Q$300, 10, FALSE)</f>
        <v>#N/A</v>
      </c>
      <c r="V267" s="11" t="e">
        <f t="shared" si="9"/>
        <v>#N/A</v>
      </c>
      <c r="W267" s="11" t="e">
        <f>VLOOKUP($H267, SeanRanks!$A$2:$J$303, 7, FALSE)-V267</f>
        <v>#N/A</v>
      </c>
      <c r="X267" s="11"/>
    </row>
    <row r="268" spans="1:24" ht="14.25" customHeight="1" x14ac:dyDescent="0.25">
      <c r="A268" s="11"/>
      <c r="B268" s="11" t="e">
        <f t="shared" si="5"/>
        <v>#N/A</v>
      </c>
      <c r="C268" s="11" t="s">
        <v>148</v>
      </c>
      <c r="D268" s="11">
        <v>24</v>
      </c>
      <c r="E268" s="11">
        <v>20</v>
      </c>
      <c r="F268" s="11">
        <f t="shared" si="6"/>
        <v>4</v>
      </c>
      <c r="G268" s="11"/>
      <c r="H268" s="11" t="s">
        <v>178</v>
      </c>
      <c r="I268" s="11" t="e">
        <f>VLOOKUP($H268, 'ADP Data'!$B$4:$Q$300, 2, FALSE)</f>
        <v>#N/A</v>
      </c>
      <c r="J268" s="11" t="e">
        <f>VLOOKUP($H268, 'ADP Data'!$B$4:$Q$300, 3, FALSE)</f>
        <v>#N/A</v>
      </c>
      <c r="K268" s="11">
        <f>VLOOKUP($H268, SeanRanks!$A$2:$H$303, 4, FALSE)</f>
        <v>0</v>
      </c>
      <c r="L268" s="11">
        <f>VLOOKUP($H268, SeanRanks!$A$2:$H$303, 5, FALSE)</f>
        <v>0</v>
      </c>
      <c r="M268" s="11">
        <f t="shared" si="7"/>
        <v>16</v>
      </c>
      <c r="N268" s="11" t="e">
        <f>VLOOKUP($H268, 'ADP Data'!$B$4:$Q$300, 11, FALSE)</f>
        <v>#N/A</v>
      </c>
      <c r="O268" s="11" t="e">
        <f>VLOOKUP($H268, 'ADP Data'!$B$4:$Q$300, 5, FALSE)</f>
        <v>#N/A</v>
      </c>
      <c r="P268" s="11" t="e">
        <f t="shared" si="8"/>
        <v>#N/A</v>
      </c>
      <c r="Q268" s="11" t="e">
        <f>VLOOKUP($H268, 'ADP Data'!$B$4:$Q$300, 6, FALSE)</f>
        <v>#N/A</v>
      </c>
      <c r="R268" s="11" t="e">
        <f>VLOOKUP($H268, 'ADP Data'!$B$4:$Q$300, 7, FALSE)</f>
        <v>#N/A</v>
      </c>
      <c r="S268" s="11" t="e">
        <f>VLOOKUP($H268, 'ADP Data'!$B$4:$Q$300, 8, FALSE)</f>
        <v>#N/A</v>
      </c>
      <c r="T268" s="11" t="e">
        <f>VLOOKUP($H268, 'ADP Data'!$B$4:$Q$300, 9, FALSE)</f>
        <v>#N/A</v>
      </c>
      <c r="U268" s="11" t="e">
        <f>VLOOKUP($H268, 'ADP Data'!$B$4:$Q$300, 10, FALSE)</f>
        <v>#N/A</v>
      </c>
      <c r="V268" s="11" t="e">
        <f t="shared" si="9"/>
        <v>#N/A</v>
      </c>
      <c r="W268" s="11" t="e">
        <f>VLOOKUP($H268, SeanRanks!$A$2:$J$303, 7, FALSE)-V268</f>
        <v>#N/A</v>
      </c>
      <c r="X268" s="11"/>
    </row>
    <row r="269" spans="1:24" ht="14.25" customHeight="1" x14ac:dyDescent="0.25">
      <c r="A269" s="11"/>
      <c r="B269" s="11" t="e">
        <f t="shared" si="5"/>
        <v>#N/A</v>
      </c>
      <c r="C269" s="11" t="s">
        <v>148</v>
      </c>
      <c r="D269" s="11">
        <v>9</v>
      </c>
      <c r="E269" s="11">
        <v>5</v>
      </c>
      <c r="F269" s="11">
        <f t="shared" si="6"/>
        <v>4</v>
      </c>
      <c r="G269" s="11" t="s">
        <v>148</v>
      </c>
      <c r="H269" s="11" t="s">
        <v>222</v>
      </c>
      <c r="I269" s="11" t="e">
        <f>VLOOKUP($H269, 'ADP Data'!$B$4:$Q$300, 2, FALSE)</f>
        <v>#N/A</v>
      </c>
      <c r="J269" s="11" t="e">
        <f>VLOOKUP($H269, 'ADP Data'!$B$4:$Q$300, 3, FALSE)</f>
        <v>#N/A</v>
      </c>
      <c r="K269" s="11">
        <f>VLOOKUP($H269, SeanRanks!$A$2:$H$303, 4, FALSE)</f>
        <v>0</v>
      </c>
      <c r="L269" s="11">
        <f>VLOOKUP($H269, SeanRanks!$A$2:$H$303, 5, FALSE)</f>
        <v>0</v>
      </c>
      <c r="M269" s="11">
        <f t="shared" si="7"/>
        <v>16</v>
      </c>
      <c r="N269" s="11" t="e">
        <f>VLOOKUP($H269, 'ADP Data'!$B$4:$Q$300, 11, FALSE)</f>
        <v>#N/A</v>
      </c>
      <c r="O269" s="11" t="e">
        <f>VLOOKUP($H269, 'ADP Data'!$B$4:$Q$300, 5, FALSE)</f>
        <v>#N/A</v>
      </c>
      <c r="P269" s="11" t="e">
        <f t="shared" si="8"/>
        <v>#N/A</v>
      </c>
      <c r="Q269" s="11" t="e">
        <f>VLOOKUP($H269, 'ADP Data'!$B$4:$Q$300, 6, FALSE)</f>
        <v>#N/A</v>
      </c>
      <c r="R269" s="11" t="e">
        <f>VLOOKUP($H269, 'ADP Data'!$B$4:$Q$300, 7, FALSE)</f>
        <v>#N/A</v>
      </c>
      <c r="S269" s="11" t="e">
        <f>VLOOKUP($H269, 'ADP Data'!$B$4:$Q$300, 8, FALSE)</f>
        <v>#N/A</v>
      </c>
      <c r="T269" s="11" t="e">
        <f>VLOOKUP($H269, 'ADP Data'!$B$4:$Q$300, 9, FALSE)</f>
        <v>#N/A</v>
      </c>
      <c r="U269" s="11" t="e">
        <f>VLOOKUP($H269, 'ADP Data'!$B$4:$Q$300, 10, FALSE)</f>
        <v>#N/A</v>
      </c>
      <c r="V269" s="11" t="e">
        <f t="shared" si="9"/>
        <v>#N/A</v>
      </c>
      <c r="W269" s="11" t="e">
        <f>VLOOKUP($H269, SeanRanks!$A$2:$J$303, 7, FALSE)-V269</f>
        <v>#N/A</v>
      </c>
      <c r="X269" s="11"/>
    </row>
    <row r="270" spans="1:24" ht="14.25" customHeight="1" x14ac:dyDescent="0.25">
      <c r="A270" s="11"/>
      <c r="B270" s="11" t="e">
        <f t="shared" si="5"/>
        <v>#N/A</v>
      </c>
      <c r="C270" s="11" t="s">
        <v>148</v>
      </c>
      <c r="D270" s="11">
        <v>4</v>
      </c>
      <c r="E270" s="11"/>
      <c r="F270" s="11">
        <f t="shared" si="6"/>
        <v>4</v>
      </c>
      <c r="G270" s="11"/>
      <c r="H270" s="11" t="s">
        <v>896</v>
      </c>
      <c r="I270" s="11" t="e">
        <f>VLOOKUP($H270, 'ADP Data'!$B$4:$Q$300, 2, FALSE)</f>
        <v>#N/A</v>
      </c>
      <c r="J270" s="11" t="e">
        <f>VLOOKUP($H270, 'ADP Data'!$B$4:$Q$300, 3, FALSE)</f>
        <v>#N/A</v>
      </c>
      <c r="K270" s="11">
        <f>VLOOKUP($H270, SeanRanks!$A$2:$H$303, 4, FALSE)</f>
        <v>0</v>
      </c>
      <c r="L270" s="11">
        <f>VLOOKUP($H270, SeanRanks!$A$2:$H$303, 5, FALSE)</f>
        <v>0</v>
      </c>
      <c r="M270" s="11">
        <f t="shared" si="7"/>
        <v>16</v>
      </c>
      <c r="N270" s="11" t="e">
        <f>VLOOKUP($H270, 'ADP Data'!$B$4:$Q$300, 11, FALSE)</f>
        <v>#N/A</v>
      </c>
      <c r="O270" s="11" t="e">
        <f>VLOOKUP($H270, 'ADP Data'!$B$4:$Q$300, 5, FALSE)</f>
        <v>#N/A</v>
      </c>
      <c r="P270" s="11" t="e">
        <f t="shared" si="8"/>
        <v>#N/A</v>
      </c>
      <c r="Q270" s="11" t="e">
        <f>VLOOKUP($H270, 'ADP Data'!$B$4:$Q$300, 6, FALSE)</f>
        <v>#N/A</v>
      </c>
      <c r="R270" s="11" t="e">
        <f>VLOOKUP($H270, 'ADP Data'!$B$4:$Q$300, 7, FALSE)</f>
        <v>#N/A</v>
      </c>
      <c r="S270" s="11" t="e">
        <f>VLOOKUP($H270, 'ADP Data'!$B$4:$Q$300, 8, FALSE)</f>
        <v>#N/A</v>
      </c>
      <c r="T270" s="11" t="e">
        <f>VLOOKUP($H270, 'ADP Data'!$B$4:$Q$300, 9, FALSE)</f>
        <v>#N/A</v>
      </c>
      <c r="U270" s="11" t="e">
        <f>VLOOKUP($H270, 'ADP Data'!$B$4:$Q$300, 10, FALSE)</f>
        <v>#N/A</v>
      </c>
      <c r="V270" s="11" t="e">
        <f t="shared" si="9"/>
        <v>#N/A</v>
      </c>
      <c r="W270" s="11" t="e">
        <f>VLOOKUP($H270, SeanRanks!$A$2:$J$303, 7, FALSE)-V270</f>
        <v>#N/A</v>
      </c>
      <c r="X270" s="11"/>
    </row>
    <row r="271" spans="1:24" ht="14.25" customHeight="1" x14ac:dyDescent="0.25">
      <c r="A271" s="11"/>
      <c r="B271" s="11" t="e">
        <f t="shared" si="5"/>
        <v>#N/A</v>
      </c>
      <c r="C271" s="11" t="s">
        <v>148</v>
      </c>
      <c r="D271" s="11">
        <v>40</v>
      </c>
      <c r="E271" s="11">
        <v>35</v>
      </c>
      <c r="F271" s="11">
        <f t="shared" si="6"/>
        <v>5</v>
      </c>
      <c r="G271" s="11"/>
      <c r="H271" s="11" t="s">
        <v>68</v>
      </c>
      <c r="I271" s="11" t="e">
        <f>VLOOKUP($H271, 'ADP Data'!$B$4:$Q$300, 2, FALSE)</f>
        <v>#N/A</v>
      </c>
      <c r="J271" s="11" t="e">
        <f>VLOOKUP($H271, 'ADP Data'!$B$4:$Q$300, 3, FALSE)</f>
        <v>#N/A</v>
      </c>
      <c r="K271" s="11">
        <f>VLOOKUP($H271, SeanRanks!$A$2:$H$303, 4, FALSE)</f>
        <v>0</v>
      </c>
      <c r="L271" s="11">
        <f>VLOOKUP($H271, SeanRanks!$A$2:$H$303, 5, FALSE)</f>
        <v>0</v>
      </c>
      <c r="M271" s="11">
        <f t="shared" si="7"/>
        <v>16</v>
      </c>
      <c r="N271" s="11" t="e">
        <f>VLOOKUP($H271, 'ADP Data'!$B$4:$Q$300, 11, FALSE)</f>
        <v>#N/A</v>
      </c>
      <c r="O271" s="11" t="e">
        <f>VLOOKUP($H271, 'ADP Data'!$B$4:$Q$300, 5, FALSE)</f>
        <v>#N/A</v>
      </c>
      <c r="P271" s="11" t="e">
        <f t="shared" si="8"/>
        <v>#N/A</v>
      </c>
      <c r="Q271" s="11" t="e">
        <f>VLOOKUP($H271, 'ADP Data'!$B$4:$Q$300, 6, FALSE)</f>
        <v>#N/A</v>
      </c>
      <c r="R271" s="11" t="e">
        <f>VLOOKUP($H271, 'ADP Data'!$B$4:$Q$300, 7, FALSE)</f>
        <v>#N/A</v>
      </c>
      <c r="S271" s="11" t="e">
        <f>VLOOKUP($H271, 'ADP Data'!$B$4:$Q$300, 8, FALSE)</f>
        <v>#N/A</v>
      </c>
      <c r="T271" s="11" t="e">
        <f>VLOOKUP($H271, 'ADP Data'!$B$4:$Q$300, 9, FALSE)</f>
        <v>#N/A</v>
      </c>
      <c r="U271" s="11" t="e">
        <f>VLOOKUP($H271, 'ADP Data'!$B$4:$Q$300, 10, FALSE)</f>
        <v>#N/A</v>
      </c>
      <c r="V271" s="11" t="e">
        <f t="shared" si="9"/>
        <v>#N/A</v>
      </c>
      <c r="W271" s="11" t="e">
        <f>VLOOKUP($H271, SeanRanks!$A$2:$J$303, 7, FALSE)-V271</f>
        <v>#N/A</v>
      </c>
      <c r="X271" s="11"/>
    </row>
    <row r="272" spans="1:24" ht="14.25" customHeight="1" x14ac:dyDescent="0.25">
      <c r="A272" s="11"/>
      <c r="B272" s="11" t="e">
        <f t="shared" si="5"/>
        <v>#N/A</v>
      </c>
      <c r="C272" s="11" t="s">
        <v>148</v>
      </c>
      <c r="D272" s="11">
        <v>50</v>
      </c>
      <c r="E272" s="60">
        <v>45</v>
      </c>
      <c r="F272" s="11">
        <f t="shared" si="6"/>
        <v>5</v>
      </c>
      <c r="G272" s="60"/>
      <c r="H272" s="60" t="s">
        <v>417</v>
      </c>
      <c r="I272" s="60" t="e">
        <f>VLOOKUP($H272, 'ADP Data'!$B$4:$Q$300, 2, FALSE)</f>
        <v>#N/A</v>
      </c>
      <c r="J272" s="60" t="e">
        <f>VLOOKUP($H272, 'ADP Data'!$B$4:$Q$300, 3, FALSE)</f>
        <v>#N/A</v>
      </c>
      <c r="K272" s="60">
        <f>VLOOKUP($H272, SeanRanks!$A$2:$H$303, 4, FALSE)</f>
        <v>0</v>
      </c>
      <c r="L272" s="11">
        <f>VLOOKUP($H272, SeanRanks!$A$2:$H$303, 5, FALSE)</f>
        <v>0</v>
      </c>
      <c r="M272" s="11">
        <f t="shared" si="7"/>
        <v>16</v>
      </c>
      <c r="N272" s="11" t="e">
        <f>VLOOKUP($H272, 'ADP Data'!$B$4:$Q$300, 11, FALSE)</f>
        <v>#N/A</v>
      </c>
      <c r="O272" s="11" t="e">
        <f>VLOOKUP($H272, 'ADP Data'!$B$4:$Q$300, 5, FALSE)</f>
        <v>#N/A</v>
      </c>
      <c r="P272" s="11" t="e">
        <f t="shared" si="8"/>
        <v>#N/A</v>
      </c>
      <c r="Q272" s="11" t="e">
        <f>VLOOKUP($H272, 'ADP Data'!$B$4:$Q$300, 6, FALSE)</f>
        <v>#N/A</v>
      </c>
      <c r="R272" s="11" t="e">
        <f>VLOOKUP($H272, 'ADP Data'!$B$4:$Q$300, 7, FALSE)</f>
        <v>#N/A</v>
      </c>
      <c r="S272" s="11" t="e">
        <f>VLOOKUP($H272, 'ADP Data'!$B$4:$Q$300, 8, FALSE)</f>
        <v>#N/A</v>
      </c>
      <c r="T272" s="11" t="e">
        <f>VLOOKUP($H272, 'ADP Data'!$B$4:$Q$300, 9, FALSE)</f>
        <v>#N/A</v>
      </c>
      <c r="U272" s="11" t="e">
        <f>VLOOKUP($H272, 'ADP Data'!$B$4:$Q$300, 10, FALSE)</f>
        <v>#N/A</v>
      </c>
      <c r="V272" s="11" t="e">
        <f t="shared" si="9"/>
        <v>#N/A</v>
      </c>
      <c r="W272" s="11" t="e">
        <f>VLOOKUP($H272, SeanRanks!$A$2:$J$303, 7, FALSE)-V272</f>
        <v>#N/A</v>
      </c>
      <c r="X272" s="60"/>
    </row>
    <row r="273" spans="1:24" ht="14.25" customHeight="1" x14ac:dyDescent="0.25">
      <c r="A273" s="11"/>
      <c r="B273" s="11" t="e">
        <f t="shared" si="5"/>
        <v>#N/A</v>
      </c>
      <c r="C273" s="11" t="s">
        <v>148</v>
      </c>
      <c r="D273" s="11">
        <v>20</v>
      </c>
      <c r="E273" s="11">
        <v>15</v>
      </c>
      <c r="F273" s="11">
        <f t="shared" si="6"/>
        <v>5</v>
      </c>
      <c r="G273" s="11" t="s">
        <v>148</v>
      </c>
      <c r="H273" s="11" t="s">
        <v>948</v>
      </c>
      <c r="I273" s="11" t="e">
        <f>VLOOKUP($H273, 'ADP Data'!$B$4:$Q$300, 2, FALSE)</f>
        <v>#N/A</v>
      </c>
      <c r="J273" s="11" t="e">
        <f>VLOOKUP($H273, 'ADP Data'!$B$4:$Q$300, 3, FALSE)</f>
        <v>#N/A</v>
      </c>
      <c r="K273" s="11">
        <f>VLOOKUP($H273, SeanRanks!$A$2:$H$303, 4, FALSE)</f>
        <v>0</v>
      </c>
      <c r="L273" s="11">
        <f>VLOOKUP($H273, SeanRanks!$A$2:$H$303, 5, FALSE)</f>
        <v>0</v>
      </c>
      <c r="M273" s="11">
        <f t="shared" si="7"/>
        <v>16</v>
      </c>
      <c r="N273" s="11" t="e">
        <f>VLOOKUP($H273, 'ADP Data'!$B$4:$Q$300, 11, FALSE)</f>
        <v>#N/A</v>
      </c>
      <c r="O273" s="11" t="e">
        <f>VLOOKUP($H273, 'ADP Data'!$B$4:$Q$300, 5, FALSE)</f>
        <v>#N/A</v>
      </c>
      <c r="P273" s="11" t="e">
        <f t="shared" si="8"/>
        <v>#N/A</v>
      </c>
      <c r="Q273" s="11" t="e">
        <f>VLOOKUP($H273, 'ADP Data'!$B$4:$Q$300, 6, FALSE)</f>
        <v>#N/A</v>
      </c>
      <c r="R273" s="11" t="e">
        <f>VLOOKUP($H273, 'ADP Data'!$B$4:$Q$300, 7, FALSE)</f>
        <v>#N/A</v>
      </c>
      <c r="S273" s="11" t="e">
        <f>VLOOKUP($H273, 'ADP Data'!$B$4:$Q$300, 8, FALSE)</f>
        <v>#N/A</v>
      </c>
      <c r="T273" s="11" t="e">
        <f>VLOOKUP($H273, 'ADP Data'!$B$4:$Q$300, 9, FALSE)</f>
        <v>#N/A</v>
      </c>
      <c r="U273" s="11" t="e">
        <f>VLOOKUP($H273, 'ADP Data'!$B$4:$Q$300, 10, FALSE)</f>
        <v>#N/A</v>
      </c>
      <c r="V273" s="11" t="e">
        <f t="shared" si="9"/>
        <v>#N/A</v>
      </c>
      <c r="W273" s="11" t="e">
        <f>VLOOKUP($H273, SeanRanks!$A$2:$J$303, 7, FALSE)-V273</f>
        <v>#N/A</v>
      </c>
      <c r="X273" s="11"/>
    </row>
    <row r="274" spans="1:24" ht="14.25" customHeight="1" x14ac:dyDescent="0.25">
      <c r="A274" s="11"/>
      <c r="B274" s="11" t="e">
        <f t="shared" si="5"/>
        <v>#N/A</v>
      </c>
      <c r="C274" s="11" t="s">
        <v>148</v>
      </c>
      <c r="D274" s="11">
        <v>17</v>
      </c>
      <c r="E274" s="60">
        <v>12</v>
      </c>
      <c r="F274" s="11">
        <f t="shared" si="6"/>
        <v>5</v>
      </c>
      <c r="G274" s="60" t="s">
        <v>148</v>
      </c>
      <c r="H274" s="60" t="s">
        <v>429</v>
      </c>
      <c r="I274" s="60" t="e">
        <f>VLOOKUP($H274, 'ADP Data'!$B$4:$Q$300, 2, FALSE)</f>
        <v>#N/A</v>
      </c>
      <c r="J274" s="60" t="e">
        <f>VLOOKUP($H274, 'ADP Data'!$B$4:$Q$300, 3, FALSE)</f>
        <v>#N/A</v>
      </c>
      <c r="K274" s="60">
        <f>VLOOKUP($H274, SeanRanks!$A$2:$H$303, 4, FALSE)</f>
        <v>0</v>
      </c>
      <c r="L274" s="60">
        <f>VLOOKUP($H274, SeanRanks!$A$2:$H$303, 5, FALSE)</f>
        <v>0</v>
      </c>
      <c r="M274" s="11">
        <f t="shared" si="7"/>
        <v>16</v>
      </c>
      <c r="N274" s="11" t="e">
        <f>VLOOKUP($H274, 'ADP Data'!$B$4:$Q$300, 11, FALSE)</f>
        <v>#N/A</v>
      </c>
      <c r="O274" s="11" t="e">
        <f>VLOOKUP($H274, 'ADP Data'!$B$4:$Q$300, 5, FALSE)</f>
        <v>#N/A</v>
      </c>
      <c r="P274" s="11" t="e">
        <f t="shared" si="8"/>
        <v>#N/A</v>
      </c>
      <c r="Q274" s="11" t="e">
        <f>VLOOKUP($H274, 'ADP Data'!$B$4:$Q$300, 6, FALSE)</f>
        <v>#N/A</v>
      </c>
      <c r="R274" s="11" t="e">
        <f>VLOOKUP($H274, 'ADP Data'!$B$4:$Q$300, 7, FALSE)</f>
        <v>#N/A</v>
      </c>
      <c r="S274" s="11" t="e">
        <f>VLOOKUP($H274, 'ADP Data'!$B$4:$Q$300, 8, FALSE)</f>
        <v>#N/A</v>
      </c>
      <c r="T274" s="11" t="e">
        <f>VLOOKUP($H274, 'ADP Data'!$B$4:$Q$300, 9, FALSE)</f>
        <v>#N/A</v>
      </c>
      <c r="U274" s="11" t="e">
        <f>VLOOKUP($H274, 'ADP Data'!$B$4:$Q$300, 10, FALSE)</f>
        <v>#N/A</v>
      </c>
      <c r="V274" s="11" t="e">
        <f t="shared" si="9"/>
        <v>#N/A</v>
      </c>
      <c r="W274" s="11" t="e">
        <f>VLOOKUP($H274, SeanRanks!$A$2:$J$303, 7, FALSE)-V274</f>
        <v>#N/A</v>
      </c>
      <c r="X274" s="60"/>
    </row>
    <row r="275" spans="1:24" ht="14.25" customHeight="1" x14ac:dyDescent="0.25">
      <c r="A275" s="11"/>
      <c r="B275" s="11" t="e">
        <f t="shared" si="5"/>
        <v>#N/A</v>
      </c>
      <c r="C275" s="11" t="s">
        <v>148</v>
      </c>
      <c r="D275" s="11">
        <v>20</v>
      </c>
      <c r="E275" s="60">
        <v>15</v>
      </c>
      <c r="F275" s="11">
        <f t="shared" si="6"/>
        <v>5</v>
      </c>
      <c r="G275" s="60" t="s">
        <v>148</v>
      </c>
      <c r="H275" s="60" t="s">
        <v>1184</v>
      </c>
      <c r="I275" s="60" t="e">
        <f>VLOOKUP($H275, 'ADP Data'!$B$4:$Q$300, 2, FALSE)</f>
        <v>#N/A</v>
      </c>
      <c r="J275" s="60" t="e">
        <f>VLOOKUP($H275, 'ADP Data'!$B$4:$Q$300, 3, FALSE)</f>
        <v>#N/A</v>
      </c>
      <c r="K275" s="60" t="e">
        <f>VLOOKUP($H275, SeanRanks!$A$2:$H$303, 4, FALSE)</f>
        <v>#N/A</v>
      </c>
      <c r="L275" s="60" t="e">
        <f>VLOOKUP($H275, SeanRanks!$A$2:$H$303, 5, FALSE)</f>
        <v>#N/A</v>
      </c>
      <c r="M275" s="11">
        <f t="shared" si="7"/>
        <v>16</v>
      </c>
      <c r="N275" s="11" t="e">
        <f>VLOOKUP($H275, 'ADP Data'!$B$4:$Q$300, 11, FALSE)</f>
        <v>#N/A</v>
      </c>
      <c r="O275" s="11" t="e">
        <f>VLOOKUP($H275, 'ADP Data'!$B$4:$Q$300, 5, FALSE)</f>
        <v>#N/A</v>
      </c>
      <c r="P275" s="11" t="e">
        <f t="shared" si="8"/>
        <v>#N/A</v>
      </c>
      <c r="Q275" s="11" t="e">
        <f>VLOOKUP($H275, 'ADP Data'!$B$4:$Q$300, 6, FALSE)</f>
        <v>#N/A</v>
      </c>
      <c r="R275" s="11" t="e">
        <f>VLOOKUP($H275, 'ADP Data'!$B$4:$Q$300, 7, FALSE)</f>
        <v>#N/A</v>
      </c>
      <c r="S275" s="11" t="e">
        <f>VLOOKUP($H275, 'ADP Data'!$B$4:$Q$300, 8, FALSE)</f>
        <v>#N/A</v>
      </c>
      <c r="T275" s="11" t="e">
        <f>VLOOKUP($H275, 'ADP Data'!$B$4:$Q$300, 9, FALSE)</f>
        <v>#N/A</v>
      </c>
      <c r="U275" s="11" t="e">
        <f>VLOOKUP($H275, 'ADP Data'!$B$4:$Q$300, 10, FALSE)</f>
        <v>#N/A</v>
      </c>
      <c r="V275" s="11" t="e">
        <f t="shared" si="9"/>
        <v>#N/A</v>
      </c>
      <c r="W275" s="11" t="e">
        <f>VLOOKUP($H275, SeanRanks!$A$2:$J$303, 7, FALSE)-V275</f>
        <v>#N/A</v>
      </c>
      <c r="X275" s="60"/>
    </row>
    <row r="276" spans="1:24" ht="14.25" customHeight="1" x14ac:dyDescent="0.25">
      <c r="A276" s="11"/>
      <c r="B276" s="11" t="e">
        <f t="shared" si="5"/>
        <v>#N/A</v>
      </c>
      <c r="C276" s="11" t="s">
        <v>148</v>
      </c>
      <c r="D276" s="11">
        <v>15</v>
      </c>
      <c r="E276" s="11">
        <v>10</v>
      </c>
      <c r="F276" s="11">
        <f t="shared" si="6"/>
        <v>5</v>
      </c>
      <c r="G276" s="11"/>
      <c r="H276" s="11" t="s">
        <v>964</v>
      </c>
      <c r="I276" s="11" t="e">
        <f>VLOOKUP($H276, 'ADP Data'!$B$4:$Q$300, 2, FALSE)</f>
        <v>#N/A</v>
      </c>
      <c r="J276" s="11" t="e">
        <f>VLOOKUP($H276, 'ADP Data'!$B$4:$Q$300, 3, FALSE)</f>
        <v>#N/A</v>
      </c>
      <c r="K276" s="11" t="e">
        <f>VLOOKUP($H276, SeanRanks!$A$2:$H$303, 4, FALSE)</f>
        <v>#N/A</v>
      </c>
      <c r="L276" s="11" t="e">
        <f>VLOOKUP($H276, SeanRanks!$A$2:$H$303, 5, FALSE)</f>
        <v>#N/A</v>
      </c>
      <c r="M276" s="11">
        <f t="shared" si="7"/>
        <v>16</v>
      </c>
      <c r="N276" s="11" t="e">
        <f>VLOOKUP($H276, 'ADP Data'!$B$4:$Q$300, 11, FALSE)</f>
        <v>#N/A</v>
      </c>
      <c r="O276" s="11" t="e">
        <f>VLOOKUP($H276, 'ADP Data'!$B$4:$Q$300, 5, FALSE)</f>
        <v>#N/A</v>
      </c>
      <c r="P276" s="11" t="e">
        <f t="shared" si="8"/>
        <v>#N/A</v>
      </c>
      <c r="Q276" s="11" t="e">
        <f>VLOOKUP($H276, 'ADP Data'!$B$4:$Q$300, 6, FALSE)</f>
        <v>#N/A</v>
      </c>
      <c r="R276" s="11" t="e">
        <f>VLOOKUP($H276, 'ADP Data'!$B$4:$Q$300, 7, FALSE)</f>
        <v>#N/A</v>
      </c>
      <c r="S276" s="11" t="e">
        <f>VLOOKUP($H276, 'ADP Data'!$B$4:$Q$300, 8, FALSE)</f>
        <v>#N/A</v>
      </c>
      <c r="T276" s="11" t="e">
        <f>VLOOKUP($H276, 'ADP Data'!$B$4:$Q$300, 9, FALSE)</f>
        <v>#N/A</v>
      </c>
      <c r="U276" s="11" t="e">
        <f>VLOOKUP($H276, 'ADP Data'!$B$4:$Q$300, 10, FALSE)</f>
        <v>#N/A</v>
      </c>
      <c r="V276" s="11" t="e">
        <f t="shared" si="9"/>
        <v>#N/A</v>
      </c>
      <c r="W276" s="11" t="e">
        <f>VLOOKUP($H276, SeanRanks!$A$2:$J$303, 7, FALSE)-V276</f>
        <v>#N/A</v>
      </c>
      <c r="X276" s="11"/>
    </row>
    <row r="277" spans="1:24" ht="14.25" customHeight="1" x14ac:dyDescent="0.25">
      <c r="A277" s="11"/>
      <c r="B277" s="11" t="e">
        <f t="shared" si="5"/>
        <v>#N/A</v>
      </c>
      <c r="C277" s="11" t="s">
        <v>148</v>
      </c>
      <c r="D277" s="11">
        <v>9</v>
      </c>
      <c r="E277" s="11">
        <v>4</v>
      </c>
      <c r="F277" s="11">
        <f t="shared" si="6"/>
        <v>5</v>
      </c>
      <c r="G277" s="11"/>
      <c r="H277" s="11" t="s">
        <v>922</v>
      </c>
      <c r="I277" s="11" t="e">
        <f>VLOOKUP($H277, 'ADP Data'!$B$4:$Q$300, 2, FALSE)</f>
        <v>#N/A</v>
      </c>
      <c r="J277" s="11" t="e">
        <f>VLOOKUP($H277, 'ADP Data'!$B$4:$Q$300, 3, FALSE)</f>
        <v>#N/A</v>
      </c>
      <c r="K277" s="11" t="e">
        <f>VLOOKUP($H277, SeanRanks!$A$2:$H$303, 4, FALSE)</f>
        <v>#N/A</v>
      </c>
      <c r="L277" s="11" t="e">
        <f>VLOOKUP($H277, SeanRanks!$A$2:$H$303, 5, FALSE)</f>
        <v>#N/A</v>
      </c>
      <c r="M277" s="11">
        <f t="shared" si="7"/>
        <v>16</v>
      </c>
      <c r="N277" s="11" t="e">
        <f>VLOOKUP($H277, 'ADP Data'!$B$4:$Q$300, 11, FALSE)</f>
        <v>#N/A</v>
      </c>
      <c r="O277" s="11" t="e">
        <f>VLOOKUP($H277, 'ADP Data'!$B$4:$Q$300, 5, FALSE)</f>
        <v>#N/A</v>
      </c>
      <c r="P277" s="11" t="e">
        <f t="shared" si="8"/>
        <v>#N/A</v>
      </c>
      <c r="Q277" s="11" t="e">
        <f>VLOOKUP($H277, 'ADP Data'!$B$4:$Q$300, 6, FALSE)</f>
        <v>#N/A</v>
      </c>
      <c r="R277" s="11" t="e">
        <f>VLOOKUP($H277, 'ADP Data'!$B$4:$Q$300, 7, FALSE)</f>
        <v>#N/A</v>
      </c>
      <c r="S277" s="11" t="e">
        <f>VLOOKUP($H277, 'ADP Data'!$B$4:$Q$300, 8, FALSE)</f>
        <v>#N/A</v>
      </c>
      <c r="T277" s="11" t="e">
        <f>VLOOKUP($H277, 'ADP Data'!$B$4:$Q$300, 9, FALSE)</f>
        <v>#N/A</v>
      </c>
      <c r="U277" s="11" t="e">
        <f>VLOOKUP($H277, 'ADP Data'!$B$4:$Q$300, 10, FALSE)</f>
        <v>#N/A</v>
      </c>
      <c r="V277" s="11" t="e">
        <f t="shared" si="9"/>
        <v>#N/A</v>
      </c>
      <c r="W277" s="11" t="e">
        <f>VLOOKUP($H277, SeanRanks!$A$2:$J$303, 7, FALSE)-V277</f>
        <v>#N/A</v>
      </c>
      <c r="X277" s="11"/>
    </row>
    <row r="278" spans="1:24" ht="14.25" customHeight="1" x14ac:dyDescent="0.25">
      <c r="A278" s="11"/>
      <c r="B278" s="11" t="e">
        <f t="shared" si="5"/>
        <v>#N/A</v>
      </c>
      <c r="C278" s="11" t="s">
        <v>148</v>
      </c>
      <c r="D278" s="11">
        <v>5</v>
      </c>
      <c r="E278" s="11">
        <v>0</v>
      </c>
      <c r="F278" s="11">
        <f t="shared" si="6"/>
        <v>5</v>
      </c>
      <c r="G278" s="11"/>
      <c r="H278" s="11" t="s">
        <v>684</v>
      </c>
      <c r="I278" s="11" t="e">
        <f>VLOOKUP($H278, 'ADP Data'!$B$4:$Q$300, 2, FALSE)</f>
        <v>#N/A</v>
      </c>
      <c r="J278" s="11" t="e">
        <f>VLOOKUP($H278, 'ADP Data'!$B$4:$Q$300, 3, FALSE)</f>
        <v>#N/A</v>
      </c>
      <c r="K278" s="11">
        <f>VLOOKUP($H278, SeanRanks!$A$2:$H$303, 4, FALSE)</f>
        <v>0</v>
      </c>
      <c r="L278" s="11" t="str">
        <f>VLOOKUP($H278, SeanRanks!$A$2:$H$303, 5, FALSE)</f>
        <v>Yes</v>
      </c>
      <c r="M278" s="11">
        <f t="shared" si="7"/>
        <v>16</v>
      </c>
      <c r="N278" s="11" t="e">
        <f>VLOOKUP($H278, 'ADP Data'!$B$4:$Q$300, 11, FALSE)</f>
        <v>#N/A</v>
      </c>
      <c r="O278" s="11" t="e">
        <f>VLOOKUP($H278, 'ADP Data'!$B$4:$Q$300, 5, FALSE)</f>
        <v>#N/A</v>
      </c>
      <c r="P278" s="11" t="e">
        <f t="shared" si="8"/>
        <v>#N/A</v>
      </c>
      <c r="Q278" s="11" t="e">
        <f>VLOOKUP($H278, 'ADP Data'!$B$4:$Q$300, 6, FALSE)</f>
        <v>#N/A</v>
      </c>
      <c r="R278" s="11" t="e">
        <f>VLOOKUP($H278, 'ADP Data'!$B$4:$Q$300, 7, FALSE)</f>
        <v>#N/A</v>
      </c>
      <c r="S278" s="11" t="e">
        <f>VLOOKUP($H278, 'ADP Data'!$B$4:$Q$300, 8, FALSE)</f>
        <v>#N/A</v>
      </c>
      <c r="T278" s="11" t="e">
        <f>VLOOKUP($H278, 'ADP Data'!$B$4:$Q$300, 9, FALSE)</f>
        <v>#N/A</v>
      </c>
      <c r="U278" s="11" t="e">
        <f>VLOOKUP($H278, 'ADP Data'!$B$4:$Q$300, 10, FALSE)</f>
        <v>#N/A</v>
      </c>
      <c r="V278" s="11" t="e">
        <f t="shared" si="9"/>
        <v>#N/A</v>
      </c>
      <c r="W278" s="11" t="e">
        <f>VLOOKUP($H278, SeanRanks!$A$2:$J$303, 7, FALSE)-V278</f>
        <v>#N/A</v>
      </c>
      <c r="X278" s="11"/>
    </row>
    <row r="279" spans="1:24" ht="14.25" customHeight="1" x14ac:dyDescent="0.25">
      <c r="A279" s="11"/>
      <c r="B279" s="11" t="e">
        <f t="shared" si="5"/>
        <v>#N/A</v>
      </c>
      <c r="C279" s="11" t="s">
        <v>148</v>
      </c>
      <c r="D279" s="11">
        <v>61</v>
      </c>
      <c r="E279" s="11">
        <v>55</v>
      </c>
      <c r="F279" s="11">
        <f t="shared" si="6"/>
        <v>6</v>
      </c>
      <c r="G279" s="11"/>
      <c r="H279" s="11" t="s">
        <v>898</v>
      </c>
      <c r="I279" s="11" t="e">
        <f>VLOOKUP($H279, 'ADP Data'!$B$4:$Q$300, 2, FALSE)</f>
        <v>#N/A</v>
      </c>
      <c r="J279" s="11" t="e">
        <f>VLOOKUP($H279, 'ADP Data'!$B$4:$Q$300, 3, FALSE)</f>
        <v>#N/A</v>
      </c>
      <c r="K279" s="11">
        <f>VLOOKUP($H279, SeanRanks!$A$2:$H$303, 4, FALSE)</f>
        <v>0</v>
      </c>
      <c r="L279" s="11">
        <f>VLOOKUP($H279, SeanRanks!$A$2:$H$303, 5, FALSE)</f>
        <v>0</v>
      </c>
      <c r="M279" s="11">
        <f t="shared" si="7"/>
        <v>16</v>
      </c>
      <c r="N279" s="11" t="e">
        <f>VLOOKUP($H279, 'ADP Data'!$B$4:$Q$300, 11, FALSE)</f>
        <v>#N/A</v>
      </c>
      <c r="O279" s="11" t="e">
        <f>VLOOKUP($H279, 'ADP Data'!$B$4:$Q$300, 5, FALSE)</f>
        <v>#N/A</v>
      </c>
      <c r="P279" s="11" t="e">
        <f t="shared" si="8"/>
        <v>#N/A</v>
      </c>
      <c r="Q279" s="11" t="e">
        <f>VLOOKUP($H279, 'ADP Data'!$B$4:$Q$300, 6, FALSE)</f>
        <v>#N/A</v>
      </c>
      <c r="R279" s="11" t="e">
        <f>VLOOKUP($H279, 'ADP Data'!$B$4:$Q$300, 7, FALSE)</f>
        <v>#N/A</v>
      </c>
      <c r="S279" s="11" t="e">
        <f>VLOOKUP($H279, 'ADP Data'!$B$4:$Q$300, 8, FALSE)</f>
        <v>#N/A</v>
      </c>
      <c r="T279" s="11" t="e">
        <f>VLOOKUP($H279, 'ADP Data'!$B$4:$Q$300, 9, FALSE)</f>
        <v>#N/A</v>
      </c>
      <c r="U279" s="11" t="e">
        <f>VLOOKUP($H279, 'ADP Data'!$B$4:$Q$300, 10, FALSE)</f>
        <v>#N/A</v>
      </c>
      <c r="V279" s="11" t="e">
        <f t="shared" si="9"/>
        <v>#N/A</v>
      </c>
      <c r="W279" s="11" t="e">
        <f>VLOOKUP($H279, SeanRanks!$A$2:$J$303, 7, FALSE)-V279</f>
        <v>#N/A</v>
      </c>
      <c r="X279" s="11"/>
    </row>
    <row r="280" spans="1:24" ht="14.25" customHeight="1" x14ac:dyDescent="0.25">
      <c r="A280" s="11"/>
      <c r="B280" s="11" t="e">
        <f t="shared" si="5"/>
        <v>#N/A</v>
      </c>
      <c r="C280" s="11" t="s">
        <v>148</v>
      </c>
      <c r="D280" s="11">
        <v>25</v>
      </c>
      <c r="E280" s="11">
        <v>19</v>
      </c>
      <c r="F280" s="11">
        <f t="shared" si="6"/>
        <v>6</v>
      </c>
      <c r="G280" s="11" t="s">
        <v>148</v>
      </c>
      <c r="H280" s="11" t="s">
        <v>143</v>
      </c>
      <c r="I280" s="11" t="e">
        <f>VLOOKUP($H280, 'ADP Data'!$B$4:$Q$300, 2, FALSE)</f>
        <v>#N/A</v>
      </c>
      <c r="J280" s="11" t="e">
        <f>VLOOKUP($H280, 'ADP Data'!$B$4:$Q$300, 3, FALSE)</f>
        <v>#N/A</v>
      </c>
      <c r="K280" s="11">
        <f>VLOOKUP($H280, SeanRanks!$A$2:$H$303, 4, FALSE)</f>
        <v>0</v>
      </c>
      <c r="L280" s="11">
        <f>VLOOKUP($H280, SeanRanks!$A$2:$H$303, 5, FALSE)</f>
        <v>0</v>
      </c>
      <c r="M280" s="11">
        <f t="shared" si="7"/>
        <v>16</v>
      </c>
      <c r="N280" s="11" t="e">
        <f>VLOOKUP($H280, 'ADP Data'!$B$4:$Q$300, 11, FALSE)</f>
        <v>#N/A</v>
      </c>
      <c r="O280" s="11" t="e">
        <f>VLOOKUP($H280, 'ADP Data'!$B$4:$Q$300, 5, FALSE)</f>
        <v>#N/A</v>
      </c>
      <c r="P280" s="11" t="e">
        <f t="shared" si="8"/>
        <v>#N/A</v>
      </c>
      <c r="Q280" s="11" t="e">
        <f>VLOOKUP($H280, 'ADP Data'!$B$4:$Q$300, 6, FALSE)</f>
        <v>#N/A</v>
      </c>
      <c r="R280" s="11" t="e">
        <f>VLOOKUP($H280, 'ADP Data'!$B$4:$Q$300, 7, FALSE)</f>
        <v>#N/A</v>
      </c>
      <c r="S280" s="11" t="e">
        <f>VLOOKUP($H280, 'ADP Data'!$B$4:$Q$300, 8, FALSE)</f>
        <v>#N/A</v>
      </c>
      <c r="T280" s="11" t="e">
        <f>VLOOKUP($H280, 'ADP Data'!$B$4:$Q$300, 9, FALSE)</f>
        <v>#N/A</v>
      </c>
      <c r="U280" s="11" t="e">
        <f>VLOOKUP($H280, 'ADP Data'!$B$4:$Q$300, 10, FALSE)</f>
        <v>#N/A</v>
      </c>
      <c r="V280" s="11" t="e">
        <f t="shared" si="9"/>
        <v>#N/A</v>
      </c>
      <c r="W280" s="11" t="e">
        <f>VLOOKUP($H280, SeanRanks!$A$2:$J$303, 7, FALSE)-V280</f>
        <v>#N/A</v>
      </c>
      <c r="X280" s="11" t="s">
        <v>1324</v>
      </c>
    </row>
    <row r="281" spans="1:24" ht="14.25" customHeight="1" x14ac:dyDescent="0.25">
      <c r="A281" s="11"/>
      <c r="B281" s="11" t="e">
        <f t="shared" si="5"/>
        <v>#N/A</v>
      </c>
      <c r="C281" s="11" t="s">
        <v>148</v>
      </c>
      <c r="D281" s="11">
        <v>13</v>
      </c>
      <c r="E281" s="11">
        <v>7</v>
      </c>
      <c r="F281" s="11">
        <f t="shared" si="6"/>
        <v>6</v>
      </c>
      <c r="G281" s="11" t="s">
        <v>148</v>
      </c>
      <c r="H281" s="11" t="s">
        <v>264</v>
      </c>
      <c r="I281" s="11" t="e">
        <f>VLOOKUP($H281, 'ADP Data'!$B$4:$Q$300, 2, FALSE)</f>
        <v>#N/A</v>
      </c>
      <c r="J281" s="11" t="e">
        <f>VLOOKUP($H281, 'ADP Data'!$B$4:$Q$300, 3, FALSE)</f>
        <v>#N/A</v>
      </c>
      <c r="K281" s="11">
        <f>VLOOKUP($H281, SeanRanks!$A$2:$H$303, 4, FALSE)</f>
        <v>0</v>
      </c>
      <c r="L281" s="11">
        <f>VLOOKUP($H281, SeanRanks!$A$2:$H$303, 5, FALSE)</f>
        <v>0</v>
      </c>
      <c r="M281" s="11">
        <f t="shared" si="7"/>
        <v>16</v>
      </c>
      <c r="N281" s="11" t="e">
        <f>VLOOKUP($H281, 'ADP Data'!$B$4:$Q$300, 11, FALSE)</f>
        <v>#N/A</v>
      </c>
      <c r="O281" s="11" t="e">
        <f>VLOOKUP($H281, 'ADP Data'!$B$4:$Q$300, 5, FALSE)</f>
        <v>#N/A</v>
      </c>
      <c r="P281" s="11" t="e">
        <f t="shared" si="8"/>
        <v>#N/A</v>
      </c>
      <c r="Q281" s="11" t="e">
        <f>VLOOKUP($H281, 'ADP Data'!$B$4:$Q$300, 6, FALSE)</f>
        <v>#N/A</v>
      </c>
      <c r="R281" s="11" t="e">
        <f>VLOOKUP($H281, 'ADP Data'!$B$4:$Q$300, 7, FALSE)</f>
        <v>#N/A</v>
      </c>
      <c r="S281" s="11" t="e">
        <f>VLOOKUP($H281, 'ADP Data'!$B$4:$Q$300, 8, FALSE)</f>
        <v>#N/A</v>
      </c>
      <c r="T281" s="11" t="e">
        <f>VLOOKUP($H281, 'ADP Data'!$B$4:$Q$300, 9, FALSE)</f>
        <v>#N/A</v>
      </c>
      <c r="U281" s="11" t="e">
        <f>VLOOKUP($H281, 'ADP Data'!$B$4:$Q$300, 10, FALSE)</f>
        <v>#N/A</v>
      </c>
      <c r="V281" s="11" t="e">
        <f t="shared" si="9"/>
        <v>#N/A</v>
      </c>
      <c r="W281" s="11" t="e">
        <f>VLOOKUP($H281, SeanRanks!$A$2:$J$303, 7, FALSE)-V281</f>
        <v>#N/A</v>
      </c>
      <c r="X281" s="11"/>
    </row>
    <row r="282" spans="1:24" ht="14.25" customHeight="1" x14ac:dyDescent="0.25">
      <c r="A282" s="11"/>
      <c r="B282" s="11" t="e">
        <f t="shared" si="5"/>
        <v>#N/A</v>
      </c>
      <c r="C282" s="11" t="s">
        <v>148</v>
      </c>
      <c r="D282" s="11">
        <v>11</v>
      </c>
      <c r="E282" s="11">
        <v>5</v>
      </c>
      <c r="F282" s="11">
        <f t="shared" si="6"/>
        <v>6</v>
      </c>
      <c r="G282" s="11"/>
      <c r="H282" s="11" t="s">
        <v>63</v>
      </c>
      <c r="I282" s="11" t="e">
        <f>VLOOKUP($H282, 'ADP Data'!$B$4:$Q$300, 2, FALSE)</f>
        <v>#N/A</v>
      </c>
      <c r="J282" s="11" t="e">
        <f>VLOOKUP($H282, 'ADP Data'!$B$4:$Q$300, 3, FALSE)</f>
        <v>#N/A</v>
      </c>
      <c r="K282" s="11">
        <f>VLOOKUP($H282, SeanRanks!$A$2:$H$303, 4, FALSE)</f>
        <v>0</v>
      </c>
      <c r="L282" s="11">
        <f>VLOOKUP($H282, SeanRanks!$A$2:$H$303, 5, FALSE)</f>
        <v>0</v>
      </c>
      <c r="M282" s="11">
        <f t="shared" si="7"/>
        <v>16</v>
      </c>
      <c r="N282" s="11" t="e">
        <f>VLOOKUP($H282, 'ADP Data'!$B$4:$Q$300, 11, FALSE)</f>
        <v>#N/A</v>
      </c>
      <c r="O282" s="11" t="e">
        <f>VLOOKUP($H282, 'ADP Data'!$B$4:$Q$300, 5, FALSE)</f>
        <v>#N/A</v>
      </c>
      <c r="P282" s="11" t="e">
        <f t="shared" si="8"/>
        <v>#N/A</v>
      </c>
      <c r="Q282" s="11" t="e">
        <f>VLOOKUP($H282, 'ADP Data'!$B$4:$Q$300, 6, FALSE)</f>
        <v>#N/A</v>
      </c>
      <c r="R282" s="11" t="e">
        <f>VLOOKUP($H282, 'ADP Data'!$B$4:$Q$300, 7, FALSE)</f>
        <v>#N/A</v>
      </c>
      <c r="S282" s="11" t="e">
        <f>VLOOKUP($H282, 'ADP Data'!$B$4:$Q$300, 8, FALSE)</f>
        <v>#N/A</v>
      </c>
      <c r="T282" s="11" t="e">
        <f>VLOOKUP($H282, 'ADP Data'!$B$4:$Q$300, 9, FALSE)</f>
        <v>#N/A</v>
      </c>
      <c r="U282" s="11" t="e">
        <f>VLOOKUP($H282, 'ADP Data'!$B$4:$Q$300, 10, FALSE)</f>
        <v>#N/A</v>
      </c>
      <c r="V282" s="11" t="e">
        <f t="shared" si="9"/>
        <v>#N/A</v>
      </c>
      <c r="W282" s="11" t="e">
        <f>VLOOKUP($H282, SeanRanks!$A$2:$J$303, 7, FALSE)-V282</f>
        <v>#N/A</v>
      </c>
      <c r="X282" s="11"/>
    </row>
    <row r="283" spans="1:24" ht="14.25" customHeight="1" x14ac:dyDescent="0.25">
      <c r="A283" s="11"/>
      <c r="B283" s="11" t="e">
        <f t="shared" si="5"/>
        <v>#N/A</v>
      </c>
      <c r="C283" s="11" t="s">
        <v>148</v>
      </c>
      <c r="D283" s="11">
        <v>39</v>
      </c>
      <c r="E283" s="11">
        <v>32</v>
      </c>
      <c r="F283" s="11">
        <f t="shared" si="6"/>
        <v>7</v>
      </c>
      <c r="G283" s="11"/>
      <c r="H283" s="11" t="s">
        <v>312</v>
      </c>
      <c r="I283" s="11" t="e">
        <f>VLOOKUP($H283, 'ADP Data'!$B$4:$Q$300, 2, FALSE)</f>
        <v>#N/A</v>
      </c>
      <c r="J283" s="11" t="e">
        <f>VLOOKUP($H283, 'ADP Data'!$B$4:$Q$300, 3, FALSE)</f>
        <v>#N/A</v>
      </c>
      <c r="K283" s="11" t="s">
        <v>1307</v>
      </c>
      <c r="L283" s="11" t="str">
        <f>VLOOKUP($H283, SeanRanks!$A$2:$H$303, 5, FALSE)</f>
        <v>No</v>
      </c>
      <c r="M283" s="11">
        <f t="shared" si="7"/>
        <v>16</v>
      </c>
      <c r="N283" s="11" t="e">
        <f>VLOOKUP($H283, 'ADP Data'!$B$4:$Q$300, 11, FALSE)</f>
        <v>#N/A</v>
      </c>
      <c r="O283" s="11" t="e">
        <f>VLOOKUP($H283, 'ADP Data'!$B$4:$Q$300, 5, FALSE)</f>
        <v>#N/A</v>
      </c>
      <c r="P283" s="11" t="e">
        <f t="shared" si="8"/>
        <v>#N/A</v>
      </c>
      <c r="Q283" s="11" t="e">
        <f>VLOOKUP($H283, 'ADP Data'!$B$4:$Q$300, 6, FALSE)</f>
        <v>#N/A</v>
      </c>
      <c r="R283" s="11" t="e">
        <f>VLOOKUP($H283, 'ADP Data'!$B$4:$Q$300, 7, FALSE)</f>
        <v>#N/A</v>
      </c>
      <c r="S283" s="11" t="e">
        <f>VLOOKUP($H283, 'ADP Data'!$B$4:$Q$300, 8, FALSE)</f>
        <v>#N/A</v>
      </c>
      <c r="T283" s="11" t="e">
        <f>VLOOKUP($H283, 'ADP Data'!$B$4:$Q$300, 9, FALSE)</f>
        <v>#N/A</v>
      </c>
      <c r="U283" s="11" t="e">
        <f>VLOOKUP($H283, 'ADP Data'!$B$4:$Q$300, 10, FALSE)</f>
        <v>#N/A</v>
      </c>
      <c r="V283" s="11" t="e">
        <f t="shared" si="9"/>
        <v>#N/A</v>
      </c>
      <c r="W283" s="11" t="e">
        <f>VLOOKUP($H283, SeanRanks!$A$2:$J$303, 7, FALSE)-V283</f>
        <v>#N/A</v>
      </c>
      <c r="X283" s="11"/>
    </row>
    <row r="284" spans="1:24" ht="14.25" customHeight="1" x14ac:dyDescent="0.25">
      <c r="A284" s="11"/>
      <c r="B284" s="11" t="e">
        <f t="shared" si="5"/>
        <v>#N/A</v>
      </c>
      <c r="C284" s="11" t="s">
        <v>148</v>
      </c>
      <c r="D284" s="11">
        <v>16</v>
      </c>
      <c r="E284" s="11">
        <v>9</v>
      </c>
      <c r="F284" s="11">
        <f t="shared" si="6"/>
        <v>7</v>
      </c>
      <c r="G284" s="11" t="s">
        <v>148</v>
      </c>
      <c r="H284" s="11" t="s">
        <v>642</v>
      </c>
      <c r="I284" s="11" t="e">
        <f>VLOOKUP($H284, 'ADP Data'!$B$4:$Q$300, 2, FALSE)</f>
        <v>#N/A</v>
      </c>
      <c r="J284" s="11" t="e">
        <f>VLOOKUP($H284, 'ADP Data'!$B$4:$Q$300, 3, FALSE)</f>
        <v>#N/A</v>
      </c>
      <c r="K284" s="11" t="s">
        <v>781</v>
      </c>
      <c r="L284" s="11">
        <f>VLOOKUP($H284, SeanRanks!$A$2:$H$303, 5, FALSE)</f>
        <v>0</v>
      </c>
      <c r="M284" s="11">
        <f t="shared" si="7"/>
        <v>16</v>
      </c>
      <c r="N284" s="11" t="e">
        <f>VLOOKUP($H284, 'ADP Data'!$B$4:$Q$300, 11, FALSE)</f>
        <v>#N/A</v>
      </c>
      <c r="O284" s="11" t="e">
        <f>VLOOKUP($H284, 'ADP Data'!$B$4:$Q$300, 5, FALSE)</f>
        <v>#N/A</v>
      </c>
      <c r="P284" s="11" t="e">
        <f t="shared" si="8"/>
        <v>#N/A</v>
      </c>
      <c r="Q284" s="11" t="e">
        <f>VLOOKUP($H284, 'ADP Data'!$B$4:$Q$300, 6, FALSE)</f>
        <v>#N/A</v>
      </c>
      <c r="R284" s="11" t="e">
        <f>VLOOKUP($H284, 'ADP Data'!$B$4:$Q$300, 7, FALSE)</f>
        <v>#N/A</v>
      </c>
      <c r="S284" s="11" t="e">
        <f>VLOOKUP($H284, 'ADP Data'!$B$4:$Q$300, 8, FALSE)</f>
        <v>#N/A</v>
      </c>
      <c r="T284" s="11" t="e">
        <f>VLOOKUP($H284, 'ADP Data'!$B$4:$Q$300, 9, FALSE)</f>
        <v>#N/A</v>
      </c>
      <c r="U284" s="11" t="e">
        <f>VLOOKUP($H284, 'ADP Data'!$B$4:$Q$300, 10, FALSE)</f>
        <v>#N/A</v>
      </c>
      <c r="V284" s="11" t="e">
        <f t="shared" si="9"/>
        <v>#N/A</v>
      </c>
      <c r="W284" s="11" t="e">
        <f>VLOOKUP($H284, SeanRanks!$A$2:$J$303, 7, FALSE)-V284</f>
        <v>#N/A</v>
      </c>
      <c r="X284" s="11"/>
    </row>
    <row r="285" spans="1:24" ht="14.25" customHeight="1" x14ac:dyDescent="0.25">
      <c r="A285" s="11"/>
      <c r="B285" s="11" t="e">
        <f t="shared" si="5"/>
        <v>#N/A</v>
      </c>
      <c r="C285" s="11" t="s">
        <v>148</v>
      </c>
      <c r="D285" s="11">
        <v>37</v>
      </c>
      <c r="E285" s="11">
        <v>30</v>
      </c>
      <c r="F285" s="11">
        <f t="shared" si="6"/>
        <v>7</v>
      </c>
      <c r="G285" s="11" t="s">
        <v>148</v>
      </c>
      <c r="H285" s="11" t="s">
        <v>190</v>
      </c>
      <c r="I285" s="11" t="e">
        <f>VLOOKUP($H285, 'ADP Data'!$B$4:$Q$300, 2, FALSE)</f>
        <v>#N/A</v>
      </c>
      <c r="J285" s="11" t="e">
        <f>VLOOKUP($H285, 'ADP Data'!$B$4:$Q$300, 3, FALSE)</f>
        <v>#N/A</v>
      </c>
      <c r="K285" s="11">
        <f>VLOOKUP($H285, SeanRanks!$A$2:$H$303, 4, FALSE)</f>
        <v>0</v>
      </c>
      <c r="L285" s="11" t="str">
        <f>VLOOKUP($H285, SeanRanks!$A$2:$H$303, 5, FALSE)</f>
        <v>Yes</v>
      </c>
      <c r="M285" s="11">
        <f t="shared" si="7"/>
        <v>16</v>
      </c>
      <c r="N285" s="11" t="e">
        <f>VLOOKUP($H285, 'ADP Data'!$B$4:$Q$300, 11, FALSE)</f>
        <v>#N/A</v>
      </c>
      <c r="O285" s="11" t="e">
        <f>VLOOKUP($H285, 'ADP Data'!$B$4:$Q$300, 5, FALSE)</f>
        <v>#N/A</v>
      </c>
      <c r="P285" s="11" t="e">
        <f t="shared" si="8"/>
        <v>#N/A</v>
      </c>
      <c r="Q285" s="11" t="e">
        <f>VLOOKUP($H285, 'ADP Data'!$B$4:$Q$300, 6, FALSE)</f>
        <v>#N/A</v>
      </c>
      <c r="R285" s="11" t="e">
        <f>VLOOKUP($H285, 'ADP Data'!$B$4:$Q$300, 7, FALSE)</f>
        <v>#N/A</v>
      </c>
      <c r="S285" s="11" t="e">
        <f>VLOOKUP($H285, 'ADP Data'!$B$4:$Q$300, 8, FALSE)</f>
        <v>#N/A</v>
      </c>
      <c r="T285" s="11" t="e">
        <f>VLOOKUP($H285, 'ADP Data'!$B$4:$Q$300, 9, FALSE)</f>
        <v>#N/A</v>
      </c>
      <c r="U285" s="11" t="e">
        <f>VLOOKUP($H285, 'ADP Data'!$B$4:$Q$300, 10, FALSE)</f>
        <v>#N/A</v>
      </c>
      <c r="V285" s="11" t="e">
        <f t="shared" si="9"/>
        <v>#N/A</v>
      </c>
      <c r="W285" s="11" t="e">
        <f>VLOOKUP($H285, SeanRanks!$A$2:$J$303, 7, FALSE)-V285</f>
        <v>#N/A</v>
      </c>
      <c r="X285" s="11"/>
    </row>
    <row r="286" spans="1:24" ht="14.25" customHeight="1" x14ac:dyDescent="0.25">
      <c r="A286" s="11"/>
      <c r="B286" s="11" t="e">
        <f t="shared" si="5"/>
        <v>#N/A</v>
      </c>
      <c r="C286" s="11" t="s">
        <v>148</v>
      </c>
      <c r="D286" s="11">
        <v>22</v>
      </c>
      <c r="E286" s="60">
        <v>15</v>
      </c>
      <c r="F286" s="11">
        <f t="shared" si="6"/>
        <v>7</v>
      </c>
      <c r="G286" s="60" t="s">
        <v>148</v>
      </c>
      <c r="H286" s="60" t="s">
        <v>260</v>
      </c>
      <c r="I286" s="60" t="e">
        <f>VLOOKUP($H286, 'ADP Data'!$B$4:$Q$300, 2, FALSE)</f>
        <v>#N/A</v>
      </c>
      <c r="J286" s="60" t="e">
        <f>VLOOKUP($H286, 'ADP Data'!$B$4:$Q$300, 3, FALSE)</f>
        <v>#N/A</v>
      </c>
      <c r="K286" s="60">
        <f>VLOOKUP($H286, SeanRanks!$A$2:$H$303, 4, FALSE)</f>
        <v>0</v>
      </c>
      <c r="L286" s="60" t="str">
        <f>VLOOKUP($H286, SeanRanks!$A$2:$H$303, 5, FALSE)</f>
        <v>Yes</v>
      </c>
      <c r="M286" s="11">
        <f t="shared" si="7"/>
        <v>16</v>
      </c>
      <c r="N286" s="11" t="e">
        <f>VLOOKUP($H286, 'ADP Data'!$B$4:$Q$300, 11, FALSE)</f>
        <v>#N/A</v>
      </c>
      <c r="O286" s="11" t="e">
        <f>VLOOKUP($H286, 'ADP Data'!$B$4:$Q$300, 5, FALSE)</f>
        <v>#N/A</v>
      </c>
      <c r="P286" s="11" t="e">
        <f t="shared" si="8"/>
        <v>#N/A</v>
      </c>
      <c r="Q286" s="11" t="e">
        <f>VLOOKUP($H286, 'ADP Data'!$B$4:$Q$300, 6, FALSE)</f>
        <v>#N/A</v>
      </c>
      <c r="R286" s="11" t="e">
        <f>VLOOKUP($H286, 'ADP Data'!$B$4:$Q$300, 7, FALSE)</f>
        <v>#N/A</v>
      </c>
      <c r="S286" s="11" t="e">
        <f>VLOOKUP($H286, 'ADP Data'!$B$4:$Q$300, 8, FALSE)</f>
        <v>#N/A</v>
      </c>
      <c r="T286" s="11" t="e">
        <f>VLOOKUP($H286, 'ADP Data'!$B$4:$Q$300, 9, FALSE)</f>
        <v>#N/A</v>
      </c>
      <c r="U286" s="11" t="e">
        <f>VLOOKUP($H286, 'ADP Data'!$B$4:$Q$300, 10, FALSE)</f>
        <v>#N/A</v>
      </c>
      <c r="V286" s="11" t="e">
        <f t="shared" si="9"/>
        <v>#N/A</v>
      </c>
      <c r="W286" s="11" t="e">
        <f>VLOOKUP($H286, SeanRanks!$A$2:$J$303, 7, FALSE)-V286</f>
        <v>#N/A</v>
      </c>
      <c r="X286" s="60" t="s">
        <v>1325</v>
      </c>
    </row>
    <row r="287" spans="1:24" ht="14.25" customHeight="1" x14ac:dyDescent="0.25">
      <c r="A287" s="11"/>
      <c r="B287" s="11" t="e">
        <f t="shared" si="5"/>
        <v>#N/A</v>
      </c>
      <c r="C287" s="11" t="s">
        <v>148</v>
      </c>
      <c r="D287" s="11">
        <v>25</v>
      </c>
      <c r="E287" s="11">
        <v>18</v>
      </c>
      <c r="F287" s="11">
        <f t="shared" si="6"/>
        <v>7</v>
      </c>
      <c r="G287" s="11" t="s">
        <v>119</v>
      </c>
      <c r="H287" s="11" t="s">
        <v>157</v>
      </c>
      <c r="I287" s="11" t="e">
        <f>VLOOKUP($H287, 'ADP Data'!$B$4:$Q$300, 2, FALSE)</f>
        <v>#N/A</v>
      </c>
      <c r="J287" s="11" t="e">
        <f>VLOOKUP($H287, 'ADP Data'!$B$4:$Q$300, 3, FALSE)</f>
        <v>#N/A</v>
      </c>
      <c r="K287" s="11">
        <f>VLOOKUP($H287, SeanRanks!$A$2:$H$303, 4, FALSE)</f>
        <v>0</v>
      </c>
      <c r="L287" s="11">
        <f>VLOOKUP($H287, SeanRanks!$A$2:$H$303, 5, FALSE)</f>
        <v>0</v>
      </c>
      <c r="M287" s="11">
        <f t="shared" si="7"/>
        <v>16</v>
      </c>
      <c r="N287" s="11" t="e">
        <f>VLOOKUP($H287, 'ADP Data'!$B$4:$Q$300, 11, FALSE)</f>
        <v>#N/A</v>
      </c>
      <c r="O287" s="11" t="e">
        <f>VLOOKUP($H287, 'ADP Data'!$B$4:$Q$300, 5, FALSE)</f>
        <v>#N/A</v>
      </c>
      <c r="P287" s="11" t="e">
        <f t="shared" si="8"/>
        <v>#N/A</v>
      </c>
      <c r="Q287" s="11" t="e">
        <f>VLOOKUP($H287, 'ADP Data'!$B$4:$Q$300, 6, FALSE)</f>
        <v>#N/A</v>
      </c>
      <c r="R287" s="11" t="e">
        <f>VLOOKUP($H287, 'ADP Data'!$B$4:$Q$300, 7, FALSE)</f>
        <v>#N/A</v>
      </c>
      <c r="S287" s="11" t="e">
        <f>VLOOKUP($H287, 'ADP Data'!$B$4:$Q$300, 8, FALSE)</f>
        <v>#N/A</v>
      </c>
      <c r="T287" s="11" t="e">
        <f>VLOOKUP($H287, 'ADP Data'!$B$4:$Q$300, 9, FALSE)</f>
        <v>#N/A</v>
      </c>
      <c r="U287" s="11" t="e">
        <f>VLOOKUP($H287, 'ADP Data'!$B$4:$Q$300, 10, FALSE)</f>
        <v>#N/A</v>
      </c>
      <c r="V287" s="11" t="e">
        <f t="shared" si="9"/>
        <v>#N/A</v>
      </c>
      <c r="W287" s="11" t="e">
        <f>VLOOKUP($H287, SeanRanks!$A$2:$J$303, 7, FALSE)-V287</f>
        <v>#N/A</v>
      </c>
      <c r="X287" s="11" t="s">
        <v>1189</v>
      </c>
    </row>
    <row r="288" spans="1:24" ht="14.25" customHeight="1" x14ac:dyDescent="0.25">
      <c r="A288" s="11"/>
      <c r="B288" s="11" t="e">
        <f t="shared" si="5"/>
        <v>#N/A</v>
      </c>
      <c r="C288" s="11" t="s">
        <v>148</v>
      </c>
      <c r="D288" s="11">
        <v>19</v>
      </c>
      <c r="E288" s="11">
        <v>12</v>
      </c>
      <c r="F288" s="11">
        <f t="shared" si="6"/>
        <v>7</v>
      </c>
      <c r="G288" s="11"/>
      <c r="H288" s="11" t="s">
        <v>276</v>
      </c>
      <c r="I288" s="11" t="e">
        <f>VLOOKUP($H288, 'ADP Data'!$B$4:$Q$300, 2, FALSE)</f>
        <v>#N/A</v>
      </c>
      <c r="J288" s="11" t="e">
        <f>VLOOKUP($H288, 'ADP Data'!$B$4:$Q$300, 3, FALSE)</f>
        <v>#N/A</v>
      </c>
      <c r="K288" s="11">
        <f>VLOOKUP($H288, SeanRanks!$A$2:$H$303, 4, FALSE)</f>
        <v>0</v>
      </c>
      <c r="L288" s="11">
        <f>VLOOKUP($H288, SeanRanks!$A$2:$H$303, 5, FALSE)</f>
        <v>0</v>
      </c>
      <c r="M288" s="11">
        <f t="shared" si="7"/>
        <v>16</v>
      </c>
      <c r="N288" s="11" t="e">
        <f>VLOOKUP($H288, 'ADP Data'!$B$4:$Q$300, 11, FALSE)</f>
        <v>#N/A</v>
      </c>
      <c r="O288" s="11" t="e">
        <f>VLOOKUP($H288, 'ADP Data'!$B$4:$Q$300, 5, FALSE)</f>
        <v>#N/A</v>
      </c>
      <c r="P288" s="11" t="e">
        <f t="shared" si="8"/>
        <v>#N/A</v>
      </c>
      <c r="Q288" s="11" t="e">
        <f>VLOOKUP($H288, 'ADP Data'!$B$4:$Q$300, 6, FALSE)</f>
        <v>#N/A</v>
      </c>
      <c r="R288" s="11" t="e">
        <f>VLOOKUP($H288, 'ADP Data'!$B$4:$Q$300, 7, FALSE)</f>
        <v>#N/A</v>
      </c>
      <c r="S288" s="11" t="e">
        <f>VLOOKUP($H288, 'ADP Data'!$B$4:$Q$300, 8, FALSE)</f>
        <v>#N/A</v>
      </c>
      <c r="T288" s="11" t="e">
        <f>VLOOKUP($H288, 'ADP Data'!$B$4:$Q$300, 9, FALSE)</f>
        <v>#N/A</v>
      </c>
      <c r="U288" s="11" t="e">
        <f>VLOOKUP($H288, 'ADP Data'!$B$4:$Q$300, 10, FALSE)</f>
        <v>#N/A</v>
      </c>
      <c r="V288" s="11" t="e">
        <f t="shared" si="9"/>
        <v>#N/A</v>
      </c>
      <c r="W288" s="11" t="e">
        <f>VLOOKUP($H288, SeanRanks!$A$2:$J$303, 7, FALSE)-V288</f>
        <v>#N/A</v>
      </c>
      <c r="X288" s="11"/>
    </row>
    <row r="289" spans="1:24" ht="14.25" customHeight="1" x14ac:dyDescent="0.25">
      <c r="A289" s="11"/>
      <c r="B289" s="11" t="e">
        <f t="shared" si="5"/>
        <v>#N/A</v>
      </c>
      <c r="C289" s="11" t="s">
        <v>148</v>
      </c>
      <c r="D289" s="11">
        <v>15</v>
      </c>
      <c r="E289" s="11">
        <v>8</v>
      </c>
      <c r="F289" s="11">
        <f t="shared" si="6"/>
        <v>7</v>
      </c>
      <c r="G289" s="11" t="s">
        <v>148</v>
      </c>
      <c r="H289" s="11" t="s">
        <v>1210</v>
      </c>
      <c r="I289" s="11" t="e">
        <f>VLOOKUP($H289, 'ADP Data'!$B$4:$Q$300, 2, FALSE)</f>
        <v>#N/A</v>
      </c>
      <c r="J289" s="11" t="e">
        <f>VLOOKUP($H289, 'ADP Data'!$B$4:$Q$300, 3, FALSE)</f>
        <v>#N/A</v>
      </c>
      <c r="K289" s="11" t="e">
        <f>VLOOKUP($H289, SeanRanks!$A$2:$H$303, 4, FALSE)</f>
        <v>#N/A</v>
      </c>
      <c r="L289" s="11" t="e">
        <f>VLOOKUP($H289, SeanRanks!$A$2:$H$303, 5, FALSE)</f>
        <v>#N/A</v>
      </c>
      <c r="M289" s="11">
        <f t="shared" si="7"/>
        <v>16</v>
      </c>
      <c r="N289" s="11" t="e">
        <f>VLOOKUP($H289, 'ADP Data'!$B$4:$Q$300, 11, FALSE)</f>
        <v>#N/A</v>
      </c>
      <c r="O289" s="11" t="e">
        <f>VLOOKUP($H289, 'ADP Data'!$B$4:$Q$300, 5, FALSE)</f>
        <v>#N/A</v>
      </c>
      <c r="P289" s="11" t="e">
        <f t="shared" si="8"/>
        <v>#N/A</v>
      </c>
      <c r="Q289" s="11" t="e">
        <f>VLOOKUP($H289, 'ADP Data'!$B$4:$Q$300, 6, FALSE)</f>
        <v>#N/A</v>
      </c>
      <c r="R289" s="11" t="e">
        <f>VLOOKUP($H289, 'ADP Data'!$B$4:$Q$300, 7, FALSE)</f>
        <v>#N/A</v>
      </c>
      <c r="S289" s="11" t="e">
        <f>VLOOKUP($H289, 'ADP Data'!$B$4:$Q$300, 8, FALSE)</f>
        <v>#N/A</v>
      </c>
      <c r="T289" s="11" t="e">
        <f>VLOOKUP($H289, 'ADP Data'!$B$4:$Q$300, 9, FALSE)</f>
        <v>#N/A</v>
      </c>
      <c r="U289" s="11" t="e">
        <f>VLOOKUP($H289, 'ADP Data'!$B$4:$Q$300, 10, FALSE)</f>
        <v>#N/A</v>
      </c>
      <c r="V289" s="11" t="e">
        <f t="shared" si="9"/>
        <v>#N/A</v>
      </c>
      <c r="W289" s="11" t="e">
        <f>VLOOKUP($H289, SeanRanks!$A$2:$J$303, 7, FALSE)-V289</f>
        <v>#N/A</v>
      </c>
      <c r="X289" s="11"/>
    </row>
    <row r="290" spans="1:24" ht="14.25" customHeight="1" x14ac:dyDescent="0.25">
      <c r="A290" s="11"/>
      <c r="B290" s="11" t="e">
        <f t="shared" si="5"/>
        <v>#N/A</v>
      </c>
      <c r="C290" s="11" t="s">
        <v>148</v>
      </c>
      <c r="D290" s="11">
        <v>22</v>
      </c>
      <c r="E290" s="11">
        <v>15</v>
      </c>
      <c r="F290" s="11">
        <f t="shared" si="6"/>
        <v>7</v>
      </c>
      <c r="G290" s="11" t="s">
        <v>148</v>
      </c>
      <c r="H290" s="11" t="s">
        <v>940</v>
      </c>
      <c r="I290" s="11" t="e">
        <f>VLOOKUP($H290, 'ADP Data'!$B$4:$Q$300, 2, FALSE)</f>
        <v>#N/A</v>
      </c>
      <c r="J290" s="11" t="e">
        <f>VLOOKUP($H290, 'ADP Data'!$B$4:$Q$300, 3, FALSE)</f>
        <v>#N/A</v>
      </c>
      <c r="K290" s="11">
        <f>VLOOKUP($H290, SeanRanks!$A$2:$H$303, 4, FALSE)</f>
        <v>0</v>
      </c>
      <c r="L290" s="11">
        <f>VLOOKUP($H290, SeanRanks!$A$2:$H$303, 5, FALSE)</f>
        <v>0</v>
      </c>
      <c r="M290" s="11">
        <f t="shared" si="7"/>
        <v>16</v>
      </c>
      <c r="N290" s="11" t="e">
        <f>VLOOKUP($H290, 'ADP Data'!$B$4:$Q$300, 11, FALSE)</f>
        <v>#N/A</v>
      </c>
      <c r="O290" s="11" t="e">
        <f>VLOOKUP($H290, 'ADP Data'!$B$4:$Q$300, 5, FALSE)</f>
        <v>#N/A</v>
      </c>
      <c r="P290" s="11" t="e">
        <f t="shared" si="8"/>
        <v>#N/A</v>
      </c>
      <c r="Q290" s="11" t="e">
        <f>VLOOKUP($H290, 'ADP Data'!$B$4:$Q$300, 6, FALSE)</f>
        <v>#N/A</v>
      </c>
      <c r="R290" s="11" t="e">
        <f>VLOOKUP($H290, 'ADP Data'!$B$4:$Q$300, 7, FALSE)</f>
        <v>#N/A</v>
      </c>
      <c r="S290" s="11" t="e">
        <f>VLOOKUP($H290, 'ADP Data'!$B$4:$Q$300, 8, FALSE)</f>
        <v>#N/A</v>
      </c>
      <c r="T290" s="11" t="e">
        <f>VLOOKUP($H290, 'ADP Data'!$B$4:$Q$300, 9, FALSE)</f>
        <v>#N/A</v>
      </c>
      <c r="U290" s="11" t="e">
        <f>VLOOKUP($H290, 'ADP Data'!$B$4:$Q$300, 10, FALSE)</f>
        <v>#N/A</v>
      </c>
      <c r="V290" s="11" t="e">
        <f t="shared" si="9"/>
        <v>#N/A</v>
      </c>
      <c r="W290" s="11" t="e">
        <f>VLOOKUP($H290, SeanRanks!$A$2:$J$303, 7, FALSE)-V290</f>
        <v>#N/A</v>
      </c>
      <c r="X290" s="11" t="s">
        <v>1331</v>
      </c>
    </row>
    <row r="291" spans="1:24" ht="14.25" customHeight="1" x14ac:dyDescent="0.25">
      <c r="A291" s="11"/>
      <c r="B291" s="11" t="e">
        <f t="shared" si="5"/>
        <v>#N/A</v>
      </c>
      <c r="C291" s="11" t="s">
        <v>148</v>
      </c>
      <c r="D291" s="11">
        <v>48</v>
      </c>
      <c r="E291" s="11">
        <v>40</v>
      </c>
      <c r="F291" s="11">
        <f t="shared" si="6"/>
        <v>8</v>
      </c>
      <c r="G291" s="11"/>
      <c r="H291" s="11" t="s">
        <v>362</v>
      </c>
      <c r="I291" s="11" t="e">
        <f>VLOOKUP($H291, 'ADP Data'!$B$4:$Q$300, 2, FALSE)</f>
        <v>#N/A</v>
      </c>
      <c r="J291" s="11" t="e">
        <f>VLOOKUP($H291, 'ADP Data'!$B$4:$Q$300, 3, FALSE)</f>
        <v>#N/A</v>
      </c>
      <c r="K291" s="11">
        <f>VLOOKUP($H291, SeanRanks!$A$2:$H$303, 4, FALSE)</f>
        <v>0</v>
      </c>
      <c r="L291" s="11" t="str">
        <f>VLOOKUP($H291, SeanRanks!$A$2:$H$303, 5, FALSE)</f>
        <v>Yes</v>
      </c>
      <c r="M291" s="11">
        <f t="shared" si="7"/>
        <v>16</v>
      </c>
      <c r="N291" s="11" t="e">
        <f>VLOOKUP($H291, 'ADP Data'!$B$4:$Q$300, 11, FALSE)</f>
        <v>#N/A</v>
      </c>
      <c r="O291" s="11" t="e">
        <f>VLOOKUP($H291, 'ADP Data'!$B$4:$Q$300, 5, FALSE)</f>
        <v>#N/A</v>
      </c>
      <c r="P291" s="11" t="e">
        <f t="shared" si="8"/>
        <v>#N/A</v>
      </c>
      <c r="Q291" s="11" t="e">
        <f>VLOOKUP($H291, 'ADP Data'!$B$4:$Q$300, 6, FALSE)</f>
        <v>#N/A</v>
      </c>
      <c r="R291" s="11" t="e">
        <f>VLOOKUP($H291, 'ADP Data'!$B$4:$Q$300, 7, FALSE)</f>
        <v>#N/A</v>
      </c>
      <c r="S291" s="11" t="e">
        <f>VLOOKUP($H291, 'ADP Data'!$B$4:$Q$300, 8, FALSE)</f>
        <v>#N/A</v>
      </c>
      <c r="T291" s="11" t="e">
        <f>VLOOKUP($H291, 'ADP Data'!$B$4:$Q$300, 9, FALSE)</f>
        <v>#N/A</v>
      </c>
      <c r="U291" s="11" t="e">
        <f>VLOOKUP($H291, 'ADP Data'!$B$4:$Q$300, 10, FALSE)</f>
        <v>#N/A</v>
      </c>
      <c r="V291" s="11" t="e">
        <f t="shared" si="9"/>
        <v>#N/A</v>
      </c>
      <c r="W291" s="11" t="e">
        <f>VLOOKUP($H291, SeanRanks!$A$2:$J$303, 7, FALSE)-V291</f>
        <v>#N/A</v>
      </c>
      <c r="X291" s="11"/>
    </row>
    <row r="292" spans="1:24" ht="14.25" customHeight="1" x14ac:dyDescent="0.25">
      <c r="A292" s="11"/>
      <c r="B292" s="11" t="e">
        <f t="shared" si="5"/>
        <v>#N/A</v>
      </c>
      <c r="C292" s="11" t="s">
        <v>148</v>
      </c>
      <c r="D292" s="11">
        <v>58</v>
      </c>
      <c r="E292" s="11">
        <v>49</v>
      </c>
      <c r="F292" s="11">
        <f t="shared" si="6"/>
        <v>9</v>
      </c>
      <c r="G292" s="11"/>
      <c r="H292" s="11" t="s">
        <v>71</v>
      </c>
      <c r="I292" s="11" t="e">
        <f>VLOOKUP($H292, 'ADP Data'!$B$4:$Q$300, 2, FALSE)</f>
        <v>#N/A</v>
      </c>
      <c r="J292" s="11" t="e">
        <f>VLOOKUP($H292, 'ADP Data'!$B$4:$Q$300, 3, FALSE)</f>
        <v>#N/A</v>
      </c>
      <c r="K292" s="11">
        <f>VLOOKUP($H292, SeanRanks!$A$2:$H$303, 4, FALSE)</f>
        <v>0</v>
      </c>
      <c r="L292" s="11">
        <f>VLOOKUP($H292, SeanRanks!$A$2:$H$303, 5, FALSE)</f>
        <v>0</v>
      </c>
      <c r="M292" s="11">
        <f t="shared" si="7"/>
        <v>16</v>
      </c>
      <c r="N292" s="11" t="e">
        <f>VLOOKUP($H292, 'ADP Data'!$B$4:$Q$300, 11, FALSE)</f>
        <v>#N/A</v>
      </c>
      <c r="O292" s="11" t="e">
        <f>VLOOKUP($H292, 'ADP Data'!$B$4:$Q$300, 5, FALSE)</f>
        <v>#N/A</v>
      </c>
      <c r="P292" s="11" t="e">
        <f t="shared" si="8"/>
        <v>#N/A</v>
      </c>
      <c r="Q292" s="11" t="e">
        <f>VLOOKUP($H292, 'ADP Data'!$B$4:$Q$300, 6, FALSE)</f>
        <v>#N/A</v>
      </c>
      <c r="R292" s="11" t="e">
        <f>VLOOKUP($H292, 'ADP Data'!$B$4:$Q$300, 7, FALSE)</f>
        <v>#N/A</v>
      </c>
      <c r="S292" s="11" t="e">
        <f>VLOOKUP($H292, 'ADP Data'!$B$4:$Q$300, 8, FALSE)</f>
        <v>#N/A</v>
      </c>
      <c r="T292" s="11" t="e">
        <f>VLOOKUP($H292, 'ADP Data'!$B$4:$Q$300, 9, FALSE)</f>
        <v>#N/A</v>
      </c>
      <c r="U292" s="11" t="e">
        <f>VLOOKUP($H292, 'ADP Data'!$B$4:$Q$300, 10, FALSE)</f>
        <v>#N/A</v>
      </c>
      <c r="V292" s="11" t="e">
        <f t="shared" si="9"/>
        <v>#N/A</v>
      </c>
      <c r="W292" s="11" t="e">
        <f>VLOOKUP($H292, SeanRanks!$A$2:$J$303, 7, FALSE)-V292</f>
        <v>#N/A</v>
      </c>
      <c r="X292" s="11"/>
    </row>
    <row r="293" spans="1:24" ht="14.25" customHeight="1" x14ac:dyDescent="0.25">
      <c r="A293" s="11"/>
      <c r="B293" s="11" t="e">
        <f t="shared" si="5"/>
        <v>#N/A</v>
      </c>
      <c r="C293" s="11" t="s">
        <v>148</v>
      </c>
      <c r="D293" s="11">
        <v>13</v>
      </c>
      <c r="E293" s="11">
        <v>4</v>
      </c>
      <c r="F293" s="11">
        <f t="shared" si="6"/>
        <v>9</v>
      </c>
      <c r="G293" s="11"/>
      <c r="H293" s="11" t="s">
        <v>1129</v>
      </c>
      <c r="I293" s="11" t="e">
        <f>VLOOKUP($H293, 'ADP Data'!$B$4:$Q$300, 2, FALSE)</f>
        <v>#N/A</v>
      </c>
      <c r="J293" s="11" t="e">
        <f>VLOOKUP($H293, 'ADP Data'!$B$4:$Q$300, 3, FALSE)</f>
        <v>#N/A</v>
      </c>
      <c r="K293" s="11" t="e">
        <f>VLOOKUP($H293, SeanRanks!$A$2:$H$303, 4, FALSE)</f>
        <v>#N/A</v>
      </c>
      <c r="L293" s="11" t="e">
        <f>VLOOKUP($H293, SeanRanks!$A$2:$H$303, 5, FALSE)</f>
        <v>#N/A</v>
      </c>
      <c r="M293" s="11">
        <f t="shared" si="7"/>
        <v>16</v>
      </c>
      <c r="N293" s="11" t="e">
        <f>VLOOKUP($H293, 'ADP Data'!$B$4:$Q$300, 11, FALSE)</f>
        <v>#N/A</v>
      </c>
      <c r="O293" s="11" t="e">
        <f>VLOOKUP($H293, 'ADP Data'!$B$4:$Q$300, 5, FALSE)</f>
        <v>#N/A</v>
      </c>
      <c r="P293" s="11" t="e">
        <f t="shared" si="8"/>
        <v>#N/A</v>
      </c>
      <c r="Q293" s="11" t="e">
        <f>VLOOKUP($H293, 'ADP Data'!$B$4:$Q$300, 6, FALSE)</f>
        <v>#N/A</v>
      </c>
      <c r="R293" s="11" t="e">
        <f>VLOOKUP($H293, 'ADP Data'!$B$4:$Q$300, 7, FALSE)</f>
        <v>#N/A</v>
      </c>
      <c r="S293" s="11" t="e">
        <f>VLOOKUP($H293, 'ADP Data'!$B$4:$Q$300, 8, FALSE)</f>
        <v>#N/A</v>
      </c>
      <c r="T293" s="11" t="e">
        <f>VLOOKUP($H293, 'ADP Data'!$B$4:$Q$300, 9, FALSE)</f>
        <v>#N/A</v>
      </c>
      <c r="U293" s="11" t="e">
        <f>VLOOKUP($H293, 'ADP Data'!$B$4:$Q$300, 10, FALSE)</f>
        <v>#N/A</v>
      </c>
      <c r="V293" s="11" t="e">
        <f t="shared" si="9"/>
        <v>#N/A</v>
      </c>
      <c r="W293" s="11" t="e">
        <f>VLOOKUP($H293, SeanRanks!$A$2:$J$303, 7, FALSE)-V293</f>
        <v>#N/A</v>
      </c>
      <c r="X293" s="11"/>
    </row>
    <row r="294" spans="1:24" ht="14.25" customHeight="1" x14ac:dyDescent="0.25">
      <c r="A294" s="11"/>
      <c r="B294" s="11" t="e">
        <f t="shared" si="5"/>
        <v>#N/A</v>
      </c>
      <c r="C294" s="11" t="s">
        <v>148</v>
      </c>
      <c r="D294" s="11">
        <v>59</v>
      </c>
      <c r="E294" s="11">
        <v>49</v>
      </c>
      <c r="F294" s="11">
        <f t="shared" si="6"/>
        <v>10</v>
      </c>
      <c r="G294" s="11"/>
      <c r="H294" s="11" t="s">
        <v>43</v>
      </c>
      <c r="I294" s="11" t="e">
        <f>VLOOKUP($H294, 'ADP Data'!$B$4:$Q$300, 2, FALSE)</f>
        <v>#N/A</v>
      </c>
      <c r="J294" s="11" t="e">
        <f>VLOOKUP($H294, 'ADP Data'!$B$4:$Q$300, 3, FALSE)</f>
        <v>#N/A</v>
      </c>
      <c r="K294" s="11">
        <f>VLOOKUP($H294, SeanRanks!$A$2:$H$303, 4, FALSE)</f>
        <v>0</v>
      </c>
      <c r="L294" s="11">
        <f>VLOOKUP($H294, SeanRanks!$A$2:$H$303, 5, FALSE)</f>
        <v>0</v>
      </c>
      <c r="M294" s="11">
        <f t="shared" si="7"/>
        <v>16</v>
      </c>
      <c r="N294" s="11" t="e">
        <f>VLOOKUP($H294, 'ADP Data'!$B$4:$Q$300, 11, FALSE)</f>
        <v>#N/A</v>
      </c>
      <c r="O294" s="11" t="e">
        <f>VLOOKUP($H294, 'ADP Data'!$B$4:$Q$300, 5, FALSE)</f>
        <v>#N/A</v>
      </c>
      <c r="P294" s="11" t="e">
        <f t="shared" si="8"/>
        <v>#N/A</v>
      </c>
      <c r="Q294" s="11" t="e">
        <f>VLOOKUP($H294, 'ADP Data'!$B$4:$Q$300, 6, FALSE)</f>
        <v>#N/A</v>
      </c>
      <c r="R294" s="11" t="e">
        <f>VLOOKUP($H294, 'ADP Data'!$B$4:$Q$300, 7, FALSE)</f>
        <v>#N/A</v>
      </c>
      <c r="S294" s="11" t="e">
        <f>VLOOKUP($H294, 'ADP Data'!$B$4:$Q$300, 8, FALSE)</f>
        <v>#N/A</v>
      </c>
      <c r="T294" s="11" t="e">
        <f>VLOOKUP($H294, 'ADP Data'!$B$4:$Q$300, 9, FALSE)</f>
        <v>#N/A</v>
      </c>
      <c r="U294" s="11" t="e">
        <f>VLOOKUP($H294, 'ADP Data'!$B$4:$Q$300, 10, FALSE)</f>
        <v>#N/A</v>
      </c>
      <c r="V294" s="11" t="e">
        <f t="shared" si="9"/>
        <v>#N/A</v>
      </c>
      <c r="W294" s="11" t="e">
        <f>VLOOKUP($H294, SeanRanks!$A$2:$J$303, 7, FALSE)-V294</f>
        <v>#N/A</v>
      </c>
      <c r="X294" s="11"/>
    </row>
    <row r="295" spans="1:24" ht="14.25" customHeight="1" x14ac:dyDescent="0.25">
      <c r="A295" s="11"/>
      <c r="B295" s="11" t="e">
        <f t="shared" si="5"/>
        <v>#N/A</v>
      </c>
      <c r="C295" s="11" t="s">
        <v>148</v>
      </c>
      <c r="D295" s="11">
        <v>32</v>
      </c>
      <c r="E295" s="11">
        <v>22</v>
      </c>
      <c r="F295" s="11">
        <f t="shared" si="6"/>
        <v>10</v>
      </c>
      <c r="G295" s="11"/>
      <c r="H295" s="11" t="s">
        <v>150</v>
      </c>
      <c r="I295" s="11" t="e">
        <f>VLOOKUP($H295, 'ADP Data'!$B$4:$Q$300, 2, FALSE)</f>
        <v>#N/A</v>
      </c>
      <c r="J295" s="11" t="e">
        <f>VLOOKUP($H295, 'ADP Data'!$B$4:$Q$300, 3, FALSE)</f>
        <v>#N/A</v>
      </c>
      <c r="K295" s="11">
        <f>VLOOKUP($H295, SeanRanks!$A$2:$H$303, 4, FALSE)</f>
        <v>0</v>
      </c>
      <c r="L295" s="11">
        <f>VLOOKUP($H295, SeanRanks!$A$2:$H$303, 5, FALSE)</f>
        <v>0</v>
      </c>
      <c r="M295" s="11">
        <f t="shared" si="7"/>
        <v>16</v>
      </c>
      <c r="N295" s="11" t="e">
        <f>VLOOKUP($H295, 'ADP Data'!$B$4:$Q$300, 11, FALSE)</f>
        <v>#N/A</v>
      </c>
      <c r="O295" s="11" t="e">
        <f>VLOOKUP($H295, 'ADP Data'!$B$4:$Q$300, 5, FALSE)</f>
        <v>#N/A</v>
      </c>
      <c r="P295" s="11" t="e">
        <f t="shared" si="8"/>
        <v>#N/A</v>
      </c>
      <c r="Q295" s="11" t="e">
        <f>VLOOKUP($H295, 'ADP Data'!$B$4:$Q$300, 6, FALSE)</f>
        <v>#N/A</v>
      </c>
      <c r="R295" s="11" t="e">
        <f>VLOOKUP($H295, 'ADP Data'!$B$4:$Q$300, 7, FALSE)</f>
        <v>#N/A</v>
      </c>
      <c r="S295" s="11" t="e">
        <f>VLOOKUP($H295, 'ADP Data'!$B$4:$Q$300, 8, FALSE)</f>
        <v>#N/A</v>
      </c>
      <c r="T295" s="11" t="e">
        <f>VLOOKUP($H295, 'ADP Data'!$B$4:$Q$300, 9, FALSE)</f>
        <v>#N/A</v>
      </c>
      <c r="U295" s="11" t="e">
        <f>VLOOKUP($H295, 'ADP Data'!$B$4:$Q$300, 10, FALSE)</f>
        <v>#N/A</v>
      </c>
      <c r="V295" s="11" t="e">
        <f t="shared" si="9"/>
        <v>#N/A</v>
      </c>
      <c r="W295" s="11" t="e">
        <f>VLOOKUP($H295, SeanRanks!$A$2:$J$303, 7, FALSE)-V295</f>
        <v>#N/A</v>
      </c>
      <c r="X295" s="11"/>
    </row>
    <row r="296" spans="1:24" ht="14.25" customHeight="1" x14ac:dyDescent="0.25">
      <c r="A296" s="11"/>
      <c r="B296" s="11" t="e">
        <f t="shared" si="5"/>
        <v>#N/A</v>
      </c>
      <c r="C296" s="11" t="s">
        <v>148</v>
      </c>
      <c r="D296" s="11">
        <v>47</v>
      </c>
      <c r="E296" s="60">
        <v>36</v>
      </c>
      <c r="F296" s="11">
        <f t="shared" si="6"/>
        <v>11</v>
      </c>
      <c r="G296" s="60"/>
      <c r="H296" s="60" t="s">
        <v>1293</v>
      </c>
      <c r="I296" s="60" t="e">
        <f>VLOOKUP($H296, 'ADP Data'!$B$4:$Q$300, 2, FALSE)</f>
        <v>#N/A</v>
      </c>
      <c r="J296" s="60" t="e">
        <f>VLOOKUP($H296, 'ADP Data'!$B$4:$Q$300, 3, FALSE)</f>
        <v>#N/A</v>
      </c>
      <c r="K296" s="60" t="e">
        <f>VLOOKUP($H296, SeanRanks!$A$2:$H$303, 4, FALSE)</f>
        <v>#N/A</v>
      </c>
      <c r="L296" s="11" t="e">
        <f>VLOOKUP($H296, SeanRanks!$A$2:$H$303, 5, FALSE)</f>
        <v>#N/A</v>
      </c>
      <c r="M296" s="11">
        <f t="shared" si="7"/>
        <v>16</v>
      </c>
      <c r="N296" s="11" t="e">
        <f>VLOOKUP($H296, 'ADP Data'!$B$4:$Q$300, 11, FALSE)</f>
        <v>#N/A</v>
      </c>
      <c r="O296" s="11" t="e">
        <f>VLOOKUP($H296, 'ADP Data'!$B$4:$Q$300, 5, FALSE)</f>
        <v>#N/A</v>
      </c>
      <c r="P296" s="11" t="e">
        <f t="shared" si="8"/>
        <v>#N/A</v>
      </c>
      <c r="Q296" s="11" t="e">
        <f>VLOOKUP($H296, 'ADP Data'!$B$4:$Q$300, 6, FALSE)</f>
        <v>#N/A</v>
      </c>
      <c r="R296" s="11" t="e">
        <f>VLOOKUP($H296, 'ADP Data'!$B$4:$Q$300, 7, FALSE)</f>
        <v>#N/A</v>
      </c>
      <c r="S296" s="11" t="e">
        <f>VLOOKUP($H296, 'ADP Data'!$B$4:$Q$300, 8, FALSE)</f>
        <v>#N/A</v>
      </c>
      <c r="T296" s="11" t="e">
        <f>VLOOKUP($H296, 'ADP Data'!$B$4:$Q$300, 9, FALSE)</f>
        <v>#N/A</v>
      </c>
      <c r="U296" s="11" t="e">
        <f>VLOOKUP($H296, 'ADP Data'!$B$4:$Q$300, 10, FALSE)</f>
        <v>#N/A</v>
      </c>
      <c r="V296" s="11" t="e">
        <f t="shared" si="9"/>
        <v>#N/A</v>
      </c>
      <c r="W296" s="11" t="e">
        <f>VLOOKUP($H296, SeanRanks!$A$2:$J$303, 7, FALSE)-V296</f>
        <v>#N/A</v>
      </c>
      <c r="X296" s="60"/>
    </row>
    <row r="297" spans="1:24" ht="14.25" customHeight="1" x14ac:dyDescent="0.25">
      <c r="A297" s="11"/>
      <c r="B297" s="11" t="e">
        <f t="shared" si="5"/>
        <v>#N/A</v>
      </c>
      <c r="C297" s="11" t="s">
        <v>148</v>
      </c>
      <c r="D297" s="11">
        <v>14</v>
      </c>
      <c r="E297" s="11">
        <v>3</v>
      </c>
      <c r="F297" s="11">
        <f t="shared" si="6"/>
        <v>11</v>
      </c>
      <c r="G297" s="11" t="s">
        <v>119</v>
      </c>
      <c r="H297" s="11" t="s">
        <v>970</v>
      </c>
      <c r="I297" s="11" t="e">
        <f>VLOOKUP($H297, 'ADP Data'!$B$4:$Q$300, 2, FALSE)</f>
        <v>#N/A</v>
      </c>
      <c r="J297" s="11" t="e">
        <f>VLOOKUP($H297, 'ADP Data'!$B$4:$Q$300, 3, FALSE)</f>
        <v>#N/A</v>
      </c>
      <c r="K297" s="11">
        <f>VLOOKUP($H297, SeanRanks!$A$2:$H$303, 4, FALSE)</f>
        <v>0</v>
      </c>
      <c r="L297" s="11">
        <f>VLOOKUP($H297, SeanRanks!$A$2:$H$303, 5, FALSE)</f>
        <v>0</v>
      </c>
      <c r="M297" s="11">
        <f t="shared" si="7"/>
        <v>16</v>
      </c>
      <c r="N297" s="11" t="e">
        <f>VLOOKUP($H297, 'ADP Data'!$B$4:$Q$300, 11, FALSE)</f>
        <v>#N/A</v>
      </c>
      <c r="O297" s="11" t="e">
        <f>VLOOKUP($H297, 'ADP Data'!$B$4:$Q$300, 5, FALSE)</f>
        <v>#N/A</v>
      </c>
      <c r="P297" s="11" t="e">
        <f t="shared" si="8"/>
        <v>#N/A</v>
      </c>
      <c r="Q297" s="11" t="e">
        <f>VLOOKUP($H297, 'ADP Data'!$B$4:$Q$300, 6, FALSE)</f>
        <v>#N/A</v>
      </c>
      <c r="R297" s="11" t="e">
        <f>VLOOKUP($H297, 'ADP Data'!$B$4:$Q$300, 7, FALSE)</f>
        <v>#N/A</v>
      </c>
      <c r="S297" s="11" t="e">
        <f>VLOOKUP($H297, 'ADP Data'!$B$4:$Q$300, 8, FALSE)</f>
        <v>#N/A</v>
      </c>
      <c r="T297" s="11" t="e">
        <f>VLOOKUP($H297, 'ADP Data'!$B$4:$Q$300, 9, FALSE)</f>
        <v>#N/A</v>
      </c>
      <c r="U297" s="11" t="e">
        <f>VLOOKUP($H297, 'ADP Data'!$B$4:$Q$300, 10, FALSE)</f>
        <v>#N/A</v>
      </c>
      <c r="V297" s="11" t="e">
        <f t="shared" si="9"/>
        <v>#N/A</v>
      </c>
      <c r="W297" s="11" t="e">
        <f>VLOOKUP($H297, SeanRanks!$A$2:$J$303, 7, FALSE)-V297</f>
        <v>#N/A</v>
      </c>
      <c r="X297" s="11"/>
    </row>
    <row r="298" spans="1:24" ht="14.25" customHeight="1" x14ac:dyDescent="0.25">
      <c r="A298" s="11"/>
      <c r="B298" s="11" t="e">
        <f t="shared" si="5"/>
        <v>#N/A</v>
      </c>
      <c r="C298" s="11" t="s">
        <v>148</v>
      </c>
      <c r="D298" s="11">
        <v>68</v>
      </c>
      <c r="E298" s="11">
        <v>55</v>
      </c>
      <c r="F298" s="11">
        <f t="shared" si="6"/>
        <v>13</v>
      </c>
      <c r="G298" s="11"/>
      <c r="H298" s="11" t="s">
        <v>90</v>
      </c>
      <c r="I298" s="11" t="e">
        <f>VLOOKUP($H298, 'ADP Data'!$B$4:$Q$300, 2, FALSE)</f>
        <v>#N/A</v>
      </c>
      <c r="J298" s="11" t="e">
        <f>VLOOKUP($H298, 'ADP Data'!$B$4:$Q$300, 3, FALSE)</f>
        <v>#N/A</v>
      </c>
      <c r="K298" s="11">
        <f>VLOOKUP($H298, SeanRanks!$A$2:$H$303, 4, FALSE)</f>
        <v>0</v>
      </c>
      <c r="L298" s="11">
        <f>VLOOKUP($H298, SeanRanks!$A$2:$H$303, 5, FALSE)</f>
        <v>0</v>
      </c>
      <c r="M298" s="11">
        <f t="shared" si="7"/>
        <v>16</v>
      </c>
      <c r="N298" s="11" t="e">
        <f>VLOOKUP($H298, 'ADP Data'!$B$4:$Q$300, 11, FALSE)</f>
        <v>#N/A</v>
      </c>
      <c r="O298" s="11" t="e">
        <f>VLOOKUP($H298, 'ADP Data'!$B$4:$Q$300, 5, FALSE)</f>
        <v>#N/A</v>
      </c>
      <c r="P298" s="11" t="e">
        <f t="shared" si="8"/>
        <v>#N/A</v>
      </c>
      <c r="Q298" s="11" t="e">
        <f>VLOOKUP($H298, 'ADP Data'!$B$4:$Q$300, 6, FALSE)</f>
        <v>#N/A</v>
      </c>
      <c r="R298" s="11" t="e">
        <f>VLOOKUP($H298, 'ADP Data'!$B$4:$Q$300, 7, FALSE)</f>
        <v>#N/A</v>
      </c>
      <c r="S298" s="11" t="e">
        <f>VLOOKUP($H298, 'ADP Data'!$B$4:$Q$300, 8, FALSE)</f>
        <v>#N/A</v>
      </c>
      <c r="T298" s="11" t="e">
        <f>VLOOKUP($H298, 'ADP Data'!$B$4:$Q$300, 9, FALSE)</f>
        <v>#N/A</v>
      </c>
      <c r="U298" s="11" t="e">
        <f>VLOOKUP($H298, 'ADP Data'!$B$4:$Q$300, 10, FALSE)</f>
        <v>#N/A</v>
      </c>
      <c r="V298" s="11" t="e">
        <f t="shared" si="9"/>
        <v>#N/A</v>
      </c>
      <c r="W298" s="11" t="e">
        <f>VLOOKUP($H298, SeanRanks!$A$2:$J$303, 7, FALSE)-V298</f>
        <v>#N/A</v>
      </c>
      <c r="X298" s="11"/>
    </row>
    <row r="299" spans="1:24" ht="14.25" customHeight="1" x14ac:dyDescent="0.25">
      <c r="A299" s="11"/>
      <c r="B299" s="11" t="e">
        <f t="shared" si="5"/>
        <v>#N/A</v>
      </c>
      <c r="C299" s="11" t="s">
        <v>148</v>
      </c>
      <c r="D299" s="11">
        <v>35</v>
      </c>
      <c r="E299" s="11">
        <v>20</v>
      </c>
      <c r="F299" s="11">
        <f t="shared" si="6"/>
        <v>15</v>
      </c>
      <c r="G299" s="11"/>
      <c r="H299" s="11" t="s">
        <v>1130</v>
      </c>
      <c r="I299" s="11" t="e">
        <f>VLOOKUP($H299, 'ADP Data'!$B$4:$Q$300, 2, FALSE)</f>
        <v>#N/A</v>
      </c>
      <c r="J299" s="11" t="e">
        <f>VLOOKUP($H299, 'ADP Data'!$B$4:$Q$300, 3, FALSE)</f>
        <v>#N/A</v>
      </c>
      <c r="K299" s="11" t="e">
        <f>VLOOKUP($H299, SeanRanks!$A$2:$H$303, 4, FALSE)</f>
        <v>#N/A</v>
      </c>
      <c r="L299" s="11" t="e">
        <f>VLOOKUP($H299, SeanRanks!$A$2:$H$303, 5, FALSE)</f>
        <v>#N/A</v>
      </c>
      <c r="M299" s="11">
        <f t="shared" si="7"/>
        <v>16</v>
      </c>
      <c r="N299" s="11" t="e">
        <f>VLOOKUP($H299, 'ADP Data'!$B$4:$Q$300, 11, FALSE)</f>
        <v>#N/A</v>
      </c>
      <c r="O299" s="11" t="e">
        <f>VLOOKUP($H299, 'ADP Data'!$B$4:$Q$300, 5, FALSE)</f>
        <v>#N/A</v>
      </c>
      <c r="P299" s="11" t="e">
        <f t="shared" si="8"/>
        <v>#N/A</v>
      </c>
      <c r="Q299" s="11" t="e">
        <f>VLOOKUP($H299, 'ADP Data'!$B$4:$Q$300, 6, FALSE)</f>
        <v>#N/A</v>
      </c>
      <c r="R299" s="11" t="e">
        <f>VLOOKUP($H299, 'ADP Data'!$B$4:$Q$300, 7, FALSE)</f>
        <v>#N/A</v>
      </c>
      <c r="S299" s="11" t="e">
        <f>VLOOKUP($H299, 'ADP Data'!$B$4:$Q$300, 8, FALSE)</f>
        <v>#N/A</v>
      </c>
      <c r="T299" s="11" t="e">
        <f>VLOOKUP($H299, 'ADP Data'!$B$4:$Q$300, 9, FALSE)</f>
        <v>#N/A</v>
      </c>
      <c r="U299" s="11" t="e">
        <f>VLOOKUP($H299, 'ADP Data'!$B$4:$Q$300, 10, FALSE)</f>
        <v>#N/A</v>
      </c>
      <c r="V299" s="11" t="e">
        <f t="shared" si="9"/>
        <v>#N/A</v>
      </c>
      <c r="W299" s="11" t="e">
        <f>VLOOKUP($H299, SeanRanks!$A$2:$J$303, 7, FALSE)-V299</f>
        <v>#N/A</v>
      </c>
      <c r="X299" s="11"/>
    </row>
    <row r="300" spans="1:24" ht="14.25" customHeight="1" x14ac:dyDescent="0.25">
      <c r="A300" s="11"/>
      <c r="B300" s="11" t="e">
        <f t="shared" si="5"/>
        <v>#N/A</v>
      </c>
      <c r="C300" s="11" t="s">
        <v>148</v>
      </c>
      <c r="D300" s="11">
        <v>24</v>
      </c>
      <c r="E300" s="11">
        <v>8</v>
      </c>
      <c r="F300" s="11">
        <f t="shared" si="6"/>
        <v>16</v>
      </c>
      <c r="G300" s="11"/>
      <c r="H300" s="11" t="s">
        <v>218</v>
      </c>
      <c r="I300" s="11" t="e">
        <f>VLOOKUP($H300, 'ADP Data'!$B$4:$Q$300, 2, FALSE)</f>
        <v>#N/A</v>
      </c>
      <c r="J300" s="11" t="e">
        <f>VLOOKUP($H300, 'ADP Data'!$B$4:$Q$300, 3, FALSE)</f>
        <v>#N/A</v>
      </c>
      <c r="K300" s="11">
        <f>VLOOKUP($H300, SeanRanks!$A$2:$H$303, 4, FALSE)</f>
        <v>0</v>
      </c>
      <c r="L300" s="11">
        <f>VLOOKUP($H300, SeanRanks!$A$2:$H$303, 5, FALSE)</f>
        <v>0</v>
      </c>
      <c r="M300" s="11">
        <f t="shared" si="7"/>
        <v>16</v>
      </c>
      <c r="N300" s="11" t="e">
        <f>VLOOKUP($H300, 'ADP Data'!$B$4:$Q$300, 11, FALSE)</f>
        <v>#N/A</v>
      </c>
      <c r="O300" s="11" t="e">
        <f>VLOOKUP($H300, 'ADP Data'!$B$4:$Q$300, 5, FALSE)</f>
        <v>#N/A</v>
      </c>
      <c r="P300" s="11" t="e">
        <f t="shared" si="8"/>
        <v>#N/A</v>
      </c>
      <c r="Q300" s="11" t="e">
        <f>VLOOKUP($H300, 'ADP Data'!$B$4:$Q$300, 6, FALSE)</f>
        <v>#N/A</v>
      </c>
      <c r="R300" s="11" t="e">
        <f>VLOOKUP($H300, 'ADP Data'!$B$4:$Q$300, 7, FALSE)</f>
        <v>#N/A</v>
      </c>
      <c r="S300" s="11" t="e">
        <f>VLOOKUP($H300, 'ADP Data'!$B$4:$Q$300, 8, FALSE)</f>
        <v>#N/A</v>
      </c>
      <c r="T300" s="11" t="e">
        <f>VLOOKUP($H300, 'ADP Data'!$B$4:$Q$300, 9, FALSE)</f>
        <v>#N/A</v>
      </c>
      <c r="U300" s="11" t="e">
        <f>VLOOKUP($H300, 'ADP Data'!$B$4:$Q$300, 10, FALSE)</f>
        <v>#N/A</v>
      </c>
      <c r="V300" s="11" t="e">
        <f t="shared" si="9"/>
        <v>#N/A</v>
      </c>
      <c r="W300" s="11" t="e">
        <f>VLOOKUP($H300, SeanRanks!$A$2:$J$303, 7, FALSE)-V300</f>
        <v>#N/A</v>
      </c>
      <c r="X300" s="11"/>
    </row>
    <row r="301" spans="1:24" ht="14.25" customHeight="1" x14ac:dyDescent="0.25">
      <c r="A301" s="11"/>
      <c r="B301" s="11" t="e">
        <f t="shared" si="5"/>
        <v>#N/A</v>
      </c>
      <c r="C301" s="11" t="s">
        <v>148</v>
      </c>
      <c r="D301" s="11">
        <v>66</v>
      </c>
      <c r="E301" s="11">
        <v>49</v>
      </c>
      <c r="F301" s="11">
        <f t="shared" si="6"/>
        <v>17</v>
      </c>
      <c r="G301" s="11"/>
      <c r="H301" s="11" t="s">
        <v>450</v>
      </c>
      <c r="I301" s="11" t="e">
        <f>VLOOKUP($H301, 'ADP Data'!$B$4:$Q$300, 2, FALSE)</f>
        <v>#N/A</v>
      </c>
      <c r="J301" s="11" t="e">
        <f>VLOOKUP($H301, 'ADP Data'!$B$4:$Q$300, 3, FALSE)</f>
        <v>#N/A</v>
      </c>
      <c r="K301" s="11">
        <f>VLOOKUP($H301, SeanRanks!$A$2:$H$303, 4, FALSE)</f>
        <v>0</v>
      </c>
      <c r="L301" s="11">
        <f>VLOOKUP($H301, SeanRanks!$A$2:$H$303, 5, FALSE)</f>
        <v>0</v>
      </c>
      <c r="M301" s="11">
        <f t="shared" si="7"/>
        <v>16</v>
      </c>
      <c r="N301" s="11" t="e">
        <f>VLOOKUP($H301, 'ADP Data'!$B$4:$Q$300, 11, FALSE)</f>
        <v>#N/A</v>
      </c>
      <c r="O301" s="11" t="e">
        <f>VLOOKUP($H301, 'ADP Data'!$B$4:$Q$300, 5, FALSE)</f>
        <v>#N/A</v>
      </c>
      <c r="P301" s="11" t="e">
        <f t="shared" si="8"/>
        <v>#N/A</v>
      </c>
      <c r="Q301" s="11" t="e">
        <f>VLOOKUP($H301, 'ADP Data'!$B$4:$Q$300, 6, FALSE)</f>
        <v>#N/A</v>
      </c>
      <c r="R301" s="11" t="e">
        <f>VLOOKUP($H301, 'ADP Data'!$B$4:$Q$300, 7, FALSE)</f>
        <v>#N/A</v>
      </c>
      <c r="S301" s="11" t="e">
        <f>VLOOKUP($H301, 'ADP Data'!$B$4:$Q$300, 8, FALSE)</f>
        <v>#N/A</v>
      </c>
      <c r="T301" s="11" t="e">
        <f>VLOOKUP($H301, 'ADP Data'!$B$4:$Q$300, 9, FALSE)</f>
        <v>#N/A</v>
      </c>
      <c r="U301" s="11" t="e">
        <f>VLOOKUP($H301, 'ADP Data'!$B$4:$Q$300, 10, FALSE)</f>
        <v>#N/A</v>
      </c>
      <c r="V301" s="11" t="e">
        <f t="shared" si="9"/>
        <v>#N/A</v>
      </c>
      <c r="W301" s="11" t="e">
        <f>VLOOKUP($H301, SeanRanks!$A$2:$J$303, 7, FALSE)-V301</f>
        <v>#N/A</v>
      </c>
      <c r="X301" s="11"/>
    </row>
    <row r="302" spans="1:24" ht="14.25" customHeight="1" x14ac:dyDescent="0.25">
      <c r="A302" s="11"/>
      <c r="B302" s="11" t="e">
        <f t="shared" si="5"/>
        <v>#N/A</v>
      </c>
      <c r="C302" s="11" t="s">
        <v>148</v>
      </c>
      <c r="D302" s="11">
        <v>25</v>
      </c>
      <c r="E302" s="11">
        <v>1</v>
      </c>
      <c r="F302" s="11">
        <f t="shared" si="6"/>
        <v>24</v>
      </c>
      <c r="G302" s="11" t="s">
        <v>119</v>
      </c>
      <c r="H302" s="11" t="s">
        <v>899</v>
      </c>
      <c r="I302" s="11" t="e">
        <f>VLOOKUP($H302, 'ADP Data'!$B$4:$Q$300, 2, FALSE)</f>
        <v>#N/A</v>
      </c>
      <c r="J302" s="11" t="e">
        <f>VLOOKUP($H302, 'ADP Data'!$B$4:$Q$300, 3, FALSE)</f>
        <v>#N/A</v>
      </c>
      <c r="K302" s="11" t="e">
        <f>VLOOKUP($H302, SeanRanks!$A$2:$H$303, 4, FALSE)</f>
        <v>#N/A</v>
      </c>
      <c r="L302" s="11" t="e">
        <f>VLOOKUP($H302, SeanRanks!$A$2:$H$303, 5, FALSE)</f>
        <v>#N/A</v>
      </c>
      <c r="M302" s="11">
        <f t="shared" si="7"/>
        <v>16</v>
      </c>
      <c r="N302" s="11" t="e">
        <f>VLOOKUP($H302, 'ADP Data'!$B$4:$Q$300, 11, FALSE)</f>
        <v>#N/A</v>
      </c>
      <c r="O302" s="11" t="e">
        <f>VLOOKUP($H302, 'ADP Data'!$B$4:$Q$300, 5, FALSE)</f>
        <v>#N/A</v>
      </c>
      <c r="P302" s="11" t="e">
        <f t="shared" si="8"/>
        <v>#N/A</v>
      </c>
      <c r="Q302" s="11" t="e">
        <f>VLOOKUP($H302, 'ADP Data'!$B$4:$Q$300, 6, FALSE)</f>
        <v>#N/A</v>
      </c>
      <c r="R302" s="11" t="e">
        <f>VLOOKUP($H302, 'ADP Data'!$B$4:$Q$300, 7, FALSE)</f>
        <v>#N/A</v>
      </c>
      <c r="S302" s="11" t="e">
        <f>VLOOKUP($H302, 'ADP Data'!$B$4:$Q$300, 8, FALSE)</f>
        <v>#N/A</v>
      </c>
      <c r="T302" s="11" t="e">
        <f>VLOOKUP($H302, 'ADP Data'!$B$4:$Q$300, 9, FALSE)</f>
        <v>#N/A</v>
      </c>
      <c r="U302" s="11" t="e">
        <f>VLOOKUP($H302, 'ADP Data'!$B$4:$Q$300, 10, FALSE)</f>
        <v>#N/A</v>
      </c>
      <c r="V302" s="11" t="e">
        <f t="shared" si="9"/>
        <v>#N/A</v>
      </c>
      <c r="W302" s="11" t="e">
        <f>VLOOKUP($H302, SeanRanks!$A$2:$J$303, 7, FALSE)-V302</f>
        <v>#N/A</v>
      </c>
      <c r="X302" s="11"/>
    </row>
    <row r="303" spans="1:24" ht="14.25" customHeight="1" x14ac:dyDescent="0.25"/>
    <row r="304" spans="1:2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6:X302" xr:uid="{00000000-0009-0000-0000-00000F000000}">
    <sortState xmlns:xlrd2="http://schemas.microsoft.com/office/spreadsheetml/2017/richdata2" ref="A6:X302">
      <sortCondition ref="L6:L302"/>
    </sortState>
  </autoFilter>
  <mergeCells count="1">
    <mergeCell ref="A1:C1"/>
  </mergeCells>
  <conditionalFormatting sqref="G7:H37 B7:F302 K7:L302 X7:X302 H38:H296 G38:G302">
    <cfRule type="expression" dxfId="12" priority="1">
      <formula>$C7="No"</formula>
    </cfRule>
  </conditionalFormatting>
  <conditionalFormatting sqref="M7:M302">
    <cfRule type="cellIs" dxfId="11" priority="2" operator="lessThan">
      <formula>B7</formula>
    </cfRule>
    <cfRule type="cellIs" dxfId="10" priority="3" operator="greaterThan">
      <formula>B7</formula>
    </cfRule>
  </conditionalFormatting>
  <conditionalFormatting sqref="O2:AE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7:P302">
    <cfRule type="colorScale" priority="5">
      <colorScale>
        <cfvo type="min"/>
        <cfvo type="formula" val="0"/>
        <cfvo type="max"/>
        <color rgb="FFF8696B"/>
        <color rgb="FFFCFCFF"/>
        <color rgb="FF63BE7B"/>
      </colorScale>
    </cfRule>
  </conditionalFormatting>
  <conditionalFormatting sqref="W7:W302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  <cfRule type="expression" dxfId="9" priority="7">
      <formula>$C7="No"</formula>
    </cfRule>
  </conditionalFormatting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1000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14.42578125" defaultRowHeight="15" customHeight="1" x14ac:dyDescent="0.25"/>
  <cols>
    <col min="1" max="2" width="8.7109375" customWidth="1"/>
    <col min="3" max="3" width="9.7109375" customWidth="1"/>
    <col min="4" max="4" width="9" customWidth="1"/>
    <col min="5" max="5" width="7.5703125" customWidth="1"/>
    <col min="6" max="6" width="6.7109375" customWidth="1"/>
    <col min="7" max="7" width="17.85546875" customWidth="1"/>
    <col min="8" max="9" width="8.7109375" customWidth="1"/>
    <col min="10" max="10" width="8.85546875" hidden="1" customWidth="1"/>
    <col min="11" max="11" width="15.85546875" customWidth="1"/>
    <col min="12" max="29" width="8.7109375" customWidth="1"/>
  </cols>
  <sheetData>
    <row r="1" spans="1:29" ht="14.25" customHeight="1" x14ac:dyDescent="0.25">
      <c r="A1" s="82" t="s">
        <v>1327</v>
      </c>
      <c r="B1" s="82"/>
      <c r="C1" s="82"/>
      <c r="D1" s="82"/>
      <c r="E1" s="2"/>
      <c r="F1" s="2"/>
      <c r="G1" s="2"/>
      <c r="H1" s="2"/>
      <c r="I1" s="3" t="s">
        <v>997</v>
      </c>
      <c r="K1" s="63">
        <v>20</v>
      </c>
      <c r="M1" s="2" t="s">
        <v>1328</v>
      </c>
      <c r="N1" s="2"/>
      <c r="O1" s="2"/>
      <c r="P1" s="2"/>
      <c r="Q1" s="2"/>
      <c r="R1" s="2"/>
      <c r="S1" s="2"/>
      <c r="T1" s="2"/>
      <c r="U1" s="2"/>
      <c r="V1" s="2"/>
      <c r="W1" s="2"/>
    </row>
    <row r="2" spans="1:29" ht="14.25" customHeight="1" x14ac:dyDescent="0.25">
      <c r="A2" s="103" t="s">
        <v>14</v>
      </c>
      <c r="B2" s="96"/>
      <c r="C2" s="96"/>
      <c r="D2" s="96"/>
      <c r="E2" s="96"/>
      <c r="F2" s="2"/>
      <c r="G2" s="2"/>
      <c r="H2" s="2"/>
      <c r="I2" s="3" t="s">
        <v>1017</v>
      </c>
      <c r="K2" s="63">
        <v>7</v>
      </c>
      <c r="L2" s="4" t="s">
        <v>1158</v>
      </c>
      <c r="M2" s="4" t="s">
        <v>1000</v>
      </c>
      <c r="N2" s="4" t="s">
        <v>1001</v>
      </c>
      <c r="O2" s="4" t="s">
        <v>1002</v>
      </c>
      <c r="P2" s="4" t="s">
        <v>1003</v>
      </c>
      <c r="Q2" s="4" t="s">
        <v>1004</v>
      </c>
      <c r="R2" s="4" t="s">
        <v>653</v>
      </c>
      <c r="S2" s="4" t="s">
        <v>776</v>
      </c>
      <c r="T2" s="4" t="s">
        <v>1005</v>
      </c>
      <c r="U2" s="4" t="s">
        <v>1006</v>
      </c>
      <c r="V2" s="4" t="s">
        <v>1007</v>
      </c>
      <c r="W2" s="4" t="s">
        <v>1008</v>
      </c>
      <c r="X2" s="4" t="s">
        <v>1009</v>
      </c>
      <c r="Y2" s="4" t="s">
        <v>1010</v>
      </c>
      <c r="Z2" s="4" t="s">
        <v>1011</v>
      </c>
      <c r="AA2" s="4" t="s">
        <v>1012</v>
      </c>
      <c r="AB2" s="4" t="s">
        <v>1013</v>
      </c>
      <c r="AC2" s="4" t="s">
        <v>1014</v>
      </c>
    </row>
    <row r="3" spans="1:29" ht="14.25" customHeight="1" x14ac:dyDescent="0.25">
      <c r="A3" s="103" t="s">
        <v>1329</v>
      </c>
      <c r="B3" s="96"/>
      <c r="C3" s="96"/>
      <c r="D3" s="96"/>
      <c r="E3" s="96"/>
      <c r="F3" s="2"/>
      <c r="G3" s="2"/>
      <c r="H3" s="2"/>
      <c r="I3" s="3" t="s">
        <v>1023</v>
      </c>
      <c r="K3" s="63">
        <f>INT((K1)/K2)</f>
        <v>2</v>
      </c>
      <c r="L3" s="15" t="s">
        <v>1019</v>
      </c>
      <c r="M3" s="34">
        <v>74</v>
      </c>
      <c r="N3" s="34">
        <v>71</v>
      </c>
      <c r="O3" s="34">
        <v>55</v>
      </c>
      <c r="P3" s="34">
        <v>55</v>
      </c>
      <c r="Q3" s="34">
        <v>32</v>
      </c>
      <c r="R3" s="34">
        <v>17</v>
      </c>
      <c r="S3" s="34">
        <v>14</v>
      </c>
      <c r="T3" s="34">
        <v>60</v>
      </c>
      <c r="U3" s="34">
        <v>41</v>
      </c>
      <c r="V3" s="34">
        <v>13</v>
      </c>
      <c r="W3" s="34">
        <v>4</v>
      </c>
      <c r="X3" s="34">
        <v>30</v>
      </c>
      <c r="Y3" s="34">
        <v>9</v>
      </c>
      <c r="Z3" s="34">
        <v>4</v>
      </c>
      <c r="AA3" s="34">
        <v>37</v>
      </c>
      <c r="AB3" s="34">
        <v>20</v>
      </c>
      <c r="AC3" s="34">
        <v>6</v>
      </c>
    </row>
    <row r="4" spans="1:29" ht="14.25" customHeight="1" x14ac:dyDescent="0.25">
      <c r="A4" s="104"/>
      <c r="B4" s="104"/>
      <c r="C4" s="104"/>
      <c r="D4" s="104"/>
      <c r="E4" s="104"/>
      <c r="F4" s="2"/>
      <c r="G4" s="83" t="s">
        <v>1330</v>
      </c>
      <c r="H4" s="2"/>
      <c r="I4" s="3"/>
      <c r="J4" s="2"/>
      <c r="L4" s="15" t="s">
        <v>1024</v>
      </c>
      <c r="M4" s="34">
        <v>66</v>
      </c>
      <c r="N4" s="34">
        <v>55</v>
      </c>
      <c r="O4" s="34">
        <v>47</v>
      </c>
      <c r="P4" s="34">
        <v>53</v>
      </c>
      <c r="Q4" s="34">
        <v>9</v>
      </c>
      <c r="R4" s="34">
        <v>4</v>
      </c>
      <c r="S4" s="34">
        <v>3</v>
      </c>
      <c r="T4" s="34">
        <v>37</v>
      </c>
      <c r="U4" s="34">
        <v>14</v>
      </c>
      <c r="V4" s="34">
        <v>4</v>
      </c>
      <c r="W4" s="34">
        <v>1</v>
      </c>
      <c r="X4" s="34">
        <v>30</v>
      </c>
      <c r="Y4" s="34">
        <v>8</v>
      </c>
      <c r="Z4" s="34">
        <v>2</v>
      </c>
      <c r="AA4" s="34">
        <v>36</v>
      </c>
      <c r="AB4" s="34">
        <v>12</v>
      </c>
      <c r="AC4" s="34">
        <v>3</v>
      </c>
    </row>
    <row r="5" spans="1:29" ht="14.25" customHeight="1" x14ac:dyDescent="0.25">
      <c r="A5" s="15" t="s">
        <v>95</v>
      </c>
      <c r="B5" s="16" t="s">
        <v>96</v>
      </c>
      <c r="C5" s="17" t="s">
        <v>99</v>
      </c>
      <c r="D5" s="17" t="s">
        <v>1035</v>
      </c>
      <c r="E5" s="17" t="s">
        <v>1036</v>
      </c>
      <c r="F5" s="17" t="s">
        <v>27</v>
      </c>
      <c r="G5" s="4" t="s">
        <v>5</v>
      </c>
      <c r="H5" s="4" t="s">
        <v>8</v>
      </c>
      <c r="I5" s="4" t="s">
        <v>7</v>
      </c>
      <c r="J5" s="4" t="s">
        <v>1332</v>
      </c>
      <c r="K5" s="4" t="s">
        <v>28</v>
      </c>
      <c r="L5" s="4" t="s">
        <v>29</v>
      </c>
      <c r="M5" s="84" t="s">
        <v>1333</v>
      </c>
      <c r="N5" s="84" t="s">
        <v>10</v>
      </c>
      <c r="O5" s="15" t="s">
        <v>18</v>
      </c>
      <c r="P5" s="15" t="s">
        <v>22</v>
      </c>
      <c r="Q5" s="15" t="s">
        <v>9</v>
      </c>
      <c r="R5" s="15" t="s">
        <v>12</v>
      </c>
      <c r="S5" s="15" t="s">
        <v>19</v>
      </c>
      <c r="T5" s="15" t="s">
        <v>15</v>
      </c>
      <c r="U5" s="16" t="s">
        <v>110</v>
      </c>
      <c r="V5" s="4" t="s">
        <v>30</v>
      </c>
    </row>
    <row r="6" spans="1:29" ht="14.25" customHeight="1" x14ac:dyDescent="0.25">
      <c r="A6" s="11"/>
      <c r="B6" s="11" t="e">
        <f t="shared" ref="B6:B260" si="0">IFERROR(INT(AVERAGE(O6:T6)/12)+1, INT(AVERAGE(O6)/12)+1)</f>
        <v>#N/A</v>
      </c>
      <c r="C6" s="11" t="s">
        <v>148</v>
      </c>
      <c r="D6" s="11">
        <v>75</v>
      </c>
      <c r="E6" s="11">
        <v>74</v>
      </c>
      <c r="F6" s="11"/>
      <c r="G6" s="11" t="s">
        <v>54</v>
      </c>
      <c r="H6" s="11" t="s">
        <v>160</v>
      </c>
      <c r="I6" s="11" t="s">
        <v>762</v>
      </c>
      <c r="J6" s="85">
        <v>1</v>
      </c>
      <c r="K6" s="11" t="s">
        <v>45</v>
      </c>
      <c r="L6" s="11">
        <v>1</v>
      </c>
      <c r="M6" s="11">
        <f t="shared" ref="M6:M260" si="1">IFERROR(INT(N6/12)+1, 16)</f>
        <v>16</v>
      </c>
      <c r="N6" s="11" t="e">
        <f>VLOOKUP($G6, 'ADP Data'!$B$4:$Q$300, 6, FALSE)</f>
        <v>#N/A</v>
      </c>
      <c r="O6" s="11" t="e">
        <f>VLOOKUP($G6, 'ADP Data'!$B$4:$Q$300, 10, FALSE)</f>
        <v>#N/A</v>
      </c>
      <c r="P6" s="11" t="e">
        <f>VLOOKUP($G6, 'ADP Data'!$B$4:$Q$300, 4, FALSE)</f>
        <v>#N/A</v>
      </c>
      <c r="Q6" s="11" t="e">
        <f>VLOOKUP($G6, 'ADP Data'!$B$4:$Q$300, 5, FALSE)</f>
        <v>#N/A</v>
      </c>
      <c r="R6" s="11" t="e">
        <f>VLOOKUP($G6, 'ADP Data'!$B$4:$Q$300, 7, FALSE)</f>
        <v>#N/A</v>
      </c>
      <c r="S6" s="11" t="e">
        <f>VLOOKUP($G6, 'ADP Data'!$B$4:$Q$300, 8, FALSE)</f>
        <v>#N/A</v>
      </c>
      <c r="T6" s="11" t="e">
        <f>VLOOKUP($G6, 'ADP Data'!$B$4:$Q$300, 9, FALSE)</f>
        <v>#N/A</v>
      </c>
      <c r="U6" s="11" t="e">
        <f t="shared" ref="U6:U195" si="2">INT(AVERAGE(O6:S6))</f>
        <v>#N/A</v>
      </c>
      <c r="V6" s="11"/>
    </row>
    <row r="7" spans="1:29" ht="14.25" customHeight="1" x14ac:dyDescent="0.25">
      <c r="A7" s="11"/>
      <c r="B7" s="11" t="e">
        <f t="shared" si="0"/>
        <v>#N/A</v>
      </c>
      <c r="C7" s="11" t="s">
        <v>148</v>
      </c>
      <c r="D7" s="11">
        <v>76</v>
      </c>
      <c r="E7" s="11">
        <v>65</v>
      </c>
      <c r="F7" s="11"/>
      <c r="G7" s="45" t="s">
        <v>1127</v>
      </c>
      <c r="H7" s="11" t="s">
        <v>72</v>
      </c>
      <c r="I7" s="11" t="s">
        <v>762</v>
      </c>
      <c r="J7" s="85">
        <v>2</v>
      </c>
      <c r="K7" s="11" t="s">
        <v>45</v>
      </c>
      <c r="L7" s="11">
        <v>2</v>
      </c>
      <c r="M7" s="11">
        <f t="shared" si="1"/>
        <v>16</v>
      </c>
      <c r="N7" s="11" t="e">
        <f>VLOOKUP($G7, 'ADP Data'!$B$4:$Q$300, 6, FALSE)</f>
        <v>#N/A</v>
      </c>
      <c r="O7" s="11" t="e">
        <f>VLOOKUP($G7, 'ADP Data'!$B$4:$Q$300, 10, FALSE)</f>
        <v>#N/A</v>
      </c>
      <c r="P7" s="11" t="e">
        <f>VLOOKUP($G7, 'ADP Data'!$B$4:$Q$300, 4, FALSE)</f>
        <v>#N/A</v>
      </c>
      <c r="Q7" s="11" t="e">
        <f>VLOOKUP($G7, 'ADP Data'!$B$4:$Q$300, 5, FALSE)</f>
        <v>#N/A</v>
      </c>
      <c r="R7" s="11" t="e">
        <f>VLOOKUP($G7, 'ADP Data'!$B$4:$Q$300, 7, FALSE)</f>
        <v>#N/A</v>
      </c>
      <c r="S7" s="11" t="e">
        <f>VLOOKUP($G7, 'ADP Data'!$B$4:$Q$300, 8, FALSE)</f>
        <v>#N/A</v>
      </c>
      <c r="T7" s="11" t="e">
        <f>VLOOKUP($G7, 'ADP Data'!$B$4:$Q$300, 9, FALSE)</f>
        <v>#N/A</v>
      </c>
      <c r="U7" s="11" t="e">
        <f t="shared" si="2"/>
        <v>#N/A</v>
      </c>
      <c r="V7" s="11"/>
    </row>
    <row r="8" spans="1:29" ht="14.25" customHeight="1" x14ac:dyDescent="0.25">
      <c r="A8" s="11"/>
      <c r="B8" s="11" t="e">
        <f t="shared" si="0"/>
        <v>#N/A</v>
      </c>
      <c r="C8" s="11" t="s">
        <v>148</v>
      </c>
      <c r="D8" s="11">
        <v>69</v>
      </c>
      <c r="E8" s="11">
        <v>68</v>
      </c>
      <c r="F8" s="11"/>
      <c r="G8" s="11" t="s">
        <v>417</v>
      </c>
      <c r="H8" s="11" t="s">
        <v>129</v>
      </c>
      <c r="I8" s="11" t="s">
        <v>762</v>
      </c>
      <c r="J8" s="85">
        <v>4</v>
      </c>
      <c r="K8" s="11" t="s">
        <v>1334</v>
      </c>
      <c r="L8" s="11">
        <v>3</v>
      </c>
      <c r="M8" s="11">
        <f t="shared" si="1"/>
        <v>16</v>
      </c>
      <c r="N8" s="11" t="e">
        <f>VLOOKUP($G8, 'ADP Data'!$B$4:$Q$300, 6, FALSE)</f>
        <v>#N/A</v>
      </c>
      <c r="O8" s="11" t="e">
        <f>VLOOKUP($G8, 'ADP Data'!$B$4:$Q$300, 10, FALSE)</f>
        <v>#N/A</v>
      </c>
      <c r="P8" s="11" t="e">
        <f>VLOOKUP($G8, 'ADP Data'!$B$4:$Q$300, 4, FALSE)</f>
        <v>#N/A</v>
      </c>
      <c r="Q8" s="11" t="e">
        <f>VLOOKUP($G8, 'ADP Data'!$B$4:$Q$300, 5, FALSE)</f>
        <v>#N/A</v>
      </c>
      <c r="R8" s="11" t="e">
        <f>VLOOKUP($G8, 'ADP Data'!$B$4:$Q$300, 7, FALSE)</f>
        <v>#N/A</v>
      </c>
      <c r="S8" s="11" t="e">
        <f>VLOOKUP($G8, 'ADP Data'!$B$4:$Q$300, 8, FALSE)</f>
        <v>#N/A</v>
      </c>
      <c r="T8" s="11" t="e">
        <f>VLOOKUP($G8, 'ADP Data'!$B$4:$Q$300, 9, FALSE)</f>
        <v>#N/A</v>
      </c>
      <c r="U8" s="11" t="e">
        <f t="shared" si="2"/>
        <v>#N/A</v>
      </c>
      <c r="V8" s="11"/>
    </row>
    <row r="9" spans="1:29" ht="14.25" customHeight="1" x14ac:dyDescent="0.25">
      <c r="A9" s="11"/>
      <c r="B9" s="11" t="e">
        <f t="shared" si="0"/>
        <v>#N/A</v>
      </c>
      <c r="C9" s="11" t="s">
        <v>148</v>
      </c>
      <c r="D9" s="11">
        <v>70</v>
      </c>
      <c r="E9" s="11">
        <v>60</v>
      </c>
      <c r="F9" s="11"/>
      <c r="G9" s="11" t="s">
        <v>90</v>
      </c>
      <c r="H9" s="11" t="s">
        <v>229</v>
      </c>
      <c r="I9" s="11" t="s">
        <v>762</v>
      </c>
      <c r="J9" s="85">
        <v>3</v>
      </c>
      <c r="K9" s="11" t="s">
        <v>1334</v>
      </c>
      <c r="L9" s="11">
        <v>4</v>
      </c>
      <c r="M9" s="11">
        <f t="shared" si="1"/>
        <v>16</v>
      </c>
      <c r="N9" s="11" t="e">
        <f>VLOOKUP($G9, 'ADP Data'!$B$4:$Q$300, 6, FALSE)</f>
        <v>#N/A</v>
      </c>
      <c r="O9" s="11" t="e">
        <f>VLOOKUP($G9, 'ADP Data'!$B$4:$Q$300, 10, FALSE)</f>
        <v>#N/A</v>
      </c>
      <c r="P9" s="11" t="e">
        <f>VLOOKUP($G9, 'ADP Data'!$B$4:$Q$300, 4, FALSE)</f>
        <v>#N/A</v>
      </c>
      <c r="Q9" s="11" t="e">
        <f>VLOOKUP($G9, 'ADP Data'!$B$4:$Q$300, 5, FALSE)</f>
        <v>#N/A</v>
      </c>
      <c r="R9" s="11" t="e">
        <f>VLOOKUP($G9, 'ADP Data'!$B$4:$Q$300, 7, FALSE)</f>
        <v>#N/A</v>
      </c>
      <c r="S9" s="11" t="e">
        <f>VLOOKUP($G9, 'ADP Data'!$B$4:$Q$300, 8, FALSE)</f>
        <v>#N/A</v>
      </c>
      <c r="T9" s="11" t="e">
        <f>VLOOKUP($G9, 'ADP Data'!$B$4:$Q$300, 9, FALSE)</f>
        <v>#N/A</v>
      </c>
      <c r="U9" s="11" t="e">
        <f t="shared" si="2"/>
        <v>#N/A</v>
      </c>
      <c r="V9" s="11"/>
    </row>
    <row r="10" spans="1:29" ht="14.25" customHeight="1" x14ac:dyDescent="0.25">
      <c r="A10" s="11"/>
      <c r="B10" s="11" t="e">
        <f t="shared" si="0"/>
        <v>#N/A</v>
      </c>
      <c r="C10" s="11" t="s">
        <v>148</v>
      </c>
      <c r="D10" s="11">
        <v>57</v>
      </c>
      <c r="E10" s="11">
        <v>58</v>
      </c>
      <c r="F10" s="11"/>
      <c r="G10" s="11" t="s">
        <v>907</v>
      </c>
      <c r="H10" s="11" t="s">
        <v>69</v>
      </c>
      <c r="I10" s="11" t="s">
        <v>762</v>
      </c>
      <c r="J10" s="85">
        <v>5</v>
      </c>
      <c r="K10" s="11" t="s">
        <v>1334</v>
      </c>
      <c r="L10" s="11">
        <v>5</v>
      </c>
      <c r="M10" s="11">
        <f t="shared" si="1"/>
        <v>16</v>
      </c>
      <c r="N10" s="11" t="e">
        <f>VLOOKUP($G10, 'ADP Data'!$B$4:$Q$300, 6, FALSE)</f>
        <v>#N/A</v>
      </c>
      <c r="O10" s="11" t="e">
        <f>VLOOKUP($G10, 'ADP Data'!$B$4:$Q$300, 10, FALSE)</f>
        <v>#N/A</v>
      </c>
      <c r="P10" s="11" t="e">
        <f>VLOOKUP($G10, 'ADP Data'!$B$4:$Q$300, 4, FALSE)</f>
        <v>#N/A</v>
      </c>
      <c r="Q10" s="11" t="e">
        <f>VLOOKUP($G10, 'ADP Data'!$B$4:$Q$300, 5, FALSE)</f>
        <v>#N/A</v>
      </c>
      <c r="R10" s="11" t="e">
        <f>VLOOKUP($G10, 'ADP Data'!$B$4:$Q$300, 7, FALSE)</f>
        <v>#N/A</v>
      </c>
      <c r="S10" s="11" t="e">
        <f>VLOOKUP($G10, 'ADP Data'!$B$4:$Q$300, 8, FALSE)</f>
        <v>#N/A</v>
      </c>
      <c r="T10" s="11" t="e">
        <f>VLOOKUP($G10, 'ADP Data'!$B$4:$Q$300, 9, FALSE)</f>
        <v>#N/A</v>
      </c>
      <c r="U10" s="11" t="e">
        <f t="shared" si="2"/>
        <v>#N/A</v>
      </c>
      <c r="V10" s="11"/>
    </row>
    <row r="11" spans="1:29" ht="14.25" customHeight="1" x14ac:dyDescent="0.25">
      <c r="A11" s="11"/>
      <c r="B11" s="11" t="e">
        <f t="shared" si="0"/>
        <v>#N/A</v>
      </c>
      <c r="C11" s="11" t="s">
        <v>148</v>
      </c>
      <c r="D11" s="11">
        <v>52</v>
      </c>
      <c r="E11" s="11">
        <v>38</v>
      </c>
      <c r="F11" s="11"/>
      <c r="G11" s="11" t="s">
        <v>312</v>
      </c>
      <c r="H11" s="11" t="s">
        <v>85</v>
      </c>
      <c r="I11" s="11" t="s">
        <v>769</v>
      </c>
      <c r="J11" s="85">
        <v>1</v>
      </c>
      <c r="K11" s="11" t="s">
        <v>209</v>
      </c>
      <c r="L11" s="11">
        <v>1</v>
      </c>
      <c r="M11" s="11">
        <f t="shared" si="1"/>
        <v>16</v>
      </c>
      <c r="N11" s="11" t="e">
        <f>VLOOKUP($G11, 'ADP Data'!$B$4:$Q$300, 6, FALSE)</f>
        <v>#N/A</v>
      </c>
      <c r="O11" s="11" t="e">
        <f>VLOOKUP($G11, 'ADP Data'!$B$4:$Q$300, 10, FALSE)</f>
        <v>#N/A</v>
      </c>
      <c r="P11" s="11" t="e">
        <f>VLOOKUP($G11, 'ADP Data'!$B$4:$Q$300, 4, FALSE)</f>
        <v>#N/A</v>
      </c>
      <c r="Q11" s="11" t="e">
        <f>VLOOKUP($G11, 'ADP Data'!$B$4:$Q$300, 5, FALSE)</f>
        <v>#N/A</v>
      </c>
      <c r="R11" s="11" t="e">
        <f>VLOOKUP($G11, 'ADP Data'!$B$4:$Q$300, 7, FALSE)</f>
        <v>#N/A</v>
      </c>
      <c r="S11" s="11" t="e">
        <f>VLOOKUP($G11, 'ADP Data'!$B$4:$Q$300, 8, FALSE)</f>
        <v>#N/A</v>
      </c>
      <c r="T11" s="11" t="e">
        <f>VLOOKUP($G11, 'ADP Data'!$B$4:$Q$300, 9, FALSE)</f>
        <v>#N/A</v>
      </c>
      <c r="U11" s="11" t="e">
        <f t="shared" si="2"/>
        <v>#N/A</v>
      </c>
      <c r="V11" s="11"/>
    </row>
    <row r="12" spans="1:29" ht="14.25" customHeight="1" x14ac:dyDescent="0.25">
      <c r="A12" s="11"/>
      <c r="B12" s="11" t="e">
        <f t="shared" si="0"/>
        <v>#N/A</v>
      </c>
      <c r="C12" s="11" t="s">
        <v>148</v>
      </c>
      <c r="D12" s="11">
        <v>54</v>
      </c>
      <c r="E12" s="11">
        <v>40</v>
      </c>
      <c r="F12" s="11"/>
      <c r="G12" s="11" t="s">
        <v>192</v>
      </c>
      <c r="H12" s="11" t="s">
        <v>214</v>
      </c>
      <c r="I12" s="11" t="s">
        <v>764</v>
      </c>
      <c r="J12" s="85">
        <v>2</v>
      </c>
      <c r="K12" s="11" t="s">
        <v>73</v>
      </c>
      <c r="L12" s="11">
        <v>1</v>
      </c>
      <c r="M12" s="11">
        <f t="shared" si="1"/>
        <v>16</v>
      </c>
      <c r="N12" s="11" t="e">
        <f>VLOOKUP($G12, 'ADP Data'!$B$4:$Q$300, 6, FALSE)</f>
        <v>#N/A</v>
      </c>
      <c r="O12" s="11" t="e">
        <f>VLOOKUP($G12, 'ADP Data'!$B$4:$Q$300, 10, FALSE)</f>
        <v>#N/A</v>
      </c>
      <c r="P12" s="11" t="e">
        <f>VLOOKUP($G12, 'ADP Data'!$B$4:$Q$300, 4, FALSE)</f>
        <v>#N/A</v>
      </c>
      <c r="Q12" s="11" t="e">
        <f>VLOOKUP($G12, 'ADP Data'!$B$4:$Q$300, 5, FALSE)</f>
        <v>#N/A</v>
      </c>
      <c r="R12" s="11" t="e">
        <f>VLOOKUP($G12, 'ADP Data'!$B$4:$Q$300, 7, FALSE)</f>
        <v>#N/A</v>
      </c>
      <c r="S12" s="11" t="e">
        <f>VLOOKUP($G12, 'ADP Data'!$B$4:$Q$300, 8, FALSE)</f>
        <v>#N/A</v>
      </c>
      <c r="T12" s="11" t="e">
        <f>VLOOKUP($G12, 'ADP Data'!$B$4:$Q$300, 9, FALSE)</f>
        <v>#N/A</v>
      </c>
      <c r="U12" s="11" t="e">
        <f t="shared" si="2"/>
        <v>#N/A</v>
      </c>
      <c r="V12" s="11"/>
    </row>
    <row r="13" spans="1:29" ht="14.25" customHeight="1" x14ac:dyDescent="0.25">
      <c r="A13" s="11"/>
      <c r="B13" s="11" t="e">
        <f t="shared" si="0"/>
        <v>#N/A</v>
      </c>
      <c r="C13" s="11" t="s">
        <v>148</v>
      </c>
      <c r="D13" s="11">
        <v>54</v>
      </c>
      <c r="E13" s="11">
        <v>40</v>
      </c>
      <c r="F13" s="11"/>
      <c r="G13" s="45" t="s">
        <v>190</v>
      </c>
      <c r="H13" s="11" t="s">
        <v>85</v>
      </c>
      <c r="I13" s="11" t="s">
        <v>764</v>
      </c>
      <c r="J13" s="85">
        <v>1</v>
      </c>
      <c r="K13" s="11" t="s">
        <v>73</v>
      </c>
      <c r="L13" s="11">
        <v>2</v>
      </c>
      <c r="M13" s="11">
        <f t="shared" si="1"/>
        <v>16</v>
      </c>
      <c r="N13" s="11" t="e">
        <f>VLOOKUP($G13, 'ADP Data'!$B$4:$Q$300, 6, FALSE)</f>
        <v>#N/A</v>
      </c>
      <c r="O13" s="11" t="e">
        <f>VLOOKUP($G13, 'ADP Data'!$B$4:$Q$300, 10, FALSE)</f>
        <v>#N/A</v>
      </c>
      <c r="P13" s="11" t="e">
        <f>VLOOKUP($G13, 'ADP Data'!$B$4:$Q$300, 4, FALSE)</f>
        <v>#N/A</v>
      </c>
      <c r="Q13" s="11" t="e">
        <f>VLOOKUP($G13, 'ADP Data'!$B$4:$Q$300, 5, FALSE)</f>
        <v>#N/A</v>
      </c>
      <c r="R13" s="11" t="e">
        <f>VLOOKUP($G13, 'ADP Data'!$B$4:$Q$300, 7, FALSE)</f>
        <v>#N/A</v>
      </c>
      <c r="S13" s="11" t="e">
        <f>VLOOKUP($G13, 'ADP Data'!$B$4:$Q$300, 8, FALSE)</f>
        <v>#N/A</v>
      </c>
      <c r="T13" s="11" t="e">
        <f>VLOOKUP($G13, 'ADP Data'!$B$4:$Q$300, 9, FALSE)</f>
        <v>#N/A</v>
      </c>
      <c r="U13" s="11" t="e">
        <f t="shared" si="2"/>
        <v>#N/A</v>
      </c>
      <c r="V13" s="11"/>
    </row>
    <row r="14" spans="1:29" ht="14.25" customHeight="1" x14ac:dyDescent="0.25">
      <c r="A14" s="11" t="s">
        <v>1156</v>
      </c>
      <c r="B14" s="11" t="e">
        <f t="shared" si="0"/>
        <v>#N/A</v>
      </c>
      <c r="C14" s="11" t="s">
        <v>148</v>
      </c>
      <c r="D14" s="11">
        <v>53</v>
      </c>
      <c r="E14" s="11">
        <v>52</v>
      </c>
      <c r="F14" s="11" t="s">
        <v>148</v>
      </c>
      <c r="G14" s="11" t="s">
        <v>902</v>
      </c>
      <c r="H14" s="11" t="s">
        <v>187</v>
      </c>
      <c r="I14" s="11" t="s">
        <v>762</v>
      </c>
      <c r="J14" s="85" t="s">
        <v>1337</v>
      </c>
      <c r="K14" s="11" t="s">
        <v>1338</v>
      </c>
      <c r="L14" s="11">
        <v>6</v>
      </c>
      <c r="M14" s="11">
        <f t="shared" si="1"/>
        <v>16</v>
      </c>
      <c r="N14" s="11" t="e">
        <f>VLOOKUP($G14, 'ADP Data'!$B$4:$Q$300, 6, FALSE)</f>
        <v>#N/A</v>
      </c>
      <c r="O14" s="11" t="e">
        <f>VLOOKUP($G14, 'ADP Data'!$B$4:$Q$300, 10, FALSE)</f>
        <v>#N/A</v>
      </c>
      <c r="P14" s="11" t="e">
        <f>VLOOKUP($G14, 'ADP Data'!$B$4:$Q$300, 4, FALSE)</f>
        <v>#N/A</v>
      </c>
      <c r="Q14" s="11" t="e">
        <f>VLOOKUP($G14, 'ADP Data'!$B$4:$Q$300, 5, FALSE)</f>
        <v>#N/A</v>
      </c>
      <c r="R14" s="11" t="e">
        <f>VLOOKUP($G14, 'ADP Data'!$B$4:$Q$300, 7, FALSE)</f>
        <v>#N/A</v>
      </c>
      <c r="S14" s="11" t="e">
        <f>VLOOKUP($G14, 'ADP Data'!$B$4:$Q$300, 8, FALSE)</f>
        <v>#N/A</v>
      </c>
      <c r="T14" s="11" t="e">
        <f>VLOOKUP($G14, 'ADP Data'!$B$4:$Q$300, 9, FALSE)</f>
        <v>#N/A</v>
      </c>
      <c r="U14" s="11" t="e">
        <f t="shared" si="2"/>
        <v>#N/A</v>
      </c>
      <c r="V14" s="11"/>
    </row>
    <row r="15" spans="1:29" ht="14.25" customHeight="1" x14ac:dyDescent="0.25">
      <c r="A15" s="11" t="s">
        <v>1156</v>
      </c>
      <c r="B15" s="11" t="e">
        <f t="shared" si="0"/>
        <v>#N/A</v>
      </c>
      <c r="C15" s="11" t="s">
        <v>148</v>
      </c>
      <c r="D15" s="11">
        <v>57</v>
      </c>
      <c r="E15" s="11">
        <v>52</v>
      </c>
      <c r="F15" s="11" t="s">
        <v>148</v>
      </c>
      <c r="G15" s="11" t="s">
        <v>58</v>
      </c>
      <c r="H15" s="11" t="s">
        <v>60</v>
      </c>
      <c r="I15" s="11" t="s">
        <v>762</v>
      </c>
      <c r="J15" s="85">
        <v>7</v>
      </c>
      <c r="K15" s="11" t="s">
        <v>1338</v>
      </c>
      <c r="L15" s="11">
        <v>7</v>
      </c>
      <c r="M15" s="11">
        <f t="shared" si="1"/>
        <v>16</v>
      </c>
      <c r="N15" s="11" t="e">
        <f>VLOOKUP($G15, 'ADP Data'!$B$4:$Q$300, 6, FALSE)</f>
        <v>#N/A</v>
      </c>
      <c r="O15" s="11" t="e">
        <f>VLOOKUP($G15, 'ADP Data'!$B$4:$Q$300, 10, FALSE)</f>
        <v>#N/A</v>
      </c>
      <c r="P15" s="11" t="e">
        <f>VLOOKUP($G15, 'ADP Data'!$B$4:$Q$300, 4, FALSE)</f>
        <v>#N/A</v>
      </c>
      <c r="Q15" s="11" t="e">
        <f>VLOOKUP($G15, 'ADP Data'!$B$4:$Q$300, 5, FALSE)</f>
        <v>#N/A</v>
      </c>
      <c r="R15" s="11" t="e">
        <f>VLOOKUP($G15, 'ADP Data'!$B$4:$Q$300, 7, FALSE)</f>
        <v>#N/A</v>
      </c>
      <c r="S15" s="11" t="e">
        <f>VLOOKUP($G15, 'ADP Data'!$B$4:$Q$300, 8, FALSE)</f>
        <v>#N/A</v>
      </c>
      <c r="T15" s="11" t="e">
        <f>VLOOKUP($G15, 'ADP Data'!$B$4:$Q$300, 9, FALSE)</f>
        <v>#N/A</v>
      </c>
      <c r="U15" s="11" t="e">
        <f t="shared" si="2"/>
        <v>#N/A</v>
      </c>
      <c r="V15" s="11"/>
    </row>
    <row r="16" spans="1:29" ht="14.25" customHeight="1" x14ac:dyDescent="0.25">
      <c r="A16" s="11"/>
      <c r="B16" s="11" t="e">
        <f t="shared" si="0"/>
        <v>#N/A</v>
      </c>
      <c r="C16" s="11" t="s">
        <v>148</v>
      </c>
      <c r="D16" s="11">
        <v>53</v>
      </c>
      <c r="E16" s="11">
        <v>51</v>
      </c>
      <c r="F16" s="11" t="s">
        <v>148</v>
      </c>
      <c r="G16" s="11" t="s">
        <v>338</v>
      </c>
      <c r="H16" s="11" t="s">
        <v>214</v>
      </c>
      <c r="I16" s="11" t="s">
        <v>762</v>
      </c>
      <c r="J16" s="85">
        <v>9</v>
      </c>
      <c r="K16" s="11" t="s">
        <v>1338</v>
      </c>
      <c r="L16" s="11">
        <v>8</v>
      </c>
      <c r="M16" s="11">
        <f t="shared" si="1"/>
        <v>16</v>
      </c>
      <c r="N16" s="11" t="e">
        <f>VLOOKUP($G16, 'ADP Data'!$B$4:$Q$300, 6, FALSE)</f>
        <v>#N/A</v>
      </c>
      <c r="O16" s="11" t="e">
        <f>VLOOKUP($G16, 'ADP Data'!$B$4:$Q$300, 10, FALSE)</f>
        <v>#N/A</v>
      </c>
      <c r="P16" s="11" t="e">
        <f>VLOOKUP($G16, 'ADP Data'!$B$4:$Q$300, 4, FALSE)</f>
        <v>#N/A</v>
      </c>
      <c r="Q16" s="11" t="e">
        <f>VLOOKUP($G16, 'ADP Data'!$B$4:$Q$300, 5, FALSE)</f>
        <v>#N/A</v>
      </c>
      <c r="R16" s="11" t="e">
        <f>VLOOKUP($G16, 'ADP Data'!$B$4:$Q$300, 7, FALSE)</f>
        <v>#N/A</v>
      </c>
      <c r="S16" s="11" t="e">
        <f>VLOOKUP($G16, 'ADP Data'!$B$4:$Q$300, 8, FALSE)</f>
        <v>#N/A</v>
      </c>
      <c r="T16" s="11" t="e">
        <f>VLOOKUP($G16, 'ADP Data'!$B$4:$Q$300, 9, FALSE)</f>
        <v>#N/A</v>
      </c>
      <c r="U16" s="11" t="e">
        <f t="shared" si="2"/>
        <v>#N/A</v>
      </c>
      <c r="V16" s="11"/>
    </row>
    <row r="17" spans="1:22" ht="14.25" customHeight="1" x14ac:dyDescent="0.25">
      <c r="A17" s="11"/>
      <c r="B17" s="11" t="e">
        <f t="shared" si="0"/>
        <v>#N/A</v>
      </c>
      <c r="C17" s="11" t="s">
        <v>148</v>
      </c>
      <c r="D17" s="11">
        <v>70</v>
      </c>
      <c r="E17" s="11">
        <v>51</v>
      </c>
      <c r="F17" s="11"/>
      <c r="G17" s="11" t="s">
        <v>77</v>
      </c>
      <c r="H17" s="11" t="s">
        <v>126</v>
      </c>
      <c r="I17" s="11" t="s">
        <v>762</v>
      </c>
      <c r="J17" s="85">
        <v>6</v>
      </c>
      <c r="K17" s="11" t="s">
        <v>1338</v>
      </c>
      <c r="L17" s="11">
        <v>9</v>
      </c>
      <c r="M17" s="11">
        <f t="shared" si="1"/>
        <v>16</v>
      </c>
      <c r="N17" s="11" t="e">
        <f>VLOOKUP($G17, 'ADP Data'!$B$4:$Q$300, 6, FALSE)</f>
        <v>#N/A</v>
      </c>
      <c r="O17" s="11" t="e">
        <f>VLOOKUP($G17, 'ADP Data'!$B$4:$Q$300, 10, FALSE)</f>
        <v>#N/A</v>
      </c>
      <c r="P17" s="11" t="e">
        <f>VLOOKUP($G17, 'ADP Data'!$B$4:$Q$300, 4, FALSE)</f>
        <v>#N/A</v>
      </c>
      <c r="Q17" s="11" t="e">
        <f>VLOOKUP($G17, 'ADP Data'!$B$4:$Q$300, 5, FALSE)</f>
        <v>#N/A</v>
      </c>
      <c r="R17" s="11" t="e">
        <f>VLOOKUP($G17, 'ADP Data'!$B$4:$Q$300, 7, FALSE)</f>
        <v>#N/A</v>
      </c>
      <c r="S17" s="11" t="e">
        <f>VLOOKUP($G17, 'ADP Data'!$B$4:$Q$300, 8, FALSE)</f>
        <v>#N/A</v>
      </c>
      <c r="T17" s="11" t="e">
        <f>VLOOKUP($G17, 'ADP Data'!$B$4:$Q$300, 9, FALSE)</f>
        <v>#N/A</v>
      </c>
      <c r="U17" s="11" t="e">
        <f t="shared" si="2"/>
        <v>#N/A</v>
      </c>
      <c r="V17" s="11"/>
    </row>
    <row r="18" spans="1:22" ht="14.25" customHeight="1" x14ac:dyDescent="0.25">
      <c r="A18" s="11"/>
      <c r="B18" s="11" t="e">
        <f t="shared" si="0"/>
        <v>#N/A</v>
      </c>
      <c r="C18" s="11" t="s">
        <v>148</v>
      </c>
      <c r="D18" s="11">
        <v>46</v>
      </c>
      <c r="E18" s="11">
        <v>45</v>
      </c>
      <c r="F18" s="11" t="s">
        <v>148</v>
      </c>
      <c r="G18" s="8" t="s">
        <v>898</v>
      </c>
      <c r="H18" s="11" t="s">
        <v>88</v>
      </c>
      <c r="I18" s="11" t="s">
        <v>762</v>
      </c>
      <c r="J18" s="85">
        <v>8</v>
      </c>
      <c r="K18" s="11" t="s">
        <v>1338</v>
      </c>
      <c r="L18" s="11">
        <v>10</v>
      </c>
      <c r="M18" s="11">
        <f t="shared" si="1"/>
        <v>16</v>
      </c>
      <c r="N18" s="11" t="e">
        <f>VLOOKUP($G18, 'ADP Data'!$B$4:$Q$300, 6, FALSE)</f>
        <v>#N/A</v>
      </c>
      <c r="O18" s="11" t="e">
        <f>VLOOKUP($G18, 'ADP Data'!$B$4:$Q$300, 10, FALSE)</f>
        <v>#N/A</v>
      </c>
      <c r="P18" s="11" t="e">
        <f>VLOOKUP($G18, 'ADP Data'!$B$4:$Q$300, 4, FALSE)</f>
        <v>#N/A</v>
      </c>
      <c r="Q18" s="11" t="e">
        <f>VLOOKUP($G18, 'ADP Data'!$B$4:$Q$300, 5, FALSE)</f>
        <v>#N/A</v>
      </c>
      <c r="R18" s="11" t="e">
        <f>VLOOKUP($G18, 'ADP Data'!$B$4:$Q$300, 7, FALSE)</f>
        <v>#N/A</v>
      </c>
      <c r="S18" s="11" t="e">
        <f>VLOOKUP($G18, 'ADP Data'!$B$4:$Q$300, 8, FALSE)</f>
        <v>#N/A</v>
      </c>
      <c r="T18" s="11" t="e">
        <f>VLOOKUP($G18, 'ADP Data'!$B$4:$Q$300, 9, FALSE)</f>
        <v>#N/A</v>
      </c>
      <c r="U18" s="11" t="e">
        <f t="shared" si="2"/>
        <v>#N/A</v>
      </c>
      <c r="V18" s="11" t="s">
        <v>1339</v>
      </c>
    </row>
    <row r="19" spans="1:22" ht="14.25" customHeight="1" x14ac:dyDescent="0.25">
      <c r="A19" s="11"/>
      <c r="B19" s="11" t="e">
        <f t="shared" si="0"/>
        <v>#N/A</v>
      </c>
      <c r="C19" s="11" t="s">
        <v>148</v>
      </c>
      <c r="D19" s="11">
        <v>47</v>
      </c>
      <c r="E19" s="11">
        <v>40</v>
      </c>
      <c r="F19" s="11"/>
      <c r="G19" s="11" t="s">
        <v>288</v>
      </c>
      <c r="H19" s="11" t="s">
        <v>66</v>
      </c>
      <c r="I19" s="11" t="s">
        <v>764</v>
      </c>
      <c r="J19" s="85">
        <v>3</v>
      </c>
      <c r="K19" s="11" t="s">
        <v>73</v>
      </c>
      <c r="L19" s="11">
        <v>3</v>
      </c>
      <c r="M19" s="11">
        <f t="shared" si="1"/>
        <v>16</v>
      </c>
      <c r="N19" s="11" t="e">
        <f>VLOOKUP($G19, 'ADP Data'!$B$4:$Q$300, 6, FALSE)</f>
        <v>#N/A</v>
      </c>
      <c r="O19" s="11" t="e">
        <f>VLOOKUP($G19, 'ADP Data'!$B$4:$Q$300, 10, FALSE)</f>
        <v>#N/A</v>
      </c>
      <c r="P19" s="11" t="e">
        <f>VLOOKUP($G19, 'ADP Data'!$B$4:$Q$300, 4, FALSE)</f>
        <v>#N/A</v>
      </c>
      <c r="Q19" s="11" t="e">
        <f>VLOOKUP($G19, 'ADP Data'!$B$4:$Q$300, 5, FALSE)</f>
        <v>#N/A</v>
      </c>
      <c r="R19" s="11" t="e">
        <f>VLOOKUP($G19, 'ADP Data'!$B$4:$Q$300, 7, FALSE)</f>
        <v>#N/A</v>
      </c>
      <c r="S19" s="11" t="e">
        <f>VLOOKUP($G19, 'ADP Data'!$B$4:$Q$300, 8, FALSE)</f>
        <v>#N/A</v>
      </c>
      <c r="T19" s="11" t="e">
        <f>VLOOKUP($G19, 'ADP Data'!$B$4:$Q$300, 9, FALSE)</f>
        <v>#N/A</v>
      </c>
      <c r="U19" s="11" t="e">
        <f t="shared" si="2"/>
        <v>#N/A</v>
      </c>
      <c r="V19" s="11"/>
    </row>
    <row r="20" spans="1:22" ht="14.25" customHeight="1" x14ac:dyDescent="0.25">
      <c r="A20" s="11"/>
      <c r="B20" s="11" t="e">
        <f t="shared" si="0"/>
        <v>#N/A</v>
      </c>
      <c r="C20" s="11" t="s">
        <v>148</v>
      </c>
      <c r="D20" s="11">
        <v>42</v>
      </c>
      <c r="E20" s="11">
        <v>38</v>
      </c>
      <c r="F20" s="11"/>
      <c r="G20" s="45" t="s">
        <v>478</v>
      </c>
      <c r="H20" s="11" t="s">
        <v>39</v>
      </c>
      <c r="I20" s="11" t="s">
        <v>764</v>
      </c>
      <c r="J20" s="85">
        <v>5</v>
      </c>
      <c r="K20" s="11" t="s">
        <v>73</v>
      </c>
      <c r="L20" s="11">
        <v>4</v>
      </c>
      <c r="M20" s="11">
        <f t="shared" si="1"/>
        <v>16</v>
      </c>
      <c r="N20" s="11" t="e">
        <f>VLOOKUP($G20, 'ADP Data'!$B$4:$Q$300, 6, FALSE)</f>
        <v>#N/A</v>
      </c>
      <c r="O20" s="11" t="e">
        <f>VLOOKUP($G20, 'ADP Data'!$B$4:$Q$300, 10, FALSE)</f>
        <v>#N/A</v>
      </c>
      <c r="P20" s="11" t="e">
        <f>VLOOKUP($G20, 'ADP Data'!$B$4:$Q$300, 4, FALSE)</f>
        <v>#N/A</v>
      </c>
      <c r="Q20" s="11" t="e">
        <f>VLOOKUP($G20, 'ADP Data'!$B$4:$Q$300, 5, FALSE)</f>
        <v>#N/A</v>
      </c>
      <c r="R20" s="11" t="e">
        <f>VLOOKUP($G20, 'ADP Data'!$B$4:$Q$300, 7, FALSE)</f>
        <v>#N/A</v>
      </c>
      <c r="S20" s="11" t="e">
        <f>VLOOKUP($G20, 'ADP Data'!$B$4:$Q$300, 8, FALSE)</f>
        <v>#N/A</v>
      </c>
      <c r="T20" s="11" t="e">
        <f>VLOOKUP($G20, 'ADP Data'!$B$4:$Q$300, 9, FALSE)</f>
        <v>#N/A</v>
      </c>
      <c r="U20" s="11" t="e">
        <f t="shared" si="2"/>
        <v>#N/A</v>
      </c>
      <c r="V20" s="11"/>
    </row>
    <row r="21" spans="1:22" ht="14.25" customHeight="1" x14ac:dyDescent="0.25">
      <c r="A21" s="11"/>
      <c r="B21" s="11" t="e">
        <f t="shared" si="0"/>
        <v>#N/A</v>
      </c>
      <c r="C21" s="11" t="s">
        <v>148</v>
      </c>
      <c r="D21" s="11">
        <v>39</v>
      </c>
      <c r="E21" s="11">
        <v>37</v>
      </c>
      <c r="F21" s="11"/>
      <c r="G21" s="11" t="s">
        <v>901</v>
      </c>
      <c r="H21" s="11" t="s">
        <v>123</v>
      </c>
      <c r="I21" s="11" t="s">
        <v>764</v>
      </c>
      <c r="J21" s="85">
        <v>4</v>
      </c>
      <c r="K21" s="11" t="s">
        <v>73</v>
      </c>
      <c r="L21" s="11">
        <v>5</v>
      </c>
      <c r="M21" s="11">
        <f t="shared" si="1"/>
        <v>16</v>
      </c>
      <c r="N21" s="11" t="e">
        <f>VLOOKUP($G21, 'ADP Data'!$B$4:$Q$300, 6, FALSE)</f>
        <v>#N/A</v>
      </c>
      <c r="O21" s="11" t="e">
        <f>VLOOKUP($G21, 'ADP Data'!$B$4:$Q$300, 10, FALSE)</f>
        <v>#N/A</v>
      </c>
      <c r="P21" s="11" t="e">
        <f>VLOOKUP($G21, 'ADP Data'!$B$4:$Q$300, 4, FALSE)</f>
        <v>#N/A</v>
      </c>
      <c r="Q21" s="11" t="e">
        <f>VLOOKUP($G21, 'ADP Data'!$B$4:$Q$300, 5, FALSE)</f>
        <v>#N/A</v>
      </c>
      <c r="R21" s="11" t="e">
        <f>VLOOKUP($G21, 'ADP Data'!$B$4:$Q$300, 7, FALSE)</f>
        <v>#N/A</v>
      </c>
      <c r="S21" s="11" t="e">
        <f>VLOOKUP($G21, 'ADP Data'!$B$4:$Q$300, 8, FALSE)</f>
        <v>#N/A</v>
      </c>
      <c r="T21" s="11" t="e">
        <f>VLOOKUP($G21, 'ADP Data'!$B$4:$Q$300, 9, FALSE)</f>
        <v>#N/A</v>
      </c>
      <c r="U21" s="11" t="e">
        <f t="shared" si="2"/>
        <v>#N/A</v>
      </c>
      <c r="V21" s="11"/>
    </row>
    <row r="22" spans="1:22" ht="14.25" customHeight="1" x14ac:dyDescent="0.25">
      <c r="A22" s="11"/>
      <c r="B22" s="11" t="e">
        <f t="shared" si="0"/>
        <v>#N/A</v>
      </c>
      <c r="C22" s="11" t="s">
        <v>148</v>
      </c>
      <c r="D22" s="11">
        <v>51</v>
      </c>
      <c r="E22" s="11">
        <v>47</v>
      </c>
      <c r="F22" s="11"/>
      <c r="G22" s="11" t="s">
        <v>634</v>
      </c>
      <c r="H22" s="11" t="s">
        <v>233</v>
      </c>
      <c r="I22" s="11" t="s">
        <v>762</v>
      </c>
      <c r="J22" s="85" t="s">
        <v>1340</v>
      </c>
      <c r="K22" s="11" t="s">
        <v>1338</v>
      </c>
      <c r="L22" s="11">
        <v>11</v>
      </c>
      <c r="M22" s="11">
        <f t="shared" si="1"/>
        <v>16</v>
      </c>
      <c r="N22" s="11" t="e">
        <f>VLOOKUP($G22, 'ADP Data'!$B$4:$Q$300, 6, FALSE)</f>
        <v>#N/A</v>
      </c>
      <c r="O22" s="11" t="e">
        <f>VLOOKUP($G22, 'ADP Data'!$B$4:$Q$300, 10, FALSE)</f>
        <v>#N/A</v>
      </c>
      <c r="P22" s="11" t="e">
        <f>VLOOKUP($G22, 'ADP Data'!$B$4:$Q$300, 4, FALSE)</f>
        <v>#N/A</v>
      </c>
      <c r="Q22" s="11" t="e">
        <f>VLOOKUP($G22, 'ADP Data'!$B$4:$Q$300, 5, FALSE)</f>
        <v>#N/A</v>
      </c>
      <c r="R22" s="11" t="e">
        <f>VLOOKUP($G22, 'ADP Data'!$B$4:$Q$300, 7, FALSE)</f>
        <v>#N/A</v>
      </c>
      <c r="S22" s="11" t="e">
        <f>VLOOKUP($G22, 'ADP Data'!$B$4:$Q$300, 8, FALSE)</f>
        <v>#N/A</v>
      </c>
      <c r="T22" s="11" t="e">
        <f>VLOOKUP($G22, 'ADP Data'!$B$4:$Q$300, 9, FALSE)</f>
        <v>#N/A</v>
      </c>
      <c r="U22" s="11" t="e">
        <f t="shared" si="2"/>
        <v>#N/A</v>
      </c>
      <c r="V22" s="11"/>
    </row>
    <row r="23" spans="1:22" ht="14.25" customHeight="1" x14ac:dyDescent="0.25">
      <c r="A23" s="11"/>
      <c r="B23" s="11" t="e">
        <f t="shared" si="0"/>
        <v>#N/A</v>
      </c>
      <c r="C23" s="11" t="s">
        <v>148</v>
      </c>
      <c r="D23" s="11">
        <v>52</v>
      </c>
      <c r="E23" s="11">
        <v>45</v>
      </c>
      <c r="F23" s="11"/>
      <c r="G23" s="45" t="s">
        <v>922</v>
      </c>
      <c r="H23" s="11" t="s">
        <v>184</v>
      </c>
      <c r="I23" s="11" t="s">
        <v>762</v>
      </c>
      <c r="J23" s="85" t="s">
        <v>1341</v>
      </c>
      <c r="K23" s="11" t="s">
        <v>1338</v>
      </c>
      <c r="L23" s="11">
        <v>12</v>
      </c>
      <c r="M23" s="11">
        <f t="shared" si="1"/>
        <v>16</v>
      </c>
      <c r="N23" s="11" t="e">
        <f>VLOOKUP($G23, 'ADP Data'!$B$4:$Q$300, 6, FALSE)</f>
        <v>#N/A</v>
      </c>
      <c r="O23" s="11" t="e">
        <f>VLOOKUP($G23, 'ADP Data'!$B$4:$Q$300, 10, FALSE)</f>
        <v>#N/A</v>
      </c>
      <c r="P23" s="11" t="e">
        <f>VLOOKUP($G23, 'ADP Data'!$B$4:$Q$300, 4, FALSE)</f>
        <v>#N/A</v>
      </c>
      <c r="Q23" s="11" t="e">
        <f>VLOOKUP($G23, 'ADP Data'!$B$4:$Q$300, 5, FALSE)</f>
        <v>#N/A</v>
      </c>
      <c r="R23" s="11" t="e">
        <f>VLOOKUP($G23, 'ADP Data'!$B$4:$Q$300, 7, FALSE)</f>
        <v>#N/A</v>
      </c>
      <c r="S23" s="11" t="e">
        <f>VLOOKUP($G23, 'ADP Data'!$B$4:$Q$300, 8, FALSE)</f>
        <v>#N/A</v>
      </c>
      <c r="T23" s="11" t="e">
        <f>VLOOKUP($G23, 'ADP Data'!$B$4:$Q$300, 9, FALSE)</f>
        <v>#N/A</v>
      </c>
      <c r="U23" s="11" t="e">
        <f t="shared" si="2"/>
        <v>#N/A</v>
      </c>
      <c r="V23" s="11"/>
    </row>
    <row r="24" spans="1:22" ht="14.25" customHeight="1" x14ac:dyDescent="0.25">
      <c r="A24" s="11"/>
      <c r="B24" s="11" t="e">
        <f t="shared" si="0"/>
        <v>#N/A</v>
      </c>
      <c r="C24" s="11" t="s">
        <v>148</v>
      </c>
      <c r="D24" s="11">
        <v>32</v>
      </c>
      <c r="E24" s="11">
        <v>30</v>
      </c>
      <c r="F24" s="11"/>
      <c r="G24" s="11" t="s">
        <v>642</v>
      </c>
      <c r="H24" s="11" t="s">
        <v>94</v>
      </c>
      <c r="I24" s="11" t="s">
        <v>769</v>
      </c>
      <c r="J24" s="85">
        <v>3</v>
      </c>
      <c r="K24" s="11" t="s">
        <v>209</v>
      </c>
      <c r="L24" s="11">
        <v>2</v>
      </c>
      <c r="M24" s="11">
        <f t="shared" si="1"/>
        <v>16</v>
      </c>
      <c r="N24" s="11" t="e">
        <f>VLOOKUP($G24, 'ADP Data'!$B$4:$Q$300, 6, FALSE)</f>
        <v>#N/A</v>
      </c>
      <c r="O24" s="11" t="e">
        <f>VLOOKUP($G24, 'ADP Data'!$B$4:$Q$300, 10, FALSE)</f>
        <v>#N/A</v>
      </c>
      <c r="P24" s="11" t="e">
        <f>VLOOKUP($G24, 'ADP Data'!$B$4:$Q$300, 4, FALSE)</f>
        <v>#N/A</v>
      </c>
      <c r="Q24" s="11" t="e">
        <f>VLOOKUP($G24, 'ADP Data'!$B$4:$Q$300, 5, FALSE)</f>
        <v>#N/A</v>
      </c>
      <c r="R24" s="11" t="e">
        <f>VLOOKUP($G24, 'ADP Data'!$B$4:$Q$300, 7, FALSE)</f>
        <v>#N/A</v>
      </c>
      <c r="S24" s="11" t="e">
        <f>VLOOKUP($G24, 'ADP Data'!$B$4:$Q$300, 8, FALSE)</f>
        <v>#N/A</v>
      </c>
      <c r="T24" s="11" t="e">
        <f>VLOOKUP($G24, 'ADP Data'!$B$4:$Q$300, 9, FALSE)</f>
        <v>#N/A</v>
      </c>
      <c r="U24" s="11" t="e">
        <f t="shared" si="2"/>
        <v>#N/A</v>
      </c>
      <c r="V24" s="11"/>
    </row>
    <row r="25" spans="1:22" ht="14.25" customHeight="1" x14ac:dyDescent="0.25">
      <c r="A25" s="11"/>
      <c r="B25" s="11" t="e">
        <f t="shared" si="0"/>
        <v>#N/A</v>
      </c>
      <c r="C25" s="11" t="s">
        <v>148</v>
      </c>
      <c r="D25" s="11">
        <v>34</v>
      </c>
      <c r="E25" s="11">
        <v>25</v>
      </c>
      <c r="F25" s="11"/>
      <c r="G25" s="11" t="s">
        <v>71</v>
      </c>
      <c r="H25" s="11" t="s">
        <v>72</v>
      </c>
      <c r="I25" s="11" t="s">
        <v>764</v>
      </c>
      <c r="J25" s="85">
        <v>7</v>
      </c>
      <c r="K25" s="11" t="s">
        <v>1342</v>
      </c>
      <c r="L25" s="11">
        <v>6</v>
      </c>
      <c r="M25" s="11">
        <f t="shared" si="1"/>
        <v>16</v>
      </c>
      <c r="N25" s="11" t="e">
        <f>VLOOKUP($G25, 'ADP Data'!$B$4:$Q$300, 6, FALSE)</f>
        <v>#N/A</v>
      </c>
      <c r="O25" s="11" t="e">
        <f>VLOOKUP($G25, 'ADP Data'!$B$4:$Q$300, 10, FALSE)</f>
        <v>#N/A</v>
      </c>
      <c r="P25" s="11" t="e">
        <f>VLOOKUP($G25, 'ADP Data'!$B$4:$Q$300, 4, FALSE)</f>
        <v>#N/A</v>
      </c>
      <c r="Q25" s="11" t="e">
        <f>VLOOKUP($G25, 'ADP Data'!$B$4:$Q$300, 5, FALSE)</f>
        <v>#N/A</v>
      </c>
      <c r="R25" s="11" t="e">
        <f>VLOOKUP($G25, 'ADP Data'!$B$4:$Q$300, 7, FALSE)</f>
        <v>#N/A</v>
      </c>
      <c r="S25" s="11" t="e">
        <f>VLOOKUP($G25, 'ADP Data'!$B$4:$Q$300, 8, FALSE)</f>
        <v>#N/A</v>
      </c>
      <c r="T25" s="11" t="e">
        <f>VLOOKUP($G25, 'ADP Data'!$B$4:$Q$300, 9, FALSE)</f>
        <v>#N/A</v>
      </c>
      <c r="U25" s="11" t="e">
        <f t="shared" si="2"/>
        <v>#N/A</v>
      </c>
      <c r="V25" s="11"/>
    </row>
    <row r="26" spans="1:22" ht="14.25" customHeight="1" x14ac:dyDescent="0.25">
      <c r="A26" s="11"/>
      <c r="B26" s="11" t="e">
        <f t="shared" si="0"/>
        <v>#N/A</v>
      </c>
      <c r="C26" s="11" t="s">
        <v>148</v>
      </c>
      <c r="D26" s="11">
        <v>36</v>
      </c>
      <c r="E26" s="11">
        <v>35</v>
      </c>
      <c r="F26" s="11"/>
      <c r="G26" s="45" t="s">
        <v>804</v>
      </c>
      <c r="H26" s="11" t="s">
        <v>44</v>
      </c>
      <c r="I26" s="11" t="s">
        <v>762</v>
      </c>
      <c r="J26" s="85" t="s">
        <v>1343</v>
      </c>
      <c r="K26" s="11" t="s">
        <v>1344</v>
      </c>
      <c r="L26" s="11">
        <v>13</v>
      </c>
      <c r="M26" s="11">
        <f t="shared" si="1"/>
        <v>16</v>
      </c>
      <c r="N26" s="11" t="e">
        <f>VLOOKUP($G26, 'ADP Data'!$B$4:$Q$300, 6, FALSE)</f>
        <v>#N/A</v>
      </c>
      <c r="O26" s="11" t="e">
        <f>VLOOKUP($G26, 'ADP Data'!$B$4:$Q$300, 10, FALSE)</f>
        <v>#N/A</v>
      </c>
      <c r="P26" s="11" t="e">
        <f>VLOOKUP($G26, 'ADP Data'!$B$4:$Q$300, 4, FALSE)</f>
        <v>#N/A</v>
      </c>
      <c r="Q26" s="11" t="e">
        <f>VLOOKUP($G26, 'ADP Data'!$B$4:$Q$300, 5, FALSE)</f>
        <v>#N/A</v>
      </c>
      <c r="R26" s="11" t="e">
        <f>VLOOKUP($G26, 'ADP Data'!$B$4:$Q$300, 7, FALSE)</f>
        <v>#N/A</v>
      </c>
      <c r="S26" s="11" t="e">
        <f>VLOOKUP($G26, 'ADP Data'!$B$4:$Q$300, 8, FALSE)</f>
        <v>#N/A</v>
      </c>
      <c r="T26" s="11" t="e">
        <f>VLOOKUP($G26, 'ADP Data'!$B$4:$Q$300, 9, FALSE)</f>
        <v>#N/A</v>
      </c>
      <c r="U26" s="11" t="e">
        <f t="shared" si="2"/>
        <v>#N/A</v>
      </c>
      <c r="V26" s="11"/>
    </row>
    <row r="27" spans="1:22" ht="14.25" customHeight="1" x14ac:dyDescent="0.25">
      <c r="A27" s="11"/>
      <c r="B27" s="11" t="e">
        <f t="shared" si="0"/>
        <v>#N/A</v>
      </c>
      <c r="C27" s="11" t="s">
        <v>148</v>
      </c>
      <c r="D27" s="11">
        <v>35</v>
      </c>
      <c r="E27" s="11">
        <v>25</v>
      </c>
      <c r="F27" s="11"/>
      <c r="G27" s="11" t="s">
        <v>183</v>
      </c>
      <c r="H27" s="11" t="s">
        <v>184</v>
      </c>
      <c r="I27" s="11" t="s">
        <v>764</v>
      </c>
      <c r="J27" s="85" t="s">
        <v>1337</v>
      </c>
      <c r="K27" s="11" t="s">
        <v>1342</v>
      </c>
      <c r="L27" s="11">
        <v>7</v>
      </c>
      <c r="M27" s="11">
        <f t="shared" si="1"/>
        <v>16</v>
      </c>
      <c r="N27" s="11" t="e">
        <f>VLOOKUP($G27, 'ADP Data'!$B$4:$Q$300, 6, FALSE)</f>
        <v>#N/A</v>
      </c>
      <c r="O27" s="11" t="e">
        <f>VLOOKUP($G27, 'ADP Data'!$B$4:$Q$300, 10, FALSE)</f>
        <v>#N/A</v>
      </c>
      <c r="P27" s="11" t="e">
        <f>VLOOKUP($G27, 'ADP Data'!$B$4:$Q$300, 4, FALSE)</f>
        <v>#N/A</v>
      </c>
      <c r="Q27" s="11" t="e">
        <f>VLOOKUP($G27, 'ADP Data'!$B$4:$Q$300, 5, FALSE)</f>
        <v>#N/A</v>
      </c>
      <c r="R27" s="11" t="e">
        <f>VLOOKUP($G27, 'ADP Data'!$B$4:$Q$300, 7, FALSE)</f>
        <v>#N/A</v>
      </c>
      <c r="S27" s="11" t="e">
        <f>VLOOKUP($G27, 'ADP Data'!$B$4:$Q$300, 8, FALSE)</f>
        <v>#N/A</v>
      </c>
      <c r="T27" s="11" t="e">
        <f>VLOOKUP($G27, 'ADP Data'!$B$4:$Q$300, 9, FALSE)</f>
        <v>#N/A</v>
      </c>
      <c r="U27" s="11" t="e">
        <f t="shared" si="2"/>
        <v>#N/A</v>
      </c>
      <c r="V27" s="11" t="s">
        <v>1346</v>
      </c>
    </row>
    <row r="28" spans="1:22" ht="14.25" customHeight="1" x14ac:dyDescent="0.25">
      <c r="A28" s="11"/>
      <c r="B28" s="11" t="e">
        <f t="shared" si="0"/>
        <v>#N/A</v>
      </c>
      <c r="C28" s="11" t="s">
        <v>148</v>
      </c>
      <c r="D28" s="11">
        <v>28</v>
      </c>
      <c r="E28" s="11">
        <v>15</v>
      </c>
      <c r="F28" s="11"/>
      <c r="G28" s="11" t="s">
        <v>310</v>
      </c>
      <c r="H28" s="11" t="s">
        <v>85</v>
      </c>
      <c r="I28" s="11" t="s">
        <v>760</v>
      </c>
      <c r="J28" s="85">
        <v>1</v>
      </c>
      <c r="K28" s="11" t="s">
        <v>327</v>
      </c>
      <c r="L28" s="11">
        <v>1</v>
      </c>
      <c r="M28" s="11">
        <f t="shared" si="1"/>
        <v>16</v>
      </c>
      <c r="N28" s="11" t="e">
        <f>VLOOKUP($G28, 'ADP Data'!$B$4:$Q$300, 6, FALSE)</f>
        <v>#N/A</v>
      </c>
      <c r="O28" s="11" t="e">
        <f>VLOOKUP($G28, 'ADP Data'!$B$4:$Q$300, 10, FALSE)</f>
        <v>#N/A</v>
      </c>
      <c r="P28" s="11" t="e">
        <f>VLOOKUP($G28, 'ADP Data'!$B$4:$Q$300, 4, FALSE)</f>
        <v>#N/A</v>
      </c>
      <c r="Q28" s="11" t="e">
        <f>VLOOKUP($G28, 'ADP Data'!$B$4:$Q$300, 5, FALSE)</f>
        <v>#N/A</v>
      </c>
      <c r="R28" s="11" t="e">
        <f>VLOOKUP($G28, 'ADP Data'!$B$4:$Q$300, 7, FALSE)</f>
        <v>#N/A</v>
      </c>
      <c r="S28" s="11" t="e">
        <f>VLOOKUP($G28, 'ADP Data'!$B$4:$Q$300, 8, FALSE)</f>
        <v>#N/A</v>
      </c>
      <c r="T28" s="11" t="e">
        <f>VLOOKUP($G28, 'ADP Data'!$B$4:$Q$300, 9, FALSE)</f>
        <v>#N/A</v>
      </c>
      <c r="U28" s="11" t="e">
        <f t="shared" si="2"/>
        <v>#N/A</v>
      </c>
      <c r="V28" s="11"/>
    </row>
    <row r="29" spans="1:22" ht="14.25" customHeight="1" x14ac:dyDescent="0.25">
      <c r="A29" s="11"/>
      <c r="B29" s="11" t="e">
        <f t="shared" si="0"/>
        <v>#N/A</v>
      </c>
      <c r="C29" s="11" t="s">
        <v>148</v>
      </c>
      <c r="D29" s="11">
        <v>24</v>
      </c>
      <c r="E29" s="11">
        <v>25</v>
      </c>
      <c r="F29" s="11" t="s">
        <v>148</v>
      </c>
      <c r="G29" s="11" t="s">
        <v>1308</v>
      </c>
      <c r="H29" s="11" t="s">
        <v>155</v>
      </c>
      <c r="I29" s="11" t="s">
        <v>764</v>
      </c>
      <c r="J29" s="85" t="s">
        <v>1341</v>
      </c>
      <c r="K29" s="11" t="s">
        <v>1342</v>
      </c>
      <c r="L29" s="11">
        <v>8</v>
      </c>
      <c r="M29" s="11">
        <f t="shared" si="1"/>
        <v>16</v>
      </c>
      <c r="N29" s="11" t="e">
        <f>VLOOKUP($G29, 'ADP Data'!$B$4:$Q$300, 6, FALSE)</f>
        <v>#N/A</v>
      </c>
      <c r="O29" s="11" t="e">
        <f>VLOOKUP($G29, 'ADP Data'!$B$4:$Q$300, 10, FALSE)</f>
        <v>#N/A</v>
      </c>
      <c r="P29" s="11" t="e">
        <f>VLOOKUP($G29, 'ADP Data'!$B$4:$Q$300, 4, FALSE)</f>
        <v>#N/A</v>
      </c>
      <c r="Q29" s="11" t="e">
        <f>VLOOKUP($G29, 'ADP Data'!$B$4:$Q$300, 5, FALSE)</f>
        <v>#N/A</v>
      </c>
      <c r="R29" s="11" t="e">
        <f>VLOOKUP($G29, 'ADP Data'!$B$4:$Q$300, 7, FALSE)</f>
        <v>#N/A</v>
      </c>
      <c r="S29" s="11" t="e">
        <f>VLOOKUP($G29, 'ADP Data'!$B$4:$Q$300, 8, FALSE)</f>
        <v>#N/A</v>
      </c>
      <c r="T29" s="11" t="e">
        <f>VLOOKUP($G29, 'ADP Data'!$B$4:$Q$300, 9, FALSE)</f>
        <v>#N/A</v>
      </c>
      <c r="U29" s="11" t="e">
        <f t="shared" si="2"/>
        <v>#N/A</v>
      </c>
      <c r="V29" s="11"/>
    </row>
    <row r="30" spans="1:22" ht="14.25" customHeight="1" x14ac:dyDescent="0.25">
      <c r="A30" s="11"/>
      <c r="B30" s="11" t="e">
        <f t="shared" si="0"/>
        <v>#N/A</v>
      </c>
      <c r="C30" s="11" t="s">
        <v>148</v>
      </c>
      <c r="D30" s="11">
        <v>28</v>
      </c>
      <c r="E30" s="11">
        <v>25</v>
      </c>
      <c r="F30" s="11"/>
      <c r="G30" s="45" t="s">
        <v>274</v>
      </c>
      <c r="H30" s="11" t="s">
        <v>55</v>
      </c>
      <c r="I30" s="11" t="s">
        <v>769</v>
      </c>
      <c r="J30" s="85">
        <v>2</v>
      </c>
      <c r="K30" s="11" t="s">
        <v>209</v>
      </c>
      <c r="L30" s="11">
        <v>3</v>
      </c>
      <c r="M30" s="11">
        <f t="shared" si="1"/>
        <v>16</v>
      </c>
      <c r="N30" s="11" t="e">
        <f>VLOOKUP($G30, 'ADP Data'!$B$4:$Q$300, 6, FALSE)</f>
        <v>#N/A</v>
      </c>
      <c r="O30" s="11" t="e">
        <f>VLOOKUP($G30, 'ADP Data'!$B$4:$Q$300, 10, FALSE)</f>
        <v>#N/A</v>
      </c>
      <c r="P30" s="11" t="e">
        <f>VLOOKUP($G30, 'ADP Data'!$B$4:$Q$300, 4, FALSE)</f>
        <v>#N/A</v>
      </c>
      <c r="Q30" s="11" t="e">
        <f>VLOOKUP($G30, 'ADP Data'!$B$4:$Q$300, 5, FALSE)</f>
        <v>#N/A</v>
      </c>
      <c r="R30" s="11" t="e">
        <f>VLOOKUP($G30, 'ADP Data'!$B$4:$Q$300, 7, FALSE)</f>
        <v>#N/A</v>
      </c>
      <c r="S30" s="11" t="e">
        <f>VLOOKUP($G30, 'ADP Data'!$B$4:$Q$300, 8, FALSE)</f>
        <v>#N/A</v>
      </c>
      <c r="T30" s="11" t="e">
        <f>VLOOKUP($G30, 'ADP Data'!$B$4:$Q$300, 9, FALSE)</f>
        <v>#N/A</v>
      </c>
      <c r="U30" s="11" t="e">
        <f t="shared" si="2"/>
        <v>#N/A</v>
      </c>
      <c r="V30" s="11"/>
    </row>
    <row r="31" spans="1:22" ht="14.25" customHeight="1" x14ac:dyDescent="0.25">
      <c r="A31" s="11" t="s">
        <v>1156</v>
      </c>
      <c r="B31" s="11" t="e">
        <f t="shared" si="0"/>
        <v>#N/A</v>
      </c>
      <c r="C31" s="11" t="s">
        <v>148</v>
      </c>
      <c r="D31" s="11">
        <v>36</v>
      </c>
      <c r="E31" s="11">
        <v>45</v>
      </c>
      <c r="F31" s="11" t="s">
        <v>148</v>
      </c>
      <c r="G31" s="11" t="s">
        <v>178</v>
      </c>
      <c r="H31" s="11" t="s">
        <v>155</v>
      </c>
      <c r="I31" s="11" t="s">
        <v>762</v>
      </c>
      <c r="J31" s="85" t="s">
        <v>1348</v>
      </c>
      <c r="K31" s="11" t="s">
        <v>1344</v>
      </c>
      <c r="L31" s="11">
        <v>14</v>
      </c>
      <c r="M31" s="11">
        <f t="shared" si="1"/>
        <v>16</v>
      </c>
      <c r="N31" s="11" t="e">
        <f>VLOOKUP($G31, 'ADP Data'!$B$4:$Q$300, 6, FALSE)</f>
        <v>#N/A</v>
      </c>
      <c r="O31" s="11" t="e">
        <f>VLOOKUP($G31, 'ADP Data'!$B$4:$Q$300, 10, FALSE)</f>
        <v>#N/A</v>
      </c>
      <c r="P31" s="11" t="e">
        <f>VLOOKUP($G31, 'ADP Data'!$B$4:$Q$300, 4, FALSE)</f>
        <v>#N/A</v>
      </c>
      <c r="Q31" s="11" t="e">
        <f>VLOOKUP($G31, 'ADP Data'!$B$4:$Q$300, 5, FALSE)</f>
        <v>#N/A</v>
      </c>
      <c r="R31" s="11" t="e">
        <f>VLOOKUP($G31, 'ADP Data'!$B$4:$Q$300, 7, FALSE)</f>
        <v>#N/A</v>
      </c>
      <c r="S31" s="11" t="e">
        <f>VLOOKUP($G31, 'ADP Data'!$B$4:$Q$300, 8, FALSE)</f>
        <v>#N/A</v>
      </c>
      <c r="T31" s="11" t="e">
        <f>VLOOKUP($G31, 'ADP Data'!$B$4:$Q$300, 9, FALSE)</f>
        <v>#N/A</v>
      </c>
      <c r="U31" s="11" t="e">
        <f t="shared" si="2"/>
        <v>#N/A</v>
      </c>
      <c r="V31" s="11" t="s">
        <v>1349</v>
      </c>
    </row>
    <row r="32" spans="1:22" ht="14.25" customHeight="1" x14ac:dyDescent="0.25">
      <c r="A32" s="11"/>
      <c r="B32" s="11" t="e">
        <f t="shared" si="0"/>
        <v>#N/A</v>
      </c>
      <c r="C32" s="11" t="s">
        <v>148</v>
      </c>
      <c r="D32" s="11">
        <v>37</v>
      </c>
      <c r="E32" s="11">
        <v>22</v>
      </c>
      <c r="F32" s="11"/>
      <c r="G32" s="11" t="s">
        <v>103</v>
      </c>
      <c r="H32" s="11" t="s">
        <v>229</v>
      </c>
      <c r="I32" s="11" t="s">
        <v>764</v>
      </c>
      <c r="J32" s="85">
        <v>8</v>
      </c>
      <c r="K32" s="11" t="s">
        <v>1342</v>
      </c>
      <c r="L32" s="11">
        <v>9</v>
      </c>
      <c r="M32" s="11">
        <f t="shared" si="1"/>
        <v>16</v>
      </c>
      <c r="N32" s="11" t="e">
        <f>VLOOKUP($G32, 'ADP Data'!$B$4:$Q$300, 6, FALSE)</f>
        <v>#N/A</v>
      </c>
      <c r="O32" s="11" t="e">
        <f>VLOOKUP($G32, 'ADP Data'!$B$4:$Q$300, 10, FALSE)</f>
        <v>#N/A</v>
      </c>
      <c r="P32" s="11" t="e">
        <f>VLOOKUP($G32, 'ADP Data'!$B$4:$Q$300, 4, FALSE)</f>
        <v>#N/A</v>
      </c>
      <c r="Q32" s="11" t="e">
        <f>VLOOKUP($G32, 'ADP Data'!$B$4:$Q$300, 5, FALSE)</f>
        <v>#N/A</v>
      </c>
      <c r="R32" s="11" t="e">
        <f>VLOOKUP($G32, 'ADP Data'!$B$4:$Q$300, 7, FALSE)</f>
        <v>#N/A</v>
      </c>
      <c r="S32" s="11" t="e">
        <f>VLOOKUP($G32, 'ADP Data'!$B$4:$Q$300, 8, FALSE)</f>
        <v>#N/A</v>
      </c>
      <c r="T32" s="11" t="e">
        <f>VLOOKUP($G32, 'ADP Data'!$B$4:$Q$300, 9, FALSE)</f>
        <v>#N/A</v>
      </c>
      <c r="U32" s="11" t="e">
        <f t="shared" si="2"/>
        <v>#N/A</v>
      </c>
      <c r="V32" s="11"/>
    </row>
    <row r="33" spans="1:22" ht="14.25" customHeight="1" x14ac:dyDescent="0.25">
      <c r="A33" s="11"/>
      <c r="B33" s="11" t="e">
        <f t="shared" si="0"/>
        <v>#N/A</v>
      </c>
      <c r="C33" s="11" t="s">
        <v>148</v>
      </c>
      <c r="D33" s="11">
        <v>27</v>
      </c>
      <c r="E33" s="11">
        <v>25</v>
      </c>
      <c r="F33" s="11"/>
      <c r="G33" s="11" t="s">
        <v>409</v>
      </c>
      <c r="H33" s="11" t="s">
        <v>88</v>
      </c>
      <c r="I33" s="11" t="s">
        <v>764</v>
      </c>
      <c r="J33" s="85">
        <v>9</v>
      </c>
      <c r="K33" s="11" t="s">
        <v>1342</v>
      </c>
      <c r="L33" s="11">
        <v>10</v>
      </c>
      <c r="M33" s="11">
        <f t="shared" si="1"/>
        <v>16</v>
      </c>
      <c r="N33" s="11" t="e">
        <f>VLOOKUP($G33, 'ADP Data'!$B$4:$Q$300, 6, FALSE)</f>
        <v>#N/A</v>
      </c>
      <c r="O33" s="11" t="e">
        <f>VLOOKUP($G33, 'ADP Data'!$B$4:$Q$300, 10, FALSE)</f>
        <v>#N/A</v>
      </c>
      <c r="P33" s="11" t="e">
        <f>VLOOKUP($G33, 'ADP Data'!$B$4:$Q$300, 4, FALSE)</f>
        <v>#N/A</v>
      </c>
      <c r="Q33" s="11" t="e">
        <f>VLOOKUP($G33, 'ADP Data'!$B$4:$Q$300, 5, FALSE)</f>
        <v>#N/A</v>
      </c>
      <c r="R33" s="11" t="e">
        <f>VLOOKUP($G33, 'ADP Data'!$B$4:$Q$300, 7, FALSE)</f>
        <v>#N/A</v>
      </c>
      <c r="S33" s="11" t="e">
        <f>VLOOKUP($G33, 'ADP Data'!$B$4:$Q$300, 8, FALSE)</f>
        <v>#N/A</v>
      </c>
      <c r="T33" s="11" t="e">
        <f>VLOOKUP($G33, 'ADP Data'!$B$4:$Q$300, 9, FALSE)</f>
        <v>#N/A</v>
      </c>
      <c r="U33" s="11" t="e">
        <f t="shared" si="2"/>
        <v>#N/A</v>
      </c>
      <c r="V33" s="11"/>
    </row>
    <row r="34" spans="1:22" ht="14.25" customHeight="1" x14ac:dyDescent="0.25">
      <c r="A34" s="11"/>
      <c r="B34" s="11" t="e">
        <f t="shared" si="0"/>
        <v>#N/A</v>
      </c>
      <c r="C34" s="11" t="s">
        <v>148</v>
      </c>
      <c r="D34" s="11">
        <v>40</v>
      </c>
      <c r="E34" s="11">
        <v>25</v>
      </c>
      <c r="F34" s="11"/>
      <c r="G34" s="11" t="s">
        <v>248</v>
      </c>
      <c r="H34" s="11" t="s">
        <v>52</v>
      </c>
      <c r="I34" s="11" t="s">
        <v>764</v>
      </c>
      <c r="J34" s="85">
        <v>6</v>
      </c>
      <c r="K34" s="11" t="s">
        <v>1342</v>
      </c>
      <c r="L34" s="11">
        <v>11</v>
      </c>
      <c r="M34" s="11">
        <f t="shared" si="1"/>
        <v>16</v>
      </c>
      <c r="N34" s="11" t="e">
        <f>VLOOKUP($G34, 'ADP Data'!$B$4:$Q$300, 6, FALSE)</f>
        <v>#N/A</v>
      </c>
      <c r="O34" s="11" t="e">
        <f>VLOOKUP($G34, 'ADP Data'!$B$4:$Q$300, 10, FALSE)</f>
        <v>#N/A</v>
      </c>
      <c r="P34" s="11" t="e">
        <f>VLOOKUP($G34, 'ADP Data'!$B$4:$Q$300, 4, FALSE)</f>
        <v>#N/A</v>
      </c>
      <c r="Q34" s="11" t="e">
        <f>VLOOKUP($G34, 'ADP Data'!$B$4:$Q$300, 5, FALSE)</f>
        <v>#N/A</v>
      </c>
      <c r="R34" s="11" t="e">
        <f>VLOOKUP($G34, 'ADP Data'!$B$4:$Q$300, 7, FALSE)</f>
        <v>#N/A</v>
      </c>
      <c r="S34" s="11" t="e">
        <f>VLOOKUP($G34, 'ADP Data'!$B$4:$Q$300, 8, FALSE)</f>
        <v>#N/A</v>
      </c>
      <c r="T34" s="11" t="e">
        <f>VLOOKUP($G34, 'ADP Data'!$B$4:$Q$300, 9, FALSE)</f>
        <v>#N/A</v>
      </c>
      <c r="U34" s="11" t="e">
        <f t="shared" si="2"/>
        <v>#N/A</v>
      </c>
      <c r="V34" s="11"/>
    </row>
    <row r="35" spans="1:22" ht="14.25" customHeight="1" x14ac:dyDescent="0.25">
      <c r="A35" s="11"/>
      <c r="B35" s="11" t="e">
        <f t="shared" si="0"/>
        <v>#N/A</v>
      </c>
      <c r="C35" s="11" t="s">
        <v>148</v>
      </c>
      <c r="D35" s="11">
        <v>14</v>
      </c>
      <c r="E35" s="11">
        <v>8</v>
      </c>
      <c r="F35" s="11"/>
      <c r="G35" s="11" t="s">
        <v>355</v>
      </c>
      <c r="H35" s="11" t="s">
        <v>123</v>
      </c>
      <c r="I35" s="11" t="s">
        <v>760</v>
      </c>
      <c r="J35" s="85">
        <v>3</v>
      </c>
      <c r="K35" s="11" t="s">
        <v>327</v>
      </c>
      <c r="L35" s="11">
        <v>2</v>
      </c>
      <c r="M35" s="11">
        <f t="shared" si="1"/>
        <v>16</v>
      </c>
      <c r="N35" s="11" t="e">
        <f>VLOOKUP($G35, 'ADP Data'!$B$4:$Q$300, 6, FALSE)</f>
        <v>#N/A</v>
      </c>
      <c r="O35" s="11" t="e">
        <f>VLOOKUP($G35, 'ADP Data'!$B$4:$Q$300, 10, FALSE)</f>
        <v>#N/A</v>
      </c>
      <c r="P35" s="11" t="e">
        <f>VLOOKUP($G35, 'ADP Data'!$B$4:$Q$300, 4, FALSE)</f>
        <v>#N/A</v>
      </c>
      <c r="Q35" s="11" t="e">
        <f>VLOOKUP($G35, 'ADP Data'!$B$4:$Q$300, 5, FALSE)</f>
        <v>#N/A</v>
      </c>
      <c r="R35" s="11" t="e">
        <f>VLOOKUP($G35, 'ADP Data'!$B$4:$Q$300, 7, FALSE)</f>
        <v>#N/A</v>
      </c>
      <c r="S35" s="11" t="e">
        <f>VLOOKUP($G35, 'ADP Data'!$B$4:$Q$300, 8, FALSE)</f>
        <v>#N/A</v>
      </c>
      <c r="T35" s="11" t="e">
        <f>VLOOKUP($G35, 'ADP Data'!$B$4:$Q$300, 9, FALSE)</f>
        <v>#N/A</v>
      </c>
      <c r="U35" s="11" t="e">
        <f t="shared" si="2"/>
        <v>#N/A</v>
      </c>
      <c r="V35" s="60"/>
    </row>
    <row r="36" spans="1:22" ht="14.25" customHeight="1" x14ac:dyDescent="0.25">
      <c r="A36" s="11"/>
      <c r="B36" s="11" t="e">
        <f t="shared" si="0"/>
        <v>#N/A</v>
      </c>
      <c r="C36" s="11" t="s">
        <v>148</v>
      </c>
      <c r="D36" s="11">
        <v>36</v>
      </c>
      <c r="E36" s="11">
        <v>25</v>
      </c>
      <c r="F36" s="11"/>
      <c r="G36" s="11" t="s">
        <v>220</v>
      </c>
      <c r="H36" s="11" t="s">
        <v>163</v>
      </c>
      <c r="I36" s="11" t="s">
        <v>764</v>
      </c>
      <c r="J36" s="85" t="s">
        <v>1343</v>
      </c>
      <c r="K36" s="11" t="s">
        <v>1342</v>
      </c>
      <c r="L36" s="11">
        <v>12</v>
      </c>
      <c r="M36" s="11">
        <f t="shared" si="1"/>
        <v>16</v>
      </c>
      <c r="N36" s="11" t="e">
        <f>VLOOKUP($G36, 'ADP Data'!$B$4:$Q$300, 6, FALSE)</f>
        <v>#N/A</v>
      </c>
      <c r="O36" s="11" t="e">
        <f>VLOOKUP($G36, 'ADP Data'!$B$4:$Q$300, 10, FALSE)</f>
        <v>#N/A</v>
      </c>
      <c r="P36" s="11" t="e">
        <f>VLOOKUP($G36, 'ADP Data'!$B$4:$Q$300, 4, FALSE)</f>
        <v>#N/A</v>
      </c>
      <c r="Q36" s="11" t="e">
        <f>VLOOKUP($G36, 'ADP Data'!$B$4:$Q$300, 5, FALSE)</f>
        <v>#N/A</v>
      </c>
      <c r="R36" s="11" t="e">
        <f>VLOOKUP($G36, 'ADP Data'!$B$4:$Q$300, 7, FALSE)</f>
        <v>#N/A</v>
      </c>
      <c r="S36" s="11" t="e">
        <f>VLOOKUP($G36, 'ADP Data'!$B$4:$Q$300, 8, FALSE)</f>
        <v>#N/A</v>
      </c>
      <c r="T36" s="11" t="e">
        <f>VLOOKUP($G36, 'ADP Data'!$B$4:$Q$300, 9, FALSE)</f>
        <v>#N/A</v>
      </c>
      <c r="U36" s="11" t="e">
        <f t="shared" si="2"/>
        <v>#N/A</v>
      </c>
      <c r="V36" s="11" t="s">
        <v>1368</v>
      </c>
    </row>
    <row r="37" spans="1:22" ht="14.25" customHeight="1" x14ac:dyDescent="0.25">
      <c r="A37" s="11"/>
      <c r="B37" s="11" t="e">
        <f t="shared" si="0"/>
        <v>#N/A</v>
      </c>
      <c r="C37" s="11" t="s">
        <v>148</v>
      </c>
      <c r="D37" s="11">
        <v>32</v>
      </c>
      <c r="E37" s="11">
        <v>20</v>
      </c>
      <c r="F37" s="11"/>
      <c r="G37" s="11" t="s">
        <v>68</v>
      </c>
      <c r="H37" s="11" t="s">
        <v>69</v>
      </c>
      <c r="I37" s="11" t="s">
        <v>764</v>
      </c>
      <c r="J37" s="85" t="s">
        <v>1340</v>
      </c>
      <c r="K37" s="11" t="s">
        <v>1372</v>
      </c>
      <c r="L37" s="11">
        <v>13</v>
      </c>
      <c r="M37" s="11">
        <f t="shared" si="1"/>
        <v>16</v>
      </c>
      <c r="N37" s="11" t="e">
        <f>VLOOKUP($G37, 'ADP Data'!$B$4:$Q$300, 6, FALSE)</f>
        <v>#N/A</v>
      </c>
      <c r="O37" s="11" t="e">
        <f>VLOOKUP($G37, 'ADP Data'!$B$4:$Q$300, 10, FALSE)</f>
        <v>#N/A</v>
      </c>
      <c r="P37" s="11" t="e">
        <f>VLOOKUP($G37, 'ADP Data'!$B$4:$Q$300, 4, FALSE)</f>
        <v>#N/A</v>
      </c>
      <c r="Q37" s="11" t="e">
        <f>VLOOKUP($G37, 'ADP Data'!$B$4:$Q$300, 5, FALSE)</f>
        <v>#N/A</v>
      </c>
      <c r="R37" s="11" t="e">
        <f>VLOOKUP($G37, 'ADP Data'!$B$4:$Q$300, 7, FALSE)</f>
        <v>#N/A</v>
      </c>
      <c r="S37" s="11" t="e">
        <f>VLOOKUP($G37, 'ADP Data'!$B$4:$Q$300, 8, FALSE)</f>
        <v>#N/A</v>
      </c>
      <c r="T37" s="11" t="e">
        <f>VLOOKUP($G37, 'ADP Data'!$B$4:$Q$300, 9, FALSE)</f>
        <v>#N/A</v>
      </c>
      <c r="U37" s="11" t="e">
        <f t="shared" si="2"/>
        <v>#N/A</v>
      </c>
      <c r="V37" s="11"/>
    </row>
    <row r="38" spans="1:22" ht="14.25" customHeight="1" x14ac:dyDescent="0.25">
      <c r="A38" s="11"/>
      <c r="B38" s="11" t="e">
        <f t="shared" si="0"/>
        <v>#N/A</v>
      </c>
      <c r="C38" s="11" t="s">
        <v>148</v>
      </c>
      <c r="D38" s="11">
        <v>21</v>
      </c>
      <c r="E38" s="11">
        <v>20</v>
      </c>
      <c r="F38" s="11"/>
      <c r="G38" s="11" t="s">
        <v>810</v>
      </c>
      <c r="H38" s="11" t="s">
        <v>69</v>
      </c>
      <c r="I38" s="11" t="s">
        <v>764</v>
      </c>
      <c r="J38" s="85" t="s">
        <v>1375</v>
      </c>
      <c r="K38" s="11" t="s">
        <v>1372</v>
      </c>
      <c r="L38" s="11">
        <v>14</v>
      </c>
      <c r="M38" s="11">
        <f t="shared" si="1"/>
        <v>16</v>
      </c>
      <c r="N38" s="11" t="e">
        <f>VLOOKUP($G38, 'ADP Data'!$B$4:$Q$300, 6, FALSE)</f>
        <v>#N/A</v>
      </c>
      <c r="O38" s="11" t="e">
        <f>VLOOKUP($G38, 'ADP Data'!$B$4:$Q$300, 10, FALSE)</f>
        <v>#N/A</v>
      </c>
      <c r="P38" s="11" t="e">
        <f>VLOOKUP($G38, 'ADP Data'!$B$4:$Q$300, 4, FALSE)</f>
        <v>#N/A</v>
      </c>
      <c r="Q38" s="11" t="e">
        <f>VLOOKUP($G38, 'ADP Data'!$B$4:$Q$300, 5, FALSE)</f>
        <v>#N/A</v>
      </c>
      <c r="R38" s="11" t="e">
        <f>VLOOKUP($G38, 'ADP Data'!$B$4:$Q$300, 7, FALSE)</f>
        <v>#N/A</v>
      </c>
      <c r="S38" s="11" t="e">
        <f>VLOOKUP($G38, 'ADP Data'!$B$4:$Q$300, 8, FALSE)</f>
        <v>#N/A</v>
      </c>
      <c r="T38" s="11" t="e">
        <f>VLOOKUP($G38, 'ADP Data'!$B$4:$Q$300, 9, FALSE)</f>
        <v>#N/A</v>
      </c>
      <c r="U38" s="11" t="e">
        <f t="shared" si="2"/>
        <v>#N/A</v>
      </c>
      <c r="V38" s="11"/>
    </row>
    <row r="39" spans="1:22" ht="14.25" customHeight="1" x14ac:dyDescent="0.25">
      <c r="A39" s="11"/>
      <c r="B39" s="11" t="e">
        <f t="shared" si="0"/>
        <v>#N/A</v>
      </c>
      <c r="C39" s="11" t="s">
        <v>148</v>
      </c>
      <c r="D39" s="11">
        <v>34</v>
      </c>
      <c r="E39" s="11">
        <v>35</v>
      </c>
      <c r="F39" s="11"/>
      <c r="G39" s="11" t="s">
        <v>1377</v>
      </c>
      <c r="H39" s="11" t="s">
        <v>52</v>
      </c>
      <c r="I39" s="11" t="s">
        <v>762</v>
      </c>
      <c r="J39" s="85" t="s">
        <v>1378</v>
      </c>
      <c r="K39" s="11" t="s">
        <v>1344</v>
      </c>
      <c r="L39" s="11">
        <v>15</v>
      </c>
      <c r="M39" s="11">
        <f t="shared" si="1"/>
        <v>16</v>
      </c>
      <c r="N39" s="11" t="e">
        <f>VLOOKUP($G39, 'ADP Data'!$B$4:$Q$300, 6, FALSE)</f>
        <v>#N/A</v>
      </c>
      <c r="O39" s="11" t="e">
        <f>VLOOKUP($G39, 'ADP Data'!$B$4:$Q$300, 10, FALSE)</f>
        <v>#N/A</v>
      </c>
      <c r="P39" s="11" t="e">
        <f>VLOOKUP($G39, 'ADP Data'!$B$4:$Q$300, 4, FALSE)</f>
        <v>#N/A</v>
      </c>
      <c r="Q39" s="11" t="e">
        <f>VLOOKUP($G39, 'ADP Data'!$B$4:$Q$300, 5, FALSE)</f>
        <v>#N/A</v>
      </c>
      <c r="R39" s="11" t="e">
        <f>VLOOKUP($G39, 'ADP Data'!$B$4:$Q$300, 7, FALSE)</f>
        <v>#N/A</v>
      </c>
      <c r="S39" s="11" t="e">
        <f>VLOOKUP($G39, 'ADP Data'!$B$4:$Q$300, 8, FALSE)</f>
        <v>#N/A</v>
      </c>
      <c r="T39" s="11" t="e">
        <f>VLOOKUP($G39, 'ADP Data'!$B$4:$Q$300, 9, FALSE)</f>
        <v>#N/A</v>
      </c>
      <c r="U39" s="11" t="e">
        <f t="shared" si="2"/>
        <v>#N/A</v>
      </c>
      <c r="V39" s="11"/>
    </row>
    <row r="40" spans="1:22" ht="14.25" customHeight="1" x14ac:dyDescent="0.25">
      <c r="A40" s="11"/>
      <c r="B40" s="11" t="e">
        <f t="shared" si="0"/>
        <v>#N/A</v>
      </c>
      <c r="C40" s="11" t="s">
        <v>148</v>
      </c>
      <c r="D40" s="11">
        <v>25</v>
      </c>
      <c r="E40" s="11">
        <v>25</v>
      </c>
      <c r="F40" s="11"/>
      <c r="G40" s="11" t="s">
        <v>264</v>
      </c>
      <c r="H40" s="11" t="s">
        <v>163</v>
      </c>
      <c r="I40" s="11" t="s">
        <v>764</v>
      </c>
      <c r="J40" s="85" t="s">
        <v>1348</v>
      </c>
      <c r="K40" s="11" t="s">
        <v>1342</v>
      </c>
      <c r="L40" s="11">
        <v>15</v>
      </c>
      <c r="M40" s="11">
        <f t="shared" si="1"/>
        <v>16</v>
      </c>
      <c r="N40" s="11" t="e">
        <f>VLOOKUP($G40, 'ADP Data'!$B$4:$Q$300, 6, FALSE)</f>
        <v>#N/A</v>
      </c>
      <c r="O40" s="11" t="e">
        <f>VLOOKUP($G40, 'ADP Data'!$B$4:$Q$300, 10, FALSE)</f>
        <v>#N/A</v>
      </c>
      <c r="P40" s="11" t="e">
        <f>VLOOKUP($G40, 'ADP Data'!$B$4:$Q$300, 4, FALSE)</f>
        <v>#N/A</v>
      </c>
      <c r="Q40" s="11" t="e">
        <f>VLOOKUP($G40, 'ADP Data'!$B$4:$Q$300, 5, FALSE)</f>
        <v>#N/A</v>
      </c>
      <c r="R40" s="11" t="e">
        <f>VLOOKUP($G40, 'ADP Data'!$B$4:$Q$300, 7, FALSE)</f>
        <v>#N/A</v>
      </c>
      <c r="S40" s="11" t="e">
        <f>VLOOKUP($G40, 'ADP Data'!$B$4:$Q$300, 8, FALSE)</f>
        <v>#N/A</v>
      </c>
      <c r="T40" s="11" t="e">
        <f>VLOOKUP($G40, 'ADP Data'!$B$4:$Q$300, 9, FALSE)</f>
        <v>#N/A</v>
      </c>
      <c r="U40" s="11" t="e">
        <f t="shared" si="2"/>
        <v>#N/A</v>
      </c>
      <c r="V40" s="11"/>
    </row>
    <row r="41" spans="1:22" ht="14.25" customHeight="1" x14ac:dyDescent="0.25">
      <c r="A41" s="11"/>
      <c r="B41" s="11" t="e">
        <f t="shared" si="0"/>
        <v>#N/A</v>
      </c>
      <c r="C41" s="11" t="s">
        <v>148</v>
      </c>
      <c r="D41" s="11">
        <v>32</v>
      </c>
      <c r="E41" s="60">
        <v>25</v>
      </c>
      <c r="F41" s="60"/>
      <c r="G41" s="60" t="s">
        <v>1302</v>
      </c>
      <c r="H41" s="60" t="s">
        <v>199</v>
      </c>
      <c r="I41" s="60" t="s">
        <v>762</v>
      </c>
      <c r="J41" s="60" t="s">
        <v>1382</v>
      </c>
      <c r="K41" s="60" t="s">
        <v>1344</v>
      </c>
      <c r="L41" s="11">
        <v>16</v>
      </c>
      <c r="M41" s="11">
        <f t="shared" si="1"/>
        <v>16</v>
      </c>
      <c r="N41" s="11" t="e">
        <f>VLOOKUP($G41, 'ADP Data'!$B$4:$Q$300, 6, FALSE)</f>
        <v>#N/A</v>
      </c>
      <c r="O41" s="11" t="e">
        <f>VLOOKUP($G41, 'ADP Data'!$B$4:$Q$300, 10, FALSE)</f>
        <v>#N/A</v>
      </c>
      <c r="P41" s="11" t="e">
        <f>VLOOKUP($G41, 'ADP Data'!$B$4:$Q$300, 4, FALSE)</f>
        <v>#N/A</v>
      </c>
      <c r="Q41" s="11" t="e">
        <f>VLOOKUP($G41, 'ADP Data'!$B$4:$Q$300, 5, FALSE)</f>
        <v>#N/A</v>
      </c>
      <c r="R41" s="11" t="e">
        <f>VLOOKUP($G41, 'ADP Data'!$B$4:$Q$300, 7, FALSE)</f>
        <v>#N/A</v>
      </c>
      <c r="S41" s="11" t="e">
        <f>VLOOKUP($G41, 'ADP Data'!$B$4:$Q$300, 8, FALSE)</f>
        <v>#N/A</v>
      </c>
      <c r="T41" s="11" t="e">
        <f>VLOOKUP($G41, 'ADP Data'!$B$4:$Q$300, 9, FALSE)</f>
        <v>#N/A</v>
      </c>
      <c r="U41" s="11" t="e">
        <f t="shared" si="2"/>
        <v>#N/A</v>
      </c>
      <c r="V41" s="60"/>
    </row>
    <row r="42" spans="1:22" ht="14.25" customHeight="1" x14ac:dyDescent="0.25">
      <c r="A42" s="11"/>
      <c r="B42" s="11" t="e">
        <f t="shared" si="0"/>
        <v>#N/A</v>
      </c>
      <c r="C42" s="11" t="s">
        <v>148</v>
      </c>
      <c r="D42" s="11">
        <v>39</v>
      </c>
      <c r="E42" s="60">
        <v>30</v>
      </c>
      <c r="F42" s="60"/>
      <c r="G42" s="60" t="s">
        <v>964</v>
      </c>
      <c r="H42" s="60" t="s">
        <v>85</v>
      </c>
      <c r="I42" s="60" t="s">
        <v>762</v>
      </c>
      <c r="J42" s="85" t="s">
        <v>1383</v>
      </c>
      <c r="K42" s="60" t="s">
        <v>1384</v>
      </c>
      <c r="L42" s="92">
        <v>17</v>
      </c>
      <c r="M42" s="11">
        <f t="shared" si="1"/>
        <v>16</v>
      </c>
      <c r="N42" s="11" t="e">
        <f>VLOOKUP($G42, 'ADP Data'!$B$4:$Q$300, 6, FALSE)</f>
        <v>#N/A</v>
      </c>
      <c r="O42" s="11" t="e">
        <f>VLOOKUP($G42, 'ADP Data'!$B$4:$Q$300, 10, FALSE)</f>
        <v>#N/A</v>
      </c>
      <c r="P42" s="11" t="e">
        <f>VLOOKUP($G42, 'ADP Data'!$B$4:$Q$300, 4, FALSE)</f>
        <v>#N/A</v>
      </c>
      <c r="Q42" s="11" t="e">
        <f>VLOOKUP($G42, 'ADP Data'!$B$4:$Q$300, 5, FALSE)</f>
        <v>#N/A</v>
      </c>
      <c r="R42" s="11" t="e">
        <f>VLOOKUP($G42, 'ADP Data'!$B$4:$Q$300, 7, FALSE)</f>
        <v>#N/A</v>
      </c>
      <c r="S42" s="11" t="e">
        <f>VLOOKUP($G42, 'ADP Data'!$B$4:$Q$300, 8, FALSE)</f>
        <v>#N/A</v>
      </c>
      <c r="T42" s="11" t="e">
        <f>VLOOKUP($G42, 'ADP Data'!$B$4:$Q$300, 9, FALSE)</f>
        <v>#N/A</v>
      </c>
      <c r="U42" s="11" t="e">
        <f t="shared" si="2"/>
        <v>#N/A</v>
      </c>
      <c r="V42" s="60"/>
    </row>
    <row r="43" spans="1:22" ht="14.25" customHeight="1" x14ac:dyDescent="0.25">
      <c r="A43" s="11"/>
      <c r="B43" s="11" t="e">
        <f t="shared" si="0"/>
        <v>#N/A</v>
      </c>
      <c r="C43" s="11" t="s">
        <v>148</v>
      </c>
      <c r="D43" s="11">
        <v>25</v>
      </c>
      <c r="E43" s="11">
        <v>20</v>
      </c>
      <c r="F43" s="11"/>
      <c r="G43" s="11" t="s">
        <v>1207</v>
      </c>
      <c r="H43" s="11" t="s">
        <v>49</v>
      </c>
      <c r="I43" s="11" t="s">
        <v>764</v>
      </c>
      <c r="J43" s="85" t="s">
        <v>1383</v>
      </c>
      <c r="K43" s="11" t="s">
        <v>1389</v>
      </c>
      <c r="L43" s="11">
        <v>16</v>
      </c>
      <c r="M43" s="11">
        <f t="shared" si="1"/>
        <v>16</v>
      </c>
      <c r="N43" s="11" t="e">
        <f>VLOOKUP($G43, 'ADP Data'!$B$4:$Q$300, 6, FALSE)</f>
        <v>#N/A</v>
      </c>
      <c r="O43" s="11" t="e">
        <f>VLOOKUP($G43, 'ADP Data'!$B$4:$Q$300, 10, FALSE)</f>
        <v>#N/A</v>
      </c>
      <c r="P43" s="11" t="e">
        <f>VLOOKUP($G43, 'ADP Data'!$B$4:$Q$300, 4, FALSE)</f>
        <v>#N/A</v>
      </c>
      <c r="Q43" s="11" t="e">
        <f>VLOOKUP($G43, 'ADP Data'!$B$4:$Q$300, 5, FALSE)</f>
        <v>#N/A</v>
      </c>
      <c r="R43" s="11" t="e">
        <f>VLOOKUP($G43, 'ADP Data'!$B$4:$Q$300, 7, FALSE)</f>
        <v>#N/A</v>
      </c>
      <c r="S43" s="11" t="e">
        <f>VLOOKUP($G43, 'ADP Data'!$B$4:$Q$300, 8, FALSE)</f>
        <v>#N/A</v>
      </c>
      <c r="T43" s="11" t="e">
        <f>VLOOKUP($G43, 'ADP Data'!$B$4:$Q$300, 9, FALSE)</f>
        <v>#N/A</v>
      </c>
      <c r="U43" s="11" t="e">
        <f t="shared" si="2"/>
        <v>#N/A</v>
      </c>
      <c r="V43" s="11"/>
    </row>
    <row r="44" spans="1:22" ht="14.25" customHeight="1" x14ac:dyDescent="0.25">
      <c r="A44" s="11"/>
      <c r="B44" s="11" t="e">
        <f t="shared" si="0"/>
        <v>#N/A</v>
      </c>
      <c r="C44" s="11" t="s">
        <v>148</v>
      </c>
      <c r="D44" s="11">
        <v>25</v>
      </c>
      <c r="E44" s="60">
        <v>24</v>
      </c>
      <c r="F44" s="60"/>
      <c r="G44" s="45" t="s">
        <v>970</v>
      </c>
      <c r="H44" s="60" t="s">
        <v>78</v>
      </c>
      <c r="I44" s="60" t="s">
        <v>762</v>
      </c>
      <c r="J44" s="85" t="s">
        <v>1393</v>
      </c>
      <c r="K44" s="60" t="s">
        <v>1394</v>
      </c>
      <c r="L44" s="11">
        <v>18</v>
      </c>
      <c r="M44" s="11">
        <f t="shared" si="1"/>
        <v>16</v>
      </c>
      <c r="N44" s="11" t="e">
        <f>VLOOKUP($G44, 'ADP Data'!$B$4:$Q$300, 6, FALSE)</f>
        <v>#N/A</v>
      </c>
      <c r="O44" s="11" t="e">
        <f>VLOOKUP($G44, 'ADP Data'!$B$4:$Q$300, 10, FALSE)</f>
        <v>#N/A</v>
      </c>
      <c r="P44" s="11" t="e">
        <f>VLOOKUP($G44, 'ADP Data'!$B$4:$Q$300, 4, FALSE)</f>
        <v>#N/A</v>
      </c>
      <c r="Q44" s="11" t="e">
        <f>VLOOKUP($G44, 'ADP Data'!$B$4:$Q$300, 5, FALSE)</f>
        <v>#N/A</v>
      </c>
      <c r="R44" s="11" t="e">
        <f>VLOOKUP($G44, 'ADP Data'!$B$4:$Q$300, 7, FALSE)</f>
        <v>#N/A</v>
      </c>
      <c r="S44" s="11" t="e">
        <f>VLOOKUP($G44, 'ADP Data'!$B$4:$Q$300, 8, FALSE)</f>
        <v>#N/A</v>
      </c>
      <c r="T44" s="11" t="e">
        <f>VLOOKUP($G44, 'ADP Data'!$B$4:$Q$300, 9, FALSE)</f>
        <v>#N/A</v>
      </c>
      <c r="U44" s="11" t="e">
        <f t="shared" si="2"/>
        <v>#N/A</v>
      </c>
      <c r="V44" s="60" t="s">
        <v>1396</v>
      </c>
    </row>
    <row r="45" spans="1:22" ht="14.25" customHeight="1" x14ac:dyDescent="0.25">
      <c r="A45" s="11"/>
      <c r="B45" s="11" t="e">
        <f t="shared" si="0"/>
        <v>#N/A</v>
      </c>
      <c r="C45" s="11" t="s">
        <v>148</v>
      </c>
      <c r="D45" s="11">
        <v>23</v>
      </c>
      <c r="E45" s="11">
        <v>20</v>
      </c>
      <c r="F45" s="11" t="s">
        <v>148</v>
      </c>
      <c r="G45" s="45" t="s">
        <v>908</v>
      </c>
      <c r="H45" s="11" t="s">
        <v>52</v>
      </c>
      <c r="I45" s="11" t="s">
        <v>764</v>
      </c>
      <c r="J45" s="85" t="s">
        <v>1393</v>
      </c>
      <c r="K45" s="11" t="s">
        <v>1372</v>
      </c>
      <c r="L45" s="11">
        <v>17</v>
      </c>
      <c r="M45" s="11">
        <f t="shared" si="1"/>
        <v>16</v>
      </c>
      <c r="N45" s="11" t="e">
        <f>VLOOKUP($G45, 'ADP Data'!$B$4:$Q$300, 6, FALSE)</f>
        <v>#N/A</v>
      </c>
      <c r="O45" s="11" t="e">
        <f>VLOOKUP($G45, 'ADP Data'!$B$4:$Q$300, 10, FALSE)</f>
        <v>#N/A</v>
      </c>
      <c r="P45" s="11" t="e">
        <f>VLOOKUP($G45, 'ADP Data'!$B$4:$Q$300, 4, FALSE)</f>
        <v>#N/A</v>
      </c>
      <c r="Q45" s="11" t="e">
        <f>VLOOKUP($G45, 'ADP Data'!$B$4:$Q$300, 5, FALSE)</f>
        <v>#N/A</v>
      </c>
      <c r="R45" s="11" t="e">
        <f>VLOOKUP($G45, 'ADP Data'!$B$4:$Q$300, 7, FALSE)</f>
        <v>#N/A</v>
      </c>
      <c r="S45" s="11" t="e">
        <f>VLOOKUP($G45, 'ADP Data'!$B$4:$Q$300, 8, FALSE)</f>
        <v>#N/A</v>
      </c>
      <c r="T45" s="11" t="e">
        <f>VLOOKUP($G45, 'ADP Data'!$B$4:$Q$300, 9, FALSE)</f>
        <v>#N/A</v>
      </c>
      <c r="U45" s="11" t="e">
        <f t="shared" si="2"/>
        <v>#N/A</v>
      </c>
      <c r="V45" s="11"/>
    </row>
    <row r="46" spans="1:22" ht="14.25" customHeight="1" x14ac:dyDescent="0.25">
      <c r="A46" s="11" t="s">
        <v>1156</v>
      </c>
      <c r="B46" s="11" t="e">
        <f t="shared" si="0"/>
        <v>#N/A</v>
      </c>
      <c r="C46" s="11" t="s">
        <v>148</v>
      </c>
      <c r="D46" s="11">
        <v>8</v>
      </c>
      <c r="E46" s="11">
        <v>8</v>
      </c>
      <c r="F46" s="11"/>
      <c r="G46" s="11" t="s">
        <v>174</v>
      </c>
      <c r="H46" s="11" t="s">
        <v>91</v>
      </c>
      <c r="I46" s="11" t="s">
        <v>760</v>
      </c>
      <c r="J46" s="85">
        <v>4</v>
      </c>
      <c r="K46" s="11" t="s">
        <v>1401</v>
      </c>
      <c r="L46" s="11">
        <v>3</v>
      </c>
      <c r="M46" s="11">
        <f t="shared" si="1"/>
        <v>16</v>
      </c>
      <c r="N46" s="11" t="e">
        <f>VLOOKUP($G46, 'ADP Data'!$B$4:$Q$300, 6, FALSE)</f>
        <v>#N/A</v>
      </c>
      <c r="O46" s="11" t="e">
        <f>VLOOKUP($G46, 'ADP Data'!$B$4:$Q$300, 10, FALSE)</f>
        <v>#N/A</v>
      </c>
      <c r="P46" s="11" t="e">
        <f>VLOOKUP($G46, 'ADP Data'!$B$4:$Q$300, 4, FALSE)</f>
        <v>#N/A</v>
      </c>
      <c r="Q46" s="11" t="e">
        <f>VLOOKUP($G46, 'ADP Data'!$B$4:$Q$300, 5, FALSE)</f>
        <v>#N/A</v>
      </c>
      <c r="R46" s="11" t="e">
        <f>VLOOKUP($G46, 'ADP Data'!$B$4:$Q$300, 7, FALSE)</f>
        <v>#N/A</v>
      </c>
      <c r="S46" s="11" t="e">
        <f>VLOOKUP($G46, 'ADP Data'!$B$4:$Q$300, 8, FALSE)</f>
        <v>#N/A</v>
      </c>
      <c r="T46" s="11" t="e">
        <f>VLOOKUP($G46, 'ADP Data'!$B$4:$Q$300, 9, FALSE)</f>
        <v>#N/A</v>
      </c>
      <c r="U46" s="11" t="e">
        <f t="shared" si="2"/>
        <v>#N/A</v>
      </c>
      <c r="V46" s="60"/>
    </row>
    <row r="47" spans="1:22" ht="14.25" customHeight="1" x14ac:dyDescent="0.25">
      <c r="A47" s="11"/>
      <c r="B47" s="11" t="e">
        <f t="shared" si="0"/>
        <v>#N/A</v>
      </c>
      <c r="C47" s="11" t="s">
        <v>148</v>
      </c>
      <c r="D47" s="11">
        <v>21</v>
      </c>
      <c r="E47" s="11">
        <v>15</v>
      </c>
      <c r="F47" s="11" t="s">
        <v>148</v>
      </c>
      <c r="G47" s="11" t="s">
        <v>1242</v>
      </c>
      <c r="H47" s="11" t="s">
        <v>229</v>
      </c>
      <c r="I47" s="11" t="s">
        <v>764</v>
      </c>
      <c r="J47" s="85" t="s">
        <v>1402</v>
      </c>
      <c r="K47" s="11" t="s">
        <v>1389</v>
      </c>
      <c r="L47" s="11">
        <v>18</v>
      </c>
      <c r="M47" s="11">
        <f t="shared" si="1"/>
        <v>16</v>
      </c>
      <c r="N47" s="11" t="e">
        <f>VLOOKUP($G47, 'ADP Data'!$B$4:$Q$300, 6, FALSE)</f>
        <v>#N/A</v>
      </c>
      <c r="O47" s="11" t="e">
        <f>VLOOKUP($G47, 'ADP Data'!$B$4:$Q$300, 10, FALSE)</f>
        <v>#N/A</v>
      </c>
      <c r="P47" s="11" t="e">
        <f>VLOOKUP($G47, 'ADP Data'!$B$4:$Q$300, 4, FALSE)</f>
        <v>#N/A</v>
      </c>
      <c r="Q47" s="11" t="e">
        <f>VLOOKUP($G47, 'ADP Data'!$B$4:$Q$300, 5, FALSE)</f>
        <v>#N/A</v>
      </c>
      <c r="R47" s="11" t="e">
        <f>VLOOKUP($G47, 'ADP Data'!$B$4:$Q$300, 7, FALSE)</f>
        <v>#N/A</v>
      </c>
      <c r="S47" s="11" t="e">
        <f>VLOOKUP($G47, 'ADP Data'!$B$4:$Q$300, 8, FALSE)</f>
        <v>#N/A</v>
      </c>
      <c r="T47" s="11" t="e">
        <f>VLOOKUP($G47, 'ADP Data'!$B$4:$Q$300, 9, FALSE)</f>
        <v>#N/A</v>
      </c>
      <c r="U47" s="11" t="e">
        <f t="shared" si="2"/>
        <v>#N/A</v>
      </c>
      <c r="V47" s="11"/>
    </row>
    <row r="48" spans="1:22" ht="14.25" customHeight="1" x14ac:dyDescent="0.25">
      <c r="A48" s="11"/>
      <c r="B48" s="11" t="e">
        <f t="shared" si="0"/>
        <v>#N/A</v>
      </c>
      <c r="C48" s="11" t="s">
        <v>148</v>
      </c>
      <c r="D48" s="11">
        <v>22</v>
      </c>
      <c r="E48" s="11">
        <v>10</v>
      </c>
      <c r="F48" s="11"/>
      <c r="G48" s="45" t="s">
        <v>131</v>
      </c>
      <c r="H48" s="11" t="s">
        <v>66</v>
      </c>
      <c r="I48" s="11" t="s">
        <v>760</v>
      </c>
      <c r="J48" s="85">
        <v>2</v>
      </c>
      <c r="K48" s="11" t="s">
        <v>1401</v>
      </c>
      <c r="L48" s="11">
        <v>4</v>
      </c>
      <c r="M48" s="11">
        <f t="shared" si="1"/>
        <v>16</v>
      </c>
      <c r="N48" s="11" t="e">
        <f>VLOOKUP($G48, 'ADP Data'!$B$4:$Q$300, 6, FALSE)</f>
        <v>#N/A</v>
      </c>
      <c r="O48" s="11" t="e">
        <f>VLOOKUP($G48, 'ADP Data'!$B$4:$Q$300, 10, FALSE)</f>
        <v>#N/A</v>
      </c>
      <c r="P48" s="11" t="e">
        <f>VLOOKUP($G48, 'ADP Data'!$B$4:$Q$300, 4, FALSE)</f>
        <v>#N/A</v>
      </c>
      <c r="Q48" s="11" t="e">
        <f>VLOOKUP($G48, 'ADP Data'!$B$4:$Q$300, 5, FALSE)</f>
        <v>#N/A</v>
      </c>
      <c r="R48" s="11" t="e">
        <f>VLOOKUP($G48, 'ADP Data'!$B$4:$Q$300, 7, FALSE)</f>
        <v>#N/A</v>
      </c>
      <c r="S48" s="11" t="e">
        <f>VLOOKUP($G48, 'ADP Data'!$B$4:$Q$300, 8, FALSE)</f>
        <v>#N/A</v>
      </c>
      <c r="T48" s="11" t="e">
        <f>VLOOKUP($G48, 'ADP Data'!$B$4:$Q$300, 9, FALSE)</f>
        <v>#N/A</v>
      </c>
      <c r="U48" s="11" t="e">
        <f t="shared" si="2"/>
        <v>#N/A</v>
      </c>
      <c r="V48" s="11"/>
    </row>
    <row r="49" spans="1:22" ht="14.25" customHeight="1" x14ac:dyDescent="0.25">
      <c r="A49" s="11"/>
      <c r="B49" s="11" t="e">
        <f t="shared" si="0"/>
        <v>#N/A</v>
      </c>
      <c r="C49" s="11" t="s">
        <v>148</v>
      </c>
      <c r="D49" s="11">
        <v>10</v>
      </c>
      <c r="E49" s="11">
        <v>12</v>
      </c>
      <c r="F49" s="11"/>
      <c r="G49" s="11" t="s">
        <v>250</v>
      </c>
      <c r="H49" s="11" t="s">
        <v>39</v>
      </c>
      <c r="I49" s="11" t="s">
        <v>769</v>
      </c>
      <c r="J49" s="85">
        <v>4</v>
      </c>
      <c r="K49" s="11" t="s">
        <v>1409</v>
      </c>
      <c r="L49" s="11">
        <v>5</v>
      </c>
      <c r="M49" s="11">
        <f t="shared" si="1"/>
        <v>16</v>
      </c>
      <c r="N49" s="11" t="e">
        <f>VLOOKUP($G49, 'ADP Data'!$B$4:$Q$300, 6, FALSE)</f>
        <v>#N/A</v>
      </c>
      <c r="O49" s="11" t="e">
        <f>VLOOKUP($G49, 'ADP Data'!$B$4:$Q$300, 10, FALSE)</f>
        <v>#N/A</v>
      </c>
      <c r="P49" s="11" t="e">
        <f>VLOOKUP($G49, 'ADP Data'!$B$4:$Q$300, 4, FALSE)</f>
        <v>#N/A</v>
      </c>
      <c r="Q49" s="11" t="e">
        <f>VLOOKUP($G49, 'ADP Data'!$B$4:$Q$300, 5, FALSE)</f>
        <v>#N/A</v>
      </c>
      <c r="R49" s="11" t="e">
        <f>VLOOKUP($G49, 'ADP Data'!$B$4:$Q$300, 7, FALSE)</f>
        <v>#N/A</v>
      </c>
      <c r="S49" s="11" t="e">
        <f>VLOOKUP($G49, 'ADP Data'!$B$4:$Q$300, 8, FALSE)</f>
        <v>#N/A</v>
      </c>
      <c r="T49" s="11" t="e">
        <f>VLOOKUP($G49, 'ADP Data'!$B$4:$Q$300, 9, FALSE)</f>
        <v>#N/A</v>
      </c>
      <c r="U49" s="11" t="e">
        <f t="shared" si="2"/>
        <v>#N/A</v>
      </c>
      <c r="V49" s="60"/>
    </row>
    <row r="50" spans="1:22" ht="14.25" customHeight="1" x14ac:dyDescent="0.25">
      <c r="A50" s="11"/>
      <c r="B50" s="11" t="e">
        <f t="shared" si="0"/>
        <v>#N/A</v>
      </c>
      <c r="C50" s="11" t="s">
        <v>148</v>
      </c>
      <c r="D50" s="11">
        <v>28</v>
      </c>
      <c r="E50" s="60">
        <v>15</v>
      </c>
      <c r="F50" s="60"/>
      <c r="G50" s="60" t="s">
        <v>218</v>
      </c>
      <c r="H50" s="60" t="s">
        <v>94</v>
      </c>
      <c r="I50" s="60" t="s">
        <v>762</v>
      </c>
      <c r="J50" s="85" t="s">
        <v>1411</v>
      </c>
      <c r="K50" s="60" t="s">
        <v>1394</v>
      </c>
      <c r="L50" s="11">
        <v>19</v>
      </c>
      <c r="M50" s="11">
        <f t="shared" si="1"/>
        <v>16</v>
      </c>
      <c r="N50" s="11" t="e">
        <f>VLOOKUP($G50, 'ADP Data'!$B$4:$Q$300, 6, FALSE)</f>
        <v>#N/A</v>
      </c>
      <c r="O50" s="11" t="e">
        <f>VLOOKUP($G50, 'ADP Data'!$B$4:$Q$300, 10, FALSE)</f>
        <v>#N/A</v>
      </c>
      <c r="P50" s="11" t="e">
        <f>VLOOKUP($G50, 'ADP Data'!$B$4:$Q$300, 4, FALSE)</f>
        <v>#N/A</v>
      </c>
      <c r="Q50" s="11" t="e">
        <f>VLOOKUP($G50, 'ADP Data'!$B$4:$Q$300, 5, FALSE)</f>
        <v>#N/A</v>
      </c>
      <c r="R50" s="11" t="e">
        <f>VLOOKUP($G50, 'ADP Data'!$B$4:$Q$300, 7, FALSE)</f>
        <v>#N/A</v>
      </c>
      <c r="S50" s="11" t="e">
        <f>VLOOKUP($G50, 'ADP Data'!$B$4:$Q$300, 8, FALSE)</f>
        <v>#N/A</v>
      </c>
      <c r="T50" s="11" t="e">
        <f>VLOOKUP($G50, 'ADP Data'!$B$4:$Q$300, 9, FALSE)</f>
        <v>#N/A</v>
      </c>
      <c r="U50" s="11" t="e">
        <f t="shared" si="2"/>
        <v>#N/A</v>
      </c>
      <c r="V50" s="60"/>
    </row>
    <row r="51" spans="1:22" ht="14.25" customHeight="1" x14ac:dyDescent="0.25">
      <c r="A51" s="11"/>
      <c r="B51" s="11" t="e">
        <f t="shared" si="0"/>
        <v>#N/A</v>
      </c>
      <c r="C51" s="11" t="s">
        <v>148</v>
      </c>
      <c r="D51" s="11">
        <v>24</v>
      </c>
      <c r="E51" s="60">
        <v>22</v>
      </c>
      <c r="F51" s="60"/>
      <c r="G51" s="60" t="s">
        <v>172</v>
      </c>
      <c r="H51" s="60" t="s">
        <v>35</v>
      </c>
      <c r="I51" s="60" t="s">
        <v>762</v>
      </c>
      <c r="J51" s="85" t="s">
        <v>1375</v>
      </c>
      <c r="K51" s="60" t="s">
        <v>1394</v>
      </c>
      <c r="L51" s="11">
        <v>20</v>
      </c>
      <c r="M51" s="11">
        <f t="shared" si="1"/>
        <v>16</v>
      </c>
      <c r="N51" s="11" t="e">
        <f>VLOOKUP($G51, 'ADP Data'!$B$4:$Q$300, 6, FALSE)</f>
        <v>#N/A</v>
      </c>
      <c r="O51" s="11" t="e">
        <f>VLOOKUP($G51, 'ADP Data'!$B$4:$Q$300, 10, FALSE)</f>
        <v>#N/A</v>
      </c>
      <c r="P51" s="11" t="e">
        <f>VLOOKUP($G51, 'ADP Data'!$B$4:$Q$300, 4, FALSE)</f>
        <v>#N/A</v>
      </c>
      <c r="Q51" s="11" t="e">
        <f>VLOOKUP($G51, 'ADP Data'!$B$4:$Q$300, 5, FALSE)</f>
        <v>#N/A</v>
      </c>
      <c r="R51" s="11" t="e">
        <f>VLOOKUP($G51, 'ADP Data'!$B$4:$Q$300, 7, FALSE)</f>
        <v>#N/A</v>
      </c>
      <c r="S51" s="11" t="e">
        <f>VLOOKUP($G51, 'ADP Data'!$B$4:$Q$300, 8, FALSE)</f>
        <v>#N/A</v>
      </c>
      <c r="T51" s="11" t="e">
        <f>VLOOKUP($G51, 'ADP Data'!$B$4:$Q$300, 9, FALSE)</f>
        <v>#N/A</v>
      </c>
      <c r="U51" s="11" t="e">
        <f t="shared" si="2"/>
        <v>#N/A</v>
      </c>
      <c r="V51" s="60"/>
    </row>
    <row r="52" spans="1:22" ht="14.25" customHeight="1" x14ac:dyDescent="0.25">
      <c r="A52" s="11"/>
      <c r="B52" s="11" t="e">
        <f t="shared" si="0"/>
        <v>#N/A</v>
      </c>
      <c r="C52" s="11" t="s">
        <v>148</v>
      </c>
      <c r="D52" s="11">
        <v>12</v>
      </c>
      <c r="E52" s="11">
        <v>12</v>
      </c>
      <c r="F52" s="11"/>
      <c r="G52" s="11" t="s">
        <v>349</v>
      </c>
      <c r="H52" s="11" t="s">
        <v>91</v>
      </c>
      <c r="I52" s="11" t="s">
        <v>769</v>
      </c>
      <c r="J52" s="85">
        <v>5</v>
      </c>
      <c r="K52" s="11" t="s">
        <v>1409</v>
      </c>
      <c r="L52" s="11">
        <v>4</v>
      </c>
      <c r="M52" s="11">
        <f t="shared" si="1"/>
        <v>16</v>
      </c>
      <c r="N52" s="11" t="e">
        <f>VLOOKUP($G52, 'ADP Data'!$B$4:$Q$300, 6, FALSE)</f>
        <v>#N/A</v>
      </c>
      <c r="O52" s="11" t="e">
        <f>VLOOKUP($G52, 'ADP Data'!$B$4:$Q$300, 10, FALSE)</f>
        <v>#N/A</v>
      </c>
      <c r="P52" s="11" t="e">
        <f>VLOOKUP($G52, 'ADP Data'!$B$4:$Q$300, 4, FALSE)</f>
        <v>#N/A</v>
      </c>
      <c r="Q52" s="11" t="e">
        <f>VLOOKUP($G52, 'ADP Data'!$B$4:$Q$300, 5, FALSE)</f>
        <v>#N/A</v>
      </c>
      <c r="R52" s="11" t="e">
        <f>VLOOKUP($G52, 'ADP Data'!$B$4:$Q$300, 7, FALSE)</f>
        <v>#N/A</v>
      </c>
      <c r="S52" s="11" t="e">
        <f>VLOOKUP($G52, 'ADP Data'!$B$4:$Q$300, 8, FALSE)</f>
        <v>#N/A</v>
      </c>
      <c r="T52" s="11" t="e">
        <f>VLOOKUP($G52, 'ADP Data'!$B$4:$Q$300, 9, FALSE)</f>
        <v>#N/A</v>
      </c>
      <c r="U52" s="11" t="e">
        <f t="shared" si="2"/>
        <v>#N/A</v>
      </c>
      <c r="V52" s="60"/>
    </row>
    <row r="53" spans="1:22" ht="14.25" customHeight="1" x14ac:dyDescent="0.25">
      <c r="A53" s="11"/>
      <c r="B53" s="11" t="e">
        <f t="shared" si="0"/>
        <v>#N/A</v>
      </c>
      <c r="C53" s="11" t="s">
        <v>148</v>
      </c>
      <c r="D53" s="11">
        <v>17</v>
      </c>
      <c r="E53" s="11">
        <v>15</v>
      </c>
      <c r="F53" s="11"/>
      <c r="G53" s="45" t="s">
        <v>176</v>
      </c>
      <c r="H53" s="11" t="s">
        <v>160</v>
      </c>
      <c r="I53" s="11" t="s">
        <v>764</v>
      </c>
      <c r="J53" s="85" t="s">
        <v>1424</v>
      </c>
      <c r="K53" s="11" t="s">
        <v>1372</v>
      </c>
      <c r="L53" s="11">
        <v>19</v>
      </c>
      <c r="M53" s="11">
        <f t="shared" si="1"/>
        <v>16</v>
      </c>
      <c r="N53" s="11" t="e">
        <f>VLOOKUP($G53, 'ADP Data'!$B$4:$Q$300, 6, FALSE)</f>
        <v>#N/A</v>
      </c>
      <c r="O53" s="11" t="e">
        <f>VLOOKUP($G53, 'ADP Data'!$B$4:$Q$300, 10, FALSE)</f>
        <v>#N/A</v>
      </c>
      <c r="P53" s="11" t="e">
        <f>VLOOKUP($G53, 'ADP Data'!$B$4:$Q$300, 4, FALSE)</f>
        <v>#N/A</v>
      </c>
      <c r="Q53" s="11" t="e">
        <f>VLOOKUP($G53, 'ADP Data'!$B$4:$Q$300, 5, FALSE)</f>
        <v>#N/A</v>
      </c>
      <c r="R53" s="11" t="e">
        <f>VLOOKUP($G53, 'ADP Data'!$B$4:$Q$300, 7, FALSE)</f>
        <v>#N/A</v>
      </c>
      <c r="S53" s="11" t="e">
        <f>VLOOKUP($G53, 'ADP Data'!$B$4:$Q$300, 8, FALSE)</f>
        <v>#N/A</v>
      </c>
      <c r="T53" s="11" t="e">
        <f>VLOOKUP($G53, 'ADP Data'!$B$4:$Q$300, 9, FALSE)</f>
        <v>#N/A</v>
      </c>
      <c r="U53" s="11" t="e">
        <f t="shared" si="2"/>
        <v>#N/A</v>
      </c>
      <c r="V53" s="11"/>
    </row>
    <row r="54" spans="1:22" ht="14.25" customHeight="1" x14ac:dyDescent="0.25">
      <c r="A54" s="11"/>
      <c r="B54" s="11" t="e">
        <f t="shared" si="0"/>
        <v>#N/A</v>
      </c>
      <c r="C54" s="11" t="s">
        <v>148</v>
      </c>
      <c r="D54" s="11">
        <v>20</v>
      </c>
      <c r="E54" s="11">
        <v>20</v>
      </c>
      <c r="F54" s="11"/>
      <c r="G54" s="11" t="s">
        <v>450</v>
      </c>
      <c r="H54" s="11" t="s">
        <v>49</v>
      </c>
      <c r="I54" s="11" t="s">
        <v>764</v>
      </c>
      <c r="J54" s="85" t="s">
        <v>1411</v>
      </c>
      <c r="K54" s="11" t="s">
        <v>1389</v>
      </c>
      <c r="L54" s="11">
        <v>20</v>
      </c>
      <c r="M54" s="11">
        <f t="shared" si="1"/>
        <v>16</v>
      </c>
      <c r="N54" s="11" t="e">
        <f>VLOOKUP($G54, 'ADP Data'!$B$4:$Q$300, 6, FALSE)</f>
        <v>#N/A</v>
      </c>
      <c r="O54" s="11" t="e">
        <f>VLOOKUP($G54, 'ADP Data'!$B$4:$Q$300, 10, FALSE)</f>
        <v>#N/A</v>
      </c>
      <c r="P54" s="11" t="e">
        <f>VLOOKUP($G54, 'ADP Data'!$B$4:$Q$300, 4, FALSE)</f>
        <v>#N/A</v>
      </c>
      <c r="Q54" s="11" t="e">
        <f>VLOOKUP($G54, 'ADP Data'!$B$4:$Q$300, 5, FALSE)</f>
        <v>#N/A</v>
      </c>
      <c r="R54" s="11" t="e">
        <f>VLOOKUP($G54, 'ADP Data'!$B$4:$Q$300, 7, FALSE)</f>
        <v>#N/A</v>
      </c>
      <c r="S54" s="11" t="e">
        <f>VLOOKUP($G54, 'ADP Data'!$B$4:$Q$300, 8, FALSE)</f>
        <v>#N/A</v>
      </c>
      <c r="T54" s="11" t="e">
        <f>VLOOKUP($G54, 'ADP Data'!$B$4:$Q$300, 9, FALSE)</f>
        <v>#N/A</v>
      </c>
      <c r="U54" s="11" t="e">
        <f t="shared" si="2"/>
        <v>#N/A</v>
      </c>
      <c r="V54" s="11"/>
    </row>
    <row r="55" spans="1:22" ht="14.25" customHeight="1" x14ac:dyDescent="0.25">
      <c r="A55" s="11"/>
      <c r="B55" s="11" t="e">
        <f t="shared" si="0"/>
        <v>#N/A</v>
      </c>
      <c r="C55" s="11" t="s">
        <v>148</v>
      </c>
      <c r="D55" s="11">
        <v>13</v>
      </c>
      <c r="E55" s="11">
        <v>15</v>
      </c>
      <c r="F55" s="11"/>
      <c r="G55" s="11" t="s">
        <v>684</v>
      </c>
      <c r="H55" s="11" t="s">
        <v>55</v>
      </c>
      <c r="I55" s="11" t="s">
        <v>764</v>
      </c>
      <c r="J55" s="85" t="s">
        <v>1430</v>
      </c>
      <c r="K55" s="11" t="s">
        <v>1432</v>
      </c>
      <c r="L55" s="11">
        <v>22</v>
      </c>
      <c r="M55" s="11">
        <f t="shared" si="1"/>
        <v>16</v>
      </c>
      <c r="N55" s="11" t="e">
        <f>VLOOKUP($G55, 'ADP Data'!$B$4:$Q$300, 6, FALSE)</f>
        <v>#N/A</v>
      </c>
      <c r="O55" s="11" t="e">
        <f>VLOOKUP($G55, 'ADP Data'!$B$4:$Q$300, 10, FALSE)</f>
        <v>#N/A</v>
      </c>
      <c r="P55" s="11" t="e">
        <f>VLOOKUP($G55, 'ADP Data'!$B$4:$Q$300, 4, FALSE)</f>
        <v>#N/A</v>
      </c>
      <c r="Q55" s="11" t="e">
        <f>VLOOKUP($G55, 'ADP Data'!$B$4:$Q$300, 5, FALSE)</f>
        <v>#N/A</v>
      </c>
      <c r="R55" s="11" t="e">
        <f>VLOOKUP($G55, 'ADP Data'!$B$4:$Q$300, 7, FALSE)</f>
        <v>#N/A</v>
      </c>
      <c r="S55" s="11" t="e">
        <f>VLOOKUP($G55, 'ADP Data'!$B$4:$Q$300, 8, FALSE)</f>
        <v>#N/A</v>
      </c>
      <c r="T55" s="11" t="e">
        <f>VLOOKUP($G55, 'ADP Data'!$B$4:$Q$300, 9, FALSE)</f>
        <v>#N/A</v>
      </c>
      <c r="U55" s="11" t="e">
        <f t="shared" si="2"/>
        <v>#N/A</v>
      </c>
      <c r="V55" s="11"/>
    </row>
    <row r="56" spans="1:22" ht="14.25" customHeight="1" x14ac:dyDescent="0.25">
      <c r="A56" s="11"/>
      <c r="B56" s="11" t="e">
        <f t="shared" si="0"/>
        <v>#N/A</v>
      </c>
      <c r="C56" s="11" t="s">
        <v>148</v>
      </c>
      <c r="D56" s="11">
        <v>10</v>
      </c>
      <c r="E56" s="11">
        <v>12</v>
      </c>
      <c r="F56" s="11"/>
      <c r="G56" s="11" t="s">
        <v>422</v>
      </c>
      <c r="H56" s="11" t="s">
        <v>35</v>
      </c>
      <c r="I56" s="11" t="s">
        <v>769</v>
      </c>
      <c r="J56" s="85">
        <v>6</v>
      </c>
      <c r="K56" s="11" t="s">
        <v>1409</v>
      </c>
      <c r="L56" s="11">
        <v>6</v>
      </c>
      <c r="M56" s="11">
        <f t="shared" si="1"/>
        <v>16</v>
      </c>
      <c r="N56" s="11" t="e">
        <f>VLOOKUP($G56, 'ADP Data'!$B$4:$Q$300, 6, FALSE)</f>
        <v>#N/A</v>
      </c>
      <c r="O56" s="11" t="e">
        <f>VLOOKUP($G56, 'ADP Data'!$B$4:$Q$300, 10, FALSE)</f>
        <v>#N/A</v>
      </c>
      <c r="P56" s="11" t="e">
        <f>VLOOKUP($G56, 'ADP Data'!$B$4:$Q$300, 4, FALSE)</f>
        <v>#N/A</v>
      </c>
      <c r="Q56" s="11" t="e">
        <f>VLOOKUP($G56, 'ADP Data'!$B$4:$Q$300, 5, FALSE)</f>
        <v>#N/A</v>
      </c>
      <c r="R56" s="11" t="e">
        <f>VLOOKUP($G56, 'ADP Data'!$B$4:$Q$300, 7, FALSE)</f>
        <v>#N/A</v>
      </c>
      <c r="S56" s="11" t="e">
        <f>VLOOKUP($G56, 'ADP Data'!$B$4:$Q$300, 8, FALSE)</f>
        <v>#N/A</v>
      </c>
      <c r="T56" s="11" t="e">
        <f>VLOOKUP($G56, 'ADP Data'!$B$4:$Q$300, 9, FALSE)</f>
        <v>#N/A</v>
      </c>
      <c r="U56" s="11" t="e">
        <f t="shared" si="2"/>
        <v>#N/A</v>
      </c>
      <c r="V56" s="60"/>
    </row>
    <row r="57" spans="1:22" ht="14.25" customHeight="1" x14ac:dyDescent="0.25">
      <c r="A57" s="11" t="s">
        <v>1156</v>
      </c>
      <c r="B57" s="11" t="e">
        <f t="shared" si="0"/>
        <v>#N/A</v>
      </c>
      <c r="C57" s="11" t="s">
        <v>148</v>
      </c>
      <c r="D57" s="11">
        <v>10</v>
      </c>
      <c r="E57" s="11">
        <v>20</v>
      </c>
      <c r="F57" s="11" t="s">
        <v>148</v>
      </c>
      <c r="G57" s="11" t="s">
        <v>897</v>
      </c>
      <c r="H57" s="11" t="s">
        <v>233</v>
      </c>
      <c r="I57" s="11" t="s">
        <v>764</v>
      </c>
      <c r="J57" s="85" t="s">
        <v>1445</v>
      </c>
      <c r="K57" s="11" t="s">
        <v>1432</v>
      </c>
      <c r="L57" s="11">
        <v>23</v>
      </c>
      <c r="M57" s="11">
        <f t="shared" si="1"/>
        <v>16</v>
      </c>
      <c r="N57" s="11" t="e">
        <f>VLOOKUP($G57, 'ADP Data'!$B$4:$Q$300, 6, FALSE)</f>
        <v>#N/A</v>
      </c>
      <c r="O57" s="11" t="e">
        <f>VLOOKUP($G57, 'ADP Data'!$B$4:$Q$300, 10, FALSE)</f>
        <v>#N/A</v>
      </c>
      <c r="P57" s="11" t="e">
        <f>VLOOKUP($G57, 'ADP Data'!$B$4:$Q$300, 4, FALSE)</f>
        <v>#N/A</v>
      </c>
      <c r="Q57" s="11" t="e">
        <f>VLOOKUP($G57, 'ADP Data'!$B$4:$Q$300, 5, FALSE)</f>
        <v>#N/A</v>
      </c>
      <c r="R57" s="11" t="e">
        <f>VLOOKUP($G57, 'ADP Data'!$B$4:$Q$300, 7, FALSE)</f>
        <v>#N/A</v>
      </c>
      <c r="S57" s="11" t="e">
        <f>VLOOKUP($G57, 'ADP Data'!$B$4:$Q$300, 8, FALSE)</f>
        <v>#N/A</v>
      </c>
      <c r="T57" s="11" t="e">
        <f>VLOOKUP($G57, 'ADP Data'!$B$4:$Q$300, 9, FALSE)</f>
        <v>#N/A</v>
      </c>
      <c r="U57" s="11" t="e">
        <f t="shared" si="2"/>
        <v>#N/A</v>
      </c>
      <c r="V57" s="11"/>
    </row>
    <row r="58" spans="1:22" ht="14.25" customHeight="1" x14ac:dyDescent="0.25">
      <c r="A58" s="11"/>
      <c r="B58" s="11" t="e">
        <f t="shared" si="0"/>
        <v>#N/A</v>
      </c>
      <c r="C58" s="11" t="s">
        <v>148</v>
      </c>
      <c r="D58" s="11">
        <v>30</v>
      </c>
      <c r="E58" s="60">
        <v>15</v>
      </c>
      <c r="F58" s="60"/>
      <c r="G58" s="60" t="s">
        <v>904</v>
      </c>
      <c r="H58" s="60" t="s">
        <v>91</v>
      </c>
      <c r="I58" s="60" t="s">
        <v>762</v>
      </c>
      <c r="J58" s="60" t="s">
        <v>1450</v>
      </c>
      <c r="K58" s="60" t="s">
        <v>1394</v>
      </c>
      <c r="L58" s="11">
        <v>21</v>
      </c>
      <c r="M58" s="11">
        <f t="shared" si="1"/>
        <v>16</v>
      </c>
      <c r="N58" s="11" t="e">
        <f>VLOOKUP($G58, 'ADP Data'!$B$4:$Q$300, 6, FALSE)</f>
        <v>#N/A</v>
      </c>
      <c r="O58" s="11" t="e">
        <f>VLOOKUP($G58, 'ADP Data'!$B$4:$Q$300, 10, FALSE)</f>
        <v>#N/A</v>
      </c>
      <c r="P58" s="11" t="e">
        <f>VLOOKUP($G58, 'ADP Data'!$B$4:$Q$300, 4, FALSE)</f>
        <v>#N/A</v>
      </c>
      <c r="Q58" s="11" t="e">
        <f>VLOOKUP($G58, 'ADP Data'!$B$4:$Q$300, 5, FALSE)</f>
        <v>#N/A</v>
      </c>
      <c r="R58" s="11" t="e">
        <f>VLOOKUP($G58, 'ADP Data'!$B$4:$Q$300, 7, FALSE)</f>
        <v>#N/A</v>
      </c>
      <c r="S58" s="11" t="e">
        <f>VLOOKUP($G58, 'ADP Data'!$B$4:$Q$300, 8, FALSE)</f>
        <v>#N/A</v>
      </c>
      <c r="T58" s="11" t="e">
        <f>VLOOKUP($G58, 'ADP Data'!$B$4:$Q$300, 9, FALSE)</f>
        <v>#N/A</v>
      </c>
      <c r="U58" s="11" t="e">
        <f t="shared" si="2"/>
        <v>#N/A</v>
      </c>
      <c r="V58" s="60"/>
    </row>
    <row r="59" spans="1:22" ht="14.25" customHeight="1" x14ac:dyDescent="0.25">
      <c r="A59" s="11"/>
      <c r="B59" s="11" t="e">
        <f t="shared" si="0"/>
        <v>#N/A</v>
      </c>
      <c r="C59" s="11" t="s">
        <v>148</v>
      </c>
      <c r="D59" s="11">
        <v>9</v>
      </c>
      <c r="E59" s="11">
        <v>5</v>
      </c>
      <c r="F59" s="11"/>
      <c r="G59" s="11" t="s">
        <v>480</v>
      </c>
      <c r="H59" s="11" t="s">
        <v>214</v>
      </c>
      <c r="I59" s="11" t="s">
        <v>760</v>
      </c>
      <c r="J59" s="85">
        <v>8</v>
      </c>
      <c r="K59" s="11" t="s">
        <v>1455</v>
      </c>
      <c r="L59" s="11">
        <v>5</v>
      </c>
      <c r="M59" s="11">
        <f t="shared" si="1"/>
        <v>16</v>
      </c>
      <c r="N59" s="11" t="e">
        <f>VLOOKUP($G59, 'ADP Data'!$B$4:$Q$300, 6, FALSE)</f>
        <v>#N/A</v>
      </c>
      <c r="O59" s="11" t="e">
        <f>VLOOKUP($G59, 'ADP Data'!$B$4:$Q$300, 10, FALSE)</f>
        <v>#N/A</v>
      </c>
      <c r="P59" s="11" t="e">
        <f>VLOOKUP($G59, 'ADP Data'!$B$4:$Q$300, 4, FALSE)</f>
        <v>#N/A</v>
      </c>
      <c r="Q59" s="11" t="e">
        <f>VLOOKUP($G59, 'ADP Data'!$B$4:$Q$300, 5, FALSE)</f>
        <v>#N/A</v>
      </c>
      <c r="R59" s="11" t="e">
        <f>VLOOKUP($G59, 'ADP Data'!$B$4:$Q$300, 7, FALSE)</f>
        <v>#N/A</v>
      </c>
      <c r="S59" s="11" t="e">
        <f>VLOOKUP($G59, 'ADP Data'!$B$4:$Q$300, 8, FALSE)</f>
        <v>#N/A</v>
      </c>
      <c r="T59" s="11" t="e">
        <f>VLOOKUP($G59, 'ADP Data'!$B$4:$Q$300, 9, FALSE)</f>
        <v>#N/A</v>
      </c>
      <c r="U59" s="11" t="e">
        <f t="shared" si="2"/>
        <v>#N/A</v>
      </c>
      <c r="V59" s="11"/>
    </row>
    <row r="60" spans="1:22" ht="14.25" customHeight="1" x14ac:dyDescent="0.25">
      <c r="A60" s="11"/>
      <c r="B60" s="11" t="e">
        <f t="shared" si="0"/>
        <v>#N/A</v>
      </c>
      <c r="C60" s="11" t="s">
        <v>148</v>
      </c>
      <c r="D60" s="11">
        <v>16</v>
      </c>
      <c r="E60" s="60">
        <v>10</v>
      </c>
      <c r="F60" s="60"/>
      <c r="G60" s="60" t="s">
        <v>1456</v>
      </c>
      <c r="H60" s="60" t="s">
        <v>39</v>
      </c>
      <c r="I60" s="60" t="s">
        <v>762</v>
      </c>
      <c r="J60" s="85" t="s">
        <v>1445</v>
      </c>
      <c r="K60" s="60" t="s">
        <v>1394</v>
      </c>
      <c r="L60" s="11">
        <v>22</v>
      </c>
      <c r="M60" s="11">
        <f t="shared" si="1"/>
        <v>16</v>
      </c>
      <c r="N60" s="11" t="e">
        <f>VLOOKUP($G60, 'ADP Data'!$B$4:$Q$300, 6, FALSE)</f>
        <v>#N/A</v>
      </c>
      <c r="O60" s="11" t="e">
        <f>VLOOKUP($G60, 'ADP Data'!$B$4:$Q$300, 10, FALSE)</f>
        <v>#N/A</v>
      </c>
      <c r="P60" s="11" t="e">
        <f>VLOOKUP($G60, 'ADP Data'!$B$4:$Q$300, 4, FALSE)</f>
        <v>#N/A</v>
      </c>
      <c r="Q60" s="11" t="e">
        <f>VLOOKUP($G60, 'ADP Data'!$B$4:$Q$300, 5, FALSE)</f>
        <v>#N/A</v>
      </c>
      <c r="R60" s="11" t="e">
        <f>VLOOKUP($G60, 'ADP Data'!$B$4:$Q$300, 7, FALSE)</f>
        <v>#N/A</v>
      </c>
      <c r="S60" s="11" t="e">
        <f>VLOOKUP($G60, 'ADP Data'!$B$4:$Q$300, 8, FALSE)</f>
        <v>#N/A</v>
      </c>
      <c r="T60" s="11" t="e">
        <f>VLOOKUP($G60, 'ADP Data'!$B$4:$Q$300, 9, FALSE)</f>
        <v>#N/A</v>
      </c>
      <c r="U60" s="11" t="e">
        <f t="shared" si="2"/>
        <v>#N/A</v>
      </c>
      <c r="V60" s="60"/>
    </row>
    <row r="61" spans="1:22" ht="14.25" customHeight="1" x14ac:dyDescent="0.25">
      <c r="A61" s="11"/>
      <c r="B61" s="11" t="e">
        <f t="shared" si="0"/>
        <v>#N/A</v>
      </c>
      <c r="C61" s="11" t="s">
        <v>148</v>
      </c>
      <c r="D61" s="11">
        <v>19</v>
      </c>
      <c r="E61" s="11">
        <v>10</v>
      </c>
      <c r="F61" s="11"/>
      <c r="G61" s="11" t="s">
        <v>920</v>
      </c>
      <c r="H61" s="11" t="s">
        <v>72</v>
      </c>
      <c r="I61" s="11" t="s">
        <v>764</v>
      </c>
      <c r="J61" s="85" t="s">
        <v>1378</v>
      </c>
      <c r="K61" s="11" t="s">
        <v>1458</v>
      </c>
      <c r="L61" s="11">
        <v>24</v>
      </c>
      <c r="M61" s="11">
        <f t="shared" si="1"/>
        <v>16</v>
      </c>
      <c r="N61" s="11" t="e">
        <f>VLOOKUP($G61, 'ADP Data'!$B$4:$Q$300, 6, FALSE)</f>
        <v>#N/A</v>
      </c>
      <c r="O61" s="11" t="e">
        <f>VLOOKUP($G61, 'ADP Data'!$B$4:$Q$300, 10, FALSE)</f>
        <v>#N/A</v>
      </c>
      <c r="P61" s="11" t="e">
        <f>VLOOKUP($G61, 'ADP Data'!$B$4:$Q$300, 4, FALSE)</f>
        <v>#N/A</v>
      </c>
      <c r="Q61" s="11" t="e">
        <f>VLOOKUP($G61, 'ADP Data'!$B$4:$Q$300, 5, FALSE)</f>
        <v>#N/A</v>
      </c>
      <c r="R61" s="11" t="e">
        <f>VLOOKUP($G61, 'ADP Data'!$B$4:$Q$300, 7, FALSE)</f>
        <v>#N/A</v>
      </c>
      <c r="S61" s="11" t="e">
        <f>VLOOKUP($G61, 'ADP Data'!$B$4:$Q$300, 8, FALSE)</f>
        <v>#N/A</v>
      </c>
      <c r="T61" s="11" t="e">
        <f>VLOOKUP($G61, 'ADP Data'!$B$4:$Q$300, 9, FALSE)</f>
        <v>#N/A</v>
      </c>
      <c r="U61" s="11" t="e">
        <f t="shared" si="2"/>
        <v>#N/A</v>
      </c>
      <c r="V61" s="11" t="s">
        <v>1462</v>
      </c>
    </row>
    <row r="62" spans="1:22" ht="14.25" customHeight="1" x14ac:dyDescent="0.25">
      <c r="A62" s="11"/>
      <c r="B62" s="11" t="e">
        <f t="shared" si="0"/>
        <v>#N/A</v>
      </c>
      <c r="C62" s="11" t="s">
        <v>148</v>
      </c>
      <c r="D62" s="11">
        <v>11</v>
      </c>
      <c r="E62" s="11">
        <v>6</v>
      </c>
      <c r="F62" s="11"/>
      <c r="G62" s="11" t="s">
        <v>254</v>
      </c>
      <c r="H62" s="11" t="s">
        <v>69</v>
      </c>
      <c r="I62" s="11" t="s">
        <v>760</v>
      </c>
      <c r="J62" s="85">
        <v>5</v>
      </c>
      <c r="K62" s="11" t="s">
        <v>1401</v>
      </c>
      <c r="L62" s="11">
        <v>6</v>
      </c>
      <c r="M62" s="11">
        <f t="shared" si="1"/>
        <v>16</v>
      </c>
      <c r="N62" s="11" t="e">
        <f>VLOOKUP($G62, 'ADP Data'!$B$4:$Q$300, 6, FALSE)</f>
        <v>#N/A</v>
      </c>
      <c r="O62" s="11" t="e">
        <f>VLOOKUP($G62, 'ADP Data'!$B$4:$Q$300, 10, FALSE)</f>
        <v>#N/A</v>
      </c>
      <c r="P62" s="11" t="e">
        <f>VLOOKUP($G62, 'ADP Data'!$B$4:$Q$300, 4, FALSE)</f>
        <v>#N/A</v>
      </c>
      <c r="Q62" s="11" t="e">
        <f>VLOOKUP($G62, 'ADP Data'!$B$4:$Q$300, 5, FALSE)</f>
        <v>#N/A</v>
      </c>
      <c r="R62" s="11" t="e">
        <f>VLOOKUP($G62, 'ADP Data'!$B$4:$Q$300, 7, FALSE)</f>
        <v>#N/A</v>
      </c>
      <c r="S62" s="11" t="e">
        <f>VLOOKUP($G62, 'ADP Data'!$B$4:$Q$300, 8, FALSE)</f>
        <v>#N/A</v>
      </c>
      <c r="T62" s="11" t="e">
        <f>VLOOKUP($G62, 'ADP Data'!$B$4:$Q$300, 9, FALSE)</f>
        <v>#N/A</v>
      </c>
      <c r="U62" s="11" t="e">
        <f t="shared" si="2"/>
        <v>#N/A</v>
      </c>
      <c r="V62" s="11" t="s">
        <v>1467</v>
      </c>
    </row>
    <row r="63" spans="1:22" ht="14.25" customHeight="1" x14ac:dyDescent="0.25">
      <c r="A63" s="11"/>
      <c r="B63" s="11" t="e">
        <f t="shared" si="0"/>
        <v>#N/A</v>
      </c>
      <c r="C63" s="11" t="s">
        <v>148</v>
      </c>
      <c r="D63" s="11">
        <v>8</v>
      </c>
      <c r="E63" s="11">
        <v>1</v>
      </c>
      <c r="F63" s="11"/>
      <c r="G63" s="45" t="s">
        <v>1165</v>
      </c>
      <c r="H63" s="11" t="s">
        <v>163</v>
      </c>
      <c r="I63" s="11" t="s">
        <v>760</v>
      </c>
      <c r="J63" s="85">
        <v>9</v>
      </c>
      <c r="K63" s="11" t="s">
        <v>1455</v>
      </c>
      <c r="L63" s="11">
        <v>7</v>
      </c>
      <c r="M63" s="11">
        <f t="shared" si="1"/>
        <v>16</v>
      </c>
      <c r="N63" s="11" t="e">
        <f>VLOOKUP($G63, 'ADP Data'!$B$4:$Q$300, 6, FALSE)</f>
        <v>#N/A</v>
      </c>
      <c r="O63" s="11" t="e">
        <f>VLOOKUP($G63, 'ADP Data'!$B$4:$Q$300, 10, FALSE)</f>
        <v>#N/A</v>
      </c>
      <c r="P63" s="11" t="e">
        <f>VLOOKUP($G63, 'ADP Data'!$B$4:$Q$300, 4, FALSE)</f>
        <v>#N/A</v>
      </c>
      <c r="Q63" s="11" t="e">
        <f>VLOOKUP($G63, 'ADP Data'!$B$4:$Q$300, 5, FALSE)</f>
        <v>#N/A</v>
      </c>
      <c r="R63" s="11" t="e">
        <f>VLOOKUP($G63, 'ADP Data'!$B$4:$Q$300, 7, FALSE)</f>
        <v>#N/A</v>
      </c>
      <c r="S63" s="11" t="e">
        <f>VLOOKUP($G63, 'ADP Data'!$B$4:$Q$300, 8, FALSE)</f>
        <v>#N/A</v>
      </c>
      <c r="T63" s="11" t="e">
        <f>VLOOKUP($G63, 'ADP Data'!$B$4:$Q$300, 9, FALSE)</f>
        <v>#N/A</v>
      </c>
      <c r="U63" s="11" t="e">
        <f t="shared" si="2"/>
        <v>#N/A</v>
      </c>
      <c r="V63" s="11"/>
    </row>
    <row r="64" spans="1:22" ht="14.25" customHeight="1" x14ac:dyDescent="0.25">
      <c r="A64" s="11"/>
      <c r="B64" s="11" t="e">
        <f t="shared" si="0"/>
        <v>#N/A</v>
      </c>
      <c r="C64" s="11" t="s">
        <v>148</v>
      </c>
      <c r="D64" s="11">
        <v>10</v>
      </c>
      <c r="E64" s="11">
        <v>8</v>
      </c>
      <c r="F64" s="11" t="s">
        <v>148</v>
      </c>
      <c r="G64" s="11" t="s">
        <v>1252</v>
      </c>
      <c r="H64" s="11" t="s">
        <v>126</v>
      </c>
      <c r="I64" s="11" t="s">
        <v>764</v>
      </c>
      <c r="J64" s="85" t="s">
        <v>1472</v>
      </c>
      <c r="K64" s="11" t="s">
        <v>1458</v>
      </c>
      <c r="L64" s="11">
        <v>25</v>
      </c>
      <c r="M64" s="11">
        <f t="shared" si="1"/>
        <v>16</v>
      </c>
      <c r="N64" s="11" t="e">
        <f>VLOOKUP($G64, 'ADP Data'!$B$4:$Q$300, 6, FALSE)</f>
        <v>#N/A</v>
      </c>
      <c r="O64" s="11" t="e">
        <f>VLOOKUP($G64, 'ADP Data'!$B$4:$Q$300, 10, FALSE)</f>
        <v>#N/A</v>
      </c>
      <c r="P64" s="11" t="e">
        <f>VLOOKUP($G64, 'ADP Data'!$B$4:$Q$300, 4, FALSE)</f>
        <v>#N/A</v>
      </c>
      <c r="Q64" s="11" t="e">
        <f>VLOOKUP($G64, 'ADP Data'!$B$4:$Q$300, 5, FALSE)</f>
        <v>#N/A</v>
      </c>
      <c r="R64" s="11" t="e">
        <f>VLOOKUP($G64, 'ADP Data'!$B$4:$Q$300, 7, FALSE)</f>
        <v>#N/A</v>
      </c>
      <c r="S64" s="11" t="e">
        <f>VLOOKUP($G64, 'ADP Data'!$B$4:$Q$300, 8, FALSE)</f>
        <v>#N/A</v>
      </c>
      <c r="T64" s="11" t="e">
        <f>VLOOKUP($G64, 'ADP Data'!$B$4:$Q$300, 9, FALSE)</f>
        <v>#N/A</v>
      </c>
      <c r="U64" s="11" t="e">
        <f t="shared" si="2"/>
        <v>#N/A</v>
      </c>
      <c r="V64" s="11" t="s">
        <v>1475</v>
      </c>
    </row>
    <row r="65" spans="1:22" ht="14.25" customHeight="1" x14ac:dyDescent="0.25">
      <c r="A65" s="11"/>
      <c r="B65" s="11" t="e">
        <f t="shared" si="0"/>
        <v>#N/A</v>
      </c>
      <c r="C65" s="11" t="s">
        <v>148</v>
      </c>
      <c r="D65" s="11">
        <v>10</v>
      </c>
      <c r="E65" s="60">
        <v>10</v>
      </c>
      <c r="F65" s="60"/>
      <c r="G65" s="45" t="s">
        <v>1320</v>
      </c>
      <c r="H65" s="60" t="s">
        <v>49</v>
      </c>
      <c r="I65" s="60" t="s">
        <v>762</v>
      </c>
      <c r="J65" s="85" t="s">
        <v>1430</v>
      </c>
      <c r="K65" s="60" t="s">
        <v>1394</v>
      </c>
      <c r="L65" s="11">
        <v>23</v>
      </c>
      <c r="M65" s="11">
        <f t="shared" si="1"/>
        <v>16</v>
      </c>
      <c r="N65" s="11" t="e">
        <f>VLOOKUP($G65, 'ADP Data'!$B$4:$Q$300, 6, FALSE)</f>
        <v>#N/A</v>
      </c>
      <c r="O65" s="11" t="e">
        <f>VLOOKUP($G65, 'ADP Data'!$B$4:$Q$300, 10, FALSE)</f>
        <v>#N/A</v>
      </c>
      <c r="P65" s="11" t="e">
        <f>VLOOKUP($G65, 'ADP Data'!$B$4:$Q$300, 4, FALSE)</f>
        <v>#N/A</v>
      </c>
      <c r="Q65" s="11" t="e">
        <f>VLOOKUP($G65, 'ADP Data'!$B$4:$Q$300, 5, FALSE)</f>
        <v>#N/A</v>
      </c>
      <c r="R65" s="11" t="e">
        <f>VLOOKUP($G65, 'ADP Data'!$B$4:$Q$300, 7, FALSE)</f>
        <v>#N/A</v>
      </c>
      <c r="S65" s="11" t="e">
        <f>VLOOKUP($G65, 'ADP Data'!$B$4:$Q$300, 8, FALSE)</f>
        <v>#N/A</v>
      </c>
      <c r="T65" s="11" t="e">
        <f>VLOOKUP($G65, 'ADP Data'!$B$4:$Q$300, 9, FALSE)</f>
        <v>#N/A</v>
      </c>
      <c r="U65" s="11" t="e">
        <f t="shared" si="2"/>
        <v>#N/A</v>
      </c>
      <c r="V65" s="60"/>
    </row>
    <row r="66" spans="1:22" ht="14.25" customHeight="1" x14ac:dyDescent="0.25">
      <c r="A66" s="11"/>
      <c r="B66" s="11" t="e">
        <f t="shared" si="0"/>
        <v>#N/A</v>
      </c>
      <c r="C66" s="11" t="s">
        <v>148</v>
      </c>
      <c r="D66" s="11">
        <v>9</v>
      </c>
      <c r="E66" s="11">
        <v>7</v>
      </c>
      <c r="F66" s="11" t="s">
        <v>148</v>
      </c>
      <c r="G66" s="11" t="s">
        <v>896</v>
      </c>
      <c r="H66" s="11" t="s">
        <v>55</v>
      </c>
      <c r="I66" s="11" t="s">
        <v>762</v>
      </c>
      <c r="J66" s="85" t="s">
        <v>1480</v>
      </c>
      <c r="K66" s="11" t="s">
        <v>1481</v>
      </c>
      <c r="L66" s="11">
        <v>24</v>
      </c>
      <c r="M66" s="11">
        <f t="shared" si="1"/>
        <v>16</v>
      </c>
      <c r="N66" s="11" t="e">
        <f>VLOOKUP($G66, 'ADP Data'!$B$4:$Q$300, 6, FALSE)</f>
        <v>#N/A</v>
      </c>
      <c r="O66" s="11" t="e">
        <f>VLOOKUP($G66, 'ADP Data'!$B$4:$Q$300, 10, FALSE)</f>
        <v>#N/A</v>
      </c>
      <c r="P66" s="11" t="e">
        <f>VLOOKUP($G66, 'ADP Data'!$B$4:$Q$300, 4, FALSE)</f>
        <v>#N/A</v>
      </c>
      <c r="Q66" s="11" t="e">
        <f>VLOOKUP($G66, 'ADP Data'!$B$4:$Q$300, 5, FALSE)</f>
        <v>#N/A</v>
      </c>
      <c r="R66" s="11" t="e">
        <f>VLOOKUP($G66, 'ADP Data'!$B$4:$Q$300, 7, FALSE)</f>
        <v>#N/A</v>
      </c>
      <c r="S66" s="11" t="e">
        <f>VLOOKUP($G66, 'ADP Data'!$B$4:$Q$300, 8, FALSE)</f>
        <v>#N/A</v>
      </c>
      <c r="T66" s="11" t="e">
        <f>VLOOKUP($G66, 'ADP Data'!$B$4:$Q$300, 9, FALSE)</f>
        <v>#N/A</v>
      </c>
      <c r="U66" s="11" t="e">
        <f t="shared" si="2"/>
        <v>#N/A</v>
      </c>
      <c r="V66" s="11"/>
    </row>
    <row r="67" spans="1:22" ht="14.25" customHeight="1" x14ac:dyDescent="0.25">
      <c r="A67" s="11"/>
      <c r="B67" s="11" t="e">
        <f t="shared" si="0"/>
        <v>#N/A</v>
      </c>
      <c r="C67" s="11" t="s">
        <v>148</v>
      </c>
      <c r="D67" s="11">
        <v>12</v>
      </c>
      <c r="E67" s="11">
        <v>12</v>
      </c>
      <c r="F67" s="11"/>
      <c r="G67" s="11" t="s">
        <v>1166</v>
      </c>
      <c r="H67" s="11" t="s">
        <v>123</v>
      </c>
      <c r="I67" s="11" t="s">
        <v>762</v>
      </c>
      <c r="J67" s="85" t="s">
        <v>1487</v>
      </c>
      <c r="K67" s="11" t="s">
        <v>1481</v>
      </c>
      <c r="L67" s="11">
        <v>25</v>
      </c>
      <c r="M67" s="11">
        <f t="shared" si="1"/>
        <v>16</v>
      </c>
      <c r="N67" s="11" t="e">
        <f>VLOOKUP($G67, 'ADP Data'!$B$4:$Q$300, 6, FALSE)</f>
        <v>#N/A</v>
      </c>
      <c r="O67" s="11" t="e">
        <f>VLOOKUP($G67, 'ADP Data'!$B$4:$Q$300, 10, FALSE)</f>
        <v>#N/A</v>
      </c>
      <c r="P67" s="11" t="e">
        <f>VLOOKUP($G67, 'ADP Data'!$B$4:$Q$300, 4, FALSE)</f>
        <v>#N/A</v>
      </c>
      <c r="Q67" s="11" t="e">
        <f>VLOOKUP($G67, 'ADP Data'!$B$4:$Q$300, 5, FALSE)</f>
        <v>#N/A</v>
      </c>
      <c r="R67" s="11" t="e">
        <f>VLOOKUP($G67, 'ADP Data'!$B$4:$Q$300, 7, FALSE)</f>
        <v>#N/A</v>
      </c>
      <c r="S67" s="11" t="e">
        <f>VLOOKUP($G67, 'ADP Data'!$B$4:$Q$300, 8, FALSE)</f>
        <v>#N/A</v>
      </c>
      <c r="T67" s="11" t="e">
        <f>VLOOKUP($G67, 'ADP Data'!$B$4:$Q$300, 9, FALSE)</f>
        <v>#N/A</v>
      </c>
      <c r="U67" s="11" t="e">
        <f t="shared" si="2"/>
        <v>#N/A</v>
      </c>
      <c r="V67" s="11"/>
    </row>
    <row r="68" spans="1:22" ht="14.25" customHeight="1" x14ac:dyDescent="0.25">
      <c r="A68" s="11"/>
      <c r="B68" s="11" t="e">
        <f t="shared" si="0"/>
        <v>#N/A</v>
      </c>
      <c r="C68" s="11" t="s">
        <v>148</v>
      </c>
      <c r="D68" s="11">
        <v>11</v>
      </c>
      <c r="E68" s="11">
        <v>5</v>
      </c>
      <c r="F68" s="11"/>
      <c r="G68" s="11" t="s">
        <v>949</v>
      </c>
      <c r="H68" s="11" t="s">
        <v>52</v>
      </c>
      <c r="I68" s="11" t="s">
        <v>760</v>
      </c>
      <c r="J68" s="85">
        <v>6</v>
      </c>
      <c r="K68" s="11" t="s">
        <v>1489</v>
      </c>
      <c r="L68" s="11">
        <v>8</v>
      </c>
      <c r="M68" s="11">
        <f t="shared" si="1"/>
        <v>16</v>
      </c>
      <c r="N68" s="11" t="e">
        <f>VLOOKUP($G68, 'ADP Data'!$B$4:$Q$300, 6, FALSE)</f>
        <v>#N/A</v>
      </c>
      <c r="O68" s="11" t="e">
        <f>VLOOKUP($G68, 'ADP Data'!$B$4:$Q$300, 10, FALSE)</f>
        <v>#N/A</v>
      </c>
      <c r="P68" s="11" t="e">
        <f>VLOOKUP($G68, 'ADP Data'!$B$4:$Q$300, 4, FALSE)</f>
        <v>#N/A</v>
      </c>
      <c r="Q68" s="11" t="e">
        <f>VLOOKUP($G68, 'ADP Data'!$B$4:$Q$300, 5, FALSE)</f>
        <v>#N/A</v>
      </c>
      <c r="R68" s="11" t="e">
        <f>VLOOKUP($G68, 'ADP Data'!$B$4:$Q$300, 7, FALSE)</f>
        <v>#N/A</v>
      </c>
      <c r="S68" s="11" t="e">
        <f>VLOOKUP($G68, 'ADP Data'!$B$4:$Q$300, 8, FALSE)</f>
        <v>#N/A</v>
      </c>
      <c r="T68" s="11" t="e">
        <f>VLOOKUP($G68, 'ADP Data'!$B$4:$Q$300, 9, FALSE)</f>
        <v>#N/A</v>
      </c>
      <c r="U68" s="11" t="e">
        <f t="shared" si="2"/>
        <v>#N/A</v>
      </c>
      <c r="V68" s="11"/>
    </row>
    <row r="69" spans="1:22" ht="14.25" customHeight="1" x14ac:dyDescent="0.25">
      <c r="A69" s="11"/>
      <c r="B69" s="11" t="e">
        <f t="shared" si="0"/>
        <v>#N/A</v>
      </c>
      <c r="C69" s="11" t="s">
        <v>148</v>
      </c>
      <c r="D69" s="11">
        <v>9</v>
      </c>
      <c r="E69" s="11">
        <v>7</v>
      </c>
      <c r="F69" s="11"/>
      <c r="G69" s="45" t="s">
        <v>1312</v>
      </c>
      <c r="H69" s="11" t="s">
        <v>233</v>
      </c>
      <c r="I69" s="11" t="s">
        <v>764</v>
      </c>
      <c r="J69" s="85" t="s">
        <v>1382</v>
      </c>
      <c r="K69" s="11" t="s">
        <v>1496</v>
      </c>
      <c r="L69" s="11">
        <v>26</v>
      </c>
      <c r="M69" s="11">
        <f t="shared" si="1"/>
        <v>16</v>
      </c>
      <c r="N69" s="11" t="e">
        <f>VLOOKUP($G69, 'ADP Data'!$B$4:$Q$300, 6, FALSE)</f>
        <v>#N/A</v>
      </c>
      <c r="O69" s="11" t="e">
        <f>VLOOKUP($G69, 'ADP Data'!$B$4:$Q$300, 10, FALSE)</f>
        <v>#N/A</v>
      </c>
      <c r="P69" s="11" t="e">
        <f>VLOOKUP($G69, 'ADP Data'!$B$4:$Q$300, 4, FALSE)</f>
        <v>#N/A</v>
      </c>
      <c r="Q69" s="11" t="e">
        <f>VLOOKUP($G69, 'ADP Data'!$B$4:$Q$300, 5, FALSE)</f>
        <v>#N/A</v>
      </c>
      <c r="R69" s="11" t="e">
        <f>VLOOKUP($G69, 'ADP Data'!$B$4:$Q$300, 7, FALSE)</f>
        <v>#N/A</v>
      </c>
      <c r="S69" s="11" t="e">
        <f>VLOOKUP($G69, 'ADP Data'!$B$4:$Q$300, 8, FALSE)</f>
        <v>#N/A</v>
      </c>
      <c r="T69" s="11" t="e">
        <f>VLOOKUP($G69, 'ADP Data'!$B$4:$Q$300, 9, FALSE)</f>
        <v>#N/A</v>
      </c>
      <c r="U69" s="11" t="e">
        <f t="shared" si="2"/>
        <v>#N/A</v>
      </c>
      <c r="V69" s="11" t="s">
        <v>1498</v>
      </c>
    </row>
    <row r="70" spans="1:22" ht="14.25" customHeight="1" x14ac:dyDescent="0.25">
      <c r="A70" s="11"/>
      <c r="B70" s="11" t="e">
        <f t="shared" si="0"/>
        <v>#N/A</v>
      </c>
      <c r="C70" s="11" t="s">
        <v>148</v>
      </c>
      <c r="D70" s="11">
        <v>14</v>
      </c>
      <c r="E70" s="11">
        <v>8</v>
      </c>
      <c r="F70" s="11"/>
      <c r="G70" s="45" t="s">
        <v>1271</v>
      </c>
      <c r="H70" s="11" t="s">
        <v>81</v>
      </c>
      <c r="I70" s="11" t="s">
        <v>762</v>
      </c>
      <c r="J70" s="85" t="s">
        <v>1424</v>
      </c>
      <c r="K70" s="11" t="s">
        <v>1500</v>
      </c>
      <c r="L70" s="11">
        <v>26</v>
      </c>
      <c r="M70" s="11">
        <f t="shared" si="1"/>
        <v>16</v>
      </c>
      <c r="N70" s="11" t="e">
        <f>VLOOKUP($G70, 'ADP Data'!$B$4:$Q$300, 6, FALSE)</f>
        <v>#N/A</v>
      </c>
      <c r="O70" s="11" t="e">
        <f>VLOOKUP($G70, 'ADP Data'!$B$4:$Q$300, 10, FALSE)</f>
        <v>#N/A</v>
      </c>
      <c r="P70" s="11" t="e">
        <f>VLOOKUP($G70, 'ADP Data'!$B$4:$Q$300, 4, FALSE)</f>
        <v>#N/A</v>
      </c>
      <c r="Q70" s="11" t="e">
        <f>VLOOKUP($G70, 'ADP Data'!$B$4:$Q$300, 5, FALSE)</f>
        <v>#N/A</v>
      </c>
      <c r="R70" s="11" t="e">
        <f>VLOOKUP($G70, 'ADP Data'!$B$4:$Q$300, 7, FALSE)</f>
        <v>#N/A</v>
      </c>
      <c r="S70" s="11" t="e">
        <f>VLOOKUP($G70, 'ADP Data'!$B$4:$Q$300, 8, FALSE)</f>
        <v>#N/A</v>
      </c>
      <c r="T70" s="11" t="e">
        <f>VLOOKUP($G70, 'ADP Data'!$B$4:$Q$300, 9, FALSE)</f>
        <v>#N/A</v>
      </c>
      <c r="U70" s="11" t="e">
        <f t="shared" si="2"/>
        <v>#N/A</v>
      </c>
      <c r="V70" s="11"/>
    </row>
    <row r="71" spans="1:22" ht="14.25" customHeight="1" x14ac:dyDescent="0.25">
      <c r="A71" s="11"/>
      <c r="B71" s="11" t="e">
        <f t="shared" si="0"/>
        <v>#N/A</v>
      </c>
      <c r="C71" s="11" t="s">
        <v>148</v>
      </c>
      <c r="D71" s="11">
        <v>12</v>
      </c>
      <c r="E71" s="11">
        <v>8</v>
      </c>
      <c r="F71" s="11"/>
      <c r="G71" s="11" t="s">
        <v>682</v>
      </c>
      <c r="H71" s="11" t="s">
        <v>187</v>
      </c>
      <c r="I71" s="11" t="s">
        <v>762</v>
      </c>
      <c r="J71" s="85" t="s">
        <v>1503</v>
      </c>
      <c r="K71" s="11" t="s">
        <v>1500</v>
      </c>
      <c r="L71" s="11">
        <v>27</v>
      </c>
      <c r="M71" s="11">
        <f t="shared" si="1"/>
        <v>16</v>
      </c>
      <c r="N71" s="11" t="e">
        <f>VLOOKUP($G71, 'ADP Data'!$B$4:$Q$300, 6, FALSE)</f>
        <v>#N/A</v>
      </c>
      <c r="O71" s="11" t="e">
        <f>VLOOKUP($G71, 'ADP Data'!$B$4:$Q$300, 10, FALSE)</f>
        <v>#N/A</v>
      </c>
      <c r="P71" s="11" t="e">
        <f>VLOOKUP($G71, 'ADP Data'!$B$4:$Q$300, 4, FALSE)</f>
        <v>#N/A</v>
      </c>
      <c r="Q71" s="11" t="e">
        <f>VLOOKUP($G71, 'ADP Data'!$B$4:$Q$300, 5, FALSE)</f>
        <v>#N/A</v>
      </c>
      <c r="R71" s="11" t="e">
        <f>VLOOKUP($G71, 'ADP Data'!$B$4:$Q$300, 7, FALSE)</f>
        <v>#N/A</v>
      </c>
      <c r="S71" s="11" t="e">
        <f>VLOOKUP($G71, 'ADP Data'!$B$4:$Q$300, 8, FALSE)</f>
        <v>#N/A</v>
      </c>
      <c r="T71" s="11" t="e">
        <f>VLOOKUP($G71, 'ADP Data'!$B$4:$Q$300, 9, FALSE)</f>
        <v>#N/A</v>
      </c>
      <c r="U71" s="11" t="e">
        <f t="shared" si="2"/>
        <v>#N/A</v>
      </c>
      <c r="V71" s="11"/>
    </row>
    <row r="72" spans="1:22" ht="14.25" customHeight="1" x14ac:dyDescent="0.25">
      <c r="A72" s="11"/>
      <c r="B72" s="11" t="e">
        <f t="shared" si="0"/>
        <v>#N/A</v>
      </c>
      <c r="C72" s="11" t="s">
        <v>148</v>
      </c>
      <c r="D72" s="11">
        <v>8</v>
      </c>
      <c r="E72" s="11">
        <v>7</v>
      </c>
      <c r="F72" s="11"/>
      <c r="G72" s="45" t="s">
        <v>150</v>
      </c>
      <c r="H72" s="11" t="s">
        <v>44</v>
      </c>
      <c r="I72" s="11" t="s">
        <v>764</v>
      </c>
      <c r="J72" s="85" t="s">
        <v>1480</v>
      </c>
      <c r="K72" s="11" t="s">
        <v>1458</v>
      </c>
      <c r="L72" s="11">
        <v>27</v>
      </c>
      <c r="M72" s="11">
        <f t="shared" si="1"/>
        <v>16</v>
      </c>
      <c r="N72" s="11" t="e">
        <f>VLOOKUP($G72, 'ADP Data'!$B$4:$Q$300, 6, FALSE)</f>
        <v>#N/A</v>
      </c>
      <c r="O72" s="11" t="e">
        <f>VLOOKUP($G72, 'ADP Data'!$B$4:$Q$300, 10, FALSE)</f>
        <v>#N/A</v>
      </c>
      <c r="P72" s="11" t="e">
        <f>VLOOKUP($G72, 'ADP Data'!$B$4:$Q$300, 4, FALSE)</f>
        <v>#N/A</v>
      </c>
      <c r="Q72" s="11" t="e">
        <f>VLOOKUP($G72, 'ADP Data'!$B$4:$Q$300, 5, FALSE)</f>
        <v>#N/A</v>
      </c>
      <c r="R72" s="11" t="e">
        <f>VLOOKUP($G72, 'ADP Data'!$B$4:$Q$300, 7, FALSE)</f>
        <v>#N/A</v>
      </c>
      <c r="S72" s="11" t="e">
        <f>VLOOKUP($G72, 'ADP Data'!$B$4:$Q$300, 8, FALSE)</f>
        <v>#N/A</v>
      </c>
      <c r="T72" s="11" t="e">
        <f>VLOOKUP($G72, 'ADP Data'!$B$4:$Q$300, 9, FALSE)</f>
        <v>#N/A</v>
      </c>
      <c r="U72" s="11" t="e">
        <f t="shared" si="2"/>
        <v>#N/A</v>
      </c>
      <c r="V72" s="11"/>
    </row>
    <row r="73" spans="1:22" ht="14.25" customHeight="1" x14ac:dyDescent="0.25">
      <c r="A73" s="11"/>
      <c r="B73" s="11" t="e">
        <f t="shared" si="0"/>
        <v>#N/A</v>
      </c>
      <c r="C73" s="11" t="s">
        <v>148</v>
      </c>
      <c r="D73" s="11">
        <v>10</v>
      </c>
      <c r="E73" s="60">
        <v>7</v>
      </c>
      <c r="F73" s="60"/>
      <c r="G73" s="60" t="s">
        <v>260</v>
      </c>
      <c r="H73" s="60" t="s">
        <v>168</v>
      </c>
      <c r="I73" s="60" t="s">
        <v>764</v>
      </c>
      <c r="J73" s="85" t="s">
        <v>1509</v>
      </c>
      <c r="K73" s="60" t="s">
        <v>1496</v>
      </c>
      <c r="L73" s="11">
        <v>28</v>
      </c>
      <c r="M73" s="11">
        <f t="shared" si="1"/>
        <v>16</v>
      </c>
      <c r="N73" s="11" t="e">
        <f>VLOOKUP($G73, 'ADP Data'!$B$4:$Q$300, 6, FALSE)</f>
        <v>#N/A</v>
      </c>
      <c r="O73" s="11" t="e">
        <f>VLOOKUP($G73, 'ADP Data'!$B$4:$Q$300, 10, FALSE)</f>
        <v>#N/A</v>
      </c>
      <c r="P73" s="11" t="e">
        <f>VLOOKUP($G73, 'ADP Data'!$B$4:$Q$300, 4, FALSE)</f>
        <v>#N/A</v>
      </c>
      <c r="Q73" s="11" t="e">
        <f>VLOOKUP($G73, 'ADP Data'!$B$4:$Q$300, 5, FALSE)</f>
        <v>#N/A</v>
      </c>
      <c r="R73" s="11" t="e">
        <f>VLOOKUP($G73, 'ADP Data'!$B$4:$Q$300, 7, FALSE)</f>
        <v>#N/A</v>
      </c>
      <c r="S73" s="11" t="e">
        <f>VLOOKUP($G73, 'ADP Data'!$B$4:$Q$300, 8, FALSE)</f>
        <v>#N/A</v>
      </c>
      <c r="T73" s="11" t="e">
        <f>VLOOKUP($G73, 'ADP Data'!$B$4:$Q$300, 9, FALSE)</f>
        <v>#N/A</v>
      </c>
      <c r="U73" s="11" t="e">
        <f t="shared" si="2"/>
        <v>#N/A</v>
      </c>
      <c r="V73" s="60" t="s">
        <v>1514</v>
      </c>
    </row>
    <row r="74" spans="1:22" ht="14.25" customHeight="1" x14ac:dyDescent="0.25">
      <c r="A74" s="11"/>
      <c r="B74" s="11" t="e">
        <f t="shared" si="0"/>
        <v>#N/A</v>
      </c>
      <c r="C74" s="11" t="s">
        <v>148</v>
      </c>
      <c r="D74" s="11">
        <v>11</v>
      </c>
      <c r="E74" s="60">
        <v>7</v>
      </c>
      <c r="F74" s="60"/>
      <c r="G74" s="60" t="s">
        <v>1442</v>
      </c>
      <c r="H74" s="60" t="s">
        <v>160</v>
      </c>
      <c r="I74" s="60" t="s">
        <v>764</v>
      </c>
      <c r="J74" s="85" t="s">
        <v>1515</v>
      </c>
      <c r="K74" s="60" t="s">
        <v>1496</v>
      </c>
      <c r="L74" s="11">
        <v>29</v>
      </c>
      <c r="M74" s="11">
        <f t="shared" si="1"/>
        <v>16</v>
      </c>
      <c r="N74" s="11" t="e">
        <f>VLOOKUP($G74, 'ADP Data'!$B$4:$Q$300, 6, FALSE)</f>
        <v>#N/A</v>
      </c>
      <c r="O74" s="11" t="e">
        <f>VLOOKUP($G74, 'ADP Data'!$B$4:$Q$300, 10, FALSE)</f>
        <v>#N/A</v>
      </c>
      <c r="P74" s="11" t="e">
        <f>VLOOKUP($G74, 'ADP Data'!$B$4:$Q$300, 4, FALSE)</f>
        <v>#N/A</v>
      </c>
      <c r="Q74" s="11" t="e">
        <f>VLOOKUP($G74, 'ADP Data'!$B$4:$Q$300, 5, FALSE)</f>
        <v>#N/A</v>
      </c>
      <c r="R74" s="11" t="e">
        <f>VLOOKUP($G74, 'ADP Data'!$B$4:$Q$300, 7, FALSE)</f>
        <v>#N/A</v>
      </c>
      <c r="S74" s="11" t="e">
        <f>VLOOKUP($G74, 'ADP Data'!$B$4:$Q$300, 8, FALSE)</f>
        <v>#N/A</v>
      </c>
      <c r="T74" s="11" t="e">
        <f>VLOOKUP($G74, 'ADP Data'!$B$4:$Q$300, 9, FALSE)</f>
        <v>#N/A</v>
      </c>
      <c r="U74" s="11" t="e">
        <f t="shared" si="2"/>
        <v>#N/A</v>
      </c>
      <c r="V74" s="60" t="s">
        <v>1518</v>
      </c>
    </row>
    <row r="75" spans="1:22" ht="14.25" customHeight="1" x14ac:dyDescent="0.25">
      <c r="A75" s="11"/>
      <c r="B75" s="11" t="e">
        <f t="shared" si="0"/>
        <v>#N/A</v>
      </c>
      <c r="C75" s="11" t="s">
        <v>148</v>
      </c>
      <c r="D75" s="11">
        <v>5</v>
      </c>
      <c r="E75" s="11">
        <v>1</v>
      </c>
      <c r="F75" s="11"/>
      <c r="G75" s="11" t="s">
        <v>1193</v>
      </c>
      <c r="H75" s="11" t="s">
        <v>229</v>
      </c>
      <c r="I75" s="11" t="s">
        <v>760</v>
      </c>
      <c r="J75" s="85" t="s">
        <v>1340</v>
      </c>
      <c r="K75" s="11" t="s">
        <v>1489</v>
      </c>
      <c r="L75" s="11">
        <v>9</v>
      </c>
      <c r="M75" s="11">
        <f t="shared" si="1"/>
        <v>16</v>
      </c>
      <c r="N75" s="11" t="e">
        <f>VLOOKUP($G75, 'ADP Data'!$B$4:$Q$300, 6, FALSE)</f>
        <v>#N/A</v>
      </c>
      <c r="O75" s="11" t="e">
        <f>VLOOKUP($G75, 'ADP Data'!$B$4:$Q$300, 10, FALSE)</f>
        <v>#N/A</v>
      </c>
      <c r="P75" s="11" t="e">
        <f>VLOOKUP($G75, 'ADP Data'!$B$4:$Q$300, 4, FALSE)</f>
        <v>#N/A</v>
      </c>
      <c r="Q75" s="11" t="e">
        <f>VLOOKUP($G75, 'ADP Data'!$B$4:$Q$300, 5, FALSE)</f>
        <v>#N/A</v>
      </c>
      <c r="R75" s="11" t="e">
        <f>VLOOKUP($G75, 'ADP Data'!$B$4:$Q$300, 7, FALSE)</f>
        <v>#N/A</v>
      </c>
      <c r="S75" s="11" t="e">
        <f>VLOOKUP($G75, 'ADP Data'!$B$4:$Q$300, 8, FALSE)</f>
        <v>#N/A</v>
      </c>
      <c r="T75" s="11" t="e">
        <f>VLOOKUP($G75, 'ADP Data'!$B$4:$Q$300, 9, FALSE)</f>
        <v>#N/A</v>
      </c>
      <c r="U75" s="11" t="e">
        <f t="shared" si="2"/>
        <v>#N/A</v>
      </c>
      <c r="V75" s="11"/>
    </row>
    <row r="76" spans="1:22" ht="14.25" customHeight="1" x14ac:dyDescent="0.25">
      <c r="A76" s="11"/>
      <c r="B76" s="11" t="e">
        <f t="shared" si="0"/>
        <v>#N/A</v>
      </c>
      <c r="C76" s="11" t="s">
        <v>148</v>
      </c>
      <c r="D76" s="11">
        <v>5</v>
      </c>
      <c r="E76" s="11">
        <v>3</v>
      </c>
      <c r="F76" s="11"/>
      <c r="G76" s="11" t="s">
        <v>1230</v>
      </c>
      <c r="H76" s="11" t="s">
        <v>184</v>
      </c>
      <c r="I76" s="11" t="s">
        <v>769</v>
      </c>
      <c r="J76" s="85">
        <v>9</v>
      </c>
      <c r="K76" s="11" t="s">
        <v>781</v>
      </c>
      <c r="L76" s="11">
        <v>7</v>
      </c>
      <c r="M76" s="11">
        <f t="shared" si="1"/>
        <v>16</v>
      </c>
      <c r="N76" s="11" t="e">
        <f>VLOOKUP($G76, 'ADP Data'!$B$4:$Q$300, 6, FALSE)</f>
        <v>#N/A</v>
      </c>
      <c r="O76" s="11" t="e">
        <f>VLOOKUP($G76, 'ADP Data'!$B$4:$Q$300, 10, FALSE)</f>
        <v>#N/A</v>
      </c>
      <c r="P76" s="11" t="e">
        <f>VLOOKUP($G76, 'ADP Data'!$B$4:$Q$300, 4, FALSE)</f>
        <v>#N/A</v>
      </c>
      <c r="Q76" s="11" t="e">
        <f>VLOOKUP($G76, 'ADP Data'!$B$4:$Q$300, 5, FALSE)</f>
        <v>#N/A</v>
      </c>
      <c r="R76" s="11" t="e">
        <f>VLOOKUP($G76, 'ADP Data'!$B$4:$Q$300, 7, FALSE)</f>
        <v>#N/A</v>
      </c>
      <c r="S76" s="11" t="e">
        <f>VLOOKUP($G76, 'ADP Data'!$B$4:$Q$300, 8, FALSE)</f>
        <v>#N/A</v>
      </c>
      <c r="T76" s="11" t="e">
        <f>VLOOKUP($G76, 'ADP Data'!$B$4:$Q$300, 9, FALSE)</f>
        <v>#N/A</v>
      </c>
      <c r="U76" s="11" t="e">
        <f t="shared" si="2"/>
        <v>#N/A</v>
      </c>
      <c r="V76" s="11"/>
    </row>
    <row r="77" spans="1:22" ht="14.25" customHeight="1" x14ac:dyDescent="0.25">
      <c r="A77" s="11" t="s">
        <v>1156</v>
      </c>
      <c r="B77" s="11" t="e">
        <f t="shared" si="0"/>
        <v>#N/A</v>
      </c>
      <c r="C77" s="11" t="s">
        <v>148</v>
      </c>
      <c r="D77" s="11">
        <v>5</v>
      </c>
      <c r="E77" s="60">
        <v>6</v>
      </c>
      <c r="F77" s="60"/>
      <c r="G77" s="45" t="s">
        <v>1422</v>
      </c>
      <c r="H77" s="60" t="s">
        <v>81</v>
      </c>
      <c r="I77" s="60" t="s">
        <v>764</v>
      </c>
      <c r="J77" s="85" t="s">
        <v>1526</v>
      </c>
      <c r="K77" s="60" t="s">
        <v>1496</v>
      </c>
      <c r="L77" s="11">
        <v>30</v>
      </c>
      <c r="M77" s="11">
        <f t="shared" si="1"/>
        <v>16</v>
      </c>
      <c r="N77" s="11" t="e">
        <f>VLOOKUP($G77, 'ADP Data'!$B$4:$Q$300, 6, FALSE)</f>
        <v>#N/A</v>
      </c>
      <c r="O77" s="11" t="e">
        <f>VLOOKUP($G77, 'ADP Data'!$B$4:$Q$300, 10, FALSE)</f>
        <v>#N/A</v>
      </c>
      <c r="P77" s="11" t="e">
        <f>VLOOKUP($G77, 'ADP Data'!$B$4:$Q$300, 4, FALSE)</f>
        <v>#N/A</v>
      </c>
      <c r="Q77" s="11" t="e">
        <f>VLOOKUP($G77, 'ADP Data'!$B$4:$Q$300, 5, FALSE)</f>
        <v>#N/A</v>
      </c>
      <c r="R77" s="11" t="e">
        <f>VLOOKUP($G77, 'ADP Data'!$B$4:$Q$300, 7, FALSE)</f>
        <v>#N/A</v>
      </c>
      <c r="S77" s="11" t="e">
        <f>VLOOKUP($G77, 'ADP Data'!$B$4:$Q$300, 8, FALSE)</f>
        <v>#N/A</v>
      </c>
      <c r="T77" s="11" t="e">
        <f>VLOOKUP($G77, 'ADP Data'!$B$4:$Q$300, 9, FALSE)</f>
        <v>#N/A</v>
      </c>
      <c r="U77" s="11" t="e">
        <f t="shared" si="2"/>
        <v>#N/A</v>
      </c>
      <c r="V77" s="60"/>
    </row>
    <row r="78" spans="1:22" ht="14.25" customHeight="1" x14ac:dyDescent="0.25">
      <c r="A78" s="11"/>
      <c r="B78" s="11" t="e">
        <f t="shared" si="0"/>
        <v>#N/A</v>
      </c>
      <c r="C78" s="11" t="s">
        <v>148</v>
      </c>
      <c r="D78" s="11">
        <v>24</v>
      </c>
      <c r="E78" s="11">
        <v>8</v>
      </c>
      <c r="F78" s="11"/>
      <c r="G78" s="11" t="s">
        <v>141</v>
      </c>
      <c r="H78" s="11" t="s">
        <v>168</v>
      </c>
      <c r="I78" s="11" t="s">
        <v>762</v>
      </c>
      <c r="J78" s="85" t="s">
        <v>1472</v>
      </c>
      <c r="K78" s="11" t="s">
        <v>1481</v>
      </c>
      <c r="L78" s="11">
        <v>28</v>
      </c>
      <c r="M78" s="11">
        <f t="shared" si="1"/>
        <v>16</v>
      </c>
      <c r="N78" s="11" t="e">
        <f>VLOOKUP($G78, 'ADP Data'!$B$4:$Q$300, 6, FALSE)</f>
        <v>#N/A</v>
      </c>
      <c r="O78" s="11" t="e">
        <f>VLOOKUP($G78, 'ADP Data'!$B$4:$Q$300, 10, FALSE)</f>
        <v>#N/A</v>
      </c>
      <c r="P78" s="11" t="e">
        <f>VLOOKUP($G78, 'ADP Data'!$B$4:$Q$300, 4, FALSE)</f>
        <v>#N/A</v>
      </c>
      <c r="Q78" s="11" t="e">
        <f>VLOOKUP($G78, 'ADP Data'!$B$4:$Q$300, 5, FALSE)</f>
        <v>#N/A</v>
      </c>
      <c r="R78" s="11" t="e">
        <f>VLOOKUP($G78, 'ADP Data'!$B$4:$Q$300, 7, FALSE)</f>
        <v>#N/A</v>
      </c>
      <c r="S78" s="11" t="e">
        <f>VLOOKUP($G78, 'ADP Data'!$B$4:$Q$300, 8, FALSE)</f>
        <v>#N/A</v>
      </c>
      <c r="T78" s="11" t="e">
        <f>VLOOKUP($G78, 'ADP Data'!$B$4:$Q$300, 9, FALSE)</f>
        <v>#N/A</v>
      </c>
      <c r="U78" s="11" t="e">
        <f t="shared" si="2"/>
        <v>#N/A</v>
      </c>
      <c r="V78" s="11" t="s">
        <v>1529</v>
      </c>
    </row>
    <row r="79" spans="1:22" ht="14.25" customHeight="1" x14ac:dyDescent="0.25">
      <c r="A79" s="11" t="s">
        <v>1156</v>
      </c>
      <c r="B79" s="11" t="e">
        <f t="shared" si="0"/>
        <v>#N/A</v>
      </c>
      <c r="C79" s="11" t="s">
        <v>148</v>
      </c>
      <c r="D79" s="11">
        <v>6</v>
      </c>
      <c r="E79" s="60">
        <v>6</v>
      </c>
      <c r="F79" s="60"/>
      <c r="G79" s="45" t="s">
        <v>916</v>
      </c>
      <c r="H79" s="60" t="s">
        <v>116</v>
      </c>
      <c r="I79" s="60" t="s">
        <v>764</v>
      </c>
      <c r="J79" s="85" t="s">
        <v>1530</v>
      </c>
      <c r="K79" s="60" t="s">
        <v>1458</v>
      </c>
      <c r="L79" s="11">
        <v>31</v>
      </c>
      <c r="M79" s="11">
        <f t="shared" si="1"/>
        <v>16</v>
      </c>
      <c r="N79" s="11" t="e">
        <f>VLOOKUP($G79, 'ADP Data'!$B$4:$Q$300, 6, FALSE)</f>
        <v>#N/A</v>
      </c>
      <c r="O79" s="11" t="e">
        <f>VLOOKUP($G79, 'ADP Data'!$B$4:$Q$300, 10, FALSE)</f>
        <v>#N/A</v>
      </c>
      <c r="P79" s="11" t="e">
        <f>VLOOKUP($G79, 'ADP Data'!$B$4:$Q$300, 4, FALSE)</f>
        <v>#N/A</v>
      </c>
      <c r="Q79" s="11" t="e">
        <f>VLOOKUP($G79, 'ADP Data'!$B$4:$Q$300, 5, FALSE)</f>
        <v>#N/A</v>
      </c>
      <c r="R79" s="11" t="e">
        <f>VLOOKUP($G79, 'ADP Data'!$B$4:$Q$300, 7, FALSE)</f>
        <v>#N/A</v>
      </c>
      <c r="S79" s="11" t="e">
        <f>VLOOKUP($G79, 'ADP Data'!$B$4:$Q$300, 8, FALSE)</f>
        <v>#N/A</v>
      </c>
      <c r="T79" s="11" t="e">
        <f>VLOOKUP($G79, 'ADP Data'!$B$4:$Q$300, 9, FALSE)</f>
        <v>#N/A</v>
      </c>
      <c r="U79" s="11" t="e">
        <f t="shared" si="2"/>
        <v>#N/A</v>
      </c>
      <c r="V79" s="60"/>
    </row>
    <row r="80" spans="1:22" ht="14.25" customHeight="1" x14ac:dyDescent="0.25">
      <c r="A80" s="11"/>
      <c r="B80" s="11" t="e">
        <f t="shared" si="0"/>
        <v>#N/A</v>
      </c>
      <c r="C80" s="11" t="s">
        <v>148</v>
      </c>
      <c r="D80" s="11">
        <v>14</v>
      </c>
      <c r="E80" s="11">
        <v>3</v>
      </c>
      <c r="F80" s="11" t="s">
        <v>148</v>
      </c>
      <c r="G80" s="11" t="s">
        <v>1197</v>
      </c>
      <c r="H80" s="11" t="s">
        <v>104</v>
      </c>
      <c r="I80" s="11" t="s">
        <v>762</v>
      </c>
      <c r="J80" s="85" t="s">
        <v>1531</v>
      </c>
      <c r="K80" s="11" t="s">
        <v>1500</v>
      </c>
      <c r="L80" s="11">
        <v>29</v>
      </c>
      <c r="M80" s="11">
        <f t="shared" si="1"/>
        <v>16</v>
      </c>
      <c r="N80" s="11" t="e">
        <f>VLOOKUP($G80, 'ADP Data'!$B$4:$Q$300, 6, FALSE)</f>
        <v>#N/A</v>
      </c>
      <c r="O80" s="11" t="e">
        <f>VLOOKUP($G80, 'ADP Data'!$B$4:$Q$300, 10, FALSE)</f>
        <v>#N/A</v>
      </c>
      <c r="P80" s="11" t="e">
        <f>VLOOKUP($G80, 'ADP Data'!$B$4:$Q$300, 4, FALSE)</f>
        <v>#N/A</v>
      </c>
      <c r="Q80" s="11" t="e">
        <f>VLOOKUP($G80, 'ADP Data'!$B$4:$Q$300, 5, FALSE)</f>
        <v>#N/A</v>
      </c>
      <c r="R80" s="11" t="e">
        <f>VLOOKUP($G80, 'ADP Data'!$B$4:$Q$300, 7, FALSE)</f>
        <v>#N/A</v>
      </c>
      <c r="S80" s="11" t="e">
        <f>VLOOKUP($G80, 'ADP Data'!$B$4:$Q$300, 8, FALSE)</f>
        <v>#N/A</v>
      </c>
      <c r="T80" s="11" t="e">
        <f>VLOOKUP($G80, 'ADP Data'!$B$4:$Q$300, 9, FALSE)</f>
        <v>#N/A</v>
      </c>
      <c r="U80" s="11" t="e">
        <f t="shared" si="2"/>
        <v>#N/A</v>
      </c>
      <c r="V80" s="11"/>
    </row>
    <row r="81" spans="1:22" ht="14.25" customHeight="1" x14ac:dyDescent="0.25">
      <c r="A81" s="11"/>
      <c r="B81" s="11" t="e">
        <f t="shared" si="0"/>
        <v>#N/A</v>
      </c>
      <c r="C81" s="11" t="s">
        <v>148</v>
      </c>
      <c r="D81" s="11">
        <v>18</v>
      </c>
      <c r="E81" s="60">
        <v>7</v>
      </c>
      <c r="F81" s="60" t="s">
        <v>148</v>
      </c>
      <c r="G81" s="60" t="s">
        <v>672</v>
      </c>
      <c r="H81" s="60" t="s">
        <v>187</v>
      </c>
      <c r="I81" s="60" t="s">
        <v>764</v>
      </c>
      <c r="J81" s="85" t="s">
        <v>1532</v>
      </c>
      <c r="K81" s="60" t="s">
        <v>1496</v>
      </c>
      <c r="L81" s="11">
        <v>32</v>
      </c>
      <c r="M81" s="11">
        <f t="shared" si="1"/>
        <v>16</v>
      </c>
      <c r="N81" s="11" t="e">
        <f>VLOOKUP($G81, 'ADP Data'!$B$4:$Q$300, 6, FALSE)</f>
        <v>#N/A</v>
      </c>
      <c r="O81" s="11" t="e">
        <f>VLOOKUP($G81, 'ADP Data'!$B$4:$Q$300, 10, FALSE)</f>
        <v>#N/A</v>
      </c>
      <c r="P81" s="11" t="e">
        <f>VLOOKUP($G81, 'ADP Data'!$B$4:$Q$300, 4, FALSE)</f>
        <v>#N/A</v>
      </c>
      <c r="Q81" s="11" t="e">
        <f>VLOOKUP($G81, 'ADP Data'!$B$4:$Q$300, 5, FALSE)</f>
        <v>#N/A</v>
      </c>
      <c r="R81" s="11" t="e">
        <f>VLOOKUP($G81, 'ADP Data'!$B$4:$Q$300, 7, FALSE)</f>
        <v>#N/A</v>
      </c>
      <c r="S81" s="11" t="e">
        <f>VLOOKUP($G81, 'ADP Data'!$B$4:$Q$300, 8, FALSE)</f>
        <v>#N/A</v>
      </c>
      <c r="T81" s="11" t="e">
        <f>VLOOKUP($G81, 'ADP Data'!$B$4:$Q$300, 9, FALSE)</f>
        <v>#N/A</v>
      </c>
      <c r="U81" s="11" t="e">
        <f t="shared" si="2"/>
        <v>#N/A</v>
      </c>
      <c r="V81" s="60"/>
    </row>
    <row r="82" spans="1:22" ht="14.25" customHeight="1" x14ac:dyDescent="0.25">
      <c r="A82" s="11" t="s">
        <v>1156</v>
      </c>
      <c r="B82" s="11" t="e">
        <f t="shared" si="0"/>
        <v>#N/A</v>
      </c>
      <c r="C82" s="11" t="s">
        <v>148</v>
      </c>
      <c r="D82" s="11">
        <v>5</v>
      </c>
      <c r="E82" s="60">
        <v>7</v>
      </c>
      <c r="F82" s="60"/>
      <c r="G82" s="60" t="s">
        <v>43</v>
      </c>
      <c r="H82" s="60" t="s">
        <v>44</v>
      </c>
      <c r="I82" s="60" t="s">
        <v>764</v>
      </c>
      <c r="J82" s="85" t="s">
        <v>1487</v>
      </c>
      <c r="K82" s="60" t="s">
        <v>1496</v>
      </c>
      <c r="L82" s="11">
        <v>33</v>
      </c>
      <c r="M82" s="11">
        <f t="shared" si="1"/>
        <v>16</v>
      </c>
      <c r="N82" s="11" t="e">
        <f>VLOOKUP($G82, 'ADP Data'!$B$4:$Q$300, 6, FALSE)</f>
        <v>#N/A</v>
      </c>
      <c r="O82" s="11" t="e">
        <f>VLOOKUP($G82, 'ADP Data'!$B$4:$Q$300, 10, FALSE)</f>
        <v>#N/A</v>
      </c>
      <c r="P82" s="11" t="e">
        <f>VLOOKUP($G82, 'ADP Data'!$B$4:$Q$300, 4, FALSE)</f>
        <v>#N/A</v>
      </c>
      <c r="Q82" s="11" t="e">
        <f>VLOOKUP($G82, 'ADP Data'!$B$4:$Q$300, 5, FALSE)</f>
        <v>#N/A</v>
      </c>
      <c r="R82" s="11" t="e">
        <f>VLOOKUP($G82, 'ADP Data'!$B$4:$Q$300, 7, FALSE)</f>
        <v>#N/A</v>
      </c>
      <c r="S82" s="11" t="e">
        <f>VLOOKUP($G82, 'ADP Data'!$B$4:$Q$300, 8, FALSE)</f>
        <v>#N/A</v>
      </c>
      <c r="T82" s="11" t="e">
        <f>VLOOKUP($G82, 'ADP Data'!$B$4:$Q$300, 9, FALSE)</f>
        <v>#N/A</v>
      </c>
      <c r="U82" s="11" t="e">
        <f t="shared" si="2"/>
        <v>#N/A</v>
      </c>
      <c r="V82" s="60" t="s">
        <v>1538</v>
      </c>
    </row>
    <row r="83" spans="1:22" ht="14.25" customHeight="1" x14ac:dyDescent="0.25">
      <c r="A83" s="11"/>
      <c r="B83" s="11" t="e">
        <f t="shared" si="0"/>
        <v>#N/A</v>
      </c>
      <c r="C83" s="11" t="s">
        <v>148</v>
      </c>
      <c r="D83" s="11">
        <v>6</v>
      </c>
      <c r="E83" s="60">
        <v>7</v>
      </c>
      <c r="F83" s="60"/>
      <c r="G83" s="60" t="s">
        <v>1129</v>
      </c>
      <c r="H83" s="60" t="s">
        <v>233</v>
      </c>
      <c r="I83" s="60" t="s">
        <v>764</v>
      </c>
      <c r="J83" s="85" t="s">
        <v>1539</v>
      </c>
      <c r="K83" s="60" t="s">
        <v>1458</v>
      </c>
      <c r="L83" s="11">
        <v>34</v>
      </c>
      <c r="M83" s="11">
        <f t="shared" si="1"/>
        <v>16</v>
      </c>
      <c r="N83" s="11" t="e">
        <f>VLOOKUP($G83, 'ADP Data'!$B$4:$Q$300, 6, FALSE)</f>
        <v>#N/A</v>
      </c>
      <c r="O83" s="11" t="e">
        <f>VLOOKUP($G83, 'ADP Data'!$B$4:$Q$300, 10, FALSE)</f>
        <v>#N/A</v>
      </c>
      <c r="P83" s="11" t="e">
        <f>VLOOKUP($G83, 'ADP Data'!$B$4:$Q$300, 4, FALSE)</f>
        <v>#N/A</v>
      </c>
      <c r="Q83" s="11" t="e">
        <f>VLOOKUP($G83, 'ADP Data'!$B$4:$Q$300, 5, FALSE)</f>
        <v>#N/A</v>
      </c>
      <c r="R83" s="11" t="e">
        <f>VLOOKUP($G83, 'ADP Data'!$B$4:$Q$300, 7, FALSE)</f>
        <v>#N/A</v>
      </c>
      <c r="S83" s="11" t="e">
        <f>VLOOKUP($G83, 'ADP Data'!$B$4:$Q$300, 8, FALSE)</f>
        <v>#N/A</v>
      </c>
      <c r="T83" s="11" t="e">
        <f>VLOOKUP($G83, 'ADP Data'!$B$4:$Q$300, 9, FALSE)</f>
        <v>#N/A</v>
      </c>
      <c r="U83" s="11" t="e">
        <f t="shared" si="2"/>
        <v>#N/A</v>
      </c>
      <c r="V83" s="60"/>
    </row>
    <row r="84" spans="1:22" ht="14.25" customHeight="1" x14ac:dyDescent="0.25">
      <c r="A84" s="11" t="s">
        <v>1156</v>
      </c>
      <c r="B84" s="11" t="e">
        <f t="shared" si="0"/>
        <v>#N/A</v>
      </c>
      <c r="C84" s="11" t="s">
        <v>148</v>
      </c>
      <c r="D84" s="11">
        <v>3</v>
      </c>
      <c r="E84" s="11">
        <v>4</v>
      </c>
      <c r="F84" s="11" t="s">
        <v>119</v>
      </c>
      <c r="G84" s="11" t="s">
        <v>1220</v>
      </c>
      <c r="H84" s="11" t="s">
        <v>129</v>
      </c>
      <c r="I84" s="11" t="s">
        <v>764</v>
      </c>
      <c r="J84" s="85" t="s">
        <v>1503</v>
      </c>
      <c r="K84" s="11" t="s">
        <v>1389</v>
      </c>
      <c r="L84" s="11">
        <v>35</v>
      </c>
      <c r="M84" s="11">
        <f t="shared" si="1"/>
        <v>16</v>
      </c>
      <c r="N84" s="11" t="e">
        <f>VLOOKUP($G84, 'ADP Data'!$B$4:$Q$300, 6, FALSE)</f>
        <v>#N/A</v>
      </c>
      <c r="O84" s="11" t="e">
        <f>VLOOKUP($G84, 'ADP Data'!$B$4:$Q$300, 10, FALSE)</f>
        <v>#N/A</v>
      </c>
      <c r="P84" s="11" t="e">
        <f>VLOOKUP($G84, 'ADP Data'!$B$4:$Q$300, 4, FALSE)</f>
        <v>#N/A</v>
      </c>
      <c r="Q84" s="11" t="e">
        <f>VLOOKUP($G84, 'ADP Data'!$B$4:$Q$300, 5, FALSE)</f>
        <v>#N/A</v>
      </c>
      <c r="R84" s="11" t="e">
        <f>VLOOKUP($G84, 'ADP Data'!$B$4:$Q$300, 7, FALSE)</f>
        <v>#N/A</v>
      </c>
      <c r="S84" s="11" t="e">
        <f>VLOOKUP($G84, 'ADP Data'!$B$4:$Q$300, 8, FALSE)</f>
        <v>#N/A</v>
      </c>
      <c r="T84" s="11" t="e">
        <f>VLOOKUP($G84, 'ADP Data'!$B$4:$Q$300, 9, FALSE)</f>
        <v>#N/A</v>
      </c>
      <c r="U84" s="11" t="e">
        <f t="shared" si="2"/>
        <v>#N/A</v>
      </c>
      <c r="V84" s="11"/>
    </row>
    <row r="85" spans="1:22" ht="14.25" customHeight="1" x14ac:dyDescent="0.25">
      <c r="A85" s="11"/>
      <c r="B85" s="11" t="e">
        <f t="shared" si="0"/>
        <v>#N/A</v>
      </c>
      <c r="C85" s="11" t="s">
        <v>148</v>
      </c>
      <c r="D85" s="11">
        <v>4</v>
      </c>
      <c r="E85" s="11">
        <v>2</v>
      </c>
      <c r="F85" s="11"/>
      <c r="G85" s="45" t="s">
        <v>1253</v>
      </c>
      <c r="H85" s="11" t="s">
        <v>55</v>
      </c>
      <c r="I85" s="11" t="s">
        <v>762</v>
      </c>
      <c r="J85" s="85" t="s">
        <v>1515</v>
      </c>
      <c r="K85" s="11" t="s">
        <v>1481</v>
      </c>
      <c r="L85" s="11">
        <v>30</v>
      </c>
      <c r="M85" s="11">
        <f t="shared" si="1"/>
        <v>16</v>
      </c>
      <c r="N85" s="11" t="e">
        <f>VLOOKUP($G85, 'ADP Data'!$B$4:$Q$300, 6, FALSE)</f>
        <v>#N/A</v>
      </c>
      <c r="O85" s="11" t="e">
        <f>VLOOKUP($G85, 'ADP Data'!$B$4:$Q$300, 10, FALSE)</f>
        <v>#N/A</v>
      </c>
      <c r="P85" s="11" t="e">
        <f>VLOOKUP($G85, 'ADP Data'!$B$4:$Q$300, 4, FALSE)</f>
        <v>#N/A</v>
      </c>
      <c r="Q85" s="11" t="e">
        <f>VLOOKUP($G85, 'ADP Data'!$B$4:$Q$300, 5, FALSE)</f>
        <v>#N/A</v>
      </c>
      <c r="R85" s="11" t="e">
        <f>VLOOKUP($G85, 'ADP Data'!$B$4:$Q$300, 7, FALSE)</f>
        <v>#N/A</v>
      </c>
      <c r="S85" s="11" t="e">
        <f>VLOOKUP($G85, 'ADP Data'!$B$4:$Q$300, 8, FALSE)</f>
        <v>#N/A</v>
      </c>
      <c r="T85" s="11" t="e">
        <f>VLOOKUP($G85, 'ADP Data'!$B$4:$Q$300, 9, FALSE)</f>
        <v>#N/A</v>
      </c>
      <c r="U85" s="11" t="e">
        <f t="shared" si="2"/>
        <v>#N/A</v>
      </c>
      <c r="V85" s="11" t="s">
        <v>1540</v>
      </c>
    </row>
    <row r="86" spans="1:22" ht="14.25" customHeight="1" x14ac:dyDescent="0.25">
      <c r="A86" s="11"/>
      <c r="B86" s="11" t="e">
        <f t="shared" si="0"/>
        <v>#N/A</v>
      </c>
      <c r="C86" s="11" t="s">
        <v>148</v>
      </c>
      <c r="D86" s="11">
        <v>4</v>
      </c>
      <c r="E86" s="11">
        <v>2</v>
      </c>
      <c r="F86" s="11"/>
      <c r="G86" s="45" t="s">
        <v>934</v>
      </c>
      <c r="H86" s="11" t="s">
        <v>168</v>
      </c>
      <c r="I86" s="11" t="s">
        <v>769</v>
      </c>
      <c r="J86" s="85">
        <v>8</v>
      </c>
      <c r="K86" s="11" t="s">
        <v>781</v>
      </c>
      <c r="L86" s="11">
        <v>9</v>
      </c>
      <c r="M86" s="11">
        <f t="shared" si="1"/>
        <v>16</v>
      </c>
      <c r="N86" s="11" t="e">
        <f>VLOOKUP($G86, 'ADP Data'!$B$4:$Q$300, 6, FALSE)</f>
        <v>#N/A</v>
      </c>
      <c r="O86" s="11" t="e">
        <f>VLOOKUP($G86, 'ADP Data'!$B$4:$Q$300, 10, FALSE)</f>
        <v>#N/A</v>
      </c>
      <c r="P86" s="11" t="e">
        <f>VLOOKUP($G86, 'ADP Data'!$B$4:$Q$300, 4, FALSE)</f>
        <v>#N/A</v>
      </c>
      <c r="Q86" s="11" t="e">
        <f>VLOOKUP($G86, 'ADP Data'!$B$4:$Q$300, 5, FALSE)</f>
        <v>#N/A</v>
      </c>
      <c r="R86" s="11" t="e">
        <f>VLOOKUP($G86, 'ADP Data'!$B$4:$Q$300, 7, FALSE)</f>
        <v>#N/A</v>
      </c>
      <c r="S86" s="11" t="e">
        <f>VLOOKUP($G86, 'ADP Data'!$B$4:$Q$300, 8, FALSE)</f>
        <v>#N/A</v>
      </c>
      <c r="T86" s="11" t="e">
        <f>VLOOKUP($G86, 'ADP Data'!$B$4:$Q$300, 9, FALSE)</f>
        <v>#N/A</v>
      </c>
      <c r="U86" s="11" t="e">
        <f t="shared" si="2"/>
        <v>#N/A</v>
      </c>
      <c r="V86" s="11"/>
    </row>
    <row r="87" spans="1:22" ht="14.25" customHeight="1" x14ac:dyDescent="0.25">
      <c r="A87" s="11" t="s">
        <v>1156</v>
      </c>
      <c r="B87" s="11" t="e">
        <f t="shared" si="0"/>
        <v>#N/A</v>
      </c>
      <c r="C87" s="11" t="s">
        <v>148</v>
      </c>
      <c r="D87" s="11">
        <v>5</v>
      </c>
      <c r="E87" s="60">
        <v>6</v>
      </c>
      <c r="F87" s="60" t="s">
        <v>148</v>
      </c>
      <c r="G87" s="60" t="s">
        <v>362</v>
      </c>
      <c r="H87" s="60" t="s">
        <v>55</v>
      </c>
      <c r="I87" s="60" t="s">
        <v>764</v>
      </c>
      <c r="J87" s="60" t="s">
        <v>1541</v>
      </c>
      <c r="K87" s="60" t="s">
        <v>1496</v>
      </c>
      <c r="L87" s="60">
        <v>35</v>
      </c>
      <c r="M87" s="11">
        <f t="shared" si="1"/>
        <v>16</v>
      </c>
      <c r="N87" s="11" t="e">
        <f>VLOOKUP($G87, 'ADP Data'!$B$4:$Q$300, 6, FALSE)</f>
        <v>#N/A</v>
      </c>
      <c r="O87" s="11" t="e">
        <f>VLOOKUP($G87, 'ADP Data'!$B$4:$Q$300, 10, FALSE)</f>
        <v>#N/A</v>
      </c>
      <c r="P87" s="11" t="e">
        <f>VLOOKUP($G87, 'ADP Data'!$B$4:$Q$300, 4, FALSE)</f>
        <v>#N/A</v>
      </c>
      <c r="Q87" s="11" t="e">
        <f>VLOOKUP($G87, 'ADP Data'!$B$4:$Q$300, 5, FALSE)</f>
        <v>#N/A</v>
      </c>
      <c r="R87" s="11" t="e">
        <f>VLOOKUP($G87, 'ADP Data'!$B$4:$Q$300, 7, FALSE)</f>
        <v>#N/A</v>
      </c>
      <c r="S87" s="11" t="e">
        <f>VLOOKUP($G87, 'ADP Data'!$B$4:$Q$300, 8, FALSE)</f>
        <v>#N/A</v>
      </c>
      <c r="T87" s="11" t="e">
        <f>VLOOKUP($G87, 'ADP Data'!$B$4:$Q$300, 9, FALSE)</f>
        <v>#N/A</v>
      </c>
      <c r="U87" s="11" t="e">
        <f t="shared" si="2"/>
        <v>#N/A</v>
      </c>
      <c r="V87" s="11"/>
    </row>
    <row r="88" spans="1:22" ht="14.25" customHeight="1" x14ac:dyDescent="0.25">
      <c r="A88" s="11"/>
      <c r="B88" s="11" t="e">
        <f t="shared" si="0"/>
        <v>#N/A</v>
      </c>
      <c r="C88" s="11" t="s">
        <v>148</v>
      </c>
      <c r="D88" s="11">
        <v>1</v>
      </c>
      <c r="E88" s="11">
        <v>2</v>
      </c>
      <c r="F88" s="11"/>
      <c r="G88" s="11" t="s">
        <v>1229</v>
      </c>
      <c r="H88" s="11" t="s">
        <v>214</v>
      </c>
      <c r="I88" s="11" t="s">
        <v>769</v>
      </c>
      <c r="J88" s="85" t="s">
        <v>1337</v>
      </c>
      <c r="K88" s="11" t="s">
        <v>1183</v>
      </c>
      <c r="L88" s="11">
        <v>17</v>
      </c>
      <c r="M88" s="11">
        <f t="shared" si="1"/>
        <v>16</v>
      </c>
      <c r="N88" s="11" t="e">
        <f>VLOOKUP($G88, 'ADP Data'!$B$4:$Q$300, 6, FALSE)</f>
        <v>#N/A</v>
      </c>
      <c r="O88" s="11" t="e">
        <f>VLOOKUP($G88, 'ADP Data'!$B$4:$Q$300, 10, FALSE)</f>
        <v>#N/A</v>
      </c>
      <c r="P88" s="11" t="e">
        <f>VLOOKUP($G88, 'ADP Data'!$B$4:$Q$300, 4, FALSE)</f>
        <v>#N/A</v>
      </c>
      <c r="Q88" s="11" t="e">
        <f>VLOOKUP($G88, 'ADP Data'!$B$4:$Q$300, 5, FALSE)</f>
        <v>#N/A</v>
      </c>
      <c r="R88" s="11" t="e">
        <f>VLOOKUP($G88, 'ADP Data'!$B$4:$Q$300, 7, FALSE)</f>
        <v>#N/A</v>
      </c>
      <c r="S88" s="11" t="e">
        <f>VLOOKUP($G88, 'ADP Data'!$B$4:$Q$300, 8, FALSE)</f>
        <v>#N/A</v>
      </c>
      <c r="T88" s="11" t="e">
        <f>VLOOKUP($G88, 'ADP Data'!$B$4:$Q$300, 9, FALSE)</f>
        <v>#N/A</v>
      </c>
      <c r="U88" s="11" t="e">
        <f t="shared" si="2"/>
        <v>#N/A</v>
      </c>
      <c r="V88" s="11"/>
    </row>
    <row r="89" spans="1:22" ht="14.25" customHeight="1" x14ac:dyDescent="0.25">
      <c r="A89" s="11"/>
      <c r="B89" s="11" t="e">
        <f t="shared" si="0"/>
        <v>#N/A</v>
      </c>
      <c r="C89" s="11" t="s">
        <v>148</v>
      </c>
      <c r="D89" s="11">
        <v>8</v>
      </c>
      <c r="E89" s="11">
        <v>6</v>
      </c>
      <c r="F89" s="11"/>
      <c r="G89" s="11" t="s">
        <v>429</v>
      </c>
      <c r="H89" s="11" t="s">
        <v>168</v>
      </c>
      <c r="I89" s="11" t="s">
        <v>764</v>
      </c>
      <c r="J89" s="85" t="s">
        <v>1542</v>
      </c>
      <c r="K89" s="11" t="s">
        <v>1543</v>
      </c>
      <c r="L89" s="11">
        <v>36</v>
      </c>
      <c r="M89" s="11">
        <f t="shared" si="1"/>
        <v>16</v>
      </c>
      <c r="N89" s="11" t="e">
        <f>VLOOKUP($G89, 'ADP Data'!$B$4:$Q$300, 6, FALSE)</f>
        <v>#N/A</v>
      </c>
      <c r="O89" s="11" t="e">
        <f>VLOOKUP($G89, 'ADP Data'!$B$4:$Q$300, 10, FALSE)</f>
        <v>#N/A</v>
      </c>
      <c r="P89" s="11" t="e">
        <f>VLOOKUP($G89, 'ADP Data'!$B$4:$Q$300, 4, FALSE)</f>
        <v>#N/A</v>
      </c>
      <c r="Q89" s="11" t="e">
        <f>VLOOKUP($G89, 'ADP Data'!$B$4:$Q$300, 5, FALSE)</f>
        <v>#N/A</v>
      </c>
      <c r="R89" s="11" t="e">
        <f>VLOOKUP($G89, 'ADP Data'!$B$4:$Q$300, 7, FALSE)</f>
        <v>#N/A</v>
      </c>
      <c r="S89" s="11" t="e">
        <f>VLOOKUP($G89, 'ADP Data'!$B$4:$Q$300, 8, FALSE)</f>
        <v>#N/A</v>
      </c>
      <c r="T89" s="11" t="e">
        <f>VLOOKUP($G89, 'ADP Data'!$B$4:$Q$300, 9, FALSE)</f>
        <v>#N/A</v>
      </c>
      <c r="U89" s="11" t="e">
        <f t="shared" si="2"/>
        <v>#N/A</v>
      </c>
      <c r="V89" s="11"/>
    </row>
    <row r="90" spans="1:22" ht="14.25" customHeight="1" x14ac:dyDescent="0.25">
      <c r="A90" s="11"/>
      <c r="B90" s="11" t="e">
        <f t="shared" si="0"/>
        <v>#N/A</v>
      </c>
      <c r="C90" s="11" t="s">
        <v>148</v>
      </c>
      <c r="D90" s="11">
        <v>5</v>
      </c>
      <c r="E90" s="11">
        <v>5</v>
      </c>
      <c r="F90" s="11" t="s">
        <v>148</v>
      </c>
      <c r="G90" s="11" t="s">
        <v>1184</v>
      </c>
      <c r="H90" s="11" t="s">
        <v>91</v>
      </c>
      <c r="I90" s="11" t="s">
        <v>764</v>
      </c>
      <c r="J90" s="85" t="s">
        <v>1544</v>
      </c>
      <c r="K90" s="11" t="s">
        <v>1543</v>
      </c>
      <c r="L90" s="11">
        <v>37</v>
      </c>
      <c r="M90" s="11">
        <f t="shared" si="1"/>
        <v>16</v>
      </c>
      <c r="N90" s="11" t="e">
        <f>VLOOKUP($G90, 'ADP Data'!$B$4:$Q$300, 6, FALSE)</f>
        <v>#N/A</v>
      </c>
      <c r="O90" s="11" t="e">
        <f>VLOOKUP($G90, 'ADP Data'!$B$4:$Q$300, 10, FALSE)</f>
        <v>#N/A</v>
      </c>
      <c r="P90" s="11" t="e">
        <f>VLOOKUP($G90, 'ADP Data'!$B$4:$Q$300, 4, FALSE)</f>
        <v>#N/A</v>
      </c>
      <c r="Q90" s="11" t="e">
        <f>VLOOKUP($G90, 'ADP Data'!$B$4:$Q$300, 5, FALSE)</f>
        <v>#N/A</v>
      </c>
      <c r="R90" s="11" t="e">
        <f>VLOOKUP($G90, 'ADP Data'!$B$4:$Q$300, 7, FALSE)</f>
        <v>#N/A</v>
      </c>
      <c r="S90" s="11" t="e">
        <f>VLOOKUP($G90, 'ADP Data'!$B$4:$Q$300, 8, FALSE)</f>
        <v>#N/A</v>
      </c>
      <c r="T90" s="11" t="e">
        <f>VLOOKUP($G90, 'ADP Data'!$B$4:$Q$300, 9, FALSE)</f>
        <v>#N/A</v>
      </c>
      <c r="U90" s="11" t="e">
        <f t="shared" si="2"/>
        <v>#N/A</v>
      </c>
      <c r="V90" s="11" t="s">
        <v>1545</v>
      </c>
    </row>
    <row r="91" spans="1:22" ht="14.25" customHeight="1" x14ac:dyDescent="0.25">
      <c r="A91" s="11"/>
      <c r="B91" s="11" t="e">
        <f t="shared" si="0"/>
        <v>#N/A</v>
      </c>
      <c r="C91" s="11" t="s">
        <v>148</v>
      </c>
      <c r="D91" s="11">
        <v>3</v>
      </c>
      <c r="E91" s="11">
        <v>2</v>
      </c>
      <c r="F91" s="11"/>
      <c r="G91" s="11" t="s">
        <v>1204</v>
      </c>
      <c r="H91" s="11" t="s">
        <v>163</v>
      </c>
      <c r="I91" s="11" t="s">
        <v>762</v>
      </c>
      <c r="J91" s="85" t="s">
        <v>1546</v>
      </c>
      <c r="K91" s="11" t="s">
        <v>1500</v>
      </c>
      <c r="L91" s="11">
        <v>31</v>
      </c>
      <c r="M91" s="11">
        <f t="shared" si="1"/>
        <v>16</v>
      </c>
      <c r="N91" s="11" t="e">
        <f>VLOOKUP($G91, 'ADP Data'!$B$4:$Q$300, 6, FALSE)</f>
        <v>#N/A</v>
      </c>
      <c r="O91" s="11" t="e">
        <f>VLOOKUP($G91, 'ADP Data'!$B$4:$Q$300, 10, FALSE)</f>
        <v>#N/A</v>
      </c>
      <c r="P91" s="11" t="e">
        <f>VLOOKUP($G91, 'ADP Data'!$B$4:$Q$300, 4, FALSE)</f>
        <v>#N/A</v>
      </c>
      <c r="Q91" s="11" t="e">
        <f>VLOOKUP($G91, 'ADP Data'!$B$4:$Q$300, 5, FALSE)</f>
        <v>#N/A</v>
      </c>
      <c r="R91" s="11" t="e">
        <f>VLOOKUP($G91, 'ADP Data'!$B$4:$Q$300, 7, FALSE)</f>
        <v>#N/A</v>
      </c>
      <c r="S91" s="11" t="e">
        <f>VLOOKUP($G91, 'ADP Data'!$B$4:$Q$300, 8, FALSE)</f>
        <v>#N/A</v>
      </c>
      <c r="T91" s="11" t="e">
        <f>VLOOKUP($G91, 'ADP Data'!$B$4:$Q$300, 9, FALSE)</f>
        <v>#N/A</v>
      </c>
      <c r="U91" s="11" t="e">
        <f t="shared" si="2"/>
        <v>#N/A</v>
      </c>
      <c r="V91" s="11"/>
    </row>
    <row r="92" spans="1:22" ht="14.25" customHeight="1" x14ac:dyDescent="0.25">
      <c r="A92" s="11" t="s">
        <v>1156</v>
      </c>
      <c r="B92" s="11" t="e">
        <f t="shared" si="0"/>
        <v>#N/A</v>
      </c>
      <c r="C92" s="11" t="s">
        <v>148</v>
      </c>
      <c r="D92" s="11">
        <v>2</v>
      </c>
      <c r="E92" s="11">
        <v>2</v>
      </c>
      <c r="F92" s="11"/>
      <c r="G92" s="11" t="s">
        <v>322</v>
      </c>
      <c r="H92" s="11" t="s">
        <v>78</v>
      </c>
      <c r="I92" s="11" t="s">
        <v>769</v>
      </c>
      <c r="J92" s="85">
        <v>7</v>
      </c>
      <c r="K92" s="11" t="s">
        <v>781</v>
      </c>
      <c r="L92" s="11">
        <v>11</v>
      </c>
      <c r="M92" s="11">
        <f t="shared" si="1"/>
        <v>16</v>
      </c>
      <c r="N92" s="11" t="e">
        <f>VLOOKUP($G92, 'ADP Data'!$B$4:$Q$300, 6, FALSE)</f>
        <v>#N/A</v>
      </c>
      <c r="O92" s="11" t="e">
        <f>VLOOKUP($G92, 'ADP Data'!$B$4:$Q$300, 10, FALSE)</f>
        <v>#N/A</v>
      </c>
      <c r="P92" s="11" t="e">
        <f>VLOOKUP($G92, 'ADP Data'!$B$4:$Q$300, 4, FALSE)</f>
        <v>#N/A</v>
      </c>
      <c r="Q92" s="11" t="e">
        <f>VLOOKUP($G92, 'ADP Data'!$B$4:$Q$300, 5, FALSE)</f>
        <v>#N/A</v>
      </c>
      <c r="R92" s="11" t="e">
        <f>VLOOKUP($G92, 'ADP Data'!$B$4:$Q$300, 7, FALSE)</f>
        <v>#N/A</v>
      </c>
      <c r="S92" s="11" t="e">
        <f>VLOOKUP($G92, 'ADP Data'!$B$4:$Q$300, 8, FALSE)</f>
        <v>#N/A</v>
      </c>
      <c r="T92" s="11" t="e">
        <f>VLOOKUP($G92, 'ADP Data'!$B$4:$Q$300, 9, FALSE)</f>
        <v>#N/A</v>
      </c>
      <c r="U92" s="11" t="e">
        <f t="shared" si="2"/>
        <v>#N/A</v>
      </c>
      <c r="V92" s="11"/>
    </row>
    <row r="93" spans="1:22" ht="14.25" customHeight="1" x14ac:dyDescent="0.25">
      <c r="A93" s="11"/>
      <c r="B93" s="11" t="e">
        <f t="shared" si="0"/>
        <v>#N/A</v>
      </c>
      <c r="C93" s="11" t="s">
        <v>148</v>
      </c>
      <c r="D93" s="11">
        <v>12</v>
      </c>
      <c r="E93" s="11">
        <v>1</v>
      </c>
      <c r="F93" s="11"/>
      <c r="G93" s="11" t="s">
        <v>262</v>
      </c>
      <c r="H93" s="11" t="s">
        <v>88</v>
      </c>
      <c r="I93" s="11" t="s">
        <v>760</v>
      </c>
      <c r="J93" s="85">
        <v>7</v>
      </c>
      <c r="K93" s="11" t="s">
        <v>1547</v>
      </c>
      <c r="L93" s="11">
        <v>10</v>
      </c>
      <c r="M93" s="11">
        <f t="shared" si="1"/>
        <v>16</v>
      </c>
      <c r="N93" s="11" t="e">
        <f>VLOOKUP($G93, 'ADP Data'!$B$4:$Q$300, 6, FALSE)</f>
        <v>#N/A</v>
      </c>
      <c r="O93" s="11" t="e">
        <f>VLOOKUP($G93, 'ADP Data'!$B$4:$Q$300, 10, FALSE)</f>
        <v>#N/A</v>
      </c>
      <c r="P93" s="11" t="e">
        <f>VLOOKUP($G93, 'ADP Data'!$B$4:$Q$300, 4, FALSE)</f>
        <v>#N/A</v>
      </c>
      <c r="Q93" s="11" t="e">
        <f>VLOOKUP($G93, 'ADP Data'!$B$4:$Q$300, 5, FALSE)</f>
        <v>#N/A</v>
      </c>
      <c r="R93" s="11" t="e">
        <f>VLOOKUP($G93, 'ADP Data'!$B$4:$Q$300, 7, FALSE)</f>
        <v>#N/A</v>
      </c>
      <c r="S93" s="11" t="e">
        <f>VLOOKUP($G93, 'ADP Data'!$B$4:$Q$300, 8, FALSE)</f>
        <v>#N/A</v>
      </c>
      <c r="T93" s="11" t="e">
        <f>VLOOKUP($G93, 'ADP Data'!$B$4:$Q$300, 9, FALSE)</f>
        <v>#N/A</v>
      </c>
      <c r="U93" s="11" t="e">
        <f t="shared" si="2"/>
        <v>#N/A</v>
      </c>
      <c r="V93" s="11"/>
    </row>
    <row r="94" spans="1:22" ht="14.25" customHeight="1" x14ac:dyDescent="0.25">
      <c r="A94" s="11"/>
      <c r="B94" s="11" t="e">
        <f t="shared" si="0"/>
        <v>#N/A</v>
      </c>
      <c r="C94" s="11" t="s">
        <v>148</v>
      </c>
      <c r="D94" s="11"/>
      <c r="E94" s="11">
        <v>3</v>
      </c>
      <c r="F94" s="11"/>
      <c r="G94" s="45" t="s">
        <v>1175</v>
      </c>
      <c r="H94" s="11" t="s">
        <v>199</v>
      </c>
      <c r="I94" s="11" t="s">
        <v>764</v>
      </c>
      <c r="J94" s="85" t="s">
        <v>1531</v>
      </c>
      <c r="K94" s="11" t="s">
        <v>1548</v>
      </c>
      <c r="L94" s="11">
        <v>38</v>
      </c>
      <c r="M94" s="11">
        <f t="shared" si="1"/>
        <v>16</v>
      </c>
      <c r="N94" s="11" t="e">
        <f>VLOOKUP($G94, 'ADP Data'!$B$4:$Q$300, 6, FALSE)</f>
        <v>#N/A</v>
      </c>
      <c r="O94" s="11" t="e">
        <f>VLOOKUP($G94, 'ADP Data'!$B$4:$Q$300, 10, FALSE)</f>
        <v>#N/A</v>
      </c>
      <c r="P94" s="11" t="e">
        <f>VLOOKUP($G94, 'ADP Data'!$B$4:$Q$300, 4, FALSE)</f>
        <v>#N/A</v>
      </c>
      <c r="Q94" s="11" t="e">
        <f>VLOOKUP($G94, 'ADP Data'!$B$4:$Q$300, 5, FALSE)</f>
        <v>#N/A</v>
      </c>
      <c r="R94" s="11" t="e">
        <f>VLOOKUP($G94, 'ADP Data'!$B$4:$Q$300, 7, FALSE)</f>
        <v>#N/A</v>
      </c>
      <c r="S94" s="11" t="e">
        <f>VLOOKUP($G94, 'ADP Data'!$B$4:$Q$300, 8, FALSE)</f>
        <v>#N/A</v>
      </c>
      <c r="T94" s="11" t="e">
        <f>VLOOKUP($G94, 'ADP Data'!$B$4:$Q$300, 9, FALSE)</f>
        <v>#N/A</v>
      </c>
      <c r="U94" s="11" t="e">
        <f t="shared" si="2"/>
        <v>#N/A</v>
      </c>
    </row>
    <row r="95" spans="1:22" ht="14.25" customHeight="1" x14ac:dyDescent="0.25">
      <c r="A95" s="11"/>
      <c r="B95" s="11" t="e">
        <f t="shared" si="0"/>
        <v>#N/A</v>
      </c>
      <c r="C95" s="11" t="s">
        <v>148</v>
      </c>
      <c r="D95" s="11"/>
      <c r="E95" s="11">
        <v>3</v>
      </c>
      <c r="F95" s="11"/>
      <c r="G95" s="11" t="s">
        <v>994</v>
      </c>
      <c r="H95" s="11" t="s">
        <v>49</v>
      </c>
      <c r="I95" s="11" t="s">
        <v>769</v>
      </c>
      <c r="J95" s="85" t="s">
        <v>1341</v>
      </c>
      <c r="K95" s="11" t="s">
        <v>781</v>
      </c>
      <c r="L95" s="11">
        <v>8</v>
      </c>
      <c r="M95" s="11">
        <f t="shared" si="1"/>
        <v>16</v>
      </c>
      <c r="N95" s="11" t="e">
        <f>VLOOKUP($G95, 'ADP Data'!$B$4:$Q$300, 6, FALSE)</f>
        <v>#N/A</v>
      </c>
      <c r="O95" s="11" t="e">
        <f>VLOOKUP($G95, 'ADP Data'!$B$4:$Q$300, 10, FALSE)</f>
        <v>#N/A</v>
      </c>
      <c r="P95" s="11" t="e">
        <f>VLOOKUP($G95, 'ADP Data'!$B$4:$Q$300, 4, FALSE)</f>
        <v>#N/A</v>
      </c>
      <c r="Q95" s="11" t="e">
        <f>VLOOKUP($G95, 'ADP Data'!$B$4:$Q$300, 5, FALSE)</f>
        <v>#N/A</v>
      </c>
      <c r="R95" s="11" t="e">
        <f>VLOOKUP($G95, 'ADP Data'!$B$4:$Q$300, 7, FALSE)</f>
        <v>#N/A</v>
      </c>
      <c r="S95" s="11" t="e">
        <f>VLOOKUP($G95, 'ADP Data'!$B$4:$Q$300, 8, FALSE)</f>
        <v>#N/A</v>
      </c>
      <c r="T95" s="11" t="e">
        <f>VLOOKUP($G95, 'ADP Data'!$B$4:$Q$300, 9, FALSE)</f>
        <v>#N/A</v>
      </c>
      <c r="U95" s="11" t="e">
        <f t="shared" si="2"/>
        <v>#N/A</v>
      </c>
      <c r="V95" s="11"/>
    </row>
    <row r="96" spans="1:22" ht="14.25" customHeight="1" x14ac:dyDescent="0.25">
      <c r="A96" s="11"/>
      <c r="B96" s="11" t="e">
        <f t="shared" si="0"/>
        <v>#N/A</v>
      </c>
      <c r="C96" s="11" t="s">
        <v>148</v>
      </c>
      <c r="D96" s="11">
        <v>4</v>
      </c>
      <c r="E96" s="11">
        <v>2</v>
      </c>
      <c r="F96" s="11"/>
      <c r="G96" s="45" t="s">
        <v>235</v>
      </c>
      <c r="H96" s="11" t="s">
        <v>78</v>
      </c>
      <c r="I96" s="11" t="s">
        <v>760</v>
      </c>
      <c r="J96" s="85" t="s">
        <v>1337</v>
      </c>
      <c r="K96" s="11" t="s">
        <v>1547</v>
      </c>
      <c r="L96" s="11">
        <v>11</v>
      </c>
      <c r="M96" s="11">
        <f t="shared" si="1"/>
        <v>16</v>
      </c>
      <c r="N96" s="11" t="e">
        <f>VLOOKUP($G96, 'ADP Data'!$B$4:$Q$300, 6, FALSE)</f>
        <v>#N/A</v>
      </c>
      <c r="O96" s="11" t="e">
        <f>VLOOKUP($G96, 'ADP Data'!$B$4:$Q$300, 10, FALSE)</f>
        <v>#N/A</v>
      </c>
      <c r="P96" s="11" t="e">
        <f>VLOOKUP($G96, 'ADP Data'!$B$4:$Q$300, 4, FALSE)</f>
        <v>#N/A</v>
      </c>
      <c r="Q96" s="11" t="e">
        <f>VLOOKUP($G96, 'ADP Data'!$B$4:$Q$300, 5, FALSE)</f>
        <v>#N/A</v>
      </c>
      <c r="R96" s="11" t="e">
        <f>VLOOKUP($G96, 'ADP Data'!$B$4:$Q$300, 7, FALSE)</f>
        <v>#N/A</v>
      </c>
      <c r="S96" s="11" t="e">
        <f>VLOOKUP($G96, 'ADP Data'!$B$4:$Q$300, 8, FALSE)</f>
        <v>#N/A</v>
      </c>
      <c r="T96" s="11" t="e">
        <f>VLOOKUP($G96, 'ADP Data'!$B$4:$Q$300, 9, FALSE)</f>
        <v>#N/A</v>
      </c>
      <c r="U96" s="11" t="e">
        <f t="shared" si="2"/>
        <v>#N/A</v>
      </c>
      <c r="V96" s="11" t="s">
        <v>1549</v>
      </c>
    </row>
    <row r="97" spans="1:22" ht="14.25" customHeight="1" x14ac:dyDescent="0.25">
      <c r="A97" s="11" t="s">
        <v>1156</v>
      </c>
      <c r="B97" s="11" t="e">
        <f t="shared" si="0"/>
        <v>#N/A</v>
      </c>
      <c r="C97" s="11" t="s">
        <v>148</v>
      </c>
      <c r="D97" s="11">
        <v>3</v>
      </c>
      <c r="E97" s="11">
        <v>2</v>
      </c>
      <c r="F97" s="11"/>
      <c r="G97" s="45" t="s">
        <v>1168</v>
      </c>
      <c r="H97" s="11" t="s">
        <v>168</v>
      </c>
      <c r="I97" s="11" t="s">
        <v>762</v>
      </c>
      <c r="J97" s="85" t="s">
        <v>1539</v>
      </c>
      <c r="K97" s="11" t="s">
        <v>1500</v>
      </c>
      <c r="L97" s="11">
        <v>32</v>
      </c>
      <c r="M97" s="11">
        <f t="shared" si="1"/>
        <v>16</v>
      </c>
      <c r="N97" s="11" t="e">
        <f>VLOOKUP($G97, 'ADP Data'!$B$4:$Q$300, 6, FALSE)</f>
        <v>#N/A</v>
      </c>
      <c r="O97" s="11" t="e">
        <f>VLOOKUP($G97, 'ADP Data'!$B$4:$Q$300, 10, FALSE)</f>
        <v>#N/A</v>
      </c>
      <c r="P97" s="11" t="e">
        <f>VLOOKUP($G97, 'ADP Data'!$B$4:$Q$300, 4, FALSE)</f>
        <v>#N/A</v>
      </c>
      <c r="Q97" s="11" t="e">
        <f>VLOOKUP($G97, 'ADP Data'!$B$4:$Q$300, 5, FALSE)</f>
        <v>#N/A</v>
      </c>
      <c r="R97" s="11" t="e">
        <f>VLOOKUP($G97, 'ADP Data'!$B$4:$Q$300, 7, FALSE)</f>
        <v>#N/A</v>
      </c>
      <c r="S97" s="11" t="e">
        <f>VLOOKUP($G97, 'ADP Data'!$B$4:$Q$300, 8, FALSE)</f>
        <v>#N/A</v>
      </c>
      <c r="T97" s="11" t="e">
        <f>VLOOKUP($G97, 'ADP Data'!$B$4:$Q$300, 9, FALSE)</f>
        <v>#N/A</v>
      </c>
      <c r="U97" s="11" t="e">
        <f t="shared" si="2"/>
        <v>#N/A</v>
      </c>
      <c r="V97" s="11"/>
    </row>
    <row r="98" spans="1:22" ht="14.25" customHeight="1" x14ac:dyDescent="0.25">
      <c r="A98" s="11"/>
      <c r="B98" s="11" t="e">
        <f t="shared" si="0"/>
        <v>#N/A</v>
      </c>
      <c r="C98" s="11" t="s">
        <v>148</v>
      </c>
      <c r="D98" s="11"/>
      <c r="E98" s="11">
        <v>1</v>
      </c>
      <c r="F98" s="11"/>
      <c r="G98" s="11" t="s">
        <v>306</v>
      </c>
      <c r="H98" s="11" t="s">
        <v>49</v>
      </c>
      <c r="I98" s="11" t="s">
        <v>760</v>
      </c>
      <c r="J98" s="85" t="s">
        <v>1341</v>
      </c>
      <c r="K98" s="11" t="s">
        <v>1550</v>
      </c>
      <c r="L98" s="11">
        <v>12</v>
      </c>
      <c r="M98" s="11">
        <f t="shared" si="1"/>
        <v>16</v>
      </c>
      <c r="N98" s="11" t="e">
        <f>VLOOKUP($G98, 'ADP Data'!$B$4:$Q$300, 6, FALSE)</f>
        <v>#N/A</v>
      </c>
      <c r="O98" s="11" t="e">
        <f>VLOOKUP($G98, 'ADP Data'!$B$4:$Q$300, 10, FALSE)</f>
        <v>#N/A</v>
      </c>
      <c r="P98" s="11" t="e">
        <f>VLOOKUP($G98, 'ADP Data'!$B$4:$Q$300, 4, FALSE)</f>
        <v>#N/A</v>
      </c>
      <c r="Q98" s="11" t="e">
        <f>VLOOKUP($G98, 'ADP Data'!$B$4:$Q$300, 5, FALSE)</f>
        <v>#N/A</v>
      </c>
      <c r="R98" s="11" t="e">
        <f>VLOOKUP($G98, 'ADP Data'!$B$4:$Q$300, 7, FALSE)</f>
        <v>#N/A</v>
      </c>
      <c r="S98" s="11" t="e">
        <f>VLOOKUP($G98, 'ADP Data'!$B$4:$Q$300, 8, FALSE)</f>
        <v>#N/A</v>
      </c>
      <c r="T98" s="11" t="e">
        <f>VLOOKUP($G98, 'ADP Data'!$B$4:$Q$300, 9, FALSE)</f>
        <v>#N/A</v>
      </c>
      <c r="U98" s="11" t="e">
        <f t="shared" si="2"/>
        <v>#N/A</v>
      </c>
      <c r="V98" s="11"/>
    </row>
    <row r="99" spans="1:22" ht="14.25" customHeight="1" x14ac:dyDescent="0.25">
      <c r="A99" s="11"/>
      <c r="B99" s="11" t="e">
        <f t="shared" si="0"/>
        <v>#N/A</v>
      </c>
      <c r="C99" s="11" t="s">
        <v>148</v>
      </c>
      <c r="D99" s="11">
        <v>6</v>
      </c>
      <c r="E99" s="11"/>
      <c r="F99" s="11"/>
      <c r="G99" s="11" t="s">
        <v>1235</v>
      </c>
      <c r="H99" s="11" t="s">
        <v>69</v>
      </c>
      <c r="I99" s="11" t="s">
        <v>764</v>
      </c>
      <c r="J99" s="85" t="s">
        <v>1551</v>
      </c>
      <c r="K99" s="11" t="s">
        <v>1543</v>
      </c>
      <c r="L99" s="11">
        <v>39</v>
      </c>
      <c r="M99" s="11">
        <f t="shared" si="1"/>
        <v>16</v>
      </c>
      <c r="N99" s="11" t="e">
        <f>VLOOKUP($G99, 'ADP Data'!$B$4:$Q$300, 6, FALSE)</f>
        <v>#N/A</v>
      </c>
      <c r="O99" s="11" t="e">
        <f>VLOOKUP($G99, 'ADP Data'!$B$4:$Q$300, 10, FALSE)</f>
        <v>#N/A</v>
      </c>
      <c r="P99" s="11" t="e">
        <f>VLOOKUP($G99, 'ADP Data'!$B$4:$Q$300, 4, FALSE)</f>
        <v>#N/A</v>
      </c>
      <c r="Q99" s="11" t="e">
        <f>VLOOKUP($G99, 'ADP Data'!$B$4:$Q$300, 5, FALSE)</f>
        <v>#N/A</v>
      </c>
      <c r="R99" s="11" t="e">
        <f>VLOOKUP($G99, 'ADP Data'!$B$4:$Q$300, 7, FALSE)</f>
        <v>#N/A</v>
      </c>
      <c r="S99" s="11" t="e">
        <f>VLOOKUP($G99, 'ADP Data'!$B$4:$Q$300, 8, FALSE)</f>
        <v>#N/A</v>
      </c>
      <c r="T99" s="11" t="e">
        <f>VLOOKUP($G99, 'ADP Data'!$B$4:$Q$300, 9, FALSE)</f>
        <v>#N/A</v>
      </c>
      <c r="U99" s="11" t="e">
        <f t="shared" si="2"/>
        <v>#N/A</v>
      </c>
      <c r="V99" s="11" t="s">
        <v>1552</v>
      </c>
    </row>
    <row r="100" spans="1:22" ht="14.25" customHeight="1" x14ac:dyDescent="0.25">
      <c r="A100" s="11"/>
      <c r="B100" s="11" t="e">
        <f t="shared" si="0"/>
        <v>#N/A</v>
      </c>
      <c r="C100" s="11" t="s">
        <v>148</v>
      </c>
      <c r="D100" s="11">
        <v>2</v>
      </c>
      <c r="E100" s="43">
        <v>2</v>
      </c>
      <c r="F100" s="11" t="s">
        <v>148</v>
      </c>
      <c r="G100" s="11" t="s">
        <v>974</v>
      </c>
      <c r="H100" s="11" t="s">
        <v>214</v>
      </c>
      <c r="I100" s="11" t="s">
        <v>762</v>
      </c>
      <c r="J100" s="85" t="s">
        <v>1526</v>
      </c>
      <c r="K100" s="11" t="s">
        <v>1553</v>
      </c>
      <c r="L100" s="11">
        <v>33</v>
      </c>
      <c r="M100" s="11">
        <f t="shared" si="1"/>
        <v>16</v>
      </c>
      <c r="N100" s="11" t="e">
        <f>VLOOKUP($G100, 'ADP Data'!$B$4:$Q$300, 6, FALSE)</f>
        <v>#N/A</v>
      </c>
      <c r="O100" s="11" t="e">
        <f>VLOOKUP($G100, 'ADP Data'!$B$4:$Q$300, 10, FALSE)</f>
        <v>#N/A</v>
      </c>
      <c r="P100" s="11" t="e">
        <f>VLOOKUP($G100, 'ADP Data'!$B$4:$Q$300, 4, FALSE)</f>
        <v>#N/A</v>
      </c>
      <c r="Q100" s="11" t="e">
        <f>VLOOKUP($G100, 'ADP Data'!$B$4:$Q$300, 5, FALSE)</f>
        <v>#N/A</v>
      </c>
      <c r="R100" s="11" t="e">
        <f>VLOOKUP($G100, 'ADP Data'!$B$4:$Q$300, 7, FALSE)</f>
        <v>#N/A</v>
      </c>
      <c r="S100" s="11" t="e">
        <f>VLOOKUP($G100, 'ADP Data'!$B$4:$Q$300, 8, FALSE)</f>
        <v>#N/A</v>
      </c>
      <c r="T100" s="11" t="e">
        <f>VLOOKUP($G100, 'ADP Data'!$B$4:$Q$300, 9, FALSE)</f>
        <v>#N/A</v>
      </c>
      <c r="U100" s="11" t="e">
        <f t="shared" si="2"/>
        <v>#N/A</v>
      </c>
      <c r="V100" s="43" t="s">
        <v>1554</v>
      </c>
    </row>
    <row r="101" spans="1:22" ht="14.25" customHeight="1" x14ac:dyDescent="0.25">
      <c r="A101" s="11"/>
      <c r="B101" s="11" t="e">
        <f t="shared" si="0"/>
        <v>#N/A</v>
      </c>
      <c r="C101" s="11" t="s">
        <v>148</v>
      </c>
      <c r="D101" s="11">
        <v>4</v>
      </c>
      <c r="E101" s="11">
        <v>2</v>
      </c>
      <c r="F101" s="11" t="s">
        <v>148</v>
      </c>
      <c r="G101" s="11" t="s">
        <v>1245</v>
      </c>
      <c r="H101" s="11" t="s">
        <v>94</v>
      </c>
      <c r="I101" s="11" t="s">
        <v>762</v>
      </c>
      <c r="J101" s="85" t="s">
        <v>1555</v>
      </c>
      <c r="K101" s="11" t="s">
        <v>1553</v>
      </c>
      <c r="L101" s="11">
        <v>34</v>
      </c>
      <c r="M101" s="11">
        <f t="shared" si="1"/>
        <v>16</v>
      </c>
      <c r="N101" s="11" t="e">
        <f>VLOOKUP($G101, 'ADP Data'!$B$4:$Q$300, 6, FALSE)</f>
        <v>#N/A</v>
      </c>
      <c r="O101" s="11" t="e">
        <f>VLOOKUP($G101, 'ADP Data'!$B$4:$Q$300, 10, FALSE)</f>
        <v>#N/A</v>
      </c>
      <c r="P101" s="11" t="e">
        <f>VLOOKUP($G101, 'ADP Data'!$B$4:$Q$300, 4, FALSE)</f>
        <v>#N/A</v>
      </c>
      <c r="Q101" s="11" t="e">
        <f>VLOOKUP($G101, 'ADP Data'!$B$4:$Q$300, 5, FALSE)</f>
        <v>#N/A</v>
      </c>
      <c r="R101" s="11" t="e">
        <f>VLOOKUP($G101, 'ADP Data'!$B$4:$Q$300, 7, FALSE)</f>
        <v>#N/A</v>
      </c>
      <c r="S101" s="11" t="e">
        <f>VLOOKUP($G101, 'ADP Data'!$B$4:$Q$300, 8, FALSE)</f>
        <v>#N/A</v>
      </c>
      <c r="T101" s="11" t="e">
        <f>VLOOKUP($G101, 'ADP Data'!$B$4:$Q$300, 9, FALSE)</f>
        <v>#N/A</v>
      </c>
      <c r="U101" s="11" t="e">
        <f t="shared" si="2"/>
        <v>#N/A</v>
      </c>
      <c r="V101" s="11"/>
    </row>
    <row r="102" spans="1:22" ht="14.25" customHeight="1" x14ac:dyDescent="0.25">
      <c r="A102" s="11"/>
      <c r="B102" s="11" t="e">
        <f t="shared" si="0"/>
        <v>#N/A</v>
      </c>
      <c r="C102" s="11" t="s">
        <v>148</v>
      </c>
      <c r="D102" s="11">
        <v>3</v>
      </c>
      <c r="E102" s="11"/>
      <c r="F102" s="11"/>
      <c r="G102" s="11" t="s">
        <v>957</v>
      </c>
      <c r="H102" s="11" t="s">
        <v>44</v>
      </c>
      <c r="I102" s="11" t="s">
        <v>764</v>
      </c>
      <c r="J102" s="85" t="s">
        <v>1556</v>
      </c>
      <c r="K102" s="11" t="s">
        <v>1548</v>
      </c>
      <c r="L102" s="11">
        <v>40</v>
      </c>
      <c r="M102" s="11">
        <f t="shared" si="1"/>
        <v>16</v>
      </c>
      <c r="N102" s="11" t="e">
        <f>VLOOKUP($G102, 'ADP Data'!$B$4:$Q$300, 6, FALSE)</f>
        <v>#N/A</v>
      </c>
      <c r="O102" s="11" t="e">
        <f>VLOOKUP($G102, 'ADP Data'!$B$4:$Q$300, 10, FALSE)</f>
        <v>#N/A</v>
      </c>
      <c r="P102" s="11" t="e">
        <f>VLOOKUP($G102, 'ADP Data'!$B$4:$Q$300, 4, FALSE)</f>
        <v>#N/A</v>
      </c>
      <c r="Q102" s="11" t="e">
        <f>VLOOKUP($G102, 'ADP Data'!$B$4:$Q$300, 5, FALSE)</f>
        <v>#N/A</v>
      </c>
      <c r="R102" s="11" t="e">
        <f>VLOOKUP($G102, 'ADP Data'!$B$4:$Q$300, 7, FALSE)</f>
        <v>#N/A</v>
      </c>
      <c r="S102" s="11" t="e">
        <f>VLOOKUP($G102, 'ADP Data'!$B$4:$Q$300, 8, FALSE)</f>
        <v>#N/A</v>
      </c>
      <c r="T102" s="11" t="e">
        <f>VLOOKUP($G102, 'ADP Data'!$B$4:$Q$300, 9, FALSE)</f>
        <v>#N/A</v>
      </c>
      <c r="U102" s="11" t="e">
        <f t="shared" si="2"/>
        <v>#N/A</v>
      </c>
      <c r="V102" s="11"/>
    </row>
    <row r="103" spans="1:22" ht="14.25" customHeight="1" x14ac:dyDescent="0.25">
      <c r="A103" s="11"/>
      <c r="B103" s="11" t="e">
        <f t="shared" si="0"/>
        <v>#N/A</v>
      </c>
      <c r="C103" s="11" t="s">
        <v>148</v>
      </c>
      <c r="D103" s="11"/>
      <c r="E103" s="11"/>
      <c r="F103" s="11"/>
      <c r="G103" s="11" t="s">
        <v>1209</v>
      </c>
      <c r="H103" s="11" t="s">
        <v>60</v>
      </c>
      <c r="I103" s="11" t="s">
        <v>762</v>
      </c>
      <c r="J103" s="85" t="s">
        <v>1544</v>
      </c>
      <c r="K103" s="11" t="s">
        <v>1553</v>
      </c>
      <c r="L103" s="11">
        <v>35</v>
      </c>
      <c r="M103" s="11">
        <f t="shared" si="1"/>
        <v>16</v>
      </c>
      <c r="N103" s="11" t="e">
        <f>VLOOKUP($G103, 'ADP Data'!$B$4:$Q$300, 6, FALSE)</f>
        <v>#N/A</v>
      </c>
      <c r="O103" s="11" t="e">
        <f>VLOOKUP($G103, 'ADP Data'!$B$4:$Q$300, 10, FALSE)</f>
        <v>#N/A</v>
      </c>
      <c r="P103" s="11" t="e">
        <f>VLOOKUP($G103, 'ADP Data'!$B$4:$Q$300, 4, FALSE)</f>
        <v>#N/A</v>
      </c>
      <c r="Q103" s="11" t="e">
        <f>VLOOKUP($G103, 'ADP Data'!$B$4:$Q$300, 5, FALSE)</f>
        <v>#N/A</v>
      </c>
      <c r="R103" s="11" t="e">
        <f>VLOOKUP($G103, 'ADP Data'!$B$4:$Q$300, 7, FALSE)</f>
        <v>#N/A</v>
      </c>
      <c r="S103" s="11" t="e">
        <f>VLOOKUP($G103, 'ADP Data'!$B$4:$Q$300, 8, FALSE)</f>
        <v>#N/A</v>
      </c>
      <c r="T103" s="11" t="e">
        <f>VLOOKUP($G103, 'ADP Data'!$B$4:$Q$300, 9, FALSE)</f>
        <v>#N/A</v>
      </c>
      <c r="U103" s="11" t="e">
        <f t="shared" si="2"/>
        <v>#N/A</v>
      </c>
      <c r="V103" s="11"/>
    </row>
    <row r="104" spans="1:22" ht="14.25" customHeight="1" x14ac:dyDescent="0.25">
      <c r="A104" s="11"/>
      <c r="B104" s="11" t="e">
        <f t="shared" si="0"/>
        <v>#N/A</v>
      </c>
      <c r="C104" s="11" t="s">
        <v>148</v>
      </c>
      <c r="D104" s="11">
        <v>3</v>
      </c>
      <c r="E104" s="11"/>
      <c r="F104" s="11"/>
      <c r="G104" s="11" t="s">
        <v>915</v>
      </c>
      <c r="H104" s="11" t="s">
        <v>88</v>
      </c>
      <c r="I104" s="11" t="s">
        <v>764</v>
      </c>
      <c r="J104" s="85" t="s">
        <v>1557</v>
      </c>
      <c r="K104" s="11" t="s">
        <v>1543</v>
      </c>
      <c r="L104" s="11">
        <v>41</v>
      </c>
      <c r="M104" s="11">
        <f t="shared" si="1"/>
        <v>16</v>
      </c>
      <c r="N104" s="11" t="e">
        <f>VLOOKUP($G104, 'ADP Data'!$B$4:$Q$300, 6, FALSE)</f>
        <v>#N/A</v>
      </c>
      <c r="O104" s="11" t="e">
        <f>VLOOKUP($G104, 'ADP Data'!$B$4:$Q$300, 10, FALSE)</f>
        <v>#N/A</v>
      </c>
      <c r="P104" s="11" t="e">
        <f>VLOOKUP($G104, 'ADP Data'!$B$4:$Q$300, 4, FALSE)</f>
        <v>#N/A</v>
      </c>
      <c r="Q104" s="11" t="e">
        <f>VLOOKUP($G104, 'ADP Data'!$B$4:$Q$300, 5, FALSE)</f>
        <v>#N/A</v>
      </c>
      <c r="R104" s="11" t="e">
        <f>VLOOKUP($G104, 'ADP Data'!$B$4:$Q$300, 7, FALSE)</f>
        <v>#N/A</v>
      </c>
      <c r="S104" s="11" t="e">
        <f>VLOOKUP($G104, 'ADP Data'!$B$4:$Q$300, 8, FALSE)</f>
        <v>#N/A</v>
      </c>
      <c r="T104" s="11" t="e">
        <f>VLOOKUP($G104, 'ADP Data'!$B$4:$Q$300, 9, FALSE)</f>
        <v>#N/A</v>
      </c>
      <c r="U104" s="11" t="e">
        <f t="shared" si="2"/>
        <v>#N/A</v>
      </c>
    </row>
    <row r="105" spans="1:22" ht="14.25" customHeight="1" x14ac:dyDescent="0.25">
      <c r="A105" s="11"/>
      <c r="B105" s="11" t="e">
        <f t="shared" si="0"/>
        <v>#N/A</v>
      </c>
      <c r="C105" s="11" t="s">
        <v>148</v>
      </c>
      <c r="D105" s="11"/>
      <c r="E105" s="11"/>
      <c r="F105" s="11"/>
      <c r="G105" s="11" t="s">
        <v>1405</v>
      </c>
      <c r="H105" s="11" t="s">
        <v>116</v>
      </c>
      <c r="I105" s="11" t="s">
        <v>762</v>
      </c>
      <c r="J105" s="85" t="s">
        <v>1556</v>
      </c>
      <c r="K105" s="11" t="s">
        <v>1558</v>
      </c>
      <c r="L105" s="11">
        <v>36</v>
      </c>
      <c r="M105" s="11">
        <f t="shared" si="1"/>
        <v>16</v>
      </c>
      <c r="N105" s="11" t="e">
        <f>VLOOKUP($G105, 'ADP Data'!$B$4:$Q$300, 6, FALSE)</f>
        <v>#N/A</v>
      </c>
      <c r="O105" s="11" t="e">
        <f>VLOOKUP($G105, 'ADP Data'!$B$4:$Q$300, 10, FALSE)</f>
        <v>#N/A</v>
      </c>
      <c r="P105" s="11" t="e">
        <f>VLOOKUP($G105, 'ADP Data'!$B$4:$Q$300, 4, FALSE)</f>
        <v>#N/A</v>
      </c>
      <c r="Q105" s="11" t="e">
        <f>VLOOKUP($G105, 'ADP Data'!$B$4:$Q$300, 5, FALSE)</f>
        <v>#N/A</v>
      </c>
      <c r="R105" s="11" t="e">
        <f>VLOOKUP($G105, 'ADP Data'!$B$4:$Q$300, 7, FALSE)</f>
        <v>#N/A</v>
      </c>
      <c r="S105" s="11" t="e">
        <f>VLOOKUP($G105, 'ADP Data'!$B$4:$Q$300, 8, FALSE)</f>
        <v>#N/A</v>
      </c>
      <c r="T105" s="11" t="e">
        <f>VLOOKUP($G105, 'ADP Data'!$B$4:$Q$300, 9, FALSE)</f>
        <v>#N/A</v>
      </c>
      <c r="U105" s="11" t="e">
        <f t="shared" si="2"/>
        <v>#N/A</v>
      </c>
      <c r="V105" s="11"/>
    </row>
    <row r="106" spans="1:22" ht="14.25" customHeight="1" x14ac:dyDescent="0.25">
      <c r="A106" s="11"/>
      <c r="B106" s="11" t="e">
        <f t="shared" si="0"/>
        <v>#N/A</v>
      </c>
      <c r="C106" s="11" t="s">
        <v>148</v>
      </c>
      <c r="D106" s="11">
        <v>3</v>
      </c>
      <c r="E106" s="11">
        <v>1</v>
      </c>
      <c r="F106" s="11" t="s">
        <v>148</v>
      </c>
      <c r="G106" s="11" t="s">
        <v>1559</v>
      </c>
      <c r="H106" s="11" t="s">
        <v>163</v>
      </c>
      <c r="I106" s="11" t="s">
        <v>764</v>
      </c>
      <c r="J106" s="85" t="s">
        <v>1560</v>
      </c>
      <c r="K106" s="11" t="s">
        <v>1543</v>
      </c>
      <c r="L106" s="11">
        <v>42</v>
      </c>
      <c r="M106" s="11">
        <f t="shared" si="1"/>
        <v>16</v>
      </c>
      <c r="N106" s="11" t="e">
        <f>VLOOKUP($G106, 'ADP Data'!$B$4:$Q$300, 6, FALSE)</f>
        <v>#N/A</v>
      </c>
      <c r="O106" s="11" t="e">
        <f>VLOOKUP($G106, 'ADP Data'!$B$4:$Q$300, 10, FALSE)</f>
        <v>#N/A</v>
      </c>
      <c r="P106" s="11" t="e">
        <f>VLOOKUP($G106, 'ADP Data'!$B$4:$Q$300, 4, FALSE)</f>
        <v>#N/A</v>
      </c>
      <c r="Q106" s="11" t="e">
        <f>VLOOKUP($G106, 'ADP Data'!$B$4:$Q$300, 5, FALSE)</f>
        <v>#N/A</v>
      </c>
      <c r="R106" s="11" t="e">
        <f>VLOOKUP($G106, 'ADP Data'!$B$4:$Q$300, 7, FALSE)</f>
        <v>#N/A</v>
      </c>
      <c r="S106" s="11" t="e">
        <f>VLOOKUP($G106, 'ADP Data'!$B$4:$Q$300, 8, FALSE)</f>
        <v>#N/A</v>
      </c>
      <c r="T106" s="11" t="e">
        <f>VLOOKUP($G106, 'ADP Data'!$B$4:$Q$300, 9, FALSE)</f>
        <v>#N/A</v>
      </c>
      <c r="U106" s="11" t="e">
        <f t="shared" si="2"/>
        <v>#N/A</v>
      </c>
      <c r="V106" s="11"/>
    </row>
    <row r="107" spans="1:22" ht="14.25" customHeight="1" x14ac:dyDescent="0.25">
      <c r="A107" s="11"/>
      <c r="B107" s="11" t="e">
        <f t="shared" si="0"/>
        <v>#N/A</v>
      </c>
      <c r="C107" s="11" t="s">
        <v>148</v>
      </c>
      <c r="D107" s="11">
        <v>3</v>
      </c>
      <c r="E107" s="11"/>
      <c r="F107" s="11"/>
      <c r="G107" s="45" t="s">
        <v>1293</v>
      </c>
      <c r="H107" s="11" t="s">
        <v>163</v>
      </c>
      <c r="I107" s="11" t="s">
        <v>762</v>
      </c>
      <c r="J107" s="85" t="s">
        <v>1532</v>
      </c>
      <c r="K107" s="11" t="s">
        <v>1558</v>
      </c>
      <c r="L107" s="11">
        <v>37</v>
      </c>
      <c r="M107" s="11">
        <f t="shared" si="1"/>
        <v>16</v>
      </c>
      <c r="N107" s="11" t="e">
        <f>VLOOKUP($G107, 'ADP Data'!$B$4:$Q$300, 6, FALSE)</f>
        <v>#N/A</v>
      </c>
      <c r="O107" s="11" t="e">
        <f>VLOOKUP($G107, 'ADP Data'!$B$4:$Q$300, 10, FALSE)</f>
        <v>#N/A</v>
      </c>
      <c r="P107" s="11" t="e">
        <f>VLOOKUP($G107, 'ADP Data'!$B$4:$Q$300, 4, FALSE)</f>
        <v>#N/A</v>
      </c>
      <c r="Q107" s="11" t="e">
        <f>VLOOKUP($G107, 'ADP Data'!$B$4:$Q$300, 5, FALSE)</f>
        <v>#N/A</v>
      </c>
      <c r="R107" s="11" t="e">
        <f>VLOOKUP($G107, 'ADP Data'!$B$4:$Q$300, 7, FALSE)</f>
        <v>#N/A</v>
      </c>
      <c r="S107" s="11" t="e">
        <f>VLOOKUP($G107, 'ADP Data'!$B$4:$Q$300, 8, FALSE)</f>
        <v>#N/A</v>
      </c>
      <c r="T107" s="11" t="e">
        <f>VLOOKUP($G107, 'ADP Data'!$B$4:$Q$300, 9, FALSE)</f>
        <v>#N/A</v>
      </c>
      <c r="U107" s="11" t="e">
        <f t="shared" si="2"/>
        <v>#N/A</v>
      </c>
      <c r="V107" s="11"/>
    </row>
    <row r="108" spans="1:22" ht="14.25" customHeight="1" x14ac:dyDescent="0.25">
      <c r="A108" s="11"/>
      <c r="B108" s="11" t="e">
        <f t="shared" si="0"/>
        <v>#N/A</v>
      </c>
      <c r="C108" s="11" t="s">
        <v>148</v>
      </c>
      <c r="D108" s="11"/>
      <c r="E108" s="11">
        <v>1</v>
      </c>
      <c r="F108" s="11" t="s">
        <v>148</v>
      </c>
      <c r="G108" s="11" t="s">
        <v>909</v>
      </c>
      <c r="H108" s="11" t="s">
        <v>184</v>
      </c>
      <c r="I108" s="11" t="s">
        <v>764</v>
      </c>
      <c r="J108" s="85" t="s">
        <v>1555</v>
      </c>
      <c r="K108" s="11" t="s">
        <v>1543</v>
      </c>
      <c r="L108" s="11">
        <v>43</v>
      </c>
      <c r="M108" s="11">
        <f t="shared" si="1"/>
        <v>16</v>
      </c>
      <c r="N108" s="11" t="e">
        <f>VLOOKUP($G108, 'ADP Data'!$B$4:$Q$300, 6, FALSE)</f>
        <v>#N/A</v>
      </c>
      <c r="O108" s="11" t="e">
        <f>VLOOKUP($G108, 'ADP Data'!$B$4:$Q$300, 10, FALSE)</f>
        <v>#N/A</v>
      </c>
      <c r="P108" s="11" t="e">
        <f>VLOOKUP($G108, 'ADP Data'!$B$4:$Q$300, 4, FALSE)</f>
        <v>#N/A</v>
      </c>
      <c r="Q108" s="11" t="e">
        <f>VLOOKUP($G108, 'ADP Data'!$B$4:$Q$300, 5, FALSE)</f>
        <v>#N/A</v>
      </c>
      <c r="R108" s="11" t="e">
        <f>VLOOKUP($G108, 'ADP Data'!$B$4:$Q$300, 7, FALSE)</f>
        <v>#N/A</v>
      </c>
      <c r="S108" s="11" t="e">
        <f>VLOOKUP($G108, 'ADP Data'!$B$4:$Q$300, 8, FALSE)</f>
        <v>#N/A</v>
      </c>
      <c r="T108" s="11" t="e">
        <f>VLOOKUP($G108, 'ADP Data'!$B$4:$Q$300, 9, FALSE)</f>
        <v>#N/A</v>
      </c>
      <c r="U108" s="11" t="e">
        <f t="shared" si="2"/>
        <v>#N/A</v>
      </c>
      <c r="V108" s="11"/>
    </row>
    <row r="109" spans="1:22" ht="14.25" customHeight="1" x14ac:dyDescent="0.25">
      <c r="A109" s="11"/>
      <c r="B109" s="11" t="e">
        <f t="shared" si="0"/>
        <v>#N/A</v>
      </c>
      <c r="C109" s="11" t="s">
        <v>148</v>
      </c>
      <c r="D109" s="11"/>
      <c r="E109" s="11">
        <v>1</v>
      </c>
      <c r="F109" s="11" t="s">
        <v>148</v>
      </c>
      <c r="G109" s="11" t="s">
        <v>1246</v>
      </c>
      <c r="H109" s="11" t="s">
        <v>187</v>
      </c>
      <c r="I109" s="11" t="s">
        <v>764</v>
      </c>
      <c r="J109" s="85" t="s">
        <v>1450</v>
      </c>
      <c r="K109" s="11" t="s">
        <v>1548</v>
      </c>
      <c r="L109" s="11">
        <v>44</v>
      </c>
      <c r="M109" s="11">
        <f t="shared" si="1"/>
        <v>16</v>
      </c>
      <c r="N109" s="11" t="e">
        <f>VLOOKUP($G109, 'ADP Data'!$B$4:$Q$300, 6, FALSE)</f>
        <v>#N/A</v>
      </c>
      <c r="O109" s="11" t="e">
        <f>VLOOKUP($G109, 'ADP Data'!$B$4:$Q$300, 10, FALSE)</f>
        <v>#N/A</v>
      </c>
      <c r="P109" s="11" t="e">
        <f>VLOOKUP($G109, 'ADP Data'!$B$4:$Q$300, 4, FALSE)</f>
        <v>#N/A</v>
      </c>
      <c r="Q109" s="11" t="e">
        <f>VLOOKUP($G109, 'ADP Data'!$B$4:$Q$300, 5, FALSE)</f>
        <v>#N/A</v>
      </c>
      <c r="R109" s="11" t="e">
        <f>VLOOKUP($G109, 'ADP Data'!$B$4:$Q$300, 7, FALSE)</f>
        <v>#N/A</v>
      </c>
      <c r="S109" s="11" t="e">
        <f>VLOOKUP($G109, 'ADP Data'!$B$4:$Q$300, 8, FALSE)</f>
        <v>#N/A</v>
      </c>
      <c r="T109" s="11" t="e">
        <f>VLOOKUP($G109, 'ADP Data'!$B$4:$Q$300, 9, FALSE)</f>
        <v>#N/A</v>
      </c>
      <c r="U109" s="11" t="e">
        <f t="shared" si="2"/>
        <v>#N/A</v>
      </c>
      <c r="V109" s="11"/>
    </row>
    <row r="110" spans="1:22" ht="14.25" customHeight="1" x14ac:dyDescent="0.25">
      <c r="A110" s="11"/>
      <c r="B110" s="11" t="e">
        <f t="shared" si="0"/>
        <v>#N/A</v>
      </c>
      <c r="C110" s="11" t="s">
        <v>148</v>
      </c>
      <c r="D110" s="11"/>
      <c r="E110" s="11"/>
      <c r="F110" s="11"/>
      <c r="G110" s="11" t="s">
        <v>562</v>
      </c>
      <c r="H110" s="11" t="s">
        <v>123</v>
      </c>
      <c r="I110" s="11" t="s">
        <v>762</v>
      </c>
      <c r="J110" s="85" t="s">
        <v>1530</v>
      </c>
      <c r="K110" s="11" t="s">
        <v>1558</v>
      </c>
      <c r="L110" s="11">
        <v>38</v>
      </c>
      <c r="M110" s="11">
        <f t="shared" si="1"/>
        <v>16</v>
      </c>
      <c r="N110" s="11" t="e">
        <f>VLOOKUP($G110, 'ADP Data'!$B$4:$Q$300, 6, FALSE)</f>
        <v>#N/A</v>
      </c>
      <c r="O110" s="11" t="e">
        <f>VLOOKUP($G110, 'ADP Data'!$B$4:$Q$300, 10, FALSE)</f>
        <v>#N/A</v>
      </c>
      <c r="P110" s="11" t="e">
        <f>VLOOKUP($G110, 'ADP Data'!$B$4:$Q$300, 4, FALSE)</f>
        <v>#N/A</v>
      </c>
      <c r="Q110" s="11" t="e">
        <f>VLOOKUP($G110, 'ADP Data'!$B$4:$Q$300, 5, FALSE)</f>
        <v>#N/A</v>
      </c>
      <c r="R110" s="11" t="e">
        <f>VLOOKUP($G110, 'ADP Data'!$B$4:$Q$300, 7, FALSE)</f>
        <v>#N/A</v>
      </c>
      <c r="S110" s="11" t="e">
        <f>VLOOKUP($G110, 'ADP Data'!$B$4:$Q$300, 8, FALSE)</f>
        <v>#N/A</v>
      </c>
      <c r="T110" s="11" t="e">
        <f>VLOOKUP($G110, 'ADP Data'!$B$4:$Q$300, 9, FALSE)</f>
        <v>#N/A</v>
      </c>
      <c r="U110" s="11" t="e">
        <f t="shared" si="2"/>
        <v>#N/A</v>
      </c>
      <c r="V110" s="11"/>
    </row>
    <row r="111" spans="1:22" ht="14.25" customHeight="1" x14ac:dyDescent="0.25">
      <c r="A111" s="11"/>
      <c r="B111" s="11" t="e">
        <f t="shared" si="0"/>
        <v>#N/A</v>
      </c>
      <c r="C111" s="11" t="s">
        <v>148</v>
      </c>
      <c r="D111" s="11"/>
      <c r="E111" s="11">
        <v>3</v>
      </c>
      <c r="F111" s="11"/>
      <c r="G111" s="11" t="s">
        <v>625</v>
      </c>
      <c r="H111" s="11" t="s">
        <v>81</v>
      </c>
      <c r="I111" s="11" t="s">
        <v>769</v>
      </c>
      <c r="J111" s="85" t="s">
        <v>1340</v>
      </c>
      <c r="K111" s="11" t="s">
        <v>781</v>
      </c>
      <c r="L111" s="11">
        <v>12</v>
      </c>
      <c r="M111" s="11">
        <f t="shared" si="1"/>
        <v>16</v>
      </c>
      <c r="N111" s="11" t="e">
        <f>VLOOKUP($G111, 'ADP Data'!$B$4:$Q$300, 6, FALSE)</f>
        <v>#N/A</v>
      </c>
      <c r="O111" s="11" t="e">
        <f>VLOOKUP($G111, 'ADP Data'!$B$4:$Q$300, 10, FALSE)</f>
        <v>#N/A</v>
      </c>
      <c r="P111" s="11" t="e">
        <f>VLOOKUP($G111, 'ADP Data'!$B$4:$Q$300, 4, FALSE)</f>
        <v>#N/A</v>
      </c>
      <c r="Q111" s="11" t="e">
        <f>VLOOKUP($G111, 'ADP Data'!$B$4:$Q$300, 5, FALSE)</f>
        <v>#N/A</v>
      </c>
      <c r="R111" s="11" t="e">
        <f>VLOOKUP($G111, 'ADP Data'!$B$4:$Q$300, 7, FALSE)</f>
        <v>#N/A</v>
      </c>
      <c r="S111" s="11" t="e">
        <f>VLOOKUP($G111, 'ADP Data'!$B$4:$Q$300, 8, FALSE)</f>
        <v>#N/A</v>
      </c>
      <c r="T111" s="11" t="e">
        <f>VLOOKUP($G111, 'ADP Data'!$B$4:$Q$300, 9, FALSE)</f>
        <v>#N/A</v>
      </c>
      <c r="U111" s="11" t="e">
        <f t="shared" si="2"/>
        <v>#N/A</v>
      </c>
      <c r="V111" s="11"/>
    </row>
    <row r="112" spans="1:22" ht="14.25" customHeight="1" x14ac:dyDescent="0.25">
      <c r="A112" s="11"/>
      <c r="B112" s="11" t="e">
        <f t="shared" si="0"/>
        <v>#N/A</v>
      </c>
      <c r="C112" s="11" t="s">
        <v>148</v>
      </c>
      <c r="D112" s="11">
        <v>6</v>
      </c>
      <c r="E112" s="11"/>
      <c r="F112" s="11"/>
      <c r="G112" s="11" t="s">
        <v>139</v>
      </c>
      <c r="H112" s="11" t="s">
        <v>78</v>
      </c>
      <c r="I112" s="11" t="s">
        <v>764</v>
      </c>
      <c r="J112" s="85" t="s">
        <v>1546</v>
      </c>
      <c r="K112" s="11" t="s">
        <v>1543</v>
      </c>
      <c r="L112" s="11">
        <v>45</v>
      </c>
      <c r="M112" s="11">
        <f t="shared" si="1"/>
        <v>16</v>
      </c>
      <c r="N112" s="11" t="e">
        <f>VLOOKUP($G112, 'ADP Data'!$B$4:$Q$300, 6, FALSE)</f>
        <v>#N/A</v>
      </c>
      <c r="O112" s="11" t="e">
        <f>VLOOKUP($G112, 'ADP Data'!$B$4:$Q$300, 10, FALSE)</f>
        <v>#N/A</v>
      </c>
      <c r="P112" s="11" t="e">
        <f>VLOOKUP($G112, 'ADP Data'!$B$4:$Q$300, 4, FALSE)</f>
        <v>#N/A</v>
      </c>
      <c r="Q112" s="11" t="e">
        <f>VLOOKUP($G112, 'ADP Data'!$B$4:$Q$300, 5, FALSE)</f>
        <v>#N/A</v>
      </c>
      <c r="R112" s="11" t="e">
        <f>VLOOKUP($G112, 'ADP Data'!$B$4:$Q$300, 7, FALSE)</f>
        <v>#N/A</v>
      </c>
      <c r="S112" s="11" t="e">
        <f>VLOOKUP($G112, 'ADP Data'!$B$4:$Q$300, 8, FALSE)</f>
        <v>#N/A</v>
      </c>
      <c r="T112" s="11" t="e">
        <f>VLOOKUP($G112, 'ADP Data'!$B$4:$Q$300, 9, FALSE)</f>
        <v>#N/A</v>
      </c>
      <c r="U112" s="11" t="e">
        <f t="shared" si="2"/>
        <v>#N/A</v>
      </c>
      <c r="V112" s="11" t="s">
        <v>1561</v>
      </c>
    </row>
    <row r="113" spans="1:22" ht="14.25" customHeight="1" x14ac:dyDescent="0.25">
      <c r="A113" s="11"/>
      <c r="B113" s="11" t="e">
        <f t="shared" si="0"/>
        <v>#N/A</v>
      </c>
      <c r="C113" s="11" t="s">
        <v>148</v>
      </c>
      <c r="D113" s="11"/>
      <c r="E113" s="11"/>
      <c r="F113" s="11"/>
      <c r="G113" s="40" t="s">
        <v>963</v>
      </c>
      <c r="H113" s="11" t="s">
        <v>35</v>
      </c>
      <c r="I113" s="11" t="s">
        <v>762</v>
      </c>
      <c r="J113" s="85" t="s">
        <v>1562</v>
      </c>
      <c r="K113" s="11" t="s">
        <v>1553</v>
      </c>
      <c r="L113" s="11">
        <v>39</v>
      </c>
      <c r="M113" s="11">
        <f t="shared" si="1"/>
        <v>16</v>
      </c>
      <c r="N113" s="11" t="e">
        <f>VLOOKUP($G113, 'ADP Data'!$B$4:$Q$300, 6, FALSE)</f>
        <v>#N/A</v>
      </c>
      <c r="O113" s="11" t="e">
        <f>VLOOKUP($G113, 'ADP Data'!$B$4:$Q$300, 10, FALSE)</f>
        <v>#N/A</v>
      </c>
      <c r="P113" s="11" t="e">
        <f>VLOOKUP($G113, 'ADP Data'!$B$4:$Q$300, 4, FALSE)</f>
        <v>#N/A</v>
      </c>
      <c r="Q113" s="11" t="e">
        <f>VLOOKUP($G113, 'ADP Data'!$B$4:$Q$300, 5, FALSE)</f>
        <v>#N/A</v>
      </c>
      <c r="R113" s="11" t="e">
        <f>VLOOKUP($G113, 'ADP Data'!$B$4:$Q$300, 7, FALSE)</f>
        <v>#N/A</v>
      </c>
      <c r="S113" s="11" t="e">
        <f>VLOOKUP($G113, 'ADP Data'!$B$4:$Q$300, 8, FALSE)</f>
        <v>#N/A</v>
      </c>
      <c r="T113" s="11" t="e">
        <f>VLOOKUP($G113, 'ADP Data'!$B$4:$Q$300, 9, FALSE)</f>
        <v>#N/A</v>
      </c>
      <c r="U113" s="11" t="e">
        <f t="shared" si="2"/>
        <v>#N/A</v>
      </c>
      <c r="V113" s="11"/>
    </row>
    <row r="114" spans="1:22" ht="14.25" customHeight="1" x14ac:dyDescent="0.25">
      <c r="A114" s="11" t="s">
        <v>1156</v>
      </c>
      <c r="B114" s="11" t="e">
        <f t="shared" si="0"/>
        <v>#N/A</v>
      </c>
      <c r="C114" s="11" t="s">
        <v>148</v>
      </c>
      <c r="D114" s="11">
        <v>1</v>
      </c>
      <c r="E114" s="11">
        <v>1</v>
      </c>
      <c r="F114" s="11"/>
      <c r="G114" s="11" t="s">
        <v>222</v>
      </c>
      <c r="H114" s="11" t="s">
        <v>104</v>
      </c>
      <c r="I114" s="11" t="s">
        <v>762</v>
      </c>
      <c r="J114" s="85" t="s">
        <v>1563</v>
      </c>
      <c r="K114" s="11" t="s">
        <v>1564</v>
      </c>
      <c r="L114" s="11">
        <v>40</v>
      </c>
      <c r="M114" s="11">
        <f t="shared" si="1"/>
        <v>16</v>
      </c>
      <c r="N114" s="11" t="e">
        <f>VLOOKUP($G114, 'ADP Data'!$B$4:$Q$300, 6, FALSE)</f>
        <v>#N/A</v>
      </c>
      <c r="O114" s="11" t="e">
        <f>VLOOKUP($G114, 'ADP Data'!$B$4:$Q$300, 10, FALSE)</f>
        <v>#N/A</v>
      </c>
      <c r="P114" s="11" t="e">
        <f>VLOOKUP($G114, 'ADP Data'!$B$4:$Q$300, 4, FALSE)</f>
        <v>#N/A</v>
      </c>
      <c r="Q114" s="11" t="e">
        <f>VLOOKUP($G114, 'ADP Data'!$B$4:$Q$300, 5, FALSE)</f>
        <v>#N/A</v>
      </c>
      <c r="R114" s="11" t="e">
        <f>VLOOKUP($G114, 'ADP Data'!$B$4:$Q$300, 7, FALSE)</f>
        <v>#N/A</v>
      </c>
      <c r="S114" s="11" t="e">
        <f>VLOOKUP($G114, 'ADP Data'!$B$4:$Q$300, 8, FALSE)</f>
        <v>#N/A</v>
      </c>
      <c r="T114" s="11" t="e">
        <f>VLOOKUP($G114, 'ADP Data'!$B$4:$Q$300, 9, FALSE)</f>
        <v>#N/A</v>
      </c>
      <c r="U114" s="11" t="e">
        <f t="shared" si="2"/>
        <v>#N/A</v>
      </c>
      <c r="V114" s="11" t="s">
        <v>1565</v>
      </c>
    </row>
    <row r="115" spans="1:22" ht="14.25" customHeight="1" x14ac:dyDescent="0.25">
      <c r="A115" s="11"/>
      <c r="B115" s="11" t="e">
        <f t="shared" si="0"/>
        <v>#N/A</v>
      </c>
      <c r="C115" s="11" t="s">
        <v>148</v>
      </c>
      <c r="D115" s="11">
        <v>1</v>
      </c>
      <c r="E115" s="11">
        <v>1</v>
      </c>
      <c r="F115" s="11"/>
      <c r="G115" s="11" t="s">
        <v>1191</v>
      </c>
      <c r="H115" s="11" t="s">
        <v>39</v>
      </c>
      <c r="I115" s="11" t="s">
        <v>760</v>
      </c>
      <c r="J115" s="85" t="s">
        <v>1375</v>
      </c>
      <c r="K115" s="11" t="s">
        <v>1550</v>
      </c>
      <c r="L115" s="11">
        <v>13</v>
      </c>
      <c r="M115" s="11">
        <f t="shared" si="1"/>
        <v>16</v>
      </c>
      <c r="N115" s="11" t="e">
        <f>VLOOKUP($G115, 'ADP Data'!$B$4:$Q$300, 6, FALSE)</f>
        <v>#N/A</v>
      </c>
      <c r="O115" s="11" t="e">
        <f>VLOOKUP($G115, 'ADP Data'!$B$4:$Q$300, 10, FALSE)</f>
        <v>#N/A</v>
      </c>
      <c r="P115" s="11" t="e">
        <f>VLOOKUP($G115, 'ADP Data'!$B$4:$Q$300, 4, FALSE)</f>
        <v>#N/A</v>
      </c>
      <c r="Q115" s="11" t="e">
        <f>VLOOKUP($G115, 'ADP Data'!$B$4:$Q$300, 5, FALSE)</f>
        <v>#N/A</v>
      </c>
      <c r="R115" s="11" t="e">
        <f>VLOOKUP($G115, 'ADP Data'!$B$4:$Q$300, 7, FALSE)</f>
        <v>#N/A</v>
      </c>
      <c r="S115" s="11" t="e">
        <f>VLOOKUP($G115, 'ADP Data'!$B$4:$Q$300, 8, FALSE)</f>
        <v>#N/A</v>
      </c>
      <c r="T115" s="11" t="e">
        <f>VLOOKUP($G115, 'ADP Data'!$B$4:$Q$300, 9, FALSE)</f>
        <v>#N/A</v>
      </c>
      <c r="U115" s="11" t="e">
        <f t="shared" si="2"/>
        <v>#N/A</v>
      </c>
      <c r="V115" s="11" t="s">
        <v>1566</v>
      </c>
    </row>
    <row r="116" spans="1:22" ht="14.25" customHeight="1" x14ac:dyDescent="0.25">
      <c r="A116" s="11" t="s">
        <v>1156</v>
      </c>
      <c r="B116" s="11" t="e">
        <f t="shared" si="0"/>
        <v>#N/A</v>
      </c>
      <c r="C116" s="11" t="s">
        <v>148</v>
      </c>
      <c r="D116" s="11">
        <v>1</v>
      </c>
      <c r="E116" s="11">
        <v>1</v>
      </c>
      <c r="F116" s="11"/>
      <c r="G116" s="11" t="s">
        <v>469</v>
      </c>
      <c r="H116" s="11" t="s">
        <v>49</v>
      </c>
      <c r="I116" s="11" t="s">
        <v>773</v>
      </c>
      <c r="J116" s="85">
        <v>1</v>
      </c>
      <c r="K116" s="11"/>
      <c r="L116" s="11"/>
      <c r="M116" s="11">
        <f t="shared" si="1"/>
        <v>16</v>
      </c>
      <c r="N116" s="11" t="e">
        <f>VLOOKUP($G116, 'ADP Data'!$B$4:$Q$300, 6, FALSE)</f>
        <v>#N/A</v>
      </c>
      <c r="O116" s="11" t="e">
        <f>VLOOKUP($G116, 'ADP Data'!$B$4:$Q$300, 10, FALSE)</f>
        <v>#N/A</v>
      </c>
      <c r="P116" s="11" t="e">
        <f>VLOOKUP($G116, 'ADP Data'!$B$4:$Q$300, 4, FALSE)</f>
        <v>#N/A</v>
      </c>
      <c r="Q116" s="11" t="e">
        <f>VLOOKUP($G116, 'ADP Data'!$B$4:$Q$300, 5, FALSE)</f>
        <v>#N/A</v>
      </c>
      <c r="R116" s="11" t="e">
        <f>VLOOKUP($G116, 'ADP Data'!$B$4:$Q$300, 7, FALSE)</f>
        <v>#N/A</v>
      </c>
      <c r="S116" s="11" t="e">
        <f>VLOOKUP($G116, 'ADP Data'!$B$4:$Q$300, 8, FALSE)</f>
        <v>#N/A</v>
      </c>
      <c r="T116" s="11" t="e">
        <f>VLOOKUP($G116, 'ADP Data'!$B$4:$Q$300, 9, FALSE)</f>
        <v>#N/A</v>
      </c>
      <c r="U116" s="11" t="e">
        <f t="shared" si="2"/>
        <v>#N/A</v>
      </c>
      <c r="V116" s="11"/>
    </row>
    <row r="117" spans="1:22" ht="14.25" customHeight="1" x14ac:dyDescent="0.25">
      <c r="A117" s="11"/>
      <c r="B117" s="11" t="e">
        <f t="shared" si="0"/>
        <v>#N/A</v>
      </c>
      <c r="C117" s="11" t="s">
        <v>148</v>
      </c>
      <c r="D117" s="11"/>
      <c r="E117" s="11"/>
      <c r="F117" s="11" t="s">
        <v>148</v>
      </c>
      <c r="G117" s="11" t="s">
        <v>167</v>
      </c>
      <c r="H117" s="11" t="s">
        <v>81</v>
      </c>
      <c r="I117" s="11" t="s">
        <v>764</v>
      </c>
      <c r="J117" s="85" t="s">
        <v>1562</v>
      </c>
      <c r="K117" s="11" t="s">
        <v>1543</v>
      </c>
      <c r="L117" s="11">
        <v>46</v>
      </c>
      <c r="M117" s="11">
        <f t="shared" si="1"/>
        <v>16</v>
      </c>
      <c r="N117" s="11" t="e">
        <f>VLOOKUP($G117, 'ADP Data'!$B$4:$Q$300, 6, FALSE)</f>
        <v>#N/A</v>
      </c>
      <c r="O117" s="11" t="e">
        <f>VLOOKUP($G117, 'ADP Data'!$B$4:$Q$300, 10, FALSE)</f>
        <v>#N/A</v>
      </c>
      <c r="P117" s="11" t="e">
        <f>VLOOKUP($G117, 'ADP Data'!$B$4:$Q$300, 4, FALSE)</f>
        <v>#N/A</v>
      </c>
      <c r="Q117" s="11" t="e">
        <f>VLOOKUP($G117, 'ADP Data'!$B$4:$Q$300, 5, FALSE)</f>
        <v>#N/A</v>
      </c>
      <c r="R117" s="11" t="e">
        <f>VLOOKUP($G117, 'ADP Data'!$B$4:$Q$300, 7, FALSE)</f>
        <v>#N/A</v>
      </c>
      <c r="S117" s="11" t="e">
        <f>VLOOKUP($G117, 'ADP Data'!$B$4:$Q$300, 8, FALSE)</f>
        <v>#N/A</v>
      </c>
      <c r="T117" s="11" t="e">
        <f>VLOOKUP($G117, 'ADP Data'!$B$4:$Q$300, 9, FALSE)</f>
        <v>#N/A</v>
      </c>
      <c r="U117" s="11" t="e">
        <f t="shared" si="2"/>
        <v>#N/A</v>
      </c>
      <c r="V117" s="11"/>
    </row>
    <row r="118" spans="1:22" ht="14.25" customHeight="1" x14ac:dyDescent="0.25">
      <c r="A118" s="11"/>
      <c r="B118" s="11" t="e">
        <f t="shared" si="0"/>
        <v>#N/A</v>
      </c>
      <c r="C118" s="11" t="s">
        <v>148</v>
      </c>
      <c r="D118" s="11"/>
      <c r="E118" s="11"/>
      <c r="F118" s="11"/>
      <c r="G118" s="11" t="s">
        <v>943</v>
      </c>
      <c r="H118" s="11" t="s">
        <v>163</v>
      </c>
      <c r="I118" s="11" t="s">
        <v>773</v>
      </c>
      <c r="J118" s="85">
        <v>2</v>
      </c>
      <c r="K118" s="11"/>
      <c r="L118" s="11"/>
      <c r="M118" s="11">
        <f t="shared" si="1"/>
        <v>16</v>
      </c>
      <c r="N118" s="11" t="e">
        <f>VLOOKUP($G118, 'ADP Data'!$B$4:$Q$300, 6, FALSE)</f>
        <v>#N/A</v>
      </c>
      <c r="O118" s="11" t="e">
        <f>VLOOKUP($G118, 'ADP Data'!$B$4:$Q$300, 10, FALSE)</f>
        <v>#N/A</v>
      </c>
      <c r="P118" s="11" t="e">
        <f>VLOOKUP($G118, 'ADP Data'!$B$4:$Q$300, 4, FALSE)</f>
        <v>#N/A</v>
      </c>
      <c r="Q118" s="11" t="e">
        <f>VLOOKUP($G118, 'ADP Data'!$B$4:$Q$300, 5, FALSE)</f>
        <v>#N/A</v>
      </c>
      <c r="R118" s="11" t="e">
        <f>VLOOKUP($G118, 'ADP Data'!$B$4:$Q$300, 7, FALSE)</f>
        <v>#N/A</v>
      </c>
      <c r="S118" s="11" t="e">
        <f>VLOOKUP($G118, 'ADP Data'!$B$4:$Q$300, 8, FALSE)</f>
        <v>#N/A</v>
      </c>
      <c r="T118" s="11" t="e">
        <f>VLOOKUP($G118, 'ADP Data'!$B$4:$Q$300, 9, FALSE)</f>
        <v>#N/A</v>
      </c>
      <c r="U118" s="11" t="e">
        <f t="shared" si="2"/>
        <v>#N/A</v>
      </c>
      <c r="V118" s="11"/>
    </row>
    <row r="119" spans="1:22" ht="14.25" customHeight="1" x14ac:dyDescent="0.25">
      <c r="A119" s="11"/>
      <c r="B119" s="11" t="e">
        <f t="shared" si="0"/>
        <v>#N/A</v>
      </c>
      <c r="C119" s="11" t="s">
        <v>148</v>
      </c>
      <c r="D119" s="11">
        <v>3</v>
      </c>
      <c r="E119" s="11">
        <v>2</v>
      </c>
      <c r="F119" s="11" t="s">
        <v>148</v>
      </c>
      <c r="G119" s="45" t="s">
        <v>284</v>
      </c>
      <c r="H119" s="11" t="s">
        <v>60</v>
      </c>
      <c r="I119" s="11" t="s">
        <v>764</v>
      </c>
      <c r="J119" s="85" t="s">
        <v>1567</v>
      </c>
      <c r="K119" s="11" t="s">
        <v>1568</v>
      </c>
      <c r="L119" s="11">
        <v>47</v>
      </c>
      <c r="M119" s="11">
        <f t="shared" si="1"/>
        <v>16</v>
      </c>
      <c r="N119" s="11" t="e">
        <f>VLOOKUP($G119, 'ADP Data'!$B$4:$Q$300, 6, FALSE)</f>
        <v>#N/A</v>
      </c>
      <c r="O119" s="11" t="e">
        <f>VLOOKUP($G119, 'ADP Data'!$B$4:$Q$300, 10, FALSE)</f>
        <v>#N/A</v>
      </c>
      <c r="P119" s="11" t="e">
        <f>VLOOKUP($G119, 'ADP Data'!$B$4:$Q$300, 4, FALSE)</f>
        <v>#N/A</v>
      </c>
      <c r="Q119" s="11" t="e">
        <f>VLOOKUP($G119, 'ADP Data'!$B$4:$Q$300, 5, FALSE)</f>
        <v>#N/A</v>
      </c>
      <c r="R119" s="11" t="e">
        <f>VLOOKUP($G119, 'ADP Data'!$B$4:$Q$300, 7, FALSE)</f>
        <v>#N/A</v>
      </c>
      <c r="S119" s="11" t="e">
        <f>VLOOKUP($G119, 'ADP Data'!$B$4:$Q$300, 8, FALSE)</f>
        <v>#N/A</v>
      </c>
      <c r="T119" s="11" t="e">
        <f>VLOOKUP($G119, 'ADP Data'!$B$4:$Q$300, 9, FALSE)</f>
        <v>#N/A</v>
      </c>
      <c r="U119" s="11" t="e">
        <f t="shared" si="2"/>
        <v>#N/A</v>
      </c>
      <c r="V119" s="11"/>
    </row>
    <row r="120" spans="1:22" ht="14.25" customHeight="1" x14ac:dyDescent="0.25">
      <c r="A120" s="11"/>
      <c r="B120" s="11" t="e">
        <f t="shared" si="0"/>
        <v>#N/A</v>
      </c>
      <c r="C120" s="11" t="s">
        <v>148</v>
      </c>
      <c r="D120" s="11"/>
      <c r="E120" s="11"/>
      <c r="F120" s="11"/>
      <c r="G120" s="11" t="s">
        <v>489</v>
      </c>
      <c r="H120" s="11" t="s">
        <v>233</v>
      </c>
      <c r="I120" s="11" t="s">
        <v>773</v>
      </c>
      <c r="J120" s="85">
        <v>3</v>
      </c>
      <c r="K120" s="11"/>
      <c r="L120" s="11"/>
      <c r="M120" s="11">
        <f t="shared" si="1"/>
        <v>16</v>
      </c>
      <c r="N120" s="11" t="e">
        <f>VLOOKUP($G120, 'ADP Data'!$B$4:$Q$300, 6, FALSE)</f>
        <v>#N/A</v>
      </c>
      <c r="O120" s="11" t="e">
        <f>VLOOKUP($G120, 'ADP Data'!$B$4:$Q$300, 10, FALSE)</f>
        <v>#N/A</v>
      </c>
      <c r="P120" s="11" t="e">
        <f>VLOOKUP($G120, 'ADP Data'!$B$4:$Q$300, 4, FALSE)</f>
        <v>#N/A</v>
      </c>
      <c r="Q120" s="11" t="e">
        <f>VLOOKUP($G120, 'ADP Data'!$B$4:$Q$300, 5, FALSE)</f>
        <v>#N/A</v>
      </c>
      <c r="R120" s="11" t="e">
        <f>VLOOKUP($G120, 'ADP Data'!$B$4:$Q$300, 7, FALSE)</f>
        <v>#N/A</v>
      </c>
      <c r="S120" s="11" t="e">
        <f>VLOOKUP($G120, 'ADP Data'!$B$4:$Q$300, 8, FALSE)</f>
        <v>#N/A</v>
      </c>
      <c r="T120" s="11" t="e">
        <f>VLOOKUP($G120, 'ADP Data'!$B$4:$Q$300, 9, FALSE)</f>
        <v>#N/A</v>
      </c>
      <c r="U120" s="11" t="e">
        <f t="shared" si="2"/>
        <v>#N/A</v>
      </c>
      <c r="V120" s="11"/>
    </row>
    <row r="121" spans="1:22" ht="14.25" customHeight="1" x14ac:dyDescent="0.25">
      <c r="A121" s="11"/>
      <c r="B121" s="11" t="e">
        <f t="shared" si="0"/>
        <v>#N/A</v>
      </c>
      <c r="C121" s="11" t="s">
        <v>148</v>
      </c>
      <c r="D121" s="11"/>
      <c r="E121" s="11"/>
      <c r="F121" s="11"/>
      <c r="G121" s="11" t="s">
        <v>1315</v>
      </c>
      <c r="H121" s="11" t="s">
        <v>145</v>
      </c>
      <c r="I121" s="11" t="s">
        <v>762</v>
      </c>
      <c r="J121" s="85" t="s">
        <v>1509</v>
      </c>
      <c r="K121" s="11" t="s">
        <v>1569</v>
      </c>
      <c r="L121" s="11">
        <v>41</v>
      </c>
      <c r="M121" s="11">
        <f t="shared" si="1"/>
        <v>16</v>
      </c>
      <c r="N121" s="11" t="e">
        <f>VLOOKUP($G121, 'ADP Data'!$B$4:$Q$300, 6, FALSE)</f>
        <v>#N/A</v>
      </c>
      <c r="O121" s="11" t="e">
        <f>VLOOKUP($G121, 'ADP Data'!$B$4:$Q$300, 10, FALSE)</f>
        <v>#N/A</v>
      </c>
      <c r="P121" s="11" t="e">
        <f>VLOOKUP($G121, 'ADP Data'!$B$4:$Q$300, 4, FALSE)</f>
        <v>#N/A</v>
      </c>
      <c r="Q121" s="11" t="e">
        <f>VLOOKUP($G121, 'ADP Data'!$B$4:$Q$300, 5, FALSE)</f>
        <v>#N/A</v>
      </c>
      <c r="R121" s="11" t="e">
        <f>VLOOKUP($G121, 'ADP Data'!$B$4:$Q$300, 7, FALSE)</f>
        <v>#N/A</v>
      </c>
      <c r="S121" s="11" t="e">
        <f>VLOOKUP($G121, 'ADP Data'!$B$4:$Q$300, 8, FALSE)</f>
        <v>#N/A</v>
      </c>
      <c r="T121" s="11" t="e">
        <f>VLOOKUP($G121, 'ADP Data'!$B$4:$Q$300, 9, FALSE)</f>
        <v>#N/A</v>
      </c>
      <c r="U121" s="11" t="e">
        <f t="shared" si="2"/>
        <v>#N/A</v>
      </c>
      <c r="V121" s="11" t="s">
        <v>1570</v>
      </c>
    </row>
    <row r="122" spans="1:22" ht="14.25" customHeight="1" x14ac:dyDescent="0.25">
      <c r="A122" s="11"/>
      <c r="B122" s="11" t="e">
        <f t="shared" si="0"/>
        <v>#N/A</v>
      </c>
      <c r="C122" s="11" t="s">
        <v>148</v>
      </c>
      <c r="D122" s="11"/>
      <c r="E122" s="11"/>
      <c r="F122" s="11"/>
      <c r="G122" s="11" t="s">
        <v>1510</v>
      </c>
      <c r="H122" s="11" t="s">
        <v>184</v>
      </c>
      <c r="I122" s="11" t="s">
        <v>773</v>
      </c>
      <c r="J122" s="85">
        <v>4</v>
      </c>
      <c r="K122" s="11"/>
      <c r="L122" s="11"/>
      <c r="M122" s="11">
        <f t="shared" si="1"/>
        <v>16</v>
      </c>
      <c r="N122" s="11" t="e">
        <f>VLOOKUP($G122, 'ADP Data'!$B$4:$Q$300, 6, FALSE)</f>
        <v>#N/A</v>
      </c>
      <c r="O122" s="11" t="e">
        <f>VLOOKUP($G122, 'ADP Data'!$B$4:$Q$300, 10, FALSE)</f>
        <v>#N/A</v>
      </c>
      <c r="P122" s="11" t="e">
        <f>VLOOKUP($G122, 'ADP Data'!$B$4:$Q$300, 4, FALSE)</f>
        <v>#N/A</v>
      </c>
      <c r="Q122" s="11" t="e">
        <f>VLOOKUP($G122, 'ADP Data'!$B$4:$Q$300, 5, FALSE)</f>
        <v>#N/A</v>
      </c>
      <c r="R122" s="11" t="e">
        <f>VLOOKUP($G122, 'ADP Data'!$B$4:$Q$300, 7, FALSE)</f>
        <v>#N/A</v>
      </c>
      <c r="S122" s="11" t="e">
        <f>VLOOKUP($G122, 'ADP Data'!$B$4:$Q$300, 8, FALSE)</f>
        <v>#N/A</v>
      </c>
      <c r="T122" s="11" t="e">
        <f>VLOOKUP($G122, 'ADP Data'!$B$4:$Q$300, 9, FALSE)</f>
        <v>#N/A</v>
      </c>
      <c r="U122" s="11" t="e">
        <f t="shared" si="2"/>
        <v>#N/A</v>
      </c>
      <c r="V122" s="11"/>
    </row>
    <row r="123" spans="1:22" ht="14.25" customHeight="1" x14ac:dyDescent="0.25">
      <c r="A123" s="11"/>
      <c r="B123" s="11" t="e">
        <f t="shared" si="0"/>
        <v>#N/A</v>
      </c>
      <c r="C123" s="11" t="s">
        <v>148</v>
      </c>
      <c r="D123" s="11"/>
      <c r="E123" s="11"/>
      <c r="F123" s="11" t="s">
        <v>148</v>
      </c>
      <c r="G123" s="11" t="s">
        <v>1295</v>
      </c>
      <c r="H123" s="11" t="s">
        <v>199</v>
      </c>
      <c r="I123" s="11" t="s">
        <v>764</v>
      </c>
      <c r="J123" s="85" t="s">
        <v>1571</v>
      </c>
      <c r="K123" s="11" t="s">
        <v>1568</v>
      </c>
      <c r="L123" s="11">
        <v>48</v>
      </c>
      <c r="M123" s="11">
        <f t="shared" si="1"/>
        <v>16</v>
      </c>
      <c r="N123" s="11" t="e">
        <f>VLOOKUP($G123, 'ADP Data'!$B$4:$Q$300, 6, FALSE)</f>
        <v>#N/A</v>
      </c>
      <c r="O123" s="11" t="e">
        <f>VLOOKUP($G123, 'ADP Data'!$B$4:$Q$300, 10, FALSE)</f>
        <v>#N/A</v>
      </c>
      <c r="P123" s="11" t="e">
        <f>VLOOKUP($G123, 'ADP Data'!$B$4:$Q$300, 4, FALSE)</f>
        <v>#N/A</v>
      </c>
      <c r="Q123" s="11" t="e">
        <f>VLOOKUP($G123, 'ADP Data'!$B$4:$Q$300, 5, FALSE)</f>
        <v>#N/A</v>
      </c>
      <c r="R123" s="11" t="e">
        <f>VLOOKUP($G123, 'ADP Data'!$B$4:$Q$300, 7, FALSE)</f>
        <v>#N/A</v>
      </c>
      <c r="S123" s="11" t="e">
        <f>VLOOKUP($G123, 'ADP Data'!$B$4:$Q$300, 8, FALSE)</f>
        <v>#N/A</v>
      </c>
      <c r="T123" s="11" t="e">
        <f>VLOOKUP($G123, 'ADP Data'!$B$4:$Q$300, 9, FALSE)</f>
        <v>#N/A</v>
      </c>
      <c r="U123" s="11" t="e">
        <f t="shared" si="2"/>
        <v>#N/A</v>
      </c>
      <c r="V123" s="11"/>
    </row>
    <row r="124" spans="1:22" ht="14.25" customHeight="1" x14ac:dyDescent="0.25">
      <c r="A124" s="11"/>
      <c r="B124" s="11" t="e">
        <f t="shared" si="0"/>
        <v>#N/A</v>
      </c>
      <c r="C124" s="11" t="s">
        <v>148</v>
      </c>
      <c r="D124" s="11"/>
      <c r="E124" s="11"/>
      <c r="F124" s="11"/>
      <c r="G124" s="40" t="s">
        <v>1274</v>
      </c>
      <c r="H124" s="11" t="s">
        <v>145</v>
      </c>
      <c r="I124" s="11" t="s">
        <v>764</v>
      </c>
      <c r="J124" s="85" t="s">
        <v>1572</v>
      </c>
      <c r="K124" s="11" t="s">
        <v>1568</v>
      </c>
      <c r="L124" s="11">
        <v>49</v>
      </c>
      <c r="M124" s="11">
        <f t="shared" si="1"/>
        <v>16</v>
      </c>
      <c r="N124" s="11" t="e">
        <f>VLOOKUP($G124, 'ADP Data'!$B$4:$Q$300, 6, FALSE)</f>
        <v>#N/A</v>
      </c>
      <c r="O124" s="11" t="e">
        <f>VLOOKUP($G124, 'ADP Data'!$B$4:$Q$300, 10, FALSE)</f>
        <v>#N/A</v>
      </c>
      <c r="P124" s="11" t="e">
        <f>VLOOKUP($G124, 'ADP Data'!$B$4:$Q$300, 4, FALSE)</f>
        <v>#N/A</v>
      </c>
      <c r="Q124" s="11" t="e">
        <f>VLOOKUP($G124, 'ADP Data'!$B$4:$Q$300, 5, FALSE)</f>
        <v>#N/A</v>
      </c>
      <c r="R124" s="11" t="e">
        <f>VLOOKUP($G124, 'ADP Data'!$B$4:$Q$300, 7, FALSE)</f>
        <v>#N/A</v>
      </c>
      <c r="S124" s="11" t="e">
        <f>VLOOKUP($G124, 'ADP Data'!$B$4:$Q$300, 8, FALSE)</f>
        <v>#N/A</v>
      </c>
      <c r="T124" s="11" t="e">
        <f>VLOOKUP($G124, 'ADP Data'!$B$4:$Q$300, 9, FALSE)</f>
        <v>#N/A</v>
      </c>
      <c r="U124" s="11" t="e">
        <f t="shared" si="2"/>
        <v>#N/A</v>
      </c>
      <c r="V124" s="11"/>
    </row>
    <row r="125" spans="1:22" ht="14.25" customHeight="1" x14ac:dyDescent="0.25">
      <c r="A125" s="11"/>
      <c r="B125" s="11" t="e">
        <f t="shared" si="0"/>
        <v>#N/A</v>
      </c>
      <c r="C125" s="11" t="s">
        <v>148</v>
      </c>
      <c r="D125" s="11"/>
      <c r="E125" s="11">
        <v>2</v>
      </c>
      <c r="F125" s="11" t="s">
        <v>148</v>
      </c>
      <c r="G125" s="11" t="s">
        <v>621</v>
      </c>
      <c r="H125" s="11" t="s">
        <v>155</v>
      </c>
      <c r="I125" s="11" t="s">
        <v>764</v>
      </c>
      <c r="J125" s="85" t="s">
        <v>1573</v>
      </c>
      <c r="K125" s="11" t="s">
        <v>1543</v>
      </c>
      <c r="L125" s="11">
        <v>50</v>
      </c>
      <c r="M125" s="11">
        <f t="shared" si="1"/>
        <v>16</v>
      </c>
      <c r="N125" s="11" t="e">
        <f>VLOOKUP($G125, 'ADP Data'!$B$4:$Q$300, 6, FALSE)</f>
        <v>#N/A</v>
      </c>
      <c r="O125" s="11" t="e">
        <f>VLOOKUP($G125, 'ADP Data'!$B$4:$Q$300, 10, FALSE)</f>
        <v>#N/A</v>
      </c>
      <c r="P125" s="11" t="e">
        <f>VLOOKUP($G125, 'ADP Data'!$B$4:$Q$300, 4, FALSE)</f>
        <v>#N/A</v>
      </c>
      <c r="Q125" s="11" t="e">
        <f>VLOOKUP($G125, 'ADP Data'!$B$4:$Q$300, 5, FALSE)</f>
        <v>#N/A</v>
      </c>
      <c r="R125" s="11" t="e">
        <f>VLOOKUP($G125, 'ADP Data'!$B$4:$Q$300, 7, FALSE)</f>
        <v>#N/A</v>
      </c>
      <c r="S125" s="11" t="e">
        <f>VLOOKUP($G125, 'ADP Data'!$B$4:$Q$300, 8, FALSE)</f>
        <v>#N/A</v>
      </c>
      <c r="T125" s="11" t="e">
        <f>VLOOKUP($G125, 'ADP Data'!$B$4:$Q$300, 9, FALSE)</f>
        <v>#N/A</v>
      </c>
      <c r="U125" s="11" t="e">
        <f t="shared" si="2"/>
        <v>#N/A</v>
      </c>
      <c r="V125" s="11"/>
    </row>
    <row r="126" spans="1:22" ht="14.25" customHeight="1" x14ac:dyDescent="0.25">
      <c r="A126" s="11"/>
      <c r="B126" s="11" t="e">
        <f t="shared" si="0"/>
        <v>#N/A</v>
      </c>
      <c r="C126" s="11" t="s">
        <v>148</v>
      </c>
      <c r="D126" s="11"/>
      <c r="E126" s="11">
        <v>0</v>
      </c>
      <c r="F126" s="11"/>
      <c r="G126" s="11" t="s">
        <v>1185</v>
      </c>
      <c r="H126" s="11" t="s">
        <v>72</v>
      </c>
      <c r="I126" s="11" t="s">
        <v>769</v>
      </c>
      <c r="J126" s="85" t="s">
        <v>1343</v>
      </c>
      <c r="K126" s="11" t="s">
        <v>1183</v>
      </c>
      <c r="L126" s="11">
        <v>18</v>
      </c>
      <c r="M126" s="11">
        <f t="shared" si="1"/>
        <v>16</v>
      </c>
      <c r="N126" s="11" t="e">
        <f>VLOOKUP($G126, 'ADP Data'!$B$4:$Q$300, 6, FALSE)</f>
        <v>#N/A</v>
      </c>
      <c r="O126" s="11" t="e">
        <f>VLOOKUP($G126, 'ADP Data'!$B$4:$Q$300, 10, FALSE)</f>
        <v>#N/A</v>
      </c>
      <c r="P126" s="11" t="e">
        <f>VLOOKUP($G126, 'ADP Data'!$B$4:$Q$300, 4, FALSE)</f>
        <v>#N/A</v>
      </c>
      <c r="Q126" s="11" t="e">
        <f>VLOOKUP($G126, 'ADP Data'!$B$4:$Q$300, 5, FALSE)</f>
        <v>#N/A</v>
      </c>
      <c r="R126" s="11" t="e">
        <f>VLOOKUP($G126, 'ADP Data'!$B$4:$Q$300, 7, FALSE)</f>
        <v>#N/A</v>
      </c>
      <c r="S126" s="11" t="e">
        <f>VLOOKUP($G126, 'ADP Data'!$B$4:$Q$300, 8, FALSE)</f>
        <v>#N/A</v>
      </c>
      <c r="T126" s="11" t="e">
        <f>VLOOKUP($G126, 'ADP Data'!$B$4:$Q$300, 9, FALSE)</f>
        <v>#N/A</v>
      </c>
      <c r="U126" s="11" t="e">
        <f t="shared" si="2"/>
        <v>#N/A</v>
      </c>
      <c r="V126" s="11"/>
    </row>
    <row r="127" spans="1:22" ht="14.25" customHeight="1" x14ac:dyDescent="0.25">
      <c r="A127" s="11"/>
      <c r="B127" s="11" t="e">
        <f t="shared" si="0"/>
        <v>#N/A</v>
      </c>
      <c r="C127" s="11" t="s">
        <v>148</v>
      </c>
      <c r="D127" s="11"/>
      <c r="E127" s="11"/>
      <c r="F127" s="11"/>
      <c r="G127" s="11" t="s">
        <v>1322</v>
      </c>
      <c r="H127" s="11" t="s">
        <v>129</v>
      </c>
      <c r="I127" s="11" t="s">
        <v>762</v>
      </c>
      <c r="J127" s="85" t="s">
        <v>1551</v>
      </c>
      <c r="K127" s="11" t="s">
        <v>1553</v>
      </c>
      <c r="L127" s="11">
        <v>44</v>
      </c>
      <c r="M127" s="11">
        <f t="shared" si="1"/>
        <v>16</v>
      </c>
      <c r="N127" s="11" t="e">
        <f>VLOOKUP($G127, 'ADP Data'!$B$4:$Q$300, 6, FALSE)</f>
        <v>#N/A</v>
      </c>
      <c r="O127" s="11" t="e">
        <f>VLOOKUP($G127, 'ADP Data'!$B$4:$Q$300, 10, FALSE)</f>
        <v>#N/A</v>
      </c>
      <c r="P127" s="11" t="e">
        <f>VLOOKUP($G127, 'ADP Data'!$B$4:$Q$300, 4, FALSE)</f>
        <v>#N/A</v>
      </c>
      <c r="Q127" s="11" t="e">
        <f>VLOOKUP($G127, 'ADP Data'!$B$4:$Q$300, 5, FALSE)</f>
        <v>#N/A</v>
      </c>
      <c r="R127" s="11" t="e">
        <f>VLOOKUP($G127, 'ADP Data'!$B$4:$Q$300, 7, FALSE)</f>
        <v>#N/A</v>
      </c>
      <c r="S127" s="11" t="e">
        <f>VLOOKUP($G127, 'ADP Data'!$B$4:$Q$300, 8, FALSE)</f>
        <v>#N/A</v>
      </c>
      <c r="T127" s="11" t="e">
        <f>VLOOKUP($G127, 'ADP Data'!$B$4:$Q$300, 9, FALSE)</f>
        <v>#N/A</v>
      </c>
      <c r="U127" s="11" t="e">
        <f t="shared" si="2"/>
        <v>#N/A</v>
      </c>
      <c r="V127" s="11"/>
    </row>
    <row r="128" spans="1:22" ht="14.25" customHeight="1" x14ac:dyDescent="0.25">
      <c r="A128" s="11"/>
      <c r="B128" s="11" t="e">
        <f t="shared" si="0"/>
        <v>#N/A</v>
      </c>
      <c r="C128" s="11" t="s">
        <v>148</v>
      </c>
      <c r="D128" s="11">
        <v>3</v>
      </c>
      <c r="E128" s="11">
        <v>1</v>
      </c>
      <c r="F128" s="11"/>
      <c r="G128" s="11" t="s">
        <v>812</v>
      </c>
      <c r="H128" s="11" t="s">
        <v>155</v>
      </c>
      <c r="I128" s="11" t="s">
        <v>760</v>
      </c>
      <c r="J128" s="85" t="s">
        <v>1348</v>
      </c>
      <c r="K128" s="11" t="s">
        <v>1547</v>
      </c>
      <c r="L128" s="11">
        <v>14</v>
      </c>
      <c r="M128" s="11">
        <f t="shared" si="1"/>
        <v>16</v>
      </c>
      <c r="N128" s="11" t="e">
        <f>VLOOKUP($G128, 'ADP Data'!$B$4:$Q$300, 6, FALSE)</f>
        <v>#N/A</v>
      </c>
      <c r="O128" s="11" t="e">
        <f>VLOOKUP($G128, 'ADP Data'!$B$4:$Q$300, 10, FALSE)</f>
        <v>#N/A</v>
      </c>
      <c r="P128" s="11" t="e">
        <f>VLOOKUP($G128, 'ADP Data'!$B$4:$Q$300, 4, FALSE)</f>
        <v>#N/A</v>
      </c>
      <c r="Q128" s="11" t="e">
        <f>VLOOKUP($G128, 'ADP Data'!$B$4:$Q$300, 5, FALSE)</f>
        <v>#N/A</v>
      </c>
      <c r="R128" s="11" t="e">
        <f>VLOOKUP($G128, 'ADP Data'!$B$4:$Q$300, 7, FALSE)</f>
        <v>#N/A</v>
      </c>
      <c r="S128" s="11" t="e">
        <f>VLOOKUP($G128, 'ADP Data'!$B$4:$Q$300, 8, FALSE)</f>
        <v>#N/A</v>
      </c>
      <c r="T128" s="11" t="e">
        <f>VLOOKUP($G128, 'ADP Data'!$B$4:$Q$300, 9, FALSE)</f>
        <v>#N/A</v>
      </c>
      <c r="U128" s="11" t="e">
        <f t="shared" si="2"/>
        <v>#N/A</v>
      </c>
      <c r="V128" s="11"/>
    </row>
    <row r="129" spans="1:22" ht="14.25" customHeight="1" x14ac:dyDescent="0.25">
      <c r="A129" s="11"/>
      <c r="B129" s="11" t="e">
        <f t="shared" si="0"/>
        <v>#N/A</v>
      </c>
      <c r="C129" s="11" t="s">
        <v>148</v>
      </c>
      <c r="D129" s="11">
        <v>4</v>
      </c>
      <c r="E129" s="11"/>
      <c r="F129" s="11" t="s">
        <v>148</v>
      </c>
      <c r="G129" s="11" t="s">
        <v>1273</v>
      </c>
      <c r="H129" s="11" t="s">
        <v>199</v>
      </c>
      <c r="I129" s="11" t="s">
        <v>764</v>
      </c>
      <c r="J129" s="85" t="s">
        <v>1574</v>
      </c>
      <c r="K129" s="11" t="s">
        <v>1575</v>
      </c>
      <c r="L129" s="11">
        <v>51</v>
      </c>
      <c r="M129" s="11">
        <f t="shared" si="1"/>
        <v>16</v>
      </c>
      <c r="N129" s="11" t="e">
        <f>VLOOKUP($G129, 'ADP Data'!$B$4:$Q$300, 6, FALSE)</f>
        <v>#N/A</v>
      </c>
      <c r="O129" s="11" t="e">
        <f>VLOOKUP($G129, 'ADP Data'!$B$4:$Q$300, 10, FALSE)</f>
        <v>#N/A</v>
      </c>
      <c r="P129" s="11" t="e">
        <f>VLOOKUP($G129, 'ADP Data'!$B$4:$Q$300, 4, FALSE)</f>
        <v>#N/A</v>
      </c>
      <c r="Q129" s="11" t="e">
        <f>VLOOKUP($G129, 'ADP Data'!$B$4:$Q$300, 5, FALSE)</f>
        <v>#N/A</v>
      </c>
      <c r="R129" s="11" t="e">
        <f>VLOOKUP($G129, 'ADP Data'!$B$4:$Q$300, 7, FALSE)</f>
        <v>#N/A</v>
      </c>
      <c r="S129" s="11" t="e">
        <f>VLOOKUP($G129, 'ADP Data'!$B$4:$Q$300, 8, FALSE)</f>
        <v>#N/A</v>
      </c>
      <c r="T129" s="11" t="e">
        <f>VLOOKUP($G129, 'ADP Data'!$B$4:$Q$300, 9, FALSE)</f>
        <v>#N/A</v>
      </c>
      <c r="U129" s="11" t="e">
        <f t="shared" si="2"/>
        <v>#N/A</v>
      </c>
      <c r="V129" s="11" t="s">
        <v>1576</v>
      </c>
    </row>
    <row r="130" spans="1:22" ht="14.25" customHeight="1" x14ac:dyDescent="0.25">
      <c r="A130" s="11"/>
      <c r="B130" s="11" t="e">
        <f t="shared" si="0"/>
        <v>#N/A</v>
      </c>
      <c r="C130" s="11" t="s">
        <v>148</v>
      </c>
      <c r="D130" s="11"/>
      <c r="E130" s="11">
        <v>1</v>
      </c>
      <c r="F130" s="11"/>
      <c r="G130" s="11" t="s">
        <v>1251</v>
      </c>
      <c r="H130" s="11" t="s">
        <v>163</v>
      </c>
      <c r="I130" s="11" t="s">
        <v>769</v>
      </c>
      <c r="J130" s="85" t="s">
        <v>1383</v>
      </c>
      <c r="K130" s="11" t="s">
        <v>781</v>
      </c>
      <c r="L130" s="11">
        <v>13</v>
      </c>
      <c r="M130" s="11">
        <f t="shared" si="1"/>
        <v>16</v>
      </c>
      <c r="N130" s="11" t="e">
        <f>VLOOKUP($G130, 'ADP Data'!$B$4:$Q$300, 6, FALSE)</f>
        <v>#N/A</v>
      </c>
      <c r="O130" s="11" t="e">
        <f>VLOOKUP($G130, 'ADP Data'!$B$4:$Q$300, 10, FALSE)</f>
        <v>#N/A</v>
      </c>
      <c r="P130" s="11" t="e">
        <f>VLOOKUP($G130, 'ADP Data'!$B$4:$Q$300, 4, FALSE)</f>
        <v>#N/A</v>
      </c>
      <c r="Q130" s="11" t="e">
        <f>VLOOKUP($G130, 'ADP Data'!$B$4:$Q$300, 5, FALSE)</f>
        <v>#N/A</v>
      </c>
      <c r="R130" s="11" t="e">
        <f>VLOOKUP($G130, 'ADP Data'!$B$4:$Q$300, 7, FALSE)</f>
        <v>#N/A</v>
      </c>
      <c r="S130" s="11" t="e">
        <f>VLOOKUP($G130, 'ADP Data'!$B$4:$Q$300, 8, FALSE)</f>
        <v>#N/A</v>
      </c>
      <c r="T130" s="11" t="e">
        <f>VLOOKUP($G130, 'ADP Data'!$B$4:$Q$300, 9, FALSE)</f>
        <v>#N/A</v>
      </c>
      <c r="U130" s="11" t="e">
        <f t="shared" si="2"/>
        <v>#N/A</v>
      </c>
      <c r="V130" s="11"/>
    </row>
    <row r="131" spans="1:22" ht="14.25" customHeight="1" x14ac:dyDescent="0.25">
      <c r="A131" s="11"/>
      <c r="B131" s="11" t="e">
        <f t="shared" si="0"/>
        <v>#N/A</v>
      </c>
      <c r="C131" s="11" t="s">
        <v>148</v>
      </c>
      <c r="D131" s="11"/>
      <c r="E131" s="11"/>
      <c r="F131" s="11"/>
      <c r="G131" s="11" t="s">
        <v>502</v>
      </c>
      <c r="H131" s="11" t="s">
        <v>91</v>
      </c>
      <c r="I131" s="11" t="s">
        <v>773</v>
      </c>
      <c r="J131" s="85">
        <v>5</v>
      </c>
      <c r="K131" s="11"/>
      <c r="L131" s="11"/>
      <c r="M131" s="11">
        <f t="shared" si="1"/>
        <v>16</v>
      </c>
      <c r="N131" s="11" t="e">
        <f>VLOOKUP($G131, 'ADP Data'!$B$4:$Q$300, 6, FALSE)</f>
        <v>#N/A</v>
      </c>
      <c r="O131" s="11" t="e">
        <f>VLOOKUP($G131, 'ADP Data'!$B$4:$Q$300, 10, FALSE)</f>
        <v>#N/A</v>
      </c>
      <c r="P131" s="11" t="e">
        <f>VLOOKUP($G131, 'ADP Data'!$B$4:$Q$300, 4, FALSE)</f>
        <v>#N/A</v>
      </c>
      <c r="Q131" s="11" t="e">
        <f>VLOOKUP($G131, 'ADP Data'!$B$4:$Q$300, 5, FALSE)</f>
        <v>#N/A</v>
      </c>
      <c r="R131" s="11" t="e">
        <f>VLOOKUP($G131, 'ADP Data'!$B$4:$Q$300, 7, FALSE)</f>
        <v>#N/A</v>
      </c>
      <c r="S131" s="11" t="e">
        <f>VLOOKUP($G131, 'ADP Data'!$B$4:$Q$300, 8, FALSE)</f>
        <v>#N/A</v>
      </c>
      <c r="T131" s="11" t="e">
        <f>VLOOKUP($G131, 'ADP Data'!$B$4:$Q$300, 9, FALSE)</f>
        <v>#N/A</v>
      </c>
      <c r="U131" s="11" t="e">
        <f t="shared" si="2"/>
        <v>#N/A</v>
      </c>
      <c r="V131" s="11"/>
    </row>
    <row r="132" spans="1:22" ht="14.25" customHeight="1" x14ac:dyDescent="0.25">
      <c r="A132" s="11"/>
      <c r="B132" s="11" t="e">
        <f t="shared" si="0"/>
        <v>#N/A</v>
      </c>
      <c r="C132" s="11" t="s">
        <v>148</v>
      </c>
      <c r="D132" s="11"/>
      <c r="E132" s="11"/>
      <c r="F132" s="11"/>
      <c r="G132" s="11" t="s">
        <v>1446</v>
      </c>
      <c r="H132" s="11" t="s">
        <v>94</v>
      </c>
      <c r="I132" s="11" t="s">
        <v>764</v>
      </c>
      <c r="J132" s="85" t="s">
        <v>1577</v>
      </c>
      <c r="K132" s="11" t="s">
        <v>1568</v>
      </c>
      <c r="L132" s="11">
        <v>52</v>
      </c>
      <c r="M132" s="11">
        <f t="shared" si="1"/>
        <v>16</v>
      </c>
      <c r="N132" s="11" t="e">
        <f>VLOOKUP($G132, 'ADP Data'!$B$4:$Q$300, 6, FALSE)</f>
        <v>#N/A</v>
      </c>
      <c r="O132" s="11" t="e">
        <f>VLOOKUP($G132, 'ADP Data'!$B$4:$Q$300, 10, FALSE)</f>
        <v>#N/A</v>
      </c>
      <c r="P132" s="11" t="e">
        <f>VLOOKUP($G132, 'ADP Data'!$B$4:$Q$300, 4, FALSE)</f>
        <v>#N/A</v>
      </c>
      <c r="Q132" s="11" t="e">
        <f>VLOOKUP($G132, 'ADP Data'!$B$4:$Q$300, 5, FALSE)</f>
        <v>#N/A</v>
      </c>
      <c r="R132" s="11" t="e">
        <f>VLOOKUP($G132, 'ADP Data'!$B$4:$Q$300, 7, FALSE)</f>
        <v>#N/A</v>
      </c>
      <c r="S132" s="11" t="e">
        <f>VLOOKUP($G132, 'ADP Data'!$B$4:$Q$300, 8, FALSE)</f>
        <v>#N/A</v>
      </c>
      <c r="T132" s="11" t="e">
        <f>VLOOKUP($G132, 'ADP Data'!$B$4:$Q$300, 9, FALSE)</f>
        <v>#N/A</v>
      </c>
      <c r="U132" s="11" t="e">
        <f t="shared" si="2"/>
        <v>#N/A</v>
      </c>
      <c r="V132" s="11"/>
    </row>
    <row r="133" spans="1:22" ht="14.25" customHeight="1" x14ac:dyDescent="0.25">
      <c r="A133" s="11"/>
      <c r="B133" s="11" t="e">
        <f t="shared" si="0"/>
        <v>#N/A</v>
      </c>
      <c r="C133" s="11" t="s">
        <v>148</v>
      </c>
      <c r="D133" s="11"/>
      <c r="E133" s="11"/>
      <c r="F133" s="11"/>
      <c r="G133" s="11" t="s">
        <v>211</v>
      </c>
      <c r="H133" s="11" t="s">
        <v>44</v>
      </c>
      <c r="I133" s="11" t="s">
        <v>760</v>
      </c>
      <c r="J133" s="85" t="s">
        <v>1343</v>
      </c>
      <c r="K133" s="11" t="s">
        <v>1547</v>
      </c>
      <c r="L133" s="11">
        <v>15</v>
      </c>
      <c r="M133" s="11">
        <f t="shared" si="1"/>
        <v>16</v>
      </c>
      <c r="N133" s="11" t="e">
        <f>VLOOKUP($G133, 'ADP Data'!$B$4:$Q$300, 6, FALSE)</f>
        <v>#N/A</v>
      </c>
      <c r="O133" s="11" t="e">
        <f>VLOOKUP($G133, 'ADP Data'!$B$4:$Q$300, 10, FALSE)</f>
        <v>#N/A</v>
      </c>
      <c r="P133" s="11" t="e">
        <f>VLOOKUP($G133, 'ADP Data'!$B$4:$Q$300, 4, FALSE)</f>
        <v>#N/A</v>
      </c>
      <c r="Q133" s="11" t="e">
        <f>VLOOKUP($G133, 'ADP Data'!$B$4:$Q$300, 5, FALSE)</f>
        <v>#N/A</v>
      </c>
      <c r="R133" s="11" t="e">
        <f>VLOOKUP($G133, 'ADP Data'!$B$4:$Q$300, 7, FALSE)</f>
        <v>#N/A</v>
      </c>
      <c r="S133" s="11" t="e">
        <f>VLOOKUP($G133, 'ADP Data'!$B$4:$Q$300, 8, FALSE)</f>
        <v>#N/A</v>
      </c>
      <c r="T133" s="11" t="e">
        <f>VLOOKUP($G133, 'ADP Data'!$B$4:$Q$300, 9, FALSE)</f>
        <v>#N/A</v>
      </c>
      <c r="U133" s="11" t="e">
        <f t="shared" si="2"/>
        <v>#N/A</v>
      </c>
      <c r="V133" s="11"/>
    </row>
    <row r="134" spans="1:22" ht="14.25" customHeight="1" x14ac:dyDescent="0.25">
      <c r="A134" s="11"/>
      <c r="B134" s="11" t="e">
        <f t="shared" si="0"/>
        <v>#N/A</v>
      </c>
      <c r="C134" s="11" t="s">
        <v>148</v>
      </c>
      <c r="D134" s="11"/>
      <c r="E134" s="11"/>
      <c r="F134" s="11"/>
      <c r="G134" s="11" t="s">
        <v>1213</v>
      </c>
      <c r="H134" s="11" t="s">
        <v>184</v>
      </c>
      <c r="I134" s="11" t="s">
        <v>762</v>
      </c>
      <c r="J134" s="85" t="s">
        <v>1557</v>
      </c>
      <c r="K134" s="11" t="s">
        <v>1578</v>
      </c>
      <c r="L134" s="11">
        <v>45</v>
      </c>
      <c r="M134" s="11">
        <f t="shared" si="1"/>
        <v>16</v>
      </c>
      <c r="N134" s="11" t="e">
        <f>VLOOKUP($G134, 'ADP Data'!$B$4:$Q$300, 6, FALSE)</f>
        <v>#N/A</v>
      </c>
      <c r="O134" s="11" t="e">
        <f>VLOOKUP($G134, 'ADP Data'!$B$4:$Q$300, 10, FALSE)</f>
        <v>#N/A</v>
      </c>
      <c r="P134" s="11" t="e">
        <f>VLOOKUP($G134, 'ADP Data'!$B$4:$Q$300, 4, FALSE)</f>
        <v>#N/A</v>
      </c>
      <c r="Q134" s="11" t="e">
        <f>VLOOKUP($G134, 'ADP Data'!$B$4:$Q$300, 5, FALSE)</f>
        <v>#N/A</v>
      </c>
      <c r="R134" s="11" t="e">
        <f>VLOOKUP($G134, 'ADP Data'!$B$4:$Q$300, 7, FALSE)</f>
        <v>#N/A</v>
      </c>
      <c r="S134" s="11" t="e">
        <f>VLOOKUP($G134, 'ADP Data'!$B$4:$Q$300, 8, FALSE)</f>
        <v>#N/A</v>
      </c>
      <c r="T134" s="11" t="e">
        <f>VLOOKUP($G134, 'ADP Data'!$B$4:$Q$300, 9, FALSE)</f>
        <v>#N/A</v>
      </c>
      <c r="U134" s="11" t="e">
        <f t="shared" si="2"/>
        <v>#N/A</v>
      </c>
      <c r="V134" s="11"/>
    </row>
    <row r="135" spans="1:22" ht="14.25" customHeight="1" x14ac:dyDescent="0.25">
      <c r="A135" s="11"/>
      <c r="B135" s="11" t="e">
        <f t="shared" si="0"/>
        <v>#N/A</v>
      </c>
      <c r="C135" s="11" t="s">
        <v>148</v>
      </c>
      <c r="D135" s="11"/>
      <c r="E135" s="11"/>
      <c r="F135" s="11"/>
      <c r="G135" s="11" t="s">
        <v>252</v>
      </c>
      <c r="H135" s="11" t="s">
        <v>69</v>
      </c>
      <c r="I135" s="11" t="s">
        <v>762</v>
      </c>
      <c r="J135" s="85" t="s">
        <v>1560</v>
      </c>
      <c r="K135" s="11" t="s">
        <v>1579</v>
      </c>
      <c r="L135" s="11">
        <v>46</v>
      </c>
      <c r="M135" s="11">
        <f t="shared" si="1"/>
        <v>16</v>
      </c>
      <c r="N135" s="11" t="e">
        <f>VLOOKUP($G135, 'ADP Data'!$B$4:$Q$300, 6, FALSE)</f>
        <v>#N/A</v>
      </c>
      <c r="O135" s="11" t="e">
        <f>VLOOKUP($G135, 'ADP Data'!$B$4:$Q$300, 10, FALSE)</f>
        <v>#N/A</v>
      </c>
      <c r="P135" s="11" t="e">
        <f>VLOOKUP($G135, 'ADP Data'!$B$4:$Q$300, 4, FALSE)</f>
        <v>#N/A</v>
      </c>
      <c r="Q135" s="11" t="e">
        <f>VLOOKUP($G135, 'ADP Data'!$B$4:$Q$300, 5, FALSE)</f>
        <v>#N/A</v>
      </c>
      <c r="R135" s="11" t="e">
        <f>VLOOKUP($G135, 'ADP Data'!$B$4:$Q$300, 7, FALSE)</f>
        <v>#N/A</v>
      </c>
      <c r="S135" s="11" t="e">
        <f>VLOOKUP($G135, 'ADP Data'!$B$4:$Q$300, 8, FALSE)</f>
        <v>#N/A</v>
      </c>
      <c r="T135" s="11" t="e">
        <f>VLOOKUP($G135, 'ADP Data'!$B$4:$Q$300, 9, FALSE)</f>
        <v>#N/A</v>
      </c>
      <c r="U135" s="11" t="e">
        <f t="shared" si="2"/>
        <v>#N/A</v>
      </c>
      <c r="V135" s="11"/>
    </row>
    <row r="136" spans="1:22" ht="14.25" customHeight="1" x14ac:dyDescent="0.25">
      <c r="A136" s="11"/>
      <c r="B136" s="11" t="e">
        <f t="shared" si="0"/>
        <v>#N/A</v>
      </c>
      <c r="C136" s="11" t="s">
        <v>148</v>
      </c>
      <c r="D136" s="11"/>
      <c r="E136" s="11"/>
      <c r="F136" s="11"/>
      <c r="G136" s="11" t="s">
        <v>1426</v>
      </c>
      <c r="H136" s="11" t="s">
        <v>145</v>
      </c>
      <c r="I136" s="11" t="s">
        <v>762</v>
      </c>
      <c r="J136" s="85" t="s">
        <v>1580</v>
      </c>
      <c r="K136" s="11" t="s">
        <v>1578</v>
      </c>
      <c r="L136" s="11">
        <v>47</v>
      </c>
      <c r="M136" s="11">
        <f t="shared" si="1"/>
        <v>16</v>
      </c>
      <c r="N136" s="11" t="e">
        <f>VLOOKUP($G136, 'ADP Data'!$B$4:$Q$300, 6, FALSE)</f>
        <v>#N/A</v>
      </c>
      <c r="O136" s="11" t="e">
        <f>VLOOKUP($G136, 'ADP Data'!$B$4:$Q$300, 10, FALSE)</f>
        <v>#N/A</v>
      </c>
      <c r="P136" s="11" t="e">
        <f>VLOOKUP($G136, 'ADP Data'!$B$4:$Q$300, 4, FALSE)</f>
        <v>#N/A</v>
      </c>
      <c r="Q136" s="11" t="e">
        <f>VLOOKUP($G136, 'ADP Data'!$B$4:$Q$300, 5, FALSE)</f>
        <v>#N/A</v>
      </c>
      <c r="R136" s="11" t="e">
        <f>VLOOKUP($G136, 'ADP Data'!$B$4:$Q$300, 7, FALSE)</f>
        <v>#N/A</v>
      </c>
      <c r="S136" s="11" t="e">
        <f>VLOOKUP($G136, 'ADP Data'!$B$4:$Q$300, 8, FALSE)</f>
        <v>#N/A</v>
      </c>
      <c r="T136" s="11" t="e">
        <f>VLOOKUP($G136, 'ADP Data'!$B$4:$Q$300, 9, FALSE)</f>
        <v>#N/A</v>
      </c>
      <c r="U136" s="11" t="e">
        <f t="shared" si="2"/>
        <v>#N/A</v>
      </c>
      <c r="V136" s="11"/>
    </row>
    <row r="137" spans="1:22" ht="14.25" customHeight="1" x14ac:dyDescent="0.25">
      <c r="A137" s="11"/>
      <c r="B137" s="11" t="e">
        <f t="shared" si="0"/>
        <v>#N/A</v>
      </c>
      <c r="C137" s="11" t="s">
        <v>148</v>
      </c>
      <c r="D137" s="11"/>
      <c r="E137" s="11">
        <v>1</v>
      </c>
      <c r="F137" s="11"/>
      <c r="G137" s="11" t="s">
        <v>266</v>
      </c>
      <c r="H137" s="11" t="s">
        <v>199</v>
      </c>
      <c r="I137" s="11" t="s">
        <v>760</v>
      </c>
      <c r="J137" s="85" t="s">
        <v>1383</v>
      </c>
      <c r="K137" s="11" t="s">
        <v>1547</v>
      </c>
      <c r="L137" s="11">
        <v>16</v>
      </c>
      <c r="M137" s="11">
        <f t="shared" si="1"/>
        <v>16</v>
      </c>
      <c r="N137" s="11" t="e">
        <f>VLOOKUP($G137, 'ADP Data'!$B$4:$Q$300, 6, FALSE)</f>
        <v>#N/A</v>
      </c>
      <c r="O137" s="11" t="e">
        <f>VLOOKUP($G137, 'ADP Data'!$B$4:$Q$300, 10, FALSE)</f>
        <v>#N/A</v>
      </c>
      <c r="P137" s="11" t="e">
        <f>VLOOKUP($G137, 'ADP Data'!$B$4:$Q$300, 4, FALSE)</f>
        <v>#N/A</v>
      </c>
      <c r="Q137" s="11" t="e">
        <f>VLOOKUP($G137, 'ADP Data'!$B$4:$Q$300, 5, FALSE)</f>
        <v>#N/A</v>
      </c>
      <c r="R137" s="11" t="e">
        <f>VLOOKUP($G137, 'ADP Data'!$B$4:$Q$300, 7, FALSE)</f>
        <v>#N/A</v>
      </c>
      <c r="S137" s="11" t="e">
        <f>VLOOKUP($G137, 'ADP Data'!$B$4:$Q$300, 8, FALSE)</f>
        <v>#N/A</v>
      </c>
      <c r="T137" s="11" t="e">
        <f>VLOOKUP($G137, 'ADP Data'!$B$4:$Q$300, 9, FALSE)</f>
        <v>#N/A</v>
      </c>
      <c r="U137" s="11" t="e">
        <f t="shared" si="2"/>
        <v>#N/A</v>
      </c>
      <c r="V137" s="11" t="s">
        <v>1581</v>
      </c>
    </row>
    <row r="138" spans="1:22" ht="14.25" customHeight="1" x14ac:dyDescent="0.25">
      <c r="A138" s="11"/>
      <c r="B138" s="11" t="e">
        <f t="shared" si="0"/>
        <v>#N/A</v>
      </c>
      <c r="C138" s="11" t="s">
        <v>148</v>
      </c>
      <c r="D138" s="11"/>
      <c r="E138" s="11">
        <v>1</v>
      </c>
      <c r="F138" s="11"/>
      <c r="G138" s="11" t="s">
        <v>1177</v>
      </c>
      <c r="H138" s="11" t="s">
        <v>81</v>
      </c>
      <c r="I138" s="11" t="s">
        <v>764</v>
      </c>
      <c r="J138" s="85" t="s">
        <v>1582</v>
      </c>
      <c r="K138" s="11" t="s">
        <v>1575</v>
      </c>
      <c r="L138" s="11">
        <v>53</v>
      </c>
      <c r="M138" s="11">
        <f t="shared" si="1"/>
        <v>16</v>
      </c>
      <c r="N138" s="11" t="e">
        <f>VLOOKUP($G138, 'ADP Data'!$B$4:$Q$300, 6, FALSE)</f>
        <v>#N/A</v>
      </c>
      <c r="O138" s="11" t="e">
        <f>VLOOKUP($G138, 'ADP Data'!$B$4:$Q$300, 10, FALSE)</f>
        <v>#N/A</v>
      </c>
      <c r="P138" s="11" t="e">
        <f>VLOOKUP($G138, 'ADP Data'!$B$4:$Q$300, 4, FALSE)</f>
        <v>#N/A</v>
      </c>
      <c r="Q138" s="11" t="e">
        <f>VLOOKUP($G138, 'ADP Data'!$B$4:$Q$300, 5, FALSE)</f>
        <v>#N/A</v>
      </c>
      <c r="R138" s="11" t="e">
        <f>VLOOKUP($G138, 'ADP Data'!$B$4:$Q$300, 7, FALSE)</f>
        <v>#N/A</v>
      </c>
      <c r="S138" s="11" t="e">
        <f>VLOOKUP($G138, 'ADP Data'!$B$4:$Q$300, 8, FALSE)</f>
        <v>#N/A</v>
      </c>
      <c r="T138" s="11" t="e">
        <f>VLOOKUP($G138, 'ADP Data'!$B$4:$Q$300, 9, FALSE)</f>
        <v>#N/A</v>
      </c>
      <c r="U138" s="11" t="e">
        <f t="shared" si="2"/>
        <v>#N/A</v>
      </c>
      <c r="V138" s="11" t="s">
        <v>1583</v>
      </c>
    </row>
    <row r="139" spans="1:22" ht="14.25" customHeight="1" x14ac:dyDescent="0.25">
      <c r="A139" s="11"/>
      <c r="B139" s="11" t="e">
        <f t="shared" si="0"/>
        <v>#N/A</v>
      </c>
      <c r="C139" s="11" t="s">
        <v>148</v>
      </c>
      <c r="D139" s="11">
        <v>2</v>
      </c>
      <c r="E139" s="11">
        <v>1</v>
      </c>
      <c r="F139" s="11"/>
      <c r="G139" s="11" t="s">
        <v>938</v>
      </c>
      <c r="H139" s="11" t="s">
        <v>104</v>
      </c>
      <c r="I139" s="11" t="s">
        <v>769</v>
      </c>
      <c r="J139" s="85" t="s">
        <v>1402</v>
      </c>
      <c r="K139" s="11" t="s">
        <v>781</v>
      </c>
      <c r="L139" s="11">
        <v>10</v>
      </c>
      <c r="M139" s="11">
        <f t="shared" si="1"/>
        <v>16</v>
      </c>
      <c r="N139" s="11" t="e">
        <f>VLOOKUP($G139, 'ADP Data'!$B$4:$Q$300, 6, FALSE)</f>
        <v>#N/A</v>
      </c>
      <c r="O139" s="11" t="e">
        <f>VLOOKUP($G139, 'ADP Data'!$B$4:$Q$300, 10, FALSE)</f>
        <v>#N/A</v>
      </c>
      <c r="P139" s="11" t="e">
        <f>VLOOKUP($G139, 'ADP Data'!$B$4:$Q$300, 4, FALSE)</f>
        <v>#N/A</v>
      </c>
      <c r="Q139" s="11" t="e">
        <f>VLOOKUP($G139, 'ADP Data'!$B$4:$Q$300, 5, FALSE)</f>
        <v>#N/A</v>
      </c>
      <c r="R139" s="11" t="e">
        <f>VLOOKUP($G139, 'ADP Data'!$B$4:$Q$300, 7, FALSE)</f>
        <v>#N/A</v>
      </c>
      <c r="S139" s="11" t="e">
        <f>VLOOKUP($G139, 'ADP Data'!$B$4:$Q$300, 8, FALSE)</f>
        <v>#N/A</v>
      </c>
      <c r="T139" s="11" t="e">
        <f>VLOOKUP($G139, 'ADP Data'!$B$4:$Q$300, 9, FALSE)</f>
        <v>#N/A</v>
      </c>
      <c r="U139" s="11" t="e">
        <f t="shared" si="2"/>
        <v>#N/A</v>
      </c>
      <c r="V139" s="11" t="s">
        <v>1584</v>
      </c>
    </row>
    <row r="140" spans="1:22" ht="14.25" customHeight="1" x14ac:dyDescent="0.25">
      <c r="A140" s="11"/>
      <c r="B140" s="11" t="e">
        <f t="shared" si="0"/>
        <v>#N/A</v>
      </c>
      <c r="C140" s="11" t="s">
        <v>148</v>
      </c>
      <c r="D140" s="11"/>
      <c r="E140" s="11"/>
      <c r="F140" s="11"/>
      <c r="G140" s="11" t="s">
        <v>1221</v>
      </c>
      <c r="H140" s="11" t="s">
        <v>85</v>
      </c>
      <c r="I140" s="11" t="s">
        <v>762</v>
      </c>
      <c r="J140" s="85" t="s">
        <v>1585</v>
      </c>
      <c r="K140" s="11" t="s">
        <v>1579</v>
      </c>
      <c r="L140" s="11">
        <v>48</v>
      </c>
      <c r="M140" s="11">
        <f t="shared" si="1"/>
        <v>16</v>
      </c>
      <c r="N140" s="11" t="e">
        <f>VLOOKUP($G140, 'ADP Data'!$B$4:$Q$300, 6, FALSE)</f>
        <v>#N/A</v>
      </c>
      <c r="O140" s="11" t="e">
        <f>VLOOKUP($G140, 'ADP Data'!$B$4:$Q$300, 10, FALSE)</f>
        <v>#N/A</v>
      </c>
      <c r="P140" s="11" t="e">
        <f>VLOOKUP($G140, 'ADP Data'!$B$4:$Q$300, 4, FALSE)</f>
        <v>#N/A</v>
      </c>
      <c r="Q140" s="11" t="e">
        <f>VLOOKUP($G140, 'ADP Data'!$B$4:$Q$300, 5, FALSE)</f>
        <v>#N/A</v>
      </c>
      <c r="R140" s="11" t="e">
        <f>VLOOKUP($G140, 'ADP Data'!$B$4:$Q$300, 7, FALSE)</f>
        <v>#N/A</v>
      </c>
      <c r="S140" s="11" t="e">
        <f>VLOOKUP($G140, 'ADP Data'!$B$4:$Q$300, 8, FALSE)</f>
        <v>#N/A</v>
      </c>
      <c r="T140" s="11" t="e">
        <f>VLOOKUP($G140, 'ADP Data'!$B$4:$Q$300, 9, FALSE)</f>
        <v>#N/A</v>
      </c>
      <c r="U140" s="11" t="e">
        <f t="shared" si="2"/>
        <v>#N/A</v>
      </c>
      <c r="V140" s="11"/>
    </row>
    <row r="141" spans="1:22" ht="14.25" customHeight="1" x14ac:dyDescent="0.25">
      <c r="A141" s="11"/>
      <c r="B141" s="11" t="e">
        <f t="shared" si="0"/>
        <v>#N/A</v>
      </c>
      <c r="C141" s="11" t="s">
        <v>148</v>
      </c>
      <c r="D141" s="11"/>
      <c r="E141" s="11">
        <v>1</v>
      </c>
      <c r="F141" s="11"/>
      <c r="G141" s="11" t="s">
        <v>627</v>
      </c>
      <c r="H141" s="11" t="s">
        <v>72</v>
      </c>
      <c r="I141" s="11" t="s">
        <v>760</v>
      </c>
      <c r="J141" s="85" t="s">
        <v>1393</v>
      </c>
      <c r="K141" s="11" t="s">
        <v>1550</v>
      </c>
      <c r="L141" s="11">
        <v>17</v>
      </c>
      <c r="M141" s="11">
        <f t="shared" si="1"/>
        <v>16</v>
      </c>
      <c r="N141" s="11" t="e">
        <f>VLOOKUP($G141, 'ADP Data'!$B$4:$Q$300, 6, FALSE)</f>
        <v>#N/A</v>
      </c>
      <c r="O141" s="11" t="e">
        <f>VLOOKUP($G141, 'ADP Data'!$B$4:$Q$300, 10, FALSE)</f>
        <v>#N/A</v>
      </c>
      <c r="P141" s="11" t="e">
        <f>VLOOKUP($G141, 'ADP Data'!$B$4:$Q$300, 4, FALSE)</f>
        <v>#N/A</v>
      </c>
      <c r="Q141" s="11" t="e">
        <f>VLOOKUP($G141, 'ADP Data'!$B$4:$Q$300, 5, FALSE)</f>
        <v>#N/A</v>
      </c>
      <c r="R141" s="11" t="e">
        <f>VLOOKUP($G141, 'ADP Data'!$B$4:$Q$300, 7, FALSE)</f>
        <v>#N/A</v>
      </c>
      <c r="S141" s="11" t="e">
        <f>VLOOKUP($G141, 'ADP Data'!$B$4:$Q$300, 8, FALSE)</f>
        <v>#N/A</v>
      </c>
      <c r="T141" s="11" t="e">
        <f>VLOOKUP($G141, 'ADP Data'!$B$4:$Q$300, 9, FALSE)</f>
        <v>#N/A</v>
      </c>
      <c r="U141" s="11" t="e">
        <f t="shared" si="2"/>
        <v>#N/A</v>
      </c>
      <c r="V141" s="11" t="s">
        <v>1586</v>
      </c>
    </row>
    <row r="142" spans="1:22" ht="14.25" customHeight="1" x14ac:dyDescent="0.25">
      <c r="A142" s="11" t="s">
        <v>1156</v>
      </c>
      <c r="B142" s="11" t="e">
        <f t="shared" si="0"/>
        <v>#N/A</v>
      </c>
      <c r="C142" s="11" t="s">
        <v>148</v>
      </c>
      <c r="D142" s="11">
        <v>3</v>
      </c>
      <c r="E142" s="11">
        <v>1</v>
      </c>
      <c r="F142" s="11"/>
      <c r="G142" s="11" t="s">
        <v>1162</v>
      </c>
      <c r="H142" s="11" t="s">
        <v>55</v>
      </c>
      <c r="I142" s="11" t="s">
        <v>760</v>
      </c>
      <c r="J142" s="85" t="s">
        <v>1424</v>
      </c>
      <c r="K142" s="11" t="s">
        <v>1547</v>
      </c>
      <c r="L142" s="11">
        <v>18</v>
      </c>
      <c r="M142" s="11">
        <f t="shared" si="1"/>
        <v>16</v>
      </c>
      <c r="N142" s="11" t="e">
        <f>VLOOKUP($G142, 'ADP Data'!$B$4:$Q$300, 6, FALSE)</f>
        <v>#N/A</v>
      </c>
      <c r="O142" s="11" t="e">
        <f>VLOOKUP($G142, 'ADP Data'!$B$4:$Q$300, 10, FALSE)</f>
        <v>#N/A</v>
      </c>
      <c r="P142" s="11" t="e">
        <f>VLOOKUP($G142, 'ADP Data'!$B$4:$Q$300, 4, FALSE)</f>
        <v>#N/A</v>
      </c>
      <c r="Q142" s="11" t="e">
        <f>VLOOKUP($G142, 'ADP Data'!$B$4:$Q$300, 5, FALSE)</f>
        <v>#N/A</v>
      </c>
      <c r="R142" s="11" t="e">
        <f>VLOOKUP($G142, 'ADP Data'!$B$4:$Q$300, 7, FALSE)</f>
        <v>#N/A</v>
      </c>
      <c r="S142" s="11" t="e">
        <f>VLOOKUP($G142, 'ADP Data'!$B$4:$Q$300, 8, FALSE)</f>
        <v>#N/A</v>
      </c>
      <c r="T142" s="11" t="e">
        <f>VLOOKUP($G142, 'ADP Data'!$B$4:$Q$300, 9, FALSE)</f>
        <v>#N/A</v>
      </c>
      <c r="U142" s="11" t="e">
        <f t="shared" si="2"/>
        <v>#N/A</v>
      </c>
      <c r="V142" s="11"/>
    </row>
    <row r="143" spans="1:22" ht="14.25" customHeight="1" x14ac:dyDescent="0.25">
      <c r="A143" s="11"/>
      <c r="B143" s="11" t="e">
        <f t="shared" si="0"/>
        <v>#N/A</v>
      </c>
      <c r="C143" s="11" t="s">
        <v>148</v>
      </c>
      <c r="D143" s="11"/>
      <c r="E143" s="11">
        <v>1</v>
      </c>
      <c r="F143" s="11"/>
      <c r="G143" s="11" t="s">
        <v>1587</v>
      </c>
      <c r="H143" s="11" t="s">
        <v>104</v>
      </c>
      <c r="I143" s="11" t="s">
        <v>764</v>
      </c>
      <c r="J143" s="85" t="s">
        <v>1588</v>
      </c>
      <c r="K143" s="11" t="s">
        <v>1575</v>
      </c>
      <c r="L143" s="11">
        <v>54</v>
      </c>
      <c r="M143" s="11">
        <f t="shared" si="1"/>
        <v>16</v>
      </c>
      <c r="N143" s="11" t="e">
        <f>VLOOKUP($G143, 'ADP Data'!$B$4:$Q$300, 6, FALSE)</f>
        <v>#N/A</v>
      </c>
      <c r="O143" s="11" t="e">
        <f>VLOOKUP($G143, 'ADP Data'!$B$4:$Q$300, 10, FALSE)</f>
        <v>#N/A</v>
      </c>
      <c r="P143" s="11" t="e">
        <f>VLOOKUP($G143, 'ADP Data'!$B$4:$Q$300, 4, FALSE)</f>
        <v>#N/A</v>
      </c>
      <c r="Q143" s="11" t="e">
        <f>VLOOKUP($G143, 'ADP Data'!$B$4:$Q$300, 5, FALSE)</f>
        <v>#N/A</v>
      </c>
      <c r="R143" s="11" t="e">
        <f>VLOOKUP($G143, 'ADP Data'!$B$4:$Q$300, 7, FALSE)</f>
        <v>#N/A</v>
      </c>
      <c r="S143" s="11" t="e">
        <f>VLOOKUP($G143, 'ADP Data'!$B$4:$Q$300, 8, FALSE)</f>
        <v>#N/A</v>
      </c>
      <c r="T143" s="11" t="e">
        <f>VLOOKUP($G143, 'ADP Data'!$B$4:$Q$300, 9, FALSE)</f>
        <v>#N/A</v>
      </c>
      <c r="U143" s="11" t="e">
        <f t="shared" si="2"/>
        <v>#N/A</v>
      </c>
      <c r="V143" s="11"/>
    </row>
    <row r="144" spans="1:22" ht="14.25" customHeight="1" x14ac:dyDescent="0.25">
      <c r="A144" s="11"/>
      <c r="B144" s="11" t="e">
        <f t="shared" si="0"/>
        <v>#N/A</v>
      </c>
      <c r="C144" s="11" t="s">
        <v>148</v>
      </c>
      <c r="D144" s="11"/>
      <c r="E144" s="11"/>
      <c r="F144" s="11"/>
      <c r="G144" s="11" t="s">
        <v>1461</v>
      </c>
      <c r="H144" s="11" t="s">
        <v>233</v>
      </c>
      <c r="I144" s="11" t="s">
        <v>760</v>
      </c>
      <c r="J144" s="85" t="s">
        <v>1445</v>
      </c>
      <c r="K144" s="11" t="s">
        <v>1550</v>
      </c>
      <c r="L144" s="11">
        <v>19</v>
      </c>
      <c r="M144" s="11">
        <f t="shared" si="1"/>
        <v>16</v>
      </c>
      <c r="N144" s="11" t="e">
        <f>VLOOKUP($G144, 'ADP Data'!$B$4:$Q$300, 6, FALSE)</f>
        <v>#N/A</v>
      </c>
      <c r="O144" s="11" t="e">
        <f>VLOOKUP($G144, 'ADP Data'!$B$4:$Q$300, 10, FALSE)</f>
        <v>#N/A</v>
      </c>
      <c r="P144" s="11" t="e">
        <f>VLOOKUP($G144, 'ADP Data'!$B$4:$Q$300, 4, FALSE)</f>
        <v>#N/A</v>
      </c>
      <c r="Q144" s="11" t="e">
        <f>VLOOKUP($G144, 'ADP Data'!$B$4:$Q$300, 5, FALSE)</f>
        <v>#N/A</v>
      </c>
      <c r="R144" s="11" t="e">
        <f>VLOOKUP($G144, 'ADP Data'!$B$4:$Q$300, 7, FALSE)</f>
        <v>#N/A</v>
      </c>
      <c r="S144" s="11" t="e">
        <f>VLOOKUP($G144, 'ADP Data'!$B$4:$Q$300, 8, FALSE)</f>
        <v>#N/A</v>
      </c>
      <c r="T144" s="11" t="e">
        <f>VLOOKUP($G144, 'ADP Data'!$B$4:$Q$300, 9, FALSE)</f>
        <v>#N/A</v>
      </c>
      <c r="U144" s="11" t="e">
        <f t="shared" si="2"/>
        <v>#N/A</v>
      </c>
      <c r="V144" s="11"/>
    </row>
    <row r="145" spans="1:22" ht="14.25" customHeight="1" x14ac:dyDescent="0.25">
      <c r="A145" s="11"/>
      <c r="B145" s="11" t="e">
        <f t="shared" si="0"/>
        <v>#N/A</v>
      </c>
      <c r="C145" s="11" t="s">
        <v>148</v>
      </c>
      <c r="D145" s="11"/>
      <c r="E145" s="11"/>
      <c r="F145" s="11"/>
      <c r="G145" s="11" t="s">
        <v>619</v>
      </c>
      <c r="H145" s="11" t="s">
        <v>81</v>
      </c>
      <c r="I145" s="11" t="s">
        <v>760</v>
      </c>
      <c r="J145" s="85" t="s">
        <v>1378</v>
      </c>
      <c r="K145" s="11" t="s">
        <v>1589</v>
      </c>
      <c r="L145" s="11">
        <v>20</v>
      </c>
      <c r="M145" s="11">
        <f t="shared" si="1"/>
        <v>16</v>
      </c>
      <c r="N145" s="11" t="e">
        <f>VLOOKUP($G145, 'ADP Data'!$B$4:$Q$300, 6, FALSE)</f>
        <v>#N/A</v>
      </c>
      <c r="O145" s="11" t="e">
        <f>VLOOKUP($G145, 'ADP Data'!$B$4:$Q$300, 10, FALSE)</f>
        <v>#N/A</v>
      </c>
      <c r="P145" s="11" t="e">
        <f>VLOOKUP($G145, 'ADP Data'!$B$4:$Q$300, 4, FALSE)</f>
        <v>#N/A</v>
      </c>
      <c r="Q145" s="11" t="e">
        <f>VLOOKUP($G145, 'ADP Data'!$B$4:$Q$300, 5, FALSE)</f>
        <v>#N/A</v>
      </c>
      <c r="R145" s="11" t="e">
        <f>VLOOKUP($G145, 'ADP Data'!$B$4:$Q$300, 7, FALSE)</f>
        <v>#N/A</v>
      </c>
      <c r="S145" s="11" t="e">
        <f>VLOOKUP($G145, 'ADP Data'!$B$4:$Q$300, 8, FALSE)</f>
        <v>#N/A</v>
      </c>
      <c r="T145" s="11" t="e">
        <f>VLOOKUP($G145, 'ADP Data'!$B$4:$Q$300, 9, FALSE)</f>
        <v>#N/A</v>
      </c>
      <c r="U145" s="11" t="e">
        <f t="shared" si="2"/>
        <v>#N/A</v>
      </c>
      <c r="V145" s="11" t="s">
        <v>1590</v>
      </c>
    </row>
    <row r="146" spans="1:22" ht="14.25" customHeight="1" x14ac:dyDescent="0.25">
      <c r="A146" s="11"/>
      <c r="B146" s="11" t="e">
        <f t="shared" si="0"/>
        <v>#N/A</v>
      </c>
      <c r="C146" s="11" t="s">
        <v>148</v>
      </c>
      <c r="D146" s="11"/>
      <c r="E146" s="11"/>
      <c r="F146" s="11"/>
      <c r="G146" s="11" t="s">
        <v>1425</v>
      </c>
      <c r="H146" s="11" t="s">
        <v>104</v>
      </c>
      <c r="I146" s="11" t="s">
        <v>762</v>
      </c>
      <c r="J146" s="85" t="s">
        <v>1574</v>
      </c>
      <c r="K146" s="11" t="s">
        <v>1578</v>
      </c>
      <c r="L146" s="11">
        <v>49</v>
      </c>
      <c r="M146" s="11">
        <f t="shared" si="1"/>
        <v>16</v>
      </c>
      <c r="N146" s="11" t="e">
        <f>VLOOKUP($G146, 'ADP Data'!$B$4:$Q$300, 6, FALSE)</f>
        <v>#N/A</v>
      </c>
      <c r="O146" s="11" t="e">
        <f>VLOOKUP($G146, 'ADP Data'!$B$4:$Q$300, 10, FALSE)</f>
        <v>#N/A</v>
      </c>
      <c r="P146" s="11" t="e">
        <f>VLOOKUP($G146, 'ADP Data'!$B$4:$Q$300, 4, FALSE)</f>
        <v>#N/A</v>
      </c>
      <c r="Q146" s="11" t="e">
        <f>VLOOKUP($G146, 'ADP Data'!$B$4:$Q$300, 5, FALSE)</f>
        <v>#N/A</v>
      </c>
      <c r="R146" s="11" t="e">
        <f>VLOOKUP($G146, 'ADP Data'!$B$4:$Q$300, 7, FALSE)</f>
        <v>#N/A</v>
      </c>
      <c r="S146" s="11" t="e">
        <f>VLOOKUP($G146, 'ADP Data'!$B$4:$Q$300, 8, FALSE)</f>
        <v>#N/A</v>
      </c>
      <c r="T146" s="11" t="e">
        <f>VLOOKUP($G146, 'ADP Data'!$B$4:$Q$300, 9, FALSE)</f>
        <v>#N/A</v>
      </c>
      <c r="U146" s="11" t="e">
        <f t="shared" si="2"/>
        <v>#N/A</v>
      </c>
      <c r="V146" s="11"/>
    </row>
    <row r="147" spans="1:22" ht="14.25" customHeight="1" x14ac:dyDescent="0.25">
      <c r="A147" s="11"/>
      <c r="B147" s="11" t="e">
        <f t="shared" si="0"/>
        <v>#N/A</v>
      </c>
      <c r="C147" s="11" t="s">
        <v>148</v>
      </c>
      <c r="D147" s="11"/>
      <c r="E147" s="11"/>
      <c r="F147" s="11"/>
      <c r="G147" s="11" t="s">
        <v>658</v>
      </c>
      <c r="H147" s="11" t="s">
        <v>55</v>
      </c>
      <c r="I147" s="11" t="s">
        <v>773</v>
      </c>
      <c r="J147" s="85">
        <v>6</v>
      </c>
      <c r="K147" s="11"/>
      <c r="L147" s="11"/>
      <c r="M147" s="11">
        <f t="shared" si="1"/>
        <v>16</v>
      </c>
      <c r="N147" s="11" t="e">
        <f>VLOOKUP($G147, 'ADP Data'!$B$4:$Q$300, 6, FALSE)</f>
        <v>#N/A</v>
      </c>
      <c r="O147" s="11" t="e">
        <f>VLOOKUP($G147, 'ADP Data'!$B$4:$Q$300, 10, FALSE)</f>
        <v>#N/A</v>
      </c>
      <c r="P147" s="11" t="e">
        <f>VLOOKUP($G147, 'ADP Data'!$B$4:$Q$300, 4, FALSE)</f>
        <v>#N/A</v>
      </c>
      <c r="Q147" s="11" t="e">
        <f>VLOOKUP($G147, 'ADP Data'!$B$4:$Q$300, 5, FALSE)</f>
        <v>#N/A</v>
      </c>
      <c r="R147" s="11" t="e">
        <f>VLOOKUP($G147, 'ADP Data'!$B$4:$Q$300, 7, FALSE)</f>
        <v>#N/A</v>
      </c>
      <c r="S147" s="11" t="e">
        <f>VLOOKUP($G147, 'ADP Data'!$B$4:$Q$300, 8, FALSE)</f>
        <v>#N/A</v>
      </c>
      <c r="T147" s="11" t="e">
        <f>VLOOKUP($G147, 'ADP Data'!$B$4:$Q$300, 9, FALSE)</f>
        <v>#N/A</v>
      </c>
      <c r="U147" s="11" t="e">
        <f t="shared" si="2"/>
        <v>#N/A</v>
      </c>
      <c r="V147" s="11"/>
    </row>
    <row r="148" spans="1:22" ht="14.25" customHeight="1" x14ac:dyDescent="0.25">
      <c r="A148" s="11"/>
      <c r="B148" s="11" t="e">
        <f t="shared" si="0"/>
        <v>#N/A</v>
      </c>
      <c r="C148" s="11" t="s">
        <v>148</v>
      </c>
      <c r="D148" s="11"/>
      <c r="E148" s="11"/>
      <c r="F148" s="11"/>
      <c r="G148" s="11" t="s">
        <v>1249</v>
      </c>
      <c r="H148" s="11" t="s">
        <v>85</v>
      </c>
      <c r="I148" s="11" t="s">
        <v>764</v>
      </c>
      <c r="J148" s="85" t="s">
        <v>1591</v>
      </c>
      <c r="K148" s="11"/>
      <c r="L148" s="11">
        <v>55</v>
      </c>
      <c r="M148" s="11">
        <f t="shared" si="1"/>
        <v>16</v>
      </c>
      <c r="N148" s="11" t="e">
        <f>VLOOKUP($G148, 'ADP Data'!$B$4:$Q$300, 6, FALSE)</f>
        <v>#N/A</v>
      </c>
      <c r="O148" s="11" t="e">
        <f>VLOOKUP($G148, 'ADP Data'!$B$4:$Q$300, 10, FALSE)</f>
        <v>#N/A</v>
      </c>
      <c r="P148" s="11" t="e">
        <f>VLOOKUP($G148, 'ADP Data'!$B$4:$Q$300, 4, FALSE)</f>
        <v>#N/A</v>
      </c>
      <c r="Q148" s="11" t="e">
        <f>VLOOKUP($G148, 'ADP Data'!$B$4:$Q$300, 5, FALSE)</f>
        <v>#N/A</v>
      </c>
      <c r="R148" s="11" t="e">
        <f>VLOOKUP($G148, 'ADP Data'!$B$4:$Q$300, 7, FALSE)</f>
        <v>#N/A</v>
      </c>
      <c r="S148" s="11" t="e">
        <f>VLOOKUP($G148, 'ADP Data'!$B$4:$Q$300, 8, FALSE)</f>
        <v>#N/A</v>
      </c>
      <c r="T148" s="11" t="e">
        <f>VLOOKUP($G148, 'ADP Data'!$B$4:$Q$300, 9, FALSE)</f>
        <v>#N/A</v>
      </c>
      <c r="U148" s="11" t="e">
        <f t="shared" si="2"/>
        <v>#N/A</v>
      </c>
      <c r="V148" s="11" t="s">
        <v>1592</v>
      </c>
    </row>
    <row r="149" spans="1:22" ht="14.25" customHeight="1" x14ac:dyDescent="0.25">
      <c r="A149" s="11"/>
      <c r="B149" s="11" t="e">
        <f t="shared" si="0"/>
        <v>#N/A</v>
      </c>
      <c r="C149" s="11" t="s">
        <v>148</v>
      </c>
      <c r="D149" s="11"/>
      <c r="E149" s="11">
        <v>1</v>
      </c>
      <c r="F149" s="11" t="s">
        <v>148</v>
      </c>
      <c r="G149" s="11" t="s">
        <v>1290</v>
      </c>
      <c r="H149" s="11" t="s">
        <v>123</v>
      </c>
      <c r="I149" s="11" t="s">
        <v>764</v>
      </c>
      <c r="J149" s="85" t="s">
        <v>1593</v>
      </c>
      <c r="K149" s="11" t="s">
        <v>1568</v>
      </c>
      <c r="L149" s="11">
        <v>56</v>
      </c>
      <c r="M149" s="11">
        <f t="shared" si="1"/>
        <v>16</v>
      </c>
      <c r="N149" s="11" t="e">
        <f>VLOOKUP($G149, 'ADP Data'!$B$4:$Q$300, 6, FALSE)</f>
        <v>#N/A</v>
      </c>
      <c r="O149" s="11" t="e">
        <f>VLOOKUP($G149, 'ADP Data'!$B$4:$Q$300, 10, FALSE)</f>
        <v>#N/A</v>
      </c>
      <c r="P149" s="11" t="e">
        <f>VLOOKUP($G149, 'ADP Data'!$B$4:$Q$300, 4, FALSE)</f>
        <v>#N/A</v>
      </c>
      <c r="Q149" s="11" t="e">
        <f>VLOOKUP($G149, 'ADP Data'!$B$4:$Q$300, 5, FALSE)</f>
        <v>#N/A</v>
      </c>
      <c r="R149" s="11" t="e">
        <f>VLOOKUP($G149, 'ADP Data'!$B$4:$Q$300, 7, FALSE)</f>
        <v>#N/A</v>
      </c>
      <c r="S149" s="11" t="e">
        <f>VLOOKUP($G149, 'ADP Data'!$B$4:$Q$300, 8, FALSE)</f>
        <v>#N/A</v>
      </c>
      <c r="T149" s="11" t="e">
        <f>VLOOKUP($G149, 'ADP Data'!$B$4:$Q$300, 9, FALSE)</f>
        <v>#N/A</v>
      </c>
      <c r="U149" s="11" t="e">
        <f t="shared" si="2"/>
        <v>#N/A</v>
      </c>
      <c r="V149" s="11"/>
    </row>
    <row r="150" spans="1:22" ht="14.25" customHeight="1" x14ac:dyDescent="0.25">
      <c r="A150" s="11"/>
      <c r="B150" s="11" t="e">
        <f t="shared" si="0"/>
        <v>#N/A</v>
      </c>
      <c r="C150" s="11" t="s">
        <v>148</v>
      </c>
      <c r="D150" s="11"/>
      <c r="E150" s="11"/>
      <c r="F150" s="11"/>
      <c r="G150" s="11" t="s">
        <v>63</v>
      </c>
      <c r="H150" s="11" t="s">
        <v>35</v>
      </c>
      <c r="I150" s="11" t="s">
        <v>764</v>
      </c>
      <c r="J150" s="85" t="s">
        <v>1594</v>
      </c>
      <c r="K150" s="11" t="s">
        <v>1568</v>
      </c>
      <c r="L150" s="11">
        <v>57</v>
      </c>
      <c r="M150" s="11">
        <f t="shared" si="1"/>
        <v>16</v>
      </c>
      <c r="N150" s="11" t="e">
        <f>VLOOKUP($G150, 'ADP Data'!$B$4:$Q$300, 6, FALSE)</f>
        <v>#N/A</v>
      </c>
      <c r="O150" s="11" t="e">
        <f>VLOOKUP($G150, 'ADP Data'!$B$4:$Q$300, 10, FALSE)</f>
        <v>#N/A</v>
      </c>
      <c r="P150" s="11" t="e">
        <f>VLOOKUP($G150, 'ADP Data'!$B$4:$Q$300, 4, FALSE)</f>
        <v>#N/A</v>
      </c>
      <c r="Q150" s="11" t="e">
        <f>VLOOKUP($G150, 'ADP Data'!$B$4:$Q$300, 5, FALSE)</f>
        <v>#N/A</v>
      </c>
      <c r="R150" s="11" t="e">
        <f>VLOOKUP($G150, 'ADP Data'!$B$4:$Q$300, 7, FALSE)</f>
        <v>#N/A</v>
      </c>
      <c r="S150" s="11" t="e">
        <f>VLOOKUP($G150, 'ADP Data'!$B$4:$Q$300, 8, FALSE)</f>
        <v>#N/A</v>
      </c>
      <c r="T150" s="11" t="e">
        <f>VLOOKUP($G150, 'ADP Data'!$B$4:$Q$300, 9, FALSE)</f>
        <v>#N/A</v>
      </c>
      <c r="U150" s="11" t="e">
        <f t="shared" si="2"/>
        <v>#N/A</v>
      </c>
      <c r="V150" s="11"/>
    </row>
    <row r="151" spans="1:22" ht="14.25" customHeight="1" x14ac:dyDescent="0.25">
      <c r="A151" s="11"/>
      <c r="B151" s="11" t="e">
        <f t="shared" si="0"/>
        <v>#N/A</v>
      </c>
      <c r="C151" s="11" t="s">
        <v>148</v>
      </c>
      <c r="D151" s="11"/>
      <c r="E151" s="11">
        <v>1</v>
      </c>
      <c r="F151" s="11"/>
      <c r="G151" s="11" t="s">
        <v>1260</v>
      </c>
      <c r="H151" s="11" t="s">
        <v>49</v>
      </c>
      <c r="I151" s="11" t="s">
        <v>762</v>
      </c>
      <c r="J151" s="85" t="s">
        <v>1595</v>
      </c>
      <c r="K151" s="11" t="s">
        <v>1553</v>
      </c>
      <c r="L151" s="11">
        <v>50</v>
      </c>
      <c r="M151" s="11">
        <f t="shared" si="1"/>
        <v>16</v>
      </c>
      <c r="N151" s="11" t="e">
        <f>VLOOKUP($G151, 'ADP Data'!$B$4:$Q$300, 6, FALSE)</f>
        <v>#N/A</v>
      </c>
      <c r="O151" s="11" t="e">
        <f>VLOOKUP($G151, 'ADP Data'!$B$4:$Q$300, 10, FALSE)</f>
        <v>#N/A</v>
      </c>
      <c r="P151" s="11" t="e">
        <f>VLOOKUP($G151, 'ADP Data'!$B$4:$Q$300, 4, FALSE)</f>
        <v>#N/A</v>
      </c>
      <c r="Q151" s="11" t="e">
        <f>VLOOKUP($G151, 'ADP Data'!$B$4:$Q$300, 5, FALSE)</f>
        <v>#N/A</v>
      </c>
      <c r="R151" s="11" t="e">
        <f>VLOOKUP($G151, 'ADP Data'!$B$4:$Q$300, 7, FALSE)</f>
        <v>#N/A</v>
      </c>
      <c r="S151" s="11" t="e">
        <f>VLOOKUP($G151, 'ADP Data'!$B$4:$Q$300, 8, FALSE)</f>
        <v>#N/A</v>
      </c>
      <c r="T151" s="11" t="e">
        <f>VLOOKUP($G151, 'ADP Data'!$B$4:$Q$300, 9, FALSE)</f>
        <v>#N/A</v>
      </c>
      <c r="U151" s="11" t="e">
        <f t="shared" si="2"/>
        <v>#N/A</v>
      </c>
      <c r="V151" s="11" t="s">
        <v>1596</v>
      </c>
    </row>
    <row r="152" spans="1:22" ht="14.25" customHeight="1" x14ac:dyDescent="0.25">
      <c r="A152" s="11"/>
      <c r="B152" s="11" t="e">
        <f t="shared" si="0"/>
        <v>#N/A</v>
      </c>
      <c r="C152" s="11" t="s">
        <v>148</v>
      </c>
      <c r="D152" s="11"/>
      <c r="E152" s="11">
        <v>1</v>
      </c>
      <c r="F152" s="11"/>
      <c r="G152" s="11" t="s">
        <v>1298</v>
      </c>
      <c r="H152" s="11" t="s">
        <v>126</v>
      </c>
      <c r="I152" s="11" t="s">
        <v>764</v>
      </c>
      <c r="J152" s="85" t="s">
        <v>1597</v>
      </c>
      <c r="K152" s="11" t="s">
        <v>1575</v>
      </c>
      <c r="L152" s="11">
        <v>59</v>
      </c>
      <c r="M152" s="11">
        <f t="shared" si="1"/>
        <v>16</v>
      </c>
      <c r="N152" s="11" t="e">
        <f>VLOOKUP($G152, 'ADP Data'!$B$4:$Q$300, 6, FALSE)</f>
        <v>#N/A</v>
      </c>
      <c r="O152" s="11" t="e">
        <f>VLOOKUP($G152, 'ADP Data'!$B$4:$Q$300, 10, FALSE)</f>
        <v>#N/A</v>
      </c>
      <c r="P152" s="11" t="e">
        <f>VLOOKUP($G152, 'ADP Data'!$B$4:$Q$300, 4, FALSE)</f>
        <v>#N/A</v>
      </c>
      <c r="Q152" s="11" t="e">
        <f>VLOOKUP($G152, 'ADP Data'!$B$4:$Q$300, 5, FALSE)</f>
        <v>#N/A</v>
      </c>
      <c r="R152" s="11" t="e">
        <f>VLOOKUP($G152, 'ADP Data'!$B$4:$Q$300, 7, FALSE)</f>
        <v>#N/A</v>
      </c>
      <c r="S152" s="11" t="e">
        <f>VLOOKUP($G152, 'ADP Data'!$B$4:$Q$300, 8, FALSE)</f>
        <v>#N/A</v>
      </c>
      <c r="T152" s="11" t="e">
        <f>VLOOKUP($G152, 'ADP Data'!$B$4:$Q$300, 9, FALSE)</f>
        <v>#N/A</v>
      </c>
      <c r="U152" s="11" t="e">
        <f t="shared" si="2"/>
        <v>#N/A</v>
      </c>
      <c r="V152" s="11" t="s">
        <v>1598</v>
      </c>
    </row>
    <row r="153" spans="1:22" ht="14.25" customHeight="1" x14ac:dyDescent="0.25">
      <c r="A153" s="11"/>
      <c r="B153" s="11" t="e">
        <f t="shared" si="0"/>
        <v>#N/A</v>
      </c>
      <c r="C153" s="11" t="s">
        <v>148</v>
      </c>
      <c r="D153" s="11"/>
      <c r="E153" s="11"/>
      <c r="F153" s="11"/>
      <c r="G153" s="11" t="s">
        <v>1291</v>
      </c>
      <c r="H153" s="11" t="s">
        <v>214</v>
      </c>
      <c r="I153" s="11" t="s">
        <v>764</v>
      </c>
      <c r="J153" s="85" t="s">
        <v>1599</v>
      </c>
      <c r="K153" s="11" t="s">
        <v>1600</v>
      </c>
      <c r="L153" s="11">
        <v>60</v>
      </c>
      <c r="M153" s="11">
        <f t="shared" si="1"/>
        <v>16</v>
      </c>
      <c r="N153" s="11" t="e">
        <f>VLOOKUP($G153, 'ADP Data'!$B$4:$Q$300, 6, FALSE)</f>
        <v>#N/A</v>
      </c>
      <c r="O153" s="11" t="e">
        <f>VLOOKUP($G153, 'ADP Data'!$B$4:$Q$300, 10, FALSE)</f>
        <v>#N/A</v>
      </c>
      <c r="P153" s="11" t="e">
        <f>VLOOKUP($G153, 'ADP Data'!$B$4:$Q$300, 4, FALSE)</f>
        <v>#N/A</v>
      </c>
      <c r="Q153" s="11" t="e">
        <f>VLOOKUP($G153, 'ADP Data'!$B$4:$Q$300, 5, FALSE)</f>
        <v>#N/A</v>
      </c>
      <c r="R153" s="11" t="e">
        <f>VLOOKUP($G153, 'ADP Data'!$B$4:$Q$300, 7, FALSE)</f>
        <v>#N/A</v>
      </c>
      <c r="S153" s="11" t="e">
        <f>VLOOKUP($G153, 'ADP Data'!$B$4:$Q$300, 8, FALSE)</f>
        <v>#N/A</v>
      </c>
      <c r="T153" s="11" t="e">
        <f>VLOOKUP($G153, 'ADP Data'!$B$4:$Q$300, 9, FALSE)</f>
        <v>#N/A</v>
      </c>
      <c r="U153" s="11" t="e">
        <f t="shared" si="2"/>
        <v>#N/A</v>
      </c>
      <c r="V153" s="11"/>
    </row>
    <row r="154" spans="1:22" ht="14.25" customHeight="1" x14ac:dyDescent="0.25">
      <c r="A154" s="11"/>
      <c r="B154" s="11" t="e">
        <f t="shared" si="0"/>
        <v>#N/A</v>
      </c>
      <c r="C154" s="11" t="s">
        <v>148</v>
      </c>
      <c r="D154" s="11"/>
      <c r="E154" s="11">
        <v>1</v>
      </c>
      <c r="F154" s="11" t="s">
        <v>148</v>
      </c>
      <c r="G154" s="11" t="s">
        <v>1304</v>
      </c>
      <c r="H154" s="11" t="s">
        <v>39</v>
      </c>
      <c r="I154" s="11" t="s">
        <v>764</v>
      </c>
      <c r="J154" s="85" t="s">
        <v>1601</v>
      </c>
      <c r="K154" s="11" t="s">
        <v>1600</v>
      </c>
      <c r="L154" s="11">
        <v>61</v>
      </c>
      <c r="M154" s="11">
        <f t="shared" si="1"/>
        <v>16</v>
      </c>
      <c r="N154" s="11" t="e">
        <f>VLOOKUP($G154, 'ADP Data'!$B$4:$Q$300, 6, FALSE)</f>
        <v>#N/A</v>
      </c>
      <c r="O154" s="11" t="e">
        <f>VLOOKUP($G154, 'ADP Data'!$B$4:$Q$300, 10, FALSE)</f>
        <v>#N/A</v>
      </c>
      <c r="P154" s="11" t="e">
        <f>VLOOKUP($G154, 'ADP Data'!$B$4:$Q$300, 4, FALSE)</f>
        <v>#N/A</v>
      </c>
      <c r="Q154" s="11" t="e">
        <f>VLOOKUP($G154, 'ADP Data'!$B$4:$Q$300, 5, FALSE)</f>
        <v>#N/A</v>
      </c>
      <c r="R154" s="11" t="e">
        <f>VLOOKUP($G154, 'ADP Data'!$B$4:$Q$300, 7, FALSE)</f>
        <v>#N/A</v>
      </c>
      <c r="S154" s="11" t="e">
        <f>VLOOKUP($G154, 'ADP Data'!$B$4:$Q$300, 8, FALSE)</f>
        <v>#N/A</v>
      </c>
      <c r="T154" s="11" t="e">
        <f>VLOOKUP($G154, 'ADP Data'!$B$4:$Q$300, 9, FALSE)</f>
        <v>#N/A</v>
      </c>
      <c r="U154" s="11" t="e">
        <f t="shared" si="2"/>
        <v>#N/A</v>
      </c>
      <c r="V154" s="11" t="s">
        <v>1602</v>
      </c>
    </row>
    <row r="155" spans="1:22" ht="14.25" customHeight="1" x14ac:dyDescent="0.25">
      <c r="A155" s="11"/>
      <c r="B155" s="11" t="e">
        <f t="shared" si="0"/>
        <v>#N/A</v>
      </c>
      <c r="C155" s="11" t="s">
        <v>148</v>
      </c>
      <c r="D155" s="11"/>
      <c r="E155" s="11"/>
      <c r="F155" s="11"/>
      <c r="G155" s="11" t="s">
        <v>1210</v>
      </c>
      <c r="H155" s="11" t="s">
        <v>52</v>
      </c>
      <c r="I155" s="11" t="s">
        <v>762</v>
      </c>
      <c r="J155" s="85" t="s">
        <v>1577</v>
      </c>
      <c r="K155" s="11" t="s">
        <v>1564</v>
      </c>
      <c r="L155" s="11">
        <v>51</v>
      </c>
      <c r="M155" s="11">
        <f t="shared" si="1"/>
        <v>16</v>
      </c>
      <c r="N155" s="11" t="e">
        <f>VLOOKUP($G155, 'ADP Data'!$B$4:$Q$300, 6, FALSE)</f>
        <v>#N/A</v>
      </c>
      <c r="O155" s="11" t="e">
        <f>VLOOKUP($G155, 'ADP Data'!$B$4:$Q$300, 10, FALSE)</f>
        <v>#N/A</v>
      </c>
      <c r="P155" s="11" t="e">
        <f>VLOOKUP($G155, 'ADP Data'!$B$4:$Q$300, 4, FALSE)</f>
        <v>#N/A</v>
      </c>
      <c r="Q155" s="11" t="e">
        <f>VLOOKUP($G155, 'ADP Data'!$B$4:$Q$300, 5, FALSE)</f>
        <v>#N/A</v>
      </c>
      <c r="R155" s="11" t="e">
        <f>VLOOKUP($G155, 'ADP Data'!$B$4:$Q$300, 7, FALSE)</f>
        <v>#N/A</v>
      </c>
      <c r="S155" s="11" t="e">
        <f>VLOOKUP($G155, 'ADP Data'!$B$4:$Q$300, 8, FALSE)</f>
        <v>#N/A</v>
      </c>
      <c r="T155" s="11" t="e">
        <f>VLOOKUP($G155, 'ADP Data'!$B$4:$Q$300, 9, FALSE)</f>
        <v>#N/A</v>
      </c>
      <c r="U155" s="11" t="e">
        <f t="shared" si="2"/>
        <v>#N/A</v>
      </c>
      <c r="V155" s="11"/>
    </row>
    <row r="156" spans="1:22" ht="14.25" customHeight="1" x14ac:dyDescent="0.25">
      <c r="A156" s="11"/>
      <c r="B156" s="11" t="e">
        <f t="shared" si="0"/>
        <v>#N/A</v>
      </c>
      <c r="C156" s="11" t="s">
        <v>148</v>
      </c>
      <c r="D156" s="11"/>
      <c r="E156" s="11"/>
      <c r="F156" s="11"/>
      <c r="G156" s="11" t="s">
        <v>648</v>
      </c>
      <c r="H156" s="11" t="s">
        <v>126</v>
      </c>
      <c r="I156" s="11" t="s">
        <v>769</v>
      </c>
      <c r="J156" s="85" t="s">
        <v>1348</v>
      </c>
      <c r="K156" s="11" t="s">
        <v>781</v>
      </c>
      <c r="L156" s="11">
        <v>14</v>
      </c>
      <c r="M156" s="11">
        <f t="shared" si="1"/>
        <v>16</v>
      </c>
      <c r="N156" s="11" t="e">
        <f>VLOOKUP($G156, 'ADP Data'!$B$4:$Q$300, 6, FALSE)</f>
        <v>#N/A</v>
      </c>
      <c r="O156" s="11" t="e">
        <f>VLOOKUP($G156, 'ADP Data'!$B$4:$Q$300, 10, FALSE)</f>
        <v>#N/A</v>
      </c>
      <c r="P156" s="11" t="e">
        <f>VLOOKUP($G156, 'ADP Data'!$B$4:$Q$300, 4, FALSE)</f>
        <v>#N/A</v>
      </c>
      <c r="Q156" s="11" t="e">
        <f>VLOOKUP($G156, 'ADP Data'!$B$4:$Q$300, 5, FALSE)</f>
        <v>#N/A</v>
      </c>
      <c r="R156" s="11" t="e">
        <f>VLOOKUP($G156, 'ADP Data'!$B$4:$Q$300, 7, FALSE)</f>
        <v>#N/A</v>
      </c>
      <c r="S156" s="11" t="e">
        <f>VLOOKUP($G156, 'ADP Data'!$B$4:$Q$300, 8, FALSE)</f>
        <v>#N/A</v>
      </c>
      <c r="T156" s="11" t="e">
        <f>VLOOKUP($G156, 'ADP Data'!$B$4:$Q$300, 9, FALSE)</f>
        <v>#N/A</v>
      </c>
      <c r="U156" s="11" t="e">
        <f t="shared" si="2"/>
        <v>#N/A</v>
      </c>
      <c r="V156" s="11"/>
    </row>
    <row r="157" spans="1:22" ht="14.25" customHeight="1" x14ac:dyDescent="0.25">
      <c r="A157" s="11"/>
      <c r="B157" s="11" t="e">
        <f t="shared" si="0"/>
        <v>#N/A</v>
      </c>
      <c r="C157" s="11" t="s">
        <v>148</v>
      </c>
      <c r="D157" s="11"/>
      <c r="E157" s="11"/>
      <c r="F157" s="11"/>
      <c r="G157" s="11" t="s">
        <v>364</v>
      </c>
      <c r="H157" s="11" t="s">
        <v>187</v>
      </c>
      <c r="I157" s="11" t="s">
        <v>760</v>
      </c>
      <c r="J157" s="85" t="s">
        <v>1402</v>
      </c>
      <c r="K157" s="11" t="s">
        <v>1589</v>
      </c>
      <c r="L157" s="11">
        <v>21</v>
      </c>
      <c r="M157" s="11">
        <f t="shared" si="1"/>
        <v>16</v>
      </c>
      <c r="N157" s="11" t="e">
        <f>VLOOKUP($G157, 'ADP Data'!$B$4:$Q$300, 6, FALSE)</f>
        <v>#N/A</v>
      </c>
      <c r="O157" s="11" t="e">
        <f>VLOOKUP($G157, 'ADP Data'!$B$4:$Q$300, 10, FALSE)</f>
        <v>#N/A</v>
      </c>
      <c r="P157" s="11" t="e">
        <f>VLOOKUP($G157, 'ADP Data'!$B$4:$Q$300, 4, FALSE)</f>
        <v>#N/A</v>
      </c>
      <c r="Q157" s="11" t="e">
        <f>VLOOKUP($G157, 'ADP Data'!$B$4:$Q$300, 5, FALSE)</f>
        <v>#N/A</v>
      </c>
      <c r="R157" s="11" t="e">
        <f>VLOOKUP($G157, 'ADP Data'!$B$4:$Q$300, 7, FALSE)</f>
        <v>#N/A</v>
      </c>
      <c r="S157" s="11" t="e">
        <f>VLOOKUP($G157, 'ADP Data'!$B$4:$Q$300, 8, FALSE)</f>
        <v>#N/A</v>
      </c>
      <c r="T157" s="11" t="e">
        <f>VLOOKUP($G157, 'ADP Data'!$B$4:$Q$300, 9, FALSE)</f>
        <v>#N/A</v>
      </c>
      <c r="U157" s="11" t="e">
        <f t="shared" si="2"/>
        <v>#N/A</v>
      </c>
      <c r="V157" s="11" t="s">
        <v>1603</v>
      </c>
    </row>
    <row r="158" spans="1:22" ht="14.25" customHeight="1" x14ac:dyDescent="0.25">
      <c r="A158" s="11"/>
      <c r="B158" s="11" t="e">
        <f t="shared" si="0"/>
        <v>#N/A</v>
      </c>
      <c r="C158" s="11" t="s">
        <v>148</v>
      </c>
      <c r="D158" s="11"/>
      <c r="E158" s="11"/>
      <c r="F158" s="11"/>
      <c r="G158" s="11" t="s">
        <v>572</v>
      </c>
      <c r="H158" s="11" t="s">
        <v>91</v>
      </c>
      <c r="I158" s="11" t="s">
        <v>764</v>
      </c>
      <c r="J158" s="85" t="s">
        <v>1604</v>
      </c>
      <c r="K158" s="11" t="s">
        <v>1568</v>
      </c>
      <c r="L158" s="11">
        <v>70</v>
      </c>
      <c r="M158" s="11">
        <f t="shared" si="1"/>
        <v>16</v>
      </c>
      <c r="N158" s="11" t="e">
        <f>VLOOKUP($G158, 'ADP Data'!$B$4:$Q$300, 6, FALSE)</f>
        <v>#N/A</v>
      </c>
      <c r="O158" s="11" t="e">
        <f>VLOOKUP($G158, 'ADP Data'!$B$4:$Q$300, 10, FALSE)</f>
        <v>#N/A</v>
      </c>
      <c r="P158" s="11" t="e">
        <f>VLOOKUP($G158, 'ADP Data'!$B$4:$Q$300, 4, FALSE)</f>
        <v>#N/A</v>
      </c>
      <c r="Q158" s="11" t="e">
        <f>VLOOKUP($G158, 'ADP Data'!$B$4:$Q$300, 5, FALSE)</f>
        <v>#N/A</v>
      </c>
      <c r="R158" s="11" t="e">
        <f>VLOOKUP($G158, 'ADP Data'!$B$4:$Q$300, 7, FALSE)</f>
        <v>#N/A</v>
      </c>
      <c r="S158" s="11" t="e">
        <f>VLOOKUP($G158, 'ADP Data'!$B$4:$Q$300, 8, FALSE)</f>
        <v>#N/A</v>
      </c>
      <c r="T158" s="11" t="e">
        <f>VLOOKUP($G158, 'ADP Data'!$B$4:$Q$300, 9, FALSE)</f>
        <v>#N/A</v>
      </c>
      <c r="U158" s="11" t="e">
        <f t="shared" si="2"/>
        <v>#N/A</v>
      </c>
      <c r="V158" s="11"/>
    </row>
    <row r="159" spans="1:22" ht="14.25" customHeight="1" x14ac:dyDescent="0.25">
      <c r="A159" s="11"/>
      <c r="B159" s="11" t="e">
        <f t="shared" si="0"/>
        <v>#N/A</v>
      </c>
      <c r="C159" s="11" t="s">
        <v>148</v>
      </c>
      <c r="D159" s="11"/>
      <c r="E159" s="11"/>
      <c r="F159" s="11"/>
      <c r="G159" s="11" t="s">
        <v>1513</v>
      </c>
      <c r="H159" s="11" t="s">
        <v>66</v>
      </c>
      <c r="I159" s="11" t="s">
        <v>764</v>
      </c>
      <c r="J159" s="85" t="s">
        <v>1580</v>
      </c>
      <c r="K159" s="11"/>
      <c r="L159" s="11"/>
      <c r="M159" s="11">
        <f t="shared" si="1"/>
        <v>16</v>
      </c>
      <c r="N159" s="11" t="e">
        <f>VLOOKUP($G159, 'ADP Data'!$B$4:$Q$300, 6, FALSE)</f>
        <v>#N/A</v>
      </c>
      <c r="O159" s="11" t="e">
        <f>VLOOKUP($G159, 'ADP Data'!$B$4:$Q$300, 10, FALSE)</f>
        <v>#N/A</v>
      </c>
      <c r="P159" s="11" t="e">
        <f>VLOOKUP($G159, 'ADP Data'!$B$4:$Q$300, 4, FALSE)</f>
        <v>#N/A</v>
      </c>
      <c r="Q159" s="11" t="e">
        <f>VLOOKUP($G159, 'ADP Data'!$B$4:$Q$300, 5, FALSE)</f>
        <v>#N/A</v>
      </c>
      <c r="R159" s="11" t="e">
        <f>VLOOKUP($G159, 'ADP Data'!$B$4:$Q$300, 7, FALSE)</f>
        <v>#N/A</v>
      </c>
      <c r="S159" s="11" t="e">
        <f>VLOOKUP($G159, 'ADP Data'!$B$4:$Q$300, 8, FALSE)</f>
        <v>#N/A</v>
      </c>
      <c r="T159" s="11" t="e">
        <f>VLOOKUP($G159, 'ADP Data'!$B$4:$Q$300, 9, FALSE)</f>
        <v>#N/A</v>
      </c>
      <c r="U159" s="11" t="e">
        <f t="shared" si="2"/>
        <v>#N/A</v>
      </c>
      <c r="V159" s="11"/>
    </row>
    <row r="160" spans="1:22" ht="14.25" customHeight="1" x14ac:dyDescent="0.25">
      <c r="A160" s="11"/>
      <c r="B160" s="11" t="e">
        <f t="shared" si="0"/>
        <v>#N/A</v>
      </c>
      <c r="C160" s="11" t="s">
        <v>148</v>
      </c>
      <c r="D160" s="11"/>
      <c r="E160" s="11"/>
      <c r="F160" s="11"/>
      <c r="G160" s="11" t="s">
        <v>282</v>
      </c>
      <c r="H160" s="11" t="s">
        <v>78</v>
      </c>
      <c r="I160" s="11" t="s">
        <v>762</v>
      </c>
      <c r="J160" s="85" t="s">
        <v>1605</v>
      </c>
      <c r="K160" s="11" t="s">
        <v>1564</v>
      </c>
      <c r="L160" s="11">
        <v>52</v>
      </c>
      <c r="M160" s="11">
        <f t="shared" si="1"/>
        <v>16</v>
      </c>
      <c r="N160" s="11" t="e">
        <f>VLOOKUP($G160, 'ADP Data'!$B$4:$Q$300, 6, FALSE)</f>
        <v>#N/A</v>
      </c>
      <c r="O160" s="11" t="e">
        <f>VLOOKUP($G160, 'ADP Data'!$B$4:$Q$300, 10, FALSE)</f>
        <v>#N/A</v>
      </c>
      <c r="P160" s="11" t="e">
        <f>VLOOKUP($G160, 'ADP Data'!$B$4:$Q$300, 4, FALSE)</f>
        <v>#N/A</v>
      </c>
      <c r="Q160" s="11" t="e">
        <f>VLOOKUP($G160, 'ADP Data'!$B$4:$Q$300, 5, FALSE)</f>
        <v>#N/A</v>
      </c>
      <c r="R160" s="11" t="e">
        <f>VLOOKUP($G160, 'ADP Data'!$B$4:$Q$300, 7, FALSE)</f>
        <v>#N/A</v>
      </c>
      <c r="S160" s="11" t="e">
        <f>VLOOKUP($G160, 'ADP Data'!$B$4:$Q$300, 8, FALSE)</f>
        <v>#N/A</v>
      </c>
      <c r="T160" s="11" t="e">
        <f>VLOOKUP($G160, 'ADP Data'!$B$4:$Q$300, 9, FALSE)</f>
        <v>#N/A</v>
      </c>
      <c r="U160" s="11" t="e">
        <f t="shared" si="2"/>
        <v>#N/A</v>
      </c>
      <c r="V160" s="11" t="s">
        <v>1606</v>
      </c>
    </row>
    <row r="161" spans="1:22" ht="14.25" customHeight="1" x14ac:dyDescent="0.25">
      <c r="A161" s="11"/>
      <c r="B161" s="11" t="e">
        <f t="shared" si="0"/>
        <v>#N/A</v>
      </c>
      <c r="C161" s="11" t="s">
        <v>148</v>
      </c>
      <c r="D161" s="11"/>
      <c r="E161" s="11"/>
      <c r="F161" s="11"/>
      <c r="G161" s="11" t="s">
        <v>602</v>
      </c>
      <c r="H161" s="11" t="s">
        <v>66</v>
      </c>
      <c r="I161" s="11" t="s">
        <v>773</v>
      </c>
      <c r="J161" s="85">
        <v>8</v>
      </c>
      <c r="K161" s="11"/>
      <c r="L161" s="11"/>
      <c r="M161" s="11">
        <f t="shared" si="1"/>
        <v>16</v>
      </c>
      <c r="N161" s="11" t="e">
        <f>VLOOKUP($G161, 'ADP Data'!$B$4:$Q$300, 6, FALSE)</f>
        <v>#N/A</v>
      </c>
      <c r="O161" s="11" t="e">
        <f>VLOOKUP($G161, 'ADP Data'!$B$4:$Q$300, 10, FALSE)</f>
        <v>#N/A</v>
      </c>
      <c r="P161" s="11" t="e">
        <f>VLOOKUP($G161, 'ADP Data'!$B$4:$Q$300, 4, FALSE)</f>
        <v>#N/A</v>
      </c>
      <c r="Q161" s="11" t="e">
        <f>VLOOKUP($G161, 'ADP Data'!$B$4:$Q$300, 5, FALSE)</f>
        <v>#N/A</v>
      </c>
      <c r="R161" s="11" t="e">
        <f>VLOOKUP($G161, 'ADP Data'!$B$4:$Q$300, 7, FALSE)</f>
        <v>#N/A</v>
      </c>
      <c r="S161" s="11" t="e">
        <f>VLOOKUP($G161, 'ADP Data'!$B$4:$Q$300, 8, FALSE)</f>
        <v>#N/A</v>
      </c>
      <c r="T161" s="11" t="e">
        <f>VLOOKUP($G161, 'ADP Data'!$B$4:$Q$300, 9, FALSE)</f>
        <v>#N/A</v>
      </c>
      <c r="U161" s="11" t="e">
        <f t="shared" si="2"/>
        <v>#N/A</v>
      </c>
      <c r="V161" s="11"/>
    </row>
    <row r="162" spans="1:22" ht="14.25" customHeight="1" x14ac:dyDescent="0.25">
      <c r="A162" s="11"/>
      <c r="B162" s="11" t="e">
        <f t="shared" si="0"/>
        <v>#N/A</v>
      </c>
      <c r="C162" s="11" t="s">
        <v>148</v>
      </c>
      <c r="D162" s="11"/>
      <c r="E162" s="11">
        <v>1</v>
      </c>
      <c r="F162" s="11"/>
      <c r="G162" s="11" t="s">
        <v>971</v>
      </c>
      <c r="H162" s="11" t="s">
        <v>145</v>
      </c>
      <c r="I162" s="11" t="s">
        <v>764</v>
      </c>
      <c r="J162" s="85" t="s">
        <v>1595</v>
      </c>
      <c r="K162" s="11"/>
      <c r="L162" s="11"/>
      <c r="M162" s="11">
        <f t="shared" si="1"/>
        <v>16</v>
      </c>
      <c r="N162" s="11" t="e">
        <f>VLOOKUP($G162, 'ADP Data'!$B$4:$Q$300, 6, FALSE)</f>
        <v>#N/A</v>
      </c>
      <c r="O162" s="11" t="e">
        <f>VLOOKUP($G162, 'ADP Data'!$B$4:$Q$300, 10, FALSE)</f>
        <v>#N/A</v>
      </c>
      <c r="P162" s="11" t="e">
        <f>VLOOKUP($G162, 'ADP Data'!$B$4:$Q$300, 4, FALSE)</f>
        <v>#N/A</v>
      </c>
      <c r="Q162" s="11" t="e">
        <f>VLOOKUP($G162, 'ADP Data'!$B$4:$Q$300, 5, FALSE)</f>
        <v>#N/A</v>
      </c>
      <c r="R162" s="11" t="e">
        <f>VLOOKUP($G162, 'ADP Data'!$B$4:$Q$300, 7, FALSE)</f>
        <v>#N/A</v>
      </c>
      <c r="S162" s="11" t="e">
        <f>VLOOKUP($G162, 'ADP Data'!$B$4:$Q$300, 8, FALSE)</f>
        <v>#N/A</v>
      </c>
      <c r="T162" s="11" t="e">
        <f>VLOOKUP($G162, 'ADP Data'!$B$4:$Q$300, 9, FALSE)</f>
        <v>#N/A</v>
      </c>
      <c r="U162" s="11" t="e">
        <f t="shared" si="2"/>
        <v>#N/A</v>
      </c>
      <c r="V162" s="11"/>
    </row>
    <row r="163" spans="1:22" ht="14.25" customHeight="1" x14ac:dyDescent="0.25">
      <c r="A163" s="11"/>
      <c r="B163" s="11" t="e">
        <f t="shared" si="0"/>
        <v>#N/A</v>
      </c>
      <c r="C163" s="11" t="s">
        <v>148</v>
      </c>
      <c r="D163" s="11"/>
      <c r="E163" s="11"/>
      <c r="F163" s="11"/>
      <c r="G163" s="11" t="s">
        <v>947</v>
      </c>
      <c r="H163" s="11" t="s">
        <v>78</v>
      </c>
      <c r="I163" s="11" t="s">
        <v>769</v>
      </c>
      <c r="J163" s="85" t="s">
        <v>1424</v>
      </c>
      <c r="K163" s="11"/>
      <c r="L163" s="11"/>
      <c r="M163" s="11">
        <f t="shared" si="1"/>
        <v>16</v>
      </c>
      <c r="N163" s="11" t="e">
        <f>VLOOKUP($G163, 'ADP Data'!$B$4:$Q$300, 6, FALSE)</f>
        <v>#N/A</v>
      </c>
      <c r="O163" s="11" t="e">
        <f>VLOOKUP($G163, 'ADP Data'!$B$4:$Q$300, 10, FALSE)</f>
        <v>#N/A</v>
      </c>
      <c r="P163" s="11" t="e">
        <f>VLOOKUP($G163, 'ADP Data'!$B$4:$Q$300, 4, FALSE)</f>
        <v>#N/A</v>
      </c>
      <c r="Q163" s="11" t="e">
        <f>VLOOKUP($G163, 'ADP Data'!$B$4:$Q$300, 5, FALSE)</f>
        <v>#N/A</v>
      </c>
      <c r="R163" s="11" t="e">
        <f>VLOOKUP($G163, 'ADP Data'!$B$4:$Q$300, 7, FALSE)</f>
        <v>#N/A</v>
      </c>
      <c r="S163" s="11" t="e">
        <f>VLOOKUP($G163, 'ADP Data'!$B$4:$Q$300, 8, FALSE)</f>
        <v>#N/A</v>
      </c>
      <c r="T163" s="11" t="e">
        <f>VLOOKUP($G163, 'ADP Data'!$B$4:$Q$300, 9, FALSE)</f>
        <v>#N/A</v>
      </c>
      <c r="U163" s="11" t="e">
        <f t="shared" si="2"/>
        <v>#N/A</v>
      </c>
      <c r="V163" s="11"/>
    </row>
    <row r="164" spans="1:22" ht="14.25" customHeight="1" x14ac:dyDescent="0.25">
      <c r="A164" s="11"/>
      <c r="B164" s="11" t="e">
        <f t="shared" si="0"/>
        <v>#N/A</v>
      </c>
      <c r="C164" s="11" t="s">
        <v>148</v>
      </c>
      <c r="D164" s="11"/>
      <c r="E164" s="11"/>
      <c r="F164" s="11"/>
      <c r="G164" s="11" t="s">
        <v>335</v>
      </c>
      <c r="H164" s="11" t="s">
        <v>104</v>
      </c>
      <c r="I164" s="11" t="s">
        <v>764</v>
      </c>
      <c r="J164" s="85" t="s">
        <v>1607</v>
      </c>
      <c r="K164" s="11"/>
      <c r="L164" s="11"/>
      <c r="M164" s="11">
        <f t="shared" si="1"/>
        <v>16</v>
      </c>
      <c r="N164" s="11" t="e">
        <f>VLOOKUP($G164, 'ADP Data'!$B$4:$Q$300, 6, FALSE)</f>
        <v>#N/A</v>
      </c>
      <c r="O164" s="11" t="e">
        <f>VLOOKUP($G164, 'ADP Data'!$B$4:$Q$300, 10, FALSE)</f>
        <v>#N/A</v>
      </c>
      <c r="P164" s="11" t="e">
        <f>VLOOKUP($G164, 'ADP Data'!$B$4:$Q$300, 4, FALSE)</f>
        <v>#N/A</v>
      </c>
      <c r="Q164" s="11" t="e">
        <f>VLOOKUP($G164, 'ADP Data'!$B$4:$Q$300, 5, FALSE)</f>
        <v>#N/A</v>
      </c>
      <c r="R164" s="11" t="e">
        <f>VLOOKUP($G164, 'ADP Data'!$B$4:$Q$300, 7, FALSE)</f>
        <v>#N/A</v>
      </c>
      <c r="S164" s="11" t="e">
        <f>VLOOKUP($G164, 'ADP Data'!$B$4:$Q$300, 8, FALSE)</f>
        <v>#N/A</v>
      </c>
      <c r="T164" s="11" t="e">
        <f>VLOOKUP($G164, 'ADP Data'!$B$4:$Q$300, 9, FALSE)</f>
        <v>#N/A</v>
      </c>
      <c r="U164" s="11" t="e">
        <f t="shared" si="2"/>
        <v>#N/A</v>
      </c>
      <c r="V164" s="11" t="s">
        <v>1608</v>
      </c>
    </row>
    <row r="165" spans="1:22" ht="14.25" customHeight="1" x14ac:dyDescent="0.25">
      <c r="A165" s="11"/>
      <c r="B165" s="11" t="e">
        <f t="shared" si="0"/>
        <v>#N/A</v>
      </c>
      <c r="C165" s="11" t="s">
        <v>148</v>
      </c>
      <c r="D165" s="11"/>
      <c r="E165" s="11"/>
      <c r="F165" s="11"/>
      <c r="G165" s="11" t="s">
        <v>993</v>
      </c>
      <c r="H165" s="11" t="s">
        <v>123</v>
      </c>
      <c r="I165" s="11" t="s">
        <v>764</v>
      </c>
      <c r="J165" s="85" t="s">
        <v>1609</v>
      </c>
      <c r="K165" s="11"/>
      <c r="L165" s="11"/>
      <c r="M165" s="11">
        <f t="shared" si="1"/>
        <v>16</v>
      </c>
      <c r="N165" s="11" t="e">
        <f>VLOOKUP($G165, 'ADP Data'!$B$4:$Q$300, 6, FALSE)</f>
        <v>#N/A</v>
      </c>
      <c r="O165" s="11" t="e">
        <f>VLOOKUP($G165, 'ADP Data'!$B$4:$Q$300, 10, FALSE)</f>
        <v>#N/A</v>
      </c>
      <c r="P165" s="11" t="e">
        <f>VLOOKUP($G165, 'ADP Data'!$B$4:$Q$300, 4, FALSE)</f>
        <v>#N/A</v>
      </c>
      <c r="Q165" s="11" t="e">
        <f>VLOOKUP($G165, 'ADP Data'!$B$4:$Q$300, 5, FALSE)</f>
        <v>#N/A</v>
      </c>
      <c r="R165" s="11" t="e">
        <f>VLOOKUP($G165, 'ADP Data'!$B$4:$Q$300, 7, FALSE)</f>
        <v>#N/A</v>
      </c>
      <c r="S165" s="11" t="e">
        <f>VLOOKUP($G165, 'ADP Data'!$B$4:$Q$300, 8, FALSE)</f>
        <v>#N/A</v>
      </c>
      <c r="T165" s="11" t="e">
        <f>VLOOKUP($G165, 'ADP Data'!$B$4:$Q$300, 9, FALSE)</f>
        <v>#N/A</v>
      </c>
      <c r="U165" s="11" t="e">
        <f t="shared" si="2"/>
        <v>#N/A</v>
      </c>
      <c r="V165" s="11" t="s">
        <v>1610</v>
      </c>
    </row>
    <row r="166" spans="1:22" ht="14.25" customHeight="1" x14ac:dyDescent="0.25">
      <c r="A166" s="11"/>
      <c r="B166" s="11" t="e">
        <f t="shared" si="0"/>
        <v>#N/A</v>
      </c>
      <c r="C166" s="11" t="s">
        <v>148</v>
      </c>
      <c r="D166" s="11"/>
      <c r="E166" s="11"/>
      <c r="F166" s="11" t="s">
        <v>148</v>
      </c>
      <c r="G166" s="45" t="s">
        <v>1611</v>
      </c>
      <c r="H166" s="11" t="s">
        <v>94</v>
      </c>
      <c r="I166" s="11" t="s">
        <v>764</v>
      </c>
      <c r="J166" s="85" t="s">
        <v>1612</v>
      </c>
      <c r="K166" s="11"/>
      <c r="L166" s="11"/>
      <c r="M166" s="11">
        <f t="shared" si="1"/>
        <v>16</v>
      </c>
      <c r="N166" s="11" t="e">
        <f>VLOOKUP($G166, 'ADP Data'!$B$4:$Q$300, 6, FALSE)</f>
        <v>#N/A</v>
      </c>
      <c r="O166" s="11" t="e">
        <f>VLOOKUP($G166, 'ADP Data'!$B$4:$Q$300, 10, FALSE)</f>
        <v>#N/A</v>
      </c>
      <c r="P166" s="11" t="e">
        <f>VLOOKUP($G166, 'ADP Data'!$B$4:$Q$300, 4, FALSE)</f>
        <v>#N/A</v>
      </c>
      <c r="Q166" s="11" t="e">
        <f>VLOOKUP($G166, 'ADP Data'!$B$4:$Q$300, 5, FALSE)</f>
        <v>#N/A</v>
      </c>
      <c r="R166" s="11" t="e">
        <f>VLOOKUP($G166, 'ADP Data'!$B$4:$Q$300, 7, FALSE)</f>
        <v>#N/A</v>
      </c>
      <c r="S166" s="11" t="e">
        <f>VLOOKUP($G166, 'ADP Data'!$B$4:$Q$300, 8, FALSE)</f>
        <v>#N/A</v>
      </c>
      <c r="T166" s="11" t="e">
        <f>VLOOKUP($G166, 'ADP Data'!$B$4:$Q$300, 9, FALSE)</f>
        <v>#N/A</v>
      </c>
      <c r="U166" s="11" t="e">
        <f t="shared" si="2"/>
        <v>#N/A</v>
      </c>
      <c r="V166" s="11" t="s">
        <v>1613</v>
      </c>
    </row>
    <row r="167" spans="1:22" ht="14.25" customHeight="1" x14ac:dyDescent="0.25">
      <c r="A167" s="11"/>
      <c r="B167" s="11" t="e">
        <f t="shared" si="0"/>
        <v>#N/A</v>
      </c>
      <c r="C167" s="11" t="s">
        <v>148</v>
      </c>
      <c r="D167" s="11"/>
      <c r="E167" s="11"/>
      <c r="F167" s="11"/>
      <c r="G167" s="11" t="s">
        <v>1421</v>
      </c>
      <c r="H167" s="11" t="s">
        <v>116</v>
      </c>
      <c r="I167" s="11" t="s">
        <v>762</v>
      </c>
      <c r="J167" s="85" t="s">
        <v>1591</v>
      </c>
      <c r="K167" s="11" t="s">
        <v>1564</v>
      </c>
      <c r="L167" s="11">
        <v>53</v>
      </c>
      <c r="M167" s="11">
        <f t="shared" si="1"/>
        <v>16</v>
      </c>
      <c r="N167" s="11" t="e">
        <f>VLOOKUP($G167, 'ADP Data'!$B$4:$Q$300, 6, FALSE)</f>
        <v>#N/A</v>
      </c>
      <c r="O167" s="11" t="e">
        <f>VLOOKUP($G167, 'ADP Data'!$B$4:$Q$300, 10, FALSE)</f>
        <v>#N/A</v>
      </c>
      <c r="P167" s="11" t="e">
        <f>VLOOKUP($G167, 'ADP Data'!$B$4:$Q$300, 4, FALSE)</f>
        <v>#N/A</v>
      </c>
      <c r="Q167" s="11" t="e">
        <f>VLOOKUP($G167, 'ADP Data'!$B$4:$Q$300, 5, FALSE)</f>
        <v>#N/A</v>
      </c>
      <c r="R167" s="11" t="e">
        <f>VLOOKUP($G167, 'ADP Data'!$B$4:$Q$300, 7, FALSE)</f>
        <v>#N/A</v>
      </c>
      <c r="S167" s="11" t="e">
        <f>VLOOKUP($G167, 'ADP Data'!$B$4:$Q$300, 8, FALSE)</f>
        <v>#N/A</v>
      </c>
      <c r="T167" s="11" t="e">
        <f>VLOOKUP($G167, 'ADP Data'!$B$4:$Q$300, 9, FALSE)</f>
        <v>#N/A</v>
      </c>
      <c r="U167" s="11" t="e">
        <f t="shared" si="2"/>
        <v>#N/A</v>
      </c>
      <c r="V167" s="11"/>
    </row>
    <row r="168" spans="1:22" ht="14.25" customHeight="1" x14ac:dyDescent="0.25">
      <c r="A168" s="11"/>
      <c r="B168" s="11" t="e">
        <f t="shared" si="0"/>
        <v>#N/A</v>
      </c>
      <c r="C168" s="11" t="s">
        <v>148</v>
      </c>
      <c r="D168" s="11"/>
      <c r="E168" s="11"/>
      <c r="F168" s="11"/>
      <c r="G168" s="11" t="s">
        <v>397</v>
      </c>
      <c r="H168" s="11" t="s">
        <v>104</v>
      </c>
      <c r="I168" s="11" t="s">
        <v>769</v>
      </c>
      <c r="J168" s="85" t="s">
        <v>1375</v>
      </c>
      <c r="K168" s="11" t="s">
        <v>781</v>
      </c>
      <c r="L168" s="11">
        <v>15</v>
      </c>
      <c r="M168" s="11">
        <f t="shared" si="1"/>
        <v>16</v>
      </c>
      <c r="N168" s="11" t="e">
        <f>VLOOKUP($G168, 'ADP Data'!$B$4:$Q$300, 6, FALSE)</f>
        <v>#N/A</v>
      </c>
      <c r="O168" s="11" t="e">
        <f>VLOOKUP($G168, 'ADP Data'!$B$4:$Q$300, 10, FALSE)</f>
        <v>#N/A</v>
      </c>
      <c r="P168" s="11" t="e">
        <f>VLOOKUP($G168, 'ADP Data'!$B$4:$Q$300, 4, FALSE)</f>
        <v>#N/A</v>
      </c>
      <c r="Q168" s="11" t="e">
        <f>VLOOKUP($G168, 'ADP Data'!$B$4:$Q$300, 5, FALSE)</f>
        <v>#N/A</v>
      </c>
      <c r="R168" s="11" t="e">
        <f>VLOOKUP($G168, 'ADP Data'!$B$4:$Q$300, 7, FALSE)</f>
        <v>#N/A</v>
      </c>
      <c r="S168" s="11" t="e">
        <f>VLOOKUP($G168, 'ADP Data'!$B$4:$Q$300, 8, FALSE)</f>
        <v>#N/A</v>
      </c>
      <c r="T168" s="11" t="e">
        <f>VLOOKUP($G168, 'ADP Data'!$B$4:$Q$300, 9, FALSE)</f>
        <v>#N/A</v>
      </c>
      <c r="U168" s="11" t="e">
        <f t="shared" si="2"/>
        <v>#N/A</v>
      </c>
      <c r="V168" s="11"/>
    </row>
    <row r="169" spans="1:22" ht="14.25" customHeight="1" x14ac:dyDescent="0.25">
      <c r="A169" s="11"/>
      <c r="B169" s="11" t="e">
        <f t="shared" si="0"/>
        <v>#N/A</v>
      </c>
      <c r="C169" s="11" t="s">
        <v>148</v>
      </c>
      <c r="D169" s="11"/>
      <c r="E169" s="11"/>
      <c r="F169" s="11"/>
      <c r="G169" s="11" t="s">
        <v>1457</v>
      </c>
      <c r="H169" s="11" t="s">
        <v>88</v>
      </c>
      <c r="I169" s="11" t="s">
        <v>769</v>
      </c>
      <c r="J169" s="85" t="s">
        <v>1378</v>
      </c>
      <c r="K169" s="11" t="s">
        <v>1183</v>
      </c>
      <c r="L169" s="11">
        <v>19</v>
      </c>
      <c r="M169" s="11">
        <f t="shared" si="1"/>
        <v>16</v>
      </c>
      <c r="N169" s="11" t="e">
        <f>VLOOKUP($G169, 'ADP Data'!$B$4:$Q$300, 6, FALSE)</f>
        <v>#N/A</v>
      </c>
      <c r="O169" s="11" t="e">
        <f>VLOOKUP($G169, 'ADP Data'!$B$4:$Q$300, 10, FALSE)</f>
        <v>#N/A</v>
      </c>
      <c r="P169" s="11" t="e">
        <f>VLOOKUP($G169, 'ADP Data'!$B$4:$Q$300, 4, FALSE)</f>
        <v>#N/A</v>
      </c>
      <c r="Q169" s="11" t="e">
        <f>VLOOKUP($G169, 'ADP Data'!$B$4:$Q$300, 5, FALSE)</f>
        <v>#N/A</v>
      </c>
      <c r="R169" s="11" t="e">
        <f>VLOOKUP($G169, 'ADP Data'!$B$4:$Q$300, 7, FALSE)</f>
        <v>#N/A</v>
      </c>
      <c r="S169" s="11" t="e">
        <f>VLOOKUP($G169, 'ADP Data'!$B$4:$Q$300, 8, FALSE)</f>
        <v>#N/A</v>
      </c>
      <c r="T169" s="11" t="e">
        <f>VLOOKUP($G169, 'ADP Data'!$B$4:$Q$300, 9, FALSE)</f>
        <v>#N/A</v>
      </c>
      <c r="U169" s="11" t="e">
        <f t="shared" si="2"/>
        <v>#N/A</v>
      </c>
      <c r="V169" s="11"/>
    </row>
    <row r="170" spans="1:22" ht="14.25" customHeight="1" x14ac:dyDescent="0.25">
      <c r="A170" s="11"/>
      <c r="B170" s="11" t="e">
        <f t="shared" si="0"/>
        <v>#N/A</v>
      </c>
      <c r="C170" s="11" t="s">
        <v>148</v>
      </c>
      <c r="D170" s="11"/>
      <c r="E170" s="11">
        <v>1</v>
      </c>
      <c r="F170" s="11"/>
      <c r="G170" s="11" t="s">
        <v>1614</v>
      </c>
      <c r="H170" s="11" t="s">
        <v>184</v>
      </c>
      <c r="I170" s="11" t="s">
        <v>760</v>
      </c>
      <c r="J170" s="85" t="s">
        <v>1487</v>
      </c>
      <c r="K170" s="11" t="s">
        <v>1589</v>
      </c>
      <c r="L170" s="11">
        <v>22</v>
      </c>
      <c r="M170" s="11">
        <f t="shared" si="1"/>
        <v>16</v>
      </c>
      <c r="N170" s="11" t="e">
        <f>VLOOKUP($G170, 'ADP Data'!$B$4:$Q$300, 6, FALSE)</f>
        <v>#N/A</v>
      </c>
      <c r="O170" s="11" t="e">
        <f>VLOOKUP($G170, 'ADP Data'!$B$4:$Q$300, 10, FALSE)</f>
        <v>#N/A</v>
      </c>
      <c r="P170" s="11" t="e">
        <f>VLOOKUP($G170, 'ADP Data'!$B$4:$Q$300, 4, FALSE)</f>
        <v>#N/A</v>
      </c>
      <c r="Q170" s="11" t="e">
        <f>VLOOKUP($G170, 'ADP Data'!$B$4:$Q$300, 5, FALSE)</f>
        <v>#N/A</v>
      </c>
      <c r="R170" s="11" t="e">
        <f>VLOOKUP($G170, 'ADP Data'!$B$4:$Q$300, 7, FALSE)</f>
        <v>#N/A</v>
      </c>
      <c r="S170" s="11" t="e">
        <f>VLOOKUP($G170, 'ADP Data'!$B$4:$Q$300, 8, FALSE)</f>
        <v>#N/A</v>
      </c>
      <c r="T170" s="11" t="e">
        <f>VLOOKUP($G170, 'ADP Data'!$B$4:$Q$300, 9, FALSE)</f>
        <v>#N/A</v>
      </c>
      <c r="U170" s="11" t="e">
        <f t="shared" si="2"/>
        <v>#N/A</v>
      </c>
      <c r="V170" s="11" t="s">
        <v>1615</v>
      </c>
    </row>
    <row r="171" spans="1:22" ht="14.25" customHeight="1" x14ac:dyDescent="0.25">
      <c r="A171" s="11"/>
      <c r="B171" s="11" t="e">
        <f t="shared" si="0"/>
        <v>#N/A</v>
      </c>
      <c r="C171" s="11" t="s">
        <v>148</v>
      </c>
      <c r="D171" s="11"/>
      <c r="E171" s="11"/>
      <c r="F171" s="11"/>
      <c r="G171" s="11" t="s">
        <v>1268</v>
      </c>
      <c r="H171" s="11" t="s">
        <v>155</v>
      </c>
      <c r="I171" s="11" t="s">
        <v>762</v>
      </c>
      <c r="J171" s="85" t="s">
        <v>1599</v>
      </c>
      <c r="K171" s="11" t="s">
        <v>1564</v>
      </c>
      <c r="L171" s="11">
        <v>54</v>
      </c>
      <c r="M171" s="11">
        <f t="shared" si="1"/>
        <v>16</v>
      </c>
      <c r="N171" s="11" t="e">
        <f>VLOOKUP($G171, 'ADP Data'!$B$4:$Q$300, 6, FALSE)</f>
        <v>#N/A</v>
      </c>
      <c r="O171" s="11" t="e">
        <f>VLOOKUP($G171, 'ADP Data'!$B$4:$Q$300, 10, FALSE)</f>
        <v>#N/A</v>
      </c>
      <c r="P171" s="11" t="e">
        <f>VLOOKUP($G171, 'ADP Data'!$B$4:$Q$300, 4, FALSE)</f>
        <v>#N/A</v>
      </c>
      <c r="Q171" s="11" t="e">
        <f>VLOOKUP($G171, 'ADP Data'!$B$4:$Q$300, 5, FALSE)</f>
        <v>#N/A</v>
      </c>
      <c r="R171" s="11" t="e">
        <f>VLOOKUP($G171, 'ADP Data'!$B$4:$Q$300, 7, FALSE)</f>
        <v>#N/A</v>
      </c>
      <c r="S171" s="11" t="e">
        <f>VLOOKUP($G171, 'ADP Data'!$B$4:$Q$300, 8, FALSE)</f>
        <v>#N/A</v>
      </c>
      <c r="T171" s="11" t="e">
        <f>VLOOKUP($G171, 'ADP Data'!$B$4:$Q$300, 9, FALSE)</f>
        <v>#N/A</v>
      </c>
      <c r="U171" s="11" t="e">
        <f t="shared" si="2"/>
        <v>#N/A</v>
      </c>
      <c r="V171" s="11"/>
    </row>
    <row r="172" spans="1:22" ht="14.25" customHeight="1" x14ac:dyDescent="0.25">
      <c r="A172" s="11"/>
      <c r="B172" s="11" t="e">
        <f t="shared" si="0"/>
        <v>#N/A</v>
      </c>
      <c r="C172" s="11" t="s">
        <v>148</v>
      </c>
      <c r="D172" s="11">
        <v>2</v>
      </c>
      <c r="E172" s="11"/>
      <c r="F172" s="11"/>
      <c r="G172" s="11" t="s">
        <v>900</v>
      </c>
      <c r="H172" s="11" t="s">
        <v>66</v>
      </c>
      <c r="I172" s="11" t="s">
        <v>762</v>
      </c>
      <c r="J172" s="85" t="s">
        <v>1541</v>
      </c>
      <c r="K172" s="11" t="s">
        <v>1553</v>
      </c>
      <c r="L172" s="11">
        <v>55</v>
      </c>
      <c r="M172" s="11">
        <f t="shared" si="1"/>
        <v>16</v>
      </c>
      <c r="N172" s="11" t="e">
        <f>VLOOKUP($G172, 'ADP Data'!$B$4:$Q$300, 6, FALSE)</f>
        <v>#N/A</v>
      </c>
      <c r="O172" s="11" t="e">
        <f>VLOOKUP($G172, 'ADP Data'!$B$4:$Q$300, 10, FALSE)</f>
        <v>#N/A</v>
      </c>
      <c r="P172" s="11" t="e">
        <f>VLOOKUP($G172, 'ADP Data'!$B$4:$Q$300, 4, FALSE)</f>
        <v>#N/A</v>
      </c>
      <c r="Q172" s="11" t="e">
        <f>VLOOKUP($G172, 'ADP Data'!$B$4:$Q$300, 5, FALSE)</f>
        <v>#N/A</v>
      </c>
      <c r="R172" s="11" t="e">
        <f>VLOOKUP($G172, 'ADP Data'!$B$4:$Q$300, 7, FALSE)</f>
        <v>#N/A</v>
      </c>
      <c r="S172" s="11" t="e">
        <f>VLOOKUP($G172, 'ADP Data'!$B$4:$Q$300, 8, FALSE)</f>
        <v>#N/A</v>
      </c>
      <c r="T172" s="11" t="e">
        <f>VLOOKUP($G172, 'ADP Data'!$B$4:$Q$300, 9, FALSE)</f>
        <v>#N/A</v>
      </c>
      <c r="U172" s="11" t="e">
        <f t="shared" si="2"/>
        <v>#N/A</v>
      </c>
      <c r="V172" s="11"/>
    </row>
    <row r="173" spans="1:22" ht="14.25" customHeight="1" x14ac:dyDescent="0.25">
      <c r="A173" s="11"/>
      <c r="B173" s="11" t="e">
        <f t="shared" si="0"/>
        <v>#N/A</v>
      </c>
      <c r="C173" s="11" t="s">
        <v>148</v>
      </c>
      <c r="D173" s="11"/>
      <c r="E173" s="11"/>
      <c r="F173" s="11"/>
      <c r="G173" s="11" t="s">
        <v>1414</v>
      </c>
      <c r="H173" s="11" t="s">
        <v>60</v>
      </c>
      <c r="I173" s="11" t="s">
        <v>764</v>
      </c>
      <c r="J173" s="85" t="s">
        <v>1616</v>
      </c>
      <c r="K173" s="11"/>
      <c r="L173" s="11"/>
      <c r="M173" s="11">
        <f t="shared" si="1"/>
        <v>16</v>
      </c>
      <c r="N173" s="11" t="e">
        <f>VLOOKUP($G173, 'ADP Data'!$B$4:$Q$300, 6, FALSE)</f>
        <v>#N/A</v>
      </c>
      <c r="O173" s="11" t="e">
        <f>VLOOKUP($G173, 'ADP Data'!$B$4:$Q$300, 10, FALSE)</f>
        <v>#N/A</v>
      </c>
      <c r="P173" s="11" t="e">
        <f>VLOOKUP($G173, 'ADP Data'!$B$4:$Q$300, 4, FALSE)</f>
        <v>#N/A</v>
      </c>
      <c r="Q173" s="11" t="e">
        <f>VLOOKUP($G173, 'ADP Data'!$B$4:$Q$300, 5, FALSE)</f>
        <v>#N/A</v>
      </c>
      <c r="R173" s="11" t="e">
        <f>VLOOKUP($G173, 'ADP Data'!$B$4:$Q$300, 7, FALSE)</f>
        <v>#N/A</v>
      </c>
      <c r="S173" s="11" t="e">
        <f>VLOOKUP($G173, 'ADP Data'!$B$4:$Q$300, 8, FALSE)</f>
        <v>#N/A</v>
      </c>
      <c r="T173" s="11" t="e">
        <f>VLOOKUP($G173, 'ADP Data'!$B$4:$Q$300, 9, FALSE)</f>
        <v>#N/A</v>
      </c>
      <c r="U173" s="11" t="e">
        <f t="shared" si="2"/>
        <v>#N/A</v>
      </c>
      <c r="V173" s="11"/>
    </row>
    <row r="174" spans="1:22" ht="14.25" customHeight="1" x14ac:dyDescent="0.25">
      <c r="A174" s="11"/>
      <c r="B174" s="11" t="e">
        <f t="shared" si="0"/>
        <v>#N/A</v>
      </c>
      <c r="C174" s="11" t="s">
        <v>148</v>
      </c>
      <c r="D174" s="11"/>
      <c r="E174" s="11"/>
      <c r="F174" s="11"/>
      <c r="G174" s="11" t="s">
        <v>973</v>
      </c>
      <c r="H174" s="11" t="s">
        <v>52</v>
      </c>
      <c r="I174" s="11" t="s">
        <v>769</v>
      </c>
      <c r="J174" s="85" t="s">
        <v>1430</v>
      </c>
      <c r="K174" s="11"/>
      <c r="L174" s="11"/>
      <c r="M174" s="11">
        <f t="shared" si="1"/>
        <v>16</v>
      </c>
      <c r="N174" s="11" t="e">
        <f>VLOOKUP($G174, 'ADP Data'!$B$4:$Q$300, 6, FALSE)</f>
        <v>#N/A</v>
      </c>
      <c r="O174" s="11" t="e">
        <f>VLOOKUP($G174, 'ADP Data'!$B$4:$Q$300, 10, FALSE)</f>
        <v>#N/A</v>
      </c>
      <c r="P174" s="11" t="e">
        <f>VLOOKUP($G174, 'ADP Data'!$B$4:$Q$300, 4, FALSE)</f>
        <v>#N/A</v>
      </c>
      <c r="Q174" s="11" t="e">
        <f>VLOOKUP($G174, 'ADP Data'!$B$4:$Q$300, 5, FALSE)</f>
        <v>#N/A</v>
      </c>
      <c r="R174" s="11" t="e">
        <f>VLOOKUP($G174, 'ADP Data'!$B$4:$Q$300, 7, FALSE)</f>
        <v>#N/A</v>
      </c>
      <c r="S174" s="11" t="e">
        <f>VLOOKUP($G174, 'ADP Data'!$B$4:$Q$300, 8, FALSE)</f>
        <v>#N/A</v>
      </c>
      <c r="T174" s="11" t="e">
        <f>VLOOKUP($G174, 'ADP Data'!$B$4:$Q$300, 9, FALSE)</f>
        <v>#N/A</v>
      </c>
      <c r="U174" s="11" t="e">
        <f t="shared" si="2"/>
        <v>#N/A</v>
      </c>
      <c r="V174" s="11"/>
    </row>
    <row r="175" spans="1:22" ht="14.25" customHeight="1" x14ac:dyDescent="0.25">
      <c r="A175" s="11"/>
      <c r="B175" s="11" t="e">
        <f t="shared" si="0"/>
        <v>#N/A</v>
      </c>
      <c r="C175" s="11" t="s">
        <v>148</v>
      </c>
      <c r="D175" s="11"/>
      <c r="E175" s="11"/>
      <c r="F175" s="11"/>
      <c r="G175" s="11" t="s">
        <v>403</v>
      </c>
      <c r="H175" s="11" t="s">
        <v>126</v>
      </c>
      <c r="I175" s="11" t="s">
        <v>760</v>
      </c>
      <c r="J175" s="85" t="s">
        <v>1430</v>
      </c>
      <c r="K175" s="11" t="s">
        <v>1589</v>
      </c>
      <c r="L175" s="11">
        <v>23</v>
      </c>
      <c r="M175" s="11">
        <f t="shared" si="1"/>
        <v>16</v>
      </c>
      <c r="N175" s="11" t="e">
        <f>VLOOKUP($G175, 'ADP Data'!$B$4:$Q$300, 6, FALSE)</f>
        <v>#N/A</v>
      </c>
      <c r="O175" s="11" t="e">
        <f>VLOOKUP($G175, 'ADP Data'!$B$4:$Q$300, 10, FALSE)</f>
        <v>#N/A</v>
      </c>
      <c r="P175" s="11" t="e">
        <f>VLOOKUP($G175, 'ADP Data'!$B$4:$Q$300, 4, FALSE)</f>
        <v>#N/A</v>
      </c>
      <c r="Q175" s="11" t="e">
        <f>VLOOKUP($G175, 'ADP Data'!$B$4:$Q$300, 5, FALSE)</f>
        <v>#N/A</v>
      </c>
      <c r="R175" s="11" t="e">
        <f>VLOOKUP($G175, 'ADP Data'!$B$4:$Q$300, 7, FALSE)</f>
        <v>#N/A</v>
      </c>
      <c r="S175" s="11" t="e">
        <f>VLOOKUP($G175, 'ADP Data'!$B$4:$Q$300, 8, FALSE)</f>
        <v>#N/A</v>
      </c>
      <c r="T175" s="11" t="e">
        <f>VLOOKUP($G175, 'ADP Data'!$B$4:$Q$300, 9, FALSE)</f>
        <v>#N/A</v>
      </c>
      <c r="U175" s="11" t="e">
        <f t="shared" si="2"/>
        <v>#N/A</v>
      </c>
      <c r="V175" s="11"/>
    </row>
    <row r="176" spans="1:22" ht="14.25" customHeight="1" x14ac:dyDescent="0.25">
      <c r="A176" s="11"/>
      <c r="B176" s="11" t="e">
        <f t="shared" si="0"/>
        <v>#N/A</v>
      </c>
      <c r="C176" s="11" t="s">
        <v>148</v>
      </c>
      <c r="D176" s="11"/>
      <c r="E176" s="11"/>
      <c r="F176" s="11"/>
      <c r="G176" s="11" t="s">
        <v>1433</v>
      </c>
      <c r="H176" s="11" t="s">
        <v>66</v>
      </c>
      <c r="I176" s="11" t="s">
        <v>764</v>
      </c>
      <c r="J176" s="85" t="s">
        <v>1617</v>
      </c>
      <c r="K176" s="11"/>
      <c r="L176" s="11"/>
      <c r="M176" s="11">
        <f t="shared" si="1"/>
        <v>16</v>
      </c>
      <c r="N176" s="11" t="e">
        <f>VLOOKUP($G176, 'ADP Data'!$B$4:$Q$300, 6, FALSE)</f>
        <v>#N/A</v>
      </c>
      <c r="O176" s="11" t="e">
        <f>VLOOKUP($G176, 'ADP Data'!$B$4:$Q$300, 10, FALSE)</f>
        <v>#N/A</v>
      </c>
      <c r="P176" s="11" t="e">
        <f>VLOOKUP($G176, 'ADP Data'!$B$4:$Q$300, 4, FALSE)</f>
        <v>#N/A</v>
      </c>
      <c r="Q176" s="11" t="e">
        <f>VLOOKUP($G176, 'ADP Data'!$B$4:$Q$300, 5, FALSE)</f>
        <v>#N/A</v>
      </c>
      <c r="R176" s="11" t="e">
        <f>VLOOKUP($G176, 'ADP Data'!$B$4:$Q$300, 7, FALSE)</f>
        <v>#N/A</v>
      </c>
      <c r="S176" s="11" t="e">
        <f>VLOOKUP($G176, 'ADP Data'!$B$4:$Q$300, 8, FALSE)</f>
        <v>#N/A</v>
      </c>
      <c r="T176" s="11" t="e">
        <f>VLOOKUP($G176, 'ADP Data'!$B$4:$Q$300, 9, FALSE)</f>
        <v>#N/A</v>
      </c>
      <c r="U176" s="11" t="e">
        <f t="shared" si="2"/>
        <v>#N/A</v>
      </c>
      <c r="V176" s="11"/>
    </row>
    <row r="177" spans="1:22" ht="14.25" customHeight="1" x14ac:dyDescent="0.25">
      <c r="A177" s="11"/>
      <c r="B177" s="11" t="e">
        <f t="shared" si="0"/>
        <v>#N/A</v>
      </c>
      <c r="C177" s="11" t="s">
        <v>148</v>
      </c>
      <c r="D177" s="11"/>
      <c r="E177" s="11"/>
      <c r="F177" s="11"/>
      <c r="G177" s="11" t="s">
        <v>695</v>
      </c>
      <c r="H177" s="11" t="s">
        <v>116</v>
      </c>
      <c r="I177" s="11" t="s">
        <v>760</v>
      </c>
      <c r="J177" s="85" t="s">
        <v>1411</v>
      </c>
      <c r="K177" s="11" t="s">
        <v>1618</v>
      </c>
      <c r="L177" s="8">
        <v>24</v>
      </c>
      <c r="M177" s="11">
        <f t="shared" si="1"/>
        <v>16</v>
      </c>
      <c r="N177" s="11" t="e">
        <f>VLOOKUP($G177, 'ADP Data'!$B$4:$Q$300, 6, FALSE)</f>
        <v>#N/A</v>
      </c>
      <c r="O177" s="11" t="e">
        <f>VLOOKUP($G177, 'ADP Data'!$B$4:$Q$300, 10, FALSE)</f>
        <v>#N/A</v>
      </c>
      <c r="P177" s="11" t="e">
        <f>VLOOKUP($G177, 'ADP Data'!$B$4:$Q$300, 4, FALSE)</f>
        <v>#N/A</v>
      </c>
      <c r="Q177" s="11" t="e">
        <f>VLOOKUP($G177, 'ADP Data'!$B$4:$Q$300, 5, FALSE)</f>
        <v>#N/A</v>
      </c>
      <c r="R177" s="11" t="e">
        <f>VLOOKUP($G177, 'ADP Data'!$B$4:$Q$300, 7, FALSE)</f>
        <v>#N/A</v>
      </c>
      <c r="S177" s="11" t="e">
        <f>VLOOKUP($G177, 'ADP Data'!$B$4:$Q$300, 8, FALSE)</f>
        <v>#N/A</v>
      </c>
      <c r="T177" s="11" t="e">
        <f>VLOOKUP($G177, 'ADP Data'!$B$4:$Q$300, 9, FALSE)</f>
        <v>#N/A</v>
      </c>
      <c r="U177" s="11" t="e">
        <f t="shared" si="2"/>
        <v>#N/A</v>
      </c>
      <c r="V177" s="11"/>
    </row>
    <row r="178" spans="1:22" ht="14.25" customHeight="1" x14ac:dyDescent="0.25">
      <c r="A178" s="11"/>
      <c r="B178" s="11" t="e">
        <f t="shared" si="0"/>
        <v>#N/A</v>
      </c>
      <c r="C178" s="11" t="s">
        <v>148</v>
      </c>
      <c r="D178" s="11"/>
      <c r="E178" s="11"/>
      <c r="F178" s="11"/>
      <c r="G178" s="11" t="s">
        <v>644</v>
      </c>
      <c r="H178" s="11" t="s">
        <v>187</v>
      </c>
      <c r="I178" s="11" t="s">
        <v>773</v>
      </c>
      <c r="J178" s="85" t="s">
        <v>1337</v>
      </c>
      <c r="K178" s="11"/>
      <c r="L178" s="11"/>
      <c r="M178" s="11">
        <f t="shared" si="1"/>
        <v>16</v>
      </c>
      <c r="N178" s="11" t="e">
        <f>VLOOKUP($G178, 'ADP Data'!$B$4:$Q$300, 6, FALSE)</f>
        <v>#N/A</v>
      </c>
      <c r="O178" s="11" t="e">
        <f>VLOOKUP($G178, 'ADP Data'!$B$4:$Q$300, 10, FALSE)</f>
        <v>#N/A</v>
      </c>
      <c r="P178" s="11" t="e">
        <f>VLOOKUP($G178, 'ADP Data'!$B$4:$Q$300, 4, FALSE)</f>
        <v>#N/A</v>
      </c>
      <c r="Q178" s="11" t="e">
        <f>VLOOKUP($G178, 'ADP Data'!$B$4:$Q$300, 5, FALSE)</f>
        <v>#N/A</v>
      </c>
      <c r="R178" s="11" t="e">
        <f>VLOOKUP($G178, 'ADP Data'!$B$4:$Q$300, 7, FALSE)</f>
        <v>#N/A</v>
      </c>
      <c r="S178" s="11" t="e">
        <f>VLOOKUP($G178, 'ADP Data'!$B$4:$Q$300, 8, FALSE)</f>
        <v>#N/A</v>
      </c>
      <c r="T178" s="11" t="e">
        <f>VLOOKUP($G178, 'ADP Data'!$B$4:$Q$300, 9, FALSE)</f>
        <v>#N/A</v>
      </c>
      <c r="U178" s="11" t="e">
        <f t="shared" si="2"/>
        <v>#N/A</v>
      </c>
      <c r="V178" s="11"/>
    </row>
    <row r="179" spans="1:22" ht="14.25" customHeight="1" x14ac:dyDescent="0.25">
      <c r="A179" s="11"/>
      <c r="B179" s="11" t="e">
        <f t="shared" si="0"/>
        <v>#N/A</v>
      </c>
      <c r="C179" s="11" t="s">
        <v>148</v>
      </c>
      <c r="D179" s="11"/>
      <c r="E179" s="11"/>
      <c r="F179" s="11"/>
      <c r="G179" s="11" t="s">
        <v>1619</v>
      </c>
      <c r="H179" s="11" t="s">
        <v>129</v>
      </c>
      <c r="I179" s="11" t="s">
        <v>764</v>
      </c>
      <c r="J179" s="85" t="s">
        <v>1605</v>
      </c>
      <c r="K179" s="11"/>
      <c r="L179" s="11"/>
      <c r="M179" s="11">
        <f t="shared" si="1"/>
        <v>16</v>
      </c>
      <c r="N179" s="11" t="e">
        <f>VLOOKUP($G179, 'ADP Data'!$B$4:$Q$300, 6, FALSE)</f>
        <v>#N/A</v>
      </c>
      <c r="O179" s="11" t="e">
        <f>VLOOKUP($G179, 'ADP Data'!$B$4:$Q$300, 10, FALSE)</f>
        <v>#N/A</v>
      </c>
      <c r="P179" s="11" t="e">
        <f>VLOOKUP($G179, 'ADP Data'!$B$4:$Q$300, 4, FALSE)</f>
        <v>#N/A</v>
      </c>
      <c r="Q179" s="11" t="e">
        <f>VLOOKUP($G179, 'ADP Data'!$B$4:$Q$300, 5, FALSE)</f>
        <v>#N/A</v>
      </c>
      <c r="R179" s="11" t="e">
        <f>VLOOKUP($G179, 'ADP Data'!$B$4:$Q$300, 7, FALSE)</f>
        <v>#N/A</v>
      </c>
      <c r="S179" s="11" t="e">
        <f>VLOOKUP($G179, 'ADP Data'!$B$4:$Q$300, 8, FALSE)</f>
        <v>#N/A</v>
      </c>
      <c r="T179" s="11" t="e">
        <f>VLOOKUP($G179, 'ADP Data'!$B$4:$Q$300, 9, FALSE)</f>
        <v>#N/A</v>
      </c>
      <c r="U179" s="11" t="e">
        <f t="shared" si="2"/>
        <v>#N/A</v>
      </c>
      <c r="V179" s="11" t="s">
        <v>1620</v>
      </c>
    </row>
    <row r="180" spans="1:22" ht="14.25" customHeight="1" x14ac:dyDescent="0.25">
      <c r="A180" s="11"/>
      <c r="B180" s="11" t="e">
        <f t="shared" si="0"/>
        <v>#N/A</v>
      </c>
      <c r="C180" s="11" t="s">
        <v>148</v>
      </c>
      <c r="D180" s="11"/>
      <c r="E180" s="11"/>
      <c r="F180" s="11"/>
      <c r="G180" s="11" t="s">
        <v>1468</v>
      </c>
      <c r="H180" s="11" t="s">
        <v>233</v>
      </c>
      <c r="I180" s="11" t="s">
        <v>769</v>
      </c>
      <c r="J180" s="85" t="s">
        <v>1411</v>
      </c>
      <c r="K180" s="11"/>
      <c r="L180" s="11"/>
      <c r="M180" s="11">
        <f t="shared" si="1"/>
        <v>16</v>
      </c>
      <c r="N180" s="11" t="e">
        <f>VLOOKUP($G180, 'ADP Data'!$B$4:$Q$300, 6, FALSE)</f>
        <v>#N/A</v>
      </c>
      <c r="O180" s="11" t="e">
        <f>VLOOKUP($G180, 'ADP Data'!$B$4:$Q$300, 10, FALSE)</f>
        <v>#N/A</v>
      </c>
      <c r="P180" s="11" t="e">
        <f>VLOOKUP($G180, 'ADP Data'!$B$4:$Q$300, 4, FALSE)</f>
        <v>#N/A</v>
      </c>
      <c r="Q180" s="11" t="e">
        <f>VLOOKUP($G180, 'ADP Data'!$B$4:$Q$300, 5, FALSE)</f>
        <v>#N/A</v>
      </c>
      <c r="R180" s="11" t="e">
        <f>VLOOKUP($G180, 'ADP Data'!$B$4:$Q$300, 7, FALSE)</f>
        <v>#N/A</v>
      </c>
      <c r="S180" s="11" t="e">
        <f>VLOOKUP($G180, 'ADP Data'!$B$4:$Q$300, 8, FALSE)</f>
        <v>#N/A</v>
      </c>
      <c r="T180" s="11" t="e">
        <f>VLOOKUP($G180, 'ADP Data'!$B$4:$Q$300, 9, FALSE)</f>
        <v>#N/A</v>
      </c>
      <c r="U180" s="11" t="e">
        <f t="shared" si="2"/>
        <v>#N/A</v>
      </c>
      <c r="V180" s="11"/>
    </row>
    <row r="181" spans="1:22" ht="14.25" customHeight="1" x14ac:dyDescent="0.25">
      <c r="A181" s="11"/>
      <c r="B181" s="11" t="e">
        <f t="shared" si="0"/>
        <v>#N/A</v>
      </c>
      <c r="C181" s="11" t="s">
        <v>148</v>
      </c>
      <c r="D181" s="11"/>
      <c r="E181" s="11"/>
      <c r="F181" s="11" t="s">
        <v>148</v>
      </c>
      <c r="G181" s="11" t="s">
        <v>1321</v>
      </c>
      <c r="H181" s="11" t="s">
        <v>160</v>
      </c>
      <c r="I181" s="11" t="s">
        <v>764</v>
      </c>
      <c r="J181" s="85" t="s">
        <v>1621</v>
      </c>
      <c r="K181" s="11"/>
      <c r="L181" s="11"/>
      <c r="M181" s="11">
        <f t="shared" si="1"/>
        <v>16</v>
      </c>
      <c r="N181" s="11" t="e">
        <f>VLOOKUP($G181, 'ADP Data'!$B$4:$Q$300, 6, FALSE)</f>
        <v>#N/A</v>
      </c>
      <c r="O181" s="11" t="e">
        <f>VLOOKUP($G181, 'ADP Data'!$B$4:$Q$300, 10, FALSE)</f>
        <v>#N/A</v>
      </c>
      <c r="P181" s="11" t="e">
        <f>VLOOKUP($G181, 'ADP Data'!$B$4:$Q$300, 4, FALSE)</f>
        <v>#N/A</v>
      </c>
      <c r="Q181" s="11" t="e">
        <f>VLOOKUP($G181, 'ADP Data'!$B$4:$Q$300, 5, FALSE)</f>
        <v>#N/A</v>
      </c>
      <c r="R181" s="11" t="e">
        <f>VLOOKUP($G181, 'ADP Data'!$B$4:$Q$300, 7, FALSE)</f>
        <v>#N/A</v>
      </c>
      <c r="S181" s="11" t="e">
        <f>VLOOKUP($G181, 'ADP Data'!$B$4:$Q$300, 8, FALSE)</f>
        <v>#N/A</v>
      </c>
      <c r="T181" s="11" t="e">
        <f>VLOOKUP($G181, 'ADP Data'!$B$4:$Q$300, 9, FALSE)</f>
        <v>#N/A</v>
      </c>
      <c r="U181" s="11" t="e">
        <f t="shared" si="2"/>
        <v>#N/A</v>
      </c>
      <c r="V181" s="11"/>
    </row>
    <row r="182" spans="1:22" ht="14.25" customHeight="1" x14ac:dyDescent="0.25">
      <c r="A182" s="11"/>
      <c r="B182" s="11" t="e">
        <f t="shared" si="0"/>
        <v>#N/A</v>
      </c>
      <c r="C182" s="11" t="s">
        <v>148</v>
      </c>
      <c r="D182" s="11"/>
      <c r="E182" s="11"/>
      <c r="F182" s="11"/>
      <c r="G182" s="11" t="s">
        <v>899</v>
      </c>
      <c r="H182" s="11" t="s">
        <v>66</v>
      </c>
      <c r="I182" s="11" t="s">
        <v>762</v>
      </c>
      <c r="J182" s="85" t="s">
        <v>1571</v>
      </c>
      <c r="K182" s="11"/>
      <c r="L182" s="11">
        <v>55</v>
      </c>
      <c r="M182" s="11">
        <f t="shared" si="1"/>
        <v>16</v>
      </c>
      <c r="N182" s="11" t="e">
        <f>VLOOKUP($G182, 'ADP Data'!$B$4:$Q$300, 6, FALSE)</f>
        <v>#N/A</v>
      </c>
      <c r="O182" s="11" t="e">
        <f>VLOOKUP($G182, 'ADP Data'!$B$4:$Q$300, 10, FALSE)</f>
        <v>#N/A</v>
      </c>
      <c r="P182" s="11" t="e">
        <f>VLOOKUP($G182, 'ADP Data'!$B$4:$Q$300, 4, FALSE)</f>
        <v>#N/A</v>
      </c>
      <c r="Q182" s="11" t="e">
        <f>VLOOKUP($G182, 'ADP Data'!$B$4:$Q$300, 5, FALSE)</f>
        <v>#N/A</v>
      </c>
      <c r="R182" s="11" t="e">
        <f>VLOOKUP($G182, 'ADP Data'!$B$4:$Q$300, 7, FALSE)</f>
        <v>#N/A</v>
      </c>
      <c r="S182" s="11" t="e">
        <f>VLOOKUP($G182, 'ADP Data'!$B$4:$Q$300, 8, FALSE)</f>
        <v>#N/A</v>
      </c>
      <c r="T182" s="11" t="e">
        <f>VLOOKUP($G182, 'ADP Data'!$B$4:$Q$300, 9, FALSE)</f>
        <v>#N/A</v>
      </c>
      <c r="U182" s="11" t="e">
        <f t="shared" si="2"/>
        <v>#N/A</v>
      </c>
      <c r="V182" s="11"/>
    </row>
    <row r="183" spans="1:22" ht="14.25" customHeight="1" x14ac:dyDescent="0.25">
      <c r="A183" s="11"/>
      <c r="B183" s="11" t="e">
        <f t="shared" si="0"/>
        <v>#N/A</v>
      </c>
      <c r="C183" s="11" t="s">
        <v>148</v>
      </c>
      <c r="D183" s="11"/>
      <c r="E183" s="11"/>
      <c r="F183" s="11"/>
      <c r="G183" s="11" t="s">
        <v>471</v>
      </c>
      <c r="H183" s="11" t="s">
        <v>168</v>
      </c>
      <c r="I183" s="11" t="s">
        <v>773</v>
      </c>
      <c r="J183" s="85" t="s">
        <v>1383</v>
      </c>
      <c r="K183" s="11"/>
      <c r="L183" s="11"/>
      <c r="M183" s="11">
        <f t="shared" si="1"/>
        <v>16</v>
      </c>
      <c r="N183" s="11" t="e">
        <f>VLOOKUP($G183, 'ADP Data'!$B$4:$Q$300, 6, FALSE)</f>
        <v>#N/A</v>
      </c>
      <c r="O183" s="11" t="e">
        <f>VLOOKUP($G183, 'ADP Data'!$B$4:$Q$300, 10, FALSE)</f>
        <v>#N/A</v>
      </c>
      <c r="P183" s="11" t="e">
        <f>VLOOKUP($G183, 'ADP Data'!$B$4:$Q$300, 4, FALSE)</f>
        <v>#N/A</v>
      </c>
      <c r="Q183" s="11" t="e">
        <f>VLOOKUP($G183, 'ADP Data'!$B$4:$Q$300, 5, FALSE)</f>
        <v>#N/A</v>
      </c>
      <c r="R183" s="11" t="e">
        <f>VLOOKUP($G183, 'ADP Data'!$B$4:$Q$300, 7, FALSE)</f>
        <v>#N/A</v>
      </c>
      <c r="S183" s="11" t="e">
        <f>VLOOKUP($G183, 'ADP Data'!$B$4:$Q$300, 8, FALSE)</f>
        <v>#N/A</v>
      </c>
      <c r="T183" s="11" t="e">
        <f>VLOOKUP($G183, 'ADP Data'!$B$4:$Q$300, 9, FALSE)</f>
        <v>#N/A</v>
      </c>
      <c r="U183" s="11" t="e">
        <f t="shared" si="2"/>
        <v>#N/A</v>
      </c>
      <c r="V183" s="11"/>
    </row>
    <row r="184" spans="1:22" ht="14.25" customHeight="1" x14ac:dyDescent="0.25">
      <c r="A184" s="11"/>
      <c r="B184" s="11" t="e">
        <f t="shared" si="0"/>
        <v>#N/A</v>
      </c>
      <c r="C184" s="11" t="s">
        <v>148</v>
      </c>
      <c r="D184" s="11"/>
      <c r="E184" s="11"/>
      <c r="F184" s="11"/>
      <c r="G184" s="11" t="s">
        <v>1198</v>
      </c>
      <c r="H184" s="11" t="s">
        <v>66</v>
      </c>
      <c r="I184" s="11" t="s">
        <v>764</v>
      </c>
      <c r="J184" s="85" t="s">
        <v>1622</v>
      </c>
      <c r="K184" s="11"/>
      <c r="L184" s="11"/>
      <c r="M184" s="11">
        <f t="shared" si="1"/>
        <v>16</v>
      </c>
      <c r="N184" s="11" t="e">
        <f>VLOOKUP($G184, 'ADP Data'!$B$4:$Q$300, 6, FALSE)</f>
        <v>#N/A</v>
      </c>
      <c r="O184" s="11" t="e">
        <f>VLOOKUP($G184, 'ADP Data'!$B$4:$Q$300, 10, FALSE)</f>
        <v>#N/A</v>
      </c>
      <c r="P184" s="11" t="e">
        <f>VLOOKUP($G184, 'ADP Data'!$B$4:$Q$300, 4, FALSE)</f>
        <v>#N/A</v>
      </c>
      <c r="Q184" s="11" t="e">
        <f>VLOOKUP($G184, 'ADP Data'!$B$4:$Q$300, 5, FALSE)</f>
        <v>#N/A</v>
      </c>
      <c r="R184" s="11" t="e">
        <f>VLOOKUP($G184, 'ADP Data'!$B$4:$Q$300, 7, FALSE)</f>
        <v>#N/A</v>
      </c>
      <c r="S184" s="11" t="e">
        <f>VLOOKUP($G184, 'ADP Data'!$B$4:$Q$300, 8, FALSE)</f>
        <v>#N/A</v>
      </c>
      <c r="T184" s="11" t="e">
        <f>VLOOKUP($G184, 'ADP Data'!$B$4:$Q$300, 9, FALSE)</f>
        <v>#N/A</v>
      </c>
      <c r="U184" s="11" t="e">
        <f t="shared" si="2"/>
        <v>#N/A</v>
      </c>
      <c r="V184" s="11"/>
    </row>
    <row r="185" spans="1:22" ht="14.25" customHeight="1" x14ac:dyDescent="0.25">
      <c r="A185" s="11"/>
      <c r="B185" s="11" t="e">
        <f t="shared" si="0"/>
        <v>#N/A</v>
      </c>
      <c r="C185" s="11" t="s">
        <v>148</v>
      </c>
      <c r="D185" s="11"/>
      <c r="E185" s="11"/>
      <c r="F185" s="11"/>
      <c r="G185" s="11" t="s">
        <v>1228</v>
      </c>
      <c r="H185" s="11" t="s">
        <v>187</v>
      </c>
      <c r="I185" s="11" t="s">
        <v>769</v>
      </c>
      <c r="J185" s="85" t="s">
        <v>1445</v>
      </c>
      <c r="K185" s="11" t="s">
        <v>1183</v>
      </c>
      <c r="L185" s="11">
        <v>20</v>
      </c>
      <c r="M185" s="11">
        <f t="shared" si="1"/>
        <v>16</v>
      </c>
      <c r="N185" s="11" t="e">
        <f>VLOOKUP($G185, 'ADP Data'!$B$4:$Q$300, 6, FALSE)</f>
        <v>#N/A</v>
      </c>
      <c r="O185" s="11" t="e">
        <f>VLOOKUP($G185, 'ADP Data'!$B$4:$Q$300, 10, FALSE)</f>
        <v>#N/A</v>
      </c>
      <c r="P185" s="11" t="e">
        <f>VLOOKUP($G185, 'ADP Data'!$B$4:$Q$300, 4, FALSE)</f>
        <v>#N/A</v>
      </c>
      <c r="Q185" s="11" t="e">
        <f>VLOOKUP($G185, 'ADP Data'!$B$4:$Q$300, 5, FALSE)</f>
        <v>#N/A</v>
      </c>
      <c r="R185" s="11" t="e">
        <f>VLOOKUP($G185, 'ADP Data'!$B$4:$Q$300, 7, FALSE)</f>
        <v>#N/A</v>
      </c>
      <c r="S185" s="11" t="e">
        <f>VLOOKUP($G185, 'ADP Data'!$B$4:$Q$300, 8, FALSE)</f>
        <v>#N/A</v>
      </c>
      <c r="T185" s="11" t="e">
        <f>VLOOKUP($G185, 'ADP Data'!$B$4:$Q$300, 9, FALSE)</f>
        <v>#N/A</v>
      </c>
      <c r="U185" s="11" t="e">
        <f t="shared" si="2"/>
        <v>#N/A</v>
      </c>
      <c r="V185" s="11"/>
    </row>
    <row r="186" spans="1:22" ht="14.25" customHeight="1" x14ac:dyDescent="0.25">
      <c r="A186" s="11"/>
      <c r="B186" s="11" t="e">
        <f t="shared" si="0"/>
        <v>#N/A</v>
      </c>
      <c r="C186" s="11" t="s">
        <v>148</v>
      </c>
      <c r="D186" s="11"/>
      <c r="E186" s="11"/>
      <c r="F186" s="11"/>
      <c r="G186" s="11" t="s">
        <v>1275</v>
      </c>
      <c r="H186" s="11" t="s">
        <v>129</v>
      </c>
      <c r="I186" s="11" t="s">
        <v>769</v>
      </c>
      <c r="J186" s="85" t="s">
        <v>1393</v>
      </c>
      <c r="K186" s="11"/>
      <c r="L186" s="11">
        <v>25</v>
      </c>
      <c r="M186" s="11">
        <f t="shared" si="1"/>
        <v>16</v>
      </c>
      <c r="N186" s="11" t="e">
        <f>VLOOKUP($G186, 'ADP Data'!$B$4:$Q$300, 6, FALSE)</f>
        <v>#N/A</v>
      </c>
      <c r="O186" s="11" t="e">
        <f>VLOOKUP($G186, 'ADP Data'!$B$4:$Q$300, 10, FALSE)</f>
        <v>#N/A</v>
      </c>
      <c r="P186" s="11" t="e">
        <f>VLOOKUP($G186, 'ADP Data'!$B$4:$Q$300, 4, FALSE)</f>
        <v>#N/A</v>
      </c>
      <c r="Q186" s="11" t="e">
        <f>VLOOKUP($G186, 'ADP Data'!$B$4:$Q$300, 5, FALSE)</f>
        <v>#N/A</v>
      </c>
      <c r="R186" s="11" t="e">
        <f>VLOOKUP($G186, 'ADP Data'!$B$4:$Q$300, 7, FALSE)</f>
        <v>#N/A</v>
      </c>
      <c r="S186" s="11" t="e">
        <f>VLOOKUP($G186, 'ADP Data'!$B$4:$Q$300, 8, FALSE)</f>
        <v>#N/A</v>
      </c>
      <c r="T186" s="11" t="e">
        <f>VLOOKUP($G186, 'ADP Data'!$B$4:$Q$300, 9, FALSE)</f>
        <v>#N/A</v>
      </c>
      <c r="U186" s="11" t="e">
        <f t="shared" si="2"/>
        <v>#N/A</v>
      </c>
      <c r="V186" s="11"/>
    </row>
    <row r="187" spans="1:22" ht="14.25" customHeight="1" x14ac:dyDescent="0.25">
      <c r="A187" s="11"/>
      <c r="B187" s="11" t="e">
        <f t="shared" si="0"/>
        <v>#N/A</v>
      </c>
      <c r="C187" s="11" t="s">
        <v>148</v>
      </c>
      <c r="D187" s="11"/>
      <c r="E187" s="11"/>
      <c r="F187" s="11"/>
      <c r="G187" s="11" t="s">
        <v>946</v>
      </c>
      <c r="H187" s="11" t="s">
        <v>60</v>
      </c>
      <c r="I187" s="11" t="s">
        <v>773</v>
      </c>
      <c r="J187" s="85">
        <v>7</v>
      </c>
      <c r="K187" s="11"/>
      <c r="L187" s="11"/>
      <c r="M187" s="11">
        <f t="shared" si="1"/>
        <v>16</v>
      </c>
      <c r="N187" s="11" t="e">
        <f>VLOOKUP($G187, 'ADP Data'!$B$4:$Q$300, 6, FALSE)</f>
        <v>#N/A</v>
      </c>
      <c r="O187" s="11" t="e">
        <f>VLOOKUP($G187, 'ADP Data'!$B$4:$Q$300, 10, FALSE)</f>
        <v>#N/A</v>
      </c>
      <c r="P187" s="11" t="e">
        <f>VLOOKUP($G187, 'ADP Data'!$B$4:$Q$300, 4, FALSE)</f>
        <v>#N/A</v>
      </c>
      <c r="Q187" s="11" t="e">
        <f>VLOOKUP($G187, 'ADP Data'!$B$4:$Q$300, 5, FALSE)</f>
        <v>#N/A</v>
      </c>
      <c r="R187" s="11" t="e">
        <f>VLOOKUP($G187, 'ADP Data'!$B$4:$Q$300, 7, FALSE)</f>
        <v>#N/A</v>
      </c>
      <c r="S187" s="11" t="e">
        <f>VLOOKUP($G187, 'ADP Data'!$B$4:$Q$300, 8, FALSE)</f>
        <v>#N/A</v>
      </c>
      <c r="T187" s="11" t="e">
        <f>VLOOKUP($G187, 'ADP Data'!$B$4:$Q$300, 9, FALSE)</f>
        <v>#N/A</v>
      </c>
      <c r="U187" s="11" t="e">
        <f t="shared" si="2"/>
        <v>#N/A</v>
      </c>
      <c r="V187" s="11"/>
    </row>
    <row r="188" spans="1:22" ht="14.25" customHeight="1" x14ac:dyDescent="0.25">
      <c r="A188" s="11"/>
      <c r="B188" s="11" t="e">
        <f t="shared" si="0"/>
        <v>#N/A</v>
      </c>
      <c r="C188" s="11" t="s">
        <v>148</v>
      </c>
      <c r="D188" s="11"/>
      <c r="E188" s="11"/>
      <c r="F188" s="11"/>
      <c r="G188" s="11" t="s">
        <v>936</v>
      </c>
      <c r="H188" s="11" t="s">
        <v>94</v>
      </c>
      <c r="I188" s="11" t="s">
        <v>760</v>
      </c>
      <c r="J188" s="85" t="s">
        <v>1503</v>
      </c>
      <c r="K188" s="11"/>
      <c r="L188" s="11"/>
      <c r="M188" s="11">
        <f t="shared" si="1"/>
        <v>16</v>
      </c>
      <c r="N188" s="11" t="e">
        <f>VLOOKUP($G188, 'ADP Data'!$B$4:$Q$300, 6, FALSE)</f>
        <v>#N/A</v>
      </c>
      <c r="O188" s="11" t="e">
        <f>VLOOKUP($G188, 'ADP Data'!$B$4:$Q$300, 10, FALSE)</f>
        <v>#N/A</v>
      </c>
      <c r="P188" s="11" t="e">
        <f>VLOOKUP($G188, 'ADP Data'!$B$4:$Q$300, 4, FALSE)</f>
        <v>#N/A</v>
      </c>
      <c r="Q188" s="11" t="e">
        <f>VLOOKUP($G188, 'ADP Data'!$B$4:$Q$300, 5, FALSE)</f>
        <v>#N/A</v>
      </c>
      <c r="R188" s="11" t="e">
        <f>VLOOKUP($G188, 'ADP Data'!$B$4:$Q$300, 7, FALSE)</f>
        <v>#N/A</v>
      </c>
      <c r="S188" s="11" t="e">
        <f>VLOOKUP($G188, 'ADP Data'!$B$4:$Q$300, 8, FALSE)</f>
        <v>#N/A</v>
      </c>
      <c r="T188" s="11" t="e">
        <f>VLOOKUP($G188, 'ADP Data'!$B$4:$Q$300, 9, FALSE)</f>
        <v>#N/A</v>
      </c>
      <c r="U188" s="11" t="e">
        <f t="shared" si="2"/>
        <v>#N/A</v>
      </c>
      <c r="V188" s="11"/>
    </row>
    <row r="189" spans="1:22" ht="14.25" customHeight="1" x14ac:dyDescent="0.25">
      <c r="A189" s="11"/>
      <c r="B189" s="11" t="e">
        <f t="shared" si="0"/>
        <v>#N/A</v>
      </c>
      <c r="C189" s="11" t="s">
        <v>148</v>
      </c>
      <c r="D189" s="11"/>
      <c r="E189" s="11"/>
      <c r="F189" s="11"/>
      <c r="G189" s="11" t="s">
        <v>1449</v>
      </c>
      <c r="H189" s="11" t="s">
        <v>78</v>
      </c>
      <c r="I189" s="11" t="s">
        <v>764</v>
      </c>
      <c r="J189" s="85" t="s">
        <v>1623</v>
      </c>
      <c r="K189" s="11"/>
      <c r="L189" s="11"/>
      <c r="M189" s="11">
        <f t="shared" si="1"/>
        <v>16</v>
      </c>
      <c r="N189" s="11" t="e">
        <f>VLOOKUP($G189, 'ADP Data'!$B$4:$Q$300, 6, FALSE)</f>
        <v>#N/A</v>
      </c>
      <c r="O189" s="11" t="e">
        <f>VLOOKUP($G189, 'ADP Data'!$B$4:$Q$300, 10, FALSE)</f>
        <v>#N/A</v>
      </c>
      <c r="P189" s="11" t="e">
        <f>VLOOKUP($G189, 'ADP Data'!$B$4:$Q$300, 4, FALSE)</f>
        <v>#N/A</v>
      </c>
      <c r="Q189" s="11" t="e">
        <f>VLOOKUP($G189, 'ADP Data'!$B$4:$Q$300, 5, FALSE)</f>
        <v>#N/A</v>
      </c>
      <c r="R189" s="11" t="e">
        <f>VLOOKUP($G189, 'ADP Data'!$B$4:$Q$300, 7, FALSE)</f>
        <v>#N/A</v>
      </c>
      <c r="S189" s="11" t="e">
        <f>VLOOKUP($G189, 'ADP Data'!$B$4:$Q$300, 8, FALSE)</f>
        <v>#N/A</v>
      </c>
      <c r="T189" s="11" t="e">
        <f>VLOOKUP($G189, 'ADP Data'!$B$4:$Q$300, 9, FALSE)</f>
        <v>#N/A</v>
      </c>
      <c r="U189" s="11" t="e">
        <f t="shared" si="2"/>
        <v>#N/A</v>
      </c>
      <c r="V189" s="11"/>
    </row>
    <row r="190" spans="1:22" ht="14.25" customHeight="1" x14ac:dyDescent="0.25">
      <c r="A190" s="11"/>
      <c r="B190" s="11" t="e">
        <f t="shared" si="0"/>
        <v>#N/A</v>
      </c>
      <c r="C190" s="11" t="s">
        <v>148</v>
      </c>
      <c r="D190" s="11"/>
      <c r="E190" s="11"/>
      <c r="F190" s="11"/>
      <c r="G190" s="11" t="s">
        <v>1286</v>
      </c>
      <c r="H190" s="11" t="s">
        <v>60</v>
      </c>
      <c r="I190" s="11" t="s">
        <v>764</v>
      </c>
      <c r="J190" s="85" t="s">
        <v>1563</v>
      </c>
      <c r="K190" s="11"/>
      <c r="L190" s="11"/>
      <c r="M190" s="11">
        <f t="shared" si="1"/>
        <v>16</v>
      </c>
      <c r="N190" s="11" t="e">
        <f>VLOOKUP($G190, 'ADP Data'!$B$4:$Q$300, 6, FALSE)</f>
        <v>#N/A</v>
      </c>
      <c r="O190" s="11" t="e">
        <f>VLOOKUP($G190, 'ADP Data'!$B$4:$Q$300, 10, FALSE)</f>
        <v>#N/A</v>
      </c>
      <c r="P190" s="11" t="e">
        <f>VLOOKUP($G190, 'ADP Data'!$B$4:$Q$300, 4, FALSE)</f>
        <v>#N/A</v>
      </c>
      <c r="Q190" s="11" t="e">
        <f>VLOOKUP($G190, 'ADP Data'!$B$4:$Q$300, 5, FALSE)</f>
        <v>#N/A</v>
      </c>
      <c r="R190" s="11" t="e">
        <f>VLOOKUP($G190, 'ADP Data'!$B$4:$Q$300, 7, FALSE)</f>
        <v>#N/A</v>
      </c>
      <c r="S190" s="11" t="e">
        <f>VLOOKUP($G190, 'ADP Data'!$B$4:$Q$300, 8, FALSE)</f>
        <v>#N/A</v>
      </c>
      <c r="T190" s="11" t="e">
        <f>VLOOKUP($G190, 'ADP Data'!$B$4:$Q$300, 9, FALSE)</f>
        <v>#N/A</v>
      </c>
      <c r="U190" s="11" t="e">
        <f t="shared" si="2"/>
        <v>#N/A</v>
      </c>
      <c r="V190" s="11"/>
    </row>
    <row r="191" spans="1:22" ht="14.25" customHeight="1" x14ac:dyDescent="0.25">
      <c r="A191" s="11"/>
      <c r="B191" s="11" t="e">
        <f t="shared" si="0"/>
        <v>#N/A</v>
      </c>
      <c r="C191" s="11" t="s">
        <v>148</v>
      </c>
      <c r="D191" s="11"/>
      <c r="E191" s="11"/>
      <c r="F191" s="11"/>
      <c r="G191" s="11" t="s">
        <v>276</v>
      </c>
      <c r="H191" s="11" t="s">
        <v>91</v>
      </c>
      <c r="I191" s="11" t="s">
        <v>762</v>
      </c>
      <c r="J191" s="85" t="s">
        <v>1402</v>
      </c>
      <c r="K191" s="11" t="s">
        <v>1344</v>
      </c>
      <c r="L191" s="11"/>
      <c r="M191" s="11">
        <f t="shared" si="1"/>
        <v>13</v>
      </c>
      <c r="N191" s="11">
        <v>150</v>
      </c>
      <c r="O191" s="11" t="e">
        <f>VLOOKUP($G191, 'ADP Data'!$B$4:$Q$300, 10, FALSE)</f>
        <v>#N/A</v>
      </c>
      <c r="P191" s="11" t="e">
        <f>VLOOKUP($G191, 'ADP Data'!$B$4:$Q$300, 4, FALSE)</f>
        <v>#N/A</v>
      </c>
      <c r="Q191" s="11">
        <v>150</v>
      </c>
      <c r="R191" s="11">
        <v>150</v>
      </c>
      <c r="S191" s="11">
        <v>150</v>
      </c>
      <c r="T191" s="11">
        <v>150</v>
      </c>
      <c r="U191" s="11" t="e">
        <f t="shared" si="2"/>
        <v>#N/A</v>
      </c>
      <c r="V191" s="11"/>
    </row>
    <row r="192" spans="1:22" ht="14.25" customHeight="1" x14ac:dyDescent="0.25">
      <c r="A192" s="11"/>
      <c r="B192" s="11" t="e">
        <f t="shared" si="0"/>
        <v>#N/A</v>
      </c>
      <c r="C192" s="11" t="s">
        <v>148</v>
      </c>
      <c r="D192" s="11"/>
      <c r="E192" s="11"/>
      <c r="F192" s="11"/>
      <c r="G192" s="11" t="s">
        <v>811</v>
      </c>
      <c r="H192" s="11" t="s">
        <v>155</v>
      </c>
      <c r="I192" s="11" t="s">
        <v>769</v>
      </c>
      <c r="J192" s="85" t="s">
        <v>1503</v>
      </c>
      <c r="K192" s="11" t="s">
        <v>1624</v>
      </c>
      <c r="L192" s="11">
        <v>21</v>
      </c>
      <c r="M192" s="11">
        <f t="shared" si="1"/>
        <v>16</v>
      </c>
      <c r="N192" s="11" t="e">
        <f>VLOOKUP($G192, 'ADP Data'!$B$4:$Q$300, 6, FALSE)</f>
        <v>#N/A</v>
      </c>
      <c r="O192" s="11" t="e">
        <f>VLOOKUP($G192, 'ADP Data'!$B$4:$Q$300, 10, FALSE)</f>
        <v>#N/A</v>
      </c>
      <c r="P192" s="11" t="e">
        <f>VLOOKUP($G192, 'ADP Data'!$B$4:$Q$300, 4, FALSE)</f>
        <v>#N/A</v>
      </c>
      <c r="Q192" s="11" t="e">
        <f>VLOOKUP($G192, 'ADP Data'!$B$4:$Q$300, 5, FALSE)</f>
        <v>#N/A</v>
      </c>
      <c r="R192" s="11" t="e">
        <f>VLOOKUP($G192, 'ADP Data'!$B$4:$Q$300, 7, FALSE)</f>
        <v>#N/A</v>
      </c>
      <c r="S192" s="11" t="e">
        <f>VLOOKUP($G192, 'ADP Data'!$B$4:$Q$300, 8, FALSE)</f>
        <v>#N/A</v>
      </c>
      <c r="T192" s="11" t="e">
        <f>VLOOKUP($G192, 'ADP Data'!$B$4:$Q$300, 9, FALSE)</f>
        <v>#N/A</v>
      </c>
      <c r="U192" s="11" t="e">
        <f t="shared" si="2"/>
        <v>#N/A</v>
      </c>
      <c r="V192" s="11"/>
    </row>
    <row r="193" spans="1:22" ht="14.25" customHeight="1" x14ac:dyDescent="0.25">
      <c r="A193" s="11"/>
      <c r="B193" s="11" t="e">
        <f t="shared" si="0"/>
        <v>#N/A</v>
      </c>
      <c r="C193" s="11" t="s">
        <v>148</v>
      </c>
      <c r="D193" s="11"/>
      <c r="E193" s="11"/>
      <c r="F193" s="11"/>
      <c r="G193" s="11" t="s">
        <v>497</v>
      </c>
      <c r="H193" s="11" t="s">
        <v>104</v>
      </c>
      <c r="I193" s="11" t="s">
        <v>773</v>
      </c>
      <c r="J193" s="85">
        <v>9</v>
      </c>
      <c r="K193" s="11"/>
      <c r="L193" s="11"/>
      <c r="M193" s="11">
        <f t="shared" si="1"/>
        <v>16</v>
      </c>
      <c r="N193" s="11" t="e">
        <f>VLOOKUP($G193, 'ADP Data'!$B$4:$Q$300, 6, FALSE)</f>
        <v>#N/A</v>
      </c>
      <c r="O193" s="11" t="e">
        <f>VLOOKUP($G193, 'ADP Data'!$B$4:$Q$300, 10, FALSE)</f>
        <v>#N/A</v>
      </c>
      <c r="P193" s="11" t="e">
        <f>VLOOKUP($G193, 'ADP Data'!$B$4:$Q$300, 4, FALSE)</f>
        <v>#N/A</v>
      </c>
      <c r="Q193" s="11" t="e">
        <f>VLOOKUP($G193, 'ADP Data'!$B$4:$Q$300, 5, FALSE)</f>
        <v>#N/A</v>
      </c>
      <c r="R193" s="11" t="e">
        <f>VLOOKUP($G193, 'ADP Data'!$B$4:$Q$300, 7, FALSE)</f>
        <v>#N/A</v>
      </c>
      <c r="S193" s="11" t="e">
        <f>VLOOKUP($G193, 'ADP Data'!$B$4:$Q$300, 8, FALSE)</f>
        <v>#N/A</v>
      </c>
      <c r="T193" s="11" t="e">
        <f>VLOOKUP($G193, 'ADP Data'!$B$4:$Q$300, 9, FALSE)</f>
        <v>#N/A</v>
      </c>
      <c r="U193" s="11" t="e">
        <f t="shared" si="2"/>
        <v>#N/A</v>
      </c>
      <c r="V193" s="11"/>
    </row>
    <row r="194" spans="1:22" ht="14.25" customHeight="1" x14ac:dyDescent="0.25">
      <c r="A194" s="11"/>
      <c r="B194" s="11" t="e">
        <f t="shared" si="0"/>
        <v>#N/A</v>
      </c>
      <c r="C194" s="11" t="s">
        <v>148</v>
      </c>
      <c r="D194" s="11"/>
      <c r="E194" s="11"/>
      <c r="F194" s="11"/>
      <c r="G194" s="11" t="s">
        <v>1287</v>
      </c>
      <c r="H194" s="11" t="s">
        <v>145</v>
      </c>
      <c r="I194" s="11" t="s">
        <v>764</v>
      </c>
      <c r="J194" s="85" t="s">
        <v>1625</v>
      </c>
      <c r="K194" s="11"/>
      <c r="L194" s="11"/>
      <c r="M194" s="11">
        <f t="shared" si="1"/>
        <v>16</v>
      </c>
      <c r="N194" s="11" t="e">
        <f>VLOOKUP($G194, 'ADP Data'!$B$4:$Q$300, 6, FALSE)</f>
        <v>#N/A</v>
      </c>
      <c r="O194" s="11" t="e">
        <f>VLOOKUP($G194, 'ADP Data'!$B$4:$Q$300, 10, FALSE)</f>
        <v>#N/A</v>
      </c>
      <c r="P194" s="11" t="e">
        <f>VLOOKUP($G194, 'ADP Data'!$B$4:$Q$300, 4, FALSE)</f>
        <v>#N/A</v>
      </c>
      <c r="Q194" s="11" t="e">
        <f>VLOOKUP($G194, 'ADP Data'!$B$4:$Q$300, 5, FALSE)</f>
        <v>#N/A</v>
      </c>
      <c r="R194" s="11" t="e">
        <f>VLOOKUP($G194, 'ADP Data'!$B$4:$Q$300, 7, FALSE)</f>
        <v>#N/A</v>
      </c>
      <c r="S194" s="11" t="e">
        <f>VLOOKUP($G194, 'ADP Data'!$B$4:$Q$300, 8, FALSE)</f>
        <v>#N/A</v>
      </c>
      <c r="T194" s="11" t="e">
        <f>VLOOKUP($G194, 'ADP Data'!$B$4:$Q$300, 9, FALSE)</f>
        <v>#N/A</v>
      </c>
      <c r="U194" s="11" t="e">
        <f t="shared" si="2"/>
        <v>#N/A</v>
      </c>
      <c r="V194" s="11"/>
    </row>
    <row r="195" spans="1:22" ht="14.25" customHeight="1" x14ac:dyDescent="0.25">
      <c r="A195" s="11"/>
      <c r="B195" s="11" t="e">
        <f t="shared" si="0"/>
        <v>#N/A</v>
      </c>
      <c r="C195" s="11" t="s">
        <v>148</v>
      </c>
      <c r="D195" s="11"/>
      <c r="E195" s="11"/>
      <c r="F195" s="11"/>
      <c r="G195" s="11" t="s">
        <v>1511</v>
      </c>
      <c r="H195" s="11" t="s">
        <v>35</v>
      </c>
      <c r="I195" s="11" t="s">
        <v>764</v>
      </c>
      <c r="J195" s="85" t="s">
        <v>1626</v>
      </c>
      <c r="K195" s="11"/>
      <c r="L195" s="11"/>
      <c r="M195" s="11">
        <f t="shared" si="1"/>
        <v>16</v>
      </c>
      <c r="N195" s="11" t="e">
        <f>VLOOKUP($G195, 'ADP Data'!$B$4:$Q$300, 6, FALSE)</f>
        <v>#N/A</v>
      </c>
      <c r="O195" s="11" t="e">
        <f>VLOOKUP($G195, 'ADP Data'!$B$4:$Q$300, 10, FALSE)</f>
        <v>#N/A</v>
      </c>
      <c r="P195" s="11" t="e">
        <f>VLOOKUP($G195, 'ADP Data'!$B$4:$Q$300, 4, FALSE)</f>
        <v>#N/A</v>
      </c>
      <c r="Q195" s="11" t="e">
        <f>VLOOKUP($G195, 'ADP Data'!$B$4:$Q$300, 5, FALSE)</f>
        <v>#N/A</v>
      </c>
      <c r="R195" s="11" t="e">
        <f>VLOOKUP($G195, 'ADP Data'!$B$4:$Q$300, 7, FALSE)</f>
        <v>#N/A</v>
      </c>
      <c r="S195" s="11" t="e">
        <f>VLOOKUP($G195, 'ADP Data'!$B$4:$Q$300, 8, FALSE)</f>
        <v>#N/A</v>
      </c>
      <c r="T195" s="11" t="e">
        <f>VLOOKUP($G195, 'ADP Data'!$B$4:$Q$300, 9, FALSE)</f>
        <v>#N/A</v>
      </c>
      <c r="U195" s="11" t="e">
        <f t="shared" si="2"/>
        <v>#N/A</v>
      </c>
      <c r="V195" s="11"/>
    </row>
    <row r="196" spans="1:22" ht="14.25" customHeight="1" x14ac:dyDescent="0.25">
      <c r="A196" s="11"/>
      <c r="B196" s="11" t="e">
        <f t="shared" si="0"/>
        <v>#N/A</v>
      </c>
      <c r="C196" s="11" t="s">
        <v>148</v>
      </c>
      <c r="D196" s="11"/>
      <c r="E196" s="11"/>
      <c r="F196" s="11"/>
      <c r="G196" s="11" t="s">
        <v>157</v>
      </c>
      <c r="H196" s="11" t="s">
        <v>199</v>
      </c>
      <c r="I196" s="11" t="s">
        <v>762</v>
      </c>
      <c r="J196" s="85">
        <v>100</v>
      </c>
      <c r="K196" s="11"/>
      <c r="L196" s="85"/>
      <c r="M196" s="11">
        <f t="shared" si="1"/>
        <v>17</v>
      </c>
      <c r="N196" s="11">
        <v>200</v>
      </c>
      <c r="O196" s="11" t="e">
        <f>VLOOKUP($G196, 'ADP Data'!$B$4:$Q$300, 10, FALSE)</f>
        <v>#N/A</v>
      </c>
      <c r="P196" s="11">
        <v>200</v>
      </c>
      <c r="Q196" s="11">
        <v>200</v>
      </c>
      <c r="R196" s="11">
        <v>200</v>
      </c>
      <c r="S196" s="11">
        <v>200</v>
      </c>
      <c r="T196" s="11">
        <v>150</v>
      </c>
      <c r="U196" s="11">
        <v>200</v>
      </c>
      <c r="V196" s="11"/>
    </row>
    <row r="197" spans="1:22" ht="14.25" customHeight="1" x14ac:dyDescent="0.25">
      <c r="A197" s="11"/>
      <c r="B197" s="11" t="e">
        <f t="shared" si="0"/>
        <v>#N/A</v>
      </c>
      <c r="C197" s="11" t="s">
        <v>148</v>
      </c>
      <c r="D197" s="11"/>
      <c r="E197" s="11"/>
      <c r="F197" s="11"/>
      <c r="G197" s="11" t="s">
        <v>1288</v>
      </c>
      <c r="H197" s="11" t="s">
        <v>91</v>
      </c>
      <c r="I197" s="11" t="s">
        <v>764</v>
      </c>
      <c r="J197" s="85" t="s">
        <v>1585</v>
      </c>
      <c r="K197" s="11"/>
      <c r="L197" s="11"/>
      <c r="M197" s="11">
        <f t="shared" si="1"/>
        <v>16</v>
      </c>
      <c r="N197" s="11" t="e">
        <f>VLOOKUP($G197, 'ADP Data'!$B$4:$Q$300, 6, FALSE)</f>
        <v>#N/A</v>
      </c>
      <c r="O197" s="11" t="e">
        <f>VLOOKUP($G197, 'ADP Data'!$B$4:$Q$300, 10, FALSE)</f>
        <v>#N/A</v>
      </c>
      <c r="P197" s="11" t="e">
        <f>VLOOKUP($G197, 'ADP Data'!$B$4:$Q$300, 4, FALSE)</f>
        <v>#N/A</v>
      </c>
      <c r="Q197" s="11" t="e">
        <f>VLOOKUP($G197, 'ADP Data'!$B$4:$Q$300, 5, FALSE)</f>
        <v>#N/A</v>
      </c>
      <c r="R197" s="11" t="e">
        <f>VLOOKUP($G197, 'ADP Data'!$B$4:$Q$300, 7, FALSE)</f>
        <v>#N/A</v>
      </c>
      <c r="S197" s="11" t="e">
        <f>VLOOKUP($G197, 'ADP Data'!$B$4:$Q$300, 8, FALSE)</f>
        <v>#N/A</v>
      </c>
      <c r="T197" s="11" t="e">
        <f>VLOOKUP($G197, 'ADP Data'!$B$4:$Q$300, 9, FALSE)</f>
        <v>#N/A</v>
      </c>
      <c r="U197" s="11" t="e">
        <f t="shared" ref="U197:U282" si="3">INT(AVERAGE(O197:S197))</f>
        <v>#N/A</v>
      </c>
      <c r="V197" s="11"/>
    </row>
    <row r="198" spans="1:22" ht="14.25" customHeight="1" x14ac:dyDescent="0.25">
      <c r="A198" s="11"/>
      <c r="B198" s="11" t="e">
        <f t="shared" si="0"/>
        <v>#N/A</v>
      </c>
      <c r="C198" s="11" t="s">
        <v>148</v>
      </c>
      <c r="D198" s="11"/>
      <c r="E198" s="11"/>
      <c r="F198" s="11"/>
      <c r="G198" s="11" t="s">
        <v>1469</v>
      </c>
      <c r="H198" s="11" t="s">
        <v>69</v>
      </c>
      <c r="I198" s="11" t="s">
        <v>769</v>
      </c>
      <c r="J198" s="85" t="s">
        <v>1487</v>
      </c>
      <c r="K198" s="11"/>
      <c r="L198" s="11"/>
      <c r="M198" s="11">
        <f t="shared" si="1"/>
        <v>16</v>
      </c>
      <c r="N198" s="11" t="e">
        <f>VLOOKUP($G198, 'ADP Data'!$B$4:$Q$300, 6, FALSE)</f>
        <v>#N/A</v>
      </c>
      <c r="O198" s="11" t="e">
        <f>VLOOKUP($G198, 'ADP Data'!$B$4:$Q$300, 10, FALSE)</f>
        <v>#N/A</v>
      </c>
      <c r="P198" s="11" t="e">
        <f>VLOOKUP($G198, 'ADP Data'!$B$4:$Q$300, 4, FALSE)</f>
        <v>#N/A</v>
      </c>
      <c r="Q198" s="11" t="e">
        <f>VLOOKUP($G198, 'ADP Data'!$B$4:$Q$300, 5, FALSE)</f>
        <v>#N/A</v>
      </c>
      <c r="R198" s="11" t="e">
        <f>VLOOKUP($G198, 'ADP Data'!$B$4:$Q$300, 7, FALSE)</f>
        <v>#N/A</v>
      </c>
      <c r="S198" s="11" t="e">
        <f>VLOOKUP($G198, 'ADP Data'!$B$4:$Q$300, 8, FALSE)</f>
        <v>#N/A</v>
      </c>
      <c r="T198" s="11" t="e">
        <f>VLOOKUP($G198, 'ADP Data'!$B$4:$Q$300, 9, FALSE)</f>
        <v>#N/A</v>
      </c>
      <c r="U198" s="11" t="e">
        <f t="shared" si="3"/>
        <v>#N/A</v>
      </c>
      <c r="V198" s="11"/>
    </row>
    <row r="199" spans="1:22" ht="14.25" customHeight="1" x14ac:dyDescent="0.25">
      <c r="A199" s="11"/>
      <c r="B199" s="11" t="e">
        <f t="shared" si="0"/>
        <v>#N/A</v>
      </c>
      <c r="C199" s="11" t="s">
        <v>148</v>
      </c>
      <c r="D199" s="11"/>
      <c r="E199" s="11"/>
      <c r="F199" s="11"/>
      <c r="G199" s="11" t="s">
        <v>1192</v>
      </c>
      <c r="H199" s="11" t="s">
        <v>129</v>
      </c>
      <c r="I199" s="11" t="s">
        <v>760</v>
      </c>
      <c r="J199" s="85" t="s">
        <v>1515</v>
      </c>
      <c r="K199" s="11"/>
      <c r="L199" s="11"/>
      <c r="M199" s="11">
        <f t="shared" si="1"/>
        <v>16</v>
      </c>
      <c r="N199" s="11" t="e">
        <f>VLOOKUP($G199, 'ADP Data'!$B$4:$Q$300, 6, FALSE)</f>
        <v>#N/A</v>
      </c>
      <c r="O199" s="11" t="e">
        <f>VLOOKUP($G199, 'ADP Data'!$B$4:$Q$300, 10, FALSE)</f>
        <v>#N/A</v>
      </c>
      <c r="P199" s="11" t="e">
        <f>VLOOKUP($G199, 'ADP Data'!$B$4:$Q$300, 4, FALSE)</f>
        <v>#N/A</v>
      </c>
      <c r="Q199" s="11" t="e">
        <f>VLOOKUP($G199, 'ADP Data'!$B$4:$Q$300, 5, FALSE)</f>
        <v>#N/A</v>
      </c>
      <c r="R199" s="11" t="e">
        <f>VLOOKUP($G199, 'ADP Data'!$B$4:$Q$300, 7, FALSE)</f>
        <v>#N/A</v>
      </c>
      <c r="S199" s="11" t="e">
        <f>VLOOKUP($G199, 'ADP Data'!$B$4:$Q$300, 8, FALSE)</f>
        <v>#N/A</v>
      </c>
      <c r="T199" s="11" t="e">
        <f>VLOOKUP($G199, 'ADP Data'!$B$4:$Q$300, 9, FALSE)</f>
        <v>#N/A</v>
      </c>
      <c r="U199" s="11" t="e">
        <f t="shared" si="3"/>
        <v>#N/A</v>
      </c>
      <c r="V199" s="11"/>
    </row>
    <row r="200" spans="1:22" ht="14.25" customHeight="1" x14ac:dyDescent="0.25">
      <c r="A200" s="11"/>
      <c r="B200" s="11" t="e">
        <f t="shared" si="0"/>
        <v>#N/A</v>
      </c>
      <c r="C200" s="11" t="s">
        <v>148</v>
      </c>
      <c r="D200" s="11"/>
      <c r="E200" s="11"/>
      <c r="F200" s="11"/>
      <c r="G200" s="11" t="s">
        <v>1199</v>
      </c>
      <c r="H200" s="11" t="s">
        <v>145</v>
      </c>
      <c r="I200" s="11" t="s">
        <v>760</v>
      </c>
      <c r="J200" s="85" t="s">
        <v>1472</v>
      </c>
      <c r="K200" s="11"/>
      <c r="L200" s="11"/>
      <c r="M200" s="11">
        <f t="shared" si="1"/>
        <v>16</v>
      </c>
      <c r="N200" s="11" t="e">
        <f>VLOOKUP($G200, 'ADP Data'!$B$4:$Q$300, 6, FALSE)</f>
        <v>#N/A</v>
      </c>
      <c r="O200" s="11" t="e">
        <f>VLOOKUP($G200, 'ADP Data'!$B$4:$Q$300, 10, FALSE)</f>
        <v>#N/A</v>
      </c>
      <c r="P200" s="11" t="e">
        <f>VLOOKUP($G200, 'ADP Data'!$B$4:$Q$300, 4, FALSE)</f>
        <v>#N/A</v>
      </c>
      <c r="Q200" s="11" t="e">
        <f>VLOOKUP($G200, 'ADP Data'!$B$4:$Q$300, 5, FALSE)</f>
        <v>#N/A</v>
      </c>
      <c r="R200" s="11" t="e">
        <f>VLOOKUP($G200, 'ADP Data'!$B$4:$Q$300, 7, FALSE)</f>
        <v>#N/A</v>
      </c>
      <c r="S200" s="11" t="e">
        <f>VLOOKUP($G200, 'ADP Data'!$B$4:$Q$300, 8, FALSE)</f>
        <v>#N/A</v>
      </c>
      <c r="T200" s="11" t="e">
        <f>VLOOKUP($G200, 'ADP Data'!$B$4:$Q$300, 9, FALSE)</f>
        <v>#N/A</v>
      </c>
      <c r="U200" s="11" t="e">
        <f t="shared" si="3"/>
        <v>#N/A</v>
      </c>
      <c r="V200" s="11"/>
    </row>
    <row r="201" spans="1:22" ht="14.25" customHeight="1" x14ac:dyDescent="0.25">
      <c r="A201" s="11"/>
      <c r="B201" s="11" t="e">
        <f t="shared" si="0"/>
        <v>#N/A</v>
      </c>
      <c r="C201" s="11" t="s">
        <v>148</v>
      </c>
      <c r="D201" s="11"/>
      <c r="E201" s="11"/>
      <c r="F201" s="11"/>
      <c r="G201" s="11" t="s">
        <v>955</v>
      </c>
      <c r="H201" s="11" t="s">
        <v>72</v>
      </c>
      <c r="I201" s="11" t="s">
        <v>762</v>
      </c>
      <c r="J201" s="85" t="s">
        <v>1567</v>
      </c>
      <c r="K201" s="11"/>
      <c r="L201" s="11"/>
      <c r="M201" s="11">
        <f t="shared" si="1"/>
        <v>16</v>
      </c>
      <c r="N201" s="11" t="e">
        <f>VLOOKUP($G201, 'ADP Data'!$B$4:$Q$300, 6, FALSE)</f>
        <v>#N/A</v>
      </c>
      <c r="O201" s="11" t="e">
        <f>VLOOKUP($G201, 'ADP Data'!$B$4:$Q$300, 10, FALSE)</f>
        <v>#N/A</v>
      </c>
      <c r="P201" s="11" t="e">
        <f>VLOOKUP($G201, 'ADP Data'!$B$4:$Q$300, 4, FALSE)</f>
        <v>#N/A</v>
      </c>
      <c r="Q201" s="11" t="e">
        <f>VLOOKUP($G201, 'ADP Data'!$B$4:$Q$300, 5, FALSE)</f>
        <v>#N/A</v>
      </c>
      <c r="R201" s="11" t="e">
        <f>VLOOKUP($G201, 'ADP Data'!$B$4:$Q$300, 7, FALSE)</f>
        <v>#N/A</v>
      </c>
      <c r="S201" s="11" t="e">
        <f>VLOOKUP($G201, 'ADP Data'!$B$4:$Q$300, 8, FALSE)</f>
        <v>#N/A</v>
      </c>
      <c r="T201" s="11" t="e">
        <f>VLOOKUP($G201, 'ADP Data'!$B$4:$Q$300, 9, FALSE)</f>
        <v>#N/A</v>
      </c>
      <c r="U201" s="11" t="e">
        <f t="shared" si="3"/>
        <v>#N/A</v>
      </c>
      <c r="V201" s="11"/>
    </row>
    <row r="202" spans="1:22" ht="14.25" customHeight="1" x14ac:dyDescent="0.25">
      <c r="A202" s="11"/>
      <c r="B202" s="11" t="e">
        <f t="shared" si="0"/>
        <v>#N/A</v>
      </c>
      <c r="C202" s="11" t="s">
        <v>148</v>
      </c>
      <c r="D202" s="11"/>
      <c r="E202" s="11"/>
      <c r="F202" s="11"/>
      <c r="G202" s="11" t="s">
        <v>551</v>
      </c>
      <c r="H202" s="11" t="s">
        <v>85</v>
      </c>
      <c r="I202" s="11" t="s">
        <v>773</v>
      </c>
      <c r="J202" s="85" t="s">
        <v>1343</v>
      </c>
      <c r="K202" s="11"/>
      <c r="L202" s="11"/>
      <c r="M202" s="11">
        <f t="shared" si="1"/>
        <v>16</v>
      </c>
      <c r="N202" s="11" t="e">
        <f>VLOOKUP($G202, 'ADP Data'!$B$4:$Q$300, 6, FALSE)</f>
        <v>#N/A</v>
      </c>
      <c r="O202" s="11" t="e">
        <f>VLOOKUP($G202, 'ADP Data'!$B$4:$Q$300, 10, FALSE)</f>
        <v>#N/A</v>
      </c>
      <c r="P202" s="11" t="e">
        <f>VLOOKUP($G202, 'ADP Data'!$B$4:$Q$300, 4, FALSE)</f>
        <v>#N/A</v>
      </c>
      <c r="Q202" s="11" t="e">
        <f>VLOOKUP($G202, 'ADP Data'!$B$4:$Q$300, 5, FALSE)</f>
        <v>#N/A</v>
      </c>
      <c r="R202" s="11" t="e">
        <f>VLOOKUP($G202, 'ADP Data'!$B$4:$Q$300, 7, FALSE)</f>
        <v>#N/A</v>
      </c>
      <c r="S202" s="11" t="e">
        <f>VLOOKUP($G202, 'ADP Data'!$B$4:$Q$300, 8, FALSE)</f>
        <v>#N/A</v>
      </c>
      <c r="T202" s="11" t="e">
        <f>VLOOKUP($G202, 'ADP Data'!$B$4:$Q$300, 9, FALSE)</f>
        <v>#N/A</v>
      </c>
      <c r="U202" s="11" t="e">
        <f t="shared" si="3"/>
        <v>#N/A</v>
      </c>
      <c r="V202" s="11"/>
    </row>
    <row r="203" spans="1:22" ht="14.25" customHeight="1" x14ac:dyDescent="0.25">
      <c r="A203" s="11"/>
      <c r="B203" s="11" t="e">
        <f t="shared" si="0"/>
        <v>#N/A</v>
      </c>
      <c r="C203" s="11" t="s">
        <v>148</v>
      </c>
      <c r="D203" s="11"/>
      <c r="E203" s="11"/>
      <c r="F203" s="11"/>
      <c r="G203" s="11" t="s">
        <v>1627</v>
      </c>
      <c r="H203" s="11" t="s">
        <v>163</v>
      </c>
      <c r="I203" s="11" t="s">
        <v>762</v>
      </c>
      <c r="J203" s="85" t="s">
        <v>1582</v>
      </c>
      <c r="K203" s="11"/>
      <c r="L203" s="11"/>
      <c r="M203" s="11">
        <f t="shared" si="1"/>
        <v>16</v>
      </c>
      <c r="N203" s="11" t="e">
        <f>VLOOKUP($G203, 'ADP Data'!$B$4:$Q$300, 6, FALSE)</f>
        <v>#N/A</v>
      </c>
      <c r="O203" s="11" t="e">
        <f>VLOOKUP($G203, 'ADP Data'!$B$4:$Q$300, 10, FALSE)</f>
        <v>#N/A</v>
      </c>
      <c r="P203" s="11" t="e">
        <f>VLOOKUP($G203, 'ADP Data'!$B$4:$Q$300, 4, FALSE)</f>
        <v>#N/A</v>
      </c>
      <c r="Q203" s="11" t="e">
        <f>VLOOKUP($G203, 'ADP Data'!$B$4:$Q$300, 5, FALSE)</f>
        <v>#N/A</v>
      </c>
      <c r="R203" s="11" t="e">
        <f>VLOOKUP($G203, 'ADP Data'!$B$4:$Q$300, 7, FALSE)</f>
        <v>#N/A</v>
      </c>
      <c r="S203" s="11" t="e">
        <f>VLOOKUP($G203, 'ADP Data'!$B$4:$Q$300, 8, FALSE)</f>
        <v>#N/A</v>
      </c>
      <c r="T203" s="11" t="e">
        <f>VLOOKUP($G203, 'ADP Data'!$B$4:$Q$300, 9, FALSE)</f>
        <v>#N/A</v>
      </c>
      <c r="U203" s="11" t="e">
        <f t="shared" si="3"/>
        <v>#N/A</v>
      </c>
      <c r="V203" s="11"/>
    </row>
    <row r="204" spans="1:22" ht="14.25" customHeight="1" x14ac:dyDescent="0.25">
      <c r="A204" s="11"/>
      <c r="B204" s="11" t="e">
        <f t="shared" si="0"/>
        <v>#N/A</v>
      </c>
      <c r="C204" s="11" t="s">
        <v>148</v>
      </c>
      <c r="D204" s="11"/>
      <c r="E204" s="11"/>
      <c r="F204" s="11"/>
      <c r="G204" s="11" t="s">
        <v>1507</v>
      </c>
      <c r="H204" s="11" t="s">
        <v>229</v>
      </c>
      <c r="I204" s="11" t="s">
        <v>762</v>
      </c>
      <c r="J204" s="85" t="s">
        <v>1593</v>
      </c>
      <c r="K204" s="11"/>
      <c r="L204" s="11"/>
      <c r="M204" s="11">
        <f t="shared" si="1"/>
        <v>16</v>
      </c>
      <c r="N204" s="11" t="e">
        <f>VLOOKUP($G204, 'ADP Data'!$B$4:$Q$300, 6, FALSE)</f>
        <v>#N/A</v>
      </c>
      <c r="O204" s="11" t="e">
        <f>VLOOKUP($G204, 'ADP Data'!$B$4:$Q$300, 10, FALSE)</f>
        <v>#N/A</v>
      </c>
      <c r="P204" s="11" t="e">
        <f>VLOOKUP($G204, 'ADP Data'!$B$4:$Q$300, 4, FALSE)</f>
        <v>#N/A</v>
      </c>
      <c r="Q204" s="11" t="e">
        <f>VLOOKUP($G204, 'ADP Data'!$B$4:$Q$300, 5, FALSE)</f>
        <v>#N/A</v>
      </c>
      <c r="R204" s="11" t="e">
        <f>VLOOKUP($G204, 'ADP Data'!$B$4:$Q$300, 7, FALSE)</f>
        <v>#N/A</v>
      </c>
      <c r="S204" s="11" t="e">
        <f>VLOOKUP($G204, 'ADP Data'!$B$4:$Q$300, 8, FALSE)</f>
        <v>#N/A</v>
      </c>
      <c r="T204" s="11" t="e">
        <f>VLOOKUP($G204, 'ADP Data'!$B$4:$Q$300, 9, FALSE)</f>
        <v>#N/A</v>
      </c>
      <c r="U204" s="11" t="e">
        <f t="shared" si="3"/>
        <v>#N/A</v>
      </c>
      <c r="V204" s="11"/>
    </row>
    <row r="205" spans="1:22" ht="14.25" customHeight="1" x14ac:dyDescent="0.25">
      <c r="A205" s="11"/>
      <c r="B205" s="11" t="e">
        <f t="shared" si="0"/>
        <v>#N/A</v>
      </c>
      <c r="C205" s="11" t="s">
        <v>148</v>
      </c>
      <c r="D205" s="11"/>
      <c r="E205" s="11"/>
      <c r="F205" s="11"/>
      <c r="G205" s="11" t="s">
        <v>1628</v>
      </c>
      <c r="H205" s="11" t="s">
        <v>81</v>
      </c>
      <c r="I205" s="11" t="s">
        <v>762</v>
      </c>
      <c r="J205" s="85" t="s">
        <v>1629</v>
      </c>
      <c r="K205" s="11"/>
      <c r="L205" s="11"/>
      <c r="M205" s="11">
        <f t="shared" si="1"/>
        <v>16</v>
      </c>
      <c r="N205" s="11" t="e">
        <f>VLOOKUP($G205, 'ADP Data'!$B$4:$Q$300, 6, FALSE)</f>
        <v>#N/A</v>
      </c>
      <c r="O205" s="11" t="e">
        <f>VLOOKUP($G205, 'ADP Data'!$B$4:$Q$300, 10, FALSE)</f>
        <v>#N/A</v>
      </c>
      <c r="P205" s="11" t="e">
        <f>VLOOKUP($G205, 'ADP Data'!$B$4:$Q$300, 4, FALSE)</f>
        <v>#N/A</v>
      </c>
      <c r="Q205" s="11" t="e">
        <f>VLOOKUP($G205, 'ADP Data'!$B$4:$Q$300, 5, FALSE)</f>
        <v>#N/A</v>
      </c>
      <c r="R205" s="11" t="e">
        <f>VLOOKUP($G205, 'ADP Data'!$B$4:$Q$300, 7, FALSE)</f>
        <v>#N/A</v>
      </c>
      <c r="S205" s="11" t="e">
        <f>VLOOKUP($G205, 'ADP Data'!$B$4:$Q$300, 8, FALSE)</f>
        <v>#N/A</v>
      </c>
      <c r="T205" s="11" t="e">
        <f>VLOOKUP($G205, 'ADP Data'!$B$4:$Q$300, 9, FALSE)</f>
        <v>#N/A</v>
      </c>
      <c r="U205" s="11" t="e">
        <f t="shared" si="3"/>
        <v>#N/A</v>
      </c>
      <c r="V205" s="11"/>
    </row>
    <row r="206" spans="1:22" ht="14.25" customHeight="1" x14ac:dyDescent="0.25">
      <c r="A206" s="11"/>
      <c r="B206" s="11" t="e">
        <f t="shared" si="0"/>
        <v>#N/A</v>
      </c>
      <c r="C206" s="11" t="s">
        <v>148</v>
      </c>
      <c r="D206" s="11"/>
      <c r="E206" s="11"/>
      <c r="F206" s="11"/>
      <c r="G206" s="11" t="s">
        <v>664</v>
      </c>
      <c r="H206" s="11" t="s">
        <v>123</v>
      </c>
      <c r="I206" s="11" t="s">
        <v>764</v>
      </c>
      <c r="J206" s="85" t="s">
        <v>1630</v>
      </c>
      <c r="K206" s="11"/>
      <c r="L206" s="11"/>
      <c r="M206" s="11">
        <f t="shared" si="1"/>
        <v>16</v>
      </c>
      <c r="N206" s="11" t="e">
        <f>VLOOKUP($G206, 'ADP Data'!$B$4:$Q$300, 6, FALSE)</f>
        <v>#N/A</v>
      </c>
      <c r="O206" s="11" t="e">
        <f>VLOOKUP($G206, 'ADP Data'!$B$4:$Q$300, 10, FALSE)</f>
        <v>#N/A</v>
      </c>
      <c r="P206" s="11" t="e">
        <f>VLOOKUP($G206, 'ADP Data'!$B$4:$Q$300, 4, FALSE)</f>
        <v>#N/A</v>
      </c>
      <c r="Q206" s="11" t="e">
        <f>VLOOKUP($G206, 'ADP Data'!$B$4:$Q$300, 5, FALSE)</f>
        <v>#N/A</v>
      </c>
      <c r="R206" s="11" t="e">
        <f>VLOOKUP($G206, 'ADP Data'!$B$4:$Q$300, 7, FALSE)</f>
        <v>#N/A</v>
      </c>
      <c r="S206" s="11" t="e">
        <f>VLOOKUP($G206, 'ADP Data'!$B$4:$Q$300, 8, FALSE)</f>
        <v>#N/A</v>
      </c>
      <c r="T206" s="11" t="e">
        <f>VLOOKUP($G206, 'ADP Data'!$B$4:$Q$300, 9, FALSE)</f>
        <v>#N/A</v>
      </c>
      <c r="U206" s="11" t="e">
        <f t="shared" si="3"/>
        <v>#N/A</v>
      </c>
      <c r="V206" s="11"/>
    </row>
    <row r="207" spans="1:22" ht="14.25" customHeight="1" x14ac:dyDescent="0.25">
      <c r="A207" s="11"/>
      <c r="B207" s="11" t="e">
        <f t="shared" si="0"/>
        <v>#N/A</v>
      </c>
      <c r="C207" s="11" t="s">
        <v>148</v>
      </c>
      <c r="D207" s="11"/>
      <c r="E207" s="11"/>
      <c r="F207" s="11"/>
      <c r="G207" s="11" t="s">
        <v>1299</v>
      </c>
      <c r="H207" s="11" t="s">
        <v>168</v>
      </c>
      <c r="I207" s="11" t="s">
        <v>764</v>
      </c>
      <c r="J207" s="85" t="s">
        <v>1631</v>
      </c>
      <c r="K207" s="11"/>
      <c r="L207" s="11"/>
      <c r="M207" s="11">
        <f t="shared" si="1"/>
        <v>16</v>
      </c>
      <c r="N207" s="11" t="e">
        <f>VLOOKUP($G207, 'ADP Data'!$B$4:$Q$300, 6, FALSE)</f>
        <v>#N/A</v>
      </c>
      <c r="O207" s="11" t="e">
        <f>VLOOKUP($G207, 'ADP Data'!$B$4:$Q$300, 10, FALSE)</f>
        <v>#N/A</v>
      </c>
      <c r="P207" s="11" t="e">
        <f>VLOOKUP($G207, 'ADP Data'!$B$4:$Q$300, 4, FALSE)</f>
        <v>#N/A</v>
      </c>
      <c r="Q207" s="11" t="e">
        <f>VLOOKUP($G207, 'ADP Data'!$B$4:$Q$300, 5, FALSE)</f>
        <v>#N/A</v>
      </c>
      <c r="R207" s="11" t="e">
        <f>VLOOKUP($G207, 'ADP Data'!$B$4:$Q$300, 7, FALSE)</f>
        <v>#N/A</v>
      </c>
      <c r="S207" s="11" t="e">
        <f>VLOOKUP($G207, 'ADP Data'!$B$4:$Q$300, 8, FALSE)</f>
        <v>#N/A</v>
      </c>
      <c r="T207" s="11" t="e">
        <f>VLOOKUP($G207, 'ADP Data'!$B$4:$Q$300, 9, FALSE)</f>
        <v>#N/A</v>
      </c>
      <c r="U207" s="11" t="e">
        <f t="shared" si="3"/>
        <v>#N/A</v>
      </c>
      <c r="V207" s="11" t="s">
        <v>1632</v>
      </c>
    </row>
    <row r="208" spans="1:22" ht="14.25" customHeight="1" x14ac:dyDescent="0.25">
      <c r="A208" s="11"/>
      <c r="B208" s="11" t="e">
        <f t="shared" si="0"/>
        <v>#N/A</v>
      </c>
      <c r="C208" s="11" t="s">
        <v>148</v>
      </c>
      <c r="D208" s="11"/>
      <c r="E208" s="11"/>
      <c r="F208" s="11"/>
      <c r="G208" s="11" t="s">
        <v>1195</v>
      </c>
      <c r="H208" s="11" t="s">
        <v>60</v>
      </c>
      <c r="I208" s="11" t="s">
        <v>760</v>
      </c>
      <c r="J208" s="85" t="s">
        <v>1382</v>
      </c>
      <c r="K208" s="11"/>
      <c r="L208" s="11"/>
      <c r="M208" s="11">
        <f t="shared" si="1"/>
        <v>16</v>
      </c>
      <c r="N208" s="11" t="e">
        <f>VLOOKUP($G208, 'ADP Data'!$B$4:$Q$300, 6, FALSE)</f>
        <v>#N/A</v>
      </c>
      <c r="O208" s="11" t="e">
        <f>VLOOKUP($G208, 'ADP Data'!$B$4:$Q$300, 10, FALSE)</f>
        <v>#N/A</v>
      </c>
      <c r="P208" s="11" t="e">
        <f>VLOOKUP($G208, 'ADP Data'!$B$4:$Q$300, 4, FALSE)</f>
        <v>#N/A</v>
      </c>
      <c r="Q208" s="11" t="e">
        <f>VLOOKUP($G208, 'ADP Data'!$B$4:$Q$300, 5, FALSE)</f>
        <v>#N/A</v>
      </c>
      <c r="R208" s="11" t="e">
        <f>VLOOKUP($G208, 'ADP Data'!$B$4:$Q$300, 7, FALSE)</f>
        <v>#N/A</v>
      </c>
      <c r="S208" s="11" t="e">
        <f>VLOOKUP($G208, 'ADP Data'!$B$4:$Q$300, 8, FALSE)</f>
        <v>#N/A</v>
      </c>
      <c r="T208" s="11" t="e">
        <f>VLOOKUP($G208, 'ADP Data'!$B$4:$Q$300, 9, FALSE)</f>
        <v>#N/A</v>
      </c>
      <c r="U208" s="11" t="e">
        <f t="shared" si="3"/>
        <v>#N/A</v>
      </c>
      <c r="V208" s="11"/>
    </row>
    <row r="209" spans="1:22" ht="14.25" customHeight="1" x14ac:dyDescent="0.25">
      <c r="A209" s="11"/>
      <c r="B209" s="11" t="e">
        <f t="shared" si="0"/>
        <v>#N/A</v>
      </c>
      <c r="C209" s="11" t="s">
        <v>148</v>
      </c>
      <c r="D209" s="11"/>
      <c r="E209" s="11"/>
      <c r="F209" s="11"/>
      <c r="G209" s="11" t="s">
        <v>431</v>
      </c>
      <c r="H209" s="11" t="s">
        <v>160</v>
      </c>
      <c r="I209" s="11" t="s">
        <v>760</v>
      </c>
      <c r="J209" s="85" t="s">
        <v>1532</v>
      </c>
      <c r="K209" s="11"/>
      <c r="L209" s="11"/>
      <c r="M209" s="11">
        <f t="shared" si="1"/>
        <v>16</v>
      </c>
      <c r="N209" s="11" t="e">
        <f>VLOOKUP($G209, 'ADP Data'!$B$4:$Q$300, 6, FALSE)</f>
        <v>#N/A</v>
      </c>
      <c r="O209" s="11" t="e">
        <f>VLOOKUP($G209, 'ADP Data'!$B$4:$Q$300, 10, FALSE)</f>
        <v>#N/A</v>
      </c>
      <c r="P209" s="11" t="e">
        <f>VLOOKUP($G209, 'ADP Data'!$B$4:$Q$300, 4, FALSE)</f>
        <v>#N/A</v>
      </c>
      <c r="Q209" s="11" t="e">
        <f>VLOOKUP($G209, 'ADP Data'!$B$4:$Q$300, 5, FALSE)</f>
        <v>#N/A</v>
      </c>
      <c r="R209" s="11" t="e">
        <f>VLOOKUP($G209, 'ADP Data'!$B$4:$Q$300, 7, FALSE)</f>
        <v>#N/A</v>
      </c>
      <c r="S209" s="11" t="e">
        <f>VLOOKUP($G209, 'ADP Data'!$B$4:$Q$300, 8, FALSE)</f>
        <v>#N/A</v>
      </c>
      <c r="T209" s="11" t="e">
        <f>VLOOKUP($G209, 'ADP Data'!$B$4:$Q$300, 9, FALSE)</f>
        <v>#N/A</v>
      </c>
      <c r="U209" s="11" t="e">
        <f t="shared" si="3"/>
        <v>#N/A</v>
      </c>
      <c r="V209" s="11"/>
    </row>
    <row r="210" spans="1:22" ht="14.25" customHeight="1" x14ac:dyDescent="0.25">
      <c r="A210" s="11"/>
      <c r="B210" s="11" t="e">
        <f t="shared" si="0"/>
        <v>#N/A</v>
      </c>
      <c r="C210" s="11" t="s">
        <v>148</v>
      </c>
      <c r="D210" s="11"/>
      <c r="E210" s="11"/>
      <c r="F210" s="11"/>
      <c r="G210" s="11" t="s">
        <v>536</v>
      </c>
      <c r="H210" s="11" t="s">
        <v>233</v>
      </c>
      <c r="I210" s="11" t="s">
        <v>769</v>
      </c>
      <c r="J210" s="85" t="s">
        <v>1480</v>
      </c>
      <c r="K210" s="11"/>
      <c r="L210" s="11"/>
      <c r="M210" s="11">
        <f t="shared" si="1"/>
        <v>16</v>
      </c>
      <c r="N210" s="11" t="e">
        <f>VLOOKUP($G210, 'ADP Data'!$B$4:$Q$300, 6, FALSE)</f>
        <v>#N/A</v>
      </c>
      <c r="O210" s="11" t="e">
        <f>VLOOKUP($G210, 'ADP Data'!$B$4:$Q$300, 10, FALSE)</f>
        <v>#N/A</v>
      </c>
      <c r="P210" s="11" t="e">
        <f>VLOOKUP($G210, 'ADP Data'!$B$4:$Q$300, 4, FALSE)</f>
        <v>#N/A</v>
      </c>
      <c r="Q210" s="11" t="e">
        <f>VLOOKUP($G210, 'ADP Data'!$B$4:$Q$300, 5, FALSE)</f>
        <v>#N/A</v>
      </c>
      <c r="R210" s="11" t="e">
        <f>VLOOKUP($G210, 'ADP Data'!$B$4:$Q$300, 7, FALSE)</f>
        <v>#N/A</v>
      </c>
      <c r="S210" s="11" t="e">
        <f>VLOOKUP($G210, 'ADP Data'!$B$4:$Q$300, 8, FALSE)</f>
        <v>#N/A</v>
      </c>
      <c r="T210" s="11" t="e">
        <f>VLOOKUP($G210, 'ADP Data'!$B$4:$Q$300, 9, FALSE)</f>
        <v>#N/A</v>
      </c>
      <c r="U210" s="11" t="e">
        <f t="shared" si="3"/>
        <v>#N/A</v>
      </c>
      <c r="V210" s="11"/>
    </row>
    <row r="211" spans="1:22" ht="14.25" customHeight="1" x14ac:dyDescent="0.25">
      <c r="A211" s="11"/>
      <c r="B211" s="11" t="e">
        <f t="shared" si="0"/>
        <v>#N/A</v>
      </c>
      <c r="C211" s="11" t="s">
        <v>148</v>
      </c>
      <c r="D211" s="11"/>
      <c r="E211" s="11"/>
      <c r="F211" s="11"/>
      <c r="G211" s="11" t="s">
        <v>280</v>
      </c>
      <c r="H211" s="11" t="s">
        <v>160</v>
      </c>
      <c r="I211" s="11" t="s">
        <v>762</v>
      </c>
      <c r="J211" s="85" t="s">
        <v>1601</v>
      </c>
      <c r="K211" s="11"/>
      <c r="L211" s="11"/>
      <c r="M211" s="11">
        <f t="shared" si="1"/>
        <v>16</v>
      </c>
      <c r="N211" s="11" t="e">
        <f>VLOOKUP($G211, 'ADP Data'!$B$4:$Q$300, 6, FALSE)</f>
        <v>#N/A</v>
      </c>
      <c r="O211" s="11" t="e">
        <f>VLOOKUP($G211, 'ADP Data'!$B$4:$Q$300, 10, FALSE)</f>
        <v>#N/A</v>
      </c>
      <c r="P211" s="11" t="e">
        <f>VLOOKUP($G211, 'ADP Data'!$B$4:$Q$300, 4, FALSE)</f>
        <v>#N/A</v>
      </c>
      <c r="Q211" s="11" t="e">
        <f>VLOOKUP($G211, 'ADP Data'!$B$4:$Q$300, 5, FALSE)</f>
        <v>#N/A</v>
      </c>
      <c r="R211" s="11" t="e">
        <f>VLOOKUP($G211, 'ADP Data'!$B$4:$Q$300, 7, FALSE)</f>
        <v>#N/A</v>
      </c>
      <c r="S211" s="11" t="e">
        <f>VLOOKUP($G211, 'ADP Data'!$B$4:$Q$300, 8, FALSE)</f>
        <v>#N/A</v>
      </c>
      <c r="T211" s="11" t="e">
        <f>VLOOKUP($G211, 'ADP Data'!$B$4:$Q$300, 9, FALSE)</f>
        <v>#N/A</v>
      </c>
      <c r="U211" s="11" t="e">
        <f t="shared" si="3"/>
        <v>#N/A</v>
      </c>
      <c r="V211" s="11" t="s">
        <v>1633</v>
      </c>
    </row>
    <row r="212" spans="1:22" ht="14.25" customHeight="1" x14ac:dyDescent="0.25">
      <c r="A212" s="11"/>
      <c r="B212" s="11" t="e">
        <f t="shared" si="0"/>
        <v>#N/A</v>
      </c>
      <c r="C212" s="11" t="s">
        <v>148</v>
      </c>
      <c r="D212" s="11"/>
      <c r="E212" s="11"/>
      <c r="F212" s="11"/>
      <c r="G212" s="11" t="s">
        <v>333</v>
      </c>
      <c r="H212" s="11" t="s">
        <v>35</v>
      </c>
      <c r="I212" s="11" t="s">
        <v>760</v>
      </c>
      <c r="J212" s="85" t="s">
        <v>1539</v>
      </c>
      <c r="K212" s="11"/>
      <c r="L212" s="11"/>
      <c r="M212" s="11">
        <f t="shared" si="1"/>
        <v>16</v>
      </c>
      <c r="N212" s="11" t="e">
        <f>VLOOKUP($G212, 'ADP Data'!$B$4:$Q$300, 6, FALSE)</f>
        <v>#N/A</v>
      </c>
      <c r="O212" s="11" t="e">
        <f>VLOOKUP($G212, 'ADP Data'!$B$4:$Q$300, 10, FALSE)</f>
        <v>#N/A</v>
      </c>
      <c r="P212" s="11" t="e">
        <f>VLOOKUP($G212, 'ADP Data'!$B$4:$Q$300, 4, FALSE)</f>
        <v>#N/A</v>
      </c>
      <c r="Q212" s="11" t="e">
        <f>VLOOKUP($G212, 'ADP Data'!$B$4:$Q$300, 5, FALSE)</f>
        <v>#N/A</v>
      </c>
      <c r="R212" s="11" t="e">
        <f>VLOOKUP($G212, 'ADP Data'!$B$4:$Q$300, 7, FALSE)</f>
        <v>#N/A</v>
      </c>
      <c r="S212" s="11" t="e">
        <f>VLOOKUP($G212, 'ADP Data'!$B$4:$Q$300, 8, FALSE)</f>
        <v>#N/A</v>
      </c>
      <c r="T212" s="11" t="e">
        <f>VLOOKUP($G212, 'ADP Data'!$B$4:$Q$300, 9, FALSE)</f>
        <v>#N/A</v>
      </c>
      <c r="U212" s="11" t="e">
        <f t="shared" si="3"/>
        <v>#N/A</v>
      </c>
      <c r="V212" s="11"/>
    </row>
    <row r="213" spans="1:22" ht="14.25" customHeight="1" x14ac:dyDescent="0.25">
      <c r="A213" s="11"/>
      <c r="B213" s="11" t="e">
        <f t="shared" si="0"/>
        <v>#N/A</v>
      </c>
      <c r="C213" s="11" t="s">
        <v>148</v>
      </c>
      <c r="D213" s="11"/>
      <c r="E213" s="11"/>
      <c r="F213" s="11"/>
      <c r="G213" s="11" t="s">
        <v>1634</v>
      </c>
      <c r="H213" s="11" t="s">
        <v>229</v>
      </c>
      <c r="I213" s="11" t="s">
        <v>769</v>
      </c>
      <c r="J213" s="85" t="s">
        <v>1472</v>
      </c>
      <c r="K213" s="11"/>
      <c r="L213" s="11"/>
      <c r="M213" s="11">
        <f t="shared" si="1"/>
        <v>16</v>
      </c>
      <c r="N213" s="11" t="e">
        <f>VLOOKUP($G213, 'ADP Data'!$B$4:$Q$300, 6, FALSE)</f>
        <v>#N/A</v>
      </c>
      <c r="O213" s="11" t="e">
        <f>VLOOKUP($G213, 'ADP Data'!$B$4:$Q$300, 10, FALSE)</f>
        <v>#N/A</v>
      </c>
      <c r="P213" s="11" t="e">
        <f>VLOOKUP($G213, 'ADP Data'!$B$4:$Q$300, 4, FALSE)</f>
        <v>#N/A</v>
      </c>
      <c r="Q213" s="11" t="e">
        <f>VLOOKUP($G213, 'ADP Data'!$B$4:$Q$300, 5, FALSE)</f>
        <v>#N/A</v>
      </c>
      <c r="R213" s="11" t="e">
        <f>VLOOKUP($G213, 'ADP Data'!$B$4:$Q$300, 7, FALSE)</f>
        <v>#N/A</v>
      </c>
      <c r="S213" s="11" t="e">
        <f>VLOOKUP($G213, 'ADP Data'!$B$4:$Q$300, 8, FALSE)</f>
        <v>#N/A</v>
      </c>
      <c r="T213" s="11" t="e">
        <f>VLOOKUP($G213, 'ADP Data'!$B$4:$Q$300, 9, FALSE)</f>
        <v>#N/A</v>
      </c>
      <c r="U213" s="11" t="e">
        <f t="shared" si="3"/>
        <v>#N/A</v>
      </c>
      <c r="V213" s="11"/>
    </row>
    <row r="214" spans="1:22" ht="14.25" customHeight="1" x14ac:dyDescent="0.25">
      <c r="A214" s="11"/>
      <c r="B214" s="11" t="e">
        <f t="shared" si="0"/>
        <v>#N/A</v>
      </c>
      <c r="C214" s="11" t="s">
        <v>148</v>
      </c>
      <c r="D214" s="11"/>
      <c r="E214" s="11"/>
      <c r="F214" s="11"/>
      <c r="G214" s="11" t="s">
        <v>929</v>
      </c>
      <c r="H214" s="11" t="s">
        <v>81</v>
      </c>
      <c r="I214" s="11" t="s">
        <v>773</v>
      </c>
      <c r="J214" s="85" t="s">
        <v>1340</v>
      </c>
      <c r="K214" s="11"/>
      <c r="L214" s="11"/>
      <c r="M214" s="11">
        <f t="shared" si="1"/>
        <v>16</v>
      </c>
      <c r="N214" s="11" t="e">
        <f>VLOOKUP($G214, 'ADP Data'!$B$4:$Q$300, 6, FALSE)</f>
        <v>#N/A</v>
      </c>
      <c r="O214" s="11" t="e">
        <f>VLOOKUP($G214, 'ADP Data'!$B$4:$Q$300, 10, FALSE)</f>
        <v>#N/A</v>
      </c>
      <c r="P214" s="11" t="e">
        <f>VLOOKUP($G214, 'ADP Data'!$B$4:$Q$300, 4, FALSE)</f>
        <v>#N/A</v>
      </c>
      <c r="Q214" s="11" t="e">
        <f>VLOOKUP($G214, 'ADP Data'!$B$4:$Q$300, 5, FALSE)</f>
        <v>#N/A</v>
      </c>
      <c r="R214" s="11" t="e">
        <f>VLOOKUP($G214, 'ADP Data'!$B$4:$Q$300, 7, FALSE)</f>
        <v>#N/A</v>
      </c>
      <c r="S214" s="11" t="e">
        <f>VLOOKUP($G214, 'ADP Data'!$B$4:$Q$300, 8, FALSE)</f>
        <v>#N/A</v>
      </c>
      <c r="T214" s="11" t="e">
        <f>VLOOKUP($G214, 'ADP Data'!$B$4:$Q$300, 9, FALSE)</f>
        <v>#N/A</v>
      </c>
      <c r="U214" s="11" t="e">
        <f t="shared" si="3"/>
        <v>#N/A</v>
      </c>
      <c r="V214" s="11"/>
    </row>
    <row r="215" spans="1:22" ht="14.25" customHeight="1" x14ac:dyDescent="0.25">
      <c r="A215" s="11"/>
      <c r="B215" s="11" t="e">
        <f t="shared" si="0"/>
        <v>#N/A</v>
      </c>
      <c r="C215" s="11" t="s">
        <v>148</v>
      </c>
      <c r="D215" s="11"/>
      <c r="E215" s="11"/>
      <c r="F215" s="11"/>
      <c r="G215" s="11" t="s">
        <v>1169</v>
      </c>
      <c r="H215" s="11" t="s">
        <v>214</v>
      </c>
      <c r="I215" s="11" t="s">
        <v>764</v>
      </c>
      <c r="J215" s="85">
        <v>83</v>
      </c>
      <c r="K215" s="11"/>
      <c r="L215" s="11"/>
      <c r="M215" s="11">
        <f t="shared" si="1"/>
        <v>16</v>
      </c>
      <c r="N215" s="11" t="e">
        <f>VLOOKUP($G215, 'ADP Data'!$B$4:$Q$300, 6, FALSE)</f>
        <v>#N/A</v>
      </c>
      <c r="O215" s="11" t="e">
        <f>VLOOKUP($G215, 'ADP Data'!$B$4:$Q$300, 10, FALSE)</f>
        <v>#N/A</v>
      </c>
      <c r="P215" s="11" t="e">
        <f>VLOOKUP($G215, 'ADP Data'!$B$4:$Q$300, 4, FALSE)</f>
        <v>#N/A</v>
      </c>
      <c r="Q215" s="11" t="e">
        <f>VLOOKUP($G215, 'ADP Data'!$B$4:$Q$300, 5, FALSE)</f>
        <v>#N/A</v>
      </c>
      <c r="R215" s="11" t="e">
        <f>VLOOKUP($G215, 'ADP Data'!$B$4:$Q$300, 7, FALSE)</f>
        <v>#N/A</v>
      </c>
      <c r="S215" s="11" t="e">
        <f>VLOOKUP($G215, 'ADP Data'!$B$4:$Q$300, 8, FALSE)</f>
        <v>#N/A</v>
      </c>
      <c r="T215" s="11" t="e">
        <f>VLOOKUP($G215, 'ADP Data'!$B$4:$Q$300, 9, FALSE)</f>
        <v>#N/A</v>
      </c>
      <c r="U215" s="11" t="e">
        <f t="shared" si="3"/>
        <v>#N/A</v>
      </c>
      <c r="V215" s="11"/>
    </row>
    <row r="216" spans="1:22" ht="14.25" customHeight="1" x14ac:dyDescent="0.25">
      <c r="A216" s="11"/>
      <c r="B216" s="11" t="e">
        <f t="shared" si="0"/>
        <v>#N/A</v>
      </c>
      <c r="C216" s="11" t="s">
        <v>148</v>
      </c>
      <c r="D216" s="11"/>
      <c r="E216" s="11"/>
      <c r="F216" s="11"/>
      <c r="G216" s="11" t="s">
        <v>1398</v>
      </c>
      <c r="H216" s="11" t="s">
        <v>104</v>
      </c>
      <c r="I216" s="11" t="s">
        <v>760</v>
      </c>
      <c r="J216" s="85" t="s">
        <v>1480</v>
      </c>
      <c r="K216" s="11"/>
      <c r="L216" s="11"/>
      <c r="M216" s="11">
        <f t="shared" si="1"/>
        <v>16</v>
      </c>
      <c r="N216" s="11" t="e">
        <f>VLOOKUP($G216, 'ADP Data'!$B$4:$Q$300, 6, FALSE)</f>
        <v>#N/A</v>
      </c>
      <c r="O216" s="11" t="e">
        <f>VLOOKUP($G216, 'ADP Data'!$B$4:$Q$300, 10, FALSE)</f>
        <v>#N/A</v>
      </c>
      <c r="P216" s="11" t="e">
        <f>VLOOKUP($G216, 'ADP Data'!$B$4:$Q$300, 4, FALSE)</f>
        <v>#N/A</v>
      </c>
      <c r="Q216" s="11" t="e">
        <f>VLOOKUP($G216, 'ADP Data'!$B$4:$Q$300, 5, FALSE)</f>
        <v>#N/A</v>
      </c>
      <c r="R216" s="11" t="e">
        <f>VLOOKUP($G216, 'ADP Data'!$B$4:$Q$300, 7, FALSE)</f>
        <v>#N/A</v>
      </c>
      <c r="S216" s="11" t="e">
        <f>VLOOKUP($G216, 'ADP Data'!$B$4:$Q$300, 8, FALSE)</f>
        <v>#N/A</v>
      </c>
      <c r="T216" s="11" t="e">
        <f>VLOOKUP($G216, 'ADP Data'!$B$4:$Q$300, 9, FALSE)</f>
        <v>#N/A</v>
      </c>
      <c r="U216" s="11" t="e">
        <f t="shared" si="3"/>
        <v>#N/A</v>
      </c>
      <c r="V216" s="11"/>
    </row>
    <row r="217" spans="1:22" ht="14.25" customHeight="1" x14ac:dyDescent="0.25">
      <c r="A217" s="11"/>
      <c r="B217" s="11" t="e">
        <f t="shared" si="0"/>
        <v>#N/A</v>
      </c>
      <c r="C217" s="11" t="s">
        <v>148</v>
      </c>
      <c r="D217" s="11"/>
      <c r="E217" s="11"/>
      <c r="F217" s="11"/>
      <c r="G217" s="11" t="s">
        <v>1239</v>
      </c>
      <c r="H217" s="11" t="s">
        <v>85</v>
      </c>
      <c r="I217" s="11" t="s">
        <v>762</v>
      </c>
      <c r="J217" s="85" t="s">
        <v>1616</v>
      </c>
      <c r="K217" s="11"/>
      <c r="L217" s="11"/>
      <c r="M217" s="11">
        <f t="shared" si="1"/>
        <v>16</v>
      </c>
      <c r="N217" s="11" t="e">
        <f>VLOOKUP($G217, 'ADP Data'!$B$4:$Q$300, 6, FALSE)</f>
        <v>#N/A</v>
      </c>
      <c r="O217" s="11" t="e">
        <f>VLOOKUP($G217, 'ADP Data'!$B$4:$Q$300, 10, FALSE)</f>
        <v>#N/A</v>
      </c>
      <c r="P217" s="11" t="e">
        <f>VLOOKUP($G217, 'ADP Data'!$B$4:$Q$300, 4, FALSE)</f>
        <v>#N/A</v>
      </c>
      <c r="Q217" s="11" t="e">
        <f>VLOOKUP($G217, 'ADP Data'!$B$4:$Q$300, 5, FALSE)</f>
        <v>#N/A</v>
      </c>
      <c r="R217" s="11" t="e">
        <f>VLOOKUP($G217, 'ADP Data'!$B$4:$Q$300, 7, FALSE)</f>
        <v>#N/A</v>
      </c>
      <c r="S217" s="11" t="e">
        <f>VLOOKUP($G217, 'ADP Data'!$B$4:$Q$300, 8, FALSE)</f>
        <v>#N/A</v>
      </c>
      <c r="T217" s="11" t="e">
        <f>VLOOKUP($G217, 'ADP Data'!$B$4:$Q$300, 9, FALSE)</f>
        <v>#N/A</v>
      </c>
      <c r="U217" s="11" t="e">
        <f t="shared" si="3"/>
        <v>#N/A</v>
      </c>
      <c r="V217" s="11"/>
    </row>
    <row r="218" spans="1:22" ht="14.25" customHeight="1" x14ac:dyDescent="0.25">
      <c r="A218" s="11"/>
      <c r="B218" s="11" t="e">
        <f t="shared" si="0"/>
        <v>#N/A</v>
      </c>
      <c r="C218" s="11" t="s">
        <v>148</v>
      </c>
      <c r="D218" s="11"/>
      <c r="E218" s="11"/>
      <c r="F218" s="11"/>
      <c r="G218" s="11" t="s">
        <v>937</v>
      </c>
      <c r="H218" s="11" t="s">
        <v>129</v>
      </c>
      <c r="I218" s="11" t="s">
        <v>773</v>
      </c>
      <c r="J218" s="85" t="s">
        <v>1341</v>
      </c>
      <c r="K218" s="11"/>
      <c r="L218" s="11"/>
      <c r="M218" s="11">
        <f t="shared" si="1"/>
        <v>16</v>
      </c>
      <c r="N218" s="11" t="e">
        <f>VLOOKUP($G218, 'ADP Data'!$B$4:$Q$300, 6, FALSE)</f>
        <v>#N/A</v>
      </c>
      <c r="O218" s="11" t="e">
        <f>VLOOKUP($G218, 'ADP Data'!$B$4:$Q$300, 10, FALSE)</f>
        <v>#N/A</v>
      </c>
      <c r="P218" s="11" t="e">
        <f>VLOOKUP($G218, 'ADP Data'!$B$4:$Q$300, 4, FALSE)</f>
        <v>#N/A</v>
      </c>
      <c r="Q218" s="11" t="e">
        <f>VLOOKUP($G218, 'ADP Data'!$B$4:$Q$300, 5, FALSE)</f>
        <v>#N/A</v>
      </c>
      <c r="R218" s="11" t="e">
        <f>VLOOKUP($G218, 'ADP Data'!$B$4:$Q$300, 7, FALSE)</f>
        <v>#N/A</v>
      </c>
      <c r="S218" s="11" t="e">
        <f>VLOOKUP($G218, 'ADP Data'!$B$4:$Q$300, 8, FALSE)</f>
        <v>#N/A</v>
      </c>
      <c r="T218" s="11" t="e">
        <f>VLOOKUP($G218, 'ADP Data'!$B$4:$Q$300, 9, FALSE)</f>
        <v>#N/A</v>
      </c>
      <c r="U218" s="11" t="e">
        <f t="shared" si="3"/>
        <v>#N/A</v>
      </c>
      <c r="V218" s="11"/>
    </row>
    <row r="219" spans="1:22" ht="14.25" customHeight="1" x14ac:dyDescent="0.25">
      <c r="A219" s="11"/>
      <c r="B219" s="11" t="e">
        <f t="shared" si="0"/>
        <v>#N/A</v>
      </c>
      <c r="C219" s="11" t="s">
        <v>148</v>
      </c>
      <c r="D219" s="11"/>
      <c r="E219" s="11"/>
      <c r="F219" s="11"/>
      <c r="G219" s="11" t="s">
        <v>1217</v>
      </c>
      <c r="H219" s="11" t="s">
        <v>60</v>
      </c>
      <c r="I219" s="11" t="s">
        <v>762</v>
      </c>
      <c r="J219" s="85" t="s">
        <v>1617</v>
      </c>
      <c r="K219" s="11"/>
      <c r="L219" s="11"/>
      <c r="M219" s="11">
        <f t="shared" si="1"/>
        <v>16</v>
      </c>
      <c r="N219" s="11" t="e">
        <f>VLOOKUP($G219, 'ADP Data'!$B$4:$Q$300, 6, FALSE)</f>
        <v>#N/A</v>
      </c>
      <c r="O219" s="11" t="e">
        <f>VLOOKUP($G219, 'ADP Data'!$B$4:$Q$300, 10, FALSE)</f>
        <v>#N/A</v>
      </c>
      <c r="P219" s="11" t="e">
        <f>VLOOKUP($G219, 'ADP Data'!$B$4:$Q$300, 4, FALSE)</f>
        <v>#N/A</v>
      </c>
      <c r="Q219" s="11" t="e">
        <f>VLOOKUP($G219, 'ADP Data'!$B$4:$Q$300, 5, FALSE)</f>
        <v>#N/A</v>
      </c>
      <c r="R219" s="11" t="e">
        <f>VLOOKUP($G219, 'ADP Data'!$B$4:$Q$300, 7, FALSE)</f>
        <v>#N/A</v>
      </c>
      <c r="S219" s="11" t="e">
        <f>VLOOKUP($G219, 'ADP Data'!$B$4:$Q$300, 8, FALSE)</f>
        <v>#N/A</v>
      </c>
      <c r="T219" s="11" t="e">
        <f>VLOOKUP($G219, 'ADP Data'!$B$4:$Q$300, 9, FALSE)</f>
        <v>#N/A</v>
      </c>
      <c r="U219" s="11" t="e">
        <f t="shared" si="3"/>
        <v>#N/A</v>
      </c>
      <c r="V219" s="11"/>
    </row>
    <row r="220" spans="1:22" ht="14.25" customHeight="1" x14ac:dyDescent="0.25">
      <c r="A220" s="11"/>
      <c r="B220" s="11" t="e">
        <f t="shared" si="0"/>
        <v>#N/A</v>
      </c>
      <c r="C220" s="11" t="s">
        <v>148</v>
      </c>
      <c r="D220" s="11"/>
      <c r="E220" s="11"/>
      <c r="F220" s="11"/>
      <c r="G220" s="11" t="s">
        <v>1420</v>
      </c>
      <c r="H220" s="11" t="s">
        <v>155</v>
      </c>
      <c r="I220" s="11" t="s">
        <v>762</v>
      </c>
      <c r="J220" s="85" t="s">
        <v>1573</v>
      </c>
      <c r="K220" s="11"/>
      <c r="L220" s="11"/>
      <c r="M220" s="11">
        <f t="shared" si="1"/>
        <v>16</v>
      </c>
      <c r="N220" s="11" t="e">
        <f>VLOOKUP($G220, 'ADP Data'!$B$4:$Q$300, 6, FALSE)</f>
        <v>#N/A</v>
      </c>
      <c r="O220" s="11" t="e">
        <f>VLOOKUP($G220, 'ADP Data'!$B$4:$Q$300, 10, FALSE)</f>
        <v>#N/A</v>
      </c>
      <c r="P220" s="11" t="e">
        <f>VLOOKUP($G220, 'ADP Data'!$B$4:$Q$300, 4, FALSE)</f>
        <v>#N/A</v>
      </c>
      <c r="Q220" s="11" t="e">
        <f>VLOOKUP($G220, 'ADP Data'!$B$4:$Q$300, 5, FALSE)</f>
        <v>#N/A</v>
      </c>
      <c r="R220" s="11" t="e">
        <f>VLOOKUP($G220, 'ADP Data'!$B$4:$Q$300, 7, FALSE)</f>
        <v>#N/A</v>
      </c>
      <c r="S220" s="11" t="e">
        <f>VLOOKUP($G220, 'ADP Data'!$B$4:$Q$300, 8, FALSE)</f>
        <v>#N/A</v>
      </c>
      <c r="T220" s="11" t="e">
        <f>VLOOKUP($G220, 'ADP Data'!$B$4:$Q$300, 9, FALSE)</f>
        <v>#N/A</v>
      </c>
      <c r="U220" s="11" t="e">
        <f t="shared" si="3"/>
        <v>#N/A</v>
      </c>
      <c r="V220" s="11"/>
    </row>
    <row r="221" spans="1:22" ht="14.25" customHeight="1" x14ac:dyDescent="0.25">
      <c r="A221" s="11"/>
      <c r="B221" s="11" t="e">
        <f t="shared" si="0"/>
        <v>#N/A</v>
      </c>
      <c r="C221" s="11" t="s">
        <v>148</v>
      </c>
      <c r="D221" s="11"/>
      <c r="E221" s="11"/>
      <c r="F221" s="11"/>
      <c r="G221" s="11" t="s">
        <v>1635</v>
      </c>
      <c r="H221" s="11" t="s">
        <v>126</v>
      </c>
      <c r="I221" s="11" t="s">
        <v>762</v>
      </c>
      <c r="J221" s="85" t="s">
        <v>1625</v>
      </c>
      <c r="K221" s="11"/>
      <c r="L221" s="11"/>
      <c r="M221" s="11">
        <f t="shared" si="1"/>
        <v>16</v>
      </c>
      <c r="N221" s="11" t="e">
        <f>VLOOKUP($G221, 'ADP Data'!$B$4:$Q$300, 6, FALSE)</f>
        <v>#N/A</v>
      </c>
      <c r="O221" s="11" t="e">
        <f>VLOOKUP($G221, 'ADP Data'!$B$4:$Q$300, 10, FALSE)</f>
        <v>#N/A</v>
      </c>
      <c r="P221" s="11" t="e">
        <f>VLOOKUP($G221, 'ADP Data'!$B$4:$Q$300, 4, FALSE)</f>
        <v>#N/A</v>
      </c>
      <c r="Q221" s="11" t="e">
        <f>VLOOKUP($G221, 'ADP Data'!$B$4:$Q$300, 5, FALSE)</f>
        <v>#N/A</v>
      </c>
      <c r="R221" s="11" t="e">
        <f>VLOOKUP($G221, 'ADP Data'!$B$4:$Q$300, 7, FALSE)</f>
        <v>#N/A</v>
      </c>
      <c r="S221" s="11" t="e">
        <f>VLOOKUP($G221, 'ADP Data'!$B$4:$Q$300, 8, FALSE)</f>
        <v>#N/A</v>
      </c>
      <c r="T221" s="11" t="e">
        <f>VLOOKUP($G221, 'ADP Data'!$B$4:$Q$300, 9, FALSE)</f>
        <v>#N/A</v>
      </c>
      <c r="U221" s="11" t="e">
        <f t="shared" si="3"/>
        <v>#N/A</v>
      </c>
      <c r="V221" s="11"/>
    </row>
    <row r="222" spans="1:22" ht="14.25" customHeight="1" x14ac:dyDescent="0.25">
      <c r="A222" s="11"/>
      <c r="B222" s="11" t="e">
        <f t="shared" si="0"/>
        <v>#N/A</v>
      </c>
      <c r="C222" s="11" t="s">
        <v>148</v>
      </c>
      <c r="D222" s="11"/>
      <c r="E222" s="11"/>
      <c r="F222" s="11"/>
      <c r="G222" s="11" t="s">
        <v>1636</v>
      </c>
      <c r="H222" s="11" t="s">
        <v>160</v>
      </c>
      <c r="I222" s="11" t="s">
        <v>769</v>
      </c>
      <c r="J222" s="85" t="s">
        <v>1542</v>
      </c>
      <c r="K222" s="11"/>
      <c r="L222" s="11"/>
      <c r="M222" s="11">
        <f t="shared" si="1"/>
        <v>16</v>
      </c>
      <c r="N222" s="11" t="e">
        <f>VLOOKUP($G222, 'ADP Data'!$B$4:$Q$300, 6, FALSE)</f>
        <v>#N/A</v>
      </c>
      <c r="O222" s="11" t="e">
        <f>VLOOKUP($G222, 'ADP Data'!$B$4:$Q$300, 10, FALSE)</f>
        <v>#N/A</v>
      </c>
      <c r="P222" s="11" t="e">
        <f>VLOOKUP($G222, 'ADP Data'!$B$4:$Q$300, 4, FALSE)</f>
        <v>#N/A</v>
      </c>
      <c r="Q222" s="11" t="e">
        <f>VLOOKUP($G222, 'ADP Data'!$B$4:$Q$300, 5, FALSE)</f>
        <v>#N/A</v>
      </c>
      <c r="R222" s="11" t="e">
        <f>VLOOKUP($G222, 'ADP Data'!$B$4:$Q$300, 7, FALSE)</f>
        <v>#N/A</v>
      </c>
      <c r="S222" s="11" t="e">
        <f>VLOOKUP($G222, 'ADP Data'!$B$4:$Q$300, 8, FALSE)</f>
        <v>#N/A</v>
      </c>
      <c r="T222" s="11" t="e">
        <f>VLOOKUP($G222, 'ADP Data'!$B$4:$Q$300, 9, FALSE)</f>
        <v>#N/A</v>
      </c>
      <c r="U222" s="11" t="e">
        <f t="shared" si="3"/>
        <v>#N/A</v>
      </c>
      <c r="V222" s="11"/>
    </row>
    <row r="223" spans="1:22" ht="14.25" customHeight="1" x14ac:dyDescent="0.25">
      <c r="A223" s="11"/>
      <c r="B223" s="11" t="e">
        <f t="shared" si="0"/>
        <v>#N/A</v>
      </c>
      <c r="C223" s="11" t="s">
        <v>148</v>
      </c>
      <c r="D223" s="11"/>
      <c r="E223" s="11"/>
      <c r="F223" s="11"/>
      <c r="G223" s="11" t="s">
        <v>1465</v>
      </c>
      <c r="H223" s="11" t="s">
        <v>78</v>
      </c>
      <c r="I223" s="11" t="s">
        <v>762</v>
      </c>
      <c r="J223" s="85" t="s">
        <v>1637</v>
      </c>
      <c r="K223" s="11"/>
      <c r="L223" s="11"/>
      <c r="M223" s="11">
        <f t="shared" si="1"/>
        <v>16</v>
      </c>
      <c r="N223" s="11" t="e">
        <f>VLOOKUP($G223, 'ADP Data'!$B$4:$Q$300, 6, FALSE)</f>
        <v>#N/A</v>
      </c>
      <c r="O223" s="11" t="e">
        <f>VLOOKUP($G223, 'ADP Data'!$B$4:$Q$300, 10, FALSE)</f>
        <v>#N/A</v>
      </c>
      <c r="P223" s="11" t="e">
        <f>VLOOKUP($G223, 'ADP Data'!$B$4:$Q$300, 4, FALSE)</f>
        <v>#N/A</v>
      </c>
      <c r="Q223" s="11" t="e">
        <f>VLOOKUP($G223, 'ADP Data'!$B$4:$Q$300, 5, FALSE)</f>
        <v>#N/A</v>
      </c>
      <c r="R223" s="11" t="e">
        <f>VLOOKUP($G223, 'ADP Data'!$B$4:$Q$300, 7, FALSE)</f>
        <v>#N/A</v>
      </c>
      <c r="S223" s="11" t="e">
        <f>VLOOKUP($G223, 'ADP Data'!$B$4:$Q$300, 8, FALSE)</f>
        <v>#N/A</v>
      </c>
      <c r="T223" s="11" t="e">
        <f>VLOOKUP($G223, 'ADP Data'!$B$4:$Q$300, 9, FALSE)</f>
        <v>#N/A</v>
      </c>
      <c r="U223" s="11" t="e">
        <f t="shared" si="3"/>
        <v>#N/A</v>
      </c>
      <c r="V223" s="11"/>
    </row>
    <row r="224" spans="1:22" ht="14.25" customHeight="1" x14ac:dyDescent="0.25">
      <c r="A224" s="11"/>
      <c r="B224" s="11" t="e">
        <f t="shared" si="0"/>
        <v>#N/A</v>
      </c>
      <c r="C224" s="11" t="s">
        <v>148</v>
      </c>
      <c r="D224" s="11"/>
      <c r="E224" s="11"/>
      <c r="F224" s="11"/>
      <c r="G224" s="11" t="s">
        <v>965</v>
      </c>
      <c r="H224" s="11" t="s">
        <v>39</v>
      </c>
      <c r="I224" s="11" t="s">
        <v>769</v>
      </c>
      <c r="J224" s="85" t="s">
        <v>1532</v>
      </c>
      <c r="K224" s="11"/>
      <c r="L224" s="11"/>
      <c r="M224" s="11">
        <f t="shared" si="1"/>
        <v>16</v>
      </c>
      <c r="N224" s="11" t="e">
        <f>VLOOKUP($G224, 'ADP Data'!$B$4:$Q$300, 6, FALSE)</f>
        <v>#N/A</v>
      </c>
      <c r="O224" s="11" t="e">
        <f>VLOOKUP($G224, 'ADP Data'!$B$4:$Q$300, 10, FALSE)</f>
        <v>#N/A</v>
      </c>
      <c r="P224" s="11" t="e">
        <f>VLOOKUP($G224, 'ADP Data'!$B$4:$Q$300, 4, FALSE)</f>
        <v>#N/A</v>
      </c>
      <c r="Q224" s="11" t="e">
        <f>VLOOKUP($G224, 'ADP Data'!$B$4:$Q$300, 5, FALSE)</f>
        <v>#N/A</v>
      </c>
      <c r="R224" s="11" t="e">
        <f>VLOOKUP($G224, 'ADP Data'!$B$4:$Q$300, 7, FALSE)</f>
        <v>#N/A</v>
      </c>
      <c r="S224" s="11" t="e">
        <f>VLOOKUP($G224, 'ADP Data'!$B$4:$Q$300, 8, FALSE)</f>
        <v>#N/A</v>
      </c>
      <c r="T224" s="11" t="e">
        <f>VLOOKUP($G224, 'ADP Data'!$B$4:$Q$300, 9, FALSE)</f>
        <v>#N/A</v>
      </c>
      <c r="U224" s="11" t="e">
        <f t="shared" si="3"/>
        <v>#N/A</v>
      </c>
      <c r="V224" s="11"/>
    </row>
    <row r="225" spans="1:22" ht="14.25" customHeight="1" x14ac:dyDescent="0.25">
      <c r="A225" s="11"/>
      <c r="B225" s="11" t="e">
        <f t="shared" si="0"/>
        <v>#N/A</v>
      </c>
      <c r="C225" s="11" t="s">
        <v>148</v>
      </c>
      <c r="D225" s="11"/>
      <c r="E225" s="11"/>
      <c r="F225" s="11"/>
      <c r="G225" s="11" t="s">
        <v>836</v>
      </c>
      <c r="H225" s="11" t="s">
        <v>104</v>
      </c>
      <c r="I225" s="11" t="s">
        <v>760</v>
      </c>
      <c r="J225" s="85" t="s">
        <v>1542</v>
      </c>
      <c r="K225" s="11"/>
      <c r="L225" s="11"/>
      <c r="M225" s="11">
        <f t="shared" si="1"/>
        <v>16</v>
      </c>
      <c r="N225" s="11" t="e">
        <f>VLOOKUP($G225, 'ADP Data'!$B$4:$Q$300, 6, FALSE)</f>
        <v>#N/A</v>
      </c>
      <c r="O225" s="11" t="e">
        <f>VLOOKUP($G225, 'ADP Data'!$B$4:$Q$300, 10, FALSE)</f>
        <v>#N/A</v>
      </c>
      <c r="P225" s="11" t="e">
        <f>VLOOKUP($G225, 'ADP Data'!$B$4:$Q$300, 4, FALSE)</f>
        <v>#N/A</v>
      </c>
      <c r="Q225" s="11" t="e">
        <f>VLOOKUP($G225, 'ADP Data'!$B$4:$Q$300, 5, FALSE)</f>
        <v>#N/A</v>
      </c>
      <c r="R225" s="11" t="e">
        <f>VLOOKUP($G225, 'ADP Data'!$B$4:$Q$300, 7, FALSE)</f>
        <v>#N/A</v>
      </c>
      <c r="S225" s="11" t="e">
        <f>VLOOKUP($G225, 'ADP Data'!$B$4:$Q$300, 8, FALSE)</f>
        <v>#N/A</v>
      </c>
      <c r="T225" s="11" t="e">
        <f>VLOOKUP($G225, 'ADP Data'!$B$4:$Q$300, 9, FALSE)</f>
        <v>#N/A</v>
      </c>
      <c r="U225" s="11" t="e">
        <f t="shared" si="3"/>
        <v>#N/A</v>
      </c>
      <c r="V225" s="11"/>
    </row>
    <row r="226" spans="1:22" ht="14.25" customHeight="1" x14ac:dyDescent="0.25">
      <c r="A226" s="11"/>
      <c r="B226" s="11" t="e">
        <f t="shared" si="0"/>
        <v>#N/A</v>
      </c>
      <c r="C226" s="11" t="s">
        <v>148</v>
      </c>
      <c r="D226" s="11"/>
      <c r="E226" s="11"/>
      <c r="F226" s="11"/>
      <c r="G226" s="11" t="s">
        <v>932</v>
      </c>
      <c r="H226" s="11" t="s">
        <v>129</v>
      </c>
      <c r="I226" s="11" t="s">
        <v>760</v>
      </c>
      <c r="J226" s="85" t="s">
        <v>1509</v>
      </c>
      <c r="K226" s="11"/>
      <c r="L226" s="11"/>
      <c r="M226" s="11">
        <f t="shared" si="1"/>
        <v>16</v>
      </c>
      <c r="N226" s="11" t="e">
        <f>VLOOKUP($G226, 'ADP Data'!$B$4:$Q$300, 6, FALSE)</f>
        <v>#N/A</v>
      </c>
      <c r="O226" s="11" t="e">
        <f>VLOOKUP($G226, 'ADP Data'!$B$4:$Q$300, 10, FALSE)</f>
        <v>#N/A</v>
      </c>
      <c r="P226" s="11" t="e">
        <f>VLOOKUP($G226, 'ADP Data'!$B$4:$Q$300, 4, FALSE)</f>
        <v>#N/A</v>
      </c>
      <c r="Q226" s="11" t="e">
        <f>VLOOKUP($G226, 'ADP Data'!$B$4:$Q$300, 5, FALSE)</f>
        <v>#N/A</v>
      </c>
      <c r="R226" s="11" t="e">
        <f>VLOOKUP($G226, 'ADP Data'!$B$4:$Q$300, 7, FALSE)</f>
        <v>#N/A</v>
      </c>
      <c r="S226" s="11" t="e">
        <f>VLOOKUP($G226, 'ADP Data'!$B$4:$Q$300, 8, FALSE)</f>
        <v>#N/A</v>
      </c>
      <c r="T226" s="11" t="e">
        <f>VLOOKUP($G226, 'ADP Data'!$B$4:$Q$300, 9, FALSE)</f>
        <v>#N/A</v>
      </c>
      <c r="U226" s="11" t="e">
        <f t="shared" si="3"/>
        <v>#N/A</v>
      </c>
      <c r="V226" s="11"/>
    </row>
    <row r="227" spans="1:22" ht="14.25" customHeight="1" x14ac:dyDescent="0.25">
      <c r="A227" s="11"/>
      <c r="B227" s="11" t="e">
        <f t="shared" si="0"/>
        <v>#N/A</v>
      </c>
      <c r="C227" s="11" t="s">
        <v>148</v>
      </c>
      <c r="D227" s="11"/>
      <c r="E227" s="11"/>
      <c r="F227" s="11"/>
      <c r="G227" s="11" t="s">
        <v>715</v>
      </c>
      <c r="H227" s="11" t="s">
        <v>66</v>
      </c>
      <c r="I227" s="11" t="s">
        <v>769</v>
      </c>
      <c r="J227" s="85" t="s">
        <v>1531</v>
      </c>
      <c r="K227" s="11"/>
      <c r="L227" s="11"/>
      <c r="M227" s="11">
        <f t="shared" si="1"/>
        <v>16</v>
      </c>
      <c r="N227" s="11" t="e">
        <f>VLOOKUP($G227, 'ADP Data'!$B$4:$Q$300, 6, FALSE)</f>
        <v>#N/A</v>
      </c>
      <c r="O227" s="11" t="e">
        <f>VLOOKUP($G227, 'ADP Data'!$B$4:$Q$300, 10, FALSE)</f>
        <v>#N/A</v>
      </c>
      <c r="P227" s="11" t="e">
        <f>VLOOKUP($G227, 'ADP Data'!$B$4:$Q$300, 4, FALSE)</f>
        <v>#N/A</v>
      </c>
      <c r="Q227" s="11" t="e">
        <f>VLOOKUP($G227, 'ADP Data'!$B$4:$Q$300, 5, FALSE)</f>
        <v>#N/A</v>
      </c>
      <c r="R227" s="11" t="e">
        <f>VLOOKUP($G227, 'ADP Data'!$B$4:$Q$300, 7, FALSE)</f>
        <v>#N/A</v>
      </c>
      <c r="S227" s="11" t="e">
        <f>VLOOKUP($G227, 'ADP Data'!$B$4:$Q$300, 8, FALSE)</f>
        <v>#N/A</v>
      </c>
      <c r="T227" s="11" t="e">
        <f>VLOOKUP($G227, 'ADP Data'!$B$4:$Q$300, 9, FALSE)</f>
        <v>#N/A</v>
      </c>
      <c r="U227" s="11" t="e">
        <f t="shared" si="3"/>
        <v>#N/A</v>
      </c>
      <c r="V227" s="11"/>
    </row>
    <row r="228" spans="1:22" ht="14.25" customHeight="1" x14ac:dyDescent="0.25">
      <c r="A228" s="11"/>
      <c r="B228" s="11" t="e">
        <f t="shared" si="0"/>
        <v>#N/A</v>
      </c>
      <c r="C228" s="11" t="s">
        <v>148</v>
      </c>
      <c r="D228" s="11"/>
      <c r="E228" s="11"/>
      <c r="F228" s="11"/>
      <c r="G228" s="11" t="s">
        <v>1226</v>
      </c>
      <c r="H228" s="11" t="s">
        <v>116</v>
      </c>
      <c r="I228" s="11" t="s">
        <v>762</v>
      </c>
      <c r="J228" s="85" t="s">
        <v>1604</v>
      </c>
      <c r="K228" s="11"/>
      <c r="L228" s="11"/>
      <c r="M228" s="11">
        <f t="shared" si="1"/>
        <v>16</v>
      </c>
      <c r="N228" s="11" t="e">
        <f>VLOOKUP($G228, 'ADP Data'!$B$4:$Q$300, 6, FALSE)</f>
        <v>#N/A</v>
      </c>
      <c r="O228" s="11" t="e">
        <f>VLOOKUP($G228, 'ADP Data'!$B$4:$Q$300, 10, FALSE)</f>
        <v>#N/A</v>
      </c>
      <c r="P228" s="11" t="e">
        <f>VLOOKUP($G228, 'ADP Data'!$B$4:$Q$300, 4, FALSE)</f>
        <v>#N/A</v>
      </c>
      <c r="Q228" s="11" t="e">
        <f>VLOOKUP($G228, 'ADP Data'!$B$4:$Q$300, 5, FALSE)</f>
        <v>#N/A</v>
      </c>
      <c r="R228" s="11" t="e">
        <f>VLOOKUP($G228, 'ADP Data'!$B$4:$Q$300, 7, FALSE)</f>
        <v>#N/A</v>
      </c>
      <c r="S228" s="11" t="e">
        <f>VLOOKUP($G228, 'ADP Data'!$B$4:$Q$300, 8, FALSE)</f>
        <v>#N/A</v>
      </c>
      <c r="T228" s="11" t="e">
        <f>VLOOKUP($G228, 'ADP Data'!$B$4:$Q$300, 9, FALSE)</f>
        <v>#N/A</v>
      </c>
      <c r="U228" s="11" t="e">
        <f t="shared" si="3"/>
        <v>#N/A</v>
      </c>
      <c r="V228" s="11"/>
    </row>
    <row r="229" spans="1:22" ht="14.25" customHeight="1" x14ac:dyDescent="0.25">
      <c r="A229" s="11"/>
      <c r="B229" s="11" t="e">
        <f t="shared" si="0"/>
        <v>#N/A</v>
      </c>
      <c r="C229" s="11" t="s">
        <v>148</v>
      </c>
      <c r="D229" s="11"/>
      <c r="E229" s="11">
        <v>2</v>
      </c>
      <c r="F229" s="11" t="s">
        <v>148</v>
      </c>
      <c r="G229" s="11" t="s">
        <v>1484</v>
      </c>
      <c r="H229" s="11" t="s">
        <v>88</v>
      </c>
      <c r="I229" s="11" t="s">
        <v>762</v>
      </c>
      <c r="J229" s="85" t="s">
        <v>1607</v>
      </c>
      <c r="K229" s="11"/>
      <c r="L229" s="11"/>
      <c r="M229" s="11">
        <f t="shared" si="1"/>
        <v>16</v>
      </c>
      <c r="N229" s="11" t="e">
        <f>VLOOKUP($G229, 'ADP Data'!$B$4:$Q$300, 6, FALSE)</f>
        <v>#N/A</v>
      </c>
      <c r="O229" s="11" t="e">
        <f>VLOOKUP($G229, 'ADP Data'!$B$4:$Q$300, 10, FALSE)</f>
        <v>#N/A</v>
      </c>
      <c r="P229" s="11" t="e">
        <f>VLOOKUP($G229, 'ADP Data'!$B$4:$Q$300, 4, FALSE)</f>
        <v>#N/A</v>
      </c>
      <c r="Q229" s="11" t="e">
        <f>VLOOKUP($G229, 'ADP Data'!$B$4:$Q$300, 5, FALSE)</f>
        <v>#N/A</v>
      </c>
      <c r="R229" s="11" t="e">
        <f>VLOOKUP($G229, 'ADP Data'!$B$4:$Q$300, 7, FALSE)</f>
        <v>#N/A</v>
      </c>
      <c r="S229" s="11" t="e">
        <f>VLOOKUP($G229, 'ADP Data'!$B$4:$Q$300, 8, FALSE)</f>
        <v>#N/A</v>
      </c>
      <c r="T229" s="11" t="e">
        <f>VLOOKUP($G229, 'ADP Data'!$B$4:$Q$300, 9, FALSE)</f>
        <v>#N/A</v>
      </c>
      <c r="U229" s="11" t="e">
        <f t="shared" si="3"/>
        <v>#N/A</v>
      </c>
      <c r="V229" s="11"/>
    </row>
    <row r="230" spans="1:22" ht="14.25" customHeight="1" x14ac:dyDescent="0.25">
      <c r="A230" s="11"/>
      <c r="B230" s="11" t="e">
        <f t="shared" si="0"/>
        <v>#N/A</v>
      </c>
      <c r="C230" s="11" t="s">
        <v>148</v>
      </c>
      <c r="D230" s="11"/>
      <c r="E230" s="11"/>
      <c r="F230" s="11"/>
      <c r="G230" s="11" t="s">
        <v>1200</v>
      </c>
      <c r="H230" s="11" t="s">
        <v>214</v>
      </c>
      <c r="I230" s="11" t="s">
        <v>764</v>
      </c>
      <c r="J230" s="85" t="s">
        <v>1638</v>
      </c>
      <c r="K230" s="11"/>
      <c r="L230" s="11"/>
      <c r="M230" s="11">
        <f t="shared" si="1"/>
        <v>16</v>
      </c>
      <c r="N230" s="11" t="e">
        <f>VLOOKUP($G230, 'ADP Data'!$B$4:$Q$300, 6, FALSE)</f>
        <v>#N/A</v>
      </c>
      <c r="O230" s="11" t="e">
        <f>VLOOKUP($G230, 'ADP Data'!$B$4:$Q$300, 10, FALSE)</f>
        <v>#N/A</v>
      </c>
      <c r="P230" s="11" t="e">
        <f>VLOOKUP($G230, 'ADP Data'!$B$4:$Q$300, 4, FALSE)</f>
        <v>#N/A</v>
      </c>
      <c r="Q230" s="11" t="e">
        <f>VLOOKUP($G230, 'ADP Data'!$B$4:$Q$300, 5, FALSE)</f>
        <v>#N/A</v>
      </c>
      <c r="R230" s="11" t="e">
        <f>VLOOKUP($G230, 'ADP Data'!$B$4:$Q$300, 7, FALSE)</f>
        <v>#N/A</v>
      </c>
      <c r="S230" s="11" t="e">
        <f>VLOOKUP($G230, 'ADP Data'!$B$4:$Q$300, 8, FALSE)</f>
        <v>#N/A</v>
      </c>
      <c r="T230" s="11" t="e">
        <f>VLOOKUP($G230, 'ADP Data'!$B$4:$Q$300, 9, FALSE)</f>
        <v>#N/A</v>
      </c>
      <c r="U230" s="11" t="e">
        <f t="shared" si="3"/>
        <v>#N/A</v>
      </c>
      <c r="V230" s="11"/>
    </row>
    <row r="231" spans="1:22" ht="14.25" customHeight="1" x14ac:dyDescent="0.25">
      <c r="A231" s="11"/>
      <c r="B231" s="11" t="e">
        <f t="shared" si="0"/>
        <v>#N/A</v>
      </c>
      <c r="C231" s="11" t="s">
        <v>148</v>
      </c>
      <c r="D231" s="11"/>
      <c r="E231" s="11"/>
      <c r="F231" s="11"/>
      <c r="G231" s="11" t="s">
        <v>1436</v>
      </c>
      <c r="H231" s="11" t="s">
        <v>94</v>
      </c>
      <c r="I231" s="11" t="s">
        <v>764</v>
      </c>
      <c r="J231" s="85" t="s">
        <v>1639</v>
      </c>
      <c r="K231" s="11"/>
      <c r="L231" s="11"/>
      <c r="M231" s="11">
        <f t="shared" si="1"/>
        <v>16</v>
      </c>
      <c r="N231" s="11" t="e">
        <f>VLOOKUP($G231, 'ADP Data'!$B$4:$Q$300, 6, FALSE)</f>
        <v>#N/A</v>
      </c>
      <c r="O231" s="11" t="e">
        <f>VLOOKUP($G231, 'ADP Data'!$B$4:$Q$300, 10, FALSE)</f>
        <v>#N/A</v>
      </c>
      <c r="P231" s="11" t="e">
        <f>VLOOKUP($G231, 'ADP Data'!$B$4:$Q$300, 4, FALSE)</f>
        <v>#N/A</v>
      </c>
      <c r="Q231" s="11" t="e">
        <f>VLOOKUP($G231, 'ADP Data'!$B$4:$Q$300, 5, FALSE)</f>
        <v>#N/A</v>
      </c>
      <c r="R231" s="11" t="e">
        <f>VLOOKUP($G231, 'ADP Data'!$B$4:$Q$300, 7, FALSE)</f>
        <v>#N/A</v>
      </c>
      <c r="S231" s="11" t="e">
        <f>VLOOKUP($G231, 'ADP Data'!$B$4:$Q$300, 8, FALSE)</f>
        <v>#N/A</v>
      </c>
      <c r="T231" s="11" t="e">
        <f>VLOOKUP($G231, 'ADP Data'!$B$4:$Q$300, 9, FALSE)</f>
        <v>#N/A</v>
      </c>
      <c r="U231" s="11" t="e">
        <f t="shared" si="3"/>
        <v>#N/A</v>
      </c>
      <c r="V231" s="11"/>
    </row>
    <row r="232" spans="1:22" ht="14.25" customHeight="1" x14ac:dyDescent="0.25">
      <c r="A232" s="11"/>
      <c r="B232" s="11" t="e">
        <f t="shared" si="0"/>
        <v>#N/A</v>
      </c>
      <c r="C232" s="11" t="s">
        <v>148</v>
      </c>
      <c r="D232" s="11"/>
      <c r="E232" s="11"/>
      <c r="F232" s="11"/>
      <c r="G232" s="11" t="s">
        <v>547</v>
      </c>
      <c r="H232" s="11" t="s">
        <v>214</v>
      </c>
      <c r="I232" s="11" t="s">
        <v>773</v>
      </c>
      <c r="J232" s="85" t="s">
        <v>1378</v>
      </c>
      <c r="K232" s="11"/>
      <c r="L232" s="11"/>
      <c r="M232" s="11">
        <f t="shared" si="1"/>
        <v>16</v>
      </c>
      <c r="N232" s="11" t="e">
        <f>VLOOKUP($G232, 'ADP Data'!$B$4:$Q$300, 6, FALSE)</f>
        <v>#N/A</v>
      </c>
      <c r="O232" s="11" t="e">
        <f>VLOOKUP($G232, 'ADP Data'!$B$4:$Q$300, 10, FALSE)</f>
        <v>#N/A</v>
      </c>
      <c r="P232" s="11" t="e">
        <f>VLOOKUP($G232, 'ADP Data'!$B$4:$Q$300, 4, FALSE)</f>
        <v>#N/A</v>
      </c>
      <c r="Q232" s="11" t="e">
        <f>VLOOKUP($G232, 'ADP Data'!$B$4:$Q$300, 5, FALSE)</f>
        <v>#N/A</v>
      </c>
      <c r="R232" s="11" t="e">
        <f>VLOOKUP($G232, 'ADP Data'!$B$4:$Q$300, 7, FALSE)</f>
        <v>#N/A</v>
      </c>
      <c r="S232" s="11" t="e">
        <f>VLOOKUP($G232, 'ADP Data'!$B$4:$Q$300, 8, FALSE)</f>
        <v>#N/A</v>
      </c>
      <c r="T232" s="11" t="e">
        <f>VLOOKUP($G232, 'ADP Data'!$B$4:$Q$300, 9, FALSE)</f>
        <v>#N/A</v>
      </c>
      <c r="U232" s="11" t="e">
        <f t="shared" si="3"/>
        <v>#N/A</v>
      </c>
      <c r="V232" s="11"/>
    </row>
    <row r="233" spans="1:22" ht="14.25" customHeight="1" x14ac:dyDescent="0.25">
      <c r="A233" s="11"/>
      <c r="B233" s="11" t="e">
        <f t="shared" si="0"/>
        <v>#N/A</v>
      </c>
      <c r="C233" s="11" t="s">
        <v>148</v>
      </c>
      <c r="D233" s="11"/>
      <c r="E233" s="11"/>
      <c r="F233" s="11"/>
      <c r="G233" s="11" t="s">
        <v>609</v>
      </c>
      <c r="H233" s="11" t="s">
        <v>155</v>
      </c>
      <c r="I233" s="11" t="s">
        <v>773</v>
      </c>
      <c r="J233" s="85" t="s">
        <v>1424</v>
      </c>
      <c r="K233" s="11"/>
      <c r="L233" s="11"/>
      <c r="M233" s="11">
        <f t="shared" si="1"/>
        <v>16</v>
      </c>
      <c r="N233" s="11" t="e">
        <f>VLOOKUP($G233, 'ADP Data'!$B$4:$Q$300, 6, FALSE)</f>
        <v>#N/A</v>
      </c>
      <c r="O233" s="11" t="e">
        <f>VLOOKUP($G233, 'ADP Data'!$B$4:$Q$300, 10, FALSE)</f>
        <v>#N/A</v>
      </c>
      <c r="P233" s="11" t="e">
        <f>VLOOKUP($G233, 'ADP Data'!$B$4:$Q$300, 4, FALSE)</f>
        <v>#N/A</v>
      </c>
      <c r="Q233" s="11" t="e">
        <f>VLOOKUP($G233, 'ADP Data'!$B$4:$Q$300, 5, FALSE)</f>
        <v>#N/A</v>
      </c>
      <c r="R233" s="11" t="e">
        <f>VLOOKUP($G233, 'ADP Data'!$B$4:$Q$300, 7, FALSE)</f>
        <v>#N/A</v>
      </c>
      <c r="S233" s="11" t="e">
        <f>VLOOKUP($G233, 'ADP Data'!$B$4:$Q$300, 8, FALSE)</f>
        <v>#N/A</v>
      </c>
      <c r="T233" s="11" t="e">
        <f>VLOOKUP($G233, 'ADP Data'!$B$4:$Q$300, 9, FALSE)</f>
        <v>#N/A</v>
      </c>
      <c r="U233" s="11" t="e">
        <f t="shared" si="3"/>
        <v>#N/A</v>
      </c>
      <c r="V233" s="11"/>
    </row>
    <row r="234" spans="1:22" ht="14.25" customHeight="1" x14ac:dyDescent="0.25">
      <c r="A234" s="11"/>
      <c r="B234" s="11" t="e">
        <f t="shared" si="0"/>
        <v>#N/A</v>
      </c>
      <c r="C234" s="11" t="s">
        <v>148</v>
      </c>
      <c r="D234" s="11"/>
      <c r="E234" s="11"/>
      <c r="F234" s="11"/>
      <c r="G234" s="11" t="s">
        <v>1640</v>
      </c>
      <c r="H234" s="11" t="s">
        <v>81</v>
      </c>
      <c r="I234" s="11" t="s">
        <v>762</v>
      </c>
      <c r="J234" s="85" t="s">
        <v>1638</v>
      </c>
      <c r="K234" s="11"/>
      <c r="L234" s="11"/>
      <c r="M234" s="11">
        <f t="shared" si="1"/>
        <v>16</v>
      </c>
      <c r="N234" s="11" t="e">
        <f>VLOOKUP($G234, 'ADP Data'!$B$4:$Q$300, 6, FALSE)</f>
        <v>#N/A</v>
      </c>
      <c r="O234" s="11" t="e">
        <f>VLOOKUP($G234, 'ADP Data'!$B$4:$Q$300, 10, FALSE)</f>
        <v>#N/A</v>
      </c>
      <c r="P234" s="11" t="e">
        <f>VLOOKUP($G234, 'ADP Data'!$B$4:$Q$300, 4, FALSE)</f>
        <v>#N/A</v>
      </c>
      <c r="Q234" s="11" t="e">
        <f>VLOOKUP($G234, 'ADP Data'!$B$4:$Q$300, 5, FALSE)</f>
        <v>#N/A</v>
      </c>
      <c r="R234" s="11" t="e">
        <f>VLOOKUP($G234, 'ADP Data'!$B$4:$Q$300, 7, FALSE)</f>
        <v>#N/A</v>
      </c>
      <c r="S234" s="11" t="e">
        <f>VLOOKUP($G234, 'ADP Data'!$B$4:$Q$300, 8, FALSE)</f>
        <v>#N/A</v>
      </c>
      <c r="T234" s="11" t="e">
        <f>VLOOKUP($G234, 'ADP Data'!$B$4:$Q$300, 9, FALSE)</f>
        <v>#N/A</v>
      </c>
      <c r="U234" s="11" t="e">
        <f t="shared" si="3"/>
        <v>#N/A</v>
      </c>
      <c r="V234" s="11"/>
    </row>
    <row r="235" spans="1:22" ht="14.25" customHeight="1" x14ac:dyDescent="0.25">
      <c r="A235" s="11"/>
      <c r="B235" s="11" t="e">
        <f t="shared" si="0"/>
        <v>#N/A</v>
      </c>
      <c r="C235" s="11" t="s">
        <v>148</v>
      </c>
      <c r="D235" s="11"/>
      <c r="E235" s="11"/>
      <c r="F235" s="11"/>
      <c r="G235" s="11" t="s">
        <v>1474</v>
      </c>
      <c r="H235" s="11" t="s">
        <v>168</v>
      </c>
      <c r="I235" s="11" t="s">
        <v>760</v>
      </c>
      <c r="J235" s="85" t="s">
        <v>1546</v>
      </c>
      <c r="K235" s="11"/>
      <c r="L235" s="11"/>
      <c r="M235" s="11">
        <f t="shared" si="1"/>
        <v>16</v>
      </c>
      <c r="N235" s="11" t="e">
        <f>VLOOKUP($G235, 'ADP Data'!$B$4:$Q$300, 6, FALSE)</f>
        <v>#N/A</v>
      </c>
      <c r="O235" s="11" t="e">
        <f>VLOOKUP($G235, 'ADP Data'!$B$4:$Q$300, 10, FALSE)</f>
        <v>#N/A</v>
      </c>
      <c r="P235" s="11" t="e">
        <f>VLOOKUP($G235, 'ADP Data'!$B$4:$Q$300, 4, FALSE)</f>
        <v>#N/A</v>
      </c>
      <c r="Q235" s="11" t="e">
        <f>VLOOKUP($G235, 'ADP Data'!$B$4:$Q$300, 5, FALSE)</f>
        <v>#N/A</v>
      </c>
      <c r="R235" s="11" t="e">
        <f>VLOOKUP($G235, 'ADP Data'!$B$4:$Q$300, 7, FALSE)</f>
        <v>#N/A</v>
      </c>
      <c r="S235" s="11" t="e">
        <f>VLOOKUP($G235, 'ADP Data'!$B$4:$Q$300, 8, FALSE)</f>
        <v>#N/A</v>
      </c>
      <c r="T235" s="11" t="e">
        <f>VLOOKUP($G235, 'ADP Data'!$B$4:$Q$300, 9, FALSE)</f>
        <v>#N/A</v>
      </c>
      <c r="U235" s="11" t="e">
        <f t="shared" si="3"/>
        <v>#N/A</v>
      </c>
      <c r="V235" s="11"/>
    </row>
    <row r="236" spans="1:22" ht="14.25" customHeight="1" x14ac:dyDescent="0.25">
      <c r="A236" s="11"/>
      <c r="B236" s="11" t="e">
        <f t="shared" si="0"/>
        <v>#N/A</v>
      </c>
      <c r="C236" s="11" t="s">
        <v>148</v>
      </c>
      <c r="D236" s="11"/>
      <c r="E236" s="11"/>
      <c r="F236" s="11"/>
      <c r="G236" s="11" t="s">
        <v>566</v>
      </c>
      <c r="H236" s="11" t="s">
        <v>69</v>
      </c>
      <c r="I236" s="11" t="s">
        <v>773</v>
      </c>
      <c r="J236" s="85" t="s">
        <v>1375</v>
      </c>
      <c r="K236" s="11"/>
      <c r="L236" s="11"/>
      <c r="M236" s="11">
        <f t="shared" si="1"/>
        <v>16</v>
      </c>
      <c r="N236" s="11" t="e">
        <f>VLOOKUP($G236, 'ADP Data'!$B$4:$Q$300, 6, FALSE)</f>
        <v>#N/A</v>
      </c>
      <c r="O236" s="11" t="e">
        <f>VLOOKUP($G236, 'ADP Data'!$B$4:$Q$300, 10, FALSE)</f>
        <v>#N/A</v>
      </c>
      <c r="P236" s="11" t="e">
        <f>VLOOKUP($G236, 'ADP Data'!$B$4:$Q$300, 4, FALSE)</f>
        <v>#N/A</v>
      </c>
      <c r="Q236" s="11" t="e">
        <f>VLOOKUP($G236, 'ADP Data'!$B$4:$Q$300, 5, FALSE)</f>
        <v>#N/A</v>
      </c>
      <c r="R236" s="11" t="e">
        <f>VLOOKUP($G236, 'ADP Data'!$B$4:$Q$300, 7, FALSE)</f>
        <v>#N/A</v>
      </c>
      <c r="S236" s="11" t="e">
        <f>VLOOKUP($G236, 'ADP Data'!$B$4:$Q$300, 8, FALSE)</f>
        <v>#N/A</v>
      </c>
      <c r="T236" s="11" t="e">
        <f>VLOOKUP($G236, 'ADP Data'!$B$4:$Q$300, 9, FALSE)</f>
        <v>#N/A</v>
      </c>
      <c r="U236" s="11" t="e">
        <f t="shared" si="3"/>
        <v>#N/A</v>
      </c>
      <c r="V236" s="11"/>
    </row>
    <row r="237" spans="1:22" ht="14.25" customHeight="1" x14ac:dyDescent="0.25">
      <c r="A237" s="11"/>
      <c r="B237" s="11" t="e">
        <f t="shared" si="0"/>
        <v>#N/A</v>
      </c>
      <c r="C237" s="11" t="s">
        <v>148</v>
      </c>
      <c r="D237" s="11"/>
      <c r="E237" s="11"/>
      <c r="F237" s="11"/>
      <c r="G237" s="11" t="s">
        <v>1106</v>
      </c>
      <c r="H237" s="11" t="s">
        <v>123</v>
      </c>
      <c r="I237" s="11" t="s">
        <v>773</v>
      </c>
      <c r="J237" s="85" t="s">
        <v>1393</v>
      </c>
      <c r="K237" s="11"/>
      <c r="L237" s="11"/>
      <c r="M237" s="11">
        <f t="shared" si="1"/>
        <v>16</v>
      </c>
      <c r="N237" s="11" t="e">
        <f>VLOOKUP($G237, 'ADP Data'!$B$4:$Q$300, 6, FALSE)</f>
        <v>#N/A</v>
      </c>
      <c r="O237" s="11" t="e">
        <f>VLOOKUP($G237, 'ADP Data'!$B$4:$Q$300, 10, FALSE)</f>
        <v>#N/A</v>
      </c>
      <c r="P237" s="11" t="e">
        <f>VLOOKUP($G237, 'ADP Data'!$B$4:$Q$300, 4, FALSE)</f>
        <v>#N/A</v>
      </c>
      <c r="Q237" s="11" t="e">
        <f>VLOOKUP($G237, 'ADP Data'!$B$4:$Q$300, 5, FALSE)</f>
        <v>#N/A</v>
      </c>
      <c r="R237" s="11" t="e">
        <f>VLOOKUP($G237, 'ADP Data'!$B$4:$Q$300, 7, FALSE)</f>
        <v>#N/A</v>
      </c>
      <c r="S237" s="11" t="e">
        <f>VLOOKUP($G237, 'ADP Data'!$B$4:$Q$300, 8, FALSE)</f>
        <v>#N/A</v>
      </c>
      <c r="T237" s="11" t="e">
        <f>VLOOKUP($G237, 'ADP Data'!$B$4:$Q$300, 9, FALSE)</f>
        <v>#N/A</v>
      </c>
      <c r="U237" s="11" t="e">
        <f t="shared" si="3"/>
        <v>#N/A</v>
      </c>
      <c r="V237" s="11"/>
    </row>
    <row r="238" spans="1:22" ht="14.25" customHeight="1" x14ac:dyDescent="0.25">
      <c r="A238" s="11"/>
      <c r="B238" s="11" t="e">
        <f t="shared" si="0"/>
        <v>#N/A</v>
      </c>
      <c r="C238" s="11" t="s">
        <v>148</v>
      </c>
      <c r="D238" s="11"/>
      <c r="E238" s="11"/>
      <c r="F238" s="11"/>
      <c r="G238" s="11" t="s">
        <v>1441</v>
      </c>
      <c r="H238" s="11" t="s">
        <v>49</v>
      </c>
      <c r="I238" s="11" t="s">
        <v>764</v>
      </c>
      <c r="J238" s="85">
        <v>84</v>
      </c>
      <c r="K238" s="11"/>
      <c r="L238" s="11"/>
      <c r="M238" s="11">
        <f t="shared" si="1"/>
        <v>16</v>
      </c>
      <c r="N238" s="11" t="e">
        <f>VLOOKUP($G238, 'ADP Data'!$B$4:$Q$300, 6, FALSE)</f>
        <v>#N/A</v>
      </c>
      <c r="O238" s="11" t="e">
        <f>VLOOKUP($G238, 'ADP Data'!$B$4:$Q$300, 10, FALSE)</f>
        <v>#N/A</v>
      </c>
      <c r="P238" s="11" t="e">
        <f>VLOOKUP($G238, 'ADP Data'!$B$4:$Q$300, 4, FALSE)</f>
        <v>#N/A</v>
      </c>
      <c r="Q238" s="11" t="e">
        <f>VLOOKUP($G238, 'ADP Data'!$B$4:$Q$300, 5, FALSE)</f>
        <v>#N/A</v>
      </c>
      <c r="R238" s="11" t="e">
        <f>VLOOKUP($G238, 'ADP Data'!$B$4:$Q$300, 7, FALSE)</f>
        <v>#N/A</v>
      </c>
      <c r="S238" s="11" t="e">
        <f>VLOOKUP($G238, 'ADP Data'!$B$4:$Q$300, 8, FALSE)</f>
        <v>#N/A</v>
      </c>
      <c r="T238" s="11" t="e">
        <f>VLOOKUP($G238, 'ADP Data'!$B$4:$Q$300, 9, FALSE)</f>
        <v>#N/A</v>
      </c>
      <c r="U238" s="11" t="e">
        <f t="shared" si="3"/>
        <v>#N/A</v>
      </c>
      <c r="V238" s="11"/>
    </row>
    <row r="239" spans="1:22" ht="14.25" customHeight="1" x14ac:dyDescent="0.25">
      <c r="A239" s="11"/>
      <c r="B239" s="11" t="e">
        <f t="shared" si="0"/>
        <v>#N/A</v>
      </c>
      <c r="C239" s="11" t="s">
        <v>148</v>
      </c>
      <c r="D239" s="11"/>
      <c r="E239" s="11"/>
      <c r="F239" s="11"/>
      <c r="G239" s="11" t="s">
        <v>476</v>
      </c>
      <c r="H239" s="11" t="s">
        <v>52</v>
      </c>
      <c r="I239" s="11" t="s">
        <v>773</v>
      </c>
      <c r="J239" s="85" t="s">
        <v>1445</v>
      </c>
      <c r="K239" s="11"/>
      <c r="L239" s="11"/>
      <c r="M239" s="11">
        <f t="shared" si="1"/>
        <v>16</v>
      </c>
      <c r="N239" s="11" t="e">
        <f>VLOOKUP($G239, 'ADP Data'!$B$4:$Q$300, 6, FALSE)</f>
        <v>#N/A</v>
      </c>
      <c r="O239" s="11" t="e">
        <f>VLOOKUP($G239, 'ADP Data'!$B$4:$Q$300, 10, FALSE)</f>
        <v>#N/A</v>
      </c>
      <c r="P239" s="11" t="e">
        <f>VLOOKUP($G239, 'ADP Data'!$B$4:$Q$300, 4, FALSE)</f>
        <v>#N/A</v>
      </c>
      <c r="Q239" s="11" t="e">
        <f>VLOOKUP($G239, 'ADP Data'!$B$4:$Q$300, 5, FALSE)</f>
        <v>#N/A</v>
      </c>
      <c r="R239" s="11" t="e">
        <f>VLOOKUP($G239, 'ADP Data'!$B$4:$Q$300, 7, FALSE)</f>
        <v>#N/A</v>
      </c>
      <c r="S239" s="11" t="e">
        <f>VLOOKUP($G239, 'ADP Data'!$B$4:$Q$300, 8, FALSE)</f>
        <v>#N/A</v>
      </c>
      <c r="T239" s="11" t="e">
        <f>VLOOKUP($G239, 'ADP Data'!$B$4:$Q$300, 9, FALSE)</f>
        <v>#N/A</v>
      </c>
      <c r="U239" s="11" t="e">
        <f t="shared" si="3"/>
        <v>#N/A</v>
      </c>
      <c r="V239" s="11"/>
    </row>
    <row r="240" spans="1:22" ht="14.25" customHeight="1" x14ac:dyDescent="0.25">
      <c r="A240" s="11"/>
      <c r="B240" s="11" t="e">
        <f t="shared" si="0"/>
        <v>#N/A</v>
      </c>
      <c r="C240" s="11" t="s">
        <v>148</v>
      </c>
      <c r="D240" s="11"/>
      <c r="E240" s="11"/>
      <c r="F240" s="11"/>
      <c r="G240" s="11" t="s">
        <v>1182</v>
      </c>
      <c r="H240" s="11" t="s">
        <v>187</v>
      </c>
      <c r="I240" s="11" t="s">
        <v>764</v>
      </c>
      <c r="J240" s="85" t="s">
        <v>1641</v>
      </c>
      <c r="K240" s="11"/>
      <c r="L240" s="11"/>
      <c r="M240" s="11">
        <f t="shared" si="1"/>
        <v>16</v>
      </c>
      <c r="N240" s="11" t="e">
        <f>VLOOKUP($G240, 'ADP Data'!$B$4:$Q$300, 6, FALSE)</f>
        <v>#N/A</v>
      </c>
      <c r="O240" s="11" t="e">
        <f>VLOOKUP($G240, 'ADP Data'!$B$4:$Q$300, 10, FALSE)</f>
        <v>#N/A</v>
      </c>
      <c r="P240" s="11" t="e">
        <f>VLOOKUP($G240, 'ADP Data'!$B$4:$Q$300, 4, FALSE)</f>
        <v>#N/A</v>
      </c>
      <c r="Q240" s="11" t="e">
        <f>VLOOKUP($G240, 'ADP Data'!$B$4:$Q$300, 5, FALSE)</f>
        <v>#N/A</v>
      </c>
      <c r="R240" s="11" t="e">
        <f>VLOOKUP($G240, 'ADP Data'!$B$4:$Q$300, 7, FALSE)</f>
        <v>#N/A</v>
      </c>
      <c r="S240" s="11" t="e">
        <f>VLOOKUP($G240, 'ADP Data'!$B$4:$Q$300, 8, FALSE)</f>
        <v>#N/A</v>
      </c>
      <c r="T240" s="11" t="e">
        <f>VLOOKUP($G240, 'ADP Data'!$B$4:$Q$300, 9, FALSE)</f>
        <v>#N/A</v>
      </c>
      <c r="U240" s="11" t="e">
        <f t="shared" si="3"/>
        <v>#N/A</v>
      </c>
      <c r="V240" s="11"/>
    </row>
    <row r="241" spans="1:22" ht="14.25" customHeight="1" x14ac:dyDescent="0.25">
      <c r="A241" s="11"/>
      <c r="B241" s="11" t="e">
        <f t="shared" si="0"/>
        <v>#N/A</v>
      </c>
      <c r="C241" s="11" t="s">
        <v>148</v>
      </c>
      <c r="D241" s="11"/>
      <c r="E241" s="11"/>
      <c r="F241" s="11"/>
      <c r="G241" s="11" t="s">
        <v>1278</v>
      </c>
      <c r="H241" s="11" t="s">
        <v>163</v>
      </c>
      <c r="I241" s="11" t="s">
        <v>769</v>
      </c>
      <c r="J241" s="85" t="s">
        <v>1382</v>
      </c>
      <c r="K241" s="11"/>
      <c r="L241" s="11"/>
      <c r="M241" s="11">
        <f t="shared" si="1"/>
        <v>16</v>
      </c>
      <c r="N241" s="11" t="e">
        <f>VLOOKUP($G241, 'ADP Data'!$B$4:$Q$300, 6, FALSE)</f>
        <v>#N/A</v>
      </c>
      <c r="O241" s="11" t="e">
        <f>VLOOKUP($G241, 'ADP Data'!$B$4:$Q$300, 10, FALSE)</f>
        <v>#N/A</v>
      </c>
      <c r="P241" s="11" t="e">
        <f>VLOOKUP($G241, 'ADP Data'!$B$4:$Q$300, 4, FALSE)</f>
        <v>#N/A</v>
      </c>
      <c r="Q241" s="11" t="e">
        <f>VLOOKUP($G241, 'ADP Data'!$B$4:$Q$300, 5, FALSE)</f>
        <v>#N/A</v>
      </c>
      <c r="R241" s="11" t="e">
        <f>VLOOKUP($G241, 'ADP Data'!$B$4:$Q$300, 7, FALSE)</f>
        <v>#N/A</v>
      </c>
      <c r="S241" s="11" t="e">
        <f>VLOOKUP($G241, 'ADP Data'!$B$4:$Q$300, 8, FALSE)</f>
        <v>#N/A</v>
      </c>
      <c r="T241" s="11" t="e">
        <f>VLOOKUP($G241, 'ADP Data'!$B$4:$Q$300, 9, FALSE)</f>
        <v>#N/A</v>
      </c>
      <c r="U241" s="11" t="e">
        <f t="shared" si="3"/>
        <v>#N/A</v>
      </c>
      <c r="V241" s="11"/>
    </row>
    <row r="242" spans="1:22" ht="14.25" customHeight="1" x14ac:dyDescent="0.25">
      <c r="A242" s="11"/>
      <c r="B242" s="11" t="e">
        <f t="shared" si="0"/>
        <v>#N/A</v>
      </c>
      <c r="C242" s="11" t="s">
        <v>148</v>
      </c>
      <c r="D242" s="11"/>
      <c r="E242" s="11"/>
      <c r="F242" s="11"/>
      <c r="G242" s="11" t="s">
        <v>512</v>
      </c>
      <c r="H242" s="11" t="s">
        <v>72</v>
      </c>
      <c r="I242" s="11" t="s">
        <v>773</v>
      </c>
      <c r="J242" s="85" t="s">
        <v>1503</v>
      </c>
      <c r="K242" s="11"/>
      <c r="L242" s="11"/>
      <c r="M242" s="11">
        <f t="shared" si="1"/>
        <v>16</v>
      </c>
      <c r="N242" s="11" t="e">
        <f>VLOOKUP($G242, 'ADP Data'!$B$4:$Q$300, 6, FALSE)</f>
        <v>#N/A</v>
      </c>
      <c r="O242" s="11" t="e">
        <f>VLOOKUP($G242, 'ADP Data'!$B$4:$Q$300, 10, FALSE)</f>
        <v>#N/A</v>
      </c>
      <c r="P242" s="11" t="e">
        <f>VLOOKUP($G242, 'ADP Data'!$B$4:$Q$300, 4, FALSE)</f>
        <v>#N/A</v>
      </c>
      <c r="Q242" s="11" t="e">
        <f>VLOOKUP($G242, 'ADP Data'!$B$4:$Q$300, 5, FALSE)</f>
        <v>#N/A</v>
      </c>
      <c r="R242" s="11" t="e">
        <f>VLOOKUP($G242, 'ADP Data'!$B$4:$Q$300, 7, FALSE)</f>
        <v>#N/A</v>
      </c>
      <c r="S242" s="11" t="e">
        <f>VLOOKUP($G242, 'ADP Data'!$B$4:$Q$300, 8, FALSE)</f>
        <v>#N/A</v>
      </c>
      <c r="T242" s="11" t="e">
        <f>VLOOKUP($G242, 'ADP Data'!$B$4:$Q$300, 9, FALSE)</f>
        <v>#N/A</v>
      </c>
      <c r="U242" s="11" t="e">
        <f t="shared" si="3"/>
        <v>#N/A</v>
      </c>
      <c r="V242" s="11"/>
    </row>
    <row r="243" spans="1:22" ht="14.25" customHeight="1" x14ac:dyDescent="0.25">
      <c r="A243" s="11"/>
      <c r="B243" s="11" t="e">
        <f t="shared" si="0"/>
        <v>#N/A</v>
      </c>
      <c r="C243" s="11" t="s">
        <v>148</v>
      </c>
      <c r="D243" s="11"/>
      <c r="E243" s="11"/>
      <c r="F243" s="11"/>
      <c r="G243" s="11" t="s">
        <v>487</v>
      </c>
      <c r="H243" s="11" t="s">
        <v>78</v>
      </c>
      <c r="I243" s="11" t="s">
        <v>773</v>
      </c>
      <c r="J243" s="85" t="s">
        <v>1402</v>
      </c>
      <c r="K243" s="11"/>
      <c r="L243" s="11"/>
      <c r="M243" s="11">
        <f t="shared" si="1"/>
        <v>16</v>
      </c>
      <c r="N243" s="11" t="e">
        <f>VLOOKUP($G243, 'ADP Data'!$B$4:$Q$300, 6, FALSE)</f>
        <v>#N/A</v>
      </c>
      <c r="O243" s="11" t="e">
        <f>VLOOKUP($G243, 'ADP Data'!$B$4:$Q$300, 10, FALSE)</f>
        <v>#N/A</v>
      </c>
      <c r="P243" s="11" t="e">
        <f>VLOOKUP($G243, 'ADP Data'!$B$4:$Q$300, 4, FALSE)</f>
        <v>#N/A</v>
      </c>
      <c r="Q243" s="11" t="e">
        <f>VLOOKUP($G243, 'ADP Data'!$B$4:$Q$300, 5, FALSE)</f>
        <v>#N/A</v>
      </c>
      <c r="R243" s="11" t="e">
        <f>VLOOKUP($G243, 'ADP Data'!$B$4:$Q$300, 7, FALSE)</f>
        <v>#N/A</v>
      </c>
      <c r="S243" s="11" t="e">
        <f>VLOOKUP($G243, 'ADP Data'!$B$4:$Q$300, 8, FALSE)</f>
        <v>#N/A</v>
      </c>
      <c r="T243" s="11" t="e">
        <f>VLOOKUP($G243, 'ADP Data'!$B$4:$Q$300, 9, FALSE)</f>
        <v>#N/A</v>
      </c>
      <c r="U243" s="11" t="e">
        <f t="shared" si="3"/>
        <v>#N/A</v>
      </c>
      <c r="V243" s="11"/>
    </row>
    <row r="244" spans="1:22" ht="14.25" customHeight="1" x14ac:dyDescent="0.25">
      <c r="A244" s="11"/>
      <c r="B244" s="11" t="e">
        <f t="shared" si="0"/>
        <v>#N/A</v>
      </c>
      <c r="C244" s="11" t="s">
        <v>148</v>
      </c>
      <c r="D244" s="11"/>
      <c r="E244" s="11"/>
      <c r="F244" s="11"/>
      <c r="G244" s="11" t="s">
        <v>827</v>
      </c>
      <c r="H244" s="11" t="s">
        <v>126</v>
      </c>
      <c r="I244" s="11" t="s">
        <v>764</v>
      </c>
      <c r="J244" s="85" t="s">
        <v>1642</v>
      </c>
      <c r="K244" s="11"/>
      <c r="L244" s="11"/>
      <c r="M244" s="11">
        <f t="shared" si="1"/>
        <v>16</v>
      </c>
      <c r="N244" s="11" t="e">
        <f>VLOOKUP($G244, 'ADP Data'!$B$4:$Q$300, 6, FALSE)</f>
        <v>#N/A</v>
      </c>
      <c r="O244" s="11" t="e">
        <f>VLOOKUP($G244, 'ADP Data'!$B$4:$Q$300, 10, FALSE)</f>
        <v>#N/A</v>
      </c>
      <c r="P244" s="11" t="e">
        <f>VLOOKUP($G244, 'ADP Data'!$B$4:$Q$300, 4, FALSE)</f>
        <v>#N/A</v>
      </c>
      <c r="Q244" s="11" t="e">
        <f>VLOOKUP($G244, 'ADP Data'!$B$4:$Q$300, 5, FALSE)</f>
        <v>#N/A</v>
      </c>
      <c r="R244" s="11" t="e">
        <f>VLOOKUP($G244, 'ADP Data'!$B$4:$Q$300, 7, FALSE)</f>
        <v>#N/A</v>
      </c>
      <c r="S244" s="11" t="e">
        <f>VLOOKUP($G244, 'ADP Data'!$B$4:$Q$300, 8, FALSE)</f>
        <v>#N/A</v>
      </c>
      <c r="T244" s="11" t="e">
        <f>VLOOKUP($G244, 'ADP Data'!$B$4:$Q$300, 9, FALSE)</f>
        <v>#N/A</v>
      </c>
      <c r="U244" s="11" t="e">
        <f t="shared" si="3"/>
        <v>#N/A</v>
      </c>
      <c r="V244" s="11"/>
    </row>
    <row r="245" spans="1:22" ht="14.25" customHeight="1" x14ac:dyDescent="0.25">
      <c r="A245" s="11"/>
      <c r="B245" s="11" t="e">
        <f t="shared" si="0"/>
        <v>#N/A</v>
      </c>
      <c r="C245" s="11" t="s">
        <v>148</v>
      </c>
      <c r="D245" s="11"/>
      <c r="E245" s="11"/>
      <c r="F245" s="11"/>
      <c r="G245" s="11" t="s">
        <v>1281</v>
      </c>
      <c r="H245" s="11" t="s">
        <v>160</v>
      </c>
      <c r="I245" s="11" t="s">
        <v>773</v>
      </c>
      <c r="J245" s="85" t="s">
        <v>1348</v>
      </c>
      <c r="K245" s="11"/>
      <c r="L245" s="11"/>
      <c r="M245" s="11">
        <f t="shared" si="1"/>
        <v>16</v>
      </c>
      <c r="N245" s="11" t="e">
        <f>VLOOKUP($G245, 'ADP Data'!$B$4:$Q$300, 6, FALSE)</f>
        <v>#N/A</v>
      </c>
      <c r="O245" s="11" t="e">
        <f>VLOOKUP($G245, 'ADP Data'!$B$4:$Q$300, 10, FALSE)</f>
        <v>#N/A</v>
      </c>
      <c r="P245" s="11" t="e">
        <f>VLOOKUP($G245, 'ADP Data'!$B$4:$Q$300, 4, FALSE)</f>
        <v>#N/A</v>
      </c>
      <c r="Q245" s="11" t="e">
        <f>VLOOKUP($G245, 'ADP Data'!$B$4:$Q$300, 5, FALSE)</f>
        <v>#N/A</v>
      </c>
      <c r="R245" s="11" t="e">
        <f>VLOOKUP($G245, 'ADP Data'!$B$4:$Q$300, 7, FALSE)</f>
        <v>#N/A</v>
      </c>
      <c r="S245" s="11" t="e">
        <f>VLOOKUP($G245, 'ADP Data'!$B$4:$Q$300, 8, FALSE)</f>
        <v>#N/A</v>
      </c>
      <c r="T245" s="11" t="e">
        <f>VLOOKUP($G245, 'ADP Data'!$B$4:$Q$300, 9, FALSE)</f>
        <v>#N/A</v>
      </c>
      <c r="U245" s="11" t="e">
        <f t="shared" si="3"/>
        <v>#N/A</v>
      </c>
      <c r="V245" s="11"/>
    </row>
    <row r="246" spans="1:22" ht="14.25" customHeight="1" x14ac:dyDescent="0.25">
      <c r="A246" s="11"/>
      <c r="B246" s="11" t="e">
        <f t="shared" si="0"/>
        <v>#N/A</v>
      </c>
      <c r="C246" s="11" t="s">
        <v>148</v>
      </c>
      <c r="D246" s="11"/>
      <c r="E246" s="11"/>
      <c r="F246" s="11"/>
      <c r="G246" s="11" t="s">
        <v>519</v>
      </c>
      <c r="H246" s="11" t="s">
        <v>88</v>
      </c>
      <c r="I246" s="11" t="s">
        <v>773</v>
      </c>
      <c r="J246" s="85" t="s">
        <v>1487</v>
      </c>
      <c r="K246" s="11"/>
      <c r="L246" s="11"/>
      <c r="M246" s="11">
        <f t="shared" si="1"/>
        <v>16</v>
      </c>
      <c r="N246" s="11" t="e">
        <f>VLOOKUP($G246, 'ADP Data'!$B$4:$Q$300, 6, FALSE)</f>
        <v>#N/A</v>
      </c>
      <c r="O246" s="11" t="e">
        <f>VLOOKUP($G246, 'ADP Data'!$B$4:$Q$300, 10, FALSE)</f>
        <v>#N/A</v>
      </c>
      <c r="P246" s="11" t="e">
        <f>VLOOKUP($G246, 'ADP Data'!$B$4:$Q$300, 4, FALSE)</f>
        <v>#N/A</v>
      </c>
      <c r="Q246" s="11" t="e">
        <f>VLOOKUP($G246, 'ADP Data'!$B$4:$Q$300, 5, FALSE)</f>
        <v>#N/A</v>
      </c>
      <c r="R246" s="11" t="e">
        <f>VLOOKUP($G246, 'ADP Data'!$B$4:$Q$300, 7, FALSE)</f>
        <v>#N/A</v>
      </c>
      <c r="S246" s="11" t="e">
        <f>VLOOKUP($G246, 'ADP Data'!$B$4:$Q$300, 8, FALSE)</f>
        <v>#N/A</v>
      </c>
      <c r="T246" s="11" t="e">
        <f>VLOOKUP($G246, 'ADP Data'!$B$4:$Q$300, 9, FALSE)</f>
        <v>#N/A</v>
      </c>
      <c r="U246" s="11" t="e">
        <f t="shared" si="3"/>
        <v>#N/A</v>
      </c>
      <c r="V246" s="11"/>
    </row>
    <row r="247" spans="1:22" ht="14.25" customHeight="1" x14ac:dyDescent="0.25">
      <c r="A247" s="11"/>
      <c r="B247" s="11" t="e">
        <f t="shared" si="0"/>
        <v>#N/A</v>
      </c>
      <c r="C247" s="11" t="s">
        <v>148</v>
      </c>
      <c r="D247" s="11"/>
      <c r="E247" s="11"/>
      <c r="F247" s="11"/>
      <c r="G247" s="11" t="s">
        <v>701</v>
      </c>
      <c r="H247" s="11" t="s">
        <v>126</v>
      </c>
      <c r="I247" s="11" t="s">
        <v>773</v>
      </c>
      <c r="J247" s="85" t="s">
        <v>1411</v>
      </c>
      <c r="K247" s="11"/>
      <c r="L247" s="11"/>
      <c r="M247" s="11">
        <f t="shared" si="1"/>
        <v>16</v>
      </c>
      <c r="N247" s="11" t="e">
        <f>VLOOKUP($G247, 'ADP Data'!$B$4:$Q$300, 6, FALSE)</f>
        <v>#N/A</v>
      </c>
      <c r="O247" s="11" t="e">
        <f>VLOOKUP($G247, 'ADP Data'!$B$4:$Q$300, 10, FALSE)</f>
        <v>#N/A</v>
      </c>
      <c r="P247" s="11" t="e">
        <f>VLOOKUP($G247, 'ADP Data'!$B$4:$Q$300, 4, FALSE)</f>
        <v>#N/A</v>
      </c>
      <c r="Q247" s="11" t="e">
        <f>VLOOKUP($G247, 'ADP Data'!$B$4:$Q$300, 5, FALSE)</f>
        <v>#N/A</v>
      </c>
      <c r="R247" s="11" t="e">
        <f>VLOOKUP($G247, 'ADP Data'!$B$4:$Q$300, 7, FALSE)</f>
        <v>#N/A</v>
      </c>
      <c r="S247" s="11" t="e">
        <f>VLOOKUP($G247, 'ADP Data'!$B$4:$Q$300, 8, FALSE)</f>
        <v>#N/A</v>
      </c>
      <c r="T247" s="11" t="e">
        <f>VLOOKUP($G247, 'ADP Data'!$B$4:$Q$300, 9, FALSE)</f>
        <v>#N/A</v>
      </c>
      <c r="U247" s="11" t="e">
        <f t="shared" si="3"/>
        <v>#N/A</v>
      </c>
      <c r="V247" s="11"/>
    </row>
    <row r="248" spans="1:22" ht="14.25" customHeight="1" x14ac:dyDescent="0.25">
      <c r="A248" s="11"/>
      <c r="B248" s="11" t="e">
        <f t="shared" si="0"/>
        <v>#N/A</v>
      </c>
      <c r="C248" s="11" t="s">
        <v>148</v>
      </c>
      <c r="D248" s="11"/>
      <c r="E248" s="11"/>
      <c r="F248" s="11"/>
      <c r="G248" s="11" t="s">
        <v>1247</v>
      </c>
      <c r="H248" s="11" t="s">
        <v>229</v>
      </c>
      <c r="I248" s="11" t="s">
        <v>773</v>
      </c>
      <c r="J248" s="85" t="s">
        <v>1430</v>
      </c>
      <c r="K248" s="11"/>
      <c r="L248" s="11"/>
      <c r="M248" s="11">
        <f t="shared" si="1"/>
        <v>16</v>
      </c>
      <c r="N248" s="11" t="e">
        <f>VLOOKUP($G248, 'ADP Data'!$B$4:$Q$300, 6, FALSE)</f>
        <v>#N/A</v>
      </c>
      <c r="O248" s="11" t="e">
        <f>VLOOKUP($G248, 'ADP Data'!$B$4:$Q$300, 10, FALSE)</f>
        <v>#N/A</v>
      </c>
      <c r="P248" s="11" t="e">
        <f>VLOOKUP($G248, 'ADP Data'!$B$4:$Q$300, 4, FALSE)</f>
        <v>#N/A</v>
      </c>
      <c r="Q248" s="11" t="e">
        <f>VLOOKUP($G248, 'ADP Data'!$B$4:$Q$300, 5, FALSE)</f>
        <v>#N/A</v>
      </c>
      <c r="R248" s="11" t="e">
        <f>VLOOKUP($G248, 'ADP Data'!$B$4:$Q$300, 7, FALSE)</f>
        <v>#N/A</v>
      </c>
      <c r="S248" s="11" t="e">
        <f>VLOOKUP($G248, 'ADP Data'!$B$4:$Q$300, 8, FALSE)</f>
        <v>#N/A</v>
      </c>
      <c r="T248" s="11" t="e">
        <f>VLOOKUP($G248, 'ADP Data'!$B$4:$Q$300, 9, FALSE)</f>
        <v>#N/A</v>
      </c>
      <c r="U248" s="11" t="e">
        <f t="shared" si="3"/>
        <v>#N/A</v>
      </c>
      <c r="V248" s="11"/>
    </row>
    <row r="249" spans="1:22" ht="14.25" customHeight="1" x14ac:dyDescent="0.25">
      <c r="A249" s="11"/>
      <c r="B249" s="11" t="e">
        <f t="shared" si="0"/>
        <v>#N/A</v>
      </c>
      <c r="C249" s="11" t="s">
        <v>148</v>
      </c>
      <c r="D249" s="11"/>
      <c r="E249" s="11"/>
      <c r="F249" s="11"/>
      <c r="G249" s="11" t="s">
        <v>606</v>
      </c>
      <c r="H249" s="11" t="s">
        <v>44</v>
      </c>
      <c r="I249" s="11" t="s">
        <v>762</v>
      </c>
      <c r="J249" s="85" t="s">
        <v>1622</v>
      </c>
      <c r="K249" s="11"/>
      <c r="L249" s="11"/>
      <c r="M249" s="11">
        <f t="shared" si="1"/>
        <v>16</v>
      </c>
      <c r="N249" s="11" t="e">
        <f>VLOOKUP($G249, 'ADP Data'!$B$4:$Q$300, 6, FALSE)</f>
        <v>#N/A</v>
      </c>
      <c r="O249" s="11" t="e">
        <f>VLOOKUP($G249, 'ADP Data'!$B$4:$Q$300, 10, FALSE)</f>
        <v>#N/A</v>
      </c>
      <c r="P249" s="11" t="e">
        <f>VLOOKUP($G249, 'ADP Data'!$B$4:$Q$300, 4, FALSE)</f>
        <v>#N/A</v>
      </c>
      <c r="Q249" s="11" t="e">
        <f>VLOOKUP($G249, 'ADP Data'!$B$4:$Q$300, 5, FALSE)</f>
        <v>#N/A</v>
      </c>
      <c r="R249" s="11" t="e">
        <f>VLOOKUP($G249, 'ADP Data'!$B$4:$Q$300, 7, FALSE)</f>
        <v>#N/A</v>
      </c>
      <c r="S249" s="11" t="e">
        <f>VLOOKUP($G249, 'ADP Data'!$B$4:$Q$300, 8, FALSE)</f>
        <v>#N/A</v>
      </c>
      <c r="T249" s="11" t="e">
        <f>VLOOKUP($G249, 'ADP Data'!$B$4:$Q$300, 9, FALSE)</f>
        <v>#N/A</v>
      </c>
      <c r="U249" s="11" t="e">
        <f t="shared" si="3"/>
        <v>#N/A</v>
      </c>
      <c r="V249" s="11"/>
    </row>
    <row r="250" spans="1:22" ht="14.25" customHeight="1" x14ac:dyDescent="0.25">
      <c r="A250" s="11"/>
      <c r="B250" s="11" t="e">
        <f t="shared" si="0"/>
        <v>#N/A</v>
      </c>
      <c r="C250" s="11" t="s">
        <v>148</v>
      </c>
      <c r="D250" s="11"/>
      <c r="E250" s="11"/>
      <c r="F250" s="11"/>
      <c r="G250" s="11" t="s">
        <v>944</v>
      </c>
      <c r="H250" s="11" t="s">
        <v>85</v>
      </c>
      <c r="I250" s="11" t="s">
        <v>764</v>
      </c>
      <c r="J250" s="85" t="s">
        <v>1643</v>
      </c>
      <c r="K250" s="11"/>
      <c r="L250" s="11"/>
      <c r="M250" s="11">
        <f t="shared" si="1"/>
        <v>16</v>
      </c>
      <c r="N250" s="11" t="e">
        <f>VLOOKUP($G250, 'ADP Data'!$B$4:$Q$300, 6, FALSE)</f>
        <v>#N/A</v>
      </c>
      <c r="O250" s="11" t="e">
        <f>VLOOKUP($G250, 'ADP Data'!$B$4:$Q$300, 10, FALSE)</f>
        <v>#N/A</v>
      </c>
      <c r="P250" s="11" t="e">
        <f>VLOOKUP($G250, 'ADP Data'!$B$4:$Q$300, 4, FALSE)</f>
        <v>#N/A</v>
      </c>
      <c r="Q250" s="11" t="e">
        <f>VLOOKUP($G250, 'ADP Data'!$B$4:$Q$300, 5, FALSE)</f>
        <v>#N/A</v>
      </c>
      <c r="R250" s="11" t="e">
        <f>VLOOKUP($G250, 'ADP Data'!$B$4:$Q$300, 7, FALSE)</f>
        <v>#N/A</v>
      </c>
      <c r="S250" s="11" t="e">
        <f>VLOOKUP($G250, 'ADP Data'!$B$4:$Q$300, 8, FALSE)</f>
        <v>#N/A</v>
      </c>
      <c r="T250" s="11" t="e">
        <f>VLOOKUP($G250, 'ADP Data'!$B$4:$Q$300, 9, FALSE)</f>
        <v>#N/A</v>
      </c>
      <c r="U250" s="11" t="e">
        <f t="shared" si="3"/>
        <v>#N/A</v>
      </c>
      <c r="V250" s="11"/>
    </row>
    <row r="251" spans="1:22" ht="14.25" customHeight="1" x14ac:dyDescent="0.25">
      <c r="A251" s="11"/>
      <c r="B251" s="11" t="e">
        <f t="shared" si="0"/>
        <v>#N/A</v>
      </c>
      <c r="C251" s="11" t="s">
        <v>148</v>
      </c>
      <c r="D251" s="11"/>
      <c r="E251" s="11"/>
      <c r="F251" s="11"/>
      <c r="G251" s="11" t="s">
        <v>1259</v>
      </c>
      <c r="H251" s="11" t="s">
        <v>55</v>
      </c>
      <c r="I251" s="11" t="s">
        <v>760</v>
      </c>
      <c r="J251" s="85" t="s">
        <v>1531</v>
      </c>
      <c r="K251" s="11"/>
      <c r="L251" s="11"/>
      <c r="M251" s="11">
        <f t="shared" si="1"/>
        <v>16</v>
      </c>
      <c r="N251" s="11" t="e">
        <f>VLOOKUP($G251, 'ADP Data'!$B$4:$Q$300, 6, FALSE)</f>
        <v>#N/A</v>
      </c>
      <c r="O251" s="11" t="e">
        <f>VLOOKUP($G251, 'ADP Data'!$B$4:$Q$300, 10, FALSE)</f>
        <v>#N/A</v>
      </c>
      <c r="P251" s="11" t="e">
        <f>VLOOKUP($G251, 'ADP Data'!$B$4:$Q$300, 4, FALSE)</f>
        <v>#N/A</v>
      </c>
      <c r="Q251" s="11" t="e">
        <f>VLOOKUP($G251, 'ADP Data'!$B$4:$Q$300, 5, FALSE)</f>
        <v>#N/A</v>
      </c>
      <c r="R251" s="11" t="e">
        <f>VLOOKUP($G251, 'ADP Data'!$B$4:$Q$300, 7, FALSE)</f>
        <v>#N/A</v>
      </c>
      <c r="S251" s="11" t="e">
        <f>VLOOKUP($G251, 'ADP Data'!$B$4:$Q$300, 8, FALSE)</f>
        <v>#N/A</v>
      </c>
      <c r="T251" s="11" t="e">
        <f>VLOOKUP($G251, 'ADP Data'!$B$4:$Q$300, 9, FALSE)</f>
        <v>#N/A</v>
      </c>
      <c r="U251" s="11" t="e">
        <f t="shared" si="3"/>
        <v>#N/A</v>
      </c>
      <c r="V251" s="11"/>
    </row>
    <row r="252" spans="1:22" ht="14.25" customHeight="1" x14ac:dyDescent="0.25">
      <c r="A252" s="11"/>
      <c r="B252" s="11" t="e">
        <f t="shared" si="0"/>
        <v>#N/A</v>
      </c>
      <c r="C252" s="11" t="s">
        <v>148</v>
      </c>
      <c r="D252" s="11"/>
      <c r="E252" s="11"/>
      <c r="F252" s="11"/>
      <c r="G252" s="11" t="s">
        <v>1407</v>
      </c>
      <c r="H252" s="11" t="s">
        <v>36</v>
      </c>
      <c r="I252" s="11" t="s">
        <v>762</v>
      </c>
      <c r="J252" s="85" t="s">
        <v>1588</v>
      </c>
      <c r="K252" s="11"/>
      <c r="L252" s="11"/>
      <c r="M252" s="11">
        <f t="shared" si="1"/>
        <v>16</v>
      </c>
      <c r="N252" s="11" t="e">
        <f>VLOOKUP($G252, 'ADP Data'!$B$4:$Q$300, 6, FALSE)</f>
        <v>#N/A</v>
      </c>
      <c r="O252" s="11" t="e">
        <f>VLOOKUP($G252, 'ADP Data'!$B$4:$Q$300, 10, FALSE)</f>
        <v>#N/A</v>
      </c>
      <c r="P252" s="11" t="e">
        <f>VLOOKUP($G252, 'ADP Data'!$B$4:$Q$300, 4, FALSE)</f>
        <v>#N/A</v>
      </c>
      <c r="Q252" s="11" t="e">
        <f>VLOOKUP($G252, 'ADP Data'!$B$4:$Q$300, 5, FALSE)</f>
        <v>#N/A</v>
      </c>
      <c r="R252" s="11" t="e">
        <f>VLOOKUP($G252, 'ADP Data'!$B$4:$Q$300, 7, FALSE)</f>
        <v>#N/A</v>
      </c>
      <c r="S252" s="11" t="e">
        <f>VLOOKUP($G252, 'ADP Data'!$B$4:$Q$300, 8, FALSE)</f>
        <v>#N/A</v>
      </c>
      <c r="T252" s="11" t="e">
        <f>VLOOKUP($G252, 'ADP Data'!$B$4:$Q$300, 9, FALSE)</f>
        <v>#N/A</v>
      </c>
      <c r="U252" s="11" t="e">
        <f t="shared" si="3"/>
        <v>#N/A</v>
      </c>
      <c r="V252" s="11"/>
    </row>
    <row r="253" spans="1:22" ht="14.25" customHeight="1" x14ac:dyDescent="0.25">
      <c r="A253" s="11"/>
      <c r="B253" s="11" t="e">
        <f t="shared" si="0"/>
        <v>#N/A</v>
      </c>
      <c r="C253" s="11" t="s">
        <v>148</v>
      </c>
      <c r="D253" s="11"/>
      <c r="E253" s="11"/>
      <c r="F253" s="11"/>
      <c r="G253" s="11" t="s">
        <v>1644</v>
      </c>
      <c r="H253" s="11" t="s">
        <v>55</v>
      </c>
      <c r="I253" s="11" t="s">
        <v>762</v>
      </c>
      <c r="J253" s="85" t="s">
        <v>1639</v>
      </c>
      <c r="K253" s="11"/>
      <c r="L253" s="11"/>
      <c r="M253" s="11">
        <f t="shared" si="1"/>
        <v>16</v>
      </c>
      <c r="N253" s="11" t="e">
        <f>VLOOKUP($G253, 'ADP Data'!$B$4:$Q$300, 6, FALSE)</f>
        <v>#N/A</v>
      </c>
      <c r="O253" s="11" t="e">
        <f>VLOOKUP($G253, 'ADP Data'!$B$4:$Q$300, 10, FALSE)</f>
        <v>#N/A</v>
      </c>
      <c r="P253" s="11" t="e">
        <f>VLOOKUP($G253, 'ADP Data'!$B$4:$Q$300, 4, FALSE)</f>
        <v>#N/A</v>
      </c>
      <c r="Q253" s="11" t="e">
        <f>VLOOKUP($G253, 'ADP Data'!$B$4:$Q$300, 5, FALSE)</f>
        <v>#N/A</v>
      </c>
      <c r="R253" s="11" t="e">
        <f>VLOOKUP($G253, 'ADP Data'!$B$4:$Q$300, 7, FALSE)</f>
        <v>#N/A</v>
      </c>
      <c r="S253" s="11" t="e">
        <f>VLOOKUP($G253, 'ADP Data'!$B$4:$Q$300, 8, FALSE)</f>
        <v>#N/A</v>
      </c>
      <c r="T253" s="11" t="e">
        <f>VLOOKUP($G253, 'ADP Data'!$B$4:$Q$300, 9, FALSE)</f>
        <v>#N/A</v>
      </c>
      <c r="U253" s="11" t="e">
        <f t="shared" si="3"/>
        <v>#N/A</v>
      </c>
      <c r="V253" s="11"/>
    </row>
    <row r="254" spans="1:22" ht="14.25" customHeight="1" x14ac:dyDescent="0.25">
      <c r="A254" s="11"/>
      <c r="B254" s="11" t="e">
        <f t="shared" si="0"/>
        <v>#N/A</v>
      </c>
      <c r="C254" s="11" t="s">
        <v>148</v>
      </c>
      <c r="D254" s="11"/>
      <c r="E254" s="11"/>
      <c r="F254" s="11"/>
      <c r="G254" s="11" t="s">
        <v>1264</v>
      </c>
      <c r="H254" s="11" t="s">
        <v>60</v>
      </c>
      <c r="I254" s="11" t="s">
        <v>769</v>
      </c>
      <c r="J254" s="85" t="s">
        <v>1546</v>
      </c>
      <c r="K254" s="11"/>
      <c r="L254" s="11"/>
      <c r="M254" s="11">
        <f t="shared" si="1"/>
        <v>16</v>
      </c>
      <c r="N254" s="11" t="e">
        <f>VLOOKUP($G254, 'ADP Data'!$B$4:$Q$300, 6, FALSE)</f>
        <v>#N/A</v>
      </c>
      <c r="O254" s="11" t="e">
        <f>VLOOKUP($G254, 'ADP Data'!$B$4:$Q$300, 10, FALSE)</f>
        <v>#N/A</v>
      </c>
      <c r="P254" s="11" t="e">
        <f>VLOOKUP($G254, 'ADP Data'!$B$4:$Q$300, 4, FALSE)</f>
        <v>#N/A</v>
      </c>
      <c r="Q254" s="11" t="e">
        <f>VLOOKUP($G254, 'ADP Data'!$B$4:$Q$300, 5, FALSE)</f>
        <v>#N/A</v>
      </c>
      <c r="R254" s="11" t="e">
        <f>VLOOKUP($G254, 'ADP Data'!$B$4:$Q$300, 7, FALSE)</f>
        <v>#N/A</v>
      </c>
      <c r="S254" s="11" t="e">
        <f>VLOOKUP($G254, 'ADP Data'!$B$4:$Q$300, 8, FALSE)</f>
        <v>#N/A</v>
      </c>
      <c r="T254" s="11" t="e">
        <f>VLOOKUP($G254, 'ADP Data'!$B$4:$Q$300, 9, FALSE)</f>
        <v>#N/A</v>
      </c>
      <c r="U254" s="11" t="e">
        <f t="shared" si="3"/>
        <v>#N/A</v>
      </c>
      <c r="V254" s="11"/>
    </row>
    <row r="255" spans="1:22" ht="14.25" customHeight="1" x14ac:dyDescent="0.25">
      <c r="A255" s="11"/>
      <c r="B255" s="11" t="e">
        <f t="shared" si="0"/>
        <v>#N/A</v>
      </c>
      <c r="C255" s="11" t="s">
        <v>148</v>
      </c>
      <c r="D255" s="11"/>
      <c r="E255" s="11"/>
      <c r="F255" s="11"/>
      <c r="G255" s="11" t="s">
        <v>1123</v>
      </c>
      <c r="H255" s="11" t="s">
        <v>94</v>
      </c>
      <c r="I255" s="11" t="s">
        <v>764</v>
      </c>
      <c r="J255" s="85" t="s">
        <v>1645</v>
      </c>
      <c r="K255" s="11"/>
      <c r="L255" s="11"/>
      <c r="M255" s="11">
        <f t="shared" si="1"/>
        <v>16</v>
      </c>
      <c r="N255" s="11" t="e">
        <f>VLOOKUP($G255, 'ADP Data'!$B$4:$Q$300, 6, FALSE)</f>
        <v>#N/A</v>
      </c>
      <c r="O255" s="11" t="e">
        <f>VLOOKUP($G255, 'ADP Data'!$B$4:$Q$300, 10, FALSE)</f>
        <v>#N/A</v>
      </c>
      <c r="P255" s="11" t="e">
        <f>VLOOKUP($G255, 'ADP Data'!$B$4:$Q$300, 4, FALSE)</f>
        <v>#N/A</v>
      </c>
      <c r="Q255" s="11" t="e">
        <f>VLOOKUP($G255, 'ADP Data'!$B$4:$Q$300, 5, FALSE)</f>
        <v>#N/A</v>
      </c>
      <c r="R255" s="11" t="e">
        <f>VLOOKUP($G255, 'ADP Data'!$B$4:$Q$300, 7, FALSE)</f>
        <v>#N/A</v>
      </c>
      <c r="S255" s="11" t="e">
        <f>VLOOKUP($G255, 'ADP Data'!$B$4:$Q$300, 8, FALSE)</f>
        <v>#N/A</v>
      </c>
      <c r="T255" s="11" t="e">
        <f>VLOOKUP($G255, 'ADP Data'!$B$4:$Q$300, 9, FALSE)</f>
        <v>#N/A</v>
      </c>
      <c r="U255" s="11" t="e">
        <f t="shared" si="3"/>
        <v>#N/A</v>
      </c>
      <c r="V255" s="11"/>
    </row>
    <row r="256" spans="1:22" ht="14.25" customHeight="1" x14ac:dyDescent="0.25">
      <c r="A256" s="11"/>
      <c r="B256" s="11" t="e">
        <f t="shared" si="0"/>
        <v>#N/A</v>
      </c>
      <c r="C256" s="11" t="s">
        <v>148</v>
      </c>
      <c r="D256" s="11"/>
      <c r="E256" s="11"/>
      <c r="F256" s="11"/>
      <c r="G256" s="11" t="s">
        <v>989</v>
      </c>
      <c r="H256" s="11" t="s">
        <v>126</v>
      </c>
      <c r="I256" s="11" t="s">
        <v>764</v>
      </c>
      <c r="J256" s="85" t="s">
        <v>1629</v>
      </c>
      <c r="K256" s="11"/>
      <c r="L256" s="11"/>
      <c r="M256" s="11">
        <f t="shared" si="1"/>
        <v>16</v>
      </c>
      <c r="N256" s="11" t="e">
        <f>VLOOKUP($G256, 'ADP Data'!$B$4:$Q$300, 6, FALSE)</f>
        <v>#N/A</v>
      </c>
      <c r="O256" s="11" t="e">
        <f>VLOOKUP($G256, 'ADP Data'!$B$4:$Q$300, 10, FALSE)</f>
        <v>#N/A</v>
      </c>
      <c r="P256" s="11" t="e">
        <f>VLOOKUP($G256, 'ADP Data'!$B$4:$Q$300, 4, FALSE)</f>
        <v>#N/A</v>
      </c>
      <c r="Q256" s="11" t="e">
        <f>VLOOKUP($G256, 'ADP Data'!$B$4:$Q$300, 5, FALSE)</f>
        <v>#N/A</v>
      </c>
      <c r="R256" s="11" t="e">
        <f>VLOOKUP($G256, 'ADP Data'!$B$4:$Q$300, 7, FALSE)</f>
        <v>#N/A</v>
      </c>
      <c r="S256" s="11" t="e">
        <f>VLOOKUP($G256, 'ADP Data'!$B$4:$Q$300, 8, FALSE)</f>
        <v>#N/A</v>
      </c>
      <c r="T256" s="11" t="e">
        <f>VLOOKUP($G256, 'ADP Data'!$B$4:$Q$300, 9, FALSE)</f>
        <v>#N/A</v>
      </c>
      <c r="U256" s="11" t="e">
        <f t="shared" si="3"/>
        <v>#N/A</v>
      </c>
      <c r="V256" s="11" t="s">
        <v>1646</v>
      </c>
    </row>
    <row r="257" spans="1:22" ht="14.25" customHeight="1" x14ac:dyDescent="0.25">
      <c r="A257" s="11"/>
      <c r="B257" s="11" t="e">
        <f t="shared" si="0"/>
        <v>#N/A</v>
      </c>
      <c r="C257" s="11" t="s">
        <v>148</v>
      </c>
      <c r="D257" s="11"/>
      <c r="E257" s="11"/>
      <c r="F257" s="11"/>
      <c r="G257" s="11" t="s">
        <v>405</v>
      </c>
      <c r="H257" s="11" t="s">
        <v>69</v>
      </c>
      <c r="I257" s="11" t="s">
        <v>769</v>
      </c>
      <c r="J257" s="85" t="s">
        <v>1539</v>
      </c>
      <c r="K257" s="11"/>
      <c r="L257" s="11"/>
      <c r="M257" s="11">
        <f t="shared" si="1"/>
        <v>16</v>
      </c>
      <c r="N257" s="11" t="e">
        <f>VLOOKUP($G257, 'ADP Data'!$B$4:$Q$300, 6, FALSE)</f>
        <v>#N/A</v>
      </c>
      <c r="O257" s="11" t="e">
        <f>VLOOKUP($G257, 'ADP Data'!$B$4:$Q$300, 10, FALSE)</f>
        <v>#N/A</v>
      </c>
      <c r="P257" s="11" t="e">
        <f>VLOOKUP($G257, 'ADP Data'!$B$4:$Q$300, 4, FALSE)</f>
        <v>#N/A</v>
      </c>
      <c r="Q257" s="11" t="e">
        <f>VLOOKUP($G257, 'ADP Data'!$B$4:$Q$300, 5, FALSE)</f>
        <v>#N/A</v>
      </c>
      <c r="R257" s="11" t="e">
        <f>VLOOKUP($G257, 'ADP Data'!$B$4:$Q$300, 7, FALSE)</f>
        <v>#N/A</v>
      </c>
      <c r="S257" s="11" t="e">
        <f>VLOOKUP($G257, 'ADP Data'!$B$4:$Q$300, 8, FALSE)</f>
        <v>#N/A</v>
      </c>
      <c r="T257" s="11" t="e">
        <f>VLOOKUP($G257, 'ADP Data'!$B$4:$Q$300, 9, FALSE)</f>
        <v>#N/A</v>
      </c>
      <c r="U257" s="11" t="e">
        <f t="shared" si="3"/>
        <v>#N/A</v>
      </c>
      <c r="V257" s="11"/>
    </row>
    <row r="258" spans="1:22" ht="14.25" customHeight="1" x14ac:dyDescent="0.25">
      <c r="A258" s="11"/>
      <c r="B258" s="11" t="e">
        <f t="shared" si="0"/>
        <v>#N/A</v>
      </c>
      <c r="C258" s="11" t="s">
        <v>148</v>
      </c>
      <c r="D258" s="11"/>
      <c r="E258" s="11"/>
      <c r="F258" s="11"/>
      <c r="G258" s="11" t="s">
        <v>1499</v>
      </c>
      <c r="H258" s="11" t="s">
        <v>155</v>
      </c>
      <c r="I258" s="11" t="s">
        <v>769</v>
      </c>
      <c r="J258" s="85" t="s">
        <v>1515</v>
      </c>
      <c r="K258" s="11"/>
      <c r="L258" s="11"/>
      <c r="M258" s="11">
        <f t="shared" si="1"/>
        <v>16</v>
      </c>
      <c r="N258" s="11" t="e">
        <f>VLOOKUP($G258, 'ADP Data'!$B$4:$Q$300, 6, FALSE)</f>
        <v>#N/A</v>
      </c>
      <c r="O258" s="11" t="e">
        <f>VLOOKUP($G258, 'ADP Data'!$B$4:$Q$300, 10, FALSE)</f>
        <v>#N/A</v>
      </c>
      <c r="P258" s="11" t="e">
        <f>VLOOKUP($G258, 'ADP Data'!$B$4:$Q$300, 4, FALSE)</f>
        <v>#N/A</v>
      </c>
      <c r="Q258" s="11" t="e">
        <f>VLOOKUP($G258, 'ADP Data'!$B$4:$Q$300, 5, FALSE)</f>
        <v>#N/A</v>
      </c>
      <c r="R258" s="11" t="e">
        <f>VLOOKUP($G258, 'ADP Data'!$B$4:$Q$300, 7, FALSE)</f>
        <v>#N/A</v>
      </c>
      <c r="S258" s="11" t="e">
        <f>VLOOKUP($G258, 'ADP Data'!$B$4:$Q$300, 8, FALSE)</f>
        <v>#N/A</v>
      </c>
      <c r="T258" s="11" t="e">
        <f>VLOOKUP($G258, 'ADP Data'!$B$4:$Q$300, 9, FALSE)</f>
        <v>#N/A</v>
      </c>
      <c r="U258" s="11" t="e">
        <f t="shared" si="3"/>
        <v>#N/A</v>
      </c>
      <c r="V258" s="11"/>
    </row>
    <row r="259" spans="1:22" ht="14.25" customHeight="1" x14ac:dyDescent="0.25">
      <c r="A259" s="11"/>
      <c r="B259" s="11" t="e">
        <f t="shared" si="0"/>
        <v>#N/A</v>
      </c>
      <c r="C259" s="11" t="s">
        <v>148</v>
      </c>
      <c r="D259" s="11"/>
      <c r="E259" s="11"/>
      <c r="F259" s="11"/>
      <c r="G259" s="11" t="s">
        <v>1284</v>
      </c>
      <c r="H259" s="11" t="s">
        <v>214</v>
      </c>
      <c r="I259" s="11" t="s">
        <v>764</v>
      </c>
      <c r="J259" s="85" t="s">
        <v>1637</v>
      </c>
      <c r="K259" s="11"/>
      <c r="L259" s="11"/>
      <c r="M259" s="11">
        <f t="shared" si="1"/>
        <v>16</v>
      </c>
      <c r="N259" s="11" t="e">
        <f>VLOOKUP($G259, 'ADP Data'!$B$4:$Q$300, 6, FALSE)</f>
        <v>#N/A</v>
      </c>
      <c r="O259" s="11" t="e">
        <f>VLOOKUP($G259, 'ADP Data'!$B$4:$Q$300, 10, FALSE)</f>
        <v>#N/A</v>
      </c>
      <c r="P259" s="11" t="e">
        <f>VLOOKUP($G259, 'ADP Data'!$B$4:$Q$300, 4, FALSE)</f>
        <v>#N/A</v>
      </c>
      <c r="Q259" s="11" t="e">
        <f>VLOOKUP($G259, 'ADP Data'!$B$4:$Q$300, 5, FALSE)</f>
        <v>#N/A</v>
      </c>
      <c r="R259" s="11" t="e">
        <f>VLOOKUP($G259, 'ADP Data'!$B$4:$Q$300, 7, FALSE)</f>
        <v>#N/A</v>
      </c>
      <c r="S259" s="11" t="e">
        <f>VLOOKUP($G259, 'ADP Data'!$B$4:$Q$300, 8, FALSE)</f>
        <v>#N/A</v>
      </c>
      <c r="T259" s="11" t="e">
        <f>VLOOKUP($G259, 'ADP Data'!$B$4:$Q$300, 9, FALSE)</f>
        <v>#N/A</v>
      </c>
      <c r="U259" s="11" t="e">
        <f t="shared" si="3"/>
        <v>#N/A</v>
      </c>
      <c r="V259" s="11"/>
    </row>
    <row r="260" spans="1:22" ht="14.25" customHeight="1" x14ac:dyDescent="0.25">
      <c r="A260" s="11"/>
      <c r="B260" s="11" t="e">
        <f t="shared" si="0"/>
        <v>#N/A</v>
      </c>
      <c r="C260" s="11" t="s">
        <v>148</v>
      </c>
      <c r="D260" s="11"/>
      <c r="E260" s="11"/>
      <c r="F260" s="11"/>
      <c r="G260" s="11" t="s">
        <v>1647</v>
      </c>
      <c r="H260" s="11" t="s">
        <v>187</v>
      </c>
      <c r="I260" s="11" t="s">
        <v>764</v>
      </c>
      <c r="J260" s="85" t="s">
        <v>1648</v>
      </c>
      <c r="K260" s="11"/>
      <c r="L260" s="11"/>
      <c r="M260" s="11">
        <f t="shared" si="1"/>
        <v>16</v>
      </c>
      <c r="N260" s="11" t="e">
        <f>VLOOKUP($G260, 'ADP Data'!$B$4:$Q$300, 6, FALSE)</f>
        <v>#N/A</v>
      </c>
      <c r="O260" s="11" t="e">
        <f>VLOOKUP($G260, 'ADP Data'!$B$4:$Q$300, 10, FALSE)</f>
        <v>#N/A</v>
      </c>
      <c r="P260" s="11" t="e">
        <f>VLOOKUP($G260, 'ADP Data'!$B$4:$Q$300, 4, FALSE)</f>
        <v>#N/A</v>
      </c>
      <c r="Q260" s="11" t="e">
        <f>VLOOKUP($G260, 'ADP Data'!$B$4:$Q$300, 5, FALSE)</f>
        <v>#N/A</v>
      </c>
      <c r="R260" s="11" t="e">
        <f>VLOOKUP($G260, 'ADP Data'!$B$4:$Q$300, 7, FALSE)</f>
        <v>#N/A</v>
      </c>
      <c r="S260" s="11" t="e">
        <f>VLOOKUP($G260, 'ADP Data'!$B$4:$Q$300, 8, FALSE)</f>
        <v>#N/A</v>
      </c>
      <c r="T260" s="11" t="e">
        <f>VLOOKUP($G260, 'ADP Data'!$B$4:$Q$300, 9, FALSE)</f>
        <v>#N/A</v>
      </c>
      <c r="U260" s="11" t="e">
        <f t="shared" si="3"/>
        <v>#N/A</v>
      </c>
      <c r="V260" s="11"/>
    </row>
    <row r="261" spans="1:22" ht="14.25" customHeight="1" x14ac:dyDescent="0.25">
      <c r="A261" s="11"/>
      <c r="B261" s="11" t="e">
        <f t="shared" ref="B261:B272" si="4">IFERROR(INT(AVERAGE(O261:T261)/12)+1, INT(AVERAGE(O261)/12)+1)</f>
        <v>#N/A</v>
      </c>
      <c r="C261" s="11" t="s">
        <v>148</v>
      </c>
      <c r="D261" s="11"/>
      <c r="E261" s="11"/>
      <c r="F261" s="11"/>
      <c r="G261" s="11" t="s">
        <v>1225</v>
      </c>
      <c r="H261" s="11" t="s">
        <v>55</v>
      </c>
      <c r="I261" s="11" t="s">
        <v>762</v>
      </c>
      <c r="J261" s="85" t="s">
        <v>1597</v>
      </c>
      <c r="K261" s="11"/>
      <c r="L261" s="11"/>
      <c r="M261" s="11">
        <f t="shared" ref="M261:M282" si="5">IFERROR(INT(N261/12)+1, 16)</f>
        <v>16</v>
      </c>
      <c r="N261" s="11" t="e">
        <f>VLOOKUP($G261, 'ADP Data'!$B$4:$Q$300, 6, FALSE)</f>
        <v>#N/A</v>
      </c>
      <c r="O261" s="11" t="e">
        <f>VLOOKUP($G261, 'ADP Data'!$B$4:$Q$300, 10, FALSE)</f>
        <v>#N/A</v>
      </c>
      <c r="P261" s="11" t="e">
        <f>VLOOKUP($G261, 'ADP Data'!$B$4:$Q$300, 4, FALSE)</f>
        <v>#N/A</v>
      </c>
      <c r="Q261" s="11" t="e">
        <f>VLOOKUP($G261, 'ADP Data'!$B$4:$Q$300, 5, FALSE)</f>
        <v>#N/A</v>
      </c>
      <c r="R261" s="11" t="e">
        <f>VLOOKUP($G261, 'ADP Data'!$B$4:$Q$300, 7, FALSE)</f>
        <v>#N/A</v>
      </c>
      <c r="S261" s="11" t="e">
        <f>VLOOKUP($G261, 'ADP Data'!$B$4:$Q$300, 8, FALSE)</f>
        <v>#N/A</v>
      </c>
      <c r="T261" s="11" t="e">
        <f>VLOOKUP($G261, 'ADP Data'!$B$4:$Q$300, 9, FALSE)</f>
        <v>#N/A</v>
      </c>
      <c r="U261" s="11" t="e">
        <f t="shared" si="3"/>
        <v>#N/A</v>
      </c>
      <c r="V261" s="11"/>
    </row>
    <row r="262" spans="1:22" ht="14.25" customHeight="1" x14ac:dyDescent="0.25">
      <c r="A262" s="11"/>
      <c r="B262" s="11" t="e">
        <f t="shared" si="4"/>
        <v>#N/A</v>
      </c>
      <c r="C262" s="11" t="s">
        <v>148</v>
      </c>
      <c r="D262" s="11"/>
      <c r="E262" s="11"/>
      <c r="F262" s="11"/>
      <c r="G262" s="11" t="s">
        <v>1276</v>
      </c>
      <c r="H262" s="11" t="s">
        <v>168</v>
      </c>
      <c r="I262" s="11" t="s">
        <v>760</v>
      </c>
      <c r="J262" s="85" t="s">
        <v>1541</v>
      </c>
      <c r="K262" s="11"/>
      <c r="L262" s="11"/>
      <c r="M262" s="11">
        <f t="shared" si="5"/>
        <v>16</v>
      </c>
      <c r="N262" s="11" t="e">
        <f>VLOOKUP($G262, 'ADP Data'!$B$4:$Q$300, 6, FALSE)</f>
        <v>#N/A</v>
      </c>
      <c r="O262" s="11" t="e">
        <f>VLOOKUP($G262, 'ADP Data'!$B$4:$Q$300, 10, FALSE)</f>
        <v>#N/A</v>
      </c>
      <c r="P262" s="11" t="e">
        <f>VLOOKUP($G262, 'ADP Data'!$B$4:$Q$300, 4, FALSE)</f>
        <v>#N/A</v>
      </c>
      <c r="Q262" s="11" t="e">
        <f>VLOOKUP($G262, 'ADP Data'!$B$4:$Q$300, 5, FALSE)</f>
        <v>#N/A</v>
      </c>
      <c r="R262" s="11" t="e">
        <f>VLOOKUP($G262, 'ADP Data'!$B$4:$Q$300, 7, FALSE)</f>
        <v>#N/A</v>
      </c>
      <c r="S262" s="11" t="e">
        <f>VLOOKUP($G262, 'ADP Data'!$B$4:$Q$300, 8, FALSE)</f>
        <v>#N/A</v>
      </c>
      <c r="T262" s="11" t="e">
        <f>VLOOKUP($G262, 'ADP Data'!$B$4:$Q$300, 9, FALSE)</f>
        <v>#N/A</v>
      </c>
      <c r="U262" s="11" t="e">
        <f t="shared" si="3"/>
        <v>#N/A</v>
      </c>
      <c r="V262" s="11"/>
    </row>
    <row r="263" spans="1:22" ht="14.25" customHeight="1" x14ac:dyDescent="0.25">
      <c r="A263" s="11"/>
      <c r="B263" s="11" t="e">
        <f t="shared" si="4"/>
        <v>#N/A</v>
      </c>
      <c r="C263" s="11" t="s">
        <v>148</v>
      </c>
      <c r="D263" s="11"/>
      <c r="E263" s="11"/>
      <c r="F263" s="11"/>
      <c r="G263" s="11" t="s">
        <v>1649</v>
      </c>
      <c r="H263" s="11" t="s">
        <v>163</v>
      </c>
      <c r="I263" s="11" t="s">
        <v>764</v>
      </c>
      <c r="J263" s="85" t="s">
        <v>1650</v>
      </c>
      <c r="K263" s="11"/>
      <c r="L263" s="11"/>
      <c r="M263" s="11">
        <f t="shared" si="5"/>
        <v>16</v>
      </c>
      <c r="N263" s="11" t="e">
        <f>VLOOKUP($G263, 'ADP Data'!$B$4:$Q$300, 6, FALSE)</f>
        <v>#N/A</v>
      </c>
      <c r="O263" s="11" t="e">
        <f>VLOOKUP($G263, 'ADP Data'!$B$4:$Q$300, 10, FALSE)</f>
        <v>#N/A</v>
      </c>
      <c r="P263" s="11" t="e">
        <f>VLOOKUP($G263, 'ADP Data'!$B$4:$Q$300, 4, FALSE)</f>
        <v>#N/A</v>
      </c>
      <c r="Q263" s="11" t="e">
        <f>VLOOKUP($G263, 'ADP Data'!$B$4:$Q$300, 5, FALSE)</f>
        <v>#N/A</v>
      </c>
      <c r="R263" s="11" t="e">
        <f>VLOOKUP($G263, 'ADP Data'!$B$4:$Q$300, 7, FALSE)</f>
        <v>#N/A</v>
      </c>
      <c r="S263" s="11" t="e">
        <f>VLOOKUP($G263, 'ADP Data'!$B$4:$Q$300, 8, FALSE)</f>
        <v>#N/A</v>
      </c>
      <c r="T263" s="11" t="e">
        <f>VLOOKUP($G263, 'ADP Data'!$B$4:$Q$300, 9, FALSE)</f>
        <v>#N/A</v>
      </c>
      <c r="U263" s="11" t="e">
        <f t="shared" si="3"/>
        <v>#N/A</v>
      </c>
      <c r="V263" s="11"/>
    </row>
    <row r="264" spans="1:22" ht="14.25" customHeight="1" x14ac:dyDescent="0.25">
      <c r="A264" s="11"/>
      <c r="B264" s="11" t="e">
        <f t="shared" si="4"/>
        <v>#N/A</v>
      </c>
      <c r="C264" s="11" t="s">
        <v>148</v>
      </c>
      <c r="D264" s="11"/>
      <c r="E264" s="11"/>
      <c r="F264" s="11"/>
      <c r="G264" s="11" t="s">
        <v>516</v>
      </c>
      <c r="H264" s="11" t="s">
        <v>199</v>
      </c>
      <c r="I264" s="11" t="s">
        <v>773</v>
      </c>
      <c r="J264" s="85" t="s">
        <v>1382</v>
      </c>
      <c r="K264" s="11"/>
      <c r="L264" s="11"/>
      <c r="M264" s="11">
        <f t="shared" si="5"/>
        <v>16</v>
      </c>
      <c r="N264" s="11" t="e">
        <f>VLOOKUP($G264, 'ADP Data'!$B$4:$Q$300, 6, FALSE)</f>
        <v>#N/A</v>
      </c>
      <c r="O264" s="11" t="e">
        <f>VLOOKUP($G264, 'ADP Data'!$B$4:$Q$300, 10, FALSE)</f>
        <v>#N/A</v>
      </c>
      <c r="P264" s="11" t="e">
        <f>VLOOKUP($G264, 'ADP Data'!$B$4:$Q$300, 4, FALSE)</f>
        <v>#N/A</v>
      </c>
      <c r="Q264" s="11" t="e">
        <f>VLOOKUP($G264, 'ADP Data'!$B$4:$Q$300, 5, FALSE)</f>
        <v>#N/A</v>
      </c>
      <c r="R264" s="11" t="e">
        <f>VLOOKUP($G264, 'ADP Data'!$B$4:$Q$300, 7, FALSE)</f>
        <v>#N/A</v>
      </c>
      <c r="S264" s="11" t="e">
        <f>VLOOKUP($G264, 'ADP Data'!$B$4:$Q$300, 8, FALSE)</f>
        <v>#N/A</v>
      </c>
      <c r="T264" s="11" t="e">
        <f>VLOOKUP($G264, 'ADP Data'!$B$4:$Q$300, 9, FALSE)</f>
        <v>#N/A</v>
      </c>
      <c r="U264" s="11" t="e">
        <f t="shared" si="3"/>
        <v>#N/A</v>
      </c>
      <c r="V264" s="11"/>
    </row>
    <row r="265" spans="1:22" ht="14.25" customHeight="1" x14ac:dyDescent="0.25">
      <c r="A265" s="11"/>
      <c r="B265" s="11" t="e">
        <f t="shared" si="4"/>
        <v>#N/A</v>
      </c>
      <c r="C265" s="11" t="s">
        <v>148</v>
      </c>
      <c r="D265" s="11"/>
      <c r="E265" s="11"/>
      <c r="F265" s="11"/>
      <c r="G265" s="11" t="s">
        <v>1651</v>
      </c>
      <c r="H265" s="11" t="s">
        <v>116</v>
      </c>
      <c r="I265" s="11" t="s">
        <v>769</v>
      </c>
      <c r="J265" s="85" t="s">
        <v>1541</v>
      </c>
      <c r="K265" s="11"/>
      <c r="L265" s="11"/>
      <c r="M265" s="11">
        <f t="shared" si="5"/>
        <v>16</v>
      </c>
      <c r="N265" s="11" t="e">
        <f>VLOOKUP($G265, 'ADP Data'!$B$4:$Q$300, 6, FALSE)</f>
        <v>#N/A</v>
      </c>
      <c r="O265" s="11" t="e">
        <f>VLOOKUP($G265, 'ADP Data'!$B$4:$Q$300, 10, FALSE)</f>
        <v>#N/A</v>
      </c>
      <c r="P265" s="11" t="e">
        <f>VLOOKUP($G265, 'ADP Data'!$B$4:$Q$300, 4, FALSE)</f>
        <v>#N/A</v>
      </c>
      <c r="Q265" s="11" t="e">
        <f>VLOOKUP($G265, 'ADP Data'!$B$4:$Q$300, 5, FALSE)</f>
        <v>#N/A</v>
      </c>
      <c r="R265" s="11" t="e">
        <f>VLOOKUP($G265, 'ADP Data'!$B$4:$Q$300, 7, FALSE)</f>
        <v>#N/A</v>
      </c>
      <c r="S265" s="11" t="e">
        <f>VLOOKUP($G265, 'ADP Data'!$B$4:$Q$300, 8, FALSE)</f>
        <v>#N/A</v>
      </c>
      <c r="T265" s="11" t="e">
        <f>VLOOKUP($G265, 'ADP Data'!$B$4:$Q$300, 9, FALSE)</f>
        <v>#N/A</v>
      </c>
      <c r="U265" s="11" t="e">
        <f t="shared" si="3"/>
        <v>#N/A</v>
      </c>
      <c r="V265" s="11"/>
    </row>
    <row r="266" spans="1:22" ht="14.25" customHeight="1" x14ac:dyDescent="0.25">
      <c r="A266" s="11"/>
      <c r="B266" s="11" t="e">
        <f t="shared" si="4"/>
        <v>#N/A</v>
      </c>
      <c r="C266" s="11" t="s">
        <v>148</v>
      </c>
      <c r="D266" s="11"/>
      <c r="E266" s="11"/>
      <c r="F266" s="11"/>
      <c r="G266" s="11" t="s">
        <v>931</v>
      </c>
      <c r="H266" s="11" t="s">
        <v>44</v>
      </c>
      <c r="I266" s="11" t="s">
        <v>773</v>
      </c>
      <c r="J266" s="85" t="s">
        <v>1480</v>
      </c>
      <c r="K266" s="11"/>
      <c r="L266" s="11"/>
      <c r="M266" s="11">
        <f t="shared" si="5"/>
        <v>16</v>
      </c>
      <c r="N266" s="11" t="e">
        <f>VLOOKUP($G266, 'ADP Data'!$B$4:$Q$300, 6, FALSE)</f>
        <v>#N/A</v>
      </c>
      <c r="O266" s="11" t="e">
        <f>VLOOKUP($G266, 'ADP Data'!$B$4:$Q$300, 10, FALSE)</f>
        <v>#N/A</v>
      </c>
      <c r="P266" s="11" t="e">
        <f>VLOOKUP($G266, 'ADP Data'!$B$4:$Q$300, 4, FALSE)</f>
        <v>#N/A</v>
      </c>
      <c r="Q266" s="11" t="e">
        <f>VLOOKUP($G266, 'ADP Data'!$B$4:$Q$300, 5, FALSE)</f>
        <v>#N/A</v>
      </c>
      <c r="R266" s="11" t="e">
        <f>VLOOKUP($G266, 'ADP Data'!$B$4:$Q$300, 7, FALSE)</f>
        <v>#N/A</v>
      </c>
      <c r="S266" s="11" t="e">
        <f>VLOOKUP($G266, 'ADP Data'!$B$4:$Q$300, 8, FALSE)</f>
        <v>#N/A</v>
      </c>
      <c r="T266" s="11" t="e">
        <f>VLOOKUP($G266, 'ADP Data'!$B$4:$Q$300, 9, FALSE)</f>
        <v>#N/A</v>
      </c>
      <c r="U266" s="11" t="e">
        <f t="shared" si="3"/>
        <v>#N/A</v>
      </c>
      <c r="V266" s="11"/>
    </row>
    <row r="267" spans="1:22" ht="14.25" customHeight="1" x14ac:dyDescent="0.25">
      <c r="A267" s="11"/>
      <c r="B267" s="11" t="e">
        <f t="shared" si="4"/>
        <v>#N/A</v>
      </c>
      <c r="C267" s="11" t="s">
        <v>148</v>
      </c>
      <c r="D267" s="11"/>
      <c r="E267" s="11"/>
      <c r="F267" s="11"/>
      <c r="G267" s="11" t="s">
        <v>1434</v>
      </c>
      <c r="H267" s="11" t="s">
        <v>66</v>
      </c>
      <c r="I267" s="11" t="s">
        <v>762</v>
      </c>
      <c r="J267" s="85" t="s">
        <v>1609</v>
      </c>
      <c r="K267" s="11"/>
      <c r="L267" s="11"/>
      <c r="M267" s="11">
        <f t="shared" si="5"/>
        <v>16</v>
      </c>
      <c r="N267" s="11" t="e">
        <f>VLOOKUP($G267, 'ADP Data'!$B$4:$Q$300, 6, FALSE)</f>
        <v>#N/A</v>
      </c>
      <c r="O267" s="11" t="e">
        <f>VLOOKUP($G267, 'ADP Data'!$B$4:$Q$300, 10, FALSE)</f>
        <v>#N/A</v>
      </c>
      <c r="P267" s="11" t="e">
        <f>VLOOKUP($G267, 'ADP Data'!$B$4:$Q$300, 4, FALSE)</f>
        <v>#N/A</v>
      </c>
      <c r="Q267" s="11" t="e">
        <f>VLOOKUP($G267, 'ADP Data'!$B$4:$Q$300, 5, FALSE)</f>
        <v>#N/A</v>
      </c>
      <c r="R267" s="11" t="e">
        <f>VLOOKUP($G267, 'ADP Data'!$B$4:$Q$300, 7, FALSE)</f>
        <v>#N/A</v>
      </c>
      <c r="S267" s="11" t="e">
        <f>VLOOKUP($G267, 'ADP Data'!$B$4:$Q$300, 8, FALSE)</f>
        <v>#N/A</v>
      </c>
      <c r="T267" s="11" t="e">
        <f>VLOOKUP($G267, 'ADP Data'!$B$4:$Q$300, 9, FALSE)</f>
        <v>#N/A</v>
      </c>
      <c r="U267" s="11" t="e">
        <f t="shared" si="3"/>
        <v>#N/A</v>
      </c>
      <c r="V267" s="11"/>
    </row>
    <row r="268" spans="1:22" ht="14.25" customHeight="1" x14ac:dyDescent="0.25">
      <c r="A268" s="11"/>
      <c r="B268" s="11" t="e">
        <f t="shared" si="4"/>
        <v>#N/A</v>
      </c>
      <c r="C268" s="11" t="s">
        <v>148</v>
      </c>
      <c r="D268" s="11"/>
      <c r="E268" s="11"/>
      <c r="F268" s="11"/>
      <c r="G268" s="11" t="s">
        <v>1410</v>
      </c>
      <c r="H268" s="11" t="s">
        <v>36</v>
      </c>
      <c r="I268" s="11" t="s">
        <v>762</v>
      </c>
      <c r="J268" s="85" t="s">
        <v>1623</v>
      </c>
      <c r="K268" s="11"/>
      <c r="L268" s="11"/>
      <c r="M268" s="11">
        <f t="shared" si="5"/>
        <v>16</v>
      </c>
      <c r="N268" s="11" t="e">
        <f>VLOOKUP($G268, 'ADP Data'!$B$4:$Q$300, 6, FALSE)</f>
        <v>#N/A</v>
      </c>
      <c r="O268" s="11" t="e">
        <f>VLOOKUP($G268, 'ADP Data'!$B$4:$Q$300, 10, FALSE)</f>
        <v>#N/A</v>
      </c>
      <c r="P268" s="11" t="e">
        <f>VLOOKUP($G268, 'ADP Data'!$B$4:$Q$300, 4, FALSE)</f>
        <v>#N/A</v>
      </c>
      <c r="Q268" s="11" t="e">
        <f>VLOOKUP($G268, 'ADP Data'!$B$4:$Q$300, 5, FALSE)</f>
        <v>#N/A</v>
      </c>
      <c r="R268" s="11" t="e">
        <f>VLOOKUP($G268, 'ADP Data'!$B$4:$Q$300, 7, FALSE)</f>
        <v>#N/A</v>
      </c>
      <c r="S268" s="11" t="e">
        <f>VLOOKUP($G268, 'ADP Data'!$B$4:$Q$300, 8, FALSE)</f>
        <v>#N/A</v>
      </c>
      <c r="T268" s="11" t="e">
        <f>VLOOKUP($G268, 'ADP Data'!$B$4:$Q$300, 9, FALSE)</f>
        <v>#N/A</v>
      </c>
      <c r="U268" s="11" t="e">
        <f t="shared" si="3"/>
        <v>#N/A</v>
      </c>
      <c r="V268" s="11"/>
    </row>
    <row r="269" spans="1:22" ht="14.25" customHeight="1" x14ac:dyDescent="0.25">
      <c r="A269" s="11"/>
      <c r="B269" s="11" t="e">
        <f t="shared" si="4"/>
        <v>#N/A</v>
      </c>
      <c r="C269" s="11" t="s">
        <v>148</v>
      </c>
      <c r="D269" s="11"/>
      <c r="E269" s="11"/>
      <c r="F269" s="11"/>
      <c r="G269" s="11" t="s">
        <v>1256</v>
      </c>
      <c r="H269" s="11" t="s">
        <v>126</v>
      </c>
      <c r="I269" s="11" t="s">
        <v>769</v>
      </c>
      <c r="J269" s="85" t="s">
        <v>1530</v>
      </c>
      <c r="K269" s="11"/>
      <c r="L269" s="11"/>
      <c r="M269" s="11">
        <f t="shared" si="5"/>
        <v>16</v>
      </c>
      <c r="N269" s="11" t="e">
        <f>VLOOKUP($G269, 'ADP Data'!$B$4:$Q$300, 6, FALSE)</f>
        <v>#N/A</v>
      </c>
      <c r="O269" s="11" t="e">
        <f>VLOOKUP($G269, 'ADP Data'!$B$4:$Q$300, 10, FALSE)</f>
        <v>#N/A</v>
      </c>
      <c r="P269" s="11" t="e">
        <f>VLOOKUP($G269, 'ADP Data'!$B$4:$Q$300, 4, FALSE)</f>
        <v>#N/A</v>
      </c>
      <c r="Q269" s="11" t="e">
        <f>VLOOKUP($G269, 'ADP Data'!$B$4:$Q$300, 5, FALSE)</f>
        <v>#N/A</v>
      </c>
      <c r="R269" s="11" t="e">
        <f>VLOOKUP($G269, 'ADP Data'!$B$4:$Q$300, 7, FALSE)</f>
        <v>#N/A</v>
      </c>
      <c r="S269" s="11" t="e">
        <f>VLOOKUP($G269, 'ADP Data'!$B$4:$Q$300, 8, FALSE)</f>
        <v>#N/A</v>
      </c>
      <c r="T269" s="11" t="e">
        <f>VLOOKUP($G269, 'ADP Data'!$B$4:$Q$300, 9, FALSE)</f>
        <v>#N/A</v>
      </c>
      <c r="U269" s="11" t="e">
        <f t="shared" si="3"/>
        <v>#N/A</v>
      </c>
      <c r="V269" s="11"/>
    </row>
    <row r="270" spans="1:22" ht="14.25" customHeight="1" x14ac:dyDescent="0.25">
      <c r="A270" s="11"/>
      <c r="B270" s="11" t="e">
        <f t="shared" si="4"/>
        <v>#N/A</v>
      </c>
      <c r="C270" s="11" t="s">
        <v>148</v>
      </c>
      <c r="D270" s="11"/>
      <c r="E270" s="11"/>
      <c r="F270" s="11"/>
      <c r="G270" s="11" t="s">
        <v>1652</v>
      </c>
      <c r="H270" s="11" t="s">
        <v>49</v>
      </c>
      <c r="I270" s="11" t="s">
        <v>762</v>
      </c>
      <c r="J270" s="85" t="s">
        <v>1630</v>
      </c>
      <c r="K270" s="11"/>
      <c r="L270" s="11"/>
      <c r="M270" s="11">
        <f t="shared" si="5"/>
        <v>16</v>
      </c>
      <c r="N270" s="11" t="e">
        <f>VLOOKUP($G270, 'ADP Data'!$B$4:$Q$300, 6, FALSE)</f>
        <v>#N/A</v>
      </c>
      <c r="O270" s="11" t="e">
        <f>VLOOKUP($G270, 'ADP Data'!$B$4:$Q$300, 10, FALSE)</f>
        <v>#N/A</v>
      </c>
      <c r="P270" s="11" t="e">
        <f>VLOOKUP($G270, 'ADP Data'!$B$4:$Q$300, 4, FALSE)</f>
        <v>#N/A</v>
      </c>
      <c r="Q270" s="11" t="e">
        <f>VLOOKUP($G270, 'ADP Data'!$B$4:$Q$300, 5, FALSE)</f>
        <v>#N/A</v>
      </c>
      <c r="R270" s="11" t="e">
        <f>VLOOKUP($G270, 'ADP Data'!$B$4:$Q$300, 7, FALSE)</f>
        <v>#N/A</v>
      </c>
      <c r="S270" s="11" t="e">
        <f>VLOOKUP($G270, 'ADP Data'!$B$4:$Q$300, 8, FALSE)</f>
        <v>#N/A</v>
      </c>
      <c r="T270" s="11" t="e">
        <f>VLOOKUP($G270, 'ADP Data'!$B$4:$Q$300, 9, FALSE)</f>
        <v>#N/A</v>
      </c>
      <c r="U270" s="11" t="e">
        <f t="shared" si="3"/>
        <v>#N/A</v>
      </c>
      <c r="V270" s="11" t="s">
        <v>1653</v>
      </c>
    </row>
    <row r="271" spans="1:22" ht="14.25" customHeight="1" x14ac:dyDescent="0.25">
      <c r="A271" s="11"/>
      <c r="B271" s="11" t="e">
        <f t="shared" si="4"/>
        <v>#N/A</v>
      </c>
      <c r="C271" s="11" t="s">
        <v>148</v>
      </c>
      <c r="D271" s="11"/>
      <c r="E271" s="11"/>
      <c r="F271" s="11"/>
      <c r="G271" s="11" t="s">
        <v>978</v>
      </c>
      <c r="H271" s="11" t="s">
        <v>229</v>
      </c>
      <c r="I271" s="11" t="s">
        <v>764</v>
      </c>
      <c r="J271" s="85" t="s">
        <v>1654</v>
      </c>
      <c r="K271" s="11"/>
      <c r="L271" s="11"/>
      <c r="M271" s="11">
        <f t="shared" si="5"/>
        <v>16</v>
      </c>
      <c r="N271" s="11" t="e">
        <f>VLOOKUP($G271, 'ADP Data'!$B$4:$Q$300, 6, FALSE)</f>
        <v>#N/A</v>
      </c>
      <c r="O271" s="11" t="e">
        <f>VLOOKUP($G271, 'ADP Data'!$B$4:$Q$300, 10, FALSE)</f>
        <v>#N/A</v>
      </c>
      <c r="P271" s="11" t="e">
        <f>VLOOKUP($G271, 'ADP Data'!$B$4:$Q$300, 4, FALSE)</f>
        <v>#N/A</v>
      </c>
      <c r="Q271" s="11" t="e">
        <f>VLOOKUP($G271, 'ADP Data'!$B$4:$Q$300, 5, FALSE)</f>
        <v>#N/A</v>
      </c>
      <c r="R271" s="11" t="e">
        <f>VLOOKUP($G271, 'ADP Data'!$B$4:$Q$300, 7, FALSE)</f>
        <v>#N/A</v>
      </c>
      <c r="S271" s="11" t="e">
        <f>VLOOKUP($G271, 'ADP Data'!$B$4:$Q$300, 8, FALSE)</f>
        <v>#N/A</v>
      </c>
      <c r="T271" s="11" t="e">
        <f>VLOOKUP($G271, 'ADP Data'!$B$4:$Q$300, 9, FALSE)</f>
        <v>#N/A</v>
      </c>
      <c r="U271" s="11" t="e">
        <f t="shared" si="3"/>
        <v>#N/A</v>
      </c>
      <c r="V271" s="11"/>
    </row>
    <row r="272" spans="1:22" ht="14.25" customHeight="1" x14ac:dyDescent="0.25">
      <c r="A272" s="11"/>
      <c r="B272" s="11" t="e">
        <f t="shared" si="4"/>
        <v>#N/A</v>
      </c>
      <c r="C272" s="11" t="s">
        <v>148</v>
      </c>
      <c r="D272" s="11"/>
      <c r="E272" s="11"/>
      <c r="F272" s="11"/>
      <c r="G272" s="11" t="s">
        <v>1131</v>
      </c>
      <c r="H272" s="11" t="s">
        <v>168</v>
      </c>
      <c r="I272" s="11" t="s">
        <v>764</v>
      </c>
      <c r="J272" s="85" t="s">
        <v>1655</v>
      </c>
      <c r="K272" s="11"/>
      <c r="L272" s="11"/>
      <c r="M272" s="11">
        <f t="shared" si="5"/>
        <v>16</v>
      </c>
      <c r="N272" s="11" t="e">
        <f>VLOOKUP($G272, 'ADP Data'!$B$4:$Q$300, 6, FALSE)</f>
        <v>#N/A</v>
      </c>
      <c r="O272" s="11" t="e">
        <f>VLOOKUP($G272, 'ADP Data'!$B$4:$Q$300, 10, FALSE)</f>
        <v>#N/A</v>
      </c>
      <c r="P272" s="11" t="e">
        <f>VLOOKUP($G272, 'ADP Data'!$B$4:$Q$300, 4, FALSE)</f>
        <v>#N/A</v>
      </c>
      <c r="Q272" s="11" t="e">
        <f>VLOOKUP($G272, 'ADP Data'!$B$4:$Q$300, 5, FALSE)</f>
        <v>#N/A</v>
      </c>
      <c r="R272" s="11" t="e">
        <f>VLOOKUP($G272, 'ADP Data'!$B$4:$Q$300, 7, FALSE)</f>
        <v>#N/A</v>
      </c>
      <c r="S272" s="11" t="e">
        <f>VLOOKUP($G272, 'ADP Data'!$B$4:$Q$300, 8, FALSE)</f>
        <v>#N/A</v>
      </c>
      <c r="T272" s="11" t="e">
        <f>VLOOKUP($G272, 'ADP Data'!$B$4:$Q$300, 9, FALSE)</f>
        <v>#N/A</v>
      </c>
      <c r="U272" s="11" t="e">
        <f t="shared" si="3"/>
        <v>#N/A</v>
      </c>
      <c r="V272" s="11"/>
    </row>
    <row r="273" spans="1:22" ht="14.25" customHeight="1" x14ac:dyDescent="0.25">
      <c r="A273" s="11"/>
      <c r="B273" s="11">
        <v>25</v>
      </c>
      <c r="C273" s="11" t="s">
        <v>148</v>
      </c>
      <c r="D273" s="11"/>
      <c r="E273" s="11"/>
      <c r="F273" s="11"/>
      <c r="G273" s="11" t="s">
        <v>1656</v>
      </c>
      <c r="H273" s="11" t="s">
        <v>49</v>
      </c>
      <c r="I273" s="11" t="s">
        <v>764</v>
      </c>
      <c r="J273" s="85" t="s">
        <v>1657</v>
      </c>
      <c r="K273" s="11"/>
      <c r="L273" s="11"/>
      <c r="M273" s="11">
        <f t="shared" si="5"/>
        <v>16</v>
      </c>
      <c r="N273" s="11" t="e">
        <f>VLOOKUP($G273, 'ADP Data'!$B$4:$Q$300, 6, FALSE)</f>
        <v>#N/A</v>
      </c>
      <c r="O273" s="11" t="e">
        <f>VLOOKUP($G273, 'ADP Data'!$B$4:$Q$300, 10, FALSE)</f>
        <v>#N/A</v>
      </c>
      <c r="P273" s="11" t="e">
        <f>VLOOKUP($G273, 'ADP Data'!$B$4:$Q$300, 4, FALSE)</f>
        <v>#N/A</v>
      </c>
      <c r="Q273" s="11" t="e">
        <f>VLOOKUP($G273, 'ADP Data'!$B$4:$Q$300, 5, FALSE)</f>
        <v>#N/A</v>
      </c>
      <c r="R273" s="11" t="e">
        <f>VLOOKUP($G273, 'ADP Data'!$B$4:$Q$300, 7, FALSE)</f>
        <v>#N/A</v>
      </c>
      <c r="S273" s="11" t="e">
        <f>VLOOKUP($G273, 'ADP Data'!$B$4:$Q$300, 8, FALSE)</f>
        <v>#N/A</v>
      </c>
      <c r="T273" s="11" t="e">
        <f>VLOOKUP($G273, 'ADP Data'!$B$4:$Q$300, 9, FALSE)</f>
        <v>#N/A</v>
      </c>
      <c r="U273" s="11" t="e">
        <f t="shared" si="3"/>
        <v>#N/A</v>
      </c>
      <c r="V273" s="11" t="s">
        <v>1608</v>
      </c>
    </row>
    <row r="274" spans="1:22" ht="14.25" customHeight="1" x14ac:dyDescent="0.25">
      <c r="A274" s="11"/>
      <c r="B274" s="11" t="e">
        <f t="shared" ref="B274:B282" si="6">IFERROR(INT(AVERAGE(O274:T274)/12)+1, INT(AVERAGE(O274)/12)+1)</f>
        <v>#N/A</v>
      </c>
      <c r="C274" s="11" t="s">
        <v>148</v>
      </c>
      <c r="D274" s="11"/>
      <c r="E274" s="11"/>
      <c r="F274" s="11"/>
      <c r="G274" s="11" t="s">
        <v>1448</v>
      </c>
      <c r="H274" s="11" t="s">
        <v>35</v>
      </c>
      <c r="I274" s="11" t="s">
        <v>764</v>
      </c>
      <c r="J274" s="85" t="s">
        <v>1658</v>
      </c>
      <c r="K274" s="11"/>
      <c r="L274" s="11"/>
      <c r="M274" s="11">
        <f t="shared" si="5"/>
        <v>16</v>
      </c>
      <c r="N274" s="11" t="e">
        <f>VLOOKUP($G274, 'ADP Data'!$B$4:$Q$300, 6, FALSE)</f>
        <v>#N/A</v>
      </c>
      <c r="O274" s="11" t="e">
        <f>VLOOKUP($G274, 'ADP Data'!$B$4:$Q$300, 10, FALSE)</f>
        <v>#N/A</v>
      </c>
      <c r="P274" s="11" t="e">
        <f>VLOOKUP($G274, 'ADP Data'!$B$4:$Q$300, 4, FALSE)</f>
        <v>#N/A</v>
      </c>
      <c r="Q274" s="11" t="e">
        <f>VLOOKUP($G274, 'ADP Data'!$B$4:$Q$300, 5, FALSE)</f>
        <v>#N/A</v>
      </c>
      <c r="R274" s="11" t="e">
        <f>VLOOKUP($G274, 'ADP Data'!$B$4:$Q$300, 7, FALSE)</f>
        <v>#N/A</v>
      </c>
      <c r="S274" s="11" t="e">
        <f>VLOOKUP($G274, 'ADP Data'!$B$4:$Q$300, 8, FALSE)</f>
        <v>#N/A</v>
      </c>
      <c r="T274" s="11" t="e">
        <f>VLOOKUP($G274, 'ADP Data'!$B$4:$Q$300, 9, FALSE)</f>
        <v>#N/A</v>
      </c>
      <c r="U274" s="11" t="e">
        <f t="shared" si="3"/>
        <v>#N/A</v>
      </c>
      <c r="V274" s="11"/>
    </row>
    <row r="275" spans="1:22" ht="14.25" customHeight="1" x14ac:dyDescent="0.25">
      <c r="A275" s="11"/>
      <c r="B275" s="11" t="e">
        <f t="shared" si="6"/>
        <v>#N/A</v>
      </c>
      <c r="C275" s="11" t="s">
        <v>148</v>
      </c>
      <c r="D275" s="11"/>
      <c r="E275" s="11"/>
      <c r="F275" s="11"/>
      <c r="G275" s="11" t="s">
        <v>1309</v>
      </c>
      <c r="H275" s="11" t="s">
        <v>88</v>
      </c>
      <c r="I275" s="11" t="s">
        <v>762</v>
      </c>
      <c r="J275" s="85" t="s">
        <v>1594</v>
      </c>
      <c r="K275" s="11"/>
      <c r="L275" s="11"/>
      <c r="M275" s="11">
        <f t="shared" si="5"/>
        <v>16</v>
      </c>
      <c r="N275" s="11" t="e">
        <f>VLOOKUP($G275, 'ADP Data'!$B$4:$Q$300, 6, FALSE)</f>
        <v>#N/A</v>
      </c>
      <c r="O275" s="11" t="e">
        <f>VLOOKUP($G275, 'ADP Data'!$B$4:$Q$300, 10, FALSE)</f>
        <v>#N/A</v>
      </c>
      <c r="P275" s="11" t="e">
        <f>VLOOKUP($G275, 'ADP Data'!$B$4:$Q$300, 4, FALSE)</f>
        <v>#N/A</v>
      </c>
      <c r="Q275" s="11" t="e">
        <f>VLOOKUP($G275, 'ADP Data'!$B$4:$Q$300, 5, FALSE)</f>
        <v>#N/A</v>
      </c>
      <c r="R275" s="11" t="e">
        <f>VLOOKUP($G275, 'ADP Data'!$B$4:$Q$300, 7, FALSE)</f>
        <v>#N/A</v>
      </c>
      <c r="S275" s="11" t="e">
        <f>VLOOKUP($G275, 'ADP Data'!$B$4:$Q$300, 8, FALSE)</f>
        <v>#N/A</v>
      </c>
      <c r="T275" s="11" t="e">
        <f>VLOOKUP($G275, 'ADP Data'!$B$4:$Q$300, 9, FALSE)</f>
        <v>#N/A</v>
      </c>
      <c r="U275" s="11" t="e">
        <f t="shared" si="3"/>
        <v>#N/A</v>
      </c>
      <c r="V275" s="11"/>
    </row>
    <row r="276" spans="1:22" ht="14.25" customHeight="1" x14ac:dyDescent="0.25">
      <c r="A276" s="11"/>
      <c r="B276" s="11" t="e">
        <f t="shared" si="6"/>
        <v>#N/A</v>
      </c>
      <c r="C276" s="11" t="s">
        <v>148</v>
      </c>
      <c r="D276" s="11"/>
      <c r="E276" s="11"/>
      <c r="F276" s="11"/>
      <c r="G276" s="11" t="s">
        <v>1659</v>
      </c>
      <c r="H276" s="11" t="s">
        <v>78</v>
      </c>
      <c r="I276" s="11" t="s">
        <v>764</v>
      </c>
      <c r="J276" s="85" t="s">
        <v>1660</v>
      </c>
      <c r="K276" s="11"/>
      <c r="L276" s="11"/>
      <c r="M276" s="11">
        <f t="shared" si="5"/>
        <v>16</v>
      </c>
      <c r="N276" s="11" t="e">
        <f>VLOOKUP($G276, 'ADP Data'!$B$4:$Q$300, 6, FALSE)</f>
        <v>#N/A</v>
      </c>
      <c r="O276" s="11" t="e">
        <f>VLOOKUP($G276, 'ADP Data'!$B$4:$Q$300, 10, FALSE)</f>
        <v>#N/A</v>
      </c>
      <c r="P276" s="11" t="e">
        <f>VLOOKUP($G276, 'ADP Data'!$B$4:$Q$300, 4, FALSE)</f>
        <v>#N/A</v>
      </c>
      <c r="Q276" s="11" t="e">
        <f>VLOOKUP($G276, 'ADP Data'!$B$4:$Q$300, 5, FALSE)</f>
        <v>#N/A</v>
      </c>
      <c r="R276" s="11" t="e">
        <f>VLOOKUP($G276, 'ADP Data'!$B$4:$Q$300, 7, FALSE)</f>
        <v>#N/A</v>
      </c>
      <c r="S276" s="11" t="e">
        <f>VLOOKUP($G276, 'ADP Data'!$B$4:$Q$300, 8, FALSE)</f>
        <v>#N/A</v>
      </c>
      <c r="T276" s="11" t="e">
        <f>VLOOKUP($G276, 'ADP Data'!$B$4:$Q$300, 9, FALSE)</f>
        <v>#N/A</v>
      </c>
      <c r="U276" s="11" t="e">
        <f t="shared" si="3"/>
        <v>#N/A</v>
      </c>
      <c r="V276" s="11"/>
    </row>
    <row r="277" spans="1:22" ht="14.25" customHeight="1" x14ac:dyDescent="0.25">
      <c r="A277" s="11"/>
      <c r="B277" s="11" t="e">
        <f t="shared" si="6"/>
        <v>#N/A</v>
      </c>
      <c r="C277" s="11" t="s">
        <v>148</v>
      </c>
      <c r="D277" s="11"/>
      <c r="E277" s="11"/>
      <c r="F277" s="11"/>
      <c r="G277" s="11" t="s">
        <v>1661</v>
      </c>
      <c r="H277" s="11" t="s">
        <v>199</v>
      </c>
      <c r="I277" s="11" t="s">
        <v>769</v>
      </c>
      <c r="J277" s="85" t="s">
        <v>1509</v>
      </c>
      <c r="K277" s="11"/>
      <c r="L277" s="11"/>
      <c r="M277" s="11">
        <f t="shared" si="5"/>
        <v>16</v>
      </c>
      <c r="N277" s="11" t="e">
        <f>VLOOKUP($G277, 'ADP Data'!$B$4:$Q$300, 6, FALSE)</f>
        <v>#N/A</v>
      </c>
      <c r="O277" s="11" t="e">
        <f>VLOOKUP($G277, 'ADP Data'!$B$4:$Q$300, 10, FALSE)</f>
        <v>#N/A</v>
      </c>
      <c r="P277" s="11" t="e">
        <f>VLOOKUP($G277, 'ADP Data'!$B$4:$Q$300, 4, FALSE)</f>
        <v>#N/A</v>
      </c>
      <c r="Q277" s="11" t="e">
        <f>VLOOKUP($G277, 'ADP Data'!$B$4:$Q$300, 5, FALSE)</f>
        <v>#N/A</v>
      </c>
      <c r="R277" s="11" t="e">
        <f>VLOOKUP($G277, 'ADP Data'!$B$4:$Q$300, 7, FALSE)</f>
        <v>#N/A</v>
      </c>
      <c r="S277" s="11" t="e">
        <f>VLOOKUP($G277, 'ADP Data'!$B$4:$Q$300, 8, FALSE)</f>
        <v>#N/A</v>
      </c>
      <c r="T277" s="11" t="e">
        <f>VLOOKUP($G277, 'ADP Data'!$B$4:$Q$300, 9, FALSE)</f>
        <v>#N/A</v>
      </c>
      <c r="U277" s="11" t="e">
        <f t="shared" si="3"/>
        <v>#N/A</v>
      </c>
      <c r="V277" s="11"/>
    </row>
    <row r="278" spans="1:22" ht="14.25" customHeight="1" x14ac:dyDescent="0.25">
      <c r="A278" s="11"/>
      <c r="B278" s="11" t="e">
        <f t="shared" si="6"/>
        <v>#N/A</v>
      </c>
      <c r="C278" s="11" t="s">
        <v>148</v>
      </c>
      <c r="D278" s="11"/>
      <c r="E278" s="11"/>
      <c r="F278" s="11"/>
      <c r="G278" s="11" t="s">
        <v>1662</v>
      </c>
      <c r="H278" s="11" t="s">
        <v>145</v>
      </c>
      <c r="I278" s="11" t="s">
        <v>764</v>
      </c>
      <c r="J278" s="85" t="s">
        <v>1663</v>
      </c>
      <c r="K278" s="11"/>
      <c r="L278" s="11"/>
      <c r="M278" s="11">
        <f t="shared" si="5"/>
        <v>16</v>
      </c>
      <c r="N278" s="11" t="e">
        <f>VLOOKUP($G278, 'ADP Data'!$B$4:$Q$300, 6, FALSE)</f>
        <v>#N/A</v>
      </c>
      <c r="O278" s="11" t="e">
        <f>VLOOKUP($G278, 'ADP Data'!$B$4:$Q$300, 10, FALSE)</f>
        <v>#N/A</v>
      </c>
      <c r="P278" s="11" t="e">
        <f>VLOOKUP($G278, 'ADP Data'!$B$4:$Q$300, 4, FALSE)</f>
        <v>#N/A</v>
      </c>
      <c r="Q278" s="11" t="e">
        <f>VLOOKUP($G278, 'ADP Data'!$B$4:$Q$300, 5, FALSE)</f>
        <v>#N/A</v>
      </c>
      <c r="R278" s="11" t="e">
        <f>VLOOKUP($G278, 'ADP Data'!$B$4:$Q$300, 7, FALSE)</f>
        <v>#N/A</v>
      </c>
      <c r="S278" s="11" t="e">
        <f>VLOOKUP($G278, 'ADP Data'!$B$4:$Q$300, 8, FALSE)</f>
        <v>#N/A</v>
      </c>
      <c r="T278" s="11" t="e">
        <f>VLOOKUP($G278, 'ADP Data'!$B$4:$Q$300, 9, FALSE)</f>
        <v>#N/A</v>
      </c>
      <c r="U278" s="11" t="e">
        <f t="shared" si="3"/>
        <v>#N/A</v>
      </c>
      <c r="V278" s="11"/>
    </row>
    <row r="279" spans="1:22" ht="14.25" customHeight="1" x14ac:dyDescent="0.25">
      <c r="A279" s="11"/>
      <c r="B279" s="11" t="e">
        <f t="shared" si="6"/>
        <v>#N/A</v>
      </c>
      <c r="C279" s="11" t="s">
        <v>148</v>
      </c>
      <c r="D279" s="11"/>
      <c r="E279" s="11"/>
      <c r="F279" s="11"/>
      <c r="G279" s="11" t="s">
        <v>523</v>
      </c>
      <c r="H279" s="11" t="s">
        <v>35</v>
      </c>
      <c r="I279" s="11" t="s">
        <v>773</v>
      </c>
      <c r="J279" s="85" t="s">
        <v>1472</v>
      </c>
      <c r="K279" s="11"/>
      <c r="L279" s="11"/>
      <c r="M279" s="11">
        <f t="shared" si="5"/>
        <v>16</v>
      </c>
      <c r="N279" s="11" t="e">
        <f>VLOOKUP($G279, 'ADP Data'!$B$4:$Q$300, 6, FALSE)</f>
        <v>#N/A</v>
      </c>
      <c r="O279" s="11" t="e">
        <f>VLOOKUP($G279, 'ADP Data'!$B$4:$Q$300, 10, FALSE)</f>
        <v>#N/A</v>
      </c>
      <c r="P279" s="11" t="e">
        <f>VLOOKUP($G279, 'ADP Data'!$B$4:$Q$300, 4, FALSE)</f>
        <v>#N/A</v>
      </c>
      <c r="Q279" s="11" t="e">
        <f>VLOOKUP($G279, 'ADP Data'!$B$4:$Q$300, 5, FALSE)</f>
        <v>#N/A</v>
      </c>
      <c r="R279" s="11" t="e">
        <f>VLOOKUP($G279, 'ADP Data'!$B$4:$Q$300, 7, FALSE)</f>
        <v>#N/A</v>
      </c>
      <c r="S279" s="11" t="e">
        <f>VLOOKUP($G279, 'ADP Data'!$B$4:$Q$300, 8, FALSE)</f>
        <v>#N/A</v>
      </c>
      <c r="T279" s="11" t="e">
        <f>VLOOKUP($G279, 'ADP Data'!$B$4:$Q$300, 9, FALSE)</f>
        <v>#N/A</v>
      </c>
      <c r="U279" s="11" t="e">
        <f t="shared" si="3"/>
        <v>#N/A</v>
      </c>
      <c r="V279" s="11"/>
    </row>
    <row r="280" spans="1:22" ht="14.25" customHeight="1" x14ac:dyDescent="0.25">
      <c r="A280" s="11"/>
      <c r="B280" s="11" t="e">
        <f t="shared" si="6"/>
        <v>#N/A</v>
      </c>
      <c r="C280" s="11" t="s">
        <v>148</v>
      </c>
      <c r="D280" s="11"/>
      <c r="E280" s="11"/>
      <c r="F280" s="11"/>
      <c r="G280" s="11" t="s">
        <v>1473</v>
      </c>
      <c r="H280" s="11" t="s">
        <v>60</v>
      </c>
      <c r="I280" s="11" t="s">
        <v>769</v>
      </c>
      <c r="J280" s="85" t="s">
        <v>1556</v>
      </c>
      <c r="K280" s="11"/>
      <c r="L280" s="11"/>
      <c r="M280" s="11">
        <f t="shared" si="5"/>
        <v>16</v>
      </c>
      <c r="N280" s="11" t="e">
        <f>VLOOKUP($G280, 'ADP Data'!$B$4:$Q$300, 6, FALSE)</f>
        <v>#N/A</v>
      </c>
      <c r="O280" s="11" t="e">
        <f>VLOOKUP($G280, 'ADP Data'!$B$4:$Q$300, 10, FALSE)</f>
        <v>#N/A</v>
      </c>
      <c r="P280" s="11" t="e">
        <f>VLOOKUP($G280, 'ADP Data'!$B$4:$Q$300, 4, FALSE)</f>
        <v>#N/A</v>
      </c>
      <c r="Q280" s="11" t="e">
        <f>VLOOKUP($G280, 'ADP Data'!$B$4:$Q$300, 5, FALSE)</f>
        <v>#N/A</v>
      </c>
      <c r="R280" s="11" t="e">
        <f>VLOOKUP($G280, 'ADP Data'!$B$4:$Q$300, 7, FALSE)</f>
        <v>#N/A</v>
      </c>
      <c r="S280" s="11" t="e">
        <f>VLOOKUP($G280, 'ADP Data'!$B$4:$Q$300, 8, FALSE)</f>
        <v>#N/A</v>
      </c>
      <c r="T280" s="11" t="e">
        <f>VLOOKUP($G280, 'ADP Data'!$B$4:$Q$300, 9, FALSE)</f>
        <v>#N/A</v>
      </c>
      <c r="U280" s="11" t="e">
        <f t="shared" si="3"/>
        <v>#N/A</v>
      </c>
      <c r="V280" s="11"/>
    </row>
    <row r="281" spans="1:22" ht="14.25" customHeight="1" x14ac:dyDescent="0.25">
      <c r="A281" s="11"/>
      <c r="B281" s="11" t="e">
        <f t="shared" si="6"/>
        <v>#N/A</v>
      </c>
      <c r="C281" s="11" t="s">
        <v>148</v>
      </c>
      <c r="D281" s="11"/>
      <c r="E281" s="11"/>
      <c r="F281" s="11"/>
      <c r="G281" s="11" t="s">
        <v>1664</v>
      </c>
      <c r="H281" s="11" t="s">
        <v>160</v>
      </c>
      <c r="I281" s="11" t="s">
        <v>764</v>
      </c>
      <c r="J281" s="85" t="s">
        <v>1665</v>
      </c>
      <c r="K281" s="11"/>
      <c r="L281" s="11"/>
      <c r="M281" s="11">
        <f t="shared" si="5"/>
        <v>16</v>
      </c>
      <c r="N281" s="11" t="e">
        <f>VLOOKUP($G281, 'ADP Data'!$B$4:$Q$300, 6, FALSE)</f>
        <v>#N/A</v>
      </c>
      <c r="O281" s="11" t="e">
        <f>VLOOKUP($G281, 'ADP Data'!$B$4:$Q$300, 10, FALSE)</f>
        <v>#N/A</v>
      </c>
      <c r="P281" s="11" t="e">
        <f>VLOOKUP($G281, 'ADP Data'!$B$4:$Q$300, 4, FALSE)</f>
        <v>#N/A</v>
      </c>
      <c r="Q281" s="11" t="e">
        <f>VLOOKUP($G281, 'ADP Data'!$B$4:$Q$300, 5, FALSE)</f>
        <v>#N/A</v>
      </c>
      <c r="R281" s="11" t="e">
        <f>VLOOKUP($G281, 'ADP Data'!$B$4:$Q$300, 7, FALSE)</f>
        <v>#N/A</v>
      </c>
      <c r="S281" s="11" t="e">
        <f>VLOOKUP($G281, 'ADP Data'!$B$4:$Q$300, 8, FALSE)</f>
        <v>#N/A</v>
      </c>
      <c r="T281" s="11" t="e">
        <f>VLOOKUP($G281, 'ADP Data'!$B$4:$Q$300, 9, FALSE)</f>
        <v>#N/A</v>
      </c>
      <c r="U281" s="11" t="e">
        <f t="shared" si="3"/>
        <v>#N/A</v>
      </c>
      <c r="V281" s="11"/>
    </row>
    <row r="282" spans="1:22" ht="14.25" customHeight="1" x14ac:dyDescent="0.25">
      <c r="A282" s="11"/>
      <c r="B282" s="11" t="e">
        <f t="shared" si="6"/>
        <v>#N/A</v>
      </c>
      <c r="C282" s="11" t="s">
        <v>148</v>
      </c>
      <c r="D282" s="11"/>
      <c r="E282" s="11"/>
      <c r="F282" s="11"/>
      <c r="G282" s="11" t="s">
        <v>1666</v>
      </c>
      <c r="H282" s="11" t="s">
        <v>81</v>
      </c>
      <c r="I282" s="11" t="s">
        <v>764</v>
      </c>
      <c r="J282" s="85" t="s">
        <v>1667</v>
      </c>
      <c r="K282" s="11"/>
      <c r="L282" s="11"/>
      <c r="M282" s="11">
        <f t="shared" si="5"/>
        <v>16</v>
      </c>
      <c r="N282" s="11" t="e">
        <f>VLOOKUP($G282, 'ADP Data'!$B$4:$Q$300, 6, FALSE)</f>
        <v>#N/A</v>
      </c>
      <c r="O282" s="11" t="e">
        <f>VLOOKUP($G282, 'ADP Data'!$B$4:$Q$300, 10, FALSE)</f>
        <v>#N/A</v>
      </c>
      <c r="P282" s="11" t="e">
        <f>VLOOKUP($G282, 'ADP Data'!$B$4:$Q$300, 4, FALSE)</f>
        <v>#N/A</v>
      </c>
      <c r="Q282" s="11" t="e">
        <f>VLOOKUP($G282, 'ADP Data'!$B$4:$Q$300, 5, FALSE)</f>
        <v>#N/A</v>
      </c>
      <c r="R282" s="11" t="e">
        <f>VLOOKUP($G282, 'ADP Data'!$B$4:$Q$300, 7, FALSE)</f>
        <v>#N/A</v>
      </c>
      <c r="S282" s="11" t="e">
        <f>VLOOKUP($G282, 'ADP Data'!$B$4:$Q$300, 8, FALSE)</f>
        <v>#N/A</v>
      </c>
      <c r="T282" s="11" t="e">
        <f>VLOOKUP($G282, 'ADP Data'!$B$4:$Q$300, 9, FALSE)</f>
        <v>#N/A</v>
      </c>
      <c r="U282" s="11" t="e">
        <f t="shared" si="3"/>
        <v>#N/A</v>
      </c>
      <c r="V282" s="11"/>
    </row>
    <row r="283" spans="1:22" ht="14.25" customHeight="1" x14ac:dyDescent="0.25"/>
    <row r="284" spans="1:22" ht="14.25" customHeight="1" x14ac:dyDescent="0.25"/>
    <row r="285" spans="1:22" ht="14.25" customHeight="1" x14ac:dyDescent="0.25"/>
    <row r="286" spans="1:22" ht="14.25" customHeight="1" x14ac:dyDescent="0.25"/>
    <row r="287" spans="1:22" ht="14.25" customHeight="1" x14ac:dyDescent="0.25"/>
    <row r="288" spans="1:22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5:V282" xr:uid="{00000000-0009-0000-0000-000010000000}">
    <sortState xmlns:xlrd2="http://schemas.microsoft.com/office/spreadsheetml/2017/richdata2" ref="A6:V282">
      <sortCondition ref="L5:L282"/>
    </sortState>
  </autoFilter>
  <mergeCells count="2">
    <mergeCell ref="A2:E2"/>
    <mergeCell ref="A3:E4"/>
  </mergeCells>
  <conditionalFormatting sqref="B6:K1000">
    <cfRule type="expression" dxfId="8" priority="1">
      <formula>$C6="No"</formula>
    </cfRule>
  </conditionalFormatting>
  <conditionalFormatting sqref="L56">
    <cfRule type="expression" dxfId="7" priority="2">
      <formula>$C56="No"</formula>
    </cfRule>
  </conditionalFormatting>
  <conditionalFormatting sqref="L87">
    <cfRule type="expression" dxfId="6" priority="3">
      <formula>$C87="No"</formula>
    </cfRule>
  </conditionalFormatting>
  <conditionalFormatting sqref="M6:M274 M275:N282">
    <cfRule type="cellIs" dxfId="5" priority="4" operator="lessThan">
      <formula>B6</formula>
    </cfRule>
    <cfRule type="cellIs" dxfId="4" priority="5" operator="greaterThan">
      <formula>B6</formula>
    </cfRule>
  </conditionalFormatting>
  <conditionalFormatting sqref="M3:AC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1:V42 V44 V46 V48:V52 V56 V58">
    <cfRule type="expression" dxfId="3" priority="7">
      <formula>$C41="No"</formula>
    </cfRule>
  </conditionalFormatting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1000"/>
  <sheetViews>
    <sheetView workbookViewId="0">
      <pane ySplit="13" topLeftCell="A14" activePane="bottomLeft" state="frozen"/>
      <selection pane="bottomLeft" activeCell="B15" sqref="B15"/>
    </sheetView>
  </sheetViews>
  <sheetFormatPr defaultColWidth="14.42578125" defaultRowHeight="15" customHeight="1" x14ac:dyDescent="0.25"/>
  <cols>
    <col min="1" max="2" width="8.7109375" customWidth="1"/>
    <col min="3" max="3" width="10.7109375" customWidth="1"/>
    <col min="4" max="5" width="8.85546875" customWidth="1"/>
    <col min="6" max="6" width="21.7109375" customWidth="1"/>
    <col min="7" max="8" width="8.7109375" customWidth="1"/>
    <col min="9" max="9" width="16" customWidth="1"/>
    <col min="10" max="10" width="10.28515625" customWidth="1"/>
    <col min="11" max="11" width="8.7109375" customWidth="1"/>
    <col min="12" max="12" width="6.140625" customWidth="1"/>
    <col min="13" max="14" width="8.7109375" customWidth="1"/>
    <col min="15" max="17" width="6.140625" customWidth="1"/>
    <col min="18" max="18" width="6.85546875" customWidth="1"/>
    <col min="19" max="19" width="29.7109375" customWidth="1"/>
    <col min="20" max="26" width="8.7109375" customWidth="1"/>
  </cols>
  <sheetData>
    <row r="1" spans="1:19" ht="14.25" customHeight="1" x14ac:dyDescent="0.35">
      <c r="A1" s="86" t="s">
        <v>1350</v>
      </c>
      <c r="B1" s="2"/>
      <c r="C1" s="2"/>
      <c r="D1" s="2"/>
      <c r="E1" s="2"/>
      <c r="F1" s="2"/>
      <c r="G1" s="2" t="s">
        <v>1351</v>
      </c>
      <c r="H1" s="2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4.25" customHeight="1" x14ac:dyDescent="0.25">
      <c r="A2" s="2"/>
      <c r="B2" s="2"/>
      <c r="C2" s="2"/>
      <c r="D2" s="2"/>
      <c r="E2" s="2"/>
      <c r="F2" s="2"/>
      <c r="G2" s="2" t="s">
        <v>1352</v>
      </c>
      <c r="H2" s="2">
        <v>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4.25" customHeight="1" x14ac:dyDescent="0.25">
      <c r="A3" s="2"/>
      <c r="B3" s="2"/>
      <c r="C3" s="2"/>
      <c r="D3" s="2"/>
      <c r="E3" s="2"/>
      <c r="F3" s="87"/>
      <c r="G3" s="2" t="s">
        <v>1353</v>
      </c>
      <c r="H3" s="2">
        <f>INT((H1)/H2)</f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14.25" customHeight="1" x14ac:dyDescent="0.25">
      <c r="A4" s="2"/>
      <c r="B4" s="2"/>
      <c r="C4" s="2"/>
      <c r="D4" s="2"/>
      <c r="E4" s="2"/>
      <c r="F4" s="87" t="s">
        <v>1354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14.25" customHeight="1" x14ac:dyDescent="0.25">
      <c r="A5" s="2"/>
      <c r="B5" s="2"/>
      <c r="C5" s="2"/>
      <c r="D5" s="2"/>
      <c r="E5" s="2"/>
      <c r="F5" s="2" t="s">
        <v>1355</v>
      </c>
      <c r="G5" s="2">
        <v>1</v>
      </c>
      <c r="H5" s="2"/>
      <c r="I5" s="2" t="s">
        <v>1356</v>
      </c>
      <c r="J5" s="2">
        <v>14</v>
      </c>
      <c r="K5" s="2"/>
      <c r="L5" s="2"/>
      <c r="M5" s="2" t="s">
        <v>1357</v>
      </c>
      <c r="N5" s="2" t="s">
        <v>1358</v>
      </c>
      <c r="O5" s="2"/>
      <c r="P5" s="2"/>
      <c r="Q5" s="2"/>
      <c r="R5" s="2"/>
      <c r="S5" s="2"/>
    </row>
    <row r="6" spans="1:19" ht="14.25" customHeight="1" x14ac:dyDescent="0.25">
      <c r="A6" s="2"/>
      <c r="B6" s="2"/>
      <c r="C6" s="2"/>
      <c r="D6" s="2"/>
      <c r="E6" s="2"/>
      <c r="F6" s="2" t="s">
        <v>1359</v>
      </c>
      <c r="G6" s="2">
        <v>3</v>
      </c>
      <c r="H6" s="2"/>
      <c r="I6" s="2" t="s">
        <v>1360</v>
      </c>
      <c r="J6" s="2">
        <v>6</v>
      </c>
      <c r="K6" s="2"/>
      <c r="L6" s="2"/>
      <c r="M6" s="2" t="s">
        <v>1361</v>
      </c>
      <c r="N6" s="2">
        <v>11</v>
      </c>
      <c r="O6" s="2"/>
      <c r="P6" s="2"/>
      <c r="Q6" s="2"/>
      <c r="R6" s="2"/>
      <c r="S6" s="2"/>
    </row>
    <row r="7" spans="1:19" ht="14.25" customHeight="1" x14ac:dyDescent="0.25">
      <c r="A7" s="2"/>
      <c r="B7" s="2"/>
      <c r="C7" s="2"/>
      <c r="D7" s="2"/>
      <c r="E7" s="2"/>
      <c r="F7" s="2" t="s">
        <v>1362</v>
      </c>
      <c r="G7" s="2">
        <v>3</v>
      </c>
      <c r="H7" s="2"/>
      <c r="I7" s="2" t="s">
        <v>1363</v>
      </c>
      <c r="J7" s="2">
        <v>6</v>
      </c>
      <c r="K7" s="2"/>
      <c r="L7" s="2"/>
      <c r="M7" s="2"/>
      <c r="N7" s="2"/>
      <c r="O7" s="2"/>
      <c r="P7" s="2"/>
      <c r="Q7" s="2"/>
      <c r="R7" s="2"/>
      <c r="S7" s="2"/>
    </row>
    <row r="8" spans="1:19" ht="14.25" customHeight="1" x14ac:dyDescent="0.25">
      <c r="A8" s="2"/>
      <c r="B8" s="2"/>
      <c r="C8" s="2"/>
      <c r="D8" s="2"/>
      <c r="E8" s="2"/>
      <c r="F8" s="2" t="s">
        <v>1364</v>
      </c>
      <c r="G8" s="2">
        <v>3</v>
      </c>
      <c r="H8" s="2"/>
      <c r="I8" s="2" t="s">
        <v>1365</v>
      </c>
      <c r="J8" s="2">
        <v>8</v>
      </c>
      <c r="K8" s="2"/>
      <c r="L8" s="2"/>
      <c r="M8" s="2"/>
      <c r="N8" s="2"/>
      <c r="O8" s="2"/>
      <c r="P8" s="2"/>
      <c r="Q8" s="2"/>
      <c r="R8" s="2"/>
      <c r="S8" s="2"/>
    </row>
    <row r="9" spans="1:19" ht="14.25" customHeight="1" x14ac:dyDescent="0.25">
      <c r="A9" s="2"/>
      <c r="B9" s="2"/>
      <c r="C9" s="2"/>
      <c r="D9" s="2"/>
      <c r="E9" s="2"/>
      <c r="F9" s="2" t="s">
        <v>1366</v>
      </c>
      <c r="G9" s="2">
        <v>2</v>
      </c>
      <c r="H9" s="2"/>
      <c r="I9" s="2" t="s">
        <v>1367</v>
      </c>
      <c r="J9" s="2">
        <v>8</v>
      </c>
      <c r="K9" s="2"/>
      <c r="L9" s="2"/>
      <c r="M9" s="2"/>
      <c r="N9" s="2"/>
      <c r="O9" s="2"/>
      <c r="P9" s="2"/>
      <c r="Q9" s="2"/>
      <c r="R9" s="2"/>
      <c r="S9" s="2"/>
    </row>
    <row r="10" spans="1:19" ht="14.25" customHeight="1" x14ac:dyDescent="0.25">
      <c r="A10" s="2"/>
      <c r="B10" s="2"/>
      <c r="C10" s="2"/>
      <c r="D10" s="2"/>
      <c r="E10" s="2"/>
      <c r="F10" s="2" t="s">
        <v>1369</v>
      </c>
      <c r="G10" s="2">
        <v>4</v>
      </c>
      <c r="H10" s="2"/>
      <c r="I10" s="2" t="s">
        <v>1370</v>
      </c>
      <c r="J10" s="2">
        <v>10</v>
      </c>
      <c r="K10" s="2"/>
      <c r="L10" s="2"/>
      <c r="M10" s="2"/>
      <c r="N10" s="2"/>
      <c r="O10" s="2"/>
      <c r="P10" s="2"/>
      <c r="Q10" s="2"/>
      <c r="R10" s="2"/>
      <c r="S10" s="2"/>
    </row>
    <row r="11" spans="1:19" ht="14.25" customHeight="1" x14ac:dyDescent="0.25">
      <c r="A11" s="2"/>
      <c r="B11" s="2"/>
      <c r="C11" s="2"/>
      <c r="D11" s="2"/>
      <c r="E11" s="2"/>
      <c r="F11" s="2" t="s">
        <v>1371</v>
      </c>
      <c r="G11" s="2">
        <v>3</v>
      </c>
      <c r="H11" s="2"/>
      <c r="I11" s="2" t="s">
        <v>1373</v>
      </c>
      <c r="J11" s="2">
        <v>15</v>
      </c>
      <c r="K11" s="2"/>
      <c r="L11" s="2"/>
      <c r="M11" s="2"/>
      <c r="N11" s="2"/>
      <c r="O11" s="2"/>
      <c r="P11" s="2"/>
      <c r="Q11" s="2"/>
      <c r="R11" s="2"/>
      <c r="S11" s="2"/>
    </row>
    <row r="12" spans="1:19" ht="14.25" customHeight="1" x14ac:dyDescent="0.25">
      <c r="A12" s="2"/>
      <c r="B12" s="2"/>
      <c r="C12" s="2"/>
      <c r="D12" s="2"/>
      <c r="E12" s="2"/>
      <c r="F12" s="87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14.25" customHeight="1" x14ac:dyDescent="0.25">
      <c r="A13" s="88" t="s">
        <v>1374</v>
      </c>
      <c r="B13" s="16" t="s">
        <v>96</v>
      </c>
      <c r="C13" s="17" t="s">
        <v>99</v>
      </c>
      <c r="D13" s="17" t="s">
        <v>1035</v>
      </c>
      <c r="E13" s="17" t="s">
        <v>27</v>
      </c>
      <c r="F13" s="4" t="s">
        <v>5</v>
      </c>
      <c r="G13" s="4" t="s">
        <v>8</v>
      </c>
      <c r="H13" s="4" t="s">
        <v>7</v>
      </c>
      <c r="I13" s="89" t="s">
        <v>28</v>
      </c>
      <c r="J13" s="89" t="s">
        <v>29</v>
      </c>
      <c r="K13" s="18" t="s">
        <v>102</v>
      </c>
      <c r="L13" s="18" t="s">
        <v>18</v>
      </c>
      <c r="M13" s="15" t="s">
        <v>9</v>
      </c>
      <c r="N13" s="15" t="s">
        <v>10</v>
      </c>
      <c r="O13" s="15" t="s">
        <v>12</v>
      </c>
      <c r="P13" s="15" t="s">
        <v>19</v>
      </c>
      <c r="Q13" s="15" t="s">
        <v>15</v>
      </c>
      <c r="R13" s="16" t="s">
        <v>110</v>
      </c>
      <c r="S13" s="4" t="s">
        <v>30</v>
      </c>
    </row>
    <row r="14" spans="1:19" ht="14.25" customHeight="1" x14ac:dyDescent="0.25">
      <c r="A14" s="2"/>
      <c r="B14" s="34">
        <f t="shared" ref="B14:B268" si="0">IFERROR(INT(AVERAGE(L14:Q14)/12)+1, INT(AVERAGE(L14)/12)+1)</f>
        <v>1</v>
      </c>
      <c r="C14" s="34" t="s">
        <v>148</v>
      </c>
      <c r="D14" s="34">
        <v>73</v>
      </c>
      <c r="E14" s="34"/>
      <c r="F14" s="11" t="s">
        <v>54</v>
      </c>
      <c r="G14" s="11" t="s">
        <v>160</v>
      </c>
      <c r="H14" s="11" t="s">
        <v>762</v>
      </c>
      <c r="I14" s="11" t="s">
        <v>45</v>
      </c>
      <c r="J14" s="11">
        <v>1</v>
      </c>
      <c r="K14" s="90">
        <f t="shared" ref="K14:K268" si="1">INT(AVERAGE(L14)/12)+1</f>
        <v>1</v>
      </c>
      <c r="L14" s="11">
        <v>1</v>
      </c>
      <c r="M14" s="11">
        <v>1</v>
      </c>
      <c r="N14" s="11">
        <v>1</v>
      </c>
      <c r="O14" s="11">
        <v>1</v>
      </c>
      <c r="P14" s="11">
        <v>1</v>
      </c>
      <c r="Q14" s="11">
        <v>1</v>
      </c>
      <c r="R14" s="11">
        <f t="shared" ref="R14:R268" si="2">INT(AVERAGE(L14:Q14))</f>
        <v>1</v>
      </c>
      <c r="S14" s="34"/>
    </row>
    <row r="15" spans="1:19" ht="14.25" customHeight="1" x14ac:dyDescent="0.25">
      <c r="A15" s="2"/>
      <c r="B15" s="34">
        <f t="shared" si="0"/>
        <v>1</v>
      </c>
      <c r="C15" s="34" t="s">
        <v>148</v>
      </c>
      <c r="D15" s="34">
        <v>60</v>
      </c>
      <c r="E15" s="34"/>
      <c r="F15" s="11" t="s">
        <v>1220</v>
      </c>
      <c r="G15" s="11" t="s">
        <v>129</v>
      </c>
      <c r="H15" s="11" t="s">
        <v>764</v>
      </c>
      <c r="I15" s="11" t="s">
        <v>73</v>
      </c>
      <c r="J15" s="11">
        <v>1</v>
      </c>
      <c r="K15" s="90">
        <f t="shared" si="1"/>
        <v>1</v>
      </c>
      <c r="L15" s="11">
        <v>6</v>
      </c>
      <c r="M15" s="11">
        <v>8</v>
      </c>
      <c r="N15" s="11">
        <v>6</v>
      </c>
      <c r="O15" s="11">
        <v>6</v>
      </c>
      <c r="P15" s="11">
        <v>5</v>
      </c>
      <c r="Q15" s="11">
        <v>3</v>
      </c>
      <c r="R15" s="11">
        <f t="shared" si="2"/>
        <v>5</v>
      </c>
      <c r="S15" s="34"/>
    </row>
    <row r="16" spans="1:19" ht="14.25" customHeight="1" x14ac:dyDescent="0.25">
      <c r="A16" s="2"/>
      <c r="B16" s="34">
        <f t="shared" si="0"/>
        <v>2</v>
      </c>
      <c r="C16" s="34" t="s">
        <v>148</v>
      </c>
      <c r="D16" s="34">
        <v>30</v>
      </c>
      <c r="E16" s="34"/>
      <c r="F16" s="11" t="s">
        <v>174</v>
      </c>
      <c r="G16" s="11" t="s">
        <v>91</v>
      </c>
      <c r="H16" s="11" t="s">
        <v>760</v>
      </c>
      <c r="I16" s="11" t="s">
        <v>1376</v>
      </c>
      <c r="J16" s="11">
        <v>1</v>
      </c>
      <c r="K16" s="90">
        <f t="shared" si="1"/>
        <v>2</v>
      </c>
      <c r="L16" s="11">
        <v>16</v>
      </c>
      <c r="M16" s="11">
        <v>9</v>
      </c>
      <c r="N16" s="11">
        <v>16</v>
      </c>
      <c r="O16" s="11">
        <v>23</v>
      </c>
      <c r="P16" s="11">
        <v>23</v>
      </c>
      <c r="Q16" s="11">
        <v>11</v>
      </c>
      <c r="R16" s="11">
        <f t="shared" si="2"/>
        <v>16</v>
      </c>
      <c r="S16" s="34"/>
    </row>
    <row r="17" spans="1:19" ht="14.25" customHeight="1" x14ac:dyDescent="0.25">
      <c r="A17" s="2"/>
      <c r="B17" s="34">
        <f t="shared" si="0"/>
        <v>1</v>
      </c>
      <c r="C17" s="34" t="s">
        <v>148</v>
      </c>
      <c r="D17" s="34">
        <v>66</v>
      </c>
      <c r="E17" s="34"/>
      <c r="F17" s="11" t="s">
        <v>907</v>
      </c>
      <c r="G17" s="11" t="s">
        <v>69</v>
      </c>
      <c r="H17" s="11" t="s">
        <v>762</v>
      </c>
      <c r="I17" s="11" t="s">
        <v>45</v>
      </c>
      <c r="J17" s="11">
        <v>2</v>
      </c>
      <c r="K17" s="90">
        <f t="shared" si="1"/>
        <v>1</v>
      </c>
      <c r="L17" s="11">
        <v>3</v>
      </c>
      <c r="M17" s="11">
        <v>3</v>
      </c>
      <c r="N17" s="11">
        <v>3</v>
      </c>
      <c r="O17" s="11">
        <v>3</v>
      </c>
      <c r="P17" s="11">
        <v>3</v>
      </c>
      <c r="Q17" s="11">
        <v>4</v>
      </c>
      <c r="R17" s="11">
        <f t="shared" si="2"/>
        <v>3</v>
      </c>
      <c r="S17" s="34"/>
    </row>
    <row r="18" spans="1:19" ht="14.25" customHeight="1" x14ac:dyDescent="0.25">
      <c r="A18" s="2"/>
      <c r="B18" s="34">
        <f t="shared" si="0"/>
        <v>2</v>
      </c>
      <c r="C18" s="34" t="s">
        <v>148</v>
      </c>
      <c r="D18" s="34">
        <v>30</v>
      </c>
      <c r="E18" s="34"/>
      <c r="F18" s="11" t="s">
        <v>310</v>
      </c>
      <c r="G18" s="11" t="s">
        <v>85</v>
      </c>
      <c r="H18" s="11" t="s">
        <v>760</v>
      </c>
      <c r="I18" s="11" t="s">
        <v>1376</v>
      </c>
      <c r="J18" s="11">
        <v>2</v>
      </c>
      <c r="K18" s="90">
        <f t="shared" si="1"/>
        <v>1</v>
      </c>
      <c r="L18" s="11">
        <v>8</v>
      </c>
      <c r="M18" s="11">
        <v>7</v>
      </c>
      <c r="N18" s="11">
        <v>11</v>
      </c>
      <c r="O18" s="11">
        <v>24</v>
      </c>
      <c r="P18" s="11">
        <v>24</v>
      </c>
      <c r="Q18" s="11">
        <v>10</v>
      </c>
      <c r="R18" s="11">
        <f t="shared" si="2"/>
        <v>14</v>
      </c>
      <c r="S18" s="34"/>
    </row>
    <row r="19" spans="1:19" ht="14.25" customHeight="1" x14ac:dyDescent="0.25">
      <c r="A19" s="2"/>
      <c r="B19" s="34">
        <f t="shared" si="0"/>
        <v>2</v>
      </c>
      <c r="C19" s="34" t="s">
        <v>148</v>
      </c>
      <c r="D19" s="34">
        <v>41</v>
      </c>
      <c r="E19" s="34"/>
      <c r="F19" s="11" t="s">
        <v>190</v>
      </c>
      <c r="G19" s="11" t="s">
        <v>85</v>
      </c>
      <c r="H19" s="11" t="s">
        <v>764</v>
      </c>
      <c r="I19" s="11" t="s">
        <v>73</v>
      </c>
      <c r="J19" s="11">
        <v>2</v>
      </c>
      <c r="K19" s="90">
        <f t="shared" si="1"/>
        <v>1</v>
      </c>
      <c r="L19" s="11">
        <v>11</v>
      </c>
      <c r="M19" s="11">
        <v>17</v>
      </c>
      <c r="N19" s="11">
        <v>13</v>
      </c>
      <c r="O19" s="11">
        <v>17</v>
      </c>
      <c r="P19" s="11">
        <v>10</v>
      </c>
      <c r="Q19" s="11">
        <v>12</v>
      </c>
      <c r="R19" s="11">
        <f t="shared" si="2"/>
        <v>13</v>
      </c>
      <c r="S19" s="34"/>
    </row>
    <row r="20" spans="1:19" ht="14.25" customHeight="1" x14ac:dyDescent="0.25">
      <c r="A20" s="2"/>
      <c r="B20" s="34">
        <f t="shared" si="0"/>
        <v>1</v>
      </c>
      <c r="C20" s="34" t="s">
        <v>148</v>
      </c>
      <c r="D20" s="34">
        <v>74</v>
      </c>
      <c r="E20" s="34"/>
      <c r="F20" s="11" t="s">
        <v>77</v>
      </c>
      <c r="G20" s="11" t="s">
        <v>126</v>
      </c>
      <c r="H20" s="11" t="s">
        <v>762</v>
      </c>
      <c r="I20" s="11" t="s">
        <v>45</v>
      </c>
      <c r="J20" s="11">
        <v>3</v>
      </c>
      <c r="K20" s="90">
        <f t="shared" si="1"/>
        <v>1</v>
      </c>
      <c r="L20" s="11">
        <v>2</v>
      </c>
      <c r="M20" s="11">
        <v>2</v>
      </c>
      <c r="N20" s="11">
        <v>2</v>
      </c>
      <c r="O20" s="11">
        <v>2</v>
      </c>
      <c r="P20" s="11">
        <v>2</v>
      </c>
      <c r="Q20" s="11">
        <v>2</v>
      </c>
      <c r="R20" s="11">
        <f t="shared" si="2"/>
        <v>2</v>
      </c>
      <c r="S20" s="34"/>
    </row>
    <row r="21" spans="1:19" ht="14.25" customHeight="1" x14ac:dyDescent="0.25">
      <c r="A21" s="2"/>
      <c r="B21" s="34">
        <f t="shared" si="0"/>
        <v>2</v>
      </c>
      <c r="C21" s="34" t="s">
        <v>148</v>
      </c>
      <c r="D21" s="34">
        <v>38</v>
      </c>
      <c r="E21" s="34"/>
      <c r="F21" s="11" t="s">
        <v>1242</v>
      </c>
      <c r="G21" s="11" t="s">
        <v>39</v>
      </c>
      <c r="H21" s="11" t="s">
        <v>764</v>
      </c>
      <c r="I21" s="11" t="s">
        <v>73</v>
      </c>
      <c r="J21" s="11">
        <v>3</v>
      </c>
      <c r="K21" s="90">
        <f t="shared" si="1"/>
        <v>2</v>
      </c>
      <c r="L21" s="11">
        <v>14</v>
      </c>
      <c r="M21" s="11">
        <v>14</v>
      </c>
      <c r="N21" s="11">
        <v>14</v>
      </c>
      <c r="O21" s="11">
        <v>20</v>
      </c>
      <c r="P21" s="11">
        <v>15</v>
      </c>
      <c r="Q21" s="11">
        <v>13</v>
      </c>
      <c r="R21" s="11">
        <f t="shared" si="2"/>
        <v>15</v>
      </c>
      <c r="S21" s="34"/>
    </row>
    <row r="22" spans="1:19" ht="14.25" customHeight="1" x14ac:dyDescent="0.25">
      <c r="A22" s="2"/>
      <c r="B22" s="34">
        <f t="shared" si="0"/>
        <v>4</v>
      </c>
      <c r="C22" s="34" t="s">
        <v>148</v>
      </c>
      <c r="D22" s="34">
        <v>9</v>
      </c>
      <c r="E22" s="34" t="s">
        <v>148</v>
      </c>
      <c r="F22" s="11" t="s">
        <v>254</v>
      </c>
      <c r="G22" s="11" t="s">
        <v>69</v>
      </c>
      <c r="H22" s="11" t="s">
        <v>760</v>
      </c>
      <c r="I22" s="11" t="s">
        <v>1379</v>
      </c>
      <c r="J22" s="11">
        <v>3</v>
      </c>
      <c r="K22" s="90">
        <f t="shared" si="1"/>
        <v>4</v>
      </c>
      <c r="L22" s="11">
        <v>43</v>
      </c>
      <c r="M22" s="11">
        <v>25</v>
      </c>
      <c r="N22" s="11">
        <v>50</v>
      </c>
      <c r="O22" s="11">
        <v>62</v>
      </c>
      <c r="P22" s="11">
        <v>41</v>
      </c>
      <c r="Q22" s="11">
        <v>47</v>
      </c>
      <c r="R22" s="11">
        <f t="shared" si="2"/>
        <v>44</v>
      </c>
      <c r="S22" s="34"/>
    </row>
    <row r="23" spans="1:19" ht="14.25" customHeight="1" x14ac:dyDescent="0.25">
      <c r="A23" s="2"/>
      <c r="B23" s="34">
        <f t="shared" si="0"/>
        <v>2</v>
      </c>
      <c r="C23" s="34" t="s">
        <v>148</v>
      </c>
      <c r="D23" s="34">
        <v>61</v>
      </c>
      <c r="E23" s="34" t="s">
        <v>148</v>
      </c>
      <c r="F23" s="11" t="s">
        <v>964</v>
      </c>
      <c r="G23" s="11" t="s">
        <v>85</v>
      </c>
      <c r="H23" s="11" t="s">
        <v>762</v>
      </c>
      <c r="I23" s="11" t="s">
        <v>1380</v>
      </c>
      <c r="J23" s="11">
        <v>4</v>
      </c>
      <c r="K23" s="90">
        <f t="shared" si="1"/>
        <v>2</v>
      </c>
      <c r="L23" s="11">
        <v>13</v>
      </c>
      <c r="M23" s="11">
        <v>10</v>
      </c>
      <c r="N23" s="11">
        <v>8</v>
      </c>
      <c r="O23" s="11">
        <v>8</v>
      </c>
      <c r="P23" s="11">
        <v>12</v>
      </c>
      <c r="Q23" s="11">
        <v>39</v>
      </c>
      <c r="R23" s="11">
        <f t="shared" si="2"/>
        <v>15</v>
      </c>
      <c r="S23" s="34"/>
    </row>
    <row r="24" spans="1:19" ht="14.25" customHeight="1" x14ac:dyDescent="0.25">
      <c r="A24" s="2"/>
      <c r="B24" s="34">
        <f t="shared" si="0"/>
        <v>3</v>
      </c>
      <c r="C24" s="34" t="s">
        <v>148</v>
      </c>
      <c r="D24" s="34">
        <v>33</v>
      </c>
      <c r="E24" s="34"/>
      <c r="F24" s="11" t="s">
        <v>1252</v>
      </c>
      <c r="G24" s="11" t="s">
        <v>35</v>
      </c>
      <c r="H24" s="11" t="s">
        <v>764</v>
      </c>
      <c r="I24" s="11" t="s">
        <v>1381</v>
      </c>
      <c r="J24" s="11">
        <v>4</v>
      </c>
      <c r="K24" s="90">
        <f t="shared" si="1"/>
        <v>3</v>
      </c>
      <c r="L24" s="11">
        <v>25</v>
      </c>
      <c r="M24" s="11">
        <v>27</v>
      </c>
      <c r="N24" s="11">
        <v>26</v>
      </c>
      <c r="O24" s="11">
        <v>27</v>
      </c>
      <c r="P24" s="11">
        <v>25</v>
      </c>
      <c r="Q24" s="11">
        <v>25</v>
      </c>
      <c r="R24" s="11">
        <f t="shared" si="2"/>
        <v>25</v>
      </c>
      <c r="S24" s="34"/>
    </row>
    <row r="25" spans="1:19" ht="14.25" customHeight="1" x14ac:dyDescent="0.25">
      <c r="A25" s="2"/>
      <c r="B25" s="34">
        <f t="shared" si="0"/>
        <v>5</v>
      </c>
      <c r="C25" s="34" t="s">
        <v>148</v>
      </c>
      <c r="D25" s="34">
        <v>8</v>
      </c>
      <c r="E25" s="34" t="s">
        <v>148</v>
      </c>
      <c r="F25" s="11" t="s">
        <v>355</v>
      </c>
      <c r="G25" s="11" t="s">
        <v>123</v>
      </c>
      <c r="H25" s="11" t="s">
        <v>760</v>
      </c>
      <c r="I25" s="11" t="s">
        <v>1379</v>
      </c>
      <c r="J25" s="11">
        <v>4</v>
      </c>
      <c r="K25" s="90">
        <f t="shared" si="1"/>
        <v>5</v>
      </c>
      <c r="L25" s="11">
        <v>48</v>
      </c>
      <c r="M25" s="11">
        <v>53</v>
      </c>
      <c r="N25" s="11">
        <v>49</v>
      </c>
      <c r="O25" s="11">
        <v>64</v>
      </c>
      <c r="P25" s="11">
        <v>43</v>
      </c>
      <c r="Q25" s="11">
        <v>50</v>
      </c>
      <c r="R25" s="11">
        <f t="shared" si="2"/>
        <v>51</v>
      </c>
      <c r="S25" s="34"/>
    </row>
    <row r="26" spans="1:19" ht="14.25" customHeight="1" x14ac:dyDescent="0.25">
      <c r="A26" s="2"/>
      <c r="B26" s="34">
        <f t="shared" si="0"/>
        <v>1</v>
      </c>
      <c r="C26" s="34" t="s">
        <v>148</v>
      </c>
      <c r="D26" s="34">
        <v>64</v>
      </c>
      <c r="E26" s="34"/>
      <c r="F26" s="11" t="s">
        <v>90</v>
      </c>
      <c r="G26" s="11" t="s">
        <v>229</v>
      </c>
      <c r="H26" s="11" t="s">
        <v>762</v>
      </c>
      <c r="I26" s="11" t="s">
        <v>1380</v>
      </c>
      <c r="J26" s="11">
        <v>5</v>
      </c>
      <c r="K26" s="90">
        <f t="shared" si="1"/>
        <v>1</v>
      </c>
      <c r="L26" s="11">
        <v>5</v>
      </c>
      <c r="M26" s="11">
        <v>6</v>
      </c>
      <c r="N26" s="11">
        <v>7</v>
      </c>
      <c r="O26" s="11">
        <v>7</v>
      </c>
      <c r="P26" s="11">
        <v>7</v>
      </c>
      <c r="Q26" s="11">
        <v>6</v>
      </c>
      <c r="R26" s="11">
        <f t="shared" si="2"/>
        <v>6</v>
      </c>
      <c r="S26" s="34"/>
    </row>
    <row r="27" spans="1:19" ht="14.25" customHeight="1" x14ac:dyDescent="0.25">
      <c r="A27" s="2"/>
      <c r="B27" s="34">
        <f t="shared" si="0"/>
        <v>1</v>
      </c>
      <c r="C27" s="34" t="s">
        <v>148</v>
      </c>
      <c r="D27" s="34">
        <v>48</v>
      </c>
      <c r="E27" s="34"/>
      <c r="F27" s="11" t="s">
        <v>192</v>
      </c>
      <c r="G27" s="11" t="s">
        <v>214</v>
      </c>
      <c r="H27" s="11" t="s">
        <v>764</v>
      </c>
      <c r="I27" s="11" t="s">
        <v>1381</v>
      </c>
      <c r="J27" s="11">
        <v>5</v>
      </c>
      <c r="K27" s="90">
        <f t="shared" si="1"/>
        <v>1</v>
      </c>
      <c r="L27" s="11">
        <v>10</v>
      </c>
      <c r="M27" s="11">
        <v>11</v>
      </c>
      <c r="N27" s="11">
        <v>12</v>
      </c>
      <c r="O27" s="11">
        <v>12</v>
      </c>
      <c r="P27" s="11">
        <v>8</v>
      </c>
      <c r="Q27" s="11">
        <v>9</v>
      </c>
      <c r="R27" s="11">
        <f t="shared" si="2"/>
        <v>10</v>
      </c>
      <c r="S27" s="34"/>
    </row>
    <row r="28" spans="1:19" ht="14.25" customHeight="1" x14ac:dyDescent="0.25">
      <c r="A28" s="2"/>
      <c r="B28" s="34">
        <f t="shared" si="0"/>
        <v>4</v>
      </c>
      <c r="C28" s="34" t="s">
        <v>148</v>
      </c>
      <c r="D28" s="34">
        <v>9</v>
      </c>
      <c r="E28" s="34"/>
      <c r="F28" s="11" t="s">
        <v>949</v>
      </c>
      <c r="G28" s="11" t="s">
        <v>52</v>
      </c>
      <c r="H28" s="11" t="s">
        <v>760</v>
      </c>
      <c r="I28" s="11" t="s">
        <v>1379</v>
      </c>
      <c r="J28" s="11">
        <v>5</v>
      </c>
      <c r="K28" s="90">
        <f t="shared" si="1"/>
        <v>4</v>
      </c>
      <c r="L28" s="11">
        <v>42</v>
      </c>
      <c r="M28" s="11">
        <v>40</v>
      </c>
      <c r="N28" s="11">
        <v>45</v>
      </c>
      <c r="O28" s="11">
        <v>71</v>
      </c>
      <c r="P28" s="11">
        <v>44</v>
      </c>
      <c r="Q28" s="11">
        <v>35</v>
      </c>
      <c r="R28" s="11">
        <f t="shared" si="2"/>
        <v>46</v>
      </c>
      <c r="S28" s="34"/>
    </row>
    <row r="29" spans="1:19" ht="14.25" customHeight="1" x14ac:dyDescent="0.25">
      <c r="A29" s="91"/>
      <c r="B29" s="34">
        <f t="shared" si="0"/>
        <v>1</v>
      </c>
      <c r="C29" s="34" t="s">
        <v>148</v>
      </c>
      <c r="D29" s="34">
        <v>71</v>
      </c>
      <c r="E29" s="34"/>
      <c r="F29" s="11" t="s">
        <v>1127</v>
      </c>
      <c r="G29" s="11" t="s">
        <v>72</v>
      </c>
      <c r="H29" s="11" t="s">
        <v>762</v>
      </c>
      <c r="I29" s="11" t="s">
        <v>1380</v>
      </c>
      <c r="J29" s="11">
        <v>6</v>
      </c>
      <c r="K29" s="90">
        <f t="shared" si="1"/>
        <v>1</v>
      </c>
      <c r="L29" s="11">
        <v>7</v>
      </c>
      <c r="M29" s="11">
        <v>5</v>
      </c>
      <c r="N29" s="11">
        <v>5</v>
      </c>
      <c r="O29" s="11">
        <v>5</v>
      </c>
      <c r="P29" s="11">
        <v>6</v>
      </c>
      <c r="Q29" s="11">
        <v>7</v>
      </c>
      <c r="R29" s="11">
        <f t="shared" si="2"/>
        <v>5</v>
      </c>
      <c r="S29" s="34"/>
    </row>
    <row r="30" spans="1:19" ht="14.25" customHeight="1" x14ac:dyDescent="0.25">
      <c r="A30" s="2"/>
      <c r="B30" s="34">
        <f t="shared" si="0"/>
        <v>2</v>
      </c>
      <c r="C30" s="34" t="s">
        <v>148</v>
      </c>
      <c r="D30" s="34">
        <v>36</v>
      </c>
      <c r="E30" s="34"/>
      <c r="F30" s="11" t="s">
        <v>264</v>
      </c>
      <c r="G30" s="11" t="s">
        <v>163</v>
      </c>
      <c r="H30" s="11" t="s">
        <v>764</v>
      </c>
      <c r="I30" s="11" t="s">
        <v>1381</v>
      </c>
      <c r="J30" s="11">
        <v>6</v>
      </c>
      <c r="K30" s="90">
        <f t="shared" si="1"/>
        <v>3</v>
      </c>
      <c r="L30" s="11">
        <v>24</v>
      </c>
      <c r="M30" s="11">
        <v>24</v>
      </c>
      <c r="N30" s="11">
        <v>22</v>
      </c>
      <c r="O30" s="11">
        <v>22</v>
      </c>
      <c r="P30" s="11">
        <v>22</v>
      </c>
      <c r="Q30" s="11">
        <v>15</v>
      </c>
      <c r="R30" s="11">
        <f t="shared" si="2"/>
        <v>21</v>
      </c>
      <c r="S30" s="34"/>
    </row>
    <row r="31" spans="1:19" ht="14.25" customHeight="1" x14ac:dyDescent="0.25">
      <c r="A31" s="2"/>
      <c r="B31" s="34">
        <f t="shared" si="0"/>
        <v>4</v>
      </c>
      <c r="C31" s="34" t="s">
        <v>148</v>
      </c>
      <c r="D31" s="34">
        <v>8</v>
      </c>
      <c r="E31" s="34" t="s">
        <v>148</v>
      </c>
      <c r="F31" s="11" t="s">
        <v>695</v>
      </c>
      <c r="G31" s="11" t="s">
        <v>116</v>
      </c>
      <c r="H31" s="11" t="s">
        <v>760</v>
      </c>
      <c r="I31" s="11" t="s">
        <v>1379</v>
      </c>
      <c r="J31" s="11">
        <v>6</v>
      </c>
      <c r="K31" s="90">
        <f t="shared" si="1"/>
        <v>5</v>
      </c>
      <c r="L31" s="11">
        <v>52</v>
      </c>
      <c r="M31" s="11">
        <v>39</v>
      </c>
      <c r="N31" s="11">
        <v>38</v>
      </c>
      <c r="O31" s="11">
        <v>70</v>
      </c>
      <c r="P31" s="11">
        <v>48</v>
      </c>
      <c r="Q31" s="11">
        <v>36</v>
      </c>
      <c r="R31" s="11">
        <f t="shared" si="2"/>
        <v>47</v>
      </c>
      <c r="S31" s="34"/>
    </row>
    <row r="32" spans="1:19" ht="14.25" customHeight="1" x14ac:dyDescent="0.25">
      <c r="A32" s="2" t="s">
        <v>1156</v>
      </c>
      <c r="B32" s="34">
        <f t="shared" si="0"/>
        <v>1</v>
      </c>
      <c r="C32" s="34" t="s">
        <v>148</v>
      </c>
      <c r="D32" s="34">
        <v>62</v>
      </c>
      <c r="E32" s="34"/>
      <c r="F32" s="11" t="s">
        <v>417</v>
      </c>
      <c r="G32" s="11" t="s">
        <v>129</v>
      </c>
      <c r="H32" s="11" t="s">
        <v>762</v>
      </c>
      <c r="I32" s="11" t="s">
        <v>1380</v>
      </c>
      <c r="J32" s="11">
        <v>7</v>
      </c>
      <c r="K32" s="90">
        <f t="shared" si="1"/>
        <v>1</v>
      </c>
      <c r="L32" s="11">
        <v>4</v>
      </c>
      <c r="M32" s="11">
        <v>4</v>
      </c>
      <c r="N32" s="11">
        <v>4</v>
      </c>
      <c r="O32" s="11">
        <v>4</v>
      </c>
      <c r="P32" s="11">
        <v>4</v>
      </c>
      <c r="Q32" s="11">
        <v>5</v>
      </c>
      <c r="R32" s="11">
        <f t="shared" si="2"/>
        <v>4</v>
      </c>
      <c r="S32" s="34"/>
    </row>
    <row r="33" spans="1:19" ht="14.25" customHeight="1" x14ac:dyDescent="0.25">
      <c r="A33" s="2"/>
      <c r="B33" s="34">
        <f t="shared" si="0"/>
        <v>3</v>
      </c>
      <c r="C33" s="34" t="s">
        <v>148</v>
      </c>
      <c r="D33" s="34">
        <v>37</v>
      </c>
      <c r="E33" s="34"/>
      <c r="F33" s="11" t="s">
        <v>220</v>
      </c>
      <c r="G33" s="11" t="s">
        <v>163</v>
      </c>
      <c r="H33" s="11" t="s">
        <v>764</v>
      </c>
      <c r="I33" s="11" t="s">
        <v>1381</v>
      </c>
      <c r="J33" s="11">
        <v>7</v>
      </c>
      <c r="K33" s="90">
        <f t="shared" si="1"/>
        <v>3</v>
      </c>
      <c r="L33" s="11">
        <v>27</v>
      </c>
      <c r="M33" s="11">
        <v>29</v>
      </c>
      <c r="N33" s="11">
        <v>23</v>
      </c>
      <c r="O33" s="11">
        <v>30</v>
      </c>
      <c r="P33" s="11">
        <v>26</v>
      </c>
      <c r="Q33" s="11">
        <v>23</v>
      </c>
      <c r="R33" s="11">
        <f t="shared" si="2"/>
        <v>26</v>
      </c>
      <c r="S33" s="34"/>
    </row>
    <row r="34" spans="1:19" ht="14.25" customHeight="1" x14ac:dyDescent="0.25">
      <c r="A34" s="2" t="s">
        <v>1156</v>
      </c>
      <c r="B34" s="34">
        <f t="shared" si="0"/>
        <v>7</v>
      </c>
      <c r="C34" s="34" t="s">
        <v>148</v>
      </c>
      <c r="D34" s="34">
        <v>3</v>
      </c>
      <c r="E34" s="34"/>
      <c r="F34" s="11" t="s">
        <v>131</v>
      </c>
      <c r="G34" s="11" t="s">
        <v>66</v>
      </c>
      <c r="H34" s="11" t="s">
        <v>760</v>
      </c>
      <c r="I34" s="11" t="s">
        <v>1385</v>
      </c>
      <c r="J34" s="11">
        <v>7</v>
      </c>
      <c r="K34" s="90">
        <f t="shared" si="1"/>
        <v>6</v>
      </c>
      <c r="L34" s="11">
        <v>67</v>
      </c>
      <c r="M34" s="11">
        <v>66</v>
      </c>
      <c r="N34" s="11">
        <v>93</v>
      </c>
      <c r="O34" s="11">
        <v>89</v>
      </c>
      <c r="P34" s="11">
        <v>62</v>
      </c>
      <c r="Q34" s="11">
        <v>82</v>
      </c>
      <c r="R34" s="11">
        <f t="shared" si="2"/>
        <v>76</v>
      </c>
      <c r="S34" s="34"/>
    </row>
    <row r="35" spans="1:19" ht="14.25" customHeight="1" x14ac:dyDescent="0.25">
      <c r="A35" s="2"/>
      <c r="B35" s="34">
        <f t="shared" si="0"/>
        <v>2</v>
      </c>
      <c r="C35" s="34" t="s">
        <v>148</v>
      </c>
      <c r="D35" s="34">
        <v>55</v>
      </c>
      <c r="E35" s="34"/>
      <c r="F35" s="11" t="s">
        <v>902</v>
      </c>
      <c r="G35" s="11" t="s">
        <v>187</v>
      </c>
      <c r="H35" s="11" t="s">
        <v>762</v>
      </c>
      <c r="I35" s="11" t="s">
        <v>1380</v>
      </c>
      <c r="J35" s="11">
        <v>8</v>
      </c>
      <c r="K35" s="90">
        <f t="shared" si="1"/>
        <v>2</v>
      </c>
      <c r="L35" s="11">
        <v>12</v>
      </c>
      <c r="M35" s="11">
        <v>15</v>
      </c>
      <c r="N35" s="11">
        <v>10</v>
      </c>
      <c r="O35" s="11">
        <v>16</v>
      </c>
      <c r="P35" s="11">
        <v>16</v>
      </c>
      <c r="Q35" s="11">
        <v>14</v>
      </c>
      <c r="R35" s="11">
        <f t="shared" si="2"/>
        <v>13</v>
      </c>
      <c r="S35" s="34"/>
    </row>
    <row r="36" spans="1:19" ht="14.25" customHeight="1" x14ac:dyDescent="0.25">
      <c r="A36" s="2"/>
      <c r="B36" s="34">
        <f t="shared" si="0"/>
        <v>8</v>
      </c>
      <c r="C36" s="34" t="s">
        <v>148</v>
      </c>
      <c r="D36" s="34"/>
      <c r="E36" s="34" t="s">
        <v>148</v>
      </c>
      <c r="F36" s="11" t="s">
        <v>1195</v>
      </c>
      <c r="G36" s="11" t="s">
        <v>78</v>
      </c>
      <c r="H36" s="11" t="s">
        <v>760</v>
      </c>
      <c r="I36" s="11" t="s">
        <v>1385</v>
      </c>
      <c r="J36" s="11">
        <v>8</v>
      </c>
      <c r="K36" s="90">
        <f t="shared" si="1"/>
        <v>8</v>
      </c>
      <c r="L36" s="11">
        <v>92</v>
      </c>
      <c r="M36" s="11">
        <v>86</v>
      </c>
      <c r="N36" s="11">
        <v>98</v>
      </c>
      <c r="O36" s="11">
        <v>100</v>
      </c>
      <c r="P36" s="11">
        <v>90</v>
      </c>
      <c r="Q36" s="11">
        <v>62</v>
      </c>
      <c r="R36" s="11">
        <f t="shared" si="2"/>
        <v>88</v>
      </c>
      <c r="S36" s="34" t="s">
        <v>1386</v>
      </c>
    </row>
    <row r="37" spans="1:19" ht="14.25" customHeight="1" x14ac:dyDescent="0.25">
      <c r="A37" s="2"/>
      <c r="B37" s="34">
        <f t="shared" si="0"/>
        <v>2</v>
      </c>
      <c r="C37" s="34" t="s">
        <v>148</v>
      </c>
      <c r="D37" s="34">
        <v>47</v>
      </c>
      <c r="E37" s="34"/>
      <c r="F37" s="11" t="s">
        <v>1245</v>
      </c>
      <c r="G37" s="11" t="s">
        <v>123</v>
      </c>
      <c r="H37" s="11" t="s">
        <v>762</v>
      </c>
      <c r="I37" s="11" t="s">
        <v>1387</v>
      </c>
      <c r="J37" s="11">
        <v>9</v>
      </c>
      <c r="K37" s="90">
        <f t="shared" si="1"/>
        <v>2</v>
      </c>
      <c r="L37" s="11">
        <v>17</v>
      </c>
      <c r="M37" s="11">
        <v>21</v>
      </c>
      <c r="N37" s="11">
        <v>18</v>
      </c>
      <c r="O37" s="11">
        <v>15</v>
      </c>
      <c r="P37" s="11">
        <v>14</v>
      </c>
      <c r="Q37" s="11">
        <v>27</v>
      </c>
      <c r="R37" s="11">
        <f t="shared" si="2"/>
        <v>18</v>
      </c>
      <c r="S37" s="34"/>
    </row>
    <row r="38" spans="1:19" ht="14.25" customHeight="1" x14ac:dyDescent="0.25">
      <c r="A38" s="91"/>
      <c r="B38" s="34">
        <f t="shared" si="0"/>
        <v>3</v>
      </c>
      <c r="C38" s="34" t="s">
        <v>148</v>
      </c>
      <c r="D38" s="34">
        <v>31</v>
      </c>
      <c r="E38" s="34"/>
      <c r="F38" s="11" t="s">
        <v>920</v>
      </c>
      <c r="G38" s="11" t="s">
        <v>72</v>
      </c>
      <c r="H38" s="11" t="s">
        <v>764</v>
      </c>
      <c r="I38" s="11" t="s">
        <v>1388</v>
      </c>
      <c r="J38" s="11">
        <v>9</v>
      </c>
      <c r="K38" s="90">
        <f t="shared" si="1"/>
        <v>3</v>
      </c>
      <c r="L38" s="11">
        <v>29</v>
      </c>
      <c r="M38" s="11">
        <v>33</v>
      </c>
      <c r="N38" s="11">
        <v>27</v>
      </c>
      <c r="O38" s="11">
        <v>42</v>
      </c>
      <c r="P38" s="11">
        <v>33</v>
      </c>
      <c r="Q38" s="11">
        <v>33</v>
      </c>
      <c r="R38" s="11">
        <f t="shared" si="2"/>
        <v>32</v>
      </c>
      <c r="S38" s="34"/>
    </row>
    <row r="39" spans="1:19" ht="14.25" customHeight="1" x14ac:dyDescent="0.25">
      <c r="A39" s="2"/>
      <c r="B39" s="34">
        <f t="shared" si="0"/>
        <v>7</v>
      </c>
      <c r="C39" s="34" t="s">
        <v>148</v>
      </c>
      <c r="D39" s="34">
        <v>4</v>
      </c>
      <c r="E39" s="34"/>
      <c r="F39" s="11" t="s">
        <v>1390</v>
      </c>
      <c r="G39" s="11" t="s">
        <v>129</v>
      </c>
      <c r="H39" s="11" t="s">
        <v>760</v>
      </c>
      <c r="I39" s="11" t="s">
        <v>1391</v>
      </c>
      <c r="J39" s="11">
        <v>9</v>
      </c>
      <c r="K39" s="90">
        <f t="shared" si="1"/>
        <v>6</v>
      </c>
      <c r="L39" s="11">
        <v>71</v>
      </c>
      <c r="M39" s="11">
        <v>62</v>
      </c>
      <c r="N39" s="11">
        <v>78</v>
      </c>
      <c r="O39" s="11">
        <v>105</v>
      </c>
      <c r="P39" s="11">
        <v>87</v>
      </c>
      <c r="Q39" s="11">
        <v>79</v>
      </c>
      <c r="R39" s="11">
        <f t="shared" si="2"/>
        <v>80</v>
      </c>
      <c r="S39" s="34"/>
    </row>
    <row r="40" spans="1:19" ht="14.25" customHeight="1" x14ac:dyDescent="0.25">
      <c r="A40" s="2"/>
      <c r="B40" s="34">
        <f t="shared" si="0"/>
        <v>2</v>
      </c>
      <c r="C40" s="34" t="s">
        <v>148</v>
      </c>
      <c r="D40" s="34">
        <v>55</v>
      </c>
      <c r="E40" s="34" t="s">
        <v>148</v>
      </c>
      <c r="F40" s="11" t="s">
        <v>218</v>
      </c>
      <c r="G40" s="11" t="s">
        <v>94</v>
      </c>
      <c r="H40" s="11" t="s">
        <v>762</v>
      </c>
      <c r="I40" s="11" t="s">
        <v>1392</v>
      </c>
      <c r="J40" s="11">
        <v>10</v>
      </c>
      <c r="K40" s="90">
        <f t="shared" si="1"/>
        <v>2</v>
      </c>
      <c r="L40" s="11">
        <v>20</v>
      </c>
      <c r="M40" s="11">
        <v>12</v>
      </c>
      <c r="N40" s="11">
        <v>19</v>
      </c>
      <c r="O40" s="11">
        <v>13</v>
      </c>
      <c r="P40" s="11">
        <v>20</v>
      </c>
      <c r="Q40" s="11">
        <v>19</v>
      </c>
      <c r="R40" s="11">
        <f t="shared" si="2"/>
        <v>17</v>
      </c>
      <c r="S40" s="34"/>
    </row>
    <row r="41" spans="1:19" ht="14.25" customHeight="1" x14ac:dyDescent="0.25">
      <c r="A41" s="2" t="s">
        <v>1156</v>
      </c>
      <c r="B41" s="34">
        <f t="shared" si="0"/>
        <v>3</v>
      </c>
      <c r="C41" s="34" t="s">
        <v>148</v>
      </c>
      <c r="D41" s="34">
        <v>27</v>
      </c>
      <c r="E41" s="34" t="s">
        <v>148</v>
      </c>
      <c r="F41" s="11" t="s">
        <v>810</v>
      </c>
      <c r="G41" s="11" t="s">
        <v>69</v>
      </c>
      <c r="H41" s="11" t="s">
        <v>764</v>
      </c>
      <c r="I41" s="11" t="s">
        <v>1388</v>
      </c>
      <c r="J41" s="11">
        <v>10</v>
      </c>
      <c r="K41" s="90">
        <f t="shared" si="1"/>
        <v>4</v>
      </c>
      <c r="L41" s="11">
        <v>36</v>
      </c>
      <c r="M41" s="11">
        <v>35</v>
      </c>
      <c r="N41" s="11">
        <v>28</v>
      </c>
      <c r="O41" s="11">
        <v>32</v>
      </c>
      <c r="P41" s="11">
        <v>30</v>
      </c>
      <c r="Q41" s="11">
        <v>26</v>
      </c>
      <c r="R41" s="11">
        <f t="shared" si="2"/>
        <v>31</v>
      </c>
      <c r="S41" s="34"/>
    </row>
    <row r="42" spans="1:19" ht="14.25" customHeight="1" x14ac:dyDescent="0.25">
      <c r="A42" s="2"/>
      <c r="B42" s="34">
        <f t="shared" si="0"/>
        <v>7</v>
      </c>
      <c r="C42" s="34" t="s">
        <v>148</v>
      </c>
      <c r="D42" s="34">
        <v>3</v>
      </c>
      <c r="E42" s="34"/>
      <c r="F42" s="11" t="s">
        <v>1191</v>
      </c>
      <c r="G42" s="11" t="s">
        <v>39</v>
      </c>
      <c r="H42" s="11" t="s">
        <v>760</v>
      </c>
      <c r="I42" s="11" t="s">
        <v>1391</v>
      </c>
      <c r="J42" s="11">
        <v>10</v>
      </c>
      <c r="K42" s="90">
        <f t="shared" si="1"/>
        <v>7</v>
      </c>
      <c r="L42" s="11">
        <v>74</v>
      </c>
      <c r="M42" s="11">
        <v>68</v>
      </c>
      <c r="N42" s="11">
        <v>84</v>
      </c>
      <c r="O42" s="11">
        <v>87</v>
      </c>
      <c r="P42" s="11">
        <v>74</v>
      </c>
      <c r="Q42" s="11">
        <v>78</v>
      </c>
      <c r="R42" s="11">
        <f t="shared" si="2"/>
        <v>77</v>
      </c>
      <c r="S42" s="34"/>
    </row>
    <row r="43" spans="1:19" ht="14.25" customHeight="1" x14ac:dyDescent="0.25">
      <c r="A43" s="2"/>
      <c r="B43" s="34">
        <f t="shared" si="0"/>
        <v>2</v>
      </c>
      <c r="C43" s="34" t="s">
        <v>148</v>
      </c>
      <c r="D43" s="34">
        <v>53</v>
      </c>
      <c r="E43" s="34"/>
      <c r="F43" s="11" t="s">
        <v>804</v>
      </c>
      <c r="G43" s="11" t="s">
        <v>44</v>
      </c>
      <c r="H43" s="11" t="s">
        <v>762</v>
      </c>
      <c r="I43" s="11" t="s">
        <v>1392</v>
      </c>
      <c r="J43" s="11">
        <v>11</v>
      </c>
      <c r="K43" s="90">
        <f t="shared" si="1"/>
        <v>1</v>
      </c>
      <c r="L43" s="11">
        <v>9</v>
      </c>
      <c r="M43" s="11">
        <v>13</v>
      </c>
      <c r="N43" s="11">
        <v>25</v>
      </c>
      <c r="O43" s="11">
        <v>11</v>
      </c>
      <c r="P43" s="11">
        <v>9</v>
      </c>
      <c r="Q43" s="11">
        <v>17</v>
      </c>
      <c r="R43" s="11">
        <f t="shared" si="2"/>
        <v>14</v>
      </c>
      <c r="S43" s="34"/>
    </row>
    <row r="44" spans="1:19" ht="14.25" customHeight="1" x14ac:dyDescent="0.25">
      <c r="A44" s="2"/>
      <c r="B44" s="34">
        <f t="shared" si="0"/>
        <v>5</v>
      </c>
      <c r="C44" s="34" t="s">
        <v>148</v>
      </c>
      <c r="D44" s="34">
        <v>21</v>
      </c>
      <c r="E44" s="34" t="s">
        <v>148</v>
      </c>
      <c r="F44" s="11" t="s">
        <v>1207</v>
      </c>
      <c r="G44" s="11" t="s">
        <v>49</v>
      </c>
      <c r="H44" s="11" t="s">
        <v>764</v>
      </c>
      <c r="I44" s="11" t="s">
        <v>1388</v>
      </c>
      <c r="J44" s="11">
        <v>11</v>
      </c>
      <c r="K44" s="90">
        <f t="shared" si="1"/>
        <v>6</v>
      </c>
      <c r="L44" s="11">
        <v>64</v>
      </c>
      <c r="M44" s="11">
        <v>49</v>
      </c>
      <c r="N44" s="11">
        <v>47</v>
      </c>
      <c r="O44" s="11">
        <v>46</v>
      </c>
      <c r="P44" s="11">
        <v>38</v>
      </c>
      <c r="Q44" s="11">
        <v>53</v>
      </c>
      <c r="R44" s="11">
        <f t="shared" si="2"/>
        <v>49</v>
      </c>
      <c r="S44" s="34"/>
    </row>
    <row r="45" spans="1:19" ht="14.25" customHeight="1" x14ac:dyDescent="0.25">
      <c r="A45" s="2" t="s">
        <v>1156</v>
      </c>
      <c r="B45" s="34">
        <f t="shared" si="0"/>
        <v>10</v>
      </c>
      <c r="C45" s="34" t="s">
        <v>148</v>
      </c>
      <c r="D45" s="34">
        <v>2</v>
      </c>
      <c r="E45" s="34"/>
      <c r="F45" s="11" t="s">
        <v>306</v>
      </c>
      <c r="G45" s="11" t="s">
        <v>35</v>
      </c>
      <c r="H45" s="11" t="s">
        <v>760</v>
      </c>
      <c r="I45" s="11" t="s">
        <v>1391</v>
      </c>
      <c r="J45" s="11">
        <v>11</v>
      </c>
      <c r="K45" s="90">
        <f t="shared" si="1"/>
        <v>9</v>
      </c>
      <c r="L45" s="11">
        <v>102</v>
      </c>
      <c r="M45" s="11">
        <v>113</v>
      </c>
      <c r="N45" s="11">
        <v>115</v>
      </c>
      <c r="O45" s="11">
        <v>111</v>
      </c>
      <c r="P45" s="11">
        <v>108</v>
      </c>
      <c r="Q45" s="11">
        <v>136</v>
      </c>
      <c r="R45" s="11">
        <f t="shared" si="2"/>
        <v>114</v>
      </c>
      <c r="S45" s="34" t="s">
        <v>1386</v>
      </c>
    </row>
    <row r="46" spans="1:19" ht="14.25" customHeight="1" x14ac:dyDescent="0.25">
      <c r="A46" s="2"/>
      <c r="B46" s="34">
        <f t="shared" si="0"/>
        <v>2</v>
      </c>
      <c r="C46" s="34" t="s">
        <v>148</v>
      </c>
      <c r="D46" s="34">
        <v>50</v>
      </c>
      <c r="E46" s="34"/>
      <c r="F46" s="11" t="s">
        <v>970</v>
      </c>
      <c r="G46" s="11" t="s">
        <v>78</v>
      </c>
      <c r="H46" s="11" t="s">
        <v>762</v>
      </c>
      <c r="I46" s="11" t="s">
        <v>1387</v>
      </c>
      <c r="J46" s="11">
        <v>12</v>
      </c>
      <c r="K46" s="90">
        <f t="shared" si="1"/>
        <v>2</v>
      </c>
      <c r="L46" s="11">
        <v>19</v>
      </c>
      <c r="M46" s="11">
        <v>16</v>
      </c>
      <c r="N46" s="11">
        <v>15</v>
      </c>
      <c r="O46" s="11">
        <v>10</v>
      </c>
      <c r="P46" s="11">
        <v>13</v>
      </c>
      <c r="Q46" s="11">
        <v>22</v>
      </c>
      <c r="R46" s="11">
        <f t="shared" si="2"/>
        <v>15</v>
      </c>
      <c r="S46" s="34"/>
    </row>
    <row r="47" spans="1:19" ht="14.25" customHeight="1" x14ac:dyDescent="0.25">
      <c r="A47" s="2"/>
      <c r="B47" s="34">
        <f t="shared" si="0"/>
        <v>2</v>
      </c>
      <c r="C47" s="34" t="s">
        <v>148</v>
      </c>
      <c r="D47" s="34">
        <v>41</v>
      </c>
      <c r="E47" s="34"/>
      <c r="F47" s="11" t="s">
        <v>901</v>
      </c>
      <c r="G47" s="11" t="s">
        <v>123</v>
      </c>
      <c r="H47" s="11" t="s">
        <v>764</v>
      </c>
      <c r="I47" s="11" t="s">
        <v>1388</v>
      </c>
      <c r="J47" s="11">
        <v>12</v>
      </c>
      <c r="K47" s="90">
        <f t="shared" si="1"/>
        <v>2</v>
      </c>
      <c r="L47" s="11">
        <v>15</v>
      </c>
      <c r="M47" s="11">
        <v>22</v>
      </c>
      <c r="N47" s="11">
        <v>9</v>
      </c>
      <c r="O47" s="11">
        <v>21</v>
      </c>
      <c r="P47" s="11">
        <v>18</v>
      </c>
      <c r="Q47" s="11">
        <v>8</v>
      </c>
      <c r="R47" s="11">
        <f t="shared" si="2"/>
        <v>15</v>
      </c>
      <c r="S47" s="34"/>
    </row>
    <row r="48" spans="1:19" ht="14.25" customHeight="1" x14ac:dyDescent="0.25">
      <c r="A48" s="2"/>
      <c r="B48" s="34">
        <f t="shared" si="0"/>
        <v>7</v>
      </c>
      <c r="C48" s="34" t="s">
        <v>148</v>
      </c>
      <c r="D48" s="34">
        <v>4</v>
      </c>
      <c r="E48" s="34"/>
      <c r="F48" s="11" t="s">
        <v>1165</v>
      </c>
      <c r="G48" s="11" t="s">
        <v>163</v>
      </c>
      <c r="H48" s="11" t="s">
        <v>760</v>
      </c>
      <c r="I48" s="11" t="s">
        <v>1391</v>
      </c>
      <c r="J48" s="11">
        <v>12</v>
      </c>
      <c r="K48" s="90">
        <f t="shared" si="1"/>
        <v>7</v>
      </c>
      <c r="L48" s="11">
        <v>81</v>
      </c>
      <c r="M48" s="11">
        <v>59</v>
      </c>
      <c r="N48" s="11">
        <v>66</v>
      </c>
      <c r="O48" s="11">
        <v>103</v>
      </c>
      <c r="P48" s="11">
        <v>93</v>
      </c>
      <c r="Q48" s="11">
        <v>69</v>
      </c>
      <c r="R48" s="11">
        <f t="shared" si="2"/>
        <v>78</v>
      </c>
      <c r="S48" s="34"/>
    </row>
    <row r="49" spans="1:19" ht="14.25" customHeight="1" x14ac:dyDescent="0.25">
      <c r="A49" s="2"/>
      <c r="B49" s="34">
        <f t="shared" si="0"/>
        <v>2</v>
      </c>
      <c r="C49" s="34" t="s">
        <v>148</v>
      </c>
      <c r="D49" s="34">
        <v>53</v>
      </c>
      <c r="E49" s="34"/>
      <c r="F49" s="11" t="s">
        <v>898</v>
      </c>
      <c r="G49" s="11" t="s">
        <v>88</v>
      </c>
      <c r="H49" s="11" t="s">
        <v>762</v>
      </c>
      <c r="I49" s="11" t="s">
        <v>1395</v>
      </c>
      <c r="J49" s="11">
        <v>13</v>
      </c>
      <c r="K49" s="90">
        <f t="shared" si="1"/>
        <v>2</v>
      </c>
      <c r="L49" s="11">
        <v>23</v>
      </c>
      <c r="M49" s="11">
        <v>18</v>
      </c>
      <c r="N49" s="11">
        <v>21</v>
      </c>
      <c r="O49" s="11">
        <v>18</v>
      </c>
      <c r="P49" s="11">
        <v>21</v>
      </c>
      <c r="Q49" s="11">
        <v>18</v>
      </c>
      <c r="R49" s="11">
        <f t="shared" si="2"/>
        <v>19</v>
      </c>
      <c r="S49" s="34"/>
    </row>
    <row r="50" spans="1:19" ht="14.25" customHeight="1" x14ac:dyDescent="0.25">
      <c r="A50" s="2"/>
      <c r="B50" s="34">
        <f t="shared" si="0"/>
        <v>4</v>
      </c>
      <c r="C50" s="34" t="s">
        <v>148</v>
      </c>
      <c r="D50" s="34">
        <v>25</v>
      </c>
      <c r="E50" s="34"/>
      <c r="F50" s="11" t="s">
        <v>450</v>
      </c>
      <c r="G50" s="11" t="s">
        <v>49</v>
      </c>
      <c r="H50" s="11" t="s">
        <v>764</v>
      </c>
      <c r="I50" s="11" t="s">
        <v>1388</v>
      </c>
      <c r="J50" s="11">
        <v>13</v>
      </c>
      <c r="K50" s="90">
        <f t="shared" si="1"/>
        <v>4</v>
      </c>
      <c r="L50" s="11">
        <v>45</v>
      </c>
      <c r="M50" s="11">
        <v>28</v>
      </c>
      <c r="N50" s="11">
        <v>46</v>
      </c>
      <c r="O50" s="11">
        <v>45</v>
      </c>
      <c r="P50" s="11">
        <v>34</v>
      </c>
      <c r="Q50" s="11">
        <v>28</v>
      </c>
      <c r="R50" s="11">
        <f t="shared" si="2"/>
        <v>37</v>
      </c>
      <c r="S50" s="34"/>
    </row>
    <row r="51" spans="1:19" ht="14.25" customHeight="1" x14ac:dyDescent="0.25">
      <c r="A51" s="2"/>
      <c r="B51" s="34">
        <f t="shared" si="0"/>
        <v>8</v>
      </c>
      <c r="C51" s="34" t="s">
        <v>148</v>
      </c>
      <c r="D51" s="34"/>
      <c r="E51" s="34"/>
      <c r="F51" s="11" t="s">
        <v>480</v>
      </c>
      <c r="G51" s="11" t="s">
        <v>214</v>
      </c>
      <c r="H51" s="11" t="s">
        <v>760</v>
      </c>
      <c r="I51" s="11"/>
      <c r="J51" s="11">
        <v>13</v>
      </c>
      <c r="K51" s="90">
        <f t="shared" si="1"/>
        <v>9</v>
      </c>
      <c r="L51" s="11">
        <v>96</v>
      </c>
      <c r="M51" s="11">
        <v>78</v>
      </c>
      <c r="N51" s="11">
        <v>96</v>
      </c>
      <c r="O51" s="11">
        <v>114</v>
      </c>
      <c r="P51" s="11">
        <v>106</v>
      </c>
      <c r="Q51" s="11">
        <v>71</v>
      </c>
      <c r="R51" s="11">
        <f t="shared" si="2"/>
        <v>93</v>
      </c>
      <c r="S51" s="34"/>
    </row>
    <row r="52" spans="1:19" ht="14.25" customHeight="1" x14ac:dyDescent="0.25">
      <c r="A52" s="2"/>
      <c r="B52" s="34">
        <f t="shared" si="0"/>
        <v>2</v>
      </c>
      <c r="C52" s="34" t="s">
        <v>148</v>
      </c>
      <c r="D52" s="34">
        <v>55</v>
      </c>
      <c r="E52" s="34"/>
      <c r="F52" s="11" t="s">
        <v>338</v>
      </c>
      <c r="G52" s="11" t="s">
        <v>214</v>
      </c>
      <c r="H52" s="11" t="s">
        <v>762</v>
      </c>
      <c r="I52" s="11" t="s">
        <v>1395</v>
      </c>
      <c r="J52" s="11">
        <v>14</v>
      </c>
      <c r="K52" s="90">
        <f t="shared" si="1"/>
        <v>2</v>
      </c>
      <c r="L52" s="11">
        <v>21</v>
      </c>
      <c r="M52" s="11">
        <v>20</v>
      </c>
      <c r="N52" s="11">
        <v>17</v>
      </c>
      <c r="O52" s="11">
        <v>19</v>
      </c>
      <c r="P52" s="11">
        <v>19</v>
      </c>
      <c r="Q52" s="11">
        <v>16</v>
      </c>
      <c r="R52" s="11">
        <f t="shared" si="2"/>
        <v>18</v>
      </c>
      <c r="S52" s="34"/>
    </row>
    <row r="53" spans="1:19" ht="14.25" customHeight="1" x14ac:dyDescent="0.25">
      <c r="A53" s="2"/>
      <c r="B53" s="34">
        <f t="shared" si="0"/>
        <v>4</v>
      </c>
      <c r="C53" s="34" t="s">
        <v>148</v>
      </c>
      <c r="D53" s="34">
        <v>30</v>
      </c>
      <c r="E53" s="34"/>
      <c r="F53" s="11" t="s">
        <v>672</v>
      </c>
      <c r="G53" s="11" t="s">
        <v>187</v>
      </c>
      <c r="H53" s="11" t="s">
        <v>764</v>
      </c>
      <c r="I53" s="11" t="s">
        <v>1397</v>
      </c>
      <c r="J53" s="11">
        <v>14</v>
      </c>
      <c r="K53" s="90">
        <f t="shared" si="1"/>
        <v>3</v>
      </c>
      <c r="L53" s="11">
        <v>26</v>
      </c>
      <c r="M53" s="11">
        <v>46</v>
      </c>
      <c r="N53" s="11">
        <v>32</v>
      </c>
      <c r="O53" s="11">
        <v>41</v>
      </c>
      <c r="P53" s="11">
        <v>29</v>
      </c>
      <c r="Q53" s="11">
        <v>44</v>
      </c>
      <c r="R53" s="11">
        <f t="shared" si="2"/>
        <v>36</v>
      </c>
      <c r="S53" s="34"/>
    </row>
    <row r="54" spans="1:19" ht="14.25" customHeight="1" x14ac:dyDescent="0.25">
      <c r="A54" s="2"/>
      <c r="B54" s="34">
        <f t="shared" si="0"/>
        <v>11</v>
      </c>
      <c r="C54" s="34" t="s">
        <v>148</v>
      </c>
      <c r="D54" s="34"/>
      <c r="E54" s="34"/>
      <c r="F54" s="11" t="s">
        <v>1398</v>
      </c>
      <c r="G54" s="11" t="s">
        <v>104</v>
      </c>
      <c r="H54" s="11" t="s">
        <v>760</v>
      </c>
      <c r="I54" s="11"/>
      <c r="J54" s="11">
        <v>14</v>
      </c>
      <c r="K54" s="90">
        <f t="shared" si="1"/>
        <v>11</v>
      </c>
      <c r="L54" s="11">
        <v>121</v>
      </c>
      <c r="M54" s="11">
        <v>111</v>
      </c>
      <c r="N54" s="11">
        <v>127</v>
      </c>
      <c r="O54" s="11">
        <v>130</v>
      </c>
      <c r="P54" s="11">
        <v>146</v>
      </c>
      <c r="Q54" s="11">
        <v>135</v>
      </c>
      <c r="R54" s="11">
        <f t="shared" si="2"/>
        <v>128</v>
      </c>
      <c r="S54" s="34"/>
    </row>
    <row r="55" spans="1:19" ht="14.25" customHeight="1" x14ac:dyDescent="0.25">
      <c r="A55" s="2"/>
      <c r="B55" s="34">
        <f t="shared" si="0"/>
        <v>4</v>
      </c>
      <c r="C55" s="34" t="s">
        <v>148</v>
      </c>
      <c r="D55" s="34">
        <v>32</v>
      </c>
      <c r="E55" s="34"/>
      <c r="F55" s="11" t="s">
        <v>1377</v>
      </c>
      <c r="G55" s="11" t="s">
        <v>52</v>
      </c>
      <c r="H55" s="11" t="s">
        <v>762</v>
      </c>
      <c r="I55" s="11" t="s">
        <v>1399</v>
      </c>
      <c r="J55" s="11">
        <v>15</v>
      </c>
      <c r="K55" s="90">
        <f t="shared" si="1"/>
        <v>3</v>
      </c>
      <c r="L55" s="11">
        <v>33</v>
      </c>
      <c r="M55" s="11">
        <v>32</v>
      </c>
      <c r="N55" s="11">
        <v>35</v>
      </c>
      <c r="O55" s="11">
        <v>36</v>
      </c>
      <c r="P55" s="11">
        <v>52</v>
      </c>
      <c r="Q55" s="11">
        <v>30</v>
      </c>
      <c r="R55" s="11">
        <f t="shared" si="2"/>
        <v>36</v>
      </c>
      <c r="S55" s="34"/>
    </row>
    <row r="56" spans="1:19" ht="14.25" customHeight="1" x14ac:dyDescent="0.25">
      <c r="A56" s="2" t="s">
        <v>1156</v>
      </c>
      <c r="B56" s="34">
        <f t="shared" si="0"/>
        <v>4</v>
      </c>
      <c r="C56" s="34" t="s">
        <v>148</v>
      </c>
      <c r="D56" s="34">
        <v>25</v>
      </c>
      <c r="E56" s="34"/>
      <c r="F56" s="11" t="s">
        <v>478</v>
      </c>
      <c r="G56" s="11" t="s">
        <v>39</v>
      </c>
      <c r="H56" s="11" t="s">
        <v>764</v>
      </c>
      <c r="I56" s="11" t="s">
        <v>1400</v>
      </c>
      <c r="J56" s="11">
        <v>15</v>
      </c>
      <c r="K56" s="90">
        <f t="shared" si="1"/>
        <v>4</v>
      </c>
      <c r="L56" s="11">
        <v>47</v>
      </c>
      <c r="M56" s="11">
        <v>43</v>
      </c>
      <c r="N56" s="11">
        <v>44</v>
      </c>
      <c r="O56" s="11">
        <v>43</v>
      </c>
      <c r="P56" s="11">
        <v>35</v>
      </c>
      <c r="Q56" s="11">
        <v>45</v>
      </c>
      <c r="R56" s="11">
        <f t="shared" si="2"/>
        <v>42</v>
      </c>
      <c r="S56" s="34"/>
    </row>
    <row r="57" spans="1:19" ht="14.25" customHeight="1" x14ac:dyDescent="0.25">
      <c r="A57" s="2"/>
      <c r="B57" s="34">
        <f t="shared" si="0"/>
        <v>12</v>
      </c>
      <c r="C57" s="34" t="s">
        <v>148</v>
      </c>
      <c r="D57" s="34"/>
      <c r="E57" s="34"/>
      <c r="F57" s="11" t="s">
        <v>211</v>
      </c>
      <c r="G57" s="11" t="s">
        <v>44</v>
      </c>
      <c r="H57" s="11" t="s">
        <v>760</v>
      </c>
      <c r="I57" s="11"/>
      <c r="J57" s="11">
        <v>15</v>
      </c>
      <c r="K57" s="90">
        <f t="shared" si="1"/>
        <v>11</v>
      </c>
      <c r="L57" s="11">
        <v>123</v>
      </c>
      <c r="M57" s="11">
        <v>131</v>
      </c>
      <c r="N57" s="11">
        <v>145</v>
      </c>
      <c r="O57" s="11">
        <v>143</v>
      </c>
      <c r="P57" s="11">
        <v>154</v>
      </c>
      <c r="Q57" s="11">
        <v>144</v>
      </c>
      <c r="R57" s="11">
        <f t="shared" si="2"/>
        <v>140</v>
      </c>
      <c r="S57" s="34"/>
    </row>
    <row r="58" spans="1:19" ht="14.25" customHeight="1" x14ac:dyDescent="0.25">
      <c r="A58" s="2"/>
      <c r="B58" s="34">
        <f t="shared" si="0"/>
        <v>3</v>
      </c>
      <c r="C58" s="34" t="s">
        <v>148</v>
      </c>
      <c r="D58" s="34">
        <v>6</v>
      </c>
      <c r="E58" s="34"/>
      <c r="F58" s="11" t="s">
        <v>1293</v>
      </c>
      <c r="G58" s="11" t="s">
        <v>199</v>
      </c>
      <c r="H58" s="11" t="s">
        <v>762</v>
      </c>
      <c r="I58" s="11" t="s">
        <v>1399</v>
      </c>
      <c r="J58" s="11">
        <v>16</v>
      </c>
      <c r="K58" s="90">
        <f t="shared" si="1"/>
        <v>4</v>
      </c>
      <c r="L58" s="11">
        <v>40</v>
      </c>
      <c r="M58" s="11">
        <v>37</v>
      </c>
      <c r="N58" s="11">
        <v>33</v>
      </c>
      <c r="O58" s="11">
        <v>29</v>
      </c>
      <c r="P58" s="11">
        <v>39</v>
      </c>
      <c r="Q58" s="11">
        <v>24</v>
      </c>
      <c r="R58" s="11">
        <f t="shared" si="2"/>
        <v>33</v>
      </c>
      <c r="S58" s="34"/>
    </row>
    <row r="59" spans="1:19" ht="14.25" customHeight="1" x14ac:dyDescent="0.25">
      <c r="A59" s="2" t="s">
        <v>1156</v>
      </c>
      <c r="B59" s="34">
        <f t="shared" si="0"/>
        <v>3</v>
      </c>
      <c r="C59" s="34" t="s">
        <v>148</v>
      </c>
      <c r="D59" s="34">
        <v>27</v>
      </c>
      <c r="E59" s="34"/>
      <c r="F59" s="11" t="s">
        <v>1308</v>
      </c>
      <c r="G59" s="11" t="s">
        <v>155</v>
      </c>
      <c r="H59" s="11" t="s">
        <v>764</v>
      </c>
      <c r="I59" s="11" t="s">
        <v>1400</v>
      </c>
      <c r="J59" s="11">
        <v>16</v>
      </c>
      <c r="K59" s="90">
        <f t="shared" si="1"/>
        <v>3</v>
      </c>
      <c r="L59" s="11">
        <v>28</v>
      </c>
      <c r="M59" s="11">
        <v>50</v>
      </c>
      <c r="N59" s="11">
        <v>34</v>
      </c>
      <c r="O59" s="11">
        <v>33</v>
      </c>
      <c r="P59" s="11">
        <v>27</v>
      </c>
      <c r="Q59" s="11">
        <v>32</v>
      </c>
      <c r="R59" s="11">
        <f t="shared" si="2"/>
        <v>34</v>
      </c>
      <c r="S59" s="34"/>
    </row>
    <row r="60" spans="1:19" ht="14.25" customHeight="1" x14ac:dyDescent="0.25">
      <c r="A60" s="2"/>
      <c r="B60" s="34">
        <f t="shared" si="0"/>
        <v>12</v>
      </c>
      <c r="C60" s="34" t="s">
        <v>148</v>
      </c>
      <c r="D60" s="34"/>
      <c r="E60" s="34"/>
      <c r="F60" s="11" t="s">
        <v>364</v>
      </c>
      <c r="G60" s="11" t="s">
        <v>187</v>
      </c>
      <c r="H60" s="11" t="s">
        <v>760</v>
      </c>
      <c r="I60" s="11"/>
      <c r="J60" s="11">
        <v>16</v>
      </c>
      <c r="K60" s="90">
        <f t="shared" si="1"/>
        <v>12</v>
      </c>
      <c r="L60" s="11">
        <v>137</v>
      </c>
      <c r="M60" s="11">
        <v>129</v>
      </c>
      <c r="N60" s="11">
        <v>166</v>
      </c>
      <c r="O60" s="11">
        <v>137</v>
      </c>
      <c r="P60" s="11">
        <v>135</v>
      </c>
      <c r="Q60" s="11">
        <v>147</v>
      </c>
      <c r="R60" s="11">
        <f t="shared" si="2"/>
        <v>141</v>
      </c>
      <c r="S60" s="34"/>
    </row>
    <row r="61" spans="1:19" ht="14.25" customHeight="1" x14ac:dyDescent="0.25">
      <c r="A61" s="2" t="s">
        <v>1156</v>
      </c>
      <c r="B61" s="34">
        <f t="shared" si="0"/>
        <v>5</v>
      </c>
      <c r="C61" s="34" t="s">
        <v>148</v>
      </c>
      <c r="D61" s="34">
        <v>12</v>
      </c>
      <c r="E61" s="34" t="s">
        <v>119</v>
      </c>
      <c r="F61" s="11" t="s">
        <v>1226</v>
      </c>
      <c r="G61" s="11" t="s">
        <v>91</v>
      </c>
      <c r="H61" s="11" t="s">
        <v>762</v>
      </c>
      <c r="I61" s="11" t="s">
        <v>1399</v>
      </c>
      <c r="J61" s="11">
        <v>17</v>
      </c>
      <c r="K61" s="90">
        <f t="shared" si="1"/>
        <v>4</v>
      </c>
      <c r="L61" s="11">
        <v>41</v>
      </c>
      <c r="M61" s="11">
        <v>48</v>
      </c>
      <c r="N61" s="11">
        <v>65</v>
      </c>
      <c r="O61" s="11">
        <v>58</v>
      </c>
      <c r="P61" s="11">
        <v>63</v>
      </c>
      <c r="Q61" s="11">
        <v>48</v>
      </c>
      <c r="R61" s="11">
        <f t="shared" si="2"/>
        <v>53</v>
      </c>
      <c r="S61" s="34"/>
    </row>
    <row r="62" spans="1:19" ht="14.25" customHeight="1" x14ac:dyDescent="0.25">
      <c r="A62" s="2"/>
      <c r="B62" s="34">
        <f t="shared" si="0"/>
        <v>3</v>
      </c>
      <c r="C62" s="34" t="s">
        <v>148</v>
      </c>
      <c r="D62" s="34">
        <v>30</v>
      </c>
      <c r="E62" s="34"/>
      <c r="F62" s="11" t="s">
        <v>176</v>
      </c>
      <c r="G62" s="11" t="s">
        <v>160</v>
      </c>
      <c r="H62" s="11" t="s">
        <v>764</v>
      </c>
      <c r="I62" s="11" t="s">
        <v>1400</v>
      </c>
      <c r="J62" s="11">
        <v>17</v>
      </c>
      <c r="K62" s="90">
        <f t="shared" si="1"/>
        <v>4</v>
      </c>
      <c r="L62" s="11">
        <v>39</v>
      </c>
      <c r="M62" s="11">
        <v>42</v>
      </c>
      <c r="N62" s="11">
        <v>29</v>
      </c>
      <c r="O62" s="11">
        <v>37</v>
      </c>
      <c r="P62" s="11">
        <v>28</v>
      </c>
      <c r="Q62" s="11">
        <v>37</v>
      </c>
      <c r="R62" s="11">
        <f t="shared" si="2"/>
        <v>35</v>
      </c>
      <c r="S62" s="34"/>
    </row>
    <row r="63" spans="1:19" ht="14.25" customHeight="1" x14ac:dyDescent="0.25">
      <c r="A63" s="2"/>
      <c r="B63" s="34">
        <f t="shared" si="0"/>
        <v>13</v>
      </c>
      <c r="C63" s="34" t="s">
        <v>148</v>
      </c>
      <c r="D63" s="34"/>
      <c r="E63" s="34" t="s">
        <v>148</v>
      </c>
      <c r="F63" s="11" t="s">
        <v>1193</v>
      </c>
      <c r="G63" s="11" t="s">
        <v>229</v>
      </c>
      <c r="H63" s="11" t="s">
        <v>760</v>
      </c>
      <c r="I63" s="11" t="s">
        <v>1403</v>
      </c>
      <c r="J63" s="11">
        <v>17</v>
      </c>
      <c r="K63" s="90">
        <f t="shared" si="1"/>
        <v>14</v>
      </c>
      <c r="L63" s="11">
        <v>157</v>
      </c>
      <c r="M63" s="11">
        <v>141</v>
      </c>
      <c r="N63" s="11">
        <v>158</v>
      </c>
      <c r="O63" s="11">
        <v>148</v>
      </c>
      <c r="P63" s="11">
        <v>156</v>
      </c>
      <c r="Q63" s="11">
        <v>167</v>
      </c>
      <c r="R63" s="11">
        <f t="shared" si="2"/>
        <v>154</v>
      </c>
      <c r="S63" s="34" t="s">
        <v>1404</v>
      </c>
    </row>
    <row r="64" spans="1:19" ht="14.25" customHeight="1" x14ac:dyDescent="0.25">
      <c r="A64" s="2"/>
      <c r="B64" s="34">
        <f t="shared" si="0"/>
        <v>5</v>
      </c>
      <c r="C64" s="34" t="s">
        <v>148</v>
      </c>
      <c r="D64" s="34">
        <v>27</v>
      </c>
      <c r="E64" s="34"/>
      <c r="F64" s="11" t="s">
        <v>1405</v>
      </c>
      <c r="G64" s="11" t="s">
        <v>116</v>
      </c>
      <c r="H64" s="11" t="s">
        <v>762</v>
      </c>
      <c r="I64" s="11" t="s">
        <v>1406</v>
      </c>
      <c r="J64" s="11">
        <v>18</v>
      </c>
      <c r="K64" s="90">
        <f t="shared" si="1"/>
        <v>5</v>
      </c>
      <c r="L64" s="11">
        <v>59</v>
      </c>
      <c r="M64" s="11">
        <v>41</v>
      </c>
      <c r="N64" s="11">
        <v>42</v>
      </c>
      <c r="O64" s="11">
        <v>40</v>
      </c>
      <c r="P64" s="11">
        <v>57</v>
      </c>
      <c r="Q64" s="11">
        <v>55</v>
      </c>
      <c r="R64" s="11">
        <f t="shared" si="2"/>
        <v>49</v>
      </c>
      <c r="S64" s="34"/>
    </row>
    <row r="65" spans="1:19" ht="14.25" customHeight="1" x14ac:dyDescent="0.25">
      <c r="A65" s="2"/>
      <c r="B65" s="34">
        <f t="shared" si="0"/>
        <v>4</v>
      </c>
      <c r="C65" s="34" t="s">
        <v>148</v>
      </c>
      <c r="D65" s="34">
        <v>25</v>
      </c>
      <c r="E65" s="34"/>
      <c r="F65" s="11" t="s">
        <v>103</v>
      </c>
      <c r="G65" s="11" t="s">
        <v>229</v>
      </c>
      <c r="H65" s="11" t="s">
        <v>764</v>
      </c>
      <c r="I65" s="11" t="s">
        <v>1397</v>
      </c>
      <c r="J65" s="11">
        <v>18</v>
      </c>
      <c r="K65" s="90">
        <f t="shared" si="1"/>
        <v>4</v>
      </c>
      <c r="L65" s="11">
        <v>38</v>
      </c>
      <c r="M65" s="11">
        <v>52</v>
      </c>
      <c r="N65" s="11">
        <v>41</v>
      </c>
      <c r="O65" s="11">
        <v>44</v>
      </c>
      <c r="P65" s="11">
        <v>36</v>
      </c>
      <c r="Q65" s="11">
        <v>58</v>
      </c>
      <c r="R65" s="11">
        <f t="shared" si="2"/>
        <v>44</v>
      </c>
      <c r="S65" s="34"/>
    </row>
    <row r="66" spans="1:19" ht="14.25" customHeight="1" x14ac:dyDescent="0.25">
      <c r="A66" s="2"/>
      <c r="B66" s="34">
        <f t="shared" si="0"/>
        <v>13</v>
      </c>
      <c r="C66" s="34" t="s">
        <v>148</v>
      </c>
      <c r="D66" s="34"/>
      <c r="E66" s="34"/>
      <c r="F66" s="11" t="s">
        <v>333</v>
      </c>
      <c r="G66" s="11" t="s">
        <v>49</v>
      </c>
      <c r="H66" s="11" t="s">
        <v>760</v>
      </c>
      <c r="I66" s="11" t="s">
        <v>1403</v>
      </c>
      <c r="J66" s="11">
        <v>18</v>
      </c>
      <c r="K66" s="90">
        <f t="shared" si="1"/>
        <v>15</v>
      </c>
      <c r="L66" s="11">
        <v>172</v>
      </c>
      <c r="M66" s="11">
        <v>104</v>
      </c>
      <c r="N66" s="11">
        <v>159</v>
      </c>
      <c r="O66" s="11">
        <v>134</v>
      </c>
      <c r="P66" s="11">
        <v>142</v>
      </c>
      <c r="Q66" s="11">
        <v>171</v>
      </c>
      <c r="R66" s="11">
        <f t="shared" si="2"/>
        <v>147</v>
      </c>
      <c r="S66" s="34" t="s">
        <v>1404</v>
      </c>
    </row>
    <row r="67" spans="1:19" ht="14.25" customHeight="1" x14ac:dyDescent="0.25">
      <c r="A67" s="2"/>
      <c r="B67" s="34">
        <f t="shared" si="0"/>
        <v>4</v>
      </c>
      <c r="C67" s="34" t="s">
        <v>148</v>
      </c>
      <c r="D67" s="34">
        <v>29</v>
      </c>
      <c r="E67" s="34"/>
      <c r="F67" s="11" t="s">
        <v>1129</v>
      </c>
      <c r="G67" s="11" t="s">
        <v>233</v>
      </c>
      <c r="H67" s="11" t="s">
        <v>764</v>
      </c>
      <c r="I67" s="11" t="s">
        <v>1400</v>
      </c>
      <c r="J67" s="11">
        <v>19</v>
      </c>
      <c r="K67" s="90">
        <f t="shared" si="1"/>
        <v>3</v>
      </c>
      <c r="L67" s="11">
        <v>35</v>
      </c>
      <c r="M67" s="11">
        <v>38</v>
      </c>
      <c r="N67" s="11">
        <v>30</v>
      </c>
      <c r="O67" s="11">
        <v>38</v>
      </c>
      <c r="P67" s="11">
        <v>31</v>
      </c>
      <c r="Q67" s="11">
        <v>52</v>
      </c>
      <c r="R67" s="11">
        <f t="shared" si="2"/>
        <v>37</v>
      </c>
      <c r="S67" s="34"/>
    </row>
    <row r="68" spans="1:19" ht="14.25" customHeight="1" x14ac:dyDescent="0.25">
      <c r="A68" s="2"/>
      <c r="B68" s="34">
        <f t="shared" si="0"/>
        <v>6</v>
      </c>
      <c r="C68" s="34" t="s">
        <v>148</v>
      </c>
      <c r="D68" s="34">
        <v>9</v>
      </c>
      <c r="E68" s="34" t="s">
        <v>148</v>
      </c>
      <c r="F68" s="11" t="s">
        <v>178</v>
      </c>
      <c r="G68" s="11" t="s">
        <v>155</v>
      </c>
      <c r="H68" s="11" t="s">
        <v>762</v>
      </c>
      <c r="I68" s="11" t="s">
        <v>1406</v>
      </c>
      <c r="J68" s="11">
        <v>19</v>
      </c>
      <c r="K68" s="90">
        <f t="shared" si="1"/>
        <v>5</v>
      </c>
      <c r="L68" s="11">
        <v>58</v>
      </c>
      <c r="M68" s="11">
        <v>60</v>
      </c>
      <c r="N68" s="11">
        <v>69</v>
      </c>
      <c r="O68" s="11">
        <v>47</v>
      </c>
      <c r="P68" s="11">
        <v>65</v>
      </c>
      <c r="Q68" s="11">
        <v>68</v>
      </c>
      <c r="R68" s="11">
        <f t="shared" si="2"/>
        <v>61</v>
      </c>
      <c r="S68" s="34"/>
    </row>
    <row r="69" spans="1:19" ht="14.25" customHeight="1" x14ac:dyDescent="0.25">
      <c r="A69" s="2"/>
      <c r="B69" s="34">
        <f t="shared" si="0"/>
        <v>12</v>
      </c>
      <c r="C69" s="34" t="s">
        <v>148</v>
      </c>
      <c r="D69" s="34"/>
      <c r="E69" s="34"/>
      <c r="F69" s="11" t="s">
        <v>403</v>
      </c>
      <c r="G69" s="11" t="s">
        <v>126</v>
      </c>
      <c r="H69" s="11" t="s">
        <v>760</v>
      </c>
      <c r="I69" s="11" t="s">
        <v>1403</v>
      </c>
      <c r="J69" s="11">
        <v>19</v>
      </c>
      <c r="K69" s="90">
        <f t="shared" si="1"/>
        <v>14</v>
      </c>
      <c r="L69" s="11">
        <v>167</v>
      </c>
      <c r="M69" s="11">
        <v>118</v>
      </c>
      <c r="N69" s="11">
        <v>139</v>
      </c>
      <c r="O69" s="11">
        <v>122</v>
      </c>
      <c r="P69" s="11">
        <v>117</v>
      </c>
      <c r="Q69" s="11">
        <v>151</v>
      </c>
      <c r="R69" s="11">
        <f t="shared" si="2"/>
        <v>135</v>
      </c>
      <c r="S69" s="34" t="s">
        <v>1404</v>
      </c>
    </row>
    <row r="70" spans="1:19" ht="14.25" customHeight="1" x14ac:dyDescent="0.25">
      <c r="A70" s="2"/>
      <c r="B70" s="34">
        <f t="shared" si="0"/>
        <v>3</v>
      </c>
      <c r="C70" s="34" t="s">
        <v>148</v>
      </c>
      <c r="D70" s="34">
        <v>23</v>
      </c>
      <c r="E70" s="34" t="s">
        <v>119</v>
      </c>
      <c r="F70" s="11" t="s">
        <v>1407</v>
      </c>
      <c r="G70" s="11" t="s">
        <v>39</v>
      </c>
      <c r="H70" s="11" t="s">
        <v>762</v>
      </c>
      <c r="I70" s="11" t="s">
        <v>1406</v>
      </c>
      <c r="J70" s="11">
        <v>20</v>
      </c>
      <c r="K70" s="90">
        <f t="shared" si="1"/>
        <v>3</v>
      </c>
      <c r="L70" s="11">
        <v>30</v>
      </c>
      <c r="M70" s="11">
        <v>26</v>
      </c>
      <c r="N70" s="11">
        <v>31</v>
      </c>
      <c r="O70" s="11">
        <v>28</v>
      </c>
      <c r="P70" s="11">
        <v>40</v>
      </c>
      <c r="Q70" s="11">
        <v>29</v>
      </c>
      <c r="R70" s="11">
        <f t="shared" si="2"/>
        <v>30</v>
      </c>
      <c r="S70" s="34"/>
    </row>
    <row r="71" spans="1:19" ht="14.25" customHeight="1" x14ac:dyDescent="0.25">
      <c r="A71" s="2" t="s">
        <v>1156</v>
      </c>
      <c r="B71" s="34">
        <f t="shared" si="0"/>
        <v>6</v>
      </c>
      <c r="C71" s="34" t="s">
        <v>148</v>
      </c>
      <c r="D71" s="34">
        <v>8</v>
      </c>
      <c r="E71" s="34" t="s">
        <v>148</v>
      </c>
      <c r="F71" s="11" t="s">
        <v>1177</v>
      </c>
      <c r="G71" s="11" t="s">
        <v>81</v>
      </c>
      <c r="H71" s="11" t="s">
        <v>764</v>
      </c>
      <c r="I71" s="11" t="s">
        <v>1400</v>
      </c>
      <c r="J71" s="11">
        <v>20</v>
      </c>
      <c r="K71" s="90">
        <f t="shared" si="1"/>
        <v>6</v>
      </c>
      <c r="L71" s="11">
        <v>60</v>
      </c>
      <c r="M71" s="11">
        <v>76</v>
      </c>
      <c r="N71" s="11">
        <v>68</v>
      </c>
      <c r="O71" s="11">
        <v>66</v>
      </c>
      <c r="P71" s="11">
        <v>61</v>
      </c>
      <c r="Q71" s="11">
        <v>85</v>
      </c>
      <c r="R71" s="11">
        <f t="shared" si="2"/>
        <v>69</v>
      </c>
      <c r="S71" s="34" t="s">
        <v>1408</v>
      </c>
    </row>
    <row r="72" spans="1:19" ht="14.25" customHeight="1" x14ac:dyDescent="0.25">
      <c r="A72" s="2"/>
      <c r="B72" s="34">
        <f t="shared" si="0"/>
        <v>4</v>
      </c>
      <c r="C72" s="34" t="s">
        <v>148</v>
      </c>
      <c r="D72" s="34">
        <v>28</v>
      </c>
      <c r="E72" s="34" t="s">
        <v>119</v>
      </c>
      <c r="F72" s="11" t="s">
        <v>562</v>
      </c>
      <c r="G72" s="11" t="s">
        <v>233</v>
      </c>
      <c r="H72" s="11" t="s">
        <v>762</v>
      </c>
      <c r="I72" s="11" t="s">
        <v>1406</v>
      </c>
      <c r="J72" s="11">
        <v>21</v>
      </c>
      <c r="K72" s="90">
        <f t="shared" si="1"/>
        <v>3</v>
      </c>
      <c r="L72" s="11">
        <v>32</v>
      </c>
      <c r="M72" s="11">
        <v>31</v>
      </c>
      <c r="N72" s="11">
        <v>54</v>
      </c>
      <c r="O72" s="11">
        <v>25</v>
      </c>
      <c r="P72" s="11">
        <v>46</v>
      </c>
      <c r="Q72" s="11">
        <v>38</v>
      </c>
      <c r="R72" s="11">
        <f t="shared" si="2"/>
        <v>37</v>
      </c>
      <c r="S72" s="34"/>
    </row>
    <row r="73" spans="1:19" ht="14.25" customHeight="1" x14ac:dyDescent="0.25">
      <c r="A73" s="2"/>
      <c r="B73" s="34">
        <f t="shared" si="0"/>
        <v>5</v>
      </c>
      <c r="C73" s="34" t="s">
        <v>148</v>
      </c>
      <c r="D73" s="34">
        <v>26</v>
      </c>
      <c r="E73" s="34" t="s">
        <v>148</v>
      </c>
      <c r="F73" s="11" t="s">
        <v>908</v>
      </c>
      <c r="G73" s="11" t="s">
        <v>52</v>
      </c>
      <c r="H73" s="11" t="s">
        <v>764</v>
      </c>
      <c r="I73" s="11" t="s">
        <v>1397</v>
      </c>
      <c r="J73" s="11">
        <v>21</v>
      </c>
      <c r="K73" s="90">
        <f t="shared" si="1"/>
        <v>5</v>
      </c>
      <c r="L73" s="11">
        <v>50</v>
      </c>
      <c r="M73" s="11">
        <v>45</v>
      </c>
      <c r="N73" s="11">
        <v>43</v>
      </c>
      <c r="O73" s="11">
        <v>56</v>
      </c>
      <c r="P73" s="11">
        <v>55</v>
      </c>
      <c r="Q73" s="11">
        <v>43</v>
      </c>
      <c r="R73" s="11">
        <f t="shared" si="2"/>
        <v>48</v>
      </c>
      <c r="S73" s="34" t="s">
        <v>1408</v>
      </c>
    </row>
    <row r="74" spans="1:19" ht="14.25" customHeight="1" x14ac:dyDescent="0.25">
      <c r="A74" s="2"/>
      <c r="B74" s="34">
        <f t="shared" si="0"/>
        <v>5</v>
      </c>
      <c r="C74" s="34" t="s">
        <v>148</v>
      </c>
      <c r="D74" s="34">
        <v>13</v>
      </c>
      <c r="E74" s="34" t="s">
        <v>119</v>
      </c>
      <c r="F74" s="11" t="s">
        <v>899</v>
      </c>
      <c r="G74" s="11" t="s">
        <v>66</v>
      </c>
      <c r="H74" s="11" t="s">
        <v>762</v>
      </c>
      <c r="I74" s="11" t="s">
        <v>1406</v>
      </c>
      <c r="J74" s="11">
        <v>22</v>
      </c>
      <c r="K74" s="90">
        <f t="shared" si="1"/>
        <v>5</v>
      </c>
      <c r="L74" s="11">
        <v>55</v>
      </c>
      <c r="M74" s="11">
        <v>44</v>
      </c>
      <c r="N74" s="11">
        <v>57</v>
      </c>
      <c r="O74" s="11">
        <v>50</v>
      </c>
      <c r="P74" s="11">
        <v>64</v>
      </c>
      <c r="Q74" s="11">
        <v>49</v>
      </c>
      <c r="R74" s="11">
        <f t="shared" si="2"/>
        <v>53</v>
      </c>
      <c r="S74" s="34"/>
    </row>
    <row r="75" spans="1:19" ht="14.25" customHeight="1" x14ac:dyDescent="0.25">
      <c r="A75" s="2"/>
      <c r="B75" s="34">
        <f t="shared" si="0"/>
        <v>5</v>
      </c>
      <c r="C75" s="34" t="s">
        <v>148</v>
      </c>
      <c r="D75" s="34">
        <v>25</v>
      </c>
      <c r="E75" s="34"/>
      <c r="F75" s="11" t="s">
        <v>260</v>
      </c>
      <c r="G75" s="11" t="s">
        <v>168</v>
      </c>
      <c r="H75" s="11" t="s">
        <v>764</v>
      </c>
      <c r="I75" s="11" t="s">
        <v>1400</v>
      </c>
      <c r="J75" s="11">
        <v>22</v>
      </c>
      <c r="K75" s="90">
        <f t="shared" si="1"/>
        <v>5</v>
      </c>
      <c r="L75" s="11">
        <v>51</v>
      </c>
      <c r="M75" s="11">
        <v>63</v>
      </c>
      <c r="N75" s="11">
        <v>39</v>
      </c>
      <c r="O75" s="11">
        <v>53</v>
      </c>
      <c r="P75" s="11">
        <v>51</v>
      </c>
      <c r="Q75" s="11">
        <v>46</v>
      </c>
      <c r="R75" s="11">
        <f t="shared" si="2"/>
        <v>50</v>
      </c>
      <c r="S75" s="34"/>
    </row>
    <row r="76" spans="1:19" ht="14.25" customHeight="1" x14ac:dyDescent="0.25">
      <c r="A76" s="2"/>
      <c r="B76" s="34">
        <f t="shared" si="0"/>
        <v>4</v>
      </c>
      <c r="C76" s="34" t="s">
        <v>148</v>
      </c>
      <c r="D76" s="34">
        <v>15</v>
      </c>
      <c r="E76" s="34" t="s">
        <v>119</v>
      </c>
      <c r="F76" s="11" t="s">
        <v>1410</v>
      </c>
      <c r="G76" s="11" t="s">
        <v>145</v>
      </c>
      <c r="H76" s="11" t="s">
        <v>762</v>
      </c>
      <c r="I76" s="11" t="s">
        <v>1406</v>
      </c>
      <c r="J76" s="11">
        <v>23</v>
      </c>
      <c r="K76" s="90">
        <f t="shared" si="1"/>
        <v>4</v>
      </c>
      <c r="L76" s="11">
        <v>46</v>
      </c>
      <c r="M76" s="11">
        <v>30</v>
      </c>
      <c r="N76" s="11">
        <v>40</v>
      </c>
      <c r="O76" s="11">
        <v>39</v>
      </c>
      <c r="P76" s="11">
        <v>53</v>
      </c>
      <c r="Q76" s="11">
        <v>34</v>
      </c>
      <c r="R76" s="11">
        <f t="shared" si="2"/>
        <v>40</v>
      </c>
      <c r="S76" s="34"/>
    </row>
    <row r="77" spans="1:19" ht="14.25" customHeight="1" x14ac:dyDescent="0.25">
      <c r="A77" s="2" t="s">
        <v>1156</v>
      </c>
      <c r="B77" s="34">
        <f t="shared" si="0"/>
        <v>6</v>
      </c>
      <c r="C77" s="34" t="s">
        <v>148</v>
      </c>
      <c r="D77" s="34">
        <v>14</v>
      </c>
      <c r="E77" s="34"/>
      <c r="F77" s="11" t="s">
        <v>183</v>
      </c>
      <c r="G77" s="11" t="s">
        <v>184</v>
      </c>
      <c r="H77" s="11" t="s">
        <v>764</v>
      </c>
      <c r="I77" s="11" t="s">
        <v>1397</v>
      </c>
      <c r="J77" s="11">
        <v>23</v>
      </c>
      <c r="K77" s="90">
        <f t="shared" si="1"/>
        <v>5</v>
      </c>
      <c r="L77" s="11">
        <v>53</v>
      </c>
      <c r="M77" s="11">
        <v>65</v>
      </c>
      <c r="N77" s="11">
        <v>58</v>
      </c>
      <c r="O77" s="11">
        <v>54</v>
      </c>
      <c r="P77" s="11">
        <v>58</v>
      </c>
      <c r="Q77" s="11">
        <v>87</v>
      </c>
      <c r="R77" s="11">
        <f t="shared" si="2"/>
        <v>62</v>
      </c>
      <c r="S77" s="34" t="s">
        <v>1408</v>
      </c>
    </row>
    <row r="78" spans="1:19" ht="14.25" customHeight="1" x14ac:dyDescent="0.25">
      <c r="A78" s="2"/>
      <c r="B78" s="34">
        <f t="shared" si="0"/>
        <v>5</v>
      </c>
      <c r="C78" s="34" t="s">
        <v>148</v>
      </c>
      <c r="D78" s="34">
        <v>18</v>
      </c>
      <c r="E78" s="34" t="s">
        <v>119</v>
      </c>
      <c r="F78" s="11" t="s">
        <v>58</v>
      </c>
      <c r="G78" s="11" t="s">
        <v>60</v>
      </c>
      <c r="H78" s="11" t="s">
        <v>762</v>
      </c>
      <c r="I78" s="11" t="s">
        <v>1406</v>
      </c>
      <c r="J78" s="11">
        <v>24</v>
      </c>
      <c r="K78" s="90">
        <f t="shared" si="1"/>
        <v>4</v>
      </c>
      <c r="L78" s="11">
        <v>37</v>
      </c>
      <c r="M78" s="11">
        <v>54</v>
      </c>
      <c r="N78" s="11">
        <v>56</v>
      </c>
      <c r="O78" s="11">
        <v>35</v>
      </c>
      <c r="P78" s="11">
        <v>45</v>
      </c>
      <c r="Q78" s="11">
        <v>90</v>
      </c>
      <c r="R78" s="11">
        <f t="shared" si="2"/>
        <v>52</v>
      </c>
      <c r="S78" s="34"/>
    </row>
    <row r="79" spans="1:19" ht="14.25" customHeight="1" x14ac:dyDescent="0.25">
      <c r="A79" s="2"/>
      <c r="B79" s="34">
        <f t="shared" si="0"/>
        <v>5</v>
      </c>
      <c r="C79" s="34" t="s">
        <v>148</v>
      </c>
      <c r="D79" s="34">
        <v>13</v>
      </c>
      <c r="E79" s="34" t="s">
        <v>119</v>
      </c>
      <c r="F79" s="11" t="s">
        <v>248</v>
      </c>
      <c r="G79" s="11" t="s">
        <v>52</v>
      </c>
      <c r="H79" s="11" t="s">
        <v>764</v>
      </c>
      <c r="I79" s="11" t="s">
        <v>1412</v>
      </c>
      <c r="J79" s="11">
        <v>24</v>
      </c>
      <c r="K79" s="90">
        <f t="shared" si="1"/>
        <v>5</v>
      </c>
      <c r="L79" s="11">
        <v>54</v>
      </c>
      <c r="M79" s="11">
        <v>58</v>
      </c>
      <c r="N79" s="11">
        <v>51</v>
      </c>
      <c r="O79" s="11">
        <v>57</v>
      </c>
      <c r="P79" s="11">
        <v>47</v>
      </c>
      <c r="Q79" s="11">
        <v>51</v>
      </c>
      <c r="R79" s="11">
        <f t="shared" si="2"/>
        <v>53</v>
      </c>
      <c r="S79" s="34" t="s">
        <v>1408</v>
      </c>
    </row>
    <row r="80" spans="1:19" ht="14.25" customHeight="1" x14ac:dyDescent="0.25">
      <c r="A80" s="2"/>
      <c r="B80" s="34">
        <f t="shared" si="0"/>
        <v>4</v>
      </c>
      <c r="C80" s="34" t="s">
        <v>148</v>
      </c>
      <c r="D80" s="34">
        <v>17</v>
      </c>
      <c r="E80" s="34" t="s">
        <v>119</v>
      </c>
      <c r="F80" s="11" t="s">
        <v>1168</v>
      </c>
      <c r="G80" s="11" t="s">
        <v>168</v>
      </c>
      <c r="H80" s="11" t="s">
        <v>762</v>
      </c>
      <c r="I80" s="11" t="s">
        <v>1413</v>
      </c>
      <c r="J80" s="11">
        <v>24</v>
      </c>
      <c r="K80" s="90">
        <f t="shared" si="1"/>
        <v>3</v>
      </c>
      <c r="L80" s="11">
        <v>31</v>
      </c>
      <c r="M80" s="11">
        <v>34</v>
      </c>
      <c r="N80" s="11">
        <v>48</v>
      </c>
      <c r="O80" s="11">
        <v>34</v>
      </c>
      <c r="P80" s="11">
        <v>50</v>
      </c>
      <c r="Q80" s="11">
        <v>31</v>
      </c>
      <c r="R80" s="11">
        <f t="shared" si="2"/>
        <v>38</v>
      </c>
      <c r="S80" s="34"/>
    </row>
    <row r="81" spans="1:19" ht="14.25" customHeight="1" x14ac:dyDescent="0.25">
      <c r="A81" s="2"/>
      <c r="B81" s="34">
        <f t="shared" si="0"/>
        <v>7</v>
      </c>
      <c r="C81" s="34" t="s">
        <v>148</v>
      </c>
      <c r="D81" s="34">
        <v>8</v>
      </c>
      <c r="E81" s="34"/>
      <c r="F81" s="11" t="s">
        <v>1235</v>
      </c>
      <c r="G81" s="11" t="s">
        <v>69</v>
      </c>
      <c r="H81" s="11" t="s">
        <v>764</v>
      </c>
      <c r="I81" s="11" t="s">
        <v>1412</v>
      </c>
      <c r="J81" s="11">
        <v>25</v>
      </c>
      <c r="K81" s="90">
        <f t="shared" si="1"/>
        <v>7</v>
      </c>
      <c r="L81" s="11">
        <v>78</v>
      </c>
      <c r="M81" s="11">
        <v>83</v>
      </c>
      <c r="N81" s="11">
        <v>74</v>
      </c>
      <c r="O81" s="11">
        <v>72</v>
      </c>
      <c r="P81" s="11">
        <v>75</v>
      </c>
      <c r="Q81" s="11">
        <v>76</v>
      </c>
      <c r="R81" s="11">
        <f t="shared" si="2"/>
        <v>76</v>
      </c>
      <c r="S81" s="34"/>
    </row>
    <row r="82" spans="1:19" ht="14.25" customHeight="1" x14ac:dyDescent="0.25">
      <c r="A82" s="2"/>
      <c r="B82" s="34">
        <f t="shared" si="0"/>
        <v>6</v>
      </c>
      <c r="C82" s="34" t="s">
        <v>148</v>
      </c>
      <c r="D82" s="34">
        <v>15</v>
      </c>
      <c r="E82" s="34" t="s">
        <v>119</v>
      </c>
      <c r="F82" s="11" t="s">
        <v>896</v>
      </c>
      <c r="G82" s="11" t="s">
        <v>55</v>
      </c>
      <c r="H82" s="11" t="s">
        <v>762</v>
      </c>
      <c r="I82" s="11" t="s">
        <v>1413</v>
      </c>
      <c r="J82" s="11">
        <v>25</v>
      </c>
      <c r="K82" s="90">
        <f t="shared" si="1"/>
        <v>5</v>
      </c>
      <c r="L82" s="11">
        <v>49</v>
      </c>
      <c r="M82" s="11">
        <v>55</v>
      </c>
      <c r="N82" s="11">
        <v>70</v>
      </c>
      <c r="O82" s="11">
        <v>51</v>
      </c>
      <c r="P82" s="11">
        <v>59</v>
      </c>
      <c r="Q82" s="11">
        <v>93</v>
      </c>
      <c r="R82" s="11">
        <f t="shared" si="2"/>
        <v>62</v>
      </c>
      <c r="S82" s="34"/>
    </row>
    <row r="83" spans="1:19" ht="14.25" customHeight="1" x14ac:dyDescent="0.25">
      <c r="A83" s="2"/>
      <c r="B83" s="34">
        <f t="shared" si="0"/>
        <v>5</v>
      </c>
      <c r="C83" s="34" t="s">
        <v>148</v>
      </c>
      <c r="D83" s="34">
        <v>13</v>
      </c>
      <c r="E83" s="34" t="s">
        <v>148</v>
      </c>
      <c r="F83" s="11" t="s">
        <v>1175</v>
      </c>
      <c r="G83" s="11" t="s">
        <v>199</v>
      </c>
      <c r="H83" s="11" t="s">
        <v>764</v>
      </c>
      <c r="I83" s="11" t="s">
        <v>1412</v>
      </c>
      <c r="J83" s="11">
        <v>26</v>
      </c>
      <c r="K83" s="90">
        <f t="shared" si="1"/>
        <v>5</v>
      </c>
      <c r="L83" s="11">
        <v>57</v>
      </c>
      <c r="M83" s="11">
        <v>73</v>
      </c>
      <c r="N83" s="11">
        <v>61</v>
      </c>
      <c r="O83" s="11">
        <v>59</v>
      </c>
      <c r="P83" s="11">
        <v>49</v>
      </c>
      <c r="Q83" s="11">
        <v>57</v>
      </c>
      <c r="R83" s="11">
        <f t="shared" si="2"/>
        <v>59</v>
      </c>
      <c r="S83" s="34" t="s">
        <v>1408</v>
      </c>
    </row>
    <row r="84" spans="1:19" ht="14.25" customHeight="1" x14ac:dyDescent="0.25">
      <c r="A84" s="2"/>
      <c r="B84" s="34">
        <f t="shared" si="0"/>
        <v>6</v>
      </c>
      <c r="C84" s="34" t="s">
        <v>148</v>
      </c>
      <c r="D84" s="34">
        <v>13</v>
      </c>
      <c r="E84" s="34" t="s">
        <v>148</v>
      </c>
      <c r="F84" s="11" t="s">
        <v>682</v>
      </c>
      <c r="G84" s="11" t="s">
        <v>187</v>
      </c>
      <c r="H84" s="11" t="s">
        <v>762</v>
      </c>
      <c r="I84" s="11" t="s">
        <v>1413</v>
      </c>
      <c r="J84" s="11">
        <v>26</v>
      </c>
      <c r="K84" s="90">
        <f t="shared" si="1"/>
        <v>7</v>
      </c>
      <c r="L84" s="11">
        <v>75</v>
      </c>
      <c r="M84" s="11">
        <v>70</v>
      </c>
      <c r="N84" s="11">
        <v>67</v>
      </c>
      <c r="O84" s="11">
        <v>52</v>
      </c>
      <c r="P84" s="11">
        <v>66</v>
      </c>
      <c r="Q84" s="11">
        <v>89</v>
      </c>
      <c r="R84" s="11">
        <f t="shared" si="2"/>
        <v>69</v>
      </c>
      <c r="S84" s="34"/>
    </row>
    <row r="85" spans="1:19" ht="14.25" customHeight="1" x14ac:dyDescent="0.25">
      <c r="A85" s="2"/>
      <c r="B85" s="34">
        <f t="shared" si="0"/>
        <v>6</v>
      </c>
      <c r="C85" s="34" t="s">
        <v>148</v>
      </c>
      <c r="D85" s="34">
        <v>12</v>
      </c>
      <c r="E85" s="34"/>
      <c r="F85" s="11" t="s">
        <v>1414</v>
      </c>
      <c r="G85" s="11" t="s">
        <v>60</v>
      </c>
      <c r="H85" s="11" t="s">
        <v>764</v>
      </c>
      <c r="I85" s="11" t="s">
        <v>1412</v>
      </c>
      <c r="J85" s="11">
        <v>27</v>
      </c>
      <c r="K85" s="90">
        <f t="shared" si="1"/>
        <v>6</v>
      </c>
      <c r="L85" s="11">
        <v>69</v>
      </c>
      <c r="M85" s="11">
        <v>56</v>
      </c>
      <c r="N85" s="11">
        <v>55</v>
      </c>
      <c r="O85" s="11">
        <v>69</v>
      </c>
      <c r="P85" s="11">
        <v>71</v>
      </c>
      <c r="Q85" s="11">
        <v>63</v>
      </c>
      <c r="R85" s="11">
        <f t="shared" si="2"/>
        <v>63</v>
      </c>
      <c r="S85" s="34" t="s">
        <v>1408</v>
      </c>
    </row>
    <row r="86" spans="1:19" ht="14.25" customHeight="1" x14ac:dyDescent="0.25">
      <c r="A86" s="2"/>
      <c r="B86" s="34">
        <f t="shared" si="0"/>
        <v>6</v>
      </c>
      <c r="C86" s="34" t="s">
        <v>148</v>
      </c>
      <c r="D86" s="34">
        <v>12</v>
      </c>
      <c r="E86" s="34" t="s">
        <v>119</v>
      </c>
      <c r="F86" s="11" t="s">
        <v>172</v>
      </c>
      <c r="G86" s="11" t="s">
        <v>35</v>
      </c>
      <c r="H86" s="11" t="s">
        <v>762</v>
      </c>
      <c r="I86" s="11" t="s">
        <v>1415</v>
      </c>
      <c r="J86" s="11">
        <v>27</v>
      </c>
      <c r="K86" s="90">
        <f t="shared" si="1"/>
        <v>6</v>
      </c>
      <c r="L86" s="11">
        <v>62</v>
      </c>
      <c r="M86" s="11">
        <v>64</v>
      </c>
      <c r="N86" s="11">
        <v>64</v>
      </c>
      <c r="O86" s="11">
        <v>49</v>
      </c>
      <c r="P86" s="11">
        <v>68</v>
      </c>
      <c r="Q86" s="11">
        <v>105</v>
      </c>
      <c r="R86" s="11">
        <f t="shared" si="2"/>
        <v>68</v>
      </c>
      <c r="S86" s="34"/>
    </row>
    <row r="87" spans="1:19" ht="14.25" customHeight="1" x14ac:dyDescent="0.25">
      <c r="A87" s="2"/>
      <c r="B87" s="34">
        <f t="shared" si="0"/>
        <v>7</v>
      </c>
      <c r="C87" s="34" t="s">
        <v>148</v>
      </c>
      <c r="D87" s="34">
        <v>17</v>
      </c>
      <c r="E87" s="34" t="s">
        <v>148</v>
      </c>
      <c r="F87" s="11" t="s">
        <v>1130</v>
      </c>
      <c r="G87" s="11" t="s">
        <v>49</v>
      </c>
      <c r="H87" s="11" t="s">
        <v>762</v>
      </c>
      <c r="I87" s="11" t="s">
        <v>1415</v>
      </c>
      <c r="J87" s="11">
        <v>28</v>
      </c>
      <c r="K87" s="90">
        <f t="shared" si="1"/>
        <v>6</v>
      </c>
      <c r="L87" s="11">
        <v>70</v>
      </c>
      <c r="M87" s="11">
        <v>71</v>
      </c>
      <c r="N87" s="11">
        <v>75</v>
      </c>
      <c r="O87" s="11">
        <v>55</v>
      </c>
      <c r="P87" s="11">
        <v>69</v>
      </c>
      <c r="Q87" s="11">
        <v>107</v>
      </c>
      <c r="R87" s="11">
        <f t="shared" si="2"/>
        <v>74</v>
      </c>
      <c r="S87" s="34"/>
    </row>
    <row r="88" spans="1:19" ht="14.25" customHeight="1" x14ac:dyDescent="0.25">
      <c r="A88" s="2"/>
      <c r="B88" s="34">
        <f t="shared" si="0"/>
        <v>6</v>
      </c>
      <c r="C88" s="34" t="s">
        <v>148</v>
      </c>
      <c r="D88" s="34">
        <v>12</v>
      </c>
      <c r="E88" s="34" t="s">
        <v>119</v>
      </c>
      <c r="F88" s="11" t="s">
        <v>288</v>
      </c>
      <c r="G88" s="11" t="s">
        <v>66</v>
      </c>
      <c r="H88" s="11" t="s">
        <v>764</v>
      </c>
      <c r="I88" s="11" t="s">
        <v>1412</v>
      </c>
      <c r="J88" s="11">
        <v>28</v>
      </c>
      <c r="K88" s="90">
        <f t="shared" si="1"/>
        <v>6</v>
      </c>
      <c r="L88" s="11">
        <v>68</v>
      </c>
      <c r="M88" s="11">
        <v>67</v>
      </c>
      <c r="N88" s="11">
        <v>60</v>
      </c>
      <c r="O88" s="11">
        <v>67</v>
      </c>
      <c r="P88" s="11">
        <v>70</v>
      </c>
      <c r="Q88" s="11">
        <v>56</v>
      </c>
      <c r="R88" s="11">
        <f t="shared" si="2"/>
        <v>64</v>
      </c>
      <c r="S88" s="34"/>
    </row>
    <row r="89" spans="1:19" ht="14.25" customHeight="1" x14ac:dyDescent="0.25">
      <c r="A89" s="2"/>
      <c r="B89" s="34">
        <f t="shared" si="0"/>
        <v>7</v>
      </c>
      <c r="C89" s="34" t="s">
        <v>148</v>
      </c>
      <c r="D89" s="34">
        <v>7</v>
      </c>
      <c r="E89" s="34" t="s">
        <v>119</v>
      </c>
      <c r="F89" s="11" t="s">
        <v>1184</v>
      </c>
      <c r="G89" s="11" t="s">
        <v>91</v>
      </c>
      <c r="H89" s="11" t="s">
        <v>764</v>
      </c>
      <c r="I89" s="11" t="s">
        <v>1412</v>
      </c>
      <c r="J89" s="11">
        <v>29</v>
      </c>
      <c r="K89" s="90">
        <f t="shared" si="1"/>
        <v>7</v>
      </c>
      <c r="L89" s="11">
        <v>83</v>
      </c>
      <c r="M89" s="11">
        <v>69</v>
      </c>
      <c r="N89" s="11">
        <v>72</v>
      </c>
      <c r="O89" s="11">
        <v>68</v>
      </c>
      <c r="P89" s="11">
        <v>67</v>
      </c>
      <c r="Q89" s="11">
        <v>88</v>
      </c>
      <c r="R89" s="11">
        <f t="shared" si="2"/>
        <v>74</v>
      </c>
      <c r="S89" s="34" t="s">
        <v>1416</v>
      </c>
    </row>
    <row r="90" spans="1:19" ht="14.25" customHeight="1" x14ac:dyDescent="0.25">
      <c r="A90" s="2"/>
      <c r="B90" s="34">
        <f t="shared" si="0"/>
        <v>7</v>
      </c>
      <c r="C90" s="34" t="s">
        <v>148</v>
      </c>
      <c r="D90" s="34">
        <v>6</v>
      </c>
      <c r="E90" s="34"/>
      <c r="F90" s="11" t="s">
        <v>1204</v>
      </c>
      <c r="G90" s="11" t="s">
        <v>163</v>
      </c>
      <c r="H90" s="11" t="s">
        <v>762</v>
      </c>
      <c r="I90" s="11" t="s">
        <v>1415</v>
      </c>
      <c r="J90" s="11">
        <v>29</v>
      </c>
      <c r="K90" s="90">
        <f t="shared" si="1"/>
        <v>8</v>
      </c>
      <c r="L90" s="11">
        <v>90</v>
      </c>
      <c r="M90" s="11">
        <v>61</v>
      </c>
      <c r="N90" s="11">
        <v>73</v>
      </c>
      <c r="O90" s="11">
        <v>60</v>
      </c>
      <c r="P90" s="11">
        <v>78</v>
      </c>
      <c r="Q90" s="11">
        <v>100</v>
      </c>
      <c r="R90" s="11">
        <f t="shared" si="2"/>
        <v>77</v>
      </c>
      <c r="S90" s="34"/>
    </row>
    <row r="91" spans="1:19" ht="14.25" customHeight="1" x14ac:dyDescent="0.25">
      <c r="A91" s="2"/>
      <c r="B91" s="34">
        <f t="shared" si="0"/>
        <v>7</v>
      </c>
      <c r="C91" s="34" t="s">
        <v>148</v>
      </c>
      <c r="D91" s="34">
        <v>9</v>
      </c>
      <c r="E91" s="34"/>
      <c r="F91" s="11" t="s">
        <v>957</v>
      </c>
      <c r="G91" s="11" t="s">
        <v>44</v>
      </c>
      <c r="H91" s="11" t="s">
        <v>764</v>
      </c>
      <c r="I91" s="11" t="s">
        <v>1412</v>
      </c>
      <c r="J91" s="11">
        <v>30</v>
      </c>
      <c r="K91" s="90">
        <f t="shared" si="1"/>
        <v>8</v>
      </c>
      <c r="L91" s="11">
        <v>84</v>
      </c>
      <c r="M91" s="11">
        <v>77</v>
      </c>
      <c r="N91" s="11">
        <v>76</v>
      </c>
      <c r="O91" s="11">
        <v>78</v>
      </c>
      <c r="P91" s="11">
        <v>80</v>
      </c>
      <c r="Q91" s="11">
        <v>80</v>
      </c>
      <c r="R91" s="11">
        <f t="shared" si="2"/>
        <v>79</v>
      </c>
      <c r="S91" s="34"/>
    </row>
    <row r="92" spans="1:19" ht="14.25" customHeight="1" x14ac:dyDescent="0.25">
      <c r="A92" s="2"/>
      <c r="B92" s="34">
        <f t="shared" si="0"/>
        <v>8</v>
      </c>
      <c r="C92" s="34" t="s">
        <v>148</v>
      </c>
      <c r="D92" s="34">
        <v>4</v>
      </c>
      <c r="E92" s="34"/>
      <c r="F92" s="11" t="s">
        <v>276</v>
      </c>
      <c r="G92" s="11" t="s">
        <v>91</v>
      </c>
      <c r="H92" s="11" t="s">
        <v>762</v>
      </c>
      <c r="I92" s="11" t="s">
        <v>1415</v>
      </c>
      <c r="J92" s="11">
        <v>30</v>
      </c>
      <c r="K92" s="90">
        <f t="shared" si="1"/>
        <v>8</v>
      </c>
      <c r="L92" s="11">
        <v>94</v>
      </c>
      <c r="M92" s="11">
        <v>85</v>
      </c>
      <c r="N92" s="11">
        <v>102</v>
      </c>
      <c r="O92" s="11">
        <v>65</v>
      </c>
      <c r="P92" s="11">
        <v>76</v>
      </c>
      <c r="Q92" s="11">
        <v>138</v>
      </c>
      <c r="R92" s="11">
        <f t="shared" si="2"/>
        <v>93</v>
      </c>
      <c r="S92" s="34"/>
    </row>
    <row r="93" spans="1:19" ht="14.25" customHeight="1" x14ac:dyDescent="0.25">
      <c r="A93" s="2"/>
      <c r="B93" s="34">
        <f t="shared" si="0"/>
        <v>5</v>
      </c>
      <c r="C93" s="34" t="s">
        <v>148</v>
      </c>
      <c r="D93" s="34">
        <v>12</v>
      </c>
      <c r="E93" s="34"/>
      <c r="F93" s="11" t="s">
        <v>409</v>
      </c>
      <c r="G93" s="11" t="s">
        <v>88</v>
      </c>
      <c r="H93" s="11" t="s">
        <v>764</v>
      </c>
      <c r="I93" s="11" t="s">
        <v>1412</v>
      </c>
      <c r="J93" s="11">
        <v>31</v>
      </c>
      <c r="K93" s="90">
        <f t="shared" si="1"/>
        <v>6</v>
      </c>
      <c r="L93" s="11">
        <v>61</v>
      </c>
      <c r="M93" s="11">
        <v>51</v>
      </c>
      <c r="N93" s="11">
        <v>53</v>
      </c>
      <c r="O93" s="11">
        <v>61</v>
      </c>
      <c r="P93" s="11">
        <v>54</v>
      </c>
      <c r="Q93" s="11">
        <v>41</v>
      </c>
      <c r="R93" s="11">
        <f t="shared" si="2"/>
        <v>53</v>
      </c>
      <c r="S93" s="34"/>
    </row>
    <row r="94" spans="1:19" ht="14.25" customHeight="1" x14ac:dyDescent="0.25">
      <c r="A94" s="2"/>
      <c r="B94" s="34">
        <f t="shared" si="0"/>
        <v>9</v>
      </c>
      <c r="C94" s="34" t="s">
        <v>148</v>
      </c>
      <c r="D94" s="34">
        <v>5</v>
      </c>
      <c r="E94" s="34"/>
      <c r="F94" s="11" t="s">
        <v>1417</v>
      </c>
      <c r="G94" s="11" t="s">
        <v>81</v>
      </c>
      <c r="H94" s="11" t="s">
        <v>762</v>
      </c>
      <c r="I94" s="11" t="s">
        <v>1418</v>
      </c>
      <c r="J94" s="11">
        <v>31</v>
      </c>
      <c r="K94" s="90">
        <f t="shared" si="1"/>
        <v>8</v>
      </c>
      <c r="L94" s="11">
        <v>95</v>
      </c>
      <c r="M94" s="11">
        <v>89</v>
      </c>
      <c r="N94" s="11">
        <v>104</v>
      </c>
      <c r="O94" s="11">
        <v>94</v>
      </c>
      <c r="P94" s="11">
        <v>101</v>
      </c>
      <c r="Q94" s="11">
        <v>127</v>
      </c>
      <c r="R94" s="11">
        <f t="shared" si="2"/>
        <v>101</v>
      </c>
      <c r="S94" s="34"/>
    </row>
    <row r="95" spans="1:19" ht="14.25" customHeight="1" x14ac:dyDescent="0.25">
      <c r="A95" s="2"/>
      <c r="B95" s="34">
        <f t="shared" si="0"/>
        <v>8</v>
      </c>
      <c r="C95" s="34" t="s">
        <v>148</v>
      </c>
      <c r="D95" s="34">
        <v>5</v>
      </c>
      <c r="E95" s="34" t="s">
        <v>148</v>
      </c>
      <c r="F95" s="11" t="s">
        <v>1217</v>
      </c>
      <c r="G95" s="11" t="s">
        <v>60</v>
      </c>
      <c r="H95" s="11" t="s">
        <v>762</v>
      </c>
      <c r="I95" s="11" t="s">
        <v>1413</v>
      </c>
      <c r="J95" s="11">
        <v>32</v>
      </c>
      <c r="K95" s="90">
        <f t="shared" si="1"/>
        <v>9</v>
      </c>
      <c r="L95" s="11">
        <v>106</v>
      </c>
      <c r="M95" s="11">
        <v>88</v>
      </c>
      <c r="N95" s="11">
        <v>131</v>
      </c>
      <c r="O95" s="11">
        <v>81</v>
      </c>
      <c r="P95" s="11">
        <v>92</v>
      </c>
      <c r="Q95" s="11">
        <v>77</v>
      </c>
      <c r="R95" s="11">
        <f t="shared" si="2"/>
        <v>95</v>
      </c>
      <c r="S95" s="34"/>
    </row>
    <row r="96" spans="1:19" ht="14.25" customHeight="1" x14ac:dyDescent="0.25">
      <c r="A96" s="2"/>
      <c r="B96" s="34">
        <f t="shared" si="0"/>
        <v>7</v>
      </c>
      <c r="C96" s="34" t="s">
        <v>148</v>
      </c>
      <c r="D96" s="34">
        <v>12</v>
      </c>
      <c r="E96" s="34"/>
      <c r="F96" s="11" t="s">
        <v>1246</v>
      </c>
      <c r="G96" s="11" t="s">
        <v>187</v>
      </c>
      <c r="H96" s="11" t="s">
        <v>764</v>
      </c>
      <c r="I96" s="11" t="s">
        <v>1412</v>
      </c>
      <c r="J96" s="11">
        <v>32</v>
      </c>
      <c r="K96" s="90">
        <f t="shared" si="1"/>
        <v>8</v>
      </c>
      <c r="L96" s="11">
        <v>89</v>
      </c>
      <c r="M96" s="11">
        <v>79</v>
      </c>
      <c r="N96" s="11">
        <v>59</v>
      </c>
      <c r="O96" s="11">
        <v>80</v>
      </c>
      <c r="P96" s="11">
        <v>81</v>
      </c>
      <c r="Q96" s="11">
        <v>84</v>
      </c>
      <c r="R96" s="11">
        <f t="shared" si="2"/>
        <v>78</v>
      </c>
      <c r="S96" s="34"/>
    </row>
    <row r="97" spans="1:19" ht="14.25" customHeight="1" x14ac:dyDescent="0.25">
      <c r="A97" s="2"/>
      <c r="B97" s="34">
        <f t="shared" si="0"/>
        <v>8</v>
      </c>
      <c r="C97" s="34" t="s">
        <v>148</v>
      </c>
      <c r="D97" s="34">
        <v>4</v>
      </c>
      <c r="E97" s="34"/>
      <c r="F97" s="11" t="s">
        <v>1419</v>
      </c>
      <c r="G97" s="11" t="s">
        <v>104</v>
      </c>
      <c r="H97" s="11" t="s">
        <v>764</v>
      </c>
      <c r="I97" s="11" t="s">
        <v>1412</v>
      </c>
      <c r="J97" s="11">
        <v>33</v>
      </c>
      <c r="K97" s="90">
        <f t="shared" si="1"/>
        <v>9</v>
      </c>
      <c r="L97" s="11">
        <v>99</v>
      </c>
      <c r="M97" s="11">
        <v>82</v>
      </c>
      <c r="N97" s="11">
        <v>83</v>
      </c>
      <c r="O97" s="11">
        <v>82</v>
      </c>
      <c r="P97" s="11">
        <v>84</v>
      </c>
      <c r="Q97" s="11">
        <v>94</v>
      </c>
      <c r="R97" s="11">
        <f t="shared" si="2"/>
        <v>87</v>
      </c>
      <c r="S97" s="34"/>
    </row>
    <row r="98" spans="1:19" ht="14.25" customHeight="1" x14ac:dyDescent="0.25">
      <c r="A98" s="2" t="s">
        <v>1156</v>
      </c>
      <c r="B98" s="34">
        <f t="shared" si="0"/>
        <v>9</v>
      </c>
      <c r="C98" s="34" t="s">
        <v>148</v>
      </c>
      <c r="D98" s="34">
        <v>3</v>
      </c>
      <c r="E98" s="34" t="s">
        <v>148</v>
      </c>
      <c r="F98" s="11" t="s">
        <v>1420</v>
      </c>
      <c r="G98" s="11" t="s">
        <v>155</v>
      </c>
      <c r="H98" s="11" t="s">
        <v>762</v>
      </c>
      <c r="I98" s="11" t="s">
        <v>1418</v>
      </c>
      <c r="J98" s="11">
        <v>33</v>
      </c>
      <c r="K98" s="90">
        <f t="shared" si="1"/>
        <v>11</v>
      </c>
      <c r="L98" s="11">
        <v>125</v>
      </c>
      <c r="M98" s="11">
        <v>91</v>
      </c>
      <c r="N98" s="11">
        <v>90</v>
      </c>
      <c r="O98" s="11">
        <v>83</v>
      </c>
      <c r="P98" s="11">
        <v>98</v>
      </c>
      <c r="Q98" s="11">
        <v>108</v>
      </c>
      <c r="R98" s="11">
        <f t="shared" si="2"/>
        <v>99</v>
      </c>
      <c r="S98" s="34"/>
    </row>
    <row r="99" spans="1:19" ht="14.25" customHeight="1" x14ac:dyDescent="0.25">
      <c r="A99" s="2"/>
      <c r="B99" s="34">
        <f t="shared" si="0"/>
        <v>9</v>
      </c>
      <c r="C99" s="34" t="s">
        <v>148</v>
      </c>
      <c r="D99" s="34">
        <v>6</v>
      </c>
      <c r="E99" s="34"/>
      <c r="F99" s="11" t="s">
        <v>1421</v>
      </c>
      <c r="G99" s="11" t="s">
        <v>168</v>
      </c>
      <c r="H99" s="11" t="s">
        <v>762</v>
      </c>
      <c r="I99" s="11" t="s">
        <v>1418</v>
      </c>
      <c r="J99" s="11">
        <v>34</v>
      </c>
      <c r="K99" s="90">
        <f t="shared" si="1"/>
        <v>9</v>
      </c>
      <c r="L99" s="11">
        <v>104</v>
      </c>
      <c r="M99" s="11">
        <v>100</v>
      </c>
      <c r="N99" s="11">
        <v>95</v>
      </c>
      <c r="O99" s="11">
        <v>97</v>
      </c>
      <c r="P99" s="11">
        <v>105</v>
      </c>
      <c r="Q99" s="11">
        <v>102</v>
      </c>
      <c r="R99" s="11">
        <f t="shared" si="2"/>
        <v>100</v>
      </c>
      <c r="S99" s="34"/>
    </row>
    <row r="100" spans="1:19" ht="14.25" customHeight="1" x14ac:dyDescent="0.25">
      <c r="A100" s="2"/>
      <c r="B100" s="34">
        <f t="shared" si="0"/>
        <v>8</v>
      </c>
      <c r="C100" s="34" t="s">
        <v>148</v>
      </c>
      <c r="D100" s="34">
        <v>8</v>
      </c>
      <c r="E100" s="34"/>
      <c r="F100" s="11" t="s">
        <v>1422</v>
      </c>
      <c r="G100" s="11" t="s">
        <v>116</v>
      </c>
      <c r="H100" s="11" t="s">
        <v>764</v>
      </c>
      <c r="I100" s="11" t="s">
        <v>1412</v>
      </c>
      <c r="J100" s="11">
        <v>34</v>
      </c>
      <c r="K100" s="90">
        <f t="shared" si="1"/>
        <v>9</v>
      </c>
      <c r="L100" s="11">
        <v>98</v>
      </c>
      <c r="M100" s="11">
        <v>84</v>
      </c>
      <c r="N100" s="11">
        <v>82</v>
      </c>
      <c r="O100" s="11">
        <v>74</v>
      </c>
      <c r="P100" s="11">
        <v>77</v>
      </c>
      <c r="Q100" s="11">
        <v>99</v>
      </c>
      <c r="R100" s="11">
        <f t="shared" si="2"/>
        <v>85</v>
      </c>
      <c r="S100" s="34" t="s">
        <v>1423</v>
      </c>
    </row>
    <row r="101" spans="1:19" ht="14.25" customHeight="1" x14ac:dyDescent="0.25">
      <c r="A101" s="2"/>
      <c r="B101" s="34">
        <f t="shared" si="0"/>
        <v>8</v>
      </c>
      <c r="C101" s="34" t="s">
        <v>148</v>
      </c>
      <c r="D101" s="34"/>
      <c r="E101" s="34"/>
      <c r="F101" s="11" t="s">
        <v>1425</v>
      </c>
      <c r="G101" s="11" t="s">
        <v>104</v>
      </c>
      <c r="H101" s="11" t="s">
        <v>762</v>
      </c>
      <c r="I101" s="11" t="s">
        <v>1418</v>
      </c>
      <c r="J101" s="11">
        <v>34</v>
      </c>
      <c r="K101" s="90">
        <f t="shared" si="1"/>
        <v>10</v>
      </c>
      <c r="L101" s="11">
        <v>110</v>
      </c>
      <c r="M101" s="11">
        <v>97</v>
      </c>
      <c r="N101" s="11">
        <v>101</v>
      </c>
      <c r="O101" s="11">
        <v>75</v>
      </c>
      <c r="P101" s="11">
        <v>89</v>
      </c>
      <c r="Q101" s="11">
        <v>101</v>
      </c>
      <c r="R101" s="11">
        <f t="shared" si="2"/>
        <v>95</v>
      </c>
      <c r="S101" s="34"/>
    </row>
    <row r="102" spans="1:19" ht="14.25" customHeight="1" x14ac:dyDescent="0.25">
      <c r="A102" s="2" t="s">
        <v>1156</v>
      </c>
      <c r="B102" s="34">
        <f t="shared" si="0"/>
        <v>9</v>
      </c>
      <c r="C102" s="34" t="s">
        <v>148</v>
      </c>
      <c r="D102" s="34">
        <v>5</v>
      </c>
      <c r="E102" s="34" t="s">
        <v>148</v>
      </c>
      <c r="F102" s="11" t="s">
        <v>1273</v>
      </c>
      <c r="G102" s="11" t="s">
        <v>35</v>
      </c>
      <c r="H102" s="11" t="s">
        <v>764</v>
      </c>
      <c r="I102" s="11" t="s">
        <v>1412</v>
      </c>
      <c r="J102" s="11">
        <v>35</v>
      </c>
      <c r="K102" s="90">
        <f t="shared" si="1"/>
        <v>10</v>
      </c>
      <c r="L102" s="11">
        <v>118</v>
      </c>
      <c r="M102" s="11">
        <v>92</v>
      </c>
      <c r="N102" s="11">
        <v>87</v>
      </c>
      <c r="O102" s="11">
        <v>96</v>
      </c>
      <c r="P102" s="11">
        <v>86</v>
      </c>
      <c r="Q102" s="11">
        <v>109</v>
      </c>
      <c r="R102" s="11">
        <f t="shared" si="2"/>
        <v>98</v>
      </c>
      <c r="S102" s="34"/>
    </row>
    <row r="103" spans="1:19" ht="14.25" customHeight="1" x14ac:dyDescent="0.25">
      <c r="A103" s="2"/>
      <c r="B103" s="34">
        <f t="shared" si="0"/>
        <v>10</v>
      </c>
      <c r="C103" s="34" t="s">
        <v>148</v>
      </c>
      <c r="D103" s="34">
        <v>3</v>
      </c>
      <c r="E103" s="34" t="s">
        <v>148</v>
      </c>
      <c r="F103" s="11" t="s">
        <v>1426</v>
      </c>
      <c r="G103" s="11" t="s">
        <v>55</v>
      </c>
      <c r="H103" s="11" t="s">
        <v>762</v>
      </c>
      <c r="I103" s="11" t="s">
        <v>1418</v>
      </c>
      <c r="J103" s="11">
        <v>35</v>
      </c>
      <c r="K103" s="90">
        <f t="shared" si="1"/>
        <v>11</v>
      </c>
      <c r="L103" s="11">
        <v>128</v>
      </c>
      <c r="M103" s="11">
        <v>110</v>
      </c>
      <c r="N103" s="11">
        <v>119</v>
      </c>
      <c r="O103" s="11">
        <v>101</v>
      </c>
      <c r="P103" s="11">
        <v>103</v>
      </c>
      <c r="Q103" s="11">
        <v>111</v>
      </c>
      <c r="R103" s="11">
        <f t="shared" si="2"/>
        <v>112</v>
      </c>
      <c r="S103" s="34"/>
    </row>
    <row r="104" spans="1:19" ht="14.25" customHeight="1" x14ac:dyDescent="0.25">
      <c r="A104" s="2"/>
      <c r="B104" s="34">
        <f t="shared" si="0"/>
        <v>9</v>
      </c>
      <c r="C104" s="34" t="s">
        <v>148</v>
      </c>
      <c r="D104" s="34">
        <v>4</v>
      </c>
      <c r="E104" s="34"/>
      <c r="F104" s="11" t="s">
        <v>916</v>
      </c>
      <c r="G104" s="11" t="s">
        <v>116</v>
      </c>
      <c r="H104" s="11" t="s">
        <v>764</v>
      </c>
      <c r="I104" s="11" t="s">
        <v>1412</v>
      </c>
      <c r="J104" s="11">
        <v>36</v>
      </c>
      <c r="K104" s="90">
        <f t="shared" si="1"/>
        <v>10</v>
      </c>
      <c r="L104" s="11">
        <v>113</v>
      </c>
      <c r="M104" s="11">
        <v>95</v>
      </c>
      <c r="N104" s="11">
        <v>94</v>
      </c>
      <c r="O104" s="11">
        <v>85</v>
      </c>
      <c r="P104" s="11">
        <v>88</v>
      </c>
      <c r="Q104" s="11">
        <v>103</v>
      </c>
      <c r="R104" s="11">
        <f t="shared" si="2"/>
        <v>96</v>
      </c>
      <c r="S104" s="34"/>
    </row>
    <row r="105" spans="1:19" ht="14.25" customHeight="1" x14ac:dyDescent="0.25">
      <c r="A105" s="2"/>
      <c r="B105" s="34">
        <f t="shared" si="0"/>
        <v>11</v>
      </c>
      <c r="C105" s="34" t="s">
        <v>148</v>
      </c>
      <c r="D105" s="34"/>
      <c r="E105" s="34"/>
      <c r="F105" s="11" t="s">
        <v>1260</v>
      </c>
      <c r="G105" s="11" t="s">
        <v>104</v>
      </c>
      <c r="H105" s="11" t="s">
        <v>762</v>
      </c>
      <c r="I105" s="11" t="s">
        <v>1418</v>
      </c>
      <c r="J105" s="11">
        <v>36</v>
      </c>
      <c r="K105" s="90">
        <f t="shared" si="1"/>
        <v>9</v>
      </c>
      <c r="L105" s="11">
        <v>101</v>
      </c>
      <c r="M105" s="11">
        <v>127</v>
      </c>
      <c r="N105" s="11">
        <v>178</v>
      </c>
      <c r="O105" s="11">
        <v>136</v>
      </c>
      <c r="P105" s="11">
        <v>123</v>
      </c>
      <c r="Q105" s="11">
        <v>104</v>
      </c>
      <c r="R105" s="11">
        <f t="shared" si="2"/>
        <v>128</v>
      </c>
      <c r="S105" s="34"/>
    </row>
    <row r="106" spans="1:19" ht="14.25" customHeight="1" x14ac:dyDescent="0.25">
      <c r="A106" s="2"/>
      <c r="B106" s="34">
        <f t="shared" si="0"/>
        <v>11</v>
      </c>
      <c r="C106" s="34" t="s">
        <v>148</v>
      </c>
      <c r="D106" s="34">
        <v>4</v>
      </c>
      <c r="E106" s="34" t="s">
        <v>148</v>
      </c>
      <c r="F106" s="11" t="s">
        <v>1322</v>
      </c>
      <c r="G106" s="11" t="s">
        <v>129</v>
      </c>
      <c r="H106" s="11" t="s">
        <v>762</v>
      </c>
      <c r="I106" s="11" t="s">
        <v>1418</v>
      </c>
      <c r="J106" s="11">
        <v>37</v>
      </c>
      <c r="K106" s="90">
        <f t="shared" si="1"/>
        <v>12</v>
      </c>
      <c r="L106" s="11">
        <v>135</v>
      </c>
      <c r="M106" s="11">
        <v>107</v>
      </c>
      <c r="N106" s="11">
        <v>122</v>
      </c>
      <c r="O106" s="11">
        <v>106</v>
      </c>
      <c r="P106" s="11">
        <v>113</v>
      </c>
      <c r="Q106" s="11">
        <v>166</v>
      </c>
      <c r="R106" s="11">
        <f t="shared" si="2"/>
        <v>124</v>
      </c>
      <c r="S106" s="34"/>
    </row>
    <row r="107" spans="1:19" ht="14.25" customHeight="1" x14ac:dyDescent="0.25">
      <c r="A107" s="2"/>
      <c r="B107" s="34">
        <f t="shared" si="0"/>
        <v>7</v>
      </c>
      <c r="C107" s="34" t="s">
        <v>148</v>
      </c>
      <c r="D107" s="34">
        <v>9</v>
      </c>
      <c r="E107" s="34" t="s">
        <v>119</v>
      </c>
      <c r="F107" s="11" t="s">
        <v>1290</v>
      </c>
      <c r="G107" s="11" t="s">
        <v>44</v>
      </c>
      <c r="H107" s="11" t="s">
        <v>764</v>
      </c>
      <c r="I107" s="11" t="s">
        <v>1412</v>
      </c>
      <c r="J107" s="11">
        <v>37</v>
      </c>
      <c r="K107" s="90">
        <f t="shared" si="1"/>
        <v>7</v>
      </c>
      <c r="L107" s="11">
        <v>82</v>
      </c>
      <c r="M107" s="11">
        <v>75</v>
      </c>
      <c r="N107" s="11">
        <v>71</v>
      </c>
      <c r="O107" s="11">
        <v>79</v>
      </c>
      <c r="P107" s="11">
        <v>73</v>
      </c>
      <c r="Q107" s="11">
        <v>91</v>
      </c>
      <c r="R107" s="11">
        <f t="shared" si="2"/>
        <v>78</v>
      </c>
      <c r="S107" s="34"/>
    </row>
    <row r="108" spans="1:19" ht="14.25" customHeight="1" x14ac:dyDescent="0.25">
      <c r="A108" s="2"/>
      <c r="B108" s="34">
        <f t="shared" si="0"/>
        <v>9</v>
      </c>
      <c r="C108" s="34" t="s">
        <v>148</v>
      </c>
      <c r="D108" s="34">
        <v>6</v>
      </c>
      <c r="E108" s="34"/>
      <c r="F108" s="11" t="s">
        <v>362</v>
      </c>
      <c r="G108" s="11" t="s">
        <v>55</v>
      </c>
      <c r="H108" s="11" t="s">
        <v>764</v>
      </c>
      <c r="I108" s="11"/>
      <c r="J108" s="11">
        <v>38</v>
      </c>
      <c r="K108" s="90">
        <f t="shared" si="1"/>
        <v>8</v>
      </c>
      <c r="L108" s="11">
        <v>91</v>
      </c>
      <c r="M108" s="11">
        <v>126</v>
      </c>
      <c r="N108" s="11">
        <v>85</v>
      </c>
      <c r="O108" s="11">
        <v>115</v>
      </c>
      <c r="P108" s="11">
        <v>96</v>
      </c>
      <c r="Q108" s="11">
        <v>86</v>
      </c>
      <c r="R108" s="11">
        <f t="shared" si="2"/>
        <v>99</v>
      </c>
      <c r="S108" s="34"/>
    </row>
    <row r="109" spans="1:19" ht="14.25" customHeight="1" x14ac:dyDescent="0.25">
      <c r="A109" s="2"/>
      <c r="B109" s="34">
        <f t="shared" si="0"/>
        <v>12</v>
      </c>
      <c r="C109" s="34" t="s">
        <v>148</v>
      </c>
      <c r="D109" s="34">
        <v>14</v>
      </c>
      <c r="E109" s="34" t="s">
        <v>148</v>
      </c>
      <c r="F109" s="11" t="s">
        <v>922</v>
      </c>
      <c r="G109" s="11" t="s">
        <v>184</v>
      </c>
      <c r="H109" s="11" t="s">
        <v>762</v>
      </c>
      <c r="I109" s="11" t="s">
        <v>1427</v>
      </c>
      <c r="J109" s="11">
        <v>38</v>
      </c>
      <c r="K109" s="90">
        <f t="shared" si="1"/>
        <v>12</v>
      </c>
      <c r="L109" s="11">
        <v>132</v>
      </c>
      <c r="M109" s="11">
        <v>121</v>
      </c>
      <c r="N109" s="11">
        <v>146</v>
      </c>
      <c r="O109" s="11">
        <v>86</v>
      </c>
      <c r="P109" s="11">
        <v>141</v>
      </c>
      <c r="Q109" s="11">
        <v>211</v>
      </c>
      <c r="R109" s="11">
        <f t="shared" si="2"/>
        <v>139</v>
      </c>
      <c r="S109" s="34"/>
    </row>
    <row r="110" spans="1:19" ht="14.25" customHeight="1" x14ac:dyDescent="0.25">
      <c r="A110" s="2"/>
      <c r="B110" s="34">
        <f t="shared" si="0"/>
        <v>12</v>
      </c>
      <c r="C110" s="34" t="s">
        <v>148</v>
      </c>
      <c r="D110" s="34">
        <v>3</v>
      </c>
      <c r="E110" s="34"/>
      <c r="F110" s="11" t="s">
        <v>1298</v>
      </c>
      <c r="G110" s="11" t="s">
        <v>126</v>
      </c>
      <c r="H110" s="11" t="s">
        <v>764</v>
      </c>
      <c r="I110" s="11" t="s">
        <v>1428</v>
      </c>
      <c r="J110" s="11">
        <v>39</v>
      </c>
      <c r="K110" s="90">
        <f t="shared" si="1"/>
        <v>16</v>
      </c>
      <c r="L110" s="11">
        <v>184</v>
      </c>
      <c r="M110" s="11">
        <v>123</v>
      </c>
      <c r="N110" s="11">
        <v>108</v>
      </c>
      <c r="O110" s="11">
        <v>131</v>
      </c>
      <c r="P110" s="11">
        <v>132</v>
      </c>
      <c r="Q110" s="11">
        <v>120</v>
      </c>
      <c r="R110" s="11">
        <f t="shared" si="2"/>
        <v>133</v>
      </c>
      <c r="S110" s="34"/>
    </row>
    <row r="111" spans="1:19" ht="14.25" customHeight="1" x14ac:dyDescent="0.25">
      <c r="A111" s="2"/>
      <c r="B111" s="34">
        <f t="shared" si="0"/>
        <v>11</v>
      </c>
      <c r="C111" s="34" t="s">
        <v>148</v>
      </c>
      <c r="D111" s="34">
        <v>6</v>
      </c>
      <c r="E111" s="34"/>
      <c r="F111" s="11" t="s">
        <v>900</v>
      </c>
      <c r="G111" s="11" t="s">
        <v>66</v>
      </c>
      <c r="H111" s="11" t="s">
        <v>762</v>
      </c>
      <c r="I111" s="11" t="s">
        <v>1427</v>
      </c>
      <c r="J111" s="11">
        <v>39</v>
      </c>
      <c r="K111" s="90">
        <f t="shared" si="1"/>
        <v>12</v>
      </c>
      <c r="L111" s="11">
        <v>142</v>
      </c>
      <c r="M111" s="11">
        <v>116</v>
      </c>
      <c r="N111" s="11">
        <v>112</v>
      </c>
      <c r="O111" s="11">
        <v>102</v>
      </c>
      <c r="P111" s="11">
        <v>114</v>
      </c>
      <c r="Q111" s="11">
        <v>175</v>
      </c>
      <c r="R111" s="11">
        <f t="shared" si="2"/>
        <v>126</v>
      </c>
      <c r="S111" s="34"/>
    </row>
    <row r="112" spans="1:19" ht="14.25" customHeight="1" x14ac:dyDescent="0.25">
      <c r="A112" s="2"/>
      <c r="B112" s="34">
        <f t="shared" si="0"/>
        <v>10</v>
      </c>
      <c r="C112" s="34" t="s">
        <v>148</v>
      </c>
      <c r="D112" s="34"/>
      <c r="E112" s="34"/>
      <c r="F112" s="11" t="s">
        <v>827</v>
      </c>
      <c r="G112" s="11" t="s">
        <v>126</v>
      </c>
      <c r="H112" s="11" t="s">
        <v>764</v>
      </c>
      <c r="I112" s="11" t="s">
        <v>1428</v>
      </c>
      <c r="J112" s="11">
        <v>40</v>
      </c>
      <c r="K112" s="90">
        <f t="shared" si="1"/>
        <v>10</v>
      </c>
      <c r="L112" s="11">
        <v>117</v>
      </c>
      <c r="M112" s="11">
        <v>119</v>
      </c>
      <c r="N112" s="11">
        <v>132</v>
      </c>
      <c r="O112" s="11">
        <v>118</v>
      </c>
      <c r="P112" s="11">
        <v>97</v>
      </c>
      <c r="Q112" s="11">
        <v>133</v>
      </c>
      <c r="R112" s="11">
        <f t="shared" si="2"/>
        <v>119</v>
      </c>
      <c r="S112" s="34"/>
    </row>
    <row r="113" spans="1:19" ht="14.25" customHeight="1" x14ac:dyDescent="0.25">
      <c r="A113" s="2"/>
      <c r="B113" s="34">
        <f t="shared" si="0"/>
        <v>11</v>
      </c>
      <c r="C113" s="34" t="s">
        <v>148</v>
      </c>
      <c r="D113" s="34"/>
      <c r="E113" s="34"/>
      <c r="F113" s="11" t="s">
        <v>1320</v>
      </c>
      <c r="G113" s="11" t="s">
        <v>49</v>
      </c>
      <c r="H113" s="11" t="s">
        <v>762</v>
      </c>
      <c r="I113" s="11" t="s">
        <v>1427</v>
      </c>
      <c r="J113" s="11">
        <v>40</v>
      </c>
      <c r="K113" s="90">
        <f t="shared" si="1"/>
        <v>12</v>
      </c>
      <c r="L113" s="11">
        <v>134</v>
      </c>
      <c r="M113" s="11">
        <v>128</v>
      </c>
      <c r="N113" s="11">
        <v>107</v>
      </c>
      <c r="O113" s="11">
        <v>113</v>
      </c>
      <c r="P113" s="11">
        <v>134</v>
      </c>
      <c r="Q113" s="11">
        <v>149</v>
      </c>
      <c r="R113" s="11">
        <f t="shared" si="2"/>
        <v>127</v>
      </c>
      <c r="S113" s="34"/>
    </row>
    <row r="114" spans="1:19" ht="14.25" customHeight="1" x14ac:dyDescent="0.25">
      <c r="A114" s="2"/>
      <c r="B114" s="34">
        <f t="shared" si="0"/>
        <v>9</v>
      </c>
      <c r="C114" s="34" t="s">
        <v>148</v>
      </c>
      <c r="D114" s="34">
        <v>6</v>
      </c>
      <c r="E114" s="34"/>
      <c r="F114" s="11" t="s">
        <v>1429</v>
      </c>
      <c r="G114" s="11" t="s">
        <v>35</v>
      </c>
      <c r="H114" s="11" t="s">
        <v>762</v>
      </c>
      <c r="I114" s="11" t="s">
        <v>1431</v>
      </c>
      <c r="J114" s="11">
        <v>41</v>
      </c>
      <c r="K114" s="90">
        <f t="shared" si="1"/>
        <v>11</v>
      </c>
      <c r="L114" s="11">
        <v>127</v>
      </c>
      <c r="M114" s="11">
        <v>98</v>
      </c>
      <c r="N114" s="11">
        <v>97</v>
      </c>
      <c r="O114" s="11">
        <v>98</v>
      </c>
      <c r="P114" s="11">
        <v>104</v>
      </c>
      <c r="Q114" s="11">
        <v>64</v>
      </c>
      <c r="R114" s="11">
        <f t="shared" si="2"/>
        <v>98</v>
      </c>
      <c r="S114" s="34"/>
    </row>
    <row r="115" spans="1:19" ht="14.25" customHeight="1" x14ac:dyDescent="0.25">
      <c r="A115" s="2"/>
      <c r="B115" s="34">
        <f t="shared" si="0"/>
        <v>10</v>
      </c>
      <c r="C115" s="34" t="s">
        <v>148</v>
      </c>
      <c r="D115" s="34">
        <v>3</v>
      </c>
      <c r="E115" s="34"/>
      <c r="F115" s="11" t="s">
        <v>1433</v>
      </c>
      <c r="G115" s="11" t="s">
        <v>129</v>
      </c>
      <c r="H115" s="11" t="s">
        <v>764</v>
      </c>
      <c r="I115" s="11" t="s">
        <v>1428</v>
      </c>
      <c r="J115" s="11">
        <v>41</v>
      </c>
      <c r="K115" s="90">
        <f t="shared" si="1"/>
        <v>11</v>
      </c>
      <c r="L115" s="11">
        <v>124</v>
      </c>
      <c r="M115" s="11">
        <v>122</v>
      </c>
      <c r="N115" s="11">
        <v>114</v>
      </c>
      <c r="O115" s="11">
        <v>120</v>
      </c>
      <c r="P115" s="11">
        <v>112</v>
      </c>
      <c r="Q115" s="11">
        <v>122</v>
      </c>
      <c r="R115" s="11">
        <f t="shared" si="2"/>
        <v>119</v>
      </c>
      <c r="S115" s="34"/>
    </row>
    <row r="116" spans="1:19" ht="14.25" customHeight="1" x14ac:dyDescent="0.25">
      <c r="A116" s="2"/>
      <c r="B116" s="34">
        <f t="shared" si="0"/>
        <v>12</v>
      </c>
      <c r="C116" s="34" t="s">
        <v>148</v>
      </c>
      <c r="D116" s="34"/>
      <c r="E116" s="34"/>
      <c r="F116" s="11" t="s">
        <v>915</v>
      </c>
      <c r="G116" s="11" t="s">
        <v>88</v>
      </c>
      <c r="H116" s="11" t="s">
        <v>764</v>
      </c>
      <c r="I116" s="11" t="s">
        <v>1428</v>
      </c>
      <c r="J116" s="11">
        <v>42</v>
      </c>
      <c r="K116" s="90">
        <f t="shared" si="1"/>
        <v>14</v>
      </c>
      <c r="L116" s="11">
        <v>160</v>
      </c>
      <c r="M116" s="11">
        <v>140</v>
      </c>
      <c r="N116" s="11">
        <v>148</v>
      </c>
      <c r="O116" s="11">
        <v>141</v>
      </c>
      <c r="P116" s="11">
        <v>122</v>
      </c>
      <c r="Q116" s="11">
        <v>137</v>
      </c>
      <c r="R116" s="11">
        <f t="shared" si="2"/>
        <v>141</v>
      </c>
      <c r="S116" s="34"/>
    </row>
    <row r="117" spans="1:19" ht="14.25" customHeight="1" x14ac:dyDescent="0.25">
      <c r="A117" s="2"/>
      <c r="B117" s="34">
        <f t="shared" si="0"/>
        <v>9</v>
      </c>
      <c r="C117" s="34" t="s">
        <v>148</v>
      </c>
      <c r="D117" s="34">
        <v>3</v>
      </c>
      <c r="E117" s="34"/>
      <c r="F117" s="11" t="s">
        <v>1434</v>
      </c>
      <c r="G117" s="11" t="s">
        <v>81</v>
      </c>
      <c r="H117" s="11" t="s">
        <v>762</v>
      </c>
      <c r="I117" s="11" t="s">
        <v>1431</v>
      </c>
      <c r="J117" s="11">
        <v>42</v>
      </c>
      <c r="K117" s="90">
        <f t="shared" si="1"/>
        <v>9</v>
      </c>
      <c r="L117" s="11">
        <v>97</v>
      </c>
      <c r="M117" s="11">
        <v>94</v>
      </c>
      <c r="N117" s="11">
        <v>110</v>
      </c>
      <c r="O117" s="11">
        <v>92</v>
      </c>
      <c r="P117" s="11">
        <v>111</v>
      </c>
      <c r="Q117" s="11">
        <v>132</v>
      </c>
      <c r="R117" s="11">
        <f t="shared" si="2"/>
        <v>106</v>
      </c>
      <c r="S117" s="34"/>
    </row>
    <row r="118" spans="1:19" ht="14.25" customHeight="1" x14ac:dyDescent="0.25">
      <c r="A118" s="2"/>
      <c r="B118" s="34">
        <f t="shared" si="0"/>
        <v>9</v>
      </c>
      <c r="C118" s="34" t="s">
        <v>148</v>
      </c>
      <c r="D118" s="34">
        <v>2</v>
      </c>
      <c r="E118" s="34" t="s">
        <v>119</v>
      </c>
      <c r="F118" s="11" t="s">
        <v>897</v>
      </c>
      <c r="G118" s="11" t="s">
        <v>233</v>
      </c>
      <c r="H118" s="11" t="s">
        <v>764</v>
      </c>
      <c r="I118" s="11" t="s">
        <v>1435</v>
      </c>
      <c r="J118" s="11">
        <v>43</v>
      </c>
      <c r="K118" s="90">
        <f t="shared" si="1"/>
        <v>10</v>
      </c>
      <c r="L118" s="11">
        <v>112</v>
      </c>
      <c r="M118" s="11">
        <v>102</v>
      </c>
      <c r="N118" s="11">
        <v>103</v>
      </c>
      <c r="O118" s="11">
        <v>88</v>
      </c>
      <c r="P118" s="11">
        <v>83</v>
      </c>
      <c r="Q118" s="11">
        <v>145</v>
      </c>
      <c r="R118" s="11">
        <f t="shared" si="2"/>
        <v>105</v>
      </c>
      <c r="S118" s="34"/>
    </row>
    <row r="119" spans="1:19" ht="14.25" customHeight="1" x14ac:dyDescent="0.25">
      <c r="A119" s="2"/>
      <c r="B119" s="34">
        <f t="shared" si="0"/>
        <v>11</v>
      </c>
      <c r="C119" s="34" t="s">
        <v>148</v>
      </c>
      <c r="D119" s="34"/>
      <c r="E119" s="34"/>
      <c r="F119" s="11" t="s">
        <v>1436</v>
      </c>
      <c r="G119" s="11" t="s">
        <v>66</v>
      </c>
      <c r="H119" s="11" t="s">
        <v>764</v>
      </c>
      <c r="I119" s="11" t="s">
        <v>1435</v>
      </c>
      <c r="J119" s="11">
        <v>43</v>
      </c>
      <c r="K119" s="90">
        <f t="shared" si="1"/>
        <v>10</v>
      </c>
      <c r="L119" s="11">
        <v>111</v>
      </c>
      <c r="M119" s="11">
        <v>132</v>
      </c>
      <c r="N119" s="11">
        <v>128</v>
      </c>
      <c r="O119" s="11">
        <v>132</v>
      </c>
      <c r="P119" s="11">
        <v>118</v>
      </c>
      <c r="Q119" s="11">
        <v>114</v>
      </c>
      <c r="R119" s="11">
        <f t="shared" si="2"/>
        <v>122</v>
      </c>
      <c r="S119" s="34"/>
    </row>
    <row r="120" spans="1:19" ht="14.25" customHeight="1" x14ac:dyDescent="0.25">
      <c r="A120" s="2"/>
      <c r="B120" s="34">
        <f t="shared" si="0"/>
        <v>12</v>
      </c>
      <c r="C120" s="34" t="s">
        <v>148</v>
      </c>
      <c r="D120" s="34"/>
      <c r="E120" s="34"/>
      <c r="F120" s="11" t="s">
        <v>1437</v>
      </c>
      <c r="G120" s="11" t="s">
        <v>163</v>
      </c>
      <c r="H120" s="11" t="s">
        <v>762</v>
      </c>
      <c r="I120" s="11" t="s">
        <v>1427</v>
      </c>
      <c r="J120" s="11">
        <v>43</v>
      </c>
      <c r="K120" s="90">
        <f t="shared" si="1"/>
        <v>11</v>
      </c>
      <c r="L120" s="11">
        <v>120</v>
      </c>
      <c r="M120" s="11">
        <v>152</v>
      </c>
      <c r="N120" s="11">
        <v>170</v>
      </c>
      <c r="O120" s="11">
        <v>125</v>
      </c>
      <c r="P120" s="11">
        <v>121</v>
      </c>
      <c r="Q120" s="11">
        <v>131</v>
      </c>
      <c r="R120" s="11">
        <f t="shared" si="2"/>
        <v>136</v>
      </c>
      <c r="S120" s="34"/>
    </row>
    <row r="121" spans="1:19" ht="14.25" customHeight="1" x14ac:dyDescent="0.25">
      <c r="A121" s="2"/>
      <c r="B121" s="34">
        <f t="shared" si="0"/>
        <v>10</v>
      </c>
      <c r="C121" s="34" t="s">
        <v>148</v>
      </c>
      <c r="D121" s="34"/>
      <c r="E121" s="34"/>
      <c r="F121" s="11" t="s">
        <v>68</v>
      </c>
      <c r="G121" s="11" t="s">
        <v>69</v>
      </c>
      <c r="H121" s="11" t="s">
        <v>764</v>
      </c>
      <c r="I121" s="11" t="s">
        <v>1435</v>
      </c>
      <c r="J121" s="11">
        <v>44</v>
      </c>
      <c r="K121" s="90">
        <f t="shared" si="1"/>
        <v>10</v>
      </c>
      <c r="L121" s="11">
        <v>116</v>
      </c>
      <c r="M121" s="11">
        <v>101</v>
      </c>
      <c r="N121" s="11">
        <v>118</v>
      </c>
      <c r="O121" s="11">
        <v>110</v>
      </c>
      <c r="P121" s="11">
        <v>116</v>
      </c>
      <c r="Q121" s="11">
        <v>118</v>
      </c>
      <c r="R121" s="11">
        <f t="shared" si="2"/>
        <v>113</v>
      </c>
      <c r="S121" s="34"/>
    </row>
    <row r="122" spans="1:19" ht="14.25" customHeight="1" x14ac:dyDescent="0.25">
      <c r="A122" s="2"/>
      <c r="B122" s="34">
        <f t="shared" si="0"/>
        <v>13</v>
      </c>
      <c r="C122" s="34" t="s">
        <v>148</v>
      </c>
      <c r="D122" s="93"/>
      <c r="E122" s="93" t="s">
        <v>148</v>
      </c>
      <c r="F122" s="8" t="s">
        <v>1438</v>
      </c>
      <c r="G122" s="11" t="s">
        <v>116</v>
      </c>
      <c r="H122" s="11" t="s">
        <v>762</v>
      </c>
      <c r="I122" s="11" t="s">
        <v>1431</v>
      </c>
      <c r="J122" s="11">
        <v>45</v>
      </c>
      <c r="K122" s="90">
        <f t="shared" si="1"/>
        <v>16</v>
      </c>
      <c r="L122" s="11">
        <v>185</v>
      </c>
      <c r="M122" s="11">
        <v>137</v>
      </c>
      <c r="N122" s="11">
        <v>149</v>
      </c>
      <c r="O122" s="11">
        <v>135</v>
      </c>
      <c r="P122" s="11">
        <v>136</v>
      </c>
      <c r="Q122" s="11">
        <v>187</v>
      </c>
      <c r="R122" s="11">
        <f t="shared" si="2"/>
        <v>154</v>
      </c>
      <c r="S122" s="34"/>
    </row>
    <row r="123" spans="1:19" ht="14.25" customHeight="1" x14ac:dyDescent="0.25">
      <c r="A123" s="2"/>
      <c r="B123" s="34">
        <f t="shared" si="0"/>
        <v>11</v>
      </c>
      <c r="C123" s="34" t="s">
        <v>148</v>
      </c>
      <c r="D123" s="34"/>
      <c r="E123" s="34"/>
      <c r="F123" s="11" t="s">
        <v>1287</v>
      </c>
      <c r="G123" s="11" t="s">
        <v>145</v>
      </c>
      <c r="H123" s="11" t="s">
        <v>764</v>
      </c>
      <c r="I123" s="11" t="s">
        <v>1428</v>
      </c>
      <c r="J123" s="11">
        <v>45</v>
      </c>
      <c r="K123" s="90">
        <f t="shared" si="1"/>
        <v>14</v>
      </c>
      <c r="L123" s="11">
        <v>159</v>
      </c>
      <c r="M123" s="11">
        <v>117</v>
      </c>
      <c r="N123" s="11">
        <v>99</v>
      </c>
      <c r="O123" s="11">
        <v>112</v>
      </c>
      <c r="P123" s="11">
        <v>99</v>
      </c>
      <c r="Q123" s="11">
        <v>156</v>
      </c>
      <c r="R123" s="11">
        <f t="shared" si="2"/>
        <v>123</v>
      </c>
      <c r="S123" s="34"/>
    </row>
    <row r="124" spans="1:19" ht="14.25" customHeight="1" x14ac:dyDescent="0.25">
      <c r="A124" s="2"/>
      <c r="B124" s="34">
        <f t="shared" si="0"/>
        <v>14</v>
      </c>
      <c r="C124" s="34" t="s">
        <v>148</v>
      </c>
      <c r="D124" s="34">
        <v>3</v>
      </c>
      <c r="E124" s="34" t="s">
        <v>148</v>
      </c>
      <c r="F124" s="11" t="s">
        <v>1439</v>
      </c>
      <c r="G124" s="11" t="s">
        <v>126</v>
      </c>
      <c r="H124" s="11" t="s">
        <v>764</v>
      </c>
      <c r="I124" s="11" t="s">
        <v>1428</v>
      </c>
      <c r="J124" s="11">
        <v>45</v>
      </c>
      <c r="K124" s="90">
        <f t="shared" si="1"/>
        <v>16</v>
      </c>
      <c r="L124" s="11">
        <v>183</v>
      </c>
      <c r="M124" s="11">
        <v>162</v>
      </c>
      <c r="N124" s="11">
        <v>121</v>
      </c>
      <c r="O124" s="11">
        <v>156</v>
      </c>
      <c r="P124" s="11">
        <v>138</v>
      </c>
      <c r="Q124" s="11">
        <v>184</v>
      </c>
      <c r="R124" s="11">
        <f t="shared" si="2"/>
        <v>157</v>
      </c>
      <c r="S124" s="34"/>
    </row>
    <row r="125" spans="1:19" ht="14.25" customHeight="1" x14ac:dyDescent="0.25">
      <c r="A125" s="2"/>
      <c r="B125" s="34">
        <f t="shared" si="0"/>
        <v>14</v>
      </c>
      <c r="C125" s="34" t="s">
        <v>148</v>
      </c>
      <c r="D125" s="34"/>
      <c r="E125" s="34" t="s">
        <v>148</v>
      </c>
      <c r="F125" s="11" t="s">
        <v>1440</v>
      </c>
      <c r="G125" s="11" t="s">
        <v>184</v>
      </c>
      <c r="H125" s="11" t="s">
        <v>762</v>
      </c>
      <c r="I125" s="11" t="s">
        <v>1431</v>
      </c>
      <c r="J125" s="11">
        <v>46</v>
      </c>
      <c r="K125" s="90">
        <f t="shared" si="1"/>
        <v>12</v>
      </c>
      <c r="L125" s="11">
        <v>143</v>
      </c>
      <c r="M125" s="11">
        <v>149</v>
      </c>
      <c r="N125" s="11">
        <v>153</v>
      </c>
      <c r="O125" s="11">
        <v>150</v>
      </c>
      <c r="P125" s="11">
        <v>179</v>
      </c>
      <c r="Q125" s="11">
        <v>178</v>
      </c>
      <c r="R125" s="11">
        <f t="shared" si="2"/>
        <v>158</v>
      </c>
      <c r="S125" s="34"/>
    </row>
    <row r="126" spans="1:19" ht="14.25" customHeight="1" x14ac:dyDescent="0.25">
      <c r="A126" s="2"/>
      <c r="B126" s="34">
        <f t="shared" si="0"/>
        <v>14</v>
      </c>
      <c r="C126" s="34" t="s">
        <v>148</v>
      </c>
      <c r="D126" s="34">
        <v>1</v>
      </c>
      <c r="E126" s="34"/>
      <c r="F126" s="11" t="s">
        <v>1441</v>
      </c>
      <c r="G126" s="11" t="s">
        <v>78</v>
      </c>
      <c r="H126" s="11" t="s">
        <v>764</v>
      </c>
      <c r="I126" s="11" t="s">
        <v>1435</v>
      </c>
      <c r="J126" s="11">
        <v>46</v>
      </c>
      <c r="K126" s="90">
        <f t="shared" si="1"/>
        <v>15</v>
      </c>
      <c r="L126" s="11">
        <v>173</v>
      </c>
      <c r="M126" s="11">
        <v>160</v>
      </c>
      <c r="N126" s="11">
        <v>152</v>
      </c>
      <c r="O126" s="11">
        <v>149</v>
      </c>
      <c r="P126" s="11">
        <v>143</v>
      </c>
      <c r="Q126" s="11">
        <v>190</v>
      </c>
      <c r="R126" s="11">
        <f t="shared" si="2"/>
        <v>161</v>
      </c>
      <c r="S126" s="34"/>
    </row>
    <row r="127" spans="1:19" ht="14.25" customHeight="1" x14ac:dyDescent="0.25">
      <c r="A127" s="2"/>
      <c r="B127" s="34">
        <f t="shared" si="0"/>
        <v>15</v>
      </c>
      <c r="C127" s="34" t="s">
        <v>148</v>
      </c>
      <c r="D127" s="34">
        <v>1</v>
      </c>
      <c r="E127" s="34"/>
      <c r="F127" s="11" t="s">
        <v>1442</v>
      </c>
      <c r="G127" s="11" t="s">
        <v>160</v>
      </c>
      <c r="H127" s="11" t="s">
        <v>764</v>
      </c>
      <c r="I127" s="11" t="s">
        <v>1443</v>
      </c>
      <c r="J127" s="11">
        <v>47</v>
      </c>
      <c r="K127" s="90">
        <f t="shared" si="1"/>
        <v>17</v>
      </c>
      <c r="L127" s="11">
        <v>202</v>
      </c>
      <c r="M127" s="11">
        <v>180</v>
      </c>
      <c r="N127" s="11">
        <v>133</v>
      </c>
      <c r="O127" s="11">
        <v>166</v>
      </c>
      <c r="P127" s="11">
        <v>152</v>
      </c>
      <c r="Q127" s="11">
        <v>182</v>
      </c>
      <c r="R127" s="11">
        <f t="shared" si="2"/>
        <v>169</v>
      </c>
      <c r="S127" s="34"/>
    </row>
    <row r="128" spans="1:19" ht="14.25" customHeight="1" x14ac:dyDescent="0.25">
      <c r="A128" s="2"/>
      <c r="B128" s="34">
        <f t="shared" si="0"/>
        <v>15</v>
      </c>
      <c r="C128" s="34" t="s">
        <v>148</v>
      </c>
      <c r="D128" s="34"/>
      <c r="E128" s="34"/>
      <c r="F128" s="11" t="s">
        <v>1444</v>
      </c>
      <c r="G128" s="11" t="s">
        <v>155</v>
      </c>
      <c r="H128" s="11" t="s">
        <v>764</v>
      </c>
      <c r="I128" s="11" t="s">
        <v>1443</v>
      </c>
      <c r="J128" s="11">
        <v>48</v>
      </c>
      <c r="K128" s="90">
        <f t="shared" si="1"/>
        <v>17</v>
      </c>
      <c r="L128" s="11">
        <v>200</v>
      </c>
      <c r="M128" s="11">
        <v>157</v>
      </c>
      <c r="N128" s="11">
        <v>179</v>
      </c>
      <c r="O128" s="11">
        <v>146</v>
      </c>
      <c r="P128" s="11">
        <v>133</v>
      </c>
      <c r="Q128" s="11">
        <v>238</v>
      </c>
      <c r="R128" s="11">
        <f t="shared" si="2"/>
        <v>175</v>
      </c>
      <c r="S128" s="34"/>
    </row>
    <row r="129" spans="1:19" ht="14.25" customHeight="1" x14ac:dyDescent="0.25">
      <c r="A129" s="2"/>
      <c r="B129" s="34">
        <f t="shared" si="0"/>
        <v>11</v>
      </c>
      <c r="C129" s="34" t="s">
        <v>148</v>
      </c>
      <c r="D129" s="34">
        <v>1</v>
      </c>
      <c r="E129" s="34"/>
      <c r="F129" s="11" t="s">
        <v>1446</v>
      </c>
      <c r="G129" s="11" t="s">
        <v>94</v>
      </c>
      <c r="H129" s="11" t="s">
        <v>764</v>
      </c>
      <c r="I129" s="11" t="s">
        <v>1435</v>
      </c>
      <c r="J129" s="11">
        <v>49</v>
      </c>
      <c r="K129" s="90">
        <f t="shared" si="1"/>
        <v>12</v>
      </c>
      <c r="L129" s="11">
        <v>141</v>
      </c>
      <c r="M129" s="11">
        <v>103</v>
      </c>
      <c r="N129" s="11">
        <v>105</v>
      </c>
      <c r="O129" s="11">
        <v>128</v>
      </c>
      <c r="P129" s="11">
        <v>126</v>
      </c>
      <c r="Q129" s="11">
        <v>139</v>
      </c>
      <c r="R129" s="11">
        <f t="shared" si="2"/>
        <v>123</v>
      </c>
      <c r="S129" s="34"/>
    </row>
    <row r="130" spans="1:19" ht="14.25" customHeight="1" x14ac:dyDescent="0.25">
      <c r="A130" s="2"/>
      <c r="B130" s="34">
        <f t="shared" si="0"/>
        <v>15</v>
      </c>
      <c r="C130" s="34" t="s">
        <v>148</v>
      </c>
      <c r="D130" s="34"/>
      <c r="E130" s="34"/>
      <c r="F130" s="11" t="s">
        <v>1200</v>
      </c>
      <c r="G130" s="11" t="s">
        <v>214</v>
      </c>
      <c r="H130" s="11" t="s">
        <v>764</v>
      </c>
      <c r="I130" s="11" t="s">
        <v>1447</v>
      </c>
      <c r="J130" s="11">
        <v>50</v>
      </c>
      <c r="K130" s="90">
        <f t="shared" si="1"/>
        <v>15</v>
      </c>
      <c r="L130" s="11">
        <v>178</v>
      </c>
      <c r="M130" s="11">
        <v>155</v>
      </c>
      <c r="N130" s="11">
        <v>192</v>
      </c>
      <c r="O130" s="11">
        <v>162</v>
      </c>
      <c r="P130" s="11">
        <v>163</v>
      </c>
      <c r="Q130" s="11">
        <v>222</v>
      </c>
      <c r="R130" s="11">
        <f t="shared" si="2"/>
        <v>178</v>
      </c>
      <c r="S130" s="34"/>
    </row>
    <row r="131" spans="1:19" ht="14.25" customHeight="1" x14ac:dyDescent="0.25">
      <c r="A131" s="2"/>
      <c r="B131" s="34">
        <f t="shared" si="0"/>
        <v>16</v>
      </c>
      <c r="C131" s="34" t="s">
        <v>148</v>
      </c>
      <c r="D131" s="34"/>
      <c r="E131" s="34"/>
      <c r="F131" s="11" t="s">
        <v>1448</v>
      </c>
      <c r="G131" s="11" t="s">
        <v>145</v>
      </c>
      <c r="H131" s="11" t="s">
        <v>764</v>
      </c>
      <c r="I131" s="11" t="s">
        <v>1443</v>
      </c>
      <c r="J131" s="11">
        <v>51</v>
      </c>
      <c r="K131" s="90">
        <f t="shared" si="1"/>
        <v>17</v>
      </c>
      <c r="L131" s="11">
        <v>198</v>
      </c>
      <c r="M131" s="11">
        <v>197</v>
      </c>
      <c r="N131" s="11">
        <v>155</v>
      </c>
      <c r="O131" s="11">
        <v>155</v>
      </c>
      <c r="P131" s="11">
        <v>150</v>
      </c>
      <c r="Q131" s="11">
        <v>232</v>
      </c>
      <c r="R131" s="11">
        <f t="shared" si="2"/>
        <v>181</v>
      </c>
      <c r="S131" s="34"/>
    </row>
    <row r="132" spans="1:19" ht="14.25" customHeight="1" x14ac:dyDescent="0.25">
      <c r="A132" s="2"/>
      <c r="B132" s="34">
        <f t="shared" si="0"/>
        <v>16</v>
      </c>
      <c r="C132" s="34" t="s">
        <v>148</v>
      </c>
      <c r="D132" s="34"/>
      <c r="E132" s="34" t="s">
        <v>148</v>
      </c>
      <c r="F132" s="11" t="s">
        <v>284</v>
      </c>
      <c r="G132" s="11" t="s">
        <v>60</v>
      </c>
      <c r="H132" s="11" t="s">
        <v>764</v>
      </c>
      <c r="I132" s="11" t="s">
        <v>1443</v>
      </c>
      <c r="J132" s="11">
        <v>52</v>
      </c>
      <c r="K132" s="90">
        <f t="shared" si="1"/>
        <v>17</v>
      </c>
      <c r="L132" s="11">
        <v>192</v>
      </c>
      <c r="M132" s="11">
        <v>177</v>
      </c>
      <c r="N132" s="11">
        <v>185</v>
      </c>
      <c r="O132" s="11">
        <v>169</v>
      </c>
      <c r="P132" s="11">
        <v>162</v>
      </c>
      <c r="Q132" s="11">
        <v>216</v>
      </c>
      <c r="R132" s="11">
        <f t="shared" si="2"/>
        <v>183</v>
      </c>
      <c r="S132" s="34"/>
    </row>
    <row r="133" spans="1:19" ht="14.25" customHeight="1" x14ac:dyDescent="0.25">
      <c r="A133" s="2"/>
      <c r="B133" s="34">
        <f t="shared" si="0"/>
        <v>14</v>
      </c>
      <c r="C133" s="34" t="s">
        <v>148</v>
      </c>
      <c r="D133" s="34"/>
      <c r="E133" s="93" t="s">
        <v>148</v>
      </c>
      <c r="F133" s="8" t="s">
        <v>909</v>
      </c>
      <c r="G133" s="11" t="s">
        <v>160</v>
      </c>
      <c r="H133" s="11" t="s">
        <v>764</v>
      </c>
      <c r="I133" s="11" t="s">
        <v>1443</v>
      </c>
      <c r="J133" s="11">
        <v>53</v>
      </c>
      <c r="K133" s="90">
        <f t="shared" si="1"/>
        <v>16</v>
      </c>
      <c r="L133" s="11">
        <v>186</v>
      </c>
      <c r="M133" s="11">
        <v>202</v>
      </c>
      <c r="N133" s="11">
        <v>142</v>
      </c>
      <c r="O133" s="11">
        <v>154</v>
      </c>
      <c r="P133" s="11">
        <v>145</v>
      </c>
      <c r="Q133" s="11">
        <v>162</v>
      </c>
      <c r="R133" s="11">
        <f t="shared" si="2"/>
        <v>165</v>
      </c>
      <c r="S133" s="34"/>
    </row>
    <row r="134" spans="1:19" ht="14.25" customHeight="1" x14ac:dyDescent="0.25">
      <c r="A134" s="2"/>
      <c r="B134" s="34">
        <f t="shared" si="0"/>
        <v>12</v>
      </c>
      <c r="C134" s="34" t="s">
        <v>148</v>
      </c>
      <c r="D134" s="34"/>
      <c r="E134" s="34"/>
      <c r="F134" s="11" t="s">
        <v>1449</v>
      </c>
      <c r="G134" s="11" t="s">
        <v>78</v>
      </c>
      <c r="H134" s="11" t="s">
        <v>764</v>
      </c>
      <c r="I134" s="11" t="s">
        <v>1435</v>
      </c>
      <c r="J134" s="11">
        <v>54</v>
      </c>
      <c r="K134" s="90">
        <f t="shared" si="1"/>
        <v>13</v>
      </c>
      <c r="L134" s="11">
        <v>145</v>
      </c>
      <c r="M134" s="11">
        <v>134</v>
      </c>
      <c r="N134" s="11">
        <v>150</v>
      </c>
      <c r="O134" s="11">
        <v>121</v>
      </c>
      <c r="P134" s="11">
        <v>127</v>
      </c>
      <c r="Q134" s="11">
        <v>186</v>
      </c>
      <c r="R134" s="11">
        <f t="shared" si="2"/>
        <v>143</v>
      </c>
      <c r="S134" s="34"/>
    </row>
    <row r="135" spans="1:19" ht="14.25" customHeight="1" x14ac:dyDescent="0.25">
      <c r="A135" s="2"/>
      <c r="B135" s="34">
        <f t="shared" si="0"/>
        <v>11</v>
      </c>
      <c r="C135" s="34" t="s">
        <v>148</v>
      </c>
      <c r="D135" s="34"/>
      <c r="E135" s="93"/>
      <c r="F135" s="8" t="s">
        <v>1249</v>
      </c>
      <c r="G135" s="11" t="s">
        <v>85</v>
      </c>
      <c r="H135" s="11" t="s">
        <v>764</v>
      </c>
      <c r="I135" s="11" t="s">
        <v>1435</v>
      </c>
      <c r="J135" s="11">
        <v>55</v>
      </c>
      <c r="K135" s="90">
        <f t="shared" si="1"/>
        <v>13</v>
      </c>
      <c r="L135" s="11">
        <v>146</v>
      </c>
      <c r="M135" s="11">
        <v>151</v>
      </c>
      <c r="N135" s="11">
        <v>125</v>
      </c>
      <c r="O135" s="11">
        <v>129</v>
      </c>
      <c r="P135" s="11">
        <v>100</v>
      </c>
      <c r="Q135" s="11">
        <v>125</v>
      </c>
      <c r="R135" s="11">
        <f t="shared" si="2"/>
        <v>129</v>
      </c>
      <c r="S135" s="34"/>
    </row>
    <row r="136" spans="1:19" ht="14.25" customHeight="1" x14ac:dyDescent="0.25">
      <c r="A136" s="2"/>
      <c r="B136" s="34">
        <f t="shared" si="0"/>
        <v>10</v>
      </c>
      <c r="C136" s="34" t="s">
        <v>148</v>
      </c>
      <c r="D136" s="34">
        <v>4</v>
      </c>
      <c r="E136" s="34"/>
      <c r="F136" s="11" t="s">
        <v>664</v>
      </c>
      <c r="G136" s="11" t="s">
        <v>123</v>
      </c>
      <c r="H136" s="11" t="s">
        <v>764</v>
      </c>
      <c r="I136" s="11" t="s">
        <v>1428</v>
      </c>
      <c r="J136" s="11">
        <v>56</v>
      </c>
      <c r="K136" s="90">
        <f t="shared" si="1"/>
        <v>14</v>
      </c>
      <c r="L136" s="11">
        <v>162</v>
      </c>
      <c r="M136" s="11">
        <v>115</v>
      </c>
      <c r="N136" s="11">
        <v>111</v>
      </c>
      <c r="O136" s="11">
        <v>108</v>
      </c>
      <c r="P136" s="11">
        <v>95</v>
      </c>
      <c r="Q136" s="11">
        <v>96</v>
      </c>
      <c r="R136" s="11">
        <f t="shared" si="2"/>
        <v>114</v>
      </c>
      <c r="S136" s="34"/>
    </row>
    <row r="137" spans="1:19" ht="14.25" customHeight="1" x14ac:dyDescent="0.25">
      <c r="A137" s="2"/>
      <c r="B137" s="34">
        <f t="shared" si="0"/>
        <v>10</v>
      </c>
      <c r="C137" s="34" t="s">
        <v>148</v>
      </c>
      <c r="D137" s="34">
        <v>3</v>
      </c>
      <c r="E137" s="34"/>
      <c r="F137" s="11" t="s">
        <v>429</v>
      </c>
      <c r="G137" s="11" t="s">
        <v>168</v>
      </c>
      <c r="H137" s="11" t="s">
        <v>764</v>
      </c>
      <c r="I137" s="11" t="s">
        <v>1435</v>
      </c>
      <c r="J137" s="11">
        <v>57</v>
      </c>
      <c r="K137" s="90">
        <f t="shared" si="1"/>
        <v>10</v>
      </c>
      <c r="L137" s="11">
        <v>119</v>
      </c>
      <c r="M137" s="11">
        <v>105</v>
      </c>
      <c r="N137" s="11">
        <v>117</v>
      </c>
      <c r="O137" s="11">
        <v>119</v>
      </c>
      <c r="P137" s="11">
        <v>120</v>
      </c>
      <c r="Q137" s="11">
        <v>130</v>
      </c>
      <c r="R137" s="11">
        <f t="shared" si="2"/>
        <v>118</v>
      </c>
      <c r="S137" s="34"/>
    </row>
    <row r="138" spans="1:19" ht="14.25" customHeight="1" x14ac:dyDescent="0.25">
      <c r="A138" s="2"/>
      <c r="B138" s="34">
        <f t="shared" si="0"/>
        <v>14</v>
      </c>
      <c r="C138" s="34" t="s">
        <v>148</v>
      </c>
      <c r="D138" s="34"/>
      <c r="E138" s="34"/>
      <c r="F138" s="11" t="s">
        <v>1451</v>
      </c>
      <c r="G138" s="11" t="s">
        <v>81</v>
      </c>
      <c r="H138" s="11" t="s">
        <v>764</v>
      </c>
      <c r="I138" s="11"/>
      <c r="J138" s="11">
        <v>58</v>
      </c>
      <c r="K138" s="90">
        <f t="shared" si="1"/>
        <v>16</v>
      </c>
      <c r="L138" s="11">
        <v>188</v>
      </c>
      <c r="M138" s="11">
        <v>150</v>
      </c>
      <c r="N138" s="11">
        <v>134</v>
      </c>
      <c r="O138" s="11">
        <v>144</v>
      </c>
      <c r="P138" s="11">
        <v>144</v>
      </c>
      <c r="Q138" s="11">
        <v>230</v>
      </c>
      <c r="R138" s="11">
        <f t="shared" si="2"/>
        <v>165</v>
      </c>
      <c r="S138" s="34"/>
    </row>
    <row r="139" spans="1:19" ht="14.25" customHeight="1" x14ac:dyDescent="0.25">
      <c r="A139" s="2"/>
      <c r="B139" s="34">
        <f t="shared" si="0"/>
        <v>15</v>
      </c>
      <c r="C139" s="34" t="s">
        <v>148</v>
      </c>
      <c r="D139" s="34"/>
      <c r="E139" s="34"/>
      <c r="F139" s="11" t="s">
        <v>1452</v>
      </c>
      <c r="G139" s="11" t="s">
        <v>104</v>
      </c>
      <c r="H139" s="11" t="s">
        <v>764</v>
      </c>
      <c r="I139" s="11" t="s">
        <v>1443</v>
      </c>
      <c r="J139" s="11">
        <v>59</v>
      </c>
      <c r="K139" s="90">
        <f t="shared" si="1"/>
        <v>18</v>
      </c>
      <c r="L139" s="11">
        <v>204</v>
      </c>
      <c r="M139" s="11">
        <v>189</v>
      </c>
      <c r="N139" s="11">
        <v>171</v>
      </c>
      <c r="O139" s="11">
        <v>163</v>
      </c>
      <c r="P139" s="11">
        <v>159</v>
      </c>
      <c r="Q139" s="11">
        <v>141</v>
      </c>
      <c r="R139" s="11">
        <f t="shared" si="2"/>
        <v>171</v>
      </c>
      <c r="S139" s="34"/>
    </row>
    <row r="140" spans="1:19" ht="14.25" customHeight="1" x14ac:dyDescent="0.25">
      <c r="A140" s="2"/>
      <c r="B140" s="34">
        <f t="shared" si="0"/>
        <v>15</v>
      </c>
      <c r="C140" s="34" t="s">
        <v>148</v>
      </c>
      <c r="D140" s="34"/>
      <c r="E140" s="34"/>
      <c r="F140" s="11" t="s">
        <v>684</v>
      </c>
      <c r="G140" s="11" t="s">
        <v>55</v>
      </c>
      <c r="H140" s="11" t="s">
        <v>764</v>
      </c>
      <c r="I140" s="11" t="s">
        <v>1443</v>
      </c>
      <c r="J140" s="11">
        <v>60</v>
      </c>
      <c r="K140" s="90">
        <f t="shared" si="1"/>
        <v>16</v>
      </c>
      <c r="L140" s="11">
        <v>191</v>
      </c>
      <c r="M140" s="11">
        <v>170</v>
      </c>
      <c r="N140" s="11">
        <v>180</v>
      </c>
      <c r="O140" s="11">
        <v>145</v>
      </c>
      <c r="P140" s="11">
        <v>158</v>
      </c>
      <c r="Q140" s="11">
        <v>204</v>
      </c>
      <c r="R140" s="11">
        <f t="shared" si="2"/>
        <v>174</v>
      </c>
      <c r="S140" s="34"/>
    </row>
    <row r="141" spans="1:19" ht="14.25" customHeight="1" x14ac:dyDescent="0.25">
      <c r="A141" s="2"/>
      <c r="B141" s="34">
        <f t="shared" si="0"/>
        <v>15</v>
      </c>
      <c r="C141" s="34" t="s">
        <v>148</v>
      </c>
      <c r="D141" s="34"/>
      <c r="E141" s="34"/>
      <c r="F141" s="11" t="s">
        <v>1453</v>
      </c>
      <c r="G141" s="11" t="s">
        <v>123</v>
      </c>
      <c r="H141" s="11" t="s">
        <v>764</v>
      </c>
      <c r="I141" s="11"/>
      <c r="J141" s="11">
        <v>61</v>
      </c>
      <c r="K141" s="90">
        <f t="shared" si="1"/>
        <v>13</v>
      </c>
      <c r="L141" s="11">
        <v>151</v>
      </c>
      <c r="M141" s="11">
        <v>205</v>
      </c>
      <c r="N141" s="11">
        <v>161</v>
      </c>
      <c r="O141" s="11">
        <v>188</v>
      </c>
      <c r="P141" s="11">
        <v>186</v>
      </c>
      <c r="Q141" s="11">
        <v>181</v>
      </c>
      <c r="R141" s="11">
        <f t="shared" si="2"/>
        <v>178</v>
      </c>
      <c r="S141" s="34"/>
    </row>
    <row r="142" spans="1:19" ht="14.25" customHeight="1" x14ac:dyDescent="0.25">
      <c r="A142" s="2"/>
      <c r="B142" s="34">
        <f t="shared" si="0"/>
        <v>17</v>
      </c>
      <c r="C142" s="34" t="s">
        <v>148</v>
      </c>
      <c r="D142" s="34"/>
      <c r="E142" s="34"/>
      <c r="F142" s="11" t="s">
        <v>1454</v>
      </c>
      <c r="G142" s="11" t="s">
        <v>199</v>
      </c>
      <c r="H142" s="11" t="s">
        <v>764</v>
      </c>
      <c r="I142" s="11"/>
      <c r="J142" s="11">
        <v>62</v>
      </c>
      <c r="K142" s="90" t="e">
        <f t="shared" si="1"/>
        <v>#DIV/0!</v>
      </c>
      <c r="L142" s="11" t="s">
        <v>36</v>
      </c>
      <c r="M142" s="11">
        <v>211</v>
      </c>
      <c r="N142" s="11" t="s">
        <v>36</v>
      </c>
      <c r="O142" s="11">
        <v>180</v>
      </c>
      <c r="P142" s="11">
        <v>201</v>
      </c>
      <c r="Q142" s="11">
        <v>207</v>
      </c>
      <c r="R142" s="11">
        <f t="shared" si="2"/>
        <v>199</v>
      </c>
      <c r="S142" s="11"/>
    </row>
    <row r="143" spans="1:19" ht="14.25" customHeight="1" x14ac:dyDescent="0.25">
      <c r="A143" s="2"/>
      <c r="B143" s="34">
        <f t="shared" si="0"/>
        <v>17</v>
      </c>
      <c r="C143" s="34" t="s">
        <v>148</v>
      </c>
      <c r="D143" s="34"/>
      <c r="E143" s="34"/>
      <c r="F143" s="11" t="s">
        <v>1291</v>
      </c>
      <c r="G143" s="11" t="s">
        <v>116</v>
      </c>
      <c r="H143" s="11" t="s">
        <v>764</v>
      </c>
      <c r="I143" s="11"/>
      <c r="J143" s="11">
        <v>63</v>
      </c>
      <c r="K143" s="90" t="e">
        <f t="shared" si="1"/>
        <v>#DIV/0!</v>
      </c>
      <c r="L143" s="11" t="s">
        <v>36</v>
      </c>
      <c r="M143" s="11" t="s">
        <v>36</v>
      </c>
      <c r="N143" s="11">
        <v>203</v>
      </c>
      <c r="O143" s="11">
        <v>184</v>
      </c>
      <c r="P143" s="11">
        <v>185</v>
      </c>
      <c r="Q143" s="11">
        <v>237</v>
      </c>
      <c r="R143" s="11">
        <f t="shared" si="2"/>
        <v>202</v>
      </c>
      <c r="S143" s="11"/>
    </row>
    <row r="144" spans="1:19" ht="14.25" customHeight="1" x14ac:dyDescent="0.25">
      <c r="A144" s="2"/>
      <c r="B144" s="34">
        <f t="shared" si="0"/>
        <v>17</v>
      </c>
      <c r="C144" s="34" t="s">
        <v>148</v>
      </c>
      <c r="D144" s="34"/>
      <c r="E144" s="34"/>
      <c r="F144" s="11" t="s">
        <v>1286</v>
      </c>
      <c r="G144" s="11" t="s">
        <v>60</v>
      </c>
      <c r="H144" s="11" t="s">
        <v>764</v>
      </c>
      <c r="I144" s="11" t="s">
        <v>1443</v>
      </c>
      <c r="J144" s="11">
        <v>64</v>
      </c>
      <c r="K144" s="90" t="e">
        <f t="shared" si="1"/>
        <v>#DIV/0!</v>
      </c>
      <c r="L144" s="11" t="s">
        <v>36</v>
      </c>
      <c r="M144" s="11" t="s">
        <v>36</v>
      </c>
      <c r="N144" s="11">
        <v>173</v>
      </c>
      <c r="O144" s="11">
        <v>171</v>
      </c>
      <c r="P144" s="11">
        <v>172</v>
      </c>
      <c r="Q144" s="11">
        <v>281</v>
      </c>
      <c r="R144" s="11">
        <f t="shared" si="2"/>
        <v>199</v>
      </c>
      <c r="S144" s="11"/>
    </row>
    <row r="145" spans="1:19" ht="14.25" customHeight="1" x14ac:dyDescent="0.25">
      <c r="A145" s="2"/>
      <c r="B145" s="34">
        <f t="shared" si="0"/>
        <v>2</v>
      </c>
      <c r="C145" s="34" t="s">
        <v>148</v>
      </c>
      <c r="D145" s="34">
        <v>37</v>
      </c>
      <c r="E145" s="34"/>
      <c r="F145" s="11" t="s">
        <v>312</v>
      </c>
      <c r="G145" s="11" t="s">
        <v>85</v>
      </c>
      <c r="H145" s="11" t="s">
        <v>769</v>
      </c>
      <c r="I145" s="11"/>
      <c r="J145" s="11"/>
      <c r="K145" s="90">
        <f t="shared" si="1"/>
        <v>2</v>
      </c>
      <c r="L145" s="11">
        <v>18</v>
      </c>
      <c r="M145" s="11">
        <v>19</v>
      </c>
      <c r="N145" s="11">
        <v>20</v>
      </c>
      <c r="O145" s="11">
        <v>9</v>
      </c>
      <c r="P145" s="11">
        <v>11</v>
      </c>
      <c r="Q145" s="11">
        <v>20</v>
      </c>
      <c r="R145" s="11">
        <f t="shared" si="2"/>
        <v>16</v>
      </c>
      <c r="S145" s="34"/>
    </row>
    <row r="146" spans="1:19" ht="14.25" customHeight="1" x14ac:dyDescent="0.25">
      <c r="A146" s="2"/>
      <c r="B146" s="34">
        <f t="shared" si="0"/>
        <v>2</v>
      </c>
      <c r="C146" s="34" t="s">
        <v>148</v>
      </c>
      <c r="D146" s="34">
        <v>36</v>
      </c>
      <c r="E146" s="34"/>
      <c r="F146" s="11" t="s">
        <v>274</v>
      </c>
      <c r="G146" s="11" t="s">
        <v>55</v>
      </c>
      <c r="H146" s="11" t="s">
        <v>769</v>
      </c>
      <c r="I146" s="11"/>
      <c r="J146" s="11"/>
      <c r="K146" s="90">
        <f t="shared" si="1"/>
        <v>2</v>
      </c>
      <c r="L146" s="11">
        <v>22</v>
      </c>
      <c r="M146" s="11">
        <v>23</v>
      </c>
      <c r="N146" s="11">
        <v>24</v>
      </c>
      <c r="O146" s="11">
        <v>14</v>
      </c>
      <c r="P146" s="11">
        <v>17</v>
      </c>
      <c r="Q146" s="11">
        <v>21</v>
      </c>
      <c r="R146" s="11">
        <f t="shared" si="2"/>
        <v>20</v>
      </c>
      <c r="S146" s="34"/>
    </row>
    <row r="147" spans="1:19" ht="14.25" customHeight="1" x14ac:dyDescent="0.25">
      <c r="A147" s="91"/>
      <c r="B147" s="34">
        <f t="shared" si="0"/>
        <v>4</v>
      </c>
      <c r="C147" s="34" t="s">
        <v>148</v>
      </c>
      <c r="D147" s="34">
        <v>20</v>
      </c>
      <c r="E147" s="34"/>
      <c r="F147" s="11" t="s">
        <v>349</v>
      </c>
      <c r="G147" s="11" t="s">
        <v>91</v>
      </c>
      <c r="H147" s="11" t="s">
        <v>769</v>
      </c>
      <c r="I147" s="11"/>
      <c r="J147" s="11"/>
      <c r="K147" s="90">
        <f t="shared" si="1"/>
        <v>3</v>
      </c>
      <c r="L147" s="11">
        <v>34</v>
      </c>
      <c r="M147" s="11">
        <v>47</v>
      </c>
      <c r="N147" s="11">
        <v>37</v>
      </c>
      <c r="O147" s="11">
        <v>26</v>
      </c>
      <c r="P147" s="11">
        <v>32</v>
      </c>
      <c r="Q147" s="11">
        <v>40</v>
      </c>
      <c r="R147" s="11">
        <f t="shared" si="2"/>
        <v>36</v>
      </c>
      <c r="S147" s="34"/>
    </row>
    <row r="148" spans="1:19" ht="14.25" customHeight="1" x14ac:dyDescent="0.25">
      <c r="A148" s="2"/>
      <c r="B148" s="34">
        <f t="shared" si="0"/>
        <v>4</v>
      </c>
      <c r="C148" s="34" t="s">
        <v>148</v>
      </c>
      <c r="D148" s="34">
        <v>23</v>
      </c>
      <c r="E148" s="34"/>
      <c r="F148" s="11" t="s">
        <v>947</v>
      </c>
      <c r="G148" s="11" t="s">
        <v>78</v>
      </c>
      <c r="H148" s="11" t="s">
        <v>769</v>
      </c>
      <c r="I148" s="11"/>
      <c r="J148" s="11"/>
      <c r="K148" s="90">
        <f t="shared" si="1"/>
        <v>4</v>
      </c>
      <c r="L148" s="11">
        <v>44</v>
      </c>
      <c r="M148" s="11">
        <v>36</v>
      </c>
      <c r="N148" s="11">
        <v>36</v>
      </c>
      <c r="O148" s="11">
        <v>31</v>
      </c>
      <c r="P148" s="11">
        <v>37</v>
      </c>
      <c r="Q148" s="11">
        <v>42</v>
      </c>
      <c r="R148" s="11">
        <f t="shared" si="2"/>
        <v>37</v>
      </c>
      <c r="S148" s="34"/>
    </row>
    <row r="149" spans="1:19" ht="14.25" customHeight="1" x14ac:dyDescent="0.25">
      <c r="A149" s="2"/>
      <c r="B149" s="34">
        <f t="shared" si="0"/>
        <v>5</v>
      </c>
      <c r="C149" s="34" t="s">
        <v>148</v>
      </c>
      <c r="D149" s="34">
        <v>12</v>
      </c>
      <c r="E149" s="34"/>
      <c r="F149" s="11" t="s">
        <v>642</v>
      </c>
      <c r="G149" s="11" t="s">
        <v>94</v>
      </c>
      <c r="H149" s="11" t="s">
        <v>769</v>
      </c>
      <c r="I149" s="11"/>
      <c r="J149" s="11"/>
      <c r="K149" s="90">
        <f t="shared" si="1"/>
        <v>5</v>
      </c>
      <c r="L149" s="11">
        <v>56</v>
      </c>
      <c r="M149" s="11">
        <v>57</v>
      </c>
      <c r="N149" s="11">
        <v>52</v>
      </c>
      <c r="O149" s="11">
        <v>48</v>
      </c>
      <c r="P149" s="11">
        <v>42</v>
      </c>
      <c r="Q149" s="11">
        <v>54</v>
      </c>
      <c r="R149" s="11">
        <f t="shared" si="2"/>
        <v>51</v>
      </c>
      <c r="S149" s="34"/>
    </row>
    <row r="150" spans="1:19" ht="14.25" customHeight="1" x14ac:dyDescent="0.25">
      <c r="A150" s="2"/>
      <c r="B150" s="34">
        <f t="shared" si="0"/>
        <v>6</v>
      </c>
      <c r="C150" s="34" t="s">
        <v>148</v>
      </c>
      <c r="D150" s="34">
        <v>6</v>
      </c>
      <c r="E150" s="34"/>
      <c r="F150" s="11" t="s">
        <v>648</v>
      </c>
      <c r="G150" s="11" t="s">
        <v>126</v>
      </c>
      <c r="H150" s="11" t="s">
        <v>769</v>
      </c>
      <c r="I150" s="11"/>
      <c r="J150" s="11"/>
      <c r="K150" s="90">
        <f t="shared" si="1"/>
        <v>8</v>
      </c>
      <c r="L150" s="11">
        <v>85</v>
      </c>
      <c r="M150" s="11">
        <v>74</v>
      </c>
      <c r="N150" s="11">
        <v>63</v>
      </c>
      <c r="O150" s="11">
        <v>63</v>
      </c>
      <c r="P150" s="11">
        <v>60</v>
      </c>
      <c r="Q150" s="11">
        <v>59</v>
      </c>
      <c r="R150" s="11">
        <f t="shared" si="2"/>
        <v>67</v>
      </c>
      <c r="S150" s="34"/>
    </row>
    <row r="151" spans="1:19" ht="14.25" customHeight="1" x14ac:dyDescent="0.25">
      <c r="A151" s="2"/>
      <c r="B151" s="34">
        <f t="shared" si="0"/>
        <v>7</v>
      </c>
      <c r="C151" s="34" t="s">
        <v>148</v>
      </c>
      <c r="D151" s="34">
        <v>3</v>
      </c>
      <c r="E151" s="34"/>
      <c r="F151" s="11" t="s">
        <v>397</v>
      </c>
      <c r="G151" s="11" t="s">
        <v>88</v>
      </c>
      <c r="H151" s="11" t="s">
        <v>769</v>
      </c>
      <c r="I151" s="11"/>
      <c r="J151" s="11"/>
      <c r="K151" s="90">
        <f t="shared" si="1"/>
        <v>6</v>
      </c>
      <c r="L151" s="11">
        <v>66</v>
      </c>
      <c r="M151" s="11">
        <v>80</v>
      </c>
      <c r="N151" s="11">
        <v>91</v>
      </c>
      <c r="O151" s="11">
        <v>76</v>
      </c>
      <c r="P151" s="11">
        <v>79</v>
      </c>
      <c r="Q151" s="11">
        <v>60</v>
      </c>
      <c r="R151" s="11">
        <f t="shared" si="2"/>
        <v>75</v>
      </c>
      <c r="S151" s="34"/>
    </row>
    <row r="152" spans="1:19" ht="14.25" customHeight="1" x14ac:dyDescent="0.25">
      <c r="A152" s="2"/>
      <c r="B152" s="34">
        <f t="shared" si="0"/>
        <v>7</v>
      </c>
      <c r="C152" s="34" t="s">
        <v>148</v>
      </c>
      <c r="D152" s="34">
        <v>4</v>
      </c>
      <c r="E152" s="34"/>
      <c r="F152" s="11" t="s">
        <v>1251</v>
      </c>
      <c r="G152" s="11" t="s">
        <v>163</v>
      </c>
      <c r="H152" s="11" t="s">
        <v>769</v>
      </c>
      <c r="I152" s="11"/>
      <c r="J152" s="11"/>
      <c r="K152" s="90">
        <f t="shared" si="1"/>
        <v>7</v>
      </c>
      <c r="L152" s="11">
        <v>73</v>
      </c>
      <c r="M152" s="11">
        <v>72</v>
      </c>
      <c r="N152" s="11">
        <v>62</v>
      </c>
      <c r="O152" s="11">
        <v>93</v>
      </c>
      <c r="P152" s="11">
        <v>94</v>
      </c>
      <c r="Q152" s="11">
        <v>67</v>
      </c>
      <c r="R152" s="11">
        <f t="shared" si="2"/>
        <v>76</v>
      </c>
      <c r="S152" s="34"/>
    </row>
    <row r="153" spans="1:19" ht="14.25" customHeight="1" x14ac:dyDescent="0.25">
      <c r="A153" s="2"/>
      <c r="B153" s="34">
        <f t="shared" si="0"/>
        <v>9</v>
      </c>
      <c r="C153" s="34" t="s">
        <v>148</v>
      </c>
      <c r="D153" s="34"/>
      <c r="E153" s="34"/>
      <c r="F153" s="11" t="s">
        <v>925</v>
      </c>
      <c r="G153" s="11" t="s">
        <v>91</v>
      </c>
      <c r="H153" s="11" t="s">
        <v>772</v>
      </c>
      <c r="I153" s="11"/>
      <c r="J153" s="11"/>
      <c r="K153" s="90">
        <f t="shared" si="1"/>
        <v>7</v>
      </c>
      <c r="L153" s="11">
        <v>76</v>
      </c>
      <c r="M153" s="11">
        <v>108</v>
      </c>
      <c r="N153" s="11">
        <v>86</v>
      </c>
      <c r="O153" s="11">
        <v>196</v>
      </c>
      <c r="P153" s="11" t="s">
        <v>36</v>
      </c>
      <c r="Q153" s="11">
        <v>66</v>
      </c>
      <c r="R153" s="11">
        <f t="shared" si="2"/>
        <v>106</v>
      </c>
      <c r="S153" s="34"/>
    </row>
    <row r="154" spans="1:19" ht="14.25" customHeight="1" x14ac:dyDescent="0.25">
      <c r="A154" s="2"/>
      <c r="B154" s="34">
        <f t="shared" si="0"/>
        <v>7</v>
      </c>
      <c r="C154" s="34" t="s">
        <v>148</v>
      </c>
      <c r="D154" s="34">
        <v>5</v>
      </c>
      <c r="E154" s="34"/>
      <c r="F154" s="11" t="s">
        <v>994</v>
      </c>
      <c r="G154" s="11" t="s">
        <v>49</v>
      </c>
      <c r="H154" s="11" t="s">
        <v>769</v>
      </c>
      <c r="I154" s="11"/>
      <c r="J154" s="11"/>
      <c r="K154" s="90">
        <f t="shared" si="1"/>
        <v>6</v>
      </c>
      <c r="L154" s="11">
        <v>65</v>
      </c>
      <c r="M154" s="11">
        <v>93</v>
      </c>
      <c r="N154" s="11">
        <v>77</v>
      </c>
      <c r="O154" s="11">
        <v>73</v>
      </c>
      <c r="P154" s="11">
        <v>56</v>
      </c>
      <c r="Q154" s="11">
        <v>117</v>
      </c>
      <c r="R154" s="11">
        <f t="shared" si="2"/>
        <v>80</v>
      </c>
      <c r="S154" s="34"/>
    </row>
    <row r="155" spans="1:19" ht="14.25" customHeight="1" x14ac:dyDescent="0.25">
      <c r="A155" s="2"/>
      <c r="B155" s="34">
        <f t="shared" si="0"/>
        <v>8</v>
      </c>
      <c r="C155" s="34" t="s">
        <v>148</v>
      </c>
      <c r="D155" s="34">
        <v>5</v>
      </c>
      <c r="E155" s="34"/>
      <c r="F155" s="11" t="s">
        <v>1457</v>
      </c>
      <c r="G155" s="11" t="s">
        <v>129</v>
      </c>
      <c r="H155" s="11" t="s">
        <v>769</v>
      </c>
      <c r="I155" s="11"/>
      <c r="J155" s="11"/>
      <c r="K155" s="90">
        <f t="shared" si="1"/>
        <v>7</v>
      </c>
      <c r="L155" s="11">
        <v>72</v>
      </c>
      <c r="M155" s="11">
        <v>90</v>
      </c>
      <c r="N155" s="11">
        <v>89</v>
      </c>
      <c r="O155" s="11">
        <v>91</v>
      </c>
      <c r="P155" s="11">
        <v>102</v>
      </c>
      <c r="Q155" s="11">
        <v>97</v>
      </c>
      <c r="R155" s="11">
        <f t="shared" si="2"/>
        <v>90</v>
      </c>
      <c r="S155" s="34"/>
    </row>
    <row r="156" spans="1:19" ht="14.25" customHeight="1" x14ac:dyDescent="0.25">
      <c r="A156" s="2"/>
      <c r="B156" s="34">
        <f t="shared" si="0"/>
        <v>9</v>
      </c>
      <c r="C156" s="34" t="s">
        <v>148</v>
      </c>
      <c r="D156" s="34">
        <v>2</v>
      </c>
      <c r="E156" s="34"/>
      <c r="F156" s="11" t="s">
        <v>965</v>
      </c>
      <c r="G156" s="11" t="s">
        <v>39</v>
      </c>
      <c r="H156" s="11" t="s">
        <v>769</v>
      </c>
      <c r="I156" s="11"/>
      <c r="J156" s="11"/>
      <c r="K156" s="90">
        <f t="shared" si="1"/>
        <v>9</v>
      </c>
      <c r="L156" s="11">
        <v>105</v>
      </c>
      <c r="M156" s="11">
        <v>96</v>
      </c>
      <c r="N156" s="11">
        <v>113</v>
      </c>
      <c r="O156" s="11">
        <v>77</v>
      </c>
      <c r="P156" s="11">
        <v>72</v>
      </c>
      <c r="Q156" s="11">
        <v>123</v>
      </c>
      <c r="R156" s="11">
        <f t="shared" si="2"/>
        <v>97</v>
      </c>
      <c r="S156" s="34"/>
    </row>
    <row r="157" spans="1:19" ht="14.25" customHeight="1" x14ac:dyDescent="0.25">
      <c r="A157" s="2"/>
      <c r="B157" s="34">
        <f t="shared" si="0"/>
        <v>9</v>
      </c>
      <c r="C157" s="34" t="s">
        <v>148</v>
      </c>
      <c r="D157" s="34"/>
      <c r="E157" s="34"/>
      <c r="F157" s="11" t="s">
        <v>1228</v>
      </c>
      <c r="G157" s="11" t="s">
        <v>187</v>
      </c>
      <c r="H157" s="11" t="s">
        <v>769</v>
      </c>
      <c r="I157" s="11"/>
      <c r="J157" s="11"/>
      <c r="K157" s="90">
        <f t="shared" si="1"/>
        <v>10</v>
      </c>
      <c r="L157" s="11">
        <v>109</v>
      </c>
      <c r="M157" s="11">
        <v>106</v>
      </c>
      <c r="N157" s="11">
        <v>126</v>
      </c>
      <c r="O157" s="11">
        <v>95</v>
      </c>
      <c r="P157" s="11">
        <v>109</v>
      </c>
      <c r="Q157" s="11">
        <v>70</v>
      </c>
      <c r="R157" s="11">
        <f t="shared" si="2"/>
        <v>102</v>
      </c>
      <c r="S157" s="34"/>
    </row>
    <row r="158" spans="1:19" ht="14.25" customHeight="1" x14ac:dyDescent="0.25">
      <c r="A158" s="2"/>
      <c r="B158" s="34">
        <f t="shared" si="0"/>
        <v>10</v>
      </c>
      <c r="C158" s="34" t="s">
        <v>148</v>
      </c>
      <c r="D158" s="34">
        <v>3</v>
      </c>
      <c r="E158" s="34"/>
      <c r="F158" s="11" t="s">
        <v>934</v>
      </c>
      <c r="G158" s="11" t="s">
        <v>168</v>
      </c>
      <c r="H158" s="11" t="s">
        <v>769</v>
      </c>
      <c r="I158" s="11"/>
      <c r="J158" s="11"/>
      <c r="K158" s="90">
        <f t="shared" si="1"/>
        <v>12</v>
      </c>
      <c r="L158" s="11">
        <v>136</v>
      </c>
      <c r="M158" s="11">
        <v>120</v>
      </c>
      <c r="N158" s="11">
        <v>109</v>
      </c>
      <c r="O158" s="11">
        <v>99</v>
      </c>
      <c r="P158" s="11">
        <v>124</v>
      </c>
      <c r="Q158" s="11">
        <v>92</v>
      </c>
      <c r="R158" s="11">
        <f t="shared" si="2"/>
        <v>113</v>
      </c>
      <c r="S158" s="34"/>
    </row>
    <row r="159" spans="1:19" ht="14.25" customHeight="1" x14ac:dyDescent="0.25">
      <c r="A159" s="2"/>
      <c r="B159" s="34">
        <f t="shared" si="0"/>
        <v>16</v>
      </c>
      <c r="C159" s="34" t="s">
        <v>148</v>
      </c>
      <c r="D159" s="34"/>
      <c r="E159" s="34"/>
      <c r="F159" s="11" t="s">
        <v>1459</v>
      </c>
      <c r="G159" s="11" t="s">
        <v>36</v>
      </c>
      <c r="H159" s="11" t="s">
        <v>762</v>
      </c>
      <c r="I159" s="11"/>
      <c r="J159" s="11"/>
      <c r="K159" s="90">
        <f t="shared" si="1"/>
        <v>8</v>
      </c>
      <c r="L159" s="11">
        <v>88</v>
      </c>
      <c r="M159" s="11" t="s">
        <v>36</v>
      </c>
      <c r="N159" s="11">
        <v>253</v>
      </c>
      <c r="O159" s="11">
        <v>346</v>
      </c>
      <c r="P159" s="11">
        <v>115</v>
      </c>
      <c r="Q159" s="11">
        <v>113</v>
      </c>
      <c r="R159" s="11">
        <f t="shared" si="2"/>
        <v>183</v>
      </c>
      <c r="S159" s="11"/>
    </row>
    <row r="160" spans="1:19" ht="14.25" customHeight="1" x14ac:dyDescent="0.25">
      <c r="A160" s="2"/>
      <c r="B160" s="34">
        <f t="shared" si="0"/>
        <v>11</v>
      </c>
      <c r="C160" s="34" t="s">
        <v>148</v>
      </c>
      <c r="D160" s="34"/>
      <c r="E160" s="34"/>
      <c r="F160" s="11" t="s">
        <v>625</v>
      </c>
      <c r="G160" s="11" t="s">
        <v>81</v>
      </c>
      <c r="H160" s="11" t="s">
        <v>769</v>
      </c>
      <c r="I160" s="11"/>
      <c r="J160" s="11"/>
      <c r="K160" s="90">
        <f t="shared" si="1"/>
        <v>12</v>
      </c>
      <c r="L160" s="11">
        <v>140</v>
      </c>
      <c r="M160" s="11">
        <v>147</v>
      </c>
      <c r="N160" s="11">
        <v>140</v>
      </c>
      <c r="O160" s="11">
        <v>84</v>
      </c>
      <c r="P160" s="11">
        <v>107</v>
      </c>
      <c r="Q160" s="11">
        <v>146</v>
      </c>
      <c r="R160" s="11">
        <f t="shared" si="2"/>
        <v>127</v>
      </c>
      <c r="S160" s="34"/>
    </row>
    <row r="161" spans="1:19" ht="14.25" customHeight="1" x14ac:dyDescent="0.25">
      <c r="A161" s="2"/>
      <c r="B161" s="34">
        <f t="shared" si="0"/>
        <v>11</v>
      </c>
      <c r="C161" s="34" t="s">
        <v>148</v>
      </c>
      <c r="D161" s="34"/>
      <c r="E161" s="34"/>
      <c r="F161" s="11" t="s">
        <v>955</v>
      </c>
      <c r="G161" s="11" t="s">
        <v>72</v>
      </c>
      <c r="H161" s="11" t="s">
        <v>762</v>
      </c>
      <c r="I161" s="11" t="s">
        <v>1460</v>
      </c>
      <c r="J161" s="11"/>
      <c r="K161" s="90">
        <f t="shared" si="1"/>
        <v>11</v>
      </c>
      <c r="L161" s="11">
        <v>126</v>
      </c>
      <c r="M161" s="11">
        <v>133</v>
      </c>
      <c r="N161" s="11">
        <v>136</v>
      </c>
      <c r="O161" s="11">
        <v>109</v>
      </c>
      <c r="P161" s="11">
        <v>110</v>
      </c>
      <c r="Q161" s="11">
        <v>157</v>
      </c>
      <c r="R161" s="11">
        <f t="shared" si="2"/>
        <v>128</v>
      </c>
      <c r="S161" s="34"/>
    </row>
    <row r="162" spans="1:19" ht="14.25" customHeight="1" x14ac:dyDescent="0.25">
      <c r="A162" s="2"/>
      <c r="B162" s="34">
        <f t="shared" si="0"/>
        <v>13</v>
      </c>
      <c r="C162" s="34" t="s">
        <v>148</v>
      </c>
      <c r="D162" s="34"/>
      <c r="E162" s="34"/>
      <c r="F162" s="11" t="s">
        <v>252</v>
      </c>
      <c r="G162" s="11" t="s">
        <v>69</v>
      </c>
      <c r="H162" s="11" t="s">
        <v>762</v>
      </c>
      <c r="I162" s="11"/>
      <c r="J162" s="11"/>
      <c r="K162" s="90">
        <f t="shared" si="1"/>
        <v>14</v>
      </c>
      <c r="L162" s="11">
        <v>163</v>
      </c>
      <c r="M162" s="11">
        <v>139</v>
      </c>
      <c r="N162" s="11">
        <v>147</v>
      </c>
      <c r="O162" s="11">
        <v>116</v>
      </c>
      <c r="P162" s="11">
        <v>130</v>
      </c>
      <c r="Q162" s="11">
        <v>191</v>
      </c>
      <c r="R162" s="11">
        <f t="shared" si="2"/>
        <v>147</v>
      </c>
      <c r="S162" s="34"/>
    </row>
    <row r="163" spans="1:19" ht="14.25" customHeight="1" x14ac:dyDescent="0.25">
      <c r="A163" s="2"/>
      <c r="B163" s="34">
        <f t="shared" si="0"/>
        <v>12</v>
      </c>
      <c r="C163" s="34" t="s">
        <v>148</v>
      </c>
      <c r="D163" s="34"/>
      <c r="E163" s="34"/>
      <c r="F163" s="11" t="s">
        <v>422</v>
      </c>
      <c r="G163" s="11" t="s">
        <v>35</v>
      </c>
      <c r="H163" s="11" t="s">
        <v>769</v>
      </c>
      <c r="I163" s="11"/>
      <c r="J163" s="11"/>
      <c r="K163" s="90">
        <f t="shared" si="1"/>
        <v>13</v>
      </c>
      <c r="L163" s="11">
        <v>155</v>
      </c>
      <c r="M163" s="11">
        <v>144</v>
      </c>
      <c r="N163" s="11">
        <v>123</v>
      </c>
      <c r="O163" s="11">
        <v>90</v>
      </c>
      <c r="P163" s="11">
        <v>129</v>
      </c>
      <c r="Q163" s="11">
        <v>160</v>
      </c>
      <c r="R163" s="11">
        <f t="shared" si="2"/>
        <v>133</v>
      </c>
      <c r="S163" s="34"/>
    </row>
    <row r="164" spans="1:19" ht="14.25" customHeight="1" x14ac:dyDescent="0.25">
      <c r="A164" s="2"/>
      <c r="B164" s="34">
        <f t="shared" si="0"/>
        <v>12</v>
      </c>
      <c r="C164" s="34" t="s">
        <v>148</v>
      </c>
      <c r="D164" s="34"/>
      <c r="E164" s="34"/>
      <c r="F164" s="11" t="s">
        <v>1461</v>
      </c>
      <c r="G164" s="11" t="s">
        <v>233</v>
      </c>
      <c r="H164" s="11" t="s">
        <v>760</v>
      </c>
      <c r="I164" s="11"/>
      <c r="J164" s="11"/>
      <c r="K164" s="90">
        <f t="shared" si="1"/>
        <v>11</v>
      </c>
      <c r="L164" s="11">
        <v>122</v>
      </c>
      <c r="M164" s="11">
        <v>130</v>
      </c>
      <c r="N164" s="11">
        <v>143</v>
      </c>
      <c r="O164" s="11">
        <v>139</v>
      </c>
      <c r="P164" s="11">
        <v>140</v>
      </c>
      <c r="Q164" s="11">
        <v>154</v>
      </c>
      <c r="R164" s="11">
        <f t="shared" si="2"/>
        <v>138</v>
      </c>
      <c r="S164" s="34"/>
    </row>
    <row r="165" spans="1:19" ht="14.25" customHeight="1" x14ac:dyDescent="0.25">
      <c r="A165" s="2"/>
      <c r="B165" s="34">
        <f t="shared" si="0"/>
        <v>13</v>
      </c>
      <c r="C165" s="34" t="s">
        <v>148</v>
      </c>
      <c r="D165" s="34"/>
      <c r="E165" s="34"/>
      <c r="F165" s="11" t="s">
        <v>1259</v>
      </c>
      <c r="G165" s="11" t="s">
        <v>55</v>
      </c>
      <c r="H165" s="11" t="s">
        <v>760</v>
      </c>
      <c r="I165" s="11"/>
      <c r="J165" s="11"/>
      <c r="K165" s="90">
        <f t="shared" si="1"/>
        <v>12</v>
      </c>
      <c r="L165" s="11">
        <v>138</v>
      </c>
      <c r="M165" s="11">
        <v>142</v>
      </c>
      <c r="N165" s="11">
        <v>154</v>
      </c>
      <c r="O165" s="11">
        <v>152</v>
      </c>
      <c r="P165" s="11">
        <v>165</v>
      </c>
      <c r="Q165" s="11">
        <v>126</v>
      </c>
      <c r="R165" s="11">
        <f t="shared" si="2"/>
        <v>146</v>
      </c>
      <c r="S165" s="34"/>
    </row>
    <row r="166" spans="1:19" ht="14.25" customHeight="1" x14ac:dyDescent="0.25">
      <c r="B166" s="34">
        <f t="shared" si="0"/>
        <v>14</v>
      </c>
      <c r="C166" s="34" t="s">
        <v>148</v>
      </c>
      <c r="D166" s="34"/>
      <c r="E166" s="34"/>
      <c r="F166" s="11" t="s">
        <v>1463</v>
      </c>
      <c r="G166" s="11" t="s">
        <v>66</v>
      </c>
      <c r="H166" s="11" t="s">
        <v>762</v>
      </c>
      <c r="I166" s="11"/>
      <c r="J166" s="11"/>
      <c r="K166" s="90">
        <f t="shared" si="1"/>
        <v>25</v>
      </c>
      <c r="L166" s="90">
        <v>294</v>
      </c>
      <c r="M166" s="11">
        <v>263</v>
      </c>
      <c r="N166" s="90" t="s">
        <v>1464</v>
      </c>
      <c r="O166" s="90">
        <v>0</v>
      </c>
      <c r="P166" s="90">
        <v>0</v>
      </c>
      <c r="Q166" s="90">
        <v>261</v>
      </c>
      <c r="R166" s="11">
        <f t="shared" si="2"/>
        <v>163</v>
      </c>
      <c r="S166" s="11"/>
    </row>
    <row r="167" spans="1:19" ht="14.25" customHeight="1" x14ac:dyDescent="0.25">
      <c r="A167" s="2"/>
      <c r="B167" s="34">
        <f t="shared" si="0"/>
        <v>13</v>
      </c>
      <c r="C167" s="34" t="s">
        <v>148</v>
      </c>
      <c r="D167" s="34"/>
      <c r="E167" s="34"/>
      <c r="F167" s="11" t="s">
        <v>938</v>
      </c>
      <c r="G167" s="11" t="s">
        <v>229</v>
      </c>
      <c r="H167" s="11" t="s">
        <v>769</v>
      </c>
      <c r="I167" s="11"/>
      <c r="J167" s="11"/>
      <c r="K167" s="90">
        <f t="shared" si="1"/>
        <v>14</v>
      </c>
      <c r="L167" s="11">
        <v>164</v>
      </c>
      <c r="M167" s="11">
        <v>136</v>
      </c>
      <c r="N167" s="11">
        <v>186</v>
      </c>
      <c r="O167" s="11">
        <v>107</v>
      </c>
      <c r="P167" s="11">
        <v>125</v>
      </c>
      <c r="Q167" s="11">
        <v>198</v>
      </c>
      <c r="R167" s="11">
        <f t="shared" si="2"/>
        <v>152</v>
      </c>
      <c r="S167" s="34"/>
    </row>
    <row r="168" spans="1:19" ht="14.25" customHeight="1" x14ac:dyDescent="0.25">
      <c r="A168" s="2"/>
      <c r="B168" s="34">
        <f t="shared" si="0"/>
        <v>13</v>
      </c>
      <c r="C168" s="34" t="s">
        <v>148</v>
      </c>
      <c r="D168" s="34"/>
      <c r="E168" s="34"/>
      <c r="F168" s="11" t="s">
        <v>322</v>
      </c>
      <c r="G168" s="11" t="s">
        <v>78</v>
      </c>
      <c r="H168" s="11" t="s">
        <v>769</v>
      </c>
      <c r="I168" s="11"/>
      <c r="J168" s="11"/>
      <c r="K168" s="90">
        <f t="shared" si="1"/>
        <v>16</v>
      </c>
      <c r="L168" s="11">
        <v>182</v>
      </c>
      <c r="M168" s="11">
        <v>176</v>
      </c>
      <c r="N168" s="11">
        <v>182</v>
      </c>
      <c r="O168" s="11">
        <v>104</v>
      </c>
      <c r="P168" s="11">
        <v>128</v>
      </c>
      <c r="Q168" s="11">
        <v>143</v>
      </c>
      <c r="R168" s="11">
        <f t="shared" si="2"/>
        <v>152</v>
      </c>
      <c r="S168" s="34"/>
    </row>
    <row r="169" spans="1:19" ht="14.25" customHeight="1" x14ac:dyDescent="0.25">
      <c r="A169" s="2"/>
      <c r="B169" s="34">
        <f t="shared" si="0"/>
        <v>15</v>
      </c>
      <c r="C169" s="34" t="s">
        <v>148</v>
      </c>
      <c r="D169" s="34"/>
      <c r="E169" s="34"/>
      <c r="F169" s="11" t="s">
        <v>1465</v>
      </c>
      <c r="G169" s="11" t="s">
        <v>78</v>
      </c>
      <c r="H169" s="11" t="s">
        <v>762</v>
      </c>
      <c r="I169" s="11"/>
      <c r="J169" s="11"/>
      <c r="K169" s="90">
        <f t="shared" si="1"/>
        <v>17</v>
      </c>
      <c r="L169" s="11">
        <v>197</v>
      </c>
      <c r="M169" s="11">
        <v>163</v>
      </c>
      <c r="N169" s="11">
        <v>177</v>
      </c>
      <c r="O169" s="11">
        <v>124</v>
      </c>
      <c r="P169" s="11">
        <v>137</v>
      </c>
      <c r="Q169" s="11">
        <v>223</v>
      </c>
      <c r="R169" s="11">
        <f t="shared" si="2"/>
        <v>170</v>
      </c>
      <c r="S169" s="34"/>
    </row>
    <row r="170" spans="1:19" ht="14.25" customHeight="1" x14ac:dyDescent="0.25">
      <c r="A170" s="2"/>
      <c r="B170" s="34">
        <f t="shared" si="0"/>
        <v>8</v>
      </c>
      <c r="C170" s="34" t="s">
        <v>148</v>
      </c>
      <c r="D170" s="34"/>
      <c r="E170" s="34"/>
      <c r="F170" s="11" t="s">
        <v>658</v>
      </c>
      <c r="G170" s="11" t="s">
        <v>55</v>
      </c>
      <c r="H170" s="11" t="s">
        <v>1466</v>
      </c>
      <c r="I170" s="11"/>
      <c r="J170" s="11"/>
      <c r="K170" s="90">
        <f t="shared" si="1"/>
        <v>6</v>
      </c>
      <c r="L170" s="11">
        <v>63</v>
      </c>
      <c r="M170" s="11">
        <v>87</v>
      </c>
      <c r="N170" s="11">
        <v>79</v>
      </c>
      <c r="O170" s="11">
        <v>192</v>
      </c>
      <c r="P170" s="11">
        <v>82</v>
      </c>
      <c r="Q170" s="11">
        <v>61</v>
      </c>
      <c r="R170" s="11">
        <f t="shared" si="2"/>
        <v>94</v>
      </c>
      <c r="S170" s="34"/>
    </row>
    <row r="171" spans="1:19" ht="14.25" customHeight="1" x14ac:dyDescent="0.25">
      <c r="A171" s="2"/>
      <c r="B171" s="34">
        <f t="shared" si="0"/>
        <v>9</v>
      </c>
      <c r="C171" s="34" t="s">
        <v>148</v>
      </c>
      <c r="D171" s="34"/>
      <c r="E171" s="34"/>
      <c r="F171" s="11" t="s">
        <v>489</v>
      </c>
      <c r="G171" s="11" t="s">
        <v>233</v>
      </c>
      <c r="H171" s="11" t="s">
        <v>1466</v>
      </c>
      <c r="I171" s="11"/>
      <c r="J171" s="11"/>
      <c r="K171" s="90">
        <f t="shared" si="1"/>
        <v>7</v>
      </c>
      <c r="L171" s="11">
        <v>79</v>
      </c>
      <c r="M171" s="11">
        <v>81</v>
      </c>
      <c r="N171" s="11">
        <v>80</v>
      </c>
      <c r="O171" s="11">
        <v>193</v>
      </c>
      <c r="P171" s="11">
        <v>85</v>
      </c>
      <c r="Q171" s="11">
        <v>65</v>
      </c>
      <c r="R171" s="11">
        <f t="shared" si="2"/>
        <v>97</v>
      </c>
      <c r="S171" s="34"/>
    </row>
    <row r="172" spans="1:19" ht="14.25" customHeight="1" x14ac:dyDescent="0.25">
      <c r="A172" s="2"/>
      <c r="B172" s="34">
        <f t="shared" si="0"/>
        <v>9</v>
      </c>
      <c r="C172" s="34" t="s">
        <v>148</v>
      </c>
      <c r="D172" s="34"/>
      <c r="E172" s="34"/>
      <c r="F172" s="11" t="s">
        <v>502</v>
      </c>
      <c r="G172" s="11" t="s">
        <v>91</v>
      </c>
      <c r="H172" s="11" t="s">
        <v>1466</v>
      </c>
      <c r="I172" s="11"/>
      <c r="J172" s="11"/>
      <c r="K172" s="90">
        <f t="shared" si="1"/>
        <v>7</v>
      </c>
      <c r="L172" s="11">
        <v>77</v>
      </c>
      <c r="M172" s="11">
        <v>99</v>
      </c>
      <c r="N172" s="11">
        <v>92</v>
      </c>
      <c r="O172" s="11">
        <v>195</v>
      </c>
      <c r="P172" s="11">
        <v>91</v>
      </c>
      <c r="Q172" s="11">
        <v>73</v>
      </c>
      <c r="R172" s="11">
        <f t="shared" si="2"/>
        <v>104</v>
      </c>
      <c r="S172" s="34"/>
    </row>
    <row r="173" spans="1:19" ht="14.25" customHeight="1" x14ac:dyDescent="0.25">
      <c r="A173" s="2"/>
      <c r="B173" s="34">
        <f t="shared" si="0"/>
        <v>10</v>
      </c>
      <c r="C173" s="34" t="s">
        <v>148</v>
      </c>
      <c r="D173" s="34"/>
      <c r="E173" s="34"/>
      <c r="F173" s="11" t="s">
        <v>636</v>
      </c>
      <c r="G173" s="11" t="s">
        <v>85</v>
      </c>
      <c r="H173" s="11" t="s">
        <v>772</v>
      </c>
      <c r="I173" s="11"/>
      <c r="J173" s="11"/>
      <c r="K173" s="90">
        <f t="shared" si="1"/>
        <v>7</v>
      </c>
      <c r="L173" s="11">
        <v>80</v>
      </c>
      <c r="M173" s="11">
        <v>125</v>
      </c>
      <c r="N173" s="11">
        <v>88</v>
      </c>
      <c r="O173" s="11">
        <v>194</v>
      </c>
      <c r="P173" s="11" t="s">
        <v>36</v>
      </c>
      <c r="Q173" s="11">
        <v>75</v>
      </c>
      <c r="R173" s="11">
        <f t="shared" si="2"/>
        <v>112</v>
      </c>
      <c r="S173" s="34"/>
    </row>
    <row r="174" spans="1:19" ht="14.25" customHeight="1" x14ac:dyDescent="0.25">
      <c r="A174" s="2"/>
      <c r="B174" s="34">
        <f t="shared" si="0"/>
        <v>14</v>
      </c>
      <c r="C174" s="34" t="s">
        <v>148</v>
      </c>
      <c r="D174" s="34"/>
      <c r="E174" s="34"/>
      <c r="F174" s="11" t="s">
        <v>627</v>
      </c>
      <c r="G174" s="11" t="s">
        <v>72</v>
      </c>
      <c r="H174" s="11" t="s">
        <v>760</v>
      </c>
      <c r="I174" s="11"/>
      <c r="J174" s="11"/>
      <c r="K174" s="90">
        <f t="shared" si="1"/>
        <v>15</v>
      </c>
      <c r="L174" s="11">
        <v>179</v>
      </c>
      <c r="M174" s="11">
        <v>145</v>
      </c>
      <c r="N174" s="11">
        <v>174</v>
      </c>
      <c r="O174" s="11">
        <v>164</v>
      </c>
      <c r="P174" s="11">
        <v>167</v>
      </c>
      <c r="Q174" s="11">
        <v>148</v>
      </c>
      <c r="R174" s="11">
        <f t="shared" si="2"/>
        <v>162</v>
      </c>
      <c r="S174" s="34"/>
    </row>
    <row r="175" spans="1:19" ht="14.25" customHeight="1" x14ac:dyDescent="0.25">
      <c r="A175" s="2"/>
      <c r="B175" s="34">
        <f t="shared" si="0"/>
        <v>10</v>
      </c>
      <c r="C175" s="34" t="s">
        <v>148</v>
      </c>
      <c r="D175" s="34"/>
      <c r="E175" s="34"/>
      <c r="F175" s="11" t="s">
        <v>602</v>
      </c>
      <c r="G175" s="11" t="s">
        <v>66</v>
      </c>
      <c r="H175" s="11" t="s">
        <v>1466</v>
      </c>
      <c r="I175" s="11"/>
      <c r="J175" s="11"/>
      <c r="K175" s="90">
        <f t="shared" si="1"/>
        <v>8</v>
      </c>
      <c r="L175" s="11">
        <v>87</v>
      </c>
      <c r="M175" s="11">
        <v>109</v>
      </c>
      <c r="N175" s="11">
        <v>81</v>
      </c>
      <c r="O175" s="11">
        <v>206</v>
      </c>
      <c r="P175" s="11">
        <v>119</v>
      </c>
      <c r="Q175" s="11">
        <v>72</v>
      </c>
      <c r="R175" s="11">
        <f t="shared" si="2"/>
        <v>112</v>
      </c>
      <c r="S175" s="34"/>
    </row>
    <row r="176" spans="1:19" ht="14.25" customHeight="1" x14ac:dyDescent="0.25">
      <c r="A176" s="2"/>
      <c r="B176" s="34">
        <f t="shared" si="0"/>
        <v>14</v>
      </c>
      <c r="C176" s="34" t="s">
        <v>148</v>
      </c>
      <c r="D176" s="34"/>
      <c r="E176" s="34"/>
      <c r="F176" s="11" t="s">
        <v>1468</v>
      </c>
      <c r="G176" s="11" t="s">
        <v>233</v>
      </c>
      <c r="H176" s="11" t="s">
        <v>769</v>
      </c>
      <c r="I176" s="11"/>
      <c r="J176" s="11"/>
      <c r="K176" s="90">
        <f t="shared" si="1"/>
        <v>16</v>
      </c>
      <c r="L176" s="11">
        <v>181</v>
      </c>
      <c r="M176" s="11">
        <v>167</v>
      </c>
      <c r="N176" s="11">
        <v>160</v>
      </c>
      <c r="O176" s="11">
        <v>140</v>
      </c>
      <c r="P176" s="11">
        <v>166</v>
      </c>
      <c r="Q176" s="11">
        <v>165</v>
      </c>
      <c r="R176" s="11">
        <f t="shared" si="2"/>
        <v>163</v>
      </c>
      <c r="S176" s="34"/>
    </row>
    <row r="177" spans="1:19" ht="14.25" customHeight="1" x14ac:dyDescent="0.25">
      <c r="A177" s="2"/>
      <c r="B177" s="34">
        <f t="shared" si="0"/>
        <v>10</v>
      </c>
      <c r="C177" s="34" t="s">
        <v>148</v>
      </c>
      <c r="D177" s="34"/>
      <c r="E177" s="34"/>
      <c r="F177" s="11" t="s">
        <v>690</v>
      </c>
      <c r="G177" s="11" t="s">
        <v>129</v>
      </c>
      <c r="H177" s="11" t="s">
        <v>772</v>
      </c>
      <c r="I177" s="11"/>
      <c r="J177" s="11"/>
      <c r="K177" s="90">
        <f t="shared" si="1"/>
        <v>8</v>
      </c>
      <c r="L177" s="11">
        <v>93</v>
      </c>
      <c r="M177" s="11">
        <v>114</v>
      </c>
      <c r="N177" s="11">
        <v>100</v>
      </c>
      <c r="O177" s="11">
        <v>202</v>
      </c>
      <c r="P177" s="11" t="s">
        <v>36</v>
      </c>
      <c r="Q177" s="11">
        <v>81</v>
      </c>
      <c r="R177" s="11">
        <f t="shared" si="2"/>
        <v>118</v>
      </c>
      <c r="S177" s="34"/>
    </row>
    <row r="178" spans="1:19" ht="14.25" customHeight="1" x14ac:dyDescent="0.25">
      <c r="A178" s="2"/>
      <c r="B178" s="34">
        <f t="shared" si="0"/>
        <v>11</v>
      </c>
      <c r="C178" s="34" t="s">
        <v>148</v>
      </c>
      <c r="D178" s="34"/>
      <c r="E178" s="34"/>
      <c r="F178" s="11" t="s">
        <v>497</v>
      </c>
      <c r="G178" s="11" t="s">
        <v>104</v>
      </c>
      <c r="H178" s="11" t="s">
        <v>1466</v>
      </c>
      <c r="I178" s="11"/>
      <c r="J178" s="11"/>
      <c r="K178" s="90">
        <f t="shared" si="1"/>
        <v>9</v>
      </c>
      <c r="L178" s="11">
        <v>107</v>
      </c>
      <c r="M178" s="11">
        <v>112</v>
      </c>
      <c r="N178" s="11">
        <v>106</v>
      </c>
      <c r="O178" s="11">
        <v>210</v>
      </c>
      <c r="P178" s="11">
        <v>131</v>
      </c>
      <c r="Q178" s="11">
        <v>74</v>
      </c>
      <c r="R178" s="11">
        <f t="shared" si="2"/>
        <v>123</v>
      </c>
      <c r="S178" s="34"/>
    </row>
    <row r="179" spans="1:19" ht="14.25" customHeight="1" x14ac:dyDescent="0.25">
      <c r="A179" s="2"/>
      <c r="B179" s="34">
        <f t="shared" si="0"/>
        <v>15</v>
      </c>
      <c r="C179" s="34" t="s">
        <v>148</v>
      </c>
      <c r="D179" s="34"/>
      <c r="E179" s="34"/>
      <c r="F179" s="11" t="s">
        <v>974</v>
      </c>
      <c r="G179" s="11" t="s">
        <v>214</v>
      </c>
      <c r="H179" s="11" t="s">
        <v>762</v>
      </c>
      <c r="I179" s="11"/>
      <c r="J179" s="11"/>
      <c r="K179" s="90">
        <f t="shared" si="1"/>
        <v>15</v>
      </c>
      <c r="L179" s="11">
        <v>175</v>
      </c>
      <c r="M179" s="11">
        <v>154</v>
      </c>
      <c r="N179" s="11">
        <v>189</v>
      </c>
      <c r="O179" s="11">
        <v>142</v>
      </c>
      <c r="P179" s="11">
        <v>155</v>
      </c>
      <c r="Q179" s="11">
        <v>213</v>
      </c>
      <c r="R179" s="11">
        <f t="shared" si="2"/>
        <v>171</v>
      </c>
      <c r="S179" s="34"/>
    </row>
    <row r="180" spans="1:19" ht="14.25" customHeight="1" x14ac:dyDescent="0.25">
      <c r="A180" s="2"/>
      <c r="B180" s="34">
        <f t="shared" si="0"/>
        <v>12</v>
      </c>
      <c r="C180" s="34" t="s">
        <v>148</v>
      </c>
      <c r="D180" s="34"/>
      <c r="E180" s="34"/>
      <c r="F180" s="11" t="s">
        <v>984</v>
      </c>
      <c r="G180" s="11" t="s">
        <v>69</v>
      </c>
      <c r="H180" s="11" t="s">
        <v>772</v>
      </c>
      <c r="I180" s="11"/>
      <c r="J180" s="11"/>
      <c r="K180" s="90">
        <f t="shared" si="1"/>
        <v>9</v>
      </c>
      <c r="L180" s="11">
        <v>100</v>
      </c>
      <c r="M180" s="11">
        <v>138</v>
      </c>
      <c r="N180" s="11">
        <v>124</v>
      </c>
      <c r="O180" s="11">
        <v>207</v>
      </c>
      <c r="P180" s="11" t="s">
        <v>36</v>
      </c>
      <c r="Q180" s="11">
        <v>95</v>
      </c>
      <c r="R180" s="11">
        <f t="shared" si="2"/>
        <v>132</v>
      </c>
      <c r="S180" s="34"/>
    </row>
    <row r="181" spans="1:19" ht="14.25" customHeight="1" x14ac:dyDescent="0.25">
      <c r="A181" s="2"/>
      <c r="B181" s="34">
        <f t="shared" si="0"/>
        <v>12</v>
      </c>
      <c r="C181" s="34" t="s">
        <v>148</v>
      </c>
      <c r="D181" s="34"/>
      <c r="E181" s="34"/>
      <c r="F181" s="11" t="s">
        <v>1237</v>
      </c>
      <c r="G181" s="11" t="s">
        <v>55</v>
      </c>
      <c r="H181" s="11" t="s">
        <v>772</v>
      </c>
      <c r="I181" s="11"/>
      <c r="J181" s="11"/>
      <c r="K181" s="90">
        <f t="shared" si="1"/>
        <v>10</v>
      </c>
      <c r="L181" s="11">
        <v>115</v>
      </c>
      <c r="M181" s="11">
        <v>153</v>
      </c>
      <c r="N181" s="11">
        <v>130</v>
      </c>
      <c r="O181" s="11">
        <v>216</v>
      </c>
      <c r="P181" s="11" t="s">
        <v>36</v>
      </c>
      <c r="Q181" s="11">
        <v>83</v>
      </c>
      <c r="R181" s="11">
        <f t="shared" si="2"/>
        <v>139</v>
      </c>
      <c r="S181" s="34"/>
    </row>
    <row r="182" spans="1:19" ht="14.25" customHeight="1" x14ac:dyDescent="0.25">
      <c r="A182" s="2"/>
      <c r="B182" s="34">
        <f t="shared" si="0"/>
        <v>15</v>
      </c>
      <c r="C182" s="34" t="s">
        <v>148</v>
      </c>
      <c r="D182" s="34"/>
      <c r="E182" s="34"/>
      <c r="F182" s="11" t="s">
        <v>1469</v>
      </c>
      <c r="G182" s="11" t="s">
        <v>69</v>
      </c>
      <c r="H182" s="11" t="s">
        <v>769</v>
      </c>
      <c r="I182" s="11"/>
      <c r="J182" s="11"/>
      <c r="K182" s="90">
        <f t="shared" si="1"/>
        <v>16</v>
      </c>
      <c r="L182" s="11">
        <v>190</v>
      </c>
      <c r="M182" s="11">
        <v>168</v>
      </c>
      <c r="N182" s="11">
        <v>191</v>
      </c>
      <c r="O182" s="11">
        <v>117</v>
      </c>
      <c r="P182" s="11">
        <v>147</v>
      </c>
      <c r="Q182" s="11">
        <v>195</v>
      </c>
      <c r="R182" s="11">
        <f t="shared" si="2"/>
        <v>168</v>
      </c>
      <c r="S182" s="34"/>
    </row>
    <row r="183" spans="1:19" ht="14.25" customHeight="1" x14ac:dyDescent="0.25">
      <c r="B183" s="34">
        <f t="shared" si="0"/>
        <v>15</v>
      </c>
      <c r="C183" s="34" t="s">
        <v>148</v>
      </c>
      <c r="D183" s="34"/>
      <c r="E183" s="34"/>
      <c r="F183" s="11" t="s">
        <v>1470</v>
      </c>
      <c r="G183" s="11" t="s">
        <v>126</v>
      </c>
      <c r="H183" s="11" t="s">
        <v>760</v>
      </c>
      <c r="I183" s="11"/>
      <c r="J183" s="11"/>
      <c r="K183" s="90">
        <f t="shared" si="1"/>
        <v>24</v>
      </c>
      <c r="L183" s="90">
        <v>286.5</v>
      </c>
      <c r="M183" s="11">
        <v>252</v>
      </c>
      <c r="N183" s="90" t="s">
        <v>1471</v>
      </c>
      <c r="O183" s="90">
        <v>0</v>
      </c>
      <c r="P183" s="90">
        <v>0</v>
      </c>
      <c r="Q183" s="90">
        <v>303</v>
      </c>
      <c r="R183" s="11">
        <f t="shared" si="2"/>
        <v>168</v>
      </c>
      <c r="S183" s="11"/>
    </row>
    <row r="184" spans="1:19" ht="14.25" customHeight="1" x14ac:dyDescent="0.25">
      <c r="A184" s="2"/>
      <c r="B184" s="34">
        <f t="shared" si="0"/>
        <v>13</v>
      </c>
      <c r="C184" s="34" t="s">
        <v>148</v>
      </c>
      <c r="D184" s="34"/>
      <c r="E184" s="34"/>
      <c r="F184" s="11" t="s">
        <v>937</v>
      </c>
      <c r="G184" s="11" t="s">
        <v>129</v>
      </c>
      <c r="H184" s="11" t="s">
        <v>1466</v>
      </c>
      <c r="I184" s="11"/>
      <c r="J184" s="11"/>
      <c r="K184" s="90">
        <f t="shared" si="1"/>
        <v>10</v>
      </c>
      <c r="L184" s="11">
        <v>108</v>
      </c>
      <c r="M184" s="11">
        <v>158</v>
      </c>
      <c r="N184" s="11">
        <v>137</v>
      </c>
      <c r="O184" s="11">
        <v>220</v>
      </c>
      <c r="P184" s="11">
        <v>153</v>
      </c>
      <c r="Q184" s="11">
        <v>110</v>
      </c>
      <c r="R184" s="11">
        <f t="shared" si="2"/>
        <v>147</v>
      </c>
      <c r="S184" s="34"/>
    </row>
    <row r="185" spans="1:19" ht="14.25" customHeight="1" x14ac:dyDescent="0.25">
      <c r="A185" s="2"/>
      <c r="B185" s="34">
        <f t="shared" si="0"/>
        <v>15</v>
      </c>
      <c r="C185" s="34" t="s">
        <v>148</v>
      </c>
      <c r="D185" s="34"/>
      <c r="E185" s="34"/>
      <c r="F185" s="11" t="s">
        <v>1276</v>
      </c>
      <c r="G185" s="11" t="s">
        <v>168</v>
      </c>
      <c r="H185" s="11" t="s">
        <v>760</v>
      </c>
      <c r="I185" s="11"/>
      <c r="J185" s="11"/>
      <c r="K185" s="90">
        <f t="shared" si="1"/>
        <v>14</v>
      </c>
      <c r="L185" s="11">
        <v>158</v>
      </c>
      <c r="M185" s="11">
        <v>171</v>
      </c>
      <c r="N185" s="11">
        <v>176</v>
      </c>
      <c r="O185" s="11">
        <v>165</v>
      </c>
      <c r="P185" s="11">
        <v>175</v>
      </c>
      <c r="Q185" s="11">
        <v>180</v>
      </c>
      <c r="R185" s="11">
        <f t="shared" si="2"/>
        <v>170</v>
      </c>
      <c r="S185" s="34"/>
    </row>
    <row r="186" spans="1:19" ht="14.25" customHeight="1" x14ac:dyDescent="0.25">
      <c r="A186" s="2"/>
      <c r="B186" s="34">
        <f t="shared" si="0"/>
        <v>15</v>
      </c>
      <c r="C186" s="34" t="s">
        <v>148</v>
      </c>
      <c r="D186" s="34"/>
      <c r="E186" s="34" t="s">
        <v>148</v>
      </c>
      <c r="F186" s="11" t="s">
        <v>1166</v>
      </c>
      <c r="G186" s="11" t="s">
        <v>123</v>
      </c>
      <c r="H186" s="11" t="s">
        <v>762</v>
      </c>
      <c r="I186" s="11" t="s">
        <v>1460</v>
      </c>
      <c r="J186" s="11"/>
      <c r="K186" s="90">
        <f t="shared" si="1"/>
        <v>15</v>
      </c>
      <c r="L186" s="11">
        <v>171</v>
      </c>
      <c r="M186" s="11">
        <v>161</v>
      </c>
      <c r="N186" s="11">
        <v>195</v>
      </c>
      <c r="O186" s="11">
        <v>126</v>
      </c>
      <c r="P186" s="11">
        <v>139</v>
      </c>
      <c r="Q186" s="11">
        <v>248</v>
      </c>
      <c r="R186" s="11">
        <f t="shared" si="2"/>
        <v>173</v>
      </c>
      <c r="S186" s="34"/>
    </row>
    <row r="187" spans="1:19" ht="14.25" customHeight="1" x14ac:dyDescent="0.25">
      <c r="A187" s="2"/>
      <c r="B187" s="34">
        <f t="shared" si="0"/>
        <v>13</v>
      </c>
      <c r="C187" s="34" t="s">
        <v>148</v>
      </c>
      <c r="D187" s="34"/>
      <c r="E187" s="34"/>
      <c r="F187" s="11" t="s">
        <v>609</v>
      </c>
      <c r="G187" s="11" t="s">
        <v>155</v>
      </c>
      <c r="H187" s="11" t="s">
        <v>1466</v>
      </c>
      <c r="I187" s="11"/>
      <c r="J187" s="11"/>
      <c r="K187" s="90">
        <f t="shared" si="1"/>
        <v>9</v>
      </c>
      <c r="L187" s="11">
        <v>103</v>
      </c>
      <c r="M187" s="11">
        <v>159</v>
      </c>
      <c r="N187" s="11">
        <v>129</v>
      </c>
      <c r="O187" s="11">
        <v>214</v>
      </c>
      <c r="P187" s="11">
        <v>177</v>
      </c>
      <c r="Q187" s="11">
        <v>106</v>
      </c>
      <c r="R187" s="11">
        <f t="shared" si="2"/>
        <v>148</v>
      </c>
      <c r="S187" s="34"/>
    </row>
    <row r="188" spans="1:19" ht="14.25" customHeight="1" x14ac:dyDescent="0.25">
      <c r="A188" s="2"/>
      <c r="B188" s="34">
        <f t="shared" si="0"/>
        <v>15</v>
      </c>
      <c r="C188" s="34" t="s">
        <v>148</v>
      </c>
      <c r="D188" s="34"/>
      <c r="E188" s="34"/>
      <c r="F188" s="11" t="s">
        <v>1473</v>
      </c>
      <c r="G188" s="11" t="s">
        <v>60</v>
      </c>
      <c r="H188" s="11" t="s">
        <v>769</v>
      </c>
      <c r="I188" s="11"/>
      <c r="J188" s="11"/>
      <c r="K188" s="90">
        <f t="shared" si="1"/>
        <v>18</v>
      </c>
      <c r="L188" s="11">
        <v>213</v>
      </c>
      <c r="M188" s="11">
        <v>172</v>
      </c>
      <c r="N188" s="11">
        <v>169</v>
      </c>
      <c r="O188" s="11">
        <v>123</v>
      </c>
      <c r="P188" s="11">
        <v>149</v>
      </c>
      <c r="Q188" s="11">
        <v>200</v>
      </c>
      <c r="R188" s="11">
        <f t="shared" si="2"/>
        <v>171</v>
      </c>
      <c r="S188" s="34"/>
    </row>
    <row r="189" spans="1:19" ht="14.25" customHeight="1" x14ac:dyDescent="0.25">
      <c r="A189" s="2"/>
      <c r="B189" s="34">
        <f t="shared" si="0"/>
        <v>15</v>
      </c>
      <c r="C189" s="34" t="s">
        <v>148</v>
      </c>
      <c r="D189" s="34"/>
      <c r="E189" s="34"/>
      <c r="F189" s="11" t="s">
        <v>1474</v>
      </c>
      <c r="G189" s="11" t="s">
        <v>160</v>
      </c>
      <c r="H189" s="11" t="s">
        <v>760</v>
      </c>
      <c r="I189" s="11"/>
      <c r="J189" s="11"/>
      <c r="K189" s="90">
        <f t="shared" si="1"/>
        <v>13</v>
      </c>
      <c r="L189" s="11">
        <v>152</v>
      </c>
      <c r="M189" s="11">
        <v>156</v>
      </c>
      <c r="N189" s="11">
        <v>193</v>
      </c>
      <c r="O189" s="11">
        <v>168</v>
      </c>
      <c r="P189" s="11">
        <v>181</v>
      </c>
      <c r="Q189" s="11">
        <v>192</v>
      </c>
      <c r="R189" s="11">
        <f t="shared" si="2"/>
        <v>173</v>
      </c>
      <c r="S189" s="34"/>
    </row>
    <row r="190" spans="1:19" ht="14.25" customHeight="1" x14ac:dyDescent="0.25">
      <c r="A190" s="2"/>
      <c r="B190" s="34">
        <f t="shared" si="0"/>
        <v>14</v>
      </c>
      <c r="C190" s="34" t="s">
        <v>148</v>
      </c>
      <c r="D190" s="34"/>
      <c r="E190" s="34"/>
      <c r="F190" s="11" t="s">
        <v>551</v>
      </c>
      <c r="G190" s="11" t="s">
        <v>85</v>
      </c>
      <c r="H190" s="11" t="s">
        <v>1466</v>
      </c>
      <c r="I190" s="11"/>
      <c r="J190" s="11"/>
      <c r="K190" s="90">
        <f t="shared" si="1"/>
        <v>10</v>
      </c>
      <c r="L190" s="11">
        <v>114</v>
      </c>
      <c r="M190" s="11">
        <v>143</v>
      </c>
      <c r="N190" s="11">
        <v>175</v>
      </c>
      <c r="O190" s="11">
        <v>222</v>
      </c>
      <c r="P190" s="11">
        <v>168</v>
      </c>
      <c r="Q190" s="11">
        <v>119</v>
      </c>
      <c r="R190" s="11">
        <f t="shared" si="2"/>
        <v>156</v>
      </c>
      <c r="S190" s="34"/>
    </row>
    <row r="191" spans="1:19" ht="14.25" customHeight="1" x14ac:dyDescent="0.25">
      <c r="A191" s="2"/>
      <c r="B191" s="34">
        <f t="shared" si="0"/>
        <v>14</v>
      </c>
      <c r="C191" s="34" t="s">
        <v>148</v>
      </c>
      <c r="D191" s="34"/>
      <c r="E191" s="34"/>
      <c r="F191" s="11" t="s">
        <v>1224</v>
      </c>
      <c r="G191" s="11" t="s">
        <v>35</v>
      </c>
      <c r="H191" s="11" t="s">
        <v>772</v>
      </c>
      <c r="I191" s="11"/>
      <c r="J191" s="11"/>
      <c r="K191" s="90">
        <f t="shared" si="1"/>
        <v>11</v>
      </c>
      <c r="L191" s="11">
        <v>131</v>
      </c>
      <c r="M191" s="11">
        <v>206</v>
      </c>
      <c r="N191" s="11">
        <v>120</v>
      </c>
      <c r="O191" s="11">
        <v>235</v>
      </c>
      <c r="P191" s="11" t="s">
        <v>36</v>
      </c>
      <c r="Q191" s="11">
        <v>98</v>
      </c>
      <c r="R191" s="11">
        <f t="shared" si="2"/>
        <v>158</v>
      </c>
      <c r="S191" s="34"/>
    </row>
    <row r="192" spans="1:19" ht="14.25" customHeight="1" x14ac:dyDescent="0.25">
      <c r="A192" s="2"/>
      <c r="B192" s="34">
        <f t="shared" si="0"/>
        <v>14</v>
      </c>
      <c r="C192" s="34" t="s">
        <v>148</v>
      </c>
      <c r="D192" s="34"/>
      <c r="E192" s="34"/>
      <c r="F192" s="11" t="s">
        <v>512</v>
      </c>
      <c r="G192" s="11" t="s">
        <v>72</v>
      </c>
      <c r="H192" s="11" t="s">
        <v>1466</v>
      </c>
      <c r="I192" s="11"/>
      <c r="J192" s="11"/>
      <c r="K192" s="90">
        <f t="shared" si="1"/>
        <v>12</v>
      </c>
      <c r="L192" s="11">
        <v>139</v>
      </c>
      <c r="M192" s="11">
        <v>146</v>
      </c>
      <c r="N192" s="11">
        <v>151</v>
      </c>
      <c r="O192" s="11">
        <v>233</v>
      </c>
      <c r="P192" s="11">
        <v>195</v>
      </c>
      <c r="Q192" s="11">
        <v>121</v>
      </c>
      <c r="R192" s="11">
        <f t="shared" si="2"/>
        <v>164</v>
      </c>
      <c r="S192" s="34"/>
    </row>
    <row r="193" spans="1:19" ht="14.25" customHeight="1" x14ac:dyDescent="0.25">
      <c r="A193" s="2"/>
      <c r="B193" s="34">
        <f t="shared" si="0"/>
        <v>15</v>
      </c>
      <c r="C193" s="34" t="s">
        <v>148</v>
      </c>
      <c r="D193" s="34"/>
      <c r="E193" s="34"/>
      <c r="F193" s="11" t="s">
        <v>966</v>
      </c>
      <c r="G193" s="11" t="s">
        <v>199</v>
      </c>
      <c r="H193" s="11" t="s">
        <v>760</v>
      </c>
      <c r="I193" s="11"/>
      <c r="J193" s="11"/>
      <c r="K193" s="90">
        <f t="shared" si="1"/>
        <v>15</v>
      </c>
      <c r="L193" s="11">
        <v>169</v>
      </c>
      <c r="M193" s="11">
        <v>166</v>
      </c>
      <c r="N193" s="11">
        <v>196</v>
      </c>
      <c r="O193" s="11">
        <v>161</v>
      </c>
      <c r="P193" s="11">
        <v>171</v>
      </c>
      <c r="Q193" s="11">
        <v>208</v>
      </c>
      <c r="R193" s="11">
        <f t="shared" si="2"/>
        <v>178</v>
      </c>
      <c r="S193" s="34"/>
    </row>
    <row r="194" spans="1:19" ht="14.25" customHeight="1" x14ac:dyDescent="0.25">
      <c r="A194" s="2"/>
      <c r="B194" s="34">
        <f t="shared" si="0"/>
        <v>15</v>
      </c>
      <c r="C194" s="34" t="s">
        <v>148</v>
      </c>
      <c r="D194" s="34"/>
      <c r="E194" s="34"/>
      <c r="F194" s="11" t="s">
        <v>1476</v>
      </c>
      <c r="G194" s="11" t="s">
        <v>60</v>
      </c>
      <c r="H194" s="11" t="s">
        <v>760</v>
      </c>
      <c r="I194" s="11"/>
      <c r="J194" s="11"/>
      <c r="K194" s="90">
        <f t="shared" si="1"/>
        <v>13</v>
      </c>
      <c r="L194" s="11">
        <v>154</v>
      </c>
      <c r="M194" s="11">
        <v>169</v>
      </c>
      <c r="N194" s="11">
        <v>197</v>
      </c>
      <c r="O194" s="11">
        <v>177</v>
      </c>
      <c r="P194" s="11">
        <v>180</v>
      </c>
      <c r="Q194" s="11">
        <v>202</v>
      </c>
      <c r="R194" s="11">
        <f t="shared" si="2"/>
        <v>179</v>
      </c>
      <c r="S194" s="11"/>
    </row>
    <row r="195" spans="1:19" ht="14.25" customHeight="1" x14ac:dyDescent="0.25">
      <c r="B195" s="34">
        <f t="shared" si="0"/>
        <v>15</v>
      </c>
      <c r="C195" s="34" t="s">
        <v>148</v>
      </c>
      <c r="D195" s="34"/>
      <c r="E195" s="34"/>
      <c r="F195" s="11" t="s">
        <v>1477</v>
      </c>
      <c r="G195" s="11" t="s">
        <v>184</v>
      </c>
      <c r="H195" s="11" t="s">
        <v>760</v>
      </c>
      <c r="I195" s="11"/>
      <c r="J195" s="11"/>
      <c r="K195" s="90">
        <f t="shared" si="1"/>
        <v>26</v>
      </c>
      <c r="L195" s="90">
        <v>304</v>
      </c>
      <c r="M195" s="11">
        <v>274</v>
      </c>
      <c r="N195" s="90" t="s">
        <v>1478</v>
      </c>
      <c r="O195" s="90">
        <v>0</v>
      </c>
      <c r="P195" s="90">
        <v>0</v>
      </c>
      <c r="Q195" s="90">
        <v>321</v>
      </c>
      <c r="R195" s="11">
        <f t="shared" si="2"/>
        <v>179</v>
      </c>
      <c r="S195" s="11"/>
    </row>
    <row r="196" spans="1:19" ht="14.25" customHeight="1" x14ac:dyDescent="0.25">
      <c r="A196" s="2"/>
      <c r="B196" s="34">
        <f t="shared" si="0"/>
        <v>16</v>
      </c>
      <c r="C196" s="34" t="s">
        <v>148</v>
      </c>
      <c r="D196" s="34"/>
      <c r="E196" s="34"/>
      <c r="F196" s="11" t="s">
        <v>1278</v>
      </c>
      <c r="G196" s="11" t="s">
        <v>163</v>
      </c>
      <c r="H196" s="11" t="s">
        <v>769</v>
      </c>
      <c r="I196" s="11"/>
      <c r="J196" s="11"/>
      <c r="K196" s="90">
        <f t="shared" si="1"/>
        <v>13</v>
      </c>
      <c r="L196" s="11">
        <v>147</v>
      </c>
      <c r="M196" s="11">
        <v>225</v>
      </c>
      <c r="N196" s="11">
        <v>212</v>
      </c>
      <c r="O196" s="11">
        <v>158</v>
      </c>
      <c r="P196" s="11">
        <v>188</v>
      </c>
      <c r="Q196" s="11">
        <v>159</v>
      </c>
      <c r="R196" s="11">
        <f t="shared" si="2"/>
        <v>181</v>
      </c>
      <c r="S196" s="34"/>
    </row>
    <row r="197" spans="1:19" ht="14.25" customHeight="1" x14ac:dyDescent="0.25">
      <c r="A197" s="2"/>
      <c r="B197" s="34">
        <f t="shared" si="0"/>
        <v>16</v>
      </c>
      <c r="C197" s="34" t="s">
        <v>148</v>
      </c>
      <c r="D197" s="34"/>
      <c r="E197" s="34"/>
      <c r="F197" s="11" t="s">
        <v>1209</v>
      </c>
      <c r="G197" s="11" t="s">
        <v>60</v>
      </c>
      <c r="H197" s="11" t="s">
        <v>762</v>
      </c>
      <c r="I197" s="11"/>
      <c r="J197" s="11"/>
      <c r="K197" s="90" t="e">
        <f t="shared" si="1"/>
        <v>#DIV/0!</v>
      </c>
      <c r="L197" s="11" t="s">
        <v>36</v>
      </c>
      <c r="M197" s="11">
        <v>164</v>
      </c>
      <c r="N197" s="11">
        <v>168</v>
      </c>
      <c r="O197" s="11">
        <v>160</v>
      </c>
      <c r="P197" s="11">
        <v>157</v>
      </c>
      <c r="Q197" s="11">
        <v>261</v>
      </c>
      <c r="R197" s="11">
        <f t="shared" si="2"/>
        <v>182</v>
      </c>
      <c r="S197" s="11"/>
    </row>
    <row r="198" spans="1:19" ht="14.25" customHeight="1" x14ac:dyDescent="0.25">
      <c r="A198" s="2"/>
      <c r="B198" s="34">
        <f t="shared" si="0"/>
        <v>16</v>
      </c>
      <c r="C198" s="34" t="s">
        <v>148</v>
      </c>
      <c r="D198" s="34"/>
      <c r="E198" s="34"/>
      <c r="F198" s="11" t="s">
        <v>1479</v>
      </c>
      <c r="G198" s="11" t="s">
        <v>145</v>
      </c>
      <c r="H198" s="11" t="s">
        <v>769</v>
      </c>
      <c r="I198" s="11"/>
      <c r="J198" s="11"/>
      <c r="K198" s="90">
        <f t="shared" si="1"/>
        <v>19</v>
      </c>
      <c r="L198" s="11">
        <v>217</v>
      </c>
      <c r="M198" s="11">
        <v>181</v>
      </c>
      <c r="N198" s="11">
        <v>165</v>
      </c>
      <c r="O198" s="11">
        <v>127</v>
      </c>
      <c r="P198" s="11">
        <v>164</v>
      </c>
      <c r="Q198" s="11">
        <v>234</v>
      </c>
      <c r="R198" s="11">
        <f t="shared" si="2"/>
        <v>181</v>
      </c>
      <c r="S198" s="34"/>
    </row>
    <row r="199" spans="1:19" ht="14.25" customHeight="1" x14ac:dyDescent="0.25">
      <c r="A199" s="2"/>
      <c r="B199" s="34">
        <f t="shared" si="0"/>
        <v>13</v>
      </c>
      <c r="C199" s="34" t="s">
        <v>148</v>
      </c>
      <c r="D199" s="34">
        <v>1</v>
      </c>
      <c r="E199" s="34"/>
      <c r="F199" s="11" t="s">
        <v>71</v>
      </c>
      <c r="G199" s="11" t="s">
        <v>72</v>
      </c>
      <c r="H199" s="11" t="s">
        <v>764</v>
      </c>
      <c r="I199" s="11"/>
      <c r="J199" s="11"/>
      <c r="K199" s="90">
        <f t="shared" si="1"/>
        <v>14</v>
      </c>
      <c r="L199" s="11">
        <v>165</v>
      </c>
      <c r="M199" s="11">
        <v>148</v>
      </c>
      <c r="N199" s="11">
        <v>135</v>
      </c>
      <c r="O199" s="11">
        <v>151</v>
      </c>
      <c r="P199" s="11">
        <v>151</v>
      </c>
      <c r="Q199" s="11">
        <v>164</v>
      </c>
      <c r="R199" s="11">
        <f t="shared" si="2"/>
        <v>152</v>
      </c>
      <c r="S199" s="34"/>
    </row>
    <row r="200" spans="1:19" ht="14.25" customHeight="1" x14ac:dyDescent="0.25">
      <c r="A200" s="2"/>
      <c r="B200" s="34">
        <f t="shared" si="0"/>
        <v>15</v>
      </c>
      <c r="C200" s="34" t="s">
        <v>148</v>
      </c>
      <c r="D200" s="34"/>
      <c r="E200" s="34"/>
      <c r="F200" s="11" t="s">
        <v>985</v>
      </c>
      <c r="G200" s="11" t="s">
        <v>163</v>
      </c>
      <c r="H200" s="11" t="s">
        <v>772</v>
      </c>
      <c r="I200" s="11"/>
      <c r="J200" s="11"/>
      <c r="K200" s="90">
        <f t="shared" si="1"/>
        <v>15</v>
      </c>
      <c r="L200" s="11">
        <v>177</v>
      </c>
      <c r="M200" s="11">
        <v>203</v>
      </c>
      <c r="N200" s="11">
        <v>141</v>
      </c>
      <c r="O200" s="11">
        <v>219</v>
      </c>
      <c r="P200" s="11" t="s">
        <v>36</v>
      </c>
      <c r="Q200" s="11">
        <v>128</v>
      </c>
      <c r="R200" s="11">
        <f t="shared" si="2"/>
        <v>173</v>
      </c>
      <c r="S200" s="11"/>
    </row>
    <row r="201" spans="1:19" ht="14.25" customHeight="1" x14ac:dyDescent="0.25">
      <c r="A201" s="2"/>
      <c r="B201" s="34">
        <f t="shared" si="0"/>
        <v>16</v>
      </c>
      <c r="C201" s="34" t="s">
        <v>148</v>
      </c>
      <c r="D201" s="34"/>
      <c r="E201" s="34"/>
      <c r="F201" s="11" t="s">
        <v>1197</v>
      </c>
      <c r="G201" s="11" t="s">
        <v>104</v>
      </c>
      <c r="H201" s="11" t="s">
        <v>762</v>
      </c>
      <c r="I201" s="11"/>
      <c r="J201" s="11"/>
      <c r="K201" s="90">
        <f t="shared" si="1"/>
        <v>15</v>
      </c>
      <c r="L201" s="11">
        <v>170</v>
      </c>
      <c r="M201" s="11">
        <v>178</v>
      </c>
      <c r="N201" s="11">
        <v>184</v>
      </c>
      <c r="O201" s="11">
        <v>138</v>
      </c>
      <c r="P201" s="11">
        <v>161</v>
      </c>
      <c r="Q201" s="11">
        <v>273</v>
      </c>
      <c r="R201" s="11">
        <f t="shared" si="2"/>
        <v>184</v>
      </c>
      <c r="S201" s="34"/>
    </row>
    <row r="202" spans="1:19" ht="14.25" customHeight="1" x14ac:dyDescent="0.25">
      <c r="B202" s="34">
        <f t="shared" si="0"/>
        <v>15</v>
      </c>
      <c r="C202" s="34" t="s">
        <v>148</v>
      </c>
      <c r="D202" s="34"/>
      <c r="E202" s="34"/>
      <c r="F202" s="11" t="s">
        <v>1231</v>
      </c>
      <c r="G202" s="11" t="s">
        <v>229</v>
      </c>
      <c r="H202" s="11" t="s">
        <v>772</v>
      </c>
      <c r="I202" s="11"/>
      <c r="J202" s="11"/>
      <c r="K202" s="90">
        <f t="shared" si="1"/>
        <v>24</v>
      </c>
      <c r="L202" s="90">
        <v>286</v>
      </c>
      <c r="M202" s="11">
        <v>251</v>
      </c>
      <c r="N202" s="90" t="s">
        <v>1482</v>
      </c>
      <c r="O202" s="90">
        <v>0</v>
      </c>
      <c r="P202" s="90">
        <v>0</v>
      </c>
      <c r="Q202" s="90">
        <v>346</v>
      </c>
      <c r="R202" s="11">
        <f t="shared" si="2"/>
        <v>176</v>
      </c>
      <c r="S202" s="11"/>
    </row>
    <row r="203" spans="1:19" ht="14.25" customHeight="1" x14ac:dyDescent="0.25">
      <c r="A203" s="2"/>
      <c r="B203" s="34">
        <f t="shared" si="0"/>
        <v>16</v>
      </c>
      <c r="C203" s="34" t="s">
        <v>148</v>
      </c>
      <c r="D203" s="34"/>
      <c r="E203" s="34"/>
      <c r="F203" s="11" t="s">
        <v>1483</v>
      </c>
      <c r="G203" s="11" t="s">
        <v>123</v>
      </c>
      <c r="H203" s="11" t="s">
        <v>772</v>
      </c>
      <c r="I203" s="11"/>
      <c r="J203" s="11"/>
      <c r="K203" s="90">
        <f t="shared" si="1"/>
        <v>14</v>
      </c>
      <c r="L203" s="11">
        <v>161</v>
      </c>
      <c r="M203" s="11">
        <v>224</v>
      </c>
      <c r="N203" s="11">
        <v>164</v>
      </c>
      <c r="O203" s="11">
        <v>223</v>
      </c>
      <c r="P203" s="11" t="s">
        <v>36</v>
      </c>
      <c r="Q203" s="11">
        <v>140</v>
      </c>
      <c r="R203" s="11">
        <f t="shared" si="2"/>
        <v>182</v>
      </c>
      <c r="S203" s="11"/>
    </row>
    <row r="204" spans="1:19" ht="14.25" customHeight="1" x14ac:dyDescent="0.25">
      <c r="A204" s="2"/>
      <c r="B204" s="34">
        <f t="shared" si="0"/>
        <v>16</v>
      </c>
      <c r="C204" s="34" t="s">
        <v>148</v>
      </c>
      <c r="D204" s="34"/>
      <c r="E204" s="34"/>
      <c r="F204" s="11" t="s">
        <v>936</v>
      </c>
      <c r="G204" s="11" t="s">
        <v>94</v>
      </c>
      <c r="H204" s="11" t="s">
        <v>760</v>
      </c>
      <c r="I204" s="11"/>
      <c r="J204" s="11"/>
      <c r="K204" s="90">
        <f t="shared" si="1"/>
        <v>12</v>
      </c>
      <c r="L204" s="11">
        <v>133</v>
      </c>
      <c r="M204" s="11">
        <v>175</v>
      </c>
      <c r="N204" s="11">
        <v>207</v>
      </c>
      <c r="O204" s="11">
        <v>190</v>
      </c>
      <c r="P204" s="11">
        <v>197</v>
      </c>
      <c r="Q204" s="11">
        <v>203</v>
      </c>
      <c r="R204" s="11">
        <f t="shared" si="2"/>
        <v>184</v>
      </c>
      <c r="S204" s="11"/>
    </row>
    <row r="205" spans="1:19" ht="14.25" customHeight="1" x14ac:dyDescent="0.25">
      <c r="A205" s="2"/>
      <c r="B205" s="34">
        <f t="shared" si="0"/>
        <v>16</v>
      </c>
      <c r="C205" s="34" t="s">
        <v>148</v>
      </c>
      <c r="D205" s="34"/>
      <c r="E205" s="34"/>
      <c r="F205" s="11" t="s">
        <v>1484</v>
      </c>
      <c r="G205" s="11" t="s">
        <v>88</v>
      </c>
      <c r="H205" s="11" t="s">
        <v>762</v>
      </c>
      <c r="I205" s="11"/>
      <c r="J205" s="11"/>
      <c r="K205" s="90">
        <f t="shared" si="1"/>
        <v>17</v>
      </c>
      <c r="L205" s="11">
        <v>203</v>
      </c>
      <c r="M205" s="11">
        <v>184</v>
      </c>
      <c r="N205" s="11">
        <v>162</v>
      </c>
      <c r="O205" s="11">
        <v>157</v>
      </c>
      <c r="P205" s="11">
        <v>170</v>
      </c>
      <c r="Q205" s="11">
        <v>257</v>
      </c>
      <c r="R205" s="11">
        <f t="shared" si="2"/>
        <v>188</v>
      </c>
      <c r="S205" s="34"/>
    </row>
    <row r="206" spans="1:19" ht="14.25" customHeight="1" x14ac:dyDescent="0.25">
      <c r="A206" s="2"/>
      <c r="B206" s="34">
        <f t="shared" si="0"/>
        <v>16</v>
      </c>
      <c r="C206" s="34" t="s">
        <v>148</v>
      </c>
      <c r="D206" s="34"/>
      <c r="E206" s="34"/>
      <c r="F206" s="11" t="s">
        <v>1485</v>
      </c>
      <c r="G206" s="11" t="s">
        <v>36</v>
      </c>
      <c r="H206" s="11" t="s">
        <v>762</v>
      </c>
      <c r="I206" s="11"/>
      <c r="J206" s="11"/>
      <c r="K206" s="90">
        <f t="shared" si="1"/>
        <v>16</v>
      </c>
      <c r="L206" s="11">
        <v>189</v>
      </c>
      <c r="M206" s="11" t="s">
        <v>36</v>
      </c>
      <c r="N206" s="11">
        <v>270</v>
      </c>
      <c r="O206" s="11">
        <v>179</v>
      </c>
      <c r="P206" s="11">
        <v>178</v>
      </c>
      <c r="Q206" s="11">
        <v>134</v>
      </c>
      <c r="R206" s="11">
        <f t="shared" si="2"/>
        <v>190</v>
      </c>
      <c r="S206" s="11"/>
    </row>
    <row r="207" spans="1:19" ht="14.25" customHeight="1" x14ac:dyDescent="0.25">
      <c r="A207" s="2"/>
      <c r="B207" s="34">
        <f t="shared" si="0"/>
        <v>16</v>
      </c>
      <c r="C207" s="34" t="s">
        <v>148</v>
      </c>
      <c r="D207" s="34"/>
      <c r="E207" s="34"/>
      <c r="F207" s="11" t="s">
        <v>1486</v>
      </c>
      <c r="G207" s="11" t="s">
        <v>52</v>
      </c>
      <c r="H207" s="11" t="s">
        <v>769</v>
      </c>
      <c r="I207" s="11"/>
      <c r="J207" s="11"/>
      <c r="K207" s="90">
        <f t="shared" si="1"/>
        <v>14</v>
      </c>
      <c r="L207" s="11">
        <v>156</v>
      </c>
      <c r="M207" s="11">
        <v>212</v>
      </c>
      <c r="N207" s="11">
        <v>201</v>
      </c>
      <c r="O207" s="11">
        <v>167</v>
      </c>
      <c r="P207" s="11">
        <v>194</v>
      </c>
      <c r="Q207" s="11">
        <v>189</v>
      </c>
      <c r="R207" s="11">
        <f t="shared" si="2"/>
        <v>186</v>
      </c>
      <c r="S207" s="34"/>
    </row>
    <row r="208" spans="1:19" ht="14.25" customHeight="1" x14ac:dyDescent="0.25">
      <c r="A208" s="2"/>
      <c r="B208" s="34">
        <f t="shared" si="0"/>
        <v>16</v>
      </c>
      <c r="C208" s="34" t="s">
        <v>148</v>
      </c>
      <c r="D208" s="34"/>
      <c r="E208" s="34"/>
      <c r="F208" s="11" t="s">
        <v>519</v>
      </c>
      <c r="G208" s="11" t="s">
        <v>88</v>
      </c>
      <c r="H208" s="11" t="s">
        <v>1466</v>
      </c>
      <c r="I208" s="11"/>
      <c r="J208" s="11"/>
      <c r="K208" s="90">
        <f t="shared" si="1"/>
        <v>19</v>
      </c>
      <c r="L208" s="11">
        <v>225</v>
      </c>
      <c r="M208" s="11">
        <v>165</v>
      </c>
      <c r="N208" s="11">
        <v>172</v>
      </c>
      <c r="O208" s="11">
        <v>221</v>
      </c>
      <c r="P208" s="11">
        <v>173</v>
      </c>
      <c r="Q208" s="11">
        <v>142</v>
      </c>
      <c r="R208" s="11">
        <f t="shared" si="2"/>
        <v>183</v>
      </c>
      <c r="S208" s="34"/>
    </row>
    <row r="209" spans="1:19" ht="14.25" customHeight="1" x14ac:dyDescent="0.25">
      <c r="A209" s="2"/>
      <c r="B209" s="34">
        <f t="shared" si="0"/>
        <v>13</v>
      </c>
      <c r="C209" s="34" t="s">
        <v>148</v>
      </c>
      <c r="D209" s="34"/>
      <c r="E209" s="34"/>
      <c r="F209" s="11" t="s">
        <v>1288</v>
      </c>
      <c r="G209" s="11" t="s">
        <v>85</v>
      </c>
      <c r="H209" s="11" t="s">
        <v>764</v>
      </c>
      <c r="I209" s="11"/>
      <c r="J209" s="11"/>
      <c r="K209" s="90">
        <f t="shared" si="1"/>
        <v>14</v>
      </c>
      <c r="L209" s="11">
        <v>166</v>
      </c>
      <c r="M209" s="11">
        <v>135</v>
      </c>
      <c r="N209" s="11">
        <v>163</v>
      </c>
      <c r="O209" s="11">
        <v>159</v>
      </c>
      <c r="P209" s="11">
        <v>148</v>
      </c>
      <c r="Q209" s="11">
        <v>153</v>
      </c>
      <c r="R209" s="11">
        <f t="shared" si="2"/>
        <v>154</v>
      </c>
      <c r="S209" s="34"/>
    </row>
    <row r="210" spans="1:19" ht="14.25" customHeight="1" x14ac:dyDescent="0.25">
      <c r="A210" s="2"/>
      <c r="B210" s="34">
        <f t="shared" si="0"/>
        <v>16</v>
      </c>
      <c r="C210" s="34" t="s">
        <v>148</v>
      </c>
      <c r="D210" s="34"/>
      <c r="E210" s="34"/>
      <c r="F210" s="11" t="s">
        <v>619</v>
      </c>
      <c r="G210" s="11" t="s">
        <v>81</v>
      </c>
      <c r="H210" s="11" t="s">
        <v>760</v>
      </c>
      <c r="I210" s="11"/>
      <c r="J210" s="11"/>
      <c r="K210" s="90">
        <f t="shared" si="1"/>
        <v>13</v>
      </c>
      <c r="L210" s="11">
        <v>148</v>
      </c>
      <c r="M210" s="11">
        <v>173</v>
      </c>
      <c r="N210" s="11">
        <v>188</v>
      </c>
      <c r="O210" s="11">
        <v>204</v>
      </c>
      <c r="P210" s="11">
        <v>225</v>
      </c>
      <c r="Q210" s="11">
        <v>201</v>
      </c>
      <c r="R210" s="11">
        <f t="shared" si="2"/>
        <v>189</v>
      </c>
      <c r="S210" s="34"/>
    </row>
    <row r="211" spans="1:19" ht="14.25" customHeight="1" x14ac:dyDescent="0.25">
      <c r="A211" s="2"/>
      <c r="B211" s="34">
        <f t="shared" si="0"/>
        <v>16</v>
      </c>
      <c r="C211" s="34" t="s">
        <v>148</v>
      </c>
      <c r="D211" s="34"/>
      <c r="E211" s="34"/>
      <c r="F211" s="11" t="s">
        <v>1256</v>
      </c>
      <c r="G211" s="11" t="s">
        <v>72</v>
      </c>
      <c r="H211" s="11" t="s">
        <v>769</v>
      </c>
      <c r="I211" s="11"/>
      <c r="J211" s="11"/>
      <c r="K211" s="90">
        <f t="shared" si="1"/>
        <v>11</v>
      </c>
      <c r="L211" s="11">
        <v>130</v>
      </c>
      <c r="M211" s="11">
        <v>208</v>
      </c>
      <c r="N211" s="11">
        <v>194</v>
      </c>
      <c r="O211" s="11">
        <v>203</v>
      </c>
      <c r="P211" s="11">
        <v>233</v>
      </c>
      <c r="Q211" s="11">
        <v>172</v>
      </c>
      <c r="R211" s="11">
        <f t="shared" si="2"/>
        <v>190</v>
      </c>
      <c r="S211" s="34"/>
    </row>
    <row r="212" spans="1:19" ht="14.25" customHeight="1" x14ac:dyDescent="0.25">
      <c r="A212" s="2"/>
      <c r="B212" s="34">
        <f t="shared" si="0"/>
        <v>16</v>
      </c>
      <c r="C212" s="34" t="s">
        <v>148</v>
      </c>
      <c r="D212" s="34"/>
      <c r="E212" s="34"/>
      <c r="F212" s="11" t="s">
        <v>943</v>
      </c>
      <c r="G212" s="11" t="s">
        <v>163</v>
      </c>
      <c r="H212" s="11" t="s">
        <v>1466</v>
      </c>
      <c r="I212" s="11"/>
      <c r="J212" s="11"/>
      <c r="K212" s="90">
        <f t="shared" si="1"/>
        <v>18</v>
      </c>
      <c r="L212" s="11">
        <v>212</v>
      </c>
      <c r="M212" s="11">
        <v>182</v>
      </c>
      <c r="N212" s="11">
        <v>156</v>
      </c>
      <c r="O212" s="11">
        <v>231</v>
      </c>
      <c r="P212" s="11">
        <v>169</v>
      </c>
      <c r="Q212" s="11">
        <v>161</v>
      </c>
      <c r="R212" s="11">
        <f t="shared" si="2"/>
        <v>185</v>
      </c>
      <c r="S212" s="34"/>
    </row>
    <row r="213" spans="1:19" ht="14.25" customHeight="1" x14ac:dyDescent="0.25">
      <c r="A213" s="2"/>
      <c r="B213" s="34">
        <f t="shared" si="0"/>
        <v>16</v>
      </c>
      <c r="C213" s="34" t="s">
        <v>148</v>
      </c>
      <c r="D213" s="34"/>
      <c r="E213" s="34"/>
      <c r="F213" s="11" t="s">
        <v>469</v>
      </c>
      <c r="G213" s="11" t="s">
        <v>49</v>
      </c>
      <c r="H213" s="11" t="s">
        <v>1466</v>
      </c>
      <c r="I213" s="11"/>
      <c r="J213" s="11"/>
      <c r="K213" s="90">
        <f t="shared" si="1"/>
        <v>18</v>
      </c>
      <c r="L213" s="11">
        <v>207</v>
      </c>
      <c r="M213" s="11">
        <v>124</v>
      </c>
      <c r="N213" s="11">
        <v>198</v>
      </c>
      <c r="O213" s="11">
        <v>227</v>
      </c>
      <c r="P213" s="11">
        <v>198</v>
      </c>
      <c r="Q213" s="11">
        <v>170</v>
      </c>
      <c r="R213" s="11">
        <f t="shared" si="2"/>
        <v>187</v>
      </c>
      <c r="S213" s="34"/>
    </row>
    <row r="214" spans="1:19" ht="14.25" customHeight="1" x14ac:dyDescent="0.25">
      <c r="A214" s="2"/>
      <c r="B214" s="34">
        <f t="shared" si="0"/>
        <v>17</v>
      </c>
      <c r="C214" s="34" t="s">
        <v>148</v>
      </c>
      <c r="D214" s="34"/>
      <c r="E214" s="34"/>
      <c r="F214" s="11" t="s">
        <v>963</v>
      </c>
      <c r="G214" s="11" t="s">
        <v>214</v>
      </c>
      <c r="H214" s="11" t="s">
        <v>762</v>
      </c>
      <c r="I214" s="11"/>
      <c r="J214" s="11"/>
      <c r="K214" s="90">
        <f t="shared" si="1"/>
        <v>15</v>
      </c>
      <c r="L214" s="11">
        <v>168</v>
      </c>
      <c r="M214" s="11" t="s">
        <v>36</v>
      </c>
      <c r="N214" s="11" t="s">
        <v>36</v>
      </c>
      <c r="O214" s="11">
        <v>205</v>
      </c>
      <c r="P214" s="11">
        <v>208</v>
      </c>
      <c r="Q214" s="11">
        <v>196</v>
      </c>
      <c r="R214" s="11">
        <f t="shared" si="2"/>
        <v>194</v>
      </c>
      <c r="S214" s="11"/>
    </row>
    <row r="215" spans="1:19" ht="14.25" customHeight="1" x14ac:dyDescent="0.25">
      <c r="A215" s="2"/>
      <c r="B215" s="34">
        <f t="shared" si="0"/>
        <v>16</v>
      </c>
      <c r="C215" s="34" t="s">
        <v>148</v>
      </c>
      <c r="D215" s="34"/>
      <c r="E215" s="34"/>
      <c r="F215" s="11" t="s">
        <v>1488</v>
      </c>
      <c r="G215" s="11" t="s">
        <v>160</v>
      </c>
      <c r="H215" s="11" t="s">
        <v>769</v>
      </c>
      <c r="I215" s="11"/>
      <c r="J215" s="11"/>
      <c r="K215" s="90">
        <f t="shared" si="1"/>
        <v>18</v>
      </c>
      <c r="L215" s="11">
        <v>205</v>
      </c>
      <c r="M215" s="11">
        <v>193</v>
      </c>
      <c r="N215" s="11" t="s">
        <v>36</v>
      </c>
      <c r="O215" s="11">
        <v>133</v>
      </c>
      <c r="P215" s="11">
        <v>160</v>
      </c>
      <c r="Q215" s="11">
        <v>264</v>
      </c>
      <c r="R215" s="11">
        <f t="shared" si="2"/>
        <v>191</v>
      </c>
      <c r="S215" s="11"/>
    </row>
    <row r="216" spans="1:19" ht="14.25" customHeight="1" x14ac:dyDescent="0.25">
      <c r="A216" s="2"/>
      <c r="B216" s="34">
        <f t="shared" si="0"/>
        <v>16</v>
      </c>
      <c r="C216" s="34" t="s">
        <v>148</v>
      </c>
      <c r="D216" s="34"/>
      <c r="E216" s="34"/>
      <c r="F216" s="11" t="s">
        <v>1490</v>
      </c>
      <c r="G216" s="11" t="s">
        <v>214</v>
      </c>
      <c r="H216" s="11" t="s">
        <v>772</v>
      </c>
      <c r="I216" s="11"/>
      <c r="J216" s="11"/>
      <c r="K216" s="90">
        <f t="shared" si="1"/>
        <v>17</v>
      </c>
      <c r="L216" s="11">
        <v>193</v>
      </c>
      <c r="M216" s="11">
        <v>213</v>
      </c>
      <c r="N216" s="11">
        <v>183</v>
      </c>
      <c r="O216" s="11">
        <v>246</v>
      </c>
      <c r="P216" s="11" t="s">
        <v>36</v>
      </c>
      <c r="Q216" s="11">
        <v>116</v>
      </c>
      <c r="R216" s="11">
        <f t="shared" si="2"/>
        <v>190</v>
      </c>
      <c r="S216" s="11"/>
    </row>
    <row r="217" spans="1:19" ht="14.25" customHeight="1" x14ac:dyDescent="0.25">
      <c r="B217" s="34">
        <f t="shared" si="0"/>
        <v>14</v>
      </c>
      <c r="C217" s="34" t="s">
        <v>148</v>
      </c>
      <c r="D217" s="34"/>
      <c r="E217" s="34"/>
      <c r="F217" s="11" t="s">
        <v>1491</v>
      </c>
      <c r="G217" s="11" t="s">
        <v>184</v>
      </c>
      <c r="H217" s="11" t="s">
        <v>764</v>
      </c>
      <c r="I217" s="11"/>
      <c r="J217" s="11"/>
      <c r="K217" s="90">
        <f t="shared" si="1"/>
        <v>25</v>
      </c>
      <c r="L217" s="90">
        <v>289</v>
      </c>
      <c r="M217" s="11">
        <v>255</v>
      </c>
      <c r="N217" s="90" t="s">
        <v>1492</v>
      </c>
      <c r="O217" s="90">
        <v>0</v>
      </c>
      <c r="P217" s="90">
        <v>0</v>
      </c>
      <c r="Q217" s="90">
        <v>271</v>
      </c>
      <c r="R217" s="11">
        <f t="shared" si="2"/>
        <v>163</v>
      </c>
      <c r="S217" s="11"/>
    </row>
    <row r="218" spans="1:19" ht="14.25" customHeight="1" x14ac:dyDescent="0.25">
      <c r="A218" s="2"/>
      <c r="B218" s="34">
        <f t="shared" si="0"/>
        <v>16</v>
      </c>
      <c r="C218" s="34" t="s">
        <v>148</v>
      </c>
      <c r="D218" s="34"/>
      <c r="E218" s="34"/>
      <c r="F218" s="11" t="s">
        <v>471</v>
      </c>
      <c r="G218" s="11" t="s">
        <v>168</v>
      </c>
      <c r="H218" s="11" t="s">
        <v>1466</v>
      </c>
      <c r="I218" s="11"/>
      <c r="J218" s="11"/>
      <c r="K218" s="90">
        <f t="shared" si="1"/>
        <v>19</v>
      </c>
      <c r="L218" s="11">
        <v>224</v>
      </c>
      <c r="M218" s="11">
        <v>201</v>
      </c>
      <c r="N218" s="11">
        <v>138</v>
      </c>
      <c r="O218" s="11">
        <v>245</v>
      </c>
      <c r="P218" s="11">
        <v>213</v>
      </c>
      <c r="Q218" s="11">
        <v>124</v>
      </c>
      <c r="R218" s="11">
        <f t="shared" si="2"/>
        <v>190</v>
      </c>
      <c r="S218" s="34"/>
    </row>
    <row r="219" spans="1:19" ht="14.25" customHeight="1" x14ac:dyDescent="0.25">
      <c r="A219" s="2"/>
      <c r="B219" s="34">
        <f t="shared" si="0"/>
        <v>16</v>
      </c>
      <c r="C219" s="34" t="s">
        <v>148</v>
      </c>
      <c r="D219" s="34"/>
      <c r="E219" s="34"/>
      <c r="F219" s="11" t="s">
        <v>950</v>
      </c>
      <c r="G219" s="11" t="s">
        <v>78</v>
      </c>
      <c r="H219" s="11" t="s">
        <v>772</v>
      </c>
      <c r="I219" s="11"/>
      <c r="J219" s="11"/>
      <c r="K219" s="90">
        <f t="shared" si="1"/>
        <v>19</v>
      </c>
      <c r="L219" s="11">
        <v>222</v>
      </c>
      <c r="M219" s="11">
        <v>174</v>
      </c>
      <c r="N219" s="11">
        <v>181</v>
      </c>
      <c r="O219" s="11">
        <v>228</v>
      </c>
      <c r="P219" s="11" t="s">
        <v>36</v>
      </c>
      <c r="Q219" s="11">
        <v>152</v>
      </c>
      <c r="R219" s="11">
        <f t="shared" si="2"/>
        <v>191</v>
      </c>
      <c r="S219" s="11"/>
    </row>
    <row r="220" spans="1:19" ht="14.25" customHeight="1" x14ac:dyDescent="0.25">
      <c r="A220" s="2"/>
      <c r="B220" s="34">
        <f t="shared" si="0"/>
        <v>17</v>
      </c>
      <c r="C220" s="34" t="s">
        <v>148</v>
      </c>
      <c r="D220" s="34"/>
      <c r="E220" s="34"/>
      <c r="F220" s="11" t="s">
        <v>476</v>
      </c>
      <c r="G220" s="11" t="s">
        <v>52</v>
      </c>
      <c r="H220" s="11" t="s">
        <v>1466</v>
      </c>
      <c r="I220" s="11"/>
      <c r="J220" s="11"/>
      <c r="K220" s="90">
        <f t="shared" si="1"/>
        <v>18</v>
      </c>
      <c r="L220" s="11">
        <v>211</v>
      </c>
      <c r="M220" s="11">
        <v>179</v>
      </c>
      <c r="N220" s="11">
        <v>167</v>
      </c>
      <c r="O220" s="11">
        <v>266</v>
      </c>
      <c r="P220" s="11">
        <v>217</v>
      </c>
      <c r="Q220" s="11">
        <v>115</v>
      </c>
      <c r="R220" s="11">
        <f t="shared" si="2"/>
        <v>192</v>
      </c>
      <c r="S220" s="11"/>
    </row>
    <row r="221" spans="1:19" ht="14.25" customHeight="1" x14ac:dyDescent="0.25">
      <c r="A221" s="2"/>
      <c r="B221" s="34">
        <f t="shared" si="0"/>
        <v>17</v>
      </c>
      <c r="C221" s="34" t="s">
        <v>148</v>
      </c>
      <c r="D221" s="34"/>
      <c r="E221" s="34"/>
      <c r="F221" s="11" t="s">
        <v>946</v>
      </c>
      <c r="G221" s="11" t="s">
        <v>60</v>
      </c>
      <c r="H221" s="11" t="s">
        <v>1466</v>
      </c>
      <c r="I221" s="11"/>
      <c r="J221" s="11"/>
      <c r="K221" s="90">
        <f t="shared" si="1"/>
        <v>18</v>
      </c>
      <c r="L221" s="11">
        <v>214</v>
      </c>
      <c r="M221" s="11">
        <v>195</v>
      </c>
      <c r="N221" s="11">
        <v>116</v>
      </c>
      <c r="O221" s="11">
        <v>238</v>
      </c>
      <c r="P221" s="11">
        <v>200</v>
      </c>
      <c r="Q221" s="11">
        <v>194</v>
      </c>
      <c r="R221" s="11">
        <f t="shared" si="2"/>
        <v>192</v>
      </c>
      <c r="S221" s="11"/>
    </row>
    <row r="222" spans="1:19" ht="14.25" customHeight="1" x14ac:dyDescent="0.25">
      <c r="A222" s="2"/>
      <c r="B222" s="34">
        <f t="shared" si="0"/>
        <v>17</v>
      </c>
      <c r="C222" s="34" t="s">
        <v>148</v>
      </c>
      <c r="D222" s="34"/>
      <c r="E222" s="34"/>
      <c r="F222" s="11" t="s">
        <v>566</v>
      </c>
      <c r="G222" s="11" t="s">
        <v>69</v>
      </c>
      <c r="H222" s="11" t="s">
        <v>1466</v>
      </c>
      <c r="I222" s="11"/>
      <c r="J222" s="11"/>
      <c r="K222" s="90">
        <f t="shared" si="1"/>
        <v>19</v>
      </c>
      <c r="L222" s="11">
        <v>218</v>
      </c>
      <c r="M222" s="11">
        <v>188</v>
      </c>
      <c r="N222" s="11">
        <v>157</v>
      </c>
      <c r="O222" s="11">
        <v>261</v>
      </c>
      <c r="P222" s="11">
        <v>226</v>
      </c>
      <c r="Q222" s="11">
        <v>112</v>
      </c>
      <c r="R222" s="11">
        <f t="shared" si="2"/>
        <v>193</v>
      </c>
      <c r="S222" s="11"/>
    </row>
    <row r="223" spans="1:19" ht="14.25" customHeight="1" x14ac:dyDescent="0.25">
      <c r="B223" s="34">
        <f t="shared" si="0"/>
        <v>14</v>
      </c>
      <c r="C223" s="34" t="s">
        <v>148</v>
      </c>
      <c r="D223" s="34"/>
      <c r="E223" s="34"/>
      <c r="F223" s="11" t="s">
        <v>1493</v>
      </c>
      <c r="G223" s="11" t="s">
        <v>44</v>
      </c>
      <c r="H223" s="11" t="s">
        <v>764</v>
      </c>
      <c r="I223" s="11" t="s">
        <v>1443</v>
      </c>
      <c r="J223" s="11"/>
      <c r="K223" s="90">
        <f t="shared" si="1"/>
        <v>25</v>
      </c>
      <c r="L223" s="90">
        <v>293.3</v>
      </c>
      <c r="M223" s="11">
        <v>262</v>
      </c>
      <c r="N223" s="90" t="s">
        <v>1494</v>
      </c>
      <c r="O223" s="90">
        <v>0</v>
      </c>
      <c r="P223" s="90">
        <v>0</v>
      </c>
      <c r="Q223" s="90">
        <v>270</v>
      </c>
      <c r="R223" s="11">
        <f t="shared" si="2"/>
        <v>165</v>
      </c>
      <c r="S223" s="11"/>
    </row>
    <row r="224" spans="1:19" ht="14.25" customHeight="1" x14ac:dyDescent="0.25">
      <c r="A224" s="2"/>
      <c r="B224" s="34">
        <f t="shared" si="0"/>
        <v>17</v>
      </c>
      <c r="C224" s="34" t="s">
        <v>148</v>
      </c>
      <c r="D224" s="34"/>
      <c r="E224" s="34"/>
      <c r="F224" s="11" t="s">
        <v>1495</v>
      </c>
      <c r="G224" s="11" t="s">
        <v>163</v>
      </c>
      <c r="H224" s="11" t="s">
        <v>762</v>
      </c>
      <c r="I224" s="11"/>
      <c r="J224" s="11"/>
      <c r="K224" s="90">
        <f t="shared" si="1"/>
        <v>13</v>
      </c>
      <c r="L224" s="11">
        <v>150</v>
      </c>
      <c r="M224" s="11">
        <v>186</v>
      </c>
      <c r="N224" s="11">
        <v>199</v>
      </c>
      <c r="O224" s="11">
        <v>226</v>
      </c>
      <c r="P224" s="11">
        <v>236</v>
      </c>
      <c r="Q224" s="11">
        <v>197</v>
      </c>
      <c r="R224" s="11">
        <f t="shared" si="2"/>
        <v>199</v>
      </c>
      <c r="S224" s="11"/>
    </row>
    <row r="225" spans="1:19" ht="14.25" customHeight="1" x14ac:dyDescent="0.25">
      <c r="A225" s="2"/>
      <c r="B225" s="34">
        <f t="shared" si="0"/>
        <v>17</v>
      </c>
      <c r="C225" s="34" t="s">
        <v>148</v>
      </c>
      <c r="D225" s="34"/>
      <c r="E225" s="34"/>
      <c r="F225" s="11" t="s">
        <v>962</v>
      </c>
      <c r="G225" s="11" t="s">
        <v>39</v>
      </c>
      <c r="H225" s="11" t="s">
        <v>772</v>
      </c>
      <c r="I225" s="11"/>
      <c r="J225" s="11"/>
      <c r="K225" s="90">
        <f t="shared" si="1"/>
        <v>18</v>
      </c>
      <c r="L225" s="11">
        <v>215</v>
      </c>
      <c r="M225" s="11">
        <v>190</v>
      </c>
      <c r="N225" s="11">
        <v>190</v>
      </c>
      <c r="O225" s="11">
        <v>230</v>
      </c>
      <c r="P225" s="11" t="s">
        <v>36</v>
      </c>
      <c r="Q225" s="11">
        <v>158</v>
      </c>
      <c r="R225" s="11">
        <f t="shared" si="2"/>
        <v>196</v>
      </c>
      <c r="S225" s="11"/>
    </row>
    <row r="226" spans="1:19" ht="14.25" customHeight="1" x14ac:dyDescent="0.25">
      <c r="A226" s="2"/>
      <c r="B226" s="34">
        <f t="shared" si="0"/>
        <v>17</v>
      </c>
      <c r="C226" s="34" t="s">
        <v>148</v>
      </c>
      <c r="D226" s="34"/>
      <c r="E226" s="34"/>
      <c r="F226" s="11" t="s">
        <v>1185</v>
      </c>
      <c r="G226" s="11" t="s">
        <v>72</v>
      </c>
      <c r="H226" s="11" t="s">
        <v>769</v>
      </c>
      <c r="I226" s="11"/>
      <c r="J226" s="11"/>
      <c r="K226" s="90">
        <f t="shared" si="1"/>
        <v>18</v>
      </c>
      <c r="L226" s="11">
        <v>208</v>
      </c>
      <c r="M226" s="11" t="s">
        <v>36</v>
      </c>
      <c r="N226" s="11">
        <v>214</v>
      </c>
      <c r="O226" s="11">
        <v>147</v>
      </c>
      <c r="P226" s="11">
        <v>174</v>
      </c>
      <c r="Q226" s="11">
        <v>252</v>
      </c>
      <c r="R226" s="11">
        <f t="shared" si="2"/>
        <v>199</v>
      </c>
      <c r="S226" s="11"/>
    </row>
    <row r="227" spans="1:19" ht="14.25" customHeight="1" x14ac:dyDescent="0.25">
      <c r="A227" s="2"/>
      <c r="B227" s="34">
        <f t="shared" si="0"/>
        <v>17</v>
      </c>
      <c r="C227" s="34" t="s">
        <v>148</v>
      </c>
      <c r="D227" s="34"/>
      <c r="E227" s="34"/>
      <c r="F227" s="11" t="s">
        <v>431</v>
      </c>
      <c r="G227" s="11" t="s">
        <v>145</v>
      </c>
      <c r="H227" s="11" t="s">
        <v>760</v>
      </c>
      <c r="I227" s="11"/>
      <c r="J227" s="11"/>
      <c r="K227" s="90">
        <f t="shared" si="1"/>
        <v>13</v>
      </c>
      <c r="L227" s="11">
        <v>153</v>
      </c>
      <c r="M227" s="11" t="s">
        <v>36</v>
      </c>
      <c r="N227" s="11">
        <v>244</v>
      </c>
      <c r="O227" s="11">
        <v>185</v>
      </c>
      <c r="P227" s="11">
        <v>192</v>
      </c>
      <c r="Q227" s="11">
        <v>229</v>
      </c>
      <c r="R227" s="11">
        <f t="shared" si="2"/>
        <v>200</v>
      </c>
      <c r="S227" s="34"/>
    </row>
    <row r="228" spans="1:19" ht="14.25" customHeight="1" x14ac:dyDescent="0.25">
      <c r="A228" s="2"/>
      <c r="B228" s="34">
        <f t="shared" si="0"/>
        <v>17</v>
      </c>
      <c r="C228" s="34" t="s">
        <v>148</v>
      </c>
      <c r="D228" s="34"/>
      <c r="E228" s="34"/>
      <c r="F228" s="11" t="s">
        <v>1123</v>
      </c>
      <c r="G228" s="11" t="s">
        <v>94</v>
      </c>
      <c r="H228" s="11" t="s">
        <v>764</v>
      </c>
      <c r="I228" s="11"/>
      <c r="J228" s="11"/>
      <c r="K228" s="90">
        <f t="shared" si="1"/>
        <v>15</v>
      </c>
      <c r="L228" s="11">
        <v>176</v>
      </c>
      <c r="M228" s="11">
        <v>191</v>
      </c>
      <c r="N228" s="11" t="s">
        <v>36</v>
      </c>
      <c r="O228" s="11">
        <v>209</v>
      </c>
      <c r="P228" s="11">
        <v>176</v>
      </c>
      <c r="Q228" s="11">
        <v>214</v>
      </c>
      <c r="R228" s="11">
        <f t="shared" si="2"/>
        <v>193</v>
      </c>
      <c r="S228" s="11"/>
    </row>
    <row r="229" spans="1:19" ht="14.25" customHeight="1" x14ac:dyDescent="0.25">
      <c r="A229" s="2"/>
      <c r="B229" s="34">
        <f t="shared" si="0"/>
        <v>17</v>
      </c>
      <c r="C229" s="34" t="s">
        <v>148</v>
      </c>
      <c r="D229" s="34"/>
      <c r="E229" s="34"/>
      <c r="F229" s="11" t="s">
        <v>1497</v>
      </c>
      <c r="G229" s="11" t="s">
        <v>52</v>
      </c>
      <c r="H229" s="11" t="s">
        <v>762</v>
      </c>
      <c r="I229" s="11"/>
      <c r="J229" s="11"/>
      <c r="K229" s="90">
        <f t="shared" si="1"/>
        <v>16</v>
      </c>
      <c r="L229" s="11">
        <v>180</v>
      </c>
      <c r="M229" s="11">
        <v>210</v>
      </c>
      <c r="N229" s="11">
        <v>223</v>
      </c>
      <c r="O229" s="11">
        <v>181</v>
      </c>
      <c r="P229" s="11">
        <v>193</v>
      </c>
      <c r="Q229" s="11">
        <v>226</v>
      </c>
      <c r="R229" s="11">
        <f t="shared" si="2"/>
        <v>202</v>
      </c>
      <c r="S229" s="11"/>
    </row>
    <row r="230" spans="1:19" ht="14.25" customHeight="1" x14ac:dyDescent="0.25">
      <c r="A230" s="2"/>
      <c r="B230" s="34">
        <f t="shared" si="0"/>
        <v>17</v>
      </c>
      <c r="C230" s="34" t="s">
        <v>148</v>
      </c>
      <c r="D230" s="34"/>
      <c r="E230" s="34"/>
      <c r="F230" s="11" t="s">
        <v>1090</v>
      </c>
      <c r="G230" s="11" t="s">
        <v>233</v>
      </c>
      <c r="H230" s="11" t="s">
        <v>772</v>
      </c>
      <c r="I230" s="11"/>
      <c r="J230" s="11"/>
      <c r="K230" s="90">
        <f t="shared" si="1"/>
        <v>18</v>
      </c>
      <c r="L230" s="11">
        <v>209</v>
      </c>
      <c r="M230" s="11">
        <v>221</v>
      </c>
      <c r="N230" s="11">
        <v>144</v>
      </c>
      <c r="O230" s="11">
        <v>260</v>
      </c>
      <c r="P230" s="11" t="s">
        <v>36</v>
      </c>
      <c r="Q230" s="11">
        <v>185</v>
      </c>
      <c r="R230" s="11">
        <f t="shared" si="2"/>
        <v>203</v>
      </c>
      <c r="S230" s="11"/>
    </row>
    <row r="231" spans="1:19" ht="14.25" customHeight="1" x14ac:dyDescent="0.25">
      <c r="A231" s="2"/>
      <c r="B231" s="34">
        <f t="shared" si="0"/>
        <v>18</v>
      </c>
      <c r="C231" s="34" t="s">
        <v>148</v>
      </c>
      <c r="D231" s="34"/>
      <c r="E231" s="34"/>
      <c r="F231" s="11" t="s">
        <v>1221</v>
      </c>
      <c r="G231" s="11" t="s">
        <v>55</v>
      </c>
      <c r="H231" s="11" t="s">
        <v>762</v>
      </c>
      <c r="I231" s="11"/>
      <c r="J231" s="11"/>
      <c r="K231" s="90">
        <f t="shared" si="1"/>
        <v>17</v>
      </c>
      <c r="L231" s="11">
        <v>201</v>
      </c>
      <c r="M231" s="11">
        <v>217</v>
      </c>
      <c r="N231" s="11">
        <v>200</v>
      </c>
      <c r="O231" s="11">
        <v>175</v>
      </c>
      <c r="P231" s="11">
        <v>211</v>
      </c>
      <c r="Q231" s="11">
        <v>227</v>
      </c>
      <c r="R231" s="11">
        <f t="shared" si="2"/>
        <v>205</v>
      </c>
      <c r="S231" s="34"/>
    </row>
    <row r="232" spans="1:19" ht="14.25" customHeight="1" x14ac:dyDescent="0.25">
      <c r="A232" s="2"/>
      <c r="B232" s="34">
        <f t="shared" si="0"/>
        <v>18</v>
      </c>
      <c r="C232" s="34" t="s">
        <v>148</v>
      </c>
      <c r="D232" s="34"/>
      <c r="E232" s="34"/>
      <c r="F232" s="11" t="s">
        <v>1499</v>
      </c>
      <c r="G232" s="11" t="s">
        <v>155</v>
      </c>
      <c r="H232" s="11" t="s">
        <v>769</v>
      </c>
      <c r="I232" s="11"/>
      <c r="J232" s="11"/>
      <c r="K232" s="90">
        <f t="shared" si="1"/>
        <v>11</v>
      </c>
      <c r="L232" s="11">
        <v>129</v>
      </c>
      <c r="M232" s="11" t="s">
        <v>36</v>
      </c>
      <c r="N232" s="11">
        <v>204</v>
      </c>
      <c r="O232" s="11">
        <v>243</v>
      </c>
      <c r="P232" s="11">
        <v>257</v>
      </c>
      <c r="Q232" s="11">
        <v>199</v>
      </c>
      <c r="R232" s="11">
        <f t="shared" si="2"/>
        <v>206</v>
      </c>
      <c r="S232" s="11"/>
    </row>
    <row r="233" spans="1:19" ht="14.25" customHeight="1" x14ac:dyDescent="0.25">
      <c r="A233" s="2"/>
      <c r="B233" s="34">
        <f t="shared" si="0"/>
        <v>18</v>
      </c>
      <c r="C233" s="34" t="s">
        <v>148</v>
      </c>
      <c r="D233" s="34"/>
      <c r="E233" s="34"/>
      <c r="F233" s="11" t="s">
        <v>1501</v>
      </c>
      <c r="G233" s="11" t="s">
        <v>52</v>
      </c>
      <c r="H233" s="11" t="s">
        <v>769</v>
      </c>
      <c r="I233" s="11"/>
      <c r="J233" s="11"/>
      <c r="K233" s="90">
        <f t="shared" si="1"/>
        <v>13</v>
      </c>
      <c r="L233" s="11">
        <v>149</v>
      </c>
      <c r="M233" s="11" t="s">
        <v>36</v>
      </c>
      <c r="N233" s="11">
        <v>239</v>
      </c>
      <c r="O233" s="11">
        <v>191</v>
      </c>
      <c r="P233" s="11">
        <v>237</v>
      </c>
      <c r="Q233" s="11">
        <v>215</v>
      </c>
      <c r="R233" s="11">
        <f t="shared" si="2"/>
        <v>206</v>
      </c>
      <c r="S233" s="11"/>
    </row>
    <row r="234" spans="1:19" ht="14.25" customHeight="1" x14ac:dyDescent="0.25">
      <c r="A234" s="2"/>
      <c r="B234" s="34">
        <f t="shared" si="0"/>
        <v>18</v>
      </c>
      <c r="C234" s="34" t="s">
        <v>148</v>
      </c>
      <c r="D234" s="34"/>
      <c r="E234" s="34"/>
      <c r="F234" s="11" t="s">
        <v>560</v>
      </c>
      <c r="G234" s="11" t="s">
        <v>116</v>
      </c>
      <c r="H234" s="11" t="s">
        <v>772</v>
      </c>
      <c r="I234" s="11"/>
      <c r="J234" s="11"/>
      <c r="K234" s="90">
        <f t="shared" si="1"/>
        <v>15</v>
      </c>
      <c r="L234" s="11">
        <v>174</v>
      </c>
      <c r="M234" s="11">
        <v>226</v>
      </c>
      <c r="N234" s="11">
        <v>187</v>
      </c>
      <c r="O234" s="11">
        <v>237</v>
      </c>
      <c r="P234" s="11" t="s">
        <v>36</v>
      </c>
      <c r="Q234" s="11" t="s">
        <v>36</v>
      </c>
      <c r="R234" s="11">
        <f t="shared" si="2"/>
        <v>206</v>
      </c>
      <c r="S234" s="11"/>
    </row>
    <row r="235" spans="1:19" ht="14.25" customHeight="1" x14ac:dyDescent="0.25">
      <c r="A235" s="2"/>
      <c r="B235" s="34">
        <f t="shared" si="0"/>
        <v>18</v>
      </c>
      <c r="C235" s="34" t="s">
        <v>148</v>
      </c>
      <c r="D235" s="34"/>
      <c r="E235" s="34"/>
      <c r="F235" s="11" t="s">
        <v>487</v>
      </c>
      <c r="G235" s="11" t="s">
        <v>78</v>
      </c>
      <c r="H235" s="11" t="s">
        <v>1466</v>
      </c>
      <c r="I235" s="11"/>
      <c r="J235" s="11"/>
      <c r="K235" s="90">
        <f t="shared" si="1"/>
        <v>19</v>
      </c>
      <c r="L235" s="11">
        <v>223</v>
      </c>
      <c r="M235" s="11">
        <v>200</v>
      </c>
      <c r="N235" s="11">
        <v>202</v>
      </c>
      <c r="O235" s="11">
        <v>236</v>
      </c>
      <c r="P235" s="11">
        <v>205</v>
      </c>
      <c r="Q235" s="11">
        <v>173</v>
      </c>
      <c r="R235" s="11">
        <f t="shared" si="2"/>
        <v>206</v>
      </c>
      <c r="S235" s="11"/>
    </row>
    <row r="236" spans="1:19" ht="14.25" customHeight="1" x14ac:dyDescent="0.25">
      <c r="A236" s="2"/>
      <c r="B236" s="34">
        <f t="shared" si="0"/>
        <v>18</v>
      </c>
      <c r="C236" s="34" t="s">
        <v>148</v>
      </c>
      <c r="D236" s="34"/>
      <c r="E236" s="34"/>
      <c r="F236" s="11" t="s">
        <v>1502</v>
      </c>
      <c r="G236" s="11" t="s">
        <v>72</v>
      </c>
      <c r="H236" s="11" t="s">
        <v>772</v>
      </c>
      <c r="I236" s="11"/>
      <c r="J236" s="11"/>
      <c r="K236" s="90">
        <f t="shared" si="1"/>
        <v>19</v>
      </c>
      <c r="L236" s="11">
        <v>221</v>
      </c>
      <c r="M236" s="11">
        <v>215</v>
      </c>
      <c r="N236" s="11">
        <v>208</v>
      </c>
      <c r="O236" s="11">
        <v>252</v>
      </c>
      <c r="P236" s="11" t="s">
        <v>36</v>
      </c>
      <c r="Q236" s="11">
        <v>150</v>
      </c>
      <c r="R236" s="11">
        <f t="shared" si="2"/>
        <v>209</v>
      </c>
      <c r="S236" s="11"/>
    </row>
    <row r="237" spans="1:19" ht="14.25" customHeight="1" x14ac:dyDescent="0.25">
      <c r="A237" s="2"/>
      <c r="B237" s="34">
        <f t="shared" si="0"/>
        <v>18</v>
      </c>
      <c r="C237" s="34" t="s">
        <v>148</v>
      </c>
      <c r="D237" s="34"/>
      <c r="E237" s="34"/>
      <c r="F237" s="11" t="s">
        <v>1247</v>
      </c>
      <c r="G237" s="11" t="s">
        <v>229</v>
      </c>
      <c r="H237" s="11" t="s">
        <v>1466</v>
      </c>
      <c r="I237" s="11"/>
      <c r="J237" s="11"/>
      <c r="K237" s="90">
        <f t="shared" si="1"/>
        <v>19</v>
      </c>
      <c r="L237" s="11">
        <v>226</v>
      </c>
      <c r="M237" s="11">
        <v>183</v>
      </c>
      <c r="N237" s="11">
        <v>219</v>
      </c>
      <c r="O237" s="11">
        <v>257</v>
      </c>
      <c r="P237" s="11">
        <v>214</v>
      </c>
      <c r="Q237" s="11">
        <v>163</v>
      </c>
      <c r="R237" s="11">
        <f t="shared" si="2"/>
        <v>210</v>
      </c>
      <c r="S237" s="11"/>
    </row>
    <row r="238" spans="1:19" ht="14.25" customHeight="1" x14ac:dyDescent="0.25">
      <c r="A238" s="2"/>
      <c r="B238" s="34">
        <f t="shared" si="0"/>
        <v>18</v>
      </c>
      <c r="C238" s="34" t="s">
        <v>148</v>
      </c>
      <c r="D238" s="34"/>
      <c r="E238" s="34"/>
      <c r="F238" s="11" t="s">
        <v>1268</v>
      </c>
      <c r="G238" s="11" t="s">
        <v>85</v>
      </c>
      <c r="H238" s="11" t="s">
        <v>762</v>
      </c>
      <c r="I238" s="11"/>
      <c r="J238" s="11"/>
      <c r="K238" s="90">
        <f t="shared" si="1"/>
        <v>8</v>
      </c>
      <c r="L238" s="11">
        <v>86</v>
      </c>
      <c r="M238" s="11" t="s">
        <v>36</v>
      </c>
      <c r="N238" s="11">
        <v>280</v>
      </c>
      <c r="O238" s="11">
        <v>373</v>
      </c>
      <c r="P238" s="11">
        <v>206</v>
      </c>
      <c r="Q238" s="11">
        <v>129</v>
      </c>
      <c r="R238" s="11">
        <f t="shared" si="2"/>
        <v>214</v>
      </c>
      <c r="S238" s="11"/>
    </row>
    <row r="239" spans="1:19" ht="14.25" customHeight="1" x14ac:dyDescent="0.25">
      <c r="A239" s="2"/>
      <c r="B239" s="34">
        <f t="shared" si="0"/>
        <v>18</v>
      </c>
      <c r="C239" s="34" t="s">
        <v>148</v>
      </c>
      <c r="D239" s="34"/>
      <c r="E239" s="34"/>
      <c r="F239" s="11" t="s">
        <v>547</v>
      </c>
      <c r="G239" s="11" t="s">
        <v>214</v>
      </c>
      <c r="H239" s="11" t="s">
        <v>1466</v>
      </c>
      <c r="I239" s="11"/>
      <c r="J239" s="11"/>
      <c r="K239" s="90">
        <f t="shared" si="1"/>
        <v>17</v>
      </c>
      <c r="L239" s="11">
        <v>194</v>
      </c>
      <c r="M239" s="11">
        <v>216</v>
      </c>
      <c r="N239" s="11">
        <v>211</v>
      </c>
      <c r="O239" s="11">
        <v>279</v>
      </c>
      <c r="P239" s="11">
        <v>222</v>
      </c>
      <c r="Q239" s="11">
        <v>168</v>
      </c>
      <c r="R239" s="11">
        <f t="shared" si="2"/>
        <v>215</v>
      </c>
      <c r="S239" s="11"/>
    </row>
    <row r="240" spans="1:19" ht="14.25" customHeight="1" x14ac:dyDescent="0.25">
      <c r="A240" s="2"/>
      <c r="B240" s="34">
        <f t="shared" si="0"/>
        <v>19</v>
      </c>
      <c r="C240" s="34" t="s">
        <v>148</v>
      </c>
      <c r="D240" s="34"/>
      <c r="E240" s="34"/>
      <c r="F240" s="11" t="s">
        <v>1504</v>
      </c>
      <c r="G240" s="11" t="s">
        <v>199</v>
      </c>
      <c r="H240" s="11" t="s">
        <v>772</v>
      </c>
      <c r="I240" s="11"/>
      <c r="J240" s="11"/>
      <c r="K240" s="90">
        <f t="shared" si="1"/>
        <v>18</v>
      </c>
      <c r="L240" s="11">
        <v>210</v>
      </c>
      <c r="M240" s="11" t="s">
        <v>36</v>
      </c>
      <c r="N240" s="11">
        <v>209</v>
      </c>
      <c r="O240" s="11">
        <v>274</v>
      </c>
      <c r="P240" s="11" t="s">
        <v>36</v>
      </c>
      <c r="Q240" s="11">
        <v>174</v>
      </c>
      <c r="R240" s="11">
        <f t="shared" si="2"/>
        <v>216</v>
      </c>
      <c r="S240" s="11"/>
    </row>
    <row r="241" spans="1:19" ht="14.25" customHeight="1" x14ac:dyDescent="0.25">
      <c r="A241" s="2"/>
      <c r="B241" s="34">
        <f t="shared" si="0"/>
        <v>19</v>
      </c>
      <c r="C241" s="34" t="s">
        <v>148</v>
      </c>
      <c r="D241" s="34"/>
      <c r="E241" s="34"/>
      <c r="F241" s="11" t="s">
        <v>1505</v>
      </c>
      <c r="G241" s="11" t="s">
        <v>88</v>
      </c>
      <c r="H241" s="11" t="s">
        <v>772</v>
      </c>
      <c r="I241" s="11"/>
      <c r="J241" s="11"/>
      <c r="K241" s="90">
        <f t="shared" si="1"/>
        <v>13</v>
      </c>
      <c r="L241" s="11">
        <v>144</v>
      </c>
      <c r="M241" s="11">
        <v>218</v>
      </c>
      <c r="N241" s="11" t="s">
        <v>36</v>
      </c>
      <c r="O241" s="11">
        <v>259</v>
      </c>
      <c r="P241" s="11" t="s">
        <v>36</v>
      </c>
      <c r="Q241" s="11">
        <v>250</v>
      </c>
      <c r="R241" s="11">
        <f t="shared" si="2"/>
        <v>217</v>
      </c>
      <c r="S241" s="11"/>
    </row>
    <row r="242" spans="1:19" ht="14.25" customHeight="1" x14ac:dyDescent="0.25">
      <c r="A242" s="2"/>
      <c r="B242" s="34">
        <f t="shared" si="0"/>
        <v>19</v>
      </c>
      <c r="C242" s="34" t="s">
        <v>148</v>
      </c>
      <c r="D242" s="34"/>
      <c r="E242" s="34"/>
      <c r="F242" s="11" t="s">
        <v>1234</v>
      </c>
      <c r="G242" s="11" t="s">
        <v>168</v>
      </c>
      <c r="H242" s="11" t="s">
        <v>772</v>
      </c>
      <c r="I242" s="11"/>
      <c r="J242" s="11"/>
      <c r="K242" s="90">
        <f t="shared" si="1"/>
        <v>19</v>
      </c>
      <c r="L242" s="11">
        <v>216</v>
      </c>
      <c r="M242" s="11">
        <v>199</v>
      </c>
      <c r="N242" s="11">
        <v>233</v>
      </c>
      <c r="O242" s="11">
        <v>251</v>
      </c>
      <c r="P242" s="11" t="s">
        <v>36</v>
      </c>
      <c r="Q242" s="11">
        <v>188</v>
      </c>
      <c r="R242" s="11">
        <f t="shared" si="2"/>
        <v>217</v>
      </c>
      <c r="S242" s="11"/>
    </row>
    <row r="243" spans="1:19" ht="14.25" customHeight="1" x14ac:dyDescent="0.25">
      <c r="A243" s="2"/>
      <c r="B243" s="34">
        <f t="shared" si="0"/>
        <v>19</v>
      </c>
      <c r="C243" s="34" t="s">
        <v>148</v>
      </c>
      <c r="D243" s="34"/>
      <c r="E243" s="34"/>
      <c r="F243" s="11" t="s">
        <v>564</v>
      </c>
      <c r="G243" s="11" t="s">
        <v>52</v>
      </c>
      <c r="H243" s="11" t="s">
        <v>772</v>
      </c>
      <c r="I243" s="11"/>
      <c r="J243" s="11"/>
      <c r="K243" s="90">
        <f t="shared" si="1"/>
        <v>19</v>
      </c>
      <c r="L243" s="11">
        <v>220</v>
      </c>
      <c r="M243" s="11">
        <v>222</v>
      </c>
      <c r="N243" s="11">
        <v>222</v>
      </c>
      <c r="O243" s="11">
        <v>258</v>
      </c>
      <c r="P243" s="11" t="s">
        <v>36</v>
      </c>
      <c r="Q243" s="11">
        <v>169</v>
      </c>
      <c r="R243" s="11">
        <f t="shared" si="2"/>
        <v>218</v>
      </c>
      <c r="S243" s="11"/>
    </row>
    <row r="244" spans="1:19" ht="14.25" customHeight="1" x14ac:dyDescent="0.25">
      <c r="A244" s="2"/>
      <c r="B244" s="34">
        <f t="shared" si="0"/>
        <v>19</v>
      </c>
      <c r="C244" s="34" t="s">
        <v>148</v>
      </c>
      <c r="D244" s="34"/>
      <c r="E244" s="34"/>
      <c r="F244" s="11" t="s">
        <v>1506</v>
      </c>
      <c r="G244" s="11" t="s">
        <v>233</v>
      </c>
      <c r="H244" s="11" t="s">
        <v>762</v>
      </c>
      <c r="I244" s="11"/>
      <c r="J244" s="11"/>
      <c r="K244" s="90" t="e">
        <f t="shared" si="1"/>
        <v>#DIV/0!</v>
      </c>
      <c r="L244" s="11" t="s">
        <v>36</v>
      </c>
      <c r="M244" s="11">
        <v>196</v>
      </c>
      <c r="N244" s="11" t="s">
        <v>36</v>
      </c>
      <c r="O244" s="11">
        <v>187</v>
      </c>
      <c r="P244" s="11">
        <v>191</v>
      </c>
      <c r="Q244" s="11">
        <v>299</v>
      </c>
      <c r="R244" s="11">
        <f t="shared" si="2"/>
        <v>218</v>
      </c>
      <c r="S244" s="11"/>
    </row>
    <row r="245" spans="1:19" ht="14.25" customHeight="1" x14ac:dyDescent="0.25">
      <c r="A245" s="2"/>
      <c r="B245" s="34">
        <f t="shared" si="0"/>
        <v>19</v>
      </c>
      <c r="C245" s="34" t="s">
        <v>148</v>
      </c>
      <c r="D245" s="34"/>
      <c r="E245" s="34"/>
      <c r="F245" s="11" t="s">
        <v>1507</v>
      </c>
      <c r="G245" s="11" t="s">
        <v>229</v>
      </c>
      <c r="H245" s="11" t="s">
        <v>762</v>
      </c>
      <c r="I245" s="11"/>
      <c r="J245" s="11"/>
      <c r="K245" s="90" t="e">
        <f t="shared" si="1"/>
        <v>#DIV/0!</v>
      </c>
      <c r="L245" s="11" t="s">
        <v>36</v>
      </c>
      <c r="M245" s="11">
        <v>219</v>
      </c>
      <c r="N245" s="11" t="s">
        <v>36</v>
      </c>
      <c r="O245" s="11">
        <v>173</v>
      </c>
      <c r="P245" s="11">
        <v>183</v>
      </c>
      <c r="Q245" s="11">
        <v>302</v>
      </c>
      <c r="R245" s="11">
        <f t="shared" si="2"/>
        <v>219</v>
      </c>
      <c r="S245" s="11"/>
    </row>
    <row r="246" spans="1:19" ht="14.25" customHeight="1" x14ac:dyDescent="0.25">
      <c r="A246" s="2"/>
      <c r="B246" s="34">
        <f t="shared" si="0"/>
        <v>19</v>
      </c>
      <c r="C246" s="34" t="s">
        <v>148</v>
      </c>
      <c r="D246" s="34"/>
      <c r="E246" s="34"/>
      <c r="F246" s="11" t="s">
        <v>1508</v>
      </c>
      <c r="G246" s="11" t="s">
        <v>78</v>
      </c>
      <c r="H246" s="11" t="s">
        <v>764</v>
      </c>
      <c r="I246" s="11"/>
      <c r="J246" s="11"/>
      <c r="K246" s="90">
        <f t="shared" si="1"/>
        <v>17</v>
      </c>
      <c r="L246" s="11">
        <v>196</v>
      </c>
      <c r="M246" s="11">
        <v>214</v>
      </c>
      <c r="N246" s="11">
        <v>323</v>
      </c>
      <c r="O246" s="11">
        <v>215</v>
      </c>
      <c r="P246" s="11">
        <v>199</v>
      </c>
      <c r="Q246" s="11">
        <v>183</v>
      </c>
      <c r="R246" s="11">
        <f t="shared" si="2"/>
        <v>221</v>
      </c>
      <c r="S246" s="34"/>
    </row>
    <row r="247" spans="1:19" ht="14.25" customHeight="1" x14ac:dyDescent="0.25">
      <c r="A247" s="2"/>
      <c r="B247" s="34">
        <f t="shared" si="0"/>
        <v>19</v>
      </c>
      <c r="C247" s="34" t="s">
        <v>148</v>
      </c>
      <c r="D247" s="34"/>
      <c r="E247" s="34"/>
      <c r="F247" s="11" t="s">
        <v>150</v>
      </c>
      <c r="G247" s="11" t="s">
        <v>44</v>
      </c>
      <c r="H247" s="11" t="s">
        <v>764</v>
      </c>
      <c r="I247" s="11"/>
      <c r="J247" s="11"/>
      <c r="K247" s="90" t="e">
        <f t="shared" si="1"/>
        <v>#DIV/0!</v>
      </c>
      <c r="L247" s="11" t="s">
        <v>36</v>
      </c>
      <c r="M247" s="11" t="s">
        <v>36</v>
      </c>
      <c r="N247" s="11">
        <v>210</v>
      </c>
      <c r="O247" s="11">
        <v>208</v>
      </c>
      <c r="P247" s="11">
        <v>227</v>
      </c>
      <c r="Q247" s="11">
        <v>242</v>
      </c>
      <c r="R247" s="11">
        <f t="shared" si="2"/>
        <v>221</v>
      </c>
      <c r="S247" s="11"/>
    </row>
    <row r="248" spans="1:19" ht="14.25" customHeight="1" x14ac:dyDescent="0.25">
      <c r="A248" s="2"/>
      <c r="B248" s="34">
        <f t="shared" si="0"/>
        <v>19</v>
      </c>
      <c r="C248" s="34" t="s">
        <v>148</v>
      </c>
      <c r="D248" s="34"/>
      <c r="E248" s="34"/>
      <c r="F248" s="11" t="s">
        <v>1510</v>
      </c>
      <c r="G248" s="11" t="s">
        <v>184</v>
      </c>
      <c r="H248" s="11" t="s">
        <v>1466</v>
      </c>
      <c r="I248" s="11"/>
      <c r="J248" s="11"/>
      <c r="K248" s="90">
        <f t="shared" si="1"/>
        <v>17</v>
      </c>
      <c r="L248" s="11">
        <v>195</v>
      </c>
      <c r="M248" s="11">
        <v>194</v>
      </c>
      <c r="N248" s="11">
        <v>213</v>
      </c>
      <c r="O248" s="11">
        <v>287</v>
      </c>
      <c r="P248" s="11">
        <v>229</v>
      </c>
      <c r="Q248" s="11">
        <v>220</v>
      </c>
      <c r="R248" s="11">
        <f t="shared" si="2"/>
        <v>223</v>
      </c>
      <c r="S248" s="11"/>
    </row>
    <row r="249" spans="1:19" ht="14.25" customHeight="1" x14ac:dyDescent="0.25">
      <c r="A249" s="2"/>
      <c r="B249" s="34">
        <f t="shared" si="0"/>
        <v>19</v>
      </c>
      <c r="C249" s="34" t="s">
        <v>148</v>
      </c>
      <c r="D249" s="34"/>
      <c r="E249" s="34"/>
      <c r="F249" s="11" t="s">
        <v>555</v>
      </c>
      <c r="G249" s="11" t="s">
        <v>187</v>
      </c>
      <c r="H249" s="11" t="s">
        <v>769</v>
      </c>
      <c r="I249" s="11"/>
      <c r="J249" s="11"/>
      <c r="K249" s="90" t="e">
        <f t="shared" si="1"/>
        <v>#DIV/0!</v>
      </c>
      <c r="L249" s="11" t="s">
        <v>36</v>
      </c>
      <c r="M249" s="11">
        <v>209</v>
      </c>
      <c r="N249" s="11">
        <v>246</v>
      </c>
      <c r="O249" s="11">
        <v>248</v>
      </c>
      <c r="P249" s="11">
        <v>249</v>
      </c>
      <c r="Q249" s="11">
        <v>177</v>
      </c>
      <c r="R249" s="11">
        <f t="shared" si="2"/>
        <v>225</v>
      </c>
      <c r="S249" s="11"/>
    </row>
    <row r="250" spans="1:19" ht="14.25" customHeight="1" x14ac:dyDescent="0.25">
      <c r="A250" s="2"/>
      <c r="B250" s="34">
        <f t="shared" si="0"/>
        <v>19</v>
      </c>
      <c r="C250" s="34" t="s">
        <v>148</v>
      </c>
      <c r="D250" s="34"/>
      <c r="E250" s="34"/>
      <c r="F250" s="11" t="s">
        <v>1511</v>
      </c>
      <c r="G250" s="11" t="s">
        <v>94</v>
      </c>
      <c r="H250" s="11" t="s">
        <v>764</v>
      </c>
      <c r="I250" s="11"/>
      <c r="J250" s="11"/>
      <c r="K250" s="90" t="e">
        <f t="shared" si="1"/>
        <v>#DIV/0!</v>
      </c>
      <c r="L250" s="11" t="s">
        <v>36</v>
      </c>
      <c r="M250" s="11">
        <v>223</v>
      </c>
      <c r="N250" s="11" t="s">
        <v>36</v>
      </c>
      <c r="O250" s="11">
        <v>232</v>
      </c>
      <c r="P250" s="11">
        <v>212</v>
      </c>
      <c r="Q250" s="11">
        <v>240</v>
      </c>
      <c r="R250" s="11">
        <f t="shared" si="2"/>
        <v>226</v>
      </c>
      <c r="S250" s="11"/>
    </row>
    <row r="251" spans="1:19" ht="14.25" customHeight="1" x14ac:dyDescent="0.25">
      <c r="A251" s="2"/>
      <c r="B251" s="34">
        <f t="shared" si="0"/>
        <v>20</v>
      </c>
      <c r="C251" s="34" t="s">
        <v>148</v>
      </c>
      <c r="D251" s="34"/>
      <c r="E251" s="34"/>
      <c r="F251" s="11" t="s">
        <v>1512</v>
      </c>
      <c r="G251" s="11" t="s">
        <v>66</v>
      </c>
      <c r="H251" s="11" t="s">
        <v>772</v>
      </c>
      <c r="I251" s="11"/>
      <c r="J251" s="11"/>
      <c r="K251" s="90">
        <f t="shared" si="1"/>
        <v>16</v>
      </c>
      <c r="L251" s="11">
        <v>187</v>
      </c>
      <c r="M251" s="11" t="s">
        <v>36</v>
      </c>
      <c r="N251" s="11">
        <v>230</v>
      </c>
      <c r="O251" s="11">
        <v>278</v>
      </c>
      <c r="P251" s="11" t="s">
        <v>36</v>
      </c>
      <c r="Q251" s="11">
        <v>219</v>
      </c>
      <c r="R251" s="11">
        <f t="shared" si="2"/>
        <v>228</v>
      </c>
      <c r="S251" s="11"/>
    </row>
    <row r="252" spans="1:19" ht="14.25" customHeight="1" x14ac:dyDescent="0.25">
      <c r="A252" s="2"/>
      <c r="B252" s="34">
        <f t="shared" si="0"/>
        <v>20</v>
      </c>
      <c r="C252" s="34" t="s">
        <v>148</v>
      </c>
      <c r="D252" s="34"/>
      <c r="E252" s="34"/>
      <c r="F252" s="11" t="s">
        <v>1513</v>
      </c>
      <c r="G252" s="11" t="s">
        <v>66</v>
      </c>
      <c r="H252" s="11" t="s">
        <v>764</v>
      </c>
      <c r="I252" s="11"/>
      <c r="J252" s="11"/>
      <c r="K252" s="90" t="e">
        <f t="shared" si="1"/>
        <v>#DIV/0!</v>
      </c>
      <c r="L252" s="11" t="s">
        <v>36</v>
      </c>
      <c r="M252" s="11" t="s">
        <v>36</v>
      </c>
      <c r="N252" s="11">
        <v>216</v>
      </c>
      <c r="O252" s="11">
        <v>254</v>
      </c>
      <c r="P252" s="11">
        <v>219</v>
      </c>
      <c r="Q252" s="11">
        <v>235</v>
      </c>
      <c r="R252" s="11">
        <f t="shared" si="2"/>
        <v>231</v>
      </c>
      <c r="S252" s="11"/>
    </row>
    <row r="253" spans="1:19" ht="14.25" customHeight="1" x14ac:dyDescent="0.25">
      <c r="A253" s="2"/>
      <c r="B253" s="34">
        <f t="shared" si="0"/>
        <v>20</v>
      </c>
      <c r="C253" s="34" t="s">
        <v>148</v>
      </c>
      <c r="D253" s="34"/>
      <c r="E253" s="34"/>
      <c r="F253" s="11" t="s">
        <v>1295</v>
      </c>
      <c r="G253" s="11" t="s">
        <v>199</v>
      </c>
      <c r="H253" s="11" t="s">
        <v>764</v>
      </c>
      <c r="I253" s="11"/>
      <c r="J253" s="11"/>
      <c r="K253" s="90" t="e">
        <f t="shared" si="1"/>
        <v>#DIV/0!</v>
      </c>
      <c r="L253" s="11" t="s">
        <v>36</v>
      </c>
      <c r="M253" s="11">
        <v>207</v>
      </c>
      <c r="N253" s="11" t="s">
        <v>36</v>
      </c>
      <c r="O253" s="11">
        <v>182</v>
      </c>
      <c r="P253" s="11">
        <v>202</v>
      </c>
      <c r="Q253" s="11">
        <v>338</v>
      </c>
      <c r="R253" s="11">
        <f t="shared" si="2"/>
        <v>232</v>
      </c>
      <c r="S253" s="11"/>
    </row>
    <row r="254" spans="1:19" ht="14.25" customHeight="1" x14ac:dyDescent="0.25">
      <c r="A254" s="2"/>
      <c r="B254" s="34">
        <f t="shared" si="0"/>
        <v>20</v>
      </c>
      <c r="C254" s="34" t="s">
        <v>148</v>
      </c>
      <c r="D254" s="34"/>
      <c r="E254" s="34"/>
      <c r="F254" s="11" t="s">
        <v>644</v>
      </c>
      <c r="G254" s="11" t="s">
        <v>187</v>
      </c>
      <c r="H254" s="11" t="s">
        <v>1466</v>
      </c>
      <c r="I254" s="11"/>
      <c r="J254" s="11"/>
      <c r="K254" s="90">
        <f t="shared" si="1"/>
        <v>20</v>
      </c>
      <c r="L254" s="11">
        <v>228</v>
      </c>
      <c r="M254" s="11" t="s">
        <v>36</v>
      </c>
      <c r="N254" s="11">
        <v>254</v>
      </c>
      <c r="O254" s="11">
        <v>270</v>
      </c>
      <c r="P254" s="11">
        <v>221</v>
      </c>
      <c r="Q254" s="11">
        <v>212</v>
      </c>
      <c r="R254" s="11">
        <f t="shared" si="2"/>
        <v>237</v>
      </c>
      <c r="S254" s="11"/>
    </row>
    <row r="255" spans="1:19" ht="14.25" customHeight="1" x14ac:dyDescent="0.25">
      <c r="A255" s="2"/>
      <c r="B255" s="34">
        <f t="shared" si="0"/>
        <v>20</v>
      </c>
      <c r="C255" s="34" t="s">
        <v>148</v>
      </c>
      <c r="D255" s="34"/>
      <c r="E255" s="34"/>
      <c r="F255" s="11" t="s">
        <v>1516</v>
      </c>
      <c r="G255" s="11" t="s">
        <v>184</v>
      </c>
      <c r="H255" s="11" t="s">
        <v>764</v>
      </c>
      <c r="I255" s="11"/>
      <c r="J255" s="11"/>
      <c r="K255" s="90" t="e">
        <f t="shared" si="1"/>
        <v>#DIV/0!</v>
      </c>
      <c r="L255" s="11" t="s">
        <v>36</v>
      </c>
      <c r="M255" s="11">
        <v>227</v>
      </c>
      <c r="N255" s="11" t="s">
        <v>36</v>
      </c>
      <c r="O255" s="11">
        <v>189</v>
      </c>
      <c r="P255" s="11">
        <v>204</v>
      </c>
      <c r="Q255" s="11">
        <v>331</v>
      </c>
      <c r="R255" s="11">
        <f t="shared" si="2"/>
        <v>237</v>
      </c>
      <c r="S255" s="11"/>
    </row>
    <row r="256" spans="1:19" ht="14.25" customHeight="1" x14ac:dyDescent="0.25">
      <c r="A256" s="2"/>
      <c r="B256" s="34">
        <f t="shared" si="0"/>
        <v>21</v>
      </c>
      <c r="C256" s="34" t="s">
        <v>148</v>
      </c>
      <c r="D256" s="34"/>
      <c r="E256" s="34"/>
      <c r="F256" s="11" t="s">
        <v>1517</v>
      </c>
      <c r="G256" s="11" t="s">
        <v>184</v>
      </c>
      <c r="H256" s="11" t="s">
        <v>760</v>
      </c>
      <c r="I256" s="11"/>
      <c r="J256" s="11"/>
      <c r="K256" s="90" t="e">
        <f t="shared" si="1"/>
        <v>#DIV/0!</v>
      </c>
      <c r="L256" s="11" t="s">
        <v>36</v>
      </c>
      <c r="M256" s="11" t="s">
        <v>36</v>
      </c>
      <c r="N256" s="11">
        <v>294</v>
      </c>
      <c r="O256" s="11">
        <v>217</v>
      </c>
      <c r="P256" s="11">
        <v>228</v>
      </c>
      <c r="Q256" s="11">
        <v>245</v>
      </c>
      <c r="R256" s="11">
        <f t="shared" si="2"/>
        <v>246</v>
      </c>
      <c r="S256" s="11"/>
    </row>
    <row r="257" spans="1:19" ht="14.25" customHeight="1" x14ac:dyDescent="0.25">
      <c r="A257" s="2"/>
      <c r="B257" s="34">
        <f t="shared" si="0"/>
        <v>21</v>
      </c>
      <c r="C257" s="34" t="s">
        <v>148</v>
      </c>
      <c r="D257" s="34"/>
      <c r="E257" s="34"/>
      <c r="F257" s="11" t="s">
        <v>462</v>
      </c>
      <c r="G257" s="11" t="s">
        <v>116</v>
      </c>
      <c r="H257" s="11" t="s">
        <v>1466</v>
      </c>
      <c r="I257" s="11"/>
      <c r="J257" s="11"/>
      <c r="K257" s="90" t="e">
        <f t="shared" si="1"/>
        <v>#DIV/0!</v>
      </c>
      <c r="L257" s="11" t="s">
        <v>36</v>
      </c>
      <c r="M257" s="11" t="s">
        <v>36</v>
      </c>
      <c r="N257" s="11">
        <v>232</v>
      </c>
      <c r="O257" s="11">
        <v>297</v>
      </c>
      <c r="P257" s="11">
        <v>250</v>
      </c>
      <c r="Q257" s="11">
        <v>205</v>
      </c>
      <c r="R257" s="11">
        <f t="shared" si="2"/>
        <v>246</v>
      </c>
      <c r="S257" s="11"/>
    </row>
    <row r="258" spans="1:19" ht="14.25" customHeight="1" x14ac:dyDescent="0.25">
      <c r="A258" s="2"/>
      <c r="B258" s="34">
        <f t="shared" si="0"/>
        <v>21</v>
      </c>
      <c r="C258" s="34" t="s">
        <v>148</v>
      </c>
      <c r="D258" s="34"/>
      <c r="E258" s="34"/>
      <c r="F258" s="11" t="s">
        <v>1281</v>
      </c>
      <c r="G258" s="11" t="s">
        <v>160</v>
      </c>
      <c r="H258" s="11" t="s">
        <v>1466</v>
      </c>
      <c r="I258" s="11"/>
      <c r="J258" s="11"/>
      <c r="K258" s="90" t="e">
        <f t="shared" si="1"/>
        <v>#DIV/0!</v>
      </c>
      <c r="L258" s="11" t="s">
        <v>36</v>
      </c>
      <c r="M258" s="11">
        <v>192</v>
      </c>
      <c r="N258" s="11">
        <v>217</v>
      </c>
      <c r="O258" s="11">
        <v>331</v>
      </c>
      <c r="P258" s="11">
        <v>268</v>
      </c>
      <c r="Q258" s="11">
        <v>241</v>
      </c>
      <c r="R258" s="11">
        <f t="shared" si="2"/>
        <v>249</v>
      </c>
      <c r="S258" s="11"/>
    </row>
    <row r="259" spans="1:19" ht="14.25" customHeight="1" x14ac:dyDescent="0.25">
      <c r="A259" s="2"/>
      <c r="B259" s="34">
        <f t="shared" si="0"/>
        <v>22</v>
      </c>
      <c r="C259" s="34" t="s">
        <v>148</v>
      </c>
      <c r="D259" s="34"/>
      <c r="E259" s="34"/>
      <c r="F259" s="11" t="s">
        <v>914</v>
      </c>
      <c r="G259" s="11" t="s">
        <v>145</v>
      </c>
      <c r="H259" s="11" t="s">
        <v>1466</v>
      </c>
      <c r="I259" s="11"/>
      <c r="J259" s="11"/>
      <c r="K259" s="90">
        <f t="shared" si="1"/>
        <v>20</v>
      </c>
      <c r="L259" s="11">
        <v>230</v>
      </c>
      <c r="M259" s="11" t="s">
        <v>36</v>
      </c>
      <c r="N259" s="11" t="s">
        <v>36</v>
      </c>
      <c r="O259" s="11">
        <v>286</v>
      </c>
      <c r="P259" s="11">
        <v>243</v>
      </c>
      <c r="Q259" s="11">
        <v>249</v>
      </c>
      <c r="R259" s="11">
        <f t="shared" si="2"/>
        <v>252</v>
      </c>
      <c r="S259" s="11"/>
    </row>
    <row r="260" spans="1:19" ht="14.25" customHeight="1" x14ac:dyDescent="0.25">
      <c r="A260" s="2"/>
      <c r="B260" s="34">
        <f t="shared" si="0"/>
        <v>22</v>
      </c>
      <c r="C260" s="34" t="s">
        <v>148</v>
      </c>
      <c r="D260" s="34"/>
      <c r="E260" s="34"/>
      <c r="F260" s="11" t="s">
        <v>1106</v>
      </c>
      <c r="G260" s="11" t="s">
        <v>123</v>
      </c>
      <c r="H260" s="11" t="s">
        <v>1466</v>
      </c>
      <c r="I260" s="11"/>
      <c r="J260" s="11"/>
      <c r="K260" s="90" t="e">
        <f t="shared" si="1"/>
        <v>#DIV/0!</v>
      </c>
      <c r="L260" s="11" t="s">
        <v>36</v>
      </c>
      <c r="M260" s="11" t="s">
        <v>36</v>
      </c>
      <c r="N260" s="11">
        <v>234</v>
      </c>
      <c r="O260" s="11">
        <v>293</v>
      </c>
      <c r="P260" s="11">
        <v>261</v>
      </c>
      <c r="Q260" s="11">
        <v>233</v>
      </c>
      <c r="R260" s="11">
        <f t="shared" si="2"/>
        <v>255</v>
      </c>
      <c r="S260" s="11"/>
    </row>
    <row r="261" spans="1:19" ht="14.25" customHeight="1" x14ac:dyDescent="0.25">
      <c r="A261" s="2"/>
      <c r="B261" s="34">
        <f t="shared" si="0"/>
        <v>22</v>
      </c>
      <c r="C261" s="34" t="s">
        <v>148</v>
      </c>
      <c r="D261" s="34"/>
      <c r="E261" s="34"/>
      <c r="F261" s="11" t="s">
        <v>1519</v>
      </c>
      <c r="G261" s="11" t="s">
        <v>94</v>
      </c>
      <c r="H261" s="11" t="s">
        <v>762</v>
      </c>
      <c r="I261" s="11"/>
      <c r="J261" s="11"/>
      <c r="K261" s="90" t="e">
        <f t="shared" si="1"/>
        <v>#DIV/0!</v>
      </c>
      <c r="L261" s="11" t="s">
        <v>36</v>
      </c>
      <c r="M261" s="11">
        <v>185</v>
      </c>
      <c r="N261" s="11" t="s">
        <v>36</v>
      </c>
      <c r="O261" s="11">
        <v>275</v>
      </c>
      <c r="P261" s="11">
        <v>255</v>
      </c>
      <c r="Q261" s="11">
        <v>309</v>
      </c>
      <c r="R261" s="11">
        <f t="shared" si="2"/>
        <v>256</v>
      </c>
      <c r="S261" s="11"/>
    </row>
    <row r="262" spans="1:19" ht="14.25" customHeight="1" x14ac:dyDescent="0.25">
      <c r="A262" s="2"/>
      <c r="B262" s="34">
        <f t="shared" si="0"/>
        <v>22</v>
      </c>
      <c r="C262" s="34" t="s">
        <v>148</v>
      </c>
      <c r="D262" s="34"/>
      <c r="E262" s="34"/>
      <c r="F262" s="11" t="s">
        <v>1520</v>
      </c>
      <c r="G262" s="11" t="s">
        <v>35</v>
      </c>
      <c r="H262" s="11" t="s">
        <v>764</v>
      </c>
      <c r="I262" s="11"/>
      <c r="J262" s="11"/>
      <c r="K262" s="90" t="e">
        <f t="shared" si="1"/>
        <v>#DIV/0!</v>
      </c>
      <c r="L262" s="11" t="s">
        <v>36</v>
      </c>
      <c r="M262" s="11">
        <v>220</v>
      </c>
      <c r="N262" s="11" t="s">
        <v>36</v>
      </c>
      <c r="O262" s="11">
        <v>282</v>
      </c>
      <c r="P262" s="11">
        <v>263</v>
      </c>
      <c r="Q262" s="11">
        <v>266</v>
      </c>
      <c r="R262" s="11">
        <f t="shared" si="2"/>
        <v>257</v>
      </c>
      <c r="S262" s="11"/>
    </row>
    <row r="263" spans="1:19" ht="14.25" customHeight="1" x14ac:dyDescent="0.25">
      <c r="A263" s="2"/>
      <c r="B263" s="34">
        <f t="shared" si="0"/>
        <v>22</v>
      </c>
      <c r="C263" s="34" t="s">
        <v>148</v>
      </c>
      <c r="D263" s="34"/>
      <c r="E263" s="34"/>
      <c r="F263" s="11" t="s">
        <v>1257</v>
      </c>
      <c r="G263" s="11" t="s">
        <v>155</v>
      </c>
      <c r="H263" s="11" t="s">
        <v>760</v>
      </c>
      <c r="I263" s="11"/>
      <c r="J263" s="11"/>
      <c r="K263" s="90" t="e">
        <f t="shared" si="1"/>
        <v>#DIV/0!</v>
      </c>
      <c r="L263" s="11" t="s">
        <v>36</v>
      </c>
      <c r="M263" s="11" t="s">
        <v>36</v>
      </c>
      <c r="N263" s="11">
        <v>235</v>
      </c>
      <c r="O263" s="11">
        <v>265</v>
      </c>
      <c r="P263" s="11">
        <v>270</v>
      </c>
      <c r="Q263" s="11">
        <v>272</v>
      </c>
      <c r="R263" s="11">
        <f t="shared" si="2"/>
        <v>260</v>
      </c>
      <c r="S263" s="11"/>
    </row>
    <row r="264" spans="1:19" ht="14.25" customHeight="1" x14ac:dyDescent="0.25">
      <c r="B264" s="34">
        <f t="shared" si="0"/>
        <v>22</v>
      </c>
      <c r="C264" s="34" t="s">
        <v>148</v>
      </c>
      <c r="D264" s="34"/>
      <c r="E264" s="34"/>
      <c r="F264" s="11" t="s">
        <v>1521</v>
      </c>
      <c r="G264" s="11" t="s">
        <v>233</v>
      </c>
      <c r="H264" s="11" t="s">
        <v>769</v>
      </c>
      <c r="I264" s="11"/>
      <c r="J264" s="11"/>
      <c r="K264" s="90" t="e">
        <f t="shared" si="1"/>
        <v>#DIV/0!</v>
      </c>
      <c r="L264" s="11" t="s">
        <v>36</v>
      </c>
      <c r="M264" s="11" t="s">
        <v>36</v>
      </c>
      <c r="N264" s="11">
        <v>243</v>
      </c>
      <c r="O264" s="11">
        <v>304</v>
      </c>
      <c r="P264" s="11">
        <v>287</v>
      </c>
      <c r="Q264" s="11">
        <v>210</v>
      </c>
      <c r="R264" s="11">
        <f t="shared" si="2"/>
        <v>261</v>
      </c>
      <c r="S264" s="11"/>
    </row>
    <row r="265" spans="1:19" ht="14.25" customHeight="1" x14ac:dyDescent="0.25">
      <c r="B265" s="34">
        <f t="shared" si="0"/>
        <v>22</v>
      </c>
      <c r="C265" s="34" t="s">
        <v>148</v>
      </c>
      <c r="D265" s="34"/>
      <c r="E265" s="34"/>
      <c r="F265" s="11" t="s">
        <v>929</v>
      </c>
      <c r="G265" s="11" t="s">
        <v>81</v>
      </c>
      <c r="H265" s="11" t="s">
        <v>1466</v>
      </c>
      <c r="I265" s="11"/>
      <c r="J265" s="11"/>
      <c r="K265" s="90" t="e">
        <f t="shared" si="1"/>
        <v>#DIV/0!</v>
      </c>
      <c r="L265" s="11" t="s">
        <v>36</v>
      </c>
      <c r="M265" s="11" t="s">
        <v>36</v>
      </c>
      <c r="N265" s="11">
        <v>264</v>
      </c>
      <c r="O265" s="11">
        <v>307</v>
      </c>
      <c r="P265" s="11">
        <v>256</v>
      </c>
      <c r="Q265" s="11">
        <v>217</v>
      </c>
      <c r="R265" s="11">
        <f t="shared" si="2"/>
        <v>261</v>
      </c>
      <c r="S265" s="11"/>
    </row>
    <row r="266" spans="1:19" ht="14.25" customHeight="1" x14ac:dyDescent="0.25">
      <c r="B266" s="34">
        <f t="shared" si="0"/>
        <v>23</v>
      </c>
      <c r="C266" s="34" t="s">
        <v>148</v>
      </c>
      <c r="D266" s="34"/>
      <c r="E266" s="34"/>
      <c r="F266" s="11" t="s">
        <v>262</v>
      </c>
      <c r="G266" s="11" t="s">
        <v>88</v>
      </c>
      <c r="H266" s="11" t="s">
        <v>760</v>
      </c>
      <c r="I266" s="11"/>
      <c r="J266" s="11"/>
      <c r="K266" s="90" t="e">
        <f t="shared" si="1"/>
        <v>#DIV/0!</v>
      </c>
      <c r="L266" s="11" t="s">
        <v>36</v>
      </c>
      <c r="M266" s="11" t="s">
        <v>36</v>
      </c>
      <c r="N266" s="11">
        <v>236</v>
      </c>
      <c r="O266" s="11">
        <v>268</v>
      </c>
      <c r="P266" s="11">
        <v>272</v>
      </c>
      <c r="Q266" s="11">
        <v>289</v>
      </c>
      <c r="R266" s="11">
        <f t="shared" si="2"/>
        <v>266</v>
      </c>
      <c r="S266" s="11"/>
    </row>
    <row r="267" spans="1:19" ht="14.25" customHeight="1" x14ac:dyDescent="0.25">
      <c r="B267" s="34">
        <f t="shared" si="0"/>
        <v>23</v>
      </c>
      <c r="C267" s="34" t="s">
        <v>148</v>
      </c>
      <c r="D267" s="34"/>
      <c r="E267" s="34"/>
      <c r="F267" s="11" t="s">
        <v>710</v>
      </c>
      <c r="G267" s="11" t="s">
        <v>39</v>
      </c>
      <c r="H267" s="11" t="s">
        <v>1466</v>
      </c>
      <c r="I267" s="11"/>
      <c r="J267" s="11"/>
      <c r="K267" s="90" t="e">
        <f t="shared" si="1"/>
        <v>#DIV/0!</v>
      </c>
      <c r="L267" s="11" t="s">
        <v>36</v>
      </c>
      <c r="M267" s="11" t="s">
        <v>36</v>
      </c>
      <c r="N267" s="11">
        <v>237</v>
      </c>
      <c r="O267" s="11">
        <v>315</v>
      </c>
      <c r="P267" s="11">
        <v>282</v>
      </c>
      <c r="Q267" s="11">
        <v>246</v>
      </c>
      <c r="R267" s="11">
        <f t="shared" si="2"/>
        <v>270</v>
      </c>
      <c r="S267" s="11"/>
    </row>
    <row r="268" spans="1:19" ht="14.25" customHeight="1" x14ac:dyDescent="0.25">
      <c r="B268" s="34">
        <f t="shared" si="0"/>
        <v>24</v>
      </c>
      <c r="C268" s="34" t="s">
        <v>148</v>
      </c>
      <c r="D268" s="34"/>
      <c r="E268" s="34"/>
      <c r="F268" s="11" t="s">
        <v>811</v>
      </c>
      <c r="G268" s="11" t="s">
        <v>155</v>
      </c>
      <c r="H268" s="11" t="s">
        <v>769</v>
      </c>
      <c r="I268" s="11"/>
      <c r="J268" s="11"/>
      <c r="K268" s="90" t="e">
        <f t="shared" si="1"/>
        <v>#DIV/0!</v>
      </c>
      <c r="L268" s="11" t="s">
        <v>36</v>
      </c>
      <c r="M268" s="11" t="s">
        <v>36</v>
      </c>
      <c r="N268" s="11">
        <v>224</v>
      </c>
      <c r="O268" s="11">
        <v>303</v>
      </c>
      <c r="P268" s="11">
        <v>312</v>
      </c>
      <c r="Q268" s="11">
        <v>267</v>
      </c>
      <c r="R268" s="11">
        <f t="shared" si="2"/>
        <v>276</v>
      </c>
      <c r="S268" s="11"/>
    </row>
    <row r="269" spans="1:19" ht="14.25" customHeight="1" x14ac:dyDescent="0.25">
      <c r="B269" s="34">
        <f t="shared" ref="B269:B336" si="3">IFERROR(INT(AVERAGE(L269:Q269)/12)+1, INT(AVERAGE(L269)/12)+1)</f>
        <v>25</v>
      </c>
      <c r="C269" s="34" t="s">
        <v>148</v>
      </c>
      <c r="D269" s="34"/>
      <c r="E269" s="34"/>
      <c r="F269" s="11" t="s">
        <v>1504</v>
      </c>
      <c r="G269" s="11" t="s">
        <v>1522</v>
      </c>
      <c r="H269" s="11" t="s">
        <v>772</v>
      </c>
      <c r="I269" s="11"/>
      <c r="J269" s="11"/>
      <c r="K269" s="90">
        <f t="shared" ref="K269:K336" si="4">INT(AVERAGE(L269)/12)+1</f>
        <v>25</v>
      </c>
      <c r="L269" s="90">
        <v>288.7</v>
      </c>
      <c r="M269" s="11">
        <v>253</v>
      </c>
      <c r="N269" s="90" t="e">
        <v>#N/A</v>
      </c>
      <c r="O269" s="90">
        <v>0</v>
      </c>
      <c r="P269" s="90">
        <v>0</v>
      </c>
      <c r="Q269" s="90">
        <v>392</v>
      </c>
      <c r="R269" s="11" t="e">
        <f t="shared" ref="R269:R336" si="5">INT(AVERAGE(L269:Q269))</f>
        <v>#N/A</v>
      </c>
      <c r="S269" s="11"/>
    </row>
    <row r="270" spans="1:19" ht="14.25" customHeight="1" x14ac:dyDescent="0.25">
      <c r="B270" s="34">
        <f t="shared" si="3"/>
        <v>25</v>
      </c>
      <c r="C270" s="34" t="s">
        <v>148</v>
      </c>
      <c r="D270" s="34"/>
      <c r="E270" s="34"/>
      <c r="F270" s="11" t="s">
        <v>1523</v>
      </c>
      <c r="G270" s="11" t="s">
        <v>39</v>
      </c>
      <c r="H270" s="11" t="s">
        <v>772</v>
      </c>
      <c r="I270" s="11"/>
      <c r="J270" s="11"/>
      <c r="K270" s="90">
        <f t="shared" si="4"/>
        <v>25</v>
      </c>
      <c r="L270" s="90">
        <v>289</v>
      </c>
      <c r="M270" s="11">
        <v>254</v>
      </c>
      <c r="N270" s="90" t="s">
        <v>1524</v>
      </c>
      <c r="O270" s="90" t="e">
        <v>#N/A</v>
      </c>
      <c r="P270" s="90" t="e">
        <v>#N/A</v>
      </c>
      <c r="Q270" s="90" t="e">
        <v>#N/A</v>
      </c>
      <c r="R270" s="11" t="e">
        <f t="shared" si="5"/>
        <v>#N/A</v>
      </c>
      <c r="S270" s="11"/>
    </row>
    <row r="271" spans="1:19" ht="14.25" customHeight="1" x14ac:dyDescent="0.25">
      <c r="B271" s="34">
        <f t="shared" si="3"/>
        <v>25</v>
      </c>
      <c r="C271" s="34" t="s">
        <v>148</v>
      </c>
      <c r="D271" s="34"/>
      <c r="E271" s="34"/>
      <c r="F271" s="11" t="s">
        <v>1512</v>
      </c>
      <c r="G271" s="11" t="s">
        <v>66</v>
      </c>
      <c r="H271" s="11" t="s">
        <v>772</v>
      </c>
      <c r="I271" s="11"/>
      <c r="J271" s="11"/>
      <c r="K271" s="90">
        <f t="shared" si="4"/>
        <v>25</v>
      </c>
      <c r="L271" s="90">
        <v>290.3</v>
      </c>
      <c r="M271" s="11">
        <v>257</v>
      </c>
      <c r="N271" s="90" t="e">
        <v>#N/A</v>
      </c>
      <c r="O271" s="90" t="e">
        <v>#N/A</v>
      </c>
      <c r="P271" s="90" t="e">
        <v>#N/A</v>
      </c>
      <c r="Q271" s="90" t="e">
        <v>#N/A</v>
      </c>
      <c r="R271" s="11" t="e">
        <f t="shared" si="5"/>
        <v>#N/A</v>
      </c>
      <c r="S271" s="11"/>
    </row>
    <row r="272" spans="1:19" ht="14.25" customHeight="1" x14ac:dyDescent="0.25">
      <c r="B272" s="34">
        <f t="shared" si="3"/>
        <v>25</v>
      </c>
      <c r="C272" s="34" t="s">
        <v>148</v>
      </c>
      <c r="D272" s="34"/>
      <c r="E272" s="34"/>
      <c r="F272" s="11" t="s">
        <v>604</v>
      </c>
      <c r="G272" s="11" t="s">
        <v>163</v>
      </c>
      <c r="H272" s="11" t="s">
        <v>772</v>
      </c>
      <c r="I272" s="11"/>
      <c r="J272" s="11"/>
      <c r="K272" s="90">
        <f t="shared" si="4"/>
        <v>25</v>
      </c>
      <c r="L272" s="90">
        <v>291</v>
      </c>
      <c r="M272" s="11">
        <v>258</v>
      </c>
      <c r="N272" s="90" t="e">
        <v>#N/A</v>
      </c>
      <c r="O272" s="90" t="e">
        <v>#N/A</v>
      </c>
      <c r="P272" s="90" t="e">
        <v>#N/A</v>
      </c>
      <c r="Q272" s="90" t="e">
        <v>#N/A</v>
      </c>
      <c r="R272" s="11" t="e">
        <f t="shared" si="5"/>
        <v>#N/A</v>
      </c>
      <c r="S272" s="11"/>
    </row>
    <row r="273" spans="2:19" ht="14.25" customHeight="1" x14ac:dyDescent="0.25">
      <c r="B273" s="34">
        <f t="shared" si="3"/>
        <v>25</v>
      </c>
      <c r="C273" s="34" t="s">
        <v>148</v>
      </c>
      <c r="D273" s="34"/>
      <c r="E273" s="34"/>
      <c r="F273" s="11" t="s">
        <v>1090</v>
      </c>
      <c r="G273" s="11" t="s">
        <v>233</v>
      </c>
      <c r="H273" s="11" t="s">
        <v>772</v>
      </c>
      <c r="I273" s="11"/>
      <c r="J273" s="11"/>
      <c r="K273" s="90">
        <f t="shared" si="4"/>
        <v>25</v>
      </c>
      <c r="L273" s="90">
        <v>291</v>
      </c>
      <c r="M273" s="11">
        <v>259</v>
      </c>
      <c r="N273" s="90" t="e">
        <v>#N/A</v>
      </c>
      <c r="O273" s="90" t="e">
        <v>#N/A</v>
      </c>
      <c r="P273" s="90" t="e">
        <v>#N/A</v>
      </c>
      <c r="Q273" s="90" t="e">
        <v>#N/A</v>
      </c>
      <c r="R273" s="11" t="e">
        <f t="shared" si="5"/>
        <v>#N/A</v>
      </c>
      <c r="S273" s="11"/>
    </row>
    <row r="274" spans="2:19" ht="14.25" customHeight="1" x14ac:dyDescent="0.25">
      <c r="B274" s="34">
        <f t="shared" si="3"/>
        <v>25</v>
      </c>
      <c r="C274" s="34" t="s">
        <v>148</v>
      </c>
      <c r="D274" s="34"/>
      <c r="E274" s="34"/>
      <c r="F274" s="11" t="s">
        <v>1234</v>
      </c>
      <c r="G274" s="11" t="s">
        <v>168</v>
      </c>
      <c r="H274" s="11" t="s">
        <v>772</v>
      </c>
      <c r="I274" s="11"/>
      <c r="J274" s="11"/>
      <c r="K274" s="90">
        <f t="shared" si="4"/>
        <v>25</v>
      </c>
      <c r="L274" s="90">
        <v>294</v>
      </c>
      <c r="M274" s="11">
        <v>264</v>
      </c>
      <c r="N274" s="90" t="e">
        <v>#N/A</v>
      </c>
      <c r="O274" s="90">
        <v>0</v>
      </c>
      <c r="P274" s="90">
        <v>0</v>
      </c>
      <c r="Q274" s="90">
        <v>331</v>
      </c>
      <c r="R274" s="11" t="e">
        <f t="shared" si="5"/>
        <v>#N/A</v>
      </c>
      <c r="S274" s="11"/>
    </row>
    <row r="275" spans="2:19" ht="14.25" customHeight="1" x14ac:dyDescent="0.25">
      <c r="B275" s="34">
        <f t="shared" si="3"/>
        <v>25</v>
      </c>
      <c r="C275" s="34" t="s">
        <v>148</v>
      </c>
      <c r="D275" s="34"/>
      <c r="E275" s="34"/>
      <c r="F275" s="11" t="s">
        <v>1236</v>
      </c>
      <c r="G275" s="11" t="s">
        <v>187</v>
      </c>
      <c r="H275" s="11" t="s">
        <v>772</v>
      </c>
      <c r="I275" s="11"/>
      <c r="J275" s="11"/>
      <c r="K275" s="90">
        <f t="shared" si="4"/>
        <v>25</v>
      </c>
      <c r="L275" s="90">
        <v>295.3</v>
      </c>
      <c r="M275" s="11">
        <v>265</v>
      </c>
      <c r="N275" s="90" t="e">
        <v>#N/A</v>
      </c>
      <c r="O275" s="90" t="e">
        <v>#N/A</v>
      </c>
      <c r="P275" s="90" t="e">
        <v>#N/A</v>
      </c>
      <c r="Q275" s="90" t="e">
        <v>#N/A</v>
      </c>
      <c r="R275" s="11" t="e">
        <f t="shared" si="5"/>
        <v>#N/A</v>
      </c>
      <c r="S275" s="11"/>
    </row>
    <row r="276" spans="2:19" ht="14.25" customHeight="1" x14ac:dyDescent="0.25">
      <c r="B276" s="34">
        <f t="shared" si="3"/>
        <v>25</v>
      </c>
      <c r="C276" s="34" t="s">
        <v>148</v>
      </c>
      <c r="D276" s="34"/>
      <c r="E276" s="34"/>
      <c r="F276" s="11" t="s">
        <v>1525</v>
      </c>
      <c r="G276" s="11" t="s">
        <v>81</v>
      </c>
      <c r="H276" s="11" t="s">
        <v>760</v>
      </c>
      <c r="I276" s="11"/>
      <c r="J276" s="11"/>
      <c r="K276" s="90">
        <f t="shared" si="4"/>
        <v>25</v>
      </c>
      <c r="L276" s="90">
        <v>295.5</v>
      </c>
      <c r="M276" s="11">
        <v>266</v>
      </c>
      <c r="N276" s="90" t="e">
        <v>#N/A</v>
      </c>
      <c r="O276" s="90" t="e">
        <v>#N/A</v>
      </c>
      <c r="P276" s="90" t="e">
        <v>#N/A</v>
      </c>
      <c r="Q276" s="90" t="e">
        <v>#N/A</v>
      </c>
      <c r="R276" s="11" t="e">
        <f t="shared" si="5"/>
        <v>#N/A</v>
      </c>
      <c r="S276" s="11"/>
    </row>
    <row r="277" spans="2:19" ht="14.25" customHeight="1" x14ac:dyDescent="0.25">
      <c r="B277" s="34">
        <f t="shared" si="3"/>
        <v>25</v>
      </c>
      <c r="C277" s="34" t="s">
        <v>148</v>
      </c>
      <c r="D277" s="34"/>
      <c r="E277" s="34"/>
      <c r="F277" s="11" t="s">
        <v>1502</v>
      </c>
      <c r="G277" s="11" t="s">
        <v>72</v>
      </c>
      <c r="H277" s="11" t="s">
        <v>772</v>
      </c>
      <c r="I277" s="11"/>
      <c r="J277" s="11"/>
      <c r="K277" s="90">
        <f t="shared" si="4"/>
        <v>25</v>
      </c>
      <c r="L277" s="90">
        <v>298</v>
      </c>
      <c r="M277" s="11">
        <v>268</v>
      </c>
      <c r="N277" s="90" t="e">
        <v>#N/A</v>
      </c>
      <c r="O277" s="90">
        <v>0</v>
      </c>
      <c r="P277" s="90">
        <v>201</v>
      </c>
      <c r="Q277" s="90">
        <v>284</v>
      </c>
      <c r="R277" s="11" t="e">
        <f t="shared" si="5"/>
        <v>#N/A</v>
      </c>
      <c r="S277" s="11"/>
    </row>
    <row r="278" spans="2:19" ht="14.25" customHeight="1" x14ac:dyDescent="0.25">
      <c r="B278" s="34">
        <f t="shared" si="3"/>
        <v>26</v>
      </c>
      <c r="C278" s="34" t="s">
        <v>148</v>
      </c>
      <c r="D278" s="34"/>
      <c r="E278" s="34"/>
      <c r="F278" s="11" t="s">
        <v>1238</v>
      </c>
      <c r="G278" s="11" t="s">
        <v>163</v>
      </c>
      <c r="H278" s="11" t="s">
        <v>769</v>
      </c>
      <c r="I278" s="11"/>
      <c r="J278" s="11"/>
      <c r="K278" s="90">
        <f t="shared" si="4"/>
        <v>26</v>
      </c>
      <c r="L278" s="90">
        <v>300</v>
      </c>
      <c r="M278" s="11">
        <v>270</v>
      </c>
      <c r="N278" s="90" t="e">
        <v>#N/A</v>
      </c>
      <c r="O278" s="90">
        <v>209</v>
      </c>
      <c r="P278" s="90">
        <v>0</v>
      </c>
      <c r="Q278" s="90">
        <v>336</v>
      </c>
      <c r="R278" s="11" t="e">
        <f t="shared" si="5"/>
        <v>#N/A</v>
      </c>
      <c r="S278" s="11"/>
    </row>
    <row r="279" spans="2:19" ht="14.25" customHeight="1" x14ac:dyDescent="0.25">
      <c r="B279" s="34">
        <f t="shared" si="3"/>
        <v>26</v>
      </c>
      <c r="C279" s="34" t="s">
        <v>148</v>
      </c>
      <c r="D279" s="34"/>
      <c r="E279" s="34"/>
      <c r="F279" s="11" t="s">
        <v>914</v>
      </c>
      <c r="G279" s="11" t="s">
        <v>145</v>
      </c>
      <c r="H279" s="11" t="s">
        <v>1466</v>
      </c>
      <c r="I279" s="11"/>
      <c r="J279" s="11"/>
      <c r="K279" s="90">
        <f t="shared" si="4"/>
        <v>26</v>
      </c>
      <c r="L279" s="90">
        <v>300.5</v>
      </c>
      <c r="M279" s="11">
        <v>271</v>
      </c>
      <c r="N279" s="90" t="e">
        <v>#N/A</v>
      </c>
      <c r="O279" s="90" t="e">
        <v>#N/A</v>
      </c>
      <c r="P279" s="90" t="e">
        <v>#N/A</v>
      </c>
      <c r="Q279" s="90" t="e">
        <v>#N/A</v>
      </c>
      <c r="R279" s="11" t="e">
        <f t="shared" si="5"/>
        <v>#N/A</v>
      </c>
      <c r="S279" s="11"/>
    </row>
    <row r="280" spans="2:19" ht="14.25" customHeight="1" x14ac:dyDescent="0.25">
      <c r="B280" s="34">
        <f t="shared" si="3"/>
        <v>26</v>
      </c>
      <c r="C280" s="34" t="s">
        <v>148</v>
      </c>
      <c r="D280" s="34"/>
      <c r="E280" s="34"/>
      <c r="F280" s="11" t="s">
        <v>1527</v>
      </c>
      <c r="G280" s="11" t="s">
        <v>1528</v>
      </c>
      <c r="H280" s="11" t="s">
        <v>772</v>
      </c>
      <c r="I280" s="11"/>
      <c r="J280" s="11"/>
      <c r="K280" s="90">
        <f t="shared" si="4"/>
        <v>26</v>
      </c>
      <c r="L280" s="90">
        <v>304</v>
      </c>
      <c r="M280" s="11">
        <v>273</v>
      </c>
      <c r="N280" s="90" t="e">
        <v>#N/A</v>
      </c>
      <c r="O280" s="90" t="e">
        <v>#N/A</v>
      </c>
      <c r="P280" s="90" t="e">
        <v>#N/A</v>
      </c>
      <c r="Q280" s="90" t="e">
        <v>#N/A</v>
      </c>
      <c r="R280" s="11" t="e">
        <f t="shared" si="5"/>
        <v>#N/A</v>
      </c>
      <c r="S280" s="11"/>
    </row>
    <row r="281" spans="2:19" ht="14.25" customHeight="1" x14ac:dyDescent="0.25">
      <c r="B281" s="34">
        <f t="shared" si="3"/>
        <v>26</v>
      </c>
      <c r="C281" s="34" t="s">
        <v>148</v>
      </c>
      <c r="D281" s="34"/>
      <c r="E281" s="34"/>
      <c r="F281" s="11" t="s">
        <v>710</v>
      </c>
      <c r="G281" s="11" t="s">
        <v>39</v>
      </c>
      <c r="H281" s="11" t="s">
        <v>1466</v>
      </c>
      <c r="I281" s="11"/>
      <c r="J281" s="11"/>
      <c r="K281" s="90">
        <f t="shared" si="4"/>
        <v>26</v>
      </c>
      <c r="L281" s="90">
        <v>304.3</v>
      </c>
      <c r="M281" s="11">
        <v>275</v>
      </c>
      <c r="N281" s="90" t="e">
        <v>#N/A</v>
      </c>
      <c r="O281" s="90" t="e">
        <v>#N/A</v>
      </c>
      <c r="P281" s="90" t="e">
        <v>#N/A</v>
      </c>
      <c r="Q281" s="90" t="e">
        <v>#N/A</v>
      </c>
      <c r="R281" s="11" t="e">
        <f t="shared" si="5"/>
        <v>#N/A</v>
      </c>
      <c r="S281" s="11"/>
    </row>
    <row r="282" spans="2:19" ht="14.25" customHeight="1" x14ac:dyDescent="0.25">
      <c r="B282" s="34">
        <f t="shared" si="3"/>
        <v>26</v>
      </c>
      <c r="C282" s="34" t="s">
        <v>148</v>
      </c>
      <c r="D282" s="34"/>
      <c r="E282" s="34"/>
      <c r="F282" s="11" t="s">
        <v>547</v>
      </c>
      <c r="G282" s="11" t="s">
        <v>214</v>
      </c>
      <c r="H282" s="11" t="s">
        <v>1466</v>
      </c>
      <c r="I282" s="11"/>
      <c r="J282" s="11"/>
      <c r="K282" s="90">
        <f t="shared" si="4"/>
        <v>26</v>
      </c>
      <c r="L282" s="90">
        <v>304.5</v>
      </c>
      <c r="M282" s="11">
        <v>277</v>
      </c>
      <c r="N282" s="90" t="e">
        <v>#N/A</v>
      </c>
      <c r="O282" s="90">
        <v>181</v>
      </c>
      <c r="P282" s="90">
        <v>0</v>
      </c>
      <c r="Q282" s="90">
        <v>275</v>
      </c>
      <c r="R282" s="11" t="e">
        <f t="shared" si="5"/>
        <v>#N/A</v>
      </c>
      <c r="S282" s="11"/>
    </row>
    <row r="283" spans="2:19" ht="14.25" customHeight="1" x14ac:dyDescent="0.25">
      <c r="B283" s="34">
        <f t="shared" si="3"/>
        <v>26</v>
      </c>
      <c r="C283" s="34" t="s">
        <v>148</v>
      </c>
      <c r="D283" s="34"/>
      <c r="E283" s="34"/>
      <c r="F283" s="11" t="s">
        <v>1517</v>
      </c>
      <c r="G283" s="11" t="s">
        <v>184</v>
      </c>
      <c r="H283" s="11" t="s">
        <v>760</v>
      </c>
      <c r="I283" s="11"/>
      <c r="J283" s="11"/>
      <c r="K283" s="90">
        <f t="shared" si="4"/>
        <v>26</v>
      </c>
      <c r="L283" s="90">
        <v>304.5</v>
      </c>
      <c r="M283" s="11">
        <v>276</v>
      </c>
      <c r="N283" s="90" t="e">
        <v>#N/A</v>
      </c>
      <c r="O283" s="90">
        <v>0</v>
      </c>
      <c r="P283" s="90">
        <v>0</v>
      </c>
      <c r="Q283" s="90">
        <v>247</v>
      </c>
      <c r="R283" s="11" t="e">
        <f t="shared" si="5"/>
        <v>#N/A</v>
      </c>
      <c r="S283" s="11"/>
    </row>
    <row r="284" spans="2:19" ht="14.25" customHeight="1" x14ac:dyDescent="0.25">
      <c r="B284" s="34">
        <f t="shared" si="3"/>
        <v>26</v>
      </c>
      <c r="C284" s="34" t="s">
        <v>148</v>
      </c>
      <c r="D284" s="34"/>
      <c r="E284" s="34"/>
      <c r="F284" s="11" t="s">
        <v>1106</v>
      </c>
      <c r="G284" s="11" t="s">
        <v>123</v>
      </c>
      <c r="H284" s="11" t="s">
        <v>1466</v>
      </c>
      <c r="I284" s="11"/>
      <c r="J284" s="11"/>
      <c r="K284" s="90">
        <f t="shared" si="4"/>
        <v>26</v>
      </c>
      <c r="L284" s="90">
        <v>305</v>
      </c>
      <c r="M284" s="11">
        <v>278</v>
      </c>
      <c r="N284" s="90" t="e">
        <v>#N/A</v>
      </c>
      <c r="O284" s="90">
        <v>0</v>
      </c>
      <c r="P284" s="90">
        <v>0</v>
      </c>
      <c r="Q284" s="90">
        <v>240</v>
      </c>
      <c r="R284" s="11" t="e">
        <f t="shared" si="5"/>
        <v>#N/A</v>
      </c>
      <c r="S284" s="11"/>
    </row>
    <row r="285" spans="2:19" ht="14.25" customHeight="1" x14ac:dyDescent="0.25">
      <c r="B285" s="34">
        <f t="shared" si="3"/>
        <v>26</v>
      </c>
      <c r="C285" s="34" t="s">
        <v>148</v>
      </c>
      <c r="D285" s="34"/>
      <c r="E285" s="34"/>
      <c r="F285" s="11" t="s">
        <v>523</v>
      </c>
      <c r="G285" s="11" t="s">
        <v>35</v>
      </c>
      <c r="H285" s="11" t="s">
        <v>1466</v>
      </c>
      <c r="I285" s="11"/>
      <c r="J285" s="11"/>
      <c r="K285" s="90">
        <f t="shared" si="4"/>
        <v>26</v>
      </c>
      <c r="L285" s="90">
        <v>306.5</v>
      </c>
      <c r="M285" s="11">
        <v>279</v>
      </c>
      <c r="N285" s="90" t="e">
        <v>#N/A</v>
      </c>
      <c r="O285" s="90" t="e">
        <v>#N/A</v>
      </c>
      <c r="P285" s="90" t="e">
        <v>#N/A</v>
      </c>
      <c r="Q285" s="90" t="e">
        <v>#N/A</v>
      </c>
      <c r="R285" s="11" t="e">
        <f t="shared" si="5"/>
        <v>#N/A</v>
      </c>
      <c r="S285" s="11"/>
    </row>
    <row r="286" spans="2:19" ht="14.25" customHeight="1" x14ac:dyDescent="0.25">
      <c r="B286" s="34">
        <f t="shared" si="3"/>
        <v>26</v>
      </c>
      <c r="C286" s="34" t="s">
        <v>148</v>
      </c>
      <c r="D286" s="34"/>
      <c r="E286" s="34"/>
      <c r="F286" s="94"/>
      <c r="G286" s="94"/>
      <c r="H286" s="90"/>
      <c r="I286" s="90"/>
      <c r="J286" s="90"/>
      <c r="K286" s="90">
        <f t="shared" si="4"/>
        <v>26</v>
      </c>
      <c r="L286" s="90">
        <v>308</v>
      </c>
      <c r="M286" s="90"/>
      <c r="N286" s="90" t="e">
        <v>#N/A</v>
      </c>
      <c r="O286" s="90" t="e">
        <v>#N/A</v>
      </c>
      <c r="P286" s="90" t="e">
        <v>#N/A</v>
      </c>
      <c r="Q286" s="90" t="e">
        <v>#N/A</v>
      </c>
      <c r="R286" s="11" t="e">
        <f t="shared" si="5"/>
        <v>#N/A</v>
      </c>
      <c r="S286" s="11"/>
    </row>
    <row r="287" spans="2:19" ht="14.25" customHeight="1" x14ac:dyDescent="0.25">
      <c r="B287" s="34">
        <f t="shared" si="3"/>
        <v>26</v>
      </c>
      <c r="C287" s="34" t="s">
        <v>148</v>
      </c>
      <c r="D287" s="34"/>
      <c r="E287" s="34"/>
      <c r="F287" s="94"/>
      <c r="G287" s="94"/>
      <c r="H287" s="90"/>
      <c r="I287" s="90"/>
      <c r="J287" s="90"/>
      <c r="K287" s="90">
        <f t="shared" si="4"/>
        <v>26</v>
      </c>
      <c r="L287" s="90">
        <v>309</v>
      </c>
      <c r="M287" s="90"/>
      <c r="N287" s="90" t="e">
        <v>#N/A</v>
      </c>
      <c r="O287" s="90" t="e">
        <v>#N/A</v>
      </c>
      <c r="P287" s="90" t="e">
        <v>#N/A</v>
      </c>
      <c r="Q287" s="90" t="e">
        <v>#N/A</v>
      </c>
      <c r="R287" s="11" t="e">
        <f t="shared" si="5"/>
        <v>#N/A</v>
      </c>
      <c r="S287" s="11"/>
    </row>
    <row r="288" spans="2:19" ht="14.25" customHeight="1" x14ac:dyDescent="0.25">
      <c r="B288" s="34">
        <f t="shared" si="3"/>
        <v>26</v>
      </c>
      <c r="C288" s="34" t="s">
        <v>148</v>
      </c>
      <c r="D288" s="34"/>
      <c r="E288" s="34"/>
      <c r="F288" s="94"/>
      <c r="G288" s="94"/>
      <c r="H288" s="90"/>
      <c r="I288" s="90"/>
      <c r="J288" s="90"/>
      <c r="K288" s="90">
        <f t="shared" si="4"/>
        <v>26</v>
      </c>
      <c r="L288" s="90">
        <v>309</v>
      </c>
      <c r="M288" s="90"/>
      <c r="N288" s="90" t="e">
        <v>#N/A</v>
      </c>
      <c r="O288" s="90" t="e">
        <v>#N/A</v>
      </c>
      <c r="P288" s="90" t="e">
        <v>#N/A</v>
      </c>
      <c r="Q288" s="90" t="e">
        <v>#N/A</v>
      </c>
      <c r="R288" s="11" t="e">
        <f t="shared" si="5"/>
        <v>#N/A</v>
      </c>
      <c r="S288" s="11"/>
    </row>
    <row r="289" spans="2:19" ht="14.25" customHeight="1" x14ac:dyDescent="0.25">
      <c r="B289" s="34">
        <f t="shared" si="3"/>
        <v>26</v>
      </c>
      <c r="C289" s="34" t="s">
        <v>148</v>
      </c>
      <c r="D289" s="34"/>
      <c r="E289" s="34"/>
      <c r="F289" s="94"/>
      <c r="G289" s="94"/>
      <c r="H289" s="90"/>
      <c r="I289" s="90"/>
      <c r="J289" s="90"/>
      <c r="K289" s="90">
        <f t="shared" si="4"/>
        <v>26</v>
      </c>
      <c r="L289" s="90">
        <v>309</v>
      </c>
      <c r="M289" s="90"/>
      <c r="N289" s="90" t="e">
        <v>#N/A</v>
      </c>
      <c r="O289" s="90" t="e">
        <v>#N/A</v>
      </c>
      <c r="P289" s="90" t="e">
        <v>#N/A</v>
      </c>
      <c r="Q289" s="90" t="e">
        <v>#N/A</v>
      </c>
      <c r="R289" s="11" t="e">
        <f t="shared" si="5"/>
        <v>#N/A</v>
      </c>
      <c r="S289" s="11"/>
    </row>
    <row r="290" spans="2:19" ht="14.25" customHeight="1" x14ac:dyDescent="0.25">
      <c r="B290" s="34">
        <f t="shared" si="3"/>
        <v>26</v>
      </c>
      <c r="C290" s="34" t="s">
        <v>148</v>
      </c>
      <c r="D290" s="34"/>
      <c r="E290" s="34"/>
      <c r="F290" s="94"/>
      <c r="G290" s="94"/>
      <c r="H290" s="90"/>
      <c r="I290" s="90"/>
      <c r="J290" s="90"/>
      <c r="K290" s="90">
        <f t="shared" si="4"/>
        <v>26</v>
      </c>
      <c r="L290" s="90">
        <v>309.5</v>
      </c>
      <c r="M290" s="90"/>
      <c r="N290" s="90" t="e">
        <v>#N/A</v>
      </c>
      <c r="O290" s="90" t="e">
        <v>#N/A</v>
      </c>
      <c r="P290" s="90" t="e">
        <v>#N/A</v>
      </c>
      <c r="Q290" s="90" t="e">
        <v>#N/A</v>
      </c>
      <c r="R290" s="11" t="e">
        <f t="shared" si="5"/>
        <v>#N/A</v>
      </c>
      <c r="S290" s="11"/>
    </row>
    <row r="291" spans="2:19" ht="14.25" customHeight="1" x14ac:dyDescent="0.25">
      <c r="B291" s="34">
        <f t="shared" si="3"/>
        <v>26</v>
      </c>
      <c r="C291" s="34" t="s">
        <v>148</v>
      </c>
      <c r="D291" s="34"/>
      <c r="E291" s="34"/>
      <c r="F291" s="94"/>
      <c r="G291" s="94"/>
      <c r="H291" s="90"/>
      <c r="I291" s="90"/>
      <c r="J291" s="90"/>
      <c r="K291" s="90">
        <f t="shared" si="4"/>
        <v>26</v>
      </c>
      <c r="L291" s="90">
        <v>310</v>
      </c>
      <c r="M291" s="90"/>
      <c r="N291" s="90" t="e">
        <v>#N/A</v>
      </c>
      <c r="O291" s="90" t="e">
        <v>#N/A</v>
      </c>
      <c r="P291" s="90" t="e">
        <v>#N/A</v>
      </c>
      <c r="Q291" s="90" t="e">
        <v>#N/A</v>
      </c>
      <c r="R291" s="11" t="e">
        <f t="shared" si="5"/>
        <v>#N/A</v>
      </c>
      <c r="S291" s="11"/>
    </row>
    <row r="292" spans="2:19" ht="14.25" customHeight="1" x14ac:dyDescent="0.25">
      <c r="B292" s="34">
        <f t="shared" si="3"/>
        <v>26</v>
      </c>
      <c r="C292" s="34" t="s">
        <v>148</v>
      </c>
      <c r="D292" s="34"/>
      <c r="E292" s="34"/>
      <c r="F292" s="94"/>
      <c r="G292" s="94"/>
      <c r="H292" s="90"/>
      <c r="I292" s="90"/>
      <c r="J292" s="90"/>
      <c r="K292" s="90">
        <f t="shared" si="4"/>
        <v>26</v>
      </c>
      <c r="L292" s="90">
        <v>311</v>
      </c>
      <c r="M292" s="90"/>
      <c r="N292" s="90" t="e">
        <v>#N/A</v>
      </c>
      <c r="O292" s="90" t="e">
        <v>#N/A</v>
      </c>
      <c r="P292" s="90" t="e">
        <v>#N/A</v>
      </c>
      <c r="Q292" s="90" t="e">
        <v>#N/A</v>
      </c>
      <c r="R292" s="11" t="e">
        <f t="shared" si="5"/>
        <v>#N/A</v>
      </c>
      <c r="S292" s="11"/>
    </row>
    <row r="293" spans="2:19" ht="14.25" customHeight="1" x14ac:dyDescent="0.25">
      <c r="B293" s="34">
        <f t="shared" si="3"/>
        <v>26</v>
      </c>
      <c r="C293" s="34" t="s">
        <v>148</v>
      </c>
      <c r="D293" s="34"/>
      <c r="E293" s="34"/>
      <c r="F293" s="94"/>
      <c r="G293" s="94"/>
      <c r="H293" s="90"/>
      <c r="I293" s="90"/>
      <c r="J293" s="90"/>
      <c r="K293" s="90">
        <f t="shared" si="4"/>
        <v>26</v>
      </c>
      <c r="L293" s="90">
        <v>311</v>
      </c>
      <c r="M293" s="90"/>
      <c r="N293" s="90" t="e">
        <v>#N/A</v>
      </c>
      <c r="O293" s="90" t="e">
        <v>#N/A</v>
      </c>
      <c r="P293" s="90" t="e">
        <v>#N/A</v>
      </c>
      <c r="Q293" s="90" t="e">
        <v>#N/A</v>
      </c>
      <c r="R293" s="11" t="e">
        <f t="shared" si="5"/>
        <v>#N/A</v>
      </c>
      <c r="S293" s="11"/>
    </row>
    <row r="294" spans="2:19" ht="14.25" customHeight="1" x14ac:dyDescent="0.25">
      <c r="B294" s="34">
        <f t="shared" si="3"/>
        <v>26</v>
      </c>
      <c r="C294" s="34" t="s">
        <v>148</v>
      </c>
      <c r="D294" s="34"/>
      <c r="E294" s="34"/>
      <c r="F294" s="94"/>
      <c r="G294" s="94"/>
      <c r="H294" s="90"/>
      <c r="I294" s="90"/>
      <c r="J294" s="90"/>
      <c r="K294" s="90">
        <f t="shared" si="4"/>
        <v>26</v>
      </c>
      <c r="L294" s="90">
        <v>311.5</v>
      </c>
      <c r="M294" s="90"/>
      <c r="N294" s="90" t="e">
        <v>#N/A</v>
      </c>
      <c r="O294" s="90" t="e">
        <v>#N/A</v>
      </c>
      <c r="P294" s="90" t="e">
        <v>#N/A</v>
      </c>
      <c r="Q294" s="90" t="e">
        <v>#N/A</v>
      </c>
      <c r="R294" s="11" t="e">
        <f t="shared" si="5"/>
        <v>#N/A</v>
      </c>
      <c r="S294" s="11"/>
    </row>
    <row r="295" spans="2:19" ht="14.25" customHeight="1" x14ac:dyDescent="0.25">
      <c r="B295" s="34">
        <f t="shared" si="3"/>
        <v>26</v>
      </c>
      <c r="C295" s="34" t="s">
        <v>148</v>
      </c>
      <c r="D295" s="34"/>
      <c r="E295" s="34"/>
      <c r="F295" s="94"/>
      <c r="G295" s="94"/>
      <c r="H295" s="90"/>
      <c r="I295" s="90"/>
      <c r="J295" s="90"/>
      <c r="K295" s="90">
        <f t="shared" si="4"/>
        <v>26</v>
      </c>
      <c r="L295" s="90">
        <v>311.7</v>
      </c>
      <c r="M295" s="90"/>
      <c r="N295" s="90" t="e">
        <v>#N/A</v>
      </c>
      <c r="O295" s="90" t="e">
        <v>#N/A</v>
      </c>
      <c r="P295" s="90" t="e">
        <v>#N/A</v>
      </c>
      <c r="Q295" s="90" t="e">
        <v>#N/A</v>
      </c>
      <c r="R295" s="11" t="e">
        <f t="shared" si="5"/>
        <v>#N/A</v>
      </c>
      <c r="S295" s="11"/>
    </row>
    <row r="296" spans="2:19" ht="14.25" customHeight="1" x14ac:dyDescent="0.25">
      <c r="B296" s="34">
        <f t="shared" si="3"/>
        <v>27</v>
      </c>
      <c r="C296" s="34" t="s">
        <v>148</v>
      </c>
      <c r="D296" s="34"/>
      <c r="E296" s="34"/>
      <c r="F296" s="94"/>
      <c r="G296" s="94"/>
      <c r="H296" s="90"/>
      <c r="I296" s="90"/>
      <c r="J296" s="90"/>
      <c r="K296" s="90">
        <f t="shared" si="4"/>
        <v>27</v>
      </c>
      <c r="L296" s="90">
        <v>312</v>
      </c>
      <c r="M296" s="90"/>
      <c r="N296" s="90" t="e">
        <v>#N/A</v>
      </c>
      <c r="O296" s="90" t="e">
        <v>#N/A</v>
      </c>
      <c r="P296" s="90" t="e">
        <v>#N/A</v>
      </c>
      <c r="Q296" s="90" t="e">
        <v>#N/A</v>
      </c>
      <c r="R296" s="11" t="e">
        <f t="shared" si="5"/>
        <v>#N/A</v>
      </c>
      <c r="S296" s="11"/>
    </row>
    <row r="297" spans="2:19" ht="14.25" customHeight="1" x14ac:dyDescent="0.25">
      <c r="B297" s="34">
        <f t="shared" si="3"/>
        <v>27</v>
      </c>
      <c r="C297" s="34" t="s">
        <v>148</v>
      </c>
      <c r="D297" s="34"/>
      <c r="E297" s="34"/>
      <c r="F297" s="94"/>
      <c r="G297" s="94"/>
      <c r="H297" s="90"/>
      <c r="I297" s="90"/>
      <c r="J297" s="90"/>
      <c r="K297" s="90">
        <f t="shared" si="4"/>
        <v>27</v>
      </c>
      <c r="L297" s="90">
        <v>312.7</v>
      </c>
      <c r="M297" s="90"/>
      <c r="N297" s="90" t="e">
        <v>#N/A</v>
      </c>
      <c r="O297" s="90" t="e">
        <v>#N/A</v>
      </c>
      <c r="P297" s="90" t="e">
        <v>#N/A</v>
      </c>
      <c r="Q297" s="90" t="e">
        <v>#N/A</v>
      </c>
      <c r="R297" s="11" t="e">
        <f t="shared" si="5"/>
        <v>#N/A</v>
      </c>
      <c r="S297" s="11"/>
    </row>
    <row r="298" spans="2:19" ht="14.25" customHeight="1" x14ac:dyDescent="0.25">
      <c r="B298" s="34">
        <f t="shared" si="3"/>
        <v>27</v>
      </c>
      <c r="C298" s="34" t="s">
        <v>148</v>
      </c>
      <c r="D298" s="34"/>
      <c r="E298" s="34"/>
      <c r="F298" s="94"/>
      <c r="G298" s="94"/>
      <c r="H298" s="90"/>
      <c r="I298" s="90"/>
      <c r="J298" s="90"/>
      <c r="K298" s="90">
        <f t="shared" si="4"/>
        <v>27</v>
      </c>
      <c r="L298" s="90">
        <v>314</v>
      </c>
      <c r="M298" s="90"/>
      <c r="N298" s="90" t="e">
        <v>#N/A</v>
      </c>
      <c r="O298" s="90" t="e">
        <v>#N/A</v>
      </c>
      <c r="P298" s="90" t="e">
        <v>#N/A</v>
      </c>
      <c r="Q298" s="90" t="e">
        <v>#N/A</v>
      </c>
      <c r="R298" s="11" t="e">
        <f t="shared" si="5"/>
        <v>#N/A</v>
      </c>
      <c r="S298" s="11"/>
    </row>
    <row r="299" spans="2:19" ht="14.25" customHeight="1" x14ac:dyDescent="0.25">
      <c r="B299" s="34">
        <f t="shared" si="3"/>
        <v>27</v>
      </c>
      <c r="C299" s="34" t="s">
        <v>148</v>
      </c>
      <c r="D299" s="34"/>
      <c r="E299" s="34"/>
      <c r="F299" s="94"/>
      <c r="G299" s="94"/>
      <c r="H299" s="90"/>
      <c r="I299" s="90"/>
      <c r="J299" s="90"/>
      <c r="K299" s="90">
        <f t="shared" si="4"/>
        <v>27</v>
      </c>
      <c r="L299" s="90">
        <v>315</v>
      </c>
      <c r="M299" s="90"/>
      <c r="N299" s="90" t="e">
        <v>#N/A</v>
      </c>
      <c r="O299" s="90" t="e">
        <v>#N/A</v>
      </c>
      <c r="P299" s="90" t="e">
        <v>#N/A</v>
      </c>
      <c r="Q299" s="90" t="e">
        <v>#N/A</v>
      </c>
      <c r="R299" s="11" t="e">
        <f t="shared" si="5"/>
        <v>#N/A</v>
      </c>
      <c r="S299" s="11"/>
    </row>
    <row r="300" spans="2:19" ht="14.25" customHeight="1" x14ac:dyDescent="0.25">
      <c r="B300" s="34">
        <f t="shared" si="3"/>
        <v>27</v>
      </c>
      <c r="C300" s="34" t="s">
        <v>148</v>
      </c>
      <c r="D300" s="34"/>
      <c r="E300" s="34"/>
      <c r="F300" s="94"/>
      <c r="G300" s="94"/>
      <c r="H300" s="90"/>
      <c r="I300" s="90"/>
      <c r="J300" s="90"/>
      <c r="K300" s="90">
        <f t="shared" si="4"/>
        <v>27</v>
      </c>
      <c r="L300" s="90">
        <v>315.5</v>
      </c>
      <c r="M300" s="90"/>
      <c r="N300" s="90" t="e">
        <v>#N/A</v>
      </c>
      <c r="O300" s="90" t="e">
        <v>#N/A</v>
      </c>
      <c r="P300" s="90" t="e">
        <v>#N/A</v>
      </c>
      <c r="Q300" s="90" t="e">
        <v>#N/A</v>
      </c>
      <c r="R300" s="11" t="e">
        <f t="shared" si="5"/>
        <v>#N/A</v>
      </c>
      <c r="S300" s="11"/>
    </row>
    <row r="301" spans="2:19" ht="14.25" customHeight="1" x14ac:dyDescent="0.25">
      <c r="B301" s="34">
        <f t="shared" si="3"/>
        <v>27</v>
      </c>
      <c r="C301" s="34" t="s">
        <v>148</v>
      </c>
      <c r="D301" s="34"/>
      <c r="E301" s="34"/>
      <c r="F301" s="94"/>
      <c r="G301" s="94"/>
      <c r="H301" s="90"/>
      <c r="I301" s="90"/>
      <c r="J301" s="90"/>
      <c r="K301" s="90">
        <f t="shared" si="4"/>
        <v>27</v>
      </c>
      <c r="L301" s="90">
        <v>316</v>
      </c>
      <c r="M301" s="90"/>
      <c r="N301" s="90" t="e">
        <v>#N/A</v>
      </c>
      <c r="O301" s="90" t="e">
        <v>#N/A</v>
      </c>
      <c r="P301" s="90" t="e">
        <v>#N/A</v>
      </c>
      <c r="Q301" s="90" t="e">
        <v>#N/A</v>
      </c>
      <c r="R301" s="11" t="e">
        <f t="shared" si="5"/>
        <v>#N/A</v>
      </c>
      <c r="S301" s="11"/>
    </row>
    <row r="302" spans="2:19" ht="14.25" customHeight="1" x14ac:dyDescent="0.25">
      <c r="B302" s="34">
        <f t="shared" si="3"/>
        <v>27</v>
      </c>
      <c r="C302" s="34" t="s">
        <v>148</v>
      </c>
      <c r="D302" s="34"/>
      <c r="E302" s="34"/>
      <c r="F302" s="94"/>
      <c r="G302" s="94"/>
      <c r="H302" s="90"/>
      <c r="I302" s="90"/>
      <c r="J302" s="90"/>
      <c r="K302" s="90">
        <f t="shared" si="4"/>
        <v>27</v>
      </c>
      <c r="L302" s="90">
        <v>316.3</v>
      </c>
      <c r="M302" s="90"/>
      <c r="N302" s="90" t="e">
        <v>#N/A</v>
      </c>
      <c r="O302" s="90" t="e">
        <v>#N/A</v>
      </c>
      <c r="P302" s="90" t="e">
        <v>#N/A</v>
      </c>
      <c r="Q302" s="90" t="e">
        <v>#N/A</v>
      </c>
      <c r="R302" s="11" t="e">
        <f t="shared" si="5"/>
        <v>#N/A</v>
      </c>
      <c r="S302" s="11"/>
    </row>
    <row r="303" spans="2:19" ht="14.25" customHeight="1" x14ac:dyDescent="0.25">
      <c r="B303" s="34">
        <f t="shared" si="3"/>
        <v>27</v>
      </c>
      <c r="C303" s="34" t="s">
        <v>148</v>
      </c>
      <c r="D303" s="34"/>
      <c r="E303" s="34"/>
      <c r="F303" s="94"/>
      <c r="G303" s="94"/>
      <c r="H303" s="90"/>
      <c r="I303" s="90"/>
      <c r="J303" s="90"/>
      <c r="K303" s="90">
        <f t="shared" si="4"/>
        <v>27</v>
      </c>
      <c r="L303" s="90">
        <v>317</v>
      </c>
      <c r="M303" s="90"/>
      <c r="N303" s="90" t="e">
        <v>#N/A</v>
      </c>
      <c r="O303" s="90" t="e">
        <v>#N/A</v>
      </c>
      <c r="P303" s="90" t="e">
        <v>#N/A</v>
      </c>
      <c r="Q303" s="90" t="e">
        <v>#N/A</v>
      </c>
      <c r="R303" s="11" t="e">
        <f t="shared" si="5"/>
        <v>#N/A</v>
      </c>
      <c r="S303" s="11"/>
    </row>
    <row r="304" spans="2:19" ht="14.25" customHeight="1" x14ac:dyDescent="0.25">
      <c r="B304" s="34">
        <f t="shared" si="3"/>
        <v>27</v>
      </c>
      <c r="C304" s="34" t="s">
        <v>148</v>
      </c>
      <c r="D304" s="34"/>
      <c r="E304" s="34"/>
      <c r="F304" s="94"/>
      <c r="G304" s="94"/>
      <c r="H304" s="90"/>
      <c r="I304" s="90"/>
      <c r="J304" s="90"/>
      <c r="K304" s="90">
        <f t="shared" si="4"/>
        <v>27</v>
      </c>
      <c r="L304" s="90">
        <v>318.7</v>
      </c>
      <c r="M304" s="90"/>
      <c r="N304" s="90" t="e">
        <v>#N/A</v>
      </c>
      <c r="O304" s="90" t="e">
        <v>#N/A</v>
      </c>
      <c r="P304" s="90" t="e">
        <v>#N/A</v>
      </c>
      <c r="Q304" s="90" t="e">
        <v>#N/A</v>
      </c>
      <c r="R304" s="11" t="e">
        <f t="shared" si="5"/>
        <v>#N/A</v>
      </c>
      <c r="S304" s="11"/>
    </row>
    <row r="305" spans="2:19" ht="14.25" customHeight="1" x14ac:dyDescent="0.25">
      <c r="B305" s="34">
        <f t="shared" si="3"/>
        <v>27</v>
      </c>
      <c r="C305" s="34" t="s">
        <v>148</v>
      </c>
      <c r="D305" s="34"/>
      <c r="E305" s="34"/>
      <c r="F305" s="94"/>
      <c r="G305" s="94"/>
      <c r="H305" s="90"/>
      <c r="I305" s="90"/>
      <c r="J305" s="90"/>
      <c r="K305" s="90">
        <f t="shared" si="4"/>
        <v>27</v>
      </c>
      <c r="L305" s="90">
        <v>319</v>
      </c>
      <c r="M305" s="90"/>
      <c r="N305" s="90" t="e">
        <v>#N/A</v>
      </c>
      <c r="O305" s="90" t="e">
        <v>#N/A</v>
      </c>
      <c r="P305" s="90" t="e">
        <v>#N/A</v>
      </c>
      <c r="Q305" s="90" t="e">
        <v>#N/A</v>
      </c>
      <c r="R305" s="11" t="e">
        <f t="shared" si="5"/>
        <v>#N/A</v>
      </c>
      <c r="S305" s="11"/>
    </row>
    <row r="306" spans="2:19" ht="14.25" customHeight="1" x14ac:dyDescent="0.25">
      <c r="B306" s="34">
        <f t="shared" si="3"/>
        <v>27</v>
      </c>
      <c r="C306" s="34" t="s">
        <v>148</v>
      </c>
      <c r="D306" s="34"/>
      <c r="E306" s="34"/>
      <c r="F306" s="94"/>
      <c r="G306" s="94"/>
      <c r="H306" s="90"/>
      <c r="I306" s="90"/>
      <c r="J306" s="90"/>
      <c r="K306" s="90">
        <f t="shared" si="4"/>
        <v>27</v>
      </c>
      <c r="L306" s="90">
        <v>319.3</v>
      </c>
      <c r="M306" s="90"/>
      <c r="N306" s="90" t="e">
        <v>#N/A</v>
      </c>
      <c r="O306" s="90" t="e">
        <v>#N/A</v>
      </c>
      <c r="P306" s="90" t="e">
        <v>#N/A</v>
      </c>
      <c r="Q306" s="90" t="e">
        <v>#N/A</v>
      </c>
      <c r="R306" s="11" t="e">
        <f t="shared" si="5"/>
        <v>#N/A</v>
      </c>
      <c r="S306" s="11"/>
    </row>
    <row r="307" spans="2:19" ht="14.25" customHeight="1" x14ac:dyDescent="0.25">
      <c r="B307" s="34">
        <f t="shared" si="3"/>
        <v>27</v>
      </c>
      <c r="C307" s="34" t="s">
        <v>148</v>
      </c>
      <c r="D307" s="34"/>
      <c r="E307" s="34"/>
      <c r="F307" s="94"/>
      <c r="G307" s="94"/>
      <c r="H307" s="90"/>
      <c r="I307" s="90"/>
      <c r="J307" s="90"/>
      <c r="K307" s="90">
        <f t="shared" si="4"/>
        <v>27</v>
      </c>
      <c r="L307" s="90">
        <v>320</v>
      </c>
      <c r="M307" s="90"/>
      <c r="N307" s="90" t="e">
        <v>#N/A</v>
      </c>
      <c r="O307" s="90" t="e">
        <v>#N/A</v>
      </c>
      <c r="P307" s="90" t="e">
        <v>#N/A</v>
      </c>
      <c r="Q307" s="90" t="e">
        <v>#N/A</v>
      </c>
      <c r="R307" s="11" t="e">
        <f t="shared" si="5"/>
        <v>#N/A</v>
      </c>
      <c r="S307" s="11"/>
    </row>
    <row r="308" spans="2:19" ht="14.25" customHeight="1" x14ac:dyDescent="0.25">
      <c r="B308" s="34">
        <f t="shared" si="3"/>
        <v>27</v>
      </c>
      <c r="C308" s="34" t="s">
        <v>148</v>
      </c>
      <c r="D308" s="34"/>
      <c r="E308" s="34"/>
      <c r="F308" s="94"/>
      <c r="G308" s="94"/>
      <c r="H308" s="90"/>
      <c r="I308" s="90"/>
      <c r="J308" s="90"/>
      <c r="K308" s="90">
        <f t="shared" si="4"/>
        <v>27</v>
      </c>
      <c r="L308" s="90">
        <v>322</v>
      </c>
      <c r="M308" s="90"/>
      <c r="N308" s="90" t="e">
        <v>#N/A</v>
      </c>
      <c r="O308" s="90" t="e">
        <v>#N/A</v>
      </c>
      <c r="P308" s="90" t="e">
        <v>#N/A</v>
      </c>
      <c r="Q308" s="90" t="e">
        <v>#N/A</v>
      </c>
      <c r="R308" s="11" t="e">
        <f t="shared" si="5"/>
        <v>#N/A</v>
      </c>
      <c r="S308" s="11"/>
    </row>
    <row r="309" spans="2:19" ht="14.25" customHeight="1" x14ac:dyDescent="0.25">
      <c r="B309" s="34">
        <f t="shared" si="3"/>
        <v>27</v>
      </c>
      <c r="C309" s="34" t="s">
        <v>148</v>
      </c>
      <c r="D309" s="34"/>
      <c r="E309" s="34"/>
      <c r="F309" s="94"/>
      <c r="G309" s="94"/>
      <c r="H309" s="90"/>
      <c r="I309" s="90"/>
      <c r="J309" s="90"/>
      <c r="K309" s="90">
        <f t="shared" si="4"/>
        <v>27</v>
      </c>
      <c r="L309" s="90">
        <v>322</v>
      </c>
      <c r="M309" s="90"/>
      <c r="N309" s="90" t="e">
        <v>#N/A</v>
      </c>
      <c r="O309" s="90" t="e">
        <v>#N/A</v>
      </c>
      <c r="P309" s="90" t="e">
        <v>#N/A</v>
      </c>
      <c r="Q309" s="90" t="e">
        <v>#N/A</v>
      </c>
      <c r="R309" s="11" t="e">
        <f t="shared" si="5"/>
        <v>#N/A</v>
      </c>
      <c r="S309" s="11"/>
    </row>
    <row r="310" spans="2:19" ht="14.25" customHeight="1" x14ac:dyDescent="0.25">
      <c r="B310" s="34">
        <f t="shared" si="3"/>
        <v>27</v>
      </c>
      <c r="C310" s="34" t="s">
        <v>148</v>
      </c>
      <c r="D310" s="34"/>
      <c r="E310" s="34"/>
      <c r="F310" s="94"/>
      <c r="G310" s="94"/>
      <c r="H310" s="90"/>
      <c r="I310" s="90"/>
      <c r="J310" s="90"/>
      <c r="K310" s="90">
        <f t="shared" si="4"/>
        <v>27</v>
      </c>
      <c r="L310" s="90">
        <v>322</v>
      </c>
      <c r="M310" s="90"/>
      <c r="N310" s="90" t="e">
        <v>#N/A</v>
      </c>
      <c r="O310" s="90" t="e">
        <v>#N/A</v>
      </c>
      <c r="P310" s="90" t="e">
        <v>#N/A</v>
      </c>
      <c r="Q310" s="90" t="e">
        <v>#N/A</v>
      </c>
      <c r="R310" s="11" t="e">
        <f t="shared" si="5"/>
        <v>#N/A</v>
      </c>
      <c r="S310" s="11"/>
    </row>
    <row r="311" spans="2:19" ht="14.25" customHeight="1" x14ac:dyDescent="0.25">
      <c r="B311" s="34">
        <f t="shared" si="3"/>
        <v>27</v>
      </c>
      <c r="C311" s="34" t="s">
        <v>148</v>
      </c>
      <c r="D311" s="34"/>
      <c r="E311" s="34"/>
      <c r="F311" s="94"/>
      <c r="G311" s="94"/>
      <c r="H311" s="90"/>
      <c r="I311" s="90"/>
      <c r="J311" s="90"/>
      <c r="K311" s="90">
        <f t="shared" si="4"/>
        <v>27</v>
      </c>
      <c r="L311" s="90">
        <v>323</v>
      </c>
      <c r="M311" s="90"/>
      <c r="N311" s="90" t="e">
        <v>#N/A</v>
      </c>
      <c r="O311" s="90" t="e">
        <v>#N/A</v>
      </c>
      <c r="P311" s="90" t="e">
        <v>#N/A</v>
      </c>
      <c r="Q311" s="90" t="e">
        <v>#N/A</v>
      </c>
      <c r="R311" s="11" t="e">
        <f t="shared" si="5"/>
        <v>#N/A</v>
      </c>
      <c r="S311" s="11"/>
    </row>
    <row r="312" spans="2:19" ht="14.25" customHeight="1" x14ac:dyDescent="0.25">
      <c r="B312" s="34">
        <f t="shared" si="3"/>
        <v>27</v>
      </c>
      <c r="C312" s="34" t="s">
        <v>148</v>
      </c>
      <c r="D312" s="34"/>
      <c r="E312" s="34"/>
      <c r="F312" s="94"/>
      <c r="G312" s="94"/>
      <c r="H312" s="90"/>
      <c r="I312" s="90"/>
      <c r="J312" s="90"/>
      <c r="K312" s="90">
        <f t="shared" si="4"/>
        <v>27</v>
      </c>
      <c r="L312" s="90">
        <v>323</v>
      </c>
      <c r="M312" s="90"/>
      <c r="N312" s="90" t="e">
        <v>#N/A</v>
      </c>
      <c r="O312" s="90" t="e">
        <v>#N/A</v>
      </c>
      <c r="P312" s="90" t="e">
        <v>#N/A</v>
      </c>
      <c r="Q312" s="90" t="e">
        <v>#N/A</v>
      </c>
      <c r="R312" s="11" t="e">
        <f t="shared" si="5"/>
        <v>#N/A</v>
      </c>
      <c r="S312" s="11"/>
    </row>
    <row r="313" spans="2:19" ht="14.25" customHeight="1" x14ac:dyDescent="0.25">
      <c r="B313" s="34">
        <f t="shared" si="3"/>
        <v>27</v>
      </c>
      <c r="C313" s="34" t="s">
        <v>148</v>
      </c>
      <c r="D313" s="34"/>
      <c r="E313" s="34"/>
      <c r="F313" s="94"/>
      <c r="G313" s="94"/>
      <c r="H313" s="90"/>
      <c r="I313" s="90"/>
      <c r="J313" s="90"/>
      <c r="K313" s="90">
        <f t="shared" si="4"/>
        <v>27</v>
      </c>
      <c r="L313" s="90">
        <v>323.3</v>
      </c>
      <c r="M313" s="90"/>
      <c r="N313" s="90" t="e">
        <v>#N/A</v>
      </c>
      <c r="O313" s="90" t="e">
        <v>#N/A</v>
      </c>
      <c r="P313" s="90" t="e">
        <v>#N/A</v>
      </c>
      <c r="Q313" s="90" t="e">
        <v>#N/A</v>
      </c>
      <c r="R313" s="11" t="e">
        <f t="shared" si="5"/>
        <v>#N/A</v>
      </c>
      <c r="S313" s="11"/>
    </row>
    <row r="314" spans="2:19" ht="14.25" customHeight="1" x14ac:dyDescent="0.25">
      <c r="B314" s="34">
        <f t="shared" si="3"/>
        <v>27</v>
      </c>
      <c r="C314" s="34" t="s">
        <v>148</v>
      </c>
      <c r="D314" s="34"/>
      <c r="E314" s="34"/>
      <c r="F314" s="94"/>
      <c r="G314" s="94"/>
      <c r="H314" s="90"/>
      <c r="I314" s="90"/>
      <c r="J314" s="90"/>
      <c r="K314" s="90">
        <f t="shared" si="4"/>
        <v>27</v>
      </c>
      <c r="L314" s="90">
        <v>323.7</v>
      </c>
      <c r="M314" s="90"/>
      <c r="N314" s="90" t="e">
        <v>#N/A</v>
      </c>
      <c r="O314" s="90" t="e">
        <v>#N/A</v>
      </c>
      <c r="P314" s="90" t="e">
        <v>#N/A</v>
      </c>
      <c r="Q314" s="90" t="e">
        <v>#N/A</v>
      </c>
      <c r="R314" s="11" t="e">
        <f t="shared" si="5"/>
        <v>#N/A</v>
      </c>
      <c r="S314" s="11"/>
    </row>
    <row r="315" spans="2:19" ht="14.25" customHeight="1" x14ac:dyDescent="0.25">
      <c r="B315" s="34">
        <f t="shared" si="3"/>
        <v>28</v>
      </c>
      <c r="C315" s="34" t="s">
        <v>148</v>
      </c>
      <c r="D315" s="34"/>
      <c r="E315" s="34"/>
      <c r="F315" s="94"/>
      <c r="G315" s="94"/>
      <c r="H315" s="90"/>
      <c r="I315" s="90"/>
      <c r="J315" s="90"/>
      <c r="K315" s="90">
        <f t="shared" si="4"/>
        <v>28</v>
      </c>
      <c r="L315" s="90">
        <v>324</v>
      </c>
      <c r="M315" s="90"/>
      <c r="N315" s="90" t="e">
        <v>#N/A</v>
      </c>
      <c r="O315" s="90" t="e">
        <v>#N/A</v>
      </c>
      <c r="P315" s="90" t="e">
        <v>#N/A</v>
      </c>
      <c r="Q315" s="90" t="e">
        <v>#N/A</v>
      </c>
      <c r="R315" s="11" t="e">
        <f t="shared" si="5"/>
        <v>#N/A</v>
      </c>
      <c r="S315" s="11"/>
    </row>
    <row r="316" spans="2:19" ht="14.25" customHeight="1" x14ac:dyDescent="0.25">
      <c r="B316" s="34">
        <f t="shared" si="3"/>
        <v>28</v>
      </c>
      <c r="C316" s="34" t="s">
        <v>148</v>
      </c>
      <c r="D316" s="34"/>
      <c r="E316" s="34"/>
      <c r="F316" s="94"/>
      <c r="G316" s="94"/>
      <c r="H316" s="90"/>
      <c r="I316" s="90"/>
      <c r="J316" s="90"/>
      <c r="K316" s="90">
        <f t="shared" si="4"/>
        <v>28</v>
      </c>
      <c r="L316" s="90">
        <v>325</v>
      </c>
      <c r="M316" s="90"/>
      <c r="N316" s="90" t="e">
        <v>#N/A</v>
      </c>
      <c r="O316" s="90" t="e">
        <v>#N/A</v>
      </c>
      <c r="P316" s="90" t="e">
        <v>#N/A</v>
      </c>
      <c r="Q316" s="90" t="e">
        <v>#N/A</v>
      </c>
      <c r="R316" s="11" t="e">
        <f t="shared" si="5"/>
        <v>#N/A</v>
      </c>
      <c r="S316" s="11"/>
    </row>
    <row r="317" spans="2:19" ht="14.25" customHeight="1" x14ac:dyDescent="0.25">
      <c r="B317" s="34">
        <f t="shared" si="3"/>
        <v>28</v>
      </c>
      <c r="C317" s="34" t="s">
        <v>148</v>
      </c>
      <c r="D317" s="34"/>
      <c r="E317" s="34"/>
      <c r="F317" s="94"/>
      <c r="G317" s="94"/>
      <c r="H317" s="90"/>
      <c r="I317" s="90"/>
      <c r="J317" s="90"/>
      <c r="K317" s="90">
        <f t="shared" si="4"/>
        <v>28</v>
      </c>
      <c r="L317" s="90">
        <v>325</v>
      </c>
      <c r="M317" s="90"/>
      <c r="N317" s="90" t="e">
        <v>#N/A</v>
      </c>
      <c r="O317" s="90" t="e">
        <v>#N/A</v>
      </c>
      <c r="P317" s="90" t="e">
        <v>#N/A</v>
      </c>
      <c r="Q317" s="90" t="e">
        <v>#N/A</v>
      </c>
      <c r="R317" s="11" t="e">
        <f t="shared" si="5"/>
        <v>#N/A</v>
      </c>
      <c r="S317" s="11"/>
    </row>
    <row r="318" spans="2:19" ht="14.25" customHeight="1" x14ac:dyDescent="0.25">
      <c r="B318" s="34">
        <f t="shared" si="3"/>
        <v>28</v>
      </c>
      <c r="C318" s="34" t="s">
        <v>148</v>
      </c>
      <c r="D318" s="34"/>
      <c r="E318" s="34"/>
      <c r="F318" s="94"/>
      <c r="G318" s="94"/>
      <c r="H318" s="90"/>
      <c r="I318" s="90"/>
      <c r="J318" s="90"/>
      <c r="K318" s="90">
        <f t="shared" si="4"/>
        <v>28</v>
      </c>
      <c r="L318" s="90">
        <v>328</v>
      </c>
      <c r="M318" s="90"/>
      <c r="N318" s="90" t="e">
        <v>#N/A</v>
      </c>
      <c r="O318" s="90" t="e">
        <v>#N/A</v>
      </c>
      <c r="P318" s="90" t="e">
        <v>#N/A</v>
      </c>
      <c r="Q318" s="90" t="e">
        <v>#N/A</v>
      </c>
      <c r="R318" s="11" t="e">
        <f t="shared" si="5"/>
        <v>#N/A</v>
      </c>
      <c r="S318" s="11"/>
    </row>
    <row r="319" spans="2:19" ht="14.25" customHeight="1" x14ac:dyDescent="0.25">
      <c r="B319" s="34">
        <f t="shared" si="3"/>
        <v>28</v>
      </c>
      <c r="C319" s="34" t="s">
        <v>148</v>
      </c>
      <c r="D319" s="34"/>
      <c r="E319" s="34"/>
      <c r="F319" s="94"/>
      <c r="G319" s="94"/>
      <c r="H319" s="90"/>
      <c r="I319" s="90"/>
      <c r="J319" s="90"/>
      <c r="K319" s="90">
        <f t="shared" si="4"/>
        <v>28</v>
      </c>
      <c r="L319" s="90">
        <v>328.5</v>
      </c>
      <c r="M319" s="90"/>
      <c r="N319" s="90" t="e">
        <v>#N/A</v>
      </c>
      <c r="O319" s="90" t="e">
        <v>#N/A</v>
      </c>
      <c r="P319" s="90" t="e">
        <v>#N/A</v>
      </c>
      <c r="Q319" s="90" t="e">
        <v>#N/A</v>
      </c>
      <c r="R319" s="11" t="e">
        <f t="shared" si="5"/>
        <v>#N/A</v>
      </c>
      <c r="S319" s="11"/>
    </row>
    <row r="320" spans="2:19" ht="14.25" customHeight="1" x14ac:dyDescent="0.25">
      <c r="B320" s="34">
        <f t="shared" si="3"/>
        <v>28</v>
      </c>
      <c r="C320" s="34" t="s">
        <v>148</v>
      </c>
      <c r="D320" s="34"/>
      <c r="E320" s="34"/>
      <c r="F320" s="94"/>
      <c r="G320" s="94"/>
      <c r="H320" s="90"/>
      <c r="I320" s="90"/>
      <c r="J320" s="90"/>
      <c r="K320" s="90">
        <f t="shared" si="4"/>
        <v>28</v>
      </c>
      <c r="L320" s="90">
        <v>332</v>
      </c>
      <c r="M320" s="90"/>
      <c r="N320" s="90" t="e">
        <v>#N/A</v>
      </c>
      <c r="O320" s="90" t="e">
        <v>#N/A</v>
      </c>
      <c r="P320" s="90" t="e">
        <v>#N/A</v>
      </c>
      <c r="Q320" s="90" t="e">
        <v>#N/A</v>
      </c>
      <c r="R320" s="11" t="e">
        <f t="shared" si="5"/>
        <v>#N/A</v>
      </c>
      <c r="S320" s="11"/>
    </row>
    <row r="321" spans="2:19" ht="14.25" customHeight="1" x14ac:dyDescent="0.25">
      <c r="B321" s="34">
        <f t="shared" si="3"/>
        <v>28</v>
      </c>
      <c r="C321" s="34" t="s">
        <v>148</v>
      </c>
      <c r="D321" s="34"/>
      <c r="E321" s="34"/>
      <c r="F321" s="94"/>
      <c r="G321" s="94"/>
      <c r="H321" s="90"/>
      <c r="I321" s="90"/>
      <c r="J321" s="90"/>
      <c r="K321" s="90">
        <f t="shared" si="4"/>
        <v>28</v>
      </c>
      <c r="L321" s="90">
        <v>333</v>
      </c>
      <c r="M321" s="90"/>
      <c r="N321" s="90" t="e">
        <v>#N/A</v>
      </c>
      <c r="O321" s="90" t="e">
        <v>#N/A</v>
      </c>
      <c r="P321" s="90" t="e">
        <v>#N/A</v>
      </c>
      <c r="Q321" s="90" t="e">
        <v>#N/A</v>
      </c>
      <c r="R321" s="11" t="e">
        <f t="shared" si="5"/>
        <v>#N/A</v>
      </c>
      <c r="S321" s="11"/>
    </row>
    <row r="322" spans="2:19" ht="14.25" customHeight="1" x14ac:dyDescent="0.25">
      <c r="B322" s="34">
        <f t="shared" si="3"/>
        <v>28</v>
      </c>
      <c r="C322" s="34" t="s">
        <v>148</v>
      </c>
      <c r="D322" s="34"/>
      <c r="E322" s="34"/>
      <c r="F322" s="94"/>
      <c r="G322" s="94"/>
      <c r="H322" s="90"/>
      <c r="I322" s="90"/>
      <c r="J322" s="90"/>
      <c r="K322" s="90">
        <f t="shared" si="4"/>
        <v>28</v>
      </c>
      <c r="L322" s="90">
        <v>333.5</v>
      </c>
      <c r="M322" s="90"/>
      <c r="N322" s="90" t="e">
        <v>#N/A</v>
      </c>
      <c r="O322" s="90" t="e">
        <v>#N/A</v>
      </c>
      <c r="P322" s="90" t="e">
        <v>#N/A</v>
      </c>
      <c r="Q322" s="90" t="e">
        <v>#N/A</v>
      </c>
      <c r="R322" s="11" t="e">
        <f t="shared" si="5"/>
        <v>#N/A</v>
      </c>
      <c r="S322" s="11"/>
    </row>
    <row r="323" spans="2:19" ht="14.25" customHeight="1" x14ac:dyDescent="0.25">
      <c r="B323" s="34">
        <f t="shared" si="3"/>
        <v>28</v>
      </c>
      <c r="C323" s="34" t="s">
        <v>148</v>
      </c>
      <c r="D323" s="34"/>
      <c r="E323" s="34"/>
      <c r="F323" s="94"/>
      <c r="G323" s="94"/>
      <c r="H323" s="90"/>
      <c r="I323" s="90"/>
      <c r="J323" s="90"/>
      <c r="K323" s="90">
        <f t="shared" si="4"/>
        <v>28</v>
      </c>
      <c r="L323" s="90">
        <v>334</v>
      </c>
      <c r="M323" s="90"/>
      <c r="N323" s="90" t="e">
        <v>#N/A</v>
      </c>
      <c r="O323" s="90" t="e">
        <v>#N/A</v>
      </c>
      <c r="P323" s="90" t="e">
        <v>#N/A</v>
      </c>
      <c r="Q323" s="90" t="e">
        <v>#N/A</v>
      </c>
      <c r="R323" s="11" t="e">
        <f t="shared" si="5"/>
        <v>#N/A</v>
      </c>
      <c r="S323" s="11"/>
    </row>
    <row r="324" spans="2:19" ht="14.25" customHeight="1" x14ac:dyDescent="0.25">
      <c r="B324" s="34">
        <f t="shared" si="3"/>
        <v>28</v>
      </c>
      <c r="C324" s="34" t="s">
        <v>148</v>
      </c>
      <c r="D324" s="34"/>
      <c r="E324" s="34"/>
      <c r="F324" s="94"/>
      <c r="G324" s="94"/>
      <c r="H324" s="90"/>
      <c r="I324" s="90"/>
      <c r="J324" s="90"/>
      <c r="K324" s="90">
        <f t="shared" si="4"/>
        <v>28</v>
      </c>
      <c r="L324" s="90">
        <v>335</v>
      </c>
      <c r="M324" s="90"/>
      <c r="N324" s="90" t="e">
        <v>#N/A</v>
      </c>
      <c r="O324" s="90" t="e">
        <v>#N/A</v>
      </c>
      <c r="P324" s="90" t="e">
        <v>#N/A</v>
      </c>
      <c r="Q324" s="90" t="e">
        <v>#N/A</v>
      </c>
      <c r="R324" s="11" t="e">
        <f t="shared" si="5"/>
        <v>#N/A</v>
      </c>
      <c r="S324" s="11"/>
    </row>
    <row r="325" spans="2:19" ht="14.25" customHeight="1" x14ac:dyDescent="0.25">
      <c r="B325" s="34">
        <f t="shared" si="3"/>
        <v>29</v>
      </c>
      <c r="C325" s="34" t="s">
        <v>148</v>
      </c>
      <c r="D325" s="34"/>
      <c r="E325" s="34"/>
      <c r="F325" s="94"/>
      <c r="G325" s="94"/>
      <c r="H325" s="90"/>
      <c r="I325" s="90"/>
      <c r="J325" s="90"/>
      <c r="K325" s="90">
        <f t="shared" si="4"/>
        <v>29</v>
      </c>
      <c r="L325" s="90">
        <v>336</v>
      </c>
      <c r="M325" s="90"/>
      <c r="N325" s="90" t="e">
        <v>#N/A</v>
      </c>
      <c r="O325" s="90" t="e">
        <v>#N/A</v>
      </c>
      <c r="P325" s="90" t="e">
        <v>#N/A</v>
      </c>
      <c r="Q325" s="90" t="e">
        <v>#N/A</v>
      </c>
      <c r="R325" s="11" t="e">
        <f t="shared" si="5"/>
        <v>#N/A</v>
      </c>
      <c r="S325" s="11"/>
    </row>
    <row r="326" spans="2:19" ht="14.25" customHeight="1" x14ac:dyDescent="0.25">
      <c r="B326" s="34">
        <f t="shared" si="3"/>
        <v>29</v>
      </c>
      <c r="C326" s="34" t="s">
        <v>148</v>
      </c>
      <c r="D326" s="34"/>
      <c r="E326" s="34"/>
      <c r="F326" s="94"/>
      <c r="G326" s="94"/>
      <c r="H326" s="90"/>
      <c r="I326" s="90"/>
      <c r="J326" s="90"/>
      <c r="K326" s="90">
        <f t="shared" si="4"/>
        <v>29</v>
      </c>
      <c r="L326" s="90">
        <v>337</v>
      </c>
      <c r="M326" s="90"/>
      <c r="N326" s="90" t="e">
        <v>#N/A</v>
      </c>
      <c r="O326" s="90" t="e">
        <v>#N/A</v>
      </c>
      <c r="P326" s="90" t="e">
        <v>#N/A</v>
      </c>
      <c r="Q326" s="90" t="e">
        <v>#N/A</v>
      </c>
      <c r="R326" s="11" t="e">
        <f t="shared" si="5"/>
        <v>#N/A</v>
      </c>
      <c r="S326" s="11"/>
    </row>
    <row r="327" spans="2:19" ht="14.25" customHeight="1" x14ac:dyDescent="0.25">
      <c r="B327" s="34">
        <f t="shared" si="3"/>
        <v>29</v>
      </c>
      <c r="C327" s="34" t="s">
        <v>148</v>
      </c>
      <c r="D327" s="34"/>
      <c r="E327" s="34"/>
      <c r="F327" s="94"/>
      <c r="G327" s="94"/>
      <c r="H327" s="90"/>
      <c r="I327" s="90"/>
      <c r="J327" s="90"/>
      <c r="K327" s="90">
        <f t="shared" si="4"/>
        <v>29</v>
      </c>
      <c r="L327" s="90">
        <v>339</v>
      </c>
      <c r="M327" s="90"/>
      <c r="N327" s="90" t="e">
        <v>#N/A</v>
      </c>
      <c r="O327" s="90" t="e">
        <v>#N/A</v>
      </c>
      <c r="P327" s="90" t="e">
        <v>#N/A</v>
      </c>
      <c r="Q327" s="90" t="e">
        <v>#N/A</v>
      </c>
      <c r="R327" s="11" t="e">
        <f t="shared" si="5"/>
        <v>#N/A</v>
      </c>
      <c r="S327" s="11"/>
    </row>
    <row r="328" spans="2:19" ht="14.25" customHeight="1" x14ac:dyDescent="0.25">
      <c r="B328" s="34">
        <f t="shared" si="3"/>
        <v>29</v>
      </c>
      <c r="C328" s="34" t="s">
        <v>148</v>
      </c>
      <c r="D328" s="34"/>
      <c r="E328" s="34"/>
      <c r="F328" s="94"/>
      <c r="G328" s="94"/>
      <c r="H328" s="90"/>
      <c r="I328" s="90"/>
      <c r="J328" s="90"/>
      <c r="K328" s="90">
        <f t="shared" si="4"/>
        <v>29</v>
      </c>
      <c r="L328" s="90">
        <v>339</v>
      </c>
      <c r="M328" s="90"/>
      <c r="N328" s="90" t="e">
        <v>#N/A</v>
      </c>
      <c r="O328" s="90" t="e">
        <v>#N/A</v>
      </c>
      <c r="P328" s="90" t="e">
        <v>#N/A</v>
      </c>
      <c r="Q328" s="90" t="e">
        <v>#N/A</v>
      </c>
      <c r="R328" s="11" t="e">
        <f t="shared" si="5"/>
        <v>#N/A</v>
      </c>
      <c r="S328" s="11"/>
    </row>
    <row r="329" spans="2:19" ht="14.25" customHeight="1" x14ac:dyDescent="0.25">
      <c r="B329" s="34">
        <f t="shared" si="3"/>
        <v>29</v>
      </c>
      <c r="C329" s="34" t="s">
        <v>148</v>
      </c>
      <c r="D329" s="34"/>
      <c r="E329" s="34"/>
      <c r="F329" s="94"/>
      <c r="G329" s="94"/>
      <c r="H329" s="90"/>
      <c r="I329" s="90"/>
      <c r="J329" s="90"/>
      <c r="K329" s="90">
        <f t="shared" si="4"/>
        <v>29</v>
      </c>
      <c r="L329" s="90">
        <v>339</v>
      </c>
      <c r="M329" s="90"/>
      <c r="N329" s="90" t="e">
        <v>#N/A</v>
      </c>
      <c r="O329" s="90" t="e">
        <v>#N/A</v>
      </c>
      <c r="P329" s="90" t="e">
        <v>#N/A</v>
      </c>
      <c r="Q329" s="90" t="e">
        <v>#N/A</v>
      </c>
      <c r="R329" s="11" t="e">
        <f t="shared" si="5"/>
        <v>#N/A</v>
      </c>
      <c r="S329" s="11"/>
    </row>
    <row r="330" spans="2:19" ht="14.25" customHeight="1" x14ac:dyDescent="0.25">
      <c r="B330" s="34">
        <f t="shared" si="3"/>
        <v>29</v>
      </c>
      <c r="C330" s="34" t="s">
        <v>148</v>
      </c>
      <c r="D330" s="34"/>
      <c r="E330" s="34"/>
      <c r="F330" s="94"/>
      <c r="G330" s="94"/>
      <c r="H330" s="90"/>
      <c r="I330" s="90"/>
      <c r="J330" s="90"/>
      <c r="K330" s="90">
        <f t="shared" si="4"/>
        <v>29</v>
      </c>
      <c r="L330" s="90">
        <v>344</v>
      </c>
      <c r="M330" s="90"/>
      <c r="N330" s="90" t="e">
        <v>#N/A</v>
      </c>
      <c r="O330" s="90" t="e">
        <v>#N/A</v>
      </c>
      <c r="P330" s="90" t="e">
        <v>#N/A</v>
      </c>
      <c r="Q330" s="90" t="e">
        <v>#N/A</v>
      </c>
      <c r="R330" s="11" t="e">
        <f t="shared" si="5"/>
        <v>#N/A</v>
      </c>
      <c r="S330" s="11"/>
    </row>
    <row r="331" spans="2:19" ht="14.25" customHeight="1" x14ac:dyDescent="0.25">
      <c r="B331" s="34">
        <f t="shared" si="3"/>
        <v>30</v>
      </c>
      <c r="C331" s="34" t="s">
        <v>148</v>
      </c>
      <c r="D331" s="34"/>
      <c r="E331" s="34"/>
      <c r="F331" s="94"/>
      <c r="G331" s="94"/>
      <c r="H331" s="90"/>
      <c r="I331" s="90"/>
      <c r="J331" s="90"/>
      <c r="K331" s="90">
        <f t="shared" si="4"/>
        <v>30</v>
      </c>
      <c r="L331" s="90">
        <v>350</v>
      </c>
      <c r="M331" s="90"/>
      <c r="N331" s="90" t="e">
        <v>#N/A</v>
      </c>
      <c r="O331" s="90" t="e">
        <v>#N/A</v>
      </c>
      <c r="P331" s="90" t="e">
        <v>#N/A</v>
      </c>
      <c r="Q331" s="90" t="e">
        <v>#N/A</v>
      </c>
      <c r="R331" s="11" t="e">
        <f t="shared" si="5"/>
        <v>#N/A</v>
      </c>
      <c r="S331" s="11"/>
    </row>
    <row r="332" spans="2:19" ht="14.25" customHeight="1" x14ac:dyDescent="0.25">
      <c r="B332" s="34">
        <f t="shared" si="3"/>
        <v>30</v>
      </c>
      <c r="C332" s="34" t="s">
        <v>148</v>
      </c>
      <c r="D332" s="34" t="s">
        <v>886</v>
      </c>
      <c r="E332" s="34"/>
      <c r="F332" s="94"/>
      <c r="G332" s="94"/>
      <c r="H332" s="90"/>
      <c r="I332" s="90"/>
      <c r="J332" s="90"/>
      <c r="K332" s="90">
        <f t="shared" si="4"/>
        <v>30</v>
      </c>
      <c r="L332" s="90">
        <v>352</v>
      </c>
      <c r="M332" s="90"/>
      <c r="N332" s="90" t="e">
        <v>#N/A</v>
      </c>
      <c r="O332" s="90" t="e">
        <v>#N/A</v>
      </c>
      <c r="P332" s="90" t="e">
        <v>#N/A</v>
      </c>
      <c r="Q332" s="90" t="e">
        <v>#N/A</v>
      </c>
      <c r="R332" s="11" t="e">
        <f t="shared" si="5"/>
        <v>#N/A</v>
      </c>
      <c r="S332" s="11"/>
    </row>
    <row r="333" spans="2:19" ht="14.25" customHeight="1" x14ac:dyDescent="0.25">
      <c r="B333" s="34">
        <f t="shared" si="3"/>
        <v>25</v>
      </c>
      <c r="C333" s="34" t="s">
        <v>148</v>
      </c>
      <c r="D333" s="34"/>
      <c r="E333" s="34"/>
      <c r="F333" s="11" t="s">
        <v>1533</v>
      </c>
      <c r="G333" s="11" t="s">
        <v>91</v>
      </c>
      <c r="H333" s="11" t="s">
        <v>762</v>
      </c>
      <c r="I333" s="11"/>
      <c r="J333" s="11"/>
      <c r="K333" s="90">
        <f t="shared" si="4"/>
        <v>25</v>
      </c>
      <c r="L333" s="90">
        <v>291.5</v>
      </c>
      <c r="M333" s="11">
        <v>261</v>
      </c>
      <c r="N333" s="90" t="e">
        <v>#N/A</v>
      </c>
      <c r="O333" s="90" t="e">
        <v>#N/A</v>
      </c>
      <c r="P333" s="90" t="e">
        <v>#N/A</v>
      </c>
      <c r="Q333" s="90" t="e">
        <v>#N/A</v>
      </c>
      <c r="R333" s="11" t="e">
        <f t="shared" si="5"/>
        <v>#N/A</v>
      </c>
      <c r="S333" s="11"/>
    </row>
    <row r="334" spans="2:19" ht="14.25" customHeight="1" x14ac:dyDescent="0.25">
      <c r="B334" s="34">
        <f t="shared" si="3"/>
        <v>25</v>
      </c>
      <c r="C334" s="34" t="s">
        <v>148</v>
      </c>
      <c r="D334" s="34"/>
      <c r="E334" s="34"/>
      <c r="F334" s="11" t="s">
        <v>978</v>
      </c>
      <c r="G334" s="11" t="s">
        <v>49</v>
      </c>
      <c r="H334" s="11" t="s">
        <v>764</v>
      </c>
      <c r="I334" s="11"/>
      <c r="J334" s="11"/>
      <c r="K334" s="90">
        <f t="shared" si="4"/>
        <v>25</v>
      </c>
      <c r="L334" s="90">
        <v>291.5</v>
      </c>
      <c r="M334" s="11">
        <v>260</v>
      </c>
      <c r="N334" s="90" t="s">
        <v>1534</v>
      </c>
      <c r="O334" s="90" t="e">
        <v>#N/A</v>
      </c>
      <c r="P334" s="90" t="e">
        <v>#N/A</v>
      </c>
      <c r="Q334" s="90" t="e">
        <v>#N/A</v>
      </c>
      <c r="R334" s="11" t="e">
        <f t="shared" si="5"/>
        <v>#N/A</v>
      </c>
      <c r="S334" s="11"/>
    </row>
    <row r="335" spans="2:19" ht="14.25" customHeight="1" x14ac:dyDescent="0.25">
      <c r="B335" s="34">
        <f t="shared" si="3"/>
        <v>25</v>
      </c>
      <c r="C335" s="34" t="s">
        <v>148</v>
      </c>
      <c r="D335" s="34"/>
      <c r="E335" s="34"/>
      <c r="F335" s="11" t="s">
        <v>897</v>
      </c>
      <c r="G335" s="11" t="s">
        <v>233</v>
      </c>
      <c r="H335" s="11" t="s">
        <v>764</v>
      </c>
      <c r="I335" s="11"/>
      <c r="J335" s="11"/>
      <c r="K335" s="90">
        <f t="shared" si="4"/>
        <v>25</v>
      </c>
      <c r="L335" s="90">
        <v>297</v>
      </c>
      <c r="M335" s="11">
        <v>267</v>
      </c>
      <c r="N335" s="90" t="s">
        <v>1535</v>
      </c>
      <c r="O335" s="90" t="e">
        <v>#N/A</v>
      </c>
      <c r="P335" s="90" t="e">
        <v>#N/A</v>
      </c>
      <c r="Q335" s="90" t="e">
        <v>#N/A</v>
      </c>
      <c r="R335" s="11" t="e">
        <f t="shared" si="5"/>
        <v>#N/A</v>
      </c>
      <c r="S335" s="11"/>
    </row>
    <row r="336" spans="2:19" ht="14.25" customHeight="1" x14ac:dyDescent="0.25">
      <c r="B336" s="34">
        <f t="shared" si="3"/>
        <v>26</v>
      </c>
      <c r="C336" s="34" t="s">
        <v>148</v>
      </c>
      <c r="D336" s="34"/>
      <c r="E336" s="34"/>
      <c r="F336" s="11" t="s">
        <v>1536</v>
      </c>
      <c r="G336" s="11" t="s">
        <v>233</v>
      </c>
      <c r="H336" s="11" t="s">
        <v>762</v>
      </c>
      <c r="I336" s="11"/>
      <c r="J336" s="11"/>
      <c r="K336" s="90">
        <f t="shared" si="4"/>
        <v>26</v>
      </c>
      <c r="L336" s="90">
        <v>302</v>
      </c>
      <c r="M336" s="11">
        <v>272</v>
      </c>
      <c r="N336" s="90" t="s">
        <v>1537</v>
      </c>
      <c r="O336" s="90" t="e">
        <v>#N/A</v>
      </c>
      <c r="P336" s="90" t="e">
        <v>#N/A</v>
      </c>
      <c r="Q336" s="90" t="e">
        <v>#N/A</v>
      </c>
      <c r="R336" s="11" t="e">
        <f t="shared" si="5"/>
        <v>#N/A</v>
      </c>
      <c r="S336" s="11"/>
    </row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13:S336" xr:uid="{00000000-0009-0000-0000-000011000000}">
    <sortState xmlns:xlrd2="http://schemas.microsoft.com/office/spreadsheetml/2017/richdata2" ref="A13:S336">
      <sortCondition ref="J13:J336"/>
    </sortState>
  </autoFilter>
  <conditionalFormatting sqref="D14">
    <cfRule type="expression" dxfId="2" priority="1">
      <formula>$C14=No</formula>
    </cfRule>
  </conditionalFormatting>
  <conditionalFormatting sqref="K14:K336">
    <cfRule type="cellIs" dxfId="1" priority="2" operator="lessThan">
      <formula>B14</formula>
    </cfRule>
    <cfRule type="cellIs" dxfId="0" priority="3" operator="greaterThan">
      <formula>B14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2026 Miami</vt:lpstr>
      <vt:lpstr>SeanRanks26</vt:lpstr>
      <vt:lpstr>26 ADP Data</vt:lpstr>
      <vt:lpstr>2026 Big Board</vt:lpstr>
      <vt:lpstr>Kepners Team</vt:lpstr>
      <vt:lpstr>2025 Miami</vt:lpstr>
      <vt:lpstr>Miami Team</vt:lpstr>
      <vt:lpstr>2025 Zimmer</vt:lpstr>
      <vt:lpstr>2024 Zimmer</vt:lpstr>
      <vt:lpstr>2025 Big Board</vt:lpstr>
      <vt:lpstr>SeanRanks</vt:lpstr>
      <vt:lpstr>ADP Data</vt:lpstr>
      <vt:lpstr>2024 Kepners</vt:lpstr>
      <vt:lpstr>2024 Miami</vt:lpstr>
      <vt:lpstr>2023 Zimmer</vt:lpstr>
      <vt:lpstr>2022 Zimmer</vt:lpstr>
      <vt:lpstr>2021 Zimmer</vt:lpstr>
      <vt:lpstr>2020 Zimmer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Mullins, Sean</dc:creator>
  <cp:lastModifiedBy>Sean Mullins</cp:lastModifiedBy>
  <dcterms:created xsi:type="dcterms:W3CDTF">2017-09-01T15:40:17Z</dcterms:created>
  <dcterms:modified xsi:type="dcterms:W3CDTF">2026-09-09T00:38:56Z</dcterms:modified>
</cp:coreProperties>
</file>